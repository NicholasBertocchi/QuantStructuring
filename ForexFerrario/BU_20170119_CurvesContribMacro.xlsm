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230" windowHeight="6285"/>
  </bookViews>
  <sheets>
    <sheet name="Console" sheetId="1" r:id="rId1"/>
    <sheet name="EUR" sheetId="2" r:id="rId2"/>
    <sheet name="Ccys" sheetId="3" r:id="rId3"/>
  </sheets>
  <functionGroups builtInGroupCount="17"/>
  <definedNames>
    <definedName name="Calendar">EUR!$C$35</definedName>
    <definedName name="Ccys_Incipit">Ccys!$E$3</definedName>
    <definedName name="Currency">EUR!$C$28</definedName>
    <definedName name="curveName">EUR!$C$5</definedName>
    <definedName name="disc_refresh">EUR!$CV$96</definedName>
    <definedName name="doCalc">EUR!$C$3</definedName>
    <definedName name="EURCurve">Ccys!$D$21:$D$49</definedName>
    <definedName name="EURFrozenHK">Ccys!$C$212:$C$240</definedName>
    <definedName name="EURFrozenMI">Ccys!$C$182:$C$210</definedName>
    <definedName name="exoDisc">EUR!$C$29</definedName>
    <definedName name="nDepos">EUR!$S$2</definedName>
    <definedName name="nFut">EUR!$S$25</definedName>
    <definedName name="nSwap">EUR!$S$38</definedName>
    <definedName name="PanicDF_Switch">Console!$E$5</definedName>
    <definedName name="Ref_HK_Spot">Ccys!$E$211</definedName>
    <definedName name="Ref_MI_Spot">Ccys!$E$181</definedName>
    <definedName name="RT_DF_Switch">Console!$E$4</definedName>
    <definedName name="RT_Switch">Console!$E$3</definedName>
    <definedName name="Scheduler">Console!$B$9:$B$55</definedName>
    <definedName name="Scheduler_Loop">Console!$G$8</definedName>
    <definedName name="Settlement">EUR!$C$27</definedName>
    <definedName name="Spot_Incipit">Ccys!$E$151</definedName>
    <definedName name="stubRate">EUR!$L$22</definedName>
    <definedName name="Swap_Incipit">Ccys!$E$124</definedName>
    <definedName name="Swap_Incipit_Reference_HK">Ccys!$E$215</definedName>
    <definedName name="Swap_Incipit_Reference_MI">Ccys!$E$185</definedName>
    <definedName name="Tenors_set">Ccys!$C$21:$C$49</definedName>
    <definedName name="today">Console!$C$2</definedName>
    <definedName name="USDCurve">Ccys!$E$21:$E$49</definedName>
    <definedName name="USDFrozenHK">Ccys!$D$212:$D$240</definedName>
    <definedName name="USDFrozenMI">Ccys!$D$182:$D$210</definedName>
  </definedNames>
  <calcPr calcId="145621" calcMode="manual"/>
</workbook>
</file>

<file path=xl/calcChain.xml><?xml version="1.0" encoding="utf-8"?>
<calcChain xmlns="http://schemas.openxmlformats.org/spreadsheetml/2006/main">
  <c r="E401" i="3" l="1"/>
  <c r="F401" i="3" s="1"/>
  <c r="G401" i="3" s="1"/>
  <c r="H401" i="3" s="1"/>
  <c r="I401" i="3" s="1"/>
  <c r="J401" i="3" s="1"/>
  <c r="K401" i="3" s="1"/>
  <c r="L401" i="3" s="1"/>
  <c r="M401" i="3" s="1"/>
  <c r="N401" i="3" s="1"/>
  <c r="O401" i="3" s="1"/>
  <c r="P401" i="3" s="1"/>
  <c r="Q401" i="3" s="1"/>
  <c r="R401" i="3" s="1"/>
  <c r="S401" i="3" s="1"/>
  <c r="T401" i="3" s="1"/>
  <c r="U401" i="3" s="1"/>
  <c r="V401" i="3" s="1"/>
  <c r="W401" i="3" s="1"/>
  <c r="X401" i="3" s="1"/>
  <c r="Y401" i="3" s="1"/>
  <c r="Z401" i="3" s="1"/>
  <c r="AA401" i="3" s="1"/>
  <c r="AB401" i="3" s="1"/>
  <c r="AC401" i="3" s="1"/>
  <c r="AD401" i="3" s="1"/>
  <c r="AE401" i="3" s="1"/>
  <c r="AF401" i="3" s="1"/>
  <c r="AG401" i="3" s="1"/>
  <c r="AH401" i="3" s="1"/>
  <c r="AI401" i="3" s="1"/>
  <c r="AJ401" i="3" s="1"/>
  <c r="AK401" i="3" s="1"/>
  <c r="AL401" i="3" s="1"/>
  <c r="AM401" i="3" s="1"/>
  <c r="AN401" i="3" s="1"/>
  <c r="AO401" i="3" s="1"/>
  <c r="AP401" i="3" s="1"/>
  <c r="AP121" i="3"/>
  <c r="AO121" i="3"/>
  <c r="AL121" i="3"/>
  <c r="AN121" i="3"/>
  <c r="AM121" i="3"/>
  <c r="AK121" i="3"/>
  <c r="AF121" i="3"/>
  <c r="AD121" i="3"/>
  <c r="AJ121" i="3"/>
  <c r="AI121" i="3"/>
  <c r="AH121" i="3"/>
  <c r="AG121" i="3"/>
  <c r="AE121" i="3"/>
  <c r="AC121" i="3"/>
  <c r="AB121" i="3"/>
  <c r="AA121" i="3"/>
  <c r="Z121" i="3"/>
  <c r="Y121" i="3"/>
  <c r="X121" i="3"/>
  <c r="V121" i="3"/>
  <c r="W121" i="3"/>
  <c r="T123" i="3"/>
  <c r="U121" i="3"/>
  <c r="S122" i="3"/>
  <c r="T121" i="3"/>
  <c r="R122" i="3"/>
  <c r="S121" i="3"/>
  <c r="T122" i="3"/>
  <c r="P122" i="3"/>
  <c r="P123" i="3"/>
  <c r="R121" i="3"/>
  <c r="P121" i="3"/>
  <c r="Q121" i="3"/>
  <c r="Q122" i="3"/>
  <c r="M121" i="3"/>
  <c r="H121" i="3"/>
  <c r="H122" i="3"/>
  <c r="E123" i="3"/>
  <c r="I121" i="3"/>
  <c r="F123" i="3"/>
  <c r="G122" i="3"/>
  <c r="N121" i="3"/>
  <c r="F121" i="3"/>
  <c r="E122" i="3"/>
  <c r="K123" i="3"/>
  <c r="O123" i="3"/>
  <c r="M122" i="3"/>
  <c r="I122" i="3"/>
  <c r="G121" i="3"/>
  <c r="K121" i="3"/>
  <c r="K122" i="3"/>
  <c r="M123" i="3"/>
  <c r="F122" i="3"/>
  <c r="O121" i="3"/>
  <c r="L123" i="3"/>
  <c r="N122" i="3"/>
  <c r="O122" i="3"/>
  <c r="L121" i="3"/>
  <c r="J121" i="3"/>
  <c r="J122" i="3"/>
  <c r="N123" i="3"/>
  <c r="L122" i="3"/>
  <c r="H123" i="3"/>
  <c r="E121" i="3"/>
  <c r="I123" i="3"/>
  <c r="G123" i="3"/>
  <c r="J123" i="3"/>
  <c r="Q123" i="3" l="1"/>
  <c r="R123" i="3"/>
  <c r="S123" i="3"/>
  <c r="U122" i="3"/>
  <c r="U123" i="3"/>
  <c r="W122" i="3"/>
  <c r="W123" i="3"/>
  <c r="V123" i="3"/>
  <c r="V122" i="3"/>
  <c r="X123" i="3"/>
  <c r="X122" i="3"/>
  <c r="Y123" i="3"/>
  <c r="Y122" i="3"/>
  <c r="Z122" i="3"/>
  <c r="Z123" i="3"/>
  <c r="AA122" i="3"/>
  <c r="AA123" i="3"/>
  <c r="AB122" i="3"/>
  <c r="AB123" i="3"/>
  <c r="AC123" i="3"/>
  <c r="AC122" i="3"/>
  <c r="AE122" i="3"/>
  <c r="AE123" i="3"/>
  <c r="AG123" i="3"/>
  <c r="AG122" i="3"/>
  <c r="AH122" i="3"/>
  <c r="AH123" i="3"/>
  <c r="AI122" i="3"/>
  <c r="AI123" i="3"/>
  <c r="AJ123" i="3"/>
  <c r="AJ122" i="3"/>
  <c r="AD123" i="3"/>
  <c r="AD122" i="3"/>
  <c r="AF123" i="3"/>
  <c r="AF122" i="3"/>
  <c r="AK122" i="3"/>
  <c r="AK123" i="3"/>
  <c r="AM122" i="3"/>
  <c r="AM123" i="3"/>
  <c r="AN123" i="3"/>
  <c r="AN122" i="3"/>
  <c r="AL122" i="3"/>
  <c r="AL123" i="3"/>
  <c r="AO123" i="3"/>
  <c r="AO122" i="3"/>
  <c r="AP122" i="3"/>
  <c r="AP123" i="3"/>
  <c r="E434" i="3"/>
  <c r="F434" i="3" s="1"/>
  <c r="G434" i="3" s="1"/>
  <c r="H434" i="3" s="1"/>
  <c r="I434" i="3" s="1"/>
  <c r="J434" i="3" s="1"/>
  <c r="K434" i="3" s="1"/>
  <c r="L434" i="3" s="1"/>
  <c r="M434" i="3" s="1"/>
  <c r="N434" i="3" s="1"/>
  <c r="O434" i="3" s="1"/>
  <c r="P434" i="3" s="1"/>
  <c r="Q434" i="3" s="1"/>
  <c r="R434" i="3" s="1"/>
  <c r="S434" i="3" s="1"/>
  <c r="T434" i="3" s="1"/>
  <c r="U434" i="3" s="1"/>
  <c r="U438" i="3" s="1"/>
  <c r="AP467" i="3"/>
  <c r="AO467" i="3"/>
  <c r="AN467" i="3"/>
  <c r="AM467" i="3"/>
  <c r="AL467" i="3"/>
  <c r="AK467" i="3"/>
  <c r="AJ467" i="3"/>
  <c r="AI467" i="3"/>
  <c r="AH467" i="3"/>
  <c r="AG467" i="3"/>
  <c r="AF467" i="3"/>
  <c r="AE467" i="3"/>
  <c r="AD467" i="3"/>
  <c r="AC467" i="3"/>
  <c r="AB467" i="3"/>
  <c r="AA467" i="3"/>
  <c r="Z467" i="3"/>
  <c r="Y467" i="3"/>
  <c r="X467" i="3"/>
  <c r="W467" i="3"/>
  <c r="V467" i="3"/>
  <c r="U467" i="3"/>
  <c r="T467" i="3"/>
  <c r="S467" i="3"/>
  <c r="R467" i="3"/>
  <c r="Q467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AP337" i="3"/>
  <c r="AO337" i="3"/>
  <c r="AN337" i="3"/>
  <c r="AM337" i="3"/>
  <c r="AL337" i="3"/>
  <c r="AK337" i="3"/>
  <c r="AJ337" i="3"/>
  <c r="AI337" i="3"/>
  <c r="AH337" i="3"/>
  <c r="AG337" i="3"/>
  <c r="AF337" i="3"/>
  <c r="AE337" i="3"/>
  <c r="AD337" i="3"/>
  <c r="AC337" i="3"/>
  <c r="AB337" i="3"/>
  <c r="AA337" i="3"/>
  <c r="Z337" i="3"/>
  <c r="Y337" i="3"/>
  <c r="X337" i="3"/>
  <c r="W337" i="3"/>
  <c r="V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AL395" i="3"/>
  <c r="AN394" i="3"/>
  <c r="AL394" i="3"/>
  <c r="AN393" i="3"/>
  <c r="AP392" i="3"/>
  <c r="AP390" i="3"/>
  <c r="AP391" i="3"/>
  <c r="AN395" i="3"/>
  <c r="AP389" i="3"/>
  <c r="AP393" i="3"/>
  <c r="AN392" i="3"/>
  <c r="AL389" i="3"/>
  <c r="AL390" i="3"/>
  <c r="Y83" i="2"/>
  <c r="AL392" i="3"/>
  <c r="AN391" i="3"/>
  <c r="AN390" i="3"/>
  <c r="AP394" i="3"/>
  <c r="AL396" i="3"/>
  <c r="AN396" i="3"/>
  <c r="AN389" i="3"/>
  <c r="AP396" i="3"/>
  <c r="AP395" i="3"/>
  <c r="AL393" i="3"/>
  <c r="Z83" i="2"/>
  <c r="AL391" i="3"/>
  <c r="U461" i="3" l="1"/>
  <c r="U462" i="3"/>
  <c r="U456" i="3"/>
  <c r="U463" i="3"/>
  <c r="U457" i="3"/>
  <c r="U458" i="3"/>
  <c r="U459" i="3"/>
  <c r="U460" i="3"/>
  <c r="V434" i="3"/>
  <c r="W434" i="3" s="1"/>
  <c r="X434" i="3" s="1"/>
  <c r="Y434" i="3" s="1"/>
  <c r="Z434" i="3" s="1"/>
  <c r="AA434" i="3" s="1"/>
  <c r="AB434" i="3" s="1"/>
  <c r="AC434" i="3" s="1"/>
  <c r="AD434" i="3" s="1"/>
  <c r="AE434" i="3" s="1"/>
  <c r="AF434" i="3" s="1"/>
  <c r="AG434" i="3" s="1"/>
  <c r="AH434" i="3" s="1"/>
  <c r="AI434" i="3" s="1"/>
  <c r="AJ434" i="3" s="1"/>
  <c r="AK434" i="3" s="1"/>
  <c r="AL434" i="3" s="1"/>
  <c r="AM434" i="3" s="1"/>
  <c r="AN434" i="3" s="1"/>
  <c r="AO434" i="3" s="1"/>
  <c r="AP434" i="3" s="1"/>
  <c r="I79" i="2"/>
  <c r="Y81" i="2"/>
  <c r="Y80" i="2"/>
  <c r="Z80" i="2"/>
  <c r="Z81" i="2"/>
  <c r="I77" i="2" l="1"/>
  <c r="I76" i="2"/>
  <c r="Y74" i="2"/>
  <c r="Z73" i="2"/>
  <c r="Y73" i="2"/>
  <c r="Z74" i="2"/>
  <c r="Y72" i="2"/>
  <c r="Z75" i="2"/>
  <c r="Y75" i="2"/>
  <c r="Z72" i="2"/>
  <c r="I69" i="2" l="1"/>
  <c r="I70" i="2"/>
  <c r="I68" i="2"/>
  <c r="I71" i="2"/>
  <c r="Z76" i="2"/>
  <c r="Y78" i="2"/>
  <c r="Z78" i="2"/>
  <c r="Y76" i="2"/>
  <c r="Z79" i="2"/>
  <c r="Y79" i="2"/>
  <c r="I74" i="2" l="1"/>
  <c r="I72" i="2"/>
  <c r="I75" i="2"/>
  <c r="Y71" i="2"/>
  <c r="Y70" i="2"/>
  <c r="Z70" i="2"/>
  <c r="Z71" i="2"/>
  <c r="I67" i="2" l="1"/>
  <c r="I66" i="2"/>
  <c r="Z64" i="2"/>
  <c r="Z65" i="2"/>
  <c r="Y65" i="2"/>
  <c r="Y64" i="2"/>
  <c r="Y63" i="2"/>
  <c r="Z63" i="2"/>
  <c r="I59" i="2" l="1"/>
  <c r="I60" i="2"/>
  <c r="I61" i="2"/>
  <c r="Z66" i="2"/>
  <c r="Y68" i="2"/>
  <c r="Z67" i="2"/>
  <c r="Y67" i="2"/>
  <c r="Z68" i="2"/>
  <c r="Y66" i="2"/>
  <c r="Z69" i="2"/>
  <c r="Y69" i="2"/>
  <c r="I63" i="2" l="1"/>
  <c r="I64" i="2"/>
  <c r="I62" i="2"/>
  <c r="I65" i="2"/>
  <c r="Z60" i="2"/>
  <c r="Y60" i="2"/>
  <c r="Y61" i="2"/>
  <c r="Z61" i="2"/>
  <c r="I57" i="2" l="1"/>
  <c r="I56" i="2"/>
  <c r="Y53" i="2"/>
  <c r="Z55" i="2"/>
  <c r="Y55" i="2"/>
  <c r="Z53" i="2"/>
  <c r="I49" i="2" l="1"/>
  <c r="I51" i="2"/>
  <c r="Z58" i="2"/>
  <c r="Y56" i="2"/>
  <c r="Z59" i="2"/>
  <c r="Y59" i="2"/>
  <c r="Z56" i="2"/>
  <c r="Y58" i="2"/>
  <c r="I54" i="2" l="1"/>
  <c r="I52" i="2"/>
  <c r="I55" i="2"/>
  <c r="BY40" i="2"/>
  <c r="BY41" i="2"/>
  <c r="BZ41" i="2"/>
  <c r="BY18" i="2"/>
  <c r="BY19" i="2"/>
  <c r="BZ19" i="2"/>
  <c r="BZ18" i="2"/>
  <c r="BZ40" i="2"/>
  <c r="BI39" i="2" l="1"/>
  <c r="BI17" i="2"/>
  <c r="BI38" i="2"/>
  <c r="BI16" i="2"/>
  <c r="BY22" i="2"/>
  <c r="BY35" i="2"/>
  <c r="BZ22" i="2"/>
  <c r="BZ35" i="2"/>
  <c r="BI20" i="2" l="1"/>
  <c r="BI33" i="2"/>
  <c r="BZ17" i="2"/>
  <c r="BY36" i="2"/>
  <c r="BZ37" i="2"/>
  <c r="BZ38" i="2"/>
  <c r="BY38" i="2"/>
  <c r="BY37" i="2"/>
  <c r="BZ36" i="2"/>
  <c r="BY17" i="2"/>
  <c r="BY39" i="2"/>
  <c r="BZ39" i="2"/>
  <c r="BI35" i="2" l="1"/>
  <c r="BI36" i="2"/>
  <c r="BI34" i="2"/>
  <c r="BI15" i="2"/>
  <c r="BI37" i="2"/>
  <c r="BZ61" i="2"/>
  <c r="BZ54" i="2"/>
  <c r="BZ24" i="2"/>
  <c r="BZ43" i="2"/>
  <c r="BY62" i="2"/>
  <c r="BY55" i="2"/>
  <c r="BY50" i="2"/>
  <c r="BY23" i="2"/>
  <c r="BY64" i="2"/>
  <c r="BZ32" i="2"/>
  <c r="BZ47" i="2"/>
  <c r="BZ44" i="2"/>
  <c r="BY61" i="2"/>
  <c r="BY32" i="2"/>
  <c r="BY27" i="2"/>
  <c r="BY45" i="2"/>
  <c r="BY44" i="2"/>
  <c r="BZ52" i="2"/>
  <c r="BZ65" i="2"/>
  <c r="BY52" i="2"/>
  <c r="BZ62" i="2"/>
  <c r="BZ42" i="2"/>
  <c r="BY29" i="2"/>
  <c r="BZ53" i="2"/>
  <c r="BZ46" i="2"/>
  <c r="BY46" i="2"/>
  <c r="BZ56" i="2"/>
  <c r="BY33" i="2"/>
  <c r="BZ57" i="2"/>
  <c r="BZ55" i="2"/>
  <c r="BZ48" i="2"/>
  <c r="BZ45" i="2"/>
  <c r="BY60" i="2"/>
  <c r="BY54" i="2"/>
  <c r="BY49" i="2"/>
  <c r="BZ63" i="2"/>
  <c r="BZ27" i="2"/>
  <c r="BY57" i="2"/>
  <c r="BY42" i="2"/>
  <c r="BZ29" i="2"/>
  <c r="BY56" i="2"/>
  <c r="BY66" i="2"/>
  <c r="BZ20" i="2"/>
  <c r="BY65" i="2"/>
  <c r="BZ58" i="2"/>
  <c r="BZ33" i="2"/>
  <c r="BZ26" i="2"/>
  <c r="BZ23" i="2"/>
  <c r="BY59" i="2"/>
  <c r="BY53" i="2"/>
  <c r="BY26" i="2"/>
  <c r="BY43" i="2"/>
  <c r="BZ59" i="2"/>
  <c r="BZ50" i="2"/>
  <c r="BZ49" i="2"/>
  <c r="BZ66" i="2"/>
  <c r="BY58" i="2"/>
  <c r="BY30" i="2"/>
  <c r="BY48" i="2"/>
  <c r="BY20" i="2"/>
  <c r="BZ51" i="2"/>
  <c r="BY47" i="2"/>
  <c r="BZ30" i="2"/>
  <c r="BZ64" i="2"/>
  <c r="BY24" i="2"/>
  <c r="BZ60" i="2"/>
  <c r="BY63" i="2"/>
  <c r="BY51" i="2"/>
  <c r="BI62" i="2" l="1"/>
  <c r="BI63" i="2"/>
  <c r="BI64" i="2"/>
  <c r="BI40" i="2"/>
  <c r="BI18" i="2"/>
  <c r="BI41" i="2"/>
  <c r="BI42" i="2"/>
  <c r="BI43" i="2"/>
  <c r="BI21" i="2"/>
  <c r="BI44" i="2"/>
  <c r="BI22" i="2"/>
  <c r="BI45" i="2"/>
  <c r="BI46" i="2"/>
  <c r="BI24" i="2"/>
  <c r="BI47" i="2"/>
  <c r="BI25" i="2"/>
  <c r="BI48" i="2"/>
  <c r="BI49" i="2"/>
  <c r="BI27" i="2"/>
  <c r="BI50" i="2"/>
  <c r="BI28" i="2"/>
  <c r="BI51" i="2"/>
  <c r="BI52" i="2"/>
  <c r="BI30" i="2"/>
  <c r="BI53" i="2"/>
  <c r="BI31" i="2"/>
  <c r="BI54" i="2"/>
  <c r="BI55" i="2"/>
  <c r="BI56" i="2"/>
  <c r="BI57" i="2"/>
  <c r="BI58" i="2"/>
  <c r="BI59" i="2"/>
  <c r="BI60" i="2"/>
  <c r="BI61" i="2"/>
  <c r="Z49" i="2"/>
  <c r="Y47" i="2"/>
  <c r="Y46" i="2"/>
  <c r="Z46" i="2"/>
  <c r="Y49" i="2"/>
  <c r="Z47" i="2"/>
  <c r="Y48" i="2"/>
  <c r="Z48" i="2"/>
  <c r="I42" i="2" l="1"/>
  <c r="I45" i="2"/>
  <c r="I43" i="2"/>
  <c r="I44" i="2"/>
  <c r="Z45" i="2"/>
  <c r="Y45" i="2"/>
  <c r="I41" i="2" l="1"/>
  <c r="Z51" i="2"/>
  <c r="Z50" i="2"/>
  <c r="Y51" i="2"/>
  <c r="Y50" i="2"/>
  <c r="I46" i="2" l="1"/>
  <c r="I47" i="2"/>
  <c r="F336" i="3"/>
  <c r="G336" i="3" l="1"/>
  <c r="H336" i="3" l="1"/>
  <c r="I336" i="3" l="1"/>
  <c r="J336" i="3" l="1"/>
  <c r="K336" i="3" l="1"/>
  <c r="L336" i="3" l="1"/>
  <c r="M336" i="3" l="1"/>
  <c r="N336" i="3" l="1"/>
  <c r="O336" i="3" l="1"/>
  <c r="P336" i="3" l="1"/>
  <c r="Q336" i="3" l="1"/>
  <c r="R336" i="3" l="1"/>
  <c r="S336" i="3" l="1"/>
  <c r="T336" i="3" l="1"/>
  <c r="U336" i="3" l="1"/>
  <c r="V336" i="3" l="1"/>
  <c r="W336" i="3" l="1"/>
  <c r="X336" i="3" l="1"/>
  <c r="Y336" i="3" l="1"/>
  <c r="Z336" i="3" l="1"/>
  <c r="AA336" i="3" l="1"/>
  <c r="AB336" i="3" l="1"/>
  <c r="AC336" i="3" l="1"/>
  <c r="AD336" i="3" l="1"/>
  <c r="AE336" i="3" l="1"/>
  <c r="AF336" i="3" l="1"/>
  <c r="AG336" i="3" l="1"/>
  <c r="AH336" i="3" l="1"/>
  <c r="D400" i="3"/>
  <c r="E400" i="3" s="1"/>
  <c r="AN269" i="3"/>
  <c r="AL267" i="3"/>
  <c r="AN268" i="3"/>
  <c r="AN267" i="3"/>
  <c r="AL271" i="3"/>
  <c r="AL268" i="3"/>
  <c r="AL265" i="3"/>
  <c r="AN265" i="3"/>
  <c r="D13" i="3"/>
  <c r="AL270" i="3"/>
  <c r="AL266" i="3"/>
  <c r="AN264" i="3"/>
  <c r="AL264" i="3"/>
  <c r="AN271" i="3"/>
  <c r="AN270" i="3"/>
  <c r="AL269" i="3"/>
  <c r="AN266" i="3"/>
  <c r="F400" i="3" l="1"/>
  <c r="E407" i="3"/>
  <c r="AI336" i="3"/>
  <c r="AP84" i="3"/>
  <c r="AP83" i="3"/>
  <c r="AP52" i="3"/>
  <c r="AP19" i="3"/>
  <c r="AP10" i="3"/>
  <c r="AP9" i="3"/>
  <c r="AP6" i="3"/>
  <c r="AP4" i="3"/>
  <c r="AP13" i="3"/>
  <c r="AP53" i="3"/>
  <c r="AP54" i="3"/>
  <c r="AP55" i="3"/>
  <c r="AP469" i="3"/>
  <c r="E408" i="3" l="1"/>
  <c r="G400" i="3"/>
  <c r="F407" i="3"/>
  <c r="AP21" i="3"/>
  <c r="AP338" i="3" s="1"/>
  <c r="AJ336" i="3"/>
  <c r="AP22" i="3"/>
  <c r="AP339" i="3" s="1"/>
  <c r="AP23" i="3"/>
  <c r="AO84" i="3"/>
  <c r="AO83" i="3"/>
  <c r="AO52" i="3"/>
  <c r="AO19" i="3"/>
  <c r="AO10" i="3"/>
  <c r="AO9" i="3"/>
  <c r="AO6" i="3"/>
  <c r="AO4" i="3"/>
  <c r="AP471" i="3"/>
  <c r="AP61" i="3"/>
  <c r="AP58" i="3"/>
  <c r="AP73" i="3"/>
  <c r="AP71" i="3"/>
  <c r="AP64" i="3"/>
  <c r="AP78" i="3"/>
  <c r="AP81" i="3"/>
  <c r="AP59" i="3"/>
  <c r="AP67" i="3"/>
  <c r="AP470" i="3"/>
  <c r="AP65" i="3"/>
  <c r="AP74" i="3"/>
  <c r="AP75" i="3"/>
  <c r="AP70" i="3"/>
  <c r="AP265" i="3"/>
  <c r="AP56" i="3"/>
  <c r="AP472" i="3" s="1"/>
  <c r="AP268" i="3"/>
  <c r="AP72" i="3"/>
  <c r="AP62" i="3"/>
  <c r="AO53" i="3"/>
  <c r="AP79" i="3"/>
  <c r="AP60" i="3"/>
  <c r="AP77" i="3"/>
  <c r="AP80" i="3"/>
  <c r="AP68" i="3"/>
  <c r="AO13" i="3"/>
  <c r="AP271" i="3"/>
  <c r="AP57" i="3"/>
  <c r="AP66" i="3"/>
  <c r="AP69" i="3"/>
  <c r="AP63" i="3"/>
  <c r="AP76" i="3"/>
  <c r="AP264" i="3"/>
  <c r="AO54" i="3"/>
  <c r="AO469" i="3"/>
  <c r="AP269" i="3"/>
  <c r="AP267" i="3"/>
  <c r="AP270" i="3"/>
  <c r="AP266" i="3"/>
  <c r="AO55" i="3"/>
  <c r="E409" i="3" l="1"/>
  <c r="F408" i="3"/>
  <c r="H400" i="3"/>
  <c r="G407" i="3"/>
  <c r="AO21" i="3"/>
  <c r="AO338" i="3" s="1"/>
  <c r="AK336" i="3"/>
  <c r="AP277" i="3"/>
  <c r="AP307" i="3"/>
  <c r="AP276" i="3"/>
  <c r="AP306" i="3"/>
  <c r="AP275" i="3"/>
  <c r="AP305" i="3"/>
  <c r="AP245" i="3"/>
  <c r="AP244" i="3"/>
  <c r="AP15" i="3"/>
  <c r="AP243" i="3"/>
  <c r="AO22" i="3"/>
  <c r="AO339" i="3" s="1"/>
  <c r="AO23" i="3"/>
  <c r="AO471" i="3"/>
  <c r="AP496" i="3"/>
  <c r="AP490" i="3"/>
  <c r="AP489" i="3"/>
  <c r="AP530" i="3"/>
  <c r="AO75" i="3"/>
  <c r="AO78" i="3"/>
  <c r="AO74" i="3"/>
  <c r="AO265" i="3"/>
  <c r="AO69" i="3"/>
  <c r="AO264" i="3"/>
  <c r="AP478" i="3"/>
  <c r="AO56" i="3"/>
  <c r="AO63" i="3"/>
  <c r="AO59" i="3"/>
  <c r="AP488" i="3"/>
  <c r="AP501" i="3"/>
  <c r="AO61" i="3"/>
  <c r="AO491" i="3"/>
  <c r="AO470" i="3"/>
  <c r="AP493" i="3"/>
  <c r="AP481" i="3"/>
  <c r="AP474" i="3"/>
  <c r="AP499" i="3"/>
  <c r="AO64" i="3"/>
  <c r="AO60" i="3"/>
  <c r="AO73" i="3"/>
  <c r="AO268" i="3"/>
  <c r="AP497" i="3"/>
  <c r="AO76" i="3"/>
  <c r="AP486" i="3"/>
  <c r="AO80" i="3"/>
  <c r="AO270" i="3"/>
  <c r="AO391" i="3"/>
  <c r="AP492" i="3"/>
  <c r="AP476" i="3"/>
  <c r="AP483" i="3"/>
  <c r="AP477" i="3"/>
  <c r="AP529" i="3"/>
  <c r="AO71" i="3"/>
  <c r="AO67" i="3"/>
  <c r="AO77" i="3"/>
  <c r="AO389" i="3"/>
  <c r="AO57" i="3"/>
  <c r="AO58" i="3"/>
  <c r="AO65" i="3"/>
  <c r="AP485" i="3"/>
  <c r="AO62" i="3"/>
  <c r="AO267" i="3"/>
  <c r="AO390" i="3"/>
  <c r="AP482" i="3"/>
  <c r="AP494" i="3"/>
  <c r="AO70" i="3"/>
  <c r="AO266" i="3"/>
  <c r="AP473" i="3"/>
  <c r="AP531" i="3"/>
  <c r="AO81" i="3"/>
  <c r="AP479" i="3"/>
  <c r="AP495" i="3"/>
  <c r="AP475" i="3"/>
  <c r="AO472" i="3"/>
  <c r="AP480" i="3"/>
  <c r="AO68" i="3"/>
  <c r="AP484" i="3"/>
  <c r="AP491" i="3"/>
  <c r="AP487" i="3"/>
  <c r="AP500" i="3"/>
  <c r="AO79" i="3"/>
  <c r="AO66" i="3"/>
  <c r="AO72" i="3"/>
  <c r="AO269" i="3"/>
  <c r="AO492" i="3"/>
  <c r="AO494" i="3"/>
  <c r="AO393" i="3"/>
  <c r="AO496" i="3"/>
  <c r="AO395" i="3"/>
  <c r="AO493" i="3"/>
  <c r="AO392" i="3"/>
  <c r="AO271" i="3"/>
  <c r="AO497" i="3"/>
  <c r="AO396" i="3"/>
  <c r="AO394" i="3"/>
  <c r="AO495" i="3"/>
  <c r="I400" i="3" l="1"/>
  <c r="H407" i="3"/>
  <c r="F409" i="3"/>
  <c r="F410" i="3" s="1"/>
  <c r="E410" i="3"/>
  <c r="E411" i="3" s="1"/>
  <c r="E412" i="3" s="1"/>
  <c r="G408" i="3"/>
  <c r="G409" i="3" s="1"/>
  <c r="AL336" i="3"/>
  <c r="AO277" i="3"/>
  <c r="AO307" i="3"/>
  <c r="AO276" i="3"/>
  <c r="AO306" i="3"/>
  <c r="AO275" i="3"/>
  <c r="AO305" i="3"/>
  <c r="AO244" i="3"/>
  <c r="AO245" i="3"/>
  <c r="AO15" i="3"/>
  <c r="AO243" i="3"/>
  <c r="AO488" i="3"/>
  <c r="AO483" i="3"/>
  <c r="AO485" i="3"/>
  <c r="AO481" i="3"/>
  <c r="AO482" i="3"/>
  <c r="AO487" i="3"/>
  <c r="AO490" i="3"/>
  <c r="AO480" i="3"/>
  <c r="AO500" i="3"/>
  <c r="AO477" i="3"/>
  <c r="AO530" i="3"/>
  <c r="AO475" i="3"/>
  <c r="AO499" i="3"/>
  <c r="AO479" i="3"/>
  <c r="AO484" i="3"/>
  <c r="AO489" i="3"/>
  <c r="AO501" i="3"/>
  <c r="AO531" i="3"/>
  <c r="AO478" i="3"/>
  <c r="AO473" i="3"/>
  <c r="AO529" i="3"/>
  <c r="AO486" i="3"/>
  <c r="AO476" i="3"/>
  <c r="AO474" i="3"/>
  <c r="G410" i="3" l="1"/>
  <c r="G411" i="3" s="1"/>
  <c r="E413" i="3"/>
  <c r="H408" i="3"/>
  <c r="H409" i="3" s="1"/>
  <c r="J400" i="3"/>
  <c r="I407" i="3"/>
  <c r="F411" i="3"/>
  <c r="F412" i="3" s="1"/>
  <c r="AM336" i="3"/>
  <c r="AN84" i="3"/>
  <c r="AN83" i="3"/>
  <c r="AN52" i="3"/>
  <c r="AN19" i="3"/>
  <c r="AN10" i="3"/>
  <c r="AN9" i="3"/>
  <c r="AN6" i="3"/>
  <c r="AN4" i="3"/>
  <c r="AM84" i="3"/>
  <c r="AM83" i="3"/>
  <c r="AM52" i="3"/>
  <c r="AM19" i="3"/>
  <c r="AM10" i="3"/>
  <c r="AM9" i="3"/>
  <c r="AM7" i="3"/>
  <c r="AM6" i="3"/>
  <c r="AM4" i="3"/>
  <c r="AL84" i="3"/>
  <c r="AL83" i="3"/>
  <c r="AL52" i="3"/>
  <c r="AL19" i="3"/>
  <c r="AL10" i="3"/>
  <c r="AL9" i="3"/>
  <c r="AL6" i="3"/>
  <c r="AL4" i="3"/>
  <c r="AM13" i="3"/>
  <c r="AL13" i="3"/>
  <c r="AN53" i="3"/>
  <c r="AN469" i="3" s="1"/>
  <c r="AN54" i="3"/>
  <c r="AN13" i="3"/>
  <c r="AM53" i="3"/>
  <c r="AN55" i="3"/>
  <c r="AL53" i="3"/>
  <c r="AM469" i="3"/>
  <c r="AM54" i="3"/>
  <c r="AL54" i="3"/>
  <c r="AL469" i="3"/>
  <c r="AM55" i="3"/>
  <c r="AL55" i="3"/>
  <c r="G412" i="3" l="1"/>
  <c r="I408" i="3"/>
  <c r="F413" i="3"/>
  <c r="F414" i="3" s="1"/>
  <c r="K400" i="3"/>
  <c r="J407" i="3"/>
  <c r="H410" i="3"/>
  <c r="E414" i="3"/>
  <c r="AL21" i="3"/>
  <c r="AL338" i="3" s="1"/>
  <c r="AN21" i="3"/>
  <c r="AM21" i="3"/>
  <c r="AM338" i="3" s="1"/>
  <c r="AN336" i="3"/>
  <c r="AL22" i="3"/>
  <c r="AL339" i="3" s="1"/>
  <c r="AL23" i="3"/>
  <c r="AN22" i="3"/>
  <c r="AN339" i="3" s="1"/>
  <c r="AN23" i="3"/>
  <c r="AM23" i="3"/>
  <c r="AM22" i="3"/>
  <c r="AM339" i="3" s="1"/>
  <c r="AK7" i="3"/>
  <c r="AK84" i="3"/>
  <c r="AK83" i="3"/>
  <c r="AK52" i="3"/>
  <c r="AK19" i="3"/>
  <c r="AK10" i="3"/>
  <c r="AK9" i="3"/>
  <c r="AK6" i="3"/>
  <c r="AK4" i="3"/>
  <c r="AL471" i="3"/>
  <c r="AL80" i="3"/>
  <c r="AL78" i="3"/>
  <c r="AN56" i="3"/>
  <c r="AL65" i="3"/>
  <c r="AN73" i="3"/>
  <c r="AL62" i="3"/>
  <c r="AN78" i="3"/>
  <c r="AM59" i="3"/>
  <c r="AN63" i="3"/>
  <c r="AM75" i="3"/>
  <c r="AM265" i="3"/>
  <c r="AM78" i="3"/>
  <c r="AM393" i="3" s="1"/>
  <c r="AM57" i="3"/>
  <c r="AM471" i="3"/>
  <c r="AL67" i="3"/>
  <c r="AM71" i="3"/>
  <c r="AN80" i="3"/>
  <c r="AM81" i="3"/>
  <c r="AN72" i="3"/>
  <c r="AM68" i="3"/>
  <c r="AL61" i="3"/>
  <c r="AN58" i="3"/>
  <c r="AN79" i="3"/>
  <c r="AN65" i="3"/>
  <c r="AM494" i="3"/>
  <c r="AL470" i="3"/>
  <c r="AL81" i="3"/>
  <c r="AM60" i="3"/>
  <c r="AL58" i="3"/>
  <c r="AM74" i="3"/>
  <c r="AN61" i="3"/>
  <c r="AM56" i="3"/>
  <c r="AM62" i="3"/>
  <c r="AN64" i="3"/>
  <c r="AL68" i="3"/>
  <c r="AN62" i="3"/>
  <c r="AM268" i="3"/>
  <c r="AN471" i="3"/>
  <c r="AM65" i="3"/>
  <c r="AN66" i="3"/>
  <c r="AM470" i="3"/>
  <c r="AM80" i="3"/>
  <c r="AM270" i="3" s="1"/>
  <c r="AN67" i="3"/>
  <c r="AL60" i="3"/>
  <c r="AN70" i="3"/>
  <c r="AL70" i="3"/>
  <c r="AL72" i="3"/>
  <c r="AM66" i="3"/>
  <c r="AN71" i="3"/>
  <c r="AL79" i="3"/>
  <c r="AL69" i="3"/>
  <c r="AN472" i="3"/>
  <c r="AN68" i="3"/>
  <c r="AL66" i="3"/>
  <c r="AL57" i="3"/>
  <c r="AL75" i="3"/>
  <c r="AM390" i="3"/>
  <c r="AN470" i="3"/>
  <c r="AN77" i="3"/>
  <c r="AL64" i="3"/>
  <c r="AM64" i="3"/>
  <c r="AM73" i="3"/>
  <c r="AM67" i="3"/>
  <c r="AL74" i="3"/>
  <c r="AN76" i="3"/>
  <c r="AM70" i="3"/>
  <c r="AL59" i="3"/>
  <c r="AN57" i="3"/>
  <c r="AM271" i="3"/>
  <c r="AM491" i="3"/>
  <c r="AN75" i="3"/>
  <c r="AL73" i="3"/>
  <c r="AN59" i="3"/>
  <c r="AM61" i="3"/>
  <c r="AN60" i="3"/>
  <c r="AM76" i="3"/>
  <c r="AL56" i="3"/>
  <c r="AL472" i="3" s="1"/>
  <c r="AM63" i="3"/>
  <c r="AL63" i="3"/>
  <c r="AK13" i="3"/>
  <c r="AM264" i="3"/>
  <c r="AM395" i="3"/>
  <c r="AM396" i="3"/>
  <c r="AM391" i="3"/>
  <c r="AM472" i="3"/>
  <c r="AN69" i="3"/>
  <c r="AM77" i="3"/>
  <c r="AL77" i="3"/>
  <c r="AM58" i="3"/>
  <c r="AL76" i="3"/>
  <c r="AN74" i="3"/>
  <c r="AL71" i="3"/>
  <c r="AN81" i="3"/>
  <c r="AM69" i="3"/>
  <c r="AK53" i="3"/>
  <c r="AM266" i="3"/>
  <c r="AM496" i="3"/>
  <c r="AM497" i="3"/>
  <c r="AM492" i="3"/>
  <c r="AM79" i="3"/>
  <c r="AM72" i="3"/>
  <c r="AM490" i="3"/>
  <c r="AM389" i="3"/>
  <c r="AM493" i="3"/>
  <c r="AM267" i="3"/>
  <c r="AM392" i="3"/>
  <c r="AK469" i="3"/>
  <c r="AK54" i="3"/>
  <c r="AM394" i="3"/>
  <c r="AM495" i="3"/>
  <c r="AM269" i="3"/>
  <c r="AK55" i="3"/>
  <c r="G413" i="3" l="1"/>
  <c r="G414" i="3" s="1"/>
  <c r="L400" i="3"/>
  <c r="K407" i="3"/>
  <c r="J408" i="3"/>
  <c r="H411" i="3"/>
  <c r="I409" i="3"/>
  <c r="F415" i="3"/>
  <c r="E415" i="3"/>
  <c r="E416" i="3" s="1"/>
  <c r="AK21" i="3"/>
  <c r="AK338" i="3" s="1"/>
  <c r="AN305" i="3"/>
  <c r="AN338" i="3"/>
  <c r="AO336" i="3"/>
  <c r="AM277" i="3"/>
  <c r="AM307" i="3"/>
  <c r="AN277" i="3"/>
  <c r="AN307" i="3"/>
  <c r="AN276" i="3"/>
  <c r="AN306" i="3"/>
  <c r="AL277" i="3"/>
  <c r="AL307" i="3"/>
  <c r="AM275" i="3"/>
  <c r="AM305" i="3"/>
  <c r="AL276" i="3"/>
  <c r="AL306" i="3"/>
  <c r="AM276" i="3"/>
  <c r="AM306" i="3"/>
  <c r="AL275" i="3"/>
  <c r="AL305" i="3"/>
  <c r="AN243" i="3"/>
  <c r="AN275" i="3"/>
  <c r="AN244" i="3"/>
  <c r="AL245" i="3"/>
  <c r="AL244" i="3"/>
  <c r="AN245" i="3"/>
  <c r="AM244" i="3"/>
  <c r="AM245" i="3"/>
  <c r="AL243" i="3"/>
  <c r="AN15" i="3"/>
  <c r="AM243" i="3"/>
  <c r="AM15" i="3"/>
  <c r="AL15" i="3"/>
  <c r="AK23" i="3"/>
  <c r="AK22" i="3"/>
  <c r="AK339" i="3" s="1"/>
  <c r="AK471" i="3"/>
  <c r="AM474" i="3"/>
  <c r="AL489" i="3"/>
  <c r="AM489" i="3"/>
  <c r="AL485" i="3"/>
  <c r="AN483" i="3"/>
  <c r="AL474" i="3"/>
  <c r="AN488" i="3"/>
  <c r="AL478" i="3"/>
  <c r="AN529" i="3"/>
  <c r="AN499" i="3"/>
  <c r="AL501" i="3"/>
  <c r="AK74" i="3"/>
  <c r="AK61" i="3"/>
  <c r="AK65" i="3"/>
  <c r="AL491" i="3"/>
  <c r="AL496" i="3"/>
  <c r="AL473" i="3"/>
  <c r="AK470" i="3"/>
  <c r="AL493" i="3"/>
  <c r="AN491" i="3"/>
  <c r="AM480" i="3"/>
  <c r="AL495" i="3"/>
  <c r="AN482" i="3"/>
  <c r="AM476" i="3"/>
  <c r="AN496" i="3"/>
  <c r="AN489" i="3"/>
  <c r="AL531" i="3"/>
  <c r="AN501" i="3"/>
  <c r="AL499" i="3"/>
  <c r="AK81" i="3"/>
  <c r="AK271" i="3" s="1"/>
  <c r="AK75" i="3"/>
  <c r="AK64" i="3"/>
  <c r="AK390" i="3"/>
  <c r="AN497" i="3"/>
  <c r="AK56" i="3"/>
  <c r="AK472" i="3"/>
  <c r="AN480" i="3"/>
  <c r="AN500" i="3"/>
  <c r="AK60" i="3"/>
  <c r="AM488" i="3"/>
  <c r="AN485" i="3"/>
  <c r="AN473" i="3"/>
  <c r="AL480" i="3"/>
  <c r="AN487" i="3"/>
  <c r="AM481" i="3"/>
  <c r="AL497" i="3"/>
  <c r="AM487" i="3"/>
  <c r="AL481" i="3"/>
  <c r="AL529" i="3"/>
  <c r="AL500" i="3"/>
  <c r="AK59" i="3"/>
  <c r="AK69" i="3"/>
  <c r="AK72" i="3"/>
  <c r="AK78" i="3"/>
  <c r="AK265" i="3"/>
  <c r="AK491" i="3"/>
  <c r="AM486" i="3"/>
  <c r="AK77" i="3"/>
  <c r="AK396" i="3"/>
  <c r="AM485" i="3"/>
  <c r="AL479" i="3"/>
  <c r="AL475" i="3"/>
  <c r="AN493" i="3"/>
  <c r="AM482" i="3"/>
  <c r="AN478" i="3"/>
  <c r="AN481" i="3"/>
  <c r="AL483" i="3"/>
  <c r="AL494" i="3"/>
  <c r="AM531" i="3"/>
  <c r="AN531" i="3"/>
  <c r="AK79" i="3"/>
  <c r="AK269" i="3" s="1"/>
  <c r="AK73" i="3"/>
  <c r="AK67" i="3"/>
  <c r="AK63" i="3"/>
  <c r="AK268" i="3"/>
  <c r="AK389" i="3"/>
  <c r="AK393" i="3"/>
  <c r="AM479" i="3"/>
  <c r="AM529" i="3"/>
  <c r="AK76" i="3"/>
  <c r="AK494" i="3"/>
  <c r="AL487" i="3"/>
  <c r="AN476" i="3"/>
  <c r="AN492" i="3"/>
  <c r="AN479" i="3"/>
  <c r="AM500" i="3"/>
  <c r="AK394" i="3"/>
  <c r="AN490" i="3"/>
  <c r="AM477" i="3"/>
  <c r="AL490" i="3"/>
  <c r="AL482" i="3"/>
  <c r="AN486" i="3"/>
  <c r="AM478" i="3"/>
  <c r="AL477" i="3"/>
  <c r="AM475" i="3"/>
  <c r="AM501" i="3"/>
  <c r="AN530" i="3"/>
  <c r="AK71" i="3"/>
  <c r="AK80" i="3"/>
  <c r="AK66" i="3"/>
  <c r="AK267" i="3"/>
  <c r="AK495" i="3"/>
  <c r="AK497" i="3"/>
  <c r="AL486" i="3"/>
  <c r="AL492" i="3"/>
  <c r="AN475" i="3"/>
  <c r="AM483" i="3"/>
  <c r="AN484" i="3"/>
  <c r="AL476" i="3"/>
  <c r="AN477" i="3"/>
  <c r="AM484" i="3"/>
  <c r="AN494" i="3"/>
  <c r="AM499" i="3"/>
  <c r="AM530" i="3"/>
  <c r="AK70" i="3"/>
  <c r="AK57" i="3"/>
  <c r="AK58" i="3"/>
  <c r="AK264" i="3"/>
  <c r="AK391" i="3"/>
  <c r="AK395" i="3"/>
  <c r="AL488" i="3"/>
  <c r="AL484" i="3"/>
  <c r="AN495" i="3"/>
  <c r="AM473" i="3"/>
  <c r="AL530" i="3"/>
  <c r="AK68" i="3"/>
  <c r="AK490" i="3"/>
  <c r="AN474" i="3"/>
  <c r="AK62" i="3"/>
  <c r="AK493" i="3"/>
  <c r="AK392" i="3"/>
  <c r="AK266" i="3"/>
  <c r="AK492" i="3"/>
  <c r="AK270" i="3"/>
  <c r="AK496" i="3"/>
  <c r="E417" i="3" l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G415" i="3"/>
  <c r="F416" i="3"/>
  <c r="F417" i="3" s="1"/>
  <c r="F418" i="3" s="1"/>
  <c r="F419" i="3" s="1"/>
  <c r="F420" i="3" s="1"/>
  <c r="F421" i="3" s="1"/>
  <c r="F422" i="3" s="1"/>
  <c r="F423" i="3" s="1"/>
  <c r="F424" i="3" s="1"/>
  <c r="F425" i="3" s="1"/>
  <c r="F426" i="3" s="1"/>
  <c r="F427" i="3" s="1"/>
  <c r="F428" i="3" s="1"/>
  <c r="F429" i="3" s="1"/>
  <c r="F430" i="3" s="1"/>
  <c r="F431" i="3" s="1"/>
  <c r="F432" i="3" s="1"/>
  <c r="K408" i="3"/>
  <c r="K409" i="3" s="1"/>
  <c r="H412" i="3"/>
  <c r="H413" i="3" s="1"/>
  <c r="J409" i="3"/>
  <c r="M400" i="3"/>
  <c r="L407" i="3"/>
  <c r="I410" i="3"/>
  <c r="I411" i="3" s="1"/>
  <c r="I412" i="3" s="1"/>
  <c r="AP336" i="3"/>
  <c r="AK277" i="3"/>
  <c r="AK307" i="3"/>
  <c r="AK275" i="3"/>
  <c r="AK305" i="3"/>
  <c r="AK276" i="3"/>
  <c r="AK306" i="3"/>
  <c r="AK244" i="3"/>
  <c r="AK245" i="3"/>
  <c r="AK243" i="3"/>
  <c r="AK15" i="3"/>
  <c r="AK478" i="3"/>
  <c r="AK483" i="3"/>
  <c r="AK477" i="3"/>
  <c r="AK500" i="3"/>
  <c r="AK530" i="3"/>
  <c r="AK479" i="3"/>
  <c r="AK484" i="3"/>
  <c r="AK489" i="3"/>
  <c r="AK474" i="3"/>
  <c r="AK488" i="3"/>
  <c r="AK529" i="3"/>
  <c r="AK482" i="3"/>
  <c r="AK531" i="3"/>
  <c r="AK473" i="3"/>
  <c r="AK485" i="3"/>
  <c r="AK486" i="3"/>
  <c r="AK475" i="3"/>
  <c r="AK476" i="3"/>
  <c r="AK501" i="3"/>
  <c r="AK487" i="3"/>
  <c r="AK480" i="3"/>
  <c r="AK481" i="3"/>
  <c r="AK499" i="3"/>
  <c r="K410" i="3" l="1"/>
  <c r="K411" i="3" s="1"/>
  <c r="G416" i="3"/>
  <c r="G417" i="3" s="1"/>
  <c r="J410" i="3"/>
  <c r="I413" i="3"/>
  <c r="L408" i="3"/>
  <c r="N400" i="3"/>
  <c r="M407" i="3"/>
  <c r="H414" i="3"/>
  <c r="AJ84" i="3"/>
  <c r="AJ83" i="3"/>
  <c r="AJ52" i="3"/>
  <c r="AJ19" i="3"/>
  <c r="AJ10" i="3"/>
  <c r="AJ9" i="3"/>
  <c r="AJ6" i="3"/>
  <c r="AJ4" i="3"/>
  <c r="AI84" i="3"/>
  <c r="AI83" i="3"/>
  <c r="AI52" i="3"/>
  <c r="AI19" i="3"/>
  <c r="AI10" i="3"/>
  <c r="AI9" i="3"/>
  <c r="AI7" i="3"/>
  <c r="AI6" i="3"/>
  <c r="AI4" i="3"/>
  <c r="AH84" i="3"/>
  <c r="AH83" i="3"/>
  <c r="AH52" i="3"/>
  <c r="AH19" i="3"/>
  <c r="AH10" i="3"/>
  <c r="AH9" i="3"/>
  <c r="AH7" i="3"/>
  <c r="AH6" i="3"/>
  <c r="AH4" i="3"/>
  <c r="AG84" i="3"/>
  <c r="AG83" i="3"/>
  <c r="AG52" i="3"/>
  <c r="AG19" i="3"/>
  <c r="AG10" i="3"/>
  <c r="AG9" i="3"/>
  <c r="AG7" i="3"/>
  <c r="AG6" i="3"/>
  <c r="AG4" i="3"/>
  <c r="AF84" i="3"/>
  <c r="AF83" i="3"/>
  <c r="AF52" i="3"/>
  <c r="AF19" i="3"/>
  <c r="AF10" i="3"/>
  <c r="AF9" i="3"/>
  <c r="AF7" i="3"/>
  <c r="AF6" i="3"/>
  <c r="AF4" i="3"/>
  <c r="AE84" i="3"/>
  <c r="AE83" i="3"/>
  <c r="AE52" i="3"/>
  <c r="AE19" i="3"/>
  <c r="AE10" i="3"/>
  <c r="AE9" i="3"/>
  <c r="AE7" i="3"/>
  <c r="AE6" i="3"/>
  <c r="AE4" i="3"/>
  <c r="AD84" i="3"/>
  <c r="AD83" i="3"/>
  <c r="AD52" i="3"/>
  <c r="AD19" i="3"/>
  <c r="AD10" i="3"/>
  <c r="AD9" i="3"/>
  <c r="AD7" i="3"/>
  <c r="AD6" i="3"/>
  <c r="AD4" i="3"/>
  <c r="AI13" i="3"/>
  <c r="AF53" i="3"/>
  <c r="AI53" i="3"/>
  <c r="AE13" i="3"/>
  <c r="AI54" i="3"/>
  <c r="AI55" i="3"/>
  <c r="AI469" i="3"/>
  <c r="AH53" i="3"/>
  <c r="AH54" i="3" s="1"/>
  <c r="AD53" i="3"/>
  <c r="AD469" i="3" s="1"/>
  <c r="AH469" i="3"/>
  <c r="AD13" i="3"/>
  <c r="AJ13" i="3"/>
  <c r="AD54" i="3"/>
  <c r="AF469" i="3"/>
  <c r="AJ53" i="3"/>
  <c r="AF13" i="3"/>
  <c r="AH55" i="3"/>
  <c r="AE53" i="3"/>
  <c r="AH13" i="3"/>
  <c r="AG13" i="3"/>
  <c r="AG53" i="3"/>
  <c r="AF54" i="3"/>
  <c r="AD55" i="3"/>
  <c r="AJ469" i="3"/>
  <c r="AJ54" i="3"/>
  <c r="AE469" i="3"/>
  <c r="AE54" i="3"/>
  <c r="AG469" i="3"/>
  <c r="AG54" i="3"/>
  <c r="AF55" i="3"/>
  <c r="AJ55" i="3"/>
  <c r="AE55" i="3"/>
  <c r="AG55" i="3"/>
  <c r="G418" i="3" l="1"/>
  <c r="G419" i="3" s="1"/>
  <c r="G420" i="3" s="1"/>
  <c r="G421" i="3" s="1"/>
  <c r="G422" i="3" s="1"/>
  <c r="H415" i="3"/>
  <c r="J411" i="3"/>
  <c r="M408" i="3"/>
  <c r="O400" i="3"/>
  <c r="N407" i="3"/>
  <c r="L409" i="3"/>
  <c r="I414" i="3"/>
  <c r="I415" i="3" s="1"/>
  <c r="I416" i="3" s="1"/>
  <c r="K412" i="3"/>
  <c r="AD21" i="3"/>
  <c r="AD338" i="3" s="1"/>
  <c r="AE21" i="3"/>
  <c r="AE338" i="3" s="1"/>
  <c r="AF21" i="3"/>
  <c r="AF338" i="3" s="1"/>
  <c r="AG21" i="3"/>
  <c r="AG338" i="3" s="1"/>
  <c r="AH21" i="3"/>
  <c r="AH338" i="3" s="1"/>
  <c r="AI21" i="3"/>
  <c r="AI338" i="3" s="1"/>
  <c r="AJ21" i="3"/>
  <c r="AJ338" i="3" s="1"/>
  <c r="AJ22" i="3"/>
  <c r="AJ339" i="3" s="1"/>
  <c r="AJ23" i="3"/>
  <c r="AI22" i="3"/>
  <c r="AI339" i="3" s="1"/>
  <c r="AI23" i="3"/>
  <c r="AH22" i="3"/>
  <c r="AH339" i="3" s="1"/>
  <c r="AH23" i="3"/>
  <c r="AG22" i="3"/>
  <c r="AG339" i="3" s="1"/>
  <c r="AG23" i="3"/>
  <c r="AF22" i="3"/>
  <c r="AF339" i="3" s="1"/>
  <c r="AF23" i="3"/>
  <c r="AE22" i="3"/>
  <c r="AE339" i="3" s="1"/>
  <c r="AE23" i="3"/>
  <c r="AD23" i="3"/>
  <c r="AD22" i="3"/>
  <c r="AD339" i="3" s="1"/>
  <c r="AC84" i="3"/>
  <c r="AC83" i="3"/>
  <c r="AC52" i="3"/>
  <c r="AC19" i="3"/>
  <c r="AC10" i="3"/>
  <c r="AC9" i="3"/>
  <c r="AC7" i="3"/>
  <c r="AC6" i="3"/>
  <c r="AC4" i="3"/>
  <c r="AG471" i="3"/>
  <c r="AF470" i="3"/>
  <c r="AJ78" i="3"/>
  <c r="AJ74" i="3"/>
  <c r="AJ75" i="3"/>
  <c r="AI63" i="3"/>
  <c r="AI56" i="3"/>
  <c r="AI81" i="3"/>
  <c r="AI64" i="3"/>
  <c r="AH66" i="3"/>
  <c r="AH76" i="3"/>
  <c r="AH81" i="3"/>
  <c r="AG71" i="3"/>
  <c r="AG81" i="3"/>
  <c r="AG74" i="3"/>
  <c r="AF57" i="3"/>
  <c r="AF67" i="3"/>
  <c r="AF56" i="3"/>
  <c r="AE63" i="3"/>
  <c r="AE64" i="3"/>
  <c r="AE78" i="3"/>
  <c r="AE62" i="3"/>
  <c r="AD57" i="3"/>
  <c r="AD61" i="3"/>
  <c r="AD66" i="3"/>
  <c r="AJ494" i="3"/>
  <c r="AJ490" i="3"/>
  <c r="AE494" i="3"/>
  <c r="AH65" i="3"/>
  <c r="AH60" i="3"/>
  <c r="AG72" i="3"/>
  <c r="AF70" i="3"/>
  <c r="AF76" i="3"/>
  <c r="AE60" i="3"/>
  <c r="AE73" i="3"/>
  <c r="AD71" i="3"/>
  <c r="AD60" i="3"/>
  <c r="AH266" i="3"/>
  <c r="AI472" i="3"/>
  <c r="AG396" i="3"/>
  <c r="AH470" i="3"/>
  <c r="AJ63" i="3"/>
  <c r="AJ81" i="3"/>
  <c r="AI69" i="3"/>
  <c r="AI62" i="3"/>
  <c r="AH67" i="3"/>
  <c r="AG78" i="3"/>
  <c r="AG268" i="3" s="1"/>
  <c r="AF60" i="3"/>
  <c r="AE69" i="3"/>
  <c r="AD73" i="3"/>
  <c r="AC13" i="3"/>
  <c r="AJ390" i="3"/>
  <c r="AG389" i="3"/>
  <c r="AJ60" i="3"/>
  <c r="AH69" i="3"/>
  <c r="AG79" i="3"/>
  <c r="AG495" i="3" s="1"/>
  <c r="AF68" i="3"/>
  <c r="AE61" i="3"/>
  <c r="AD56" i="3"/>
  <c r="AC53" i="3"/>
  <c r="AJ265" i="3"/>
  <c r="AG264" i="3"/>
  <c r="AJ491" i="3"/>
  <c r="AG490" i="3"/>
  <c r="AE470" i="3"/>
  <c r="AJ57" i="3"/>
  <c r="AJ67" i="3"/>
  <c r="AI72" i="3"/>
  <c r="AH64" i="3"/>
  <c r="AH59" i="3"/>
  <c r="AG58" i="3"/>
  <c r="AF74" i="3"/>
  <c r="AF389" i="3" s="1"/>
  <c r="AE72" i="3"/>
  <c r="AD78" i="3"/>
  <c r="AC54" i="3"/>
  <c r="AH271" i="3"/>
  <c r="AH391" i="3"/>
  <c r="AE471" i="3"/>
  <c r="AH471" i="3"/>
  <c r="AJ79" i="3"/>
  <c r="AJ56" i="3"/>
  <c r="AJ472" i="3" s="1"/>
  <c r="AJ65" i="3"/>
  <c r="AI77" i="3"/>
  <c r="AI493" i="3" s="1"/>
  <c r="AI60" i="3"/>
  <c r="AI78" i="3"/>
  <c r="AH63" i="3"/>
  <c r="AH75" i="3"/>
  <c r="AH491" i="3" s="1"/>
  <c r="AG70" i="3"/>
  <c r="AG73" i="3"/>
  <c r="AF58" i="3"/>
  <c r="AE77" i="3"/>
  <c r="AE493" i="3" s="1"/>
  <c r="AD77" i="3"/>
  <c r="AD493" i="3" s="1"/>
  <c r="AD64" i="3"/>
  <c r="AI271" i="3"/>
  <c r="AJ396" i="3"/>
  <c r="AF391" i="3"/>
  <c r="AD393" i="3"/>
  <c r="AJ497" i="3"/>
  <c r="AG497" i="3"/>
  <c r="AF492" i="3"/>
  <c r="AI67" i="3"/>
  <c r="AH70" i="3"/>
  <c r="AG57" i="3"/>
  <c r="AF80" i="3"/>
  <c r="AF496" i="3" s="1"/>
  <c r="AE79" i="3"/>
  <c r="AE495" i="3" s="1"/>
  <c r="AD63" i="3"/>
  <c r="AF266" i="3"/>
  <c r="AE394" i="3"/>
  <c r="AI471" i="3"/>
  <c r="AJ70" i="3"/>
  <c r="AI75" i="3"/>
  <c r="AH80" i="3"/>
  <c r="AG63" i="3"/>
  <c r="AG76" i="3"/>
  <c r="AF63" i="3"/>
  <c r="AE58" i="3"/>
  <c r="AD81" i="3"/>
  <c r="AD271" i="3" s="1"/>
  <c r="AD497" i="3"/>
  <c r="AI470" i="3"/>
  <c r="AJ71" i="3"/>
  <c r="AJ66" i="3"/>
  <c r="AI58" i="3"/>
  <c r="AI79" i="3"/>
  <c r="AH68" i="3"/>
  <c r="AG69" i="3"/>
  <c r="AF65" i="3"/>
  <c r="AF75" i="3"/>
  <c r="AF491" i="3" s="1"/>
  <c r="AE80" i="3"/>
  <c r="AD74" i="3"/>
  <c r="AG393" i="3"/>
  <c r="AE395" i="3"/>
  <c r="AJ470" i="3"/>
  <c r="AJ471" i="3"/>
  <c r="AD470" i="3"/>
  <c r="AJ80" i="3"/>
  <c r="AJ62" i="3"/>
  <c r="AJ73" i="3"/>
  <c r="AI57" i="3"/>
  <c r="AI66" i="3"/>
  <c r="AI73" i="3"/>
  <c r="AH77" i="3"/>
  <c r="AH493" i="3" s="1"/>
  <c r="AH58" i="3"/>
  <c r="AH72" i="3"/>
  <c r="AH71" i="3"/>
  <c r="AG59" i="3"/>
  <c r="AG80" i="3"/>
  <c r="AG66" i="3"/>
  <c r="AF69" i="3"/>
  <c r="AF78" i="3"/>
  <c r="AF79" i="3"/>
  <c r="AE57" i="3"/>
  <c r="AE66" i="3"/>
  <c r="AE74" i="3"/>
  <c r="AE389" i="3" s="1"/>
  <c r="AD67" i="3"/>
  <c r="AD70" i="3"/>
  <c r="AD62" i="3"/>
  <c r="AD75" i="3"/>
  <c r="AJ264" i="3"/>
  <c r="AH265" i="3"/>
  <c r="AF265" i="3"/>
  <c r="AE268" i="3"/>
  <c r="AF490" i="3"/>
  <c r="AE490" i="3"/>
  <c r="AD494" i="3"/>
  <c r="AF471" i="3"/>
  <c r="AJ76" i="3"/>
  <c r="AJ391" i="3" s="1"/>
  <c r="AH57" i="3"/>
  <c r="AG65" i="3"/>
  <c r="AG56" i="3"/>
  <c r="AG472" i="3" s="1"/>
  <c r="AF81" i="3"/>
  <c r="AE67" i="3"/>
  <c r="AD65" i="3"/>
  <c r="AJ271" i="3"/>
  <c r="AE264" i="3"/>
  <c r="AJ395" i="3"/>
  <c r="AI394" i="3"/>
  <c r="AG395" i="3"/>
  <c r="AF394" i="3"/>
  <c r="AD396" i="3"/>
  <c r="AG470" i="3"/>
  <c r="AJ77" i="3"/>
  <c r="AJ267" i="3" s="1"/>
  <c r="AI61" i="3"/>
  <c r="AI74" i="3"/>
  <c r="AH74" i="3"/>
  <c r="AG62" i="3"/>
  <c r="AF62" i="3"/>
  <c r="AE75" i="3"/>
  <c r="AD76" i="3"/>
  <c r="AE269" i="3"/>
  <c r="AF472" i="3"/>
  <c r="AI491" i="3"/>
  <c r="AF494" i="3"/>
  <c r="AE491" i="3"/>
  <c r="AG68" i="3"/>
  <c r="AF73" i="3"/>
  <c r="AE71" i="3"/>
  <c r="AD58" i="3"/>
  <c r="AJ266" i="3"/>
  <c r="AG266" i="3"/>
  <c r="AE270" i="3"/>
  <c r="AJ392" i="3"/>
  <c r="AI396" i="3"/>
  <c r="AH396" i="3"/>
  <c r="AG391" i="3"/>
  <c r="AD471" i="3"/>
  <c r="AJ64" i="3"/>
  <c r="AI68" i="3"/>
  <c r="AH61" i="3"/>
  <c r="AG77" i="3"/>
  <c r="AF77" i="3"/>
  <c r="AD69" i="3"/>
  <c r="AI267" i="3"/>
  <c r="AE267" i="3"/>
  <c r="AJ493" i="3"/>
  <c r="AH492" i="3"/>
  <c r="AF497" i="3"/>
  <c r="AH73" i="3"/>
  <c r="AG75" i="3"/>
  <c r="AH390" i="3"/>
  <c r="AE68" i="3"/>
  <c r="AJ492" i="3"/>
  <c r="AD491" i="3"/>
  <c r="AE81" i="3"/>
  <c r="AI393" i="3"/>
  <c r="AJ61" i="3"/>
  <c r="AD59" i="3"/>
  <c r="AJ389" i="3"/>
  <c r="AD391" i="3"/>
  <c r="AH267" i="3"/>
  <c r="AH497" i="3"/>
  <c r="AI70" i="3"/>
  <c r="AD68" i="3"/>
  <c r="AJ72" i="3"/>
  <c r="AI71" i="3"/>
  <c r="AH78" i="3"/>
  <c r="AJ68" i="3"/>
  <c r="AI59" i="3"/>
  <c r="AH62" i="3"/>
  <c r="AF59" i="3"/>
  <c r="AE76" i="3"/>
  <c r="AD72" i="3"/>
  <c r="AH270" i="3"/>
  <c r="AD268" i="3"/>
  <c r="AI392" i="3"/>
  <c r="AG394" i="3"/>
  <c r="AE392" i="3"/>
  <c r="AJ69" i="3"/>
  <c r="AI80" i="3"/>
  <c r="AG64" i="3"/>
  <c r="AF72" i="3"/>
  <c r="AE59" i="3"/>
  <c r="AD80" i="3"/>
  <c r="AG269" i="3"/>
  <c r="AC55" i="3"/>
  <c r="AI497" i="3"/>
  <c r="AG494" i="3"/>
  <c r="AE497" i="3"/>
  <c r="AJ59" i="3"/>
  <c r="AF66" i="3"/>
  <c r="AG271" i="3"/>
  <c r="AE393" i="3"/>
  <c r="AJ58" i="3"/>
  <c r="AH56" i="3"/>
  <c r="AH472" i="3" s="1"/>
  <c r="AG67" i="3"/>
  <c r="AF64" i="3"/>
  <c r="AE70" i="3"/>
  <c r="AJ268" i="3"/>
  <c r="AF270" i="3"/>
  <c r="AD472" i="3"/>
  <c r="AI496" i="3"/>
  <c r="AG492" i="3"/>
  <c r="AE496" i="3"/>
  <c r="AI65" i="3"/>
  <c r="AH79" i="3"/>
  <c r="AG60" i="3"/>
  <c r="AF61" i="3"/>
  <c r="AJ269" i="3"/>
  <c r="AF264" i="3"/>
  <c r="AJ393" i="3"/>
  <c r="AH392" i="3"/>
  <c r="AF395" i="3"/>
  <c r="AD392" i="3"/>
  <c r="AI76" i="3"/>
  <c r="AE65" i="3"/>
  <c r="AE266" i="3"/>
  <c r="AF390" i="3"/>
  <c r="AF71" i="3"/>
  <c r="AD267" i="3"/>
  <c r="AF493" i="3"/>
  <c r="AG61" i="3"/>
  <c r="AC469" i="3"/>
  <c r="AE56" i="3"/>
  <c r="AE472" i="3" s="1"/>
  <c r="AD79" i="3"/>
  <c r="AG392" i="3"/>
  <c r="AJ495" i="3"/>
  <c r="AJ394" i="3"/>
  <c r="AI268" i="3"/>
  <c r="AI494" i="3"/>
  <c r="AI390" i="3"/>
  <c r="AI265" i="3"/>
  <c r="AH496" i="3"/>
  <c r="AH395" i="3"/>
  <c r="AI495" i="3"/>
  <c r="AI269" i="3"/>
  <c r="AD264" i="3"/>
  <c r="AD490" i="3"/>
  <c r="AD389" i="3"/>
  <c r="AJ496" i="3"/>
  <c r="AJ270" i="3"/>
  <c r="AG496" i="3"/>
  <c r="AG270" i="3"/>
  <c r="AF393" i="3"/>
  <c r="AF268" i="3"/>
  <c r="AF495" i="3"/>
  <c r="AF269" i="3"/>
  <c r="AD390" i="3"/>
  <c r="AD265" i="3"/>
  <c r="AF396" i="3"/>
  <c r="AF271" i="3"/>
  <c r="AI264" i="3"/>
  <c r="AI490" i="3"/>
  <c r="AI389" i="3"/>
  <c r="AH490" i="3"/>
  <c r="AH389" i="3"/>
  <c r="AH264" i="3"/>
  <c r="AE390" i="3"/>
  <c r="AE265" i="3"/>
  <c r="AD266" i="3"/>
  <c r="AD492" i="3"/>
  <c r="AG267" i="3"/>
  <c r="AG493" i="3"/>
  <c r="AF267" i="3"/>
  <c r="AF392" i="3"/>
  <c r="AG265" i="3"/>
  <c r="AG491" i="3"/>
  <c r="AG390" i="3"/>
  <c r="AE396" i="3"/>
  <c r="AE271" i="3"/>
  <c r="AH494" i="3"/>
  <c r="AH268" i="3"/>
  <c r="AH393" i="3"/>
  <c r="AE492" i="3"/>
  <c r="AE391" i="3"/>
  <c r="AI395" i="3"/>
  <c r="AI270" i="3"/>
  <c r="AD496" i="3"/>
  <c r="AD270" i="3"/>
  <c r="AD395" i="3"/>
  <c r="AH495" i="3"/>
  <c r="AH394" i="3"/>
  <c r="AH269" i="3"/>
  <c r="AI266" i="3"/>
  <c r="AI492" i="3"/>
  <c r="AI391" i="3"/>
  <c r="AD495" i="3"/>
  <c r="AD394" i="3"/>
  <c r="AD269" i="3"/>
  <c r="G423" i="3" l="1"/>
  <c r="G424" i="3" s="1"/>
  <c r="G425" i="3" s="1"/>
  <c r="G426" i="3" s="1"/>
  <c r="G427" i="3" s="1"/>
  <c r="G428" i="3" s="1"/>
  <c r="G429" i="3" s="1"/>
  <c r="G430" i="3" s="1"/>
  <c r="G431" i="3" s="1"/>
  <c r="G432" i="3" s="1"/>
  <c r="N408" i="3"/>
  <c r="P400" i="3"/>
  <c r="O407" i="3"/>
  <c r="H416" i="3"/>
  <c r="L410" i="3"/>
  <c r="L411" i="3" s="1"/>
  <c r="M409" i="3"/>
  <c r="K413" i="3"/>
  <c r="I417" i="3"/>
  <c r="I418" i="3" s="1"/>
  <c r="I419" i="3" s="1"/>
  <c r="I420" i="3" s="1"/>
  <c r="I421" i="3" s="1"/>
  <c r="I422" i="3" s="1"/>
  <c r="I423" i="3" s="1"/>
  <c r="I424" i="3" s="1"/>
  <c r="I425" i="3" s="1"/>
  <c r="I426" i="3" s="1"/>
  <c r="I427" i="3" s="1"/>
  <c r="I428" i="3" s="1"/>
  <c r="I429" i="3" s="1"/>
  <c r="I430" i="3" s="1"/>
  <c r="I431" i="3" s="1"/>
  <c r="I432" i="3" s="1"/>
  <c r="J412" i="3"/>
  <c r="AC21" i="3"/>
  <c r="AC338" i="3" s="1"/>
  <c r="AF276" i="3"/>
  <c r="AF306" i="3"/>
  <c r="AJ276" i="3"/>
  <c r="AJ306" i="3"/>
  <c r="AG277" i="3"/>
  <c r="AG307" i="3"/>
  <c r="AJ275" i="3"/>
  <c r="AJ305" i="3"/>
  <c r="AG276" i="3"/>
  <c r="AG306" i="3"/>
  <c r="AI275" i="3"/>
  <c r="AI305" i="3"/>
  <c r="AD276" i="3"/>
  <c r="AD306" i="3"/>
  <c r="AH277" i="3"/>
  <c r="AH307" i="3"/>
  <c r="AH275" i="3"/>
  <c r="AH305" i="3"/>
  <c r="AD277" i="3"/>
  <c r="AD307" i="3"/>
  <c r="AH276" i="3"/>
  <c r="AH306" i="3"/>
  <c r="AG275" i="3"/>
  <c r="AG305" i="3"/>
  <c r="AE277" i="3"/>
  <c r="AE307" i="3"/>
  <c r="AI277" i="3"/>
  <c r="AI307" i="3"/>
  <c r="AF275" i="3"/>
  <c r="AF305" i="3"/>
  <c r="AE276" i="3"/>
  <c r="AE306" i="3"/>
  <c r="AI276" i="3"/>
  <c r="AI306" i="3"/>
  <c r="AE275" i="3"/>
  <c r="AE305" i="3"/>
  <c r="AF277" i="3"/>
  <c r="AF307" i="3"/>
  <c r="AJ277" i="3"/>
  <c r="AJ307" i="3"/>
  <c r="AD275" i="3"/>
  <c r="AD305" i="3"/>
  <c r="AJ244" i="3"/>
  <c r="AF244" i="3"/>
  <c r="AG245" i="3"/>
  <c r="AG244" i="3"/>
  <c r="AD244" i="3"/>
  <c r="AH245" i="3"/>
  <c r="AD245" i="3"/>
  <c r="AH244" i="3"/>
  <c r="AE245" i="3"/>
  <c r="AI245" i="3"/>
  <c r="AE244" i="3"/>
  <c r="AI244" i="3"/>
  <c r="AF245" i="3"/>
  <c r="AJ245" i="3"/>
  <c r="AI15" i="3"/>
  <c r="AJ243" i="3"/>
  <c r="AJ15" i="3"/>
  <c r="AH15" i="3"/>
  <c r="AI243" i="3"/>
  <c r="AH243" i="3"/>
  <c r="AG15" i="3"/>
  <c r="AG243" i="3"/>
  <c r="AF15" i="3"/>
  <c r="AE15" i="3"/>
  <c r="AF243" i="3"/>
  <c r="AE243" i="3"/>
  <c r="AD15" i="3"/>
  <c r="AD243" i="3"/>
  <c r="AC23" i="3"/>
  <c r="AC22" i="3"/>
  <c r="AC339" i="3" s="1"/>
  <c r="AB84" i="3"/>
  <c r="AB83" i="3"/>
  <c r="AB52" i="3"/>
  <c r="AB19" i="3"/>
  <c r="AB10" i="3"/>
  <c r="AB9" i="3"/>
  <c r="AB7" i="3"/>
  <c r="AB6" i="3"/>
  <c r="AB4" i="3"/>
  <c r="AG477" i="3"/>
  <c r="AG483" i="3"/>
  <c r="AJ485" i="3"/>
  <c r="AD484" i="3"/>
  <c r="AI484" i="3"/>
  <c r="AI477" i="3"/>
  <c r="AE482" i="3"/>
  <c r="AI489" i="3"/>
  <c r="AI474" i="3"/>
  <c r="AG473" i="3"/>
  <c r="AI476" i="3"/>
  <c r="AJ483" i="3"/>
  <c r="AF476" i="3"/>
  <c r="AE476" i="3"/>
  <c r="AE478" i="3"/>
  <c r="AI479" i="3"/>
  <c r="AJ531" i="3"/>
  <c r="AI499" i="3"/>
  <c r="AD499" i="3"/>
  <c r="AC56" i="3"/>
  <c r="AH499" i="3"/>
  <c r="AH501" i="3"/>
  <c r="AD501" i="3"/>
  <c r="AC72" i="3"/>
  <c r="AC71" i="3"/>
  <c r="AI531" i="3"/>
  <c r="AF487" i="3"/>
  <c r="AJ474" i="3"/>
  <c r="AD488" i="3"/>
  <c r="AI486" i="3"/>
  <c r="AJ480" i="3"/>
  <c r="AD481" i="3"/>
  <c r="AE473" i="3"/>
  <c r="AI482" i="3"/>
  <c r="AJ482" i="3"/>
  <c r="AH486" i="3"/>
  <c r="AJ481" i="3"/>
  <c r="AJ473" i="3"/>
  <c r="AH483" i="3"/>
  <c r="AF486" i="3"/>
  <c r="AE480" i="3"/>
  <c r="AB13" i="3"/>
  <c r="AG529" i="3"/>
  <c r="AE481" i="3"/>
  <c r="AF482" i="3"/>
  <c r="AF475" i="3"/>
  <c r="AD475" i="3"/>
  <c r="AD474" i="3"/>
  <c r="AE483" i="3"/>
  <c r="AF485" i="3"/>
  <c r="AI473" i="3"/>
  <c r="AJ487" i="3"/>
  <c r="AI483" i="3"/>
  <c r="AC470" i="3"/>
  <c r="AE477" i="3"/>
  <c r="AI478" i="3"/>
  <c r="AG488" i="3"/>
  <c r="AE479" i="3"/>
  <c r="AE501" i="3"/>
  <c r="AE499" i="3"/>
  <c r="AE500" i="3"/>
  <c r="AG530" i="3"/>
  <c r="AG501" i="3"/>
  <c r="AC65" i="3"/>
  <c r="AC60" i="3"/>
  <c r="AC69" i="3"/>
  <c r="AB53" i="3"/>
  <c r="AB469" i="3" s="1"/>
  <c r="AG476" i="3"/>
  <c r="AI475" i="3"/>
  <c r="AF489" i="3"/>
  <c r="AJ478" i="3"/>
  <c r="AF474" i="3"/>
  <c r="AG474" i="3"/>
  <c r="AJ479" i="3"/>
  <c r="AF473" i="3"/>
  <c r="AI529" i="3"/>
  <c r="AJ499" i="3"/>
  <c r="AF499" i="3"/>
  <c r="AG487" i="3"/>
  <c r="AE531" i="3"/>
  <c r="AC75" i="3"/>
  <c r="AF477" i="3"/>
  <c r="AJ475" i="3"/>
  <c r="AH478" i="3"/>
  <c r="AJ477" i="3"/>
  <c r="AE487" i="3"/>
  <c r="AG481" i="3"/>
  <c r="AG482" i="3"/>
  <c r="AJ489" i="3"/>
  <c r="AE474" i="3"/>
  <c r="AD480" i="3"/>
  <c r="AE488" i="3"/>
  <c r="AF484" i="3"/>
  <c r="AI485" i="3"/>
  <c r="AH476" i="3"/>
  <c r="AF483" i="3"/>
  <c r="AI500" i="3"/>
  <c r="AJ530" i="3"/>
  <c r="AJ501" i="3"/>
  <c r="AD529" i="3"/>
  <c r="AD500" i="3"/>
  <c r="AC76" i="3"/>
  <c r="AC77" i="3"/>
  <c r="AC68" i="3"/>
  <c r="AB54" i="3"/>
  <c r="AC390" i="3"/>
  <c r="AC471" i="3"/>
  <c r="AE484" i="3"/>
  <c r="AH473" i="3"/>
  <c r="AG475" i="3"/>
  <c r="AF479" i="3"/>
  <c r="AH485" i="3"/>
  <c r="AH481" i="3"/>
  <c r="AH529" i="3"/>
  <c r="AD531" i="3"/>
  <c r="AC57" i="3"/>
  <c r="AB55" i="3"/>
  <c r="AF531" i="3"/>
  <c r="AC80" i="3"/>
  <c r="AC496" i="3" s="1"/>
  <c r="AI481" i="3"/>
  <c r="AE475" i="3"/>
  <c r="AJ484" i="3"/>
  <c r="AH489" i="3"/>
  <c r="AG484" i="3"/>
  <c r="AD478" i="3"/>
  <c r="AH487" i="3"/>
  <c r="AF481" i="3"/>
  <c r="AG479" i="3"/>
  <c r="AG489" i="3"/>
  <c r="AH475" i="3"/>
  <c r="AJ476" i="3"/>
  <c r="AD476" i="3"/>
  <c r="AD482" i="3"/>
  <c r="AC63" i="3"/>
  <c r="AE486" i="3"/>
  <c r="AF488" i="3"/>
  <c r="AI487" i="3"/>
  <c r="AD485" i="3"/>
  <c r="AF478" i="3"/>
  <c r="AD486" i="3"/>
  <c r="AH488" i="3"/>
  <c r="AG485" i="3"/>
  <c r="AJ486" i="3"/>
  <c r="AG486" i="3"/>
  <c r="AH480" i="3"/>
  <c r="AD489" i="3"/>
  <c r="AD487" i="3"/>
  <c r="AD477" i="3"/>
  <c r="AH482" i="3"/>
  <c r="AH531" i="3"/>
  <c r="AI530" i="3"/>
  <c r="AE529" i="3"/>
  <c r="AG531" i="3"/>
  <c r="AF500" i="3"/>
  <c r="AG499" i="3"/>
  <c r="AC74" i="3"/>
  <c r="AC389" i="3" s="1"/>
  <c r="AC64" i="3"/>
  <c r="AC70" i="3"/>
  <c r="AC265" i="3"/>
  <c r="AC472" i="3"/>
  <c r="AC490" i="3"/>
  <c r="AF529" i="3"/>
  <c r="AC73" i="3"/>
  <c r="AC81" i="3"/>
  <c r="AF480" i="3"/>
  <c r="AG480" i="3"/>
  <c r="AJ488" i="3"/>
  <c r="AH477" i="3"/>
  <c r="AG478" i="3"/>
  <c r="AD483" i="3"/>
  <c r="AH474" i="3"/>
  <c r="AH484" i="3"/>
  <c r="AD479" i="3"/>
  <c r="AH479" i="3"/>
  <c r="AI488" i="3"/>
  <c r="AE485" i="3"/>
  <c r="AE489" i="3"/>
  <c r="AD473" i="3"/>
  <c r="AI480" i="3"/>
  <c r="AE530" i="3"/>
  <c r="AJ500" i="3"/>
  <c r="AH500" i="3"/>
  <c r="AD530" i="3"/>
  <c r="AG500" i="3"/>
  <c r="AC79" i="3"/>
  <c r="AC59" i="3"/>
  <c r="AC67" i="3"/>
  <c r="AC78" i="3"/>
  <c r="AC264" i="3"/>
  <c r="AC394" i="3"/>
  <c r="AC392" i="3"/>
  <c r="AH530" i="3"/>
  <c r="AC66" i="3"/>
  <c r="AC267" i="3"/>
  <c r="AC493" i="3"/>
  <c r="AI501" i="3"/>
  <c r="AF530" i="3"/>
  <c r="AC61" i="3"/>
  <c r="AC62" i="3"/>
  <c r="AC270" i="3"/>
  <c r="AC395" i="3"/>
  <c r="AC58" i="3"/>
  <c r="AC491" i="3"/>
  <c r="AJ529" i="3"/>
  <c r="AF501" i="3"/>
  <c r="AC266" i="3"/>
  <c r="AC396" i="3"/>
  <c r="AC492" i="3"/>
  <c r="AC391" i="3"/>
  <c r="AC497" i="3"/>
  <c r="AC271" i="3"/>
  <c r="AC269" i="3"/>
  <c r="AC495" i="3"/>
  <c r="AC494" i="3"/>
  <c r="AC393" i="3"/>
  <c r="AC268" i="3"/>
  <c r="H417" i="3" l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M410" i="3"/>
  <c r="M411" i="3" s="1"/>
  <c r="K414" i="3"/>
  <c r="K415" i="3" s="1"/>
  <c r="L412" i="3"/>
  <c r="L413" i="3" s="1"/>
  <c r="J413" i="3"/>
  <c r="J414" i="3" s="1"/>
  <c r="J415" i="3" s="1"/>
  <c r="J416" i="3" s="1"/>
  <c r="J417" i="3" s="1"/>
  <c r="J418" i="3" s="1"/>
  <c r="J419" i="3" s="1"/>
  <c r="J420" i="3" s="1"/>
  <c r="J421" i="3" s="1"/>
  <c r="J422" i="3" s="1"/>
  <c r="J423" i="3" s="1"/>
  <c r="J424" i="3" s="1"/>
  <c r="J425" i="3" s="1"/>
  <c r="J426" i="3" s="1"/>
  <c r="J427" i="3" s="1"/>
  <c r="J428" i="3" s="1"/>
  <c r="J429" i="3" s="1"/>
  <c r="J430" i="3" s="1"/>
  <c r="J431" i="3" s="1"/>
  <c r="J432" i="3" s="1"/>
  <c r="O408" i="3"/>
  <c r="N409" i="3"/>
  <c r="Q400" i="3"/>
  <c r="P407" i="3"/>
  <c r="AB21" i="3"/>
  <c r="AB338" i="3" s="1"/>
  <c r="AC277" i="3"/>
  <c r="AC307" i="3"/>
  <c r="AC276" i="3"/>
  <c r="AC306" i="3"/>
  <c r="AC275" i="3"/>
  <c r="AC305" i="3"/>
  <c r="AC244" i="3"/>
  <c r="AC245" i="3"/>
  <c r="AB23" i="3"/>
  <c r="AB22" i="3"/>
  <c r="AB339" i="3" s="1"/>
  <c r="AC15" i="3"/>
  <c r="AC243" i="3"/>
  <c r="AA84" i="3"/>
  <c r="AA83" i="3"/>
  <c r="AA52" i="3"/>
  <c r="AA19" i="3"/>
  <c r="AA10" i="3"/>
  <c r="AA9" i="3"/>
  <c r="AA7" i="3"/>
  <c r="AA6" i="3"/>
  <c r="AA4" i="3"/>
  <c r="AC474" i="3"/>
  <c r="AC480" i="3"/>
  <c r="AC481" i="3"/>
  <c r="AB65" i="3"/>
  <c r="AB72" i="3"/>
  <c r="AB75" i="3"/>
  <c r="AB69" i="3"/>
  <c r="AB390" i="3"/>
  <c r="AC483" i="3"/>
  <c r="AC531" i="3"/>
  <c r="AB74" i="3"/>
  <c r="AB80" i="3"/>
  <c r="AB58" i="3"/>
  <c r="AC499" i="3"/>
  <c r="AC478" i="3"/>
  <c r="AC479" i="3"/>
  <c r="AC487" i="3"/>
  <c r="AB79" i="3"/>
  <c r="AB394" i="3" s="1"/>
  <c r="AB62" i="3"/>
  <c r="AB81" i="3"/>
  <c r="AB73" i="3"/>
  <c r="AB265" i="3"/>
  <c r="AB495" i="3"/>
  <c r="AB491" i="3"/>
  <c r="AC473" i="3"/>
  <c r="AC530" i="3"/>
  <c r="AB57" i="3"/>
  <c r="AB64" i="3"/>
  <c r="AA53" i="3"/>
  <c r="AA469" i="3" s="1"/>
  <c r="AB496" i="3"/>
  <c r="AB470" i="3"/>
  <c r="AB63" i="3"/>
  <c r="AA54" i="3"/>
  <c r="AB389" i="3"/>
  <c r="AB76" i="3"/>
  <c r="AB266" i="3" s="1"/>
  <c r="AB490" i="3"/>
  <c r="AB77" i="3"/>
  <c r="AC477" i="3"/>
  <c r="AB471" i="3"/>
  <c r="AC488" i="3"/>
  <c r="AC529" i="3"/>
  <c r="AB60" i="3"/>
  <c r="AB59" i="3"/>
  <c r="AB61" i="3"/>
  <c r="AA13" i="3"/>
  <c r="AB271" i="3"/>
  <c r="AB395" i="3"/>
  <c r="AB396" i="3"/>
  <c r="AC482" i="3"/>
  <c r="AB66" i="3"/>
  <c r="AB264" i="3"/>
  <c r="AB497" i="3"/>
  <c r="AB56" i="3"/>
  <c r="AB68" i="3"/>
  <c r="AB71" i="3"/>
  <c r="AB472" i="3"/>
  <c r="AC475" i="3"/>
  <c r="AC484" i="3"/>
  <c r="AC501" i="3"/>
  <c r="AB269" i="3"/>
  <c r="AB270" i="3"/>
  <c r="AB391" i="3"/>
  <c r="AB70" i="3"/>
  <c r="AC489" i="3"/>
  <c r="AC485" i="3"/>
  <c r="AC500" i="3"/>
  <c r="AB78" i="3"/>
  <c r="AB67" i="3"/>
  <c r="AB492" i="3"/>
  <c r="AC486" i="3"/>
  <c r="AC476" i="3"/>
  <c r="AA55" i="3"/>
  <c r="AB392" i="3"/>
  <c r="AB493" i="3"/>
  <c r="AB267" i="3"/>
  <c r="AB494" i="3"/>
  <c r="AB393" i="3"/>
  <c r="AB268" i="3"/>
  <c r="L414" i="3" l="1"/>
  <c r="L415" i="3" s="1"/>
  <c r="L416" i="3" s="1"/>
  <c r="K416" i="3"/>
  <c r="K417" i="3" s="1"/>
  <c r="K418" i="3" s="1"/>
  <c r="K419" i="3" s="1"/>
  <c r="K420" i="3" s="1"/>
  <c r="K421" i="3" s="1"/>
  <c r="K422" i="3" s="1"/>
  <c r="K423" i="3" s="1"/>
  <c r="K424" i="3" s="1"/>
  <c r="K425" i="3" s="1"/>
  <c r="K426" i="3" s="1"/>
  <c r="K427" i="3" s="1"/>
  <c r="K428" i="3" s="1"/>
  <c r="K429" i="3" s="1"/>
  <c r="K430" i="3" s="1"/>
  <c r="K431" i="3" s="1"/>
  <c r="K432" i="3" s="1"/>
  <c r="P408" i="3"/>
  <c r="P409" i="3" s="1"/>
  <c r="R400" i="3"/>
  <c r="Q407" i="3"/>
  <c r="O409" i="3"/>
  <c r="O410" i="3" s="1"/>
  <c r="M412" i="3"/>
  <c r="N410" i="3"/>
  <c r="N411" i="3" s="1"/>
  <c r="AA21" i="3"/>
  <c r="AA338" i="3" s="1"/>
  <c r="AB276" i="3"/>
  <c r="AB306" i="3"/>
  <c r="AB277" i="3"/>
  <c r="AB307" i="3"/>
  <c r="AB275" i="3"/>
  <c r="AB305" i="3"/>
  <c r="AB15" i="3"/>
  <c r="AB245" i="3"/>
  <c r="AB244" i="3"/>
  <c r="AA23" i="3"/>
  <c r="AA22" i="3"/>
  <c r="AA339" i="3" s="1"/>
  <c r="AB243" i="3"/>
  <c r="Z84" i="3"/>
  <c r="Z83" i="3"/>
  <c r="Z52" i="3"/>
  <c r="Z19" i="3"/>
  <c r="Z10" i="3"/>
  <c r="Z9" i="3"/>
  <c r="Z7" i="3"/>
  <c r="Z6" i="3"/>
  <c r="Z4" i="3"/>
  <c r="AA471" i="3"/>
  <c r="AB476" i="3"/>
  <c r="AB485" i="3"/>
  <c r="AA79" i="3"/>
  <c r="AA72" i="3"/>
  <c r="AA68" i="3"/>
  <c r="AA69" i="3"/>
  <c r="AA495" i="3"/>
  <c r="AB500" i="3"/>
  <c r="AA57" i="3"/>
  <c r="AA58" i="3"/>
  <c r="Z13" i="3"/>
  <c r="AA62" i="3"/>
  <c r="AA61" i="3"/>
  <c r="AA77" i="3"/>
  <c r="AB489" i="3"/>
  <c r="AB499" i="3"/>
  <c r="AA76" i="3"/>
  <c r="AA492" i="3" s="1"/>
  <c r="AA70" i="3"/>
  <c r="AB478" i="3"/>
  <c r="AA71" i="3"/>
  <c r="AA74" i="3"/>
  <c r="AA490" i="3"/>
  <c r="AA81" i="3"/>
  <c r="AA396" i="3" s="1"/>
  <c r="AB483" i="3"/>
  <c r="AA470" i="3"/>
  <c r="AB488" i="3"/>
  <c r="AA60" i="3"/>
  <c r="AB501" i="3"/>
  <c r="AA264" i="3"/>
  <c r="AB531" i="3"/>
  <c r="AA73" i="3"/>
  <c r="AB482" i="3"/>
  <c r="AA389" i="3"/>
  <c r="AB529" i="3"/>
  <c r="AA59" i="3"/>
  <c r="AB475" i="3"/>
  <c r="AA56" i="3"/>
  <c r="AA472" i="3" s="1"/>
  <c r="AA394" i="3"/>
  <c r="AB486" i="3"/>
  <c r="AB479" i="3"/>
  <c r="AB481" i="3"/>
  <c r="AB530" i="3"/>
  <c r="AA78" i="3"/>
  <c r="AA63" i="3"/>
  <c r="AA75" i="3"/>
  <c r="AA390" i="3" s="1"/>
  <c r="Z53" i="3"/>
  <c r="Z54" i="3" s="1"/>
  <c r="AA265" i="3"/>
  <c r="AA494" i="3"/>
  <c r="AA493" i="3"/>
  <c r="AB487" i="3"/>
  <c r="AB480" i="3"/>
  <c r="AA80" i="3"/>
  <c r="AA391" i="3"/>
  <c r="AA66" i="3"/>
  <c r="AA269" i="3"/>
  <c r="AA491" i="3"/>
  <c r="AA64" i="3"/>
  <c r="Z469" i="3"/>
  <c r="AB477" i="3"/>
  <c r="AA266" i="3"/>
  <c r="AA497" i="3"/>
  <c r="AB474" i="3"/>
  <c r="AA65" i="3"/>
  <c r="AA271" i="3"/>
  <c r="AA395" i="3"/>
  <c r="AB484" i="3"/>
  <c r="AB473" i="3"/>
  <c r="AA67" i="3"/>
  <c r="AA392" i="3"/>
  <c r="AA267" i="3"/>
  <c r="AA268" i="3"/>
  <c r="AA393" i="3"/>
  <c r="Z55" i="3"/>
  <c r="AA496" i="3"/>
  <c r="AA270" i="3"/>
  <c r="P410" i="3" l="1"/>
  <c r="P411" i="3" s="1"/>
  <c r="Q408" i="3"/>
  <c r="N412" i="3"/>
  <c r="N413" i="3" s="1"/>
  <c r="S400" i="3"/>
  <c r="R407" i="3"/>
  <c r="M413" i="3"/>
  <c r="L417" i="3"/>
  <c r="L418" i="3" s="1"/>
  <c r="L419" i="3" s="1"/>
  <c r="L420" i="3" s="1"/>
  <c r="L421" i="3" s="1"/>
  <c r="L422" i="3" s="1"/>
  <c r="L423" i="3" s="1"/>
  <c r="L424" i="3" s="1"/>
  <c r="L425" i="3" s="1"/>
  <c r="L426" i="3" s="1"/>
  <c r="L427" i="3" s="1"/>
  <c r="L428" i="3" s="1"/>
  <c r="L429" i="3" s="1"/>
  <c r="L430" i="3" s="1"/>
  <c r="L431" i="3" s="1"/>
  <c r="L432" i="3" s="1"/>
  <c r="O411" i="3"/>
  <c r="O412" i="3" s="1"/>
  <c r="Z21" i="3"/>
  <c r="Z338" i="3" s="1"/>
  <c r="AA277" i="3"/>
  <c r="AA307" i="3"/>
  <c r="AA276" i="3"/>
  <c r="AA306" i="3"/>
  <c r="AA275" i="3"/>
  <c r="AA305" i="3"/>
  <c r="AA244" i="3"/>
  <c r="AA245" i="3"/>
  <c r="AA15" i="3"/>
  <c r="Z23" i="3"/>
  <c r="Z22" i="3"/>
  <c r="Z339" i="3" s="1"/>
  <c r="AA243" i="3"/>
  <c r="Y84" i="3"/>
  <c r="Y83" i="3"/>
  <c r="Y52" i="3"/>
  <c r="Y19" i="3"/>
  <c r="Y10" i="3"/>
  <c r="Y9" i="3"/>
  <c r="Y7" i="3"/>
  <c r="Y6" i="3"/>
  <c r="Y4" i="3"/>
  <c r="Z471" i="3"/>
  <c r="AA489" i="3"/>
  <c r="AA485" i="3"/>
  <c r="Z63" i="3"/>
  <c r="Z77" i="3"/>
  <c r="Z80" i="3"/>
  <c r="Z71" i="3"/>
  <c r="AA476" i="3"/>
  <c r="AA484" i="3"/>
  <c r="Z60" i="3"/>
  <c r="AA483" i="3"/>
  <c r="AA501" i="3"/>
  <c r="Z57" i="3"/>
  <c r="Z64" i="3"/>
  <c r="Z70" i="3"/>
  <c r="Y13" i="3"/>
  <c r="AA478" i="3"/>
  <c r="AA530" i="3"/>
  <c r="Z81" i="3"/>
  <c r="Z392" i="3"/>
  <c r="AA474" i="3"/>
  <c r="Z79" i="3"/>
  <c r="Z495" i="3"/>
  <c r="AA481" i="3"/>
  <c r="AA487" i="3"/>
  <c r="AA488" i="3"/>
  <c r="AA531" i="3"/>
  <c r="Z75" i="3"/>
  <c r="Z491" i="3" s="1"/>
  <c r="Z61" i="3"/>
  <c r="Z66" i="3"/>
  <c r="Y53" i="3"/>
  <c r="Z270" i="3"/>
  <c r="Z497" i="3"/>
  <c r="Z58" i="3"/>
  <c r="Z470" i="3"/>
  <c r="Z62" i="3"/>
  <c r="Z68" i="3"/>
  <c r="Y469" i="3"/>
  <c r="Z394" i="3"/>
  <c r="AA529" i="3"/>
  <c r="Z73" i="3"/>
  <c r="Z493" i="3"/>
  <c r="AA473" i="3"/>
  <c r="Z65" i="3"/>
  <c r="Z67" i="3"/>
  <c r="Z390" i="3"/>
  <c r="AA480" i="3"/>
  <c r="AA486" i="3"/>
  <c r="AA499" i="3"/>
  <c r="Z78" i="3"/>
  <c r="Z56" i="3"/>
  <c r="Z69" i="3"/>
  <c r="Y54" i="3"/>
  <c r="Z269" i="3"/>
  <c r="Z395" i="3"/>
  <c r="AA482" i="3"/>
  <c r="AA477" i="3"/>
  <c r="AA500" i="3"/>
  <c r="Z59" i="3"/>
  <c r="Z76" i="3"/>
  <c r="Z265" i="3"/>
  <c r="Z496" i="3"/>
  <c r="Z268" i="3"/>
  <c r="AA479" i="3"/>
  <c r="Z74" i="3"/>
  <c r="Z472" i="3"/>
  <c r="AA475" i="3"/>
  <c r="Z72" i="3"/>
  <c r="Z267" i="3"/>
  <c r="Z396" i="3"/>
  <c r="Z271" i="3"/>
  <c r="Z494" i="3"/>
  <c r="Z393" i="3"/>
  <c r="Y55" i="3"/>
  <c r="Z391" i="3"/>
  <c r="Z492" i="3"/>
  <c r="Z266" i="3"/>
  <c r="Z389" i="3"/>
  <c r="Z264" i="3"/>
  <c r="Z490" i="3"/>
  <c r="N414" i="3" l="1"/>
  <c r="N415" i="3" s="1"/>
  <c r="N416" i="3" s="1"/>
  <c r="T400" i="3"/>
  <c r="S407" i="3"/>
  <c r="R408" i="3"/>
  <c r="Q409" i="3"/>
  <c r="Q410" i="3" s="1"/>
  <c r="O413" i="3"/>
  <c r="O414" i="3" s="1"/>
  <c r="O415" i="3" s="1"/>
  <c r="O416" i="3" s="1"/>
  <c r="M414" i="3"/>
  <c r="M415" i="3" s="1"/>
  <c r="M416" i="3" s="1"/>
  <c r="M417" i="3" s="1"/>
  <c r="M418" i="3" s="1"/>
  <c r="M419" i="3" s="1"/>
  <c r="M420" i="3" s="1"/>
  <c r="M421" i="3" s="1"/>
  <c r="M422" i="3" s="1"/>
  <c r="M423" i="3" s="1"/>
  <c r="M424" i="3" s="1"/>
  <c r="M425" i="3" s="1"/>
  <c r="M426" i="3" s="1"/>
  <c r="M427" i="3" s="1"/>
  <c r="M428" i="3" s="1"/>
  <c r="M429" i="3" s="1"/>
  <c r="M430" i="3" s="1"/>
  <c r="M431" i="3" s="1"/>
  <c r="M432" i="3" s="1"/>
  <c r="P412" i="3"/>
  <c r="Y21" i="3"/>
  <c r="Y338" i="3" s="1"/>
  <c r="Z277" i="3"/>
  <c r="Z307" i="3"/>
  <c r="Z276" i="3"/>
  <c r="Z306" i="3"/>
  <c r="Z275" i="3"/>
  <c r="Z305" i="3"/>
  <c r="Z244" i="3"/>
  <c r="Z245" i="3"/>
  <c r="Z15" i="3"/>
  <c r="Y23" i="3"/>
  <c r="Y22" i="3"/>
  <c r="Y339" i="3" s="1"/>
  <c r="Z243" i="3"/>
  <c r="X84" i="3"/>
  <c r="X83" i="3"/>
  <c r="X52" i="3"/>
  <c r="X19" i="3"/>
  <c r="X10" i="3"/>
  <c r="X9" i="3"/>
  <c r="X7" i="3"/>
  <c r="X6" i="3"/>
  <c r="X4" i="3"/>
  <c r="Y471" i="3"/>
  <c r="Z484" i="3"/>
  <c r="Z476" i="3"/>
  <c r="Y79" i="3"/>
  <c r="Y63" i="3"/>
  <c r="Y74" i="3"/>
  <c r="Y69" i="3"/>
  <c r="Z531" i="3"/>
  <c r="Y72" i="3"/>
  <c r="Y394" i="3"/>
  <c r="Z529" i="3"/>
  <c r="Y77" i="3"/>
  <c r="Z483" i="3"/>
  <c r="Z500" i="3"/>
  <c r="Y62" i="3"/>
  <c r="Z488" i="3"/>
  <c r="Z478" i="3"/>
  <c r="Z487" i="3"/>
  <c r="Z475" i="3"/>
  <c r="Z474" i="3"/>
  <c r="Z479" i="3"/>
  <c r="Z499" i="3"/>
  <c r="Y68" i="3"/>
  <c r="Y66" i="3"/>
  <c r="Y58" i="3"/>
  <c r="X53" i="3"/>
  <c r="Y267" i="3"/>
  <c r="Y495" i="3"/>
  <c r="Y490" i="3"/>
  <c r="Y57" i="3"/>
  <c r="Y470" i="3"/>
  <c r="Z482" i="3"/>
  <c r="Z485" i="3"/>
  <c r="Z477" i="3"/>
  <c r="Z501" i="3"/>
  <c r="Y71" i="3"/>
  <c r="Y78" i="3"/>
  <c r="Y393" i="3" s="1"/>
  <c r="Z481" i="3"/>
  <c r="Z480" i="3"/>
  <c r="Z530" i="3"/>
  <c r="Y67" i="3"/>
  <c r="Y80" i="3"/>
  <c r="Y64" i="3"/>
  <c r="Y494" i="3"/>
  <c r="Y60" i="3"/>
  <c r="X13" i="3"/>
  <c r="Y389" i="3"/>
  <c r="Y73" i="3"/>
  <c r="Y76" i="3"/>
  <c r="Z486" i="3"/>
  <c r="Y61" i="3"/>
  <c r="X469" i="3"/>
  <c r="Z489" i="3"/>
  <c r="Z473" i="3"/>
  <c r="Y81" i="3"/>
  <c r="Y271" i="3" s="1"/>
  <c r="Y65" i="3"/>
  <c r="Y70" i="3"/>
  <c r="Y56" i="3"/>
  <c r="Y472" i="3" s="1"/>
  <c r="Y268" i="3"/>
  <c r="Y396" i="3"/>
  <c r="Y395" i="3"/>
  <c r="Y497" i="3"/>
  <c r="Y59" i="3"/>
  <c r="Y264" i="3"/>
  <c r="X54" i="3"/>
  <c r="Y392" i="3"/>
  <c r="X55" i="3"/>
  <c r="Y493" i="3"/>
  <c r="Y75" i="3"/>
  <c r="Y269" i="3"/>
  <c r="Y496" i="3"/>
  <c r="Y270" i="3"/>
  <c r="Y266" i="3"/>
  <c r="Y492" i="3"/>
  <c r="Y391" i="3"/>
  <c r="Y265" i="3"/>
  <c r="Y491" i="3"/>
  <c r="Y390" i="3"/>
  <c r="O417" i="3" l="1"/>
  <c r="S408" i="3"/>
  <c r="S409" i="3" s="1"/>
  <c r="U400" i="3"/>
  <c r="T407" i="3"/>
  <c r="R409" i="3"/>
  <c r="N417" i="3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P413" i="3"/>
  <c r="Q411" i="3"/>
  <c r="X21" i="3"/>
  <c r="X338" i="3" s="1"/>
  <c r="Y276" i="3"/>
  <c r="Y306" i="3"/>
  <c r="Y277" i="3"/>
  <c r="Y307" i="3"/>
  <c r="Y275" i="3"/>
  <c r="Y305" i="3"/>
  <c r="Y244" i="3"/>
  <c r="Y245" i="3"/>
  <c r="X22" i="3"/>
  <c r="X339" i="3" s="1"/>
  <c r="X23" i="3"/>
  <c r="Y15" i="3"/>
  <c r="Y243" i="3"/>
  <c r="X471" i="3"/>
  <c r="Y480" i="3"/>
  <c r="Y488" i="3"/>
  <c r="X470" i="3"/>
  <c r="Y483" i="3"/>
  <c r="Y485" i="3"/>
  <c r="Y530" i="3"/>
  <c r="X57" i="3"/>
  <c r="X58" i="3"/>
  <c r="X71" i="3"/>
  <c r="X62" i="3"/>
  <c r="X65" i="3"/>
  <c r="X60" i="3"/>
  <c r="Y475" i="3"/>
  <c r="Y487" i="3"/>
  <c r="Y479" i="3"/>
  <c r="Y501" i="3"/>
  <c r="X63" i="3"/>
  <c r="X72" i="3"/>
  <c r="X69" i="3"/>
  <c r="X70" i="3"/>
  <c r="X61" i="3"/>
  <c r="Y486" i="3"/>
  <c r="Y473" i="3"/>
  <c r="Y531" i="3"/>
  <c r="X80" i="3"/>
  <c r="X270" i="3" s="1"/>
  <c r="X67" i="3"/>
  <c r="X496" i="3"/>
  <c r="Y481" i="3"/>
  <c r="Y474" i="3"/>
  <c r="Y499" i="3"/>
  <c r="X78" i="3"/>
  <c r="X73" i="3"/>
  <c r="X68" i="3"/>
  <c r="X76" i="3"/>
  <c r="X75" i="3"/>
  <c r="Y477" i="3"/>
  <c r="Y482" i="3"/>
  <c r="Y529" i="3"/>
  <c r="X74" i="3"/>
  <c r="X59" i="3"/>
  <c r="X81" i="3"/>
  <c r="X497" i="3" s="1"/>
  <c r="X266" i="3"/>
  <c r="X395" i="3"/>
  <c r="X390" i="3"/>
  <c r="Y489" i="3"/>
  <c r="Y484" i="3"/>
  <c r="Y476" i="3"/>
  <c r="Y478" i="3"/>
  <c r="X79" i="3"/>
  <c r="X66" i="3"/>
  <c r="X64" i="3"/>
  <c r="X56" i="3"/>
  <c r="X271" i="3"/>
  <c r="X393" i="3"/>
  <c r="X396" i="3"/>
  <c r="Y500" i="3"/>
  <c r="X77" i="3"/>
  <c r="X269" i="3"/>
  <c r="X472" i="3"/>
  <c r="X494" i="3"/>
  <c r="X268" i="3"/>
  <c r="X492" i="3"/>
  <c r="X391" i="3"/>
  <c r="X265" i="3"/>
  <c r="X491" i="3"/>
  <c r="X264" i="3"/>
  <c r="X490" i="3"/>
  <c r="X389" i="3"/>
  <c r="X495" i="3"/>
  <c r="X394" i="3"/>
  <c r="X493" i="3"/>
  <c r="X392" i="3"/>
  <c r="X267" i="3"/>
  <c r="T408" i="3" l="1"/>
  <c r="T409" i="3" s="1"/>
  <c r="V400" i="3"/>
  <c r="U407" i="3"/>
  <c r="Q412" i="3"/>
  <c r="Q413" i="3" s="1"/>
  <c r="Q414" i="3" s="1"/>
  <c r="P414" i="3"/>
  <c r="P415" i="3" s="1"/>
  <c r="P416" i="3" s="1"/>
  <c r="R410" i="3"/>
  <c r="R411" i="3" s="1"/>
  <c r="O418" i="3"/>
  <c r="O419" i="3" s="1"/>
  <c r="O420" i="3" s="1"/>
  <c r="O421" i="3" s="1"/>
  <c r="O422" i="3" s="1"/>
  <c r="O423" i="3" s="1"/>
  <c r="O424" i="3" s="1"/>
  <c r="O425" i="3" s="1"/>
  <c r="O426" i="3" s="1"/>
  <c r="S410" i="3"/>
  <c r="X277" i="3"/>
  <c r="X307" i="3"/>
  <c r="X276" i="3"/>
  <c r="X306" i="3"/>
  <c r="X275" i="3"/>
  <c r="X305" i="3"/>
  <c r="X245" i="3"/>
  <c r="X244" i="3"/>
  <c r="X15" i="3"/>
  <c r="X243" i="3"/>
  <c r="X480" i="3"/>
  <c r="X485" i="3"/>
  <c r="X473" i="3"/>
  <c r="X529" i="3"/>
  <c r="X479" i="3"/>
  <c r="X531" i="3"/>
  <c r="X483" i="3"/>
  <c r="X500" i="3"/>
  <c r="X477" i="3"/>
  <c r="X499" i="3"/>
  <c r="X482" i="3"/>
  <c r="X488" i="3"/>
  <c r="X475" i="3"/>
  <c r="X478" i="3"/>
  <c r="X484" i="3"/>
  <c r="X476" i="3"/>
  <c r="X501" i="3"/>
  <c r="X489" i="3"/>
  <c r="X481" i="3"/>
  <c r="X487" i="3"/>
  <c r="X530" i="3"/>
  <c r="X486" i="3"/>
  <c r="X474" i="3"/>
  <c r="Q415" i="3" l="1"/>
  <c r="Q416" i="3" s="1"/>
  <c r="Q417" i="3" s="1"/>
  <c r="O427" i="3"/>
  <c r="O428" i="3" s="1"/>
  <c r="O429" i="3" s="1"/>
  <c r="O430" i="3" s="1"/>
  <c r="O431" i="3" s="1"/>
  <c r="O432" i="3" s="1"/>
  <c r="R412" i="3"/>
  <c r="T410" i="3"/>
  <c r="T411" i="3" s="1"/>
  <c r="T412" i="3" s="1"/>
  <c r="U408" i="3"/>
  <c r="U409" i="3" s="1"/>
  <c r="W400" i="3"/>
  <c r="V407" i="3"/>
  <c r="S411" i="3"/>
  <c r="P417" i="3"/>
  <c r="P418" i="3" s="1"/>
  <c r="P419" i="3" s="1"/>
  <c r="P420" i="3" s="1"/>
  <c r="W84" i="3"/>
  <c r="W83" i="3"/>
  <c r="W52" i="3"/>
  <c r="W19" i="3"/>
  <c r="W10" i="3"/>
  <c r="W9" i="3"/>
  <c r="W7" i="3"/>
  <c r="W6" i="3"/>
  <c r="W4" i="3"/>
  <c r="V84" i="3"/>
  <c r="V83" i="3"/>
  <c r="V52" i="3"/>
  <c r="V19" i="3"/>
  <c r="V10" i="3"/>
  <c r="V9" i="3"/>
  <c r="V7" i="3"/>
  <c r="V6" i="3"/>
  <c r="V4" i="3"/>
  <c r="V53" i="3"/>
  <c r="V54" i="3"/>
  <c r="W13" i="3"/>
  <c r="V469" i="3"/>
  <c r="W53" i="3"/>
  <c r="V13" i="3"/>
  <c r="V55" i="3"/>
  <c r="W469" i="3"/>
  <c r="W54" i="3"/>
  <c r="W55" i="3"/>
  <c r="T413" i="3" l="1"/>
  <c r="T414" i="3" s="1"/>
  <c r="T415" i="3" s="1"/>
  <c r="V408" i="3"/>
  <c r="V409" i="3" s="1"/>
  <c r="P421" i="3"/>
  <c r="P422" i="3" s="1"/>
  <c r="P423" i="3" s="1"/>
  <c r="P424" i="3" s="1"/>
  <c r="P425" i="3" s="1"/>
  <c r="P426" i="3" s="1"/>
  <c r="P427" i="3" s="1"/>
  <c r="P428" i="3" s="1"/>
  <c r="P429" i="3" s="1"/>
  <c r="P430" i="3" s="1"/>
  <c r="P431" i="3" s="1"/>
  <c r="P432" i="3" s="1"/>
  <c r="X400" i="3"/>
  <c r="W407" i="3"/>
  <c r="S412" i="3"/>
  <c r="S413" i="3" s="1"/>
  <c r="Q418" i="3"/>
  <c r="Q419" i="3" s="1"/>
  <c r="R413" i="3"/>
  <c r="R414" i="3" s="1"/>
  <c r="U410" i="3"/>
  <c r="U411" i="3" s="1"/>
  <c r="V21" i="3"/>
  <c r="V338" i="3" s="1"/>
  <c r="W21" i="3"/>
  <c r="W338" i="3" s="1"/>
  <c r="W23" i="3"/>
  <c r="V23" i="3"/>
  <c r="W22" i="3"/>
  <c r="W339" i="3" s="1"/>
  <c r="V22" i="3"/>
  <c r="V339" i="3" s="1"/>
  <c r="W471" i="3"/>
  <c r="W75" i="3"/>
  <c r="W74" i="3"/>
  <c r="W58" i="3"/>
  <c r="W57" i="3"/>
  <c r="V60" i="3"/>
  <c r="V56" i="3"/>
  <c r="V472" i="3"/>
  <c r="W72" i="3"/>
  <c r="V74" i="3"/>
  <c r="V69" i="3"/>
  <c r="W490" i="3"/>
  <c r="V76" i="3"/>
  <c r="V266" i="3" s="1"/>
  <c r="V65" i="3"/>
  <c r="V80" i="3"/>
  <c r="V395" i="3" s="1"/>
  <c r="W65" i="3"/>
  <c r="V490" i="3"/>
  <c r="V496" i="3"/>
  <c r="W73" i="3"/>
  <c r="V59" i="3"/>
  <c r="V68" i="3"/>
  <c r="W59" i="3"/>
  <c r="W470" i="3"/>
  <c r="W62" i="3"/>
  <c r="W68" i="3"/>
  <c r="W77" i="3"/>
  <c r="V73" i="3"/>
  <c r="V64" i="3"/>
  <c r="V77" i="3"/>
  <c r="V267" i="3" s="1"/>
  <c r="W265" i="3"/>
  <c r="V270" i="3"/>
  <c r="V471" i="3"/>
  <c r="V61" i="3"/>
  <c r="W61" i="3"/>
  <c r="W60" i="3"/>
  <c r="V62" i="3"/>
  <c r="W81" i="3"/>
  <c r="W396" i="3" s="1"/>
  <c r="W497" i="3"/>
  <c r="W78" i="3"/>
  <c r="V57" i="3"/>
  <c r="W264" i="3"/>
  <c r="V492" i="3"/>
  <c r="V493" i="3"/>
  <c r="W56" i="3"/>
  <c r="V63" i="3"/>
  <c r="W64" i="3"/>
  <c r="V389" i="3"/>
  <c r="V470" i="3"/>
  <c r="V81" i="3"/>
  <c r="V66" i="3"/>
  <c r="V70" i="3"/>
  <c r="W70" i="3"/>
  <c r="W71" i="3"/>
  <c r="W69" i="3"/>
  <c r="W67" i="3"/>
  <c r="W271" i="3"/>
  <c r="V391" i="3"/>
  <c r="W389" i="3"/>
  <c r="V392" i="3"/>
  <c r="V71" i="3"/>
  <c r="V79" i="3"/>
  <c r="W76" i="3"/>
  <c r="W266" i="3" s="1"/>
  <c r="V67" i="3"/>
  <c r="W63" i="3"/>
  <c r="W79" i="3"/>
  <c r="V58" i="3"/>
  <c r="V264" i="3"/>
  <c r="W390" i="3"/>
  <c r="W391" i="3"/>
  <c r="V72" i="3"/>
  <c r="W66" i="3"/>
  <c r="V78" i="3"/>
  <c r="W491" i="3"/>
  <c r="W492" i="3"/>
  <c r="V75" i="3"/>
  <c r="W80" i="3"/>
  <c r="V271" i="3"/>
  <c r="W472" i="3"/>
  <c r="W392" i="3"/>
  <c r="V393" i="3"/>
  <c r="W267" i="3"/>
  <c r="W493" i="3"/>
  <c r="W268" i="3"/>
  <c r="W393" i="3"/>
  <c r="W494" i="3"/>
  <c r="V396" i="3"/>
  <c r="V497" i="3"/>
  <c r="V394" i="3"/>
  <c r="V269" i="3"/>
  <c r="V495" i="3"/>
  <c r="W495" i="3"/>
  <c r="W394" i="3"/>
  <c r="W269" i="3"/>
  <c r="V268" i="3"/>
  <c r="V494" i="3"/>
  <c r="V265" i="3"/>
  <c r="V491" i="3"/>
  <c r="V390" i="3"/>
  <c r="W270" i="3"/>
  <c r="W395" i="3"/>
  <c r="W496" i="3"/>
  <c r="V410" i="3" l="1"/>
  <c r="V411" i="3" s="1"/>
  <c r="T416" i="3"/>
  <c r="T417" i="3" s="1"/>
  <c r="Y400" i="3"/>
  <c r="X407" i="3"/>
  <c r="Q420" i="3"/>
  <c r="Q421" i="3" s="1"/>
  <c r="Q422" i="3" s="1"/>
  <c r="Q423" i="3" s="1"/>
  <c r="Q424" i="3" s="1"/>
  <c r="Q425" i="3" s="1"/>
  <c r="Q426" i="3" s="1"/>
  <c r="Q427" i="3" s="1"/>
  <c r="Q428" i="3" s="1"/>
  <c r="Q429" i="3" s="1"/>
  <c r="Q430" i="3" s="1"/>
  <c r="Q431" i="3" s="1"/>
  <c r="Q432" i="3" s="1"/>
  <c r="U412" i="3"/>
  <c r="W408" i="3"/>
  <c r="S414" i="3"/>
  <c r="S415" i="3" s="1"/>
  <c r="R415" i="3"/>
  <c r="V276" i="3"/>
  <c r="V306" i="3"/>
  <c r="W276" i="3"/>
  <c r="W306" i="3"/>
  <c r="V277" i="3"/>
  <c r="V307" i="3"/>
  <c r="W277" i="3"/>
  <c r="W307" i="3"/>
  <c r="W275" i="3"/>
  <c r="W305" i="3"/>
  <c r="V275" i="3"/>
  <c r="V305" i="3"/>
  <c r="V244" i="3"/>
  <c r="W244" i="3"/>
  <c r="V245" i="3"/>
  <c r="W245" i="3"/>
  <c r="V15" i="3"/>
  <c r="W243" i="3"/>
  <c r="W15" i="3"/>
  <c r="V243" i="3"/>
  <c r="W482" i="3"/>
  <c r="W487" i="3"/>
  <c r="W476" i="3"/>
  <c r="V484" i="3"/>
  <c r="W473" i="3"/>
  <c r="W499" i="3"/>
  <c r="V531" i="3"/>
  <c r="V489" i="3"/>
  <c r="V487" i="3"/>
  <c r="V529" i="3"/>
  <c r="V478" i="3"/>
  <c r="V488" i="3"/>
  <c r="W486" i="3"/>
  <c r="W477" i="3"/>
  <c r="V475" i="3"/>
  <c r="W474" i="3"/>
  <c r="V530" i="3"/>
  <c r="W501" i="3"/>
  <c r="W480" i="3"/>
  <c r="V485" i="3"/>
  <c r="W483" i="3"/>
  <c r="W478" i="3"/>
  <c r="W485" i="3"/>
  <c r="V476" i="3"/>
  <c r="V500" i="3"/>
  <c r="V474" i="3"/>
  <c r="V486" i="3"/>
  <c r="V477" i="3"/>
  <c r="W489" i="3"/>
  <c r="W529" i="3"/>
  <c r="W531" i="3"/>
  <c r="V481" i="3"/>
  <c r="V479" i="3"/>
  <c r="W488" i="3"/>
  <c r="W475" i="3"/>
  <c r="V501" i="3"/>
  <c r="W479" i="3"/>
  <c r="V482" i="3"/>
  <c r="V480" i="3"/>
  <c r="W481" i="3"/>
  <c r="W500" i="3"/>
  <c r="V483" i="3"/>
  <c r="V499" i="3"/>
  <c r="W484" i="3"/>
  <c r="W530" i="3"/>
  <c r="V473" i="3"/>
  <c r="S416" i="3" l="1"/>
  <c r="S417" i="3" s="1"/>
  <c r="S418" i="3" s="1"/>
  <c r="S419" i="3" s="1"/>
  <c r="S420" i="3" s="1"/>
  <c r="S421" i="3" s="1"/>
  <c r="S422" i="3" s="1"/>
  <c r="S423" i="3" s="1"/>
  <c r="S424" i="3" s="1"/>
  <c r="S425" i="3" s="1"/>
  <c r="S426" i="3" s="1"/>
  <c r="S427" i="3" s="1"/>
  <c r="S428" i="3" s="1"/>
  <c r="S429" i="3" s="1"/>
  <c r="S430" i="3" s="1"/>
  <c r="S431" i="3" s="1"/>
  <c r="S432" i="3" s="1"/>
  <c r="R416" i="3"/>
  <c r="X408" i="3"/>
  <c r="Z400" i="3"/>
  <c r="Y407" i="3"/>
  <c r="V412" i="3"/>
  <c r="W409" i="3"/>
  <c r="U413" i="3"/>
  <c r="T418" i="3"/>
  <c r="U84" i="3"/>
  <c r="U83" i="3"/>
  <c r="U52" i="3"/>
  <c r="U19" i="3"/>
  <c r="U10" i="3"/>
  <c r="U9" i="3"/>
  <c r="U7" i="3"/>
  <c r="U6" i="3"/>
  <c r="U4" i="3"/>
  <c r="U53" i="3"/>
  <c r="U54" i="3"/>
  <c r="U13" i="3"/>
  <c r="U55" i="3"/>
  <c r="U469" i="3"/>
  <c r="V413" i="3" l="1"/>
  <c r="V414" i="3" s="1"/>
  <c r="Y408" i="3"/>
  <c r="Y409" i="3" s="1"/>
  <c r="R417" i="3"/>
  <c r="R418" i="3" s="1"/>
  <c r="R419" i="3" s="1"/>
  <c r="R420" i="3" s="1"/>
  <c r="R421" i="3" s="1"/>
  <c r="R422" i="3" s="1"/>
  <c r="R423" i="3" s="1"/>
  <c r="R424" i="3" s="1"/>
  <c r="R425" i="3" s="1"/>
  <c r="R426" i="3" s="1"/>
  <c r="R427" i="3" s="1"/>
  <c r="R428" i="3" s="1"/>
  <c r="X409" i="3"/>
  <c r="X410" i="3" s="1"/>
  <c r="T419" i="3"/>
  <c r="T420" i="3" s="1"/>
  <c r="T421" i="3" s="1"/>
  <c r="T422" i="3" s="1"/>
  <c r="T423" i="3" s="1"/>
  <c r="T424" i="3" s="1"/>
  <c r="T425" i="3" s="1"/>
  <c r="T426" i="3" s="1"/>
  <c r="T427" i="3" s="1"/>
  <c r="T428" i="3" s="1"/>
  <c r="T429" i="3" s="1"/>
  <c r="T430" i="3" s="1"/>
  <c r="T431" i="3" s="1"/>
  <c r="T432" i="3" s="1"/>
  <c r="W410" i="3"/>
  <c r="AA400" i="3"/>
  <c r="Z407" i="3"/>
  <c r="U414" i="3"/>
  <c r="U21" i="3"/>
  <c r="U338" i="3" s="1"/>
  <c r="U23" i="3"/>
  <c r="U22" i="3"/>
  <c r="U339" i="3" s="1"/>
  <c r="U471" i="3"/>
  <c r="U68" i="3"/>
  <c r="U62" i="3"/>
  <c r="U70" i="3"/>
  <c r="U470" i="3"/>
  <c r="U64" i="3"/>
  <c r="U69" i="3"/>
  <c r="U56" i="3"/>
  <c r="U472" i="3" s="1"/>
  <c r="U81" i="3"/>
  <c r="U396" i="3" s="1"/>
  <c r="U497" i="3"/>
  <c r="U76" i="3"/>
  <c r="U60" i="3"/>
  <c r="U271" i="3"/>
  <c r="U63" i="3"/>
  <c r="U78" i="3"/>
  <c r="U71" i="3"/>
  <c r="U66" i="3"/>
  <c r="U75" i="3"/>
  <c r="U491" i="3" s="1"/>
  <c r="U390" i="3"/>
  <c r="U67" i="3"/>
  <c r="U61" i="3"/>
  <c r="U77" i="3"/>
  <c r="U59" i="3"/>
  <c r="U65" i="3"/>
  <c r="U80" i="3"/>
  <c r="U79" i="3"/>
  <c r="U394" i="3" s="1"/>
  <c r="U269" i="3"/>
  <c r="U495" i="3"/>
  <c r="U73" i="3"/>
  <c r="U265" i="3"/>
  <c r="U393" i="3"/>
  <c r="U58" i="3"/>
  <c r="U74" i="3"/>
  <c r="U72" i="3"/>
  <c r="U267" i="3"/>
  <c r="U492" i="3"/>
  <c r="U57" i="3"/>
  <c r="U389" i="3"/>
  <c r="U266" i="3"/>
  <c r="U391" i="3"/>
  <c r="U268" i="3"/>
  <c r="U494" i="3"/>
  <c r="U392" i="3"/>
  <c r="U493" i="3"/>
  <c r="U496" i="3"/>
  <c r="U395" i="3"/>
  <c r="U270" i="3"/>
  <c r="U490" i="3"/>
  <c r="U264" i="3"/>
  <c r="R429" i="3" l="1"/>
  <c r="R430" i="3" s="1"/>
  <c r="R431" i="3" s="1"/>
  <c r="R432" i="3" s="1"/>
  <c r="V415" i="3"/>
  <c r="V416" i="3" s="1"/>
  <c r="AB400" i="3"/>
  <c r="AA407" i="3"/>
  <c r="Z408" i="3"/>
  <c r="Y410" i="3"/>
  <c r="Y411" i="3" s="1"/>
  <c r="W411" i="3"/>
  <c r="U415" i="3"/>
  <c r="X411" i="3"/>
  <c r="X412" i="3" s="1"/>
  <c r="U276" i="3"/>
  <c r="U306" i="3"/>
  <c r="U277" i="3"/>
  <c r="U307" i="3"/>
  <c r="U275" i="3"/>
  <c r="U305" i="3"/>
  <c r="U244" i="3"/>
  <c r="U245" i="3"/>
  <c r="U15" i="3"/>
  <c r="U243" i="3"/>
  <c r="U473" i="3"/>
  <c r="U482" i="3"/>
  <c r="U484" i="3"/>
  <c r="U499" i="3"/>
  <c r="U501" i="3"/>
  <c r="U488" i="3"/>
  <c r="U487" i="3"/>
  <c r="U529" i="3"/>
  <c r="U531" i="3"/>
  <c r="U474" i="3"/>
  <c r="U479" i="3"/>
  <c r="U530" i="3"/>
  <c r="U486" i="3"/>
  <c r="U483" i="3"/>
  <c r="U478" i="3"/>
  <c r="U489" i="3"/>
  <c r="U476" i="3"/>
  <c r="U481" i="3"/>
  <c r="U485" i="3"/>
  <c r="U500" i="3"/>
  <c r="U475" i="3"/>
  <c r="U480" i="3"/>
  <c r="U477" i="3"/>
  <c r="V417" i="3" l="1"/>
  <c r="Y412" i="3"/>
  <c r="U416" i="3"/>
  <c r="W412" i="3"/>
  <c r="Z409" i="3"/>
  <c r="Z410" i="3" s="1"/>
  <c r="X413" i="3"/>
  <c r="AA408" i="3"/>
  <c r="AA409" i="3" s="1"/>
  <c r="AC400" i="3"/>
  <c r="AB407" i="3"/>
  <c r="T84" i="3"/>
  <c r="T83" i="3"/>
  <c r="T52" i="3"/>
  <c r="T19" i="3"/>
  <c r="T10" i="3"/>
  <c r="T9" i="3"/>
  <c r="T7" i="3"/>
  <c r="T6" i="3"/>
  <c r="T4" i="3"/>
  <c r="S84" i="3"/>
  <c r="S83" i="3"/>
  <c r="S52" i="3"/>
  <c r="S19" i="3"/>
  <c r="S10" i="3"/>
  <c r="S9" i="3"/>
  <c r="S7" i="3"/>
  <c r="S6" i="3"/>
  <c r="S4" i="3"/>
  <c r="S13" i="3"/>
  <c r="S53" i="3"/>
  <c r="T13" i="3"/>
  <c r="T53" i="3"/>
  <c r="S469" i="3"/>
  <c r="S54" i="3"/>
  <c r="T469" i="3"/>
  <c r="T54" i="3"/>
  <c r="S470" i="3"/>
  <c r="S55" i="3"/>
  <c r="T470" i="3"/>
  <c r="T55" i="3"/>
  <c r="T471" i="3" s="1"/>
  <c r="AA410" i="3" l="1"/>
  <c r="AA411" i="3" s="1"/>
  <c r="AA412" i="3" s="1"/>
  <c r="V418" i="3"/>
  <c r="Y413" i="3"/>
  <c r="Y414" i="3" s="1"/>
  <c r="Y415" i="3" s="1"/>
  <c r="U417" i="3"/>
  <c r="U418" i="3" s="1"/>
  <c r="U419" i="3" s="1"/>
  <c r="U420" i="3" s="1"/>
  <c r="U421" i="3" s="1"/>
  <c r="U422" i="3" s="1"/>
  <c r="U423" i="3" s="1"/>
  <c r="U424" i="3" s="1"/>
  <c r="U425" i="3" s="1"/>
  <c r="U426" i="3" s="1"/>
  <c r="U427" i="3" s="1"/>
  <c r="U428" i="3" s="1"/>
  <c r="U429" i="3" s="1"/>
  <c r="U430" i="3" s="1"/>
  <c r="U431" i="3" s="1"/>
  <c r="U432" i="3" s="1"/>
  <c r="X414" i="3"/>
  <c r="X415" i="3" s="1"/>
  <c r="X416" i="3" s="1"/>
  <c r="X417" i="3" s="1"/>
  <c r="X418" i="3" s="1"/>
  <c r="X419" i="3" s="1"/>
  <c r="AB408" i="3"/>
  <c r="W413" i="3"/>
  <c r="AD400" i="3"/>
  <c r="AC407" i="3"/>
  <c r="Z411" i="3"/>
  <c r="T23" i="3"/>
  <c r="T307" i="3" s="1"/>
  <c r="S22" i="3"/>
  <c r="S339" i="3" s="1"/>
  <c r="T22" i="3"/>
  <c r="S21" i="3"/>
  <c r="S338" i="3" s="1"/>
  <c r="T21" i="3"/>
  <c r="T338" i="3" s="1"/>
  <c r="S23" i="3"/>
  <c r="S471" i="3"/>
  <c r="T79" i="3"/>
  <c r="T73" i="3"/>
  <c r="T70" i="3"/>
  <c r="S78" i="3"/>
  <c r="S72" i="3"/>
  <c r="S69" i="3"/>
  <c r="T269" i="3"/>
  <c r="S268" i="3"/>
  <c r="S73" i="3"/>
  <c r="T62" i="3"/>
  <c r="T67" i="3"/>
  <c r="T531" i="3"/>
  <c r="S57" i="3"/>
  <c r="S71" i="3"/>
  <c r="T71" i="3"/>
  <c r="S61" i="3"/>
  <c r="S77" i="3"/>
  <c r="S267" i="3" s="1"/>
  <c r="S66" i="3"/>
  <c r="S60" i="3"/>
  <c r="T72" i="3"/>
  <c r="T80" i="3"/>
  <c r="T63" i="3"/>
  <c r="S493" i="3"/>
  <c r="T68" i="3"/>
  <c r="T78" i="3"/>
  <c r="T394" i="3"/>
  <c r="S393" i="3"/>
  <c r="T74" i="3"/>
  <c r="T490" i="3" s="1"/>
  <c r="S74" i="3"/>
  <c r="S67" i="3"/>
  <c r="T270" i="3"/>
  <c r="T57" i="3"/>
  <c r="T81" i="3"/>
  <c r="T69" i="3"/>
  <c r="T56" i="3"/>
  <c r="S264" i="3"/>
  <c r="T497" i="3"/>
  <c r="S81" i="3"/>
  <c r="S68" i="3"/>
  <c r="T77" i="3"/>
  <c r="T75" i="3"/>
  <c r="T390" i="3" s="1"/>
  <c r="S79" i="3"/>
  <c r="T58" i="3"/>
  <c r="S76" i="3"/>
  <c r="T267" i="3"/>
  <c r="T389" i="3"/>
  <c r="S389" i="3"/>
  <c r="S392" i="3"/>
  <c r="S490" i="3"/>
  <c r="S63" i="3"/>
  <c r="S56" i="3"/>
  <c r="S80" i="3"/>
  <c r="S59" i="3"/>
  <c r="S62" i="3"/>
  <c r="T268" i="3"/>
  <c r="T393" i="3"/>
  <c r="S58" i="3"/>
  <c r="T61" i="3"/>
  <c r="S70" i="3"/>
  <c r="S64" i="3"/>
  <c r="T65" i="3"/>
  <c r="T60" i="3"/>
  <c r="T59" i="3"/>
  <c r="T265" i="3"/>
  <c r="S266" i="3"/>
  <c r="T495" i="3"/>
  <c r="S494" i="3"/>
  <c r="T494" i="3"/>
  <c r="T64" i="3"/>
  <c r="S75" i="3"/>
  <c r="T76" i="3"/>
  <c r="S271" i="3"/>
  <c r="S472" i="3"/>
  <c r="S394" i="3"/>
  <c r="T66" i="3"/>
  <c r="S65" i="3"/>
  <c r="T264" i="3"/>
  <c r="T472" i="3"/>
  <c r="T491" i="3"/>
  <c r="T496" i="3"/>
  <c r="T395" i="3"/>
  <c r="T396" i="3"/>
  <c r="T271" i="3"/>
  <c r="S497" i="3"/>
  <c r="S396" i="3"/>
  <c r="T493" i="3"/>
  <c r="T392" i="3"/>
  <c r="S495" i="3"/>
  <c r="S269" i="3"/>
  <c r="S391" i="3"/>
  <c r="S492" i="3"/>
  <c r="S395" i="3"/>
  <c r="S270" i="3"/>
  <c r="S496" i="3"/>
  <c r="S491" i="3"/>
  <c r="S390" i="3"/>
  <c r="S265" i="3"/>
  <c r="T266" i="3"/>
  <c r="T492" i="3"/>
  <c r="T391" i="3"/>
  <c r="V419" i="3" l="1"/>
  <c r="V420" i="3" s="1"/>
  <c r="V421" i="3" s="1"/>
  <c r="V422" i="3" s="1"/>
  <c r="V423" i="3" s="1"/>
  <c r="V424" i="3" s="1"/>
  <c r="V425" i="3" s="1"/>
  <c r="V426" i="3" s="1"/>
  <c r="V427" i="3" s="1"/>
  <c r="V428" i="3" s="1"/>
  <c r="V429" i="3" s="1"/>
  <c r="V430" i="3" s="1"/>
  <c r="V431" i="3" s="1"/>
  <c r="V432" i="3" s="1"/>
  <c r="Y416" i="3"/>
  <c r="Y417" i="3" s="1"/>
  <c r="Y418" i="3" s="1"/>
  <c r="Y419" i="3" s="1"/>
  <c r="Y420" i="3" s="1"/>
  <c r="Y421" i="3" s="1"/>
  <c r="Y422" i="3" s="1"/>
  <c r="Y423" i="3" s="1"/>
  <c r="Y424" i="3" s="1"/>
  <c r="Y425" i="3" s="1"/>
  <c r="Y426" i="3" s="1"/>
  <c r="Y427" i="3" s="1"/>
  <c r="Y428" i="3" s="1"/>
  <c r="AE400" i="3"/>
  <c r="AD407" i="3"/>
  <c r="X420" i="3"/>
  <c r="X421" i="3" s="1"/>
  <c r="X422" i="3" s="1"/>
  <c r="X423" i="3" s="1"/>
  <c r="X424" i="3" s="1"/>
  <c r="X425" i="3" s="1"/>
  <c r="X426" i="3" s="1"/>
  <c r="X427" i="3" s="1"/>
  <c r="X428" i="3" s="1"/>
  <c r="X429" i="3" s="1"/>
  <c r="X430" i="3" s="1"/>
  <c r="X431" i="3" s="1"/>
  <c r="X432" i="3" s="1"/>
  <c r="AC408" i="3"/>
  <c r="Z412" i="3"/>
  <c r="Z413" i="3" s="1"/>
  <c r="AA413" i="3"/>
  <c r="W414" i="3"/>
  <c r="W415" i="3" s="1"/>
  <c r="W416" i="3" s="1"/>
  <c r="W417" i="3" s="1"/>
  <c r="W418" i="3" s="1"/>
  <c r="W419" i="3" s="1"/>
  <c r="W420" i="3" s="1"/>
  <c r="W421" i="3" s="1"/>
  <c r="W422" i="3" s="1"/>
  <c r="AB409" i="3"/>
  <c r="T306" i="3"/>
  <c r="T339" i="3"/>
  <c r="S276" i="3"/>
  <c r="S306" i="3"/>
  <c r="S277" i="3"/>
  <c r="S307" i="3"/>
  <c r="T275" i="3"/>
  <c r="T305" i="3"/>
  <c r="S275" i="3"/>
  <c r="S305" i="3"/>
  <c r="T244" i="3"/>
  <c r="T276" i="3"/>
  <c r="T245" i="3"/>
  <c r="T277" i="3"/>
  <c r="S245" i="3"/>
  <c r="S244" i="3"/>
  <c r="T243" i="3"/>
  <c r="S243" i="3"/>
  <c r="S15" i="3"/>
  <c r="T15" i="3"/>
  <c r="S481" i="3"/>
  <c r="T477" i="3"/>
  <c r="T473" i="3"/>
  <c r="T487" i="3"/>
  <c r="T486" i="3"/>
  <c r="T530" i="3"/>
  <c r="S499" i="3"/>
  <c r="S530" i="3"/>
  <c r="T529" i="3"/>
  <c r="T500" i="3"/>
  <c r="S489" i="3"/>
  <c r="S531" i="3"/>
  <c r="S480" i="3"/>
  <c r="S482" i="3"/>
  <c r="T482" i="3"/>
  <c r="S474" i="3"/>
  <c r="S483" i="3"/>
  <c r="S487" i="3"/>
  <c r="T489" i="3"/>
  <c r="S500" i="3"/>
  <c r="S529" i="3"/>
  <c r="S484" i="3"/>
  <c r="S485" i="3"/>
  <c r="T485" i="3"/>
  <c r="S488" i="3"/>
  <c r="T499" i="3"/>
  <c r="T480" i="3"/>
  <c r="S478" i="3"/>
  <c r="T484" i="3"/>
  <c r="S473" i="3"/>
  <c r="T475" i="3"/>
  <c r="S475" i="3"/>
  <c r="T479" i="3"/>
  <c r="T483" i="3"/>
  <c r="T476" i="3"/>
  <c r="S479" i="3"/>
  <c r="T488" i="3"/>
  <c r="T478" i="3"/>
  <c r="S501" i="3"/>
  <c r="T481" i="3"/>
  <c r="T474" i="3"/>
  <c r="S476" i="3"/>
  <c r="T501" i="3"/>
  <c r="S486" i="3"/>
  <c r="S477" i="3"/>
  <c r="W423" i="3" l="1"/>
  <c r="W424" i="3" s="1"/>
  <c r="W425" i="3" s="1"/>
  <c r="W426" i="3" s="1"/>
  <c r="W427" i="3" s="1"/>
  <c r="W428" i="3" s="1"/>
  <c r="W429" i="3" s="1"/>
  <c r="W430" i="3" s="1"/>
  <c r="W431" i="3" s="1"/>
  <c r="W432" i="3" s="1"/>
  <c r="AC409" i="3"/>
  <c r="AC410" i="3" s="1"/>
  <c r="AC411" i="3" s="1"/>
  <c r="Y429" i="3"/>
  <c r="Y430" i="3" s="1"/>
  <c r="Y431" i="3" s="1"/>
  <c r="Y432" i="3" s="1"/>
  <c r="AD408" i="3"/>
  <c r="AD409" i="3" s="1"/>
  <c r="AD410" i="3" s="1"/>
  <c r="AA414" i="3"/>
  <c r="AB410" i="3"/>
  <c r="Z414" i="3"/>
  <c r="AF400" i="3"/>
  <c r="AE407" i="3"/>
  <c r="J7" i="3"/>
  <c r="K7" i="3"/>
  <c r="L7" i="3"/>
  <c r="M7" i="3"/>
  <c r="N7" i="3"/>
  <c r="O7" i="3"/>
  <c r="P7" i="3"/>
  <c r="Q7" i="3"/>
  <c r="R7" i="3"/>
  <c r="I7" i="3"/>
  <c r="R84" i="3"/>
  <c r="R83" i="3"/>
  <c r="R52" i="3"/>
  <c r="R19" i="3"/>
  <c r="R10" i="3"/>
  <c r="R9" i="3"/>
  <c r="R6" i="3"/>
  <c r="R4" i="3"/>
  <c r="Q84" i="3"/>
  <c r="Q83" i="3"/>
  <c r="Q52" i="3"/>
  <c r="Q19" i="3"/>
  <c r="Q10" i="3"/>
  <c r="Q9" i="3"/>
  <c r="Q6" i="3"/>
  <c r="Q4" i="3"/>
  <c r="P84" i="3"/>
  <c r="P83" i="3"/>
  <c r="P52" i="3"/>
  <c r="P19" i="3"/>
  <c r="P10" i="3"/>
  <c r="P9" i="3"/>
  <c r="P6" i="3"/>
  <c r="P4" i="3"/>
  <c r="R53" i="3"/>
  <c r="R469" i="3"/>
  <c r="R54" i="3"/>
  <c r="R55" i="3" s="1"/>
  <c r="P13" i="3"/>
  <c r="P53" i="3"/>
  <c r="Q53" i="3"/>
  <c r="P469" i="3"/>
  <c r="Q13" i="3"/>
  <c r="P54" i="3"/>
  <c r="R470" i="3"/>
  <c r="R13" i="3"/>
  <c r="P470" i="3"/>
  <c r="P55" i="3"/>
  <c r="P471" i="3" s="1"/>
  <c r="Q54" i="3"/>
  <c r="Q469" i="3"/>
  <c r="Q55" i="3"/>
  <c r="Q470" i="3"/>
  <c r="AB411" i="3" l="1"/>
  <c r="AB412" i="3" s="1"/>
  <c r="AB413" i="3" s="1"/>
  <c r="AB414" i="3" s="1"/>
  <c r="AG400" i="3"/>
  <c r="AF407" i="3"/>
  <c r="AE408" i="3"/>
  <c r="Z415" i="3"/>
  <c r="AC412" i="3"/>
  <c r="AA415" i="3"/>
  <c r="AD411" i="3"/>
  <c r="AD412" i="3" s="1"/>
  <c r="P23" i="3"/>
  <c r="P245" i="3" s="1"/>
  <c r="P22" i="3"/>
  <c r="P339" i="3" s="1"/>
  <c r="R22" i="3"/>
  <c r="R339" i="3" s="1"/>
  <c r="Q22" i="3"/>
  <c r="R21" i="3"/>
  <c r="R338" i="3" s="1"/>
  <c r="Q21" i="3"/>
  <c r="Q338" i="3" s="1"/>
  <c r="P21" i="3"/>
  <c r="P338" i="3" s="1"/>
  <c r="R23" i="3"/>
  <c r="Q23" i="3"/>
  <c r="Q471" i="3"/>
  <c r="R58" i="3"/>
  <c r="R66" i="3"/>
  <c r="R56" i="3"/>
  <c r="R59" i="3"/>
  <c r="P68" i="3"/>
  <c r="Q67" i="3"/>
  <c r="R57" i="3"/>
  <c r="Q76" i="3"/>
  <c r="R74" i="3"/>
  <c r="Q73" i="3"/>
  <c r="R61" i="3"/>
  <c r="Q56" i="3"/>
  <c r="Q61" i="3"/>
  <c r="P71" i="3"/>
  <c r="R471" i="3"/>
  <c r="R65" i="3"/>
  <c r="Q79" i="3"/>
  <c r="R73" i="3"/>
  <c r="R79" i="3"/>
  <c r="R394" i="3" s="1"/>
  <c r="R69" i="3"/>
  <c r="P77" i="3"/>
  <c r="P267" i="3" s="1"/>
  <c r="R63" i="3"/>
  <c r="Q64" i="3"/>
  <c r="Q59" i="3"/>
  <c r="R495" i="3"/>
  <c r="P73" i="3"/>
  <c r="P65" i="3"/>
  <c r="R68" i="3"/>
  <c r="P79" i="3"/>
  <c r="P495" i="3" s="1"/>
  <c r="R77" i="3"/>
  <c r="R267" i="3"/>
  <c r="R78" i="3"/>
  <c r="R75" i="3"/>
  <c r="R265" i="3" s="1"/>
  <c r="P57" i="3"/>
  <c r="P62" i="3"/>
  <c r="P74" i="3"/>
  <c r="Q492" i="3"/>
  <c r="Q74" i="3"/>
  <c r="R71" i="3"/>
  <c r="Q63" i="3"/>
  <c r="R64" i="3"/>
  <c r="Q57" i="3"/>
  <c r="R70" i="3"/>
  <c r="Q58" i="3"/>
  <c r="P81" i="3"/>
  <c r="P60" i="3"/>
  <c r="Q269" i="3"/>
  <c r="Q266" i="3"/>
  <c r="R472" i="3"/>
  <c r="P394" i="3"/>
  <c r="P389" i="3"/>
  <c r="R392" i="3"/>
  <c r="R390" i="3"/>
  <c r="Q70" i="3"/>
  <c r="R72" i="3"/>
  <c r="Q78" i="3"/>
  <c r="Q472" i="3"/>
  <c r="R493" i="3"/>
  <c r="Q77" i="3"/>
  <c r="Q71" i="3"/>
  <c r="P269" i="3"/>
  <c r="Q389" i="3"/>
  <c r="Q65" i="3"/>
  <c r="P61" i="3"/>
  <c r="R76" i="3"/>
  <c r="P80" i="3"/>
  <c r="R264" i="3"/>
  <c r="P392" i="3"/>
  <c r="P56" i="3"/>
  <c r="P472" i="3" s="1"/>
  <c r="Q60" i="3"/>
  <c r="Q66" i="3"/>
  <c r="Q68" i="3"/>
  <c r="P271" i="3"/>
  <c r="Q493" i="3"/>
  <c r="R491" i="3"/>
  <c r="P69" i="3"/>
  <c r="P64" i="3"/>
  <c r="P395" i="3"/>
  <c r="Q62" i="3"/>
  <c r="Q75" i="3"/>
  <c r="Q265" i="3" s="1"/>
  <c r="Q391" i="3"/>
  <c r="P63" i="3"/>
  <c r="Q72" i="3"/>
  <c r="P78" i="3"/>
  <c r="Q80" i="3"/>
  <c r="Q390" i="3"/>
  <c r="P59" i="3"/>
  <c r="P75" i="3"/>
  <c r="P66" i="3"/>
  <c r="Q491" i="3"/>
  <c r="Q81" i="3"/>
  <c r="Q69" i="3"/>
  <c r="Q394" i="3"/>
  <c r="R389" i="3"/>
  <c r="R490" i="3"/>
  <c r="R67" i="3"/>
  <c r="P70" i="3"/>
  <c r="P72" i="3"/>
  <c r="P76" i="3"/>
  <c r="R62" i="3"/>
  <c r="R80" i="3"/>
  <c r="P58" i="3"/>
  <c r="R81" i="3"/>
  <c r="R60" i="3"/>
  <c r="P67" i="3"/>
  <c r="R269" i="3"/>
  <c r="Q270" i="3"/>
  <c r="Q268" i="3"/>
  <c r="Q495" i="3"/>
  <c r="P492" i="3"/>
  <c r="R492" i="3"/>
  <c r="P493" i="3"/>
  <c r="R268" i="3"/>
  <c r="R494" i="3"/>
  <c r="R393" i="3"/>
  <c r="P490" i="3"/>
  <c r="P264" i="3"/>
  <c r="Q264" i="3"/>
  <c r="Q490" i="3"/>
  <c r="P497" i="3"/>
  <c r="P396" i="3"/>
  <c r="Q494" i="3"/>
  <c r="Q393" i="3"/>
  <c r="Q392" i="3"/>
  <c r="Q267" i="3"/>
  <c r="R266" i="3"/>
  <c r="R391" i="3"/>
  <c r="P496" i="3"/>
  <c r="P270" i="3"/>
  <c r="P268" i="3"/>
  <c r="P494" i="3"/>
  <c r="P393" i="3"/>
  <c r="Q496" i="3"/>
  <c r="Q395" i="3"/>
  <c r="P491" i="3"/>
  <c r="P265" i="3"/>
  <c r="P390" i="3"/>
  <c r="Q271" i="3"/>
  <c r="Q497" i="3"/>
  <c r="Q396" i="3"/>
  <c r="P391" i="3"/>
  <c r="P266" i="3"/>
  <c r="R270" i="3"/>
  <c r="R496" i="3"/>
  <c r="R395" i="3"/>
  <c r="R497" i="3"/>
  <c r="R396" i="3"/>
  <c r="R271" i="3"/>
  <c r="AB415" i="3" l="1"/>
  <c r="AB416" i="3" s="1"/>
  <c r="AB417" i="3" s="1"/>
  <c r="AC413" i="3"/>
  <c r="Z416" i="3"/>
  <c r="Z417" i="3" s="1"/>
  <c r="Z418" i="3" s="1"/>
  <c r="AF408" i="3"/>
  <c r="AF409" i="3" s="1"/>
  <c r="AD413" i="3"/>
  <c r="AD414" i="3" s="1"/>
  <c r="AH400" i="3"/>
  <c r="AG407" i="3"/>
  <c r="AA416" i="3"/>
  <c r="AE409" i="3"/>
  <c r="Q244" i="3"/>
  <c r="Q339" i="3"/>
  <c r="P275" i="3"/>
  <c r="P305" i="3"/>
  <c r="Q275" i="3"/>
  <c r="Q305" i="3"/>
  <c r="R275" i="3"/>
  <c r="R305" i="3"/>
  <c r="Q276" i="3"/>
  <c r="Q306" i="3"/>
  <c r="R277" i="3"/>
  <c r="R307" i="3"/>
  <c r="Q277" i="3"/>
  <c r="Q307" i="3"/>
  <c r="R276" i="3"/>
  <c r="R306" i="3"/>
  <c r="P276" i="3"/>
  <c r="P306" i="3"/>
  <c r="P277" i="3"/>
  <c r="P307" i="3"/>
  <c r="Q245" i="3"/>
  <c r="R15" i="3"/>
  <c r="R245" i="3"/>
  <c r="P244" i="3"/>
  <c r="P15" i="3"/>
  <c r="R244" i="3"/>
  <c r="R243" i="3"/>
  <c r="Q15" i="3"/>
  <c r="P243" i="3"/>
  <c r="Q243" i="3"/>
  <c r="P483" i="3"/>
  <c r="P482" i="3"/>
  <c r="Q482" i="3"/>
  <c r="Q474" i="3"/>
  <c r="R484" i="3"/>
  <c r="R481" i="3"/>
  <c r="R475" i="3"/>
  <c r="P531" i="3"/>
  <c r="R530" i="3"/>
  <c r="Q499" i="3"/>
  <c r="Q530" i="3"/>
  <c r="R501" i="3"/>
  <c r="P500" i="3"/>
  <c r="Q478" i="3"/>
  <c r="Q479" i="3"/>
  <c r="Q485" i="3"/>
  <c r="P473" i="3"/>
  <c r="R531" i="3"/>
  <c r="R476" i="3"/>
  <c r="P475" i="3"/>
  <c r="Q476" i="3"/>
  <c r="R486" i="3"/>
  <c r="P481" i="3"/>
  <c r="P487" i="3"/>
  <c r="R482" i="3"/>
  <c r="P501" i="3"/>
  <c r="R485" i="3"/>
  <c r="R500" i="3"/>
  <c r="R489" i="3"/>
  <c r="P474" i="3"/>
  <c r="Q488" i="3"/>
  <c r="P477" i="3"/>
  <c r="Q473" i="3"/>
  <c r="P489" i="3"/>
  <c r="Q477" i="3"/>
  <c r="R474" i="3"/>
  <c r="P499" i="3"/>
  <c r="Q501" i="3"/>
  <c r="Q500" i="3"/>
  <c r="P488" i="3"/>
  <c r="Q489" i="3"/>
  <c r="R529" i="3"/>
  <c r="R478" i="3"/>
  <c r="P479" i="3"/>
  <c r="Q481" i="3"/>
  <c r="R480" i="3"/>
  <c r="Q475" i="3"/>
  <c r="R477" i="3"/>
  <c r="Q529" i="3"/>
  <c r="Q487" i="3"/>
  <c r="Q480" i="3"/>
  <c r="Q531" i="3"/>
  <c r="P476" i="3"/>
  <c r="P486" i="3"/>
  <c r="P480" i="3"/>
  <c r="R488" i="3"/>
  <c r="R487" i="3"/>
  <c r="R479" i="3"/>
  <c r="R473" i="3"/>
  <c r="P530" i="3"/>
  <c r="R499" i="3"/>
  <c r="R483" i="3"/>
  <c r="P485" i="3"/>
  <c r="Q486" i="3"/>
  <c r="P478" i="3"/>
  <c r="Q483" i="3"/>
  <c r="P529" i="3"/>
  <c r="Q484" i="3"/>
  <c r="P484" i="3"/>
  <c r="AF410" i="3" l="1"/>
  <c r="AF411" i="3" s="1"/>
  <c r="AF412" i="3" s="1"/>
  <c r="Z419" i="3"/>
  <c r="Z420" i="3" s="1"/>
  <c r="Z421" i="3" s="1"/>
  <c r="Z422" i="3" s="1"/>
  <c r="Z423" i="3" s="1"/>
  <c r="Z424" i="3" s="1"/>
  <c r="Z425" i="3" s="1"/>
  <c r="Z426" i="3" s="1"/>
  <c r="Z427" i="3" s="1"/>
  <c r="Z428" i="3" s="1"/>
  <c r="Z429" i="3" s="1"/>
  <c r="Z430" i="3" s="1"/>
  <c r="Z431" i="3" s="1"/>
  <c r="Z432" i="3" s="1"/>
  <c r="AI400" i="3"/>
  <c r="AH407" i="3"/>
  <c r="AA417" i="3"/>
  <c r="AA418" i="3" s="1"/>
  <c r="AA419" i="3" s="1"/>
  <c r="AA420" i="3" s="1"/>
  <c r="AA421" i="3" s="1"/>
  <c r="AA422" i="3" s="1"/>
  <c r="AA423" i="3" s="1"/>
  <c r="AA424" i="3" s="1"/>
  <c r="AA425" i="3" s="1"/>
  <c r="AA426" i="3" s="1"/>
  <c r="AA427" i="3" s="1"/>
  <c r="AA428" i="3" s="1"/>
  <c r="AA429" i="3" s="1"/>
  <c r="AC414" i="3"/>
  <c r="AG408" i="3"/>
  <c r="AB418" i="3"/>
  <c r="AB419" i="3" s="1"/>
  <c r="AB420" i="3" s="1"/>
  <c r="AB421" i="3" s="1"/>
  <c r="AB422" i="3" s="1"/>
  <c r="AB423" i="3" s="1"/>
  <c r="AB424" i="3" s="1"/>
  <c r="AB425" i="3" s="1"/>
  <c r="AB426" i="3" s="1"/>
  <c r="AB427" i="3" s="1"/>
  <c r="AB428" i="3" s="1"/>
  <c r="AB429" i="3" s="1"/>
  <c r="AB430" i="3" s="1"/>
  <c r="AB431" i="3" s="1"/>
  <c r="AB432" i="3" s="1"/>
  <c r="AE410" i="3"/>
  <c r="AD415" i="3"/>
  <c r="AD416" i="3" s="1"/>
  <c r="O84" i="3"/>
  <c r="O83" i="3"/>
  <c r="O52" i="3"/>
  <c r="O19" i="3"/>
  <c r="O10" i="3"/>
  <c r="O9" i="3"/>
  <c r="O6" i="3"/>
  <c r="O4" i="3"/>
  <c r="N10" i="3"/>
  <c r="M10" i="3"/>
  <c r="L10" i="3"/>
  <c r="K10" i="3"/>
  <c r="E10" i="3"/>
  <c r="F10" i="3"/>
  <c r="J10" i="3"/>
  <c r="I10" i="3"/>
  <c r="G10" i="3"/>
  <c r="H10" i="3"/>
  <c r="O13" i="3"/>
  <c r="O53" i="3"/>
  <c r="O469" i="3"/>
  <c r="O54" i="3"/>
  <c r="O470" i="3"/>
  <c r="O55" i="3"/>
  <c r="O471" i="3" s="1"/>
  <c r="AA430" i="3" l="1"/>
  <c r="AA431" i="3" s="1"/>
  <c r="AA432" i="3" s="1"/>
  <c r="AE411" i="3"/>
  <c r="AE412" i="3" s="1"/>
  <c r="AJ400" i="3"/>
  <c r="AI407" i="3"/>
  <c r="AC415" i="3"/>
  <c r="AC416" i="3" s="1"/>
  <c r="AC417" i="3" s="1"/>
  <c r="AC418" i="3" s="1"/>
  <c r="AC419" i="3" s="1"/>
  <c r="AC420" i="3" s="1"/>
  <c r="AD417" i="3"/>
  <c r="AF413" i="3"/>
  <c r="AF414" i="3" s="1"/>
  <c r="AG409" i="3"/>
  <c r="AG410" i="3" s="1"/>
  <c r="AH408" i="3"/>
  <c r="AH409" i="3" s="1"/>
  <c r="O23" i="3"/>
  <c r="O245" i="3" s="1"/>
  <c r="O22" i="3"/>
  <c r="O21" i="3"/>
  <c r="O80" i="3"/>
  <c r="O70" i="3"/>
  <c r="O72" i="3"/>
  <c r="O61" i="3"/>
  <c r="O60" i="3"/>
  <c r="O68" i="3"/>
  <c r="O65" i="3"/>
  <c r="O78" i="3"/>
  <c r="O77" i="3"/>
  <c r="O69" i="3"/>
  <c r="O59" i="3"/>
  <c r="O66" i="3"/>
  <c r="O76" i="3"/>
  <c r="O71" i="3"/>
  <c r="O67" i="3"/>
  <c r="O75" i="3"/>
  <c r="O58" i="3"/>
  <c r="O64" i="3"/>
  <c r="O81" i="3"/>
  <c r="O57" i="3"/>
  <c r="O62" i="3"/>
  <c r="O63" i="3"/>
  <c r="O79" i="3"/>
  <c r="O74" i="3"/>
  <c r="O73" i="3"/>
  <c r="O56" i="3"/>
  <c r="O472" i="3" s="1"/>
  <c r="O496" i="3"/>
  <c r="O270" i="3"/>
  <c r="O395" i="3"/>
  <c r="O393" i="3"/>
  <c r="O268" i="3"/>
  <c r="O494" i="3"/>
  <c r="O392" i="3"/>
  <c r="O493" i="3"/>
  <c r="O267" i="3"/>
  <c r="O266" i="3"/>
  <c r="O492" i="3"/>
  <c r="O391" i="3"/>
  <c r="O491" i="3"/>
  <c r="O390" i="3"/>
  <c r="O265" i="3"/>
  <c r="O497" i="3"/>
  <c r="O396" i="3"/>
  <c r="O271" i="3"/>
  <c r="O269" i="3"/>
  <c r="O495" i="3"/>
  <c r="O394" i="3"/>
  <c r="O264" i="3"/>
  <c r="O490" i="3"/>
  <c r="O389" i="3"/>
  <c r="AE413" i="3" l="1"/>
  <c r="AE414" i="3" s="1"/>
  <c r="AE415" i="3" s="1"/>
  <c r="AE416" i="3" s="1"/>
  <c r="AE417" i="3" s="1"/>
  <c r="AE418" i="3" s="1"/>
  <c r="AE419" i="3" s="1"/>
  <c r="AF415" i="3"/>
  <c r="AF416" i="3" s="1"/>
  <c r="AC421" i="3"/>
  <c r="AC422" i="3" s="1"/>
  <c r="AC423" i="3" s="1"/>
  <c r="AG411" i="3"/>
  <c r="AD418" i="3"/>
  <c r="AI408" i="3"/>
  <c r="AK400" i="3"/>
  <c r="AJ407" i="3"/>
  <c r="AH410" i="3"/>
  <c r="O275" i="3"/>
  <c r="O338" i="3"/>
  <c r="O306" i="3"/>
  <c r="O339" i="3"/>
  <c r="O15" i="3"/>
  <c r="O276" i="3"/>
  <c r="O244" i="3"/>
  <c r="O307" i="3"/>
  <c r="O277" i="3"/>
  <c r="O243" i="3"/>
  <c r="O305" i="3"/>
  <c r="N84" i="3"/>
  <c r="N83" i="3"/>
  <c r="N52" i="3"/>
  <c r="N19" i="3"/>
  <c r="N9" i="3"/>
  <c r="N6" i="3"/>
  <c r="N4" i="3"/>
  <c r="O489" i="3"/>
  <c r="O482" i="3"/>
  <c r="O486" i="3"/>
  <c r="O501" i="3"/>
  <c r="O529" i="3"/>
  <c r="H13" i="3"/>
  <c r="N13" i="3"/>
  <c r="O530" i="3"/>
  <c r="O479" i="3"/>
  <c r="O475" i="3"/>
  <c r="O478" i="3"/>
  <c r="O485" i="3"/>
  <c r="O473" i="3"/>
  <c r="O481" i="3"/>
  <c r="N53" i="3"/>
  <c r="I13" i="3"/>
  <c r="O483" i="3"/>
  <c r="O500" i="3"/>
  <c r="O480" i="3"/>
  <c r="O484" i="3"/>
  <c r="O499" i="3"/>
  <c r="L13" i="3"/>
  <c r="G13" i="3"/>
  <c r="O474" i="3"/>
  <c r="O476" i="3"/>
  <c r="N54" i="3"/>
  <c r="O487" i="3"/>
  <c r="O488" i="3"/>
  <c r="O531" i="3"/>
  <c r="K13" i="3"/>
  <c r="J13" i="3"/>
  <c r="N469" i="3"/>
  <c r="E13" i="3"/>
  <c r="N470" i="3"/>
  <c r="M13" i="3"/>
  <c r="O477" i="3"/>
  <c r="F13" i="3"/>
  <c r="N55" i="3"/>
  <c r="N471" i="3" s="1"/>
  <c r="AC424" i="3" l="1"/>
  <c r="AC425" i="3" s="1"/>
  <c r="AC426" i="3" s="1"/>
  <c r="AC427" i="3" s="1"/>
  <c r="AC428" i="3" s="1"/>
  <c r="AC429" i="3" s="1"/>
  <c r="AC430" i="3" s="1"/>
  <c r="AC431" i="3" s="1"/>
  <c r="AC432" i="3" s="1"/>
  <c r="AJ408" i="3"/>
  <c r="AJ409" i="3" s="1"/>
  <c r="AJ410" i="3" s="1"/>
  <c r="AE420" i="3"/>
  <c r="AE421" i="3" s="1"/>
  <c r="AE422" i="3" s="1"/>
  <c r="AE423" i="3" s="1"/>
  <c r="AE424" i="3" s="1"/>
  <c r="AE425" i="3" s="1"/>
  <c r="AE426" i="3" s="1"/>
  <c r="AE427" i="3" s="1"/>
  <c r="AE428" i="3" s="1"/>
  <c r="AE429" i="3" s="1"/>
  <c r="AE430" i="3" s="1"/>
  <c r="AE431" i="3" s="1"/>
  <c r="AE432" i="3" s="1"/>
  <c r="AL400" i="3"/>
  <c r="AK407" i="3"/>
  <c r="AI409" i="3"/>
  <c r="AH411" i="3"/>
  <c r="AD419" i="3"/>
  <c r="AF417" i="3"/>
  <c r="AG412" i="3"/>
  <c r="AG413" i="3" s="1"/>
  <c r="N23" i="3"/>
  <c r="N245" i="3" s="1"/>
  <c r="N22" i="3"/>
  <c r="N21" i="3"/>
  <c r="N79" i="3"/>
  <c r="N58" i="3"/>
  <c r="N64" i="3"/>
  <c r="N59" i="3"/>
  <c r="N60" i="3"/>
  <c r="N74" i="3"/>
  <c r="N70" i="3"/>
  <c r="N69" i="3"/>
  <c r="N65" i="3"/>
  <c r="N77" i="3"/>
  <c r="C3" i="1" a="1"/>
  <c r="N75" i="3"/>
  <c r="N57" i="3"/>
  <c r="N80" i="3"/>
  <c r="N73" i="3"/>
  <c r="N81" i="3"/>
  <c r="N61" i="3"/>
  <c r="N56" i="3"/>
  <c r="N472" i="3" s="1"/>
  <c r="N66" i="3"/>
  <c r="N68" i="3"/>
  <c r="N71" i="3"/>
  <c r="N67" i="3"/>
  <c r="N63" i="3"/>
  <c r="N78" i="3"/>
  <c r="N76" i="3"/>
  <c r="N72" i="3"/>
  <c r="N62" i="3"/>
  <c r="N269" i="3"/>
  <c r="N394" i="3"/>
  <c r="N495" i="3"/>
  <c r="N264" i="3"/>
  <c r="N490" i="3"/>
  <c r="N389" i="3"/>
  <c r="N493" i="3"/>
  <c r="N267" i="3"/>
  <c r="N392" i="3"/>
  <c r="N491" i="3"/>
  <c r="N390" i="3"/>
  <c r="N265" i="3"/>
  <c r="N496" i="3"/>
  <c r="N395" i="3"/>
  <c r="N270" i="3"/>
  <c r="N497" i="3"/>
  <c r="N271" i="3"/>
  <c r="N396" i="3"/>
  <c r="N268" i="3"/>
  <c r="N494" i="3"/>
  <c r="N393" i="3"/>
  <c r="N266" i="3"/>
  <c r="N391" i="3"/>
  <c r="N492" i="3"/>
  <c r="AJ411" i="3" l="1"/>
  <c r="AJ412" i="3" s="1"/>
  <c r="AJ413" i="3" s="1"/>
  <c r="AF418" i="3"/>
  <c r="AF419" i="3" s="1"/>
  <c r="AK408" i="3"/>
  <c r="AK409" i="3" s="1"/>
  <c r="AM400" i="3"/>
  <c r="AL407" i="3"/>
  <c r="AH412" i="3"/>
  <c r="AH413" i="3" s="1"/>
  <c r="AI410" i="3"/>
  <c r="AD420" i="3"/>
  <c r="AD421" i="3" s="1"/>
  <c r="AD422" i="3" s="1"/>
  <c r="AD423" i="3" s="1"/>
  <c r="AD424" i="3" s="1"/>
  <c r="AD425" i="3" s="1"/>
  <c r="AD426" i="3" s="1"/>
  <c r="AD427" i="3" s="1"/>
  <c r="AD428" i="3" s="1"/>
  <c r="AD429" i="3" s="1"/>
  <c r="AD430" i="3" s="1"/>
  <c r="AD431" i="3" s="1"/>
  <c r="AD432" i="3" s="1"/>
  <c r="AG414" i="3"/>
  <c r="N275" i="3"/>
  <c r="N338" i="3"/>
  <c r="N276" i="3"/>
  <c r="N339" i="3"/>
  <c r="N15" i="3"/>
  <c r="N307" i="3"/>
  <c r="N277" i="3"/>
  <c r="N244" i="3"/>
  <c r="N306" i="3"/>
  <c r="N243" i="3"/>
  <c r="N305" i="3"/>
  <c r="C3" i="1"/>
  <c r="C4" i="1"/>
  <c r="C5" i="1"/>
  <c r="D52" i="3"/>
  <c r="N478" i="3"/>
  <c r="N489" i="3"/>
  <c r="N474" i="3"/>
  <c r="E53" i="3"/>
  <c r="D62" i="3"/>
  <c r="D67" i="3"/>
  <c r="D75" i="3"/>
  <c r="D81" i="3"/>
  <c r="D64" i="3"/>
  <c r="E469" i="3"/>
  <c r="D72" i="3"/>
  <c r="N488" i="3"/>
  <c r="N473" i="3"/>
  <c r="N499" i="3"/>
  <c r="E54" i="3"/>
  <c r="E58" i="3"/>
  <c r="D73" i="3"/>
  <c r="D77" i="3"/>
  <c r="D271" i="3"/>
  <c r="N479" i="3"/>
  <c r="E55" i="3"/>
  <c r="D69" i="3"/>
  <c r="D265" i="3"/>
  <c r="D65" i="3"/>
  <c r="D61" i="3"/>
  <c r="D267" i="3"/>
  <c r="N487" i="3"/>
  <c r="N501" i="3"/>
  <c r="D56" i="3"/>
  <c r="E470" i="3"/>
  <c r="N483" i="3"/>
  <c r="N485" i="3"/>
  <c r="N531" i="3"/>
  <c r="N484" i="3"/>
  <c r="N476" i="3"/>
  <c r="N529" i="3"/>
  <c r="D71" i="3"/>
  <c r="D68" i="3"/>
  <c r="D63" i="3"/>
  <c r="D79" i="3"/>
  <c r="E471" i="3"/>
  <c r="N482" i="3"/>
  <c r="N475" i="3"/>
  <c r="N530" i="3"/>
  <c r="D57" i="3"/>
  <c r="D60" i="3"/>
  <c r="D59" i="3"/>
  <c r="E74" i="3"/>
  <c r="N477" i="3"/>
  <c r="N480" i="3"/>
  <c r="D53" i="3"/>
  <c r="D70" i="3"/>
  <c r="E59" i="3"/>
  <c r="D66" i="3"/>
  <c r="D80" i="3"/>
  <c r="D269" i="3"/>
  <c r="D270" i="3"/>
  <c r="N481" i="3"/>
  <c r="N500" i="3"/>
  <c r="E56" i="3"/>
  <c r="E472" i="3" s="1"/>
  <c r="D74" i="3"/>
  <c r="D78" i="3"/>
  <c r="N486" i="3"/>
  <c r="D58" i="3"/>
  <c r="D76" i="3"/>
  <c r="D264" i="3"/>
  <c r="D266" i="3"/>
  <c r="E490" i="3"/>
  <c r="E264" i="3"/>
  <c r="D469" i="3"/>
  <c r="D54" i="3"/>
  <c r="D268" i="3"/>
  <c r="D55" i="3"/>
  <c r="AF420" i="3" l="1"/>
  <c r="AF421" i="3" s="1"/>
  <c r="AF422" i="3" s="1"/>
  <c r="AF423" i="3" s="1"/>
  <c r="AF424" i="3" s="1"/>
  <c r="AF425" i="3" s="1"/>
  <c r="AF426" i="3" s="1"/>
  <c r="AF427" i="3" s="1"/>
  <c r="AF428" i="3" s="1"/>
  <c r="AF429" i="3" s="1"/>
  <c r="AF430" i="3" s="1"/>
  <c r="AF431" i="3" s="1"/>
  <c r="AF432" i="3" s="1"/>
  <c r="AN400" i="3"/>
  <c r="AM407" i="3"/>
  <c r="AH414" i="3"/>
  <c r="AH415" i="3" s="1"/>
  <c r="AI411" i="3"/>
  <c r="AJ414" i="3"/>
  <c r="AG415" i="3"/>
  <c r="AL408" i="3"/>
  <c r="AL409" i="3" s="1"/>
  <c r="AK410" i="3"/>
  <c r="AK411" i="3" s="1"/>
  <c r="E23" i="3"/>
  <c r="E22" i="3"/>
  <c r="E339" i="3" s="1"/>
  <c r="E21" i="3"/>
  <c r="E338" i="3" s="1"/>
  <c r="M84" i="3"/>
  <c r="M83" i="3"/>
  <c r="M52" i="3"/>
  <c r="M19" i="3"/>
  <c r="M9" i="3"/>
  <c r="M6" i="3"/>
  <c r="M4" i="3"/>
  <c r="D471" i="3"/>
  <c r="E475" i="3"/>
  <c r="D484" i="3"/>
  <c r="E474" i="3"/>
  <c r="D486" i="3"/>
  <c r="D488" i="3"/>
  <c r="D482" i="3"/>
  <c r="D470" i="3"/>
  <c r="D487" i="3"/>
  <c r="M53" i="3"/>
  <c r="M54" i="3"/>
  <c r="M55" i="3" s="1"/>
  <c r="M469" i="3"/>
  <c r="M470" i="3"/>
  <c r="D479" i="3"/>
  <c r="D492" i="3"/>
  <c r="E389" i="3"/>
  <c r="D472" i="3"/>
  <c r="D480" i="3"/>
  <c r="D474" i="3"/>
  <c r="D475" i="3"/>
  <c r="D477" i="3"/>
  <c r="D497" i="3"/>
  <c r="D494" i="3"/>
  <c r="D476" i="3"/>
  <c r="D481" i="3"/>
  <c r="D491" i="3"/>
  <c r="D490" i="3"/>
  <c r="D473" i="3"/>
  <c r="D485" i="3"/>
  <c r="D483" i="3"/>
  <c r="D489" i="3"/>
  <c r="M471" i="3"/>
  <c r="D496" i="3"/>
  <c r="D495" i="3"/>
  <c r="D493" i="3"/>
  <c r="D478" i="3"/>
  <c r="AL410" i="3" l="1"/>
  <c r="AL411" i="3" s="1"/>
  <c r="AL412" i="3" s="1"/>
  <c r="AG416" i="3"/>
  <c r="AG417" i="3" s="1"/>
  <c r="AG418" i="3" s="1"/>
  <c r="AG419" i="3" s="1"/>
  <c r="AG420" i="3" s="1"/>
  <c r="AG421" i="3" s="1"/>
  <c r="AG422" i="3" s="1"/>
  <c r="AG423" i="3" s="1"/>
  <c r="AG424" i="3" s="1"/>
  <c r="AG425" i="3" s="1"/>
  <c r="AG426" i="3" s="1"/>
  <c r="AG427" i="3" s="1"/>
  <c r="AH416" i="3"/>
  <c r="AJ415" i="3"/>
  <c r="AI412" i="3"/>
  <c r="AM408" i="3"/>
  <c r="AK412" i="3"/>
  <c r="AO400" i="3"/>
  <c r="AN407" i="3"/>
  <c r="M23" i="3"/>
  <c r="M22" i="3"/>
  <c r="M339" i="3" s="1"/>
  <c r="M21" i="3"/>
  <c r="M338" i="3" s="1"/>
  <c r="E275" i="3"/>
  <c r="E305" i="3"/>
  <c r="E276" i="3"/>
  <c r="E306" i="3"/>
  <c r="E277" i="3"/>
  <c r="E307" i="3"/>
  <c r="L84" i="3"/>
  <c r="L83" i="3"/>
  <c r="L52" i="3"/>
  <c r="L19" i="3"/>
  <c r="L9" i="3"/>
  <c r="L6" i="3"/>
  <c r="L4" i="3"/>
  <c r="K84" i="3"/>
  <c r="K83" i="3"/>
  <c r="E529" i="3"/>
  <c r="M56" i="3"/>
  <c r="M66" i="3"/>
  <c r="M64" i="3"/>
  <c r="M81" i="3"/>
  <c r="M62" i="3"/>
  <c r="M59" i="3"/>
  <c r="M77" i="3"/>
  <c r="M76" i="3"/>
  <c r="M492" i="3" s="1"/>
  <c r="M396" i="3"/>
  <c r="E530" i="3"/>
  <c r="M75" i="3"/>
  <c r="M390" i="3"/>
  <c r="E500" i="3"/>
  <c r="M69" i="3"/>
  <c r="M57" i="3"/>
  <c r="M63" i="3"/>
  <c r="L53" i="3"/>
  <c r="M497" i="3"/>
  <c r="M61" i="3"/>
  <c r="E501" i="3"/>
  <c r="M80" i="3"/>
  <c r="M78" i="3"/>
  <c r="M268" i="3" s="1"/>
  <c r="M71" i="3"/>
  <c r="M266" i="3"/>
  <c r="M491" i="3"/>
  <c r="M68" i="3"/>
  <c r="M494" i="3"/>
  <c r="L54" i="3"/>
  <c r="L55" i="3" s="1"/>
  <c r="L471" i="3" s="1"/>
  <c r="E531" i="3"/>
  <c r="M67" i="3"/>
  <c r="M74" i="3"/>
  <c r="M72" i="3"/>
  <c r="M271" i="3"/>
  <c r="L469" i="3"/>
  <c r="M395" i="3"/>
  <c r="M392" i="3"/>
  <c r="M58" i="3"/>
  <c r="M472" i="3"/>
  <c r="M73" i="3"/>
  <c r="E499" i="3"/>
  <c r="M65" i="3"/>
  <c r="M70" i="3"/>
  <c r="M60" i="3"/>
  <c r="M265" i="3"/>
  <c r="L470" i="3"/>
  <c r="M496" i="3"/>
  <c r="M493" i="3"/>
  <c r="M270" i="3"/>
  <c r="M393" i="3"/>
  <c r="M391" i="3"/>
  <c r="M79" i="3"/>
  <c r="M267" i="3"/>
  <c r="M490" i="3"/>
  <c r="M389" i="3"/>
  <c r="M264" i="3"/>
  <c r="M394" i="3"/>
  <c r="M495" i="3"/>
  <c r="M269" i="3"/>
  <c r="AH417" i="3" l="1"/>
  <c r="AH418" i="3" s="1"/>
  <c r="AH419" i="3" s="1"/>
  <c r="AH420" i="3" s="1"/>
  <c r="AH421" i="3" s="1"/>
  <c r="AH422" i="3" s="1"/>
  <c r="AH423" i="3" s="1"/>
  <c r="AH424" i="3" s="1"/>
  <c r="AH425" i="3" s="1"/>
  <c r="AH426" i="3" s="1"/>
  <c r="AH427" i="3" s="1"/>
  <c r="AH428" i="3" s="1"/>
  <c r="AH429" i="3" s="1"/>
  <c r="AH430" i="3" s="1"/>
  <c r="AH431" i="3" s="1"/>
  <c r="AH432" i="3" s="1"/>
  <c r="AN408" i="3"/>
  <c r="AP400" i="3"/>
  <c r="AP407" i="3" s="1"/>
  <c r="AO407" i="3"/>
  <c r="AJ416" i="3"/>
  <c r="AK413" i="3"/>
  <c r="AI413" i="3"/>
  <c r="AI414" i="3" s="1"/>
  <c r="AG428" i="3"/>
  <c r="AG429" i="3" s="1"/>
  <c r="AG430" i="3" s="1"/>
  <c r="AG431" i="3" s="1"/>
  <c r="AG432" i="3" s="1"/>
  <c r="AL413" i="3"/>
  <c r="AM409" i="3"/>
  <c r="L23" i="3"/>
  <c r="L22" i="3"/>
  <c r="L339" i="3" s="1"/>
  <c r="L21" i="3"/>
  <c r="L338" i="3" s="1"/>
  <c r="M277" i="3"/>
  <c r="M307" i="3"/>
  <c r="M276" i="3"/>
  <c r="M306" i="3"/>
  <c r="M245" i="3"/>
  <c r="M275" i="3"/>
  <c r="M305" i="3"/>
  <c r="M244" i="3"/>
  <c r="M243" i="3"/>
  <c r="M15" i="3"/>
  <c r="K52" i="3"/>
  <c r="K19" i="3"/>
  <c r="K9" i="3"/>
  <c r="K6" i="3"/>
  <c r="K4" i="3"/>
  <c r="M476" i="3"/>
  <c r="M487" i="3"/>
  <c r="M482" i="3"/>
  <c r="M499" i="3"/>
  <c r="L63" i="3"/>
  <c r="L59" i="3"/>
  <c r="L56" i="3"/>
  <c r="L66" i="3"/>
  <c r="L76" i="3"/>
  <c r="L79" i="3"/>
  <c r="M475" i="3"/>
  <c r="K53" i="3"/>
  <c r="K469" i="3" s="1"/>
  <c r="M478" i="3"/>
  <c r="L80" i="3"/>
  <c r="L270" i="3" s="1"/>
  <c r="M486" i="3"/>
  <c r="M477" i="3"/>
  <c r="M529" i="3"/>
  <c r="L78" i="3"/>
  <c r="L393" i="3" s="1"/>
  <c r="L81" i="3"/>
  <c r="L472" i="3"/>
  <c r="M531" i="3"/>
  <c r="L60" i="3"/>
  <c r="M481" i="3"/>
  <c r="M479" i="3"/>
  <c r="M501" i="3"/>
  <c r="L57" i="3"/>
  <c r="L72" i="3"/>
  <c r="L58" i="3"/>
  <c r="K54" i="3"/>
  <c r="K470" i="3" s="1"/>
  <c r="L391" i="3"/>
  <c r="M489" i="3"/>
  <c r="M473" i="3"/>
  <c r="L73" i="3"/>
  <c r="L62" i="3"/>
  <c r="L69" i="3"/>
  <c r="L268" i="3"/>
  <c r="L266" i="3"/>
  <c r="M483" i="3"/>
  <c r="L61" i="3"/>
  <c r="M474" i="3"/>
  <c r="M485" i="3"/>
  <c r="L71" i="3"/>
  <c r="L67" i="3"/>
  <c r="L70" i="3"/>
  <c r="L68" i="3"/>
  <c r="M500" i="3"/>
  <c r="L271" i="3"/>
  <c r="M484" i="3"/>
  <c r="M480" i="3"/>
  <c r="M530" i="3"/>
  <c r="L65" i="3"/>
  <c r="L77" i="3"/>
  <c r="L75" i="3"/>
  <c r="K55" i="3"/>
  <c r="L269" i="3"/>
  <c r="L496" i="3"/>
  <c r="L492" i="3"/>
  <c r="K471" i="3"/>
  <c r="L394" i="3"/>
  <c r="L494" i="3"/>
  <c r="L495" i="3"/>
  <c r="M488" i="3"/>
  <c r="L64" i="3"/>
  <c r="L74" i="3"/>
  <c r="L395" i="3"/>
  <c r="L497" i="3"/>
  <c r="L396" i="3"/>
  <c r="L493" i="3"/>
  <c r="L267" i="3"/>
  <c r="L392" i="3"/>
  <c r="L491" i="3"/>
  <c r="L390" i="3"/>
  <c r="L265" i="3"/>
  <c r="L389" i="3"/>
  <c r="L490" i="3"/>
  <c r="L264" i="3"/>
  <c r="AI415" i="3" l="1"/>
  <c r="AI416" i="3" s="1"/>
  <c r="AL414" i="3"/>
  <c r="AL415" i="3" s="1"/>
  <c r="AJ417" i="3"/>
  <c r="AJ418" i="3" s="1"/>
  <c r="AJ419" i="3" s="1"/>
  <c r="AJ420" i="3" s="1"/>
  <c r="AJ421" i="3" s="1"/>
  <c r="AJ422" i="3" s="1"/>
  <c r="AJ423" i="3" s="1"/>
  <c r="AJ424" i="3" s="1"/>
  <c r="AJ425" i="3" s="1"/>
  <c r="AN409" i="3"/>
  <c r="AK414" i="3"/>
  <c r="AO408" i="3"/>
  <c r="AO409" i="3" s="1"/>
  <c r="AM410" i="3"/>
  <c r="AP408" i="3"/>
  <c r="K23" i="3"/>
  <c r="K22" i="3"/>
  <c r="K21" i="3"/>
  <c r="K338" i="3" s="1"/>
  <c r="L275" i="3"/>
  <c r="L305" i="3"/>
  <c r="L276" i="3"/>
  <c r="L306" i="3"/>
  <c r="L277" i="3"/>
  <c r="L307" i="3"/>
  <c r="L244" i="3"/>
  <c r="L245" i="3"/>
  <c r="L243" i="3"/>
  <c r="L15" i="3"/>
  <c r="J84" i="3"/>
  <c r="I84" i="3"/>
  <c r="H84" i="3"/>
  <c r="G84" i="3"/>
  <c r="L480" i="3"/>
  <c r="L478" i="3"/>
  <c r="L479" i="3"/>
  <c r="K64" i="3"/>
  <c r="K61" i="3"/>
  <c r="K58" i="3"/>
  <c r="K75" i="3"/>
  <c r="K77" i="3"/>
  <c r="K73" i="3"/>
  <c r="K57" i="3"/>
  <c r="K62" i="3"/>
  <c r="K265" i="3"/>
  <c r="L484" i="3"/>
  <c r="L501" i="3"/>
  <c r="K67" i="3"/>
  <c r="K267" i="3"/>
  <c r="L531" i="3"/>
  <c r="K76" i="3"/>
  <c r="K266" i="3"/>
  <c r="L477" i="3"/>
  <c r="L529" i="3"/>
  <c r="L481" i="3"/>
  <c r="L489" i="3"/>
  <c r="K390" i="3"/>
  <c r="K78" i="3"/>
  <c r="K56" i="3"/>
  <c r="K472" i="3" s="1"/>
  <c r="K392" i="3"/>
  <c r="K74" i="3"/>
  <c r="K389" i="3"/>
  <c r="K63" i="3"/>
  <c r="L474" i="3"/>
  <c r="K71" i="3"/>
  <c r="K491" i="3"/>
  <c r="K60" i="3"/>
  <c r="K66" i="3"/>
  <c r="K493" i="3"/>
  <c r="L482" i="3"/>
  <c r="K70" i="3"/>
  <c r="L486" i="3"/>
  <c r="L488" i="3"/>
  <c r="L483" i="3"/>
  <c r="L473" i="3"/>
  <c r="L499" i="3"/>
  <c r="K69" i="3"/>
  <c r="L487" i="3"/>
  <c r="L476" i="3"/>
  <c r="L500" i="3"/>
  <c r="K59" i="3"/>
  <c r="K65" i="3"/>
  <c r="K80" i="3"/>
  <c r="L485" i="3"/>
  <c r="L475" i="3"/>
  <c r="L530" i="3"/>
  <c r="K79" i="3"/>
  <c r="K68" i="3"/>
  <c r="K72" i="3"/>
  <c r="K264" i="3"/>
  <c r="K394" i="3"/>
  <c r="K395" i="3"/>
  <c r="K81" i="3"/>
  <c r="K490" i="3"/>
  <c r="K492" i="3"/>
  <c r="K391" i="3"/>
  <c r="K268" i="3"/>
  <c r="K494" i="3"/>
  <c r="K393" i="3"/>
  <c r="K496" i="3"/>
  <c r="K270" i="3"/>
  <c r="K269" i="3"/>
  <c r="K495" i="3"/>
  <c r="K396" i="3"/>
  <c r="K497" i="3"/>
  <c r="K271" i="3"/>
  <c r="AP409" i="3" l="1"/>
  <c r="AP410" i="3" s="1"/>
  <c r="AI417" i="3"/>
  <c r="AO410" i="3"/>
  <c r="AO411" i="3" s="1"/>
  <c r="AM411" i="3"/>
  <c r="AM412" i="3" s="1"/>
  <c r="AL416" i="3"/>
  <c r="AL417" i="3" s="1"/>
  <c r="AK415" i="3"/>
  <c r="AJ426" i="3"/>
  <c r="AJ427" i="3" s="1"/>
  <c r="AN410" i="3"/>
  <c r="K244" i="3"/>
  <c r="K339" i="3"/>
  <c r="K275" i="3"/>
  <c r="K305" i="3"/>
  <c r="K276" i="3"/>
  <c r="K306" i="3"/>
  <c r="K277" i="3"/>
  <c r="K307" i="3"/>
  <c r="K245" i="3"/>
  <c r="K243" i="3"/>
  <c r="K15" i="3"/>
  <c r="F84" i="3"/>
  <c r="K488" i="3"/>
  <c r="K487" i="3"/>
  <c r="K480" i="3"/>
  <c r="K530" i="3"/>
  <c r="K484" i="3"/>
  <c r="K479" i="3"/>
  <c r="K481" i="3"/>
  <c r="K483" i="3"/>
  <c r="K529" i="3"/>
  <c r="K475" i="3"/>
  <c r="K478" i="3"/>
  <c r="K485" i="3"/>
  <c r="K473" i="3"/>
  <c r="K489" i="3"/>
  <c r="K476" i="3"/>
  <c r="K499" i="3"/>
  <c r="K486" i="3"/>
  <c r="K474" i="3"/>
  <c r="K477" i="3"/>
  <c r="K482" i="3"/>
  <c r="K500" i="3"/>
  <c r="K501" i="3"/>
  <c r="K531" i="3"/>
  <c r="AJ428" i="3" l="1"/>
  <c r="AJ429" i="3" s="1"/>
  <c r="AJ430" i="3" s="1"/>
  <c r="AJ431" i="3" s="1"/>
  <c r="AJ432" i="3" s="1"/>
  <c r="AO412" i="3"/>
  <c r="AO413" i="3" s="1"/>
  <c r="AI418" i="3"/>
  <c r="AI419" i="3" s="1"/>
  <c r="AI420" i="3" s="1"/>
  <c r="AI421" i="3" s="1"/>
  <c r="AI422" i="3" s="1"/>
  <c r="AI423" i="3" s="1"/>
  <c r="AI424" i="3" s="1"/>
  <c r="AI425" i="3" s="1"/>
  <c r="AI426" i="3" s="1"/>
  <c r="AP411" i="3"/>
  <c r="AP412" i="3" s="1"/>
  <c r="AP413" i="3" s="1"/>
  <c r="AL418" i="3"/>
  <c r="AN411" i="3"/>
  <c r="AN412" i="3" s="1"/>
  <c r="AK416" i="3"/>
  <c r="AK417" i="3" s="1"/>
  <c r="AK418" i="3" s="1"/>
  <c r="AK419" i="3" s="1"/>
  <c r="AK420" i="3" s="1"/>
  <c r="AK421" i="3" s="1"/>
  <c r="AK422" i="3" s="1"/>
  <c r="AK423" i="3" s="1"/>
  <c r="AK424" i="3" s="1"/>
  <c r="AK425" i="3" s="1"/>
  <c r="AK426" i="3" s="1"/>
  <c r="AK427" i="3" s="1"/>
  <c r="AK428" i="3" s="1"/>
  <c r="AK429" i="3" s="1"/>
  <c r="AK430" i="3" s="1"/>
  <c r="AK431" i="3" s="1"/>
  <c r="AK432" i="3" s="1"/>
  <c r="AM413" i="3"/>
  <c r="J83" i="3"/>
  <c r="J52" i="3"/>
  <c r="J19" i="3"/>
  <c r="J9" i="3"/>
  <c r="J6" i="3"/>
  <c r="J4" i="3"/>
  <c r="J53" i="3"/>
  <c r="J469" i="3" s="1"/>
  <c r="J54" i="3"/>
  <c r="J470" i="3"/>
  <c r="J55" i="3"/>
  <c r="J471" i="3" s="1"/>
  <c r="AI427" i="3" l="1"/>
  <c r="AI428" i="3" s="1"/>
  <c r="AI429" i="3" s="1"/>
  <c r="AI430" i="3" s="1"/>
  <c r="AI431" i="3" s="1"/>
  <c r="AI432" i="3" s="1"/>
  <c r="AO414" i="3"/>
  <c r="AM414" i="3"/>
  <c r="AL419" i="3"/>
  <c r="AN413" i="3"/>
  <c r="AP414" i="3"/>
  <c r="J23" i="3"/>
  <c r="J22" i="3"/>
  <c r="J339" i="3" s="1"/>
  <c r="J21" i="3"/>
  <c r="J338" i="3" s="1"/>
  <c r="I83" i="3"/>
  <c r="I52" i="3"/>
  <c r="I19" i="3"/>
  <c r="I9" i="3"/>
  <c r="I6" i="3"/>
  <c r="I4" i="3"/>
  <c r="J73" i="3"/>
  <c r="J58" i="3"/>
  <c r="J69" i="3"/>
  <c r="J76" i="3"/>
  <c r="J72" i="3"/>
  <c r="J492" i="3"/>
  <c r="J65" i="3"/>
  <c r="J68" i="3"/>
  <c r="J59" i="3"/>
  <c r="J60" i="3"/>
  <c r="J74" i="3"/>
  <c r="J266" i="3"/>
  <c r="J61" i="3"/>
  <c r="J56" i="3"/>
  <c r="J66" i="3"/>
  <c r="J63" i="3"/>
  <c r="J80" i="3"/>
  <c r="J67" i="3"/>
  <c r="J395" i="3"/>
  <c r="J62" i="3"/>
  <c r="J496" i="3"/>
  <c r="J391" i="3"/>
  <c r="J75" i="3"/>
  <c r="J70" i="3"/>
  <c r="J57" i="3"/>
  <c r="J270" i="3"/>
  <c r="J78" i="3"/>
  <c r="J77" i="3"/>
  <c r="J71" i="3"/>
  <c r="I53" i="3"/>
  <c r="J79" i="3"/>
  <c r="J81" i="3"/>
  <c r="J472" i="3"/>
  <c r="J493" i="3"/>
  <c r="J64" i="3"/>
  <c r="J490" i="3"/>
  <c r="J389" i="3"/>
  <c r="J264" i="3"/>
  <c r="J265" i="3"/>
  <c r="J491" i="3"/>
  <c r="J390" i="3"/>
  <c r="J268" i="3"/>
  <c r="J393" i="3"/>
  <c r="J494" i="3"/>
  <c r="J392" i="3"/>
  <c r="J267" i="3"/>
  <c r="I469" i="3"/>
  <c r="I54" i="3"/>
  <c r="J495" i="3"/>
  <c r="J269" i="3"/>
  <c r="J394" i="3"/>
  <c r="J396" i="3"/>
  <c r="J271" i="3"/>
  <c r="J497" i="3"/>
  <c r="I470" i="3"/>
  <c r="I55" i="3"/>
  <c r="I471" i="3" s="1"/>
  <c r="AL420" i="3" l="1"/>
  <c r="AL421" i="3" s="1"/>
  <c r="AL422" i="3" s="1"/>
  <c r="AL423" i="3" s="1"/>
  <c r="AL424" i="3" s="1"/>
  <c r="AL425" i="3" s="1"/>
  <c r="AL426" i="3" s="1"/>
  <c r="AL427" i="3" s="1"/>
  <c r="AL428" i="3" s="1"/>
  <c r="AL429" i="3" s="1"/>
  <c r="AL430" i="3" s="1"/>
  <c r="AL431" i="3" s="1"/>
  <c r="AL432" i="3" s="1"/>
  <c r="AP415" i="3"/>
  <c r="AP416" i="3" s="1"/>
  <c r="AP417" i="3" s="1"/>
  <c r="AP418" i="3" s="1"/>
  <c r="AP419" i="3" s="1"/>
  <c r="AP420" i="3" s="1"/>
  <c r="AP421" i="3" s="1"/>
  <c r="AP422" i="3" s="1"/>
  <c r="AP423" i="3" s="1"/>
  <c r="AP424" i="3" s="1"/>
  <c r="AP425" i="3" s="1"/>
  <c r="AN414" i="3"/>
  <c r="AN415" i="3" s="1"/>
  <c r="AM415" i="3"/>
  <c r="AM416" i="3" s="1"/>
  <c r="AO415" i="3"/>
  <c r="AO416" i="3" s="1"/>
  <c r="AO417" i="3" s="1"/>
  <c r="AO418" i="3" s="1"/>
  <c r="AO419" i="3" s="1"/>
  <c r="I23" i="3"/>
  <c r="I245" i="3" s="1"/>
  <c r="I22" i="3"/>
  <c r="I21" i="3"/>
  <c r="I338" i="3" s="1"/>
  <c r="J244" i="3"/>
  <c r="J15" i="3"/>
  <c r="J275" i="3"/>
  <c r="J305" i="3"/>
  <c r="J276" i="3"/>
  <c r="J306" i="3"/>
  <c r="J277" i="3"/>
  <c r="J307" i="3"/>
  <c r="J245" i="3"/>
  <c r="J243" i="3"/>
  <c r="H83" i="3"/>
  <c r="H52" i="3"/>
  <c r="H19" i="3"/>
  <c r="H9" i="3"/>
  <c r="H6" i="3"/>
  <c r="H4" i="3"/>
  <c r="J480" i="3"/>
  <c r="J477" i="3"/>
  <c r="J489" i="3"/>
  <c r="I61" i="3"/>
  <c r="I76" i="3"/>
  <c r="I66" i="3"/>
  <c r="I69" i="3"/>
  <c r="I266" i="3"/>
  <c r="I391" i="3"/>
  <c r="J500" i="3"/>
  <c r="I78" i="3"/>
  <c r="I393" i="3" s="1"/>
  <c r="I80" i="3"/>
  <c r="I62" i="3"/>
  <c r="H53" i="3"/>
  <c r="I270" i="3"/>
  <c r="I494" i="3"/>
  <c r="I492" i="3"/>
  <c r="J529" i="3"/>
  <c r="I74" i="3"/>
  <c r="I60" i="3"/>
  <c r="I395" i="3"/>
  <c r="I75" i="3"/>
  <c r="I390" i="3"/>
  <c r="J487" i="3"/>
  <c r="J476" i="3"/>
  <c r="J473" i="3"/>
  <c r="J475" i="3"/>
  <c r="H54" i="3"/>
  <c r="J499" i="3"/>
  <c r="J486" i="3"/>
  <c r="J484" i="3"/>
  <c r="J530" i="3"/>
  <c r="I64" i="3"/>
  <c r="I58" i="3"/>
  <c r="I59" i="3"/>
  <c r="H55" i="3"/>
  <c r="H471" i="3" s="1"/>
  <c r="I490" i="3"/>
  <c r="I496" i="3"/>
  <c r="J488" i="3"/>
  <c r="I65" i="3"/>
  <c r="J478" i="3"/>
  <c r="J481" i="3"/>
  <c r="J501" i="3"/>
  <c r="I73" i="3"/>
  <c r="I72" i="3"/>
  <c r="I57" i="3"/>
  <c r="I268" i="3"/>
  <c r="H469" i="3"/>
  <c r="J483" i="3"/>
  <c r="J531" i="3"/>
  <c r="I79" i="3"/>
  <c r="I394" i="3" s="1"/>
  <c r="I68" i="3"/>
  <c r="I81" i="3"/>
  <c r="I271" i="3" s="1"/>
  <c r="I264" i="3"/>
  <c r="H470" i="3"/>
  <c r="I495" i="3"/>
  <c r="J479" i="3"/>
  <c r="J482" i="3"/>
  <c r="J474" i="3"/>
  <c r="I67" i="3"/>
  <c r="I63" i="3"/>
  <c r="I77" i="3"/>
  <c r="I70" i="3"/>
  <c r="I265" i="3"/>
  <c r="I491" i="3"/>
  <c r="I497" i="3"/>
  <c r="I71" i="3"/>
  <c r="I389" i="3"/>
  <c r="J485" i="3"/>
  <c r="I56" i="3"/>
  <c r="I472" i="3" s="1"/>
  <c r="I269" i="3"/>
  <c r="I396" i="3"/>
  <c r="I493" i="3"/>
  <c r="I392" i="3"/>
  <c r="I267" i="3"/>
  <c r="AN416" i="3" l="1"/>
  <c r="AN417" i="3" s="1"/>
  <c r="AN418" i="3" s="1"/>
  <c r="AN419" i="3" s="1"/>
  <c r="AN420" i="3" s="1"/>
  <c r="AN421" i="3" s="1"/>
  <c r="AN422" i="3" s="1"/>
  <c r="AN423" i="3" s="1"/>
  <c r="AN424" i="3" s="1"/>
  <c r="AN425" i="3" s="1"/>
  <c r="AN426" i="3" s="1"/>
  <c r="AN427" i="3" s="1"/>
  <c r="AN428" i="3" s="1"/>
  <c r="AN429" i="3" s="1"/>
  <c r="AN430" i="3" s="1"/>
  <c r="AN431" i="3" s="1"/>
  <c r="AN432" i="3" s="1"/>
  <c r="AM417" i="3"/>
  <c r="AM418" i="3" s="1"/>
  <c r="AM419" i="3" s="1"/>
  <c r="AM420" i="3" s="1"/>
  <c r="AM421" i="3" s="1"/>
  <c r="AM422" i="3" s="1"/>
  <c r="AM423" i="3" s="1"/>
  <c r="AM424" i="3" s="1"/>
  <c r="AM425" i="3" s="1"/>
  <c r="AM426" i="3" s="1"/>
  <c r="AM427" i="3" s="1"/>
  <c r="AM428" i="3" s="1"/>
  <c r="AM429" i="3" s="1"/>
  <c r="AM430" i="3" s="1"/>
  <c r="AM431" i="3" s="1"/>
  <c r="AM432" i="3" s="1"/>
  <c r="AP426" i="3"/>
  <c r="AP427" i="3" s="1"/>
  <c r="AP428" i="3" s="1"/>
  <c r="AP429" i="3" s="1"/>
  <c r="AP430" i="3" s="1"/>
  <c r="AP431" i="3" s="1"/>
  <c r="AP432" i="3" s="1"/>
  <c r="AO420" i="3"/>
  <c r="AO421" i="3" s="1"/>
  <c r="AO422" i="3" s="1"/>
  <c r="AO423" i="3" s="1"/>
  <c r="AO424" i="3" s="1"/>
  <c r="AO425" i="3" s="1"/>
  <c r="AO426" i="3" s="1"/>
  <c r="AO427" i="3" s="1"/>
  <c r="AO428" i="3" s="1"/>
  <c r="AO429" i="3" s="1"/>
  <c r="AO430" i="3" s="1"/>
  <c r="AO431" i="3" s="1"/>
  <c r="AO432" i="3" s="1"/>
  <c r="H23" i="3"/>
  <c r="H22" i="3"/>
  <c r="H339" i="3" s="1"/>
  <c r="H21" i="3"/>
  <c r="H338" i="3" s="1"/>
  <c r="I244" i="3"/>
  <c r="I339" i="3"/>
  <c r="I15" i="3"/>
  <c r="I277" i="3"/>
  <c r="I307" i="3"/>
  <c r="I275" i="3"/>
  <c r="I305" i="3"/>
  <c r="I276" i="3"/>
  <c r="I306" i="3"/>
  <c r="I243" i="3"/>
  <c r="G83" i="3"/>
  <c r="G52" i="3"/>
  <c r="G19" i="3"/>
  <c r="G9" i="3"/>
  <c r="G6" i="3"/>
  <c r="G4" i="3"/>
  <c r="E83" i="3"/>
  <c r="I487" i="3"/>
  <c r="I481" i="3"/>
  <c r="I477" i="3"/>
  <c r="H63" i="3"/>
  <c r="H59" i="3"/>
  <c r="H72" i="3"/>
  <c r="H70" i="3"/>
  <c r="I486" i="3"/>
  <c r="I475" i="3"/>
  <c r="I501" i="3"/>
  <c r="H74" i="3"/>
  <c r="H389" i="3" s="1"/>
  <c r="H71" i="3"/>
  <c r="H78" i="3"/>
  <c r="H60" i="3"/>
  <c r="H490" i="3"/>
  <c r="I479" i="3"/>
  <c r="I474" i="3"/>
  <c r="I531" i="3"/>
  <c r="H66" i="3"/>
  <c r="H69" i="3"/>
  <c r="H61" i="3"/>
  <c r="I483" i="3"/>
  <c r="I480" i="3"/>
  <c r="I484" i="3"/>
  <c r="I476" i="3"/>
  <c r="I473" i="3"/>
  <c r="I478" i="3"/>
  <c r="I529" i="3"/>
  <c r="H79" i="3"/>
  <c r="H80" i="3"/>
  <c r="H67" i="3"/>
  <c r="H495" i="3"/>
  <c r="H62" i="3"/>
  <c r="H268" i="3"/>
  <c r="H77" i="3"/>
  <c r="H264" i="3"/>
  <c r="H394" i="3"/>
  <c r="I488" i="3"/>
  <c r="I485" i="3"/>
  <c r="I530" i="3"/>
  <c r="H64" i="3"/>
  <c r="H57" i="3"/>
  <c r="H73" i="3"/>
  <c r="H269" i="3"/>
  <c r="H393" i="3"/>
  <c r="H494" i="3"/>
  <c r="H58" i="3"/>
  <c r="H493" i="3"/>
  <c r="I500" i="3"/>
  <c r="H81" i="3"/>
  <c r="I489" i="3"/>
  <c r="I482" i="3"/>
  <c r="H68" i="3"/>
  <c r="H76" i="3"/>
  <c r="H391" i="3" s="1"/>
  <c r="H75" i="3"/>
  <c r="H65" i="3"/>
  <c r="H266" i="3"/>
  <c r="H492" i="3"/>
  <c r="I499" i="3"/>
  <c r="H56" i="3"/>
  <c r="H472" i="3" s="1"/>
  <c r="H496" i="3"/>
  <c r="G53" i="3"/>
  <c r="G54" i="3" s="1"/>
  <c r="G469" i="3"/>
  <c r="H395" i="3"/>
  <c r="H270" i="3"/>
  <c r="H267" i="3"/>
  <c r="H392" i="3"/>
  <c r="H497" i="3"/>
  <c r="H396" i="3"/>
  <c r="H271" i="3"/>
  <c r="H390" i="3"/>
  <c r="H491" i="3"/>
  <c r="H265" i="3"/>
  <c r="G470" i="3"/>
  <c r="G55" i="3"/>
  <c r="G471" i="3" s="1"/>
  <c r="G23" i="3" l="1"/>
  <c r="G22" i="3"/>
  <c r="G339" i="3" s="1"/>
  <c r="G21" i="3"/>
  <c r="G338" i="3" s="1"/>
  <c r="H276" i="3"/>
  <c r="H306" i="3"/>
  <c r="H277" i="3"/>
  <c r="H307" i="3"/>
  <c r="H244" i="3"/>
  <c r="H245" i="3"/>
  <c r="H275" i="3"/>
  <c r="H305" i="3"/>
  <c r="H15" i="3"/>
  <c r="H243" i="3"/>
  <c r="F9" i="3"/>
  <c r="H481" i="3"/>
  <c r="H477" i="3"/>
  <c r="H479" i="3"/>
  <c r="H500" i="3"/>
  <c r="G78" i="3"/>
  <c r="G59" i="3"/>
  <c r="G70" i="3"/>
  <c r="G268" i="3"/>
  <c r="H485" i="3"/>
  <c r="H529" i="3"/>
  <c r="G60" i="3"/>
  <c r="G62" i="3"/>
  <c r="H476" i="3"/>
  <c r="G73" i="3"/>
  <c r="G494" i="3"/>
  <c r="H487" i="3"/>
  <c r="H486" i="3"/>
  <c r="G63" i="3"/>
  <c r="G79" i="3"/>
  <c r="G394" i="3" s="1"/>
  <c r="G72" i="3"/>
  <c r="G57" i="3"/>
  <c r="H484" i="3"/>
  <c r="G67" i="3"/>
  <c r="G61" i="3"/>
  <c r="G80" i="3"/>
  <c r="G496" i="3" s="1"/>
  <c r="H474" i="3"/>
  <c r="H482" i="3"/>
  <c r="H499" i="3"/>
  <c r="G76" i="3"/>
  <c r="G56" i="3"/>
  <c r="G58" i="3"/>
  <c r="G393" i="3"/>
  <c r="G395" i="3"/>
  <c r="H489" i="3"/>
  <c r="H530" i="3"/>
  <c r="G68" i="3"/>
  <c r="H473" i="3"/>
  <c r="H501" i="3"/>
  <c r="G81" i="3"/>
  <c r="G271" i="3" s="1"/>
  <c r="G71" i="3"/>
  <c r="G270" i="3"/>
  <c r="G391" i="3"/>
  <c r="H480" i="3"/>
  <c r="G65" i="3"/>
  <c r="G69" i="3"/>
  <c r="G269" i="3"/>
  <c r="G495" i="3"/>
  <c r="G75" i="3"/>
  <c r="G396" i="3"/>
  <c r="G66" i="3"/>
  <c r="G472" i="3"/>
  <c r="G74" i="3"/>
  <c r="H478" i="3"/>
  <c r="H488" i="3"/>
  <c r="G77" i="3"/>
  <c r="G497" i="3"/>
  <c r="H483" i="3"/>
  <c r="H475" i="3"/>
  <c r="H531" i="3"/>
  <c r="G64" i="3"/>
  <c r="G492" i="3"/>
  <c r="G266" i="3"/>
  <c r="G265" i="3"/>
  <c r="G491" i="3"/>
  <c r="G390" i="3"/>
  <c r="G264" i="3"/>
  <c r="G490" i="3"/>
  <c r="G389" i="3"/>
  <c r="G267" i="3"/>
  <c r="G493" i="3"/>
  <c r="G392" i="3"/>
  <c r="G275" i="3" l="1"/>
  <c r="G305" i="3"/>
  <c r="G276" i="3"/>
  <c r="G306" i="3"/>
  <c r="G277" i="3"/>
  <c r="G307" i="3"/>
  <c r="G244" i="3"/>
  <c r="G245" i="3"/>
  <c r="G15" i="3"/>
  <c r="G243" i="3"/>
  <c r="F83" i="3"/>
  <c r="F52" i="3"/>
  <c r="F19" i="3"/>
  <c r="F6" i="3"/>
  <c r="F4" i="3"/>
  <c r="G480" i="3"/>
  <c r="G483" i="3"/>
  <c r="G475" i="3"/>
  <c r="G529" i="3"/>
  <c r="G482" i="3"/>
  <c r="G473" i="3"/>
  <c r="G531" i="3"/>
  <c r="G485" i="3"/>
  <c r="G488" i="3"/>
  <c r="G481" i="3"/>
  <c r="G479" i="3"/>
  <c r="G499" i="3"/>
  <c r="G487" i="3"/>
  <c r="G484" i="3"/>
  <c r="G501" i="3"/>
  <c r="G474" i="3"/>
  <c r="G476" i="3"/>
  <c r="F53" i="3"/>
  <c r="F469" i="3" s="1"/>
  <c r="G477" i="3"/>
  <c r="F54" i="3"/>
  <c r="G530" i="3"/>
  <c r="G489" i="3"/>
  <c r="G500" i="3"/>
  <c r="G478" i="3"/>
  <c r="G486" i="3"/>
  <c r="F470" i="3"/>
  <c r="F55" i="3"/>
  <c r="F471" i="3" s="1"/>
  <c r="F23" i="3" l="1"/>
  <c r="F245" i="3" s="1"/>
  <c r="F22" i="3"/>
  <c r="F339" i="3" s="1"/>
  <c r="F21" i="3"/>
  <c r="F338" i="3" s="1"/>
  <c r="E19" i="3"/>
  <c r="E6" i="3"/>
  <c r="E4" i="3"/>
  <c r="E52" i="3"/>
  <c r="C26" i="2"/>
  <c r="DA11" i="2" s="1"/>
  <c r="CF95" i="2"/>
  <c r="CH95" i="2" s="1"/>
  <c r="CE95" i="2"/>
  <c r="CG95" i="2" s="1"/>
  <c r="AK95" i="2"/>
  <c r="AM95" i="2" s="1"/>
  <c r="AJ95" i="2"/>
  <c r="AL95" i="2" s="1"/>
  <c r="CF94" i="2"/>
  <c r="CH94" i="2" s="1"/>
  <c r="CE94" i="2"/>
  <c r="CG94" i="2" s="1"/>
  <c r="AK94" i="2"/>
  <c r="AM94" i="2" s="1"/>
  <c r="AJ94" i="2"/>
  <c r="AL94" i="2" s="1"/>
  <c r="CF93" i="2"/>
  <c r="CH93" i="2" s="1"/>
  <c r="CE93" i="2"/>
  <c r="CG93" i="2" s="1"/>
  <c r="AK93" i="2"/>
  <c r="AM93" i="2" s="1"/>
  <c r="AJ93" i="2"/>
  <c r="AL93" i="2" s="1"/>
  <c r="CF92" i="2"/>
  <c r="CH92" i="2" s="1"/>
  <c r="CE92" i="2"/>
  <c r="CG92" i="2" s="1"/>
  <c r="AK92" i="2"/>
  <c r="AM92" i="2" s="1"/>
  <c r="AJ92" i="2"/>
  <c r="AL92" i="2" s="1"/>
  <c r="CF91" i="2"/>
  <c r="CH91" i="2" s="1"/>
  <c r="CE91" i="2"/>
  <c r="CG91" i="2" s="1"/>
  <c r="AK91" i="2"/>
  <c r="AM91" i="2" s="1"/>
  <c r="AJ91" i="2"/>
  <c r="AL91" i="2" s="1"/>
  <c r="CF90" i="2"/>
  <c r="CH90" i="2" s="1"/>
  <c r="CE90" i="2"/>
  <c r="CG90" i="2" s="1"/>
  <c r="AK90" i="2"/>
  <c r="AM90" i="2" s="1"/>
  <c r="AJ90" i="2"/>
  <c r="AL90" i="2" s="1"/>
  <c r="CF89" i="2"/>
  <c r="CH89" i="2" s="1"/>
  <c r="CE89" i="2"/>
  <c r="CG89" i="2" s="1"/>
  <c r="AK89" i="2"/>
  <c r="AM89" i="2" s="1"/>
  <c r="AJ89" i="2"/>
  <c r="AL89" i="2" s="1"/>
  <c r="CF88" i="2"/>
  <c r="CH88" i="2" s="1"/>
  <c r="CE88" i="2"/>
  <c r="CG88" i="2" s="1"/>
  <c r="AK88" i="2"/>
  <c r="AM88" i="2" s="1"/>
  <c r="AJ88" i="2"/>
  <c r="AL88" i="2" s="1"/>
  <c r="CF87" i="2"/>
  <c r="CH87" i="2" s="1"/>
  <c r="CE87" i="2"/>
  <c r="CG87" i="2" s="1"/>
  <c r="AK87" i="2"/>
  <c r="AM87" i="2" s="1"/>
  <c r="AJ87" i="2"/>
  <c r="AL87" i="2" s="1"/>
  <c r="CF86" i="2"/>
  <c r="CH86" i="2" s="1"/>
  <c r="CE86" i="2"/>
  <c r="CG86" i="2" s="1"/>
  <c r="AK86" i="2"/>
  <c r="AM86" i="2" s="1"/>
  <c r="AJ86" i="2"/>
  <c r="AL86" i="2" s="1"/>
  <c r="CF85" i="2"/>
  <c r="CH85" i="2" s="1"/>
  <c r="CE85" i="2"/>
  <c r="CG85" i="2" s="1"/>
  <c r="AK85" i="2"/>
  <c r="AM85" i="2" s="1"/>
  <c r="AJ85" i="2"/>
  <c r="AL85" i="2" s="1"/>
  <c r="CF84" i="2"/>
  <c r="CH84" i="2" s="1"/>
  <c r="CE84" i="2"/>
  <c r="CG84" i="2" s="1"/>
  <c r="AK84" i="2"/>
  <c r="AM84" i="2" s="1"/>
  <c r="AJ84" i="2"/>
  <c r="AL84" i="2" s="1"/>
  <c r="CF83" i="2"/>
  <c r="CH83" i="2" s="1"/>
  <c r="CE83" i="2"/>
  <c r="CG83" i="2" s="1"/>
  <c r="AK83" i="2"/>
  <c r="AM83" i="2" s="1"/>
  <c r="AJ83" i="2"/>
  <c r="AL83" i="2" s="1"/>
  <c r="CF82" i="2"/>
  <c r="CH82" i="2" s="1"/>
  <c r="CE82" i="2"/>
  <c r="CG82" i="2" s="1"/>
  <c r="AK82" i="2"/>
  <c r="AM82" i="2" s="1"/>
  <c r="AJ82" i="2"/>
  <c r="AL82" i="2" s="1"/>
  <c r="CF81" i="2"/>
  <c r="CH81" i="2" s="1"/>
  <c r="CE81" i="2"/>
  <c r="CG81" i="2" s="1"/>
  <c r="AK81" i="2"/>
  <c r="AM81" i="2" s="1"/>
  <c r="AJ81" i="2"/>
  <c r="AL81" i="2" s="1"/>
  <c r="CF80" i="2"/>
  <c r="CH80" i="2" s="1"/>
  <c r="CE80" i="2"/>
  <c r="CG80" i="2" s="1"/>
  <c r="AK80" i="2"/>
  <c r="AM80" i="2" s="1"/>
  <c r="AJ80" i="2"/>
  <c r="AL80" i="2" s="1"/>
  <c r="F80" i="2"/>
  <c r="CF79" i="2"/>
  <c r="CH79" i="2" s="1"/>
  <c r="CE79" i="2"/>
  <c r="CG79" i="2" s="1"/>
  <c r="AK79" i="2"/>
  <c r="AM79" i="2" s="1"/>
  <c r="AJ79" i="2"/>
  <c r="AL79" i="2" s="1"/>
  <c r="F79" i="2"/>
  <c r="CF78" i="2"/>
  <c r="CH78" i="2" s="1"/>
  <c r="CE78" i="2"/>
  <c r="CG78" i="2" s="1"/>
  <c r="AK78" i="2"/>
  <c r="AM78" i="2" s="1"/>
  <c r="AJ78" i="2"/>
  <c r="AL78" i="2" s="1"/>
  <c r="F78" i="2"/>
  <c r="CF77" i="2"/>
  <c r="CH77" i="2" s="1"/>
  <c r="CE77" i="2"/>
  <c r="CG77" i="2" s="1"/>
  <c r="AK77" i="2"/>
  <c r="AM77" i="2" s="1"/>
  <c r="AJ77" i="2"/>
  <c r="AL77" i="2" s="1"/>
  <c r="F77" i="2"/>
  <c r="C77" i="2"/>
  <c r="CF76" i="2"/>
  <c r="CH76" i="2" s="1"/>
  <c r="CE76" i="2"/>
  <c r="CG76" i="2" s="1"/>
  <c r="AK76" i="2"/>
  <c r="AM76" i="2" s="1"/>
  <c r="AJ76" i="2"/>
  <c r="AL76" i="2" s="1"/>
  <c r="F76" i="2"/>
  <c r="CF75" i="2"/>
  <c r="CH75" i="2" s="1"/>
  <c r="CE75" i="2"/>
  <c r="CG75" i="2" s="1"/>
  <c r="AK75" i="2"/>
  <c r="AM75" i="2" s="1"/>
  <c r="AJ75" i="2"/>
  <c r="AL75" i="2" s="1"/>
  <c r="F75" i="2"/>
  <c r="CF74" i="2"/>
  <c r="CH74" i="2" s="1"/>
  <c r="CE74" i="2"/>
  <c r="CG74" i="2" s="1"/>
  <c r="AK74" i="2"/>
  <c r="AM74" i="2" s="1"/>
  <c r="AJ74" i="2"/>
  <c r="AL74" i="2" s="1"/>
  <c r="F74" i="2"/>
  <c r="CF73" i="2"/>
  <c r="CH73" i="2" s="1"/>
  <c r="CE73" i="2"/>
  <c r="CG73" i="2" s="1"/>
  <c r="AK73" i="2"/>
  <c r="AM73" i="2" s="1"/>
  <c r="AJ73" i="2"/>
  <c r="AL73" i="2" s="1"/>
  <c r="F73" i="2"/>
  <c r="CF72" i="2"/>
  <c r="CH72" i="2" s="1"/>
  <c r="CE72" i="2"/>
  <c r="CG72" i="2" s="1"/>
  <c r="AK72" i="2"/>
  <c r="AM72" i="2" s="1"/>
  <c r="AJ72" i="2"/>
  <c r="AL72" i="2" s="1"/>
  <c r="F72" i="2"/>
  <c r="B72" i="2"/>
  <c r="CF71" i="2"/>
  <c r="CH71" i="2" s="1"/>
  <c r="CE71" i="2"/>
  <c r="CG71" i="2" s="1"/>
  <c r="AK71" i="2"/>
  <c r="AM71" i="2" s="1"/>
  <c r="AJ71" i="2"/>
  <c r="AL71" i="2" s="1"/>
  <c r="F71" i="2"/>
  <c r="B71" i="2"/>
  <c r="CF70" i="2"/>
  <c r="CH70" i="2" s="1"/>
  <c r="CE70" i="2"/>
  <c r="CG70" i="2" s="1"/>
  <c r="AK70" i="2"/>
  <c r="AM70" i="2" s="1"/>
  <c r="AJ70" i="2"/>
  <c r="AL70" i="2" s="1"/>
  <c r="F70" i="2"/>
  <c r="B70" i="2"/>
  <c r="CF69" i="2"/>
  <c r="CH69" i="2" s="1"/>
  <c r="CE69" i="2"/>
  <c r="CG69" i="2" s="1"/>
  <c r="AK69" i="2"/>
  <c r="AM69" i="2" s="1"/>
  <c r="AJ69" i="2"/>
  <c r="AL69" i="2" s="1"/>
  <c r="F69" i="2"/>
  <c r="B69" i="2"/>
  <c r="CF68" i="2"/>
  <c r="CH68" i="2" s="1"/>
  <c r="CE68" i="2"/>
  <c r="CG68" i="2" s="1"/>
  <c r="AK68" i="2"/>
  <c r="AM68" i="2" s="1"/>
  <c r="AJ68" i="2"/>
  <c r="AL68" i="2" s="1"/>
  <c r="F68" i="2"/>
  <c r="B68" i="2"/>
  <c r="CF67" i="2"/>
  <c r="CH67" i="2" s="1"/>
  <c r="CE67" i="2"/>
  <c r="CG67" i="2" s="1"/>
  <c r="AK67" i="2"/>
  <c r="AM67" i="2" s="1"/>
  <c r="AJ67" i="2"/>
  <c r="AL67" i="2" s="1"/>
  <c r="F67" i="2"/>
  <c r="C67" i="2"/>
  <c r="B67" i="2"/>
  <c r="CF66" i="2"/>
  <c r="CH66" i="2" s="1"/>
  <c r="CE66" i="2"/>
  <c r="CG66" i="2" s="1"/>
  <c r="AK66" i="2"/>
  <c r="AM66" i="2" s="1"/>
  <c r="AJ66" i="2"/>
  <c r="AL66" i="2" s="1"/>
  <c r="F66" i="2"/>
  <c r="C66" i="2"/>
  <c r="B66" i="2"/>
  <c r="CF65" i="2"/>
  <c r="CH65" i="2" s="1"/>
  <c r="CE65" i="2"/>
  <c r="CG65" i="2" s="1"/>
  <c r="AK65" i="2"/>
  <c r="AM65" i="2" s="1"/>
  <c r="AJ65" i="2"/>
  <c r="AL65" i="2" s="1"/>
  <c r="F65" i="2"/>
  <c r="C65" i="2"/>
  <c r="CF64" i="2"/>
  <c r="CH64" i="2" s="1"/>
  <c r="CE64" i="2"/>
  <c r="CG64" i="2" s="1"/>
  <c r="BF64" i="2"/>
  <c r="BG64" i="2" s="1"/>
  <c r="AK64" i="2"/>
  <c r="AM64" i="2" s="1"/>
  <c r="AJ64" i="2"/>
  <c r="AL64" i="2" s="1"/>
  <c r="F64" i="2"/>
  <c r="C64" i="2"/>
  <c r="B64" i="2"/>
  <c r="CF63" i="2"/>
  <c r="CH63" i="2" s="1"/>
  <c r="CE63" i="2"/>
  <c r="CG63" i="2" s="1"/>
  <c r="BF63" i="2"/>
  <c r="BG63" i="2" s="1"/>
  <c r="AK63" i="2"/>
  <c r="AM63" i="2" s="1"/>
  <c r="AJ63" i="2"/>
  <c r="AL63" i="2" s="1"/>
  <c r="F63" i="2"/>
  <c r="B63" i="2"/>
  <c r="CF62" i="2"/>
  <c r="CH62" i="2" s="1"/>
  <c r="CE62" i="2"/>
  <c r="CG62" i="2" s="1"/>
  <c r="BF62" i="2"/>
  <c r="BG62" i="2" s="1"/>
  <c r="AK62" i="2"/>
  <c r="AM62" i="2" s="1"/>
  <c r="AJ62" i="2"/>
  <c r="AL62" i="2" s="1"/>
  <c r="F62" i="2"/>
  <c r="C62" i="2"/>
  <c r="CF61" i="2"/>
  <c r="CH61" i="2" s="1"/>
  <c r="CE61" i="2"/>
  <c r="CG61" i="2" s="1"/>
  <c r="BF61" i="2"/>
  <c r="BG61" i="2" s="1"/>
  <c r="AK61" i="2"/>
  <c r="AM61" i="2" s="1"/>
  <c r="AJ61" i="2"/>
  <c r="AL61" i="2" s="1"/>
  <c r="F61" i="2"/>
  <c r="B61" i="2"/>
  <c r="CF60" i="2"/>
  <c r="CH60" i="2" s="1"/>
  <c r="CE60" i="2"/>
  <c r="CG60" i="2" s="1"/>
  <c r="BF60" i="2"/>
  <c r="BG60" i="2" s="1"/>
  <c r="AK60" i="2"/>
  <c r="AM60" i="2" s="1"/>
  <c r="AJ60" i="2"/>
  <c r="AL60" i="2" s="1"/>
  <c r="F60" i="2"/>
  <c r="B60" i="2"/>
  <c r="CF59" i="2"/>
  <c r="CH59" i="2" s="1"/>
  <c r="CE59" i="2"/>
  <c r="CG59" i="2" s="1"/>
  <c r="BF59" i="2"/>
  <c r="BG59" i="2" s="1"/>
  <c r="AK59" i="2"/>
  <c r="AM59" i="2" s="1"/>
  <c r="AJ59" i="2"/>
  <c r="AL59" i="2" s="1"/>
  <c r="F59" i="2"/>
  <c r="B59" i="2"/>
  <c r="CF58" i="2"/>
  <c r="CH58" i="2" s="1"/>
  <c r="CE58" i="2"/>
  <c r="CG58" i="2" s="1"/>
  <c r="BF58" i="2"/>
  <c r="BG58" i="2" s="1"/>
  <c r="AK58" i="2"/>
  <c r="AM58" i="2" s="1"/>
  <c r="AJ58" i="2"/>
  <c r="AL58" i="2" s="1"/>
  <c r="F58" i="2"/>
  <c r="C58" i="2"/>
  <c r="B58" i="2"/>
  <c r="CF57" i="2"/>
  <c r="CH57" i="2" s="1"/>
  <c r="CE57" i="2"/>
  <c r="CG57" i="2" s="1"/>
  <c r="BF57" i="2"/>
  <c r="BG57" i="2" s="1"/>
  <c r="AK57" i="2"/>
  <c r="AM57" i="2" s="1"/>
  <c r="AJ57" i="2"/>
  <c r="AL57" i="2" s="1"/>
  <c r="F57" i="2"/>
  <c r="CF56" i="2"/>
  <c r="CH56" i="2" s="1"/>
  <c r="CE56" i="2"/>
  <c r="CG56" i="2" s="1"/>
  <c r="BF56" i="2"/>
  <c r="BG56" i="2" s="1"/>
  <c r="AK56" i="2"/>
  <c r="AM56" i="2" s="1"/>
  <c r="AJ56" i="2"/>
  <c r="AL56" i="2" s="1"/>
  <c r="F56" i="2"/>
  <c r="CF55" i="2"/>
  <c r="CH55" i="2" s="1"/>
  <c r="CE55" i="2"/>
  <c r="CG55" i="2" s="1"/>
  <c r="BF55" i="2"/>
  <c r="BG55" i="2" s="1"/>
  <c r="AK55" i="2"/>
  <c r="AM55" i="2" s="1"/>
  <c r="AJ55" i="2"/>
  <c r="AL55" i="2" s="1"/>
  <c r="F55" i="2"/>
  <c r="C55" i="2"/>
  <c r="CF54" i="2"/>
  <c r="CH54" i="2" s="1"/>
  <c r="CE54" i="2"/>
  <c r="CG54" i="2" s="1"/>
  <c r="BF54" i="2"/>
  <c r="BG54" i="2" s="1"/>
  <c r="AK54" i="2"/>
  <c r="AM54" i="2" s="1"/>
  <c r="AJ54" i="2"/>
  <c r="AL54" i="2" s="1"/>
  <c r="F54" i="2"/>
  <c r="CF53" i="2"/>
  <c r="CH53" i="2" s="1"/>
  <c r="CE53" i="2"/>
  <c r="CG53" i="2" s="1"/>
  <c r="BF53" i="2"/>
  <c r="BG53" i="2" s="1"/>
  <c r="AK53" i="2"/>
  <c r="AM53" i="2" s="1"/>
  <c r="AJ53" i="2"/>
  <c r="AL53" i="2" s="1"/>
  <c r="F53" i="2"/>
  <c r="CF52" i="2"/>
  <c r="CH52" i="2" s="1"/>
  <c r="CE52" i="2"/>
  <c r="CG52" i="2" s="1"/>
  <c r="BF52" i="2"/>
  <c r="BG52" i="2" s="1"/>
  <c r="AK52" i="2"/>
  <c r="AM52" i="2" s="1"/>
  <c r="AJ52" i="2"/>
  <c r="AL52" i="2" s="1"/>
  <c r="F52" i="2"/>
  <c r="CF51" i="2"/>
  <c r="CH51" i="2" s="1"/>
  <c r="CE51" i="2"/>
  <c r="CG51" i="2" s="1"/>
  <c r="BF51" i="2"/>
  <c r="BG51" i="2" s="1"/>
  <c r="AK51" i="2"/>
  <c r="AM51" i="2" s="1"/>
  <c r="AJ51" i="2"/>
  <c r="AL51" i="2" s="1"/>
  <c r="F51" i="2"/>
  <c r="CF50" i="2"/>
  <c r="CH50" i="2" s="1"/>
  <c r="CE50" i="2"/>
  <c r="CG50" i="2" s="1"/>
  <c r="BF50" i="2"/>
  <c r="BG50" i="2" s="1"/>
  <c r="AK50" i="2"/>
  <c r="AM50" i="2" s="1"/>
  <c r="AJ50" i="2"/>
  <c r="AL50" i="2" s="1"/>
  <c r="F50" i="2"/>
  <c r="CF49" i="2"/>
  <c r="CH49" i="2" s="1"/>
  <c r="CE49" i="2"/>
  <c r="CG49" i="2" s="1"/>
  <c r="BF49" i="2"/>
  <c r="BG49" i="2" s="1"/>
  <c r="AK49" i="2"/>
  <c r="AM49" i="2" s="1"/>
  <c r="AJ49" i="2"/>
  <c r="AL49" i="2" s="1"/>
  <c r="F49" i="2"/>
  <c r="CF48" i="2"/>
  <c r="CH48" i="2" s="1"/>
  <c r="CE48" i="2"/>
  <c r="CG48" i="2" s="1"/>
  <c r="BF48" i="2"/>
  <c r="BG48" i="2" s="1"/>
  <c r="AK48" i="2"/>
  <c r="AM48" i="2" s="1"/>
  <c r="AJ48" i="2"/>
  <c r="AL48" i="2" s="1"/>
  <c r="F48" i="2"/>
  <c r="CF47" i="2"/>
  <c r="CH47" i="2" s="1"/>
  <c r="CE47" i="2"/>
  <c r="CG47" i="2" s="1"/>
  <c r="BF47" i="2"/>
  <c r="BG47" i="2" s="1"/>
  <c r="AK47" i="2"/>
  <c r="AM47" i="2" s="1"/>
  <c r="AJ47" i="2"/>
  <c r="AL47" i="2" s="1"/>
  <c r="F47" i="2"/>
  <c r="CF46" i="2"/>
  <c r="CH46" i="2" s="1"/>
  <c r="CE46" i="2"/>
  <c r="CG46" i="2" s="1"/>
  <c r="BF46" i="2"/>
  <c r="BG46" i="2" s="1"/>
  <c r="AK46" i="2"/>
  <c r="AM46" i="2" s="1"/>
  <c r="AJ46" i="2"/>
  <c r="AL46" i="2" s="1"/>
  <c r="F46" i="2"/>
  <c r="CF45" i="2"/>
  <c r="CH45" i="2" s="1"/>
  <c r="CE45" i="2"/>
  <c r="CG45" i="2" s="1"/>
  <c r="BF45" i="2"/>
  <c r="BG45" i="2" s="1"/>
  <c r="AK45" i="2"/>
  <c r="AM45" i="2" s="1"/>
  <c r="AJ45" i="2"/>
  <c r="AL45" i="2" s="1"/>
  <c r="F45" i="2"/>
  <c r="CF44" i="2"/>
  <c r="CH44" i="2" s="1"/>
  <c r="CE44" i="2"/>
  <c r="CG44" i="2" s="1"/>
  <c r="BF44" i="2"/>
  <c r="BG44" i="2" s="1"/>
  <c r="AK44" i="2"/>
  <c r="AM44" i="2" s="1"/>
  <c r="AJ44" i="2"/>
  <c r="AL44" i="2" s="1"/>
  <c r="F44" i="2"/>
  <c r="CF43" i="2"/>
  <c r="CH43" i="2" s="1"/>
  <c r="CE43" i="2"/>
  <c r="CG43" i="2" s="1"/>
  <c r="BF43" i="2"/>
  <c r="BG43" i="2" s="1"/>
  <c r="AK43" i="2"/>
  <c r="AM43" i="2" s="1"/>
  <c r="AJ43" i="2"/>
  <c r="AL43" i="2" s="1"/>
  <c r="F43" i="2"/>
  <c r="CF42" i="2"/>
  <c r="CH42" i="2" s="1"/>
  <c r="CE42" i="2"/>
  <c r="CG42" i="2" s="1"/>
  <c r="BF42" i="2"/>
  <c r="BG42" i="2" s="1"/>
  <c r="AK42" i="2"/>
  <c r="AM42" i="2" s="1"/>
  <c r="AJ42" i="2"/>
  <c r="AL42" i="2" s="1"/>
  <c r="F42" i="2"/>
  <c r="CF41" i="2"/>
  <c r="CH41" i="2" s="1"/>
  <c r="CE41" i="2"/>
  <c r="CG41" i="2" s="1"/>
  <c r="BF41" i="2"/>
  <c r="BG41" i="2" s="1"/>
  <c r="AK41" i="2"/>
  <c r="AM41" i="2" s="1"/>
  <c r="AJ41" i="2"/>
  <c r="AL41" i="2" s="1"/>
  <c r="F41" i="2"/>
  <c r="DJ40" i="2"/>
  <c r="DI40" i="2"/>
  <c r="DH40" i="2"/>
  <c r="DF40" i="2"/>
  <c r="CY40" i="2"/>
  <c r="CF40" i="2"/>
  <c r="CH40" i="2" s="1"/>
  <c r="CE40" i="2"/>
  <c r="CG40" i="2" s="1"/>
  <c r="BF40" i="2"/>
  <c r="BG40" i="2" s="1"/>
  <c r="AK40" i="2"/>
  <c r="AM40" i="2" s="1"/>
  <c r="AJ40" i="2"/>
  <c r="AL40" i="2" s="1"/>
  <c r="N40" i="2"/>
  <c r="M40" i="2"/>
  <c r="M41" i="2" s="1"/>
  <c r="F40" i="2"/>
  <c r="DJ39" i="2"/>
  <c r="DI39" i="2"/>
  <c r="DH39" i="2"/>
  <c r="DF39" i="2"/>
  <c r="CY39" i="2"/>
  <c r="CF39" i="2"/>
  <c r="CH39" i="2" s="1"/>
  <c r="CE39" i="2"/>
  <c r="CG39" i="2" s="1"/>
  <c r="BF39" i="2"/>
  <c r="BG39" i="2" s="1"/>
  <c r="AK39" i="2"/>
  <c r="AM39" i="2" s="1"/>
  <c r="AJ39" i="2"/>
  <c r="AL39" i="2" s="1"/>
  <c r="N39" i="2"/>
  <c r="F39" i="2"/>
  <c r="DJ38" i="2"/>
  <c r="DI38" i="2"/>
  <c r="DH38" i="2"/>
  <c r="DF38" i="2"/>
  <c r="CY38" i="2"/>
  <c r="CF38" i="2"/>
  <c r="CH38" i="2" s="1"/>
  <c r="CE38" i="2"/>
  <c r="CG38" i="2" s="1"/>
  <c r="BF38" i="2"/>
  <c r="BG38" i="2" s="1"/>
  <c r="AK38" i="2"/>
  <c r="AM38" i="2" s="1"/>
  <c r="AJ38" i="2"/>
  <c r="AL38" i="2" s="1"/>
  <c r="S38" i="2" a="1"/>
  <c r="S38" i="2" s="1"/>
  <c r="DJ37" i="2"/>
  <c r="DI37" i="2"/>
  <c r="DH37" i="2"/>
  <c r="DF37" i="2"/>
  <c r="CY37" i="2"/>
  <c r="CF37" i="2"/>
  <c r="CH37" i="2" s="1"/>
  <c r="CE37" i="2"/>
  <c r="CG37" i="2" s="1"/>
  <c r="BF37" i="2"/>
  <c r="BG37" i="2" s="1"/>
  <c r="AK37" i="2"/>
  <c r="AM37" i="2" s="1"/>
  <c r="AJ37" i="2"/>
  <c r="AL37" i="2" s="1"/>
  <c r="DJ36" i="2"/>
  <c r="DI36" i="2"/>
  <c r="DH36" i="2"/>
  <c r="DF36" i="2"/>
  <c r="CY36" i="2"/>
  <c r="CF36" i="2"/>
  <c r="CH36" i="2" s="1"/>
  <c r="CE36" i="2"/>
  <c r="CG36" i="2" s="1"/>
  <c r="BF36" i="2"/>
  <c r="BG36" i="2" s="1"/>
  <c r="AK36" i="2"/>
  <c r="AM36" i="2" s="1"/>
  <c r="AJ36" i="2"/>
  <c r="AL36" i="2" s="1"/>
  <c r="N36" i="2"/>
  <c r="DJ35" i="2"/>
  <c r="DI35" i="2"/>
  <c r="DH35" i="2"/>
  <c r="DF35" i="2"/>
  <c r="CY35" i="2"/>
  <c r="CF35" i="2"/>
  <c r="CH35" i="2" s="1"/>
  <c r="CE35" i="2"/>
  <c r="CG35" i="2" s="1"/>
  <c r="BF35" i="2"/>
  <c r="BG35" i="2" s="1"/>
  <c r="AK35" i="2"/>
  <c r="AM35" i="2" s="1"/>
  <c r="AJ35" i="2"/>
  <c r="AL35" i="2" s="1"/>
  <c r="N35" i="2"/>
  <c r="DJ34" i="2"/>
  <c r="DI34" i="2"/>
  <c r="DH34" i="2"/>
  <c r="DF34" i="2"/>
  <c r="CY34" i="2"/>
  <c r="CF34" i="2"/>
  <c r="CH34" i="2" s="1"/>
  <c r="CE34" i="2"/>
  <c r="CG34" i="2" s="1"/>
  <c r="BF34" i="2"/>
  <c r="BG34" i="2" s="1"/>
  <c r="AK34" i="2"/>
  <c r="AM34" i="2" s="1"/>
  <c r="AJ34" i="2"/>
  <c r="AL34" i="2" s="1"/>
  <c r="N34" i="2"/>
  <c r="DJ33" i="2"/>
  <c r="DI33" i="2"/>
  <c r="DH33" i="2"/>
  <c r="DF33" i="2"/>
  <c r="CY33" i="2"/>
  <c r="CF33" i="2"/>
  <c r="CH33" i="2" s="1"/>
  <c r="CE33" i="2"/>
  <c r="CG33" i="2" s="1"/>
  <c r="BF33" i="2"/>
  <c r="BG33" i="2" s="1"/>
  <c r="AK33" i="2"/>
  <c r="AM33" i="2" s="1"/>
  <c r="AJ33" i="2"/>
  <c r="AL33" i="2" s="1"/>
  <c r="DJ32" i="2"/>
  <c r="DI32" i="2"/>
  <c r="DH32" i="2"/>
  <c r="DF32" i="2"/>
  <c r="CY32" i="2"/>
  <c r="CF32" i="2"/>
  <c r="CH32" i="2" s="1"/>
  <c r="CE32" i="2"/>
  <c r="CG32" i="2" s="1"/>
  <c r="BF32" i="2"/>
  <c r="BG32" i="2" s="1"/>
  <c r="AK32" i="2"/>
  <c r="AM32" i="2" s="1"/>
  <c r="AJ32" i="2"/>
  <c r="AL32" i="2" s="1"/>
  <c r="DJ31" i="2"/>
  <c r="DI31" i="2"/>
  <c r="DH31" i="2"/>
  <c r="DF31" i="2"/>
  <c r="CY31" i="2"/>
  <c r="CF31" i="2"/>
  <c r="CH31" i="2" s="1"/>
  <c r="CE31" i="2"/>
  <c r="CG31" i="2" s="1"/>
  <c r="BF31" i="2"/>
  <c r="BG31" i="2" s="1"/>
  <c r="AK31" i="2"/>
  <c r="AM31" i="2" s="1"/>
  <c r="AJ31" i="2"/>
  <c r="AL31" i="2" s="1"/>
  <c r="DJ30" i="2"/>
  <c r="DI30" i="2"/>
  <c r="DH30" i="2"/>
  <c r="DF30" i="2"/>
  <c r="CY30" i="2"/>
  <c r="CF30" i="2"/>
  <c r="CH30" i="2" s="1"/>
  <c r="CE30" i="2"/>
  <c r="CG30" i="2" s="1"/>
  <c r="BF30" i="2"/>
  <c r="BG30" i="2" s="1"/>
  <c r="AK30" i="2"/>
  <c r="AM30" i="2" s="1"/>
  <c r="AJ30" i="2"/>
  <c r="AL30" i="2" s="1"/>
  <c r="DJ29" i="2"/>
  <c r="DI29" i="2"/>
  <c r="DH29" i="2"/>
  <c r="DF29" i="2"/>
  <c r="CY29" i="2"/>
  <c r="CF29" i="2"/>
  <c r="CH29" i="2" s="1"/>
  <c r="CE29" i="2"/>
  <c r="CG29" i="2" s="1"/>
  <c r="BF29" i="2"/>
  <c r="BG29" i="2" s="1"/>
  <c r="AK29" i="2"/>
  <c r="AM29" i="2" s="1"/>
  <c r="AJ29" i="2"/>
  <c r="AL29" i="2" s="1"/>
  <c r="DJ28" i="2"/>
  <c r="DI28" i="2"/>
  <c r="DH28" i="2"/>
  <c r="DF28" i="2"/>
  <c r="CY28" i="2"/>
  <c r="CF28" i="2"/>
  <c r="CH28" i="2" s="1"/>
  <c r="CE28" i="2"/>
  <c r="CG28" i="2" s="1"/>
  <c r="BF28" i="2"/>
  <c r="BG28" i="2" s="1"/>
  <c r="AK28" i="2"/>
  <c r="AM28" i="2" s="1"/>
  <c r="AJ28" i="2"/>
  <c r="AL28" i="2" s="1"/>
  <c r="DJ27" i="2"/>
  <c r="DI27" i="2"/>
  <c r="DH27" i="2"/>
  <c r="DF27" i="2"/>
  <c r="CY27" i="2"/>
  <c r="CF27" i="2"/>
  <c r="CH27" i="2" s="1"/>
  <c r="CE27" i="2"/>
  <c r="CG27" i="2" s="1"/>
  <c r="BF27" i="2"/>
  <c r="BG27" i="2" s="1"/>
  <c r="AK27" i="2"/>
  <c r="AM27" i="2" s="1"/>
  <c r="AJ27" i="2"/>
  <c r="AL27" i="2" s="1"/>
  <c r="N27" i="2"/>
  <c r="M27" i="2"/>
  <c r="M28" i="2" s="1"/>
  <c r="N28" i="2" s="1"/>
  <c r="DJ26" i="2"/>
  <c r="DI26" i="2"/>
  <c r="DH26" i="2"/>
  <c r="DF26" i="2"/>
  <c r="CY26" i="2"/>
  <c r="CF26" i="2"/>
  <c r="CH26" i="2" s="1"/>
  <c r="CE26" i="2"/>
  <c r="CG26" i="2" s="1"/>
  <c r="BF26" i="2"/>
  <c r="BG26" i="2" s="1"/>
  <c r="AK26" i="2"/>
  <c r="AM26" i="2" s="1"/>
  <c r="AJ26" i="2"/>
  <c r="AL26" i="2" s="1"/>
  <c r="N26" i="2"/>
  <c r="DJ25" i="2"/>
  <c r="DI25" i="2"/>
  <c r="DH25" i="2"/>
  <c r="DF25" i="2"/>
  <c r="CY25" i="2"/>
  <c r="CF25" i="2"/>
  <c r="CH25" i="2" s="1"/>
  <c r="CE25" i="2"/>
  <c r="CG25" i="2" s="1"/>
  <c r="BF25" i="2"/>
  <c r="BG25" i="2" s="1"/>
  <c r="AK25" i="2"/>
  <c r="AM25" i="2" s="1"/>
  <c r="AJ25" i="2"/>
  <c r="AL25" i="2" s="1"/>
  <c r="S25" i="2" a="1"/>
  <c r="S25" i="2" s="1"/>
  <c r="DJ24" i="2"/>
  <c r="DI24" i="2"/>
  <c r="DH24" i="2"/>
  <c r="DF24" i="2"/>
  <c r="CY24" i="2"/>
  <c r="CF24" i="2"/>
  <c r="CH24" i="2" s="1"/>
  <c r="CE24" i="2"/>
  <c r="CG24" i="2" s="1"/>
  <c r="BF24" i="2"/>
  <c r="BG24" i="2" s="1"/>
  <c r="AK24" i="2"/>
  <c r="AM24" i="2" s="1"/>
  <c r="AJ24" i="2"/>
  <c r="AL24" i="2" s="1"/>
  <c r="DJ23" i="2"/>
  <c r="DI23" i="2"/>
  <c r="DH23" i="2"/>
  <c r="DF23" i="2"/>
  <c r="CY23" i="2"/>
  <c r="CF23" i="2"/>
  <c r="CH23" i="2" s="1"/>
  <c r="CE23" i="2"/>
  <c r="CG23" i="2" s="1"/>
  <c r="BF23" i="2"/>
  <c r="BG23" i="2" s="1"/>
  <c r="AK23" i="2"/>
  <c r="AM23" i="2" s="1"/>
  <c r="AJ23" i="2"/>
  <c r="AL23" i="2" s="1"/>
  <c r="DJ22" i="2"/>
  <c r="DI22" i="2"/>
  <c r="DH22" i="2"/>
  <c r="DF22" i="2"/>
  <c r="CY22" i="2"/>
  <c r="CF22" i="2"/>
  <c r="CH22" i="2" s="1"/>
  <c r="CE22" i="2"/>
  <c r="CG22" i="2" s="1"/>
  <c r="BF22" i="2"/>
  <c r="BG22" i="2" s="1"/>
  <c r="AK22" i="2"/>
  <c r="AM22" i="2" s="1"/>
  <c r="AJ22" i="2"/>
  <c r="AL22" i="2" s="1"/>
  <c r="F22" i="2"/>
  <c r="DJ21" i="2"/>
  <c r="DI21" i="2"/>
  <c r="DH21" i="2"/>
  <c r="DF21" i="2"/>
  <c r="CY21" i="2"/>
  <c r="CF21" i="2"/>
  <c r="CH21" i="2" s="1"/>
  <c r="CE21" i="2"/>
  <c r="CG21" i="2" s="1"/>
  <c r="BF21" i="2"/>
  <c r="BG21" i="2" s="1"/>
  <c r="AK21" i="2"/>
  <c r="AM21" i="2" s="1"/>
  <c r="AJ21" i="2"/>
  <c r="AL21" i="2" s="1"/>
  <c r="DJ20" i="2"/>
  <c r="DI20" i="2"/>
  <c r="DH20" i="2"/>
  <c r="DF20" i="2"/>
  <c r="CY20" i="2"/>
  <c r="CF20" i="2"/>
  <c r="CH20" i="2" s="1"/>
  <c r="CE20" i="2"/>
  <c r="CG20" i="2" s="1"/>
  <c r="BF20" i="2"/>
  <c r="BG20" i="2" s="1"/>
  <c r="AK20" i="2"/>
  <c r="AM20" i="2" s="1"/>
  <c r="AJ20" i="2"/>
  <c r="AL20" i="2" s="1"/>
  <c r="DJ19" i="2"/>
  <c r="DI19" i="2"/>
  <c r="DH19" i="2"/>
  <c r="DF19" i="2"/>
  <c r="CY19" i="2"/>
  <c r="CF19" i="2"/>
  <c r="CH19" i="2" s="1"/>
  <c r="CE19" i="2"/>
  <c r="CG19" i="2" s="1"/>
  <c r="BF19" i="2"/>
  <c r="BG19" i="2" s="1"/>
  <c r="AK19" i="2"/>
  <c r="AM19" i="2" s="1"/>
  <c r="AJ19" i="2"/>
  <c r="AL19" i="2" s="1"/>
  <c r="N19" i="2"/>
  <c r="F19" i="2"/>
  <c r="DJ18" i="2"/>
  <c r="DI18" i="2"/>
  <c r="DH18" i="2"/>
  <c r="DF18" i="2"/>
  <c r="CY18" i="2"/>
  <c r="CF18" i="2"/>
  <c r="CH18" i="2" s="1"/>
  <c r="CE18" i="2"/>
  <c r="CG18" i="2" s="1"/>
  <c r="BF18" i="2"/>
  <c r="BG18" i="2" s="1"/>
  <c r="AK18" i="2"/>
  <c r="AM18" i="2" s="1"/>
  <c r="AJ18" i="2"/>
  <c r="AL18" i="2" s="1"/>
  <c r="N18" i="2"/>
  <c r="F18" i="2"/>
  <c r="DJ17" i="2"/>
  <c r="DI17" i="2"/>
  <c r="DH17" i="2"/>
  <c r="DF17" i="2"/>
  <c r="CY17" i="2"/>
  <c r="CF17" i="2"/>
  <c r="CH17" i="2" s="1"/>
  <c r="CE17" i="2"/>
  <c r="CG17" i="2" s="1"/>
  <c r="BF17" i="2"/>
  <c r="BG17" i="2" s="1"/>
  <c r="AK17" i="2"/>
  <c r="AM17" i="2" s="1"/>
  <c r="AJ17" i="2"/>
  <c r="AL17" i="2" s="1"/>
  <c r="F17" i="2"/>
  <c r="DJ16" i="2"/>
  <c r="DI16" i="2"/>
  <c r="DH16" i="2"/>
  <c r="DF16" i="2"/>
  <c r="CY16" i="2"/>
  <c r="CF16" i="2"/>
  <c r="CH16" i="2" s="1"/>
  <c r="CE16" i="2"/>
  <c r="CG16" i="2" s="1"/>
  <c r="BF16" i="2"/>
  <c r="BG16" i="2" s="1"/>
  <c r="AK16" i="2"/>
  <c r="AM16" i="2" s="1"/>
  <c r="AJ16" i="2"/>
  <c r="AL16" i="2" s="1"/>
  <c r="F16" i="2"/>
  <c r="DJ15" i="2"/>
  <c r="DI15" i="2"/>
  <c r="DH15" i="2"/>
  <c r="DF15" i="2"/>
  <c r="CY15" i="2"/>
  <c r="CF15" i="2"/>
  <c r="CH15" i="2" s="1"/>
  <c r="CE15" i="2"/>
  <c r="CG15" i="2" s="1"/>
  <c r="BF15" i="2"/>
  <c r="BG15" i="2" s="1"/>
  <c r="AK15" i="2"/>
  <c r="AM15" i="2" s="1"/>
  <c r="AJ15" i="2"/>
  <c r="AL15" i="2" s="1"/>
  <c r="F15" i="2"/>
  <c r="DJ14" i="2"/>
  <c r="DI14" i="2"/>
  <c r="DH14" i="2"/>
  <c r="DF14" i="2"/>
  <c r="CY14" i="2"/>
  <c r="CF14" i="2"/>
  <c r="CH14" i="2" s="1"/>
  <c r="CE14" i="2"/>
  <c r="CG14" i="2" s="1"/>
  <c r="BF14" i="2"/>
  <c r="BG14" i="2" s="1"/>
  <c r="AK14" i="2"/>
  <c r="AM14" i="2" s="1"/>
  <c r="AJ14" i="2"/>
  <c r="AL14" i="2" s="1"/>
  <c r="F14" i="2"/>
  <c r="DJ13" i="2"/>
  <c r="DI13" i="2"/>
  <c r="DH13" i="2"/>
  <c r="DF13" i="2"/>
  <c r="CY13" i="2"/>
  <c r="CF13" i="2"/>
  <c r="CH13" i="2" s="1"/>
  <c r="CE13" i="2"/>
  <c r="CG13" i="2" s="1"/>
  <c r="BF13" i="2"/>
  <c r="BG13" i="2" s="1"/>
  <c r="BC13" i="2"/>
  <c r="AK13" i="2"/>
  <c r="AM13" i="2" s="1"/>
  <c r="AJ13" i="2"/>
  <c r="AL13" i="2" s="1"/>
  <c r="F13" i="2"/>
  <c r="DJ12" i="2"/>
  <c r="DI12" i="2"/>
  <c r="DH12" i="2"/>
  <c r="DF12" i="2"/>
  <c r="CY12" i="2"/>
  <c r="CF12" i="2"/>
  <c r="CH12" i="2" s="1"/>
  <c r="CE12" i="2"/>
  <c r="CG12" i="2" s="1"/>
  <c r="BF12" i="2"/>
  <c r="BG12" i="2" s="1"/>
  <c r="AK12" i="2"/>
  <c r="AM12" i="2" s="1"/>
  <c r="AJ12" i="2"/>
  <c r="AL12" i="2" s="1"/>
  <c r="F12" i="2"/>
  <c r="CF11" i="2"/>
  <c r="CH11" i="2" s="1"/>
  <c r="CE11" i="2"/>
  <c r="CG11" i="2" s="1"/>
  <c r="BF11" i="2"/>
  <c r="BG11" i="2" s="1"/>
  <c r="AK11" i="2"/>
  <c r="AM11" i="2" s="1"/>
  <c r="AJ11" i="2"/>
  <c r="AL11" i="2" s="1"/>
  <c r="F11" i="2"/>
  <c r="CF10" i="2"/>
  <c r="CH10" i="2" s="1"/>
  <c r="CE10" i="2"/>
  <c r="CG10" i="2" s="1"/>
  <c r="BF10" i="2"/>
  <c r="BG10" i="2" s="1"/>
  <c r="AK10" i="2"/>
  <c r="AM10" i="2" s="1"/>
  <c r="AJ10" i="2"/>
  <c r="AL10" i="2" s="1"/>
  <c r="F10" i="2"/>
  <c r="CF9" i="2"/>
  <c r="CH9" i="2" s="1"/>
  <c r="CE9" i="2"/>
  <c r="CG9" i="2" s="1"/>
  <c r="BF9" i="2"/>
  <c r="BG9" i="2" s="1"/>
  <c r="AK9" i="2"/>
  <c r="AM9" i="2" s="1"/>
  <c r="AJ9" i="2"/>
  <c r="AL9" i="2" s="1"/>
  <c r="F9" i="2"/>
  <c r="CF8" i="2"/>
  <c r="CH8" i="2" s="1"/>
  <c r="CE8" i="2"/>
  <c r="CG8" i="2" s="1"/>
  <c r="BF8" i="2"/>
  <c r="BG8" i="2" s="1"/>
  <c r="AK8" i="2"/>
  <c r="AM8" i="2" s="1"/>
  <c r="AJ8" i="2"/>
  <c r="AL8" i="2" s="1"/>
  <c r="F8" i="2"/>
  <c r="CF7" i="2"/>
  <c r="CH7" i="2" s="1"/>
  <c r="CE7" i="2"/>
  <c r="CG7" i="2" s="1"/>
  <c r="BF7" i="2"/>
  <c r="BG7" i="2" s="1"/>
  <c r="AK7" i="2"/>
  <c r="AM7" i="2" s="1"/>
  <c r="AJ7" i="2"/>
  <c r="AL7" i="2" s="1"/>
  <c r="F7" i="2"/>
  <c r="CF6" i="2"/>
  <c r="CH6" i="2" s="1"/>
  <c r="CE6" i="2"/>
  <c r="CG6" i="2" s="1"/>
  <c r="BF6" i="2"/>
  <c r="BG6" i="2" s="1"/>
  <c r="AK6" i="2"/>
  <c r="AM6" i="2" s="1"/>
  <c r="AJ6" i="2"/>
  <c r="AL6" i="2" s="1"/>
  <c r="F6" i="2"/>
  <c r="CF5" i="2"/>
  <c r="CH5" i="2" s="1"/>
  <c r="CE5" i="2"/>
  <c r="CG5" i="2" s="1"/>
  <c r="BF5" i="2"/>
  <c r="BG5" i="2" s="1"/>
  <c r="AK5" i="2"/>
  <c r="AM5" i="2" s="1"/>
  <c r="AJ5" i="2"/>
  <c r="AL5" i="2" s="1"/>
  <c r="F5" i="2"/>
  <c r="CF4" i="2"/>
  <c r="CH4" i="2" s="1"/>
  <c r="CE4" i="2"/>
  <c r="CG4" i="2" s="1"/>
  <c r="BM4" i="2"/>
  <c r="BM5" i="2" s="1"/>
  <c r="BF4" i="2"/>
  <c r="BG4" i="2" s="1"/>
  <c r="AK4" i="2"/>
  <c r="AM4" i="2" s="1"/>
  <c r="AJ4" i="2"/>
  <c r="AL4" i="2" s="1"/>
  <c r="M4" i="2"/>
  <c r="N4" i="2" s="1"/>
  <c r="F4" i="2"/>
  <c r="CF3" i="2"/>
  <c r="CH3" i="2" s="1"/>
  <c r="CE3" i="2"/>
  <c r="CG3" i="2" s="1"/>
  <c r="BN3" i="2"/>
  <c r="BF3" i="2"/>
  <c r="BG3" i="2" s="1"/>
  <c r="AK3" i="2"/>
  <c r="AM3" i="2" s="1"/>
  <c r="AJ3" i="2"/>
  <c r="AL3" i="2" s="1"/>
  <c r="N3" i="2"/>
  <c r="F3" i="2"/>
  <c r="BS2" i="2" a="1"/>
  <c r="BS2" i="2" s="1"/>
  <c r="BC11" i="2" s="1"/>
  <c r="S2" i="2" a="1"/>
  <c r="S2" i="2" s="1"/>
  <c r="C78" i="2" s="1"/>
  <c r="F66" i="3"/>
  <c r="Z26" i="2"/>
  <c r="F71" i="3"/>
  <c r="BY11" i="2"/>
  <c r="Z84" i="2"/>
  <c r="Y8" i="2"/>
  <c r="BZ8" i="2"/>
  <c r="Z57" i="2"/>
  <c r="BZ15" i="2"/>
  <c r="BY3" i="2"/>
  <c r="BY28" i="2"/>
  <c r="F74" i="3"/>
  <c r="Z17" i="2"/>
  <c r="Z77" i="2"/>
  <c r="Z9" i="2"/>
  <c r="F264" i="3"/>
  <c r="F490" i="3"/>
  <c r="F57" i="3"/>
  <c r="Y84" i="2"/>
  <c r="Y44" i="2"/>
  <c r="Y19" i="2"/>
  <c r="F58" i="3"/>
  <c r="Z52" i="2"/>
  <c r="F65" i="3"/>
  <c r="H26" i="2"/>
  <c r="F26" i="2" s="1"/>
  <c r="Z82" i="2"/>
  <c r="C27" i="2"/>
  <c r="Y52" i="2"/>
  <c r="Y11" i="2"/>
  <c r="BY12" i="2"/>
  <c r="F64" i="3"/>
  <c r="Y13" i="2"/>
  <c r="Y22" i="2"/>
  <c r="Y10" i="2"/>
  <c r="Y18" i="2"/>
  <c r="F61" i="3"/>
  <c r="F75" i="3"/>
  <c r="BZ25" i="2"/>
  <c r="F68" i="3"/>
  <c r="Z62" i="2"/>
  <c r="BY34" i="2"/>
  <c r="Z19" i="2"/>
  <c r="BZ13" i="2"/>
  <c r="BZ9" i="2"/>
  <c r="BZ4" i="2"/>
  <c r="BZ34" i="2"/>
  <c r="BZ3" i="2"/>
  <c r="BY25" i="2"/>
  <c r="Y16" i="2"/>
  <c r="Y26" i="2"/>
  <c r="BY4" i="2"/>
  <c r="X30" i="2"/>
  <c r="BZ5" i="2"/>
  <c r="F76" i="3"/>
  <c r="F492" i="3" s="1"/>
  <c r="Y12" i="2"/>
  <c r="BZ12" i="2"/>
  <c r="Z6" i="2"/>
  <c r="Z12" i="2"/>
  <c r="Z11" i="2"/>
  <c r="Z15" i="2"/>
  <c r="F70" i="3"/>
  <c r="Z18" i="2"/>
  <c r="Z5" i="2"/>
  <c r="BY13" i="2"/>
  <c r="Z22" i="2"/>
  <c r="BZ14" i="2"/>
  <c r="F62" i="3"/>
  <c r="BY10" i="2"/>
  <c r="F80" i="3"/>
  <c r="F395" i="3" s="1"/>
  <c r="Y57" i="2"/>
  <c r="Z44" i="2"/>
  <c r="BY9" i="2"/>
  <c r="BY31" i="2"/>
  <c r="F56" i="3"/>
  <c r="F472" i="3" s="1"/>
  <c r="Y82" i="2"/>
  <c r="F78" i="3"/>
  <c r="BY5" i="2"/>
  <c r="BY8" i="2"/>
  <c r="Y14" i="2"/>
  <c r="Y77" i="2"/>
  <c r="Z13" i="2"/>
  <c r="F79" i="3"/>
  <c r="Y17" i="2"/>
  <c r="F59" i="3"/>
  <c r="BY16" i="2"/>
  <c r="F270" i="3"/>
  <c r="BZ10" i="2"/>
  <c r="BY14" i="2"/>
  <c r="Y15" i="2"/>
  <c r="F69" i="3"/>
  <c r="DA12" i="2"/>
  <c r="BZ11" i="2"/>
  <c r="BZ16" i="2"/>
  <c r="Y4" i="2"/>
  <c r="F496" i="3"/>
  <c r="BZ21" i="2"/>
  <c r="Z4" i="2"/>
  <c r="Z14" i="2"/>
  <c r="F72" i="3"/>
  <c r="Z43" i="2"/>
  <c r="F77" i="3"/>
  <c r="Y62" i="2"/>
  <c r="F67" i="3"/>
  <c r="BZ28" i="2"/>
  <c r="Y43" i="2"/>
  <c r="Z7" i="2"/>
  <c r="F60" i="3"/>
  <c r="Z54" i="2"/>
  <c r="Y9" i="2"/>
  <c r="F81" i="3"/>
  <c r="F63" i="3"/>
  <c r="BZ31" i="2"/>
  <c r="Y5" i="2"/>
  <c r="G26" i="2"/>
  <c r="F271" i="3"/>
  <c r="F391" i="3"/>
  <c r="F389" i="3"/>
  <c r="Y3" i="2"/>
  <c r="Y7" i="2"/>
  <c r="Z8" i="2"/>
  <c r="BY21" i="2"/>
  <c r="F390" i="3"/>
  <c r="Y6" i="2"/>
  <c r="Y54" i="2"/>
  <c r="Z10" i="2"/>
  <c r="F266" i="3"/>
  <c r="Z16" i="2"/>
  <c r="F73" i="3"/>
  <c r="BY15" i="2"/>
  <c r="Z3" i="2"/>
  <c r="F491" i="3"/>
  <c r="F265" i="3"/>
  <c r="F268" i="3"/>
  <c r="F494" i="3"/>
  <c r="F393" i="3"/>
  <c r="F394" i="3"/>
  <c r="F269" i="3"/>
  <c r="F495" i="3"/>
  <c r="F392" i="3"/>
  <c r="F267" i="3"/>
  <c r="F493" i="3"/>
  <c r="F497" i="3"/>
  <c r="F396" i="3"/>
  <c r="F275" i="3" l="1"/>
  <c r="F305" i="3"/>
  <c r="F276" i="3"/>
  <c r="F306" i="3"/>
  <c r="F277" i="3"/>
  <c r="F307" i="3"/>
  <c r="F244" i="3"/>
  <c r="F243" i="3"/>
  <c r="F15" i="3"/>
  <c r="BN4" i="2"/>
  <c r="M5" i="2"/>
  <c r="N5" i="2" s="1"/>
  <c r="BM6" i="2"/>
  <c r="BN5" i="2"/>
  <c r="C79" i="2"/>
  <c r="O26" i="2"/>
  <c r="O27" i="2" s="1"/>
  <c r="O28" i="2" s="1"/>
  <c r="M29" i="2"/>
  <c r="N29" i="2" s="1"/>
  <c r="I16" i="2"/>
  <c r="L16" i="2" s="1"/>
  <c r="BI7" i="2"/>
  <c r="BL7" i="2" s="1"/>
  <c r="I18" i="2"/>
  <c r="L18" i="2" s="1"/>
  <c r="BI11" i="2"/>
  <c r="BL11" i="2" s="1"/>
  <c r="BI26" i="2"/>
  <c r="BL26" i="2" s="1"/>
  <c r="BI10" i="2"/>
  <c r="BL10" i="2" s="1"/>
  <c r="I14" i="2"/>
  <c r="L14" i="2" s="1"/>
  <c r="BL22" i="2"/>
  <c r="I3" i="2"/>
  <c r="L3" i="2" s="1"/>
  <c r="BI5" i="2"/>
  <c r="BL5" i="2" s="1"/>
  <c r="BI9" i="2"/>
  <c r="BL9" i="2" s="1"/>
  <c r="I4" i="2"/>
  <c r="L4" i="2" s="1"/>
  <c r="I13" i="2"/>
  <c r="L13" i="2" s="1"/>
  <c r="I6" i="2"/>
  <c r="L6" i="2" s="1"/>
  <c r="BL27" i="2"/>
  <c r="L55" i="2"/>
  <c r="BL17" i="2"/>
  <c r="BI3" i="2"/>
  <c r="BL3" i="2" s="1"/>
  <c r="BI13" i="2"/>
  <c r="BL13" i="2" s="1"/>
  <c r="I73" i="2"/>
  <c r="L73" i="2" s="1"/>
  <c r="BL39" i="2"/>
  <c r="BL33" i="2"/>
  <c r="BL42" i="2"/>
  <c r="BL53" i="2"/>
  <c r="BL16" i="2"/>
  <c r="BL20" i="2"/>
  <c r="BI23" i="2"/>
  <c r="BL23" i="2" s="1"/>
  <c r="BL28" i="2"/>
  <c r="BL48" i="2"/>
  <c r="L65" i="2"/>
  <c r="BL49" i="2"/>
  <c r="I11" i="2"/>
  <c r="L11" i="2" s="1"/>
  <c r="I12" i="2"/>
  <c r="L12" i="2" s="1"/>
  <c r="BL18" i="2"/>
  <c r="BL24" i="2"/>
  <c r="BL34" i="2"/>
  <c r="BL38" i="2"/>
  <c r="BL41" i="2"/>
  <c r="BL43" i="2"/>
  <c r="BL46" i="2"/>
  <c r="I50" i="2"/>
  <c r="L50" i="2" s="1"/>
  <c r="BL15" i="2"/>
  <c r="BL30" i="2"/>
  <c r="BL31" i="2"/>
  <c r="BL35" i="2"/>
  <c r="I40" i="2"/>
  <c r="L40" i="2" s="1"/>
  <c r="BL51" i="2"/>
  <c r="I8" i="2"/>
  <c r="L8" i="2" s="1"/>
  <c r="I17" i="2"/>
  <c r="L17" i="2" s="1"/>
  <c r="BI4" i="2"/>
  <c r="BL4" i="2" s="1"/>
  <c r="I5" i="2"/>
  <c r="L5" i="2" s="1"/>
  <c r="I7" i="2"/>
  <c r="L7" i="2" s="1"/>
  <c r="BI6" i="2"/>
  <c r="BL6" i="2" s="1"/>
  <c r="I9" i="2"/>
  <c r="L9" i="2" s="1"/>
  <c r="I10" i="2"/>
  <c r="L10" i="2" s="1"/>
  <c r="BI8" i="2"/>
  <c r="BL8" i="2" s="1"/>
  <c r="BI14" i="2"/>
  <c r="BL14" i="2" s="1"/>
  <c r="I19" i="2"/>
  <c r="L19" i="2" s="1"/>
  <c r="I23" i="2"/>
  <c r="L23" i="2" s="1"/>
  <c r="BI29" i="2"/>
  <c r="BL29" i="2" s="1"/>
  <c r="BI32" i="2"/>
  <c r="BL32" i="2" s="1"/>
  <c r="L41" i="2"/>
  <c r="L47" i="2"/>
  <c r="L56" i="2"/>
  <c r="BL60" i="2"/>
  <c r="L46" i="2"/>
  <c r="L71" i="2"/>
  <c r="I78" i="2"/>
  <c r="L78" i="2" s="1"/>
  <c r="L79" i="2"/>
  <c r="BL56" i="2"/>
  <c r="BL61" i="2"/>
  <c r="BL63" i="2"/>
  <c r="BL64" i="2"/>
  <c r="L69" i="2"/>
  <c r="I39" i="2"/>
  <c r="L39" i="2" s="1"/>
  <c r="L43" i="2"/>
  <c r="L49" i="2"/>
  <c r="L51" i="2"/>
  <c r="BL57" i="2"/>
  <c r="L66" i="2"/>
  <c r="BI19" i="2"/>
  <c r="BL19" i="2" s="1"/>
  <c r="BL47" i="2"/>
  <c r="BL50" i="2"/>
  <c r="L59" i="2"/>
  <c r="BI12" i="2"/>
  <c r="BL12" i="2" s="1"/>
  <c r="I15" i="2"/>
  <c r="L15" i="2" s="1"/>
  <c r="I22" i="2"/>
  <c r="L22" i="2" s="1"/>
  <c r="C63" i="2" s="1"/>
  <c r="BL21" i="2"/>
  <c r="BL25" i="2"/>
  <c r="BL36" i="2"/>
  <c r="BL37" i="2"/>
  <c r="BL40" i="2"/>
  <c r="L42" i="2"/>
  <c r="BL44" i="2"/>
  <c r="L45" i="2"/>
  <c r="I48" i="2"/>
  <c r="L48" i="2" s="1"/>
  <c r="BL52" i="2"/>
  <c r="L52" i="2"/>
  <c r="L54" i="2"/>
  <c r="BL59" i="2"/>
  <c r="L68" i="2"/>
  <c r="L75" i="2"/>
  <c r="BL45" i="2"/>
  <c r="L44" i="2"/>
  <c r="I58" i="2"/>
  <c r="L58" i="2" s="1"/>
  <c r="L63" i="2"/>
  <c r="L64" i="2"/>
  <c r="L67" i="2"/>
  <c r="L72" i="2"/>
  <c r="L74" i="2"/>
  <c r="L76" i="2"/>
  <c r="I80" i="2"/>
  <c r="L80" i="2" s="1"/>
  <c r="BL54" i="2"/>
  <c r="I53" i="2"/>
  <c r="L53" i="2" s="1"/>
  <c r="BL58" i="2"/>
  <c r="L60" i="2"/>
  <c r="L62" i="2"/>
  <c r="BL55" i="2"/>
  <c r="L57" i="2"/>
  <c r="BL62" i="2"/>
  <c r="L61" i="2"/>
  <c r="L70" i="2"/>
  <c r="L77" i="2"/>
  <c r="N41" i="2"/>
  <c r="M42" i="2"/>
  <c r="BO3" i="2"/>
  <c r="C80" i="2"/>
  <c r="O39" i="2"/>
  <c r="O3" i="2"/>
  <c r="F489" i="3"/>
  <c r="F486" i="3"/>
  <c r="F482" i="3"/>
  <c r="DA27" i="2"/>
  <c r="DA32" i="2"/>
  <c r="DA24" i="2"/>
  <c r="DA51" i="2"/>
  <c r="H27" i="2"/>
  <c r="DA38" i="2"/>
  <c r="DA62" i="2"/>
  <c r="E61" i="3"/>
  <c r="E62" i="3"/>
  <c r="DA40" i="2"/>
  <c r="DA49" i="2"/>
  <c r="DA22" i="2"/>
  <c r="Z30" i="2"/>
  <c r="DA16" i="2"/>
  <c r="DA50" i="2"/>
  <c r="F529" i="3"/>
  <c r="DA56" i="2"/>
  <c r="F479" i="3"/>
  <c r="F484" i="3"/>
  <c r="DA55" i="2"/>
  <c r="DA37" i="2"/>
  <c r="DA48" i="2"/>
  <c r="DA57" i="2"/>
  <c r="DA53" i="2"/>
  <c r="X31" i="2"/>
  <c r="DA52" i="2"/>
  <c r="DA43" i="2"/>
  <c r="E81" i="3"/>
  <c r="DA21" i="2"/>
  <c r="E76" i="3"/>
  <c r="F476" i="3"/>
  <c r="F477" i="3"/>
  <c r="F499" i="3"/>
  <c r="E64" i="3"/>
  <c r="E72" i="3"/>
  <c r="DA15" i="2"/>
  <c r="E75" i="3"/>
  <c r="E65" i="3"/>
  <c r="E57" i="3"/>
  <c r="E63" i="3"/>
  <c r="E78" i="3"/>
  <c r="DA46" i="2"/>
  <c r="E492" i="3"/>
  <c r="DA36" i="2"/>
  <c r="E68" i="3"/>
  <c r="E73" i="3"/>
  <c r="F483" i="3"/>
  <c r="F480" i="3"/>
  <c r="F500" i="3"/>
  <c r="DA18" i="2"/>
  <c r="DA61" i="2"/>
  <c r="DA60" i="2"/>
  <c r="E79" i="3"/>
  <c r="DA30" i="2"/>
  <c r="DA35" i="2"/>
  <c r="E60" i="3"/>
  <c r="E66" i="3"/>
  <c r="DA39" i="2"/>
  <c r="DA58" i="2"/>
  <c r="E473" i="3"/>
  <c r="F474" i="3"/>
  <c r="DA20" i="2"/>
  <c r="DA29" i="2"/>
  <c r="F475" i="3"/>
  <c r="DA13" i="2"/>
  <c r="E70" i="3"/>
  <c r="F488" i="3"/>
  <c r="F481" i="3"/>
  <c r="F530" i="3"/>
  <c r="K26" i="2"/>
  <c r="DA17" i="2"/>
  <c r="DA25" i="2"/>
  <c r="E80" i="3"/>
  <c r="DA34" i="2"/>
  <c r="E77" i="3"/>
  <c r="DA41" i="2"/>
  <c r="E67" i="3"/>
  <c r="E71" i="3"/>
  <c r="DA44" i="2"/>
  <c r="E271" i="3"/>
  <c r="E491" i="3"/>
  <c r="F485" i="3"/>
  <c r="F531" i="3"/>
  <c r="Y30" i="2"/>
  <c r="H28" i="2"/>
  <c r="E495" i="3"/>
  <c r="DA26" i="2"/>
  <c r="G27" i="2"/>
  <c r="E496" i="3"/>
  <c r="F478" i="3"/>
  <c r="F487" i="3"/>
  <c r="F501" i="3"/>
  <c r="DA23" i="2"/>
  <c r="DA31" i="2"/>
  <c r="DA28" i="2"/>
  <c r="DA19" i="2"/>
  <c r="DA33" i="2"/>
  <c r="E69" i="3"/>
  <c r="DA59" i="2"/>
  <c r="F27" i="2"/>
  <c r="DA47" i="2"/>
  <c r="H29" i="2"/>
  <c r="E266" i="3"/>
  <c r="E497" i="3"/>
  <c r="E494" i="3"/>
  <c r="E269" i="3"/>
  <c r="DA42" i="2"/>
  <c r="DA45" i="2"/>
  <c r="F473" i="3"/>
  <c r="DA54" i="2"/>
  <c r="E268" i="3"/>
  <c r="E265" i="3"/>
  <c r="E270" i="3"/>
  <c r="E267" i="3"/>
  <c r="E493" i="3"/>
  <c r="X32" i="2"/>
  <c r="G28" i="2"/>
  <c r="X33" i="2"/>
  <c r="G29" i="2"/>
  <c r="H30" i="2"/>
  <c r="X34" i="2"/>
  <c r="G30" i="2"/>
  <c r="H31" i="2"/>
  <c r="H32" i="2"/>
  <c r="X35" i="2"/>
  <c r="G31" i="2"/>
  <c r="G32" i="2"/>
  <c r="H33" i="2"/>
  <c r="X36" i="2"/>
  <c r="H34" i="2"/>
  <c r="G33" i="2"/>
  <c r="X37" i="2"/>
  <c r="H35" i="2"/>
  <c r="X38" i="2"/>
  <c r="G34" i="2"/>
  <c r="X39" i="2"/>
  <c r="H36" i="2"/>
  <c r="G35" i="2"/>
  <c r="G36" i="2"/>
  <c r="X40" i="2"/>
  <c r="E243" i="3" l="1"/>
  <c r="M6" i="2"/>
  <c r="M7" i="2" s="1"/>
  <c r="N7" i="2" s="1"/>
  <c r="M30" i="2"/>
  <c r="M31" i="2" s="1"/>
  <c r="BN6" i="2"/>
  <c r="BM7" i="2"/>
  <c r="I26" i="2"/>
  <c r="L26" i="2" s="1"/>
  <c r="N42" i="2"/>
  <c r="M43" i="2"/>
  <c r="O40" i="2"/>
  <c r="O4" i="2"/>
  <c r="O29" i="2"/>
  <c r="BO4" i="2"/>
  <c r="Y40" i="2"/>
  <c r="E395" i="3"/>
  <c r="E479" i="3"/>
  <c r="E477" i="3"/>
  <c r="K36" i="2"/>
  <c r="Z39" i="2"/>
  <c r="Y33" i="2"/>
  <c r="F28" i="2"/>
  <c r="Y39" i="2"/>
  <c r="Z40" i="2"/>
  <c r="E486" i="3"/>
  <c r="E481" i="3"/>
  <c r="F31" i="2"/>
  <c r="Z33" i="2"/>
  <c r="K30" i="2"/>
  <c r="Y35" i="2"/>
  <c r="F36" i="2"/>
  <c r="Y38" i="2"/>
  <c r="E482" i="3"/>
  <c r="E390" i="3"/>
  <c r="K33" i="2"/>
  <c r="K29" i="2"/>
  <c r="Z31" i="2"/>
  <c r="K34" i="2"/>
  <c r="Y37" i="2"/>
  <c r="DA14" i="2"/>
  <c r="F34" i="2"/>
  <c r="E484" i="3"/>
  <c r="K27" i="2"/>
  <c r="Z34" i="2"/>
  <c r="E393" i="3"/>
  <c r="K28" i="2"/>
  <c r="K35" i="2"/>
  <c r="Z38" i="2"/>
  <c r="E476" i="3"/>
  <c r="E488" i="3"/>
  <c r="Y31" i="2"/>
  <c r="F33" i="2"/>
  <c r="Z35" i="2"/>
  <c r="Z36" i="2"/>
  <c r="E485" i="3"/>
  <c r="E394" i="3"/>
  <c r="E480" i="3"/>
  <c r="K31" i="2"/>
  <c r="F30" i="2"/>
  <c r="F29" i="2"/>
  <c r="K32" i="2"/>
  <c r="E487" i="3"/>
  <c r="E489" i="3"/>
  <c r="E391" i="3"/>
  <c r="Z37" i="2"/>
  <c r="Y36" i="2"/>
  <c r="E483" i="3"/>
  <c r="E396" i="3"/>
  <c r="Y32" i="2"/>
  <c r="Y34" i="2"/>
  <c r="E392" i="3"/>
  <c r="E478" i="3"/>
  <c r="F32" i="2"/>
  <c r="F35" i="2"/>
  <c r="Z32" i="2"/>
  <c r="I34" i="2" l="1"/>
  <c r="I36" i="2"/>
  <c r="N6" i="2"/>
  <c r="M8" i="2"/>
  <c r="N8" i="2" s="1"/>
  <c r="E244" i="3"/>
  <c r="N30" i="2"/>
  <c r="E15" i="3"/>
  <c r="I33" i="2"/>
  <c r="L33" i="2" s="1"/>
  <c r="I35" i="2"/>
  <c r="L35" i="2" s="1"/>
  <c r="I29" i="2"/>
  <c r="L29" i="2" s="1"/>
  <c r="I31" i="2"/>
  <c r="L31" i="2" s="1"/>
  <c r="I27" i="2"/>
  <c r="L27" i="2" s="1"/>
  <c r="I28" i="2"/>
  <c r="L28" i="2" s="1"/>
  <c r="I32" i="2"/>
  <c r="L32" i="2" s="1"/>
  <c r="L36" i="2"/>
  <c r="I30" i="2"/>
  <c r="L30" i="2" s="1"/>
  <c r="L34" i="2"/>
  <c r="BM8" i="2"/>
  <c r="BN7" i="2"/>
  <c r="O30" i="2"/>
  <c r="M32" i="2"/>
  <c r="N31" i="2"/>
  <c r="O41" i="2"/>
  <c r="O5" i="2"/>
  <c r="M44" i="2"/>
  <c r="N43" i="2"/>
  <c r="BO5" i="2"/>
  <c r="M9" i="2" l="1"/>
  <c r="N9" i="2" s="1"/>
  <c r="E245" i="3"/>
  <c r="BN8" i="2"/>
  <c r="BM9" i="2"/>
  <c r="N44" i="2"/>
  <c r="M45" i="2"/>
  <c r="N32" i="2"/>
  <c r="M33" i="2"/>
  <c r="BO6" i="2"/>
  <c r="O6" i="2"/>
  <c r="O42" i="2"/>
  <c r="O31" i="2"/>
  <c r="M10" i="2" l="1"/>
  <c r="M11" i="2" s="1"/>
  <c r="M12" i="2" s="1"/>
  <c r="BM10" i="2"/>
  <c r="BN9" i="2"/>
  <c r="M46" i="2"/>
  <c r="N45" i="2"/>
  <c r="O7" i="2"/>
  <c r="BO7" i="2"/>
  <c r="N33" i="2"/>
  <c r="P29" i="2" s="1"/>
  <c r="M34" i="2"/>
  <c r="M35" i="2" s="1"/>
  <c r="M36" i="2" s="1"/>
  <c r="O32" i="2"/>
  <c r="O43" i="2"/>
  <c r="N10" i="2" l="1"/>
  <c r="N11" i="2"/>
  <c r="BM11" i="2"/>
  <c r="BN10" i="2"/>
  <c r="S29" i="2"/>
  <c r="R29" i="2"/>
  <c r="O44" i="2"/>
  <c r="BO8" i="2"/>
  <c r="O8" i="2"/>
  <c r="P26" i="2"/>
  <c r="P27" i="2"/>
  <c r="P30" i="2"/>
  <c r="P28" i="2"/>
  <c r="P31" i="2"/>
  <c r="M47" i="2"/>
  <c r="N46" i="2"/>
  <c r="M13" i="2"/>
  <c r="N12" i="2"/>
  <c r="O33" i="2"/>
  <c r="P32" i="2"/>
  <c r="BN11" i="2" l="1"/>
  <c r="BM12" i="2"/>
  <c r="S27" i="2"/>
  <c r="R27" i="2"/>
  <c r="S26" i="2"/>
  <c r="R26" i="2"/>
  <c r="C40" i="2" s="1"/>
  <c r="O34" i="2"/>
  <c r="P33" i="2"/>
  <c r="O9" i="2"/>
  <c r="O45" i="2"/>
  <c r="S31" i="2"/>
  <c r="R31" i="2"/>
  <c r="R28" i="2"/>
  <c r="S28" i="2"/>
  <c r="M14" i="2"/>
  <c r="N13" i="2"/>
  <c r="N47" i="2"/>
  <c r="M48" i="2"/>
  <c r="BO9" i="2"/>
  <c r="S32" i="2"/>
  <c r="R32" i="2"/>
  <c r="S30" i="2"/>
  <c r="R30" i="2"/>
  <c r="BM13" i="2" l="1"/>
  <c r="BN12" i="2"/>
  <c r="O35" i="2"/>
  <c r="P34" i="2"/>
  <c r="S33" i="2"/>
  <c r="R33" i="2"/>
  <c r="N48" i="2"/>
  <c r="M49" i="2"/>
  <c r="O10" i="2"/>
  <c r="M15" i="2"/>
  <c r="N14" i="2"/>
  <c r="BO10" i="2"/>
  <c r="O46" i="2"/>
  <c r="BN13" i="2" l="1"/>
  <c r="BM14" i="2"/>
  <c r="N15" i="2"/>
  <c r="M16" i="2"/>
  <c r="S34" i="2"/>
  <c r="R34" i="2"/>
  <c r="M50" i="2"/>
  <c r="N49" i="2"/>
  <c r="O47" i="2"/>
  <c r="BO11" i="2"/>
  <c r="O11" i="2"/>
  <c r="O36" i="2"/>
  <c r="P36" i="2" s="1"/>
  <c r="P35" i="2"/>
  <c r="BM15" i="2" l="1"/>
  <c r="BN14" i="2"/>
  <c r="M51" i="2"/>
  <c r="N50" i="2"/>
  <c r="N16" i="2"/>
  <c r="M17" i="2"/>
  <c r="O12" i="2"/>
  <c r="BO12" i="2"/>
  <c r="S35" i="2"/>
  <c r="R35" i="2"/>
  <c r="O48" i="2"/>
  <c r="R36" i="2"/>
  <c r="S36" i="2"/>
  <c r="BM16" i="2" l="1"/>
  <c r="BN15" i="2"/>
  <c r="O49" i="2"/>
  <c r="O13" i="2"/>
  <c r="M18" i="2"/>
  <c r="M19" i="2" s="1"/>
  <c r="N17" i="2"/>
  <c r="P10" i="2" s="1"/>
  <c r="BO13" i="2"/>
  <c r="N51" i="2"/>
  <c r="M52" i="2"/>
  <c r="BM17" i="2" l="1"/>
  <c r="BN16" i="2"/>
  <c r="R10" i="2"/>
  <c r="S10" i="2"/>
  <c r="Q10" i="2"/>
  <c r="P5" i="2"/>
  <c r="P13" i="2"/>
  <c r="Q13" i="2" s="1"/>
  <c r="O14" i="2"/>
  <c r="P9" i="2"/>
  <c r="P12" i="2"/>
  <c r="P7" i="2"/>
  <c r="O50" i="2"/>
  <c r="P3" i="2"/>
  <c r="P4" i="2"/>
  <c r="P8" i="2"/>
  <c r="BO14" i="2"/>
  <c r="M53" i="2"/>
  <c r="N52" i="2"/>
  <c r="P6" i="2"/>
  <c r="P11" i="2"/>
  <c r="BM18" i="2" l="1"/>
  <c r="BN17" i="2"/>
  <c r="S9" i="2"/>
  <c r="R9" i="2"/>
  <c r="Q9" i="2"/>
  <c r="BO15" i="2"/>
  <c r="S4" i="2"/>
  <c r="R4" i="2"/>
  <c r="Q4" i="2"/>
  <c r="S3" i="2"/>
  <c r="R3" i="2"/>
  <c r="Q3" i="2"/>
  <c r="P14" i="2"/>
  <c r="O15" i="2"/>
  <c r="R11" i="2"/>
  <c r="S11" i="2"/>
  <c r="Q11" i="2"/>
  <c r="O51" i="2"/>
  <c r="S6" i="2"/>
  <c r="R6" i="2"/>
  <c r="Q6" i="2"/>
  <c r="S13" i="2"/>
  <c r="R13" i="2"/>
  <c r="S7" i="2"/>
  <c r="R7" i="2"/>
  <c r="Q7" i="2"/>
  <c r="S5" i="2"/>
  <c r="R5" i="2"/>
  <c r="Q5" i="2"/>
  <c r="N53" i="2"/>
  <c r="M54" i="2"/>
  <c r="S8" i="2"/>
  <c r="R8" i="2"/>
  <c r="Q8" i="2"/>
  <c r="R12" i="2"/>
  <c r="S12" i="2"/>
  <c r="Q12" i="2"/>
  <c r="BN18" i="2" l="1"/>
  <c r="BM19" i="2"/>
  <c r="O16" i="2"/>
  <c r="P15" i="2"/>
  <c r="BO16" i="2"/>
  <c r="O52" i="2"/>
  <c r="R14" i="2"/>
  <c r="S14" i="2"/>
  <c r="M55" i="2"/>
  <c r="N54" i="2"/>
  <c r="Q14" i="2"/>
  <c r="BN19" i="2" l="1"/>
  <c r="BM20" i="2"/>
  <c r="O53" i="2"/>
  <c r="BO17" i="2"/>
  <c r="S15" i="2"/>
  <c r="R15" i="2"/>
  <c r="Q15" i="2"/>
  <c r="M56" i="2"/>
  <c r="N55" i="2"/>
  <c r="P16" i="2"/>
  <c r="O17" i="2"/>
  <c r="BN20" i="2" l="1"/>
  <c r="BM21" i="2"/>
  <c r="BO18" i="2"/>
  <c r="P17" i="2"/>
  <c r="Q17" i="2" s="1"/>
  <c r="O18" i="2"/>
  <c r="S16" i="2"/>
  <c r="R16" i="2"/>
  <c r="Q16" i="2"/>
  <c r="M57" i="2"/>
  <c r="N56" i="2"/>
  <c r="O54" i="2"/>
  <c r="BN21" i="2" l="1"/>
  <c r="BM22" i="2"/>
  <c r="O55" i="2"/>
  <c r="Q18" i="2"/>
  <c r="O19" i="2"/>
  <c r="P18" i="2"/>
  <c r="R17" i="2"/>
  <c r="S17" i="2"/>
  <c r="M58" i="2"/>
  <c r="N57" i="2"/>
  <c r="BO19" i="2"/>
  <c r="BM23" i="2" l="1"/>
  <c r="BN22" i="2"/>
  <c r="S18" i="2"/>
  <c r="R18" i="2"/>
  <c r="P19" i="2"/>
  <c r="Q19" i="2"/>
  <c r="O56" i="2"/>
  <c r="BO20" i="2"/>
  <c r="N58" i="2"/>
  <c r="M59" i="2"/>
  <c r="BN23" i="2" l="1"/>
  <c r="BM24" i="2"/>
  <c r="O57" i="2"/>
  <c r="S19" i="2"/>
  <c r="R19" i="2"/>
  <c r="M60" i="2"/>
  <c r="N59" i="2"/>
  <c r="BO21" i="2"/>
  <c r="BN24" i="2" l="1"/>
  <c r="BM25" i="2"/>
  <c r="BO22" i="2"/>
  <c r="M61" i="2"/>
  <c r="N60" i="2"/>
  <c r="O58" i="2"/>
  <c r="BM26" i="2" l="1"/>
  <c r="BN25" i="2"/>
  <c r="M62" i="2"/>
  <c r="N61" i="2"/>
  <c r="BO23" i="2"/>
  <c r="O59" i="2"/>
  <c r="BM27" i="2" l="1"/>
  <c r="BN26" i="2"/>
  <c r="O60" i="2"/>
  <c r="BO24" i="2"/>
  <c r="M63" i="2"/>
  <c r="N62" i="2"/>
  <c r="BM28" i="2" l="1"/>
  <c r="BN27" i="2"/>
  <c r="BO25" i="2"/>
  <c r="N63" i="2"/>
  <c r="M64" i="2"/>
  <c r="O61" i="2"/>
  <c r="BN28" i="2" l="1"/>
  <c r="BM29" i="2"/>
  <c r="N64" i="2"/>
  <c r="M65" i="2"/>
  <c r="O62" i="2"/>
  <c r="BO26" i="2"/>
  <c r="BM30" i="2" l="1"/>
  <c r="BN29" i="2"/>
  <c r="O63" i="2"/>
  <c r="M66" i="2"/>
  <c r="N65" i="2"/>
  <c r="BO27" i="2"/>
  <c r="BM31" i="2" l="1"/>
  <c r="BN30" i="2"/>
  <c r="BO28" i="2"/>
  <c r="O64" i="2"/>
  <c r="M67" i="2"/>
  <c r="N66" i="2"/>
  <c r="BN31" i="2" l="1"/>
  <c r="BM32" i="2"/>
  <c r="BO29" i="2"/>
  <c r="O65" i="2"/>
  <c r="M68" i="2"/>
  <c r="N67" i="2"/>
  <c r="BN32" i="2" l="1"/>
  <c r="BM33" i="2"/>
  <c r="M69" i="2"/>
  <c r="N68" i="2"/>
  <c r="O66" i="2"/>
  <c r="BO30" i="2"/>
  <c r="BM34" i="2" l="1"/>
  <c r="BN33" i="2"/>
  <c r="O67" i="2"/>
  <c r="BO31" i="2"/>
  <c r="N69" i="2"/>
  <c r="M70" i="2"/>
  <c r="BN34" i="2" l="1"/>
  <c r="BM35" i="2"/>
  <c r="M71" i="2"/>
  <c r="N70" i="2"/>
  <c r="O68" i="2"/>
  <c r="BO32" i="2"/>
  <c r="BN35" i="2" l="1"/>
  <c r="BM36" i="2"/>
  <c r="O69" i="2"/>
  <c r="BO33" i="2"/>
  <c r="M72" i="2"/>
  <c r="N71" i="2"/>
  <c r="BM37" i="2" l="1"/>
  <c r="BN36" i="2"/>
  <c r="M73" i="2"/>
  <c r="N72" i="2"/>
  <c r="BO34" i="2"/>
  <c r="O70" i="2"/>
  <c r="BN37" i="2" l="1"/>
  <c r="BM38" i="2"/>
  <c r="N73" i="2"/>
  <c r="M74" i="2"/>
  <c r="O71" i="2"/>
  <c r="BO35" i="2"/>
  <c r="BM39" i="2" l="1"/>
  <c r="BN38" i="2"/>
  <c r="N74" i="2"/>
  <c r="M75" i="2"/>
  <c r="O72" i="2"/>
  <c r="BO36" i="2"/>
  <c r="BM40" i="2" l="1"/>
  <c r="BN39" i="2"/>
  <c r="BO37" i="2"/>
  <c r="O73" i="2"/>
  <c r="M76" i="2"/>
  <c r="N75" i="2"/>
  <c r="BN40" i="2" l="1"/>
  <c r="BM41" i="2"/>
  <c r="O74" i="2"/>
  <c r="M77" i="2"/>
  <c r="N76" i="2"/>
  <c r="BO38" i="2"/>
  <c r="BN41" i="2" l="1"/>
  <c r="BM42" i="2"/>
  <c r="M78" i="2"/>
  <c r="N77" i="2"/>
  <c r="BO39" i="2"/>
  <c r="O75" i="2"/>
  <c r="BM43" i="2" l="1"/>
  <c r="BN42" i="2"/>
  <c r="N78" i="2"/>
  <c r="M79" i="2"/>
  <c r="BO40" i="2"/>
  <c r="O76" i="2"/>
  <c r="BN43" i="2" l="1"/>
  <c r="BM44" i="2"/>
  <c r="M80" i="2"/>
  <c r="N80" i="2" s="1"/>
  <c r="N79" i="2"/>
  <c r="BO41" i="2"/>
  <c r="O77" i="2"/>
  <c r="P76" i="2" l="1"/>
  <c r="R76" i="2" s="1"/>
  <c r="P71" i="2"/>
  <c r="S71" i="2" s="1"/>
  <c r="P72" i="2"/>
  <c r="R72" i="2" s="1"/>
  <c r="P74" i="2"/>
  <c r="S74" i="2" s="1"/>
  <c r="P75" i="2"/>
  <c r="R75" i="2" s="1"/>
  <c r="BM45" i="2"/>
  <c r="BN44" i="2"/>
  <c r="BO42" i="2"/>
  <c r="P77" i="2"/>
  <c r="O78" i="2"/>
  <c r="P73" i="2"/>
  <c r="P70" i="2"/>
  <c r="P40" i="2"/>
  <c r="P39" i="2"/>
  <c r="P42" i="2"/>
  <c r="P41" i="2"/>
  <c r="P43" i="2"/>
  <c r="P45" i="2"/>
  <c r="P44" i="2"/>
  <c r="P47" i="2"/>
  <c r="P46" i="2"/>
  <c r="P48" i="2"/>
  <c r="P50" i="2"/>
  <c r="P49" i="2"/>
  <c r="P51" i="2"/>
  <c r="P52" i="2"/>
  <c r="P54" i="2"/>
  <c r="P56" i="2"/>
  <c r="P53" i="2"/>
  <c r="P55" i="2"/>
  <c r="P58" i="2"/>
  <c r="P62" i="2"/>
  <c r="P57" i="2"/>
  <c r="P59" i="2"/>
  <c r="P60" i="2"/>
  <c r="P61" i="2"/>
  <c r="P63" i="2"/>
  <c r="P64" i="2"/>
  <c r="P65" i="2"/>
  <c r="P66" i="2"/>
  <c r="P67" i="2"/>
  <c r="P68" i="2"/>
  <c r="P69" i="2"/>
  <c r="S76" i="2" l="1"/>
  <c r="R71" i="2"/>
  <c r="S75" i="2"/>
  <c r="S72" i="2"/>
  <c r="R74" i="2"/>
  <c r="BM46" i="2"/>
  <c r="BN45" i="2"/>
  <c r="S69" i="2"/>
  <c r="R69" i="2"/>
  <c r="S60" i="2"/>
  <c r="R60" i="2"/>
  <c r="R54" i="2"/>
  <c r="S54" i="2"/>
  <c r="S44" i="2"/>
  <c r="R44" i="2"/>
  <c r="S59" i="2"/>
  <c r="R59" i="2"/>
  <c r="S52" i="2"/>
  <c r="R52" i="2"/>
  <c r="S45" i="2"/>
  <c r="R45" i="2"/>
  <c r="BO43" i="2"/>
  <c r="S57" i="2"/>
  <c r="R57" i="2"/>
  <c r="S51" i="2"/>
  <c r="R51" i="2"/>
  <c r="S43" i="2"/>
  <c r="R43" i="2"/>
  <c r="R70" i="2"/>
  <c r="S70" i="2"/>
  <c r="S49" i="2"/>
  <c r="R49" i="2"/>
  <c r="S41" i="2"/>
  <c r="R41" i="2"/>
  <c r="R73" i="2"/>
  <c r="S73" i="2"/>
  <c r="S67" i="2"/>
  <c r="R67" i="2"/>
  <c r="R58" i="2"/>
  <c r="S58" i="2"/>
  <c r="R50" i="2"/>
  <c r="S50" i="2"/>
  <c r="R42" i="2"/>
  <c r="S42" i="2"/>
  <c r="O79" i="2"/>
  <c r="P78" i="2"/>
  <c r="R68" i="2"/>
  <c r="S68" i="2"/>
  <c r="R62" i="2"/>
  <c r="S62" i="2"/>
  <c r="R55" i="2"/>
  <c r="S55" i="2"/>
  <c r="R48" i="2"/>
  <c r="S48" i="2"/>
  <c r="R39" i="2"/>
  <c r="S39" i="2"/>
  <c r="R77" i="2"/>
  <c r="S77" i="2"/>
  <c r="S65" i="2"/>
  <c r="R65" i="2"/>
  <c r="S63" i="2"/>
  <c r="R63" i="2"/>
  <c r="R53" i="2"/>
  <c r="S53" i="2"/>
  <c r="S46" i="2"/>
  <c r="R46" i="2"/>
  <c r="S40" i="2"/>
  <c r="R40" i="2"/>
  <c r="R66" i="2"/>
  <c r="S66" i="2"/>
  <c r="S64" i="2"/>
  <c r="R64" i="2"/>
  <c r="S61" i="2"/>
  <c r="R61" i="2"/>
  <c r="S56" i="2"/>
  <c r="R56" i="2"/>
  <c r="S47" i="2"/>
  <c r="R47" i="2"/>
  <c r="BM47" i="2" l="1"/>
  <c r="BN46" i="2"/>
  <c r="P79" i="2"/>
  <c r="O80" i="2"/>
  <c r="P80" i="2" s="1"/>
  <c r="S78" i="2"/>
  <c r="R78" i="2"/>
  <c r="BO44" i="2"/>
  <c r="U4" i="2" a="1"/>
  <c r="BN47" i="2" l="1"/>
  <c r="BM48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22" i="2"/>
  <c r="U18" i="2"/>
  <c r="U14" i="2"/>
  <c r="U10" i="2"/>
  <c r="U6" i="2"/>
  <c r="V81" i="2"/>
  <c r="V77" i="2"/>
  <c r="V73" i="2"/>
  <c r="V69" i="2"/>
  <c r="V65" i="2"/>
  <c r="V61" i="2"/>
  <c r="V57" i="2"/>
  <c r="V53" i="2"/>
  <c r="V49" i="2"/>
  <c r="V45" i="2"/>
  <c r="V41" i="2"/>
  <c r="V37" i="2"/>
  <c r="V33" i="2"/>
  <c r="V29" i="2"/>
  <c r="V25" i="2"/>
  <c r="V21" i="2"/>
  <c r="V17" i="2"/>
  <c r="V13" i="2"/>
  <c r="V9" i="2"/>
  <c r="V5" i="2"/>
  <c r="U81" i="2"/>
  <c r="U76" i="2"/>
  <c r="U71" i="2"/>
  <c r="U65" i="2"/>
  <c r="U60" i="2"/>
  <c r="U55" i="2"/>
  <c r="U49" i="2"/>
  <c r="U44" i="2"/>
  <c r="U39" i="2"/>
  <c r="U33" i="2"/>
  <c r="U28" i="2"/>
  <c r="U23" i="2"/>
  <c r="U17" i="2"/>
  <c r="U12" i="2"/>
  <c r="U7" i="2"/>
  <c r="V80" i="2"/>
  <c r="V75" i="2"/>
  <c r="V64" i="2"/>
  <c r="V59" i="2"/>
  <c r="V54" i="2"/>
  <c r="V48" i="2"/>
  <c r="V43" i="2"/>
  <c r="V38" i="2"/>
  <c r="V32" i="2"/>
  <c r="V27" i="2"/>
  <c r="V16" i="2"/>
  <c r="V11" i="2"/>
  <c r="V6" i="2"/>
  <c r="U80" i="2"/>
  <c r="U75" i="2"/>
  <c r="U69" i="2"/>
  <c r="U64" i="2"/>
  <c r="U59" i="2"/>
  <c r="U53" i="2"/>
  <c r="U48" i="2"/>
  <c r="U43" i="2"/>
  <c r="U37" i="2"/>
  <c r="U32" i="2"/>
  <c r="U27" i="2"/>
  <c r="U21" i="2"/>
  <c r="U16" i="2"/>
  <c r="U11" i="2"/>
  <c r="V79" i="2"/>
  <c r="V58" i="2"/>
  <c r="V47" i="2"/>
  <c r="V31" i="2"/>
  <c r="V15" i="2"/>
  <c r="U47" i="2"/>
  <c r="V83" i="2"/>
  <c r="V40" i="2"/>
  <c r="U77" i="2"/>
  <c r="U56" i="2"/>
  <c r="U45" i="2"/>
  <c r="U35" i="2"/>
  <c r="U24" i="2"/>
  <c r="U19" i="2"/>
  <c r="U13" i="2"/>
  <c r="V70" i="2"/>
  <c r="V22" i="2"/>
  <c r="V84" i="2"/>
  <c r="V68" i="2"/>
  <c r="V36" i="2"/>
  <c r="V4" i="2"/>
  <c r="U84" i="2"/>
  <c r="U79" i="2"/>
  <c r="U63" i="2"/>
  <c r="U52" i="2"/>
  <c r="U36" i="2"/>
  <c r="U25" i="2"/>
  <c r="U20" i="2"/>
  <c r="U9" i="2"/>
  <c r="V78" i="2"/>
  <c r="V30" i="2"/>
  <c r="U5" i="2"/>
  <c r="V63" i="2"/>
  <c r="V42" i="2"/>
  <c r="V26" i="2"/>
  <c r="V10" i="2"/>
  <c r="U41" i="2"/>
  <c r="V67" i="2"/>
  <c r="V24" i="2"/>
  <c r="U67" i="2"/>
  <c r="V74" i="2"/>
  <c r="V52" i="2"/>
  <c r="V20" i="2"/>
  <c r="U73" i="2"/>
  <c r="U57" i="2"/>
  <c r="U31" i="2"/>
  <c r="U15" i="2"/>
  <c r="U4" i="2"/>
  <c r="V46" i="2"/>
  <c r="V8" i="2"/>
  <c r="U68" i="2"/>
  <c r="V56" i="2"/>
  <c r="V14" i="2"/>
  <c r="U83" i="2"/>
  <c r="U61" i="2"/>
  <c r="U51" i="2"/>
  <c r="U29" i="2"/>
  <c r="U8" i="2"/>
  <c r="V72" i="2"/>
  <c r="V19" i="2"/>
  <c r="U72" i="2"/>
  <c r="U40" i="2"/>
  <c r="V82" i="2"/>
  <c r="V76" i="2"/>
  <c r="V71" i="2"/>
  <c r="V66" i="2"/>
  <c r="V60" i="2"/>
  <c r="V55" i="2"/>
  <c r="V50" i="2"/>
  <c r="V44" i="2"/>
  <c r="V39" i="2"/>
  <c r="V34" i="2"/>
  <c r="V28" i="2"/>
  <c r="V23" i="2"/>
  <c r="V18" i="2"/>
  <c r="V12" i="2"/>
  <c r="V7" i="2"/>
  <c r="V62" i="2"/>
  <c r="V51" i="2"/>
  <c r="V35" i="2"/>
  <c r="BO45" i="2"/>
  <c r="S80" i="2"/>
  <c r="R80" i="2"/>
  <c r="R79" i="2"/>
  <c r="S79" i="2"/>
  <c r="BM49" i="2" l="1"/>
  <c r="BN48" i="2"/>
  <c r="BO46" i="2"/>
  <c r="BM50" i="2" l="1"/>
  <c r="BN49" i="2"/>
  <c r="BO47" i="2"/>
  <c r="BN50" i="2" l="1"/>
  <c r="BM51" i="2"/>
  <c r="BO48" i="2"/>
  <c r="BM52" i="2" l="1"/>
  <c r="BN51" i="2"/>
  <c r="BO49" i="2"/>
  <c r="BM53" i="2" l="1"/>
  <c r="BN52" i="2"/>
  <c r="BO50" i="2"/>
  <c r="BN53" i="2" l="1"/>
  <c r="BM54" i="2"/>
  <c r="BO51" i="2"/>
  <c r="BM55" i="2" l="1"/>
  <c r="BN54" i="2"/>
  <c r="BO52" i="2"/>
  <c r="BM56" i="2" l="1"/>
  <c r="BN55" i="2"/>
  <c r="BO53" i="2"/>
  <c r="BN56" i="2" l="1"/>
  <c r="BM57" i="2"/>
  <c r="BO54" i="2"/>
  <c r="BM58" i="2" l="1"/>
  <c r="BN57" i="2"/>
  <c r="BO55" i="2"/>
  <c r="BM59" i="2" l="1"/>
  <c r="BN58" i="2"/>
  <c r="BO56" i="2"/>
  <c r="BM60" i="2" l="1"/>
  <c r="BN59" i="2"/>
  <c r="BO57" i="2"/>
  <c r="BN60" i="2" l="1"/>
  <c r="BM61" i="2"/>
  <c r="BO58" i="2"/>
  <c r="BM62" i="2" l="1"/>
  <c r="BN61" i="2"/>
  <c r="BO59" i="2"/>
  <c r="BM63" i="2" l="1"/>
  <c r="BN62" i="2"/>
  <c r="BO60" i="2"/>
  <c r="BN63" i="2" l="1"/>
  <c r="BM64" i="2"/>
  <c r="BN64" i="2" s="1"/>
  <c r="BO61" i="2"/>
  <c r="BP37" i="2" l="1"/>
  <c r="BR37" i="2" s="1"/>
  <c r="BP60" i="2"/>
  <c r="BS60" i="2" s="1"/>
  <c r="BP19" i="2"/>
  <c r="BQ19" i="2" s="1"/>
  <c r="BP20" i="2"/>
  <c r="BS20" i="2" s="1"/>
  <c r="BP45" i="2"/>
  <c r="BS45" i="2" s="1"/>
  <c r="BP34" i="2"/>
  <c r="BQ34" i="2" s="1"/>
  <c r="BP27" i="2"/>
  <c r="BQ27" i="2" s="1"/>
  <c r="BP44" i="2"/>
  <c r="BS44" i="2" s="1"/>
  <c r="BP46" i="2"/>
  <c r="BQ46" i="2" s="1"/>
  <c r="BP8" i="2"/>
  <c r="BR8" i="2" s="1"/>
  <c r="BP48" i="2"/>
  <c r="BR48" i="2" s="1"/>
  <c r="BP29" i="2"/>
  <c r="BQ29" i="2" s="1"/>
  <c r="BP4" i="2"/>
  <c r="BQ4" i="2" s="1"/>
  <c r="BP57" i="2"/>
  <c r="BS57" i="2" s="1"/>
  <c r="BP28" i="2"/>
  <c r="BQ28" i="2" s="1"/>
  <c r="BP11" i="2"/>
  <c r="BR11" i="2" s="1"/>
  <c r="BP21" i="2"/>
  <c r="BR21" i="2" s="1"/>
  <c r="BP3" i="2"/>
  <c r="BR3" i="2" s="1"/>
  <c r="BP22" i="2"/>
  <c r="BS22" i="2" s="1"/>
  <c r="BP7" i="2"/>
  <c r="BQ7" i="2" s="1"/>
  <c r="BP40" i="2"/>
  <c r="BS40" i="2" s="1"/>
  <c r="BP23" i="2"/>
  <c r="BR23" i="2" s="1"/>
  <c r="BP16" i="2"/>
  <c r="BR16" i="2" s="1"/>
  <c r="BP33" i="2"/>
  <c r="BS33" i="2" s="1"/>
  <c r="BP15" i="2"/>
  <c r="BQ15" i="2" s="1"/>
  <c r="BP58" i="2"/>
  <c r="BS58" i="2" s="1"/>
  <c r="BP49" i="2"/>
  <c r="BR49" i="2" s="1"/>
  <c r="BP52" i="2"/>
  <c r="BR52" i="2" s="1"/>
  <c r="BP14" i="2"/>
  <c r="BR14" i="2" s="1"/>
  <c r="BP13" i="2"/>
  <c r="BS13" i="2" s="1"/>
  <c r="BP50" i="2"/>
  <c r="BS50" i="2" s="1"/>
  <c r="BP18" i="2"/>
  <c r="BS18" i="2" s="1"/>
  <c r="BP51" i="2"/>
  <c r="BR51" i="2" s="1"/>
  <c r="BP47" i="2"/>
  <c r="BQ47" i="2" s="1"/>
  <c r="BP5" i="2"/>
  <c r="BS5" i="2" s="1"/>
  <c r="BP6" i="2"/>
  <c r="BQ6" i="2" s="1"/>
  <c r="BP25" i="2"/>
  <c r="BS25" i="2" s="1"/>
  <c r="BP10" i="2"/>
  <c r="BR10" i="2" s="1"/>
  <c r="BP55" i="2"/>
  <c r="BQ55" i="2" s="1"/>
  <c r="BP30" i="2"/>
  <c r="BR30" i="2" s="1"/>
  <c r="BP35" i="2"/>
  <c r="BS35" i="2" s="1"/>
  <c r="BP17" i="2"/>
  <c r="BR17" i="2" s="1"/>
  <c r="BP9" i="2"/>
  <c r="BQ9" i="2" s="1"/>
  <c r="BP43" i="2"/>
  <c r="BS43" i="2" s="1"/>
  <c r="BP53" i="2"/>
  <c r="BQ53" i="2" s="1"/>
  <c r="BP38" i="2"/>
  <c r="BS38" i="2" s="1"/>
  <c r="BP42" i="2"/>
  <c r="BQ42" i="2" s="1"/>
  <c r="BP41" i="2"/>
  <c r="BR41" i="2" s="1"/>
  <c r="BP39" i="2"/>
  <c r="BS39" i="2" s="1"/>
  <c r="BP24" i="2"/>
  <c r="BQ24" i="2" s="1"/>
  <c r="BP54" i="2"/>
  <c r="BR54" i="2" s="1"/>
  <c r="BP31" i="2"/>
  <c r="BS31" i="2" s="1"/>
  <c r="BP12" i="2"/>
  <c r="BQ12" i="2" s="1"/>
  <c r="BP26" i="2"/>
  <c r="BR26" i="2" s="1"/>
  <c r="BP36" i="2"/>
  <c r="BS36" i="2" s="1"/>
  <c r="BP32" i="2"/>
  <c r="BQ32" i="2" s="1"/>
  <c r="BP56" i="2"/>
  <c r="BP59" i="2"/>
  <c r="BP61" i="2"/>
  <c r="BO62" i="2"/>
  <c r="BQ60" i="2" l="1"/>
  <c r="BR60" i="2"/>
  <c r="BR19" i="2"/>
  <c r="BS19" i="2"/>
  <c r="BS37" i="2"/>
  <c r="BQ37" i="2"/>
  <c r="BR27" i="2"/>
  <c r="BS27" i="2"/>
  <c r="BQ44" i="2"/>
  <c r="BR44" i="2"/>
  <c r="BR34" i="2"/>
  <c r="BS34" i="2"/>
  <c r="BR46" i="2"/>
  <c r="BS8" i="2"/>
  <c r="BS46" i="2"/>
  <c r="BQ57" i="2"/>
  <c r="BQ8" i="2"/>
  <c r="BS48" i="2"/>
  <c r="BS29" i="2"/>
  <c r="BQ48" i="2"/>
  <c r="BR29" i="2"/>
  <c r="BR4" i="2"/>
  <c r="BQ45" i="2"/>
  <c r="BR20" i="2"/>
  <c r="BR45" i="2"/>
  <c r="BQ20" i="2"/>
  <c r="BR57" i="2"/>
  <c r="BS4" i="2"/>
  <c r="BQ11" i="2"/>
  <c r="BS21" i="2"/>
  <c r="BS11" i="2"/>
  <c r="BQ21" i="2"/>
  <c r="BS28" i="2"/>
  <c r="BR28" i="2"/>
  <c r="BS3" i="2"/>
  <c r="BQ3" i="2"/>
  <c r="BQ22" i="2"/>
  <c r="BQ40" i="2"/>
  <c r="BS16" i="2"/>
  <c r="BR7" i="2"/>
  <c r="BQ16" i="2"/>
  <c r="BS7" i="2"/>
  <c r="BQ23" i="2"/>
  <c r="BR22" i="2"/>
  <c r="BQ33" i="2"/>
  <c r="BR40" i="2"/>
  <c r="BS23" i="2"/>
  <c r="BR33" i="2"/>
  <c r="BS52" i="2"/>
  <c r="BS6" i="2"/>
  <c r="BR43" i="2"/>
  <c r="BS15" i="2"/>
  <c r="BR15" i="2"/>
  <c r="BQ49" i="2"/>
  <c r="BR58" i="2"/>
  <c r="BS49" i="2"/>
  <c r="BQ58" i="2"/>
  <c r="BR55" i="2"/>
  <c r="BR25" i="2"/>
  <c r="BR53" i="2"/>
  <c r="BS14" i="2"/>
  <c r="BQ25" i="2"/>
  <c r="BS53" i="2"/>
  <c r="BQ43" i="2"/>
  <c r="BR13" i="2"/>
  <c r="BS55" i="2"/>
  <c r="BQ13" i="2"/>
  <c r="BS26" i="2"/>
  <c r="BQ38" i="2"/>
  <c r="BR6" i="2"/>
  <c r="BQ10" i="2"/>
  <c r="BS10" i="2"/>
  <c r="BQ26" i="2"/>
  <c r="BR38" i="2"/>
  <c r="BQ52" i="2"/>
  <c r="BQ14" i="2"/>
  <c r="BQ50" i="2"/>
  <c r="BR18" i="2"/>
  <c r="BS42" i="2"/>
  <c r="BR42" i="2"/>
  <c r="BR36" i="2"/>
  <c r="BQ36" i="2"/>
  <c r="BR50" i="2"/>
  <c r="BR39" i="2"/>
  <c r="BQ18" i="2"/>
  <c r="BR32" i="2"/>
  <c r="BS41" i="2"/>
  <c r="BR47" i="2"/>
  <c r="BR35" i="2"/>
  <c r="BQ51" i="2"/>
  <c r="BS17" i="2"/>
  <c r="BQ35" i="2"/>
  <c r="BS51" i="2"/>
  <c r="BQ17" i="2"/>
  <c r="BS30" i="2"/>
  <c r="BR5" i="2"/>
  <c r="BS47" i="2"/>
  <c r="BQ30" i="2"/>
  <c r="BR9" i="2"/>
  <c r="BS9" i="2"/>
  <c r="BQ5" i="2"/>
  <c r="BS32" i="2"/>
  <c r="BQ39" i="2"/>
  <c r="BR24" i="2"/>
  <c r="BQ31" i="2"/>
  <c r="BR31" i="2"/>
  <c r="BS24" i="2"/>
  <c r="BS54" i="2"/>
  <c r="BQ54" i="2"/>
  <c r="BS12" i="2"/>
  <c r="BR12" i="2"/>
  <c r="BQ41" i="2"/>
  <c r="BQ59" i="2"/>
  <c r="BS59" i="2"/>
  <c r="BR59" i="2"/>
  <c r="BS56" i="2"/>
  <c r="BR56" i="2"/>
  <c r="BQ56" i="2"/>
  <c r="BS61" i="2"/>
  <c r="BR61" i="2"/>
  <c r="BQ61" i="2"/>
  <c r="BP62" i="2"/>
  <c r="BO63" i="2"/>
  <c r="BP63" i="2" l="1"/>
  <c r="BO64" i="2"/>
  <c r="BR62" i="2"/>
  <c r="BS62" i="2"/>
  <c r="BQ62" i="2"/>
  <c r="BP64" i="2" l="1"/>
  <c r="BS63" i="2"/>
  <c r="BR63" i="2"/>
  <c r="BQ63" i="2"/>
  <c r="BS64" i="2" l="1"/>
  <c r="BR64" i="2"/>
  <c r="BQ64" i="2"/>
  <c r="BU4" i="2" a="1"/>
  <c r="BU73" i="2" l="1"/>
  <c r="BU25" i="2"/>
  <c r="BU13" i="2"/>
  <c r="BU19" i="2"/>
  <c r="BV56" i="2"/>
  <c r="BV29" i="2"/>
  <c r="BV66" i="2"/>
  <c r="BV76" i="2"/>
  <c r="BV33" i="2"/>
  <c r="BU70" i="2"/>
  <c r="BU27" i="2"/>
  <c r="BV21" i="2"/>
  <c r="BV42" i="2"/>
  <c r="BV62" i="2"/>
  <c r="BV20" i="2"/>
  <c r="BU53" i="2"/>
  <c r="BU10" i="2"/>
  <c r="BV31" i="2"/>
  <c r="BU29" i="2"/>
  <c r="BV24" i="2"/>
  <c r="BU39" i="2"/>
  <c r="BU71" i="2"/>
  <c r="BU45" i="2"/>
  <c r="BU82" i="2"/>
  <c r="BV70" i="2"/>
  <c r="BV28" i="2"/>
  <c r="BU65" i="2"/>
  <c r="BU17" i="2"/>
  <c r="BV10" i="2"/>
  <c r="BV26" i="2"/>
  <c r="BV57" i="2"/>
  <c r="BV14" i="2"/>
  <c r="BU47" i="2"/>
  <c r="BU5" i="2"/>
  <c r="BV23" i="2"/>
  <c r="BV75" i="2"/>
  <c r="BU56" i="2"/>
  <c r="BV44" i="2"/>
  <c r="BU30" i="2"/>
  <c r="BU23" i="2"/>
  <c r="BU83" i="2"/>
  <c r="BU57" i="2"/>
  <c r="BU55" i="2"/>
  <c r="BV65" i="2"/>
  <c r="BV22" i="2"/>
  <c r="BU59" i="2"/>
  <c r="BU11" i="2"/>
  <c r="BV73" i="2"/>
  <c r="BV16" i="2"/>
  <c r="BV52" i="2"/>
  <c r="BV9" i="2"/>
  <c r="BU42" i="2"/>
  <c r="BV18" i="2"/>
  <c r="BV35" i="2"/>
  <c r="BV39" i="2"/>
  <c r="BV79" i="2"/>
  <c r="BU28" i="2"/>
  <c r="BU60" i="2"/>
  <c r="BV71" i="2"/>
  <c r="BV51" i="2"/>
  <c r="BU4" i="2"/>
  <c r="BU36" i="2"/>
  <c r="BU78" i="2"/>
  <c r="BU38" i="2"/>
  <c r="BV58" i="2"/>
  <c r="BU69" i="2"/>
  <c r="BU77" i="2"/>
  <c r="BV59" i="2"/>
  <c r="BU76" i="2"/>
  <c r="BU7" i="2"/>
  <c r="BV13" i="2"/>
  <c r="BV40" i="2"/>
  <c r="BU62" i="2"/>
  <c r="BV72" i="2"/>
  <c r="BV82" i="2"/>
  <c r="BV60" i="2"/>
  <c r="BV17" i="2"/>
  <c r="BU54" i="2"/>
  <c r="BU6" i="2"/>
  <c r="BU22" i="2"/>
  <c r="BV5" i="2"/>
  <c r="BV46" i="2"/>
  <c r="BV4" i="2"/>
  <c r="BU37" i="2"/>
  <c r="BU34" i="2"/>
  <c r="BV47" i="2"/>
  <c r="BV43" i="2"/>
  <c r="BV83" i="2"/>
  <c r="BU32" i="2"/>
  <c r="BU64" i="2"/>
  <c r="BU68" i="2"/>
  <c r="BV7" i="2"/>
  <c r="BV55" i="2"/>
  <c r="BU8" i="2"/>
  <c r="BU40" i="2"/>
  <c r="BU72" i="2"/>
  <c r="BV8" i="2"/>
  <c r="BU81" i="2"/>
  <c r="BV37" i="2"/>
  <c r="BV30" i="2"/>
  <c r="BU21" i="2"/>
  <c r="BV50" i="2"/>
  <c r="BV34" i="2"/>
  <c r="BV77" i="2"/>
  <c r="BU67" i="2"/>
  <c r="BV45" i="2"/>
  <c r="BV54" i="2"/>
  <c r="BV12" i="2"/>
  <c r="BU49" i="2"/>
  <c r="BV74" i="2"/>
  <c r="BV80" i="2"/>
  <c r="BU63" i="2"/>
  <c r="BV41" i="2"/>
  <c r="BU79" i="2"/>
  <c r="BU31" i="2"/>
  <c r="BU46" i="2"/>
  <c r="BU50" i="2"/>
  <c r="BU18" i="2"/>
  <c r="BU66" i="2"/>
  <c r="BU61" i="2"/>
  <c r="BV49" i="2"/>
  <c r="BV6" i="2"/>
  <c r="BU43" i="2"/>
  <c r="BV53" i="2"/>
  <c r="BV69" i="2"/>
  <c r="BV64" i="2"/>
  <c r="BV36" i="2"/>
  <c r="BU74" i="2"/>
  <c r="BU26" i="2"/>
  <c r="BV61" i="2"/>
  <c r="BU35" i="2"/>
  <c r="BV78" i="2"/>
  <c r="BV15" i="2"/>
  <c r="BU12" i="2"/>
  <c r="BU9" i="2"/>
  <c r="BU41" i="2"/>
  <c r="BU14" i="2"/>
  <c r="BU51" i="2"/>
  <c r="BV81" i="2"/>
  <c r="BV38" i="2"/>
  <c r="BU75" i="2"/>
  <c r="BU33" i="2"/>
  <c r="BV32" i="2"/>
  <c r="BV48" i="2"/>
  <c r="BV68" i="2"/>
  <c r="BV25" i="2"/>
  <c r="BU58" i="2"/>
  <c r="BU15" i="2"/>
  <c r="BV19" i="2"/>
  <c r="BV63" i="2"/>
  <c r="BU16" i="2"/>
  <c r="BU48" i="2"/>
  <c r="BV11" i="2"/>
  <c r="BV27" i="2"/>
  <c r="BV67" i="2"/>
  <c r="BU20" i="2"/>
  <c r="BU52" i="2"/>
  <c r="BU24" i="2"/>
  <c r="BU80" i="2"/>
  <c r="BU44" i="2"/>
  <c r="CV96" i="2" l="1"/>
  <c r="D28" i="3"/>
  <c r="D30" i="3"/>
  <c r="D32" i="3"/>
  <c r="DB18" i="2"/>
  <c r="DB36" i="2"/>
  <c r="DB22" i="2"/>
  <c r="E87" i="3"/>
  <c r="E106" i="3"/>
  <c r="E92" i="3"/>
  <c r="E101" i="3"/>
  <c r="D33" i="3"/>
  <c r="DB12" i="2"/>
  <c r="DB15" i="2"/>
  <c r="D37" i="3"/>
  <c r="DB28" i="2"/>
  <c r="DB17" i="2"/>
  <c r="D45" i="3"/>
  <c r="D553" i="3" s="1"/>
  <c r="E88" i="3"/>
  <c r="E97" i="3"/>
  <c r="D36" i="3"/>
  <c r="D38" i="3"/>
  <c r="D40" i="3"/>
  <c r="E95" i="3"/>
  <c r="DB16" i="2"/>
  <c r="DB32" i="2"/>
  <c r="DB29" i="2"/>
  <c r="E107" i="3"/>
  <c r="E93" i="3"/>
  <c r="DB39" i="2"/>
  <c r="D523" i="3"/>
  <c r="D29" i="3"/>
  <c r="E103" i="3"/>
  <c r="D27" i="3"/>
  <c r="DB19" i="2"/>
  <c r="DB20" i="2"/>
  <c r="D516" i="3"/>
  <c r="D47" i="3"/>
  <c r="D555" i="3" s="1"/>
  <c r="E110" i="3"/>
  <c r="D44" i="3"/>
  <c r="D552" i="3" s="1"/>
  <c r="D46" i="3"/>
  <c r="D48" i="3"/>
  <c r="DB34" i="2"/>
  <c r="E105" i="3"/>
  <c r="E99" i="3"/>
  <c r="DB11" i="2"/>
  <c r="DB25" i="2"/>
  <c r="DB37" i="2"/>
  <c r="E98" i="3"/>
  <c r="D554" i="3"/>
  <c r="D515" i="3"/>
  <c r="D510" i="3"/>
  <c r="D31" i="3"/>
  <c r="E100" i="3"/>
  <c r="DB30" i="2"/>
  <c r="D508" i="3"/>
  <c r="D39" i="3"/>
  <c r="E90" i="3"/>
  <c r="D511" i="3"/>
  <c r="D49" i="3"/>
  <c r="DB38" i="2"/>
  <c r="D506" i="3"/>
  <c r="D509" i="3"/>
  <c r="D23" i="3"/>
  <c r="D25" i="3"/>
  <c r="E94" i="3"/>
  <c r="E112" i="3"/>
  <c r="DB31" i="2"/>
  <c r="E102" i="3"/>
  <c r="E104" i="3"/>
  <c r="E89" i="3"/>
  <c r="D524" i="3"/>
  <c r="D518" i="3"/>
  <c r="D34" i="3"/>
  <c r="DB35" i="2"/>
  <c r="D503" i="3"/>
  <c r="D41" i="3"/>
  <c r="E96" i="3"/>
  <c r="D525" i="3"/>
  <c r="D35" i="3"/>
  <c r="DB26" i="2"/>
  <c r="DB40" i="2"/>
  <c r="D556" i="3"/>
  <c r="D526" i="3"/>
  <c r="D43" i="3"/>
  <c r="D22" i="3"/>
  <c r="D24" i="3"/>
  <c r="E113" i="3"/>
  <c r="E111" i="3"/>
  <c r="DB23" i="2"/>
  <c r="E91" i="3"/>
  <c r="E108" i="3"/>
  <c r="DB24" i="2"/>
  <c r="DB27" i="2"/>
  <c r="D522" i="3"/>
  <c r="D21" i="3"/>
  <c r="D514" i="3"/>
  <c r="D507" i="3"/>
  <c r="D505" i="3"/>
  <c r="D517" i="3"/>
  <c r="D527" i="3"/>
  <c r="D557" i="3"/>
  <c r="D501" i="3"/>
  <c r="D512" i="3"/>
  <c r="D519" i="3"/>
  <c r="D513" i="3"/>
  <c r="D551" i="3"/>
  <c r="D521" i="3"/>
  <c r="D500" i="3"/>
  <c r="D502" i="3"/>
  <c r="D529" i="3"/>
  <c r="D499" i="3"/>
  <c r="D263" i="3" l="1"/>
  <c r="D255" i="3"/>
  <c r="D247" i="3"/>
  <c r="D262" i="3"/>
  <c r="D254" i="3"/>
  <c r="D246" i="3"/>
  <c r="D261" i="3"/>
  <c r="D253" i="3"/>
  <c r="D245" i="3"/>
  <c r="D260" i="3"/>
  <c r="D252" i="3"/>
  <c r="D244" i="3"/>
  <c r="D259" i="3"/>
  <c r="D251" i="3"/>
  <c r="D243" i="3"/>
  <c r="D258" i="3"/>
  <c r="D250" i="3"/>
  <c r="D257" i="3"/>
  <c r="D249" i="3"/>
  <c r="D256" i="3"/>
  <c r="E318" i="3"/>
  <c r="E288" i="3"/>
  <c r="E291" i="3"/>
  <c r="E321" i="3"/>
  <c r="E317" i="3"/>
  <c r="E287" i="3"/>
  <c r="E309" i="3"/>
  <c r="E279" i="3"/>
  <c r="E283" i="3"/>
  <c r="E313" i="3"/>
  <c r="E282" i="3"/>
  <c r="E312" i="3"/>
  <c r="E324" i="3"/>
  <c r="E294" i="3"/>
  <c r="E297" i="3"/>
  <c r="E327" i="3"/>
  <c r="E296" i="3"/>
  <c r="E326" i="3"/>
  <c r="E328" i="3"/>
  <c r="E298" i="3"/>
  <c r="E286" i="3"/>
  <c r="E316" i="3"/>
  <c r="E292" i="3"/>
  <c r="E322" i="3"/>
  <c r="E281" i="3"/>
  <c r="E311" i="3"/>
  <c r="E300" i="3"/>
  <c r="E330" i="3"/>
  <c r="E280" i="3"/>
  <c r="E310" i="3"/>
  <c r="E323" i="3"/>
  <c r="E293" i="3"/>
  <c r="E289" i="3"/>
  <c r="E319" i="3"/>
  <c r="E278" i="3"/>
  <c r="E308" i="3"/>
  <c r="E332" i="3"/>
  <c r="E302" i="3"/>
  <c r="E325" i="3"/>
  <c r="E295" i="3"/>
  <c r="E301" i="3"/>
  <c r="E331" i="3"/>
  <c r="E320" i="3"/>
  <c r="E290" i="3"/>
  <c r="E314" i="3"/>
  <c r="E284" i="3"/>
  <c r="E285" i="3"/>
  <c r="E315" i="3"/>
  <c r="E303" i="3"/>
  <c r="E333" i="3"/>
  <c r="DC34" i="2"/>
  <c r="DC22" i="2"/>
  <c r="DC36" i="2"/>
  <c r="DC24" i="2"/>
  <c r="DC27" i="2"/>
  <c r="DC26" i="2"/>
  <c r="DC19" i="2"/>
  <c r="DC31" i="2"/>
  <c r="DC40" i="2"/>
  <c r="DC25" i="2"/>
  <c r="DC30" i="2"/>
  <c r="DC39" i="2"/>
  <c r="DC28" i="2"/>
  <c r="DC37" i="2"/>
  <c r="DC20" i="2"/>
  <c r="DC18" i="2"/>
  <c r="DC29" i="2"/>
  <c r="DC23" i="2"/>
  <c r="DC32" i="2"/>
  <c r="DC17" i="2"/>
  <c r="DC12" i="2"/>
  <c r="DC15" i="2"/>
  <c r="DC11" i="2"/>
  <c r="DC16" i="2"/>
  <c r="DC38" i="2"/>
  <c r="DC35" i="2"/>
  <c r="D532" i="3"/>
  <c r="D539" i="3"/>
  <c r="D540" i="3"/>
  <c r="E555" i="3"/>
  <c r="E541" i="3"/>
  <c r="E547" i="3"/>
  <c r="E508" i="3"/>
  <c r="E511" i="3"/>
  <c r="E502" i="3"/>
  <c r="DB14" i="2"/>
  <c r="E545" i="3"/>
  <c r="E513" i="3"/>
  <c r="D544" i="3"/>
  <c r="E536" i="3"/>
  <c r="E515" i="3"/>
  <c r="E514" i="3"/>
  <c r="E84" i="3"/>
  <c r="E535" i="3"/>
  <c r="E504" i="3"/>
  <c r="D530" i="3"/>
  <c r="D535" i="3"/>
  <c r="D538" i="3"/>
  <c r="E556" i="3"/>
  <c r="E548" i="3"/>
  <c r="E549" i="3"/>
  <c r="E509" i="3"/>
  <c r="E516" i="3"/>
  <c r="E550" i="3"/>
  <c r="E109" i="3"/>
  <c r="D42" i="3"/>
  <c r="E544" i="3"/>
  <c r="E526" i="3"/>
  <c r="E540" i="3"/>
  <c r="E524" i="3"/>
  <c r="E532" i="3"/>
  <c r="E512" i="3"/>
  <c r="D547" i="3"/>
  <c r="E551" i="3"/>
  <c r="E506" i="3"/>
  <c r="D543" i="3"/>
  <c r="D537" i="3"/>
  <c r="D536" i="3"/>
  <c r="E552" i="3"/>
  <c r="E538" i="3"/>
  <c r="E546" i="3"/>
  <c r="E503" i="3"/>
  <c r="E517" i="3"/>
  <c r="E522" i="3"/>
  <c r="DB13" i="2"/>
  <c r="D546" i="3"/>
  <c r="E507" i="3"/>
  <c r="D533" i="3"/>
  <c r="E505" i="3"/>
  <c r="D531" i="3"/>
  <c r="E554" i="3"/>
  <c r="E510" i="3"/>
  <c r="D541" i="3"/>
  <c r="E533" i="3"/>
  <c r="E527" i="3"/>
  <c r="D549" i="3"/>
  <c r="D548" i="3"/>
  <c r="D26" i="3"/>
  <c r="E557" i="3"/>
  <c r="E539" i="3"/>
  <c r="E542" i="3"/>
  <c r="E519" i="3"/>
  <c r="E520" i="3"/>
  <c r="E525" i="3"/>
  <c r="DB33" i="2"/>
  <c r="D542" i="3"/>
  <c r="E537" i="3"/>
  <c r="E85" i="3"/>
  <c r="E543" i="3"/>
  <c r="DB21" i="2"/>
  <c r="D545" i="3"/>
  <c r="E534" i="3"/>
  <c r="E521" i="3"/>
  <c r="E518" i="3"/>
  <c r="E86" i="3"/>
  <c r="D550" i="3"/>
  <c r="D504" i="3"/>
  <c r="D248" i="3" l="1"/>
  <c r="E299" i="3"/>
  <c r="E329" i="3"/>
  <c r="DC21" i="2"/>
  <c r="DC33" i="2"/>
  <c r="DC13" i="2"/>
  <c r="DC14" i="2"/>
  <c r="E16" i="3"/>
  <c r="E365" i="3" s="1"/>
  <c r="D534" i="3"/>
  <c r="E523" i="3"/>
  <c r="D520" i="3"/>
  <c r="E553" i="3"/>
  <c r="E344" i="3" l="1"/>
  <c r="E375" i="3" s="1"/>
  <c r="E359" i="3"/>
  <c r="E357" i="3"/>
  <c r="E349" i="3"/>
  <c r="E380" i="3" s="1"/>
  <c r="E340" i="3"/>
  <c r="E363" i="3"/>
  <c r="E350" i="3"/>
  <c r="E364" i="3"/>
  <c r="E353" i="3"/>
  <c r="E354" i="3"/>
  <c r="E355" i="3"/>
  <c r="E386" i="3" s="1"/>
  <c r="E343" i="3"/>
  <c r="E348" i="3"/>
  <c r="E341" i="3"/>
  <c r="E372" i="3" s="1"/>
  <c r="E347" i="3"/>
  <c r="E378" i="3" s="1"/>
  <c r="E361" i="3"/>
  <c r="E352" i="3"/>
  <c r="E383" i="3" s="1"/>
  <c r="E346" i="3"/>
  <c r="E345" i="3"/>
  <c r="E376" i="3" s="1"/>
  <c r="E362" i="3"/>
  <c r="E342" i="3"/>
  <c r="E373" i="3" s="1"/>
  <c r="E358" i="3"/>
  <c r="E351" i="3"/>
  <c r="E356" i="3"/>
  <c r="E360" i="3"/>
  <c r="E385" i="3"/>
  <c r="E34" i="3"/>
  <c r="E26" i="3"/>
  <c r="E33" i="3"/>
  <c r="E35" i="3"/>
  <c r="E36" i="3"/>
  <c r="E42" i="3"/>
  <c r="E38" i="3"/>
  <c r="E49" i="3"/>
  <c r="E25" i="3"/>
  <c r="E40" i="3"/>
  <c r="E37" i="3"/>
  <c r="E44" i="3"/>
  <c r="E29" i="3"/>
  <c r="E28" i="3"/>
  <c r="E39" i="3"/>
  <c r="E30" i="3"/>
  <c r="E24" i="3"/>
  <c r="E41" i="3"/>
  <c r="E27" i="3"/>
  <c r="E43" i="3"/>
  <c r="E47" i="3"/>
  <c r="E32" i="3"/>
  <c r="E46" i="3"/>
  <c r="E48" i="3"/>
  <c r="E31" i="3"/>
  <c r="E253" i="3" s="1"/>
  <c r="E45" i="3"/>
  <c r="AP85" i="3"/>
  <c r="AP103" i="3"/>
  <c r="AP87" i="3"/>
  <c r="AP106" i="3"/>
  <c r="AO109" i="3"/>
  <c r="AO103" i="3"/>
  <c r="AO88" i="3"/>
  <c r="AO107" i="3"/>
  <c r="AN102" i="3"/>
  <c r="AN111" i="3"/>
  <c r="AM85" i="3"/>
  <c r="AN92" i="3"/>
  <c r="AL103" i="3"/>
  <c r="AL112" i="3"/>
  <c r="AM91" i="3"/>
  <c r="AL106" i="3"/>
  <c r="AM105" i="3"/>
  <c r="AL105" i="3"/>
  <c r="AK94" i="3"/>
  <c r="AK87" i="3"/>
  <c r="AK90" i="3"/>
  <c r="AK99" i="3"/>
  <c r="AJ109" i="3"/>
  <c r="AJ88" i="3"/>
  <c r="AJ96" i="3"/>
  <c r="AJ99" i="3"/>
  <c r="AI93" i="3"/>
  <c r="AI101" i="3"/>
  <c r="AI97" i="3"/>
  <c r="AH92" i="3"/>
  <c r="AH111" i="3"/>
  <c r="AH93" i="3"/>
  <c r="AH98" i="3"/>
  <c r="AG108" i="3"/>
  <c r="AG111" i="3"/>
  <c r="AG88" i="3"/>
  <c r="AG107" i="3"/>
  <c r="AF87" i="3"/>
  <c r="AF88" i="3"/>
  <c r="AF113" i="3"/>
  <c r="AE87" i="3"/>
  <c r="AE95" i="3"/>
  <c r="AE113" i="3"/>
  <c r="AE91" i="3"/>
  <c r="AD112" i="3"/>
  <c r="AD98" i="3"/>
  <c r="AD85" i="3"/>
  <c r="AC100" i="3"/>
  <c r="AC111" i="3"/>
  <c r="AC108" i="3"/>
  <c r="AC89" i="3"/>
  <c r="AB94" i="3"/>
  <c r="AB95" i="3"/>
  <c r="AB103" i="3"/>
  <c r="AB99" i="3"/>
  <c r="AA102" i="3"/>
  <c r="AA112" i="3"/>
  <c r="AA97" i="3"/>
  <c r="Z108" i="3"/>
  <c r="Z85" i="3"/>
  <c r="Z113" i="3"/>
  <c r="Z106" i="3"/>
  <c r="Y101" i="3"/>
  <c r="Y109" i="3"/>
  <c r="Y104" i="3"/>
  <c r="Y106" i="3"/>
  <c r="X100" i="3"/>
  <c r="X89" i="3"/>
  <c r="X90" i="3"/>
  <c r="V85" i="3"/>
  <c r="V100" i="3"/>
  <c r="V109" i="3"/>
  <c r="W108" i="3"/>
  <c r="V103" i="3"/>
  <c r="W111" i="3"/>
  <c r="V89" i="3"/>
  <c r="U108" i="3"/>
  <c r="U101" i="3"/>
  <c r="U112" i="3"/>
  <c r="U91" i="3"/>
  <c r="T108" i="3"/>
  <c r="S103" i="3"/>
  <c r="T87" i="3"/>
  <c r="T89" i="3"/>
  <c r="S86" i="3"/>
  <c r="T90" i="3"/>
  <c r="S98" i="3"/>
  <c r="Q98" i="3"/>
  <c r="P96" i="3"/>
  <c r="P107" i="3"/>
  <c r="Q109" i="3"/>
  <c r="Q85" i="3"/>
  <c r="Q96" i="3"/>
  <c r="P110" i="3"/>
  <c r="Q105" i="3"/>
  <c r="Q88" i="3"/>
  <c r="R108" i="3"/>
  <c r="R85" i="3"/>
  <c r="O102" i="3"/>
  <c r="O103" i="3"/>
  <c r="O112" i="3"/>
  <c r="O107" i="3"/>
  <c r="N93" i="3"/>
  <c r="N105" i="3"/>
  <c r="N90" i="3"/>
  <c r="M91" i="3"/>
  <c r="M85" i="3"/>
  <c r="M95" i="3"/>
  <c r="M97" i="3"/>
  <c r="L104" i="3"/>
  <c r="L95" i="3"/>
  <c r="L93" i="3"/>
  <c r="K87" i="3"/>
  <c r="K89" i="3"/>
  <c r="K99" i="3"/>
  <c r="K109" i="3"/>
  <c r="I98" i="3"/>
  <c r="H92" i="3"/>
  <c r="I113" i="3"/>
  <c r="G93" i="3"/>
  <c r="F96" i="3"/>
  <c r="H112" i="3"/>
  <c r="J100" i="3"/>
  <c r="H91" i="3"/>
  <c r="F86" i="3"/>
  <c r="G94" i="3"/>
  <c r="G100" i="3"/>
  <c r="H109" i="3"/>
  <c r="AP93" i="3"/>
  <c r="AP108" i="3"/>
  <c r="AP96" i="3"/>
  <c r="AP91" i="3"/>
  <c r="AO92" i="3"/>
  <c r="AO96" i="3"/>
  <c r="AO104" i="3"/>
  <c r="AL88" i="3"/>
  <c r="AL92" i="3"/>
  <c r="AN100" i="3"/>
  <c r="AN88" i="3"/>
  <c r="AN112" i="3"/>
  <c r="AM100" i="3"/>
  <c r="AM88" i="3"/>
  <c r="AM101" i="3"/>
  <c r="AM92" i="3"/>
  <c r="AN90" i="3"/>
  <c r="AL113" i="3"/>
  <c r="AK95" i="3"/>
  <c r="AK110" i="3"/>
  <c r="AK98" i="3"/>
  <c r="AK107" i="3"/>
  <c r="AJ85" i="3"/>
  <c r="AJ104" i="3"/>
  <c r="AJ112" i="3"/>
  <c r="AJ107" i="3"/>
  <c r="AI109" i="3"/>
  <c r="AI88" i="3"/>
  <c r="AI113" i="3"/>
  <c r="AH100" i="3"/>
  <c r="AH96" i="3"/>
  <c r="AH86" i="3"/>
  <c r="AH91" i="3"/>
  <c r="AG86" i="3"/>
  <c r="AG96" i="3"/>
  <c r="AG104" i="3"/>
  <c r="AF103" i="3"/>
  <c r="AF92" i="3"/>
  <c r="AF104" i="3"/>
  <c r="AF90" i="3"/>
  <c r="AE103" i="3"/>
  <c r="AE111" i="3"/>
  <c r="AE106" i="3"/>
  <c r="AE99" i="3"/>
  <c r="AD96" i="3"/>
  <c r="AD106" i="3"/>
  <c r="AD93" i="3"/>
  <c r="AC112" i="3"/>
  <c r="AC88" i="3"/>
  <c r="AC85" i="3"/>
  <c r="AC105" i="3"/>
  <c r="AB100" i="3"/>
  <c r="AB111" i="3"/>
  <c r="AB88" i="3"/>
  <c r="AB107" i="3"/>
  <c r="AA85" i="3"/>
  <c r="AA89" i="3"/>
  <c r="AA113" i="3"/>
  <c r="Z93" i="3"/>
  <c r="Z101" i="3"/>
  <c r="Z96" i="3"/>
  <c r="Z91" i="3"/>
  <c r="Y86" i="3"/>
  <c r="Y110" i="3"/>
  <c r="Y112" i="3"/>
  <c r="X85" i="3"/>
  <c r="X101" i="3"/>
  <c r="X113" i="3"/>
  <c r="X98" i="3"/>
  <c r="W89" i="3"/>
  <c r="W104" i="3"/>
  <c r="W103" i="3"/>
  <c r="V92" i="3"/>
  <c r="W87" i="3"/>
  <c r="W113" i="3"/>
  <c r="V105" i="3"/>
  <c r="U109" i="3"/>
  <c r="U86" i="3"/>
  <c r="U89" i="3"/>
  <c r="U99" i="3"/>
  <c r="S91" i="3"/>
  <c r="T88" i="3"/>
  <c r="T111" i="3"/>
  <c r="T97" i="3"/>
  <c r="S110" i="3"/>
  <c r="T98" i="3"/>
  <c r="S106" i="3"/>
  <c r="P99" i="3"/>
  <c r="Q111" i="3"/>
  <c r="Q89" i="3"/>
  <c r="R87" i="3"/>
  <c r="Q103" i="3"/>
  <c r="P91" i="3"/>
  <c r="Q95" i="3"/>
  <c r="R90" i="3"/>
  <c r="Q97" i="3"/>
  <c r="P89" i="3"/>
  <c r="R93" i="3"/>
  <c r="O85" i="3"/>
  <c r="O96" i="3"/>
  <c r="O97" i="3"/>
  <c r="N102" i="3"/>
  <c r="N94" i="3"/>
  <c r="N95" i="3"/>
  <c r="N98" i="3"/>
  <c r="M98" i="3"/>
  <c r="M101" i="3"/>
  <c r="M103" i="3"/>
  <c r="M105" i="3"/>
  <c r="L96" i="3"/>
  <c r="L87" i="3"/>
  <c r="L85" i="3"/>
  <c r="K95" i="3"/>
  <c r="K97" i="3"/>
  <c r="K107" i="3"/>
  <c r="K86" i="3"/>
  <c r="J93" i="3"/>
  <c r="J96" i="3"/>
  <c r="J92" i="3"/>
  <c r="G105" i="3"/>
  <c r="F94" i="3"/>
  <c r="G112" i="3"/>
  <c r="G111" i="3"/>
  <c r="H108" i="3"/>
  <c r="H87" i="3"/>
  <c r="H104" i="3"/>
  <c r="J98" i="3"/>
  <c r="AP101" i="3"/>
  <c r="AP95" i="3"/>
  <c r="AP104" i="3"/>
  <c r="AP99" i="3"/>
  <c r="AO110" i="3"/>
  <c r="AO112" i="3"/>
  <c r="AO97" i="3"/>
  <c r="AM95" i="3"/>
  <c r="AM104" i="3"/>
  <c r="AL90" i="3"/>
  <c r="AL110" i="3"/>
  <c r="AL100" i="3"/>
  <c r="AL104" i="3"/>
  <c r="AM110" i="3"/>
  <c r="AM111" i="3"/>
  <c r="AM102" i="3"/>
  <c r="AN106" i="3"/>
  <c r="AM90" i="3"/>
  <c r="AK101" i="3"/>
  <c r="AK93" i="3"/>
  <c r="AK106" i="3"/>
  <c r="AK92" i="3"/>
  <c r="AJ92" i="3"/>
  <c r="AJ89" i="3"/>
  <c r="AJ97" i="3"/>
  <c r="AI86" i="3"/>
  <c r="AI94" i="3"/>
  <c r="AI104" i="3"/>
  <c r="AI90" i="3"/>
  <c r="AH108" i="3"/>
  <c r="AH97" i="3"/>
  <c r="AH95" i="3"/>
  <c r="AH99" i="3"/>
  <c r="AG109" i="3"/>
  <c r="AG112" i="3"/>
  <c r="AG97" i="3"/>
  <c r="AF108" i="3"/>
  <c r="AF109" i="3"/>
  <c r="AF89" i="3"/>
  <c r="AF106" i="3"/>
  <c r="AE92" i="3"/>
  <c r="AE100" i="3"/>
  <c r="AE96" i="3"/>
  <c r="AE107" i="3"/>
  <c r="AD103" i="3"/>
  <c r="AD91" i="3"/>
  <c r="AD101" i="3"/>
  <c r="AC92" i="3"/>
  <c r="AC104" i="3"/>
  <c r="AC109" i="3"/>
  <c r="AC91" i="3"/>
  <c r="AB101" i="3"/>
  <c r="AB96" i="3"/>
  <c r="AB104" i="3"/>
  <c r="AA92" i="3"/>
  <c r="AA108" i="3"/>
  <c r="AA105" i="3"/>
  <c r="AA90" i="3"/>
  <c r="Z109" i="3"/>
  <c r="Z86" i="3"/>
  <c r="Z104" i="3"/>
  <c r="Z99" i="3"/>
  <c r="Y102" i="3"/>
  <c r="Y87" i="3"/>
  <c r="Y89" i="3"/>
  <c r="X108" i="3"/>
  <c r="X102" i="3"/>
  <c r="X87" i="3"/>
  <c r="X106" i="3"/>
  <c r="W112" i="3"/>
  <c r="V101" i="3"/>
  <c r="V88" i="3"/>
  <c r="V102" i="3"/>
  <c r="W97" i="3"/>
  <c r="V97" i="3"/>
  <c r="V90" i="3"/>
  <c r="U94" i="3"/>
  <c r="U102" i="3"/>
  <c r="U97" i="3"/>
  <c r="U107" i="3"/>
  <c r="T109" i="3"/>
  <c r="T96" i="3"/>
  <c r="S87" i="3"/>
  <c r="T105" i="3"/>
  <c r="T95" i="3"/>
  <c r="T106" i="3"/>
  <c r="T91" i="3"/>
  <c r="Q100" i="3"/>
  <c r="R96" i="3"/>
  <c r="Q108" i="3"/>
  <c r="R107" i="3"/>
  <c r="R98" i="3"/>
  <c r="P109" i="3"/>
  <c r="Q113" i="3"/>
  <c r="R102" i="3"/>
  <c r="Q106" i="3"/>
  <c r="P97" i="3"/>
  <c r="R101" i="3"/>
  <c r="O108" i="3"/>
  <c r="O104" i="3"/>
  <c r="O105" i="3"/>
  <c r="N85" i="3"/>
  <c r="N100" i="3"/>
  <c r="N111" i="3"/>
  <c r="N106" i="3"/>
  <c r="M99" i="3"/>
  <c r="M109" i="3"/>
  <c r="M111" i="3"/>
  <c r="M113" i="3"/>
  <c r="L88" i="3"/>
  <c r="L110" i="3"/>
  <c r="L108" i="3"/>
  <c r="K103" i="3"/>
  <c r="K105" i="3"/>
  <c r="K92" i="3"/>
  <c r="K94" i="3"/>
  <c r="G103" i="3"/>
  <c r="G99" i="3"/>
  <c r="G95" i="3"/>
  <c r="H100" i="3"/>
  <c r="G90" i="3"/>
  <c r="H86" i="3"/>
  <c r="J109" i="3"/>
  <c r="J112" i="3"/>
  <c r="J107" i="3"/>
  <c r="I85" i="3"/>
  <c r="I99" i="3"/>
  <c r="AP109" i="3"/>
  <c r="AP111" i="3"/>
  <c r="AP89" i="3"/>
  <c r="AP107" i="3"/>
  <c r="AO93" i="3"/>
  <c r="AO89" i="3"/>
  <c r="AO113" i="3"/>
  <c r="AL101" i="3"/>
  <c r="AN103" i="3"/>
  <c r="AN101" i="3"/>
  <c r="AM108" i="3"/>
  <c r="AM94" i="3"/>
  <c r="AM87" i="3"/>
  <c r="AN85" i="3"/>
  <c r="AN86" i="3"/>
  <c r="AM112" i="3"/>
  <c r="AM97" i="3"/>
  <c r="AM98" i="3"/>
  <c r="AK102" i="3"/>
  <c r="AK111" i="3"/>
  <c r="AK96" i="3"/>
  <c r="AK100" i="3"/>
  <c r="AJ93" i="3"/>
  <c r="AJ105" i="3"/>
  <c r="AJ113" i="3"/>
  <c r="AI102" i="3"/>
  <c r="AI110" i="3"/>
  <c r="AI105" i="3"/>
  <c r="AI98" i="3"/>
  <c r="AH94" i="3"/>
  <c r="AH113" i="3"/>
  <c r="AH88" i="3"/>
  <c r="AH107" i="3"/>
  <c r="AG92" i="3"/>
  <c r="AG89" i="3"/>
  <c r="AG105" i="3"/>
  <c r="AF93" i="3"/>
  <c r="AF110" i="3"/>
  <c r="AF105" i="3"/>
  <c r="AF91" i="3"/>
  <c r="AE108" i="3"/>
  <c r="AE85" i="3"/>
  <c r="AE112" i="3"/>
  <c r="AD97" i="3"/>
  <c r="AD87" i="3"/>
  <c r="AD99" i="3"/>
  <c r="AD109" i="3"/>
  <c r="AC93" i="3"/>
  <c r="AC97" i="3"/>
  <c r="AC86" i="3"/>
  <c r="AC99" i="3"/>
  <c r="AB102" i="3"/>
  <c r="AB112" i="3"/>
  <c r="AB97" i="3"/>
  <c r="AA110" i="3"/>
  <c r="AA86" i="3"/>
  <c r="AA106" i="3"/>
  <c r="AA98" i="3"/>
  <c r="Z94" i="3"/>
  <c r="Z102" i="3"/>
  <c r="Z89" i="3"/>
  <c r="Z107" i="3"/>
  <c r="Y91" i="3"/>
  <c r="Y95" i="3"/>
  <c r="Y97" i="3"/>
  <c r="X86" i="3"/>
  <c r="X110" i="3"/>
  <c r="X103" i="3"/>
  <c r="X91" i="3"/>
  <c r="V86" i="3"/>
  <c r="W95" i="3"/>
  <c r="V110" i="3"/>
  <c r="V112" i="3"/>
  <c r="W110" i="3"/>
  <c r="V113" i="3"/>
  <c r="V98" i="3"/>
  <c r="U110" i="3"/>
  <c r="U87" i="3"/>
  <c r="U105" i="3"/>
  <c r="S107" i="3"/>
  <c r="S92" i="3"/>
  <c r="T104" i="3"/>
  <c r="S111" i="3"/>
  <c r="T113" i="3"/>
  <c r="S95" i="3"/>
  <c r="S101" i="3"/>
  <c r="T99" i="3"/>
  <c r="P104" i="3"/>
  <c r="R97" i="3"/>
  <c r="R86" i="3"/>
  <c r="P95" i="3"/>
  <c r="P101" i="3"/>
  <c r="Q94" i="3"/>
  <c r="R89" i="3"/>
  <c r="R112" i="3"/>
  <c r="R91" i="3"/>
  <c r="P105" i="3"/>
  <c r="R109" i="3"/>
  <c r="O86" i="3"/>
  <c r="O89" i="3"/>
  <c r="O90" i="3"/>
  <c r="N108" i="3"/>
  <c r="N101" i="3"/>
  <c r="N96" i="3"/>
  <c r="N91" i="3"/>
  <c r="M106" i="3"/>
  <c r="M86" i="3"/>
  <c r="M88" i="3"/>
  <c r="L113" i="3"/>
  <c r="L92" i="3"/>
  <c r="L102" i="3"/>
  <c r="L100" i="3"/>
  <c r="K111" i="3"/>
  <c r="K113" i="3"/>
  <c r="K100" i="3"/>
  <c r="K102" i="3"/>
  <c r="H90" i="3"/>
  <c r="I103" i="3"/>
  <c r="J101" i="3"/>
  <c r="J104" i="3"/>
  <c r="J113" i="3"/>
  <c r="J88" i="3"/>
  <c r="H105" i="3"/>
  <c r="H85" i="3"/>
  <c r="H94" i="3"/>
  <c r="I94" i="3"/>
  <c r="G101" i="3"/>
  <c r="AP100" i="3"/>
  <c r="U92" i="3"/>
  <c r="AP112" i="3"/>
  <c r="AO85" i="3"/>
  <c r="AO106" i="3"/>
  <c r="AM96" i="3"/>
  <c r="AL108" i="3"/>
  <c r="AN113" i="3"/>
  <c r="AN105" i="3"/>
  <c r="AN97" i="3"/>
  <c r="AN91" i="3"/>
  <c r="AK104" i="3"/>
  <c r="AJ100" i="3"/>
  <c r="AJ102" i="3"/>
  <c r="AI103" i="3"/>
  <c r="AI96" i="3"/>
  <c r="AH110" i="3"/>
  <c r="AH89" i="3"/>
  <c r="AG93" i="3"/>
  <c r="AG98" i="3"/>
  <c r="AF100" i="3"/>
  <c r="AF107" i="3"/>
  <c r="AE88" i="3"/>
  <c r="AD105" i="3"/>
  <c r="AD92" i="3"/>
  <c r="AC94" i="3"/>
  <c r="AC87" i="3"/>
  <c r="AB108" i="3"/>
  <c r="AB90" i="3"/>
  <c r="AA95" i="3"/>
  <c r="AA99" i="3"/>
  <c r="Z103" i="3"/>
  <c r="Y99" i="3"/>
  <c r="Y111" i="3"/>
  <c r="X92" i="3"/>
  <c r="X104" i="3"/>
  <c r="W92" i="3"/>
  <c r="V91" i="3"/>
  <c r="V104" i="3"/>
  <c r="W91" i="3"/>
  <c r="U88" i="3"/>
  <c r="T100" i="3"/>
  <c r="S93" i="3"/>
  <c r="S109" i="3"/>
  <c r="S94" i="3"/>
  <c r="P87" i="3"/>
  <c r="P90" i="3"/>
  <c r="Q104" i="3"/>
  <c r="P93" i="3"/>
  <c r="R113" i="3"/>
  <c r="O94" i="3"/>
  <c r="O95" i="3"/>
  <c r="N109" i="3"/>
  <c r="N89" i="3"/>
  <c r="M108" i="3"/>
  <c r="M104" i="3"/>
  <c r="L106" i="3"/>
  <c r="L91" i="3"/>
  <c r="K98" i="3"/>
  <c r="E51" i="3"/>
  <c r="F106" i="3"/>
  <c r="I111" i="3"/>
  <c r="F110" i="3"/>
  <c r="F100" i="3"/>
  <c r="F107" i="3"/>
  <c r="I89" i="3"/>
  <c r="J85" i="3"/>
  <c r="H97" i="3"/>
  <c r="I86" i="3"/>
  <c r="H110" i="3"/>
  <c r="I96" i="3"/>
  <c r="I106" i="3"/>
  <c r="AA94" i="3"/>
  <c r="V96" i="3"/>
  <c r="U90" i="3"/>
  <c r="S97" i="3"/>
  <c r="R88" i="3"/>
  <c r="O106" i="3"/>
  <c r="M102" i="3"/>
  <c r="K85" i="3"/>
  <c r="G87" i="3"/>
  <c r="G98" i="3"/>
  <c r="F92" i="3"/>
  <c r="F112" i="3"/>
  <c r="U93" i="3"/>
  <c r="AP113" i="3"/>
  <c r="AO108" i="3"/>
  <c r="AO95" i="3"/>
  <c r="AL91" i="3"/>
  <c r="AL93" i="3"/>
  <c r="AM99" i="3"/>
  <c r="AL86" i="3"/>
  <c r="AN109" i="3"/>
  <c r="AN99" i="3"/>
  <c r="AK89" i="3"/>
  <c r="AJ101" i="3"/>
  <c r="AJ87" i="3"/>
  <c r="AI92" i="3"/>
  <c r="AI112" i="3"/>
  <c r="AH103" i="3"/>
  <c r="AH105" i="3"/>
  <c r="AG94" i="3"/>
  <c r="AG91" i="3"/>
  <c r="AF86" i="3"/>
  <c r="AE86" i="3"/>
  <c r="AE104" i="3"/>
  <c r="AD88" i="3"/>
  <c r="AD100" i="3"/>
  <c r="AC110" i="3"/>
  <c r="AC103" i="3"/>
  <c r="AB86" i="3"/>
  <c r="AB98" i="3"/>
  <c r="AA111" i="3"/>
  <c r="AA107" i="3"/>
  <c r="Z88" i="3"/>
  <c r="Y100" i="3"/>
  <c r="Y88" i="3"/>
  <c r="X93" i="3"/>
  <c r="X97" i="3"/>
  <c r="V99" i="3"/>
  <c r="V111" i="3"/>
  <c r="W88" i="3"/>
  <c r="W99" i="3"/>
  <c r="U96" i="3"/>
  <c r="S108" i="3"/>
  <c r="T102" i="3"/>
  <c r="T86" i="3"/>
  <c r="T103" i="3"/>
  <c r="Q102" i="3"/>
  <c r="P108" i="3"/>
  <c r="R99" i="3"/>
  <c r="P111" i="3"/>
  <c r="R92" i="3"/>
  <c r="O100" i="3"/>
  <c r="O111" i="3"/>
  <c r="N92" i="3"/>
  <c r="N97" i="3"/>
  <c r="M93" i="3"/>
  <c r="M112" i="3"/>
  <c r="L111" i="3"/>
  <c r="L98" i="3"/>
  <c r="K106" i="3"/>
  <c r="I105" i="3"/>
  <c r="F104" i="3"/>
  <c r="F108" i="3"/>
  <c r="G108" i="3"/>
  <c r="F90" i="3"/>
  <c r="F103" i="3"/>
  <c r="H103" i="3"/>
  <c r="J94" i="3"/>
  <c r="H102" i="3"/>
  <c r="G92" i="3"/>
  <c r="J105" i="3"/>
  <c r="I107" i="3"/>
  <c r="H107" i="3"/>
  <c r="AB105" i="3"/>
  <c r="W96" i="3"/>
  <c r="T85" i="3"/>
  <c r="Q101" i="3"/>
  <c r="Q91" i="3"/>
  <c r="N107" i="3"/>
  <c r="K96" i="3"/>
  <c r="H98" i="3"/>
  <c r="J90" i="3"/>
  <c r="G109" i="3"/>
  <c r="AP90" i="3"/>
  <c r="AL98" i="3"/>
  <c r="AL87" i="3"/>
  <c r="AK105" i="3"/>
  <c r="AI100" i="3"/>
  <c r="AG102" i="3"/>
  <c r="AF85" i="3"/>
  <c r="AE94" i="3"/>
  <c r="AD113" i="3"/>
  <c r="AC98" i="3"/>
  <c r="AB106" i="3"/>
  <c r="AA88" i="3"/>
  <c r="Z90" i="3"/>
  <c r="Y90" i="3"/>
  <c r="V107" i="3"/>
  <c r="W106" i="3"/>
  <c r="U98" i="3"/>
  <c r="E366" i="3"/>
  <c r="AP92" i="3"/>
  <c r="AO86" i="3"/>
  <c r="AO111" i="3"/>
  <c r="AM103" i="3"/>
  <c r="AL109" i="3"/>
  <c r="AN104" i="3"/>
  <c r="AL95" i="3"/>
  <c r="AM89" i="3"/>
  <c r="AN107" i="3"/>
  <c r="AK113" i="3"/>
  <c r="AJ108" i="3"/>
  <c r="AJ103" i="3"/>
  <c r="AI108" i="3"/>
  <c r="AI89" i="3"/>
  <c r="AH109" i="3"/>
  <c r="AH90" i="3"/>
  <c r="AG95" i="3"/>
  <c r="AG99" i="3"/>
  <c r="AF102" i="3"/>
  <c r="AE102" i="3"/>
  <c r="AE97" i="3"/>
  <c r="AD89" i="3"/>
  <c r="AD108" i="3"/>
  <c r="AC95" i="3"/>
  <c r="AC96" i="3"/>
  <c r="AB109" i="3"/>
  <c r="AB91" i="3"/>
  <c r="AA96" i="3"/>
  <c r="Z92" i="3"/>
  <c r="Z112" i="3"/>
  <c r="Y85" i="3"/>
  <c r="Y96" i="3"/>
  <c r="X94" i="3"/>
  <c r="X105" i="3"/>
  <c r="W93" i="3"/>
  <c r="W85" i="3"/>
  <c r="W100" i="3"/>
  <c r="W107" i="3"/>
  <c r="U104" i="3"/>
  <c r="T101" i="3"/>
  <c r="S102" i="3"/>
  <c r="T110" i="3"/>
  <c r="S90" i="3"/>
  <c r="P88" i="3"/>
  <c r="Q90" i="3"/>
  <c r="P102" i="3"/>
  <c r="Q87" i="3"/>
  <c r="R100" i="3"/>
  <c r="O101" i="3"/>
  <c r="O88" i="3"/>
  <c r="N110" i="3"/>
  <c r="N113" i="3"/>
  <c r="M100" i="3"/>
  <c r="M89" i="3"/>
  <c r="L103" i="3"/>
  <c r="L90" i="3"/>
  <c r="K91" i="3"/>
  <c r="G102" i="3"/>
  <c r="F102" i="3"/>
  <c r="F98" i="3"/>
  <c r="J91" i="3"/>
  <c r="F88" i="3"/>
  <c r="H111" i="3"/>
  <c r="H88" i="3"/>
  <c r="G89" i="3"/>
  <c r="I91" i="3"/>
  <c r="H93" i="3"/>
  <c r="F105" i="3"/>
  <c r="J86" i="3"/>
  <c r="G106" i="3"/>
  <c r="AC90" i="3"/>
  <c r="W98" i="3"/>
  <c r="Q93" i="3"/>
  <c r="P94" i="3"/>
  <c r="N103" i="3"/>
  <c r="L97" i="3"/>
  <c r="I93" i="3"/>
  <c r="I104" i="3"/>
  <c r="F85" i="3"/>
  <c r="J103" i="3"/>
  <c r="AO101" i="3"/>
  <c r="AL111" i="3"/>
  <c r="AK86" i="3"/>
  <c r="AJ106" i="3"/>
  <c r="AP86" i="3"/>
  <c r="AP97" i="3"/>
  <c r="AO94" i="3"/>
  <c r="AO90" i="3"/>
  <c r="AM107" i="3"/>
  <c r="AN89" i="3"/>
  <c r="AM109" i="3"/>
  <c r="AN96" i="3"/>
  <c r="AM113" i="3"/>
  <c r="AK85" i="3"/>
  <c r="AK112" i="3"/>
  <c r="AJ94" i="3"/>
  <c r="AJ90" i="3"/>
  <c r="AI95" i="3"/>
  <c r="AI91" i="3"/>
  <c r="AH85" i="3"/>
  <c r="AG100" i="3"/>
  <c r="AG113" i="3"/>
  <c r="AF94" i="3"/>
  <c r="AF98" i="3"/>
  <c r="AE93" i="3"/>
  <c r="AE89" i="3"/>
  <c r="AD111" i="3"/>
  <c r="AD86" i="3"/>
  <c r="AC113" i="3"/>
  <c r="AC107" i="3"/>
  <c r="AB89" i="3"/>
  <c r="AA93" i="3"/>
  <c r="AA87" i="3"/>
  <c r="Z110" i="3"/>
  <c r="Z97" i="3"/>
  <c r="Y107" i="3"/>
  <c r="Y105" i="3"/>
  <c r="X95" i="3"/>
  <c r="X99" i="3"/>
  <c r="W101" i="3"/>
  <c r="W86" i="3"/>
  <c r="W90" i="3"/>
  <c r="U95" i="3"/>
  <c r="U113" i="3"/>
  <c r="S99" i="3"/>
  <c r="S88" i="3"/>
  <c r="S89" i="3"/>
  <c r="T107" i="3"/>
  <c r="P86" i="3"/>
  <c r="Q92" i="3"/>
  <c r="Q112" i="3"/>
  <c r="P85" i="3"/>
  <c r="P113" i="3"/>
  <c r="O109" i="3"/>
  <c r="O98" i="3"/>
  <c r="N87" i="3"/>
  <c r="N99" i="3"/>
  <c r="M94" i="3"/>
  <c r="L105" i="3"/>
  <c r="L94" i="3"/>
  <c r="K88" i="3"/>
  <c r="K108" i="3"/>
  <c r="J102" i="3"/>
  <c r="H89" i="3"/>
  <c r="G104" i="3"/>
  <c r="H106" i="3"/>
  <c r="H113" i="3"/>
  <c r="I108" i="3"/>
  <c r="G113" i="3"/>
  <c r="G91" i="3"/>
  <c r="I92" i="3"/>
  <c r="J97" i="3"/>
  <c r="G96" i="3"/>
  <c r="J111" i="3"/>
  <c r="I95" i="3"/>
  <c r="AP94" i="3"/>
  <c r="AP105" i="3"/>
  <c r="AO100" i="3"/>
  <c r="AO98" i="3"/>
  <c r="AN110" i="3"/>
  <c r="AL99" i="3"/>
  <c r="AN94" i="3"/>
  <c r="AN108" i="3"/>
  <c r="AN98" i="3"/>
  <c r="AK103" i="3"/>
  <c r="AK97" i="3"/>
  <c r="AJ110" i="3"/>
  <c r="AJ98" i="3"/>
  <c r="AI111" i="3"/>
  <c r="AI99" i="3"/>
  <c r="AH87" i="3"/>
  <c r="AG101" i="3"/>
  <c r="AG106" i="3"/>
  <c r="AF95" i="3"/>
  <c r="AF96" i="3"/>
  <c r="AE109" i="3"/>
  <c r="AE105" i="3"/>
  <c r="AD95" i="3"/>
  <c r="AD94" i="3"/>
  <c r="AB92" i="3"/>
  <c r="AA103" i="3"/>
  <c r="Z95" i="3"/>
  <c r="Z105" i="3"/>
  <c r="Y92" i="3"/>
  <c r="Y113" i="3"/>
  <c r="X111" i="3"/>
  <c r="X107" i="3"/>
  <c r="U111" i="3"/>
  <c r="S96" i="3"/>
  <c r="Q110" i="3"/>
  <c r="O92" i="3"/>
  <c r="L86" i="3"/>
  <c r="H96" i="3"/>
  <c r="I110" i="3"/>
  <c r="AP102" i="3"/>
  <c r="AO91" i="3"/>
  <c r="AL85" i="3"/>
  <c r="AL89" i="3"/>
  <c r="AJ95" i="3"/>
  <c r="AI107" i="3"/>
  <c r="AG87" i="3"/>
  <c r="AF112" i="3"/>
  <c r="AE90" i="3"/>
  <c r="AD102" i="3"/>
  <c r="AB110" i="3"/>
  <c r="AA100" i="3"/>
  <c r="Z111" i="3"/>
  <c r="Y108" i="3"/>
  <c r="X88" i="3"/>
  <c r="W102" i="3"/>
  <c r="U100" i="3"/>
  <c r="AO99" i="3"/>
  <c r="AL96" i="3"/>
  <c r="AJ111" i="3"/>
  <c r="AH104" i="3"/>
  <c r="AF111" i="3"/>
  <c r="AD107" i="3"/>
  <c r="AB113" i="3"/>
  <c r="Y94" i="3"/>
  <c r="V108" i="3"/>
  <c r="U85" i="3"/>
  <c r="S112" i="3"/>
  <c r="P106" i="3"/>
  <c r="R111" i="3"/>
  <c r="O87" i="3"/>
  <c r="M107" i="3"/>
  <c r="L99" i="3"/>
  <c r="K101" i="3"/>
  <c r="H95" i="3"/>
  <c r="H101" i="3"/>
  <c r="J99" i="3"/>
  <c r="I112" i="3"/>
  <c r="I109" i="3"/>
  <c r="AM93" i="3"/>
  <c r="AE101" i="3"/>
  <c r="V93" i="3"/>
  <c r="Q99" i="3"/>
  <c r="F93" i="3"/>
  <c r="AO102" i="3"/>
  <c r="AG103" i="3"/>
  <c r="X112" i="3"/>
  <c r="Q107" i="3"/>
  <c r="J110" i="3"/>
  <c r="G85" i="3"/>
  <c r="AK91" i="3"/>
  <c r="AB85" i="3"/>
  <c r="T112" i="3"/>
  <c r="N104" i="3"/>
  <c r="G88" i="3"/>
  <c r="AO105" i="3"/>
  <c r="AD90" i="3"/>
  <c r="S104" i="3"/>
  <c r="L112" i="3"/>
  <c r="I88" i="3"/>
  <c r="AL102" i="3"/>
  <c r="AN87" i="3"/>
  <c r="AJ86" i="3"/>
  <c r="AH106" i="3"/>
  <c r="AF97" i="3"/>
  <c r="AD110" i="3"/>
  <c r="AA101" i="3"/>
  <c r="Y93" i="3"/>
  <c r="V87" i="3"/>
  <c r="U103" i="3"/>
  <c r="S85" i="3"/>
  <c r="R105" i="3"/>
  <c r="P103" i="3"/>
  <c r="O113" i="3"/>
  <c r="M90" i="3"/>
  <c r="L109" i="3"/>
  <c r="K110" i="3"/>
  <c r="F91" i="3"/>
  <c r="I90" i="3"/>
  <c r="J108" i="3"/>
  <c r="F99" i="3"/>
  <c r="F97" i="3"/>
  <c r="AI85" i="3"/>
  <c r="X109" i="3"/>
  <c r="P100" i="3"/>
  <c r="K104" i="3"/>
  <c r="H99" i="3"/>
  <c r="AK88" i="3"/>
  <c r="AB93" i="3"/>
  <c r="T92" i="3"/>
  <c r="N88" i="3"/>
  <c r="J89" i="3"/>
  <c r="AO87" i="3"/>
  <c r="AG90" i="3"/>
  <c r="X96" i="3"/>
  <c r="O93" i="3"/>
  <c r="I101" i="3"/>
  <c r="AN95" i="3"/>
  <c r="AF101" i="3"/>
  <c r="V95" i="3"/>
  <c r="O110" i="3"/>
  <c r="G107" i="3"/>
  <c r="AP110" i="3"/>
  <c r="AM86" i="3"/>
  <c r="AL97" i="3"/>
  <c r="AJ91" i="3"/>
  <c r="AH112" i="3"/>
  <c r="AF99" i="3"/>
  <c r="AC101" i="3"/>
  <c r="AA109" i="3"/>
  <c r="Y103" i="3"/>
  <c r="W94" i="3"/>
  <c r="U106" i="3"/>
  <c r="S105" i="3"/>
  <c r="R106" i="3"/>
  <c r="P112" i="3"/>
  <c r="O91" i="3"/>
  <c r="M92" i="3"/>
  <c r="L101" i="3"/>
  <c r="J106" i="3"/>
  <c r="F101" i="3"/>
  <c r="I102" i="3"/>
  <c r="J87" i="3"/>
  <c r="F95" i="3"/>
  <c r="I87" i="3"/>
  <c r="AK109" i="3"/>
  <c r="AC102" i="3"/>
  <c r="S100" i="3"/>
  <c r="N86" i="3"/>
  <c r="F109" i="3"/>
  <c r="AN93" i="3"/>
  <c r="AE98" i="3"/>
  <c r="V94" i="3"/>
  <c r="Q86" i="3"/>
  <c r="M96" i="3"/>
  <c r="F87" i="3"/>
  <c r="AH101" i="3"/>
  <c r="Z87" i="3"/>
  <c r="P98" i="3"/>
  <c r="L89" i="3"/>
  <c r="I97" i="3"/>
  <c r="AK108" i="3"/>
  <c r="AB87" i="3"/>
  <c r="V106" i="3"/>
  <c r="P92" i="3"/>
  <c r="K93" i="3"/>
  <c r="J95" i="3"/>
  <c r="AP88" i="3"/>
  <c r="AL107" i="3"/>
  <c r="AM106" i="3"/>
  <c r="AI87" i="3"/>
  <c r="AG85" i="3"/>
  <c r="AE110" i="3"/>
  <c r="AC106" i="3"/>
  <c r="AA104" i="3"/>
  <c r="Y98" i="3"/>
  <c r="W109" i="3"/>
  <c r="T93" i="3"/>
  <c r="S113" i="3"/>
  <c r="R94" i="3"/>
  <c r="R103" i="3"/>
  <c r="O99" i="3"/>
  <c r="M110" i="3"/>
  <c r="L107" i="3"/>
  <c r="G97" i="3"/>
  <c r="G110" i="3"/>
  <c r="AP98" i="3"/>
  <c r="AG110" i="3"/>
  <c r="AA91" i="3"/>
  <c r="T94" i="3"/>
  <c r="M87" i="3"/>
  <c r="G86" i="3"/>
  <c r="F89" i="3"/>
  <c r="AI106" i="3"/>
  <c r="Z100" i="3"/>
  <c r="R95" i="3"/>
  <c r="K112" i="3"/>
  <c r="F113" i="3"/>
  <c r="AL94" i="3"/>
  <c r="AD104" i="3"/>
  <c r="W105" i="3"/>
  <c r="R110" i="3"/>
  <c r="K90" i="3"/>
  <c r="F111" i="3"/>
  <c r="AH102" i="3"/>
  <c r="Z98" i="3"/>
  <c r="R104" i="3"/>
  <c r="N112" i="3"/>
  <c r="I100" i="3"/>
  <c r="W287" i="3" l="1"/>
  <c r="W316" i="3"/>
  <c r="W286" i="3"/>
  <c r="E387" i="3"/>
  <c r="E388" i="3"/>
  <c r="E384" i="3"/>
  <c r="E379" i="3"/>
  <c r="E382" i="3"/>
  <c r="E381" i="3"/>
  <c r="E374" i="3"/>
  <c r="E377" i="3"/>
  <c r="E371" i="3"/>
  <c r="E252" i="3"/>
  <c r="E247" i="3"/>
  <c r="E261" i="3"/>
  <c r="E254" i="3"/>
  <c r="E250" i="3"/>
  <c r="E260" i="3"/>
  <c r="E251" i="3"/>
  <c r="E248" i="3"/>
  <c r="E258" i="3"/>
  <c r="E249" i="3"/>
  <c r="E257" i="3"/>
  <c r="E263" i="3"/>
  <c r="E259" i="3"/>
  <c r="E255" i="3"/>
  <c r="E262" i="3"/>
  <c r="E256" i="3"/>
  <c r="AP327" i="3"/>
  <c r="AP297" i="3"/>
  <c r="AP319" i="3"/>
  <c r="AP289" i="3"/>
  <c r="AP311" i="3"/>
  <c r="AP281" i="3"/>
  <c r="AP326" i="3"/>
  <c r="AP296" i="3"/>
  <c r="AP318" i="3"/>
  <c r="AP288" i="3"/>
  <c r="AP310" i="3"/>
  <c r="AP280" i="3"/>
  <c r="AP325" i="3"/>
  <c r="AP295" i="3"/>
  <c r="AP317" i="3"/>
  <c r="AP287" i="3"/>
  <c r="AP309" i="3"/>
  <c r="AP279" i="3"/>
  <c r="AP324" i="3"/>
  <c r="AP294" i="3"/>
  <c r="AP316" i="3"/>
  <c r="AP286" i="3"/>
  <c r="AP312" i="3"/>
  <c r="AP282" i="3"/>
  <c r="AP333" i="3"/>
  <c r="AP303" i="3"/>
  <c r="AP332" i="3"/>
  <c r="AP302" i="3"/>
  <c r="AP308" i="3"/>
  <c r="AP278" i="3"/>
  <c r="AP331" i="3"/>
  <c r="AP301" i="3"/>
  <c r="AP315" i="3"/>
  <c r="AP285" i="3"/>
  <c r="AP328" i="3"/>
  <c r="AP298" i="3"/>
  <c r="AP293" i="3"/>
  <c r="AP323" i="3"/>
  <c r="AP300" i="3"/>
  <c r="AP330" i="3"/>
  <c r="AP292" i="3"/>
  <c r="AP322" i="3"/>
  <c r="AP284" i="3"/>
  <c r="AP314" i="3"/>
  <c r="AP16" i="3"/>
  <c r="AP299" i="3"/>
  <c r="AP329" i="3"/>
  <c r="AP291" i="3"/>
  <c r="AP321" i="3"/>
  <c r="AP283" i="3"/>
  <c r="AP313" i="3"/>
  <c r="AP320" i="3"/>
  <c r="AP290" i="3"/>
  <c r="AO327" i="3"/>
  <c r="AO297" i="3"/>
  <c r="AO319" i="3"/>
  <c r="AO289" i="3"/>
  <c r="AO311" i="3"/>
  <c r="AO281" i="3"/>
  <c r="AO288" i="3"/>
  <c r="AO318" i="3"/>
  <c r="AO310" i="3"/>
  <c r="AO280" i="3"/>
  <c r="AO333" i="3"/>
  <c r="AO303" i="3"/>
  <c r="AO317" i="3"/>
  <c r="AO287" i="3"/>
  <c r="AO324" i="3"/>
  <c r="AO294" i="3"/>
  <c r="AO308" i="3"/>
  <c r="AO278" i="3"/>
  <c r="AO331" i="3"/>
  <c r="AO301" i="3"/>
  <c r="AO315" i="3"/>
  <c r="AO285" i="3"/>
  <c r="AO296" i="3"/>
  <c r="AO326" i="3"/>
  <c r="AO325" i="3"/>
  <c r="AO295" i="3"/>
  <c r="AO309" i="3"/>
  <c r="AO279" i="3"/>
  <c r="AO332" i="3"/>
  <c r="AO302" i="3"/>
  <c r="AO316" i="3"/>
  <c r="AO286" i="3"/>
  <c r="AO323" i="3"/>
  <c r="AO293" i="3"/>
  <c r="AO291" i="3"/>
  <c r="AO321" i="3"/>
  <c r="AO320" i="3"/>
  <c r="AO290" i="3"/>
  <c r="AO284" i="3"/>
  <c r="AO314" i="3"/>
  <c r="AO283" i="3"/>
  <c r="AO313" i="3"/>
  <c r="AO300" i="3"/>
  <c r="AO330" i="3"/>
  <c r="AO312" i="3"/>
  <c r="AO282" i="3"/>
  <c r="AO299" i="3"/>
  <c r="AO329" i="3"/>
  <c r="AO16" i="3"/>
  <c r="AO328" i="3"/>
  <c r="AO298" i="3"/>
  <c r="AO292" i="3"/>
  <c r="AO322" i="3"/>
  <c r="AN327" i="3"/>
  <c r="AN297" i="3"/>
  <c r="AN319" i="3"/>
  <c r="AN289" i="3"/>
  <c r="AN311" i="3"/>
  <c r="AN281" i="3"/>
  <c r="AM326" i="3"/>
  <c r="AM296" i="3"/>
  <c r="AM318" i="3"/>
  <c r="AM288" i="3"/>
  <c r="AM310" i="3"/>
  <c r="AM280" i="3"/>
  <c r="AL333" i="3"/>
  <c r="AL303" i="3"/>
  <c r="AL325" i="3"/>
  <c r="AL295" i="3"/>
  <c r="AL287" i="3"/>
  <c r="AL317" i="3"/>
  <c r="AL279" i="3"/>
  <c r="AL309" i="3"/>
  <c r="AN288" i="3"/>
  <c r="AN318" i="3"/>
  <c r="AM303" i="3"/>
  <c r="AM333" i="3"/>
  <c r="AM317" i="3"/>
  <c r="AM287" i="3"/>
  <c r="AN326" i="3"/>
  <c r="AN296" i="3"/>
  <c r="AN280" i="3"/>
  <c r="AN310" i="3"/>
  <c r="AM295" i="3"/>
  <c r="AM325" i="3"/>
  <c r="AM309" i="3"/>
  <c r="AM279" i="3"/>
  <c r="AN299" i="3"/>
  <c r="AN329" i="3"/>
  <c r="AN287" i="3"/>
  <c r="AN317" i="3"/>
  <c r="AM302" i="3"/>
  <c r="AM332" i="3"/>
  <c r="AM292" i="3"/>
  <c r="AM322" i="3"/>
  <c r="AM282" i="3"/>
  <c r="AM312" i="3"/>
  <c r="AL326" i="3"/>
  <c r="AL296" i="3"/>
  <c r="AL286" i="3"/>
  <c r="AL316" i="3"/>
  <c r="AN328" i="3"/>
  <c r="AN298" i="3"/>
  <c r="AN316" i="3"/>
  <c r="AN286" i="3"/>
  <c r="AM331" i="3"/>
  <c r="AM301" i="3"/>
  <c r="AM291" i="3"/>
  <c r="AM321" i="3"/>
  <c r="AM311" i="3"/>
  <c r="AM281" i="3"/>
  <c r="AL315" i="3"/>
  <c r="AL285" i="3"/>
  <c r="AN325" i="3"/>
  <c r="AN295" i="3"/>
  <c r="AN315" i="3"/>
  <c r="AN285" i="3"/>
  <c r="AN16" i="3"/>
  <c r="AM330" i="3"/>
  <c r="AM300" i="3"/>
  <c r="AM308" i="3"/>
  <c r="AM278" i="3"/>
  <c r="AL302" i="3"/>
  <c r="AL332" i="3"/>
  <c r="AL284" i="3"/>
  <c r="AL314" i="3"/>
  <c r="AL16" i="3"/>
  <c r="AN284" i="3"/>
  <c r="AN314" i="3"/>
  <c r="AM299" i="3"/>
  <c r="AM329" i="3"/>
  <c r="AL324" i="3"/>
  <c r="AL294" i="3"/>
  <c r="AM290" i="3"/>
  <c r="AM320" i="3"/>
  <c r="AL293" i="3"/>
  <c r="AL323" i="3"/>
  <c r="AN324" i="3"/>
  <c r="AN294" i="3"/>
  <c r="AM319" i="3"/>
  <c r="AM289" i="3"/>
  <c r="AN333" i="3"/>
  <c r="AN303" i="3"/>
  <c r="AN283" i="3"/>
  <c r="AN313" i="3"/>
  <c r="AM284" i="3"/>
  <c r="AM314" i="3"/>
  <c r="AL290" i="3"/>
  <c r="AL320" i="3"/>
  <c r="AN302" i="3"/>
  <c r="AN332" i="3"/>
  <c r="AN312" i="3"/>
  <c r="AN282" i="3"/>
  <c r="AM283" i="3"/>
  <c r="AM313" i="3"/>
  <c r="AL301" i="3"/>
  <c r="AL331" i="3"/>
  <c r="AL289" i="3"/>
  <c r="AL319" i="3"/>
  <c r="AN279" i="3"/>
  <c r="AN309" i="3"/>
  <c r="AM298" i="3"/>
  <c r="AM328" i="3"/>
  <c r="AL330" i="3"/>
  <c r="AL300" i="3"/>
  <c r="AN278" i="3"/>
  <c r="AN308" i="3"/>
  <c r="AL299" i="3"/>
  <c r="AL329" i="3"/>
  <c r="AL283" i="3"/>
  <c r="AL313" i="3"/>
  <c r="AL298" i="3"/>
  <c r="AL328" i="3"/>
  <c r="AL297" i="3"/>
  <c r="AL327" i="3"/>
  <c r="AN291" i="3"/>
  <c r="AN321" i="3"/>
  <c r="AL310" i="3"/>
  <c r="AL280" i="3"/>
  <c r="AN320" i="3"/>
  <c r="AN290" i="3"/>
  <c r="AN301" i="3"/>
  <c r="AN331" i="3"/>
  <c r="AM16" i="3"/>
  <c r="AL318" i="3"/>
  <c r="AL288" i="3"/>
  <c r="AN300" i="3"/>
  <c r="AN330" i="3"/>
  <c r="AM327" i="3"/>
  <c r="AM297" i="3"/>
  <c r="AN323" i="3"/>
  <c r="AN293" i="3"/>
  <c r="AM294" i="3"/>
  <c r="AM324" i="3"/>
  <c r="AL282" i="3"/>
  <c r="AL312" i="3"/>
  <c r="AN292" i="3"/>
  <c r="AN322" i="3"/>
  <c r="AM293" i="3"/>
  <c r="AM323" i="3"/>
  <c r="AL311" i="3"/>
  <c r="AL281" i="3"/>
  <c r="AM316" i="3"/>
  <c r="AM286" i="3"/>
  <c r="AL322" i="3"/>
  <c r="AL292" i="3"/>
  <c r="AL321" i="3"/>
  <c r="AL291" i="3"/>
  <c r="AM285" i="3"/>
  <c r="AM315" i="3"/>
  <c r="AL278" i="3"/>
  <c r="AL308" i="3"/>
  <c r="AK328" i="3"/>
  <c r="AK298" i="3"/>
  <c r="AK320" i="3"/>
  <c r="AK290" i="3"/>
  <c r="AK312" i="3"/>
  <c r="AK282" i="3"/>
  <c r="AK327" i="3"/>
  <c r="AK297" i="3"/>
  <c r="AK319" i="3"/>
  <c r="AK289" i="3"/>
  <c r="AK311" i="3"/>
  <c r="AK281" i="3"/>
  <c r="AK325" i="3"/>
  <c r="AK295" i="3"/>
  <c r="AK317" i="3"/>
  <c r="AK287" i="3"/>
  <c r="AK302" i="3"/>
  <c r="AK332" i="3"/>
  <c r="AK316" i="3"/>
  <c r="AK286" i="3"/>
  <c r="AK326" i="3"/>
  <c r="AK296" i="3"/>
  <c r="AK318" i="3"/>
  <c r="AK288" i="3"/>
  <c r="AK310" i="3"/>
  <c r="AK280" i="3"/>
  <c r="AK333" i="3"/>
  <c r="AK303" i="3"/>
  <c r="AK309" i="3"/>
  <c r="AK279" i="3"/>
  <c r="AK324" i="3"/>
  <c r="AK294" i="3"/>
  <c r="AK278" i="3"/>
  <c r="AK308" i="3"/>
  <c r="AK301" i="3"/>
  <c r="AK331" i="3"/>
  <c r="AK313" i="3"/>
  <c r="AK283" i="3"/>
  <c r="AK300" i="3"/>
  <c r="AK330" i="3"/>
  <c r="AK329" i="3"/>
  <c r="AK299" i="3"/>
  <c r="AK16" i="3"/>
  <c r="AK293" i="3"/>
  <c r="AK323" i="3"/>
  <c r="AK292" i="3"/>
  <c r="AK322" i="3"/>
  <c r="AK321" i="3"/>
  <c r="AK291" i="3"/>
  <c r="AK285" i="3"/>
  <c r="AK315" i="3"/>
  <c r="AK284" i="3"/>
  <c r="AK314" i="3"/>
  <c r="AJ327" i="3"/>
  <c r="AJ297" i="3"/>
  <c r="AJ319" i="3"/>
  <c r="AJ289" i="3"/>
  <c r="AJ281" i="3"/>
  <c r="AJ311" i="3"/>
  <c r="AJ326" i="3"/>
  <c r="AJ296" i="3"/>
  <c r="AJ318" i="3"/>
  <c r="AJ288" i="3"/>
  <c r="AJ310" i="3"/>
  <c r="AJ280" i="3"/>
  <c r="AJ333" i="3"/>
  <c r="AJ303" i="3"/>
  <c r="AJ317" i="3"/>
  <c r="AJ287" i="3"/>
  <c r="AJ332" i="3"/>
  <c r="AJ302" i="3"/>
  <c r="AJ316" i="3"/>
  <c r="AJ286" i="3"/>
  <c r="AJ323" i="3"/>
  <c r="AJ293" i="3"/>
  <c r="AJ292" i="3"/>
  <c r="AJ322" i="3"/>
  <c r="AJ325" i="3"/>
  <c r="AJ295" i="3"/>
  <c r="AJ309" i="3"/>
  <c r="AJ279" i="3"/>
  <c r="AJ324" i="3"/>
  <c r="AJ294" i="3"/>
  <c r="AJ308" i="3"/>
  <c r="AJ278" i="3"/>
  <c r="AJ331" i="3"/>
  <c r="AJ301" i="3"/>
  <c r="AJ315" i="3"/>
  <c r="AJ285" i="3"/>
  <c r="AJ300" i="3"/>
  <c r="AJ330" i="3"/>
  <c r="AJ284" i="3"/>
  <c r="AJ314" i="3"/>
  <c r="AJ283" i="3"/>
  <c r="AJ313" i="3"/>
  <c r="AJ312" i="3"/>
  <c r="AJ282" i="3"/>
  <c r="AJ16" i="3"/>
  <c r="AJ299" i="3"/>
  <c r="AJ329" i="3"/>
  <c r="AJ328" i="3"/>
  <c r="AJ298" i="3"/>
  <c r="AJ291" i="3"/>
  <c r="AJ321" i="3"/>
  <c r="AJ320" i="3"/>
  <c r="AJ290" i="3"/>
  <c r="AI327" i="3"/>
  <c r="AI297" i="3"/>
  <c r="AI319" i="3"/>
  <c r="AI289" i="3"/>
  <c r="AI311" i="3"/>
  <c r="AI281" i="3"/>
  <c r="AI318" i="3"/>
  <c r="AI288" i="3"/>
  <c r="AI310" i="3"/>
  <c r="AI280" i="3"/>
  <c r="AI333" i="3"/>
  <c r="AI303" i="3"/>
  <c r="AI317" i="3"/>
  <c r="AI287" i="3"/>
  <c r="AI309" i="3"/>
  <c r="AI279" i="3"/>
  <c r="AI332" i="3"/>
  <c r="AI302" i="3"/>
  <c r="AI316" i="3"/>
  <c r="AI286" i="3"/>
  <c r="AI326" i="3"/>
  <c r="AI296" i="3"/>
  <c r="AI325" i="3"/>
  <c r="AI295" i="3"/>
  <c r="AI324" i="3"/>
  <c r="AI294" i="3"/>
  <c r="AI308" i="3"/>
  <c r="AI278" i="3"/>
  <c r="AI291" i="3"/>
  <c r="AI321" i="3"/>
  <c r="AI320" i="3"/>
  <c r="AI290" i="3"/>
  <c r="AI331" i="3"/>
  <c r="AI301" i="3"/>
  <c r="AI285" i="3"/>
  <c r="AI315" i="3"/>
  <c r="AI300" i="3"/>
  <c r="AI330" i="3"/>
  <c r="AI284" i="3"/>
  <c r="AI314" i="3"/>
  <c r="AI299" i="3"/>
  <c r="AI329" i="3"/>
  <c r="AI283" i="3"/>
  <c r="AI313" i="3"/>
  <c r="AI328" i="3"/>
  <c r="AI298" i="3"/>
  <c r="AI312" i="3"/>
  <c r="AI282" i="3"/>
  <c r="AI323" i="3"/>
  <c r="AI293" i="3"/>
  <c r="AI292" i="3"/>
  <c r="AI322" i="3"/>
  <c r="AI16" i="3"/>
  <c r="AH327" i="3"/>
  <c r="AH297" i="3"/>
  <c r="AH319" i="3"/>
  <c r="AH289" i="3"/>
  <c r="AH311" i="3"/>
  <c r="AH281" i="3"/>
  <c r="AH318" i="3"/>
  <c r="AH288" i="3"/>
  <c r="AH310" i="3"/>
  <c r="AH280" i="3"/>
  <c r="AH325" i="3"/>
  <c r="AH295" i="3"/>
  <c r="AH309" i="3"/>
  <c r="AH279" i="3"/>
  <c r="AH332" i="3"/>
  <c r="AH302" i="3"/>
  <c r="AH278" i="3"/>
  <c r="AH308" i="3"/>
  <c r="AH315" i="3"/>
  <c r="AH285" i="3"/>
  <c r="AH16" i="3"/>
  <c r="AH283" i="3"/>
  <c r="AH313" i="3"/>
  <c r="AH326" i="3"/>
  <c r="AH296" i="3"/>
  <c r="AH294" i="3"/>
  <c r="AH324" i="3"/>
  <c r="AH333" i="3"/>
  <c r="AH303" i="3"/>
  <c r="AH317" i="3"/>
  <c r="AH287" i="3"/>
  <c r="AH286" i="3"/>
  <c r="AH316" i="3"/>
  <c r="AH331" i="3"/>
  <c r="AH301" i="3"/>
  <c r="AH299" i="3"/>
  <c r="AH329" i="3"/>
  <c r="AH323" i="3"/>
  <c r="AH293" i="3"/>
  <c r="AH300" i="3"/>
  <c r="AH330" i="3"/>
  <c r="AH292" i="3"/>
  <c r="AH322" i="3"/>
  <c r="AH284" i="3"/>
  <c r="AH314" i="3"/>
  <c r="AH328" i="3"/>
  <c r="AH298" i="3"/>
  <c r="AH320" i="3"/>
  <c r="AH290" i="3"/>
  <c r="AH312" i="3"/>
  <c r="AH282" i="3"/>
  <c r="AH291" i="3"/>
  <c r="AH321" i="3"/>
  <c r="AG327" i="3"/>
  <c r="AG297" i="3"/>
  <c r="AG319" i="3"/>
  <c r="AG289" i="3"/>
  <c r="AG311" i="3"/>
  <c r="AG281" i="3"/>
  <c r="AG318" i="3"/>
  <c r="AG288" i="3"/>
  <c r="AG280" i="3"/>
  <c r="AG310" i="3"/>
  <c r="AG325" i="3"/>
  <c r="AG295" i="3"/>
  <c r="AG317" i="3"/>
  <c r="AG287" i="3"/>
  <c r="AG324" i="3"/>
  <c r="AG294" i="3"/>
  <c r="AG308" i="3"/>
  <c r="AG278" i="3"/>
  <c r="AG323" i="3"/>
  <c r="AG293" i="3"/>
  <c r="AG326" i="3"/>
  <c r="AG296" i="3"/>
  <c r="AG333" i="3"/>
  <c r="AG303" i="3"/>
  <c r="AG309" i="3"/>
  <c r="AG279" i="3"/>
  <c r="AG332" i="3"/>
  <c r="AG302" i="3"/>
  <c r="AG316" i="3"/>
  <c r="AG286" i="3"/>
  <c r="AG331" i="3"/>
  <c r="AG301" i="3"/>
  <c r="AG285" i="3"/>
  <c r="AG315" i="3"/>
  <c r="AG284" i="3"/>
  <c r="AG314" i="3"/>
  <c r="AG283" i="3"/>
  <c r="AG313" i="3"/>
  <c r="AG300" i="3"/>
  <c r="AG330" i="3"/>
  <c r="AG312" i="3"/>
  <c r="AG282" i="3"/>
  <c r="AG299" i="3"/>
  <c r="AG329" i="3"/>
  <c r="AG16" i="3"/>
  <c r="AG328" i="3"/>
  <c r="AG298" i="3"/>
  <c r="AG292" i="3"/>
  <c r="AG322" i="3"/>
  <c r="AG291" i="3"/>
  <c r="AG321" i="3"/>
  <c r="AG320" i="3"/>
  <c r="AG290" i="3"/>
  <c r="AF327" i="3"/>
  <c r="AF297" i="3"/>
  <c r="AF319" i="3"/>
  <c r="AF289" i="3"/>
  <c r="AF311" i="3"/>
  <c r="AF281" i="3"/>
  <c r="AF326" i="3"/>
  <c r="AF296" i="3"/>
  <c r="AF310" i="3"/>
  <c r="AF280" i="3"/>
  <c r="AF333" i="3"/>
  <c r="AF303" i="3"/>
  <c r="AF317" i="3"/>
  <c r="AF287" i="3"/>
  <c r="AF332" i="3"/>
  <c r="AF302" i="3"/>
  <c r="AF286" i="3"/>
  <c r="AF316" i="3"/>
  <c r="AF318" i="3"/>
  <c r="AF288" i="3"/>
  <c r="AF325" i="3"/>
  <c r="AF295" i="3"/>
  <c r="AF309" i="3"/>
  <c r="AF279" i="3"/>
  <c r="AF324" i="3"/>
  <c r="AF294" i="3"/>
  <c r="AF278" i="3"/>
  <c r="AF308" i="3"/>
  <c r="AF292" i="3"/>
  <c r="AF322" i="3"/>
  <c r="AF16" i="3"/>
  <c r="AF320" i="3"/>
  <c r="AF290" i="3"/>
  <c r="AF301" i="3"/>
  <c r="AF331" i="3"/>
  <c r="AF300" i="3"/>
  <c r="AF330" i="3"/>
  <c r="AF299" i="3"/>
  <c r="AF329" i="3"/>
  <c r="AF312" i="3"/>
  <c r="AF282" i="3"/>
  <c r="AF291" i="3"/>
  <c r="AF321" i="3"/>
  <c r="AF315" i="3"/>
  <c r="AF285" i="3"/>
  <c r="AF284" i="3"/>
  <c r="AF314" i="3"/>
  <c r="AF283" i="3"/>
  <c r="AF313" i="3"/>
  <c r="AF328" i="3"/>
  <c r="AF298" i="3"/>
  <c r="AF293" i="3"/>
  <c r="AF323" i="3"/>
  <c r="AE327" i="3"/>
  <c r="AE297" i="3"/>
  <c r="AE319" i="3"/>
  <c r="AE289" i="3"/>
  <c r="AE311" i="3"/>
  <c r="AE281" i="3"/>
  <c r="AE318" i="3"/>
  <c r="AE288" i="3"/>
  <c r="AE310" i="3"/>
  <c r="AE280" i="3"/>
  <c r="AE325" i="3"/>
  <c r="AE295" i="3"/>
  <c r="AE309" i="3"/>
  <c r="AE279" i="3"/>
  <c r="AE332" i="3"/>
  <c r="AE302" i="3"/>
  <c r="AE316" i="3"/>
  <c r="AE286" i="3"/>
  <c r="AE326" i="3"/>
  <c r="AE296" i="3"/>
  <c r="AE333" i="3"/>
  <c r="AE303" i="3"/>
  <c r="AE317" i="3"/>
  <c r="AE287" i="3"/>
  <c r="AE324" i="3"/>
  <c r="AE294" i="3"/>
  <c r="AE278" i="3"/>
  <c r="AE308" i="3"/>
  <c r="AE291" i="3"/>
  <c r="AE321" i="3"/>
  <c r="AE320" i="3"/>
  <c r="AE290" i="3"/>
  <c r="AE331" i="3"/>
  <c r="AE301" i="3"/>
  <c r="AE285" i="3"/>
  <c r="AE315" i="3"/>
  <c r="AE300" i="3"/>
  <c r="AE330" i="3"/>
  <c r="AE284" i="3"/>
  <c r="AE314" i="3"/>
  <c r="AE299" i="3"/>
  <c r="AE329" i="3"/>
  <c r="AE283" i="3"/>
  <c r="AE313" i="3"/>
  <c r="AE328" i="3"/>
  <c r="AE298" i="3"/>
  <c r="AE312" i="3"/>
  <c r="AE282" i="3"/>
  <c r="AE293" i="3"/>
  <c r="AE323" i="3"/>
  <c r="AE292" i="3"/>
  <c r="AE322" i="3"/>
  <c r="AE16" i="3"/>
  <c r="AD330" i="3"/>
  <c r="AD300" i="3"/>
  <c r="AD322" i="3"/>
  <c r="AD292" i="3"/>
  <c r="AD314" i="3"/>
  <c r="AD284" i="3"/>
  <c r="AD16" i="3"/>
  <c r="AD329" i="3"/>
  <c r="AD299" i="3"/>
  <c r="AD321" i="3"/>
  <c r="AD291" i="3"/>
  <c r="AD313" i="3"/>
  <c r="AD283" i="3"/>
  <c r="AD328" i="3"/>
  <c r="AD298" i="3"/>
  <c r="AD320" i="3"/>
  <c r="AD290" i="3"/>
  <c r="AD312" i="3"/>
  <c r="AD282" i="3"/>
  <c r="AD327" i="3"/>
  <c r="AD297" i="3"/>
  <c r="AD319" i="3"/>
  <c r="AD289" i="3"/>
  <c r="AD311" i="3"/>
  <c r="AD281" i="3"/>
  <c r="AD296" i="3"/>
  <c r="AD326" i="3"/>
  <c r="AD288" i="3"/>
  <c r="AD318" i="3"/>
  <c r="AD280" i="3"/>
  <c r="AD310" i="3"/>
  <c r="AD303" i="3"/>
  <c r="AD333" i="3"/>
  <c r="AD315" i="3"/>
  <c r="AD285" i="3"/>
  <c r="AD331" i="3"/>
  <c r="AD301" i="3"/>
  <c r="AD323" i="3"/>
  <c r="AD293" i="3"/>
  <c r="AD316" i="3"/>
  <c r="AD286" i="3"/>
  <c r="AD332" i="3"/>
  <c r="AD302" i="3"/>
  <c r="AD279" i="3"/>
  <c r="AD309" i="3"/>
  <c r="AD308" i="3"/>
  <c r="AD278" i="3"/>
  <c r="AD295" i="3"/>
  <c r="AD325" i="3"/>
  <c r="AD324" i="3"/>
  <c r="AD294" i="3"/>
  <c r="AD287" i="3"/>
  <c r="AD317" i="3"/>
  <c r="AC297" i="3"/>
  <c r="AC327" i="3"/>
  <c r="AC319" i="3"/>
  <c r="AC289" i="3"/>
  <c r="AC281" i="3"/>
  <c r="AC311" i="3"/>
  <c r="AC295" i="3"/>
  <c r="AC325" i="3"/>
  <c r="AC279" i="3"/>
  <c r="AC309" i="3"/>
  <c r="AC286" i="3"/>
  <c r="AC316" i="3"/>
  <c r="AC323" i="3"/>
  <c r="AC293" i="3"/>
  <c r="AC292" i="3"/>
  <c r="AC322" i="3"/>
  <c r="AC16" i="3"/>
  <c r="AC299" i="3"/>
  <c r="AC329" i="3"/>
  <c r="AC328" i="3"/>
  <c r="AC298" i="3"/>
  <c r="AC326" i="3"/>
  <c r="AC296" i="3"/>
  <c r="AC318" i="3"/>
  <c r="AC288" i="3"/>
  <c r="AC280" i="3"/>
  <c r="AC310" i="3"/>
  <c r="AC333" i="3"/>
  <c r="AC303" i="3"/>
  <c r="AC317" i="3"/>
  <c r="AC287" i="3"/>
  <c r="AC324" i="3"/>
  <c r="AC294" i="3"/>
  <c r="AC308" i="3"/>
  <c r="AC278" i="3"/>
  <c r="AC331" i="3"/>
  <c r="AC301" i="3"/>
  <c r="AC315" i="3"/>
  <c r="AC285" i="3"/>
  <c r="AC300" i="3"/>
  <c r="AC330" i="3"/>
  <c r="AC284" i="3"/>
  <c r="AC314" i="3"/>
  <c r="AC291" i="3"/>
  <c r="AC321" i="3"/>
  <c r="AC283" i="3"/>
  <c r="AC313" i="3"/>
  <c r="AC312" i="3"/>
  <c r="AC282" i="3"/>
  <c r="AC332" i="3"/>
  <c r="AC302" i="3"/>
  <c r="AC320" i="3"/>
  <c r="AC290" i="3"/>
  <c r="AB327" i="3"/>
  <c r="AB297" i="3"/>
  <c r="AB319" i="3"/>
  <c r="AB289" i="3"/>
  <c r="AB311" i="3"/>
  <c r="AB281" i="3"/>
  <c r="AB318" i="3"/>
  <c r="AB288" i="3"/>
  <c r="AB310" i="3"/>
  <c r="AB280" i="3"/>
  <c r="AB333" i="3"/>
  <c r="AB303" i="3"/>
  <c r="AB317" i="3"/>
  <c r="AB287" i="3"/>
  <c r="AB324" i="3"/>
  <c r="AB294" i="3"/>
  <c r="AB308" i="3"/>
  <c r="AB278" i="3"/>
  <c r="AB323" i="3"/>
  <c r="AB293" i="3"/>
  <c r="AB326" i="3"/>
  <c r="AB296" i="3"/>
  <c r="AB325" i="3"/>
  <c r="AB295" i="3"/>
  <c r="AB309" i="3"/>
  <c r="AB279" i="3"/>
  <c r="AB332" i="3"/>
  <c r="AB302" i="3"/>
  <c r="AB316" i="3"/>
  <c r="AB286" i="3"/>
  <c r="AB331" i="3"/>
  <c r="AB301" i="3"/>
  <c r="AB315" i="3"/>
  <c r="AB285" i="3"/>
  <c r="AB299" i="3"/>
  <c r="AB329" i="3"/>
  <c r="AB16" i="3"/>
  <c r="AB328" i="3"/>
  <c r="AB298" i="3"/>
  <c r="AB292" i="3"/>
  <c r="AB322" i="3"/>
  <c r="AB291" i="3"/>
  <c r="AB321" i="3"/>
  <c r="AB320" i="3"/>
  <c r="AB290" i="3"/>
  <c r="AB284" i="3"/>
  <c r="AB314" i="3"/>
  <c r="AB283" i="3"/>
  <c r="AB313" i="3"/>
  <c r="AB300" i="3"/>
  <c r="AB330" i="3"/>
  <c r="AB312" i="3"/>
  <c r="AB282" i="3"/>
  <c r="AA327" i="3"/>
  <c r="AA297" i="3"/>
  <c r="AA319" i="3"/>
  <c r="AA289" i="3"/>
  <c r="AA311" i="3"/>
  <c r="AA281" i="3"/>
  <c r="AA288" i="3"/>
  <c r="AA318" i="3"/>
  <c r="AA310" i="3"/>
  <c r="AA280" i="3"/>
  <c r="AA333" i="3"/>
  <c r="AA303" i="3"/>
  <c r="AA317" i="3"/>
  <c r="AA287" i="3"/>
  <c r="AA324" i="3"/>
  <c r="AA294" i="3"/>
  <c r="AA308" i="3"/>
  <c r="AA278" i="3"/>
  <c r="AA323" i="3"/>
  <c r="AA293" i="3"/>
  <c r="AA326" i="3"/>
  <c r="AA296" i="3"/>
  <c r="AA325" i="3"/>
  <c r="AA295" i="3"/>
  <c r="AA309" i="3"/>
  <c r="AA279" i="3"/>
  <c r="AA332" i="3"/>
  <c r="AA302" i="3"/>
  <c r="AA316" i="3"/>
  <c r="AA286" i="3"/>
  <c r="AA331" i="3"/>
  <c r="AA301" i="3"/>
  <c r="AA315" i="3"/>
  <c r="AA285" i="3"/>
  <c r="AA299" i="3"/>
  <c r="AA329" i="3"/>
  <c r="AA16" i="3"/>
  <c r="AA328" i="3"/>
  <c r="AA298" i="3"/>
  <c r="AA292" i="3"/>
  <c r="AA322" i="3"/>
  <c r="AA291" i="3"/>
  <c r="AA321" i="3"/>
  <c r="AA320" i="3"/>
  <c r="AA290" i="3"/>
  <c r="AA284" i="3"/>
  <c r="AA314" i="3"/>
  <c r="AA283" i="3"/>
  <c r="AA313" i="3"/>
  <c r="AA300" i="3"/>
  <c r="AA330" i="3"/>
  <c r="AA312" i="3"/>
  <c r="AA282" i="3"/>
  <c r="Z327" i="3"/>
  <c r="Z297" i="3"/>
  <c r="Z319" i="3"/>
  <c r="Z289" i="3"/>
  <c r="Z311" i="3"/>
  <c r="Z281" i="3"/>
  <c r="Z326" i="3"/>
  <c r="Z296" i="3"/>
  <c r="Z318" i="3"/>
  <c r="Z288" i="3"/>
  <c r="Z310" i="3"/>
  <c r="Z280" i="3"/>
  <c r="Z325" i="3"/>
  <c r="Z295" i="3"/>
  <c r="Z317" i="3"/>
  <c r="Z287" i="3"/>
  <c r="Z309" i="3"/>
  <c r="Z279" i="3"/>
  <c r="Z324" i="3"/>
  <c r="Z294" i="3"/>
  <c r="Z316" i="3"/>
  <c r="Z286" i="3"/>
  <c r="Z333" i="3"/>
  <c r="Z303" i="3"/>
  <c r="Z332" i="3"/>
  <c r="Z302" i="3"/>
  <c r="Z308" i="3"/>
  <c r="Z278" i="3"/>
  <c r="Z323" i="3"/>
  <c r="Z293" i="3"/>
  <c r="Z292" i="3"/>
  <c r="Z322" i="3"/>
  <c r="Z16" i="3"/>
  <c r="Z291" i="3"/>
  <c r="Z321" i="3"/>
  <c r="Z320" i="3"/>
  <c r="Z290" i="3"/>
  <c r="Z331" i="3"/>
  <c r="Z301" i="3"/>
  <c r="Z285" i="3"/>
  <c r="Z315" i="3"/>
  <c r="Z300" i="3"/>
  <c r="Z330" i="3"/>
  <c r="Z284" i="3"/>
  <c r="Z314" i="3"/>
  <c r="Z299" i="3"/>
  <c r="Z329" i="3"/>
  <c r="Z283" i="3"/>
  <c r="Z313" i="3"/>
  <c r="Z328" i="3"/>
  <c r="Z298" i="3"/>
  <c r="Z312" i="3"/>
  <c r="Z282" i="3"/>
  <c r="Y326" i="3"/>
  <c r="Y296" i="3"/>
  <c r="Y318" i="3"/>
  <c r="Y288" i="3"/>
  <c r="Y310" i="3"/>
  <c r="Y280" i="3"/>
  <c r="Y333" i="3"/>
  <c r="Y303" i="3"/>
  <c r="Y325" i="3"/>
  <c r="Y295" i="3"/>
  <c r="Y317" i="3"/>
  <c r="Y287" i="3"/>
  <c r="Y309" i="3"/>
  <c r="Y279" i="3"/>
  <c r="Y332" i="3"/>
  <c r="Y302" i="3"/>
  <c r="Y324" i="3"/>
  <c r="Y294" i="3"/>
  <c r="Y316" i="3"/>
  <c r="Y286" i="3"/>
  <c r="Y308" i="3"/>
  <c r="Y278" i="3"/>
  <c r="Y301" i="3"/>
  <c r="Y331" i="3"/>
  <c r="Y323" i="3"/>
  <c r="Y293" i="3"/>
  <c r="Y285" i="3"/>
  <c r="Y315" i="3"/>
  <c r="Y300" i="3"/>
  <c r="Y330" i="3"/>
  <c r="Y299" i="3"/>
  <c r="Y329" i="3"/>
  <c r="Y283" i="3"/>
  <c r="Y313" i="3"/>
  <c r="Y298" i="3"/>
  <c r="Y328" i="3"/>
  <c r="Y282" i="3"/>
  <c r="Y312" i="3"/>
  <c r="Y327" i="3"/>
  <c r="Y297" i="3"/>
  <c r="Y311" i="3"/>
  <c r="Y281" i="3"/>
  <c r="Y322" i="3"/>
  <c r="Y292" i="3"/>
  <c r="Y16" i="3"/>
  <c r="Y291" i="3"/>
  <c r="Y321" i="3"/>
  <c r="Y290" i="3"/>
  <c r="Y320" i="3"/>
  <c r="Y319" i="3"/>
  <c r="Y289" i="3"/>
  <c r="Y284" i="3"/>
  <c r="Y314" i="3"/>
  <c r="X327" i="3"/>
  <c r="X297" i="3"/>
  <c r="X319" i="3"/>
  <c r="X289" i="3"/>
  <c r="X281" i="3"/>
  <c r="X311" i="3"/>
  <c r="X326" i="3"/>
  <c r="X296" i="3"/>
  <c r="X318" i="3"/>
  <c r="X288" i="3"/>
  <c r="X310" i="3"/>
  <c r="X280" i="3"/>
  <c r="X325" i="3"/>
  <c r="X295" i="3"/>
  <c r="X317" i="3"/>
  <c r="X287" i="3"/>
  <c r="X324" i="3"/>
  <c r="X294" i="3"/>
  <c r="X316" i="3"/>
  <c r="X286" i="3"/>
  <c r="X323" i="3"/>
  <c r="X293" i="3"/>
  <c r="X303" i="3"/>
  <c r="X333" i="3"/>
  <c r="X309" i="3"/>
  <c r="X279" i="3"/>
  <c r="X332" i="3"/>
  <c r="X302" i="3"/>
  <c r="X308" i="3"/>
  <c r="X278" i="3"/>
  <c r="X331" i="3"/>
  <c r="X301" i="3"/>
  <c r="X315" i="3"/>
  <c r="X285" i="3"/>
  <c r="X300" i="3"/>
  <c r="X330" i="3"/>
  <c r="X292" i="3"/>
  <c r="X322" i="3"/>
  <c r="X291" i="3"/>
  <c r="X321" i="3"/>
  <c r="X320" i="3"/>
  <c r="X290" i="3"/>
  <c r="X284" i="3"/>
  <c r="X314" i="3"/>
  <c r="X283" i="3"/>
  <c r="X313" i="3"/>
  <c r="X312" i="3"/>
  <c r="X282" i="3"/>
  <c r="X299" i="3"/>
  <c r="X329" i="3"/>
  <c r="X16" i="3"/>
  <c r="X328" i="3"/>
  <c r="X298" i="3"/>
  <c r="W327" i="3"/>
  <c r="W297" i="3"/>
  <c r="W319" i="3"/>
  <c r="W289" i="3"/>
  <c r="W311" i="3"/>
  <c r="W281" i="3"/>
  <c r="V326" i="3"/>
  <c r="V296" i="3"/>
  <c r="V318" i="3"/>
  <c r="V288" i="3"/>
  <c r="V310" i="3"/>
  <c r="V280" i="3"/>
  <c r="V295" i="3"/>
  <c r="V325" i="3"/>
  <c r="V309" i="3"/>
  <c r="V279" i="3"/>
  <c r="W325" i="3"/>
  <c r="W295" i="3"/>
  <c r="W326" i="3"/>
  <c r="W296" i="3"/>
  <c r="W318" i="3"/>
  <c r="W288" i="3"/>
  <c r="W310" i="3"/>
  <c r="W280" i="3"/>
  <c r="V333" i="3"/>
  <c r="V303" i="3"/>
  <c r="V287" i="3"/>
  <c r="V317" i="3"/>
  <c r="W333" i="3"/>
  <c r="W303" i="3"/>
  <c r="W331" i="3"/>
  <c r="W301" i="3"/>
  <c r="W320" i="3"/>
  <c r="W290" i="3"/>
  <c r="W308" i="3"/>
  <c r="W278" i="3"/>
  <c r="V294" i="3"/>
  <c r="V324" i="3"/>
  <c r="V284" i="3"/>
  <c r="V314" i="3"/>
  <c r="W300" i="3"/>
  <c r="W330" i="3"/>
  <c r="W317" i="3"/>
  <c r="V323" i="3"/>
  <c r="V293" i="3"/>
  <c r="V283" i="3"/>
  <c r="V313" i="3"/>
  <c r="W299" i="3"/>
  <c r="W329" i="3"/>
  <c r="W16" i="3"/>
  <c r="V332" i="3"/>
  <c r="V302" i="3"/>
  <c r="V322" i="3"/>
  <c r="V292" i="3"/>
  <c r="V282" i="3"/>
  <c r="V312" i="3"/>
  <c r="W328" i="3"/>
  <c r="W298" i="3"/>
  <c r="V331" i="3"/>
  <c r="V301" i="3"/>
  <c r="V311" i="3"/>
  <c r="V281" i="3"/>
  <c r="W284" i="3"/>
  <c r="W314" i="3"/>
  <c r="V330" i="3"/>
  <c r="V300" i="3"/>
  <c r="V308" i="3"/>
  <c r="V278" i="3"/>
  <c r="W293" i="3"/>
  <c r="W323" i="3"/>
  <c r="V299" i="3"/>
  <c r="V329" i="3"/>
  <c r="W292" i="3"/>
  <c r="W322" i="3"/>
  <c r="V286" i="3"/>
  <c r="V316" i="3"/>
  <c r="W291" i="3"/>
  <c r="W321" i="3"/>
  <c r="W315" i="3"/>
  <c r="W285" i="3"/>
  <c r="V291" i="3"/>
  <c r="V321" i="3"/>
  <c r="W324" i="3"/>
  <c r="W294" i="3"/>
  <c r="V290" i="3"/>
  <c r="V320" i="3"/>
  <c r="W283" i="3"/>
  <c r="W313" i="3"/>
  <c r="V319" i="3"/>
  <c r="V289" i="3"/>
  <c r="W312" i="3"/>
  <c r="W282" i="3"/>
  <c r="V298" i="3"/>
  <c r="V328" i="3"/>
  <c r="V16" i="3"/>
  <c r="W332" i="3"/>
  <c r="W302" i="3"/>
  <c r="W279" i="3"/>
  <c r="W309" i="3"/>
  <c r="V285" i="3"/>
  <c r="V315" i="3"/>
  <c r="V327" i="3"/>
  <c r="V297" i="3"/>
  <c r="U327" i="3"/>
  <c r="U297" i="3"/>
  <c r="U319" i="3"/>
  <c r="U289" i="3"/>
  <c r="U311" i="3"/>
  <c r="U281" i="3"/>
  <c r="U326" i="3"/>
  <c r="U296" i="3"/>
  <c r="U318" i="3"/>
  <c r="U288" i="3"/>
  <c r="U310" i="3"/>
  <c r="U280" i="3"/>
  <c r="U333" i="3"/>
  <c r="U303" i="3"/>
  <c r="U325" i="3"/>
  <c r="U295" i="3"/>
  <c r="U317" i="3"/>
  <c r="U287" i="3"/>
  <c r="U309" i="3"/>
  <c r="U279" i="3"/>
  <c r="U332" i="3"/>
  <c r="U302" i="3"/>
  <c r="U294" i="3"/>
  <c r="U324" i="3"/>
  <c r="U316" i="3"/>
  <c r="U286" i="3"/>
  <c r="U278" i="3"/>
  <c r="U308" i="3"/>
  <c r="U293" i="3"/>
  <c r="U323" i="3"/>
  <c r="U292" i="3"/>
  <c r="U322" i="3"/>
  <c r="U16" i="3"/>
  <c r="U291" i="3"/>
  <c r="U321" i="3"/>
  <c r="U320" i="3"/>
  <c r="U290" i="3"/>
  <c r="U331" i="3"/>
  <c r="U301" i="3"/>
  <c r="U315" i="3"/>
  <c r="U285" i="3"/>
  <c r="U300" i="3"/>
  <c r="U330" i="3"/>
  <c r="U284" i="3"/>
  <c r="U314" i="3"/>
  <c r="U299" i="3"/>
  <c r="U329" i="3"/>
  <c r="U283" i="3"/>
  <c r="U313" i="3"/>
  <c r="U328" i="3"/>
  <c r="U298" i="3"/>
  <c r="U312" i="3"/>
  <c r="U282" i="3"/>
  <c r="T327" i="3"/>
  <c r="T297" i="3"/>
  <c r="T319" i="3"/>
  <c r="T289" i="3"/>
  <c r="T311" i="3"/>
  <c r="T281" i="3"/>
  <c r="S326" i="3"/>
  <c r="S296" i="3"/>
  <c r="S318" i="3"/>
  <c r="S288" i="3"/>
  <c r="S310" i="3"/>
  <c r="S280" i="3"/>
  <c r="T323" i="3"/>
  <c r="T293" i="3"/>
  <c r="S314" i="3"/>
  <c r="S284" i="3"/>
  <c r="T284" i="3"/>
  <c r="T314" i="3"/>
  <c r="S291" i="3"/>
  <c r="S321" i="3"/>
  <c r="T296" i="3"/>
  <c r="T326" i="3"/>
  <c r="T288" i="3"/>
  <c r="T318" i="3"/>
  <c r="T310" i="3"/>
  <c r="T280" i="3"/>
  <c r="S333" i="3"/>
  <c r="S303" i="3"/>
  <c r="S295" i="3"/>
  <c r="S325" i="3"/>
  <c r="S317" i="3"/>
  <c r="S287" i="3"/>
  <c r="S279" i="3"/>
  <c r="S309" i="3"/>
  <c r="S315" i="3"/>
  <c r="S285" i="3"/>
  <c r="T315" i="3"/>
  <c r="T285" i="3"/>
  <c r="S330" i="3"/>
  <c r="S300" i="3"/>
  <c r="S16" i="3"/>
  <c r="T300" i="3"/>
  <c r="T330" i="3"/>
  <c r="T16" i="3"/>
  <c r="S299" i="3"/>
  <c r="S329" i="3"/>
  <c r="T303" i="3"/>
  <c r="T333" i="3"/>
  <c r="T295" i="3"/>
  <c r="T325" i="3"/>
  <c r="T287" i="3"/>
  <c r="T317" i="3"/>
  <c r="T279" i="3"/>
  <c r="T309" i="3"/>
  <c r="S332" i="3"/>
  <c r="S302" i="3"/>
  <c r="S294" i="3"/>
  <c r="S324" i="3"/>
  <c r="S286" i="3"/>
  <c r="S316" i="3"/>
  <c r="S278" i="3"/>
  <c r="S308" i="3"/>
  <c r="S331" i="3"/>
  <c r="S301" i="3"/>
  <c r="T331" i="3"/>
  <c r="T301" i="3"/>
  <c r="S322" i="3"/>
  <c r="S292" i="3"/>
  <c r="T292" i="3"/>
  <c r="T322" i="3"/>
  <c r="S283" i="3"/>
  <c r="S313" i="3"/>
  <c r="T302" i="3"/>
  <c r="T332" i="3"/>
  <c r="T324" i="3"/>
  <c r="T294" i="3"/>
  <c r="T286" i="3"/>
  <c r="T316" i="3"/>
  <c r="T278" i="3"/>
  <c r="T308" i="3"/>
  <c r="S323" i="3"/>
  <c r="S293" i="3"/>
  <c r="T312" i="3"/>
  <c r="T282" i="3"/>
  <c r="S290" i="3"/>
  <c r="S320" i="3"/>
  <c r="S319" i="3"/>
  <c r="S289" i="3"/>
  <c r="S282" i="3"/>
  <c r="S312" i="3"/>
  <c r="T299" i="3"/>
  <c r="T329" i="3"/>
  <c r="S311" i="3"/>
  <c r="S281" i="3"/>
  <c r="T328" i="3"/>
  <c r="T298" i="3"/>
  <c r="T291" i="3"/>
  <c r="T321" i="3"/>
  <c r="S298" i="3"/>
  <c r="S328" i="3"/>
  <c r="T320" i="3"/>
  <c r="T290" i="3"/>
  <c r="T283" i="3"/>
  <c r="T313" i="3"/>
  <c r="S327" i="3"/>
  <c r="S297" i="3"/>
  <c r="R329" i="3"/>
  <c r="R299" i="3"/>
  <c r="R321" i="3"/>
  <c r="R291" i="3"/>
  <c r="R313" i="3"/>
  <c r="R283" i="3"/>
  <c r="Q327" i="3"/>
  <c r="Q297" i="3"/>
  <c r="Q319" i="3"/>
  <c r="Q289" i="3"/>
  <c r="Q311" i="3"/>
  <c r="Q281" i="3"/>
  <c r="P303" i="3"/>
  <c r="P333" i="3"/>
  <c r="P295" i="3"/>
  <c r="P325" i="3"/>
  <c r="P287" i="3"/>
  <c r="P317" i="3"/>
  <c r="P309" i="3"/>
  <c r="P279" i="3"/>
  <c r="R328" i="3"/>
  <c r="R298" i="3"/>
  <c r="R320" i="3"/>
  <c r="R290" i="3"/>
  <c r="R282" i="3"/>
  <c r="R312" i="3"/>
  <c r="R303" i="3"/>
  <c r="R333" i="3"/>
  <c r="R293" i="3"/>
  <c r="R323" i="3"/>
  <c r="R281" i="3"/>
  <c r="R311" i="3"/>
  <c r="Q296" i="3"/>
  <c r="Q326" i="3"/>
  <c r="Q287" i="3"/>
  <c r="Q317" i="3"/>
  <c r="Q278" i="3"/>
  <c r="Q308" i="3"/>
  <c r="P302" i="3"/>
  <c r="P332" i="3"/>
  <c r="P293" i="3"/>
  <c r="P323" i="3"/>
  <c r="P284" i="3"/>
  <c r="P314" i="3"/>
  <c r="R302" i="3"/>
  <c r="R332" i="3"/>
  <c r="R322" i="3"/>
  <c r="R292" i="3"/>
  <c r="R310" i="3"/>
  <c r="R280" i="3"/>
  <c r="Q325" i="3"/>
  <c r="Q295" i="3"/>
  <c r="P331" i="3"/>
  <c r="P301" i="3"/>
  <c r="P313" i="3"/>
  <c r="P283" i="3"/>
  <c r="R301" i="3"/>
  <c r="R331" i="3"/>
  <c r="R309" i="3"/>
  <c r="R279" i="3"/>
  <c r="Q333" i="3"/>
  <c r="Q303" i="3"/>
  <c r="Q315" i="3"/>
  <c r="Q285" i="3"/>
  <c r="P330" i="3"/>
  <c r="P300" i="3"/>
  <c r="P282" i="3"/>
  <c r="P312" i="3"/>
  <c r="R330" i="3"/>
  <c r="R300" i="3"/>
  <c r="R278" i="3"/>
  <c r="R308" i="3"/>
  <c r="Q332" i="3"/>
  <c r="Q302" i="3"/>
  <c r="Q284" i="3"/>
  <c r="Q314" i="3"/>
  <c r="P329" i="3"/>
  <c r="P299" i="3"/>
  <c r="P281" i="3"/>
  <c r="P311" i="3"/>
  <c r="Q316" i="3"/>
  <c r="Q286" i="3"/>
  <c r="P292" i="3"/>
  <c r="P322" i="3"/>
  <c r="R319" i="3"/>
  <c r="R289" i="3"/>
  <c r="Q324" i="3"/>
  <c r="Q294" i="3"/>
  <c r="Q16" i="3"/>
  <c r="P291" i="3"/>
  <c r="P321" i="3"/>
  <c r="R318" i="3"/>
  <c r="R288" i="3"/>
  <c r="Q323" i="3"/>
  <c r="Q293" i="3"/>
  <c r="P290" i="3"/>
  <c r="P320" i="3"/>
  <c r="R314" i="3"/>
  <c r="R284" i="3"/>
  <c r="Q300" i="3"/>
  <c r="Q330" i="3"/>
  <c r="Q312" i="3"/>
  <c r="Q282" i="3"/>
  <c r="P285" i="3"/>
  <c r="P315" i="3"/>
  <c r="R327" i="3"/>
  <c r="R297" i="3"/>
  <c r="Q299" i="3"/>
  <c r="Q329" i="3"/>
  <c r="Q280" i="3"/>
  <c r="Q310" i="3"/>
  <c r="P298" i="3"/>
  <c r="P328" i="3"/>
  <c r="P310" i="3"/>
  <c r="P280" i="3"/>
  <c r="R296" i="3"/>
  <c r="R326" i="3"/>
  <c r="R16" i="3"/>
  <c r="Q328" i="3"/>
  <c r="Q298" i="3"/>
  <c r="Q279" i="3"/>
  <c r="Q309" i="3"/>
  <c r="P327" i="3"/>
  <c r="P297" i="3"/>
  <c r="R295" i="3"/>
  <c r="R325" i="3"/>
  <c r="P326" i="3"/>
  <c r="P296" i="3"/>
  <c r="Q321" i="3"/>
  <c r="Q291" i="3"/>
  <c r="P16" i="3"/>
  <c r="R317" i="3"/>
  <c r="R287" i="3"/>
  <c r="R286" i="3"/>
  <c r="R316" i="3"/>
  <c r="Q331" i="3"/>
  <c r="Q301" i="3"/>
  <c r="P286" i="3"/>
  <c r="P316" i="3"/>
  <c r="P278" i="3"/>
  <c r="P308" i="3"/>
  <c r="Q292" i="3"/>
  <c r="Q322" i="3"/>
  <c r="R294" i="3"/>
  <c r="R324" i="3"/>
  <c r="P294" i="3"/>
  <c r="P324" i="3"/>
  <c r="Q320" i="3"/>
  <c r="Q290" i="3"/>
  <c r="P319" i="3"/>
  <c r="P289" i="3"/>
  <c r="Q288" i="3"/>
  <c r="Q318" i="3"/>
  <c r="P318" i="3"/>
  <c r="P288" i="3"/>
  <c r="R285" i="3"/>
  <c r="R315" i="3"/>
  <c r="Q313" i="3"/>
  <c r="Q283" i="3"/>
  <c r="O297" i="3"/>
  <c r="O327" i="3"/>
  <c r="O319" i="3"/>
  <c r="O289" i="3"/>
  <c r="O311" i="3"/>
  <c r="O281" i="3"/>
  <c r="O326" i="3"/>
  <c r="O296" i="3"/>
  <c r="O318" i="3"/>
  <c r="O288" i="3"/>
  <c r="O280" i="3"/>
  <c r="O310" i="3"/>
  <c r="O325" i="3"/>
  <c r="O295" i="3"/>
  <c r="O317" i="3"/>
  <c r="O287" i="3"/>
  <c r="O332" i="3"/>
  <c r="O302" i="3"/>
  <c r="O308" i="3"/>
  <c r="O278" i="3"/>
  <c r="O331" i="3"/>
  <c r="O301" i="3"/>
  <c r="O315" i="3"/>
  <c r="O285" i="3"/>
  <c r="O303" i="3"/>
  <c r="O333" i="3"/>
  <c r="O309" i="3"/>
  <c r="O279" i="3"/>
  <c r="O324" i="3"/>
  <c r="O294" i="3"/>
  <c r="O316" i="3"/>
  <c r="O286" i="3"/>
  <c r="O323" i="3"/>
  <c r="O293" i="3"/>
  <c r="O300" i="3"/>
  <c r="O330" i="3"/>
  <c r="O312" i="3"/>
  <c r="O282" i="3"/>
  <c r="O299" i="3"/>
  <c r="O329" i="3"/>
  <c r="O16" i="3"/>
  <c r="O328" i="3"/>
  <c r="O298" i="3"/>
  <c r="O292" i="3"/>
  <c r="O322" i="3"/>
  <c r="O291" i="3"/>
  <c r="O321" i="3"/>
  <c r="O320" i="3"/>
  <c r="O290" i="3"/>
  <c r="O284" i="3"/>
  <c r="O314" i="3"/>
  <c r="O283" i="3"/>
  <c r="O313" i="3"/>
  <c r="F332" i="3"/>
  <c r="F309" i="3"/>
  <c r="J331" i="3"/>
  <c r="F315" i="3"/>
  <c r="F319" i="3"/>
  <c r="J323" i="3"/>
  <c r="F325" i="3"/>
  <c r="J325" i="3"/>
  <c r="J315" i="3"/>
  <c r="F331" i="3"/>
  <c r="F333" i="3"/>
  <c r="F312" i="3"/>
  <c r="J317" i="3"/>
  <c r="J328" i="3"/>
  <c r="J319" i="3"/>
  <c r="J314" i="3"/>
  <c r="F329" i="3"/>
  <c r="F317" i="3"/>
  <c r="J318" i="3"/>
  <c r="F323" i="3"/>
  <c r="F327" i="3"/>
  <c r="J310" i="3"/>
  <c r="J327" i="3"/>
  <c r="F308" i="3"/>
  <c r="F310" i="3"/>
  <c r="F320" i="3"/>
  <c r="J309" i="3"/>
  <c r="J332" i="3"/>
  <c r="J329" i="3"/>
  <c r="J320" i="3"/>
  <c r="J311" i="3"/>
  <c r="F330" i="3"/>
  <c r="F321" i="3"/>
  <c r="J308" i="3"/>
  <c r="F311" i="3"/>
  <c r="J333" i="3"/>
  <c r="F314" i="3"/>
  <c r="F316" i="3"/>
  <c r="F318" i="3"/>
  <c r="F328" i="3"/>
  <c r="J324" i="3"/>
  <c r="J330" i="3"/>
  <c r="J321" i="3"/>
  <c r="J312" i="3"/>
  <c r="F322" i="3"/>
  <c r="F324" i="3"/>
  <c r="F326" i="3"/>
  <c r="F313" i="3"/>
  <c r="J316" i="3"/>
  <c r="J326" i="3"/>
  <c r="J322" i="3"/>
  <c r="J313" i="3"/>
  <c r="N327" i="3"/>
  <c r="N319" i="3"/>
  <c r="N311" i="3"/>
  <c r="N326" i="3"/>
  <c r="N318" i="3"/>
  <c r="N310" i="3"/>
  <c r="N333" i="3"/>
  <c r="N317" i="3"/>
  <c r="N309" i="3"/>
  <c r="N332" i="3"/>
  <c r="N316" i="3"/>
  <c r="N331" i="3"/>
  <c r="N315" i="3"/>
  <c r="N325" i="3"/>
  <c r="N324" i="3"/>
  <c r="N308" i="3"/>
  <c r="N323" i="3"/>
  <c r="N321" i="3"/>
  <c r="N320" i="3"/>
  <c r="N314" i="3"/>
  <c r="N313" i="3"/>
  <c r="N330" i="3"/>
  <c r="N312" i="3"/>
  <c r="N329" i="3"/>
  <c r="N328" i="3"/>
  <c r="N322" i="3"/>
  <c r="F302" i="3"/>
  <c r="F279" i="3"/>
  <c r="F285" i="3"/>
  <c r="F289" i="3"/>
  <c r="F295" i="3"/>
  <c r="F301" i="3"/>
  <c r="F303" i="3"/>
  <c r="F282" i="3"/>
  <c r="F299" i="3"/>
  <c r="F287" i="3"/>
  <c r="F293" i="3"/>
  <c r="F297" i="3"/>
  <c r="F278" i="3"/>
  <c r="F280" i="3"/>
  <c r="F290" i="3"/>
  <c r="F300" i="3"/>
  <c r="F291" i="3"/>
  <c r="F281" i="3"/>
  <c r="F284" i="3"/>
  <c r="F286" i="3"/>
  <c r="F288" i="3"/>
  <c r="F298" i="3"/>
  <c r="F292" i="3"/>
  <c r="F294" i="3"/>
  <c r="F296" i="3"/>
  <c r="F283" i="3"/>
  <c r="J301" i="3"/>
  <c r="J293" i="3"/>
  <c r="J295" i="3"/>
  <c r="J285" i="3"/>
  <c r="J287" i="3"/>
  <c r="J298" i="3"/>
  <c r="J289" i="3"/>
  <c r="J284" i="3"/>
  <c r="J288" i="3"/>
  <c r="J280" i="3"/>
  <c r="J297" i="3"/>
  <c r="J279" i="3"/>
  <c r="J302" i="3"/>
  <c r="J299" i="3"/>
  <c r="J290" i="3"/>
  <c r="J281" i="3"/>
  <c r="J278" i="3"/>
  <c r="J303" i="3"/>
  <c r="J294" i="3"/>
  <c r="J300" i="3"/>
  <c r="J291" i="3"/>
  <c r="J282" i="3"/>
  <c r="J286" i="3"/>
  <c r="J296" i="3"/>
  <c r="J292" i="3"/>
  <c r="J283" i="3"/>
  <c r="N297" i="3"/>
  <c r="N289" i="3"/>
  <c r="N281" i="3"/>
  <c r="N296" i="3"/>
  <c r="N288" i="3"/>
  <c r="N280" i="3"/>
  <c r="N303" i="3"/>
  <c r="N287" i="3"/>
  <c r="N279" i="3"/>
  <c r="N302" i="3"/>
  <c r="N286" i="3"/>
  <c r="N301" i="3"/>
  <c r="N285" i="3"/>
  <c r="N295" i="3"/>
  <c r="N294" i="3"/>
  <c r="N278" i="3"/>
  <c r="N293" i="3"/>
  <c r="N291" i="3"/>
  <c r="N290" i="3"/>
  <c r="N284" i="3"/>
  <c r="N283" i="3"/>
  <c r="N300" i="3"/>
  <c r="N282" i="3"/>
  <c r="N299" i="3"/>
  <c r="N298" i="3"/>
  <c r="N292" i="3"/>
  <c r="I285" i="3"/>
  <c r="I315" i="3"/>
  <c r="G296" i="3"/>
  <c r="G326" i="3"/>
  <c r="H297" i="3"/>
  <c r="H327" i="3"/>
  <c r="I296" i="3"/>
  <c r="I326" i="3"/>
  <c r="I300" i="3"/>
  <c r="I330" i="3"/>
  <c r="I297" i="3"/>
  <c r="I327" i="3"/>
  <c r="I286" i="3"/>
  <c r="I316" i="3"/>
  <c r="I302" i="3"/>
  <c r="I332" i="3"/>
  <c r="G316" i="3"/>
  <c r="G286" i="3"/>
  <c r="H300" i="3"/>
  <c r="H330" i="3"/>
  <c r="H313" i="3"/>
  <c r="H283" i="3"/>
  <c r="G312" i="3"/>
  <c r="G282" i="3"/>
  <c r="H289" i="3"/>
  <c r="H319" i="3"/>
  <c r="G300" i="3"/>
  <c r="G330" i="3"/>
  <c r="G329" i="3"/>
  <c r="G299" i="3"/>
  <c r="I312" i="3"/>
  <c r="I282" i="3"/>
  <c r="I281" i="3"/>
  <c r="I311" i="3"/>
  <c r="H292" i="3"/>
  <c r="H322" i="3"/>
  <c r="H287" i="3"/>
  <c r="H317" i="3"/>
  <c r="I278" i="3"/>
  <c r="I308" i="3"/>
  <c r="G281" i="3"/>
  <c r="G311" i="3"/>
  <c r="G309" i="3"/>
  <c r="G279" i="3"/>
  <c r="I287" i="3"/>
  <c r="I317" i="3"/>
  <c r="G288" i="3"/>
  <c r="G318" i="3"/>
  <c r="G333" i="3"/>
  <c r="G303" i="3"/>
  <c r="H278" i="3"/>
  <c r="H308" i="3"/>
  <c r="H293" i="3"/>
  <c r="H323" i="3"/>
  <c r="I279" i="3"/>
  <c r="I309" i="3"/>
  <c r="H329" i="3"/>
  <c r="H299" i="3"/>
  <c r="I292" i="3"/>
  <c r="I322" i="3"/>
  <c r="I280" i="3"/>
  <c r="I310" i="3"/>
  <c r="H286" i="3"/>
  <c r="H316" i="3"/>
  <c r="I328" i="3"/>
  <c r="I298" i="3"/>
  <c r="G321" i="3"/>
  <c r="G291" i="3"/>
  <c r="I289" i="3"/>
  <c r="I319" i="3"/>
  <c r="G320" i="3"/>
  <c r="G290" i="3"/>
  <c r="H301" i="3"/>
  <c r="H331" i="3"/>
  <c r="H321" i="3"/>
  <c r="H291" i="3"/>
  <c r="I284" i="3"/>
  <c r="I314" i="3"/>
  <c r="H294" i="3"/>
  <c r="H324" i="3"/>
  <c r="G284" i="3"/>
  <c r="G314" i="3"/>
  <c r="I320" i="3"/>
  <c r="I290" i="3"/>
  <c r="G278" i="3"/>
  <c r="G308" i="3"/>
  <c r="H303" i="3"/>
  <c r="H333" i="3"/>
  <c r="H284" i="3"/>
  <c r="H314" i="3"/>
  <c r="H328" i="3"/>
  <c r="H298" i="3"/>
  <c r="H281" i="3"/>
  <c r="H311" i="3"/>
  <c r="I329" i="3"/>
  <c r="I299" i="3"/>
  <c r="I294" i="3"/>
  <c r="I324" i="3"/>
  <c r="H296" i="3"/>
  <c r="H326" i="3"/>
  <c r="H295" i="3"/>
  <c r="H325" i="3"/>
  <c r="G301" i="3"/>
  <c r="G331" i="3"/>
  <c r="G328" i="3"/>
  <c r="G298" i="3"/>
  <c r="G302" i="3"/>
  <c r="G332" i="3"/>
  <c r="H302" i="3"/>
  <c r="H332" i="3"/>
  <c r="H285" i="3"/>
  <c r="H315" i="3"/>
  <c r="G294" i="3"/>
  <c r="G324" i="3"/>
  <c r="G280" i="3"/>
  <c r="G310" i="3"/>
  <c r="I301" i="3"/>
  <c r="I331" i="3"/>
  <c r="G297" i="3"/>
  <c r="G327" i="3"/>
  <c r="H320" i="3"/>
  <c r="H290" i="3"/>
  <c r="G295" i="3"/>
  <c r="G325" i="3"/>
  <c r="G313" i="3"/>
  <c r="G283" i="3"/>
  <c r="I321" i="3"/>
  <c r="I291" i="3"/>
  <c r="H288" i="3"/>
  <c r="H318" i="3"/>
  <c r="H279" i="3"/>
  <c r="H309" i="3"/>
  <c r="G285" i="3"/>
  <c r="G315" i="3"/>
  <c r="I303" i="3"/>
  <c r="I333" i="3"/>
  <c r="I293" i="3"/>
  <c r="I323" i="3"/>
  <c r="G289" i="3"/>
  <c r="G319" i="3"/>
  <c r="H312" i="3"/>
  <c r="H282" i="3"/>
  <c r="G287" i="3"/>
  <c r="G317" i="3"/>
  <c r="I313" i="3"/>
  <c r="I283" i="3"/>
  <c r="H280" i="3"/>
  <c r="H310" i="3"/>
  <c r="G293" i="3"/>
  <c r="G323" i="3"/>
  <c r="I288" i="3"/>
  <c r="I318" i="3"/>
  <c r="G292" i="3"/>
  <c r="G322" i="3"/>
  <c r="I295" i="3"/>
  <c r="I325" i="3"/>
  <c r="K300" i="3"/>
  <c r="K330" i="3"/>
  <c r="K292" i="3"/>
  <c r="K322" i="3"/>
  <c r="K284" i="3"/>
  <c r="K314" i="3"/>
  <c r="K299" i="3"/>
  <c r="K329" i="3"/>
  <c r="K321" i="3"/>
  <c r="K291" i="3"/>
  <c r="K313" i="3"/>
  <c r="K283" i="3"/>
  <c r="K328" i="3"/>
  <c r="K298" i="3"/>
  <c r="K320" i="3"/>
  <c r="K290" i="3"/>
  <c r="K312" i="3"/>
  <c r="K282" i="3"/>
  <c r="K297" i="3"/>
  <c r="K327" i="3"/>
  <c r="K289" i="3"/>
  <c r="K319" i="3"/>
  <c r="K281" i="3"/>
  <c r="K311" i="3"/>
  <c r="K296" i="3"/>
  <c r="K326" i="3"/>
  <c r="K318" i="3"/>
  <c r="K288" i="3"/>
  <c r="K310" i="3"/>
  <c r="K280" i="3"/>
  <c r="K303" i="3"/>
  <c r="K333" i="3"/>
  <c r="K295" i="3"/>
  <c r="K325" i="3"/>
  <c r="K317" i="3"/>
  <c r="K287" i="3"/>
  <c r="K279" i="3"/>
  <c r="K309" i="3"/>
  <c r="K302" i="3"/>
  <c r="K332" i="3"/>
  <c r="K294" i="3"/>
  <c r="K324" i="3"/>
  <c r="K286" i="3"/>
  <c r="K316" i="3"/>
  <c r="K278" i="3"/>
  <c r="K308" i="3"/>
  <c r="K301" i="3"/>
  <c r="K331" i="3"/>
  <c r="K323" i="3"/>
  <c r="K293" i="3"/>
  <c r="K285" i="3"/>
  <c r="K315" i="3"/>
  <c r="L310" i="3"/>
  <c r="L280" i="3"/>
  <c r="L318" i="3"/>
  <c r="L288" i="3"/>
  <c r="L281" i="3"/>
  <c r="L311" i="3"/>
  <c r="L327" i="3"/>
  <c r="L297" i="3"/>
  <c r="L320" i="3"/>
  <c r="L290" i="3"/>
  <c r="L328" i="3"/>
  <c r="L298" i="3"/>
  <c r="L313" i="3"/>
  <c r="L283" i="3"/>
  <c r="L321" i="3"/>
  <c r="L291" i="3"/>
  <c r="L329" i="3"/>
  <c r="L299" i="3"/>
  <c r="L284" i="3"/>
  <c r="L314" i="3"/>
  <c r="L292" i="3"/>
  <c r="L322" i="3"/>
  <c r="L300" i="3"/>
  <c r="L330" i="3"/>
  <c r="L285" i="3"/>
  <c r="L315" i="3"/>
  <c r="L323" i="3"/>
  <c r="L293" i="3"/>
  <c r="L301" i="3"/>
  <c r="L331" i="3"/>
  <c r="L296" i="3"/>
  <c r="L326" i="3"/>
  <c r="L319" i="3"/>
  <c r="L289" i="3"/>
  <c r="L312" i="3"/>
  <c r="L282" i="3"/>
  <c r="L278" i="3"/>
  <c r="L308" i="3"/>
  <c r="L316" i="3"/>
  <c r="L286" i="3"/>
  <c r="L294" i="3"/>
  <c r="L324" i="3"/>
  <c r="L302" i="3"/>
  <c r="L332" i="3"/>
  <c r="L279" i="3"/>
  <c r="L309" i="3"/>
  <c r="L287" i="3"/>
  <c r="L317" i="3"/>
  <c r="L295" i="3"/>
  <c r="L325" i="3"/>
  <c r="L303" i="3"/>
  <c r="L333" i="3"/>
  <c r="M303" i="3"/>
  <c r="M333" i="3"/>
  <c r="M295" i="3"/>
  <c r="M325" i="3"/>
  <c r="M287" i="3"/>
  <c r="M317" i="3"/>
  <c r="M279" i="3"/>
  <c r="M309" i="3"/>
  <c r="M302" i="3"/>
  <c r="M332" i="3"/>
  <c r="M294" i="3"/>
  <c r="M324" i="3"/>
  <c r="M286" i="3"/>
  <c r="M316" i="3"/>
  <c r="M278" i="3"/>
  <c r="M308" i="3"/>
  <c r="M301" i="3"/>
  <c r="M331" i="3"/>
  <c r="M293" i="3"/>
  <c r="M323" i="3"/>
  <c r="M285" i="3"/>
  <c r="M315" i="3"/>
  <c r="M300" i="3"/>
  <c r="M330" i="3"/>
  <c r="M292" i="3"/>
  <c r="M322" i="3"/>
  <c r="M284" i="3"/>
  <c r="M314" i="3"/>
  <c r="M329" i="3"/>
  <c r="M299" i="3"/>
  <c r="M321" i="3"/>
  <c r="M291" i="3"/>
  <c r="M320" i="3"/>
  <c r="M290" i="3"/>
  <c r="M313" i="3"/>
  <c r="M283" i="3"/>
  <c r="M328" i="3"/>
  <c r="M298" i="3"/>
  <c r="M312" i="3"/>
  <c r="M282" i="3"/>
  <c r="M296" i="3"/>
  <c r="M326" i="3"/>
  <c r="M289" i="3"/>
  <c r="M319" i="3"/>
  <c r="M288" i="3"/>
  <c r="M318" i="3"/>
  <c r="M281" i="3"/>
  <c r="M311" i="3"/>
  <c r="M280" i="3"/>
  <c r="M310" i="3"/>
  <c r="M297" i="3"/>
  <c r="M327" i="3"/>
  <c r="N16" i="3"/>
  <c r="M16" i="3"/>
  <c r="L16" i="3"/>
  <c r="K16" i="3"/>
  <c r="E246" i="3"/>
  <c r="I16" i="3"/>
  <c r="G16" i="3"/>
  <c r="H16" i="3"/>
  <c r="J16" i="3"/>
  <c r="F16" i="3"/>
  <c r="X546" i="3"/>
  <c r="AD546" i="3"/>
  <c r="AK532" i="3"/>
  <c r="V532" i="3"/>
  <c r="AL516" i="3"/>
  <c r="AH516" i="3"/>
  <c r="AB502" i="3"/>
  <c r="W502" i="3"/>
  <c r="AI502" i="3"/>
  <c r="AK551" i="3"/>
  <c r="AD555" i="3"/>
  <c r="T556" i="3"/>
  <c r="I556" i="3"/>
  <c r="M551" i="3"/>
  <c r="AP551" i="3"/>
  <c r="AI554" i="3"/>
  <c r="AB557" i="3"/>
  <c r="X555" i="3"/>
  <c r="P552" i="3"/>
  <c r="G557" i="3"/>
  <c r="J551" i="3"/>
  <c r="AM556" i="3"/>
  <c r="AE550" i="3"/>
  <c r="V553" i="3"/>
  <c r="J552" i="3"/>
  <c r="K553" i="3"/>
  <c r="AN551" i="3"/>
  <c r="AC556" i="3"/>
  <c r="H550" i="3"/>
  <c r="AN555" i="3"/>
  <c r="AG555" i="3"/>
  <c r="Y557" i="3"/>
  <c r="R557" i="3"/>
  <c r="AO553" i="3"/>
  <c r="AF557" i="3"/>
  <c r="AB555" i="3"/>
  <c r="S556" i="3"/>
  <c r="Q554" i="3"/>
  <c r="AL553" i="3"/>
  <c r="AA557" i="3"/>
  <c r="W555" i="3"/>
  <c r="J554" i="3"/>
  <c r="AP553" i="3"/>
  <c r="AH556" i="3"/>
  <c r="Z553" i="3"/>
  <c r="O553" i="3"/>
  <c r="AM538" i="3"/>
  <c r="AJ537" i="3"/>
  <c r="AE534" i="3"/>
  <c r="Y542" i="3"/>
  <c r="W547" i="3"/>
  <c r="S536" i="3"/>
  <c r="F539" i="3"/>
  <c r="G542" i="3"/>
  <c r="K540" i="3"/>
  <c r="T541" i="3"/>
  <c r="F548" i="3"/>
  <c r="K533" i="3"/>
  <c r="Q549" i="3"/>
  <c r="M545" i="3"/>
  <c r="F537" i="3"/>
  <c r="AP539" i="3"/>
  <c r="AL536" i="3"/>
  <c r="AJ545" i="3"/>
  <c r="AE547" i="3"/>
  <c r="AC536" i="3"/>
  <c r="Y539" i="3"/>
  <c r="S539" i="3"/>
  <c r="P539" i="3"/>
  <c r="N533" i="3"/>
  <c r="L543" i="3"/>
  <c r="G535" i="3"/>
  <c r="V541" i="3"/>
  <c r="L542" i="3"/>
  <c r="F532" i="3"/>
  <c r="AO541" i="3"/>
  <c r="AL544" i="3"/>
  <c r="AI536" i="3"/>
  <c r="AE549" i="3"/>
  <c r="Y534" i="3"/>
  <c r="V536" i="3"/>
  <c r="S540" i="3"/>
  <c r="K532" i="3"/>
  <c r="P548" i="3"/>
  <c r="S544" i="3"/>
  <c r="AP534" i="3"/>
  <c r="AJ547" i="3"/>
  <c r="AF534" i="3"/>
  <c r="AB541" i="3"/>
  <c r="N540" i="3"/>
  <c r="AM544" i="3"/>
  <c r="AJ535" i="3"/>
  <c r="AE533" i="3"/>
  <c r="AA533" i="3"/>
  <c r="V547" i="3"/>
  <c r="AP549" i="3"/>
  <c r="AL539" i="3"/>
  <c r="AF543" i="3"/>
  <c r="AB548" i="3"/>
  <c r="X543" i="3"/>
  <c r="U544" i="3"/>
  <c r="AO532" i="3"/>
  <c r="AN533" i="3"/>
  <c r="AK547" i="3"/>
  <c r="AG533" i="3"/>
  <c r="AD536" i="3"/>
  <c r="Y549" i="3"/>
  <c r="V540" i="3"/>
  <c r="Q532" i="3"/>
  <c r="AP536" i="3"/>
  <c r="AJ542" i="3"/>
  <c r="AG539" i="3"/>
  <c r="AC539" i="3"/>
  <c r="Y537" i="3"/>
  <c r="U547" i="3"/>
  <c r="M544" i="3"/>
  <c r="AC546" i="3"/>
  <c r="AB546" i="3"/>
  <c r="AE532" i="3"/>
  <c r="U532" i="3"/>
  <c r="AD516" i="3"/>
  <c r="AE516" i="3"/>
  <c r="X502" i="3"/>
  <c r="AC502" i="3"/>
  <c r="AG502" i="3"/>
  <c r="AI550" i="3"/>
  <c r="AA550" i="3"/>
  <c r="P556" i="3"/>
  <c r="H557" i="3"/>
  <c r="Y554" i="3"/>
  <c r="AP557" i="3"/>
  <c r="AH551" i="3"/>
  <c r="AB556" i="3"/>
  <c r="W554" i="3"/>
  <c r="O551" i="3"/>
  <c r="H553" i="3"/>
  <c r="U546" i="3"/>
  <c r="V546" i="3"/>
  <c r="AC532" i="3"/>
  <c r="AB532" i="3"/>
  <c r="AC516" i="3"/>
  <c r="AA516" i="3"/>
  <c r="AH502" i="3"/>
  <c r="Z502" i="3"/>
  <c r="U502" i="3"/>
  <c r="AI552" i="3"/>
  <c r="W551" i="3"/>
  <c r="Q555" i="3"/>
  <c r="G555" i="3"/>
  <c r="W552" i="3"/>
  <c r="AO554" i="3"/>
  <c r="AH554" i="3"/>
  <c r="AB554" i="3"/>
  <c r="W553" i="3"/>
  <c r="O557" i="3"/>
  <c r="I552" i="3"/>
  <c r="H552" i="3"/>
  <c r="AL552" i="3"/>
  <c r="AC554" i="3"/>
  <c r="U551" i="3"/>
  <c r="I554" i="3"/>
  <c r="L557" i="3"/>
  <c r="AN557" i="3"/>
  <c r="Z554" i="3"/>
  <c r="M554" i="3"/>
  <c r="AJ554" i="3"/>
  <c r="AE557" i="3"/>
  <c r="Y551" i="3"/>
  <c r="F554" i="3"/>
  <c r="AK555" i="3"/>
  <c r="AE554" i="3"/>
  <c r="Y553" i="3"/>
  <c r="T552" i="3"/>
  <c r="R550" i="3"/>
  <c r="AJ552" i="3"/>
  <c r="AA554" i="3"/>
  <c r="U556" i="3"/>
  <c r="N554" i="3"/>
  <c r="AL557" i="3"/>
  <c r="AD550" i="3"/>
  <c r="T551" i="3"/>
  <c r="F557" i="3"/>
  <c r="AL537" i="3"/>
  <c r="AI541" i="3"/>
  <c r="AE548" i="3"/>
  <c r="Y540" i="3"/>
  <c r="V544" i="3"/>
  <c r="P549" i="3"/>
  <c r="F547" i="3"/>
  <c r="H540" i="3"/>
  <c r="L541" i="3"/>
  <c r="P547" i="3"/>
  <c r="I535" i="3"/>
  <c r="M540" i="3"/>
  <c r="O534" i="3"/>
  <c r="T540" i="3"/>
  <c r="I546" i="3"/>
  <c r="AO545" i="3"/>
  <c r="AJ543" i="3"/>
  <c r="AH534" i="3"/>
  <c r="AD542" i="3"/>
  <c r="AB547" i="3"/>
  <c r="X536" i="3"/>
  <c r="T548" i="3"/>
  <c r="R548" i="3"/>
  <c r="G540" i="3"/>
  <c r="O538" i="3"/>
  <c r="H542" i="3"/>
  <c r="R545" i="3"/>
  <c r="U534" i="3"/>
  <c r="H532" i="3"/>
  <c r="AO544" i="3"/>
  <c r="AK534" i="3"/>
  <c r="AG535" i="3"/>
  <c r="AD547" i="3"/>
  <c r="Y538" i="3"/>
  <c r="W537" i="3"/>
  <c r="R538" i="3"/>
  <c r="M541" i="3"/>
  <c r="F542" i="3"/>
  <c r="R541" i="3"/>
  <c r="AP537" i="3"/>
  <c r="AI538" i="3"/>
  <c r="AF537" i="3"/>
  <c r="Z543" i="3"/>
  <c r="AP538" i="3"/>
  <c r="AN547" i="3"/>
  <c r="AI548" i="3"/>
  <c r="AD535" i="3"/>
  <c r="AA537" i="3"/>
  <c r="U543" i="3"/>
  <c r="AP532" i="3"/>
  <c r="AM547" i="3"/>
  <c r="AF545" i="3"/>
  <c r="AB538" i="3"/>
  <c r="X540" i="3"/>
  <c r="S538" i="3"/>
  <c r="AO547" i="3"/>
  <c r="AL542" i="3"/>
  <c r="AJ546" i="3"/>
  <c r="AF539" i="3"/>
  <c r="AD548" i="3"/>
  <c r="Y547" i="3"/>
  <c r="U538" i="3"/>
  <c r="Q536" i="3"/>
  <c r="AN535" i="3"/>
  <c r="AI539" i="3"/>
  <c r="AF541" i="3"/>
  <c r="AB533" i="3"/>
  <c r="X549" i="3"/>
  <c r="T534" i="3"/>
  <c r="H541" i="3"/>
  <c r="G536" i="3"/>
  <c r="J548" i="3"/>
  <c r="O545" i="3"/>
  <c r="L546" i="3"/>
  <c r="M537" i="3"/>
  <c r="I541" i="3"/>
  <c r="AL546" i="3"/>
  <c r="AH546" i="3"/>
  <c r="AL532" i="3"/>
  <c r="Z532" i="3"/>
  <c r="AM532" i="3"/>
  <c r="V516" i="3"/>
  <c r="AG516" i="3"/>
  <c r="AK502" i="3"/>
  <c r="AF502" i="3"/>
  <c r="AP554" i="3"/>
  <c r="AH550" i="3"/>
  <c r="V557" i="3"/>
  <c r="O556" i="3"/>
  <c r="G551" i="3"/>
  <c r="K557" i="3"/>
  <c r="AM550" i="3"/>
  <c r="AG553" i="3"/>
  <c r="AA552" i="3"/>
  <c r="S557" i="3"/>
  <c r="O552" i="3"/>
  <c r="G552" i="3"/>
  <c r="H554" i="3"/>
  <c r="AM551" i="3"/>
  <c r="AB553" i="3"/>
  <c r="T553" i="3"/>
  <c r="H555" i="3"/>
  <c r="K554" i="3"/>
  <c r="AK556" i="3"/>
  <c r="X551" i="3"/>
  <c r="M557" i="3"/>
  <c r="AI551" i="3"/>
  <c r="AE552" i="3"/>
  <c r="X553" i="3"/>
  <c r="F552" i="3"/>
  <c r="AJ550" i="3"/>
  <c r="AD554" i="3"/>
  <c r="X556" i="3"/>
  <c r="R552" i="3"/>
  <c r="F556" i="3"/>
  <c r="AI557" i="3"/>
  <c r="Z555" i="3"/>
  <c r="T557" i="3"/>
  <c r="H551" i="3"/>
  <c r="AL550" i="3"/>
  <c r="AC550" i="3"/>
  <c r="T555" i="3"/>
  <c r="AO543" i="3"/>
  <c r="AM540" i="3"/>
  <c r="AH544" i="3"/>
  <c r="AD537" i="3"/>
  <c r="X535" i="3"/>
  <c r="U549" i="3"/>
  <c r="R535" i="3"/>
  <c r="J536" i="3"/>
  <c r="H548" i="3"/>
  <c r="M549" i="3"/>
  <c r="P534" i="3"/>
  <c r="I548" i="3"/>
  <c r="X548" i="3"/>
  <c r="F549" i="3"/>
  <c r="Q541" i="3"/>
  <c r="G549" i="3"/>
  <c r="AL549" i="3"/>
  <c r="AJ534" i="3"/>
  <c r="AH540" i="3"/>
  <c r="AD533" i="3"/>
  <c r="AB545" i="3"/>
  <c r="W539" i="3"/>
  <c r="T536" i="3"/>
  <c r="Q542" i="3"/>
  <c r="H544" i="3"/>
  <c r="F540" i="3"/>
  <c r="L549" i="3"/>
  <c r="P533" i="3"/>
  <c r="T533" i="3"/>
  <c r="G534" i="3"/>
  <c r="AO536" i="3"/>
  <c r="AJ544" i="3"/>
  <c r="AG541" i="3"/>
  <c r="AB544" i="3"/>
  <c r="X545" i="3"/>
  <c r="U542" i="3"/>
  <c r="Q533" i="3"/>
  <c r="AA542" i="3"/>
  <c r="G533" i="3"/>
  <c r="O536" i="3"/>
  <c r="AM542" i="3"/>
  <c r="AH543" i="3"/>
  <c r="AE539" i="3"/>
  <c r="Z534" i="3"/>
  <c r="AP544" i="3"/>
  <c r="AL545" i="3"/>
  <c r="AI547" i="3"/>
  <c r="AD540" i="3"/>
  <c r="Z544" i="3"/>
  <c r="S549" i="3"/>
  <c r="AO542" i="3"/>
  <c r="AJ541" i="3"/>
  <c r="AE545" i="3"/>
  <c r="Z535" i="3"/>
  <c r="V549" i="3"/>
  <c r="S541" i="3"/>
  <c r="AL533" i="3"/>
  <c r="AL535" i="3"/>
  <c r="AJ538" i="3"/>
  <c r="AE542" i="3"/>
  <c r="AC547" i="3"/>
  <c r="Y535" i="3"/>
  <c r="T542" i="3"/>
  <c r="R549" i="3"/>
  <c r="AN549" i="3"/>
  <c r="AI537" i="3"/>
  <c r="AF549" i="3"/>
  <c r="AB539" i="3"/>
  <c r="X547" i="3"/>
  <c r="S547" i="3"/>
  <c r="I543" i="3"/>
  <c r="M533" i="3"/>
  <c r="J540" i="3"/>
  <c r="N534" i="3"/>
  <c r="AF546" i="3"/>
  <c r="AA546" i="3"/>
  <c r="AD532" i="3"/>
  <c r="AN532" i="3"/>
  <c r="AG532" i="3"/>
  <c r="X516" i="3"/>
  <c r="Z516" i="3"/>
  <c r="AN502" i="3"/>
  <c r="AJ502" i="3"/>
  <c r="AO555" i="3"/>
  <c r="AE551" i="3"/>
  <c r="V551" i="3"/>
  <c r="J557" i="3"/>
  <c r="K551" i="3"/>
  <c r="M556" i="3"/>
  <c r="AL554" i="3"/>
  <c r="AF556" i="3"/>
  <c r="Z556" i="3"/>
  <c r="R553" i="3"/>
  <c r="J553" i="3"/>
  <c r="L553" i="3"/>
  <c r="M555" i="3"/>
  <c r="AK553" i="3"/>
  <c r="Z552" i="3"/>
  <c r="Q550" i="3"/>
  <c r="P551" i="3"/>
  <c r="N557" i="3"/>
  <c r="AG552" i="3"/>
  <c r="O554" i="3"/>
  <c r="AM554" i="3"/>
  <c r="AI555" i="3"/>
  <c r="AC553" i="3"/>
  <c r="U554" i="3"/>
  <c r="N555" i="3"/>
  <c r="AI553" i="3"/>
  <c r="AC552" i="3"/>
  <c r="V555" i="3"/>
  <c r="Q557" i="3"/>
  <c r="G553" i="3"/>
  <c r="AG551" i="3"/>
  <c r="X554" i="3"/>
  <c r="R556" i="3"/>
  <c r="I555" i="3"/>
  <c r="AJ551" i="3"/>
  <c r="AA553" i="3"/>
  <c r="Q551" i="3"/>
  <c r="AN542" i="3"/>
  <c r="AK542" i="3"/>
  <c r="AG549" i="3"/>
  <c r="AA535" i="3"/>
  <c r="V542" i="3"/>
  <c r="S533" i="3"/>
  <c r="P535" i="3"/>
  <c r="N541" i="3"/>
  <c r="G541" i="3"/>
  <c r="M547" i="3"/>
  <c r="O532" i="3"/>
  <c r="I547" i="3"/>
  <c r="V543" i="3"/>
  <c r="N535" i="3"/>
  <c r="Q544" i="3"/>
  <c r="L538" i="3"/>
  <c r="AL548" i="3"/>
  <c r="AJ533" i="3"/>
  <c r="AG544" i="3"/>
  <c r="AC549" i="3"/>
  <c r="Z533" i="3"/>
  <c r="U539" i="3"/>
  <c r="R534" i="3"/>
  <c r="J541" i="3"/>
  <c r="K534" i="3"/>
  <c r="N546" i="3"/>
  <c r="M542" i="3"/>
  <c r="N544" i="3"/>
  <c r="P536" i="3"/>
  <c r="K535" i="3"/>
  <c r="AM549" i="3"/>
  <c r="AI533" i="3"/>
  <c r="AF544" i="3"/>
  <c r="AA548" i="3"/>
  <c r="V534" i="3"/>
  <c r="U540" i="3"/>
  <c r="J534" i="3"/>
  <c r="T547" i="3"/>
  <c r="M536" i="3"/>
  <c r="H533" i="3"/>
  <c r="AM533" i="3"/>
  <c r="AH539" i="3"/>
  <c r="AD534" i="3"/>
  <c r="Z545" i="3"/>
  <c r="AO540" i="3"/>
  <c r="AK535" i="3"/>
  <c r="AG548" i="3"/>
  <c r="AC534" i="3"/>
  <c r="Y545" i="3"/>
  <c r="P546" i="3"/>
  <c r="AN543" i="3"/>
  <c r="AH533" i="3"/>
  <c r="AC540" i="3"/>
  <c r="Z540" i="3"/>
  <c r="W548" i="3"/>
  <c r="R537" i="3"/>
  <c r="AN538" i="3"/>
  <c r="AK549" i="3"/>
  <c r="AI540" i="3"/>
  <c r="AE544" i="3"/>
  <c r="AA543" i="3"/>
  <c r="X538" i="3"/>
  <c r="T532" i="3"/>
  <c r="Q537" i="3"/>
  <c r="AL534" i="3"/>
  <c r="AH542" i="3"/>
  <c r="AE538" i="3"/>
  <c r="AA544" i="3"/>
  <c r="V537" i="3"/>
  <c r="F545" i="3"/>
  <c r="K549" i="3"/>
  <c r="M535" i="3"/>
  <c r="G537" i="3"/>
  <c r="H547" i="3"/>
  <c r="F535" i="3"/>
  <c r="H537" i="3"/>
  <c r="K548" i="3"/>
  <c r="L533" i="3"/>
  <c r="R546" i="3"/>
  <c r="AN505" i="3"/>
  <c r="AI515" i="3"/>
  <c r="Y546" i="3"/>
  <c r="AA532" i="3"/>
  <c r="AB516" i="3"/>
  <c r="AM502" i="3"/>
  <c r="U550" i="3"/>
  <c r="L555" i="3"/>
  <c r="AE553" i="3"/>
  <c r="N551" i="3"/>
  <c r="AM557" i="3"/>
  <c r="W550" i="3"/>
  <c r="G556" i="3"/>
  <c r="AC551" i="3"/>
  <c r="AL551" i="3"/>
  <c r="AA551" i="3"/>
  <c r="AO550" i="3"/>
  <c r="AC555" i="3"/>
  <c r="P553" i="3"/>
  <c r="AD556" i="3"/>
  <c r="F555" i="3"/>
  <c r="AJ555" i="3"/>
  <c r="P550" i="3"/>
  <c r="AK546" i="3"/>
  <c r="AA540" i="3"/>
  <c r="S548" i="3"/>
  <c r="I532" i="3"/>
  <c r="M543" i="3"/>
  <c r="K543" i="3"/>
  <c r="L536" i="3"/>
  <c r="AP533" i="3"/>
  <c r="AJ536" i="3"/>
  <c r="AC548" i="3"/>
  <c r="S534" i="3"/>
  <c r="F546" i="3"/>
  <c r="H543" i="3"/>
  <c r="K544" i="3"/>
  <c r="AO535" i="3"/>
  <c r="AI544" i="3"/>
  <c r="AA538" i="3"/>
  <c r="S545" i="3"/>
  <c r="R533" i="3"/>
  <c r="AP543" i="3"/>
  <c r="AG537" i="3"/>
  <c r="S535" i="3"/>
  <c r="AK539" i="3"/>
  <c r="AA534" i="3"/>
  <c r="AP535" i="3"/>
  <c r="AH545" i="3"/>
  <c r="Z538" i="3"/>
  <c r="AO534" i="3"/>
  <c r="AK537" i="3"/>
  <c r="AD545" i="3"/>
  <c r="W534" i="3"/>
  <c r="AP541" i="3"/>
  <c r="AG534" i="3"/>
  <c r="Z541" i="3"/>
  <c r="K536" i="3"/>
  <c r="P532" i="3"/>
  <c r="L537" i="3"/>
  <c r="N548" i="3"/>
  <c r="J532" i="3"/>
  <c r="K542" i="3"/>
  <c r="K541" i="3"/>
  <c r="AO515" i="3"/>
  <c r="AH512" i="3"/>
  <c r="AD512" i="3"/>
  <c r="AB509" i="3"/>
  <c r="Y513" i="3"/>
  <c r="R514" i="3"/>
  <c r="Q512" i="3"/>
  <c r="G506" i="3"/>
  <c r="L510" i="3"/>
  <c r="P512" i="3"/>
  <c r="H504" i="3"/>
  <c r="L506" i="3"/>
  <c r="AO516" i="3"/>
  <c r="AK518" i="3"/>
  <c r="AE510" i="3"/>
  <c r="Y511" i="3"/>
  <c r="W508" i="3"/>
  <c r="R506" i="3"/>
  <c r="J511" i="3"/>
  <c r="G505" i="3"/>
  <c r="K508" i="3"/>
  <c r="M510" i="3"/>
  <c r="L514" i="3"/>
  <c r="F515" i="3"/>
  <c r="J505" i="3"/>
  <c r="W517" i="3"/>
  <c r="AN509" i="3"/>
  <c r="AJ510" i="3"/>
  <c r="AG514" i="3"/>
  <c r="AC512" i="3"/>
  <c r="Z515" i="3"/>
  <c r="S504" i="3"/>
  <c r="P515" i="3"/>
  <c r="G504" i="3"/>
  <c r="AN512" i="3"/>
  <c r="Y519" i="3"/>
  <c r="K510" i="3"/>
  <c r="AL511" i="3"/>
  <c r="AJ514" i="3"/>
  <c r="AG511" i="3"/>
  <c r="AD517" i="3"/>
  <c r="Y504" i="3"/>
  <c r="U512" i="3"/>
  <c r="Q511" i="3"/>
  <c r="W518" i="3"/>
  <c r="AO504" i="3"/>
  <c r="AE511" i="3"/>
  <c r="Q517" i="3"/>
  <c r="AP513" i="3"/>
  <c r="AM505" i="3"/>
  <c r="AH515" i="3"/>
  <c r="AB511" i="3"/>
  <c r="X518" i="3"/>
  <c r="T505" i="3"/>
  <c r="Q519" i="3"/>
  <c r="F513" i="3"/>
  <c r="AE506" i="3"/>
  <c r="O510" i="3"/>
  <c r="AO510" i="3"/>
  <c r="AN517" i="3"/>
  <c r="AJ508" i="3"/>
  <c r="AD514" i="3"/>
  <c r="AA515" i="3"/>
  <c r="V510" i="3"/>
  <c r="T507" i="3"/>
  <c r="AH532" i="3"/>
  <c r="AF516" i="3"/>
  <c r="AA502" i="3"/>
  <c r="V552" i="3"/>
  <c r="I553" i="3"/>
  <c r="Y552" i="3"/>
  <c r="M553" i="3"/>
  <c r="AG550" i="3"/>
  <c r="N556" i="3"/>
  <c r="AJ557" i="3"/>
  <c r="AN556" i="3"/>
  <c r="Y556" i="3"/>
  <c r="AJ553" i="3"/>
  <c r="S550" i="3"/>
  <c r="AN553" i="3"/>
  <c r="U557" i="3"/>
  <c r="AM555" i="3"/>
  <c r="Q552" i="3"/>
  <c r="AI535" i="3"/>
  <c r="X537" i="3"/>
  <c r="O542" i="3"/>
  <c r="K546" i="3"/>
  <c r="N545" i="3"/>
  <c r="J535" i="3"/>
  <c r="AP542" i="3"/>
  <c r="AI545" i="3"/>
  <c r="Z542" i="3"/>
  <c r="Q540" i="3"/>
  <c r="L544" i="3"/>
  <c r="T535" i="3"/>
  <c r="G543" i="3"/>
  <c r="AI549" i="3"/>
  <c r="Y533" i="3"/>
  <c r="O543" i="3"/>
  <c r="U533" i="3"/>
  <c r="AL538" i="3"/>
  <c r="AB540" i="3"/>
  <c r="AK544" i="3"/>
  <c r="AC538" i="3"/>
  <c r="AP540" i="3"/>
  <c r="AD549" i="3"/>
  <c r="W536" i="3"/>
  <c r="AN537" i="3"/>
  <c r="AG536" i="3"/>
  <c r="Y544" i="3"/>
  <c r="O541" i="3"/>
  <c r="AF535" i="3"/>
  <c r="V538" i="3"/>
  <c r="M546" i="3"/>
  <c r="N539" i="3"/>
  <c r="L535" i="3"/>
  <c r="F541" i="3"/>
  <c r="Q534" i="3"/>
  <c r="O539" i="3"/>
  <c r="AN518" i="3"/>
  <c r="AF505" i="3"/>
  <c r="AC511" i="3"/>
  <c r="Z509" i="3"/>
  <c r="T504" i="3"/>
  <c r="R518" i="3"/>
  <c r="I506" i="3"/>
  <c r="F518" i="3"/>
  <c r="J513" i="3"/>
  <c r="J508" i="3"/>
  <c r="AP516" i="3"/>
  <c r="AK511" i="3"/>
  <c r="AE504" i="3"/>
  <c r="Y510" i="3"/>
  <c r="U519" i="3"/>
  <c r="O512" i="3"/>
  <c r="N514" i="3"/>
  <c r="H512" i="3"/>
  <c r="L519" i="3"/>
  <c r="K504" i="3"/>
  <c r="J514" i="3"/>
  <c r="K514" i="3"/>
  <c r="AP512" i="3"/>
  <c r="AN514" i="3"/>
  <c r="AH504" i="3"/>
  <c r="AD504" i="3"/>
  <c r="Z503" i="3"/>
  <c r="S509" i="3"/>
  <c r="P510" i="3"/>
  <c r="J507" i="3"/>
  <c r="AK507" i="3"/>
  <c r="J519" i="3"/>
  <c r="AO514" i="3"/>
  <c r="AJ505" i="3"/>
  <c r="AG510" i="3"/>
  <c r="AC508" i="3"/>
  <c r="W513" i="3"/>
  <c r="S519" i="3"/>
  <c r="M505" i="3"/>
  <c r="H507" i="3"/>
  <c r="AF509" i="3"/>
  <c r="O511" i="3"/>
  <c r="AP518" i="3"/>
  <c r="AJ518" i="3"/>
  <c r="AE515" i="3"/>
  <c r="Z518" i="3"/>
  <c r="V513" i="3"/>
  <c r="P503" i="3"/>
  <c r="J504" i="3"/>
  <c r="AC507" i="3"/>
  <c r="G512" i="3"/>
  <c r="AL517" i="3"/>
  <c r="AK517" i="3"/>
  <c r="AE505" i="3"/>
  <c r="AA509" i="3"/>
  <c r="U513" i="3"/>
  <c r="Q502" i="3"/>
  <c r="O506" i="3"/>
  <c r="N518" i="3"/>
  <c r="I508" i="3"/>
  <c r="L505" i="3"/>
  <c r="AP505" i="3"/>
  <c r="AL509" i="3"/>
  <c r="AH505" i="3"/>
  <c r="AE508" i="3"/>
  <c r="Z519" i="3"/>
  <c r="V507" i="3"/>
  <c r="N511" i="3"/>
  <c r="AE514" i="3"/>
  <c r="S506" i="3"/>
  <c r="AP525" i="3"/>
  <c r="AK524" i="3"/>
  <c r="AF523" i="3"/>
  <c r="W524" i="3"/>
  <c r="P522" i="3"/>
  <c r="N526" i="3"/>
  <c r="O522" i="3"/>
  <c r="W520" i="3"/>
  <c r="M520" i="3"/>
  <c r="AO527" i="3"/>
  <c r="AI522" i="3"/>
  <c r="AB523" i="3"/>
  <c r="T523" i="3"/>
  <c r="I524" i="3"/>
  <c r="R523" i="3"/>
  <c r="K522" i="3"/>
  <c r="G526" i="3"/>
  <c r="I526" i="3"/>
  <c r="AF526" i="3"/>
  <c r="AN526" i="3"/>
  <c r="AG520" i="3"/>
  <c r="T520" i="3"/>
  <c r="P526" i="3"/>
  <c r="AN522" i="3"/>
  <c r="AG522" i="3"/>
  <c r="Y523" i="3"/>
  <c r="AM524" i="3"/>
  <c r="AG525" i="3"/>
  <c r="Y527" i="3"/>
  <c r="O525" i="3"/>
  <c r="M527" i="3"/>
  <c r="AF527" i="3"/>
  <c r="AA523" i="3"/>
  <c r="S525" i="3"/>
  <c r="N522" i="3"/>
  <c r="AH522" i="3"/>
  <c r="X522" i="3"/>
  <c r="AD506" i="3"/>
  <c r="AJ521" i="3"/>
  <c r="W523" i="3"/>
  <c r="Q522" i="3"/>
  <c r="J523" i="3"/>
  <c r="F520" i="3"/>
  <c r="J527" i="3"/>
  <c r="AH520" i="3"/>
  <c r="AA520" i="3"/>
  <c r="H525" i="3"/>
  <c r="P524" i="3"/>
  <c r="K526" i="3"/>
  <c r="Z521" i="3"/>
  <c r="AE520" i="3"/>
  <c r="H527" i="3"/>
  <c r="AF521" i="3"/>
  <c r="AF522" i="3"/>
  <c r="J525" i="3"/>
  <c r="AF524" i="3"/>
  <c r="AP524" i="3"/>
  <c r="V520" i="3"/>
  <c r="AK554" i="3"/>
  <c r="L552" i="3"/>
  <c r="AD557" i="3"/>
  <c r="Z550" i="3"/>
  <c r="T538" i="3"/>
  <c r="O549" i="3"/>
  <c r="F538" i="3"/>
  <c r="AL540" i="3"/>
  <c r="I549" i="3"/>
  <c r="AN536" i="3"/>
  <c r="AM539" i="3"/>
  <c r="G547" i="3"/>
  <c r="AJ519" i="3"/>
  <c r="Q509" i="3"/>
  <c r="W506" i="3"/>
  <c r="S510" i="3"/>
  <c r="P518" i="3"/>
  <c r="AJ503" i="3"/>
  <c r="Q513" i="3"/>
  <c r="Y505" i="3"/>
  <c r="AE513" i="3"/>
  <c r="R513" i="3"/>
  <c r="G511" i="3"/>
  <c r="X509" i="3"/>
  <c r="R502" i="3"/>
  <c r="AI518" i="3"/>
  <c r="Q514" i="3"/>
  <c r="K506" i="3"/>
  <c r="AG509" i="3"/>
  <c r="AL507" i="3"/>
  <c r="AL520" i="3"/>
  <c r="O527" i="3"/>
  <c r="AL525" i="3"/>
  <c r="Q525" i="3"/>
  <c r="R527" i="3"/>
  <c r="AA525" i="3"/>
  <c r="AD527" i="3"/>
  <c r="AD523" i="3"/>
  <c r="AC522" i="3"/>
  <c r="AA527" i="3"/>
  <c r="AD502" i="3"/>
  <c r="N552" i="3"/>
  <c r="L556" i="3"/>
  <c r="F553" i="3"/>
  <c r="AK541" i="3"/>
  <c r="J547" i="3"/>
  <c r="AC542" i="3"/>
  <c r="O537" i="3"/>
  <c r="J543" i="3"/>
  <c r="AD544" i="3"/>
  <c r="X534" i="3"/>
  <c r="Q547" i="3"/>
  <c r="O540" i="3"/>
  <c r="Q539" i="3"/>
  <c r="AD511" i="3"/>
  <c r="N515" i="3"/>
  <c r="AL514" i="3"/>
  <c r="P517" i="3"/>
  <c r="G510" i="3"/>
  <c r="AL518" i="3"/>
  <c r="AA512" i="3"/>
  <c r="AL512" i="3"/>
  <c r="AD513" i="3"/>
  <c r="AH511" i="3"/>
  <c r="AF518" i="3"/>
  <c r="M506" i="3"/>
  <c r="AK505" i="3"/>
  <c r="O519" i="3"/>
  <c r="K519" i="3"/>
  <c r="AB507" i="3"/>
  <c r="T508" i="3"/>
  <c r="Z527" i="3"/>
  <c r="M522" i="3"/>
  <c r="Y532" i="3"/>
  <c r="Y516" i="3"/>
  <c r="V502" i="3"/>
  <c r="U553" i="3"/>
  <c r="L551" i="3"/>
  <c r="X550" i="3"/>
  <c r="M552" i="3"/>
  <c r="AD552" i="3"/>
  <c r="U552" i="3"/>
  <c r="AF551" i="3"/>
  <c r="AK557" i="3"/>
  <c r="W557" i="3"/>
  <c r="AH553" i="3"/>
  <c r="S554" i="3"/>
  <c r="AK550" i="3"/>
  <c r="P557" i="3"/>
  <c r="AJ556" i="3"/>
  <c r="J555" i="3"/>
  <c r="AG543" i="3"/>
  <c r="W549" i="3"/>
  <c r="O547" i="3"/>
  <c r="K539" i="3"/>
  <c r="G548" i="3"/>
  <c r="I544" i="3"/>
  <c r="AP545" i="3"/>
  <c r="AG538" i="3"/>
  <c r="Z539" i="3"/>
  <c r="P544" i="3"/>
  <c r="O533" i="3"/>
  <c r="P545" i="3"/>
  <c r="AP546" i="3"/>
  <c r="AH536" i="3"/>
  <c r="W543" i="3"/>
  <c r="H538" i="3"/>
  <c r="S532" i="3"/>
  <c r="AJ548" i="3"/>
  <c r="Z548" i="3"/>
  <c r="AK540" i="3"/>
  <c r="AA539" i="3"/>
  <c r="AO538" i="3"/>
  <c r="AC544" i="3"/>
  <c r="W533" i="3"/>
  <c r="AN545" i="3"/>
  <c r="AE541" i="3"/>
  <c r="V533" i="3"/>
  <c r="AO537" i="3"/>
  <c r="AF547" i="3"/>
  <c r="V535" i="3"/>
  <c r="J542" i="3"/>
  <c r="H536" i="3"/>
  <c r="M534" i="3"/>
  <c r="F544" i="3"/>
  <c r="F533" i="3"/>
  <c r="Q546" i="3"/>
  <c r="AL504" i="3"/>
  <c r="AF511" i="3"/>
  <c r="AC509" i="3"/>
  <c r="Z507" i="3"/>
  <c r="S517" i="3"/>
  <c r="O514" i="3"/>
  <c r="G514" i="3"/>
  <c r="N508" i="3"/>
  <c r="N507" i="3"/>
  <c r="N519" i="3"/>
  <c r="AO513" i="3"/>
  <c r="AK512" i="3"/>
  <c r="AE518" i="3"/>
  <c r="Y508" i="3"/>
  <c r="U507" i="3"/>
  <c r="O517" i="3"/>
  <c r="I509" i="3"/>
  <c r="I517" i="3"/>
  <c r="M511" i="3"/>
  <c r="L513" i="3"/>
  <c r="N509" i="3"/>
  <c r="L517" i="3"/>
  <c r="AP503" i="3"/>
  <c r="AK515" i="3"/>
  <c r="AH518" i="3"/>
  <c r="AC503" i="3"/>
  <c r="Y506" i="3"/>
  <c r="S516" i="3"/>
  <c r="O504" i="3"/>
  <c r="G507" i="3"/>
  <c r="AG515" i="3"/>
  <c r="N517" i="3"/>
  <c r="AO506" i="3"/>
  <c r="AI512" i="3"/>
  <c r="AF510" i="3"/>
  <c r="AB514" i="3"/>
  <c r="V504" i="3"/>
  <c r="T516" i="3"/>
  <c r="F503" i="3"/>
  <c r="K517" i="3"/>
  <c r="AD509" i="3"/>
  <c r="F502" i="3"/>
  <c r="AO512" i="3"/>
  <c r="AH513" i="3"/>
  <c r="AD519" i="3"/>
  <c r="Z508" i="3"/>
  <c r="W503" i="3"/>
  <c r="R503" i="3"/>
  <c r="N502" i="3"/>
  <c r="AA513" i="3"/>
  <c r="K516" i="3"/>
  <c r="AN507" i="3"/>
  <c r="AK508" i="3"/>
  <c r="AE503" i="3"/>
  <c r="Z514" i="3"/>
  <c r="U504" i="3"/>
  <c r="R512" i="3"/>
  <c r="O515" i="3"/>
  <c r="N506" i="3"/>
  <c r="G502" i="3"/>
  <c r="L516" i="3"/>
  <c r="AP519" i="3"/>
  <c r="AN506" i="3"/>
  <c r="AH503" i="3"/>
  <c r="AC505" i="3"/>
  <c r="Z510" i="3"/>
  <c r="U514" i="3"/>
  <c r="H506" i="3"/>
  <c r="Q506" i="3"/>
  <c r="AO524" i="3"/>
  <c r="AE523" i="3"/>
  <c r="I523" i="3"/>
  <c r="AO525" i="3"/>
  <c r="S522" i="3"/>
  <c r="M523" i="3"/>
  <c r="AP521" i="3"/>
  <c r="AL521" i="3"/>
  <c r="F526" i="3"/>
  <c r="AN527" i="3"/>
  <c r="X521" i="3"/>
  <c r="AL523" i="3"/>
  <c r="Y526" i="3"/>
  <c r="F521" i="3"/>
  <c r="Z523" i="3"/>
  <c r="T522" i="3"/>
  <c r="AG521" i="3"/>
  <c r="AL502" i="3"/>
  <c r="K550" i="3"/>
  <c r="AA556" i="3"/>
  <c r="N532" i="3"/>
  <c r="U548" i="3"/>
  <c r="W538" i="3"/>
  <c r="AF540" i="3"/>
  <c r="T537" i="3"/>
  <c r="I540" i="3"/>
  <c r="AB515" i="3"/>
  <c r="S502" i="3"/>
  <c r="AA511" i="3"/>
  <c r="G508" i="3"/>
  <c r="K505" i="3"/>
  <c r="V511" i="3"/>
  <c r="AP508" i="3"/>
  <c r="V515" i="3"/>
  <c r="AM511" i="3"/>
  <c r="AK503" i="3"/>
  <c r="AC513" i="3"/>
  <c r="G509" i="3"/>
  <c r="X513" i="3"/>
  <c r="AB524" i="3"/>
  <c r="K523" i="3"/>
  <c r="Z526" i="3"/>
  <c r="AL524" i="3"/>
  <c r="AJ523" i="3"/>
  <c r="W527" i="3"/>
  <c r="AM522" i="3"/>
  <c r="AB536" i="3"/>
  <c r="I503" i="3"/>
  <c r="Y503" i="3"/>
  <c r="W532" i="3"/>
  <c r="W516" i="3"/>
  <c r="AO557" i="3"/>
  <c r="J556" i="3"/>
  <c r="AL556" i="3"/>
  <c r="T554" i="3"/>
  <c r="F550" i="3"/>
  <c r="AA555" i="3"/>
  <c r="I551" i="3"/>
  <c r="AB550" i="3"/>
  <c r="AI556" i="3"/>
  <c r="T550" i="3"/>
  <c r="AG554" i="3"/>
  <c r="S555" i="3"/>
  <c r="AH552" i="3"/>
  <c r="O550" i="3"/>
  <c r="AF554" i="3"/>
  <c r="AO533" i="3"/>
  <c r="AG547" i="3"/>
  <c r="W544" i="3"/>
  <c r="F536" i="3"/>
  <c r="M548" i="3"/>
  <c r="G546" i="3"/>
  <c r="U545" i="3"/>
  <c r="AN539" i="3"/>
  <c r="AF533" i="3"/>
  <c r="Z537" i="3"/>
  <c r="Q545" i="3"/>
  <c r="N543" i="3"/>
  <c r="H545" i="3"/>
  <c r="AO539" i="3"/>
  <c r="AG540" i="3"/>
  <c r="W541" i="3"/>
  <c r="K538" i="3"/>
  <c r="R542" i="3"/>
  <c r="AH549" i="3"/>
  <c r="X542" i="3"/>
  <c r="AI534" i="3"/>
  <c r="Z536" i="3"/>
  <c r="AM534" i="3"/>
  <c r="AB542" i="3"/>
  <c r="U536" i="3"/>
  <c r="AK536" i="3"/>
  <c r="AE536" i="3"/>
  <c r="U535" i="3"/>
  <c r="AN548" i="3"/>
  <c r="AC535" i="3"/>
  <c r="V539" i="3"/>
  <c r="J545" i="3"/>
  <c r="K545" i="3"/>
  <c r="P537" i="3"/>
  <c r="N549" i="3"/>
  <c r="I534" i="3"/>
  <c r="J533" i="3"/>
  <c r="AL506" i="3"/>
  <c r="AF519" i="3"/>
  <c r="AB504" i="3"/>
  <c r="Y509" i="3"/>
  <c r="R516" i="3"/>
  <c r="F504" i="3"/>
  <c r="I515" i="3"/>
  <c r="I507" i="3"/>
  <c r="H516" i="3"/>
  <c r="G503" i="3"/>
  <c r="AO503" i="3"/>
  <c r="AI505" i="3"/>
  <c r="AD507" i="3"/>
  <c r="X515" i="3"/>
  <c r="S515" i="3"/>
  <c r="O508" i="3"/>
  <c r="H513" i="3"/>
  <c r="G516" i="3"/>
  <c r="M509" i="3"/>
  <c r="T503" i="3"/>
  <c r="H503" i="3"/>
  <c r="M515" i="3"/>
  <c r="AP509" i="3"/>
  <c r="AJ513" i="3"/>
  <c r="AG507" i="3"/>
  <c r="AC518" i="3"/>
  <c r="X511" i="3"/>
  <c r="T518" i="3"/>
  <c r="F506" i="3"/>
  <c r="K515" i="3"/>
  <c r="AE512" i="3"/>
  <c r="H510" i="3"/>
  <c r="AM516" i="3"/>
  <c r="AI503" i="3"/>
  <c r="AF514" i="3"/>
  <c r="AB506" i="3"/>
  <c r="W511" i="3"/>
  <c r="T510" i="3"/>
  <c r="I514" i="3"/>
  <c r="AN511" i="3"/>
  <c r="AD518" i="3"/>
  <c r="J518" i="3"/>
  <c r="AO508" i="3"/>
  <c r="AH519" i="3"/>
  <c r="AC510" i="3"/>
  <c r="X512" i="3"/>
  <c r="T517" i="3"/>
  <c r="P502" i="3"/>
  <c r="AO517" i="3"/>
  <c r="Y518" i="3"/>
  <c r="AP517" i="3"/>
  <c r="AN503" i="3"/>
  <c r="AJ516" i="3"/>
  <c r="AD505" i="3"/>
  <c r="Z506" i="3"/>
  <c r="U503" i="3"/>
  <c r="R519" i="3"/>
  <c r="F509" i="3"/>
  <c r="I510" i="3"/>
  <c r="H505" i="3"/>
  <c r="L503" i="3"/>
  <c r="AP510" i="3"/>
  <c r="AM518" i="3"/>
  <c r="AH507" i="3"/>
  <c r="AC514" i="3"/>
  <c r="Z517" i="3"/>
  <c r="U506" i="3"/>
  <c r="AO519" i="3"/>
  <c r="AA517" i="3"/>
  <c r="P513" i="3"/>
  <c r="AO522" i="3"/>
  <c r="AJ526" i="3"/>
  <c r="AC520" i="3"/>
  <c r="U525" i="3"/>
  <c r="P520" i="3"/>
  <c r="L521" i="3"/>
  <c r="N520" i="3"/>
  <c r="I521" i="3"/>
  <c r="N523" i="3"/>
  <c r="AM527" i="3"/>
  <c r="AG526" i="3"/>
  <c r="X527" i="3"/>
  <c r="Q520" i="3"/>
  <c r="AC521" i="3"/>
  <c r="O524" i="3"/>
  <c r="W526" i="3"/>
  <c r="M524" i="3"/>
  <c r="AP527" i="3"/>
  <c r="H520" i="3"/>
  <c r="AN525" i="3"/>
  <c r="AD522" i="3"/>
  <c r="G520" i="3"/>
  <c r="M521" i="3"/>
  <c r="AK525" i="3"/>
  <c r="AF525" i="3"/>
  <c r="W522" i="3"/>
  <c r="AK527" i="3"/>
  <c r="AE527" i="3"/>
  <c r="Y521" i="3"/>
  <c r="N527" i="3"/>
  <c r="U526" i="3"/>
  <c r="AD524" i="3"/>
  <c r="X526" i="3"/>
  <c r="R522" i="3"/>
  <c r="AO521" i="3"/>
  <c r="AE526" i="3"/>
  <c r="W525" i="3"/>
  <c r="I550" i="3"/>
  <c r="AO556" i="3"/>
  <c r="O555" i="3"/>
  <c r="H556" i="3"/>
  <c r="AE540" i="3"/>
  <c r="R536" i="3"/>
  <c r="AD538" i="3"/>
  <c r="G538" i="3"/>
  <c r="AE543" i="3"/>
  <c r="AF548" i="3"/>
  <c r="W542" i="3"/>
  <c r="AP547" i="3"/>
  <c r="AK538" i="3"/>
  <c r="AB534" i="3"/>
  <c r="M532" i="3"/>
  <c r="O544" i="3"/>
  <c r="AE517" i="3"/>
  <c r="J503" i="3"/>
  <c r="G519" i="3"/>
  <c r="AH514" i="3"/>
  <c r="F516" i="3"/>
  <c r="P504" i="3"/>
  <c r="AL519" i="3"/>
  <c r="AB513" i="3"/>
  <c r="AO502" i="3"/>
  <c r="AL513" i="3"/>
  <c r="P508" i="3"/>
  <c r="W504" i="3"/>
  <c r="AB510" i="3"/>
  <c r="N504" i="3"/>
  <c r="AL515" i="3"/>
  <c r="X508" i="3"/>
  <c r="F508" i="3"/>
  <c r="AO507" i="3"/>
  <c r="AB518" i="3"/>
  <c r="H518" i="3"/>
  <c r="T524" i="3"/>
  <c r="I522" i="3"/>
  <c r="AE525" i="3"/>
  <c r="J522" i="3"/>
  <c r="M525" i="3"/>
  <c r="P521" i="3"/>
  <c r="U522" i="3"/>
  <c r="G525" i="3"/>
  <c r="Q527" i="3"/>
  <c r="AF532" i="3"/>
  <c r="L554" i="3"/>
  <c r="R555" i="3"/>
  <c r="AD553" i="3"/>
  <c r="X552" i="3"/>
  <c r="AA541" i="3"/>
  <c r="Q535" i="3"/>
  <c r="S546" i="3"/>
  <c r="AK543" i="3"/>
  <c r="AC533" i="3"/>
  <c r="T546" i="3"/>
  <c r="AH541" i="3"/>
  <c r="AA536" i="3"/>
  <c r="R543" i="3"/>
  <c r="AH510" i="3"/>
  <c r="P514" i="3"/>
  <c r="M502" i="3"/>
  <c r="AA508" i="3"/>
  <c r="I518" i="3"/>
  <c r="F511" i="3"/>
  <c r="AE507" i="3"/>
  <c r="F507" i="3"/>
  <c r="AK504" i="3"/>
  <c r="N512" i="3"/>
  <c r="M513" i="3"/>
  <c r="V519" i="3"/>
  <c r="AI510" i="3"/>
  <c r="AG512" i="3"/>
  <c r="T502" i="3"/>
  <c r="F519" i="3"/>
  <c r="X510" i="3"/>
  <c r="M519" i="3"/>
  <c r="S521" i="3"/>
  <c r="L527" i="3"/>
  <c r="AN546" i="3"/>
  <c r="X532" i="3"/>
  <c r="U516" i="3"/>
  <c r="AM553" i="3"/>
  <c r="N553" i="3"/>
  <c r="AN554" i="3"/>
  <c r="P554" i="3"/>
  <c r="K555" i="3"/>
  <c r="X557" i="3"/>
  <c r="K556" i="3"/>
  <c r="V554" i="3"/>
  <c r="AH557" i="3"/>
  <c r="S553" i="3"/>
  <c r="AF555" i="3"/>
  <c r="P555" i="3"/>
  <c r="AE556" i="3"/>
  <c r="J550" i="3"/>
  <c r="AB551" i="3"/>
  <c r="AN534" i="3"/>
  <c r="AG545" i="3"/>
  <c r="W545" i="3"/>
  <c r="J537" i="3"/>
  <c r="M538" i="3"/>
  <c r="L548" i="3"/>
  <c r="Q538" i="3"/>
  <c r="AM543" i="3"/>
  <c r="AF538" i="3"/>
  <c r="X541" i="3"/>
  <c r="F543" i="3"/>
  <c r="I539" i="3"/>
  <c r="L547" i="3"/>
  <c r="AO546" i="3"/>
  <c r="AF536" i="3"/>
  <c r="W540" i="3"/>
  <c r="L539" i="3"/>
  <c r="J538" i="3"/>
  <c r="AH548" i="3"/>
  <c r="O548" i="3"/>
  <c r="AG542" i="3"/>
  <c r="W535" i="3"/>
  <c r="AN540" i="3"/>
  <c r="AB549" i="3"/>
  <c r="S543" i="3"/>
  <c r="AK533" i="3"/>
  <c r="AD539" i="3"/>
  <c r="S537" i="3"/>
  <c r="AM548" i="3"/>
  <c r="AC541" i="3"/>
  <c r="S542" i="3"/>
  <c r="N536" i="3"/>
  <c r="K547" i="3"/>
  <c r="I536" i="3"/>
  <c r="H549" i="3"/>
  <c r="R540" i="3"/>
  <c r="L545" i="3"/>
  <c r="AJ512" i="3"/>
  <c r="AF508" i="3"/>
  <c r="AB503" i="3"/>
  <c r="X519" i="3"/>
  <c r="P507" i="3"/>
  <c r="J509" i="3"/>
  <c r="K507" i="3"/>
  <c r="L504" i="3"/>
  <c r="H502" i="3"/>
  <c r="G515" i="3"/>
  <c r="AM519" i="3"/>
  <c r="AI511" i="3"/>
  <c r="AA505" i="3"/>
  <c r="V512" i="3"/>
  <c r="T511" i="3"/>
  <c r="F514" i="3"/>
  <c r="I505" i="3"/>
  <c r="K513" i="3"/>
  <c r="M512" i="3"/>
  <c r="R508" i="3"/>
  <c r="I519" i="3"/>
  <c r="L502" i="3"/>
  <c r="AP507" i="3"/>
  <c r="AJ504" i="3"/>
  <c r="AF503" i="3"/>
  <c r="AC506" i="3"/>
  <c r="X506" i="3"/>
  <c r="T506" i="3"/>
  <c r="P506" i="3"/>
  <c r="L507" i="3"/>
  <c r="AD515" i="3"/>
  <c r="M518" i="3"/>
  <c r="AM514" i="3"/>
  <c r="AI519" i="3"/>
  <c r="AF506" i="3"/>
  <c r="AA518" i="3"/>
  <c r="W510" i="3"/>
  <c r="S514" i="3"/>
  <c r="R507" i="3"/>
  <c r="AM508" i="3"/>
  <c r="X507" i="3"/>
  <c r="H509" i="3"/>
  <c r="AM512" i="3"/>
  <c r="AH509" i="3"/>
  <c r="AB505" i="3"/>
  <c r="X503" i="3"/>
  <c r="T509" i="3"/>
  <c r="R509" i="3"/>
  <c r="AL505" i="3"/>
  <c r="T515" i="3"/>
  <c r="AP514" i="3"/>
  <c r="AN515" i="3"/>
  <c r="AI504" i="3"/>
  <c r="AD510" i="3"/>
  <c r="Y514" i="3"/>
  <c r="U508" i="3"/>
  <c r="R511" i="3"/>
  <c r="F517" i="3"/>
  <c r="H511" i="3"/>
  <c r="H519" i="3"/>
  <c r="M504" i="3"/>
  <c r="AP502" i="3"/>
  <c r="AM509" i="3"/>
  <c r="AG504" i="3"/>
  <c r="AB512" i="3"/>
  <c r="Y507" i="3"/>
  <c r="S508" i="3"/>
  <c r="AN504" i="3"/>
  <c r="Y517" i="3"/>
  <c r="O509" i="3"/>
  <c r="AL527" i="3"/>
  <c r="AJ525" i="3"/>
  <c r="AB521" i="3"/>
  <c r="T521" i="3"/>
  <c r="O521" i="3"/>
  <c r="AB527" i="3"/>
  <c r="G527" i="3"/>
  <c r="G524" i="3"/>
  <c r="G523" i="3"/>
  <c r="AM526" i="3"/>
  <c r="AE521" i="3"/>
  <c r="W521" i="3"/>
  <c r="R525" i="3"/>
  <c r="AA522" i="3"/>
  <c r="F524" i="3"/>
  <c r="S523" i="3"/>
  <c r="Q523" i="3"/>
  <c r="AM520" i="3"/>
  <c r="L526" i="3"/>
  <c r="AM521" i="3"/>
  <c r="AC523" i="3"/>
  <c r="K525" i="3"/>
  <c r="AP526" i="3"/>
  <c r="AJ527" i="3"/>
  <c r="AE524" i="3"/>
  <c r="V524" i="3"/>
  <c r="AI521" i="3"/>
  <c r="AE522" i="3"/>
  <c r="X524" i="3"/>
  <c r="H521" i="3"/>
  <c r="N521" i="3"/>
  <c r="AD520" i="3"/>
  <c r="V526" i="3"/>
  <c r="P525" i="3"/>
  <c r="AM523" i="3"/>
  <c r="AD526" i="3"/>
  <c r="V522" i="3"/>
  <c r="Z546" i="3"/>
  <c r="AJ532" i="3"/>
  <c r="AM552" i="3"/>
  <c r="Q556" i="3"/>
  <c r="W556" i="3"/>
  <c r="AG557" i="3"/>
  <c r="R554" i="3"/>
  <c r="AN541" i="3"/>
  <c r="X544" i="3"/>
  <c r="AN544" i="3"/>
  <c r="P538" i="3"/>
  <c r="X539" i="3"/>
  <c r="AO548" i="3"/>
  <c r="Z549" i="3"/>
  <c r="AC545" i="3"/>
  <c r="R544" i="3"/>
  <c r="G544" i="3"/>
  <c r="AP511" i="3"/>
  <c r="X517" i="3"/>
  <c r="K512" i="3"/>
  <c r="AL510" i="3"/>
  <c r="W519" i="3"/>
  <c r="K503" i="3"/>
  <c r="M516" i="3"/>
  <c r="AF507" i="3"/>
  <c r="J510" i="3"/>
  <c r="AI514" i="3"/>
  <c r="AA519" i="3"/>
  <c r="AK519" i="3"/>
  <c r="AH508" i="3"/>
  <c r="S505" i="3"/>
  <c r="AO518" i="3"/>
  <c r="T512" i="3"/>
  <c r="I511" i="3"/>
  <c r="AJ511" i="3"/>
  <c r="S511" i="3"/>
  <c r="X505" i="3"/>
  <c r="AI524" i="3"/>
  <c r="AB526" i="3"/>
  <c r="J521" i="3"/>
  <c r="V527" i="3"/>
  <c r="J520" i="3"/>
  <c r="AK522" i="3"/>
  <c r="AP522" i="3"/>
  <c r="AI526" i="3"/>
  <c r="H526" i="3"/>
  <c r="V525" i="3"/>
  <c r="U523" i="3"/>
  <c r="AF553" i="3"/>
  <c r="AP552" i="3"/>
  <c r="Y555" i="3"/>
  <c r="U555" i="3"/>
  <c r="H539" i="3"/>
  <c r="AJ540" i="3"/>
  <c r="I537" i="3"/>
  <c r="U537" i="3"/>
  <c r="AM546" i="3"/>
  <c r="AM536" i="3"/>
  <c r="AI546" i="3"/>
  <c r="H535" i="3"/>
  <c r="AP515" i="3"/>
  <c r="U518" i="3"/>
  <c r="O503" i="3"/>
  <c r="V506" i="3"/>
  <c r="N505" i="3"/>
  <c r="O502" i="3"/>
  <c r="AJ506" i="3"/>
  <c r="Q510" i="3"/>
  <c r="AO511" i="3"/>
  <c r="U510" i="3"/>
  <c r="S503" i="3"/>
  <c r="Z513" i="3"/>
  <c r="F512" i="3"/>
  <c r="AA504" i="3"/>
  <c r="J502" i="3"/>
  <c r="AM504" i="3"/>
  <c r="R510" i="3"/>
  <c r="AL526" i="3"/>
  <c r="F522" i="3"/>
  <c r="G521" i="3"/>
  <c r="AE546" i="3"/>
  <c r="AI532" i="3"/>
  <c r="AE502" i="3"/>
  <c r="AG556" i="3"/>
  <c r="I557" i="3"/>
  <c r="AF550" i="3"/>
  <c r="F551" i="3"/>
  <c r="AL555" i="3"/>
  <c r="S552" i="3"/>
  <c r="AP556" i="3"/>
  <c r="G554" i="3"/>
  <c r="AF552" i="3"/>
  <c r="N550" i="3"/>
  <c r="AC557" i="3"/>
  <c r="Q553" i="3"/>
  <c r="Y550" i="3"/>
  <c r="AP550" i="3"/>
  <c r="Z557" i="3"/>
  <c r="AM537" i="3"/>
  <c r="AC537" i="3"/>
  <c r="T549" i="3"/>
  <c r="I533" i="3"/>
  <c r="P542" i="3"/>
  <c r="T539" i="3"/>
  <c r="J549" i="3"/>
  <c r="AK545" i="3"/>
  <c r="AD541" i="3"/>
  <c r="T543" i="3"/>
  <c r="N547" i="3"/>
  <c r="M539" i="3"/>
  <c r="O535" i="3"/>
  <c r="AM545" i="3"/>
  <c r="AD543" i="3"/>
  <c r="U541" i="3"/>
  <c r="T544" i="3"/>
  <c r="AP548" i="3"/>
  <c r="AE537" i="3"/>
  <c r="AL541" i="3"/>
  <c r="AE535" i="3"/>
  <c r="V545" i="3"/>
  <c r="AH535" i="3"/>
  <c r="Z547" i="3"/>
  <c r="AO549" i="3"/>
  <c r="AI543" i="3"/>
  <c r="AA547" i="3"/>
  <c r="R547" i="3"/>
  <c r="AJ549" i="3"/>
  <c r="AB537" i="3"/>
  <c r="N542" i="3"/>
  <c r="R539" i="3"/>
  <c r="I538" i="3"/>
  <c r="L540" i="3"/>
  <c r="L532" i="3"/>
  <c r="J546" i="3"/>
  <c r="AP506" i="3"/>
  <c r="AJ515" i="3"/>
  <c r="AD503" i="3"/>
  <c r="AA514" i="3"/>
  <c r="V505" i="3"/>
  <c r="Q518" i="3"/>
  <c r="N513" i="3"/>
  <c r="K511" i="3"/>
  <c r="P516" i="3"/>
  <c r="L508" i="3"/>
  <c r="V514" i="3"/>
  <c r="AM515" i="3"/>
  <c r="AG513" i="3"/>
  <c r="AA510" i="3"/>
  <c r="W514" i="3"/>
  <c r="P511" i="3"/>
  <c r="J515" i="3"/>
  <c r="H508" i="3"/>
  <c r="K502" i="3"/>
  <c r="J506" i="3"/>
  <c r="O513" i="3"/>
  <c r="M503" i="3"/>
  <c r="M514" i="3"/>
  <c r="AL508" i="3"/>
  <c r="AJ509" i="3"/>
  <c r="AE509" i="3"/>
  <c r="AB517" i="3"/>
  <c r="W509" i="3"/>
  <c r="R504" i="3"/>
  <c r="I516" i="3"/>
  <c r="AM507" i="3"/>
  <c r="T519" i="3"/>
  <c r="AO505" i="3"/>
  <c r="AK513" i="3"/>
  <c r="AI506" i="3"/>
  <c r="AE519" i="3"/>
  <c r="AA507" i="3"/>
  <c r="U511" i="3"/>
  <c r="Q508" i="3"/>
  <c r="Q504" i="3"/>
  <c r="AK516" i="3"/>
  <c r="U505" i="3"/>
  <c r="L511" i="3"/>
  <c r="AM503" i="3"/>
  <c r="AF504" i="3"/>
  <c r="AB508" i="3"/>
  <c r="X514" i="3"/>
  <c r="T514" i="3"/>
  <c r="L512" i="3"/>
  <c r="AJ507" i="3"/>
  <c r="Q507" i="3"/>
  <c r="AL503" i="3"/>
  <c r="AK514" i="3"/>
  <c r="AI517" i="3"/>
  <c r="AC515" i="3"/>
  <c r="W505" i="3"/>
  <c r="S507" i="3"/>
  <c r="O505" i="3"/>
  <c r="J512" i="3"/>
  <c r="H517" i="3"/>
  <c r="G517" i="3"/>
  <c r="W515" i="3"/>
  <c r="AN513" i="3"/>
  <c r="AI509" i="3"/>
  <c r="AF513" i="3"/>
  <c r="AB519" i="3"/>
  <c r="X504" i="3"/>
  <c r="S513" i="3"/>
  <c r="AI513" i="3"/>
  <c r="V503" i="3"/>
  <c r="I512" i="3"/>
  <c r="AM525" i="3"/>
  <c r="AH526" i="3"/>
  <c r="Z520" i="3"/>
  <c r="T525" i="3"/>
  <c r="F525" i="3"/>
  <c r="Y524" i="3"/>
  <c r="L523" i="3"/>
  <c r="K527" i="3"/>
  <c r="I520" i="3"/>
  <c r="AL522" i="3"/>
  <c r="AD521" i="3"/>
  <c r="V523" i="3"/>
  <c r="O526" i="3"/>
  <c r="Z524" i="3"/>
  <c r="N525" i="3"/>
  <c r="R521" i="3"/>
  <c r="N524" i="3"/>
  <c r="AK526" i="3"/>
  <c r="I527" i="3"/>
  <c r="AK523" i="3"/>
  <c r="Z522" i="3"/>
  <c r="L525" i="3"/>
  <c r="AO520" i="3"/>
  <c r="AI523" i="3"/>
  <c r="AC526" i="3"/>
  <c r="R520" i="3"/>
  <c r="AI525" i="3"/>
  <c r="AB522" i="3"/>
  <c r="T527" i="3"/>
  <c r="I525" i="3"/>
  <c r="AP523" i="3"/>
  <c r="AC527" i="3"/>
  <c r="S520" i="3"/>
  <c r="R524" i="3"/>
  <c r="AK520" i="3"/>
  <c r="AA526" i="3"/>
  <c r="T526" i="3"/>
  <c r="W546" i="3"/>
  <c r="AE555" i="3"/>
  <c r="AK552" i="3"/>
  <c r="G550" i="3"/>
  <c r="AP555" i="3"/>
  <c r="T545" i="3"/>
  <c r="H546" i="3"/>
  <c r="Y536" i="3"/>
  <c r="AM541" i="3"/>
  <c r="AH538" i="3"/>
  <c r="AA545" i="3"/>
  <c r="J539" i="3"/>
  <c r="I545" i="3"/>
  <c r="AA506" i="3"/>
  <c r="L515" i="3"/>
  <c r="AG519" i="3"/>
  <c r="L509" i="3"/>
  <c r="I502" i="3"/>
  <c r="U509" i="3"/>
  <c r="P519" i="3"/>
  <c r="AH506" i="3"/>
  <c r="Q516" i="3"/>
  <c r="AM517" i="3"/>
  <c r="R515" i="3"/>
  <c r="AM506" i="3"/>
  <c r="W512" i="3"/>
  <c r="I504" i="3"/>
  <c r="AI507" i="3"/>
  <c r="AH517" i="3"/>
  <c r="AH524" i="3"/>
  <c r="S527" i="3"/>
  <c r="N516" i="3"/>
  <c r="Z551" i="3"/>
  <c r="V556" i="3"/>
  <c r="I542" i="3"/>
  <c r="X533" i="3"/>
  <c r="AL543" i="3"/>
  <c r="P543" i="3"/>
  <c r="K537" i="3"/>
  <c r="M507" i="3"/>
  <c r="Q503" i="3"/>
  <c r="AM513" i="3"/>
  <c r="P505" i="3"/>
  <c r="F510" i="3"/>
  <c r="Q505" i="3"/>
  <c r="V517" i="3"/>
  <c r="AI516" i="3"/>
  <c r="AP520" i="3"/>
  <c r="Q524" i="3"/>
  <c r="F527" i="3"/>
  <c r="H522" i="3"/>
  <c r="U521" i="3"/>
  <c r="AB520" i="3"/>
  <c r="P527" i="3"/>
  <c r="S524" i="3"/>
  <c r="K521" i="3"/>
  <c r="AI527" i="3"/>
  <c r="N537" i="3"/>
  <c r="Q526" i="3"/>
  <c r="AC525" i="3"/>
  <c r="AB535" i="3"/>
  <c r="AK506" i="3"/>
  <c r="S518" i="3"/>
  <c r="AH525" i="3"/>
  <c r="Y520" i="3"/>
  <c r="K552" i="3"/>
  <c r="AO551" i="3"/>
  <c r="J544" i="3"/>
  <c r="N538" i="3"/>
  <c r="AC543" i="3"/>
  <c r="AH537" i="3"/>
  <c r="AN519" i="3"/>
  <c r="O507" i="3"/>
  <c r="N510" i="3"/>
  <c r="AI508" i="3"/>
  <c r="AO509" i="3"/>
  <c r="AG503" i="3"/>
  <c r="U517" i="3"/>
  <c r="R517" i="3"/>
  <c r="AF512" i="3"/>
  <c r="AN524" i="3"/>
  <c r="L524" i="3"/>
  <c r="J526" i="3"/>
  <c r="O520" i="3"/>
  <c r="U524" i="3"/>
  <c r="Y525" i="3"/>
  <c r="R526" i="3"/>
  <c r="S526" i="3"/>
  <c r="AJ539" i="3"/>
  <c r="AN508" i="3"/>
  <c r="AD525" i="3"/>
  <c r="AO523" i="3"/>
  <c r="AN520" i="3"/>
  <c r="AK548" i="3"/>
  <c r="G545" i="3"/>
  <c r="S512" i="3"/>
  <c r="O516" i="3"/>
  <c r="AF515" i="3"/>
  <c r="J517" i="3"/>
  <c r="G522" i="3"/>
  <c r="AG527" i="3"/>
  <c r="Y541" i="3"/>
  <c r="AM535" i="3"/>
  <c r="Y512" i="3"/>
  <c r="Z504" i="3"/>
  <c r="K509" i="3"/>
  <c r="F523" i="3"/>
  <c r="AA521" i="3"/>
  <c r="R532" i="3"/>
  <c r="Y548" i="3"/>
  <c r="M508" i="3"/>
  <c r="AA503" i="3"/>
  <c r="U520" i="3"/>
  <c r="AA524" i="3"/>
  <c r="AH555" i="3"/>
  <c r="V550" i="3"/>
  <c r="P540" i="3"/>
  <c r="AI542" i="3"/>
  <c r="O546" i="3"/>
  <c r="Y543" i="3"/>
  <c r="AG508" i="3"/>
  <c r="F505" i="3"/>
  <c r="G518" i="3"/>
  <c r="AD508" i="3"/>
  <c r="AK509" i="3"/>
  <c r="R505" i="3"/>
  <c r="AC517" i="3"/>
  <c r="O518" i="3"/>
  <c r="AF517" i="3"/>
  <c r="AG523" i="3"/>
  <c r="AK521" i="3"/>
  <c r="X520" i="3"/>
  <c r="AH521" i="3"/>
  <c r="M526" i="3"/>
  <c r="L522" i="3"/>
  <c r="K524" i="3"/>
  <c r="P523" i="3"/>
  <c r="S551" i="3"/>
  <c r="AJ517" i="3"/>
  <c r="Q521" i="3"/>
  <c r="L520" i="3"/>
  <c r="AJ522" i="3"/>
  <c r="M550" i="3"/>
  <c r="AL547" i="3"/>
  <c r="AG517" i="3"/>
  <c r="Y515" i="3"/>
  <c r="K518" i="3"/>
  <c r="AC524" i="3"/>
  <c r="AN521" i="3"/>
  <c r="AB552" i="3"/>
  <c r="AH547" i="3"/>
  <c r="H515" i="3"/>
  <c r="U515" i="3"/>
  <c r="AG506" i="3"/>
  <c r="AJ524" i="3"/>
  <c r="Z525" i="3"/>
  <c r="L550" i="3"/>
  <c r="Q548" i="3"/>
  <c r="G513" i="3"/>
  <c r="X523" i="3"/>
  <c r="AG524" i="3"/>
  <c r="AG546" i="3"/>
  <c r="R551" i="3"/>
  <c r="AO552" i="3"/>
  <c r="H534" i="3"/>
  <c r="AA549" i="3"/>
  <c r="AF542" i="3"/>
  <c r="G532" i="3"/>
  <c r="AC519" i="3"/>
  <c r="M517" i="3"/>
  <c r="L518" i="3"/>
  <c r="Z512" i="3"/>
  <c r="AG505" i="3"/>
  <c r="AP504" i="3"/>
  <c r="N503" i="3"/>
  <c r="J516" i="3"/>
  <c r="Z505" i="3"/>
  <c r="Y522" i="3"/>
  <c r="AI520" i="3"/>
  <c r="X525" i="3"/>
  <c r="AF520" i="3"/>
  <c r="U527" i="3"/>
  <c r="AN523" i="3"/>
  <c r="K520" i="3"/>
  <c r="O523" i="3"/>
  <c r="AN516" i="3"/>
  <c r="AN552" i="3"/>
  <c r="P541" i="3"/>
  <c r="V548" i="3"/>
  <c r="F534" i="3"/>
  <c r="Z511" i="3"/>
  <c r="AM510" i="3"/>
  <c r="H514" i="3"/>
  <c r="T513" i="3"/>
  <c r="AC504" i="3"/>
  <c r="I513" i="3"/>
  <c r="V508" i="3"/>
  <c r="H523" i="3"/>
  <c r="AH527" i="3"/>
  <c r="Y502" i="3"/>
  <c r="AB543" i="3"/>
  <c r="G539" i="3"/>
  <c r="Q515" i="3"/>
  <c r="AK510" i="3"/>
  <c r="J524" i="3"/>
  <c r="AO526" i="3"/>
  <c r="AJ520" i="3"/>
  <c r="AD551" i="3"/>
  <c r="Q543" i="3"/>
  <c r="P509" i="3"/>
  <c r="V509" i="3"/>
  <c r="AG518" i="3"/>
  <c r="V521" i="3"/>
  <c r="AH523" i="3"/>
  <c r="AN550" i="3"/>
  <c r="L534" i="3"/>
  <c r="W507" i="3"/>
  <c r="V518" i="3"/>
  <c r="AN510" i="3"/>
  <c r="H524" i="3"/>
  <c r="AB525" i="3"/>
  <c r="J359" i="3" l="1"/>
  <c r="J350" i="3"/>
  <c r="J358" i="3"/>
  <c r="J355" i="3"/>
  <c r="J386" i="3" s="1"/>
  <c r="J347" i="3"/>
  <c r="J378" i="3" s="1"/>
  <c r="J351" i="3"/>
  <c r="J344" i="3"/>
  <c r="J375" i="3" s="1"/>
  <c r="J340" i="3"/>
  <c r="J371" i="3" s="1"/>
  <c r="J365" i="3"/>
  <c r="J362" i="3"/>
  <c r="J363" i="3"/>
  <c r="J346" i="3"/>
  <c r="J352" i="3"/>
  <c r="J383" i="3" s="1"/>
  <c r="J343" i="3"/>
  <c r="J345" i="3"/>
  <c r="J353" i="3"/>
  <c r="J384" i="3" s="1"/>
  <c r="J361" i="3"/>
  <c r="J354" i="3"/>
  <c r="J341" i="3"/>
  <c r="J357" i="3"/>
  <c r="J360" i="3"/>
  <c r="J349" i="3"/>
  <c r="J342" i="3"/>
  <c r="J373" i="3" s="1"/>
  <c r="J348" i="3"/>
  <c r="J379" i="3" s="1"/>
  <c r="J364" i="3"/>
  <c r="J356" i="3"/>
  <c r="N365" i="3"/>
  <c r="N340" i="3"/>
  <c r="N371" i="3" s="1"/>
  <c r="N343" i="3"/>
  <c r="N374" i="3" s="1"/>
  <c r="N346" i="3"/>
  <c r="N361" i="3"/>
  <c r="N357" i="3"/>
  <c r="N388" i="3" s="1"/>
  <c r="N362" i="3"/>
  <c r="N364" i="3"/>
  <c r="N344" i="3"/>
  <c r="N351" i="3"/>
  <c r="N354" i="3"/>
  <c r="N385" i="3" s="1"/>
  <c r="N363" i="3"/>
  <c r="N352" i="3"/>
  <c r="N383" i="3" s="1"/>
  <c r="N358" i="3"/>
  <c r="N342" i="3"/>
  <c r="N349" i="3"/>
  <c r="N360" i="3"/>
  <c r="N355" i="3"/>
  <c r="N350" i="3"/>
  <c r="N381" i="3" s="1"/>
  <c r="N356" i="3"/>
  <c r="N345" i="3"/>
  <c r="N341" i="3"/>
  <c r="N372" i="3" s="1"/>
  <c r="N353" i="3"/>
  <c r="N359" i="3"/>
  <c r="N348" i="3"/>
  <c r="N347" i="3"/>
  <c r="N378" i="3" s="1"/>
  <c r="F362" i="3"/>
  <c r="F350" i="3"/>
  <c r="F341" i="3"/>
  <c r="F372" i="3" s="1"/>
  <c r="F347" i="3"/>
  <c r="F378" i="3" s="1"/>
  <c r="F363" i="3"/>
  <c r="F345" i="3"/>
  <c r="F351" i="3"/>
  <c r="F382" i="3" s="1"/>
  <c r="F349" i="3"/>
  <c r="F380" i="3" s="1"/>
  <c r="F365" i="3"/>
  <c r="F356" i="3"/>
  <c r="F346" i="3"/>
  <c r="F377" i="3" s="1"/>
  <c r="F359" i="3"/>
  <c r="F352" i="3"/>
  <c r="F358" i="3"/>
  <c r="F354" i="3"/>
  <c r="F385" i="3" s="1"/>
  <c r="F340" i="3"/>
  <c r="F353" i="3"/>
  <c r="F384" i="3" s="1"/>
  <c r="F355" i="3"/>
  <c r="F342" i="3"/>
  <c r="F364" i="3"/>
  <c r="F357" i="3"/>
  <c r="F360" i="3"/>
  <c r="F343" i="3"/>
  <c r="F344" i="3"/>
  <c r="F348" i="3"/>
  <c r="F379" i="3" s="1"/>
  <c r="F361" i="3"/>
  <c r="F373" i="3"/>
  <c r="F43" i="3"/>
  <c r="F35" i="3"/>
  <c r="F27" i="3"/>
  <c r="F42" i="3"/>
  <c r="F34" i="3"/>
  <c r="F26" i="3"/>
  <c r="F49" i="3"/>
  <c r="F41" i="3"/>
  <c r="F33" i="3"/>
  <c r="F25" i="3"/>
  <c r="F48" i="3"/>
  <c r="F40" i="3"/>
  <c r="F32" i="3"/>
  <c r="F24" i="3"/>
  <c r="F47" i="3"/>
  <c r="F39" i="3"/>
  <c r="F31" i="3"/>
  <c r="F46" i="3"/>
  <c r="F38" i="3"/>
  <c r="F30" i="3"/>
  <c r="F45" i="3"/>
  <c r="F37" i="3"/>
  <c r="F29" i="3"/>
  <c r="F44" i="3"/>
  <c r="F36" i="3"/>
  <c r="F28" i="3"/>
  <c r="AE340" i="3"/>
  <c r="AE371" i="3" s="1"/>
  <c r="AE345" i="3"/>
  <c r="AE376" i="3" s="1"/>
  <c r="AE343" i="3"/>
  <c r="AE374" i="3" s="1"/>
  <c r="AE349" i="3"/>
  <c r="AE380" i="3" s="1"/>
  <c r="AE365" i="3"/>
  <c r="AE342" i="3"/>
  <c r="AE373" i="3" s="1"/>
  <c r="AE353" i="3"/>
  <c r="AE384" i="3" s="1"/>
  <c r="AE344" i="3"/>
  <c r="AE375" i="3" s="1"/>
  <c r="AE348" i="3"/>
  <c r="AE379" i="3" s="1"/>
  <c r="AE361" i="3"/>
  <c r="AE357" i="3"/>
  <c r="AE388" i="3" s="1"/>
  <c r="AE341" i="3"/>
  <c r="AE372" i="3" s="1"/>
  <c r="AE359" i="3"/>
  <c r="AE358" i="3"/>
  <c r="AE346" i="3"/>
  <c r="AE377" i="3" s="1"/>
  <c r="AE360" i="3"/>
  <c r="AE351" i="3"/>
  <c r="AE382" i="3" s="1"/>
  <c r="AE356" i="3"/>
  <c r="AE387" i="3" s="1"/>
  <c r="AE362" i="3"/>
  <c r="AE352" i="3"/>
  <c r="AE383" i="3" s="1"/>
  <c r="AE355" i="3"/>
  <c r="AE386" i="3" s="1"/>
  <c r="AE363" i="3"/>
  <c r="AE354" i="3"/>
  <c r="AE350" i="3"/>
  <c r="AE381" i="3" s="1"/>
  <c r="AE364" i="3"/>
  <c r="AE347" i="3"/>
  <c r="AE378" i="3" s="1"/>
  <c r="AK358" i="3"/>
  <c r="AK357" i="3"/>
  <c r="AK388" i="3" s="1"/>
  <c r="AK363" i="3"/>
  <c r="AK361" i="3"/>
  <c r="AK355" i="3"/>
  <c r="AK386" i="3" s="1"/>
  <c r="AK356" i="3"/>
  <c r="AK387" i="3" s="1"/>
  <c r="AK365" i="3"/>
  <c r="AK352" i="3"/>
  <c r="AK383" i="3" s="1"/>
  <c r="AK347" i="3"/>
  <c r="AK378" i="3" s="1"/>
  <c r="AK345" i="3"/>
  <c r="AK376" i="3" s="1"/>
  <c r="AK349" i="3"/>
  <c r="AK380" i="3" s="1"/>
  <c r="AK359" i="3"/>
  <c r="AK343" i="3"/>
  <c r="AK374" i="3" s="1"/>
  <c r="AK344" i="3"/>
  <c r="AK375" i="3" s="1"/>
  <c r="AK342" i="3"/>
  <c r="AK373" i="3" s="1"/>
  <c r="AK348" i="3"/>
  <c r="AK379" i="3" s="1"/>
  <c r="AK354" i="3"/>
  <c r="AK385" i="3" s="1"/>
  <c r="AK340" i="3"/>
  <c r="AK371" i="3" s="1"/>
  <c r="AK362" i="3"/>
  <c r="AK364" i="3"/>
  <c r="AK351" i="3"/>
  <c r="AK382" i="3" s="1"/>
  <c r="AK353" i="3"/>
  <c r="AK384" i="3" s="1"/>
  <c r="AK360" i="3"/>
  <c r="AK350" i="3"/>
  <c r="AK381" i="3" s="1"/>
  <c r="AK341" i="3"/>
  <c r="AK372" i="3" s="1"/>
  <c r="AK346" i="3"/>
  <c r="AK377" i="3" s="1"/>
  <c r="AL349" i="3"/>
  <c r="AL380" i="3" s="1"/>
  <c r="AL359" i="3"/>
  <c r="AL362" i="3"/>
  <c r="AL340" i="3"/>
  <c r="AL371" i="3" s="1"/>
  <c r="AL364" i="3"/>
  <c r="AL351" i="3"/>
  <c r="AL382" i="3" s="1"/>
  <c r="AL348" i="3"/>
  <c r="AL379" i="3" s="1"/>
  <c r="AL350" i="3"/>
  <c r="AL381" i="3" s="1"/>
  <c r="AL360" i="3"/>
  <c r="AL353" i="3"/>
  <c r="AL384" i="3" s="1"/>
  <c r="AL357" i="3"/>
  <c r="AL388" i="3" s="1"/>
  <c r="AL343" i="3"/>
  <c r="AL374" i="3" s="1"/>
  <c r="AL345" i="3"/>
  <c r="AL376" i="3" s="1"/>
  <c r="AL341" i="3"/>
  <c r="AL372" i="3" s="1"/>
  <c r="AL346" i="3"/>
  <c r="AL377" i="3" s="1"/>
  <c r="AL344" i="3"/>
  <c r="AL375" i="3" s="1"/>
  <c r="AL342" i="3"/>
  <c r="AL373" i="3" s="1"/>
  <c r="AL354" i="3"/>
  <c r="AL385" i="3" s="1"/>
  <c r="AL365" i="3"/>
  <c r="AL355" i="3"/>
  <c r="AL386" i="3" s="1"/>
  <c r="AL363" i="3"/>
  <c r="AL356" i="3"/>
  <c r="AL387" i="3" s="1"/>
  <c r="AL358" i="3"/>
  <c r="AL361" i="3"/>
  <c r="AL347" i="3"/>
  <c r="AL378" i="3" s="1"/>
  <c r="AL352" i="3"/>
  <c r="AL383" i="3" s="1"/>
  <c r="AB360" i="3"/>
  <c r="AB351" i="3"/>
  <c r="AB382" i="3" s="1"/>
  <c r="AB362" i="3"/>
  <c r="AB350" i="3"/>
  <c r="AB381" i="3" s="1"/>
  <c r="AB347" i="3"/>
  <c r="AB378" i="3" s="1"/>
  <c r="AB341" i="3"/>
  <c r="AB372" i="3" s="1"/>
  <c r="AB361" i="3"/>
  <c r="AB340" i="3"/>
  <c r="AB371" i="3" s="1"/>
  <c r="AB344" i="3"/>
  <c r="AB375" i="3" s="1"/>
  <c r="AB356" i="3"/>
  <c r="AB387" i="3" s="1"/>
  <c r="AB353" i="3"/>
  <c r="AB384" i="3" s="1"/>
  <c r="AB345" i="3"/>
  <c r="AB376" i="3" s="1"/>
  <c r="AB346" i="3"/>
  <c r="AB377" i="3" s="1"/>
  <c r="AB342" i="3"/>
  <c r="AB373" i="3" s="1"/>
  <c r="AB352" i="3"/>
  <c r="AB383" i="3" s="1"/>
  <c r="AB364" i="3"/>
  <c r="AB363" i="3"/>
  <c r="AB357" i="3"/>
  <c r="AB388" i="3" s="1"/>
  <c r="AB358" i="3"/>
  <c r="AB355" i="3"/>
  <c r="AB386" i="3" s="1"/>
  <c r="AB365" i="3"/>
  <c r="AB348" i="3"/>
  <c r="AB379" i="3" s="1"/>
  <c r="AB354" i="3"/>
  <c r="AB385" i="3" s="1"/>
  <c r="AB343" i="3"/>
  <c r="AB374" i="3" s="1"/>
  <c r="AB359" i="3"/>
  <c r="AB349" i="3"/>
  <c r="AB380" i="3" s="1"/>
  <c r="AD346" i="3"/>
  <c r="AD353" i="3"/>
  <c r="AD384" i="3" s="1"/>
  <c r="AD345" i="3"/>
  <c r="AD376" i="3" s="1"/>
  <c r="AD361" i="3"/>
  <c r="AD359" i="3"/>
  <c r="AD356" i="3"/>
  <c r="AD387" i="3" s="1"/>
  <c r="AD354" i="3"/>
  <c r="AD385" i="3" s="1"/>
  <c r="AD349" i="3"/>
  <c r="AD380" i="3" s="1"/>
  <c r="AD351" i="3"/>
  <c r="AD382" i="3" s="1"/>
  <c r="AD343" i="3"/>
  <c r="AD374" i="3" s="1"/>
  <c r="AD358" i="3"/>
  <c r="AD364" i="3"/>
  <c r="AD342" i="3"/>
  <c r="AD373" i="3" s="1"/>
  <c r="AD352" i="3"/>
  <c r="AD383" i="3" s="1"/>
  <c r="AD340" i="3"/>
  <c r="AD363" i="3"/>
  <c r="AD362" i="3"/>
  <c r="AD365" i="3"/>
  <c r="AD344" i="3"/>
  <c r="AD375" i="3" s="1"/>
  <c r="AD350" i="3"/>
  <c r="AD381" i="3" s="1"/>
  <c r="AD357" i="3"/>
  <c r="AD388" i="3" s="1"/>
  <c r="AD347" i="3"/>
  <c r="AD378" i="3" s="1"/>
  <c r="AD341" i="3"/>
  <c r="AD372" i="3" s="1"/>
  <c r="AD355" i="3"/>
  <c r="AD386" i="3" s="1"/>
  <c r="AD348" i="3"/>
  <c r="AD379" i="3" s="1"/>
  <c r="AD360" i="3"/>
  <c r="AJ355" i="3"/>
  <c r="AJ386" i="3" s="1"/>
  <c r="AJ363" i="3"/>
  <c r="AJ361" i="3"/>
  <c r="AJ365" i="3"/>
  <c r="AJ344" i="3"/>
  <c r="AJ375" i="3" s="1"/>
  <c r="AJ352" i="3"/>
  <c r="AJ383" i="3" s="1"/>
  <c r="AJ351" i="3"/>
  <c r="AJ382" i="3" s="1"/>
  <c r="AJ353" i="3"/>
  <c r="AJ384" i="3" s="1"/>
  <c r="AJ358" i="3"/>
  <c r="AJ340" i="3"/>
  <c r="AJ371" i="3" s="1"/>
  <c r="AJ359" i="3"/>
  <c r="AJ357" i="3"/>
  <c r="AJ388" i="3" s="1"/>
  <c r="AJ349" i="3"/>
  <c r="AJ380" i="3" s="1"/>
  <c r="AJ347" i="3"/>
  <c r="AJ378" i="3" s="1"/>
  <c r="AJ356" i="3"/>
  <c r="AJ387" i="3" s="1"/>
  <c r="AJ346" i="3"/>
  <c r="AJ377" i="3" s="1"/>
  <c r="AJ341" i="3"/>
  <c r="AJ372" i="3" s="1"/>
  <c r="AJ350" i="3"/>
  <c r="AJ381" i="3" s="1"/>
  <c r="AJ354" i="3"/>
  <c r="AJ385" i="3" s="1"/>
  <c r="AJ343" i="3"/>
  <c r="AJ374" i="3" s="1"/>
  <c r="AJ342" i="3"/>
  <c r="AJ373" i="3" s="1"/>
  <c r="AJ364" i="3"/>
  <c r="AJ348" i="3"/>
  <c r="AJ379" i="3" s="1"/>
  <c r="AJ362" i="3"/>
  <c r="AJ360" i="3"/>
  <c r="AJ345" i="3"/>
  <c r="AJ376" i="3" s="1"/>
  <c r="AN364" i="3"/>
  <c r="AN342" i="3"/>
  <c r="AN373" i="3" s="1"/>
  <c r="AN348" i="3"/>
  <c r="AN359" i="3"/>
  <c r="AN340" i="3"/>
  <c r="AN371" i="3" s="1"/>
  <c r="AN353" i="3"/>
  <c r="AN384" i="3" s="1"/>
  <c r="AN354" i="3"/>
  <c r="AN385" i="3" s="1"/>
  <c r="AN356" i="3"/>
  <c r="AN387" i="3" s="1"/>
  <c r="AN352" i="3"/>
  <c r="AN383" i="3" s="1"/>
  <c r="AN343" i="3"/>
  <c r="AN374" i="3" s="1"/>
  <c r="AN361" i="3"/>
  <c r="AN363" i="3"/>
  <c r="AN358" i="3"/>
  <c r="AN346" i="3"/>
  <c r="AN377" i="3" s="1"/>
  <c r="AN351" i="3"/>
  <c r="AN382" i="3" s="1"/>
  <c r="AN365" i="3"/>
  <c r="AN347" i="3"/>
  <c r="AN378" i="3" s="1"/>
  <c r="AN341" i="3"/>
  <c r="AN372" i="3" s="1"/>
  <c r="AN357" i="3"/>
  <c r="AN388" i="3" s="1"/>
  <c r="AN344" i="3"/>
  <c r="AN375" i="3" s="1"/>
  <c r="AN355" i="3"/>
  <c r="AN386" i="3" s="1"/>
  <c r="AN350" i="3"/>
  <c r="AN381" i="3" s="1"/>
  <c r="AN349" i="3"/>
  <c r="AN380" i="3" s="1"/>
  <c r="AN360" i="3"/>
  <c r="AN362" i="3"/>
  <c r="AN345" i="3"/>
  <c r="AN376" i="3" s="1"/>
  <c r="R346" i="3"/>
  <c r="R362" i="3"/>
  <c r="R361" i="3"/>
  <c r="R355" i="3"/>
  <c r="R386" i="3" s="1"/>
  <c r="R341" i="3"/>
  <c r="R372" i="3" s="1"/>
  <c r="R351" i="3"/>
  <c r="R382" i="3" s="1"/>
  <c r="R350" i="3"/>
  <c r="R381" i="3" s="1"/>
  <c r="R354" i="3"/>
  <c r="R385" i="3" s="1"/>
  <c r="R345" i="3"/>
  <c r="R376" i="3" s="1"/>
  <c r="R347" i="3"/>
  <c r="R378" i="3" s="1"/>
  <c r="R344" i="3"/>
  <c r="R375" i="3" s="1"/>
  <c r="R342" i="3"/>
  <c r="R373" i="3" s="1"/>
  <c r="R348" i="3"/>
  <c r="R379" i="3" s="1"/>
  <c r="R363" i="3"/>
  <c r="R340" i="3"/>
  <c r="R371" i="3" s="1"/>
  <c r="R356" i="3"/>
  <c r="R387" i="3" s="1"/>
  <c r="R349" i="3"/>
  <c r="R353" i="3"/>
  <c r="R384" i="3" s="1"/>
  <c r="R365" i="3"/>
  <c r="R357" i="3"/>
  <c r="R388" i="3" s="1"/>
  <c r="R359" i="3"/>
  <c r="R352" i="3"/>
  <c r="R383" i="3" s="1"/>
  <c r="R360" i="3"/>
  <c r="R343" i="3"/>
  <c r="R374" i="3" s="1"/>
  <c r="R364" i="3"/>
  <c r="R358" i="3"/>
  <c r="Y362" i="3"/>
  <c r="Y344" i="3"/>
  <c r="Y375" i="3" s="1"/>
  <c r="Y349" i="3"/>
  <c r="Y380" i="3" s="1"/>
  <c r="Y341" i="3"/>
  <c r="Y372" i="3" s="1"/>
  <c r="Y345" i="3"/>
  <c r="Y376" i="3" s="1"/>
  <c r="Y360" i="3"/>
  <c r="Y347" i="3"/>
  <c r="Y378" i="3" s="1"/>
  <c r="Y361" i="3"/>
  <c r="Y353" i="3"/>
  <c r="Y384" i="3" s="1"/>
  <c r="Y346" i="3"/>
  <c r="Y377" i="3" s="1"/>
  <c r="Y340" i="3"/>
  <c r="Y371" i="3" s="1"/>
  <c r="Y342" i="3"/>
  <c r="Y373" i="3" s="1"/>
  <c r="Y356" i="3"/>
  <c r="Y387" i="3" s="1"/>
  <c r="Y352" i="3"/>
  <c r="Y383" i="3" s="1"/>
  <c r="Y359" i="3"/>
  <c r="Y365" i="3"/>
  <c r="Y358" i="3"/>
  <c r="Y355" i="3"/>
  <c r="Y386" i="3" s="1"/>
  <c r="Y364" i="3"/>
  <c r="Y357" i="3"/>
  <c r="Y388" i="3" s="1"/>
  <c r="Y354" i="3"/>
  <c r="Y385" i="3" s="1"/>
  <c r="Y343" i="3"/>
  <c r="Y374" i="3" s="1"/>
  <c r="Y351" i="3"/>
  <c r="Y382" i="3" s="1"/>
  <c r="Y350" i="3"/>
  <c r="Y381" i="3" s="1"/>
  <c r="Y348" i="3"/>
  <c r="Y379" i="3" s="1"/>
  <c r="Y363" i="3"/>
  <c r="AC358" i="3"/>
  <c r="AC355" i="3"/>
  <c r="AC386" i="3" s="1"/>
  <c r="AC365" i="3"/>
  <c r="AC348" i="3"/>
  <c r="AC379" i="3" s="1"/>
  <c r="AC345" i="3"/>
  <c r="AC376" i="3" s="1"/>
  <c r="AC362" i="3"/>
  <c r="AC360" i="3"/>
  <c r="AC346" i="3"/>
  <c r="AC377" i="3" s="1"/>
  <c r="AC349" i="3"/>
  <c r="AC380" i="3" s="1"/>
  <c r="AC347" i="3"/>
  <c r="AC378" i="3" s="1"/>
  <c r="AC351" i="3"/>
  <c r="AC382" i="3" s="1"/>
  <c r="AC356" i="3"/>
  <c r="AC387" i="3" s="1"/>
  <c r="AC353" i="3"/>
  <c r="AC384" i="3" s="1"/>
  <c r="AC344" i="3"/>
  <c r="AC375" i="3" s="1"/>
  <c r="AC341" i="3"/>
  <c r="AC372" i="3" s="1"/>
  <c r="AC342" i="3"/>
  <c r="AC373" i="3" s="1"/>
  <c r="AC350" i="3"/>
  <c r="AC381" i="3" s="1"/>
  <c r="AC364" i="3"/>
  <c r="AC361" i="3"/>
  <c r="AC359" i="3"/>
  <c r="AC363" i="3"/>
  <c r="AC357" i="3"/>
  <c r="AC388" i="3" s="1"/>
  <c r="AC343" i="3"/>
  <c r="AC374" i="3" s="1"/>
  <c r="AC352" i="3"/>
  <c r="AC383" i="3" s="1"/>
  <c r="AC340" i="3"/>
  <c r="AC371" i="3" s="1"/>
  <c r="AC354" i="3"/>
  <c r="AC385" i="3" s="1"/>
  <c r="AG363" i="3"/>
  <c r="AG361" i="3"/>
  <c r="AG360" i="3"/>
  <c r="AG349" i="3"/>
  <c r="AG380" i="3" s="1"/>
  <c r="AG354" i="3"/>
  <c r="AG385" i="3" s="1"/>
  <c r="AG353" i="3"/>
  <c r="AG384" i="3" s="1"/>
  <c r="AG352" i="3"/>
  <c r="AG383" i="3" s="1"/>
  <c r="AG365" i="3"/>
  <c r="AG347" i="3"/>
  <c r="AG378" i="3" s="1"/>
  <c r="AG344" i="3"/>
  <c r="AG375" i="3" s="1"/>
  <c r="AG346" i="3"/>
  <c r="AG341" i="3"/>
  <c r="AG372" i="3" s="1"/>
  <c r="AG359" i="3"/>
  <c r="AG343" i="3"/>
  <c r="AG374" i="3" s="1"/>
  <c r="AG350" i="3"/>
  <c r="AG381" i="3" s="1"/>
  <c r="AG345" i="3"/>
  <c r="AG376" i="3" s="1"/>
  <c r="AG356" i="3"/>
  <c r="AG387" i="3" s="1"/>
  <c r="AG362" i="3"/>
  <c r="AG351" i="3"/>
  <c r="AG382" i="3" s="1"/>
  <c r="AG340" i="3"/>
  <c r="AG371" i="3" s="1"/>
  <c r="AG357" i="3"/>
  <c r="AG388" i="3" s="1"/>
  <c r="AG342" i="3"/>
  <c r="AG373" i="3" s="1"/>
  <c r="AG364" i="3"/>
  <c r="AG348" i="3"/>
  <c r="AG379" i="3" s="1"/>
  <c r="AG358" i="3"/>
  <c r="AG355" i="3"/>
  <c r="AG386" i="3" s="1"/>
  <c r="I343" i="3"/>
  <c r="I374" i="3" s="1"/>
  <c r="I356" i="3"/>
  <c r="I387" i="3" s="1"/>
  <c r="I365" i="3"/>
  <c r="I345" i="3"/>
  <c r="I376" i="3" s="1"/>
  <c r="I344" i="3"/>
  <c r="I375" i="3" s="1"/>
  <c r="I353" i="3"/>
  <c r="I384" i="3" s="1"/>
  <c r="I347" i="3"/>
  <c r="I378" i="3" s="1"/>
  <c r="I341" i="3"/>
  <c r="I372" i="3" s="1"/>
  <c r="I352" i="3"/>
  <c r="I383" i="3" s="1"/>
  <c r="I358" i="3"/>
  <c r="I342" i="3"/>
  <c r="I373" i="3" s="1"/>
  <c r="I359" i="3"/>
  <c r="I362" i="3"/>
  <c r="I340" i="3"/>
  <c r="I371" i="3" s="1"/>
  <c r="I364" i="3"/>
  <c r="I361" i="3"/>
  <c r="I355" i="3"/>
  <c r="I386" i="3" s="1"/>
  <c r="I351" i="3"/>
  <c r="I382" i="3" s="1"/>
  <c r="I363" i="3"/>
  <c r="I348" i="3"/>
  <c r="I379" i="3" s="1"/>
  <c r="I360" i="3"/>
  <c r="I346" i="3"/>
  <c r="I377" i="3" s="1"/>
  <c r="I349" i="3"/>
  <c r="I380" i="3" s="1"/>
  <c r="I354" i="3"/>
  <c r="I385" i="3" s="1"/>
  <c r="I357" i="3"/>
  <c r="I388" i="3" s="1"/>
  <c r="I350" i="3"/>
  <c r="I381" i="3" s="1"/>
  <c r="W364" i="3"/>
  <c r="W342" i="3"/>
  <c r="W373" i="3" s="1"/>
  <c r="W340" i="3"/>
  <c r="W371" i="3" s="1"/>
  <c r="W360" i="3"/>
  <c r="W353" i="3"/>
  <c r="W384" i="3" s="1"/>
  <c r="W344" i="3"/>
  <c r="W375" i="3" s="1"/>
  <c r="W347" i="3"/>
  <c r="W378" i="3" s="1"/>
  <c r="W351" i="3"/>
  <c r="W382" i="3" s="1"/>
  <c r="W362" i="3"/>
  <c r="W348" i="3"/>
  <c r="W379" i="3" s="1"/>
  <c r="W349" i="3"/>
  <c r="W380" i="3" s="1"/>
  <c r="W350" i="3"/>
  <c r="W381" i="3" s="1"/>
  <c r="W365" i="3"/>
  <c r="W355" i="3"/>
  <c r="W386" i="3" s="1"/>
  <c r="W352" i="3"/>
  <c r="W383" i="3" s="1"/>
  <c r="W345" i="3"/>
  <c r="W376" i="3" s="1"/>
  <c r="W357" i="3"/>
  <c r="W388" i="3" s="1"/>
  <c r="W356" i="3"/>
  <c r="W387" i="3" s="1"/>
  <c r="W341" i="3"/>
  <c r="W372" i="3" s="1"/>
  <c r="W358" i="3"/>
  <c r="W343" i="3"/>
  <c r="W374" i="3" s="1"/>
  <c r="W361" i="3"/>
  <c r="W359" i="3"/>
  <c r="W346" i="3"/>
  <c r="W377" i="3" s="1"/>
  <c r="W354" i="3"/>
  <c r="W385" i="3" s="1"/>
  <c r="W363" i="3"/>
  <c r="Z364" i="3"/>
  <c r="Z344" i="3"/>
  <c r="Z375" i="3" s="1"/>
  <c r="Z353" i="3"/>
  <c r="Z384" i="3" s="1"/>
  <c r="Z347" i="3"/>
  <c r="Z378" i="3" s="1"/>
  <c r="Z365" i="3"/>
  <c r="Z354" i="3"/>
  <c r="Z385" i="3" s="1"/>
  <c r="Z351" i="3"/>
  <c r="Z382" i="3" s="1"/>
  <c r="Z346" i="3"/>
  <c r="Z377" i="3" s="1"/>
  <c r="Z357" i="3"/>
  <c r="Z388" i="3" s="1"/>
  <c r="Z348" i="3"/>
  <c r="Z379" i="3" s="1"/>
  <c r="Z359" i="3"/>
  <c r="Z345" i="3"/>
  <c r="Z376" i="3" s="1"/>
  <c r="Z349" i="3"/>
  <c r="Z380" i="3" s="1"/>
  <c r="Z358" i="3"/>
  <c r="Z343" i="3"/>
  <c r="Z374" i="3" s="1"/>
  <c r="Z352" i="3"/>
  <c r="Z383" i="3" s="1"/>
  <c r="Z350" i="3"/>
  <c r="Z381" i="3" s="1"/>
  <c r="Z342" i="3"/>
  <c r="Z373" i="3" s="1"/>
  <c r="Z340" i="3"/>
  <c r="Z371" i="3" s="1"/>
  <c r="Z341" i="3"/>
  <c r="Z372" i="3" s="1"/>
  <c r="Z361" i="3"/>
  <c r="Z362" i="3"/>
  <c r="Z363" i="3"/>
  <c r="Z355" i="3"/>
  <c r="Z386" i="3" s="1"/>
  <c r="Z356" i="3"/>
  <c r="Z387" i="3" s="1"/>
  <c r="Z360" i="3"/>
  <c r="AF358" i="3"/>
  <c r="AF343" i="3"/>
  <c r="AF374" i="3" s="1"/>
  <c r="AF345" i="3"/>
  <c r="AF376" i="3" s="1"/>
  <c r="AF351" i="3"/>
  <c r="AF382" i="3" s="1"/>
  <c r="AF354" i="3"/>
  <c r="AF385" i="3" s="1"/>
  <c r="AF359" i="3"/>
  <c r="AF350" i="3"/>
  <c r="AF381" i="3" s="1"/>
  <c r="AF349" i="3"/>
  <c r="AF380" i="3" s="1"/>
  <c r="AF355" i="3"/>
  <c r="AF386" i="3" s="1"/>
  <c r="AF346" i="3"/>
  <c r="AF377" i="3" s="1"/>
  <c r="AF340" i="3"/>
  <c r="AF371" i="3" s="1"/>
  <c r="AF363" i="3"/>
  <c r="AF356" i="3"/>
  <c r="AF387" i="3" s="1"/>
  <c r="AF344" i="3"/>
  <c r="AF375" i="3" s="1"/>
  <c r="AF352" i="3"/>
  <c r="AF383" i="3" s="1"/>
  <c r="AF360" i="3"/>
  <c r="AF362" i="3"/>
  <c r="AF361" i="3"/>
  <c r="AF341" i="3"/>
  <c r="AF372" i="3" s="1"/>
  <c r="AF357" i="3"/>
  <c r="AF388" i="3" s="1"/>
  <c r="AF353" i="3"/>
  <c r="AF384" i="3" s="1"/>
  <c r="AF347" i="3"/>
  <c r="AF378" i="3" s="1"/>
  <c r="AF342" i="3"/>
  <c r="AF373" i="3" s="1"/>
  <c r="AF364" i="3"/>
  <c r="AF348" i="3"/>
  <c r="AF379" i="3" s="1"/>
  <c r="AF365" i="3"/>
  <c r="G344" i="3"/>
  <c r="G375" i="3" s="1"/>
  <c r="G364" i="3"/>
  <c r="G362" i="3"/>
  <c r="G357" i="3"/>
  <c r="G388" i="3" s="1"/>
  <c r="G342" i="3"/>
  <c r="G373" i="3" s="1"/>
  <c r="G349" i="3"/>
  <c r="G380" i="3" s="1"/>
  <c r="G356" i="3"/>
  <c r="G387" i="3" s="1"/>
  <c r="G354" i="3"/>
  <c r="G385" i="3" s="1"/>
  <c r="G340" i="3"/>
  <c r="G371" i="3" s="1"/>
  <c r="G351" i="3"/>
  <c r="G382" i="3" s="1"/>
  <c r="G348" i="3"/>
  <c r="G379" i="3" s="1"/>
  <c r="G359" i="3"/>
  <c r="G361" i="3"/>
  <c r="G365" i="3"/>
  <c r="G360" i="3"/>
  <c r="G347" i="3"/>
  <c r="G378" i="3" s="1"/>
  <c r="G346" i="3"/>
  <c r="G377" i="3" s="1"/>
  <c r="G363" i="3"/>
  <c r="G352" i="3"/>
  <c r="G383" i="3" s="1"/>
  <c r="G341" i="3"/>
  <c r="G372" i="3" s="1"/>
  <c r="G355" i="3"/>
  <c r="G386" i="3" s="1"/>
  <c r="G358" i="3"/>
  <c r="G343" i="3"/>
  <c r="G374" i="3" s="1"/>
  <c r="G345" i="3"/>
  <c r="G376" i="3" s="1"/>
  <c r="G353" i="3"/>
  <c r="G384" i="3" s="1"/>
  <c r="G350" i="3"/>
  <c r="G381" i="3" s="1"/>
  <c r="AI343" i="3"/>
  <c r="AI374" i="3" s="1"/>
  <c r="AI342" i="3"/>
  <c r="AI373" i="3" s="1"/>
  <c r="AI354" i="3"/>
  <c r="AI385" i="3" s="1"/>
  <c r="AI357" i="3"/>
  <c r="AI388" i="3" s="1"/>
  <c r="AI351" i="3"/>
  <c r="AI382" i="3" s="1"/>
  <c r="AI352" i="3"/>
  <c r="AI383" i="3" s="1"/>
  <c r="AI348" i="3"/>
  <c r="AI379" i="3" s="1"/>
  <c r="AI358" i="3"/>
  <c r="AI362" i="3"/>
  <c r="AI355" i="3"/>
  <c r="AI386" i="3" s="1"/>
  <c r="AI356" i="3"/>
  <c r="AI387" i="3" s="1"/>
  <c r="AI350" i="3"/>
  <c r="AI381" i="3" s="1"/>
  <c r="AI341" i="3"/>
  <c r="AI372" i="3" s="1"/>
  <c r="AI347" i="3"/>
  <c r="AI378" i="3" s="1"/>
  <c r="AI344" i="3"/>
  <c r="AI375" i="3" s="1"/>
  <c r="AI360" i="3"/>
  <c r="AI364" i="3"/>
  <c r="AI353" i="3"/>
  <c r="AI384" i="3" s="1"/>
  <c r="AI361" i="3"/>
  <c r="AI349" i="3"/>
  <c r="AI380" i="3" s="1"/>
  <c r="AI365" i="3"/>
  <c r="AI359" i="3"/>
  <c r="AI340" i="3"/>
  <c r="AI371" i="3" s="1"/>
  <c r="AI363" i="3"/>
  <c r="AI345" i="3"/>
  <c r="AI376" i="3" s="1"/>
  <c r="AI346" i="3"/>
  <c r="AI377" i="3" s="1"/>
  <c r="K356" i="3"/>
  <c r="K387" i="3" s="1"/>
  <c r="K343" i="3"/>
  <c r="K374" i="3" s="1"/>
  <c r="K357" i="3"/>
  <c r="K388" i="3" s="1"/>
  <c r="K355" i="3"/>
  <c r="K386" i="3" s="1"/>
  <c r="K359" i="3"/>
  <c r="K347" i="3"/>
  <c r="K378" i="3" s="1"/>
  <c r="K351" i="3"/>
  <c r="K382" i="3" s="1"/>
  <c r="K344" i="3"/>
  <c r="K375" i="3" s="1"/>
  <c r="K358" i="3"/>
  <c r="K345" i="3"/>
  <c r="K376" i="3" s="1"/>
  <c r="K365" i="3"/>
  <c r="K349" i="3"/>
  <c r="K380" i="3" s="1"/>
  <c r="K341" i="3"/>
  <c r="K372" i="3" s="1"/>
  <c r="K361" i="3"/>
  <c r="K346" i="3"/>
  <c r="K377" i="3" s="1"/>
  <c r="K350" i="3"/>
  <c r="K381" i="3" s="1"/>
  <c r="K364" i="3"/>
  <c r="K354" i="3"/>
  <c r="K385" i="3" s="1"/>
  <c r="K360" i="3"/>
  <c r="K340" i="3"/>
  <c r="K371" i="3" s="1"/>
  <c r="K363" i="3"/>
  <c r="K342" i="3"/>
  <c r="K373" i="3" s="1"/>
  <c r="K352" i="3"/>
  <c r="K383" i="3" s="1"/>
  <c r="K348" i="3"/>
  <c r="K379" i="3" s="1"/>
  <c r="K362" i="3"/>
  <c r="K353" i="3"/>
  <c r="K384" i="3" s="1"/>
  <c r="P364" i="3"/>
  <c r="P347" i="3"/>
  <c r="P378" i="3" s="1"/>
  <c r="P341" i="3"/>
  <c r="P372" i="3" s="1"/>
  <c r="P352" i="3"/>
  <c r="P383" i="3" s="1"/>
  <c r="P349" i="3"/>
  <c r="P380" i="3" s="1"/>
  <c r="P354" i="3"/>
  <c r="P385" i="3" s="1"/>
  <c r="P355" i="3"/>
  <c r="P386" i="3" s="1"/>
  <c r="P350" i="3"/>
  <c r="P381" i="3" s="1"/>
  <c r="P359" i="3"/>
  <c r="P351" i="3"/>
  <c r="P382" i="3" s="1"/>
  <c r="P348" i="3"/>
  <c r="P379" i="3" s="1"/>
  <c r="P365" i="3"/>
  <c r="P342" i="3"/>
  <c r="P373" i="3" s="1"/>
  <c r="P356" i="3"/>
  <c r="P387" i="3" s="1"/>
  <c r="P340" i="3"/>
  <c r="P371" i="3" s="1"/>
  <c r="P363" i="3"/>
  <c r="P343" i="3"/>
  <c r="P374" i="3" s="1"/>
  <c r="P362" i="3"/>
  <c r="P345" i="3"/>
  <c r="P376" i="3" s="1"/>
  <c r="P358" i="3"/>
  <c r="P344" i="3"/>
  <c r="P375" i="3" s="1"/>
  <c r="P361" i="3"/>
  <c r="P360" i="3"/>
  <c r="P353" i="3"/>
  <c r="P384" i="3" s="1"/>
  <c r="P346" i="3"/>
  <c r="P377" i="3" s="1"/>
  <c r="P357" i="3"/>
  <c r="P388" i="3" s="1"/>
  <c r="T342" i="3"/>
  <c r="T373" i="3" s="1"/>
  <c r="T343" i="3"/>
  <c r="T374" i="3" s="1"/>
  <c r="T364" i="3"/>
  <c r="T359" i="3"/>
  <c r="T357" i="3"/>
  <c r="T388" i="3" s="1"/>
  <c r="T361" i="3"/>
  <c r="T356" i="3"/>
  <c r="T387" i="3" s="1"/>
  <c r="T347" i="3"/>
  <c r="T378" i="3" s="1"/>
  <c r="T341" i="3"/>
  <c r="T372" i="3" s="1"/>
  <c r="T363" i="3"/>
  <c r="T352" i="3"/>
  <c r="T383" i="3" s="1"/>
  <c r="T353" i="3"/>
  <c r="T384" i="3" s="1"/>
  <c r="T346" i="3"/>
  <c r="T377" i="3" s="1"/>
  <c r="T365" i="3"/>
  <c r="T340" i="3"/>
  <c r="T371" i="3" s="1"/>
  <c r="T344" i="3"/>
  <c r="T375" i="3" s="1"/>
  <c r="T354" i="3"/>
  <c r="T385" i="3" s="1"/>
  <c r="T351" i="3"/>
  <c r="T382" i="3" s="1"/>
  <c r="T355" i="3"/>
  <c r="T386" i="3" s="1"/>
  <c r="T348" i="3"/>
  <c r="T379" i="3" s="1"/>
  <c r="T349" i="3"/>
  <c r="T380" i="3" s="1"/>
  <c r="T358" i="3"/>
  <c r="T360" i="3"/>
  <c r="T345" i="3"/>
  <c r="T376" i="3" s="1"/>
  <c r="T362" i="3"/>
  <c r="T350" i="3"/>
  <c r="T381" i="3" s="1"/>
  <c r="AA343" i="3"/>
  <c r="AA374" i="3" s="1"/>
  <c r="AA341" i="3"/>
  <c r="AA372" i="3" s="1"/>
  <c r="AA365" i="3"/>
  <c r="AA345" i="3"/>
  <c r="AA376" i="3" s="1"/>
  <c r="AA355" i="3"/>
  <c r="AA386" i="3" s="1"/>
  <c r="AA347" i="3"/>
  <c r="AA378" i="3" s="1"/>
  <c r="AA352" i="3"/>
  <c r="AA383" i="3" s="1"/>
  <c r="AA364" i="3"/>
  <c r="AA340" i="3"/>
  <c r="AA371" i="3" s="1"/>
  <c r="AA344" i="3"/>
  <c r="AA375" i="3" s="1"/>
  <c r="AA363" i="3"/>
  <c r="AA346" i="3"/>
  <c r="AA377" i="3" s="1"/>
  <c r="AA362" i="3"/>
  <c r="AA356" i="3"/>
  <c r="AA387" i="3" s="1"/>
  <c r="AA357" i="3"/>
  <c r="AA388" i="3" s="1"/>
  <c r="AA349" i="3"/>
  <c r="AA380" i="3" s="1"/>
  <c r="AA342" i="3"/>
  <c r="AA373" i="3" s="1"/>
  <c r="AA353" i="3"/>
  <c r="AA384" i="3" s="1"/>
  <c r="AA350" i="3"/>
  <c r="AA381" i="3" s="1"/>
  <c r="AA348" i="3"/>
  <c r="AA379" i="3" s="1"/>
  <c r="AA354" i="3"/>
  <c r="AA385" i="3" s="1"/>
  <c r="AA358" i="3"/>
  <c r="AA360" i="3"/>
  <c r="AA359" i="3"/>
  <c r="AA351" i="3"/>
  <c r="AA382" i="3" s="1"/>
  <c r="AA361" i="3"/>
  <c r="M361" i="3"/>
  <c r="M341" i="3"/>
  <c r="M372" i="3" s="1"/>
  <c r="M349" i="3"/>
  <c r="M380" i="3" s="1"/>
  <c r="M340" i="3"/>
  <c r="M371" i="3" s="1"/>
  <c r="M355" i="3"/>
  <c r="M386" i="3" s="1"/>
  <c r="M346" i="3"/>
  <c r="M377" i="3" s="1"/>
  <c r="M360" i="3"/>
  <c r="M359" i="3"/>
  <c r="M356" i="3"/>
  <c r="M387" i="3" s="1"/>
  <c r="M348" i="3"/>
  <c r="M379" i="3" s="1"/>
  <c r="M364" i="3"/>
  <c r="M347" i="3"/>
  <c r="M378" i="3" s="1"/>
  <c r="M342" i="3"/>
  <c r="M373" i="3" s="1"/>
  <c r="M363" i="3"/>
  <c r="M350" i="3"/>
  <c r="M381" i="3" s="1"/>
  <c r="M357" i="3"/>
  <c r="M388" i="3" s="1"/>
  <c r="M352" i="3"/>
  <c r="M383" i="3" s="1"/>
  <c r="M353" i="3"/>
  <c r="M384" i="3" s="1"/>
  <c r="M344" i="3"/>
  <c r="M375" i="3" s="1"/>
  <c r="M358" i="3"/>
  <c r="M354" i="3"/>
  <c r="M385" i="3" s="1"/>
  <c r="M343" i="3"/>
  <c r="M374" i="3" s="1"/>
  <c r="M362" i="3"/>
  <c r="M345" i="3"/>
  <c r="M376" i="3" s="1"/>
  <c r="M351" i="3"/>
  <c r="M382" i="3" s="1"/>
  <c r="M365" i="3"/>
  <c r="J385" i="3"/>
  <c r="J377" i="3"/>
  <c r="J382" i="3"/>
  <c r="J380" i="3"/>
  <c r="J374" i="3"/>
  <c r="J376" i="3"/>
  <c r="J388" i="3"/>
  <c r="J381" i="3"/>
  <c r="J387" i="3"/>
  <c r="J372" i="3"/>
  <c r="N384" i="3"/>
  <c r="N379" i="3"/>
  <c r="N382" i="3"/>
  <c r="N373" i="3"/>
  <c r="N380" i="3"/>
  <c r="N387" i="3"/>
  <c r="N375" i="3"/>
  <c r="N386" i="3"/>
  <c r="N377" i="3"/>
  <c r="N376" i="3"/>
  <c r="Q354" i="3"/>
  <c r="Q385" i="3" s="1"/>
  <c r="Q356" i="3"/>
  <c r="Q387" i="3" s="1"/>
  <c r="Q361" i="3"/>
  <c r="Q364" i="3"/>
  <c r="Q365" i="3"/>
  <c r="Q355" i="3"/>
  <c r="Q386" i="3" s="1"/>
  <c r="Q358" i="3"/>
  <c r="Q346" i="3"/>
  <c r="Q377" i="3" s="1"/>
  <c r="Q345" i="3"/>
  <c r="Q376" i="3" s="1"/>
  <c r="Q342" i="3"/>
  <c r="Q373" i="3" s="1"/>
  <c r="Q343" i="3"/>
  <c r="Q374" i="3" s="1"/>
  <c r="Q348" i="3"/>
  <c r="Q379" i="3" s="1"/>
  <c r="Q359" i="3"/>
  <c r="Q351" i="3"/>
  <c r="Q382" i="3" s="1"/>
  <c r="Q362" i="3"/>
  <c r="Q350" i="3"/>
  <c r="Q381" i="3" s="1"/>
  <c r="Q363" i="3"/>
  <c r="Q344" i="3"/>
  <c r="Q375" i="3" s="1"/>
  <c r="Q341" i="3"/>
  <c r="Q372" i="3" s="1"/>
  <c r="Q340" i="3"/>
  <c r="Q371" i="3" s="1"/>
  <c r="Q353" i="3"/>
  <c r="Q384" i="3" s="1"/>
  <c r="Q349" i="3"/>
  <c r="Q380" i="3" s="1"/>
  <c r="Q357" i="3"/>
  <c r="Q388" i="3" s="1"/>
  <c r="Q347" i="3"/>
  <c r="Q378" i="3" s="1"/>
  <c r="Q352" i="3"/>
  <c r="Q383" i="3" s="1"/>
  <c r="Q360" i="3"/>
  <c r="V361" i="3"/>
  <c r="V353" i="3"/>
  <c r="V384" i="3" s="1"/>
  <c r="V345" i="3"/>
  <c r="V376" i="3" s="1"/>
  <c r="V364" i="3"/>
  <c r="V360" i="3"/>
  <c r="V340" i="3"/>
  <c r="V371" i="3" s="1"/>
  <c r="V357" i="3"/>
  <c r="V388" i="3" s="1"/>
  <c r="V356" i="3"/>
  <c r="V387" i="3" s="1"/>
  <c r="V363" i="3"/>
  <c r="V346" i="3"/>
  <c r="V377" i="3" s="1"/>
  <c r="V355" i="3"/>
  <c r="V386" i="3" s="1"/>
  <c r="V358" i="3"/>
  <c r="V352" i="3"/>
  <c r="V383" i="3" s="1"/>
  <c r="V359" i="3"/>
  <c r="V343" i="3"/>
  <c r="V374" i="3" s="1"/>
  <c r="V351" i="3"/>
  <c r="V382" i="3" s="1"/>
  <c r="V344" i="3"/>
  <c r="V375" i="3" s="1"/>
  <c r="V350" i="3"/>
  <c r="V381" i="3" s="1"/>
  <c r="V347" i="3"/>
  <c r="V378" i="3" s="1"/>
  <c r="V348" i="3"/>
  <c r="V379" i="3" s="1"/>
  <c r="V341" i="3"/>
  <c r="V372" i="3" s="1"/>
  <c r="V354" i="3"/>
  <c r="V385" i="3" s="1"/>
  <c r="V365" i="3"/>
  <c r="V342" i="3"/>
  <c r="V373" i="3" s="1"/>
  <c r="V362" i="3"/>
  <c r="V349" i="3"/>
  <c r="V380" i="3" s="1"/>
  <c r="AO360" i="3"/>
  <c r="AO353" i="3"/>
  <c r="AO384" i="3" s="1"/>
  <c r="AO350" i="3"/>
  <c r="AO381" i="3" s="1"/>
  <c r="AO362" i="3"/>
  <c r="AO359" i="3"/>
  <c r="AO352" i="3"/>
  <c r="AO383" i="3" s="1"/>
  <c r="AO351" i="3"/>
  <c r="AO382" i="3" s="1"/>
  <c r="AO349" i="3"/>
  <c r="AO380" i="3" s="1"/>
  <c r="AO354" i="3"/>
  <c r="AO385" i="3" s="1"/>
  <c r="AO358" i="3"/>
  <c r="AO342" i="3"/>
  <c r="AO373" i="3" s="1"/>
  <c r="AO348" i="3"/>
  <c r="AO379" i="3" s="1"/>
  <c r="AO365" i="3"/>
  <c r="AO357" i="3"/>
  <c r="AO388" i="3" s="1"/>
  <c r="AO341" i="3"/>
  <c r="AO372" i="3" s="1"/>
  <c r="AO345" i="3"/>
  <c r="AO376" i="3" s="1"/>
  <c r="AO340" i="3"/>
  <c r="AO371" i="3" s="1"/>
  <c r="AO364" i="3"/>
  <c r="AO346" i="3"/>
  <c r="AO377" i="3" s="1"/>
  <c r="AO355" i="3"/>
  <c r="AO386" i="3" s="1"/>
  <c r="AO363" i="3"/>
  <c r="AO356" i="3"/>
  <c r="AO387" i="3" s="1"/>
  <c r="AO347" i="3"/>
  <c r="AO378" i="3" s="1"/>
  <c r="AO361" i="3"/>
  <c r="AO344" i="3"/>
  <c r="AO375" i="3" s="1"/>
  <c r="AO343" i="3"/>
  <c r="AO374" i="3" s="1"/>
  <c r="S348" i="3"/>
  <c r="S379" i="3" s="1"/>
  <c r="S349" i="3"/>
  <c r="S380" i="3" s="1"/>
  <c r="S350" i="3"/>
  <c r="S381" i="3" s="1"/>
  <c r="S352" i="3"/>
  <c r="S383" i="3" s="1"/>
  <c r="S342" i="3"/>
  <c r="S373" i="3" s="1"/>
  <c r="S341" i="3"/>
  <c r="S372" i="3" s="1"/>
  <c r="S346" i="3"/>
  <c r="S377" i="3" s="1"/>
  <c r="S345" i="3"/>
  <c r="S376" i="3" s="1"/>
  <c r="S363" i="3"/>
  <c r="S357" i="3"/>
  <c r="S388" i="3" s="1"/>
  <c r="S364" i="3"/>
  <c r="S360" i="3"/>
  <c r="S355" i="3"/>
  <c r="S386" i="3" s="1"/>
  <c r="S365" i="3"/>
  <c r="S358" i="3"/>
  <c r="S351" i="3"/>
  <c r="S382" i="3" s="1"/>
  <c r="S359" i="3"/>
  <c r="S347" i="3"/>
  <c r="S378" i="3" s="1"/>
  <c r="S362" i="3"/>
  <c r="S344" i="3"/>
  <c r="S375" i="3" s="1"/>
  <c r="S354" i="3"/>
  <c r="S385" i="3" s="1"/>
  <c r="S340" i="3"/>
  <c r="S371" i="3" s="1"/>
  <c r="S343" i="3"/>
  <c r="S374" i="3" s="1"/>
  <c r="S353" i="3"/>
  <c r="S384" i="3" s="1"/>
  <c r="S361" i="3"/>
  <c r="S356" i="3"/>
  <c r="S387" i="3" s="1"/>
  <c r="L343" i="3"/>
  <c r="L374" i="3" s="1"/>
  <c r="L348" i="3"/>
  <c r="L379" i="3" s="1"/>
  <c r="L347" i="3"/>
  <c r="L378" i="3" s="1"/>
  <c r="L361" i="3"/>
  <c r="L341" i="3"/>
  <c r="L372" i="3" s="1"/>
  <c r="L356" i="3"/>
  <c r="L387" i="3" s="1"/>
  <c r="L352" i="3"/>
  <c r="L383" i="3" s="1"/>
  <c r="L358" i="3"/>
  <c r="L354" i="3"/>
  <c r="L385" i="3" s="1"/>
  <c r="L344" i="3"/>
  <c r="L375" i="3" s="1"/>
  <c r="L355" i="3"/>
  <c r="L386" i="3" s="1"/>
  <c r="L360" i="3"/>
  <c r="L351" i="3"/>
  <c r="L382" i="3" s="1"/>
  <c r="L340" i="3"/>
  <c r="L371" i="3" s="1"/>
  <c r="L362" i="3"/>
  <c r="L364" i="3"/>
  <c r="L353" i="3"/>
  <c r="L384" i="3" s="1"/>
  <c r="L363" i="3"/>
  <c r="L357" i="3"/>
  <c r="L388" i="3" s="1"/>
  <c r="L365" i="3"/>
  <c r="L342" i="3"/>
  <c r="L373" i="3" s="1"/>
  <c r="L345" i="3"/>
  <c r="L376" i="3" s="1"/>
  <c r="L359" i="3"/>
  <c r="L349" i="3"/>
  <c r="L380" i="3" s="1"/>
  <c r="L350" i="3"/>
  <c r="L381" i="3" s="1"/>
  <c r="L346" i="3"/>
  <c r="L377" i="3" s="1"/>
  <c r="F381" i="3"/>
  <c r="F387" i="3"/>
  <c r="F383" i="3"/>
  <c r="F371" i="3"/>
  <c r="F376" i="3"/>
  <c r="F386" i="3"/>
  <c r="F375" i="3"/>
  <c r="F388" i="3"/>
  <c r="F374" i="3"/>
  <c r="H362" i="3"/>
  <c r="H350" i="3"/>
  <c r="H381" i="3" s="1"/>
  <c r="H349" i="3"/>
  <c r="H380" i="3" s="1"/>
  <c r="H347" i="3"/>
  <c r="H378" i="3" s="1"/>
  <c r="H358" i="3"/>
  <c r="H359" i="3"/>
  <c r="H341" i="3"/>
  <c r="H372" i="3" s="1"/>
  <c r="H355" i="3"/>
  <c r="H386" i="3" s="1"/>
  <c r="H342" i="3"/>
  <c r="H373" i="3" s="1"/>
  <c r="H344" i="3"/>
  <c r="H375" i="3" s="1"/>
  <c r="H343" i="3"/>
  <c r="H374" i="3" s="1"/>
  <c r="H360" i="3"/>
  <c r="H354" i="3"/>
  <c r="H385" i="3" s="1"/>
  <c r="H351" i="3"/>
  <c r="H382" i="3" s="1"/>
  <c r="H364" i="3"/>
  <c r="H361" i="3"/>
  <c r="H352" i="3"/>
  <c r="H383" i="3" s="1"/>
  <c r="H356" i="3"/>
  <c r="H387" i="3" s="1"/>
  <c r="H346" i="3"/>
  <c r="H377" i="3" s="1"/>
  <c r="H353" i="3"/>
  <c r="H384" i="3" s="1"/>
  <c r="H348" i="3"/>
  <c r="H379" i="3" s="1"/>
  <c r="H363" i="3"/>
  <c r="H345" i="3"/>
  <c r="H376" i="3" s="1"/>
  <c r="H357" i="3"/>
  <c r="H388" i="3" s="1"/>
  <c r="H365" i="3"/>
  <c r="H340" i="3"/>
  <c r="H371" i="3" s="1"/>
  <c r="O341" i="3"/>
  <c r="O372" i="3" s="1"/>
  <c r="O342" i="3"/>
  <c r="O373" i="3" s="1"/>
  <c r="O359" i="3"/>
  <c r="O343" i="3"/>
  <c r="O374" i="3" s="1"/>
  <c r="O349" i="3"/>
  <c r="O380" i="3" s="1"/>
  <c r="O354" i="3"/>
  <c r="O385" i="3" s="1"/>
  <c r="O346" i="3"/>
  <c r="O377" i="3" s="1"/>
  <c r="O351" i="3"/>
  <c r="O382" i="3" s="1"/>
  <c r="O352" i="3"/>
  <c r="O383" i="3" s="1"/>
  <c r="O363" i="3"/>
  <c r="O348" i="3"/>
  <c r="O379" i="3" s="1"/>
  <c r="O364" i="3"/>
  <c r="O347" i="3"/>
  <c r="O378" i="3" s="1"/>
  <c r="O340" i="3"/>
  <c r="O371" i="3" s="1"/>
  <c r="O358" i="3"/>
  <c r="O365" i="3"/>
  <c r="O350" i="3"/>
  <c r="O381" i="3" s="1"/>
  <c r="O356" i="3"/>
  <c r="O387" i="3" s="1"/>
  <c r="O362" i="3"/>
  <c r="O355" i="3"/>
  <c r="O386" i="3" s="1"/>
  <c r="O360" i="3"/>
  <c r="O344" i="3"/>
  <c r="O375" i="3" s="1"/>
  <c r="O345" i="3"/>
  <c r="O376" i="3" s="1"/>
  <c r="O361" i="3"/>
  <c r="O353" i="3"/>
  <c r="O384" i="3" s="1"/>
  <c r="O357" i="3"/>
  <c r="O388" i="3" s="1"/>
  <c r="X359" i="3"/>
  <c r="X344" i="3"/>
  <c r="X375" i="3" s="1"/>
  <c r="X364" i="3"/>
  <c r="X345" i="3"/>
  <c r="X376" i="3" s="1"/>
  <c r="X358" i="3"/>
  <c r="X356" i="3"/>
  <c r="X387" i="3" s="1"/>
  <c r="X350" i="3"/>
  <c r="X381" i="3" s="1"/>
  <c r="X346" i="3"/>
  <c r="X377" i="3" s="1"/>
  <c r="X355" i="3"/>
  <c r="X386" i="3" s="1"/>
  <c r="X362" i="3"/>
  <c r="X353" i="3"/>
  <c r="X384" i="3" s="1"/>
  <c r="X340" i="3"/>
  <c r="X371" i="3" s="1"/>
  <c r="X351" i="3"/>
  <c r="X382" i="3" s="1"/>
  <c r="X342" i="3"/>
  <c r="X373" i="3" s="1"/>
  <c r="X348" i="3"/>
  <c r="X379" i="3" s="1"/>
  <c r="X357" i="3"/>
  <c r="X388" i="3" s="1"/>
  <c r="X363" i="3"/>
  <c r="X347" i="3"/>
  <c r="X378" i="3" s="1"/>
  <c r="X352" i="3"/>
  <c r="X383" i="3" s="1"/>
  <c r="X365" i="3"/>
  <c r="X341" i="3"/>
  <c r="X372" i="3" s="1"/>
  <c r="X343" i="3"/>
  <c r="X374" i="3" s="1"/>
  <c r="X361" i="3"/>
  <c r="X360" i="3"/>
  <c r="X349" i="3"/>
  <c r="X380" i="3" s="1"/>
  <c r="X354" i="3"/>
  <c r="X385" i="3" s="1"/>
  <c r="AH345" i="3"/>
  <c r="AH376" i="3" s="1"/>
  <c r="AH344" i="3"/>
  <c r="AH375" i="3" s="1"/>
  <c r="AH360" i="3"/>
  <c r="AH365" i="3"/>
  <c r="AH341" i="3"/>
  <c r="AH372" i="3" s="1"/>
  <c r="AH362" i="3"/>
  <c r="AH348" i="3"/>
  <c r="AH379" i="3" s="1"/>
  <c r="AH363" i="3"/>
  <c r="AH357" i="3"/>
  <c r="AH388" i="3" s="1"/>
  <c r="AH354" i="3"/>
  <c r="AH385" i="3" s="1"/>
  <c r="AH355" i="3"/>
  <c r="AH386" i="3" s="1"/>
  <c r="AH347" i="3"/>
  <c r="AH378" i="3" s="1"/>
  <c r="AH364" i="3"/>
  <c r="AH353" i="3"/>
  <c r="AH384" i="3" s="1"/>
  <c r="AH343" i="3"/>
  <c r="AH374" i="3" s="1"/>
  <c r="AH359" i="3"/>
  <c r="AH352" i="3"/>
  <c r="AH383" i="3" s="1"/>
  <c r="AH351" i="3"/>
  <c r="AH382" i="3" s="1"/>
  <c r="AH356" i="3"/>
  <c r="AH387" i="3" s="1"/>
  <c r="AH361" i="3"/>
  <c r="AH342" i="3"/>
  <c r="AH373" i="3" s="1"/>
  <c r="AH349" i="3"/>
  <c r="AH380" i="3" s="1"/>
  <c r="AH358" i="3"/>
  <c r="AH346" i="3"/>
  <c r="AH377" i="3" s="1"/>
  <c r="AH340" i="3"/>
  <c r="AH371" i="3" s="1"/>
  <c r="AH350" i="3"/>
  <c r="AH381" i="3" s="1"/>
  <c r="AM360" i="3"/>
  <c r="AM359" i="3"/>
  <c r="AM354" i="3"/>
  <c r="AM385" i="3" s="1"/>
  <c r="AM349" i="3"/>
  <c r="AM380" i="3" s="1"/>
  <c r="AM353" i="3"/>
  <c r="AM384" i="3" s="1"/>
  <c r="AM340" i="3"/>
  <c r="AM371" i="3" s="1"/>
  <c r="AM348" i="3"/>
  <c r="AM379" i="3" s="1"/>
  <c r="AM345" i="3"/>
  <c r="AM376" i="3" s="1"/>
  <c r="AM362" i="3"/>
  <c r="AM358" i="3"/>
  <c r="AM350" i="3"/>
  <c r="AM381" i="3" s="1"/>
  <c r="AM343" i="3"/>
  <c r="AM374" i="3" s="1"/>
  <c r="AM347" i="3"/>
  <c r="AM378" i="3" s="1"/>
  <c r="AM352" i="3"/>
  <c r="AM383" i="3" s="1"/>
  <c r="AM365" i="3"/>
  <c r="AM351" i="3"/>
  <c r="AM382" i="3" s="1"/>
  <c r="AM357" i="3"/>
  <c r="AM388" i="3" s="1"/>
  <c r="AM355" i="3"/>
  <c r="AM386" i="3" s="1"/>
  <c r="AM364" i="3"/>
  <c r="AM344" i="3"/>
  <c r="AM375" i="3" s="1"/>
  <c r="AM342" i="3"/>
  <c r="AM373" i="3" s="1"/>
  <c r="AM361" i="3"/>
  <c r="AM341" i="3"/>
  <c r="AM372" i="3" s="1"/>
  <c r="AM363" i="3"/>
  <c r="AM346" i="3"/>
  <c r="AM377" i="3" s="1"/>
  <c r="AM356" i="3"/>
  <c r="AM387" i="3" s="1"/>
  <c r="AP362" i="3"/>
  <c r="AP347" i="3"/>
  <c r="AP378" i="3" s="1"/>
  <c r="AP342" i="3"/>
  <c r="AP373" i="3" s="1"/>
  <c r="AP361" i="3"/>
  <c r="AP345" i="3"/>
  <c r="AP376" i="3" s="1"/>
  <c r="AP341" i="3"/>
  <c r="AP372" i="3" s="1"/>
  <c r="AP365" i="3"/>
  <c r="AP360" i="3"/>
  <c r="AP344" i="3"/>
  <c r="AP375" i="3" s="1"/>
  <c r="AP350" i="3"/>
  <c r="AP381" i="3" s="1"/>
  <c r="AP357" i="3"/>
  <c r="AP388" i="3" s="1"/>
  <c r="AP359" i="3"/>
  <c r="AP343" i="3"/>
  <c r="AP374" i="3" s="1"/>
  <c r="AP348" i="3"/>
  <c r="AP379" i="3" s="1"/>
  <c r="AP352" i="3"/>
  <c r="AP383" i="3" s="1"/>
  <c r="AP349" i="3"/>
  <c r="AP380" i="3" s="1"/>
  <c r="AP358" i="3"/>
  <c r="AP353" i="3"/>
  <c r="AP384" i="3" s="1"/>
  <c r="AP355" i="3"/>
  <c r="AP386" i="3" s="1"/>
  <c r="AP364" i="3"/>
  <c r="AP346" i="3"/>
  <c r="AP377" i="3" s="1"/>
  <c r="AP351" i="3"/>
  <c r="AP382" i="3" s="1"/>
  <c r="AP340" i="3"/>
  <c r="AP371" i="3" s="1"/>
  <c r="AP363" i="3"/>
  <c r="AP356" i="3"/>
  <c r="AP387" i="3" s="1"/>
  <c r="AP354" i="3"/>
  <c r="AP385" i="3" s="1"/>
  <c r="R377" i="3"/>
  <c r="AD371" i="3"/>
  <c r="U365" i="3"/>
  <c r="U357" i="3"/>
  <c r="U388" i="3" s="1"/>
  <c r="U349" i="3"/>
  <c r="U380" i="3" s="1"/>
  <c r="U341" i="3"/>
  <c r="U372" i="3" s="1"/>
  <c r="U364" i="3"/>
  <c r="U356" i="3"/>
  <c r="U387" i="3" s="1"/>
  <c r="U348" i="3"/>
  <c r="U379" i="3" s="1"/>
  <c r="U363" i="3"/>
  <c r="U353" i="3"/>
  <c r="U384" i="3" s="1"/>
  <c r="U343" i="3"/>
  <c r="U374" i="3" s="1"/>
  <c r="U362" i="3"/>
  <c r="U352" i="3"/>
  <c r="U383" i="3" s="1"/>
  <c r="U342" i="3"/>
  <c r="U373" i="3" s="1"/>
  <c r="U361" i="3"/>
  <c r="U347" i="3"/>
  <c r="U378" i="3" s="1"/>
  <c r="U360" i="3"/>
  <c r="U346" i="3"/>
  <c r="U377" i="3" s="1"/>
  <c r="U359" i="3"/>
  <c r="U344" i="3"/>
  <c r="U375" i="3" s="1"/>
  <c r="U345" i="3"/>
  <c r="U376" i="3" s="1"/>
  <c r="U358" i="3"/>
  <c r="U355" i="3"/>
  <c r="U386" i="3" s="1"/>
  <c r="U354" i="3"/>
  <c r="U385" i="3" s="1"/>
  <c r="U351" i="3"/>
  <c r="U382" i="3" s="1"/>
  <c r="U350" i="3"/>
  <c r="U381" i="3" s="1"/>
  <c r="AD377" i="3"/>
  <c r="U340" i="3"/>
  <c r="U371" i="3" s="1"/>
  <c r="W32" i="3"/>
  <c r="AG377" i="3"/>
  <c r="R380" i="3"/>
  <c r="AE385" i="3"/>
  <c r="AN379" i="3"/>
  <c r="AG27" i="3"/>
  <c r="AG249" i="3" s="1"/>
  <c r="AJ27" i="3"/>
  <c r="AJ249" i="3" s="1"/>
  <c r="AF27" i="3"/>
  <c r="AF249" i="3" s="1"/>
  <c r="AN27" i="3"/>
  <c r="AN249" i="3" s="1"/>
  <c r="AO27" i="3"/>
  <c r="AO249" i="3" s="1"/>
  <c r="AH27" i="3"/>
  <c r="AH249" i="3" s="1"/>
  <c r="AM47" i="3"/>
  <c r="AP27" i="3"/>
  <c r="AP249" i="3" s="1"/>
  <c r="AI27" i="3"/>
  <c r="AI249" i="3" s="1"/>
  <c r="AK28" i="3"/>
  <c r="AK250" i="3" s="1"/>
  <c r="AL31" i="3"/>
  <c r="AL253" i="3" s="1"/>
  <c r="I31" i="3"/>
  <c r="R29" i="3"/>
  <c r="R251" i="3" s="1"/>
  <c r="K30" i="3"/>
  <c r="K252" i="3" s="1"/>
  <c r="M32" i="3"/>
  <c r="M254" i="3" s="1"/>
  <c r="H34" i="3"/>
  <c r="O34" i="3"/>
  <c r="O256" i="3" s="1"/>
  <c r="AA26" i="3"/>
  <c r="AA248" i="3" s="1"/>
  <c r="L26" i="3"/>
  <c r="L248" i="3" s="1"/>
  <c r="G32" i="3"/>
  <c r="G254" i="3" s="1"/>
  <c r="S34" i="3"/>
  <c r="S256" i="3" s="1"/>
  <c r="X27" i="3"/>
  <c r="X249" i="3" s="1"/>
  <c r="W49" i="3"/>
  <c r="AE27" i="3"/>
  <c r="AE249" i="3" s="1"/>
  <c r="P47" i="3"/>
  <c r="AB27" i="3"/>
  <c r="AB249" i="3" s="1"/>
  <c r="AD30" i="3"/>
  <c r="AD252" i="3" s="1"/>
  <c r="T26" i="3"/>
  <c r="T248" i="3" s="1"/>
  <c r="U43" i="3"/>
  <c r="Y42" i="3"/>
  <c r="AC43" i="3"/>
  <c r="Q24" i="3"/>
  <c r="V41" i="3"/>
  <c r="V263" i="3" s="1"/>
  <c r="Z41" i="3"/>
  <c r="Z263" i="3" s="1"/>
  <c r="AL38" i="3"/>
  <c r="R40" i="3"/>
  <c r="R38" i="3"/>
  <c r="R39" i="3"/>
  <c r="R37" i="3"/>
  <c r="AP29" i="3"/>
  <c r="AP48" i="3"/>
  <c r="AP32" i="3"/>
  <c r="AP39" i="3"/>
  <c r="AP47" i="3"/>
  <c r="AP49" i="3"/>
  <c r="AP35" i="3"/>
  <c r="AP44" i="3"/>
  <c r="AP34" i="3"/>
  <c r="AP38" i="3"/>
  <c r="AP45" i="3"/>
  <c r="AP33" i="3"/>
  <c r="AP28" i="3"/>
  <c r="AP40" i="3"/>
  <c r="AP46" i="3"/>
  <c r="AP24" i="3"/>
  <c r="AP41" i="3"/>
  <c r="AP43" i="3"/>
  <c r="AP42" i="3"/>
  <c r="AP36" i="3"/>
  <c r="AP37" i="3"/>
  <c r="AP30" i="3"/>
  <c r="AP31" i="3"/>
  <c r="AP25" i="3"/>
  <c r="AP26" i="3"/>
  <c r="AO25" i="3"/>
  <c r="AO35" i="3"/>
  <c r="AO26" i="3"/>
  <c r="AO28" i="3"/>
  <c r="AO44" i="3"/>
  <c r="AO30" i="3"/>
  <c r="AO49" i="3"/>
  <c r="AO32" i="3"/>
  <c r="AO31" i="3"/>
  <c r="AO40" i="3"/>
  <c r="AO38" i="3"/>
  <c r="AO41" i="3"/>
  <c r="AO34" i="3"/>
  <c r="AO43" i="3"/>
  <c r="AO45" i="3"/>
  <c r="AO29" i="3"/>
  <c r="AO37" i="3"/>
  <c r="AO48" i="3"/>
  <c r="AO42" i="3"/>
  <c r="AO47" i="3"/>
  <c r="AO33" i="3"/>
  <c r="AO46" i="3"/>
  <c r="AO36" i="3"/>
  <c r="AO39" i="3"/>
  <c r="AO24" i="3"/>
  <c r="AD35" i="3"/>
  <c r="AL35" i="3"/>
  <c r="AL28" i="3"/>
  <c r="AL43" i="3"/>
  <c r="AL27" i="3"/>
  <c r="AL34" i="3"/>
  <c r="AL44" i="3"/>
  <c r="AL46" i="3"/>
  <c r="AL29" i="3"/>
  <c r="AK37" i="3"/>
  <c r="AL45" i="3"/>
  <c r="AL36" i="3"/>
  <c r="AL37" i="3"/>
  <c r="AL49" i="3"/>
  <c r="AL33" i="3"/>
  <c r="AL48" i="3"/>
  <c r="AM42" i="3"/>
  <c r="AM38" i="3"/>
  <c r="AM44" i="3"/>
  <c r="AL47" i="3"/>
  <c r="AL24" i="3"/>
  <c r="AM35" i="3"/>
  <c r="AN29" i="3"/>
  <c r="AM26" i="3"/>
  <c r="AM43" i="3"/>
  <c r="AN48" i="3"/>
  <c r="AM27" i="3"/>
  <c r="AL42" i="3"/>
  <c r="AM49" i="3"/>
  <c r="AN26" i="3"/>
  <c r="AK36" i="3"/>
  <c r="AM39" i="3"/>
  <c r="AN37" i="3"/>
  <c r="AM29" i="3"/>
  <c r="AM25" i="3"/>
  <c r="AK49" i="3"/>
  <c r="AM31" i="3"/>
  <c r="AN24" i="3"/>
  <c r="AM45" i="3"/>
  <c r="AM24" i="3"/>
  <c r="AN38" i="3"/>
  <c r="AM40" i="3"/>
  <c r="AN36" i="3"/>
  <c r="AM37" i="3"/>
  <c r="AM28" i="3"/>
  <c r="AM48" i="3"/>
  <c r="AL25" i="3"/>
  <c r="AL41" i="3"/>
  <c r="AM34" i="3"/>
  <c r="AK46" i="3"/>
  <c r="AM32" i="3"/>
  <c r="AN49" i="3"/>
  <c r="AL39" i="3"/>
  <c r="AL30" i="3"/>
  <c r="AM46" i="3"/>
  <c r="AN41" i="3"/>
  <c r="AM41" i="3"/>
  <c r="AK39" i="3"/>
  <c r="AN39" i="3"/>
  <c r="AM30" i="3"/>
  <c r="AM36" i="3"/>
  <c r="AN30" i="3"/>
  <c r="AL32" i="3"/>
  <c r="AM33" i="3"/>
  <c r="AK35" i="3"/>
  <c r="AN46" i="3"/>
  <c r="AN47" i="3"/>
  <c r="AN33" i="3"/>
  <c r="AN34" i="3"/>
  <c r="AN45" i="3"/>
  <c r="AN35" i="3"/>
  <c r="AN32" i="3"/>
  <c r="AN25" i="3"/>
  <c r="AN40" i="3"/>
  <c r="AN44" i="3"/>
  <c r="AN43" i="3"/>
  <c r="AL26" i="3"/>
  <c r="AN28" i="3"/>
  <c r="AL40" i="3"/>
  <c r="AN31" i="3"/>
  <c r="AN42" i="3"/>
  <c r="AK34" i="3"/>
  <c r="AK42" i="3"/>
  <c r="AK33" i="3"/>
  <c r="AK30" i="3"/>
  <c r="AK40" i="3"/>
  <c r="AK38" i="3"/>
  <c r="AK45" i="3"/>
  <c r="AK26" i="3"/>
  <c r="AK43" i="3"/>
  <c r="AK44" i="3"/>
  <c r="AK47" i="3"/>
  <c r="AK32" i="3"/>
  <c r="AK41" i="3"/>
  <c r="AK31" i="3"/>
  <c r="AK25" i="3"/>
  <c r="AK27" i="3"/>
  <c r="AK29" i="3"/>
  <c r="AK24" i="3"/>
  <c r="AK48" i="3"/>
  <c r="AF39" i="3"/>
  <c r="AI44" i="3"/>
  <c r="AI31" i="3"/>
  <c r="AI49" i="3"/>
  <c r="AI26" i="3"/>
  <c r="AI35" i="3"/>
  <c r="AF44" i="3"/>
  <c r="AI29" i="3"/>
  <c r="AI24" i="3"/>
  <c r="AI34" i="3"/>
  <c r="AI43" i="3"/>
  <c r="AI32" i="3"/>
  <c r="AI33" i="3"/>
  <c r="AI38" i="3"/>
  <c r="AI30" i="3"/>
  <c r="AI25" i="3"/>
  <c r="AI45" i="3"/>
  <c r="AI37" i="3"/>
  <c r="AI40" i="3"/>
  <c r="AJ24" i="3"/>
  <c r="AJ45" i="3"/>
  <c r="AJ29" i="3"/>
  <c r="AJ39" i="3"/>
  <c r="AJ34" i="3"/>
  <c r="AJ31" i="3"/>
  <c r="AJ41" i="3"/>
  <c r="AJ33" i="3"/>
  <c r="AJ35" i="3"/>
  <c r="AJ37" i="3"/>
  <c r="AJ30" i="3"/>
  <c r="AJ40" i="3"/>
  <c r="AJ32" i="3"/>
  <c r="AJ42" i="3"/>
  <c r="AJ44" i="3"/>
  <c r="AJ28" i="3"/>
  <c r="AJ47" i="3"/>
  <c r="AJ38" i="3"/>
  <c r="AJ49" i="3"/>
  <c r="AJ43" i="3"/>
  <c r="AJ48" i="3"/>
  <c r="AJ26" i="3"/>
  <c r="AJ36" i="3"/>
  <c r="AJ46" i="3"/>
  <c r="AJ25" i="3"/>
  <c r="AD48" i="3"/>
  <c r="AF28" i="3"/>
  <c r="AI39" i="3"/>
  <c r="AI47" i="3"/>
  <c r="AI41" i="3"/>
  <c r="AI48" i="3"/>
  <c r="AI28" i="3"/>
  <c r="AI46" i="3"/>
  <c r="AI36" i="3"/>
  <c r="AI42" i="3"/>
  <c r="AH37" i="3"/>
  <c r="AF30" i="3"/>
  <c r="AH40" i="3"/>
  <c r="AH26" i="3"/>
  <c r="AH44" i="3"/>
  <c r="AH45" i="3"/>
  <c r="AG47" i="3"/>
  <c r="AG25" i="3"/>
  <c r="AG41" i="3"/>
  <c r="AG35" i="3"/>
  <c r="AH46" i="3"/>
  <c r="AH33" i="3"/>
  <c r="AH42" i="3"/>
  <c r="AH48" i="3"/>
  <c r="AG26" i="3"/>
  <c r="AH28" i="3"/>
  <c r="AH35" i="3"/>
  <c r="AG28" i="3"/>
  <c r="AG30" i="3"/>
  <c r="AH30" i="3"/>
  <c r="AH47" i="3"/>
  <c r="AH31" i="3"/>
  <c r="AH34" i="3"/>
  <c r="AH41" i="3"/>
  <c r="AG44" i="3"/>
  <c r="AG40" i="3"/>
  <c r="AH36" i="3"/>
  <c r="AH49" i="3"/>
  <c r="AH25" i="3"/>
  <c r="AF48" i="3"/>
  <c r="AH39" i="3"/>
  <c r="AH29" i="3"/>
  <c r="AH43" i="3"/>
  <c r="AF34" i="3"/>
  <c r="AG37" i="3"/>
  <c r="AG48" i="3"/>
  <c r="AH38" i="3"/>
  <c r="AH32" i="3"/>
  <c r="AH24" i="3"/>
  <c r="AD47" i="3"/>
  <c r="AG39" i="3"/>
  <c r="AG34" i="3"/>
  <c r="AG46" i="3"/>
  <c r="AG32" i="3"/>
  <c r="AG33" i="3"/>
  <c r="AG43" i="3"/>
  <c r="AD49" i="3"/>
  <c r="AE45" i="3"/>
  <c r="AG38" i="3"/>
  <c r="AG49" i="3"/>
  <c r="AG36" i="3"/>
  <c r="AG45" i="3"/>
  <c r="AG29" i="3"/>
  <c r="AG31" i="3"/>
  <c r="AG42" i="3"/>
  <c r="AG24" i="3"/>
  <c r="AF35" i="3"/>
  <c r="AF40" i="3"/>
  <c r="AF37" i="3"/>
  <c r="AF46" i="3"/>
  <c r="AF24" i="3"/>
  <c r="AF49" i="3"/>
  <c r="AF41" i="3"/>
  <c r="AF26" i="3"/>
  <c r="AF38" i="3"/>
  <c r="AF42" i="3"/>
  <c r="AF29" i="3"/>
  <c r="AF31" i="3"/>
  <c r="AF45" i="3"/>
  <c r="AF47" i="3"/>
  <c r="AF33" i="3"/>
  <c r="AF43" i="3"/>
  <c r="AD41" i="3"/>
  <c r="AE40" i="3"/>
  <c r="AF36" i="3"/>
  <c r="AF25" i="3"/>
  <c r="AE37" i="3"/>
  <c r="AF32" i="3"/>
  <c r="AE31" i="3"/>
  <c r="AE41" i="3"/>
  <c r="AD33" i="3"/>
  <c r="AD24" i="3"/>
  <c r="AD43" i="3"/>
  <c r="AE44" i="3"/>
  <c r="AE26" i="3"/>
  <c r="AE35" i="3"/>
  <c r="AD32" i="3"/>
  <c r="AD26" i="3"/>
  <c r="AE30" i="3"/>
  <c r="AD40" i="3"/>
  <c r="AD31" i="3"/>
  <c r="AD27" i="3"/>
  <c r="AE38" i="3"/>
  <c r="AE24" i="3"/>
  <c r="AE49" i="3"/>
  <c r="AE48" i="3"/>
  <c r="AD28" i="3"/>
  <c r="AE42" i="3"/>
  <c r="AE34" i="3"/>
  <c r="AD25" i="3"/>
  <c r="AD39" i="3"/>
  <c r="AD34" i="3"/>
  <c r="AE29" i="3"/>
  <c r="AE25" i="3"/>
  <c r="AE43" i="3"/>
  <c r="AD42" i="3"/>
  <c r="AE39" i="3"/>
  <c r="AE47" i="3"/>
  <c r="AE33" i="3"/>
  <c r="AE28" i="3"/>
  <c r="AE46" i="3"/>
  <c r="AE36" i="3"/>
  <c r="AE32" i="3"/>
  <c r="Z46" i="3"/>
  <c r="X29" i="3"/>
  <c r="Z25" i="3"/>
  <c r="X41" i="3"/>
  <c r="V37" i="3"/>
  <c r="V40" i="3"/>
  <c r="AD36" i="3"/>
  <c r="Z31" i="3"/>
  <c r="Z26" i="3"/>
  <c r="X46" i="3"/>
  <c r="X26" i="3"/>
  <c r="W39" i="3"/>
  <c r="V33" i="3"/>
  <c r="Z47" i="3"/>
  <c r="Z34" i="3"/>
  <c r="X31" i="3"/>
  <c r="X34" i="3"/>
  <c r="V24" i="3"/>
  <c r="W34" i="3"/>
  <c r="AD44" i="3"/>
  <c r="AD45" i="3"/>
  <c r="AD38" i="3"/>
  <c r="Z36" i="3"/>
  <c r="Z35" i="3"/>
  <c r="X47" i="3"/>
  <c r="X35" i="3"/>
  <c r="V46" i="3"/>
  <c r="V26" i="3"/>
  <c r="Z37" i="3"/>
  <c r="Z43" i="3"/>
  <c r="X24" i="3"/>
  <c r="X43" i="3"/>
  <c r="V28" i="3"/>
  <c r="V34" i="3"/>
  <c r="AD29" i="3"/>
  <c r="Z49" i="3"/>
  <c r="X44" i="3"/>
  <c r="X48" i="3"/>
  <c r="W25" i="3"/>
  <c r="V38" i="3"/>
  <c r="V42" i="3"/>
  <c r="AD46" i="3"/>
  <c r="AC40" i="3"/>
  <c r="Z32" i="3"/>
  <c r="X45" i="3"/>
  <c r="X25" i="3"/>
  <c r="V35" i="3"/>
  <c r="W33" i="3"/>
  <c r="R33" i="3"/>
  <c r="Z30" i="3"/>
  <c r="Z40" i="3"/>
  <c r="X28" i="3"/>
  <c r="X33" i="3"/>
  <c r="V36" i="3"/>
  <c r="V30" i="3"/>
  <c r="AD37" i="3"/>
  <c r="AC33" i="3"/>
  <c r="W46" i="3"/>
  <c r="W42" i="3"/>
  <c r="R42" i="3"/>
  <c r="AC49" i="3"/>
  <c r="W29" i="3"/>
  <c r="R30" i="3"/>
  <c r="AC38" i="3"/>
  <c r="W44" i="3"/>
  <c r="R26" i="3"/>
  <c r="AC39" i="3"/>
  <c r="W40" i="3"/>
  <c r="W24" i="3"/>
  <c r="AC28" i="3"/>
  <c r="AC32" i="3"/>
  <c r="W27" i="3"/>
  <c r="AC29" i="3"/>
  <c r="Z28" i="3"/>
  <c r="Z24" i="3"/>
  <c r="Z42" i="3"/>
  <c r="X30" i="3"/>
  <c r="X32" i="3"/>
  <c r="V43" i="3"/>
  <c r="W38" i="3"/>
  <c r="V48" i="3"/>
  <c r="V49" i="3"/>
  <c r="W35" i="3"/>
  <c r="R27" i="3"/>
  <c r="AC37" i="3"/>
  <c r="Z44" i="3"/>
  <c r="Z48" i="3"/>
  <c r="Z27" i="3"/>
  <c r="X36" i="3"/>
  <c r="X40" i="3"/>
  <c r="V31" i="3"/>
  <c r="V45" i="3"/>
  <c r="W26" i="3"/>
  <c r="R32" i="3"/>
  <c r="R45" i="3"/>
  <c r="AB28" i="3"/>
  <c r="AB45" i="3"/>
  <c r="AB39" i="3"/>
  <c r="AB35" i="3"/>
  <c r="AA38" i="3"/>
  <c r="AA41" i="3"/>
  <c r="AA34" i="3"/>
  <c r="Y36" i="3"/>
  <c r="Y45" i="3"/>
  <c r="Y48" i="3"/>
  <c r="U29" i="3"/>
  <c r="U38" i="3"/>
  <c r="U41" i="3"/>
  <c r="S43" i="3"/>
  <c r="S28" i="3"/>
  <c r="T48" i="3"/>
  <c r="S40" i="3"/>
  <c r="S46" i="3"/>
  <c r="T34" i="3"/>
  <c r="S42" i="3"/>
  <c r="P35" i="3"/>
  <c r="Q46" i="3"/>
  <c r="P38" i="3"/>
  <c r="P28" i="3"/>
  <c r="Q41" i="3"/>
  <c r="Q33" i="3"/>
  <c r="P25" i="3"/>
  <c r="O45" i="3"/>
  <c r="O31" i="3"/>
  <c r="O42" i="3"/>
  <c r="M35" i="3"/>
  <c r="M30" i="3"/>
  <c r="M40" i="3"/>
  <c r="L33" i="3"/>
  <c r="L42" i="3"/>
  <c r="L37" i="3"/>
  <c r="K31" i="3"/>
  <c r="K33" i="3"/>
  <c r="K43" i="3"/>
  <c r="K38" i="3"/>
  <c r="G33" i="3"/>
  <c r="I37" i="3"/>
  <c r="H31" i="3"/>
  <c r="I45" i="3"/>
  <c r="H40" i="3"/>
  <c r="H32" i="3"/>
  <c r="G34" i="3"/>
  <c r="I28" i="3"/>
  <c r="I48" i="3"/>
  <c r="AB46" i="3"/>
  <c r="AB31" i="3"/>
  <c r="AB24" i="3"/>
  <c r="AB43" i="3"/>
  <c r="AA44" i="3"/>
  <c r="AA42" i="3"/>
  <c r="AA27" i="3"/>
  <c r="Y37" i="3"/>
  <c r="Y46" i="3"/>
  <c r="Y25" i="3"/>
  <c r="U45" i="3"/>
  <c r="U39" i="3"/>
  <c r="U49" i="3"/>
  <c r="T29" i="3"/>
  <c r="S35" i="3"/>
  <c r="S29" i="3"/>
  <c r="S48" i="3"/>
  <c r="T31" i="3"/>
  <c r="T42" i="3"/>
  <c r="T27" i="3"/>
  <c r="Q36" i="3"/>
  <c r="P26" i="3"/>
  <c r="Q32" i="3"/>
  <c r="P46" i="3"/>
  <c r="Q42" i="3"/>
  <c r="P33" i="3"/>
  <c r="O28" i="3"/>
  <c r="O47" i="3"/>
  <c r="O27" i="3"/>
  <c r="M42" i="3"/>
  <c r="M38" i="3"/>
  <c r="M48" i="3"/>
  <c r="L25" i="3"/>
  <c r="L47" i="3"/>
  <c r="L29" i="3"/>
  <c r="K39" i="3"/>
  <c r="K41" i="3"/>
  <c r="K28" i="3"/>
  <c r="K46" i="3"/>
  <c r="H28" i="3"/>
  <c r="G29" i="3"/>
  <c r="H48" i="3"/>
  <c r="H27" i="3"/>
  <c r="I30" i="3"/>
  <c r="I26" i="3"/>
  <c r="I33" i="3"/>
  <c r="G45" i="3"/>
  <c r="I32" i="3"/>
  <c r="AB29" i="3"/>
  <c r="AB47" i="3"/>
  <c r="AB40" i="3"/>
  <c r="AA28" i="3"/>
  <c r="AA45" i="3"/>
  <c r="AA39" i="3"/>
  <c r="AA35" i="3"/>
  <c r="Y38" i="3"/>
  <c r="Y31" i="3"/>
  <c r="Y33" i="3"/>
  <c r="U30" i="3"/>
  <c r="U24" i="3"/>
  <c r="U26" i="3"/>
  <c r="T36" i="3"/>
  <c r="S36" i="3"/>
  <c r="T38" i="3"/>
  <c r="T25" i="3"/>
  <c r="S31" i="3"/>
  <c r="S37" i="3"/>
  <c r="T35" i="3"/>
  <c r="P40" i="3"/>
  <c r="Q37" i="3"/>
  <c r="P44" i="3"/>
  <c r="P36" i="3"/>
  <c r="P27" i="3"/>
  <c r="Q31" i="3"/>
  <c r="P41" i="3"/>
  <c r="O29" i="3"/>
  <c r="O46" i="3"/>
  <c r="O24" i="3"/>
  <c r="O35" i="3"/>
  <c r="M28" i="3"/>
  <c r="M46" i="3"/>
  <c r="M25" i="3"/>
  <c r="L48" i="3"/>
  <c r="L39" i="3"/>
  <c r="L44" i="3"/>
  <c r="K47" i="3"/>
  <c r="K49" i="3"/>
  <c r="K36" i="3"/>
  <c r="I41" i="3"/>
  <c r="G35" i="3"/>
  <c r="G41" i="3"/>
  <c r="G48" i="3"/>
  <c r="H44" i="3"/>
  <c r="H37" i="3"/>
  <c r="I38" i="3"/>
  <c r="G25" i="3"/>
  <c r="G46" i="3"/>
  <c r="I43" i="3"/>
  <c r="AC30" i="3"/>
  <c r="AC26" i="3"/>
  <c r="AC25" i="3"/>
  <c r="AB30" i="3"/>
  <c r="AB32" i="3"/>
  <c r="AB33" i="3"/>
  <c r="AA46" i="3"/>
  <c r="AA31" i="3"/>
  <c r="AA24" i="3"/>
  <c r="AA43" i="3"/>
  <c r="Y27" i="3"/>
  <c r="Y39" i="3"/>
  <c r="Y41" i="3"/>
  <c r="U46" i="3"/>
  <c r="U32" i="3"/>
  <c r="U34" i="3"/>
  <c r="S44" i="3"/>
  <c r="T28" i="3"/>
  <c r="S38" i="3"/>
  <c r="T33" i="3"/>
  <c r="S25" i="3"/>
  <c r="T30" i="3"/>
  <c r="T43" i="3"/>
  <c r="P42" i="3"/>
  <c r="Q26" i="3"/>
  <c r="Q39" i="3"/>
  <c r="P45" i="3"/>
  <c r="Q49" i="3"/>
  <c r="R48" i="3"/>
  <c r="P49" i="3"/>
  <c r="O30" i="3"/>
  <c r="O39" i="3"/>
  <c r="O48" i="3"/>
  <c r="O43" i="3"/>
  <c r="M44" i="3"/>
  <c r="M31" i="3"/>
  <c r="M33" i="3"/>
  <c r="L40" i="3"/>
  <c r="L31" i="3"/>
  <c r="L36" i="3"/>
  <c r="K24" i="3"/>
  <c r="K26" i="3"/>
  <c r="K44" i="3"/>
  <c r="G38" i="3"/>
  <c r="I39" i="3"/>
  <c r="H36" i="3"/>
  <c r="G44" i="3"/>
  <c r="H30" i="3"/>
  <c r="H47" i="3"/>
  <c r="H45" i="3"/>
  <c r="G27" i="3"/>
  <c r="H35" i="3"/>
  <c r="I46" i="3"/>
  <c r="AC46" i="3"/>
  <c r="AC34" i="3"/>
  <c r="AC41" i="3"/>
  <c r="AB36" i="3"/>
  <c r="AB48" i="3"/>
  <c r="AB49" i="3"/>
  <c r="AA29" i="3"/>
  <c r="AA47" i="3"/>
  <c r="AA40" i="3"/>
  <c r="Y43" i="3"/>
  <c r="Y47" i="3"/>
  <c r="Y49" i="3"/>
  <c r="U31" i="3"/>
  <c r="U40" i="3"/>
  <c r="U42" i="3"/>
  <c r="T37" i="3"/>
  <c r="S39" i="3"/>
  <c r="T47" i="3"/>
  <c r="T41" i="3"/>
  <c r="S33" i="3"/>
  <c r="S30" i="3"/>
  <c r="Q29" i="3"/>
  <c r="Q38" i="3"/>
  <c r="R41" i="3"/>
  <c r="Q45" i="3"/>
  <c r="R34" i="3"/>
  <c r="Q30" i="3"/>
  <c r="R25" i="3"/>
  <c r="P30" i="3"/>
  <c r="R49" i="3"/>
  <c r="Q27" i="3"/>
  <c r="O36" i="3"/>
  <c r="O32" i="3"/>
  <c r="O33" i="3"/>
  <c r="M43" i="3"/>
  <c r="M29" i="3"/>
  <c r="M39" i="3"/>
  <c r="M41" i="3"/>
  <c r="L32" i="3"/>
  <c r="L46" i="3"/>
  <c r="L43" i="3"/>
  <c r="K32" i="3"/>
  <c r="K34" i="3"/>
  <c r="K29" i="3"/>
  <c r="I34" i="3"/>
  <c r="I49" i="3"/>
  <c r="G43" i="3"/>
  <c r="G47" i="3"/>
  <c r="H49" i="3"/>
  <c r="G36" i="3"/>
  <c r="I25" i="3"/>
  <c r="I24" i="3"/>
  <c r="G28" i="3"/>
  <c r="I42" i="3"/>
  <c r="AC31" i="3"/>
  <c r="AC42" i="3"/>
  <c r="AC27" i="3"/>
  <c r="AB37" i="3"/>
  <c r="AB25" i="3"/>
  <c r="AB26" i="3"/>
  <c r="AA30" i="3"/>
  <c r="AA32" i="3"/>
  <c r="AA33" i="3"/>
  <c r="Y28" i="3"/>
  <c r="Y24" i="3"/>
  <c r="Y26" i="3"/>
  <c r="W48" i="3"/>
  <c r="W31" i="3"/>
  <c r="W30" i="3"/>
  <c r="W45" i="3"/>
  <c r="W36" i="3"/>
  <c r="W41" i="3"/>
  <c r="W43" i="3"/>
  <c r="U47" i="3"/>
  <c r="U48" i="3"/>
  <c r="U27" i="3"/>
  <c r="T44" i="3"/>
  <c r="T24" i="3"/>
  <c r="S47" i="3"/>
  <c r="T49" i="3"/>
  <c r="S41" i="3"/>
  <c r="T39" i="3"/>
  <c r="R31" i="3"/>
  <c r="P24" i="3"/>
  <c r="P43" i="3"/>
  <c r="R43" i="3"/>
  <c r="P37" i="3"/>
  <c r="Q48" i="3"/>
  <c r="R47" i="3"/>
  <c r="P39" i="3"/>
  <c r="R28" i="3"/>
  <c r="Q35" i="3"/>
  <c r="O37" i="3"/>
  <c r="O40" i="3"/>
  <c r="O41" i="3"/>
  <c r="M26" i="3"/>
  <c r="M36" i="3"/>
  <c r="M47" i="3"/>
  <c r="M49" i="3"/>
  <c r="L24" i="3"/>
  <c r="L38" i="3"/>
  <c r="L27" i="3"/>
  <c r="K40" i="3"/>
  <c r="K42" i="3"/>
  <c r="K37" i="3"/>
  <c r="G39" i="3"/>
  <c r="G31" i="3"/>
  <c r="I47" i="3"/>
  <c r="H41" i="3"/>
  <c r="G24" i="3"/>
  <c r="I35" i="3"/>
  <c r="H39" i="3"/>
  <c r="H33" i="3"/>
  <c r="H29" i="3"/>
  <c r="H43" i="3"/>
  <c r="AC36" i="3"/>
  <c r="AC47" i="3"/>
  <c r="AC44" i="3"/>
  <c r="AC35" i="3"/>
  <c r="AB38" i="3"/>
  <c r="AB41" i="3"/>
  <c r="AB34" i="3"/>
  <c r="AA36" i="3"/>
  <c r="AA48" i="3"/>
  <c r="AA49" i="3"/>
  <c r="Z29" i="3"/>
  <c r="Z38" i="3"/>
  <c r="Z33" i="3"/>
  <c r="Y30" i="3"/>
  <c r="Y44" i="3"/>
  <c r="Y32" i="3"/>
  <c r="Y34" i="3"/>
  <c r="X37" i="3"/>
  <c r="X49" i="3"/>
  <c r="X42" i="3"/>
  <c r="V44" i="3"/>
  <c r="W37" i="3"/>
  <c r="V27" i="3"/>
  <c r="V29" i="3"/>
  <c r="W47" i="3"/>
  <c r="V25" i="3"/>
  <c r="U28" i="3"/>
  <c r="U36" i="3"/>
  <c r="U25" i="3"/>
  <c r="U35" i="3"/>
  <c r="S27" i="3"/>
  <c r="T32" i="3"/>
  <c r="S24" i="3"/>
  <c r="S45" i="3"/>
  <c r="S49" i="3"/>
  <c r="S26" i="3"/>
  <c r="P34" i="3"/>
  <c r="P32" i="3"/>
  <c r="Q25" i="3"/>
  <c r="P31" i="3"/>
  <c r="Q40" i="3"/>
  <c r="R24" i="3"/>
  <c r="P29" i="3"/>
  <c r="P48" i="3"/>
  <c r="R36" i="3"/>
  <c r="Q43" i="3"/>
  <c r="O38" i="3"/>
  <c r="O25" i="3"/>
  <c r="O26" i="3"/>
  <c r="M27" i="3"/>
  <c r="M37" i="3"/>
  <c r="M24" i="3"/>
  <c r="L49" i="3"/>
  <c r="L28" i="3"/>
  <c r="L30" i="3"/>
  <c r="L34" i="3"/>
  <c r="K48" i="3"/>
  <c r="K27" i="3"/>
  <c r="K45" i="3"/>
  <c r="H26" i="3"/>
  <c r="H25" i="3"/>
  <c r="G26" i="3"/>
  <c r="H42" i="3"/>
  <c r="I36" i="3"/>
  <c r="G37" i="3"/>
  <c r="H24" i="3"/>
  <c r="H38" i="3"/>
  <c r="H46" i="3"/>
  <c r="G42" i="3"/>
  <c r="AC48" i="3"/>
  <c r="AC24" i="3"/>
  <c r="AC45" i="3"/>
  <c r="AB44" i="3"/>
  <c r="AB42" i="3"/>
  <c r="AA37" i="3"/>
  <c r="AA25" i="3"/>
  <c r="Z45" i="3"/>
  <c r="Z39" i="3"/>
  <c r="Y35" i="3"/>
  <c r="Y29" i="3"/>
  <c r="Y40" i="3"/>
  <c r="X38" i="3"/>
  <c r="X39" i="3"/>
  <c r="W28" i="3"/>
  <c r="V32" i="3"/>
  <c r="V47" i="3"/>
  <c r="V39" i="3"/>
  <c r="U44" i="3"/>
  <c r="U37" i="3"/>
  <c r="U33" i="3"/>
  <c r="T45" i="3"/>
  <c r="T40" i="3"/>
  <c r="S32" i="3"/>
  <c r="T46" i="3"/>
  <c r="Q34" i="3"/>
  <c r="Q47" i="3"/>
  <c r="Q44" i="3"/>
  <c r="Q28" i="3"/>
  <c r="R35" i="3"/>
  <c r="R46" i="3"/>
  <c r="R44" i="3"/>
  <c r="O44" i="3"/>
  <c r="O49" i="3"/>
  <c r="M34" i="3"/>
  <c r="M45" i="3"/>
  <c r="L41" i="3"/>
  <c r="L35" i="3"/>
  <c r="L45" i="3"/>
  <c r="K25" i="3"/>
  <c r="K35" i="3"/>
  <c r="I29" i="3"/>
  <c r="G40" i="3"/>
  <c r="I40" i="3"/>
  <c r="G30" i="3"/>
  <c r="I44" i="3"/>
  <c r="G49" i="3"/>
  <c r="I27" i="3"/>
  <c r="J45" i="3"/>
  <c r="J37" i="3"/>
  <c r="J29" i="3"/>
  <c r="J27" i="3"/>
  <c r="J44" i="3"/>
  <c r="J36" i="3"/>
  <c r="J28" i="3"/>
  <c r="J33" i="3"/>
  <c r="J40" i="3"/>
  <c r="J43" i="3"/>
  <c r="J35" i="3"/>
  <c r="J48" i="3"/>
  <c r="J24" i="3"/>
  <c r="J42" i="3"/>
  <c r="J34" i="3"/>
  <c r="J47" i="3"/>
  <c r="J39" i="3"/>
  <c r="J31" i="3"/>
  <c r="J38" i="3"/>
  <c r="J49" i="3"/>
  <c r="J41" i="3"/>
  <c r="J32" i="3"/>
  <c r="J46" i="3"/>
  <c r="J30" i="3"/>
  <c r="J26" i="3"/>
  <c r="J25" i="3"/>
  <c r="N49" i="3"/>
  <c r="N41" i="3"/>
  <c r="N33" i="3"/>
  <c r="N25" i="3"/>
  <c r="N28" i="3"/>
  <c r="N48" i="3"/>
  <c r="N40" i="3"/>
  <c r="N32" i="3"/>
  <c r="N24" i="3"/>
  <c r="N31" i="3"/>
  <c r="N37" i="3"/>
  <c r="N44" i="3"/>
  <c r="N47" i="3"/>
  <c r="N39" i="3"/>
  <c r="N45" i="3"/>
  <c r="N29" i="3"/>
  <c r="N46" i="3"/>
  <c r="N38" i="3"/>
  <c r="N30" i="3"/>
  <c r="N43" i="3"/>
  <c r="N35" i="3"/>
  <c r="N27" i="3"/>
  <c r="N34" i="3"/>
  <c r="N26" i="3"/>
  <c r="N36" i="3"/>
  <c r="N42" i="3"/>
  <c r="U440" i="3"/>
  <c r="U453" i="3"/>
  <c r="U452" i="3"/>
  <c r="U445" i="3"/>
  <c r="U439" i="3"/>
  <c r="U447" i="3"/>
  <c r="U450" i="3"/>
  <c r="U449" i="3"/>
  <c r="U442" i="3"/>
  <c r="U444" i="3"/>
  <c r="U446" i="3"/>
  <c r="U454" i="3"/>
  <c r="U441" i="3"/>
  <c r="U443" i="3"/>
  <c r="U451" i="3"/>
  <c r="U448" i="3"/>
  <c r="U455" i="3"/>
  <c r="L366" i="3"/>
  <c r="Q366" i="3"/>
  <c r="W366" i="3"/>
  <c r="AM366" i="3"/>
  <c r="G366" i="3"/>
  <c r="AI51" i="3"/>
  <c r="AA51" i="3"/>
  <c r="T51" i="3"/>
  <c r="G51" i="3"/>
  <c r="Z366" i="3"/>
  <c r="AL366" i="3"/>
  <c r="AP51" i="3"/>
  <c r="Y51" i="3"/>
  <c r="AC366" i="3"/>
  <c r="I366" i="3"/>
  <c r="AO51" i="3"/>
  <c r="X51" i="3"/>
  <c r="F51" i="3"/>
  <c r="T366" i="3"/>
  <c r="N366" i="3"/>
  <c r="V51" i="3"/>
  <c r="AD366" i="3"/>
  <c r="X366" i="3"/>
  <c r="AK51" i="3"/>
  <c r="L51" i="3"/>
  <c r="AP366" i="3"/>
  <c r="AB51" i="3"/>
  <c r="F366" i="3"/>
  <c r="AA366" i="3"/>
  <c r="AB366" i="3"/>
  <c r="Y366" i="3"/>
  <c r="AL51" i="3"/>
  <c r="AH51" i="3"/>
  <c r="Z51" i="3"/>
  <c r="R51" i="3"/>
  <c r="I51" i="3"/>
  <c r="AI366" i="3"/>
  <c r="O366" i="3"/>
  <c r="AG51" i="3"/>
  <c r="Q51" i="3"/>
  <c r="H51" i="3"/>
  <c r="U366" i="3"/>
  <c r="AN366" i="3"/>
  <c r="AF51" i="3"/>
  <c r="P51" i="3"/>
  <c r="AH366" i="3"/>
  <c r="H366" i="3"/>
  <c r="AN51" i="3"/>
  <c r="AE51" i="3"/>
  <c r="O51" i="3"/>
  <c r="S366" i="3"/>
  <c r="AG366" i="3"/>
  <c r="U51" i="3"/>
  <c r="J366" i="3"/>
  <c r="P366" i="3"/>
  <c r="AJ51" i="3"/>
  <c r="K51" i="3"/>
  <c r="R366" i="3"/>
  <c r="AE366" i="3"/>
  <c r="AF366" i="3"/>
  <c r="AK366" i="3"/>
  <c r="M366" i="3"/>
  <c r="K366" i="3"/>
  <c r="V366" i="3"/>
  <c r="AJ366" i="3"/>
  <c r="AM51" i="3"/>
  <c r="AD51" i="3"/>
  <c r="W51" i="3"/>
  <c r="M51" i="3"/>
  <c r="AC51" i="3"/>
  <c r="AO366" i="3"/>
  <c r="S51" i="3"/>
  <c r="H256" i="3" l="1"/>
  <c r="R261" i="3"/>
  <c r="R260" i="3"/>
  <c r="R262" i="3"/>
  <c r="AL260" i="3"/>
  <c r="N257" i="3"/>
  <c r="X255" i="3"/>
  <c r="AO247" i="3"/>
  <c r="F259" i="3"/>
  <c r="T256" i="3"/>
  <c r="W261" i="3"/>
  <c r="AG255" i="3"/>
  <c r="AH260" i="3"/>
  <c r="AH247" i="3"/>
  <c r="AJ250" i="3"/>
  <c r="AJ255" i="3"/>
  <c r="AI262" i="3"/>
  <c r="AK253" i="3"/>
  <c r="AL262" i="3"/>
  <c r="AN257" i="3"/>
  <c r="AL254" i="3"/>
  <c r="AL247" i="3"/>
  <c r="AK258" i="3"/>
  <c r="AN251" i="3"/>
  <c r="AL255" i="3"/>
  <c r="AO261" i="3"/>
  <c r="AO251" i="3"/>
  <c r="AO254" i="3"/>
  <c r="AP248" i="3"/>
  <c r="AP263" i="3"/>
  <c r="AP256" i="3"/>
  <c r="AP251" i="3"/>
  <c r="F254" i="3"/>
  <c r="Y257" i="3"/>
  <c r="Q247" i="3"/>
  <c r="AB256" i="3"/>
  <c r="T261" i="3"/>
  <c r="R256" i="3"/>
  <c r="U252" i="3"/>
  <c r="O250" i="3"/>
  <c r="L259" i="3"/>
  <c r="U260" i="3"/>
  <c r="V255" i="3"/>
  <c r="AE257" i="3"/>
  <c r="AG253" i="3"/>
  <c r="AI254" i="3"/>
  <c r="AN253" i="3"/>
  <c r="AM248" i="3"/>
  <c r="F256" i="3"/>
  <c r="F262" i="3"/>
  <c r="K257" i="3"/>
  <c r="G248" i="3"/>
  <c r="P254" i="3"/>
  <c r="W259" i="3"/>
  <c r="H255" i="3"/>
  <c r="M258" i="3"/>
  <c r="AC249" i="3"/>
  <c r="S261" i="3"/>
  <c r="AA253" i="3"/>
  <c r="Q253" i="3"/>
  <c r="T253" i="3"/>
  <c r="AB253" i="3"/>
  <c r="P247" i="3"/>
  <c r="AB261" i="3"/>
  <c r="W257" i="3"/>
  <c r="W262" i="3"/>
  <c r="AE255" i="3"/>
  <c r="AE260" i="3"/>
  <c r="AE259" i="3"/>
  <c r="AG251" i="3"/>
  <c r="AI253" i="3"/>
  <c r="F261" i="3"/>
  <c r="K247" i="3"/>
  <c r="S254" i="3"/>
  <c r="V254" i="3"/>
  <c r="H247" i="3"/>
  <c r="R258" i="3"/>
  <c r="P256" i="3"/>
  <c r="U247" i="3"/>
  <c r="Z255" i="3"/>
  <c r="AB260" i="3"/>
  <c r="H261" i="3"/>
  <c r="M248" i="3"/>
  <c r="W263" i="3"/>
  <c r="Y250" i="3"/>
  <c r="O258" i="3"/>
  <c r="R263" i="3"/>
  <c r="T259" i="3"/>
  <c r="U254" i="3"/>
  <c r="P249" i="3"/>
  <c r="T247" i="3"/>
  <c r="Y253" i="3"/>
  <c r="AB251" i="3"/>
  <c r="G251" i="3"/>
  <c r="L247" i="3"/>
  <c r="L255" i="3"/>
  <c r="Q255" i="3"/>
  <c r="X262" i="3"/>
  <c r="Z250" i="3"/>
  <c r="AC261" i="3"/>
  <c r="Z262" i="3"/>
  <c r="AC262" i="3"/>
  <c r="W256" i="3"/>
  <c r="X248" i="3"/>
  <c r="Z247" i="3"/>
  <c r="AD247" i="3"/>
  <c r="AD249" i="3"/>
  <c r="AF247" i="3"/>
  <c r="AF253" i="3"/>
  <c r="AG254" i="3"/>
  <c r="AH252" i="3"/>
  <c r="AH255" i="3"/>
  <c r="AH248" i="3"/>
  <c r="AJ258" i="3"/>
  <c r="AJ263" i="3"/>
  <c r="AI259" i="3"/>
  <c r="AI256" i="3"/>
  <c r="AK263" i="3"/>
  <c r="AK262" i="3"/>
  <c r="AN250" i="3"/>
  <c r="AN252" i="3"/>
  <c r="AL252" i="3"/>
  <c r="AN248" i="3"/>
  <c r="AM257" i="3"/>
  <c r="AL256" i="3"/>
  <c r="AO258" i="3"/>
  <c r="AP247" i="3"/>
  <c r="R259" i="3"/>
  <c r="F248" i="3"/>
  <c r="S249" i="3"/>
  <c r="G261" i="3"/>
  <c r="Y248" i="3"/>
  <c r="O255" i="3"/>
  <c r="AC256" i="3"/>
  <c r="P263" i="3"/>
  <c r="Z259" i="3"/>
  <c r="AE246" i="3"/>
  <c r="AH253" i="3"/>
  <c r="AJ257" i="3"/>
  <c r="AL263" i="3"/>
  <c r="AO259" i="3"/>
  <c r="AP260" i="3"/>
  <c r="Z261" i="3"/>
  <c r="L250" i="3"/>
  <c r="U257" i="3"/>
  <c r="Y252" i="3"/>
  <c r="K259" i="3"/>
  <c r="S263" i="3"/>
  <c r="L262" i="3"/>
  <c r="Y255" i="3"/>
  <c r="P255" i="3"/>
  <c r="H253" i="3"/>
  <c r="Z254" i="3"/>
  <c r="V248" i="3"/>
  <c r="X263" i="3"/>
  <c r="AD261" i="3"/>
  <c r="AE248" i="3"/>
  <c r="AK260" i="3"/>
  <c r="F249" i="3"/>
  <c r="T262" i="3"/>
  <c r="W250" i="3"/>
  <c r="AA247" i="3"/>
  <c r="H248" i="3"/>
  <c r="S248" i="3"/>
  <c r="U258" i="3"/>
  <c r="Z260" i="3"/>
  <c r="AC257" i="3"/>
  <c r="K262" i="3"/>
  <c r="O263" i="3"/>
  <c r="P259" i="3"/>
  <c r="W258" i="3"/>
  <c r="AA255" i="3"/>
  <c r="AC253" i="3"/>
  <c r="L254" i="3"/>
  <c r="Q249" i="3"/>
  <c r="Q260" i="3"/>
  <c r="AA251" i="3"/>
  <c r="H257" i="3"/>
  <c r="G260" i="3"/>
  <c r="T252" i="3"/>
  <c r="AB255" i="3"/>
  <c r="G247" i="3"/>
  <c r="K258" i="3"/>
  <c r="P258" i="3"/>
  <c r="T260" i="3"/>
  <c r="Y260" i="3"/>
  <c r="H250" i="3"/>
  <c r="S251" i="3"/>
  <c r="Y259" i="3"/>
  <c r="G255" i="3"/>
  <c r="Q263" i="3"/>
  <c r="S262" i="3"/>
  <c r="AB250" i="3"/>
  <c r="X258" i="3"/>
  <c r="AC251" i="3"/>
  <c r="R248" i="3"/>
  <c r="Z252" i="3"/>
  <c r="V256" i="3"/>
  <c r="X257" i="3"/>
  <c r="X251" i="3"/>
  <c r="AE261" i="3"/>
  <c r="AE256" i="3"/>
  <c r="AD253" i="3"/>
  <c r="AF258" i="3"/>
  <c r="AF251" i="3"/>
  <c r="AF259" i="3"/>
  <c r="AG258" i="3"/>
  <c r="AG259" i="3"/>
  <c r="AH258" i="3"/>
  <c r="AG252" i="3"/>
  <c r="AH262" i="3"/>
  <c r="AI263" i="3"/>
  <c r="AJ248" i="3"/>
  <c r="AJ253" i="3"/>
  <c r="AI246" i="3"/>
  <c r="AF261" i="3"/>
  <c r="AK254" i="3"/>
  <c r="AK252" i="3"/>
  <c r="AL248" i="3"/>
  <c r="AN256" i="3"/>
  <c r="AM258" i="3"/>
  <c r="AL261" i="3"/>
  <c r="AM250" i="3"/>
  <c r="AM253" i="3"/>
  <c r="AL259" i="3"/>
  <c r="AL249" i="3"/>
  <c r="AO252" i="3"/>
  <c r="AP253" i="3"/>
  <c r="AP257" i="3"/>
  <c r="V261" i="3"/>
  <c r="O260" i="3"/>
  <c r="V249" i="3"/>
  <c r="P261" i="3"/>
  <c r="G258" i="3"/>
  <c r="O252" i="3"/>
  <c r="H249" i="3"/>
  <c r="AE250" i="3"/>
  <c r="AF254" i="3"/>
  <c r="AJ247" i="3"/>
  <c r="AN254" i="3"/>
  <c r="AN263" i="3"/>
  <c r="AO253" i="3"/>
  <c r="AB263" i="3"/>
  <c r="O254" i="3"/>
  <c r="AA262" i="3"/>
  <c r="H258" i="3"/>
  <c r="U256" i="3"/>
  <c r="G257" i="3"/>
  <c r="S253" i="3"/>
  <c r="Y247" i="3"/>
  <c r="U251" i="3"/>
  <c r="V253" i="3"/>
  <c r="X250" i="3"/>
  <c r="F257" i="3"/>
  <c r="F250" i="3"/>
  <c r="F253" i="3"/>
  <c r="L257" i="3"/>
  <c r="R257" i="3"/>
  <c r="X261" i="3"/>
  <c r="AA259" i="3"/>
  <c r="H260" i="3"/>
  <c r="P251" i="3"/>
  <c r="U250" i="3"/>
  <c r="Z251" i="3"/>
  <c r="L249" i="3"/>
  <c r="O262" i="3"/>
  <c r="AA254" i="3"/>
  <c r="Q251" i="3"/>
  <c r="U262" i="3"/>
  <c r="G249" i="3"/>
  <c r="S247" i="3"/>
  <c r="Y263" i="3"/>
  <c r="AB254" i="3"/>
  <c r="O257" i="3"/>
  <c r="S258" i="3"/>
  <c r="AA257" i="3"/>
  <c r="Q254" i="3"/>
  <c r="S257" i="3"/>
  <c r="AA249" i="3"/>
  <c r="K260" i="3"/>
  <c r="P250" i="3"/>
  <c r="Y258" i="3"/>
  <c r="Z249" i="3"/>
  <c r="W260" i="3"/>
  <c r="W249" i="3"/>
  <c r="AC255" i="3"/>
  <c r="R255" i="3"/>
  <c r="V250" i="3"/>
  <c r="X256" i="3"/>
  <c r="Z248" i="3"/>
  <c r="AD262" i="3"/>
  <c r="AD246" i="3"/>
  <c r="AE262" i="3"/>
  <c r="AF262" i="3"/>
  <c r="AG256" i="3"/>
  <c r="AF256" i="3"/>
  <c r="AG262" i="3"/>
  <c r="AG250" i="3"/>
  <c r="AG257" i="3"/>
  <c r="AF252" i="3"/>
  <c r="AJ254" i="3"/>
  <c r="AJ256" i="3"/>
  <c r="AI247" i="3"/>
  <c r="AI251" i="3"/>
  <c r="AK255" i="3"/>
  <c r="AN255" i="3"/>
  <c r="AM252" i="3"/>
  <c r="AM259" i="3"/>
  <c r="AL258" i="3"/>
  <c r="AO255" i="3"/>
  <c r="AO256" i="3"/>
  <c r="AP252" i="3"/>
  <c r="AP262" i="3"/>
  <c r="AB259" i="3"/>
  <c r="AC252" i="3"/>
  <c r="F247" i="3"/>
  <c r="L263" i="3"/>
  <c r="X260" i="3"/>
  <c r="K249" i="3"/>
  <c r="V247" i="3"/>
  <c r="X259" i="3"/>
  <c r="H263" i="3"/>
  <c r="L260" i="3"/>
  <c r="O259" i="3"/>
  <c r="W252" i="3"/>
  <c r="AA252" i="3"/>
  <c r="G250" i="3"/>
  <c r="P252" i="3"/>
  <c r="S252" i="3"/>
  <c r="U253" i="3"/>
  <c r="K248" i="3"/>
  <c r="T255" i="3"/>
  <c r="Y261" i="3"/>
  <c r="AB252" i="3"/>
  <c r="H259" i="3"/>
  <c r="Q259" i="3"/>
  <c r="T258" i="3"/>
  <c r="AA261" i="3"/>
  <c r="P248" i="3"/>
  <c r="T251" i="3"/>
  <c r="G256" i="3"/>
  <c r="P260" i="3"/>
  <c r="S250" i="3"/>
  <c r="AA256" i="3"/>
  <c r="R254" i="3"/>
  <c r="AC254" i="3"/>
  <c r="AC260" i="3"/>
  <c r="AD259" i="3"/>
  <c r="W255" i="3"/>
  <c r="V260" i="3"/>
  <c r="Z257" i="3"/>
  <c r="X253" i="3"/>
  <c r="Z253" i="3"/>
  <c r="AE254" i="3"/>
  <c r="AD250" i="3"/>
  <c r="AE252" i="3"/>
  <c r="AD255" i="3"/>
  <c r="AD263" i="3"/>
  <c r="AF260" i="3"/>
  <c r="AF257" i="3"/>
  <c r="AG260" i="3"/>
  <c r="AG261" i="3"/>
  <c r="AH257" i="3"/>
  <c r="AG263" i="3"/>
  <c r="AH259" i="3"/>
  <c r="AI261" i="3"/>
  <c r="AJ262" i="3"/>
  <c r="AJ261" i="3"/>
  <c r="AI252" i="3"/>
  <c r="AN261" i="3"/>
  <c r="AM254" i="3"/>
  <c r="AN258" i="3"/>
  <c r="AM247" i="3"/>
  <c r="AM249" i="3"/>
  <c r="AL250" i="3"/>
  <c r="AO263" i="3"/>
  <c r="AO250" i="3"/>
  <c r="AP259" i="3"/>
  <c r="AP250" i="3"/>
  <c r="H251" i="3"/>
  <c r="L253" i="3"/>
  <c r="AB262" i="3"/>
  <c r="AB257" i="3"/>
  <c r="V259" i="3"/>
  <c r="AM255" i="3"/>
  <c r="U255" i="3"/>
  <c r="U259" i="3"/>
  <c r="O248" i="3"/>
  <c r="Y256" i="3"/>
  <c r="Q257" i="3"/>
  <c r="U249" i="3"/>
  <c r="K251" i="3"/>
  <c r="M251" i="3"/>
  <c r="R247" i="3"/>
  <c r="S255" i="3"/>
  <c r="AB258" i="3"/>
  <c r="K246" i="3"/>
  <c r="Q261" i="3"/>
  <c r="S260" i="3"/>
  <c r="Y249" i="3"/>
  <c r="AC247" i="3"/>
  <c r="P262" i="3"/>
  <c r="U248" i="3"/>
  <c r="K263" i="3"/>
  <c r="O249" i="3"/>
  <c r="Q258" i="3"/>
  <c r="H254" i="3"/>
  <c r="K255" i="3"/>
  <c r="AA263" i="3"/>
  <c r="W248" i="3"/>
  <c r="X254" i="3"/>
  <c r="AC250" i="3"/>
  <c r="R252" i="3"/>
  <c r="V252" i="3"/>
  <c r="V257" i="3"/>
  <c r="W247" i="3"/>
  <c r="Z258" i="3"/>
  <c r="Z256" i="3"/>
  <c r="AD258" i="3"/>
  <c r="AE258" i="3"/>
  <c r="AD248" i="3"/>
  <c r="AE263" i="3"/>
  <c r="AF248" i="3"/>
  <c r="AH251" i="3"/>
  <c r="AH263" i="3"/>
  <c r="AH250" i="3"/>
  <c r="AG247" i="3"/>
  <c r="AF250" i="3"/>
  <c r="AJ252" i="3"/>
  <c r="AJ251" i="3"/>
  <c r="AI260" i="3"/>
  <c r="AI257" i="3"/>
  <c r="AK251" i="3"/>
  <c r="AK256" i="3"/>
  <c r="AN262" i="3"/>
  <c r="AK261" i="3"/>
  <c r="AM262" i="3"/>
  <c r="AM251" i="3"/>
  <c r="AM260" i="3"/>
  <c r="AK259" i="3"/>
  <c r="AL257" i="3"/>
  <c r="AO260" i="3"/>
  <c r="AO248" i="3"/>
  <c r="AP258" i="3"/>
  <c r="AP255" i="3"/>
  <c r="AP261" i="3"/>
  <c r="Q256" i="3"/>
  <c r="L252" i="3"/>
  <c r="K254" i="3"/>
  <c r="G263" i="3"/>
  <c r="S259" i="3"/>
  <c r="L251" i="3"/>
  <c r="R249" i="3"/>
  <c r="AD256" i="3"/>
  <c r="AH254" i="3"/>
  <c r="AK247" i="3"/>
  <c r="AM261" i="3"/>
  <c r="N254" i="3"/>
  <c r="F258" i="3"/>
  <c r="G252" i="3"/>
  <c r="Q250" i="3"/>
  <c r="N262" i="3"/>
  <c r="F251" i="3"/>
  <c r="F252" i="3"/>
  <c r="F255" i="3"/>
  <c r="Y262" i="3"/>
  <c r="G259" i="3"/>
  <c r="Q262" i="3"/>
  <c r="AC258" i="3"/>
  <c r="L246" i="3"/>
  <c r="W253" i="3"/>
  <c r="AB248" i="3"/>
  <c r="F260" i="3"/>
  <c r="F263" i="3"/>
  <c r="G262" i="3"/>
  <c r="Y251" i="3"/>
  <c r="L256" i="3"/>
  <c r="O247" i="3"/>
  <c r="P253" i="3"/>
  <c r="T254" i="3"/>
  <c r="V251" i="3"/>
  <c r="Y254" i="3"/>
  <c r="AA258" i="3"/>
  <c r="G253" i="3"/>
  <c r="R250" i="3"/>
  <c r="R253" i="3"/>
  <c r="AB247" i="3"/>
  <c r="K256" i="3"/>
  <c r="Q252" i="3"/>
  <c r="T263" i="3"/>
  <c r="AC263" i="3"/>
  <c r="H252" i="3"/>
  <c r="L258" i="3"/>
  <c r="O261" i="3"/>
  <c r="Q248" i="3"/>
  <c r="T250" i="3"/>
  <c r="AC248" i="3"/>
  <c r="L261" i="3"/>
  <c r="O251" i="3"/>
  <c r="T257" i="3"/>
  <c r="AA250" i="3"/>
  <c r="K261" i="3"/>
  <c r="T249" i="3"/>
  <c r="U261" i="3"/>
  <c r="H262" i="3"/>
  <c r="K253" i="3"/>
  <c r="O253" i="3"/>
  <c r="P257" i="3"/>
  <c r="U263" i="3"/>
  <c r="AA260" i="3"/>
  <c r="W254" i="3"/>
  <c r="AC259" i="3"/>
  <c r="X252" i="3"/>
  <c r="W251" i="3"/>
  <c r="V258" i="3"/>
  <c r="X247" i="3"/>
  <c r="AD260" i="3"/>
  <c r="V262" i="3"/>
  <c r="AE251" i="3"/>
  <c r="AD254" i="3"/>
  <c r="AE253" i="3"/>
  <c r="AF255" i="3"/>
  <c r="AF263" i="3"/>
  <c r="AH261" i="3"/>
  <c r="AH256" i="3"/>
  <c r="AG248" i="3"/>
  <c r="AI258" i="3"/>
  <c r="AJ260" i="3"/>
  <c r="AJ259" i="3"/>
  <c r="AI255" i="3"/>
  <c r="AI248" i="3"/>
  <c r="AK249" i="3"/>
  <c r="AK248" i="3"/>
  <c r="AN247" i="3"/>
  <c r="AK257" i="3"/>
  <c r="AM263" i="3"/>
  <c r="AM256" i="3"/>
  <c r="AN260" i="3"/>
  <c r="AN259" i="3"/>
  <c r="AL251" i="3"/>
  <c r="AD257" i="3"/>
  <c r="AO262" i="3"/>
  <c r="AO257" i="3"/>
  <c r="AP254" i="3"/>
  <c r="AP246" i="3"/>
  <c r="AO246" i="3"/>
  <c r="AN246" i="3"/>
  <c r="AL246" i="3"/>
  <c r="AM246" i="3"/>
  <c r="AK246" i="3"/>
  <c r="AJ246" i="3"/>
  <c r="AI250" i="3"/>
  <c r="AH246" i="3"/>
  <c r="AG246" i="3"/>
  <c r="AF246" i="3"/>
  <c r="AE247" i="3"/>
  <c r="AD251" i="3"/>
  <c r="AC246" i="3"/>
  <c r="AB246" i="3"/>
  <c r="AA246" i="3"/>
  <c r="Z246" i="3"/>
  <c r="Y246" i="3"/>
  <c r="X246" i="3"/>
  <c r="V246" i="3"/>
  <c r="W246" i="3"/>
  <c r="U246" i="3"/>
  <c r="T246" i="3"/>
  <c r="S246" i="3"/>
  <c r="Q246" i="3"/>
  <c r="R246" i="3"/>
  <c r="P246" i="3"/>
  <c r="O246" i="3"/>
  <c r="M253" i="3"/>
  <c r="M256" i="3"/>
  <c r="M250" i="3"/>
  <c r="M255" i="3"/>
  <c r="M260" i="3"/>
  <c r="M261" i="3"/>
  <c r="N258" i="3"/>
  <c r="N248" i="3"/>
  <c r="M263" i="3"/>
  <c r="M249" i="3"/>
  <c r="M259" i="3"/>
  <c r="M247" i="3"/>
  <c r="M252" i="3"/>
  <c r="M257" i="3"/>
  <c r="N249" i="3"/>
  <c r="M262" i="3"/>
  <c r="N260" i="3"/>
  <c r="N246" i="3"/>
  <c r="N256" i="3"/>
  <c r="N261" i="3"/>
  <c r="N263" i="3"/>
  <c r="N252" i="3"/>
  <c r="N251" i="3"/>
  <c r="N253" i="3"/>
  <c r="N259" i="3"/>
  <c r="N250" i="3"/>
  <c r="N255" i="3"/>
  <c r="I250" i="3"/>
  <c r="I260" i="3"/>
  <c r="I254" i="3"/>
  <c r="I258" i="3"/>
  <c r="I251" i="3"/>
  <c r="I259" i="3"/>
  <c r="J258" i="3"/>
  <c r="M246" i="3"/>
  <c r="I263" i="3"/>
  <c r="I249" i="3"/>
  <c r="I248" i="3"/>
  <c r="J259" i="3"/>
  <c r="J251" i="3"/>
  <c r="I262" i="3"/>
  <c r="J250" i="3"/>
  <c r="J254" i="3"/>
  <c r="J260" i="3"/>
  <c r="I247" i="3"/>
  <c r="K250" i="3"/>
  <c r="F246" i="3"/>
  <c r="H246" i="3"/>
  <c r="J246" i="3"/>
  <c r="I246" i="3"/>
  <c r="G246" i="3"/>
  <c r="J249" i="3"/>
  <c r="J262" i="3"/>
  <c r="J263" i="3"/>
  <c r="J255" i="3"/>
  <c r="I255" i="3"/>
  <c r="J257" i="3"/>
  <c r="I257" i="3"/>
  <c r="J261" i="3"/>
  <c r="I261" i="3"/>
  <c r="J253" i="3"/>
  <c r="I253" i="3"/>
  <c r="J252" i="3"/>
  <c r="I252" i="3"/>
  <c r="J256" i="3"/>
  <c r="I256" i="3"/>
  <c r="J248" i="3"/>
  <c r="J51" i="3"/>
  <c r="N51" i="3"/>
  <c r="N247" i="3" l="1"/>
  <c r="J247" i="3"/>
</calcChain>
</file>

<file path=xl/comments1.xml><?xml version="1.0" encoding="utf-8"?>
<comments xmlns="http://schemas.openxmlformats.org/spreadsheetml/2006/main">
  <authors>
    <author>FERRARIO FRANCESCO</author>
  </authors>
  <commentList>
    <comment ref="G8" authorId="0">
      <text>
        <r>
          <rPr>
            <b/>
            <sz val="9"/>
            <color indexed="81"/>
            <rFont val="Tahoma"/>
            <family val="2"/>
          </rPr>
          <t>FERRARIO FRANCESCO:</t>
        </r>
        <r>
          <rPr>
            <sz val="9"/>
            <color indexed="81"/>
            <rFont val="Tahoma"/>
            <family val="2"/>
          </rPr>
          <t xml:space="preserve">
0 = TRUE
1 = FALSE</t>
        </r>
      </text>
    </comment>
  </commentList>
</comments>
</file>

<file path=xl/comments2.xml><?xml version="1.0" encoding="utf-8"?>
<comments xmlns="http://schemas.openxmlformats.org/spreadsheetml/2006/main">
  <authors>
    <author>BERTOCCHI NICHOLAS</author>
  </authors>
  <commentList>
    <comment ref="DF10" authorId="0">
      <text>
        <r>
          <rPr>
            <sz val="9"/>
            <color indexed="81"/>
            <rFont val="Tahoma"/>
            <family val="2"/>
          </rPr>
          <t xml:space="preserve">if TRUE, the contribution to internal RIC's in column "CX" will start
</t>
        </r>
      </text>
    </comment>
  </commentList>
</comments>
</file>

<file path=xl/comments3.xml><?xml version="1.0" encoding="utf-8"?>
<comments xmlns="http://schemas.openxmlformats.org/spreadsheetml/2006/main">
  <authors>
    <author>FERRARIO FRANCESCO</author>
  </authors>
  <commentList>
    <comment ref="E17" authorId="0">
      <text>
        <r>
          <rPr>
            <b/>
            <sz val="9"/>
            <color indexed="81"/>
            <rFont val="Tahoma"/>
            <family val="2"/>
          </rPr>
          <t>FERRARIO FRANCESCO:</t>
        </r>
        <r>
          <rPr>
            <sz val="9"/>
            <color indexed="81"/>
            <rFont val="Tahoma"/>
            <family val="2"/>
          </rPr>
          <t xml:space="preserve">
4. ACT/360
5. ACT/365</t>
        </r>
      </text>
    </comment>
    <comment ref="C400" authorId="0">
      <text>
        <r>
          <rPr>
            <b/>
            <sz val="9"/>
            <color indexed="81"/>
            <rFont val="Tahoma"/>
            <family val="2"/>
          </rPr>
          <t>FERRARIO FRANCESCO:</t>
        </r>
        <r>
          <rPr>
            <sz val="9"/>
            <color indexed="81"/>
            <rFont val="Tahoma"/>
            <family val="2"/>
          </rPr>
          <t xml:space="preserve">
TRUE =  MX Feeding activated
FALSE = MX Feeding not active</t>
        </r>
      </text>
    </comment>
    <comment ref="C401" authorId="0">
      <text>
        <r>
          <rPr>
            <b/>
            <sz val="9"/>
            <color indexed="81"/>
            <rFont val="Tahoma"/>
            <family val="2"/>
          </rPr>
          <t>FERRARIO FRANCESCO:</t>
        </r>
        <r>
          <rPr>
            <sz val="9"/>
            <color indexed="81"/>
            <rFont val="Tahoma"/>
            <family val="2"/>
          </rPr>
          <t xml:space="preserve">
TRUE = MX Feeding of Interest Rates
FALSE = MX Feeding of FWD Points / Digits</t>
        </r>
      </text>
    </comment>
    <comment ref="C402" authorId="0">
      <text>
        <r>
          <rPr>
            <b/>
            <sz val="9"/>
            <color indexed="81"/>
            <rFont val="Tahoma"/>
            <family val="2"/>
          </rPr>
          <t>FERRARIO FRANCESCO:</t>
        </r>
        <r>
          <rPr>
            <sz val="9"/>
            <color indexed="81"/>
            <rFont val="Tahoma"/>
            <family val="2"/>
          </rPr>
          <t xml:space="preserve">
Contribution limited to what tenor?
10Y = we push everything</t>
        </r>
      </text>
    </comment>
  </commentList>
</comments>
</file>

<file path=xl/sharedStrings.xml><?xml version="1.0" encoding="utf-8"?>
<sst xmlns="http://schemas.openxmlformats.org/spreadsheetml/2006/main" count="1403" uniqueCount="332">
  <si>
    <t>copy here MX outcomes</t>
  </si>
  <si>
    <t>Enabled</t>
  </si>
  <si>
    <t>Real Time</t>
  </si>
  <si>
    <t>Override</t>
  </si>
  <si>
    <t>Spread</t>
  </si>
  <si>
    <t>Used</t>
  </si>
  <si>
    <t>EURSTD</t>
  </si>
  <si>
    <t>Deposits</t>
  </si>
  <si>
    <t>BID</t>
  </si>
  <si>
    <t>ASK</t>
  </si>
  <si>
    <t>dvDayCount</t>
  </si>
  <si>
    <t>dvInterpType</t>
  </si>
  <si>
    <t>interpdisc</t>
  </si>
  <si>
    <t>interprate (%)</t>
  </si>
  <si>
    <t>disc Diff</t>
  </si>
  <si>
    <t>rate Diff (%)</t>
  </si>
  <si>
    <t>EURON</t>
  </si>
  <si>
    <t>Source</t>
  </si>
  <si>
    <t>DTSIMI1</t>
  </si>
  <si>
    <t>DiscountingMode</t>
  </si>
  <si>
    <t>on</t>
  </si>
  <si>
    <t>Maty</t>
  </si>
  <si>
    <t>Discount</t>
  </si>
  <si>
    <t>ON</t>
  </si>
  <si>
    <t>Act/Act AFB</t>
  </si>
  <si>
    <t>linear</t>
  </si>
  <si>
    <t>Parameters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</si>
  <si>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</si>
  <si>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</si>
  <si>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</si>
  <si>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</si>
  <si>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</si>
  <si>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</si>
  <si>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</si>
  <si>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</si>
  <si>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</si>
  <si>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</si>
  <si>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</si>
  <si>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</si>
  <si>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EUR</t>
  </si>
  <si>
    <t>sn</t>
  </si>
  <si>
    <t>SN</t>
  </si>
  <si>
    <t>D=</t>
  </si>
  <si>
    <t>360/360</t>
  </si>
  <si>
    <t>InterpOn</t>
  </si>
  <si>
    <t>r</t>
  </si>
  <si>
    <t>EURFX</t>
  </si>
  <si>
    <t>w</t>
  </si>
  <si>
    <t>SW</t>
  </si>
  <si>
    <t>30E+360</t>
  </si>
  <si>
    <t>const</t>
  </si>
  <si>
    <t>Comp</t>
  </si>
  <si>
    <t>cont</t>
  </si>
  <si>
    <t>Suffix1</t>
  </si>
  <si>
    <t>DDF=</t>
  </si>
  <si>
    <t>2W</t>
  </si>
  <si>
    <t>Act/360</t>
  </si>
  <si>
    <t>spline</t>
  </si>
  <si>
    <t>DayCount</t>
  </si>
  <si>
    <t>Act/365</t>
  </si>
  <si>
    <t>OIS</t>
  </si>
  <si>
    <t>Suffix2</t>
  </si>
  <si>
    <t>SDF=</t>
  </si>
  <si>
    <t>3W</t>
  </si>
  <si>
    <t>EURONOIS</t>
  </si>
  <si>
    <t>m</t>
  </si>
  <si>
    <t>1M</t>
  </si>
  <si>
    <t>365/365</t>
  </si>
  <si>
    <t>dvInterpOn</t>
  </si>
  <si>
    <t>CustomField</t>
  </si>
  <si>
    <t>CustomValue</t>
  </si>
  <si>
    <t>2M</t>
  </si>
  <si>
    <t>Act/Act</t>
  </si>
  <si>
    <t>OutputType</t>
  </si>
  <si>
    <t>DIVPAYDATE</t>
  </si>
  <si>
    <t>CONTRIBUTION</t>
  </si>
  <si>
    <t>Contribution Test</t>
  </si>
  <si>
    <t>3M</t>
  </si>
  <si>
    <t>30/360</t>
  </si>
  <si>
    <t>rt</t>
  </si>
  <si>
    <t>numOfDepos</t>
  </si>
  <si>
    <t>TODAY</t>
  </si>
  <si>
    <t>4M</t>
  </si>
  <si>
    <t>One/One</t>
  </si>
  <si>
    <t>d</t>
  </si>
  <si>
    <t>5M</t>
  </si>
  <si>
    <t>Interp DayCount</t>
  </si>
  <si>
    <t>6M</t>
  </si>
  <si>
    <t>dvFraFutAdjust</t>
  </si>
  <si>
    <t>dvCompounding</t>
  </si>
  <si>
    <t>7M</t>
  </si>
  <si>
    <t>NoAdjust</t>
  </si>
  <si>
    <t>1W</t>
  </si>
  <si>
    <t>8M</t>
  </si>
  <si>
    <t>Backward</t>
  </si>
  <si>
    <t>annual</t>
  </si>
  <si>
    <t>9M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</si>
  <si>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</si>
  <si>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</si>
  <si>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</si>
  <si>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</si>
  <si>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</si>
  <si>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</si>
  <si>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</si>
  <si>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</si>
  <si>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</si>
  <si>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</si>
  <si>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</si>
  <si>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</si>
  <si>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</si>
  <si>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stub</t>
  </si>
  <si>
    <t>1Y</t>
  </si>
  <si>
    <t>First Cpn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</si>
  <si>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</si>
  <si>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</si>
  <si>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</si>
  <si>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</si>
  <si>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</si>
  <si>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</si>
  <si>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</si>
  <si>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</si>
  <si>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</si>
  <si>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</si>
  <si>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</si>
  <si>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</si>
  <si>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</si>
  <si>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</si>
  <si>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</si>
  <si>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</si>
  <si>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</si>
  <si>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</si>
  <si>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</si>
  <si>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</si>
  <si>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</si>
  <si>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</si>
  <si>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</si>
  <si>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standard</t>
  </si>
  <si>
    <t>19M</t>
  </si>
  <si>
    <t>12M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</si>
  <si>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</si>
  <si>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</si>
  <si>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</si>
  <si>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</si>
  <si>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</si>
  <si>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</si>
  <si>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</si>
  <si>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</si>
  <si>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</si>
  <si>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24M</t>
  </si>
  <si>
    <t>23M</t>
  </si>
  <si>
    <t>3Y</t>
  </si>
  <si>
    <t>Output Type</t>
  </si>
  <si>
    <t>2Y</t>
  </si>
  <si>
    <t>4Y</t>
  </si>
  <si>
    <t>Calendar</t>
  </si>
  <si>
    <t>Target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</si>
  <si>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</si>
  <si>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</si>
  <si>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</si>
  <si>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</si>
  <si>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</si>
  <si>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</si>
  <si>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</si>
  <si>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</si>
  <si>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</si>
  <si>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</si>
  <si>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</si>
  <si>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</si>
  <si>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</si>
  <si>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</si>
  <si>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</si>
  <si>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</si>
  <si>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</si>
  <si>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</si>
  <si>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</si>
  <si>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</si>
  <si>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</si>
  <si>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</si>
  <si>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</si>
  <si>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</si>
  <si>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</si>
  <si>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</si>
  <si>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</si>
  <si>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</si>
  <si>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</si>
  <si>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</si>
  <si>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</si>
  <si>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</si>
  <si>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</si>
  <si>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</si>
  <si>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Swap First Coupon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</si>
  <si>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</si>
  <si>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</si>
  <si>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</si>
  <si>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</si>
  <si>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</si>
  <si>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</si>
  <si>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</si>
  <si>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</si>
  <si>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</si>
  <si>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</si>
  <si>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</si>
  <si>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</si>
  <si>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</si>
  <si>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</si>
  <si>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</si>
  <si>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</si>
  <si>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</si>
  <si>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</si>
  <si>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</si>
  <si>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</si>
  <si>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n_depo</t>
  </si>
  <si>
    <t>n_fut</t>
  </si>
  <si>
    <t>n_swap</t>
  </si>
  <si>
    <t>CurveCcy</t>
  </si>
  <si>
    <t>CurveName</t>
  </si>
  <si>
    <t>OtherCcy</t>
  </si>
  <si>
    <t>OtherName</t>
  </si>
  <si>
    <t>CurveCalendar</t>
  </si>
  <si>
    <t>OtherCalendar</t>
  </si>
  <si>
    <t>Spot</t>
  </si>
  <si>
    <t>Pts Digits</t>
  </si>
  <si>
    <t>SpotDate</t>
  </si>
  <si>
    <t>SwapFreq</t>
  </si>
  <si>
    <t>SpotDiscCurve</t>
  </si>
  <si>
    <t>SpotDiscOther</t>
  </si>
  <si>
    <t>SpotRICName</t>
  </si>
  <si>
    <t>Day Count</t>
  </si>
  <si>
    <t>Depo Y Base</t>
  </si>
  <si>
    <t>USD</t>
  </si>
  <si>
    <t>USA</t>
  </si>
  <si>
    <t>EUR=</t>
  </si>
  <si>
    <t>Value Date dd</t>
  </si>
  <si>
    <t>Depo Rate</t>
  </si>
  <si>
    <t>FxSwap</t>
  </si>
  <si>
    <t>Depo/Swap</t>
  </si>
  <si>
    <t>GBP</t>
  </si>
  <si>
    <t>London</t>
  </si>
  <si>
    <t>CHF</t>
  </si>
  <si>
    <t>JPY</t>
  </si>
  <si>
    <t>LIBOR</t>
  </si>
  <si>
    <t>CAD</t>
  </si>
  <si>
    <t>AUD</t>
  </si>
  <si>
    <t>Broker</t>
  </si>
  <si>
    <t>CKCC</t>
  </si>
  <si>
    <t>Implied Rate</t>
  </si>
  <si>
    <t>DKK</t>
  </si>
  <si>
    <t>NOK</t>
  </si>
  <si>
    <t>Contribute</t>
  </si>
  <si>
    <t>SEK</t>
  </si>
  <si>
    <t>SWI</t>
  </si>
  <si>
    <t>Push</t>
  </si>
  <si>
    <t>Rates</t>
  </si>
  <si>
    <t>Database Feed</t>
  </si>
  <si>
    <t>Swap</t>
  </si>
  <si>
    <t>Swap BA</t>
  </si>
  <si>
    <t>BBG</t>
  </si>
  <si>
    <t>EUR DF</t>
  </si>
  <si>
    <t>FileSize</t>
  </si>
  <si>
    <t>Time</t>
  </si>
  <si>
    <t>Schedule?</t>
  </si>
  <si>
    <t>Status</t>
  </si>
  <si>
    <t>Me Modified</t>
  </si>
  <si>
    <t>DB Modified</t>
  </si>
  <si>
    <t>Implied DF B</t>
  </si>
  <si>
    <t>Implied DF A</t>
  </si>
  <si>
    <t>Contribute RT</t>
  </si>
  <si>
    <t>Panic DF</t>
  </si>
  <si>
    <t>Implied DF - Panic Adj</t>
  </si>
  <si>
    <t>JAP</t>
  </si>
  <si>
    <t>NZD</t>
  </si>
  <si>
    <t>PLN</t>
  </si>
  <si>
    <t>HUF</t>
  </si>
  <si>
    <t>ZAR</t>
  </si>
  <si>
    <t>CZK</t>
  </si>
  <si>
    <t>TRY</t>
  </si>
  <si>
    <t>HKD</t>
  </si>
  <si>
    <t>CNY</t>
  </si>
  <si>
    <t>BRL</t>
  </si>
  <si>
    <t>RUB</t>
  </si>
  <si>
    <t>IDN</t>
  </si>
  <si>
    <t>Logic</t>
  </si>
  <si>
    <t>FIN</t>
  </si>
  <si>
    <t>INR</t>
  </si>
  <si>
    <t>MXN</t>
  </si>
  <si>
    <t>SGD</t>
  </si>
  <si>
    <t>KRW</t>
  </si>
  <si>
    <t>Free Logic</t>
  </si>
  <si>
    <t>KRWSWID=KRR</t>
  </si>
  <si>
    <t>THB</t>
  </si>
  <si>
    <t>CLP</t>
  </si>
  <si>
    <t>CLP1MID=R</t>
  </si>
  <si>
    <t>COP</t>
  </si>
  <si>
    <t>IDR</t>
  </si>
  <si>
    <t>PEN</t>
  </si>
  <si>
    <t>RON</t>
  </si>
  <si>
    <t>ILS</t>
  </si>
  <si>
    <t>MYR</t>
  </si>
  <si>
    <t>CNH</t>
  </si>
  <si>
    <t>COPSWID=R</t>
  </si>
  <si>
    <t>PEN1MID=R</t>
  </si>
  <si>
    <t>AED</t>
  </si>
  <si>
    <t>KES</t>
  </si>
  <si>
    <t>SAR</t>
  </si>
  <si>
    <t>EGP</t>
  </si>
  <si>
    <t>TWD</t>
  </si>
  <si>
    <t>PHP</t>
  </si>
  <si>
    <t>PHPONID=PHR</t>
  </si>
  <si>
    <t>Feed OK?</t>
  </si>
  <si>
    <t>Rates MX</t>
  </si>
  <si>
    <t>DF Pricer</t>
  </si>
  <si>
    <t>DF BID</t>
  </si>
  <si>
    <t>DF ASK</t>
  </si>
  <si>
    <t>1W=SW</t>
  </si>
  <si>
    <t>12M=1Y</t>
  </si>
  <si>
    <t>Calc?</t>
  </si>
  <si>
    <t>HK</t>
  </si>
  <si>
    <t>RefSet</t>
  </si>
  <si>
    <t>Pricer Contribution</t>
  </si>
  <si>
    <t>Contribute?</t>
  </si>
  <si>
    <t>Dates</t>
  </si>
  <si>
    <t>Ref Set</t>
  </si>
  <si>
    <t>MX Realt Time Feeding</t>
  </si>
  <si>
    <t>Rates?</t>
  </si>
  <si>
    <t>Start</t>
  </si>
  <si>
    <t>End</t>
  </si>
  <si>
    <t>UpToTenor?</t>
  </si>
  <si>
    <t>USDFrozen</t>
  </si>
  <si>
    <t>EURFrozen</t>
  </si>
  <si>
    <t>Ref MI</t>
  </si>
  <si>
    <t>Ref HK</t>
  </si>
  <si>
    <t>Erased @ 1/19/2017 10:50:37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</si>
</sst>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dd\ mmm\ yy"/>
    <numFmt numFmtId="165" formatCode="0.000%"/>
    <numFmt numFmtId="166" formatCode="0.000000"/>
    <numFmt numFmtId="167" formatCode="0.0000"/>
    <numFmt numFmtId="168" formatCode="0.00000000"/>
    <numFmt numFmtId="169" formatCode="d\ mmm\ yy"/>
    <numFmt numFmtId="170" formatCode="0.000000000"/>
    <numFmt numFmtId="171" formatCode="0&quot;W&quot;"/>
    <numFmt numFmtId="172" formatCode="0&quot;M&quot;"/>
    <numFmt numFmtId="173" formatCode="0.0000000000"/>
    <numFmt numFmtId="174" formatCode="0&quot;Y&quot;"/>
    <numFmt numFmtId="175" formatCode="mmm\ yy"/>
    <numFmt numFmtId="176" formatCode="0.00000"/>
    <numFmt numFmtId="177" formatCode="[$-409]d\-mmm\-yy;@"/>
    <numFmt numFmtId="178" formatCode="[$-409]h:mm\ AM/PM;@"/>
    <numFmt numFmtId="179" formatCode="ddd\ dmmmyy\ "/>
    <numFmt numFmtId="180" formatCode="ddd\ dmmmyy\ hh:mm:ss"/>
    <numFmt numFmtId="181" formatCode="\L\o\o\p"/>
    <numFmt numFmtId="182" formatCode="&quot;Implied DF &quot;\ @"/>
  </numFmts>
  <fonts count="1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theme="0" tint="-0.34998626667073579"/>
      <name val="Arial"/>
      <family val="2"/>
    </font>
    <font>
      <b/>
      <sz val="9"/>
      <color theme="3" tint="-0.249977111117893"/>
      <name val="Arial"/>
      <family val="2"/>
    </font>
    <font>
      <b/>
      <sz val="9"/>
      <color indexed="81"/>
      <name val="Tahoma"/>
      <family val="2"/>
    </font>
    <font>
      <b/>
      <sz val="9"/>
      <color theme="0"/>
      <name val="Arial"/>
      <family val="2"/>
    </font>
    <font>
      <i/>
      <sz val="9"/>
      <color theme="1"/>
      <name val="Arial"/>
      <family val="2"/>
    </font>
    <font>
      <b/>
      <sz val="9"/>
      <color theme="0" tint="-0.34998626667073579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mediumGray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</borders>
  <cellStyleXfs count="4">
    <xf numFmtId="0" fontId="0" fillId="0" borderId="0"/>
    <xf numFmtId="0" fontId="2" fillId="2" borderId="1" applyNumberFormat="0" applyFont="0" applyAlignment="0">
      <protection locked="0"/>
    </xf>
    <xf numFmtId="0" fontId="2" fillId="0" borderId="0"/>
    <xf numFmtId="0" fontId="2" fillId="0" borderId="0"/>
  </cellStyleXfs>
  <cellXfs count="327">
    <xf numFmtId="0" fontId="0" fillId="0" borderId="0" xfId="0"/>
    <xf numFmtId="0" fontId="1" fillId="0" borderId="0" xfId="0" applyFont="1"/>
    <xf numFmtId="0" fontId="3" fillId="0" borderId="10" xfId="2" applyFont="1" applyFill="1" applyBorder="1" applyAlignment="1">
      <alignment horizontal="center"/>
    </xf>
    <xf numFmtId="177" fontId="1" fillId="0" borderId="0" xfId="0" applyNumberFormat="1" applyFont="1"/>
    <xf numFmtId="0" fontId="5" fillId="0" borderId="0" xfId="0" applyFont="1"/>
    <xf numFmtId="0" fontId="6" fillId="3" borderId="1" xfId="1" applyFont="1" applyFill="1" applyBorder="1">
      <protection locked="0"/>
    </xf>
    <xf numFmtId="0" fontId="6" fillId="0" borderId="2" xfId="2" applyFont="1" applyBorder="1" applyProtection="1"/>
    <xf numFmtId="164" fontId="6" fillId="0" borderId="2" xfId="2" applyNumberFormat="1" applyFont="1" applyBorder="1" applyProtection="1"/>
    <xf numFmtId="0" fontId="6" fillId="0" borderId="2" xfId="2" applyFont="1" applyBorder="1"/>
    <xf numFmtId="0" fontId="6" fillId="0" borderId="0" xfId="2" applyFont="1"/>
    <xf numFmtId="0" fontId="7" fillId="0" borderId="2" xfId="0" applyFont="1" applyBorder="1" applyAlignment="1"/>
    <xf numFmtId="0" fontId="6" fillId="4" borderId="3" xfId="3" applyFont="1" applyFill="1" applyBorder="1" applyAlignment="1"/>
    <xf numFmtId="0" fontId="6" fillId="4" borderId="4" xfId="3" applyFont="1" applyFill="1" applyBorder="1" applyAlignment="1"/>
    <xf numFmtId="0" fontId="6" fillId="4" borderId="5" xfId="3" applyFont="1" applyFill="1" applyBorder="1" applyAlignment="1"/>
    <xf numFmtId="0" fontId="6" fillId="0" borderId="6" xfId="2" applyFont="1" applyBorder="1" applyProtection="1"/>
    <xf numFmtId="0" fontId="6" fillId="0" borderId="7" xfId="2" applyFont="1" applyBorder="1" applyProtection="1"/>
    <xf numFmtId="0" fontId="6" fillId="0" borderId="0" xfId="2" applyFont="1" applyBorder="1" applyProtection="1"/>
    <xf numFmtId="164" fontId="6" fillId="0" borderId="0" xfId="2" applyNumberFormat="1" applyFont="1" applyBorder="1" applyProtection="1"/>
    <xf numFmtId="0" fontId="6" fillId="0" borderId="0" xfId="2" applyFont="1" applyBorder="1" applyAlignment="1" applyProtection="1">
      <alignment horizontal="center"/>
    </xf>
    <xf numFmtId="0" fontId="6" fillId="0" borderId="0" xfId="2" applyFont="1" applyBorder="1"/>
    <xf numFmtId="0" fontId="7" fillId="0" borderId="0" xfId="0" applyFont="1"/>
    <xf numFmtId="0" fontId="6" fillId="0" borderId="8" xfId="2" applyFont="1" applyBorder="1" applyProtection="1"/>
    <xf numFmtId="165" fontId="8" fillId="5" borderId="1" xfId="2" applyNumberFormat="1" applyFont="1" applyFill="1" applyBorder="1" applyAlignment="1" applyProtection="1">
      <alignment horizontal="center"/>
    </xf>
    <xf numFmtId="0" fontId="6" fillId="0" borderId="1" xfId="2" applyFont="1" applyBorder="1" applyAlignment="1" applyProtection="1">
      <alignment horizontal="center"/>
    </xf>
    <xf numFmtId="0" fontId="3" fillId="6" borderId="1" xfId="2" applyFont="1" applyFill="1" applyBorder="1" applyAlignment="1" applyProtection="1">
      <alignment horizontal="center"/>
    </xf>
    <xf numFmtId="0" fontId="3" fillId="7" borderId="11" xfId="2" applyFont="1" applyFill="1" applyBorder="1" applyAlignment="1" applyProtection="1">
      <alignment horizontal="center"/>
    </xf>
    <xf numFmtId="0" fontId="3" fillId="7" borderId="12" xfId="2" applyFont="1" applyFill="1" applyBorder="1" applyAlignment="1" applyProtection="1">
      <alignment horizontal="center"/>
    </xf>
    <xf numFmtId="0" fontId="6" fillId="0" borderId="9" xfId="2" applyFont="1" applyBorder="1"/>
    <xf numFmtId="0" fontId="6" fillId="0" borderId="10" xfId="2" applyFont="1" applyBorder="1"/>
    <xf numFmtId="0" fontId="6" fillId="0" borderId="1" xfId="2" applyFont="1" applyBorder="1"/>
    <xf numFmtId="166" fontId="6" fillId="0" borderId="0" xfId="2" applyNumberFormat="1" applyFont="1"/>
    <xf numFmtId="0" fontId="6" fillId="8" borderId="11" xfId="3" applyFont="1" applyFill="1" applyBorder="1" applyAlignment="1">
      <alignment horizontal="center"/>
    </xf>
    <xf numFmtId="0" fontId="6" fillId="8" borderId="2" xfId="3" applyFont="1" applyFill="1" applyBorder="1" applyAlignment="1">
      <alignment horizontal="center"/>
    </xf>
    <xf numFmtId="0" fontId="6" fillId="8" borderId="12" xfId="3" applyFont="1" applyFill="1" applyBorder="1" applyAlignment="1">
      <alignment horizontal="center"/>
    </xf>
    <xf numFmtId="0" fontId="3" fillId="4" borderId="13" xfId="3" applyFont="1" applyFill="1" applyBorder="1" applyAlignment="1">
      <alignment horizontal="center" vertical="center"/>
    </xf>
    <xf numFmtId="0" fontId="3" fillId="4" borderId="14" xfId="3" applyFont="1" applyFill="1" applyBorder="1" applyAlignment="1">
      <alignment horizontal="center" vertical="center"/>
    </xf>
    <xf numFmtId="0" fontId="6" fillId="0" borderId="6" xfId="2" applyFont="1" applyBorder="1" applyAlignment="1" applyProtection="1"/>
    <xf numFmtId="0" fontId="3" fillId="7" borderId="9" xfId="2" applyFont="1" applyFill="1" applyBorder="1" applyAlignment="1" applyProtection="1">
      <alignment horizontal="center"/>
    </xf>
    <xf numFmtId="0" fontId="3" fillId="7" borderId="10" xfId="2" applyFont="1" applyFill="1" applyBorder="1" applyAlignment="1" applyProtection="1">
      <alignment horizontal="center"/>
    </xf>
    <xf numFmtId="0" fontId="6" fillId="7" borderId="11" xfId="2" applyFont="1" applyFill="1" applyBorder="1" applyProtection="1"/>
    <xf numFmtId="0" fontId="6" fillId="7" borderId="12" xfId="2" applyFont="1" applyFill="1" applyBorder="1" applyProtection="1"/>
    <xf numFmtId="0" fontId="3" fillId="9" borderId="10" xfId="2" applyFont="1" applyFill="1" applyBorder="1" applyAlignment="1">
      <alignment horizontal="center"/>
    </xf>
    <xf numFmtId="0" fontId="6" fillId="10" borderId="15" xfId="2" applyFont="1" applyFill="1" applyBorder="1" applyProtection="1"/>
    <xf numFmtId="1" fontId="6" fillId="11" borderId="16" xfId="2" applyNumberFormat="1" applyFont="1" applyFill="1" applyBorder="1" applyAlignment="1" applyProtection="1">
      <alignment horizontal="center"/>
    </xf>
    <xf numFmtId="0" fontId="6" fillId="0" borderId="2" xfId="2" applyFont="1" applyBorder="1" applyAlignment="1" applyProtection="1">
      <alignment horizontal="center"/>
    </xf>
    <xf numFmtId="167" fontId="6" fillId="12" borderId="16" xfId="2" applyNumberFormat="1" applyFont="1" applyFill="1" applyBorder="1" applyAlignment="1" applyProtection="1">
      <alignment horizontal="center"/>
    </xf>
    <xf numFmtId="167" fontId="6" fillId="0" borderId="2" xfId="2" applyNumberFormat="1" applyFont="1" applyFill="1" applyBorder="1" applyAlignment="1" applyProtection="1">
      <alignment horizontal="center"/>
    </xf>
    <xf numFmtId="167" fontId="6" fillId="7" borderId="16" xfId="2" applyNumberFormat="1" applyFont="1" applyFill="1" applyBorder="1" applyAlignment="1" applyProtection="1">
      <alignment horizontal="center"/>
    </xf>
    <xf numFmtId="167" fontId="6" fillId="0" borderId="12" xfId="2" applyNumberFormat="1" applyFont="1" applyFill="1" applyBorder="1" applyAlignment="1" applyProtection="1">
      <alignment horizontal="center"/>
    </xf>
    <xf numFmtId="0" fontId="6" fillId="0" borderId="11" xfId="2" applyFont="1" applyBorder="1" applyAlignment="1" applyProtection="1">
      <alignment horizontal="center"/>
    </xf>
    <xf numFmtId="0" fontId="6" fillId="0" borderId="12" xfId="2" applyFont="1" applyBorder="1" applyAlignment="1" applyProtection="1">
      <alignment horizontal="center"/>
    </xf>
    <xf numFmtId="0" fontId="8" fillId="5" borderId="17" xfId="2" applyNumberFormat="1" applyFont="1" applyFill="1" applyBorder="1" applyAlignment="1" applyProtection="1">
      <alignment horizontal="center"/>
    </xf>
    <xf numFmtId="0" fontId="6" fillId="7" borderId="11" xfId="2" applyFont="1" applyFill="1" applyBorder="1" applyAlignment="1" applyProtection="1">
      <alignment horizontal="center"/>
    </xf>
    <xf numFmtId="167" fontId="6" fillId="0" borderId="11" xfId="2" applyNumberFormat="1" applyFont="1" applyBorder="1" applyAlignment="1" applyProtection="1">
      <alignment horizontal="center"/>
    </xf>
    <xf numFmtId="167" fontId="6" fillId="0" borderId="12" xfId="2" applyNumberFormat="1" applyFont="1" applyBorder="1" applyAlignment="1" applyProtection="1">
      <alignment horizontal="center"/>
    </xf>
    <xf numFmtId="0" fontId="6" fillId="0" borderId="16" xfId="2" applyFont="1" applyBorder="1"/>
    <xf numFmtId="167" fontId="6" fillId="8" borderId="8" xfId="0" applyNumberFormat="1" applyFont="1" applyFill="1" applyBorder="1" applyAlignment="1">
      <alignment horizontal="center" vertical="center"/>
    </xf>
    <xf numFmtId="167" fontId="6" fillId="8" borderId="0" xfId="0" applyNumberFormat="1" applyFont="1" applyFill="1" applyBorder="1" applyAlignment="1">
      <alignment horizontal="center" vertical="center"/>
    </xf>
    <xf numFmtId="167" fontId="6" fillId="8" borderId="18" xfId="0" applyNumberFormat="1" applyFont="1" applyFill="1" applyBorder="1" applyAlignment="1">
      <alignment horizontal="center" vertical="center"/>
    </xf>
    <xf numFmtId="0" fontId="6" fillId="4" borderId="0" xfId="3" applyFont="1" applyFill="1" applyBorder="1" applyAlignment="1">
      <alignment horizontal="center" vertical="center"/>
    </xf>
    <xf numFmtId="14" fontId="6" fillId="4" borderId="0" xfId="3" applyNumberFormat="1" applyFont="1" applyFill="1" applyBorder="1" applyAlignment="1">
      <alignment horizontal="center" vertical="center"/>
    </xf>
    <xf numFmtId="168" fontId="6" fillId="4" borderId="0" xfId="3" applyNumberFormat="1" applyFont="1" applyFill="1" applyBorder="1" applyAlignment="1">
      <alignment horizontal="center" vertical="center"/>
    </xf>
    <xf numFmtId="167" fontId="6" fillId="4" borderId="0" xfId="3" applyNumberFormat="1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169" fontId="6" fillId="0" borderId="6" xfId="2" applyNumberFormat="1" applyFont="1" applyBorder="1" applyAlignment="1" applyProtection="1">
      <alignment horizontal="center"/>
    </xf>
    <xf numFmtId="0" fontId="6" fillId="10" borderId="11" xfId="2" applyFont="1" applyFill="1" applyBorder="1" applyProtection="1"/>
    <xf numFmtId="0" fontId="6" fillId="7" borderId="8" xfId="2" applyFont="1" applyFill="1" applyBorder="1" applyProtection="1"/>
    <xf numFmtId="0" fontId="6" fillId="7" borderId="18" xfId="2" applyFont="1" applyFill="1" applyBorder="1" applyProtection="1"/>
    <xf numFmtId="1" fontId="6" fillId="11" borderId="15" xfId="2" applyNumberFormat="1" applyFont="1" applyFill="1" applyBorder="1" applyAlignment="1" applyProtection="1">
      <alignment horizontal="center"/>
    </xf>
    <xf numFmtId="167" fontId="6" fillId="12" borderId="15" xfId="2" applyNumberFormat="1" applyFont="1" applyFill="1" applyBorder="1" applyAlignment="1" applyProtection="1">
      <alignment horizontal="center"/>
    </xf>
    <xf numFmtId="167" fontId="6" fillId="0" borderId="0" xfId="2" applyNumberFormat="1" applyFont="1" applyFill="1" applyBorder="1" applyAlignment="1" applyProtection="1">
      <alignment horizontal="center"/>
    </xf>
    <xf numFmtId="167" fontId="6" fillId="7" borderId="15" xfId="2" applyNumberFormat="1" applyFont="1" applyFill="1" applyBorder="1" applyAlignment="1" applyProtection="1">
      <alignment horizontal="center"/>
    </xf>
    <xf numFmtId="167" fontId="6" fillId="0" borderId="18" xfId="2" applyNumberFormat="1" applyFont="1" applyFill="1" applyBorder="1" applyAlignment="1" applyProtection="1">
      <alignment horizontal="center"/>
    </xf>
    <xf numFmtId="0" fontId="6" fillId="0" borderId="8" xfId="2" applyFont="1" applyBorder="1" applyAlignment="1" applyProtection="1">
      <alignment horizontal="center"/>
    </xf>
    <xf numFmtId="0" fontId="6" fillId="0" borderId="18" xfId="2" applyFont="1" applyBorder="1" applyAlignment="1" applyProtection="1">
      <alignment horizontal="center"/>
    </xf>
    <xf numFmtId="164" fontId="6" fillId="13" borderId="11" xfId="2" applyNumberFormat="1" applyFont="1" applyFill="1" applyBorder="1" applyAlignment="1" applyProtection="1">
      <alignment horizontal="center"/>
    </xf>
    <xf numFmtId="170" fontId="6" fillId="13" borderId="16" xfId="2" applyNumberFormat="1" applyFont="1" applyFill="1" applyBorder="1" applyAlignment="1" applyProtection="1">
      <alignment horizontal="center"/>
    </xf>
    <xf numFmtId="0" fontId="6" fillId="7" borderId="8" xfId="2" applyFont="1" applyFill="1" applyBorder="1" applyAlignment="1" applyProtection="1">
      <alignment horizontal="center"/>
    </xf>
    <xf numFmtId="167" fontId="6" fillId="0" borderId="8" xfId="2" applyNumberFormat="1" applyFont="1" applyBorder="1" applyAlignment="1" applyProtection="1">
      <alignment horizontal="center"/>
    </xf>
    <xf numFmtId="167" fontId="6" fillId="0" borderId="18" xfId="2" applyNumberFormat="1" applyFont="1" applyBorder="1" applyAlignment="1" applyProtection="1">
      <alignment horizontal="center"/>
    </xf>
    <xf numFmtId="0" fontId="6" fillId="0" borderId="15" xfId="2" applyFont="1" applyBorder="1"/>
    <xf numFmtId="14" fontId="6" fillId="13" borderId="16" xfId="2" applyNumberFormat="1" applyFont="1" applyFill="1" applyBorder="1" applyProtection="1"/>
    <xf numFmtId="0" fontId="6" fillId="14" borderId="16" xfId="3" applyFont="1" applyFill="1" applyBorder="1" applyAlignment="1">
      <alignment horizontal="center"/>
    </xf>
    <xf numFmtId="0" fontId="6" fillId="10" borderId="8" xfId="2" applyFont="1" applyFill="1" applyBorder="1" applyProtection="1"/>
    <xf numFmtId="164" fontId="6" fillId="13" borderId="16" xfId="2" applyNumberFormat="1" applyFont="1" applyFill="1" applyBorder="1" applyAlignment="1" applyProtection="1">
      <alignment horizontal="center"/>
    </xf>
    <xf numFmtId="0" fontId="6" fillId="7" borderId="19" xfId="2" applyFont="1" applyFill="1" applyBorder="1" applyProtection="1"/>
    <xf numFmtId="0" fontId="6" fillId="7" borderId="20" xfId="2" applyFont="1" applyFill="1" applyBorder="1" applyProtection="1"/>
    <xf numFmtId="164" fontId="6" fillId="13" borderId="8" xfId="2" applyNumberFormat="1" applyFont="1" applyFill="1" applyBorder="1" applyAlignment="1" applyProtection="1">
      <alignment horizontal="center"/>
    </xf>
    <xf numFmtId="170" fontId="6" fillId="13" borderId="15" xfId="2" applyNumberFormat="1" applyFont="1" applyFill="1" applyBorder="1" applyAlignment="1" applyProtection="1">
      <alignment horizontal="center"/>
    </xf>
    <xf numFmtId="14" fontId="6" fillId="13" borderId="15" xfId="2" applyNumberFormat="1" applyFont="1" applyFill="1" applyBorder="1" applyProtection="1"/>
    <xf numFmtId="0" fontId="6" fillId="14" borderId="15" xfId="3" applyFont="1" applyFill="1" applyBorder="1" applyAlignment="1">
      <alignment horizontal="center"/>
    </xf>
    <xf numFmtId="1" fontId="6" fillId="11" borderId="8" xfId="2" applyNumberFormat="1" applyFont="1" applyFill="1" applyBorder="1" applyAlignment="1" applyProtection="1">
      <alignment horizontal="center"/>
    </xf>
    <xf numFmtId="164" fontId="6" fillId="13" borderId="15" xfId="2" applyNumberFormat="1" applyFont="1" applyFill="1" applyBorder="1" applyAlignment="1" applyProtection="1">
      <alignment horizontal="center"/>
    </xf>
    <xf numFmtId="0" fontId="6" fillId="7" borderId="19" xfId="2" applyFont="1" applyFill="1" applyBorder="1" applyAlignment="1" applyProtection="1">
      <alignment horizontal="center"/>
    </xf>
    <xf numFmtId="167" fontId="6" fillId="0" borderId="19" xfId="2" applyNumberFormat="1" applyFont="1" applyBorder="1" applyAlignment="1" applyProtection="1">
      <alignment horizontal="center"/>
    </xf>
    <xf numFmtId="167" fontId="6" fillId="0" borderId="20" xfId="2" applyNumberFormat="1" applyFont="1" applyBorder="1" applyAlignment="1" applyProtection="1">
      <alignment horizontal="center"/>
    </xf>
    <xf numFmtId="0" fontId="6" fillId="10" borderId="16" xfId="2" applyFont="1" applyFill="1" applyBorder="1" applyProtection="1"/>
    <xf numFmtId="171" fontId="6" fillId="11" borderId="16" xfId="2" applyNumberFormat="1" applyFont="1" applyFill="1" applyBorder="1" applyAlignment="1" applyProtection="1">
      <alignment horizontal="center"/>
    </xf>
    <xf numFmtId="171" fontId="6" fillId="11" borderId="15" xfId="2" applyNumberFormat="1" applyFont="1" applyFill="1" applyBorder="1" applyAlignment="1" applyProtection="1">
      <alignment horizontal="center"/>
    </xf>
    <xf numFmtId="0" fontId="6" fillId="0" borderId="17" xfId="2" applyFont="1" applyBorder="1"/>
    <xf numFmtId="0" fontId="6" fillId="13" borderId="17" xfId="2" applyFont="1" applyFill="1" applyBorder="1" applyProtection="1"/>
    <xf numFmtId="0" fontId="6" fillId="15" borderId="17" xfId="2" applyFont="1" applyFill="1" applyBorder="1" applyAlignment="1" applyProtection="1">
      <alignment horizontal="center"/>
    </xf>
    <xf numFmtId="171" fontId="6" fillId="7" borderId="8" xfId="2" applyNumberFormat="1" applyFont="1" applyFill="1" applyBorder="1" applyAlignment="1" applyProtection="1">
      <alignment horizontal="center"/>
    </xf>
    <xf numFmtId="0" fontId="3" fillId="6" borderId="9" xfId="2" applyFont="1" applyFill="1" applyBorder="1" applyAlignment="1" applyProtection="1">
      <alignment horizontal="center"/>
    </xf>
    <xf numFmtId="0" fontId="6" fillId="10" borderId="17" xfId="2" applyFont="1" applyFill="1" applyBorder="1" applyProtection="1"/>
    <xf numFmtId="171" fontId="6" fillId="11" borderId="17" xfId="2" applyNumberFormat="1" applyFont="1" applyFill="1" applyBorder="1" applyAlignment="1" applyProtection="1">
      <alignment horizontal="center"/>
    </xf>
    <xf numFmtId="0" fontId="6" fillId="0" borderId="21" xfId="2" applyFont="1" applyBorder="1" applyAlignment="1" applyProtection="1">
      <alignment horizontal="center"/>
    </xf>
    <xf numFmtId="167" fontId="6" fillId="12" borderId="17" xfId="2" applyNumberFormat="1" applyFont="1" applyFill="1" applyBorder="1" applyAlignment="1" applyProtection="1">
      <alignment horizontal="center"/>
    </xf>
    <xf numFmtId="167" fontId="6" fillId="0" borderId="21" xfId="2" applyNumberFormat="1" applyFont="1" applyFill="1" applyBorder="1" applyAlignment="1" applyProtection="1">
      <alignment horizontal="center"/>
    </xf>
    <xf numFmtId="167" fontId="6" fillId="7" borderId="17" xfId="2" applyNumberFormat="1" applyFont="1" applyFill="1" applyBorder="1" applyAlignment="1" applyProtection="1">
      <alignment horizontal="center"/>
    </xf>
    <xf numFmtId="167" fontId="6" fillId="0" borderId="20" xfId="2" applyNumberFormat="1" applyFont="1" applyFill="1" applyBorder="1" applyAlignment="1" applyProtection="1">
      <alignment horizontal="center"/>
    </xf>
    <xf numFmtId="0" fontId="6" fillId="7" borderId="11" xfId="2" applyNumberFormat="1" applyFont="1" applyFill="1" applyBorder="1" applyAlignment="1" applyProtection="1">
      <alignment horizontal="center"/>
    </xf>
    <xf numFmtId="172" fontId="6" fillId="11" borderId="15" xfId="2" applyNumberFormat="1" applyFont="1" applyFill="1" applyBorder="1" applyAlignment="1" applyProtection="1">
      <alignment horizontal="center"/>
    </xf>
    <xf numFmtId="0" fontId="9" fillId="0" borderId="11" xfId="2" applyFont="1" applyFill="1" applyBorder="1" applyAlignment="1">
      <alignment horizontal="center"/>
    </xf>
    <xf numFmtId="0" fontId="9" fillId="0" borderId="16" xfId="2" applyFont="1" applyFill="1" applyBorder="1" applyAlignment="1">
      <alignment horizontal="center"/>
    </xf>
    <xf numFmtId="172" fontId="6" fillId="7" borderId="8" xfId="2" applyNumberFormat="1" applyFont="1" applyFill="1" applyBorder="1" applyAlignment="1" applyProtection="1">
      <alignment horizontal="center"/>
    </xf>
    <xf numFmtId="0" fontId="6" fillId="7" borderId="8" xfId="2" applyNumberFormat="1" applyFont="1" applyFill="1" applyBorder="1" applyAlignment="1" applyProtection="1">
      <alignment horizontal="center"/>
    </xf>
    <xf numFmtId="0" fontId="6" fillId="8" borderId="11" xfId="0" applyFont="1" applyFill="1" applyBorder="1" applyAlignment="1">
      <alignment horizontal="center"/>
    </xf>
    <xf numFmtId="0" fontId="6" fillId="8" borderId="16" xfId="0" applyFont="1" applyFill="1" applyBorder="1" applyAlignment="1">
      <alignment horizontal="center"/>
    </xf>
    <xf numFmtId="0" fontId="6" fillId="16" borderId="9" xfId="2" applyFont="1" applyFill="1" applyBorder="1" applyProtection="1"/>
    <xf numFmtId="0" fontId="6" fillId="16" borderId="10" xfId="2" applyFont="1" applyFill="1" applyBorder="1" applyProtection="1"/>
    <xf numFmtId="0" fontId="6" fillId="17" borderId="9" xfId="0" applyFont="1" applyFill="1" applyBorder="1" applyAlignment="1">
      <alignment horizontal="center"/>
    </xf>
    <xf numFmtId="0" fontId="6" fillId="17" borderId="22" xfId="0" applyFont="1" applyFill="1" applyBorder="1" applyAlignment="1">
      <alignment horizontal="center"/>
    </xf>
    <xf numFmtId="0" fontId="6" fillId="17" borderId="10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8" borderId="19" xfId="0" applyFont="1" applyFill="1" applyBorder="1" applyAlignment="1">
      <alignment horizontal="center"/>
    </xf>
    <xf numFmtId="0" fontId="6" fillId="8" borderId="17" xfId="0" applyFont="1" applyFill="1" applyBorder="1" applyAlignment="1">
      <alignment horizontal="center"/>
    </xf>
    <xf numFmtId="0" fontId="6" fillId="7" borderId="9" xfId="2" applyFont="1" applyFill="1" applyBorder="1" applyAlignment="1" applyProtection="1">
      <alignment horizontal="center"/>
    </xf>
    <xf numFmtId="0" fontId="6" fillId="7" borderId="22" xfId="2" applyFont="1" applyFill="1" applyBorder="1" applyAlignment="1" applyProtection="1">
      <alignment horizontal="center"/>
    </xf>
    <xf numFmtId="0" fontId="6" fillId="0" borderId="22" xfId="2" applyFont="1" applyBorder="1" applyAlignment="1" applyProtection="1">
      <alignment horizontal="center"/>
    </xf>
    <xf numFmtId="15" fontId="6" fillId="0" borderId="9" xfId="2" applyNumberFormat="1" applyFont="1" applyFill="1" applyBorder="1" applyAlignment="1" applyProtection="1">
      <alignment horizontal="center"/>
    </xf>
    <xf numFmtId="173" fontId="6" fillId="0" borderId="22" xfId="2" applyNumberFormat="1" applyFont="1" applyFill="1" applyBorder="1" applyAlignment="1" applyProtection="1"/>
    <xf numFmtId="173" fontId="6" fillId="0" borderId="10" xfId="2" applyNumberFormat="1" applyFont="1" applyFill="1" applyBorder="1" applyAlignment="1" applyProtection="1">
      <alignment horizontal="right"/>
    </xf>
    <xf numFmtId="0" fontId="6" fillId="7" borderId="18" xfId="2" applyFont="1" applyFill="1" applyBorder="1" applyAlignment="1" applyProtection="1">
      <alignment horizontal="center"/>
    </xf>
    <xf numFmtId="164" fontId="6" fillId="0" borderId="11" xfId="2" applyNumberFormat="1" applyFont="1" applyFill="1" applyBorder="1" applyAlignment="1" applyProtection="1">
      <alignment horizontal="center"/>
    </xf>
    <xf numFmtId="173" fontId="6" fillId="0" borderId="2" xfId="2" applyNumberFormat="1" applyFont="1" applyBorder="1" applyProtection="1"/>
    <xf numFmtId="173" fontId="6" fillId="0" borderId="12" xfId="2" applyNumberFormat="1" applyFont="1" applyBorder="1" applyProtection="1"/>
    <xf numFmtId="173" fontId="6" fillId="0" borderId="0" xfId="2" applyNumberFormat="1" applyFont="1" applyBorder="1" applyProtection="1"/>
    <xf numFmtId="0" fontId="6" fillId="0" borderId="11" xfId="2" applyFont="1" applyBorder="1" applyProtection="1"/>
    <xf numFmtId="173" fontId="6" fillId="0" borderId="2" xfId="2" applyNumberFormat="1" applyFont="1" applyBorder="1" applyAlignment="1" applyProtection="1">
      <alignment horizontal="center"/>
    </xf>
    <xf numFmtId="173" fontId="6" fillId="0" borderId="12" xfId="2" applyNumberFormat="1" applyFont="1" applyBorder="1" applyAlignment="1" applyProtection="1">
      <alignment horizontal="center"/>
    </xf>
    <xf numFmtId="0" fontId="9" fillId="0" borderId="1" xfId="2" applyFont="1" applyFill="1" applyBorder="1" applyAlignment="1">
      <alignment horizontal="center"/>
    </xf>
    <xf numFmtId="164" fontId="6" fillId="0" borderId="8" xfId="2" applyNumberFormat="1" applyFont="1" applyFill="1" applyBorder="1" applyAlignment="1" applyProtection="1">
      <alignment horizontal="center"/>
    </xf>
    <xf numFmtId="173" fontId="6" fillId="0" borderId="18" xfId="2" applyNumberFormat="1" applyFont="1" applyBorder="1" applyProtection="1"/>
    <xf numFmtId="173" fontId="6" fillId="0" borderId="0" xfId="2" applyNumberFormat="1" applyFont="1" applyBorder="1" applyAlignment="1" applyProtection="1">
      <alignment horizontal="center"/>
    </xf>
    <xf numFmtId="173" fontId="6" fillId="0" borderId="18" xfId="2" applyNumberFormat="1" applyFont="1" applyBorder="1" applyAlignment="1" applyProtection="1">
      <alignment horizontal="center"/>
    </xf>
    <xf numFmtId="166" fontId="6" fillId="0" borderId="0" xfId="2" applyNumberFormat="1" applyFont="1" applyBorder="1"/>
    <xf numFmtId="0" fontId="6" fillId="10" borderId="19" xfId="2" applyFont="1" applyFill="1" applyBorder="1" applyProtection="1"/>
    <xf numFmtId="172" fontId="6" fillId="11" borderId="17" xfId="2" applyNumberFormat="1" applyFont="1" applyFill="1" applyBorder="1" applyAlignment="1" applyProtection="1">
      <alignment horizontal="center"/>
    </xf>
    <xf numFmtId="0" fontId="6" fillId="0" borderId="19" xfId="2" applyFont="1" applyBorder="1" applyAlignment="1" applyProtection="1">
      <alignment horizontal="center"/>
    </xf>
    <xf numFmtId="0" fontId="6" fillId="0" borderId="20" xfId="2" applyFont="1" applyBorder="1" applyAlignment="1" applyProtection="1">
      <alignment horizontal="center"/>
    </xf>
    <xf numFmtId="17" fontId="6" fillId="4" borderId="0" xfId="3" applyNumberFormat="1" applyFont="1" applyFill="1" applyBorder="1" applyAlignment="1">
      <alignment horizontal="center" vertical="center"/>
    </xf>
    <xf numFmtId="174" fontId="6" fillId="7" borderId="8" xfId="2" applyNumberFormat="1" applyFont="1" applyFill="1" applyBorder="1" applyAlignment="1" applyProtection="1">
      <alignment horizontal="center"/>
    </xf>
    <xf numFmtId="167" fontId="3" fillId="7" borderId="9" xfId="2" applyNumberFormat="1" applyFont="1" applyFill="1" applyBorder="1" applyAlignment="1" applyProtection="1">
      <alignment horizontal="center"/>
    </xf>
    <xf numFmtId="167" fontId="3" fillId="7" borderId="10" xfId="2" applyNumberFormat="1" applyFont="1" applyFill="1" applyBorder="1" applyAlignment="1" applyProtection="1">
      <alignment horizontal="center"/>
    </xf>
    <xf numFmtId="170" fontId="6" fillId="0" borderId="0" xfId="2" applyNumberFormat="1" applyFont="1" applyBorder="1"/>
    <xf numFmtId="175" fontId="6" fillId="11" borderId="16" xfId="2" applyNumberFormat="1" applyFont="1" applyFill="1" applyBorder="1" applyAlignment="1" applyProtection="1">
      <alignment horizontal="center"/>
    </xf>
    <xf numFmtId="167" fontId="6" fillId="0" borderId="16" xfId="2" applyNumberFormat="1" applyFont="1" applyFill="1" applyBorder="1" applyAlignment="1" applyProtection="1">
      <alignment horizontal="center"/>
    </xf>
    <xf numFmtId="167" fontId="6" fillId="0" borderId="9" xfId="2" applyNumberFormat="1" applyFont="1" applyBorder="1" applyAlignment="1" applyProtection="1">
      <alignment horizontal="center"/>
    </xf>
    <xf numFmtId="167" fontId="6" fillId="0" borderId="10" xfId="2" applyNumberFormat="1" applyFont="1" applyBorder="1" applyAlignment="1" applyProtection="1">
      <alignment horizontal="center"/>
    </xf>
    <xf numFmtId="173" fontId="6" fillId="0" borderId="0" xfId="2" applyNumberFormat="1" applyFont="1" applyBorder="1"/>
    <xf numFmtId="175" fontId="6" fillId="11" borderId="17" xfId="2" applyNumberFormat="1" applyFont="1" applyFill="1" applyBorder="1" applyAlignment="1" applyProtection="1">
      <alignment horizontal="center"/>
    </xf>
    <xf numFmtId="167" fontId="6" fillId="0" borderId="17" xfId="2" applyNumberFormat="1" applyFont="1" applyFill="1" applyBorder="1" applyAlignment="1" applyProtection="1">
      <alignment horizontal="center"/>
    </xf>
    <xf numFmtId="165" fontId="8" fillId="5" borderId="16" xfId="2" applyNumberFormat="1" applyFont="1" applyFill="1" applyBorder="1" applyAlignment="1" applyProtection="1">
      <alignment horizontal="center"/>
    </xf>
    <xf numFmtId="0" fontId="6" fillId="0" borderId="17" xfId="2" applyFont="1" applyBorder="1" applyAlignment="1" applyProtection="1">
      <alignment horizontal="center"/>
    </xf>
    <xf numFmtId="0" fontId="6" fillId="0" borderId="16" xfId="2" applyFont="1" applyBorder="1" applyAlignment="1" applyProtection="1">
      <alignment horizontal="center"/>
    </xf>
    <xf numFmtId="169" fontId="6" fillId="15" borderId="16" xfId="2" applyNumberFormat="1" applyFont="1" applyFill="1" applyBorder="1" applyAlignment="1" applyProtection="1">
      <alignment horizontal="center"/>
    </xf>
    <xf numFmtId="0" fontId="6" fillId="11" borderId="16" xfId="2" applyNumberFormat="1" applyFont="1" applyFill="1" applyBorder="1" applyAlignment="1" applyProtection="1">
      <alignment horizontal="center"/>
    </xf>
    <xf numFmtId="169" fontId="6" fillId="0" borderId="11" xfId="2" applyNumberFormat="1" applyFont="1" applyBorder="1" applyAlignment="1">
      <alignment horizontal="center"/>
    </xf>
    <xf numFmtId="169" fontId="6" fillId="0" borderId="1" xfId="2" applyNumberFormat="1" applyFont="1" applyBorder="1"/>
    <xf numFmtId="166" fontId="6" fillId="7" borderId="16" xfId="2" applyNumberFormat="1" applyFont="1" applyFill="1" applyBorder="1" applyAlignment="1" applyProtection="1">
      <alignment horizontal="center"/>
    </xf>
    <xf numFmtId="169" fontId="6" fillId="0" borderId="20" xfId="2" applyNumberFormat="1" applyFont="1" applyBorder="1" applyAlignment="1" applyProtection="1">
      <alignment horizontal="center"/>
    </xf>
    <xf numFmtId="176" fontId="6" fillId="0" borderId="0" xfId="2" applyNumberFormat="1" applyFont="1" applyBorder="1"/>
    <xf numFmtId="169" fontId="6" fillId="15" borderId="15" xfId="2" applyNumberFormat="1" applyFont="1" applyFill="1" applyBorder="1" applyAlignment="1" applyProtection="1">
      <alignment horizontal="center"/>
    </xf>
    <xf numFmtId="0" fontId="6" fillId="11" borderId="15" xfId="2" applyNumberFormat="1" applyFont="1" applyFill="1" applyBorder="1" applyAlignment="1" applyProtection="1">
      <alignment horizontal="center"/>
    </xf>
    <xf numFmtId="169" fontId="6" fillId="0" borderId="8" xfId="2" applyNumberFormat="1" applyFont="1" applyBorder="1" applyAlignment="1">
      <alignment horizontal="center"/>
    </xf>
    <xf numFmtId="169" fontId="6" fillId="0" borderId="18" xfId="2" applyNumberFormat="1" applyFont="1" applyBorder="1"/>
    <xf numFmtId="167" fontId="6" fillId="0" borderId="15" xfId="2" applyNumberFormat="1" applyFont="1" applyFill="1" applyBorder="1" applyAlignment="1" applyProtection="1">
      <alignment horizontal="center"/>
    </xf>
    <xf numFmtId="166" fontId="6" fillId="7" borderId="15" xfId="2" applyNumberFormat="1" applyFont="1" applyFill="1" applyBorder="1" applyAlignment="1" applyProtection="1">
      <alignment horizontal="center"/>
    </xf>
    <xf numFmtId="15" fontId="6" fillId="15" borderId="15" xfId="2" applyNumberFormat="1" applyFont="1" applyFill="1" applyBorder="1" applyAlignment="1" applyProtection="1">
      <alignment horizontal="center"/>
      <protection locked="0"/>
    </xf>
    <xf numFmtId="0" fontId="6" fillId="18" borderId="1" xfId="2" applyFont="1" applyFill="1" applyBorder="1" applyProtection="1"/>
    <xf numFmtId="0" fontId="6" fillId="15" borderId="1" xfId="2" applyFont="1" applyFill="1" applyBorder="1" applyAlignment="1" applyProtection="1">
      <alignment horizontal="center"/>
    </xf>
    <xf numFmtId="0" fontId="6" fillId="19" borderId="16" xfId="2" applyFont="1" applyFill="1" applyBorder="1" applyProtection="1"/>
    <xf numFmtId="0" fontId="6" fillId="7" borderId="16" xfId="2" applyFont="1" applyFill="1" applyBorder="1" applyAlignment="1" applyProtection="1">
      <alignment horizontal="center"/>
    </xf>
    <xf numFmtId="0" fontId="6" fillId="19" borderId="15" xfId="2" applyFont="1" applyFill="1" applyBorder="1" applyProtection="1"/>
    <xf numFmtId="0" fontId="6" fillId="7" borderId="15" xfId="2" applyFont="1" applyFill="1" applyBorder="1" applyAlignment="1" applyProtection="1">
      <alignment horizontal="center"/>
    </xf>
    <xf numFmtId="0" fontId="6" fillId="0" borderId="1" xfId="2" applyFont="1" applyBorder="1" applyAlignment="1">
      <alignment horizontal="left"/>
    </xf>
    <xf numFmtId="0" fontId="6" fillId="19" borderId="17" xfId="2" applyFont="1" applyFill="1" applyBorder="1" applyProtection="1"/>
    <xf numFmtId="0" fontId="6" fillId="0" borderId="15" xfId="2" applyFont="1" applyBorder="1" applyAlignment="1">
      <alignment horizontal="left"/>
    </xf>
    <xf numFmtId="0" fontId="6" fillId="20" borderId="1" xfId="2" applyFont="1" applyFill="1" applyBorder="1"/>
    <xf numFmtId="0" fontId="6" fillId="15" borderId="1" xfId="2" applyFont="1" applyFill="1" applyBorder="1" applyAlignment="1">
      <alignment horizontal="center"/>
    </xf>
    <xf numFmtId="0" fontId="6" fillId="0" borderId="17" xfId="2" applyFont="1" applyBorder="1" applyAlignment="1">
      <alignment horizontal="left"/>
    </xf>
    <xf numFmtId="0" fontId="6" fillId="7" borderId="15" xfId="2" applyNumberFormat="1" applyFont="1" applyFill="1" applyBorder="1" applyAlignment="1" applyProtection="1">
      <alignment horizontal="center"/>
    </xf>
    <xf numFmtId="174" fontId="6" fillId="7" borderId="15" xfId="2" applyNumberFormat="1" applyFont="1" applyFill="1" applyBorder="1" applyAlignment="1" applyProtection="1">
      <alignment horizontal="center"/>
    </xf>
    <xf numFmtId="0" fontId="6" fillId="11" borderId="17" xfId="2" applyNumberFormat="1" applyFont="1" applyFill="1" applyBorder="1" applyAlignment="1" applyProtection="1">
      <alignment horizontal="center"/>
    </xf>
    <xf numFmtId="169" fontId="6" fillId="0" borderId="19" xfId="2" applyNumberFormat="1" applyFont="1" applyBorder="1" applyAlignment="1">
      <alignment horizontal="center"/>
    </xf>
    <xf numFmtId="169" fontId="6" fillId="0" borderId="20" xfId="2" applyNumberFormat="1" applyFont="1" applyBorder="1"/>
    <xf numFmtId="166" fontId="6" fillId="7" borderId="17" xfId="2" applyNumberFormat="1" applyFont="1" applyFill="1" applyBorder="1" applyAlignment="1" applyProtection="1">
      <alignment horizontal="center"/>
    </xf>
    <xf numFmtId="0" fontId="6" fillId="0" borderId="21" xfId="2" applyFont="1" applyBorder="1" applyProtection="1"/>
    <xf numFmtId="164" fontId="6" fillId="0" borderId="19" xfId="2" applyNumberFormat="1" applyFont="1" applyFill="1" applyBorder="1" applyAlignment="1" applyProtection="1">
      <alignment horizontal="center"/>
    </xf>
    <xf numFmtId="0" fontId="6" fillId="15" borderId="16" xfId="2" quotePrefix="1" applyFont="1" applyFill="1" applyBorder="1" applyAlignment="1" applyProtection="1">
      <alignment horizontal="center"/>
    </xf>
    <xf numFmtId="174" fontId="6" fillId="11" borderId="12" xfId="2" applyNumberFormat="1" applyFont="1" applyFill="1" applyBorder="1" applyAlignment="1" applyProtection="1">
      <alignment horizontal="center"/>
    </xf>
    <xf numFmtId="0" fontId="6" fillId="0" borderId="11" xfId="2" applyFont="1" applyFill="1" applyBorder="1" applyAlignment="1" applyProtection="1">
      <alignment horizontal="center"/>
    </xf>
    <xf numFmtId="164" fontId="6" fillId="15" borderId="15" xfId="2" applyNumberFormat="1" applyFont="1" applyFill="1" applyBorder="1" applyAlignment="1" applyProtection="1">
      <alignment horizontal="center"/>
    </xf>
    <xf numFmtId="174" fontId="6" fillId="11" borderId="18" xfId="2" applyNumberFormat="1" applyFont="1" applyFill="1" applyBorder="1" applyAlignment="1" applyProtection="1">
      <alignment horizontal="center"/>
    </xf>
    <xf numFmtId="0" fontId="6" fillId="0" borderId="8" xfId="2" applyFont="1" applyFill="1" applyBorder="1" applyAlignment="1" applyProtection="1">
      <alignment horizontal="center"/>
    </xf>
    <xf numFmtId="0" fontId="6" fillId="7" borderId="17" xfId="2" applyFont="1" applyFill="1" applyBorder="1" applyAlignment="1" applyProtection="1">
      <alignment horizontal="center"/>
    </xf>
    <xf numFmtId="0" fontId="6" fillId="7" borderId="20" xfId="2" applyFont="1" applyFill="1" applyBorder="1" applyAlignment="1" applyProtection="1">
      <alignment horizontal="center"/>
    </xf>
    <xf numFmtId="173" fontId="6" fillId="0" borderId="21" xfId="2" applyNumberFormat="1" applyFont="1" applyBorder="1" applyProtection="1"/>
    <xf numFmtId="173" fontId="6" fillId="0" borderId="20" xfId="2" applyNumberFormat="1" applyFont="1" applyBorder="1" applyProtection="1"/>
    <xf numFmtId="0" fontId="6" fillId="0" borderId="19" xfId="2" applyFont="1" applyBorder="1" applyProtection="1"/>
    <xf numFmtId="173" fontId="6" fillId="0" borderId="21" xfId="2" applyNumberFormat="1" applyFont="1" applyBorder="1" applyAlignment="1" applyProtection="1">
      <alignment horizontal="center"/>
    </xf>
    <xf numFmtId="173" fontId="6" fillId="0" borderId="20" xfId="2" applyNumberFormat="1" applyFont="1" applyBorder="1" applyAlignment="1" applyProtection="1">
      <alignment horizontal="center"/>
    </xf>
    <xf numFmtId="0" fontId="6" fillId="0" borderId="12" xfId="2" applyFont="1" applyBorder="1" applyProtection="1"/>
    <xf numFmtId="0" fontId="6" fillId="20" borderId="16" xfId="2" applyFont="1" applyFill="1" applyBorder="1" applyProtection="1"/>
    <xf numFmtId="0" fontId="6" fillId="15" borderId="16" xfId="2" applyFont="1" applyFill="1" applyBorder="1" applyAlignment="1" applyProtection="1">
      <alignment horizontal="center"/>
    </xf>
    <xf numFmtId="0" fontId="6" fillId="0" borderId="18" xfId="2" applyFont="1" applyBorder="1" applyProtection="1"/>
    <xf numFmtId="0" fontId="6" fillId="20" borderId="15" xfId="2" applyFont="1" applyFill="1" applyBorder="1" applyProtection="1"/>
    <xf numFmtId="0" fontId="6" fillId="15" borderId="15" xfId="2" applyFont="1" applyFill="1" applyBorder="1" applyAlignment="1" applyProtection="1">
      <alignment horizontal="center"/>
    </xf>
    <xf numFmtId="174" fontId="6" fillId="7" borderId="16" xfId="2" applyNumberFormat="1" applyFont="1" applyFill="1" applyBorder="1" applyAlignment="1" applyProtection="1">
      <alignment horizontal="center"/>
    </xf>
    <xf numFmtId="0" fontId="6" fillId="20" borderId="17" xfId="2" applyFont="1" applyFill="1" applyBorder="1" applyProtection="1"/>
    <xf numFmtId="172" fontId="6" fillId="0" borderId="0" xfId="2" applyNumberFormat="1" applyFont="1" applyBorder="1"/>
    <xf numFmtId="0" fontId="6" fillId="18" borderId="16" xfId="2" applyFont="1" applyFill="1" applyBorder="1"/>
    <xf numFmtId="0" fontId="6" fillId="15" borderId="16" xfId="2" applyFont="1" applyFill="1" applyBorder="1" applyAlignment="1">
      <alignment horizontal="center"/>
    </xf>
    <xf numFmtId="0" fontId="6" fillId="18" borderId="17" xfId="2" applyFont="1" applyFill="1" applyBorder="1" applyProtection="1"/>
    <xf numFmtId="0" fontId="6" fillId="21" borderId="16" xfId="2" applyFont="1" applyFill="1" applyBorder="1" applyProtection="1"/>
    <xf numFmtId="0" fontId="6" fillId="21" borderId="15" xfId="2" applyFont="1" applyFill="1" applyBorder="1" applyProtection="1"/>
    <xf numFmtId="0" fontId="6" fillId="15" borderId="15" xfId="2" applyFont="1" applyFill="1" applyBorder="1" applyAlignment="1">
      <alignment horizontal="center"/>
    </xf>
    <xf numFmtId="0" fontId="6" fillId="21" borderId="17" xfId="2" applyFont="1" applyFill="1" applyBorder="1" applyProtection="1"/>
    <xf numFmtId="0" fontId="6" fillId="0" borderId="8" xfId="2" applyFont="1" applyBorder="1"/>
    <xf numFmtId="0" fontId="6" fillId="12" borderId="17" xfId="2" applyFont="1" applyFill="1" applyBorder="1" applyProtection="1"/>
    <xf numFmtId="167" fontId="6" fillId="14" borderId="1" xfId="3" applyNumberFormat="1" applyFont="1" applyFill="1" applyBorder="1" applyAlignment="1">
      <alignment horizontal="center"/>
    </xf>
    <xf numFmtId="0" fontId="6" fillId="0" borderId="16" xfId="2" applyFont="1" applyFill="1" applyBorder="1"/>
    <xf numFmtId="0" fontId="6" fillId="0" borderId="16" xfId="2" applyFont="1" applyFill="1" applyBorder="1" applyAlignment="1">
      <alignment horizontal="center"/>
    </xf>
    <xf numFmtId="0" fontId="6" fillId="0" borderId="15" xfId="2" applyFont="1" applyFill="1" applyBorder="1"/>
    <xf numFmtId="0" fontId="6" fillId="0" borderId="15" xfId="2" applyFont="1" applyFill="1" applyBorder="1" applyAlignment="1">
      <alignment horizontal="center"/>
    </xf>
    <xf numFmtId="0" fontId="6" fillId="0" borderId="20" xfId="2" applyFont="1" applyBorder="1" applyProtection="1"/>
    <xf numFmtId="167" fontId="6" fillId="0" borderId="15" xfId="2" applyNumberFormat="1" applyFont="1" applyFill="1" applyBorder="1" applyAlignment="1">
      <alignment horizontal="center"/>
    </xf>
    <xf numFmtId="174" fontId="6" fillId="7" borderId="17" xfId="2" applyNumberFormat="1" applyFont="1" applyFill="1" applyBorder="1" applyAlignment="1" applyProtection="1">
      <alignment horizontal="center"/>
    </xf>
    <xf numFmtId="0" fontId="6" fillId="0" borderId="15" xfId="2" applyFont="1" applyBorder="1" applyAlignment="1">
      <alignment horizontal="center"/>
    </xf>
    <xf numFmtId="0" fontId="6" fillId="7" borderId="17" xfId="2" applyNumberFormat="1" applyFont="1" applyFill="1" applyBorder="1" applyAlignment="1" applyProtection="1">
      <alignment horizontal="center"/>
    </xf>
    <xf numFmtId="0" fontId="6" fillId="0" borderId="17" xfId="2" applyFont="1" applyFill="1" applyBorder="1"/>
    <xf numFmtId="0" fontId="6" fillId="8" borderId="15" xfId="0" applyFont="1" applyFill="1" applyBorder="1" applyAlignment="1">
      <alignment horizontal="center"/>
    </xf>
    <xf numFmtId="0" fontId="6" fillId="0" borderId="11" xfId="2" applyFont="1" applyBorder="1"/>
    <xf numFmtId="0" fontId="6" fillId="0" borderId="16" xfId="2" applyFont="1" applyBorder="1" applyAlignment="1">
      <alignment horizontal="center"/>
    </xf>
    <xf numFmtId="0" fontId="6" fillId="0" borderId="19" xfId="2" applyFont="1" applyBorder="1"/>
    <xf numFmtId="0" fontId="6" fillId="0" borderId="17" xfId="2" applyFont="1" applyBorder="1" applyAlignment="1">
      <alignment horizontal="center"/>
    </xf>
    <xf numFmtId="174" fontId="6" fillId="11" borderId="20" xfId="2" applyNumberFormat="1" applyFont="1" applyFill="1" applyBorder="1" applyAlignment="1" applyProtection="1">
      <alignment horizontal="center"/>
    </xf>
    <xf numFmtId="0" fontId="6" fillId="0" borderId="19" xfId="2" applyFont="1" applyFill="1" applyBorder="1" applyAlignment="1" applyProtection="1">
      <alignment horizontal="center"/>
    </xf>
    <xf numFmtId="164" fontId="6" fillId="13" borderId="17" xfId="2" applyNumberFormat="1" applyFont="1" applyFill="1" applyBorder="1" applyAlignment="1" applyProtection="1">
      <alignment horizontal="center"/>
    </xf>
    <xf numFmtId="170" fontId="6" fillId="13" borderId="17" xfId="2" applyNumberFormat="1" applyFont="1" applyFill="1" applyBorder="1" applyAlignment="1" applyProtection="1">
      <alignment horizontal="center"/>
    </xf>
    <xf numFmtId="164" fontId="6" fillId="13" borderId="19" xfId="2" applyNumberFormat="1" applyFont="1" applyFill="1" applyBorder="1" applyAlignment="1" applyProtection="1">
      <alignment horizontal="center"/>
    </xf>
    <xf numFmtId="170" fontId="6" fillId="0" borderId="0" xfId="2" applyNumberFormat="1" applyFont="1" applyBorder="1" applyProtection="1"/>
    <xf numFmtId="0" fontId="6" fillId="0" borderId="0" xfId="2" applyFont="1" applyProtection="1"/>
    <xf numFmtId="0" fontId="6" fillId="0" borderId="23" xfId="2" applyFont="1" applyBorder="1"/>
    <xf numFmtId="0" fontId="6" fillId="0" borderId="24" xfId="2" applyFont="1" applyBorder="1"/>
    <xf numFmtId="0" fontId="6" fillId="0" borderId="24" xfId="2" applyFont="1" applyBorder="1" applyProtection="1"/>
    <xf numFmtId="167" fontId="6" fillId="8" borderId="23" xfId="0" applyNumberFormat="1" applyFont="1" applyFill="1" applyBorder="1" applyAlignment="1">
      <alignment horizontal="center" vertical="center"/>
    </xf>
    <xf numFmtId="167" fontId="6" fillId="8" borderId="24" xfId="0" applyNumberFormat="1" applyFont="1" applyFill="1" applyBorder="1" applyAlignment="1">
      <alignment horizontal="center" vertical="center"/>
    </xf>
    <xf numFmtId="167" fontId="6" fillId="8" borderId="25" xfId="0" applyNumberFormat="1" applyFont="1" applyFill="1" applyBorder="1" applyAlignment="1">
      <alignment horizontal="center" vertical="center"/>
    </xf>
    <xf numFmtId="0" fontId="6" fillId="4" borderId="24" xfId="3" applyFont="1" applyFill="1" applyBorder="1" applyAlignment="1">
      <alignment horizontal="center" vertical="center"/>
    </xf>
    <xf numFmtId="0" fontId="6" fillId="4" borderId="25" xfId="3" applyFont="1" applyFill="1" applyBorder="1" applyAlignment="1">
      <alignment horizontal="center" vertical="center"/>
    </xf>
    <xf numFmtId="0" fontId="6" fillId="0" borderId="26" xfId="2" applyFont="1" applyBorder="1" applyProtection="1"/>
    <xf numFmtId="0" fontId="6" fillId="0" borderId="27" xfId="2" applyFont="1" applyBorder="1" applyProtection="1"/>
    <xf numFmtId="0" fontId="6" fillId="0" borderId="24" xfId="2" applyFont="1" applyBorder="1" applyAlignment="1" applyProtection="1">
      <alignment horizontal="center"/>
    </xf>
    <xf numFmtId="170" fontId="6" fillId="0" borderId="28" xfId="2" applyNumberFormat="1" applyFont="1" applyBorder="1" applyProtection="1"/>
    <xf numFmtId="0" fontId="10" fillId="0" borderId="0" xfId="0" applyFont="1"/>
    <xf numFmtId="0" fontId="11" fillId="0" borderId="0" xfId="0" applyFont="1"/>
    <xf numFmtId="0" fontId="11" fillId="9" borderId="0" xfId="0" applyFont="1" applyFill="1"/>
    <xf numFmtId="2" fontId="1" fillId="0" borderId="0" xfId="0" applyNumberFormat="1" applyFont="1"/>
    <xf numFmtId="0" fontId="1" fillId="0" borderId="29" xfId="0" applyFont="1" applyBorder="1"/>
    <xf numFmtId="0" fontId="1" fillId="0" borderId="0" xfId="0" applyFont="1" applyBorder="1"/>
    <xf numFmtId="166" fontId="1" fillId="0" borderId="0" xfId="0" applyNumberFormat="1" applyFont="1"/>
    <xf numFmtId="166" fontId="1" fillId="0" borderId="30" xfId="0" applyNumberFormat="1" applyFont="1" applyBorder="1"/>
    <xf numFmtId="0" fontId="11" fillId="22" borderId="0" xfId="0" applyFont="1" applyFill="1"/>
    <xf numFmtId="0" fontId="1" fillId="0" borderId="0" xfId="0" applyNumberFormat="1" applyFont="1"/>
    <xf numFmtId="177" fontId="1" fillId="0" borderId="31" xfId="0" applyNumberFormat="1" applyFont="1" applyBorder="1"/>
    <xf numFmtId="0" fontId="13" fillId="23" borderId="0" xfId="0" applyFont="1" applyFill="1"/>
    <xf numFmtId="166" fontId="10" fillId="0" borderId="0" xfId="0" applyNumberFormat="1" applyFont="1"/>
    <xf numFmtId="178" fontId="1" fillId="0" borderId="0" xfId="0" applyNumberFormat="1" applyFont="1"/>
    <xf numFmtId="0" fontId="1" fillId="0" borderId="32" xfId="0" applyFont="1" applyBorder="1"/>
    <xf numFmtId="0" fontId="1" fillId="0" borderId="33" xfId="0" applyFont="1" applyBorder="1"/>
    <xf numFmtId="178" fontId="1" fillId="0" borderId="34" xfId="0" applyNumberFormat="1" applyFont="1" applyBorder="1"/>
    <xf numFmtId="0" fontId="1" fillId="0" borderId="35" xfId="0" applyFont="1" applyBorder="1"/>
    <xf numFmtId="178" fontId="14" fillId="0" borderId="34" xfId="0" applyNumberFormat="1" applyFont="1" applyBorder="1"/>
    <xf numFmtId="0" fontId="1" fillId="0" borderId="34" xfId="0" applyFont="1" applyBorder="1"/>
    <xf numFmtId="0" fontId="1" fillId="0" borderId="36" xfId="0" applyFont="1" applyBorder="1"/>
    <xf numFmtId="0" fontId="1" fillId="0" borderId="30" xfId="0" applyFont="1" applyBorder="1"/>
    <xf numFmtId="0" fontId="1" fillId="0" borderId="37" xfId="0" applyFont="1" applyBorder="1"/>
    <xf numFmtId="0" fontId="15" fillId="0" borderId="0" xfId="0" applyFont="1"/>
    <xf numFmtId="2" fontId="10" fillId="0" borderId="0" xfId="0" applyNumberFormat="1" applyFont="1"/>
    <xf numFmtId="0" fontId="1" fillId="0" borderId="0" xfId="0" quotePrefix="1" applyFont="1"/>
    <xf numFmtId="2" fontId="5" fillId="0" borderId="0" xfId="0" applyNumberFormat="1" applyFont="1"/>
    <xf numFmtId="166" fontId="10" fillId="0" borderId="29" xfId="0" applyNumberFormat="1" applyFont="1" applyBorder="1"/>
    <xf numFmtId="166" fontId="1" fillId="0" borderId="0" xfId="0" applyNumberFormat="1" applyFont="1" applyBorder="1"/>
    <xf numFmtId="0" fontId="11" fillId="0" borderId="0" xfId="0" applyFont="1" applyBorder="1"/>
    <xf numFmtId="0" fontId="11" fillId="0" borderId="30" xfId="0" applyFont="1" applyBorder="1"/>
    <xf numFmtId="180" fontId="1" fillId="0" borderId="0" xfId="0" applyNumberFormat="1" applyFont="1" applyBorder="1"/>
    <xf numFmtId="22" fontId="1" fillId="0" borderId="0" xfId="0" applyNumberFormat="1" applyFont="1" applyBorder="1"/>
    <xf numFmtId="180" fontId="1" fillId="0" borderId="30" xfId="0" applyNumberFormat="1" applyFont="1" applyBorder="1"/>
    <xf numFmtId="179" fontId="1" fillId="0" borderId="33" xfId="0" applyNumberFormat="1" applyFont="1" applyBorder="1"/>
    <xf numFmtId="180" fontId="1" fillId="0" borderId="35" xfId="0" applyNumberFormat="1" applyFont="1" applyBorder="1"/>
    <xf numFmtId="180" fontId="1" fillId="0" borderId="37" xfId="0" applyNumberFormat="1" applyFont="1" applyBorder="1"/>
    <xf numFmtId="0" fontId="11" fillId="0" borderId="35" xfId="0" applyFont="1" applyBorder="1"/>
    <xf numFmtId="0" fontId="11" fillId="0" borderId="37" xfId="0" applyFont="1" applyBorder="1"/>
    <xf numFmtId="0" fontId="1" fillId="9" borderId="0" xfId="0" applyFont="1" applyFill="1"/>
    <xf numFmtId="0" fontId="1" fillId="24" borderId="0" xfId="0" applyFont="1" applyFill="1"/>
    <xf numFmtId="181" fontId="1" fillId="0" borderId="33" xfId="0" applyNumberFormat="1" applyFont="1" applyBorder="1" applyAlignment="1">
      <alignment horizontal="center"/>
    </xf>
    <xf numFmtId="178" fontId="1" fillId="9" borderId="40" xfId="0" applyNumberFormat="1" applyFont="1" applyFill="1" applyBorder="1"/>
    <xf numFmtId="0" fontId="11" fillId="9" borderId="41" xfId="0" applyFont="1" applyFill="1" applyBorder="1"/>
    <xf numFmtId="0" fontId="1" fillId="9" borderId="41" xfId="0" applyFont="1" applyFill="1" applyBorder="1"/>
    <xf numFmtId="180" fontId="1" fillId="9" borderId="41" xfId="0" applyNumberFormat="1" applyFont="1" applyFill="1" applyBorder="1"/>
    <xf numFmtId="0" fontId="1" fillId="9" borderId="39" xfId="0" applyFont="1" applyFill="1" applyBorder="1"/>
    <xf numFmtId="182" fontId="11" fillId="0" borderId="0" xfId="0" applyNumberFormat="1" applyFont="1"/>
    <xf numFmtId="0" fontId="1" fillId="25" borderId="29" xfId="0" applyFont="1" applyFill="1" applyBorder="1"/>
    <xf numFmtId="22" fontId="1" fillId="0" borderId="29" xfId="0" applyNumberFormat="1" applyFont="1" applyBorder="1"/>
    <xf numFmtId="0" fontId="1" fillId="26" borderId="0" xfId="0" applyFont="1" applyFill="1"/>
    <xf numFmtId="0" fontId="5" fillId="0" borderId="0" xfId="0" applyFont="1" applyAlignment="1">
      <alignment horizontal="center"/>
    </xf>
    <xf numFmtId="0" fontId="5" fillId="0" borderId="29" xfId="0" applyFont="1" applyBorder="1"/>
    <xf numFmtId="0" fontId="5" fillId="0" borderId="42" xfId="0" applyFont="1" applyBorder="1"/>
    <xf numFmtId="0" fontId="1" fillId="0" borderId="43" xfId="0" applyFont="1" applyBorder="1"/>
    <xf numFmtId="0" fontId="1" fillId="0" borderId="38" xfId="0" applyFont="1" applyBorder="1"/>
    <xf numFmtId="165" fontId="8" fillId="5" borderId="9" xfId="2" applyNumberFormat="1" applyFont="1" applyFill="1" applyBorder="1" applyAlignment="1" applyProtection="1">
      <alignment horizontal="center"/>
    </xf>
    <xf numFmtId="165" fontId="8" fillId="5" borderId="10" xfId="2" applyNumberFormat="1" applyFont="1" applyFill="1" applyBorder="1" applyAlignment="1" applyProtection="1">
      <alignment horizontal="center"/>
    </xf>
    <xf numFmtId="0" fontId="8" fillId="5" borderId="9" xfId="2" applyNumberFormat="1" applyFont="1" applyFill="1" applyBorder="1" applyAlignment="1" applyProtection="1">
      <alignment horizontal="center"/>
    </xf>
    <xf numFmtId="0" fontId="8" fillId="5" borderId="10" xfId="2" applyNumberFormat="1" applyFont="1" applyFill="1" applyBorder="1" applyAlignment="1" applyProtection="1">
      <alignment horizontal="center"/>
    </xf>
    <xf numFmtId="165" fontId="8" fillId="5" borderId="22" xfId="2" applyNumberFormat="1" applyFont="1" applyFill="1" applyBorder="1" applyAlignment="1" applyProtection="1">
      <alignment horizontal="center"/>
    </xf>
  </cellXfs>
  <cellStyles count="4">
    <cellStyle name="Normal" xfId="0" builtinId="0"/>
    <cellStyle name="Normal 5" xfId="2"/>
    <cellStyle name="Normal_Eur STD.1" xfId="3"/>
    <cellStyle name="Trigger" xfId="1"/>
  </cellStyles>
  <dxfs count="63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42753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2"/>
      </tp>
    </main>
    <main first="pldatasource.rtgetrtdserver">
      <tp>
        <v>6.4219999999999997</v>
        <stp/>
        <stp xml:space="preserve">	COPSWID=R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1" s="3"/>
      </tp>
    </main>
    <main first="pldatasource.rtgetrtdserver">
      <tp>
        <v>6.9489999999999998</v>
        <stp/>
        <stp xml:space="preserve">	COPSWID=R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1" s="3"/>
      </tp>
    </main>
    <main first="pldatasource.rtgetrtdserver">
      <tp>
        <v>0.5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2"/>
      </tp>
    </main>
    <main first="pldatasource.rtgetrtdserver">
      <tp>
        <v>0.623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2"/>
      </tp>
    </main>
    <main first="pldatasource.rtgetrtdserver">
      <tp>
        <v>0.623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2"/>
      </tp>
    </main>
    <main first="pldatasource.rtgetrtdserver">
      <tp>
        <v>0.5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2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2"/>
      </tp>
      <tp>
        <v>-0.36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2"/>
      </tp>
      <tp>
        <v>-0.31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2"/>
      </tp>
      <tp>
        <v>-0.36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2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2"/>
      </tp>
      <tp>
        <v>-0.22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2"/>
      </tp>
      <tp>
        <v>-0.19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2"/>
      </tp>
      <tp>
        <v>-0.28000000000000003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2"/>
      </tp>
      <tp>
        <v>-0.25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2"/>
      </tp>
      <tp>
        <v>-0.16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2"/>
      </tp>
      <tp>
        <v>-0.13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2"/>
      </tp>
      <tp>
        <v>-0.37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2"/>
      </tp>
      <tp>
        <v>-0.37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2"/>
      </tp>
      <tp>
        <v>-0.37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2"/>
      </tp>
      <tp>
        <v>-0.36999989999999999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2"/>
      </tp>
    </main>
    <main first="pldatasource.rtgetrtdserver">
      <tp>
        <v>-9.0999999999999998E-2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2"/>
      </tp>
    </main>
    <main first="pldatasource.rtgetrtdserver">
      <tp>
        <v>-0.22595775400000001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2"/>
      </tp>
    </main>
    <main first="pldatasource.rtgetrtdserver">
      <tp>
        <v>-0.172518119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2"/>
      </tp>
    </main>
    <main first="pldatasource.rtgetrtdserver">
      <tp>
        <v>-0.172518119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2"/>
      </tp>
    </main>
    <main first="pldatasource.rtgetrtdserver">
      <tp>
        <v>-0.22595775400000001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2"/>
      </tp>
      <tp>
        <v>0.1</v>
        <stp/>
        <stp>_x0005_FEIM7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7" s="2"/>
      </tp>
      <tp>
        <v>1.8</v>
        <stp/>
        <stp>_x0005_FEIM9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5" s="2"/>
      </tp>
      <tp>
        <v>0.69000000000000006</v>
        <stp/>
        <stp>_x0005_FEIM8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1" s="2"/>
      </tp>
    </main>
    <main first="pldatasource.rtgetrtdserver">
      <tp>
        <v>-9.0999999999999998E-2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2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2"/>
      </tp>
      <tp>
        <v>-0.36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2"/>
      </tp>
      <tp>
        <v>-0.31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2"/>
      </tp>
      <tp>
        <v>-0.36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2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2"/>
      </tp>
      <tp>
        <v>-0.22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2"/>
      </tp>
      <tp>
        <v>-0.19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2"/>
      </tp>
      <tp>
        <v>-0.28000000000000003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2"/>
      </tp>
      <tp>
        <v>-0.25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2"/>
      </tp>
      <tp>
        <v>-0.16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2"/>
      </tp>
      <tp>
        <v>-0.13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2"/>
      </tp>
      <tp>
        <v>-0.37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2"/>
      </tp>
      <tp>
        <v>-0.37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2"/>
      </tp>
      <tp>
        <v>-0.37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2"/>
      </tp>
      <tp>
        <v>-0.36999989999999999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2"/>
      </tp>
    </main>
    <main first="pldatasource.rtgetrtdserver">
      <tp>
        <v>9.0000000000000011E-3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2"/>
      </tp>
      <tp>
        <v>0.372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2"/>
      </tp>
      <tp>
        <v>0.125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2"/>
      </tp>
      <tp>
        <v>-0.37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" s="2"/>
      </tp>
      <tp>
        <v>0.246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2"/>
      </tp>
    </main>
    <main first="pldatasource.rtgetrtdserver">
      <tp>
        <v>-0.11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2"/>
      </tp>
      <tp>
        <v>-0.09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2"/>
      </tp>
    </main>
    <main first="pldatasource.rtgetrtdserver">
      <tp>
        <v>0.246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2"/>
      </tp>
    </main>
    <main first="pldatasource.rtgetrtdserver">
      <tp>
        <v>-0.37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" s="2"/>
      </tp>
      <tp>
        <v>0.125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2"/>
      </tp>
    </main>
    <main first="pldatasource.rtgetrtdserver">
      <tp>
        <v>0.372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2"/>
      </tp>
    </main>
    <main first="pldatasource.rtgetrtdserver">
      <tp>
        <v>9.0000000000000011E-3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2"/>
      </tp>
      <tp>
        <v>0.03</v>
        <stp/>
        <stp>_x0005_FEIH7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6" s="2"/>
      </tp>
      <tp>
        <v>1.47</v>
        <stp/>
        <stp>_x0005_FEIH9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4" s="2"/>
      </tp>
      <tp>
        <v>0.5</v>
        <stp/>
        <stp>_x0005_FEIH8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0" s="2"/>
      </tp>
    </main>
    <main first="pldatasource.rtgetrtdserver">
      <tp>
        <v>-0.36742223500000004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" s="2"/>
      </tp>
    </main>
    <main first="pldatasource.rtgetrtdserver">
      <tp>
        <v>-0.36742223500000004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" s="2"/>
      </tp>
    </main>
    <main first="pldatasource.rtgetrtdserver">
      <tp>
        <v>0.2</v>
        <stp/>
        <stp>_x0005_FEIU7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8" s="2"/>
      </tp>
      <tp>
        <v>2.15</v>
        <stp/>
        <stp>_x0005_FEIU9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6" s="2"/>
      </tp>
      <tp>
        <v>0.92</v>
        <stp/>
        <stp>_x0005_FEIU8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2" s="2"/>
      </tp>
    </main>
    <main first="pldatasource.rtgetrtdserver">
      <tp>
        <v>-0.11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2"/>
      </tp>
      <tp>
        <v>-0.09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2"/>
      </tp>
    </main>
    <main first="pldatasource.rtgetrtdserver">
      <tp>
        <v>-0.17454545500000002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2"/>
      </tp>
    </main>
    <main first="pldatasource.rtgetrtdserver">
      <tp>
        <v>-0.37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" s="2"/>
      </tp>
    </main>
    <main first="pldatasource.rtgetrtdserver">
      <tp>
        <v>-0.37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" s="2"/>
      </tp>
      <tp>
        <v>-0.154545455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2"/>
      </tp>
    </main>
    <main first="pldatasource.rtgetrtdserver">
      <tp>
        <v>0.33</v>
        <stp/>
        <stp>_x0005_FEIZ7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29" s="2"/>
      </tp>
      <tp>
        <v>1.18</v>
        <stp/>
        <stp>_x0005_FEIZ8
CONVX_BIAS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33" s="2"/>
      </tp>
    </main>
    <main first="pldatasource.rtgetrtdserver">
      <tp>
        <v>100.2825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2"/>
      </tp>
      <tp>
        <v>100.1525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2"/>
      </tp>
      <tp>
        <v>100.30250000000001</v>
        <stp/>
        <stp xml:space="preserve">
EUR3MFUT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2"/>
      </tp>
      <tp>
        <v>100.19250000000001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2"/>
      </tp>
      <tp>
        <v>99.997572988000002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2"/>
      </tp>
      <tp>
        <v>100.33250000000001</v>
        <stp/>
        <stp xml:space="preserve">
EUR3MFUT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2"/>
      </tp>
      <tp>
        <v>-0.24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2"/>
      </tp>
      <tp>
        <v>100.2525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2"/>
      </tp>
      <tp>
        <v>100.1075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2"/>
      </tp>
      <tp>
        <v>100.31750000000001</v>
        <stp/>
        <stp xml:space="preserve">
EUR3MFUT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2"/>
      </tp>
      <tp>
        <v>100.22750000000001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2"/>
      </tp>
      <tp>
        <v>100.0575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2"/>
      </tp>
    </main>
    <main first="pldatasource.rtgetrtdserver">
      <tp>
        <v>100.1075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2"/>
      </tp>
      <tp>
        <v>100.2525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2"/>
      </tp>
      <tp>
        <v>100.33250000000001</v>
        <stp/>
        <stp xml:space="preserve">
EUR3MFUT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2"/>
      </tp>
      <tp>
        <v>100.0575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2"/>
      </tp>
      <tp>
        <v>100.22750000000001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2"/>
      </tp>
      <tp>
        <v>100.31750000000001</v>
        <stp/>
        <stp xml:space="preserve">
EUR3MFUT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2"/>
      </tp>
      <tp>
        <v>99.997572988000002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2"/>
      </tp>
      <tp>
        <v>100.19250000000001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2"/>
      </tp>
      <tp>
        <v>100.30250000000001</v>
        <stp/>
        <stp xml:space="preserve">
EUR3MFUT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2"/>
      </tp>
      <tp>
        <v>100.1525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2"/>
      </tp>
      <tp>
        <v>100.2825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2"/>
      </tp>
    </main>
    <main first="pldatasource.rtgetrtdserver">
      <tp>
        <v>3.0566542999999999</v>
        <stp/>
        <stp>_x0006_SGD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1" s="3"/>
      </tp>
      <tp>
        <v>2.301514541</v>
        <stp/>
        <stp>_x0006_THB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121" s="3"/>
      </tp>
      <tp>
        <v>7.1063497380000005</v>
        <stp/>
        <stp>_x0006_MXN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1" s="3"/>
      </tp>
      <tp>
        <v>12.125733642</v>
        <stp/>
        <stp>_x0006_BRL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21" s="3"/>
      </tp>
    </main>
    <main first="pldatasource.rtgetrtdserver">
      <tp>
        <v>1.2869999999999999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4" s="2"/>
      </tp>
      <tp>
        <v>1.2630000000000001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5" s="2"/>
      </tp>
      <tp>
        <v>1.238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6" s="2"/>
      </tp>
      <tp>
        <v>0.53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2"/>
      </tp>
      <tp>
        <v>-0.35259119500000002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2"/>
      </tp>
      <tp>
        <v>0.63800000000000001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2"/>
      </tp>
      <tp>
        <v>-0.35188342300000003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2"/>
      </tp>
      <tp>
        <v>0.73199999999999998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2"/>
      </tp>
      <tp>
        <v>0.81348410700000007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2"/>
      </tp>
      <tp>
        <v>-0.34989789900000001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2"/>
      </tp>
      <tp>
        <v>0.88415549999999998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2"/>
      </tp>
      <tp>
        <v>-0.34862468800000002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2"/>
      </tp>
      <tp>
        <v>0.94500000000000006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2"/>
      </tp>
      <tp>
        <v>-0.34700000000000003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2"/>
      </tp>
      <tp>
        <v>0.9972446840000001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2"/>
      </tp>
      <tp>
        <v>-0.34523773000000002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2"/>
      </tp>
      <tp>
        <v>1.04115812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2"/>
      </tp>
      <tp>
        <v>-0.343063542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2"/>
      </tp>
      <tp>
        <v>1.078218441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2"/>
      </tp>
      <tp>
        <v>-0.34100000000000003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2"/>
      </tp>
      <tp>
        <v>1.1091883650000001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1" s="2"/>
      </tp>
      <tp>
        <v>-0.33845820400000004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2"/>
      </tp>
      <tp>
        <v>1.135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2" s="2"/>
      </tp>
      <tp>
        <v>-0.33563900700000004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2"/>
      </tp>
      <tp>
        <v>1.1564443790000001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3" s="2"/>
      </tp>
      <tp>
        <v>-0.33300000000000002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2"/>
      </tp>
      <tp>
        <v>1.174055098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4" s="2"/>
      </tp>
      <tp>
        <v>-0.33014610700000002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2"/>
      </tp>
      <tp>
        <v>1.1887212410000001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5" s="2"/>
      </tp>
      <tp>
        <v>-0.32715573400000003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2"/>
      </tp>
      <tp>
        <v>1.2011847420000001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6" s="2"/>
      </tp>
      <tp>
        <v>1.212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7" s="2"/>
      </tp>
      <tp>
        <v>1.2217658220000001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8" s="2"/>
      </tp>
      <tp>
        <v>1.2307108610000002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9" s="2"/>
      </tp>
      <tp>
        <v>1.238798026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0" s="2"/>
      </tp>
      <tp>
        <v>1.246208714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1" s="2"/>
      </tp>
      <tp>
        <v>1.2530000000000001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2" s="2"/>
      </tp>
      <tp>
        <v>1.2782867360000001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63" s="2"/>
      </tp>
    </main>
    <main first="pldatasource.rtgetrtdserver">
      <tp>
        <v>12.125733642</v>
        <stp/>
        <stp>_x0006_BRL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V121" s="3"/>
      </tp>
      <tp>
        <v>4.5600000000000005</v>
        <stp/>
        <stp xml:space="preserve">	PEN1MID=R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1" s="3"/>
      </tp>
      <tp>
        <v>7.1063497380000005</v>
        <stp/>
        <stp>_x0006_MXN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1" s="3"/>
      </tp>
      <tp>
        <v>3.0566542999999999</v>
        <stp/>
        <stp>_x0006_SGD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1" s="3"/>
      </tp>
      <tp>
        <v>3.1739999999999999</v>
        <stp/>
        <stp xml:space="preserve">	CLP1MID=R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1" s="3"/>
      </tp>
      <tp>
        <v>2.301514541</v>
        <stp/>
        <stp>_x0006_THB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121" s="3"/>
      </tp>
    </main>
    <main first="pldatasource.rtgetrtdserver">
      <tp>
        <v>1.2869999999999999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4" s="2"/>
      </tp>
      <tp>
        <v>1.2630000000000001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5" s="2"/>
      </tp>
      <tp>
        <v>1.238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6" s="2"/>
      </tp>
      <tp>
        <v>-0.34989789900000001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2"/>
      </tp>
      <tp>
        <v>0.81348410700000007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2"/>
      </tp>
      <tp>
        <v>0.73199999999999998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2"/>
      </tp>
      <tp>
        <v>-0.35188342300000003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2"/>
      </tp>
      <tp>
        <v>0.63800000000000001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2"/>
      </tp>
      <tp>
        <v>-0.35259119500000002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2"/>
      </tp>
      <tp>
        <v>0.53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2"/>
      </tp>
      <tp>
        <v>-0.343063542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2"/>
      </tp>
      <tp>
        <v>1.04115812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2"/>
      </tp>
      <tp>
        <v>-0.34523773000000002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2"/>
      </tp>
      <tp>
        <v>0.9972446840000001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2"/>
      </tp>
      <tp>
        <v>-0.34700000000000003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2"/>
      </tp>
      <tp>
        <v>0.94500000000000006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2"/>
      </tp>
      <tp>
        <v>-0.34862468800000002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2"/>
      </tp>
      <tp>
        <v>0.88415549999999998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2"/>
      </tp>
      <tp>
        <v>-0.33845820400000004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2"/>
      </tp>
      <tp>
        <v>1.1091883650000001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1" s="2"/>
      </tp>
      <tp>
        <v>-0.34100000000000003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2"/>
      </tp>
      <tp>
        <v>1.078218441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2"/>
      </tp>
      <tp>
        <v>-0.32715573400000003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2"/>
      </tp>
      <tp>
        <v>1.1887212410000001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5" s="2"/>
      </tp>
      <tp>
        <v>-0.33014610700000002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2"/>
      </tp>
      <tp>
        <v>1.174055098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4" s="2"/>
      </tp>
      <tp>
        <v>-0.33300000000000002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2"/>
      </tp>
      <tp>
        <v>1.1564443790000001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3" s="2"/>
      </tp>
      <tp>
        <v>-0.33563900700000004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2"/>
      </tp>
      <tp>
        <v>1.135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2" s="2"/>
      </tp>
      <tp>
        <v>1.2307108610000002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9" s="2"/>
      </tp>
      <tp>
        <v>1.2217658220000001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8" s="2"/>
      </tp>
      <tp>
        <v>1.212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7" s="2"/>
      </tp>
      <tp>
        <v>1.2011847420000001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6" s="2"/>
      </tp>
      <tp>
        <v>1.246208714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1" s="2"/>
      </tp>
      <tp>
        <v>1.238798026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0" s="2"/>
      </tp>
      <tp>
        <v>1.2530000000000001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2" s="2"/>
      </tp>
      <tp>
        <v>1.2782867360000001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63" s="2"/>
      </tp>
    </main>
    <main first="pldatasource.rtgetrtdserver">
      <tp>
        <v>5.3120000000000003</v>
        <stp/>
        <stp xml:space="preserve">	PEN1MID=R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1" s="3"/>
      </tp>
      <tp>
        <v>3.548</v>
        <stp/>
        <stp xml:space="preserve">	CLP1MID=R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1" s="3"/>
      </tp>
    </main>
    <main first="pldatasource.rtgetrtdserver">
      <tp>
        <v>0.2</v>
        <stp/>
        <stp>_x000B_GBPS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3" s="3"/>
      </tp>
      <tp>
        <v>0.3</v>
        <stp/>
        <stp>_x000B_GBPS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3" s="3"/>
      </tp>
      <tp>
        <v>0.86</v>
        <stp/>
        <stp>_x000B_USDS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3" s="3"/>
      </tp>
      <tp>
        <v>0.76</v>
        <stp/>
        <stp>_x000B_USDS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3" s="3"/>
      </tp>
      <tp>
        <v>0.18</v>
        <stp/>
        <stp>_x000B_GBPT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2" s="3"/>
      </tp>
      <tp>
        <v>0.28000000000000003</v>
        <stp/>
        <stp>_x000B_GBPT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2" s="3"/>
      </tp>
      <tp>
        <v>0.87</v>
        <stp/>
        <stp>_x000B_USDT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2" s="3"/>
      </tp>
      <tp>
        <v>0.77</v>
        <stp/>
        <stp>_x000B_USDT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2" s="3"/>
      </tp>
      <tp>
        <v>0.18</v>
        <stp/>
        <stp>_x000B_GBPO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1" s="3"/>
      </tp>
      <tp>
        <v>0.28000000000000003</v>
        <stp/>
        <stp>_x000B_GBPO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1" s="3"/>
      </tp>
      <tp>
        <v>0.83000000000000007</v>
        <stp/>
        <stp>_x000B_USDO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1" s="3"/>
      </tp>
      <tp>
        <v>0.73</v>
        <stp/>
        <stp>_x000B_USDO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121" s="3"/>
      </tp>
      <tp>
        <v>0.59</v>
        <stp/>
        <stp>_x0007_CAD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2" s="3"/>
      </tp>
      <tp>
        <v>-0.73</v>
        <stp/>
        <stp>_x0007_CHF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G122" s="3"/>
      </tp>
      <tp>
        <v>0.1</v>
        <stp/>
        <stp>_x0007_CZK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2" s="3"/>
      </tp>
      <tp>
        <v>1.6500000000000001</v>
        <stp/>
        <stp>_x0007_AUD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122" s="3"/>
      </tp>
      <tp>
        <v>1.9000000000000001</v>
        <stp/>
        <stp>_x0007_AUD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122" s="3"/>
      </tp>
      <tp>
        <v>-0.4</v>
        <stp/>
        <stp>_x0007_CZK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2" s="3"/>
      </tp>
      <tp>
        <v>-0.93</v>
        <stp/>
        <stp>_x0007_CHF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G122" s="3"/>
      </tp>
      <tp>
        <v>0.44</v>
        <stp/>
        <stp>_x0007_CAD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2" s="3"/>
      </tp>
      <tp>
        <v>-1</v>
        <stp/>
        <stp>_x0007_DKK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122" s="3"/>
      </tp>
      <tp>
        <v>-0.5</v>
        <stp/>
        <stp>_x0007_DKK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122" s="3"/>
      </tp>
      <tp>
        <v>-0.68</v>
        <stp/>
        <stp>_x0007_HUF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122" s="3"/>
      </tp>
      <tp>
        <v>0.02</v>
        <stp/>
        <stp>_x0007_HKD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2" s="3"/>
      </tp>
      <tp>
        <v>0.1</v>
        <stp/>
        <stp>_x0007_JPY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2" s="3"/>
      </tp>
      <tp>
        <v>-0.1</v>
        <stp/>
        <stp>_x0007_JPY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2" s="3"/>
      </tp>
      <tp>
        <v>0.25</v>
        <stp/>
        <stp>_x0007_HKD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2" s="3"/>
      </tp>
      <tp>
        <v>-0.38</v>
        <stp/>
        <stp>_x0007_HUF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122" s="3"/>
      </tp>
      <tp>
        <v>0.65</v>
        <stp/>
        <stp>_x0007_NOK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L122" s="3"/>
      </tp>
      <tp>
        <v>1.8800000000000001</v>
        <stp/>
        <stp>_x0007_NZD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N122" s="3"/>
      </tp>
      <tp>
        <v>1.6300000000000001</v>
        <stp/>
        <stp>_x0007_NZD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N122" s="3"/>
      </tp>
      <tp>
        <v>0.4</v>
        <stp/>
        <stp>_x0007_NOK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L122" s="3"/>
      </tp>
      <tp>
        <v>-0.45</v>
        <stp/>
        <stp>_x0007_SEK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2" s="3"/>
      </tp>
      <tp>
        <v>1.2</v>
        <stp/>
        <stp>_x0007_PLN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O122" s="3"/>
      </tp>
      <tp>
        <v>1.35</v>
        <stp/>
        <stp>_x0007_PLN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O122" s="3"/>
      </tp>
      <tp>
        <v>-0.65</v>
        <stp/>
        <stp>_x0007_SEK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2" s="3"/>
      </tp>
      <tp>
        <v>8.8000000000000007</v>
        <stp/>
        <stp>_x0007_TRY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2" s="3"/>
      </tp>
      <tp>
        <v>9.8000000000000007</v>
        <stp/>
        <stp>_x0007_TRY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2" s="3"/>
      </tp>
      <tp>
        <v>7.2</v>
        <stp/>
        <stp>_x0007_ZA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2" s="3"/>
      </tp>
      <tp>
        <v>6.45</v>
        <stp/>
        <stp>_x0007_ZA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2" s="3"/>
      </tp>
      <tp>
        <v>0.6</v>
        <stp/>
        <stp>_x0007_CAD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3" s="3"/>
      </tp>
      <tp>
        <v>-0.70000000000000007</v>
        <stp/>
        <stp>_x0007_CHF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G123" s="3"/>
      </tp>
      <tp>
        <v>1.45</v>
        <stp/>
        <stp>_x0007_AUD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123" s="3"/>
      </tp>
      <tp>
        <v>1.8</v>
        <stp/>
        <stp>_x0007_AUD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123" s="3"/>
      </tp>
      <tp>
        <v>-0.93</v>
        <stp/>
        <stp>_x0007_CHF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G123" s="3"/>
      </tp>
      <tp>
        <v>0.45</v>
        <stp/>
        <stp>_x0007_CAD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3" s="3"/>
      </tp>
      <tp>
        <v>-0.85</v>
        <stp/>
        <stp>_x0007_DKK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123" s="3"/>
      </tp>
      <tp>
        <v>-0.35000000000000003</v>
        <stp/>
        <stp>_x0007_DKK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123" s="3"/>
      </tp>
      <tp>
        <v>-0.25</v>
        <stp/>
        <stp>_x0007_HUF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123" s="3"/>
      </tp>
      <tp>
        <v>0.02</v>
        <stp/>
        <stp>_x0007_HKD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3"/>
      </tp>
      <tp>
        <v>0.17</v>
        <stp/>
        <stp>_x0007_JPY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3" s="3"/>
      </tp>
      <tp>
        <v>-0.08</v>
        <stp/>
        <stp>_x0007_JPY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3" s="3"/>
      </tp>
      <tp>
        <v>0.25</v>
        <stp/>
        <stp>_x0007_HKD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3"/>
      </tp>
      <tp>
        <v>0.25</v>
        <stp/>
        <stp>_x0007_HUF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123" s="3"/>
      </tp>
      <tp>
        <v>0.65</v>
        <stp/>
        <stp>_x0007_NOK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L123" s="3"/>
      </tp>
      <tp>
        <v>1.8800000000000001</v>
        <stp/>
        <stp>_x0007_NZD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N123" s="3"/>
      </tp>
      <tp>
        <v>1.6300000000000001</v>
        <stp/>
        <stp>_x0007_NZD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N123" s="3"/>
      </tp>
      <tp>
        <v>0.25</v>
        <stp/>
        <stp>_x0007_NOK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L123" s="3"/>
      </tp>
      <tp>
        <v>-0.4</v>
        <stp/>
        <stp>_x0007_SEK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3" s="3"/>
      </tp>
      <tp>
        <v>1.21</v>
        <stp/>
        <stp>_x0007_PLN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O123" s="3"/>
      </tp>
      <tp>
        <v>1.36</v>
        <stp/>
        <stp>_x0007_PLNS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O123" s="3"/>
      </tp>
      <tp>
        <v>-0.9</v>
        <stp/>
        <stp>_x0007_SEKS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3" s="3"/>
      </tp>
      <tp>
        <v>-8.7000000000000008E-2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2"/>
      </tp>
      <tp>
        <v>-0.35352412900000002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2"/>
      </tp>
      <tp>
        <v>-0.35335213700000001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2"/>
      </tp>
      <tp>
        <v>2.7E-2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2"/>
      </tp>
      <tp>
        <v>-0.186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2"/>
      </tp>
      <tp>
        <v>-0.35356379900000001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2"/>
      </tp>
      <tp>
        <v>-0.35289332500000004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2"/>
      </tp>
      <tp>
        <v>0.153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2"/>
      </tp>
      <tp>
        <v>0.153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2"/>
      </tp>
      <tp>
        <v>-0.35289332500000004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2"/>
      </tp>
      <tp>
        <v>-0.35356379900000001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2"/>
      </tp>
      <tp>
        <v>-0.186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2"/>
      </tp>
      <tp>
        <v>2.7E-2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2"/>
      </tp>
      <tp>
        <v>-0.35335213700000001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2"/>
      </tp>
      <tp>
        <v>-0.35352412900000002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2"/>
      </tp>
      <tp>
        <v>-8.7000000000000008E-2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2"/>
      </tp>
      <tp>
        <v>-0.35104561400000001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2"/>
      </tp>
      <tp>
        <v>-0.35199999999999998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2" s="2"/>
      </tp>
      <tp>
        <v>-0.35199999999999998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1" s="2"/>
      </tp>
      <tp>
        <v>-0.35000000000000003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9" s="2"/>
      </tp>
      <tp>
        <v>-0.32400000000000001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2"/>
      </tp>
      <tp>
        <v>-0.35256684200000005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2"/>
      </tp>
      <tp>
        <v>-0.35100000000000003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0" s="2"/>
      </tp>
      <tp>
        <v>-0.26400000000000001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2"/>
      </tp>
      <tp>
        <v>-0.26400000000000001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2"/>
      </tp>
      <tp>
        <v>-0.35100000000000003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0" s="2"/>
      </tp>
      <tp>
        <v>-0.35256684200000005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2"/>
      </tp>
      <tp>
        <v>-0.32400000000000001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2"/>
      </tp>
      <tp>
        <v>-0.35000000000000003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9" s="2"/>
      </tp>
      <tp>
        <v>-0.35199999999999998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1" s="2"/>
      </tp>
      <tp>
        <v>-0.35199999999999998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2" s="2"/>
      </tp>
      <tp>
        <v>-0.35104561400000001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2"/>
      </tp>
      <tp>
        <v>0.41200000000000003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2"/>
      </tp>
      <tp>
        <v>-0.353054918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2"/>
      </tp>
      <tp>
        <v>0.28400000000000003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2"/>
      </tp>
      <tp>
        <v>-0.35339773200000002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2"/>
      </tp>
      <tp>
        <v>-0.35339773200000002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2"/>
      </tp>
      <tp>
        <v>0.28400000000000003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2"/>
      </tp>
      <tp>
        <v>-0.353054918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2"/>
      </tp>
      <tp>
        <v>0.41200000000000003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2"/>
      </tp>
      <tp>
        <v>-0.35199999999999998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8" s="2"/>
      </tp>
      <tp>
        <v>-0.35199999999999998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8" s="2"/>
      </tp>
      <tp>
        <v>1.121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2"/>
      </tp>
      <tp>
        <v>1.1677006780000001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2"/>
      </tp>
      <tp>
        <v>1.0658300440000001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2"/>
      </tp>
      <tp>
        <v>1.2060553550000002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2"/>
      </tp>
      <tp>
        <v>1.2060553550000002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2"/>
      </tp>
      <tp>
        <v>1.0658300440000001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2"/>
      </tp>
      <tp>
        <v>1.1677006780000001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2"/>
      </tp>
      <tp>
        <v>1.121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2"/>
      </tp>
      <tp>
        <v>0.835003575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2"/>
      </tp>
      <tp>
        <v>0.92400000000000004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2"/>
      </tp>
      <tp>
        <v>0.73499999999999999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2"/>
      </tp>
      <tp>
        <v>1.0005820999999999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2"/>
      </tp>
      <tp>
        <v>1.0005820999999999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2"/>
      </tp>
      <tp>
        <v>0.73499999999999999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2"/>
      </tp>
      <tp>
        <v>0.92400000000000004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2"/>
      </tp>
      <tp>
        <v>0.835003575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2"/>
      </tp>
      <tp>
        <v>1.2636818860000001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2"/>
      </tp>
      <tp>
        <v>1.237756015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2"/>
      </tp>
      <tp>
        <v>1.237756015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2"/>
      </tp>
      <tp>
        <v>1.2636818860000001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2"/>
      </tp>
      <tp>
        <v>1.345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2"/>
      </tp>
      <tp>
        <v>1.3520972690000002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2"/>
      </tp>
      <tp>
        <v>1.337016035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2"/>
      </tp>
      <tp>
        <v>1.3584502860000001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2"/>
      </tp>
      <tp>
        <v>1.3584502860000001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2"/>
      </tp>
      <tp>
        <v>1.337016035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2"/>
      </tp>
      <tp>
        <v>1.3520972690000002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2"/>
      </tp>
      <tp>
        <v>1.345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2"/>
      </tp>
      <tp>
        <v>1.302264222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2"/>
      </tp>
      <tp>
        <v>1.3161692010000001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2"/>
      </tp>
      <tp>
        <v>1.2849999999999999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2"/>
      </tp>
      <tp>
        <v>1.32749245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2"/>
      </tp>
      <tp>
        <v>1.32749245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2"/>
      </tp>
      <tp>
        <v>1.2849999999999999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2"/>
      </tp>
      <tp>
        <v>1.3161692010000001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2"/>
      </tp>
      <tp>
        <v>1.302264222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2"/>
      </tp>
      <tp>
        <v>1.368916539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2"/>
      </tp>
      <tp>
        <v>1.3641031480000001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2"/>
      </tp>
      <tp>
        <v>1.3641031480000001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2"/>
      </tp>
      <tp>
        <v>1.368916539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2"/>
      </tp>
      <tp>
        <v>1.385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2"/>
      </tp>
      <tp>
        <v>1.3864484340000001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2"/>
      </tp>
      <tp>
        <v>1.3834112670000001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2"/>
      </tp>
      <tp>
        <v>1.387517431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2"/>
      </tp>
      <tp>
        <v>1.387517431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2"/>
      </tp>
      <tp>
        <v>1.3834112670000001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2"/>
      </tp>
      <tp>
        <v>1.3864484340000001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2"/>
      </tp>
      <tp>
        <v>1.385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2"/>
      </tp>
      <tp>
        <v>1.3763832630000001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2"/>
      </tp>
      <tp>
        <v>1.3792710380000002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2"/>
      </tp>
      <tp>
        <v>1.373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2"/>
      </tp>
      <tp>
        <v>1.381536922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2"/>
      </tp>
      <tp>
        <v>1.381536922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2"/>
      </tp>
      <tp>
        <v>1.373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2"/>
      </tp>
      <tp>
        <v>1.3792710380000002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2"/>
      </tp>
      <tp>
        <v>1.3763832630000001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2"/>
      </tp>
      <tp>
        <v>1.3883603530000002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2"/>
      </tp>
      <tp>
        <v>1.3881904940000001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2"/>
      </tp>
      <tp>
        <v>1.3881904940000001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2"/>
      </tp>
      <tp>
        <v>1.3883603530000002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2"/>
      </tp>
      <tp>
        <v>1.3880000000000001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2"/>
      </tp>
      <tp>
        <v>1.3880000000000001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2"/>
      </tp>
      <tp>
        <v>1.3520000000000001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2"/>
      </tp>
      <tp>
        <v>1.3520000000000001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2"/>
      </tp>
      <tp>
        <v>1.3169999999999999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2"/>
      </tp>
      <tp>
        <v>1.3169999999999999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2"/>
      </tp>
      <tp>
        <v>0.5</v>
        <stp/>
        <stp>_x0007_CAD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1" s="3"/>
      </tp>
      <tp>
        <v>-0.6</v>
        <stp/>
        <stp>_x0007_CHF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G121" s="3"/>
      </tp>
      <tp>
        <v>1.5</v>
        <stp/>
        <stp>_x0007_CNH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1" s="3"/>
      </tp>
      <tp>
        <v>1.5</v>
        <stp/>
        <stp>_x0007_CNY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1" s="3"/>
      </tp>
      <tp>
        <v>0.16</v>
        <stp/>
        <stp>_x0007_CZK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1" s="3"/>
      </tp>
      <tp>
        <v>1.6500000000000001</v>
        <stp/>
        <stp>_x0007_AUD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121" s="3"/>
      </tp>
      <tp>
        <v>0.4</v>
        <stp/>
        <stp>_x0007_AED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1" s="3"/>
      </tp>
      <tp>
        <v>0.52</v>
        <stp/>
        <stp>_x0007_AED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1" s="3"/>
      </tp>
      <tp>
        <v>1.9000000000000001</v>
        <stp/>
        <stp>_x0007_AUD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121" s="3"/>
      </tp>
      <tp>
        <v>0.01</v>
        <stp/>
        <stp>_x0007_CZK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R121" s="3"/>
      </tp>
      <tp>
        <v>-1.1000000000000001</v>
        <stp/>
        <stp>_x0007_CHF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G121" s="3"/>
      </tp>
      <tp>
        <v>0.5</v>
        <stp/>
        <stp>_x0007_CNH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1" s="3"/>
      </tp>
      <tp>
        <v>0.5</v>
        <stp/>
        <stp>_x0007_CNY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1" s="3"/>
      </tp>
      <tp>
        <v>0.35000000000000003</v>
        <stp/>
        <stp>_x0007_CAD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1" s="3"/>
      </tp>
      <tp>
        <v>-0.25</v>
        <stp/>
        <stp>_x0007_DKK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121" s="3"/>
      </tp>
      <tp>
        <v>5.5</v>
        <stp/>
        <stp>_x0007_EGP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N121" s="3"/>
      </tp>
      <tp>
        <v>0</v>
        <stp/>
        <stp>_x0007_EGP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N121" s="3"/>
      </tp>
      <tp>
        <v>0.35000000000000003</v>
        <stp/>
        <stp>_x0007_DKK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K121" s="3"/>
      </tp>
      <tp>
        <v>9</v>
        <stp/>
        <stp>_x0007_KES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1" s="3"/>
      </tp>
      <tp>
        <v>-0.48</v>
        <stp/>
        <stp>_x0007_HUF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121" s="3"/>
      </tp>
      <tp>
        <v>0.02</v>
        <stp/>
        <stp>_x0007_HKD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1" s="3"/>
      </tp>
      <tp>
        <v>0.22</v>
        <stp/>
        <stp>_x0007_JPY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1" s="3"/>
      </tp>
      <tp>
        <v>-0.2</v>
        <stp/>
        <stp>_x0007_ILS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21" s="3"/>
      </tp>
      <tp>
        <v>6.15</v>
        <stp/>
        <stp>_x0007_INR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21" s="3"/>
      </tp>
      <tp>
        <v>4.0999999999999996</v>
        <stp/>
        <stp>_x0007_IDR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1" s="3"/>
      </tp>
      <tp>
        <v>4.2</v>
        <stp/>
        <stp>_x0007_IDR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1" s="3"/>
      </tp>
      <tp>
        <v>-0.2</v>
        <stp/>
        <stp>_x0007_JPY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1" s="3"/>
      </tp>
      <tp>
        <v>6.2</v>
        <stp/>
        <stp>_x0007_INR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121" s="3"/>
      </tp>
      <tp>
        <v>0.4</v>
        <stp/>
        <stp>_x0007_ILS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21" s="3"/>
      </tp>
      <tp>
        <v>0.25</v>
        <stp/>
        <stp>_x0007_HKD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1" s="3"/>
      </tp>
      <tp>
        <v>-0.18</v>
        <stp/>
        <stp>_x0007_HUF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121" s="3"/>
      </tp>
      <tp>
        <v>6</v>
        <stp/>
        <stp>_x0007_KES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1" s="3"/>
      </tp>
      <tp>
        <v>2.95</v>
        <stp/>
        <stp>_x0007_MYR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21" s="3"/>
      </tp>
      <tp>
        <v>0.35000000000000003</v>
        <stp/>
        <stp>_x0007_NOK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L121" s="3"/>
      </tp>
      <tp>
        <v>1.8800000000000001</v>
        <stp/>
        <stp>_x0007_NZD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N121" s="3"/>
      </tp>
      <tp>
        <v>1.6300000000000001</v>
        <stp/>
        <stp>_x0007_NZD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N121" s="3"/>
      </tp>
      <tp>
        <v>0.1</v>
        <stp/>
        <stp>_x0007_NOK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L121" s="3"/>
      </tp>
      <tp>
        <v>3</v>
        <stp/>
        <stp>_x0007_MYR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21" s="3"/>
      </tp>
      <tp>
        <v>0.8</v>
        <stp/>
        <stp>_x0007_SAR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M121" s="3"/>
      </tp>
      <tp>
        <v>-0.54</v>
        <stp/>
        <stp>_x0007_SEK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1" s="3"/>
      </tp>
      <tp>
        <v>1.25</v>
        <stp/>
        <stp>_x0007_PLN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O121" s="3"/>
      </tp>
      <tp>
        <v>0.45</v>
        <stp/>
        <stp>_x0007_RON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1" s="3"/>
      </tp>
      <tp>
        <v>10.35</v>
        <stp/>
        <stp>_x0007_RUB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21" s="3"/>
      </tp>
      <tp>
        <v>9.85</v>
        <stp/>
        <stp>_x0007_RUB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121" s="3"/>
      </tp>
      <tp>
        <v>0.2</v>
        <stp/>
        <stp>_x0007_RON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1" s="3"/>
      </tp>
      <tp>
        <v>1.55</v>
        <stp/>
        <stp>_x0007_PLN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O121" s="3"/>
      </tp>
      <tp>
        <v>0.5</v>
        <stp/>
        <stp>_x0007_SAR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M121" s="3"/>
      </tp>
      <tp>
        <v>-0.85</v>
        <stp/>
        <stp>_x0007_SEK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1" s="3"/>
      </tp>
      <tp>
        <v>8.5</v>
        <stp/>
        <stp>_x0007_TRY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1" s="3"/>
      </tp>
      <tp>
        <v>0.14000000000000001</v>
        <stp/>
        <stp>_x0007_TWD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21" s="3"/>
      </tp>
      <tp>
        <v>10.5</v>
        <stp/>
        <stp>_x0007_TRY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1" s="3"/>
      </tp>
      <tp>
        <v>0.17</v>
        <stp/>
        <stp>_x0007_TWD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21" s="3"/>
      </tp>
      <tp>
        <v>7.15</v>
        <stp/>
        <stp>_x0007_ZARO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1" s="3"/>
      </tp>
      <tp>
        <v>6.5</v>
        <stp/>
        <stp>_x0007_ZARO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Q121" s="3"/>
      </tp>
      <tp>
        <v>1.421</v>
        <stp/>
        <stp>_x000B_PHPONID=PHR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21" s="3"/>
      </tp>
      <tp>
        <v>2.08</v>
        <stp/>
        <stp>_x000B_PHPONID=PHR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21" s="3"/>
      </tp>
      <tp>
        <v>-0.14599999999999999</v>
        <stp/>
        <stp>_x000B_KRWSWID=KRR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21" s="3"/>
      </tp>
      <tp>
        <v>1.131</v>
        <stp/>
        <stp>_x000B_KRWSWID=KRR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21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222250</xdr:colOff>
      <xdr:row>0</xdr:row>
      <xdr:rowOff>137582</xdr:rowOff>
    </xdr:from>
    <xdr:to>
      <xdr:col>6</xdr:col>
      <xdr:colOff>179916</xdr:colOff>
      <xdr:row>2</xdr:row>
      <xdr:rowOff>105832</xdr:rowOff>
    </xdr:to>
    <xdr:sp macro="[0]!Module1.Scheduler" textlink="">
      <xdr:nvSpPr>
        <xdr:cNvPr id="2" name="Rounded Rectangle 1"/>
        <xdr:cNvSpPr/>
      </xdr:nvSpPr>
      <xdr:spPr>
        <a:xfrm>
          <a:off x="5312833" y="137582"/>
          <a:ext cx="1248833" cy="2645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  <xdr:twoCellAnchor>
    <xdr:from>
      <xdr:col>5</xdr:col>
      <xdr:colOff>211667</xdr:colOff>
      <xdr:row>3</xdr:row>
      <xdr:rowOff>10584</xdr:rowOff>
    </xdr:from>
    <xdr:to>
      <xdr:col>6</xdr:col>
      <xdr:colOff>179917</xdr:colOff>
      <xdr:row>4</xdr:row>
      <xdr:rowOff>127000</xdr:rowOff>
    </xdr:to>
    <xdr:sp macro="[0]!DBaseImport" textlink="">
      <xdr:nvSpPr>
        <xdr:cNvPr id="3" name="Rounded Rectangle 2"/>
        <xdr:cNvSpPr/>
      </xdr:nvSpPr>
      <xdr:spPr>
        <a:xfrm>
          <a:off x="5302250" y="455084"/>
          <a:ext cx="1259417" cy="2645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DBASE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624416</xdr:colOff>
      <xdr:row>10</xdr:row>
      <xdr:rowOff>21166</xdr:rowOff>
    </xdr:from>
    <xdr:to>
      <xdr:col>2</xdr:col>
      <xdr:colOff>931333</xdr:colOff>
      <xdr:row>10</xdr:row>
      <xdr:rowOff>116416</xdr:rowOff>
    </xdr:to>
    <xdr:sp macro="[0]!StaticImport" textlink="">
      <xdr:nvSpPr>
        <xdr:cNvPr id="2" name="Rectangle 1"/>
        <xdr:cNvSpPr/>
      </xdr:nvSpPr>
      <xdr:spPr>
        <a:xfrm>
          <a:off x="1407583" y="1502833"/>
          <a:ext cx="306917" cy="95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55"/>
  <sheetViews>
    <sheetView showGridLines="0" tabSelected="1" zoomScale="90" zoomScaleNormal="90" workbookViewId="0">
      <selection activeCell="D16" sqref="D16"/>
    </sheetView>
  </sheetViews>
  <sheetFormatPr defaultRowHeight="12" x14ac:dyDescent="0.2"/>
  <cols>
    <col min="1" max="1" width="1.7109375" style="1" customWidth="1"/>
    <col min="2" max="2" width="10.42578125" style="1" bestFit="1" customWidth="1"/>
    <col min="3" max="3" width="18.42578125" style="1" bestFit="1" customWidth="1"/>
    <col min="4" max="4" width="26.28515625" style="1" bestFit="1" customWidth="1"/>
    <col min="5" max="6" width="19.42578125" style="1" bestFit="1" customWidth="1"/>
    <col min="7" max="16384" width="9.140625" style="1"/>
  </cols>
  <sheetData>
    <row r="2" spans="2:8" x14ac:dyDescent="0.2">
      <c r="B2" s="280" t="s">
        <v>123</v>
      </c>
      <c r="C2" s="300">
        <v>42754</v>
      </c>
      <c r="D2" s="280" t="s">
        <v>266</v>
      </c>
      <c r="E2" s="281"/>
    </row>
    <row r="3" spans="2:8" x14ac:dyDescent="0.2">
      <c r="B3" s="285" t="s">
        <v>258</v>
      </c>
      <c r="C3" s="283" t="str">
        <f t="array" aca="1" ref="C3:C5" ca="1">TRANSPOSE(FileInfo())</f>
        <v>627.2KB</v>
      </c>
      <c r="D3" s="285" t="s">
        <v>309</v>
      </c>
      <c r="E3" s="303" t="b">
        <v>0</v>
      </c>
    </row>
    <row r="4" spans="2:8" x14ac:dyDescent="0.2">
      <c r="B4" s="285" t="s">
        <v>262</v>
      </c>
      <c r="C4" s="301">
        <f ca="1"/>
        <v>42754.423495370371</v>
      </c>
      <c r="D4" s="285" t="s">
        <v>310</v>
      </c>
      <c r="E4" s="303" t="b">
        <v>0</v>
      </c>
    </row>
    <row r="5" spans="2:8" x14ac:dyDescent="0.2">
      <c r="B5" s="286" t="s">
        <v>263</v>
      </c>
      <c r="C5" s="302">
        <f ca="1"/>
        <v>42754.44872685185</v>
      </c>
      <c r="D5" s="286" t="s">
        <v>267</v>
      </c>
      <c r="E5" s="304" t="b">
        <v>0</v>
      </c>
    </row>
    <row r="8" spans="2:8" x14ac:dyDescent="0.2">
      <c r="B8" s="280" t="s">
        <v>259</v>
      </c>
      <c r="C8" s="270" t="s">
        <v>260</v>
      </c>
      <c r="D8" s="270" t="s">
        <v>261</v>
      </c>
      <c r="E8" s="315" t="s">
        <v>324</v>
      </c>
      <c r="F8" s="315" t="s">
        <v>325</v>
      </c>
      <c r="G8" s="307">
        <v>0</v>
      </c>
    </row>
    <row r="9" spans="2:8" x14ac:dyDescent="0.2">
      <c r="B9" s="282">
        <v>0.3125</v>
      </c>
      <c r="C9" s="295" t="b">
        <v>0</v>
      </c>
      <c r="D9" s="271" t="s">
        <v>331</v>
      </c>
      <c r="E9" s="297">
        <v>42754.3125</v>
      </c>
      <c r="F9" s="297">
        <v>42754.312592592592</v>
      </c>
      <c r="G9" s="283" t="b">
        <v>0</v>
      </c>
      <c r="H9" s="279"/>
    </row>
    <row r="10" spans="2:8" x14ac:dyDescent="0.2">
      <c r="B10" s="282">
        <v>0.33333333333333331</v>
      </c>
      <c r="C10" s="295" t="b">
        <v>0</v>
      </c>
      <c r="D10" s="271" t="s">
        <v>331</v>
      </c>
      <c r="E10" s="297">
        <v>42754.333333333336</v>
      </c>
      <c r="F10" s="297">
        <v>42754.333402777775</v>
      </c>
      <c r="G10" s="283" t="b">
        <v>1</v>
      </c>
    </row>
    <row r="11" spans="2:8" x14ac:dyDescent="0.2">
      <c r="B11" s="282">
        <v>0.35416666666666702</v>
      </c>
      <c r="C11" s="295" t="b">
        <v>0</v>
      </c>
      <c r="D11" s="271" t="s">
        <v>331</v>
      </c>
      <c r="E11" s="297">
        <v>42751.35423611111</v>
      </c>
      <c r="F11" s="297">
        <v>42751.354305555556</v>
      </c>
      <c r="G11" s="283" t="b">
        <v>1</v>
      </c>
    </row>
    <row r="12" spans="2:8" x14ac:dyDescent="0.2">
      <c r="B12" s="282">
        <v>0.375</v>
      </c>
      <c r="C12" s="295" t="b">
        <v>0</v>
      </c>
      <c r="D12" s="271" t="s">
        <v>331</v>
      </c>
      <c r="E12" s="297">
        <v>42754.375</v>
      </c>
      <c r="F12" s="297">
        <v>42754.375081018516</v>
      </c>
      <c r="G12" s="283" t="b">
        <v>0</v>
      </c>
    </row>
    <row r="13" spans="2:8" x14ac:dyDescent="0.2">
      <c r="B13" s="282">
        <v>0.39583333333333298</v>
      </c>
      <c r="C13" s="295" t="b">
        <v>0</v>
      </c>
      <c r="D13" s="271" t="s">
        <v>331</v>
      </c>
      <c r="E13" s="297">
        <v>42754.395833333336</v>
      </c>
      <c r="F13" s="297">
        <v>42754.395925925928</v>
      </c>
      <c r="G13" s="283" t="b">
        <v>0</v>
      </c>
    </row>
    <row r="14" spans="2:8" x14ac:dyDescent="0.2">
      <c r="B14" s="282">
        <v>0.41666666666666702</v>
      </c>
      <c r="C14" s="295" t="b">
        <v>0</v>
      </c>
      <c r="D14" s="271" t="s">
        <v>331</v>
      </c>
      <c r="E14" s="297">
        <v>42751.417048611111</v>
      </c>
      <c r="F14" s="297">
        <v>42751.41715277778</v>
      </c>
      <c r="G14" s="283" t="b">
        <v>1</v>
      </c>
    </row>
    <row r="15" spans="2:8" x14ac:dyDescent="0.2">
      <c r="B15" s="308">
        <v>0.42708333333333331</v>
      </c>
      <c r="C15" s="309" t="b">
        <v>0</v>
      </c>
      <c r="D15" s="310" t="s">
        <v>331</v>
      </c>
      <c r="E15" s="311">
        <v>42753.427083333336</v>
      </c>
      <c r="F15" s="311">
        <v>42753.427164351851</v>
      </c>
      <c r="G15" s="312" t="b">
        <v>1</v>
      </c>
    </row>
    <row r="16" spans="2:8" x14ac:dyDescent="0.2">
      <c r="B16" s="282">
        <v>0.4375</v>
      </c>
      <c r="C16" s="295" t="b">
        <v>0</v>
      </c>
      <c r="D16" s="271" t="s">
        <v>331</v>
      </c>
      <c r="E16" s="297">
        <v>42753.4375</v>
      </c>
      <c r="F16" s="297">
        <v>42753.437592592592</v>
      </c>
      <c r="G16" s="283" t="b">
        <v>1</v>
      </c>
    </row>
    <row r="17" spans="2:7" x14ac:dyDescent="0.2">
      <c r="B17" s="282">
        <v>0.45833333333333298</v>
      </c>
      <c r="C17" s="295" t="b">
        <v>0</v>
      </c>
      <c r="D17" s="271" t="s">
        <v>331</v>
      </c>
      <c r="E17" s="297">
        <v>42753.479166666664</v>
      </c>
      <c r="F17" s="297">
        <v>42753.479247685187</v>
      </c>
      <c r="G17" s="283" t="b">
        <v>1</v>
      </c>
    </row>
    <row r="18" spans="2:7" x14ac:dyDescent="0.2">
      <c r="B18" s="282">
        <v>0.47916666666666702</v>
      </c>
      <c r="C18" s="295" t="b">
        <v>0</v>
      </c>
      <c r="D18" s="271" t="s">
        <v>331</v>
      </c>
      <c r="E18" s="297">
        <v>42752.481307870374</v>
      </c>
      <c r="F18" s="297">
        <v>42752.481550925928</v>
      </c>
      <c r="G18" s="283" t="b">
        <v>0</v>
      </c>
    </row>
    <row r="19" spans="2:7" x14ac:dyDescent="0.2">
      <c r="B19" s="282">
        <v>0.5</v>
      </c>
      <c r="C19" s="295" t="b">
        <v>0</v>
      </c>
      <c r="D19" s="271" t="s">
        <v>331</v>
      </c>
      <c r="E19" s="297">
        <v>42753.5</v>
      </c>
      <c r="F19" s="297">
        <v>42753.500104166669</v>
      </c>
      <c r="G19" s="283" t="b">
        <v>1</v>
      </c>
    </row>
    <row r="20" spans="2:7" x14ac:dyDescent="0.2">
      <c r="B20" s="282">
        <v>0.52083333333333304</v>
      </c>
      <c r="C20" s="295" t="b">
        <v>0</v>
      </c>
      <c r="D20" s="271" t="s">
        <v>331</v>
      </c>
      <c r="E20" s="297">
        <v>42753.520833333336</v>
      </c>
      <c r="F20" s="297">
        <v>42753.520925925928</v>
      </c>
      <c r="G20" s="283" t="b">
        <v>1</v>
      </c>
    </row>
    <row r="21" spans="2:7" x14ac:dyDescent="0.2">
      <c r="B21" s="282">
        <v>0.54166666666666596</v>
      </c>
      <c r="C21" s="295" t="b">
        <v>0</v>
      </c>
      <c r="D21" s="271" t="s">
        <v>331</v>
      </c>
      <c r="E21" s="297">
        <v>42753.541666666664</v>
      </c>
      <c r="F21" s="297">
        <v>42753.541747685187</v>
      </c>
      <c r="G21" s="283" t="b">
        <v>1</v>
      </c>
    </row>
    <row r="22" spans="2:7" x14ac:dyDescent="0.2">
      <c r="B22" s="282">
        <v>0.5625</v>
      </c>
      <c r="C22" s="295" t="b">
        <v>0</v>
      </c>
      <c r="D22" s="298" t="s">
        <v>331</v>
      </c>
      <c r="E22" s="297">
        <v>42753.5625</v>
      </c>
      <c r="F22" s="297">
        <v>42753.562581018516</v>
      </c>
      <c r="G22" s="283" t="b">
        <v>1</v>
      </c>
    </row>
    <row r="23" spans="2:7" x14ac:dyDescent="0.2">
      <c r="B23" s="282">
        <v>0.58333333333333304</v>
      </c>
      <c r="C23" s="295" t="b">
        <v>0</v>
      </c>
      <c r="D23" s="271" t="s">
        <v>331</v>
      </c>
      <c r="E23" s="297">
        <v>42753.583333333336</v>
      </c>
      <c r="F23" s="297">
        <v>42753.583414351851</v>
      </c>
      <c r="G23" s="283" t="b">
        <v>1</v>
      </c>
    </row>
    <row r="24" spans="2:7" x14ac:dyDescent="0.2">
      <c r="B24" s="282">
        <v>0.60416666666666663</v>
      </c>
      <c r="C24" s="295" t="b">
        <v>0</v>
      </c>
      <c r="D24" s="271" t="s">
        <v>331</v>
      </c>
      <c r="E24" s="297">
        <v>42753.604166666664</v>
      </c>
      <c r="F24" s="297">
        <v>42753.604247685187</v>
      </c>
      <c r="G24" s="283" t="b">
        <v>1</v>
      </c>
    </row>
    <row r="25" spans="2:7" x14ac:dyDescent="0.2">
      <c r="B25" s="282">
        <v>0.61458333333333337</v>
      </c>
      <c r="C25" s="295" t="b">
        <v>0</v>
      </c>
      <c r="D25" s="271" t="s">
        <v>331</v>
      </c>
      <c r="E25" s="297">
        <v>42753.614583333336</v>
      </c>
      <c r="F25" s="297">
        <v>42753.614664351851</v>
      </c>
      <c r="G25" s="283" t="b">
        <v>1</v>
      </c>
    </row>
    <row r="26" spans="2:7" x14ac:dyDescent="0.2">
      <c r="B26" s="282">
        <v>0.625</v>
      </c>
      <c r="C26" s="295" t="b">
        <v>0</v>
      </c>
      <c r="D26" s="271" t="s">
        <v>331</v>
      </c>
      <c r="E26" s="297">
        <v>42753.625</v>
      </c>
      <c r="F26" s="297">
        <v>42753.625081018516</v>
      </c>
      <c r="G26" s="283" t="b">
        <v>1</v>
      </c>
    </row>
    <row r="27" spans="2:7" x14ac:dyDescent="0.2">
      <c r="B27" s="282">
        <v>0.64583333333333304</v>
      </c>
      <c r="C27" s="295" t="b">
        <v>0</v>
      </c>
      <c r="D27" s="271" t="s">
        <v>331</v>
      </c>
      <c r="E27" s="297">
        <v>42753.645833333336</v>
      </c>
      <c r="F27" s="297">
        <v>42753.645914351851</v>
      </c>
      <c r="G27" s="283" t="b">
        <v>1</v>
      </c>
    </row>
    <row r="28" spans="2:7" x14ac:dyDescent="0.2">
      <c r="B28" s="282">
        <v>0.66666666666666596</v>
      </c>
      <c r="C28" s="295" t="b">
        <v>0</v>
      </c>
      <c r="D28" s="271" t="s">
        <v>331</v>
      </c>
      <c r="E28" s="297">
        <v>42752.666666666664</v>
      </c>
      <c r="F28" s="297">
        <v>42752.666770833333</v>
      </c>
      <c r="G28" s="283" t="b">
        <v>1</v>
      </c>
    </row>
    <row r="29" spans="2:7" x14ac:dyDescent="0.2">
      <c r="B29" s="282">
        <v>0.6875</v>
      </c>
      <c r="C29" s="295" t="b">
        <v>0</v>
      </c>
      <c r="D29" s="271" t="s">
        <v>331</v>
      </c>
      <c r="E29" s="297">
        <v>42752.6875</v>
      </c>
      <c r="F29" s="297">
        <v>42752.687581018516</v>
      </c>
      <c r="G29" s="283" t="b">
        <v>1</v>
      </c>
    </row>
    <row r="30" spans="2:7" x14ac:dyDescent="0.2">
      <c r="B30" s="282">
        <v>0.70833333333333304</v>
      </c>
      <c r="C30" s="295" t="b">
        <v>0</v>
      </c>
      <c r="D30" s="271" t="s">
        <v>331</v>
      </c>
      <c r="E30" s="297">
        <v>42752.708333333336</v>
      </c>
      <c r="F30" s="297">
        <v>42752.708414351851</v>
      </c>
      <c r="G30" s="283" t="b">
        <v>1</v>
      </c>
    </row>
    <row r="31" spans="2:7" x14ac:dyDescent="0.2">
      <c r="B31" s="308">
        <v>0.71875</v>
      </c>
      <c r="C31" s="309" t="b">
        <v>0</v>
      </c>
      <c r="D31" s="310" t="s">
        <v>331</v>
      </c>
      <c r="E31" s="311">
        <v>42752.71875</v>
      </c>
      <c r="F31" s="311">
        <v>42752.718854166669</v>
      </c>
      <c r="G31" s="312" t="b">
        <v>1</v>
      </c>
    </row>
    <row r="32" spans="2:7" x14ac:dyDescent="0.2">
      <c r="B32" s="282">
        <v>0.72916666666666596</v>
      </c>
      <c r="C32" s="295" t="b">
        <v>0</v>
      </c>
      <c r="D32" s="271" t="s">
        <v>331</v>
      </c>
      <c r="E32" s="297">
        <v>42753.73505787037</v>
      </c>
      <c r="F32" s="297">
        <v>42753.735162037039</v>
      </c>
      <c r="G32" s="283" t="b">
        <v>1</v>
      </c>
    </row>
    <row r="33" spans="2:7" x14ac:dyDescent="0.2">
      <c r="B33" s="282">
        <v>0.75</v>
      </c>
      <c r="C33" s="295" t="b">
        <v>0</v>
      </c>
      <c r="D33" s="271" t="s">
        <v>331</v>
      </c>
      <c r="E33" s="297">
        <v>42753.75</v>
      </c>
      <c r="F33" s="297">
        <v>42753.750081018516</v>
      </c>
      <c r="G33" s="283" t="b">
        <v>1</v>
      </c>
    </row>
    <row r="34" spans="2:7" x14ac:dyDescent="0.2">
      <c r="B34" s="282">
        <v>0.77083333333333337</v>
      </c>
      <c r="C34" s="295" t="b">
        <v>0</v>
      </c>
      <c r="D34" s="271" t="s">
        <v>331</v>
      </c>
      <c r="E34" s="297">
        <v>42745.0625</v>
      </c>
      <c r="F34" s="297">
        <v>42745.062534722223</v>
      </c>
      <c r="G34" s="283" t="b">
        <v>1</v>
      </c>
    </row>
    <row r="35" spans="2:7" x14ac:dyDescent="0.2">
      <c r="B35" s="284">
        <v>2.0833333333333332E-2</v>
      </c>
      <c r="C35" s="295" t="b">
        <v>0</v>
      </c>
      <c r="D35" s="271" t="s">
        <v>331</v>
      </c>
      <c r="E35" s="297">
        <v>42754.020833333336</v>
      </c>
      <c r="F35" s="297">
        <v>42754.020925925928</v>
      </c>
      <c r="G35" s="283" t="b">
        <v>0</v>
      </c>
    </row>
    <row r="36" spans="2:7" x14ac:dyDescent="0.2">
      <c r="B36" s="284">
        <v>6.25E-2</v>
      </c>
      <c r="C36" s="295" t="b">
        <v>0</v>
      </c>
      <c r="D36" s="271" t="s">
        <v>331</v>
      </c>
      <c r="E36" s="297">
        <v>42754.104166666664</v>
      </c>
      <c r="F36" s="297">
        <v>42754.104259259257</v>
      </c>
      <c r="G36" s="283" t="b">
        <v>0</v>
      </c>
    </row>
    <row r="37" spans="2:7" x14ac:dyDescent="0.2">
      <c r="B37" s="284">
        <v>0.104166666666667</v>
      </c>
      <c r="C37" s="295" t="b">
        <v>0</v>
      </c>
      <c r="D37" s="271" t="s">
        <v>331</v>
      </c>
      <c r="E37" s="297">
        <v>42747.10423611111</v>
      </c>
      <c r="F37" s="297">
        <v>42747.10434027778</v>
      </c>
      <c r="G37" s="283" t="b">
        <v>1</v>
      </c>
    </row>
    <row r="38" spans="2:7" x14ac:dyDescent="0.2">
      <c r="B38" s="284">
        <v>0.14583333333333301</v>
      </c>
      <c r="C38" s="295" t="b">
        <v>0</v>
      </c>
      <c r="D38" s="271" t="s">
        <v>331</v>
      </c>
      <c r="E38" s="297">
        <v>42754.145833333336</v>
      </c>
      <c r="F38" s="297">
        <v>42754.145925925928</v>
      </c>
      <c r="G38" s="283" t="b">
        <v>0</v>
      </c>
    </row>
    <row r="39" spans="2:7" x14ac:dyDescent="0.2">
      <c r="B39" s="284">
        <v>0.1875</v>
      </c>
      <c r="C39" s="295" t="b">
        <v>0</v>
      </c>
      <c r="D39" s="271" t="s">
        <v>331</v>
      </c>
      <c r="E39" s="297">
        <v>42754.1875</v>
      </c>
      <c r="F39" s="297">
        <v>42754.187592592592</v>
      </c>
      <c r="G39" s="283" t="b">
        <v>0</v>
      </c>
    </row>
    <row r="40" spans="2:7" x14ac:dyDescent="0.2">
      <c r="B40" s="284">
        <v>0.22916666666666599</v>
      </c>
      <c r="C40" s="295" t="b">
        <v>0</v>
      </c>
      <c r="D40" s="271" t="s">
        <v>331</v>
      </c>
      <c r="E40" s="297">
        <v>42754.229166666664</v>
      </c>
      <c r="F40" s="297">
        <v>42754.229259259257</v>
      </c>
      <c r="G40" s="283" t="b">
        <v>0</v>
      </c>
    </row>
    <row r="41" spans="2:7" x14ac:dyDescent="0.2">
      <c r="B41" s="284">
        <v>0.27083333333333298</v>
      </c>
      <c r="C41" s="295" t="b">
        <v>0</v>
      </c>
      <c r="D41" s="271" t="s">
        <v>331</v>
      </c>
      <c r="E41" s="297">
        <v>42754.270833333336</v>
      </c>
      <c r="F41" s="297">
        <v>42754.270925925928</v>
      </c>
      <c r="G41" s="283" t="b">
        <v>0</v>
      </c>
    </row>
    <row r="42" spans="2:7" x14ac:dyDescent="0.2">
      <c r="B42" s="284"/>
      <c r="C42" s="295"/>
      <c r="D42" s="271"/>
      <c r="E42" s="297"/>
      <c r="F42" s="297"/>
      <c r="G42" s="283"/>
    </row>
    <row r="43" spans="2:7" x14ac:dyDescent="0.2">
      <c r="B43" s="285"/>
      <c r="C43" s="295"/>
      <c r="D43" s="271"/>
      <c r="E43" s="297"/>
      <c r="F43" s="297"/>
      <c r="G43" s="283"/>
    </row>
    <row r="44" spans="2:7" x14ac:dyDescent="0.2">
      <c r="B44" s="285"/>
      <c r="C44" s="295"/>
      <c r="D44" s="271"/>
      <c r="E44" s="297"/>
      <c r="F44" s="297"/>
      <c r="G44" s="283"/>
    </row>
    <row r="45" spans="2:7" x14ac:dyDescent="0.2">
      <c r="B45" s="285"/>
      <c r="C45" s="295"/>
      <c r="D45" s="271"/>
      <c r="E45" s="297"/>
      <c r="F45" s="297"/>
      <c r="G45" s="283"/>
    </row>
    <row r="46" spans="2:7" x14ac:dyDescent="0.2">
      <c r="B46" s="285"/>
      <c r="C46" s="295"/>
      <c r="D46" s="271"/>
      <c r="E46" s="297"/>
      <c r="F46" s="297"/>
      <c r="G46" s="283"/>
    </row>
    <row r="47" spans="2:7" x14ac:dyDescent="0.2">
      <c r="B47" s="285"/>
      <c r="C47" s="295"/>
      <c r="D47" s="271"/>
      <c r="E47" s="297"/>
      <c r="F47" s="297"/>
      <c r="G47" s="283"/>
    </row>
    <row r="48" spans="2:7" x14ac:dyDescent="0.2">
      <c r="B48" s="285"/>
      <c r="C48" s="295"/>
      <c r="D48" s="271"/>
      <c r="E48" s="297"/>
      <c r="F48" s="297"/>
      <c r="G48" s="283"/>
    </row>
    <row r="49" spans="2:7" x14ac:dyDescent="0.2">
      <c r="B49" s="285"/>
      <c r="C49" s="295"/>
      <c r="D49" s="271"/>
      <c r="E49" s="297"/>
      <c r="F49" s="297"/>
      <c r="G49" s="283"/>
    </row>
    <row r="50" spans="2:7" x14ac:dyDescent="0.2">
      <c r="B50" s="285"/>
      <c r="C50" s="295"/>
      <c r="D50" s="271"/>
      <c r="E50" s="297"/>
      <c r="F50" s="297"/>
      <c r="G50" s="283"/>
    </row>
    <row r="51" spans="2:7" x14ac:dyDescent="0.2">
      <c r="B51" s="285"/>
      <c r="C51" s="295"/>
      <c r="D51" s="271"/>
      <c r="E51" s="297"/>
      <c r="F51" s="297"/>
      <c r="G51" s="283"/>
    </row>
    <row r="52" spans="2:7" x14ac:dyDescent="0.2">
      <c r="B52" s="285"/>
      <c r="C52" s="295"/>
      <c r="D52" s="271"/>
      <c r="E52" s="297"/>
      <c r="F52" s="297"/>
      <c r="G52" s="283"/>
    </row>
    <row r="53" spans="2:7" x14ac:dyDescent="0.2">
      <c r="B53" s="285"/>
      <c r="C53" s="295"/>
      <c r="D53" s="271"/>
      <c r="E53" s="297"/>
      <c r="F53" s="297"/>
      <c r="G53" s="283"/>
    </row>
    <row r="54" spans="2:7" x14ac:dyDescent="0.2">
      <c r="B54" s="285"/>
      <c r="C54" s="295"/>
      <c r="D54" s="271"/>
      <c r="E54" s="297"/>
      <c r="F54" s="297"/>
      <c r="G54" s="283"/>
    </row>
    <row r="55" spans="2:7" x14ac:dyDescent="0.2">
      <c r="B55" s="286"/>
      <c r="C55" s="296"/>
      <c r="D55" s="287"/>
      <c r="E55" s="299"/>
      <c r="F55" s="299"/>
      <c r="G55" s="288"/>
    </row>
  </sheetData>
  <conditionalFormatting sqref="B9:G55">
    <cfRule type="expression" dxfId="62" priority="3">
      <formula>AND($C9&lt;&gt;"",$C9=FALSE)=TRUE</formula>
    </cfRule>
  </conditionalFormatting>
  <conditionalFormatting sqref="E3:E5">
    <cfRule type="expression" dxfId="61" priority="2">
      <formula>$C3=FALSE</formula>
    </cfRule>
  </conditionalFormatting>
  <conditionalFormatting sqref="E9:F55">
    <cfRule type="expression" dxfId="60" priority="1">
      <formula>E9&lt;TODAY()</formula>
    </cfRule>
  </conditionalFormatting>
  <dataValidations count="2">
    <dataValidation type="list" allowBlank="1" showInputMessage="1" showErrorMessage="1" sqref="G8">
      <formula1>"0,1"</formula1>
    </dataValidation>
    <dataValidation type="list" allowBlank="1" showInputMessage="1" showErrorMessage="1" sqref="C9:C55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Q97"/>
  <sheetViews>
    <sheetView showGridLines="0" zoomScale="90" zoomScaleNormal="90" workbookViewId="0">
      <selection activeCell="C3" sqref="C3"/>
    </sheetView>
  </sheetViews>
  <sheetFormatPr defaultRowHeight="12" outlineLevelCol="1" x14ac:dyDescent="0.2"/>
  <cols>
    <col min="1" max="1" width="9.140625" style="20"/>
    <col min="2" max="2" width="19.5703125" style="20" bestFit="1" customWidth="1"/>
    <col min="3" max="3" width="10" style="20" bestFit="1" customWidth="1"/>
    <col min="4" max="4" width="9.140625" style="20"/>
    <col min="5" max="7" width="9.42578125" style="20" bestFit="1" customWidth="1"/>
    <col min="8" max="8" width="10" style="20" bestFit="1" customWidth="1"/>
    <col min="9" max="9" width="9.42578125" style="20" bestFit="1" customWidth="1"/>
    <col min="10" max="10" width="9.140625" style="20"/>
    <col min="11" max="11" width="9.42578125" style="20" bestFit="1" customWidth="1"/>
    <col min="12" max="12" width="10" style="20" bestFit="1" customWidth="1"/>
    <col min="13" max="17" width="9.42578125" style="20" bestFit="1" customWidth="1"/>
    <col min="18" max="18" width="10" style="20" bestFit="1" customWidth="1"/>
    <col min="19" max="19" width="9.42578125" style="20" bestFit="1" customWidth="1"/>
    <col min="20" max="20" width="9.140625" style="20"/>
    <col min="21" max="21" width="10" style="20" bestFit="1" customWidth="1"/>
    <col min="22" max="22" width="12.7109375" style="20" bestFit="1" customWidth="1"/>
    <col min="23" max="23" width="9.140625" style="20"/>
    <col min="24" max="25" width="9.42578125" style="20" bestFit="1" customWidth="1"/>
    <col min="26" max="26" width="10" style="20" bestFit="1" customWidth="1"/>
    <col min="27" max="31" width="9.140625" style="20"/>
    <col min="32" max="32" width="9.42578125" style="20" bestFit="1" customWidth="1"/>
    <col min="33" max="33" width="9.140625" style="20"/>
    <col min="34" max="34" width="9.42578125" style="20" bestFit="1" customWidth="1"/>
    <col min="35" max="35" width="9.140625" style="20"/>
    <col min="36" max="52" width="0" style="20" hidden="1" customWidth="1" outlineLevel="1"/>
    <col min="53" max="53" width="9.140625" style="20" collapsed="1"/>
    <col min="54" max="54" width="9.140625" style="20"/>
    <col min="55" max="55" width="9.42578125" style="20" bestFit="1" customWidth="1"/>
    <col min="56" max="56" width="9.140625" style="20"/>
    <col min="57" max="57" width="9.42578125" style="20" bestFit="1" customWidth="1"/>
    <col min="58" max="58" width="9.140625" style="20"/>
    <col min="59" max="59" width="9.42578125" style="20" bestFit="1" customWidth="1"/>
    <col min="60" max="60" width="9.140625" style="20"/>
    <col min="61" max="61" width="9.42578125" style="20" bestFit="1" customWidth="1"/>
    <col min="62" max="63" width="9.140625" style="20"/>
    <col min="64" max="69" width="9.42578125" style="20" bestFit="1" customWidth="1"/>
    <col min="70" max="70" width="9.140625" style="20"/>
    <col min="71" max="71" width="9.42578125" style="20" bestFit="1" customWidth="1"/>
    <col min="72" max="73" width="9.140625" style="20"/>
    <col min="74" max="74" width="11.42578125" style="20" bestFit="1" customWidth="1"/>
    <col min="75" max="76" width="9.140625" style="20"/>
    <col min="77" max="78" width="9.42578125" style="20" bestFit="1" customWidth="1"/>
    <col min="79" max="82" width="9.140625" style="20"/>
    <col min="83" max="99" width="0" style="20" hidden="1" customWidth="1" outlineLevel="1"/>
    <col min="100" max="100" width="13.85546875" style="20" bestFit="1" customWidth="1" collapsed="1"/>
    <col min="101" max="104" width="9.140625" style="20"/>
    <col min="105" max="105" width="10.28515625" style="20" bestFit="1" customWidth="1"/>
    <col min="106" max="107" width="13.85546875" style="20" bestFit="1" customWidth="1"/>
    <col min="108" max="109" width="9.140625" style="20"/>
    <col min="110" max="110" width="9.42578125" style="20" bestFit="1" customWidth="1"/>
    <col min="111" max="16384" width="9.140625" style="20"/>
  </cols>
  <sheetData>
    <row r="1" spans="1:121" ht="12.75" thickBot="1" x14ac:dyDescent="0.25">
      <c r="A1" s="5"/>
      <c r="B1" s="6"/>
      <c r="C1" s="6"/>
      <c r="D1" s="6"/>
      <c r="E1" s="7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8"/>
      <c r="X1" s="6"/>
      <c r="Y1" s="6"/>
      <c r="Z1" s="6"/>
      <c r="AA1" s="6"/>
      <c r="AB1" s="6"/>
      <c r="AC1" s="6"/>
      <c r="AD1" s="8"/>
      <c r="AE1" s="8"/>
      <c r="AF1" s="8"/>
      <c r="AG1" s="9"/>
      <c r="AH1" s="9"/>
      <c r="AI1" s="9"/>
      <c r="AJ1" s="10"/>
      <c r="AK1" s="10"/>
      <c r="AL1" s="10"/>
      <c r="AM1" s="10"/>
      <c r="AN1" s="11" t="s">
        <v>0</v>
      </c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3"/>
      <c r="AZ1" s="14"/>
      <c r="BA1" s="15"/>
      <c r="BB1" s="16"/>
      <c r="BC1" s="16"/>
      <c r="BD1" s="16"/>
      <c r="BE1" s="17"/>
      <c r="BF1" s="16"/>
      <c r="BG1" s="18"/>
      <c r="BH1" s="18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9"/>
      <c r="BX1" s="16"/>
      <c r="BY1" s="16"/>
      <c r="BZ1" s="16"/>
      <c r="CA1" s="16"/>
      <c r="CB1" s="16"/>
      <c r="CC1" s="16"/>
      <c r="CD1" s="16"/>
      <c r="CE1" s="10"/>
      <c r="CF1" s="10"/>
      <c r="CG1" s="10"/>
      <c r="CH1" s="10"/>
      <c r="CI1" s="11" t="s">
        <v>0</v>
      </c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3"/>
      <c r="CU1" s="14"/>
      <c r="CV1" s="15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4"/>
    </row>
    <row r="2" spans="1:121" x14ac:dyDescent="0.2">
      <c r="A2" s="21"/>
      <c r="B2" s="19"/>
      <c r="C2" s="19"/>
      <c r="D2" s="16"/>
      <c r="E2" s="22" t="s">
        <v>1</v>
      </c>
      <c r="F2" s="16"/>
      <c r="G2" s="18"/>
      <c r="H2" s="18"/>
      <c r="I2" s="22" t="s">
        <v>2</v>
      </c>
      <c r="J2" s="22" t="s">
        <v>3</v>
      </c>
      <c r="K2" s="22" t="s">
        <v>4</v>
      </c>
      <c r="L2" s="22" t="s">
        <v>5</v>
      </c>
      <c r="M2" s="18"/>
      <c r="N2" s="18"/>
      <c r="O2" s="16"/>
      <c r="P2" s="18"/>
      <c r="Q2" s="18"/>
      <c r="R2" s="18"/>
      <c r="S2" s="23">
        <f t="array" ref="S2">SUM(1*E3:E19)</f>
        <v>15</v>
      </c>
      <c r="T2" s="16"/>
      <c r="U2" s="324" t="s">
        <v>6</v>
      </c>
      <c r="V2" s="325"/>
      <c r="W2" s="19"/>
      <c r="X2" s="24" t="s">
        <v>7</v>
      </c>
      <c r="Y2" s="25" t="s">
        <v>8</v>
      </c>
      <c r="Z2" s="26" t="s">
        <v>9</v>
      </c>
      <c r="AA2" s="16"/>
      <c r="AB2" s="16"/>
      <c r="AC2" s="16"/>
      <c r="AD2" s="19"/>
      <c r="AE2" s="27" t="s">
        <v>10</v>
      </c>
      <c r="AF2" s="28"/>
      <c r="AG2" s="19"/>
      <c r="AH2" s="29" t="s">
        <v>11</v>
      </c>
      <c r="AI2" s="30"/>
      <c r="AJ2" s="31" t="s">
        <v>12</v>
      </c>
      <c r="AK2" s="32" t="s">
        <v>13</v>
      </c>
      <c r="AL2" s="32" t="s">
        <v>14</v>
      </c>
      <c r="AM2" s="33" t="s">
        <v>15</v>
      </c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5"/>
      <c r="AZ2" s="36"/>
      <c r="BA2" s="15"/>
      <c r="BB2" s="19"/>
      <c r="BC2" s="19"/>
      <c r="BD2" s="16"/>
      <c r="BE2" s="22" t="s">
        <v>1</v>
      </c>
      <c r="BF2" s="16"/>
      <c r="BG2" s="18"/>
      <c r="BH2" s="18"/>
      <c r="BI2" s="22" t="s">
        <v>2</v>
      </c>
      <c r="BJ2" s="22" t="s">
        <v>3</v>
      </c>
      <c r="BK2" s="22" t="s">
        <v>4</v>
      </c>
      <c r="BL2" s="22" t="s">
        <v>5</v>
      </c>
      <c r="BM2" s="18"/>
      <c r="BN2" s="18"/>
      <c r="BO2" s="16"/>
      <c r="BP2" s="18"/>
      <c r="BQ2" s="18"/>
      <c r="BR2" s="18"/>
      <c r="BS2" s="23">
        <f t="array" ref="BS2">SUM(1*BE3:BE64)</f>
        <v>62</v>
      </c>
      <c r="BT2" s="16"/>
      <c r="BU2" s="324" t="s">
        <v>16</v>
      </c>
      <c r="BV2" s="325"/>
      <c r="BW2" s="19"/>
      <c r="BX2" s="24" t="s">
        <v>7</v>
      </c>
      <c r="BY2" s="37" t="s">
        <v>8</v>
      </c>
      <c r="BZ2" s="38" t="s">
        <v>9</v>
      </c>
      <c r="CA2" s="16"/>
      <c r="CB2" s="39" t="s">
        <v>17</v>
      </c>
      <c r="CC2" s="40" t="s">
        <v>18</v>
      </c>
      <c r="CD2" s="16"/>
      <c r="CE2" s="31" t="s">
        <v>12</v>
      </c>
      <c r="CF2" s="32" t="s">
        <v>13</v>
      </c>
      <c r="CG2" s="32" t="s">
        <v>14</v>
      </c>
      <c r="CH2" s="33" t="s">
        <v>15</v>
      </c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5"/>
      <c r="CU2" s="14"/>
      <c r="CV2" s="15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4"/>
    </row>
    <row r="3" spans="1:121" x14ac:dyDescent="0.2">
      <c r="A3" s="21"/>
      <c r="B3" s="22" t="s">
        <v>19</v>
      </c>
      <c r="C3" s="41" t="s">
        <v>240</v>
      </c>
      <c r="D3" s="16"/>
      <c r="E3" s="42" t="b">
        <v>1</v>
      </c>
      <c r="F3" s="43" t="str">
        <f t="shared" ref="F3:F19" si="0">X3</f>
        <v>ON</v>
      </c>
      <c r="G3" s="44">
        <v>0</v>
      </c>
      <c r="H3" s="44" t="s">
        <v>20</v>
      </c>
      <c r="I3" s="45">
        <f t="shared" ref="I3:I19" si="1">AVERAGE(Y3:Z3)</f>
        <v>-0.36999989999999999</v>
      </c>
      <c r="J3" s="46"/>
      <c r="K3" s="47"/>
      <c r="L3" s="48">
        <f t="shared" ref="L3:L19" si="2">IF(ISNUMBER(J3),J3,I3)+K3</f>
        <v>-0.36999989999999999</v>
      </c>
      <c r="M3" s="49">
        <v>1</v>
      </c>
      <c r="N3" s="50">
        <f t="shared" ref="N3:N19" si="3">IF(E3,M3,"")</f>
        <v>1</v>
      </c>
      <c r="O3" s="23">
        <f>IF($S$2&gt;0,1,"")</f>
        <v>1</v>
      </c>
      <c r="P3" s="50">
        <f>IF(LEN(O3)&gt;0,SMALL($N$3:$N$19,O3),"")</f>
        <v>1</v>
      </c>
      <c r="Q3" s="49">
        <f>IF(LEN(O3)&gt;0,INDEX($G$3:$G$19,$P3),"")</f>
        <v>0</v>
      </c>
      <c r="R3" s="44" t="str">
        <f>IF(LEN(P3)&gt;0,INDEX($H$3:$H$19,$P3),"")</f>
        <v>on</v>
      </c>
      <c r="S3" s="48">
        <f>IF(LEN(P3)&gt;0,INDEX($L$3:$L$19,$P3),"")</f>
        <v>-0.36999989999999999</v>
      </c>
      <c r="T3" s="16"/>
      <c r="U3" s="51" t="s">
        <v>21</v>
      </c>
      <c r="V3" s="51" t="s">
        <v>22</v>
      </c>
      <c r="W3" s="19"/>
      <c r="X3" s="52" t="s">
        <v>23</v>
      </c>
      <c r="Y3" s="53">
        <f>_xll.RtGet($AC$3,$AC$4&amp;$X3&amp;$AC$5,Y$2)</f>
        <v>-0.36999989999999999</v>
      </c>
      <c r="Z3" s="54">
        <f>_xll.RtGet($AC$3,$AC$4&amp;$X3&amp;$AC$5,Z$2)</f>
        <v>-0.36999989999999999</v>
      </c>
      <c r="AA3" s="16"/>
      <c r="AB3" s="39" t="s">
        <v>17</v>
      </c>
      <c r="AC3" s="40" t="s">
        <v>18</v>
      </c>
      <c r="AD3" s="19"/>
      <c r="AE3" s="55" t="s">
        <v>24</v>
      </c>
      <c r="AF3" s="55">
        <v>0</v>
      </c>
      <c r="AG3" s="19"/>
      <c r="AH3" s="55" t="s">
        <v>25</v>
      </c>
      <c r="AI3" s="30"/>
      <c r="AJ3" s="56" t="str">
        <f>IF(AND(LEN(AQ3)&gt;0,AS3&gt;0),_xll.xlShmInterpDisc(curveName,AQ3)+0*TYPE($V$4),"")</f>
        <v/>
      </c>
      <c r="AK3" s="57" t="str">
        <f>IF(AND(LEN(AQ3)&gt;0,AS3&gt;0),100*_xll.xlShmInterpRate(curveName,2,5,AQ3)+0*TYPE($V$4),"")</f>
        <v/>
      </c>
      <c r="AL3" s="57" t="str">
        <f>IF(LEN(AJ3)&gt;0,AJ3-AS3,"")</f>
        <v/>
      </c>
      <c r="AM3" s="58" t="str">
        <f>IF(LEN(AK3)&gt;0,(AK3-AT3)*100,"")</f>
        <v/>
      </c>
      <c r="AN3" s="59"/>
      <c r="AO3" s="60"/>
      <c r="AP3" s="59"/>
      <c r="AQ3" s="60"/>
      <c r="AR3" s="59"/>
      <c r="AS3" s="61"/>
      <c r="AT3" s="62"/>
      <c r="AU3" s="59"/>
      <c r="AV3" s="59"/>
      <c r="AW3" s="59"/>
      <c r="AX3" s="59"/>
      <c r="AY3" s="63"/>
      <c r="AZ3" s="64"/>
      <c r="BA3" s="15"/>
      <c r="BB3" s="322" t="s">
        <v>26</v>
      </c>
      <c r="BC3" s="323"/>
      <c r="BD3" s="16"/>
      <c r="BE3" s="65" t="b">
        <v>1</v>
      </c>
      <c r="BF3" s="43" t="str">
        <f>IF(BX3="SW","1W", IF(BX3="1Y","12M", BX3))</f>
        <v>ON</v>
      </c>
      <c r="BG3" s="44">
        <f>IF(LEN(BF3)&gt;0,IF(RIGHT(BF3,1)="N",0,LEFT(BF3,LEN(BF3)-1)*IF(RIGHT(BF3,1)="Y",12,1)),"-")</f>
        <v>0</v>
      </c>
      <c r="BH3" s="44" t="s">
        <v>20</v>
      </c>
      <c r="BI3" s="45">
        <f>AVERAGE(BY3:BZ3)</f>
        <v>-0.37</v>
      </c>
      <c r="BJ3" s="46"/>
      <c r="BK3" s="47"/>
      <c r="BL3" s="48">
        <f>IF(ISNUMBER(BJ3),BJ3,BI3)+BK3</f>
        <v>-0.37</v>
      </c>
      <c r="BM3" s="49">
        <v>1</v>
      </c>
      <c r="BN3" s="50">
        <f>IF(BE3,BM3,"")</f>
        <v>1</v>
      </c>
      <c r="BO3" s="23">
        <f>IF($BS$2&gt;0,1,"")</f>
        <v>1</v>
      </c>
      <c r="BP3" s="50">
        <f>IF(LEN(BO3)&gt;0,SMALL($BN$3:$BN$64,BO3),"")</f>
        <v>1</v>
      </c>
      <c r="BQ3" s="49">
        <f>IF(LEN(BO3)&gt;0,INDEX($BG$3:$BG$64,$BP3),"")</f>
        <v>0</v>
      </c>
      <c r="BR3" s="44" t="str">
        <f>IF(LEN(BP3)&gt;0,INDEX($BH$3:$BH$64,$BP3),"")</f>
        <v>on</v>
      </c>
      <c r="BS3" s="48">
        <f>IF(LEN(BP3)&gt;0,INDEX($BL$3:$BL$64,$BP3),"")</f>
        <v>-0.37</v>
      </c>
      <c r="BT3" s="16"/>
      <c r="BU3" s="51" t="s">
        <v>21</v>
      </c>
      <c r="BV3" s="51" t="s">
        <v>22</v>
      </c>
      <c r="BW3" s="19"/>
      <c r="BX3" s="52" t="s">
        <v>23</v>
      </c>
      <c r="BY3" s="53">
        <f>_xll.RtGet($CC$2,$CC$3&amp;BX3&amp;$CC$4,BY$2)</f>
        <v>-0.37</v>
      </c>
      <c r="BZ3" s="54">
        <f>_xll.RtGet($CC$2,$CC$3&amp;BX3&amp;$CC$4,BZ$2)</f>
        <v>-0.37</v>
      </c>
      <c r="CA3" s="16"/>
      <c r="CB3" s="66" t="s">
        <v>27</v>
      </c>
      <c r="CC3" s="67" t="s">
        <v>28</v>
      </c>
      <c r="CD3" s="16"/>
      <c r="CE3" s="56" t="str">
        <f>IF(AND(LEN(CL3)&gt;0,CN3&gt;0),_xll.xlShmInterpDisc(curveName,CL3)+0*TYPE($V$4),"")</f>
        <v/>
      </c>
      <c r="CF3" s="57" t="str">
        <f>IF(AND(LEN(CL3)&gt;0,CN3&gt;0),100*_xll.xlShmInterpRate(curveName,2,5,CL3)+0*TYPE($V$4),"")</f>
        <v/>
      </c>
      <c r="CG3" s="57" t="str">
        <f>IF(LEN(CE3)&gt;0,CE3-CN3,"")</f>
        <v/>
      </c>
      <c r="CH3" s="58" t="str">
        <f>IF(LEN(CF3)&gt;0,(CF3-CO3)*100,"")</f>
        <v/>
      </c>
      <c r="CI3" s="59"/>
      <c r="CJ3" s="60"/>
      <c r="CK3" s="59"/>
      <c r="CL3" s="60"/>
      <c r="CM3" s="59"/>
      <c r="CN3" s="61"/>
      <c r="CO3" s="62"/>
      <c r="CP3" s="59"/>
      <c r="CQ3" s="59"/>
      <c r="CR3" s="59"/>
      <c r="CS3" s="59"/>
      <c r="CT3" s="63"/>
      <c r="CU3" s="14"/>
      <c r="CV3" s="15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4"/>
    </row>
    <row r="4" spans="1:121" x14ac:dyDescent="0.2">
      <c r="A4" s="21"/>
      <c r="B4" s="19"/>
      <c r="C4" s="19"/>
      <c r="D4" s="16"/>
      <c r="E4" s="42" t="b">
        <v>1</v>
      </c>
      <c r="F4" s="68" t="str">
        <f t="shared" si="0"/>
        <v>TN</v>
      </c>
      <c r="G4" s="18">
        <v>0</v>
      </c>
      <c r="H4" s="18" t="s">
        <v>29</v>
      </c>
      <c r="I4" s="69">
        <f t="shared" si="1"/>
        <v>-0.37</v>
      </c>
      <c r="J4" s="70"/>
      <c r="K4" s="71"/>
      <c r="L4" s="72">
        <f t="shared" si="2"/>
        <v>-0.37</v>
      </c>
      <c r="M4" s="73">
        <f t="shared" ref="M4:M19" si="4">M3+1</f>
        <v>2</v>
      </c>
      <c r="N4" s="74">
        <f t="shared" si="3"/>
        <v>2</v>
      </c>
      <c r="O4" s="73">
        <f t="shared" ref="O4:O19" si="5">IF(O3&lt;$S$2,O3+1,"")</f>
        <v>2</v>
      </c>
      <c r="P4" s="74">
        <f t="shared" ref="P4:P19" si="6">IF(LEN(O4)&gt;0,SMALL($N$3:$N$19,O4),"")</f>
        <v>2</v>
      </c>
      <c r="Q4" s="73">
        <f t="shared" ref="Q4:Q19" si="7">IF(LEN(O4)&gt;0,INDEX($G$3:$G$19,$P4),"")</f>
        <v>0</v>
      </c>
      <c r="R4" s="18" t="str">
        <f t="shared" ref="R4:R19" si="8">IF(LEN(P4)&gt;0,INDEX($H$3:$H$19,$P4),"")</f>
        <v>tn</v>
      </c>
      <c r="S4" s="72">
        <f t="shared" ref="S4:S19" si="9">IF(LEN(P4)&gt;0,INDEX($L$3:$L$19,$P4),"")</f>
        <v>-0.37</v>
      </c>
      <c r="T4" s="16"/>
      <c r="U4" s="75">
        <f t="array" ref="U4:V84">IF(doCalc="LIBOR",_xll.xlCurveBootstrapper(today+0*TYPE(A1),Currency,curveName,nDepos,Q3:INDEX(S3:S19,nDepos),0,R26:S26,nFut,R26:INDEX(S26:S36,nFut),nSwap,R39:INDEX(S39:S80,nSwap),C30,C31,C32,C55,IF(LEN(exoDisc)&gt;0, B59:B79,B58:B79),IF(LEN(exoDisc)&gt;0, C59:C79,C58:C79)),"-")</f>
        <v>42754</v>
      </c>
      <c r="V4" s="76">
        <v>1</v>
      </c>
      <c r="W4" s="19"/>
      <c r="X4" s="77" t="s">
        <v>30</v>
      </c>
      <c r="Y4" s="78">
        <f>_xll.RtGet($AC$3,$AC$4&amp;$X4&amp;$AC$5,Y$2)</f>
        <v>-0.37</v>
      </c>
      <c r="Z4" s="79">
        <f>_xll.RtGet($AC$3,$AC$4&amp;$X4&amp;$AC$5,Z$2)</f>
        <v>-0.37</v>
      </c>
      <c r="AA4" s="16"/>
      <c r="AB4" s="66" t="s">
        <v>27</v>
      </c>
      <c r="AC4" s="67" t="s">
        <v>31</v>
      </c>
      <c r="AD4" s="19"/>
      <c r="AE4" s="80" t="s">
        <v>32</v>
      </c>
      <c r="AF4" s="80">
        <v>1</v>
      </c>
      <c r="AG4" s="19"/>
      <c r="AH4" s="80" t="s">
        <v>33</v>
      </c>
      <c r="AI4" s="30"/>
      <c r="AJ4" s="56" t="str">
        <f>IF(AND(LEN(AQ4)&gt;0,AS4&gt;0),_xll.xlShmInterpDisc(curveName,AQ4)+0*TYPE($V$4),"")</f>
        <v/>
      </c>
      <c r="AK4" s="57" t="str">
        <f>IF(AND(LEN(AQ4)&gt;0,AS4&gt;0),100*_xll.xlShmInterpRate(curveName,2,5,AQ4)+0*TYPE($V$4),"")</f>
        <v/>
      </c>
      <c r="AL4" s="57" t="str">
        <f t="shared" ref="AL4:AL67" si="10">IF(LEN(AJ4)&gt;0,AJ4-AS4,"")</f>
        <v/>
      </c>
      <c r="AM4" s="58" t="str">
        <f t="shared" ref="AM4:AM67" si="11">IF(LEN(AK4)&gt;0,(AK4-AT4)*100,"")</f>
        <v/>
      </c>
      <c r="AN4" s="59"/>
      <c r="AO4" s="60"/>
      <c r="AP4" s="59"/>
      <c r="AQ4" s="60"/>
      <c r="AR4" s="59"/>
      <c r="AS4" s="61"/>
      <c r="AT4" s="62"/>
      <c r="AU4" s="59"/>
      <c r="AV4" s="59"/>
      <c r="AW4" s="59"/>
      <c r="AX4" s="59"/>
      <c r="AY4" s="63"/>
      <c r="AZ4" s="64"/>
      <c r="BA4" s="15"/>
      <c r="BB4" s="81" t="s">
        <v>34</v>
      </c>
      <c r="BC4" s="82" t="s">
        <v>35</v>
      </c>
      <c r="BD4" s="16"/>
      <c r="BE4" s="83" t="b">
        <v>1</v>
      </c>
      <c r="BF4" s="68" t="str">
        <f t="shared" ref="BF4:BF5" si="12">IF(BX4="SW","1W", IF(BX4="1Y","12M", BX4))</f>
        <v>TN</v>
      </c>
      <c r="BG4" s="18">
        <f t="shared" ref="BG4:BG64" si="13">IF(LEN(BF4)&gt;0,IF(RIGHT(BF4,1)="N",0,LEFT(BF4,LEN(BF4)-1)*IF(RIGHT(BF4,1)="Y",12,1)),"-")</f>
        <v>0</v>
      </c>
      <c r="BH4" s="18" t="s">
        <v>29</v>
      </c>
      <c r="BI4" s="69">
        <f t="shared" ref="BI4:BI5" si="14">AVERAGE(BY4:BZ4)</f>
        <v>-0.37</v>
      </c>
      <c r="BJ4" s="70"/>
      <c r="BK4" s="71"/>
      <c r="BL4" s="72">
        <f t="shared" ref="BL4:BL64" si="15">IF(ISNUMBER(BJ4),BJ4,BI4)+BK4</f>
        <v>-0.37</v>
      </c>
      <c r="BM4" s="73">
        <f>BM3+1</f>
        <v>2</v>
      </c>
      <c r="BN4" s="74">
        <f t="shared" ref="BN4:BN64" si="16">IF(BE4,BM4,"")</f>
        <v>2</v>
      </c>
      <c r="BO4" s="73">
        <f>IF(BO3&lt;$BS$2,BO3+1,"")</f>
        <v>2</v>
      </c>
      <c r="BP4" s="74">
        <f t="shared" ref="BP4:BP64" si="17">IF(LEN(BO4)&gt;0,SMALL($BN$3:$BN$64,BO4),"")</f>
        <v>2</v>
      </c>
      <c r="BQ4" s="73">
        <f t="shared" ref="BQ4:BQ64" si="18">IF(LEN(BO4)&gt;0,INDEX($BG$3:$BG$64,$BP4),"")</f>
        <v>0</v>
      </c>
      <c r="BR4" s="18" t="str">
        <f t="shared" ref="BR4:BR64" si="19">IF(LEN(BP4)&gt;0,INDEX($BH$3:$BH$64,$BP4),"")</f>
        <v>tn</v>
      </c>
      <c r="BS4" s="72">
        <f t="shared" ref="BS4:BS64" si="20">IF(LEN(BP4)&gt;0,INDEX($BL$3:$BL$64,$BP4),"")</f>
        <v>-0.37</v>
      </c>
      <c r="BT4" s="16"/>
      <c r="BU4" s="84" t="str">
        <f t="array" ref="BU4:BV83">IF(doCalc="OIS",_xll.xlCurveBootstrapper(today+0*TYPE(A1),Currency,curveName,BC11,BQ3:INDEX(BQ3:BS64,BC11,0),0,BB13:BC13,0,BB13:BC13,0,BB13:BC13,BC4,BC5,BC6,BC13,BB10,BC10),"-")</f>
        <v>-</v>
      </c>
      <c r="BV4" s="76" t="str">
        <v>-</v>
      </c>
      <c r="BW4" s="19"/>
      <c r="BX4" s="77" t="s">
        <v>30</v>
      </c>
      <c r="BY4" s="78">
        <f>_xll.RtGet($CC$2,$CC$3&amp;BX4&amp;$CC$4,BY$2)</f>
        <v>-0.37</v>
      </c>
      <c r="BZ4" s="79">
        <f>_xll.RtGet($CC$2,$CC$3&amp;BX4&amp;$CC$4,BZ$2)</f>
        <v>-0.37</v>
      </c>
      <c r="CA4" s="16"/>
      <c r="CB4" s="85" t="s">
        <v>36</v>
      </c>
      <c r="CC4" s="86" t="s">
        <v>37</v>
      </c>
      <c r="CD4" s="16"/>
      <c r="CE4" s="56" t="str">
        <f>IF(AND(LEN(CL4)&gt;0,CN4&gt;0),_xll.xlShmInterpDisc(curveName,CL4)+0*TYPE($V$4),"")</f>
        <v/>
      </c>
      <c r="CF4" s="57" t="str">
        <f>IF(AND(LEN(CL4)&gt;0,CN4&gt;0),100*_xll.xlShmInterpRate(curveName,2,5,CL4)+0*TYPE($V$4),"")</f>
        <v/>
      </c>
      <c r="CG4" s="57" t="str">
        <f t="shared" ref="CG4:CG67" si="21">IF(LEN(CE4)&gt;0,CE4-CN4,"")</f>
        <v/>
      </c>
      <c r="CH4" s="58" t="str">
        <f t="shared" ref="CH4:CH67" si="22">IF(LEN(CF4)&gt;0,(CF4-CO4)*100,"")</f>
        <v/>
      </c>
      <c r="CI4" s="59"/>
      <c r="CJ4" s="60"/>
      <c r="CK4" s="59"/>
      <c r="CL4" s="60"/>
      <c r="CM4" s="59"/>
      <c r="CN4" s="61"/>
      <c r="CO4" s="62"/>
      <c r="CP4" s="59"/>
      <c r="CQ4" s="59"/>
      <c r="CR4" s="59"/>
      <c r="CS4" s="59"/>
      <c r="CT4" s="63"/>
      <c r="CU4" s="14"/>
      <c r="CV4" s="15"/>
      <c r="CW4" s="16"/>
      <c r="CX4" s="16"/>
      <c r="CY4" s="16"/>
      <c r="CZ4" s="16"/>
      <c r="DA4" s="39" t="s">
        <v>17</v>
      </c>
      <c r="DB4" s="40" t="s">
        <v>18</v>
      </c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4"/>
    </row>
    <row r="5" spans="1:121" x14ac:dyDescent="0.2">
      <c r="A5" s="21"/>
      <c r="B5" s="22" t="s">
        <v>38</v>
      </c>
      <c r="C5" s="41" t="s">
        <v>39</v>
      </c>
      <c r="D5" s="16"/>
      <c r="E5" s="42" t="b">
        <v>1</v>
      </c>
      <c r="F5" s="68" t="str">
        <f t="shared" si="0"/>
        <v>SN</v>
      </c>
      <c r="G5" s="18">
        <v>0</v>
      </c>
      <c r="H5" s="18" t="s">
        <v>40</v>
      </c>
      <c r="I5" s="69">
        <f t="shared" si="1"/>
        <v>-0.37</v>
      </c>
      <c r="J5" s="70"/>
      <c r="K5" s="71"/>
      <c r="L5" s="72">
        <f t="shared" si="2"/>
        <v>-0.37</v>
      </c>
      <c r="M5" s="73">
        <f t="shared" si="4"/>
        <v>3</v>
      </c>
      <c r="N5" s="74">
        <f t="shared" si="3"/>
        <v>3</v>
      </c>
      <c r="O5" s="73">
        <f t="shared" si="5"/>
        <v>3</v>
      </c>
      <c r="P5" s="74">
        <f t="shared" si="6"/>
        <v>3</v>
      </c>
      <c r="Q5" s="73">
        <f t="shared" si="7"/>
        <v>0</v>
      </c>
      <c r="R5" s="18" t="str">
        <f t="shared" si="8"/>
        <v>sn</v>
      </c>
      <c r="S5" s="72">
        <f t="shared" si="9"/>
        <v>-0.37</v>
      </c>
      <c r="T5" s="16"/>
      <c r="U5" s="87">
        <v>42755</v>
      </c>
      <c r="V5" s="88">
        <v>1.0000102778806337</v>
      </c>
      <c r="W5" s="19"/>
      <c r="X5" s="77" t="s">
        <v>41</v>
      </c>
      <c r="Y5" s="78">
        <f>_xll.RtGet($AC$3,$AC$4&amp;$X5&amp;$AC$5,Y$2)</f>
        <v>-0.37</v>
      </c>
      <c r="Z5" s="79">
        <f>_xll.RtGet($AC$3,$AC$4&amp;$X5&amp;$AC$5,Z$2)</f>
        <v>-0.37</v>
      </c>
      <c r="AA5" s="16"/>
      <c r="AB5" s="85" t="s">
        <v>36</v>
      </c>
      <c r="AC5" s="86" t="s">
        <v>42</v>
      </c>
      <c r="AD5" s="19"/>
      <c r="AE5" s="80" t="s">
        <v>43</v>
      </c>
      <c r="AF5" s="80">
        <v>2</v>
      </c>
      <c r="AG5" s="19"/>
      <c r="AH5" s="80" t="s">
        <v>35</v>
      </c>
      <c r="AI5" s="30"/>
      <c r="AJ5" s="56" t="str">
        <f>IF(AND(LEN(AQ5)&gt;0,AS5&gt;0),_xll.xlShmInterpDisc(curveName,AQ5)+0*TYPE($V$4),"")</f>
        <v/>
      </c>
      <c r="AK5" s="57" t="str">
        <f>IF(AND(LEN(AQ5)&gt;0,AS5&gt;0),100*_xll.xlShmInterpRate(curveName,2,5,AQ5)+0*TYPE($V$4),"")</f>
        <v/>
      </c>
      <c r="AL5" s="57" t="str">
        <f t="shared" si="10"/>
        <v/>
      </c>
      <c r="AM5" s="58" t="str">
        <f t="shared" si="11"/>
        <v/>
      </c>
      <c r="AN5" s="59"/>
      <c r="AO5" s="60"/>
      <c r="AP5" s="59"/>
      <c r="AQ5" s="60"/>
      <c r="AR5" s="59"/>
      <c r="AS5" s="61"/>
      <c r="AT5" s="62"/>
      <c r="AU5" s="59"/>
      <c r="AV5" s="59"/>
      <c r="AW5" s="59"/>
      <c r="AX5" s="59"/>
      <c r="AY5" s="63"/>
      <c r="AZ5" s="64"/>
      <c r="BA5" s="15"/>
      <c r="BB5" s="89" t="s">
        <v>44</v>
      </c>
      <c r="BC5" s="90" t="s">
        <v>45</v>
      </c>
      <c r="BD5" s="16"/>
      <c r="BE5" s="83" t="b">
        <v>1</v>
      </c>
      <c r="BF5" s="91" t="str">
        <f t="shared" si="12"/>
        <v>SN</v>
      </c>
      <c r="BG5" s="73">
        <f t="shared" si="13"/>
        <v>0</v>
      </c>
      <c r="BH5" s="74" t="s">
        <v>40</v>
      </c>
      <c r="BI5" s="69">
        <f t="shared" si="14"/>
        <v>-0.36742223500000004</v>
      </c>
      <c r="BJ5" s="70"/>
      <c r="BK5" s="71"/>
      <c r="BL5" s="72">
        <f t="shared" si="15"/>
        <v>-0.36742223500000004</v>
      </c>
      <c r="BM5" s="73">
        <f t="shared" ref="BM5:BM64" si="23">BM4+1</f>
        <v>3</v>
      </c>
      <c r="BN5" s="74">
        <f t="shared" si="16"/>
        <v>3</v>
      </c>
      <c r="BO5" s="73">
        <f t="shared" ref="BO5:BO64" si="24">IF(BO4&lt;$BS$2,BO4+1,"")</f>
        <v>3</v>
      </c>
      <c r="BP5" s="74">
        <f t="shared" si="17"/>
        <v>3</v>
      </c>
      <c r="BQ5" s="73">
        <f t="shared" si="18"/>
        <v>0</v>
      </c>
      <c r="BR5" s="18" t="str">
        <f t="shared" si="19"/>
        <v>sn</v>
      </c>
      <c r="BS5" s="72">
        <f t="shared" si="20"/>
        <v>-0.36742223500000004</v>
      </c>
      <c r="BT5" s="16"/>
      <c r="BU5" s="92" t="str">
        <v>-</v>
      </c>
      <c r="BV5" s="88" t="str">
        <v>-</v>
      </c>
      <c r="BW5" s="19"/>
      <c r="BX5" s="93" t="s">
        <v>41</v>
      </c>
      <c r="BY5" s="94">
        <f>_xll.RtGet($CC$2,$CC$3&amp;BX5&amp;$CC$4,BY$2)</f>
        <v>-0.36742223500000004</v>
      </c>
      <c r="BZ5" s="95">
        <f>_xll.RtGet($CC$2,$CC$3&amp;BX5&amp;$CC$4,BZ$2)</f>
        <v>-0.36742223500000004</v>
      </c>
      <c r="CA5" s="16"/>
      <c r="CB5" s="16"/>
      <c r="CC5" s="16"/>
      <c r="CD5" s="16"/>
      <c r="CE5" s="56" t="str">
        <f>IF(AND(LEN(CL5)&gt;0,CN5&gt;0),_xll.xlShmInterpDisc(curveName,CL5)+0*TYPE($V$4),"")</f>
        <v/>
      </c>
      <c r="CF5" s="57" t="str">
        <f>IF(AND(LEN(CL5)&gt;0,CN5&gt;0),100*_xll.xlShmInterpRate(curveName,2,5,CL5)+0*TYPE($V$4),"")</f>
        <v/>
      </c>
      <c r="CG5" s="57" t="str">
        <f t="shared" si="21"/>
        <v/>
      </c>
      <c r="CH5" s="58" t="str">
        <f t="shared" si="22"/>
        <v/>
      </c>
      <c r="CI5" s="59"/>
      <c r="CJ5" s="60"/>
      <c r="CK5" s="59"/>
      <c r="CL5" s="60"/>
      <c r="CM5" s="59"/>
      <c r="CN5" s="61"/>
      <c r="CO5" s="62"/>
      <c r="CP5" s="59"/>
      <c r="CQ5" s="59"/>
      <c r="CR5" s="59"/>
      <c r="CS5" s="59"/>
      <c r="CT5" s="63"/>
      <c r="CU5" s="14"/>
      <c r="CV5" s="15"/>
      <c r="CW5" s="16"/>
      <c r="CX5" s="16"/>
      <c r="CY5" s="16"/>
      <c r="CZ5" s="16"/>
      <c r="DA5" s="66" t="s">
        <v>27</v>
      </c>
      <c r="DB5" s="67" t="s">
        <v>46</v>
      </c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4"/>
    </row>
    <row r="6" spans="1:121" x14ac:dyDescent="0.2">
      <c r="A6" s="21"/>
      <c r="B6" s="19"/>
      <c r="C6" s="19"/>
      <c r="D6" s="16"/>
      <c r="E6" s="96" t="b">
        <v>1</v>
      </c>
      <c r="F6" s="97" t="str">
        <f t="shared" si="0"/>
        <v>SW</v>
      </c>
      <c r="G6" s="44">
        <v>1</v>
      </c>
      <c r="H6" s="44" t="s">
        <v>47</v>
      </c>
      <c r="I6" s="45">
        <f t="shared" si="1"/>
        <v>-0.37</v>
      </c>
      <c r="J6" s="46"/>
      <c r="K6" s="47"/>
      <c r="L6" s="48">
        <f t="shared" si="2"/>
        <v>-0.37</v>
      </c>
      <c r="M6" s="73">
        <f t="shared" si="4"/>
        <v>4</v>
      </c>
      <c r="N6" s="74">
        <f t="shared" si="3"/>
        <v>4</v>
      </c>
      <c r="O6" s="73">
        <f t="shared" si="5"/>
        <v>4</v>
      </c>
      <c r="P6" s="74">
        <f t="shared" si="6"/>
        <v>4</v>
      </c>
      <c r="Q6" s="73">
        <f t="shared" si="7"/>
        <v>1</v>
      </c>
      <c r="R6" s="18" t="str">
        <f t="shared" si="8"/>
        <v>w</v>
      </c>
      <c r="S6" s="72">
        <f t="shared" si="9"/>
        <v>-0.37</v>
      </c>
      <c r="T6" s="16"/>
      <c r="U6" s="87">
        <v>42758</v>
      </c>
      <c r="V6" s="88">
        <v>1.0000411124816018</v>
      </c>
      <c r="W6" s="19"/>
      <c r="X6" s="77" t="s">
        <v>48</v>
      </c>
      <c r="Y6" s="78">
        <f>_xll.RtGet($AC$3,$AC$4&amp;$X6&amp;$AC$5,Y$2)</f>
        <v>-0.37</v>
      </c>
      <c r="Z6" s="79">
        <f>_xll.RtGet($AC$3,$AC$4&amp;$X6&amp;$AC$5,Z$2)</f>
        <v>-0.37</v>
      </c>
      <c r="AA6" s="16"/>
      <c r="AB6" s="16"/>
      <c r="AC6" s="16"/>
      <c r="AD6" s="19"/>
      <c r="AE6" s="80" t="s">
        <v>49</v>
      </c>
      <c r="AF6" s="80">
        <v>3</v>
      </c>
      <c r="AG6" s="19"/>
      <c r="AH6" s="80" t="s">
        <v>50</v>
      </c>
      <c r="AI6" s="30"/>
      <c r="AJ6" s="56" t="str">
        <f>IF(AND(LEN(AQ6)&gt;0,AS6&gt;0),_xll.xlShmInterpDisc(curveName,AQ6)+0*TYPE($V$4),"")</f>
        <v/>
      </c>
      <c r="AK6" s="57" t="str">
        <f>IF(AND(LEN(AQ6)&gt;0,AS6&gt;0),100*_xll.xlShmInterpRate(curveName,2,5,AQ6)+0*TYPE($V$4),"")</f>
        <v/>
      </c>
      <c r="AL6" s="57" t="str">
        <f t="shared" si="10"/>
        <v/>
      </c>
      <c r="AM6" s="58" t="str">
        <f t="shared" si="11"/>
        <v/>
      </c>
      <c r="AN6" s="59"/>
      <c r="AO6" s="60"/>
      <c r="AP6" s="59"/>
      <c r="AQ6" s="60"/>
      <c r="AR6" s="59"/>
      <c r="AS6" s="61"/>
      <c r="AT6" s="62"/>
      <c r="AU6" s="59"/>
      <c r="AV6" s="59"/>
      <c r="AW6" s="59"/>
      <c r="AX6" s="59"/>
      <c r="AY6" s="63"/>
      <c r="AZ6" s="64"/>
      <c r="BA6" s="15"/>
      <c r="BB6" s="89" t="s">
        <v>51</v>
      </c>
      <c r="BC6" s="90" t="s">
        <v>52</v>
      </c>
      <c r="BD6" s="16"/>
      <c r="BE6" s="83" t="b">
        <v>1</v>
      </c>
      <c r="BF6" s="91" t="str">
        <f>IF(BX8="SW","1W", IF(BX8="1Y","12M", BX8))</f>
        <v>1W</v>
      </c>
      <c r="BG6" s="73">
        <f t="shared" si="13"/>
        <v>1</v>
      </c>
      <c r="BH6" s="74" t="s">
        <v>47</v>
      </c>
      <c r="BI6" s="69">
        <f>AVERAGE(BY8:BZ8)</f>
        <v>-0.35199999999999998</v>
      </c>
      <c r="BJ6" s="70"/>
      <c r="BK6" s="71"/>
      <c r="BL6" s="72">
        <f t="shared" si="15"/>
        <v>-0.35199999999999998</v>
      </c>
      <c r="BM6" s="73">
        <f t="shared" si="23"/>
        <v>4</v>
      </c>
      <c r="BN6" s="74">
        <f t="shared" si="16"/>
        <v>4</v>
      </c>
      <c r="BO6" s="73">
        <f t="shared" si="24"/>
        <v>4</v>
      </c>
      <c r="BP6" s="74">
        <f t="shared" si="17"/>
        <v>4</v>
      </c>
      <c r="BQ6" s="73">
        <f t="shared" si="18"/>
        <v>1</v>
      </c>
      <c r="BR6" s="18" t="str">
        <f t="shared" si="19"/>
        <v>w</v>
      </c>
      <c r="BS6" s="72">
        <f t="shared" si="20"/>
        <v>-0.35199999999999998</v>
      </c>
      <c r="BT6" s="16"/>
      <c r="BU6" s="92" t="str">
        <v>-</v>
      </c>
      <c r="BV6" s="88" t="str">
        <v>-</v>
      </c>
      <c r="BW6" s="19"/>
      <c r="BX6" s="16"/>
      <c r="BY6" s="16"/>
      <c r="BZ6" s="16"/>
      <c r="CA6" s="16"/>
      <c r="CB6" s="16"/>
      <c r="CC6" s="16"/>
      <c r="CD6" s="16"/>
      <c r="CE6" s="56" t="str">
        <f>IF(AND(LEN(CL6)&gt;0,CN6&gt;0),_xll.xlShmInterpDisc(curveName,CL6)+0*TYPE($V$4),"")</f>
        <v/>
      </c>
      <c r="CF6" s="57" t="str">
        <f>IF(AND(LEN(CL6)&gt;0,CN6&gt;0),100*_xll.xlShmInterpRate(curveName,2,5,CL6)+0*TYPE($V$4),"")</f>
        <v/>
      </c>
      <c r="CG6" s="57" t="str">
        <f t="shared" si="21"/>
        <v/>
      </c>
      <c r="CH6" s="58" t="str">
        <f t="shared" si="22"/>
        <v/>
      </c>
      <c r="CI6" s="59"/>
      <c r="CJ6" s="60"/>
      <c r="CK6" s="59"/>
      <c r="CL6" s="60"/>
      <c r="CM6" s="59"/>
      <c r="CN6" s="61"/>
      <c r="CO6" s="62"/>
      <c r="CP6" s="59"/>
      <c r="CQ6" s="59"/>
      <c r="CR6" s="59"/>
      <c r="CS6" s="59"/>
      <c r="CT6" s="63"/>
      <c r="CU6" s="14"/>
      <c r="CV6" s="15"/>
      <c r="CW6" s="16"/>
      <c r="CX6" s="16"/>
      <c r="CY6" s="16"/>
      <c r="CZ6" s="16"/>
      <c r="DA6" s="66" t="s">
        <v>53</v>
      </c>
      <c r="DB6" s="67" t="s">
        <v>54</v>
      </c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4"/>
    </row>
    <row r="7" spans="1:121" x14ac:dyDescent="0.2">
      <c r="A7" s="21"/>
      <c r="B7" s="19"/>
      <c r="C7" s="19"/>
      <c r="D7" s="16"/>
      <c r="E7" s="42" t="b">
        <v>1</v>
      </c>
      <c r="F7" s="98" t="str">
        <f t="shared" si="0"/>
        <v>2W</v>
      </c>
      <c r="G7" s="18">
        <v>2</v>
      </c>
      <c r="H7" s="18" t="s">
        <v>47</v>
      </c>
      <c r="I7" s="69">
        <f t="shared" si="1"/>
        <v>-0.36</v>
      </c>
      <c r="J7" s="70"/>
      <c r="K7" s="71"/>
      <c r="L7" s="72">
        <f t="shared" si="2"/>
        <v>-0.36</v>
      </c>
      <c r="M7" s="73">
        <f t="shared" si="4"/>
        <v>5</v>
      </c>
      <c r="N7" s="74">
        <f t="shared" si="3"/>
        <v>5</v>
      </c>
      <c r="O7" s="73">
        <f t="shared" si="5"/>
        <v>5</v>
      </c>
      <c r="P7" s="74">
        <f t="shared" si="6"/>
        <v>5</v>
      </c>
      <c r="Q7" s="73">
        <f t="shared" si="7"/>
        <v>2</v>
      </c>
      <c r="R7" s="18" t="str">
        <f t="shared" si="8"/>
        <v>w</v>
      </c>
      <c r="S7" s="72">
        <f t="shared" si="9"/>
        <v>-0.36</v>
      </c>
      <c r="T7" s="16"/>
      <c r="U7" s="87">
        <v>42759</v>
      </c>
      <c r="V7" s="88">
        <v>1.0000513907875628</v>
      </c>
      <c r="W7" s="19"/>
      <c r="X7" s="77" t="s">
        <v>55</v>
      </c>
      <c r="Y7" s="78">
        <f>_xll.RtGet($AC$3,$AC$4&amp;$X7&amp;$AC$5,Y$2)</f>
        <v>-0.36</v>
      </c>
      <c r="Z7" s="79">
        <f>_xll.RtGet($AC$3,$AC$4&amp;$X7&amp;$AC$5,Z$2)</f>
        <v>-0.36</v>
      </c>
      <c r="AA7" s="19"/>
      <c r="AB7" s="19"/>
      <c r="AC7" s="19"/>
      <c r="AD7" s="19"/>
      <c r="AE7" s="80" t="s">
        <v>56</v>
      </c>
      <c r="AF7" s="80">
        <v>4</v>
      </c>
      <c r="AG7" s="19"/>
      <c r="AH7" s="99" t="s">
        <v>57</v>
      </c>
      <c r="AI7" s="30"/>
      <c r="AJ7" s="56" t="str">
        <f>IF(AND(LEN(AQ7)&gt;0,AS7&gt;0),_xll.xlShmInterpDisc(curveName,AQ7)+0*TYPE($V$4),"")</f>
        <v/>
      </c>
      <c r="AK7" s="57" t="str">
        <f>IF(AND(LEN(AQ7)&gt;0,AS7&gt;0),100*_xll.xlShmInterpRate(curveName,2,5,AQ7)+0*TYPE($V$4),"")</f>
        <v/>
      </c>
      <c r="AL7" s="57" t="str">
        <f t="shared" si="10"/>
        <v/>
      </c>
      <c r="AM7" s="58" t="str">
        <f t="shared" si="11"/>
        <v/>
      </c>
      <c r="AN7" s="59"/>
      <c r="AO7" s="60"/>
      <c r="AP7" s="59"/>
      <c r="AQ7" s="60"/>
      <c r="AR7" s="59"/>
      <c r="AS7" s="61"/>
      <c r="AT7" s="62"/>
      <c r="AU7" s="59"/>
      <c r="AV7" s="59"/>
      <c r="AW7" s="59"/>
      <c r="AX7" s="59"/>
      <c r="AY7" s="63"/>
      <c r="AZ7" s="64"/>
      <c r="BA7" s="15"/>
      <c r="BB7" s="100" t="s">
        <v>58</v>
      </c>
      <c r="BC7" s="101" t="s">
        <v>59</v>
      </c>
      <c r="BD7" s="16"/>
      <c r="BE7" s="83" t="b">
        <v>1</v>
      </c>
      <c r="BF7" s="102" t="str">
        <f t="shared" ref="BF7:BF64" si="25">IF(BX9="SW","1W", IF(BX9="1Y","12M", BX9))</f>
        <v>2W</v>
      </c>
      <c r="BG7" s="73">
        <f t="shared" si="13"/>
        <v>2</v>
      </c>
      <c r="BH7" s="74" t="s">
        <v>47</v>
      </c>
      <c r="BI7" s="69">
        <f t="shared" ref="BI7:BI64" si="26">AVERAGE(BY9:BZ9)</f>
        <v>-0.35000000000000003</v>
      </c>
      <c r="BJ7" s="70"/>
      <c r="BK7" s="71"/>
      <c r="BL7" s="72">
        <f t="shared" si="15"/>
        <v>-0.35000000000000003</v>
      </c>
      <c r="BM7" s="73">
        <f t="shared" si="23"/>
        <v>5</v>
      </c>
      <c r="BN7" s="74">
        <f t="shared" si="16"/>
        <v>5</v>
      </c>
      <c r="BO7" s="73">
        <f t="shared" si="24"/>
        <v>5</v>
      </c>
      <c r="BP7" s="74">
        <f t="shared" si="17"/>
        <v>5</v>
      </c>
      <c r="BQ7" s="73">
        <f t="shared" si="18"/>
        <v>2</v>
      </c>
      <c r="BR7" s="18" t="str">
        <f t="shared" si="19"/>
        <v>w</v>
      </c>
      <c r="BS7" s="72">
        <f t="shared" si="20"/>
        <v>-0.35000000000000003</v>
      </c>
      <c r="BT7" s="16"/>
      <c r="BU7" s="92" t="str">
        <v>-</v>
      </c>
      <c r="BV7" s="88" t="str">
        <v>-</v>
      </c>
      <c r="BW7" s="19"/>
      <c r="BX7" s="103" t="s">
        <v>60</v>
      </c>
      <c r="BY7" s="37" t="s">
        <v>8</v>
      </c>
      <c r="BZ7" s="38" t="s">
        <v>9</v>
      </c>
      <c r="CA7" s="19"/>
      <c r="CB7" s="39" t="s">
        <v>17</v>
      </c>
      <c r="CC7" s="40" t="s">
        <v>18</v>
      </c>
      <c r="CD7" s="16"/>
      <c r="CE7" s="56" t="str">
        <f>IF(AND(LEN(CL7)&gt;0,CN7&gt;0),_xll.xlShmInterpDisc(curveName,CL7)+0*TYPE($V$4),"")</f>
        <v/>
      </c>
      <c r="CF7" s="57" t="str">
        <f>IF(AND(LEN(CL7)&gt;0,CN7&gt;0),100*_xll.xlShmInterpRate(curveName,2,5,CL7)+0*TYPE($V$4),"")</f>
        <v/>
      </c>
      <c r="CG7" s="57" t="str">
        <f t="shared" si="21"/>
        <v/>
      </c>
      <c r="CH7" s="58" t="str">
        <f t="shared" si="22"/>
        <v/>
      </c>
      <c r="CI7" s="59"/>
      <c r="CJ7" s="60"/>
      <c r="CK7" s="59"/>
      <c r="CL7" s="60"/>
      <c r="CM7" s="59"/>
      <c r="CN7" s="61"/>
      <c r="CO7" s="62"/>
      <c r="CP7" s="59"/>
      <c r="CQ7" s="59"/>
      <c r="CR7" s="59"/>
      <c r="CS7" s="59"/>
      <c r="CT7" s="63"/>
      <c r="CU7" s="14"/>
      <c r="CV7" s="15"/>
      <c r="CW7" s="16"/>
      <c r="CX7" s="16"/>
      <c r="CY7" s="16"/>
      <c r="CZ7" s="16"/>
      <c r="DA7" s="85" t="s">
        <v>61</v>
      </c>
      <c r="DB7" s="86" t="s">
        <v>62</v>
      </c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4"/>
    </row>
    <row r="8" spans="1:121" x14ac:dyDescent="0.2">
      <c r="A8" s="21"/>
      <c r="B8" s="19"/>
      <c r="C8" s="19"/>
      <c r="D8" s="16"/>
      <c r="E8" s="104" t="b">
        <v>1</v>
      </c>
      <c r="F8" s="105" t="str">
        <f t="shared" si="0"/>
        <v>3W</v>
      </c>
      <c r="G8" s="106">
        <v>3</v>
      </c>
      <c r="H8" s="106" t="s">
        <v>47</v>
      </c>
      <c r="I8" s="107">
        <f t="shared" si="1"/>
        <v>-0.36</v>
      </c>
      <c r="J8" s="108"/>
      <c r="K8" s="109"/>
      <c r="L8" s="110">
        <f t="shared" si="2"/>
        <v>-0.36</v>
      </c>
      <c r="M8" s="73">
        <f t="shared" si="4"/>
        <v>6</v>
      </c>
      <c r="N8" s="74">
        <f t="shared" si="3"/>
        <v>6</v>
      </c>
      <c r="O8" s="73">
        <f t="shared" si="5"/>
        <v>6</v>
      </c>
      <c r="P8" s="74">
        <f t="shared" si="6"/>
        <v>6</v>
      </c>
      <c r="Q8" s="73">
        <f t="shared" si="7"/>
        <v>3</v>
      </c>
      <c r="R8" s="18" t="str">
        <f t="shared" si="8"/>
        <v>w</v>
      </c>
      <c r="S8" s="72">
        <f t="shared" si="9"/>
        <v>-0.36</v>
      </c>
      <c r="T8" s="16"/>
      <c r="U8" s="87">
        <v>42765</v>
      </c>
      <c r="V8" s="88">
        <v>1.0001130650604493</v>
      </c>
      <c r="W8" s="19"/>
      <c r="X8" s="77" t="s">
        <v>63</v>
      </c>
      <c r="Y8" s="78">
        <f>_xll.RtGet($AC$3,$AC$4&amp;$X8&amp;$AC$5,Y$2)</f>
        <v>-0.36</v>
      </c>
      <c r="Z8" s="79">
        <f>_xll.RtGet($AC$3,$AC$4&amp;$X8&amp;$AC$5,Z$2)</f>
        <v>-0.36</v>
      </c>
      <c r="AA8" s="19"/>
      <c r="AB8" s="19"/>
      <c r="AC8" s="19"/>
      <c r="AD8" s="19"/>
      <c r="AE8" s="80" t="s">
        <v>59</v>
      </c>
      <c r="AF8" s="80">
        <v>5</v>
      </c>
      <c r="AG8" s="19"/>
      <c r="AH8" s="19"/>
      <c r="AI8" s="30"/>
      <c r="AJ8" s="56" t="str">
        <f>IF(AND(LEN(AQ8)&gt;0,AS8&gt;0),_xll.xlShmInterpDisc(curveName,AQ8)+0*TYPE($V$4),"")</f>
        <v/>
      </c>
      <c r="AK8" s="57" t="str">
        <f>IF(AND(LEN(AQ8)&gt;0,AS8&gt;0),100*_xll.xlShmInterpRate(curveName,2,5,AQ8)+0*TYPE($V$4),"")</f>
        <v/>
      </c>
      <c r="AL8" s="57" t="str">
        <f t="shared" si="10"/>
        <v/>
      </c>
      <c r="AM8" s="58" t="str">
        <f t="shared" si="11"/>
        <v/>
      </c>
      <c r="AN8" s="59"/>
      <c r="AO8" s="60"/>
      <c r="AP8" s="59"/>
      <c r="AQ8" s="60"/>
      <c r="AR8" s="59"/>
      <c r="AS8" s="61"/>
      <c r="AT8" s="62"/>
      <c r="AU8" s="59"/>
      <c r="AV8" s="59"/>
      <c r="AW8" s="59"/>
      <c r="AX8" s="59"/>
      <c r="AY8" s="63"/>
      <c r="AZ8" s="64"/>
      <c r="BA8" s="15"/>
      <c r="BB8" s="19"/>
      <c r="BC8" s="19"/>
      <c r="BD8" s="16"/>
      <c r="BE8" s="83" t="b">
        <v>1</v>
      </c>
      <c r="BF8" s="102" t="str">
        <f t="shared" si="25"/>
        <v>3W</v>
      </c>
      <c r="BG8" s="73">
        <f t="shared" si="13"/>
        <v>3</v>
      </c>
      <c r="BH8" s="74" t="s">
        <v>47</v>
      </c>
      <c r="BI8" s="69">
        <f t="shared" si="26"/>
        <v>-0.35100000000000003</v>
      </c>
      <c r="BJ8" s="70"/>
      <c r="BK8" s="71"/>
      <c r="BL8" s="72">
        <f t="shared" si="15"/>
        <v>-0.35100000000000003</v>
      </c>
      <c r="BM8" s="73">
        <f t="shared" si="23"/>
        <v>6</v>
      </c>
      <c r="BN8" s="74">
        <f t="shared" si="16"/>
        <v>6</v>
      </c>
      <c r="BO8" s="73">
        <f t="shared" si="24"/>
        <v>6</v>
      </c>
      <c r="BP8" s="74">
        <f t="shared" si="17"/>
        <v>6</v>
      </c>
      <c r="BQ8" s="73">
        <f t="shared" si="18"/>
        <v>3</v>
      </c>
      <c r="BR8" s="18" t="str">
        <f t="shared" si="19"/>
        <v>w</v>
      </c>
      <c r="BS8" s="72">
        <f t="shared" si="20"/>
        <v>-0.35100000000000003</v>
      </c>
      <c r="BT8" s="16"/>
      <c r="BU8" s="92" t="str">
        <v>-</v>
      </c>
      <c r="BV8" s="88" t="str">
        <v>-</v>
      </c>
      <c r="BW8" s="19"/>
      <c r="BX8" s="111" t="s">
        <v>48</v>
      </c>
      <c r="BY8" s="53">
        <f>_xll.RtGet($CC$7,$CC$8&amp;BX8&amp;$CC$9,$BY$7)</f>
        <v>-0.35199999999999998</v>
      </c>
      <c r="BZ8" s="54">
        <f>_xll.RtGet($CC$7,$CC$8&amp;BX8&amp;$CC$9,$BZ$7)</f>
        <v>-0.35199999999999998</v>
      </c>
      <c r="CA8" s="19"/>
      <c r="CB8" s="66" t="s">
        <v>27</v>
      </c>
      <c r="CC8" s="67" t="s">
        <v>64</v>
      </c>
      <c r="CD8" s="16"/>
      <c r="CE8" s="56" t="str">
        <f>IF(AND(LEN(CL8)&gt;0,CN8&gt;0),_xll.xlShmInterpDisc(curveName,CL8)+0*TYPE($V$4),"")</f>
        <v/>
      </c>
      <c r="CF8" s="57" t="str">
        <f>IF(AND(LEN(CL8)&gt;0,CN8&gt;0),100*_xll.xlShmInterpRate(curveName,2,5,CL8)+0*TYPE($V$4),"")</f>
        <v/>
      </c>
      <c r="CG8" s="57" t="str">
        <f t="shared" si="21"/>
        <v/>
      </c>
      <c r="CH8" s="58" t="str">
        <f t="shared" si="22"/>
        <v/>
      </c>
      <c r="CI8" s="59"/>
      <c r="CJ8" s="60"/>
      <c r="CK8" s="59"/>
      <c r="CL8" s="60"/>
      <c r="CM8" s="59"/>
      <c r="CN8" s="61"/>
      <c r="CO8" s="62"/>
      <c r="CP8" s="59"/>
      <c r="CQ8" s="59"/>
      <c r="CR8" s="59"/>
      <c r="CS8" s="59"/>
      <c r="CT8" s="63"/>
      <c r="CU8" s="14"/>
      <c r="CV8" s="15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4"/>
    </row>
    <row r="9" spans="1:121" x14ac:dyDescent="0.2">
      <c r="A9" s="21"/>
      <c r="B9" s="19"/>
      <c r="C9" s="19"/>
      <c r="D9" s="16"/>
      <c r="E9" s="42" t="b">
        <v>1</v>
      </c>
      <c r="F9" s="112" t="str">
        <f t="shared" si="0"/>
        <v>1M</v>
      </c>
      <c r="G9" s="18">
        <v>1</v>
      </c>
      <c r="H9" s="18" t="s">
        <v>65</v>
      </c>
      <c r="I9" s="69">
        <f t="shared" si="1"/>
        <v>-0.36</v>
      </c>
      <c r="J9" s="70"/>
      <c r="K9" s="71"/>
      <c r="L9" s="72">
        <f t="shared" si="2"/>
        <v>-0.36</v>
      </c>
      <c r="M9" s="73">
        <f t="shared" si="4"/>
        <v>7</v>
      </c>
      <c r="N9" s="74">
        <f t="shared" si="3"/>
        <v>7</v>
      </c>
      <c r="O9" s="73">
        <f t="shared" si="5"/>
        <v>7</v>
      </c>
      <c r="P9" s="74">
        <f t="shared" si="6"/>
        <v>7</v>
      </c>
      <c r="Q9" s="73">
        <f t="shared" si="7"/>
        <v>1</v>
      </c>
      <c r="R9" s="18" t="str">
        <f t="shared" si="8"/>
        <v>m</v>
      </c>
      <c r="S9" s="72">
        <f t="shared" si="9"/>
        <v>-0.36</v>
      </c>
      <c r="T9" s="16"/>
      <c r="U9" s="87">
        <v>42772</v>
      </c>
      <c r="V9" s="88">
        <v>1.0001811378408996</v>
      </c>
      <c r="W9" s="19"/>
      <c r="X9" s="77" t="s">
        <v>66</v>
      </c>
      <c r="Y9" s="78">
        <f>_xll.RtGet($AC$3,$AC$4&amp;$X9&amp;$AC$5,Y$2)</f>
        <v>-0.36</v>
      </c>
      <c r="Z9" s="79">
        <f>_xll.RtGet($AC$3,$AC$4&amp;$X9&amp;$AC$5,Z$2)</f>
        <v>-0.36</v>
      </c>
      <c r="AA9" s="19"/>
      <c r="AB9" s="19"/>
      <c r="AC9" s="19"/>
      <c r="AD9" s="19"/>
      <c r="AE9" s="80" t="s">
        <v>67</v>
      </c>
      <c r="AF9" s="80">
        <v>6</v>
      </c>
      <c r="AG9" s="19"/>
      <c r="AH9" s="29" t="s">
        <v>68</v>
      </c>
      <c r="AI9" s="30"/>
      <c r="AJ9" s="56" t="str">
        <f>IF(AND(LEN(AQ9)&gt;0,AS9&gt;0),_xll.xlShmInterpDisc(curveName,AQ9)+0*TYPE($V$4),"")</f>
        <v/>
      </c>
      <c r="AK9" s="57" t="str">
        <f>IF(AND(LEN(AQ9)&gt;0,AS9&gt;0),100*_xll.xlShmInterpRate(curveName,2,5,AQ9)+0*TYPE($V$4),"")</f>
        <v/>
      </c>
      <c r="AL9" s="57" t="str">
        <f t="shared" si="10"/>
        <v/>
      </c>
      <c r="AM9" s="58" t="str">
        <f t="shared" si="11"/>
        <v/>
      </c>
      <c r="AN9" s="59"/>
      <c r="AO9" s="60"/>
      <c r="AP9" s="59"/>
      <c r="AQ9" s="60"/>
      <c r="AR9" s="59"/>
      <c r="AS9" s="61"/>
      <c r="AT9" s="62"/>
      <c r="AU9" s="59"/>
      <c r="AV9" s="59"/>
      <c r="AW9" s="59"/>
      <c r="AX9" s="59"/>
      <c r="AY9" s="63"/>
      <c r="AZ9" s="64"/>
      <c r="BA9" s="15"/>
      <c r="BB9" s="113" t="s">
        <v>69</v>
      </c>
      <c r="BC9" s="114" t="s">
        <v>70</v>
      </c>
      <c r="BD9" s="16"/>
      <c r="BE9" s="83" t="b">
        <v>1</v>
      </c>
      <c r="BF9" s="115" t="str">
        <f t="shared" si="25"/>
        <v>1M</v>
      </c>
      <c r="BG9" s="73">
        <f t="shared" si="13"/>
        <v>1</v>
      </c>
      <c r="BH9" s="74" t="s">
        <v>65</v>
      </c>
      <c r="BI9" s="69">
        <f t="shared" si="26"/>
        <v>-0.35199999999999998</v>
      </c>
      <c r="BJ9" s="70"/>
      <c r="BK9" s="71"/>
      <c r="BL9" s="72">
        <f t="shared" si="15"/>
        <v>-0.35199999999999998</v>
      </c>
      <c r="BM9" s="73">
        <f t="shared" si="23"/>
        <v>7</v>
      </c>
      <c r="BN9" s="74">
        <f t="shared" si="16"/>
        <v>7</v>
      </c>
      <c r="BO9" s="73">
        <f t="shared" si="24"/>
        <v>7</v>
      </c>
      <c r="BP9" s="74">
        <f t="shared" si="17"/>
        <v>7</v>
      </c>
      <c r="BQ9" s="73">
        <f t="shared" si="18"/>
        <v>1</v>
      </c>
      <c r="BR9" s="18" t="str">
        <f t="shared" si="19"/>
        <v>m</v>
      </c>
      <c r="BS9" s="72">
        <f t="shared" si="20"/>
        <v>-0.35199999999999998</v>
      </c>
      <c r="BT9" s="16"/>
      <c r="BU9" s="92" t="str">
        <v>-</v>
      </c>
      <c r="BV9" s="88" t="str">
        <v>-</v>
      </c>
      <c r="BW9" s="19"/>
      <c r="BX9" s="116" t="s">
        <v>55</v>
      </c>
      <c r="BY9" s="78">
        <f>_xll.RtGet($CC$7,$CC$8&amp;BX9&amp;$CC$9,$BY$7)</f>
        <v>-0.35000000000000003</v>
      </c>
      <c r="BZ9" s="79">
        <f>_xll.RtGet($CC$7,$CC$8&amp;BX9&amp;$CC$9,$BZ$7)</f>
        <v>-0.35000000000000003</v>
      </c>
      <c r="CA9" s="19"/>
      <c r="CB9" s="85" t="s">
        <v>36</v>
      </c>
      <c r="CC9" s="86" t="s">
        <v>37</v>
      </c>
      <c r="CD9" s="16"/>
      <c r="CE9" s="56" t="str">
        <f>IF(AND(LEN(CL9)&gt;0,CN9&gt;0),_xll.xlShmInterpDisc(curveName,CL9)+0*TYPE($V$4),"")</f>
        <v/>
      </c>
      <c r="CF9" s="57" t="str">
        <f>IF(AND(LEN(CL9)&gt;0,CN9&gt;0),100*_xll.xlShmInterpRate(curveName,2,5,CL9)+0*TYPE($V$4),"")</f>
        <v/>
      </c>
      <c r="CG9" s="57" t="str">
        <f t="shared" si="21"/>
        <v/>
      </c>
      <c r="CH9" s="58" t="str">
        <f t="shared" si="22"/>
        <v/>
      </c>
      <c r="CI9" s="59"/>
      <c r="CJ9" s="60"/>
      <c r="CK9" s="59"/>
      <c r="CL9" s="60"/>
      <c r="CM9" s="59"/>
      <c r="CN9" s="61"/>
      <c r="CO9" s="62"/>
      <c r="CP9" s="59"/>
      <c r="CQ9" s="59"/>
      <c r="CR9" s="59"/>
      <c r="CS9" s="59"/>
      <c r="CT9" s="63"/>
      <c r="CU9" s="14"/>
      <c r="CV9" s="15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4"/>
    </row>
    <row r="10" spans="1:121" x14ac:dyDescent="0.2">
      <c r="A10" s="21"/>
      <c r="B10" s="19"/>
      <c r="C10" s="19"/>
      <c r="D10" s="16"/>
      <c r="E10" s="42" t="b">
        <v>1</v>
      </c>
      <c r="F10" s="112" t="str">
        <f t="shared" si="0"/>
        <v>2M</v>
      </c>
      <c r="G10" s="18">
        <v>2</v>
      </c>
      <c r="H10" s="18" t="s">
        <v>65</v>
      </c>
      <c r="I10" s="69">
        <f t="shared" si="1"/>
        <v>-0.34</v>
      </c>
      <c r="J10" s="70"/>
      <c r="K10" s="71"/>
      <c r="L10" s="72">
        <f t="shared" si="2"/>
        <v>-0.34</v>
      </c>
      <c r="M10" s="73">
        <f t="shared" si="4"/>
        <v>8</v>
      </c>
      <c r="N10" s="74">
        <f t="shared" si="3"/>
        <v>8</v>
      </c>
      <c r="O10" s="73">
        <f t="shared" si="5"/>
        <v>8</v>
      </c>
      <c r="P10" s="74">
        <f t="shared" si="6"/>
        <v>8</v>
      </c>
      <c r="Q10" s="73">
        <f t="shared" si="7"/>
        <v>2</v>
      </c>
      <c r="R10" s="18" t="str">
        <f t="shared" si="8"/>
        <v>m</v>
      </c>
      <c r="S10" s="72">
        <f t="shared" si="9"/>
        <v>-0.34</v>
      </c>
      <c r="T10" s="16"/>
      <c r="U10" s="87">
        <v>42779</v>
      </c>
      <c r="V10" s="88">
        <v>1.0002511652262993</v>
      </c>
      <c r="W10" s="19"/>
      <c r="X10" s="77" t="s">
        <v>71</v>
      </c>
      <c r="Y10" s="78">
        <f>_xll.RtGet($AC$3,$AC$4&amp;$X10&amp;$AC$5,Y$2)</f>
        <v>-0.34</v>
      </c>
      <c r="Z10" s="79">
        <f>_xll.RtGet($AC$3,$AC$4&amp;$X10&amp;$AC$5,Z$2)</f>
        <v>-0.34</v>
      </c>
      <c r="AA10" s="19"/>
      <c r="AB10" s="19"/>
      <c r="AC10" s="19"/>
      <c r="AD10" s="19"/>
      <c r="AE10" s="80" t="s">
        <v>72</v>
      </c>
      <c r="AF10" s="80">
        <v>7</v>
      </c>
      <c r="AG10" s="19"/>
      <c r="AH10" s="55" t="s">
        <v>45</v>
      </c>
      <c r="AI10" s="30"/>
      <c r="AJ10" s="56" t="str">
        <f>IF(AND(LEN(AQ10)&gt;0,AS10&gt;0),_xll.xlShmInterpDisc(curveName,AQ10)+0*TYPE($V$4),"")</f>
        <v/>
      </c>
      <c r="AK10" s="57" t="str">
        <f>IF(AND(LEN(AQ10)&gt;0,AS10&gt;0),100*_xll.xlShmInterpRate(curveName,2,5,AQ10)+0*TYPE($V$4),"")</f>
        <v/>
      </c>
      <c r="AL10" s="57" t="str">
        <f t="shared" si="10"/>
        <v/>
      </c>
      <c r="AM10" s="58" t="str">
        <f t="shared" si="11"/>
        <v/>
      </c>
      <c r="AN10" s="59"/>
      <c r="AO10" s="60"/>
      <c r="AP10" s="59"/>
      <c r="AQ10" s="60"/>
      <c r="AR10" s="59"/>
      <c r="AS10" s="61"/>
      <c r="AT10" s="62"/>
      <c r="AU10" s="59"/>
      <c r="AV10" s="59"/>
      <c r="AW10" s="59"/>
      <c r="AX10" s="59"/>
      <c r="AY10" s="63"/>
      <c r="AZ10" s="64"/>
      <c r="BA10" s="15"/>
      <c r="BB10" s="117" t="s">
        <v>73</v>
      </c>
      <c r="BC10" s="118">
        <v>0</v>
      </c>
      <c r="BD10" s="16"/>
      <c r="BE10" s="83" t="b">
        <v>1</v>
      </c>
      <c r="BF10" s="115" t="str">
        <f t="shared" si="25"/>
        <v>2M</v>
      </c>
      <c r="BG10" s="73">
        <f t="shared" si="13"/>
        <v>2</v>
      </c>
      <c r="BH10" s="74" t="s">
        <v>65</v>
      </c>
      <c r="BI10" s="69">
        <f t="shared" si="26"/>
        <v>-0.35199999999999998</v>
      </c>
      <c r="BJ10" s="70"/>
      <c r="BK10" s="71"/>
      <c r="BL10" s="72">
        <f t="shared" si="15"/>
        <v>-0.35199999999999998</v>
      </c>
      <c r="BM10" s="73">
        <f t="shared" si="23"/>
        <v>8</v>
      </c>
      <c r="BN10" s="74">
        <f t="shared" si="16"/>
        <v>8</v>
      </c>
      <c r="BO10" s="73">
        <f t="shared" si="24"/>
        <v>8</v>
      </c>
      <c r="BP10" s="74">
        <f t="shared" si="17"/>
        <v>8</v>
      </c>
      <c r="BQ10" s="73">
        <f t="shared" si="18"/>
        <v>2</v>
      </c>
      <c r="BR10" s="18" t="str">
        <f t="shared" si="19"/>
        <v>m</v>
      </c>
      <c r="BS10" s="72">
        <f t="shared" si="20"/>
        <v>-0.35199999999999998</v>
      </c>
      <c r="BT10" s="16"/>
      <c r="BU10" s="92" t="str">
        <v>-</v>
      </c>
      <c r="BV10" s="88" t="str">
        <v>-</v>
      </c>
      <c r="BW10" s="19"/>
      <c r="BX10" s="116" t="s">
        <v>63</v>
      </c>
      <c r="BY10" s="78">
        <f>_xll.RtGet($CC$7,$CC$8&amp;BX10&amp;$CC$9,$BY$7)</f>
        <v>-0.35100000000000003</v>
      </c>
      <c r="BZ10" s="79">
        <f>_xll.RtGet($CC$7,$CC$8&amp;BX10&amp;$CC$9,$BZ$7)</f>
        <v>-0.35100000000000003</v>
      </c>
      <c r="CA10" s="19"/>
      <c r="CB10" s="19"/>
      <c r="CC10" s="19"/>
      <c r="CD10" s="16"/>
      <c r="CE10" s="56" t="str">
        <f>IF(AND(LEN(CL10)&gt;0,CN10&gt;0),_xll.xlShmInterpDisc(curveName,CL10)+0*TYPE($V$4),"")</f>
        <v/>
      </c>
      <c r="CF10" s="57" t="str">
        <f>IF(AND(LEN(CL10)&gt;0,CN10&gt;0),100*_xll.xlShmInterpRate(curveName,2,5,CL10)+0*TYPE($V$4),"")</f>
        <v/>
      </c>
      <c r="CG10" s="57" t="str">
        <f t="shared" si="21"/>
        <v/>
      </c>
      <c r="CH10" s="58" t="str">
        <f t="shared" si="22"/>
        <v/>
      </c>
      <c r="CI10" s="59"/>
      <c r="CJ10" s="60"/>
      <c r="CK10" s="59"/>
      <c r="CL10" s="60"/>
      <c r="CM10" s="59"/>
      <c r="CN10" s="61"/>
      <c r="CO10" s="62"/>
      <c r="CP10" s="59"/>
      <c r="CQ10" s="59"/>
      <c r="CR10" s="59"/>
      <c r="CS10" s="59"/>
      <c r="CT10" s="63"/>
      <c r="CU10" s="14"/>
      <c r="CV10" s="15"/>
      <c r="CW10" s="16"/>
      <c r="CX10" s="119"/>
      <c r="CY10" s="120"/>
      <c r="CZ10" s="16"/>
      <c r="DA10" s="121" t="s">
        <v>74</v>
      </c>
      <c r="DB10" s="122" t="s">
        <v>8</v>
      </c>
      <c r="DC10" s="123" t="s">
        <v>9</v>
      </c>
      <c r="DD10" s="124"/>
      <c r="DE10" s="22" t="s">
        <v>75</v>
      </c>
      <c r="DF10" s="2" t="b">
        <v>0</v>
      </c>
      <c r="DG10" s="16"/>
      <c r="DH10" s="322" t="s">
        <v>76</v>
      </c>
      <c r="DI10" s="326"/>
      <c r="DJ10" s="323"/>
      <c r="DK10" s="16"/>
      <c r="DL10" s="16"/>
      <c r="DM10" s="16"/>
      <c r="DN10" s="16"/>
      <c r="DO10" s="16"/>
      <c r="DP10" s="16"/>
      <c r="DQ10" s="14"/>
    </row>
    <row r="11" spans="1:121" x14ac:dyDescent="0.2">
      <c r="A11" s="21"/>
      <c r="B11" s="19"/>
      <c r="C11" s="19"/>
      <c r="D11" s="16"/>
      <c r="E11" s="42" t="b">
        <v>1</v>
      </c>
      <c r="F11" s="112" t="str">
        <f t="shared" si="0"/>
        <v>3M</v>
      </c>
      <c r="G11" s="18">
        <v>3</v>
      </c>
      <c r="H11" s="18" t="s">
        <v>65</v>
      </c>
      <c r="I11" s="69">
        <f t="shared" si="1"/>
        <v>-0.31</v>
      </c>
      <c r="J11" s="70"/>
      <c r="K11" s="71"/>
      <c r="L11" s="72">
        <f t="shared" si="2"/>
        <v>-0.31</v>
      </c>
      <c r="M11" s="73">
        <f t="shared" si="4"/>
        <v>9</v>
      </c>
      <c r="N11" s="74">
        <f t="shared" si="3"/>
        <v>9</v>
      </c>
      <c r="O11" s="73">
        <f t="shared" si="5"/>
        <v>9</v>
      </c>
      <c r="P11" s="74">
        <f t="shared" si="6"/>
        <v>9</v>
      </c>
      <c r="Q11" s="73">
        <f t="shared" si="7"/>
        <v>3</v>
      </c>
      <c r="R11" s="18" t="str">
        <f t="shared" si="8"/>
        <v>m</v>
      </c>
      <c r="S11" s="72">
        <f t="shared" si="9"/>
        <v>-0.31</v>
      </c>
      <c r="T11" s="16"/>
      <c r="U11" s="87">
        <v>42789</v>
      </c>
      <c r="V11" s="88">
        <v>1.0003512213602235</v>
      </c>
      <c r="W11" s="19"/>
      <c r="X11" s="77" t="s">
        <v>77</v>
      </c>
      <c r="Y11" s="78">
        <f>_xll.RtGet($AC$3,$AC$4&amp;$X11&amp;$AC$5,Y$2)</f>
        <v>-0.31</v>
      </c>
      <c r="Z11" s="79">
        <f>_xll.RtGet($AC$3,$AC$4&amp;$X11&amp;$AC$5,Z$2)</f>
        <v>-0.31</v>
      </c>
      <c r="AA11" s="19"/>
      <c r="AB11" s="19"/>
      <c r="AC11" s="19"/>
      <c r="AD11" s="19"/>
      <c r="AE11" s="80" t="s">
        <v>78</v>
      </c>
      <c r="AF11" s="80">
        <v>8</v>
      </c>
      <c r="AG11" s="19"/>
      <c r="AH11" s="80" t="s">
        <v>79</v>
      </c>
      <c r="AI11" s="30"/>
      <c r="AJ11" s="56" t="str">
        <f>IF(AND(LEN(AQ11)&gt;0,AS11&gt;0),_xll.xlShmInterpDisc(curveName,AQ11)+0*TYPE($V$4),"")</f>
        <v/>
      </c>
      <c r="AK11" s="57" t="str">
        <f>IF(AND(LEN(AQ11)&gt;0,AS11&gt;0),100*_xll.xlShmInterpRate(curveName,2,5,AQ11)+0*TYPE($V$4),"")</f>
        <v/>
      </c>
      <c r="AL11" s="57" t="str">
        <f t="shared" si="10"/>
        <v/>
      </c>
      <c r="AM11" s="58" t="str">
        <f t="shared" si="11"/>
        <v/>
      </c>
      <c r="AN11" s="59"/>
      <c r="AO11" s="60"/>
      <c r="AP11" s="59"/>
      <c r="AQ11" s="60"/>
      <c r="AR11" s="59"/>
      <c r="AS11" s="61"/>
      <c r="AT11" s="62"/>
      <c r="AU11" s="59"/>
      <c r="AV11" s="59"/>
      <c r="AW11" s="59"/>
      <c r="AX11" s="59"/>
      <c r="AY11" s="63"/>
      <c r="AZ11" s="64"/>
      <c r="BA11" s="15"/>
      <c r="BB11" s="125" t="s">
        <v>80</v>
      </c>
      <c r="BC11" s="126">
        <f>BS2</f>
        <v>62</v>
      </c>
      <c r="BD11" s="16"/>
      <c r="BE11" s="83" t="b">
        <v>1</v>
      </c>
      <c r="BF11" s="115" t="str">
        <f t="shared" si="25"/>
        <v>3M</v>
      </c>
      <c r="BG11" s="73">
        <f t="shared" si="13"/>
        <v>3</v>
      </c>
      <c r="BH11" s="74" t="s">
        <v>65</v>
      </c>
      <c r="BI11" s="69">
        <f t="shared" si="26"/>
        <v>-0.35256684200000005</v>
      </c>
      <c r="BJ11" s="70"/>
      <c r="BK11" s="71"/>
      <c r="BL11" s="72">
        <f t="shared" si="15"/>
        <v>-0.35256684200000005</v>
      </c>
      <c r="BM11" s="73">
        <f t="shared" si="23"/>
        <v>9</v>
      </c>
      <c r="BN11" s="74">
        <f t="shared" si="16"/>
        <v>9</v>
      </c>
      <c r="BO11" s="73">
        <f t="shared" si="24"/>
        <v>9</v>
      </c>
      <c r="BP11" s="74">
        <f t="shared" si="17"/>
        <v>9</v>
      </c>
      <c r="BQ11" s="73">
        <f t="shared" si="18"/>
        <v>3</v>
      </c>
      <c r="BR11" s="18" t="str">
        <f t="shared" si="19"/>
        <v>m</v>
      </c>
      <c r="BS11" s="72">
        <f t="shared" si="20"/>
        <v>-0.35256684200000005</v>
      </c>
      <c r="BT11" s="16"/>
      <c r="BU11" s="92" t="str">
        <v>-</v>
      </c>
      <c r="BV11" s="88" t="str">
        <v>-</v>
      </c>
      <c r="BW11" s="19"/>
      <c r="BX11" s="116" t="s">
        <v>66</v>
      </c>
      <c r="BY11" s="78">
        <f>_xll.RtGet($CC$7,$CC$8&amp;BX11&amp;$CC$9,$BY$7)</f>
        <v>-0.35199999999999998</v>
      </c>
      <c r="BZ11" s="79">
        <f>_xll.RtGet($CC$7,$CC$8&amp;BX11&amp;$CC$9,$BZ$7)</f>
        <v>-0.35199999999999998</v>
      </c>
      <c r="CA11" s="19"/>
      <c r="CB11" s="19"/>
      <c r="CC11" s="19"/>
      <c r="CD11" s="16"/>
      <c r="CE11" s="56" t="str">
        <f>IF(AND(LEN(CL11)&gt;0,CN11&gt;0),_xll.xlShmInterpDisc(curveName,CL11)+0*TYPE($V$4),"")</f>
        <v/>
      </c>
      <c r="CF11" s="57" t="str">
        <f>IF(AND(LEN(CL11)&gt;0,CN11&gt;0),100*_xll.xlShmInterpRate(curveName,2,5,CL11)+0*TYPE($V$4),"")</f>
        <v/>
      </c>
      <c r="CG11" s="57" t="str">
        <f t="shared" si="21"/>
        <v/>
      </c>
      <c r="CH11" s="58" t="str">
        <f t="shared" si="22"/>
        <v/>
      </c>
      <c r="CI11" s="59"/>
      <c r="CJ11" s="60"/>
      <c r="CK11" s="59"/>
      <c r="CL11" s="60"/>
      <c r="CM11" s="59"/>
      <c r="CN11" s="61"/>
      <c r="CO11" s="62"/>
      <c r="CP11" s="59"/>
      <c r="CQ11" s="59"/>
      <c r="CR11" s="59"/>
      <c r="CS11" s="59"/>
      <c r="CT11" s="63"/>
      <c r="CU11" s="14"/>
      <c r="CV11" s="15"/>
      <c r="CW11" s="16"/>
      <c r="CX11" s="127" t="s">
        <v>81</v>
      </c>
      <c r="CY11" s="128"/>
      <c r="CZ11" s="129"/>
      <c r="DA11" s="130">
        <f>C26</f>
        <v>42754</v>
      </c>
      <c r="DB11" s="131">
        <f>_xll.xlShmInterpDisc("EUR",DA11+0*TYPE(disc_refresh))</f>
        <v>1</v>
      </c>
      <c r="DC11" s="132">
        <f>DB11</f>
        <v>1</v>
      </c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4"/>
    </row>
    <row r="12" spans="1:121" x14ac:dyDescent="0.2">
      <c r="A12" s="21"/>
      <c r="B12" s="19"/>
      <c r="C12" s="19"/>
      <c r="D12" s="16"/>
      <c r="E12" s="42" t="b">
        <v>1</v>
      </c>
      <c r="F12" s="112" t="str">
        <f t="shared" si="0"/>
        <v>4M</v>
      </c>
      <c r="G12" s="18">
        <v>4</v>
      </c>
      <c r="H12" s="18" t="s">
        <v>65</v>
      </c>
      <c r="I12" s="69">
        <f t="shared" si="1"/>
        <v>-0.28000000000000003</v>
      </c>
      <c r="J12" s="70"/>
      <c r="K12" s="71"/>
      <c r="L12" s="72">
        <f t="shared" si="2"/>
        <v>-0.28000000000000003</v>
      </c>
      <c r="M12" s="73">
        <f t="shared" si="4"/>
        <v>10</v>
      </c>
      <c r="N12" s="74">
        <f t="shared" si="3"/>
        <v>10</v>
      </c>
      <c r="O12" s="73">
        <f t="shared" si="5"/>
        <v>10</v>
      </c>
      <c r="P12" s="74">
        <f t="shared" si="6"/>
        <v>10</v>
      </c>
      <c r="Q12" s="73">
        <f t="shared" si="7"/>
        <v>4</v>
      </c>
      <c r="R12" s="18" t="str">
        <f t="shared" si="8"/>
        <v>m</v>
      </c>
      <c r="S12" s="72">
        <f t="shared" si="9"/>
        <v>-0.28000000000000003</v>
      </c>
      <c r="T12" s="16"/>
      <c r="U12" s="87">
        <v>42817</v>
      </c>
      <c r="V12" s="88">
        <v>1.0005986682951018</v>
      </c>
      <c r="W12" s="19"/>
      <c r="X12" s="77" t="s">
        <v>82</v>
      </c>
      <c r="Y12" s="78">
        <f>_xll.RtGet($AC$3,$AC$4&amp;$X12&amp;$AC$5,Y$2)</f>
        <v>-0.28000000000000003</v>
      </c>
      <c r="Z12" s="79">
        <f>_xll.RtGet($AC$3,$AC$4&amp;$X12&amp;$AC$5,Z$2)</f>
        <v>-0.28000000000000003</v>
      </c>
      <c r="AA12" s="19"/>
      <c r="AB12" s="19"/>
      <c r="AC12" s="19"/>
      <c r="AD12" s="19"/>
      <c r="AE12" s="99" t="s">
        <v>83</v>
      </c>
      <c r="AF12" s="99">
        <v>9</v>
      </c>
      <c r="AG12" s="19"/>
      <c r="AH12" s="99" t="s">
        <v>84</v>
      </c>
      <c r="AI12" s="30"/>
      <c r="AJ12" s="56" t="str">
        <f>IF(AND(LEN(AQ12)&gt;0,AS12&gt;0),_xll.xlShmInterpDisc(curveName,AQ12)+0*TYPE($V$4),"")</f>
        <v/>
      </c>
      <c r="AK12" s="57" t="str">
        <f>IF(AND(LEN(AQ12)&gt;0,AS12&gt;0),100*_xll.xlShmInterpRate(curveName,2,5,AQ12)+0*TYPE($V$4),"")</f>
        <v/>
      </c>
      <c r="AL12" s="57" t="str">
        <f t="shared" si="10"/>
        <v/>
      </c>
      <c r="AM12" s="58" t="str">
        <f t="shared" si="11"/>
        <v/>
      </c>
      <c r="AN12" s="59"/>
      <c r="AO12" s="60"/>
      <c r="AP12" s="59"/>
      <c r="AQ12" s="60"/>
      <c r="AR12" s="59"/>
      <c r="AS12" s="61"/>
      <c r="AT12" s="62"/>
      <c r="AU12" s="59"/>
      <c r="AV12" s="59"/>
      <c r="AW12" s="59"/>
      <c r="AX12" s="59"/>
      <c r="AY12" s="63"/>
      <c r="AZ12" s="64"/>
      <c r="BA12" s="15"/>
      <c r="BB12" s="19"/>
      <c r="BC12" s="19"/>
      <c r="BD12" s="16"/>
      <c r="BE12" s="83" t="b">
        <v>1</v>
      </c>
      <c r="BF12" s="115" t="str">
        <f t="shared" si="25"/>
        <v>4M</v>
      </c>
      <c r="BG12" s="73">
        <f t="shared" si="13"/>
        <v>4</v>
      </c>
      <c r="BH12" s="74" t="s">
        <v>65</v>
      </c>
      <c r="BI12" s="69">
        <f t="shared" si="26"/>
        <v>-0.35289332500000004</v>
      </c>
      <c r="BJ12" s="70"/>
      <c r="BK12" s="71"/>
      <c r="BL12" s="72">
        <f t="shared" si="15"/>
        <v>-0.35289332500000004</v>
      </c>
      <c r="BM12" s="73">
        <f t="shared" si="23"/>
        <v>10</v>
      </c>
      <c r="BN12" s="74">
        <f t="shared" si="16"/>
        <v>10</v>
      </c>
      <c r="BO12" s="73">
        <f t="shared" si="24"/>
        <v>10</v>
      </c>
      <c r="BP12" s="74">
        <f t="shared" si="17"/>
        <v>10</v>
      </c>
      <c r="BQ12" s="73">
        <f t="shared" si="18"/>
        <v>4</v>
      </c>
      <c r="BR12" s="18" t="str">
        <f t="shared" si="19"/>
        <v>m</v>
      </c>
      <c r="BS12" s="72">
        <f t="shared" si="20"/>
        <v>-0.35289332500000004</v>
      </c>
      <c r="BT12" s="16"/>
      <c r="BU12" s="92" t="str">
        <v>-</v>
      </c>
      <c r="BV12" s="88" t="str">
        <v>-</v>
      </c>
      <c r="BW12" s="19"/>
      <c r="BX12" s="116" t="s">
        <v>71</v>
      </c>
      <c r="BY12" s="78">
        <f>_xll.RtGet($CC$7,$CC$8&amp;BX12&amp;$CC$9,$BY$7)</f>
        <v>-0.35199999999999998</v>
      </c>
      <c r="BZ12" s="79">
        <f>_xll.RtGet($CC$7,$CC$8&amp;BX12&amp;$CC$9,$BZ$7)</f>
        <v>-0.35199999999999998</v>
      </c>
      <c r="CA12" s="19"/>
      <c r="CB12" s="19"/>
      <c r="CC12" s="19"/>
      <c r="CD12" s="16"/>
      <c r="CE12" s="56" t="str">
        <f>IF(AND(LEN(CL12)&gt;0,CN12&gt;0),_xll.xlShmInterpDisc(curveName,CL12)+0*TYPE($V$4),"")</f>
        <v/>
      </c>
      <c r="CF12" s="57" t="str">
        <f>IF(AND(LEN(CL12)&gt;0,CN12&gt;0),100*_xll.xlShmInterpRate(curveName,2,5,CL12)+0*TYPE($V$4),"")</f>
        <v/>
      </c>
      <c r="CG12" s="57" t="str">
        <f t="shared" si="21"/>
        <v/>
      </c>
      <c r="CH12" s="58" t="str">
        <f t="shared" si="22"/>
        <v/>
      </c>
      <c r="CI12" s="59"/>
      <c r="CJ12" s="60"/>
      <c r="CK12" s="59"/>
      <c r="CL12" s="60"/>
      <c r="CM12" s="59"/>
      <c r="CN12" s="61"/>
      <c r="CO12" s="62"/>
      <c r="CP12" s="59"/>
      <c r="CQ12" s="59"/>
      <c r="CR12" s="59"/>
      <c r="CS12" s="59"/>
      <c r="CT12" s="63"/>
      <c r="CU12" s="14"/>
      <c r="CV12" s="15"/>
      <c r="CW12" s="16"/>
      <c r="CX12" s="77" t="s">
        <v>23</v>
      </c>
      <c r="CY12" s="133" t="str">
        <f>$DB$5&amp;CX12&amp;IF(RIGHT(CX12,1)="Y",$DB$7,$DB$6)</f>
        <v>EURFXONDDF=</v>
      </c>
      <c r="CZ12" s="16"/>
      <c r="DA12" s="134">
        <f>_xll.xlDateSettle(Calendar,DA11,1)</f>
        <v>42755</v>
      </c>
      <c r="DB12" s="135">
        <f>_xll.xlShmInterpDisc("EUR",DA12+0*TYPE(disc_refresh))</f>
        <v>1.0000102778806337</v>
      </c>
      <c r="DC12" s="136">
        <f>DB12</f>
        <v>1.0000102778806337</v>
      </c>
      <c r="DD12" s="137"/>
      <c r="DE12" s="138"/>
      <c r="DF12" s="50" t="str">
        <f>IF($DF$10,_xll.RtContribute("DTSIMI1",CY12,$DA$10:$DC$10,DA12:DC12,"SCOPE:SERVER"),"-")</f>
        <v>-</v>
      </c>
      <c r="DG12" s="18"/>
      <c r="DH12" s="134" t="str">
        <f>IF($DF$10,_xll.RtGet($DB$4,CY12,$DA$10),"-")</f>
        <v>-</v>
      </c>
      <c r="DI12" s="139" t="str">
        <f>IF($DF$10,_xll.RtGet($DB$4,CY12,$DB$10),"-")</f>
        <v>-</v>
      </c>
      <c r="DJ12" s="140" t="str">
        <f>IF($DF$10,_xll.RtGet($DB$4,CY12,$DC$10),"-")</f>
        <v>-</v>
      </c>
      <c r="DK12" s="18"/>
      <c r="DL12" s="16"/>
      <c r="DM12" s="16"/>
      <c r="DN12" s="16"/>
      <c r="DO12" s="16"/>
      <c r="DP12" s="16"/>
      <c r="DQ12" s="14"/>
    </row>
    <row r="13" spans="1:121" x14ac:dyDescent="0.2">
      <c r="A13" s="21"/>
      <c r="B13" s="19"/>
      <c r="C13" s="19"/>
      <c r="D13" s="16"/>
      <c r="E13" s="42" t="b">
        <v>1</v>
      </c>
      <c r="F13" s="112" t="str">
        <f t="shared" si="0"/>
        <v>5M</v>
      </c>
      <c r="G13" s="18">
        <v>5</v>
      </c>
      <c r="H13" s="18" t="s">
        <v>65</v>
      </c>
      <c r="I13" s="69">
        <f t="shared" si="1"/>
        <v>-0.25</v>
      </c>
      <c r="J13" s="70"/>
      <c r="K13" s="71"/>
      <c r="L13" s="72">
        <f t="shared" si="2"/>
        <v>-0.25</v>
      </c>
      <c r="M13" s="73">
        <f t="shared" si="4"/>
        <v>11</v>
      </c>
      <c r="N13" s="74">
        <f t="shared" si="3"/>
        <v>11</v>
      </c>
      <c r="O13" s="73">
        <f t="shared" si="5"/>
        <v>11</v>
      </c>
      <c r="P13" s="74">
        <f t="shared" si="6"/>
        <v>11</v>
      </c>
      <c r="Q13" s="73">
        <f t="shared" si="7"/>
        <v>5</v>
      </c>
      <c r="R13" s="18" t="str">
        <f t="shared" si="8"/>
        <v>m</v>
      </c>
      <c r="S13" s="72">
        <f t="shared" si="9"/>
        <v>-0.25</v>
      </c>
      <c r="T13" s="16"/>
      <c r="U13" s="87">
        <v>42849</v>
      </c>
      <c r="V13" s="88">
        <v>1.0008253703620993</v>
      </c>
      <c r="W13" s="19"/>
      <c r="X13" s="77" t="s">
        <v>85</v>
      </c>
      <c r="Y13" s="78">
        <f>_xll.RtGet($AC$3,$AC$4&amp;$X13&amp;$AC$5,Y$2)</f>
        <v>-0.25</v>
      </c>
      <c r="Z13" s="79">
        <f>_xll.RtGet($AC$3,$AC$4&amp;$X13&amp;$AC$5,Z$2)</f>
        <v>-0.25</v>
      </c>
      <c r="AA13" s="19"/>
      <c r="AB13" s="19"/>
      <c r="AC13" s="19"/>
      <c r="AD13" s="19"/>
      <c r="AE13" s="19"/>
      <c r="AF13" s="19"/>
      <c r="AG13" s="19"/>
      <c r="AH13" s="19"/>
      <c r="AI13" s="30"/>
      <c r="AJ13" s="56" t="str">
        <f>IF(AND(LEN(AQ13)&gt;0,AS13&gt;0),_xll.xlShmInterpDisc(curveName,AQ13)+0*TYPE($V$4),"")</f>
        <v/>
      </c>
      <c r="AK13" s="57" t="str">
        <f>IF(AND(LEN(AQ13)&gt;0,AS13&gt;0),100*_xll.xlShmInterpRate(curveName,2,5,AQ13)+0*TYPE($V$4),"")</f>
        <v/>
      </c>
      <c r="AL13" s="57" t="str">
        <f t="shared" si="10"/>
        <v/>
      </c>
      <c r="AM13" s="58" t="str">
        <f t="shared" si="11"/>
        <v/>
      </c>
      <c r="AN13" s="59"/>
      <c r="AO13" s="60"/>
      <c r="AP13" s="59"/>
      <c r="AQ13" s="60"/>
      <c r="AR13" s="59"/>
      <c r="AS13" s="61"/>
      <c r="AT13" s="62"/>
      <c r="AU13" s="59"/>
      <c r="AV13" s="59"/>
      <c r="AW13" s="59"/>
      <c r="AX13" s="59"/>
      <c r="AY13" s="63"/>
      <c r="AZ13" s="64"/>
      <c r="BA13" s="15"/>
      <c r="BB13" s="141" t="s">
        <v>86</v>
      </c>
      <c r="BC13" s="141">
        <f>VLOOKUP(BC7,AE3:AF12,2)</f>
        <v>5</v>
      </c>
      <c r="BD13" s="16"/>
      <c r="BE13" s="83" t="b">
        <v>1</v>
      </c>
      <c r="BF13" s="115" t="str">
        <f t="shared" si="25"/>
        <v>5M</v>
      </c>
      <c r="BG13" s="73">
        <f t="shared" si="13"/>
        <v>5</v>
      </c>
      <c r="BH13" s="74" t="s">
        <v>65</v>
      </c>
      <c r="BI13" s="69">
        <f t="shared" si="26"/>
        <v>-0.35335213700000001</v>
      </c>
      <c r="BJ13" s="70"/>
      <c r="BK13" s="71"/>
      <c r="BL13" s="72">
        <f t="shared" si="15"/>
        <v>-0.35335213700000001</v>
      </c>
      <c r="BM13" s="73">
        <f t="shared" si="23"/>
        <v>11</v>
      </c>
      <c r="BN13" s="74">
        <f t="shared" si="16"/>
        <v>11</v>
      </c>
      <c r="BO13" s="73">
        <f t="shared" si="24"/>
        <v>11</v>
      </c>
      <c r="BP13" s="74">
        <f t="shared" si="17"/>
        <v>11</v>
      </c>
      <c r="BQ13" s="73">
        <f t="shared" si="18"/>
        <v>5</v>
      </c>
      <c r="BR13" s="18" t="str">
        <f t="shared" si="19"/>
        <v>m</v>
      </c>
      <c r="BS13" s="72">
        <f t="shared" si="20"/>
        <v>-0.35335213700000001</v>
      </c>
      <c r="BT13" s="16"/>
      <c r="BU13" s="92" t="str">
        <v>-</v>
      </c>
      <c r="BV13" s="88" t="str">
        <v>-</v>
      </c>
      <c r="BW13" s="19"/>
      <c r="BX13" s="116" t="s">
        <v>77</v>
      </c>
      <c r="BY13" s="78">
        <f>_xll.RtGet($CC$7,$CC$8&amp;BX13&amp;$CC$9,$BY$7)</f>
        <v>-0.35256684200000005</v>
      </c>
      <c r="BZ13" s="79">
        <f>_xll.RtGet($CC$7,$CC$8&amp;BX13&amp;$CC$9,$BZ$7)</f>
        <v>-0.35256684200000005</v>
      </c>
      <c r="CA13" s="19"/>
      <c r="CB13" s="19"/>
      <c r="CC13" s="19"/>
      <c r="CD13" s="16"/>
      <c r="CE13" s="56" t="str">
        <f>IF(AND(LEN(CL13)&gt;0,CN13&gt;0),_xll.xlShmInterpDisc(curveName,CL13)+0*TYPE($V$4),"")</f>
        <v/>
      </c>
      <c r="CF13" s="57" t="str">
        <f>IF(AND(LEN(CL13)&gt;0,CN13&gt;0),100*_xll.xlShmInterpRate(curveName,2,5,CL13)+0*TYPE($V$4),"")</f>
        <v/>
      </c>
      <c r="CG13" s="57" t="str">
        <f t="shared" si="21"/>
        <v/>
      </c>
      <c r="CH13" s="58" t="str">
        <f t="shared" si="22"/>
        <v/>
      </c>
      <c r="CI13" s="59"/>
      <c r="CJ13" s="60"/>
      <c r="CK13" s="59"/>
      <c r="CL13" s="60"/>
      <c r="CM13" s="59"/>
      <c r="CN13" s="61"/>
      <c r="CO13" s="62"/>
      <c r="CP13" s="59"/>
      <c r="CQ13" s="59"/>
      <c r="CR13" s="59"/>
      <c r="CS13" s="59"/>
      <c r="CT13" s="63"/>
      <c r="CU13" s="14"/>
      <c r="CV13" s="15"/>
      <c r="CW13" s="16"/>
      <c r="CX13" s="77" t="s">
        <v>30</v>
      </c>
      <c r="CY13" s="133" t="str">
        <f t="shared" ref="CY13:CY40" si="27">$DB$5&amp;CX13&amp;IF(RIGHT(CX13,1)="Y",$DB$7,$DB$6)</f>
        <v>EURFXTNDDF=</v>
      </c>
      <c r="CZ13" s="16"/>
      <c r="DA13" s="142">
        <f>_xll.xlDateSettle(Calendar,DA12,1)</f>
        <v>42758</v>
      </c>
      <c r="DB13" s="137">
        <f>_xll.xlShmInterpDisc("EUR",DA13+0*TYPE(disc_refresh))</f>
        <v>1.0000411124816018</v>
      </c>
      <c r="DC13" s="143">
        <f t="shared" ref="DC13:DC40" si="28">DB13</f>
        <v>1.0000411124816018</v>
      </c>
      <c r="DD13" s="137"/>
      <c r="DE13" s="21"/>
      <c r="DF13" s="74" t="str">
        <f>IF($DF$10,_xll.RtContribute("DTSIMI1",CY13,$DA$10:$DC$10,DA13:DC13,"SCOPE:SERVER"),"-")</f>
        <v>-</v>
      </c>
      <c r="DG13" s="18"/>
      <c r="DH13" s="142" t="str">
        <f>IF($DF$10,_xll.RtGet($DB$4,CY13,$DA$10),"-")</f>
        <v>-</v>
      </c>
      <c r="DI13" s="144" t="str">
        <f>IF($DF$10,_xll.RtGet($DB$4,CY13,$DB$10),"-")</f>
        <v>-</v>
      </c>
      <c r="DJ13" s="145" t="str">
        <f>IF($DF$10,_xll.RtGet($DB$4,CY13,$DC$10),"-")</f>
        <v>-</v>
      </c>
      <c r="DK13" s="18"/>
      <c r="DL13" s="16"/>
      <c r="DM13" s="16"/>
      <c r="DN13" s="16"/>
      <c r="DO13" s="16"/>
      <c r="DP13" s="16"/>
      <c r="DQ13" s="14"/>
    </row>
    <row r="14" spans="1:121" x14ac:dyDescent="0.2">
      <c r="A14" s="21"/>
      <c r="B14" s="19"/>
      <c r="C14" s="19"/>
      <c r="D14" s="19"/>
      <c r="E14" s="42" t="b">
        <v>1</v>
      </c>
      <c r="F14" s="112" t="str">
        <f t="shared" si="0"/>
        <v>6M</v>
      </c>
      <c r="G14" s="18">
        <v>6</v>
      </c>
      <c r="H14" s="18" t="s">
        <v>65</v>
      </c>
      <c r="I14" s="69">
        <f t="shared" si="1"/>
        <v>-0.22</v>
      </c>
      <c r="J14" s="70"/>
      <c r="K14" s="71"/>
      <c r="L14" s="72">
        <f t="shared" si="2"/>
        <v>-0.22</v>
      </c>
      <c r="M14" s="73">
        <f t="shared" si="4"/>
        <v>12</v>
      </c>
      <c r="N14" s="74">
        <f t="shared" si="3"/>
        <v>12</v>
      </c>
      <c r="O14" s="73">
        <f t="shared" si="5"/>
        <v>12</v>
      </c>
      <c r="P14" s="74">
        <f t="shared" si="6"/>
        <v>12</v>
      </c>
      <c r="Q14" s="73">
        <f t="shared" si="7"/>
        <v>6</v>
      </c>
      <c r="R14" s="18" t="str">
        <f t="shared" si="8"/>
        <v>m</v>
      </c>
      <c r="S14" s="72">
        <f t="shared" si="9"/>
        <v>-0.22</v>
      </c>
      <c r="T14" s="16"/>
      <c r="U14" s="87">
        <v>42878</v>
      </c>
      <c r="V14" s="88">
        <v>1.0009753561473393</v>
      </c>
      <c r="W14" s="19"/>
      <c r="X14" s="77" t="s">
        <v>87</v>
      </c>
      <c r="Y14" s="78">
        <f>_xll.RtGet($AC$3,$AC$4&amp;$X14&amp;$AC$5,Y$2)</f>
        <v>-0.22</v>
      </c>
      <c r="Z14" s="79">
        <f>_xll.RtGet($AC$3,$AC$4&amp;$X14&amp;$AC$5,Z$2)</f>
        <v>-0.22</v>
      </c>
      <c r="AA14" s="19"/>
      <c r="AB14" s="19"/>
      <c r="AC14" s="19"/>
      <c r="AD14" s="19"/>
      <c r="AE14" s="27" t="s">
        <v>88</v>
      </c>
      <c r="AF14" s="28"/>
      <c r="AG14" s="19"/>
      <c r="AH14" s="29" t="s">
        <v>89</v>
      </c>
      <c r="AI14" s="30"/>
      <c r="AJ14" s="56" t="str">
        <f>IF(AND(LEN(AQ14)&gt;0,AS14&gt;0),_xll.xlShmInterpDisc(curveName,AQ14)+0*TYPE($V$4),"")</f>
        <v/>
      </c>
      <c r="AK14" s="57" t="str">
        <f>IF(AND(LEN(AQ14)&gt;0,AS14&gt;0),100*_xll.xlShmInterpRate(curveName,2,5,AQ14)+0*TYPE($V$4),"")</f>
        <v/>
      </c>
      <c r="AL14" s="57" t="str">
        <f t="shared" si="10"/>
        <v/>
      </c>
      <c r="AM14" s="58" t="str">
        <f t="shared" si="11"/>
        <v/>
      </c>
      <c r="AN14" s="59"/>
      <c r="AO14" s="60"/>
      <c r="AP14" s="59"/>
      <c r="AQ14" s="60"/>
      <c r="AR14" s="59"/>
      <c r="AS14" s="61"/>
      <c r="AT14" s="62"/>
      <c r="AU14" s="59"/>
      <c r="AV14" s="59"/>
      <c r="AW14" s="59"/>
      <c r="AX14" s="59"/>
      <c r="AY14" s="63"/>
      <c r="AZ14" s="64"/>
      <c r="BA14" s="15"/>
      <c r="BB14" s="19"/>
      <c r="BC14" s="19"/>
      <c r="BD14" s="19"/>
      <c r="BE14" s="83" t="b">
        <v>1</v>
      </c>
      <c r="BF14" s="115" t="str">
        <f t="shared" si="25"/>
        <v>6M</v>
      </c>
      <c r="BG14" s="73">
        <f t="shared" si="13"/>
        <v>6</v>
      </c>
      <c r="BH14" s="74" t="s">
        <v>65</v>
      </c>
      <c r="BI14" s="69">
        <f t="shared" si="26"/>
        <v>-0.35352412900000002</v>
      </c>
      <c r="BJ14" s="70"/>
      <c r="BK14" s="71"/>
      <c r="BL14" s="72">
        <f t="shared" si="15"/>
        <v>-0.35352412900000002</v>
      </c>
      <c r="BM14" s="73">
        <f t="shared" si="23"/>
        <v>12</v>
      </c>
      <c r="BN14" s="74">
        <f t="shared" si="16"/>
        <v>12</v>
      </c>
      <c r="BO14" s="73">
        <f t="shared" si="24"/>
        <v>12</v>
      </c>
      <c r="BP14" s="74">
        <f t="shared" si="17"/>
        <v>12</v>
      </c>
      <c r="BQ14" s="73">
        <f t="shared" si="18"/>
        <v>6</v>
      </c>
      <c r="BR14" s="18" t="str">
        <f t="shared" si="19"/>
        <v>m</v>
      </c>
      <c r="BS14" s="72">
        <f t="shared" si="20"/>
        <v>-0.35352412900000002</v>
      </c>
      <c r="BT14" s="16"/>
      <c r="BU14" s="92" t="str">
        <v>-</v>
      </c>
      <c r="BV14" s="88" t="str">
        <v>-</v>
      </c>
      <c r="BW14" s="19"/>
      <c r="BX14" s="116" t="s">
        <v>82</v>
      </c>
      <c r="BY14" s="78">
        <f>_xll.RtGet($CC$7,$CC$8&amp;BX14&amp;$CC$9,$BY$7)</f>
        <v>-0.35289332500000004</v>
      </c>
      <c r="BZ14" s="79">
        <f>_xll.RtGet($CC$7,$CC$8&amp;BX14&amp;$CC$9,$BZ$7)</f>
        <v>-0.35289332500000004</v>
      </c>
      <c r="CA14" s="19"/>
      <c r="CB14" s="19"/>
      <c r="CC14" s="19"/>
      <c r="CD14" s="16"/>
      <c r="CE14" s="56" t="str">
        <f>IF(AND(LEN(CL14)&gt;0,CN14&gt;0),_xll.xlShmInterpDisc(curveName,CL14)+0*TYPE($V$4),"")</f>
        <v/>
      </c>
      <c r="CF14" s="57" t="str">
        <f>IF(AND(LEN(CL14)&gt;0,CN14&gt;0),100*_xll.xlShmInterpRate(curveName,2,5,CL14)+0*TYPE($V$4),"")</f>
        <v/>
      </c>
      <c r="CG14" s="57" t="str">
        <f t="shared" si="21"/>
        <v/>
      </c>
      <c r="CH14" s="58" t="str">
        <f t="shared" si="22"/>
        <v/>
      </c>
      <c r="CI14" s="59"/>
      <c r="CJ14" s="60"/>
      <c r="CK14" s="59"/>
      <c r="CL14" s="60"/>
      <c r="CM14" s="59"/>
      <c r="CN14" s="61"/>
      <c r="CO14" s="62"/>
      <c r="CP14" s="59"/>
      <c r="CQ14" s="59"/>
      <c r="CR14" s="59"/>
      <c r="CS14" s="59"/>
      <c r="CT14" s="63"/>
      <c r="CU14" s="14"/>
      <c r="CV14" s="15"/>
      <c r="CW14" s="16"/>
      <c r="CX14" s="77" t="s">
        <v>41</v>
      </c>
      <c r="CY14" s="133" t="str">
        <f t="shared" si="27"/>
        <v>EURFXSNDDF=</v>
      </c>
      <c r="CZ14" s="16"/>
      <c r="DA14" s="142">
        <f>_xll.xlDateSettle(Calendar,DA13,1)</f>
        <v>42759</v>
      </c>
      <c r="DB14" s="137">
        <f>_xll.xlShmInterpDisc("EUR",DA14+0*TYPE(disc_refresh))</f>
        <v>1.0000513907875628</v>
      </c>
      <c r="DC14" s="143">
        <f t="shared" si="28"/>
        <v>1.0000513907875628</v>
      </c>
      <c r="DD14" s="137"/>
      <c r="DE14" s="21"/>
      <c r="DF14" s="74" t="str">
        <f>IF($DF$10,_xll.RtContribute("DTSIMI1",CY14,$DA$10:$DC$10,DA14:DC14,"SCOPE:SERVER"),"-")</f>
        <v>-</v>
      </c>
      <c r="DG14" s="18"/>
      <c r="DH14" s="142" t="str">
        <f>IF($DF$10,_xll.RtGet($DB$4,CY14,$DA$10),"-")</f>
        <v>-</v>
      </c>
      <c r="DI14" s="144" t="str">
        <f>IF($DF$10,_xll.RtGet($DB$4,CY14,$DB$10),"-")</f>
        <v>-</v>
      </c>
      <c r="DJ14" s="145" t="str">
        <f>IF($DF$10,_xll.RtGet($DB$4,CY14,$DC$10),"-")</f>
        <v>-</v>
      </c>
      <c r="DK14" s="18"/>
      <c r="DL14" s="16"/>
      <c r="DM14" s="16"/>
      <c r="DN14" s="16"/>
      <c r="DO14" s="16"/>
      <c r="DP14" s="16"/>
      <c r="DQ14" s="14"/>
    </row>
    <row r="15" spans="1:121" x14ac:dyDescent="0.2">
      <c r="A15" s="21"/>
      <c r="B15" s="19"/>
      <c r="C15" s="19"/>
      <c r="D15" s="19"/>
      <c r="E15" s="42" t="b">
        <v>1</v>
      </c>
      <c r="F15" s="112" t="str">
        <f t="shared" si="0"/>
        <v>7M</v>
      </c>
      <c r="G15" s="18">
        <v>7</v>
      </c>
      <c r="H15" s="18" t="s">
        <v>65</v>
      </c>
      <c r="I15" s="69">
        <f t="shared" si="1"/>
        <v>-0.19</v>
      </c>
      <c r="J15" s="70"/>
      <c r="K15" s="71"/>
      <c r="L15" s="72">
        <f t="shared" si="2"/>
        <v>-0.19</v>
      </c>
      <c r="M15" s="73">
        <f t="shared" si="4"/>
        <v>13</v>
      </c>
      <c r="N15" s="74">
        <f t="shared" si="3"/>
        <v>13</v>
      </c>
      <c r="O15" s="73">
        <f t="shared" si="5"/>
        <v>13</v>
      </c>
      <c r="P15" s="74">
        <f t="shared" si="6"/>
        <v>13</v>
      </c>
      <c r="Q15" s="73">
        <f t="shared" si="7"/>
        <v>7</v>
      </c>
      <c r="R15" s="18" t="str">
        <f t="shared" si="8"/>
        <v>m</v>
      </c>
      <c r="S15" s="72">
        <f t="shared" si="9"/>
        <v>-0.19</v>
      </c>
      <c r="T15" s="16"/>
      <c r="U15" s="87">
        <v>42909</v>
      </c>
      <c r="V15" s="88">
        <v>1.001090867488482</v>
      </c>
      <c r="W15" s="19"/>
      <c r="X15" s="77" t="s">
        <v>90</v>
      </c>
      <c r="Y15" s="78">
        <f>_xll.RtGet($AC$3,$AC$4&amp;$X15&amp;$AC$5,Y$2)</f>
        <v>-0.19</v>
      </c>
      <c r="Z15" s="79">
        <f>_xll.RtGet($AC$3,$AC$4&amp;$X15&amp;$AC$5,Z$2)</f>
        <v>-0.19</v>
      </c>
      <c r="AA15" s="19"/>
      <c r="AB15" s="19"/>
      <c r="AC15" s="19"/>
      <c r="AD15" s="19"/>
      <c r="AE15" s="55" t="s">
        <v>91</v>
      </c>
      <c r="AF15" s="55">
        <v>0</v>
      </c>
      <c r="AG15" s="19"/>
      <c r="AH15" s="55" t="s">
        <v>52</v>
      </c>
      <c r="AI15" s="30"/>
      <c r="AJ15" s="56" t="str">
        <f>IF(AND(LEN(AQ15)&gt;0,AS15&gt;0),_xll.xlShmInterpDisc(curveName,AQ15)+0*TYPE($V$4),"")</f>
        <v/>
      </c>
      <c r="AK15" s="57" t="str">
        <f>IF(AND(LEN(AQ15)&gt;0,AS15&gt;0),100*_xll.xlShmInterpRate(curveName,2,5,AQ15)+0*TYPE($V$4),"")</f>
        <v/>
      </c>
      <c r="AL15" s="57" t="str">
        <f t="shared" si="10"/>
        <v/>
      </c>
      <c r="AM15" s="58" t="str">
        <f t="shared" si="11"/>
        <v/>
      </c>
      <c r="AN15" s="59"/>
      <c r="AO15" s="60"/>
      <c r="AP15" s="59"/>
      <c r="AQ15" s="60"/>
      <c r="AR15" s="60"/>
      <c r="AS15" s="61"/>
      <c r="AT15" s="62"/>
      <c r="AU15" s="59"/>
      <c r="AV15" s="59"/>
      <c r="AW15" s="59"/>
      <c r="AX15" s="59"/>
      <c r="AY15" s="63"/>
      <c r="AZ15" s="64"/>
      <c r="BA15" s="15"/>
      <c r="BB15" s="19"/>
      <c r="BC15" s="19"/>
      <c r="BD15" s="19"/>
      <c r="BE15" s="83" t="b">
        <v>1</v>
      </c>
      <c r="BF15" s="115" t="str">
        <f t="shared" si="25"/>
        <v>7M</v>
      </c>
      <c r="BG15" s="73">
        <f t="shared" si="13"/>
        <v>7</v>
      </c>
      <c r="BH15" s="74" t="s">
        <v>65</v>
      </c>
      <c r="BI15" s="69">
        <f t="shared" si="26"/>
        <v>-0.35356379900000001</v>
      </c>
      <c r="BJ15" s="70"/>
      <c r="BK15" s="71"/>
      <c r="BL15" s="72">
        <f t="shared" si="15"/>
        <v>-0.35356379900000001</v>
      </c>
      <c r="BM15" s="73">
        <f t="shared" si="23"/>
        <v>13</v>
      </c>
      <c r="BN15" s="74">
        <f t="shared" si="16"/>
        <v>13</v>
      </c>
      <c r="BO15" s="73">
        <f t="shared" si="24"/>
        <v>13</v>
      </c>
      <c r="BP15" s="74">
        <f t="shared" si="17"/>
        <v>13</v>
      </c>
      <c r="BQ15" s="73">
        <f t="shared" si="18"/>
        <v>7</v>
      </c>
      <c r="BR15" s="18" t="str">
        <f t="shared" si="19"/>
        <v>m</v>
      </c>
      <c r="BS15" s="72">
        <f t="shared" si="20"/>
        <v>-0.35356379900000001</v>
      </c>
      <c r="BT15" s="16"/>
      <c r="BU15" s="92" t="str">
        <v>-</v>
      </c>
      <c r="BV15" s="88" t="str">
        <v>-</v>
      </c>
      <c r="BW15" s="19"/>
      <c r="BX15" s="116" t="s">
        <v>85</v>
      </c>
      <c r="BY15" s="78">
        <f>_xll.RtGet($CC$7,$CC$8&amp;BX15&amp;$CC$9,$BY$7)</f>
        <v>-0.35335213700000001</v>
      </c>
      <c r="BZ15" s="79">
        <f>_xll.RtGet($CC$7,$CC$8&amp;BX15&amp;$CC$9,$BZ$7)</f>
        <v>-0.35335213700000001</v>
      </c>
      <c r="CA15" s="19"/>
      <c r="CB15" s="19"/>
      <c r="CC15" s="19"/>
      <c r="CD15" s="16"/>
      <c r="CE15" s="56" t="str">
        <f>IF(AND(LEN(CL15)&gt;0,CN15&gt;0),_xll.xlShmInterpDisc(curveName,CL15)+0*TYPE($V$4),"")</f>
        <v/>
      </c>
      <c r="CF15" s="57" t="str">
        <f>IF(AND(LEN(CL15)&gt;0,CN15&gt;0),100*_xll.xlShmInterpRate(curveName,2,5,CL15)+0*TYPE($V$4),"")</f>
        <v/>
      </c>
      <c r="CG15" s="57" t="str">
        <f t="shared" si="21"/>
        <v/>
      </c>
      <c r="CH15" s="58" t="str">
        <f t="shared" si="22"/>
        <v/>
      </c>
      <c r="CI15" s="59"/>
      <c r="CJ15" s="60"/>
      <c r="CK15" s="59"/>
      <c r="CL15" s="60"/>
      <c r="CM15" s="60"/>
      <c r="CN15" s="61"/>
      <c r="CO15" s="62"/>
      <c r="CP15" s="59"/>
      <c r="CQ15" s="59"/>
      <c r="CR15" s="59"/>
      <c r="CS15" s="59"/>
      <c r="CT15" s="63"/>
      <c r="CU15" s="14"/>
      <c r="CV15" s="15"/>
      <c r="CW15" s="16"/>
      <c r="CX15" s="77" t="s">
        <v>92</v>
      </c>
      <c r="CY15" s="133" t="str">
        <f t="shared" si="27"/>
        <v>EURFX1WDDF=</v>
      </c>
      <c r="CZ15" s="16"/>
      <c r="DA15" s="142">
        <f>_xll.xlDateWorkFw(Calendar,Settlement+7,0)</f>
        <v>42765</v>
      </c>
      <c r="DB15" s="137">
        <f>_xll.xlShmInterpDisc("EUR",DA15+0*TYPE(disc_refresh))</f>
        <v>1.0001130650604493</v>
      </c>
      <c r="DC15" s="143">
        <f t="shared" si="28"/>
        <v>1.0001130650604493</v>
      </c>
      <c r="DD15" s="137"/>
      <c r="DE15" s="21"/>
      <c r="DF15" s="74" t="str">
        <f>IF($DF$10,_xll.RtContribute("DTSIMI1",CY15,$DA$10:$DC$10,DA15:DC15,"SCOPE:SERVER"),"-")</f>
        <v>-</v>
      </c>
      <c r="DG15" s="18"/>
      <c r="DH15" s="142" t="str">
        <f>IF($DF$10,_xll.RtGet($DB$4,CY15,$DA$10),"-")</f>
        <v>-</v>
      </c>
      <c r="DI15" s="144" t="str">
        <f>IF($DF$10,_xll.RtGet($DB$4,CY15,$DB$10),"-")</f>
        <v>-</v>
      </c>
      <c r="DJ15" s="145" t="str">
        <f>IF($DF$10,_xll.RtGet($DB$4,CY15,$DC$10),"-")</f>
        <v>-</v>
      </c>
      <c r="DK15" s="18"/>
      <c r="DL15" s="16"/>
      <c r="DM15" s="16"/>
      <c r="DN15" s="16"/>
      <c r="DO15" s="16"/>
      <c r="DP15" s="16"/>
      <c r="DQ15" s="14"/>
    </row>
    <row r="16" spans="1:121" x14ac:dyDescent="0.2">
      <c r="A16" s="21"/>
      <c r="B16" s="19"/>
      <c r="C16" s="19"/>
      <c r="D16" s="19"/>
      <c r="E16" s="42" t="b">
        <v>1</v>
      </c>
      <c r="F16" s="112" t="str">
        <f t="shared" si="0"/>
        <v>8M</v>
      </c>
      <c r="G16" s="18">
        <v>8</v>
      </c>
      <c r="H16" s="18" t="s">
        <v>65</v>
      </c>
      <c r="I16" s="69">
        <f t="shared" si="1"/>
        <v>-0.16</v>
      </c>
      <c r="J16" s="70"/>
      <c r="K16" s="71"/>
      <c r="L16" s="72">
        <f t="shared" si="2"/>
        <v>-0.16</v>
      </c>
      <c r="M16" s="73">
        <f t="shared" si="4"/>
        <v>14</v>
      </c>
      <c r="N16" s="74">
        <f t="shared" si="3"/>
        <v>14</v>
      </c>
      <c r="O16" s="73">
        <f t="shared" si="5"/>
        <v>14</v>
      </c>
      <c r="P16" s="74">
        <f t="shared" si="6"/>
        <v>14</v>
      </c>
      <c r="Q16" s="73">
        <f t="shared" si="7"/>
        <v>8</v>
      </c>
      <c r="R16" s="18" t="str">
        <f t="shared" si="8"/>
        <v>m</v>
      </c>
      <c r="S16" s="72">
        <f t="shared" si="9"/>
        <v>-0.16</v>
      </c>
      <c r="T16" s="16"/>
      <c r="U16" s="87">
        <v>42940</v>
      </c>
      <c r="V16" s="88">
        <v>1.0011546188966192</v>
      </c>
      <c r="W16" s="19"/>
      <c r="X16" s="77" t="s">
        <v>93</v>
      </c>
      <c r="Y16" s="78">
        <f>_xll.RtGet($AC$3,$AC$4&amp;$X16&amp;$AC$5,Y$2)</f>
        <v>-0.16</v>
      </c>
      <c r="Z16" s="79">
        <f>_xll.RtGet($AC$3,$AC$4&amp;$X16&amp;$AC$5,Z$2)</f>
        <v>-0.16</v>
      </c>
      <c r="AA16" s="19"/>
      <c r="AB16" s="19"/>
      <c r="AC16" s="19"/>
      <c r="AD16" s="19"/>
      <c r="AE16" s="80" t="s">
        <v>94</v>
      </c>
      <c r="AF16" s="80">
        <v>1</v>
      </c>
      <c r="AG16" s="19"/>
      <c r="AH16" s="80" t="s">
        <v>95</v>
      </c>
      <c r="AI16" s="146"/>
      <c r="AJ16" s="56" t="str">
        <f>IF(AND(LEN(AQ16)&gt;0,AS16&gt;0),_xll.xlShmInterpDisc(curveName,AQ16)+0*TYPE($V$4),"")</f>
        <v/>
      </c>
      <c r="AK16" s="57" t="str">
        <f>IF(AND(LEN(AQ16)&gt;0,AS16&gt;0),100*_xll.xlShmInterpRate(curveName,2,5,AQ16)+0*TYPE($V$4),"")</f>
        <v/>
      </c>
      <c r="AL16" s="57" t="str">
        <f t="shared" si="10"/>
        <v/>
      </c>
      <c r="AM16" s="58" t="str">
        <f t="shared" si="11"/>
        <v/>
      </c>
      <c r="AN16" s="59"/>
      <c r="AO16" s="60"/>
      <c r="AP16" s="59"/>
      <c r="AQ16" s="60"/>
      <c r="AR16" s="60"/>
      <c r="AS16" s="61"/>
      <c r="AT16" s="62"/>
      <c r="AU16" s="59"/>
      <c r="AV16" s="59"/>
      <c r="AW16" s="59"/>
      <c r="AX16" s="59"/>
      <c r="AY16" s="63"/>
      <c r="AZ16" s="64"/>
      <c r="BA16" s="15"/>
      <c r="BB16" s="19"/>
      <c r="BC16" s="19"/>
      <c r="BD16" s="19"/>
      <c r="BE16" s="83" t="b">
        <v>1</v>
      </c>
      <c r="BF16" s="115" t="str">
        <f t="shared" si="25"/>
        <v>8M</v>
      </c>
      <c r="BG16" s="73">
        <f t="shared" si="13"/>
        <v>8</v>
      </c>
      <c r="BH16" s="74" t="s">
        <v>65</v>
      </c>
      <c r="BI16" s="69">
        <f t="shared" si="26"/>
        <v>-0.35339773200000002</v>
      </c>
      <c r="BJ16" s="70"/>
      <c r="BK16" s="71"/>
      <c r="BL16" s="72">
        <f t="shared" si="15"/>
        <v>-0.35339773200000002</v>
      </c>
      <c r="BM16" s="73">
        <f t="shared" si="23"/>
        <v>14</v>
      </c>
      <c r="BN16" s="74">
        <f t="shared" si="16"/>
        <v>14</v>
      </c>
      <c r="BO16" s="73">
        <f t="shared" si="24"/>
        <v>14</v>
      </c>
      <c r="BP16" s="74">
        <f t="shared" si="17"/>
        <v>14</v>
      </c>
      <c r="BQ16" s="73">
        <f t="shared" si="18"/>
        <v>8</v>
      </c>
      <c r="BR16" s="18" t="str">
        <f t="shared" si="19"/>
        <v>m</v>
      </c>
      <c r="BS16" s="72">
        <f t="shared" si="20"/>
        <v>-0.35339773200000002</v>
      </c>
      <c r="BT16" s="16"/>
      <c r="BU16" s="92" t="str">
        <v>-</v>
      </c>
      <c r="BV16" s="88" t="str">
        <v>-</v>
      </c>
      <c r="BW16" s="19"/>
      <c r="BX16" s="116" t="s">
        <v>87</v>
      </c>
      <c r="BY16" s="78">
        <f>_xll.RtGet($CC$7,$CC$8&amp;BX16&amp;$CC$9,$BY$7)</f>
        <v>-0.35352412900000002</v>
      </c>
      <c r="BZ16" s="79">
        <f>_xll.RtGet($CC$7,$CC$8&amp;BX16&amp;$CC$9,$BZ$7)</f>
        <v>-0.35352412900000002</v>
      </c>
      <c r="CA16" s="19"/>
      <c r="CB16" s="19"/>
      <c r="CC16" s="19"/>
      <c r="CD16" s="16"/>
      <c r="CE16" s="56" t="str">
        <f>IF(AND(LEN(CL16)&gt;0,CN16&gt;0),_xll.xlShmInterpDisc(curveName,CL16)+0*TYPE($V$4),"")</f>
        <v/>
      </c>
      <c r="CF16" s="57" t="str">
        <f>IF(AND(LEN(CL16)&gt;0,CN16&gt;0),100*_xll.xlShmInterpRate(curveName,2,5,CL16)+0*TYPE($V$4),"")</f>
        <v/>
      </c>
      <c r="CG16" s="57" t="str">
        <f t="shared" si="21"/>
        <v/>
      </c>
      <c r="CH16" s="58" t="str">
        <f t="shared" si="22"/>
        <v/>
      </c>
      <c r="CI16" s="59"/>
      <c r="CJ16" s="60"/>
      <c r="CK16" s="59"/>
      <c r="CL16" s="60"/>
      <c r="CM16" s="60"/>
      <c r="CN16" s="61"/>
      <c r="CO16" s="62"/>
      <c r="CP16" s="59"/>
      <c r="CQ16" s="59"/>
      <c r="CR16" s="59"/>
      <c r="CS16" s="59"/>
      <c r="CT16" s="63"/>
      <c r="CU16" s="14"/>
      <c r="CV16" s="15"/>
      <c r="CW16" s="16"/>
      <c r="CX16" s="77" t="s">
        <v>55</v>
      </c>
      <c r="CY16" s="133" t="str">
        <f t="shared" si="27"/>
        <v>EURFX2WDDF=</v>
      </c>
      <c r="CZ16" s="16"/>
      <c r="DA16" s="142">
        <f>_xll.xlDateWorkFw(Calendar,Settlement+14,0)</f>
        <v>42772</v>
      </c>
      <c r="DB16" s="137">
        <f>_xll.xlShmInterpDisc("EUR",DA16+0*TYPE(disc_refresh))</f>
        <v>1.0001811378408996</v>
      </c>
      <c r="DC16" s="143">
        <f t="shared" si="28"/>
        <v>1.0001811378408996</v>
      </c>
      <c r="DD16" s="137"/>
      <c r="DE16" s="21"/>
      <c r="DF16" s="74" t="str">
        <f>IF($DF$10,_xll.RtContribute("DTSIMI1",CY16,$DA$10:$DC$10,DA16:DC16,"SCOPE:SERVER"),"-")</f>
        <v>-</v>
      </c>
      <c r="DG16" s="18"/>
      <c r="DH16" s="142" t="str">
        <f>IF($DF$10,_xll.RtGet($DB$4,CY16,$DA$10),"-")</f>
        <v>-</v>
      </c>
      <c r="DI16" s="144" t="str">
        <f>IF($DF$10,_xll.RtGet($DB$4,CY16,$DB$10),"-")</f>
        <v>-</v>
      </c>
      <c r="DJ16" s="145" t="str">
        <f>IF($DF$10,_xll.RtGet($DB$4,CY16,$DC$10),"-")</f>
        <v>-</v>
      </c>
      <c r="DK16" s="18"/>
      <c r="DL16" s="16"/>
      <c r="DM16" s="16"/>
      <c r="DN16" s="16"/>
      <c r="DO16" s="16"/>
      <c r="DP16" s="16"/>
      <c r="DQ16" s="14"/>
    </row>
    <row r="17" spans="1:121" x14ac:dyDescent="0.2">
      <c r="A17" s="21"/>
      <c r="B17" s="19"/>
      <c r="C17" s="19"/>
      <c r="D17" s="19"/>
      <c r="E17" s="42" t="b">
        <v>1</v>
      </c>
      <c r="F17" s="112" t="str">
        <f t="shared" si="0"/>
        <v>9M</v>
      </c>
      <c r="G17" s="18">
        <v>9</v>
      </c>
      <c r="H17" s="18" t="s">
        <v>65</v>
      </c>
      <c r="I17" s="69">
        <f t="shared" si="1"/>
        <v>-0.13</v>
      </c>
      <c r="J17" s="70"/>
      <c r="K17" s="71"/>
      <c r="L17" s="72">
        <f t="shared" si="2"/>
        <v>-0.13</v>
      </c>
      <c r="M17" s="73">
        <f t="shared" si="4"/>
        <v>15</v>
      </c>
      <c r="N17" s="74">
        <f t="shared" si="3"/>
        <v>15</v>
      </c>
      <c r="O17" s="73">
        <f t="shared" si="5"/>
        <v>15</v>
      </c>
      <c r="P17" s="74">
        <f t="shared" si="6"/>
        <v>15</v>
      </c>
      <c r="Q17" s="73">
        <f t="shared" si="7"/>
        <v>9</v>
      </c>
      <c r="R17" s="18" t="str">
        <f t="shared" si="8"/>
        <v>m</v>
      </c>
      <c r="S17" s="72">
        <f t="shared" si="9"/>
        <v>-0.13</v>
      </c>
      <c r="T17" s="16"/>
      <c r="U17" s="87">
        <v>42970</v>
      </c>
      <c r="V17" s="88">
        <v>1.001161300736982</v>
      </c>
      <c r="W17" s="19"/>
      <c r="X17" s="77" t="s">
        <v>96</v>
      </c>
      <c r="Y17" s="78">
        <f>_xll.RtGet($AC$3,$AC$4&amp;$X17&amp;$AC$5,Y$2)</f>
        <v>-0.13</v>
      </c>
      <c r="Z17" s="79">
        <f>_xll.RtGet($AC$3,$AC$4&amp;$X17&amp;$AC$5,Z$2)</f>
        <v>-0.13</v>
      </c>
      <c r="AA17" s="19"/>
      <c r="AB17" s="19"/>
      <c r="AC17" s="19"/>
      <c r="AD17" s="19"/>
      <c r="AE17" s="80" t="s">
        <v>97</v>
      </c>
      <c r="AF17" s="80">
        <v>2</v>
      </c>
      <c r="AG17" s="19"/>
      <c r="AH17" s="99" t="s">
        <v>98</v>
      </c>
      <c r="AI17" s="146"/>
      <c r="AJ17" s="56" t="str">
        <f>IF(AND(LEN(AQ17)&gt;0,AS17&gt;0),_xll.xlShmInterpDisc(curveName,AQ17)+0*TYPE($V$4),"")</f>
        <v/>
      </c>
      <c r="AK17" s="57" t="str">
        <f>IF(AND(LEN(AQ17)&gt;0,AS17&gt;0),100*_xll.xlShmInterpRate(curveName,2,5,AQ17)+0*TYPE($V$4),"")</f>
        <v/>
      </c>
      <c r="AL17" s="57" t="str">
        <f t="shared" si="10"/>
        <v/>
      </c>
      <c r="AM17" s="58" t="str">
        <f t="shared" si="11"/>
        <v/>
      </c>
      <c r="AN17" s="59"/>
      <c r="AO17" s="60"/>
      <c r="AP17" s="59"/>
      <c r="AQ17" s="60"/>
      <c r="AR17" s="60"/>
      <c r="AS17" s="61"/>
      <c r="AT17" s="62"/>
      <c r="AU17" s="59"/>
      <c r="AV17" s="59"/>
      <c r="AW17" s="59"/>
      <c r="AX17" s="59"/>
      <c r="AY17" s="63"/>
      <c r="AZ17" s="64"/>
      <c r="BA17" s="15"/>
      <c r="BB17" s="19"/>
      <c r="BC17" s="19"/>
      <c r="BD17" s="19"/>
      <c r="BE17" s="83" t="b">
        <v>1</v>
      </c>
      <c r="BF17" s="115" t="str">
        <f t="shared" si="25"/>
        <v>9M</v>
      </c>
      <c r="BG17" s="73">
        <f t="shared" si="13"/>
        <v>9</v>
      </c>
      <c r="BH17" s="74" t="s">
        <v>65</v>
      </c>
      <c r="BI17" s="69">
        <f t="shared" si="26"/>
        <v>-0.353054918</v>
      </c>
      <c r="BJ17" s="70"/>
      <c r="BK17" s="71"/>
      <c r="BL17" s="72">
        <f t="shared" si="15"/>
        <v>-0.353054918</v>
      </c>
      <c r="BM17" s="73">
        <f t="shared" si="23"/>
        <v>15</v>
      </c>
      <c r="BN17" s="74">
        <f t="shared" si="16"/>
        <v>15</v>
      </c>
      <c r="BO17" s="73">
        <f t="shared" si="24"/>
        <v>15</v>
      </c>
      <c r="BP17" s="74">
        <f t="shared" si="17"/>
        <v>15</v>
      </c>
      <c r="BQ17" s="73">
        <f t="shared" si="18"/>
        <v>9</v>
      </c>
      <c r="BR17" s="18" t="str">
        <f t="shared" si="19"/>
        <v>m</v>
      </c>
      <c r="BS17" s="72">
        <f t="shared" si="20"/>
        <v>-0.353054918</v>
      </c>
      <c r="BT17" s="16"/>
      <c r="BU17" s="92" t="str">
        <v>-</v>
      </c>
      <c r="BV17" s="88" t="str">
        <v>-</v>
      </c>
      <c r="BW17" s="19"/>
      <c r="BX17" s="116" t="s">
        <v>90</v>
      </c>
      <c r="BY17" s="78">
        <f>_xll.RtGet($CC$7,$CC$8&amp;BX17&amp;$CC$9,$BY$7)</f>
        <v>-0.35356379900000001</v>
      </c>
      <c r="BZ17" s="79">
        <f>_xll.RtGet($CC$7,$CC$8&amp;BX17&amp;$CC$9,$BZ$7)</f>
        <v>-0.35356379900000001</v>
      </c>
      <c r="CA17" s="19"/>
      <c r="CB17" s="19"/>
      <c r="CC17" s="19"/>
      <c r="CD17" s="16"/>
      <c r="CE17" s="56" t="str">
        <f>IF(AND(LEN(CL17)&gt;0,CN17&gt;0),_xll.xlShmInterpDisc(curveName,CL17)+0*TYPE($V$4),"")</f>
        <v/>
      </c>
      <c r="CF17" s="57" t="str">
        <f>IF(AND(LEN(CL17)&gt;0,CN17&gt;0),100*_xll.xlShmInterpRate(curveName,2,5,CL17)+0*TYPE($V$4),"")</f>
        <v/>
      </c>
      <c r="CG17" s="57" t="str">
        <f t="shared" si="21"/>
        <v/>
      </c>
      <c r="CH17" s="58" t="str">
        <f t="shared" si="22"/>
        <v/>
      </c>
      <c r="CI17" s="59"/>
      <c r="CJ17" s="60"/>
      <c r="CK17" s="59"/>
      <c r="CL17" s="60"/>
      <c r="CM17" s="60"/>
      <c r="CN17" s="61"/>
      <c r="CO17" s="62"/>
      <c r="CP17" s="59"/>
      <c r="CQ17" s="59"/>
      <c r="CR17" s="59"/>
      <c r="CS17" s="59"/>
      <c r="CT17" s="63"/>
      <c r="CU17" s="14"/>
      <c r="CV17" s="15"/>
      <c r="CW17" s="16"/>
      <c r="CX17" s="77" t="s">
        <v>63</v>
      </c>
      <c r="CY17" s="133" t="str">
        <f t="shared" si="27"/>
        <v>EURFX3WDDF=</v>
      </c>
      <c r="CZ17" s="16"/>
      <c r="DA17" s="142">
        <f>_xll.xlDateWorkFw(Calendar,Settlement+21,0)</f>
        <v>42779</v>
      </c>
      <c r="DB17" s="137">
        <f>_xll.xlShmInterpDisc("EUR",DA17+0*TYPE(disc_refresh))</f>
        <v>1.0002511652262993</v>
      </c>
      <c r="DC17" s="143">
        <f t="shared" si="28"/>
        <v>1.0002511652262993</v>
      </c>
      <c r="DD17" s="137"/>
      <c r="DE17" s="21"/>
      <c r="DF17" s="74" t="str">
        <f>IF($DF$10,_xll.RtContribute("DTSIMI1",CY17,$DA$10:$DC$10,DA17:DC17,"SCOPE:SERVER"),"-")</f>
        <v>-</v>
      </c>
      <c r="DG17" s="18"/>
      <c r="DH17" s="142" t="str">
        <f>IF($DF$10,_xll.RtGet($DB$4,CY17,$DA$10),"-")</f>
        <v>-</v>
      </c>
      <c r="DI17" s="144" t="str">
        <f>IF($DF$10,_xll.RtGet($DB$4,CY17,$DB$10),"-")</f>
        <v>-</v>
      </c>
      <c r="DJ17" s="145" t="str">
        <f>IF($DF$10,_xll.RtGet($DB$4,CY17,$DC$10),"-")</f>
        <v>-</v>
      </c>
      <c r="DK17" s="18"/>
      <c r="DL17" s="16"/>
      <c r="DM17" s="16"/>
      <c r="DN17" s="16"/>
      <c r="DO17" s="16"/>
      <c r="DP17" s="16"/>
      <c r="DQ17" s="14"/>
    </row>
    <row r="18" spans="1:121" x14ac:dyDescent="0.2">
      <c r="A18" s="21"/>
      <c r="B18" s="19"/>
      <c r="C18" s="19"/>
      <c r="D18" s="19"/>
      <c r="E18" s="83" t="b">
        <v>0</v>
      </c>
      <c r="F18" s="112" t="str">
        <f t="shared" si="0"/>
        <v>10M</v>
      </c>
      <c r="G18" s="18">
        <v>10</v>
      </c>
      <c r="H18" s="18" t="s">
        <v>65</v>
      </c>
      <c r="I18" s="69">
        <f t="shared" si="1"/>
        <v>-0.11</v>
      </c>
      <c r="J18" s="70"/>
      <c r="K18" s="71"/>
      <c r="L18" s="72">
        <f t="shared" si="2"/>
        <v>-0.11</v>
      </c>
      <c r="M18" s="73">
        <f t="shared" si="4"/>
        <v>16</v>
      </c>
      <c r="N18" s="74" t="str">
        <f t="shared" si="3"/>
        <v/>
      </c>
      <c r="O18" s="73" t="str">
        <f t="shared" si="5"/>
        <v/>
      </c>
      <c r="P18" s="74" t="str">
        <f t="shared" si="6"/>
        <v/>
      </c>
      <c r="Q18" s="73" t="str">
        <f t="shared" si="7"/>
        <v/>
      </c>
      <c r="R18" s="18" t="str">
        <f t="shared" si="8"/>
        <v/>
      </c>
      <c r="S18" s="72" t="str">
        <f t="shared" si="9"/>
        <v/>
      </c>
      <c r="T18" s="16"/>
      <c r="U18" s="87">
        <v>42998</v>
      </c>
      <c r="V18" s="88">
        <v>1.0011393319942778</v>
      </c>
      <c r="W18" s="19"/>
      <c r="X18" s="77" t="s">
        <v>99</v>
      </c>
      <c r="Y18" s="78">
        <f>_xll.RtGet($AC$3,$AC$4&amp;$X18&amp;$AC$5,Y$2)</f>
        <v>-0.11</v>
      </c>
      <c r="Z18" s="79">
        <f>_xll.RtGet($AC$3,$AC$4&amp;$X18&amp;$AC$5,Z$2)</f>
        <v>-0.11</v>
      </c>
      <c r="AA18" s="19"/>
      <c r="AB18" s="19"/>
      <c r="AC18" s="19"/>
      <c r="AD18" s="19"/>
      <c r="AE18" s="99" t="s">
        <v>100</v>
      </c>
      <c r="AF18" s="99">
        <v>3</v>
      </c>
      <c r="AG18" s="19"/>
      <c r="AH18" s="19"/>
      <c r="AI18" s="146"/>
      <c r="AJ18" s="56" t="str">
        <f>IF(AND(LEN(AQ18)&gt;0,AS18&gt;0),_xll.xlShmInterpDisc(curveName,AQ18)+0*TYPE($V$4),"")</f>
        <v/>
      </c>
      <c r="AK18" s="57" t="str">
        <f>IF(AND(LEN(AQ18)&gt;0,AS18&gt;0),100*_xll.xlShmInterpRate(curveName,2,5,AQ18)+0*TYPE($V$4),"")</f>
        <v/>
      </c>
      <c r="AL18" s="57" t="str">
        <f t="shared" si="10"/>
        <v/>
      </c>
      <c r="AM18" s="58" t="str">
        <f t="shared" si="11"/>
        <v/>
      </c>
      <c r="AN18" s="59"/>
      <c r="AO18" s="60"/>
      <c r="AP18" s="59"/>
      <c r="AQ18" s="60"/>
      <c r="AR18" s="60"/>
      <c r="AS18" s="61"/>
      <c r="AT18" s="62"/>
      <c r="AU18" s="59"/>
      <c r="AV18" s="59"/>
      <c r="AW18" s="59"/>
      <c r="AX18" s="59"/>
      <c r="AY18" s="63"/>
      <c r="AZ18" s="64"/>
      <c r="BA18" s="15"/>
      <c r="BB18" s="19"/>
      <c r="BC18" s="19"/>
      <c r="BD18" s="19"/>
      <c r="BE18" s="83" t="b">
        <v>1</v>
      </c>
      <c r="BF18" s="115" t="str">
        <f t="shared" si="25"/>
        <v>10M</v>
      </c>
      <c r="BG18" s="73">
        <f t="shared" si="13"/>
        <v>10</v>
      </c>
      <c r="BH18" s="74" t="s">
        <v>65</v>
      </c>
      <c r="BI18" s="69">
        <f t="shared" si="26"/>
        <v>-0.35259119500000002</v>
      </c>
      <c r="BJ18" s="70"/>
      <c r="BK18" s="71"/>
      <c r="BL18" s="72">
        <f t="shared" si="15"/>
        <v>-0.35259119500000002</v>
      </c>
      <c r="BM18" s="73">
        <f t="shared" si="23"/>
        <v>16</v>
      </c>
      <c r="BN18" s="74">
        <f t="shared" si="16"/>
        <v>16</v>
      </c>
      <c r="BO18" s="73">
        <f t="shared" si="24"/>
        <v>16</v>
      </c>
      <c r="BP18" s="74">
        <f t="shared" si="17"/>
        <v>16</v>
      </c>
      <c r="BQ18" s="73">
        <f t="shared" si="18"/>
        <v>10</v>
      </c>
      <c r="BR18" s="18" t="str">
        <f t="shared" si="19"/>
        <v>m</v>
      </c>
      <c r="BS18" s="72">
        <f t="shared" si="20"/>
        <v>-0.35259119500000002</v>
      </c>
      <c r="BT18" s="16"/>
      <c r="BU18" s="92" t="str">
        <v>-</v>
      </c>
      <c r="BV18" s="88" t="str">
        <v>-</v>
      </c>
      <c r="BW18" s="19"/>
      <c r="BX18" s="116" t="s">
        <v>93</v>
      </c>
      <c r="BY18" s="78">
        <f>_xll.RtGet($CC$7,$CC$8&amp;BX18&amp;$CC$9,$BY$7)</f>
        <v>-0.35339773200000002</v>
      </c>
      <c r="BZ18" s="79">
        <f>_xll.RtGet($CC$7,$CC$8&amp;BX18&amp;$CC$9,$BZ$7)</f>
        <v>-0.35339773200000002</v>
      </c>
      <c r="CA18" s="19"/>
      <c r="CB18" s="19"/>
      <c r="CC18" s="19"/>
      <c r="CD18" s="16"/>
      <c r="CE18" s="56" t="str">
        <f>IF(AND(LEN(CL18)&gt;0,CN18&gt;0),_xll.xlShmInterpDisc(curveName,CL18)+0*TYPE($V$4),"")</f>
        <v/>
      </c>
      <c r="CF18" s="57" t="str">
        <f>IF(AND(LEN(CL18)&gt;0,CN18&gt;0),100*_xll.xlShmInterpRate(curveName,2,5,CL18)+0*TYPE($V$4),"")</f>
        <v/>
      </c>
      <c r="CG18" s="57" t="str">
        <f t="shared" si="21"/>
        <v/>
      </c>
      <c r="CH18" s="58" t="str">
        <f t="shared" si="22"/>
        <v/>
      </c>
      <c r="CI18" s="59"/>
      <c r="CJ18" s="60"/>
      <c r="CK18" s="59"/>
      <c r="CL18" s="60"/>
      <c r="CM18" s="60"/>
      <c r="CN18" s="61"/>
      <c r="CO18" s="62"/>
      <c r="CP18" s="59"/>
      <c r="CQ18" s="59"/>
      <c r="CR18" s="59"/>
      <c r="CS18" s="59"/>
      <c r="CT18" s="63"/>
      <c r="CU18" s="14"/>
      <c r="CV18" s="15"/>
      <c r="CW18" s="16"/>
      <c r="CX18" s="77" t="s">
        <v>66</v>
      </c>
      <c r="CY18" s="133" t="str">
        <f t="shared" si="27"/>
        <v>EURFX1MDDF=</v>
      </c>
      <c r="CZ18" s="16"/>
      <c r="DA18" s="142">
        <f>_xll.xlDateWorkFw(Calendar,VALUE(_xll.xlDateShiftMonth(VALUE(Settlement),LEFT(CX18,LEN(CX18)-1))),0)</f>
        <v>42789</v>
      </c>
      <c r="DB18" s="137">
        <f>_xll.xlShmInterpDisc("EUR",DA18+0*TYPE(disc_refresh))</f>
        <v>1.0003512213602235</v>
      </c>
      <c r="DC18" s="143">
        <f t="shared" si="28"/>
        <v>1.0003512213602235</v>
      </c>
      <c r="DD18" s="137"/>
      <c r="DE18" s="21"/>
      <c r="DF18" s="74" t="str">
        <f>IF($DF$10,_xll.RtContribute("DTSIMI1",CY18,$DA$10:$DC$10,DA18:DC18,"SCOPE:SERVER"),"-")</f>
        <v>-</v>
      </c>
      <c r="DG18" s="18"/>
      <c r="DH18" s="142" t="str">
        <f>IF($DF$10,_xll.RtGet($DB$4,CY18,$DA$10),"-")</f>
        <v>-</v>
      </c>
      <c r="DI18" s="144" t="str">
        <f>IF($DF$10,_xll.RtGet($DB$4,CY18,$DB$10),"-")</f>
        <v>-</v>
      </c>
      <c r="DJ18" s="145" t="str">
        <f>IF($DF$10,_xll.RtGet($DB$4,CY18,$DC$10),"-")</f>
        <v>-</v>
      </c>
      <c r="DK18" s="18"/>
      <c r="DL18" s="16"/>
      <c r="DM18" s="16"/>
      <c r="DN18" s="16"/>
      <c r="DO18" s="16"/>
      <c r="DP18" s="16"/>
      <c r="DQ18" s="14"/>
    </row>
    <row r="19" spans="1:121" x14ac:dyDescent="0.2">
      <c r="A19" s="21"/>
      <c r="B19" s="19"/>
      <c r="C19" s="19"/>
      <c r="D19" s="19"/>
      <c r="E19" s="147" t="b">
        <v>0</v>
      </c>
      <c r="F19" s="148" t="str">
        <f t="shared" si="0"/>
        <v>11M</v>
      </c>
      <c r="G19" s="106">
        <v>11</v>
      </c>
      <c r="H19" s="106" t="s">
        <v>65</v>
      </c>
      <c r="I19" s="107">
        <f t="shared" si="1"/>
        <v>-0.09</v>
      </c>
      <c r="J19" s="108"/>
      <c r="K19" s="109"/>
      <c r="L19" s="110">
        <f t="shared" si="2"/>
        <v>-0.09</v>
      </c>
      <c r="M19" s="149">
        <f t="shared" si="4"/>
        <v>17</v>
      </c>
      <c r="N19" s="150" t="str">
        <f t="shared" si="3"/>
        <v/>
      </c>
      <c r="O19" s="149" t="str">
        <f t="shared" si="5"/>
        <v/>
      </c>
      <c r="P19" s="150" t="str">
        <f t="shared" si="6"/>
        <v/>
      </c>
      <c r="Q19" s="149" t="str">
        <f t="shared" si="7"/>
        <v/>
      </c>
      <c r="R19" s="106" t="str">
        <f t="shared" si="8"/>
        <v/>
      </c>
      <c r="S19" s="110" t="str">
        <f t="shared" si="9"/>
        <v/>
      </c>
      <c r="T19" s="16"/>
      <c r="U19" s="87">
        <v>43089</v>
      </c>
      <c r="V19" s="88">
        <v>1.00190549246405</v>
      </c>
      <c r="W19" s="19"/>
      <c r="X19" s="93" t="s">
        <v>101</v>
      </c>
      <c r="Y19" s="94">
        <f>_xll.RtGet($AC$3,$AC$4&amp;$X19&amp;$AC$5,Y$2)</f>
        <v>-0.09</v>
      </c>
      <c r="Z19" s="95">
        <f>_xll.RtGet($AC$3,$AC$4&amp;$X19&amp;$AC$5,Z$2)</f>
        <v>-0.09</v>
      </c>
      <c r="AA19" s="16"/>
      <c r="AB19" s="16"/>
      <c r="AC19" s="16"/>
      <c r="AD19" s="19"/>
      <c r="AE19" s="19"/>
      <c r="AF19" s="19"/>
      <c r="AG19" s="19"/>
      <c r="AH19" s="29" t="s">
        <v>102</v>
      </c>
      <c r="AI19" s="19"/>
      <c r="AJ19" s="56" t="str">
        <f>IF(AND(LEN(AQ19)&gt;0,AS19&gt;0),_xll.xlShmInterpDisc(curveName,AQ19)+0*TYPE($V$4),"")</f>
        <v/>
      </c>
      <c r="AK19" s="57" t="str">
        <f>IF(AND(LEN(AQ19)&gt;0,AS19&gt;0),100*_xll.xlShmInterpRate(curveName,2,5,AQ19)+0*TYPE($V$4),"")</f>
        <v/>
      </c>
      <c r="AL19" s="57" t="str">
        <f t="shared" si="10"/>
        <v/>
      </c>
      <c r="AM19" s="58" t="str">
        <f t="shared" si="11"/>
        <v/>
      </c>
      <c r="AN19" s="59"/>
      <c r="AO19" s="60"/>
      <c r="AP19" s="59"/>
      <c r="AQ19" s="60"/>
      <c r="AR19" s="151"/>
      <c r="AS19" s="61"/>
      <c r="AT19" s="62"/>
      <c r="AU19" s="59"/>
      <c r="AV19" s="59"/>
      <c r="AW19" s="59"/>
      <c r="AX19" s="59"/>
      <c r="AY19" s="63"/>
      <c r="AZ19" s="64"/>
      <c r="BA19" s="15"/>
      <c r="BB19" s="19"/>
      <c r="BC19" s="19"/>
      <c r="BD19" s="19"/>
      <c r="BE19" s="83" t="b">
        <v>1</v>
      </c>
      <c r="BF19" s="115" t="str">
        <f t="shared" si="25"/>
        <v>11M</v>
      </c>
      <c r="BG19" s="73">
        <f t="shared" si="13"/>
        <v>11</v>
      </c>
      <c r="BH19" s="74" t="s">
        <v>65</v>
      </c>
      <c r="BI19" s="69">
        <f t="shared" si="26"/>
        <v>-0.35188342300000003</v>
      </c>
      <c r="BJ19" s="70"/>
      <c r="BK19" s="71"/>
      <c r="BL19" s="72">
        <f t="shared" si="15"/>
        <v>-0.35188342300000003</v>
      </c>
      <c r="BM19" s="73">
        <f t="shared" si="23"/>
        <v>17</v>
      </c>
      <c r="BN19" s="74">
        <f t="shared" si="16"/>
        <v>17</v>
      </c>
      <c r="BO19" s="73">
        <f t="shared" si="24"/>
        <v>17</v>
      </c>
      <c r="BP19" s="74">
        <f t="shared" si="17"/>
        <v>17</v>
      </c>
      <c r="BQ19" s="73">
        <f t="shared" si="18"/>
        <v>11</v>
      </c>
      <c r="BR19" s="18" t="str">
        <f t="shared" si="19"/>
        <v>m</v>
      </c>
      <c r="BS19" s="72">
        <f t="shared" si="20"/>
        <v>-0.35188342300000003</v>
      </c>
      <c r="BT19" s="16"/>
      <c r="BU19" s="92" t="str">
        <v>-</v>
      </c>
      <c r="BV19" s="88" t="str">
        <v>-</v>
      </c>
      <c r="BW19" s="19"/>
      <c r="BX19" s="116" t="s">
        <v>96</v>
      </c>
      <c r="BY19" s="78">
        <f>_xll.RtGet($CC$7,$CC$8&amp;BX19&amp;$CC$9,$BY$7)</f>
        <v>-0.353054918</v>
      </c>
      <c r="BZ19" s="79">
        <f>_xll.RtGet($CC$7,$CC$8&amp;BX19&amp;$CC$9,$BZ$7)</f>
        <v>-0.353054918</v>
      </c>
      <c r="CA19" s="16"/>
      <c r="CB19" s="19"/>
      <c r="CC19" s="19"/>
      <c r="CD19" s="16"/>
      <c r="CE19" s="56" t="str">
        <f>IF(AND(LEN(CL19)&gt;0,CN19&gt;0),_xll.xlShmInterpDisc(curveName,CL19)+0*TYPE($V$4),"")</f>
        <v/>
      </c>
      <c r="CF19" s="57" t="str">
        <f>IF(AND(LEN(CL19)&gt;0,CN19&gt;0),100*_xll.xlShmInterpRate(curveName,2,5,CL19)+0*TYPE($V$4),"")</f>
        <v/>
      </c>
      <c r="CG19" s="57" t="str">
        <f t="shared" si="21"/>
        <v/>
      </c>
      <c r="CH19" s="58" t="str">
        <f t="shared" si="22"/>
        <v/>
      </c>
      <c r="CI19" s="59"/>
      <c r="CJ19" s="60"/>
      <c r="CK19" s="59"/>
      <c r="CL19" s="60"/>
      <c r="CM19" s="151"/>
      <c r="CN19" s="61"/>
      <c r="CO19" s="62"/>
      <c r="CP19" s="59"/>
      <c r="CQ19" s="59"/>
      <c r="CR19" s="59"/>
      <c r="CS19" s="59"/>
      <c r="CT19" s="63"/>
      <c r="CU19" s="14"/>
      <c r="CV19" s="15"/>
      <c r="CW19" s="16"/>
      <c r="CX19" s="77" t="s">
        <v>71</v>
      </c>
      <c r="CY19" s="133" t="str">
        <f t="shared" si="27"/>
        <v>EURFX2MDDF=</v>
      </c>
      <c r="CZ19" s="16"/>
      <c r="DA19" s="142">
        <f>_xll.xlDateWorkFw(Calendar,VALUE(_xll.xlDateShiftMonth(VALUE(Settlement),LEFT(CX19,LEN(CX19)-1))),0)</f>
        <v>42817</v>
      </c>
      <c r="DB19" s="137">
        <f>_xll.xlShmInterpDisc("EUR",DA19+0*TYPE(disc_refresh))</f>
        <v>1.0005986682951018</v>
      </c>
      <c r="DC19" s="143">
        <f t="shared" si="28"/>
        <v>1.0005986682951018</v>
      </c>
      <c r="DD19" s="137"/>
      <c r="DE19" s="21"/>
      <c r="DF19" s="74" t="str">
        <f>IF($DF$10,_xll.RtContribute("DTSIMI1",CY19,$DA$10:$DC$10,DA19:DC19,"SCOPE:SERVER"),"-")</f>
        <v>-</v>
      </c>
      <c r="DG19" s="18"/>
      <c r="DH19" s="142" t="str">
        <f>IF($DF$10,_xll.RtGet($DB$4,CY19,$DA$10),"-")</f>
        <v>-</v>
      </c>
      <c r="DI19" s="144" t="str">
        <f>IF($DF$10,_xll.RtGet($DB$4,CY19,$DB$10),"-")</f>
        <v>-</v>
      </c>
      <c r="DJ19" s="145" t="str">
        <f>IF($DF$10,_xll.RtGet($DB$4,CY19,$DC$10),"-")</f>
        <v>-</v>
      </c>
      <c r="DK19" s="18"/>
      <c r="DL19" s="16"/>
      <c r="DM19" s="16"/>
      <c r="DN19" s="16"/>
      <c r="DO19" s="16"/>
      <c r="DP19" s="16"/>
      <c r="DQ19" s="14"/>
    </row>
    <row r="20" spans="1:121" x14ac:dyDescent="0.2">
      <c r="A20" s="21"/>
      <c r="B20" s="19"/>
      <c r="C20" s="19"/>
      <c r="D20" s="19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87">
        <v>43179</v>
      </c>
      <c r="V20" s="88">
        <v>1.0026136710848816</v>
      </c>
      <c r="W20" s="19"/>
      <c r="X20" s="16"/>
      <c r="Y20" s="16"/>
      <c r="Z20" s="16"/>
      <c r="AA20" s="16"/>
      <c r="AB20" s="16"/>
      <c r="AC20" s="16"/>
      <c r="AD20" s="19"/>
      <c r="AE20" s="27" t="s">
        <v>103</v>
      </c>
      <c r="AF20" s="28"/>
      <c r="AG20" s="19"/>
      <c r="AH20" s="55" t="s">
        <v>104</v>
      </c>
      <c r="AI20" s="19"/>
      <c r="AJ20" s="56" t="str">
        <f>IF(AND(LEN(AQ20)&gt;0,AS20&gt;0),_xll.xlShmInterpDisc(curveName,AQ20)+0*TYPE($V$4),"")</f>
        <v/>
      </c>
      <c r="AK20" s="57" t="str">
        <f>IF(AND(LEN(AQ20)&gt;0,AS20&gt;0),100*_xll.xlShmInterpRate(curveName,2,5,AQ20)+0*TYPE($V$4),"")</f>
        <v/>
      </c>
      <c r="AL20" s="57" t="str">
        <f t="shared" si="10"/>
        <v/>
      </c>
      <c r="AM20" s="58" t="str">
        <f t="shared" si="11"/>
        <v/>
      </c>
      <c r="AN20" s="59"/>
      <c r="AO20" s="60"/>
      <c r="AP20" s="59"/>
      <c r="AQ20" s="60"/>
      <c r="AR20" s="151"/>
      <c r="AS20" s="61"/>
      <c r="AT20" s="62"/>
      <c r="AU20" s="59"/>
      <c r="AV20" s="59"/>
      <c r="AW20" s="59"/>
      <c r="AX20" s="59"/>
      <c r="AY20" s="63"/>
      <c r="AZ20" s="64"/>
      <c r="BA20" s="15"/>
      <c r="BB20" s="19"/>
      <c r="BC20" s="19"/>
      <c r="BD20" s="19"/>
      <c r="BE20" s="83" t="b">
        <v>1</v>
      </c>
      <c r="BF20" s="152" t="str">
        <f t="shared" si="25"/>
        <v>12M</v>
      </c>
      <c r="BG20" s="73">
        <f t="shared" si="13"/>
        <v>12</v>
      </c>
      <c r="BH20" s="74" t="s">
        <v>65</v>
      </c>
      <c r="BI20" s="69">
        <f t="shared" si="26"/>
        <v>-0.35104561400000001</v>
      </c>
      <c r="BJ20" s="70"/>
      <c r="BK20" s="71"/>
      <c r="BL20" s="72">
        <f t="shared" si="15"/>
        <v>-0.35104561400000001</v>
      </c>
      <c r="BM20" s="73">
        <f t="shared" si="23"/>
        <v>18</v>
      </c>
      <c r="BN20" s="74">
        <f t="shared" si="16"/>
        <v>18</v>
      </c>
      <c r="BO20" s="73">
        <f t="shared" si="24"/>
        <v>18</v>
      </c>
      <c r="BP20" s="74">
        <f t="shared" si="17"/>
        <v>18</v>
      </c>
      <c r="BQ20" s="73">
        <f t="shared" si="18"/>
        <v>12</v>
      </c>
      <c r="BR20" s="18" t="str">
        <f t="shared" si="19"/>
        <v>m</v>
      </c>
      <c r="BS20" s="72">
        <f t="shared" si="20"/>
        <v>-0.35104561400000001</v>
      </c>
      <c r="BT20" s="16"/>
      <c r="BU20" s="92" t="str">
        <v>-</v>
      </c>
      <c r="BV20" s="88" t="str">
        <v>-</v>
      </c>
      <c r="BW20" s="19"/>
      <c r="BX20" s="116" t="s">
        <v>99</v>
      </c>
      <c r="BY20" s="78">
        <f>_xll.RtGet($CC$7,$CC$8&amp;BX20&amp;$CC$9,$BY$7)</f>
        <v>-0.35259119500000002</v>
      </c>
      <c r="BZ20" s="79">
        <f>_xll.RtGet($CC$7,$CC$8&amp;BX20&amp;$CC$9,$BZ$7)</f>
        <v>-0.35259119500000002</v>
      </c>
      <c r="CA20" s="16"/>
      <c r="CB20" s="19"/>
      <c r="CC20" s="19"/>
      <c r="CD20" s="16"/>
      <c r="CE20" s="56" t="str">
        <f>IF(AND(LEN(CL20)&gt;0,CN20&gt;0),_xll.xlShmInterpDisc(curveName,CL20)+0*TYPE($V$4),"")</f>
        <v/>
      </c>
      <c r="CF20" s="57" t="str">
        <f>IF(AND(LEN(CL20)&gt;0,CN20&gt;0),100*_xll.xlShmInterpRate(curveName,2,5,CL20)+0*TYPE($V$4),"")</f>
        <v/>
      </c>
      <c r="CG20" s="57" t="str">
        <f t="shared" si="21"/>
        <v/>
      </c>
      <c r="CH20" s="58" t="str">
        <f t="shared" si="22"/>
        <v/>
      </c>
      <c r="CI20" s="59"/>
      <c r="CJ20" s="60"/>
      <c r="CK20" s="59"/>
      <c r="CL20" s="60"/>
      <c r="CM20" s="151"/>
      <c r="CN20" s="61"/>
      <c r="CO20" s="62"/>
      <c r="CP20" s="59"/>
      <c r="CQ20" s="59"/>
      <c r="CR20" s="59"/>
      <c r="CS20" s="59"/>
      <c r="CT20" s="63"/>
      <c r="CU20" s="14"/>
      <c r="CV20" s="15"/>
      <c r="CW20" s="16"/>
      <c r="CX20" s="77" t="s">
        <v>77</v>
      </c>
      <c r="CY20" s="133" t="str">
        <f t="shared" si="27"/>
        <v>EURFX3MDDF=</v>
      </c>
      <c r="CZ20" s="16"/>
      <c r="DA20" s="142">
        <f>_xll.xlDateWorkFw(Calendar,VALUE(_xll.xlDateShiftMonth(VALUE(Settlement),LEFT(CX20,LEN(CX20)-1))),0)</f>
        <v>42849</v>
      </c>
      <c r="DB20" s="137">
        <f>_xll.xlShmInterpDisc("EUR",DA20+0*TYPE(disc_refresh))</f>
        <v>1.0008253703620993</v>
      </c>
      <c r="DC20" s="143">
        <f t="shared" si="28"/>
        <v>1.0008253703620993</v>
      </c>
      <c r="DD20" s="137"/>
      <c r="DE20" s="21"/>
      <c r="DF20" s="74" t="str">
        <f>IF($DF$10,_xll.RtContribute("DTSIMI1",CY20,$DA$10:$DC$10,DA20:DC20,"SCOPE:SERVER"),"-")</f>
        <v>-</v>
      </c>
      <c r="DG20" s="18"/>
      <c r="DH20" s="142" t="str">
        <f>IF($DF$10,_xll.RtGet($DB$4,CY20,$DA$10),"-")</f>
        <v>-</v>
      </c>
      <c r="DI20" s="144" t="str">
        <f>IF($DF$10,_xll.RtGet($DB$4,CY20,$DB$10),"-")</f>
        <v>-</v>
      </c>
      <c r="DJ20" s="145" t="str">
        <f>IF($DF$10,_xll.RtGet($DB$4,CY20,$DC$10),"-")</f>
        <v>-</v>
      </c>
      <c r="DK20" s="18"/>
      <c r="DL20" s="16"/>
      <c r="DM20" s="16"/>
      <c r="DN20" s="16"/>
      <c r="DO20" s="16"/>
      <c r="DP20" s="16"/>
      <c r="DQ20" s="14"/>
    </row>
    <row r="21" spans="1:121" x14ac:dyDescent="0.2">
      <c r="A21" s="21"/>
      <c r="B21" s="19"/>
      <c r="C21" s="19"/>
      <c r="D21" s="19"/>
      <c r="E21" s="22" t="s">
        <v>1</v>
      </c>
      <c r="F21" s="16"/>
      <c r="G21" s="16"/>
      <c r="H21" s="16"/>
      <c r="I21" s="22" t="s">
        <v>2</v>
      </c>
      <c r="J21" s="22" t="s">
        <v>3</v>
      </c>
      <c r="K21" s="22" t="s">
        <v>4</v>
      </c>
      <c r="L21" s="22" t="s">
        <v>5</v>
      </c>
      <c r="M21" s="19"/>
      <c r="N21" s="19"/>
      <c r="O21" s="19"/>
      <c r="P21" s="19"/>
      <c r="Q21" s="19"/>
      <c r="R21" s="19"/>
      <c r="S21" s="19"/>
      <c r="T21" s="16"/>
      <c r="U21" s="87">
        <v>43272</v>
      </c>
      <c r="V21" s="88">
        <v>1.0032680644384746</v>
      </c>
      <c r="W21" s="19"/>
      <c r="X21" s="24" t="s">
        <v>105</v>
      </c>
      <c r="Y21" s="153" t="s">
        <v>8</v>
      </c>
      <c r="Z21" s="154" t="s">
        <v>9</v>
      </c>
      <c r="AA21" s="16"/>
      <c r="AB21" s="39" t="s">
        <v>17</v>
      </c>
      <c r="AC21" s="40" t="s">
        <v>18</v>
      </c>
      <c r="AD21" s="19"/>
      <c r="AE21" s="55" t="s">
        <v>106</v>
      </c>
      <c r="AF21" s="55">
        <v>0</v>
      </c>
      <c r="AG21" s="19"/>
      <c r="AH21" s="80" t="s">
        <v>107</v>
      </c>
      <c r="AI21" s="19"/>
      <c r="AJ21" s="56" t="str">
        <f>IF(AND(LEN(AQ21)&gt;0,AS21&gt;0),_xll.xlShmInterpDisc(curveName,AQ21)+0*TYPE($V$4),"")</f>
        <v/>
      </c>
      <c r="AK21" s="57" t="str">
        <f>IF(AND(LEN(AQ21)&gt;0,AS21&gt;0),100*_xll.xlShmInterpRate(curveName,2,5,AQ21)+0*TYPE($V$4),"")</f>
        <v/>
      </c>
      <c r="AL21" s="57" t="str">
        <f t="shared" si="10"/>
        <v/>
      </c>
      <c r="AM21" s="58" t="str">
        <f t="shared" si="11"/>
        <v/>
      </c>
      <c r="AN21" s="59"/>
      <c r="AO21" s="60"/>
      <c r="AP21" s="59"/>
      <c r="AQ21" s="60"/>
      <c r="AR21" s="151"/>
      <c r="AS21" s="61"/>
      <c r="AT21" s="62"/>
      <c r="AU21" s="59"/>
      <c r="AV21" s="59"/>
      <c r="AW21" s="59"/>
      <c r="AX21" s="59"/>
      <c r="AY21" s="63"/>
      <c r="AZ21" s="64"/>
      <c r="BA21" s="15"/>
      <c r="BB21" s="155"/>
      <c r="BC21" s="19"/>
      <c r="BD21" s="19"/>
      <c r="BE21" s="83" t="b">
        <v>1</v>
      </c>
      <c r="BF21" s="115" t="str">
        <f t="shared" si="25"/>
        <v>13M</v>
      </c>
      <c r="BG21" s="73">
        <f t="shared" si="13"/>
        <v>13</v>
      </c>
      <c r="BH21" s="74" t="s">
        <v>108</v>
      </c>
      <c r="BI21" s="69">
        <f t="shared" si="26"/>
        <v>-0.34989789900000001</v>
      </c>
      <c r="BJ21" s="70"/>
      <c r="BK21" s="71"/>
      <c r="BL21" s="72">
        <f t="shared" si="15"/>
        <v>-0.34989789900000001</v>
      </c>
      <c r="BM21" s="73">
        <f t="shared" si="23"/>
        <v>19</v>
      </c>
      <c r="BN21" s="74">
        <f t="shared" si="16"/>
        <v>19</v>
      </c>
      <c r="BO21" s="73">
        <f t="shared" si="24"/>
        <v>19</v>
      </c>
      <c r="BP21" s="74">
        <f t="shared" si="17"/>
        <v>19</v>
      </c>
      <c r="BQ21" s="73">
        <f t="shared" si="18"/>
        <v>13</v>
      </c>
      <c r="BR21" s="18" t="str">
        <f t="shared" si="19"/>
        <v>e</v>
      </c>
      <c r="BS21" s="72">
        <f t="shared" si="20"/>
        <v>-0.34989789900000001</v>
      </c>
      <c r="BT21" s="16"/>
      <c r="BU21" s="92" t="str">
        <v>-</v>
      </c>
      <c r="BV21" s="88" t="str">
        <v>-</v>
      </c>
      <c r="BW21" s="19"/>
      <c r="BX21" s="116" t="s">
        <v>101</v>
      </c>
      <c r="BY21" s="78">
        <f>_xll.RtGet($CC$7,$CC$8&amp;BX21&amp;$CC$9,$BY$7)</f>
        <v>-0.35188342300000003</v>
      </c>
      <c r="BZ21" s="79">
        <f>_xll.RtGet($CC$7,$CC$8&amp;BX21&amp;$CC$9,$BZ$7)</f>
        <v>-0.35188342300000003</v>
      </c>
      <c r="CA21" s="16"/>
      <c r="CB21" s="19"/>
      <c r="CC21" s="19"/>
      <c r="CD21" s="16"/>
      <c r="CE21" s="56" t="str">
        <f>IF(AND(LEN(CL21)&gt;0,CN21&gt;0),_xll.xlShmInterpDisc(curveName,CL21)+0*TYPE($V$4),"")</f>
        <v/>
      </c>
      <c r="CF21" s="57" t="str">
        <f>IF(AND(LEN(CL21)&gt;0,CN21&gt;0),100*_xll.xlShmInterpRate(curveName,2,5,CL21)+0*TYPE($V$4),"")</f>
        <v/>
      </c>
      <c r="CG21" s="57" t="str">
        <f t="shared" si="21"/>
        <v/>
      </c>
      <c r="CH21" s="58" t="str">
        <f t="shared" si="22"/>
        <v/>
      </c>
      <c r="CI21" s="59"/>
      <c r="CJ21" s="60"/>
      <c r="CK21" s="59"/>
      <c r="CL21" s="60"/>
      <c r="CM21" s="151"/>
      <c r="CN21" s="61"/>
      <c r="CO21" s="62"/>
      <c r="CP21" s="59"/>
      <c r="CQ21" s="59"/>
      <c r="CR21" s="59"/>
      <c r="CS21" s="59"/>
      <c r="CT21" s="63"/>
      <c r="CU21" s="14"/>
      <c r="CV21" s="15"/>
      <c r="CW21" s="16"/>
      <c r="CX21" s="77" t="s">
        <v>82</v>
      </c>
      <c r="CY21" s="133" t="str">
        <f t="shared" si="27"/>
        <v>EURFX4MDDF=</v>
      </c>
      <c r="CZ21" s="16"/>
      <c r="DA21" s="142">
        <f>_xll.xlDateWorkFw(Calendar,VALUE(_xll.xlDateShiftMonth(VALUE(Settlement),LEFT(CX21,LEN(CX21)-1))),0)</f>
        <v>42878</v>
      </c>
      <c r="DB21" s="137">
        <f>_xll.xlShmInterpDisc("EUR",DA21+0*TYPE(disc_refresh))</f>
        <v>1.0009753561473393</v>
      </c>
      <c r="DC21" s="143">
        <f t="shared" si="28"/>
        <v>1.0009753561473393</v>
      </c>
      <c r="DD21" s="137"/>
      <c r="DE21" s="21"/>
      <c r="DF21" s="74" t="str">
        <f>IF($DF$10,_xll.RtContribute("DTSIMI1",CY21,$DA$10:$DC$10,DA21:DC21,"SCOPE:SERVER"),"-")</f>
        <v>-</v>
      </c>
      <c r="DG21" s="18"/>
      <c r="DH21" s="142" t="str">
        <f>IF($DF$10,_xll.RtGet($DB$4,CY21,$DA$10),"-")</f>
        <v>-</v>
      </c>
      <c r="DI21" s="144" t="str">
        <f>IF($DF$10,_xll.RtGet($DB$4,CY21,$DB$10),"-")</f>
        <v>-</v>
      </c>
      <c r="DJ21" s="145" t="str">
        <f>IF($DF$10,_xll.RtGet($DB$4,CY21,$DC$10),"-")</f>
        <v>-</v>
      </c>
      <c r="DK21" s="18"/>
      <c r="DL21" s="16"/>
      <c r="DM21" s="16"/>
      <c r="DN21" s="16"/>
      <c r="DO21" s="16"/>
      <c r="DP21" s="16"/>
      <c r="DQ21" s="14"/>
    </row>
    <row r="22" spans="1:121" x14ac:dyDescent="0.2">
      <c r="A22" s="21"/>
      <c r="B22" s="19"/>
      <c r="C22" s="19"/>
      <c r="D22" s="19"/>
      <c r="E22" s="96" t="b">
        <v>1</v>
      </c>
      <c r="F22" s="156" t="str">
        <f>X22</f>
        <v>STUB</v>
      </c>
      <c r="G22" s="19"/>
      <c r="H22" s="19"/>
      <c r="I22" s="45">
        <f>AVERAGE(Y22:Z22)</f>
        <v>-0.16454545500000001</v>
      </c>
      <c r="J22" s="157"/>
      <c r="K22" s="47"/>
      <c r="L22" s="157">
        <f>IF(ISNUMBER(J22),J22,I22)+K22</f>
        <v>-0.16454545500000001</v>
      </c>
      <c r="M22" s="19"/>
      <c r="N22" s="19"/>
      <c r="O22" s="19"/>
      <c r="P22" s="19"/>
      <c r="Q22" s="19"/>
      <c r="R22" s="19"/>
      <c r="S22" s="19"/>
      <c r="T22" s="16"/>
      <c r="U22" s="87">
        <v>43363</v>
      </c>
      <c r="V22" s="88">
        <v>1.0038446710835509</v>
      </c>
      <c r="W22" s="19"/>
      <c r="X22" s="127" t="s">
        <v>105</v>
      </c>
      <c r="Y22" s="158">
        <f>_xll.RtGet($AC$21,$AC$22&amp;$X22&amp;$AC$23,Y$21)</f>
        <v>-0.17454545500000002</v>
      </c>
      <c r="Z22" s="159">
        <f>_xll.RtGet($AC$21,$AC$22&amp;$X22&amp;$AC$23,Z$21)</f>
        <v>-0.154545455</v>
      </c>
      <c r="AA22" s="16"/>
      <c r="AB22" s="66" t="s">
        <v>27</v>
      </c>
      <c r="AC22" s="67" t="s">
        <v>31</v>
      </c>
      <c r="AD22" s="19"/>
      <c r="AE22" s="80" t="s">
        <v>109</v>
      </c>
      <c r="AF22" s="80">
        <v>1</v>
      </c>
      <c r="AG22" s="19"/>
      <c r="AH22" s="99" t="s">
        <v>110</v>
      </c>
      <c r="AI22" s="19"/>
      <c r="AJ22" s="56" t="str">
        <f>IF(AND(LEN(AQ22)&gt;0,AS22&gt;0),_xll.xlShmInterpDisc(curveName,AQ22)+0*TYPE($V$4),"")</f>
        <v/>
      </c>
      <c r="AK22" s="57" t="str">
        <f>IF(AND(LEN(AQ22)&gt;0,AS22&gt;0),100*_xll.xlShmInterpRate(curveName,2,5,AQ22)+0*TYPE($V$4),"")</f>
        <v/>
      </c>
      <c r="AL22" s="57" t="str">
        <f t="shared" si="10"/>
        <v/>
      </c>
      <c r="AM22" s="58" t="str">
        <f t="shared" si="11"/>
        <v/>
      </c>
      <c r="AN22" s="59"/>
      <c r="AO22" s="60"/>
      <c r="AP22" s="59"/>
      <c r="AQ22" s="60"/>
      <c r="AR22" s="151"/>
      <c r="AS22" s="61"/>
      <c r="AT22" s="62"/>
      <c r="AU22" s="59"/>
      <c r="AV22" s="59"/>
      <c r="AW22" s="59"/>
      <c r="AX22" s="59"/>
      <c r="AY22" s="63"/>
      <c r="AZ22" s="64"/>
      <c r="BA22" s="15"/>
      <c r="BB22" s="160"/>
      <c r="BC22" s="19"/>
      <c r="BD22" s="19"/>
      <c r="BE22" s="83" t="b">
        <v>1</v>
      </c>
      <c r="BF22" s="115" t="str">
        <f t="shared" si="25"/>
        <v>14M</v>
      </c>
      <c r="BG22" s="73">
        <f t="shared" si="13"/>
        <v>14</v>
      </c>
      <c r="BH22" s="74" t="s">
        <v>108</v>
      </c>
      <c r="BI22" s="69">
        <f t="shared" si="26"/>
        <v>-0.34862468800000002</v>
      </c>
      <c r="BJ22" s="70"/>
      <c r="BK22" s="71"/>
      <c r="BL22" s="72">
        <f t="shared" si="15"/>
        <v>-0.34862468800000002</v>
      </c>
      <c r="BM22" s="73">
        <f t="shared" si="23"/>
        <v>20</v>
      </c>
      <c r="BN22" s="74">
        <f t="shared" si="16"/>
        <v>20</v>
      </c>
      <c r="BO22" s="73">
        <f t="shared" si="24"/>
        <v>20</v>
      </c>
      <c r="BP22" s="74">
        <f t="shared" si="17"/>
        <v>20</v>
      </c>
      <c r="BQ22" s="73">
        <f t="shared" si="18"/>
        <v>14</v>
      </c>
      <c r="BR22" s="18" t="str">
        <f t="shared" si="19"/>
        <v>e</v>
      </c>
      <c r="BS22" s="72">
        <f t="shared" si="20"/>
        <v>-0.34862468800000002</v>
      </c>
      <c r="BT22" s="16"/>
      <c r="BU22" s="92" t="str">
        <v>-</v>
      </c>
      <c r="BV22" s="88" t="str">
        <v>-</v>
      </c>
      <c r="BW22" s="19"/>
      <c r="BX22" s="116" t="s">
        <v>111</v>
      </c>
      <c r="BY22" s="78">
        <f>_xll.RtGet($CC$7,$CC$8&amp;BX22&amp;$CC$9,$BY$7)</f>
        <v>-0.35104561400000001</v>
      </c>
      <c r="BZ22" s="79">
        <f>_xll.RtGet($CC$7,$CC$8&amp;BX22&amp;$CC$9,$BZ$7)</f>
        <v>-0.35104561400000001</v>
      </c>
      <c r="CA22" s="16"/>
      <c r="CB22" s="19"/>
      <c r="CC22" s="19"/>
      <c r="CD22" s="16"/>
      <c r="CE22" s="56" t="str">
        <f>IF(AND(LEN(CL22)&gt;0,CN22&gt;0),_xll.xlShmInterpDisc(curveName,CL22)+0*TYPE($V$4),"")</f>
        <v/>
      </c>
      <c r="CF22" s="57" t="str">
        <f>IF(AND(LEN(CL22)&gt;0,CN22&gt;0),100*_xll.xlShmInterpRate(curveName,2,5,CL22)+0*TYPE($V$4),"")</f>
        <v/>
      </c>
      <c r="CG22" s="57" t="str">
        <f t="shared" si="21"/>
        <v/>
      </c>
      <c r="CH22" s="58" t="str">
        <f t="shared" si="22"/>
        <v/>
      </c>
      <c r="CI22" s="59"/>
      <c r="CJ22" s="60"/>
      <c r="CK22" s="59"/>
      <c r="CL22" s="60"/>
      <c r="CM22" s="151"/>
      <c r="CN22" s="61"/>
      <c r="CO22" s="62"/>
      <c r="CP22" s="59"/>
      <c r="CQ22" s="59"/>
      <c r="CR22" s="59"/>
      <c r="CS22" s="59"/>
      <c r="CT22" s="63"/>
      <c r="CU22" s="14"/>
      <c r="CV22" s="15"/>
      <c r="CW22" s="16"/>
      <c r="CX22" s="77" t="s">
        <v>85</v>
      </c>
      <c r="CY22" s="133" t="str">
        <f t="shared" si="27"/>
        <v>EURFX5MDDF=</v>
      </c>
      <c r="CZ22" s="16"/>
      <c r="DA22" s="142">
        <f>_xll.xlDateWorkFw(Calendar,VALUE(_xll.xlDateShiftMonth(VALUE(Settlement),LEFT(CX22,LEN(CX22)-1))),0)</f>
        <v>42909</v>
      </c>
      <c r="DB22" s="137">
        <f>_xll.xlShmInterpDisc("EUR",DA22+0*TYPE(disc_refresh))</f>
        <v>1.001090867488482</v>
      </c>
      <c r="DC22" s="143">
        <f t="shared" si="28"/>
        <v>1.001090867488482</v>
      </c>
      <c r="DD22" s="137"/>
      <c r="DE22" s="21"/>
      <c r="DF22" s="74" t="str">
        <f>IF($DF$10,_xll.RtContribute("DTSIMI1",CY22,$DA$10:$DC$10,DA22:DC22,"SCOPE:SERVER"),"-")</f>
        <v>-</v>
      </c>
      <c r="DG22" s="18"/>
      <c r="DH22" s="142" t="str">
        <f>IF($DF$10,_xll.RtGet($DB$4,CY22,$DA$10),"-")</f>
        <v>-</v>
      </c>
      <c r="DI22" s="144" t="str">
        <f>IF($DF$10,_xll.RtGet($DB$4,CY22,$DB$10),"-")</f>
        <v>-</v>
      </c>
      <c r="DJ22" s="145" t="str">
        <f>IF($DF$10,_xll.RtGet($DB$4,CY22,$DC$10),"-")</f>
        <v>-</v>
      </c>
      <c r="DK22" s="18"/>
      <c r="DL22" s="16"/>
      <c r="DM22" s="16"/>
      <c r="DN22" s="16"/>
      <c r="DO22" s="16"/>
      <c r="DP22" s="16"/>
      <c r="DQ22" s="14"/>
    </row>
    <row r="23" spans="1:121" x14ac:dyDescent="0.2">
      <c r="A23" s="21"/>
      <c r="B23" s="19"/>
      <c r="C23" s="19"/>
      <c r="D23" s="19"/>
      <c r="E23" s="104" t="b">
        <v>0</v>
      </c>
      <c r="F23" s="161" t="s">
        <v>112</v>
      </c>
      <c r="G23" s="19"/>
      <c r="H23" s="19"/>
      <c r="I23" s="107">
        <f>Y26</f>
        <v>-0.24</v>
      </c>
      <c r="J23" s="162"/>
      <c r="K23" s="109"/>
      <c r="L23" s="162">
        <f>IF(ISNUMBER(J23),J23,I23)+K23</f>
        <v>-0.24</v>
      </c>
      <c r="M23" s="19"/>
      <c r="N23" s="19"/>
      <c r="O23" s="19"/>
      <c r="P23" s="19"/>
      <c r="Q23" s="19"/>
      <c r="R23" s="19"/>
      <c r="S23" s="19"/>
      <c r="T23" s="16"/>
      <c r="U23" s="87">
        <v>43453</v>
      </c>
      <c r="V23" s="88">
        <v>1.0043272671169263</v>
      </c>
      <c r="W23" s="19"/>
      <c r="X23" s="16"/>
      <c r="Y23" s="16"/>
      <c r="Z23" s="16"/>
      <c r="AA23" s="16"/>
      <c r="AB23" s="85" t="s">
        <v>36</v>
      </c>
      <c r="AC23" s="86" t="s">
        <v>42</v>
      </c>
      <c r="AD23" s="19"/>
      <c r="AE23" s="99" t="s">
        <v>113</v>
      </c>
      <c r="AF23" s="99">
        <v>2</v>
      </c>
      <c r="AG23" s="19"/>
      <c r="AH23" s="19"/>
      <c r="AI23" s="19"/>
      <c r="AJ23" s="56" t="str">
        <f>IF(AND(LEN(AQ23)&gt;0,AS23&gt;0),_xll.xlShmInterpDisc(curveName,AQ23)+0*TYPE($V$4),"")</f>
        <v/>
      </c>
      <c r="AK23" s="57" t="str">
        <f>IF(AND(LEN(AQ23)&gt;0,AS23&gt;0),100*_xll.xlShmInterpRate(curveName,2,5,AQ23)+0*TYPE($V$4),"")</f>
        <v/>
      </c>
      <c r="AL23" s="57" t="str">
        <f t="shared" si="10"/>
        <v/>
      </c>
      <c r="AM23" s="58" t="str">
        <f t="shared" si="11"/>
        <v/>
      </c>
      <c r="AN23" s="59"/>
      <c r="AO23" s="60"/>
      <c r="AP23" s="59"/>
      <c r="AQ23" s="60"/>
      <c r="AR23" s="151"/>
      <c r="AS23" s="61"/>
      <c r="AT23" s="62"/>
      <c r="AU23" s="59"/>
      <c r="AV23" s="59"/>
      <c r="AW23" s="59"/>
      <c r="AX23" s="59"/>
      <c r="AY23" s="63"/>
      <c r="AZ23" s="64"/>
      <c r="BA23" s="15"/>
      <c r="BB23" s="19"/>
      <c r="BC23" s="19"/>
      <c r="BD23" s="19"/>
      <c r="BE23" s="83" t="b">
        <v>1</v>
      </c>
      <c r="BF23" s="115" t="str">
        <f t="shared" si="25"/>
        <v>15M</v>
      </c>
      <c r="BG23" s="73">
        <f t="shared" si="13"/>
        <v>15</v>
      </c>
      <c r="BH23" s="74" t="s">
        <v>108</v>
      </c>
      <c r="BI23" s="69">
        <f t="shared" si="26"/>
        <v>-0.34700000000000003</v>
      </c>
      <c r="BJ23" s="70"/>
      <c r="BK23" s="71"/>
      <c r="BL23" s="72">
        <f t="shared" si="15"/>
        <v>-0.34700000000000003</v>
      </c>
      <c r="BM23" s="73">
        <f t="shared" si="23"/>
        <v>21</v>
      </c>
      <c r="BN23" s="74">
        <f t="shared" si="16"/>
        <v>21</v>
      </c>
      <c r="BO23" s="73">
        <f t="shared" si="24"/>
        <v>21</v>
      </c>
      <c r="BP23" s="74">
        <f t="shared" si="17"/>
        <v>21</v>
      </c>
      <c r="BQ23" s="73">
        <f t="shared" si="18"/>
        <v>15</v>
      </c>
      <c r="BR23" s="18" t="str">
        <f t="shared" si="19"/>
        <v>e</v>
      </c>
      <c r="BS23" s="72">
        <f t="shared" si="20"/>
        <v>-0.34700000000000003</v>
      </c>
      <c r="BT23" s="16"/>
      <c r="BU23" s="92" t="str">
        <v>-</v>
      </c>
      <c r="BV23" s="88" t="str">
        <v>-</v>
      </c>
      <c r="BW23" s="19"/>
      <c r="BX23" s="116" t="s">
        <v>114</v>
      </c>
      <c r="BY23" s="78">
        <f>_xll.RtGet($CC$7,$CC$8&amp;BX23&amp;$CC$9,$BY$7)</f>
        <v>-0.34989789900000001</v>
      </c>
      <c r="BZ23" s="79">
        <f>_xll.RtGet($CC$7,$CC$8&amp;BX23&amp;$CC$9,$BZ$7)</f>
        <v>-0.34989789900000001</v>
      </c>
      <c r="CA23" s="16"/>
      <c r="CB23" s="19"/>
      <c r="CC23" s="19"/>
      <c r="CD23" s="16"/>
      <c r="CE23" s="56" t="str">
        <f>IF(AND(LEN(CL23)&gt;0,CN23&gt;0),_xll.xlShmInterpDisc(curveName,CL23)+0*TYPE($V$4),"")</f>
        <v/>
      </c>
      <c r="CF23" s="57" t="str">
        <f>IF(AND(LEN(CL23)&gt;0,CN23&gt;0),100*_xll.xlShmInterpRate(curveName,2,5,CL23)+0*TYPE($V$4),"")</f>
        <v/>
      </c>
      <c r="CG23" s="57" t="str">
        <f t="shared" si="21"/>
        <v/>
      </c>
      <c r="CH23" s="58" t="str">
        <f t="shared" si="22"/>
        <v/>
      </c>
      <c r="CI23" s="59"/>
      <c r="CJ23" s="60"/>
      <c r="CK23" s="59"/>
      <c r="CL23" s="60"/>
      <c r="CM23" s="151"/>
      <c r="CN23" s="61"/>
      <c r="CO23" s="62"/>
      <c r="CP23" s="59"/>
      <c r="CQ23" s="59"/>
      <c r="CR23" s="59"/>
      <c r="CS23" s="59"/>
      <c r="CT23" s="63"/>
      <c r="CU23" s="14"/>
      <c r="CV23" s="15"/>
      <c r="CW23" s="16"/>
      <c r="CX23" s="77" t="s">
        <v>87</v>
      </c>
      <c r="CY23" s="133" t="str">
        <f t="shared" si="27"/>
        <v>EURFX6MDDF=</v>
      </c>
      <c r="CZ23" s="16"/>
      <c r="DA23" s="142">
        <f>_xll.xlDateWorkFw(Calendar,VALUE(_xll.xlDateShiftMonth(VALUE(Settlement),LEFT(CX23,LEN(CX23)-1))),0)</f>
        <v>42940</v>
      </c>
      <c r="DB23" s="137">
        <f>_xll.xlShmInterpDisc("EUR",DA23+0*TYPE(disc_refresh))</f>
        <v>1.0011546188966192</v>
      </c>
      <c r="DC23" s="143">
        <f t="shared" si="28"/>
        <v>1.0011546188966192</v>
      </c>
      <c r="DD23" s="137"/>
      <c r="DE23" s="21"/>
      <c r="DF23" s="74" t="str">
        <f>IF($DF$10,_xll.RtContribute("DTSIMI1",CY23,$DA$10:$DC$10,DA23:DC23,"SCOPE:SERVER"),"-")</f>
        <v>-</v>
      </c>
      <c r="DG23" s="18"/>
      <c r="DH23" s="142" t="str">
        <f>IF($DF$10,_xll.RtGet($DB$4,CY23,$DA$10),"-")</f>
        <v>-</v>
      </c>
      <c r="DI23" s="144" t="str">
        <f>IF($DF$10,_xll.RtGet($DB$4,CY23,$DB$10),"-")</f>
        <v>-</v>
      </c>
      <c r="DJ23" s="145" t="str">
        <f>IF($DF$10,_xll.RtGet($DB$4,CY23,$DC$10),"-")</f>
        <v>-</v>
      </c>
      <c r="DK23" s="18"/>
      <c r="DL23" s="16"/>
      <c r="DM23" s="16"/>
      <c r="DN23" s="16"/>
      <c r="DO23" s="16"/>
      <c r="DP23" s="16"/>
      <c r="DQ23" s="14"/>
    </row>
    <row r="24" spans="1:121" x14ac:dyDescent="0.2">
      <c r="A24" s="21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6"/>
      <c r="U24" s="87">
        <v>43543</v>
      </c>
      <c r="V24" s="88">
        <v>1.0047106094264002</v>
      </c>
      <c r="W24" s="19"/>
      <c r="X24" s="18"/>
      <c r="Y24" s="18"/>
      <c r="Z24" s="18"/>
      <c r="AA24" s="19"/>
      <c r="AB24" s="19"/>
      <c r="AC24" s="19"/>
      <c r="AD24" s="19"/>
      <c r="AE24" s="19"/>
      <c r="AF24" s="19"/>
      <c r="AG24" s="19"/>
      <c r="AH24" s="29" t="s">
        <v>115</v>
      </c>
      <c r="AI24" s="19"/>
      <c r="AJ24" s="56" t="str">
        <f>IF(AND(LEN(AQ24)&gt;0,AS24&gt;0),_xll.xlShmInterpDisc(curveName,AQ24)+0*TYPE($V$4),"")</f>
        <v/>
      </c>
      <c r="AK24" s="57" t="str">
        <f>IF(AND(LEN(AQ24)&gt;0,AS24&gt;0),100*_xll.xlShmInterpRate(curveName,2,5,AQ24)+0*TYPE($V$4),"")</f>
        <v/>
      </c>
      <c r="AL24" s="57" t="str">
        <f t="shared" si="10"/>
        <v/>
      </c>
      <c r="AM24" s="58" t="str">
        <f t="shared" si="11"/>
        <v/>
      </c>
      <c r="AN24" s="59"/>
      <c r="AO24" s="60"/>
      <c r="AP24" s="59"/>
      <c r="AQ24" s="60"/>
      <c r="AR24" s="151"/>
      <c r="AS24" s="61"/>
      <c r="AT24" s="62"/>
      <c r="AU24" s="59"/>
      <c r="AV24" s="59"/>
      <c r="AW24" s="59"/>
      <c r="AX24" s="59"/>
      <c r="AY24" s="63"/>
      <c r="AZ24" s="64"/>
      <c r="BA24" s="15"/>
      <c r="BB24" s="19"/>
      <c r="BC24" s="19"/>
      <c r="BD24" s="19"/>
      <c r="BE24" s="83" t="b">
        <v>1</v>
      </c>
      <c r="BF24" s="115" t="str">
        <f t="shared" si="25"/>
        <v>16M</v>
      </c>
      <c r="BG24" s="73">
        <f t="shared" si="13"/>
        <v>16</v>
      </c>
      <c r="BH24" s="74" t="s">
        <v>108</v>
      </c>
      <c r="BI24" s="69">
        <f t="shared" si="26"/>
        <v>-0.34523773000000002</v>
      </c>
      <c r="BJ24" s="70"/>
      <c r="BK24" s="71"/>
      <c r="BL24" s="72">
        <f t="shared" si="15"/>
        <v>-0.34523773000000002</v>
      </c>
      <c r="BM24" s="73">
        <f t="shared" si="23"/>
        <v>22</v>
      </c>
      <c r="BN24" s="74">
        <f t="shared" si="16"/>
        <v>22</v>
      </c>
      <c r="BO24" s="73">
        <f t="shared" si="24"/>
        <v>22</v>
      </c>
      <c r="BP24" s="74">
        <f t="shared" si="17"/>
        <v>22</v>
      </c>
      <c r="BQ24" s="73">
        <f t="shared" si="18"/>
        <v>16</v>
      </c>
      <c r="BR24" s="18" t="str">
        <f t="shared" si="19"/>
        <v>e</v>
      </c>
      <c r="BS24" s="72">
        <f t="shared" si="20"/>
        <v>-0.34523773000000002</v>
      </c>
      <c r="BT24" s="16"/>
      <c r="BU24" s="92" t="str">
        <v>-</v>
      </c>
      <c r="BV24" s="88" t="str">
        <v>-</v>
      </c>
      <c r="BW24" s="19"/>
      <c r="BX24" s="116" t="s">
        <v>116</v>
      </c>
      <c r="BY24" s="78">
        <f>_xll.RtGet($CC$7,$CC$8&amp;BX24&amp;$CC$9,$BY$7)</f>
        <v>-0.34862468800000002</v>
      </c>
      <c r="BZ24" s="79">
        <f>_xll.RtGet($CC$7,$CC$8&amp;BX24&amp;$CC$9,$BZ$7)</f>
        <v>-0.34862468800000002</v>
      </c>
      <c r="CA24" s="19"/>
      <c r="CB24" s="19"/>
      <c r="CC24" s="19"/>
      <c r="CD24" s="16"/>
      <c r="CE24" s="56" t="str">
        <f>IF(AND(LEN(CL24)&gt;0,CN24&gt;0),_xll.xlShmInterpDisc(curveName,CL24)+0*TYPE($V$4),"")</f>
        <v/>
      </c>
      <c r="CF24" s="57" t="str">
        <f>IF(AND(LEN(CL24)&gt;0,CN24&gt;0),100*_xll.xlShmInterpRate(curveName,2,5,CL24)+0*TYPE($V$4),"")</f>
        <v/>
      </c>
      <c r="CG24" s="57" t="str">
        <f t="shared" si="21"/>
        <v/>
      </c>
      <c r="CH24" s="58" t="str">
        <f t="shared" si="22"/>
        <v/>
      </c>
      <c r="CI24" s="59"/>
      <c r="CJ24" s="60"/>
      <c r="CK24" s="59"/>
      <c r="CL24" s="60"/>
      <c r="CM24" s="151"/>
      <c r="CN24" s="61"/>
      <c r="CO24" s="62"/>
      <c r="CP24" s="59"/>
      <c r="CQ24" s="59"/>
      <c r="CR24" s="59"/>
      <c r="CS24" s="59"/>
      <c r="CT24" s="63"/>
      <c r="CU24" s="14"/>
      <c r="CV24" s="15"/>
      <c r="CW24" s="16"/>
      <c r="CX24" s="77" t="s">
        <v>90</v>
      </c>
      <c r="CY24" s="133" t="str">
        <f t="shared" si="27"/>
        <v>EURFX7MDDF=</v>
      </c>
      <c r="CZ24" s="16"/>
      <c r="DA24" s="142">
        <f>_xll.xlDateWorkFw(Calendar,VALUE(_xll.xlDateShiftMonth(VALUE(Settlement),LEFT(CX24,LEN(CX24)-1))),0)</f>
        <v>42970</v>
      </c>
      <c r="DB24" s="137">
        <f>_xll.xlShmInterpDisc("EUR",DA24+0*TYPE(disc_refresh))</f>
        <v>1.001161300736982</v>
      </c>
      <c r="DC24" s="143">
        <f t="shared" si="28"/>
        <v>1.001161300736982</v>
      </c>
      <c r="DD24" s="137"/>
      <c r="DE24" s="21"/>
      <c r="DF24" s="74" t="str">
        <f>IF($DF$10,_xll.RtContribute("DTSIMI1",CY24,$DA$10:$DC$10,DA24:DC24,"SCOPE:SERVER"),"-")</f>
        <v>-</v>
      </c>
      <c r="DG24" s="18"/>
      <c r="DH24" s="142" t="str">
        <f>IF($DF$10,_xll.RtGet($DB$4,CY24,$DA$10),"-")</f>
        <v>-</v>
      </c>
      <c r="DI24" s="144" t="str">
        <f>IF($DF$10,_xll.RtGet($DB$4,CY24,$DB$10),"-")</f>
        <v>-</v>
      </c>
      <c r="DJ24" s="145" t="str">
        <f>IF($DF$10,_xll.RtGet($DB$4,CY24,$DC$10),"-")</f>
        <v>-</v>
      </c>
      <c r="DK24" s="18"/>
      <c r="DL24" s="16"/>
      <c r="DM24" s="16"/>
      <c r="DN24" s="16"/>
      <c r="DO24" s="16"/>
      <c r="DP24" s="16"/>
      <c r="DQ24" s="14"/>
    </row>
    <row r="25" spans="1:121" x14ac:dyDescent="0.2">
      <c r="A25" s="21"/>
      <c r="B25" s="322" t="s">
        <v>26</v>
      </c>
      <c r="C25" s="323"/>
      <c r="D25" s="16"/>
      <c r="E25" s="163" t="s">
        <v>1</v>
      </c>
      <c r="F25" s="164"/>
      <c r="G25" s="23" t="s">
        <v>117</v>
      </c>
      <c r="H25" s="16"/>
      <c r="I25" s="163" t="s">
        <v>2</v>
      </c>
      <c r="J25" s="163" t="s">
        <v>3</v>
      </c>
      <c r="K25" s="163" t="s">
        <v>4</v>
      </c>
      <c r="L25" s="163" t="s">
        <v>5</v>
      </c>
      <c r="M25" s="16"/>
      <c r="N25" s="18"/>
      <c r="O25" s="16"/>
      <c r="P25" s="18"/>
      <c r="Q25" s="16"/>
      <c r="R25" s="16"/>
      <c r="S25" s="165">
        <f t="array" ref="S25">SUM(1*E26:E37)</f>
        <v>6</v>
      </c>
      <c r="T25" s="16"/>
      <c r="U25" s="87">
        <v>43853</v>
      </c>
      <c r="V25" s="88">
        <v>1.0027796883177154</v>
      </c>
      <c r="W25" s="19"/>
      <c r="X25" s="103" t="s">
        <v>112</v>
      </c>
      <c r="Y25" s="37" t="s">
        <v>118</v>
      </c>
      <c r="Z25" s="38" t="s">
        <v>119</v>
      </c>
      <c r="AA25" s="16"/>
      <c r="AB25" s="39" t="s">
        <v>17</v>
      </c>
      <c r="AC25" s="40" t="s">
        <v>120</v>
      </c>
      <c r="AD25" s="19"/>
      <c r="AE25" s="27" t="s">
        <v>121</v>
      </c>
      <c r="AF25" s="28"/>
      <c r="AG25" s="19"/>
      <c r="AH25" s="80" t="s">
        <v>20</v>
      </c>
      <c r="AI25" s="19"/>
      <c r="AJ25" s="56" t="str">
        <f>IF(AND(LEN(AQ25)&gt;0,AS25&gt;0),_xll.xlShmInterpDisc(curveName,AQ25)+0*TYPE($V$4),"")</f>
        <v/>
      </c>
      <c r="AK25" s="57" t="str">
        <f>IF(AND(LEN(AQ25)&gt;0,AS25&gt;0),100*_xll.xlShmInterpRate(curveName,2,5,AQ25)+0*TYPE($V$4),"")</f>
        <v/>
      </c>
      <c r="AL25" s="57" t="str">
        <f t="shared" si="10"/>
        <v/>
      </c>
      <c r="AM25" s="58" t="str">
        <f t="shared" si="11"/>
        <v/>
      </c>
      <c r="AN25" s="59"/>
      <c r="AO25" s="60"/>
      <c r="AP25" s="59"/>
      <c r="AQ25" s="60"/>
      <c r="AR25" s="151"/>
      <c r="AS25" s="61"/>
      <c r="AT25" s="62"/>
      <c r="AU25" s="59"/>
      <c r="AV25" s="59"/>
      <c r="AW25" s="59"/>
      <c r="AX25" s="59"/>
      <c r="AY25" s="63"/>
      <c r="AZ25" s="64"/>
      <c r="BA25" s="15"/>
      <c r="BB25" s="16"/>
      <c r="BC25" s="16"/>
      <c r="BD25" s="16"/>
      <c r="BE25" s="83" t="b">
        <v>1</v>
      </c>
      <c r="BF25" s="115" t="str">
        <f t="shared" si="25"/>
        <v>17M</v>
      </c>
      <c r="BG25" s="73">
        <f t="shared" si="13"/>
        <v>17</v>
      </c>
      <c r="BH25" s="74" t="s">
        <v>108</v>
      </c>
      <c r="BI25" s="69">
        <f t="shared" si="26"/>
        <v>-0.343063542</v>
      </c>
      <c r="BJ25" s="70"/>
      <c r="BK25" s="71"/>
      <c r="BL25" s="72">
        <f t="shared" si="15"/>
        <v>-0.343063542</v>
      </c>
      <c r="BM25" s="73">
        <f t="shared" si="23"/>
        <v>23</v>
      </c>
      <c r="BN25" s="74">
        <f t="shared" si="16"/>
        <v>23</v>
      </c>
      <c r="BO25" s="73">
        <f t="shared" si="24"/>
        <v>23</v>
      </c>
      <c r="BP25" s="74">
        <f t="shared" si="17"/>
        <v>23</v>
      </c>
      <c r="BQ25" s="73">
        <f t="shared" si="18"/>
        <v>17</v>
      </c>
      <c r="BR25" s="18" t="str">
        <f t="shared" si="19"/>
        <v>e</v>
      </c>
      <c r="BS25" s="72">
        <f t="shared" si="20"/>
        <v>-0.343063542</v>
      </c>
      <c r="BT25" s="16"/>
      <c r="BU25" s="92" t="str">
        <v>-</v>
      </c>
      <c r="BV25" s="88" t="str">
        <v>-</v>
      </c>
      <c r="BW25" s="19"/>
      <c r="BX25" s="116" t="s">
        <v>122</v>
      </c>
      <c r="BY25" s="78">
        <f>_xll.RtGet($CC$7,$CC$8&amp;BX25&amp;$CC$9,$BY$7)</f>
        <v>-0.34700000000000003</v>
      </c>
      <c r="BZ25" s="79">
        <f>_xll.RtGet($CC$7,$CC$8&amp;BX25&amp;$CC$9,$BZ$7)</f>
        <v>-0.34700000000000003</v>
      </c>
      <c r="CA25" s="16"/>
      <c r="CB25" s="19"/>
      <c r="CC25" s="19"/>
      <c r="CD25" s="16"/>
      <c r="CE25" s="56" t="str">
        <f>IF(AND(LEN(CL25)&gt;0,CN25&gt;0),_xll.xlShmInterpDisc(curveName,CL25)+0*TYPE($V$4),"")</f>
        <v/>
      </c>
      <c r="CF25" s="57" t="str">
        <f>IF(AND(LEN(CL25)&gt;0,CN25&gt;0),100*_xll.xlShmInterpRate(curveName,2,5,CL25)+0*TYPE($V$4),"")</f>
        <v/>
      </c>
      <c r="CG25" s="57" t="str">
        <f t="shared" si="21"/>
        <v/>
      </c>
      <c r="CH25" s="58" t="str">
        <f t="shared" si="22"/>
        <v/>
      </c>
      <c r="CI25" s="59"/>
      <c r="CJ25" s="60"/>
      <c r="CK25" s="59"/>
      <c r="CL25" s="60"/>
      <c r="CM25" s="151"/>
      <c r="CN25" s="61"/>
      <c r="CO25" s="62"/>
      <c r="CP25" s="59"/>
      <c r="CQ25" s="59"/>
      <c r="CR25" s="59"/>
      <c r="CS25" s="59"/>
      <c r="CT25" s="63"/>
      <c r="CU25" s="14"/>
      <c r="CV25" s="15"/>
      <c r="CW25" s="16"/>
      <c r="CX25" s="77" t="s">
        <v>93</v>
      </c>
      <c r="CY25" s="133" t="str">
        <f t="shared" si="27"/>
        <v>EURFX8MDDF=</v>
      </c>
      <c r="CZ25" s="16"/>
      <c r="DA25" s="142">
        <f>_xll.xlDateWorkFw(Calendar,VALUE(_xll.xlDateShiftMonth(VALUE(Settlement),LEFT(CX25,LEN(CX25)-1))),0)</f>
        <v>43003</v>
      </c>
      <c r="DB25" s="137">
        <f>_xll.xlShmInterpDisc("EUR",DA25+0*TYPE(disc_refresh))</f>
        <v>1.001176607491834</v>
      </c>
      <c r="DC25" s="143">
        <f t="shared" si="28"/>
        <v>1.001176607491834</v>
      </c>
      <c r="DD25" s="137"/>
      <c r="DE25" s="21"/>
      <c r="DF25" s="74" t="str">
        <f>IF($DF$10,_xll.RtContribute("DTSIMI1",CY25,$DA$10:$DC$10,DA25:DC25,"SCOPE:SERVER"),"-")</f>
        <v>-</v>
      </c>
      <c r="DG25" s="18"/>
      <c r="DH25" s="142" t="str">
        <f>IF($DF$10,_xll.RtGet($DB$4,CY25,$DA$10),"-")</f>
        <v>-</v>
      </c>
      <c r="DI25" s="144" t="str">
        <f>IF($DF$10,_xll.RtGet($DB$4,CY25,$DB$10),"-")</f>
        <v>-</v>
      </c>
      <c r="DJ25" s="145" t="str">
        <f>IF($DF$10,_xll.RtGet($DB$4,CY25,$DC$10),"-")</f>
        <v>-</v>
      </c>
      <c r="DK25" s="18"/>
      <c r="DL25" s="16"/>
      <c r="DM25" s="16"/>
      <c r="DN25" s="16"/>
      <c r="DO25" s="16"/>
      <c r="DP25" s="16"/>
      <c r="DQ25" s="14"/>
    </row>
    <row r="26" spans="1:121" x14ac:dyDescent="0.2">
      <c r="A26" s="21"/>
      <c r="B26" s="81" t="s">
        <v>123</v>
      </c>
      <c r="C26" s="166">
        <f>today</f>
        <v>42754</v>
      </c>
      <c r="D26" s="16"/>
      <c r="E26" s="83" t="b">
        <v>0</v>
      </c>
      <c r="F26" s="167" t="str">
        <f t="shared" ref="F26:F36" si="29">iText(H26,"mmm yy")</f>
        <v>Mar 17</v>
      </c>
      <c r="G26" s="168" t="str">
        <f>_xll.xlFutCode(H26)</f>
        <v>H7</v>
      </c>
      <c r="H26" s="169">
        <f>_xll.xlDateNextFutLIFFE(C26)</f>
        <v>42809</v>
      </c>
      <c r="I26" s="45">
        <f t="shared" ref="I26:I36" si="30">AVERAGE(Y30:Z30)</f>
        <v>100.33250000000001</v>
      </c>
      <c r="J26" s="157"/>
      <c r="K26" s="170">
        <f>_xll.RtGet("IDN",$G$25&amp;G26,"CONVX_BIAS")/$C$54</f>
        <v>3.0000000000000001E-6</v>
      </c>
      <c r="L26" s="157">
        <f t="shared" ref="L26:L36" si="31">IF(ISNUMBER(J26),J26,I26)+K26</f>
        <v>100.33250300000002</v>
      </c>
      <c r="M26" s="49">
        <v>1</v>
      </c>
      <c r="N26" s="50" t="str">
        <f t="shared" ref="N26:N36" si="32">IF(E26,M26,"")</f>
        <v/>
      </c>
      <c r="O26" s="23">
        <f>IF($S$25&gt;0,1,"")</f>
        <v>1</v>
      </c>
      <c r="P26" s="50">
        <f t="shared" ref="P26:P36" si="33">IF(LEN(O26)&gt;0,SMALL($N$26:$N$36,O26),"")</f>
        <v>3</v>
      </c>
      <c r="Q26" s="6"/>
      <c r="R26" s="134">
        <f>IF(LEN(P26)&gt;0,INDEX($H$26:$H$37,$P26),"")</f>
        <v>42998</v>
      </c>
      <c r="S26" s="48">
        <f t="shared" ref="S26:S35" si="34">IF(LEN(P26)&gt;0,INDEX($L$26:$L$37,$P26),"")</f>
        <v>100.30252000000002</v>
      </c>
      <c r="T26" s="16"/>
      <c r="U26" s="87">
        <v>44221</v>
      </c>
      <c r="V26" s="88">
        <v>0.99967979330069245</v>
      </c>
      <c r="W26" s="19"/>
      <c r="X26" s="127" t="s">
        <v>87</v>
      </c>
      <c r="Y26" s="94">
        <f>_xll.RtGet($AC$25,$AC$26&amp;$X26&amp;$AC$27,"BID")</f>
        <v>-0.24</v>
      </c>
      <c r="Z26" s="171">
        <f>_xll.RtGet($AC$25,$AC$26&amp;$X26&amp;$AC$27,Z25)</f>
        <v>42753</v>
      </c>
      <c r="AA26" s="16"/>
      <c r="AB26" s="66" t="s">
        <v>27</v>
      </c>
      <c r="AC26" s="67" t="s">
        <v>124</v>
      </c>
      <c r="AD26" s="172"/>
      <c r="AE26" s="55" t="s">
        <v>125</v>
      </c>
      <c r="AF26" s="55">
        <v>0</v>
      </c>
      <c r="AG26" s="19"/>
      <c r="AH26" s="99" t="s">
        <v>126</v>
      </c>
      <c r="AI26" s="19"/>
      <c r="AJ26" s="56" t="str">
        <f>IF(AND(LEN(AQ26)&gt;0,AS26&gt;0),_xll.xlShmInterpDisc(curveName,AQ26)+0*TYPE($V$4),"")</f>
        <v/>
      </c>
      <c r="AK26" s="57" t="str">
        <f>IF(AND(LEN(AQ26)&gt;0,AS26&gt;0),100*_xll.xlShmInterpRate(curveName,2,5,AQ26)+0*TYPE($V$4),"")</f>
        <v/>
      </c>
      <c r="AL26" s="57" t="str">
        <f t="shared" si="10"/>
        <v/>
      </c>
      <c r="AM26" s="58" t="str">
        <f t="shared" si="11"/>
        <v/>
      </c>
      <c r="AN26" s="59"/>
      <c r="AO26" s="60"/>
      <c r="AP26" s="59"/>
      <c r="AQ26" s="60"/>
      <c r="AR26" s="151"/>
      <c r="AS26" s="61"/>
      <c r="AT26" s="62"/>
      <c r="AU26" s="59"/>
      <c r="AV26" s="59"/>
      <c r="AW26" s="59"/>
      <c r="AX26" s="59"/>
      <c r="AY26" s="63"/>
      <c r="AZ26" s="64"/>
      <c r="BA26" s="15"/>
      <c r="BB26" s="16"/>
      <c r="BC26" s="16"/>
      <c r="BD26" s="16"/>
      <c r="BE26" s="83" t="b">
        <v>1</v>
      </c>
      <c r="BF26" s="115" t="str">
        <f t="shared" si="25"/>
        <v>18M</v>
      </c>
      <c r="BG26" s="73">
        <f t="shared" si="13"/>
        <v>18</v>
      </c>
      <c r="BH26" s="74" t="s">
        <v>108</v>
      </c>
      <c r="BI26" s="69">
        <f t="shared" si="26"/>
        <v>-0.34100000000000003</v>
      </c>
      <c r="BJ26" s="70"/>
      <c r="BK26" s="71"/>
      <c r="BL26" s="72">
        <f t="shared" si="15"/>
        <v>-0.34100000000000003</v>
      </c>
      <c r="BM26" s="73">
        <f t="shared" si="23"/>
        <v>24</v>
      </c>
      <c r="BN26" s="74">
        <f t="shared" si="16"/>
        <v>24</v>
      </c>
      <c r="BO26" s="73">
        <f t="shared" si="24"/>
        <v>24</v>
      </c>
      <c r="BP26" s="74">
        <f t="shared" si="17"/>
        <v>24</v>
      </c>
      <c r="BQ26" s="73">
        <f t="shared" si="18"/>
        <v>18</v>
      </c>
      <c r="BR26" s="18" t="str">
        <f t="shared" si="19"/>
        <v>e</v>
      </c>
      <c r="BS26" s="72">
        <f t="shared" si="20"/>
        <v>-0.34100000000000003</v>
      </c>
      <c r="BT26" s="16"/>
      <c r="BU26" s="92" t="str">
        <v>-</v>
      </c>
      <c r="BV26" s="88" t="str">
        <v>-</v>
      </c>
      <c r="BW26" s="19"/>
      <c r="BX26" s="116" t="s">
        <v>127</v>
      </c>
      <c r="BY26" s="78">
        <f>_xll.RtGet($CC$7,$CC$8&amp;BX26&amp;$CC$9,$BY$7)</f>
        <v>-0.34523773000000002</v>
      </c>
      <c r="BZ26" s="79">
        <f>_xll.RtGet($CC$7,$CC$8&amp;BX26&amp;$CC$9,$BZ$7)</f>
        <v>-0.34523773000000002</v>
      </c>
      <c r="CA26" s="16"/>
      <c r="CB26" s="19"/>
      <c r="CC26" s="19"/>
      <c r="CD26" s="16"/>
      <c r="CE26" s="56" t="str">
        <f>IF(AND(LEN(CL26)&gt;0,CN26&gt;0),_xll.xlShmInterpDisc(curveName,CL26)+0*TYPE($V$4),"")</f>
        <v/>
      </c>
      <c r="CF26" s="57" t="str">
        <f>IF(AND(LEN(CL26)&gt;0,CN26&gt;0),100*_xll.xlShmInterpRate(curveName,2,5,CL26)+0*TYPE($V$4),"")</f>
        <v/>
      </c>
      <c r="CG26" s="57" t="str">
        <f t="shared" si="21"/>
        <v/>
      </c>
      <c r="CH26" s="58" t="str">
        <f t="shared" si="22"/>
        <v/>
      </c>
      <c r="CI26" s="59"/>
      <c r="CJ26" s="60"/>
      <c r="CK26" s="59"/>
      <c r="CL26" s="60"/>
      <c r="CM26" s="151"/>
      <c r="CN26" s="61"/>
      <c r="CO26" s="62"/>
      <c r="CP26" s="59"/>
      <c r="CQ26" s="59"/>
      <c r="CR26" s="59"/>
      <c r="CS26" s="59"/>
      <c r="CT26" s="63"/>
      <c r="CU26" s="14"/>
      <c r="CV26" s="15"/>
      <c r="CW26" s="16"/>
      <c r="CX26" s="77" t="s">
        <v>96</v>
      </c>
      <c r="CY26" s="133" t="str">
        <f t="shared" si="27"/>
        <v>EURFX9MDDF=</v>
      </c>
      <c r="CZ26" s="16"/>
      <c r="DA26" s="142">
        <f>_xll.xlDateWorkFw(Calendar,VALUE(_xll.xlDateShiftMonth(VALUE(Settlement),LEFT(CX26,LEN(CX26)-1))),0)</f>
        <v>43031</v>
      </c>
      <c r="DB26" s="137">
        <f>_xll.xlShmInterpDisc("EUR",DA26+0*TYPE(disc_refresh))</f>
        <v>1.0013957054558327</v>
      </c>
      <c r="DC26" s="143">
        <f t="shared" si="28"/>
        <v>1.0013957054558327</v>
      </c>
      <c r="DD26" s="137"/>
      <c r="DE26" s="21"/>
      <c r="DF26" s="74" t="str">
        <f>IF($DF$10,_xll.RtContribute("DTSIMI1",CY26,$DA$10:$DC$10,DA26:DC26,"SCOPE:SERVER"),"-")</f>
        <v>-</v>
      </c>
      <c r="DG26" s="18"/>
      <c r="DH26" s="142" t="str">
        <f>IF($DF$10,_xll.RtGet($DB$4,CY26,$DA$10),"-")</f>
        <v>-</v>
      </c>
      <c r="DI26" s="144" t="str">
        <f>IF($DF$10,_xll.RtGet($DB$4,CY26,$DB$10),"-")</f>
        <v>-</v>
      </c>
      <c r="DJ26" s="145" t="str">
        <f>IF($DF$10,_xll.RtGet($DB$4,CY26,$DC$10),"-")</f>
        <v>-</v>
      </c>
      <c r="DK26" s="18"/>
      <c r="DL26" s="16"/>
      <c r="DM26" s="16"/>
      <c r="DN26" s="16"/>
      <c r="DO26" s="16"/>
      <c r="DP26" s="16"/>
      <c r="DQ26" s="14"/>
    </row>
    <row r="27" spans="1:121" x14ac:dyDescent="0.2">
      <c r="A27" s="21"/>
      <c r="B27" s="89" t="s">
        <v>128</v>
      </c>
      <c r="C27" s="173">
        <f>_xll.xlDateSettle("Target",C26,2)</f>
        <v>42758</v>
      </c>
      <c r="D27" s="16"/>
      <c r="E27" s="83" t="b">
        <v>0</v>
      </c>
      <c r="F27" s="174" t="str">
        <f t="shared" si="29"/>
        <v>Jun 17</v>
      </c>
      <c r="G27" s="175" t="str">
        <f>_xll.xlFutCode(H27)</f>
        <v>M7</v>
      </c>
      <c r="H27" s="176">
        <f>_xll.xlDateNextFutLIFFE(H26)</f>
        <v>42907</v>
      </c>
      <c r="I27" s="69">
        <f t="shared" si="30"/>
        <v>100.31750000000001</v>
      </c>
      <c r="J27" s="177"/>
      <c r="K27" s="178">
        <f>_xll.RtGet("IDN",$G$25&amp;G27,"CONVX_BIAS")/$C$54</f>
        <v>1.0000000000000001E-5</v>
      </c>
      <c r="L27" s="177">
        <f t="shared" si="31"/>
        <v>100.31751000000001</v>
      </c>
      <c r="M27" s="73">
        <f t="shared" ref="M27:M36" si="35">M26+1</f>
        <v>2</v>
      </c>
      <c r="N27" s="74" t="str">
        <f t="shared" si="32"/>
        <v/>
      </c>
      <c r="O27" s="73">
        <f t="shared" ref="O27:O36" si="36">IF(O26&lt;$S$25,O26+1,"")</f>
        <v>2</v>
      </c>
      <c r="P27" s="74">
        <f t="shared" si="33"/>
        <v>4</v>
      </c>
      <c r="Q27" s="16"/>
      <c r="R27" s="142">
        <f t="shared" ref="R27:R36" si="37">IF(LEN(P27)&gt;0,INDEX($H$26:$H$37,$P27),"")</f>
        <v>43089</v>
      </c>
      <c r="S27" s="72">
        <f t="shared" si="34"/>
        <v>100.282533</v>
      </c>
      <c r="T27" s="16"/>
      <c r="U27" s="87">
        <v>44585</v>
      </c>
      <c r="V27" s="88">
        <v>0.99378401114951864</v>
      </c>
      <c r="W27" s="19"/>
      <c r="X27" s="16"/>
      <c r="Y27" s="16"/>
      <c r="Z27" s="16"/>
      <c r="AA27" s="16"/>
      <c r="AB27" s="85" t="s">
        <v>36</v>
      </c>
      <c r="AC27" s="86" t="s">
        <v>42</v>
      </c>
      <c r="AD27" s="172"/>
      <c r="AE27" s="99" t="s">
        <v>129</v>
      </c>
      <c r="AF27" s="99">
        <v>1</v>
      </c>
      <c r="AG27" s="19"/>
      <c r="AH27" s="19"/>
      <c r="AI27" s="19"/>
      <c r="AJ27" s="56" t="str">
        <f>IF(AND(LEN(AQ27)&gt;0,AS27&gt;0),_xll.xlShmInterpDisc(curveName,AQ27)+0*TYPE($V$4),"")</f>
        <v/>
      </c>
      <c r="AK27" s="57" t="str">
        <f>IF(AND(LEN(AQ27)&gt;0,AS27&gt;0),100*_xll.xlShmInterpRate(curveName,2,5,AQ27)+0*TYPE($V$4),"")</f>
        <v/>
      </c>
      <c r="AL27" s="57" t="str">
        <f t="shared" si="10"/>
        <v/>
      </c>
      <c r="AM27" s="58" t="str">
        <f t="shared" si="11"/>
        <v/>
      </c>
      <c r="AN27" s="59"/>
      <c r="AO27" s="60"/>
      <c r="AP27" s="59"/>
      <c r="AQ27" s="60"/>
      <c r="AR27" s="59"/>
      <c r="AS27" s="61"/>
      <c r="AT27" s="62"/>
      <c r="AU27" s="59"/>
      <c r="AV27" s="59"/>
      <c r="AW27" s="59"/>
      <c r="AX27" s="59"/>
      <c r="AY27" s="63"/>
      <c r="AZ27" s="64"/>
      <c r="BA27" s="15"/>
      <c r="BB27" s="16"/>
      <c r="BC27" s="16"/>
      <c r="BD27" s="16"/>
      <c r="BE27" s="83" t="b">
        <v>1</v>
      </c>
      <c r="BF27" s="115" t="str">
        <f t="shared" si="25"/>
        <v>19M</v>
      </c>
      <c r="BG27" s="73">
        <f t="shared" si="13"/>
        <v>19</v>
      </c>
      <c r="BH27" s="74" t="s">
        <v>108</v>
      </c>
      <c r="BI27" s="69">
        <f t="shared" si="26"/>
        <v>-0.33845820400000004</v>
      </c>
      <c r="BJ27" s="70"/>
      <c r="BK27" s="71"/>
      <c r="BL27" s="72">
        <f t="shared" si="15"/>
        <v>-0.33845820400000004</v>
      </c>
      <c r="BM27" s="73">
        <f t="shared" si="23"/>
        <v>25</v>
      </c>
      <c r="BN27" s="74">
        <f t="shared" si="16"/>
        <v>25</v>
      </c>
      <c r="BO27" s="73">
        <f t="shared" si="24"/>
        <v>25</v>
      </c>
      <c r="BP27" s="74">
        <f t="shared" si="17"/>
        <v>25</v>
      </c>
      <c r="BQ27" s="73">
        <f t="shared" si="18"/>
        <v>19</v>
      </c>
      <c r="BR27" s="18" t="str">
        <f t="shared" si="19"/>
        <v>e</v>
      </c>
      <c r="BS27" s="72">
        <f t="shared" si="20"/>
        <v>-0.33845820400000004</v>
      </c>
      <c r="BT27" s="16"/>
      <c r="BU27" s="92" t="str">
        <v>-</v>
      </c>
      <c r="BV27" s="88" t="str">
        <v>-</v>
      </c>
      <c r="BW27" s="19"/>
      <c r="BX27" s="116" t="s">
        <v>130</v>
      </c>
      <c r="BY27" s="78">
        <f>_xll.RtGet($CC$7,$CC$8&amp;BX27&amp;$CC$9,$BY$7)</f>
        <v>-0.343063542</v>
      </c>
      <c r="BZ27" s="79">
        <f>_xll.RtGet($CC$7,$CC$8&amp;BX27&amp;$CC$9,$BZ$7)</f>
        <v>-0.343063542</v>
      </c>
      <c r="CA27" s="16"/>
      <c r="CB27" s="19"/>
      <c r="CC27" s="19"/>
      <c r="CD27" s="16"/>
      <c r="CE27" s="56" t="str">
        <f>IF(AND(LEN(CL27)&gt;0,CN27&gt;0),_xll.xlShmInterpDisc(curveName,CL27)+0*TYPE($V$4),"")</f>
        <v/>
      </c>
      <c r="CF27" s="57" t="str">
        <f>IF(AND(LEN(CL27)&gt;0,CN27&gt;0),100*_xll.xlShmInterpRate(curveName,2,5,CL27)+0*TYPE($V$4),"")</f>
        <v/>
      </c>
      <c r="CG27" s="57" t="str">
        <f t="shared" si="21"/>
        <v/>
      </c>
      <c r="CH27" s="58" t="str">
        <f t="shared" si="22"/>
        <v/>
      </c>
      <c r="CI27" s="59"/>
      <c r="CJ27" s="60"/>
      <c r="CK27" s="59"/>
      <c r="CL27" s="60"/>
      <c r="CM27" s="59"/>
      <c r="CN27" s="61"/>
      <c r="CO27" s="62"/>
      <c r="CP27" s="59"/>
      <c r="CQ27" s="59"/>
      <c r="CR27" s="59"/>
      <c r="CS27" s="59"/>
      <c r="CT27" s="63"/>
      <c r="CU27" s="14"/>
      <c r="CV27" s="15"/>
      <c r="CW27" s="16"/>
      <c r="CX27" s="77" t="s">
        <v>99</v>
      </c>
      <c r="CY27" s="133" t="str">
        <f t="shared" si="27"/>
        <v>EURFX10MDDF=</v>
      </c>
      <c r="CZ27" s="16"/>
      <c r="DA27" s="142">
        <f>_xll.xlDateWorkFw(Calendar,VALUE(_xll.xlDateShiftMonth(VALUE(Settlement),LEFT(CX27,LEN(CX27)-1))),0)</f>
        <v>43062</v>
      </c>
      <c r="DB27" s="137">
        <f>_xll.xlShmInterpDisc("EUR",DA27+0*TYPE(disc_refresh))</f>
        <v>1.001658786051616</v>
      </c>
      <c r="DC27" s="143">
        <f t="shared" si="28"/>
        <v>1.001658786051616</v>
      </c>
      <c r="DD27" s="137"/>
      <c r="DE27" s="21"/>
      <c r="DF27" s="74" t="str">
        <f>IF($DF$10,_xll.RtContribute("DTSIMI1",CY27,$DA$10:$DC$10,DA27:DC27,"SCOPE:SERVER"),"-")</f>
        <v>-</v>
      </c>
      <c r="DG27" s="18"/>
      <c r="DH27" s="142" t="str">
        <f>IF($DF$10,_xll.RtGet($DB$4,CY27,$DA$10),"-")</f>
        <v>-</v>
      </c>
      <c r="DI27" s="144" t="str">
        <f>IF($DF$10,_xll.RtGet($DB$4,CY27,$DB$10),"-")</f>
        <v>-</v>
      </c>
      <c r="DJ27" s="145" t="str">
        <f>IF($DF$10,_xll.RtGet($DB$4,CY27,$DC$10),"-")</f>
        <v>-</v>
      </c>
      <c r="DK27" s="18"/>
      <c r="DL27" s="16"/>
      <c r="DM27" s="16"/>
      <c r="DN27" s="16"/>
      <c r="DO27" s="16"/>
      <c r="DP27" s="16"/>
      <c r="DQ27" s="14"/>
    </row>
    <row r="28" spans="1:121" x14ac:dyDescent="0.2">
      <c r="A28" s="21"/>
      <c r="B28" s="89" t="s">
        <v>131</v>
      </c>
      <c r="C28" s="179" t="s">
        <v>39</v>
      </c>
      <c r="D28" s="16"/>
      <c r="E28" s="83" t="b">
        <v>1</v>
      </c>
      <c r="F28" s="174" t="str">
        <f t="shared" si="29"/>
        <v>Sep 17</v>
      </c>
      <c r="G28" s="175" t="str">
        <f>_xll.xlFutCode(H28)</f>
        <v>U7</v>
      </c>
      <c r="H28" s="176">
        <f>_xll.xlDateNextFutLIFFE(H27)</f>
        <v>42998</v>
      </c>
      <c r="I28" s="69">
        <f t="shared" si="30"/>
        <v>100.30250000000001</v>
      </c>
      <c r="J28" s="177"/>
      <c r="K28" s="178">
        <f>_xll.RtGet("IDN",$G$25&amp;G28,"CONVX_BIAS")/$C$54</f>
        <v>2.0000000000000002E-5</v>
      </c>
      <c r="L28" s="177">
        <f t="shared" si="31"/>
        <v>100.30252000000002</v>
      </c>
      <c r="M28" s="73">
        <f t="shared" si="35"/>
        <v>3</v>
      </c>
      <c r="N28" s="74">
        <f t="shared" si="32"/>
        <v>3</v>
      </c>
      <c r="O28" s="73">
        <f t="shared" si="36"/>
        <v>3</v>
      </c>
      <c r="P28" s="74">
        <f t="shared" si="33"/>
        <v>5</v>
      </c>
      <c r="Q28" s="16"/>
      <c r="R28" s="142">
        <f t="shared" si="37"/>
        <v>43180</v>
      </c>
      <c r="S28" s="72">
        <f t="shared" si="34"/>
        <v>100.25255</v>
      </c>
      <c r="T28" s="16"/>
      <c r="U28" s="87">
        <v>44949</v>
      </c>
      <c r="V28" s="88">
        <v>0.98531000739359098</v>
      </c>
      <c r="W28" s="19"/>
      <c r="X28" s="16"/>
      <c r="Y28" s="16"/>
      <c r="Z28" s="16"/>
      <c r="AA28" s="16"/>
      <c r="AB28" s="16"/>
      <c r="AC28" s="16"/>
      <c r="AD28" s="172"/>
      <c r="AE28" s="19"/>
      <c r="AF28" s="19"/>
      <c r="AG28" s="19"/>
      <c r="AH28" s="29" t="s">
        <v>132</v>
      </c>
      <c r="AI28" s="19"/>
      <c r="AJ28" s="56" t="str">
        <f>IF(AND(LEN(AQ28)&gt;0,AS28&gt;0),_xll.xlShmInterpDisc(curveName,AQ28)+0*TYPE($V$4),"")</f>
        <v/>
      </c>
      <c r="AK28" s="57" t="str">
        <f>IF(AND(LEN(AQ28)&gt;0,AS28&gt;0),100*_xll.xlShmInterpRate(curveName,2,5,AQ28)+0*TYPE($V$4),"")</f>
        <v/>
      </c>
      <c r="AL28" s="57" t="str">
        <f t="shared" si="10"/>
        <v/>
      </c>
      <c r="AM28" s="58" t="str">
        <f t="shared" si="11"/>
        <v/>
      </c>
      <c r="AN28" s="59"/>
      <c r="AO28" s="60"/>
      <c r="AP28" s="59"/>
      <c r="AQ28" s="60"/>
      <c r="AR28" s="59"/>
      <c r="AS28" s="61"/>
      <c r="AT28" s="62"/>
      <c r="AU28" s="59"/>
      <c r="AV28" s="59"/>
      <c r="AW28" s="59"/>
      <c r="AX28" s="59"/>
      <c r="AY28" s="63"/>
      <c r="AZ28" s="19"/>
      <c r="BA28" s="15"/>
      <c r="BB28" s="16"/>
      <c r="BC28" s="16"/>
      <c r="BD28" s="16"/>
      <c r="BE28" s="83" t="b">
        <v>1</v>
      </c>
      <c r="BF28" s="115" t="str">
        <f t="shared" si="25"/>
        <v>20M</v>
      </c>
      <c r="BG28" s="73">
        <f t="shared" si="13"/>
        <v>20</v>
      </c>
      <c r="BH28" s="74" t="s">
        <v>108</v>
      </c>
      <c r="BI28" s="69">
        <f t="shared" si="26"/>
        <v>-0.33563900700000004</v>
      </c>
      <c r="BJ28" s="70"/>
      <c r="BK28" s="71"/>
      <c r="BL28" s="72">
        <f t="shared" si="15"/>
        <v>-0.33563900700000004</v>
      </c>
      <c r="BM28" s="73">
        <f t="shared" si="23"/>
        <v>26</v>
      </c>
      <c r="BN28" s="74">
        <f t="shared" si="16"/>
        <v>26</v>
      </c>
      <c r="BO28" s="73">
        <f t="shared" si="24"/>
        <v>26</v>
      </c>
      <c r="BP28" s="74">
        <f t="shared" si="17"/>
        <v>26</v>
      </c>
      <c r="BQ28" s="73">
        <f t="shared" si="18"/>
        <v>20</v>
      </c>
      <c r="BR28" s="18" t="str">
        <f t="shared" si="19"/>
        <v>e</v>
      </c>
      <c r="BS28" s="72">
        <f t="shared" si="20"/>
        <v>-0.33563900700000004</v>
      </c>
      <c r="BT28" s="16"/>
      <c r="BU28" s="92" t="str">
        <v>-</v>
      </c>
      <c r="BV28" s="88" t="str">
        <v>-</v>
      </c>
      <c r="BW28" s="19"/>
      <c r="BX28" s="116" t="s">
        <v>133</v>
      </c>
      <c r="BY28" s="78">
        <f>_xll.RtGet($CC$7,$CC$8&amp;BX28&amp;$CC$9,$BY$7)</f>
        <v>-0.34100000000000003</v>
      </c>
      <c r="BZ28" s="79">
        <f>_xll.RtGet($CC$7,$CC$8&amp;BX28&amp;$CC$9,$BZ$7)</f>
        <v>-0.34100000000000003</v>
      </c>
      <c r="CA28" s="16"/>
      <c r="CB28" s="19"/>
      <c r="CC28" s="19"/>
      <c r="CD28" s="16"/>
      <c r="CE28" s="56" t="str">
        <f>IF(AND(LEN(CL28)&gt;0,CN28&gt;0),_xll.xlShmInterpDisc(curveName,CL28)+0*TYPE($V$4),"")</f>
        <v/>
      </c>
      <c r="CF28" s="57" t="str">
        <f>IF(AND(LEN(CL28)&gt;0,CN28&gt;0),100*_xll.xlShmInterpRate(curveName,2,5,CL28)+0*TYPE($V$4),"")</f>
        <v/>
      </c>
      <c r="CG28" s="57" t="str">
        <f t="shared" si="21"/>
        <v/>
      </c>
      <c r="CH28" s="58" t="str">
        <f t="shared" si="22"/>
        <v/>
      </c>
      <c r="CI28" s="59"/>
      <c r="CJ28" s="60"/>
      <c r="CK28" s="59"/>
      <c r="CL28" s="60"/>
      <c r="CM28" s="59"/>
      <c r="CN28" s="61"/>
      <c r="CO28" s="62"/>
      <c r="CP28" s="59"/>
      <c r="CQ28" s="59"/>
      <c r="CR28" s="59"/>
      <c r="CS28" s="59"/>
      <c r="CT28" s="63"/>
      <c r="CU28" s="14"/>
      <c r="CV28" s="15"/>
      <c r="CW28" s="16"/>
      <c r="CX28" s="77" t="s">
        <v>101</v>
      </c>
      <c r="CY28" s="133" t="str">
        <f t="shared" si="27"/>
        <v>EURFX11MDDF=</v>
      </c>
      <c r="CZ28" s="16"/>
      <c r="DA28" s="142">
        <f>_xll.xlDateWorkFw(Calendar,VALUE(_xll.xlDateShiftMonth(VALUE(Settlement),LEFT(CX28,LEN(CX28)-1))),0)</f>
        <v>43096</v>
      </c>
      <c r="DB28" s="137">
        <f>_xll.xlShmInterpDisc("EUR",DA28+0*TYPE(disc_refresh))</f>
        <v>1.0019575850962823</v>
      </c>
      <c r="DC28" s="143">
        <f t="shared" si="28"/>
        <v>1.0019575850962823</v>
      </c>
      <c r="DD28" s="137"/>
      <c r="DE28" s="21"/>
      <c r="DF28" s="74" t="str">
        <f>IF($DF$10,_xll.RtContribute("DTSIMI1",CY28,$DA$10:$DC$10,DA28:DC28,"SCOPE:SERVER"),"-")</f>
        <v>-</v>
      </c>
      <c r="DG28" s="18"/>
      <c r="DH28" s="142" t="str">
        <f>IF($DF$10,_xll.RtGet($DB$4,CY28,$DA$10),"-")</f>
        <v>-</v>
      </c>
      <c r="DI28" s="144" t="str">
        <f>IF($DF$10,_xll.RtGet($DB$4,CY28,$DB$10),"-")</f>
        <v>-</v>
      </c>
      <c r="DJ28" s="145" t="str">
        <f>IF($DF$10,_xll.RtGet($DB$4,CY28,$DC$10),"-")</f>
        <v>-</v>
      </c>
      <c r="DK28" s="18"/>
      <c r="DL28" s="16"/>
      <c r="DM28" s="16"/>
      <c r="DN28" s="16"/>
      <c r="DO28" s="16"/>
      <c r="DP28" s="16"/>
      <c r="DQ28" s="14"/>
    </row>
    <row r="29" spans="1:121" x14ac:dyDescent="0.2">
      <c r="A29" s="21"/>
      <c r="B29" s="180" t="s">
        <v>134</v>
      </c>
      <c r="C29" s="181"/>
      <c r="D29" s="16"/>
      <c r="E29" s="83" t="b">
        <v>1</v>
      </c>
      <c r="F29" s="174" t="str">
        <f t="shared" si="29"/>
        <v>Dec 17</v>
      </c>
      <c r="G29" s="175" t="str">
        <f>_xll.xlFutCode(H29)</f>
        <v>Z7</v>
      </c>
      <c r="H29" s="176">
        <f>_xll.xlDateNextFutLIFFE(H28)</f>
        <v>43089</v>
      </c>
      <c r="I29" s="69">
        <f t="shared" si="30"/>
        <v>100.2825</v>
      </c>
      <c r="J29" s="177"/>
      <c r="K29" s="178">
        <f>_xll.RtGet("IDN",$G$25&amp;G29,"CONVX_BIAS")/$C$54</f>
        <v>3.3000000000000003E-5</v>
      </c>
      <c r="L29" s="177">
        <f t="shared" si="31"/>
        <v>100.282533</v>
      </c>
      <c r="M29" s="73">
        <f t="shared" si="35"/>
        <v>4</v>
      </c>
      <c r="N29" s="74">
        <f t="shared" si="32"/>
        <v>4</v>
      </c>
      <c r="O29" s="73">
        <f t="shared" si="36"/>
        <v>4</v>
      </c>
      <c r="P29" s="74">
        <f t="shared" si="33"/>
        <v>6</v>
      </c>
      <c r="Q29" s="16"/>
      <c r="R29" s="142">
        <f t="shared" si="37"/>
        <v>43271</v>
      </c>
      <c r="S29" s="72">
        <f t="shared" si="34"/>
        <v>100.227569</v>
      </c>
      <c r="T29" s="16"/>
      <c r="U29" s="87">
        <v>45314</v>
      </c>
      <c r="V29" s="88">
        <v>0.97414100269652992</v>
      </c>
      <c r="W29" s="19"/>
      <c r="X29" s="24" t="s">
        <v>135</v>
      </c>
      <c r="Y29" s="25" t="s">
        <v>8</v>
      </c>
      <c r="Z29" s="26" t="s">
        <v>9</v>
      </c>
      <c r="AA29" s="16"/>
      <c r="AB29" s="39" t="s">
        <v>17</v>
      </c>
      <c r="AC29" s="40" t="s">
        <v>18</v>
      </c>
      <c r="AD29" s="172"/>
      <c r="AE29" s="19"/>
      <c r="AF29" s="9"/>
      <c r="AG29" s="19"/>
      <c r="AH29" s="80" t="s">
        <v>136</v>
      </c>
      <c r="AI29" s="19"/>
      <c r="AJ29" s="56" t="str">
        <f>IF(AND(LEN(AQ29)&gt;0,AS29&gt;0),_xll.xlShmInterpDisc(curveName,AQ29)+0*TYPE($V$4),"")</f>
        <v/>
      </c>
      <c r="AK29" s="57" t="str">
        <f>IF(AND(LEN(AQ29)&gt;0,AS29&gt;0),100*_xll.xlShmInterpRate(curveName,2,5,AQ29)+0*TYPE($V$4),"")</f>
        <v/>
      </c>
      <c r="AL29" s="57" t="str">
        <f t="shared" si="10"/>
        <v/>
      </c>
      <c r="AM29" s="58" t="str">
        <f t="shared" si="11"/>
        <v/>
      </c>
      <c r="AN29" s="59"/>
      <c r="AO29" s="60"/>
      <c r="AP29" s="59"/>
      <c r="AQ29" s="60"/>
      <c r="AR29" s="59"/>
      <c r="AS29" s="61"/>
      <c r="AT29" s="62"/>
      <c r="AU29" s="59"/>
      <c r="AV29" s="59"/>
      <c r="AW29" s="59"/>
      <c r="AX29" s="59"/>
      <c r="AY29" s="63"/>
      <c r="AZ29" s="19"/>
      <c r="BA29" s="15"/>
      <c r="BB29" s="16"/>
      <c r="BC29" s="16"/>
      <c r="BD29" s="16"/>
      <c r="BE29" s="83" t="b">
        <v>1</v>
      </c>
      <c r="BF29" s="115" t="str">
        <f t="shared" si="25"/>
        <v>21M</v>
      </c>
      <c r="BG29" s="73">
        <f t="shared" si="13"/>
        <v>21</v>
      </c>
      <c r="BH29" s="74" t="s">
        <v>108</v>
      </c>
      <c r="BI29" s="69">
        <f t="shared" si="26"/>
        <v>-0.33300000000000002</v>
      </c>
      <c r="BJ29" s="70"/>
      <c r="BK29" s="71"/>
      <c r="BL29" s="72">
        <f t="shared" si="15"/>
        <v>-0.33300000000000002</v>
      </c>
      <c r="BM29" s="73">
        <f t="shared" si="23"/>
        <v>27</v>
      </c>
      <c r="BN29" s="74">
        <f t="shared" si="16"/>
        <v>27</v>
      </c>
      <c r="BO29" s="73">
        <f t="shared" si="24"/>
        <v>27</v>
      </c>
      <c r="BP29" s="74">
        <f t="shared" si="17"/>
        <v>27</v>
      </c>
      <c r="BQ29" s="73">
        <f t="shared" si="18"/>
        <v>21</v>
      </c>
      <c r="BR29" s="18" t="str">
        <f t="shared" si="19"/>
        <v>e</v>
      </c>
      <c r="BS29" s="72">
        <f t="shared" si="20"/>
        <v>-0.33300000000000002</v>
      </c>
      <c r="BT29" s="16"/>
      <c r="BU29" s="92" t="str">
        <v>-</v>
      </c>
      <c r="BV29" s="88" t="str">
        <v>-</v>
      </c>
      <c r="BW29" s="19"/>
      <c r="BX29" s="116" t="s">
        <v>137</v>
      </c>
      <c r="BY29" s="78">
        <f>_xll.RtGet($CC$7,$CC$8&amp;BX29&amp;$CC$9,$BY$7)</f>
        <v>-0.33845820400000004</v>
      </c>
      <c r="BZ29" s="79">
        <f>_xll.RtGet($CC$7,$CC$8&amp;BX29&amp;$CC$9,$BZ$7)</f>
        <v>-0.33845820400000004</v>
      </c>
      <c r="CA29" s="16"/>
      <c r="CB29" s="19"/>
      <c r="CC29" s="19"/>
      <c r="CD29" s="16"/>
      <c r="CE29" s="56" t="str">
        <f>IF(AND(LEN(CL29)&gt;0,CN29&gt;0),_xll.xlShmInterpDisc(curveName,CL29)+0*TYPE($V$4),"")</f>
        <v/>
      </c>
      <c r="CF29" s="57" t="str">
        <f>IF(AND(LEN(CL29)&gt;0,CN29&gt;0),100*_xll.xlShmInterpRate(curveName,2,5,CL29)+0*TYPE($V$4),"")</f>
        <v/>
      </c>
      <c r="CG29" s="57" t="str">
        <f t="shared" si="21"/>
        <v/>
      </c>
      <c r="CH29" s="58" t="str">
        <f t="shared" si="22"/>
        <v/>
      </c>
      <c r="CI29" s="59"/>
      <c r="CJ29" s="60"/>
      <c r="CK29" s="59"/>
      <c r="CL29" s="60"/>
      <c r="CM29" s="59"/>
      <c r="CN29" s="61"/>
      <c r="CO29" s="62"/>
      <c r="CP29" s="59"/>
      <c r="CQ29" s="59"/>
      <c r="CR29" s="59"/>
      <c r="CS29" s="59"/>
      <c r="CT29" s="63"/>
      <c r="CU29" s="14"/>
      <c r="CV29" s="15"/>
      <c r="CW29" s="16"/>
      <c r="CX29" s="77" t="s">
        <v>138</v>
      </c>
      <c r="CY29" s="133" t="str">
        <f t="shared" si="27"/>
        <v>EURFX12MDDF=</v>
      </c>
      <c r="CZ29" s="16"/>
      <c r="DA29" s="142">
        <f>_xll.xlDateWorkFw(Calendar,VALUE(_xll.xlDateShiftMonth(VALUE(Settlement),LEFT(CX29,LEN(CX29)-1))),0)</f>
        <v>43123</v>
      </c>
      <c r="DB29" s="137">
        <f>_xll.xlShmInterpDisc("EUR",DA29+0*TYPE(disc_refresh))</f>
        <v>1.0021632328137242</v>
      </c>
      <c r="DC29" s="143">
        <f t="shared" si="28"/>
        <v>1.0021632328137242</v>
      </c>
      <c r="DD29" s="137"/>
      <c r="DE29" s="21"/>
      <c r="DF29" s="74" t="str">
        <f>IF($DF$10,_xll.RtContribute("DTSIMI1",CY29,$DA$10:$DC$10,DA29:DC29,"SCOPE:SERVER"),"-")</f>
        <v>-</v>
      </c>
      <c r="DG29" s="18"/>
      <c r="DH29" s="142" t="str">
        <f>IF($DF$10,_xll.RtGet($DB$4,CY29,$DA$10),"-")</f>
        <v>-</v>
      </c>
      <c r="DI29" s="144" t="str">
        <f>IF($DF$10,_xll.RtGet($DB$4,CY29,$DB$10),"-")</f>
        <v>-</v>
      </c>
      <c r="DJ29" s="145" t="str">
        <f>IF($DF$10,_xll.RtGet($DB$4,CY29,$DC$10),"-")</f>
        <v>-</v>
      </c>
      <c r="DK29" s="18"/>
      <c r="DL29" s="16"/>
      <c r="DM29" s="16"/>
      <c r="DN29" s="16"/>
      <c r="DO29" s="16"/>
      <c r="DP29" s="16"/>
      <c r="DQ29" s="14"/>
    </row>
    <row r="30" spans="1:121" x14ac:dyDescent="0.2">
      <c r="A30" s="21"/>
      <c r="B30" s="182" t="s">
        <v>139</v>
      </c>
      <c r="C30" s="82" t="s">
        <v>25</v>
      </c>
      <c r="D30" s="16"/>
      <c r="E30" s="83" t="b">
        <v>1</v>
      </c>
      <c r="F30" s="174" t="str">
        <f t="shared" si="29"/>
        <v>Mar 18</v>
      </c>
      <c r="G30" s="175" t="str">
        <f>_xll.xlFutCode(H30)</f>
        <v>H8</v>
      </c>
      <c r="H30" s="176">
        <f>_xll.xlDateNextFutLIFFE(H29)</f>
        <v>43180</v>
      </c>
      <c r="I30" s="69">
        <f t="shared" si="30"/>
        <v>100.2525</v>
      </c>
      <c r="J30" s="177"/>
      <c r="K30" s="178">
        <f>_xll.RtGet("IDN",$G$25&amp;G30,"CONVX_BIAS")/$C$54</f>
        <v>5.0000000000000002E-5</v>
      </c>
      <c r="L30" s="177">
        <f t="shared" si="31"/>
        <v>100.25255</v>
      </c>
      <c r="M30" s="73">
        <f t="shared" si="35"/>
        <v>5</v>
      </c>
      <c r="N30" s="74">
        <f t="shared" si="32"/>
        <v>5</v>
      </c>
      <c r="O30" s="73">
        <f t="shared" si="36"/>
        <v>5</v>
      </c>
      <c r="P30" s="74">
        <f t="shared" si="33"/>
        <v>7</v>
      </c>
      <c r="Q30" s="16"/>
      <c r="R30" s="142">
        <f t="shared" si="37"/>
        <v>43362</v>
      </c>
      <c r="S30" s="72">
        <f t="shared" si="34"/>
        <v>100.192592</v>
      </c>
      <c r="T30" s="16"/>
      <c r="U30" s="87">
        <v>45680</v>
      </c>
      <c r="V30" s="88">
        <v>0.96042700195426067</v>
      </c>
      <c r="W30" s="19"/>
      <c r="X30" s="183" t="str">
        <f>_xll.xlFutCode(H26)</f>
        <v>H7</v>
      </c>
      <c r="Y30" s="53">
        <f>_xll.RtGet($AC$29,$AC$30&amp;$X30&amp;$AC$31,Y$29)</f>
        <v>100.33250000000001</v>
      </c>
      <c r="Z30" s="54">
        <f>_xll.RtGet($AC$29,$AC$30&amp;$X30&amp;$AC$31,Z$29)</f>
        <v>100.33250000000001</v>
      </c>
      <c r="AA30" s="16"/>
      <c r="AB30" s="66" t="s">
        <v>27</v>
      </c>
      <c r="AC30" s="67" t="s">
        <v>140</v>
      </c>
      <c r="AD30" s="172"/>
      <c r="AE30" s="19"/>
      <c r="AF30" s="9"/>
      <c r="AG30" s="19"/>
      <c r="AH30" s="99" t="s">
        <v>141</v>
      </c>
      <c r="AI30" s="19"/>
      <c r="AJ30" s="56" t="str">
        <f>IF(AND(LEN(AQ30)&gt;0,AS30&gt;0),_xll.xlShmInterpDisc(curveName,AQ30)+0*TYPE($V$4),"")</f>
        <v/>
      </c>
      <c r="AK30" s="57" t="str">
        <f>IF(AND(LEN(AQ30)&gt;0,AS30&gt;0),100*_xll.xlShmInterpRate(curveName,2,5,AQ30)+0*TYPE($V$4),"")</f>
        <v/>
      </c>
      <c r="AL30" s="57" t="str">
        <f t="shared" si="10"/>
        <v/>
      </c>
      <c r="AM30" s="58" t="str">
        <f t="shared" si="11"/>
        <v/>
      </c>
      <c r="AN30" s="59"/>
      <c r="AO30" s="60"/>
      <c r="AP30" s="59"/>
      <c r="AQ30" s="60"/>
      <c r="AR30" s="59"/>
      <c r="AS30" s="61"/>
      <c r="AT30" s="62"/>
      <c r="AU30" s="59"/>
      <c r="AV30" s="59"/>
      <c r="AW30" s="59"/>
      <c r="AX30" s="59"/>
      <c r="AY30" s="63"/>
      <c r="AZ30" s="19"/>
      <c r="BA30" s="15"/>
      <c r="BB30" s="16"/>
      <c r="BC30" s="16"/>
      <c r="BD30" s="16"/>
      <c r="BE30" s="83" t="b">
        <v>1</v>
      </c>
      <c r="BF30" s="115" t="str">
        <f t="shared" si="25"/>
        <v>22M</v>
      </c>
      <c r="BG30" s="73">
        <f t="shared" si="13"/>
        <v>22</v>
      </c>
      <c r="BH30" s="74" t="s">
        <v>108</v>
      </c>
      <c r="BI30" s="69">
        <f t="shared" si="26"/>
        <v>-0.33014610700000002</v>
      </c>
      <c r="BJ30" s="70"/>
      <c r="BK30" s="71"/>
      <c r="BL30" s="72">
        <f t="shared" si="15"/>
        <v>-0.33014610700000002</v>
      </c>
      <c r="BM30" s="73">
        <f t="shared" si="23"/>
        <v>28</v>
      </c>
      <c r="BN30" s="74">
        <f t="shared" si="16"/>
        <v>28</v>
      </c>
      <c r="BO30" s="73">
        <f t="shared" si="24"/>
        <v>28</v>
      </c>
      <c r="BP30" s="74">
        <f t="shared" si="17"/>
        <v>28</v>
      </c>
      <c r="BQ30" s="73">
        <f t="shared" si="18"/>
        <v>22</v>
      </c>
      <c r="BR30" s="18" t="str">
        <f t="shared" si="19"/>
        <v>e</v>
      </c>
      <c r="BS30" s="72">
        <f t="shared" si="20"/>
        <v>-0.33014610700000002</v>
      </c>
      <c r="BT30" s="16"/>
      <c r="BU30" s="92" t="str">
        <v>-</v>
      </c>
      <c r="BV30" s="88" t="str">
        <v>-</v>
      </c>
      <c r="BW30" s="19"/>
      <c r="BX30" s="116" t="s">
        <v>142</v>
      </c>
      <c r="BY30" s="78">
        <f>_xll.RtGet($CC$7,$CC$8&amp;BX30&amp;$CC$9,$BY$7)</f>
        <v>-0.33563900700000004</v>
      </c>
      <c r="BZ30" s="79">
        <f>_xll.RtGet($CC$7,$CC$8&amp;BX30&amp;$CC$9,$BZ$7)</f>
        <v>-0.33563900700000004</v>
      </c>
      <c r="CA30" s="16"/>
      <c r="CB30" s="19"/>
      <c r="CC30" s="19"/>
      <c r="CD30" s="16"/>
      <c r="CE30" s="56" t="str">
        <f>IF(AND(LEN(CL30)&gt;0,CN30&gt;0),_xll.xlShmInterpDisc(curveName,CL30)+0*TYPE($V$4),"")</f>
        <v/>
      </c>
      <c r="CF30" s="57" t="str">
        <f>IF(AND(LEN(CL30)&gt;0,CN30&gt;0),100*_xll.xlShmInterpRate(curveName,2,5,CL30)+0*TYPE($V$4),"")</f>
        <v/>
      </c>
      <c r="CG30" s="57" t="str">
        <f t="shared" si="21"/>
        <v/>
      </c>
      <c r="CH30" s="58" t="str">
        <f t="shared" si="22"/>
        <v/>
      </c>
      <c r="CI30" s="59"/>
      <c r="CJ30" s="60"/>
      <c r="CK30" s="59"/>
      <c r="CL30" s="60"/>
      <c r="CM30" s="59"/>
      <c r="CN30" s="61"/>
      <c r="CO30" s="62"/>
      <c r="CP30" s="59"/>
      <c r="CQ30" s="59"/>
      <c r="CR30" s="59"/>
      <c r="CS30" s="59"/>
      <c r="CT30" s="63"/>
      <c r="CU30" s="14"/>
      <c r="CV30" s="15"/>
      <c r="CW30" s="16"/>
      <c r="CX30" s="77" t="s">
        <v>122</v>
      </c>
      <c r="CY30" s="133" t="str">
        <f t="shared" si="27"/>
        <v>EURFX15MDDF=</v>
      </c>
      <c r="CZ30" s="16"/>
      <c r="DA30" s="142">
        <f>_xll.xlDateWorkFw(Calendar,VALUE(_xll.xlDateShiftMonth(VALUE(Settlement),LEFT(CX30,LEN(CX30)-1))),0)</f>
        <v>43213</v>
      </c>
      <c r="DB30" s="137">
        <f>_xll.xlShmInterpDisc("EUR",DA30+0*TYPE(disc_refresh))</f>
        <v>1.0028494676135629</v>
      </c>
      <c r="DC30" s="143">
        <f t="shared" si="28"/>
        <v>1.0028494676135629</v>
      </c>
      <c r="DD30" s="137"/>
      <c r="DE30" s="21"/>
      <c r="DF30" s="74" t="str">
        <f>IF($DF$10,_xll.RtContribute("DTSIMI1",CY30,$DA$10:$DC$10,DA30:DC30,"SCOPE:SERVER"),"-")</f>
        <v>-</v>
      </c>
      <c r="DG30" s="18"/>
      <c r="DH30" s="142" t="str">
        <f>IF($DF$10,_xll.RtGet($DB$4,CY30,$DA$10),"-")</f>
        <v>-</v>
      </c>
      <c r="DI30" s="144" t="str">
        <f>IF($DF$10,_xll.RtGet($DB$4,CY30,$DB$10),"-")</f>
        <v>-</v>
      </c>
      <c r="DJ30" s="145" t="str">
        <f>IF($DF$10,_xll.RtGet($DB$4,CY30,$DC$10),"-")</f>
        <v>-</v>
      </c>
      <c r="DK30" s="18"/>
      <c r="DL30" s="16"/>
      <c r="DM30" s="16"/>
      <c r="DN30" s="16"/>
      <c r="DO30" s="16"/>
      <c r="DP30" s="16"/>
      <c r="DQ30" s="14"/>
    </row>
    <row r="31" spans="1:121" x14ac:dyDescent="0.2">
      <c r="A31" s="21"/>
      <c r="B31" s="184" t="s">
        <v>143</v>
      </c>
      <c r="C31" s="90" t="s">
        <v>45</v>
      </c>
      <c r="D31" s="16"/>
      <c r="E31" s="83" t="b">
        <v>1</v>
      </c>
      <c r="F31" s="174" t="str">
        <f t="shared" si="29"/>
        <v>Jun 18</v>
      </c>
      <c r="G31" s="175" t="str">
        <f>_xll.xlFutCode(H31)</f>
        <v>M8</v>
      </c>
      <c r="H31" s="176">
        <f>_xll.xlDateNextFutLIFFE(H30)</f>
        <v>43271</v>
      </c>
      <c r="I31" s="69">
        <f t="shared" si="30"/>
        <v>100.22750000000001</v>
      </c>
      <c r="J31" s="177"/>
      <c r="K31" s="178">
        <f>_xll.RtGet("IDN",$G$25&amp;G31,"CONVX_BIAS")/$C$54</f>
        <v>6.900000000000001E-5</v>
      </c>
      <c r="L31" s="177">
        <f t="shared" si="31"/>
        <v>100.227569</v>
      </c>
      <c r="M31" s="73">
        <f t="shared" si="35"/>
        <v>6</v>
      </c>
      <c r="N31" s="74">
        <f t="shared" si="32"/>
        <v>6</v>
      </c>
      <c r="O31" s="73">
        <f t="shared" si="36"/>
        <v>6</v>
      </c>
      <c r="P31" s="74">
        <f t="shared" si="33"/>
        <v>8</v>
      </c>
      <c r="Q31" s="16"/>
      <c r="R31" s="142">
        <f t="shared" si="37"/>
        <v>43453</v>
      </c>
      <c r="S31" s="72">
        <f t="shared" si="34"/>
        <v>100.152618</v>
      </c>
      <c r="T31" s="19"/>
      <c r="U31" s="87">
        <v>46045</v>
      </c>
      <c r="V31" s="88">
        <v>0.9447958526028194</v>
      </c>
      <c r="W31" s="19"/>
      <c r="X31" s="185" t="str">
        <f>_xll.xlFutCode(H27)</f>
        <v>M7</v>
      </c>
      <c r="Y31" s="78">
        <f>_xll.RtGet($AC$29,$AC$30&amp;$X31&amp;$AC$31,Y$29)</f>
        <v>100.31750000000001</v>
      </c>
      <c r="Z31" s="79">
        <f>_xll.RtGet($AC$29,$AC$30&amp;$X31&amp;$AC$31,Z$29)</f>
        <v>100.31750000000001</v>
      </c>
      <c r="AA31" s="16"/>
      <c r="AB31" s="85" t="s">
        <v>36</v>
      </c>
      <c r="AC31" s="86"/>
      <c r="AD31" s="172"/>
      <c r="AE31" s="19"/>
      <c r="AF31" s="9"/>
      <c r="AG31" s="19"/>
      <c r="AH31" s="19"/>
      <c r="AI31" s="19"/>
      <c r="AJ31" s="56" t="str">
        <f>IF(AND(LEN(AQ31)&gt;0,AS31&gt;0),_xll.xlShmInterpDisc(curveName,AQ31)+0*TYPE($V$4),"")</f>
        <v/>
      </c>
      <c r="AK31" s="57" t="str">
        <f>IF(AND(LEN(AQ31)&gt;0,AS31&gt;0),100*_xll.xlShmInterpRate(curveName,2,5,AQ31)+0*TYPE($V$4),"")</f>
        <v/>
      </c>
      <c r="AL31" s="57" t="str">
        <f t="shared" si="10"/>
        <v/>
      </c>
      <c r="AM31" s="58" t="str">
        <f t="shared" si="11"/>
        <v/>
      </c>
      <c r="AN31" s="59"/>
      <c r="AO31" s="60"/>
      <c r="AP31" s="59"/>
      <c r="AQ31" s="60"/>
      <c r="AR31" s="59"/>
      <c r="AS31" s="61"/>
      <c r="AT31" s="62"/>
      <c r="AU31" s="59"/>
      <c r="AV31" s="59"/>
      <c r="AW31" s="59"/>
      <c r="AX31" s="59"/>
      <c r="AY31" s="63"/>
      <c r="AZ31" s="19"/>
      <c r="BA31" s="15"/>
      <c r="BB31" s="16"/>
      <c r="BC31" s="16"/>
      <c r="BD31" s="16"/>
      <c r="BE31" s="83" t="b">
        <v>1</v>
      </c>
      <c r="BF31" s="115" t="str">
        <f t="shared" si="25"/>
        <v>23M</v>
      </c>
      <c r="BG31" s="73">
        <f t="shared" si="13"/>
        <v>23</v>
      </c>
      <c r="BH31" s="74" t="s">
        <v>108</v>
      </c>
      <c r="BI31" s="69">
        <f t="shared" si="26"/>
        <v>-0.32715573400000003</v>
      </c>
      <c r="BJ31" s="70"/>
      <c r="BK31" s="71"/>
      <c r="BL31" s="72">
        <f t="shared" si="15"/>
        <v>-0.32715573400000003</v>
      </c>
      <c r="BM31" s="73">
        <f t="shared" si="23"/>
        <v>29</v>
      </c>
      <c r="BN31" s="74">
        <f t="shared" si="16"/>
        <v>29</v>
      </c>
      <c r="BO31" s="73">
        <f t="shared" si="24"/>
        <v>29</v>
      </c>
      <c r="BP31" s="74">
        <f t="shared" si="17"/>
        <v>29</v>
      </c>
      <c r="BQ31" s="73">
        <f t="shared" si="18"/>
        <v>23</v>
      </c>
      <c r="BR31" s="18" t="str">
        <f t="shared" si="19"/>
        <v>e</v>
      </c>
      <c r="BS31" s="72">
        <f t="shared" si="20"/>
        <v>-0.32715573400000003</v>
      </c>
      <c r="BT31" s="19"/>
      <c r="BU31" s="92" t="str">
        <v>-</v>
      </c>
      <c r="BV31" s="88" t="str">
        <v>-</v>
      </c>
      <c r="BW31" s="19"/>
      <c r="BX31" s="116" t="s">
        <v>144</v>
      </c>
      <c r="BY31" s="78">
        <f>_xll.RtGet($CC$7,$CC$8&amp;BX31&amp;$CC$9,$BY$7)</f>
        <v>-0.33300000000000002</v>
      </c>
      <c r="BZ31" s="79">
        <f>_xll.RtGet($CC$7,$CC$8&amp;BX31&amp;$CC$9,$BZ$7)</f>
        <v>-0.33300000000000002</v>
      </c>
      <c r="CA31" s="16"/>
      <c r="CB31" s="19"/>
      <c r="CC31" s="19"/>
      <c r="CD31" s="16"/>
      <c r="CE31" s="56" t="str">
        <f>IF(AND(LEN(CL31)&gt;0,CN31&gt;0),_xll.xlShmInterpDisc(curveName,CL31)+0*TYPE($V$4),"")</f>
        <v/>
      </c>
      <c r="CF31" s="57" t="str">
        <f>IF(AND(LEN(CL31)&gt;0,CN31&gt;0),100*_xll.xlShmInterpRate(curveName,2,5,CL31)+0*TYPE($V$4),"")</f>
        <v/>
      </c>
      <c r="CG31" s="57" t="str">
        <f t="shared" si="21"/>
        <v/>
      </c>
      <c r="CH31" s="58" t="str">
        <f t="shared" si="22"/>
        <v/>
      </c>
      <c r="CI31" s="59"/>
      <c r="CJ31" s="60"/>
      <c r="CK31" s="59"/>
      <c r="CL31" s="60"/>
      <c r="CM31" s="59"/>
      <c r="CN31" s="61"/>
      <c r="CO31" s="62"/>
      <c r="CP31" s="59"/>
      <c r="CQ31" s="59"/>
      <c r="CR31" s="59"/>
      <c r="CS31" s="59"/>
      <c r="CT31" s="63"/>
      <c r="CU31" s="14"/>
      <c r="CV31" s="15"/>
      <c r="CW31" s="16"/>
      <c r="CX31" s="77" t="s">
        <v>133</v>
      </c>
      <c r="CY31" s="133" t="str">
        <f t="shared" si="27"/>
        <v>EURFX18MDDF=</v>
      </c>
      <c r="CZ31" s="16"/>
      <c r="DA31" s="142">
        <f>_xll.xlDateWorkFw(Calendar,VALUE(_xll.xlDateShiftMonth(VALUE(Settlement),LEFT(CX31,LEN(CX31)-1))),0)</f>
        <v>43304</v>
      </c>
      <c r="DB31" s="137">
        <f>_xll.xlShmInterpDisc("EUR",DA31+0*TYPE(disc_refresh))</f>
        <v>1.0034707422738873</v>
      </c>
      <c r="DC31" s="143">
        <f t="shared" si="28"/>
        <v>1.0034707422738873</v>
      </c>
      <c r="DD31" s="137"/>
      <c r="DE31" s="21"/>
      <c r="DF31" s="74" t="str">
        <f>IF($DF$10,_xll.RtContribute("DTSIMI1",CY31,$DA$10:$DC$10,DA31:DC31,"SCOPE:SERVER"),"-")</f>
        <v>-</v>
      </c>
      <c r="DG31" s="18"/>
      <c r="DH31" s="142" t="str">
        <f>IF($DF$10,_xll.RtGet($DB$4,CY31,$DA$10),"-")</f>
        <v>-</v>
      </c>
      <c r="DI31" s="144" t="str">
        <f>IF($DF$10,_xll.RtGet($DB$4,CY31,$DB$10),"-")</f>
        <v>-</v>
      </c>
      <c r="DJ31" s="145" t="str">
        <f>IF($DF$10,_xll.RtGet($DB$4,CY31,$DC$10),"-")</f>
        <v>-</v>
      </c>
      <c r="DK31" s="18"/>
      <c r="DL31" s="16"/>
      <c r="DM31" s="16"/>
      <c r="DN31" s="16"/>
      <c r="DO31" s="16"/>
      <c r="DP31" s="16"/>
      <c r="DQ31" s="14"/>
    </row>
    <row r="32" spans="1:121" x14ac:dyDescent="0.2">
      <c r="A32" s="21"/>
      <c r="B32" s="184" t="s">
        <v>145</v>
      </c>
      <c r="C32" s="90" t="s">
        <v>52</v>
      </c>
      <c r="D32" s="16"/>
      <c r="E32" s="83" t="b">
        <v>1</v>
      </c>
      <c r="F32" s="174" t="str">
        <f t="shared" si="29"/>
        <v>Sep 18</v>
      </c>
      <c r="G32" s="175" t="str">
        <f>_xll.xlFutCode(H32)</f>
        <v>U8</v>
      </c>
      <c r="H32" s="176">
        <f>_xll.xlDateNextFutLIFFE(H31)</f>
        <v>43362</v>
      </c>
      <c r="I32" s="69">
        <f t="shared" si="30"/>
        <v>100.19250000000001</v>
      </c>
      <c r="J32" s="177"/>
      <c r="K32" s="178">
        <f>_xll.RtGet("IDN",$G$25&amp;G32,"CONVX_BIAS")/$C$54</f>
        <v>9.2E-5</v>
      </c>
      <c r="L32" s="177">
        <f t="shared" si="31"/>
        <v>100.192592</v>
      </c>
      <c r="M32" s="73">
        <f t="shared" si="35"/>
        <v>7</v>
      </c>
      <c r="N32" s="74">
        <f t="shared" si="32"/>
        <v>7</v>
      </c>
      <c r="O32" s="73" t="str">
        <f t="shared" si="36"/>
        <v/>
      </c>
      <c r="P32" s="74" t="str">
        <f t="shared" si="33"/>
        <v/>
      </c>
      <c r="Q32" s="16"/>
      <c r="R32" s="142" t="str">
        <f t="shared" si="37"/>
        <v/>
      </c>
      <c r="S32" s="72" t="str">
        <f t="shared" si="34"/>
        <v/>
      </c>
      <c r="T32" s="19"/>
      <c r="U32" s="87">
        <v>46412</v>
      </c>
      <c r="V32" s="88">
        <v>0.92800538733951776</v>
      </c>
      <c r="W32" s="19"/>
      <c r="X32" s="185" t="str">
        <f>_xll.xlFutCode(H28)</f>
        <v>U7</v>
      </c>
      <c r="Y32" s="78">
        <f>_xll.RtGet($AC$29,$AC$30&amp;$X32&amp;$AC$31,Y$29)</f>
        <v>100.30250000000001</v>
      </c>
      <c r="Z32" s="79">
        <f>_xll.RtGet($AC$29,$AC$30&amp;$X32&amp;$AC$31,Z$29)</f>
        <v>100.30250000000001</v>
      </c>
      <c r="AA32" s="16"/>
      <c r="AB32" s="19"/>
      <c r="AC32" s="19"/>
      <c r="AD32" s="172"/>
      <c r="AE32" s="19"/>
      <c r="AF32" s="19"/>
      <c r="AG32" s="19"/>
      <c r="AH32" s="186" t="s">
        <v>146</v>
      </c>
      <c r="AI32" s="19"/>
      <c r="AJ32" s="56" t="str">
        <f>IF(AND(LEN(AQ32)&gt;0,AS32&gt;0),_xll.xlShmInterpDisc(curveName,AQ32)+0*TYPE($V$4),"")</f>
        <v/>
      </c>
      <c r="AK32" s="57" t="str">
        <f>IF(AND(LEN(AQ32)&gt;0,AS32&gt;0),100*_xll.xlShmInterpRate(curveName,2,5,AQ32)+0*TYPE($V$4),"")</f>
        <v/>
      </c>
      <c r="AL32" s="57" t="str">
        <f t="shared" si="10"/>
        <v/>
      </c>
      <c r="AM32" s="58" t="str">
        <f t="shared" si="11"/>
        <v/>
      </c>
      <c r="AN32" s="59"/>
      <c r="AO32" s="60"/>
      <c r="AP32" s="59"/>
      <c r="AQ32" s="60"/>
      <c r="AR32" s="59"/>
      <c r="AS32" s="61"/>
      <c r="AT32" s="62"/>
      <c r="AU32" s="59"/>
      <c r="AV32" s="59"/>
      <c r="AW32" s="59"/>
      <c r="AX32" s="59"/>
      <c r="AY32" s="63"/>
      <c r="AZ32" s="19"/>
      <c r="BA32" s="15"/>
      <c r="BB32" s="16"/>
      <c r="BC32" s="16"/>
      <c r="BD32" s="16"/>
      <c r="BE32" s="83" t="b">
        <v>1</v>
      </c>
      <c r="BF32" s="152" t="str">
        <f t="shared" si="25"/>
        <v>2Y</v>
      </c>
      <c r="BG32" s="73">
        <f t="shared" si="13"/>
        <v>24</v>
      </c>
      <c r="BH32" s="74" t="s">
        <v>108</v>
      </c>
      <c r="BI32" s="69">
        <f t="shared" si="26"/>
        <v>-0.32400000000000001</v>
      </c>
      <c r="BJ32" s="70"/>
      <c r="BK32" s="71"/>
      <c r="BL32" s="72">
        <f t="shared" si="15"/>
        <v>-0.32400000000000001</v>
      </c>
      <c r="BM32" s="73">
        <f t="shared" si="23"/>
        <v>30</v>
      </c>
      <c r="BN32" s="74">
        <f t="shared" si="16"/>
        <v>30</v>
      </c>
      <c r="BO32" s="73">
        <f t="shared" si="24"/>
        <v>30</v>
      </c>
      <c r="BP32" s="74">
        <f t="shared" si="17"/>
        <v>30</v>
      </c>
      <c r="BQ32" s="73">
        <f t="shared" si="18"/>
        <v>24</v>
      </c>
      <c r="BR32" s="18" t="str">
        <f t="shared" si="19"/>
        <v>e</v>
      </c>
      <c r="BS32" s="72">
        <f t="shared" si="20"/>
        <v>-0.32400000000000001</v>
      </c>
      <c r="BT32" s="19"/>
      <c r="BU32" s="92" t="str">
        <v>-</v>
      </c>
      <c r="BV32" s="88" t="str">
        <v>-</v>
      </c>
      <c r="BW32" s="19"/>
      <c r="BX32" s="116" t="s">
        <v>147</v>
      </c>
      <c r="BY32" s="78">
        <f>_xll.RtGet($CC$7,$CC$8&amp;BX32&amp;$CC$9,$BY$7)</f>
        <v>-0.33014610700000002</v>
      </c>
      <c r="BZ32" s="79">
        <f>_xll.RtGet($CC$7,$CC$8&amp;BX32&amp;$CC$9,$BZ$7)</f>
        <v>-0.33014610700000002</v>
      </c>
      <c r="CA32" s="16"/>
      <c r="CB32" s="19"/>
      <c r="CC32" s="19"/>
      <c r="CD32" s="16"/>
      <c r="CE32" s="56" t="str">
        <f>IF(AND(LEN(CL32)&gt;0,CN32&gt;0),_xll.xlShmInterpDisc(curveName,CL32)+0*TYPE($V$4),"")</f>
        <v/>
      </c>
      <c r="CF32" s="57" t="str">
        <f>IF(AND(LEN(CL32)&gt;0,CN32&gt;0),100*_xll.xlShmInterpRate(curveName,2,5,CL32)+0*TYPE($V$4),"")</f>
        <v/>
      </c>
      <c r="CG32" s="57" t="str">
        <f t="shared" si="21"/>
        <v/>
      </c>
      <c r="CH32" s="58" t="str">
        <f t="shared" si="22"/>
        <v/>
      </c>
      <c r="CI32" s="59"/>
      <c r="CJ32" s="60"/>
      <c r="CK32" s="59"/>
      <c r="CL32" s="60"/>
      <c r="CM32" s="59"/>
      <c r="CN32" s="61"/>
      <c r="CO32" s="62"/>
      <c r="CP32" s="59"/>
      <c r="CQ32" s="59"/>
      <c r="CR32" s="59"/>
      <c r="CS32" s="59"/>
      <c r="CT32" s="63"/>
      <c r="CU32" s="14"/>
      <c r="CV32" s="15"/>
      <c r="CW32" s="16"/>
      <c r="CX32" s="77" t="s">
        <v>148</v>
      </c>
      <c r="CY32" s="133" t="str">
        <f t="shared" si="27"/>
        <v>EURFX24MDDF=</v>
      </c>
      <c r="CZ32" s="16"/>
      <c r="DA32" s="142">
        <f>_xll.xlDateWorkFw(Calendar,VALUE(_xll.xlDateShiftMonth(VALUE(Settlement),LEFT(CX32,LEN(CX32)-1))),0)</f>
        <v>43488</v>
      </c>
      <c r="DB32" s="137">
        <f>_xll.xlShmInterpDisc("EUR",DA32+0*TYPE(disc_refresh))</f>
        <v>1.0044810745975883</v>
      </c>
      <c r="DC32" s="143">
        <f t="shared" si="28"/>
        <v>1.0044810745975883</v>
      </c>
      <c r="DD32" s="137"/>
      <c r="DE32" s="21"/>
      <c r="DF32" s="74" t="str">
        <f>IF($DF$10,_xll.RtContribute("DTSIMI1",CY32,$DA$10:$DC$10,DA32:DC32,"SCOPE:SERVER"),"-")</f>
        <v>-</v>
      </c>
      <c r="DG32" s="18"/>
      <c r="DH32" s="142" t="str">
        <f>IF($DF$10,_xll.RtGet($DB$4,CY32,$DA$10),"-")</f>
        <v>-</v>
      </c>
      <c r="DI32" s="144" t="str">
        <f>IF($DF$10,_xll.RtGet($DB$4,CY32,$DB$10),"-")</f>
        <v>-</v>
      </c>
      <c r="DJ32" s="145" t="str">
        <f>IF($DF$10,_xll.RtGet($DB$4,CY32,$DC$10),"-")</f>
        <v>-</v>
      </c>
      <c r="DK32" s="18"/>
      <c r="DL32" s="16"/>
      <c r="DM32" s="16"/>
      <c r="DN32" s="16"/>
      <c r="DO32" s="16"/>
      <c r="DP32" s="16"/>
      <c r="DQ32" s="14"/>
    </row>
    <row r="33" spans="1:121" x14ac:dyDescent="0.2">
      <c r="A33" s="21"/>
      <c r="B33" s="187" t="s">
        <v>86</v>
      </c>
      <c r="C33" s="101" t="s">
        <v>59</v>
      </c>
      <c r="D33" s="16"/>
      <c r="E33" s="83" t="b">
        <v>1</v>
      </c>
      <c r="F33" s="174" t="str">
        <f t="shared" si="29"/>
        <v>Dec 18</v>
      </c>
      <c r="G33" s="175" t="str">
        <f>_xll.xlFutCode(H33)</f>
        <v>Z8</v>
      </c>
      <c r="H33" s="176">
        <f>_xll.xlDateNextFutLIFFE(H32)</f>
        <v>43453</v>
      </c>
      <c r="I33" s="69">
        <f t="shared" si="30"/>
        <v>100.1525</v>
      </c>
      <c r="J33" s="177"/>
      <c r="K33" s="178">
        <f>_xll.RtGet("IDN",$G$25&amp;G33,"CONVX_BIAS")/$C$54</f>
        <v>1.18E-4</v>
      </c>
      <c r="L33" s="177">
        <f t="shared" si="31"/>
        <v>100.152618</v>
      </c>
      <c r="M33" s="73">
        <f t="shared" si="35"/>
        <v>8</v>
      </c>
      <c r="N33" s="74">
        <f t="shared" si="32"/>
        <v>8</v>
      </c>
      <c r="O33" s="73" t="str">
        <f t="shared" si="36"/>
        <v/>
      </c>
      <c r="P33" s="74" t="str">
        <f t="shared" si="33"/>
        <v/>
      </c>
      <c r="Q33" s="16"/>
      <c r="R33" s="142" t="str">
        <f t="shared" si="37"/>
        <v/>
      </c>
      <c r="S33" s="72" t="str">
        <f t="shared" si="34"/>
        <v/>
      </c>
      <c r="T33" s="19"/>
      <c r="U33" s="87">
        <v>46776</v>
      </c>
      <c r="V33" s="88">
        <v>0.91062165610144619</v>
      </c>
      <c r="W33" s="19"/>
      <c r="X33" s="185" t="str">
        <f>_xll.xlFutCode(H29)</f>
        <v>Z7</v>
      </c>
      <c r="Y33" s="78">
        <f>_xll.RtGet($AC$29,$AC$30&amp;$X33&amp;$AC$31,Y$29)</f>
        <v>100.2825</v>
      </c>
      <c r="Z33" s="79">
        <f>_xll.RtGet($AC$29,$AC$30&amp;$X33&amp;$AC$31,Z$29)</f>
        <v>100.2825</v>
      </c>
      <c r="AA33" s="16"/>
      <c r="AB33" s="19"/>
      <c r="AC33" s="19"/>
      <c r="AD33" s="172"/>
      <c r="AE33" s="19"/>
      <c r="AF33" s="19"/>
      <c r="AG33" s="19"/>
      <c r="AH33" s="188" t="b">
        <v>1</v>
      </c>
      <c r="AI33" s="19"/>
      <c r="AJ33" s="56" t="str">
        <f>IF(AND(LEN(AQ33)&gt;0,AS33&gt;0),_xll.xlShmInterpDisc(curveName,AQ33)+0*TYPE($V$4),"")</f>
        <v/>
      </c>
      <c r="AK33" s="57" t="str">
        <f>IF(AND(LEN(AQ33)&gt;0,AS33&gt;0),100*_xll.xlShmInterpRate(curveName,2,5,AQ33)+0*TYPE($V$4),"")</f>
        <v/>
      </c>
      <c r="AL33" s="57" t="str">
        <f t="shared" si="10"/>
        <v/>
      </c>
      <c r="AM33" s="58" t="str">
        <f t="shared" si="11"/>
        <v/>
      </c>
      <c r="AN33" s="59"/>
      <c r="AO33" s="60"/>
      <c r="AP33" s="59"/>
      <c r="AQ33" s="60"/>
      <c r="AR33" s="59"/>
      <c r="AS33" s="61"/>
      <c r="AT33" s="62"/>
      <c r="AU33" s="59"/>
      <c r="AV33" s="59"/>
      <c r="AW33" s="59"/>
      <c r="AX33" s="59"/>
      <c r="AY33" s="63"/>
      <c r="AZ33" s="19"/>
      <c r="BA33" s="15"/>
      <c r="BB33" s="16"/>
      <c r="BC33" s="16"/>
      <c r="BD33" s="16"/>
      <c r="BE33" s="83" t="b">
        <v>1</v>
      </c>
      <c r="BF33" s="152" t="str">
        <f t="shared" si="25"/>
        <v>3Y</v>
      </c>
      <c r="BG33" s="73">
        <f t="shared" si="13"/>
        <v>36</v>
      </c>
      <c r="BH33" s="74" t="s">
        <v>108</v>
      </c>
      <c r="BI33" s="69">
        <f t="shared" si="26"/>
        <v>-0.26400000000000001</v>
      </c>
      <c r="BJ33" s="70"/>
      <c r="BK33" s="71"/>
      <c r="BL33" s="72">
        <f t="shared" si="15"/>
        <v>-0.26400000000000001</v>
      </c>
      <c r="BM33" s="73">
        <f t="shared" si="23"/>
        <v>31</v>
      </c>
      <c r="BN33" s="74">
        <f t="shared" si="16"/>
        <v>31</v>
      </c>
      <c r="BO33" s="73">
        <f t="shared" si="24"/>
        <v>31</v>
      </c>
      <c r="BP33" s="74">
        <f t="shared" si="17"/>
        <v>31</v>
      </c>
      <c r="BQ33" s="73">
        <f t="shared" si="18"/>
        <v>36</v>
      </c>
      <c r="BR33" s="18" t="str">
        <f t="shared" si="19"/>
        <v>e</v>
      </c>
      <c r="BS33" s="72">
        <f t="shared" si="20"/>
        <v>-0.26400000000000001</v>
      </c>
      <c r="BT33" s="19"/>
      <c r="BU33" s="92" t="str">
        <v>-</v>
      </c>
      <c r="BV33" s="88" t="str">
        <v>-</v>
      </c>
      <c r="BW33" s="19"/>
      <c r="BX33" s="116" t="s">
        <v>149</v>
      </c>
      <c r="BY33" s="78">
        <f>_xll.RtGet($CC$7,$CC$8&amp;BX33&amp;$CC$9,$BY$7)</f>
        <v>-0.32715573400000003</v>
      </c>
      <c r="BZ33" s="79">
        <f>_xll.RtGet($CC$7,$CC$8&amp;BX33&amp;$CC$9,$BZ$7)</f>
        <v>-0.32715573400000003</v>
      </c>
      <c r="CA33" s="16"/>
      <c r="CB33" s="19"/>
      <c r="CC33" s="19"/>
      <c r="CD33" s="16"/>
      <c r="CE33" s="56" t="str">
        <f>IF(AND(LEN(CL33)&gt;0,CN33&gt;0),_xll.xlShmInterpDisc(curveName,CL33)+0*TYPE($V$4),"")</f>
        <v/>
      </c>
      <c r="CF33" s="57" t="str">
        <f>IF(AND(LEN(CL33)&gt;0,CN33&gt;0),100*_xll.xlShmInterpRate(curveName,2,5,CL33)+0*TYPE($V$4),"")</f>
        <v/>
      </c>
      <c r="CG33" s="57" t="str">
        <f t="shared" si="21"/>
        <v/>
      </c>
      <c r="CH33" s="58" t="str">
        <f t="shared" si="22"/>
        <v/>
      </c>
      <c r="CI33" s="59"/>
      <c r="CJ33" s="60"/>
      <c r="CK33" s="59"/>
      <c r="CL33" s="60"/>
      <c r="CM33" s="59"/>
      <c r="CN33" s="61"/>
      <c r="CO33" s="62"/>
      <c r="CP33" s="59"/>
      <c r="CQ33" s="59"/>
      <c r="CR33" s="59"/>
      <c r="CS33" s="59"/>
      <c r="CT33" s="63"/>
      <c r="CU33" s="14"/>
      <c r="CV33" s="15"/>
      <c r="CW33" s="16"/>
      <c r="CX33" s="77" t="s">
        <v>150</v>
      </c>
      <c r="CY33" s="133" t="str">
        <f t="shared" si="27"/>
        <v>EURFX3YSDF=</v>
      </c>
      <c r="CZ33" s="16"/>
      <c r="DA33" s="142">
        <f>_xll.xlDateWorkFw(Calendar,VALUE(_xll.xlDateShiftMonth(VALUE(Settlement),LEFT(CX33,LEN(CX33)-1)*12)),0)</f>
        <v>43853</v>
      </c>
      <c r="DB33" s="137">
        <f>_xll.xlShmInterpDisc("EUR",DA33+0*TYPE(disc_refresh))</f>
        <v>1.0027796883177154</v>
      </c>
      <c r="DC33" s="143">
        <f t="shared" si="28"/>
        <v>1.0027796883177154</v>
      </c>
      <c r="DD33" s="137"/>
      <c r="DE33" s="21"/>
      <c r="DF33" s="74" t="str">
        <f>IF($DF$10,_xll.RtContribute("DTSIMI1",CY33,$DA$10:$DC$10,DA33:DC33,"SCOPE:SERVER"),"-")</f>
        <v>-</v>
      </c>
      <c r="DG33" s="18"/>
      <c r="DH33" s="142" t="str">
        <f>IF($DF$10,_xll.RtGet($DB$4,CY33,$DA$10),"-")</f>
        <v>-</v>
      </c>
      <c r="DI33" s="144" t="str">
        <f>IF($DF$10,_xll.RtGet($DB$4,CY33,$DB$10),"-")</f>
        <v>-</v>
      </c>
      <c r="DJ33" s="145" t="str">
        <f>IF($DF$10,_xll.RtGet($DB$4,CY33,$DC$10),"-")</f>
        <v>-</v>
      </c>
      <c r="DK33" s="18"/>
      <c r="DL33" s="16"/>
      <c r="DM33" s="16"/>
      <c r="DN33" s="16"/>
      <c r="DO33" s="16"/>
      <c r="DP33" s="16"/>
      <c r="DQ33" s="14"/>
    </row>
    <row r="34" spans="1:121" x14ac:dyDescent="0.2">
      <c r="A34" s="21"/>
      <c r="B34" s="189" t="s">
        <v>151</v>
      </c>
      <c r="C34" s="190" t="s">
        <v>125</v>
      </c>
      <c r="D34" s="16"/>
      <c r="E34" s="83" t="b">
        <v>0</v>
      </c>
      <c r="F34" s="174" t="str">
        <f t="shared" si="29"/>
        <v>Mar 19</v>
      </c>
      <c r="G34" s="175" t="str">
        <f>_xll.xlFutCode(H34)</f>
        <v>H9</v>
      </c>
      <c r="H34" s="176">
        <f>_xll.xlDateNextFutLIFFE(H33)</f>
        <v>43544</v>
      </c>
      <c r="I34" s="69">
        <f t="shared" si="30"/>
        <v>100.1075</v>
      </c>
      <c r="J34" s="177"/>
      <c r="K34" s="178">
        <f>_xll.RtGet("IDN",$G$25&amp;G34,"CONVX_BIAS")/$C$54</f>
        <v>1.47E-4</v>
      </c>
      <c r="L34" s="177">
        <f t="shared" si="31"/>
        <v>100.107647</v>
      </c>
      <c r="M34" s="73">
        <f t="shared" si="35"/>
        <v>9</v>
      </c>
      <c r="N34" s="74" t="str">
        <f t="shared" si="32"/>
        <v/>
      </c>
      <c r="O34" s="73" t="str">
        <f t="shared" si="36"/>
        <v/>
      </c>
      <c r="P34" s="74" t="str">
        <f t="shared" si="33"/>
        <v/>
      </c>
      <c r="Q34" s="16"/>
      <c r="R34" s="142" t="str">
        <f t="shared" si="37"/>
        <v/>
      </c>
      <c r="S34" s="72" t="str">
        <f t="shared" si="34"/>
        <v/>
      </c>
      <c r="T34" s="19"/>
      <c r="U34" s="87">
        <v>47141</v>
      </c>
      <c r="V34" s="88">
        <v>0.89286399718882403</v>
      </c>
      <c r="W34" s="19"/>
      <c r="X34" s="185" t="str">
        <f>_xll.xlFutCode(H30)</f>
        <v>H8</v>
      </c>
      <c r="Y34" s="78">
        <f>_xll.RtGet($AC$29,$AC$30&amp;$X34&amp;$AC$31,Y$29)</f>
        <v>100.2525</v>
      </c>
      <c r="Z34" s="79">
        <f>_xll.RtGet($AC$29,$AC$30&amp;$X34&amp;$AC$31,Z$29)</f>
        <v>100.2525</v>
      </c>
      <c r="AA34" s="16"/>
      <c r="AB34" s="19"/>
      <c r="AC34" s="19"/>
      <c r="AD34" s="172"/>
      <c r="AE34" s="19"/>
      <c r="AF34" s="19"/>
      <c r="AG34" s="19"/>
      <c r="AH34" s="191" t="b">
        <v>0</v>
      </c>
      <c r="AI34" s="19"/>
      <c r="AJ34" s="56" t="str">
        <f>IF(AND(LEN(AQ34)&gt;0,AS34&gt;0),_xll.xlShmInterpDisc(curveName,AQ34)+0*TYPE($V$4),"")</f>
        <v/>
      </c>
      <c r="AK34" s="57" t="str">
        <f>IF(AND(LEN(AQ34)&gt;0,AS34&gt;0),100*_xll.xlShmInterpRate(curveName,2,5,AQ34)+0*TYPE($V$4),"")</f>
        <v/>
      </c>
      <c r="AL34" s="57" t="str">
        <f t="shared" si="10"/>
        <v/>
      </c>
      <c r="AM34" s="58" t="str">
        <f t="shared" si="11"/>
        <v/>
      </c>
      <c r="AN34" s="59"/>
      <c r="AO34" s="60"/>
      <c r="AP34" s="59"/>
      <c r="AQ34" s="60"/>
      <c r="AR34" s="59"/>
      <c r="AS34" s="61"/>
      <c r="AT34" s="62"/>
      <c r="AU34" s="59"/>
      <c r="AV34" s="59"/>
      <c r="AW34" s="59"/>
      <c r="AX34" s="59"/>
      <c r="AY34" s="63"/>
      <c r="AZ34" s="64"/>
      <c r="BA34" s="15"/>
      <c r="BB34" s="16"/>
      <c r="BC34" s="16"/>
      <c r="BD34" s="16"/>
      <c r="BE34" s="83" t="b">
        <v>1</v>
      </c>
      <c r="BF34" s="152" t="str">
        <f t="shared" si="25"/>
        <v>4Y</v>
      </c>
      <c r="BG34" s="73">
        <f t="shared" si="13"/>
        <v>48</v>
      </c>
      <c r="BH34" s="74" t="s">
        <v>108</v>
      </c>
      <c r="BI34" s="69">
        <f t="shared" si="26"/>
        <v>-0.186</v>
      </c>
      <c r="BJ34" s="70"/>
      <c r="BK34" s="71"/>
      <c r="BL34" s="72">
        <f t="shared" si="15"/>
        <v>-0.186</v>
      </c>
      <c r="BM34" s="73">
        <f t="shared" si="23"/>
        <v>32</v>
      </c>
      <c r="BN34" s="74">
        <f t="shared" si="16"/>
        <v>32</v>
      </c>
      <c r="BO34" s="73">
        <f t="shared" si="24"/>
        <v>32</v>
      </c>
      <c r="BP34" s="74">
        <f t="shared" si="17"/>
        <v>32</v>
      </c>
      <c r="BQ34" s="73">
        <f t="shared" si="18"/>
        <v>48</v>
      </c>
      <c r="BR34" s="18" t="str">
        <f t="shared" si="19"/>
        <v>e</v>
      </c>
      <c r="BS34" s="72">
        <f t="shared" si="20"/>
        <v>-0.186</v>
      </c>
      <c r="BT34" s="19"/>
      <c r="BU34" s="92" t="str">
        <v>-</v>
      </c>
      <c r="BV34" s="88" t="str">
        <v>-</v>
      </c>
      <c r="BW34" s="19"/>
      <c r="BX34" s="192" t="s">
        <v>152</v>
      </c>
      <c r="BY34" s="78">
        <f>_xll.RtGet($CC$7,$CC$8&amp;BX34&amp;$CC$9,$BY$7)</f>
        <v>-0.32400000000000001</v>
      </c>
      <c r="BZ34" s="79">
        <f>_xll.RtGet($CC$7,$CC$8&amp;BX34&amp;$CC$9,$BZ$7)</f>
        <v>-0.32400000000000001</v>
      </c>
      <c r="CA34" s="19"/>
      <c r="CB34" s="19"/>
      <c r="CC34" s="19"/>
      <c r="CD34" s="16"/>
      <c r="CE34" s="56" t="str">
        <f>IF(AND(LEN(CL34)&gt;0,CN34&gt;0),_xll.xlShmInterpDisc(curveName,CL34)+0*TYPE($V$4),"")</f>
        <v/>
      </c>
      <c r="CF34" s="57" t="str">
        <f>IF(AND(LEN(CL34)&gt;0,CN34&gt;0),100*_xll.xlShmInterpRate(curveName,2,5,CL34)+0*TYPE($V$4),"")</f>
        <v/>
      </c>
      <c r="CG34" s="57" t="str">
        <f t="shared" si="21"/>
        <v/>
      </c>
      <c r="CH34" s="58" t="str">
        <f t="shared" si="22"/>
        <v/>
      </c>
      <c r="CI34" s="59"/>
      <c r="CJ34" s="60"/>
      <c r="CK34" s="59"/>
      <c r="CL34" s="60"/>
      <c r="CM34" s="59"/>
      <c r="CN34" s="61"/>
      <c r="CO34" s="62"/>
      <c r="CP34" s="59"/>
      <c r="CQ34" s="59"/>
      <c r="CR34" s="59"/>
      <c r="CS34" s="59"/>
      <c r="CT34" s="63"/>
      <c r="CU34" s="14"/>
      <c r="CV34" s="15"/>
      <c r="CW34" s="16"/>
      <c r="CX34" s="77" t="s">
        <v>153</v>
      </c>
      <c r="CY34" s="133" t="str">
        <f t="shared" si="27"/>
        <v>EURFX4YSDF=</v>
      </c>
      <c r="CZ34" s="16"/>
      <c r="DA34" s="142">
        <f>_xll.xlDateWorkFw(Calendar,VALUE(_xll.xlDateShiftMonth(VALUE(Settlement),LEFT(CX34,LEN(CX34)-1)*12)),0)</f>
        <v>44221</v>
      </c>
      <c r="DB34" s="137">
        <f>_xll.xlShmInterpDisc("EUR",DA34+0*TYPE(disc_refresh))</f>
        <v>0.99967979330069245</v>
      </c>
      <c r="DC34" s="143">
        <f t="shared" si="28"/>
        <v>0.99967979330069245</v>
      </c>
      <c r="DD34" s="137"/>
      <c r="DE34" s="21"/>
      <c r="DF34" s="74" t="str">
        <f>IF($DF$10,_xll.RtContribute("DTSIMI1",CY34,$DA$10:$DC$10,DA34:DC34,"SCOPE:SERVER"),"-")</f>
        <v>-</v>
      </c>
      <c r="DG34" s="18"/>
      <c r="DH34" s="142" t="str">
        <f>IF($DF$10,_xll.RtGet($DB$4,CY34,$DA$10),"-")</f>
        <v>-</v>
      </c>
      <c r="DI34" s="144" t="str">
        <f>IF($DF$10,_xll.RtGet($DB$4,CY34,$DB$10),"-")</f>
        <v>-</v>
      </c>
      <c r="DJ34" s="145" t="str">
        <f>IF($DF$10,_xll.RtGet($DB$4,CY34,$DC$10),"-")</f>
        <v>-</v>
      </c>
      <c r="DK34" s="18"/>
      <c r="DL34" s="16"/>
      <c r="DM34" s="16"/>
      <c r="DN34" s="16"/>
      <c r="DO34" s="16"/>
      <c r="DP34" s="16"/>
      <c r="DQ34" s="14"/>
    </row>
    <row r="35" spans="1:121" x14ac:dyDescent="0.2">
      <c r="A35" s="21"/>
      <c r="B35" s="189" t="s">
        <v>154</v>
      </c>
      <c r="C35" s="190" t="s">
        <v>155</v>
      </c>
      <c r="D35" s="16"/>
      <c r="E35" s="42" t="b">
        <v>0</v>
      </c>
      <c r="F35" s="174" t="str">
        <f t="shared" si="29"/>
        <v>Jun 19</v>
      </c>
      <c r="G35" s="175" t="str">
        <f>_xll.xlFutCode(H35)</f>
        <v>M9</v>
      </c>
      <c r="H35" s="176">
        <f>_xll.xlDateNextFutLIFFE(H34)</f>
        <v>43635</v>
      </c>
      <c r="I35" s="69">
        <f t="shared" si="30"/>
        <v>100.0575</v>
      </c>
      <c r="J35" s="177"/>
      <c r="K35" s="178">
        <f>_xll.RtGet("IDN",$G$25&amp;G35,"CONVX_BIAS")/$C$54</f>
        <v>1.8000000000000001E-4</v>
      </c>
      <c r="L35" s="177">
        <f t="shared" si="31"/>
        <v>100.05768</v>
      </c>
      <c r="M35" s="73">
        <f t="shared" si="35"/>
        <v>10</v>
      </c>
      <c r="N35" s="74" t="str">
        <f t="shared" si="32"/>
        <v/>
      </c>
      <c r="O35" s="73" t="str">
        <f t="shared" si="36"/>
        <v/>
      </c>
      <c r="P35" s="74" t="str">
        <f t="shared" si="33"/>
        <v/>
      </c>
      <c r="Q35" s="16"/>
      <c r="R35" s="142" t="str">
        <f t="shared" si="37"/>
        <v/>
      </c>
      <c r="S35" s="72" t="str">
        <f t="shared" si="34"/>
        <v/>
      </c>
      <c r="T35" s="16"/>
      <c r="U35" s="87">
        <v>47506</v>
      </c>
      <c r="V35" s="88">
        <v>0.87522371239943619</v>
      </c>
      <c r="W35" s="19"/>
      <c r="X35" s="185" t="str">
        <f>_xll.xlFutCode(H31)</f>
        <v>M8</v>
      </c>
      <c r="Y35" s="78">
        <f>_xll.RtGet($AC$29,$AC$30&amp;$X35&amp;$AC$31,Y$29)</f>
        <v>100.22750000000001</v>
      </c>
      <c r="Z35" s="79">
        <f>_xll.RtGet($AC$29,$AC$30&amp;$X35&amp;$AC$31,Z$29)</f>
        <v>100.22750000000001</v>
      </c>
      <c r="AA35" s="16"/>
      <c r="AB35" s="19"/>
      <c r="AC35" s="19"/>
      <c r="AD35" s="172"/>
      <c r="AE35" s="9"/>
      <c r="AF35" s="9"/>
      <c r="AG35" s="9"/>
      <c r="AH35" s="9"/>
      <c r="AI35" s="9"/>
      <c r="AJ35" s="56" t="str">
        <f>IF(AND(LEN(AQ35)&gt;0,AS35&gt;0),_xll.xlShmInterpDisc(curveName,AQ35)+0*TYPE($V$4),"")</f>
        <v/>
      </c>
      <c r="AK35" s="57" t="str">
        <f>IF(AND(LEN(AQ35)&gt;0,AS35&gt;0),100*_xll.xlShmInterpRate(curveName,2,5,AQ35)+0*TYPE($V$4),"")</f>
        <v/>
      </c>
      <c r="AL35" s="57" t="str">
        <f t="shared" si="10"/>
        <v/>
      </c>
      <c r="AM35" s="58" t="str">
        <f t="shared" si="11"/>
        <v/>
      </c>
      <c r="AN35" s="59"/>
      <c r="AO35" s="60"/>
      <c r="AP35" s="59"/>
      <c r="AQ35" s="60"/>
      <c r="AR35" s="59"/>
      <c r="AS35" s="61"/>
      <c r="AT35" s="62"/>
      <c r="AU35" s="59"/>
      <c r="AV35" s="59"/>
      <c r="AW35" s="59"/>
      <c r="AX35" s="59"/>
      <c r="AY35" s="63"/>
      <c r="AZ35" s="64"/>
      <c r="BA35" s="15"/>
      <c r="BB35" s="16"/>
      <c r="BC35" s="16"/>
      <c r="BD35" s="16"/>
      <c r="BE35" s="83" t="b">
        <v>1</v>
      </c>
      <c r="BF35" s="193" t="str">
        <f t="shared" si="25"/>
        <v>5Y</v>
      </c>
      <c r="BG35" s="18">
        <f t="shared" si="13"/>
        <v>60</v>
      </c>
      <c r="BH35" s="74" t="s">
        <v>108</v>
      </c>
      <c r="BI35" s="69">
        <f t="shared" si="26"/>
        <v>-8.7000000000000008E-2</v>
      </c>
      <c r="BJ35" s="70"/>
      <c r="BK35" s="71"/>
      <c r="BL35" s="72">
        <f t="shared" si="15"/>
        <v>-8.7000000000000008E-2</v>
      </c>
      <c r="BM35" s="73">
        <f t="shared" si="23"/>
        <v>33</v>
      </c>
      <c r="BN35" s="74">
        <f t="shared" si="16"/>
        <v>33</v>
      </c>
      <c r="BO35" s="73">
        <f t="shared" si="24"/>
        <v>33</v>
      </c>
      <c r="BP35" s="74">
        <f t="shared" si="17"/>
        <v>33</v>
      </c>
      <c r="BQ35" s="73">
        <f t="shared" si="18"/>
        <v>60</v>
      </c>
      <c r="BR35" s="18" t="str">
        <f t="shared" si="19"/>
        <v>e</v>
      </c>
      <c r="BS35" s="72">
        <f t="shared" si="20"/>
        <v>-8.7000000000000008E-2</v>
      </c>
      <c r="BT35" s="16"/>
      <c r="BU35" s="92" t="str">
        <v>-</v>
      </c>
      <c r="BV35" s="88" t="str">
        <v>-</v>
      </c>
      <c r="BW35" s="19"/>
      <c r="BX35" s="192" t="s">
        <v>150</v>
      </c>
      <c r="BY35" s="78">
        <f>_xll.RtGet($CC$7,$CC$8&amp;BX35&amp;$CC$9,$BY$7)</f>
        <v>-0.26400000000000001</v>
      </c>
      <c r="BZ35" s="79">
        <f>_xll.RtGet($CC$7,$CC$8&amp;BX35&amp;$CC$9,$BZ$7)</f>
        <v>-0.26400000000000001</v>
      </c>
      <c r="CA35" s="16"/>
      <c r="CB35" s="19"/>
      <c r="CC35" s="19"/>
      <c r="CD35" s="16"/>
      <c r="CE35" s="56" t="str">
        <f>IF(AND(LEN(CL35)&gt;0,CN35&gt;0),_xll.xlShmInterpDisc(curveName,CL35)+0*TYPE($V$4),"")</f>
        <v/>
      </c>
      <c r="CF35" s="57" t="str">
        <f>IF(AND(LEN(CL35)&gt;0,CN35&gt;0),100*_xll.xlShmInterpRate(curveName,2,5,CL35)+0*TYPE($V$4),"")</f>
        <v/>
      </c>
      <c r="CG35" s="57" t="str">
        <f t="shared" si="21"/>
        <v/>
      </c>
      <c r="CH35" s="58" t="str">
        <f t="shared" si="22"/>
        <v/>
      </c>
      <c r="CI35" s="59"/>
      <c r="CJ35" s="60"/>
      <c r="CK35" s="59"/>
      <c r="CL35" s="60"/>
      <c r="CM35" s="59"/>
      <c r="CN35" s="61"/>
      <c r="CO35" s="62"/>
      <c r="CP35" s="59"/>
      <c r="CQ35" s="59"/>
      <c r="CR35" s="59"/>
      <c r="CS35" s="59"/>
      <c r="CT35" s="63"/>
      <c r="CU35" s="14"/>
      <c r="CV35" s="15"/>
      <c r="CW35" s="16"/>
      <c r="CX35" s="77" t="s">
        <v>156</v>
      </c>
      <c r="CY35" s="133" t="str">
        <f t="shared" si="27"/>
        <v>EURFX5YSDF=</v>
      </c>
      <c r="CZ35" s="16"/>
      <c r="DA35" s="142">
        <f>_xll.xlDateWorkFw(Calendar,VALUE(_xll.xlDateShiftMonth(VALUE(Settlement),LEFT(CX35,LEN(CX35)-1)*12)),0)</f>
        <v>44585</v>
      </c>
      <c r="DB35" s="137">
        <f>_xll.xlShmInterpDisc("EUR",DA35+0*TYPE(disc_refresh))</f>
        <v>0.99378401114951864</v>
      </c>
      <c r="DC35" s="143">
        <f t="shared" si="28"/>
        <v>0.99378401114951864</v>
      </c>
      <c r="DD35" s="137"/>
      <c r="DE35" s="21"/>
      <c r="DF35" s="74" t="str">
        <f>IF($DF$10,_xll.RtContribute("DTSIMI1",CY35,$DA$10:$DC$10,DA35:DC35,"SCOPE:SERVER"),"-")</f>
        <v>-</v>
      </c>
      <c r="DG35" s="18"/>
      <c r="DH35" s="142" t="str">
        <f>IF($DF$10,_xll.RtGet($DB$4,CY35,$DA$10),"-")</f>
        <v>-</v>
      </c>
      <c r="DI35" s="144" t="str">
        <f>IF($DF$10,_xll.RtGet($DB$4,CY35,$DB$10),"-")</f>
        <v>-</v>
      </c>
      <c r="DJ35" s="145" t="str">
        <f>IF($DF$10,_xll.RtGet($DB$4,CY35,$DC$10),"-")</f>
        <v>-</v>
      </c>
      <c r="DK35" s="18"/>
      <c r="DL35" s="16"/>
      <c r="DM35" s="16"/>
      <c r="DN35" s="16"/>
      <c r="DO35" s="16"/>
      <c r="DP35" s="16"/>
      <c r="DQ35" s="14"/>
    </row>
    <row r="36" spans="1:121" x14ac:dyDescent="0.2">
      <c r="A36" s="21"/>
      <c r="B36" s="19"/>
      <c r="C36" s="19"/>
      <c r="D36" s="16"/>
      <c r="E36" s="104" t="b">
        <v>0</v>
      </c>
      <c r="F36" s="194" t="str">
        <f t="shared" si="29"/>
        <v>Sep 19</v>
      </c>
      <c r="G36" s="195" t="str">
        <f>_xll.xlFutCode(H36)</f>
        <v>U9</v>
      </c>
      <c r="H36" s="196">
        <f>_xll.xlDateNextFutLIFFE(H35)</f>
        <v>43726</v>
      </c>
      <c r="I36" s="107">
        <f t="shared" si="30"/>
        <v>99.997572988000002</v>
      </c>
      <c r="J36" s="162"/>
      <c r="K36" s="197">
        <f>_xll.RtGet("IDN",$G$25&amp;G36,"CONVX_BIAS")/$C$54</f>
        <v>2.1499999999999999E-4</v>
      </c>
      <c r="L36" s="162">
        <f t="shared" si="31"/>
        <v>99.997787987999999</v>
      </c>
      <c r="M36" s="149">
        <f t="shared" si="35"/>
        <v>11</v>
      </c>
      <c r="N36" s="150" t="str">
        <f t="shared" si="32"/>
        <v/>
      </c>
      <c r="O36" s="149" t="str">
        <f t="shared" si="36"/>
        <v/>
      </c>
      <c r="P36" s="150" t="str">
        <f t="shared" si="33"/>
        <v/>
      </c>
      <c r="Q36" s="198"/>
      <c r="R36" s="199" t="str">
        <f t="shared" si="37"/>
        <v/>
      </c>
      <c r="S36" s="110" t="str">
        <f>IF(LEN(P36)&gt;0,INDEX($L$26:$L$37,$P36),"")</f>
        <v/>
      </c>
      <c r="T36" s="16"/>
      <c r="U36" s="87">
        <v>47871</v>
      </c>
      <c r="V36" s="88">
        <v>0.85794018730311461</v>
      </c>
      <c r="W36" s="19"/>
      <c r="X36" s="185" t="str">
        <f>_xll.xlFutCode(H32)</f>
        <v>U8</v>
      </c>
      <c r="Y36" s="78">
        <f>_xll.RtGet($AC$29,$AC$30&amp;$X36&amp;$AC$31,Y$29)</f>
        <v>100.19250000000001</v>
      </c>
      <c r="Z36" s="79">
        <f>_xll.RtGet($AC$29,$AC$30&amp;$X36&amp;$AC$31,Z$29)</f>
        <v>100.19250000000001</v>
      </c>
      <c r="AA36" s="16"/>
      <c r="AB36" s="19"/>
      <c r="AC36" s="19"/>
      <c r="AD36" s="172"/>
      <c r="AE36" s="9"/>
      <c r="AF36" s="9"/>
      <c r="AG36" s="9"/>
      <c r="AH36" s="9"/>
      <c r="AI36" s="19"/>
      <c r="AJ36" s="56" t="str">
        <f>IF(AND(LEN(AQ36)&gt;0,AS36&gt;0),_xll.xlShmInterpDisc(curveName,AQ36)+0*TYPE($V$4),"")</f>
        <v/>
      </c>
      <c r="AK36" s="57" t="str">
        <f>IF(AND(LEN(AQ36)&gt;0,AS36&gt;0),100*_xll.xlShmInterpRate(curveName,2,5,AQ36)+0*TYPE($V$4),"")</f>
        <v/>
      </c>
      <c r="AL36" s="57" t="str">
        <f t="shared" si="10"/>
        <v/>
      </c>
      <c r="AM36" s="58" t="str">
        <f t="shared" si="11"/>
        <v/>
      </c>
      <c r="AN36" s="59"/>
      <c r="AO36" s="60"/>
      <c r="AP36" s="59"/>
      <c r="AQ36" s="60"/>
      <c r="AR36" s="59"/>
      <c r="AS36" s="61"/>
      <c r="AT36" s="62"/>
      <c r="AU36" s="59"/>
      <c r="AV36" s="59"/>
      <c r="AW36" s="59"/>
      <c r="AX36" s="59"/>
      <c r="AY36" s="63"/>
      <c r="AZ36" s="64"/>
      <c r="BA36" s="15"/>
      <c r="BB36" s="19"/>
      <c r="BC36" s="19"/>
      <c r="BD36" s="16"/>
      <c r="BE36" s="83" t="b">
        <v>1</v>
      </c>
      <c r="BF36" s="193" t="str">
        <f t="shared" si="25"/>
        <v>6Y</v>
      </c>
      <c r="BG36" s="18">
        <f t="shared" si="13"/>
        <v>72</v>
      </c>
      <c r="BH36" s="74" t="s">
        <v>108</v>
      </c>
      <c r="BI36" s="69">
        <f t="shared" si="26"/>
        <v>2.7E-2</v>
      </c>
      <c r="BJ36" s="70"/>
      <c r="BK36" s="71"/>
      <c r="BL36" s="72">
        <f t="shared" si="15"/>
        <v>2.7E-2</v>
      </c>
      <c r="BM36" s="73">
        <f t="shared" si="23"/>
        <v>34</v>
      </c>
      <c r="BN36" s="74">
        <f t="shared" si="16"/>
        <v>34</v>
      </c>
      <c r="BO36" s="73">
        <f t="shared" si="24"/>
        <v>34</v>
      </c>
      <c r="BP36" s="74">
        <f t="shared" si="17"/>
        <v>34</v>
      </c>
      <c r="BQ36" s="73">
        <f t="shared" si="18"/>
        <v>72</v>
      </c>
      <c r="BR36" s="18" t="str">
        <f t="shared" si="19"/>
        <v>e</v>
      </c>
      <c r="BS36" s="72">
        <f t="shared" si="20"/>
        <v>2.7E-2</v>
      </c>
      <c r="BT36" s="16"/>
      <c r="BU36" s="92" t="str">
        <v>-</v>
      </c>
      <c r="BV36" s="88" t="str">
        <v>-</v>
      </c>
      <c r="BW36" s="19"/>
      <c r="BX36" s="192" t="s">
        <v>153</v>
      </c>
      <c r="BY36" s="78">
        <f>_xll.RtGet($CC$7,$CC$8&amp;BX36&amp;$CC$9,$BY$7)</f>
        <v>-0.186</v>
      </c>
      <c r="BZ36" s="79">
        <f>_xll.RtGet($CC$7,$CC$8&amp;BX36&amp;$CC$9,$BZ$7)</f>
        <v>-0.186</v>
      </c>
      <c r="CA36" s="16"/>
      <c r="CB36" s="19"/>
      <c r="CC36" s="19"/>
      <c r="CD36" s="16"/>
      <c r="CE36" s="56" t="str">
        <f>IF(AND(LEN(CL36)&gt;0,CN36&gt;0),_xll.xlShmInterpDisc(curveName,CL36)+0*TYPE($V$4),"")</f>
        <v/>
      </c>
      <c r="CF36" s="57" t="str">
        <f>IF(AND(LEN(CL36)&gt;0,CN36&gt;0),100*_xll.xlShmInterpRate(curveName,2,5,CL36)+0*TYPE($V$4),"")</f>
        <v/>
      </c>
      <c r="CG36" s="57" t="str">
        <f t="shared" si="21"/>
        <v/>
      </c>
      <c r="CH36" s="58" t="str">
        <f t="shared" si="22"/>
        <v/>
      </c>
      <c r="CI36" s="59"/>
      <c r="CJ36" s="60"/>
      <c r="CK36" s="59"/>
      <c r="CL36" s="60"/>
      <c r="CM36" s="59"/>
      <c r="CN36" s="61"/>
      <c r="CO36" s="62"/>
      <c r="CP36" s="59"/>
      <c r="CQ36" s="59"/>
      <c r="CR36" s="59"/>
      <c r="CS36" s="59"/>
      <c r="CT36" s="63"/>
      <c r="CU36" s="14"/>
      <c r="CV36" s="15"/>
      <c r="CW36" s="16"/>
      <c r="CX36" s="77" t="s">
        <v>157</v>
      </c>
      <c r="CY36" s="133" t="str">
        <f t="shared" si="27"/>
        <v>EURFX6YSDF=</v>
      </c>
      <c r="CZ36" s="16"/>
      <c r="DA36" s="142">
        <f>_xll.xlDateWorkFw(Calendar,VALUE(_xll.xlDateShiftMonth(VALUE(Settlement),LEFT(CX36,LEN(CX36)-1)*12)),0)</f>
        <v>44949</v>
      </c>
      <c r="DB36" s="137">
        <f>_xll.xlShmInterpDisc("EUR",DA36+0*TYPE(disc_refresh))</f>
        <v>0.98531000739359098</v>
      </c>
      <c r="DC36" s="143">
        <f t="shared" si="28"/>
        <v>0.98531000739359098</v>
      </c>
      <c r="DD36" s="137"/>
      <c r="DE36" s="21"/>
      <c r="DF36" s="74" t="str">
        <f>IF($DF$10,_xll.RtContribute("DTSIMI1",CY36,$DA$10:$DC$10,DA36:DC36,"SCOPE:SERVER"),"-")</f>
        <v>-</v>
      </c>
      <c r="DG36" s="18"/>
      <c r="DH36" s="142" t="str">
        <f>IF($DF$10,_xll.RtGet($DB$4,CY36,$DA$10),"-")</f>
        <v>-</v>
      </c>
      <c r="DI36" s="144" t="str">
        <f>IF($DF$10,_xll.RtGet($DB$4,CY36,$DB$10),"-")</f>
        <v>-</v>
      </c>
      <c r="DJ36" s="145" t="str">
        <f>IF($DF$10,_xll.RtGet($DB$4,CY36,$DC$10),"-")</f>
        <v>-</v>
      </c>
      <c r="DK36" s="18"/>
      <c r="DL36" s="16"/>
      <c r="DM36" s="16"/>
      <c r="DN36" s="16"/>
      <c r="DO36" s="16"/>
      <c r="DP36" s="16"/>
      <c r="DQ36" s="14"/>
    </row>
    <row r="37" spans="1:121" x14ac:dyDescent="0.2">
      <c r="A37" s="21"/>
      <c r="B37" s="19"/>
      <c r="C37" s="19"/>
      <c r="D37" s="16"/>
      <c r="E37" s="19"/>
      <c r="F37" s="19"/>
      <c r="G37" s="19"/>
      <c r="H37" s="19"/>
      <c r="I37" s="19"/>
      <c r="J37" s="19"/>
      <c r="K37" s="19"/>
      <c r="L37" s="19"/>
      <c r="M37" s="16"/>
      <c r="N37" s="16"/>
      <c r="O37" s="16"/>
      <c r="P37" s="16"/>
      <c r="Q37" s="16"/>
      <c r="R37" s="16"/>
      <c r="S37" s="16"/>
      <c r="T37" s="16"/>
      <c r="U37" s="87">
        <v>48236</v>
      </c>
      <c r="V37" s="88">
        <v>0.84115534628472954</v>
      </c>
      <c r="W37" s="19"/>
      <c r="X37" s="185" t="str">
        <f>_xll.xlFutCode(H33)</f>
        <v>Z8</v>
      </c>
      <c r="Y37" s="78">
        <f>_xll.RtGet($AC$29,$AC$30&amp;$X37&amp;$AC$31,Y$29)</f>
        <v>100.1525</v>
      </c>
      <c r="Z37" s="79">
        <f>_xll.RtGet($AC$29,$AC$30&amp;$X37&amp;$AC$31,Z$29)</f>
        <v>100.1525</v>
      </c>
      <c r="AA37" s="16"/>
      <c r="AB37" s="19"/>
      <c r="AC37" s="19"/>
      <c r="AD37" s="19"/>
      <c r="AE37" s="9"/>
      <c r="AF37" s="9"/>
      <c r="AG37" s="9"/>
      <c r="AH37" s="9"/>
      <c r="AI37" s="19"/>
      <c r="AJ37" s="56" t="str">
        <f>IF(AND(LEN(AQ37)&gt;0,AS37&gt;0),_xll.xlShmInterpDisc(curveName,AQ37)+0*TYPE($V$4),"")</f>
        <v/>
      </c>
      <c r="AK37" s="57" t="str">
        <f>IF(AND(LEN(AQ37)&gt;0,AS37&gt;0),100*_xll.xlShmInterpRate(curveName,2,5,AQ37)+0*TYPE($V$4),"")</f>
        <v/>
      </c>
      <c r="AL37" s="57" t="str">
        <f t="shared" si="10"/>
        <v/>
      </c>
      <c r="AM37" s="58" t="str">
        <f t="shared" si="11"/>
        <v/>
      </c>
      <c r="AN37" s="59"/>
      <c r="AO37" s="60"/>
      <c r="AP37" s="59"/>
      <c r="AQ37" s="60"/>
      <c r="AR37" s="59"/>
      <c r="AS37" s="61"/>
      <c r="AT37" s="62"/>
      <c r="AU37" s="59"/>
      <c r="AV37" s="59"/>
      <c r="AW37" s="59"/>
      <c r="AX37" s="59"/>
      <c r="AY37" s="63"/>
      <c r="AZ37" s="64"/>
      <c r="BA37" s="15"/>
      <c r="BB37" s="19"/>
      <c r="BC37" s="19"/>
      <c r="BD37" s="16"/>
      <c r="BE37" s="83" t="b">
        <v>1</v>
      </c>
      <c r="BF37" s="193" t="str">
        <f t="shared" si="25"/>
        <v>7Y</v>
      </c>
      <c r="BG37" s="18">
        <f t="shared" si="13"/>
        <v>84</v>
      </c>
      <c r="BH37" s="74" t="s">
        <v>108</v>
      </c>
      <c r="BI37" s="69">
        <f t="shared" si="26"/>
        <v>0.153</v>
      </c>
      <c r="BJ37" s="70"/>
      <c r="BK37" s="71"/>
      <c r="BL37" s="72">
        <f t="shared" si="15"/>
        <v>0.153</v>
      </c>
      <c r="BM37" s="73">
        <f t="shared" si="23"/>
        <v>35</v>
      </c>
      <c r="BN37" s="74">
        <f t="shared" si="16"/>
        <v>35</v>
      </c>
      <c r="BO37" s="73">
        <f t="shared" si="24"/>
        <v>35</v>
      </c>
      <c r="BP37" s="74">
        <f t="shared" si="17"/>
        <v>35</v>
      </c>
      <c r="BQ37" s="73">
        <f t="shared" si="18"/>
        <v>84</v>
      </c>
      <c r="BR37" s="18" t="str">
        <f t="shared" si="19"/>
        <v>e</v>
      </c>
      <c r="BS37" s="72">
        <f t="shared" si="20"/>
        <v>0.153</v>
      </c>
      <c r="BT37" s="16"/>
      <c r="BU37" s="92" t="str">
        <v>-</v>
      </c>
      <c r="BV37" s="88" t="str">
        <v>-</v>
      </c>
      <c r="BW37" s="19"/>
      <c r="BX37" s="192" t="s">
        <v>156</v>
      </c>
      <c r="BY37" s="78">
        <f>_xll.RtGet($CC$7,$CC$8&amp;BX37&amp;$CC$9,$BY$7)</f>
        <v>-8.7000000000000008E-2</v>
      </c>
      <c r="BZ37" s="79">
        <f>_xll.RtGet($CC$7,$CC$8&amp;BX37&amp;$CC$9,$BZ$7)</f>
        <v>-8.7000000000000008E-2</v>
      </c>
      <c r="CA37" s="16"/>
      <c r="CB37" s="19"/>
      <c r="CC37" s="19"/>
      <c r="CD37" s="16"/>
      <c r="CE37" s="56" t="str">
        <f>IF(AND(LEN(CL37)&gt;0,CN37&gt;0),_xll.xlShmInterpDisc(curveName,CL37)+0*TYPE($V$4),"")</f>
        <v/>
      </c>
      <c r="CF37" s="57" t="str">
        <f>IF(AND(LEN(CL37)&gt;0,CN37&gt;0),100*_xll.xlShmInterpRate(curveName,2,5,CL37)+0*TYPE($V$4),"")</f>
        <v/>
      </c>
      <c r="CG37" s="57" t="str">
        <f t="shared" si="21"/>
        <v/>
      </c>
      <c r="CH37" s="58" t="str">
        <f t="shared" si="22"/>
        <v/>
      </c>
      <c r="CI37" s="59"/>
      <c r="CJ37" s="60"/>
      <c r="CK37" s="59"/>
      <c r="CL37" s="60"/>
      <c r="CM37" s="59"/>
      <c r="CN37" s="61"/>
      <c r="CO37" s="62"/>
      <c r="CP37" s="59"/>
      <c r="CQ37" s="59"/>
      <c r="CR37" s="59"/>
      <c r="CS37" s="59"/>
      <c r="CT37" s="63"/>
      <c r="CU37" s="14"/>
      <c r="CV37" s="15"/>
      <c r="CW37" s="16"/>
      <c r="CX37" s="77" t="s">
        <v>158</v>
      </c>
      <c r="CY37" s="133" t="str">
        <f t="shared" si="27"/>
        <v>EURFX7YSDF=</v>
      </c>
      <c r="CZ37" s="16"/>
      <c r="DA37" s="142">
        <f>_xll.xlDateWorkFw(Calendar,VALUE(_xll.xlDateShiftMonth(VALUE(Settlement),LEFT(CX37,LEN(CX37)-1)*12)),0)</f>
        <v>45314</v>
      </c>
      <c r="DB37" s="137">
        <f>_xll.xlShmInterpDisc("EUR",DA37+0*TYPE(disc_refresh))</f>
        <v>0.97414100269652992</v>
      </c>
      <c r="DC37" s="143">
        <f t="shared" si="28"/>
        <v>0.97414100269652992</v>
      </c>
      <c r="DD37" s="137"/>
      <c r="DE37" s="21"/>
      <c r="DF37" s="74" t="str">
        <f>IF($DF$10,_xll.RtContribute("DTSIMI1",CY37,$DA$10:$DC$10,DA37:DC37,"SCOPE:SERVER"),"-")</f>
        <v>-</v>
      </c>
      <c r="DG37" s="18"/>
      <c r="DH37" s="142" t="str">
        <f>IF($DF$10,_xll.RtGet($DB$4,CY37,$DA$10),"-")</f>
        <v>-</v>
      </c>
      <c r="DI37" s="144" t="str">
        <f>IF($DF$10,_xll.RtGet($DB$4,CY37,$DB$10),"-")</f>
        <v>-</v>
      </c>
      <c r="DJ37" s="145" t="str">
        <f>IF($DF$10,_xll.RtGet($DB$4,CY37,$DC$10),"-")</f>
        <v>-</v>
      </c>
      <c r="DK37" s="18"/>
      <c r="DL37" s="16"/>
      <c r="DM37" s="16"/>
      <c r="DN37" s="16"/>
      <c r="DO37" s="16"/>
      <c r="DP37" s="16"/>
      <c r="DQ37" s="14"/>
    </row>
    <row r="38" spans="1:121" x14ac:dyDescent="0.2">
      <c r="A38" s="21"/>
      <c r="B38" s="322" t="s">
        <v>159</v>
      </c>
      <c r="C38" s="323"/>
      <c r="D38" s="16"/>
      <c r="E38" s="163" t="s">
        <v>1</v>
      </c>
      <c r="F38" s="16"/>
      <c r="G38" s="16"/>
      <c r="H38" s="16"/>
      <c r="I38" s="22" t="s">
        <v>2</v>
      </c>
      <c r="J38" s="22" t="s">
        <v>3</v>
      </c>
      <c r="K38" s="22" t="s">
        <v>4</v>
      </c>
      <c r="L38" s="22" t="s">
        <v>5</v>
      </c>
      <c r="M38" s="19"/>
      <c r="N38" s="18"/>
      <c r="O38" s="16"/>
      <c r="P38" s="18"/>
      <c r="Q38" s="19"/>
      <c r="R38" s="19"/>
      <c r="S38" s="23">
        <f t="array" ref="S38">SUM(1*E39:E80)</f>
        <v>40</v>
      </c>
      <c r="T38" s="16"/>
      <c r="U38" s="87">
        <v>48603</v>
      </c>
      <c r="V38" s="88">
        <v>0.82487733697584686</v>
      </c>
      <c r="W38" s="19"/>
      <c r="X38" s="185" t="str">
        <f>_xll.xlFutCode(H34)</f>
        <v>H9</v>
      </c>
      <c r="Y38" s="78">
        <f>_xll.RtGet($AC$29,$AC$30&amp;$X38&amp;$AC$31,Y$29)</f>
        <v>100.1075</v>
      </c>
      <c r="Z38" s="79">
        <f>_xll.RtGet($AC$29,$AC$30&amp;$X38&amp;$AC$31,Z$29)</f>
        <v>100.1075</v>
      </c>
      <c r="AA38" s="16"/>
      <c r="AB38" s="19"/>
      <c r="AC38" s="19"/>
      <c r="AD38" s="19"/>
      <c r="AE38" s="9"/>
      <c r="AF38" s="9"/>
      <c r="AG38" s="9"/>
      <c r="AH38" s="9"/>
      <c r="AI38" s="19"/>
      <c r="AJ38" s="56" t="str">
        <f>IF(AND(LEN(AQ38)&gt;0,AS38&gt;0),_xll.xlShmInterpDisc(curveName,AQ38)+0*TYPE($V$4),"")</f>
        <v/>
      </c>
      <c r="AK38" s="57" t="str">
        <f>IF(AND(LEN(AQ38)&gt;0,AS38&gt;0),100*_xll.xlShmInterpRate(curveName,2,5,AQ38)+0*TYPE($V$4),"")</f>
        <v/>
      </c>
      <c r="AL38" s="57" t="str">
        <f t="shared" si="10"/>
        <v/>
      </c>
      <c r="AM38" s="58" t="str">
        <f t="shared" si="11"/>
        <v/>
      </c>
      <c r="AN38" s="59"/>
      <c r="AO38" s="60"/>
      <c r="AP38" s="59"/>
      <c r="AQ38" s="60"/>
      <c r="AR38" s="59"/>
      <c r="AS38" s="61"/>
      <c r="AT38" s="62"/>
      <c r="AU38" s="59"/>
      <c r="AV38" s="59"/>
      <c r="AW38" s="59"/>
      <c r="AX38" s="59"/>
      <c r="AY38" s="63"/>
      <c r="AZ38" s="64"/>
      <c r="BA38" s="15"/>
      <c r="BB38" s="19"/>
      <c r="BC38" s="19"/>
      <c r="BD38" s="16"/>
      <c r="BE38" s="83" t="b">
        <v>1</v>
      </c>
      <c r="BF38" s="193" t="str">
        <f t="shared" si="25"/>
        <v>8Y</v>
      </c>
      <c r="BG38" s="18">
        <f t="shared" si="13"/>
        <v>96</v>
      </c>
      <c r="BH38" s="74" t="s">
        <v>108</v>
      </c>
      <c r="BI38" s="69">
        <f t="shared" si="26"/>
        <v>0.28400000000000003</v>
      </c>
      <c r="BJ38" s="70"/>
      <c r="BK38" s="71"/>
      <c r="BL38" s="72">
        <f t="shared" si="15"/>
        <v>0.28400000000000003</v>
      </c>
      <c r="BM38" s="73">
        <f t="shared" si="23"/>
        <v>36</v>
      </c>
      <c r="BN38" s="74">
        <f t="shared" si="16"/>
        <v>36</v>
      </c>
      <c r="BO38" s="73">
        <f t="shared" si="24"/>
        <v>36</v>
      </c>
      <c r="BP38" s="74">
        <f t="shared" si="17"/>
        <v>36</v>
      </c>
      <c r="BQ38" s="73">
        <f t="shared" si="18"/>
        <v>96</v>
      </c>
      <c r="BR38" s="18" t="str">
        <f t="shared" si="19"/>
        <v>e</v>
      </c>
      <c r="BS38" s="72">
        <f t="shared" si="20"/>
        <v>0.28400000000000003</v>
      </c>
      <c r="BT38" s="16"/>
      <c r="BU38" s="92" t="str">
        <v>-</v>
      </c>
      <c r="BV38" s="88" t="str">
        <v>-</v>
      </c>
      <c r="BW38" s="19"/>
      <c r="BX38" s="192" t="s">
        <v>157</v>
      </c>
      <c r="BY38" s="78">
        <f>_xll.RtGet($CC$7,$CC$8&amp;BX38&amp;$CC$9,$BY$7)</f>
        <v>2.7E-2</v>
      </c>
      <c r="BZ38" s="79">
        <f>_xll.RtGet($CC$7,$CC$8&amp;BX38&amp;$CC$9,$BZ$7)</f>
        <v>2.7E-2</v>
      </c>
      <c r="CA38" s="16"/>
      <c r="CB38" s="19"/>
      <c r="CC38" s="19"/>
      <c r="CD38" s="16"/>
      <c r="CE38" s="56" t="str">
        <f>IF(AND(LEN(CL38)&gt;0,CN38&gt;0),_xll.xlShmInterpDisc(curveName,CL38)+0*TYPE($V$4),"")</f>
        <v/>
      </c>
      <c r="CF38" s="57" t="str">
        <f>IF(AND(LEN(CL38)&gt;0,CN38&gt;0),100*_xll.xlShmInterpRate(curveName,2,5,CL38)+0*TYPE($V$4),"")</f>
        <v/>
      </c>
      <c r="CG38" s="57" t="str">
        <f t="shared" si="21"/>
        <v/>
      </c>
      <c r="CH38" s="58" t="str">
        <f t="shared" si="22"/>
        <v/>
      </c>
      <c r="CI38" s="59"/>
      <c r="CJ38" s="60"/>
      <c r="CK38" s="59"/>
      <c r="CL38" s="60"/>
      <c r="CM38" s="59"/>
      <c r="CN38" s="61"/>
      <c r="CO38" s="62"/>
      <c r="CP38" s="59"/>
      <c r="CQ38" s="59"/>
      <c r="CR38" s="59"/>
      <c r="CS38" s="59"/>
      <c r="CT38" s="63"/>
      <c r="CU38" s="14"/>
      <c r="CV38" s="15"/>
      <c r="CW38" s="16"/>
      <c r="CX38" s="77" t="s">
        <v>160</v>
      </c>
      <c r="CY38" s="133" t="str">
        <f t="shared" si="27"/>
        <v>EURFX8YSDF=</v>
      </c>
      <c r="CZ38" s="16"/>
      <c r="DA38" s="142">
        <f>_xll.xlDateWorkFw(Calendar,VALUE(_xll.xlDateShiftMonth(VALUE(Settlement),LEFT(CX38,LEN(CX38)-1)*12)),0)</f>
        <v>45680</v>
      </c>
      <c r="DB38" s="137">
        <f>_xll.xlShmInterpDisc("EUR",DA38+0*TYPE(disc_refresh))</f>
        <v>0.96042700195426067</v>
      </c>
      <c r="DC38" s="143">
        <f t="shared" si="28"/>
        <v>0.96042700195426067</v>
      </c>
      <c r="DD38" s="137"/>
      <c r="DE38" s="21"/>
      <c r="DF38" s="74" t="str">
        <f>IF($DF$10,_xll.RtContribute("DTSIMI1",CY38,$DA$10:$DC$10,DA38:DC38,"SCOPE:SERVER"),"-")</f>
        <v>-</v>
      </c>
      <c r="DG38" s="18"/>
      <c r="DH38" s="142" t="str">
        <f>IF($DF$10,_xll.RtGet($DB$4,CY38,$DA$10),"-")</f>
        <v>-</v>
      </c>
      <c r="DI38" s="144" t="str">
        <f>IF($DF$10,_xll.RtGet($DB$4,CY38,$DB$10),"-")</f>
        <v>-</v>
      </c>
      <c r="DJ38" s="145" t="str">
        <f>IF($DF$10,_xll.RtGet($DB$4,CY38,$DC$10),"-")</f>
        <v>-</v>
      </c>
      <c r="DK38" s="18"/>
      <c r="DL38" s="16"/>
      <c r="DM38" s="16"/>
      <c r="DN38" s="16"/>
      <c r="DO38" s="16"/>
      <c r="DP38" s="16"/>
      <c r="DQ38" s="14"/>
    </row>
    <row r="39" spans="1:121" x14ac:dyDescent="0.2">
      <c r="A39" s="21"/>
      <c r="B39" s="182" t="s">
        <v>161</v>
      </c>
      <c r="C39" s="200">
        <v>2314</v>
      </c>
      <c r="D39" s="16"/>
      <c r="E39" s="96" t="b">
        <v>0</v>
      </c>
      <c r="F39" s="201">
        <f t="shared" ref="F39:F80" si="38">IF(LEN(X43)&gt;0,X43,"")</f>
        <v>1</v>
      </c>
      <c r="G39" s="16"/>
      <c r="H39" s="16"/>
      <c r="I39" s="45">
        <f t="shared" ref="I39:I80" si="39">AVERAGE(Y43:Z43)</f>
        <v>-0.22595775400000001</v>
      </c>
      <c r="J39" s="157"/>
      <c r="K39" s="47"/>
      <c r="L39" s="157">
        <f t="shared" ref="L39:L80" si="40">IF(ISNUMBER(J39),J39,I39)+K39</f>
        <v>-0.22595775400000001</v>
      </c>
      <c r="M39" s="49">
        <v>1</v>
      </c>
      <c r="N39" s="50" t="str">
        <f t="shared" ref="N39:N80" si="41">IF(E39,M39,"")</f>
        <v/>
      </c>
      <c r="O39" s="23">
        <f>IF($S$38&gt;0,1,"")</f>
        <v>1</v>
      </c>
      <c r="P39" s="50">
        <f t="shared" ref="P39:P80" si="42">IF(LEN(O39)&gt;0,SMALL($N$39:$N$80,O39),"")</f>
        <v>3</v>
      </c>
      <c r="Q39" s="19"/>
      <c r="R39" s="202">
        <f t="shared" ref="R39:R80" si="43">IF(LEN(P39)&gt;0,INDEX($F$39:$F$80,$P39),"")</f>
        <v>3</v>
      </c>
      <c r="S39" s="48">
        <f t="shared" ref="S39:S80" si="44">IF(LEN(P39)&gt;0,INDEX($L$39:$L$80,$P39),"")</f>
        <v>-9.0999999999999998E-2</v>
      </c>
      <c r="T39" s="16"/>
      <c r="U39" s="87">
        <v>48967</v>
      </c>
      <c r="V39" s="88">
        <v>0.80938928351214789</v>
      </c>
      <c r="W39" s="19"/>
      <c r="X39" s="185" t="str">
        <f>_xll.xlFutCode(H35)</f>
        <v>M9</v>
      </c>
      <c r="Y39" s="78">
        <f>_xll.RtGet($AC$29,$AC$30&amp;$X39&amp;$AC$31,Y$29)</f>
        <v>100.0575</v>
      </c>
      <c r="Z39" s="79">
        <f>_xll.RtGet($AC$29,$AC$30&amp;$X39&amp;$AC$31,Z$29)</f>
        <v>100.0575</v>
      </c>
      <c r="AA39" s="16"/>
      <c r="AB39" s="19"/>
      <c r="AC39" s="19"/>
      <c r="AD39" s="19"/>
      <c r="AE39" s="9"/>
      <c r="AF39" s="9"/>
      <c r="AG39" s="9"/>
      <c r="AH39" s="9"/>
      <c r="AI39" s="19"/>
      <c r="AJ39" s="56" t="str">
        <f>IF(AND(LEN(AQ39)&gt;0,AS39&gt;0),_xll.xlShmInterpDisc(curveName,AQ39)+0*TYPE($V$4),"")</f>
        <v/>
      </c>
      <c r="AK39" s="57" t="str">
        <f>IF(AND(LEN(AQ39)&gt;0,AS39&gt;0),100*_xll.xlShmInterpRate(curveName,2,5,AQ39)+0*TYPE($V$4),"")</f>
        <v/>
      </c>
      <c r="AL39" s="57" t="str">
        <f t="shared" si="10"/>
        <v/>
      </c>
      <c r="AM39" s="58" t="str">
        <f t="shared" si="11"/>
        <v/>
      </c>
      <c r="AN39" s="59"/>
      <c r="AO39" s="60"/>
      <c r="AP39" s="59"/>
      <c r="AQ39" s="60"/>
      <c r="AR39" s="59"/>
      <c r="AS39" s="61"/>
      <c r="AT39" s="62"/>
      <c r="AU39" s="59"/>
      <c r="AV39" s="59"/>
      <c r="AW39" s="59"/>
      <c r="AX39" s="59"/>
      <c r="AY39" s="63"/>
      <c r="AZ39" s="64"/>
      <c r="BA39" s="15"/>
      <c r="BB39" s="19"/>
      <c r="BC39" s="19"/>
      <c r="BD39" s="16"/>
      <c r="BE39" s="83" t="b">
        <v>1</v>
      </c>
      <c r="BF39" s="193" t="str">
        <f t="shared" si="25"/>
        <v>9Y</v>
      </c>
      <c r="BG39" s="18">
        <f t="shared" si="13"/>
        <v>108</v>
      </c>
      <c r="BH39" s="74" t="s">
        <v>108</v>
      </c>
      <c r="BI39" s="69">
        <f t="shared" si="26"/>
        <v>0.41200000000000003</v>
      </c>
      <c r="BJ39" s="70"/>
      <c r="BK39" s="71"/>
      <c r="BL39" s="72">
        <f t="shared" si="15"/>
        <v>0.41200000000000003</v>
      </c>
      <c r="BM39" s="73">
        <f t="shared" si="23"/>
        <v>37</v>
      </c>
      <c r="BN39" s="74">
        <f t="shared" si="16"/>
        <v>37</v>
      </c>
      <c r="BO39" s="73">
        <f t="shared" si="24"/>
        <v>37</v>
      </c>
      <c r="BP39" s="74">
        <f t="shared" si="17"/>
        <v>37</v>
      </c>
      <c r="BQ39" s="73">
        <f t="shared" si="18"/>
        <v>108</v>
      </c>
      <c r="BR39" s="18" t="str">
        <f t="shared" si="19"/>
        <v>e</v>
      </c>
      <c r="BS39" s="72">
        <f t="shared" si="20"/>
        <v>0.41200000000000003</v>
      </c>
      <c r="BT39" s="16"/>
      <c r="BU39" s="92" t="str">
        <v>-</v>
      </c>
      <c r="BV39" s="88" t="str">
        <v>-</v>
      </c>
      <c r="BW39" s="19"/>
      <c r="BX39" s="192" t="s">
        <v>158</v>
      </c>
      <c r="BY39" s="78">
        <f>_xll.RtGet($CC$7,$CC$8&amp;BX39&amp;$CC$9,$BY$7)</f>
        <v>0.153</v>
      </c>
      <c r="BZ39" s="79">
        <f>_xll.RtGet($CC$7,$CC$8&amp;BX39&amp;$CC$9,$BZ$7)</f>
        <v>0.153</v>
      </c>
      <c r="CA39" s="16"/>
      <c r="CB39" s="19"/>
      <c r="CC39" s="19"/>
      <c r="CD39" s="16"/>
      <c r="CE39" s="56" t="str">
        <f>IF(AND(LEN(CL39)&gt;0,CN39&gt;0),_xll.xlShmInterpDisc(curveName,CL39)+0*TYPE($V$4),"")</f>
        <v/>
      </c>
      <c r="CF39" s="57" t="str">
        <f>IF(AND(LEN(CL39)&gt;0,CN39&gt;0),100*_xll.xlShmInterpRate(curveName,2,5,CL39)+0*TYPE($V$4),"")</f>
        <v/>
      </c>
      <c r="CG39" s="57" t="str">
        <f t="shared" si="21"/>
        <v/>
      </c>
      <c r="CH39" s="58" t="str">
        <f t="shared" si="22"/>
        <v/>
      </c>
      <c r="CI39" s="59"/>
      <c r="CJ39" s="60"/>
      <c r="CK39" s="59"/>
      <c r="CL39" s="60"/>
      <c r="CM39" s="59"/>
      <c r="CN39" s="61"/>
      <c r="CO39" s="62"/>
      <c r="CP39" s="59"/>
      <c r="CQ39" s="59"/>
      <c r="CR39" s="59"/>
      <c r="CS39" s="59"/>
      <c r="CT39" s="63"/>
      <c r="CU39" s="14"/>
      <c r="CV39" s="15"/>
      <c r="CW39" s="16"/>
      <c r="CX39" s="77" t="s">
        <v>162</v>
      </c>
      <c r="CY39" s="133" t="str">
        <f t="shared" si="27"/>
        <v>EURFX9YSDF=</v>
      </c>
      <c r="CZ39" s="16"/>
      <c r="DA39" s="142">
        <f>_xll.xlDateWorkFw(Calendar,VALUE(_xll.xlDateShiftMonth(VALUE(Settlement),LEFT(CX39,LEN(CX39)-1)*12)),0)</f>
        <v>46045</v>
      </c>
      <c r="DB39" s="137">
        <f>_xll.xlShmInterpDisc("EUR",DA39+0*TYPE(disc_refresh))</f>
        <v>0.9447958526028194</v>
      </c>
      <c r="DC39" s="143">
        <f t="shared" si="28"/>
        <v>0.9447958526028194</v>
      </c>
      <c r="DD39" s="137"/>
      <c r="DE39" s="21"/>
      <c r="DF39" s="74" t="str">
        <f>IF($DF$10,_xll.RtContribute("DTSIMI1",CY39,$DA$10:$DC$10,DA39:DC39,"SCOPE:SERVER"),"-")</f>
        <v>-</v>
      </c>
      <c r="DG39" s="18"/>
      <c r="DH39" s="142" t="str">
        <f>IF($DF$10,_xll.RtGet($DB$4,CY39,$DA$10),"-")</f>
        <v>-</v>
      </c>
      <c r="DI39" s="144" t="str">
        <f>IF($DF$10,_xll.RtGet($DB$4,CY39,$DB$10),"-")</f>
        <v>-</v>
      </c>
      <c r="DJ39" s="145" t="str">
        <f>IF($DF$10,_xll.RtGet($DB$4,CY39,$DC$10),"-")</f>
        <v>-</v>
      </c>
      <c r="DK39" s="18"/>
      <c r="DL39" s="16"/>
      <c r="DM39" s="16"/>
      <c r="DN39" s="16"/>
      <c r="DO39" s="16"/>
      <c r="DP39" s="16"/>
      <c r="DQ39" s="14"/>
    </row>
    <row r="40" spans="1:121" x14ac:dyDescent="0.2">
      <c r="A40" s="21"/>
      <c r="B40" s="184" t="s">
        <v>163</v>
      </c>
      <c r="C40" s="203">
        <f>R26</f>
        <v>42998</v>
      </c>
      <c r="D40" s="16"/>
      <c r="E40" s="42" t="b">
        <v>0</v>
      </c>
      <c r="F40" s="204">
        <f t="shared" si="38"/>
        <v>2</v>
      </c>
      <c r="G40" s="16"/>
      <c r="H40" s="16"/>
      <c r="I40" s="69">
        <f t="shared" si="39"/>
        <v>-0.172518119</v>
      </c>
      <c r="J40" s="177"/>
      <c r="K40" s="71"/>
      <c r="L40" s="177">
        <f t="shared" si="40"/>
        <v>-0.172518119</v>
      </c>
      <c r="M40" s="73">
        <f t="shared" ref="M40:M80" si="45">M39+1</f>
        <v>2</v>
      </c>
      <c r="N40" s="74" t="str">
        <f t="shared" si="41"/>
        <v/>
      </c>
      <c r="O40" s="73">
        <f t="shared" ref="O40:O80" si="46">IF(O39&lt;$S$38,O39+1,"")</f>
        <v>2</v>
      </c>
      <c r="P40" s="74">
        <f t="shared" si="42"/>
        <v>4</v>
      </c>
      <c r="Q40" s="19"/>
      <c r="R40" s="205">
        <f t="shared" si="43"/>
        <v>4</v>
      </c>
      <c r="S40" s="72">
        <f t="shared" si="44"/>
        <v>9.0000000000000011E-3</v>
      </c>
      <c r="T40" s="16"/>
      <c r="U40" s="87">
        <v>49332</v>
      </c>
      <c r="V40" s="88">
        <v>0.79454356919891955</v>
      </c>
      <c r="W40" s="19"/>
      <c r="X40" s="206" t="str">
        <f>_xll.xlFutCode(H36)</f>
        <v>U9</v>
      </c>
      <c r="Y40" s="94">
        <f>_xll.RtGet($AC$29,$AC$30&amp;$X40&amp;$AC$31,Y$29)</f>
        <v>99.997572988000002</v>
      </c>
      <c r="Z40" s="95">
        <f>_xll.RtGet($AC$29,$AC$30&amp;$X40&amp;$AC$31,Z$29)</f>
        <v>99.997572988000002</v>
      </c>
      <c r="AA40" s="16"/>
      <c r="AB40" s="19"/>
      <c r="AC40" s="19"/>
      <c r="AD40" s="19"/>
      <c r="AE40" s="9"/>
      <c r="AF40" s="9"/>
      <c r="AG40" s="9"/>
      <c r="AH40" s="9"/>
      <c r="AI40" s="19"/>
      <c r="AJ40" s="56" t="str">
        <f>IF(AND(LEN(AQ40)&gt;0,AS40&gt;0),_xll.xlShmInterpDisc(curveName,AQ40)+0*TYPE($V$4),"")</f>
        <v/>
      </c>
      <c r="AK40" s="57" t="str">
        <f>IF(AND(LEN(AQ40)&gt;0,AS40&gt;0),100*_xll.xlShmInterpRate(curveName,2,5,AQ40)+0*TYPE($V$4),"")</f>
        <v/>
      </c>
      <c r="AL40" s="57" t="str">
        <f t="shared" si="10"/>
        <v/>
      </c>
      <c r="AM40" s="58" t="str">
        <f t="shared" si="11"/>
        <v/>
      </c>
      <c r="AN40" s="59"/>
      <c r="AO40" s="60"/>
      <c r="AP40" s="59"/>
      <c r="AQ40" s="60"/>
      <c r="AR40" s="59"/>
      <c r="AS40" s="61"/>
      <c r="AT40" s="62"/>
      <c r="AU40" s="59"/>
      <c r="AV40" s="59"/>
      <c r="AW40" s="59"/>
      <c r="AX40" s="59"/>
      <c r="AY40" s="63"/>
      <c r="AZ40" s="64"/>
      <c r="BA40" s="15"/>
      <c r="BB40" s="19"/>
      <c r="BC40" s="19"/>
      <c r="BD40" s="16"/>
      <c r="BE40" s="83" t="b">
        <v>1</v>
      </c>
      <c r="BF40" s="193" t="str">
        <f t="shared" si="25"/>
        <v>10Y</v>
      </c>
      <c r="BG40" s="18">
        <f t="shared" si="13"/>
        <v>120</v>
      </c>
      <c r="BH40" s="74" t="s">
        <v>108</v>
      </c>
      <c r="BI40" s="69">
        <f t="shared" si="26"/>
        <v>0.53</v>
      </c>
      <c r="BJ40" s="70"/>
      <c r="BK40" s="71"/>
      <c r="BL40" s="72">
        <f t="shared" si="15"/>
        <v>0.53</v>
      </c>
      <c r="BM40" s="73">
        <f t="shared" si="23"/>
        <v>38</v>
      </c>
      <c r="BN40" s="74">
        <f t="shared" si="16"/>
        <v>38</v>
      </c>
      <c r="BO40" s="73">
        <f t="shared" si="24"/>
        <v>38</v>
      </c>
      <c r="BP40" s="74">
        <f t="shared" si="17"/>
        <v>38</v>
      </c>
      <c r="BQ40" s="73">
        <f t="shared" si="18"/>
        <v>120</v>
      </c>
      <c r="BR40" s="18" t="str">
        <f t="shared" si="19"/>
        <v>e</v>
      </c>
      <c r="BS40" s="72">
        <f t="shared" si="20"/>
        <v>0.53</v>
      </c>
      <c r="BT40" s="16"/>
      <c r="BU40" s="92" t="str">
        <v>-</v>
      </c>
      <c r="BV40" s="88" t="str">
        <v>-</v>
      </c>
      <c r="BW40" s="19"/>
      <c r="BX40" s="192" t="s">
        <v>160</v>
      </c>
      <c r="BY40" s="78">
        <f>_xll.RtGet($CC$7,$CC$8&amp;BX40&amp;$CC$9,$BY$7)</f>
        <v>0.28400000000000003</v>
      </c>
      <c r="BZ40" s="79">
        <f>_xll.RtGet($CC$7,$CC$8&amp;BX40&amp;$CC$9,$BZ$7)</f>
        <v>0.28400000000000003</v>
      </c>
      <c r="CA40" s="16"/>
      <c r="CB40" s="19"/>
      <c r="CC40" s="19"/>
      <c r="CD40" s="16"/>
      <c r="CE40" s="56" t="str">
        <f>IF(AND(LEN(CL40)&gt;0,CN40&gt;0),_xll.xlShmInterpDisc(curveName,CL40)+0*TYPE($V$4),"")</f>
        <v/>
      </c>
      <c r="CF40" s="57" t="str">
        <f>IF(AND(LEN(CL40)&gt;0,CN40&gt;0),100*_xll.xlShmInterpRate(curveName,2,5,CL40)+0*TYPE($V$4),"")</f>
        <v/>
      </c>
      <c r="CG40" s="57" t="str">
        <f t="shared" si="21"/>
        <v/>
      </c>
      <c r="CH40" s="58" t="str">
        <f t="shared" si="22"/>
        <v/>
      </c>
      <c r="CI40" s="59"/>
      <c r="CJ40" s="60"/>
      <c r="CK40" s="59"/>
      <c r="CL40" s="60"/>
      <c r="CM40" s="59"/>
      <c r="CN40" s="61"/>
      <c r="CO40" s="62"/>
      <c r="CP40" s="59"/>
      <c r="CQ40" s="59"/>
      <c r="CR40" s="59"/>
      <c r="CS40" s="59"/>
      <c r="CT40" s="63"/>
      <c r="CU40" s="14"/>
      <c r="CV40" s="15"/>
      <c r="CW40" s="16"/>
      <c r="CX40" s="93" t="s">
        <v>164</v>
      </c>
      <c r="CY40" s="207" t="str">
        <f t="shared" si="27"/>
        <v>EURFX10YSDF=</v>
      </c>
      <c r="CZ40" s="198"/>
      <c r="DA40" s="199">
        <f>_xll.xlDateWorkFw(Calendar,VALUE(_xll.xlDateShiftMonth(VALUE(Settlement),LEFT(CX40,LEN(CX40)-1)*12)),0)</f>
        <v>46412</v>
      </c>
      <c r="DB40" s="208">
        <f>_xll.xlShmInterpDisc("EUR",DA40+0*TYPE(disc_refresh))</f>
        <v>0.92800538733951776</v>
      </c>
      <c r="DC40" s="209">
        <f t="shared" si="28"/>
        <v>0.92800538733951776</v>
      </c>
      <c r="DD40" s="137"/>
      <c r="DE40" s="210"/>
      <c r="DF40" s="150" t="str">
        <f>IF($DF$10,_xll.RtContribute("DTSIMI1",CY40,$DA$10:$DC$10,DA40:DC40,"SCOPE:SERVER"),"-")</f>
        <v>-</v>
      </c>
      <c r="DG40" s="18"/>
      <c r="DH40" s="199" t="str">
        <f>IF($DF$10,_xll.RtGet($DB$4,CY40,$DA$10),"-")</f>
        <v>-</v>
      </c>
      <c r="DI40" s="211" t="str">
        <f>IF($DF$10,_xll.RtGet($DB$4,CY40,$DB$10),"-")</f>
        <v>-</v>
      </c>
      <c r="DJ40" s="212" t="str">
        <f>IF($DF$10,_xll.RtGet($DB$4,CY40,$DC$10),"-")</f>
        <v>-</v>
      </c>
      <c r="DK40" s="18"/>
      <c r="DL40" s="16"/>
      <c r="DM40" s="16"/>
      <c r="DN40" s="16"/>
      <c r="DO40" s="16"/>
      <c r="DP40" s="16"/>
      <c r="DQ40" s="14"/>
    </row>
    <row r="41" spans="1:121" x14ac:dyDescent="0.2">
      <c r="A41" s="21"/>
      <c r="B41" s="187" t="s">
        <v>165</v>
      </c>
      <c r="C41" s="101" t="b">
        <v>1</v>
      </c>
      <c r="D41" s="16"/>
      <c r="E41" s="42" t="b">
        <v>1</v>
      </c>
      <c r="F41" s="204">
        <f t="shared" si="38"/>
        <v>3</v>
      </c>
      <c r="G41" s="16"/>
      <c r="H41" s="16"/>
      <c r="I41" s="69">
        <f t="shared" si="39"/>
        <v>-9.0999999999999998E-2</v>
      </c>
      <c r="J41" s="177"/>
      <c r="K41" s="71"/>
      <c r="L41" s="177">
        <f t="shared" si="40"/>
        <v>-9.0999999999999998E-2</v>
      </c>
      <c r="M41" s="73">
        <f t="shared" si="45"/>
        <v>3</v>
      </c>
      <c r="N41" s="74">
        <f t="shared" si="41"/>
        <v>3</v>
      </c>
      <c r="O41" s="73">
        <f t="shared" si="46"/>
        <v>3</v>
      </c>
      <c r="P41" s="74">
        <f t="shared" si="42"/>
        <v>5</v>
      </c>
      <c r="Q41" s="16"/>
      <c r="R41" s="205">
        <f t="shared" si="43"/>
        <v>5</v>
      </c>
      <c r="S41" s="72">
        <f t="shared" si="44"/>
        <v>0.125</v>
      </c>
      <c r="T41" s="16"/>
      <c r="U41" s="87">
        <v>49697</v>
      </c>
      <c r="V41" s="88">
        <v>0.78037775299180145</v>
      </c>
      <c r="W41" s="19"/>
      <c r="X41" s="16"/>
      <c r="Y41" s="16"/>
      <c r="Z41" s="16"/>
      <c r="AA41" s="16"/>
      <c r="AB41" s="19"/>
      <c r="AC41" s="19"/>
      <c r="AD41" s="19"/>
      <c r="AE41" s="9"/>
      <c r="AF41" s="9"/>
      <c r="AG41" s="9"/>
      <c r="AH41" s="9"/>
      <c r="AI41" s="19"/>
      <c r="AJ41" s="56" t="str">
        <f>IF(AND(LEN(AQ41)&gt;0,AS41&gt;0),_xll.xlShmInterpDisc(curveName,AQ41)+0*TYPE($V$4),"")</f>
        <v/>
      </c>
      <c r="AK41" s="57" t="str">
        <f>IF(AND(LEN(AQ41)&gt;0,AS41&gt;0),100*_xll.xlShmInterpRate(curveName,2,5,AQ41)+0*TYPE($V$4),"")</f>
        <v/>
      </c>
      <c r="AL41" s="57" t="str">
        <f t="shared" si="10"/>
        <v/>
      </c>
      <c r="AM41" s="58" t="str">
        <f t="shared" si="11"/>
        <v/>
      </c>
      <c r="AN41" s="59"/>
      <c r="AO41" s="60"/>
      <c r="AP41" s="59"/>
      <c r="AQ41" s="60"/>
      <c r="AR41" s="59"/>
      <c r="AS41" s="61"/>
      <c r="AT41" s="62"/>
      <c r="AU41" s="59"/>
      <c r="AV41" s="59"/>
      <c r="AW41" s="59"/>
      <c r="AX41" s="59"/>
      <c r="AY41" s="63"/>
      <c r="AZ41" s="64"/>
      <c r="BA41" s="15"/>
      <c r="BB41" s="19"/>
      <c r="BC41" s="19"/>
      <c r="BD41" s="16"/>
      <c r="BE41" s="83" t="b">
        <v>1</v>
      </c>
      <c r="BF41" s="193" t="str">
        <f t="shared" si="25"/>
        <v>11Y</v>
      </c>
      <c r="BG41" s="18">
        <f t="shared" si="13"/>
        <v>132</v>
      </c>
      <c r="BH41" s="74" t="s">
        <v>108</v>
      </c>
      <c r="BI41" s="69">
        <f t="shared" si="26"/>
        <v>0.63800000000000001</v>
      </c>
      <c r="BJ41" s="70"/>
      <c r="BK41" s="71"/>
      <c r="BL41" s="72">
        <f t="shared" si="15"/>
        <v>0.63800000000000001</v>
      </c>
      <c r="BM41" s="73">
        <f t="shared" si="23"/>
        <v>39</v>
      </c>
      <c r="BN41" s="74">
        <f t="shared" si="16"/>
        <v>39</v>
      </c>
      <c r="BO41" s="73">
        <f t="shared" si="24"/>
        <v>39</v>
      </c>
      <c r="BP41" s="74">
        <f t="shared" si="17"/>
        <v>39</v>
      </c>
      <c r="BQ41" s="73">
        <f t="shared" si="18"/>
        <v>132</v>
      </c>
      <c r="BR41" s="18" t="str">
        <f t="shared" si="19"/>
        <v>e</v>
      </c>
      <c r="BS41" s="72">
        <f t="shared" si="20"/>
        <v>0.63800000000000001</v>
      </c>
      <c r="BT41" s="16"/>
      <c r="BU41" s="92" t="str">
        <v>-</v>
      </c>
      <c r="BV41" s="88" t="str">
        <v>-</v>
      </c>
      <c r="BW41" s="19"/>
      <c r="BX41" s="192" t="s">
        <v>162</v>
      </c>
      <c r="BY41" s="78">
        <f>_xll.RtGet($CC$7,$CC$8&amp;BX41&amp;$CC$9,$BY$7)</f>
        <v>0.41200000000000003</v>
      </c>
      <c r="BZ41" s="79">
        <f>_xll.RtGet($CC$7,$CC$8&amp;BX41&amp;$CC$9,$BZ$7)</f>
        <v>0.41200000000000003</v>
      </c>
      <c r="CA41" s="16"/>
      <c r="CB41" s="19"/>
      <c r="CC41" s="19"/>
      <c r="CD41" s="16"/>
      <c r="CE41" s="56" t="str">
        <f>IF(AND(LEN(CL41)&gt;0,CN41&gt;0),_xll.xlShmInterpDisc(curveName,CL41)+0*TYPE($V$4),"")</f>
        <v/>
      </c>
      <c r="CF41" s="57" t="str">
        <f>IF(AND(LEN(CL41)&gt;0,CN41&gt;0),100*_xll.xlShmInterpRate(curveName,2,5,CL41)+0*TYPE($V$4),"")</f>
        <v/>
      </c>
      <c r="CG41" s="57" t="str">
        <f t="shared" si="21"/>
        <v/>
      </c>
      <c r="CH41" s="58" t="str">
        <f t="shared" si="22"/>
        <v/>
      </c>
      <c r="CI41" s="59"/>
      <c r="CJ41" s="60"/>
      <c r="CK41" s="59"/>
      <c r="CL41" s="60"/>
      <c r="CM41" s="59"/>
      <c r="CN41" s="61"/>
      <c r="CO41" s="62"/>
      <c r="CP41" s="59"/>
      <c r="CQ41" s="59"/>
      <c r="CR41" s="59"/>
      <c r="CS41" s="59"/>
      <c r="CT41" s="63"/>
      <c r="CU41" s="14"/>
      <c r="CV41" s="15"/>
      <c r="CW41" s="16"/>
      <c r="CX41" s="77" t="s">
        <v>166</v>
      </c>
      <c r="CY41" s="133"/>
      <c r="CZ41" s="6"/>
      <c r="DA41" s="134">
        <f>_xll.xlDateWorkFw(Calendar,VALUE(_xll.xlDateShiftMonth(VALUE(Settlement),LEFT(CX41,LEN(CX41)-1)*12)),0)</f>
        <v>46776</v>
      </c>
      <c r="DB41" s="6"/>
      <c r="DC41" s="213"/>
      <c r="DD41" s="16"/>
      <c r="DE41" s="138"/>
      <c r="DF41" s="213"/>
      <c r="DG41" s="16"/>
      <c r="DH41" s="138"/>
      <c r="DI41" s="6"/>
      <c r="DJ41" s="213"/>
      <c r="DK41" s="16"/>
      <c r="DL41" s="16"/>
      <c r="DM41" s="16"/>
      <c r="DN41" s="16"/>
      <c r="DO41" s="16"/>
      <c r="DP41" s="16"/>
      <c r="DQ41" s="14"/>
    </row>
    <row r="42" spans="1:121" x14ac:dyDescent="0.2">
      <c r="A42" s="21"/>
      <c r="B42" s="214" t="s">
        <v>167</v>
      </c>
      <c r="C42" s="215" t="s">
        <v>110</v>
      </c>
      <c r="D42" s="19"/>
      <c r="E42" s="42" t="b">
        <v>1</v>
      </c>
      <c r="F42" s="204">
        <f t="shared" si="38"/>
        <v>4</v>
      </c>
      <c r="G42" s="16"/>
      <c r="H42" s="16"/>
      <c r="I42" s="69">
        <f t="shared" si="39"/>
        <v>9.0000000000000011E-3</v>
      </c>
      <c r="J42" s="177"/>
      <c r="K42" s="71"/>
      <c r="L42" s="177">
        <f t="shared" si="40"/>
        <v>9.0000000000000011E-3</v>
      </c>
      <c r="M42" s="73">
        <f t="shared" si="45"/>
        <v>4</v>
      </c>
      <c r="N42" s="74">
        <f t="shared" si="41"/>
        <v>4</v>
      </c>
      <c r="O42" s="73">
        <f t="shared" si="46"/>
        <v>4</v>
      </c>
      <c r="P42" s="74">
        <f t="shared" si="42"/>
        <v>6</v>
      </c>
      <c r="Q42" s="16"/>
      <c r="R42" s="205">
        <f t="shared" si="43"/>
        <v>6</v>
      </c>
      <c r="S42" s="72">
        <f t="shared" si="44"/>
        <v>0.246</v>
      </c>
      <c r="T42" s="16"/>
      <c r="U42" s="87">
        <v>50063</v>
      </c>
      <c r="V42" s="88">
        <v>0.76681844970276458</v>
      </c>
      <c r="W42" s="19"/>
      <c r="X42" s="24" t="s">
        <v>168</v>
      </c>
      <c r="Y42" s="25" t="s">
        <v>8</v>
      </c>
      <c r="Z42" s="26" t="s">
        <v>9</v>
      </c>
      <c r="AA42" s="16"/>
      <c r="AB42" s="39" t="s">
        <v>17</v>
      </c>
      <c r="AC42" s="40" t="s">
        <v>18</v>
      </c>
      <c r="AD42" s="19"/>
      <c r="AE42" s="9"/>
      <c r="AF42" s="9"/>
      <c r="AG42" s="9"/>
      <c r="AH42" s="9"/>
      <c r="AI42" s="19"/>
      <c r="AJ42" s="56" t="str">
        <f>IF(AND(LEN(AQ42)&gt;0,AS42&gt;0),_xll.xlShmInterpDisc(curveName,AQ42)+0*TYPE($V$4),"")</f>
        <v/>
      </c>
      <c r="AK42" s="57" t="str">
        <f>IF(AND(LEN(AQ42)&gt;0,AS42&gt;0),100*_xll.xlShmInterpRate(curveName,2,5,AQ42)+0*TYPE($V$4),"")</f>
        <v/>
      </c>
      <c r="AL42" s="57" t="str">
        <f t="shared" si="10"/>
        <v/>
      </c>
      <c r="AM42" s="58" t="str">
        <f t="shared" si="11"/>
        <v/>
      </c>
      <c r="AN42" s="59"/>
      <c r="AO42" s="60"/>
      <c r="AP42" s="59"/>
      <c r="AQ42" s="60"/>
      <c r="AR42" s="59"/>
      <c r="AS42" s="61"/>
      <c r="AT42" s="62"/>
      <c r="AU42" s="59"/>
      <c r="AV42" s="59"/>
      <c r="AW42" s="59"/>
      <c r="AX42" s="59"/>
      <c r="AY42" s="63"/>
      <c r="AZ42" s="64"/>
      <c r="BA42" s="15"/>
      <c r="BB42" s="19"/>
      <c r="BC42" s="19"/>
      <c r="BD42" s="19"/>
      <c r="BE42" s="83" t="b">
        <v>1</v>
      </c>
      <c r="BF42" s="193" t="str">
        <f t="shared" si="25"/>
        <v>12Y</v>
      </c>
      <c r="BG42" s="18">
        <f t="shared" si="13"/>
        <v>144</v>
      </c>
      <c r="BH42" s="74" t="s">
        <v>108</v>
      </c>
      <c r="BI42" s="69">
        <f t="shared" si="26"/>
        <v>0.73199999999999998</v>
      </c>
      <c r="BJ42" s="70"/>
      <c r="BK42" s="71"/>
      <c r="BL42" s="72">
        <f t="shared" si="15"/>
        <v>0.73199999999999998</v>
      </c>
      <c r="BM42" s="73">
        <f t="shared" si="23"/>
        <v>40</v>
      </c>
      <c r="BN42" s="74">
        <f t="shared" si="16"/>
        <v>40</v>
      </c>
      <c r="BO42" s="73">
        <f t="shared" si="24"/>
        <v>40</v>
      </c>
      <c r="BP42" s="74">
        <f t="shared" si="17"/>
        <v>40</v>
      </c>
      <c r="BQ42" s="73">
        <f t="shared" si="18"/>
        <v>144</v>
      </c>
      <c r="BR42" s="18" t="str">
        <f t="shared" si="19"/>
        <v>e</v>
      </c>
      <c r="BS42" s="72">
        <f t="shared" si="20"/>
        <v>0.73199999999999998</v>
      </c>
      <c r="BT42" s="16"/>
      <c r="BU42" s="92" t="str">
        <v>-</v>
      </c>
      <c r="BV42" s="88" t="str">
        <v>-</v>
      </c>
      <c r="BW42" s="19"/>
      <c r="BX42" s="192" t="s">
        <v>164</v>
      </c>
      <c r="BY42" s="78">
        <f>_xll.RtGet($CC$7,$CC$8&amp;BX42&amp;$CC$9,$BY$7)</f>
        <v>0.53</v>
      </c>
      <c r="BZ42" s="79">
        <f>_xll.RtGet($CC$7,$CC$8&amp;BX42&amp;$CC$9,$BZ$7)</f>
        <v>0.53</v>
      </c>
      <c r="CA42" s="16"/>
      <c r="CB42" s="19"/>
      <c r="CC42" s="19"/>
      <c r="CD42" s="16"/>
      <c r="CE42" s="56" t="str">
        <f>IF(AND(LEN(CL42)&gt;0,CN42&gt;0),_xll.xlShmInterpDisc(curveName,CL42)+0*TYPE($V$4),"")</f>
        <v/>
      </c>
      <c r="CF42" s="57" t="str">
        <f>IF(AND(LEN(CL42)&gt;0,CN42&gt;0),100*_xll.xlShmInterpRate(curveName,2,5,CL42)+0*TYPE($V$4),"")</f>
        <v/>
      </c>
      <c r="CG42" s="57" t="str">
        <f t="shared" si="21"/>
        <v/>
      </c>
      <c r="CH42" s="58" t="str">
        <f t="shared" si="22"/>
        <v/>
      </c>
      <c r="CI42" s="59"/>
      <c r="CJ42" s="60"/>
      <c r="CK42" s="59"/>
      <c r="CL42" s="60"/>
      <c r="CM42" s="59"/>
      <c r="CN42" s="61"/>
      <c r="CO42" s="62"/>
      <c r="CP42" s="59"/>
      <c r="CQ42" s="59"/>
      <c r="CR42" s="59"/>
      <c r="CS42" s="59"/>
      <c r="CT42" s="63"/>
      <c r="CU42" s="14"/>
      <c r="CV42" s="15"/>
      <c r="CW42" s="16"/>
      <c r="CX42" s="77" t="s">
        <v>169</v>
      </c>
      <c r="CY42" s="133"/>
      <c r="CZ42" s="16"/>
      <c r="DA42" s="142">
        <f>_xll.xlDateWorkFw(Calendar,VALUE(_xll.xlDateShiftMonth(VALUE(Settlement),LEFT(CX42,LEN(CX42)-1)*12)),0)</f>
        <v>47141</v>
      </c>
      <c r="DB42" s="16"/>
      <c r="DC42" s="216"/>
      <c r="DD42" s="16"/>
      <c r="DE42" s="21"/>
      <c r="DF42" s="216"/>
      <c r="DG42" s="16"/>
      <c r="DH42" s="21"/>
      <c r="DI42" s="16"/>
      <c r="DJ42" s="216"/>
      <c r="DK42" s="16"/>
      <c r="DL42" s="16"/>
      <c r="DM42" s="16"/>
      <c r="DN42" s="16"/>
      <c r="DO42" s="16"/>
      <c r="DP42" s="16"/>
      <c r="DQ42" s="14"/>
    </row>
    <row r="43" spans="1:121" x14ac:dyDescent="0.2">
      <c r="A43" s="21"/>
      <c r="B43" s="217" t="s">
        <v>170</v>
      </c>
      <c r="C43" s="218" t="s">
        <v>20</v>
      </c>
      <c r="D43" s="16"/>
      <c r="E43" s="42" t="b">
        <v>1</v>
      </c>
      <c r="F43" s="204">
        <f t="shared" si="38"/>
        <v>5</v>
      </c>
      <c r="G43" s="16"/>
      <c r="H43" s="16"/>
      <c r="I43" s="69">
        <f t="shared" si="39"/>
        <v>0.125</v>
      </c>
      <c r="J43" s="177"/>
      <c r="K43" s="71"/>
      <c r="L43" s="177">
        <f t="shared" si="40"/>
        <v>0.125</v>
      </c>
      <c r="M43" s="73">
        <f t="shared" si="45"/>
        <v>5</v>
      </c>
      <c r="N43" s="74">
        <f t="shared" si="41"/>
        <v>5</v>
      </c>
      <c r="O43" s="73">
        <f t="shared" si="46"/>
        <v>5</v>
      </c>
      <c r="P43" s="74">
        <f t="shared" si="42"/>
        <v>7</v>
      </c>
      <c r="Q43" s="16"/>
      <c r="R43" s="205">
        <f t="shared" si="43"/>
        <v>7</v>
      </c>
      <c r="S43" s="72">
        <f t="shared" si="44"/>
        <v>0.372</v>
      </c>
      <c r="T43" s="16"/>
      <c r="U43" s="87">
        <v>50430</v>
      </c>
      <c r="V43" s="88">
        <v>0.75381387309360171</v>
      </c>
      <c r="W43" s="19"/>
      <c r="X43" s="219">
        <v>1</v>
      </c>
      <c r="Y43" s="53">
        <f>_xll.RtGet($AC$42,$AC$43&amp;$X43&amp;$AC$44,Y$42)</f>
        <v>-0.22595775400000001</v>
      </c>
      <c r="Z43" s="54">
        <f>_xll.RtGet($AC$42,$AC$43&amp;$X43&amp;$AC$44,Z$42)</f>
        <v>-0.22595775400000001</v>
      </c>
      <c r="AA43" s="16"/>
      <c r="AB43" s="66" t="s">
        <v>27</v>
      </c>
      <c r="AC43" s="67" t="s">
        <v>171</v>
      </c>
      <c r="AD43" s="19"/>
      <c r="AE43" s="9"/>
      <c r="AF43" s="9"/>
      <c r="AG43" s="9"/>
      <c r="AH43" s="9"/>
      <c r="AI43" s="19"/>
      <c r="AJ43" s="56" t="str">
        <f>IF(AND(LEN(AQ43)&gt;0,AS43&gt;0),_xll.xlShmInterpDisc(curveName,AQ43)+0*TYPE($V$4),"")</f>
        <v/>
      </c>
      <c r="AK43" s="57" t="str">
        <f>IF(AND(LEN(AQ43)&gt;0,AS43&gt;0),100*_xll.xlShmInterpRate(curveName,2,5,AQ43)+0*TYPE($V$4),"")</f>
        <v/>
      </c>
      <c r="AL43" s="57" t="str">
        <f t="shared" si="10"/>
        <v/>
      </c>
      <c r="AM43" s="58" t="str">
        <f t="shared" si="11"/>
        <v/>
      </c>
      <c r="AN43" s="59"/>
      <c r="AO43" s="60"/>
      <c r="AP43" s="59"/>
      <c r="AQ43" s="60"/>
      <c r="AR43" s="59"/>
      <c r="AS43" s="61"/>
      <c r="AT43" s="62"/>
      <c r="AU43" s="59"/>
      <c r="AV43" s="59"/>
      <c r="AW43" s="59"/>
      <c r="AX43" s="59"/>
      <c r="AY43" s="63"/>
      <c r="AZ43" s="64"/>
      <c r="BA43" s="15"/>
      <c r="BB43" s="19"/>
      <c r="BC43" s="19"/>
      <c r="BD43" s="16"/>
      <c r="BE43" s="83" t="b">
        <v>1</v>
      </c>
      <c r="BF43" s="193" t="str">
        <f t="shared" si="25"/>
        <v>13Y</v>
      </c>
      <c r="BG43" s="18">
        <f t="shared" si="13"/>
        <v>156</v>
      </c>
      <c r="BH43" s="74" t="s">
        <v>108</v>
      </c>
      <c r="BI43" s="69">
        <f t="shared" si="26"/>
        <v>0.81348410700000007</v>
      </c>
      <c r="BJ43" s="70"/>
      <c r="BK43" s="71"/>
      <c r="BL43" s="72">
        <f t="shared" si="15"/>
        <v>0.81348410700000007</v>
      </c>
      <c r="BM43" s="73">
        <f t="shared" si="23"/>
        <v>41</v>
      </c>
      <c r="BN43" s="74">
        <f t="shared" si="16"/>
        <v>41</v>
      </c>
      <c r="BO43" s="73">
        <f t="shared" si="24"/>
        <v>41</v>
      </c>
      <c r="BP43" s="74">
        <f t="shared" si="17"/>
        <v>41</v>
      </c>
      <c r="BQ43" s="73">
        <f t="shared" si="18"/>
        <v>156</v>
      </c>
      <c r="BR43" s="18" t="str">
        <f t="shared" si="19"/>
        <v>e</v>
      </c>
      <c r="BS43" s="72">
        <f t="shared" si="20"/>
        <v>0.81348410700000007</v>
      </c>
      <c r="BT43" s="16"/>
      <c r="BU43" s="92" t="str">
        <v>-</v>
      </c>
      <c r="BV43" s="88" t="str">
        <v>-</v>
      </c>
      <c r="BW43" s="19"/>
      <c r="BX43" s="192" t="s">
        <v>166</v>
      </c>
      <c r="BY43" s="78">
        <f>_xll.RtGet($CC$7,$CC$8&amp;BX43&amp;$CC$9,$BY$7)</f>
        <v>0.63800000000000001</v>
      </c>
      <c r="BZ43" s="79">
        <f>_xll.RtGet($CC$7,$CC$8&amp;BX43&amp;$CC$9,$BZ$7)</f>
        <v>0.63800000000000001</v>
      </c>
      <c r="CA43" s="16"/>
      <c r="CB43" s="19"/>
      <c r="CC43" s="19"/>
      <c r="CD43" s="16"/>
      <c r="CE43" s="56" t="str">
        <f>IF(AND(LEN(CL43)&gt;0,CN43&gt;0),_xll.xlShmInterpDisc(curveName,CL43)+0*TYPE($V$4),"")</f>
        <v/>
      </c>
      <c r="CF43" s="57" t="str">
        <f>IF(AND(LEN(CL43)&gt;0,CN43&gt;0),100*_xll.xlShmInterpRate(curveName,2,5,CL43)+0*TYPE($V$4),"")</f>
        <v/>
      </c>
      <c r="CG43" s="57" t="str">
        <f t="shared" si="21"/>
        <v/>
      </c>
      <c r="CH43" s="58" t="str">
        <f t="shared" si="22"/>
        <v/>
      </c>
      <c r="CI43" s="59"/>
      <c r="CJ43" s="60"/>
      <c r="CK43" s="59"/>
      <c r="CL43" s="60"/>
      <c r="CM43" s="59"/>
      <c r="CN43" s="61"/>
      <c r="CO43" s="62"/>
      <c r="CP43" s="59"/>
      <c r="CQ43" s="59"/>
      <c r="CR43" s="59"/>
      <c r="CS43" s="59"/>
      <c r="CT43" s="63"/>
      <c r="CU43" s="14"/>
      <c r="CV43" s="15"/>
      <c r="CW43" s="16"/>
      <c r="CX43" s="77" t="s">
        <v>172</v>
      </c>
      <c r="CY43" s="133"/>
      <c r="CZ43" s="16"/>
      <c r="DA43" s="142">
        <f>_xll.xlDateWorkFw(Calendar,VALUE(_xll.xlDateShiftMonth(VALUE(Settlement),LEFT(CX43,LEN(CX43)-1)*12)),0)</f>
        <v>47506</v>
      </c>
      <c r="DB43" s="16"/>
      <c r="DC43" s="216"/>
      <c r="DD43" s="16"/>
      <c r="DE43" s="21"/>
      <c r="DF43" s="216"/>
      <c r="DG43" s="16"/>
      <c r="DH43" s="21"/>
      <c r="DI43" s="16"/>
      <c r="DJ43" s="216"/>
      <c r="DK43" s="16"/>
      <c r="DL43" s="16"/>
      <c r="DM43" s="16"/>
      <c r="DN43" s="16"/>
      <c r="DO43" s="16"/>
      <c r="DP43" s="16"/>
      <c r="DQ43" s="14"/>
    </row>
    <row r="44" spans="1:121" x14ac:dyDescent="0.2">
      <c r="A44" s="21"/>
      <c r="B44" s="220" t="s">
        <v>173</v>
      </c>
      <c r="C44" s="101" t="s">
        <v>136</v>
      </c>
      <c r="D44" s="16"/>
      <c r="E44" s="42" t="b">
        <v>1</v>
      </c>
      <c r="F44" s="204">
        <f t="shared" si="38"/>
        <v>6</v>
      </c>
      <c r="G44" s="16"/>
      <c r="H44" s="16"/>
      <c r="I44" s="69">
        <f t="shared" si="39"/>
        <v>0.246</v>
      </c>
      <c r="J44" s="177"/>
      <c r="K44" s="71"/>
      <c r="L44" s="177">
        <f t="shared" si="40"/>
        <v>0.246</v>
      </c>
      <c r="M44" s="73">
        <f t="shared" si="45"/>
        <v>6</v>
      </c>
      <c r="N44" s="74">
        <f t="shared" si="41"/>
        <v>6</v>
      </c>
      <c r="O44" s="73">
        <f t="shared" si="46"/>
        <v>6</v>
      </c>
      <c r="P44" s="74">
        <f t="shared" si="42"/>
        <v>8</v>
      </c>
      <c r="Q44" s="16"/>
      <c r="R44" s="205">
        <f t="shared" si="43"/>
        <v>8</v>
      </c>
      <c r="S44" s="72">
        <f t="shared" si="44"/>
        <v>0.5</v>
      </c>
      <c r="T44" s="16"/>
      <c r="U44" s="87">
        <v>50794</v>
      </c>
      <c r="V44" s="88">
        <v>0.74145310211260917</v>
      </c>
      <c r="W44" s="221"/>
      <c r="X44" s="193">
        <v>2</v>
      </c>
      <c r="Y44" s="78">
        <f>_xll.RtGet($AC$42,$AC$43&amp;$X44&amp;$AC$44,Y$42)</f>
        <v>-0.172518119</v>
      </c>
      <c r="Z44" s="79">
        <f>_xll.RtGet($AC$42,$AC$43&amp;$X44&amp;$AC$44,Z$42)</f>
        <v>-0.172518119</v>
      </c>
      <c r="AA44" s="16"/>
      <c r="AB44" s="85" t="s">
        <v>36</v>
      </c>
      <c r="AC44" s="86" t="s">
        <v>174</v>
      </c>
      <c r="AD44" s="19"/>
      <c r="AE44" s="9"/>
      <c r="AF44" s="9"/>
      <c r="AG44" s="9"/>
      <c r="AH44" s="9"/>
      <c r="AI44" s="19"/>
      <c r="AJ44" s="56" t="str">
        <f>IF(AND(LEN(AQ44)&gt;0,AS44&gt;0),_xll.xlShmInterpDisc(curveName,AQ44)+0*TYPE($V$4),"")</f>
        <v/>
      </c>
      <c r="AK44" s="57" t="str">
        <f>IF(AND(LEN(AQ44)&gt;0,AS44&gt;0),100*_xll.xlShmInterpRate(curveName,2,5,AQ44)+0*TYPE($V$4),"")</f>
        <v/>
      </c>
      <c r="AL44" s="57" t="str">
        <f t="shared" si="10"/>
        <v/>
      </c>
      <c r="AM44" s="58" t="str">
        <f t="shared" si="11"/>
        <v/>
      </c>
      <c r="AN44" s="59"/>
      <c r="AO44" s="60"/>
      <c r="AP44" s="59"/>
      <c r="AQ44" s="60"/>
      <c r="AR44" s="59"/>
      <c r="AS44" s="61"/>
      <c r="AT44" s="62"/>
      <c r="AU44" s="59"/>
      <c r="AV44" s="59"/>
      <c r="AW44" s="59"/>
      <c r="AX44" s="59"/>
      <c r="AY44" s="63"/>
      <c r="AZ44" s="64"/>
      <c r="BA44" s="15"/>
      <c r="BB44" s="19"/>
      <c r="BC44" s="19"/>
      <c r="BD44" s="16"/>
      <c r="BE44" s="83" t="b">
        <v>1</v>
      </c>
      <c r="BF44" s="193" t="str">
        <f t="shared" si="25"/>
        <v>14Y</v>
      </c>
      <c r="BG44" s="18">
        <f t="shared" si="13"/>
        <v>168</v>
      </c>
      <c r="BH44" s="74" t="s">
        <v>108</v>
      </c>
      <c r="BI44" s="69">
        <f t="shared" si="26"/>
        <v>0.88415549999999998</v>
      </c>
      <c r="BJ44" s="70"/>
      <c r="BK44" s="71"/>
      <c r="BL44" s="72">
        <f t="shared" si="15"/>
        <v>0.88415549999999998</v>
      </c>
      <c r="BM44" s="73">
        <f t="shared" si="23"/>
        <v>42</v>
      </c>
      <c r="BN44" s="74">
        <f t="shared" si="16"/>
        <v>42</v>
      </c>
      <c r="BO44" s="73">
        <f t="shared" si="24"/>
        <v>42</v>
      </c>
      <c r="BP44" s="74">
        <f t="shared" si="17"/>
        <v>42</v>
      </c>
      <c r="BQ44" s="73">
        <f t="shared" si="18"/>
        <v>168</v>
      </c>
      <c r="BR44" s="18" t="str">
        <f t="shared" si="19"/>
        <v>e</v>
      </c>
      <c r="BS44" s="72">
        <f t="shared" si="20"/>
        <v>0.88415549999999998</v>
      </c>
      <c r="BT44" s="16"/>
      <c r="BU44" s="92" t="str">
        <v>-</v>
      </c>
      <c r="BV44" s="88" t="str">
        <v>-</v>
      </c>
      <c r="BW44" s="221"/>
      <c r="BX44" s="192" t="s">
        <v>169</v>
      </c>
      <c r="BY44" s="78">
        <f>_xll.RtGet($CC$7,$CC$8&amp;BX44&amp;$CC$9,$BY$7)</f>
        <v>0.73199999999999998</v>
      </c>
      <c r="BZ44" s="79">
        <f>_xll.RtGet($CC$7,$CC$8&amp;BX44&amp;$CC$9,$BZ$7)</f>
        <v>0.73199999999999998</v>
      </c>
      <c r="CA44" s="16"/>
      <c r="CB44" s="19"/>
      <c r="CC44" s="19"/>
      <c r="CD44" s="16"/>
      <c r="CE44" s="56" t="str">
        <f>IF(AND(LEN(CL44)&gt;0,CN44&gt;0),_xll.xlShmInterpDisc(curveName,CL44)+0*TYPE($V$4),"")</f>
        <v/>
      </c>
      <c r="CF44" s="57" t="str">
        <f>IF(AND(LEN(CL44)&gt;0,CN44&gt;0),100*_xll.xlShmInterpRate(curveName,2,5,CL44)+0*TYPE($V$4),"")</f>
        <v/>
      </c>
      <c r="CG44" s="57" t="str">
        <f t="shared" si="21"/>
        <v/>
      </c>
      <c r="CH44" s="58" t="str">
        <f t="shared" si="22"/>
        <v/>
      </c>
      <c r="CI44" s="59"/>
      <c r="CJ44" s="60"/>
      <c r="CK44" s="59"/>
      <c r="CL44" s="60"/>
      <c r="CM44" s="59"/>
      <c r="CN44" s="61"/>
      <c r="CO44" s="62"/>
      <c r="CP44" s="59"/>
      <c r="CQ44" s="59"/>
      <c r="CR44" s="59"/>
      <c r="CS44" s="59"/>
      <c r="CT44" s="63"/>
      <c r="CU44" s="14"/>
      <c r="CV44" s="15"/>
      <c r="CW44" s="16"/>
      <c r="CX44" s="77" t="s">
        <v>175</v>
      </c>
      <c r="CY44" s="133"/>
      <c r="CZ44" s="16"/>
      <c r="DA44" s="142">
        <f>_xll.xlDateWorkFw(Calendar,VALUE(_xll.xlDateShiftMonth(VALUE(Settlement),LEFT(CX44,LEN(CX44)-1)*12)),0)</f>
        <v>47871</v>
      </c>
      <c r="DB44" s="16"/>
      <c r="DC44" s="216"/>
      <c r="DD44" s="16"/>
      <c r="DE44" s="21"/>
      <c r="DF44" s="216"/>
      <c r="DG44" s="16"/>
      <c r="DH44" s="21"/>
      <c r="DI44" s="16"/>
      <c r="DJ44" s="216"/>
      <c r="DK44" s="16"/>
      <c r="DL44" s="16"/>
      <c r="DM44" s="16"/>
      <c r="DN44" s="16"/>
      <c r="DO44" s="16"/>
      <c r="DP44" s="16"/>
      <c r="DQ44" s="14"/>
    </row>
    <row r="45" spans="1:121" x14ac:dyDescent="0.2">
      <c r="A45" s="21"/>
      <c r="B45" s="222" t="s">
        <v>176</v>
      </c>
      <c r="C45" s="223">
        <v>3</v>
      </c>
      <c r="D45" s="16"/>
      <c r="E45" s="42" t="b">
        <v>1</v>
      </c>
      <c r="F45" s="204">
        <f t="shared" si="38"/>
        <v>7</v>
      </c>
      <c r="G45" s="16"/>
      <c r="H45" s="16"/>
      <c r="I45" s="69">
        <f t="shared" si="39"/>
        <v>0.372</v>
      </c>
      <c r="J45" s="177"/>
      <c r="K45" s="71"/>
      <c r="L45" s="177">
        <f t="shared" si="40"/>
        <v>0.372</v>
      </c>
      <c r="M45" s="73">
        <f t="shared" si="45"/>
        <v>7</v>
      </c>
      <c r="N45" s="74">
        <f t="shared" si="41"/>
        <v>7</v>
      </c>
      <c r="O45" s="73">
        <f t="shared" si="46"/>
        <v>7</v>
      </c>
      <c r="P45" s="74">
        <f t="shared" si="42"/>
        <v>9</v>
      </c>
      <c r="Q45" s="16"/>
      <c r="R45" s="205">
        <f t="shared" si="43"/>
        <v>9</v>
      </c>
      <c r="S45" s="72">
        <f t="shared" si="44"/>
        <v>0.623</v>
      </c>
      <c r="T45" s="16"/>
      <c r="U45" s="87">
        <v>51158</v>
      </c>
      <c r="V45" s="88">
        <v>0.72957033291881457</v>
      </c>
      <c r="W45" s="221"/>
      <c r="X45" s="193">
        <v>3</v>
      </c>
      <c r="Y45" s="78">
        <f>_xll.RtGet($AC$42,$AC$43&amp;$X45&amp;$AC$44,Y$42)</f>
        <v>-9.0999999999999998E-2</v>
      </c>
      <c r="Z45" s="79">
        <f>_xll.RtGet($AC$42,$AC$43&amp;$X45&amp;$AC$44,Z$42)</f>
        <v>-9.0999999999999998E-2</v>
      </c>
      <c r="AA45" s="16"/>
      <c r="AB45" s="16"/>
      <c r="AC45" s="16"/>
      <c r="AD45" s="19"/>
      <c r="AE45" s="9"/>
      <c r="AF45" s="9"/>
      <c r="AG45" s="9"/>
      <c r="AH45" s="9"/>
      <c r="AI45" s="19"/>
      <c r="AJ45" s="56" t="str">
        <f>IF(AND(LEN(AQ45)&gt;0,AS45&gt;0),_xll.xlShmInterpDisc(curveName,AQ45)+0*TYPE($V$4),"")</f>
        <v/>
      </c>
      <c r="AK45" s="57" t="str">
        <f>IF(AND(LEN(AQ45)&gt;0,AS45&gt;0),100*_xll.xlShmInterpRate(curveName,2,5,AQ45)+0*TYPE($V$4),"")</f>
        <v/>
      </c>
      <c r="AL45" s="57" t="str">
        <f t="shared" si="10"/>
        <v/>
      </c>
      <c r="AM45" s="58" t="str">
        <f t="shared" si="11"/>
        <v/>
      </c>
      <c r="AN45" s="59"/>
      <c r="AO45" s="60"/>
      <c r="AP45" s="59"/>
      <c r="AQ45" s="60"/>
      <c r="AR45" s="59"/>
      <c r="AS45" s="61"/>
      <c r="AT45" s="62"/>
      <c r="AU45" s="59"/>
      <c r="AV45" s="59"/>
      <c r="AW45" s="59"/>
      <c r="AX45" s="59"/>
      <c r="AY45" s="63"/>
      <c r="AZ45" s="64"/>
      <c r="BA45" s="15"/>
      <c r="BB45" s="19"/>
      <c r="BC45" s="19"/>
      <c r="BD45" s="16"/>
      <c r="BE45" s="83" t="b">
        <v>1</v>
      </c>
      <c r="BF45" s="193" t="str">
        <f t="shared" si="25"/>
        <v>15Y</v>
      </c>
      <c r="BG45" s="18">
        <f t="shared" si="13"/>
        <v>180</v>
      </c>
      <c r="BH45" s="74" t="s">
        <v>108</v>
      </c>
      <c r="BI45" s="69">
        <f t="shared" si="26"/>
        <v>0.94500000000000006</v>
      </c>
      <c r="BJ45" s="70"/>
      <c r="BK45" s="71"/>
      <c r="BL45" s="72">
        <f t="shared" si="15"/>
        <v>0.94500000000000006</v>
      </c>
      <c r="BM45" s="73">
        <f t="shared" si="23"/>
        <v>43</v>
      </c>
      <c r="BN45" s="74">
        <f t="shared" si="16"/>
        <v>43</v>
      </c>
      <c r="BO45" s="73">
        <f t="shared" si="24"/>
        <v>43</v>
      </c>
      <c r="BP45" s="74">
        <f t="shared" si="17"/>
        <v>43</v>
      </c>
      <c r="BQ45" s="73">
        <f t="shared" si="18"/>
        <v>180</v>
      </c>
      <c r="BR45" s="18" t="str">
        <f t="shared" si="19"/>
        <v>e</v>
      </c>
      <c r="BS45" s="72">
        <f t="shared" si="20"/>
        <v>0.94500000000000006</v>
      </c>
      <c r="BT45" s="16"/>
      <c r="BU45" s="92" t="str">
        <v>-</v>
      </c>
      <c r="BV45" s="88" t="str">
        <v>-</v>
      </c>
      <c r="BW45" s="221"/>
      <c r="BX45" s="192" t="s">
        <v>172</v>
      </c>
      <c r="BY45" s="78">
        <f>_xll.RtGet($CC$7,$CC$8&amp;BX45&amp;$CC$9,$BY$7)</f>
        <v>0.81348410700000007</v>
      </c>
      <c r="BZ45" s="79">
        <f>_xll.RtGet($CC$7,$CC$8&amp;BX45&amp;$CC$9,$BZ$7)</f>
        <v>0.81348410700000007</v>
      </c>
      <c r="CA45" s="16"/>
      <c r="CB45" s="19"/>
      <c r="CC45" s="19"/>
      <c r="CD45" s="16"/>
      <c r="CE45" s="56" t="str">
        <f>IF(AND(LEN(CL45)&gt;0,CN45&gt;0),_xll.xlShmInterpDisc(curveName,CL45)+0*TYPE($V$4),"")</f>
        <v/>
      </c>
      <c r="CF45" s="57" t="str">
        <f>IF(AND(LEN(CL45)&gt;0,CN45&gt;0),100*_xll.xlShmInterpRate(curveName,2,5,CL45)+0*TYPE($V$4),"")</f>
        <v/>
      </c>
      <c r="CG45" s="57" t="str">
        <f t="shared" si="21"/>
        <v/>
      </c>
      <c r="CH45" s="58" t="str">
        <f t="shared" si="22"/>
        <v/>
      </c>
      <c r="CI45" s="59"/>
      <c r="CJ45" s="60"/>
      <c r="CK45" s="59"/>
      <c r="CL45" s="60"/>
      <c r="CM45" s="59"/>
      <c r="CN45" s="61"/>
      <c r="CO45" s="62"/>
      <c r="CP45" s="59"/>
      <c r="CQ45" s="59"/>
      <c r="CR45" s="59"/>
      <c r="CS45" s="59"/>
      <c r="CT45" s="63"/>
      <c r="CU45" s="14"/>
      <c r="CV45" s="15"/>
      <c r="CW45" s="16"/>
      <c r="CX45" s="77" t="s">
        <v>177</v>
      </c>
      <c r="CY45" s="133"/>
      <c r="CZ45" s="16"/>
      <c r="DA45" s="142">
        <f>_xll.xlDateWorkFw(Calendar,VALUE(_xll.xlDateShiftMonth(VALUE(Settlement),LEFT(CX45,LEN(CX45)-1)*12)),0)</f>
        <v>48236</v>
      </c>
      <c r="DB45" s="16"/>
      <c r="DC45" s="216"/>
      <c r="DD45" s="16"/>
      <c r="DE45" s="21"/>
      <c r="DF45" s="216"/>
      <c r="DG45" s="16"/>
      <c r="DH45" s="21"/>
      <c r="DI45" s="16"/>
      <c r="DJ45" s="216"/>
      <c r="DK45" s="16"/>
      <c r="DL45" s="16"/>
      <c r="DM45" s="16"/>
      <c r="DN45" s="16"/>
      <c r="DO45" s="16"/>
      <c r="DP45" s="16"/>
      <c r="DQ45" s="14"/>
    </row>
    <row r="46" spans="1:121" x14ac:dyDescent="0.2">
      <c r="A46" s="21"/>
      <c r="B46" s="224" t="s">
        <v>178</v>
      </c>
      <c r="C46" s="90" t="s">
        <v>100</v>
      </c>
      <c r="D46" s="16"/>
      <c r="E46" s="42" t="b">
        <v>1</v>
      </c>
      <c r="F46" s="204">
        <f t="shared" si="38"/>
        <v>8</v>
      </c>
      <c r="G46" s="16"/>
      <c r="H46" s="16"/>
      <c r="I46" s="69">
        <f t="shared" si="39"/>
        <v>0.5</v>
      </c>
      <c r="J46" s="177"/>
      <c r="K46" s="71"/>
      <c r="L46" s="177">
        <f t="shared" si="40"/>
        <v>0.5</v>
      </c>
      <c r="M46" s="73">
        <f t="shared" si="45"/>
        <v>8</v>
      </c>
      <c r="N46" s="74">
        <f t="shared" si="41"/>
        <v>8</v>
      </c>
      <c r="O46" s="73">
        <f t="shared" si="46"/>
        <v>8</v>
      </c>
      <c r="P46" s="74">
        <f t="shared" si="42"/>
        <v>10</v>
      </c>
      <c r="Q46" s="16"/>
      <c r="R46" s="205">
        <f t="shared" si="43"/>
        <v>10</v>
      </c>
      <c r="S46" s="72">
        <f t="shared" si="44"/>
        <v>0.73499999999999999</v>
      </c>
      <c r="T46" s="16"/>
      <c r="U46" s="87">
        <v>51524</v>
      </c>
      <c r="V46" s="88">
        <v>0.71802977096221199</v>
      </c>
      <c r="W46" s="221"/>
      <c r="X46" s="193">
        <v>4</v>
      </c>
      <c r="Y46" s="78">
        <f>_xll.RtGet($AC$42,$AC$43&amp;$X46&amp;$AC$44,Y$42)</f>
        <v>9.0000000000000011E-3</v>
      </c>
      <c r="Z46" s="79">
        <f>_xll.RtGet($AC$42,$AC$43&amp;$X46&amp;$AC$44,Z$42)</f>
        <v>9.0000000000000011E-3</v>
      </c>
      <c r="AA46" s="16"/>
      <c r="AB46" s="16"/>
      <c r="AC46" s="16"/>
      <c r="AD46" s="19"/>
      <c r="AE46" s="9"/>
      <c r="AF46" s="9"/>
      <c r="AG46" s="9"/>
      <c r="AH46" s="9"/>
      <c r="AI46" s="19"/>
      <c r="AJ46" s="56" t="str">
        <f>IF(AND(LEN(AQ46)&gt;0,AS46&gt;0),_xll.xlShmInterpDisc(curveName,AQ46)+0*TYPE($V$4),"")</f>
        <v/>
      </c>
      <c r="AK46" s="57" t="str">
        <f>IF(AND(LEN(AQ46)&gt;0,AS46&gt;0),100*_xll.xlShmInterpRate(curveName,2,5,AQ46)+0*TYPE($V$4),"")</f>
        <v/>
      </c>
      <c r="AL46" s="57" t="str">
        <f t="shared" si="10"/>
        <v/>
      </c>
      <c r="AM46" s="58" t="str">
        <f t="shared" si="11"/>
        <v/>
      </c>
      <c r="AN46" s="59"/>
      <c r="AO46" s="60"/>
      <c r="AP46" s="59"/>
      <c r="AQ46" s="60"/>
      <c r="AR46" s="59"/>
      <c r="AS46" s="61"/>
      <c r="AT46" s="62"/>
      <c r="AU46" s="59"/>
      <c r="AV46" s="59"/>
      <c r="AW46" s="59"/>
      <c r="AX46" s="59"/>
      <c r="AY46" s="63"/>
      <c r="AZ46" s="64"/>
      <c r="BA46" s="15"/>
      <c r="BB46" s="19"/>
      <c r="BC46" s="19"/>
      <c r="BD46" s="16"/>
      <c r="BE46" s="83" t="b">
        <v>1</v>
      </c>
      <c r="BF46" s="193" t="str">
        <f t="shared" si="25"/>
        <v>16Y</v>
      </c>
      <c r="BG46" s="18">
        <f t="shared" si="13"/>
        <v>192</v>
      </c>
      <c r="BH46" s="74" t="s">
        <v>108</v>
      </c>
      <c r="BI46" s="69">
        <f t="shared" si="26"/>
        <v>0.9972446840000001</v>
      </c>
      <c r="BJ46" s="70"/>
      <c r="BK46" s="71"/>
      <c r="BL46" s="72">
        <f t="shared" si="15"/>
        <v>0.9972446840000001</v>
      </c>
      <c r="BM46" s="73">
        <f t="shared" si="23"/>
        <v>44</v>
      </c>
      <c r="BN46" s="74">
        <f t="shared" si="16"/>
        <v>44</v>
      </c>
      <c r="BO46" s="73">
        <f t="shared" si="24"/>
        <v>44</v>
      </c>
      <c r="BP46" s="74">
        <f t="shared" si="17"/>
        <v>44</v>
      </c>
      <c r="BQ46" s="73">
        <f t="shared" si="18"/>
        <v>192</v>
      </c>
      <c r="BR46" s="18" t="str">
        <f t="shared" si="19"/>
        <v>e</v>
      </c>
      <c r="BS46" s="72">
        <f t="shared" si="20"/>
        <v>0.9972446840000001</v>
      </c>
      <c r="BT46" s="16"/>
      <c r="BU46" s="92" t="str">
        <v>-</v>
      </c>
      <c r="BV46" s="88" t="str">
        <v>-</v>
      </c>
      <c r="BW46" s="221"/>
      <c r="BX46" s="192" t="s">
        <v>175</v>
      </c>
      <c r="BY46" s="78">
        <f>_xll.RtGet($CC$7,$CC$8&amp;BX46&amp;$CC$9,$BY$7)</f>
        <v>0.88415549999999998</v>
      </c>
      <c r="BZ46" s="79">
        <f>_xll.RtGet($CC$7,$CC$8&amp;BX46&amp;$CC$9,$BZ$7)</f>
        <v>0.88415549999999998</v>
      </c>
      <c r="CA46" s="16"/>
      <c r="CB46" s="19"/>
      <c r="CC46" s="19"/>
      <c r="CD46" s="16"/>
      <c r="CE46" s="56" t="str">
        <f>IF(AND(LEN(CL46)&gt;0,CN46&gt;0),_xll.xlShmInterpDisc(curveName,CL46)+0*TYPE($V$4),"")</f>
        <v/>
      </c>
      <c r="CF46" s="57" t="str">
        <f>IF(AND(LEN(CL46)&gt;0,CN46&gt;0),100*_xll.xlShmInterpRate(curveName,2,5,CL46)+0*TYPE($V$4),"")</f>
        <v/>
      </c>
      <c r="CG46" s="57" t="str">
        <f t="shared" si="21"/>
        <v/>
      </c>
      <c r="CH46" s="58" t="str">
        <f t="shared" si="22"/>
        <v/>
      </c>
      <c r="CI46" s="59"/>
      <c r="CJ46" s="60"/>
      <c r="CK46" s="59"/>
      <c r="CL46" s="60"/>
      <c r="CM46" s="59"/>
      <c r="CN46" s="61"/>
      <c r="CO46" s="62"/>
      <c r="CP46" s="59"/>
      <c r="CQ46" s="59"/>
      <c r="CR46" s="59"/>
      <c r="CS46" s="59"/>
      <c r="CT46" s="63"/>
      <c r="CU46" s="14"/>
      <c r="CV46" s="15"/>
      <c r="CW46" s="16"/>
      <c r="CX46" s="77" t="s">
        <v>179</v>
      </c>
      <c r="CY46" s="133"/>
      <c r="CZ46" s="16"/>
      <c r="DA46" s="142">
        <f>_xll.xlDateWorkFw(Calendar,VALUE(_xll.xlDateShiftMonth(VALUE(Settlement),LEFT(CX46,LEN(CX46)-1)*12)),0)</f>
        <v>48603</v>
      </c>
      <c r="DB46" s="16"/>
      <c r="DC46" s="216"/>
      <c r="DD46" s="16"/>
      <c r="DE46" s="21"/>
      <c r="DF46" s="216"/>
      <c r="DG46" s="16"/>
      <c r="DH46" s="21"/>
      <c r="DI46" s="16"/>
      <c r="DJ46" s="216"/>
      <c r="DK46" s="16"/>
      <c r="DL46" s="16"/>
      <c r="DM46" s="16"/>
      <c r="DN46" s="16"/>
      <c r="DO46" s="16"/>
      <c r="DP46" s="16"/>
      <c r="DQ46" s="14"/>
    </row>
    <row r="47" spans="1:121" x14ac:dyDescent="0.2">
      <c r="A47" s="21"/>
      <c r="B47" s="225" t="s">
        <v>180</v>
      </c>
      <c r="C47" s="215" t="s">
        <v>106</v>
      </c>
      <c r="D47" s="16"/>
      <c r="E47" s="42" t="b">
        <v>1</v>
      </c>
      <c r="F47" s="204">
        <f t="shared" si="38"/>
        <v>9</v>
      </c>
      <c r="G47" s="16"/>
      <c r="H47" s="16"/>
      <c r="I47" s="69">
        <f t="shared" si="39"/>
        <v>0.623</v>
      </c>
      <c r="J47" s="177"/>
      <c r="K47" s="71"/>
      <c r="L47" s="177">
        <f t="shared" si="40"/>
        <v>0.623</v>
      </c>
      <c r="M47" s="73">
        <f t="shared" si="45"/>
        <v>9</v>
      </c>
      <c r="N47" s="74">
        <f t="shared" si="41"/>
        <v>9</v>
      </c>
      <c r="O47" s="73">
        <f t="shared" si="46"/>
        <v>9</v>
      </c>
      <c r="P47" s="74">
        <f t="shared" si="42"/>
        <v>11</v>
      </c>
      <c r="Q47" s="16"/>
      <c r="R47" s="205">
        <f t="shared" si="43"/>
        <v>11</v>
      </c>
      <c r="S47" s="72">
        <f t="shared" si="44"/>
        <v>0.835003575</v>
      </c>
      <c r="T47" s="16"/>
      <c r="U47" s="87">
        <v>51889</v>
      </c>
      <c r="V47" s="88">
        <v>0.70683876439268489</v>
      </c>
      <c r="W47" s="221"/>
      <c r="X47" s="193">
        <v>5</v>
      </c>
      <c r="Y47" s="78">
        <f>_xll.RtGet($AC$42,$AC$43&amp;$X47&amp;$AC$44,Y$42)</f>
        <v>0.125</v>
      </c>
      <c r="Z47" s="79">
        <f>_xll.RtGet($AC$42,$AC$43&amp;$X47&amp;$AC$44,Z$42)</f>
        <v>0.125</v>
      </c>
      <c r="AA47" s="16"/>
      <c r="AB47" s="16"/>
      <c r="AC47" s="16"/>
      <c r="AD47" s="19"/>
      <c r="AE47" s="9"/>
      <c r="AF47" s="9"/>
      <c r="AG47" s="9"/>
      <c r="AH47" s="9"/>
      <c r="AI47" s="19"/>
      <c r="AJ47" s="56" t="str">
        <f>IF(AND(LEN(AQ47)&gt;0,AS47&gt;0),_xll.xlShmInterpDisc(curveName,AQ47)+0*TYPE($V$4),"")</f>
        <v/>
      </c>
      <c r="AK47" s="57" t="str">
        <f>IF(AND(LEN(AQ47)&gt;0,AS47&gt;0),100*_xll.xlShmInterpRate(curveName,2,5,AQ47)+0*TYPE($V$4),"")</f>
        <v/>
      </c>
      <c r="AL47" s="57" t="str">
        <f t="shared" si="10"/>
        <v/>
      </c>
      <c r="AM47" s="58" t="str">
        <f t="shared" si="11"/>
        <v/>
      </c>
      <c r="AN47" s="59"/>
      <c r="AO47" s="60"/>
      <c r="AP47" s="59"/>
      <c r="AQ47" s="60"/>
      <c r="AR47" s="59"/>
      <c r="AS47" s="61"/>
      <c r="AT47" s="62"/>
      <c r="AU47" s="59"/>
      <c r="AV47" s="59"/>
      <c r="AW47" s="59"/>
      <c r="AX47" s="59"/>
      <c r="AY47" s="63"/>
      <c r="AZ47" s="64"/>
      <c r="BA47" s="15"/>
      <c r="BB47" s="19"/>
      <c r="BC47" s="19"/>
      <c r="BD47" s="16"/>
      <c r="BE47" s="83" t="b">
        <v>1</v>
      </c>
      <c r="BF47" s="193" t="str">
        <f t="shared" si="25"/>
        <v>17Y</v>
      </c>
      <c r="BG47" s="18">
        <f t="shared" si="13"/>
        <v>204</v>
      </c>
      <c r="BH47" s="74" t="s">
        <v>108</v>
      </c>
      <c r="BI47" s="69">
        <f t="shared" si="26"/>
        <v>1.04115812</v>
      </c>
      <c r="BJ47" s="70"/>
      <c r="BK47" s="71"/>
      <c r="BL47" s="72">
        <f t="shared" si="15"/>
        <v>1.04115812</v>
      </c>
      <c r="BM47" s="73">
        <f t="shared" si="23"/>
        <v>45</v>
      </c>
      <c r="BN47" s="74">
        <f t="shared" si="16"/>
        <v>45</v>
      </c>
      <c r="BO47" s="73">
        <f t="shared" si="24"/>
        <v>45</v>
      </c>
      <c r="BP47" s="74">
        <f t="shared" si="17"/>
        <v>45</v>
      </c>
      <c r="BQ47" s="73">
        <f t="shared" si="18"/>
        <v>204</v>
      </c>
      <c r="BR47" s="18" t="str">
        <f t="shared" si="19"/>
        <v>e</v>
      </c>
      <c r="BS47" s="72">
        <f t="shared" si="20"/>
        <v>1.04115812</v>
      </c>
      <c r="BT47" s="16"/>
      <c r="BU47" s="92" t="str">
        <v>-</v>
      </c>
      <c r="BV47" s="88" t="str">
        <v>-</v>
      </c>
      <c r="BW47" s="221"/>
      <c r="BX47" s="192" t="s">
        <v>177</v>
      </c>
      <c r="BY47" s="78">
        <f>_xll.RtGet($CC$7,$CC$8&amp;BX47&amp;$CC$9,$BY$7)</f>
        <v>0.94500000000000006</v>
      </c>
      <c r="BZ47" s="79">
        <f>_xll.RtGet($CC$7,$CC$8&amp;BX47&amp;$CC$9,$BZ$7)</f>
        <v>0.94500000000000006</v>
      </c>
      <c r="CA47" s="16"/>
      <c r="CB47" s="19"/>
      <c r="CC47" s="19"/>
      <c r="CD47" s="16"/>
      <c r="CE47" s="56" t="str">
        <f>IF(AND(LEN(CL47)&gt;0,CN47&gt;0),_xll.xlShmInterpDisc(curveName,CL47)+0*TYPE($V$4),"")</f>
        <v/>
      </c>
      <c r="CF47" s="57" t="str">
        <f>IF(AND(LEN(CL47)&gt;0,CN47&gt;0),100*_xll.xlShmInterpRate(curveName,2,5,CL47)+0*TYPE($V$4),"")</f>
        <v/>
      </c>
      <c r="CG47" s="57" t="str">
        <f t="shared" si="21"/>
        <v/>
      </c>
      <c r="CH47" s="58" t="str">
        <f t="shared" si="22"/>
        <v/>
      </c>
      <c r="CI47" s="59"/>
      <c r="CJ47" s="60"/>
      <c r="CK47" s="59"/>
      <c r="CL47" s="60"/>
      <c r="CM47" s="59"/>
      <c r="CN47" s="61"/>
      <c r="CO47" s="62"/>
      <c r="CP47" s="59"/>
      <c r="CQ47" s="59"/>
      <c r="CR47" s="59"/>
      <c r="CS47" s="59"/>
      <c r="CT47" s="63"/>
      <c r="CU47" s="14"/>
      <c r="CV47" s="15"/>
      <c r="CW47" s="16"/>
      <c r="CX47" s="77" t="s">
        <v>181</v>
      </c>
      <c r="CY47" s="133"/>
      <c r="CZ47" s="16"/>
      <c r="DA47" s="142">
        <f>_xll.xlDateWorkFw(Calendar,VALUE(_xll.xlDateShiftMonth(VALUE(Settlement),LEFT(CX47,LEN(CX47)-1)*12)),0)</f>
        <v>48967</v>
      </c>
      <c r="DB47" s="16"/>
      <c r="DC47" s="216"/>
      <c r="DD47" s="16"/>
      <c r="DE47" s="21"/>
      <c r="DF47" s="216"/>
      <c r="DG47" s="16"/>
      <c r="DH47" s="21"/>
      <c r="DI47" s="16"/>
      <c r="DJ47" s="216"/>
      <c r="DK47" s="16"/>
      <c r="DL47" s="16"/>
      <c r="DM47" s="16"/>
      <c r="DN47" s="16"/>
      <c r="DO47" s="16"/>
      <c r="DP47" s="16"/>
      <c r="DQ47" s="14"/>
    </row>
    <row r="48" spans="1:121" x14ac:dyDescent="0.2">
      <c r="A48" s="21"/>
      <c r="B48" s="226" t="s">
        <v>182</v>
      </c>
      <c r="C48" s="218">
        <v>1</v>
      </c>
      <c r="D48" s="16"/>
      <c r="E48" s="42" t="b">
        <v>1</v>
      </c>
      <c r="F48" s="204">
        <f t="shared" si="38"/>
        <v>10</v>
      </c>
      <c r="G48" s="16"/>
      <c r="H48" s="16"/>
      <c r="I48" s="69">
        <f t="shared" si="39"/>
        <v>0.73499999999999999</v>
      </c>
      <c r="J48" s="177"/>
      <c r="K48" s="71"/>
      <c r="L48" s="177">
        <f t="shared" si="40"/>
        <v>0.73499999999999999</v>
      </c>
      <c r="M48" s="73">
        <f t="shared" si="45"/>
        <v>10</v>
      </c>
      <c r="N48" s="74">
        <f t="shared" si="41"/>
        <v>10</v>
      </c>
      <c r="O48" s="73">
        <f t="shared" si="46"/>
        <v>10</v>
      </c>
      <c r="P48" s="74">
        <f t="shared" si="42"/>
        <v>12</v>
      </c>
      <c r="Q48" s="16"/>
      <c r="R48" s="205">
        <f t="shared" si="43"/>
        <v>12</v>
      </c>
      <c r="S48" s="72">
        <f t="shared" si="44"/>
        <v>0.92400000000000004</v>
      </c>
      <c r="T48" s="16"/>
      <c r="U48" s="87">
        <v>52254</v>
      </c>
      <c r="V48" s="88">
        <v>0.69588259062484936</v>
      </c>
      <c r="W48" s="19"/>
      <c r="X48" s="193">
        <v>6</v>
      </c>
      <c r="Y48" s="78">
        <f>_xll.RtGet($AC$42,$AC$43&amp;$X48&amp;$AC$44,Y$42)</f>
        <v>0.246</v>
      </c>
      <c r="Z48" s="79">
        <f>_xll.RtGet($AC$42,$AC$43&amp;$X48&amp;$AC$44,Z$42)</f>
        <v>0.246</v>
      </c>
      <c r="AA48" s="16"/>
      <c r="AB48" s="16"/>
      <c r="AC48" s="16"/>
      <c r="AD48" s="19"/>
      <c r="AE48" s="9"/>
      <c r="AF48" s="9"/>
      <c r="AG48" s="9"/>
      <c r="AH48" s="9"/>
      <c r="AI48" s="19"/>
      <c r="AJ48" s="56" t="str">
        <f>IF(AND(LEN(AQ48)&gt;0,AS48&gt;0),_xll.xlShmInterpDisc(curveName,AQ48)+0*TYPE($V$4),"")</f>
        <v/>
      </c>
      <c r="AK48" s="57" t="str">
        <f>IF(AND(LEN(AQ48)&gt;0,AS48&gt;0),100*_xll.xlShmInterpRate(curveName,2,5,AQ48)+0*TYPE($V$4),"")</f>
        <v/>
      </c>
      <c r="AL48" s="57" t="str">
        <f t="shared" si="10"/>
        <v/>
      </c>
      <c r="AM48" s="58" t="str">
        <f t="shared" si="11"/>
        <v/>
      </c>
      <c r="AN48" s="59"/>
      <c r="AO48" s="60"/>
      <c r="AP48" s="59"/>
      <c r="AQ48" s="60"/>
      <c r="AR48" s="59"/>
      <c r="AS48" s="61"/>
      <c r="AT48" s="62"/>
      <c r="AU48" s="59"/>
      <c r="AV48" s="59"/>
      <c r="AW48" s="59"/>
      <c r="AX48" s="59"/>
      <c r="AY48" s="63"/>
      <c r="AZ48" s="64"/>
      <c r="BA48" s="15"/>
      <c r="BB48" s="19"/>
      <c r="BC48" s="19"/>
      <c r="BD48" s="16"/>
      <c r="BE48" s="83" t="b">
        <v>1</v>
      </c>
      <c r="BF48" s="193" t="str">
        <f t="shared" si="25"/>
        <v>18Y</v>
      </c>
      <c r="BG48" s="18">
        <f t="shared" si="13"/>
        <v>216</v>
      </c>
      <c r="BH48" s="74" t="s">
        <v>108</v>
      </c>
      <c r="BI48" s="69">
        <f t="shared" si="26"/>
        <v>1.078218441</v>
      </c>
      <c r="BJ48" s="70"/>
      <c r="BK48" s="71"/>
      <c r="BL48" s="72">
        <f t="shared" si="15"/>
        <v>1.078218441</v>
      </c>
      <c r="BM48" s="73">
        <f t="shared" si="23"/>
        <v>46</v>
      </c>
      <c r="BN48" s="74">
        <f t="shared" si="16"/>
        <v>46</v>
      </c>
      <c r="BO48" s="73">
        <f t="shared" si="24"/>
        <v>46</v>
      </c>
      <c r="BP48" s="74">
        <f t="shared" si="17"/>
        <v>46</v>
      </c>
      <c r="BQ48" s="73">
        <f t="shared" si="18"/>
        <v>216</v>
      </c>
      <c r="BR48" s="18" t="str">
        <f t="shared" si="19"/>
        <v>e</v>
      </c>
      <c r="BS48" s="72">
        <f t="shared" si="20"/>
        <v>1.078218441</v>
      </c>
      <c r="BT48" s="16"/>
      <c r="BU48" s="92" t="str">
        <v>-</v>
      </c>
      <c r="BV48" s="88" t="str">
        <v>-</v>
      </c>
      <c r="BW48" s="19"/>
      <c r="BX48" s="192" t="s">
        <v>179</v>
      </c>
      <c r="BY48" s="78">
        <f>_xll.RtGet($CC$7,$CC$8&amp;BX48&amp;$CC$9,$BY$7)</f>
        <v>0.9972446840000001</v>
      </c>
      <c r="BZ48" s="79">
        <f>_xll.RtGet($CC$7,$CC$8&amp;BX48&amp;$CC$9,$BZ$7)</f>
        <v>0.9972446840000001</v>
      </c>
      <c r="CA48" s="16"/>
      <c r="CB48" s="19"/>
      <c r="CC48" s="19"/>
      <c r="CD48" s="16"/>
      <c r="CE48" s="56" t="str">
        <f>IF(AND(LEN(CL48)&gt;0,CN48&gt;0),_xll.xlShmInterpDisc(curveName,CL48)+0*TYPE($V$4),"")</f>
        <v/>
      </c>
      <c r="CF48" s="57" t="str">
        <f>IF(AND(LEN(CL48)&gt;0,CN48&gt;0),100*_xll.xlShmInterpRate(curveName,2,5,CL48)+0*TYPE($V$4),"")</f>
        <v/>
      </c>
      <c r="CG48" s="57" t="str">
        <f t="shared" si="21"/>
        <v/>
      </c>
      <c r="CH48" s="58" t="str">
        <f t="shared" si="22"/>
        <v/>
      </c>
      <c r="CI48" s="59"/>
      <c r="CJ48" s="60"/>
      <c r="CK48" s="59"/>
      <c r="CL48" s="60"/>
      <c r="CM48" s="59"/>
      <c r="CN48" s="61"/>
      <c r="CO48" s="62"/>
      <c r="CP48" s="59"/>
      <c r="CQ48" s="59"/>
      <c r="CR48" s="59"/>
      <c r="CS48" s="59"/>
      <c r="CT48" s="63"/>
      <c r="CU48" s="14"/>
      <c r="CV48" s="15"/>
      <c r="CW48" s="16"/>
      <c r="CX48" s="77" t="s">
        <v>183</v>
      </c>
      <c r="CY48" s="133"/>
      <c r="CZ48" s="16"/>
      <c r="DA48" s="142">
        <f>_xll.xlDateWorkFw(Calendar,VALUE(_xll.xlDateShiftMonth(VALUE(Settlement),LEFT(CX48,LEN(CX48)-1)*12)),0)</f>
        <v>49332</v>
      </c>
      <c r="DB48" s="16"/>
      <c r="DC48" s="216"/>
      <c r="DD48" s="16"/>
      <c r="DE48" s="21"/>
      <c r="DF48" s="216"/>
      <c r="DG48" s="16"/>
      <c r="DH48" s="21"/>
      <c r="DI48" s="16"/>
      <c r="DJ48" s="216"/>
      <c r="DK48" s="16"/>
      <c r="DL48" s="16"/>
      <c r="DM48" s="16"/>
      <c r="DN48" s="16"/>
      <c r="DO48" s="16"/>
      <c r="DP48" s="16"/>
      <c r="DQ48" s="14"/>
    </row>
    <row r="49" spans="1:121" x14ac:dyDescent="0.2">
      <c r="A49" s="21"/>
      <c r="B49" s="226" t="s">
        <v>184</v>
      </c>
      <c r="C49" s="218" t="s">
        <v>78</v>
      </c>
      <c r="D49" s="16"/>
      <c r="E49" s="42" t="b">
        <v>1</v>
      </c>
      <c r="F49" s="204">
        <f t="shared" si="38"/>
        <v>11</v>
      </c>
      <c r="G49" s="16"/>
      <c r="H49" s="16"/>
      <c r="I49" s="69">
        <f t="shared" si="39"/>
        <v>0.835003575</v>
      </c>
      <c r="J49" s="177"/>
      <c r="K49" s="71"/>
      <c r="L49" s="177">
        <f t="shared" si="40"/>
        <v>0.835003575</v>
      </c>
      <c r="M49" s="73">
        <f t="shared" si="45"/>
        <v>11</v>
      </c>
      <c r="N49" s="74">
        <f t="shared" si="41"/>
        <v>11</v>
      </c>
      <c r="O49" s="73">
        <f t="shared" si="46"/>
        <v>11</v>
      </c>
      <c r="P49" s="74">
        <f t="shared" si="42"/>
        <v>13</v>
      </c>
      <c r="Q49" s="16"/>
      <c r="R49" s="205">
        <f t="shared" si="43"/>
        <v>13</v>
      </c>
      <c r="S49" s="72">
        <f t="shared" si="44"/>
        <v>1.0005820999999999</v>
      </c>
      <c r="T49" s="16"/>
      <c r="U49" s="87">
        <v>52621</v>
      </c>
      <c r="V49" s="88">
        <v>0.68509507969739003</v>
      </c>
      <c r="W49" s="19"/>
      <c r="X49" s="193">
        <v>7</v>
      </c>
      <c r="Y49" s="78">
        <f>_xll.RtGet($AC$42,$AC$43&amp;$X49&amp;$AC$44,Y$42)</f>
        <v>0.372</v>
      </c>
      <c r="Z49" s="79">
        <f>_xll.RtGet($AC$42,$AC$43&amp;$X49&amp;$AC$44,Z$42)</f>
        <v>0.372</v>
      </c>
      <c r="AA49" s="16"/>
      <c r="AB49" s="16"/>
      <c r="AC49" s="16"/>
      <c r="AD49" s="19"/>
      <c r="AE49" s="9"/>
      <c r="AF49" s="9"/>
      <c r="AG49" s="9"/>
      <c r="AH49" s="9"/>
      <c r="AI49" s="19"/>
      <c r="AJ49" s="56" t="str">
        <f>IF(AND(LEN(AQ49)&gt;0,AS49&gt;0),_xll.xlShmInterpDisc(curveName,AQ49)+0*TYPE($V$4),"")</f>
        <v/>
      </c>
      <c r="AK49" s="57" t="str">
        <f>IF(AND(LEN(AQ49)&gt;0,AS49&gt;0),100*_xll.xlShmInterpRate(curveName,2,5,AQ49)+0*TYPE($V$4),"")</f>
        <v/>
      </c>
      <c r="AL49" s="57" t="str">
        <f t="shared" si="10"/>
        <v/>
      </c>
      <c r="AM49" s="58" t="str">
        <f t="shared" si="11"/>
        <v/>
      </c>
      <c r="AN49" s="59"/>
      <c r="AO49" s="60"/>
      <c r="AP49" s="59"/>
      <c r="AQ49" s="60"/>
      <c r="AR49" s="59"/>
      <c r="AS49" s="61"/>
      <c r="AT49" s="62"/>
      <c r="AU49" s="59"/>
      <c r="AV49" s="59"/>
      <c r="AW49" s="59"/>
      <c r="AX49" s="59"/>
      <c r="AY49" s="63"/>
      <c r="AZ49" s="64"/>
      <c r="BA49" s="15"/>
      <c r="BB49" s="19"/>
      <c r="BC49" s="19"/>
      <c r="BD49" s="16"/>
      <c r="BE49" s="83" t="b">
        <v>1</v>
      </c>
      <c r="BF49" s="193" t="str">
        <f t="shared" si="25"/>
        <v>19Y</v>
      </c>
      <c r="BG49" s="18">
        <f t="shared" si="13"/>
        <v>228</v>
      </c>
      <c r="BH49" s="74" t="s">
        <v>108</v>
      </c>
      <c r="BI49" s="69">
        <f t="shared" si="26"/>
        <v>1.1091883650000001</v>
      </c>
      <c r="BJ49" s="70"/>
      <c r="BK49" s="71"/>
      <c r="BL49" s="72">
        <f t="shared" si="15"/>
        <v>1.1091883650000001</v>
      </c>
      <c r="BM49" s="73">
        <f t="shared" si="23"/>
        <v>47</v>
      </c>
      <c r="BN49" s="74">
        <f t="shared" si="16"/>
        <v>47</v>
      </c>
      <c r="BO49" s="73">
        <f t="shared" si="24"/>
        <v>47</v>
      </c>
      <c r="BP49" s="74">
        <f t="shared" si="17"/>
        <v>47</v>
      </c>
      <c r="BQ49" s="73">
        <f t="shared" si="18"/>
        <v>228</v>
      </c>
      <c r="BR49" s="18" t="str">
        <f t="shared" si="19"/>
        <v>e</v>
      </c>
      <c r="BS49" s="72">
        <f t="shared" si="20"/>
        <v>1.1091883650000001</v>
      </c>
      <c r="BT49" s="16"/>
      <c r="BU49" s="92" t="str">
        <v>-</v>
      </c>
      <c r="BV49" s="88" t="str">
        <v>-</v>
      </c>
      <c r="BW49" s="19"/>
      <c r="BX49" s="192" t="s">
        <v>181</v>
      </c>
      <c r="BY49" s="78">
        <f>_xll.RtGet($CC$7,$CC$8&amp;BX49&amp;$CC$9,$BY$7)</f>
        <v>1.04115812</v>
      </c>
      <c r="BZ49" s="79">
        <f>_xll.RtGet($CC$7,$CC$8&amp;BX49&amp;$CC$9,$BZ$7)</f>
        <v>1.04115812</v>
      </c>
      <c r="CA49" s="16"/>
      <c r="CB49" s="19"/>
      <c r="CC49" s="19"/>
      <c r="CD49" s="16"/>
      <c r="CE49" s="56" t="str">
        <f>IF(AND(LEN(CL49)&gt;0,CN49&gt;0),_xll.xlShmInterpDisc(curveName,CL49)+0*TYPE($V$4),"")</f>
        <v/>
      </c>
      <c r="CF49" s="57" t="str">
        <f>IF(AND(LEN(CL49)&gt;0,CN49&gt;0),100*_xll.xlShmInterpRate(curveName,2,5,CL49)+0*TYPE($V$4),"")</f>
        <v/>
      </c>
      <c r="CG49" s="57" t="str">
        <f t="shared" si="21"/>
        <v/>
      </c>
      <c r="CH49" s="58" t="str">
        <f t="shared" si="22"/>
        <v/>
      </c>
      <c r="CI49" s="59"/>
      <c r="CJ49" s="60"/>
      <c r="CK49" s="59"/>
      <c r="CL49" s="60"/>
      <c r="CM49" s="59"/>
      <c r="CN49" s="61"/>
      <c r="CO49" s="62"/>
      <c r="CP49" s="59"/>
      <c r="CQ49" s="59"/>
      <c r="CR49" s="59"/>
      <c r="CS49" s="59"/>
      <c r="CT49" s="63"/>
      <c r="CU49" s="14"/>
      <c r="CV49" s="15"/>
      <c r="CW49" s="16"/>
      <c r="CX49" s="77" t="s">
        <v>185</v>
      </c>
      <c r="CY49" s="133"/>
      <c r="CZ49" s="16"/>
      <c r="DA49" s="142">
        <f>_xll.xlDateWorkFw(Calendar,VALUE(_xll.xlDateShiftMonth(VALUE(Settlement),LEFT(CX49,LEN(CX49)-1)*12)),0)</f>
        <v>49697</v>
      </c>
      <c r="DB49" s="16"/>
      <c r="DC49" s="216"/>
      <c r="DD49" s="16"/>
      <c r="DE49" s="21"/>
      <c r="DF49" s="216"/>
      <c r="DG49" s="16"/>
      <c r="DH49" s="21"/>
      <c r="DI49" s="16"/>
      <c r="DJ49" s="216"/>
      <c r="DK49" s="16"/>
      <c r="DL49" s="16"/>
      <c r="DM49" s="16"/>
      <c r="DN49" s="16"/>
      <c r="DO49" s="16"/>
      <c r="DP49" s="16"/>
      <c r="DQ49" s="14"/>
    </row>
    <row r="50" spans="1:121" x14ac:dyDescent="0.2">
      <c r="A50" s="21"/>
      <c r="B50" s="226" t="s">
        <v>186</v>
      </c>
      <c r="C50" s="227">
        <v>2</v>
      </c>
      <c r="D50" s="16"/>
      <c r="E50" s="42" t="b">
        <v>1</v>
      </c>
      <c r="F50" s="204">
        <f t="shared" si="38"/>
        <v>12</v>
      </c>
      <c r="G50" s="16"/>
      <c r="H50" s="16"/>
      <c r="I50" s="69">
        <f t="shared" si="39"/>
        <v>0.92400000000000004</v>
      </c>
      <c r="J50" s="177"/>
      <c r="K50" s="71"/>
      <c r="L50" s="177">
        <f t="shared" si="40"/>
        <v>0.92400000000000004</v>
      </c>
      <c r="M50" s="73">
        <f t="shared" si="45"/>
        <v>12</v>
      </c>
      <c r="N50" s="74">
        <f t="shared" si="41"/>
        <v>12</v>
      </c>
      <c r="O50" s="73">
        <f t="shared" si="46"/>
        <v>12</v>
      </c>
      <c r="P50" s="74">
        <f t="shared" si="42"/>
        <v>14</v>
      </c>
      <c r="Q50" s="16"/>
      <c r="R50" s="205">
        <f t="shared" si="43"/>
        <v>14</v>
      </c>
      <c r="S50" s="72">
        <f t="shared" si="44"/>
        <v>1.0658300440000001</v>
      </c>
      <c r="T50" s="16"/>
      <c r="U50" s="87">
        <v>52985</v>
      </c>
      <c r="V50" s="88">
        <v>0.67463294484008263</v>
      </c>
      <c r="W50" s="19"/>
      <c r="X50" s="193">
        <v>8</v>
      </c>
      <c r="Y50" s="78">
        <f>_xll.RtGet($AC$42,$AC$43&amp;$X50&amp;$AC$44,Y$42)</f>
        <v>0.5</v>
      </c>
      <c r="Z50" s="79">
        <f>_xll.RtGet($AC$42,$AC$43&amp;$X50&amp;$AC$44,Z$42)</f>
        <v>0.5</v>
      </c>
      <c r="AA50" s="16"/>
      <c r="AB50" s="16"/>
      <c r="AC50" s="16"/>
      <c r="AD50" s="19"/>
      <c r="AE50" s="9"/>
      <c r="AF50" s="9"/>
      <c r="AG50" s="9"/>
      <c r="AH50" s="9"/>
      <c r="AI50" s="19"/>
      <c r="AJ50" s="56" t="str">
        <f>IF(AND(LEN(AQ50)&gt;0,AS50&gt;0),_xll.xlShmInterpDisc(curveName,AQ50)+0*TYPE($V$4),"")</f>
        <v/>
      </c>
      <c r="AK50" s="57" t="str">
        <f>IF(AND(LEN(AQ50)&gt;0,AS50&gt;0),100*_xll.xlShmInterpRate(curveName,2,5,AQ50)+0*TYPE($V$4),"")</f>
        <v/>
      </c>
      <c r="AL50" s="57" t="str">
        <f t="shared" si="10"/>
        <v/>
      </c>
      <c r="AM50" s="58" t="str">
        <f t="shared" si="11"/>
        <v/>
      </c>
      <c r="AN50" s="59"/>
      <c r="AO50" s="60"/>
      <c r="AP50" s="59"/>
      <c r="AQ50" s="60"/>
      <c r="AR50" s="59"/>
      <c r="AS50" s="61"/>
      <c r="AT50" s="62"/>
      <c r="AU50" s="59"/>
      <c r="AV50" s="59"/>
      <c r="AW50" s="59"/>
      <c r="AX50" s="59"/>
      <c r="AY50" s="63"/>
      <c r="AZ50" s="64"/>
      <c r="BA50" s="15"/>
      <c r="BB50" s="19"/>
      <c r="BC50" s="19"/>
      <c r="BD50" s="16"/>
      <c r="BE50" s="83" t="b">
        <v>1</v>
      </c>
      <c r="BF50" s="193" t="str">
        <f t="shared" si="25"/>
        <v>20Y</v>
      </c>
      <c r="BG50" s="18">
        <f t="shared" si="13"/>
        <v>240</v>
      </c>
      <c r="BH50" s="74" t="s">
        <v>108</v>
      </c>
      <c r="BI50" s="69">
        <f t="shared" si="26"/>
        <v>1.135</v>
      </c>
      <c r="BJ50" s="70"/>
      <c r="BK50" s="71"/>
      <c r="BL50" s="72">
        <f t="shared" si="15"/>
        <v>1.135</v>
      </c>
      <c r="BM50" s="73">
        <f t="shared" si="23"/>
        <v>48</v>
      </c>
      <c r="BN50" s="74">
        <f t="shared" si="16"/>
        <v>48</v>
      </c>
      <c r="BO50" s="73">
        <f t="shared" si="24"/>
        <v>48</v>
      </c>
      <c r="BP50" s="74">
        <f t="shared" si="17"/>
        <v>48</v>
      </c>
      <c r="BQ50" s="73">
        <f t="shared" si="18"/>
        <v>240</v>
      </c>
      <c r="BR50" s="18" t="str">
        <f t="shared" si="19"/>
        <v>e</v>
      </c>
      <c r="BS50" s="72">
        <f t="shared" si="20"/>
        <v>1.135</v>
      </c>
      <c r="BT50" s="16"/>
      <c r="BU50" s="92" t="str">
        <v>-</v>
      </c>
      <c r="BV50" s="88" t="str">
        <v>-</v>
      </c>
      <c r="BW50" s="19"/>
      <c r="BX50" s="192" t="s">
        <v>183</v>
      </c>
      <c r="BY50" s="78">
        <f>_xll.RtGet($CC$7,$CC$8&amp;BX50&amp;$CC$9,$BY$7)</f>
        <v>1.078218441</v>
      </c>
      <c r="BZ50" s="79">
        <f>_xll.RtGet($CC$7,$CC$8&amp;BX50&amp;$CC$9,$BZ$7)</f>
        <v>1.078218441</v>
      </c>
      <c r="CA50" s="16"/>
      <c r="CB50" s="19"/>
      <c r="CC50" s="19"/>
      <c r="CD50" s="16"/>
      <c r="CE50" s="56" t="str">
        <f>IF(AND(LEN(CL50)&gt;0,CN50&gt;0),_xll.xlShmInterpDisc(curveName,CL50)+0*TYPE($V$4),"")</f>
        <v/>
      </c>
      <c r="CF50" s="57" t="str">
        <f>IF(AND(LEN(CL50)&gt;0,CN50&gt;0),100*_xll.xlShmInterpRate(curveName,2,5,CL50)+0*TYPE($V$4),"")</f>
        <v/>
      </c>
      <c r="CG50" s="57" t="str">
        <f t="shared" si="21"/>
        <v/>
      </c>
      <c r="CH50" s="58" t="str">
        <f t="shared" si="22"/>
        <v/>
      </c>
      <c r="CI50" s="59"/>
      <c r="CJ50" s="60"/>
      <c r="CK50" s="59"/>
      <c r="CL50" s="60"/>
      <c r="CM50" s="59"/>
      <c r="CN50" s="61"/>
      <c r="CO50" s="62"/>
      <c r="CP50" s="59"/>
      <c r="CQ50" s="59"/>
      <c r="CR50" s="59"/>
      <c r="CS50" s="59"/>
      <c r="CT50" s="63"/>
      <c r="CU50" s="14"/>
      <c r="CV50" s="15"/>
      <c r="CW50" s="16"/>
      <c r="CX50" s="77" t="s">
        <v>187</v>
      </c>
      <c r="CY50" s="133"/>
      <c r="CZ50" s="16"/>
      <c r="DA50" s="142">
        <f>_xll.xlDateWorkFw(Calendar,VALUE(_xll.xlDateShiftMonth(VALUE(Settlement),LEFT(CX50,LEN(CX50)-1)*12)),0)</f>
        <v>50063</v>
      </c>
      <c r="DB50" s="16"/>
      <c r="DC50" s="216"/>
      <c r="DD50" s="16"/>
      <c r="DE50" s="21"/>
      <c r="DF50" s="216"/>
      <c r="DG50" s="16"/>
      <c r="DH50" s="21"/>
      <c r="DI50" s="16"/>
      <c r="DJ50" s="216"/>
      <c r="DK50" s="16"/>
      <c r="DL50" s="16"/>
      <c r="DM50" s="16"/>
      <c r="DN50" s="16"/>
      <c r="DO50" s="16"/>
      <c r="DP50" s="16"/>
      <c r="DQ50" s="14"/>
    </row>
    <row r="51" spans="1:121" x14ac:dyDescent="0.2">
      <c r="A51" s="21"/>
      <c r="B51" s="228" t="s">
        <v>188</v>
      </c>
      <c r="C51" s="101" t="s">
        <v>56</v>
      </c>
      <c r="D51" s="16"/>
      <c r="E51" s="42" t="b">
        <v>1</v>
      </c>
      <c r="F51" s="204">
        <f t="shared" si="38"/>
        <v>13</v>
      </c>
      <c r="G51" s="16"/>
      <c r="H51" s="16"/>
      <c r="I51" s="69">
        <f t="shared" si="39"/>
        <v>1.0005820999999999</v>
      </c>
      <c r="J51" s="177"/>
      <c r="K51" s="71"/>
      <c r="L51" s="177">
        <f t="shared" si="40"/>
        <v>1.0005820999999999</v>
      </c>
      <c r="M51" s="73">
        <f t="shared" si="45"/>
        <v>13</v>
      </c>
      <c r="N51" s="74">
        <f t="shared" si="41"/>
        <v>13</v>
      </c>
      <c r="O51" s="73">
        <f t="shared" si="46"/>
        <v>13</v>
      </c>
      <c r="P51" s="74">
        <f t="shared" si="42"/>
        <v>15</v>
      </c>
      <c r="Q51" s="16"/>
      <c r="R51" s="205">
        <f t="shared" si="43"/>
        <v>15</v>
      </c>
      <c r="S51" s="72">
        <f t="shared" si="44"/>
        <v>1.121</v>
      </c>
      <c r="T51" s="16"/>
      <c r="U51" s="87">
        <v>53350</v>
      </c>
      <c r="V51" s="88">
        <v>0.66438976424598262</v>
      </c>
      <c r="W51" s="19"/>
      <c r="X51" s="193">
        <v>9</v>
      </c>
      <c r="Y51" s="78">
        <f>_xll.RtGet($AC$42,$AC$43&amp;$X51&amp;$AC$44,Y$42)</f>
        <v>0.623</v>
      </c>
      <c r="Z51" s="79">
        <f>_xll.RtGet($AC$42,$AC$43&amp;$X51&amp;$AC$44,Z$42)</f>
        <v>0.623</v>
      </c>
      <c r="AA51" s="16"/>
      <c r="AB51" s="16"/>
      <c r="AC51" s="16"/>
      <c r="AD51" s="19"/>
      <c r="AE51" s="9"/>
      <c r="AF51" s="9"/>
      <c r="AG51" s="9"/>
      <c r="AH51" s="9"/>
      <c r="AI51" s="19"/>
      <c r="AJ51" s="56" t="str">
        <f>IF(AND(LEN(AQ51)&gt;0,AS51&gt;0),_xll.xlShmInterpDisc(curveName,AQ51)+0*TYPE($V$4),"")</f>
        <v/>
      </c>
      <c r="AK51" s="57" t="str">
        <f>IF(AND(LEN(AQ51)&gt;0,AS51&gt;0),100*_xll.xlShmInterpRate(curveName,2,5,AQ51)+0*TYPE($V$4),"")</f>
        <v/>
      </c>
      <c r="AL51" s="57" t="str">
        <f t="shared" si="10"/>
        <v/>
      </c>
      <c r="AM51" s="58" t="str">
        <f t="shared" si="11"/>
        <v/>
      </c>
      <c r="AN51" s="59"/>
      <c r="AO51" s="60"/>
      <c r="AP51" s="59"/>
      <c r="AQ51" s="60"/>
      <c r="AR51" s="59"/>
      <c r="AS51" s="61"/>
      <c r="AT51" s="62"/>
      <c r="AU51" s="59"/>
      <c r="AV51" s="59"/>
      <c r="AW51" s="59"/>
      <c r="AX51" s="59"/>
      <c r="AY51" s="63"/>
      <c r="AZ51" s="64"/>
      <c r="BA51" s="15"/>
      <c r="BB51" s="19"/>
      <c r="BC51" s="19"/>
      <c r="BD51" s="16"/>
      <c r="BE51" s="83" t="b">
        <v>1</v>
      </c>
      <c r="BF51" s="193" t="str">
        <f t="shared" si="25"/>
        <v>21Y</v>
      </c>
      <c r="BG51" s="18">
        <f t="shared" si="13"/>
        <v>252</v>
      </c>
      <c r="BH51" s="74" t="s">
        <v>108</v>
      </c>
      <c r="BI51" s="69">
        <f t="shared" si="26"/>
        <v>1.1564443790000001</v>
      </c>
      <c r="BJ51" s="70"/>
      <c r="BK51" s="71"/>
      <c r="BL51" s="72">
        <f t="shared" si="15"/>
        <v>1.1564443790000001</v>
      </c>
      <c r="BM51" s="73">
        <f t="shared" si="23"/>
        <v>49</v>
      </c>
      <c r="BN51" s="74">
        <f t="shared" si="16"/>
        <v>49</v>
      </c>
      <c r="BO51" s="73">
        <f t="shared" si="24"/>
        <v>49</v>
      </c>
      <c r="BP51" s="74">
        <f t="shared" si="17"/>
        <v>49</v>
      </c>
      <c r="BQ51" s="73">
        <f t="shared" si="18"/>
        <v>252</v>
      </c>
      <c r="BR51" s="18" t="str">
        <f t="shared" si="19"/>
        <v>e</v>
      </c>
      <c r="BS51" s="72">
        <f t="shared" si="20"/>
        <v>1.1564443790000001</v>
      </c>
      <c r="BT51" s="16"/>
      <c r="BU51" s="92" t="str">
        <v>-</v>
      </c>
      <c r="BV51" s="88" t="str">
        <v>-</v>
      </c>
      <c r="BW51" s="19"/>
      <c r="BX51" s="192" t="s">
        <v>185</v>
      </c>
      <c r="BY51" s="78">
        <f>_xll.RtGet($CC$7,$CC$8&amp;BX51&amp;$CC$9,$BY$7)</f>
        <v>1.1091883650000001</v>
      </c>
      <c r="BZ51" s="79">
        <f>_xll.RtGet($CC$7,$CC$8&amp;BX51&amp;$CC$9,$BZ$7)</f>
        <v>1.1091883650000001</v>
      </c>
      <c r="CA51" s="16"/>
      <c r="CB51" s="19"/>
      <c r="CC51" s="19"/>
      <c r="CD51" s="16"/>
      <c r="CE51" s="56" t="str">
        <f>IF(AND(LEN(CL51)&gt;0,CN51&gt;0),_xll.xlShmInterpDisc(curveName,CL51)+0*TYPE($V$4),"")</f>
        <v/>
      </c>
      <c r="CF51" s="57" t="str">
        <f>IF(AND(LEN(CL51)&gt;0,CN51&gt;0),100*_xll.xlShmInterpRate(curveName,2,5,CL51)+0*TYPE($V$4),"")</f>
        <v/>
      </c>
      <c r="CG51" s="57" t="str">
        <f t="shared" si="21"/>
        <v/>
      </c>
      <c r="CH51" s="58" t="str">
        <f t="shared" si="22"/>
        <v/>
      </c>
      <c r="CI51" s="59"/>
      <c r="CJ51" s="60"/>
      <c r="CK51" s="59"/>
      <c r="CL51" s="60"/>
      <c r="CM51" s="59"/>
      <c r="CN51" s="61"/>
      <c r="CO51" s="62"/>
      <c r="CP51" s="59"/>
      <c r="CQ51" s="59"/>
      <c r="CR51" s="59"/>
      <c r="CS51" s="59"/>
      <c r="CT51" s="63"/>
      <c r="CU51" s="14"/>
      <c r="CV51" s="15"/>
      <c r="CW51" s="16"/>
      <c r="CX51" s="77" t="s">
        <v>189</v>
      </c>
      <c r="CY51" s="133"/>
      <c r="CZ51" s="16"/>
      <c r="DA51" s="142">
        <f>_xll.xlDateWorkFw(Calendar,VALUE(_xll.xlDateShiftMonth(VALUE(Settlement),LEFT(CX51,LEN(CX51)-1)*12)),0)</f>
        <v>50430</v>
      </c>
      <c r="DB51" s="16"/>
      <c r="DC51" s="216"/>
      <c r="DD51" s="16"/>
      <c r="DE51" s="21"/>
      <c r="DF51" s="216"/>
      <c r="DG51" s="16"/>
      <c r="DH51" s="21"/>
      <c r="DI51" s="16"/>
      <c r="DJ51" s="216"/>
      <c r="DK51" s="16"/>
      <c r="DL51" s="16"/>
      <c r="DM51" s="16"/>
      <c r="DN51" s="16"/>
      <c r="DO51" s="16"/>
      <c r="DP51" s="16"/>
      <c r="DQ51" s="14"/>
    </row>
    <row r="52" spans="1:121" x14ac:dyDescent="0.2">
      <c r="A52" s="229"/>
      <c r="B52" s="230" t="s">
        <v>190</v>
      </c>
      <c r="C52" s="231" t="b">
        <v>0</v>
      </c>
      <c r="D52" s="16"/>
      <c r="E52" s="42" t="b">
        <v>1</v>
      </c>
      <c r="F52" s="204">
        <f t="shared" si="38"/>
        <v>14</v>
      </c>
      <c r="G52" s="16"/>
      <c r="H52" s="16"/>
      <c r="I52" s="69">
        <f t="shared" si="39"/>
        <v>1.0658300440000001</v>
      </c>
      <c r="J52" s="177"/>
      <c r="K52" s="71"/>
      <c r="L52" s="177">
        <f t="shared" si="40"/>
        <v>1.0658300440000001</v>
      </c>
      <c r="M52" s="73">
        <f t="shared" si="45"/>
        <v>14</v>
      </c>
      <c r="N52" s="74">
        <f t="shared" si="41"/>
        <v>14</v>
      </c>
      <c r="O52" s="73">
        <f t="shared" si="46"/>
        <v>14</v>
      </c>
      <c r="P52" s="74">
        <f t="shared" si="42"/>
        <v>16</v>
      </c>
      <c r="Q52" s="16"/>
      <c r="R52" s="205">
        <f t="shared" si="43"/>
        <v>16</v>
      </c>
      <c r="S52" s="72">
        <f t="shared" si="44"/>
        <v>1.1677006780000001</v>
      </c>
      <c r="T52" s="16"/>
      <c r="U52" s="87">
        <v>53715</v>
      </c>
      <c r="V52" s="88">
        <v>0.65440355957828467</v>
      </c>
      <c r="W52" s="19"/>
      <c r="X52" s="193">
        <v>10</v>
      </c>
      <c r="Y52" s="78">
        <f>_xll.RtGet($AC$42,$AC$43&amp;$X52&amp;$AC$44,Y$42)</f>
        <v>0.73499999999999999</v>
      </c>
      <c r="Z52" s="79">
        <f>_xll.RtGet($AC$42,$AC$43&amp;$X52&amp;$AC$44,Z$42)</f>
        <v>0.73499999999999999</v>
      </c>
      <c r="AA52" s="16"/>
      <c r="AB52" s="16"/>
      <c r="AC52" s="16"/>
      <c r="AD52" s="19"/>
      <c r="AE52" s="9"/>
      <c r="AF52" s="9"/>
      <c r="AG52" s="9"/>
      <c r="AH52" s="9"/>
      <c r="AI52" s="19"/>
      <c r="AJ52" s="56" t="str">
        <f>IF(AND(LEN(AQ52)&gt;0,AS52&gt;0),_xll.xlShmInterpDisc(curveName,AQ52)+0*TYPE($V$4),"")</f>
        <v/>
      </c>
      <c r="AK52" s="57" t="str">
        <f>IF(AND(LEN(AQ52)&gt;0,AS52&gt;0),100*_xll.xlShmInterpRate(curveName,2,5,AQ52)+0*TYPE($V$4),"")</f>
        <v/>
      </c>
      <c r="AL52" s="57" t="str">
        <f t="shared" si="10"/>
        <v/>
      </c>
      <c r="AM52" s="58" t="str">
        <f t="shared" si="11"/>
        <v/>
      </c>
      <c r="AN52" s="59"/>
      <c r="AO52" s="60"/>
      <c r="AP52" s="59"/>
      <c r="AQ52" s="60"/>
      <c r="AR52" s="59"/>
      <c r="AS52" s="61"/>
      <c r="AT52" s="62"/>
      <c r="AU52" s="59"/>
      <c r="AV52" s="59"/>
      <c r="AW52" s="59"/>
      <c r="AX52" s="59"/>
      <c r="AY52" s="63"/>
      <c r="AZ52" s="64"/>
      <c r="BA52" s="15"/>
      <c r="BB52" s="19"/>
      <c r="BC52" s="19"/>
      <c r="BD52" s="16"/>
      <c r="BE52" s="83" t="b">
        <v>1</v>
      </c>
      <c r="BF52" s="193" t="str">
        <f t="shared" si="25"/>
        <v>22Y</v>
      </c>
      <c r="BG52" s="18">
        <f t="shared" si="13"/>
        <v>264</v>
      </c>
      <c r="BH52" s="74" t="s">
        <v>108</v>
      </c>
      <c r="BI52" s="69">
        <f t="shared" si="26"/>
        <v>1.174055098</v>
      </c>
      <c r="BJ52" s="70"/>
      <c r="BK52" s="71"/>
      <c r="BL52" s="72">
        <f t="shared" si="15"/>
        <v>1.174055098</v>
      </c>
      <c r="BM52" s="73">
        <f t="shared" si="23"/>
        <v>50</v>
      </c>
      <c r="BN52" s="74">
        <f t="shared" si="16"/>
        <v>50</v>
      </c>
      <c r="BO52" s="73">
        <f t="shared" si="24"/>
        <v>50</v>
      </c>
      <c r="BP52" s="74">
        <f t="shared" si="17"/>
        <v>50</v>
      </c>
      <c r="BQ52" s="73">
        <f t="shared" si="18"/>
        <v>264</v>
      </c>
      <c r="BR52" s="18" t="str">
        <f t="shared" si="19"/>
        <v>e</v>
      </c>
      <c r="BS52" s="72">
        <f t="shared" si="20"/>
        <v>1.174055098</v>
      </c>
      <c r="BT52" s="16"/>
      <c r="BU52" s="92" t="str">
        <v>-</v>
      </c>
      <c r="BV52" s="88" t="str">
        <v>-</v>
      </c>
      <c r="BW52" s="19"/>
      <c r="BX52" s="192" t="s">
        <v>187</v>
      </c>
      <c r="BY52" s="78">
        <f>_xll.RtGet($CC$7,$CC$8&amp;BX52&amp;$CC$9,$BY$7)</f>
        <v>1.135</v>
      </c>
      <c r="BZ52" s="79">
        <f>_xll.RtGet($CC$7,$CC$8&amp;BX52&amp;$CC$9,$BZ$7)</f>
        <v>1.135</v>
      </c>
      <c r="CA52" s="16"/>
      <c r="CB52" s="19"/>
      <c r="CC52" s="19"/>
      <c r="CD52" s="16"/>
      <c r="CE52" s="56" t="str">
        <f>IF(AND(LEN(CL52)&gt;0,CN52&gt;0),_xll.xlShmInterpDisc(curveName,CL52)+0*TYPE($V$4),"")</f>
        <v/>
      </c>
      <c r="CF52" s="57" t="str">
        <f>IF(AND(LEN(CL52)&gt;0,CN52&gt;0),100*_xll.xlShmInterpRate(curveName,2,5,CL52)+0*TYPE($V$4),"")</f>
        <v/>
      </c>
      <c r="CG52" s="57" t="str">
        <f t="shared" si="21"/>
        <v/>
      </c>
      <c r="CH52" s="58" t="str">
        <f t="shared" si="22"/>
        <v/>
      </c>
      <c r="CI52" s="59"/>
      <c r="CJ52" s="60"/>
      <c r="CK52" s="59"/>
      <c r="CL52" s="60"/>
      <c r="CM52" s="59"/>
      <c r="CN52" s="61"/>
      <c r="CO52" s="62"/>
      <c r="CP52" s="59"/>
      <c r="CQ52" s="59"/>
      <c r="CR52" s="59"/>
      <c r="CS52" s="59"/>
      <c r="CT52" s="63"/>
      <c r="CU52" s="14"/>
      <c r="CV52" s="15"/>
      <c r="CW52" s="16"/>
      <c r="CX52" s="77" t="s">
        <v>191</v>
      </c>
      <c r="CY52" s="133"/>
      <c r="CZ52" s="16"/>
      <c r="DA52" s="142">
        <f>_xll.xlDateWorkFw(Calendar,VALUE(_xll.xlDateShiftMonth(VALUE(Settlement),LEFT(CX52,LEN(CX52)-1)*12)),0)</f>
        <v>50794</v>
      </c>
      <c r="DB52" s="16"/>
      <c r="DC52" s="216"/>
      <c r="DD52" s="16"/>
      <c r="DE52" s="21"/>
      <c r="DF52" s="216"/>
      <c r="DG52" s="16"/>
      <c r="DH52" s="21"/>
      <c r="DI52" s="16"/>
      <c r="DJ52" s="216"/>
      <c r="DK52" s="16"/>
      <c r="DL52" s="16"/>
      <c r="DM52" s="16"/>
      <c r="DN52" s="16"/>
      <c r="DO52" s="16"/>
      <c r="DP52" s="16"/>
      <c r="DQ52" s="14"/>
    </row>
    <row r="53" spans="1:121" x14ac:dyDescent="0.2">
      <c r="A53" s="229"/>
      <c r="B53" s="19"/>
      <c r="C53" s="19"/>
      <c r="D53" s="16"/>
      <c r="E53" s="42" t="b">
        <v>1</v>
      </c>
      <c r="F53" s="204">
        <f t="shared" si="38"/>
        <v>15</v>
      </c>
      <c r="G53" s="16"/>
      <c r="H53" s="16"/>
      <c r="I53" s="69">
        <f t="shared" si="39"/>
        <v>1.121</v>
      </c>
      <c r="J53" s="177"/>
      <c r="K53" s="71"/>
      <c r="L53" s="177">
        <f t="shared" si="40"/>
        <v>1.121</v>
      </c>
      <c r="M53" s="73">
        <f t="shared" si="45"/>
        <v>15</v>
      </c>
      <c r="N53" s="74">
        <f t="shared" si="41"/>
        <v>15</v>
      </c>
      <c r="O53" s="73">
        <f t="shared" si="46"/>
        <v>15</v>
      </c>
      <c r="P53" s="74">
        <f t="shared" si="42"/>
        <v>17</v>
      </c>
      <c r="Q53" s="16"/>
      <c r="R53" s="205">
        <f t="shared" si="43"/>
        <v>17</v>
      </c>
      <c r="S53" s="72">
        <f t="shared" si="44"/>
        <v>1.2060553550000002</v>
      </c>
      <c r="T53" s="16"/>
      <c r="U53" s="87">
        <v>54080</v>
      </c>
      <c r="V53" s="88">
        <v>0.64467861204940513</v>
      </c>
      <c r="W53" s="19"/>
      <c r="X53" s="193">
        <v>11</v>
      </c>
      <c r="Y53" s="78">
        <f>_xll.RtGet($AC$42,$AC$43&amp;$X53&amp;$AC$44,Y$42)</f>
        <v>0.835003575</v>
      </c>
      <c r="Z53" s="79">
        <f>_xll.RtGet($AC$42,$AC$43&amp;$X53&amp;$AC$44,Z$42)</f>
        <v>0.835003575</v>
      </c>
      <c r="AA53" s="16"/>
      <c r="AB53" s="16"/>
      <c r="AC53" s="16"/>
      <c r="AD53" s="19"/>
      <c r="AE53" s="19"/>
      <c r="AF53" s="19"/>
      <c r="AG53" s="19"/>
      <c r="AH53" s="19"/>
      <c r="AI53" s="19"/>
      <c r="AJ53" s="56" t="str">
        <f>IF(AND(LEN(AQ53)&gt;0,AS53&gt;0),_xll.xlShmInterpDisc(curveName,AQ53)+0*TYPE($V$4),"")</f>
        <v/>
      </c>
      <c r="AK53" s="57" t="str">
        <f>IF(AND(LEN(AQ53)&gt;0,AS53&gt;0),100*_xll.xlShmInterpRate(curveName,2,5,AQ53)+0*TYPE($V$4),"")</f>
        <v/>
      </c>
      <c r="AL53" s="57" t="str">
        <f t="shared" si="10"/>
        <v/>
      </c>
      <c r="AM53" s="58" t="str">
        <f t="shared" si="11"/>
        <v/>
      </c>
      <c r="AN53" s="59"/>
      <c r="AO53" s="60"/>
      <c r="AP53" s="59"/>
      <c r="AQ53" s="60"/>
      <c r="AR53" s="59"/>
      <c r="AS53" s="61"/>
      <c r="AT53" s="62"/>
      <c r="AU53" s="59"/>
      <c r="AV53" s="59"/>
      <c r="AW53" s="59"/>
      <c r="AX53" s="59"/>
      <c r="AY53" s="63"/>
      <c r="AZ53" s="64"/>
      <c r="BA53" s="15"/>
      <c r="BB53" s="19"/>
      <c r="BC53" s="19"/>
      <c r="BD53" s="16"/>
      <c r="BE53" s="83" t="b">
        <v>1</v>
      </c>
      <c r="BF53" s="193" t="str">
        <f t="shared" si="25"/>
        <v>23Y</v>
      </c>
      <c r="BG53" s="18">
        <f t="shared" si="13"/>
        <v>276</v>
      </c>
      <c r="BH53" s="74" t="s">
        <v>108</v>
      </c>
      <c r="BI53" s="69">
        <f t="shared" si="26"/>
        <v>1.1887212410000001</v>
      </c>
      <c r="BJ53" s="70"/>
      <c r="BK53" s="71"/>
      <c r="BL53" s="72">
        <f t="shared" si="15"/>
        <v>1.1887212410000001</v>
      </c>
      <c r="BM53" s="73">
        <f t="shared" si="23"/>
        <v>51</v>
      </c>
      <c r="BN53" s="74">
        <f t="shared" si="16"/>
        <v>51</v>
      </c>
      <c r="BO53" s="73">
        <f t="shared" si="24"/>
        <v>51</v>
      </c>
      <c r="BP53" s="74">
        <f t="shared" si="17"/>
        <v>51</v>
      </c>
      <c r="BQ53" s="73">
        <f t="shared" si="18"/>
        <v>276</v>
      </c>
      <c r="BR53" s="18" t="str">
        <f t="shared" si="19"/>
        <v>e</v>
      </c>
      <c r="BS53" s="72">
        <f t="shared" si="20"/>
        <v>1.1887212410000001</v>
      </c>
      <c r="BT53" s="16"/>
      <c r="BU53" s="92" t="str">
        <v>-</v>
      </c>
      <c r="BV53" s="88" t="str">
        <v>-</v>
      </c>
      <c r="BW53" s="19"/>
      <c r="BX53" s="192" t="s">
        <v>189</v>
      </c>
      <c r="BY53" s="78">
        <f>_xll.RtGet($CC$7,$CC$8&amp;BX53&amp;$CC$9,$BY$7)</f>
        <v>1.1564443790000001</v>
      </c>
      <c r="BZ53" s="79">
        <f>_xll.RtGet($CC$7,$CC$8&amp;BX53&amp;$CC$9,$BZ$7)</f>
        <v>1.1564443790000001</v>
      </c>
      <c r="CA53" s="16"/>
      <c r="CB53" s="19"/>
      <c r="CC53" s="19"/>
      <c r="CD53" s="16"/>
      <c r="CE53" s="56" t="str">
        <f>IF(AND(LEN(CL53)&gt;0,CN53&gt;0),_xll.xlShmInterpDisc(curveName,CL53)+0*TYPE($V$4),"")</f>
        <v/>
      </c>
      <c r="CF53" s="57" t="str">
        <f>IF(AND(LEN(CL53)&gt;0,CN53&gt;0),100*_xll.xlShmInterpRate(curveName,2,5,CL53)+0*TYPE($V$4),"")</f>
        <v/>
      </c>
      <c r="CG53" s="57" t="str">
        <f t="shared" si="21"/>
        <v/>
      </c>
      <c r="CH53" s="58" t="str">
        <f t="shared" si="22"/>
        <v/>
      </c>
      <c r="CI53" s="59"/>
      <c r="CJ53" s="60"/>
      <c r="CK53" s="59"/>
      <c r="CL53" s="60"/>
      <c r="CM53" s="59"/>
      <c r="CN53" s="61"/>
      <c r="CO53" s="62"/>
      <c r="CP53" s="59"/>
      <c r="CQ53" s="59"/>
      <c r="CR53" s="59"/>
      <c r="CS53" s="59"/>
      <c r="CT53" s="63"/>
      <c r="CU53" s="14"/>
      <c r="CV53" s="15"/>
      <c r="CW53" s="16"/>
      <c r="CX53" s="77" t="s">
        <v>192</v>
      </c>
      <c r="CY53" s="133"/>
      <c r="CZ53" s="16"/>
      <c r="DA53" s="142">
        <f>_xll.xlDateWorkFw(Calendar,VALUE(_xll.xlDateShiftMonth(VALUE(Settlement),LEFT(CX53,LEN(CX53)-1)*12)),0)</f>
        <v>51158</v>
      </c>
      <c r="DB53" s="16"/>
      <c r="DC53" s="216"/>
      <c r="DD53" s="16"/>
      <c r="DE53" s="21"/>
      <c r="DF53" s="216"/>
      <c r="DG53" s="16"/>
      <c r="DH53" s="21"/>
      <c r="DI53" s="16"/>
      <c r="DJ53" s="216"/>
      <c r="DK53" s="16"/>
      <c r="DL53" s="16"/>
      <c r="DM53" s="16"/>
      <c r="DN53" s="16"/>
      <c r="DO53" s="16"/>
      <c r="DP53" s="16"/>
      <c r="DQ53" s="14"/>
    </row>
    <row r="54" spans="1:121" x14ac:dyDescent="0.2">
      <c r="A54" s="229"/>
      <c r="B54" s="141" t="s">
        <v>193</v>
      </c>
      <c r="C54" s="141">
        <v>10000</v>
      </c>
      <c r="D54" s="16"/>
      <c r="E54" s="42" t="b">
        <v>1</v>
      </c>
      <c r="F54" s="204">
        <f t="shared" si="38"/>
        <v>16</v>
      </c>
      <c r="G54" s="16"/>
      <c r="H54" s="16"/>
      <c r="I54" s="69">
        <f t="shared" si="39"/>
        <v>1.1677006780000001</v>
      </c>
      <c r="J54" s="177"/>
      <c r="K54" s="71"/>
      <c r="L54" s="177">
        <f t="shared" si="40"/>
        <v>1.1677006780000001</v>
      </c>
      <c r="M54" s="73">
        <f t="shared" si="45"/>
        <v>16</v>
      </c>
      <c r="N54" s="74">
        <f t="shared" si="41"/>
        <v>16</v>
      </c>
      <c r="O54" s="73">
        <f t="shared" si="46"/>
        <v>16</v>
      </c>
      <c r="P54" s="74">
        <f t="shared" si="42"/>
        <v>18</v>
      </c>
      <c r="Q54" s="16"/>
      <c r="R54" s="205">
        <f t="shared" si="43"/>
        <v>18</v>
      </c>
      <c r="S54" s="72">
        <f t="shared" si="44"/>
        <v>1.237756015</v>
      </c>
      <c r="T54" s="16"/>
      <c r="U54" s="87">
        <v>54448</v>
      </c>
      <c r="V54" s="88">
        <v>0.63512427743475786</v>
      </c>
      <c r="W54" s="19"/>
      <c r="X54" s="193">
        <v>12</v>
      </c>
      <c r="Y54" s="78">
        <f>_xll.RtGet($AC$42,$AC$43&amp;$X54&amp;$AC$44,Y$42)</f>
        <v>0.92400000000000004</v>
      </c>
      <c r="Z54" s="79">
        <f>_xll.RtGet($AC$42,$AC$43&amp;$X54&amp;$AC$44,Z$42)</f>
        <v>0.92400000000000004</v>
      </c>
      <c r="AA54" s="16"/>
      <c r="AB54" s="16"/>
      <c r="AC54" s="16"/>
      <c r="AD54" s="19"/>
      <c r="AE54" s="19"/>
      <c r="AF54" s="19"/>
      <c r="AG54" s="19"/>
      <c r="AH54" s="19"/>
      <c r="AI54" s="19"/>
      <c r="AJ54" s="56" t="str">
        <f>IF(AND(LEN(AQ54)&gt;0,AS54&gt;0),_xll.xlShmInterpDisc(curveName,AQ54)+0*TYPE($V$4),"")</f>
        <v/>
      </c>
      <c r="AK54" s="57" t="str">
        <f>IF(AND(LEN(AQ54)&gt;0,AS54&gt;0),100*_xll.xlShmInterpRate(curveName,2,5,AQ54)+0*TYPE($V$4),"")</f>
        <v/>
      </c>
      <c r="AL54" s="57" t="str">
        <f t="shared" si="10"/>
        <v/>
      </c>
      <c r="AM54" s="58" t="str">
        <f t="shared" si="11"/>
        <v/>
      </c>
      <c r="AN54" s="59"/>
      <c r="AO54" s="60"/>
      <c r="AP54" s="59"/>
      <c r="AQ54" s="60"/>
      <c r="AR54" s="59"/>
      <c r="AS54" s="61"/>
      <c r="AT54" s="62"/>
      <c r="AU54" s="59"/>
      <c r="AV54" s="59"/>
      <c r="AW54" s="59"/>
      <c r="AX54" s="59"/>
      <c r="AY54" s="63"/>
      <c r="AZ54" s="64"/>
      <c r="BA54" s="15"/>
      <c r="BB54" s="19"/>
      <c r="BC54" s="19"/>
      <c r="BD54" s="16"/>
      <c r="BE54" s="83" t="b">
        <v>1</v>
      </c>
      <c r="BF54" s="193" t="str">
        <f t="shared" si="25"/>
        <v>24Y</v>
      </c>
      <c r="BG54" s="18">
        <f t="shared" si="13"/>
        <v>288</v>
      </c>
      <c r="BH54" s="74" t="s">
        <v>108</v>
      </c>
      <c r="BI54" s="69">
        <f t="shared" si="26"/>
        <v>1.2011847420000001</v>
      </c>
      <c r="BJ54" s="70"/>
      <c r="BK54" s="71"/>
      <c r="BL54" s="72">
        <f t="shared" si="15"/>
        <v>1.2011847420000001</v>
      </c>
      <c r="BM54" s="73">
        <f t="shared" si="23"/>
        <v>52</v>
      </c>
      <c r="BN54" s="74">
        <f t="shared" si="16"/>
        <v>52</v>
      </c>
      <c r="BO54" s="73">
        <f t="shared" si="24"/>
        <v>52</v>
      </c>
      <c r="BP54" s="74">
        <f t="shared" si="17"/>
        <v>52</v>
      </c>
      <c r="BQ54" s="73">
        <f t="shared" si="18"/>
        <v>288</v>
      </c>
      <c r="BR54" s="18" t="str">
        <f t="shared" si="19"/>
        <v>e</v>
      </c>
      <c r="BS54" s="72">
        <f t="shared" si="20"/>
        <v>1.2011847420000001</v>
      </c>
      <c r="BT54" s="16"/>
      <c r="BU54" s="92" t="str">
        <v>-</v>
      </c>
      <c r="BV54" s="88" t="str">
        <v>-</v>
      </c>
      <c r="BW54" s="19"/>
      <c r="BX54" s="192" t="s">
        <v>191</v>
      </c>
      <c r="BY54" s="78">
        <f>_xll.RtGet($CC$7,$CC$8&amp;BX54&amp;$CC$9,$BY$7)</f>
        <v>1.174055098</v>
      </c>
      <c r="BZ54" s="79">
        <f>_xll.RtGet($CC$7,$CC$8&amp;BX54&amp;$CC$9,$BZ$7)</f>
        <v>1.174055098</v>
      </c>
      <c r="CA54" s="16"/>
      <c r="CB54" s="19"/>
      <c r="CC54" s="19"/>
      <c r="CD54" s="16"/>
      <c r="CE54" s="56" t="str">
        <f>IF(AND(LEN(CL54)&gt;0,CN54&gt;0),_xll.xlShmInterpDisc(curveName,CL54)+0*TYPE($V$4),"")</f>
        <v/>
      </c>
      <c r="CF54" s="57" t="str">
        <f>IF(AND(LEN(CL54)&gt;0,CN54&gt;0),100*_xll.xlShmInterpRate(curveName,2,5,CL54)+0*TYPE($V$4),"")</f>
        <v/>
      </c>
      <c r="CG54" s="57" t="str">
        <f t="shared" si="21"/>
        <v/>
      </c>
      <c r="CH54" s="58" t="str">
        <f t="shared" si="22"/>
        <v/>
      </c>
      <c r="CI54" s="59"/>
      <c r="CJ54" s="60"/>
      <c r="CK54" s="59"/>
      <c r="CL54" s="60"/>
      <c r="CM54" s="59"/>
      <c r="CN54" s="61"/>
      <c r="CO54" s="62"/>
      <c r="CP54" s="59"/>
      <c r="CQ54" s="59"/>
      <c r="CR54" s="59"/>
      <c r="CS54" s="59"/>
      <c r="CT54" s="63"/>
      <c r="CU54" s="14"/>
      <c r="CV54" s="15"/>
      <c r="CW54" s="16"/>
      <c r="CX54" s="77" t="s">
        <v>194</v>
      </c>
      <c r="CY54" s="133"/>
      <c r="CZ54" s="16"/>
      <c r="DA54" s="142">
        <f>_xll.xlDateWorkFw(Calendar,VALUE(_xll.xlDateShiftMonth(VALUE(Settlement),LEFT(CX54,LEN(CX54)-1)*12)),0)</f>
        <v>51524</v>
      </c>
      <c r="DB54" s="16"/>
      <c r="DC54" s="216"/>
      <c r="DD54" s="16"/>
      <c r="DE54" s="21"/>
      <c r="DF54" s="216"/>
      <c r="DG54" s="16"/>
      <c r="DH54" s="21"/>
      <c r="DI54" s="16"/>
      <c r="DJ54" s="216"/>
      <c r="DK54" s="16"/>
      <c r="DL54" s="16"/>
      <c r="DM54" s="16"/>
      <c r="DN54" s="16"/>
      <c r="DO54" s="16"/>
      <c r="DP54" s="16"/>
      <c r="DQ54" s="14"/>
    </row>
    <row r="55" spans="1:121" x14ac:dyDescent="0.2">
      <c r="A55" s="229"/>
      <c r="B55" s="141" t="s">
        <v>86</v>
      </c>
      <c r="C55" s="141">
        <f>VLOOKUP(C33,AE3:AF12,2)</f>
        <v>5</v>
      </c>
      <c r="D55" s="16"/>
      <c r="E55" s="42" t="b">
        <v>1</v>
      </c>
      <c r="F55" s="204">
        <f t="shared" si="38"/>
        <v>17</v>
      </c>
      <c r="G55" s="16"/>
      <c r="H55" s="16"/>
      <c r="I55" s="69">
        <f t="shared" si="39"/>
        <v>1.2060553550000002</v>
      </c>
      <c r="J55" s="177"/>
      <c r="K55" s="71"/>
      <c r="L55" s="177">
        <f t="shared" si="40"/>
        <v>1.2060553550000002</v>
      </c>
      <c r="M55" s="73">
        <f t="shared" si="45"/>
        <v>17</v>
      </c>
      <c r="N55" s="74">
        <f t="shared" si="41"/>
        <v>17</v>
      </c>
      <c r="O55" s="73">
        <f t="shared" si="46"/>
        <v>17</v>
      </c>
      <c r="P55" s="74">
        <f t="shared" si="42"/>
        <v>19</v>
      </c>
      <c r="Q55" s="16"/>
      <c r="R55" s="205">
        <f t="shared" si="43"/>
        <v>19</v>
      </c>
      <c r="S55" s="72">
        <f t="shared" si="44"/>
        <v>1.2636818860000001</v>
      </c>
      <c r="T55" s="16"/>
      <c r="U55" s="87">
        <v>54812</v>
      </c>
      <c r="V55" s="88">
        <v>0.62590174335925264</v>
      </c>
      <c r="W55" s="19"/>
      <c r="X55" s="193">
        <v>13</v>
      </c>
      <c r="Y55" s="78">
        <f>_xll.RtGet($AC$42,$AC$43&amp;$X55&amp;$AC$44,Y$42)</f>
        <v>1.0005820999999999</v>
      </c>
      <c r="Z55" s="79">
        <f>_xll.RtGet($AC$42,$AC$43&amp;$X55&amp;$AC$44,Z$42)</f>
        <v>1.0005820999999999</v>
      </c>
      <c r="AA55" s="16"/>
      <c r="AB55" s="16"/>
      <c r="AC55" s="16"/>
      <c r="AD55" s="19"/>
      <c r="AE55" s="19"/>
      <c r="AF55" s="19"/>
      <c r="AG55" s="19"/>
      <c r="AH55" s="19"/>
      <c r="AI55" s="19"/>
      <c r="AJ55" s="56" t="str">
        <f>IF(AND(LEN(AQ55)&gt;0,AS55&gt;0),_xll.xlShmInterpDisc(curveName,AQ55)+0*TYPE($V$4),"")</f>
        <v/>
      </c>
      <c r="AK55" s="57" t="str">
        <f>IF(AND(LEN(AQ55)&gt;0,AS55&gt;0),100*_xll.xlShmInterpRate(curveName,2,5,AQ55)+0*TYPE($V$4),"")</f>
        <v/>
      </c>
      <c r="AL55" s="57" t="str">
        <f t="shared" si="10"/>
        <v/>
      </c>
      <c r="AM55" s="58" t="str">
        <f t="shared" si="11"/>
        <v/>
      </c>
      <c r="AN55" s="59"/>
      <c r="AO55" s="60"/>
      <c r="AP55" s="59"/>
      <c r="AQ55" s="60"/>
      <c r="AR55" s="59"/>
      <c r="AS55" s="61"/>
      <c r="AT55" s="62"/>
      <c r="AU55" s="59"/>
      <c r="AV55" s="59"/>
      <c r="AW55" s="59"/>
      <c r="AX55" s="59"/>
      <c r="AY55" s="63"/>
      <c r="AZ55" s="64"/>
      <c r="BA55" s="15"/>
      <c r="BB55" s="19"/>
      <c r="BC55" s="19"/>
      <c r="BD55" s="16"/>
      <c r="BE55" s="83" t="b">
        <v>1</v>
      </c>
      <c r="BF55" s="193" t="str">
        <f t="shared" si="25"/>
        <v>25Y</v>
      </c>
      <c r="BG55" s="18">
        <f t="shared" si="13"/>
        <v>300</v>
      </c>
      <c r="BH55" s="74" t="s">
        <v>108</v>
      </c>
      <c r="BI55" s="69">
        <f t="shared" si="26"/>
        <v>1.212</v>
      </c>
      <c r="BJ55" s="70"/>
      <c r="BK55" s="71"/>
      <c r="BL55" s="72">
        <f t="shared" si="15"/>
        <v>1.212</v>
      </c>
      <c r="BM55" s="73">
        <f t="shared" si="23"/>
        <v>53</v>
      </c>
      <c r="BN55" s="74">
        <f t="shared" si="16"/>
        <v>53</v>
      </c>
      <c r="BO55" s="73">
        <f t="shared" si="24"/>
        <v>53</v>
      </c>
      <c r="BP55" s="74">
        <f t="shared" si="17"/>
        <v>53</v>
      </c>
      <c r="BQ55" s="73">
        <f t="shared" si="18"/>
        <v>300</v>
      </c>
      <c r="BR55" s="18" t="str">
        <f t="shared" si="19"/>
        <v>e</v>
      </c>
      <c r="BS55" s="72">
        <f t="shared" si="20"/>
        <v>1.212</v>
      </c>
      <c r="BT55" s="16"/>
      <c r="BU55" s="92" t="str">
        <v>-</v>
      </c>
      <c r="BV55" s="88" t="str">
        <v>-</v>
      </c>
      <c r="BW55" s="19"/>
      <c r="BX55" s="192" t="s">
        <v>192</v>
      </c>
      <c r="BY55" s="78">
        <f>_xll.RtGet($CC$7,$CC$8&amp;BX55&amp;$CC$9,$BY$7)</f>
        <v>1.1887212410000001</v>
      </c>
      <c r="BZ55" s="79">
        <f>_xll.RtGet($CC$7,$CC$8&amp;BX55&amp;$CC$9,$BZ$7)</f>
        <v>1.1887212410000001</v>
      </c>
      <c r="CA55" s="16"/>
      <c r="CB55" s="19"/>
      <c r="CC55" s="19"/>
      <c r="CD55" s="16"/>
      <c r="CE55" s="56" t="str">
        <f>IF(AND(LEN(CL55)&gt;0,CN55&gt;0),_xll.xlShmInterpDisc(curveName,CL55)+0*TYPE($V$4),"")</f>
        <v/>
      </c>
      <c r="CF55" s="57" t="str">
        <f>IF(AND(LEN(CL55)&gt;0,CN55&gt;0),100*_xll.xlShmInterpRate(curveName,2,5,CL55)+0*TYPE($V$4),"")</f>
        <v/>
      </c>
      <c r="CG55" s="57" t="str">
        <f t="shared" si="21"/>
        <v/>
      </c>
      <c r="CH55" s="58" t="str">
        <f t="shared" si="22"/>
        <v/>
      </c>
      <c r="CI55" s="59"/>
      <c r="CJ55" s="60"/>
      <c r="CK55" s="59"/>
      <c r="CL55" s="60"/>
      <c r="CM55" s="59"/>
      <c r="CN55" s="61"/>
      <c r="CO55" s="62"/>
      <c r="CP55" s="59"/>
      <c r="CQ55" s="59"/>
      <c r="CR55" s="59"/>
      <c r="CS55" s="59"/>
      <c r="CT55" s="63"/>
      <c r="CU55" s="14"/>
      <c r="CV55" s="15"/>
      <c r="CW55" s="16"/>
      <c r="CX55" s="77" t="s">
        <v>195</v>
      </c>
      <c r="CY55" s="133"/>
      <c r="CZ55" s="16"/>
      <c r="DA55" s="142">
        <f>_xll.xlDateWorkFw(Calendar,VALUE(_xll.xlDateShiftMonth(VALUE(Settlement),LEFT(CX55,LEN(CX55)-1)*12)),0)</f>
        <v>51889</v>
      </c>
      <c r="DB55" s="16"/>
      <c r="DC55" s="216"/>
      <c r="DD55" s="16"/>
      <c r="DE55" s="21"/>
      <c r="DF55" s="216"/>
      <c r="DG55" s="16"/>
      <c r="DH55" s="21"/>
      <c r="DI55" s="16"/>
      <c r="DJ55" s="216"/>
      <c r="DK55" s="16"/>
      <c r="DL55" s="16"/>
      <c r="DM55" s="16"/>
      <c r="DN55" s="16"/>
      <c r="DO55" s="16"/>
      <c r="DP55" s="16"/>
      <c r="DQ55" s="14"/>
    </row>
    <row r="56" spans="1:121" x14ac:dyDescent="0.2">
      <c r="A56" s="229"/>
      <c r="B56" s="19"/>
      <c r="C56" s="19"/>
      <c r="D56" s="19"/>
      <c r="E56" s="42" t="b">
        <v>1</v>
      </c>
      <c r="F56" s="204">
        <f t="shared" si="38"/>
        <v>18</v>
      </c>
      <c r="G56" s="16"/>
      <c r="H56" s="16"/>
      <c r="I56" s="69">
        <f t="shared" si="39"/>
        <v>1.237756015</v>
      </c>
      <c r="J56" s="177"/>
      <c r="K56" s="71"/>
      <c r="L56" s="177">
        <f t="shared" si="40"/>
        <v>1.237756015</v>
      </c>
      <c r="M56" s="73">
        <f t="shared" si="45"/>
        <v>18</v>
      </c>
      <c r="N56" s="74">
        <f t="shared" si="41"/>
        <v>18</v>
      </c>
      <c r="O56" s="73">
        <f t="shared" si="46"/>
        <v>18</v>
      </c>
      <c r="P56" s="74">
        <f t="shared" si="42"/>
        <v>20</v>
      </c>
      <c r="Q56" s="16"/>
      <c r="R56" s="205">
        <f t="shared" si="43"/>
        <v>20</v>
      </c>
      <c r="S56" s="72">
        <f t="shared" si="44"/>
        <v>1.2849999999999999</v>
      </c>
      <c r="T56" s="16"/>
      <c r="U56" s="87">
        <v>55176</v>
      </c>
      <c r="V56" s="88">
        <v>0.61688381025590955</v>
      </c>
      <c r="W56" s="19"/>
      <c r="X56" s="193">
        <v>14</v>
      </c>
      <c r="Y56" s="78">
        <f>_xll.RtGet($AC$42,$AC$43&amp;$X56&amp;$AC$44,Y$42)</f>
        <v>1.0658300440000001</v>
      </c>
      <c r="Z56" s="79">
        <f>_xll.RtGet($AC$42,$AC$43&amp;$X56&amp;$AC$44,Z$42)</f>
        <v>1.0658300440000001</v>
      </c>
      <c r="AA56" s="16"/>
      <c r="AB56" s="16"/>
      <c r="AC56" s="16"/>
      <c r="AD56" s="19"/>
      <c r="AE56" s="19"/>
      <c r="AF56" s="19"/>
      <c r="AG56" s="19"/>
      <c r="AH56" s="19"/>
      <c r="AI56" s="19"/>
      <c r="AJ56" s="56" t="str">
        <f>IF(AND(LEN(AQ56)&gt;0,AS56&gt;0),_xll.xlShmInterpDisc(curveName,AQ56)+0*TYPE($V$4),"")</f>
        <v/>
      </c>
      <c r="AK56" s="57" t="str">
        <f>IF(AND(LEN(AQ56)&gt;0,AS56&gt;0),100*_xll.xlShmInterpRate(curveName,2,5,AQ56)+0*TYPE($V$4),"")</f>
        <v/>
      </c>
      <c r="AL56" s="57" t="str">
        <f t="shared" si="10"/>
        <v/>
      </c>
      <c r="AM56" s="58" t="str">
        <f t="shared" si="11"/>
        <v/>
      </c>
      <c r="AN56" s="59"/>
      <c r="AO56" s="60"/>
      <c r="AP56" s="59"/>
      <c r="AQ56" s="60"/>
      <c r="AR56" s="59"/>
      <c r="AS56" s="61"/>
      <c r="AT56" s="62"/>
      <c r="AU56" s="59"/>
      <c r="AV56" s="59"/>
      <c r="AW56" s="59"/>
      <c r="AX56" s="59"/>
      <c r="AY56" s="63"/>
      <c r="AZ56" s="64"/>
      <c r="BA56" s="15"/>
      <c r="BB56" s="19"/>
      <c r="BC56" s="19"/>
      <c r="BD56" s="19"/>
      <c r="BE56" s="83" t="b">
        <v>1</v>
      </c>
      <c r="BF56" s="193" t="str">
        <f t="shared" si="25"/>
        <v>26Y</v>
      </c>
      <c r="BG56" s="18">
        <f t="shared" si="13"/>
        <v>312</v>
      </c>
      <c r="BH56" s="74" t="s">
        <v>108</v>
      </c>
      <c r="BI56" s="69">
        <f t="shared" si="26"/>
        <v>1.2217658220000001</v>
      </c>
      <c r="BJ56" s="70"/>
      <c r="BK56" s="71"/>
      <c r="BL56" s="72">
        <f t="shared" si="15"/>
        <v>1.2217658220000001</v>
      </c>
      <c r="BM56" s="73">
        <f t="shared" si="23"/>
        <v>54</v>
      </c>
      <c r="BN56" s="74">
        <f t="shared" si="16"/>
        <v>54</v>
      </c>
      <c r="BO56" s="73">
        <f t="shared" si="24"/>
        <v>54</v>
      </c>
      <c r="BP56" s="74">
        <f t="shared" si="17"/>
        <v>54</v>
      </c>
      <c r="BQ56" s="73">
        <f t="shared" si="18"/>
        <v>312</v>
      </c>
      <c r="BR56" s="18" t="str">
        <f t="shared" si="19"/>
        <v>e</v>
      </c>
      <c r="BS56" s="72">
        <f t="shared" si="20"/>
        <v>1.2217658220000001</v>
      </c>
      <c r="BT56" s="16"/>
      <c r="BU56" s="92" t="str">
        <v>-</v>
      </c>
      <c r="BV56" s="88" t="str">
        <v>-</v>
      </c>
      <c r="BW56" s="19"/>
      <c r="BX56" s="192" t="s">
        <v>194</v>
      </c>
      <c r="BY56" s="78">
        <f>_xll.RtGet($CC$7,$CC$8&amp;BX56&amp;$CC$9,$BY$7)</f>
        <v>1.2011847420000001</v>
      </c>
      <c r="BZ56" s="79">
        <f>_xll.RtGet($CC$7,$CC$8&amp;BX56&amp;$CC$9,$BZ$7)</f>
        <v>1.2011847420000001</v>
      </c>
      <c r="CA56" s="16"/>
      <c r="CB56" s="19"/>
      <c r="CC56" s="19"/>
      <c r="CD56" s="16"/>
      <c r="CE56" s="56" t="str">
        <f>IF(AND(LEN(CL56)&gt;0,CN56&gt;0),_xll.xlShmInterpDisc(curveName,CL56)+0*TYPE($V$4),"")</f>
        <v/>
      </c>
      <c r="CF56" s="57" t="str">
        <f>IF(AND(LEN(CL56)&gt;0,CN56&gt;0),100*_xll.xlShmInterpRate(curveName,2,5,CL56)+0*TYPE($V$4),"")</f>
        <v/>
      </c>
      <c r="CG56" s="57" t="str">
        <f t="shared" si="21"/>
        <v/>
      </c>
      <c r="CH56" s="58" t="str">
        <f t="shared" si="22"/>
        <v/>
      </c>
      <c r="CI56" s="59"/>
      <c r="CJ56" s="60"/>
      <c r="CK56" s="59"/>
      <c r="CL56" s="60"/>
      <c r="CM56" s="59"/>
      <c r="CN56" s="61"/>
      <c r="CO56" s="62"/>
      <c r="CP56" s="59"/>
      <c r="CQ56" s="59"/>
      <c r="CR56" s="59"/>
      <c r="CS56" s="59"/>
      <c r="CT56" s="63"/>
      <c r="CU56" s="14"/>
      <c r="CV56" s="15"/>
      <c r="CW56" s="16"/>
      <c r="CX56" s="77" t="s">
        <v>196</v>
      </c>
      <c r="CY56" s="133"/>
      <c r="CZ56" s="16"/>
      <c r="DA56" s="142">
        <f>_xll.xlDateWorkFw(Calendar,VALUE(_xll.xlDateShiftMonth(VALUE(Settlement),LEFT(CX56,LEN(CX56)-1)*12)),0)</f>
        <v>52254</v>
      </c>
      <c r="DB56" s="16"/>
      <c r="DC56" s="216"/>
      <c r="DD56" s="16"/>
      <c r="DE56" s="21"/>
      <c r="DF56" s="216"/>
      <c r="DG56" s="16"/>
      <c r="DH56" s="21"/>
      <c r="DI56" s="16"/>
      <c r="DJ56" s="216"/>
      <c r="DK56" s="16"/>
      <c r="DL56" s="16"/>
      <c r="DM56" s="16"/>
      <c r="DN56" s="16"/>
      <c r="DO56" s="16"/>
      <c r="DP56" s="16"/>
      <c r="DQ56" s="14"/>
    </row>
    <row r="57" spans="1:121" x14ac:dyDescent="0.2">
      <c r="A57" s="229"/>
      <c r="B57" s="141" t="s">
        <v>69</v>
      </c>
      <c r="C57" s="141" t="s">
        <v>70</v>
      </c>
      <c r="D57" s="19"/>
      <c r="E57" s="42" t="b">
        <v>1</v>
      </c>
      <c r="F57" s="204">
        <f t="shared" si="38"/>
        <v>19</v>
      </c>
      <c r="G57" s="16"/>
      <c r="H57" s="16"/>
      <c r="I57" s="69">
        <f t="shared" si="39"/>
        <v>1.2636818860000001</v>
      </c>
      <c r="J57" s="177"/>
      <c r="K57" s="71"/>
      <c r="L57" s="177">
        <f t="shared" si="40"/>
        <v>1.2636818860000001</v>
      </c>
      <c r="M57" s="73">
        <f t="shared" si="45"/>
        <v>19</v>
      </c>
      <c r="N57" s="74">
        <f t="shared" si="41"/>
        <v>19</v>
      </c>
      <c r="O57" s="73">
        <f t="shared" si="46"/>
        <v>19</v>
      </c>
      <c r="P57" s="74">
        <f t="shared" si="42"/>
        <v>21</v>
      </c>
      <c r="Q57" s="16"/>
      <c r="R57" s="205">
        <f t="shared" si="43"/>
        <v>21</v>
      </c>
      <c r="S57" s="72">
        <f t="shared" si="44"/>
        <v>1.302264222</v>
      </c>
      <c r="T57" s="16"/>
      <c r="U57" s="87">
        <v>55541</v>
      </c>
      <c r="V57" s="88">
        <v>0.60802267189532089</v>
      </c>
      <c r="W57" s="19"/>
      <c r="X57" s="193">
        <v>15</v>
      </c>
      <c r="Y57" s="78">
        <f>_xll.RtGet($AC$42,$AC$43&amp;$X57&amp;$AC$44,Y$42)</f>
        <v>1.121</v>
      </c>
      <c r="Z57" s="79">
        <f>_xll.RtGet($AC$42,$AC$43&amp;$X57&amp;$AC$44,Z$42)</f>
        <v>1.121</v>
      </c>
      <c r="AA57" s="16"/>
      <c r="AB57" s="16"/>
      <c r="AC57" s="16"/>
      <c r="AD57" s="19"/>
      <c r="AE57" s="19"/>
      <c r="AF57" s="19"/>
      <c r="AG57" s="19"/>
      <c r="AH57" s="19"/>
      <c r="AI57" s="19"/>
      <c r="AJ57" s="56" t="str">
        <f>IF(AND(LEN(AQ57)&gt;0,AS57&gt;0),_xll.xlShmInterpDisc(curveName,AQ57)+0*TYPE($V$4),"")</f>
        <v/>
      </c>
      <c r="AK57" s="57" t="str">
        <f>IF(AND(LEN(AQ57)&gt;0,AS57&gt;0),100*_xll.xlShmInterpRate(curveName,2,5,AQ57)+0*TYPE($V$4),"")</f>
        <v/>
      </c>
      <c r="AL57" s="57" t="str">
        <f t="shared" si="10"/>
        <v/>
      </c>
      <c r="AM57" s="58" t="str">
        <f t="shared" si="11"/>
        <v/>
      </c>
      <c r="AN57" s="59"/>
      <c r="AO57" s="60"/>
      <c r="AP57" s="59"/>
      <c r="AQ57" s="60"/>
      <c r="AR57" s="59"/>
      <c r="AS57" s="61"/>
      <c r="AT57" s="62"/>
      <c r="AU57" s="59"/>
      <c r="AV57" s="59"/>
      <c r="AW57" s="59"/>
      <c r="AX57" s="59"/>
      <c r="AY57" s="63"/>
      <c r="AZ57" s="64"/>
      <c r="BA57" s="15"/>
      <c r="BB57" s="19"/>
      <c r="BC57" s="19"/>
      <c r="BD57" s="19"/>
      <c r="BE57" s="83" t="b">
        <v>1</v>
      </c>
      <c r="BF57" s="193" t="str">
        <f t="shared" si="25"/>
        <v>27Y</v>
      </c>
      <c r="BG57" s="18">
        <f t="shared" si="13"/>
        <v>324</v>
      </c>
      <c r="BH57" s="74" t="s">
        <v>108</v>
      </c>
      <c r="BI57" s="69">
        <f t="shared" si="26"/>
        <v>1.2307108610000002</v>
      </c>
      <c r="BJ57" s="70"/>
      <c r="BK57" s="71"/>
      <c r="BL57" s="72">
        <f t="shared" si="15"/>
        <v>1.2307108610000002</v>
      </c>
      <c r="BM57" s="73">
        <f t="shared" si="23"/>
        <v>55</v>
      </c>
      <c r="BN57" s="74">
        <f t="shared" si="16"/>
        <v>55</v>
      </c>
      <c r="BO57" s="73">
        <f t="shared" si="24"/>
        <v>55</v>
      </c>
      <c r="BP57" s="74">
        <f t="shared" si="17"/>
        <v>55</v>
      </c>
      <c r="BQ57" s="73">
        <f t="shared" si="18"/>
        <v>324</v>
      </c>
      <c r="BR57" s="18" t="str">
        <f t="shared" si="19"/>
        <v>e</v>
      </c>
      <c r="BS57" s="72">
        <f t="shared" si="20"/>
        <v>1.2307108610000002</v>
      </c>
      <c r="BT57" s="16"/>
      <c r="BU57" s="92" t="str">
        <v>-</v>
      </c>
      <c r="BV57" s="88" t="str">
        <v>-</v>
      </c>
      <c r="BW57" s="19"/>
      <c r="BX57" s="192" t="s">
        <v>195</v>
      </c>
      <c r="BY57" s="78">
        <f>_xll.RtGet($CC$7,$CC$8&amp;BX57&amp;$CC$9,$BY$7)</f>
        <v>1.212</v>
      </c>
      <c r="BZ57" s="79">
        <f>_xll.RtGet($CC$7,$CC$8&amp;BX57&amp;$CC$9,$BZ$7)</f>
        <v>1.212</v>
      </c>
      <c r="CA57" s="16"/>
      <c r="CB57" s="19"/>
      <c r="CC57" s="19"/>
      <c r="CD57" s="16"/>
      <c r="CE57" s="56" t="str">
        <f>IF(AND(LEN(CL57)&gt;0,CN57&gt;0),_xll.xlShmInterpDisc(curveName,CL57)+0*TYPE($V$4),"")</f>
        <v/>
      </c>
      <c r="CF57" s="57" t="str">
        <f>IF(AND(LEN(CL57)&gt;0,CN57&gt;0),100*_xll.xlShmInterpRate(curveName,2,5,CL57)+0*TYPE($V$4),"")</f>
        <v/>
      </c>
      <c r="CG57" s="57" t="str">
        <f t="shared" si="21"/>
        <v/>
      </c>
      <c r="CH57" s="58" t="str">
        <f t="shared" si="22"/>
        <v/>
      </c>
      <c r="CI57" s="59"/>
      <c r="CJ57" s="60"/>
      <c r="CK57" s="59"/>
      <c r="CL57" s="60"/>
      <c r="CM57" s="59"/>
      <c r="CN57" s="61"/>
      <c r="CO57" s="62"/>
      <c r="CP57" s="59"/>
      <c r="CQ57" s="59"/>
      <c r="CR57" s="59"/>
      <c r="CS57" s="59"/>
      <c r="CT57" s="63"/>
      <c r="CU57" s="14"/>
      <c r="CV57" s="15"/>
      <c r="CW57" s="16"/>
      <c r="CX57" s="77" t="s">
        <v>197</v>
      </c>
      <c r="CY57" s="133"/>
      <c r="CZ57" s="16"/>
      <c r="DA57" s="142">
        <f>_xll.xlDateWorkFw(Calendar,VALUE(_xll.xlDateShiftMonth(VALUE(Settlement),LEFT(CX57,LEN(CX57)-1)*12)),0)</f>
        <v>52621</v>
      </c>
      <c r="DB57" s="16"/>
      <c r="DC57" s="216"/>
      <c r="DD57" s="16"/>
      <c r="DE57" s="21"/>
      <c r="DF57" s="216"/>
      <c r="DG57" s="16"/>
      <c r="DH57" s="21"/>
      <c r="DI57" s="16"/>
      <c r="DJ57" s="216"/>
      <c r="DK57" s="16"/>
      <c r="DL57" s="16"/>
      <c r="DM57" s="16"/>
      <c r="DN57" s="16"/>
      <c r="DO57" s="16"/>
      <c r="DP57" s="16"/>
      <c r="DQ57" s="14"/>
    </row>
    <row r="58" spans="1:121" x14ac:dyDescent="0.2">
      <c r="A58" s="229"/>
      <c r="B58" s="232" t="str">
        <f>"DiscCurveName"&amp;IF(ISBLANK(C29),"","#"&amp;C29)</f>
        <v>DiscCurveName</v>
      </c>
      <c r="C58" s="233">
        <f>exoDisc</f>
        <v>0</v>
      </c>
      <c r="D58" s="19"/>
      <c r="E58" s="42" t="b">
        <v>1</v>
      </c>
      <c r="F58" s="204">
        <f t="shared" si="38"/>
        <v>20</v>
      </c>
      <c r="G58" s="16"/>
      <c r="H58" s="16"/>
      <c r="I58" s="69">
        <f t="shared" si="39"/>
        <v>1.2849999999999999</v>
      </c>
      <c r="J58" s="177"/>
      <c r="K58" s="71"/>
      <c r="L58" s="177">
        <f t="shared" si="40"/>
        <v>1.2849999999999999</v>
      </c>
      <c r="M58" s="73">
        <f t="shared" si="45"/>
        <v>20</v>
      </c>
      <c r="N58" s="74">
        <f t="shared" si="41"/>
        <v>20</v>
      </c>
      <c r="O58" s="73">
        <f t="shared" si="46"/>
        <v>20</v>
      </c>
      <c r="P58" s="74">
        <f t="shared" si="42"/>
        <v>22</v>
      </c>
      <c r="Q58" s="16"/>
      <c r="R58" s="205">
        <f t="shared" si="43"/>
        <v>22</v>
      </c>
      <c r="S58" s="72">
        <f t="shared" si="44"/>
        <v>1.3161692010000001</v>
      </c>
      <c r="T58" s="16"/>
      <c r="U58" s="87">
        <v>55907</v>
      </c>
      <c r="V58" s="88">
        <v>0.59930366248369982</v>
      </c>
      <c r="W58" s="19"/>
      <c r="X58" s="193">
        <v>16</v>
      </c>
      <c r="Y58" s="78">
        <f>_xll.RtGet($AC$42,$AC$43&amp;$X58&amp;$AC$44,Y$42)</f>
        <v>1.1677006780000001</v>
      </c>
      <c r="Z58" s="79">
        <f>_xll.RtGet($AC$42,$AC$43&amp;$X58&amp;$AC$44,Z$42)</f>
        <v>1.1677006780000001</v>
      </c>
      <c r="AA58" s="16"/>
      <c r="AB58" s="16"/>
      <c r="AC58" s="16"/>
      <c r="AD58" s="19"/>
      <c r="AE58" s="19"/>
      <c r="AF58" s="19"/>
      <c r="AG58" s="19"/>
      <c r="AH58" s="19"/>
      <c r="AI58" s="19"/>
      <c r="AJ58" s="56" t="str">
        <f>IF(AND(LEN(AQ58)&gt;0,AS58&gt;0),_xll.xlShmInterpDisc(curveName,AQ58)+0*TYPE($V$4),"")</f>
        <v/>
      </c>
      <c r="AK58" s="57" t="str">
        <f>IF(AND(LEN(AQ58)&gt;0,AS58&gt;0),100*_xll.xlShmInterpRate(curveName,2,5,AQ58)+0*TYPE($V$4),"")</f>
        <v/>
      </c>
      <c r="AL58" s="57" t="str">
        <f t="shared" si="10"/>
        <v/>
      </c>
      <c r="AM58" s="58" t="str">
        <f t="shared" si="11"/>
        <v/>
      </c>
      <c r="AN58" s="59"/>
      <c r="AO58" s="60"/>
      <c r="AP58" s="59"/>
      <c r="AQ58" s="60"/>
      <c r="AR58" s="59"/>
      <c r="AS58" s="61"/>
      <c r="AT58" s="62"/>
      <c r="AU58" s="59"/>
      <c r="AV58" s="59"/>
      <c r="AW58" s="59"/>
      <c r="AX58" s="59"/>
      <c r="AY58" s="63"/>
      <c r="AZ58" s="64"/>
      <c r="BA58" s="15"/>
      <c r="BB58" s="19"/>
      <c r="BC58" s="19"/>
      <c r="BD58" s="19"/>
      <c r="BE58" s="83" t="b">
        <v>1</v>
      </c>
      <c r="BF58" s="193" t="str">
        <f t="shared" si="25"/>
        <v>28Y</v>
      </c>
      <c r="BG58" s="18">
        <f t="shared" si="13"/>
        <v>336</v>
      </c>
      <c r="BH58" s="74" t="s">
        <v>108</v>
      </c>
      <c r="BI58" s="69">
        <f t="shared" si="26"/>
        <v>1.238798026</v>
      </c>
      <c r="BJ58" s="70"/>
      <c r="BK58" s="71"/>
      <c r="BL58" s="72">
        <f t="shared" si="15"/>
        <v>1.238798026</v>
      </c>
      <c r="BM58" s="73">
        <f t="shared" si="23"/>
        <v>56</v>
      </c>
      <c r="BN58" s="74">
        <f t="shared" si="16"/>
        <v>56</v>
      </c>
      <c r="BO58" s="73">
        <f t="shared" si="24"/>
        <v>56</v>
      </c>
      <c r="BP58" s="74">
        <f t="shared" si="17"/>
        <v>56</v>
      </c>
      <c r="BQ58" s="73">
        <f t="shared" si="18"/>
        <v>336</v>
      </c>
      <c r="BR58" s="18" t="str">
        <f t="shared" si="19"/>
        <v>e</v>
      </c>
      <c r="BS58" s="72">
        <f t="shared" si="20"/>
        <v>1.238798026</v>
      </c>
      <c r="BT58" s="16"/>
      <c r="BU58" s="92" t="str">
        <v>-</v>
      </c>
      <c r="BV58" s="88" t="str">
        <v>-</v>
      </c>
      <c r="BW58" s="19"/>
      <c r="BX58" s="192" t="s">
        <v>196</v>
      </c>
      <c r="BY58" s="78">
        <f>_xll.RtGet($CC$7,$CC$8&amp;BX58&amp;$CC$9,$BY$7)</f>
        <v>1.2217658220000001</v>
      </c>
      <c r="BZ58" s="79">
        <f>_xll.RtGet($CC$7,$CC$8&amp;BX58&amp;$CC$9,$BZ$7)</f>
        <v>1.2217658220000001</v>
      </c>
      <c r="CA58" s="16"/>
      <c r="CB58" s="19"/>
      <c r="CC58" s="19"/>
      <c r="CD58" s="16"/>
      <c r="CE58" s="56" t="str">
        <f>IF(AND(LEN(CL58)&gt;0,CN58&gt;0),_xll.xlShmInterpDisc(curveName,CL58)+0*TYPE($V$4),"")</f>
        <v/>
      </c>
      <c r="CF58" s="57" t="str">
        <f>IF(AND(LEN(CL58)&gt;0,CN58&gt;0),100*_xll.xlShmInterpRate(curveName,2,5,CL58)+0*TYPE($V$4),"")</f>
        <v/>
      </c>
      <c r="CG58" s="57" t="str">
        <f t="shared" si="21"/>
        <v/>
      </c>
      <c r="CH58" s="58" t="str">
        <f t="shared" si="22"/>
        <v/>
      </c>
      <c r="CI58" s="59"/>
      <c r="CJ58" s="60"/>
      <c r="CK58" s="59"/>
      <c r="CL58" s="60"/>
      <c r="CM58" s="59"/>
      <c r="CN58" s="61"/>
      <c r="CO58" s="62"/>
      <c r="CP58" s="59"/>
      <c r="CQ58" s="59"/>
      <c r="CR58" s="59"/>
      <c r="CS58" s="59"/>
      <c r="CT58" s="63"/>
      <c r="CU58" s="14"/>
      <c r="CV58" s="15"/>
      <c r="CW58" s="16"/>
      <c r="CX58" s="77" t="s">
        <v>198</v>
      </c>
      <c r="CY58" s="133"/>
      <c r="CZ58" s="16"/>
      <c r="DA58" s="142">
        <f>_xll.xlDateWorkFw(Calendar,VALUE(_xll.xlDateShiftMonth(VALUE(Settlement),LEFT(CX58,LEN(CX58)-1)*12)),0)</f>
        <v>52985</v>
      </c>
      <c r="DB58" s="16"/>
      <c r="DC58" s="216"/>
      <c r="DD58" s="16"/>
      <c r="DE58" s="21"/>
      <c r="DF58" s="216"/>
      <c r="DG58" s="16"/>
      <c r="DH58" s="21"/>
      <c r="DI58" s="16"/>
      <c r="DJ58" s="216"/>
      <c r="DK58" s="16"/>
      <c r="DL58" s="16"/>
      <c r="DM58" s="16"/>
      <c r="DN58" s="16"/>
      <c r="DO58" s="16"/>
      <c r="DP58" s="16"/>
      <c r="DQ58" s="14"/>
    </row>
    <row r="59" spans="1:121" x14ac:dyDescent="0.2">
      <c r="A59" s="229"/>
      <c r="B59" s="234" t="str">
        <f>"FutEndDate"&amp;IF(ISBLANK(C44),"","#"&amp;C44)</f>
        <v>FutEndDate#standard</v>
      </c>
      <c r="C59" s="235">
        <v>0</v>
      </c>
      <c r="D59" s="19"/>
      <c r="E59" s="42" t="b">
        <v>1</v>
      </c>
      <c r="F59" s="204">
        <f t="shared" si="38"/>
        <v>21</v>
      </c>
      <c r="G59" s="16"/>
      <c r="H59" s="16"/>
      <c r="I59" s="69">
        <f t="shared" si="39"/>
        <v>1.302264222</v>
      </c>
      <c r="J59" s="177"/>
      <c r="K59" s="71"/>
      <c r="L59" s="177">
        <f t="shared" si="40"/>
        <v>1.302264222</v>
      </c>
      <c r="M59" s="73">
        <f t="shared" si="45"/>
        <v>21</v>
      </c>
      <c r="N59" s="74">
        <f t="shared" si="41"/>
        <v>21</v>
      </c>
      <c r="O59" s="73">
        <f t="shared" si="46"/>
        <v>21</v>
      </c>
      <c r="P59" s="74">
        <f t="shared" si="42"/>
        <v>23</v>
      </c>
      <c r="Q59" s="16"/>
      <c r="R59" s="205">
        <f t="shared" si="43"/>
        <v>23</v>
      </c>
      <c r="S59" s="72">
        <f t="shared" si="44"/>
        <v>1.32749245</v>
      </c>
      <c r="T59" s="16"/>
      <c r="U59" s="87">
        <v>56272</v>
      </c>
      <c r="V59" s="88">
        <v>0.59079726578398439</v>
      </c>
      <c r="W59" s="19"/>
      <c r="X59" s="193">
        <v>17</v>
      </c>
      <c r="Y59" s="78">
        <f>_xll.RtGet($AC$42,$AC$43&amp;$X59&amp;$AC$44,Y$42)</f>
        <v>1.2060553550000002</v>
      </c>
      <c r="Z59" s="79">
        <f>_xll.RtGet($AC$42,$AC$43&amp;$X59&amp;$AC$44,Z$42)</f>
        <v>1.2060553550000002</v>
      </c>
      <c r="AA59" s="16"/>
      <c r="AB59" s="16"/>
      <c r="AC59" s="16"/>
      <c r="AD59" s="19"/>
      <c r="AE59" s="19"/>
      <c r="AF59" s="19"/>
      <c r="AG59" s="19"/>
      <c r="AH59" s="19"/>
      <c r="AI59" s="19"/>
      <c r="AJ59" s="56" t="str">
        <f>IF(AND(LEN(AQ59)&gt;0,AS59&gt;0),_xll.xlShmInterpDisc(curveName,AQ59)+0*TYPE($V$4),"")</f>
        <v/>
      </c>
      <c r="AK59" s="57" t="str">
        <f>IF(AND(LEN(AQ59)&gt;0,AS59&gt;0),100*_xll.xlShmInterpRate(curveName,2,5,AQ59)+0*TYPE($V$4),"")</f>
        <v/>
      </c>
      <c r="AL59" s="57" t="str">
        <f t="shared" si="10"/>
        <v/>
      </c>
      <c r="AM59" s="58" t="str">
        <f t="shared" si="11"/>
        <v/>
      </c>
      <c r="AN59" s="59"/>
      <c r="AO59" s="60"/>
      <c r="AP59" s="59"/>
      <c r="AQ59" s="60"/>
      <c r="AR59" s="59"/>
      <c r="AS59" s="61"/>
      <c r="AT59" s="62"/>
      <c r="AU59" s="59"/>
      <c r="AV59" s="59"/>
      <c r="AW59" s="59"/>
      <c r="AX59" s="59"/>
      <c r="AY59" s="63"/>
      <c r="AZ59" s="64"/>
      <c r="BA59" s="15"/>
      <c r="BB59" s="19"/>
      <c r="BC59" s="19"/>
      <c r="BD59" s="19"/>
      <c r="BE59" s="83" t="b">
        <v>1</v>
      </c>
      <c r="BF59" s="193" t="str">
        <f t="shared" si="25"/>
        <v>29Y</v>
      </c>
      <c r="BG59" s="18">
        <f t="shared" si="13"/>
        <v>348</v>
      </c>
      <c r="BH59" s="74" t="s">
        <v>108</v>
      </c>
      <c r="BI59" s="69">
        <f t="shared" si="26"/>
        <v>1.246208714</v>
      </c>
      <c r="BJ59" s="70"/>
      <c r="BK59" s="71"/>
      <c r="BL59" s="72">
        <f t="shared" si="15"/>
        <v>1.246208714</v>
      </c>
      <c r="BM59" s="73">
        <f t="shared" si="23"/>
        <v>57</v>
      </c>
      <c r="BN59" s="74">
        <f t="shared" si="16"/>
        <v>57</v>
      </c>
      <c r="BO59" s="73">
        <f t="shared" si="24"/>
        <v>57</v>
      </c>
      <c r="BP59" s="74">
        <f t="shared" si="17"/>
        <v>57</v>
      </c>
      <c r="BQ59" s="73">
        <f t="shared" si="18"/>
        <v>348</v>
      </c>
      <c r="BR59" s="18" t="str">
        <f t="shared" si="19"/>
        <v>e</v>
      </c>
      <c r="BS59" s="72">
        <f t="shared" si="20"/>
        <v>1.246208714</v>
      </c>
      <c r="BT59" s="16"/>
      <c r="BU59" s="92" t="str">
        <v>-</v>
      </c>
      <c r="BV59" s="88" t="str">
        <v>-</v>
      </c>
      <c r="BW59" s="19"/>
      <c r="BX59" s="192" t="s">
        <v>197</v>
      </c>
      <c r="BY59" s="78">
        <f>_xll.RtGet($CC$7,$CC$8&amp;BX59&amp;$CC$9,$BY$7)</f>
        <v>1.2307108610000002</v>
      </c>
      <c r="BZ59" s="79">
        <f>_xll.RtGet($CC$7,$CC$8&amp;BX59&amp;$CC$9,$BZ$7)</f>
        <v>1.2307108610000002</v>
      </c>
      <c r="CA59" s="16"/>
      <c r="CB59" s="19"/>
      <c r="CC59" s="19"/>
      <c r="CD59" s="16"/>
      <c r="CE59" s="56" t="str">
        <f>IF(AND(LEN(CL59)&gt;0,CN59&gt;0),_xll.xlShmInterpDisc(curveName,CL59)+0*TYPE($V$4),"")</f>
        <v/>
      </c>
      <c r="CF59" s="57" t="str">
        <f>IF(AND(LEN(CL59)&gt;0,CN59&gt;0),100*_xll.xlShmInterpRate(curveName,2,5,CL59)+0*TYPE($V$4),"")</f>
        <v/>
      </c>
      <c r="CG59" s="57" t="str">
        <f t="shared" si="21"/>
        <v/>
      </c>
      <c r="CH59" s="58" t="str">
        <f t="shared" si="22"/>
        <v/>
      </c>
      <c r="CI59" s="59"/>
      <c r="CJ59" s="60"/>
      <c r="CK59" s="59"/>
      <c r="CL59" s="60"/>
      <c r="CM59" s="59"/>
      <c r="CN59" s="61"/>
      <c r="CO59" s="62"/>
      <c r="CP59" s="59"/>
      <c r="CQ59" s="59"/>
      <c r="CR59" s="59"/>
      <c r="CS59" s="59"/>
      <c r="CT59" s="63"/>
      <c r="CU59" s="14"/>
      <c r="CV59" s="15"/>
      <c r="CW59" s="16"/>
      <c r="CX59" s="77" t="s">
        <v>199</v>
      </c>
      <c r="CY59" s="133"/>
      <c r="CZ59" s="16"/>
      <c r="DA59" s="142">
        <f>_xll.xlDateWorkFw(Calendar,VALUE(_xll.xlDateShiftMonth(VALUE(Settlement),LEFT(CX59,LEN(CX59)-1)*12)),0)</f>
        <v>53350</v>
      </c>
      <c r="DB59" s="16"/>
      <c r="DC59" s="216"/>
      <c r="DD59" s="16"/>
      <c r="DE59" s="21"/>
      <c r="DF59" s="216"/>
      <c r="DG59" s="16"/>
      <c r="DH59" s="21"/>
      <c r="DI59" s="16"/>
      <c r="DJ59" s="216"/>
      <c r="DK59" s="16"/>
      <c r="DL59" s="16"/>
      <c r="DM59" s="16"/>
      <c r="DN59" s="16"/>
      <c r="DO59" s="16"/>
      <c r="DP59" s="16"/>
      <c r="DQ59" s="14"/>
    </row>
    <row r="60" spans="1:121" x14ac:dyDescent="0.2">
      <c r="A60" s="229"/>
      <c r="B60" s="234" t="str">
        <f>"MatBlockCons"&amp;IF(ISBLANK(C43),"","#"&amp;C43)</f>
        <v>MatBlockCons#on</v>
      </c>
      <c r="C60" s="235">
        <v>0</v>
      </c>
      <c r="D60" s="19"/>
      <c r="E60" s="42" t="b">
        <v>1</v>
      </c>
      <c r="F60" s="204">
        <f t="shared" si="38"/>
        <v>22</v>
      </c>
      <c r="G60" s="16"/>
      <c r="H60" s="16"/>
      <c r="I60" s="69">
        <f t="shared" si="39"/>
        <v>1.3161692010000001</v>
      </c>
      <c r="J60" s="177"/>
      <c r="K60" s="71"/>
      <c r="L60" s="177">
        <f t="shared" si="40"/>
        <v>1.3161692010000001</v>
      </c>
      <c r="M60" s="73">
        <f t="shared" si="45"/>
        <v>22</v>
      </c>
      <c r="N60" s="74">
        <f t="shared" si="41"/>
        <v>22</v>
      </c>
      <c r="O60" s="73">
        <f t="shared" si="46"/>
        <v>22</v>
      </c>
      <c r="P60" s="74">
        <f t="shared" si="42"/>
        <v>24</v>
      </c>
      <c r="Q60" s="16"/>
      <c r="R60" s="205">
        <f t="shared" si="43"/>
        <v>24</v>
      </c>
      <c r="S60" s="72">
        <f t="shared" si="44"/>
        <v>1.337016035</v>
      </c>
      <c r="T60" s="16"/>
      <c r="U60" s="87">
        <v>56639</v>
      </c>
      <c r="V60" s="88">
        <v>0.58246806082147584</v>
      </c>
      <c r="W60" s="19"/>
      <c r="X60" s="193">
        <v>18</v>
      </c>
      <c r="Y60" s="78">
        <f>_xll.RtGet($AC$42,$AC$43&amp;$X60&amp;$AC$44,Y$42)</f>
        <v>1.237756015</v>
      </c>
      <c r="Z60" s="79">
        <f>_xll.RtGet($AC$42,$AC$43&amp;$X60&amp;$AC$44,Z$42)</f>
        <v>1.237756015</v>
      </c>
      <c r="AA60" s="16"/>
      <c r="AB60" s="16"/>
      <c r="AC60" s="16"/>
      <c r="AD60" s="19"/>
      <c r="AE60" s="19"/>
      <c r="AF60" s="19"/>
      <c r="AG60" s="19"/>
      <c r="AH60" s="19"/>
      <c r="AI60" s="19"/>
      <c r="AJ60" s="56" t="str">
        <f>IF(AND(LEN(AQ60)&gt;0,AS60&gt;0),_xll.xlShmInterpDisc(curveName,AQ60)+0*TYPE($V$4),"")</f>
        <v/>
      </c>
      <c r="AK60" s="57" t="str">
        <f>IF(AND(LEN(AQ60)&gt;0,AS60&gt;0),100*_xll.xlShmInterpRate(curveName,2,5,AQ60)+0*TYPE($V$4),"")</f>
        <v/>
      </c>
      <c r="AL60" s="57" t="str">
        <f t="shared" si="10"/>
        <v/>
      </c>
      <c r="AM60" s="58" t="str">
        <f t="shared" si="11"/>
        <v/>
      </c>
      <c r="AN60" s="59"/>
      <c r="AO60" s="60"/>
      <c r="AP60" s="59"/>
      <c r="AQ60" s="60"/>
      <c r="AR60" s="59"/>
      <c r="AS60" s="61"/>
      <c r="AT60" s="62"/>
      <c r="AU60" s="59"/>
      <c r="AV60" s="59"/>
      <c r="AW60" s="59"/>
      <c r="AX60" s="59"/>
      <c r="AY60" s="63"/>
      <c r="AZ60" s="64"/>
      <c r="BA60" s="15"/>
      <c r="BB60" s="19"/>
      <c r="BC60" s="19"/>
      <c r="BD60" s="19"/>
      <c r="BE60" s="83" t="b">
        <v>1</v>
      </c>
      <c r="BF60" s="193" t="str">
        <f t="shared" si="25"/>
        <v>30Y</v>
      </c>
      <c r="BG60" s="18">
        <f t="shared" si="13"/>
        <v>360</v>
      </c>
      <c r="BH60" s="74" t="s">
        <v>108</v>
      </c>
      <c r="BI60" s="69">
        <f t="shared" si="26"/>
        <v>1.2530000000000001</v>
      </c>
      <c r="BJ60" s="70"/>
      <c r="BK60" s="71"/>
      <c r="BL60" s="72">
        <f t="shared" si="15"/>
        <v>1.2530000000000001</v>
      </c>
      <c r="BM60" s="73">
        <f t="shared" si="23"/>
        <v>58</v>
      </c>
      <c r="BN60" s="74">
        <f t="shared" si="16"/>
        <v>58</v>
      </c>
      <c r="BO60" s="73">
        <f t="shared" si="24"/>
        <v>58</v>
      </c>
      <c r="BP60" s="74">
        <f t="shared" si="17"/>
        <v>58</v>
      </c>
      <c r="BQ60" s="73">
        <f t="shared" si="18"/>
        <v>360</v>
      </c>
      <c r="BR60" s="18" t="str">
        <f t="shared" si="19"/>
        <v>e</v>
      </c>
      <c r="BS60" s="72">
        <f t="shared" si="20"/>
        <v>1.2530000000000001</v>
      </c>
      <c r="BT60" s="16"/>
      <c r="BU60" s="92" t="str">
        <v>-</v>
      </c>
      <c r="BV60" s="88" t="str">
        <v>-</v>
      </c>
      <c r="BW60" s="19"/>
      <c r="BX60" s="192" t="s">
        <v>198</v>
      </c>
      <c r="BY60" s="78">
        <f>_xll.RtGet($CC$7,$CC$8&amp;BX60&amp;$CC$9,$BY$7)</f>
        <v>1.238798026</v>
      </c>
      <c r="BZ60" s="79">
        <f>_xll.RtGet($CC$7,$CC$8&amp;BX60&amp;$CC$9,$BZ$7)</f>
        <v>1.238798026</v>
      </c>
      <c r="CA60" s="16"/>
      <c r="CB60" s="19"/>
      <c r="CC60" s="19"/>
      <c r="CD60" s="16"/>
      <c r="CE60" s="56" t="str">
        <f>IF(AND(LEN(CL60)&gt;0,CN60&gt;0),_xll.xlShmInterpDisc(curveName,CL60)+0*TYPE($V$4),"")</f>
        <v/>
      </c>
      <c r="CF60" s="57" t="str">
        <f>IF(AND(LEN(CL60)&gt;0,CN60&gt;0),100*_xll.xlShmInterpRate(curveName,2,5,CL60)+0*TYPE($V$4),"")</f>
        <v/>
      </c>
      <c r="CG60" s="57" t="str">
        <f t="shared" si="21"/>
        <v/>
      </c>
      <c r="CH60" s="58" t="str">
        <f t="shared" si="22"/>
        <v/>
      </c>
      <c r="CI60" s="59"/>
      <c r="CJ60" s="60"/>
      <c r="CK60" s="59"/>
      <c r="CL60" s="60"/>
      <c r="CM60" s="59"/>
      <c r="CN60" s="61"/>
      <c r="CO60" s="62"/>
      <c r="CP60" s="59"/>
      <c r="CQ60" s="59"/>
      <c r="CR60" s="59"/>
      <c r="CS60" s="59"/>
      <c r="CT60" s="63"/>
      <c r="CU60" s="14"/>
      <c r="CV60" s="15"/>
      <c r="CW60" s="16"/>
      <c r="CX60" s="77" t="s">
        <v>200</v>
      </c>
      <c r="CY60" s="133"/>
      <c r="CZ60" s="16"/>
      <c r="DA60" s="142">
        <f>_xll.xlDateWorkFw(Calendar,VALUE(_xll.xlDateShiftMonth(VALUE(Settlement),LEFT(CX60,LEN(CX60)-1)*12)),0)</f>
        <v>53715</v>
      </c>
      <c r="DB60" s="16"/>
      <c r="DC60" s="216"/>
      <c r="DD60" s="16"/>
      <c r="DE60" s="21"/>
      <c r="DF60" s="216"/>
      <c r="DG60" s="16"/>
      <c r="DH60" s="21"/>
      <c r="DI60" s="16"/>
      <c r="DJ60" s="216"/>
      <c r="DK60" s="16"/>
      <c r="DL60" s="16"/>
      <c r="DM60" s="16"/>
      <c r="DN60" s="16"/>
      <c r="DO60" s="16"/>
      <c r="DP60" s="16"/>
      <c r="DQ60" s="14"/>
    </row>
    <row r="61" spans="1:121" x14ac:dyDescent="0.2">
      <c r="A61" s="229"/>
      <c r="B61" s="234" t="str">
        <f>"FutBlockCons"&amp;IF(ISBLANK(C42),"","#"&amp;C42)</f>
        <v>FutBlockCons#stub</v>
      </c>
      <c r="C61" s="235">
        <v>0</v>
      </c>
      <c r="D61" s="19"/>
      <c r="E61" s="42" t="b">
        <v>1</v>
      </c>
      <c r="F61" s="204">
        <f t="shared" si="38"/>
        <v>23</v>
      </c>
      <c r="G61" s="16"/>
      <c r="H61" s="16"/>
      <c r="I61" s="69">
        <f t="shared" si="39"/>
        <v>1.32749245</v>
      </c>
      <c r="J61" s="177"/>
      <c r="K61" s="71"/>
      <c r="L61" s="177">
        <f t="shared" si="40"/>
        <v>1.32749245</v>
      </c>
      <c r="M61" s="73">
        <f t="shared" si="45"/>
        <v>23</v>
      </c>
      <c r="N61" s="74">
        <f t="shared" si="41"/>
        <v>23</v>
      </c>
      <c r="O61" s="73">
        <f t="shared" si="46"/>
        <v>23</v>
      </c>
      <c r="P61" s="74">
        <f t="shared" si="42"/>
        <v>25</v>
      </c>
      <c r="Q61" s="16"/>
      <c r="R61" s="205">
        <f t="shared" si="43"/>
        <v>25</v>
      </c>
      <c r="S61" s="72">
        <f t="shared" si="44"/>
        <v>1.345</v>
      </c>
      <c r="T61" s="16"/>
      <c r="U61" s="87">
        <v>57003</v>
      </c>
      <c r="V61" s="88">
        <v>0.57446349764532123</v>
      </c>
      <c r="W61" s="19"/>
      <c r="X61" s="193">
        <v>19</v>
      </c>
      <c r="Y61" s="78">
        <f>_xll.RtGet($AC$42,$AC$43&amp;$X61&amp;$AC$44,Y$42)</f>
        <v>1.2636818860000001</v>
      </c>
      <c r="Z61" s="79">
        <f>_xll.RtGet($AC$42,$AC$43&amp;$X61&amp;$AC$44,Z$42)</f>
        <v>1.2636818860000001</v>
      </c>
      <c r="AA61" s="16"/>
      <c r="AB61" s="16"/>
      <c r="AC61" s="16"/>
      <c r="AD61" s="19"/>
      <c r="AE61" s="19"/>
      <c r="AF61" s="19"/>
      <c r="AG61" s="19"/>
      <c r="AH61" s="19"/>
      <c r="AI61" s="19"/>
      <c r="AJ61" s="56" t="str">
        <f>IF(AND(LEN(AQ61)&gt;0,AS61&gt;0),_xll.xlShmInterpDisc(curveName,AQ61)+0*TYPE($V$4),"")</f>
        <v/>
      </c>
      <c r="AK61" s="57" t="str">
        <f>IF(AND(LEN(AQ61)&gt;0,AS61&gt;0),100*_xll.xlShmInterpRate(curveName,2,5,AQ61)+0*TYPE($V$4),"")</f>
        <v/>
      </c>
      <c r="AL61" s="57" t="str">
        <f t="shared" si="10"/>
        <v/>
      </c>
      <c r="AM61" s="58" t="str">
        <f t="shared" si="11"/>
        <v/>
      </c>
      <c r="AN61" s="59"/>
      <c r="AO61" s="60"/>
      <c r="AP61" s="59"/>
      <c r="AQ61" s="60"/>
      <c r="AR61" s="59"/>
      <c r="AS61" s="61"/>
      <c r="AT61" s="62"/>
      <c r="AU61" s="59"/>
      <c r="AV61" s="59"/>
      <c r="AW61" s="59"/>
      <c r="AX61" s="59"/>
      <c r="AY61" s="63"/>
      <c r="AZ61" s="64"/>
      <c r="BA61" s="15"/>
      <c r="BB61" s="19"/>
      <c r="BC61" s="19"/>
      <c r="BD61" s="19"/>
      <c r="BE61" s="83" t="b">
        <v>1</v>
      </c>
      <c r="BF61" s="193" t="str">
        <f t="shared" si="25"/>
        <v>35Y</v>
      </c>
      <c r="BG61" s="18">
        <f t="shared" si="13"/>
        <v>420</v>
      </c>
      <c r="BH61" s="74" t="s">
        <v>108</v>
      </c>
      <c r="BI61" s="69">
        <f t="shared" si="26"/>
        <v>1.2782867360000001</v>
      </c>
      <c r="BJ61" s="70"/>
      <c r="BK61" s="71"/>
      <c r="BL61" s="72">
        <f t="shared" si="15"/>
        <v>1.2782867360000001</v>
      </c>
      <c r="BM61" s="73">
        <f t="shared" si="23"/>
        <v>59</v>
      </c>
      <c r="BN61" s="74">
        <f t="shared" si="16"/>
        <v>59</v>
      </c>
      <c r="BO61" s="73">
        <f t="shared" si="24"/>
        <v>59</v>
      </c>
      <c r="BP61" s="74">
        <f t="shared" si="17"/>
        <v>59</v>
      </c>
      <c r="BQ61" s="73">
        <f t="shared" si="18"/>
        <v>420</v>
      </c>
      <c r="BR61" s="18" t="str">
        <f t="shared" si="19"/>
        <v>e</v>
      </c>
      <c r="BS61" s="72">
        <f t="shared" si="20"/>
        <v>1.2782867360000001</v>
      </c>
      <c r="BT61" s="16"/>
      <c r="BU61" s="92" t="str">
        <v>-</v>
      </c>
      <c r="BV61" s="88" t="str">
        <v>-</v>
      </c>
      <c r="BW61" s="19"/>
      <c r="BX61" s="192" t="s">
        <v>199</v>
      </c>
      <c r="BY61" s="78">
        <f>_xll.RtGet($CC$7,$CC$8&amp;BX61&amp;$CC$9,$BY$7)</f>
        <v>1.246208714</v>
      </c>
      <c r="BZ61" s="79">
        <f>_xll.RtGet($CC$7,$CC$8&amp;BX61&amp;$CC$9,$BZ$7)</f>
        <v>1.246208714</v>
      </c>
      <c r="CA61" s="16"/>
      <c r="CB61" s="19"/>
      <c r="CC61" s="19"/>
      <c r="CD61" s="16"/>
      <c r="CE61" s="56" t="str">
        <f>IF(AND(LEN(CL61)&gt;0,CN61&gt;0),_xll.xlShmInterpDisc(curveName,CL61)+0*TYPE($V$4),"")</f>
        <v/>
      </c>
      <c r="CF61" s="57" t="str">
        <f>IF(AND(LEN(CL61)&gt;0,CN61&gt;0),100*_xll.xlShmInterpRate(curveName,2,5,CL61)+0*TYPE($V$4),"")</f>
        <v/>
      </c>
      <c r="CG61" s="57" t="str">
        <f t="shared" si="21"/>
        <v/>
      </c>
      <c r="CH61" s="58" t="str">
        <f t="shared" si="22"/>
        <v/>
      </c>
      <c r="CI61" s="59"/>
      <c r="CJ61" s="60"/>
      <c r="CK61" s="59"/>
      <c r="CL61" s="60"/>
      <c r="CM61" s="59"/>
      <c r="CN61" s="61"/>
      <c r="CO61" s="62"/>
      <c r="CP61" s="59"/>
      <c r="CQ61" s="59"/>
      <c r="CR61" s="59"/>
      <c r="CS61" s="59"/>
      <c r="CT61" s="63"/>
      <c r="CU61" s="14"/>
      <c r="CV61" s="15"/>
      <c r="CW61" s="16"/>
      <c r="CX61" s="77" t="s">
        <v>201</v>
      </c>
      <c r="CY61" s="133"/>
      <c r="CZ61" s="16"/>
      <c r="DA61" s="142">
        <f>_xll.xlDateWorkFw(Calendar,VALUE(_xll.xlDateShiftMonth(VALUE(Settlement),LEFT(CX61,LEN(CX61)-1)*12)),0)</f>
        <v>57368</v>
      </c>
      <c r="DB61" s="16"/>
      <c r="DC61" s="216"/>
      <c r="DD61" s="16"/>
      <c r="DE61" s="21"/>
      <c r="DF61" s="216"/>
      <c r="DG61" s="16"/>
      <c r="DH61" s="21"/>
      <c r="DI61" s="16"/>
      <c r="DJ61" s="216"/>
      <c r="DK61" s="16"/>
      <c r="DL61" s="16"/>
      <c r="DM61" s="16"/>
      <c r="DN61" s="16"/>
      <c r="DO61" s="16"/>
      <c r="DP61" s="16"/>
      <c r="DQ61" s="14"/>
    </row>
    <row r="62" spans="1:121" x14ac:dyDescent="0.2">
      <c r="A62" s="229"/>
      <c r="B62" s="234" t="s">
        <v>202</v>
      </c>
      <c r="C62" s="235">
        <f>IF(E22,1,0)</f>
        <v>1</v>
      </c>
      <c r="D62" s="19"/>
      <c r="E62" s="42" t="b">
        <v>1</v>
      </c>
      <c r="F62" s="204">
        <f t="shared" si="38"/>
        <v>24</v>
      </c>
      <c r="G62" s="16"/>
      <c r="H62" s="16"/>
      <c r="I62" s="69">
        <f t="shared" si="39"/>
        <v>1.337016035</v>
      </c>
      <c r="J62" s="177"/>
      <c r="K62" s="71"/>
      <c r="L62" s="177">
        <f t="shared" si="40"/>
        <v>1.337016035</v>
      </c>
      <c r="M62" s="73">
        <f t="shared" si="45"/>
        <v>24</v>
      </c>
      <c r="N62" s="74">
        <f t="shared" si="41"/>
        <v>24</v>
      </c>
      <c r="O62" s="73">
        <f t="shared" si="46"/>
        <v>24</v>
      </c>
      <c r="P62" s="74">
        <f t="shared" si="42"/>
        <v>26</v>
      </c>
      <c r="Q62" s="16"/>
      <c r="R62" s="205">
        <f t="shared" si="43"/>
        <v>26</v>
      </c>
      <c r="S62" s="72">
        <f t="shared" si="44"/>
        <v>1.3520972690000002</v>
      </c>
      <c r="T62" s="16"/>
      <c r="U62" s="87">
        <v>57368</v>
      </c>
      <c r="V62" s="88">
        <v>0.5667296012719294</v>
      </c>
      <c r="W62" s="19"/>
      <c r="X62" s="193">
        <v>20</v>
      </c>
      <c r="Y62" s="78">
        <f>_xll.RtGet($AC$42,$AC$43&amp;$X62&amp;$AC$44,Y$42)</f>
        <v>1.2849999999999999</v>
      </c>
      <c r="Z62" s="79">
        <f>_xll.RtGet($AC$42,$AC$43&amp;$X62&amp;$AC$44,Z$42)</f>
        <v>1.2849999999999999</v>
      </c>
      <c r="AA62" s="16"/>
      <c r="AB62" s="16"/>
      <c r="AC62" s="16"/>
      <c r="AD62" s="19"/>
      <c r="AE62" s="19"/>
      <c r="AF62" s="19"/>
      <c r="AG62" s="19"/>
      <c r="AH62" s="19"/>
      <c r="AI62" s="19"/>
      <c r="AJ62" s="56" t="str">
        <f>IF(AND(LEN(AQ62)&gt;0,AS62&gt;0),_xll.xlShmInterpDisc(curveName,AQ62)+0*TYPE($V$4),"")</f>
        <v/>
      </c>
      <c r="AK62" s="57" t="str">
        <f>IF(AND(LEN(AQ62)&gt;0,AS62&gt;0),100*_xll.xlShmInterpRate(curveName,2,5,AQ62)+0*TYPE($V$4),"")</f>
        <v/>
      </c>
      <c r="AL62" s="57" t="str">
        <f t="shared" si="10"/>
        <v/>
      </c>
      <c r="AM62" s="58" t="str">
        <f t="shared" si="11"/>
        <v/>
      </c>
      <c r="AN62" s="59"/>
      <c r="AO62" s="60"/>
      <c r="AP62" s="59"/>
      <c r="AQ62" s="60"/>
      <c r="AR62" s="59"/>
      <c r="AS62" s="61"/>
      <c r="AT62" s="62"/>
      <c r="AU62" s="59"/>
      <c r="AV62" s="59"/>
      <c r="AW62" s="59"/>
      <c r="AX62" s="59"/>
      <c r="AY62" s="63"/>
      <c r="AZ62" s="64"/>
      <c r="BA62" s="15"/>
      <c r="BB62" s="19"/>
      <c r="BC62" s="19"/>
      <c r="BD62" s="19"/>
      <c r="BE62" s="83" t="b">
        <v>1</v>
      </c>
      <c r="BF62" s="193" t="str">
        <f t="shared" si="25"/>
        <v>40Y</v>
      </c>
      <c r="BG62" s="18">
        <f t="shared" si="13"/>
        <v>480</v>
      </c>
      <c r="BH62" s="74" t="s">
        <v>108</v>
      </c>
      <c r="BI62" s="69">
        <f t="shared" si="26"/>
        <v>1.2869999999999999</v>
      </c>
      <c r="BJ62" s="70"/>
      <c r="BK62" s="71"/>
      <c r="BL62" s="72">
        <f t="shared" si="15"/>
        <v>1.2869999999999999</v>
      </c>
      <c r="BM62" s="73">
        <f t="shared" si="23"/>
        <v>60</v>
      </c>
      <c r="BN62" s="74">
        <f t="shared" si="16"/>
        <v>60</v>
      </c>
      <c r="BO62" s="73">
        <f t="shared" si="24"/>
        <v>60</v>
      </c>
      <c r="BP62" s="74">
        <f t="shared" si="17"/>
        <v>60</v>
      </c>
      <c r="BQ62" s="73">
        <f t="shared" si="18"/>
        <v>480</v>
      </c>
      <c r="BR62" s="18" t="str">
        <f t="shared" si="19"/>
        <v>e</v>
      </c>
      <c r="BS62" s="72">
        <f t="shared" si="20"/>
        <v>1.2869999999999999</v>
      </c>
      <c r="BT62" s="16"/>
      <c r="BU62" s="92" t="str">
        <v>-</v>
      </c>
      <c r="BV62" s="88" t="str">
        <v>-</v>
      </c>
      <c r="BW62" s="19"/>
      <c r="BX62" s="192" t="s">
        <v>200</v>
      </c>
      <c r="BY62" s="78">
        <f>_xll.RtGet($CC$7,$CC$8&amp;BX62&amp;$CC$9,$BY$7)</f>
        <v>1.2530000000000001</v>
      </c>
      <c r="BZ62" s="79">
        <f>_xll.RtGet($CC$7,$CC$8&amp;BX62&amp;$CC$9,$BZ$7)</f>
        <v>1.2530000000000001</v>
      </c>
      <c r="CA62" s="16"/>
      <c r="CB62" s="19"/>
      <c r="CC62" s="19"/>
      <c r="CD62" s="16"/>
      <c r="CE62" s="56" t="str">
        <f>IF(AND(LEN(CL62)&gt;0,CN62&gt;0),_xll.xlShmInterpDisc(curveName,CL62)+0*TYPE($V$4),"")</f>
        <v/>
      </c>
      <c r="CF62" s="57" t="str">
        <f>IF(AND(LEN(CL62)&gt;0,CN62&gt;0),100*_xll.xlShmInterpRate(curveName,2,5,CL62)+0*TYPE($V$4),"")</f>
        <v/>
      </c>
      <c r="CG62" s="57" t="str">
        <f t="shared" si="21"/>
        <v/>
      </c>
      <c r="CH62" s="58" t="str">
        <f t="shared" si="22"/>
        <v/>
      </c>
      <c r="CI62" s="59"/>
      <c r="CJ62" s="60"/>
      <c r="CK62" s="59"/>
      <c r="CL62" s="60"/>
      <c r="CM62" s="59"/>
      <c r="CN62" s="61"/>
      <c r="CO62" s="62"/>
      <c r="CP62" s="59"/>
      <c r="CQ62" s="59"/>
      <c r="CR62" s="59"/>
      <c r="CS62" s="59"/>
      <c r="CT62" s="63"/>
      <c r="CU62" s="14"/>
      <c r="CV62" s="15"/>
      <c r="CW62" s="16"/>
      <c r="CX62" s="93" t="s">
        <v>203</v>
      </c>
      <c r="CY62" s="207"/>
      <c r="CZ62" s="198"/>
      <c r="DA62" s="199">
        <f>_xll.xlDateWorkFw(Calendar,VALUE(_xll.xlDateShiftMonth(VALUE(Settlement),LEFT(CX62,LEN(CX62)-1)*12)),0)</f>
        <v>61021</v>
      </c>
      <c r="DB62" s="198"/>
      <c r="DC62" s="236"/>
      <c r="DD62" s="16"/>
      <c r="DE62" s="210"/>
      <c r="DF62" s="236"/>
      <c r="DG62" s="16"/>
      <c r="DH62" s="210"/>
      <c r="DI62" s="198"/>
      <c r="DJ62" s="236"/>
      <c r="DK62" s="16"/>
      <c r="DL62" s="16"/>
      <c r="DM62" s="16"/>
      <c r="DN62" s="16"/>
      <c r="DO62" s="16"/>
      <c r="DP62" s="16"/>
      <c r="DQ62" s="14"/>
    </row>
    <row r="63" spans="1:121" x14ac:dyDescent="0.2">
      <c r="A63" s="229"/>
      <c r="B63" s="234" t="str">
        <f>IF(E22,"FutBlockStubRate","")</f>
        <v>FutBlockStubRate</v>
      </c>
      <c r="C63" s="237">
        <f>IF(E22,stubRate,0)</f>
        <v>-0.16454545500000001</v>
      </c>
      <c r="D63" s="19"/>
      <c r="E63" s="42" t="b">
        <v>1</v>
      </c>
      <c r="F63" s="204">
        <f t="shared" si="38"/>
        <v>25</v>
      </c>
      <c r="G63" s="16"/>
      <c r="H63" s="16"/>
      <c r="I63" s="69">
        <f t="shared" si="39"/>
        <v>1.345</v>
      </c>
      <c r="J63" s="177"/>
      <c r="K63" s="71"/>
      <c r="L63" s="177">
        <f t="shared" si="40"/>
        <v>1.345</v>
      </c>
      <c r="M63" s="73">
        <f t="shared" si="45"/>
        <v>25</v>
      </c>
      <c r="N63" s="74">
        <f t="shared" si="41"/>
        <v>25</v>
      </c>
      <c r="O63" s="73">
        <f t="shared" si="46"/>
        <v>25</v>
      </c>
      <c r="P63" s="74">
        <f t="shared" si="42"/>
        <v>27</v>
      </c>
      <c r="Q63" s="16"/>
      <c r="R63" s="205">
        <f t="shared" si="43"/>
        <v>27</v>
      </c>
      <c r="S63" s="72">
        <f t="shared" si="44"/>
        <v>1.3584502860000001</v>
      </c>
      <c r="T63" s="16"/>
      <c r="U63" s="87">
        <v>61021</v>
      </c>
      <c r="V63" s="88">
        <v>0.50598795406189945</v>
      </c>
      <c r="W63" s="19"/>
      <c r="X63" s="193">
        <v>21</v>
      </c>
      <c r="Y63" s="78">
        <f>_xll.RtGet($AC$42,$AC$43&amp;$X63&amp;$AC$44,Y$42)</f>
        <v>1.302264222</v>
      </c>
      <c r="Z63" s="79">
        <f>_xll.RtGet($AC$42,$AC$43&amp;$X63&amp;$AC$44,Z$42)</f>
        <v>1.302264222</v>
      </c>
      <c r="AA63" s="16"/>
      <c r="AB63" s="16"/>
      <c r="AC63" s="16"/>
      <c r="AD63" s="19"/>
      <c r="AE63" s="19"/>
      <c r="AF63" s="19"/>
      <c r="AG63" s="19"/>
      <c r="AH63" s="19"/>
      <c r="AI63" s="19"/>
      <c r="AJ63" s="56" t="str">
        <f>IF(AND(LEN(AQ63)&gt;0,AS63&gt;0),_xll.xlShmInterpDisc(curveName,AQ63)+0*TYPE($V$4),"")</f>
        <v/>
      </c>
      <c r="AK63" s="57" t="str">
        <f>IF(AND(LEN(AQ63)&gt;0,AS63&gt;0),100*_xll.xlShmInterpRate(curveName,2,5,AQ63)+0*TYPE($V$4),"")</f>
        <v/>
      </c>
      <c r="AL63" s="57" t="str">
        <f t="shared" si="10"/>
        <v/>
      </c>
      <c r="AM63" s="58" t="str">
        <f t="shared" si="11"/>
        <v/>
      </c>
      <c r="AN63" s="59"/>
      <c r="AO63" s="60"/>
      <c r="AP63" s="59"/>
      <c r="AQ63" s="60"/>
      <c r="AR63" s="59"/>
      <c r="AS63" s="61"/>
      <c r="AT63" s="62"/>
      <c r="AU63" s="59"/>
      <c r="AV63" s="59"/>
      <c r="AW63" s="59"/>
      <c r="AX63" s="59"/>
      <c r="AY63" s="63"/>
      <c r="AZ63" s="64"/>
      <c r="BA63" s="15"/>
      <c r="BB63" s="19"/>
      <c r="BC63" s="19"/>
      <c r="BD63" s="19"/>
      <c r="BE63" s="83" t="b">
        <v>1</v>
      </c>
      <c r="BF63" s="193" t="str">
        <f t="shared" si="25"/>
        <v>50Y</v>
      </c>
      <c r="BG63" s="18">
        <f t="shared" si="13"/>
        <v>600</v>
      </c>
      <c r="BH63" s="74" t="s">
        <v>108</v>
      </c>
      <c r="BI63" s="69">
        <f t="shared" si="26"/>
        <v>1.2630000000000001</v>
      </c>
      <c r="BJ63" s="70"/>
      <c r="BK63" s="71"/>
      <c r="BL63" s="72">
        <f t="shared" si="15"/>
        <v>1.2630000000000001</v>
      </c>
      <c r="BM63" s="73">
        <f t="shared" si="23"/>
        <v>61</v>
      </c>
      <c r="BN63" s="74">
        <f t="shared" si="16"/>
        <v>61</v>
      </c>
      <c r="BO63" s="73">
        <f t="shared" si="24"/>
        <v>61</v>
      </c>
      <c r="BP63" s="74">
        <f t="shared" si="17"/>
        <v>61</v>
      </c>
      <c r="BQ63" s="73">
        <f t="shared" si="18"/>
        <v>600</v>
      </c>
      <c r="BR63" s="18" t="str">
        <f t="shared" si="19"/>
        <v>e</v>
      </c>
      <c r="BS63" s="72">
        <f t="shared" si="20"/>
        <v>1.2630000000000001</v>
      </c>
      <c r="BT63" s="16"/>
      <c r="BU63" s="92" t="str">
        <v>-</v>
      </c>
      <c r="BV63" s="88" t="str">
        <v>-</v>
      </c>
      <c r="BW63" s="19"/>
      <c r="BX63" s="192" t="s">
        <v>204</v>
      </c>
      <c r="BY63" s="78">
        <f>_xll.RtGet($CC$7,$CC$8&amp;BX63&amp;$CC$9,$BY$7)</f>
        <v>1.2782867360000001</v>
      </c>
      <c r="BZ63" s="79">
        <f>_xll.RtGet($CC$7,$CC$8&amp;BX63&amp;$CC$9,$BZ$7)</f>
        <v>1.2782867360000001</v>
      </c>
      <c r="CA63" s="16"/>
      <c r="CB63" s="19"/>
      <c r="CC63" s="19"/>
      <c r="CD63" s="16"/>
      <c r="CE63" s="56" t="str">
        <f>IF(AND(LEN(CL63)&gt;0,CN63&gt;0),_xll.xlShmInterpDisc(curveName,CL63)+0*TYPE($V$4),"")</f>
        <v/>
      </c>
      <c r="CF63" s="57" t="str">
        <f>IF(AND(LEN(CL63)&gt;0,CN63&gt;0),100*_xll.xlShmInterpRate(curveName,2,5,CL63)+0*TYPE($V$4),"")</f>
        <v/>
      </c>
      <c r="CG63" s="57" t="str">
        <f t="shared" si="21"/>
        <v/>
      </c>
      <c r="CH63" s="58" t="str">
        <f t="shared" si="22"/>
        <v/>
      </c>
      <c r="CI63" s="59"/>
      <c r="CJ63" s="60"/>
      <c r="CK63" s="59"/>
      <c r="CL63" s="60"/>
      <c r="CM63" s="59"/>
      <c r="CN63" s="61"/>
      <c r="CO63" s="62"/>
      <c r="CP63" s="59"/>
      <c r="CQ63" s="59"/>
      <c r="CR63" s="59"/>
      <c r="CS63" s="59"/>
      <c r="CT63" s="63"/>
      <c r="CU63" s="14"/>
      <c r="CV63" s="15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4"/>
    </row>
    <row r="64" spans="1:121" x14ac:dyDescent="0.2">
      <c r="A64" s="229"/>
      <c r="B64" s="234" t="str">
        <f>"BlockOrder"&amp;IF(ISBLANK(C39),"","#"&amp;C39)</f>
        <v>BlockOrder#2314</v>
      </c>
      <c r="C64" s="235">
        <f>C39</f>
        <v>2314</v>
      </c>
      <c r="D64" s="19"/>
      <c r="E64" s="42" t="b">
        <v>1</v>
      </c>
      <c r="F64" s="204">
        <f t="shared" si="38"/>
        <v>26</v>
      </c>
      <c r="G64" s="16"/>
      <c r="H64" s="16"/>
      <c r="I64" s="69">
        <f t="shared" si="39"/>
        <v>1.3520972690000002</v>
      </c>
      <c r="J64" s="177"/>
      <c r="K64" s="71"/>
      <c r="L64" s="177">
        <f t="shared" si="40"/>
        <v>1.3520972690000002</v>
      </c>
      <c r="M64" s="73">
        <f t="shared" si="45"/>
        <v>26</v>
      </c>
      <c r="N64" s="74">
        <f t="shared" si="41"/>
        <v>26</v>
      </c>
      <c r="O64" s="73">
        <f t="shared" si="46"/>
        <v>26</v>
      </c>
      <c r="P64" s="74">
        <f t="shared" si="42"/>
        <v>28</v>
      </c>
      <c r="Q64" s="16"/>
      <c r="R64" s="205">
        <f t="shared" si="43"/>
        <v>28</v>
      </c>
      <c r="S64" s="72">
        <f t="shared" si="44"/>
        <v>1.3641031480000001</v>
      </c>
      <c r="T64" s="16"/>
      <c r="U64" s="87">
        <v>64675</v>
      </c>
      <c r="V64" s="88">
        <v>0.45586452731110022</v>
      </c>
      <c r="W64" s="19"/>
      <c r="X64" s="193">
        <v>22</v>
      </c>
      <c r="Y64" s="78">
        <f>_xll.RtGet($AC$42,$AC$43&amp;$X64&amp;$AC$44,Y$42)</f>
        <v>1.3161692010000001</v>
      </c>
      <c r="Z64" s="79">
        <f>_xll.RtGet($AC$42,$AC$43&amp;$X64&amp;$AC$44,Z$42)</f>
        <v>1.3161692010000001</v>
      </c>
      <c r="AA64" s="16"/>
      <c r="AB64" s="16"/>
      <c r="AC64" s="16"/>
      <c r="AD64" s="19"/>
      <c r="AE64" s="19"/>
      <c r="AF64" s="19"/>
      <c r="AG64" s="19"/>
      <c r="AH64" s="19"/>
      <c r="AI64" s="19"/>
      <c r="AJ64" s="56" t="str">
        <f>IF(AND(LEN(AQ64)&gt;0,AS64&gt;0),_xll.xlShmInterpDisc(curveName,AQ64)+0*TYPE($V$4),"")</f>
        <v/>
      </c>
      <c r="AK64" s="57" t="str">
        <f>IF(AND(LEN(AQ64)&gt;0,AS64&gt;0),100*_xll.xlShmInterpRate(curveName,2,5,AQ64)+0*TYPE($V$4),"")</f>
        <v/>
      </c>
      <c r="AL64" s="57" t="str">
        <f t="shared" si="10"/>
        <v/>
      </c>
      <c r="AM64" s="58" t="str">
        <f t="shared" si="11"/>
        <v/>
      </c>
      <c r="AN64" s="59"/>
      <c r="AO64" s="60"/>
      <c r="AP64" s="59"/>
      <c r="AQ64" s="60"/>
      <c r="AR64" s="59"/>
      <c r="AS64" s="61"/>
      <c r="AT64" s="62"/>
      <c r="AU64" s="59"/>
      <c r="AV64" s="59"/>
      <c r="AW64" s="59"/>
      <c r="AX64" s="59"/>
      <c r="AY64" s="63"/>
      <c r="AZ64" s="64"/>
      <c r="BA64" s="15"/>
      <c r="BB64" s="19"/>
      <c r="BC64" s="19"/>
      <c r="BD64" s="19"/>
      <c r="BE64" s="147" t="b">
        <v>1</v>
      </c>
      <c r="BF64" s="238" t="str">
        <f t="shared" si="25"/>
        <v>60Y</v>
      </c>
      <c r="BG64" s="106">
        <f t="shared" si="13"/>
        <v>720</v>
      </c>
      <c r="BH64" s="106" t="s">
        <v>108</v>
      </c>
      <c r="BI64" s="107">
        <f t="shared" si="26"/>
        <v>1.238</v>
      </c>
      <c r="BJ64" s="108"/>
      <c r="BK64" s="109"/>
      <c r="BL64" s="110">
        <f t="shared" si="15"/>
        <v>1.238</v>
      </c>
      <c r="BM64" s="149">
        <f t="shared" si="23"/>
        <v>62</v>
      </c>
      <c r="BN64" s="150">
        <f t="shared" si="16"/>
        <v>62</v>
      </c>
      <c r="BO64" s="149">
        <f t="shared" si="24"/>
        <v>62</v>
      </c>
      <c r="BP64" s="150">
        <f t="shared" si="17"/>
        <v>62</v>
      </c>
      <c r="BQ64" s="149">
        <f t="shared" si="18"/>
        <v>720</v>
      </c>
      <c r="BR64" s="106" t="str">
        <f t="shared" si="19"/>
        <v>e</v>
      </c>
      <c r="BS64" s="110">
        <f t="shared" si="20"/>
        <v>1.238</v>
      </c>
      <c r="BT64" s="16"/>
      <c r="BU64" s="92" t="str">
        <v>-</v>
      </c>
      <c r="BV64" s="88" t="str">
        <v>-</v>
      </c>
      <c r="BW64" s="19"/>
      <c r="BX64" s="192" t="s">
        <v>201</v>
      </c>
      <c r="BY64" s="78">
        <f>_xll.RtGet($CC$7,$CC$8&amp;BX64&amp;$CC$9,$BY$7)</f>
        <v>1.2869999999999999</v>
      </c>
      <c r="BZ64" s="79">
        <f>_xll.RtGet($CC$7,$CC$8&amp;BX64&amp;$CC$9,$BZ$7)</f>
        <v>1.2869999999999999</v>
      </c>
      <c r="CA64" s="16"/>
      <c r="CB64" s="19"/>
      <c r="CC64" s="19"/>
      <c r="CD64" s="16"/>
      <c r="CE64" s="56" t="str">
        <f>IF(AND(LEN(CL64)&gt;0,CN64&gt;0),_xll.xlShmInterpDisc(curveName,CL64)+0*TYPE($V$4),"")</f>
        <v/>
      </c>
      <c r="CF64" s="57" t="str">
        <f>IF(AND(LEN(CL64)&gt;0,CN64&gt;0),100*_xll.xlShmInterpRate(curveName,2,5,CL64)+0*TYPE($V$4),"")</f>
        <v/>
      </c>
      <c r="CG64" s="57" t="str">
        <f t="shared" si="21"/>
        <v/>
      </c>
      <c r="CH64" s="58" t="str">
        <f t="shared" si="22"/>
        <v/>
      </c>
      <c r="CI64" s="59"/>
      <c r="CJ64" s="60"/>
      <c r="CK64" s="59"/>
      <c r="CL64" s="60"/>
      <c r="CM64" s="59"/>
      <c r="CN64" s="61"/>
      <c r="CO64" s="62"/>
      <c r="CP64" s="59"/>
      <c r="CQ64" s="59"/>
      <c r="CR64" s="59"/>
      <c r="CS64" s="59"/>
      <c r="CT64" s="63"/>
      <c r="CU64" s="14"/>
      <c r="CV64" s="15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4"/>
    </row>
    <row r="65" spans="1:121" x14ac:dyDescent="0.2">
      <c r="A65" s="229"/>
      <c r="B65" s="80" t="s">
        <v>205</v>
      </c>
      <c r="C65" s="239">
        <f>IF(E22,1,0)</f>
        <v>1</v>
      </c>
      <c r="D65" s="19"/>
      <c r="E65" s="42" t="b">
        <v>1</v>
      </c>
      <c r="F65" s="204">
        <f t="shared" si="38"/>
        <v>27</v>
      </c>
      <c r="G65" s="16"/>
      <c r="H65" s="16"/>
      <c r="I65" s="69">
        <f t="shared" si="39"/>
        <v>1.3584502860000001</v>
      </c>
      <c r="J65" s="177"/>
      <c r="K65" s="71"/>
      <c r="L65" s="177">
        <f t="shared" si="40"/>
        <v>1.3584502860000001</v>
      </c>
      <c r="M65" s="73">
        <f t="shared" si="45"/>
        <v>27</v>
      </c>
      <c r="N65" s="74">
        <f t="shared" si="41"/>
        <v>27</v>
      </c>
      <c r="O65" s="73">
        <f t="shared" si="46"/>
        <v>27</v>
      </c>
      <c r="P65" s="74">
        <f t="shared" si="42"/>
        <v>29</v>
      </c>
      <c r="Q65" s="16"/>
      <c r="R65" s="205">
        <f t="shared" si="43"/>
        <v>29</v>
      </c>
      <c r="S65" s="72">
        <f t="shared" si="44"/>
        <v>1.368916539</v>
      </c>
      <c r="T65" s="16"/>
      <c r="U65" s="87" t="e">
        <v>#N/A</v>
      </c>
      <c r="V65" s="88" t="e">
        <v>#N/A</v>
      </c>
      <c r="W65" s="19"/>
      <c r="X65" s="193">
        <v>23</v>
      </c>
      <c r="Y65" s="78">
        <f>_xll.RtGet($AC$42,$AC$43&amp;$X65&amp;$AC$44,Y$42)</f>
        <v>1.32749245</v>
      </c>
      <c r="Z65" s="79">
        <f>_xll.RtGet($AC$42,$AC$43&amp;$X65&amp;$AC$44,Z$42)</f>
        <v>1.32749245</v>
      </c>
      <c r="AA65" s="16"/>
      <c r="AB65" s="16"/>
      <c r="AC65" s="16"/>
      <c r="AD65" s="19"/>
      <c r="AE65" s="19"/>
      <c r="AF65" s="19"/>
      <c r="AG65" s="19"/>
      <c r="AH65" s="19"/>
      <c r="AI65" s="19"/>
      <c r="AJ65" s="56" t="str">
        <f>IF(AND(LEN(AQ65)&gt;0,AS65&gt;0),_xll.xlShmInterpDisc(curveName,AQ65)+0*TYPE($V$4),"")</f>
        <v/>
      </c>
      <c r="AK65" s="57" t="str">
        <f>IF(AND(LEN(AQ65)&gt;0,AS65&gt;0),100*_xll.xlShmInterpRate(curveName,2,5,AQ65)+0*TYPE($V$4),"")</f>
        <v/>
      </c>
      <c r="AL65" s="57" t="str">
        <f t="shared" si="10"/>
        <v/>
      </c>
      <c r="AM65" s="58" t="str">
        <f t="shared" si="11"/>
        <v/>
      </c>
      <c r="AN65" s="59"/>
      <c r="AO65" s="60"/>
      <c r="AP65" s="59"/>
      <c r="AQ65" s="60"/>
      <c r="AR65" s="59"/>
      <c r="AS65" s="59"/>
      <c r="AT65" s="59"/>
      <c r="AU65" s="59"/>
      <c r="AV65" s="59"/>
      <c r="AW65" s="59"/>
      <c r="AX65" s="59"/>
      <c r="AY65" s="63"/>
      <c r="AZ65" s="64"/>
      <c r="BA65" s="15"/>
      <c r="BB65" s="19"/>
      <c r="BC65" s="19"/>
      <c r="BD65" s="19"/>
      <c r="BE65" s="16"/>
      <c r="BF65" s="16"/>
      <c r="BG65" s="18"/>
      <c r="BH65" s="18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92" t="str">
        <v>-</v>
      </c>
      <c r="BV65" s="88" t="str">
        <v>-</v>
      </c>
      <c r="BW65" s="19"/>
      <c r="BX65" s="192" t="s">
        <v>203</v>
      </c>
      <c r="BY65" s="78">
        <f>_xll.RtGet($CC$7,$CC$8&amp;BX65&amp;$CC$9,$BY$7)</f>
        <v>1.2630000000000001</v>
      </c>
      <c r="BZ65" s="79">
        <f>_xll.RtGet($CC$7,$CC$8&amp;BX65&amp;$CC$9,$BZ$7)</f>
        <v>1.2630000000000001</v>
      </c>
      <c r="CA65" s="16"/>
      <c r="CB65" s="19"/>
      <c r="CC65" s="19"/>
      <c r="CD65" s="16"/>
      <c r="CE65" s="56" t="str">
        <f>IF(AND(LEN(CL65)&gt;0,CN65&gt;0),_xll.xlShmInterpDisc(curveName,CL65)+0*TYPE($V$4),"")</f>
        <v/>
      </c>
      <c r="CF65" s="57" t="str">
        <f>IF(AND(LEN(CL65)&gt;0,CN65&gt;0),100*_xll.xlShmInterpRate(curveName,2,5,CL65)+0*TYPE($V$4),"")</f>
        <v/>
      </c>
      <c r="CG65" s="57" t="str">
        <f t="shared" si="21"/>
        <v/>
      </c>
      <c r="CH65" s="58" t="str">
        <f t="shared" si="22"/>
        <v/>
      </c>
      <c r="CI65" s="59"/>
      <c r="CJ65" s="60"/>
      <c r="CK65" s="59"/>
      <c r="CL65" s="60"/>
      <c r="CM65" s="59"/>
      <c r="CN65" s="59"/>
      <c r="CO65" s="59"/>
      <c r="CP65" s="59"/>
      <c r="CQ65" s="59"/>
      <c r="CR65" s="59"/>
      <c r="CS65" s="59"/>
      <c r="CT65" s="63"/>
      <c r="CU65" s="14"/>
      <c r="CV65" s="15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4"/>
    </row>
    <row r="66" spans="1:121" x14ac:dyDescent="0.2">
      <c r="A66" s="229"/>
      <c r="B66" s="234" t="str">
        <f>IF(ISBLANK(C45),"","FraFutTenor")</f>
        <v>FraFutTenor</v>
      </c>
      <c r="C66" s="235">
        <f>C45</f>
        <v>3</v>
      </c>
      <c r="D66" s="19"/>
      <c r="E66" s="42" t="b">
        <v>1</v>
      </c>
      <c r="F66" s="204">
        <f t="shared" si="38"/>
        <v>28</v>
      </c>
      <c r="G66" s="16"/>
      <c r="H66" s="16"/>
      <c r="I66" s="69">
        <f t="shared" si="39"/>
        <v>1.3641031480000001</v>
      </c>
      <c r="J66" s="177"/>
      <c r="K66" s="71"/>
      <c r="L66" s="177">
        <f t="shared" si="40"/>
        <v>1.3641031480000001</v>
      </c>
      <c r="M66" s="73">
        <f t="shared" si="45"/>
        <v>28</v>
      </c>
      <c r="N66" s="74">
        <f t="shared" si="41"/>
        <v>28</v>
      </c>
      <c r="O66" s="73">
        <f t="shared" si="46"/>
        <v>28</v>
      </c>
      <c r="P66" s="74">
        <f t="shared" si="42"/>
        <v>30</v>
      </c>
      <c r="Q66" s="16"/>
      <c r="R66" s="205">
        <f t="shared" si="43"/>
        <v>30</v>
      </c>
      <c r="S66" s="72">
        <f t="shared" si="44"/>
        <v>1.373</v>
      </c>
      <c r="T66" s="16"/>
      <c r="U66" s="87" t="e">
        <v>#N/A</v>
      </c>
      <c r="V66" s="88" t="e">
        <v>#N/A</v>
      </c>
      <c r="W66" s="19"/>
      <c r="X66" s="193">
        <v>24</v>
      </c>
      <c r="Y66" s="78">
        <f>_xll.RtGet($AC$42,$AC$43&amp;$X66&amp;$AC$44,Y$42)</f>
        <v>1.337016035</v>
      </c>
      <c r="Z66" s="79">
        <f>_xll.RtGet($AC$42,$AC$43&amp;$X66&amp;$AC$44,Z$42)</f>
        <v>1.337016035</v>
      </c>
      <c r="AA66" s="16"/>
      <c r="AB66" s="16"/>
      <c r="AC66" s="16"/>
      <c r="AD66" s="19"/>
      <c r="AE66" s="19"/>
      <c r="AF66" s="19"/>
      <c r="AG66" s="19"/>
      <c r="AH66" s="19"/>
      <c r="AI66" s="19"/>
      <c r="AJ66" s="56" t="str">
        <f>IF(AND(LEN(AQ66)&gt;0,AS66&gt;0),_xll.xlShmInterpDisc(curveName,AQ66)+0*TYPE($V$4),"")</f>
        <v/>
      </c>
      <c r="AK66" s="57" t="str">
        <f>IF(AND(LEN(AQ66)&gt;0,AS66&gt;0),100*_xll.xlShmInterpRate(curveName,2,5,AQ66)+0*TYPE($V$4),"")</f>
        <v/>
      </c>
      <c r="AL66" s="57" t="str">
        <f t="shared" si="10"/>
        <v/>
      </c>
      <c r="AM66" s="58" t="str">
        <f t="shared" si="11"/>
        <v/>
      </c>
      <c r="AN66" s="59"/>
      <c r="AO66" s="60"/>
      <c r="AP66" s="59"/>
      <c r="AQ66" s="60"/>
      <c r="AR66" s="59"/>
      <c r="AS66" s="59"/>
      <c r="AT66" s="59"/>
      <c r="AU66" s="59"/>
      <c r="AV66" s="59"/>
      <c r="AW66" s="59"/>
      <c r="AX66" s="59"/>
      <c r="AY66" s="63"/>
      <c r="AZ66" s="64"/>
      <c r="BA66" s="15"/>
      <c r="BB66" s="19"/>
      <c r="BC66" s="19"/>
      <c r="BD66" s="19"/>
      <c r="BE66" s="16"/>
      <c r="BF66" s="16"/>
      <c r="BG66" s="18"/>
      <c r="BH66" s="18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92" t="str">
        <v>-</v>
      </c>
      <c r="BV66" s="88" t="str">
        <v>-</v>
      </c>
      <c r="BW66" s="19"/>
      <c r="BX66" s="240" t="s">
        <v>206</v>
      </c>
      <c r="BY66" s="94">
        <f>_xll.RtGet($CC$7,$CC$8&amp;BX66&amp;$CC$9,$BY$7)</f>
        <v>1.238</v>
      </c>
      <c r="BZ66" s="95">
        <f>_xll.RtGet($CC$7,$CC$8&amp;BX66&amp;$CC$9,$BZ$7)</f>
        <v>1.238</v>
      </c>
      <c r="CA66" s="16"/>
      <c r="CB66" s="19"/>
      <c r="CC66" s="19"/>
      <c r="CD66" s="16"/>
      <c r="CE66" s="56" t="str">
        <f>IF(AND(LEN(CL66)&gt;0,CN66&gt;0),_xll.xlShmInterpDisc(curveName,CL66)+0*TYPE($V$4),"")</f>
        <v/>
      </c>
      <c r="CF66" s="57" t="str">
        <f>IF(AND(LEN(CL66)&gt;0,CN66&gt;0),100*_xll.xlShmInterpRate(curveName,2,5,CL66)+0*TYPE($V$4),"")</f>
        <v/>
      </c>
      <c r="CG66" s="57" t="str">
        <f t="shared" si="21"/>
        <v/>
      </c>
      <c r="CH66" s="58" t="str">
        <f t="shared" si="22"/>
        <v/>
      </c>
      <c r="CI66" s="59"/>
      <c r="CJ66" s="60"/>
      <c r="CK66" s="59"/>
      <c r="CL66" s="60"/>
      <c r="CM66" s="59"/>
      <c r="CN66" s="59"/>
      <c r="CO66" s="59"/>
      <c r="CP66" s="59"/>
      <c r="CQ66" s="59"/>
      <c r="CR66" s="59"/>
      <c r="CS66" s="59"/>
      <c r="CT66" s="63"/>
      <c r="CU66" s="14"/>
      <c r="CV66" s="15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4"/>
    </row>
    <row r="67" spans="1:121" x14ac:dyDescent="0.2">
      <c r="A67" s="229"/>
      <c r="B67" s="234" t="str">
        <f>IF(ISBLANK(C46),"","FraFutAdjType")</f>
        <v>FraFutAdjType</v>
      </c>
      <c r="C67" s="235">
        <f>VLOOKUP(C46,AE15:AF18,2)</f>
        <v>3</v>
      </c>
      <c r="D67" s="19"/>
      <c r="E67" s="42" t="b">
        <v>1</v>
      </c>
      <c r="F67" s="204">
        <f t="shared" si="38"/>
        <v>29</v>
      </c>
      <c r="G67" s="16"/>
      <c r="H67" s="16"/>
      <c r="I67" s="69">
        <f t="shared" si="39"/>
        <v>1.368916539</v>
      </c>
      <c r="J67" s="177"/>
      <c r="K67" s="71"/>
      <c r="L67" s="177">
        <f t="shared" si="40"/>
        <v>1.368916539</v>
      </c>
      <c r="M67" s="73">
        <f t="shared" si="45"/>
        <v>29</v>
      </c>
      <c r="N67" s="74">
        <f t="shared" si="41"/>
        <v>29</v>
      </c>
      <c r="O67" s="73">
        <f t="shared" si="46"/>
        <v>29</v>
      </c>
      <c r="P67" s="74">
        <f t="shared" si="42"/>
        <v>31</v>
      </c>
      <c r="Q67" s="16"/>
      <c r="R67" s="205">
        <f t="shared" si="43"/>
        <v>31</v>
      </c>
      <c r="S67" s="72">
        <f t="shared" si="44"/>
        <v>1.3763832630000001</v>
      </c>
      <c r="T67" s="16"/>
      <c r="U67" s="87" t="e">
        <v>#N/A</v>
      </c>
      <c r="V67" s="88" t="e">
        <v>#N/A</v>
      </c>
      <c r="W67" s="19"/>
      <c r="X67" s="193">
        <v>25</v>
      </c>
      <c r="Y67" s="78">
        <f>_xll.RtGet($AC$42,$AC$43&amp;$X67&amp;$AC$44,Y$42)</f>
        <v>1.345</v>
      </c>
      <c r="Z67" s="79">
        <f>_xll.RtGet($AC$42,$AC$43&amp;$X67&amp;$AC$44,Z$42)</f>
        <v>1.345</v>
      </c>
      <c r="AA67" s="16"/>
      <c r="AB67" s="16"/>
      <c r="AC67" s="16"/>
      <c r="AD67" s="19"/>
      <c r="AE67" s="19"/>
      <c r="AF67" s="19"/>
      <c r="AG67" s="19"/>
      <c r="AH67" s="19"/>
      <c r="AI67" s="19"/>
      <c r="AJ67" s="56" t="str">
        <f>IF(AND(LEN(AQ67)&gt;0,AS67&gt;0),_xll.xlShmInterpDisc(curveName,AQ67)+0*TYPE($V$4),"")</f>
        <v/>
      </c>
      <c r="AK67" s="57" t="str">
        <f>IF(AND(LEN(AQ67)&gt;0,AS67&gt;0),100*_xll.xlShmInterpRate(curveName,2,5,AQ67)+0*TYPE($V$4),"")</f>
        <v/>
      </c>
      <c r="AL67" s="57" t="str">
        <f t="shared" si="10"/>
        <v/>
      </c>
      <c r="AM67" s="58" t="str">
        <f t="shared" si="11"/>
        <v/>
      </c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63"/>
      <c r="AZ67" s="14"/>
      <c r="BA67" s="15"/>
      <c r="BB67" s="19"/>
      <c r="BC67" s="19"/>
      <c r="BD67" s="19"/>
      <c r="BE67" s="16"/>
      <c r="BF67" s="16"/>
      <c r="BG67" s="18"/>
      <c r="BH67" s="18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92" t="str">
        <v>-</v>
      </c>
      <c r="BV67" s="88" t="str">
        <v>-</v>
      </c>
      <c r="BW67" s="19"/>
      <c r="BX67" s="16"/>
      <c r="BY67" s="16"/>
      <c r="BZ67" s="16"/>
      <c r="CA67" s="16"/>
      <c r="CB67" s="19"/>
      <c r="CC67" s="19"/>
      <c r="CD67" s="16"/>
      <c r="CE67" s="56" t="str">
        <f>IF(AND(LEN(CL67)&gt;0,CN67&gt;0),_xll.xlShmInterpDisc(curveName,CL67)+0*TYPE($V$4),"")</f>
        <v/>
      </c>
      <c r="CF67" s="57" t="str">
        <f>IF(AND(LEN(CL67)&gt;0,CN67&gt;0),100*_xll.xlShmInterpRate(curveName,2,5,CL67)+0*TYPE($V$4),"")</f>
        <v/>
      </c>
      <c r="CG67" s="57" t="str">
        <f t="shared" si="21"/>
        <v/>
      </c>
      <c r="CH67" s="58" t="str">
        <f t="shared" si="22"/>
        <v/>
      </c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63"/>
      <c r="CU67" s="14"/>
      <c r="CV67" s="15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4"/>
    </row>
    <row r="68" spans="1:121" x14ac:dyDescent="0.2">
      <c r="A68" s="229"/>
      <c r="B68" s="234" t="str">
        <f>IF(ISBLANK(C50),"","SwapFltFreq")</f>
        <v>SwapFltFreq</v>
      </c>
      <c r="C68" s="235">
        <v>2</v>
      </c>
      <c r="D68" s="19"/>
      <c r="E68" s="42" t="b">
        <v>1</v>
      </c>
      <c r="F68" s="204">
        <f t="shared" si="38"/>
        <v>30</v>
      </c>
      <c r="G68" s="16"/>
      <c r="H68" s="16"/>
      <c r="I68" s="69">
        <f t="shared" si="39"/>
        <v>1.373</v>
      </c>
      <c r="J68" s="177"/>
      <c r="K68" s="71"/>
      <c r="L68" s="177">
        <f t="shared" si="40"/>
        <v>1.373</v>
      </c>
      <c r="M68" s="73">
        <f t="shared" si="45"/>
        <v>30</v>
      </c>
      <c r="N68" s="74">
        <f t="shared" si="41"/>
        <v>30</v>
      </c>
      <c r="O68" s="73">
        <f t="shared" si="46"/>
        <v>30</v>
      </c>
      <c r="P68" s="74">
        <f t="shared" si="42"/>
        <v>32</v>
      </c>
      <c r="Q68" s="16"/>
      <c r="R68" s="205">
        <f t="shared" si="43"/>
        <v>32</v>
      </c>
      <c r="S68" s="72">
        <f t="shared" si="44"/>
        <v>1.3792710380000002</v>
      </c>
      <c r="T68" s="16"/>
      <c r="U68" s="87" t="e">
        <v>#N/A</v>
      </c>
      <c r="V68" s="88" t="e">
        <v>#N/A</v>
      </c>
      <c r="W68" s="19"/>
      <c r="X68" s="193">
        <v>26</v>
      </c>
      <c r="Y68" s="78">
        <f>_xll.RtGet($AC$42,$AC$43&amp;$X68&amp;$AC$44,Y$42)</f>
        <v>1.3520972690000002</v>
      </c>
      <c r="Z68" s="79">
        <f>_xll.RtGet($AC$42,$AC$43&amp;$X68&amp;$AC$44,Z$42)</f>
        <v>1.3520972690000002</v>
      </c>
      <c r="AA68" s="16"/>
      <c r="AB68" s="16"/>
      <c r="AC68" s="16"/>
      <c r="AD68" s="19"/>
      <c r="AE68" s="19"/>
      <c r="AF68" s="19"/>
      <c r="AG68" s="19"/>
      <c r="AH68" s="19"/>
      <c r="AI68" s="19"/>
      <c r="AJ68" s="56" t="str">
        <f>IF(AND(LEN(AQ68)&gt;0,AS68&gt;0),_xll.xlShmInterpDisc(curveName,AQ68)+0*TYPE($V$4),"")</f>
        <v/>
      </c>
      <c r="AK68" s="57" t="str">
        <f>IF(AND(LEN(AQ68)&gt;0,AS68&gt;0),100*_xll.xlShmInterpRate(curveName,2,5,AQ68)+0*TYPE($V$4),"")</f>
        <v/>
      </c>
      <c r="AL68" s="57" t="str">
        <f t="shared" ref="AL68:AL95" si="47">IF(LEN(AJ68)&gt;0,AJ68-AS68,"")</f>
        <v/>
      </c>
      <c r="AM68" s="58" t="str">
        <f t="shared" ref="AM68:AM95" si="48">IF(LEN(AK68)&gt;0,(AK68-AT68)*100,"")</f>
        <v/>
      </c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63"/>
      <c r="AZ68" s="14"/>
      <c r="BA68" s="15"/>
      <c r="BB68" s="19"/>
      <c r="BC68" s="19"/>
      <c r="BD68" s="19"/>
      <c r="BE68" s="16"/>
      <c r="BF68" s="16"/>
      <c r="BG68" s="18"/>
      <c r="BH68" s="18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92" t="str">
        <v>-</v>
      </c>
      <c r="BV68" s="88" t="str">
        <v>-</v>
      </c>
      <c r="BW68" s="19"/>
      <c r="BX68" s="16"/>
      <c r="BY68" s="16"/>
      <c r="BZ68" s="16"/>
      <c r="CA68" s="16"/>
      <c r="CB68" s="19"/>
      <c r="CC68" s="19"/>
      <c r="CD68" s="16"/>
      <c r="CE68" s="56" t="str">
        <f>IF(AND(LEN(CL68)&gt;0,CN68&gt;0),_xll.xlShmInterpDisc(curveName,CL68)+0*TYPE($V$4),"")</f>
        <v/>
      </c>
      <c r="CF68" s="57" t="str">
        <f>IF(AND(LEN(CL68)&gt;0,CN68&gt;0),100*_xll.xlShmInterpRate(curveName,2,5,CL68)+0*TYPE($V$4),"")</f>
        <v/>
      </c>
      <c r="CG68" s="57" t="str">
        <f t="shared" ref="CG68:CG95" si="49">IF(LEN(CE68)&gt;0,CE68-CN68,"")</f>
        <v/>
      </c>
      <c r="CH68" s="58" t="str">
        <f t="shared" ref="CH68:CH95" si="50">IF(LEN(CF68)&gt;0,(CF68-CO68)*100,"")</f>
        <v/>
      </c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63"/>
      <c r="CU68" s="14"/>
      <c r="CV68" s="15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4"/>
    </row>
    <row r="69" spans="1:121" x14ac:dyDescent="0.2">
      <c r="A69" s="229"/>
      <c r="B69" s="234" t="str">
        <f>IF(ISBLANK(#REF!),"","SwapFixFreq")</f>
        <v>SwapFixFreq</v>
      </c>
      <c r="C69" s="235">
        <v>1</v>
      </c>
      <c r="D69" s="19"/>
      <c r="E69" s="42" t="b">
        <v>1</v>
      </c>
      <c r="F69" s="204">
        <f t="shared" si="38"/>
        <v>31</v>
      </c>
      <c r="G69" s="16"/>
      <c r="H69" s="16"/>
      <c r="I69" s="69">
        <f t="shared" si="39"/>
        <v>1.3763832630000001</v>
      </c>
      <c r="J69" s="177"/>
      <c r="K69" s="71"/>
      <c r="L69" s="177">
        <f t="shared" si="40"/>
        <v>1.3763832630000001</v>
      </c>
      <c r="M69" s="73">
        <f t="shared" si="45"/>
        <v>31</v>
      </c>
      <c r="N69" s="74">
        <f t="shared" si="41"/>
        <v>31</v>
      </c>
      <c r="O69" s="73">
        <f t="shared" si="46"/>
        <v>31</v>
      </c>
      <c r="P69" s="74">
        <f t="shared" si="42"/>
        <v>33</v>
      </c>
      <c r="Q69" s="16"/>
      <c r="R69" s="205">
        <f t="shared" si="43"/>
        <v>33</v>
      </c>
      <c r="S69" s="72">
        <f t="shared" si="44"/>
        <v>1.381536922</v>
      </c>
      <c r="T69" s="16"/>
      <c r="U69" s="87" t="e">
        <v>#N/A</v>
      </c>
      <c r="V69" s="88" t="e">
        <v>#N/A</v>
      </c>
      <c r="W69" s="19"/>
      <c r="X69" s="193">
        <v>27</v>
      </c>
      <c r="Y69" s="78">
        <f>_xll.RtGet($AC$42,$AC$43&amp;$X69&amp;$AC$44,Y$42)</f>
        <v>1.3584502860000001</v>
      </c>
      <c r="Z69" s="79">
        <f>_xll.RtGet($AC$42,$AC$43&amp;$X69&amp;$AC$44,Z$42)</f>
        <v>1.3584502860000001</v>
      </c>
      <c r="AA69" s="16"/>
      <c r="AB69" s="16"/>
      <c r="AC69" s="16"/>
      <c r="AD69" s="19"/>
      <c r="AE69" s="19"/>
      <c r="AF69" s="19"/>
      <c r="AG69" s="19"/>
      <c r="AH69" s="19"/>
      <c r="AI69" s="19"/>
      <c r="AJ69" s="56" t="str">
        <f>IF(AND(LEN(AQ69)&gt;0,AS69&gt;0),_xll.xlShmInterpDisc(curveName,AQ69)+0*TYPE($V$4),"")</f>
        <v/>
      </c>
      <c r="AK69" s="57" t="str">
        <f>IF(AND(LEN(AQ69)&gt;0,AS69&gt;0),100*_xll.xlShmInterpRate(curveName,2,5,AQ69)+0*TYPE($V$4),"")</f>
        <v/>
      </c>
      <c r="AL69" s="57" t="str">
        <f t="shared" si="47"/>
        <v/>
      </c>
      <c r="AM69" s="58" t="str">
        <f t="shared" si="48"/>
        <v/>
      </c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63"/>
      <c r="AZ69" s="14"/>
      <c r="BA69" s="15"/>
      <c r="BB69" s="19"/>
      <c r="BC69" s="19"/>
      <c r="BD69" s="19"/>
      <c r="BE69" s="16"/>
      <c r="BF69" s="16"/>
      <c r="BG69" s="18"/>
      <c r="BH69" s="18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92" t="str">
        <v>-</v>
      </c>
      <c r="BV69" s="88" t="str">
        <v>-</v>
      </c>
      <c r="BW69" s="19"/>
      <c r="BX69" s="16"/>
      <c r="BY69" s="16"/>
      <c r="BZ69" s="16"/>
      <c r="CA69" s="16"/>
      <c r="CB69" s="19"/>
      <c r="CC69" s="19"/>
      <c r="CD69" s="16"/>
      <c r="CE69" s="56" t="str">
        <f>IF(AND(LEN(CL69)&gt;0,CN69&gt;0),_xll.xlShmInterpDisc(curveName,CL69)+0*TYPE($V$4),"")</f>
        <v/>
      </c>
      <c r="CF69" s="57" t="str">
        <f>IF(AND(LEN(CL69)&gt;0,CN69&gt;0),100*_xll.xlShmInterpRate(curveName,2,5,CL69)+0*TYPE($V$4),"")</f>
        <v/>
      </c>
      <c r="CG69" s="57" t="str">
        <f t="shared" si="49"/>
        <v/>
      </c>
      <c r="CH69" s="58" t="str">
        <f t="shared" si="50"/>
        <v/>
      </c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63"/>
      <c r="CU69" s="14"/>
      <c r="CV69" s="15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4"/>
    </row>
    <row r="70" spans="1:121" x14ac:dyDescent="0.2">
      <c r="A70" s="229"/>
      <c r="B70" s="234" t="str">
        <f>IF(ISBLANK(C51),"","SwapFltYrf")</f>
        <v>SwapFltYrf</v>
      </c>
      <c r="C70" s="235">
        <v>4</v>
      </c>
      <c r="D70" s="19"/>
      <c r="E70" s="42" t="b">
        <v>1</v>
      </c>
      <c r="F70" s="204">
        <f t="shared" si="38"/>
        <v>32</v>
      </c>
      <c r="G70" s="16"/>
      <c r="H70" s="16"/>
      <c r="I70" s="69">
        <f t="shared" si="39"/>
        <v>1.3792710380000002</v>
      </c>
      <c r="J70" s="177"/>
      <c r="K70" s="71"/>
      <c r="L70" s="177">
        <f t="shared" si="40"/>
        <v>1.3792710380000002</v>
      </c>
      <c r="M70" s="73">
        <f t="shared" si="45"/>
        <v>32</v>
      </c>
      <c r="N70" s="74">
        <f t="shared" si="41"/>
        <v>32</v>
      </c>
      <c r="O70" s="73">
        <f t="shared" si="46"/>
        <v>32</v>
      </c>
      <c r="P70" s="74">
        <f t="shared" si="42"/>
        <v>34</v>
      </c>
      <c r="Q70" s="16"/>
      <c r="R70" s="205">
        <f t="shared" si="43"/>
        <v>34</v>
      </c>
      <c r="S70" s="72">
        <f t="shared" si="44"/>
        <v>1.3834112670000001</v>
      </c>
      <c r="T70" s="16"/>
      <c r="U70" s="87" t="e">
        <v>#N/A</v>
      </c>
      <c r="V70" s="88" t="e">
        <v>#N/A</v>
      </c>
      <c r="W70" s="19"/>
      <c r="X70" s="193">
        <v>28</v>
      </c>
      <c r="Y70" s="78">
        <f>_xll.RtGet($AC$42,$AC$43&amp;$X70&amp;$AC$44,Y$42)</f>
        <v>1.3641031480000001</v>
      </c>
      <c r="Z70" s="79">
        <f>_xll.RtGet($AC$42,$AC$43&amp;$X70&amp;$AC$44,Z$42)</f>
        <v>1.3641031480000001</v>
      </c>
      <c r="AA70" s="16"/>
      <c r="AB70" s="16"/>
      <c r="AC70" s="16"/>
      <c r="AD70" s="19"/>
      <c r="AE70" s="19"/>
      <c r="AF70" s="19"/>
      <c r="AG70" s="19"/>
      <c r="AH70" s="19"/>
      <c r="AI70" s="19"/>
      <c r="AJ70" s="56" t="str">
        <f>IF(AND(LEN(AQ70)&gt;0,AS70&gt;0),_xll.xlShmInterpDisc(curveName,AQ70)+0*TYPE($V$4),"")</f>
        <v/>
      </c>
      <c r="AK70" s="57" t="str">
        <f>IF(AND(LEN(AQ70)&gt;0,AS70&gt;0),100*_xll.xlShmInterpRate(curveName,2,5,AQ70)+0*TYPE($V$4),"")</f>
        <v/>
      </c>
      <c r="AL70" s="57" t="str">
        <f t="shared" si="47"/>
        <v/>
      </c>
      <c r="AM70" s="58" t="str">
        <f t="shared" si="48"/>
        <v/>
      </c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63"/>
      <c r="AZ70" s="14"/>
      <c r="BA70" s="15"/>
      <c r="BB70" s="19"/>
      <c r="BC70" s="19"/>
      <c r="BD70" s="19"/>
      <c r="BE70" s="16"/>
      <c r="BF70" s="16"/>
      <c r="BG70" s="18"/>
      <c r="BH70" s="18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92" t="str">
        <v>-</v>
      </c>
      <c r="BV70" s="88" t="str">
        <v>-</v>
      </c>
      <c r="BW70" s="19"/>
      <c r="BX70" s="16"/>
      <c r="BY70" s="16"/>
      <c r="BZ70" s="16"/>
      <c r="CA70" s="16"/>
      <c r="CB70" s="19"/>
      <c r="CC70" s="19"/>
      <c r="CD70" s="16"/>
      <c r="CE70" s="56" t="str">
        <f>IF(AND(LEN(CL70)&gt;0,CN70&gt;0),_xll.xlShmInterpDisc(curveName,CL70)+0*TYPE($V$4),"")</f>
        <v/>
      </c>
      <c r="CF70" s="57" t="str">
        <f>IF(AND(LEN(CL70)&gt;0,CN70&gt;0),100*_xll.xlShmInterpRate(curveName,2,5,CL70)+0*TYPE($V$4),"")</f>
        <v/>
      </c>
      <c r="CG70" s="57" t="str">
        <f t="shared" si="49"/>
        <v/>
      </c>
      <c r="CH70" s="58" t="str">
        <f t="shared" si="50"/>
        <v/>
      </c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63"/>
      <c r="CU70" s="14"/>
      <c r="CV70" s="15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4"/>
    </row>
    <row r="71" spans="1:121" x14ac:dyDescent="0.2">
      <c r="A71" s="229"/>
      <c r="B71" s="234" t="str">
        <f>IF(ISBLANK(C49),"","SwapFixYrf")</f>
        <v>SwapFixYrf</v>
      </c>
      <c r="C71" s="235">
        <v>8</v>
      </c>
      <c r="D71" s="19"/>
      <c r="E71" s="42" t="b">
        <v>1</v>
      </c>
      <c r="F71" s="204">
        <f t="shared" si="38"/>
        <v>33</v>
      </c>
      <c r="G71" s="16"/>
      <c r="H71" s="16"/>
      <c r="I71" s="69">
        <f t="shared" si="39"/>
        <v>1.381536922</v>
      </c>
      <c r="J71" s="177"/>
      <c r="K71" s="71"/>
      <c r="L71" s="177">
        <f t="shared" si="40"/>
        <v>1.381536922</v>
      </c>
      <c r="M71" s="73">
        <f t="shared" si="45"/>
        <v>33</v>
      </c>
      <c r="N71" s="74">
        <f t="shared" si="41"/>
        <v>33</v>
      </c>
      <c r="O71" s="73">
        <f t="shared" si="46"/>
        <v>33</v>
      </c>
      <c r="P71" s="74">
        <f t="shared" si="42"/>
        <v>35</v>
      </c>
      <c r="Q71" s="16"/>
      <c r="R71" s="205">
        <f t="shared" si="43"/>
        <v>35</v>
      </c>
      <c r="S71" s="72">
        <f t="shared" si="44"/>
        <v>1.385</v>
      </c>
      <c r="T71" s="16"/>
      <c r="U71" s="87" t="e">
        <v>#N/A</v>
      </c>
      <c r="V71" s="88" t="e">
        <v>#N/A</v>
      </c>
      <c r="W71" s="19"/>
      <c r="X71" s="193">
        <v>29</v>
      </c>
      <c r="Y71" s="78">
        <f>_xll.RtGet($AC$42,$AC$43&amp;$X71&amp;$AC$44,Y$42)</f>
        <v>1.368916539</v>
      </c>
      <c r="Z71" s="79">
        <f>_xll.RtGet($AC$42,$AC$43&amp;$X71&amp;$AC$44,Z$42)</f>
        <v>1.368916539</v>
      </c>
      <c r="AA71" s="16"/>
      <c r="AB71" s="16"/>
      <c r="AC71" s="16"/>
      <c r="AD71" s="19"/>
      <c r="AE71" s="19"/>
      <c r="AF71" s="19"/>
      <c r="AG71" s="19"/>
      <c r="AH71" s="19"/>
      <c r="AI71" s="19"/>
      <c r="AJ71" s="56" t="str">
        <f>IF(AND(LEN(AQ71)&gt;0,AS71&gt;0),_xll.xlShmInterpDisc(curveName,AQ71)+0*TYPE($V$4),"")</f>
        <v/>
      </c>
      <c r="AK71" s="57" t="str">
        <f>IF(AND(LEN(AQ71)&gt;0,AS71&gt;0),100*_xll.xlShmInterpRate(curveName,2,5,AQ71)+0*TYPE($V$4),"")</f>
        <v/>
      </c>
      <c r="AL71" s="57" t="str">
        <f t="shared" si="47"/>
        <v/>
      </c>
      <c r="AM71" s="58" t="str">
        <f t="shared" si="48"/>
        <v/>
      </c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63"/>
      <c r="AZ71" s="14"/>
      <c r="BA71" s="15"/>
      <c r="BB71" s="19"/>
      <c r="BC71" s="19"/>
      <c r="BD71" s="19"/>
      <c r="BE71" s="16"/>
      <c r="BF71" s="16"/>
      <c r="BG71" s="18"/>
      <c r="BH71" s="18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92" t="str">
        <v>-</v>
      </c>
      <c r="BV71" s="88" t="str">
        <v>-</v>
      </c>
      <c r="BW71" s="19"/>
      <c r="BX71" s="16"/>
      <c r="BY71" s="16"/>
      <c r="BZ71" s="16"/>
      <c r="CA71" s="16"/>
      <c r="CB71" s="19"/>
      <c r="CC71" s="19"/>
      <c r="CD71" s="16"/>
      <c r="CE71" s="56" t="str">
        <f>IF(AND(LEN(CL71)&gt;0,CN71&gt;0),_xll.xlShmInterpDisc(curveName,CL71)+0*TYPE($V$4),"")</f>
        <v/>
      </c>
      <c r="CF71" s="57" t="str">
        <f>IF(AND(LEN(CL71)&gt;0,CN71&gt;0),100*_xll.xlShmInterpRate(curveName,2,5,CL71)+0*TYPE($V$4),"")</f>
        <v/>
      </c>
      <c r="CG71" s="57" t="str">
        <f t="shared" si="49"/>
        <v/>
      </c>
      <c r="CH71" s="58" t="str">
        <f t="shared" si="50"/>
        <v/>
      </c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63"/>
      <c r="CU71" s="14"/>
      <c r="CV71" s="15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4"/>
    </row>
    <row r="72" spans="1:121" x14ac:dyDescent="0.2">
      <c r="A72" s="229"/>
      <c r="B72" s="234" t="str">
        <f>IF(ISBLANK(C47),"","SwapMatType")</f>
        <v>SwapMatType</v>
      </c>
      <c r="C72" s="235">
        <v>0</v>
      </c>
      <c r="D72" s="19"/>
      <c r="E72" s="42" t="b">
        <v>1</v>
      </c>
      <c r="F72" s="204">
        <f t="shared" si="38"/>
        <v>34</v>
      </c>
      <c r="G72" s="16"/>
      <c r="H72" s="16"/>
      <c r="I72" s="69">
        <f t="shared" si="39"/>
        <v>1.3834112670000001</v>
      </c>
      <c r="J72" s="177"/>
      <c r="K72" s="71"/>
      <c r="L72" s="177">
        <f t="shared" si="40"/>
        <v>1.3834112670000001</v>
      </c>
      <c r="M72" s="73">
        <f t="shared" si="45"/>
        <v>34</v>
      </c>
      <c r="N72" s="74">
        <f t="shared" si="41"/>
        <v>34</v>
      </c>
      <c r="O72" s="73">
        <f t="shared" si="46"/>
        <v>34</v>
      </c>
      <c r="P72" s="74">
        <f t="shared" si="42"/>
        <v>36</v>
      </c>
      <c r="Q72" s="16"/>
      <c r="R72" s="205">
        <f t="shared" si="43"/>
        <v>36</v>
      </c>
      <c r="S72" s="72">
        <f t="shared" si="44"/>
        <v>1.3864484340000001</v>
      </c>
      <c r="T72" s="16"/>
      <c r="U72" s="87" t="e">
        <v>#N/A</v>
      </c>
      <c r="V72" s="88" t="e">
        <v>#N/A</v>
      </c>
      <c r="W72" s="19"/>
      <c r="X72" s="193">
        <v>30</v>
      </c>
      <c r="Y72" s="78">
        <f>_xll.RtGet($AC$42,$AC$43&amp;$X72&amp;$AC$44,Y$42)</f>
        <v>1.373</v>
      </c>
      <c r="Z72" s="79">
        <f>_xll.RtGet($AC$42,$AC$43&amp;$X72&amp;$AC$44,Z$42)</f>
        <v>1.373</v>
      </c>
      <c r="AA72" s="16"/>
      <c r="AB72" s="16"/>
      <c r="AC72" s="16"/>
      <c r="AD72" s="19"/>
      <c r="AE72" s="19"/>
      <c r="AF72" s="19"/>
      <c r="AG72" s="19"/>
      <c r="AH72" s="19"/>
      <c r="AI72" s="19"/>
      <c r="AJ72" s="56" t="str">
        <f>IF(AND(LEN(AQ72)&gt;0,AS72&gt;0),_xll.xlShmInterpDisc(curveName,AQ72)+0*TYPE($V$4),"")</f>
        <v/>
      </c>
      <c r="AK72" s="57" t="str">
        <f>IF(AND(LEN(AQ72)&gt;0,AS72&gt;0),100*_xll.xlShmInterpRate(curveName,2,5,AQ72)+0*TYPE($V$4),"")</f>
        <v/>
      </c>
      <c r="AL72" s="57" t="str">
        <f t="shared" si="47"/>
        <v/>
      </c>
      <c r="AM72" s="58" t="str">
        <f t="shared" si="48"/>
        <v/>
      </c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63"/>
      <c r="AZ72" s="14"/>
      <c r="BA72" s="15"/>
      <c r="BB72" s="19"/>
      <c r="BC72" s="19"/>
      <c r="BD72" s="19"/>
      <c r="BE72" s="16"/>
      <c r="BF72" s="16"/>
      <c r="BG72" s="18"/>
      <c r="BH72" s="18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92" t="str">
        <v>-</v>
      </c>
      <c r="BV72" s="88" t="str">
        <v>-</v>
      </c>
      <c r="BW72" s="19"/>
      <c r="BX72" s="16"/>
      <c r="BY72" s="16"/>
      <c r="BZ72" s="16"/>
      <c r="CA72" s="16"/>
      <c r="CB72" s="19"/>
      <c r="CC72" s="19"/>
      <c r="CD72" s="16"/>
      <c r="CE72" s="56" t="str">
        <f>IF(AND(LEN(CL72)&gt;0,CN72&gt;0),_xll.xlShmInterpDisc(curveName,CL72)+0*TYPE($V$4),"")</f>
        <v/>
      </c>
      <c r="CF72" s="57" t="str">
        <f>IF(AND(LEN(CL72)&gt;0,CN72&gt;0),100*_xll.xlShmInterpRate(curveName,2,5,CL72)+0*TYPE($V$4),"")</f>
        <v/>
      </c>
      <c r="CG72" s="57" t="str">
        <f t="shared" si="49"/>
        <v/>
      </c>
      <c r="CH72" s="58" t="str">
        <f t="shared" si="50"/>
        <v/>
      </c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63"/>
      <c r="CU72" s="14"/>
      <c r="CV72" s="15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4"/>
    </row>
    <row r="73" spans="1:121" x14ac:dyDescent="0.2">
      <c r="A73" s="229"/>
      <c r="B73" s="80" t="s">
        <v>207</v>
      </c>
      <c r="C73" s="239">
        <v>0</v>
      </c>
      <c r="D73" s="19"/>
      <c r="E73" s="42" t="b">
        <v>1</v>
      </c>
      <c r="F73" s="204">
        <f t="shared" si="38"/>
        <v>35</v>
      </c>
      <c r="G73" s="16"/>
      <c r="H73" s="16"/>
      <c r="I73" s="69">
        <f t="shared" si="39"/>
        <v>1.385</v>
      </c>
      <c r="J73" s="177"/>
      <c r="K73" s="71"/>
      <c r="L73" s="177">
        <f t="shared" si="40"/>
        <v>1.385</v>
      </c>
      <c r="M73" s="73">
        <f t="shared" si="45"/>
        <v>35</v>
      </c>
      <c r="N73" s="74">
        <f t="shared" si="41"/>
        <v>35</v>
      </c>
      <c r="O73" s="73">
        <f t="shared" si="46"/>
        <v>35</v>
      </c>
      <c r="P73" s="74">
        <f t="shared" si="42"/>
        <v>37</v>
      </c>
      <c r="Q73" s="16"/>
      <c r="R73" s="205">
        <f t="shared" si="43"/>
        <v>37</v>
      </c>
      <c r="S73" s="72">
        <f t="shared" si="44"/>
        <v>1.387517431</v>
      </c>
      <c r="T73" s="16"/>
      <c r="U73" s="87" t="e">
        <v>#N/A</v>
      </c>
      <c r="V73" s="88" t="e">
        <v>#N/A</v>
      </c>
      <c r="W73" s="19"/>
      <c r="X73" s="193">
        <v>31</v>
      </c>
      <c r="Y73" s="78">
        <f>_xll.RtGet($AC$42,$AC$43&amp;$X73&amp;$AC$44,Y$42)</f>
        <v>1.3763832630000001</v>
      </c>
      <c r="Z73" s="79">
        <f>_xll.RtGet($AC$42,$AC$43&amp;$X73&amp;$AC$44,Z$42)</f>
        <v>1.3763832630000001</v>
      </c>
      <c r="AA73" s="16"/>
      <c r="AB73" s="16"/>
      <c r="AC73" s="16"/>
      <c r="AD73" s="19"/>
      <c r="AE73" s="19"/>
      <c r="AF73" s="19"/>
      <c r="AG73" s="19"/>
      <c r="AH73" s="19"/>
      <c r="AI73" s="19"/>
      <c r="AJ73" s="56" t="str">
        <f>IF(AND(LEN(AQ73)&gt;0,AS73&gt;0),_xll.xlShmInterpDisc(curveName,AQ73)+0*TYPE($V$4),"")</f>
        <v/>
      </c>
      <c r="AK73" s="57" t="str">
        <f>IF(AND(LEN(AQ73)&gt;0,AS73&gt;0),100*_xll.xlShmInterpRate(curveName,2,5,AQ73)+0*TYPE($V$4),"")</f>
        <v/>
      </c>
      <c r="AL73" s="57" t="str">
        <f t="shared" si="47"/>
        <v/>
      </c>
      <c r="AM73" s="58" t="str">
        <f t="shared" si="48"/>
        <v/>
      </c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63"/>
      <c r="AZ73" s="14"/>
      <c r="BA73" s="15"/>
      <c r="BB73" s="19"/>
      <c r="BC73" s="19"/>
      <c r="BD73" s="19"/>
      <c r="BE73" s="16"/>
      <c r="BF73" s="16"/>
      <c r="BG73" s="18"/>
      <c r="BH73" s="18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92" t="str">
        <v>-</v>
      </c>
      <c r="BV73" s="88" t="str">
        <v>-</v>
      </c>
      <c r="BW73" s="19"/>
      <c r="BX73" s="16"/>
      <c r="BY73" s="16"/>
      <c r="BZ73" s="16"/>
      <c r="CA73" s="16"/>
      <c r="CB73" s="19"/>
      <c r="CC73" s="19"/>
      <c r="CD73" s="16"/>
      <c r="CE73" s="56" t="str">
        <f>IF(AND(LEN(CL73)&gt;0,CN73&gt;0),_xll.xlShmInterpDisc(curveName,CL73)+0*TYPE($V$4),"")</f>
        <v/>
      </c>
      <c r="CF73" s="57" t="str">
        <f>IF(AND(LEN(CL73)&gt;0,CN73&gt;0),100*_xll.xlShmInterpRate(curveName,2,5,CL73)+0*TYPE($V$4),"")</f>
        <v/>
      </c>
      <c r="CG73" s="57" t="str">
        <f t="shared" si="49"/>
        <v/>
      </c>
      <c r="CH73" s="58" t="str">
        <f t="shared" si="50"/>
        <v/>
      </c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63"/>
      <c r="CU73" s="14"/>
      <c r="CV73" s="15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4"/>
    </row>
    <row r="74" spans="1:121" x14ac:dyDescent="0.2">
      <c r="A74" s="229"/>
      <c r="B74" s="80" t="s">
        <v>208</v>
      </c>
      <c r="C74" s="239">
        <v>0</v>
      </c>
      <c r="D74" s="19"/>
      <c r="E74" s="42" t="b">
        <v>1</v>
      </c>
      <c r="F74" s="204">
        <f t="shared" si="38"/>
        <v>36</v>
      </c>
      <c r="G74" s="16"/>
      <c r="H74" s="16"/>
      <c r="I74" s="69">
        <f t="shared" si="39"/>
        <v>1.3864484340000001</v>
      </c>
      <c r="J74" s="177"/>
      <c r="K74" s="71"/>
      <c r="L74" s="177">
        <f t="shared" si="40"/>
        <v>1.3864484340000001</v>
      </c>
      <c r="M74" s="73">
        <f t="shared" si="45"/>
        <v>36</v>
      </c>
      <c r="N74" s="74">
        <f t="shared" si="41"/>
        <v>36</v>
      </c>
      <c r="O74" s="73">
        <f t="shared" si="46"/>
        <v>36</v>
      </c>
      <c r="P74" s="74">
        <f t="shared" si="42"/>
        <v>38</v>
      </c>
      <c r="Q74" s="16"/>
      <c r="R74" s="205">
        <f t="shared" si="43"/>
        <v>38</v>
      </c>
      <c r="S74" s="72">
        <f t="shared" si="44"/>
        <v>1.3881904940000001</v>
      </c>
      <c r="T74" s="16"/>
      <c r="U74" s="87" t="e">
        <v>#N/A</v>
      </c>
      <c r="V74" s="88" t="e">
        <v>#N/A</v>
      </c>
      <c r="W74" s="19"/>
      <c r="X74" s="193">
        <v>32</v>
      </c>
      <c r="Y74" s="78">
        <f>_xll.RtGet($AC$42,$AC$43&amp;$X74&amp;$AC$44,Y$42)</f>
        <v>1.3792710380000002</v>
      </c>
      <c r="Z74" s="79">
        <f>_xll.RtGet($AC$42,$AC$43&amp;$X74&amp;$AC$44,Z$42)</f>
        <v>1.3792710380000002</v>
      </c>
      <c r="AA74" s="16"/>
      <c r="AB74" s="16"/>
      <c r="AC74" s="16"/>
      <c r="AD74" s="19"/>
      <c r="AE74" s="19"/>
      <c r="AF74" s="19"/>
      <c r="AG74" s="19"/>
      <c r="AH74" s="19"/>
      <c r="AI74" s="19"/>
      <c r="AJ74" s="56" t="str">
        <f>IF(AND(LEN(AQ74)&gt;0,AS74&gt;0),_xll.xlShmInterpDisc(curveName,AQ74)+0*TYPE($V$4),"")</f>
        <v/>
      </c>
      <c r="AK74" s="57" t="str">
        <f>IF(AND(LEN(AQ74)&gt;0,AS74&gt;0),100*_xll.xlShmInterpRate(curveName,2,5,AQ74)+0*TYPE($V$4),"")</f>
        <v/>
      </c>
      <c r="AL74" s="57" t="str">
        <f t="shared" si="47"/>
        <v/>
      </c>
      <c r="AM74" s="58" t="str">
        <f t="shared" si="48"/>
        <v/>
      </c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63"/>
      <c r="AZ74" s="14"/>
      <c r="BA74" s="15"/>
      <c r="BB74" s="19"/>
      <c r="BC74" s="19"/>
      <c r="BD74" s="19"/>
      <c r="BE74" s="16"/>
      <c r="BF74" s="16"/>
      <c r="BG74" s="18"/>
      <c r="BH74" s="18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92" t="str">
        <v>-</v>
      </c>
      <c r="BV74" s="88" t="str">
        <v>-</v>
      </c>
      <c r="BW74" s="19"/>
      <c r="BX74" s="16"/>
      <c r="BY74" s="16"/>
      <c r="BZ74" s="16"/>
      <c r="CA74" s="16"/>
      <c r="CB74" s="19"/>
      <c r="CC74" s="19"/>
      <c r="CD74" s="16"/>
      <c r="CE74" s="56" t="str">
        <f>IF(AND(LEN(CL74)&gt;0,CN74&gt;0),_xll.xlShmInterpDisc(curveName,CL74)+0*TYPE($V$4),"")</f>
        <v/>
      </c>
      <c r="CF74" s="57" t="str">
        <f>IF(AND(LEN(CL74)&gt;0,CN74&gt;0),100*_xll.xlShmInterpRate(curveName,2,5,CL74)+0*TYPE($V$4),"")</f>
        <v/>
      </c>
      <c r="CG74" s="57" t="str">
        <f t="shared" si="49"/>
        <v/>
      </c>
      <c r="CH74" s="58" t="str">
        <f t="shared" si="50"/>
        <v/>
      </c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63"/>
      <c r="CU74" s="14"/>
      <c r="CV74" s="15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4"/>
    </row>
    <row r="75" spans="1:121" x14ac:dyDescent="0.2">
      <c r="A75" s="229"/>
      <c r="B75" s="80" t="s">
        <v>209</v>
      </c>
      <c r="C75" s="235">
        <v>0</v>
      </c>
      <c r="D75" s="19"/>
      <c r="E75" s="42" t="b">
        <v>1</v>
      </c>
      <c r="F75" s="204">
        <f t="shared" si="38"/>
        <v>37</v>
      </c>
      <c r="G75" s="16"/>
      <c r="H75" s="16"/>
      <c r="I75" s="69">
        <f t="shared" si="39"/>
        <v>1.387517431</v>
      </c>
      <c r="J75" s="177"/>
      <c r="K75" s="71"/>
      <c r="L75" s="177">
        <f t="shared" si="40"/>
        <v>1.387517431</v>
      </c>
      <c r="M75" s="73">
        <f t="shared" si="45"/>
        <v>37</v>
      </c>
      <c r="N75" s="74">
        <f t="shared" si="41"/>
        <v>37</v>
      </c>
      <c r="O75" s="73">
        <f t="shared" si="46"/>
        <v>37</v>
      </c>
      <c r="P75" s="74">
        <f t="shared" si="42"/>
        <v>39</v>
      </c>
      <c r="Q75" s="16"/>
      <c r="R75" s="205">
        <f t="shared" si="43"/>
        <v>39</v>
      </c>
      <c r="S75" s="72">
        <f t="shared" si="44"/>
        <v>1.3883603530000002</v>
      </c>
      <c r="T75" s="16"/>
      <c r="U75" s="87" t="e">
        <v>#N/A</v>
      </c>
      <c r="V75" s="88" t="e">
        <v>#N/A</v>
      </c>
      <c r="W75" s="19"/>
      <c r="X75" s="193">
        <v>33</v>
      </c>
      <c r="Y75" s="78">
        <f>_xll.RtGet($AC$42,$AC$43&amp;$X75&amp;$AC$44,Y$42)</f>
        <v>1.381536922</v>
      </c>
      <c r="Z75" s="79">
        <f>_xll.RtGet($AC$42,$AC$43&amp;$X75&amp;$AC$44,Z$42)</f>
        <v>1.381536922</v>
      </c>
      <c r="AA75" s="16"/>
      <c r="AB75" s="16"/>
      <c r="AC75" s="16"/>
      <c r="AD75" s="19"/>
      <c r="AE75" s="19"/>
      <c r="AF75" s="19"/>
      <c r="AG75" s="19"/>
      <c r="AH75" s="19"/>
      <c r="AI75" s="19"/>
      <c r="AJ75" s="56" t="str">
        <f>IF(AND(LEN(AQ75)&gt;0,AS75&gt;0),_xll.xlShmInterpDisc(curveName,AQ75)+0*TYPE($V$4),"")</f>
        <v/>
      </c>
      <c r="AK75" s="57" t="str">
        <f>IF(AND(LEN(AQ75)&gt;0,AS75&gt;0),100*_xll.xlShmInterpRate(curveName,2,5,AQ75)+0*TYPE($V$4),"")</f>
        <v/>
      </c>
      <c r="AL75" s="57" t="str">
        <f t="shared" si="47"/>
        <v/>
      </c>
      <c r="AM75" s="58" t="str">
        <f t="shared" si="48"/>
        <v/>
      </c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63"/>
      <c r="AZ75" s="14"/>
      <c r="BA75" s="15"/>
      <c r="BB75" s="19"/>
      <c r="BC75" s="19"/>
      <c r="BD75" s="19"/>
      <c r="BE75" s="16"/>
      <c r="BF75" s="16"/>
      <c r="BG75" s="18"/>
      <c r="BH75" s="18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92" t="str">
        <v>-</v>
      </c>
      <c r="BV75" s="88" t="str">
        <v>-</v>
      </c>
      <c r="BW75" s="19"/>
      <c r="BX75" s="16"/>
      <c r="BY75" s="16"/>
      <c r="BZ75" s="16"/>
      <c r="CA75" s="16"/>
      <c r="CB75" s="19"/>
      <c r="CC75" s="19"/>
      <c r="CD75" s="16"/>
      <c r="CE75" s="56" t="str">
        <f>IF(AND(LEN(CL75)&gt;0,CN75&gt;0),_xll.xlShmInterpDisc(curveName,CL75)+0*TYPE($V$4),"")</f>
        <v/>
      </c>
      <c r="CF75" s="57" t="str">
        <f>IF(AND(LEN(CL75)&gt;0,CN75&gt;0),100*_xll.xlShmInterpRate(curveName,2,5,CL75)+0*TYPE($V$4),"")</f>
        <v/>
      </c>
      <c r="CG75" s="57" t="str">
        <f t="shared" si="49"/>
        <v/>
      </c>
      <c r="CH75" s="58" t="str">
        <f t="shared" si="50"/>
        <v/>
      </c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63"/>
      <c r="CU75" s="14"/>
      <c r="CV75" s="15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4"/>
    </row>
    <row r="76" spans="1:121" x14ac:dyDescent="0.2">
      <c r="A76" s="229"/>
      <c r="B76" s="80" t="s">
        <v>210</v>
      </c>
      <c r="C76" s="235">
        <v>0</v>
      </c>
      <c r="D76" s="19"/>
      <c r="E76" s="42" t="b">
        <v>1</v>
      </c>
      <c r="F76" s="204">
        <f t="shared" si="38"/>
        <v>38</v>
      </c>
      <c r="G76" s="16"/>
      <c r="H76" s="16"/>
      <c r="I76" s="69">
        <f t="shared" si="39"/>
        <v>1.3881904940000001</v>
      </c>
      <c r="J76" s="177"/>
      <c r="K76" s="71"/>
      <c r="L76" s="177">
        <f t="shared" si="40"/>
        <v>1.3881904940000001</v>
      </c>
      <c r="M76" s="73">
        <f t="shared" si="45"/>
        <v>38</v>
      </c>
      <c r="N76" s="74">
        <f t="shared" si="41"/>
        <v>38</v>
      </c>
      <c r="O76" s="73">
        <f t="shared" si="46"/>
        <v>38</v>
      </c>
      <c r="P76" s="74">
        <f t="shared" si="42"/>
        <v>40</v>
      </c>
      <c r="Q76" s="16"/>
      <c r="R76" s="205">
        <f t="shared" si="43"/>
        <v>40</v>
      </c>
      <c r="S76" s="72">
        <f t="shared" si="44"/>
        <v>1.3880000000000001</v>
      </c>
      <c r="T76" s="16"/>
      <c r="U76" s="87" t="e">
        <v>#N/A</v>
      </c>
      <c r="V76" s="88" t="e">
        <v>#N/A</v>
      </c>
      <c r="W76" s="19"/>
      <c r="X76" s="193">
        <v>34</v>
      </c>
      <c r="Y76" s="78">
        <f>_xll.RtGet($AC$42,$AC$43&amp;$X76&amp;$AC$44,Y$42)</f>
        <v>1.3834112670000001</v>
      </c>
      <c r="Z76" s="79">
        <f>_xll.RtGet($AC$42,$AC$43&amp;$X76&amp;$AC$44,Z$42)</f>
        <v>1.3834112670000001</v>
      </c>
      <c r="AA76" s="16"/>
      <c r="AB76" s="16"/>
      <c r="AC76" s="16"/>
      <c r="AD76" s="19"/>
      <c r="AE76" s="19"/>
      <c r="AF76" s="19"/>
      <c r="AG76" s="19"/>
      <c r="AH76" s="19"/>
      <c r="AI76" s="19"/>
      <c r="AJ76" s="56" t="str">
        <f>IF(AND(LEN(AQ76)&gt;0,AS76&gt;0),_xll.xlShmInterpDisc(curveName,AQ76)+0*TYPE($V$4),"")</f>
        <v/>
      </c>
      <c r="AK76" s="57" t="str">
        <f>IF(AND(LEN(AQ76)&gt;0,AS76&gt;0),100*_xll.xlShmInterpRate(curveName,2,5,AQ76)+0*TYPE($V$4),"")</f>
        <v/>
      </c>
      <c r="AL76" s="57" t="str">
        <f t="shared" si="47"/>
        <v/>
      </c>
      <c r="AM76" s="58" t="str">
        <f t="shared" si="48"/>
        <v/>
      </c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63"/>
      <c r="AZ76" s="14"/>
      <c r="BA76" s="15"/>
      <c r="BB76" s="19"/>
      <c r="BC76" s="19"/>
      <c r="BD76" s="19"/>
      <c r="BE76" s="16"/>
      <c r="BF76" s="16"/>
      <c r="BG76" s="18"/>
      <c r="BH76" s="18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92" t="str">
        <v>-</v>
      </c>
      <c r="BV76" s="88" t="str">
        <v>-</v>
      </c>
      <c r="BW76" s="19"/>
      <c r="BX76" s="16"/>
      <c r="BY76" s="16"/>
      <c r="BZ76" s="16"/>
      <c r="CA76" s="16"/>
      <c r="CB76" s="19"/>
      <c r="CC76" s="19"/>
      <c r="CD76" s="16"/>
      <c r="CE76" s="56" t="str">
        <f>IF(AND(LEN(CL76)&gt;0,CN76&gt;0),_xll.xlShmInterpDisc(curveName,CL76)+0*TYPE($V$4),"")</f>
        <v/>
      </c>
      <c r="CF76" s="57" t="str">
        <f>IF(AND(LEN(CL76)&gt;0,CN76&gt;0),100*_xll.xlShmInterpRate(curveName,2,5,CL76)+0*TYPE($V$4),"")</f>
        <v/>
      </c>
      <c r="CG76" s="57" t="str">
        <f t="shared" si="49"/>
        <v/>
      </c>
      <c r="CH76" s="58" t="str">
        <f t="shared" si="50"/>
        <v/>
      </c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63"/>
      <c r="CU76" s="14"/>
      <c r="CV76" s="15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4"/>
    </row>
    <row r="77" spans="1:121" x14ac:dyDescent="0.2">
      <c r="A77" s="229"/>
      <c r="B77" s="241" t="s">
        <v>73</v>
      </c>
      <c r="C77" s="242">
        <f>VLOOKUP(C34,AE26:AF27,2)</f>
        <v>0</v>
      </c>
      <c r="D77" s="19"/>
      <c r="E77" s="42" t="b">
        <v>1</v>
      </c>
      <c r="F77" s="204">
        <f t="shared" si="38"/>
        <v>39</v>
      </c>
      <c r="G77" s="16"/>
      <c r="H77" s="16"/>
      <c r="I77" s="69">
        <f t="shared" si="39"/>
        <v>1.3883603530000002</v>
      </c>
      <c r="J77" s="177"/>
      <c r="K77" s="71"/>
      <c r="L77" s="177">
        <f t="shared" si="40"/>
        <v>1.3883603530000002</v>
      </c>
      <c r="M77" s="73">
        <f t="shared" si="45"/>
        <v>39</v>
      </c>
      <c r="N77" s="74">
        <f t="shared" si="41"/>
        <v>39</v>
      </c>
      <c r="O77" s="73">
        <f t="shared" si="46"/>
        <v>39</v>
      </c>
      <c r="P77" s="74">
        <f t="shared" si="42"/>
        <v>41</v>
      </c>
      <c r="Q77" s="16"/>
      <c r="R77" s="205">
        <f t="shared" si="43"/>
        <v>50</v>
      </c>
      <c r="S77" s="72">
        <f t="shared" si="44"/>
        <v>1.3520000000000001</v>
      </c>
      <c r="T77" s="16"/>
      <c r="U77" s="87" t="e">
        <v>#N/A</v>
      </c>
      <c r="V77" s="88" t="e">
        <v>#N/A</v>
      </c>
      <c r="W77" s="19"/>
      <c r="X77" s="193">
        <v>35</v>
      </c>
      <c r="Y77" s="78">
        <f>_xll.RtGet($AC$42,$AC$43&amp;$X77&amp;$AC$44,Y$42)</f>
        <v>1.385</v>
      </c>
      <c r="Z77" s="79">
        <f>_xll.RtGet($AC$42,$AC$43&amp;$X77&amp;$AC$44,Z$42)</f>
        <v>1.385</v>
      </c>
      <c r="AA77" s="16"/>
      <c r="AB77" s="16"/>
      <c r="AC77" s="16"/>
      <c r="AD77" s="19"/>
      <c r="AE77" s="19"/>
      <c r="AF77" s="19"/>
      <c r="AG77" s="19"/>
      <c r="AH77" s="19"/>
      <c r="AI77" s="19"/>
      <c r="AJ77" s="56" t="str">
        <f>IF(AND(LEN(AQ77)&gt;0,AS77&gt;0),_xll.xlShmInterpDisc(curveName,AQ77)+0*TYPE($V$4),"")</f>
        <v/>
      </c>
      <c r="AK77" s="57" t="str">
        <f>IF(AND(LEN(AQ77)&gt;0,AS77&gt;0),100*_xll.xlShmInterpRate(curveName,2,5,AQ77)+0*TYPE($V$4),"")</f>
        <v/>
      </c>
      <c r="AL77" s="57" t="str">
        <f t="shared" si="47"/>
        <v/>
      </c>
      <c r="AM77" s="58" t="str">
        <f t="shared" si="48"/>
        <v/>
      </c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63"/>
      <c r="AZ77" s="14"/>
      <c r="BA77" s="15"/>
      <c r="BB77" s="19"/>
      <c r="BC77" s="19"/>
      <c r="BD77" s="19"/>
      <c r="BE77" s="16"/>
      <c r="BF77" s="16"/>
      <c r="BG77" s="18"/>
      <c r="BH77" s="18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92" t="str">
        <v>-</v>
      </c>
      <c r="BV77" s="88" t="str">
        <v>-</v>
      </c>
      <c r="BW77" s="19"/>
      <c r="BX77" s="16"/>
      <c r="BY77" s="16"/>
      <c r="BZ77" s="16"/>
      <c r="CA77" s="16"/>
      <c r="CB77" s="19"/>
      <c r="CC77" s="19"/>
      <c r="CD77" s="16"/>
      <c r="CE77" s="56" t="str">
        <f>IF(AND(LEN(CL77)&gt;0,CN77&gt;0),_xll.xlShmInterpDisc(curveName,CL77)+0*TYPE($V$4),"")</f>
        <v/>
      </c>
      <c r="CF77" s="57" t="str">
        <f>IF(AND(LEN(CL77)&gt;0,CN77&gt;0),100*_xll.xlShmInterpRate(curveName,2,5,CL77)+0*TYPE($V$4),"")</f>
        <v/>
      </c>
      <c r="CG77" s="57" t="str">
        <f t="shared" si="49"/>
        <v/>
      </c>
      <c r="CH77" s="58" t="str">
        <f t="shared" si="50"/>
        <v/>
      </c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63"/>
      <c r="CU77" s="14"/>
      <c r="CV77" s="15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4"/>
    </row>
    <row r="78" spans="1:121" x14ac:dyDescent="0.2">
      <c r="A78" s="229"/>
      <c r="B78" s="243" t="s">
        <v>211</v>
      </c>
      <c r="C78" s="244">
        <f>S2</f>
        <v>15</v>
      </c>
      <c r="D78" s="19"/>
      <c r="E78" s="42" t="b">
        <v>1</v>
      </c>
      <c r="F78" s="204">
        <f t="shared" si="38"/>
        <v>40</v>
      </c>
      <c r="G78" s="16"/>
      <c r="H78" s="16"/>
      <c r="I78" s="69">
        <f t="shared" si="39"/>
        <v>1.3880000000000001</v>
      </c>
      <c r="J78" s="177"/>
      <c r="K78" s="71"/>
      <c r="L78" s="177">
        <f t="shared" si="40"/>
        <v>1.3880000000000001</v>
      </c>
      <c r="M78" s="73">
        <f t="shared" si="45"/>
        <v>40</v>
      </c>
      <c r="N78" s="74">
        <f t="shared" si="41"/>
        <v>40</v>
      </c>
      <c r="O78" s="73">
        <f t="shared" si="46"/>
        <v>40</v>
      </c>
      <c r="P78" s="74">
        <f t="shared" si="42"/>
        <v>42</v>
      </c>
      <c r="Q78" s="16"/>
      <c r="R78" s="205">
        <f t="shared" si="43"/>
        <v>60</v>
      </c>
      <c r="S78" s="72">
        <f t="shared" si="44"/>
        <v>1.3169999999999999</v>
      </c>
      <c r="T78" s="16"/>
      <c r="U78" s="87" t="e">
        <v>#N/A</v>
      </c>
      <c r="V78" s="88" t="e">
        <v>#N/A</v>
      </c>
      <c r="W78" s="19"/>
      <c r="X78" s="193">
        <v>36</v>
      </c>
      <c r="Y78" s="78">
        <f>_xll.RtGet($AC$42,$AC$43&amp;$X78&amp;$AC$44,Y$42)</f>
        <v>1.3864484340000001</v>
      </c>
      <c r="Z78" s="79">
        <f>_xll.RtGet($AC$42,$AC$43&amp;$X78&amp;$AC$44,Z$42)</f>
        <v>1.3864484340000001</v>
      </c>
      <c r="AA78" s="16"/>
      <c r="AB78" s="16"/>
      <c r="AC78" s="16"/>
      <c r="AD78" s="19"/>
      <c r="AE78" s="19"/>
      <c r="AF78" s="19"/>
      <c r="AG78" s="19"/>
      <c r="AH78" s="19"/>
      <c r="AI78" s="19"/>
      <c r="AJ78" s="56" t="str">
        <f>IF(AND(LEN(AQ78)&gt;0,AS78&gt;0),_xll.xlShmInterpDisc(curveName,AQ78)+0*TYPE($V$4),"")</f>
        <v/>
      </c>
      <c r="AK78" s="57" t="str">
        <f>IF(AND(LEN(AQ78)&gt;0,AS78&gt;0),100*_xll.xlShmInterpRate(curveName,2,5,AQ78)+0*TYPE($V$4),"")</f>
        <v/>
      </c>
      <c r="AL78" s="57" t="str">
        <f t="shared" si="47"/>
        <v/>
      </c>
      <c r="AM78" s="58" t="str">
        <f t="shared" si="48"/>
        <v/>
      </c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63"/>
      <c r="AZ78" s="14"/>
      <c r="BA78" s="15"/>
      <c r="BB78" s="19"/>
      <c r="BC78" s="19"/>
      <c r="BD78" s="19"/>
      <c r="BE78" s="16"/>
      <c r="BF78" s="16"/>
      <c r="BG78" s="18"/>
      <c r="BH78" s="18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92" t="str">
        <v>-</v>
      </c>
      <c r="BV78" s="88" t="str">
        <v>-</v>
      </c>
      <c r="BW78" s="19"/>
      <c r="BX78" s="16"/>
      <c r="BY78" s="16"/>
      <c r="BZ78" s="16"/>
      <c r="CA78" s="16"/>
      <c r="CB78" s="19"/>
      <c r="CC78" s="19"/>
      <c r="CD78" s="16"/>
      <c r="CE78" s="56" t="str">
        <f>IF(AND(LEN(CL78)&gt;0,CN78&gt;0),_xll.xlShmInterpDisc(curveName,CL78)+0*TYPE($V$4),"")</f>
        <v/>
      </c>
      <c r="CF78" s="57" t="str">
        <f>IF(AND(LEN(CL78)&gt;0,CN78&gt;0),100*_xll.xlShmInterpRate(curveName,2,5,CL78)+0*TYPE($V$4),"")</f>
        <v/>
      </c>
      <c r="CG78" s="57" t="str">
        <f t="shared" si="49"/>
        <v/>
      </c>
      <c r="CH78" s="58" t="str">
        <f t="shared" si="50"/>
        <v/>
      </c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63"/>
      <c r="CU78" s="14"/>
      <c r="CV78" s="15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4"/>
    </row>
    <row r="79" spans="1:121" x14ac:dyDescent="0.2">
      <c r="A79" s="229"/>
      <c r="B79" s="229" t="s">
        <v>212</v>
      </c>
      <c r="C79" s="239">
        <f>S25</f>
        <v>6</v>
      </c>
      <c r="D79" s="19"/>
      <c r="E79" s="42" t="b">
        <v>1</v>
      </c>
      <c r="F79" s="204">
        <f t="shared" si="38"/>
        <v>50</v>
      </c>
      <c r="G79" s="16"/>
      <c r="H79" s="16"/>
      <c r="I79" s="69">
        <f t="shared" si="39"/>
        <v>1.3520000000000001</v>
      </c>
      <c r="J79" s="177"/>
      <c r="K79" s="71"/>
      <c r="L79" s="177">
        <f t="shared" si="40"/>
        <v>1.3520000000000001</v>
      </c>
      <c r="M79" s="73">
        <f t="shared" si="45"/>
        <v>41</v>
      </c>
      <c r="N79" s="74">
        <f t="shared" si="41"/>
        <v>41</v>
      </c>
      <c r="O79" s="73" t="str">
        <f t="shared" si="46"/>
        <v/>
      </c>
      <c r="P79" s="74" t="str">
        <f t="shared" si="42"/>
        <v/>
      </c>
      <c r="Q79" s="16"/>
      <c r="R79" s="205" t="str">
        <f t="shared" si="43"/>
        <v/>
      </c>
      <c r="S79" s="72" t="str">
        <f t="shared" si="44"/>
        <v/>
      </c>
      <c r="T79" s="16"/>
      <c r="U79" s="87" t="e">
        <v>#N/A</v>
      </c>
      <c r="V79" s="88" t="e">
        <v>#N/A</v>
      </c>
      <c r="W79" s="19"/>
      <c r="X79" s="193">
        <v>37</v>
      </c>
      <c r="Y79" s="78">
        <f>_xll.RtGet($AC$42,$AC$43&amp;$X79&amp;$AC$44,Y$42)</f>
        <v>1.387517431</v>
      </c>
      <c r="Z79" s="79">
        <f>_xll.RtGet($AC$42,$AC$43&amp;$X79&amp;$AC$44,Z$42)</f>
        <v>1.387517431</v>
      </c>
      <c r="AA79" s="16"/>
      <c r="AB79" s="16"/>
      <c r="AC79" s="16"/>
      <c r="AD79" s="19"/>
      <c r="AE79" s="19"/>
      <c r="AF79" s="19"/>
      <c r="AG79" s="19"/>
      <c r="AH79" s="19"/>
      <c r="AI79" s="19"/>
      <c r="AJ79" s="56" t="str">
        <f>IF(AND(LEN(AQ79)&gt;0,AS79&gt;0),_xll.xlShmInterpDisc(curveName,AQ79)+0*TYPE($V$4),"")</f>
        <v/>
      </c>
      <c r="AK79" s="57" t="str">
        <f>IF(AND(LEN(AQ79)&gt;0,AS79&gt;0),100*_xll.xlShmInterpRate(curveName,2,5,AQ79)+0*TYPE($V$4),"")</f>
        <v/>
      </c>
      <c r="AL79" s="57" t="str">
        <f t="shared" si="47"/>
        <v/>
      </c>
      <c r="AM79" s="58" t="str">
        <f t="shared" si="48"/>
        <v/>
      </c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63"/>
      <c r="AZ79" s="14"/>
      <c r="BA79" s="15"/>
      <c r="BB79" s="19"/>
      <c r="BC79" s="19"/>
      <c r="BD79" s="19"/>
      <c r="BE79" s="16"/>
      <c r="BF79" s="16"/>
      <c r="BG79" s="18"/>
      <c r="BH79" s="18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92" t="str">
        <v>-</v>
      </c>
      <c r="BV79" s="88" t="str">
        <v>-</v>
      </c>
      <c r="BW79" s="19"/>
      <c r="BX79" s="16"/>
      <c r="BY79" s="16"/>
      <c r="BZ79" s="16"/>
      <c r="CA79" s="16"/>
      <c r="CB79" s="19"/>
      <c r="CC79" s="19"/>
      <c r="CD79" s="16"/>
      <c r="CE79" s="56" t="str">
        <f>IF(AND(LEN(CL79)&gt;0,CN79&gt;0),_xll.xlShmInterpDisc(curveName,CL79)+0*TYPE($V$4),"")</f>
        <v/>
      </c>
      <c r="CF79" s="57" t="str">
        <f>IF(AND(LEN(CL79)&gt;0,CN79&gt;0),100*_xll.xlShmInterpRate(curveName,2,5,CL79)+0*TYPE($V$4),"")</f>
        <v/>
      </c>
      <c r="CG79" s="57" t="str">
        <f t="shared" si="49"/>
        <v/>
      </c>
      <c r="CH79" s="58" t="str">
        <f t="shared" si="50"/>
        <v/>
      </c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63"/>
      <c r="CU79" s="14"/>
      <c r="CV79" s="15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4"/>
    </row>
    <row r="80" spans="1:121" x14ac:dyDescent="0.2">
      <c r="A80" s="229"/>
      <c r="B80" s="245" t="s">
        <v>213</v>
      </c>
      <c r="C80" s="246">
        <f>S38</f>
        <v>40</v>
      </c>
      <c r="D80" s="19"/>
      <c r="E80" s="104" t="b">
        <v>1</v>
      </c>
      <c r="F80" s="247">
        <f t="shared" si="38"/>
        <v>60</v>
      </c>
      <c r="G80" s="16"/>
      <c r="H80" s="16"/>
      <c r="I80" s="107">
        <f t="shared" si="39"/>
        <v>1.3169999999999999</v>
      </c>
      <c r="J80" s="162"/>
      <c r="K80" s="109"/>
      <c r="L80" s="162">
        <f t="shared" si="40"/>
        <v>1.3169999999999999</v>
      </c>
      <c r="M80" s="149">
        <f t="shared" si="45"/>
        <v>42</v>
      </c>
      <c r="N80" s="150">
        <f t="shared" si="41"/>
        <v>42</v>
      </c>
      <c r="O80" s="149" t="str">
        <f t="shared" si="46"/>
        <v/>
      </c>
      <c r="P80" s="150" t="str">
        <f t="shared" si="42"/>
        <v/>
      </c>
      <c r="Q80" s="16"/>
      <c r="R80" s="248" t="str">
        <f t="shared" si="43"/>
        <v/>
      </c>
      <c r="S80" s="110" t="str">
        <f t="shared" si="44"/>
        <v/>
      </c>
      <c r="T80" s="16"/>
      <c r="U80" s="87" t="e">
        <v>#N/A</v>
      </c>
      <c r="V80" s="88" t="e">
        <v>#N/A</v>
      </c>
      <c r="W80" s="19"/>
      <c r="X80" s="193">
        <v>38</v>
      </c>
      <c r="Y80" s="78">
        <f>_xll.RtGet($AC$42,$AC$43&amp;$X80&amp;$AC$44,Y$42)</f>
        <v>1.3881904940000001</v>
      </c>
      <c r="Z80" s="79">
        <f>_xll.RtGet($AC$42,$AC$43&amp;$X80&amp;$AC$44,Z$42)</f>
        <v>1.3881904940000001</v>
      </c>
      <c r="AA80" s="16"/>
      <c r="AB80" s="16"/>
      <c r="AC80" s="16"/>
      <c r="AD80" s="19"/>
      <c r="AE80" s="19"/>
      <c r="AF80" s="19"/>
      <c r="AG80" s="19"/>
      <c r="AH80" s="19"/>
      <c r="AI80" s="19"/>
      <c r="AJ80" s="56" t="str">
        <f>IF(AND(LEN(AQ80)&gt;0,AS80&gt;0),_xll.xlShmInterpDisc(curveName,AQ80)+0*TYPE($V$4),"")</f>
        <v/>
      </c>
      <c r="AK80" s="57" t="str">
        <f>IF(AND(LEN(AQ80)&gt;0,AS80&gt;0),100*_xll.xlShmInterpRate(curveName,2,5,AQ80)+0*TYPE($V$4),"")</f>
        <v/>
      </c>
      <c r="AL80" s="57" t="str">
        <f t="shared" si="47"/>
        <v/>
      </c>
      <c r="AM80" s="58" t="str">
        <f t="shared" si="48"/>
        <v/>
      </c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63"/>
      <c r="AZ80" s="14"/>
      <c r="BA80" s="15"/>
      <c r="BB80" s="19"/>
      <c r="BC80" s="19"/>
      <c r="BD80" s="19"/>
      <c r="BE80" s="16"/>
      <c r="BF80" s="16"/>
      <c r="BG80" s="18"/>
      <c r="BH80" s="18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92" t="str">
        <v>-</v>
      </c>
      <c r="BV80" s="88" t="str">
        <v>-</v>
      </c>
      <c r="BW80" s="19"/>
      <c r="BX80" s="16"/>
      <c r="BY80" s="16"/>
      <c r="BZ80" s="16"/>
      <c r="CA80" s="16"/>
      <c r="CB80" s="19"/>
      <c r="CC80" s="19"/>
      <c r="CD80" s="16"/>
      <c r="CE80" s="56" t="str">
        <f>IF(AND(LEN(CL80)&gt;0,CN80&gt;0),_xll.xlShmInterpDisc(curveName,CL80)+0*TYPE($V$4),"")</f>
        <v/>
      </c>
      <c r="CF80" s="57" t="str">
        <f>IF(AND(LEN(CL80)&gt;0,CN80&gt;0),100*_xll.xlShmInterpRate(curveName,2,5,CL80)+0*TYPE($V$4),"")</f>
        <v/>
      </c>
      <c r="CG80" s="57" t="str">
        <f t="shared" si="49"/>
        <v/>
      </c>
      <c r="CH80" s="58" t="str">
        <f t="shared" si="50"/>
        <v/>
      </c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63"/>
      <c r="CU80" s="14"/>
      <c r="CV80" s="15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4"/>
    </row>
    <row r="81" spans="1:121" x14ac:dyDescent="0.2">
      <c r="A81" s="229"/>
      <c r="B81" s="19"/>
      <c r="C81" s="19"/>
      <c r="D81" s="19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87" t="e">
        <v>#N/A</v>
      </c>
      <c r="V81" s="88" t="e">
        <v>#N/A</v>
      </c>
      <c r="W81" s="19"/>
      <c r="X81" s="193">
        <v>39</v>
      </c>
      <c r="Y81" s="78">
        <f>_xll.RtGet($AC$42,$AC$43&amp;$X81&amp;$AC$44,Y$42)</f>
        <v>1.3883603530000002</v>
      </c>
      <c r="Z81" s="79">
        <f>_xll.RtGet($AC$42,$AC$43&amp;$X81&amp;$AC$44,Z$42)</f>
        <v>1.3883603530000002</v>
      </c>
      <c r="AA81" s="16"/>
      <c r="AB81" s="16"/>
      <c r="AC81" s="16"/>
      <c r="AD81" s="19"/>
      <c r="AE81" s="19"/>
      <c r="AF81" s="19"/>
      <c r="AG81" s="19"/>
      <c r="AH81" s="19"/>
      <c r="AI81" s="19"/>
      <c r="AJ81" s="56" t="str">
        <f>IF(AND(LEN(AQ81)&gt;0,AS81&gt;0),_xll.xlShmInterpDisc(curveName,AQ81)+0*TYPE($V$4),"")</f>
        <v/>
      </c>
      <c r="AK81" s="57" t="str">
        <f>IF(AND(LEN(AQ81)&gt;0,AS81&gt;0),100*_xll.xlShmInterpRate(curveName,2,5,AQ81)+0*TYPE($V$4),"")</f>
        <v/>
      </c>
      <c r="AL81" s="57" t="str">
        <f t="shared" si="47"/>
        <v/>
      </c>
      <c r="AM81" s="58" t="str">
        <f t="shared" si="48"/>
        <v/>
      </c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63"/>
      <c r="AZ81" s="14"/>
      <c r="BA81" s="15"/>
      <c r="BB81" s="19"/>
      <c r="BC81" s="19"/>
      <c r="BD81" s="19"/>
      <c r="BE81" s="16"/>
      <c r="BF81" s="16"/>
      <c r="BG81" s="18"/>
      <c r="BH81" s="18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92" t="str">
        <v>-</v>
      </c>
      <c r="BV81" s="88" t="str">
        <v>-</v>
      </c>
      <c r="BW81" s="19"/>
      <c r="BX81" s="16"/>
      <c r="BY81" s="16"/>
      <c r="BZ81" s="16"/>
      <c r="CA81" s="16"/>
      <c r="CB81" s="19"/>
      <c r="CC81" s="19"/>
      <c r="CD81" s="16"/>
      <c r="CE81" s="56" t="str">
        <f>IF(AND(LEN(CL81)&gt;0,CN81&gt;0),_xll.xlShmInterpDisc(curveName,CL81)+0*TYPE($V$4),"")</f>
        <v/>
      </c>
      <c r="CF81" s="57" t="str">
        <f>IF(AND(LEN(CL81)&gt;0,CN81&gt;0),100*_xll.xlShmInterpRate(curveName,2,5,CL81)+0*TYPE($V$4),"")</f>
        <v/>
      </c>
      <c r="CG81" s="57" t="str">
        <f t="shared" si="49"/>
        <v/>
      </c>
      <c r="CH81" s="58" t="str">
        <f t="shared" si="50"/>
        <v/>
      </c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63"/>
      <c r="CU81" s="14"/>
      <c r="CV81" s="15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4"/>
    </row>
    <row r="82" spans="1:121" x14ac:dyDescent="0.2">
      <c r="A82" s="229"/>
      <c r="B82" s="19"/>
      <c r="C82" s="19"/>
      <c r="D82" s="19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87" t="e">
        <v>#N/A</v>
      </c>
      <c r="V82" s="88" t="e">
        <v>#N/A</v>
      </c>
      <c r="W82" s="19"/>
      <c r="X82" s="193">
        <v>40</v>
      </c>
      <c r="Y82" s="78">
        <f>_xll.RtGet($AC$42,$AC$43&amp;$X82&amp;$AC$44,Y$42)</f>
        <v>1.3880000000000001</v>
      </c>
      <c r="Z82" s="79">
        <f>_xll.RtGet($AC$42,$AC$43&amp;$X82&amp;$AC$44,Z$42)</f>
        <v>1.3880000000000001</v>
      </c>
      <c r="AA82" s="16"/>
      <c r="AB82" s="16"/>
      <c r="AC82" s="16"/>
      <c r="AD82" s="19"/>
      <c r="AE82" s="19"/>
      <c r="AF82" s="19"/>
      <c r="AG82" s="19"/>
      <c r="AH82" s="19"/>
      <c r="AI82" s="19"/>
      <c r="AJ82" s="56" t="str">
        <f>IF(AND(LEN(AQ82)&gt;0,AS82&gt;0),_xll.xlShmInterpDisc(curveName,AQ82)+0*TYPE($V$4),"")</f>
        <v/>
      </c>
      <c r="AK82" s="57" t="str">
        <f>IF(AND(LEN(AQ82)&gt;0,AS82&gt;0),100*_xll.xlShmInterpRate(curveName,2,5,AQ82)+0*TYPE($V$4),"")</f>
        <v/>
      </c>
      <c r="AL82" s="57" t="str">
        <f t="shared" si="47"/>
        <v/>
      </c>
      <c r="AM82" s="58" t="str">
        <f t="shared" si="48"/>
        <v/>
      </c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63"/>
      <c r="AZ82" s="14"/>
      <c r="BA82" s="15"/>
      <c r="BB82" s="19"/>
      <c r="BC82" s="19"/>
      <c r="BD82" s="19"/>
      <c r="BE82" s="16"/>
      <c r="BF82" s="16"/>
      <c r="BG82" s="18"/>
      <c r="BH82" s="18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92" t="str">
        <v>-</v>
      </c>
      <c r="BV82" s="88" t="str">
        <v>-</v>
      </c>
      <c r="BW82" s="19"/>
      <c r="BX82" s="16"/>
      <c r="BY82" s="16"/>
      <c r="BZ82" s="16"/>
      <c r="CA82" s="16"/>
      <c r="CB82" s="19"/>
      <c r="CC82" s="19"/>
      <c r="CD82" s="16"/>
      <c r="CE82" s="56" t="str">
        <f>IF(AND(LEN(CL82)&gt;0,CN82&gt;0),_xll.xlShmInterpDisc(curveName,CL82)+0*TYPE($V$4),"")</f>
        <v/>
      </c>
      <c r="CF82" s="57" t="str">
        <f>IF(AND(LEN(CL82)&gt;0,CN82&gt;0),100*_xll.xlShmInterpRate(curveName,2,5,CL82)+0*TYPE($V$4),"")</f>
        <v/>
      </c>
      <c r="CG82" s="57" t="str">
        <f t="shared" si="49"/>
        <v/>
      </c>
      <c r="CH82" s="58" t="str">
        <f t="shared" si="50"/>
        <v/>
      </c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63"/>
      <c r="CU82" s="14"/>
      <c r="CV82" s="15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4"/>
    </row>
    <row r="83" spans="1:121" x14ac:dyDescent="0.2">
      <c r="A83" s="229"/>
      <c r="B83" s="19"/>
      <c r="C83" s="19"/>
      <c r="D83" s="19"/>
      <c r="E83" s="16"/>
      <c r="F83" s="16"/>
      <c r="G83" s="16"/>
      <c r="H83" s="16"/>
      <c r="I83" s="16"/>
      <c r="J83" s="16"/>
      <c r="K83" s="16"/>
      <c r="L83" s="16"/>
      <c r="M83" s="16"/>
      <c r="N83" s="19"/>
      <c r="O83" s="19"/>
      <c r="P83" s="16"/>
      <c r="Q83" s="16"/>
      <c r="R83" s="16"/>
      <c r="S83" s="16"/>
      <c r="T83" s="16"/>
      <c r="U83" s="87" t="e">
        <v>#N/A</v>
      </c>
      <c r="V83" s="88" t="e">
        <v>#N/A</v>
      </c>
      <c r="W83" s="19"/>
      <c r="X83" s="193">
        <v>50</v>
      </c>
      <c r="Y83" s="78">
        <f>_xll.RtGet($AC$42,$AC$43&amp;$X83&amp;$AC$44,Y$42)</f>
        <v>1.3520000000000001</v>
      </c>
      <c r="Z83" s="79">
        <f>_xll.RtGet($AC$42,$AC$43&amp;$X83&amp;$AC$44,Z$42)</f>
        <v>1.3520000000000001</v>
      </c>
      <c r="AA83" s="16"/>
      <c r="AB83" s="16"/>
      <c r="AC83" s="16"/>
      <c r="AD83" s="19"/>
      <c r="AE83" s="19"/>
      <c r="AF83" s="19"/>
      <c r="AG83" s="19"/>
      <c r="AH83" s="19"/>
      <c r="AI83" s="19"/>
      <c r="AJ83" s="56" t="str">
        <f>IF(AND(LEN(AQ83)&gt;0,AS83&gt;0),_xll.xlShmInterpDisc(curveName,AQ83)+0*TYPE($V$4),"")</f>
        <v/>
      </c>
      <c r="AK83" s="57" t="str">
        <f>IF(AND(LEN(AQ83)&gt;0,AS83&gt;0),100*_xll.xlShmInterpRate(curveName,2,5,AQ83)+0*TYPE($V$4),"")</f>
        <v/>
      </c>
      <c r="AL83" s="57" t="str">
        <f t="shared" si="47"/>
        <v/>
      </c>
      <c r="AM83" s="58" t="str">
        <f t="shared" si="48"/>
        <v/>
      </c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63"/>
      <c r="AZ83" s="14"/>
      <c r="BA83" s="15"/>
      <c r="BB83" s="19"/>
      <c r="BC83" s="19"/>
      <c r="BD83" s="19"/>
      <c r="BE83" s="16"/>
      <c r="BF83" s="16"/>
      <c r="BG83" s="18"/>
      <c r="BH83" s="18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249" t="str">
        <v>-</v>
      </c>
      <c r="BV83" s="250" t="str">
        <v>-</v>
      </c>
      <c r="BW83" s="19"/>
      <c r="BX83" s="16"/>
      <c r="BY83" s="16"/>
      <c r="BZ83" s="16"/>
      <c r="CA83" s="16"/>
      <c r="CB83" s="19"/>
      <c r="CC83" s="19"/>
      <c r="CD83" s="16"/>
      <c r="CE83" s="56" t="str">
        <f>IF(AND(LEN(CL83)&gt;0,CN83&gt;0),_xll.xlShmInterpDisc(curveName,CL83)+0*TYPE($V$4),"")</f>
        <v/>
      </c>
      <c r="CF83" s="57" t="str">
        <f>IF(AND(LEN(CL83)&gt;0,CN83&gt;0),100*_xll.xlShmInterpRate(curveName,2,5,CL83)+0*TYPE($V$4),"")</f>
        <v/>
      </c>
      <c r="CG83" s="57" t="str">
        <f t="shared" si="49"/>
        <v/>
      </c>
      <c r="CH83" s="58" t="str">
        <f t="shared" si="50"/>
        <v/>
      </c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63"/>
      <c r="CU83" s="14"/>
      <c r="CV83" s="15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4"/>
    </row>
    <row r="84" spans="1:121" x14ac:dyDescent="0.2">
      <c r="A84" s="229"/>
      <c r="B84" s="19"/>
      <c r="C84" s="19"/>
      <c r="D84" s="19"/>
      <c r="E84" s="16"/>
      <c r="F84" s="16"/>
      <c r="G84" s="16"/>
      <c r="H84" s="16"/>
      <c r="I84" s="16"/>
      <c r="J84" s="16"/>
      <c r="K84" s="16"/>
      <c r="L84" s="16"/>
      <c r="M84" s="16"/>
      <c r="N84" s="19"/>
      <c r="O84" s="19"/>
      <c r="P84" s="16"/>
      <c r="Q84" s="16"/>
      <c r="R84" s="16"/>
      <c r="S84" s="16"/>
      <c r="T84" s="16"/>
      <c r="U84" s="251" t="e">
        <v>#N/A</v>
      </c>
      <c r="V84" s="250" t="e">
        <v>#N/A</v>
      </c>
      <c r="W84" s="19"/>
      <c r="X84" s="238">
        <v>60</v>
      </c>
      <c r="Y84" s="94">
        <f>_xll.RtGet($AC$42,$AC$43&amp;$X84&amp;$AC$44,Y$42)</f>
        <v>1.3169999999999999</v>
      </c>
      <c r="Z84" s="95">
        <f>_xll.RtGet($AC$42,$AC$43&amp;$X84&amp;$AC$44,Z$42)</f>
        <v>1.3169999999999999</v>
      </c>
      <c r="AA84" s="16"/>
      <c r="AB84" s="16"/>
      <c r="AC84" s="16"/>
      <c r="AD84" s="19"/>
      <c r="AE84" s="19"/>
      <c r="AF84" s="19"/>
      <c r="AG84" s="19"/>
      <c r="AH84" s="19"/>
      <c r="AI84" s="19"/>
      <c r="AJ84" s="56" t="str">
        <f>IF(AND(LEN(AQ84)&gt;0,AS84&gt;0),_xll.xlShmInterpDisc(curveName,AQ84)+0*TYPE($V$4),"")</f>
        <v/>
      </c>
      <c r="AK84" s="57" t="str">
        <f>IF(AND(LEN(AQ84)&gt;0,AS84&gt;0),100*_xll.xlShmInterpRate(curveName,2,5,AQ84)+0*TYPE($V$4),"")</f>
        <v/>
      </c>
      <c r="AL84" s="57" t="str">
        <f t="shared" si="47"/>
        <v/>
      </c>
      <c r="AM84" s="58" t="str">
        <f t="shared" si="48"/>
        <v/>
      </c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63"/>
      <c r="AZ84" s="14"/>
      <c r="BA84" s="15"/>
      <c r="BB84" s="19"/>
      <c r="BC84" s="19"/>
      <c r="BD84" s="19"/>
      <c r="BE84" s="16"/>
      <c r="BF84" s="16"/>
      <c r="BG84" s="18"/>
      <c r="BH84" s="18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9"/>
      <c r="BX84" s="16"/>
      <c r="BY84" s="16"/>
      <c r="BZ84" s="16"/>
      <c r="CA84" s="16"/>
      <c r="CB84" s="19"/>
      <c r="CC84" s="19"/>
      <c r="CD84" s="16"/>
      <c r="CE84" s="56" t="str">
        <f>IF(AND(LEN(CL84)&gt;0,CN84&gt;0),_xll.xlShmInterpDisc(curveName,CL84)+0*TYPE($V$4),"")</f>
        <v/>
      </c>
      <c r="CF84" s="57" t="str">
        <f>IF(AND(LEN(CL84)&gt;0,CN84&gt;0),100*_xll.xlShmInterpRate(curveName,2,5,CL84)+0*TYPE($V$4),"")</f>
        <v/>
      </c>
      <c r="CG84" s="57" t="str">
        <f t="shared" si="49"/>
        <v/>
      </c>
      <c r="CH84" s="58" t="str">
        <f t="shared" si="50"/>
        <v/>
      </c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63"/>
      <c r="CU84" s="14"/>
      <c r="CV84" s="15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4"/>
    </row>
    <row r="85" spans="1:121" x14ac:dyDescent="0.2">
      <c r="A85" s="229"/>
      <c r="B85" s="19"/>
      <c r="C85" s="19"/>
      <c r="D85" s="19"/>
      <c r="E85" s="16"/>
      <c r="F85" s="16"/>
      <c r="G85" s="16"/>
      <c r="H85" s="16"/>
      <c r="I85" s="16"/>
      <c r="J85" s="16"/>
      <c r="K85" s="16"/>
      <c r="L85" s="16"/>
      <c r="M85" s="16"/>
      <c r="N85" s="19"/>
      <c r="O85" s="19"/>
      <c r="P85" s="16"/>
      <c r="Q85" s="16"/>
      <c r="R85" s="16"/>
      <c r="S85" s="16"/>
      <c r="T85" s="16"/>
      <c r="U85" s="16"/>
      <c r="V85" s="252"/>
      <c r="W85" s="19"/>
      <c r="X85" s="253"/>
      <c r="Y85" s="253"/>
      <c r="Z85" s="253"/>
      <c r="AA85" s="253"/>
      <c r="AB85" s="253"/>
      <c r="AC85" s="253"/>
      <c r="AD85" s="19"/>
      <c r="AE85" s="19"/>
      <c r="AF85" s="19"/>
      <c r="AG85" s="19"/>
      <c r="AH85" s="19"/>
      <c r="AI85" s="19"/>
      <c r="AJ85" s="56" t="str">
        <f>IF(AND(LEN(AQ85)&gt;0,AS85&gt;0),_xll.xlShmInterpDisc(curveName,AQ85)+0*TYPE($V$4),"")</f>
        <v/>
      </c>
      <c r="AK85" s="57" t="str">
        <f>IF(AND(LEN(AQ85)&gt;0,AS85&gt;0),100*_xll.xlShmInterpRate(curveName,2,5,AQ85)+0*TYPE($V$4),"")</f>
        <v/>
      </c>
      <c r="AL85" s="57" t="str">
        <f t="shared" si="47"/>
        <v/>
      </c>
      <c r="AM85" s="58" t="str">
        <f t="shared" si="48"/>
        <v/>
      </c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63"/>
      <c r="AZ85" s="14"/>
      <c r="BA85" s="15"/>
      <c r="BB85" s="19"/>
      <c r="BC85" s="19"/>
      <c r="BD85" s="19"/>
      <c r="BE85" s="16"/>
      <c r="BF85" s="16"/>
      <c r="BG85" s="18"/>
      <c r="BH85" s="18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9"/>
      <c r="BX85" s="16"/>
      <c r="BY85" s="16"/>
      <c r="BZ85" s="16"/>
      <c r="CA85" s="16"/>
      <c r="CB85" s="19"/>
      <c r="CC85" s="19"/>
      <c r="CD85" s="16"/>
      <c r="CE85" s="56" t="str">
        <f>IF(AND(LEN(CL85)&gt;0,CN85&gt;0),_xll.xlShmInterpDisc(curveName,CL85)+0*TYPE($V$4),"")</f>
        <v/>
      </c>
      <c r="CF85" s="57" t="str">
        <f>IF(AND(LEN(CL85)&gt;0,CN85&gt;0),100*_xll.xlShmInterpRate(curveName,2,5,CL85)+0*TYPE($V$4),"")</f>
        <v/>
      </c>
      <c r="CG85" s="57" t="str">
        <f t="shared" si="49"/>
        <v/>
      </c>
      <c r="CH85" s="58" t="str">
        <f t="shared" si="50"/>
        <v/>
      </c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63"/>
      <c r="CU85" s="14"/>
      <c r="CV85" s="15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4"/>
    </row>
    <row r="86" spans="1:121" x14ac:dyDescent="0.2">
      <c r="A86" s="229"/>
      <c r="B86" s="19"/>
      <c r="C86" s="19"/>
      <c r="D86" s="19"/>
      <c r="E86" s="16"/>
      <c r="F86" s="16"/>
      <c r="G86" s="16"/>
      <c r="H86" s="16"/>
      <c r="I86" s="16"/>
      <c r="J86" s="16"/>
      <c r="K86" s="16"/>
      <c r="L86" s="16"/>
      <c r="M86" s="16"/>
      <c r="N86" s="19"/>
      <c r="O86" s="19"/>
      <c r="P86" s="16"/>
      <c r="Q86" s="16"/>
      <c r="R86" s="16"/>
      <c r="S86" s="16"/>
      <c r="T86" s="16"/>
      <c r="U86" s="16"/>
      <c r="V86" s="16"/>
      <c r="W86" s="19"/>
      <c r="X86" s="16"/>
      <c r="Y86" s="16"/>
      <c r="Z86" s="16"/>
      <c r="AA86" s="16"/>
      <c r="AB86" s="16"/>
      <c r="AC86" s="16"/>
      <c r="AD86" s="19"/>
      <c r="AE86" s="19"/>
      <c r="AF86" s="19"/>
      <c r="AG86" s="19"/>
      <c r="AH86" s="19"/>
      <c r="AI86" s="19"/>
      <c r="AJ86" s="56" t="str">
        <f>IF(AND(LEN(AQ86)&gt;0,AS86&gt;0),_xll.xlShmInterpDisc(curveName,AQ86)+0*TYPE($V$4),"")</f>
        <v/>
      </c>
      <c r="AK86" s="57" t="str">
        <f>IF(AND(LEN(AQ86)&gt;0,AS86&gt;0),100*_xll.xlShmInterpRate(curveName,2,5,AQ86)+0*TYPE($V$4),"")</f>
        <v/>
      </c>
      <c r="AL86" s="57" t="str">
        <f t="shared" si="47"/>
        <v/>
      </c>
      <c r="AM86" s="58" t="str">
        <f t="shared" si="48"/>
        <v/>
      </c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63"/>
      <c r="AZ86" s="14"/>
      <c r="BA86" s="15"/>
      <c r="BB86" s="16"/>
      <c r="BC86" s="16"/>
      <c r="BD86" s="16"/>
      <c r="BE86" s="16"/>
      <c r="BF86" s="16"/>
      <c r="BG86" s="18"/>
      <c r="BH86" s="18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9"/>
      <c r="CC86" s="19"/>
      <c r="CD86" s="16"/>
      <c r="CE86" s="56" t="str">
        <f>IF(AND(LEN(CL86)&gt;0,CN86&gt;0),_xll.xlShmInterpDisc(curveName,CL86)+0*TYPE($V$4),"")</f>
        <v/>
      </c>
      <c r="CF86" s="57" t="str">
        <f>IF(AND(LEN(CL86)&gt;0,CN86&gt;0),100*_xll.xlShmInterpRate(curveName,2,5,CL86)+0*TYPE($V$4),"")</f>
        <v/>
      </c>
      <c r="CG86" s="57" t="str">
        <f t="shared" si="49"/>
        <v/>
      </c>
      <c r="CH86" s="58" t="str">
        <f t="shared" si="50"/>
        <v/>
      </c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63"/>
      <c r="CU86" s="14"/>
      <c r="CV86" s="15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4"/>
    </row>
    <row r="87" spans="1:121" x14ac:dyDescent="0.2">
      <c r="A87" s="229"/>
      <c r="B87" s="19"/>
      <c r="C87" s="19"/>
      <c r="D87" s="19"/>
      <c r="E87" s="16"/>
      <c r="F87" s="16"/>
      <c r="G87" s="16"/>
      <c r="H87" s="16"/>
      <c r="I87" s="16"/>
      <c r="J87" s="16"/>
      <c r="K87" s="16"/>
      <c r="L87" s="16"/>
      <c r="M87" s="16"/>
      <c r="N87" s="19"/>
      <c r="O87" s="19"/>
      <c r="P87" s="16"/>
      <c r="Q87" s="16"/>
      <c r="R87" s="16"/>
      <c r="S87" s="16"/>
      <c r="T87" s="16"/>
      <c r="U87" s="16"/>
      <c r="V87" s="16"/>
      <c r="W87" s="19"/>
      <c r="X87" s="16"/>
      <c r="Y87" s="16"/>
      <c r="Z87" s="16"/>
      <c r="AA87" s="16"/>
      <c r="AB87" s="16"/>
      <c r="AC87" s="16"/>
      <c r="AD87" s="19"/>
      <c r="AE87" s="19"/>
      <c r="AF87" s="19"/>
      <c r="AG87" s="19"/>
      <c r="AH87" s="19"/>
      <c r="AI87" s="19"/>
      <c r="AJ87" s="56" t="str">
        <f>IF(AND(LEN(AQ87)&gt;0,AS87&gt;0),_xll.xlShmInterpDisc(curveName,AQ87)+0*TYPE($V$4),"")</f>
        <v/>
      </c>
      <c r="AK87" s="57" t="str">
        <f>IF(AND(LEN(AQ87)&gt;0,AS87&gt;0),100*_xll.xlShmInterpRate(curveName,2,5,AQ87)+0*TYPE($V$4),"")</f>
        <v/>
      </c>
      <c r="AL87" s="57" t="str">
        <f t="shared" si="47"/>
        <v/>
      </c>
      <c r="AM87" s="58" t="str">
        <f t="shared" si="48"/>
        <v/>
      </c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63"/>
      <c r="AZ87" s="14"/>
      <c r="BA87" s="15"/>
      <c r="BB87" s="16"/>
      <c r="BC87" s="16"/>
      <c r="BD87" s="16"/>
      <c r="BE87" s="16"/>
      <c r="BF87" s="16"/>
      <c r="BG87" s="18"/>
      <c r="BH87" s="18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9"/>
      <c r="CC87" s="19"/>
      <c r="CD87" s="16"/>
      <c r="CE87" s="56" t="str">
        <f>IF(AND(LEN(CL87)&gt;0,CN87&gt;0),_xll.xlShmInterpDisc(curveName,CL87)+0*TYPE($V$4),"")</f>
        <v/>
      </c>
      <c r="CF87" s="57" t="str">
        <f>IF(AND(LEN(CL87)&gt;0,CN87&gt;0),100*_xll.xlShmInterpRate(curveName,2,5,CL87)+0*TYPE($V$4),"")</f>
        <v/>
      </c>
      <c r="CG87" s="57" t="str">
        <f t="shared" si="49"/>
        <v/>
      </c>
      <c r="CH87" s="58" t="str">
        <f t="shared" si="50"/>
        <v/>
      </c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63"/>
      <c r="CU87" s="14"/>
      <c r="CV87" s="15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4"/>
    </row>
    <row r="88" spans="1:121" x14ac:dyDescent="0.2">
      <c r="A88" s="229"/>
      <c r="B88" s="19"/>
      <c r="C88" s="19"/>
      <c r="D88" s="19"/>
      <c r="E88" s="16"/>
      <c r="F88" s="16"/>
      <c r="G88" s="16"/>
      <c r="H88" s="16"/>
      <c r="I88" s="16"/>
      <c r="J88" s="16"/>
      <c r="K88" s="16"/>
      <c r="L88" s="16"/>
      <c r="M88" s="16"/>
      <c r="N88" s="19"/>
      <c r="O88" s="19"/>
      <c r="P88" s="16"/>
      <c r="Q88" s="16"/>
      <c r="R88" s="16"/>
      <c r="S88" s="16"/>
      <c r="T88" s="16"/>
      <c r="U88" s="16"/>
      <c r="V88" s="16"/>
      <c r="W88" s="19"/>
      <c r="X88" s="16"/>
      <c r="Y88" s="16"/>
      <c r="Z88" s="16"/>
      <c r="AA88" s="16"/>
      <c r="AB88" s="16"/>
      <c r="AC88" s="16"/>
      <c r="AD88" s="19"/>
      <c r="AE88" s="19"/>
      <c r="AF88" s="19"/>
      <c r="AG88" s="19"/>
      <c r="AH88" s="19"/>
      <c r="AI88" s="19"/>
      <c r="AJ88" s="56" t="str">
        <f>IF(AND(LEN(AQ88)&gt;0,AS88&gt;0),_xll.xlShmInterpDisc(curveName,AQ88)+0*TYPE($V$4),"")</f>
        <v/>
      </c>
      <c r="AK88" s="57" t="str">
        <f>IF(AND(LEN(AQ88)&gt;0,AS88&gt;0),100*_xll.xlShmInterpRate(curveName,2,5,AQ88)+0*TYPE($V$4),"")</f>
        <v/>
      </c>
      <c r="AL88" s="57" t="str">
        <f t="shared" si="47"/>
        <v/>
      </c>
      <c r="AM88" s="58" t="str">
        <f t="shared" si="48"/>
        <v/>
      </c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63"/>
      <c r="AZ88" s="14"/>
      <c r="BA88" s="15"/>
      <c r="BB88" s="16"/>
      <c r="BC88" s="16"/>
      <c r="BD88" s="16"/>
      <c r="BE88" s="16"/>
      <c r="BF88" s="16"/>
      <c r="BG88" s="18"/>
      <c r="BH88" s="18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9"/>
      <c r="CC88" s="19"/>
      <c r="CD88" s="16"/>
      <c r="CE88" s="56" t="str">
        <f>IF(AND(LEN(CL88)&gt;0,CN88&gt;0),_xll.xlShmInterpDisc(curveName,CL88)+0*TYPE($V$4),"")</f>
        <v/>
      </c>
      <c r="CF88" s="57" t="str">
        <f>IF(AND(LEN(CL88)&gt;0,CN88&gt;0),100*_xll.xlShmInterpRate(curveName,2,5,CL88)+0*TYPE($V$4),"")</f>
        <v/>
      </c>
      <c r="CG88" s="57" t="str">
        <f t="shared" si="49"/>
        <v/>
      </c>
      <c r="CH88" s="58" t="str">
        <f t="shared" si="50"/>
        <v/>
      </c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63"/>
      <c r="CU88" s="14"/>
      <c r="CV88" s="15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4"/>
    </row>
    <row r="89" spans="1:121" x14ac:dyDescent="0.2">
      <c r="A89" s="229"/>
      <c r="B89" s="19"/>
      <c r="C89" s="19"/>
      <c r="D89" s="19"/>
      <c r="E89" s="16"/>
      <c r="F89" s="16"/>
      <c r="G89" s="16"/>
      <c r="H89" s="16"/>
      <c r="I89" s="16"/>
      <c r="J89" s="16"/>
      <c r="K89" s="16"/>
      <c r="L89" s="16"/>
      <c r="M89" s="16"/>
      <c r="N89" s="19"/>
      <c r="O89" s="19"/>
      <c r="P89" s="16"/>
      <c r="Q89" s="16"/>
      <c r="R89" s="16"/>
      <c r="S89" s="16"/>
      <c r="T89" s="16"/>
      <c r="U89" s="16"/>
      <c r="V89" s="16"/>
      <c r="W89" s="19"/>
      <c r="X89" s="16"/>
      <c r="Y89" s="16"/>
      <c r="Z89" s="16"/>
      <c r="AA89" s="16"/>
      <c r="AB89" s="16"/>
      <c r="AC89" s="16"/>
      <c r="AD89" s="19"/>
      <c r="AE89" s="19"/>
      <c r="AF89" s="19"/>
      <c r="AG89" s="19"/>
      <c r="AH89" s="19"/>
      <c r="AI89" s="19"/>
      <c r="AJ89" s="56" t="str">
        <f>IF(AND(LEN(AQ89)&gt;0,AS89&gt;0),_xll.xlShmInterpDisc(curveName,AQ89)+0*TYPE($V$4),"")</f>
        <v/>
      </c>
      <c r="AK89" s="57" t="str">
        <f>IF(AND(LEN(AQ89)&gt;0,AS89&gt;0),100*_xll.xlShmInterpRate(curveName,2,5,AQ89)+0*TYPE($V$4),"")</f>
        <v/>
      </c>
      <c r="AL89" s="57" t="str">
        <f t="shared" si="47"/>
        <v/>
      </c>
      <c r="AM89" s="58" t="str">
        <f t="shared" si="48"/>
        <v/>
      </c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63"/>
      <c r="AZ89" s="14"/>
      <c r="BA89" s="15"/>
      <c r="BB89" s="16"/>
      <c r="BC89" s="16"/>
      <c r="BD89" s="16"/>
      <c r="BE89" s="16"/>
      <c r="BF89" s="16"/>
      <c r="BG89" s="18"/>
      <c r="BH89" s="18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9"/>
      <c r="CC89" s="19"/>
      <c r="CD89" s="16"/>
      <c r="CE89" s="56" t="str">
        <f>IF(AND(LEN(CL89)&gt;0,CN89&gt;0),_xll.xlShmInterpDisc(curveName,CL89)+0*TYPE($V$4),"")</f>
        <v/>
      </c>
      <c r="CF89" s="57" t="str">
        <f>IF(AND(LEN(CL89)&gt;0,CN89&gt;0),100*_xll.xlShmInterpRate(curveName,2,5,CL89)+0*TYPE($V$4),"")</f>
        <v/>
      </c>
      <c r="CG89" s="57" t="str">
        <f t="shared" si="49"/>
        <v/>
      </c>
      <c r="CH89" s="58" t="str">
        <f t="shared" si="50"/>
        <v/>
      </c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63"/>
      <c r="CU89" s="14"/>
      <c r="CV89" s="15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4"/>
    </row>
    <row r="90" spans="1:121" x14ac:dyDescent="0.2">
      <c r="A90" s="229"/>
      <c r="B90" s="19"/>
      <c r="C90" s="19"/>
      <c r="D90" s="19"/>
      <c r="E90" s="16"/>
      <c r="F90" s="16"/>
      <c r="G90" s="16"/>
      <c r="H90" s="16"/>
      <c r="I90" s="16"/>
      <c r="J90" s="16"/>
      <c r="K90" s="16"/>
      <c r="L90" s="16"/>
      <c r="M90" s="16"/>
      <c r="N90" s="19"/>
      <c r="O90" s="19"/>
      <c r="P90" s="16"/>
      <c r="Q90" s="16"/>
      <c r="R90" s="16"/>
      <c r="S90" s="16"/>
      <c r="T90" s="16"/>
      <c r="U90" s="16"/>
      <c r="V90" s="16"/>
      <c r="W90" s="19"/>
      <c r="X90" s="16"/>
      <c r="Y90" s="16"/>
      <c r="Z90" s="16"/>
      <c r="AA90" s="16"/>
      <c r="AB90" s="16"/>
      <c r="AC90" s="16"/>
      <c r="AD90" s="19"/>
      <c r="AE90" s="19"/>
      <c r="AF90" s="19"/>
      <c r="AG90" s="19"/>
      <c r="AH90" s="19"/>
      <c r="AI90" s="19"/>
      <c r="AJ90" s="56" t="str">
        <f>IF(AND(LEN(AQ90)&gt;0,AS90&gt;0),_xll.xlShmInterpDisc(curveName,AQ90)+0*TYPE($V$4),"")</f>
        <v/>
      </c>
      <c r="AK90" s="57" t="str">
        <f>IF(AND(LEN(AQ90)&gt;0,AS90&gt;0),100*_xll.xlShmInterpRate(curveName,2,5,AQ90)+0*TYPE($V$4),"")</f>
        <v/>
      </c>
      <c r="AL90" s="57" t="str">
        <f t="shared" si="47"/>
        <v/>
      </c>
      <c r="AM90" s="58" t="str">
        <f t="shared" si="48"/>
        <v/>
      </c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63"/>
      <c r="AZ90" s="14"/>
      <c r="BA90" s="15"/>
      <c r="BB90" s="16"/>
      <c r="BC90" s="16"/>
      <c r="BD90" s="16"/>
      <c r="BE90" s="16"/>
      <c r="BF90" s="16"/>
      <c r="BG90" s="18"/>
      <c r="BH90" s="18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9"/>
      <c r="CC90" s="19"/>
      <c r="CD90" s="16"/>
      <c r="CE90" s="56" t="str">
        <f>IF(AND(LEN(CL90)&gt;0,CN90&gt;0),_xll.xlShmInterpDisc(curveName,CL90)+0*TYPE($V$4),"")</f>
        <v/>
      </c>
      <c r="CF90" s="57" t="str">
        <f>IF(AND(LEN(CL90)&gt;0,CN90&gt;0),100*_xll.xlShmInterpRate(curveName,2,5,CL90)+0*TYPE($V$4),"")</f>
        <v/>
      </c>
      <c r="CG90" s="57" t="str">
        <f t="shared" si="49"/>
        <v/>
      </c>
      <c r="CH90" s="58" t="str">
        <f t="shared" si="50"/>
        <v/>
      </c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63"/>
      <c r="CU90" s="14"/>
      <c r="CV90" s="15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4"/>
    </row>
    <row r="91" spans="1:121" x14ac:dyDescent="0.2">
      <c r="A91" s="229"/>
      <c r="B91" s="19"/>
      <c r="C91" s="19"/>
      <c r="D91" s="19"/>
      <c r="E91" s="16"/>
      <c r="F91" s="16"/>
      <c r="G91" s="16"/>
      <c r="H91" s="16"/>
      <c r="I91" s="16"/>
      <c r="J91" s="16"/>
      <c r="K91" s="16"/>
      <c r="L91" s="16"/>
      <c r="M91" s="16"/>
      <c r="N91" s="19"/>
      <c r="O91" s="19"/>
      <c r="P91" s="16"/>
      <c r="Q91" s="16"/>
      <c r="R91" s="16"/>
      <c r="S91" s="16"/>
      <c r="T91" s="16"/>
      <c r="U91" s="16"/>
      <c r="V91" s="16"/>
      <c r="W91" s="19"/>
      <c r="X91" s="16"/>
      <c r="Y91" s="16"/>
      <c r="Z91" s="16"/>
      <c r="AA91" s="16"/>
      <c r="AB91" s="16"/>
      <c r="AC91" s="16"/>
      <c r="AD91" s="19"/>
      <c r="AE91" s="19"/>
      <c r="AF91" s="19"/>
      <c r="AG91" s="19"/>
      <c r="AH91" s="19"/>
      <c r="AI91" s="19"/>
      <c r="AJ91" s="56" t="str">
        <f>IF(AND(LEN(AQ91)&gt;0,AS91&gt;0),_xll.xlShmInterpDisc(curveName,AQ91)+0*TYPE($V$4),"")</f>
        <v/>
      </c>
      <c r="AK91" s="57" t="str">
        <f>IF(AND(LEN(AQ91)&gt;0,AS91&gt;0),100*_xll.xlShmInterpRate(curveName,2,5,AQ91)+0*TYPE($V$4),"")</f>
        <v/>
      </c>
      <c r="AL91" s="57" t="str">
        <f t="shared" si="47"/>
        <v/>
      </c>
      <c r="AM91" s="58" t="str">
        <f t="shared" si="48"/>
        <v/>
      </c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63"/>
      <c r="AZ91" s="14"/>
      <c r="BA91" s="15"/>
      <c r="BB91" s="16"/>
      <c r="BC91" s="16"/>
      <c r="BD91" s="16"/>
      <c r="BE91" s="16"/>
      <c r="BF91" s="16"/>
      <c r="BG91" s="18"/>
      <c r="BH91" s="18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9"/>
      <c r="CC91" s="19"/>
      <c r="CD91" s="16"/>
      <c r="CE91" s="56" t="str">
        <f>IF(AND(LEN(CL91)&gt;0,CN91&gt;0),_xll.xlShmInterpDisc(curveName,CL91)+0*TYPE($V$4),"")</f>
        <v/>
      </c>
      <c r="CF91" s="57" t="str">
        <f>IF(AND(LEN(CL91)&gt;0,CN91&gt;0),100*_xll.xlShmInterpRate(curveName,2,5,CL91)+0*TYPE($V$4),"")</f>
        <v/>
      </c>
      <c r="CG91" s="57" t="str">
        <f t="shared" si="49"/>
        <v/>
      </c>
      <c r="CH91" s="58" t="str">
        <f t="shared" si="50"/>
        <v/>
      </c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63"/>
      <c r="CU91" s="14"/>
      <c r="CV91" s="15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4"/>
    </row>
    <row r="92" spans="1:121" x14ac:dyDescent="0.2">
      <c r="A92" s="229"/>
      <c r="B92" s="19"/>
      <c r="C92" s="19"/>
      <c r="D92" s="19"/>
      <c r="E92" s="16"/>
      <c r="F92" s="16"/>
      <c r="G92" s="16"/>
      <c r="H92" s="16"/>
      <c r="I92" s="16"/>
      <c r="J92" s="16"/>
      <c r="K92" s="16"/>
      <c r="L92" s="16"/>
      <c r="M92" s="16"/>
      <c r="N92" s="19"/>
      <c r="O92" s="19"/>
      <c r="P92" s="16"/>
      <c r="Q92" s="16"/>
      <c r="R92" s="16"/>
      <c r="S92" s="16"/>
      <c r="T92" s="16"/>
      <c r="U92" s="16"/>
      <c r="V92" s="16"/>
      <c r="W92" s="19"/>
      <c r="X92" s="16"/>
      <c r="Y92" s="16"/>
      <c r="Z92" s="16"/>
      <c r="AA92" s="16"/>
      <c r="AB92" s="16"/>
      <c r="AC92" s="16"/>
      <c r="AD92" s="19"/>
      <c r="AE92" s="19"/>
      <c r="AF92" s="19"/>
      <c r="AG92" s="19"/>
      <c r="AH92" s="19"/>
      <c r="AI92" s="19"/>
      <c r="AJ92" s="56" t="str">
        <f>IF(AND(LEN(AQ92)&gt;0,AS92&gt;0),_xll.xlShmInterpDisc(curveName,AQ92)+0*TYPE($V$4),"")</f>
        <v/>
      </c>
      <c r="AK92" s="57" t="str">
        <f>IF(AND(LEN(AQ92)&gt;0,AS92&gt;0),100*_xll.xlShmInterpRate(curveName,2,5,AQ92)+0*TYPE($V$4),"")</f>
        <v/>
      </c>
      <c r="AL92" s="57" t="str">
        <f t="shared" si="47"/>
        <v/>
      </c>
      <c r="AM92" s="58" t="str">
        <f t="shared" si="48"/>
        <v/>
      </c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63"/>
      <c r="AZ92" s="14"/>
      <c r="BA92" s="15"/>
      <c r="BB92" s="16"/>
      <c r="BC92" s="16"/>
      <c r="BD92" s="16"/>
      <c r="BE92" s="16"/>
      <c r="BF92" s="16"/>
      <c r="BG92" s="18"/>
      <c r="BH92" s="18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9"/>
      <c r="CC92" s="19"/>
      <c r="CD92" s="16"/>
      <c r="CE92" s="56" t="str">
        <f>IF(AND(LEN(CL92)&gt;0,CN92&gt;0),_xll.xlShmInterpDisc(curveName,CL92)+0*TYPE($V$4),"")</f>
        <v/>
      </c>
      <c r="CF92" s="57" t="str">
        <f>IF(AND(LEN(CL92)&gt;0,CN92&gt;0),100*_xll.xlShmInterpRate(curveName,2,5,CL92)+0*TYPE($V$4),"")</f>
        <v/>
      </c>
      <c r="CG92" s="57" t="str">
        <f t="shared" si="49"/>
        <v/>
      </c>
      <c r="CH92" s="58" t="str">
        <f t="shared" si="50"/>
        <v/>
      </c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63"/>
      <c r="CU92" s="14"/>
      <c r="CV92" s="15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4"/>
    </row>
    <row r="93" spans="1:121" x14ac:dyDescent="0.2">
      <c r="A93" s="229"/>
      <c r="B93" s="19"/>
      <c r="C93" s="19"/>
      <c r="D93" s="19"/>
      <c r="E93" s="16"/>
      <c r="F93" s="16"/>
      <c r="G93" s="16"/>
      <c r="H93" s="16"/>
      <c r="I93" s="16"/>
      <c r="J93" s="16"/>
      <c r="K93" s="16"/>
      <c r="L93" s="16"/>
      <c r="M93" s="16"/>
      <c r="N93" s="19"/>
      <c r="O93" s="19"/>
      <c r="P93" s="16"/>
      <c r="Q93" s="16"/>
      <c r="R93" s="16"/>
      <c r="S93" s="16"/>
      <c r="T93" s="16"/>
      <c r="U93" s="16"/>
      <c r="V93" s="16"/>
      <c r="W93" s="19"/>
      <c r="X93" s="16"/>
      <c r="Y93" s="16"/>
      <c r="Z93" s="16"/>
      <c r="AA93" s="16"/>
      <c r="AB93" s="16"/>
      <c r="AC93" s="16"/>
      <c r="AD93" s="19"/>
      <c r="AE93" s="19"/>
      <c r="AF93" s="19"/>
      <c r="AG93" s="19"/>
      <c r="AH93" s="19"/>
      <c r="AI93" s="19"/>
      <c r="AJ93" s="56" t="str">
        <f>IF(AND(LEN(AQ93)&gt;0,AS93&gt;0),_xll.xlShmInterpDisc(curveName,AQ93)+0*TYPE($V$4),"")</f>
        <v/>
      </c>
      <c r="AK93" s="57" t="str">
        <f>IF(AND(LEN(AQ93)&gt;0,AS93&gt;0),100*_xll.xlShmInterpRate(curveName,2,5,AQ93)+0*TYPE($V$4),"")</f>
        <v/>
      </c>
      <c r="AL93" s="57" t="str">
        <f t="shared" si="47"/>
        <v/>
      </c>
      <c r="AM93" s="58" t="str">
        <f t="shared" si="48"/>
        <v/>
      </c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63"/>
      <c r="AZ93" s="14"/>
      <c r="BA93" s="15"/>
      <c r="BB93" s="16"/>
      <c r="BC93" s="16"/>
      <c r="BD93" s="16"/>
      <c r="BE93" s="16"/>
      <c r="BF93" s="16"/>
      <c r="BG93" s="18"/>
      <c r="BH93" s="18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9"/>
      <c r="CC93" s="19"/>
      <c r="CD93" s="16"/>
      <c r="CE93" s="56" t="str">
        <f>IF(AND(LEN(CL93)&gt;0,CN93&gt;0),_xll.xlShmInterpDisc(curveName,CL93)+0*TYPE($V$4),"")</f>
        <v/>
      </c>
      <c r="CF93" s="57" t="str">
        <f>IF(AND(LEN(CL93)&gt;0,CN93&gt;0),100*_xll.xlShmInterpRate(curveName,2,5,CL93)+0*TYPE($V$4),"")</f>
        <v/>
      </c>
      <c r="CG93" s="57" t="str">
        <f t="shared" si="49"/>
        <v/>
      </c>
      <c r="CH93" s="58" t="str">
        <f t="shared" si="50"/>
        <v/>
      </c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63"/>
      <c r="CU93" s="14"/>
      <c r="CV93" s="15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4"/>
    </row>
    <row r="94" spans="1:121" x14ac:dyDescent="0.2">
      <c r="A94" s="229"/>
      <c r="B94" s="19"/>
      <c r="C94" s="19"/>
      <c r="D94" s="19"/>
      <c r="E94" s="16"/>
      <c r="F94" s="16"/>
      <c r="G94" s="16"/>
      <c r="H94" s="16"/>
      <c r="I94" s="16"/>
      <c r="J94" s="16"/>
      <c r="K94" s="16"/>
      <c r="L94" s="16"/>
      <c r="M94" s="16"/>
      <c r="N94" s="19"/>
      <c r="O94" s="19"/>
      <c r="P94" s="16"/>
      <c r="Q94" s="16"/>
      <c r="R94" s="16"/>
      <c r="S94" s="16"/>
      <c r="T94" s="16"/>
      <c r="U94" s="16"/>
      <c r="V94" s="16"/>
      <c r="W94" s="19"/>
      <c r="X94" s="16"/>
      <c r="Y94" s="16"/>
      <c r="Z94" s="16"/>
      <c r="AA94" s="16"/>
      <c r="AB94" s="16"/>
      <c r="AC94" s="16"/>
      <c r="AD94" s="19"/>
      <c r="AE94" s="19"/>
      <c r="AF94" s="19"/>
      <c r="AG94" s="19"/>
      <c r="AH94" s="19"/>
      <c r="AI94" s="19"/>
      <c r="AJ94" s="56" t="str">
        <f>IF(AND(LEN(AQ94)&gt;0,AS94&gt;0),_xll.xlShmInterpDisc(curveName,AQ94)+0*TYPE($V$4),"")</f>
        <v/>
      </c>
      <c r="AK94" s="57" t="str">
        <f>IF(AND(LEN(AQ94)&gt;0,AS94&gt;0),100*_xll.xlShmInterpRate(curveName,2,5,AQ94)+0*TYPE($V$4),"")</f>
        <v/>
      </c>
      <c r="AL94" s="57" t="str">
        <f t="shared" si="47"/>
        <v/>
      </c>
      <c r="AM94" s="58" t="str">
        <f t="shared" si="48"/>
        <v/>
      </c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63"/>
      <c r="AZ94" s="14"/>
      <c r="BA94" s="15"/>
      <c r="BB94" s="16"/>
      <c r="BC94" s="16"/>
      <c r="BD94" s="16"/>
      <c r="BE94" s="16"/>
      <c r="BF94" s="16"/>
      <c r="BG94" s="18"/>
      <c r="BH94" s="18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9"/>
      <c r="CC94" s="19"/>
      <c r="CD94" s="16"/>
      <c r="CE94" s="56" t="str">
        <f>IF(AND(LEN(CL94)&gt;0,CN94&gt;0),_xll.xlShmInterpDisc(curveName,CL94)+0*TYPE($V$4),"")</f>
        <v/>
      </c>
      <c r="CF94" s="57" t="str">
        <f>IF(AND(LEN(CL94)&gt;0,CN94&gt;0),100*_xll.xlShmInterpRate(curveName,2,5,CL94)+0*TYPE($V$4),"")</f>
        <v/>
      </c>
      <c r="CG94" s="57" t="str">
        <f t="shared" si="49"/>
        <v/>
      </c>
      <c r="CH94" s="58" t="str">
        <f t="shared" si="50"/>
        <v/>
      </c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63"/>
      <c r="CU94" s="14"/>
      <c r="CV94" s="15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4"/>
    </row>
    <row r="95" spans="1:121" ht="12.75" thickBot="1" x14ac:dyDescent="0.25">
      <c r="A95" s="229"/>
      <c r="B95" s="19"/>
      <c r="C95" s="19"/>
      <c r="D95" s="19"/>
      <c r="E95" s="16"/>
      <c r="F95" s="16"/>
      <c r="G95" s="16"/>
      <c r="H95" s="16"/>
      <c r="I95" s="16"/>
      <c r="J95" s="16"/>
      <c r="K95" s="16"/>
      <c r="L95" s="16"/>
      <c r="M95" s="16"/>
      <c r="N95" s="19"/>
      <c r="O95" s="19"/>
      <c r="P95" s="16"/>
      <c r="Q95" s="16"/>
      <c r="R95" s="16"/>
      <c r="S95" s="16"/>
      <c r="T95" s="16"/>
      <c r="U95" s="16"/>
      <c r="V95" s="16"/>
      <c r="W95" s="19"/>
      <c r="X95" s="16"/>
      <c r="Y95" s="16"/>
      <c r="Z95" s="16"/>
      <c r="AA95" s="16"/>
      <c r="AB95" s="16"/>
      <c r="AC95" s="16"/>
      <c r="AD95" s="19"/>
      <c r="AE95" s="19"/>
      <c r="AF95" s="19"/>
      <c r="AG95" s="19"/>
      <c r="AH95" s="19"/>
      <c r="AI95" s="19"/>
      <c r="AJ95" s="56" t="str">
        <f>IF(AND(LEN(AQ95)&gt;0,AS95&gt;0),_xll.xlShmInterpDisc(curveName,AQ95)+0*TYPE($V$4),"")</f>
        <v/>
      </c>
      <c r="AK95" s="57" t="str">
        <f>IF(AND(LEN(AQ95)&gt;0,AS95&gt;0),100*_xll.xlShmInterpRate(curveName,2,5,AQ95)+0*TYPE($V$4),"")</f>
        <v/>
      </c>
      <c r="AL95" s="57" t="str">
        <f t="shared" si="47"/>
        <v/>
      </c>
      <c r="AM95" s="58" t="str">
        <f t="shared" si="48"/>
        <v/>
      </c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63"/>
      <c r="AZ95" s="14"/>
      <c r="BA95" s="15"/>
      <c r="BB95" s="16"/>
      <c r="BC95" s="16"/>
      <c r="BD95" s="16"/>
      <c r="BE95" s="16"/>
      <c r="BF95" s="16"/>
      <c r="BG95" s="18"/>
      <c r="BH95" s="18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9"/>
      <c r="CC95" s="19"/>
      <c r="CD95" s="16"/>
      <c r="CE95" s="56" t="str">
        <f>IF(AND(LEN(CL95)&gt;0,CN95&gt;0),_xll.xlShmInterpDisc(curveName,CL95)+0*TYPE($V$4),"")</f>
        <v/>
      </c>
      <c r="CF95" s="57" t="str">
        <f>IF(AND(LEN(CL95)&gt;0,CN95&gt;0),100*_xll.xlShmInterpRate(curveName,2,5,CL95)+0*TYPE($V$4),"")</f>
        <v/>
      </c>
      <c r="CG95" s="57" t="str">
        <f t="shared" si="49"/>
        <v/>
      </c>
      <c r="CH95" s="58" t="str">
        <f t="shared" si="50"/>
        <v/>
      </c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63"/>
      <c r="CU95" s="14"/>
      <c r="CV95" s="15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4"/>
    </row>
    <row r="96" spans="1:121" ht="12.75" thickBot="1" x14ac:dyDescent="0.25">
      <c r="A96" s="254"/>
      <c r="B96" s="255"/>
      <c r="C96" s="255"/>
      <c r="D96" s="255"/>
      <c r="E96" s="256"/>
      <c r="F96" s="256"/>
      <c r="G96" s="256"/>
      <c r="H96" s="256"/>
      <c r="I96" s="256"/>
      <c r="J96" s="256"/>
      <c r="K96" s="256"/>
      <c r="L96" s="256"/>
      <c r="M96" s="256"/>
      <c r="N96" s="255"/>
      <c r="O96" s="255"/>
      <c r="P96" s="256"/>
      <c r="Q96" s="256"/>
      <c r="R96" s="256"/>
      <c r="S96" s="256"/>
      <c r="T96" s="256"/>
      <c r="U96" s="256"/>
      <c r="V96" s="256"/>
      <c r="W96" s="255"/>
      <c r="X96" s="256"/>
      <c r="Y96" s="256"/>
      <c r="Z96" s="256"/>
      <c r="AA96" s="256"/>
      <c r="AB96" s="256"/>
      <c r="AC96" s="256"/>
      <c r="AD96" s="255"/>
      <c r="AE96" s="255"/>
      <c r="AF96" s="255"/>
      <c r="AG96" s="255"/>
      <c r="AH96" s="255"/>
      <c r="AI96" s="255"/>
      <c r="AJ96" s="257"/>
      <c r="AK96" s="258"/>
      <c r="AL96" s="258"/>
      <c r="AM96" s="259"/>
      <c r="AN96" s="260"/>
      <c r="AO96" s="260"/>
      <c r="AP96" s="260"/>
      <c r="AQ96" s="260"/>
      <c r="AR96" s="260"/>
      <c r="AS96" s="260"/>
      <c r="AT96" s="260"/>
      <c r="AU96" s="260"/>
      <c r="AV96" s="260"/>
      <c r="AW96" s="260"/>
      <c r="AX96" s="260"/>
      <c r="AY96" s="261"/>
      <c r="AZ96" s="262"/>
      <c r="BA96" s="263"/>
      <c r="BB96" s="256"/>
      <c r="BC96" s="256"/>
      <c r="BD96" s="256"/>
      <c r="BE96" s="256"/>
      <c r="BF96" s="256"/>
      <c r="BG96" s="264"/>
      <c r="BH96" s="264"/>
      <c r="BI96" s="256"/>
      <c r="BJ96" s="256"/>
      <c r="BK96" s="256"/>
      <c r="BL96" s="256"/>
      <c r="BM96" s="256"/>
      <c r="BN96" s="256"/>
      <c r="BO96" s="256"/>
      <c r="BP96" s="256"/>
      <c r="BQ96" s="256"/>
      <c r="BR96" s="256"/>
      <c r="BS96" s="256"/>
      <c r="BT96" s="256"/>
      <c r="BU96" s="256"/>
      <c r="BV96" s="256"/>
      <c r="BW96" s="256"/>
      <c r="BX96" s="256"/>
      <c r="BY96" s="256"/>
      <c r="BZ96" s="256"/>
      <c r="CA96" s="256"/>
      <c r="CB96" s="255"/>
      <c r="CC96" s="255"/>
      <c r="CD96" s="256"/>
      <c r="CE96" s="257"/>
      <c r="CF96" s="258"/>
      <c r="CG96" s="258"/>
      <c r="CH96" s="259"/>
      <c r="CI96" s="260"/>
      <c r="CJ96" s="260"/>
      <c r="CK96" s="260"/>
      <c r="CL96" s="260"/>
      <c r="CM96" s="260"/>
      <c r="CN96" s="260"/>
      <c r="CO96" s="260"/>
      <c r="CP96" s="260"/>
      <c r="CQ96" s="260"/>
      <c r="CR96" s="260"/>
      <c r="CS96" s="260"/>
      <c r="CT96" s="261"/>
      <c r="CU96" s="256"/>
      <c r="CV96" s="265">
        <f>COUNT($V$4:$V$84)+COUNT($BV$4:$BV$83)</f>
        <v>61</v>
      </c>
      <c r="CW96" s="256"/>
      <c r="CX96" s="256"/>
      <c r="CY96" s="256"/>
      <c r="CZ96" s="256"/>
      <c r="DA96" s="256"/>
      <c r="DB96" s="256"/>
      <c r="DC96" s="256"/>
      <c r="DD96" s="256"/>
      <c r="DE96" s="256"/>
      <c r="DF96" s="256"/>
      <c r="DG96" s="256"/>
      <c r="DH96" s="256"/>
      <c r="DI96" s="256"/>
      <c r="DJ96" s="256"/>
      <c r="DK96" s="256"/>
      <c r="DL96" s="256"/>
      <c r="DM96" s="256"/>
      <c r="DN96" s="256"/>
      <c r="DO96" s="256"/>
      <c r="DP96" s="256"/>
      <c r="DQ96" s="262"/>
    </row>
    <row r="97" ht="12.75" thickTop="1" x14ac:dyDescent="0.2"/>
  </sheetData>
  <mergeCells count="6">
    <mergeCell ref="B38:C38"/>
    <mergeCell ref="U2:V2"/>
    <mergeCell ref="BU2:BV2"/>
    <mergeCell ref="BB3:BC3"/>
    <mergeCell ref="DH10:DJ10"/>
    <mergeCell ref="B25:C25"/>
  </mergeCells>
  <conditionalFormatting sqref="E19 E35:E36">
    <cfRule type="cellIs" dxfId="59" priority="24" stopIfTrue="1" operator="equal">
      <formula>FALSE</formula>
    </cfRule>
  </conditionalFormatting>
  <conditionalFormatting sqref="I39:L80 I22:L23 I3:L19 I26:L36">
    <cfRule type="expression" dxfId="58" priority="18" stopIfTrue="1">
      <formula>NOT($E3)</formula>
    </cfRule>
  </conditionalFormatting>
  <conditionalFormatting sqref="L3:L19">
    <cfRule type="expression" dxfId="57" priority="19" stopIfTrue="1">
      <formula>ISNUMBER(J3)</formula>
    </cfRule>
    <cfRule type="expression" dxfId="56" priority="23" stopIfTrue="1">
      <formula>ISNUMBER(K3)</formula>
    </cfRule>
  </conditionalFormatting>
  <conditionalFormatting sqref="L22:L23">
    <cfRule type="expression" dxfId="55" priority="17" stopIfTrue="1">
      <formula>ISNUMBER(J22)</formula>
    </cfRule>
    <cfRule type="expression" dxfId="54" priority="22" stopIfTrue="1">
      <formula>ISNUMBER(K22)</formula>
    </cfRule>
  </conditionalFormatting>
  <conditionalFormatting sqref="L26:L36">
    <cfRule type="expression" dxfId="53" priority="16" stopIfTrue="1">
      <formula>ISNUMBER(J26)</formula>
    </cfRule>
    <cfRule type="expression" dxfId="52" priority="21" stopIfTrue="1">
      <formula>ISNUMBER(K26)</formula>
    </cfRule>
  </conditionalFormatting>
  <conditionalFormatting sqref="L39:L80">
    <cfRule type="expression" dxfId="51" priority="15" stopIfTrue="1">
      <formula>ISNUMBER(J39)</formula>
    </cfRule>
    <cfRule type="expression" dxfId="50" priority="20" stopIfTrue="1">
      <formula>ISNUMBER(K39)</formula>
    </cfRule>
  </conditionalFormatting>
  <conditionalFormatting sqref="BE3:BE64">
    <cfRule type="cellIs" dxfId="49" priority="14" stopIfTrue="1" operator="equal">
      <formula>FALSE</formula>
    </cfRule>
  </conditionalFormatting>
  <conditionalFormatting sqref="BI4:BL64">
    <cfRule type="expression" dxfId="48" priority="11" stopIfTrue="1">
      <formula>NOT($BE4)</formula>
    </cfRule>
  </conditionalFormatting>
  <conditionalFormatting sqref="E39:E80">
    <cfRule type="cellIs" dxfId="47" priority="10" stopIfTrue="1" operator="equal">
      <formula>FALSE</formula>
    </cfRule>
  </conditionalFormatting>
  <conditionalFormatting sqref="E26:E33">
    <cfRule type="cellIs" dxfId="46" priority="9" stopIfTrue="1" operator="equal">
      <formula>FALSE</formula>
    </cfRule>
  </conditionalFormatting>
  <conditionalFormatting sqref="E34">
    <cfRule type="cellIs" dxfId="45" priority="8" stopIfTrue="1" operator="equal">
      <formula>FALSE</formula>
    </cfRule>
  </conditionalFormatting>
  <conditionalFormatting sqref="E23">
    <cfRule type="cellIs" dxfId="44" priority="7" stopIfTrue="1" operator="equal">
      <formula>FALSE</formula>
    </cfRule>
  </conditionalFormatting>
  <conditionalFormatting sqref="E22">
    <cfRule type="cellIs" dxfId="43" priority="6" stopIfTrue="1" operator="equal">
      <formula>FALSE</formula>
    </cfRule>
  </conditionalFormatting>
  <conditionalFormatting sqref="E3:E17">
    <cfRule type="cellIs" dxfId="42" priority="5" stopIfTrue="1" operator="equal">
      <formula>FALSE</formula>
    </cfRule>
  </conditionalFormatting>
  <conditionalFormatting sqref="E18">
    <cfRule type="cellIs" dxfId="41" priority="4" stopIfTrue="1" operator="equal">
      <formula>FALSE</formula>
    </cfRule>
  </conditionalFormatting>
  <conditionalFormatting sqref="BI3">
    <cfRule type="expression" dxfId="40" priority="3" stopIfTrue="1">
      <formula>NOT($BE3)</formula>
    </cfRule>
  </conditionalFormatting>
  <conditionalFormatting sqref="BL3:BL64">
    <cfRule type="expression" dxfId="39" priority="12" stopIfTrue="1">
      <formula>ISNUMBER(BJ3)</formula>
    </cfRule>
    <cfRule type="expression" dxfId="38" priority="13" stopIfTrue="1">
      <formula>ISNUMBER(BK3)</formula>
    </cfRule>
  </conditionalFormatting>
  <conditionalFormatting sqref="DF10">
    <cfRule type="containsText" dxfId="37" priority="1" operator="containsText" text="TRUE">
      <formula>NOT(ISERROR(SEARCH("TRUE",DF10)))</formula>
    </cfRule>
    <cfRule type="containsText" dxfId="36" priority="2" operator="containsText" text="FALSE">
      <formula>NOT(ISERROR(SEARCH("FALSE",DF10)))</formula>
    </cfRule>
  </conditionalFormatting>
  <dataValidations count="16">
    <dataValidation type="list" allowBlank="1" showInputMessage="1" showErrorMessage="1" sqref="DF10">
      <formula1>"FALSE, TRUE"</formula1>
    </dataValidation>
    <dataValidation type="list" allowBlank="1" showInputMessage="1" showErrorMessage="1" sqref="C33 BC7 C51 C49">
      <formula1>INDEX($AE$3:$AF$12,0,1)</formula1>
    </dataValidation>
    <dataValidation type="list" allowBlank="1" showInputMessage="1" showErrorMessage="1" sqref="C46">
      <formula1>INDEX($AE$15:$AF$18,0,1)</formula1>
    </dataValidation>
    <dataValidation type="list" allowBlank="1" showInputMessage="1" showErrorMessage="1" sqref="C47">
      <formula1>INDEX($AE$21:$AF$23,0,1)</formula1>
    </dataValidation>
    <dataValidation type="list" allowBlank="1" showInputMessage="1" showErrorMessage="1" sqref="C30 BC4">
      <formula1>"linear, quadra, bspline, kruger, const"</formula1>
    </dataValidation>
    <dataValidation type="list" allowBlank="1" showInputMessage="1" showErrorMessage="1" sqref="C32 BC6">
      <formula1>"cont,annual,simple"</formula1>
    </dataValidation>
    <dataValidation type="list" allowBlank="1" showInputMessage="1" showErrorMessage="1" sqref="E3:E19 E39:E80 E26:E36 E22:E23 BE3:BE64">
      <formula1>"TRUE,FALSE"</formula1>
    </dataValidation>
    <dataValidation type="list" allowBlank="1" showInputMessage="1" showErrorMessage="1" sqref="BC10">
      <formula1>"0,1"</formula1>
    </dataValidation>
    <dataValidation type="list" allowBlank="1" showInputMessage="1" showErrorMessage="1" sqref="C31 BC5">
      <formula1>"r,rt,d"</formula1>
    </dataValidation>
    <dataValidation type="list" allowBlank="1" showInputMessage="1" showErrorMessage="1" sqref="C3">
      <formula1>"LIBOR,OIS"</formula1>
    </dataValidation>
    <dataValidation type="list" allowBlank="1" showInputMessage="1" showErrorMessage="1" sqref="C52">
      <formula1>"true, false"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34">
      <formula1>INDEX($AE$26:$AF$27,0,1)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AP557"/>
  <sheetViews>
    <sheetView showGridLines="0" zoomScale="90" zoomScaleNormal="90" workbookViewId="0">
      <pane ySplit="3" topLeftCell="A4" activePane="bottomLeft" state="frozen"/>
      <selection pane="bottomLeft" activeCell="C14" sqref="C14"/>
    </sheetView>
  </sheetViews>
  <sheetFormatPr defaultRowHeight="12" x14ac:dyDescent="0.2"/>
  <cols>
    <col min="1" max="1" width="2.5703125" style="1" customWidth="1"/>
    <col min="2" max="2" width="9.140625" style="1"/>
    <col min="3" max="3" width="14.28515625" style="1" bestFit="1" customWidth="1"/>
    <col min="4" max="4" width="10.28515625" style="1" bestFit="1" customWidth="1"/>
    <col min="5" max="16384" width="9.140625" style="1"/>
  </cols>
  <sheetData>
    <row r="2" spans="3:42" x14ac:dyDescent="0.2">
      <c r="E2" s="3"/>
      <c r="F2" s="3"/>
      <c r="G2" s="3"/>
      <c r="H2" s="279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3:42" x14ac:dyDescent="0.2">
      <c r="C3" s="1" t="s">
        <v>214</v>
      </c>
      <c r="D3" s="268" t="s">
        <v>39</v>
      </c>
      <c r="E3" s="268" t="s">
        <v>229</v>
      </c>
      <c r="F3" s="274" t="s">
        <v>236</v>
      </c>
      <c r="G3" s="268" t="s">
        <v>238</v>
      </c>
      <c r="H3" s="268" t="s">
        <v>239</v>
      </c>
      <c r="I3" s="268" t="s">
        <v>241</v>
      </c>
      <c r="J3" s="274" t="s">
        <v>242</v>
      </c>
      <c r="K3" s="268" t="s">
        <v>246</v>
      </c>
      <c r="L3" s="268" t="s">
        <v>247</v>
      </c>
      <c r="M3" s="268" t="s">
        <v>249</v>
      </c>
      <c r="N3" s="274" t="s">
        <v>270</v>
      </c>
      <c r="O3" s="268" t="s">
        <v>271</v>
      </c>
      <c r="P3" s="268" t="s">
        <v>272</v>
      </c>
      <c r="Q3" s="268" t="s">
        <v>273</v>
      </c>
      <c r="R3" s="268" t="s">
        <v>274</v>
      </c>
      <c r="S3" s="268" t="s">
        <v>275</v>
      </c>
      <c r="T3" s="268" t="s">
        <v>276</v>
      </c>
      <c r="U3" s="268" t="s">
        <v>277</v>
      </c>
      <c r="V3" s="268" t="s">
        <v>278</v>
      </c>
      <c r="W3" s="268" t="s">
        <v>279</v>
      </c>
      <c r="X3" s="268" t="s">
        <v>283</v>
      </c>
      <c r="Y3" s="268" t="s">
        <v>284</v>
      </c>
      <c r="Z3" s="268" t="s">
        <v>285</v>
      </c>
      <c r="AA3" s="268" t="s">
        <v>286</v>
      </c>
      <c r="AB3" s="268" t="s">
        <v>289</v>
      </c>
      <c r="AC3" s="268" t="s">
        <v>290</v>
      </c>
      <c r="AD3" s="268" t="s">
        <v>292</v>
      </c>
      <c r="AE3" s="268" t="s">
        <v>293</v>
      </c>
      <c r="AF3" s="268" t="s">
        <v>294</v>
      </c>
      <c r="AG3" s="268" t="s">
        <v>295</v>
      </c>
      <c r="AH3" s="268" t="s">
        <v>296</v>
      </c>
      <c r="AI3" s="268" t="s">
        <v>297</v>
      </c>
      <c r="AJ3" s="268" t="s">
        <v>298</v>
      </c>
      <c r="AK3" s="268" t="s">
        <v>301</v>
      </c>
      <c r="AL3" s="268" t="s">
        <v>302</v>
      </c>
      <c r="AM3" s="268" t="s">
        <v>303</v>
      </c>
      <c r="AN3" s="268" t="s">
        <v>304</v>
      </c>
      <c r="AO3" s="268" t="s">
        <v>305</v>
      </c>
      <c r="AP3" s="268" t="s">
        <v>306</v>
      </c>
    </row>
    <row r="4" spans="3:42" x14ac:dyDescent="0.2">
      <c r="C4" s="1" t="s">
        <v>215</v>
      </c>
      <c r="E4" s="266" t="str">
        <f t="shared" ref="E4:AP4" si="0">E3</f>
        <v>USD</v>
      </c>
      <c r="F4" s="266" t="str">
        <f t="shared" si="0"/>
        <v>GBP</v>
      </c>
      <c r="G4" s="266" t="str">
        <f t="shared" si="0"/>
        <v>CHF</v>
      </c>
      <c r="H4" s="266" t="str">
        <f t="shared" si="0"/>
        <v>JPY</v>
      </c>
      <c r="I4" s="266" t="str">
        <f t="shared" si="0"/>
        <v>CAD</v>
      </c>
      <c r="J4" s="266" t="str">
        <f t="shared" si="0"/>
        <v>AUD</v>
      </c>
      <c r="K4" s="266" t="str">
        <f t="shared" si="0"/>
        <v>DKK</v>
      </c>
      <c r="L4" s="266" t="str">
        <f t="shared" si="0"/>
        <v>NOK</v>
      </c>
      <c r="M4" s="266" t="str">
        <f t="shared" si="0"/>
        <v>SEK</v>
      </c>
      <c r="N4" s="266" t="str">
        <f t="shared" si="0"/>
        <v>NZD</v>
      </c>
      <c r="O4" s="266" t="str">
        <f t="shared" si="0"/>
        <v>PLN</v>
      </c>
      <c r="P4" s="266" t="str">
        <f t="shared" si="0"/>
        <v>HUF</v>
      </c>
      <c r="Q4" s="266" t="str">
        <f t="shared" si="0"/>
        <v>ZAR</v>
      </c>
      <c r="R4" s="266" t="str">
        <f t="shared" si="0"/>
        <v>CZK</v>
      </c>
      <c r="S4" s="266" t="str">
        <f t="shared" si="0"/>
        <v>TRY</v>
      </c>
      <c r="T4" s="266" t="str">
        <f t="shared" si="0"/>
        <v>HKD</v>
      </c>
      <c r="U4" s="266" t="str">
        <f t="shared" si="0"/>
        <v>CNY</v>
      </c>
      <c r="V4" s="266" t="str">
        <f t="shared" si="0"/>
        <v>BRL</v>
      </c>
      <c r="W4" s="266" t="str">
        <f t="shared" si="0"/>
        <v>RUB</v>
      </c>
      <c r="X4" s="266" t="str">
        <f t="shared" si="0"/>
        <v>INR</v>
      </c>
      <c r="Y4" s="266" t="str">
        <f t="shared" si="0"/>
        <v>MXN</v>
      </c>
      <c r="Z4" s="266" t="str">
        <f t="shared" si="0"/>
        <v>SGD</v>
      </c>
      <c r="AA4" s="266" t="str">
        <f t="shared" si="0"/>
        <v>KRW</v>
      </c>
      <c r="AB4" s="266" t="str">
        <f t="shared" si="0"/>
        <v>THB</v>
      </c>
      <c r="AC4" s="266" t="str">
        <f t="shared" si="0"/>
        <v>CLP</v>
      </c>
      <c r="AD4" s="266" t="str">
        <f t="shared" si="0"/>
        <v>COP</v>
      </c>
      <c r="AE4" s="266" t="str">
        <f t="shared" si="0"/>
        <v>IDR</v>
      </c>
      <c r="AF4" s="266" t="str">
        <f t="shared" si="0"/>
        <v>PEN</v>
      </c>
      <c r="AG4" s="266" t="str">
        <f t="shared" si="0"/>
        <v>RON</v>
      </c>
      <c r="AH4" s="266" t="str">
        <f t="shared" si="0"/>
        <v>ILS</v>
      </c>
      <c r="AI4" s="266" t="str">
        <f t="shared" si="0"/>
        <v>MYR</v>
      </c>
      <c r="AJ4" s="266" t="str">
        <f t="shared" si="0"/>
        <v>CNH</v>
      </c>
      <c r="AK4" s="266" t="str">
        <f t="shared" si="0"/>
        <v>AED</v>
      </c>
      <c r="AL4" s="266" t="str">
        <f t="shared" si="0"/>
        <v>KES</v>
      </c>
      <c r="AM4" s="266" t="str">
        <f t="shared" si="0"/>
        <v>SAR</v>
      </c>
      <c r="AN4" s="266" t="str">
        <f t="shared" si="0"/>
        <v>EGP</v>
      </c>
      <c r="AO4" s="266" t="str">
        <f t="shared" si="0"/>
        <v>TWD</v>
      </c>
      <c r="AP4" s="266" t="str">
        <f t="shared" si="0"/>
        <v>PHP</v>
      </c>
    </row>
    <row r="5" spans="3:42" x14ac:dyDescent="0.2">
      <c r="C5" s="1" t="s">
        <v>216</v>
      </c>
      <c r="E5" s="267" t="s">
        <v>39</v>
      </c>
      <c r="F5" s="267" t="s">
        <v>229</v>
      </c>
      <c r="G5" s="267" t="s">
        <v>229</v>
      </c>
      <c r="H5" s="267" t="s">
        <v>229</v>
      </c>
      <c r="I5" s="267" t="s">
        <v>229</v>
      </c>
      <c r="J5" s="267" t="s">
        <v>229</v>
      </c>
      <c r="K5" s="267" t="s">
        <v>229</v>
      </c>
      <c r="L5" s="267" t="s">
        <v>229</v>
      </c>
      <c r="M5" s="267" t="s">
        <v>229</v>
      </c>
      <c r="N5" s="267" t="s">
        <v>229</v>
      </c>
      <c r="O5" s="267" t="s">
        <v>229</v>
      </c>
      <c r="P5" s="267" t="s">
        <v>229</v>
      </c>
      <c r="Q5" s="267" t="s">
        <v>229</v>
      </c>
      <c r="R5" s="267" t="s">
        <v>229</v>
      </c>
      <c r="S5" s="267" t="s">
        <v>229</v>
      </c>
      <c r="T5" s="267" t="s">
        <v>229</v>
      </c>
      <c r="U5" s="267" t="s">
        <v>229</v>
      </c>
      <c r="V5" s="267" t="s">
        <v>229</v>
      </c>
      <c r="W5" s="267" t="s">
        <v>229</v>
      </c>
      <c r="X5" s="267" t="s">
        <v>229</v>
      </c>
      <c r="Y5" s="267" t="s">
        <v>229</v>
      </c>
      <c r="Z5" s="267" t="s">
        <v>229</v>
      </c>
      <c r="AA5" s="267" t="s">
        <v>229</v>
      </c>
      <c r="AB5" s="267" t="s">
        <v>229</v>
      </c>
      <c r="AC5" s="267" t="s">
        <v>229</v>
      </c>
      <c r="AD5" s="267" t="s">
        <v>229</v>
      </c>
      <c r="AE5" s="267" t="s">
        <v>229</v>
      </c>
      <c r="AF5" s="267" t="s">
        <v>229</v>
      </c>
      <c r="AG5" s="267" t="s">
        <v>229</v>
      </c>
      <c r="AH5" s="267" t="s">
        <v>229</v>
      </c>
      <c r="AI5" s="267" t="s">
        <v>229</v>
      </c>
      <c r="AJ5" s="267" t="s">
        <v>229</v>
      </c>
      <c r="AK5" s="267" t="s">
        <v>229</v>
      </c>
      <c r="AL5" s="267" t="s">
        <v>229</v>
      </c>
      <c r="AM5" s="267" t="s">
        <v>229</v>
      </c>
      <c r="AN5" s="267" t="s">
        <v>229</v>
      </c>
      <c r="AO5" s="267" t="s">
        <v>229</v>
      </c>
      <c r="AP5" s="267" t="s">
        <v>229</v>
      </c>
    </row>
    <row r="6" spans="3:42" x14ac:dyDescent="0.2">
      <c r="C6" s="1" t="s">
        <v>217</v>
      </c>
      <c r="E6" s="266" t="str">
        <f t="shared" ref="E6:AP6" si="1">E5</f>
        <v>EUR</v>
      </c>
      <c r="F6" s="266" t="str">
        <f t="shared" si="1"/>
        <v>USD</v>
      </c>
      <c r="G6" s="266" t="str">
        <f t="shared" si="1"/>
        <v>USD</v>
      </c>
      <c r="H6" s="266" t="str">
        <f t="shared" si="1"/>
        <v>USD</v>
      </c>
      <c r="I6" s="266" t="str">
        <f t="shared" si="1"/>
        <v>USD</v>
      </c>
      <c r="J6" s="266" t="str">
        <f t="shared" si="1"/>
        <v>USD</v>
      </c>
      <c r="K6" s="266" t="str">
        <f t="shared" si="1"/>
        <v>USD</v>
      </c>
      <c r="L6" s="266" t="str">
        <f t="shared" si="1"/>
        <v>USD</v>
      </c>
      <c r="M6" s="266" t="str">
        <f t="shared" si="1"/>
        <v>USD</v>
      </c>
      <c r="N6" s="266" t="str">
        <f t="shared" si="1"/>
        <v>USD</v>
      </c>
      <c r="O6" s="266" t="str">
        <f t="shared" si="1"/>
        <v>USD</v>
      </c>
      <c r="P6" s="266" t="str">
        <f t="shared" si="1"/>
        <v>USD</v>
      </c>
      <c r="Q6" s="266" t="str">
        <f t="shared" si="1"/>
        <v>USD</v>
      </c>
      <c r="R6" s="266" t="str">
        <f t="shared" si="1"/>
        <v>USD</v>
      </c>
      <c r="S6" s="266" t="str">
        <f t="shared" si="1"/>
        <v>USD</v>
      </c>
      <c r="T6" s="266" t="str">
        <f t="shared" si="1"/>
        <v>USD</v>
      </c>
      <c r="U6" s="266" t="str">
        <f t="shared" si="1"/>
        <v>USD</v>
      </c>
      <c r="V6" s="266" t="str">
        <f t="shared" si="1"/>
        <v>USD</v>
      </c>
      <c r="W6" s="266" t="str">
        <f t="shared" si="1"/>
        <v>USD</v>
      </c>
      <c r="X6" s="266" t="str">
        <f t="shared" si="1"/>
        <v>USD</v>
      </c>
      <c r="Y6" s="266" t="str">
        <f t="shared" si="1"/>
        <v>USD</v>
      </c>
      <c r="Z6" s="266" t="str">
        <f t="shared" si="1"/>
        <v>USD</v>
      </c>
      <c r="AA6" s="266" t="str">
        <f t="shared" si="1"/>
        <v>USD</v>
      </c>
      <c r="AB6" s="266" t="str">
        <f t="shared" si="1"/>
        <v>USD</v>
      </c>
      <c r="AC6" s="266" t="str">
        <f t="shared" si="1"/>
        <v>USD</v>
      </c>
      <c r="AD6" s="266" t="str">
        <f t="shared" si="1"/>
        <v>USD</v>
      </c>
      <c r="AE6" s="266" t="str">
        <f t="shared" si="1"/>
        <v>USD</v>
      </c>
      <c r="AF6" s="266" t="str">
        <f t="shared" si="1"/>
        <v>USD</v>
      </c>
      <c r="AG6" s="266" t="str">
        <f t="shared" si="1"/>
        <v>USD</v>
      </c>
      <c r="AH6" s="266" t="str">
        <f t="shared" si="1"/>
        <v>USD</v>
      </c>
      <c r="AI6" s="266" t="str">
        <f t="shared" si="1"/>
        <v>USD</v>
      </c>
      <c r="AJ6" s="266" t="str">
        <f t="shared" si="1"/>
        <v>USD</v>
      </c>
      <c r="AK6" s="266" t="str">
        <f t="shared" si="1"/>
        <v>USD</v>
      </c>
      <c r="AL6" s="266" t="str">
        <f t="shared" si="1"/>
        <v>USD</v>
      </c>
      <c r="AM6" s="266" t="str">
        <f t="shared" si="1"/>
        <v>USD</v>
      </c>
      <c r="AN6" s="266" t="str">
        <f t="shared" si="1"/>
        <v>USD</v>
      </c>
      <c r="AO6" s="266" t="str">
        <f t="shared" si="1"/>
        <v>USD</v>
      </c>
      <c r="AP6" s="266" t="str">
        <f t="shared" si="1"/>
        <v>USD</v>
      </c>
    </row>
    <row r="7" spans="3:42" x14ac:dyDescent="0.2">
      <c r="C7" s="1" t="s">
        <v>218</v>
      </c>
      <c r="E7" s="267" t="s">
        <v>230</v>
      </c>
      <c r="F7" s="267" t="s">
        <v>237</v>
      </c>
      <c r="G7" s="267" t="s">
        <v>250</v>
      </c>
      <c r="H7" s="267" t="s">
        <v>269</v>
      </c>
      <c r="I7" s="289" t="str">
        <f>I3</f>
        <v>CAD</v>
      </c>
      <c r="J7" s="289" t="str">
        <f t="shared" ref="J7:R7" si="2">J3</f>
        <v>AUD</v>
      </c>
      <c r="K7" s="289" t="str">
        <f t="shared" si="2"/>
        <v>DKK</v>
      </c>
      <c r="L7" s="289" t="str">
        <f t="shared" si="2"/>
        <v>NOK</v>
      </c>
      <c r="M7" s="289" t="str">
        <f t="shared" si="2"/>
        <v>SEK</v>
      </c>
      <c r="N7" s="289" t="str">
        <f t="shared" si="2"/>
        <v>NZD</v>
      </c>
      <c r="O7" s="289" t="str">
        <f t="shared" si="2"/>
        <v>PLN</v>
      </c>
      <c r="P7" s="289" t="str">
        <f t="shared" si="2"/>
        <v>HUF</v>
      </c>
      <c r="Q7" s="289" t="str">
        <f t="shared" si="2"/>
        <v>ZAR</v>
      </c>
      <c r="R7" s="289" t="str">
        <f t="shared" si="2"/>
        <v>CZK</v>
      </c>
      <c r="S7" s="289" t="str">
        <f t="shared" ref="S7:T7" si="3">S3</f>
        <v>TRY</v>
      </c>
      <c r="T7" s="289" t="str">
        <f t="shared" si="3"/>
        <v>HKD</v>
      </c>
      <c r="U7" s="289" t="str">
        <f t="shared" ref="U7:V7" si="4">U3</f>
        <v>CNY</v>
      </c>
      <c r="V7" s="289" t="str">
        <f t="shared" si="4"/>
        <v>BRL</v>
      </c>
      <c r="W7" s="289" t="str">
        <f t="shared" ref="W7" si="5">W3</f>
        <v>RUB</v>
      </c>
      <c r="X7" s="289" t="str">
        <f t="shared" ref="X7:Y7" si="6">X3</f>
        <v>INR</v>
      </c>
      <c r="Y7" s="289" t="str">
        <f t="shared" si="6"/>
        <v>MXN</v>
      </c>
      <c r="Z7" s="289" t="str">
        <f t="shared" ref="Z7:AA7" si="7">Z3</f>
        <v>SGD</v>
      </c>
      <c r="AA7" s="289" t="str">
        <f t="shared" si="7"/>
        <v>KRW</v>
      </c>
      <c r="AB7" s="289" t="str">
        <f t="shared" ref="AB7:AC7" si="8">AB3</f>
        <v>THB</v>
      </c>
      <c r="AC7" s="289" t="str">
        <f t="shared" si="8"/>
        <v>CLP</v>
      </c>
      <c r="AD7" s="289" t="str">
        <f t="shared" ref="AD7:AE7" si="9">AD3</f>
        <v>COP</v>
      </c>
      <c r="AE7" s="289" t="str">
        <f t="shared" si="9"/>
        <v>IDR</v>
      </c>
      <c r="AF7" s="289" t="str">
        <f t="shared" ref="AF7:AG7" si="10">AF3</f>
        <v>PEN</v>
      </c>
      <c r="AG7" s="289" t="str">
        <f t="shared" si="10"/>
        <v>RON</v>
      </c>
      <c r="AH7" s="289" t="str">
        <f t="shared" ref="AH7:AK7" si="11">AH3</f>
        <v>ILS</v>
      </c>
      <c r="AI7" s="289" t="str">
        <f t="shared" si="11"/>
        <v>MYR</v>
      </c>
      <c r="AJ7" s="267" t="s">
        <v>277</v>
      </c>
      <c r="AK7" s="289" t="str">
        <f t="shared" si="11"/>
        <v>AED</v>
      </c>
      <c r="AL7" s="267" t="s">
        <v>229</v>
      </c>
      <c r="AM7" s="289" t="str">
        <f t="shared" ref="AM7" si="12">AM3</f>
        <v>SAR</v>
      </c>
      <c r="AN7" s="267" t="s">
        <v>229</v>
      </c>
      <c r="AO7" s="267" t="s">
        <v>229</v>
      </c>
      <c r="AP7" s="267" t="s">
        <v>229</v>
      </c>
    </row>
    <row r="8" spans="3:42" x14ac:dyDescent="0.2">
      <c r="C8" s="1" t="s">
        <v>219</v>
      </c>
      <c r="D8" s="267" t="s">
        <v>155</v>
      </c>
      <c r="E8" s="267" t="s">
        <v>155</v>
      </c>
      <c r="F8" s="267" t="s">
        <v>230</v>
      </c>
      <c r="G8" s="267" t="s">
        <v>230</v>
      </c>
      <c r="H8" s="267" t="s">
        <v>230</v>
      </c>
      <c r="I8" s="267" t="s">
        <v>230</v>
      </c>
      <c r="J8" s="267" t="s">
        <v>230</v>
      </c>
      <c r="K8" s="267" t="s">
        <v>230</v>
      </c>
      <c r="L8" s="267" t="s">
        <v>230</v>
      </c>
      <c r="M8" s="267" t="s">
        <v>230</v>
      </c>
      <c r="N8" s="267" t="s">
        <v>230</v>
      </c>
      <c r="O8" s="267" t="s">
        <v>230</v>
      </c>
      <c r="P8" s="267" t="s">
        <v>230</v>
      </c>
      <c r="Q8" s="267" t="s">
        <v>230</v>
      </c>
      <c r="R8" s="267" t="s">
        <v>230</v>
      </c>
      <c r="S8" s="267" t="s">
        <v>230</v>
      </c>
      <c r="T8" s="267" t="s">
        <v>230</v>
      </c>
      <c r="U8" s="267" t="s">
        <v>230</v>
      </c>
      <c r="V8" s="267" t="s">
        <v>230</v>
      </c>
      <c r="W8" s="267" t="s">
        <v>230</v>
      </c>
      <c r="X8" s="267" t="s">
        <v>230</v>
      </c>
      <c r="Y8" s="267" t="s">
        <v>230</v>
      </c>
      <c r="Z8" s="267" t="s">
        <v>230</v>
      </c>
      <c r="AA8" s="267" t="s">
        <v>230</v>
      </c>
      <c r="AB8" s="267" t="s">
        <v>230</v>
      </c>
      <c r="AC8" s="267" t="s">
        <v>230</v>
      </c>
      <c r="AD8" s="267" t="s">
        <v>230</v>
      </c>
      <c r="AE8" s="267" t="s">
        <v>230</v>
      </c>
      <c r="AF8" s="267" t="s">
        <v>230</v>
      </c>
      <c r="AG8" s="267" t="s">
        <v>230</v>
      </c>
      <c r="AH8" s="267" t="s">
        <v>230</v>
      </c>
      <c r="AI8" s="267" t="s">
        <v>230</v>
      </c>
      <c r="AJ8" s="267" t="s">
        <v>230</v>
      </c>
      <c r="AK8" s="267" t="s">
        <v>230</v>
      </c>
      <c r="AL8" s="267" t="s">
        <v>230</v>
      </c>
      <c r="AM8" s="267" t="s">
        <v>230</v>
      </c>
      <c r="AN8" s="267" t="s">
        <v>230</v>
      </c>
      <c r="AO8" s="267" t="s">
        <v>230</v>
      </c>
      <c r="AP8" s="267" t="s">
        <v>230</v>
      </c>
    </row>
    <row r="9" spans="3:42" x14ac:dyDescent="0.2">
      <c r="C9" s="1" t="s">
        <v>226</v>
      </c>
      <c r="D9" s="277" t="s">
        <v>256</v>
      </c>
      <c r="E9" s="267" t="s">
        <v>231</v>
      </c>
      <c r="F9" s="267" t="str">
        <f t="shared" ref="F9:AP9" si="13">F3&amp;"="</f>
        <v>GBP=</v>
      </c>
      <c r="G9" s="267" t="str">
        <f t="shared" si="13"/>
        <v>CHF=</v>
      </c>
      <c r="H9" s="267" t="str">
        <f t="shared" si="13"/>
        <v>JPY=</v>
      </c>
      <c r="I9" s="267" t="str">
        <f t="shared" si="13"/>
        <v>CAD=</v>
      </c>
      <c r="J9" s="267" t="str">
        <f t="shared" si="13"/>
        <v>AUD=</v>
      </c>
      <c r="K9" s="267" t="str">
        <f t="shared" si="13"/>
        <v>DKK=</v>
      </c>
      <c r="L9" s="267" t="str">
        <f t="shared" si="13"/>
        <v>NOK=</v>
      </c>
      <c r="M9" s="267" t="str">
        <f t="shared" si="13"/>
        <v>SEK=</v>
      </c>
      <c r="N9" s="267" t="str">
        <f t="shared" si="13"/>
        <v>NZD=</v>
      </c>
      <c r="O9" s="267" t="str">
        <f t="shared" si="13"/>
        <v>PLN=</v>
      </c>
      <c r="P9" s="267" t="str">
        <f t="shared" si="13"/>
        <v>HUF=</v>
      </c>
      <c r="Q9" s="267" t="str">
        <f t="shared" si="13"/>
        <v>ZAR=</v>
      </c>
      <c r="R9" s="267" t="str">
        <f t="shared" si="13"/>
        <v>CZK=</v>
      </c>
      <c r="S9" s="267" t="str">
        <f t="shared" si="13"/>
        <v>TRY=</v>
      </c>
      <c r="T9" s="267" t="str">
        <f t="shared" si="13"/>
        <v>HKD=</v>
      </c>
      <c r="U9" s="267" t="str">
        <f t="shared" si="13"/>
        <v>CNY=</v>
      </c>
      <c r="V9" s="267" t="str">
        <f t="shared" si="13"/>
        <v>BRL=</v>
      </c>
      <c r="W9" s="267" t="str">
        <f t="shared" si="13"/>
        <v>RUB=</v>
      </c>
      <c r="X9" s="267" t="str">
        <f t="shared" si="13"/>
        <v>INR=</v>
      </c>
      <c r="Y9" s="267" t="str">
        <f t="shared" si="13"/>
        <v>MXN=</v>
      </c>
      <c r="Z9" s="267" t="str">
        <f t="shared" si="13"/>
        <v>SGD=</v>
      </c>
      <c r="AA9" s="267" t="str">
        <f t="shared" si="13"/>
        <v>KRW=</v>
      </c>
      <c r="AB9" s="267" t="str">
        <f t="shared" si="13"/>
        <v>THB=</v>
      </c>
      <c r="AC9" s="267" t="str">
        <f t="shared" si="13"/>
        <v>CLP=</v>
      </c>
      <c r="AD9" s="267" t="str">
        <f t="shared" si="13"/>
        <v>COP=</v>
      </c>
      <c r="AE9" s="267" t="str">
        <f t="shared" si="13"/>
        <v>IDR=</v>
      </c>
      <c r="AF9" s="267" t="str">
        <f t="shared" si="13"/>
        <v>PEN=</v>
      </c>
      <c r="AG9" s="267" t="str">
        <f t="shared" si="13"/>
        <v>RON=</v>
      </c>
      <c r="AH9" s="267" t="str">
        <f t="shared" si="13"/>
        <v>ILS=</v>
      </c>
      <c r="AI9" s="267" t="str">
        <f t="shared" si="13"/>
        <v>MYR=</v>
      </c>
      <c r="AJ9" s="267" t="str">
        <f t="shared" si="13"/>
        <v>CNH=</v>
      </c>
      <c r="AK9" s="267" t="str">
        <f t="shared" si="13"/>
        <v>AED=</v>
      </c>
      <c r="AL9" s="267" t="str">
        <f t="shared" si="13"/>
        <v>KES=</v>
      </c>
      <c r="AM9" s="267" t="str">
        <f t="shared" si="13"/>
        <v>SAR=</v>
      </c>
      <c r="AN9" s="267" t="str">
        <f t="shared" si="13"/>
        <v>EGP=</v>
      </c>
      <c r="AO9" s="267" t="str">
        <f t="shared" si="13"/>
        <v>TWD=</v>
      </c>
      <c r="AP9" s="267" t="str">
        <f t="shared" si="13"/>
        <v>PHP=</v>
      </c>
    </row>
    <row r="10" spans="3:42" x14ac:dyDescent="0.2">
      <c r="C10" s="1" t="s">
        <v>220</v>
      </c>
      <c r="E10" s="4">
        <f>IF($D9="BBG",E151,_xll.RtGet("IDN",E9,"BID"))</f>
        <v>1.06555</v>
      </c>
      <c r="F10" s="4">
        <f>IF($D9="BBG",F151,_xll.RtGet("IDN",F9,"BID"))</f>
        <v>1.2314000000000001</v>
      </c>
      <c r="G10" s="4">
        <f>IF($D9="BBG",G151,_xll.RtGet("IDN",G9,"BID"))</f>
        <v>1.0060500000000001</v>
      </c>
      <c r="H10" s="4">
        <f>IF($D9="BBG",H151,_xll.RtGet("IDN",H9,"BID"))</f>
        <v>114.625</v>
      </c>
      <c r="I10" s="4">
        <f>IF($D9="BBG",I151,_xll.RtGet("IDN",I9,"BID"))</f>
        <v>1.3266499999999999</v>
      </c>
      <c r="J10" s="4">
        <f>IF($D9="BBG",J151,_xll.RtGet("IDN",J9,"BID"))</f>
        <v>0.75470000000000004</v>
      </c>
      <c r="K10" s="4">
        <f>IF($D9="BBG",K151,_xll.RtGet("IDN",K9,"BID"))</f>
        <v>6.9790999999999999</v>
      </c>
      <c r="L10" s="4">
        <f>IF($D9="BBG",L151,_xll.RtGet("IDN",L9,"BID"))</f>
        <v>8.4648000000000003</v>
      </c>
      <c r="M10" s="4">
        <f>IF($D9="BBG",M151,_xll.RtGet("IDN",M9,"BID"))</f>
        <v>8.9327499999999986</v>
      </c>
      <c r="N10" s="4">
        <f>IF($D9="BBG",N151,_xll.RtGet("IDN",N9,"BID"))</f>
        <v>0.71720000000000006</v>
      </c>
      <c r="O10" s="4">
        <f>IF($D9="BBG",O151,_xll.RtGet("IDN",O9,"BID"))</f>
        <v>4.0972999999999997</v>
      </c>
      <c r="P10" s="4">
        <f>IF($D9="BBG",P151,_xll.RtGet("IDN",P9,"BID"))</f>
        <v>289.03999999999996</v>
      </c>
      <c r="Q10" s="4">
        <f>IF($D9="BBG",Q151,_xll.RtGet("IDN",Q9,"BID"))</f>
        <v>13.550850000000001</v>
      </c>
      <c r="R10" s="4">
        <f>IF($D9="BBG",R151,_xll.RtGet("IDN",R9,"BID"))</f>
        <v>25.359500000000001</v>
      </c>
      <c r="S10" s="4">
        <f>IF($D9="BBG",S151,_xll.RtGet("IDN",S9,"BID"))</f>
        <v>3.7893499999999998</v>
      </c>
      <c r="T10" s="4">
        <f>IF($D9="BBG",T151,_xll.RtGet("IDN",T9,"BID"))</f>
        <v>7.7568999999999999</v>
      </c>
      <c r="U10" s="4">
        <f>IF($D9="BBG",U151,_xll.RtGet("IDN",U9,"BID"))</f>
        <v>6.8706999999999994</v>
      </c>
      <c r="V10" s="4">
        <f>IF($D9="BBG",V151,_xll.RtGet("IDN",V9,"BID"))</f>
        <v>3.2232000000000003</v>
      </c>
      <c r="W10" s="4">
        <f>IF($D9="BBG",W151,_xll.RtGet("IDN",W9,"BID"))</f>
        <v>59.689149999999998</v>
      </c>
      <c r="X10" s="4">
        <f>IF($D9="BBG",X151,_xll.RtGet("IDN",X9,"BID"))</f>
        <v>68.164999999999992</v>
      </c>
      <c r="Y10" s="4">
        <f>IF($D9="BBG",Y151,_xll.RtGet("IDN",Y9,"BID"))</f>
        <v>21.904899999999998</v>
      </c>
      <c r="Z10" s="4">
        <f>IF($D9="BBG",Z151,_xll.RtGet("IDN",Z9,"BID"))</f>
        <v>1.4271</v>
      </c>
      <c r="AA10" s="4">
        <f>IF($D9="BBG",AA151,_xll.RtGet("IDN",AA9,"BID"))</f>
        <v>1177.5</v>
      </c>
      <c r="AB10" s="4">
        <f>IF($D9="BBG",AB151,_xll.RtGet("IDN",AB9,"BID"))</f>
        <v>35.388500000000001</v>
      </c>
      <c r="AC10" s="4">
        <f>IF($D9="BBG",AC151,_xll.RtGet("IDN",AC9,"BID"))</f>
        <v>659.21</v>
      </c>
      <c r="AD10" s="4">
        <f>IF($D9="BBG",AD151,_xll.RtGet("IDN",AD9,"BID"))</f>
        <v>2933.605</v>
      </c>
      <c r="AE10" s="4">
        <f>IF($D9="BBG",AE151,_xll.RtGet("IDN",AE9,"BID"))</f>
        <v>13378</v>
      </c>
      <c r="AF10" s="4">
        <f>IF($D9="BBG",AF151,_xll.RtGet("IDN",AF9,"BID"))</f>
        <v>3.3392499999999998</v>
      </c>
      <c r="AG10" s="4">
        <f>IF($D9="BBG",AG151,_xll.RtGet("IDN",AG9,"BID"))</f>
        <v>4.2183000000000002</v>
      </c>
      <c r="AH10" s="4">
        <f>IF($D9="BBG",AH151,_xll.RtGet("IDN",AH9,"BID"))</f>
        <v>3.8126500000000001</v>
      </c>
      <c r="AI10" s="4">
        <f>IF($D9="BBG",AI151,_xll.RtGet("IDN",AI9,"BID"))</f>
        <v>4.4522499999999994</v>
      </c>
      <c r="AJ10" s="4">
        <f>IF($D9="BBG",AJ151,_xll.RtGet("IDN",AJ9,"BID"))</f>
        <v>6.8376000000000001</v>
      </c>
      <c r="AK10" s="4">
        <f>IF($D9="BBG",AK151,_xll.RtGet("IDN",AK9,"BID"))</f>
        <v>3.6729500000000002</v>
      </c>
      <c r="AL10" s="4">
        <f>IF($D9="BBG",AL151,_xll.RtGet("IDN",AL9,"BID"))</f>
        <v>103.95</v>
      </c>
      <c r="AM10" s="4">
        <f>IF($D9="BBG",AM151,_xll.RtGet("IDN",AM9,"BID"))</f>
        <v>3.7505500000000001</v>
      </c>
      <c r="AN10" s="4">
        <f>IF($D9="BBG",AN151,_xll.RtGet("IDN",AN9,"BID"))</f>
        <v>18.841549999999998</v>
      </c>
      <c r="AO10" s="4">
        <f>IF($D9="BBG",AO151,_xll.RtGet("IDN",AO9,"BID"))</f>
        <v>31.591000000000001</v>
      </c>
      <c r="AP10" s="4">
        <f>IF($D9="BBG",AP151,_xll.RtGet("IDN",AP9,"BID"))</f>
        <v>49.977000000000004</v>
      </c>
    </row>
    <row r="11" spans="3:42" x14ac:dyDescent="0.2">
      <c r="C11" s="1" t="s">
        <v>221</v>
      </c>
      <c r="E11" s="1">
        <v>10000</v>
      </c>
      <c r="F11" s="1">
        <v>10000</v>
      </c>
      <c r="G11" s="1">
        <v>10000</v>
      </c>
      <c r="H11" s="1">
        <v>100</v>
      </c>
      <c r="I11" s="1">
        <v>10000</v>
      </c>
      <c r="J11" s="1">
        <v>10000</v>
      </c>
      <c r="K11" s="1">
        <v>10000</v>
      </c>
      <c r="L11" s="1">
        <v>10000</v>
      </c>
      <c r="M11" s="1">
        <v>10000</v>
      </c>
      <c r="N11" s="1">
        <v>10000</v>
      </c>
      <c r="O11" s="1">
        <v>10000</v>
      </c>
      <c r="P11" s="1">
        <v>100</v>
      </c>
      <c r="Q11" s="1">
        <v>10000</v>
      </c>
      <c r="R11" s="1">
        <v>1000</v>
      </c>
      <c r="S11" s="1">
        <v>10000</v>
      </c>
      <c r="T11" s="1">
        <v>10000</v>
      </c>
      <c r="U11" s="1">
        <v>10000</v>
      </c>
      <c r="V11" s="1">
        <v>10000</v>
      </c>
      <c r="W11" s="1">
        <v>10000</v>
      </c>
      <c r="X11" s="1">
        <v>100</v>
      </c>
      <c r="Y11" s="1">
        <v>10000</v>
      </c>
      <c r="Z11" s="1">
        <v>10000</v>
      </c>
      <c r="AA11" s="1">
        <v>1</v>
      </c>
      <c r="AB11" s="1">
        <v>100</v>
      </c>
      <c r="AC11" s="1">
        <v>1</v>
      </c>
      <c r="AD11" s="1">
        <v>1</v>
      </c>
      <c r="AE11" s="1">
        <v>1</v>
      </c>
      <c r="AF11" s="1">
        <v>10000</v>
      </c>
      <c r="AG11" s="1">
        <v>10000</v>
      </c>
      <c r="AH11" s="1">
        <v>10000</v>
      </c>
      <c r="AI11" s="1">
        <v>10000</v>
      </c>
      <c r="AJ11" s="1">
        <v>10000</v>
      </c>
      <c r="AK11" s="1">
        <v>10000</v>
      </c>
      <c r="AL11" s="1">
        <v>100</v>
      </c>
      <c r="AM11" s="1">
        <v>10000</v>
      </c>
      <c r="AN11" s="1">
        <v>10000</v>
      </c>
      <c r="AO11" s="1">
        <v>1</v>
      </c>
      <c r="AP11" s="1">
        <v>1</v>
      </c>
    </row>
    <row r="12" spans="3:42" x14ac:dyDescent="0.2">
      <c r="C12" s="306" t="s">
        <v>232</v>
      </c>
      <c r="D12" s="267">
        <v>2</v>
      </c>
      <c r="E12" s="267">
        <v>2</v>
      </c>
      <c r="F12" s="267">
        <v>2</v>
      </c>
      <c r="G12" s="267">
        <v>2</v>
      </c>
      <c r="H12" s="267">
        <v>2</v>
      </c>
      <c r="I12" s="267">
        <v>1</v>
      </c>
      <c r="J12" s="267">
        <v>2</v>
      </c>
      <c r="K12" s="267">
        <v>2</v>
      </c>
      <c r="L12" s="267">
        <v>2</v>
      </c>
      <c r="M12" s="267">
        <v>2</v>
      </c>
      <c r="N12" s="267">
        <v>2</v>
      </c>
      <c r="O12" s="267">
        <v>2</v>
      </c>
      <c r="P12" s="267">
        <v>2</v>
      </c>
      <c r="Q12" s="267">
        <v>2</v>
      </c>
      <c r="R12" s="267">
        <v>2</v>
      </c>
      <c r="S12" s="267">
        <v>2</v>
      </c>
      <c r="T12" s="267">
        <v>2</v>
      </c>
      <c r="U12" s="267">
        <v>2</v>
      </c>
      <c r="V12" s="267">
        <v>2</v>
      </c>
      <c r="W12" s="267">
        <v>2</v>
      </c>
      <c r="X12" s="267">
        <v>2</v>
      </c>
      <c r="Y12" s="267">
        <v>2</v>
      </c>
      <c r="Z12" s="267">
        <v>2</v>
      </c>
      <c r="AA12" s="267">
        <v>2</v>
      </c>
      <c r="AB12" s="267">
        <v>2</v>
      </c>
      <c r="AC12" s="267">
        <v>2</v>
      </c>
      <c r="AD12" s="267">
        <v>2</v>
      </c>
      <c r="AE12" s="267">
        <v>2</v>
      </c>
      <c r="AF12" s="267">
        <v>2</v>
      </c>
      <c r="AG12" s="267">
        <v>2</v>
      </c>
      <c r="AH12" s="267">
        <v>2</v>
      </c>
      <c r="AI12" s="267">
        <v>2</v>
      </c>
      <c r="AJ12" s="267">
        <v>2</v>
      </c>
      <c r="AK12" s="267">
        <v>2</v>
      </c>
      <c r="AL12" s="267">
        <v>2</v>
      </c>
      <c r="AM12" s="267">
        <v>2</v>
      </c>
      <c r="AN12" s="267">
        <v>2</v>
      </c>
      <c r="AO12" s="267">
        <v>2</v>
      </c>
      <c r="AP12" s="267">
        <v>2</v>
      </c>
    </row>
    <row r="13" spans="3:42" x14ac:dyDescent="0.2">
      <c r="C13" s="1" t="s">
        <v>222</v>
      </c>
      <c r="D13" s="3">
        <f>_xll.xlDateSettle(D8,today,D12)</f>
        <v>42758</v>
      </c>
      <c r="E13" s="3">
        <f>_xll.xlDateSettle(E7,today,E12)</f>
        <v>42758</v>
      </c>
      <c r="F13" s="3">
        <f>_xll.xlDateSettle(F7,today,F12)</f>
        <v>42758</v>
      </c>
      <c r="G13" s="3">
        <f>_xll.xlDateSettle(G7,today,G12)</f>
        <v>42758</v>
      </c>
      <c r="H13" s="3">
        <f>_xll.xlDateSettle(H7,today,H12)</f>
        <v>42758</v>
      </c>
      <c r="I13" s="3">
        <f>_xll.xlDateSettle(I7,today,I12)</f>
        <v>42755</v>
      </c>
      <c r="J13" s="3">
        <f>_xll.xlDateSettle(J7,today,J12)</f>
        <v>42758</v>
      </c>
      <c r="K13" s="3">
        <f>_xll.xlDateSettle(K7,today,K12)</f>
        <v>42758</v>
      </c>
      <c r="L13" s="3">
        <f>_xll.xlDateSettle(L7,today,L12)</f>
        <v>42758</v>
      </c>
      <c r="M13" s="3">
        <f>_xll.xlDateSettle(M7,today,M12)</f>
        <v>42758</v>
      </c>
      <c r="N13" s="3">
        <f>_xll.xlDateSettle(N7,today,N12)</f>
        <v>42758</v>
      </c>
      <c r="O13" s="3">
        <f>_xll.xlDateSettle(O7,today,O12)</f>
        <v>42758</v>
      </c>
      <c r="P13" s="3">
        <f>_xll.xlDateSettle(P7,today,P12)</f>
        <v>42758</v>
      </c>
      <c r="Q13" s="3">
        <f>_xll.xlDateSettle(Q7,today,Q12)</f>
        <v>42758</v>
      </c>
      <c r="R13" s="3">
        <f>_xll.xlDateSettle(R7,today,R12)</f>
        <v>42758</v>
      </c>
      <c r="S13" s="3">
        <f>_xll.xlDateSettle(S7,today,S12)</f>
        <v>42758</v>
      </c>
      <c r="T13" s="3">
        <f>_xll.xlDateSettle(T7,today,T12)</f>
        <v>42760</v>
      </c>
      <c r="U13" s="3">
        <f>_xll.xlDateSettle(U7,today,U12)</f>
        <v>42767</v>
      </c>
      <c r="V13" s="3">
        <f>_xll.xlDateSettle(V7,today,V12)</f>
        <v>42758</v>
      </c>
      <c r="W13" s="3">
        <f>_xll.xlDateSettle(W7,today,W12)</f>
        <v>42758</v>
      </c>
      <c r="X13" s="3">
        <f>_xll.xlDateSettle(X7,today,X12)</f>
        <v>42758</v>
      </c>
      <c r="Y13" s="3">
        <f>_xll.xlDateSettle(Y7,today,Y12)</f>
        <v>42758</v>
      </c>
      <c r="Z13" s="3">
        <f>_xll.xlDateSettle(Z7,today,Z12)</f>
        <v>42758</v>
      </c>
      <c r="AA13" s="3">
        <f>_xll.xlDateSettle(AA7,today,AA12)</f>
        <v>42758</v>
      </c>
      <c r="AB13" s="3">
        <f>_xll.xlDateSettle(AB7,today,AB12)</f>
        <v>42758</v>
      </c>
      <c r="AC13" s="3">
        <f>_xll.xlDateSettle(AC7,today,AC12)</f>
        <v>42758</v>
      </c>
      <c r="AD13" s="3">
        <f>_xll.xlDateSettle(AD7,today,AD12)</f>
        <v>42758</v>
      </c>
      <c r="AE13" s="3">
        <f>_xll.xlDateSettle(AE7,today,AE12)</f>
        <v>42758</v>
      </c>
      <c r="AF13" s="3">
        <f>_xll.xlDateSettle(AF7,today,AF12)</f>
        <v>42758</v>
      </c>
      <c r="AG13" s="3">
        <f>_xll.xlDateSettle(AG7,today,AG12)</f>
        <v>42758</v>
      </c>
      <c r="AH13" s="3">
        <f>_xll.xlDateSettle(AH7,today,AH12)</f>
        <v>42758</v>
      </c>
      <c r="AI13" s="3">
        <f>_xll.xlDateSettle(AI7,today,AI12)</f>
        <v>42758</v>
      </c>
      <c r="AJ13" s="3">
        <f>_xll.xlDateSettle(AJ7,today,AJ12)</f>
        <v>42767</v>
      </c>
      <c r="AK13" s="3">
        <f>_xll.xlDateSettle(AK7,today,AK12)</f>
        <v>42758</v>
      </c>
      <c r="AL13" s="3">
        <f>_xll.xlDateSettle(AL7,today,AL12)</f>
        <v>42758</v>
      </c>
      <c r="AM13" s="3">
        <f>_xll.xlDateSettle(AM7,today,AM12)</f>
        <v>42759</v>
      </c>
      <c r="AN13" s="3">
        <f>_xll.xlDateSettle(AN7,today,AN12)</f>
        <v>42758</v>
      </c>
      <c r="AO13" s="3">
        <f>_xll.xlDateSettle(AO7,today,AO12)</f>
        <v>42758</v>
      </c>
      <c r="AP13" s="3">
        <f>_xll.xlDateSettle(AP7,today,AP12)</f>
        <v>42758</v>
      </c>
    </row>
    <row r="14" spans="3:42" x14ac:dyDescent="0.2">
      <c r="C14" s="306" t="s">
        <v>223</v>
      </c>
      <c r="D14" s="267">
        <v>1</v>
      </c>
      <c r="E14" s="267">
        <v>1</v>
      </c>
      <c r="F14" s="267">
        <v>1</v>
      </c>
      <c r="G14" s="267">
        <v>1</v>
      </c>
      <c r="H14" s="267">
        <v>2</v>
      </c>
      <c r="I14" s="267">
        <v>2</v>
      </c>
      <c r="J14" s="267">
        <v>2</v>
      </c>
      <c r="K14" s="267">
        <v>1</v>
      </c>
      <c r="L14" s="267">
        <v>1</v>
      </c>
      <c r="M14" s="267">
        <v>1</v>
      </c>
      <c r="N14" s="267">
        <v>2</v>
      </c>
      <c r="O14" s="267">
        <v>1</v>
      </c>
      <c r="P14" s="267">
        <v>1</v>
      </c>
      <c r="Q14" s="267">
        <v>4</v>
      </c>
      <c r="R14" s="267">
        <v>1</v>
      </c>
      <c r="S14" s="267">
        <v>1</v>
      </c>
      <c r="T14" s="267">
        <v>4</v>
      </c>
      <c r="U14" s="267">
        <v>4</v>
      </c>
      <c r="V14" s="267">
        <v>12</v>
      </c>
      <c r="W14" s="267">
        <v>1</v>
      </c>
      <c r="X14" s="267">
        <v>2</v>
      </c>
      <c r="Y14" s="267">
        <v>12</v>
      </c>
      <c r="Z14" s="267">
        <v>2</v>
      </c>
      <c r="AA14" s="267">
        <v>4</v>
      </c>
      <c r="AB14" s="267">
        <v>2</v>
      </c>
      <c r="AC14" s="267">
        <v>1</v>
      </c>
      <c r="AD14" s="267">
        <v>4</v>
      </c>
      <c r="AE14" s="267">
        <v>4</v>
      </c>
      <c r="AF14" s="267">
        <v>4</v>
      </c>
      <c r="AG14" s="267">
        <v>1</v>
      </c>
      <c r="AH14" s="267">
        <v>1</v>
      </c>
      <c r="AI14" s="267">
        <v>4</v>
      </c>
      <c r="AJ14" s="267">
        <v>4</v>
      </c>
      <c r="AK14" s="267">
        <v>4</v>
      </c>
      <c r="AL14" s="267">
        <v>12</v>
      </c>
      <c r="AM14" s="267">
        <v>12</v>
      </c>
      <c r="AN14" s="267">
        <v>12</v>
      </c>
      <c r="AO14" s="267">
        <v>4</v>
      </c>
      <c r="AP14" s="267">
        <v>4</v>
      </c>
    </row>
    <row r="15" spans="3:42" x14ac:dyDescent="0.2">
      <c r="C15" s="1" t="s">
        <v>224</v>
      </c>
      <c r="E15" s="1">
        <f t="shared" ref="E15:J15" si="14">INDEX(E20:E23,MATCH(E13,E52:E55,0))</f>
        <v>0.99990889718936726</v>
      </c>
      <c r="F15" s="1">
        <f t="shared" si="14"/>
        <v>0.99997444509751421</v>
      </c>
      <c r="G15" s="1">
        <f t="shared" si="14"/>
        <v>1.000092230727945</v>
      </c>
      <c r="H15" s="1">
        <f t="shared" si="14"/>
        <v>1</v>
      </c>
      <c r="I15" s="1">
        <f t="shared" si="14"/>
        <v>0.99998819458381394</v>
      </c>
      <c r="J15" s="1">
        <f t="shared" si="14"/>
        <v>0.999802816666713</v>
      </c>
      <c r="K15" s="1">
        <f t="shared" ref="K15:L15" si="15">INDEX(K20:K23,MATCH(K13,K52:K55,0))</f>
        <v>1.0000833402783564</v>
      </c>
      <c r="L15" s="1">
        <f t="shared" si="15"/>
        <v>0.99994167006924606</v>
      </c>
      <c r="M15" s="1">
        <f t="shared" ref="M15:N15" si="16">INDEX(M20:M23,MATCH(M13,M52:M55,0))</f>
        <v>1.0000611148459071</v>
      </c>
      <c r="N15" s="1">
        <f t="shared" si="16"/>
        <v>0.99980503801758658</v>
      </c>
      <c r="O15" s="1">
        <f t="shared" ref="O15:P15" si="17">INDEX(O20:O23,MATCH(O13,O52:O55,0))</f>
        <v>0.99985835339993501</v>
      </c>
      <c r="P15" s="1">
        <f t="shared" si="17"/>
        <v>1.0000588923569944</v>
      </c>
      <c r="Q15" s="1">
        <f t="shared" ref="Q15:R15" si="18">INDEX(Q20:Q23,MATCH(Q13,Q52:Q55,0))</f>
        <v>0.99924224130034711</v>
      </c>
      <c r="R15" s="1">
        <f t="shared" si="18"/>
        <v>1.000016666944449</v>
      </c>
      <c r="S15" s="1">
        <f t="shared" ref="S15:T15" si="19">INDEX(S20:S23,MATCH(S13,S52:S55,0))</f>
        <v>0.99896773334221289</v>
      </c>
      <c r="T15" s="1">
        <f t="shared" si="19"/>
        <v>0.99997750050623857</v>
      </c>
      <c r="U15" s="1">
        <f t="shared" ref="U15:V15" si="20">INDEX(U20:U23,MATCH(U13,U52:U55,0))</f>
        <v>0.99963901924305121</v>
      </c>
      <c r="V15" s="1">
        <f t="shared" si="20"/>
        <v>0.99865450904699038</v>
      </c>
      <c r="W15" s="1">
        <f t="shared" ref="W15" si="21">INDEX(W20:W23,MATCH(W13,W52:W55,0))</f>
        <v>0.99887903574877079</v>
      </c>
      <c r="X15" s="1">
        <f t="shared" ref="X15:Y15" si="22">INDEX(X20:X23,MATCH(X13,X52:X55,0))</f>
        <v>0.99931435931458135</v>
      </c>
      <c r="Y15" s="1">
        <f t="shared" si="22"/>
        <v>0.99921102855211574</v>
      </c>
      <c r="Z15" s="1">
        <f t="shared" ref="Z15:AA15" si="23">INDEX(Z20:Z23,MATCH(Z13,Z52:Z55,0))</f>
        <v>0.99966048705263466</v>
      </c>
      <c r="AA15" s="1">
        <f t="shared" si="23"/>
        <v>0.99994528077213551</v>
      </c>
      <c r="AB15" s="1">
        <f t="shared" ref="AB15:AC15" si="24">INDEX(AB20:AB23,MATCH(AB13,AB52:AB55,0))</f>
        <v>0.99974434154007374</v>
      </c>
      <c r="AC15" s="1">
        <f t="shared" si="24"/>
        <v>0.99962669496424716</v>
      </c>
      <c r="AD15" s="1">
        <f t="shared" ref="AD15:AE15" si="25">INDEX(AD20:AD23,MATCH(AD13,AD52:AD55,0))</f>
        <v>0.99925771805843566</v>
      </c>
      <c r="AE15" s="1">
        <f t="shared" si="25"/>
        <v>0.99953910141434787</v>
      </c>
      <c r="AF15" s="1">
        <f t="shared" ref="AF15:AG15" si="26">INDEX(AF20:AF23,MATCH(AF13,AF52:AF55,0))</f>
        <v>0.9994518561819874</v>
      </c>
      <c r="AG15" s="1">
        <f t="shared" si="26"/>
        <v>0.99996389019285414</v>
      </c>
      <c r="AH15" s="1">
        <f t="shared" ref="AH15:AI15" si="27">INDEX(AH20:AH23,MATCH(AH13,AH52:AH55,0))</f>
        <v>0.99998888901234428</v>
      </c>
      <c r="AI15" s="1">
        <f t="shared" si="27"/>
        <v>0.99966955367531296</v>
      </c>
      <c r="AJ15" s="1">
        <f t="shared" ref="AJ15:AK15" si="28">INDEX(AJ20:AJ23,MATCH(AJ13,AJ52:AJ55,0))</f>
        <v>0.99963901924305121</v>
      </c>
      <c r="AK15" s="1">
        <f t="shared" si="28"/>
        <v>0.99994889150110111</v>
      </c>
      <c r="AL15" s="1">
        <f t="shared" ref="AL15:AM15" si="29">INDEX(AL20:AL23,MATCH(AL13,AL52:AL55,0))</f>
        <v>0.99916736053288935</v>
      </c>
      <c r="AM15" s="1">
        <f t="shared" si="29"/>
        <v>0.99990973037156361</v>
      </c>
      <c r="AN15" s="1">
        <f t="shared" ref="AN15:AO15" si="30">INDEX(AN20:AN23,MATCH(AN13,AN52:AN55,0))</f>
        <v>0.99969453778012274</v>
      </c>
      <c r="AO15" s="1">
        <f t="shared" si="30"/>
        <v>0.99998277807437774</v>
      </c>
      <c r="AP15" s="1">
        <f t="shared" ref="AP15" si="31">INDEX(AP20:AP23,MATCH(AP13,AP52:AP55,0))</f>
        <v>0.99980553782289339</v>
      </c>
    </row>
    <row r="16" spans="3:42" x14ac:dyDescent="0.2">
      <c r="C16" s="1" t="s">
        <v>225</v>
      </c>
      <c r="E16" s="1">
        <f t="shared" ref="E16:AP16" si="32">INDEX(E84:E87,MATCH(E13,E52:E55,0))</f>
        <v>1.0000411124816018</v>
      </c>
      <c r="F16" s="1">
        <f t="shared" si="32"/>
        <v>0.99990889718936726</v>
      </c>
      <c r="G16" s="1">
        <f t="shared" si="32"/>
        <v>0.99990889718936726</v>
      </c>
      <c r="H16" s="1">
        <f t="shared" si="32"/>
        <v>0.99990889718936726</v>
      </c>
      <c r="I16" s="1">
        <f t="shared" si="32"/>
        <v>0.99997833380276768</v>
      </c>
      <c r="J16" s="1">
        <f t="shared" si="32"/>
        <v>0.99990889718936726</v>
      </c>
      <c r="K16" s="1">
        <f t="shared" si="32"/>
        <v>0.99990889718936726</v>
      </c>
      <c r="L16" s="1">
        <f t="shared" si="32"/>
        <v>0.99990889718936726</v>
      </c>
      <c r="M16" s="1">
        <f t="shared" si="32"/>
        <v>0.99990889718936726</v>
      </c>
      <c r="N16" s="1">
        <f t="shared" si="32"/>
        <v>0.99990889718936726</v>
      </c>
      <c r="O16" s="1">
        <f t="shared" si="32"/>
        <v>0.99990889718936726</v>
      </c>
      <c r="P16" s="1">
        <f t="shared" si="32"/>
        <v>0.99990889718936726</v>
      </c>
      <c r="Q16" s="1">
        <f t="shared" si="32"/>
        <v>0.99990889718936726</v>
      </c>
      <c r="R16" s="1">
        <f t="shared" si="32"/>
        <v>0.99990889718936726</v>
      </c>
      <c r="S16" s="1">
        <f t="shared" si="32"/>
        <v>0.99990889718936726</v>
      </c>
      <c r="T16" s="1">
        <f t="shared" si="32"/>
        <v>0.99986037805771366</v>
      </c>
      <c r="U16" s="1">
        <f t="shared" si="32"/>
        <v>0.99964581974739897</v>
      </c>
      <c r="V16" s="1">
        <f t="shared" si="32"/>
        <v>0.99990889718936726</v>
      </c>
      <c r="W16" s="1">
        <f t="shared" si="32"/>
        <v>0.99990889718936726</v>
      </c>
      <c r="X16" s="1">
        <f t="shared" si="32"/>
        <v>0.99990889718936726</v>
      </c>
      <c r="Y16" s="1">
        <f t="shared" si="32"/>
        <v>0.99990889718936726</v>
      </c>
      <c r="Z16" s="1">
        <f t="shared" si="32"/>
        <v>0.99990889718936726</v>
      </c>
      <c r="AA16" s="1">
        <f t="shared" si="32"/>
        <v>0.99990889718936726</v>
      </c>
      <c r="AB16" s="1">
        <f t="shared" si="32"/>
        <v>0.99990889718936726</v>
      </c>
      <c r="AC16" s="1">
        <f t="shared" si="32"/>
        <v>0.99990889718936726</v>
      </c>
      <c r="AD16" s="1">
        <f t="shared" si="32"/>
        <v>0.99990889718936726</v>
      </c>
      <c r="AE16" s="1">
        <f t="shared" si="32"/>
        <v>0.99990889718936726</v>
      </c>
      <c r="AF16" s="1">
        <f t="shared" si="32"/>
        <v>0.99990889718936726</v>
      </c>
      <c r="AG16" s="1">
        <f t="shared" si="32"/>
        <v>0.99990889718936726</v>
      </c>
      <c r="AH16" s="1">
        <f t="shared" si="32"/>
        <v>0.99990889718936726</v>
      </c>
      <c r="AI16" s="1">
        <f t="shared" si="32"/>
        <v>0.99990889718936726</v>
      </c>
      <c r="AJ16" s="1">
        <f t="shared" si="32"/>
        <v>0.99964581974739897</v>
      </c>
      <c r="AK16" s="1">
        <f t="shared" si="32"/>
        <v>0.99990889718936726</v>
      </c>
      <c r="AL16" s="1">
        <f t="shared" si="32"/>
        <v>0.99990889718936726</v>
      </c>
      <c r="AM16" s="1">
        <f t="shared" si="32"/>
        <v>0.99988751265482634</v>
      </c>
      <c r="AN16" s="1">
        <f t="shared" si="32"/>
        <v>0.99990889718936726</v>
      </c>
      <c r="AO16" s="1">
        <f t="shared" si="32"/>
        <v>0.99990889718936726</v>
      </c>
      <c r="AP16" s="1">
        <f t="shared" si="32"/>
        <v>0.99990889718936726</v>
      </c>
    </row>
    <row r="17" spans="2:42" x14ac:dyDescent="0.2">
      <c r="C17" s="306" t="s">
        <v>227</v>
      </c>
      <c r="D17" s="267"/>
      <c r="E17" s="267">
        <v>4</v>
      </c>
      <c r="F17" s="267">
        <v>5</v>
      </c>
      <c r="G17" s="267">
        <v>5</v>
      </c>
      <c r="H17" s="267">
        <v>4</v>
      </c>
      <c r="I17" s="267">
        <v>5</v>
      </c>
      <c r="J17" s="267">
        <v>5</v>
      </c>
      <c r="K17" s="267">
        <v>4</v>
      </c>
      <c r="L17" s="267">
        <v>4</v>
      </c>
      <c r="M17" s="267">
        <v>4</v>
      </c>
      <c r="N17" s="267">
        <v>4</v>
      </c>
      <c r="O17" s="267">
        <v>5</v>
      </c>
      <c r="P17" s="267">
        <v>4</v>
      </c>
      <c r="Q17" s="267">
        <v>5</v>
      </c>
      <c r="R17" s="267">
        <v>4</v>
      </c>
      <c r="S17" s="267">
        <v>4</v>
      </c>
      <c r="T17" s="267">
        <v>5</v>
      </c>
      <c r="U17" s="267">
        <v>5</v>
      </c>
      <c r="V17" s="267">
        <v>4</v>
      </c>
      <c r="W17" s="267">
        <v>5</v>
      </c>
      <c r="X17" s="267">
        <v>5</v>
      </c>
      <c r="Y17" s="267">
        <v>4</v>
      </c>
      <c r="Z17" s="267">
        <v>5</v>
      </c>
      <c r="AA17" s="267">
        <v>5</v>
      </c>
      <c r="AB17" s="267">
        <v>5</v>
      </c>
      <c r="AC17" s="267">
        <v>5</v>
      </c>
      <c r="AD17" s="267">
        <v>4</v>
      </c>
      <c r="AE17" s="267">
        <v>4</v>
      </c>
      <c r="AF17" s="267">
        <v>4</v>
      </c>
      <c r="AG17" s="267">
        <v>4</v>
      </c>
      <c r="AH17" s="267">
        <v>5</v>
      </c>
      <c r="AI17" s="267">
        <v>5</v>
      </c>
      <c r="AJ17" s="267">
        <v>4</v>
      </c>
      <c r="AK17" s="267">
        <v>4</v>
      </c>
      <c r="AL17" s="267">
        <v>4</v>
      </c>
      <c r="AM17" s="267">
        <v>4</v>
      </c>
      <c r="AN17" s="267">
        <v>4</v>
      </c>
      <c r="AO17" s="267">
        <v>5</v>
      </c>
      <c r="AP17" s="267">
        <v>5</v>
      </c>
    </row>
    <row r="18" spans="2:42" x14ac:dyDescent="0.2">
      <c r="C18" s="306" t="s">
        <v>228</v>
      </c>
      <c r="D18" s="267">
        <v>360</v>
      </c>
      <c r="E18" s="267">
        <v>360</v>
      </c>
      <c r="F18" s="267">
        <v>360</v>
      </c>
      <c r="G18" s="267">
        <v>360</v>
      </c>
      <c r="H18" s="267">
        <v>360</v>
      </c>
      <c r="I18" s="267">
        <v>360</v>
      </c>
      <c r="J18" s="267">
        <v>360</v>
      </c>
      <c r="K18" s="267">
        <v>360</v>
      </c>
      <c r="L18" s="267">
        <v>360</v>
      </c>
      <c r="M18" s="267">
        <v>360</v>
      </c>
      <c r="N18" s="267">
        <v>360</v>
      </c>
      <c r="O18" s="267">
        <v>360</v>
      </c>
      <c r="P18" s="267">
        <v>360</v>
      </c>
      <c r="Q18" s="267">
        <v>360</v>
      </c>
      <c r="R18" s="267">
        <v>360</v>
      </c>
      <c r="S18" s="267">
        <v>360</v>
      </c>
      <c r="T18" s="267">
        <v>360</v>
      </c>
      <c r="U18" s="267">
        <v>360</v>
      </c>
      <c r="V18" s="267">
        <v>360</v>
      </c>
      <c r="W18" s="267">
        <v>360</v>
      </c>
      <c r="X18" s="267">
        <v>360</v>
      </c>
      <c r="Y18" s="267">
        <v>360</v>
      </c>
      <c r="Z18" s="267">
        <v>360</v>
      </c>
      <c r="AA18" s="267">
        <v>360</v>
      </c>
      <c r="AB18" s="267">
        <v>360</v>
      </c>
      <c r="AC18" s="267">
        <v>360</v>
      </c>
      <c r="AD18" s="267">
        <v>360</v>
      </c>
      <c r="AE18" s="267">
        <v>360</v>
      </c>
      <c r="AF18" s="267">
        <v>360</v>
      </c>
      <c r="AG18" s="267">
        <v>360</v>
      </c>
      <c r="AH18" s="267">
        <v>360</v>
      </c>
      <c r="AI18" s="267">
        <v>360</v>
      </c>
      <c r="AJ18" s="267">
        <v>360</v>
      </c>
      <c r="AK18" s="267">
        <v>360</v>
      </c>
      <c r="AL18" s="267">
        <v>360</v>
      </c>
      <c r="AM18" s="267">
        <v>360</v>
      </c>
      <c r="AN18" s="267">
        <v>360</v>
      </c>
      <c r="AO18" s="267">
        <v>360</v>
      </c>
      <c r="AP18" s="267">
        <v>360</v>
      </c>
    </row>
    <row r="19" spans="2:42" x14ac:dyDescent="0.2">
      <c r="D19" s="1" t="s">
        <v>257</v>
      </c>
      <c r="E19" s="306" t="str">
        <f t="shared" ref="E19:J19" si="33">E3&amp; " DF"</f>
        <v>USD DF</v>
      </c>
      <c r="F19" s="1" t="str">
        <f t="shared" si="33"/>
        <v>GBP DF</v>
      </c>
      <c r="G19" s="1" t="str">
        <f t="shared" si="33"/>
        <v>CHF DF</v>
      </c>
      <c r="H19" s="1" t="str">
        <f t="shared" si="33"/>
        <v>JPY DF</v>
      </c>
      <c r="I19" s="1" t="str">
        <f t="shared" si="33"/>
        <v>CAD DF</v>
      </c>
      <c r="J19" s="1" t="str">
        <f t="shared" si="33"/>
        <v>AUD DF</v>
      </c>
      <c r="K19" s="1" t="str">
        <f t="shared" ref="K19:L19" si="34">K3&amp; " DF"</f>
        <v>DKK DF</v>
      </c>
      <c r="L19" s="1" t="str">
        <f t="shared" si="34"/>
        <v>NOK DF</v>
      </c>
      <c r="M19" s="1" t="str">
        <f t="shared" ref="M19:N19" si="35">M3&amp; " DF"</f>
        <v>SEK DF</v>
      </c>
      <c r="N19" s="1" t="str">
        <f t="shared" si="35"/>
        <v>NZD DF</v>
      </c>
      <c r="O19" s="1" t="str">
        <f t="shared" ref="O19:P19" si="36">O3&amp; " DF"</f>
        <v>PLN DF</v>
      </c>
      <c r="P19" s="1" t="str">
        <f t="shared" si="36"/>
        <v>HUF DF</v>
      </c>
      <c r="Q19" s="1" t="str">
        <f t="shared" ref="Q19:R19" si="37">Q3&amp; " DF"</f>
        <v>ZAR DF</v>
      </c>
      <c r="R19" s="1" t="str">
        <f t="shared" si="37"/>
        <v>CZK DF</v>
      </c>
      <c r="S19" s="1" t="str">
        <f t="shared" ref="S19:T19" si="38">S3&amp; " DF"</f>
        <v>TRY DF</v>
      </c>
      <c r="T19" s="1" t="str">
        <f t="shared" si="38"/>
        <v>HKD DF</v>
      </c>
      <c r="U19" s="1" t="str">
        <f t="shared" ref="U19:V19" si="39">U3&amp; " DF"</f>
        <v>CNY DF</v>
      </c>
      <c r="V19" s="1" t="str">
        <f t="shared" si="39"/>
        <v>BRL DF</v>
      </c>
      <c r="W19" s="1" t="str">
        <f t="shared" ref="W19" si="40">W3&amp; " DF"</f>
        <v>RUB DF</v>
      </c>
      <c r="X19" s="1" t="str">
        <f t="shared" ref="X19:Y19" si="41">X3&amp; " DF"</f>
        <v>INR DF</v>
      </c>
      <c r="Y19" s="1" t="str">
        <f t="shared" si="41"/>
        <v>MXN DF</v>
      </c>
      <c r="Z19" s="1" t="str">
        <f t="shared" ref="Z19:AA19" si="42">Z3&amp; " DF"</f>
        <v>SGD DF</v>
      </c>
      <c r="AA19" s="1" t="str">
        <f t="shared" si="42"/>
        <v>KRW DF</v>
      </c>
      <c r="AB19" s="1" t="str">
        <f t="shared" ref="AB19:AC19" si="43">AB3&amp; " DF"</f>
        <v>THB DF</v>
      </c>
      <c r="AC19" s="1" t="str">
        <f t="shared" si="43"/>
        <v>CLP DF</v>
      </c>
      <c r="AD19" s="1" t="str">
        <f t="shared" ref="AD19:AE19" si="44">AD3&amp; " DF"</f>
        <v>COP DF</v>
      </c>
      <c r="AE19" s="1" t="str">
        <f t="shared" si="44"/>
        <v>IDR DF</v>
      </c>
      <c r="AF19" s="1" t="str">
        <f t="shared" ref="AF19:AG19" si="45">AF3&amp; " DF"</f>
        <v>PEN DF</v>
      </c>
      <c r="AG19" s="1" t="str">
        <f t="shared" si="45"/>
        <v>RON DF</v>
      </c>
      <c r="AH19" s="1" t="str">
        <f t="shared" ref="AH19:AI19" si="46">AH3&amp; " DF"</f>
        <v>ILS DF</v>
      </c>
      <c r="AI19" s="1" t="str">
        <f t="shared" si="46"/>
        <v>MYR DF</v>
      </c>
      <c r="AJ19" s="1" t="str">
        <f t="shared" ref="AJ19:AK19" si="47">AJ3&amp; " DF"</f>
        <v>CNH DF</v>
      </c>
      <c r="AK19" s="1" t="str">
        <f t="shared" si="47"/>
        <v>AED DF</v>
      </c>
      <c r="AL19" s="1" t="str">
        <f t="shared" ref="AL19:AM19" si="48">AL3&amp; " DF"</f>
        <v>KES DF</v>
      </c>
      <c r="AM19" s="1" t="str">
        <f t="shared" si="48"/>
        <v>SAR DF</v>
      </c>
      <c r="AN19" s="1" t="str">
        <f t="shared" ref="AN19:AO19" si="49">AN3&amp; " DF"</f>
        <v>EGP DF</v>
      </c>
      <c r="AO19" s="1" t="str">
        <f t="shared" si="49"/>
        <v>TWD DF</v>
      </c>
      <c r="AP19" s="1" t="str">
        <f t="shared" ref="AP19" si="50">AP3&amp; " DF"</f>
        <v>PHP DF</v>
      </c>
    </row>
    <row r="20" spans="2:42" x14ac:dyDescent="0.2">
      <c r="C20" s="1" t="s">
        <v>123</v>
      </c>
      <c r="D20" s="1">
        <v>1</v>
      </c>
      <c r="E20" s="275">
        <v>1</v>
      </c>
      <c r="F20" s="272">
        <v>1</v>
      </c>
      <c r="G20" s="275">
        <v>1</v>
      </c>
      <c r="H20" s="275">
        <v>1</v>
      </c>
      <c r="I20" s="275">
        <v>1</v>
      </c>
      <c r="J20" s="272">
        <v>1</v>
      </c>
      <c r="K20" s="275">
        <v>1</v>
      </c>
      <c r="L20" s="275">
        <v>1</v>
      </c>
      <c r="M20" s="275">
        <v>1</v>
      </c>
      <c r="N20" s="272">
        <v>1</v>
      </c>
      <c r="O20" s="275">
        <v>1</v>
      </c>
      <c r="P20" s="275">
        <v>1</v>
      </c>
      <c r="Q20" s="275">
        <v>1</v>
      </c>
      <c r="R20" s="275">
        <v>1</v>
      </c>
      <c r="S20" s="275">
        <v>1</v>
      </c>
      <c r="T20" s="275">
        <v>1</v>
      </c>
      <c r="U20" s="275">
        <v>1</v>
      </c>
      <c r="V20" s="275">
        <v>1</v>
      </c>
      <c r="W20" s="275">
        <v>1</v>
      </c>
      <c r="X20" s="275">
        <v>1</v>
      </c>
      <c r="Y20" s="275">
        <v>1</v>
      </c>
      <c r="Z20" s="275">
        <v>1</v>
      </c>
      <c r="AA20" s="275">
        <v>1</v>
      </c>
      <c r="AB20" s="275">
        <v>1</v>
      </c>
      <c r="AC20" s="275">
        <v>1</v>
      </c>
      <c r="AD20" s="275">
        <v>1</v>
      </c>
      <c r="AE20" s="275">
        <v>1</v>
      </c>
      <c r="AF20" s="275">
        <v>1</v>
      </c>
      <c r="AG20" s="275">
        <v>1</v>
      </c>
      <c r="AH20" s="275">
        <v>1</v>
      </c>
      <c r="AI20" s="275">
        <v>1</v>
      </c>
      <c r="AJ20" s="275">
        <v>1</v>
      </c>
      <c r="AK20" s="275">
        <v>1</v>
      </c>
      <c r="AL20" s="275">
        <v>1</v>
      </c>
      <c r="AM20" s="275">
        <v>1</v>
      </c>
      <c r="AN20" s="275">
        <v>1</v>
      </c>
      <c r="AO20" s="275">
        <v>1</v>
      </c>
      <c r="AP20" s="275">
        <v>1</v>
      </c>
    </row>
    <row r="21" spans="2:42" x14ac:dyDescent="0.2">
      <c r="B21" s="1" t="s">
        <v>233</v>
      </c>
      <c r="C21" s="1" t="s">
        <v>23</v>
      </c>
      <c r="D21" s="278">
        <f>_xll.xlShmInterpDisc(E$5,D53+0*TYPE(disc_refresh))</f>
        <v>1.0000102778806337</v>
      </c>
      <c r="E21" s="272">
        <f t="shared" ref="E21:AP21" si="51">1/(1+(E121/100)*(E53-today)/E$18)</f>
        <v>0.99997833380276768</v>
      </c>
      <c r="F21" s="272">
        <f t="shared" si="51"/>
        <v>0.99999361115192886</v>
      </c>
      <c r="G21" s="272">
        <f t="shared" si="51"/>
        <v>1.000023611668609</v>
      </c>
      <c r="H21" s="272">
        <f t="shared" si="51"/>
        <v>0.99999972222229949</v>
      </c>
      <c r="I21" s="272">
        <f t="shared" si="51"/>
        <v>0.99998819458381394</v>
      </c>
      <c r="J21" s="272">
        <f t="shared" si="51"/>
        <v>0.99995069687536242</v>
      </c>
      <c r="K21" s="272">
        <f t="shared" si="51"/>
        <v>0.99999861111304023</v>
      </c>
      <c r="L21" s="272">
        <f t="shared" si="51"/>
        <v>0.99999375003906232</v>
      </c>
      <c r="M21" s="272">
        <f t="shared" si="51"/>
        <v>1.0000193059282672</v>
      </c>
      <c r="N21" s="272">
        <f t="shared" si="51"/>
        <v>0.99995125237644666</v>
      </c>
      <c r="O21" s="272">
        <f t="shared" si="51"/>
        <v>0.99996111262339793</v>
      </c>
      <c r="P21" s="272">
        <f t="shared" si="51"/>
        <v>1.0000091667506952</v>
      </c>
      <c r="Q21" s="272">
        <f t="shared" si="51"/>
        <v>0.99981045260169421</v>
      </c>
      <c r="R21" s="272">
        <f t="shared" si="51"/>
        <v>0.9999976388944638</v>
      </c>
      <c r="S21" s="272">
        <f t="shared" si="51"/>
        <v>0.99973618073008519</v>
      </c>
      <c r="T21" s="272">
        <f t="shared" si="51"/>
        <v>0.99999625001406234</v>
      </c>
      <c r="U21" s="272">
        <f t="shared" si="51"/>
        <v>0.99997222299380573</v>
      </c>
      <c r="V21" s="272">
        <f t="shared" si="51"/>
        <v>0.99966328747900957</v>
      </c>
      <c r="W21" s="272">
        <f t="shared" si="51"/>
        <v>0.99971952313378742</v>
      </c>
      <c r="X21" s="272">
        <f t="shared" si="51"/>
        <v>0.99982850163895487</v>
      </c>
      <c r="Y21" s="272">
        <f t="shared" si="51"/>
        <v>0.99980264035468513</v>
      </c>
      <c r="Z21" s="272">
        <f t="shared" si="51"/>
        <v>0.99991510014470852</v>
      </c>
      <c r="AA21" s="272">
        <f t="shared" si="51"/>
        <v>0.99998631963159956</v>
      </c>
      <c r="AB21" s="272">
        <f t="shared" si="51"/>
        <v>0.99993607312743393</v>
      </c>
      <c r="AC21" s="272">
        <f t="shared" si="51"/>
        <v>0.9999066476043722</v>
      </c>
      <c r="AD21" s="272">
        <f t="shared" si="51"/>
        <v>0.99981432614784815</v>
      </c>
      <c r="AE21" s="272">
        <f t="shared" si="51"/>
        <v>0.99988473550965651</v>
      </c>
      <c r="AF21" s="272">
        <f t="shared" si="51"/>
        <v>0.99986290768576846</v>
      </c>
      <c r="AG21" s="272">
        <f t="shared" si="51"/>
        <v>0.99999097230372225</v>
      </c>
      <c r="AH21" s="272">
        <f t="shared" si="51"/>
        <v>0.99999722222993825</v>
      </c>
      <c r="AI21" s="272">
        <f t="shared" si="51"/>
        <v>0.99991736793973285</v>
      </c>
      <c r="AJ21" s="272">
        <f t="shared" si="51"/>
        <v>0.99997222299380573</v>
      </c>
      <c r="AK21" s="272">
        <f t="shared" si="51"/>
        <v>0.9999616681360548</v>
      </c>
      <c r="AL21" s="272">
        <f t="shared" si="51"/>
        <v>0.99979171006040402</v>
      </c>
      <c r="AM21" s="272">
        <f t="shared" si="51"/>
        <v>0.99992778299345042</v>
      </c>
      <c r="AN21" s="272">
        <f t="shared" si="51"/>
        <v>0.9999236169459278</v>
      </c>
      <c r="AO21" s="272">
        <f t="shared" si="51"/>
        <v>0.99999569446298209</v>
      </c>
      <c r="AP21" s="272">
        <f t="shared" si="51"/>
        <v>0.99995137736427564</v>
      </c>
    </row>
    <row r="22" spans="2:42" x14ac:dyDescent="0.2">
      <c r="B22" s="1" t="s">
        <v>233</v>
      </c>
      <c r="C22" s="1" t="s">
        <v>30</v>
      </c>
      <c r="D22" s="278">
        <f>_xll.xlShmInterpDisc(E$5,D54+0*TYPE(disc_refresh))</f>
        <v>1.0000411124816018</v>
      </c>
      <c r="E22" s="272">
        <f t="shared" ref="E22:AP22" si="52">1/(1+(E122/100)*(E54-today)/E$18)</f>
        <v>0.99990889718936726</v>
      </c>
      <c r="F22" s="272">
        <f t="shared" si="52"/>
        <v>0.99997444509751421</v>
      </c>
      <c r="G22" s="272">
        <f t="shared" si="52"/>
        <v>1.000092230727945</v>
      </c>
      <c r="H22" s="272">
        <f t="shared" si="52"/>
        <v>1</v>
      </c>
      <c r="I22" s="272">
        <f t="shared" si="52"/>
        <v>0.99994278105197321</v>
      </c>
      <c r="J22" s="272">
        <f t="shared" si="52"/>
        <v>0.999802816666713</v>
      </c>
      <c r="K22" s="272">
        <f t="shared" si="52"/>
        <v>1.0000833402783564</v>
      </c>
      <c r="L22" s="272">
        <f t="shared" si="52"/>
        <v>0.99994167006924606</v>
      </c>
      <c r="M22" s="272">
        <f t="shared" si="52"/>
        <v>1.0000611148459071</v>
      </c>
      <c r="N22" s="272">
        <f t="shared" si="52"/>
        <v>0.99980503801758658</v>
      </c>
      <c r="O22" s="272">
        <f t="shared" si="52"/>
        <v>0.99985835339993501</v>
      </c>
      <c r="P22" s="272">
        <f t="shared" si="52"/>
        <v>1.0000588923569944</v>
      </c>
      <c r="Q22" s="272">
        <f t="shared" si="52"/>
        <v>0.99924224130034711</v>
      </c>
      <c r="R22" s="272">
        <f t="shared" si="52"/>
        <v>1.000016666944449</v>
      </c>
      <c r="S22" s="272">
        <f t="shared" si="52"/>
        <v>0.99896773334221289</v>
      </c>
      <c r="T22" s="272">
        <f t="shared" si="52"/>
        <v>0.99997750050623857</v>
      </c>
      <c r="U22" s="272">
        <f t="shared" si="52"/>
        <v>0.99963901924305121</v>
      </c>
      <c r="V22" s="272">
        <f t="shared" si="52"/>
        <v>0.99865450904699038</v>
      </c>
      <c r="W22" s="272">
        <f t="shared" si="52"/>
        <v>0.99887903574877079</v>
      </c>
      <c r="X22" s="272">
        <f t="shared" si="52"/>
        <v>0.99931435931458135</v>
      </c>
      <c r="Y22" s="272">
        <f t="shared" si="52"/>
        <v>0.99921102855211574</v>
      </c>
      <c r="Z22" s="272">
        <f t="shared" si="52"/>
        <v>0.99966048705263466</v>
      </c>
      <c r="AA22" s="272">
        <f t="shared" si="52"/>
        <v>0.99994528077213551</v>
      </c>
      <c r="AB22" s="272">
        <f t="shared" si="52"/>
        <v>0.99974434154007374</v>
      </c>
      <c r="AC22" s="272">
        <f t="shared" si="52"/>
        <v>0.99962669496424716</v>
      </c>
      <c r="AD22" s="272">
        <f t="shared" si="52"/>
        <v>0.99925771805843566</v>
      </c>
      <c r="AE22" s="272">
        <f t="shared" si="52"/>
        <v>0.99953910141434787</v>
      </c>
      <c r="AF22" s="272">
        <f t="shared" si="52"/>
        <v>0.9994518561819874</v>
      </c>
      <c r="AG22" s="272">
        <f t="shared" si="52"/>
        <v>0.99996389019285414</v>
      </c>
      <c r="AH22" s="272">
        <f t="shared" si="52"/>
        <v>0.99998888901234428</v>
      </c>
      <c r="AI22" s="272">
        <f t="shared" si="52"/>
        <v>0.99966955367531296</v>
      </c>
      <c r="AJ22" s="272">
        <f t="shared" si="52"/>
        <v>0.99963901924305121</v>
      </c>
      <c r="AK22" s="272">
        <f t="shared" si="52"/>
        <v>0.99994889150110111</v>
      </c>
      <c r="AL22" s="272">
        <f t="shared" si="52"/>
        <v>0.99916736053288935</v>
      </c>
      <c r="AM22" s="272">
        <f t="shared" si="52"/>
        <v>0.99990973037156361</v>
      </c>
      <c r="AN22" s="272">
        <f t="shared" si="52"/>
        <v>0.99969453778012274</v>
      </c>
      <c r="AO22" s="272">
        <f t="shared" si="52"/>
        <v>0.99998277807437774</v>
      </c>
      <c r="AP22" s="272">
        <f t="shared" si="52"/>
        <v>0.99980553782289339</v>
      </c>
    </row>
    <row r="23" spans="2:42" x14ac:dyDescent="0.2">
      <c r="B23" s="1" t="s">
        <v>233</v>
      </c>
      <c r="C23" s="1" t="s">
        <v>41</v>
      </c>
      <c r="D23" s="278">
        <f>_xll.xlShmInterpDisc(E$5,D55+0*TYPE(disc_refresh))</f>
        <v>1.0000513907875628</v>
      </c>
      <c r="E23" s="273">
        <f t="shared" ref="E23:AP23" si="53">1/(1+(E123/100)*(E55-today)/E$18)</f>
        <v>0.99988751265482634</v>
      </c>
      <c r="F23" s="273">
        <f t="shared" si="53"/>
        <v>0.99996527898336873</v>
      </c>
      <c r="G23" s="273">
        <f t="shared" si="53"/>
        <v>1.0001132072588772</v>
      </c>
      <c r="H23" s="273">
        <f t="shared" si="53"/>
        <v>0.99999375003906232</v>
      </c>
      <c r="I23" s="273">
        <f t="shared" si="53"/>
        <v>0.99992708864978597</v>
      </c>
      <c r="J23" s="273">
        <f t="shared" si="53"/>
        <v>0.99977435648204394</v>
      </c>
      <c r="K23" s="273">
        <f t="shared" si="53"/>
        <v>1.0000833402783564</v>
      </c>
      <c r="L23" s="273">
        <f t="shared" si="53"/>
        <v>0.99993750390600578</v>
      </c>
      <c r="M23" s="273">
        <f t="shared" si="53"/>
        <v>1.0000902859285907</v>
      </c>
      <c r="N23" s="273">
        <f t="shared" si="53"/>
        <v>0.99975630939958371</v>
      </c>
      <c r="O23" s="273">
        <f t="shared" si="53"/>
        <v>0.99982155962442809</v>
      </c>
      <c r="P23" s="273">
        <f t="shared" si="53"/>
        <v>1</v>
      </c>
      <c r="Q23" s="273">
        <f t="shared" si="53"/>
        <v>0.99905298102840023</v>
      </c>
      <c r="R23" s="273">
        <f t="shared" si="53"/>
        <v>1.0000208337673702</v>
      </c>
      <c r="S23" s="273">
        <f t="shared" si="53"/>
        <v>0.99870999958387086</v>
      </c>
      <c r="T23" s="273">
        <f t="shared" si="53"/>
        <v>0.99997375068904448</v>
      </c>
      <c r="U23" s="273">
        <f t="shared" si="53"/>
        <v>0.99961126228688835</v>
      </c>
      <c r="V23" s="273">
        <f t="shared" si="53"/>
        <v>0.99831870185159999</v>
      </c>
      <c r="W23" s="273">
        <f t="shared" si="53"/>
        <v>0.99859918725121699</v>
      </c>
      <c r="X23" s="273">
        <f t="shared" si="53"/>
        <v>0.99914309602528395</v>
      </c>
      <c r="Y23" s="273">
        <f t="shared" si="53"/>
        <v>0.9990139801755169</v>
      </c>
      <c r="Z23" s="273">
        <f t="shared" si="53"/>
        <v>0.99957564483431127</v>
      </c>
      <c r="AA23" s="273">
        <f t="shared" si="53"/>
        <v>0.99993160190084218</v>
      </c>
      <c r="AB23" s="273">
        <f t="shared" si="53"/>
        <v>0.99968044734917672</v>
      </c>
      <c r="AC23" s="273">
        <f t="shared" si="53"/>
        <v>0.99953341225019832</v>
      </c>
      <c r="AD23" s="273">
        <f t="shared" si="53"/>
        <v>0.99907231972312371</v>
      </c>
      <c r="AE23" s="273">
        <f t="shared" si="53"/>
        <v>0.9994239431438825</v>
      </c>
      <c r="AF23" s="273">
        <f t="shared" si="53"/>
        <v>0.99931491410888307</v>
      </c>
      <c r="AG23" s="273">
        <f t="shared" si="53"/>
        <v>0.99994583626720213</v>
      </c>
      <c r="AH23" s="273">
        <f t="shared" si="53"/>
        <v>0.99998611130400961</v>
      </c>
      <c r="AI23" s="273">
        <f t="shared" si="53"/>
        <v>0.99958697621468895</v>
      </c>
      <c r="AJ23" s="273">
        <f t="shared" si="53"/>
        <v>0.99961126228688835</v>
      </c>
      <c r="AK23" s="273">
        <f t="shared" si="53"/>
        <v>0.99993611519264047</v>
      </c>
      <c r="AL23" s="273">
        <f t="shared" si="53"/>
        <v>0.99895941727367332</v>
      </c>
      <c r="AM23" s="273">
        <f t="shared" si="53"/>
        <v>0.9998916784015065</v>
      </c>
      <c r="AN23" s="273">
        <f t="shared" si="53"/>
        <v>0.99961820138141688</v>
      </c>
      <c r="AO23" s="273">
        <f t="shared" si="53"/>
        <v>0.99997847268565754</v>
      </c>
      <c r="AP23" s="273">
        <f t="shared" si="53"/>
        <v>0.99975693409539812</v>
      </c>
    </row>
    <row r="24" spans="2:42" x14ac:dyDescent="0.2">
      <c r="B24" s="1" t="s">
        <v>234</v>
      </c>
      <c r="C24" s="1" t="s">
        <v>92</v>
      </c>
      <c r="D24" s="293">
        <f>_xll.xlShmInterpDisc(E$5,D56+0*TYPE(disc_refresh))</f>
        <v>1.0001130650604493</v>
      </c>
      <c r="E24" s="1">
        <f t="shared" ref="E24:E49" si="54">E88*E$10*E$15/((E$10+E124/E$11)*E$16)</f>
        <v>0.99972470507215028</v>
      </c>
      <c r="F24" s="1">
        <f>F$15/F$16*(F$10+F124/F$11)*$F88/F$10</f>
        <v>0.99990959218515663</v>
      </c>
      <c r="G24" s="1">
        <f t="shared" ref="G24:I49" si="55">G88*G$10*G$15/((G$10+G124/G$11)*G$16)</f>
        <v>1.0002410705501408</v>
      </c>
      <c r="H24" s="1">
        <f t="shared" si="55"/>
        <v>0.9999854723870979</v>
      </c>
      <c r="I24" s="1">
        <f t="shared" si="55"/>
        <v>0.99985817354507855</v>
      </c>
      <c r="J24" s="1">
        <f t="shared" ref="J24:N24" si="56">J$15/J$16*(J$10+J124/J$11)*$E24/J$10</f>
        <v>0.99943917102001489</v>
      </c>
      <c r="K24" s="1">
        <f t="shared" ref="K24:M49" si="57">K88*K$10*K$15/((K$10+K124/K$11)*K$16)</f>
        <v>1.0001765646708638</v>
      </c>
      <c r="L24" s="1">
        <f t="shared" si="57"/>
        <v>0.99982001381759522</v>
      </c>
      <c r="M24" s="1">
        <f t="shared" si="57"/>
        <v>1.000161959461594</v>
      </c>
      <c r="N24" s="1">
        <f t="shared" si="56"/>
        <v>0.9994111007541453</v>
      </c>
      <c r="O24" s="1">
        <f t="shared" ref="O24:AP24" si="58">O88*O$10*O$15/((O$10+O124/O$11)*O$16)</f>
        <v>0.99956182875306343</v>
      </c>
      <c r="P24" s="1">
        <f t="shared" si="58"/>
        <v>1.0000577028213424</v>
      </c>
      <c r="Q24" s="1">
        <f t="shared" si="58"/>
        <v>0.99779352041812208</v>
      </c>
      <c r="R24" s="1">
        <f t="shared" si="58"/>
        <v>1.0000493469251654</v>
      </c>
      <c r="S24" s="1">
        <f t="shared" si="58"/>
        <v>0.99714025609510115</v>
      </c>
      <c r="T24" s="1">
        <f t="shared" si="58"/>
        <v>0.99990793587547211</v>
      </c>
      <c r="U24" s="1">
        <f t="shared" si="58"/>
        <v>0.99767939286843377</v>
      </c>
      <c r="V24" s="1">
        <f t="shared" si="58"/>
        <v>0.99632223590580171</v>
      </c>
      <c r="W24" s="1">
        <f t="shared" si="58"/>
        <v>0.99700274365415376</v>
      </c>
      <c r="X24" s="1">
        <f t="shared" si="58"/>
        <v>0.99832476271448811</v>
      </c>
      <c r="Y24" s="1">
        <f t="shared" si="58"/>
        <v>0.99804509007964615</v>
      </c>
      <c r="Z24" s="1">
        <f t="shared" si="58"/>
        <v>0.99957439998704523</v>
      </c>
      <c r="AA24" s="1">
        <f t="shared" si="58"/>
        <v>1.0004407869459933</v>
      </c>
      <c r="AB24" s="1">
        <f t="shared" si="58"/>
        <v>0.99948957137602046</v>
      </c>
      <c r="AC24" s="1">
        <f t="shared" si="58"/>
        <v>0.99888190450024206</v>
      </c>
      <c r="AD24" s="1">
        <f t="shared" si="58"/>
        <v>0.99750442205263146</v>
      </c>
      <c r="AE24" s="1">
        <f t="shared" si="58"/>
        <v>0.99995294598967821</v>
      </c>
      <c r="AF24" s="1">
        <f t="shared" si="58"/>
        <v>0.99849457413449216</v>
      </c>
      <c r="AG24" s="1">
        <f t="shared" si="58"/>
        <v>0.9999075001266633</v>
      </c>
      <c r="AH24" s="1">
        <f t="shared" si="58"/>
        <v>0.99997227747690809</v>
      </c>
      <c r="AI24" s="1">
        <f t="shared" si="58"/>
        <v>0.99853223320839157</v>
      </c>
      <c r="AJ24" s="1">
        <f t="shared" si="58"/>
        <v>0.99763089281940365</v>
      </c>
      <c r="AK24" s="1">
        <f t="shared" si="58"/>
        <v>0.99977830203443674</v>
      </c>
      <c r="AL24" s="1">
        <f t="shared" si="58"/>
        <v>0.99469095347903613</v>
      </c>
      <c r="AM24" s="1">
        <f t="shared" si="58"/>
        <v>0.99971014113523693</v>
      </c>
      <c r="AN24" s="1">
        <f t="shared" si="58"/>
        <v>1.0584205080789779</v>
      </c>
      <c r="AO24" s="1">
        <f t="shared" si="58"/>
        <v>1.0007806305143989</v>
      </c>
      <c r="AP24" s="1">
        <f t="shared" si="58"/>
        <v>0.99976139575506184</v>
      </c>
    </row>
    <row r="25" spans="2:42" x14ac:dyDescent="0.2">
      <c r="B25" s="1" t="s">
        <v>234</v>
      </c>
      <c r="C25" s="1" t="s">
        <v>55</v>
      </c>
      <c r="D25" s="278">
        <f>_xll.xlShmInterpDisc(E$5,D57+0*TYPE(disc_refresh))</f>
        <v>1.0001811378408996</v>
      </c>
      <c r="E25" s="1">
        <f t="shared" si="54"/>
        <v>0.9994486064355208</v>
      </c>
      <c r="F25" s="1">
        <f t="shared" ref="F25:F49" si="59">F$15/F$16*(F$10+F125/F$11)*$F89/F$10</f>
        <v>0.99981485503144762</v>
      </c>
      <c r="G25" s="1">
        <f t="shared" si="55"/>
        <v>1.0003557350838181</v>
      </c>
      <c r="H25" s="1">
        <f t="shared" si="55"/>
        <v>0.99996713417506922</v>
      </c>
      <c r="I25" s="1">
        <f t="shared" si="55"/>
        <v>0.99968793875248452</v>
      </c>
      <c r="J25" s="1">
        <f t="shared" ref="J25:N25" si="60">J$15/J$16*(J$10+J125/J$11)*$E25/J$10</f>
        <v>0.99898836229158272</v>
      </c>
      <c r="K25" s="1">
        <f t="shared" si="57"/>
        <v>1.0002421817781939</v>
      </c>
      <c r="L25" s="1">
        <f t="shared" si="57"/>
        <v>0.99961209036355636</v>
      </c>
      <c r="M25" s="1">
        <f t="shared" si="57"/>
        <v>1.0002614175754878</v>
      </c>
      <c r="N25" s="1">
        <f t="shared" si="60"/>
        <v>0.99892538238065509</v>
      </c>
      <c r="O25" s="1">
        <f t="shared" ref="O25:AP25" si="61">O89*O$10*O$15/((O$10+O125/O$11)*O$16)</f>
        <v>0.99917568378881538</v>
      </c>
      <c r="P25" s="1">
        <f t="shared" si="61"/>
        <v>0.9999695771761169</v>
      </c>
      <c r="Q25" s="1">
        <f t="shared" si="61"/>
        <v>0.99622751686309907</v>
      </c>
      <c r="R25" s="1">
        <f t="shared" si="61"/>
        <v>1.0001972384726614</v>
      </c>
      <c r="S25" s="1">
        <f t="shared" si="61"/>
        <v>0.99510149767776879</v>
      </c>
      <c r="T25" s="1">
        <f t="shared" si="61"/>
        <v>0.99971438938741575</v>
      </c>
      <c r="U25" s="1">
        <f t="shared" si="61"/>
        <v>0.99698307817616516</v>
      </c>
      <c r="V25" s="1">
        <f t="shared" si="61"/>
        <v>0.99402165953164245</v>
      </c>
      <c r="W25" s="1">
        <f t="shared" si="61"/>
        <v>0.99507029057805185</v>
      </c>
      <c r="X25" s="1">
        <f t="shared" si="61"/>
        <v>0.99723897067678857</v>
      </c>
      <c r="Y25" s="1">
        <f t="shared" si="61"/>
        <v>0.99657502044701618</v>
      </c>
      <c r="Z25" s="1">
        <f t="shared" si="61"/>
        <v>0.99933335902667342</v>
      </c>
      <c r="AA25" s="1">
        <f t="shared" si="61"/>
        <v>1.000186664273935</v>
      </c>
      <c r="AB25" s="1">
        <f t="shared" si="61"/>
        <v>0.99913119661164396</v>
      </c>
      <c r="AC25" s="1">
        <f t="shared" si="61"/>
        <v>0.99813691820678041</v>
      </c>
      <c r="AD25" s="1">
        <f t="shared" si="61"/>
        <v>0.99607800684403069</v>
      </c>
      <c r="AE25" s="1">
        <f t="shared" si="61"/>
        <v>0.99891408813446814</v>
      </c>
      <c r="AF25" s="1">
        <f t="shared" si="61"/>
        <v>0.99739060009446023</v>
      </c>
      <c r="AG25" s="1">
        <f t="shared" si="61"/>
        <v>0.99981566958466195</v>
      </c>
      <c r="AH25" s="1">
        <f t="shared" si="61"/>
        <v>0.99987405623486802</v>
      </c>
      <c r="AI25" s="1">
        <f t="shared" si="61"/>
        <v>0.99799357650706733</v>
      </c>
      <c r="AJ25" s="1">
        <f t="shared" si="61"/>
        <v>0.99688071149018009</v>
      </c>
      <c r="AK25" s="1">
        <f t="shared" si="61"/>
        <v>0.99945060015704434</v>
      </c>
      <c r="AL25" s="1">
        <f t="shared" si="61"/>
        <v>0.99194584801004904</v>
      </c>
      <c r="AM25" s="1">
        <f t="shared" si="61"/>
        <v>0.99944077828511813</v>
      </c>
      <c r="AN25" s="1">
        <f t="shared" si="61"/>
        <v>1.0604376629468188</v>
      </c>
      <c r="AO25" s="1">
        <f t="shared" si="61"/>
        <v>1.0005797260843121</v>
      </c>
      <c r="AP25" s="1">
        <f t="shared" si="61"/>
        <v>0.99856206170521145</v>
      </c>
    </row>
    <row r="26" spans="2:42" x14ac:dyDescent="0.2">
      <c r="B26" s="1" t="s">
        <v>234</v>
      </c>
      <c r="C26" s="1" t="s">
        <v>63</v>
      </c>
      <c r="D26" s="278">
        <f>_xll.xlShmInterpDisc(E$5,D58+0*TYPE(disc_refresh))</f>
        <v>1.0002511652262993</v>
      </c>
      <c r="E26" s="1">
        <f t="shared" si="54"/>
        <v>0.99923835830543739</v>
      </c>
      <c r="F26" s="1">
        <f t="shared" si="59"/>
        <v>0.99974411103519523</v>
      </c>
      <c r="G26" s="1">
        <f t="shared" si="55"/>
        <v>1.000500583992872</v>
      </c>
      <c r="H26" s="1">
        <f t="shared" si="55"/>
        <v>0.99996885666107271</v>
      </c>
      <c r="I26" s="1">
        <f t="shared" si="55"/>
        <v>0.9995191388238488</v>
      </c>
      <c r="J26" s="1">
        <f t="shared" ref="J26:N26" si="62">J$15/J$16*(J$10+J126/J$11)*$E26/J$10</f>
        <v>0.99860809238112858</v>
      </c>
      <c r="K26" s="1">
        <f t="shared" si="57"/>
        <v>1.0003345298555402</v>
      </c>
      <c r="L26" s="1">
        <f t="shared" si="57"/>
        <v>0.99946002519406196</v>
      </c>
      <c r="M26" s="1">
        <f t="shared" si="57"/>
        <v>1.0003817003749846</v>
      </c>
      <c r="N26" s="1">
        <f t="shared" si="62"/>
        <v>0.99850070622055032</v>
      </c>
      <c r="O26" s="1">
        <f t="shared" ref="O26:AP26" si="63">O90*O$10*O$15/((O$10+O126/O$11)*O$16)</f>
        <v>0.99885008773984607</v>
      </c>
      <c r="P26" s="1">
        <f t="shared" si="63"/>
        <v>0.99997690196173161</v>
      </c>
      <c r="Q26" s="1">
        <f t="shared" si="63"/>
        <v>0.99471539165786649</v>
      </c>
      <c r="R26" s="1">
        <f t="shared" si="63"/>
        <v>1.0005030088347058</v>
      </c>
      <c r="S26" s="1">
        <f t="shared" si="63"/>
        <v>0.9930786819629861</v>
      </c>
      <c r="T26" s="1">
        <f t="shared" si="63"/>
        <v>0.99958151927966821</v>
      </c>
      <c r="U26" s="1">
        <f t="shared" si="63"/>
        <v>0.99564013403210561</v>
      </c>
      <c r="V26" s="1">
        <f t="shared" si="63"/>
        <v>0.99179578044544825</v>
      </c>
      <c r="W26" s="1">
        <f t="shared" si="63"/>
        <v>0.99332160246952961</v>
      </c>
      <c r="X26" s="1">
        <f t="shared" si="63"/>
        <v>0.99622059143884067</v>
      </c>
      <c r="Y26" s="1">
        <f t="shared" si="63"/>
        <v>0.99566599023686397</v>
      </c>
      <c r="Z26" s="1">
        <f t="shared" si="63"/>
        <v>0.99914764276011947</v>
      </c>
      <c r="AA26" s="1">
        <f t="shared" si="63"/>
        <v>1.0000021260330054</v>
      </c>
      <c r="AB26" s="1">
        <f t="shared" si="63"/>
        <v>0.99882694758643209</v>
      </c>
      <c r="AC26" s="1">
        <f t="shared" si="63"/>
        <v>0.99747880597283689</v>
      </c>
      <c r="AD26" s="1">
        <f t="shared" si="63"/>
        <v>0.99439995798404235</v>
      </c>
      <c r="AE26" s="1">
        <f t="shared" si="63"/>
        <v>0.99794257936278619</v>
      </c>
      <c r="AF26" s="1">
        <f t="shared" si="63"/>
        <v>0.99635411688777964</v>
      </c>
      <c r="AG26" s="1">
        <f t="shared" si="63"/>
        <v>0.99975302828487955</v>
      </c>
      <c r="AH26" s="1">
        <f t="shared" si="63"/>
        <v>0.99984169028641379</v>
      </c>
      <c r="AI26" s="1">
        <f t="shared" si="63"/>
        <v>0.99747717192982421</v>
      </c>
      <c r="AJ26" s="1">
        <f t="shared" si="63"/>
        <v>0.99553875338305653</v>
      </c>
      <c r="AK26" s="1">
        <f t="shared" si="63"/>
        <v>0.99918877934526051</v>
      </c>
      <c r="AL26" s="1">
        <f t="shared" si="63"/>
        <v>0.98927954211378877</v>
      </c>
      <c r="AM26" s="1">
        <f t="shared" si="63"/>
        <v>0.99918379881525821</v>
      </c>
      <c r="AN26" s="1">
        <f t="shared" si="63"/>
        <v>1.0625336640449203</v>
      </c>
      <c r="AO26" s="1">
        <f t="shared" si="63"/>
        <v>1.0005013398204783</v>
      </c>
      <c r="AP26" s="1">
        <f t="shared" si="63"/>
        <v>0.99743067264090068</v>
      </c>
    </row>
    <row r="27" spans="2:42" x14ac:dyDescent="0.2">
      <c r="B27" s="1" t="s">
        <v>234</v>
      </c>
      <c r="C27" s="1" t="s">
        <v>66</v>
      </c>
      <c r="D27" s="278">
        <f>_xll.xlShmInterpDisc(E$5,D59+0*TYPE(disc_refresh))</f>
        <v>1.0003512213602235</v>
      </c>
      <c r="E27" s="1">
        <f t="shared" si="54"/>
        <v>0.99893695457125919</v>
      </c>
      <c r="F27" s="1">
        <f t="shared" si="59"/>
        <v>0.9996376660748113</v>
      </c>
      <c r="G27" s="1">
        <f t="shared" si="55"/>
        <v>1.0007415090986251</v>
      </c>
      <c r="H27" s="1">
        <f t="shared" si="55"/>
        <v>1.0000007067010321</v>
      </c>
      <c r="I27" s="1">
        <f t="shared" si="55"/>
        <v>0.99930838922157061</v>
      </c>
      <c r="J27" s="1">
        <f t="shared" ref="J27:N27" si="64">J$15/J$16*(J$10+J127/J$11)*$E27/J$10</f>
        <v>0.99806468176562901</v>
      </c>
      <c r="K27" s="1">
        <f t="shared" si="57"/>
        <v>1.0005266971888038</v>
      </c>
      <c r="L27" s="1">
        <f t="shared" si="57"/>
        <v>0.99921758768141566</v>
      </c>
      <c r="M27" s="1">
        <f t="shared" si="57"/>
        <v>1.0005566342756747</v>
      </c>
      <c r="N27" s="1">
        <f t="shared" si="64"/>
        <v>0.9978966161467091</v>
      </c>
      <c r="O27" s="1">
        <f t="shared" ref="O27:AP27" si="65">O91*O$10*O$15/((O$10+O127/O$11)*O$16)</f>
        <v>0.9983892511971858</v>
      </c>
      <c r="P27" s="1">
        <f t="shared" si="65"/>
        <v>0.99998632111123276</v>
      </c>
      <c r="Q27" s="1">
        <f t="shared" si="65"/>
        <v>0.99256169441162401</v>
      </c>
      <c r="R27" s="1">
        <f t="shared" si="65"/>
        <v>1.0010568387531547</v>
      </c>
      <c r="S27" s="1">
        <f t="shared" si="65"/>
        <v>0.98987986568803332</v>
      </c>
      <c r="T27" s="1">
        <f t="shared" si="65"/>
        <v>0.99933100319999102</v>
      </c>
      <c r="U27" s="1">
        <f t="shared" si="65"/>
        <v>0.99379503730437191</v>
      </c>
      <c r="V27" s="1">
        <f t="shared" si="65"/>
        <v>0.98863054080818691</v>
      </c>
      <c r="W27" s="1">
        <f t="shared" si="65"/>
        <v>0.99057979487704051</v>
      </c>
      <c r="X27" s="1">
        <f t="shared" si="65"/>
        <v>0.99476758116219544</v>
      </c>
      <c r="Y27" s="1">
        <f t="shared" si="65"/>
        <v>0.9936434900882043</v>
      </c>
      <c r="Z27" s="1">
        <f t="shared" si="65"/>
        <v>0.998891069912903</v>
      </c>
      <c r="AA27" s="1">
        <f t="shared" si="65"/>
        <v>0.99973743331032638</v>
      </c>
      <c r="AB27" s="1">
        <f t="shared" si="65"/>
        <v>0.99841989491128891</v>
      </c>
      <c r="AC27" s="1">
        <f t="shared" si="65"/>
        <v>0.9965386235775594</v>
      </c>
      <c r="AD27" s="1">
        <f t="shared" si="65"/>
        <v>0.99201027013532794</v>
      </c>
      <c r="AE27" s="1">
        <f t="shared" si="65"/>
        <v>0.99655622970075419</v>
      </c>
      <c r="AF27" s="1">
        <f t="shared" si="65"/>
        <v>0.99487535914096281</v>
      </c>
      <c r="AG27" s="1">
        <f t="shared" si="65"/>
        <v>0.99959528991257807</v>
      </c>
      <c r="AH27" s="1">
        <f t="shared" si="65"/>
        <v>0.99979438305768509</v>
      </c>
      <c r="AI27" s="1">
        <f t="shared" si="65"/>
        <v>0.99673895419021241</v>
      </c>
      <c r="AJ27" s="1">
        <f t="shared" si="65"/>
        <v>0.99378574108491036</v>
      </c>
      <c r="AK27" s="1">
        <f t="shared" si="65"/>
        <v>0.9988137473591544</v>
      </c>
      <c r="AL27" s="1">
        <f t="shared" si="65"/>
        <v>0.98549234133406061</v>
      </c>
      <c r="AM27" s="1">
        <f t="shared" si="65"/>
        <v>0.99869079915258197</v>
      </c>
      <c r="AN27" s="1">
        <f t="shared" si="65"/>
        <v>1.0655427881526678</v>
      </c>
      <c r="AO27" s="1">
        <f t="shared" si="65"/>
        <v>1.0003882727381381</v>
      </c>
      <c r="AP27" s="1">
        <f t="shared" si="65"/>
        <v>0.99568588029650118</v>
      </c>
    </row>
    <row r="28" spans="2:42" x14ac:dyDescent="0.2">
      <c r="B28" s="1" t="s">
        <v>234</v>
      </c>
      <c r="C28" s="1" t="s">
        <v>71</v>
      </c>
      <c r="D28" s="278">
        <f>_xll.xlShmInterpDisc(E$5,D60+0*TYPE(disc_refresh))</f>
        <v>1.0005986682951018</v>
      </c>
      <c r="E28" s="1">
        <f t="shared" si="54"/>
        <v>0.99799048622824782</v>
      </c>
      <c r="F28" s="1">
        <f t="shared" si="59"/>
        <v>0.99925261907121565</v>
      </c>
      <c r="G28" s="1">
        <f t="shared" si="55"/>
        <v>1.0013046288650425</v>
      </c>
      <c r="H28" s="1">
        <f t="shared" si="55"/>
        <v>1.0000068363553087</v>
      </c>
      <c r="I28" s="1">
        <f t="shared" si="55"/>
        <v>0.99868552242738695</v>
      </c>
      <c r="J28" s="1">
        <f t="shared" ref="J28:N28" si="66">J$15/J$16*(J$10+J128/J$11)*$E28/J$10</f>
        <v>0.99645660422425175</v>
      </c>
      <c r="K28" s="1">
        <f t="shared" si="57"/>
        <v>1.0009056082937868</v>
      </c>
      <c r="L28" s="1">
        <f t="shared" si="57"/>
        <v>0.99845962717050118</v>
      </c>
      <c r="M28" s="1">
        <f t="shared" si="57"/>
        <v>1.0008987982221969</v>
      </c>
      <c r="N28" s="1">
        <f t="shared" si="66"/>
        <v>0.99609405278919938</v>
      </c>
      <c r="O28" s="1">
        <f t="shared" ref="O28:AP28" si="67">O92*O$10*O$15/((O$10+O128/O$11)*O$16)</f>
        <v>0.9970229039014874</v>
      </c>
      <c r="P28" s="1">
        <f t="shared" si="67"/>
        <v>0.99976588544595679</v>
      </c>
      <c r="Q28" s="1">
        <f t="shared" si="67"/>
        <v>0.98638097089188714</v>
      </c>
      <c r="R28" s="1">
        <f t="shared" si="67"/>
        <v>1.0025604404208139</v>
      </c>
      <c r="S28" s="1">
        <f t="shared" si="67"/>
        <v>0.98193745136381094</v>
      </c>
      <c r="T28" s="1">
        <f t="shared" si="67"/>
        <v>0.99862258491185518</v>
      </c>
      <c r="U28" s="1">
        <f t="shared" si="67"/>
        <v>0.98777829551831808</v>
      </c>
      <c r="V28" s="1">
        <f t="shared" si="67"/>
        <v>0.98121298285644543</v>
      </c>
      <c r="W28" s="1">
        <f t="shared" si="67"/>
        <v>0.98400939721569292</v>
      </c>
      <c r="X28" s="1">
        <f t="shared" si="67"/>
        <v>0.99056709511784657</v>
      </c>
      <c r="Y28" s="1">
        <f t="shared" si="67"/>
        <v>0.98869782049144928</v>
      </c>
      <c r="Z28" s="1">
        <f t="shared" si="67"/>
        <v>0.99811288467030879</v>
      </c>
      <c r="AA28" s="1">
        <f t="shared" si="67"/>
        <v>0.99869683864933256</v>
      </c>
      <c r="AB28" s="1">
        <f t="shared" si="67"/>
        <v>0.99722743360070576</v>
      </c>
      <c r="AC28" s="1">
        <f t="shared" si="67"/>
        <v>0.99369911736930727</v>
      </c>
      <c r="AD28" s="1">
        <f t="shared" si="67"/>
        <v>0.98732795870764634</v>
      </c>
      <c r="AE28" s="1">
        <f t="shared" si="67"/>
        <v>0.99191223250630545</v>
      </c>
      <c r="AF28" s="1">
        <f t="shared" si="67"/>
        <v>0.99065160375613737</v>
      </c>
      <c r="AG28" s="1">
        <f t="shared" si="67"/>
        <v>0.99920333676204798</v>
      </c>
      <c r="AH28" s="1">
        <f t="shared" si="67"/>
        <v>0.99969323811717992</v>
      </c>
      <c r="AI28" s="1">
        <f t="shared" si="67"/>
        <v>0.99423446052532793</v>
      </c>
      <c r="AJ28" s="1">
        <f t="shared" si="67"/>
        <v>0.98795846369562446</v>
      </c>
      <c r="AK28" s="1">
        <f t="shared" si="67"/>
        <v>0.99779949144336366</v>
      </c>
      <c r="AL28" s="1">
        <f t="shared" si="67"/>
        <v>0.97492877078739071</v>
      </c>
      <c r="AM28" s="1">
        <f t="shared" si="67"/>
        <v>0.99746526368985311</v>
      </c>
      <c r="AN28" s="1">
        <f t="shared" si="67"/>
        <v>1.0739592419978632</v>
      </c>
      <c r="AO28" s="1">
        <f t="shared" si="67"/>
        <v>1.0003758786582704</v>
      </c>
      <c r="AP28" s="1">
        <f t="shared" si="67"/>
        <v>0.99157798687345211</v>
      </c>
    </row>
    <row r="29" spans="2:42" x14ac:dyDescent="0.2">
      <c r="B29" s="1" t="s">
        <v>234</v>
      </c>
      <c r="C29" s="1" t="s">
        <v>77</v>
      </c>
      <c r="D29" s="278">
        <f>_xll.xlShmInterpDisc(E$5,D61+0*TYPE(disc_refresh))</f>
        <v>1.0008253703620993</v>
      </c>
      <c r="E29" s="1">
        <f t="shared" si="54"/>
        <v>0.99616447859518487</v>
      </c>
      <c r="F29" s="1">
        <f t="shared" si="59"/>
        <v>0.99853913455035315</v>
      </c>
      <c r="G29" s="1">
        <f t="shared" si="55"/>
        <v>1.0019171495661963</v>
      </c>
      <c r="H29" s="1">
        <f t="shared" si="55"/>
        <v>1.000441602863281</v>
      </c>
      <c r="I29" s="1">
        <f t="shared" si="55"/>
        <v>0.99740887297407799</v>
      </c>
      <c r="J29" s="1">
        <f t="shared" ref="J29:N29" si="68">J$15/J$16*(J$10+J129/J$11)*$E29/J$10</f>
        <v>0.99390288960487116</v>
      </c>
      <c r="K29" s="1">
        <f t="shared" si="57"/>
        <v>1.0012938054957525</v>
      </c>
      <c r="L29" s="1">
        <f t="shared" si="57"/>
        <v>0.99697270114679259</v>
      </c>
      <c r="M29" s="1">
        <f t="shared" si="57"/>
        <v>1.001259232460425</v>
      </c>
      <c r="N29" s="1">
        <f t="shared" si="68"/>
        <v>0.99337017148033091</v>
      </c>
      <c r="O29" s="1">
        <f t="shared" ref="O29:AP29" si="69">O93*O$10*O$15/((O$10+O129/O$11)*O$16)</f>
        <v>0.99472532506074451</v>
      </c>
      <c r="P29" s="1">
        <f t="shared" si="69"/>
        <v>0.99898383669275892</v>
      </c>
      <c r="Q29" s="1">
        <f t="shared" si="69"/>
        <v>0.97871159301880184</v>
      </c>
      <c r="R29" s="1">
        <f t="shared" si="69"/>
        <v>1.0051943092995448</v>
      </c>
      <c r="S29" s="1">
        <f t="shared" si="69"/>
        <v>0.9721123780123877</v>
      </c>
      <c r="T29" s="1">
        <f t="shared" si="69"/>
        <v>0.99726830900295949</v>
      </c>
      <c r="U29" s="1">
        <f t="shared" si="69"/>
        <v>0.98262256043662999</v>
      </c>
      <c r="V29" s="1">
        <f t="shared" si="69"/>
        <v>0.97145601776591595</v>
      </c>
      <c r="W29" s="1">
        <f t="shared" si="69"/>
        <v>0.97640542157255872</v>
      </c>
      <c r="X29" s="1">
        <f t="shared" si="69"/>
        <v>0.98466594271422758</v>
      </c>
      <c r="Y29" s="1">
        <f t="shared" si="69"/>
        <v>0.98246678454621739</v>
      </c>
      <c r="Z29" s="1">
        <f t="shared" si="69"/>
        <v>0.99640574091226541</v>
      </c>
      <c r="AA29" s="1">
        <f t="shared" si="69"/>
        <v>0.99698815606617797</v>
      </c>
      <c r="AB29" s="1">
        <f t="shared" si="69"/>
        <v>0.99512179166484005</v>
      </c>
      <c r="AC29" s="1">
        <f t="shared" si="69"/>
        <v>0.98998137956622656</v>
      </c>
      <c r="AD29" s="1">
        <f t="shared" si="69"/>
        <v>0.97971922838809078</v>
      </c>
      <c r="AE29" s="1">
        <f t="shared" si="69"/>
        <v>0.98533726276431521</v>
      </c>
      <c r="AF29" s="1">
        <f t="shared" si="69"/>
        <v>0.9851182247072684</v>
      </c>
      <c r="AG29" s="1">
        <f t="shared" si="69"/>
        <v>0.99858714794942494</v>
      </c>
      <c r="AH29" s="1">
        <f t="shared" si="69"/>
        <v>0.99896846357781088</v>
      </c>
      <c r="AI29" s="1">
        <f t="shared" si="69"/>
        <v>0.99064157130143371</v>
      </c>
      <c r="AJ29" s="1">
        <f t="shared" si="69"/>
        <v>0.98274753530002523</v>
      </c>
      <c r="AK29" s="1">
        <f t="shared" si="69"/>
        <v>0.9956215255827302</v>
      </c>
      <c r="AL29" s="1">
        <f t="shared" si="69"/>
        <v>0.96416794139819118</v>
      </c>
      <c r="AM29" s="1">
        <f t="shared" si="69"/>
        <v>0.99562914302755345</v>
      </c>
      <c r="AN29" s="1">
        <f t="shared" si="69"/>
        <v>1.0533403925187448</v>
      </c>
      <c r="AO29" s="1">
        <f t="shared" si="69"/>
        <v>0.99919540516479222</v>
      </c>
      <c r="AP29" s="1">
        <f t="shared" si="69"/>
        <v>0.98652726713418104</v>
      </c>
    </row>
    <row r="30" spans="2:42" x14ac:dyDescent="0.2">
      <c r="B30" s="1" t="s">
        <v>234</v>
      </c>
      <c r="C30" s="1" t="s">
        <v>82</v>
      </c>
      <c r="D30" s="278">
        <f>_xll.xlShmInterpDisc(E$5,D62+0*TYPE(disc_refresh))</f>
        <v>1.0009753561473393</v>
      </c>
      <c r="E30" s="1">
        <f t="shared" si="54"/>
        <v>0.99496455144463214</v>
      </c>
      <c r="F30" s="1">
        <f t="shared" si="59"/>
        <v>0.99799248163979148</v>
      </c>
      <c r="G30" s="1">
        <f t="shared" si="55"/>
        <v>1.0024356988147594</v>
      </c>
      <c r="H30" s="1">
        <f t="shared" si="55"/>
        <v>1.0005237150680542</v>
      </c>
      <c r="I30" s="1">
        <f t="shared" si="55"/>
        <v>0.99637807183862925</v>
      </c>
      <c r="J30" s="1">
        <f t="shared" ref="J30:N30" si="70">J$15/J$16*(J$10+J130/J$11)*$E30/J$10</f>
        <v>0.99207162386934378</v>
      </c>
      <c r="K30" s="1">
        <f t="shared" si="57"/>
        <v>1.0016101139657454</v>
      </c>
      <c r="L30" s="1">
        <f t="shared" si="57"/>
        <v>0.99602674761586729</v>
      </c>
      <c r="M30" s="1">
        <f t="shared" si="57"/>
        <v>1.0014727942766131</v>
      </c>
      <c r="N30" s="1">
        <f t="shared" si="70"/>
        <v>0.99132120890655351</v>
      </c>
      <c r="O30" s="1">
        <f t="shared" ref="O30:AP30" si="71">O94*O$10*O$15/((O$10+O130/O$11)*O$16)</f>
        <v>0.9931889695915862</v>
      </c>
      <c r="P30" s="1">
        <f t="shared" si="71"/>
        <v>0.99869669495905944</v>
      </c>
      <c r="Q30" s="1">
        <f t="shared" si="71"/>
        <v>0.97231638093013817</v>
      </c>
      <c r="R30" s="1">
        <f t="shared" si="71"/>
        <v>1.0073641775325726</v>
      </c>
      <c r="S30" s="1">
        <f t="shared" si="71"/>
        <v>0.96257255675017783</v>
      </c>
      <c r="T30" s="1">
        <f t="shared" si="71"/>
        <v>0.9961444701232286</v>
      </c>
      <c r="U30" s="1">
        <f t="shared" si="71"/>
        <v>0.97871818537021282</v>
      </c>
      <c r="V30" s="1">
        <f t="shared" si="71"/>
        <v>0.9637806422248022</v>
      </c>
      <c r="W30" s="1">
        <f t="shared" si="71"/>
        <v>0.96899059045398761</v>
      </c>
      <c r="X30" s="1">
        <f t="shared" si="71"/>
        <v>0.97996810486062824</v>
      </c>
      <c r="Y30" s="1">
        <f t="shared" si="71"/>
        <v>0.97699637479831569</v>
      </c>
      <c r="Z30" s="1">
        <f t="shared" si="71"/>
        <v>0.9953046070353051</v>
      </c>
      <c r="AA30" s="1">
        <f t="shared" si="71"/>
        <v>0.99599496076885785</v>
      </c>
      <c r="AB30" s="1">
        <f t="shared" si="71"/>
        <v>0.99357671542080361</v>
      </c>
      <c r="AC30" s="1">
        <f t="shared" si="71"/>
        <v>0.98675034433199216</v>
      </c>
      <c r="AD30" s="1">
        <f t="shared" si="71"/>
        <v>0.97310378846833956</v>
      </c>
      <c r="AE30" s="1">
        <f t="shared" si="71"/>
        <v>0.97975404525212506</v>
      </c>
      <c r="AF30" s="1">
        <f t="shared" si="71"/>
        <v>0.98068148909105768</v>
      </c>
      <c r="AG30" s="1">
        <f t="shared" si="71"/>
        <v>0.99800201709215697</v>
      </c>
      <c r="AH30" s="1">
        <f t="shared" si="71"/>
        <v>0.99880169807636099</v>
      </c>
      <c r="AI30" s="1">
        <f t="shared" si="71"/>
        <v>0.98756392520249181</v>
      </c>
      <c r="AJ30" s="1">
        <f t="shared" si="71"/>
        <v>0.97882401440150923</v>
      </c>
      <c r="AK30" s="1">
        <f t="shared" si="71"/>
        <v>0.99424545741698456</v>
      </c>
      <c r="AL30" s="1">
        <f t="shared" si="71"/>
        <v>0.95729286365837618</v>
      </c>
      <c r="AM30" s="1">
        <f t="shared" si="71"/>
        <v>0.99395902766063637</v>
      </c>
      <c r="AN30" s="1">
        <f t="shared" si="71"/>
        <v>1.046874883504292</v>
      </c>
      <c r="AO30" s="1">
        <f t="shared" si="71"/>
        <v>0.99889635922592668</v>
      </c>
      <c r="AP30" s="1">
        <f t="shared" si="71"/>
        <v>0.98273650068309049</v>
      </c>
    </row>
    <row r="31" spans="2:42" x14ac:dyDescent="0.2">
      <c r="B31" s="1" t="s">
        <v>234</v>
      </c>
      <c r="C31" s="1" t="s">
        <v>85</v>
      </c>
      <c r="D31" s="278">
        <f>_xll.xlShmInterpDisc(E$5,D63+0*TYPE(disc_refresh))</f>
        <v>1.001090867488482</v>
      </c>
      <c r="E31" s="1">
        <f t="shared" si="54"/>
        <v>0.99363181343348961</v>
      </c>
      <c r="F31" s="1">
        <f t="shared" si="59"/>
        <v>0.9973480639112986</v>
      </c>
      <c r="G31" s="1">
        <f t="shared" si="55"/>
        <v>1.0029960382242351</v>
      </c>
      <c r="H31" s="1">
        <f t="shared" si="55"/>
        <v>1.0005615150807121</v>
      </c>
      <c r="I31" s="1">
        <f t="shared" si="55"/>
        <v>0.9955152624715714</v>
      </c>
      <c r="J31" s="1">
        <f t="shared" ref="J31:N31" si="72">J$15/J$16*(J$10+J131/J$11)*$E31/J$10</f>
        <v>0.99010757274764705</v>
      </c>
      <c r="K31" s="1">
        <f t="shared" si="57"/>
        <v>1.0018384151995763</v>
      </c>
      <c r="L31" s="1">
        <f t="shared" si="57"/>
        <v>0.99499263603289401</v>
      </c>
      <c r="M31" s="1">
        <f t="shared" si="57"/>
        <v>1.0018651221049146</v>
      </c>
      <c r="N31" s="1">
        <f t="shared" si="72"/>
        <v>0.98910330350330045</v>
      </c>
      <c r="O31" s="1">
        <f t="shared" ref="O31:AP31" si="73">O95*O$10*O$15/((O$10+O131/O$11)*O$16)</f>
        <v>0.99155047300701016</v>
      </c>
      <c r="P31" s="1">
        <f t="shared" si="73"/>
        <v>0.99832277971255867</v>
      </c>
      <c r="Q31" s="1">
        <f t="shared" si="73"/>
        <v>0.96551897307844037</v>
      </c>
      <c r="R31" s="1">
        <f t="shared" si="73"/>
        <v>1.0096534044525078</v>
      </c>
      <c r="S31" s="1">
        <f t="shared" si="73"/>
        <v>0.95376881596838448</v>
      </c>
      <c r="T31" s="1">
        <f t="shared" si="73"/>
        <v>0.9948227536817521</v>
      </c>
      <c r="U31" s="1">
        <f t="shared" si="73"/>
        <v>0.97431981491372321</v>
      </c>
      <c r="V31" s="1">
        <f t="shared" si="73"/>
        <v>0.95564078667895624</v>
      </c>
      <c r="W31" s="1">
        <f t="shared" si="73"/>
        <v>0.96211484812156434</v>
      </c>
      <c r="X31" s="1">
        <f t="shared" si="73"/>
        <v>0.97493412185518036</v>
      </c>
      <c r="Y31" s="1">
        <f t="shared" si="73"/>
        <v>0.97115238089667666</v>
      </c>
      <c r="Z31" s="1">
        <f t="shared" si="73"/>
        <v>0.99403274526323526</v>
      </c>
      <c r="AA31" s="1">
        <f t="shared" si="73"/>
        <v>0.99488269064356161</v>
      </c>
      <c r="AB31" s="1">
        <f t="shared" si="73"/>
        <v>0.99187630388915815</v>
      </c>
      <c r="AC31" s="1">
        <f t="shared" si="73"/>
        <v>0.98359318819417652</v>
      </c>
      <c r="AD31" s="1">
        <f t="shared" si="73"/>
        <v>0.96760396203143895</v>
      </c>
      <c r="AE31" s="1">
        <f t="shared" si="73"/>
        <v>0.97362636281219572</v>
      </c>
      <c r="AF31" s="1">
        <f t="shared" si="73"/>
        <v>0.97592190521456446</v>
      </c>
      <c r="AG31" s="1">
        <f t="shared" si="73"/>
        <v>0.99732548702282264</v>
      </c>
      <c r="AH31" s="1">
        <f t="shared" si="73"/>
        <v>0.99857274174104338</v>
      </c>
      <c r="AI31" s="1">
        <f t="shared" si="73"/>
        <v>0.98423738042681175</v>
      </c>
      <c r="AJ31" s="1">
        <f t="shared" si="73"/>
        <v>0.97444883561740891</v>
      </c>
      <c r="AK31" s="1">
        <f t="shared" si="73"/>
        <v>0.99246039350903481</v>
      </c>
      <c r="AL31" s="1">
        <f t="shared" si="73"/>
        <v>0.94998543131145297</v>
      </c>
      <c r="AM31" s="1">
        <f t="shared" si="73"/>
        <v>0.9920063444371291</v>
      </c>
      <c r="AN31" s="1">
        <f t="shared" si="73"/>
        <v>1.0389251766885339</v>
      </c>
      <c r="AO31" s="1">
        <f t="shared" si="73"/>
        <v>0.9985257855864641</v>
      </c>
      <c r="AP31" s="1">
        <f t="shared" si="73"/>
        <v>0.97907666279827277</v>
      </c>
    </row>
    <row r="32" spans="2:42" x14ac:dyDescent="0.2">
      <c r="B32" s="1" t="s">
        <v>234</v>
      </c>
      <c r="C32" s="1" t="s">
        <v>87</v>
      </c>
      <c r="D32" s="278">
        <f>_xll.xlShmInterpDisc(E$5,D64+0*TYPE(disc_refresh))</f>
        <v>1.0011546188966192</v>
      </c>
      <c r="E32" s="1">
        <f t="shared" si="54"/>
        <v>0.99161837698340582</v>
      </c>
      <c r="F32" s="1">
        <f t="shared" si="59"/>
        <v>0.99649361759996136</v>
      </c>
      <c r="G32" s="1">
        <f t="shared" si="55"/>
        <v>1.0033707945713994</v>
      </c>
      <c r="H32" s="1">
        <f t="shared" si="55"/>
        <v>1.0007162620879562</v>
      </c>
      <c r="I32" s="1">
        <f t="shared" si="55"/>
        <v>0.99403427293450108</v>
      </c>
      <c r="J32" s="1">
        <f t="shared" ref="J32:N32" si="74">J$15/J$16*(J$10+J132/J$11)*$E32/J$10</f>
        <v>0.98748642645483464</v>
      </c>
      <c r="K32" s="1">
        <f t="shared" si="57"/>
        <v>1.0020154024342369</v>
      </c>
      <c r="L32" s="1">
        <f t="shared" si="57"/>
        <v>0.99348179155793181</v>
      </c>
      <c r="M32" s="1">
        <f t="shared" si="57"/>
        <v>1.0017501066219567</v>
      </c>
      <c r="N32" s="1">
        <f t="shared" si="74"/>
        <v>0.98636563718184334</v>
      </c>
      <c r="O32" s="1">
        <f t="shared" ref="O32:AP32" si="75">O96*O$10*O$15/((O$10+O132/O$11)*O$16)</f>
        <v>0.98931932731232242</v>
      </c>
      <c r="P32" s="1">
        <f t="shared" si="75"/>
        <v>0.99728768028657133</v>
      </c>
      <c r="Q32" s="1">
        <f t="shared" si="75"/>
        <v>0.95816940473545487</v>
      </c>
      <c r="R32" s="1">
        <f t="shared" si="75"/>
        <v>1.0112244047472099</v>
      </c>
      <c r="S32" s="1">
        <f t="shared" si="75"/>
        <v>0.94430519891298137</v>
      </c>
      <c r="T32" s="1">
        <f t="shared" si="75"/>
        <v>0.99305747026938451</v>
      </c>
      <c r="U32" s="1">
        <f t="shared" si="75"/>
        <v>0.96978107697353511</v>
      </c>
      <c r="V32" s="1">
        <f t="shared" si="75"/>
        <v>0.94696590921025203</v>
      </c>
      <c r="W32" s="1">
        <f t="shared" si="75"/>
        <v>0.95447396201671442</v>
      </c>
      <c r="X32" s="1">
        <f t="shared" si="75"/>
        <v>0.9692729178658851</v>
      </c>
      <c r="Y32" s="1">
        <f t="shared" si="75"/>
        <v>0.96470024487866812</v>
      </c>
      <c r="Z32" s="1">
        <f t="shared" si="75"/>
        <v>0.99198024084187453</v>
      </c>
      <c r="AA32" s="1">
        <f t="shared" si="75"/>
        <v>0.99308821683499626</v>
      </c>
      <c r="AB32" s="1">
        <f t="shared" si="75"/>
        <v>0.98949791557766376</v>
      </c>
      <c r="AC32" s="1">
        <f t="shared" si="75"/>
        <v>0.97975316855613903</v>
      </c>
      <c r="AD32" s="1">
        <f t="shared" si="75"/>
        <v>0.96212305698667877</v>
      </c>
      <c r="AE32" s="1">
        <f t="shared" si="75"/>
        <v>0.96689497173943018</v>
      </c>
      <c r="AF32" s="1">
        <f t="shared" si="75"/>
        <v>0.97052947587087823</v>
      </c>
      <c r="AG32" s="1">
        <f t="shared" si="75"/>
        <v>0.99596437821581985</v>
      </c>
      <c r="AH32" s="1">
        <f t="shared" si="75"/>
        <v>0.99765843111251507</v>
      </c>
      <c r="AI32" s="1">
        <f t="shared" si="75"/>
        <v>0.9802514295748076</v>
      </c>
      <c r="AJ32" s="1">
        <f t="shared" si="75"/>
        <v>0.96985658057484825</v>
      </c>
      <c r="AK32" s="1">
        <f t="shared" si="75"/>
        <v>0.99044457351808635</v>
      </c>
      <c r="AL32" s="1">
        <f t="shared" si="75"/>
        <v>0.94212280861780795</v>
      </c>
      <c r="AM32" s="1">
        <f t="shared" si="75"/>
        <v>0.98979306817450963</v>
      </c>
      <c r="AN32" s="1">
        <f t="shared" si="75"/>
        <v>1.032451118123803</v>
      </c>
      <c r="AO32" s="1">
        <f t="shared" si="75"/>
        <v>0.99746977734093545</v>
      </c>
      <c r="AP32" s="1">
        <f t="shared" si="75"/>
        <v>0.97468506815067524</v>
      </c>
    </row>
    <row r="33" spans="2:42" x14ac:dyDescent="0.2">
      <c r="B33" s="1" t="s">
        <v>234</v>
      </c>
      <c r="C33" s="1" t="s">
        <v>90</v>
      </c>
      <c r="D33" s="278">
        <f>_xll.xlShmInterpDisc(E$5,D65+0*TYPE(disc_refresh))</f>
        <v>1.001161300736982</v>
      </c>
      <c r="E33" s="1">
        <f t="shared" si="54"/>
        <v>0.99011541331554631</v>
      </c>
      <c r="F33" s="1">
        <f t="shared" si="59"/>
        <v>0.99574716862186519</v>
      </c>
      <c r="G33" s="1">
        <f t="shared" si="55"/>
        <v>1.0037683293617463</v>
      </c>
      <c r="H33" s="1">
        <f t="shared" si="55"/>
        <v>1.0006552141589931</v>
      </c>
      <c r="I33" s="1">
        <f t="shared" si="55"/>
        <v>0.99284472227646348</v>
      </c>
      <c r="J33" s="1">
        <f t="shared" ref="J33:N33" si="76">J$15/J$16*(J$10+J133/J$11)*$E33/J$10</f>
        <v>0.98542565434885088</v>
      </c>
      <c r="K33" s="1">
        <f t="shared" si="57"/>
        <v>1.0021936035882393</v>
      </c>
      <c r="L33" s="1">
        <f t="shared" si="57"/>
        <v>0.99239555061999107</v>
      </c>
      <c r="M33" s="1">
        <f t="shared" si="57"/>
        <v>1.0017893389506785</v>
      </c>
      <c r="N33" s="1">
        <f t="shared" si="76"/>
        <v>0.98406310932902452</v>
      </c>
      <c r="O33" s="1">
        <f t="shared" ref="O33:AP33" si="77">O97*O$10*O$15/((O$10+O133/O$11)*O$16)</f>
        <v>0.98769155734330583</v>
      </c>
      <c r="P33" s="1">
        <f t="shared" si="77"/>
        <v>0.99670330793988804</v>
      </c>
      <c r="Q33" s="1">
        <f t="shared" si="77"/>
        <v>0.95158881849303067</v>
      </c>
      <c r="R33" s="1">
        <f t="shared" si="77"/>
        <v>1.0126183651822493</v>
      </c>
      <c r="S33" s="1">
        <f t="shared" si="77"/>
        <v>0.9347094108356665</v>
      </c>
      <c r="T33" s="1">
        <f t="shared" si="77"/>
        <v>0.99145939659025728</v>
      </c>
      <c r="U33" s="1">
        <f t="shared" si="77"/>
        <v>0.9659438526602816</v>
      </c>
      <c r="V33" s="1">
        <f t="shared" si="77"/>
        <v>0.93958996719365184</v>
      </c>
      <c r="W33" s="1">
        <f t="shared" si="77"/>
        <v>0.94773258055036558</v>
      </c>
      <c r="X33" s="1">
        <f t="shared" si="77"/>
        <v>0.96440526916794711</v>
      </c>
      <c r="Y33" s="1">
        <f t="shared" si="77"/>
        <v>0.95843563064829107</v>
      </c>
      <c r="Z33" s="1">
        <f t="shared" si="77"/>
        <v>0.99056969015813545</v>
      </c>
      <c r="AA33" s="1">
        <f t="shared" si="77"/>
        <v>0.99219922158348794</v>
      </c>
      <c r="AB33" s="1">
        <f t="shared" si="77"/>
        <v>0.98768026073056048</v>
      </c>
      <c r="AC33" s="1">
        <f t="shared" si="77"/>
        <v>0.9766245908236858</v>
      </c>
      <c r="AD33" s="1">
        <f t="shared" si="77"/>
        <v>0.9570066251730931</v>
      </c>
      <c r="AE33" s="1">
        <f t="shared" si="77"/>
        <v>0.9604313421593702</v>
      </c>
      <c r="AF33" s="1">
        <f t="shared" si="77"/>
        <v>0.96554424093617508</v>
      </c>
      <c r="AG33" s="1">
        <f t="shared" si="77"/>
        <v>0.99473406816011201</v>
      </c>
      <c r="AH33" s="1">
        <f t="shared" si="77"/>
        <v>0.99738650193829415</v>
      </c>
      <c r="AI33" s="1">
        <f t="shared" si="77"/>
        <v>0.97727386369043612</v>
      </c>
      <c r="AJ33" s="1">
        <f t="shared" si="77"/>
        <v>0.96576853365327853</v>
      </c>
      <c r="AK33" s="1">
        <f t="shared" si="77"/>
        <v>0.98872180045257529</v>
      </c>
      <c r="AL33" s="1">
        <f t="shared" si="77"/>
        <v>0.93435565215674155</v>
      </c>
      <c r="AM33" s="1">
        <f t="shared" si="77"/>
        <v>0.98757789370163618</v>
      </c>
      <c r="AN33" s="1">
        <f t="shared" si="77"/>
        <v>1.0228256354022953</v>
      </c>
      <c r="AO33" s="1">
        <f t="shared" si="77"/>
        <v>0.99643382707289763</v>
      </c>
      <c r="AP33" s="1">
        <f t="shared" si="77"/>
        <v>0.97115221461173618</v>
      </c>
    </row>
    <row r="34" spans="2:42" x14ac:dyDescent="0.2">
      <c r="B34" s="1" t="s">
        <v>234</v>
      </c>
      <c r="C34" s="1" t="s">
        <v>93</v>
      </c>
      <c r="D34" s="278">
        <f>_xll.xlShmInterpDisc(E$5,D66+0*TYPE(disc_refresh))</f>
        <v>1.001176607491834</v>
      </c>
      <c r="E34" s="1">
        <f t="shared" si="54"/>
        <v>0.98843681422913832</v>
      </c>
      <c r="F34" s="1">
        <f t="shared" si="59"/>
        <v>0.99491033399266082</v>
      </c>
      <c r="G34" s="1">
        <f t="shared" si="55"/>
        <v>1.0042530682721953</v>
      </c>
      <c r="H34" s="1">
        <f t="shared" si="55"/>
        <v>1.0005624266484057</v>
      </c>
      <c r="I34" s="1">
        <f t="shared" si="55"/>
        <v>0.991758816805835</v>
      </c>
      <c r="J34" s="1">
        <f t="shared" ref="J34:N34" si="78">J$15/J$16*(J$10+J134/J$11)*$E34/J$10</f>
        <v>0.98315915204654303</v>
      </c>
      <c r="K34" s="1">
        <f t="shared" si="57"/>
        <v>1.0023702856989354</v>
      </c>
      <c r="L34" s="1">
        <f t="shared" si="57"/>
        <v>0.99128433776676383</v>
      </c>
      <c r="M34" s="1">
        <f t="shared" si="57"/>
        <v>1.0019569940062623</v>
      </c>
      <c r="N34" s="1">
        <f t="shared" si="78"/>
        <v>0.98154038292278711</v>
      </c>
      <c r="O34" s="1">
        <f t="shared" ref="O34:AP34" si="79">O98*O$10*O$15/((O$10+O134/O$11)*O$16)</f>
        <v>0.98587622523869978</v>
      </c>
      <c r="P34" s="1">
        <f t="shared" si="79"/>
        <v>0.99603370635313149</v>
      </c>
      <c r="Q34" s="1">
        <f t="shared" si="79"/>
        <v>0.94417779646393041</v>
      </c>
      <c r="R34" s="1">
        <f t="shared" si="79"/>
        <v>1.0140900430060065</v>
      </c>
      <c r="S34" s="1">
        <f t="shared" si="79"/>
        <v>0.92561063629072604</v>
      </c>
      <c r="T34" s="1">
        <f t="shared" si="79"/>
        <v>0.98983504928798505</v>
      </c>
      <c r="U34" s="1">
        <f t="shared" si="79"/>
        <v>0.96153725572868787</v>
      </c>
      <c r="V34" s="1">
        <f t="shared" si="79"/>
        <v>0.93155886565952561</v>
      </c>
      <c r="W34" s="1">
        <f t="shared" si="79"/>
        <v>0.94122351830159168</v>
      </c>
      <c r="X34" s="1">
        <f t="shared" si="79"/>
        <v>0.95906560308576572</v>
      </c>
      <c r="Y34" s="1">
        <f t="shared" si="79"/>
        <v>0.95159191680311861</v>
      </c>
      <c r="Z34" s="1">
        <f t="shared" si="79"/>
        <v>0.98899242526397535</v>
      </c>
      <c r="AA34" s="1">
        <f t="shared" si="79"/>
        <v>0.99119464003502789</v>
      </c>
      <c r="AB34" s="1">
        <f t="shared" si="79"/>
        <v>0.98565692316204145</v>
      </c>
      <c r="AC34" s="1">
        <f t="shared" si="79"/>
        <v>0.97317032740766618</v>
      </c>
      <c r="AD34" s="1">
        <f t="shared" si="79"/>
        <v>0.95139897899455061</v>
      </c>
      <c r="AE34" s="1">
        <f t="shared" si="79"/>
        <v>0.95337377111990207</v>
      </c>
      <c r="AF34" s="1">
        <f t="shared" si="79"/>
        <v>0.96007746625738677</v>
      </c>
      <c r="AG34" s="1">
        <f t="shared" si="79"/>
        <v>0.99335446370235925</v>
      </c>
      <c r="AH34" s="1">
        <f t="shared" si="79"/>
        <v>0.99706103658980128</v>
      </c>
      <c r="AI34" s="1">
        <f t="shared" si="79"/>
        <v>0.97398403881196505</v>
      </c>
      <c r="AJ34" s="1">
        <f t="shared" si="79"/>
        <v>0.96141249310100774</v>
      </c>
      <c r="AK34" s="1">
        <f t="shared" si="79"/>
        <v>0.98680234440340686</v>
      </c>
      <c r="AL34" s="1">
        <f t="shared" si="79"/>
        <v>0.92590806379925872</v>
      </c>
      <c r="AM34" s="1">
        <f t="shared" si="79"/>
        <v>0.9852706807050865</v>
      </c>
      <c r="AN34" s="1">
        <f t="shared" si="79"/>
        <v>1.0123840260822692</v>
      </c>
      <c r="AO34" s="1">
        <f t="shared" si="79"/>
        <v>0.99526762358459842</v>
      </c>
      <c r="AP34" s="1">
        <f t="shared" si="79"/>
        <v>0.9677095733286839</v>
      </c>
    </row>
    <row r="35" spans="2:42" x14ac:dyDescent="0.2">
      <c r="B35" s="1" t="s">
        <v>234</v>
      </c>
      <c r="C35" s="1" t="s">
        <v>96</v>
      </c>
      <c r="D35" s="278">
        <f>_xll.xlShmInterpDisc(E$5,D67+0*TYPE(disc_refresh))</f>
        <v>1.0013957054558327</v>
      </c>
      <c r="E35" s="1">
        <f t="shared" si="54"/>
        <v>0.98663576797828068</v>
      </c>
      <c r="F35" s="1">
        <f t="shared" si="59"/>
        <v>0.99425254233927784</v>
      </c>
      <c r="G35" s="1">
        <f t="shared" si="55"/>
        <v>1.0047748777930572</v>
      </c>
      <c r="H35" s="1">
        <f t="shared" si="55"/>
        <v>1.0008537434624993</v>
      </c>
      <c r="I35" s="1">
        <f t="shared" si="55"/>
        <v>0.99037699541811686</v>
      </c>
      <c r="J35" s="1">
        <f t="shared" ref="J35:N35" si="80">J$15/J$16*(J$10+J135/J$11)*$E35/J$10</f>
        <v>0.98087099272382572</v>
      </c>
      <c r="K35" s="1">
        <f t="shared" si="57"/>
        <v>1.0027231495789384</v>
      </c>
      <c r="L35" s="1">
        <f t="shared" si="57"/>
        <v>0.98994265386686009</v>
      </c>
      <c r="M35" s="1">
        <f t="shared" si="57"/>
        <v>1.0019280303788682</v>
      </c>
      <c r="N35" s="1">
        <f t="shared" si="80"/>
        <v>0.9789403374587905</v>
      </c>
      <c r="O35" s="1">
        <f t="shared" ref="O35:AP35" si="81">O99*O$10*O$15/((O$10+O135/O$11)*O$16)</f>
        <v>0.98396059134256975</v>
      </c>
      <c r="P35" s="1">
        <f t="shared" si="81"/>
        <v>0.99506825833409995</v>
      </c>
      <c r="Q35" s="1">
        <f t="shared" si="81"/>
        <v>0.93802076431694337</v>
      </c>
      <c r="R35" s="1">
        <f t="shared" si="81"/>
        <v>1.0149581807196721</v>
      </c>
      <c r="S35" s="1">
        <f t="shared" si="81"/>
        <v>0.916543480977277</v>
      </c>
      <c r="T35" s="1">
        <f t="shared" si="81"/>
        <v>0.9878995480158228</v>
      </c>
      <c r="U35" s="1">
        <f t="shared" si="81"/>
        <v>0.95793474281337343</v>
      </c>
      <c r="V35" s="1">
        <f t="shared" si="81"/>
        <v>0.92447751005572754</v>
      </c>
      <c r="W35" s="1">
        <f t="shared" si="81"/>
        <v>0.93466556393241074</v>
      </c>
      <c r="X35" s="1">
        <f t="shared" si="81"/>
        <v>0.95420270321973921</v>
      </c>
      <c r="Y35" s="1">
        <f t="shared" si="81"/>
        <v>0.94548234122520058</v>
      </c>
      <c r="Z35" s="1">
        <f t="shared" si="81"/>
        <v>0.98727685927157727</v>
      </c>
      <c r="AA35" s="1">
        <f t="shared" si="81"/>
        <v>0.98996313839076078</v>
      </c>
      <c r="AB35" s="1">
        <f t="shared" si="81"/>
        <v>0.98355512414921065</v>
      </c>
      <c r="AC35" s="1">
        <f t="shared" si="81"/>
        <v>0.96987903448987844</v>
      </c>
      <c r="AD35" s="1">
        <f t="shared" si="81"/>
        <v>0.94631615068538288</v>
      </c>
      <c r="AE35" s="1">
        <f t="shared" si="81"/>
        <v>0.94708623235010514</v>
      </c>
      <c r="AF35" s="1">
        <f t="shared" si="81"/>
        <v>0.95510820296133003</v>
      </c>
      <c r="AG35" s="1">
        <f t="shared" si="81"/>
        <v>0.99180446729325389</v>
      </c>
      <c r="AH35" s="1">
        <f t="shared" si="81"/>
        <v>0.99640367276080799</v>
      </c>
      <c r="AI35" s="1">
        <f t="shared" si="81"/>
        <v>0.97083055191798517</v>
      </c>
      <c r="AJ35" s="1">
        <f t="shared" si="81"/>
        <v>0.95818820096352686</v>
      </c>
      <c r="AK35" s="1">
        <f t="shared" si="81"/>
        <v>0.98479837800545555</v>
      </c>
      <c r="AL35" s="1">
        <f t="shared" si="81"/>
        <v>0.91848654389879258</v>
      </c>
      <c r="AM35" s="1">
        <f t="shared" si="81"/>
        <v>0.98281128476503377</v>
      </c>
      <c r="AN35" s="1">
        <f t="shared" si="81"/>
        <v>1.0032799948105642</v>
      </c>
      <c r="AO35" s="1">
        <f t="shared" si="81"/>
        <v>0.9938976017638429</v>
      </c>
      <c r="AP35" s="1">
        <f t="shared" si="81"/>
        <v>0.96409852864678802</v>
      </c>
    </row>
    <row r="36" spans="2:42" x14ac:dyDescent="0.2">
      <c r="B36" s="1" t="s">
        <v>234</v>
      </c>
      <c r="C36" s="1" t="s">
        <v>99</v>
      </c>
      <c r="D36" s="278">
        <f>_xll.xlShmInterpDisc(E$5,D68+0*TYPE(disc_refresh))</f>
        <v>1.001658786051616</v>
      </c>
      <c r="E36" s="1">
        <f t="shared" si="54"/>
        <v>0.98513947737362606</v>
      </c>
      <c r="F36" s="1">
        <f t="shared" si="59"/>
        <v>0.99357077093259361</v>
      </c>
      <c r="G36" s="1">
        <f t="shared" si="55"/>
        <v>1.005381768866616</v>
      </c>
      <c r="H36" s="1">
        <f t="shared" si="55"/>
        <v>1.0010051632271639</v>
      </c>
      <c r="I36" s="1">
        <f t="shared" si="55"/>
        <v>0.989392541787663</v>
      </c>
      <c r="J36" s="1">
        <f t="shared" ref="J36:N36" si="82">J$15/J$16*(J$10+J136/J$11)*$E36/J$10</f>
        <v>0.97884831245206083</v>
      </c>
      <c r="K36" s="1">
        <f t="shared" si="57"/>
        <v>1.0030932488722506</v>
      </c>
      <c r="L36" s="1">
        <f t="shared" si="57"/>
        <v>0.98918199186227629</v>
      </c>
      <c r="M36" s="1">
        <f t="shared" si="57"/>
        <v>1.0023453924370846</v>
      </c>
      <c r="N36" s="1">
        <f t="shared" si="82"/>
        <v>0.97663851565805671</v>
      </c>
      <c r="O36" s="1">
        <f t="shared" ref="O36:AP36" si="83">O100*O$10*O$15/((O$10+O136/O$11)*O$16)</f>
        <v>0.98246997983733408</v>
      </c>
      <c r="P36" s="1">
        <f t="shared" si="83"/>
        <v>0.9946383601303308</v>
      </c>
      <c r="Q36" s="1">
        <f t="shared" si="83"/>
        <v>0.93134565697123128</v>
      </c>
      <c r="R36" s="1">
        <f t="shared" si="83"/>
        <v>1.0156023302554218</v>
      </c>
      <c r="S36" s="1">
        <f t="shared" si="83"/>
        <v>0.90753484712055454</v>
      </c>
      <c r="T36" s="1">
        <f t="shared" si="83"/>
        <v>0.98630422170138032</v>
      </c>
      <c r="U36" s="1">
        <f t="shared" si="83"/>
        <v>0.95427843010991253</v>
      </c>
      <c r="V36" s="1">
        <f t="shared" si="83"/>
        <v>0.91778994849750828</v>
      </c>
      <c r="W36" s="1">
        <f t="shared" si="83"/>
        <v>0.92858230786213225</v>
      </c>
      <c r="X36" s="1">
        <f t="shared" si="83"/>
        <v>0.9491701110854468</v>
      </c>
      <c r="Y36" s="1">
        <f t="shared" si="83"/>
        <v>0.93889643746313756</v>
      </c>
      <c r="Z36" s="1">
        <f t="shared" si="83"/>
        <v>0.98564554747301181</v>
      </c>
      <c r="AA36" s="1">
        <f t="shared" si="83"/>
        <v>0.98922114946828621</v>
      </c>
      <c r="AB36" s="1">
        <f t="shared" si="83"/>
        <v>0.98159244935992529</v>
      </c>
      <c r="AC36" s="1">
        <f t="shared" si="83"/>
        <v>0.96650015694443081</v>
      </c>
      <c r="AD36" s="1">
        <f t="shared" si="83"/>
        <v>0.94043446515010964</v>
      </c>
      <c r="AE36" s="1">
        <f t="shared" si="83"/>
        <v>0.94051914140937487</v>
      </c>
      <c r="AF36" s="1">
        <f t="shared" si="83"/>
        <v>0.95023273034814915</v>
      </c>
      <c r="AG36" s="1">
        <f t="shared" si="83"/>
        <v>0.99060802854421592</v>
      </c>
      <c r="AH36" s="1">
        <f t="shared" si="83"/>
        <v>0.9963221429911554</v>
      </c>
      <c r="AI36" s="1">
        <f t="shared" si="83"/>
        <v>0.96767667278665681</v>
      </c>
      <c r="AJ36" s="1">
        <f t="shared" si="83"/>
        <v>0.95426698185871772</v>
      </c>
      <c r="AK36" s="1">
        <f t="shared" si="83"/>
        <v>0.98279686413870737</v>
      </c>
      <c r="AL36" s="1">
        <f t="shared" si="83"/>
        <v>0.91067783243310363</v>
      </c>
      <c r="AM36" s="1">
        <f t="shared" si="83"/>
        <v>0.97987958228478089</v>
      </c>
      <c r="AN36" s="1">
        <f t="shared" si="83"/>
        <v>0.99208097229157122</v>
      </c>
      <c r="AO36" s="1">
        <f t="shared" si="83"/>
        <v>0.99333772756773486</v>
      </c>
      <c r="AP36" s="1">
        <f t="shared" si="83"/>
        <v>0.96096323327265853</v>
      </c>
    </row>
    <row r="37" spans="2:42" x14ac:dyDescent="0.2">
      <c r="B37" s="1" t="s">
        <v>234</v>
      </c>
      <c r="C37" s="1" t="s">
        <v>101</v>
      </c>
      <c r="D37" s="278">
        <f>_xll.xlShmInterpDisc(E$5,D69+0*TYPE(disc_refresh))</f>
        <v>1.0019575850962823</v>
      </c>
      <c r="E37" s="1">
        <f t="shared" si="54"/>
        <v>0.98358057597038562</v>
      </c>
      <c r="F37" s="1">
        <f t="shared" si="59"/>
        <v>0.99295748977244913</v>
      </c>
      <c r="G37" s="1">
        <f t="shared" si="55"/>
        <v>1.0061378699746772</v>
      </c>
      <c r="H37" s="1">
        <f t="shared" si="55"/>
        <v>1.0011912241737213</v>
      </c>
      <c r="I37" s="1">
        <f t="shared" si="55"/>
        <v>0.98849815571895805</v>
      </c>
      <c r="J37" s="1">
        <f t="shared" ref="J37:N37" si="84">J$15/J$16*(J$10+J137/J$11)*$E37/J$10</f>
        <v>0.97675204945944638</v>
      </c>
      <c r="K37" s="1">
        <f t="shared" si="57"/>
        <v>1.0035232654199786</v>
      </c>
      <c r="L37" s="1">
        <f t="shared" si="57"/>
        <v>0.98828289635356481</v>
      </c>
      <c r="M37" s="1">
        <f t="shared" si="57"/>
        <v>1.002562409260519</v>
      </c>
      <c r="N37" s="1">
        <f t="shared" si="84"/>
        <v>0.97420859396116211</v>
      </c>
      <c r="O37" s="1">
        <f t="shared" ref="O37:Q49" si="85">O101*O$10*O$15/((O$10+O137/O$11)*O$16)</f>
        <v>0.98091697277782341</v>
      </c>
      <c r="P37" s="1">
        <f t="shared" si="85"/>
        <v>0.9941637218072209</v>
      </c>
      <c r="Q37" s="1">
        <f t="shared" si="85"/>
        <v>0.92452501717936597</v>
      </c>
      <c r="R37" s="1">
        <f t="shared" ref="R37:R40" si="86">R101*R$10*R$15/((R$10+R137/R$11)*R$16)</f>
        <v>1.0162531447374867</v>
      </c>
      <c r="S37" s="1">
        <f t="shared" ref="S37:AP37" si="87">S101*S$10*S$15/((S$10+S137/S$11)*S$16)</f>
        <v>0.8989003297171636</v>
      </c>
      <c r="T37" s="1">
        <f t="shared" si="87"/>
        <v>0.98488230306098012</v>
      </c>
      <c r="U37" s="1">
        <f t="shared" si="87"/>
        <v>0.95023537685945592</v>
      </c>
      <c r="V37" s="1">
        <f t="shared" si="87"/>
        <v>0.91116429800568788</v>
      </c>
      <c r="W37" s="1">
        <f t="shared" si="87"/>
        <v>0.92269322555082678</v>
      </c>
      <c r="X37" s="1">
        <f t="shared" si="87"/>
        <v>0.94416050047006062</v>
      </c>
      <c r="Y37" s="1">
        <f t="shared" si="87"/>
        <v>0.93236745669856491</v>
      </c>
      <c r="Z37" s="1">
        <f t="shared" si="87"/>
        <v>0.98395204482958776</v>
      </c>
      <c r="AA37" s="1">
        <f t="shared" si="87"/>
        <v>0.98846257274444838</v>
      </c>
      <c r="AB37" s="1">
        <f t="shared" si="87"/>
        <v>0.97960119783123056</v>
      </c>
      <c r="AC37" s="1">
        <f t="shared" si="87"/>
        <v>0.96311951676380647</v>
      </c>
      <c r="AD37" s="1">
        <f t="shared" si="87"/>
        <v>0.93459327281458815</v>
      </c>
      <c r="AE37" s="1">
        <f t="shared" si="87"/>
        <v>0.93385084977444954</v>
      </c>
      <c r="AF37" s="1">
        <f t="shared" si="87"/>
        <v>0.94537739887112693</v>
      </c>
      <c r="AG37" s="1">
        <f t="shared" si="87"/>
        <v>0.9893574773243603</v>
      </c>
      <c r="AH37" s="1">
        <f t="shared" si="87"/>
        <v>0.99622481036385735</v>
      </c>
      <c r="AI37" s="1">
        <f t="shared" si="87"/>
        <v>0.96451864411621446</v>
      </c>
      <c r="AJ37" s="1">
        <f t="shared" si="87"/>
        <v>0.94999410980246635</v>
      </c>
      <c r="AK37" s="1">
        <f t="shared" si="87"/>
        <v>0.98086891720573666</v>
      </c>
      <c r="AL37" s="1">
        <f t="shared" si="87"/>
        <v>0.90276751712215286</v>
      </c>
      <c r="AM37" s="1">
        <f t="shared" si="87"/>
        <v>0.97737274317370337</v>
      </c>
      <c r="AN37" s="1">
        <f t="shared" si="87"/>
        <v>0.98269277683273271</v>
      </c>
      <c r="AO37" s="1">
        <f t="shared" si="87"/>
        <v>0.99276126924005326</v>
      </c>
      <c r="AP37" s="1">
        <f t="shared" si="87"/>
        <v>0.95787746360493298</v>
      </c>
    </row>
    <row r="38" spans="2:42" x14ac:dyDescent="0.2">
      <c r="B38" s="1" t="s">
        <v>234</v>
      </c>
      <c r="C38" s="1" t="s">
        <v>138</v>
      </c>
      <c r="D38" s="278">
        <f>_xll.xlShmInterpDisc(E$5,D70+0*TYPE(disc_refresh))</f>
        <v>1.0021632328137242</v>
      </c>
      <c r="E38" s="1">
        <f t="shared" si="54"/>
        <v>0.98156891027567861</v>
      </c>
      <c r="F38" s="1">
        <f t="shared" si="59"/>
        <v>0.99232527805183512</v>
      </c>
      <c r="G38" s="1">
        <f t="shared" si="55"/>
        <v>1.0066379173800302</v>
      </c>
      <c r="H38" s="1">
        <f t="shared" si="55"/>
        <v>1.00160614216772</v>
      </c>
      <c r="I38" s="1">
        <f t="shared" si="55"/>
        <v>0.98680599923834755</v>
      </c>
      <c r="J38" s="1">
        <f t="shared" ref="J38:N38" si="88">J$15/J$16*(J$10+J138/J$11)*$E38/J$10</f>
        <v>0.97431023925631377</v>
      </c>
      <c r="K38" s="1">
        <f t="shared" si="57"/>
        <v>1.0038545557212508</v>
      </c>
      <c r="L38" s="1">
        <f t="shared" si="57"/>
        <v>0.98667151619205062</v>
      </c>
      <c r="M38" s="1">
        <f t="shared" si="57"/>
        <v>1.0025946169692508</v>
      </c>
      <c r="N38" s="1">
        <f t="shared" si="88"/>
        <v>0.97142238346903564</v>
      </c>
      <c r="O38" s="1">
        <f t="shared" si="85"/>
        <v>0.97891211845402604</v>
      </c>
      <c r="P38" s="1">
        <f t="shared" si="85"/>
        <v>0.99302980218697778</v>
      </c>
      <c r="Q38" s="1">
        <f t="shared" si="85"/>
        <v>0.91831380541638008</v>
      </c>
      <c r="R38" s="1">
        <f t="shared" si="86"/>
        <v>1.016025744705124</v>
      </c>
      <c r="S38" s="1">
        <f t="shared" ref="S38:AP38" si="89">S102*S$10*S$15/((S$10+S138/S$11)*S$16)</f>
        <v>0.88920157332941174</v>
      </c>
      <c r="T38" s="1">
        <f t="shared" si="89"/>
        <v>0.98266769093971484</v>
      </c>
      <c r="U38" s="1">
        <f t="shared" si="89"/>
        <v>0.94640159103879373</v>
      </c>
      <c r="V38" s="1">
        <f t="shared" si="89"/>
        <v>0.90474985084440585</v>
      </c>
      <c r="W38" s="1">
        <f t="shared" si="89"/>
        <v>0.9159108082746531</v>
      </c>
      <c r="X38" s="1">
        <f t="shared" si="89"/>
        <v>0.93910345370551362</v>
      </c>
      <c r="Y38" s="1">
        <f t="shared" si="89"/>
        <v>0.92601792736596578</v>
      </c>
      <c r="Z38" s="1">
        <f t="shared" si="89"/>
        <v>0.98182281324601806</v>
      </c>
      <c r="AA38" s="1">
        <f t="shared" si="89"/>
        <v>0.98705754314159355</v>
      </c>
      <c r="AB38" s="1">
        <f t="shared" si="89"/>
        <v>0.97712759897296109</v>
      </c>
      <c r="AC38" s="1">
        <f t="shared" si="89"/>
        <v>0.95945273083856841</v>
      </c>
      <c r="AD38" s="1">
        <f t="shared" si="89"/>
        <v>0.9288302873120089</v>
      </c>
      <c r="AE38" s="1">
        <f t="shared" si="89"/>
        <v>0.9276729676549047</v>
      </c>
      <c r="AF38" s="1">
        <f t="shared" si="89"/>
        <v>0.94045205517745134</v>
      </c>
      <c r="AG38" s="1">
        <f t="shared" si="89"/>
        <v>0.98759298351887559</v>
      </c>
      <c r="AH38" s="1">
        <f t="shared" si="89"/>
        <v>0.99539284503714365</v>
      </c>
      <c r="AI38" s="1">
        <f t="shared" si="89"/>
        <v>0.96104352131973414</v>
      </c>
      <c r="AJ38" s="1">
        <f t="shared" si="89"/>
        <v>0.94628662897322879</v>
      </c>
      <c r="AK38" s="1">
        <f t="shared" si="89"/>
        <v>0.97841157458523176</v>
      </c>
      <c r="AL38" s="1">
        <f t="shared" si="89"/>
        <v>0.89562912256569416</v>
      </c>
      <c r="AM38" s="1">
        <f t="shared" si="89"/>
        <v>0.97413240195318951</v>
      </c>
      <c r="AN38" s="1">
        <f t="shared" si="89"/>
        <v>0.97317446933318641</v>
      </c>
      <c r="AO38" s="1">
        <f t="shared" si="89"/>
        <v>0.99151230497846687</v>
      </c>
      <c r="AP38" s="1">
        <f t="shared" si="89"/>
        <v>0.95411006775517049</v>
      </c>
    </row>
    <row r="39" spans="2:42" x14ac:dyDescent="0.2">
      <c r="B39" s="1" t="s">
        <v>234</v>
      </c>
      <c r="C39" s="1" t="s">
        <v>122</v>
      </c>
      <c r="D39" s="278">
        <f>_xll.xlShmInterpDisc(E$5,D71+0*TYPE(disc_refresh))</f>
        <v>1.0028494676135629</v>
      </c>
      <c r="E39" s="1">
        <f t="shared" si="54"/>
        <v>0.97652916493138886</v>
      </c>
      <c r="F39" s="1">
        <f t="shared" si="59"/>
        <v>0.99030267997158128</v>
      </c>
      <c r="G39" s="1">
        <f t="shared" si="55"/>
        <v>1.0083814423230788</v>
      </c>
      <c r="H39" s="1">
        <f t="shared" si="55"/>
        <v>1.0023715438851866</v>
      </c>
      <c r="I39" s="1">
        <f t="shared" si="55"/>
        <v>0.98350790438207369</v>
      </c>
      <c r="J39" s="1">
        <f t="shared" ref="J39:N39" si="90">J$15/J$16*(J$10+J139/J$11)*$E39/J$10</f>
        <v>0.96801591037512369</v>
      </c>
      <c r="K39" s="1">
        <f t="shared" si="57"/>
        <v>1.0049041154732006</v>
      </c>
      <c r="L39" s="1">
        <f t="shared" si="57"/>
        <v>0.98312614712114343</v>
      </c>
      <c r="M39" s="1">
        <f t="shared" si="57"/>
        <v>1.0029993491823059</v>
      </c>
      <c r="N39" s="1">
        <f t="shared" si="90"/>
        <v>0.96355868348702489</v>
      </c>
      <c r="O39" s="1">
        <f t="shared" si="85"/>
        <v>0.97389053624833821</v>
      </c>
      <c r="P39" s="1">
        <f t="shared" si="85"/>
        <v>0.9909255422401152</v>
      </c>
      <c r="Q39" s="1">
        <f t="shared" si="85"/>
        <v>0.89966384596463755</v>
      </c>
      <c r="R39" s="1">
        <f t="shared" si="86"/>
        <v>1.017388446191454</v>
      </c>
      <c r="S39" s="1">
        <f t="shared" ref="S39:AP39" si="91">S103*S$10*S$15/((S$10+S139/S$11)*S$16)</f>
        <v>0.86411630330713562</v>
      </c>
      <c r="T39" s="1">
        <f t="shared" si="91"/>
        <v>0.97740973198215975</v>
      </c>
      <c r="U39" s="1">
        <f t="shared" si="91"/>
        <v>0.93524728899104737</v>
      </c>
      <c r="V39" s="1">
        <f t="shared" si="91"/>
        <v>0.88607495424899829</v>
      </c>
      <c r="W39" s="1">
        <f t="shared" si="91"/>
        <v>0.89902136508167863</v>
      </c>
      <c r="X39" s="1">
        <f t="shared" si="91"/>
        <v>0.92548441750355215</v>
      </c>
      <c r="Y39" s="1">
        <f t="shared" si="91"/>
        <v>0.9079085488395805</v>
      </c>
      <c r="Z39" s="1">
        <f t="shared" si="91"/>
        <v>0.97691289750244914</v>
      </c>
      <c r="AA39" s="1">
        <f t="shared" si="91"/>
        <v>0.98269523212918652</v>
      </c>
      <c r="AB39" s="1">
        <f t="shared" si="91"/>
        <v>0.97076006916000146</v>
      </c>
      <c r="AC39" s="1">
        <f t="shared" si="91"/>
        <v>0.95079256753543606</v>
      </c>
      <c r="AD39" s="1">
        <f t="shared" si="91"/>
        <v>0.91617549467714565</v>
      </c>
      <c r="AE39" s="1">
        <f t="shared" si="91"/>
        <v>0.9091759264563426</v>
      </c>
      <c r="AF39" s="1">
        <f t="shared" si="91"/>
        <v>0.92875054738588336</v>
      </c>
      <c r="AG39" s="1">
        <f t="shared" si="91"/>
        <v>0.98342741966672154</v>
      </c>
      <c r="AH39" s="1">
        <f t="shared" si="91"/>
        <v>0.99487853393908254</v>
      </c>
      <c r="AI39" s="1">
        <f t="shared" si="91"/>
        <v>0.95148204488759514</v>
      </c>
      <c r="AJ39" s="1">
        <f t="shared" si="91"/>
        <v>0.93398544821330487</v>
      </c>
      <c r="AK39" s="1">
        <f t="shared" si="91"/>
        <v>0.97306248188998856</v>
      </c>
      <c r="AL39" s="1">
        <f t="shared" si="91"/>
        <v>0.87405571950572702</v>
      </c>
      <c r="AM39" s="1">
        <f t="shared" si="91"/>
        <v>0.96532186156469824</v>
      </c>
      <c r="AN39" s="1">
        <f t="shared" si="91"/>
        <v>0.9450648257616131</v>
      </c>
      <c r="AO39" s="1">
        <f t="shared" si="91"/>
        <v>0.98754262065192322</v>
      </c>
      <c r="AP39" s="1">
        <f t="shared" si="91"/>
        <v>0.94619391771239802</v>
      </c>
    </row>
    <row r="40" spans="2:42" x14ac:dyDescent="0.2">
      <c r="B40" s="1" t="s">
        <v>234</v>
      </c>
      <c r="C40" s="1" t="s">
        <v>133</v>
      </c>
      <c r="D40" s="278">
        <f>_xll.xlShmInterpDisc(E$5,D72+0*TYPE(disc_refresh))</f>
        <v>1.0034707422738873</v>
      </c>
      <c r="E40" s="1">
        <f t="shared" si="54"/>
        <v>0.97119931057378928</v>
      </c>
      <c r="F40" s="1">
        <f t="shared" si="59"/>
        <v>0.98809325856825947</v>
      </c>
      <c r="G40" s="1">
        <f t="shared" si="55"/>
        <v>1.0099931410190639</v>
      </c>
      <c r="H40" s="1">
        <f t="shared" si="55"/>
        <v>1.0032563365016702</v>
      </c>
      <c r="I40" s="1">
        <f t="shared" si="55"/>
        <v>0.97995314092557384</v>
      </c>
      <c r="J40" s="1">
        <f t="shared" ref="J40:N40" si="92">J$15/J$16*(J$10+J140/J$11)*$E40/J$10</f>
        <v>0.96141362119137752</v>
      </c>
      <c r="K40" s="1">
        <f t="shared" si="57"/>
        <v>1.0055433289648852</v>
      </c>
      <c r="L40" s="1">
        <f t="shared" si="57"/>
        <v>0.98007401565823182</v>
      </c>
      <c r="M40" s="1">
        <f t="shared" si="57"/>
        <v>1.0031428934656743</v>
      </c>
      <c r="N40" s="1">
        <f t="shared" si="92"/>
        <v>0.95625844621289091</v>
      </c>
      <c r="O40" s="1">
        <f t="shared" si="85"/>
        <v>0.96857963091221166</v>
      </c>
      <c r="P40" s="1">
        <f t="shared" si="85"/>
        <v>0.98854659925396637</v>
      </c>
      <c r="Q40" s="1">
        <f t="shared" si="85"/>
        <v>0.88116391831661733</v>
      </c>
      <c r="R40" s="1">
        <f t="shared" si="86"/>
        <v>1.0185389214494442</v>
      </c>
      <c r="S40" s="1">
        <f t="shared" ref="S40:AP40" si="93">S104*S$10*S$15/((S$10+S140/S$11)*S$16)</f>
        <v>0.83926888194570681</v>
      </c>
      <c r="T40" s="1">
        <f t="shared" si="93"/>
        <v>0.9718603800798753</v>
      </c>
      <c r="U40" s="1">
        <f t="shared" si="93"/>
        <v>0.92389227123783857</v>
      </c>
      <c r="V40" s="1">
        <f t="shared" si="93"/>
        <v>0.8675661396150437</v>
      </c>
      <c r="W40" s="1">
        <f t="shared" si="93"/>
        <v>0.88191737437289064</v>
      </c>
      <c r="X40" s="1">
        <f t="shared" si="93"/>
        <v>0.91175258530050995</v>
      </c>
      <c r="Y40" s="1">
        <f t="shared" si="93"/>
        <v>0.88990954579161285</v>
      </c>
      <c r="Z40" s="1">
        <f t="shared" si="93"/>
        <v>0.97171285095504945</v>
      </c>
      <c r="AA40" s="1">
        <f t="shared" si="93"/>
        <v>0.97804231097545591</v>
      </c>
      <c r="AB40" s="1">
        <f t="shared" si="93"/>
        <v>0.96410735073590248</v>
      </c>
      <c r="AC40" s="1">
        <f t="shared" si="93"/>
        <v>0.94187775309874056</v>
      </c>
      <c r="AD40" s="1">
        <f t="shared" si="93"/>
        <v>0.90338005293166479</v>
      </c>
      <c r="AE40" s="1">
        <f t="shared" si="93"/>
        <v>0.89081005783072698</v>
      </c>
      <c r="AF40" s="1">
        <f t="shared" si="93"/>
        <v>0.9168715072357827</v>
      </c>
      <c r="AG40" s="1">
        <f t="shared" si="93"/>
        <v>0.97897177594622675</v>
      </c>
      <c r="AH40" s="1">
        <f t="shared" si="93"/>
        <v>0.99411399562141733</v>
      </c>
      <c r="AI40" s="1">
        <f t="shared" si="93"/>
        <v>0.94168096951707136</v>
      </c>
      <c r="AJ40" s="1">
        <f t="shared" si="93"/>
        <v>0.92221802435243683</v>
      </c>
      <c r="AK40" s="1">
        <f t="shared" si="93"/>
        <v>0.96742438967936073</v>
      </c>
      <c r="AL40" s="1">
        <f t="shared" si="93"/>
        <v>0.85285696742336647</v>
      </c>
      <c r="AM40" s="1">
        <f t="shared" si="93"/>
        <v>0.95625252847588638</v>
      </c>
      <c r="AN40" s="1">
        <f t="shared" si="93"/>
        <v>0.91775401919757871</v>
      </c>
      <c r="AO40" s="1">
        <f t="shared" si="93"/>
        <v>0.98328261917766957</v>
      </c>
      <c r="AP40" s="1">
        <f t="shared" si="93"/>
        <v>0.9379464076039552</v>
      </c>
    </row>
    <row r="41" spans="2:42" x14ac:dyDescent="0.2">
      <c r="B41" s="1" t="s">
        <v>234</v>
      </c>
      <c r="C41" s="1" t="s">
        <v>148</v>
      </c>
      <c r="D41" s="278">
        <f>_xll.xlShmInterpDisc(E$5,D73+0*TYPE(disc_refresh))</f>
        <v>1.0044810745975883</v>
      </c>
      <c r="E41" s="1">
        <f t="shared" si="54"/>
        <v>0.95985816403208746</v>
      </c>
      <c r="F41" s="1">
        <f t="shared" si="59"/>
        <v>0.98355623944034754</v>
      </c>
      <c r="G41" s="1">
        <f t="shared" si="55"/>
        <v>1.0134278663571012</v>
      </c>
      <c r="H41" s="1">
        <f t="shared" si="55"/>
        <v>1.0056570631904</v>
      </c>
      <c r="I41" s="1">
        <f t="shared" si="55"/>
        <v>0.97203714252609208</v>
      </c>
      <c r="J41" s="1">
        <f t="shared" ref="J41:N41" si="94">J$15/J$16*(J$10+J141/J$11)*$E41/J$10</f>
        <v>0.9475161646175525</v>
      </c>
      <c r="K41" s="1">
        <f t="shared" si="57"/>
        <v>1.0065893369792664</v>
      </c>
      <c r="L41" s="1">
        <f t="shared" si="57"/>
        <v>0.97314121211236471</v>
      </c>
      <c r="M41" s="1">
        <f t="shared" si="57"/>
        <v>1.0020538064345099</v>
      </c>
      <c r="N41" s="1">
        <f t="shared" si="94"/>
        <v>0.93917691831952399</v>
      </c>
      <c r="O41" s="1">
        <f t="shared" si="85"/>
        <v>0.95727816328825177</v>
      </c>
      <c r="P41" s="1">
        <f t="shared" si="85"/>
        <v>0.98311349495763178</v>
      </c>
      <c r="Q41" s="1">
        <f t="shared" si="85"/>
        <v>0.84492647091295514</v>
      </c>
      <c r="R41" s="1">
        <f t="shared" ref="R41:R49" si="95">R105*R$10*R$15/((R$10+R141/R$11)*R$16)</f>
        <v>1.0203125224655016</v>
      </c>
      <c r="S41" s="1">
        <f t="shared" ref="S41:AP41" si="96">S105*S$10*S$15/((S$10+S141/S$11)*S$16)</f>
        <v>0.79164003522878756</v>
      </c>
      <c r="T41" s="1">
        <f t="shared" si="96"/>
        <v>0.96007248218092411</v>
      </c>
      <c r="U41" s="1">
        <f t="shared" si="96"/>
        <v>0.90081849966137195</v>
      </c>
      <c r="V41" s="1">
        <f t="shared" si="96"/>
        <v>0.83135430958235546</v>
      </c>
      <c r="W41" s="1">
        <f t="shared" si="96"/>
        <v>0.84906178335790738</v>
      </c>
      <c r="X41" s="1">
        <f t="shared" si="96"/>
        <v>0.88424379104682227</v>
      </c>
      <c r="Y41" s="1">
        <f t="shared" si="96"/>
        <v>0.85360216608105366</v>
      </c>
      <c r="Z41" s="1">
        <f t="shared" si="96"/>
        <v>0.96062940467672331</v>
      </c>
      <c r="AA41" s="1">
        <f t="shared" si="96"/>
        <v>0.9680443940440473</v>
      </c>
      <c r="AB41" s="1">
        <f t="shared" si="96"/>
        <v>0.95015397063592821</v>
      </c>
      <c r="AC41" s="1">
        <f t="shared" si="96"/>
        <v>0.92702515680123954</v>
      </c>
      <c r="AD41" s="1">
        <f t="shared" si="96"/>
        <v>0.8771567398578356</v>
      </c>
      <c r="AE41" s="1">
        <f t="shared" si="96"/>
        <v>0.85478726730388332</v>
      </c>
      <c r="AF41" s="1">
        <f t="shared" si="96"/>
        <v>0.89285472661065635</v>
      </c>
      <c r="AG41" s="1">
        <f t="shared" si="96"/>
        <v>0.9693672428876805</v>
      </c>
      <c r="AH41" s="1">
        <f t="shared" si="96"/>
        <v>0.99196270388050611</v>
      </c>
      <c r="AI41" s="1">
        <f t="shared" si="96"/>
        <v>0.92161037884413433</v>
      </c>
      <c r="AJ41" s="1">
        <f t="shared" si="96"/>
        <v>0.89748558538231094</v>
      </c>
      <c r="AK41" s="1">
        <f t="shared" si="96"/>
        <v>0.95547420881476886</v>
      </c>
      <c r="AL41" s="1">
        <f t="shared" si="96"/>
        <v>0.81187412524565372</v>
      </c>
      <c r="AM41" s="1">
        <f t="shared" si="96"/>
        <v>0.93757588087728994</v>
      </c>
      <c r="AN41" s="1">
        <f t="shared" si="96"/>
        <v>0.86577744693675085</v>
      </c>
      <c r="AO41" s="1">
        <f t="shared" si="96"/>
        <v>0.97406632121442138</v>
      </c>
      <c r="AP41" s="1">
        <f t="shared" si="96"/>
        <v>0.92082689148266528</v>
      </c>
    </row>
    <row r="42" spans="2:42" x14ac:dyDescent="0.2">
      <c r="B42" s="1" t="s">
        <v>234</v>
      </c>
      <c r="C42" s="1" t="s">
        <v>150</v>
      </c>
      <c r="D42" s="278">
        <f>_xll.xlShmInterpDisc(E$5,D74+0*TYPE(disc_refresh))</f>
        <v>1.0027796883177154</v>
      </c>
      <c r="E42" s="1">
        <f t="shared" si="54"/>
        <v>0.93327855783543023</v>
      </c>
      <c r="F42" s="1">
        <f t="shared" si="59"/>
        <v>0.97017611212347576</v>
      </c>
      <c r="G42" s="1">
        <f t="shared" si="55"/>
        <v>1.0174399189783183</v>
      </c>
      <c r="H42" s="1">
        <f t="shared" si="55"/>
        <v>1.0079306749277173</v>
      </c>
      <c r="I42" s="1">
        <f t="shared" si="55"/>
        <v>0.95174406594770455</v>
      </c>
      <c r="J42" s="1">
        <f t="shared" ref="J42:N42" si="97">J$15/J$16*(J$10+J142/J$11)*$E42/J$10</f>
        <v>0.91572647962979026</v>
      </c>
      <c r="K42" s="1">
        <f t="shared" si="57"/>
        <v>1.004774832567771</v>
      </c>
      <c r="L42" s="1">
        <f t="shared" si="57"/>
        <v>0.95465259302898542</v>
      </c>
      <c r="M42" s="1">
        <f t="shared" si="57"/>
        <v>0.99436133764703172</v>
      </c>
      <c r="N42" s="1">
        <f t="shared" si="97"/>
        <v>0.90179148202929205</v>
      </c>
      <c r="O42" s="1">
        <f t="shared" si="85"/>
        <v>0.93078752888875482</v>
      </c>
      <c r="P42" s="1">
        <f t="shared" si="85"/>
        <v>0.96789856427071086</v>
      </c>
      <c r="Q42" s="1">
        <f t="shared" si="85"/>
        <v>0.77519564803699093</v>
      </c>
      <c r="R42" s="1">
        <f t="shared" si="95"/>
        <v>1.0220440190022271</v>
      </c>
      <c r="S42" s="1">
        <f t="shared" ref="S42:AP42" si="98">S106*S$10*S$15/((S$10+S142/S$11)*S$16)</f>
        <v>0.70524408573031006</v>
      </c>
      <c r="T42" s="1">
        <f t="shared" si="98"/>
        <v>0.93240491064720266</v>
      </c>
      <c r="U42" s="1">
        <f t="shared" si="98"/>
        <v>0.85313208563573895</v>
      </c>
      <c r="V42" s="1">
        <f t="shared" si="98"/>
        <v>0.76033891260294073</v>
      </c>
      <c r="W42" s="1">
        <f t="shared" si="98"/>
        <v>0.78915319101103187</v>
      </c>
      <c r="X42" s="1">
        <f t="shared" si="98"/>
        <v>0.82801467438565279</v>
      </c>
      <c r="Y42" s="1">
        <f t="shared" si="98"/>
        <v>0.78522180114376516</v>
      </c>
      <c r="Z42" s="1">
        <f t="shared" si="98"/>
        <v>0.93453746853212982</v>
      </c>
      <c r="AA42" s="1">
        <f t="shared" si="98"/>
        <v>0.9579632921068012</v>
      </c>
      <c r="AB42" s="1">
        <f t="shared" si="98"/>
        <v>0.91868859091183941</v>
      </c>
      <c r="AC42" s="1">
        <f t="shared" si="98"/>
        <v>0.8901683561358229</v>
      </c>
      <c r="AD42" s="1">
        <f t="shared" si="98"/>
        <v>0.82158009083200267</v>
      </c>
      <c r="AE42" s="1">
        <f t="shared" si="98"/>
        <v>0.78575796507036277</v>
      </c>
      <c r="AF42" s="1">
        <f t="shared" si="98"/>
        <v>0.84090686226570466</v>
      </c>
      <c r="AG42" s="1">
        <f t="shared" si="98"/>
        <v>0.94238895563166436</v>
      </c>
      <c r="AH42" s="1">
        <f t="shared" si="98"/>
        <v>0.98326935834799434</v>
      </c>
      <c r="AI42" s="1">
        <f t="shared" si="98"/>
        <v>0.87908749630142236</v>
      </c>
      <c r="AJ42" s="1">
        <f t="shared" si="98"/>
        <v>0.85094996456522509</v>
      </c>
      <c r="AK42" s="1">
        <f t="shared" si="98"/>
        <v>0.92201955040090389</v>
      </c>
      <c r="AL42" s="1">
        <f t="shared" si="98"/>
        <v>0.73567914324460459</v>
      </c>
      <c r="AM42" s="1">
        <f t="shared" si="98"/>
        <v>0.89563372401595331</v>
      </c>
      <c r="AN42" s="1">
        <f t="shared" si="98"/>
        <v>0.77213000561238554</v>
      </c>
      <c r="AO42" s="1">
        <f t="shared" si="98"/>
        <v>0.96151640652088266</v>
      </c>
      <c r="AP42" s="1">
        <f t="shared" si="98"/>
        <v>0.88382201407706396</v>
      </c>
    </row>
    <row r="43" spans="2:42" x14ac:dyDescent="0.2">
      <c r="B43" s="1" t="s">
        <v>234</v>
      </c>
      <c r="C43" s="1" t="s">
        <v>153</v>
      </c>
      <c r="D43" s="278">
        <f>_xll.xlShmInterpDisc(E$5,D75+0*TYPE(disc_refresh))</f>
        <v>0.99967979330069245</v>
      </c>
      <c r="E43" s="1">
        <f t="shared" si="54"/>
        <v>0.9062981340369306</v>
      </c>
      <c r="F43" s="1">
        <f t="shared" si="59"/>
        <v>0.95515688375897312</v>
      </c>
      <c r="G43" s="1">
        <f t="shared" si="55"/>
        <v>1.0207044748544629</v>
      </c>
      <c r="H43" s="1">
        <f t="shared" si="55"/>
        <v>1.0106114475185137</v>
      </c>
      <c r="I43" s="1">
        <f t="shared" si="55"/>
        <v>0.93005382076319243</v>
      </c>
      <c r="J43" s="1">
        <f t="shared" ref="J43:N43" si="99">J$15/J$16*(J$10+J143/J$11)*$E43/J$10</f>
        <v>0.88290753855602344</v>
      </c>
      <c r="K43" s="1">
        <f t="shared" si="57"/>
        <v>1.0009047952739456</v>
      </c>
      <c r="L43" s="1">
        <f t="shared" si="57"/>
        <v>0.93434974057461151</v>
      </c>
      <c r="M43" s="1">
        <f t="shared" si="57"/>
        <v>0.97796426108301149</v>
      </c>
      <c r="N43" s="1">
        <f t="shared" si="99"/>
        <v>0.86362302383249467</v>
      </c>
      <c r="O43" s="1">
        <f t="shared" si="85"/>
        <v>0.90389628132359445</v>
      </c>
      <c r="P43" s="1">
        <f t="shared" si="85"/>
        <v>0.95197505898925749</v>
      </c>
      <c r="Q43" s="1">
        <f t="shared" si="85"/>
        <v>0.7093006093973574</v>
      </c>
      <c r="R43" s="1">
        <f t="shared" si="95"/>
        <v>1.0236930651981795</v>
      </c>
      <c r="S43" s="1">
        <f t="shared" ref="S43:AP43" si="100">S107*S$10*S$15/((S$10+S143/S$11)*S$16)</f>
        <v>0.62844218935468787</v>
      </c>
      <c r="T43" s="1">
        <f t="shared" si="100"/>
        <v>0.90482504176793721</v>
      </c>
      <c r="U43" s="1">
        <f t="shared" si="100"/>
        <v>0.80770707768087169</v>
      </c>
      <c r="V43" s="1">
        <f t="shared" si="100"/>
        <v>0.6991242764452178</v>
      </c>
      <c r="W43" s="1">
        <f t="shared" si="100"/>
        <v>0.73595106261062482</v>
      </c>
      <c r="X43" s="1">
        <f t="shared" si="100"/>
        <v>0.77453813110581549</v>
      </c>
      <c r="Y43" s="1">
        <f t="shared" si="100"/>
        <v>0.72364729013409979</v>
      </c>
      <c r="Z43" s="1">
        <f t="shared" si="100"/>
        <v>0.90801957010107304</v>
      </c>
      <c r="AA43" s="1">
        <f t="shared" si="100"/>
        <v>0.94234426815937933</v>
      </c>
      <c r="AB43" s="1">
        <f t="shared" si="100"/>
        <v>0.88713955990281501</v>
      </c>
      <c r="AC43" s="1">
        <f t="shared" si="100"/>
        <v>0.85207740592342929</v>
      </c>
      <c r="AD43" s="1">
        <f t="shared" si="100"/>
        <v>0.76937263903641839</v>
      </c>
      <c r="AE43" s="1">
        <f t="shared" si="100"/>
        <v>0.72324580900645363</v>
      </c>
      <c r="AF43" s="1">
        <f t="shared" si="100"/>
        <v>0.79157001080482903</v>
      </c>
      <c r="AG43" s="1">
        <f t="shared" si="100"/>
        <v>0.90801155233990738</v>
      </c>
      <c r="AH43" s="1">
        <f t="shared" si="100"/>
        <v>0.97395909084682142</v>
      </c>
      <c r="AI43" s="1">
        <f t="shared" si="100"/>
        <v>0.83764951062684645</v>
      </c>
      <c r="AJ43" s="1">
        <f t="shared" si="100"/>
        <v>0.8095169372115596</v>
      </c>
      <c r="AK43" s="1">
        <f t="shared" si="100"/>
        <v>0.88760572094416046</v>
      </c>
      <c r="AL43" s="1">
        <f t="shared" si="100"/>
        <v>0.66854684108790619</v>
      </c>
      <c r="AM43" s="1">
        <f t="shared" si="100"/>
        <v>0.85138370107201922</v>
      </c>
      <c r="AN43" s="1">
        <f t="shared" si="100"/>
        <v>0.69205828426913996</v>
      </c>
      <c r="AO43" s="1">
        <f t="shared" si="100"/>
        <v>0.94263402474634383</v>
      </c>
      <c r="AP43" s="1">
        <f t="shared" si="100"/>
        <v>0.84735188925839056</v>
      </c>
    </row>
    <row r="44" spans="2:42" x14ac:dyDescent="0.2">
      <c r="B44" s="1" t="s">
        <v>234</v>
      </c>
      <c r="C44" s="1" t="s">
        <v>156</v>
      </c>
      <c r="D44" s="278">
        <f>_xll.xlShmInterpDisc(E$5,D76+0*TYPE(disc_refresh))</f>
        <v>0.99378401114951864</v>
      </c>
      <c r="E44" s="1">
        <f t="shared" si="54"/>
        <v>0.87913526180302071</v>
      </c>
      <c r="F44" s="1">
        <f t="shared" si="59"/>
        <v>0.93804255483936017</v>
      </c>
      <c r="G44" s="1">
        <f t="shared" si="55"/>
        <v>1.022574242487214</v>
      </c>
      <c r="H44" s="1">
        <f t="shared" si="55"/>
        <v>1.0131093000418148</v>
      </c>
      <c r="I44" s="1">
        <f t="shared" si="55"/>
        <v>0.90559979987624029</v>
      </c>
      <c r="J44" s="1">
        <f t="shared" ref="J44:N44" si="101">J$15/J$16*(J$10+J144/J$11)*$E44/J$10</f>
        <v>0.84928245667802416</v>
      </c>
      <c r="K44" s="1">
        <f t="shared" si="57"/>
        <v>0.99199164064001311</v>
      </c>
      <c r="L44" s="1">
        <f t="shared" si="57"/>
        <v>0.91345646290393367</v>
      </c>
      <c r="M44" s="1">
        <f t="shared" si="57"/>
        <v>0.95964174196238627</v>
      </c>
      <c r="N44" s="1">
        <f t="shared" si="101"/>
        <v>0.82480845549955051</v>
      </c>
      <c r="O44" s="1">
        <f t="shared" si="85"/>
        <v>0.87682186321151323</v>
      </c>
      <c r="P44" s="1">
        <f t="shared" si="85"/>
        <v>0.93531144474275829</v>
      </c>
      <c r="Q44" s="1">
        <f t="shared" si="85"/>
        <v>0.64850118326283934</v>
      </c>
      <c r="R44" s="1">
        <f t="shared" si="95"/>
        <v>1.0248748630624971</v>
      </c>
      <c r="S44" s="1">
        <f t="shared" ref="S44:AP44" si="102">S108*S$10*S$15/((S$10+S144/S$11)*S$16)</f>
        <v>0.56104190117041219</v>
      </c>
      <c r="T44" s="1">
        <f t="shared" si="102"/>
        <v>0.87676154148253604</v>
      </c>
      <c r="U44" s="1">
        <f t="shared" si="102"/>
        <v>0.76426468500852374</v>
      </c>
      <c r="V44" s="1">
        <f t="shared" si="102"/>
        <v>0.64206043415205749</v>
      </c>
      <c r="W44" s="1">
        <f t="shared" si="102"/>
        <v>0.68722867645271046</v>
      </c>
      <c r="X44" s="1">
        <f t="shared" si="102"/>
        <v>0.72498031045023381</v>
      </c>
      <c r="Y44" s="1">
        <f t="shared" si="102"/>
        <v>0.66296781560125606</v>
      </c>
      <c r="Z44" s="1">
        <f t="shared" si="102"/>
        <v>0.88128433392587013</v>
      </c>
      <c r="AA44" s="1">
        <f t="shared" si="102"/>
        <v>0.92711753342850467</v>
      </c>
      <c r="AB44" s="1">
        <f t="shared" si="102"/>
        <v>0.85581567099863798</v>
      </c>
      <c r="AC44" s="1">
        <f t="shared" si="102"/>
        <v>0.81410091058306933</v>
      </c>
      <c r="AD44" s="1">
        <f t="shared" si="102"/>
        <v>0.72088139750581726</v>
      </c>
      <c r="AE44" s="1">
        <f t="shared" si="102"/>
        <v>0.66715214808429568</v>
      </c>
      <c r="AF44" s="1">
        <f t="shared" si="102"/>
        <v>0.74525362466345058</v>
      </c>
      <c r="AG44" s="1">
        <f t="shared" si="102"/>
        <v>0.87398424309439104</v>
      </c>
      <c r="AH44" s="1">
        <f t="shared" si="102"/>
        <v>0.96385434154608896</v>
      </c>
      <c r="AI44" s="1">
        <f t="shared" si="102"/>
        <v>0.79773275675607402</v>
      </c>
      <c r="AJ44" s="1">
        <f t="shared" si="102"/>
        <v>0.77106683600529591</v>
      </c>
      <c r="AK44" s="1">
        <f t="shared" si="102"/>
        <v>0.85247931309351588</v>
      </c>
      <c r="AL44" s="1">
        <f t="shared" si="102"/>
        <v>0.60978755852499433</v>
      </c>
      <c r="AM44" s="1">
        <f t="shared" si="102"/>
        <v>0.80677114827513363</v>
      </c>
      <c r="AN44" s="1">
        <f t="shared" si="102"/>
        <v>0.62379423792821498</v>
      </c>
      <c r="AO44" s="1">
        <f t="shared" si="102"/>
        <v>0.92115992699680971</v>
      </c>
      <c r="AP44" s="1">
        <f t="shared" si="102"/>
        <v>0.81162965803241593</v>
      </c>
    </row>
    <row r="45" spans="2:42" x14ac:dyDescent="0.2">
      <c r="B45" s="1" t="s">
        <v>234</v>
      </c>
      <c r="C45" s="1" t="s">
        <v>157</v>
      </c>
      <c r="D45" s="278">
        <f>_xll.xlShmInterpDisc(E$5,D77+0*TYPE(disc_refresh))</f>
        <v>0.98531000739359098</v>
      </c>
      <c r="E45" s="1">
        <f t="shared" si="54"/>
        <v>0.85211110161605308</v>
      </c>
      <c r="F45" s="1">
        <f t="shared" si="59"/>
        <v>0.91908144495048305</v>
      </c>
      <c r="G45" s="1">
        <f t="shared" si="55"/>
        <v>1.0220807650234576</v>
      </c>
      <c r="H45" s="1">
        <f t="shared" si="55"/>
        <v>1.0138259900333038</v>
      </c>
      <c r="I45" s="1">
        <f t="shared" si="55"/>
        <v>0.88216556678326841</v>
      </c>
      <c r="J45" s="1">
        <f t="shared" ref="J45:N45" si="103">J$15/J$16*(J$10+J145/J$11)*$E45/J$10</f>
        <v>0.81539747117598982</v>
      </c>
      <c r="K45" s="1">
        <f t="shared" si="57"/>
        <v>0.9828427510016029</v>
      </c>
      <c r="L45" s="1">
        <f t="shared" si="57"/>
        <v>0.89192520827861543</v>
      </c>
      <c r="M45" s="1">
        <f t="shared" si="57"/>
        <v>0.94307781290056691</v>
      </c>
      <c r="N45" s="1">
        <f t="shared" si="103"/>
        <v>0.77706076231882437</v>
      </c>
      <c r="O45" s="1">
        <f t="shared" si="85"/>
        <v>0.84988477772104998</v>
      </c>
      <c r="P45" s="1">
        <f t="shared" si="85"/>
        <v>0.91836342359956902</v>
      </c>
      <c r="Q45" s="1">
        <f t="shared" si="85"/>
        <v>0.59440686235915907</v>
      </c>
      <c r="R45" s="1">
        <f t="shared" si="95"/>
        <v>1.0263020847046669</v>
      </c>
      <c r="S45" s="1">
        <f t="shared" ref="S45:AP45" si="104">S109*S$10*S$15/((S$10+S145/S$11)*S$16)</f>
        <v>0.50367024764986978</v>
      </c>
      <c r="T45" s="1">
        <f t="shared" si="104"/>
        <v>0.84889421187036174</v>
      </c>
      <c r="U45" s="1">
        <f t="shared" si="104"/>
        <v>0.72302060435399451</v>
      </c>
      <c r="V45" s="1">
        <f t="shared" si="104"/>
        <v>0.59384773291806148</v>
      </c>
      <c r="W45" s="1">
        <f t="shared" si="104"/>
        <v>0.64526123361539744</v>
      </c>
      <c r="X45" s="1">
        <f t="shared" si="104"/>
        <v>0.67889060322440098</v>
      </c>
      <c r="Y45" s="1">
        <f t="shared" si="104"/>
        <v>0.60877369415753546</v>
      </c>
      <c r="Z45" s="1">
        <f t="shared" si="104"/>
        <v>0.85465911645630233</v>
      </c>
      <c r="AA45" s="1">
        <f t="shared" si="104"/>
        <v>0.91163546177853949</v>
      </c>
      <c r="AB45" s="1">
        <f t="shared" si="104"/>
        <v>0.82496891170804187</v>
      </c>
      <c r="AC45" s="1">
        <f t="shared" si="104"/>
        <v>0.77737704002693475</v>
      </c>
      <c r="AD45" s="1">
        <f t="shared" si="104"/>
        <v>0.67569612143542324</v>
      </c>
      <c r="AE45" s="1">
        <f t="shared" si="104"/>
        <v>0.61640507015858914</v>
      </c>
      <c r="AF45" s="1">
        <f t="shared" si="104"/>
        <v>0.70169906798690873</v>
      </c>
      <c r="AG45" s="1">
        <f t="shared" si="104"/>
        <v>0.84075705794579103</v>
      </c>
      <c r="AH45" s="1">
        <f t="shared" si="104"/>
        <v>0.95348812138028571</v>
      </c>
      <c r="AI45" s="1">
        <f t="shared" si="104"/>
        <v>0.7593688017974245</v>
      </c>
      <c r="AJ45" s="1">
        <f t="shared" si="104"/>
        <v>0.73410064261293506</v>
      </c>
      <c r="AK45" s="1">
        <f t="shared" si="104"/>
        <v>0.81817476499267094</v>
      </c>
      <c r="AL45" s="1">
        <f t="shared" si="104"/>
        <v>0.5577406580804356</v>
      </c>
      <c r="AM45" s="1">
        <f t="shared" si="104"/>
        <v>0.7695710445001942</v>
      </c>
      <c r="AN45" s="1">
        <f t="shared" si="104"/>
        <v>0.56464793960383375</v>
      </c>
      <c r="AO45" s="1">
        <f t="shared" si="104"/>
        <v>0.89951152897697484</v>
      </c>
      <c r="AP45" s="1">
        <f t="shared" si="104"/>
        <v>0.77684108622090564</v>
      </c>
    </row>
    <row r="46" spans="2:42" x14ac:dyDescent="0.2">
      <c r="B46" s="1" t="s">
        <v>234</v>
      </c>
      <c r="C46" s="1" t="s">
        <v>158</v>
      </c>
      <c r="D46" s="278">
        <f>_xll.xlShmInterpDisc(E$5,D78+0*TYPE(disc_refresh))</f>
        <v>0.97414100269652992</v>
      </c>
      <c r="E46" s="1">
        <f t="shared" si="54"/>
        <v>0.82543998610401814</v>
      </c>
      <c r="F46" s="1">
        <f t="shared" si="59"/>
        <v>0.89990521006654767</v>
      </c>
      <c r="G46" s="1">
        <f t="shared" si="55"/>
        <v>1.021442732923032</v>
      </c>
      <c r="H46" s="1">
        <f t="shared" si="55"/>
        <v>1.0147418657521019</v>
      </c>
      <c r="I46" s="1">
        <f t="shared" si="55"/>
        <v>0.85622968044814629</v>
      </c>
      <c r="J46" s="1">
        <f t="shared" ref="J46:N46" si="105">J$15/J$16*(J$10+J146/J$11)*$E46/J$10</f>
        <v>0.78241702902153598</v>
      </c>
      <c r="K46" s="1">
        <f t="shared" si="57"/>
        <v>0.97375563319041647</v>
      </c>
      <c r="L46" s="1">
        <f t="shared" si="57"/>
        <v>0.86856272441722471</v>
      </c>
      <c r="M46" s="1">
        <f t="shared" si="57"/>
        <v>0.91964303397125857</v>
      </c>
      <c r="N46" s="1">
        <f t="shared" si="105"/>
        <v>0.74600654178960191</v>
      </c>
      <c r="O46" s="1">
        <f t="shared" si="85"/>
        <v>0.8232988517248635</v>
      </c>
      <c r="P46" s="1">
        <f t="shared" si="85"/>
        <v>0.90138645077945068</v>
      </c>
      <c r="Q46" s="1">
        <f t="shared" si="85"/>
        <v>0.5460453004718907</v>
      </c>
      <c r="R46" s="1">
        <f t="shared" si="95"/>
        <v>1.0283638426587509</v>
      </c>
      <c r="S46" s="1">
        <f t="shared" ref="S46:AP46" si="106">S110*S$10*S$15/((S$10+S146/S$11)*S$16)</f>
        <v>0.45420676460060722</v>
      </c>
      <c r="T46" s="1">
        <f t="shared" si="106"/>
        <v>0.82150563496604589</v>
      </c>
      <c r="U46" s="1">
        <f t="shared" si="106"/>
        <v>0.68401189085156466</v>
      </c>
      <c r="V46" s="1">
        <f t="shared" si="106"/>
        <v>0.55002333555712601</v>
      </c>
      <c r="W46" s="1">
        <f t="shared" si="106"/>
        <v>0.6059989144176664</v>
      </c>
      <c r="X46" s="1">
        <f t="shared" si="106"/>
        <v>0.6360360188169879</v>
      </c>
      <c r="Y46" s="1">
        <f t="shared" si="106"/>
        <v>0.56016081375707105</v>
      </c>
      <c r="Z46" s="1">
        <f t="shared" si="106"/>
        <v>0.82836042761250128</v>
      </c>
      <c r="AA46" s="1">
        <f t="shared" si="106"/>
        <v>0.89604543743749454</v>
      </c>
      <c r="AB46" s="1">
        <f t="shared" si="106"/>
        <v>0.79478598370856057</v>
      </c>
      <c r="AC46" s="1">
        <f t="shared" si="106"/>
        <v>0.74201379077999707</v>
      </c>
      <c r="AD46" s="1">
        <f t="shared" si="106"/>
        <v>0.63360940622193385</v>
      </c>
      <c r="AE46" s="1">
        <f t="shared" si="106"/>
        <v>0.57036613062798724</v>
      </c>
      <c r="AF46" s="1">
        <f t="shared" si="106"/>
        <v>0.66079725789741039</v>
      </c>
      <c r="AG46" s="1">
        <f t="shared" si="106"/>
        <v>0.80828695373921566</v>
      </c>
      <c r="AH46" s="1">
        <f t="shared" si="106"/>
        <v>0.94314334558154023</v>
      </c>
      <c r="AI46" s="1">
        <f t="shared" si="106"/>
        <v>0.7226284484517288</v>
      </c>
      <c r="AJ46" s="1">
        <f t="shared" si="106"/>
        <v>0.69874749055276408</v>
      </c>
      <c r="AK46" s="1">
        <f t="shared" si="106"/>
        <v>0.78485100916428785</v>
      </c>
      <c r="AL46" s="1">
        <f t="shared" si="106"/>
        <v>0.51138990037818743</v>
      </c>
      <c r="AM46" s="1">
        <f t="shared" si="106"/>
        <v>0.73390641655251221</v>
      </c>
      <c r="AN46" s="1">
        <f t="shared" si="106"/>
        <v>0.51296903985931119</v>
      </c>
      <c r="AO46" s="1">
        <f t="shared" si="106"/>
        <v>0.87793100113941069</v>
      </c>
      <c r="AP46" s="1">
        <f t="shared" si="106"/>
        <v>0.74332970045426672</v>
      </c>
    </row>
    <row r="47" spans="2:42" x14ac:dyDescent="0.2">
      <c r="B47" s="1" t="s">
        <v>234</v>
      </c>
      <c r="C47" s="1" t="s">
        <v>160</v>
      </c>
      <c r="D47" s="278">
        <f>_xll.xlShmInterpDisc(E$5,D79+0*TYPE(disc_refresh))</f>
        <v>0.96042700195426067</v>
      </c>
      <c r="E47" s="1">
        <f t="shared" si="54"/>
        <v>0.79921245517807227</v>
      </c>
      <c r="F47" s="1">
        <f t="shared" si="59"/>
        <v>0.87831075963431493</v>
      </c>
      <c r="G47" s="1">
        <f t="shared" si="55"/>
        <v>1.0184196959042353</v>
      </c>
      <c r="H47" s="1">
        <f t="shared" si="55"/>
        <v>1.0129849681840373</v>
      </c>
      <c r="I47" s="1">
        <f t="shared" si="55"/>
        <v>0.83044306669718215</v>
      </c>
      <c r="J47" s="1">
        <f t="shared" ref="J47:N47" si="107">J$15/J$16*(J$10+J147/J$11)*$E47/J$10</f>
        <v>0.74979500726248516</v>
      </c>
      <c r="K47" s="1">
        <f t="shared" si="57"/>
        <v>0.96484216818554436</v>
      </c>
      <c r="L47" s="1">
        <f t="shared" si="57"/>
        <v>0.8461303212203799</v>
      </c>
      <c r="M47" s="1">
        <f t="shared" si="57"/>
        <v>0.89363176723565074</v>
      </c>
      <c r="N47" s="1">
        <f t="shared" si="107"/>
        <v>0.70776216063012687</v>
      </c>
      <c r="O47" s="1">
        <f t="shared" si="85"/>
        <v>0.79715440771106361</v>
      </c>
      <c r="P47" s="1">
        <f t="shared" si="85"/>
        <v>0.88447769062719717</v>
      </c>
      <c r="Q47" s="1">
        <f t="shared" si="85"/>
        <v>0.50264797645235615</v>
      </c>
      <c r="R47" s="1">
        <f t="shared" si="95"/>
        <v>1.0312453600083824</v>
      </c>
      <c r="S47" s="1">
        <f t="shared" ref="S47:AP47" si="108">S111*S$10*S$15/((S$10+S147/S$11)*S$16)</f>
        <v>0.41150772543431735</v>
      </c>
      <c r="T47" s="1">
        <f t="shared" si="108"/>
        <v>0.79447405364589985</v>
      </c>
      <c r="U47" s="1">
        <f t="shared" si="108"/>
        <v>0.64699798787391793</v>
      </c>
      <c r="V47" s="1">
        <f t="shared" si="108"/>
        <v>0.50891480539888334</v>
      </c>
      <c r="W47" s="1">
        <f t="shared" si="108"/>
        <v>0.56946872301884244</v>
      </c>
      <c r="X47" s="1">
        <f t="shared" si="108"/>
        <v>0.5961866210596406</v>
      </c>
      <c r="Y47" s="1">
        <f t="shared" si="108"/>
        <v>0.51640766789023418</v>
      </c>
      <c r="Z47" s="1">
        <f t="shared" si="108"/>
        <v>0.80247959462133422</v>
      </c>
      <c r="AA47" s="1">
        <f t="shared" si="108"/>
        <v>0.88055224973087176</v>
      </c>
      <c r="AB47" s="1">
        <f t="shared" si="108"/>
        <v>0.76534412714988465</v>
      </c>
      <c r="AC47" s="1">
        <f t="shared" si="108"/>
        <v>0.70803664058406657</v>
      </c>
      <c r="AD47" s="1">
        <f t="shared" si="108"/>
        <v>0.59441120606859166</v>
      </c>
      <c r="AE47" s="1">
        <f t="shared" si="108"/>
        <v>0.52850596460290389</v>
      </c>
      <c r="AF47" s="1">
        <f t="shared" si="108"/>
        <v>0.62241211341987779</v>
      </c>
      <c r="AG47" s="1">
        <f t="shared" si="108"/>
        <v>0.77671904268493164</v>
      </c>
      <c r="AH47" s="1">
        <f t="shared" si="108"/>
        <v>0.93292525560930306</v>
      </c>
      <c r="AI47" s="1">
        <f t="shared" si="108"/>
        <v>0.68751041244726596</v>
      </c>
      <c r="AJ47" s="1">
        <f t="shared" si="108"/>
        <v>0.66483229446550285</v>
      </c>
      <c r="AK47" s="1">
        <f t="shared" si="108"/>
        <v>0.75256757731530122</v>
      </c>
      <c r="AL47" s="1">
        <f t="shared" si="108"/>
        <v>0.46994051064740688</v>
      </c>
      <c r="AM47" s="1">
        <f t="shared" si="108"/>
        <v>0.69897540096535793</v>
      </c>
      <c r="AN47" s="1">
        <f t="shared" si="108"/>
        <v>0.46752434528300896</v>
      </c>
      <c r="AO47" s="1">
        <f t="shared" si="108"/>
        <v>0.8565155745173243</v>
      </c>
      <c r="AP47" s="1">
        <f t="shared" si="108"/>
        <v>0.71095137182026968</v>
      </c>
    </row>
    <row r="48" spans="2:42" x14ac:dyDescent="0.2">
      <c r="B48" s="1" t="s">
        <v>234</v>
      </c>
      <c r="C48" s="1" t="s">
        <v>162</v>
      </c>
      <c r="D48" s="278">
        <f>_xll.xlShmInterpDisc(E$5,D80+0*TYPE(disc_refresh))</f>
        <v>0.9447958526028194</v>
      </c>
      <c r="E48" s="1">
        <f t="shared" si="54"/>
        <v>0.77388646227360991</v>
      </c>
      <c r="F48" s="1">
        <f t="shared" si="59"/>
        <v>0.85723707310879271</v>
      </c>
      <c r="G48" s="1">
        <f t="shared" si="55"/>
        <v>1.0161300007685412</v>
      </c>
      <c r="H48" s="1">
        <f t="shared" si="55"/>
        <v>1.0122062628486359</v>
      </c>
      <c r="I48" s="1">
        <f t="shared" si="55"/>
        <v>0.80430656851928695</v>
      </c>
      <c r="J48" s="1">
        <f t="shared" ref="J48:N48" si="109">J$15/J$16*(J$10+J148/J$11)*$E48/J$10</f>
        <v>0.71831437510078022</v>
      </c>
      <c r="K48" s="1">
        <f t="shared" si="57"/>
        <v>0.95655414598762378</v>
      </c>
      <c r="L48" s="1">
        <f t="shared" si="57"/>
        <v>0.82358805739878638</v>
      </c>
      <c r="M48" s="1">
        <f t="shared" si="57"/>
        <v>0.86828040995453515</v>
      </c>
      <c r="N48" s="1">
        <f t="shared" si="109"/>
        <v>0.67346591602886219</v>
      </c>
      <c r="O48" s="1">
        <f t="shared" si="85"/>
        <v>0.77190816979552523</v>
      </c>
      <c r="P48" s="1">
        <f t="shared" si="85"/>
        <v>0.86808714095024675</v>
      </c>
      <c r="Q48" s="1">
        <f t="shared" si="85"/>
        <v>0.46392588970945225</v>
      </c>
      <c r="R48" s="1">
        <f t="shared" si="95"/>
        <v>1.0354418899435622</v>
      </c>
      <c r="S48" s="1">
        <f t="shared" ref="S48:AP48" si="110">S112*S$10*S$15/((S$10+S148/S$11)*S$16)</f>
        <v>0.37446436550938073</v>
      </c>
      <c r="T48" s="1">
        <f t="shared" si="110"/>
        <v>0.76860170394619387</v>
      </c>
      <c r="U48" s="1">
        <f t="shared" si="110"/>
        <v>0.61255659908150362</v>
      </c>
      <c r="V48" s="1">
        <f t="shared" si="110"/>
        <v>0.47190414964268101</v>
      </c>
      <c r="W48" s="1">
        <f t="shared" si="110"/>
        <v>0.53569406975836675</v>
      </c>
      <c r="X48" s="1">
        <f t="shared" si="110"/>
        <v>0.55949940591140235</v>
      </c>
      <c r="Y48" s="1">
        <f t="shared" si="110"/>
        <v>0.47726634173392463</v>
      </c>
      <c r="Z48" s="1">
        <f t="shared" si="110"/>
        <v>0.77747493746980778</v>
      </c>
      <c r="AA48" s="1">
        <f t="shared" si="110"/>
        <v>0.86556097085829753</v>
      </c>
      <c r="AB48" s="1">
        <f t="shared" si="110"/>
        <v>0.73709058323045185</v>
      </c>
      <c r="AC48" s="1">
        <f t="shared" si="110"/>
        <v>0.67584283000664358</v>
      </c>
      <c r="AD48" s="1">
        <f t="shared" si="110"/>
        <v>0.55827228446363297</v>
      </c>
      <c r="AE48" s="1">
        <f t="shared" si="110"/>
        <v>0.49072294494643076</v>
      </c>
      <c r="AF48" s="1">
        <f t="shared" si="110"/>
        <v>0.58678422344521552</v>
      </c>
      <c r="AG48" s="1">
        <f t="shared" si="110"/>
        <v>0.74650723544190012</v>
      </c>
      <c r="AH48" s="1">
        <f t="shared" si="110"/>
        <v>0.92327529094168947</v>
      </c>
      <c r="AI48" s="1">
        <f t="shared" si="110"/>
        <v>0.65438476172872351</v>
      </c>
      <c r="AJ48" s="1">
        <f t="shared" si="110"/>
        <v>0.63299632373235892</v>
      </c>
      <c r="AK48" s="1">
        <f t="shared" si="110"/>
        <v>0.72157303471986201</v>
      </c>
      <c r="AL48" s="1">
        <f t="shared" si="110"/>
        <v>0.43306770457460508</v>
      </c>
      <c r="AM48" s="1">
        <f t="shared" si="110"/>
        <v>0.66631132718594999</v>
      </c>
      <c r="AN48" s="1">
        <f t="shared" si="110"/>
        <v>0.42768051153023784</v>
      </c>
      <c r="AO48" s="1">
        <f t="shared" si="110"/>
        <v>0.83572719275287788</v>
      </c>
      <c r="AP48" s="1">
        <f t="shared" si="110"/>
        <v>0.680188639886952</v>
      </c>
    </row>
    <row r="49" spans="2:42" x14ac:dyDescent="0.2">
      <c r="B49" s="1" t="s">
        <v>234</v>
      </c>
      <c r="C49" s="1" t="s">
        <v>164</v>
      </c>
      <c r="D49" s="278">
        <f>_xll.xlShmInterpDisc(E$5,D81+0*TYPE(disc_refresh))</f>
        <v>0.92800538733951776</v>
      </c>
      <c r="E49" s="1">
        <f t="shared" si="54"/>
        <v>0.74910437291747689</v>
      </c>
      <c r="F49" s="1">
        <f t="shared" si="59"/>
        <v>0.83636409460931327</v>
      </c>
      <c r="G49" s="1">
        <f t="shared" si="55"/>
        <v>1.0054350190744874</v>
      </c>
      <c r="H49" s="1">
        <f t="shared" si="55"/>
        <v>0.99733358226341751</v>
      </c>
      <c r="I49" s="1">
        <f t="shared" si="55"/>
        <v>0.77774764803352614</v>
      </c>
      <c r="J49" s="1">
        <f t="shared" ref="J49:N49" si="111">J$15/J$16*(J$10+J149/J$11)*$E49/J$10</f>
        <v>0.68731247376643545</v>
      </c>
      <c r="K49" s="1">
        <f t="shared" si="57"/>
        <v>0.9486767933644511</v>
      </c>
      <c r="L49" s="1">
        <f t="shared" si="57"/>
        <v>0.80166604655969753</v>
      </c>
      <c r="M49" s="1">
        <f t="shared" si="57"/>
        <v>0.84180758515537146</v>
      </c>
      <c r="N49" s="1">
        <f t="shared" si="111"/>
        <v>0.64187357295419101</v>
      </c>
      <c r="O49" s="1">
        <f t="shared" si="85"/>
        <v>0.74720358136143261</v>
      </c>
      <c r="P49" s="1">
        <f t="shared" si="85"/>
        <v>0.85192784555785328</v>
      </c>
      <c r="Q49" s="1">
        <f t="shared" si="85"/>
        <v>0.42887472066694338</v>
      </c>
      <c r="R49" s="1">
        <f t="shared" si="95"/>
        <v>1.0409345861465176</v>
      </c>
      <c r="S49" s="1">
        <f t="shared" ref="S49:AP49" si="112">S113*S$10*S$15/((S$10+S149/S$11)*S$16)</f>
        <v>0.34182521090875811</v>
      </c>
      <c r="T49" s="1">
        <f t="shared" si="112"/>
        <v>0.74344298542809673</v>
      </c>
      <c r="U49" s="1">
        <f t="shared" si="112"/>
        <v>0.58006060008499827</v>
      </c>
      <c r="V49" s="1">
        <f t="shared" si="112"/>
        <v>0.43812347879221375</v>
      </c>
      <c r="W49" s="1">
        <f t="shared" si="112"/>
        <v>0.50412042133593671</v>
      </c>
      <c r="X49" s="1">
        <f t="shared" si="112"/>
        <v>0.52530169138860328</v>
      </c>
      <c r="Y49" s="1">
        <f t="shared" si="112"/>
        <v>0.44175082150314732</v>
      </c>
      <c r="Z49" s="1">
        <f t="shared" si="112"/>
        <v>0.75299190353321099</v>
      </c>
      <c r="AA49" s="1">
        <f t="shared" si="112"/>
        <v>0.8507980356538638</v>
      </c>
      <c r="AB49" s="1">
        <f t="shared" si="112"/>
        <v>0.70963483780692471</v>
      </c>
      <c r="AC49" s="1">
        <f t="shared" si="112"/>
        <v>0.64497123105038734</v>
      </c>
      <c r="AD49" s="1">
        <f t="shared" si="112"/>
        <v>0.52453978421824832</v>
      </c>
      <c r="AE49" s="1">
        <f t="shared" si="112"/>
        <v>0.45615595781744145</v>
      </c>
      <c r="AF49" s="1">
        <f t="shared" si="112"/>
        <v>0.5533122200124696</v>
      </c>
      <c r="AG49" s="1">
        <f t="shared" si="112"/>
        <v>0.71723363761239445</v>
      </c>
      <c r="AH49" s="1">
        <f t="shared" si="112"/>
        <v>0.91396670606224573</v>
      </c>
      <c r="AI49" s="1">
        <f t="shared" si="112"/>
        <v>0.62276373932928875</v>
      </c>
      <c r="AJ49" s="1">
        <f t="shared" si="112"/>
        <v>0.60268845521193193</v>
      </c>
      <c r="AK49" s="1">
        <f t="shared" si="112"/>
        <v>0.69200566357338589</v>
      </c>
      <c r="AL49" s="1">
        <f t="shared" si="112"/>
        <v>0.39978241986048901</v>
      </c>
      <c r="AM49" s="1">
        <f t="shared" si="112"/>
        <v>0.63522135963415116</v>
      </c>
      <c r="AN49" s="1">
        <f t="shared" si="112"/>
        <v>0.39218375380382781</v>
      </c>
      <c r="AO49" s="1">
        <f t="shared" si="112"/>
        <v>0.81524423614950325</v>
      </c>
      <c r="AP49" s="1">
        <f t="shared" si="112"/>
        <v>0.65068867244717088</v>
      </c>
    </row>
    <row r="50" spans="2:42" x14ac:dyDescent="0.2">
      <c r="D50" s="278"/>
    </row>
    <row r="51" spans="2:42" x14ac:dyDescent="0.2">
      <c r="D51" s="1" t="s">
        <v>251</v>
      </c>
      <c r="E51" s="1" t="b">
        <f>_xll.xlPushShmLiborCurveName(E3,E3,E52:E81,E20:E49,"linear","r","cont",5)</f>
        <v>1</v>
      </c>
      <c r="F51" s="1" t="b">
        <f>_xll.xlPushShmLiborCurveName(F3,F3,F52:F81,F20:F49,"linear","r","cont",5)</f>
        <v>1</v>
      </c>
      <c r="G51" s="1" t="b">
        <f>_xll.xlPushShmLiborCurveName(G3,G3,G52:G81,G20:G49,"linear","r","cont",5)</f>
        <v>1</v>
      </c>
      <c r="H51" s="1" t="b">
        <f>_xll.xlPushShmLiborCurveName(H3,H3,H52:H81,H20:H49,"linear","r","cont",5)</f>
        <v>1</v>
      </c>
      <c r="I51" s="1" t="b">
        <f>_xll.xlPushShmLiborCurveName(I3,I3,I52:I81,I20:I49,"linear","r","cont",5)</f>
        <v>1</v>
      </c>
      <c r="J51" s="1" t="b">
        <f>_xll.xlPushShmLiborCurveName(J3,J3,J52:J81,J20:J49,"linear","r","cont",5)</f>
        <v>1</v>
      </c>
      <c r="K51" s="1" t="b">
        <f>_xll.xlPushShmLiborCurveName(K3,K3,K52:K81,K20:K49,"linear","r","cont",5)</f>
        <v>1</v>
      </c>
      <c r="L51" s="1" t="b">
        <f>_xll.xlPushShmLiborCurveName(L3,L3,L52:L81,L20:L49,"linear","r","cont",5)</f>
        <v>1</v>
      </c>
      <c r="M51" s="1" t="b">
        <f>_xll.xlPushShmLiborCurveName(M3,M3,M52:M81,M20:M49,"linear","r","cont",5)</f>
        <v>1</v>
      </c>
      <c r="N51" s="1" t="b">
        <f>_xll.xlPushShmLiborCurveName(N3,N3,N52:N81,N20:N49,"linear","r","cont",5)</f>
        <v>1</v>
      </c>
      <c r="O51" s="1" t="b">
        <f>_xll.xlPushShmLiborCurveName(O3,O3,O52:O81,O20:O49,"linear","r","cont",5)</f>
        <v>1</v>
      </c>
      <c r="P51" s="1" t="b">
        <f>_xll.xlPushShmLiborCurveName(P3,P3,P52:P81,P20:P49,"linear","r","cont",5)</f>
        <v>1</v>
      </c>
      <c r="Q51" s="1" t="b">
        <f>_xll.xlPushShmLiborCurveName(Q3,Q3,Q52:Q81,Q20:Q49,"linear","r","cont",5)</f>
        <v>1</v>
      </c>
      <c r="R51" s="1" t="b">
        <f>_xll.xlPushShmLiborCurveName(R3,R3,R52:R81,R20:R49,"linear","r","cont",5)</f>
        <v>1</v>
      </c>
      <c r="S51" s="1" t="b">
        <f>_xll.xlPushShmLiborCurveName(S3,S3,S52:S81,S20:S49,"linear","r","cont",5)</f>
        <v>1</v>
      </c>
      <c r="T51" s="1" t="b">
        <f>_xll.xlPushShmLiborCurveName(T3,T3,T52:T81,T20:T49,"linear","r","cont",5)</f>
        <v>1</v>
      </c>
      <c r="U51" s="1" t="b">
        <f>_xll.xlPushShmLiborCurveName(U3,U3,U52:U81,U20:U49,"linear","r","cont",5)</f>
        <v>1</v>
      </c>
      <c r="V51" s="1" t="b">
        <f>_xll.xlPushShmLiborCurveName(V3,V3,V52:V81,V20:V49,"linear","r","cont",5)</f>
        <v>1</v>
      </c>
      <c r="W51" s="1" t="b">
        <f>_xll.xlPushShmLiborCurveName(W3,W3,W52:W81,W20:W49,"linear","r","cont",5)</f>
        <v>1</v>
      </c>
      <c r="X51" s="1" t="b">
        <f>_xll.xlPushShmLiborCurveName(X3,X3,X52:X81,X20:X49,"linear","r","cont",5)</f>
        <v>1</v>
      </c>
      <c r="Y51" s="1" t="b">
        <f>_xll.xlPushShmLiborCurveName(Y3,Y3,Y52:Y81,Y20:Y49,"linear","r","cont",5)</f>
        <v>1</v>
      </c>
      <c r="Z51" s="1" t="b">
        <f>_xll.xlPushShmLiborCurveName(Z3,Z3,Z52:Z81,Z20:Z49,"linear","r","cont",5)</f>
        <v>1</v>
      </c>
      <c r="AA51" s="1" t="b">
        <f>_xll.xlPushShmLiborCurveName(AA3,AA3,AA52:AA81,AA20:AA49,"linear","r","cont",5)</f>
        <v>1</v>
      </c>
      <c r="AB51" s="1" t="b">
        <f>_xll.xlPushShmLiborCurveName(AB3,AB3,AB52:AB81,AB20:AB49,"linear","r","cont",5)</f>
        <v>1</v>
      </c>
      <c r="AC51" s="1" t="b">
        <f>_xll.xlPushShmLiborCurveName(AC3,AC3,AC52:AC81,AC20:AC49,"linear","r","cont",5)</f>
        <v>1</v>
      </c>
      <c r="AD51" s="1" t="b">
        <f>_xll.xlPushShmLiborCurveName(AD3,AD3,AD52:AD81,AD20:AD49,"linear","r","cont",5)</f>
        <v>1</v>
      </c>
      <c r="AE51" s="1" t="b">
        <f>_xll.xlPushShmLiborCurveName(AE3,AE3,AE52:AE81,AE20:AE49,"linear","r","cont",5)</f>
        <v>1</v>
      </c>
      <c r="AF51" s="1" t="b">
        <f>_xll.xlPushShmLiborCurveName(AF3,AF3,AF52:AF81,AF20:AF49,"linear","r","cont",5)</f>
        <v>1</v>
      </c>
      <c r="AG51" s="1" t="b">
        <f>_xll.xlPushShmLiborCurveName(AG3,AG3,AG52:AG81,AG20:AG49,"linear","r","cont",5)</f>
        <v>1</v>
      </c>
      <c r="AH51" s="1" t="b">
        <f>_xll.xlPushShmLiborCurveName(AH3,AH3,AH52:AH81,AH20:AH49,"linear","r","cont",5)</f>
        <v>1</v>
      </c>
      <c r="AI51" s="1" t="b">
        <f>_xll.xlPushShmLiborCurveName(AI3,AI3,AI52:AI81,AI20:AI49,"linear","r","cont",5)</f>
        <v>1</v>
      </c>
      <c r="AJ51" s="1" t="b">
        <f>_xll.xlPushShmLiborCurveName(AJ3,AJ3,AJ52:AJ81,AJ20:AJ49,"linear","r","cont",5)</f>
        <v>1</v>
      </c>
      <c r="AK51" s="1" t="b">
        <f>_xll.xlPushShmLiborCurveName(AK3,AK3,AK52:AK81,AK20:AK49,"linear","r","cont",5)</f>
        <v>1</v>
      </c>
      <c r="AL51" s="1" t="str">
        <f>_xll.xlPushShmLiborCurveName(AL3,AL3,AL52:AL81,AL20:AL49,"linear","r","cont",5)</f>
        <v>Market Name not found: KES</v>
      </c>
      <c r="AM51" s="1" t="b">
        <f>_xll.xlPushShmLiborCurveName(AM3,AM3,AM52:AM81,AM20:AM49,"linear","r","cont",5)</f>
        <v>1</v>
      </c>
      <c r="AN51" s="1" t="str">
        <f>_xll.xlPushShmLiborCurveName(AN3,AN3,AN52:AN81,AN20:AN49,"linear","r","cont",5)</f>
        <v>Market Name not found: EGP</v>
      </c>
      <c r="AO51" s="1" t="b">
        <f>_xll.xlPushShmLiborCurveName(AO3,AO3,AO52:AO81,AO20:AO49,"linear","r","cont",5)</f>
        <v>1</v>
      </c>
      <c r="AP51" s="1" t="str">
        <f>_xll.xlPushShmLiborCurveName(AP3,AP3,AP52:AP81,AP20:AP49,"linear","r","cont",5)</f>
        <v>Market Name not found: PHP</v>
      </c>
    </row>
    <row r="52" spans="2:42" x14ac:dyDescent="0.2">
      <c r="C52" s="1" t="s">
        <v>123</v>
      </c>
      <c r="D52" s="3">
        <f>today</f>
        <v>42754</v>
      </c>
      <c r="E52" s="3">
        <f t="shared" ref="E52:AP52" si="113">today</f>
        <v>42754</v>
      </c>
      <c r="F52" s="3">
        <f t="shared" si="113"/>
        <v>42754</v>
      </c>
      <c r="G52" s="3">
        <f t="shared" si="113"/>
        <v>42754</v>
      </c>
      <c r="H52" s="3">
        <f t="shared" si="113"/>
        <v>42754</v>
      </c>
      <c r="I52" s="3">
        <f t="shared" si="113"/>
        <v>42754</v>
      </c>
      <c r="J52" s="3">
        <f t="shared" si="113"/>
        <v>42754</v>
      </c>
      <c r="K52" s="3">
        <f t="shared" si="113"/>
        <v>42754</v>
      </c>
      <c r="L52" s="3">
        <f t="shared" si="113"/>
        <v>42754</v>
      </c>
      <c r="M52" s="3">
        <f t="shared" si="113"/>
        <v>42754</v>
      </c>
      <c r="N52" s="3">
        <f t="shared" si="113"/>
        <v>42754</v>
      </c>
      <c r="O52" s="3">
        <f t="shared" si="113"/>
        <v>42754</v>
      </c>
      <c r="P52" s="3">
        <f t="shared" si="113"/>
        <v>42754</v>
      </c>
      <c r="Q52" s="3">
        <f t="shared" si="113"/>
        <v>42754</v>
      </c>
      <c r="R52" s="3">
        <f t="shared" si="113"/>
        <v>42754</v>
      </c>
      <c r="S52" s="3">
        <f t="shared" si="113"/>
        <v>42754</v>
      </c>
      <c r="T52" s="3">
        <f t="shared" si="113"/>
        <v>42754</v>
      </c>
      <c r="U52" s="3">
        <f t="shared" si="113"/>
        <v>42754</v>
      </c>
      <c r="V52" s="3">
        <f t="shared" si="113"/>
        <v>42754</v>
      </c>
      <c r="W52" s="3">
        <f t="shared" si="113"/>
        <v>42754</v>
      </c>
      <c r="X52" s="3">
        <f t="shared" si="113"/>
        <v>42754</v>
      </c>
      <c r="Y52" s="3">
        <f t="shared" si="113"/>
        <v>42754</v>
      </c>
      <c r="Z52" s="3">
        <f t="shared" si="113"/>
        <v>42754</v>
      </c>
      <c r="AA52" s="3">
        <f t="shared" si="113"/>
        <v>42754</v>
      </c>
      <c r="AB52" s="3">
        <f t="shared" si="113"/>
        <v>42754</v>
      </c>
      <c r="AC52" s="3">
        <f t="shared" si="113"/>
        <v>42754</v>
      </c>
      <c r="AD52" s="3">
        <f t="shared" si="113"/>
        <v>42754</v>
      </c>
      <c r="AE52" s="3">
        <f t="shared" si="113"/>
        <v>42754</v>
      </c>
      <c r="AF52" s="3">
        <f t="shared" si="113"/>
        <v>42754</v>
      </c>
      <c r="AG52" s="3">
        <f t="shared" si="113"/>
        <v>42754</v>
      </c>
      <c r="AH52" s="3">
        <f t="shared" si="113"/>
        <v>42754</v>
      </c>
      <c r="AI52" s="3">
        <f t="shared" si="113"/>
        <v>42754</v>
      </c>
      <c r="AJ52" s="3">
        <f t="shared" si="113"/>
        <v>42754</v>
      </c>
      <c r="AK52" s="3">
        <f t="shared" si="113"/>
        <v>42754</v>
      </c>
      <c r="AL52" s="3">
        <f t="shared" si="113"/>
        <v>42754</v>
      </c>
      <c r="AM52" s="3">
        <f t="shared" si="113"/>
        <v>42754</v>
      </c>
      <c r="AN52" s="3">
        <f t="shared" si="113"/>
        <v>42754</v>
      </c>
      <c r="AO52" s="3">
        <f t="shared" si="113"/>
        <v>42754</v>
      </c>
      <c r="AP52" s="3">
        <f t="shared" si="113"/>
        <v>42754</v>
      </c>
    </row>
    <row r="53" spans="2:42" x14ac:dyDescent="0.2">
      <c r="C53" s="1" t="s">
        <v>23</v>
      </c>
      <c r="D53" s="3">
        <f>_xll.xlDateSettle("Target",today,1)</f>
        <v>42755</v>
      </c>
      <c r="E53" s="3">
        <f>_xll.xlDateSettle(E$7,today,1)</f>
        <v>42755</v>
      </c>
      <c r="F53" s="3">
        <f>_xll.xlDateSettle(F$7,today,1)</f>
        <v>42755</v>
      </c>
      <c r="G53" s="3">
        <f>_xll.xlDateSettle(G$7,today,1)</f>
        <v>42755</v>
      </c>
      <c r="H53" s="3">
        <f>_xll.xlDateSettle(H$7,today,1)</f>
        <v>42755</v>
      </c>
      <c r="I53" s="3">
        <f>_xll.xlDateSettle(I$7,today,1)</f>
        <v>42755</v>
      </c>
      <c r="J53" s="3">
        <f>_xll.xlDateSettle(J$7,today,1)</f>
        <v>42755</v>
      </c>
      <c r="K53" s="3">
        <f>_xll.xlDateSettle(K$7,today,1)</f>
        <v>42755</v>
      </c>
      <c r="L53" s="3">
        <f>_xll.xlDateSettle(L$7,today,1)</f>
        <v>42755</v>
      </c>
      <c r="M53" s="3">
        <f>_xll.xlDateSettle(M$7,today,1)</f>
        <v>42755</v>
      </c>
      <c r="N53" s="3">
        <f>_xll.xlDateSettle(N$7,today,1)</f>
        <v>42755</v>
      </c>
      <c r="O53" s="3">
        <f>_xll.xlDateSettle(O$7,today,1)</f>
        <v>42755</v>
      </c>
      <c r="P53" s="3">
        <f>_xll.xlDateSettle(P$7,today,1)</f>
        <v>42755</v>
      </c>
      <c r="Q53" s="3">
        <f>_xll.xlDateSettle(Q$7,today,1)</f>
        <v>42755</v>
      </c>
      <c r="R53" s="3">
        <f>_xll.xlDateSettle(R$7,today,1)</f>
        <v>42755</v>
      </c>
      <c r="S53" s="3">
        <f>_xll.xlDateSettle(S$7,today,1)</f>
        <v>42755</v>
      </c>
      <c r="T53" s="3">
        <f>_xll.xlDateSettle(T$7,today,1)</f>
        <v>42755</v>
      </c>
      <c r="U53" s="3">
        <f>_xll.xlDateSettle(U$7,today,1)</f>
        <v>42755</v>
      </c>
      <c r="V53" s="3">
        <f>_xll.xlDateSettle(V$7,today,1)</f>
        <v>42755</v>
      </c>
      <c r="W53" s="3">
        <f>_xll.xlDateSettle(W$7,today,1)</f>
        <v>42755</v>
      </c>
      <c r="X53" s="3">
        <f>_xll.xlDateSettle(X$7,today,1)</f>
        <v>42755</v>
      </c>
      <c r="Y53" s="3">
        <f>_xll.xlDateSettle(Y$7,today,1)</f>
        <v>42755</v>
      </c>
      <c r="Z53" s="3">
        <f>_xll.xlDateSettle(Z$7,today,1)</f>
        <v>42755</v>
      </c>
      <c r="AA53" s="3">
        <f>_xll.xlDateSettle(AA$7,today,1)</f>
        <v>42755</v>
      </c>
      <c r="AB53" s="3">
        <f>_xll.xlDateSettle(AB$7,today,1)</f>
        <v>42755</v>
      </c>
      <c r="AC53" s="3">
        <f>_xll.xlDateSettle(AC$7,today,1)</f>
        <v>42755</v>
      </c>
      <c r="AD53" s="3">
        <f>_xll.xlDateSettle(AD$7,today,1)</f>
        <v>42755</v>
      </c>
      <c r="AE53" s="3">
        <f>_xll.xlDateSettle(AE$7,today,1)</f>
        <v>42755</v>
      </c>
      <c r="AF53" s="3">
        <f>_xll.xlDateSettle(AF$7,today,1)</f>
        <v>42755</v>
      </c>
      <c r="AG53" s="3">
        <f>_xll.xlDateSettle(AG$7,today,1)</f>
        <v>42755</v>
      </c>
      <c r="AH53" s="3">
        <f>_xll.xlDateSettle(AH$7,today,1)</f>
        <v>42755</v>
      </c>
      <c r="AI53" s="3">
        <f>_xll.xlDateSettle(AI$7,today,1)</f>
        <v>42755</v>
      </c>
      <c r="AJ53" s="3">
        <f>_xll.xlDateSettle(AJ$7,today,1)</f>
        <v>42755</v>
      </c>
      <c r="AK53" s="3">
        <f>_xll.xlDateSettle(AK$7,today,1)</f>
        <v>42757</v>
      </c>
      <c r="AL53" s="3">
        <f>_xll.xlDateSettle(AL$7,today,1)</f>
        <v>42755</v>
      </c>
      <c r="AM53" s="3">
        <f>_xll.xlDateSettle(AM$7,today,1)</f>
        <v>42758</v>
      </c>
      <c r="AN53" s="3">
        <f>_xll.xlDateSettle(AN$7,today,1)</f>
        <v>42755</v>
      </c>
      <c r="AO53" s="3">
        <f>_xll.xlDateSettle(AO$7,today,1)</f>
        <v>42755</v>
      </c>
      <c r="AP53" s="3">
        <f>_xll.xlDateSettle(AP$7,today,1)</f>
        <v>42755</v>
      </c>
    </row>
    <row r="54" spans="2:42" x14ac:dyDescent="0.2">
      <c r="C54" s="1" t="s">
        <v>30</v>
      </c>
      <c r="D54" s="3">
        <f>_xll.xlDateSettle("Target",D53,1)</f>
        <v>42758</v>
      </c>
      <c r="E54" s="3">
        <f>_xll.xlDateSettle(E$7,E53,1)</f>
        <v>42758</v>
      </c>
      <c r="F54" s="3">
        <f>_xll.xlDateSettle(F$7,F53,1)</f>
        <v>42758</v>
      </c>
      <c r="G54" s="3">
        <f>_xll.xlDateSettle(G$7,G53,1)</f>
        <v>42758</v>
      </c>
      <c r="H54" s="3">
        <f>_xll.xlDateSettle(H$7,H53,1)</f>
        <v>42758</v>
      </c>
      <c r="I54" s="3">
        <f>_xll.xlDateSettle(I$7,I53,1)</f>
        <v>42758</v>
      </c>
      <c r="J54" s="3">
        <f>_xll.xlDateSettle(J$7,J53,1)</f>
        <v>42758</v>
      </c>
      <c r="K54" s="3">
        <f>_xll.xlDateSettle(K$7,K53,1)</f>
        <v>42758</v>
      </c>
      <c r="L54" s="3">
        <f>_xll.xlDateSettle(L$7,L53,1)</f>
        <v>42758</v>
      </c>
      <c r="M54" s="3">
        <f>_xll.xlDateSettle(M$7,M53,1)</f>
        <v>42758</v>
      </c>
      <c r="N54" s="3">
        <f>_xll.xlDateSettle(N$7,N53,1)</f>
        <v>42758</v>
      </c>
      <c r="O54" s="3">
        <f>_xll.xlDateSettle(O$7,O53,1)</f>
        <v>42758</v>
      </c>
      <c r="P54" s="3">
        <f>_xll.xlDateSettle(P$7,P53,1)</f>
        <v>42758</v>
      </c>
      <c r="Q54" s="3">
        <f>_xll.xlDateSettle(Q$7,Q53,1)</f>
        <v>42758</v>
      </c>
      <c r="R54" s="3">
        <f>_xll.xlDateSettle(R$7,R53,1)</f>
        <v>42758</v>
      </c>
      <c r="S54" s="3">
        <f>_xll.xlDateSettle(S$7,S53,1)</f>
        <v>42758</v>
      </c>
      <c r="T54" s="3">
        <f>_xll.xlDateSettle(T$7,T53,1)</f>
        <v>42760</v>
      </c>
      <c r="U54" s="3">
        <f>_xll.xlDateSettle(U$7,U53,1)</f>
        <v>42767</v>
      </c>
      <c r="V54" s="3">
        <f>_xll.xlDateSettle(V$7,V53,1)</f>
        <v>42758</v>
      </c>
      <c r="W54" s="3">
        <f>_xll.xlDateSettle(W$7,W53,1)</f>
        <v>42758</v>
      </c>
      <c r="X54" s="3">
        <f>_xll.xlDateSettle(X$7,X53,1)</f>
        <v>42758</v>
      </c>
      <c r="Y54" s="3">
        <f>_xll.xlDateSettle(Y$7,Y53,1)</f>
        <v>42758</v>
      </c>
      <c r="Z54" s="3">
        <f>_xll.xlDateSettle(Z$7,Z53,1)</f>
        <v>42758</v>
      </c>
      <c r="AA54" s="3">
        <f>_xll.xlDateSettle(AA$7,AA53,1)</f>
        <v>42758</v>
      </c>
      <c r="AB54" s="3">
        <f>_xll.xlDateSettle(AB$7,AB53,1)</f>
        <v>42758</v>
      </c>
      <c r="AC54" s="3">
        <f>_xll.xlDateSettle(AC$7,AC53,1)</f>
        <v>42758</v>
      </c>
      <c r="AD54" s="3">
        <f>_xll.xlDateSettle(AD$7,AD53,1)</f>
        <v>42758</v>
      </c>
      <c r="AE54" s="3">
        <f>_xll.xlDateSettle(AE$7,AE53,1)</f>
        <v>42758</v>
      </c>
      <c r="AF54" s="3">
        <f>_xll.xlDateSettle(AF$7,AF53,1)</f>
        <v>42758</v>
      </c>
      <c r="AG54" s="3">
        <f>_xll.xlDateSettle(AG$7,AG53,1)</f>
        <v>42758</v>
      </c>
      <c r="AH54" s="3">
        <f>_xll.xlDateSettle(AH$7,AH53,1)</f>
        <v>42758</v>
      </c>
      <c r="AI54" s="3">
        <f>_xll.xlDateSettle(AI$7,AI53,1)</f>
        <v>42758</v>
      </c>
      <c r="AJ54" s="3">
        <f>_xll.xlDateSettle(AJ$7,AJ53,1)</f>
        <v>42767</v>
      </c>
      <c r="AK54" s="3">
        <f>_xll.xlDateSettle(AK$7,AK53,1)</f>
        <v>42758</v>
      </c>
      <c r="AL54" s="3">
        <f>_xll.xlDateSettle(AL$7,AL53,1)</f>
        <v>42758</v>
      </c>
      <c r="AM54" s="3">
        <f>_xll.xlDateSettle(AM$7,AM53,1)</f>
        <v>42759</v>
      </c>
      <c r="AN54" s="3">
        <f>_xll.xlDateSettle(AN$7,AN53,1)</f>
        <v>42758</v>
      </c>
      <c r="AO54" s="3">
        <f>_xll.xlDateSettle(AO$7,AO53,1)</f>
        <v>42758</v>
      </c>
      <c r="AP54" s="3">
        <f>_xll.xlDateSettle(AP$7,AP53,1)</f>
        <v>42758</v>
      </c>
    </row>
    <row r="55" spans="2:42" x14ac:dyDescent="0.2">
      <c r="C55" s="1" t="s">
        <v>41</v>
      </c>
      <c r="D55" s="3">
        <f>_xll.xlDateSettle("Target",D54,1)</f>
        <v>42759</v>
      </c>
      <c r="E55" s="3">
        <f>_xll.xlDateSettle(E$7,E54,1)</f>
        <v>42759</v>
      </c>
      <c r="F55" s="3">
        <f>_xll.xlDateSettle(F$7,F54,1)</f>
        <v>42759</v>
      </c>
      <c r="G55" s="3">
        <f>_xll.xlDateSettle(G$7,G54,1)</f>
        <v>42759</v>
      </c>
      <c r="H55" s="3">
        <f>_xll.xlDateSettle(H$7,H54,1)</f>
        <v>42759</v>
      </c>
      <c r="I55" s="3">
        <f>_xll.xlDateSettle(I$7,I54,1)</f>
        <v>42759</v>
      </c>
      <c r="J55" s="3">
        <f>_xll.xlDateSettle(J$7,J54,1)</f>
        <v>42759</v>
      </c>
      <c r="K55" s="3">
        <f>_xll.xlDateSettle(K$7,K54,1)</f>
        <v>42759</v>
      </c>
      <c r="L55" s="3">
        <f>_xll.xlDateSettle(L$7,L54,1)</f>
        <v>42759</v>
      </c>
      <c r="M55" s="3">
        <f>_xll.xlDateSettle(M$7,M54,1)</f>
        <v>42759</v>
      </c>
      <c r="N55" s="3">
        <f>_xll.xlDateSettle(N$7,N54,1)</f>
        <v>42759</v>
      </c>
      <c r="O55" s="3">
        <f>_xll.xlDateSettle(O$7,O54,1)</f>
        <v>42759</v>
      </c>
      <c r="P55" s="3">
        <f>_xll.xlDateSettle(P$7,P54,1)</f>
        <v>42759</v>
      </c>
      <c r="Q55" s="3">
        <f>_xll.xlDateSettle(Q$7,Q54,1)</f>
        <v>42759</v>
      </c>
      <c r="R55" s="3">
        <f>_xll.xlDateSettle(R$7,R54,1)</f>
        <v>42759</v>
      </c>
      <c r="S55" s="3">
        <f>_xll.xlDateSettle(S$7,S54,1)</f>
        <v>42759</v>
      </c>
      <c r="T55" s="3">
        <f>_xll.xlDateSettle(T$7,T54,1)</f>
        <v>42761</v>
      </c>
      <c r="U55" s="3">
        <f>_xll.xlDateSettle(U$7,U54,1)</f>
        <v>42768</v>
      </c>
      <c r="V55" s="3">
        <f>_xll.xlDateSettle(V$7,V54,1)</f>
        <v>42759</v>
      </c>
      <c r="W55" s="3">
        <f>_xll.xlDateSettle(W$7,W54,1)</f>
        <v>42759</v>
      </c>
      <c r="X55" s="3">
        <f>_xll.xlDateSettle(X$7,X54,1)</f>
        <v>42759</v>
      </c>
      <c r="Y55" s="3">
        <f>_xll.xlDateSettle(Y$7,Y54,1)</f>
        <v>42759</v>
      </c>
      <c r="Z55" s="3">
        <f>_xll.xlDateSettle(Z$7,Z54,1)</f>
        <v>42759</v>
      </c>
      <c r="AA55" s="3">
        <f>_xll.xlDateSettle(AA$7,AA54,1)</f>
        <v>42759</v>
      </c>
      <c r="AB55" s="3">
        <f>_xll.xlDateSettle(AB$7,AB54,1)</f>
        <v>42759</v>
      </c>
      <c r="AC55" s="3">
        <f>_xll.xlDateSettle(AC$7,AC54,1)</f>
        <v>42759</v>
      </c>
      <c r="AD55" s="3">
        <f>_xll.xlDateSettle(AD$7,AD54,1)</f>
        <v>42759</v>
      </c>
      <c r="AE55" s="3">
        <f>_xll.xlDateSettle(AE$7,AE54,1)</f>
        <v>42759</v>
      </c>
      <c r="AF55" s="3">
        <f>_xll.xlDateSettle(AF$7,AF54,1)</f>
        <v>42759</v>
      </c>
      <c r="AG55" s="3">
        <f>_xll.xlDateSettle(AG$7,AG54,1)</f>
        <v>42760</v>
      </c>
      <c r="AH55" s="3">
        <f>_xll.xlDateSettle(AH$7,AH54,1)</f>
        <v>42759</v>
      </c>
      <c r="AI55" s="3">
        <f>_xll.xlDateSettle(AI$7,AI54,1)</f>
        <v>42759</v>
      </c>
      <c r="AJ55" s="3">
        <f>_xll.xlDateSettle(AJ$7,AJ54,1)</f>
        <v>42768</v>
      </c>
      <c r="AK55" s="3">
        <f>_xll.xlDateSettle(AK$7,AK54,1)</f>
        <v>42759</v>
      </c>
      <c r="AL55" s="3">
        <f>_xll.xlDateSettle(AL$7,AL54,1)</f>
        <v>42759</v>
      </c>
      <c r="AM55" s="3">
        <f>_xll.xlDateSettle(AM$7,AM54,1)</f>
        <v>42760</v>
      </c>
      <c r="AN55" s="3">
        <f>_xll.xlDateSettle(AN$7,AN54,1)</f>
        <v>42759</v>
      </c>
      <c r="AO55" s="3">
        <f>_xll.xlDateSettle(AO$7,AO54,1)</f>
        <v>42759</v>
      </c>
      <c r="AP55" s="3">
        <f>_xll.xlDateSettle(AP$7,AP54,1)</f>
        <v>42759</v>
      </c>
    </row>
    <row r="56" spans="2:42" x14ac:dyDescent="0.2">
      <c r="C56" s="1" t="s">
        <v>92</v>
      </c>
      <c r="D56" s="3">
        <f>_xll.xlDateWorkFw(E$8,_xll.xlDateWorkFw("Target",E$13+7,0),0)</f>
        <v>42765</v>
      </c>
      <c r="E56" s="3">
        <f>_xll.xlDateWorkFw(E$8,_xll.xlDateWorkFw(E$7,E$13+7,0),0)</f>
        <v>42765</v>
      </c>
      <c r="F56" s="3">
        <f>_xll.xlDateWorkFw(F$8,_xll.xlDateWorkFw(F$7,F$13+7,0),0)</f>
        <v>42765</v>
      </c>
      <c r="G56" s="3">
        <f>_xll.xlDateWorkFw(G$8,_xll.xlDateWorkFw(G$7,G$13+7,0),0)</f>
        <v>42765</v>
      </c>
      <c r="H56" s="3">
        <f>_xll.xlDateWorkFw(H$8,_xll.xlDateWorkFw(H$7,H$13+7,0),0)</f>
        <v>42765</v>
      </c>
      <c r="I56" s="3">
        <f>_xll.xlDateWorkFw(I$8,_xll.xlDateWorkFw(I$7,I$13+7,0),0)</f>
        <v>42762</v>
      </c>
      <c r="J56" s="3">
        <f>_xll.xlDateWorkFw(J$8,_xll.xlDateWorkFw(J$7,J$13+7,0),0)</f>
        <v>42765</v>
      </c>
      <c r="K56" s="3">
        <f>_xll.xlDateWorkFw(K$8,_xll.xlDateWorkFw(K$7,K$13+7,0),0)</f>
        <v>42765</v>
      </c>
      <c r="L56" s="3">
        <f>_xll.xlDateWorkFw(L$8,_xll.xlDateWorkFw(L$7,L$13+7,0),0)</f>
        <v>42765</v>
      </c>
      <c r="M56" s="3">
        <f>_xll.xlDateWorkFw(M$8,_xll.xlDateWorkFw(M$7,M$13+7,0),0)</f>
        <v>42765</v>
      </c>
      <c r="N56" s="3">
        <f>_xll.xlDateWorkFw(N$8,_xll.xlDateWorkFw(N$7,N$13+7,0),0)</f>
        <v>42765</v>
      </c>
      <c r="O56" s="3">
        <f>_xll.xlDateWorkFw(O$8,_xll.xlDateWorkFw(O$7,O$13+7,0),0)</f>
        <v>42765</v>
      </c>
      <c r="P56" s="3">
        <f>_xll.xlDateWorkFw(P$8,_xll.xlDateWorkFw(P$7,P$13+7,0),0)</f>
        <v>42765</v>
      </c>
      <c r="Q56" s="3">
        <f>_xll.xlDateWorkFw(Q$8,_xll.xlDateWorkFw(Q$7,Q$13+7,0),0)</f>
        <v>42765</v>
      </c>
      <c r="R56" s="3">
        <f>_xll.xlDateWorkFw(R$8,_xll.xlDateWorkFw(R$7,R$13+7,0),0)</f>
        <v>42765</v>
      </c>
      <c r="S56" s="3">
        <f>_xll.xlDateWorkFw(S$8,_xll.xlDateWorkFw(S$7,S$13+7,0),0)</f>
        <v>42765</v>
      </c>
      <c r="T56" s="3">
        <f>_xll.xlDateWorkFw(T$8,_xll.xlDateWorkFw(T$7,T$13+7,0),0)</f>
        <v>42767</v>
      </c>
      <c r="U56" s="3">
        <f>_xll.xlDateWorkFw(U$8,_xll.xlDateWorkFw(U$7,U$13+7,0),0)</f>
        <v>42774</v>
      </c>
      <c r="V56" s="3">
        <f>_xll.xlDateWorkFw(V$8,_xll.xlDateWorkFw(V$7,V$13+7,0),0)</f>
        <v>42765</v>
      </c>
      <c r="W56" s="3">
        <f>_xll.xlDateWorkFw(W$8,_xll.xlDateWorkFw(W$7,W$13+7,0),0)</f>
        <v>42765</v>
      </c>
      <c r="X56" s="3">
        <f>_xll.xlDateWorkFw(X$8,_xll.xlDateWorkFw(X$7,X$13+7,0),0)</f>
        <v>42765</v>
      </c>
      <c r="Y56" s="3">
        <f>_xll.xlDateWorkFw(Y$8,_xll.xlDateWorkFw(Y$7,Y$13+7,0),0)</f>
        <v>42765</v>
      </c>
      <c r="Z56" s="3">
        <f>_xll.xlDateWorkFw(Z$8,_xll.xlDateWorkFw(Z$7,Z$13+7,0),0)</f>
        <v>42765</v>
      </c>
      <c r="AA56" s="3">
        <f>_xll.xlDateWorkFw(AA$8,_xll.xlDateWorkFw(AA$7,AA$13+7,0),0)</f>
        <v>42765</v>
      </c>
      <c r="AB56" s="3">
        <f>_xll.xlDateWorkFw(AB$8,_xll.xlDateWorkFw(AB$7,AB$13+7,0),0)</f>
        <v>42765</v>
      </c>
      <c r="AC56" s="3">
        <f>_xll.xlDateWorkFw(AC$8,_xll.xlDateWorkFw(AC$7,AC$13+7,0),0)</f>
        <v>42765</v>
      </c>
      <c r="AD56" s="3">
        <f>_xll.xlDateWorkFw(AD$8,_xll.xlDateWorkFw(AD$7,AD$13+7,0),0)</f>
        <v>42765</v>
      </c>
      <c r="AE56" s="3">
        <f>_xll.xlDateWorkFw(AE$8,_xll.xlDateWorkFw(AE$7,AE$13+7,0),0)</f>
        <v>42765</v>
      </c>
      <c r="AF56" s="3">
        <f>_xll.xlDateWorkFw(AF$8,_xll.xlDateWorkFw(AF$7,AF$13+7,0),0)</f>
        <v>42765</v>
      </c>
      <c r="AG56" s="3">
        <f>_xll.xlDateWorkFw(AG$8,_xll.xlDateWorkFw(AG$7,AG$13+7,0),0)</f>
        <v>42765</v>
      </c>
      <c r="AH56" s="3">
        <f>_xll.xlDateWorkFw(AH$8,_xll.xlDateWorkFw(AH$7,AH$13+7,0),0)</f>
        <v>42765</v>
      </c>
      <c r="AI56" s="3">
        <f>_xll.xlDateWorkFw(AI$8,_xll.xlDateWorkFw(AI$7,AI$13+7,0),0)</f>
        <v>42765</v>
      </c>
      <c r="AJ56" s="3">
        <f>_xll.xlDateWorkFw(AJ$8,_xll.xlDateWorkFw(AJ$7,AJ$13+7,0),0)</f>
        <v>42774</v>
      </c>
      <c r="AK56" s="3">
        <f>_xll.xlDateWorkFw(AK$8,_xll.xlDateWorkFw(AK$7,AK$13+7,0),0)</f>
        <v>42765</v>
      </c>
      <c r="AL56" s="3">
        <f>_xll.xlDateWorkFw(AL$8,_xll.xlDateWorkFw(AL$7,AL$13+7,0),0)</f>
        <v>42765</v>
      </c>
      <c r="AM56" s="3">
        <f>_xll.xlDateWorkFw(AM$8,_xll.xlDateWorkFw(AM$7,AM$13+7,0),0)</f>
        <v>42766</v>
      </c>
      <c r="AN56" s="3">
        <f>_xll.xlDateWorkFw(AN$8,_xll.xlDateWorkFw(AN$7,AN$13+7,0),0)</f>
        <v>42765</v>
      </c>
      <c r="AO56" s="3">
        <f>_xll.xlDateWorkFw(AO$8,_xll.xlDateWorkFw(AO$7,AO$13+7,0),0)</f>
        <v>42765</v>
      </c>
      <c r="AP56" s="3">
        <f>_xll.xlDateWorkFw(AP$8,_xll.xlDateWorkFw(AP$7,AP$13+7,0),0)</f>
        <v>42765</v>
      </c>
    </row>
    <row r="57" spans="2:42" x14ac:dyDescent="0.2">
      <c r="C57" s="1" t="s">
        <v>55</v>
      </c>
      <c r="D57" s="3">
        <f>_xll.xlDateWorkFw("Target",_xll.xlDateWorkFw("Target",E$13+14,0),0)</f>
        <v>42772</v>
      </c>
      <c r="E57" s="3">
        <f>_xll.xlDateWorkFw(E$8,_xll.xlDateWorkFw(E$7,E$13+14,0),0)</f>
        <v>42772</v>
      </c>
      <c r="F57" s="3">
        <f>_xll.xlDateWorkFw(F$8,_xll.xlDateWorkFw(F$7,F$13+14,0),0)</f>
        <v>42772</v>
      </c>
      <c r="G57" s="3">
        <f>_xll.xlDateWorkFw(G$8,_xll.xlDateWorkFw(G$7,G$13+14,0),0)</f>
        <v>42772</v>
      </c>
      <c r="H57" s="3">
        <f>_xll.xlDateWorkFw(H$8,_xll.xlDateWorkFw(H$7,H$13+14,0),0)</f>
        <v>42772</v>
      </c>
      <c r="I57" s="3">
        <f>_xll.xlDateWorkFw(I$8,_xll.xlDateWorkFw(I$7,I$13+14,0),0)</f>
        <v>42769</v>
      </c>
      <c r="J57" s="3">
        <f>_xll.xlDateWorkFw(J$8,_xll.xlDateWorkFw(J$7,J$13+14,0),0)</f>
        <v>42772</v>
      </c>
      <c r="K57" s="3">
        <f>_xll.xlDateWorkFw(K$8,_xll.xlDateWorkFw(K$7,K$13+14,0),0)</f>
        <v>42772</v>
      </c>
      <c r="L57" s="3">
        <f>_xll.xlDateWorkFw(L$8,_xll.xlDateWorkFw(L$7,L$13+14,0),0)</f>
        <v>42772</v>
      </c>
      <c r="M57" s="3">
        <f>_xll.xlDateWorkFw(M$8,_xll.xlDateWorkFw(M$7,M$13+14,0),0)</f>
        <v>42772</v>
      </c>
      <c r="N57" s="3">
        <f>_xll.xlDateWorkFw(N$8,_xll.xlDateWorkFw(N$7,N$13+14,0),0)</f>
        <v>42772</v>
      </c>
      <c r="O57" s="3">
        <f>_xll.xlDateWorkFw(O$8,_xll.xlDateWorkFw(O$7,O$13+14,0),0)</f>
        <v>42772</v>
      </c>
      <c r="P57" s="3">
        <f>_xll.xlDateWorkFw(P$8,_xll.xlDateWorkFw(P$7,P$13+14,0),0)</f>
        <v>42772</v>
      </c>
      <c r="Q57" s="3">
        <f>_xll.xlDateWorkFw(Q$8,_xll.xlDateWorkFw(Q$7,Q$13+14,0),0)</f>
        <v>42772</v>
      </c>
      <c r="R57" s="3">
        <f>_xll.xlDateWorkFw(R$8,_xll.xlDateWorkFw(R$7,R$13+14,0),0)</f>
        <v>42772</v>
      </c>
      <c r="S57" s="3">
        <f>_xll.xlDateWorkFw(S$8,_xll.xlDateWorkFw(S$7,S$13+14,0),0)</f>
        <v>42772</v>
      </c>
      <c r="T57" s="3">
        <f>_xll.xlDateWorkFw(T$8,_xll.xlDateWorkFw(T$7,T$13+14,0),0)</f>
        <v>42774</v>
      </c>
      <c r="U57" s="3">
        <f>_xll.xlDateWorkFw(U$8,_xll.xlDateWorkFw(U$7,U$13+14,0),0)</f>
        <v>42781</v>
      </c>
      <c r="V57" s="3">
        <f>_xll.xlDateWorkFw(V$8,_xll.xlDateWorkFw(V$7,V$13+14,0),0)</f>
        <v>42772</v>
      </c>
      <c r="W57" s="3">
        <f>_xll.xlDateWorkFw(W$8,_xll.xlDateWorkFw(W$7,W$13+14,0),0)</f>
        <v>42772</v>
      </c>
      <c r="X57" s="3">
        <f>_xll.xlDateWorkFw(X$8,_xll.xlDateWorkFw(X$7,X$13+14,0),0)</f>
        <v>42772</v>
      </c>
      <c r="Y57" s="3">
        <f>_xll.xlDateWorkFw(Y$8,_xll.xlDateWorkFw(Y$7,Y$13+14,0),0)</f>
        <v>42773</v>
      </c>
      <c r="Z57" s="3">
        <f>_xll.xlDateWorkFw(Z$8,_xll.xlDateWorkFw(Z$7,Z$13+14,0),0)</f>
        <v>42772</v>
      </c>
      <c r="AA57" s="3">
        <f>_xll.xlDateWorkFw(AA$8,_xll.xlDateWorkFw(AA$7,AA$13+14,0),0)</f>
        <v>42772</v>
      </c>
      <c r="AB57" s="3">
        <f>_xll.xlDateWorkFw(AB$8,_xll.xlDateWorkFw(AB$7,AB$13+14,0),0)</f>
        <v>42772</v>
      </c>
      <c r="AC57" s="3">
        <f>_xll.xlDateWorkFw(AC$8,_xll.xlDateWorkFw(AC$7,AC$13+14,0),0)</f>
        <v>42772</v>
      </c>
      <c r="AD57" s="3">
        <f>_xll.xlDateWorkFw(AD$8,_xll.xlDateWorkFw(AD$7,AD$13+14,0),0)</f>
        <v>42772</v>
      </c>
      <c r="AE57" s="3">
        <f>_xll.xlDateWorkFw(AE$8,_xll.xlDateWorkFw(AE$7,AE$13+14,0),0)</f>
        <v>42772</v>
      </c>
      <c r="AF57" s="3">
        <f>_xll.xlDateWorkFw(AF$8,_xll.xlDateWorkFw(AF$7,AF$13+14,0),0)</f>
        <v>42772</v>
      </c>
      <c r="AG57" s="3">
        <f>_xll.xlDateWorkFw(AG$8,_xll.xlDateWorkFw(AG$7,AG$13+14,0),0)</f>
        <v>42772</v>
      </c>
      <c r="AH57" s="3">
        <f>_xll.xlDateWorkFw(AH$8,_xll.xlDateWorkFw(AH$7,AH$13+14,0),0)</f>
        <v>42772</v>
      </c>
      <c r="AI57" s="3">
        <f>_xll.xlDateWorkFw(AI$8,_xll.xlDateWorkFw(AI$7,AI$13+14,0),0)</f>
        <v>42772</v>
      </c>
      <c r="AJ57" s="3">
        <f>_xll.xlDateWorkFw(AJ$8,_xll.xlDateWorkFw(AJ$7,AJ$13+14,0),0)</f>
        <v>42781</v>
      </c>
      <c r="AK57" s="3">
        <f>_xll.xlDateWorkFw(AK$8,_xll.xlDateWorkFw(AK$7,AK$13+14,0),0)</f>
        <v>42772</v>
      </c>
      <c r="AL57" s="3">
        <f>_xll.xlDateWorkFw(AL$8,_xll.xlDateWorkFw(AL$7,AL$13+14,0),0)</f>
        <v>42772</v>
      </c>
      <c r="AM57" s="3">
        <f>_xll.xlDateWorkFw(AM$8,_xll.xlDateWorkFw(AM$7,AM$13+14,0),0)</f>
        <v>42773</v>
      </c>
      <c r="AN57" s="3">
        <f>_xll.xlDateWorkFw(AN$8,_xll.xlDateWorkFw(AN$7,AN$13+14,0),0)</f>
        <v>42772</v>
      </c>
      <c r="AO57" s="3">
        <f>_xll.xlDateWorkFw(AO$8,_xll.xlDateWorkFw(AO$7,AO$13+14,0),0)</f>
        <v>42772</v>
      </c>
      <c r="AP57" s="3">
        <f>_xll.xlDateWorkFw(AP$8,_xll.xlDateWorkFw(AP$7,AP$13+14,0),0)</f>
        <v>42772</v>
      </c>
    </row>
    <row r="58" spans="2:42" x14ac:dyDescent="0.2">
      <c r="C58" s="1" t="s">
        <v>63</v>
      </c>
      <c r="D58" s="3">
        <f>_xll.xlDateWorkFw("Target",_xll.xlDateWorkFw("Target",E$13+21,0),0)</f>
        <v>42779</v>
      </c>
      <c r="E58" s="3">
        <f>_xll.xlDateWorkFw(E$8,_xll.xlDateWorkFw(E$7,E$13+21,0),0)</f>
        <v>42779</v>
      </c>
      <c r="F58" s="3">
        <f>_xll.xlDateWorkFw(F$8,_xll.xlDateWorkFw(F$7,F$13+21,0),0)</f>
        <v>42779</v>
      </c>
      <c r="G58" s="3">
        <f>_xll.xlDateWorkFw(G$8,_xll.xlDateWorkFw(G$7,G$13+21,0),0)</f>
        <v>42779</v>
      </c>
      <c r="H58" s="3">
        <f>_xll.xlDateWorkFw(H$8,_xll.xlDateWorkFw(H$7,H$13+21,0),0)</f>
        <v>42779</v>
      </c>
      <c r="I58" s="3">
        <f>_xll.xlDateWorkFw(I$8,_xll.xlDateWorkFw(I$7,I$13+21,0),0)</f>
        <v>42776</v>
      </c>
      <c r="J58" s="3">
        <f>_xll.xlDateWorkFw(J$8,_xll.xlDateWorkFw(J$7,J$13+21,0),0)</f>
        <v>42779</v>
      </c>
      <c r="K58" s="3">
        <f>_xll.xlDateWorkFw(K$8,_xll.xlDateWorkFw(K$7,K$13+21,0),0)</f>
        <v>42779</v>
      </c>
      <c r="L58" s="3">
        <f>_xll.xlDateWorkFw(L$8,_xll.xlDateWorkFw(L$7,L$13+21,0),0)</f>
        <v>42779</v>
      </c>
      <c r="M58" s="3">
        <f>_xll.xlDateWorkFw(M$8,_xll.xlDateWorkFw(M$7,M$13+21,0),0)</f>
        <v>42779</v>
      </c>
      <c r="N58" s="3">
        <f>_xll.xlDateWorkFw(N$8,_xll.xlDateWorkFw(N$7,N$13+21,0),0)</f>
        <v>42779</v>
      </c>
      <c r="O58" s="3">
        <f>_xll.xlDateWorkFw(O$8,_xll.xlDateWorkFw(O$7,O$13+21,0),0)</f>
        <v>42779</v>
      </c>
      <c r="P58" s="3">
        <f>_xll.xlDateWorkFw(P$8,_xll.xlDateWorkFw(P$7,P$13+21,0),0)</f>
        <v>42779</v>
      </c>
      <c r="Q58" s="3">
        <f>_xll.xlDateWorkFw(Q$8,_xll.xlDateWorkFw(Q$7,Q$13+21,0),0)</f>
        <v>42779</v>
      </c>
      <c r="R58" s="3">
        <f>_xll.xlDateWorkFw(R$8,_xll.xlDateWorkFw(R$7,R$13+21,0),0)</f>
        <v>42779</v>
      </c>
      <c r="S58" s="3">
        <f>_xll.xlDateWorkFw(S$8,_xll.xlDateWorkFw(S$7,S$13+21,0),0)</f>
        <v>42779</v>
      </c>
      <c r="T58" s="3">
        <f>_xll.xlDateWorkFw(T$8,_xll.xlDateWorkFw(T$7,T$13+21,0),0)</f>
        <v>42781</v>
      </c>
      <c r="U58" s="3">
        <f>_xll.xlDateWorkFw(U$8,_xll.xlDateWorkFw(U$7,U$13+21,0),0)</f>
        <v>42788</v>
      </c>
      <c r="V58" s="3">
        <f>_xll.xlDateWorkFw(V$8,_xll.xlDateWorkFw(V$7,V$13+21,0),0)</f>
        <v>42779</v>
      </c>
      <c r="W58" s="3">
        <f>_xll.xlDateWorkFw(W$8,_xll.xlDateWorkFw(W$7,W$13+21,0),0)</f>
        <v>42779</v>
      </c>
      <c r="X58" s="3">
        <f>_xll.xlDateWorkFw(X$8,_xll.xlDateWorkFw(X$7,X$13+21,0),0)</f>
        <v>42779</v>
      </c>
      <c r="Y58" s="3">
        <f>_xll.xlDateWorkFw(Y$8,_xll.xlDateWorkFw(Y$7,Y$13+21,0),0)</f>
        <v>42779</v>
      </c>
      <c r="Z58" s="3">
        <f>_xll.xlDateWorkFw(Z$8,_xll.xlDateWorkFw(Z$7,Z$13+21,0),0)</f>
        <v>42779</v>
      </c>
      <c r="AA58" s="3">
        <f>_xll.xlDateWorkFw(AA$8,_xll.xlDateWorkFw(AA$7,AA$13+21,0),0)</f>
        <v>42779</v>
      </c>
      <c r="AB58" s="3">
        <f>_xll.xlDateWorkFw(AB$8,_xll.xlDateWorkFw(AB$7,AB$13+21,0),0)</f>
        <v>42779</v>
      </c>
      <c r="AC58" s="3">
        <f>_xll.xlDateWorkFw(AC$8,_xll.xlDateWorkFw(AC$7,AC$13+21,0),0)</f>
        <v>42779</v>
      </c>
      <c r="AD58" s="3">
        <f>_xll.xlDateWorkFw(AD$8,_xll.xlDateWorkFw(AD$7,AD$13+21,0),0)</f>
        <v>42779</v>
      </c>
      <c r="AE58" s="3">
        <f>_xll.xlDateWorkFw(AE$8,_xll.xlDateWorkFw(AE$7,AE$13+21,0),0)</f>
        <v>42779</v>
      </c>
      <c r="AF58" s="3">
        <f>_xll.xlDateWorkFw(AF$8,_xll.xlDateWorkFw(AF$7,AF$13+21,0),0)</f>
        <v>42779</v>
      </c>
      <c r="AG58" s="3">
        <f>_xll.xlDateWorkFw(AG$8,_xll.xlDateWorkFw(AG$7,AG$13+21,0),0)</f>
        <v>42779</v>
      </c>
      <c r="AH58" s="3">
        <f>_xll.xlDateWorkFw(AH$8,_xll.xlDateWorkFw(AH$7,AH$13+21,0),0)</f>
        <v>42779</v>
      </c>
      <c r="AI58" s="3">
        <f>_xll.xlDateWorkFw(AI$8,_xll.xlDateWorkFw(AI$7,AI$13+21,0),0)</f>
        <v>42779</v>
      </c>
      <c r="AJ58" s="3">
        <f>_xll.xlDateWorkFw(AJ$8,_xll.xlDateWorkFw(AJ$7,AJ$13+21,0),0)</f>
        <v>42788</v>
      </c>
      <c r="AK58" s="3">
        <f>_xll.xlDateWorkFw(AK$8,_xll.xlDateWorkFw(AK$7,AK$13+21,0),0)</f>
        <v>42779</v>
      </c>
      <c r="AL58" s="3">
        <f>_xll.xlDateWorkFw(AL$8,_xll.xlDateWorkFw(AL$7,AL$13+21,0),0)</f>
        <v>42779</v>
      </c>
      <c r="AM58" s="3">
        <f>_xll.xlDateWorkFw(AM$8,_xll.xlDateWorkFw(AM$7,AM$13+21,0),0)</f>
        <v>42780</v>
      </c>
      <c r="AN58" s="3">
        <f>_xll.xlDateWorkFw(AN$8,_xll.xlDateWorkFw(AN$7,AN$13+21,0),0)</f>
        <v>42779</v>
      </c>
      <c r="AO58" s="3">
        <f>_xll.xlDateWorkFw(AO$8,_xll.xlDateWorkFw(AO$7,AO$13+21,0),0)</f>
        <v>42779</v>
      </c>
      <c r="AP58" s="3">
        <f>_xll.xlDateWorkFw(AP$8,_xll.xlDateWorkFw(AP$7,AP$13+21,0),0)</f>
        <v>42779</v>
      </c>
    </row>
    <row r="59" spans="2:42" x14ac:dyDescent="0.2">
      <c r="C59" s="1" t="s">
        <v>66</v>
      </c>
      <c r="D59" s="3">
        <f>_xll.xlDateWorkFw("Target",_xll.xlDateWorkFw("Target",VALUE(_xll.xlDateShiftMonth(VALUE(E$13),LEFT($C27,LEN($C27)-1))),0),0)</f>
        <v>42789</v>
      </c>
      <c r="E59" s="3">
        <f>_xll.xlDateWorkFw(E$8,_xll.xlDateWorkFw(E$7,VALUE(_xll.xlDateShiftMonth(VALUE(E$13),LEFT($C27,LEN($C27)-1))),0),0)</f>
        <v>42789</v>
      </c>
      <c r="F59" s="3">
        <f>_xll.xlDateWorkFw(F$8,_xll.xlDateWorkFw(F$7,VALUE(_xll.xlDateShiftMonth(VALUE(F$13),LEFT($C27,LEN($C27)-1))),0),0)</f>
        <v>42789</v>
      </c>
      <c r="G59" s="3">
        <f>_xll.xlDateWorkFw(G$8,_xll.xlDateWorkFw(G$7,VALUE(_xll.xlDateShiftMonth(VALUE(G$13),LEFT($C27,LEN($C27)-1))),0),0)</f>
        <v>42789</v>
      </c>
      <c r="H59" s="3">
        <f>_xll.xlDateWorkFw(H$8,_xll.xlDateWorkFw(H$7,VALUE(_xll.xlDateShiftMonth(VALUE(H$13),LEFT($C27,LEN($C27)-1))),0),0)</f>
        <v>42789</v>
      </c>
      <c r="I59" s="3">
        <f>_xll.xlDateWorkFw(I$8,_xll.xlDateWorkFw(I$7,VALUE(_xll.xlDateShiftMonth(VALUE(I$13),LEFT($C27,LEN($C27)-1))),0),0)</f>
        <v>42787</v>
      </c>
      <c r="J59" s="3">
        <f>_xll.xlDateWorkFw(J$8,_xll.xlDateWorkFw(J$7,VALUE(_xll.xlDateShiftMonth(VALUE(J$13),LEFT($C27,LEN($C27)-1))),0),0)</f>
        <v>42789</v>
      </c>
      <c r="K59" s="3">
        <f>_xll.xlDateWorkFw(K$8,_xll.xlDateWorkFw(K$7,VALUE(_xll.xlDateShiftMonth(VALUE(K$13),LEFT($C27,LEN($C27)-1))),0),0)</f>
        <v>42789</v>
      </c>
      <c r="L59" s="3">
        <f>_xll.xlDateWorkFw(L$8,_xll.xlDateWorkFw(L$7,VALUE(_xll.xlDateShiftMonth(VALUE(L$13),LEFT($C27,LEN($C27)-1))),0),0)</f>
        <v>42789</v>
      </c>
      <c r="M59" s="3">
        <f>_xll.xlDateWorkFw(M$8,_xll.xlDateWorkFw(M$7,VALUE(_xll.xlDateShiftMonth(VALUE(M$13),LEFT($C27,LEN($C27)-1))),0),0)</f>
        <v>42789</v>
      </c>
      <c r="N59" s="3">
        <f>_xll.xlDateWorkFw(N$8,_xll.xlDateWorkFw(N$7,VALUE(_xll.xlDateShiftMonth(VALUE(N$13),LEFT($C27,LEN($C27)-1))),0),0)</f>
        <v>42789</v>
      </c>
      <c r="O59" s="3">
        <f>_xll.xlDateWorkFw(O$8,_xll.xlDateWorkFw(O$7,VALUE(_xll.xlDateShiftMonth(VALUE(O$13),LEFT($C27,LEN($C27)-1))),0),0)</f>
        <v>42789</v>
      </c>
      <c r="P59" s="3">
        <f>_xll.xlDateWorkFw(P$8,_xll.xlDateWorkFw(P$7,VALUE(_xll.xlDateShiftMonth(VALUE(P$13),LEFT($C27,LEN($C27)-1))),0),0)</f>
        <v>42789</v>
      </c>
      <c r="Q59" s="3">
        <f>_xll.xlDateWorkFw(Q$8,_xll.xlDateWorkFw(Q$7,VALUE(_xll.xlDateShiftMonth(VALUE(Q$13),LEFT($C27,LEN($C27)-1))),0),0)</f>
        <v>42789</v>
      </c>
      <c r="R59" s="3">
        <f>_xll.xlDateWorkFw(R$8,_xll.xlDateWorkFw(R$7,VALUE(_xll.xlDateShiftMonth(VALUE(R$13),LEFT($C27,LEN($C27)-1))),0),0)</f>
        <v>42789</v>
      </c>
      <c r="S59" s="3">
        <f>_xll.xlDateWorkFw(S$8,_xll.xlDateWorkFw(S$7,VALUE(_xll.xlDateShiftMonth(VALUE(S$13),LEFT($C27,LEN($C27)-1))),0),0)</f>
        <v>42789</v>
      </c>
      <c r="T59" s="3">
        <f>_xll.xlDateWorkFw(T$8,_xll.xlDateWorkFw(T$7,VALUE(_xll.xlDateShiftMonth(VALUE(T$13),LEFT($C27,LEN($C27)-1))),0),0)</f>
        <v>42793</v>
      </c>
      <c r="U59" s="3">
        <f>_xll.xlDateWorkFw(U$8,_xll.xlDateWorkFw(U$7,VALUE(_xll.xlDateShiftMonth(VALUE(U$13),LEFT($C27,LEN($C27)-1))),0),0)</f>
        <v>42795</v>
      </c>
      <c r="V59" s="3">
        <f>_xll.xlDateWorkFw(V$8,_xll.xlDateWorkFw(V$7,VALUE(_xll.xlDateShiftMonth(VALUE(V$13),LEFT($C27,LEN($C27)-1))),0),0)</f>
        <v>42789</v>
      </c>
      <c r="W59" s="3">
        <f>_xll.xlDateWorkFw(W$8,_xll.xlDateWorkFw(W$7,VALUE(_xll.xlDateShiftMonth(VALUE(W$13),LEFT($C27,LEN($C27)-1))),0),0)</f>
        <v>42790</v>
      </c>
      <c r="X59" s="3">
        <f>_xll.xlDateWorkFw(X$8,_xll.xlDateWorkFw(X$7,VALUE(_xll.xlDateShiftMonth(VALUE(X$13),LEFT($C27,LEN($C27)-1))),0),0)</f>
        <v>42789</v>
      </c>
      <c r="Y59" s="3">
        <f>_xll.xlDateWorkFw(Y$8,_xll.xlDateWorkFw(Y$7,VALUE(_xll.xlDateShiftMonth(VALUE(Y$13),LEFT($C27,LEN($C27)-1))),0),0)</f>
        <v>42789</v>
      </c>
      <c r="Z59" s="3">
        <f>_xll.xlDateWorkFw(Z$8,_xll.xlDateWorkFw(Z$7,VALUE(_xll.xlDateShiftMonth(VALUE(Z$13),LEFT($C27,LEN($C27)-1))),0),0)</f>
        <v>42789</v>
      </c>
      <c r="AA59" s="3">
        <f>_xll.xlDateWorkFw(AA$8,_xll.xlDateWorkFw(AA$7,VALUE(_xll.xlDateShiftMonth(VALUE(AA$13),LEFT($C27,LEN($C27)-1))),0),0)</f>
        <v>42789</v>
      </c>
      <c r="AB59" s="3">
        <f>_xll.xlDateWorkFw(AB$8,_xll.xlDateWorkFw(AB$7,VALUE(_xll.xlDateShiftMonth(VALUE(AB$13),LEFT($C27,LEN($C27)-1))),0),0)</f>
        <v>42789</v>
      </c>
      <c r="AC59" s="3">
        <f>_xll.xlDateWorkFw(AC$8,_xll.xlDateWorkFw(AC$7,VALUE(_xll.xlDateShiftMonth(VALUE(AC$13),LEFT($C27,LEN($C27)-1))),0),0)</f>
        <v>42789</v>
      </c>
      <c r="AD59" s="3">
        <f>_xll.xlDateWorkFw(AD$8,_xll.xlDateWorkFw(AD$7,VALUE(_xll.xlDateShiftMonth(VALUE(AD$13),LEFT($C27,LEN($C27)-1))),0),0)</f>
        <v>42789</v>
      </c>
      <c r="AE59" s="3">
        <f>_xll.xlDateWorkFw(AE$8,_xll.xlDateWorkFw(AE$7,VALUE(_xll.xlDateShiftMonth(VALUE(AE$13),LEFT($C27,LEN($C27)-1))),0),0)</f>
        <v>42789</v>
      </c>
      <c r="AF59" s="3">
        <f>_xll.xlDateWorkFw(AF$8,_xll.xlDateWorkFw(AF$7,VALUE(_xll.xlDateShiftMonth(VALUE(AF$13),LEFT($C27,LEN($C27)-1))),0),0)</f>
        <v>42789</v>
      </c>
      <c r="AG59" s="3">
        <f>_xll.xlDateWorkFw(AG$8,_xll.xlDateWorkFw(AG$7,VALUE(_xll.xlDateShiftMonth(VALUE(AG$13),LEFT($C27,LEN($C27)-1))),0),0)</f>
        <v>42789</v>
      </c>
      <c r="AH59" s="3">
        <f>_xll.xlDateWorkFw(AH$8,_xll.xlDateWorkFw(AH$7,VALUE(_xll.xlDateShiftMonth(VALUE(AH$13),LEFT($C27,LEN($C27)-1))),0),0)</f>
        <v>42789</v>
      </c>
      <c r="AI59" s="3">
        <f>_xll.xlDateWorkFw(AI$8,_xll.xlDateWorkFw(AI$7,VALUE(_xll.xlDateShiftMonth(VALUE(AI$13),LEFT($C27,LEN($C27)-1))),0),0)</f>
        <v>42789</v>
      </c>
      <c r="AJ59" s="3">
        <f>_xll.xlDateWorkFw(AJ$8,_xll.xlDateWorkFw(AJ$7,VALUE(_xll.xlDateShiftMonth(VALUE(AJ$13),LEFT($C27,LEN($C27)-1))),0),0)</f>
        <v>42795</v>
      </c>
      <c r="AK59" s="3">
        <f>_xll.xlDateWorkFw(AK$8,_xll.xlDateWorkFw(AK$7,VALUE(_xll.xlDateShiftMonth(VALUE(AK$13),LEFT($C27,LEN($C27)-1))),0),0)</f>
        <v>42789</v>
      </c>
      <c r="AL59" s="3">
        <f>_xll.xlDateWorkFw(AL$8,_xll.xlDateWorkFw(AL$7,VALUE(_xll.xlDateShiftMonth(VALUE(AL$13),LEFT($C27,LEN($C27)-1))),0),0)</f>
        <v>42789</v>
      </c>
      <c r="AM59" s="3">
        <f>_xll.xlDateWorkFw(AM$8,_xll.xlDateWorkFw(AM$7,VALUE(_xll.xlDateShiftMonth(VALUE(AM$13),LEFT($C27,LEN($C27)-1))),0),0)</f>
        <v>42793</v>
      </c>
      <c r="AN59" s="3">
        <f>_xll.xlDateWorkFw(AN$8,_xll.xlDateWorkFw(AN$7,VALUE(_xll.xlDateShiftMonth(VALUE(AN$13),LEFT($C27,LEN($C27)-1))),0),0)</f>
        <v>42789</v>
      </c>
      <c r="AO59" s="3">
        <f>_xll.xlDateWorkFw(AO$8,_xll.xlDateWorkFw(AO$7,VALUE(_xll.xlDateShiftMonth(VALUE(AO$13),LEFT($C27,LEN($C27)-1))),0),0)</f>
        <v>42789</v>
      </c>
      <c r="AP59" s="3">
        <f>_xll.xlDateWorkFw(AP$8,_xll.xlDateWorkFw(AP$7,VALUE(_xll.xlDateShiftMonth(VALUE(AP$13),LEFT($C27,LEN($C27)-1))),0),0)</f>
        <v>42789</v>
      </c>
    </row>
    <row r="60" spans="2:42" x14ac:dyDescent="0.2">
      <c r="C60" s="1" t="s">
        <v>71</v>
      </c>
      <c r="D60" s="3">
        <f>_xll.xlDateWorkFw("Target",_xll.xlDateWorkFw("Target",VALUE(_xll.xlDateShiftMonth(VALUE(E$13),LEFT($C28,LEN($C28)-1))),0),0)</f>
        <v>42817</v>
      </c>
      <c r="E60" s="3">
        <f>_xll.xlDateWorkFw(E$8,_xll.xlDateWorkFw(E$7,VALUE(_xll.xlDateShiftMonth(VALUE(E$13),LEFT($C28,LEN($C28)-1))),0),0)</f>
        <v>42817</v>
      </c>
      <c r="F60" s="3">
        <f>_xll.xlDateWorkFw(F$8,_xll.xlDateWorkFw(F$7,VALUE(_xll.xlDateShiftMonth(VALUE(F$13),LEFT($C28,LEN($C28)-1))),0),0)</f>
        <v>42817</v>
      </c>
      <c r="G60" s="3">
        <f>_xll.xlDateWorkFw(G$8,_xll.xlDateWorkFw(G$7,VALUE(_xll.xlDateShiftMonth(VALUE(G$13),LEFT($C28,LEN($C28)-1))),0),0)</f>
        <v>42817</v>
      </c>
      <c r="H60" s="3">
        <f>_xll.xlDateWorkFw(H$8,_xll.xlDateWorkFw(H$7,VALUE(_xll.xlDateShiftMonth(VALUE(H$13),LEFT($C28,LEN($C28)-1))),0),0)</f>
        <v>42817</v>
      </c>
      <c r="I60" s="3">
        <f>_xll.xlDateWorkFw(I$8,_xll.xlDateWorkFw(I$7,VALUE(_xll.xlDateShiftMonth(VALUE(I$13),LEFT($C28,LEN($C28)-1))),0),0)</f>
        <v>42814</v>
      </c>
      <c r="J60" s="3">
        <f>_xll.xlDateWorkFw(J$8,_xll.xlDateWorkFw(J$7,VALUE(_xll.xlDateShiftMonth(VALUE(J$13),LEFT($C28,LEN($C28)-1))),0),0)</f>
        <v>42817</v>
      </c>
      <c r="K60" s="3">
        <f>_xll.xlDateWorkFw(K$8,_xll.xlDateWorkFw(K$7,VALUE(_xll.xlDateShiftMonth(VALUE(K$13),LEFT($C28,LEN($C28)-1))),0),0)</f>
        <v>42817</v>
      </c>
      <c r="L60" s="3">
        <f>_xll.xlDateWorkFw(L$8,_xll.xlDateWorkFw(L$7,VALUE(_xll.xlDateShiftMonth(VALUE(L$13),LEFT($C28,LEN($C28)-1))),0),0)</f>
        <v>42817</v>
      </c>
      <c r="M60" s="3">
        <f>_xll.xlDateWorkFw(M$8,_xll.xlDateWorkFw(M$7,VALUE(_xll.xlDateShiftMonth(VALUE(M$13),LEFT($C28,LEN($C28)-1))),0),0)</f>
        <v>42817</v>
      </c>
      <c r="N60" s="3">
        <f>_xll.xlDateWorkFw(N$8,_xll.xlDateWorkFw(N$7,VALUE(_xll.xlDateShiftMonth(VALUE(N$13),LEFT($C28,LEN($C28)-1))),0),0)</f>
        <v>42817</v>
      </c>
      <c r="O60" s="3">
        <f>_xll.xlDateWorkFw(O$8,_xll.xlDateWorkFw(O$7,VALUE(_xll.xlDateShiftMonth(VALUE(O$13),LEFT($C28,LEN($C28)-1))),0),0)</f>
        <v>42817</v>
      </c>
      <c r="P60" s="3">
        <f>_xll.xlDateWorkFw(P$8,_xll.xlDateWorkFw(P$7,VALUE(_xll.xlDateShiftMonth(VALUE(P$13),LEFT($C28,LEN($C28)-1))),0),0)</f>
        <v>42817</v>
      </c>
      <c r="Q60" s="3">
        <f>_xll.xlDateWorkFw(Q$8,_xll.xlDateWorkFw(Q$7,VALUE(_xll.xlDateShiftMonth(VALUE(Q$13),LEFT($C28,LEN($C28)-1))),0),0)</f>
        <v>42817</v>
      </c>
      <c r="R60" s="3">
        <f>_xll.xlDateWorkFw(R$8,_xll.xlDateWorkFw(R$7,VALUE(_xll.xlDateShiftMonth(VALUE(R$13),LEFT($C28,LEN($C28)-1))),0),0)</f>
        <v>42817</v>
      </c>
      <c r="S60" s="3">
        <f>_xll.xlDateWorkFw(S$8,_xll.xlDateWorkFw(S$7,VALUE(_xll.xlDateShiftMonth(VALUE(S$13),LEFT($C28,LEN($C28)-1))),0),0)</f>
        <v>42817</v>
      </c>
      <c r="T60" s="3">
        <f>_xll.xlDateWorkFw(T$8,_xll.xlDateWorkFw(T$7,VALUE(_xll.xlDateShiftMonth(VALUE(T$13),LEFT($C28,LEN($C28)-1))),0),0)</f>
        <v>42821</v>
      </c>
      <c r="U60" s="3">
        <f>_xll.xlDateWorkFw(U$8,_xll.xlDateWorkFw(U$7,VALUE(_xll.xlDateShiftMonth(VALUE(U$13),LEFT($C28,LEN($C28)-1))),0),0)</f>
        <v>42830</v>
      </c>
      <c r="V60" s="3">
        <f>_xll.xlDateWorkFw(V$8,_xll.xlDateWorkFw(V$7,VALUE(_xll.xlDateShiftMonth(VALUE(V$13),LEFT($C28,LEN($C28)-1))),0),0)</f>
        <v>42817</v>
      </c>
      <c r="W60" s="3">
        <f>_xll.xlDateWorkFw(W$8,_xll.xlDateWorkFw(W$7,VALUE(_xll.xlDateShiftMonth(VALUE(W$13),LEFT($C28,LEN($C28)-1))),0),0)</f>
        <v>42817</v>
      </c>
      <c r="X60" s="3">
        <f>_xll.xlDateWorkFw(X$8,_xll.xlDateWorkFw(X$7,VALUE(_xll.xlDateShiftMonth(VALUE(X$13),LEFT($C28,LEN($C28)-1))),0),0)</f>
        <v>42817</v>
      </c>
      <c r="Y60" s="3">
        <f>_xll.xlDateWorkFw(Y$8,_xll.xlDateWorkFw(Y$7,VALUE(_xll.xlDateShiftMonth(VALUE(Y$13),LEFT($C28,LEN($C28)-1))),0),0)</f>
        <v>42817</v>
      </c>
      <c r="Z60" s="3">
        <f>_xll.xlDateWorkFw(Z$8,_xll.xlDateWorkFw(Z$7,VALUE(_xll.xlDateShiftMonth(VALUE(Z$13),LEFT($C28,LEN($C28)-1))),0),0)</f>
        <v>42817</v>
      </c>
      <c r="AA60" s="3">
        <f>_xll.xlDateWorkFw(AA$8,_xll.xlDateWorkFw(AA$7,VALUE(_xll.xlDateShiftMonth(VALUE(AA$13),LEFT($C28,LEN($C28)-1))),0),0)</f>
        <v>42817</v>
      </c>
      <c r="AB60" s="3">
        <f>_xll.xlDateWorkFw(AB$8,_xll.xlDateWorkFw(AB$7,VALUE(_xll.xlDateShiftMonth(VALUE(AB$13),LEFT($C28,LEN($C28)-1))),0),0)</f>
        <v>42817</v>
      </c>
      <c r="AC60" s="3">
        <f>_xll.xlDateWorkFw(AC$8,_xll.xlDateWorkFw(AC$7,VALUE(_xll.xlDateShiftMonth(VALUE(AC$13),LEFT($C28,LEN($C28)-1))),0),0)</f>
        <v>42817</v>
      </c>
      <c r="AD60" s="3">
        <f>_xll.xlDateWorkFw(AD$8,_xll.xlDateWorkFw(AD$7,VALUE(_xll.xlDateShiftMonth(VALUE(AD$13),LEFT($C28,LEN($C28)-1))),0),0)</f>
        <v>42817</v>
      </c>
      <c r="AE60" s="3">
        <f>_xll.xlDateWorkFw(AE$8,_xll.xlDateWorkFw(AE$7,VALUE(_xll.xlDateShiftMonth(VALUE(AE$13),LEFT($C28,LEN($C28)-1))),0),0)</f>
        <v>42817</v>
      </c>
      <c r="AF60" s="3">
        <f>_xll.xlDateWorkFw(AF$8,_xll.xlDateWorkFw(AF$7,VALUE(_xll.xlDateShiftMonth(VALUE(AF$13),LEFT($C28,LEN($C28)-1))),0),0)</f>
        <v>42817</v>
      </c>
      <c r="AG60" s="3">
        <f>_xll.xlDateWorkFw(AG$8,_xll.xlDateWorkFw(AG$7,VALUE(_xll.xlDateShiftMonth(VALUE(AG$13),LEFT($C28,LEN($C28)-1))),0),0)</f>
        <v>42817</v>
      </c>
      <c r="AH60" s="3">
        <f>_xll.xlDateWorkFw(AH$8,_xll.xlDateWorkFw(AH$7,VALUE(_xll.xlDateShiftMonth(VALUE(AH$13),LEFT($C28,LEN($C28)-1))),0),0)</f>
        <v>42817</v>
      </c>
      <c r="AI60" s="3">
        <f>_xll.xlDateWorkFw(AI$8,_xll.xlDateWorkFw(AI$7,VALUE(_xll.xlDateShiftMonth(VALUE(AI$13),LEFT($C28,LEN($C28)-1))),0),0)</f>
        <v>42817</v>
      </c>
      <c r="AJ60" s="3">
        <f>_xll.xlDateWorkFw(AJ$8,_xll.xlDateWorkFw(AJ$7,VALUE(_xll.xlDateShiftMonth(VALUE(AJ$13),LEFT($C28,LEN($C28)-1))),0),0)</f>
        <v>42830</v>
      </c>
      <c r="AK60" s="3">
        <f>_xll.xlDateWorkFw(AK$8,_xll.xlDateWorkFw(AK$7,VALUE(_xll.xlDateShiftMonth(VALUE(AK$13),LEFT($C28,LEN($C28)-1))),0),0)</f>
        <v>42817</v>
      </c>
      <c r="AL60" s="3">
        <f>_xll.xlDateWorkFw(AL$8,_xll.xlDateWorkFw(AL$7,VALUE(_xll.xlDateShiftMonth(VALUE(AL$13),LEFT($C28,LEN($C28)-1))),0),0)</f>
        <v>42817</v>
      </c>
      <c r="AM60" s="3">
        <f>_xll.xlDateWorkFw(AM$8,_xll.xlDateWorkFw(AM$7,VALUE(_xll.xlDateShiftMonth(VALUE(AM$13),LEFT($C28,LEN($C28)-1))),0),0)</f>
        <v>42821</v>
      </c>
      <c r="AN60" s="3">
        <f>_xll.xlDateWorkFw(AN$8,_xll.xlDateWorkFw(AN$7,VALUE(_xll.xlDateShiftMonth(VALUE(AN$13),LEFT($C28,LEN($C28)-1))),0),0)</f>
        <v>42817</v>
      </c>
      <c r="AO60" s="3">
        <f>_xll.xlDateWorkFw(AO$8,_xll.xlDateWorkFw(AO$7,VALUE(_xll.xlDateShiftMonth(VALUE(AO$13),LEFT($C28,LEN($C28)-1))),0),0)</f>
        <v>42817</v>
      </c>
      <c r="AP60" s="3">
        <f>_xll.xlDateWorkFw(AP$8,_xll.xlDateWorkFw(AP$7,VALUE(_xll.xlDateShiftMonth(VALUE(AP$13),LEFT($C28,LEN($C28)-1))),0),0)</f>
        <v>42817</v>
      </c>
    </row>
    <row r="61" spans="2:42" x14ac:dyDescent="0.2">
      <c r="C61" s="1" t="s">
        <v>77</v>
      </c>
      <c r="D61" s="3">
        <f>_xll.xlDateWorkFw("Target",_xll.xlDateWorkFw("Target",VALUE(_xll.xlDateShiftMonth(VALUE(E$13),LEFT($C29,LEN($C29)-1))),0),0)</f>
        <v>42849</v>
      </c>
      <c r="E61" s="3">
        <f>_xll.xlDateWorkFw(E$8,_xll.xlDateWorkFw(E$7,VALUE(_xll.xlDateShiftMonth(VALUE(E$13),LEFT($C29,LEN($C29)-1))),0),0)</f>
        <v>42849</v>
      </c>
      <c r="F61" s="3">
        <f>_xll.xlDateWorkFw(F$8,_xll.xlDateWorkFw(F$7,VALUE(_xll.xlDateShiftMonth(VALUE(F$13),LEFT($C29,LEN($C29)-1))),0),0)</f>
        <v>42849</v>
      </c>
      <c r="G61" s="3">
        <f>_xll.xlDateWorkFw(G$8,_xll.xlDateWorkFw(G$7,VALUE(_xll.xlDateShiftMonth(VALUE(G$13),LEFT($C29,LEN($C29)-1))),0),0)</f>
        <v>42849</v>
      </c>
      <c r="H61" s="3">
        <f>_xll.xlDateWorkFw(H$8,_xll.xlDateWorkFw(H$7,VALUE(_xll.xlDateShiftMonth(VALUE(H$13),LEFT($C29,LEN($C29)-1))),0),0)</f>
        <v>42849</v>
      </c>
      <c r="I61" s="3">
        <f>_xll.xlDateWorkFw(I$8,_xll.xlDateWorkFw(I$7,VALUE(_xll.xlDateShiftMonth(VALUE(I$13),LEFT($C29,LEN($C29)-1))),0),0)</f>
        <v>42845</v>
      </c>
      <c r="J61" s="3">
        <f>_xll.xlDateWorkFw(J$8,_xll.xlDateWorkFw(J$7,VALUE(_xll.xlDateShiftMonth(VALUE(J$13),LEFT($C29,LEN($C29)-1))),0),0)</f>
        <v>42849</v>
      </c>
      <c r="K61" s="3">
        <f>_xll.xlDateWorkFw(K$8,_xll.xlDateWorkFw(K$7,VALUE(_xll.xlDateShiftMonth(VALUE(K$13),LEFT($C29,LEN($C29)-1))),0),0)</f>
        <v>42849</v>
      </c>
      <c r="L61" s="3">
        <f>_xll.xlDateWorkFw(L$8,_xll.xlDateWorkFw(L$7,VALUE(_xll.xlDateShiftMonth(VALUE(L$13),LEFT($C29,LEN($C29)-1))),0),0)</f>
        <v>42849</v>
      </c>
      <c r="M61" s="3">
        <f>_xll.xlDateWorkFw(M$8,_xll.xlDateWorkFw(M$7,VALUE(_xll.xlDateShiftMonth(VALUE(M$13),LEFT($C29,LEN($C29)-1))),0),0)</f>
        <v>42849</v>
      </c>
      <c r="N61" s="3">
        <f>_xll.xlDateWorkFw(N$8,_xll.xlDateWorkFw(N$7,VALUE(_xll.xlDateShiftMonth(VALUE(N$13),LEFT($C29,LEN($C29)-1))),0),0)</f>
        <v>42849</v>
      </c>
      <c r="O61" s="3">
        <f>_xll.xlDateWorkFw(O$8,_xll.xlDateWorkFw(O$7,VALUE(_xll.xlDateShiftMonth(VALUE(O$13),LEFT($C29,LEN($C29)-1))),0),0)</f>
        <v>42849</v>
      </c>
      <c r="P61" s="3">
        <f>_xll.xlDateWorkFw(P$8,_xll.xlDateWorkFw(P$7,VALUE(_xll.xlDateShiftMonth(VALUE(P$13),LEFT($C29,LEN($C29)-1))),0),0)</f>
        <v>42849</v>
      </c>
      <c r="Q61" s="3">
        <f>_xll.xlDateWorkFw(Q$8,_xll.xlDateWorkFw(Q$7,VALUE(_xll.xlDateShiftMonth(VALUE(Q$13),LEFT($C29,LEN($C29)-1))),0),0)</f>
        <v>42849</v>
      </c>
      <c r="R61" s="3">
        <f>_xll.xlDateWorkFw(R$8,_xll.xlDateWorkFw(R$7,VALUE(_xll.xlDateShiftMonth(VALUE(R$13),LEFT($C29,LEN($C29)-1))),0),0)</f>
        <v>42849</v>
      </c>
      <c r="S61" s="3">
        <f>_xll.xlDateWorkFw(S$8,_xll.xlDateWorkFw(S$7,VALUE(_xll.xlDateShiftMonth(VALUE(S$13),LEFT($C29,LEN($C29)-1))),0),0)</f>
        <v>42849</v>
      </c>
      <c r="T61" s="3">
        <f>_xll.xlDateWorkFw(T$8,_xll.xlDateWorkFw(T$7,VALUE(_xll.xlDateShiftMonth(VALUE(T$13),LEFT($C29,LEN($C29)-1))),0),0)</f>
        <v>42850</v>
      </c>
      <c r="U61" s="3">
        <f>_xll.xlDateWorkFw(U$8,_xll.xlDateWorkFw(U$7,VALUE(_xll.xlDateShiftMonth(VALUE(U$13),LEFT($C29,LEN($C29)-1))),0),0)</f>
        <v>42857</v>
      </c>
      <c r="V61" s="3">
        <f>_xll.xlDateWorkFw(V$8,_xll.xlDateWorkFw(V$7,VALUE(_xll.xlDateShiftMonth(VALUE(V$13),LEFT($C29,LEN($C29)-1))),0),0)</f>
        <v>42849</v>
      </c>
      <c r="W61" s="3">
        <f>_xll.xlDateWorkFw(W$8,_xll.xlDateWorkFw(W$7,VALUE(_xll.xlDateShiftMonth(VALUE(W$13),LEFT($C29,LEN($C29)-1))),0),0)</f>
        <v>42849</v>
      </c>
      <c r="X61" s="3">
        <f>_xll.xlDateWorkFw(X$8,_xll.xlDateWorkFw(X$7,VALUE(_xll.xlDateShiftMonth(VALUE(X$13),LEFT($C29,LEN($C29)-1))),0),0)</f>
        <v>42849</v>
      </c>
      <c r="Y61" s="3">
        <f>_xll.xlDateWorkFw(Y$8,_xll.xlDateWorkFw(Y$7,VALUE(_xll.xlDateShiftMonth(VALUE(Y$13),LEFT($C29,LEN($C29)-1))),0),0)</f>
        <v>42849</v>
      </c>
      <c r="Z61" s="3">
        <f>_xll.xlDateWorkFw(Z$8,_xll.xlDateWorkFw(Z$7,VALUE(_xll.xlDateShiftMonth(VALUE(Z$13),LEFT($C29,LEN($C29)-1))),0),0)</f>
        <v>42849</v>
      </c>
      <c r="AA61" s="3">
        <f>_xll.xlDateWorkFw(AA$8,_xll.xlDateWorkFw(AA$7,VALUE(_xll.xlDateShiftMonth(VALUE(AA$13),LEFT($C29,LEN($C29)-1))),0),0)</f>
        <v>42849</v>
      </c>
      <c r="AB61" s="3">
        <f>_xll.xlDateWorkFw(AB$8,_xll.xlDateWorkFw(AB$7,VALUE(_xll.xlDateShiftMonth(VALUE(AB$13),LEFT($C29,LEN($C29)-1))),0),0)</f>
        <v>42849</v>
      </c>
      <c r="AC61" s="3">
        <f>_xll.xlDateWorkFw(AC$8,_xll.xlDateWorkFw(AC$7,VALUE(_xll.xlDateShiftMonth(VALUE(AC$13),LEFT($C29,LEN($C29)-1))),0),0)</f>
        <v>42849</v>
      </c>
      <c r="AD61" s="3">
        <f>_xll.xlDateWorkFw(AD$8,_xll.xlDateWorkFw(AD$7,VALUE(_xll.xlDateShiftMonth(VALUE(AD$13),LEFT($C29,LEN($C29)-1))),0),0)</f>
        <v>42849</v>
      </c>
      <c r="AE61" s="3">
        <f>_xll.xlDateWorkFw(AE$8,_xll.xlDateWorkFw(AE$7,VALUE(_xll.xlDateShiftMonth(VALUE(AE$13),LEFT($C29,LEN($C29)-1))),0),0)</f>
        <v>42849</v>
      </c>
      <c r="AF61" s="3">
        <f>_xll.xlDateWorkFw(AF$8,_xll.xlDateWorkFw(AF$7,VALUE(_xll.xlDateShiftMonth(VALUE(AF$13),LEFT($C29,LEN($C29)-1))),0),0)</f>
        <v>42849</v>
      </c>
      <c r="AG61" s="3">
        <f>_xll.xlDateWorkFw(AG$8,_xll.xlDateWorkFw(AG$7,VALUE(_xll.xlDateShiftMonth(VALUE(AG$13),LEFT($C29,LEN($C29)-1))),0),0)</f>
        <v>42849</v>
      </c>
      <c r="AH61" s="3">
        <f>_xll.xlDateWorkFw(AH$8,_xll.xlDateWorkFw(AH$7,VALUE(_xll.xlDateShiftMonth(VALUE(AH$13),LEFT($C29,LEN($C29)-1))),0),0)</f>
        <v>42849</v>
      </c>
      <c r="AI61" s="3">
        <f>_xll.xlDateWorkFw(AI$8,_xll.xlDateWorkFw(AI$7,VALUE(_xll.xlDateShiftMonth(VALUE(AI$13),LEFT($C29,LEN($C29)-1))),0),0)</f>
        <v>42849</v>
      </c>
      <c r="AJ61" s="3">
        <f>_xll.xlDateWorkFw(AJ$8,_xll.xlDateWorkFw(AJ$7,VALUE(_xll.xlDateShiftMonth(VALUE(AJ$13),LEFT($C29,LEN($C29)-1))),0),0)</f>
        <v>42857</v>
      </c>
      <c r="AK61" s="3">
        <f>_xll.xlDateWorkFw(AK$8,_xll.xlDateWorkFw(AK$7,VALUE(_xll.xlDateShiftMonth(VALUE(AK$13),LEFT($C29,LEN($C29)-1))),0),0)</f>
        <v>42849</v>
      </c>
      <c r="AL61" s="3">
        <f>_xll.xlDateWorkFw(AL$8,_xll.xlDateWorkFw(AL$7,VALUE(_xll.xlDateShiftMonth(VALUE(AL$13),LEFT($C29,LEN($C29)-1))),0),0)</f>
        <v>42849</v>
      </c>
      <c r="AM61" s="3">
        <f>_xll.xlDateWorkFw(AM$8,_xll.xlDateWorkFw(AM$7,VALUE(_xll.xlDateShiftMonth(VALUE(AM$13),LEFT($C29,LEN($C29)-1))),0),0)</f>
        <v>42849</v>
      </c>
      <c r="AN61" s="3">
        <f>_xll.xlDateWorkFw(AN$8,_xll.xlDateWorkFw(AN$7,VALUE(_xll.xlDateShiftMonth(VALUE(AN$13),LEFT($C29,LEN($C29)-1))),0),0)</f>
        <v>42849</v>
      </c>
      <c r="AO61" s="3">
        <f>_xll.xlDateWorkFw(AO$8,_xll.xlDateWorkFw(AO$7,VALUE(_xll.xlDateShiftMonth(VALUE(AO$13),LEFT($C29,LEN($C29)-1))),0),0)</f>
        <v>42849</v>
      </c>
      <c r="AP61" s="3">
        <f>_xll.xlDateWorkFw(AP$8,_xll.xlDateWorkFw(AP$7,VALUE(_xll.xlDateShiftMonth(VALUE(AP$13),LEFT($C29,LEN($C29)-1))),0),0)</f>
        <v>42849</v>
      </c>
    </row>
    <row r="62" spans="2:42" x14ac:dyDescent="0.2">
      <c r="C62" s="1" t="s">
        <v>82</v>
      </c>
      <c r="D62" s="3">
        <f>_xll.xlDateWorkFw("Target",_xll.xlDateWorkFw("Target",VALUE(_xll.xlDateShiftMonth(VALUE(E$13),LEFT($C30,LEN($C30)-1))),0),0)</f>
        <v>42878</v>
      </c>
      <c r="E62" s="3">
        <f>_xll.xlDateWorkFw(E$8,_xll.xlDateWorkFw(E$7,VALUE(_xll.xlDateShiftMonth(VALUE(E$13),LEFT($C30,LEN($C30)-1))),0),0)</f>
        <v>42878</v>
      </c>
      <c r="F62" s="3">
        <f>_xll.xlDateWorkFw(F$8,_xll.xlDateWorkFw(F$7,VALUE(_xll.xlDateShiftMonth(VALUE(F$13),LEFT($C30,LEN($C30)-1))),0),0)</f>
        <v>42878</v>
      </c>
      <c r="G62" s="3">
        <f>_xll.xlDateWorkFw(G$8,_xll.xlDateWorkFw(G$7,VALUE(_xll.xlDateShiftMonth(VALUE(G$13),LEFT($C30,LEN($C30)-1))),0),0)</f>
        <v>42878</v>
      </c>
      <c r="H62" s="3">
        <f>_xll.xlDateWorkFw(H$8,_xll.xlDateWorkFw(H$7,VALUE(_xll.xlDateShiftMonth(VALUE(H$13),LEFT($C30,LEN($C30)-1))),0),0)</f>
        <v>42878</v>
      </c>
      <c r="I62" s="3">
        <f>_xll.xlDateWorkFw(I$8,_xll.xlDateWorkFw(I$7,VALUE(_xll.xlDateShiftMonth(VALUE(I$13),LEFT($C30,LEN($C30)-1))),0),0)</f>
        <v>42878</v>
      </c>
      <c r="J62" s="3">
        <f>_xll.xlDateWorkFw(J$8,_xll.xlDateWorkFw(J$7,VALUE(_xll.xlDateShiftMonth(VALUE(J$13),LEFT($C30,LEN($C30)-1))),0),0)</f>
        <v>42878</v>
      </c>
      <c r="K62" s="3">
        <f>_xll.xlDateWorkFw(K$8,_xll.xlDateWorkFw(K$7,VALUE(_xll.xlDateShiftMonth(VALUE(K$13),LEFT($C30,LEN($C30)-1))),0),0)</f>
        <v>42878</v>
      </c>
      <c r="L62" s="3">
        <f>_xll.xlDateWorkFw(L$8,_xll.xlDateWorkFw(L$7,VALUE(_xll.xlDateShiftMonth(VALUE(L$13),LEFT($C30,LEN($C30)-1))),0),0)</f>
        <v>42878</v>
      </c>
      <c r="M62" s="3">
        <f>_xll.xlDateWorkFw(M$8,_xll.xlDateWorkFw(M$7,VALUE(_xll.xlDateShiftMonth(VALUE(M$13),LEFT($C30,LEN($C30)-1))),0),0)</f>
        <v>42878</v>
      </c>
      <c r="N62" s="3">
        <f>_xll.xlDateWorkFw(N$8,_xll.xlDateWorkFw(N$7,VALUE(_xll.xlDateShiftMonth(VALUE(N$13),LEFT($C30,LEN($C30)-1))),0),0)</f>
        <v>42878</v>
      </c>
      <c r="O62" s="3">
        <f>_xll.xlDateWorkFw(O$8,_xll.xlDateWorkFw(O$7,VALUE(_xll.xlDateShiftMonth(VALUE(O$13),LEFT($C30,LEN($C30)-1))),0),0)</f>
        <v>42878</v>
      </c>
      <c r="P62" s="3">
        <f>_xll.xlDateWorkFw(P$8,_xll.xlDateWorkFw(P$7,VALUE(_xll.xlDateShiftMonth(VALUE(P$13),LEFT($C30,LEN($C30)-1))),0),0)</f>
        <v>42878</v>
      </c>
      <c r="Q62" s="3">
        <f>_xll.xlDateWorkFw(Q$8,_xll.xlDateWorkFw(Q$7,VALUE(_xll.xlDateShiftMonth(VALUE(Q$13),LEFT($C30,LEN($C30)-1))),0),0)</f>
        <v>42878</v>
      </c>
      <c r="R62" s="3">
        <f>_xll.xlDateWorkFw(R$8,_xll.xlDateWorkFw(R$7,VALUE(_xll.xlDateShiftMonth(VALUE(R$13),LEFT($C30,LEN($C30)-1))),0),0)</f>
        <v>42878</v>
      </c>
      <c r="S62" s="3">
        <f>_xll.xlDateWorkFw(S$8,_xll.xlDateWorkFw(S$7,VALUE(_xll.xlDateShiftMonth(VALUE(S$13),LEFT($C30,LEN($C30)-1))),0),0)</f>
        <v>42878</v>
      </c>
      <c r="T62" s="3">
        <f>_xll.xlDateWorkFw(T$8,_xll.xlDateWorkFw(T$7,VALUE(_xll.xlDateShiftMonth(VALUE(T$13),LEFT($C30,LEN($C30)-1))),0),0)</f>
        <v>42880</v>
      </c>
      <c r="U62" s="3">
        <f>_xll.xlDateWorkFw(U$8,_xll.xlDateWorkFw(U$7,VALUE(_xll.xlDateShiftMonth(VALUE(U$13),LEFT($C30,LEN($C30)-1))),0),0)</f>
        <v>42887</v>
      </c>
      <c r="V62" s="3">
        <f>_xll.xlDateWorkFw(V$8,_xll.xlDateWorkFw(V$7,VALUE(_xll.xlDateShiftMonth(VALUE(V$13),LEFT($C30,LEN($C30)-1))),0),0)</f>
        <v>42878</v>
      </c>
      <c r="W62" s="3">
        <f>_xll.xlDateWorkFw(W$8,_xll.xlDateWorkFw(W$7,VALUE(_xll.xlDateShiftMonth(VALUE(W$13),LEFT($C30,LEN($C30)-1))),0),0)</f>
        <v>42878</v>
      </c>
      <c r="X62" s="3">
        <f>_xll.xlDateWorkFw(X$8,_xll.xlDateWorkFw(X$7,VALUE(_xll.xlDateShiftMonth(VALUE(X$13),LEFT($C30,LEN($C30)-1))),0),0)</f>
        <v>42878</v>
      </c>
      <c r="Y62" s="3">
        <f>_xll.xlDateWorkFw(Y$8,_xll.xlDateWorkFw(Y$7,VALUE(_xll.xlDateShiftMonth(VALUE(Y$13),LEFT($C30,LEN($C30)-1))),0),0)</f>
        <v>42878</v>
      </c>
      <c r="Z62" s="3">
        <f>_xll.xlDateWorkFw(Z$8,_xll.xlDateWorkFw(Z$7,VALUE(_xll.xlDateShiftMonth(VALUE(Z$13),LEFT($C30,LEN($C30)-1))),0),0)</f>
        <v>42878</v>
      </c>
      <c r="AA62" s="3">
        <f>_xll.xlDateWorkFw(AA$8,_xll.xlDateWorkFw(AA$7,VALUE(_xll.xlDateShiftMonth(VALUE(AA$13),LEFT($C30,LEN($C30)-1))),0),0)</f>
        <v>42878</v>
      </c>
      <c r="AB62" s="3">
        <f>_xll.xlDateWorkFw(AB$8,_xll.xlDateWorkFw(AB$7,VALUE(_xll.xlDateShiftMonth(VALUE(AB$13),LEFT($C30,LEN($C30)-1))),0),0)</f>
        <v>42878</v>
      </c>
      <c r="AC62" s="3">
        <f>_xll.xlDateWorkFw(AC$8,_xll.xlDateWorkFw(AC$7,VALUE(_xll.xlDateShiftMonth(VALUE(AC$13),LEFT($C30,LEN($C30)-1))),0),0)</f>
        <v>42878</v>
      </c>
      <c r="AD62" s="3">
        <f>_xll.xlDateWorkFw(AD$8,_xll.xlDateWorkFw(AD$7,VALUE(_xll.xlDateShiftMonth(VALUE(AD$13),LEFT($C30,LEN($C30)-1))),0),0)</f>
        <v>42878</v>
      </c>
      <c r="AE62" s="3">
        <f>_xll.xlDateWorkFw(AE$8,_xll.xlDateWorkFw(AE$7,VALUE(_xll.xlDateShiftMonth(VALUE(AE$13),LEFT($C30,LEN($C30)-1))),0),0)</f>
        <v>42878</v>
      </c>
      <c r="AF62" s="3">
        <f>_xll.xlDateWorkFw(AF$8,_xll.xlDateWorkFw(AF$7,VALUE(_xll.xlDateShiftMonth(VALUE(AF$13),LEFT($C30,LEN($C30)-1))),0),0)</f>
        <v>42878</v>
      </c>
      <c r="AG62" s="3">
        <f>_xll.xlDateWorkFw(AG$8,_xll.xlDateWorkFw(AG$7,VALUE(_xll.xlDateShiftMonth(VALUE(AG$13),LEFT($C30,LEN($C30)-1))),0),0)</f>
        <v>42878</v>
      </c>
      <c r="AH62" s="3">
        <f>_xll.xlDateWorkFw(AH$8,_xll.xlDateWorkFw(AH$7,VALUE(_xll.xlDateShiftMonth(VALUE(AH$13),LEFT($C30,LEN($C30)-1))),0),0)</f>
        <v>42878</v>
      </c>
      <c r="AI62" s="3">
        <f>_xll.xlDateWorkFw(AI$8,_xll.xlDateWorkFw(AI$7,VALUE(_xll.xlDateShiftMonth(VALUE(AI$13),LEFT($C30,LEN($C30)-1))),0),0)</f>
        <v>42878</v>
      </c>
      <c r="AJ62" s="3">
        <f>_xll.xlDateWorkFw(AJ$8,_xll.xlDateWorkFw(AJ$7,VALUE(_xll.xlDateShiftMonth(VALUE(AJ$13),LEFT($C30,LEN($C30)-1))),0),0)</f>
        <v>42887</v>
      </c>
      <c r="AK62" s="3">
        <f>_xll.xlDateWorkFw(AK$8,_xll.xlDateWorkFw(AK$7,VALUE(_xll.xlDateShiftMonth(VALUE(AK$13),LEFT($C30,LEN($C30)-1))),0),0)</f>
        <v>42878</v>
      </c>
      <c r="AL62" s="3">
        <f>_xll.xlDateWorkFw(AL$8,_xll.xlDateWorkFw(AL$7,VALUE(_xll.xlDateShiftMonth(VALUE(AL$13),LEFT($C30,LEN($C30)-1))),0),0)</f>
        <v>42878</v>
      </c>
      <c r="AM62" s="3">
        <f>_xll.xlDateWorkFw(AM$8,_xll.xlDateWorkFw(AM$7,VALUE(_xll.xlDateShiftMonth(VALUE(AM$13),LEFT($C30,LEN($C30)-1))),0),0)</f>
        <v>42879</v>
      </c>
      <c r="AN62" s="3">
        <f>_xll.xlDateWorkFw(AN$8,_xll.xlDateWorkFw(AN$7,VALUE(_xll.xlDateShiftMonth(VALUE(AN$13),LEFT($C30,LEN($C30)-1))),0),0)</f>
        <v>42878</v>
      </c>
      <c r="AO62" s="3">
        <f>_xll.xlDateWorkFw(AO$8,_xll.xlDateWorkFw(AO$7,VALUE(_xll.xlDateShiftMonth(VALUE(AO$13),LEFT($C30,LEN($C30)-1))),0),0)</f>
        <v>42878</v>
      </c>
      <c r="AP62" s="3">
        <f>_xll.xlDateWorkFw(AP$8,_xll.xlDateWorkFw(AP$7,VALUE(_xll.xlDateShiftMonth(VALUE(AP$13),LEFT($C30,LEN($C30)-1))),0),0)</f>
        <v>42878</v>
      </c>
    </row>
    <row r="63" spans="2:42" x14ac:dyDescent="0.2">
      <c r="C63" s="1" t="s">
        <v>85</v>
      </c>
      <c r="D63" s="3">
        <f>_xll.xlDateWorkFw("Target",_xll.xlDateWorkFw("Target",VALUE(_xll.xlDateShiftMonth(VALUE(E$13),LEFT($C31,LEN($C31)-1))),0),0)</f>
        <v>42909</v>
      </c>
      <c r="E63" s="3">
        <f>_xll.xlDateWorkFw(E$8,_xll.xlDateWorkFw(E$7,VALUE(_xll.xlDateShiftMonth(VALUE(E$13),LEFT($C31,LEN($C31)-1))),0),0)</f>
        <v>42909</v>
      </c>
      <c r="F63" s="3">
        <f>_xll.xlDateWorkFw(F$8,_xll.xlDateWorkFw(F$7,VALUE(_xll.xlDateShiftMonth(VALUE(F$13),LEFT($C31,LEN($C31)-1))),0),0)</f>
        <v>42909</v>
      </c>
      <c r="G63" s="3">
        <f>_xll.xlDateWorkFw(G$8,_xll.xlDateWorkFw(G$7,VALUE(_xll.xlDateShiftMonth(VALUE(G$13),LEFT($C31,LEN($C31)-1))),0),0)</f>
        <v>42909</v>
      </c>
      <c r="H63" s="3">
        <f>_xll.xlDateWorkFw(H$8,_xll.xlDateWorkFw(H$7,VALUE(_xll.xlDateShiftMonth(VALUE(H$13),LEFT($C31,LEN($C31)-1))),0),0)</f>
        <v>42909</v>
      </c>
      <c r="I63" s="3">
        <f>_xll.xlDateWorkFw(I$8,_xll.xlDateWorkFw(I$7,VALUE(_xll.xlDateShiftMonth(VALUE(I$13),LEFT($C31,LEN($C31)-1))),0),0)</f>
        <v>42906</v>
      </c>
      <c r="J63" s="3">
        <f>_xll.xlDateWorkFw(J$8,_xll.xlDateWorkFw(J$7,VALUE(_xll.xlDateShiftMonth(VALUE(J$13),LEFT($C31,LEN($C31)-1))),0),0)</f>
        <v>42909</v>
      </c>
      <c r="K63" s="3">
        <f>_xll.xlDateWorkFw(K$8,_xll.xlDateWorkFw(K$7,VALUE(_xll.xlDateShiftMonth(VALUE(K$13),LEFT($C31,LEN($C31)-1))),0),0)</f>
        <v>42909</v>
      </c>
      <c r="L63" s="3">
        <f>_xll.xlDateWorkFw(L$8,_xll.xlDateWorkFw(L$7,VALUE(_xll.xlDateShiftMonth(VALUE(L$13),LEFT($C31,LEN($C31)-1))),0),0)</f>
        <v>42909</v>
      </c>
      <c r="M63" s="3">
        <f>_xll.xlDateWorkFw(M$8,_xll.xlDateWorkFw(M$7,VALUE(_xll.xlDateShiftMonth(VALUE(M$13),LEFT($C31,LEN($C31)-1))),0),0)</f>
        <v>42909</v>
      </c>
      <c r="N63" s="3">
        <f>_xll.xlDateWorkFw(N$8,_xll.xlDateWorkFw(N$7,VALUE(_xll.xlDateShiftMonth(VALUE(N$13),LEFT($C31,LEN($C31)-1))),0),0)</f>
        <v>42909</v>
      </c>
      <c r="O63" s="3">
        <f>_xll.xlDateWorkFw(O$8,_xll.xlDateWorkFw(O$7,VALUE(_xll.xlDateShiftMonth(VALUE(O$13),LEFT($C31,LEN($C31)-1))),0),0)</f>
        <v>42909</v>
      </c>
      <c r="P63" s="3">
        <f>_xll.xlDateWorkFw(P$8,_xll.xlDateWorkFw(P$7,VALUE(_xll.xlDateShiftMonth(VALUE(P$13),LEFT($C31,LEN($C31)-1))),0),0)</f>
        <v>42909</v>
      </c>
      <c r="Q63" s="3">
        <f>_xll.xlDateWorkFw(Q$8,_xll.xlDateWorkFw(Q$7,VALUE(_xll.xlDateShiftMonth(VALUE(Q$13),LEFT($C31,LEN($C31)-1))),0),0)</f>
        <v>42909</v>
      </c>
      <c r="R63" s="3">
        <f>_xll.xlDateWorkFw(R$8,_xll.xlDateWorkFw(R$7,VALUE(_xll.xlDateShiftMonth(VALUE(R$13),LEFT($C31,LEN($C31)-1))),0),0)</f>
        <v>42909</v>
      </c>
      <c r="S63" s="3">
        <f>_xll.xlDateWorkFw(S$8,_xll.xlDateWorkFw(S$7,VALUE(_xll.xlDateShiftMonth(VALUE(S$13),LEFT($C31,LEN($C31)-1))),0),0)</f>
        <v>42909</v>
      </c>
      <c r="T63" s="3">
        <f>_xll.xlDateWorkFw(T$8,_xll.xlDateWorkFw(T$7,VALUE(_xll.xlDateShiftMonth(VALUE(T$13),LEFT($C31,LEN($C31)-1))),0),0)</f>
        <v>42912</v>
      </c>
      <c r="U63" s="3">
        <f>_xll.xlDateWorkFw(U$8,_xll.xlDateWorkFw(U$7,VALUE(_xll.xlDateShiftMonth(VALUE(U$13),LEFT($C31,LEN($C31)-1))),0),0)</f>
        <v>42919</v>
      </c>
      <c r="V63" s="3">
        <f>_xll.xlDateWorkFw(V$8,_xll.xlDateWorkFw(V$7,VALUE(_xll.xlDateShiftMonth(VALUE(V$13),LEFT($C31,LEN($C31)-1))),0),0)</f>
        <v>42909</v>
      </c>
      <c r="W63" s="3">
        <f>_xll.xlDateWorkFw(W$8,_xll.xlDateWorkFw(W$7,VALUE(_xll.xlDateShiftMonth(VALUE(W$13),LEFT($C31,LEN($C31)-1))),0),0)</f>
        <v>42909</v>
      </c>
      <c r="X63" s="3">
        <f>_xll.xlDateWorkFw(X$8,_xll.xlDateWorkFw(X$7,VALUE(_xll.xlDateShiftMonth(VALUE(X$13),LEFT($C31,LEN($C31)-1))),0),0)</f>
        <v>42909</v>
      </c>
      <c r="Y63" s="3">
        <f>_xll.xlDateWorkFw(Y$8,_xll.xlDateWorkFw(Y$7,VALUE(_xll.xlDateShiftMonth(VALUE(Y$13),LEFT($C31,LEN($C31)-1))),0),0)</f>
        <v>42909</v>
      </c>
      <c r="Z63" s="3">
        <f>_xll.xlDateWorkFw(Z$8,_xll.xlDateWorkFw(Z$7,VALUE(_xll.xlDateShiftMonth(VALUE(Z$13),LEFT($C31,LEN($C31)-1))),0),0)</f>
        <v>42909</v>
      </c>
      <c r="AA63" s="3">
        <f>_xll.xlDateWorkFw(AA$8,_xll.xlDateWorkFw(AA$7,VALUE(_xll.xlDateShiftMonth(VALUE(AA$13),LEFT($C31,LEN($C31)-1))),0),0)</f>
        <v>42909</v>
      </c>
      <c r="AB63" s="3">
        <f>_xll.xlDateWorkFw(AB$8,_xll.xlDateWorkFw(AB$7,VALUE(_xll.xlDateShiftMonth(VALUE(AB$13),LEFT($C31,LEN($C31)-1))),0),0)</f>
        <v>42909</v>
      </c>
      <c r="AC63" s="3">
        <f>_xll.xlDateWorkFw(AC$8,_xll.xlDateWorkFw(AC$7,VALUE(_xll.xlDateShiftMonth(VALUE(AC$13),LEFT($C31,LEN($C31)-1))),0),0)</f>
        <v>42909</v>
      </c>
      <c r="AD63" s="3">
        <f>_xll.xlDateWorkFw(AD$8,_xll.xlDateWorkFw(AD$7,VALUE(_xll.xlDateShiftMonth(VALUE(AD$13),LEFT($C31,LEN($C31)-1))),0),0)</f>
        <v>42909</v>
      </c>
      <c r="AE63" s="3">
        <f>_xll.xlDateWorkFw(AE$8,_xll.xlDateWorkFw(AE$7,VALUE(_xll.xlDateShiftMonth(VALUE(AE$13),LEFT($C31,LEN($C31)-1))),0),0)</f>
        <v>42909</v>
      </c>
      <c r="AF63" s="3">
        <f>_xll.xlDateWorkFw(AF$8,_xll.xlDateWorkFw(AF$7,VALUE(_xll.xlDateShiftMonth(VALUE(AF$13),LEFT($C31,LEN($C31)-1))),0),0)</f>
        <v>42909</v>
      </c>
      <c r="AG63" s="3">
        <f>_xll.xlDateWorkFw(AG$8,_xll.xlDateWorkFw(AG$7,VALUE(_xll.xlDateShiftMonth(VALUE(AG$13),LEFT($C31,LEN($C31)-1))),0),0)</f>
        <v>42909</v>
      </c>
      <c r="AH63" s="3">
        <f>_xll.xlDateWorkFw(AH$8,_xll.xlDateWorkFw(AH$7,VALUE(_xll.xlDateShiftMonth(VALUE(AH$13),LEFT($C31,LEN($C31)-1))),0),0)</f>
        <v>42909</v>
      </c>
      <c r="AI63" s="3">
        <f>_xll.xlDateWorkFw(AI$8,_xll.xlDateWorkFw(AI$7,VALUE(_xll.xlDateShiftMonth(VALUE(AI$13),LEFT($C31,LEN($C31)-1))),0),0)</f>
        <v>42909</v>
      </c>
      <c r="AJ63" s="3">
        <f>_xll.xlDateWorkFw(AJ$8,_xll.xlDateWorkFw(AJ$7,VALUE(_xll.xlDateShiftMonth(VALUE(AJ$13),LEFT($C31,LEN($C31)-1))),0),0)</f>
        <v>42919</v>
      </c>
      <c r="AK63" s="3">
        <f>_xll.xlDateWorkFw(AK$8,_xll.xlDateWorkFw(AK$7,VALUE(_xll.xlDateShiftMonth(VALUE(AK$13),LEFT($C31,LEN($C31)-1))),0),0)</f>
        <v>42912</v>
      </c>
      <c r="AL63" s="3">
        <f>_xll.xlDateWorkFw(AL$8,_xll.xlDateWorkFw(AL$7,VALUE(_xll.xlDateShiftMonth(VALUE(AL$13),LEFT($C31,LEN($C31)-1))),0),0)</f>
        <v>42909</v>
      </c>
      <c r="AM63" s="3">
        <f>_xll.xlDateWorkFw(AM$8,_xll.xlDateWorkFw(AM$7,VALUE(_xll.xlDateShiftMonth(VALUE(AM$13),LEFT($C31,LEN($C31)-1))),0),0)</f>
        <v>42912</v>
      </c>
      <c r="AN63" s="3">
        <f>_xll.xlDateWorkFw(AN$8,_xll.xlDateWorkFw(AN$7,VALUE(_xll.xlDateShiftMonth(VALUE(AN$13),LEFT($C31,LEN($C31)-1))),0),0)</f>
        <v>42909</v>
      </c>
      <c r="AO63" s="3">
        <f>_xll.xlDateWorkFw(AO$8,_xll.xlDateWorkFw(AO$7,VALUE(_xll.xlDateShiftMonth(VALUE(AO$13),LEFT($C31,LEN($C31)-1))),0),0)</f>
        <v>42909</v>
      </c>
      <c r="AP63" s="3">
        <f>_xll.xlDateWorkFw(AP$8,_xll.xlDateWorkFw(AP$7,VALUE(_xll.xlDateShiftMonth(VALUE(AP$13),LEFT($C31,LEN($C31)-1))),0),0)</f>
        <v>42909</v>
      </c>
    </row>
    <row r="64" spans="2:42" x14ac:dyDescent="0.2">
      <c r="C64" s="1" t="s">
        <v>87</v>
      </c>
      <c r="D64" s="3">
        <f>_xll.xlDateWorkFw("Target",_xll.xlDateWorkFw("Target",VALUE(_xll.xlDateShiftMonth(VALUE(E$13),LEFT($C32,LEN($C32)-1))),0),0)</f>
        <v>42940</v>
      </c>
      <c r="E64" s="3">
        <f>_xll.xlDateWorkFw(E$8,_xll.xlDateWorkFw(E$7,VALUE(_xll.xlDateShiftMonth(VALUE(E$13),LEFT($C32,LEN($C32)-1))),0),0)</f>
        <v>42940</v>
      </c>
      <c r="F64" s="3">
        <f>_xll.xlDateWorkFw(F$8,_xll.xlDateWorkFw(F$7,VALUE(_xll.xlDateShiftMonth(VALUE(F$13),LEFT($C32,LEN($C32)-1))),0),0)</f>
        <v>42940</v>
      </c>
      <c r="G64" s="3">
        <f>_xll.xlDateWorkFw(G$8,_xll.xlDateWorkFw(G$7,VALUE(_xll.xlDateShiftMonth(VALUE(G$13),LEFT($C32,LEN($C32)-1))),0),0)</f>
        <v>42940</v>
      </c>
      <c r="H64" s="3">
        <f>_xll.xlDateWorkFw(H$8,_xll.xlDateWorkFw(H$7,VALUE(_xll.xlDateShiftMonth(VALUE(H$13),LEFT($C32,LEN($C32)-1))),0),0)</f>
        <v>42940</v>
      </c>
      <c r="I64" s="3">
        <f>_xll.xlDateWorkFw(I$8,_xll.xlDateWorkFw(I$7,VALUE(_xll.xlDateShiftMonth(VALUE(I$13),LEFT($C32,LEN($C32)-1))),0),0)</f>
        <v>42936</v>
      </c>
      <c r="J64" s="3">
        <f>_xll.xlDateWorkFw(J$8,_xll.xlDateWorkFw(J$7,VALUE(_xll.xlDateShiftMonth(VALUE(J$13),LEFT($C32,LEN($C32)-1))),0),0)</f>
        <v>42940</v>
      </c>
      <c r="K64" s="3">
        <f>_xll.xlDateWorkFw(K$8,_xll.xlDateWorkFw(K$7,VALUE(_xll.xlDateShiftMonth(VALUE(K$13),LEFT($C32,LEN($C32)-1))),0),0)</f>
        <v>42940</v>
      </c>
      <c r="L64" s="3">
        <f>_xll.xlDateWorkFw(L$8,_xll.xlDateWorkFw(L$7,VALUE(_xll.xlDateShiftMonth(VALUE(L$13),LEFT($C32,LEN($C32)-1))),0),0)</f>
        <v>42940</v>
      </c>
      <c r="M64" s="3">
        <f>_xll.xlDateWorkFw(M$8,_xll.xlDateWorkFw(M$7,VALUE(_xll.xlDateShiftMonth(VALUE(M$13),LEFT($C32,LEN($C32)-1))),0),0)</f>
        <v>42940</v>
      </c>
      <c r="N64" s="3">
        <f>_xll.xlDateWorkFw(N$8,_xll.xlDateWorkFw(N$7,VALUE(_xll.xlDateShiftMonth(VALUE(N$13),LEFT($C32,LEN($C32)-1))),0),0)</f>
        <v>42940</v>
      </c>
      <c r="O64" s="3">
        <f>_xll.xlDateWorkFw(O$8,_xll.xlDateWorkFw(O$7,VALUE(_xll.xlDateShiftMonth(VALUE(O$13),LEFT($C32,LEN($C32)-1))),0),0)</f>
        <v>42940</v>
      </c>
      <c r="P64" s="3">
        <f>_xll.xlDateWorkFw(P$8,_xll.xlDateWorkFw(P$7,VALUE(_xll.xlDateShiftMonth(VALUE(P$13),LEFT($C32,LEN($C32)-1))),0),0)</f>
        <v>42940</v>
      </c>
      <c r="Q64" s="3">
        <f>_xll.xlDateWorkFw(Q$8,_xll.xlDateWorkFw(Q$7,VALUE(_xll.xlDateShiftMonth(VALUE(Q$13),LEFT($C32,LEN($C32)-1))),0),0)</f>
        <v>42940</v>
      </c>
      <c r="R64" s="3">
        <f>_xll.xlDateWorkFw(R$8,_xll.xlDateWorkFw(R$7,VALUE(_xll.xlDateShiftMonth(VALUE(R$13),LEFT($C32,LEN($C32)-1))),0),0)</f>
        <v>42940</v>
      </c>
      <c r="S64" s="3">
        <f>_xll.xlDateWorkFw(S$8,_xll.xlDateWorkFw(S$7,VALUE(_xll.xlDateShiftMonth(VALUE(S$13),LEFT($C32,LEN($C32)-1))),0),0)</f>
        <v>42940</v>
      </c>
      <c r="T64" s="3">
        <f>_xll.xlDateWorkFw(T$8,_xll.xlDateWorkFw(T$7,VALUE(_xll.xlDateShiftMonth(VALUE(T$13),LEFT($C32,LEN($C32)-1))),0),0)</f>
        <v>42941</v>
      </c>
      <c r="U64" s="3">
        <f>_xll.xlDateWorkFw(U$8,_xll.xlDateWorkFw(U$7,VALUE(_xll.xlDateShiftMonth(VALUE(U$13),LEFT($C32,LEN($C32)-1))),0),0)</f>
        <v>42948</v>
      </c>
      <c r="V64" s="3">
        <f>_xll.xlDateWorkFw(V$8,_xll.xlDateWorkFw(V$7,VALUE(_xll.xlDateShiftMonth(VALUE(V$13),LEFT($C32,LEN($C32)-1))),0),0)</f>
        <v>42940</v>
      </c>
      <c r="W64" s="3">
        <f>_xll.xlDateWorkFw(W$8,_xll.xlDateWorkFw(W$7,VALUE(_xll.xlDateShiftMonth(VALUE(W$13),LEFT($C32,LEN($C32)-1))),0),0)</f>
        <v>42940</v>
      </c>
      <c r="X64" s="3">
        <f>_xll.xlDateWorkFw(X$8,_xll.xlDateWorkFw(X$7,VALUE(_xll.xlDateShiftMonth(VALUE(X$13),LEFT($C32,LEN($C32)-1))),0),0)</f>
        <v>42940</v>
      </c>
      <c r="Y64" s="3">
        <f>_xll.xlDateWorkFw(Y$8,_xll.xlDateWorkFw(Y$7,VALUE(_xll.xlDateShiftMonth(VALUE(Y$13),LEFT($C32,LEN($C32)-1))),0),0)</f>
        <v>42940</v>
      </c>
      <c r="Z64" s="3">
        <f>_xll.xlDateWorkFw(Z$8,_xll.xlDateWorkFw(Z$7,VALUE(_xll.xlDateShiftMonth(VALUE(Z$13),LEFT($C32,LEN($C32)-1))),0),0)</f>
        <v>42940</v>
      </c>
      <c r="AA64" s="3">
        <f>_xll.xlDateWorkFw(AA$8,_xll.xlDateWorkFw(AA$7,VALUE(_xll.xlDateShiftMonth(VALUE(AA$13),LEFT($C32,LEN($C32)-1))),0),0)</f>
        <v>42940</v>
      </c>
      <c r="AB64" s="3">
        <f>_xll.xlDateWorkFw(AB$8,_xll.xlDateWorkFw(AB$7,VALUE(_xll.xlDateShiftMonth(VALUE(AB$13),LEFT($C32,LEN($C32)-1))),0),0)</f>
        <v>42940</v>
      </c>
      <c r="AC64" s="3">
        <f>_xll.xlDateWorkFw(AC$8,_xll.xlDateWorkFw(AC$7,VALUE(_xll.xlDateShiftMonth(VALUE(AC$13),LEFT($C32,LEN($C32)-1))),0),0)</f>
        <v>42940</v>
      </c>
      <c r="AD64" s="3">
        <f>_xll.xlDateWorkFw(AD$8,_xll.xlDateWorkFw(AD$7,VALUE(_xll.xlDateShiftMonth(VALUE(AD$13),LEFT($C32,LEN($C32)-1))),0),0)</f>
        <v>42940</v>
      </c>
      <c r="AE64" s="3">
        <f>_xll.xlDateWorkFw(AE$8,_xll.xlDateWorkFw(AE$7,VALUE(_xll.xlDateShiftMonth(VALUE(AE$13),LEFT($C32,LEN($C32)-1))),0),0)</f>
        <v>42940</v>
      </c>
      <c r="AF64" s="3">
        <f>_xll.xlDateWorkFw(AF$8,_xll.xlDateWorkFw(AF$7,VALUE(_xll.xlDateShiftMonth(VALUE(AF$13),LEFT($C32,LEN($C32)-1))),0),0)</f>
        <v>42940</v>
      </c>
      <c r="AG64" s="3">
        <f>_xll.xlDateWorkFw(AG$8,_xll.xlDateWorkFw(AG$7,VALUE(_xll.xlDateShiftMonth(VALUE(AG$13),LEFT($C32,LEN($C32)-1))),0),0)</f>
        <v>42940</v>
      </c>
      <c r="AH64" s="3">
        <f>_xll.xlDateWorkFw(AH$8,_xll.xlDateWorkFw(AH$7,VALUE(_xll.xlDateShiftMonth(VALUE(AH$13),LEFT($C32,LEN($C32)-1))),0),0)</f>
        <v>42940</v>
      </c>
      <c r="AI64" s="3">
        <f>_xll.xlDateWorkFw(AI$8,_xll.xlDateWorkFw(AI$7,VALUE(_xll.xlDateShiftMonth(VALUE(AI$13),LEFT($C32,LEN($C32)-1))),0),0)</f>
        <v>42940</v>
      </c>
      <c r="AJ64" s="3">
        <f>_xll.xlDateWorkFw(AJ$8,_xll.xlDateWorkFw(AJ$7,VALUE(_xll.xlDateShiftMonth(VALUE(AJ$13),LEFT($C32,LEN($C32)-1))),0),0)</f>
        <v>42948</v>
      </c>
      <c r="AK64" s="3">
        <f>_xll.xlDateWorkFw(AK$8,_xll.xlDateWorkFw(AK$7,VALUE(_xll.xlDateShiftMonth(VALUE(AK$13),LEFT($C32,LEN($C32)-1))),0),0)</f>
        <v>42940</v>
      </c>
      <c r="AL64" s="3">
        <f>_xll.xlDateWorkFw(AL$8,_xll.xlDateWorkFw(AL$7,VALUE(_xll.xlDateShiftMonth(VALUE(AL$13),LEFT($C32,LEN($C32)-1))),0),0)</f>
        <v>42940</v>
      </c>
      <c r="AM64" s="3">
        <f>_xll.xlDateWorkFw(AM$8,_xll.xlDateWorkFw(AM$7,VALUE(_xll.xlDateShiftMonth(VALUE(AM$13),LEFT($C32,LEN($C32)-1))),0),0)</f>
        <v>42940</v>
      </c>
      <c r="AN64" s="3">
        <f>_xll.xlDateWorkFw(AN$8,_xll.xlDateWorkFw(AN$7,VALUE(_xll.xlDateShiftMonth(VALUE(AN$13),LEFT($C32,LEN($C32)-1))),0),0)</f>
        <v>42940</v>
      </c>
      <c r="AO64" s="3">
        <f>_xll.xlDateWorkFw(AO$8,_xll.xlDateWorkFw(AO$7,VALUE(_xll.xlDateShiftMonth(VALUE(AO$13),LEFT($C32,LEN($C32)-1))),0),0)</f>
        <v>42940</v>
      </c>
      <c r="AP64" s="3">
        <f>_xll.xlDateWorkFw(AP$8,_xll.xlDateWorkFw(AP$7,VALUE(_xll.xlDateShiftMonth(VALUE(AP$13),LEFT($C32,LEN($C32)-1))),0),0)</f>
        <v>42940</v>
      </c>
    </row>
    <row r="65" spans="3:42" x14ac:dyDescent="0.2">
      <c r="C65" s="1" t="s">
        <v>90</v>
      </c>
      <c r="D65" s="3">
        <f>_xll.xlDateWorkFw("Target",_xll.xlDateWorkFw("Target",VALUE(_xll.xlDateShiftMonth(VALUE(E$13),LEFT($C33,LEN($C33)-1))),0),0)</f>
        <v>42970</v>
      </c>
      <c r="E65" s="3">
        <f>_xll.xlDateWorkFw(E$8,_xll.xlDateWorkFw(E$7,VALUE(_xll.xlDateShiftMonth(VALUE(E$13),LEFT($C33,LEN($C33)-1))),0),0)</f>
        <v>42970</v>
      </c>
      <c r="F65" s="3">
        <f>_xll.xlDateWorkFw(F$8,_xll.xlDateWorkFw(F$7,VALUE(_xll.xlDateShiftMonth(VALUE(F$13),LEFT($C33,LEN($C33)-1))),0),0)</f>
        <v>42970</v>
      </c>
      <c r="G65" s="3">
        <f>_xll.xlDateWorkFw(G$8,_xll.xlDateWorkFw(G$7,VALUE(_xll.xlDateShiftMonth(VALUE(G$13),LEFT($C33,LEN($C33)-1))),0),0)</f>
        <v>42970</v>
      </c>
      <c r="H65" s="3">
        <f>_xll.xlDateWorkFw(H$8,_xll.xlDateWorkFw(H$7,VALUE(_xll.xlDateShiftMonth(VALUE(H$13),LEFT($C33,LEN($C33)-1))),0),0)</f>
        <v>42970</v>
      </c>
      <c r="I65" s="3">
        <f>_xll.xlDateWorkFw(I$8,_xll.xlDateWorkFw(I$7,VALUE(_xll.xlDateShiftMonth(VALUE(I$13),LEFT($C33,LEN($C33)-1))),0),0)</f>
        <v>42968</v>
      </c>
      <c r="J65" s="3">
        <f>_xll.xlDateWorkFw(J$8,_xll.xlDateWorkFw(J$7,VALUE(_xll.xlDateShiftMonth(VALUE(J$13),LEFT($C33,LEN($C33)-1))),0),0)</f>
        <v>42970</v>
      </c>
      <c r="K65" s="3">
        <f>_xll.xlDateWorkFw(K$8,_xll.xlDateWorkFw(K$7,VALUE(_xll.xlDateShiftMonth(VALUE(K$13),LEFT($C33,LEN($C33)-1))),0),0)</f>
        <v>42970</v>
      </c>
      <c r="L65" s="3">
        <f>_xll.xlDateWorkFw(L$8,_xll.xlDateWorkFw(L$7,VALUE(_xll.xlDateShiftMonth(VALUE(L$13),LEFT($C33,LEN($C33)-1))),0),0)</f>
        <v>42970</v>
      </c>
      <c r="M65" s="3">
        <f>_xll.xlDateWorkFw(M$8,_xll.xlDateWorkFw(M$7,VALUE(_xll.xlDateShiftMonth(VALUE(M$13),LEFT($C33,LEN($C33)-1))),0),0)</f>
        <v>42970</v>
      </c>
      <c r="N65" s="3">
        <f>_xll.xlDateWorkFw(N$8,_xll.xlDateWorkFw(N$7,VALUE(_xll.xlDateShiftMonth(VALUE(N$13),LEFT($C33,LEN($C33)-1))),0),0)</f>
        <v>42970</v>
      </c>
      <c r="O65" s="3">
        <f>_xll.xlDateWorkFw(O$8,_xll.xlDateWorkFw(O$7,VALUE(_xll.xlDateShiftMonth(VALUE(O$13),LEFT($C33,LEN($C33)-1))),0),0)</f>
        <v>42970</v>
      </c>
      <c r="P65" s="3">
        <f>_xll.xlDateWorkFw(P$8,_xll.xlDateWorkFw(P$7,VALUE(_xll.xlDateShiftMonth(VALUE(P$13),LEFT($C33,LEN($C33)-1))),0),0)</f>
        <v>42970</v>
      </c>
      <c r="Q65" s="3">
        <f>_xll.xlDateWorkFw(Q$8,_xll.xlDateWorkFw(Q$7,VALUE(_xll.xlDateShiftMonth(VALUE(Q$13),LEFT($C33,LEN($C33)-1))),0),0)</f>
        <v>42970</v>
      </c>
      <c r="R65" s="3">
        <f>_xll.xlDateWorkFw(R$8,_xll.xlDateWorkFw(R$7,VALUE(_xll.xlDateShiftMonth(VALUE(R$13),LEFT($C33,LEN($C33)-1))),0),0)</f>
        <v>42970</v>
      </c>
      <c r="S65" s="3">
        <f>_xll.xlDateWorkFw(S$8,_xll.xlDateWorkFw(S$7,VALUE(_xll.xlDateShiftMonth(VALUE(S$13),LEFT($C33,LEN($C33)-1))),0),0)</f>
        <v>42970</v>
      </c>
      <c r="T65" s="3">
        <f>_xll.xlDateWorkFw(T$8,_xll.xlDateWorkFw(T$7,VALUE(_xll.xlDateShiftMonth(VALUE(T$13),LEFT($C33,LEN($C33)-1))),0),0)</f>
        <v>42972</v>
      </c>
      <c r="U65" s="3">
        <f>_xll.xlDateWorkFw(U$8,_xll.xlDateWorkFw(U$7,VALUE(_xll.xlDateShiftMonth(VALUE(U$13),LEFT($C33,LEN($C33)-1))),0),0)</f>
        <v>42979</v>
      </c>
      <c r="V65" s="3">
        <f>_xll.xlDateWorkFw(V$8,_xll.xlDateWorkFw(V$7,VALUE(_xll.xlDateShiftMonth(VALUE(V$13),LEFT($C33,LEN($C33)-1))),0),0)</f>
        <v>42970</v>
      </c>
      <c r="W65" s="3">
        <f>_xll.xlDateWorkFw(W$8,_xll.xlDateWorkFw(W$7,VALUE(_xll.xlDateShiftMonth(VALUE(W$13),LEFT($C33,LEN($C33)-1))),0),0)</f>
        <v>42970</v>
      </c>
      <c r="X65" s="3">
        <f>_xll.xlDateWorkFw(X$8,_xll.xlDateWorkFw(X$7,VALUE(_xll.xlDateShiftMonth(VALUE(X$13),LEFT($C33,LEN($C33)-1))),0),0)</f>
        <v>42970</v>
      </c>
      <c r="Y65" s="3">
        <f>_xll.xlDateWorkFw(Y$8,_xll.xlDateWorkFw(Y$7,VALUE(_xll.xlDateShiftMonth(VALUE(Y$13),LEFT($C33,LEN($C33)-1))),0),0)</f>
        <v>42970</v>
      </c>
      <c r="Z65" s="3">
        <f>_xll.xlDateWorkFw(Z$8,_xll.xlDateWorkFw(Z$7,VALUE(_xll.xlDateShiftMonth(VALUE(Z$13),LEFT($C33,LEN($C33)-1))),0),0)</f>
        <v>42970</v>
      </c>
      <c r="AA65" s="3">
        <f>_xll.xlDateWorkFw(AA$8,_xll.xlDateWorkFw(AA$7,VALUE(_xll.xlDateShiftMonth(VALUE(AA$13),LEFT($C33,LEN($C33)-1))),0),0)</f>
        <v>42970</v>
      </c>
      <c r="AB65" s="3">
        <f>_xll.xlDateWorkFw(AB$8,_xll.xlDateWorkFw(AB$7,VALUE(_xll.xlDateShiftMonth(VALUE(AB$13),LEFT($C33,LEN($C33)-1))),0),0)</f>
        <v>42970</v>
      </c>
      <c r="AC65" s="3">
        <f>_xll.xlDateWorkFw(AC$8,_xll.xlDateWorkFw(AC$7,VALUE(_xll.xlDateShiftMonth(VALUE(AC$13),LEFT($C33,LEN($C33)-1))),0),0)</f>
        <v>42970</v>
      </c>
      <c r="AD65" s="3">
        <f>_xll.xlDateWorkFw(AD$8,_xll.xlDateWorkFw(AD$7,VALUE(_xll.xlDateShiftMonth(VALUE(AD$13),LEFT($C33,LEN($C33)-1))),0),0)</f>
        <v>42970</v>
      </c>
      <c r="AE65" s="3">
        <f>_xll.xlDateWorkFw(AE$8,_xll.xlDateWorkFw(AE$7,VALUE(_xll.xlDateShiftMonth(VALUE(AE$13),LEFT($C33,LEN($C33)-1))),0),0)</f>
        <v>42970</v>
      </c>
      <c r="AF65" s="3">
        <f>_xll.xlDateWorkFw(AF$8,_xll.xlDateWorkFw(AF$7,VALUE(_xll.xlDateShiftMonth(VALUE(AF$13),LEFT($C33,LEN($C33)-1))),0),0)</f>
        <v>42970</v>
      </c>
      <c r="AG65" s="3">
        <f>_xll.xlDateWorkFw(AG$8,_xll.xlDateWorkFw(AG$7,VALUE(_xll.xlDateShiftMonth(VALUE(AG$13),LEFT($C33,LEN($C33)-1))),0),0)</f>
        <v>42970</v>
      </c>
      <c r="AH65" s="3">
        <f>_xll.xlDateWorkFw(AH$8,_xll.xlDateWorkFw(AH$7,VALUE(_xll.xlDateShiftMonth(VALUE(AH$13),LEFT($C33,LEN($C33)-1))),0),0)</f>
        <v>42970</v>
      </c>
      <c r="AI65" s="3">
        <f>_xll.xlDateWorkFw(AI$8,_xll.xlDateWorkFw(AI$7,VALUE(_xll.xlDateShiftMonth(VALUE(AI$13),LEFT($C33,LEN($C33)-1))),0),0)</f>
        <v>42970</v>
      </c>
      <c r="AJ65" s="3">
        <f>_xll.xlDateWorkFw(AJ$8,_xll.xlDateWorkFw(AJ$7,VALUE(_xll.xlDateShiftMonth(VALUE(AJ$13),LEFT($C33,LEN($C33)-1))),0),0)</f>
        <v>42979</v>
      </c>
      <c r="AK65" s="3">
        <f>_xll.xlDateWorkFw(AK$8,_xll.xlDateWorkFw(AK$7,VALUE(_xll.xlDateShiftMonth(VALUE(AK$13),LEFT($C33,LEN($C33)-1))),0),0)</f>
        <v>42970</v>
      </c>
      <c r="AL65" s="3">
        <f>_xll.xlDateWorkFw(AL$8,_xll.xlDateWorkFw(AL$7,VALUE(_xll.xlDateShiftMonth(VALUE(AL$13),LEFT($C33,LEN($C33)-1))),0),0)</f>
        <v>42970</v>
      </c>
      <c r="AM65" s="3">
        <f>_xll.xlDateWorkFw(AM$8,_xll.xlDateWorkFw(AM$7,VALUE(_xll.xlDateShiftMonth(VALUE(AM$13),LEFT($C33,LEN($C33)-1))),0),0)</f>
        <v>42971</v>
      </c>
      <c r="AN65" s="3">
        <f>_xll.xlDateWorkFw(AN$8,_xll.xlDateWorkFw(AN$7,VALUE(_xll.xlDateShiftMonth(VALUE(AN$13),LEFT($C33,LEN($C33)-1))),0),0)</f>
        <v>42970</v>
      </c>
      <c r="AO65" s="3">
        <f>_xll.xlDateWorkFw(AO$8,_xll.xlDateWorkFw(AO$7,VALUE(_xll.xlDateShiftMonth(VALUE(AO$13),LEFT($C33,LEN($C33)-1))),0),0)</f>
        <v>42970</v>
      </c>
      <c r="AP65" s="3">
        <f>_xll.xlDateWorkFw(AP$8,_xll.xlDateWorkFw(AP$7,VALUE(_xll.xlDateShiftMonth(VALUE(AP$13),LEFT($C33,LEN($C33)-1))),0),0)</f>
        <v>42970</v>
      </c>
    </row>
    <row r="66" spans="3:42" x14ac:dyDescent="0.2">
      <c r="C66" s="1" t="s">
        <v>93</v>
      </c>
      <c r="D66" s="3">
        <f>_xll.xlDateWorkFw("Target",_xll.xlDateWorkFw("Target",VALUE(_xll.xlDateShiftMonth(VALUE(E$13),LEFT($C34,LEN($C34)-1))),0),0)</f>
        <v>43003</v>
      </c>
      <c r="E66" s="3">
        <f>_xll.xlDateWorkFw(E$8,_xll.xlDateWorkFw(E$7,VALUE(_xll.xlDateShiftMonth(VALUE(E$13),LEFT($C34,LEN($C34)-1))),0),0)</f>
        <v>43003</v>
      </c>
      <c r="F66" s="3">
        <f>_xll.xlDateWorkFw(F$8,_xll.xlDateWorkFw(F$7,VALUE(_xll.xlDateShiftMonth(VALUE(F$13),LEFT($C34,LEN($C34)-1))),0),0)</f>
        <v>43003</v>
      </c>
      <c r="G66" s="3">
        <f>_xll.xlDateWorkFw(G$8,_xll.xlDateWorkFw(G$7,VALUE(_xll.xlDateShiftMonth(VALUE(G$13),LEFT($C34,LEN($C34)-1))),0),0)</f>
        <v>43003</v>
      </c>
      <c r="H66" s="3">
        <f>_xll.xlDateWorkFw(H$8,_xll.xlDateWorkFw(H$7,VALUE(_xll.xlDateShiftMonth(VALUE(H$13),LEFT($C34,LEN($C34)-1))),0),0)</f>
        <v>43003</v>
      </c>
      <c r="I66" s="3">
        <f>_xll.xlDateWorkFw(I$8,_xll.xlDateWorkFw(I$7,VALUE(_xll.xlDateShiftMonth(VALUE(I$13),LEFT($C34,LEN($C34)-1))),0),0)</f>
        <v>42998</v>
      </c>
      <c r="J66" s="3">
        <f>_xll.xlDateWorkFw(J$8,_xll.xlDateWorkFw(J$7,VALUE(_xll.xlDateShiftMonth(VALUE(J$13),LEFT($C34,LEN($C34)-1))),0),0)</f>
        <v>43003</v>
      </c>
      <c r="K66" s="3">
        <f>_xll.xlDateWorkFw(K$8,_xll.xlDateWorkFw(K$7,VALUE(_xll.xlDateShiftMonth(VALUE(K$13),LEFT($C34,LEN($C34)-1))),0),0)</f>
        <v>43003</v>
      </c>
      <c r="L66" s="3">
        <f>_xll.xlDateWorkFw(L$8,_xll.xlDateWorkFw(L$7,VALUE(_xll.xlDateShiftMonth(VALUE(L$13),LEFT($C34,LEN($C34)-1))),0),0)</f>
        <v>43003</v>
      </c>
      <c r="M66" s="3">
        <f>_xll.xlDateWorkFw(M$8,_xll.xlDateWorkFw(M$7,VALUE(_xll.xlDateShiftMonth(VALUE(M$13),LEFT($C34,LEN($C34)-1))),0),0)</f>
        <v>43003</v>
      </c>
      <c r="N66" s="3">
        <f>_xll.xlDateWorkFw(N$8,_xll.xlDateWorkFw(N$7,VALUE(_xll.xlDateShiftMonth(VALUE(N$13),LEFT($C34,LEN($C34)-1))),0),0)</f>
        <v>43003</v>
      </c>
      <c r="O66" s="3">
        <f>_xll.xlDateWorkFw(O$8,_xll.xlDateWorkFw(O$7,VALUE(_xll.xlDateShiftMonth(VALUE(O$13),LEFT($C34,LEN($C34)-1))),0),0)</f>
        <v>43003</v>
      </c>
      <c r="P66" s="3">
        <f>_xll.xlDateWorkFw(P$8,_xll.xlDateWorkFw(P$7,VALUE(_xll.xlDateShiftMonth(VALUE(P$13),LEFT($C34,LEN($C34)-1))),0),0)</f>
        <v>43003</v>
      </c>
      <c r="Q66" s="3">
        <f>_xll.xlDateWorkFw(Q$8,_xll.xlDateWorkFw(Q$7,VALUE(_xll.xlDateShiftMonth(VALUE(Q$13),LEFT($C34,LEN($C34)-1))),0),0)</f>
        <v>43004</v>
      </c>
      <c r="R66" s="3">
        <f>_xll.xlDateWorkFw(R$8,_xll.xlDateWorkFw(R$7,VALUE(_xll.xlDateShiftMonth(VALUE(R$13),LEFT($C34,LEN($C34)-1))),0),0)</f>
        <v>43003</v>
      </c>
      <c r="S66" s="3">
        <f>_xll.xlDateWorkFw(S$8,_xll.xlDateWorkFw(S$7,VALUE(_xll.xlDateShiftMonth(VALUE(S$13),LEFT($C34,LEN($C34)-1))),0),0)</f>
        <v>43003</v>
      </c>
      <c r="T66" s="3">
        <f>_xll.xlDateWorkFw(T$8,_xll.xlDateWorkFw(T$7,VALUE(_xll.xlDateShiftMonth(VALUE(T$13),LEFT($C34,LEN($C34)-1))),0),0)</f>
        <v>43003</v>
      </c>
      <c r="U66" s="3">
        <f>_xll.xlDateWorkFw(U$8,_xll.xlDateWorkFw(U$7,VALUE(_xll.xlDateShiftMonth(VALUE(U$13),LEFT($C34,LEN($C34)-1))),0),0)</f>
        <v>43014</v>
      </c>
      <c r="V66" s="3">
        <f>_xll.xlDateWorkFw(V$8,_xll.xlDateWorkFw(V$7,VALUE(_xll.xlDateShiftMonth(VALUE(V$13),LEFT($C34,LEN($C34)-1))),0),0)</f>
        <v>43003</v>
      </c>
      <c r="W66" s="3">
        <f>_xll.xlDateWorkFw(W$8,_xll.xlDateWorkFw(W$7,VALUE(_xll.xlDateShiftMonth(VALUE(W$13),LEFT($C34,LEN($C34)-1))),0),0)</f>
        <v>43003</v>
      </c>
      <c r="X66" s="3">
        <f>_xll.xlDateWorkFw(X$8,_xll.xlDateWorkFw(X$7,VALUE(_xll.xlDateShiftMonth(VALUE(X$13),LEFT($C34,LEN($C34)-1))),0),0)</f>
        <v>43003</v>
      </c>
      <c r="Y66" s="3">
        <f>_xll.xlDateWorkFw(Y$8,_xll.xlDateWorkFw(Y$7,VALUE(_xll.xlDateShiftMonth(VALUE(Y$13),LEFT($C34,LEN($C34)-1))),0),0)</f>
        <v>43003</v>
      </c>
      <c r="Z66" s="3">
        <f>_xll.xlDateWorkFw(Z$8,_xll.xlDateWorkFw(Z$7,VALUE(_xll.xlDateShiftMonth(VALUE(Z$13),LEFT($C34,LEN($C34)-1))),0),0)</f>
        <v>43003</v>
      </c>
      <c r="AA66" s="3">
        <f>_xll.xlDateWorkFw(AA$8,_xll.xlDateWorkFw(AA$7,VALUE(_xll.xlDateShiftMonth(VALUE(AA$13),LEFT($C34,LEN($C34)-1))),0),0)</f>
        <v>43003</v>
      </c>
      <c r="AB66" s="3">
        <f>_xll.xlDateWorkFw(AB$8,_xll.xlDateWorkFw(AB$7,VALUE(_xll.xlDateShiftMonth(VALUE(AB$13),LEFT($C34,LEN($C34)-1))),0),0)</f>
        <v>43003</v>
      </c>
      <c r="AC66" s="3">
        <f>_xll.xlDateWorkFw(AC$8,_xll.xlDateWorkFw(AC$7,VALUE(_xll.xlDateShiftMonth(VALUE(AC$13),LEFT($C34,LEN($C34)-1))),0),0)</f>
        <v>43003</v>
      </c>
      <c r="AD66" s="3">
        <f>_xll.xlDateWorkFw(AD$8,_xll.xlDateWorkFw(AD$7,VALUE(_xll.xlDateShiftMonth(VALUE(AD$13),LEFT($C34,LEN($C34)-1))),0),0)</f>
        <v>43003</v>
      </c>
      <c r="AE66" s="3">
        <f>_xll.xlDateWorkFw(AE$8,_xll.xlDateWorkFw(AE$7,VALUE(_xll.xlDateShiftMonth(VALUE(AE$13),LEFT($C34,LEN($C34)-1))),0),0)</f>
        <v>43003</v>
      </c>
      <c r="AF66" s="3">
        <f>_xll.xlDateWorkFw(AF$8,_xll.xlDateWorkFw(AF$7,VALUE(_xll.xlDateShiftMonth(VALUE(AF$13),LEFT($C34,LEN($C34)-1))),0),0)</f>
        <v>43003</v>
      </c>
      <c r="AG66" s="3">
        <f>_xll.xlDateWorkFw(AG$8,_xll.xlDateWorkFw(AG$7,VALUE(_xll.xlDateShiftMonth(VALUE(AG$13),LEFT($C34,LEN($C34)-1))),0),0)</f>
        <v>43003</v>
      </c>
      <c r="AH66" s="3">
        <f>_xll.xlDateWorkFw(AH$8,_xll.xlDateWorkFw(AH$7,VALUE(_xll.xlDateShiftMonth(VALUE(AH$13),LEFT($C34,LEN($C34)-1))),0),0)</f>
        <v>43003</v>
      </c>
      <c r="AI66" s="3">
        <f>_xll.xlDateWorkFw(AI$8,_xll.xlDateWorkFw(AI$7,VALUE(_xll.xlDateShiftMonth(VALUE(AI$13),LEFT($C34,LEN($C34)-1))),0),0)</f>
        <v>43003</v>
      </c>
      <c r="AJ66" s="3">
        <f>_xll.xlDateWorkFw(AJ$8,_xll.xlDateWorkFw(AJ$7,VALUE(_xll.xlDateShiftMonth(VALUE(AJ$13),LEFT($C34,LEN($C34)-1))),0),0)</f>
        <v>43014</v>
      </c>
      <c r="AK66" s="3">
        <f>_xll.xlDateWorkFw(AK$8,_xll.xlDateWorkFw(AK$7,VALUE(_xll.xlDateShiftMonth(VALUE(AK$13),LEFT($C34,LEN($C34)-1))),0),0)</f>
        <v>43003</v>
      </c>
      <c r="AL66" s="3">
        <f>_xll.xlDateWorkFw(AL$8,_xll.xlDateWorkFw(AL$7,VALUE(_xll.xlDateShiftMonth(VALUE(AL$13),LEFT($C34,LEN($C34)-1))),0),0)</f>
        <v>43003</v>
      </c>
      <c r="AM66" s="3">
        <f>_xll.xlDateWorkFw(AM$8,_xll.xlDateWorkFw(AM$7,VALUE(_xll.xlDateShiftMonth(VALUE(AM$13),LEFT($C34,LEN($C34)-1))),0),0)</f>
        <v>43003</v>
      </c>
      <c r="AN66" s="3">
        <f>_xll.xlDateWorkFw(AN$8,_xll.xlDateWorkFw(AN$7,VALUE(_xll.xlDateShiftMonth(VALUE(AN$13),LEFT($C34,LEN($C34)-1))),0),0)</f>
        <v>43003</v>
      </c>
      <c r="AO66" s="3">
        <f>_xll.xlDateWorkFw(AO$8,_xll.xlDateWorkFw(AO$7,VALUE(_xll.xlDateShiftMonth(VALUE(AO$13),LEFT($C34,LEN($C34)-1))),0),0)</f>
        <v>43003</v>
      </c>
      <c r="AP66" s="3">
        <f>_xll.xlDateWorkFw(AP$8,_xll.xlDateWorkFw(AP$7,VALUE(_xll.xlDateShiftMonth(VALUE(AP$13),LEFT($C34,LEN($C34)-1))),0),0)</f>
        <v>43003</v>
      </c>
    </row>
    <row r="67" spans="3:42" x14ac:dyDescent="0.2">
      <c r="C67" s="1" t="s">
        <v>96</v>
      </c>
      <c r="D67" s="3">
        <f>_xll.xlDateWorkFw("Target",_xll.xlDateWorkFw("Target",VALUE(_xll.xlDateShiftMonth(VALUE(E$13),LEFT($C35,LEN($C35)-1))),0),0)</f>
        <v>43031</v>
      </c>
      <c r="E67" s="3">
        <f>_xll.xlDateWorkFw(E$8,_xll.xlDateWorkFw(E$7,VALUE(_xll.xlDateShiftMonth(VALUE(E$13),LEFT($C35,LEN($C35)-1))),0),0)</f>
        <v>43031</v>
      </c>
      <c r="F67" s="3">
        <f>_xll.xlDateWorkFw(F$8,_xll.xlDateWorkFw(F$7,VALUE(_xll.xlDateShiftMonth(VALUE(F$13),LEFT($C35,LEN($C35)-1))),0),0)</f>
        <v>43031</v>
      </c>
      <c r="G67" s="3">
        <f>_xll.xlDateWorkFw(G$8,_xll.xlDateWorkFw(G$7,VALUE(_xll.xlDateShiftMonth(VALUE(G$13),LEFT($C35,LEN($C35)-1))),0),0)</f>
        <v>43031</v>
      </c>
      <c r="H67" s="3">
        <f>_xll.xlDateWorkFw(H$8,_xll.xlDateWorkFw(H$7,VALUE(_xll.xlDateShiftMonth(VALUE(H$13),LEFT($C35,LEN($C35)-1))),0),0)</f>
        <v>43031</v>
      </c>
      <c r="I67" s="3">
        <f>_xll.xlDateWorkFw(I$8,_xll.xlDateWorkFw(I$7,VALUE(_xll.xlDateShiftMonth(VALUE(I$13),LEFT($C35,LEN($C35)-1))),0),0)</f>
        <v>43028</v>
      </c>
      <c r="J67" s="3">
        <f>_xll.xlDateWorkFw(J$8,_xll.xlDateWorkFw(J$7,VALUE(_xll.xlDateShiftMonth(VALUE(J$13),LEFT($C35,LEN($C35)-1))),0),0)</f>
        <v>43031</v>
      </c>
      <c r="K67" s="3">
        <f>_xll.xlDateWorkFw(K$8,_xll.xlDateWorkFw(K$7,VALUE(_xll.xlDateShiftMonth(VALUE(K$13),LEFT($C35,LEN($C35)-1))),0),0)</f>
        <v>43031</v>
      </c>
      <c r="L67" s="3">
        <f>_xll.xlDateWorkFw(L$8,_xll.xlDateWorkFw(L$7,VALUE(_xll.xlDateShiftMonth(VALUE(L$13),LEFT($C35,LEN($C35)-1))),0),0)</f>
        <v>43031</v>
      </c>
      <c r="M67" s="3">
        <f>_xll.xlDateWorkFw(M$8,_xll.xlDateWorkFw(M$7,VALUE(_xll.xlDateShiftMonth(VALUE(M$13),LEFT($C35,LEN($C35)-1))),0),0)</f>
        <v>43031</v>
      </c>
      <c r="N67" s="3">
        <f>_xll.xlDateWorkFw(N$8,_xll.xlDateWorkFw(N$7,VALUE(_xll.xlDateShiftMonth(VALUE(N$13),LEFT($C35,LEN($C35)-1))),0),0)</f>
        <v>43031</v>
      </c>
      <c r="O67" s="3">
        <f>_xll.xlDateWorkFw(O$8,_xll.xlDateWorkFw(O$7,VALUE(_xll.xlDateShiftMonth(VALUE(O$13),LEFT($C35,LEN($C35)-1))),0),0)</f>
        <v>43031</v>
      </c>
      <c r="P67" s="3">
        <f>_xll.xlDateWorkFw(P$8,_xll.xlDateWorkFw(P$7,VALUE(_xll.xlDateShiftMonth(VALUE(P$13),LEFT($C35,LEN($C35)-1))),0),0)</f>
        <v>43032</v>
      </c>
      <c r="Q67" s="3">
        <f>_xll.xlDateWorkFw(Q$8,_xll.xlDateWorkFw(Q$7,VALUE(_xll.xlDateShiftMonth(VALUE(Q$13),LEFT($C35,LEN($C35)-1))),0),0)</f>
        <v>43031</v>
      </c>
      <c r="R67" s="3">
        <f>_xll.xlDateWorkFw(R$8,_xll.xlDateWorkFw(R$7,VALUE(_xll.xlDateShiftMonth(VALUE(R$13),LEFT($C35,LEN($C35)-1))),0),0)</f>
        <v>43031</v>
      </c>
      <c r="S67" s="3">
        <f>_xll.xlDateWorkFw(S$8,_xll.xlDateWorkFw(S$7,VALUE(_xll.xlDateShiftMonth(VALUE(S$13),LEFT($C35,LEN($C35)-1))),0),0)</f>
        <v>43031</v>
      </c>
      <c r="T67" s="3">
        <f>_xll.xlDateWorkFw(T$8,_xll.xlDateWorkFw(T$7,VALUE(_xll.xlDateShiftMonth(VALUE(T$13),LEFT($C35,LEN($C35)-1))),0),0)</f>
        <v>43033</v>
      </c>
      <c r="U67" s="3">
        <f>_xll.xlDateWorkFw(U$8,_xll.xlDateWorkFw(U$7,VALUE(_xll.xlDateShiftMonth(VALUE(U$13),LEFT($C35,LEN($C35)-1))),0),0)</f>
        <v>43040</v>
      </c>
      <c r="V67" s="3">
        <f>_xll.xlDateWorkFw(V$8,_xll.xlDateWorkFw(V$7,VALUE(_xll.xlDateShiftMonth(VALUE(V$13),LEFT($C35,LEN($C35)-1))),0),0)</f>
        <v>43031</v>
      </c>
      <c r="W67" s="3">
        <f>_xll.xlDateWorkFw(W$8,_xll.xlDateWorkFw(W$7,VALUE(_xll.xlDateShiftMonth(VALUE(W$13),LEFT($C35,LEN($C35)-1))),0),0)</f>
        <v>43031</v>
      </c>
      <c r="X67" s="3">
        <f>_xll.xlDateWorkFw(X$8,_xll.xlDateWorkFw(X$7,VALUE(_xll.xlDateShiftMonth(VALUE(X$13),LEFT($C35,LEN($C35)-1))),0),0)</f>
        <v>43031</v>
      </c>
      <c r="Y67" s="3">
        <f>_xll.xlDateWorkFw(Y$8,_xll.xlDateWorkFw(Y$7,VALUE(_xll.xlDateShiftMonth(VALUE(Y$13),LEFT($C35,LEN($C35)-1))),0),0)</f>
        <v>43031</v>
      </c>
      <c r="Z67" s="3">
        <f>_xll.xlDateWorkFw(Z$8,_xll.xlDateWorkFw(Z$7,VALUE(_xll.xlDateShiftMonth(VALUE(Z$13),LEFT($C35,LEN($C35)-1))),0),0)</f>
        <v>43031</v>
      </c>
      <c r="AA67" s="3">
        <f>_xll.xlDateWorkFw(AA$8,_xll.xlDateWorkFw(AA$7,VALUE(_xll.xlDateShiftMonth(VALUE(AA$13),LEFT($C35,LEN($C35)-1))),0),0)</f>
        <v>43031</v>
      </c>
      <c r="AB67" s="3">
        <f>_xll.xlDateWorkFw(AB$8,_xll.xlDateWorkFw(AB$7,VALUE(_xll.xlDateShiftMonth(VALUE(AB$13),LEFT($C35,LEN($C35)-1))),0),0)</f>
        <v>43031</v>
      </c>
      <c r="AC67" s="3">
        <f>_xll.xlDateWorkFw(AC$8,_xll.xlDateWorkFw(AC$7,VALUE(_xll.xlDateShiftMonth(VALUE(AC$13),LEFT($C35,LEN($C35)-1))),0),0)</f>
        <v>43031</v>
      </c>
      <c r="AD67" s="3">
        <f>_xll.xlDateWorkFw(AD$8,_xll.xlDateWorkFw(AD$7,VALUE(_xll.xlDateShiftMonth(VALUE(AD$13),LEFT($C35,LEN($C35)-1))),0),0)</f>
        <v>43031</v>
      </c>
      <c r="AE67" s="3">
        <f>_xll.xlDateWorkFw(AE$8,_xll.xlDateWorkFw(AE$7,VALUE(_xll.xlDateShiftMonth(VALUE(AE$13),LEFT($C35,LEN($C35)-1))),0),0)</f>
        <v>43031</v>
      </c>
      <c r="AF67" s="3">
        <f>_xll.xlDateWorkFw(AF$8,_xll.xlDateWorkFw(AF$7,VALUE(_xll.xlDateShiftMonth(VALUE(AF$13),LEFT($C35,LEN($C35)-1))),0),0)</f>
        <v>43031</v>
      </c>
      <c r="AG67" s="3">
        <f>_xll.xlDateWorkFw(AG$8,_xll.xlDateWorkFw(AG$7,VALUE(_xll.xlDateShiftMonth(VALUE(AG$13),LEFT($C35,LEN($C35)-1))),0),0)</f>
        <v>43031</v>
      </c>
      <c r="AH67" s="3">
        <f>_xll.xlDateWorkFw(AH$8,_xll.xlDateWorkFw(AH$7,VALUE(_xll.xlDateShiftMonth(VALUE(AH$13),LEFT($C35,LEN($C35)-1))),0),0)</f>
        <v>43031</v>
      </c>
      <c r="AI67" s="3">
        <f>_xll.xlDateWorkFw(AI$8,_xll.xlDateWorkFw(AI$7,VALUE(_xll.xlDateShiftMonth(VALUE(AI$13),LEFT($C35,LEN($C35)-1))),0),0)</f>
        <v>43031</v>
      </c>
      <c r="AJ67" s="3">
        <f>_xll.xlDateWorkFw(AJ$8,_xll.xlDateWorkFw(AJ$7,VALUE(_xll.xlDateShiftMonth(VALUE(AJ$13),LEFT($C35,LEN($C35)-1))),0),0)</f>
        <v>43040</v>
      </c>
      <c r="AK67" s="3">
        <f>_xll.xlDateWorkFw(AK$8,_xll.xlDateWorkFw(AK$7,VALUE(_xll.xlDateShiftMonth(VALUE(AK$13),LEFT($C35,LEN($C35)-1))),0),0)</f>
        <v>43031</v>
      </c>
      <c r="AL67" s="3">
        <f>_xll.xlDateWorkFw(AL$8,_xll.xlDateWorkFw(AL$7,VALUE(_xll.xlDateShiftMonth(VALUE(AL$13),LEFT($C35,LEN($C35)-1))),0),0)</f>
        <v>43031</v>
      </c>
      <c r="AM67" s="3">
        <f>_xll.xlDateWorkFw(AM$8,_xll.xlDateWorkFw(AM$7,VALUE(_xll.xlDateShiftMonth(VALUE(AM$13),LEFT($C35,LEN($C35)-1))),0),0)</f>
        <v>43032</v>
      </c>
      <c r="AN67" s="3">
        <f>_xll.xlDateWorkFw(AN$8,_xll.xlDateWorkFw(AN$7,VALUE(_xll.xlDateShiftMonth(VALUE(AN$13),LEFT($C35,LEN($C35)-1))),0),0)</f>
        <v>43031</v>
      </c>
      <c r="AO67" s="3">
        <f>_xll.xlDateWorkFw(AO$8,_xll.xlDateWorkFw(AO$7,VALUE(_xll.xlDateShiftMonth(VALUE(AO$13),LEFT($C35,LEN($C35)-1))),0),0)</f>
        <v>43031</v>
      </c>
      <c r="AP67" s="3">
        <f>_xll.xlDateWorkFw(AP$8,_xll.xlDateWorkFw(AP$7,VALUE(_xll.xlDateShiftMonth(VALUE(AP$13),LEFT($C35,LEN($C35)-1))),0),0)</f>
        <v>43031</v>
      </c>
    </row>
    <row r="68" spans="3:42" x14ac:dyDescent="0.2">
      <c r="C68" s="1" t="s">
        <v>99</v>
      </c>
      <c r="D68" s="3">
        <f>_xll.xlDateWorkFw("Target",_xll.xlDateWorkFw("Target",VALUE(_xll.xlDateShiftMonth(VALUE(E$13),LEFT($C36,LEN($C36)-1))),0),0)</f>
        <v>43062</v>
      </c>
      <c r="E68" s="3">
        <f>_xll.xlDateWorkFw(E$8,_xll.xlDateWorkFw(E$7,VALUE(_xll.xlDateShiftMonth(VALUE(E$13),LEFT($C36,LEN($C36)-1))),0),0)</f>
        <v>43063</v>
      </c>
      <c r="F68" s="3">
        <f>_xll.xlDateWorkFw(F$8,_xll.xlDateWorkFw(F$7,VALUE(_xll.xlDateShiftMonth(VALUE(F$13),LEFT($C36,LEN($C36)-1))),0),0)</f>
        <v>43063</v>
      </c>
      <c r="G68" s="3">
        <f>_xll.xlDateWorkFw(G$8,_xll.xlDateWorkFw(G$7,VALUE(_xll.xlDateShiftMonth(VALUE(G$13),LEFT($C36,LEN($C36)-1))),0),0)</f>
        <v>43063</v>
      </c>
      <c r="H68" s="3">
        <f>_xll.xlDateWorkFw(H$8,_xll.xlDateWorkFw(H$7,VALUE(_xll.xlDateShiftMonth(VALUE(H$13),LEFT($C36,LEN($C36)-1))),0),0)</f>
        <v>43063</v>
      </c>
      <c r="I68" s="3">
        <f>_xll.xlDateWorkFw(I$8,_xll.xlDateWorkFw(I$7,VALUE(_xll.xlDateShiftMonth(VALUE(I$13),LEFT($C36,LEN($C36)-1))),0),0)</f>
        <v>43059</v>
      </c>
      <c r="J68" s="3">
        <f>_xll.xlDateWorkFw(J$8,_xll.xlDateWorkFw(J$7,VALUE(_xll.xlDateShiftMonth(VALUE(J$13),LEFT($C36,LEN($C36)-1))),0),0)</f>
        <v>43063</v>
      </c>
      <c r="K68" s="3">
        <f>_xll.xlDateWorkFw(K$8,_xll.xlDateWorkFw(K$7,VALUE(_xll.xlDateShiftMonth(VALUE(K$13),LEFT($C36,LEN($C36)-1))),0),0)</f>
        <v>43063</v>
      </c>
      <c r="L68" s="3">
        <f>_xll.xlDateWorkFw(L$8,_xll.xlDateWorkFw(L$7,VALUE(_xll.xlDateShiftMonth(VALUE(L$13),LEFT($C36,LEN($C36)-1))),0),0)</f>
        <v>43063</v>
      </c>
      <c r="M68" s="3">
        <f>_xll.xlDateWorkFw(M$8,_xll.xlDateWorkFw(M$7,VALUE(_xll.xlDateShiftMonth(VALUE(M$13),LEFT($C36,LEN($C36)-1))),0),0)</f>
        <v>43063</v>
      </c>
      <c r="N68" s="3">
        <f>_xll.xlDateWorkFw(N$8,_xll.xlDateWorkFw(N$7,VALUE(_xll.xlDateShiftMonth(VALUE(N$13),LEFT($C36,LEN($C36)-1))),0),0)</f>
        <v>43063</v>
      </c>
      <c r="O68" s="3">
        <f>_xll.xlDateWorkFw(O$8,_xll.xlDateWorkFw(O$7,VALUE(_xll.xlDateShiftMonth(VALUE(O$13),LEFT($C36,LEN($C36)-1))),0),0)</f>
        <v>43063</v>
      </c>
      <c r="P68" s="3">
        <f>_xll.xlDateWorkFw(P$8,_xll.xlDateWorkFw(P$7,VALUE(_xll.xlDateShiftMonth(VALUE(P$13),LEFT($C36,LEN($C36)-1))),0),0)</f>
        <v>43063</v>
      </c>
      <c r="Q68" s="3">
        <f>_xll.xlDateWorkFw(Q$8,_xll.xlDateWorkFw(Q$7,VALUE(_xll.xlDateShiftMonth(VALUE(Q$13),LEFT($C36,LEN($C36)-1))),0),0)</f>
        <v>43063</v>
      </c>
      <c r="R68" s="3">
        <f>_xll.xlDateWorkFw(R$8,_xll.xlDateWorkFw(R$7,VALUE(_xll.xlDateShiftMonth(VALUE(R$13),LEFT($C36,LEN($C36)-1))),0),0)</f>
        <v>43063</v>
      </c>
      <c r="S68" s="3">
        <f>_xll.xlDateWorkFw(S$8,_xll.xlDateWorkFw(S$7,VALUE(_xll.xlDateShiftMonth(VALUE(S$13),LEFT($C36,LEN($C36)-1))),0),0)</f>
        <v>43063</v>
      </c>
      <c r="T68" s="3">
        <f>_xll.xlDateWorkFw(T$8,_xll.xlDateWorkFw(T$7,VALUE(_xll.xlDateShiftMonth(VALUE(T$13),LEFT($C36,LEN($C36)-1))),0),0)</f>
        <v>43066</v>
      </c>
      <c r="U68" s="3">
        <f>_xll.xlDateWorkFw(U$8,_xll.xlDateWorkFw(U$7,VALUE(_xll.xlDateShiftMonth(VALUE(U$13),LEFT($C36,LEN($C36)-1))),0),0)</f>
        <v>43070</v>
      </c>
      <c r="V68" s="3">
        <f>_xll.xlDateWorkFw(V$8,_xll.xlDateWorkFw(V$7,VALUE(_xll.xlDateShiftMonth(VALUE(V$13),LEFT($C36,LEN($C36)-1))),0),0)</f>
        <v>43063</v>
      </c>
      <c r="W68" s="3">
        <f>_xll.xlDateWorkFw(W$8,_xll.xlDateWorkFw(W$7,VALUE(_xll.xlDateShiftMonth(VALUE(W$13),LEFT($C36,LEN($C36)-1))),0),0)</f>
        <v>43063</v>
      </c>
      <c r="X68" s="3">
        <f>_xll.xlDateWorkFw(X$8,_xll.xlDateWorkFw(X$7,VALUE(_xll.xlDateShiftMonth(VALUE(X$13),LEFT($C36,LEN($C36)-1))),0),0)</f>
        <v>43063</v>
      </c>
      <c r="Y68" s="3">
        <f>_xll.xlDateWorkFw(Y$8,_xll.xlDateWorkFw(Y$7,VALUE(_xll.xlDateShiftMonth(VALUE(Y$13),LEFT($C36,LEN($C36)-1))),0),0)</f>
        <v>43063</v>
      </c>
      <c r="Z68" s="3">
        <f>_xll.xlDateWorkFw(Z$8,_xll.xlDateWorkFw(Z$7,VALUE(_xll.xlDateShiftMonth(VALUE(Z$13),LEFT($C36,LEN($C36)-1))),0),0)</f>
        <v>43063</v>
      </c>
      <c r="AA68" s="3">
        <f>_xll.xlDateWorkFw(AA$8,_xll.xlDateWorkFw(AA$7,VALUE(_xll.xlDateShiftMonth(VALUE(AA$13),LEFT($C36,LEN($C36)-1))),0),0)</f>
        <v>43063</v>
      </c>
      <c r="AB68" s="3">
        <f>_xll.xlDateWorkFw(AB$8,_xll.xlDateWorkFw(AB$7,VALUE(_xll.xlDateShiftMonth(VALUE(AB$13),LEFT($C36,LEN($C36)-1))),0),0)</f>
        <v>43063</v>
      </c>
      <c r="AC68" s="3">
        <f>_xll.xlDateWorkFw(AC$8,_xll.xlDateWorkFw(AC$7,VALUE(_xll.xlDateShiftMonth(VALUE(AC$13),LEFT($C36,LEN($C36)-1))),0),0)</f>
        <v>43063</v>
      </c>
      <c r="AD68" s="3">
        <f>_xll.xlDateWorkFw(AD$8,_xll.xlDateWorkFw(AD$7,VALUE(_xll.xlDateShiftMonth(VALUE(AD$13),LEFT($C36,LEN($C36)-1))),0),0)</f>
        <v>43063</v>
      </c>
      <c r="AE68" s="3">
        <f>_xll.xlDateWorkFw(AE$8,_xll.xlDateWorkFw(AE$7,VALUE(_xll.xlDateShiftMonth(VALUE(AE$13),LEFT($C36,LEN($C36)-1))),0),0)</f>
        <v>43063</v>
      </c>
      <c r="AF68" s="3">
        <f>_xll.xlDateWorkFw(AF$8,_xll.xlDateWorkFw(AF$7,VALUE(_xll.xlDateShiftMonth(VALUE(AF$13),LEFT($C36,LEN($C36)-1))),0),0)</f>
        <v>43063</v>
      </c>
      <c r="AG68" s="3">
        <f>_xll.xlDateWorkFw(AG$8,_xll.xlDateWorkFw(AG$7,VALUE(_xll.xlDateShiftMonth(VALUE(AG$13),LEFT($C36,LEN($C36)-1))),0),0)</f>
        <v>43063</v>
      </c>
      <c r="AH68" s="3">
        <f>_xll.xlDateWorkFw(AH$8,_xll.xlDateWorkFw(AH$7,VALUE(_xll.xlDateShiftMonth(VALUE(AH$13),LEFT($C36,LEN($C36)-1))),0),0)</f>
        <v>43063</v>
      </c>
      <c r="AI68" s="3">
        <f>_xll.xlDateWorkFw(AI$8,_xll.xlDateWorkFw(AI$7,VALUE(_xll.xlDateShiftMonth(VALUE(AI$13),LEFT($C36,LEN($C36)-1))),0),0)</f>
        <v>43063</v>
      </c>
      <c r="AJ68" s="3">
        <f>_xll.xlDateWorkFw(AJ$8,_xll.xlDateWorkFw(AJ$7,VALUE(_xll.xlDateShiftMonth(VALUE(AJ$13),LEFT($C36,LEN($C36)-1))),0),0)</f>
        <v>43070</v>
      </c>
      <c r="AK68" s="3">
        <f>_xll.xlDateWorkFw(AK$8,_xll.xlDateWorkFw(AK$7,VALUE(_xll.xlDateShiftMonth(VALUE(AK$13),LEFT($C36,LEN($C36)-1))),0),0)</f>
        <v>43063</v>
      </c>
      <c r="AL68" s="3">
        <f>_xll.xlDateWorkFw(AL$8,_xll.xlDateWorkFw(AL$7,VALUE(_xll.xlDateShiftMonth(VALUE(AL$13),LEFT($C36,LEN($C36)-1))),0),0)</f>
        <v>43063</v>
      </c>
      <c r="AM68" s="3">
        <f>_xll.xlDateWorkFw(AM$8,_xll.xlDateWorkFw(AM$7,VALUE(_xll.xlDateShiftMonth(VALUE(AM$13),LEFT($C36,LEN($C36)-1))),0),0)</f>
        <v>43066</v>
      </c>
      <c r="AN68" s="3">
        <f>_xll.xlDateWorkFw(AN$8,_xll.xlDateWorkFw(AN$7,VALUE(_xll.xlDateShiftMonth(VALUE(AN$13),LEFT($C36,LEN($C36)-1))),0),0)</f>
        <v>43063</v>
      </c>
      <c r="AO68" s="3">
        <f>_xll.xlDateWorkFw(AO$8,_xll.xlDateWorkFw(AO$7,VALUE(_xll.xlDateShiftMonth(VALUE(AO$13),LEFT($C36,LEN($C36)-1))),0),0)</f>
        <v>43063</v>
      </c>
      <c r="AP68" s="3">
        <f>_xll.xlDateWorkFw(AP$8,_xll.xlDateWorkFw(AP$7,VALUE(_xll.xlDateShiftMonth(VALUE(AP$13),LEFT($C36,LEN($C36)-1))),0),0)</f>
        <v>43063</v>
      </c>
    </row>
    <row r="69" spans="3:42" x14ac:dyDescent="0.2">
      <c r="C69" s="1" t="s">
        <v>101</v>
      </c>
      <c r="D69" s="3">
        <f>_xll.xlDateWorkFw("Target",_xll.xlDateWorkFw("Target",VALUE(_xll.xlDateShiftMonth(VALUE(E$13),LEFT($C37,LEN($C37)-1))),0),0)</f>
        <v>43096</v>
      </c>
      <c r="E69" s="3">
        <f>_xll.xlDateWorkFw(E$8,_xll.xlDateWorkFw(E$7,VALUE(_xll.xlDateShiftMonth(VALUE(E$13),LEFT($C37,LEN($C37)-1))),0),0)</f>
        <v>43096</v>
      </c>
      <c r="F69" s="3">
        <f>_xll.xlDateWorkFw(F$8,_xll.xlDateWorkFw(F$7,VALUE(_xll.xlDateShiftMonth(VALUE(F$13),LEFT($C37,LEN($C37)-1))),0),0)</f>
        <v>43096</v>
      </c>
      <c r="G69" s="3">
        <f>_xll.xlDateWorkFw(G$8,_xll.xlDateWorkFw(G$7,VALUE(_xll.xlDateShiftMonth(VALUE(G$13),LEFT($C37,LEN($C37)-1))),0),0)</f>
        <v>43096</v>
      </c>
      <c r="H69" s="3">
        <f>_xll.xlDateWorkFw(H$8,_xll.xlDateWorkFw(H$7,VALUE(_xll.xlDateShiftMonth(VALUE(H$13),LEFT($C37,LEN($C37)-1))),0),0)</f>
        <v>43095</v>
      </c>
      <c r="I69" s="3">
        <f>_xll.xlDateWorkFw(I$8,_xll.xlDateWorkFw(I$7,VALUE(_xll.xlDateShiftMonth(VALUE(I$13),LEFT($C37,LEN($C37)-1))),0),0)</f>
        <v>43089</v>
      </c>
      <c r="J69" s="3">
        <f>_xll.xlDateWorkFw(J$8,_xll.xlDateWorkFw(J$7,VALUE(_xll.xlDateShiftMonth(VALUE(J$13),LEFT($C37,LEN($C37)-1))),0),0)</f>
        <v>43096</v>
      </c>
      <c r="K69" s="3">
        <f>_xll.xlDateWorkFw(K$8,_xll.xlDateWorkFw(K$7,VALUE(_xll.xlDateShiftMonth(VALUE(K$13),LEFT($C37,LEN($C37)-1))),0),0)</f>
        <v>43096</v>
      </c>
      <c r="L69" s="3">
        <f>_xll.xlDateWorkFw(L$8,_xll.xlDateWorkFw(L$7,VALUE(_xll.xlDateShiftMonth(VALUE(L$13),LEFT($C37,LEN($C37)-1))),0),0)</f>
        <v>43096</v>
      </c>
      <c r="M69" s="3">
        <f>_xll.xlDateWorkFw(M$8,_xll.xlDateWorkFw(M$7,VALUE(_xll.xlDateShiftMonth(VALUE(M$13),LEFT($C37,LEN($C37)-1))),0),0)</f>
        <v>43096</v>
      </c>
      <c r="N69" s="3">
        <f>_xll.xlDateWorkFw(N$8,_xll.xlDateWorkFw(N$7,VALUE(_xll.xlDateShiftMonth(VALUE(N$13),LEFT($C37,LEN($C37)-1))),0),0)</f>
        <v>43096</v>
      </c>
      <c r="O69" s="3">
        <f>_xll.xlDateWorkFw(O$8,_xll.xlDateWorkFw(O$7,VALUE(_xll.xlDateShiftMonth(VALUE(O$13),LEFT($C37,LEN($C37)-1))),0),0)</f>
        <v>43096</v>
      </c>
      <c r="P69" s="3">
        <f>_xll.xlDateWorkFw(P$8,_xll.xlDateWorkFw(P$7,VALUE(_xll.xlDateShiftMonth(VALUE(P$13),LEFT($C37,LEN($C37)-1))),0),0)</f>
        <v>43096</v>
      </c>
      <c r="Q69" s="3">
        <f>_xll.xlDateWorkFw(Q$8,_xll.xlDateWorkFw(Q$7,VALUE(_xll.xlDateShiftMonth(VALUE(Q$13),LEFT($C37,LEN($C37)-1))),0),0)</f>
        <v>43096</v>
      </c>
      <c r="R69" s="3">
        <f>_xll.xlDateWorkFw(R$8,_xll.xlDateWorkFw(R$7,VALUE(_xll.xlDateShiftMonth(VALUE(R$13),LEFT($C37,LEN($C37)-1))),0),0)</f>
        <v>43096</v>
      </c>
      <c r="S69" s="3">
        <f>_xll.xlDateWorkFw(S$8,_xll.xlDateWorkFw(S$7,VALUE(_xll.xlDateShiftMonth(VALUE(S$13),LEFT($C37,LEN($C37)-1))),0),0)</f>
        <v>43095</v>
      </c>
      <c r="T69" s="3">
        <f>_xll.xlDateWorkFw(T$8,_xll.xlDateWorkFw(T$7,VALUE(_xll.xlDateShiftMonth(VALUE(T$13),LEFT($C37,LEN($C37)-1))),0),0)</f>
        <v>43095</v>
      </c>
      <c r="U69" s="3">
        <f>_xll.xlDateWorkFw(U$8,_xll.xlDateWorkFw(U$7,VALUE(_xll.xlDateShiftMonth(VALUE(U$13),LEFT($C37,LEN($C37)-1))),0),0)</f>
        <v>43104</v>
      </c>
      <c r="V69" s="3">
        <f>_xll.xlDateWorkFw(V$8,_xll.xlDateWorkFw(V$7,VALUE(_xll.xlDateShiftMonth(VALUE(V$13),LEFT($C37,LEN($C37)-1))),0),0)</f>
        <v>43095</v>
      </c>
      <c r="W69" s="3">
        <f>_xll.xlDateWorkFw(W$8,_xll.xlDateWorkFw(W$7,VALUE(_xll.xlDateShiftMonth(VALUE(W$13),LEFT($C37,LEN($C37)-1))),0),0)</f>
        <v>43095</v>
      </c>
      <c r="X69" s="3">
        <f>_xll.xlDateWorkFw(X$8,_xll.xlDateWorkFw(X$7,VALUE(_xll.xlDateShiftMonth(VALUE(X$13),LEFT($C37,LEN($C37)-1))),0),0)</f>
        <v>43095</v>
      </c>
      <c r="Y69" s="3">
        <f>_xll.xlDateWorkFw(Y$8,_xll.xlDateWorkFw(Y$7,VALUE(_xll.xlDateShiftMonth(VALUE(Y$13),LEFT($C37,LEN($C37)-1))),0),0)</f>
        <v>43095</v>
      </c>
      <c r="Z69" s="3">
        <f>_xll.xlDateWorkFw(Z$8,_xll.xlDateWorkFw(Z$7,VALUE(_xll.xlDateShiftMonth(VALUE(Z$13),LEFT($C37,LEN($C37)-1))),0),0)</f>
        <v>43096</v>
      </c>
      <c r="AA69" s="3">
        <f>_xll.xlDateWorkFw(AA$8,_xll.xlDateWorkFw(AA$7,VALUE(_xll.xlDateShiftMonth(VALUE(AA$13),LEFT($C37,LEN($C37)-1))),0),0)</f>
        <v>43095</v>
      </c>
      <c r="AB69" s="3">
        <f>_xll.xlDateWorkFw(AB$8,_xll.xlDateWorkFw(AB$7,VALUE(_xll.xlDateShiftMonth(VALUE(AB$13),LEFT($C37,LEN($C37)-1))),0),0)</f>
        <v>43095</v>
      </c>
      <c r="AC69" s="3">
        <f>_xll.xlDateWorkFw(AC$8,_xll.xlDateWorkFw(AC$7,VALUE(_xll.xlDateShiftMonth(VALUE(AC$13),LEFT($C37,LEN($C37)-1))),0),0)</f>
        <v>43095</v>
      </c>
      <c r="AD69" s="3">
        <f>_xll.xlDateWorkFw(AD$8,_xll.xlDateWorkFw(AD$7,VALUE(_xll.xlDateShiftMonth(VALUE(AD$13),LEFT($C37,LEN($C37)-1))),0),0)</f>
        <v>43095</v>
      </c>
      <c r="AE69" s="3">
        <f>_xll.xlDateWorkFw(AE$8,_xll.xlDateWorkFw(AE$7,VALUE(_xll.xlDateShiftMonth(VALUE(AE$13),LEFT($C37,LEN($C37)-1))),0),0)</f>
        <v>43095</v>
      </c>
      <c r="AF69" s="3">
        <f>_xll.xlDateWorkFw(AF$8,_xll.xlDateWorkFw(AF$7,VALUE(_xll.xlDateShiftMonth(VALUE(AF$13),LEFT($C37,LEN($C37)-1))),0),0)</f>
        <v>43095</v>
      </c>
      <c r="AG69" s="3">
        <f>_xll.xlDateWorkFw(AG$8,_xll.xlDateWorkFw(AG$7,VALUE(_xll.xlDateShiftMonth(VALUE(AG$13),LEFT($C37,LEN($C37)-1))),0),0)</f>
        <v>43096</v>
      </c>
      <c r="AH69" s="3">
        <f>_xll.xlDateWorkFw(AH$8,_xll.xlDateWorkFw(AH$7,VALUE(_xll.xlDateShiftMonth(VALUE(AH$13),LEFT($C37,LEN($C37)-1))),0),0)</f>
        <v>43095</v>
      </c>
      <c r="AI69" s="3">
        <f>_xll.xlDateWorkFw(AI$8,_xll.xlDateWorkFw(AI$7,VALUE(_xll.xlDateShiftMonth(VALUE(AI$13),LEFT($C37,LEN($C37)-1))),0),0)</f>
        <v>43095</v>
      </c>
      <c r="AJ69" s="3">
        <f>_xll.xlDateWorkFw(AJ$8,_xll.xlDateWorkFw(AJ$7,VALUE(_xll.xlDateShiftMonth(VALUE(AJ$13),LEFT($C37,LEN($C37)-1))),0),0)</f>
        <v>43104</v>
      </c>
      <c r="AK69" s="3">
        <f>_xll.xlDateWorkFw(AK$8,_xll.xlDateWorkFw(AK$7,VALUE(_xll.xlDateShiftMonth(VALUE(AK$13),LEFT($C37,LEN($C37)-1))),0),0)</f>
        <v>43095</v>
      </c>
      <c r="AL69" s="3">
        <f>_xll.xlDateWorkFw(AL$8,_xll.xlDateWorkFw(AL$7,VALUE(_xll.xlDateShiftMonth(VALUE(AL$13),LEFT($C37,LEN($C37)-1))),0),0)</f>
        <v>43095</v>
      </c>
      <c r="AM69" s="3">
        <f>_xll.xlDateWorkFw(AM$8,_xll.xlDateWorkFw(AM$7,VALUE(_xll.xlDateShiftMonth(VALUE(AM$13),LEFT($C37,LEN($C37)-1))),0),0)</f>
        <v>43095</v>
      </c>
      <c r="AN69" s="3">
        <f>_xll.xlDateWorkFw(AN$8,_xll.xlDateWorkFw(AN$7,VALUE(_xll.xlDateShiftMonth(VALUE(AN$13),LEFT($C37,LEN($C37)-1))),0),0)</f>
        <v>43095</v>
      </c>
      <c r="AO69" s="3">
        <f>_xll.xlDateWorkFw(AO$8,_xll.xlDateWorkFw(AO$7,VALUE(_xll.xlDateShiftMonth(VALUE(AO$13),LEFT($C37,LEN($C37)-1))),0),0)</f>
        <v>43095</v>
      </c>
      <c r="AP69" s="3">
        <f>_xll.xlDateWorkFw(AP$8,_xll.xlDateWorkFw(AP$7,VALUE(_xll.xlDateShiftMonth(VALUE(AP$13),LEFT($C37,LEN($C37)-1))),0),0)</f>
        <v>43095</v>
      </c>
    </row>
    <row r="70" spans="3:42" x14ac:dyDescent="0.2">
      <c r="C70" s="1" t="s">
        <v>138</v>
      </c>
      <c r="D70" s="3">
        <f>_xll.xlDateWorkFw("Target",_xll.xlDateWorkFw("Target",VALUE(_xll.xlDateShiftMonth(VALUE(E$13),LEFT($C38,LEN($C38)-1))),0),0)</f>
        <v>43123</v>
      </c>
      <c r="E70" s="3">
        <f>_xll.xlDateWorkFw(E$8,_xll.xlDateWorkFw(E$7,VALUE(_xll.xlDateShiftMonth(VALUE(E$13),LEFT($C38,LEN($C38)-1))),0),0)</f>
        <v>43123</v>
      </c>
      <c r="F70" s="3">
        <f>_xll.xlDateWorkFw(F$8,_xll.xlDateWorkFw(F$7,VALUE(_xll.xlDateShiftMonth(VALUE(F$13),LEFT($C38,LEN($C38)-1))),0),0)</f>
        <v>43123</v>
      </c>
      <c r="G70" s="3">
        <f>_xll.xlDateWorkFw(G$8,_xll.xlDateWorkFw(G$7,VALUE(_xll.xlDateShiftMonth(VALUE(G$13),LEFT($C38,LEN($C38)-1))),0),0)</f>
        <v>43123</v>
      </c>
      <c r="H70" s="3">
        <f>_xll.xlDateWorkFw(H$8,_xll.xlDateWorkFw(H$7,VALUE(_xll.xlDateShiftMonth(VALUE(H$13),LEFT($C38,LEN($C38)-1))),0),0)</f>
        <v>43123</v>
      </c>
      <c r="I70" s="3">
        <f>_xll.xlDateWorkFw(I$8,_xll.xlDateWorkFw(I$7,VALUE(_xll.xlDateShiftMonth(VALUE(I$13),LEFT($C38,LEN($C38)-1))),0),0)</f>
        <v>43122</v>
      </c>
      <c r="J70" s="3">
        <f>_xll.xlDateWorkFw(J$8,_xll.xlDateWorkFw(J$7,VALUE(_xll.xlDateShiftMonth(VALUE(J$13),LEFT($C38,LEN($C38)-1))),0),0)</f>
        <v>43123</v>
      </c>
      <c r="K70" s="3">
        <f>_xll.xlDateWorkFw(K$8,_xll.xlDateWorkFw(K$7,VALUE(_xll.xlDateShiftMonth(VALUE(K$13),LEFT($C38,LEN($C38)-1))),0),0)</f>
        <v>43123</v>
      </c>
      <c r="L70" s="3">
        <f>_xll.xlDateWorkFw(L$8,_xll.xlDateWorkFw(L$7,VALUE(_xll.xlDateShiftMonth(VALUE(L$13),LEFT($C38,LEN($C38)-1))),0),0)</f>
        <v>43123</v>
      </c>
      <c r="M70" s="3">
        <f>_xll.xlDateWorkFw(M$8,_xll.xlDateWorkFw(M$7,VALUE(_xll.xlDateShiftMonth(VALUE(M$13),LEFT($C38,LEN($C38)-1))),0),0)</f>
        <v>43123</v>
      </c>
      <c r="N70" s="3">
        <f>_xll.xlDateWorkFw(N$8,_xll.xlDateWorkFw(N$7,VALUE(_xll.xlDateShiftMonth(VALUE(N$13),LEFT($C38,LEN($C38)-1))),0),0)</f>
        <v>43123</v>
      </c>
      <c r="O70" s="3">
        <f>_xll.xlDateWorkFw(O$8,_xll.xlDateWorkFw(O$7,VALUE(_xll.xlDateShiftMonth(VALUE(O$13),LEFT($C38,LEN($C38)-1))),0),0)</f>
        <v>43123</v>
      </c>
      <c r="P70" s="3">
        <f>_xll.xlDateWorkFw(P$8,_xll.xlDateWorkFw(P$7,VALUE(_xll.xlDateShiftMonth(VALUE(P$13),LEFT($C38,LEN($C38)-1))),0),0)</f>
        <v>43123</v>
      </c>
      <c r="Q70" s="3">
        <f>_xll.xlDateWorkFw(Q$8,_xll.xlDateWorkFw(Q$7,VALUE(_xll.xlDateShiftMonth(VALUE(Q$13),LEFT($C38,LEN($C38)-1))),0),0)</f>
        <v>43123</v>
      </c>
      <c r="R70" s="3">
        <f>_xll.xlDateWorkFw(R$8,_xll.xlDateWorkFw(R$7,VALUE(_xll.xlDateShiftMonth(VALUE(R$13),LEFT($C38,LEN($C38)-1))),0),0)</f>
        <v>43123</v>
      </c>
      <c r="S70" s="3">
        <f>_xll.xlDateWorkFw(S$8,_xll.xlDateWorkFw(S$7,VALUE(_xll.xlDateShiftMonth(VALUE(S$13),LEFT($C38,LEN($C38)-1))),0),0)</f>
        <v>43123</v>
      </c>
      <c r="T70" s="3">
        <f>_xll.xlDateWorkFw(T$8,_xll.xlDateWorkFw(T$7,VALUE(_xll.xlDateShiftMonth(VALUE(T$13),LEFT($C38,LEN($C38)-1))),0),0)</f>
        <v>43125</v>
      </c>
      <c r="U70" s="3">
        <f>_xll.xlDateWorkFw(U$8,_xll.xlDateWorkFw(U$7,VALUE(_xll.xlDateShiftMonth(VALUE(U$13),LEFT($C38,LEN($C38)-1))),0),0)</f>
        <v>43132</v>
      </c>
      <c r="V70" s="3">
        <f>_xll.xlDateWorkFw(V$8,_xll.xlDateWorkFw(V$7,VALUE(_xll.xlDateShiftMonth(VALUE(V$13),LEFT($C38,LEN($C38)-1))),0),0)</f>
        <v>43123</v>
      </c>
      <c r="W70" s="3">
        <f>_xll.xlDateWorkFw(W$8,_xll.xlDateWorkFw(W$7,VALUE(_xll.xlDateShiftMonth(VALUE(W$13),LEFT($C38,LEN($C38)-1))),0),0)</f>
        <v>43123</v>
      </c>
      <c r="X70" s="3">
        <f>_xll.xlDateWorkFw(X$8,_xll.xlDateWorkFw(X$7,VALUE(_xll.xlDateShiftMonth(VALUE(X$13),LEFT($C38,LEN($C38)-1))),0),0)</f>
        <v>43123</v>
      </c>
      <c r="Y70" s="3">
        <f>_xll.xlDateWorkFw(Y$8,_xll.xlDateWorkFw(Y$7,VALUE(_xll.xlDateShiftMonth(VALUE(Y$13),LEFT($C38,LEN($C38)-1))),0),0)</f>
        <v>43123</v>
      </c>
      <c r="Z70" s="3">
        <f>_xll.xlDateWorkFw(Z$8,_xll.xlDateWorkFw(Z$7,VALUE(_xll.xlDateShiftMonth(VALUE(Z$13),LEFT($C38,LEN($C38)-1))),0),0)</f>
        <v>43123</v>
      </c>
      <c r="AA70" s="3">
        <f>_xll.xlDateWorkFw(AA$8,_xll.xlDateWorkFw(AA$7,VALUE(_xll.xlDateShiftMonth(VALUE(AA$13),LEFT($C38,LEN($C38)-1))),0),0)</f>
        <v>43123</v>
      </c>
      <c r="AB70" s="3">
        <f>_xll.xlDateWorkFw(AB$8,_xll.xlDateWorkFw(AB$7,VALUE(_xll.xlDateShiftMonth(VALUE(AB$13),LEFT($C38,LEN($C38)-1))),0),0)</f>
        <v>43123</v>
      </c>
      <c r="AC70" s="3">
        <f>_xll.xlDateWorkFw(AC$8,_xll.xlDateWorkFw(AC$7,VALUE(_xll.xlDateShiftMonth(VALUE(AC$13),LEFT($C38,LEN($C38)-1))),0),0)</f>
        <v>43123</v>
      </c>
      <c r="AD70" s="3">
        <f>_xll.xlDateWorkFw(AD$8,_xll.xlDateWorkFw(AD$7,VALUE(_xll.xlDateShiftMonth(VALUE(AD$13),LEFT($C38,LEN($C38)-1))),0),0)</f>
        <v>43123</v>
      </c>
      <c r="AE70" s="3">
        <f>_xll.xlDateWorkFw(AE$8,_xll.xlDateWorkFw(AE$7,VALUE(_xll.xlDateShiftMonth(VALUE(AE$13),LEFT($C38,LEN($C38)-1))),0),0)</f>
        <v>43123</v>
      </c>
      <c r="AF70" s="3">
        <f>_xll.xlDateWorkFw(AF$8,_xll.xlDateWorkFw(AF$7,VALUE(_xll.xlDateShiftMonth(VALUE(AF$13),LEFT($C38,LEN($C38)-1))),0),0)</f>
        <v>43123</v>
      </c>
      <c r="AG70" s="3">
        <f>_xll.xlDateWorkFw(AG$8,_xll.xlDateWorkFw(AG$7,VALUE(_xll.xlDateShiftMonth(VALUE(AG$13),LEFT($C38,LEN($C38)-1))),0),0)</f>
        <v>43123</v>
      </c>
      <c r="AH70" s="3">
        <f>_xll.xlDateWorkFw(AH$8,_xll.xlDateWorkFw(AH$7,VALUE(_xll.xlDateShiftMonth(VALUE(AH$13),LEFT($C38,LEN($C38)-1))),0),0)</f>
        <v>43123</v>
      </c>
      <c r="AI70" s="3">
        <f>_xll.xlDateWorkFw(AI$8,_xll.xlDateWorkFw(AI$7,VALUE(_xll.xlDateShiftMonth(VALUE(AI$13),LEFT($C38,LEN($C38)-1))),0),0)</f>
        <v>43123</v>
      </c>
      <c r="AJ70" s="3">
        <f>_xll.xlDateWorkFw(AJ$8,_xll.xlDateWorkFw(AJ$7,VALUE(_xll.xlDateShiftMonth(VALUE(AJ$13),LEFT($C38,LEN($C38)-1))),0),0)</f>
        <v>43132</v>
      </c>
      <c r="AK70" s="3">
        <f>_xll.xlDateWorkFw(AK$8,_xll.xlDateWorkFw(AK$7,VALUE(_xll.xlDateShiftMonth(VALUE(AK$13),LEFT($C38,LEN($C38)-1))),0),0)</f>
        <v>43123</v>
      </c>
      <c r="AL70" s="3">
        <f>_xll.xlDateWorkFw(AL$8,_xll.xlDateWorkFw(AL$7,VALUE(_xll.xlDateShiftMonth(VALUE(AL$13),LEFT($C38,LEN($C38)-1))),0),0)</f>
        <v>43123</v>
      </c>
      <c r="AM70" s="3">
        <f>_xll.xlDateWorkFw(AM$8,_xll.xlDateWorkFw(AM$7,VALUE(_xll.xlDateShiftMonth(VALUE(AM$13),LEFT($C38,LEN($C38)-1))),0),0)</f>
        <v>43124</v>
      </c>
      <c r="AN70" s="3">
        <f>_xll.xlDateWorkFw(AN$8,_xll.xlDateWorkFw(AN$7,VALUE(_xll.xlDateShiftMonth(VALUE(AN$13),LEFT($C38,LEN($C38)-1))),0),0)</f>
        <v>43123</v>
      </c>
      <c r="AO70" s="3">
        <f>_xll.xlDateWorkFw(AO$8,_xll.xlDateWorkFw(AO$7,VALUE(_xll.xlDateShiftMonth(VALUE(AO$13),LEFT($C38,LEN($C38)-1))),0),0)</f>
        <v>43123</v>
      </c>
      <c r="AP70" s="3">
        <f>_xll.xlDateWorkFw(AP$8,_xll.xlDateWorkFw(AP$7,VALUE(_xll.xlDateShiftMonth(VALUE(AP$13),LEFT($C38,LEN($C38)-1))),0),0)</f>
        <v>43123</v>
      </c>
    </row>
    <row r="71" spans="3:42" x14ac:dyDescent="0.2">
      <c r="C71" s="1" t="s">
        <v>122</v>
      </c>
      <c r="D71" s="3">
        <f>_xll.xlDateWorkFw("Target",_xll.xlDateWorkFw("Target",VALUE(_xll.xlDateShiftMonth(VALUE(E$13),LEFT($C39,LEN($C39)-1))),0),0)</f>
        <v>43213</v>
      </c>
      <c r="E71" s="3">
        <f>_xll.xlDateWorkFw(E$8,_xll.xlDateWorkFw(E$7,VALUE(_xll.xlDateShiftMonth(VALUE(E$13),LEFT($C39,LEN($C39)-1))),0),0)</f>
        <v>43213</v>
      </c>
      <c r="F71" s="3">
        <f>_xll.xlDateWorkFw(F$8,_xll.xlDateWorkFw(F$7,VALUE(_xll.xlDateShiftMonth(VALUE(F$13),LEFT($C39,LEN($C39)-1))),0),0)</f>
        <v>43213</v>
      </c>
      <c r="G71" s="3">
        <f>_xll.xlDateWorkFw(G$8,_xll.xlDateWorkFw(G$7,VALUE(_xll.xlDateShiftMonth(VALUE(G$13),LEFT($C39,LEN($C39)-1))),0),0)</f>
        <v>43213</v>
      </c>
      <c r="H71" s="3">
        <f>_xll.xlDateWorkFw(H$8,_xll.xlDateWorkFw(H$7,VALUE(_xll.xlDateShiftMonth(VALUE(H$13),LEFT($C39,LEN($C39)-1))),0),0)</f>
        <v>43213</v>
      </c>
      <c r="I71" s="3">
        <f>_xll.xlDateWorkFw(I$8,_xll.xlDateWorkFw(I$7,VALUE(_xll.xlDateShiftMonth(VALUE(I$13),LEFT($C39,LEN($C39)-1))),0),0)</f>
        <v>43210</v>
      </c>
      <c r="J71" s="3">
        <f>_xll.xlDateWorkFw(J$8,_xll.xlDateWorkFw(J$7,VALUE(_xll.xlDateShiftMonth(VALUE(J$13),LEFT($C39,LEN($C39)-1))),0),0)</f>
        <v>43213</v>
      </c>
      <c r="K71" s="3">
        <f>_xll.xlDateWorkFw(K$8,_xll.xlDateWorkFw(K$7,VALUE(_xll.xlDateShiftMonth(VALUE(K$13),LEFT($C39,LEN($C39)-1))),0),0)</f>
        <v>43213</v>
      </c>
      <c r="L71" s="3">
        <f>_xll.xlDateWorkFw(L$8,_xll.xlDateWorkFw(L$7,VALUE(_xll.xlDateShiftMonth(VALUE(L$13),LEFT($C39,LEN($C39)-1))),0),0)</f>
        <v>43213</v>
      </c>
      <c r="M71" s="3">
        <f>_xll.xlDateWorkFw(M$8,_xll.xlDateWorkFw(M$7,VALUE(_xll.xlDateShiftMonth(VALUE(M$13),LEFT($C39,LEN($C39)-1))),0),0)</f>
        <v>43213</v>
      </c>
      <c r="N71" s="3">
        <f>_xll.xlDateWorkFw(N$8,_xll.xlDateWorkFw(N$7,VALUE(_xll.xlDateShiftMonth(VALUE(N$13),LEFT($C39,LEN($C39)-1))),0),0)</f>
        <v>43213</v>
      </c>
      <c r="O71" s="3">
        <f>_xll.xlDateWorkFw(O$8,_xll.xlDateWorkFw(O$7,VALUE(_xll.xlDateShiftMonth(VALUE(O$13),LEFT($C39,LEN($C39)-1))),0),0)</f>
        <v>43213</v>
      </c>
      <c r="P71" s="3">
        <f>_xll.xlDateWorkFw(P$8,_xll.xlDateWorkFw(P$7,VALUE(_xll.xlDateShiftMonth(VALUE(P$13),LEFT($C39,LEN($C39)-1))),0),0)</f>
        <v>43213</v>
      </c>
      <c r="Q71" s="3">
        <f>_xll.xlDateWorkFw(Q$8,_xll.xlDateWorkFw(Q$7,VALUE(_xll.xlDateShiftMonth(VALUE(Q$13),LEFT($C39,LEN($C39)-1))),0),0)</f>
        <v>43213</v>
      </c>
      <c r="R71" s="3">
        <f>_xll.xlDateWorkFw(R$8,_xll.xlDateWorkFw(R$7,VALUE(_xll.xlDateShiftMonth(VALUE(R$13),LEFT($C39,LEN($C39)-1))),0),0)</f>
        <v>43213</v>
      </c>
      <c r="S71" s="3">
        <f>_xll.xlDateWorkFw(S$8,_xll.xlDateWorkFw(S$7,VALUE(_xll.xlDateShiftMonth(VALUE(S$13),LEFT($C39,LEN($C39)-1))),0),0)</f>
        <v>43213</v>
      </c>
      <c r="T71" s="3">
        <f>_xll.xlDateWorkFw(T$8,_xll.xlDateWorkFw(T$7,VALUE(_xll.xlDateShiftMonth(VALUE(T$13),LEFT($C39,LEN($C39)-1))),0),0)</f>
        <v>43215</v>
      </c>
      <c r="U71" s="3">
        <f>_xll.xlDateWorkFw(U$8,_xll.xlDateWorkFw(U$7,VALUE(_xll.xlDateShiftMonth(VALUE(U$13),LEFT($C39,LEN($C39)-1))),0),0)</f>
        <v>43222</v>
      </c>
      <c r="V71" s="3">
        <f>_xll.xlDateWorkFw(V$8,_xll.xlDateWorkFw(V$7,VALUE(_xll.xlDateShiftMonth(VALUE(V$13),LEFT($C39,LEN($C39)-1))),0),0)</f>
        <v>43213</v>
      </c>
      <c r="W71" s="3">
        <f>_xll.xlDateWorkFw(W$8,_xll.xlDateWorkFw(W$7,VALUE(_xll.xlDateShiftMonth(VALUE(W$13),LEFT($C39,LEN($C39)-1))),0),0)</f>
        <v>43213</v>
      </c>
      <c r="X71" s="3">
        <f>_xll.xlDateWorkFw(X$8,_xll.xlDateWorkFw(X$7,VALUE(_xll.xlDateShiftMonth(VALUE(X$13),LEFT($C39,LEN($C39)-1))),0),0)</f>
        <v>43213</v>
      </c>
      <c r="Y71" s="3">
        <f>_xll.xlDateWorkFw(Y$8,_xll.xlDateWorkFw(Y$7,VALUE(_xll.xlDateShiftMonth(VALUE(Y$13),LEFT($C39,LEN($C39)-1))),0),0)</f>
        <v>43213</v>
      </c>
      <c r="Z71" s="3">
        <f>_xll.xlDateWorkFw(Z$8,_xll.xlDateWorkFw(Z$7,VALUE(_xll.xlDateShiftMonth(VALUE(Z$13),LEFT($C39,LEN($C39)-1))),0),0)</f>
        <v>43213</v>
      </c>
      <c r="AA71" s="3">
        <f>_xll.xlDateWorkFw(AA$8,_xll.xlDateWorkFw(AA$7,VALUE(_xll.xlDateShiftMonth(VALUE(AA$13),LEFT($C39,LEN($C39)-1))),0),0)</f>
        <v>43213</v>
      </c>
      <c r="AB71" s="3">
        <f>_xll.xlDateWorkFw(AB$8,_xll.xlDateWorkFw(AB$7,VALUE(_xll.xlDateShiftMonth(VALUE(AB$13),LEFT($C39,LEN($C39)-1))),0),0)</f>
        <v>43213</v>
      </c>
      <c r="AC71" s="3">
        <f>_xll.xlDateWorkFw(AC$8,_xll.xlDateWorkFw(AC$7,VALUE(_xll.xlDateShiftMonth(VALUE(AC$13),LEFT($C39,LEN($C39)-1))),0),0)</f>
        <v>43213</v>
      </c>
      <c r="AD71" s="3">
        <f>_xll.xlDateWorkFw(AD$8,_xll.xlDateWorkFw(AD$7,VALUE(_xll.xlDateShiftMonth(VALUE(AD$13),LEFT($C39,LEN($C39)-1))),0),0)</f>
        <v>43213</v>
      </c>
      <c r="AE71" s="3">
        <f>_xll.xlDateWorkFw(AE$8,_xll.xlDateWorkFw(AE$7,VALUE(_xll.xlDateShiftMonth(VALUE(AE$13),LEFT($C39,LEN($C39)-1))),0),0)</f>
        <v>43213</v>
      </c>
      <c r="AF71" s="3">
        <f>_xll.xlDateWorkFw(AF$8,_xll.xlDateWorkFw(AF$7,VALUE(_xll.xlDateShiftMonth(VALUE(AF$13),LEFT($C39,LEN($C39)-1))),0),0)</f>
        <v>43213</v>
      </c>
      <c r="AG71" s="3">
        <f>_xll.xlDateWorkFw(AG$8,_xll.xlDateWorkFw(AG$7,VALUE(_xll.xlDateShiftMonth(VALUE(AG$13),LEFT($C39,LEN($C39)-1))),0),0)</f>
        <v>43213</v>
      </c>
      <c r="AH71" s="3">
        <f>_xll.xlDateWorkFw(AH$8,_xll.xlDateWorkFw(AH$7,VALUE(_xll.xlDateShiftMonth(VALUE(AH$13),LEFT($C39,LEN($C39)-1))),0),0)</f>
        <v>43213</v>
      </c>
      <c r="AI71" s="3">
        <f>_xll.xlDateWorkFw(AI$8,_xll.xlDateWorkFw(AI$7,VALUE(_xll.xlDateShiftMonth(VALUE(AI$13),LEFT($C39,LEN($C39)-1))),0),0)</f>
        <v>43213</v>
      </c>
      <c r="AJ71" s="3">
        <f>_xll.xlDateWorkFw(AJ$8,_xll.xlDateWorkFw(AJ$7,VALUE(_xll.xlDateShiftMonth(VALUE(AJ$13),LEFT($C39,LEN($C39)-1))),0),0)</f>
        <v>43222</v>
      </c>
      <c r="AK71" s="3">
        <f>_xll.xlDateWorkFw(AK$8,_xll.xlDateWorkFw(AK$7,VALUE(_xll.xlDateShiftMonth(VALUE(AK$13),LEFT($C39,LEN($C39)-1))),0),0)</f>
        <v>43213</v>
      </c>
      <c r="AL71" s="3">
        <f>_xll.xlDateWorkFw(AL$8,_xll.xlDateWorkFw(AL$7,VALUE(_xll.xlDateShiftMonth(VALUE(AL$13),LEFT($C39,LEN($C39)-1))),0),0)</f>
        <v>43213</v>
      </c>
      <c r="AM71" s="3">
        <f>_xll.xlDateWorkFw(AM$8,_xll.xlDateWorkFw(AM$7,VALUE(_xll.xlDateShiftMonth(VALUE(AM$13),LEFT($C39,LEN($C39)-1))),0),0)</f>
        <v>43214</v>
      </c>
      <c r="AN71" s="3">
        <f>_xll.xlDateWorkFw(AN$8,_xll.xlDateWorkFw(AN$7,VALUE(_xll.xlDateShiftMonth(VALUE(AN$13),LEFT($C39,LEN($C39)-1))),0),0)</f>
        <v>43213</v>
      </c>
      <c r="AO71" s="3">
        <f>_xll.xlDateWorkFw(AO$8,_xll.xlDateWorkFw(AO$7,VALUE(_xll.xlDateShiftMonth(VALUE(AO$13),LEFT($C39,LEN($C39)-1))),0),0)</f>
        <v>43213</v>
      </c>
      <c r="AP71" s="3">
        <f>_xll.xlDateWorkFw(AP$8,_xll.xlDateWorkFw(AP$7,VALUE(_xll.xlDateShiftMonth(VALUE(AP$13),LEFT($C39,LEN($C39)-1))),0),0)</f>
        <v>43213</v>
      </c>
    </row>
    <row r="72" spans="3:42" x14ac:dyDescent="0.2">
      <c r="C72" s="1" t="s">
        <v>133</v>
      </c>
      <c r="D72" s="3">
        <f>_xll.xlDateWorkFw("Target",_xll.xlDateWorkFw("Target",VALUE(_xll.xlDateShiftMonth(VALUE(E$13),LEFT($C40,LEN($C40)-1))),0),0)</f>
        <v>43304</v>
      </c>
      <c r="E72" s="3">
        <f>_xll.xlDateWorkFw(E$8,_xll.xlDateWorkFw(E$7,VALUE(_xll.xlDateShiftMonth(VALUE(E$13),LEFT($C40,LEN($C40)-1))),0),0)</f>
        <v>43304</v>
      </c>
      <c r="F72" s="3">
        <f>_xll.xlDateWorkFw(F$8,_xll.xlDateWorkFw(F$7,VALUE(_xll.xlDateShiftMonth(VALUE(F$13),LEFT($C40,LEN($C40)-1))),0),0)</f>
        <v>43304</v>
      </c>
      <c r="G72" s="3">
        <f>_xll.xlDateWorkFw(G$8,_xll.xlDateWorkFw(G$7,VALUE(_xll.xlDateShiftMonth(VALUE(G$13),LEFT($C40,LEN($C40)-1))),0),0)</f>
        <v>43304</v>
      </c>
      <c r="H72" s="3">
        <f>_xll.xlDateWorkFw(H$8,_xll.xlDateWorkFw(H$7,VALUE(_xll.xlDateShiftMonth(VALUE(H$13),LEFT($C40,LEN($C40)-1))),0),0)</f>
        <v>43304</v>
      </c>
      <c r="I72" s="3">
        <f>_xll.xlDateWorkFw(I$8,_xll.xlDateWorkFw(I$7,VALUE(_xll.xlDateShiftMonth(VALUE(I$13),LEFT($C40,LEN($C40)-1))),0),0)</f>
        <v>43301</v>
      </c>
      <c r="J72" s="3">
        <f>_xll.xlDateWorkFw(J$8,_xll.xlDateWorkFw(J$7,VALUE(_xll.xlDateShiftMonth(VALUE(J$13),LEFT($C40,LEN($C40)-1))),0),0)</f>
        <v>43304</v>
      </c>
      <c r="K72" s="3">
        <f>_xll.xlDateWorkFw(K$8,_xll.xlDateWorkFw(K$7,VALUE(_xll.xlDateShiftMonth(VALUE(K$13),LEFT($C40,LEN($C40)-1))),0),0)</f>
        <v>43304</v>
      </c>
      <c r="L72" s="3">
        <f>_xll.xlDateWorkFw(L$8,_xll.xlDateWorkFw(L$7,VALUE(_xll.xlDateShiftMonth(VALUE(L$13),LEFT($C40,LEN($C40)-1))),0),0)</f>
        <v>43304</v>
      </c>
      <c r="M72" s="3">
        <f>_xll.xlDateWorkFw(M$8,_xll.xlDateWorkFw(M$7,VALUE(_xll.xlDateShiftMonth(VALUE(M$13),LEFT($C40,LEN($C40)-1))),0),0)</f>
        <v>43304</v>
      </c>
      <c r="N72" s="3">
        <f>_xll.xlDateWorkFw(N$8,_xll.xlDateWorkFw(N$7,VALUE(_xll.xlDateShiftMonth(VALUE(N$13),LEFT($C40,LEN($C40)-1))),0),0)</f>
        <v>43304</v>
      </c>
      <c r="O72" s="3">
        <f>_xll.xlDateWorkFw(O$8,_xll.xlDateWorkFw(O$7,VALUE(_xll.xlDateShiftMonth(VALUE(O$13),LEFT($C40,LEN($C40)-1))),0),0)</f>
        <v>43304</v>
      </c>
      <c r="P72" s="3">
        <f>_xll.xlDateWorkFw(P$8,_xll.xlDateWorkFw(P$7,VALUE(_xll.xlDateShiftMonth(VALUE(P$13),LEFT($C40,LEN($C40)-1))),0),0)</f>
        <v>43304</v>
      </c>
      <c r="Q72" s="3">
        <f>_xll.xlDateWorkFw(Q$8,_xll.xlDateWorkFw(Q$7,VALUE(_xll.xlDateShiftMonth(VALUE(Q$13),LEFT($C40,LEN($C40)-1))),0),0)</f>
        <v>43304</v>
      </c>
      <c r="R72" s="3">
        <f>_xll.xlDateWorkFw(R$8,_xll.xlDateWorkFw(R$7,VALUE(_xll.xlDateShiftMonth(VALUE(R$13),LEFT($C40,LEN($C40)-1))),0),0)</f>
        <v>43304</v>
      </c>
      <c r="S72" s="3">
        <f>_xll.xlDateWorkFw(S$8,_xll.xlDateWorkFw(S$7,VALUE(_xll.xlDateShiftMonth(VALUE(S$13),LEFT($C40,LEN($C40)-1))),0),0)</f>
        <v>43304</v>
      </c>
      <c r="T72" s="3">
        <f>_xll.xlDateWorkFw(T$8,_xll.xlDateWorkFw(T$7,VALUE(_xll.xlDateShiftMonth(VALUE(T$13),LEFT($C40,LEN($C40)-1))),0),0)</f>
        <v>43306</v>
      </c>
      <c r="U72" s="3">
        <f>_xll.xlDateWorkFw(U$8,_xll.xlDateWorkFw(U$7,VALUE(_xll.xlDateShiftMonth(VALUE(U$13),LEFT($C40,LEN($C40)-1))),0),0)</f>
        <v>43313</v>
      </c>
      <c r="V72" s="3">
        <f>_xll.xlDateWorkFw(V$8,_xll.xlDateWorkFw(V$7,VALUE(_xll.xlDateShiftMonth(VALUE(V$13),LEFT($C40,LEN($C40)-1))),0),0)</f>
        <v>43304</v>
      </c>
      <c r="W72" s="3">
        <f>_xll.xlDateWorkFw(W$8,_xll.xlDateWorkFw(W$7,VALUE(_xll.xlDateShiftMonth(VALUE(W$13),LEFT($C40,LEN($C40)-1))),0),0)</f>
        <v>43304</v>
      </c>
      <c r="X72" s="3">
        <f>_xll.xlDateWorkFw(X$8,_xll.xlDateWorkFw(X$7,VALUE(_xll.xlDateShiftMonth(VALUE(X$13),LEFT($C40,LEN($C40)-1))),0),0)</f>
        <v>43304</v>
      </c>
      <c r="Y72" s="3">
        <f>_xll.xlDateWorkFw(Y$8,_xll.xlDateWorkFw(Y$7,VALUE(_xll.xlDateShiftMonth(VALUE(Y$13),LEFT($C40,LEN($C40)-1))),0),0)</f>
        <v>43304</v>
      </c>
      <c r="Z72" s="3">
        <f>_xll.xlDateWorkFw(Z$8,_xll.xlDateWorkFw(Z$7,VALUE(_xll.xlDateShiftMonth(VALUE(Z$13),LEFT($C40,LEN($C40)-1))),0),0)</f>
        <v>43304</v>
      </c>
      <c r="AA72" s="3">
        <f>_xll.xlDateWorkFw(AA$8,_xll.xlDateWorkFw(AA$7,VALUE(_xll.xlDateShiftMonth(VALUE(AA$13),LEFT($C40,LEN($C40)-1))),0),0)</f>
        <v>43304</v>
      </c>
      <c r="AB72" s="3">
        <f>_xll.xlDateWorkFw(AB$8,_xll.xlDateWorkFw(AB$7,VALUE(_xll.xlDateShiftMonth(VALUE(AB$13),LEFT($C40,LEN($C40)-1))),0),0)</f>
        <v>43304</v>
      </c>
      <c r="AC72" s="3">
        <f>_xll.xlDateWorkFw(AC$8,_xll.xlDateWorkFw(AC$7,VALUE(_xll.xlDateShiftMonth(VALUE(AC$13),LEFT($C40,LEN($C40)-1))),0),0)</f>
        <v>43304</v>
      </c>
      <c r="AD72" s="3">
        <f>_xll.xlDateWorkFw(AD$8,_xll.xlDateWorkFw(AD$7,VALUE(_xll.xlDateShiftMonth(VALUE(AD$13),LEFT($C40,LEN($C40)-1))),0),0)</f>
        <v>43304</v>
      </c>
      <c r="AE72" s="3">
        <f>_xll.xlDateWorkFw(AE$8,_xll.xlDateWorkFw(AE$7,VALUE(_xll.xlDateShiftMonth(VALUE(AE$13),LEFT($C40,LEN($C40)-1))),0),0)</f>
        <v>43304</v>
      </c>
      <c r="AF72" s="3">
        <f>_xll.xlDateWorkFw(AF$8,_xll.xlDateWorkFw(AF$7,VALUE(_xll.xlDateShiftMonth(VALUE(AF$13),LEFT($C40,LEN($C40)-1))),0),0)</f>
        <v>43304</v>
      </c>
      <c r="AG72" s="3">
        <f>_xll.xlDateWorkFw(AG$8,_xll.xlDateWorkFw(AG$7,VALUE(_xll.xlDateShiftMonth(VALUE(AG$13),LEFT($C40,LEN($C40)-1))),0),0)</f>
        <v>43304</v>
      </c>
      <c r="AH72" s="3">
        <f>_xll.xlDateWorkFw(AH$8,_xll.xlDateWorkFw(AH$7,VALUE(_xll.xlDateShiftMonth(VALUE(AH$13),LEFT($C40,LEN($C40)-1))),0),0)</f>
        <v>43304</v>
      </c>
      <c r="AI72" s="3">
        <f>_xll.xlDateWorkFw(AI$8,_xll.xlDateWorkFw(AI$7,VALUE(_xll.xlDateShiftMonth(VALUE(AI$13),LEFT($C40,LEN($C40)-1))),0),0)</f>
        <v>43304</v>
      </c>
      <c r="AJ72" s="3">
        <f>_xll.xlDateWorkFw(AJ$8,_xll.xlDateWorkFw(AJ$7,VALUE(_xll.xlDateShiftMonth(VALUE(AJ$13),LEFT($C40,LEN($C40)-1))),0),0)</f>
        <v>43313</v>
      </c>
      <c r="AK72" s="3">
        <f>_xll.xlDateWorkFw(AK$8,_xll.xlDateWorkFw(AK$7,VALUE(_xll.xlDateShiftMonth(VALUE(AK$13),LEFT($C40,LEN($C40)-1))),0),0)</f>
        <v>43304</v>
      </c>
      <c r="AL72" s="3">
        <f>_xll.xlDateWorkFw(AL$8,_xll.xlDateWorkFw(AL$7,VALUE(_xll.xlDateShiftMonth(VALUE(AL$13),LEFT($C40,LEN($C40)-1))),0),0)</f>
        <v>43304</v>
      </c>
      <c r="AM72" s="3">
        <f>_xll.xlDateWorkFw(AM$8,_xll.xlDateWorkFw(AM$7,VALUE(_xll.xlDateShiftMonth(VALUE(AM$13),LEFT($C40,LEN($C40)-1))),0),0)</f>
        <v>43305</v>
      </c>
      <c r="AN72" s="3">
        <f>_xll.xlDateWorkFw(AN$8,_xll.xlDateWorkFw(AN$7,VALUE(_xll.xlDateShiftMonth(VALUE(AN$13),LEFT($C40,LEN($C40)-1))),0),0)</f>
        <v>43304</v>
      </c>
      <c r="AO72" s="3">
        <f>_xll.xlDateWorkFw(AO$8,_xll.xlDateWorkFw(AO$7,VALUE(_xll.xlDateShiftMonth(VALUE(AO$13),LEFT($C40,LEN($C40)-1))),0),0)</f>
        <v>43304</v>
      </c>
      <c r="AP72" s="3">
        <f>_xll.xlDateWorkFw(AP$8,_xll.xlDateWorkFw(AP$7,VALUE(_xll.xlDateShiftMonth(VALUE(AP$13),LEFT($C40,LEN($C40)-1))),0),0)</f>
        <v>43304</v>
      </c>
    </row>
    <row r="73" spans="3:42" x14ac:dyDescent="0.2">
      <c r="C73" s="1" t="s">
        <v>148</v>
      </c>
      <c r="D73" s="3">
        <f>_xll.xlDateWorkFw("Target",_xll.xlDateWorkFw("Target",VALUE(_xll.xlDateShiftMonth(VALUE(E$13),LEFT($C41,LEN($C41)-1))),0),0)</f>
        <v>43488</v>
      </c>
      <c r="E73" s="3">
        <f>_xll.xlDateWorkFw(E$8,_xll.xlDateWorkFw(E$7,VALUE(_xll.xlDateShiftMonth(VALUE(E$13),LEFT($C41,LEN($C41)-1))),0),0)</f>
        <v>43488</v>
      </c>
      <c r="F73" s="3">
        <f>_xll.xlDateWorkFw(F$8,_xll.xlDateWorkFw(F$7,VALUE(_xll.xlDateShiftMonth(VALUE(F$13),LEFT($C41,LEN($C41)-1))),0),0)</f>
        <v>43488</v>
      </c>
      <c r="G73" s="3">
        <f>_xll.xlDateWorkFw(G$8,_xll.xlDateWorkFw(G$7,VALUE(_xll.xlDateShiftMonth(VALUE(G$13),LEFT($C41,LEN($C41)-1))),0),0)</f>
        <v>43488</v>
      </c>
      <c r="H73" s="3">
        <f>_xll.xlDateWorkFw(H$8,_xll.xlDateWorkFw(H$7,VALUE(_xll.xlDateShiftMonth(VALUE(H$13),LEFT($C41,LEN($C41)-1))),0),0)</f>
        <v>43488</v>
      </c>
      <c r="I73" s="3">
        <f>_xll.xlDateWorkFw(I$8,_xll.xlDateWorkFw(I$7,VALUE(_xll.xlDateShiftMonth(VALUE(I$13),LEFT($C41,LEN($C41)-1))),0),0)</f>
        <v>43487</v>
      </c>
      <c r="J73" s="3">
        <f>_xll.xlDateWorkFw(J$8,_xll.xlDateWorkFw(J$7,VALUE(_xll.xlDateShiftMonth(VALUE(J$13),LEFT($C41,LEN($C41)-1))),0),0)</f>
        <v>43488</v>
      </c>
      <c r="K73" s="3">
        <f>_xll.xlDateWorkFw(K$8,_xll.xlDateWorkFw(K$7,VALUE(_xll.xlDateShiftMonth(VALUE(K$13),LEFT($C41,LEN($C41)-1))),0),0)</f>
        <v>43488</v>
      </c>
      <c r="L73" s="3">
        <f>_xll.xlDateWorkFw(L$8,_xll.xlDateWorkFw(L$7,VALUE(_xll.xlDateShiftMonth(VALUE(L$13),LEFT($C41,LEN($C41)-1))),0),0)</f>
        <v>43488</v>
      </c>
      <c r="M73" s="3">
        <f>_xll.xlDateWorkFw(M$8,_xll.xlDateWorkFw(M$7,VALUE(_xll.xlDateShiftMonth(VALUE(M$13),LEFT($C41,LEN($C41)-1))),0),0)</f>
        <v>43488</v>
      </c>
      <c r="N73" s="3">
        <f>_xll.xlDateWorkFw(N$8,_xll.xlDateWorkFw(N$7,VALUE(_xll.xlDateShiftMonth(VALUE(N$13),LEFT($C41,LEN($C41)-1))),0),0)</f>
        <v>43488</v>
      </c>
      <c r="O73" s="3">
        <f>_xll.xlDateWorkFw(O$8,_xll.xlDateWorkFw(O$7,VALUE(_xll.xlDateShiftMonth(VALUE(O$13),LEFT($C41,LEN($C41)-1))),0),0)</f>
        <v>43488</v>
      </c>
      <c r="P73" s="3">
        <f>_xll.xlDateWorkFw(P$8,_xll.xlDateWorkFw(P$7,VALUE(_xll.xlDateShiftMonth(VALUE(P$13),LEFT($C41,LEN($C41)-1))),0),0)</f>
        <v>43488</v>
      </c>
      <c r="Q73" s="3">
        <f>_xll.xlDateWorkFw(Q$8,_xll.xlDateWorkFw(Q$7,VALUE(_xll.xlDateShiftMonth(VALUE(Q$13),LEFT($C41,LEN($C41)-1))),0),0)</f>
        <v>43488</v>
      </c>
      <c r="R73" s="3">
        <f>_xll.xlDateWorkFw(R$8,_xll.xlDateWorkFw(R$7,VALUE(_xll.xlDateShiftMonth(VALUE(R$13),LEFT($C41,LEN($C41)-1))),0),0)</f>
        <v>43488</v>
      </c>
      <c r="S73" s="3">
        <f>_xll.xlDateWorkFw(S$8,_xll.xlDateWorkFw(S$7,VALUE(_xll.xlDateShiftMonth(VALUE(S$13),LEFT($C41,LEN($C41)-1))),0),0)</f>
        <v>43488</v>
      </c>
      <c r="T73" s="3">
        <f>_xll.xlDateWorkFw(T$8,_xll.xlDateWorkFw(T$7,VALUE(_xll.xlDateShiftMonth(VALUE(T$13),LEFT($C41,LEN($C41)-1))),0),0)</f>
        <v>43490</v>
      </c>
      <c r="U73" s="3">
        <f>_xll.xlDateWorkFw(U$8,_xll.xlDateWorkFw(U$7,VALUE(_xll.xlDateShiftMonth(VALUE(U$13),LEFT($C41,LEN($C41)-1))),0),0)</f>
        <v>43497</v>
      </c>
      <c r="V73" s="3">
        <f>_xll.xlDateWorkFw(V$8,_xll.xlDateWorkFw(V$7,VALUE(_xll.xlDateShiftMonth(VALUE(V$13),LEFT($C41,LEN($C41)-1))),0),0)</f>
        <v>43488</v>
      </c>
      <c r="W73" s="3">
        <f>_xll.xlDateWorkFw(W$8,_xll.xlDateWorkFw(W$7,VALUE(_xll.xlDateShiftMonth(VALUE(W$13),LEFT($C41,LEN($C41)-1))),0),0)</f>
        <v>43488</v>
      </c>
      <c r="X73" s="3">
        <f>_xll.xlDateWorkFw(X$8,_xll.xlDateWorkFw(X$7,VALUE(_xll.xlDateShiftMonth(VALUE(X$13),LEFT($C41,LEN($C41)-1))),0),0)</f>
        <v>43488</v>
      </c>
      <c r="Y73" s="3">
        <f>_xll.xlDateWorkFw(Y$8,_xll.xlDateWorkFw(Y$7,VALUE(_xll.xlDateShiftMonth(VALUE(Y$13),LEFT($C41,LEN($C41)-1))),0),0)</f>
        <v>43488</v>
      </c>
      <c r="Z73" s="3">
        <f>_xll.xlDateWorkFw(Z$8,_xll.xlDateWorkFw(Z$7,VALUE(_xll.xlDateShiftMonth(VALUE(Z$13),LEFT($C41,LEN($C41)-1))),0),0)</f>
        <v>43488</v>
      </c>
      <c r="AA73" s="3">
        <f>_xll.xlDateWorkFw(AA$8,_xll.xlDateWorkFw(AA$7,VALUE(_xll.xlDateShiftMonth(VALUE(AA$13),LEFT($C41,LEN($C41)-1))),0),0)</f>
        <v>43488</v>
      </c>
      <c r="AB73" s="3">
        <f>_xll.xlDateWorkFw(AB$8,_xll.xlDateWorkFw(AB$7,VALUE(_xll.xlDateShiftMonth(VALUE(AB$13),LEFT($C41,LEN($C41)-1))),0),0)</f>
        <v>43488</v>
      </c>
      <c r="AC73" s="3">
        <f>_xll.xlDateWorkFw(AC$8,_xll.xlDateWorkFw(AC$7,VALUE(_xll.xlDateShiftMonth(VALUE(AC$13),LEFT($C41,LEN($C41)-1))),0),0)</f>
        <v>43488</v>
      </c>
      <c r="AD73" s="3">
        <f>_xll.xlDateWorkFw(AD$8,_xll.xlDateWorkFw(AD$7,VALUE(_xll.xlDateShiftMonth(VALUE(AD$13),LEFT($C41,LEN($C41)-1))),0),0)</f>
        <v>43488</v>
      </c>
      <c r="AE73" s="3">
        <f>_xll.xlDateWorkFw(AE$8,_xll.xlDateWorkFw(AE$7,VALUE(_xll.xlDateShiftMonth(VALUE(AE$13),LEFT($C41,LEN($C41)-1))),0),0)</f>
        <v>43488</v>
      </c>
      <c r="AF73" s="3">
        <f>_xll.xlDateWorkFw(AF$8,_xll.xlDateWorkFw(AF$7,VALUE(_xll.xlDateShiftMonth(VALUE(AF$13),LEFT($C41,LEN($C41)-1))),0),0)</f>
        <v>43488</v>
      </c>
      <c r="AG73" s="3">
        <f>_xll.xlDateWorkFw(AG$8,_xll.xlDateWorkFw(AG$7,VALUE(_xll.xlDateShiftMonth(VALUE(AG$13),LEFT($C41,LEN($C41)-1))),0),0)</f>
        <v>43488</v>
      </c>
      <c r="AH73" s="3">
        <f>_xll.xlDateWorkFw(AH$8,_xll.xlDateWorkFw(AH$7,VALUE(_xll.xlDateShiftMonth(VALUE(AH$13),LEFT($C41,LEN($C41)-1))),0),0)</f>
        <v>43488</v>
      </c>
      <c r="AI73" s="3">
        <f>_xll.xlDateWorkFw(AI$8,_xll.xlDateWorkFw(AI$7,VALUE(_xll.xlDateShiftMonth(VALUE(AI$13),LEFT($C41,LEN($C41)-1))),0),0)</f>
        <v>43488</v>
      </c>
      <c r="AJ73" s="3">
        <f>_xll.xlDateWorkFw(AJ$8,_xll.xlDateWorkFw(AJ$7,VALUE(_xll.xlDateShiftMonth(VALUE(AJ$13),LEFT($C41,LEN($C41)-1))),0),0)</f>
        <v>43497</v>
      </c>
      <c r="AK73" s="3">
        <f>_xll.xlDateWorkFw(AK$8,_xll.xlDateWorkFw(AK$7,VALUE(_xll.xlDateShiftMonth(VALUE(AK$13),LEFT($C41,LEN($C41)-1))),0),0)</f>
        <v>43488</v>
      </c>
      <c r="AL73" s="3">
        <f>_xll.xlDateWorkFw(AL$8,_xll.xlDateWorkFw(AL$7,VALUE(_xll.xlDateShiftMonth(VALUE(AL$13),LEFT($C41,LEN($C41)-1))),0),0)</f>
        <v>43488</v>
      </c>
      <c r="AM73" s="3">
        <f>_xll.xlDateWorkFw(AM$8,_xll.xlDateWorkFw(AM$7,VALUE(_xll.xlDateShiftMonth(VALUE(AM$13),LEFT($C41,LEN($C41)-1))),0),0)</f>
        <v>43489</v>
      </c>
      <c r="AN73" s="3">
        <f>_xll.xlDateWorkFw(AN$8,_xll.xlDateWorkFw(AN$7,VALUE(_xll.xlDateShiftMonth(VALUE(AN$13),LEFT($C41,LEN($C41)-1))),0),0)</f>
        <v>43488</v>
      </c>
      <c r="AO73" s="3">
        <f>_xll.xlDateWorkFw(AO$8,_xll.xlDateWorkFw(AO$7,VALUE(_xll.xlDateShiftMonth(VALUE(AO$13),LEFT($C41,LEN($C41)-1))),0),0)</f>
        <v>43488</v>
      </c>
      <c r="AP73" s="3">
        <f>_xll.xlDateWorkFw(AP$8,_xll.xlDateWorkFw(AP$7,VALUE(_xll.xlDateShiftMonth(VALUE(AP$13),LEFT($C41,LEN($C41)-1))),0),0)</f>
        <v>43488</v>
      </c>
    </row>
    <row r="74" spans="3:42" x14ac:dyDescent="0.2">
      <c r="C74" s="1" t="s">
        <v>150</v>
      </c>
      <c r="D74" s="276">
        <f>_xll.xlDateWorkFw("Target",_xll.xlDateWorkFw("Target",VALUE(_xll.xlDateShiftMonth(VALUE(E$13),LEFT($C42,LEN($C42)-1)*12)),0),0)</f>
        <v>43853</v>
      </c>
      <c r="E74" s="276">
        <f>_xll.xlDateWorkFw(E$8,_xll.xlDateWorkFw(E$7,VALUE(_xll.xlDateShiftMonth(VALUE(E$13),LEFT($C42,LEN($C42)-1)*12)),0),0)</f>
        <v>43853</v>
      </c>
      <c r="F74" s="276">
        <f>_xll.xlDateWorkFw(F$8,_xll.xlDateWorkFw(F$7,VALUE(_xll.xlDateShiftMonth(VALUE(F$13),LEFT($C42,LEN($C42)-1)*12)),0),0)</f>
        <v>43853</v>
      </c>
      <c r="G74" s="276">
        <f>_xll.xlDateWorkFw(G$8,_xll.xlDateWorkFw(G$7,VALUE(_xll.xlDateShiftMonth(VALUE(G$13),LEFT($C42,LEN($C42)-1)*12)),0),0)</f>
        <v>43853</v>
      </c>
      <c r="H74" s="276">
        <f>_xll.xlDateWorkFw(H$8,_xll.xlDateWorkFw(H$7,VALUE(_xll.xlDateShiftMonth(VALUE(H$13),LEFT($C42,LEN($C42)-1)*12)),0),0)</f>
        <v>43853</v>
      </c>
      <c r="I74" s="276">
        <f>_xll.xlDateWorkFw(I$8,_xll.xlDateWorkFw(I$7,VALUE(_xll.xlDateShiftMonth(VALUE(I$13),LEFT($C42,LEN($C42)-1)*12)),0),0)</f>
        <v>43851</v>
      </c>
      <c r="J74" s="276">
        <f>_xll.xlDateWorkFw(J$8,_xll.xlDateWorkFw(J$7,VALUE(_xll.xlDateShiftMonth(VALUE(J$13),LEFT($C42,LEN($C42)-1)*12)),0),0)</f>
        <v>43853</v>
      </c>
      <c r="K74" s="276">
        <f>_xll.xlDateWorkFw(K$8,_xll.xlDateWorkFw(K$7,VALUE(_xll.xlDateShiftMonth(VALUE(K$13),LEFT($C42,LEN($C42)-1)*12)),0),0)</f>
        <v>43853</v>
      </c>
      <c r="L74" s="276">
        <f>_xll.xlDateWorkFw(L$8,_xll.xlDateWorkFw(L$7,VALUE(_xll.xlDateShiftMonth(VALUE(L$13),LEFT($C42,LEN($C42)-1)*12)),0),0)</f>
        <v>43853</v>
      </c>
      <c r="M74" s="276">
        <f>_xll.xlDateWorkFw(M$8,_xll.xlDateWorkFw(M$7,VALUE(_xll.xlDateShiftMonth(VALUE(M$13),LEFT($C42,LEN($C42)-1)*12)),0),0)</f>
        <v>43853</v>
      </c>
      <c r="N74" s="276">
        <f>_xll.xlDateWorkFw(N$8,_xll.xlDateWorkFw(N$7,VALUE(_xll.xlDateShiftMonth(VALUE(N$13),LEFT($C42,LEN($C42)-1)*12)),0),0)</f>
        <v>43853</v>
      </c>
      <c r="O74" s="276">
        <f>_xll.xlDateWorkFw(O$8,_xll.xlDateWorkFw(O$7,VALUE(_xll.xlDateShiftMonth(VALUE(O$13),LEFT($C42,LEN($C42)-1)*12)),0),0)</f>
        <v>43853</v>
      </c>
      <c r="P74" s="276">
        <f>_xll.xlDateWorkFw(P$8,_xll.xlDateWorkFw(P$7,VALUE(_xll.xlDateShiftMonth(VALUE(P$13),LEFT($C42,LEN($C42)-1)*12)),0),0)</f>
        <v>43853</v>
      </c>
      <c r="Q74" s="276">
        <f>_xll.xlDateWorkFw(Q$8,_xll.xlDateWorkFw(Q$7,VALUE(_xll.xlDateShiftMonth(VALUE(Q$13),LEFT($C42,LEN($C42)-1)*12)),0),0)</f>
        <v>43853</v>
      </c>
      <c r="R74" s="276">
        <f>_xll.xlDateWorkFw(R$8,_xll.xlDateWorkFw(R$7,VALUE(_xll.xlDateShiftMonth(VALUE(R$13),LEFT($C42,LEN($C42)-1)*12)),0),0)</f>
        <v>43853</v>
      </c>
      <c r="S74" s="276">
        <f>_xll.xlDateWorkFw(S$8,_xll.xlDateWorkFw(S$7,VALUE(_xll.xlDateShiftMonth(VALUE(S$13),LEFT($C42,LEN($C42)-1)*12)),0),0)</f>
        <v>43853</v>
      </c>
      <c r="T74" s="276">
        <f>_xll.xlDateWorkFw(T$8,_xll.xlDateWorkFw(T$7,VALUE(_xll.xlDateShiftMonth(VALUE(T$13),LEFT($C42,LEN($C42)-1)*12)),0),0)</f>
        <v>43857</v>
      </c>
      <c r="U74" s="276">
        <f>_xll.xlDateWorkFw(U$8,_xll.xlDateWorkFw(U$7,VALUE(_xll.xlDateShiftMonth(VALUE(U$13),LEFT($C42,LEN($C42)-1)*12)),0),0)</f>
        <v>43864</v>
      </c>
      <c r="V74" s="276">
        <f>_xll.xlDateWorkFw(V$8,_xll.xlDateWorkFw(V$7,VALUE(_xll.xlDateShiftMonth(VALUE(V$13),LEFT($C42,LEN($C42)-1)*12)),0),0)</f>
        <v>43853</v>
      </c>
      <c r="W74" s="276">
        <f>_xll.xlDateWorkFw(W$8,_xll.xlDateWorkFw(W$7,VALUE(_xll.xlDateShiftMonth(VALUE(W$13),LEFT($C42,LEN($C42)-1)*12)),0),0)</f>
        <v>43853</v>
      </c>
      <c r="X74" s="276">
        <f>_xll.xlDateWorkFw(X$8,_xll.xlDateWorkFw(X$7,VALUE(_xll.xlDateShiftMonth(VALUE(X$13),LEFT($C42,LEN($C42)-1)*12)),0),0)</f>
        <v>43853</v>
      </c>
      <c r="Y74" s="276">
        <f>_xll.xlDateWorkFw(Y$8,_xll.xlDateWorkFw(Y$7,VALUE(_xll.xlDateShiftMonth(VALUE(Y$13),LEFT($C42,LEN($C42)-1)*12)),0),0)</f>
        <v>43853</v>
      </c>
      <c r="Z74" s="276">
        <f>_xll.xlDateWorkFw(Z$8,_xll.xlDateWorkFw(Z$7,VALUE(_xll.xlDateShiftMonth(VALUE(Z$13),LEFT($C42,LEN($C42)-1)*12)),0),0)</f>
        <v>43853</v>
      </c>
      <c r="AA74" s="276">
        <f>_xll.xlDateWorkFw(AA$8,_xll.xlDateWorkFw(AA$7,VALUE(_xll.xlDateShiftMonth(VALUE(AA$13),LEFT($C42,LEN($C42)-1)*12)),0),0)</f>
        <v>43853</v>
      </c>
      <c r="AB74" s="276">
        <f>_xll.xlDateWorkFw(AB$8,_xll.xlDateWorkFw(AB$7,VALUE(_xll.xlDateShiftMonth(VALUE(AB$13),LEFT($C42,LEN($C42)-1)*12)),0),0)</f>
        <v>43853</v>
      </c>
      <c r="AC74" s="276">
        <f>_xll.xlDateWorkFw(AC$8,_xll.xlDateWorkFw(AC$7,VALUE(_xll.xlDateShiftMonth(VALUE(AC$13),LEFT($C42,LEN($C42)-1)*12)),0),0)</f>
        <v>43853</v>
      </c>
      <c r="AD74" s="276">
        <f>_xll.xlDateWorkFw(AD$8,_xll.xlDateWorkFw(AD$7,VALUE(_xll.xlDateShiftMonth(VALUE(AD$13),LEFT($C42,LEN($C42)-1)*12)),0),0)</f>
        <v>43853</v>
      </c>
      <c r="AE74" s="276">
        <f>_xll.xlDateWorkFw(AE$8,_xll.xlDateWorkFw(AE$7,VALUE(_xll.xlDateShiftMonth(VALUE(AE$13),LEFT($C42,LEN($C42)-1)*12)),0),0)</f>
        <v>43853</v>
      </c>
      <c r="AF74" s="276">
        <f>_xll.xlDateWorkFw(AF$8,_xll.xlDateWorkFw(AF$7,VALUE(_xll.xlDateShiftMonth(VALUE(AF$13),LEFT($C42,LEN($C42)-1)*12)),0),0)</f>
        <v>43853</v>
      </c>
      <c r="AG74" s="276">
        <f>_xll.xlDateWorkFw(AG$8,_xll.xlDateWorkFw(AG$7,VALUE(_xll.xlDateShiftMonth(VALUE(AG$13),LEFT($C42,LEN($C42)-1)*12)),0),0)</f>
        <v>43853</v>
      </c>
      <c r="AH74" s="276">
        <f>_xll.xlDateWorkFw(AH$8,_xll.xlDateWorkFw(AH$7,VALUE(_xll.xlDateShiftMonth(VALUE(AH$13),LEFT($C42,LEN($C42)-1)*12)),0),0)</f>
        <v>43853</v>
      </c>
      <c r="AI74" s="276">
        <f>_xll.xlDateWorkFw(AI$8,_xll.xlDateWorkFw(AI$7,VALUE(_xll.xlDateShiftMonth(VALUE(AI$13),LEFT($C42,LEN($C42)-1)*12)),0),0)</f>
        <v>43853</v>
      </c>
      <c r="AJ74" s="276">
        <f>_xll.xlDateWorkFw(AJ$8,_xll.xlDateWorkFw(AJ$7,VALUE(_xll.xlDateShiftMonth(VALUE(AJ$13),LEFT($C42,LEN($C42)-1)*12)),0),0)</f>
        <v>43864</v>
      </c>
      <c r="AK74" s="276">
        <f>_xll.xlDateWorkFw(AK$8,_xll.xlDateWorkFw(AK$7,VALUE(_xll.xlDateShiftMonth(VALUE(AK$13),LEFT($C42,LEN($C42)-1)*12)),0),0)</f>
        <v>43853</v>
      </c>
      <c r="AL74" s="276">
        <f>_xll.xlDateWorkFw(AL$8,_xll.xlDateWorkFw(AL$7,VALUE(_xll.xlDateShiftMonth(VALUE(AL$13),LEFT($C42,LEN($C42)-1)*12)),0),0)</f>
        <v>43853</v>
      </c>
      <c r="AM74" s="276">
        <f>_xll.xlDateWorkFw(AM$8,_xll.xlDateWorkFw(AM$7,VALUE(_xll.xlDateShiftMonth(VALUE(AM$13),LEFT($C42,LEN($C42)-1)*12)),0),0)</f>
        <v>43857</v>
      </c>
      <c r="AN74" s="276">
        <f>_xll.xlDateWorkFw(AN$8,_xll.xlDateWorkFw(AN$7,VALUE(_xll.xlDateShiftMonth(VALUE(AN$13),LEFT($C42,LEN($C42)-1)*12)),0),0)</f>
        <v>43853</v>
      </c>
      <c r="AO74" s="276">
        <f>_xll.xlDateWorkFw(AO$8,_xll.xlDateWorkFw(AO$7,VALUE(_xll.xlDateShiftMonth(VALUE(AO$13),LEFT($C42,LEN($C42)-1)*12)),0),0)</f>
        <v>43853</v>
      </c>
      <c r="AP74" s="276">
        <f>_xll.xlDateWorkFw(AP$8,_xll.xlDateWorkFw(AP$7,VALUE(_xll.xlDateShiftMonth(VALUE(AP$13),LEFT($C42,LEN($C42)-1)*12)),0),0)</f>
        <v>43853</v>
      </c>
    </row>
    <row r="75" spans="3:42" x14ac:dyDescent="0.2">
      <c r="C75" s="1" t="s">
        <v>153</v>
      </c>
      <c r="D75" s="3">
        <f>_xll.xlDateWorkFw("Target",_xll.xlDateWorkFw("Target",VALUE(_xll.xlDateShiftMonth(VALUE(E$13),LEFT($C43,LEN($C43)-1)*12)),0),0)</f>
        <v>44221</v>
      </c>
      <c r="E75" s="3">
        <f>_xll.xlDateWorkFw(E$8,_xll.xlDateWorkFw(E$7,VALUE(_xll.xlDateShiftMonth(VALUE(E$13),LEFT($C43,LEN($C43)-1)*12)),0),0)</f>
        <v>44221</v>
      </c>
      <c r="F75" s="3">
        <f>_xll.xlDateWorkFw(F$8,_xll.xlDateWorkFw(F$7,VALUE(_xll.xlDateShiftMonth(VALUE(F$13),LEFT($C43,LEN($C43)-1)*12)),0),0)</f>
        <v>44221</v>
      </c>
      <c r="G75" s="3">
        <f>_xll.xlDateWorkFw(G$8,_xll.xlDateWorkFw(G$7,VALUE(_xll.xlDateShiftMonth(VALUE(G$13),LEFT($C43,LEN($C43)-1)*12)),0),0)</f>
        <v>44221</v>
      </c>
      <c r="H75" s="3">
        <f>_xll.xlDateWorkFw(H$8,_xll.xlDateWorkFw(H$7,VALUE(_xll.xlDateShiftMonth(VALUE(H$13),LEFT($C43,LEN($C43)-1)*12)),0),0)</f>
        <v>44221</v>
      </c>
      <c r="I75" s="3">
        <f>_xll.xlDateWorkFw(I$8,_xll.xlDateWorkFw(I$7,VALUE(_xll.xlDateShiftMonth(VALUE(I$13),LEFT($C43,LEN($C43)-1)*12)),0),0)</f>
        <v>44216</v>
      </c>
      <c r="J75" s="3">
        <f>_xll.xlDateWorkFw(J$8,_xll.xlDateWorkFw(J$7,VALUE(_xll.xlDateShiftMonth(VALUE(J$13),LEFT($C43,LEN($C43)-1)*12)),0),0)</f>
        <v>44221</v>
      </c>
      <c r="K75" s="3">
        <f>_xll.xlDateWorkFw(K$8,_xll.xlDateWorkFw(K$7,VALUE(_xll.xlDateShiftMonth(VALUE(K$13),LEFT($C43,LEN($C43)-1)*12)),0),0)</f>
        <v>44221</v>
      </c>
      <c r="L75" s="3">
        <f>_xll.xlDateWorkFw(L$8,_xll.xlDateWorkFw(L$7,VALUE(_xll.xlDateShiftMonth(VALUE(L$13),LEFT($C43,LEN($C43)-1)*12)),0),0)</f>
        <v>44221</v>
      </c>
      <c r="M75" s="3">
        <f>_xll.xlDateWorkFw(M$8,_xll.xlDateWorkFw(M$7,VALUE(_xll.xlDateShiftMonth(VALUE(M$13),LEFT($C43,LEN($C43)-1)*12)),0),0)</f>
        <v>44221</v>
      </c>
      <c r="N75" s="3">
        <f>_xll.xlDateWorkFw(N$8,_xll.xlDateWorkFw(N$7,VALUE(_xll.xlDateShiftMonth(VALUE(N$13),LEFT($C43,LEN($C43)-1)*12)),0),0)</f>
        <v>44221</v>
      </c>
      <c r="O75" s="3">
        <f>_xll.xlDateWorkFw(O$8,_xll.xlDateWorkFw(O$7,VALUE(_xll.xlDateShiftMonth(VALUE(O$13),LEFT($C43,LEN($C43)-1)*12)),0),0)</f>
        <v>44221</v>
      </c>
      <c r="P75" s="3">
        <f>_xll.xlDateWorkFw(P$8,_xll.xlDateWorkFw(P$7,VALUE(_xll.xlDateShiftMonth(VALUE(P$13),LEFT($C43,LEN($C43)-1)*12)),0),0)</f>
        <v>44221</v>
      </c>
      <c r="Q75" s="3">
        <f>_xll.xlDateWorkFw(Q$8,_xll.xlDateWorkFw(Q$7,VALUE(_xll.xlDateShiftMonth(VALUE(Q$13),LEFT($C43,LEN($C43)-1)*12)),0),0)</f>
        <v>44221</v>
      </c>
      <c r="R75" s="3">
        <f>_xll.xlDateWorkFw(R$8,_xll.xlDateWorkFw(R$7,VALUE(_xll.xlDateShiftMonth(VALUE(R$13),LEFT($C43,LEN($C43)-1)*12)),0),0)</f>
        <v>44221</v>
      </c>
      <c r="S75" s="3">
        <f>_xll.xlDateWorkFw(S$8,_xll.xlDateWorkFw(S$7,VALUE(_xll.xlDateShiftMonth(VALUE(S$13),LEFT($C43,LEN($C43)-1)*12)),0),0)</f>
        <v>44221</v>
      </c>
      <c r="T75" s="3">
        <f>_xll.xlDateWorkFw(T$8,_xll.xlDateWorkFw(T$7,VALUE(_xll.xlDateShiftMonth(VALUE(T$13),LEFT($C43,LEN($C43)-1)*12)),0),0)</f>
        <v>44221</v>
      </c>
      <c r="U75" s="3">
        <f>_xll.xlDateWorkFw(U$8,_xll.xlDateWorkFw(U$7,VALUE(_xll.xlDateShiftMonth(VALUE(U$13),LEFT($C43,LEN($C43)-1)*12)),0),0)</f>
        <v>44228</v>
      </c>
      <c r="V75" s="3">
        <f>_xll.xlDateWorkFw(V$8,_xll.xlDateWorkFw(V$7,VALUE(_xll.xlDateShiftMonth(VALUE(V$13),LEFT($C43,LEN($C43)-1)*12)),0),0)</f>
        <v>44221</v>
      </c>
      <c r="W75" s="3">
        <f>_xll.xlDateWorkFw(W$8,_xll.xlDateWorkFw(W$7,VALUE(_xll.xlDateShiftMonth(VALUE(W$13),LEFT($C43,LEN($C43)-1)*12)),0),0)</f>
        <v>44221</v>
      </c>
      <c r="X75" s="3">
        <f>_xll.xlDateWorkFw(X$8,_xll.xlDateWorkFw(X$7,VALUE(_xll.xlDateShiftMonth(VALUE(X$13),LEFT($C43,LEN($C43)-1)*12)),0),0)</f>
        <v>44221</v>
      </c>
      <c r="Y75" s="3">
        <f>_xll.xlDateWorkFw(Y$8,_xll.xlDateWorkFw(Y$7,VALUE(_xll.xlDateShiftMonth(VALUE(Y$13),LEFT($C43,LEN($C43)-1)*12)),0),0)</f>
        <v>44221</v>
      </c>
      <c r="Z75" s="3">
        <f>_xll.xlDateWorkFw(Z$8,_xll.xlDateWorkFw(Z$7,VALUE(_xll.xlDateShiftMonth(VALUE(Z$13),LEFT($C43,LEN($C43)-1)*12)),0),0)</f>
        <v>44221</v>
      </c>
      <c r="AA75" s="3">
        <f>_xll.xlDateWorkFw(AA$8,_xll.xlDateWorkFw(AA$7,VALUE(_xll.xlDateShiftMonth(VALUE(AA$13),LEFT($C43,LEN($C43)-1)*12)),0),0)</f>
        <v>44221</v>
      </c>
      <c r="AB75" s="3">
        <f>_xll.xlDateWorkFw(AB$8,_xll.xlDateWorkFw(AB$7,VALUE(_xll.xlDateShiftMonth(VALUE(AB$13),LEFT($C43,LEN($C43)-1)*12)),0),0)</f>
        <v>44221</v>
      </c>
      <c r="AC75" s="3">
        <f>_xll.xlDateWorkFw(AC$8,_xll.xlDateWorkFw(AC$7,VALUE(_xll.xlDateShiftMonth(VALUE(AC$13),LEFT($C43,LEN($C43)-1)*12)),0),0)</f>
        <v>44221</v>
      </c>
      <c r="AD75" s="3">
        <f>_xll.xlDateWorkFw(AD$8,_xll.xlDateWorkFw(AD$7,VALUE(_xll.xlDateShiftMonth(VALUE(AD$13),LEFT($C43,LEN($C43)-1)*12)),0),0)</f>
        <v>44221</v>
      </c>
      <c r="AE75" s="3">
        <f>_xll.xlDateWorkFw(AE$8,_xll.xlDateWorkFw(AE$7,VALUE(_xll.xlDateShiftMonth(VALUE(AE$13),LEFT($C43,LEN($C43)-1)*12)),0),0)</f>
        <v>44221</v>
      </c>
      <c r="AF75" s="3">
        <f>_xll.xlDateWorkFw(AF$8,_xll.xlDateWorkFw(AF$7,VALUE(_xll.xlDateShiftMonth(VALUE(AF$13),LEFT($C43,LEN($C43)-1)*12)),0),0)</f>
        <v>44221</v>
      </c>
      <c r="AG75" s="3">
        <f>_xll.xlDateWorkFw(AG$8,_xll.xlDateWorkFw(AG$7,VALUE(_xll.xlDateShiftMonth(VALUE(AG$13),LEFT($C43,LEN($C43)-1)*12)),0),0)</f>
        <v>44221</v>
      </c>
      <c r="AH75" s="3">
        <f>_xll.xlDateWorkFw(AH$8,_xll.xlDateWorkFw(AH$7,VALUE(_xll.xlDateShiftMonth(VALUE(AH$13),LEFT($C43,LEN($C43)-1)*12)),0),0)</f>
        <v>44221</v>
      </c>
      <c r="AI75" s="3">
        <f>_xll.xlDateWorkFw(AI$8,_xll.xlDateWorkFw(AI$7,VALUE(_xll.xlDateShiftMonth(VALUE(AI$13),LEFT($C43,LEN($C43)-1)*12)),0),0)</f>
        <v>44221</v>
      </c>
      <c r="AJ75" s="3">
        <f>_xll.xlDateWorkFw(AJ$8,_xll.xlDateWorkFw(AJ$7,VALUE(_xll.xlDateShiftMonth(VALUE(AJ$13),LEFT($C43,LEN($C43)-1)*12)),0),0)</f>
        <v>44228</v>
      </c>
      <c r="AK75" s="3">
        <f>_xll.xlDateWorkFw(AK$8,_xll.xlDateWorkFw(AK$7,VALUE(_xll.xlDateShiftMonth(VALUE(AK$13),LEFT($C43,LEN($C43)-1)*12)),0),0)</f>
        <v>44221</v>
      </c>
      <c r="AL75" s="3">
        <f>_xll.xlDateWorkFw(AL$8,_xll.xlDateWorkFw(AL$7,VALUE(_xll.xlDateShiftMonth(VALUE(AL$13),LEFT($C43,LEN($C43)-1)*12)),0),0)</f>
        <v>44221</v>
      </c>
      <c r="AM75" s="3">
        <f>_xll.xlDateWorkFw(AM$8,_xll.xlDateWorkFw(AM$7,VALUE(_xll.xlDateShiftMonth(VALUE(AM$13),LEFT($C43,LEN($C43)-1)*12)),0),0)</f>
        <v>44221</v>
      </c>
      <c r="AN75" s="3">
        <f>_xll.xlDateWorkFw(AN$8,_xll.xlDateWorkFw(AN$7,VALUE(_xll.xlDateShiftMonth(VALUE(AN$13),LEFT($C43,LEN($C43)-1)*12)),0),0)</f>
        <v>44221</v>
      </c>
      <c r="AO75" s="3">
        <f>_xll.xlDateWorkFw(AO$8,_xll.xlDateWorkFw(AO$7,VALUE(_xll.xlDateShiftMonth(VALUE(AO$13),LEFT($C43,LEN($C43)-1)*12)),0),0)</f>
        <v>44221</v>
      </c>
      <c r="AP75" s="3">
        <f>_xll.xlDateWorkFw(AP$8,_xll.xlDateWorkFw(AP$7,VALUE(_xll.xlDateShiftMonth(VALUE(AP$13),LEFT($C43,LEN($C43)-1)*12)),0),0)</f>
        <v>44221</v>
      </c>
    </row>
    <row r="76" spans="3:42" x14ac:dyDescent="0.2">
      <c r="C76" s="1" t="s">
        <v>156</v>
      </c>
      <c r="D76" s="3">
        <f>_xll.xlDateWorkFw("Target",_xll.xlDateWorkFw("Target",VALUE(_xll.xlDateShiftMonth(VALUE(E$13),LEFT($C44,LEN($C44)-1)*12)),0),0)</f>
        <v>44585</v>
      </c>
      <c r="E76" s="3">
        <f>_xll.xlDateWorkFw(E$8,_xll.xlDateWorkFw(E$7,VALUE(_xll.xlDateShiftMonth(VALUE(E$13),LEFT($C44,LEN($C44)-1)*12)),0),0)</f>
        <v>44585</v>
      </c>
      <c r="F76" s="3">
        <f>_xll.xlDateWorkFw(F$8,_xll.xlDateWorkFw(F$7,VALUE(_xll.xlDateShiftMonth(VALUE(F$13),LEFT($C44,LEN($C44)-1)*12)),0),0)</f>
        <v>44585</v>
      </c>
      <c r="G76" s="3">
        <f>_xll.xlDateWorkFw(G$8,_xll.xlDateWorkFw(G$7,VALUE(_xll.xlDateShiftMonth(VALUE(G$13),LEFT($C44,LEN($C44)-1)*12)),0),0)</f>
        <v>44585</v>
      </c>
      <c r="H76" s="3">
        <f>_xll.xlDateWorkFw(H$8,_xll.xlDateWorkFw(H$7,VALUE(_xll.xlDateShiftMonth(VALUE(H$13),LEFT($C44,LEN($C44)-1)*12)),0),0)</f>
        <v>44585</v>
      </c>
      <c r="I76" s="3">
        <f>_xll.xlDateWorkFw(I$8,_xll.xlDateWorkFw(I$7,VALUE(_xll.xlDateShiftMonth(VALUE(I$13),LEFT($C44,LEN($C44)-1)*12)),0),0)</f>
        <v>44581</v>
      </c>
      <c r="J76" s="3">
        <f>_xll.xlDateWorkFw(J$8,_xll.xlDateWorkFw(J$7,VALUE(_xll.xlDateShiftMonth(VALUE(J$13),LEFT($C44,LEN($C44)-1)*12)),0),0)</f>
        <v>44585</v>
      </c>
      <c r="K76" s="3">
        <f>_xll.xlDateWorkFw(K$8,_xll.xlDateWorkFw(K$7,VALUE(_xll.xlDateShiftMonth(VALUE(K$13),LEFT($C44,LEN($C44)-1)*12)),0),0)</f>
        <v>44585</v>
      </c>
      <c r="L76" s="3">
        <f>_xll.xlDateWorkFw(L$8,_xll.xlDateWorkFw(L$7,VALUE(_xll.xlDateShiftMonth(VALUE(L$13),LEFT($C44,LEN($C44)-1)*12)),0),0)</f>
        <v>44585</v>
      </c>
      <c r="M76" s="3">
        <f>_xll.xlDateWorkFw(M$8,_xll.xlDateWorkFw(M$7,VALUE(_xll.xlDateShiftMonth(VALUE(M$13),LEFT($C44,LEN($C44)-1)*12)),0),0)</f>
        <v>44585</v>
      </c>
      <c r="N76" s="3">
        <f>_xll.xlDateWorkFw(N$8,_xll.xlDateWorkFw(N$7,VALUE(_xll.xlDateShiftMonth(VALUE(N$13),LEFT($C44,LEN($C44)-1)*12)),0),0)</f>
        <v>44585</v>
      </c>
      <c r="O76" s="3">
        <f>_xll.xlDateWorkFw(O$8,_xll.xlDateWorkFw(O$7,VALUE(_xll.xlDateShiftMonth(VALUE(O$13),LEFT($C44,LEN($C44)-1)*12)),0),0)</f>
        <v>44585</v>
      </c>
      <c r="P76" s="3">
        <f>_xll.xlDateWorkFw(P$8,_xll.xlDateWorkFw(P$7,VALUE(_xll.xlDateShiftMonth(VALUE(P$13),LEFT($C44,LEN($C44)-1)*12)),0),0)</f>
        <v>44585</v>
      </c>
      <c r="Q76" s="3">
        <f>_xll.xlDateWorkFw(Q$8,_xll.xlDateWorkFw(Q$7,VALUE(_xll.xlDateShiftMonth(VALUE(Q$13),LEFT($C44,LEN($C44)-1)*12)),0),0)</f>
        <v>44585</v>
      </c>
      <c r="R76" s="3">
        <f>_xll.xlDateWorkFw(R$8,_xll.xlDateWorkFw(R$7,VALUE(_xll.xlDateShiftMonth(VALUE(R$13),LEFT($C44,LEN($C44)-1)*12)),0),0)</f>
        <v>44585</v>
      </c>
      <c r="S76" s="3">
        <f>_xll.xlDateWorkFw(S$8,_xll.xlDateWorkFw(S$7,VALUE(_xll.xlDateShiftMonth(VALUE(S$13),LEFT($C44,LEN($C44)-1)*12)),0),0)</f>
        <v>44585</v>
      </c>
      <c r="T76" s="3">
        <f>_xll.xlDateWorkFw(T$8,_xll.xlDateWorkFw(T$7,VALUE(_xll.xlDateShiftMonth(VALUE(T$13),LEFT($C44,LEN($C44)-1)*12)),0),0)</f>
        <v>44586</v>
      </c>
      <c r="U76" s="3">
        <f>_xll.xlDateWorkFw(U$8,_xll.xlDateWorkFw(U$7,VALUE(_xll.xlDateShiftMonth(VALUE(U$13),LEFT($C44,LEN($C44)-1)*12)),0),0)</f>
        <v>44593</v>
      </c>
      <c r="V76" s="3">
        <f>_xll.xlDateWorkFw(V$8,_xll.xlDateWorkFw(V$7,VALUE(_xll.xlDateShiftMonth(VALUE(V$13),LEFT($C44,LEN($C44)-1)*12)),0),0)</f>
        <v>44585</v>
      </c>
      <c r="W76" s="3">
        <f>_xll.xlDateWorkFw(W$8,_xll.xlDateWorkFw(W$7,VALUE(_xll.xlDateShiftMonth(VALUE(W$13),LEFT($C44,LEN($C44)-1)*12)),0),0)</f>
        <v>44585</v>
      </c>
      <c r="X76" s="3">
        <f>_xll.xlDateWorkFw(X$8,_xll.xlDateWorkFw(X$7,VALUE(_xll.xlDateShiftMonth(VALUE(X$13),LEFT($C44,LEN($C44)-1)*12)),0),0)</f>
        <v>44585</v>
      </c>
      <c r="Y76" s="3">
        <f>_xll.xlDateWorkFw(Y$8,_xll.xlDateWorkFw(Y$7,VALUE(_xll.xlDateShiftMonth(VALUE(Y$13),LEFT($C44,LEN($C44)-1)*12)),0),0)</f>
        <v>44585</v>
      </c>
      <c r="Z76" s="3">
        <f>_xll.xlDateWorkFw(Z$8,_xll.xlDateWorkFw(Z$7,VALUE(_xll.xlDateShiftMonth(VALUE(Z$13),LEFT($C44,LEN($C44)-1)*12)),0),0)</f>
        <v>44585</v>
      </c>
      <c r="AA76" s="3">
        <f>_xll.xlDateWorkFw(AA$8,_xll.xlDateWorkFw(AA$7,VALUE(_xll.xlDateShiftMonth(VALUE(AA$13),LEFT($C44,LEN($C44)-1)*12)),0),0)</f>
        <v>44585</v>
      </c>
      <c r="AB76" s="3">
        <f>_xll.xlDateWorkFw(AB$8,_xll.xlDateWorkFw(AB$7,VALUE(_xll.xlDateShiftMonth(VALUE(AB$13),LEFT($C44,LEN($C44)-1)*12)),0),0)</f>
        <v>44585</v>
      </c>
      <c r="AC76" s="3">
        <f>_xll.xlDateWorkFw(AC$8,_xll.xlDateWorkFw(AC$7,VALUE(_xll.xlDateShiftMonth(VALUE(AC$13),LEFT($C44,LEN($C44)-1)*12)),0),0)</f>
        <v>44585</v>
      </c>
      <c r="AD76" s="3">
        <f>_xll.xlDateWorkFw(AD$8,_xll.xlDateWorkFw(AD$7,VALUE(_xll.xlDateShiftMonth(VALUE(AD$13),LEFT($C44,LEN($C44)-1)*12)),0),0)</f>
        <v>44585</v>
      </c>
      <c r="AE76" s="3">
        <f>_xll.xlDateWorkFw(AE$8,_xll.xlDateWorkFw(AE$7,VALUE(_xll.xlDateShiftMonth(VALUE(AE$13),LEFT($C44,LEN($C44)-1)*12)),0),0)</f>
        <v>44585</v>
      </c>
      <c r="AF76" s="3">
        <f>_xll.xlDateWorkFw(AF$8,_xll.xlDateWorkFw(AF$7,VALUE(_xll.xlDateShiftMonth(VALUE(AF$13),LEFT($C44,LEN($C44)-1)*12)),0),0)</f>
        <v>44585</v>
      </c>
      <c r="AG76" s="3">
        <f>_xll.xlDateWorkFw(AG$8,_xll.xlDateWorkFw(AG$7,VALUE(_xll.xlDateShiftMonth(VALUE(AG$13),LEFT($C44,LEN($C44)-1)*12)),0),0)</f>
        <v>44586</v>
      </c>
      <c r="AH76" s="3">
        <f>_xll.xlDateWorkFw(AH$8,_xll.xlDateWorkFw(AH$7,VALUE(_xll.xlDateShiftMonth(VALUE(AH$13),LEFT($C44,LEN($C44)-1)*12)),0),0)</f>
        <v>44585</v>
      </c>
      <c r="AI76" s="3">
        <f>_xll.xlDateWorkFw(AI$8,_xll.xlDateWorkFw(AI$7,VALUE(_xll.xlDateShiftMonth(VALUE(AI$13),LEFT($C44,LEN($C44)-1)*12)),0),0)</f>
        <v>44585</v>
      </c>
      <c r="AJ76" s="3">
        <f>_xll.xlDateWorkFw(AJ$8,_xll.xlDateWorkFw(AJ$7,VALUE(_xll.xlDateShiftMonth(VALUE(AJ$13),LEFT($C44,LEN($C44)-1)*12)),0),0)</f>
        <v>44593</v>
      </c>
      <c r="AK76" s="3">
        <f>_xll.xlDateWorkFw(AK$8,_xll.xlDateWorkFw(AK$7,VALUE(_xll.xlDateShiftMonth(VALUE(AK$13),LEFT($C44,LEN($C44)-1)*12)),0),0)</f>
        <v>44585</v>
      </c>
      <c r="AL76" s="3">
        <f>_xll.xlDateWorkFw(AL$8,_xll.xlDateWorkFw(AL$7,VALUE(_xll.xlDateShiftMonth(VALUE(AL$13),LEFT($C44,LEN($C44)-1)*12)),0),0)</f>
        <v>44585</v>
      </c>
      <c r="AM76" s="3">
        <f>_xll.xlDateWorkFw(AM$8,_xll.xlDateWorkFw(AM$7,VALUE(_xll.xlDateShiftMonth(VALUE(AM$13),LEFT($C44,LEN($C44)-1)*12)),0),0)</f>
        <v>44585</v>
      </c>
      <c r="AN76" s="3">
        <f>_xll.xlDateWorkFw(AN$8,_xll.xlDateWorkFw(AN$7,VALUE(_xll.xlDateShiftMonth(VALUE(AN$13),LEFT($C44,LEN($C44)-1)*12)),0),0)</f>
        <v>44585</v>
      </c>
      <c r="AO76" s="3">
        <f>_xll.xlDateWorkFw(AO$8,_xll.xlDateWorkFw(AO$7,VALUE(_xll.xlDateShiftMonth(VALUE(AO$13),LEFT($C44,LEN($C44)-1)*12)),0),0)</f>
        <v>44585</v>
      </c>
      <c r="AP76" s="3">
        <f>_xll.xlDateWorkFw(AP$8,_xll.xlDateWorkFw(AP$7,VALUE(_xll.xlDateShiftMonth(VALUE(AP$13),LEFT($C44,LEN($C44)-1)*12)),0),0)</f>
        <v>44585</v>
      </c>
    </row>
    <row r="77" spans="3:42" x14ac:dyDescent="0.2">
      <c r="C77" s="1" t="s">
        <v>157</v>
      </c>
      <c r="D77" s="3">
        <f>_xll.xlDateWorkFw("Target",_xll.xlDateWorkFw("Target",VALUE(_xll.xlDateShiftMonth(VALUE(E$13),LEFT($C45,LEN($C45)-1)*12)),0),0)</f>
        <v>44949</v>
      </c>
      <c r="E77" s="3">
        <f>_xll.xlDateWorkFw(E$8,_xll.xlDateWorkFw(E$7,VALUE(_xll.xlDateShiftMonth(VALUE(E$13),LEFT($C45,LEN($C45)-1)*12)),0),0)</f>
        <v>44949</v>
      </c>
      <c r="F77" s="3">
        <f>_xll.xlDateWorkFw(F$8,_xll.xlDateWorkFw(F$7,VALUE(_xll.xlDateShiftMonth(VALUE(F$13),LEFT($C45,LEN($C45)-1)*12)),0),0)</f>
        <v>44949</v>
      </c>
      <c r="G77" s="3">
        <f>_xll.xlDateWorkFw(G$8,_xll.xlDateWorkFw(G$7,VALUE(_xll.xlDateShiftMonth(VALUE(G$13),LEFT($C45,LEN($C45)-1)*12)),0),0)</f>
        <v>44949</v>
      </c>
      <c r="H77" s="3">
        <f>_xll.xlDateWorkFw(H$8,_xll.xlDateWorkFw(H$7,VALUE(_xll.xlDateShiftMonth(VALUE(H$13),LEFT($C45,LEN($C45)-1)*12)),0),0)</f>
        <v>44949</v>
      </c>
      <c r="I77" s="3">
        <f>_xll.xlDateWorkFw(I$8,_xll.xlDateWorkFw(I$7,VALUE(_xll.xlDateShiftMonth(VALUE(I$13),LEFT($C45,LEN($C45)-1)*12)),0),0)</f>
        <v>44946</v>
      </c>
      <c r="J77" s="3">
        <f>_xll.xlDateWorkFw(J$8,_xll.xlDateWorkFw(J$7,VALUE(_xll.xlDateShiftMonth(VALUE(J$13),LEFT($C45,LEN($C45)-1)*12)),0),0)</f>
        <v>44949</v>
      </c>
      <c r="K77" s="3">
        <f>_xll.xlDateWorkFw(K$8,_xll.xlDateWorkFw(K$7,VALUE(_xll.xlDateShiftMonth(VALUE(K$13),LEFT($C45,LEN($C45)-1)*12)),0),0)</f>
        <v>44949</v>
      </c>
      <c r="L77" s="3">
        <f>_xll.xlDateWorkFw(L$8,_xll.xlDateWorkFw(L$7,VALUE(_xll.xlDateShiftMonth(VALUE(L$13),LEFT($C45,LEN($C45)-1)*12)),0),0)</f>
        <v>44949</v>
      </c>
      <c r="M77" s="3">
        <f>_xll.xlDateWorkFw(M$8,_xll.xlDateWorkFw(M$7,VALUE(_xll.xlDateShiftMonth(VALUE(M$13),LEFT($C45,LEN($C45)-1)*12)),0),0)</f>
        <v>44949</v>
      </c>
      <c r="N77" s="3">
        <f>_xll.xlDateWorkFw(N$8,_xll.xlDateWorkFw(N$7,VALUE(_xll.xlDateShiftMonth(VALUE(N$13),LEFT($C45,LEN($C45)-1)*12)),0),0)</f>
        <v>44949</v>
      </c>
      <c r="O77" s="3">
        <f>_xll.xlDateWorkFw(O$8,_xll.xlDateWorkFw(O$7,VALUE(_xll.xlDateShiftMonth(VALUE(O$13),LEFT($C45,LEN($C45)-1)*12)),0),0)</f>
        <v>44949</v>
      </c>
      <c r="P77" s="3">
        <f>_xll.xlDateWorkFw(P$8,_xll.xlDateWorkFw(P$7,VALUE(_xll.xlDateShiftMonth(VALUE(P$13),LEFT($C45,LEN($C45)-1)*12)),0),0)</f>
        <v>44949</v>
      </c>
      <c r="Q77" s="3">
        <f>_xll.xlDateWorkFw(Q$8,_xll.xlDateWorkFw(Q$7,VALUE(_xll.xlDateShiftMonth(VALUE(Q$13),LEFT($C45,LEN($C45)-1)*12)),0),0)</f>
        <v>44949</v>
      </c>
      <c r="R77" s="3">
        <f>_xll.xlDateWorkFw(R$8,_xll.xlDateWorkFw(R$7,VALUE(_xll.xlDateShiftMonth(VALUE(R$13),LEFT($C45,LEN($C45)-1)*12)),0),0)</f>
        <v>44949</v>
      </c>
      <c r="S77" s="3">
        <f>_xll.xlDateWorkFw(S$8,_xll.xlDateWorkFw(S$7,VALUE(_xll.xlDateShiftMonth(VALUE(S$13),LEFT($C45,LEN($C45)-1)*12)),0),0)</f>
        <v>44949</v>
      </c>
      <c r="T77" s="3">
        <f>_xll.xlDateWorkFw(T$8,_xll.xlDateWorkFw(T$7,VALUE(_xll.xlDateShiftMonth(VALUE(T$13),LEFT($C45,LEN($C45)-1)*12)),0),0)</f>
        <v>44951</v>
      </c>
      <c r="U77" s="3">
        <f>_xll.xlDateWorkFw(U$8,_xll.xlDateWorkFw(U$7,VALUE(_xll.xlDateShiftMonth(VALUE(U$13),LEFT($C45,LEN($C45)-1)*12)),0),0)</f>
        <v>44958</v>
      </c>
      <c r="V77" s="3">
        <f>_xll.xlDateWorkFw(V$8,_xll.xlDateWorkFw(V$7,VALUE(_xll.xlDateShiftMonth(VALUE(V$13),LEFT($C45,LEN($C45)-1)*12)),0),0)</f>
        <v>44949</v>
      </c>
      <c r="W77" s="3">
        <f>_xll.xlDateWorkFw(W$8,_xll.xlDateWorkFw(W$7,VALUE(_xll.xlDateShiftMonth(VALUE(W$13),LEFT($C45,LEN($C45)-1)*12)),0),0)</f>
        <v>44949</v>
      </c>
      <c r="X77" s="3">
        <f>_xll.xlDateWorkFw(X$8,_xll.xlDateWorkFw(X$7,VALUE(_xll.xlDateShiftMonth(VALUE(X$13),LEFT($C45,LEN($C45)-1)*12)),0),0)</f>
        <v>44949</v>
      </c>
      <c r="Y77" s="3">
        <f>_xll.xlDateWorkFw(Y$8,_xll.xlDateWorkFw(Y$7,VALUE(_xll.xlDateShiftMonth(VALUE(Y$13),LEFT($C45,LEN($C45)-1)*12)),0),0)</f>
        <v>44949</v>
      </c>
      <c r="Z77" s="3">
        <f>_xll.xlDateWorkFw(Z$8,_xll.xlDateWorkFw(Z$7,VALUE(_xll.xlDateShiftMonth(VALUE(Z$13),LEFT($C45,LEN($C45)-1)*12)),0),0)</f>
        <v>44949</v>
      </c>
      <c r="AA77" s="3">
        <f>_xll.xlDateWorkFw(AA$8,_xll.xlDateWorkFw(AA$7,VALUE(_xll.xlDateShiftMonth(VALUE(AA$13),LEFT($C45,LEN($C45)-1)*12)),0),0)</f>
        <v>44949</v>
      </c>
      <c r="AB77" s="3">
        <f>_xll.xlDateWorkFw(AB$8,_xll.xlDateWorkFw(AB$7,VALUE(_xll.xlDateShiftMonth(VALUE(AB$13),LEFT($C45,LEN($C45)-1)*12)),0),0)</f>
        <v>44949</v>
      </c>
      <c r="AC77" s="3">
        <f>_xll.xlDateWorkFw(AC$8,_xll.xlDateWorkFw(AC$7,VALUE(_xll.xlDateShiftMonth(VALUE(AC$13),LEFT($C45,LEN($C45)-1)*12)),0),0)</f>
        <v>44949</v>
      </c>
      <c r="AD77" s="3">
        <f>_xll.xlDateWorkFw(AD$8,_xll.xlDateWorkFw(AD$7,VALUE(_xll.xlDateShiftMonth(VALUE(AD$13),LEFT($C45,LEN($C45)-1)*12)),0),0)</f>
        <v>44949</v>
      </c>
      <c r="AE77" s="3">
        <f>_xll.xlDateWorkFw(AE$8,_xll.xlDateWorkFw(AE$7,VALUE(_xll.xlDateShiftMonth(VALUE(AE$13),LEFT($C45,LEN($C45)-1)*12)),0),0)</f>
        <v>44949</v>
      </c>
      <c r="AF77" s="3">
        <f>_xll.xlDateWorkFw(AF$8,_xll.xlDateWorkFw(AF$7,VALUE(_xll.xlDateShiftMonth(VALUE(AF$13),LEFT($C45,LEN($C45)-1)*12)),0),0)</f>
        <v>44949</v>
      </c>
      <c r="AG77" s="3">
        <f>_xll.xlDateWorkFw(AG$8,_xll.xlDateWorkFw(AG$7,VALUE(_xll.xlDateShiftMonth(VALUE(AG$13),LEFT($C45,LEN($C45)-1)*12)),0),0)</f>
        <v>44949</v>
      </c>
      <c r="AH77" s="3">
        <f>_xll.xlDateWorkFw(AH$8,_xll.xlDateWorkFw(AH$7,VALUE(_xll.xlDateShiftMonth(VALUE(AH$13),LEFT($C45,LEN($C45)-1)*12)),0),0)</f>
        <v>44949</v>
      </c>
      <c r="AI77" s="3">
        <f>_xll.xlDateWorkFw(AI$8,_xll.xlDateWorkFw(AI$7,VALUE(_xll.xlDateShiftMonth(VALUE(AI$13),LEFT($C45,LEN($C45)-1)*12)),0),0)</f>
        <v>44949</v>
      </c>
      <c r="AJ77" s="3">
        <f>_xll.xlDateWorkFw(AJ$8,_xll.xlDateWorkFw(AJ$7,VALUE(_xll.xlDateShiftMonth(VALUE(AJ$13),LEFT($C45,LEN($C45)-1)*12)),0),0)</f>
        <v>44958</v>
      </c>
      <c r="AK77" s="3">
        <f>_xll.xlDateWorkFw(AK$8,_xll.xlDateWorkFw(AK$7,VALUE(_xll.xlDateShiftMonth(VALUE(AK$13),LEFT($C45,LEN($C45)-1)*12)),0),0)</f>
        <v>44949</v>
      </c>
      <c r="AL77" s="3">
        <f>_xll.xlDateWorkFw(AL$8,_xll.xlDateWorkFw(AL$7,VALUE(_xll.xlDateShiftMonth(VALUE(AL$13),LEFT($C45,LEN($C45)-1)*12)),0),0)</f>
        <v>44949</v>
      </c>
      <c r="AM77" s="3">
        <f>_xll.xlDateWorkFw(AM$8,_xll.xlDateWorkFw(AM$7,VALUE(_xll.xlDateShiftMonth(VALUE(AM$13),LEFT($C45,LEN($C45)-1)*12)),0),0)</f>
        <v>44950</v>
      </c>
      <c r="AN77" s="3">
        <f>_xll.xlDateWorkFw(AN$8,_xll.xlDateWorkFw(AN$7,VALUE(_xll.xlDateShiftMonth(VALUE(AN$13),LEFT($C45,LEN($C45)-1)*12)),0),0)</f>
        <v>44949</v>
      </c>
      <c r="AO77" s="3">
        <f>_xll.xlDateWorkFw(AO$8,_xll.xlDateWorkFw(AO$7,VALUE(_xll.xlDateShiftMonth(VALUE(AO$13),LEFT($C45,LEN($C45)-1)*12)),0),0)</f>
        <v>44949</v>
      </c>
      <c r="AP77" s="3">
        <f>_xll.xlDateWorkFw(AP$8,_xll.xlDateWorkFw(AP$7,VALUE(_xll.xlDateShiftMonth(VALUE(AP$13),LEFT($C45,LEN($C45)-1)*12)),0),0)</f>
        <v>44949</v>
      </c>
    </row>
    <row r="78" spans="3:42" x14ac:dyDescent="0.2">
      <c r="C78" s="1" t="s">
        <v>158</v>
      </c>
      <c r="D78" s="3">
        <f>_xll.xlDateWorkFw("Target",_xll.xlDateWorkFw("Target",VALUE(_xll.xlDateShiftMonth(VALUE(E$13),LEFT($C46,LEN($C46)-1)*12)),0),0)</f>
        <v>45314</v>
      </c>
      <c r="E78" s="3">
        <f>_xll.xlDateWorkFw(E$8,_xll.xlDateWorkFw(E$7,VALUE(_xll.xlDateShiftMonth(VALUE(E$13),LEFT($C46,LEN($C46)-1)*12)),0),0)</f>
        <v>45314</v>
      </c>
      <c r="F78" s="3">
        <f>_xll.xlDateWorkFw(F$8,_xll.xlDateWorkFw(F$7,VALUE(_xll.xlDateShiftMonth(VALUE(F$13),LEFT($C46,LEN($C46)-1)*12)),0),0)</f>
        <v>45314</v>
      </c>
      <c r="G78" s="3">
        <f>_xll.xlDateWorkFw(G$8,_xll.xlDateWorkFw(G$7,VALUE(_xll.xlDateShiftMonth(VALUE(G$13),LEFT($C46,LEN($C46)-1)*12)),0),0)</f>
        <v>45314</v>
      </c>
      <c r="H78" s="3">
        <f>_xll.xlDateWorkFw(H$8,_xll.xlDateWorkFw(H$7,VALUE(_xll.xlDateShiftMonth(VALUE(H$13),LEFT($C46,LEN($C46)-1)*12)),0),0)</f>
        <v>45314</v>
      </c>
      <c r="I78" s="3">
        <f>_xll.xlDateWorkFw(I$8,_xll.xlDateWorkFw(I$7,VALUE(_xll.xlDateShiftMonth(VALUE(I$13),LEFT($C46,LEN($C46)-1)*12)),0),0)</f>
        <v>45313</v>
      </c>
      <c r="J78" s="3">
        <f>_xll.xlDateWorkFw(J$8,_xll.xlDateWorkFw(J$7,VALUE(_xll.xlDateShiftMonth(VALUE(J$13),LEFT($C46,LEN($C46)-1)*12)),0),0)</f>
        <v>45314</v>
      </c>
      <c r="K78" s="3">
        <f>_xll.xlDateWorkFw(K$8,_xll.xlDateWorkFw(K$7,VALUE(_xll.xlDateShiftMonth(VALUE(K$13),LEFT($C46,LEN($C46)-1)*12)),0),0)</f>
        <v>45314</v>
      </c>
      <c r="L78" s="3">
        <f>_xll.xlDateWorkFw(L$8,_xll.xlDateWorkFw(L$7,VALUE(_xll.xlDateShiftMonth(VALUE(L$13),LEFT($C46,LEN($C46)-1)*12)),0),0)</f>
        <v>45314</v>
      </c>
      <c r="M78" s="3">
        <f>_xll.xlDateWorkFw(M$8,_xll.xlDateWorkFw(M$7,VALUE(_xll.xlDateShiftMonth(VALUE(M$13),LEFT($C46,LEN($C46)-1)*12)),0),0)</f>
        <v>45314</v>
      </c>
      <c r="N78" s="3">
        <f>_xll.xlDateWorkFw(N$8,_xll.xlDateWorkFw(N$7,VALUE(_xll.xlDateShiftMonth(VALUE(N$13),LEFT($C46,LEN($C46)-1)*12)),0),0)</f>
        <v>45314</v>
      </c>
      <c r="O78" s="3">
        <f>_xll.xlDateWorkFw(O$8,_xll.xlDateWorkFw(O$7,VALUE(_xll.xlDateShiftMonth(VALUE(O$13),LEFT($C46,LEN($C46)-1)*12)),0),0)</f>
        <v>45314</v>
      </c>
      <c r="P78" s="3">
        <f>_xll.xlDateWorkFw(P$8,_xll.xlDateWorkFw(P$7,VALUE(_xll.xlDateShiftMonth(VALUE(P$13),LEFT($C46,LEN($C46)-1)*12)),0),0)</f>
        <v>45314</v>
      </c>
      <c r="Q78" s="3">
        <f>_xll.xlDateWorkFw(Q$8,_xll.xlDateWorkFw(Q$7,VALUE(_xll.xlDateShiftMonth(VALUE(Q$13),LEFT($C46,LEN($C46)-1)*12)),0),0)</f>
        <v>45314</v>
      </c>
      <c r="R78" s="3">
        <f>_xll.xlDateWorkFw(R$8,_xll.xlDateWorkFw(R$7,VALUE(_xll.xlDateShiftMonth(VALUE(R$13),LEFT($C46,LEN($C46)-1)*12)),0),0)</f>
        <v>45314</v>
      </c>
      <c r="S78" s="3">
        <f>_xll.xlDateWorkFw(S$8,_xll.xlDateWorkFw(S$7,VALUE(_xll.xlDateShiftMonth(VALUE(S$13),LEFT($C46,LEN($C46)-1)*12)),0),0)</f>
        <v>45314</v>
      </c>
      <c r="T78" s="3">
        <f>_xll.xlDateWorkFw(T$8,_xll.xlDateWorkFw(T$7,VALUE(_xll.xlDateShiftMonth(VALUE(T$13),LEFT($C46,LEN($C46)-1)*12)),0),0)</f>
        <v>45316</v>
      </c>
      <c r="U78" s="3">
        <f>_xll.xlDateWorkFw(U$8,_xll.xlDateWorkFw(U$7,VALUE(_xll.xlDateShiftMonth(VALUE(U$13),LEFT($C46,LEN($C46)-1)*12)),0),0)</f>
        <v>45323</v>
      </c>
      <c r="V78" s="3">
        <f>_xll.xlDateWorkFw(V$8,_xll.xlDateWorkFw(V$7,VALUE(_xll.xlDateShiftMonth(VALUE(V$13),LEFT($C46,LEN($C46)-1)*12)),0),0)</f>
        <v>45314</v>
      </c>
      <c r="W78" s="3">
        <f>_xll.xlDateWorkFw(W$8,_xll.xlDateWorkFw(W$7,VALUE(_xll.xlDateShiftMonth(VALUE(W$13),LEFT($C46,LEN($C46)-1)*12)),0),0)</f>
        <v>45314</v>
      </c>
      <c r="X78" s="3">
        <f>_xll.xlDateWorkFw(X$8,_xll.xlDateWorkFw(X$7,VALUE(_xll.xlDateShiftMonth(VALUE(X$13),LEFT($C46,LEN($C46)-1)*12)),0),0)</f>
        <v>45314</v>
      </c>
      <c r="Y78" s="3">
        <f>_xll.xlDateWorkFw(Y$8,_xll.xlDateWorkFw(Y$7,VALUE(_xll.xlDateShiftMonth(VALUE(Y$13),LEFT($C46,LEN($C46)-1)*12)),0),0)</f>
        <v>45314</v>
      </c>
      <c r="Z78" s="3">
        <f>_xll.xlDateWorkFw(Z$8,_xll.xlDateWorkFw(Z$7,VALUE(_xll.xlDateShiftMonth(VALUE(Z$13),LEFT($C46,LEN($C46)-1)*12)),0),0)</f>
        <v>45314</v>
      </c>
      <c r="AA78" s="3">
        <f>_xll.xlDateWorkFw(AA$8,_xll.xlDateWorkFw(AA$7,VALUE(_xll.xlDateShiftMonth(VALUE(AA$13),LEFT($C46,LEN($C46)-1)*12)),0),0)</f>
        <v>45314</v>
      </c>
      <c r="AB78" s="3">
        <f>_xll.xlDateWorkFw(AB$8,_xll.xlDateWorkFw(AB$7,VALUE(_xll.xlDateShiftMonth(VALUE(AB$13),LEFT($C46,LEN($C46)-1)*12)),0),0)</f>
        <v>45314</v>
      </c>
      <c r="AC78" s="3">
        <f>_xll.xlDateWorkFw(AC$8,_xll.xlDateWorkFw(AC$7,VALUE(_xll.xlDateShiftMonth(VALUE(AC$13),LEFT($C46,LEN($C46)-1)*12)),0),0)</f>
        <v>45314</v>
      </c>
      <c r="AD78" s="3">
        <f>_xll.xlDateWorkFw(AD$8,_xll.xlDateWorkFw(AD$7,VALUE(_xll.xlDateShiftMonth(VALUE(AD$13),LEFT($C46,LEN($C46)-1)*12)),0),0)</f>
        <v>45314</v>
      </c>
      <c r="AE78" s="3">
        <f>_xll.xlDateWorkFw(AE$8,_xll.xlDateWorkFw(AE$7,VALUE(_xll.xlDateShiftMonth(VALUE(AE$13),LEFT($C46,LEN($C46)-1)*12)),0),0)</f>
        <v>45314</v>
      </c>
      <c r="AF78" s="3">
        <f>_xll.xlDateWorkFw(AF$8,_xll.xlDateWorkFw(AF$7,VALUE(_xll.xlDateShiftMonth(VALUE(AF$13),LEFT($C46,LEN($C46)-1)*12)),0),0)</f>
        <v>45314</v>
      </c>
      <c r="AG78" s="3">
        <f>_xll.xlDateWorkFw(AG$8,_xll.xlDateWorkFw(AG$7,VALUE(_xll.xlDateShiftMonth(VALUE(AG$13),LEFT($C46,LEN($C46)-1)*12)),0),0)</f>
        <v>45314</v>
      </c>
      <c r="AH78" s="3">
        <f>_xll.xlDateWorkFw(AH$8,_xll.xlDateWorkFw(AH$7,VALUE(_xll.xlDateShiftMonth(VALUE(AH$13),LEFT($C46,LEN($C46)-1)*12)),0),0)</f>
        <v>45314</v>
      </c>
      <c r="AI78" s="3">
        <f>_xll.xlDateWorkFw(AI$8,_xll.xlDateWorkFw(AI$7,VALUE(_xll.xlDateShiftMonth(VALUE(AI$13),LEFT($C46,LEN($C46)-1)*12)),0),0)</f>
        <v>45314</v>
      </c>
      <c r="AJ78" s="3">
        <f>_xll.xlDateWorkFw(AJ$8,_xll.xlDateWorkFw(AJ$7,VALUE(_xll.xlDateShiftMonth(VALUE(AJ$13),LEFT($C46,LEN($C46)-1)*12)),0),0)</f>
        <v>45323</v>
      </c>
      <c r="AK78" s="3">
        <f>_xll.xlDateWorkFw(AK$8,_xll.xlDateWorkFw(AK$7,VALUE(_xll.xlDateShiftMonth(VALUE(AK$13),LEFT($C46,LEN($C46)-1)*12)),0),0)</f>
        <v>45314</v>
      </c>
      <c r="AL78" s="3">
        <f>_xll.xlDateWorkFw(AL$8,_xll.xlDateWorkFw(AL$7,VALUE(_xll.xlDateShiftMonth(VALUE(AL$13),LEFT($C46,LEN($C46)-1)*12)),0),0)</f>
        <v>45314</v>
      </c>
      <c r="AM78" s="3">
        <f>_xll.xlDateWorkFw(AM$8,_xll.xlDateWorkFw(AM$7,VALUE(_xll.xlDateShiftMonth(VALUE(AM$13),LEFT($C46,LEN($C46)-1)*12)),0),0)</f>
        <v>45315</v>
      </c>
      <c r="AN78" s="3">
        <f>_xll.xlDateWorkFw(AN$8,_xll.xlDateWorkFw(AN$7,VALUE(_xll.xlDateShiftMonth(VALUE(AN$13),LEFT($C46,LEN($C46)-1)*12)),0),0)</f>
        <v>45314</v>
      </c>
      <c r="AO78" s="3">
        <f>_xll.xlDateWorkFw(AO$8,_xll.xlDateWorkFw(AO$7,VALUE(_xll.xlDateShiftMonth(VALUE(AO$13),LEFT($C46,LEN($C46)-1)*12)),0),0)</f>
        <v>45314</v>
      </c>
      <c r="AP78" s="3">
        <f>_xll.xlDateWorkFw(AP$8,_xll.xlDateWorkFw(AP$7,VALUE(_xll.xlDateShiftMonth(VALUE(AP$13),LEFT($C46,LEN($C46)-1)*12)),0),0)</f>
        <v>45314</v>
      </c>
    </row>
    <row r="79" spans="3:42" x14ac:dyDescent="0.2">
      <c r="C79" s="1" t="s">
        <v>160</v>
      </c>
      <c r="D79" s="3">
        <f>_xll.xlDateWorkFw("Target",_xll.xlDateWorkFw("Target",VALUE(_xll.xlDateShiftMonth(VALUE(E$13),LEFT($C47,LEN($C47)-1)*12)),0),0)</f>
        <v>45680</v>
      </c>
      <c r="E79" s="3">
        <f>_xll.xlDateWorkFw(E$8,_xll.xlDateWorkFw(E$7,VALUE(_xll.xlDateShiftMonth(VALUE(E$13),LEFT($C47,LEN($C47)-1)*12)),0),0)</f>
        <v>45680</v>
      </c>
      <c r="F79" s="3">
        <f>_xll.xlDateWorkFw(F$8,_xll.xlDateWorkFw(F$7,VALUE(_xll.xlDateShiftMonth(VALUE(F$13),LEFT($C47,LEN($C47)-1)*12)),0),0)</f>
        <v>45680</v>
      </c>
      <c r="G79" s="3">
        <f>_xll.xlDateWorkFw(G$8,_xll.xlDateWorkFw(G$7,VALUE(_xll.xlDateShiftMonth(VALUE(G$13),LEFT($C47,LEN($C47)-1)*12)),0),0)</f>
        <v>45680</v>
      </c>
      <c r="H79" s="3">
        <f>_xll.xlDateWorkFw(H$8,_xll.xlDateWorkFw(H$7,VALUE(_xll.xlDateShiftMonth(VALUE(H$13),LEFT($C47,LEN($C47)-1)*12)),0),0)</f>
        <v>45680</v>
      </c>
      <c r="I79" s="3">
        <f>_xll.xlDateWorkFw(I$8,_xll.xlDateWorkFw(I$7,VALUE(_xll.xlDateShiftMonth(VALUE(I$13),LEFT($C47,LEN($C47)-1)*12)),0),0)</f>
        <v>45678</v>
      </c>
      <c r="J79" s="3">
        <f>_xll.xlDateWorkFw(J$8,_xll.xlDateWorkFw(J$7,VALUE(_xll.xlDateShiftMonth(VALUE(J$13),LEFT($C47,LEN($C47)-1)*12)),0),0)</f>
        <v>45680</v>
      </c>
      <c r="K79" s="3">
        <f>_xll.xlDateWorkFw(K$8,_xll.xlDateWorkFw(K$7,VALUE(_xll.xlDateShiftMonth(VALUE(K$13),LEFT($C47,LEN($C47)-1)*12)),0),0)</f>
        <v>45680</v>
      </c>
      <c r="L79" s="3">
        <f>_xll.xlDateWorkFw(L$8,_xll.xlDateWorkFw(L$7,VALUE(_xll.xlDateShiftMonth(VALUE(L$13),LEFT($C47,LEN($C47)-1)*12)),0),0)</f>
        <v>45680</v>
      </c>
      <c r="M79" s="3">
        <f>_xll.xlDateWorkFw(M$8,_xll.xlDateWorkFw(M$7,VALUE(_xll.xlDateShiftMonth(VALUE(M$13),LEFT($C47,LEN($C47)-1)*12)),0),0)</f>
        <v>45680</v>
      </c>
      <c r="N79" s="3">
        <f>_xll.xlDateWorkFw(N$8,_xll.xlDateWorkFw(N$7,VALUE(_xll.xlDateShiftMonth(VALUE(N$13),LEFT($C47,LEN($C47)-1)*12)),0),0)</f>
        <v>45680</v>
      </c>
      <c r="O79" s="3">
        <f>_xll.xlDateWorkFw(O$8,_xll.xlDateWorkFw(O$7,VALUE(_xll.xlDateShiftMonth(VALUE(O$13),LEFT($C47,LEN($C47)-1)*12)),0),0)</f>
        <v>45680</v>
      </c>
      <c r="P79" s="3">
        <f>_xll.xlDateWorkFw(P$8,_xll.xlDateWorkFw(P$7,VALUE(_xll.xlDateShiftMonth(VALUE(P$13),LEFT($C47,LEN($C47)-1)*12)),0),0)</f>
        <v>45680</v>
      </c>
      <c r="Q79" s="3">
        <f>_xll.xlDateWorkFw(Q$8,_xll.xlDateWorkFw(Q$7,VALUE(_xll.xlDateShiftMonth(VALUE(Q$13),LEFT($C47,LEN($C47)-1)*12)),0),0)</f>
        <v>45680</v>
      </c>
      <c r="R79" s="3">
        <f>_xll.xlDateWorkFw(R$8,_xll.xlDateWorkFw(R$7,VALUE(_xll.xlDateShiftMonth(VALUE(R$13),LEFT($C47,LEN($C47)-1)*12)),0),0)</f>
        <v>45680</v>
      </c>
      <c r="S79" s="3">
        <f>_xll.xlDateWorkFw(S$8,_xll.xlDateWorkFw(S$7,VALUE(_xll.xlDateShiftMonth(VALUE(S$13),LEFT($C47,LEN($C47)-1)*12)),0),0)</f>
        <v>45680</v>
      </c>
      <c r="T79" s="3">
        <f>_xll.xlDateWorkFw(T$8,_xll.xlDateWorkFw(T$7,VALUE(_xll.xlDateShiftMonth(VALUE(T$13),LEFT($C47,LEN($C47)-1)*12)),0),0)</f>
        <v>45684</v>
      </c>
      <c r="U79" s="3">
        <f>_xll.xlDateWorkFw(U$8,_xll.xlDateWorkFw(U$7,VALUE(_xll.xlDateShiftMonth(VALUE(U$13),LEFT($C47,LEN($C47)-1)*12)),0),0)</f>
        <v>45691</v>
      </c>
      <c r="V79" s="3">
        <f>_xll.xlDateWorkFw(V$8,_xll.xlDateWorkFw(V$7,VALUE(_xll.xlDateShiftMonth(VALUE(V$13),LEFT($C47,LEN($C47)-1)*12)),0),0)</f>
        <v>45680</v>
      </c>
      <c r="W79" s="3">
        <f>_xll.xlDateWorkFw(W$8,_xll.xlDateWorkFw(W$7,VALUE(_xll.xlDateShiftMonth(VALUE(W$13),LEFT($C47,LEN($C47)-1)*12)),0),0)</f>
        <v>45680</v>
      </c>
      <c r="X79" s="3">
        <f>_xll.xlDateWorkFw(X$8,_xll.xlDateWorkFw(X$7,VALUE(_xll.xlDateShiftMonth(VALUE(X$13),LEFT($C47,LEN($C47)-1)*12)),0),0)</f>
        <v>45680</v>
      </c>
      <c r="Y79" s="3">
        <f>_xll.xlDateWorkFw(Y$8,_xll.xlDateWorkFw(Y$7,VALUE(_xll.xlDateShiftMonth(VALUE(Y$13),LEFT($C47,LEN($C47)-1)*12)),0),0)</f>
        <v>45680</v>
      </c>
      <c r="Z79" s="3">
        <f>_xll.xlDateWorkFw(Z$8,_xll.xlDateWorkFw(Z$7,VALUE(_xll.xlDateShiftMonth(VALUE(Z$13),LEFT($C47,LEN($C47)-1)*12)),0),0)</f>
        <v>45680</v>
      </c>
      <c r="AA79" s="3">
        <f>_xll.xlDateWorkFw(AA$8,_xll.xlDateWorkFw(AA$7,VALUE(_xll.xlDateShiftMonth(VALUE(AA$13),LEFT($C47,LEN($C47)-1)*12)),0),0)</f>
        <v>45680</v>
      </c>
      <c r="AB79" s="3">
        <f>_xll.xlDateWorkFw(AB$8,_xll.xlDateWorkFw(AB$7,VALUE(_xll.xlDateShiftMonth(VALUE(AB$13),LEFT($C47,LEN($C47)-1)*12)),0),0)</f>
        <v>45680</v>
      </c>
      <c r="AC79" s="3">
        <f>_xll.xlDateWorkFw(AC$8,_xll.xlDateWorkFw(AC$7,VALUE(_xll.xlDateShiftMonth(VALUE(AC$13),LEFT($C47,LEN($C47)-1)*12)),0),0)</f>
        <v>45680</v>
      </c>
      <c r="AD79" s="3">
        <f>_xll.xlDateWorkFw(AD$8,_xll.xlDateWorkFw(AD$7,VALUE(_xll.xlDateShiftMonth(VALUE(AD$13),LEFT($C47,LEN($C47)-1)*12)),0),0)</f>
        <v>45680</v>
      </c>
      <c r="AE79" s="3">
        <f>_xll.xlDateWorkFw(AE$8,_xll.xlDateWorkFw(AE$7,VALUE(_xll.xlDateShiftMonth(VALUE(AE$13),LEFT($C47,LEN($C47)-1)*12)),0),0)</f>
        <v>45680</v>
      </c>
      <c r="AF79" s="3">
        <f>_xll.xlDateWorkFw(AF$8,_xll.xlDateWorkFw(AF$7,VALUE(_xll.xlDateShiftMonth(VALUE(AF$13),LEFT($C47,LEN($C47)-1)*12)),0),0)</f>
        <v>45680</v>
      </c>
      <c r="AG79" s="3">
        <f>_xll.xlDateWorkFw(AG$8,_xll.xlDateWorkFw(AG$7,VALUE(_xll.xlDateShiftMonth(VALUE(AG$13),LEFT($C47,LEN($C47)-1)*12)),0),0)</f>
        <v>45680</v>
      </c>
      <c r="AH79" s="3">
        <f>_xll.xlDateWorkFw(AH$8,_xll.xlDateWorkFw(AH$7,VALUE(_xll.xlDateShiftMonth(VALUE(AH$13),LEFT($C47,LEN($C47)-1)*12)),0),0)</f>
        <v>45680</v>
      </c>
      <c r="AI79" s="3">
        <f>_xll.xlDateWorkFw(AI$8,_xll.xlDateWorkFw(AI$7,VALUE(_xll.xlDateShiftMonth(VALUE(AI$13),LEFT($C47,LEN($C47)-1)*12)),0),0)</f>
        <v>45680</v>
      </c>
      <c r="AJ79" s="3">
        <f>_xll.xlDateWorkFw(AJ$8,_xll.xlDateWorkFw(AJ$7,VALUE(_xll.xlDateShiftMonth(VALUE(AJ$13),LEFT($C47,LEN($C47)-1)*12)),0),0)</f>
        <v>45691</v>
      </c>
      <c r="AK79" s="3">
        <f>_xll.xlDateWorkFw(AK$8,_xll.xlDateWorkFw(AK$7,VALUE(_xll.xlDateShiftMonth(VALUE(AK$13),LEFT($C47,LEN($C47)-1)*12)),0),0)</f>
        <v>45680</v>
      </c>
      <c r="AL79" s="3">
        <f>_xll.xlDateWorkFw(AL$8,_xll.xlDateWorkFw(AL$7,VALUE(_xll.xlDateShiftMonth(VALUE(AL$13),LEFT($C47,LEN($C47)-1)*12)),0),0)</f>
        <v>45680</v>
      </c>
      <c r="AM79" s="3">
        <f>_xll.xlDateWorkFw(AM$8,_xll.xlDateWorkFw(AM$7,VALUE(_xll.xlDateShiftMonth(VALUE(AM$13),LEFT($C47,LEN($C47)-1)*12)),0),0)</f>
        <v>45684</v>
      </c>
      <c r="AN79" s="3">
        <f>_xll.xlDateWorkFw(AN$8,_xll.xlDateWorkFw(AN$7,VALUE(_xll.xlDateShiftMonth(VALUE(AN$13),LEFT($C47,LEN($C47)-1)*12)),0),0)</f>
        <v>45680</v>
      </c>
      <c r="AO79" s="3">
        <f>_xll.xlDateWorkFw(AO$8,_xll.xlDateWorkFw(AO$7,VALUE(_xll.xlDateShiftMonth(VALUE(AO$13),LEFT($C47,LEN($C47)-1)*12)),0),0)</f>
        <v>45680</v>
      </c>
      <c r="AP79" s="3">
        <f>_xll.xlDateWorkFw(AP$8,_xll.xlDateWorkFw(AP$7,VALUE(_xll.xlDateShiftMonth(VALUE(AP$13),LEFT($C47,LEN($C47)-1)*12)),0),0)</f>
        <v>45680</v>
      </c>
    </row>
    <row r="80" spans="3:42" x14ac:dyDescent="0.2">
      <c r="C80" s="1" t="s">
        <v>162</v>
      </c>
      <c r="D80" s="3">
        <f>_xll.xlDateWorkFw("Target",_xll.xlDateWorkFw("Target",VALUE(_xll.xlDateShiftMonth(VALUE(E$13),LEFT($C48,LEN($C48)-1)*12)),0),0)</f>
        <v>46045</v>
      </c>
      <c r="E80" s="3">
        <f>_xll.xlDateWorkFw(E$8,_xll.xlDateWorkFw(E$7,VALUE(_xll.xlDateShiftMonth(VALUE(E$13),LEFT($C48,LEN($C48)-1)*12)),0),0)</f>
        <v>46045</v>
      </c>
      <c r="F80" s="3">
        <f>_xll.xlDateWorkFw(F$8,_xll.xlDateWorkFw(F$7,VALUE(_xll.xlDateShiftMonth(VALUE(F$13),LEFT($C48,LEN($C48)-1)*12)),0),0)</f>
        <v>46045</v>
      </c>
      <c r="G80" s="3">
        <f>_xll.xlDateWorkFw(G$8,_xll.xlDateWorkFw(G$7,VALUE(_xll.xlDateShiftMonth(VALUE(G$13),LEFT($C48,LEN($C48)-1)*12)),0),0)</f>
        <v>46045</v>
      </c>
      <c r="H80" s="3">
        <f>_xll.xlDateWorkFw(H$8,_xll.xlDateWorkFw(H$7,VALUE(_xll.xlDateShiftMonth(VALUE(H$13),LEFT($C48,LEN($C48)-1)*12)),0),0)</f>
        <v>46045</v>
      </c>
      <c r="I80" s="3">
        <f>_xll.xlDateWorkFw(I$8,_xll.xlDateWorkFw(I$7,VALUE(_xll.xlDateShiftMonth(VALUE(I$13),LEFT($C48,LEN($C48)-1)*12)),0),0)</f>
        <v>46042</v>
      </c>
      <c r="J80" s="3">
        <f>_xll.xlDateWorkFw(J$8,_xll.xlDateWorkFw(J$7,VALUE(_xll.xlDateShiftMonth(VALUE(J$13),LEFT($C48,LEN($C48)-1)*12)),0),0)</f>
        <v>46045</v>
      </c>
      <c r="K80" s="3">
        <f>_xll.xlDateWorkFw(K$8,_xll.xlDateWorkFw(K$7,VALUE(_xll.xlDateShiftMonth(VALUE(K$13),LEFT($C48,LEN($C48)-1)*12)),0),0)</f>
        <v>46045</v>
      </c>
      <c r="L80" s="3">
        <f>_xll.xlDateWorkFw(L$8,_xll.xlDateWorkFw(L$7,VALUE(_xll.xlDateShiftMonth(VALUE(L$13),LEFT($C48,LEN($C48)-1)*12)),0),0)</f>
        <v>46045</v>
      </c>
      <c r="M80" s="3">
        <f>_xll.xlDateWorkFw(M$8,_xll.xlDateWorkFw(M$7,VALUE(_xll.xlDateShiftMonth(VALUE(M$13),LEFT($C48,LEN($C48)-1)*12)),0),0)</f>
        <v>46045</v>
      </c>
      <c r="N80" s="3">
        <f>_xll.xlDateWorkFw(N$8,_xll.xlDateWorkFw(N$7,VALUE(_xll.xlDateShiftMonth(VALUE(N$13),LEFT($C48,LEN($C48)-1)*12)),0),0)</f>
        <v>46045</v>
      </c>
      <c r="O80" s="3">
        <f>_xll.xlDateWorkFw(O$8,_xll.xlDateWorkFw(O$7,VALUE(_xll.xlDateShiftMonth(VALUE(O$13),LEFT($C48,LEN($C48)-1)*12)),0),0)</f>
        <v>46045</v>
      </c>
      <c r="P80" s="3">
        <f>_xll.xlDateWorkFw(P$8,_xll.xlDateWorkFw(P$7,VALUE(_xll.xlDateShiftMonth(VALUE(P$13),LEFT($C48,LEN($C48)-1)*12)),0),0)</f>
        <v>46045</v>
      </c>
      <c r="Q80" s="3">
        <f>_xll.xlDateWorkFw(Q$8,_xll.xlDateWorkFw(Q$7,VALUE(_xll.xlDateShiftMonth(VALUE(Q$13),LEFT($C48,LEN($C48)-1)*12)),0),0)</f>
        <v>46045</v>
      </c>
      <c r="R80" s="3">
        <f>_xll.xlDateWorkFw(R$8,_xll.xlDateWorkFw(R$7,VALUE(_xll.xlDateShiftMonth(VALUE(R$13),LEFT($C48,LEN($C48)-1)*12)),0),0)</f>
        <v>46045</v>
      </c>
      <c r="S80" s="3">
        <f>_xll.xlDateWorkFw(S$8,_xll.xlDateWorkFw(S$7,VALUE(_xll.xlDateShiftMonth(VALUE(S$13),LEFT($C48,LEN($C48)-1)*12)),0),0)</f>
        <v>46045</v>
      </c>
      <c r="T80" s="3">
        <f>_xll.xlDateWorkFw(T$8,_xll.xlDateWorkFw(T$7,VALUE(_xll.xlDateShiftMonth(VALUE(T$13),LEFT($C48,LEN($C48)-1)*12)),0),0)</f>
        <v>46048</v>
      </c>
      <c r="U80" s="3">
        <f>_xll.xlDateWorkFw(U$8,_xll.xlDateWorkFw(U$7,VALUE(_xll.xlDateShiftMonth(VALUE(U$13),LEFT($C48,LEN($C48)-1)*12)),0),0)</f>
        <v>46055</v>
      </c>
      <c r="V80" s="3">
        <f>_xll.xlDateWorkFw(V$8,_xll.xlDateWorkFw(V$7,VALUE(_xll.xlDateShiftMonth(VALUE(V$13),LEFT($C48,LEN($C48)-1)*12)),0),0)</f>
        <v>46045</v>
      </c>
      <c r="W80" s="3">
        <f>_xll.xlDateWorkFw(W$8,_xll.xlDateWorkFw(W$7,VALUE(_xll.xlDateShiftMonth(VALUE(W$13),LEFT($C48,LEN($C48)-1)*12)),0),0)</f>
        <v>46045</v>
      </c>
      <c r="X80" s="3">
        <f>_xll.xlDateWorkFw(X$8,_xll.xlDateWorkFw(X$7,VALUE(_xll.xlDateShiftMonth(VALUE(X$13),LEFT($C48,LEN($C48)-1)*12)),0),0)</f>
        <v>46045</v>
      </c>
      <c r="Y80" s="3">
        <f>_xll.xlDateWorkFw(Y$8,_xll.xlDateWorkFw(Y$7,VALUE(_xll.xlDateShiftMonth(VALUE(Y$13),LEFT($C48,LEN($C48)-1)*12)),0),0)</f>
        <v>46045</v>
      </c>
      <c r="Z80" s="3">
        <f>_xll.xlDateWorkFw(Z$8,_xll.xlDateWorkFw(Z$7,VALUE(_xll.xlDateShiftMonth(VALUE(Z$13),LEFT($C48,LEN($C48)-1)*12)),0),0)</f>
        <v>46045</v>
      </c>
      <c r="AA80" s="3">
        <f>_xll.xlDateWorkFw(AA$8,_xll.xlDateWorkFw(AA$7,VALUE(_xll.xlDateShiftMonth(VALUE(AA$13),LEFT($C48,LEN($C48)-1)*12)),0),0)</f>
        <v>46045</v>
      </c>
      <c r="AB80" s="3">
        <f>_xll.xlDateWorkFw(AB$8,_xll.xlDateWorkFw(AB$7,VALUE(_xll.xlDateShiftMonth(VALUE(AB$13),LEFT($C48,LEN($C48)-1)*12)),0),0)</f>
        <v>46045</v>
      </c>
      <c r="AC80" s="3">
        <f>_xll.xlDateWorkFw(AC$8,_xll.xlDateWorkFw(AC$7,VALUE(_xll.xlDateShiftMonth(VALUE(AC$13),LEFT($C48,LEN($C48)-1)*12)),0),0)</f>
        <v>46045</v>
      </c>
      <c r="AD80" s="3">
        <f>_xll.xlDateWorkFw(AD$8,_xll.xlDateWorkFw(AD$7,VALUE(_xll.xlDateShiftMonth(VALUE(AD$13),LEFT($C48,LEN($C48)-1)*12)),0),0)</f>
        <v>46045</v>
      </c>
      <c r="AE80" s="3">
        <f>_xll.xlDateWorkFw(AE$8,_xll.xlDateWorkFw(AE$7,VALUE(_xll.xlDateShiftMonth(VALUE(AE$13),LEFT($C48,LEN($C48)-1)*12)),0),0)</f>
        <v>46045</v>
      </c>
      <c r="AF80" s="3">
        <f>_xll.xlDateWorkFw(AF$8,_xll.xlDateWorkFw(AF$7,VALUE(_xll.xlDateShiftMonth(VALUE(AF$13),LEFT($C48,LEN($C48)-1)*12)),0),0)</f>
        <v>46045</v>
      </c>
      <c r="AG80" s="3">
        <f>_xll.xlDateWorkFw(AG$8,_xll.xlDateWorkFw(AG$7,VALUE(_xll.xlDateShiftMonth(VALUE(AG$13),LEFT($C48,LEN($C48)-1)*12)),0),0)</f>
        <v>46045</v>
      </c>
      <c r="AH80" s="3">
        <f>_xll.xlDateWorkFw(AH$8,_xll.xlDateWorkFw(AH$7,VALUE(_xll.xlDateShiftMonth(VALUE(AH$13),LEFT($C48,LEN($C48)-1)*12)),0),0)</f>
        <v>46045</v>
      </c>
      <c r="AI80" s="3">
        <f>_xll.xlDateWorkFw(AI$8,_xll.xlDateWorkFw(AI$7,VALUE(_xll.xlDateShiftMonth(VALUE(AI$13),LEFT($C48,LEN($C48)-1)*12)),0),0)</f>
        <v>46045</v>
      </c>
      <c r="AJ80" s="3">
        <f>_xll.xlDateWorkFw(AJ$8,_xll.xlDateWorkFw(AJ$7,VALUE(_xll.xlDateShiftMonth(VALUE(AJ$13),LEFT($C48,LEN($C48)-1)*12)),0),0)</f>
        <v>46055</v>
      </c>
      <c r="AK80" s="3">
        <f>_xll.xlDateWorkFw(AK$8,_xll.xlDateWorkFw(AK$7,VALUE(_xll.xlDateShiftMonth(VALUE(AK$13),LEFT($C48,LEN($C48)-1)*12)),0),0)</f>
        <v>46048</v>
      </c>
      <c r="AL80" s="3">
        <f>_xll.xlDateWorkFw(AL$8,_xll.xlDateWorkFw(AL$7,VALUE(_xll.xlDateShiftMonth(VALUE(AL$13),LEFT($C48,LEN($C48)-1)*12)),0),0)</f>
        <v>46045</v>
      </c>
      <c r="AM80" s="3">
        <f>_xll.xlDateWorkFw(AM$8,_xll.xlDateWorkFw(AM$7,VALUE(_xll.xlDateShiftMonth(VALUE(AM$13),LEFT($C48,LEN($C48)-1)*12)),0),0)</f>
        <v>46048</v>
      </c>
      <c r="AN80" s="3">
        <f>_xll.xlDateWorkFw(AN$8,_xll.xlDateWorkFw(AN$7,VALUE(_xll.xlDateShiftMonth(VALUE(AN$13),LEFT($C48,LEN($C48)-1)*12)),0),0)</f>
        <v>46045</v>
      </c>
      <c r="AO80" s="3">
        <f>_xll.xlDateWorkFw(AO$8,_xll.xlDateWorkFw(AO$7,VALUE(_xll.xlDateShiftMonth(VALUE(AO$13),LEFT($C48,LEN($C48)-1)*12)),0),0)</f>
        <v>46045</v>
      </c>
      <c r="AP80" s="3">
        <f>_xll.xlDateWorkFw(AP$8,_xll.xlDateWorkFw(AP$7,VALUE(_xll.xlDateShiftMonth(VALUE(AP$13),LEFT($C48,LEN($C48)-1)*12)),0),0)</f>
        <v>46045</v>
      </c>
    </row>
    <row r="81" spans="3:42" x14ac:dyDescent="0.2">
      <c r="C81" s="1" t="s">
        <v>164</v>
      </c>
      <c r="D81" s="3">
        <f>_xll.xlDateWorkFw("Target",_xll.xlDateWorkFw("Target",VALUE(_xll.xlDateShiftMonth(VALUE(E$13),LEFT($C49,LEN($C49)-1)*12)),0),0)</f>
        <v>46412</v>
      </c>
      <c r="E81" s="3">
        <f>_xll.xlDateWorkFw(E$8,_xll.xlDateWorkFw(E$7,VALUE(_xll.xlDateShiftMonth(VALUE(E$13),LEFT($C49,LEN($C49)-1)*12)),0),0)</f>
        <v>46412</v>
      </c>
      <c r="F81" s="3">
        <f>_xll.xlDateWorkFw(F$8,_xll.xlDateWorkFw(F$7,VALUE(_xll.xlDateShiftMonth(VALUE(F$13),LEFT($C49,LEN($C49)-1)*12)),0),0)</f>
        <v>46412</v>
      </c>
      <c r="G81" s="3">
        <f>_xll.xlDateWorkFw(G$8,_xll.xlDateWorkFw(G$7,VALUE(_xll.xlDateShiftMonth(VALUE(G$13),LEFT($C49,LEN($C49)-1)*12)),0),0)</f>
        <v>46412</v>
      </c>
      <c r="H81" s="3">
        <f>_xll.xlDateWorkFw(H$8,_xll.xlDateWorkFw(H$7,VALUE(_xll.xlDateShiftMonth(VALUE(H$13),LEFT($C49,LEN($C49)-1)*12)),0),0)</f>
        <v>46412</v>
      </c>
      <c r="I81" s="3">
        <f>_xll.xlDateWorkFw(I$8,_xll.xlDateWorkFw(I$7,VALUE(_xll.xlDateShiftMonth(VALUE(I$13),LEFT($C49,LEN($C49)-1)*12)),0),0)</f>
        <v>46407</v>
      </c>
      <c r="J81" s="3">
        <f>_xll.xlDateWorkFw(J$8,_xll.xlDateWorkFw(J$7,VALUE(_xll.xlDateShiftMonth(VALUE(J$13),LEFT($C49,LEN($C49)-1)*12)),0),0)</f>
        <v>46412</v>
      </c>
      <c r="K81" s="3">
        <f>_xll.xlDateWorkFw(K$8,_xll.xlDateWorkFw(K$7,VALUE(_xll.xlDateShiftMonth(VALUE(K$13),LEFT($C49,LEN($C49)-1)*12)),0),0)</f>
        <v>46412</v>
      </c>
      <c r="L81" s="3">
        <f>_xll.xlDateWorkFw(L$8,_xll.xlDateWorkFw(L$7,VALUE(_xll.xlDateShiftMonth(VALUE(L$13),LEFT($C49,LEN($C49)-1)*12)),0),0)</f>
        <v>46412</v>
      </c>
      <c r="M81" s="3">
        <f>_xll.xlDateWorkFw(M$8,_xll.xlDateWorkFw(M$7,VALUE(_xll.xlDateShiftMonth(VALUE(M$13),LEFT($C49,LEN($C49)-1)*12)),0),0)</f>
        <v>46412</v>
      </c>
      <c r="N81" s="3">
        <f>_xll.xlDateWorkFw(N$8,_xll.xlDateWorkFw(N$7,VALUE(_xll.xlDateShiftMonth(VALUE(N$13),LEFT($C49,LEN($C49)-1)*12)),0),0)</f>
        <v>46412</v>
      </c>
      <c r="O81" s="3">
        <f>_xll.xlDateWorkFw(O$8,_xll.xlDateWorkFw(O$7,VALUE(_xll.xlDateShiftMonth(VALUE(O$13),LEFT($C49,LEN($C49)-1)*12)),0),0)</f>
        <v>46412</v>
      </c>
      <c r="P81" s="3">
        <f>_xll.xlDateWorkFw(P$8,_xll.xlDateWorkFw(P$7,VALUE(_xll.xlDateShiftMonth(VALUE(P$13),LEFT($C49,LEN($C49)-1)*12)),0),0)</f>
        <v>46412</v>
      </c>
      <c r="Q81" s="3">
        <f>_xll.xlDateWorkFw(Q$8,_xll.xlDateWorkFw(Q$7,VALUE(_xll.xlDateShiftMonth(VALUE(Q$13),LEFT($C49,LEN($C49)-1)*12)),0),0)</f>
        <v>46412</v>
      </c>
      <c r="R81" s="3">
        <f>_xll.xlDateWorkFw(R$8,_xll.xlDateWorkFw(R$7,VALUE(_xll.xlDateShiftMonth(VALUE(R$13),LEFT($C49,LEN($C49)-1)*12)),0),0)</f>
        <v>46412</v>
      </c>
      <c r="S81" s="3">
        <f>_xll.xlDateWorkFw(S$8,_xll.xlDateWorkFw(S$7,VALUE(_xll.xlDateShiftMonth(VALUE(S$13),LEFT($C49,LEN($C49)-1)*12)),0),0)</f>
        <v>46412</v>
      </c>
      <c r="T81" s="3">
        <f>_xll.xlDateWorkFw(T$8,_xll.xlDateWorkFw(T$7,VALUE(_xll.xlDateShiftMonth(VALUE(T$13),LEFT($C49,LEN($C49)-1)*12)),0),0)</f>
        <v>46412</v>
      </c>
      <c r="U81" s="3">
        <f>_xll.xlDateWorkFw(U$8,_xll.xlDateWorkFw(U$7,VALUE(_xll.xlDateShiftMonth(VALUE(U$13),LEFT($C49,LEN($C49)-1)*12)),0),0)</f>
        <v>46419</v>
      </c>
      <c r="V81" s="3">
        <f>_xll.xlDateWorkFw(V$8,_xll.xlDateWorkFw(V$7,VALUE(_xll.xlDateShiftMonth(VALUE(V$13),LEFT($C49,LEN($C49)-1)*12)),0),0)</f>
        <v>46412</v>
      </c>
      <c r="W81" s="3">
        <f>_xll.xlDateWorkFw(W$8,_xll.xlDateWorkFw(W$7,VALUE(_xll.xlDateShiftMonth(VALUE(W$13),LEFT($C49,LEN($C49)-1)*12)),0),0)</f>
        <v>46412</v>
      </c>
      <c r="X81" s="3">
        <f>_xll.xlDateWorkFw(X$8,_xll.xlDateWorkFw(X$7,VALUE(_xll.xlDateShiftMonth(VALUE(X$13),LEFT($C49,LEN($C49)-1)*12)),0),0)</f>
        <v>46412</v>
      </c>
      <c r="Y81" s="3">
        <f>_xll.xlDateWorkFw(Y$8,_xll.xlDateWorkFw(Y$7,VALUE(_xll.xlDateShiftMonth(VALUE(Y$13),LEFT($C49,LEN($C49)-1)*12)),0),0)</f>
        <v>46412</v>
      </c>
      <c r="Z81" s="3">
        <f>_xll.xlDateWorkFw(Z$8,_xll.xlDateWorkFw(Z$7,VALUE(_xll.xlDateShiftMonth(VALUE(Z$13),LEFT($C49,LEN($C49)-1)*12)),0),0)</f>
        <v>46412</v>
      </c>
      <c r="AA81" s="3">
        <f>_xll.xlDateWorkFw(AA$8,_xll.xlDateWorkFw(AA$7,VALUE(_xll.xlDateShiftMonth(VALUE(AA$13),LEFT($C49,LEN($C49)-1)*12)),0),0)</f>
        <v>46412</v>
      </c>
      <c r="AB81" s="3">
        <f>_xll.xlDateWorkFw(AB$8,_xll.xlDateWorkFw(AB$7,VALUE(_xll.xlDateShiftMonth(VALUE(AB$13),LEFT($C49,LEN($C49)-1)*12)),0),0)</f>
        <v>46412</v>
      </c>
      <c r="AC81" s="3">
        <f>_xll.xlDateWorkFw(AC$8,_xll.xlDateWorkFw(AC$7,VALUE(_xll.xlDateShiftMonth(VALUE(AC$13),LEFT($C49,LEN($C49)-1)*12)),0),0)</f>
        <v>46412</v>
      </c>
      <c r="AD81" s="3">
        <f>_xll.xlDateWorkFw(AD$8,_xll.xlDateWorkFw(AD$7,VALUE(_xll.xlDateShiftMonth(VALUE(AD$13),LEFT($C49,LEN($C49)-1)*12)),0),0)</f>
        <v>46412</v>
      </c>
      <c r="AE81" s="3">
        <f>_xll.xlDateWorkFw(AE$8,_xll.xlDateWorkFw(AE$7,VALUE(_xll.xlDateShiftMonth(VALUE(AE$13),LEFT($C49,LEN($C49)-1)*12)),0),0)</f>
        <v>46412</v>
      </c>
      <c r="AF81" s="3">
        <f>_xll.xlDateWorkFw(AF$8,_xll.xlDateWorkFw(AF$7,VALUE(_xll.xlDateShiftMonth(VALUE(AF$13),LEFT($C49,LEN($C49)-1)*12)),0),0)</f>
        <v>46412</v>
      </c>
      <c r="AG81" s="3">
        <f>_xll.xlDateWorkFw(AG$8,_xll.xlDateWorkFw(AG$7,VALUE(_xll.xlDateShiftMonth(VALUE(AG$13),LEFT($C49,LEN($C49)-1)*12)),0),0)</f>
        <v>46412</v>
      </c>
      <c r="AH81" s="3">
        <f>_xll.xlDateWorkFw(AH$8,_xll.xlDateWorkFw(AH$7,VALUE(_xll.xlDateShiftMonth(VALUE(AH$13),LEFT($C49,LEN($C49)-1)*12)),0),0)</f>
        <v>46412</v>
      </c>
      <c r="AI81" s="3">
        <f>_xll.xlDateWorkFw(AI$8,_xll.xlDateWorkFw(AI$7,VALUE(_xll.xlDateShiftMonth(VALUE(AI$13),LEFT($C49,LEN($C49)-1)*12)),0),0)</f>
        <v>46412</v>
      </c>
      <c r="AJ81" s="3">
        <f>_xll.xlDateWorkFw(AJ$8,_xll.xlDateWorkFw(AJ$7,VALUE(_xll.xlDateShiftMonth(VALUE(AJ$13),LEFT($C49,LEN($C49)-1)*12)),0),0)</f>
        <v>46419</v>
      </c>
      <c r="AK81" s="3">
        <f>_xll.xlDateWorkFw(AK$8,_xll.xlDateWorkFw(AK$7,VALUE(_xll.xlDateShiftMonth(VALUE(AK$13),LEFT($C49,LEN($C49)-1)*12)),0),0)</f>
        <v>46412</v>
      </c>
      <c r="AL81" s="3">
        <f>_xll.xlDateWorkFw(AL$8,_xll.xlDateWorkFw(AL$7,VALUE(_xll.xlDateShiftMonth(VALUE(AL$13),LEFT($C49,LEN($C49)-1)*12)),0),0)</f>
        <v>46412</v>
      </c>
      <c r="AM81" s="3">
        <f>_xll.xlDateWorkFw(AM$8,_xll.xlDateWorkFw(AM$7,VALUE(_xll.xlDateShiftMonth(VALUE(AM$13),LEFT($C49,LEN($C49)-1)*12)),0),0)</f>
        <v>46412</v>
      </c>
      <c r="AN81" s="3">
        <f>_xll.xlDateWorkFw(AN$8,_xll.xlDateWorkFw(AN$7,VALUE(_xll.xlDateShiftMonth(VALUE(AN$13),LEFT($C49,LEN($C49)-1)*12)),0),0)</f>
        <v>46412</v>
      </c>
      <c r="AO81" s="3">
        <f>_xll.xlDateWorkFw(AO$8,_xll.xlDateWorkFw(AO$7,VALUE(_xll.xlDateShiftMonth(VALUE(AO$13),LEFT($C49,LEN($C49)-1)*12)),0),0)</f>
        <v>46412</v>
      </c>
      <c r="AP81" s="3">
        <f>_xll.xlDateWorkFw(AP$8,_xll.xlDateWorkFw(AP$7,VALUE(_xll.xlDateShiftMonth(VALUE(AP$13),LEFT($C49,LEN($C49)-1)*12)),0),0)</f>
        <v>46412</v>
      </c>
    </row>
    <row r="82" spans="3:42" x14ac:dyDescent="0.2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</row>
    <row r="83" spans="3:42" x14ac:dyDescent="0.2">
      <c r="D83" s="3"/>
      <c r="E83" s="1" t="str">
        <f t="shared" ref="E83:AP83" si="114">E5&amp; " DF"</f>
        <v>EUR DF</v>
      </c>
      <c r="F83" s="1" t="str">
        <f t="shared" si="114"/>
        <v>USD DF</v>
      </c>
      <c r="G83" s="1" t="str">
        <f t="shared" si="114"/>
        <v>USD DF</v>
      </c>
      <c r="H83" s="1" t="str">
        <f t="shared" si="114"/>
        <v>USD DF</v>
      </c>
      <c r="I83" s="1" t="str">
        <f t="shared" si="114"/>
        <v>USD DF</v>
      </c>
      <c r="J83" s="1" t="str">
        <f t="shared" si="114"/>
        <v>USD DF</v>
      </c>
      <c r="K83" s="1" t="str">
        <f t="shared" si="114"/>
        <v>USD DF</v>
      </c>
      <c r="L83" s="1" t="str">
        <f t="shared" si="114"/>
        <v>USD DF</v>
      </c>
      <c r="M83" s="1" t="str">
        <f t="shared" si="114"/>
        <v>USD DF</v>
      </c>
      <c r="N83" s="1" t="str">
        <f t="shared" si="114"/>
        <v>USD DF</v>
      </c>
      <c r="O83" s="1" t="str">
        <f t="shared" si="114"/>
        <v>USD DF</v>
      </c>
      <c r="P83" s="1" t="str">
        <f t="shared" si="114"/>
        <v>USD DF</v>
      </c>
      <c r="Q83" s="1" t="str">
        <f t="shared" si="114"/>
        <v>USD DF</v>
      </c>
      <c r="R83" s="1" t="str">
        <f t="shared" si="114"/>
        <v>USD DF</v>
      </c>
      <c r="S83" s="1" t="str">
        <f t="shared" si="114"/>
        <v>USD DF</v>
      </c>
      <c r="T83" s="1" t="str">
        <f t="shared" si="114"/>
        <v>USD DF</v>
      </c>
      <c r="U83" s="1" t="str">
        <f t="shared" si="114"/>
        <v>USD DF</v>
      </c>
      <c r="V83" s="1" t="str">
        <f t="shared" si="114"/>
        <v>USD DF</v>
      </c>
      <c r="W83" s="1" t="str">
        <f t="shared" si="114"/>
        <v>USD DF</v>
      </c>
      <c r="X83" s="1" t="str">
        <f t="shared" si="114"/>
        <v>USD DF</v>
      </c>
      <c r="Y83" s="1" t="str">
        <f t="shared" si="114"/>
        <v>USD DF</v>
      </c>
      <c r="Z83" s="1" t="str">
        <f t="shared" si="114"/>
        <v>USD DF</v>
      </c>
      <c r="AA83" s="1" t="str">
        <f t="shared" si="114"/>
        <v>USD DF</v>
      </c>
      <c r="AB83" s="1" t="str">
        <f t="shared" si="114"/>
        <v>USD DF</v>
      </c>
      <c r="AC83" s="1" t="str">
        <f t="shared" si="114"/>
        <v>USD DF</v>
      </c>
      <c r="AD83" s="1" t="str">
        <f t="shared" si="114"/>
        <v>USD DF</v>
      </c>
      <c r="AE83" s="1" t="str">
        <f t="shared" si="114"/>
        <v>USD DF</v>
      </c>
      <c r="AF83" s="1" t="str">
        <f t="shared" si="114"/>
        <v>USD DF</v>
      </c>
      <c r="AG83" s="1" t="str">
        <f t="shared" si="114"/>
        <v>USD DF</v>
      </c>
      <c r="AH83" s="1" t="str">
        <f t="shared" si="114"/>
        <v>USD DF</v>
      </c>
      <c r="AI83" s="1" t="str">
        <f t="shared" si="114"/>
        <v>USD DF</v>
      </c>
      <c r="AJ83" s="1" t="str">
        <f t="shared" si="114"/>
        <v>USD DF</v>
      </c>
      <c r="AK83" s="1" t="str">
        <f t="shared" si="114"/>
        <v>USD DF</v>
      </c>
      <c r="AL83" s="1" t="str">
        <f t="shared" si="114"/>
        <v>USD DF</v>
      </c>
      <c r="AM83" s="1" t="str">
        <f t="shared" si="114"/>
        <v>USD DF</v>
      </c>
      <c r="AN83" s="1" t="str">
        <f t="shared" si="114"/>
        <v>USD DF</v>
      </c>
      <c r="AO83" s="1" t="str">
        <f t="shared" si="114"/>
        <v>USD DF</v>
      </c>
      <c r="AP83" s="1" t="str">
        <f t="shared" si="114"/>
        <v>USD DF</v>
      </c>
    </row>
    <row r="84" spans="3:42" x14ac:dyDescent="0.2">
      <c r="C84" s="1" t="s">
        <v>123</v>
      </c>
      <c r="D84" s="3"/>
      <c r="E84" s="272">
        <f>_xll.xlShmInterpDisc(E$5,E52+0*TYPE(disc_refresh))</f>
        <v>1</v>
      </c>
      <c r="F84" s="272">
        <f t="shared" ref="F84:AP84" si="115">$E20</f>
        <v>1</v>
      </c>
      <c r="G84" s="272">
        <f t="shared" si="115"/>
        <v>1</v>
      </c>
      <c r="H84" s="272">
        <f t="shared" si="115"/>
        <v>1</v>
      </c>
      <c r="I84" s="272">
        <f t="shared" si="115"/>
        <v>1</v>
      </c>
      <c r="J84" s="272">
        <f t="shared" si="115"/>
        <v>1</v>
      </c>
      <c r="K84" s="272">
        <f t="shared" si="115"/>
        <v>1</v>
      </c>
      <c r="L84" s="272">
        <f t="shared" si="115"/>
        <v>1</v>
      </c>
      <c r="M84" s="272">
        <f t="shared" si="115"/>
        <v>1</v>
      </c>
      <c r="N84" s="272">
        <f t="shared" si="115"/>
        <v>1</v>
      </c>
      <c r="O84" s="272">
        <f t="shared" si="115"/>
        <v>1</v>
      </c>
      <c r="P84" s="272">
        <f t="shared" si="115"/>
        <v>1</v>
      </c>
      <c r="Q84" s="272">
        <f t="shared" si="115"/>
        <v>1</v>
      </c>
      <c r="R84" s="272">
        <f t="shared" si="115"/>
        <v>1</v>
      </c>
      <c r="S84" s="272">
        <f t="shared" si="115"/>
        <v>1</v>
      </c>
      <c r="T84" s="272">
        <f t="shared" si="115"/>
        <v>1</v>
      </c>
      <c r="U84" s="272">
        <f t="shared" si="115"/>
        <v>1</v>
      </c>
      <c r="V84" s="272">
        <f t="shared" si="115"/>
        <v>1</v>
      </c>
      <c r="W84" s="272">
        <f t="shared" si="115"/>
        <v>1</v>
      </c>
      <c r="X84" s="272">
        <f t="shared" si="115"/>
        <v>1</v>
      </c>
      <c r="Y84" s="272">
        <f t="shared" si="115"/>
        <v>1</v>
      </c>
      <c r="Z84" s="272">
        <f t="shared" si="115"/>
        <v>1</v>
      </c>
      <c r="AA84" s="272">
        <f t="shared" si="115"/>
        <v>1</v>
      </c>
      <c r="AB84" s="272">
        <f t="shared" si="115"/>
        <v>1</v>
      </c>
      <c r="AC84" s="272">
        <f t="shared" si="115"/>
        <v>1</v>
      </c>
      <c r="AD84" s="272">
        <f t="shared" si="115"/>
        <v>1</v>
      </c>
      <c r="AE84" s="272">
        <f t="shared" si="115"/>
        <v>1</v>
      </c>
      <c r="AF84" s="272">
        <f t="shared" si="115"/>
        <v>1</v>
      </c>
      <c r="AG84" s="272">
        <f t="shared" si="115"/>
        <v>1</v>
      </c>
      <c r="AH84" s="272">
        <f t="shared" si="115"/>
        <v>1</v>
      </c>
      <c r="AI84" s="272">
        <f t="shared" si="115"/>
        <v>1</v>
      </c>
      <c r="AJ84" s="272">
        <f t="shared" si="115"/>
        <v>1</v>
      </c>
      <c r="AK84" s="272">
        <f t="shared" si="115"/>
        <v>1</v>
      </c>
      <c r="AL84" s="272">
        <f t="shared" si="115"/>
        <v>1</v>
      </c>
      <c r="AM84" s="272">
        <f t="shared" si="115"/>
        <v>1</v>
      </c>
      <c r="AN84" s="272">
        <f t="shared" si="115"/>
        <v>1</v>
      </c>
      <c r="AO84" s="272">
        <f t="shared" si="115"/>
        <v>1</v>
      </c>
      <c r="AP84" s="272">
        <f t="shared" si="115"/>
        <v>1</v>
      </c>
    </row>
    <row r="85" spans="3:42" x14ac:dyDescent="0.2">
      <c r="C85" s="1" t="s">
        <v>23</v>
      </c>
      <c r="D85" s="3"/>
      <c r="E85" s="272">
        <f>_xll.xlShmInterpDisc(E$5,E53+0*TYPE(disc_refresh))</f>
        <v>1.0000102778806337</v>
      </c>
      <c r="F85" s="272">
        <f>_xll.xlInterp1D($E$53:$E$81,$E$21:$E$49,F53)</f>
        <v>0.99997833380276768</v>
      </c>
      <c r="G85" s="272">
        <f>_xll.xlInterp1D($E$53:$E$81,$E$21:$E$49,G53)</f>
        <v>0.99997833380276768</v>
      </c>
      <c r="H85" s="272">
        <f>_xll.xlInterp1D($E$53:$E$81,$E$21:$E$49,H53)</f>
        <v>0.99997833380276768</v>
      </c>
      <c r="I85" s="272">
        <f>_xll.xlInterp1D($E$53:$E$81,$E$21:$E$49,I53)</f>
        <v>0.99997833380276768</v>
      </c>
      <c r="J85" s="272">
        <f>_xll.xlInterp1D($E$53:$E$81,$E$21:$E$49,J53)</f>
        <v>0.99997833380276768</v>
      </c>
      <c r="K85" s="272">
        <f>_xll.xlInterp1D($E$53:$E$81,$E$21:$E$49,K53)</f>
        <v>0.99997833380276768</v>
      </c>
      <c r="L85" s="272">
        <f>_xll.xlInterp1D($E$53:$E$81,$E$21:$E$49,L53)</f>
        <v>0.99997833380276768</v>
      </c>
      <c r="M85" s="272">
        <f>_xll.xlInterp1D($E$53:$E$81,$E$21:$E$49,M53)</f>
        <v>0.99997833380276768</v>
      </c>
      <c r="N85" s="272">
        <f>_xll.xlInterp1D($E$53:$E$81,$E$21:$E$49,N53)</f>
        <v>0.99997833380276768</v>
      </c>
      <c r="O85" s="272">
        <f>_xll.xlInterp1D($E$53:$E$81,$E$21:$E$49,O53)</f>
        <v>0.99997833380276768</v>
      </c>
      <c r="P85" s="272">
        <f>_xll.xlInterp1D($E$53:$E$81,$E$21:$E$49,P53)</f>
        <v>0.99997833380276768</v>
      </c>
      <c r="Q85" s="272">
        <f>_xll.xlInterp1D($E$53:$E$81,$E$21:$E$49,Q53)</f>
        <v>0.99997833380276768</v>
      </c>
      <c r="R85" s="272">
        <f>_xll.xlInterp1D($E$53:$E$81,$E$21:$E$49,R53)</f>
        <v>0.99997833380276768</v>
      </c>
      <c r="S85" s="272">
        <f>_xll.xlInterp1D($E$53:$E$81,$E$21:$E$49,S53)</f>
        <v>0.99997833380276768</v>
      </c>
      <c r="T85" s="272">
        <f>_xll.xlInterp1D($E$53:$E$81,$E$21:$E$49,T53)</f>
        <v>0.99997833380276768</v>
      </c>
      <c r="U85" s="272">
        <f>_xll.xlInterp1D($E$53:$E$81,$E$21:$E$49,U53)</f>
        <v>0.99997833380276768</v>
      </c>
      <c r="V85" s="272">
        <f>_xll.xlInterp1D($E$53:$E$81,$E$21:$E$49,V53)</f>
        <v>0.99997833380276768</v>
      </c>
      <c r="W85" s="272">
        <f>_xll.xlInterp1D($E$53:$E$81,$E$21:$E$49,W53)</f>
        <v>0.99997833380276768</v>
      </c>
      <c r="X85" s="272">
        <f>_xll.xlInterp1D($E$53:$E$81,$E$21:$E$49,X53)</f>
        <v>0.99997833380276768</v>
      </c>
      <c r="Y85" s="272">
        <f>_xll.xlInterp1D($E$53:$E$81,$E$21:$E$49,Y53)</f>
        <v>0.99997833380276768</v>
      </c>
      <c r="Z85" s="272">
        <f>_xll.xlInterp1D($E$53:$E$81,$E$21:$E$49,Z53)</f>
        <v>0.99997833380276768</v>
      </c>
      <c r="AA85" s="272">
        <f>_xll.xlInterp1D($E$53:$E$81,$E$21:$E$49,AA53)</f>
        <v>0.99997833380276768</v>
      </c>
      <c r="AB85" s="272">
        <f>_xll.xlInterp1D($E$53:$E$81,$E$21:$E$49,AB53)</f>
        <v>0.99997833380276768</v>
      </c>
      <c r="AC85" s="272">
        <f>_xll.xlInterp1D($E$53:$E$81,$E$21:$E$49,AC53)</f>
        <v>0.99997833380276768</v>
      </c>
      <c r="AD85" s="272">
        <f>_xll.xlInterp1D($E$53:$E$81,$E$21:$E$49,AD53)</f>
        <v>0.99997833380276768</v>
      </c>
      <c r="AE85" s="272">
        <f>_xll.xlInterp1D($E$53:$E$81,$E$21:$E$49,AE53)</f>
        <v>0.99997833380276768</v>
      </c>
      <c r="AF85" s="272">
        <f>_xll.xlInterp1D($E$53:$E$81,$E$21:$E$49,AF53)</f>
        <v>0.99997833380276768</v>
      </c>
      <c r="AG85" s="272">
        <f>_xll.xlInterp1D($E$53:$E$81,$E$21:$E$49,AG53)</f>
        <v>0.99997833380276768</v>
      </c>
      <c r="AH85" s="272">
        <f>_xll.xlInterp1D($E$53:$E$81,$E$21:$E$49,AH53)</f>
        <v>0.99997833380276768</v>
      </c>
      <c r="AI85" s="272">
        <f>_xll.xlInterp1D($E$53:$E$81,$E$21:$E$49,AI53)</f>
        <v>0.99997833380276768</v>
      </c>
      <c r="AJ85" s="272">
        <f>_xll.xlInterp1D($E$53:$E$81,$E$21:$E$49,AJ53)</f>
        <v>0.99997833380276768</v>
      </c>
      <c r="AK85" s="272">
        <f>_xll.xlInterp1D($E$53:$E$81,$E$21:$E$49,AK53)</f>
        <v>0.9999320427271674</v>
      </c>
      <c r="AL85" s="272">
        <f>_xll.xlInterp1D($E$53:$E$81,$E$21:$E$49,AL53)</f>
        <v>0.99997833380276768</v>
      </c>
      <c r="AM85" s="272">
        <f>_xll.xlInterp1D($E$53:$E$81,$E$21:$E$49,AM53)</f>
        <v>0.99990889718936726</v>
      </c>
      <c r="AN85" s="272">
        <f>_xll.xlInterp1D($E$53:$E$81,$E$21:$E$49,AN53)</f>
        <v>0.99997833380276768</v>
      </c>
      <c r="AO85" s="272">
        <f>_xll.xlInterp1D($E$53:$E$81,$E$21:$E$49,AO53)</f>
        <v>0.99997833380276768</v>
      </c>
      <c r="AP85" s="272">
        <f>_xll.xlInterp1D($E$53:$E$81,$E$21:$E$49,AP53)</f>
        <v>0.99997833380276768</v>
      </c>
    </row>
    <row r="86" spans="3:42" x14ac:dyDescent="0.2">
      <c r="C86" s="1" t="s">
        <v>30</v>
      </c>
      <c r="D86" s="3"/>
      <c r="E86" s="272">
        <f>_xll.xlShmInterpDisc(E$5,E54+0*TYPE(disc_refresh))</f>
        <v>1.0000411124816018</v>
      </c>
      <c r="F86" s="272">
        <f>_xll.xlInterp1D($E$53:$E$81,$E$21:$E$49,F54)</f>
        <v>0.99990889718936726</v>
      </c>
      <c r="G86" s="272">
        <f>_xll.xlInterp1D($E$53:$E$81,$E$21:$E$49,G54)</f>
        <v>0.99990889718936726</v>
      </c>
      <c r="H86" s="272">
        <f>_xll.xlInterp1D($E$53:$E$81,$E$21:$E$49,H54)</f>
        <v>0.99990889718936726</v>
      </c>
      <c r="I86" s="272">
        <f>_xll.xlInterp1D($E$53:$E$81,$E$21:$E$49,I54)</f>
        <v>0.99990889718936726</v>
      </c>
      <c r="J86" s="272">
        <f>_xll.xlInterp1D($E$53:$E$81,$E$21:$E$49,J54)</f>
        <v>0.99990889718936726</v>
      </c>
      <c r="K86" s="272">
        <f>_xll.xlInterp1D($E$53:$E$81,$E$21:$E$49,K54)</f>
        <v>0.99990889718936726</v>
      </c>
      <c r="L86" s="272">
        <f>_xll.xlInterp1D($E$53:$E$81,$E$21:$E$49,L54)</f>
        <v>0.99990889718936726</v>
      </c>
      <c r="M86" s="272">
        <f>_xll.xlInterp1D($E$53:$E$81,$E$21:$E$49,M54)</f>
        <v>0.99990889718936726</v>
      </c>
      <c r="N86" s="272">
        <f>_xll.xlInterp1D($E$53:$E$81,$E$21:$E$49,N54)</f>
        <v>0.99990889718936726</v>
      </c>
      <c r="O86" s="272">
        <f>_xll.xlInterp1D($E$53:$E$81,$E$21:$E$49,O54)</f>
        <v>0.99990889718936726</v>
      </c>
      <c r="P86" s="272">
        <f>_xll.xlInterp1D($E$53:$E$81,$E$21:$E$49,P54)</f>
        <v>0.99990889718936726</v>
      </c>
      <c r="Q86" s="272">
        <f>_xll.xlInterp1D($E$53:$E$81,$E$21:$E$49,Q54)</f>
        <v>0.99990889718936726</v>
      </c>
      <c r="R86" s="272">
        <f>_xll.xlInterp1D($E$53:$E$81,$E$21:$E$49,R54)</f>
        <v>0.99990889718936726</v>
      </c>
      <c r="S86" s="272">
        <f>_xll.xlInterp1D($E$53:$E$81,$E$21:$E$49,S54)</f>
        <v>0.99990889718936726</v>
      </c>
      <c r="T86" s="272">
        <f>_xll.xlInterp1D($E$53:$E$81,$E$21:$E$49,T54)</f>
        <v>0.99986037805771366</v>
      </c>
      <c r="U86" s="272">
        <f>_xll.xlInterp1D($E$53:$E$81,$E$21:$E$49,U54)</f>
        <v>0.99964581974739897</v>
      </c>
      <c r="V86" s="272">
        <f>_xll.xlInterp1D($E$53:$E$81,$E$21:$E$49,V54)</f>
        <v>0.99990889718936726</v>
      </c>
      <c r="W86" s="272">
        <f>_xll.xlInterp1D($E$53:$E$81,$E$21:$E$49,W54)</f>
        <v>0.99990889718936726</v>
      </c>
      <c r="X86" s="272">
        <f>_xll.xlInterp1D($E$53:$E$81,$E$21:$E$49,X54)</f>
        <v>0.99990889718936726</v>
      </c>
      <c r="Y86" s="272">
        <f>_xll.xlInterp1D($E$53:$E$81,$E$21:$E$49,Y54)</f>
        <v>0.99990889718936726</v>
      </c>
      <c r="Z86" s="272">
        <f>_xll.xlInterp1D($E$53:$E$81,$E$21:$E$49,Z54)</f>
        <v>0.99990889718936726</v>
      </c>
      <c r="AA86" s="272">
        <f>_xll.xlInterp1D($E$53:$E$81,$E$21:$E$49,AA54)</f>
        <v>0.99990889718936726</v>
      </c>
      <c r="AB86" s="272">
        <f>_xll.xlInterp1D($E$53:$E$81,$E$21:$E$49,AB54)</f>
        <v>0.99990889718936726</v>
      </c>
      <c r="AC86" s="272">
        <f>_xll.xlInterp1D($E$53:$E$81,$E$21:$E$49,AC54)</f>
        <v>0.99990889718936726</v>
      </c>
      <c r="AD86" s="272">
        <f>_xll.xlInterp1D($E$53:$E$81,$E$21:$E$49,AD54)</f>
        <v>0.99990889718936726</v>
      </c>
      <c r="AE86" s="272">
        <f>_xll.xlInterp1D($E$53:$E$81,$E$21:$E$49,AE54)</f>
        <v>0.99990889718936726</v>
      </c>
      <c r="AF86" s="272">
        <f>_xll.xlInterp1D($E$53:$E$81,$E$21:$E$49,AF54)</f>
        <v>0.99990889718936726</v>
      </c>
      <c r="AG86" s="272">
        <f>_xll.xlInterp1D($E$53:$E$81,$E$21:$E$49,AG54)</f>
        <v>0.99990889718936726</v>
      </c>
      <c r="AH86" s="272">
        <f>_xll.xlInterp1D($E$53:$E$81,$E$21:$E$49,AH54)</f>
        <v>0.99990889718936726</v>
      </c>
      <c r="AI86" s="272">
        <f>_xll.xlInterp1D($E$53:$E$81,$E$21:$E$49,AI54)</f>
        <v>0.99990889718936726</v>
      </c>
      <c r="AJ86" s="272">
        <f>_xll.xlInterp1D($E$53:$E$81,$E$21:$E$49,AJ54)</f>
        <v>0.99964581974739897</v>
      </c>
      <c r="AK86" s="272">
        <f>_xll.xlInterp1D($E$53:$E$81,$E$21:$E$49,AK54)</f>
        <v>0.99990889718936726</v>
      </c>
      <c r="AL86" s="272">
        <f>_xll.xlInterp1D($E$53:$E$81,$E$21:$E$49,AL54)</f>
        <v>0.99990889718936726</v>
      </c>
      <c r="AM86" s="272">
        <f>_xll.xlInterp1D($E$53:$E$81,$E$21:$E$49,AM54)</f>
        <v>0.99988751265482634</v>
      </c>
      <c r="AN86" s="272">
        <f>_xll.xlInterp1D($E$53:$E$81,$E$21:$E$49,AN54)</f>
        <v>0.99990889718936726</v>
      </c>
      <c r="AO86" s="272">
        <f>_xll.xlInterp1D($E$53:$E$81,$E$21:$E$49,AO54)</f>
        <v>0.99990889718936726</v>
      </c>
      <c r="AP86" s="272">
        <f>_xll.xlInterp1D($E$53:$E$81,$E$21:$E$49,AP54)</f>
        <v>0.99990889718936726</v>
      </c>
    </row>
    <row r="87" spans="3:42" x14ac:dyDescent="0.2">
      <c r="C87" s="1" t="s">
        <v>41</v>
      </c>
      <c r="D87" s="3"/>
      <c r="E87" s="272">
        <f>_xll.xlShmInterpDisc(E$5,E55+0*TYPE(disc_refresh))</f>
        <v>1.0000513907875628</v>
      </c>
      <c r="F87" s="272">
        <f>_xll.xlInterp1D($E$53:$E$81,$E$21:$E$49,F55)</f>
        <v>0.99988751265482634</v>
      </c>
      <c r="G87" s="272">
        <f>_xll.xlInterp1D($E$53:$E$81,$E$21:$E$49,G55)</f>
        <v>0.99988751265482634</v>
      </c>
      <c r="H87" s="272">
        <f>_xll.xlInterp1D($E$53:$E$81,$E$21:$E$49,H55)</f>
        <v>0.99988751265482634</v>
      </c>
      <c r="I87" s="272">
        <f>_xll.xlInterp1D($E$53:$E$81,$E$21:$E$49,I55)</f>
        <v>0.99988751265482634</v>
      </c>
      <c r="J87" s="272">
        <f>_xll.xlInterp1D($E$53:$E$81,$E$21:$E$49,J55)</f>
        <v>0.99988751265482634</v>
      </c>
      <c r="K87" s="272">
        <f>_xll.xlInterp1D($E$53:$E$81,$E$21:$E$49,K55)</f>
        <v>0.99988751265482634</v>
      </c>
      <c r="L87" s="272">
        <f>_xll.xlInterp1D($E$53:$E$81,$E$21:$E$49,L55)</f>
        <v>0.99988751265482634</v>
      </c>
      <c r="M87" s="272">
        <f>_xll.xlInterp1D($E$53:$E$81,$E$21:$E$49,M55)</f>
        <v>0.99988751265482634</v>
      </c>
      <c r="N87" s="272">
        <f>_xll.xlInterp1D($E$53:$E$81,$E$21:$E$49,N55)</f>
        <v>0.99988751265482634</v>
      </c>
      <c r="O87" s="272">
        <f>_xll.xlInterp1D($E$53:$E$81,$E$21:$E$49,O55)</f>
        <v>0.99988751265482634</v>
      </c>
      <c r="P87" s="272">
        <f>_xll.xlInterp1D($E$53:$E$81,$E$21:$E$49,P55)</f>
        <v>0.99988751265482634</v>
      </c>
      <c r="Q87" s="272">
        <f>_xll.xlInterp1D($E$53:$E$81,$E$21:$E$49,Q55)</f>
        <v>0.99988751265482634</v>
      </c>
      <c r="R87" s="272">
        <f>_xll.xlInterp1D($E$53:$E$81,$E$21:$E$49,R55)</f>
        <v>0.99988751265482634</v>
      </c>
      <c r="S87" s="272">
        <f>_xll.xlInterp1D($E$53:$E$81,$E$21:$E$49,S55)</f>
        <v>0.99988751265482634</v>
      </c>
      <c r="T87" s="272">
        <f>_xll.xlInterp1D($E$53:$E$81,$E$21:$E$49,T55)</f>
        <v>0.99983324346060098</v>
      </c>
      <c r="U87" s="272">
        <f>_xll.xlInterp1D($E$53:$E$81,$E$21:$E$49,U55)</f>
        <v>0.99960637708502331</v>
      </c>
      <c r="V87" s="272">
        <f>_xll.xlInterp1D($E$53:$E$81,$E$21:$E$49,V55)</f>
        <v>0.99988751265482634</v>
      </c>
      <c r="W87" s="272">
        <f>_xll.xlInterp1D($E$53:$E$81,$E$21:$E$49,W55)</f>
        <v>0.99988751265482634</v>
      </c>
      <c r="X87" s="272">
        <f>_xll.xlInterp1D($E$53:$E$81,$E$21:$E$49,X55)</f>
        <v>0.99988751265482634</v>
      </c>
      <c r="Y87" s="272">
        <f>_xll.xlInterp1D($E$53:$E$81,$E$21:$E$49,Y55)</f>
        <v>0.99988751265482634</v>
      </c>
      <c r="Z87" s="272">
        <f>_xll.xlInterp1D($E$53:$E$81,$E$21:$E$49,Z55)</f>
        <v>0.99988751265482634</v>
      </c>
      <c r="AA87" s="272">
        <f>_xll.xlInterp1D($E$53:$E$81,$E$21:$E$49,AA55)</f>
        <v>0.99988751265482634</v>
      </c>
      <c r="AB87" s="272">
        <f>_xll.xlInterp1D($E$53:$E$81,$E$21:$E$49,AB55)</f>
        <v>0.99988751265482634</v>
      </c>
      <c r="AC87" s="272">
        <f>_xll.xlInterp1D($E$53:$E$81,$E$21:$E$49,AC55)</f>
        <v>0.99988751265482634</v>
      </c>
      <c r="AD87" s="272">
        <f>_xll.xlInterp1D($E$53:$E$81,$E$21:$E$49,AD55)</f>
        <v>0.99988751265482634</v>
      </c>
      <c r="AE87" s="272">
        <f>_xll.xlInterp1D($E$53:$E$81,$E$21:$E$49,AE55)</f>
        <v>0.99988751265482634</v>
      </c>
      <c r="AF87" s="272">
        <f>_xll.xlInterp1D($E$53:$E$81,$E$21:$E$49,AF55)</f>
        <v>0.99988751265482634</v>
      </c>
      <c r="AG87" s="272">
        <f>_xll.xlInterp1D($E$53:$E$81,$E$21:$E$49,AG55)</f>
        <v>0.99986037805771366</v>
      </c>
      <c r="AH87" s="272">
        <f>_xll.xlInterp1D($E$53:$E$81,$E$21:$E$49,AH55)</f>
        <v>0.99988751265482634</v>
      </c>
      <c r="AI87" s="272">
        <f>_xll.xlInterp1D($E$53:$E$81,$E$21:$E$49,AI55)</f>
        <v>0.99988751265482634</v>
      </c>
      <c r="AJ87" s="272">
        <f>_xll.xlInterp1D($E$53:$E$81,$E$21:$E$49,AJ55)</f>
        <v>0.99960637708502331</v>
      </c>
      <c r="AK87" s="272">
        <f>_xll.xlInterp1D($E$53:$E$81,$E$21:$E$49,AK55)</f>
        <v>0.99988751265482634</v>
      </c>
      <c r="AL87" s="272">
        <f>_xll.xlInterp1D($E$53:$E$81,$E$21:$E$49,AL55)</f>
        <v>0.99988751265482634</v>
      </c>
      <c r="AM87" s="272">
        <f>_xll.xlInterp1D($E$53:$E$81,$E$21:$E$49,AM55)</f>
        <v>0.99986037805771366</v>
      </c>
      <c r="AN87" s="272">
        <f>_xll.xlInterp1D($E$53:$E$81,$E$21:$E$49,AN55)</f>
        <v>0.99988751265482634</v>
      </c>
      <c r="AO87" s="272">
        <f>_xll.xlInterp1D($E$53:$E$81,$E$21:$E$49,AO55)</f>
        <v>0.99988751265482634</v>
      </c>
      <c r="AP87" s="272">
        <f>_xll.xlInterp1D($E$53:$E$81,$E$21:$E$49,AP55)</f>
        <v>0.99988751265482634</v>
      </c>
    </row>
    <row r="88" spans="3:42" x14ac:dyDescent="0.2">
      <c r="C88" s="1" t="s">
        <v>92</v>
      </c>
      <c r="D88" s="3"/>
      <c r="E88" s="272">
        <f>_xll.xlShmInterpDisc(E$5,E56+0*TYPE(disc_refresh))</f>
        <v>1.0001130650604493</v>
      </c>
      <c r="F88" s="272">
        <f>_xll.xlInterp1D($E$53:$E$81,$E$21:$E$49,F56)</f>
        <v>0.99972470507215028</v>
      </c>
      <c r="G88" s="272">
        <f>_xll.xlInterp1D($E$53:$E$81,$E$21:$E$49,G56)</f>
        <v>0.99972470507215028</v>
      </c>
      <c r="H88" s="272">
        <f>_xll.xlInterp1D($E$53:$E$81,$E$21:$E$49,H56)</f>
        <v>0.99972470507215028</v>
      </c>
      <c r="I88" s="272">
        <f>_xll.xlInterp1D($E$53:$E$81,$E$21:$E$49,I56)</f>
        <v>0.99980610886348831</v>
      </c>
      <c r="J88" s="272">
        <f>_xll.xlInterp1D($E$53:$E$81,$E$21:$E$49,J56)</f>
        <v>0.99972470507215028</v>
      </c>
      <c r="K88" s="272">
        <f>_xll.xlInterp1D($E$53:$E$81,$E$21:$E$49,K56)</f>
        <v>0.99972470507215028</v>
      </c>
      <c r="L88" s="272">
        <f>_xll.xlInterp1D($E$53:$E$81,$E$21:$E$49,L56)</f>
        <v>0.99972470507215028</v>
      </c>
      <c r="M88" s="272">
        <f>_xll.xlInterp1D($E$53:$E$81,$E$21:$E$49,M56)</f>
        <v>0.99972470507215028</v>
      </c>
      <c r="N88" s="272">
        <f>_xll.xlInterp1D($E$53:$E$81,$E$21:$E$49,N56)</f>
        <v>0.99972470507215028</v>
      </c>
      <c r="O88" s="272">
        <f>_xll.xlInterp1D($E$53:$E$81,$E$21:$E$49,O56)</f>
        <v>0.99972470507215028</v>
      </c>
      <c r="P88" s="272">
        <f>_xll.xlInterp1D($E$53:$E$81,$E$21:$E$49,P56)</f>
        <v>0.99972470507215028</v>
      </c>
      <c r="Q88" s="272">
        <f>_xll.xlInterp1D($E$53:$E$81,$E$21:$E$49,Q56)</f>
        <v>0.99972470507215028</v>
      </c>
      <c r="R88" s="272">
        <f>_xll.xlInterp1D($E$53:$E$81,$E$21:$E$49,R56)</f>
        <v>0.99972470507215028</v>
      </c>
      <c r="S88" s="272">
        <f>_xll.xlInterp1D($E$53:$E$81,$E$21:$E$49,S56)</f>
        <v>0.99972470507215028</v>
      </c>
      <c r="T88" s="272">
        <f>_xll.xlInterp1D($E$53:$E$81,$E$21:$E$49,T56)</f>
        <v>0.99964581974739897</v>
      </c>
      <c r="U88" s="272">
        <f>_xll.xlInterp1D($E$53:$E$81,$E$21:$E$49,U56)</f>
        <v>0.99938853554121121</v>
      </c>
      <c r="V88" s="272">
        <f>_xll.xlInterp1D($E$53:$E$81,$E$21:$E$49,V56)</f>
        <v>0.99972470507215028</v>
      </c>
      <c r="W88" s="272">
        <f>_xll.xlInterp1D($E$53:$E$81,$E$21:$E$49,W56)</f>
        <v>0.99972470507215028</v>
      </c>
      <c r="X88" s="272">
        <f>_xll.xlInterp1D($E$53:$E$81,$E$21:$E$49,X56)</f>
        <v>0.99972470507215028</v>
      </c>
      <c r="Y88" s="272">
        <f>_xll.xlInterp1D($E$53:$E$81,$E$21:$E$49,Y56)</f>
        <v>0.99972470507215028</v>
      </c>
      <c r="Z88" s="272">
        <f>_xll.xlInterp1D($E$53:$E$81,$E$21:$E$49,Z56)</f>
        <v>0.99972470507215028</v>
      </c>
      <c r="AA88" s="272">
        <f>_xll.xlInterp1D($E$53:$E$81,$E$21:$E$49,AA56)</f>
        <v>0.99972470507215028</v>
      </c>
      <c r="AB88" s="272">
        <f>_xll.xlInterp1D($E$53:$E$81,$E$21:$E$49,AB56)</f>
        <v>0.99972470507215028</v>
      </c>
      <c r="AC88" s="272">
        <f>_xll.xlInterp1D($E$53:$E$81,$E$21:$E$49,AC56)</f>
        <v>0.99972470507215028</v>
      </c>
      <c r="AD88" s="272">
        <f>_xll.xlInterp1D($E$53:$E$81,$E$21:$E$49,AD56)</f>
        <v>0.99972470507215028</v>
      </c>
      <c r="AE88" s="272">
        <f>_xll.xlInterp1D($E$53:$E$81,$E$21:$E$49,AE56)</f>
        <v>0.99972470507215028</v>
      </c>
      <c r="AF88" s="272">
        <f>_xll.xlInterp1D($E$53:$E$81,$E$21:$E$49,AF56)</f>
        <v>0.99972470507215028</v>
      </c>
      <c r="AG88" s="272">
        <f>_xll.xlInterp1D($E$53:$E$81,$E$21:$E$49,AG56)</f>
        <v>0.99972470507215028</v>
      </c>
      <c r="AH88" s="272">
        <f>_xll.xlInterp1D($E$53:$E$81,$E$21:$E$49,AH56)</f>
        <v>0.99972470507215028</v>
      </c>
      <c r="AI88" s="272">
        <f>_xll.xlInterp1D($E$53:$E$81,$E$21:$E$49,AI56)</f>
        <v>0.99972470507215028</v>
      </c>
      <c r="AJ88" s="272">
        <f>_xll.xlInterp1D($E$53:$E$81,$E$21:$E$49,AJ56)</f>
        <v>0.99938853554121121</v>
      </c>
      <c r="AK88" s="272">
        <f>_xll.xlInterp1D($E$53:$E$81,$E$21:$E$49,AK56)</f>
        <v>0.99972470507215028</v>
      </c>
      <c r="AL88" s="272">
        <f>_xll.xlInterp1D($E$53:$E$81,$E$21:$E$49,AL56)</f>
        <v>0.99972470507215028</v>
      </c>
      <c r="AM88" s="272">
        <f>_xll.xlInterp1D($E$53:$E$81,$E$21:$E$49,AM56)</f>
        <v>0.99968526240977462</v>
      </c>
      <c r="AN88" s="272">
        <f>_xll.xlInterp1D($E$53:$E$81,$E$21:$E$49,AN56)</f>
        <v>0.99972470507215028</v>
      </c>
      <c r="AO88" s="272">
        <f>_xll.xlInterp1D($E$53:$E$81,$E$21:$E$49,AO56)</f>
        <v>0.99972470507215028</v>
      </c>
      <c r="AP88" s="272">
        <f>_xll.xlInterp1D($E$53:$E$81,$E$21:$E$49,AP56)</f>
        <v>0.99972470507215028</v>
      </c>
    </row>
    <row r="89" spans="3:42" x14ac:dyDescent="0.2">
      <c r="C89" s="1" t="s">
        <v>55</v>
      </c>
      <c r="D89" s="3"/>
      <c r="E89" s="272">
        <f>_xll.xlShmInterpDisc(E$5,E57+0*TYPE(disc_refresh))</f>
        <v>1.0001811378408996</v>
      </c>
      <c r="F89" s="272">
        <f>_xll.xlInterp1D($E$53:$E$81,$E$21:$E$49,F57)</f>
        <v>0.9994486064355208</v>
      </c>
      <c r="G89" s="272">
        <f>_xll.xlInterp1D($E$53:$E$81,$E$21:$E$49,G57)</f>
        <v>0.9994486064355208</v>
      </c>
      <c r="H89" s="272">
        <f>_xll.xlInterp1D($E$53:$E$81,$E$21:$E$49,H57)</f>
        <v>0.9994486064355208</v>
      </c>
      <c r="I89" s="272">
        <f>_xll.xlInterp1D($E$53:$E$81,$E$21:$E$49,I57)</f>
        <v>0.99956693442264777</v>
      </c>
      <c r="J89" s="272">
        <f>_xll.xlInterp1D($E$53:$E$81,$E$21:$E$49,J57)</f>
        <v>0.9994486064355208</v>
      </c>
      <c r="K89" s="272">
        <f>_xll.xlInterp1D($E$53:$E$81,$E$21:$E$49,K57)</f>
        <v>0.9994486064355208</v>
      </c>
      <c r="L89" s="272">
        <f>_xll.xlInterp1D($E$53:$E$81,$E$21:$E$49,L57)</f>
        <v>0.9994486064355208</v>
      </c>
      <c r="M89" s="272">
        <f>_xll.xlInterp1D($E$53:$E$81,$E$21:$E$49,M57)</f>
        <v>0.9994486064355208</v>
      </c>
      <c r="N89" s="272">
        <f>_xll.xlInterp1D($E$53:$E$81,$E$21:$E$49,N57)</f>
        <v>0.9994486064355208</v>
      </c>
      <c r="O89" s="272">
        <f>_xll.xlInterp1D($E$53:$E$81,$E$21:$E$49,O57)</f>
        <v>0.9994486064355208</v>
      </c>
      <c r="P89" s="272">
        <f>_xll.xlInterp1D($E$53:$E$81,$E$21:$E$49,P57)</f>
        <v>0.9994486064355208</v>
      </c>
      <c r="Q89" s="272">
        <f>_xll.xlInterp1D($E$53:$E$81,$E$21:$E$49,Q57)</f>
        <v>0.9994486064355208</v>
      </c>
      <c r="R89" s="272">
        <f>_xll.xlInterp1D($E$53:$E$81,$E$21:$E$49,R57)</f>
        <v>0.9994486064355208</v>
      </c>
      <c r="S89" s="272">
        <f>_xll.xlInterp1D($E$53:$E$81,$E$21:$E$49,S57)</f>
        <v>0.9994486064355208</v>
      </c>
      <c r="T89" s="272">
        <f>_xll.xlInterp1D($E$53:$E$81,$E$21:$E$49,T57)</f>
        <v>0.99938853554121121</v>
      </c>
      <c r="U89" s="272">
        <f>_xll.xlInterp1D($E$53:$E$81,$E$21:$E$49,U57)</f>
        <v>0.99917807755860177</v>
      </c>
      <c r="V89" s="272">
        <f>_xll.xlInterp1D($E$53:$E$81,$E$21:$E$49,V57)</f>
        <v>0.9994486064355208</v>
      </c>
      <c r="W89" s="272">
        <f>_xll.xlInterp1D($E$53:$E$81,$E$21:$E$49,W57)</f>
        <v>0.9994486064355208</v>
      </c>
      <c r="X89" s="272">
        <f>_xll.xlInterp1D($E$53:$E$81,$E$21:$E$49,X57)</f>
        <v>0.9994486064355208</v>
      </c>
      <c r="Y89" s="272">
        <f>_xll.xlInterp1D($E$53:$E$81,$E$21:$E$49,Y57)</f>
        <v>0.99941857098836606</v>
      </c>
      <c r="Z89" s="272">
        <f>_xll.xlInterp1D($E$53:$E$81,$E$21:$E$49,Z57)</f>
        <v>0.9994486064355208</v>
      </c>
      <c r="AA89" s="272">
        <f>_xll.xlInterp1D($E$53:$E$81,$E$21:$E$49,AA57)</f>
        <v>0.9994486064355208</v>
      </c>
      <c r="AB89" s="272">
        <f>_xll.xlInterp1D($E$53:$E$81,$E$21:$E$49,AB57)</f>
        <v>0.9994486064355208</v>
      </c>
      <c r="AC89" s="272">
        <f>_xll.xlInterp1D($E$53:$E$81,$E$21:$E$49,AC57)</f>
        <v>0.9994486064355208</v>
      </c>
      <c r="AD89" s="272">
        <f>_xll.xlInterp1D($E$53:$E$81,$E$21:$E$49,AD57)</f>
        <v>0.9994486064355208</v>
      </c>
      <c r="AE89" s="272">
        <f>_xll.xlInterp1D($E$53:$E$81,$E$21:$E$49,AE57)</f>
        <v>0.9994486064355208</v>
      </c>
      <c r="AF89" s="272">
        <f>_xll.xlInterp1D($E$53:$E$81,$E$21:$E$49,AF57)</f>
        <v>0.9994486064355208</v>
      </c>
      <c r="AG89" s="272">
        <f>_xll.xlInterp1D($E$53:$E$81,$E$21:$E$49,AG57)</f>
        <v>0.9994486064355208</v>
      </c>
      <c r="AH89" s="272">
        <f>_xll.xlInterp1D($E$53:$E$81,$E$21:$E$49,AH57)</f>
        <v>0.9994486064355208</v>
      </c>
      <c r="AI89" s="272">
        <f>_xll.xlInterp1D($E$53:$E$81,$E$21:$E$49,AI57)</f>
        <v>0.9994486064355208</v>
      </c>
      <c r="AJ89" s="272">
        <f>_xll.xlInterp1D($E$53:$E$81,$E$21:$E$49,AJ57)</f>
        <v>0.99917807755860177</v>
      </c>
      <c r="AK89" s="272">
        <f>_xll.xlInterp1D($E$53:$E$81,$E$21:$E$49,AK57)</f>
        <v>0.9994486064355208</v>
      </c>
      <c r="AL89" s="272">
        <f>_xll.xlInterp1D($E$53:$E$81,$E$21:$E$49,AL57)</f>
        <v>0.9994486064355208</v>
      </c>
      <c r="AM89" s="272">
        <f>_xll.xlInterp1D($E$53:$E$81,$E$21:$E$49,AM57)</f>
        <v>0.99941857098836606</v>
      </c>
      <c r="AN89" s="272">
        <f>_xll.xlInterp1D($E$53:$E$81,$E$21:$E$49,AN57)</f>
        <v>0.9994486064355208</v>
      </c>
      <c r="AO89" s="272">
        <f>_xll.xlInterp1D($E$53:$E$81,$E$21:$E$49,AO57)</f>
        <v>0.9994486064355208</v>
      </c>
      <c r="AP89" s="272">
        <f>_xll.xlInterp1D($E$53:$E$81,$E$21:$E$49,AP57)</f>
        <v>0.9994486064355208</v>
      </c>
    </row>
    <row r="90" spans="3:42" x14ac:dyDescent="0.2">
      <c r="C90" s="1" t="s">
        <v>63</v>
      </c>
      <c r="D90" s="3"/>
      <c r="E90" s="272">
        <f>_xll.xlShmInterpDisc(E$5,E58+0*TYPE(disc_refresh))</f>
        <v>1.0002511652262993</v>
      </c>
      <c r="F90" s="272">
        <f>_xll.xlInterp1D($E$53:$E$81,$E$21:$E$49,F58)</f>
        <v>0.99923835830543739</v>
      </c>
      <c r="G90" s="272">
        <f>_xll.xlInterp1D($E$53:$E$81,$E$21:$E$49,G58)</f>
        <v>0.99923835830543739</v>
      </c>
      <c r="H90" s="272">
        <f>_xll.xlInterp1D($E$53:$E$81,$E$21:$E$49,H58)</f>
        <v>0.99923835830543739</v>
      </c>
      <c r="I90" s="272">
        <f>_xll.xlInterp1D($E$53:$E$81,$E$21:$E$49,I58)</f>
        <v>0.99932846464690173</v>
      </c>
      <c r="J90" s="272">
        <f>_xll.xlInterp1D($E$53:$E$81,$E$21:$E$49,J58)</f>
        <v>0.99923835830543739</v>
      </c>
      <c r="K90" s="272">
        <f>_xll.xlInterp1D($E$53:$E$81,$E$21:$E$49,K58)</f>
        <v>0.99923835830543739</v>
      </c>
      <c r="L90" s="272">
        <f>_xll.xlInterp1D($E$53:$E$81,$E$21:$E$49,L58)</f>
        <v>0.99923835830543739</v>
      </c>
      <c r="M90" s="272">
        <f>_xll.xlInterp1D($E$53:$E$81,$E$21:$E$49,M58)</f>
        <v>0.99923835830543739</v>
      </c>
      <c r="N90" s="272">
        <f>_xll.xlInterp1D($E$53:$E$81,$E$21:$E$49,N58)</f>
        <v>0.99923835830543739</v>
      </c>
      <c r="O90" s="272">
        <f>_xll.xlInterp1D($E$53:$E$81,$E$21:$E$49,O58)</f>
        <v>0.99923835830543739</v>
      </c>
      <c r="P90" s="272">
        <f>_xll.xlInterp1D($E$53:$E$81,$E$21:$E$49,P58)</f>
        <v>0.99923835830543739</v>
      </c>
      <c r="Q90" s="272">
        <f>_xll.xlInterp1D($E$53:$E$81,$E$21:$E$49,Q58)</f>
        <v>0.99923835830543739</v>
      </c>
      <c r="R90" s="272">
        <f>_xll.xlInterp1D($E$53:$E$81,$E$21:$E$49,R58)</f>
        <v>0.99923835830543739</v>
      </c>
      <c r="S90" s="272">
        <f>_xll.xlInterp1D($E$53:$E$81,$E$21:$E$49,S58)</f>
        <v>0.99923835830543739</v>
      </c>
      <c r="T90" s="272">
        <f>_xll.xlInterp1D($E$53:$E$81,$E$21:$E$49,T58)</f>
        <v>0.99917807755860177</v>
      </c>
      <c r="U90" s="272">
        <f>_xll.xlInterp1D($E$53:$E$81,$E$21:$E$49,U58)</f>
        <v>0.99896709494467706</v>
      </c>
      <c r="V90" s="272">
        <f>_xll.xlInterp1D($E$53:$E$81,$E$21:$E$49,V58)</f>
        <v>0.99923835830543739</v>
      </c>
      <c r="W90" s="272">
        <f>_xll.xlInterp1D($E$53:$E$81,$E$21:$E$49,W58)</f>
        <v>0.99923835830543739</v>
      </c>
      <c r="X90" s="272">
        <f>_xll.xlInterp1D($E$53:$E$81,$E$21:$E$49,X58)</f>
        <v>0.99923835830543739</v>
      </c>
      <c r="Y90" s="272">
        <f>_xll.xlInterp1D($E$53:$E$81,$E$21:$E$49,Y58)</f>
        <v>0.99923835830543739</v>
      </c>
      <c r="Z90" s="272">
        <f>_xll.xlInterp1D($E$53:$E$81,$E$21:$E$49,Z58)</f>
        <v>0.99923835830543739</v>
      </c>
      <c r="AA90" s="272">
        <f>_xll.xlInterp1D($E$53:$E$81,$E$21:$E$49,AA58)</f>
        <v>0.99923835830543739</v>
      </c>
      <c r="AB90" s="272">
        <f>_xll.xlInterp1D($E$53:$E$81,$E$21:$E$49,AB58)</f>
        <v>0.99923835830543739</v>
      </c>
      <c r="AC90" s="272">
        <f>_xll.xlInterp1D($E$53:$E$81,$E$21:$E$49,AC58)</f>
        <v>0.99923835830543739</v>
      </c>
      <c r="AD90" s="272">
        <f>_xll.xlInterp1D($E$53:$E$81,$E$21:$E$49,AD58)</f>
        <v>0.99923835830543739</v>
      </c>
      <c r="AE90" s="272">
        <f>_xll.xlInterp1D($E$53:$E$81,$E$21:$E$49,AE58)</f>
        <v>0.99923835830543739</v>
      </c>
      <c r="AF90" s="272">
        <f>_xll.xlInterp1D($E$53:$E$81,$E$21:$E$49,AF58)</f>
        <v>0.99923835830543739</v>
      </c>
      <c r="AG90" s="272">
        <f>_xll.xlInterp1D($E$53:$E$81,$E$21:$E$49,AG58)</f>
        <v>0.99923835830543739</v>
      </c>
      <c r="AH90" s="272">
        <f>_xll.xlInterp1D($E$53:$E$81,$E$21:$E$49,AH58)</f>
        <v>0.99923835830543739</v>
      </c>
      <c r="AI90" s="272">
        <f>_xll.xlInterp1D($E$53:$E$81,$E$21:$E$49,AI58)</f>
        <v>0.99923835830543739</v>
      </c>
      <c r="AJ90" s="272">
        <f>_xll.xlInterp1D($E$53:$E$81,$E$21:$E$49,AJ58)</f>
        <v>0.99896709494467706</v>
      </c>
      <c r="AK90" s="272">
        <f>_xll.xlInterp1D($E$53:$E$81,$E$21:$E$49,AK58)</f>
        <v>0.99923835830543739</v>
      </c>
      <c r="AL90" s="272">
        <f>_xll.xlInterp1D($E$53:$E$81,$E$21:$E$49,AL58)</f>
        <v>0.99923835830543739</v>
      </c>
      <c r="AM90" s="272">
        <f>_xll.xlInterp1D($E$53:$E$81,$E$21:$E$49,AM58)</f>
        <v>0.99920821793201953</v>
      </c>
      <c r="AN90" s="272">
        <f>_xll.xlInterp1D($E$53:$E$81,$E$21:$E$49,AN58)</f>
        <v>0.99923835830543739</v>
      </c>
      <c r="AO90" s="272">
        <f>_xll.xlInterp1D($E$53:$E$81,$E$21:$E$49,AO58)</f>
        <v>0.99923835830543739</v>
      </c>
      <c r="AP90" s="272">
        <f>_xll.xlInterp1D($E$53:$E$81,$E$21:$E$49,AP58)</f>
        <v>0.99923835830543739</v>
      </c>
    </row>
    <row r="91" spans="3:42" x14ac:dyDescent="0.2">
      <c r="C91" s="1" t="s">
        <v>66</v>
      </c>
      <c r="D91" s="3"/>
      <c r="E91" s="272">
        <f>_xll.xlShmInterpDisc(E$5,E59+0*TYPE(disc_refresh))</f>
        <v>1.0003512213602235</v>
      </c>
      <c r="F91" s="272">
        <f>_xll.xlInterp1D($E$53:$E$81,$E$21:$E$49,F59)</f>
        <v>0.99893695457125919</v>
      </c>
      <c r="G91" s="272">
        <f>_xll.xlInterp1D($E$53:$E$81,$E$21:$E$49,G59)</f>
        <v>0.99893695457125919</v>
      </c>
      <c r="H91" s="272">
        <f>_xll.xlInterp1D($E$53:$E$81,$E$21:$E$49,H59)</f>
        <v>0.99893695457125919</v>
      </c>
      <c r="I91" s="272">
        <f>_xll.xlInterp1D($E$53:$E$81,$E$21:$E$49,I59)</f>
        <v>0.99899723531809481</v>
      </c>
      <c r="J91" s="272">
        <f>_xll.xlInterp1D($E$53:$E$81,$E$21:$E$49,J59)</f>
        <v>0.99893695457125919</v>
      </c>
      <c r="K91" s="272">
        <f>_xll.xlInterp1D($E$53:$E$81,$E$21:$E$49,K59)</f>
        <v>0.99893695457125919</v>
      </c>
      <c r="L91" s="272">
        <f>_xll.xlInterp1D($E$53:$E$81,$E$21:$E$49,L59)</f>
        <v>0.99893695457125919</v>
      </c>
      <c r="M91" s="272">
        <f>_xll.xlInterp1D($E$53:$E$81,$E$21:$E$49,M59)</f>
        <v>0.99893695457125919</v>
      </c>
      <c r="N91" s="272">
        <f>_xll.xlInterp1D($E$53:$E$81,$E$21:$E$49,N59)</f>
        <v>0.99893695457125919</v>
      </c>
      <c r="O91" s="272">
        <f>_xll.xlInterp1D($E$53:$E$81,$E$21:$E$49,O59)</f>
        <v>0.99893695457125919</v>
      </c>
      <c r="P91" s="272">
        <f>_xll.xlInterp1D($E$53:$E$81,$E$21:$E$49,P59)</f>
        <v>0.99893695457125919</v>
      </c>
      <c r="Q91" s="272">
        <f>_xll.xlInterp1D($E$53:$E$81,$E$21:$E$49,Q59)</f>
        <v>0.99893695457125919</v>
      </c>
      <c r="R91" s="272">
        <f>_xll.xlInterp1D($E$53:$E$81,$E$21:$E$49,R59)</f>
        <v>0.99893695457125919</v>
      </c>
      <c r="S91" s="272">
        <f>_xll.xlInterp1D($E$53:$E$81,$E$21:$E$49,S59)</f>
        <v>0.99893695457125919</v>
      </c>
      <c r="T91" s="272">
        <f>_xll.xlInterp1D($E$53:$E$81,$E$21:$E$49,T59)</f>
        <v>0.9988017448079719</v>
      </c>
      <c r="U91" s="272">
        <f>_xll.xlInterp1D($E$53:$E$81,$E$21:$E$49,U59)</f>
        <v>0.9987341399263282</v>
      </c>
      <c r="V91" s="272">
        <f>_xll.xlInterp1D($E$53:$E$81,$E$21:$E$49,V59)</f>
        <v>0.99893695457125919</v>
      </c>
      <c r="W91" s="272">
        <f>_xll.xlInterp1D($E$53:$E$81,$E$21:$E$49,W59)</f>
        <v>0.99890315213043734</v>
      </c>
      <c r="X91" s="272">
        <f>_xll.xlInterp1D($E$53:$E$81,$E$21:$E$49,X59)</f>
        <v>0.99893695457125919</v>
      </c>
      <c r="Y91" s="272">
        <f>_xll.xlInterp1D($E$53:$E$81,$E$21:$E$49,Y59)</f>
        <v>0.99893695457125919</v>
      </c>
      <c r="Z91" s="272">
        <f>_xll.xlInterp1D($E$53:$E$81,$E$21:$E$49,Z59)</f>
        <v>0.99893695457125919</v>
      </c>
      <c r="AA91" s="272">
        <f>_xll.xlInterp1D($E$53:$E$81,$E$21:$E$49,AA59)</f>
        <v>0.99893695457125919</v>
      </c>
      <c r="AB91" s="272">
        <f>_xll.xlInterp1D($E$53:$E$81,$E$21:$E$49,AB59)</f>
        <v>0.99893695457125919</v>
      </c>
      <c r="AC91" s="272">
        <f>_xll.xlInterp1D($E$53:$E$81,$E$21:$E$49,AC59)</f>
        <v>0.99893695457125919</v>
      </c>
      <c r="AD91" s="272">
        <f>_xll.xlInterp1D($E$53:$E$81,$E$21:$E$49,AD59)</f>
        <v>0.99893695457125919</v>
      </c>
      <c r="AE91" s="272">
        <f>_xll.xlInterp1D($E$53:$E$81,$E$21:$E$49,AE59)</f>
        <v>0.99893695457125919</v>
      </c>
      <c r="AF91" s="272">
        <f>_xll.xlInterp1D($E$53:$E$81,$E$21:$E$49,AF59)</f>
        <v>0.99893695457125919</v>
      </c>
      <c r="AG91" s="272">
        <f>_xll.xlInterp1D($E$53:$E$81,$E$21:$E$49,AG59)</f>
        <v>0.99893695457125919</v>
      </c>
      <c r="AH91" s="272">
        <f>_xll.xlInterp1D($E$53:$E$81,$E$21:$E$49,AH59)</f>
        <v>0.99893695457125919</v>
      </c>
      <c r="AI91" s="272">
        <f>_xll.xlInterp1D($E$53:$E$81,$E$21:$E$49,AI59)</f>
        <v>0.99893695457125919</v>
      </c>
      <c r="AJ91" s="272">
        <f>_xll.xlInterp1D($E$53:$E$81,$E$21:$E$49,AJ59)</f>
        <v>0.9987341399263282</v>
      </c>
      <c r="AK91" s="272">
        <f>_xll.xlInterp1D($E$53:$E$81,$E$21:$E$49,AK59)</f>
        <v>0.99893695457125919</v>
      </c>
      <c r="AL91" s="272">
        <f>_xll.xlInterp1D($E$53:$E$81,$E$21:$E$49,AL59)</f>
        <v>0.99893695457125919</v>
      </c>
      <c r="AM91" s="272">
        <f>_xll.xlInterp1D($E$53:$E$81,$E$21:$E$49,AM59)</f>
        <v>0.9988017448079719</v>
      </c>
      <c r="AN91" s="272">
        <f>_xll.xlInterp1D($E$53:$E$81,$E$21:$E$49,AN59)</f>
        <v>0.99893695457125919</v>
      </c>
      <c r="AO91" s="272">
        <f>_xll.xlInterp1D($E$53:$E$81,$E$21:$E$49,AO59)</f>
        <v>0.99893695457125919</v>
      </c>
      <c r="AP91" s="272">
        <f>_xll.xlInterp1D($E$53:$E$81,$E$21:$E$49,AP59)</f>
        <v>0.99893695457125919</v>
      </c>
    </row>
    <row r="92" spans="3:42" x14ac:dyDescent="0.2">
      <c r="C92" s="1" t="s">
        <v>71</v>
      </c>
      <c r="D92" s="3"/>
      <c r="E92" s="272">
        <f>_xll.xlShmInterpDisc(E$5,E60+0*TYPE(disc_refresh))</f>
        <v>1.0005986682951018</v>
      </c>
      <c r="F92" s="272">
        <f>_xll.xlInterp1D($E$53:$E$81,$E$21:$E$49,F60)</f>
        <v>0.99799048622824782</v>
      </c>
      <c r="G92" s="272">
        <f>_xll.xlInterp1D($E$53:$E$81,$E$21:$E$49,G60)</f>
        <v>0.99799048622824782</v>
      </c>
      <c r="H92" s="272">
        <f>_xll.xlInterp1D($E$53:$E$81,$E$21:$E$49,H60)</f>
        <v>0.99799048622824782</v>
      </c>
      <c r="I92" s="272">
        <f>_xll.xlInterp1D($E$53:$E$81,$E$21:$E$49,I60)</f>
        <v>0.99809189355071337</v>
      </c>
      <c r="J92" s="272">
        <f>_xll.xlInterp1D($E$53:$E$81,$E$21:$E$49,J60)</f>
        <v>0.99799048622824782</v>
      </c>
      <c r="K92" s="272">
        <f>_xll.xlInterp1D($E$53:$E$81,$E$21:$E$49,K60)</f>
        <v>0.99799048622824782</v>
      </c>
      <c r="L92" s="272">
        <f>_xll.xlInterp1D($E$53:$E$81,$E$21:$E$49,L60)</f>
        <v>0.99799048622824782</v>
      </c>
      <c r="M92" s="272">
        <f>_xll.xlInterp1D($E$53:$E$81,$E$21:$E$49,M60)</f>
        <v>0.99799048622824782</v>
      </c>
      <c r="N92" s="272">
        <f>_xll.xlInterp1D($E$53:$E$81,$E$21:$E$49,N60)</f>
        <v>0.99799048622824782</v>
      </c>
      <c r="O92" s="272">
        <f>_xll.xlInterp1D($E$53:$E$81,$E$21:$E$49,O60)</f>
        <v>0.99799048622824782</v>
      </c>
      <c r="P92" s="272">
        <f>_xll.xlInterp1D($E$53:$E$81,$E$21:$E$49,P60)</f>
        <v>0.99799048622824782</v>
      </c>
      <c r="Q92" s="272">
        <f>_xll.xlInterp1D($E$53:$E$81,$E$21:$E$49,Q60)</f>
        <v>0.99799048622824782</v>
      </c>
      <c r="R92" s="272">
        <f>_xll.xlInterp1D($E$53:$E$81,$E$21:$E$49,R60)</f>
        <v>0.99799048622824782</v>
      </c>
      <c r="S92" s="272">
        <f>_xll.xlInterp1D($E$53:$E$81,$E$21:$E$49,S60)</f>
        <v>0.99799048622824782</v>
      </c>
      <c r="T92" s="272">
        <f>_xll.xlInterp1D($E$53:$E$81,$E$21:$E$49,T60)</f>
        <v>0.99776223527411489</v>
      </c>
      <c r="U92" s="272">
        <f>_xll.xlInterp1D($E$53:$E$81,$E$21:$E$49,U60)</f>
        <v>0.99724867062731604</v>
      </c>
      <c r="V92" s="272">
        <f>_xll.xlInterp1D($E$53:$E$81,$E$21:$E$49,V60)</f>
        <v>0.99799048622824782</v>
      </c>
      <c r="W92" s="272">
        <f>_xll.xlInterp1D($E$53:$E$81,$E$21:$E$49,W60)</f>
        <v>0.99799048622824782</v>
      </c>
      <c r="X92" s="272">
        <f>_xll.xlInterp1D($E$53:$E$81,$E$21:$E$49,X60)</f>
        <v>0.99799048622824782</v>
      </c>
      <c r="Y92" s="272">
        <f>_xll.xlInterp1D($E$53:$E$81,$E$21:$E$49,Y60)</f>
        <v>0.99799048622824782</v>
      </c>
      <c r="Z92" s="272">
        <f>_xll.xlInterp1D($E$53:$E$81,$E$21:$E$49,Z60)</f>
        <v>0.99799048622824782</v>
      </c>
      <c r="AA92" s="272">
        <f>_xll.xlInterp1D($E$53:$E$81,$E$21:$E$49,AA60)</f>
        <v>0.99799048622824782</v>
      </c>
      <c r="AB92" s="272">
        <f>_xll.xlInterp1D($E$53:$E$81,$E$21:$E$49,AB60)</f>
        <v>0.99799048622824782</v>
      </c>
      <c r="AC92" s="272">
        <f>_xll.xlInterp1D($E$53:$E$81,$E$21:$E$49,AC60)</f>
        <v>0.99799048622824782</v>
      </c>
      <c r="AD92" s="272">
        <f>_xll.xlInterp1D($E$53:$E$81,$E$21:$E$49,AD60)</f>
        <v>0.99799048622824782</v>
      </c>
      <c r="AE92" s="272">
        <f>_xll.xlInterp1D($E$53:$E$81,$E$21:$E$49,AE60)</f>
        <v>0.99799048622824782</v>
      </c>
      <c r="AF92" s="272">
        <f>_xll.xlInterp1D($E$53:$E$81,$E$21:$E$49,AF60)</f>
        <v>0.99799048622824782</v>
      </c>
      <c r="AG92" s="272">
        <f>_xll.xlInterp1D($E$53:$E$81,$E$21:$E$49,AG60)</f>
        <v>0.99799048622824782</v>
      </c>
      <c r="AH92" s="272">
        <f>_xll.xlInterp1D($E$53:$E$81,$E$21:$E$49,AH60)</f>
        <v>0.99799048622824782</v>
      </c>
      <c r="AI92" s="272">
        <f>_xll.xlInterp1D($E$53:$E$81,$E$21:$E$49,AI60)</f>
        <v>0.99799048622824782</v>
      </c>
      <c r="AJ92" s="272">
        <f>_xll.xlInterp1D($E$53:$E$81,$E$21:$E$49,AJ60)</f>
        <v>0.99724867062731604</v>
      </c>
      <c r="AK92" s="272">
        <f>_xll.xlInterp1D($E$53:$E$81,$E$21:$E$49,AK60)</f>
        <v>0.99799048622824782</v>
      </c>
      <c r="AL92" s="272">
        <f>_xll.xlInterp1D($E$53:$E$81,$E$21:$E$49,AL60)</f>
        <v>0.99799048622824782</v>
      </c>
      <c r="AM92" s="272">
        <f>_xll.xlInterp1D($E$53:$E$81,$E$21:$E$49,AM60)</f>
        <v>0.99776223527411489</v>
      </c>
      <c r="AN92" s="272">
        <f>_xll.xlInterp1D($E$53:$E$81,$E$21:$E$49,AN60)</f>
        <v>0.99799048622824782</v>
      </c>
      <c r="AO92" s="272">
        <f>_xll.xlInterp1D($E$53:$E$81,$E$21:$E$49,AO60)</f>
        <v>0.99799048622824782</v>
      </c>
      <c r="AP92" s="272">
        <f>_xll.xlInterp1D($E$53:$E$81,$E$21:$E$49,AP60)</f>
        <v>0.99799048622824782</v>
      </c>
    </row>
    <row r="93" spans="3:42" x14ac:dyDescent="0.2">
      <c r="C93" s="1" t="s">
        <v>77</v>
      </c>
      <c r="D93" s="3"/>
      <c r="E93" s="272">
        <f>_xll.xlShmInterpDisc(E$5,E61+0*TYPE(disc_refresh))</f>
        <v>1.0008253703620993</v>
      </c>
      <c r="F93" s="272">
        <f>_xll.xlInterp1D($E$53:$E$81,$E$21:$E$49,F61)</f>
        <v>0.99616447859518487</v>
      </c>
      <c r="G93" s="272">
        <f>_xll.xlInterp1D($E$53:$E$81,$E$21:$E$49,G61)</f>
        <v>0.99616447859518487</v>
      </c>
      <c r="H93" s="272">
        <f>_xll.xlInterp1D($E$53:$E$81,$E$21:$E$49,H61)</f>
        <v>0.99616447859518487</v>
      </c>
      <c r="I93" s="272">
        <f>_xll.xlInterp1D($E$53:$E$81,$E$21:$E$49,I61)</f>
        <v>0.99639272954931779</v>
      </c>
      <c r="J93" s="272">
        <f>_xll.xlInterp1D($E$53:$E$81,$E$21:$E$49,J61)</f>
        <v>0.99616447859518487</v>
      </c>
      <c r="K93" s="272">
        <f>_xll.xlInterp1D($E$53:$E$81,$E$21:$E$49,K61)</f>
        <v>0.99616447859518487</v>
      </c>
      <c r="L93" s="272">
        <f>_xll.xlInterp1D($E$53:$E$81,$E$21:$E$49,L61)</f>
        <v>0.99616447859518487</v>
      </c>
      <c r="M93" s="272">
        <f>_xll.xlInterp1D($E$53:$E$81,$E$21:$E$49,M61)</f>
        <v>0.99616447859518487</v>
      </c>
      <c r="N93" s="272">
        <f>_xll.xlInterp1D($E$53:$E$81,$E$21:$E$49,N61)</f>
        <v>0.99616447859518487</v>
      </c>
      <c r="O93" s="272">
        <f>_xll.xlInterp1D($E$53:$E$81,$E$21:$E$49,O61)</f>
        <v>0.99616447859518487</v>
      </c>
      <c r="P93" s="272">
        <f>_xll.xlInterp1D($E$53:$E$81,$E$21:$E$49,P61)</f>
        <v>0.99616447859518487</v>
      </c>
      <c r="Q93" s="272">
        <f>_xll.xlInterp1D($E$53:$E$81,$E$21:$E$49,Q61)</f>
        <v>0.99616447859518487</v>
      </c>
      <c r="R93" s="272">
        <f>_xll.xlInterp1D($E$53:$E$81,$E$21:$E$49,R61)</f>
        <v>0.99616447859518487</v>
      </c>
      <c r="S93" s="272">
        <f>_xll.xlInterp1D($E$53:$E$81,$E$21:$E$49,S61)</f>
        <v>0.99616447859518487</v>
      </c>
      <c r="T93" s="272">
        <f>_xll.xlInterp1D($E$53:$E$81,$E$21:$E$49,T61)</f>
        <v>0.9961231017968899</v>
      </c>
      <c r="U93" s="272">
        <f>_xll.xlInterp1D($E$53:$E$81,$E$21:$E$49,U61)</f>
        <v>0.99583346420882546</v>
      </c>
      <c r="V93" s="272">
        <f>_xll.xlInterp1D($E$53:$E$81,$E$21:$E$49,V61)</f>
        <v>0.99616447859518487</v>
      </c>
      <c r="W93" s="272">
        <f>_xll.xlInterp1D($E$53:$E$81,$E$21:$E$49,W61)</f>
        <v>0.99616447859518487</v>
      </c>
      <c r="X93" s="272">
        <f>_xll.xlInterp1D($E$53:$E$81,$E$21:$E$49,X61)</f>
        <v>0.99616447859518487</v>
      </c>
      <c r="Y93" s="272">
        <f>_xll.xlInterp1D($E$53:$E$81,$E$21:$E$49,Y61)</f>
        <v>0.99616447859518487</v>
      </c>
      <c r="Z93" s="272">
        <f>_xll.xlInterp1D($E$53:$E$81,$E$21:$E$49,Z61)</f>
        <v>0.99616447859518487</v>
      </c>
      <c r="AA93" s="272">
        <f>_xll.xlInterp1D($E$53:$E$81,$E$21:$E$49,AA61)</f>
        <v>0.99616447859518487</v>
      </c>
      <c r="AB93" s="272">
        <f>_xll.xlInterp1D($E$53:$E$81,$E$21:$E$49,AB61)</f>
        <v>0.99616447859518487</v>
      </c>
      <c r="AC93" s="272">
        <f>_xll.xlInterp1D($E$53:$E$81,$E$21:$E$49,AC61)</f>
        <v>0.99616447859518487</v>
      </c>
      <c r="AD93" s="272">
        <f>_xll.xlInterp1D($E$53:$E$81,$E$21:$E$49,AD61)</f>
        <v>0.99616447859518487</v>
      </c>
      <c r="AE93" s="272">
        <f>_xll.xlInterp1D($E$53:$E$81,$E$21:$E$49,AE61)</f>
        <v>0.99616447859518487</v>
      </c>
      <c r="AF93" s="272">
        <f>_xll.xlInterp1D($E$53:$E$81,$E$21:$E$49,AF61)</f>
        <v>0.99616447859518487</v>
      </c>
      <c r="AG93" s="272">
        <f>_xll.xlInterp1D($E$53:$E$81,$E$21:$E$49,AG61)</f>
        <v>0.99616447859518487</v>
      </c>
      <c r="AH93" s="272">
        <f>_xll.xlInterp1D($E$53:$E$81,$E$21:$E$49,AH61)</f>
        <v>0.99616447859518487</v>
      </c>
      <c r="AI93" s="272">
        <f>_xll.xlInterp1D($E$53:$E$81,$E$21:$E$49,AI61)</f>
        <v>0.99616447859518487</v>
      </c>
      <c r="AJ93" s="272">
        <f>_xll.xlInterp1D($E$53:$E$81,$E$21:$E$49,AJ61)</f>
        <v>0.99583346420882546</v>
      </c>
      <c r="AK93" s="272">
        <f>_xll.xlInterp1D($E$53:$E$81,$E$21:$E$49,AK61)</f>
        <v>0.99616447859518487</v>
      </c>
      <c r="AL93" s="272">
        <f>_xll.xlInterp1D($E$53:$E$81,$E$21:$E$49,AL61)</f>
        <v>0.99616447859518487</v>
      </c>
      <c r="AM93" s="272">
        <f>_xll.xlInterp1D($E$53:$E$81,$E$21:$E$49,AM61)</f>
        <v>0.99616447859518487</v>
      </c>
      <c r="AN93" s="272">
        <f>_xll.xlInterp1D($E$53:$E$81,$E$21:$E$49,AN61)</f>
        <v>0.99616447859518487</v>
      </c>
      <c r="AO93" s="272">
        <f>_xll.xlInterp1D($E$53:$E$81,$E$21:$E$49,AO61)</f>
        <v>0.99616447859518487</v>
      </c>
      <c r="AP93" s="272">
        <f>_xll.xlInterp1D($E$53:$E$81,$E$21:$E$49,AP61)</f>
        <v>0.99616447859518487</v>
      </c>
    </row>
    <row r="94" spans="3:42" x14ac:dyDescent="0.2">
      <c r="C94" s="1" t="s">
        <v>82</v>
      </c>
      <c r="D94" s="3"/>
      <c r="E94" s="272">
        <f>_xll.xlShmInterpDisc(E$5,E62+0*TYPE(disc_refresh))</f>
        <v>1.0009753561473393</v>
      </c>
      <c r="F94" s="272">
        <f>_xll.xlInterp1D($E$53:$E$81,$E$21:$E$49,F62)</f>
        <v>0.99496455144463214</v>
      </c>
      <c r="G94" s="272">
        <f>_xll.xlInterp1D($E$53:$E$81,$E$21:$E$49,G62)</f>
        <v>0.99496455144463214</v>
      </c>
      <c r="H94" s="272">
        <f>_xll.xlInterp1D($E$53:$E$81,$E$21:$E$49,H62)</f>
        <v>0.99496455144463214</v>
      </c>
      <c r="I94" s="272">
        <f>_xll.xlInterp1D($E$53:$E$81,$E$21:$E$49,I62)</f>
        <v>0.99496455144463214</v>
      </c>
      <c r="J94" s="272">
        <f>_xll.xlInterp1D($E$53:$E$81,$E$21:$E$49,J62)</f>
        <v>0.99496455144463214</v>
      </c>
      <c r="K94" s="272">
        <f>_xll.xlInterp1D($E$53:$E$81,$E$21:$E$49,K62)</f>
        <v>0.99496455144463214</v>
      </c>
      <c r="L94" s="272">
        <f>_xll.xlInterp1D($E$53:$E$81,$E$21:$E$49,L62)</f>
        <v>0.99496455144463214</v>
      </c>
      <c r="M94" s="272">
        <f>_xll.xlInterp1D($E$53:$E$81,$E$21:$E$49,M62)</f>
        <v>0.99496455144463214</v>
      </c>
      <c r="N94" s="272">
        <f>_xll.xlInterp1D($E$53:$E$81,$E$21:$E$49,N62)</f>
        <v>0.99496455144463214</v>
      </c>
      <c r="O94" s="272">
        <f>_xll.xlInterp1D($E$53:$E$81,$E$21:$E$49,O62)</f>
        <v>0.99496455144463214</v>
      </c>
      <c r="P94" s="272">
        <f>_xll.xlInterp1D($E$53:$E$81,$E$21:$E$49,P62)</f>
        <v>0.99496455144463214</v>
      </c>
      <c r="Q94" s="272">
        <f>_xll.xlInterp1D($E$53:$E$81,$E$21:$E$49,Q62)</f>
        <v>0.99496455144463214</v>
      </c>
      <c r="R94" s="272">
        <f>_xll.xlInterp1D($E$53:$E$81,$E$21:$E$49,R62)</f>
        <v>0.99496455144463214</v>
      </c>
      <c r="S94" s="272">
        <f>_xll.xlInterp1D($E$53:$E$81,$E$21:$E$49,S62)</f>
        <v>0.99496455144463214</v>
      </c>
      <c r="T94" s="272">
        <f>_xll.xlInterp1D($E$53:$E$81,$E$21:$E$49,T62)</f>
        <v>0.99487856834713906</v>
      </c>
      <c r="U94" s="272">
        <f>_xll.xlInterp1D($E$53:$E$81,$E$21:$E$49,U62)</f>
        <v>0.99457762750591339</v>
      </c>
      <c r="V94" s="272">
        <f>_xll.xlInterp1D($E$53:$E$81,$E$21:$E$49,V62)</f>
        <v>0.99496455144463214</v>
      </c>
      <c r="W94" s="272">
        <f>_xll.xlInterp1D($E$53:$E$81,$E$21:$E$49,W62)</f>
        <v>0.99496455144463214</v>
      </c>
      <c r="X94" s="272">
        <f>_xll.xlInterp1D($E$53:$E$81,$E$21:$E$49,X62)</f>
        <v>0.99496455144463214</v>
      </c>
      <c r="Y94" s="272">
        <f>_xll.xlInterp1D($E$53:$E$81,$E$21:$E$49,Y62)</f>
        <v>0.99496455144463214</v>
      </c>
      <c r="Z94" s="272">
        <f>_xll.xlInterp1D($E$53:$E$81,$E$21:$E$49,Z62)</f>
        <v>0.99496455144463214</v>
      </c>
      <c r="AA94" s="272">
        <f>_xll.xlInterp1D($E$53:$E$81,$E$21:$E$49,AA62)</f>
        <v>0.99496455144463214</v>
      </c>
      <c r="AB94" s="272">
        <f>_xll.xlInterp1D($E$53:$E$81,$E$21:$E$49,AB62)</f>
        <v>0.99496455144463214</v>
      </c>
      <c r="AC94" s="272">
        <f>_xll.xlInterp1D($E$53:$E$81,$E$21:$E$49,AC62)</f>
        <v>0.99496455144463214</v>
      </c>
      <c r="AD94" s="272">
        <f>_xll.xlInterp1D($E$53:$E$81,$E$21:$E$49,AD62)</f>
        <v>0.99496455144463214</v>
      </c>
      <c r="AE94" s="272">
        <f>_xll.xlInterp1D($E$53:$E$81,$E$21:$E$49,AE62)</f>
        <v>0.99496455144463214</v>
      </c>
      <c r="AF94" s="272">
        <f>_xll.xlInterp1D($E$53:$E$81,$E$21:$E$49,AF62)</f>
        <v>0.99496455144463214</v>
      </c>
      <c r="AG94" s="272">
        <f>_xll.xlInterp1D($E$53:$E$81,$E$21:$E$49,AG62)</f>
        <v>0.99496455144463214</v>
      </c>
      <c r="AH94" s="272">
        <f>_xll.xlInterp1D($E$53:$E$81,$E$21:$E$49,AH62)</f>
        <v>0.99496455144463214</v>
      </c>
      <c r="AI94" s="272">
        <f>_xll.xlInterp1D($E$53:$E$81,$E$21:$E$49,AI62)</f>
        <v>0.99496455144463214</v>
      </c>
      <c r="AJ94" s="272">
        <f>_xll.xlInterp1D($E$53:$E$81,$E$21:$E$49,AJ62)</f>
        <v>0.99457762750591339</v>
      </c>
      <c r="AK94" s="272">
        <f>_xll.xlInterp1D($E$53:$E$81,$E$21:$E$49,AK62)</f>
        <v>0.99496455144463214</v>
      </c>
      <c r="AL94" s="272">
        <f>_xll.xlInterp1D($E$53:$E$81,$E$21:$E$49,AL62)</f>
        <v>0.99496455144463214</v>
      </c>
      <c r="AM94" s="272">
        <f>_xll.xlInterp1D($E$53:$E$81,$E$21:$E$49,AM62)</f>
        <v>0.9949215598958856</v>
      </c>
      <c r="AN94" s="272">
        <f>_xll.xlInterp1D($E$53:$E$81,$E$21:$E$49,AN62)</f>
        <v>0.99496455144463214</v>
      </c>
      <c r="AO94" s="272">
        <f>_xll.xlInterp1D($E$53:$E$81,$E$21:$E$49,AO62)</f>
        <v>0.99496455144463214</v>
      </c>
      <c r="AP94" s="272">
        <f>_xll.xlInterp1D($E$53:$E$81,$E$21:$E$49,AP62)</f>
        <v>0.99496455144463214</v>
      </c>
    </row>
    <row r="95" spans="3:42" x14ac:dyDescent="0.2">
      <c r="C95" s="1" t="s">
        <v>85</v>
      </c>
      <c r="D95" s="3"/>
      <c r="E95" s="272">
        <f>_xll.xlShmInterpDisc(E$5,E63+0*TYPE(disc_refresh))</f>
        <v>1.001090867488482</v>
      </c>
      <c r="F95" s="272">
        <f>_xll.xlInterp1D($E$53:$E$81,$E$21:$E$49,F63)</f>
        <v>0.99363181343348961</v>
      </c>
      <c r="G95" s="272">
        <f>_xll.xlInterp1D($E$53:$E$81,$E$21:$E$49,G63)</f>
        <v>0.99363181343348961</v>
      </c>
      <c r="H95" s="272">
        <f>_xll.xlInterp1D($E$53:$E$81,$E$21:$E$49,H63)</f>
        <v>0.99363181343348961</v>
      </c>
      <c r="I95" s="272">
        <f>_xll.xlInterp1D($E$53:$E$81,$E$21:$E$49,I63)</f>
        <v>0.99376078807972923</v>
      </c>
      <c r="J95" s="272">
        <f>_xll.xlInterp1D($E$53:$E$81,$E$21:$E$49,J63)</f>
        <v>0.99363181343348961</v>
      </c>
      <c r="K95" s="272">
        <f>_xll.xlInterp1D($E$53:$E$81,$E$21:$E$49,K63)</f>
        <v>0.99363181343348961</v>
      </c>
      <c r="L95" s="272">
        <f>_xll.xlInterp1D($E$53:$E$81,$E$21:$E$49,L63)</f>
        <v>0.99363181343348961</v>
      </c>
      <c r="M95" s="272">
        <f>_xll.xlInterp1D($E$53:$E$81,$E$21:$E$49,M63)</f>
        <v>0.99363181343348961</v>
      </c>
      <c r="N95" s="272">
        <f>_xll.xlInterp1D($E$53:$E$81,$E$21:$E$49,N63)</f>
        <v>0.99363181343348961</v>
      </c>
      <c r="O95" s="272">
        <f>_xll.xlInterp1D($E$53:$E$81,$E$21:$E$49,O63)</f>
        <v>0.99363181343348961</v>
      </c>
      <c r="P95" s="272">
        <f>_xll.xlInterp1D($E$53:$E$81,$E$21:$E$49,P63)</f>
        <v>0.99363181343348961</v>
      </c>
      <c r="Q95" s="272">
        <f>_xll.xlInterp1D($E$53:$E$81,$E$21:$E$49,Q63)</f>
        <v>0.99363181343348961</v>
      </c>
      <c r="R95" s="272">
        <f>_xll.xlInterp1D($E$53:$E$81,$E$21:$E$49,R63)</f>
        <v>0.99363181343348961</v>
      </c>
      <c r="S95" s="272">
        <f>_xll.xlInterp1D($E$53:$E$81,$E$21:$E$49,S63)</f>
        <v>0.99363181343348961</v>
      </c>
      <c r="T95" s="272">
        <f>_xll.xlInterp1D($E$53:$E$81,$E$21:$E$49,T63)</f>
        <v>0.99343696474477183</v>
      </c>
      <c r="U95" s="272">
        <f>_xll.xlInterp1D($E$53:$E$81,$E$21:$E$49,U63)</f>
        <v>0.99298231780443036</v>
      </c>
      <c r="V95" s="272">
        <f>_xll.xlInterp1D($E$53:$E$81,$E$21:$E$49,V63)</f>
        <v>0.99363181343348961</v>
      </c>
      <c r="W95" s="272">
        <f>_xll.xlInterp1D($E$53:$E$81,$E$21:$E$49,W63)</f>
        <v>0.99363181343348961</v>
      </c>
      <c r="X95" s="272">
        <f>_xll.xlInterp1D($E$53:$E$81,$E$21:$E$49,X63)</f>
        <v>0.99363181343348961</v>
      </c>
      <c r="Y95" s="272">
        <f>_xll.xlInterp1D($E$53:$E$81,$E$21:$E$49,Y63)</f>
        <v>0.99363181343348961</v>
      </c>
      <c r="Z95" s="272">
        <f>_xll.xlInterp1D($E$53:$E$81,$E$21:$E$49,Z63)</f>
        <v>0.99363181343348961</v>
      </c>
      <c r="AA95" s="272">
        <f>_xll.xlInterp1D($E$53:$E$81,$E$21:$E$49,AA63)</f>
        <v>0.99363181343348961</v>
      </c>
      <c r="AB95" s="272">
        <f>_xll.xlInterp1D($E$53:$E$81,$E$21:$E$49,AB63)</f>
        <v>0.99363181343348961</v>
      </c>
      <c r="AC95" s="272">
        <f>_xll.xlInterp1D($E$53:$E$81,$E$21:$E$49,AC63)</f>
        <v>0.99363181343348961</v>
      </c>
      <c r="AD95" s="272">
        <f>_xll.xlInterp1D($E$53:$E$81,$E$21:$E$49,AD63)</f>
        <v>0.99363181343348961</v>
      </c>
      <c r="AE95" s="272">
        <f>_xll.xlInterp1D($E$53:$E$81,$E$21:$E$49,AE63)</f>
        <v>0.99363181343348961</v>
      </c>
      <c r="AF95" s="272">
        <f>_xll.xlInterp1D($E$53:$E$81,$E$21:$E$49,AF63)</f>
        <v>0.99363181343348961</v>
      </c>
      <c r="AG95" s="272">
        <f>_xll.xlInterp1D($E$53:$E$81,$E$21:$E$49,AG63)</f>
        <v>0.99363181343348961</v>
      </c>
      <c r="AH95" s="272">
        <f>_xll.xlInterp1D($E$53:$E$81,$E$21:$E$49,AH63)</f>
        <v>0.99363181343348961</v>
      </c>
      <c r="AI95" s="272">
        <f>_xll.xlInterp1D($E$53:$E$81,$E$21:$E$49,AI63)</f>
        <v>0.99363181343348961</v>
      </c>
      <c r="AJ95" s="272">
        <f>_xll.xlInterp1D($E$53:$E$81,$E$21:$E$49,AJ63)</f>
        <v>0.99298231780443036</v>
      </c>
      <c r="AK95" s="272">
        <f>_xll.xlInterp1D($E$53:$E$81,$E$21:$E$49,AK63)</f>
        <v>0.99343696474477183</v>
      </c>
      <c r="AL95" s="272">
        <f>_xll.xlInterp1D($E$53:$E$81,$E$21:$E$49,AL63)</f>
        <v>0.99363181343348961</v>
      </c>
      <c r="AM95" s="272">
        <f>_xll.xlInterp1D($E$53:$E$81,$E$21:$E$49,AM63)</f>
        <v>0.99343696474477183</v>
      </c>
      <c r="AN95" s="272">
        <f>_xll.xlInterp1D($E$53:$E$81,$E$21:$E$49,AN63)</f>
        <v>0.99363181343348961</v>
      </c>
      <c r="AO95" s="272">
        <f>_xll.xlInterp1D($E$53:$E$81,$E$21:$E$49,AO63)</f>
        <v>0.99363181343348961</v>
      </c>
      <c r="AP95" s="272">
        <f>_xll.xlInterp1D($E$53:$E$81,$E$21:$E$49,AP63)</f>
        <v>0.99363181343348961</v>
      </c>
    </row>
    <row r="96" spans="3:42" x14ac:dyDescent="0.2">
      <c r="C96" s="1" t="s">
        <v>87</v>
      </c>
      <c r="D96" s="3"/>
      <c r="E96" s="272">
        <f>_xll.xlShmInterpDisc(E$5,E64+0*TYPE(disc_refresh))</f>
        <v>1.0011546188966192</v>
      </c>
      <c r="F96" s="272">
        <f>_xll.xlInterp1D($E$53:$E$81,$E$21:$E$49,F64)</f>
        <v>0.99161837698340582</v>
      </c>
      <c r="G96" s="272">
        <f>_xll.xlInterp1D($E$53:$E$81,$E$21:$E$49,G64)</f>
        <v>0.99161837698340582</v>
      </c>
      <c r="H96" s="272">
        <f>_xll.xlInterp1D($E$53:$E$81,$E$21:$E$49,H64)</f>
        <v>0.99161837698340582</v>
      </c>
      <c r="I96" s="272">
        <f>_xll.xlInterp1D($E$53:$E$81,$E$21:$E$49,I64)</f>
        <v>0.99187817523502952</v>
      </c>
      <c r="J96" s="272">
        <f>_xll.xlInterp1D($E$53:$E$81,$E$21:$E$49,J64)</f>
        <v>0.99161837698340582</v>
      </c>
      <c r="K96" s="272">
        <f>_xll.xlInterp1D($E$53:$E$81,$E$21:$E$49,K64)</f>
        <v>0.99161837698340582</v>
      </c>
      <c r="L96" s="272">
        <f>_xll.xlInterp1D($E$53:$E$81,$E$21:$E$49,L64)</f>
        <v>0.99161837698340582</v>
      </c>
      <c r="M96" s="272">
        <f>_xll.xlInterp1D($E$53:$E$81,$E$21:$E$49,M64)</f>
        <v>0.99161837698340582</v>
      </c>
      <c r="N96" s="272">
        <f>_xll.xlInterp1D($E$53:$E$81,$E$21:$E$49,N64)</f>
        <v>0.99161837698340582</v>
      </c>
      <c r="O96" s="272">
        <f>_xll.xlInterp1D($E$53:$E$81,$E$21:$E$49,O64)</f>
        <v>0.99161837698340582</v>
      </c>
      <c r="P96" s="272">
        <f>_xll.xlInterp1D($E$53:$E$81,$E$21:$E$49,P64)</f>
        <v>0.99161837698340582</v>
      </c>
      <c r="Q96" s="272">
        <f>_xll.xlInterp1D($E$53:$E$81,$E$21:$E$49,Q64)</f>
        <v>0.99161837698340582</v>
      </c>
      <c r="R96" s="272">
        <f>_xll.xlInterp1D($E$53:$E$81,$E$21:$E$49,R64)</f>
        <v>0.99161837698340582</v>
      </c>
      <c r="S96" s="272">
        <f>_xll.xlInterp1D($E$53:$E$81,$E$21:$E$49,S64)</f>
        <v>0.99161837698340582</v>
      </c>
      <c r="T96" s="272">
        <f>_xll.xlInterp1D($E$53:$E$81,$E$21:$E$49,T64)</f>
        <v>0.99156827819447713</v>
      </c>
      <c r="U96" s="272">
        <f>_xll.xlInterp1D($E$53:$E$81,$E$21:$E$49,U64)</f>
        <v>0.99121758667197657</v>
      </c>
      <c r="V96" s="272">
        <f>_xll.xlInterp1D($E$53:$E$81,$E$21:$E$49,V64)</f>
        <v>0.99161837698340582</v>
      </c>
      <c r="W96" s="272">
        <f>_xll.xlInterp1D($E$53:$E$81,$E$21:$E$49,W64)</f>
        <v>0.99161837698340582</v>
      </c>
      <c r="X96" s="272">
        <f>_xll.xlInterp1D($E$53:$E$81,$E$21:$E$49,X64)</f>
        <v>0.99161837698340582</v>
      </c>
      <c r="Y96" s="272">
        <f>_xll.xlInterp1D($E$53:$E$81,$E$21:$E$49,Y64)</f>
        <v>0.99161837698340582</v>
      </c>
      <c r="Z96" s="272">
        <f>_xll.xlInterp1D($E$53:$E$81,$E$21:$E$49,Z64)</f>
        <v>0.99161837698340582</v>
      </c>
      <c r="AA96" s="272">
        <f>_xll.xlInterp1D($E$53:$E$81,$E$21:$E$49,AA64)</f>
        <v>0.99161837698340582</v>
      </c>
      <c r="AB96" s="272">
        <f>_xll.xlInterp1D($E$53:$E$81,$E$21:$E$49,AB64)</f>
        <v>0.99161837698340582</v>
      </c>
      <c r="AC96" s="272">
        <f>_xll.xlInterp1D($E$53:$E$81,$E$21:$E$49,AC64)</f>
        <v>0.99161837698340582</v>
      </c>
      <c r="AD96" s="272">
        <f>_xll.xlInterp1D($E$53:$E$81,$E$21:$E$49,AD64)</f>
        <v>0.99161837698340582</v>
      </c>
      <c r="AE96" s="272">
        <f>_xll.xlInterp1D($E$53:$E$81,$E$21:$E$49,AE64)</f>
        <v>0.99161837698340582</v>
      </c>
      <c r="AF96" s="272">
        <f>_xll.xlInterp1D($E$53:$E$81,$E$21:$E$49,AF64)</f>
        <v>0.99161837698340582</v>
      </c>
      <c r="AG96" s="272">
        <f>_xll.xlInterp1D($E$53:$E$81,$E$21:$E$49,AG64)</f>
        <v>0.99161837698340582</v>
      </c>
      <c r="AH96" s="272">
        <f>_xll.xlInterp1D($E$53:$E$81,$E$21:$E$49,AH64)</f>
        <v>0.99161837698340582</v>
      </c>
      <c r="AI96" s="272">
        <f>_xll.xlInterp1D($E$53:$E$81,$E$21:$E$49,AI64)</f>
        <v>0.99161837698340582</v>
      </c>
      <c r="AJ96" s="272">
        <f>_xll.xlInterp1D($E$53:$E$81,$E$21:$E$49,AJ64)</f>
        <v>0.99121758667197657</v>
      </c>
      <c r="AK96" s="272">
        <f>_xll.xlInterp1D($E$53:$E$81,$E$21:$E$49,AK64)</f>
        <v>0.99161837698340582</v>
      </c>
      <c r="AL96" s="272">
        <f>_xll.xlInterp1D($E$53:$E$81,$E$21:$E$49,AL64)</f>
        <v>0.99161837698340582</v>
      </c>
      <c r="AM96" s="272">
        <f>_xll.xlInterp1D($E$53:$E$81,$E$21:$E$49,AM64)</f>
        <v>0.99161837698340582</v>
      </c>
      <c r="AN96" s="272">
        <f>_xll.xlInterp1D($E$53:$E$81,$E$21:$E$49,AN64)</f>
        <v>0.99161837698340582</v>
      </c>
      <c r="AO96" s="272">
        <f>_xll.xlInterp1D($E$53:$E$81,$E$21:$E$49,AO64)</f>
        <v>0.99161837698340582</v>
      </c>
      <c r="AP96" s="272">
        <f>_xll.xlInterp1D($E$53:$E$81,$E$21:$E$49,AP64)</f>
        <v>0.99161837698340582</v>
      </c>
    </row>
    <row r="97" spans="3:42" x14ac:dyDescent="0.2">
      <c r="C97" s="1" t="s">
        <v>90</v>
      </c>
      <c r="D97" s="3"/>
      <c r="E97" s="272">
        <f>_xll.xlShmInterpDisc(E$5,E65+0*TYPE(disc_refresh))</f>
        <v>1.001161300736982</v>
      </c>
      <c r="F97" s="272">
        <f>_xll.xlInterp1D($E$53:$E$81,$E$21:$E$49,F65)</f>
        <v>0.99011541331554631</v>
      </c>
      <c r="G97" s="272">
        <f>_xll.xlInterp1D($E$53:$E$81,$E$21:$E$49,G65)</f>
        <v>0.99011541331554631</v>
      </c>
      <c r="H97" s="272">
        <f>_xll.xlInterp1D($E$53:$E$81,$E$21:$E$49,H65)</f>
        <v>0.99011541331554631</v>
      </c>
      <c r="I97" s="272">
        <f>_xll.xlInterp1D($E$53:$E$81,$E$21:$E$49,I65)</f>
        <v>0.9902156108934036</v>
      </c>
      <c r="J97" s="272">
        <f>_xll.xlInterp1D($E$53:$E$81,$E$21:$E$49,J65)</f>
        <v>0.99011541331554631</v>
      </c>
      <c r="K97" s="272">
        <f>_xll.xlInterp1D($E$53:$E$81,$E$21:$E$49,K65)</f>
        <v>0.99011541331554631</v>
      </c>
      <c r="L97" s="272">
        <f>_xll.xlInterp1D($E$53:$E$81,$E$21:$E$49,L65)</f>
        <v>0.99011541331554631</v>
      </c>
      <c r="M97" s="272">
        <f>_xll.xlInterp1D($E$53:$E$81,$E$21:$E$49,M65)</f>
        <v>0.99011541331554631</v>
      </c>
      <c r="N97" s="272">
        <f>_xll.xlInterp1D($E$53:$E$81,$E$21:$E$49,N65)</f>
        <v>0.99011541331554631</v>
      </c>
      <c r="O97" s="272">
        <f>_xll.xlInterp1D($E$53:$E$81,$E$21:$E$49,O65)</f>
        <v>0.99011541331554631</v>
      </c>
      <c r="P97" s="272">
        <f>_xll.xlInterp1D($E$53:$E$81,$E$21:$E$49,P65)</f>
        <v>0.99011541331554631</v>
      </c>
      <c r="Q97" s="272">
        <f>_xll.xlInterp1D($E$53:$E$81,$E$21:$E$49,Q65)</f>
        <v>0.99011541331554631</v>
      </c>
      <c r="R97" s="272">
        <f>_xll.xlInterp1D($E$53:$E$81,$E$21:$E$49,R65)</f>
        <v>0.99011541331554631</v>
      </c>
      <c r="S97" s="272">
        <f>_xll.xlInterp1D($E$53:$E$81,$E$21:$E$49,S65)</f>
        <v>0.99011541331554631</v>
      </c>
      <c r="T97" s="272">
        <f>_xll.xlInterp1D($E$53:$E$81,$E$21:$E$49,T65)</f>
        <v>0.99001368003758217</v>
      </c>
      <c r="U97" s="272">
        <f>_xll.xlInterp1D($E$53:$E$81,$E$21:$E$49,U65)</f>
        <v>0.98965761356470772</v>
      </c>
      <c r="V97" s="272">
        <f>_xll.xlInterp1D($E$53:$E$81,$E$21:$E$49,V65)</f>
        <v>0.99011541331554631</v>
      </c>
      <c r="W97" s="272">
        <f>_xll.xlInterp1D($E$53:$E$81,$E$21:$E$49,W65)</f>
        <v>0.99011541331554631</v>
      </c>
      <c r="X97" s="272">
        <f>_xll.xlInterp1D($E$53:$E$81,$E$21:$E$49,X65)</f>
        <v>0.99011541331554631</v>
      </c>
      <c r="Y97" s="272">
        <f>_xll.xlInterp1D($E$53:$E$81,$E$21:$E$49,Y65)</f>
        <v>0.99011541331554631</v>
      </c>
      <c r="Z97" s="272">
        <f>_xll.xlInterp1D($E$53:$E$81,$E$21:$E$49,Z65)</f>
        <v>0.99011541331554631</v>
      </c>
      <c r="AA97" s="272">
        <f>_xll.xlInterp1D($E$53:$E$81,$E$21:$E$49,AA65)</f>
        <v>0.99011541331554631</v>
      </c>
      <c r="AB97" s="272">
        <f>_xll.xlInterp1D($E$53:$E$81,$E$21:$E$49,AB65)</f>
        <v>0.99011541331554631</v>
      </c>
      <c r="AC97" s="272">
        <f>_xll.xlInterp1D($E$53:$E$81,$E$21:$E$49,AC65)</f>
        <v>0.99011541331554631</v>
      </c>
      <c r="AD97" s="272">
        <f>_xll.xlInterp1D($E$53:$E$81,$E$21:$E$49,AD65)</f>
        <v>0.99011541331554631</v>
      </c>
      <c r="AE97" s="272">
        <f>_xll.xlInterp1D($E$53:$E$81,$E$21:$E$49,AE65)</f>
        <v>0.99011541331554631</v>
      </c>
      <c r="AF97" s="272">
        <f>_xll.xlInterp1D($E$53:$E$81,$E$21:$E$49,AF65)</f>
        <v>0.99011541331554631</v>
      </c>
      <c r="AG97" s="272">
        <f>_xll.xlInterp1D($E$53:$E$81,$E$21:$E$49,AG65)</f>
        <v>0.99011541331554631</v>
      </c>
      <c r="AH97" s="272">
        <f>_xll.xlInterp1D($E$53:$E$81,$E$21:$E$49,AH65)</f>
        <v>0.99011541331554631</v>
      </c>
      <c r="AI97" s="272">
        <f>_xll.xlInterp1D($E$53:$E$81,$E$21:$E$49,AI65)</f>
        <v>0.99011541331554631</v>
      </c>
      <c r="AJ97" s="272">
        <f>_xll.xlInterp1D($E$53:$E$81,$E$21:$E$49,AJ65)</f>
        <v>0.98965761356470772</v>
      </c>
      <c r="AK97" s="272">
        <f>_xll.xlInterp1D($E$53:$E$81,$E$21:$E$49,AK65)</f>
        <v>0.99011541331554631</v>
      </c>
      <c r="AL97" s="272">
        <f>_xll.xlInterp1D($E$53:$E$81,$E$21:$E$49,AL65)</f>
        <v>0.99011541331554631</v>
      </c>
      <c r="AM97" s="272">
        <f>_xll.xlInterp1D($E$53:$E$81,$E$21:$E$49,AM65)</f>
        <v>0.99006454667656429</v>
      </c>
      <c r="AN97" s="272">
        <f>_xll.xlInterp1D($E$53:$E$81,$E$21:$E$49,AN65)</f>
        <v>0.99011541331554631</v>
      </c>
      <c r="AO97" s="272">
        <f>_xll.xlInterp1D($E$53:$E$81,$E$21:$E$49,AO65)</f>
        <v>0.99011541331554631</v>
      </c>
      <c r="AP97" s="272">
        <f>_xll.xlInterp1D($E$53:$E$81,$E$21:$E$49,AP65)</f>
        <v>0.99011541331554631</v>
      </c>
    </row>
    <row r="98" spans="3:42" x14ac:dyDescent="0.2">
      <c r="C98" s="1" t="s">
        <v>93</v>
      </c>
      <c r="D98" s="3"/>
      <c r="E98" s="272">
        <f>_xll.xlShmInterpDisc(E$5,E66+0*TYPE(disc_refresh))</f>
        <v>1.001176607491834</v>
      </c>
      <c r="F98" s="272">
        <f>_xll.xlInterp1D($E$53:$E$81,$E$21:$E$49,F66)</f>
        <v>0.98843681422913832</v>
      </c>
      <c r="G98" s="272">
        <f>_xll.xlInterp1D($E$53:$E$81,$E$21:$E$49,G66)</f>
        <v>0.98843681422913832</v>
      </c>
      <c r="H98" s="272">
        <f>_xll.xlInterp1D($E$53:$E$81,$E$21:$E$49,H66)</f>
        <v>0.98843681422913832</v>
      </c>
      <c r="I98" s="272">
        <f>_xll.xlInterp1D($E$53:$E$81,$E$21:$E$49,I66)</f>
        <v>0.98869114742404862</v>
      </c>
      <c r="J98" s="272">
        <f>_xll.xlInterp1D($E$53:$E$81,$E$21:$E$49,J66)</f>
        <v>0.98843681422913832</v>
      </c>
      <c r="K98" s="272">
        <f>_xll.xlInterp1D($E$53:$E$81,$E$21:$E$49,K66)</f>
        <v>0.98843681422913832</v>
      </c>
      <c r="L98" s="272">
        <f>_xll.xlInterp1D($E$53:$E$81,$E$21:$E$49,L66)</f>
        <v>0.98843681422913832</v>
      </c>
      <c r="M98" s="272">
        <f>_xll.xlInterp1D($E$53:$E$81,$E$21:$E$49,M66)</f>
        <v>0.98843681422913832</v>
      </c>
      <c r="N98" s="272">
        <f>_xll.xlInterp1D($E$53:$E$81,$E$21:$E$49,N66)</f>
        <v>0.98843681422913832</v>
      </c>
      <c r="O98" s="272">
        <f>_xll.xlInterp1D($E$53:$E$81,$E$21:$E$49,O66)</f>
        <v>0.98843681422913832</v>
      </c>
      <c r="P98" s="272">
        <f>_xll.xlInterp1D($E$53:$E$81,$E$21:$E$49,P66)</f>
        <v>0.98843681422913832</v>
      </c>
      <c r="Q98" s="272">
        <f>_xll.xlInterp1D($E$53:$E$81,$E$21:$E$49,Q66)</f>
        <v>0.98837249114875059</v>
      </c>
      <c r="R98" s="272">
        <f>_xll.xlInterp1D($E$53:$E$81,$E$21:$E$49,R66)</f>
        <v>0.98843681422913832</v>
      </c>
      <c r="S98" s="272">
        <f>_xll.xlInterp1D($E$53:$E$81,$E$21:$E$49,S66)</f>
        <v>0.98843681422913832</v>
      </c>
      <c r="T98" s="272">
        <f>_xll.xlInterp1D($E$53:$E$81,$E$21:$E$49,T66)</f>
        <v>0.98843681422913832</v>
      </c>
      <c r="U98" s="272">
        <f>_xll.xlInterp1D($E$53:$E$81,$E$21:$E$49,U66)</f>
        <v>0.98772926034487285</v>
      </c>
      <c r="V98" s="272">
        <f>_xll.xlInterp1D($E$53:$E$81,$E$21:$E$49,V66)</f>
        <v>0.98843681422913832</v>
      </c>
      <c r="W98" s="272">
        <f>_xll.xlInterp1D($E$53:$E$81,$E$21:$E$49,W66)</f>
        <v>0.98843681422913832</v>
      </c>
      <c r="X98" s="272">
        <f>_xll.xlInterp1D($E$53:$E$81,$E$21:$E$49,X66)</f>
        <v>0.98843681422913832</v>
      </c>
      <c r="Y98" s="272">
        <f>_xll.xlInterp1D($E$53:$E$81,$E$21:$E$49,Y66)</f>
        <v>0.98843681422913832</v>
      </c>
      <c r="Z98" s="272">
        <f>_xll.xlInterp1D($E$53:$E$81,$E$21:$E$49,Z66)</f>
        <v>0.98843681422913832</v>
      </c>
      <c r="AA98" s="272">
        <f>_xll.xlInterp1D($E$53:$E$81,$E$21:$E$49,AA66)</f>
        <v>0.98843681422913832</v>
      </c>
      <c r="AB98" s="272">
        <f>_xll.xlInterp1D($E$53:$E$81,$E$21:$E$49,AB66)</f>
        <v>0.98843681422913832</v>
      </c>
      <c r="AC98" s="272">
        <f>_xll.xlInterp1D($E$53:$E$81,$E$21:$E$49,AC66)</f>
        <v>0.98843681422913832</v>
      </c>
      <c r="AD98" s="272">
        <f>_xll.xlInterp1D($E$53:$E$81,$E$21:$E$49,AD66)</f>
        <v>0.98843681422913832</v>
      </c>
      <c r="AE98" s="272">
        <f>_xll.xlInterp1D($E$53:$E$81,$E$21:$E$49,AE66)</f>
        <v>0.98843681422913832</v>
      </c>
      <c r="AF98" s="272">
        <f>_xll.xlInterp1D($E$53:$E$81,$E$21:$E$49,AF66)</f>
        <v>0.98843681422913832</v>
      </c>
      <c r="AG98" s="272">
        <f>_xll.xlInterp1D($E$53:$E$81,$E$21:$E$49,AG66)</f>
        <v>0.98843681422913832</v>
      </c>
      <c r="AH98" s="272">
        <f>_xll.xlInterp1D($E$53:$E$81,$E$21:$E$49,AH66)</f>
        <v>0.98843681422913832</v>
      </c>
      <c r="AI98" s="272">
        <f>_xll.xlInterp1D($E$53:$E$81,$E$21:$E$49,AI66)</f>
        <v>0.98843681422913832</v>
      </c>
      <c r="AJ98" s="272">
        <f>_xll.xlInterp1D($E$53:$E$81,$E$21:$E$49,AJ66)</f>
        <v>0.98772926034487285</v>
      </c>
      <c r="AK98" s="272">
        <f>_xll.xlInterp1D($E$53:$E$81,$E$21:$E$49,AK66)</f>
        <v>0.98843681422913832</v>
      </c>
      <c r="AL98" s="272">
        <f>_xll.xlInterp1D($E$53:$E$81,$E$21:$E$49,AL66)</f>
        <v>0.98843681422913832</v>
      </c>
      <c r="AM98" s="272">
        <f>_xll.xlInterp1D($E$53:$E$81,$E$21:$E$49,AM66)</f>
        <v>0.98843681422913832</v>
      </c>
      <c r="AN98" s="272">
        <f>_xll.xlInterp1D($E$53:$E$81,$E$21:$E$49,AN66)</f>
        <v>0.98843681422913832</v>
      </c>
      <c r="AO98" s="272">
        <f>_xll.xlInterp1D($E$53:$E$81,$E$21:$E$49,AO66)</f>
        <v>0.98843681422913832</v>
      </c>
      <c r="AP98" s="272">
        <f>_xll.xlInterp1D($E$53:$E$81,$E$21:$E$49,AP66)</f>
        <v>0.98843681422913832</v>
      </c>
    </row>
    <row r="99" spans="3:42" x14ac:dyDescent="0.2">
      <c r="C99" s="1" t="s">
        <v>96</v>
      </c>
      <c r="D99" s="3"/>
      <c r="E99" s="272">
        <f>_xll.xlShmInterpDisc(E$5,E67+0*TYPE(disc_refresh))</f>
        <v>1.0013957054558327</v>
      </c>
      <c r="F99" s="272">
        <f>_xll.xlInterp1D($E$53:$E$81,$E$21:$E$49,F67)</f>
        <v>0.98663576797828068</v>
      </c>
      <c r="G99" s="272">
        <f>_xll.xlInterp1D($E$53:$E$81,$E$21:$E$49,G67)</f>
        <v>0.98663576797828068</v>
      </c>
      <c r="H99" s="272">
        <f>_xll.xlInterp1D($E$53:$E$81,$E$21:$E$49,H67)</f>
        <v>0.98663576797828068</v>
      </c>
      <c r="I99" s="272">
        <f>_xll.xlInterp1D($E$53:$E$81,$E$21:$E$49,I67)</f>
        <v>0.98682873721944397</v>
      </c>
      <c r="J99" s="272">
        <f>_xll.xlInterp1D($E$53:$E$81,$E$21:$E$49,J67)</f>
        <v>0.98663576797828068</v>
      </c>
      <c r="K99" s="272">
        <f>_xll.xlInterp1D($E$53:$E$81,$E$21:$E$49,K67)</f>
        <v>0.98663576797828068</v>
      </c>
      <c r="L99" s="272">
        <f>_xll.xlInterp1D($E$53:$E$81,$E$21:$E$49,L67)</f>
        <v>0.98663576797828068</v>
      </c>
      <c r="M99" s="272">
        <f>_xll.xlInterp1D($E$53:$E$81,$E$21:$E$49,M67)</f>
        <v>0.98663576797828068</v>
      </c>
      <c r="N99" s="272">
        <f>_xll.xlInterp1D($E$53:$E$81,$E$21:$E$49,N67)</f>
        <v>0.98663576797828068</v>
      </c>
      <c r="O99" s="272">
        <f>_xll.xlInterp1D($E$53:$E$81,$E$21:$E$49,O67)</f>
        <v>0.98663576797828068</v>
      </c>
      <c r="P99" s="272">
        <f>_xll.xlInterp1D($E$53:$E$81,$E$21:$E$49,P67)</f>
        <v>0.98658900889688517</v>
      </c>
      <c r="Q99" s="272">
        <f>_xll.xlInterp1D($E$53:$E$81,$E$21:$E$49,Q67)</f>
        <v>0.98663576797828068</v>
      </c>
      <c r="R99" s="272">
        <f>_xll.xlInterp1D($E$53:$E$81,$E$21:$E$49,R67)</f>
        <v>0.98663576797828068</v>
      </c>
      <c r="S99" s="272">
        <f>_xll.xlInterp1D($E$53:$E$81,$E$21:$E$49,S67)</f>
        <v>0.98663576797828068</v>
      </c>
      <c r="T99" s="272">
        <f>_xll.xlInterp1D($E$53:$E$81,$E$21:$E$49,T67)</f>
        <v>0.98654224981548977</v>
      </c>
      <c r="U99" s="272">
        <f>_xll.xlInterp1D($E$53:$E$81,$E$21:$E$49,U67)</f>
        <v>0.98621493624572154</v>
      </c>
      <c r="V99" s="272">
        <f>_xll.xlInterp1D($E$53:$E$81,$E$21:$E$49,V67)</f>
        <v>0.98663576797828068</v>
      </c>
      <c r="W99" s="272">
        <f>_xll.xlInterp1D($E$53:$E$81,$E$21:$E$49,W67)</f>
        <v>0.98663576797828068</v>
      </c>
      <c r="X99" s="272">
        <f>_xll.xlInterp1D($E$53:$E$81,$E$21:$E$49,X67)</f>
        <v>0.98663576797828068</v>
      </c>
      <c r="Y99" s="272">
        <f>_xll.xlInterp1D($E$53:$E$81,$E$21:$E$49,Y67)</f>
        <v>0.98663576797828068</v>
      </c>
      <c r="Z99" s="272">
        <f>_xll.xlInterp1D($E$53:$E$81,$E$21:$E$49,Z67)</f>
        <v>0.98663576797828068</v>
      </c>
      <c r="AA99" s="272">
        <f>_xll.xlInterp1D($E$53:$E$81,$E$21:$E$49,AA67)</f>
        <v>0.98663576797828068</v>
      </c>
      <c r="AB99" s="272">
        <f>_xll.xlInterp1D($E$53:$E$81,$E$21:$E$49,AB67)</f>
        <v>0.98663576797828068</v>
      </c>
      <c r="AC99" s="272">
        <f>_xll.xlInterp1D($E$53:$E$81,$E$21:$E$49,AC67)</f>
        <v>0.98663576797828068</v>
      </c>
      <c r="AD99" s="272">
        <f>_xll.xlInterp1D($E$53:$E$81,$E$21:$E$49,AD67)</f>
        <v>0.98663576797828068</v>
      </c>
      <c r="AE99" s="272">
        <f>_xll.xlInterp1D($E$53:$E$81,$E$21:$E$49,AE67)</f>
        <v>0.98663576797828068</v>
      </c>
      <c r="AF99" s="272">
        <f>_xll.xlInterp1D($E$53:$E$81,$E$21:$E$49,AF67)</f>
        <v>0.98663576797828068</v>
      </c>
      <c r="AG99" s="272">
        <f>_xll.xlInterp1D($E$53:$E$81,$E$21:$E$49,AG67)</f>
        <v>0.98663576797828068</v>
      </c>
      <c r="AH99" s="272">
        <f>_xll.xlInterp1D($E$53:$E$81,$E$21:$E$49,AH67)</f>
        <v>0.98663576797828068</v>
      </c>
      <c r="AI99" s="272">
        <f>_xll.xlInterp1D($E$53:$E$81,$E$21:$E$49,AI67)</f>
        <v>0.98663576797828068</v>
      </c>
      <c r="AJ99" s="272">
        <f>_xll.xlInterp1D($E$53:$E$81,$E$21:$E$49,AJ67)</f>
        <v>0.98621493624572154</v>
      </c>
      <c r="AK99" s="272">
        <f>_xll.xlInterp1D($E$53:$E$81,$E$21:$E$49,AK67)</f>
        <v>0.98663576797828068</v>
      </c>
      <c r="AL99" s="272">
        <f>_xll.xlInterp1D($E$53:$E$81,$E$21:$E$49,AL67)</f>
        <v>0.98663576797828068</v>
      </c>
      <c r="AM99" s="272">
        <f>_xll.xlInterp1D($E$53:$E$81,$E$21:$E$49,AM67)</f>
        <v>0.98658900889688517</v>
      </c>
      <c r="AN99" s="272">
        <f>_xll.xlInterp1D($E$53:$E$81,$E$21:$E$49,AN67)</f>
        <v>0.98663576797828068</v>
      </c>
      <c r="AO99" s="272">
        <f>_xll.xlInterp1D($E$53:$E$81,$E$21:$E$49,AO67)</f>
        <v>0.98663576797828068</v>
      </c>
      <c r="AP99" s="272">
        <f>_xll.xlInterp1D($E$53:$E$81,$E$21:$E$49,AP67)</f>
        <v>0.98663576797828068</v>
      </c>
    </row>
    <row r="100" spans="3:42" x14ac:dyDescent="0.2">
      <c r="C100" s="1" t="s">
        <v>99</v>
      </c>
      <c r="D100" s="3"/>
      <c r="E100" s="272">
        <f>_xll.xlShmInterpDisc(E$5,E68+0*TYPE(disc_refresh))</f>
        <v>1.0016676315045672</v>
      </c>
      <c r="F100" s="272">
        <f>_xll.xlInterp1D($E$53:$E$81,$E$21:$E$49,F68)</f>
        <v>0.98513947737362606</v>
      </c>
      <c r="G100" s="272">
        <f>_xll.xlInterp1D($E$53:$E$81,$E$21:$E$49,G68)</f>
        <v>0.98513947737362606</v>
      </c>
      <c r="H100" s="272">
        <f>_xll.xlInterp1D($E$53:$E$81,$E$21:$E$49,H68)</f>
        <v>0.98513947737362606</v>
      </c>
      <c r="I100" s="272">
        <f>_xll.xlInterp1D($E$53:$E$81,$E$21:$E$49,I68)</f>
        <v>0.98532651369920787</v>
      </c>
      <c r="J100" s="272">
        <f>_xll.xlInterp1D($E$53:$E$81,$E$21:$E$49,J68)</f>
        <v>0.98513947737362606</v>
      </c>
      <c r="K100" s="272">
        <f>_xll.xlInterp1D($E$53:$E$81,$E$21:$E$49,K68)</f>
        <v>0.98513947737362606</v>
      </c>
      <c r="L100" s="272">
        <f>_xll.xlInterp1D($E$53:$E$81,$E$21:$E$49,L68)</f>
        <v>0.98513947737362606</v>
      </c>
      <c r="M100" s="272">
        <f>_xll.xlInterp1D($E$53:$E$81,$E$21:$E$49,M68)</f>
        <v>0.98513947737362606</v>
      </c>
      <c r="N100" s="272">
        <f>_xll.xlInterp1D($E$53:$E$81,$E$21:$E$49,N68)</f>
        <v>0.98513947737362606</v>
      </c>
      <c r="O100" s="272">
        <f>_xll.xlInterp1D($E$53:$E$81,$E$21:$E$49,O68)</f>
        <v>0.98513947737362606</v>
      </c>
      <c r="P100" s="272">
        <f>_xll.xlInterp1D($E$53:$E$81,$E$21:$E$49,P68)</f>
        <v>0.98513947737362606</v>
      </c>
      <c r="Q100" s="272">
        <f>_xll.xlInterp1D($E$53:$E$81,$E$21:$E$49,Q68)</f>
        <v>0.98513947737362606</v>
      </c>
      <c r="R100" s="272">
        <f>_xll.xlInterp1D($E$53:$E$81,$E$21:$E$49,R68)</f>
        <v>0.98513947737362606</v>
      </c>
      <c r="S100" s="272">
        <f>_xll.xlInterp1D($E$53:$E$81,$E$21:$E$49,S68)</f>
        <v>0.98513947737362606</v>
      </c>
      <c r="T100" s="272">
        <f>_xll.xlInterp1D($E$53:$E$81,$E$21:$E$49,T68)</f>
        <v>0.98499775906424059</v>
      </c>
      <c r="U100" s="272">
        <f>_xll.xlInterp1D($E$53:$E$81,$E$21:$E$49,U68)</f>
        <v>0.98480880131839321</v>
      </c>
      <c r="V100" s="272">
        <f>_xll.xlInterp1D($E$53:$E$81,$E$21:$E$49,V68)</f>
        <v>0.98513947737362606</v>
      </c>
      <c r="W100" s="272">
        <f>_xll.xlInterp1D($E$53:$E$81,$E$21:$E$49,W68)</f>
        <v>0.98513947737362606</v>
      </c>
      <c r="X100" s="272">
        <f>_xll.xlInterp1D($E$53:$E$81,$E$21:$E$49,X68)</f>
        <v>0.98513947737362606</v>
      </c>
      <c r="Y100" s="272">
        <f>_xll.xlInterp1D($E$53:$E$81,$E$21:$E$49,Y68)</f>
        <v>0.98513947737362606</v>
      </c>
      <c r="Z100" s="272">
        <f>_xll.xlInterp1D($E$53:$E$81,$E$21:$E$49,Z68)</f>
        <v>0.98513947737362606</v>
      </c>
      <c r="AA100" s="272">
        <f>_xll.xlInterp1D($E$53:$E$81,$E$21:$E$49,AA68)</f>
        <v>0.98513947737362606</v>
      </c>
      <c r="AB100" s="272">
        <f>_xll.xlInterp1D($E$53:$E$81,$E$21:$E$49,AB68)</f>
        <v>0.98513947737362606</v>
      </c>
      <c r="AC100" s="272">
        <f>_xll.xlInterp1D($E$53:$E$81,$E$21:$E$49,AC68)</f>
        <v>0.98513947737362606</v>
      </c>
      <c r="AD100" s="272">
        <f>_xll.xlInterp1D($E$53:$E$81,$E$21:$E$49,AD68)</f>
        <v>0.98513947737362606</v>
      </c>
      <c r="AE100" s="272">
        <f>_xll.xlInterp1D($E$53:$E$81,$E$21:$E$49,AE68)</f>
        <v>0.98513947737362606</v>
      </c>
      <c r="AF100" s="272">
        <f>_xll.xlInterp1D($E$53:$E$81,$E$21:$E$49,AF68)</f>
        <v>0.98513947737362606</v>
      </c>
      <c r="AG100" s="272">
        <f>_xll.xlInterp1D($E$53:$E$81,$E$21:$E$49,AG68)</f>
        <v>0.98513947737362606</v>
      </c>
      <c r="AH100" s="272">
        <f>_xll.xlInterp1D($E$53:$E$81,$E$21:$E$49,AH68)</f>
        <v>0.98513947737362606</v>
      </c>
      <c r="AI100" s="272">
        <f>_xll.xlInterp1D($E$53:$E$81,$E$21:$E$49,AI68)</f>
        <v>0.98513947737362606</v>
      </c>
      <c r="AJ100" s="272">
        <f>_xll.xlInterp1D($E$53:$E$81,$E$21:$E$49,AJ68)</f>
        <v>0.98480880131839321</v>
      </c>
      <c r="AK100" s="272">
        <f>_xll.xlInterp1D($E$53:$E$81,$E$21:$E$49,AK68)</f>
        <v>0.98513947737362606</v>
      </c>
      <c r="AL100" s="272">
        <f>_xll.xlInterp1D($E$53:$E$81,$E$21:$E$49,AL68)</f>
        <v>0.98513947737362606</v>
      </c>
      <c r="AM100" s="272">
        <f>_xll.xlInterp1D($E$53:$E$81,$E$21:$E$49,AM68)</f>
        <v>0.98499775906424059</v>
      </c>
      <c r="AN100" s="272">
        <f>_xll.xlInterp1D($E$53:$E$81,$E$21:$E$49,AN68)</f>
        <v>0.98513947737362606</v>
      </c>
      <c r="AO100" s="272">
        <f>_xll.xlInterp1D($E$53:$E$81,$E$21:$E$49,AO68)</f>
        <v>0.98513947737362606</v>
      </c>
      <c r="AP100" s="272">
        <f>_xll.xlInterp1D($E$53:$E$81,$E$21:$E$49,AP68)</f>
        <v>0.98513947737362606</v>
      </c>
    </row>
    <row r="101" spans="3:42" x14ac:dyDescent="0.2">
      <c r="C101" s="1" t="s">
        <v>101</v>
      </c>
      <c r="D101" s="3"/>
      <c r="E101" s="272">
        <f>_xll.xlShmInterpDisc(E$5,E69+0*TYPE(disc_refresh))</f>
        <v>1.0019575850962823</v>
      </c>
      <c r="F101" s="272">
        <f>_xll.xlInterp1D($E$53:$E$81,$E$21:$E$49,F69)</f>
        <v>0.98358057597038562</v>
      </c>
      <c r="G101" s="272">
        <f>_xll.xlInterp1D($E$53:$E$81,$E$21:$E$49,G69)</f>
        <v>0.98358057597038562</v>
      </c>
      <c r="H101" s="272">
        <f>_xll.xlInterp1D($E$53:$E$81,$E$21:$E$49,H69)</f>
        <v>0.98362781540684741</v>
      </c>
      <c r="I101" s="272">
        <f>_xll.xlInterp1D($E$53:$E$81,$E$21:$E$49,I69)</f>
        <v>0.98391125202561847</v>
      </c>
      <c r="J101" s="272">
        <f>_xll.xlInterp1D($E$53:$E$81,$E$21:$E$49,J69)</f>
        <v>0.98358057597038562</v>
      </c>
      <c r="K101" s="272">
        <f>_xll.xlInterp1D($E$53:$E$81,$E$21:$E$49,K69)</f>
        <v>0.98358057597038562</v>
      </c>
      <c r="L101" s="272">
        <f>_xll.xlInterp1D($E$53:$E$81,$E$21:$E$49,L69)</f>
        <v>0.98358057597038562</v>
      </c>
      <c r="M101" s="272">
        <f>_xll.xlInterp1D($E$53:$E$81,$E$21:$E$49,M69)</f>
        <v>0.98358057597038562</v>
      </c>
      <c r="N101" s="272">
        <f>_xll.xlInterp1D($E$53:$E$81,$E$21:$E$49,N69)</f>
        <v>0.98358057597038562</v>
      </c>
      <c r="O101" s="272">
        <f>_xll.xlInterp1D($E$53:$E$81,$E$21:$E$49,O69)</f>
        <v>0.98358057597038562</v>
      </c>
      <c r="P101" s="272">
        <f>_xll.xlInterp1D($E$53:$E$81,$E$21:$E$49,P69)</f>
        <v>0.98358057597038562</v>
      </c>
      <c r="Q101" s="272">
        <f>_xll.xlInterp1D($E$53:$E$81,$E$21:$E$49,Q69)</f>
        <v>0.98358057597038562</v>
      </c>
      <c r="R101" s="272">
        <f>_xll.xlInterp1D($E$53:$E$81,$E$21:$E$49,R69)</f>
        <v>0.98358057597038562</v>
      </c>
      <c r="S101" s="272">
        <f>_xll.xlInterp1D($E$53:$E$81,$E$21:$E$49,S69)</f>
        <v>0.98362781540684741</v>
      </c>
      <c r="T101" s="272">
        <f>_xll.xlInterp1D($E$53:$E$81,$E$21:$E$49,T69)</f>
        <v>0.98362781540684741</v>
      </c>
      <c r="U101" s="272">
        <f>_xll.xlInterp1D($E$53:$E$81,$E$21:$E$49,U69)</f>
        <v>0.98298452687565763</v>
      </c>
      <c r="V101" s="272">
        <f>_xll.xlInterp1D($E$53:$E$81,$E$21:$E$49,V69)</f>
        <v>0.98362781540684741</v>
      </c>
      <c r="W101" s="272">
        <f>_xll.xlInterp1D($E$53:$E$81,$E$21:$E$49,W69)</f>
        <v>0.98362781540684741</v>
      </c>
      <c r="X101" s="272">
        <f>_xll.xlInterp1D($E$53:$E$81,$E$21:$E$49,X69)</f>
        <v>0.98362781540684741</v>
      </c>
      <c r="Y101" s="272">
        <f>_xll.xlInterp1D($E$53:$E$81,$E$21:$E$49,Y69)</f>
        <v>0.98362781540684741</v>
      </c>
      <c r="Z101" s="272">
        <f>_xll.xlInterp1D($E$53:$E$81,$E$21:$E$49,Z69)</f>
        <v>0.98358057597038562</v>
      </c>
      <c r="AA101" s="272">
        <f>_xll.xlInterp1D($E$53:$E$81,$E$21:$E$49,AA69)</f>
        <v>0.98362781540684741</v>
      </c>
      <c r="AB101" s="272">
        <f>_xll.xlInterp1D($E$53:$E$81,$E$21:$E$49,AB69)</f>
        <v>0.98362781540684741</v>
      </c>
      <c r="AC101" s="272">
        <f>_xll.xlInterp1D($E$53:$E$81,$E$21:$E$49,AC69)</f>
        <v>0.98362781540684741</v>
      </c>
      <c r="AD101" s="272">
        <f>_xll.xlInterp1D($E$53:$E$81,$E$21:$E$49,AD69)</f>
        <v>0.98362781540684741</v>
      </c>
      <c r="AE101" s="272">
        <f>_xll.xlInterp1D($E$53:$E$81,$E$21:$E$49,AE69)</f>
        <v>0.98362781540684741</v>
      </c>
      <c r="AF101" s="272">
        <f>_xll.xlInterp1D($E$53:$E$81,$E$21:$E$49,AF69)</f>
        <v>0.98362781540684741</v>
      </c>
      <c r="AG101" s="272">
        <f>_xll.xlInterp1D($E$53:$E$81,$E$21:$E$49,AG69)</f>
        <v>0.98358057597038562</v>
      </c>
      <c r="AH101" s="272">
        <f>_xll.xlInterp1D($E$53:$E$81,$E$21:$E$49,AH69)</f>
        <v>0.98362781540684741</v>
      </c>
      <c r="AI101" s="272">
        <f>_xll.xlInterp1D($E$53:$E$81,$E$21:$E$49,AI69)</f>
        <v>0.98362781540684741</v>
      </c>
      <c r="AJ101" s="272">
        <f>_xll.xlInterp1D($E$53:$E$81,$E$21:$E$49,AJ69)</f>
        <v>0.98298452687565763</v>
      </c>
      <c r="AK101" s="272">
        <f>_xll.xlInterp1D($E$53:$E$81,$E$21:$E$49,AK69)</f>
        <v>0.98362781540684741</v>
      </c>
      <c r="AL101" s="272">
        <f>_xll.xlInterp1D($E$53:$E$81,$E$21:$E$49,AL69)</f>
        <v>0.98362781540684741</v>
      </c>
      <c r="AM101" s="272">
        <f>_xll.xlInterp1D($E$53:$E$81,$E$21:$E$49,AM69)</f>
        <v>0.98362781540684741</v>
      </c>
      <c r="AN101" s="272">
        <f>_xll.xlInterp1D($E$53:$E$81,$E$21:$E$49,AN69)</f>
        <v>0.98362781540684741</v>
      </c>
      <c r="AO101" s="272">
        <f>_xll.xlInterp1D($E$53:$E$81,$E$21:$E$49,AO69)</f>
        <v>0.98362781540684741</v>
      </c>
      <c r="AP101" s="272">
        <f>_xll.xlInterp1D($E$53:$E$81,$E$21:$E$49,AP69)</f>
        <v>0.98362781540684741</v>
      </c>
    </row>
    <row r="102" spans="3:42" x14ac:dyDescent="0.2">
      <c r="C102" s="1" t="s">
        <v>138</v>
      </c>
      <c r="D102" s="3"/>
      <c r="E102" s="272">
        <f>_xll.xlShmInterpDisc(E$5,E70+0*TYPE(disc_refresh))</f>
        <v>1.0021632328137242</v>
      </c>
      <c r="F102" s="272">
        <f>_xll.xlInterp1D($E$53:$E$81,$E$21:$E$49,F70)</f>
        <v>0.98156891027567861</v>
      </c>
      <c r="G102" s="272">
        <f>_xll.xlInterp1D($E$53:$E$81,$E$21:$E$49,G70)</f>
        <v>0.98156891027567861</v>
      </c>
      <c r="H102" s="272">
        <f>_xll.xlInterp1D($E$53:$E$81,$E$21:$E$49,H70)</f>
        <v>0.98156891027567861</v>
      </c>
      <c r="I102" s="272">
        <f>_xll.xlInterp1D($E$53:$E$81,$E$21:$E$49,I70)</f>
        <v>0.98164341641251962</v>
      </c>
      <c r="J102" s="272">
        <f>_xll.xlInterp1D($E$53:$E$81,$E$21:$E$49,J70)</f>
        <v>0.98156891027567861</v>
      </c>
      <c r="K102" s="272">
        <f>_xll.xlInterp1D($E$53:$E$81,$E$21:$E$49,K70)</f>
        <v>0.98156891027567861</v>
      </c>
      <c r="L102" s="272">
        <f>_xll.xlInterp1D($E$53:$E$81,$E$21:$E$49,L70)</f>
        <v>0.98156891027567861</v>
      </c>
      <c r="M102" s="272">
        <f>_xll.xlInterp1D($E$53:$E$81,$E$21:$E$49,M70)</f>
        <v>0.98156891027567861</v>
      </c>
      <c r="N102" s="272">
        <f>_xll.xlInterp1D($E$53:$E$81,$E$21:$E$49,N70)</f>
        <v>0.98156891027567861</v>
      </c>
      <c r="O102" s="272">
        <f>_xll.xlInterp1D($E$53:$E$81,$E$21:$E$49,O70)</f>
        <v>0.98156891027567861</v>
      </c>
      <c r="P102" s="272">
        <f>_xll.xlInterp1D($E$53:$E$81,$E$21:$E$49,P70)</f>
        <v>0.98156891027567861</v>
      </c>
      <c r="Q102" s="272">
        <f>_xll.xlInterp1D($E$53:$E$81,$E$21:$E$49,Q70)</f>
        <v>0.98156891027567861</v>
      </c>
      <c r="R102" s="272">
        <f>_xll.xlInterp1D($E$53:$E$81,$E$21:$E$49,R70)</f>
        <v>0.98156891027567861</v>
      </c>
      <c r="S102" s="272">
        <f>_xll.xlInterp1D($E$53:$E$81,$E$21:$E$49,S70)</f>
        <v>0.98156891027567861</v>
      </c>
      <c r="T102" s="272">
        <f>_xll.xlInterp1D($E$53:$E$81,$E$21:$E$49,T70)</f>
        <v>0.98145691593469442</v>
      </c>
      <c r="U102" s="272">
        <f>_xll.xlInterp1D($E$53:$E$81,$E$21:$E$49,U70)</f>
        <v>0.98106493574124964</v>
      </c>
      <c r="V102" s="272">
        <f>_xll.xlInterp1D($E$53:$E$81,$E$21:$E$49,V70)</f>
        <v>0.98156891027567861</v>
      </c>
      <c r="W102" s="272">
        <f>_xll.xlInterp1D($E$53:$E$81,$E$21:$E$49,W70)</f>
        <v>0.98156891027567861</v>
      </c>
      <c r="X102" s="272">
        <f>_xll.xlInterp1D($E$53:$E$81,$E$21:$E$49,X70)</f>
        <v>0.98156891027567861</v>
      </c>
      <c r="Y102" s="272">
        <f>_xll.xlInterp1D($E$53:$E$81,$E$21:$E$49,Y70)</f>
        <v>0.98156891027567861</v>
      </c>
      <c r="Z102" s="272">
        <f>_xll.xlInterp1D($E$53:$E$81,$E$21:$E$49,Z70)</f>
        <v>0.98156891027567861</v>
      </c>
      <c r="AA102" s="272">
        <f>_xll.xlInterp1D($E$53:$E$81,$E$21:$E$49,AA70)</f>
        <v>0.98156891027567861</v>
      </c>
      <c r="AB102" s="272">
        <f>_xll.xlInterp1D($E$53:$E$81,$E$21:$E$49,AB70)</f>
        <v>0.98156891027567861</v>
      </c>
      <c r="AC102" s="272">
        <f>_xll.xlInterp1D($E$53:$E$81,$E$21:$E$49,AC70)</f>
        <v>0.98156891027567861</v>
      </c>
      <c r="AD102" s="272">
        <f>_xll.xlInterp1D($E$53:$E$81,$E$21:$E$49,AD70)</f>
        <v>0.98156891027567861</v>
      </c>
      <c r="AE102" s="272">
        <f>_xll.xlInterp1D($E$53:$E$81,$E$21:$E$49,AE70)</f>
        <v>0.98156891027567861</v>
      </c>
      <c r="AF102" s="272">
        <f>_xll.xlInterp1D($E$53:$E$81,$E$21:$E$49,AF70)</f>
        <v>0.98156891027567861</v>
      </c>
      <c r="AG102" s="272">
        <f>_xll.xlInterp1D($E$53:$E$81,$E$21:$E$49,AG70)</f>
        <v>0.98156891027567861</v>
      </c>
      <c r="AH102" s="272">
        <f>_xll.xlInterp1D($E$53:$E$81,$E$21:$E$49,AH70)</f>
        <v>0.98156891027567861</v>
      </c>
      <c r="AI102" s="272">
        <f>_xll.xlInterp1D($E$53:$E$81,$E$21:$E$49,AI70)</f>
        <v>0.98156891027567861</v>
      </c>
      <c r="AJ102" s="272">
        <f>_xll.xlInterp1D($E$53:$E$81,$E$21:$E$49,AJ70)</f>
        <v>0.98106493574124964</v>
      </c>
      <c r="AK102" s="272">
        <f>_xll.xlInterp1D($E$53:$E$81,$E$21:$E$49,AK70)</f>
        <v>0.98156891027567861</v>
      </c>
      <c r="AL102" s="272">
        <f>_xll.xlInterp1D($E$53:$E$81,$E$21:$E$49,AL70)</f>
        <v>0.98156891027567861</v>
      </c>
      <c r="AM102" s="272">
        <f>_xll.xlInterp1D($E$53:$E$81,$E$21:$E$49,AM70)</f>
        <v>0.98151291310518651</v>
      </c>
      <c r="AN102" s="272">
        <f>_xll.xlInterp1D($E$53:$E$81,$E$21:$E$49,AN70)</f>
        <v>0.98156891027567861</v>
      </c>
      <c r="AO102" s="272">
        <f>_xll.xlInterp1D($E$53:$E$81,$E$21:$E$49,AO70)</f>
        <v>0.98156891027567861</v>
      </c>
      <c r="AP102" s="272">
        <f>_xll.xlInterp1D($E$53:$E$81,$E$21:$E$49,AP70)</f>
        <v>0.98156891027567861</v>
      </c>
    </row>
    <row r="103" spans="3:42" x14ac:dyDescent="0.2">
      <c r="C103" s="1" t="s">
        <v>122</v>
      </c>
      <c r="D103" s="3"/>
      <c r="E103" s="272">
        <f>_xll.xlShmInterpDisc(E$5,E71+0*TYPE(disc_refresh))</f>
        <v>1.0028494676135629</v>
      </c>
      <c r="F103" s="272">
        <f>_xll.xlInterp1D($E$53:$E$81,$E$21:$E$49,F71)</f>
        <v>0.97652916493138886</v>
      </c>
      <c r="G103" s="272">
        <f>_xll.xlInterp1D($E$53:$E$81,$E$21:$E$49,G71)</f>
        <v>0.97652916493138886</v>
      </c>
      <c r="H103" s="272">
        <f>_xll.xlInterp1D($E$53:$E$81,$E$21:$E$49,H71)</f>
        <v>0.97652916493138886</v>
      </c>
      <c r="I103" s="272">
        <f>_xll.xlInterp1D($E$53:$E$81,$E$21:$E$49,I71)</f>
        <v>0.97669715644286514</v>
      </c>
      <c r="J103" s="272">
        <f>_xll.xlInterp1D($E$53:$E$81,$E$21:$E$49,J71)</f>
        <v>0.97652916493138886</v>
      </c>
      <c r="K103" s="272">
        <f>_xll.xlInterp1D($E$53:$E$81,$E$21:$E$49,K71)</f>
        <v>0.97652916493138886</v>
      </c>
      <c r="L103" s="272">
        <f>_xll.xlInterp1D($E$53:$E$81,$E$21:$E$49,L71)</f>
        <v>0.97652916493138886</v>
      </c>
      <c r="M103" s="272">
        <f>_xll.xlInterp1D($E$53:$E$81,$E$21:$E$49,M71)</f>
        <v>0.97652916493138886</v>
      </c>
      <c r="N103" s="272">
        <f>_xll.xlInterp1D($E$53:$E$81,$E$21:$E$49,N71)</f>
        <v>0.97652916493138886</v>
      </c>
      <c r="O103" s="272">
        <f>_xll.xlInterp1D($E$53:$E$81,$E$21:$E$49,O71)</f>
        <v>0.97652916493138886</v>
      </c>
      <c r="P103" s="272">
        <f>_xll.xlInterp1D($E$53:$E$81,$E$21:$E$49,P71)</f>
        <v>0.97652916493138886</v>
      </c>
      <c r="Q103" s="272">
        <f>_xll.xlInterp1D($E$53:$E$81,$E$21:$E$49,Q71)</f>
        <v>0.97652916493138886</v>
      </c>
      <c r="R103" s="272">
        <f>_xll.xlInterp1D($E$53:$E$81,$E$21:$E$49,R71)</f>
        <v>0.97652916493138886</v>
      </c>
      <c r="S103" s="272">
        <f>_xll.xlInterp1D($E$53:$E$81,$E$21:$E$49,S71)</f>
        <v>0.97652916493138886</v>
      </c>
      <c r="T103" s="272">
        <f>_xll.xlInterp1D($E$53:$E$81,$E$21:$E$49,T71)</f>
        <v>0.9764120252751779</v>
      </c>
      <c r="U103" s="272">
        <f>_xll.xlInterp1D($E$53:$E$81,$E$21:$E$49,U71)</f>
        <v>0.97600203647843942</v>
      </c>
      <c r="V103" s="272">
        <f>_xll.xlInterp1D($E$53:$E$81,$E$21:$E$49,V71)</f>
        <v>0.97652916493138886</v>
      </c>
      <c r="W103" s="272">
        <f>_xll.xlInterp1D($E$53:$E$81,$E$21:$E$49,W71)</f>
        <v>0.97652916493138886</v>
      </c>
      <c r="X103" s="272">
        <f>_xll.xlInterp1D($E$53:$E$81,$E$21:$E$49,X71)</f>
        <v>0.97652916493138886</v>
      </c>
      <c r="Y103" s="272">
        <f>_xll.xlInterp1D($E$53:$E$81,$E$21:$E$49,Y71)</f>
        <v>0.97652916493138886</v>
      </c>
      <c r="Z103" s="272">
        <f>_xll.xlInterp1D($E$53:$E$81,$E$21:$E$49,Z71)</f>
        <v>0.97652916493138886</v>
      </c>
      <c r="AA103" s="272">
        <f>_xll.xlInterp1D($E$53:$E$81,$E$21:$E$49,AA71)</f>
        <v>0.97652916493138886</v>
      </c>
      <c r="AB103" s="272">
        <f>_xll.xlInterp1D($E$53:$E$81,$E$21:$E$49,AB71)</f>
        <v>0.97652916493138886</v>
      </c>
      <c r="AC103" s="272">
        <f>_xll.xlInterp1D($E$53:$E$81,$E$21:$E$49,AC71)</f>
        <v>0.97652916493138886</v>
      </c>
      <c r="AD103" s="272">
        <f>_xll.xlInterp1D($E$53:$E$81,$E$21:$E$49,AD71)</f>
        <v>0.97652916493138886</v>
      </c>
      <c r="AE103" s="272">
        <f>_xll.xlInterp1D($E$53:$E$81,$E$21:$E$49,AE71)</f>
        <v>0.97652916493138886</v>
      </c>
      <c r="AF103" s="272">
        <f>_xll.xlInterp1D($E$53:$E$81,$E$21:$E$49,AF71)</f>
        <v>0.97652916493138886</v>
      </c>
      <c r="AG103" s="272">
        <f>_xll.xlInterp1D($E$53:$E$81,$E$21:$E$49,AG71)</f>
        <v>0.97652916493138886</v>
      </c>
      <c r="AH103" s="272">
        <f>_xll.xlInterp1D($E$53:$E$81,$E$21:$E$49,AH71)</f>
        <v>0.97652916493138886</v>
      </c>
      <c r="AI103" s="272">
        <f>_xll.xlInterp1D($E$53:$E$81,$E$21:$E$49,AI71)</f>
        <v>0.97652916493138886</v>
      </c>
      <c r="AJ103" s="272">
        <f>_xll.xlInterp1D($E$53:$E$81,$E$21:$E$49,AJ71)</f>
        <v>0.97600203647843942</v>
      </c>
      <c r="AK103" s="272">
        <f>_xll.xlInterp1D($E$53:$E$81,$E$21:$E$49,AK71)</f>
        <v>0.97652916493138886</v>
      </c>
      <c r="AL103" s="272">
        <f>_xll.xlInterp1D($E$53:$E$81,$E$21:$E$49,AL71)</f>
        <v>0.97652916493138886</v>
      </c>
      <c r="AM103" s="272">
        <f>_xll.xlInterp1D($E$53:$E$81,$E$21:$E$49,AM71)</f>
        <v>0.97647059510328338</v>
      </c>
      <c r="AN103" s="272">
        <f>_xll.xlInterp1D($E$53:$E$81,$E$21:$E$49,AN71)</f>
        <v>0.97652916493138886</v>
      </c>
      <c r="AO103" s="272">
        <f>_xll.xlInterp1D($E$53:$E$81,$E$21:$E$49,AO71)</f>
        <v>0.97652916493138886</v>
      </c>
      <c r="AP103" s="272">
        <f>_xll.xlInterp1D($E$53:$E$81,$E$21:$E$49,AP71)</f>
        <v>0.97652916493138886</v>
      </c>
    </row>
    <row r="104" spans="3:42" x14ac:dyDescent="0.2">
      <c r="C104" s="1" t="s">
        <v>133</v>
      </c>
      <c r="D104" s="3"/>
      <c r="E104" s="272">
        <f>_xll.xlShmInterpDisc(E$5,E72+0*TYPE(disc_refresh))</f>
        <v>1.0034707422738873</v>
      </c>
      <c r="F104" s="272">
        <f>_xll.xlInterp1D($E$53:$E$81,$E$21:$E$49,F72)</f>
        <v>0.97119931057378928</v>
      </c>
      <c r="G104" s="272">
        <f>_xll.xlInterp1D($E$53:$E$81,$E$21:$E$49,G72)</f>
        <v>0.97119931057378928</v>
      </c>
      <c r="H104" s="272">
        <f>_xll.xlInterp1D($E$53:$E$81,$E$21:$E$49,H72)</f>
        <v>0.97119931057378928</v>
      </c>
      <c r="I104" s="272">
        <f>_xll.xlInterp1D($E$53:$E$81,$E$21:$E$49,I72)</f>
        <v>0.97137502005810572</v>
      </c>
      <c r="J104" s="272">
        <f>_xll.xlInterp1D($E$53:$E$81,$E$21:$E$49,J72)</f>
        <v>0.97119931057378928</v>
      </c>
      <c r="K104" s="272">
        <f>_xll.xlInterp1D($E$53:$E$81,$E$21:$E$49,K72)</f>
        <v>0.97119931057378928</v>
      </c>
      <c r="L104" s="272">
        <f>_xll.xlInterp1D($E$53:$E$81,$E$21:$E$49,L72)</f>
        <v>0.97119931057378928</v>
      </c>
      <c r="M104" s="272">
        <f>_xll.xlInterp1D($E$53:$E$81,$E$21:$E$49,M72)</f>
        <v>0.97119931057378928</v>
      </c>
      <c r="N104" s="272">
        <f>_xll.xlInterp1D($E$53:$E$81,$E$21:$E$49,N72)</f>
        <v>0.97119931057378928</v>
      </c>
      <c r="O104" s="272">
        <f>_xll.xlInterp1D($E$53:$E$81,$E$21:$E$49,O72)</f>
        <v>0.97119931057378928</v>
      </c>
      <c r="P104" s="272">
        <f>_xll.xlInterp1D($E$53:$E$81,$E$21:$E$49,P72)</f>
        <v>0.97119931057378928</v>
      </c>
      <c r="Q104" s="272">
        <f>_xll.xlInterp1D($E$53:$E$81,$E$21:$E$49,Q72)</f>
        <v>0.97119931057378928</v>
      </c>
      <c r="R104" s="272">
        <f>_xll.xlInterp1D($E$53:$E$81,$E$21:$E$49,R72)</f>
        <v>0.97119931057378928</v>
      </c>
      <c r="S104" s="272">
        <f>_xll.xlInterp1D($E$53:$E$81,$E$21:$E$49,S72)</f>
        <v>0.97119931057378928</v>
      </c>
      <c r="T104" s="272">
        <f>_xll.xlInterp1D($E$53:$E$81,$E$21:$E$49,T72)</f>
        <v>0.97107603724181424</v>
      </c>
      <c r="U104" s="272">
        <f>_xll.xlInterp1D($E$53:$E$81,$E$21:$E$49,U72)</f>
        <v>0.97064458057990166</v>
      </c>
      <c r="V104" s="272">
        <f>_xll.xlInterp1D($E$53:$E$81,$E$21:$E$49,V72)</f>
        <v>0.97119931057378928</v>
      </c>
      <c r="W104" s="272">
        <f>_xll.xlInterp1D($E$53:$E$81,$E$21:$E$49,W72)</f>
        <v>0.97119931057378928</v>
      </c>
      <c r="X104" s="272">
        <f>_xll.xlInterp1D($E$53:$E$81,$E$21:$E$49,X72)</f>
        <v>0.97119931057378928</v>
      </c>
      <c r="Y104" s="272">
        <f>_xll.xlInterp1D($E$53:$E$81,$E$21:$E$49,Y72)</f>
        <v>0.97119931057378928</v>
      </c>
      <c r="Z104" s="272">
        <f>_xll.xlInterp1D($E$53:$E$81,$E$21:$E$49,Z72)</f>
        <v>0.97119931057378928</v>
      </c>
      <c r="AA104" s="272">
        <f>_xll.xlInterp1D($E$53:$E$81,$E$21:$E$49,AA72)</f>
        <v>0.97119931057378928</v>
      </c>
      <c r="AB104" s="272">
        <f>_xll.xlInterp1D($E$53:$E$81,$E$21:$E$49,AB72)</f>
        <v>0.97119931057378928</v>
      </c>
      <c r="AC104" s="272">
        <f>_xll.xlInterp1D($E$53:$E$81,$E$21:$E$49,AC72)</f>
        <v>0.97119931057378928</v>
      </c>
      <c r="AD104" s="272">
        <f>_xll.xlInterp1D($E$53:$E$81,$E$21:$E$49,AD72)</f>
        <v>0.97119931057378928</v>
      </c>
      <c r="AE104" s="272">
        <f>_xll.xlInterp1D($E$53:$E$81,$E$21:$E$49,AE72)</f>
        <v>0.97119931057378928</v>
      </c>
      <c r="AF104" s="272">
        <f>_xll.xlInterp1D($E$53:$E$81,$E$21:$E$49,AF72)</f>
        <v>0.97119931057378928</v>
      </c>
      <c r="AG104" s="272">
        <f>_xll.xlInterp1D($E$53:$E$81,$E$21:$E$49,AG72)</f>
        <v>0.97119931057378928</v>
      </c>
      <c r="AH104" s="272">
        <f>_xll.xlInterp1D($E$53:$E$81,$E$21:$E$49,AH72)</f>
        <v>0.97119931057378928</v>
      </c>
      <c r="AI104" s="272">
        <f>_xll.xlInterp1D($E$53:$E$81,$E$21:$E$49,AI72)</f>
        <v>0.97119931057378928</v>
      </c>
      <c r="AJ104" s="272">
        <f>_xll.xlInterp1D($E$53:$E$81,$E$21:$E$49,AJ72)</f>
        <v>0.97064458057990166</v>
      </c>
      <c r="AK104" s="272">
        <f>_xll.xlInterp1D($E$53:$E$81,$E$21:$E$49,AK72)</f>
        <v>0.97119931057378928</v>
      </c>
      <c r="AL104" s="272">
        <f>_xll.xlInterp1D($E$53:$E$81,$E$21:$E$49,AL72)</f>
        <v>0.97119931057378928</v>
      </c>
      <c r="AM104" s="272">
        <f>_xll.xlInterp1D($E$53:$E$81,$E$21:$E$49,AM72)</f>
        <v>0.97113767390780181</v>
      </c>
      <c r="AN104" s="272">
        <f>_xll.xlInterp1D($E$53:$E$81,$E$21:$E$49,AN72)</f>
        <v>0.97119931057378928</v>
      </c>
      <c r="AO104" s="272">
        <f>_xll.xlInterp1D($E$53:$E$81,$E$21:$E$49,AO72)</f>
        <v>0.97119931057378928</v>
      </c>
      <c r="AP104" s="272">
        <f>_xll.xlInterp1D($E$53:$E$81,$E$21:$E$49,AP72)</f>
        <v>0.97119931057378928</v>
      </c>
    </row>
    <row r="105" spans="3:42" x14ac:dyDescent="0.2">
      <c r="C105" s="1" t="s">
        <v>148</v>
      </c>
      <c r="D105" s="3"/>
      <c r="E105" s="272">
        <f>_xll.xlShmInterpDisc(E$5,E73+0*TYPE(disc_refresh))</f>
        <v>1.0044810745975883</v>
      </c>
      <c r="F105" s="272">
        <f>_xll.xlInterp1D($E$53:$E$81,$E$21:$E$49,F73)</f>
        <v>0.95985816403208746</v>
      </c>
      <c r="G105" s="272">
        <f>_xll.xlInterp1D($E$53:$E$81,$E$21:$E$49,G73)</f>
        <v>0.95985816403208746</v>
      </c>
      <c r="H105" s="272">
        <f>_xll.xlInterp1D($E$53:$E$81,$E$21:$E$49,H73)</f>
        <v>0.95985816403208746</v>
      </c>
      <c r="I105" s="272">
        <f>_xll.xlInterp1D($E$53:$E$81,$E$21:$E$49,I73)</f>
        <v>0.95991980069807492</v>
      </c>
      <c r="J105" s="272">
        <f>_xll.xlInterp1D($E$53:$E$81,$E$21:$E$49,J73)</f>
        <v>0.95985816403208746</v>
      </c>
      <c r="K105" s="272">
        <f>_xll.xlInterp1D($E$53:$E$81,$E$21:$E$49,K73)</f>
        <v>0.95985816403208746</v>
      </c>
      <c r="L105" s="272">
        <f>_xll.xlInterp1D($E$53:$E$81,$E$21:$E$49,L73)</f>
        <v>0.95985816403208746</v>
      </c>
      <c r="M105" s="272">
        <f>_xll.xlInterp1D($E$53:$E$81,$E$21:$E$49,M73)</f>
        <v>0.95985816403208746</v>
      </c>
      <c r="N105" s="272">
        <f>_xll.xlInterp1D($E$53:$E$81,$E$21:$E$49,N73)</f>
        <v>0.95985816403208746</v>
      </c>
      <c r="O105" s="272">
        <f>_xll.xlInterp1D($E$53:$E$81,$E$21:$E$49,O73)</f>
        <v>0.95985816403208746</v>
      </c>
      <c r="P105" s="272">
        <f>_xll.xlInterp1D($E$53:$E$81,$E$21:$E$49,P73)</f>
        <v>0.95985816403208746</v>
      </c>
      <c r="Q105" s="272">
        <f>_xll.xlInterp1D($E$53:$E$81,$E$21:$E$49,Q73)</f>
        <v>0.95985816403208746</v>
      </c>
      <c r="R105" s="272">
        <f>_xll.xlInterp1D($E$53:$E$81,$E$21:$E$49,R73)</f>
        <v>0.95985816403208746</v>
      </c>
      <c r="S105" s="272">
        <f>_xll.xlInterp1D($E$53:$E$81,$E$21:$E$49,S73)</f>
        <v>0.95985816403208746</v>
      </c>
      <c r="T105" s="272">
        <f>_xll.xlInterp1D($E$53:$E$81,$E$21:$E$49,T73)</f>
        <v>0.9597125223542976</v>
      </c>
      <c r="U105" s="272">
        <f>_xll.xlInterp1D($E$53:$E$81,$E$21:$E$49,U73)</f>
        <v>0.95920277648203289</v>
      </c>
      <c r="V105" s="272">
        <f>_xll.xlInterp1D($E$53:$E$81,$E$21:$E$49,V73)</f>
        <v>0.95985816403208746</v>
      </c>
      <c r="W105" s="272">
        <f>_xll.xlInterp1D($E$53:$E$81,$E$21:$E$49,W73)</f>
        <v>0.95985816403208746</v>
      </c>
      <c r="X105" s="272">
        <f>_xll.xlInterp1D($E$53:$E$81,$E$21:$E$49,X73)</f>
        <v>0.95985816403208746</v>
      </c>
      <c r="Y105" s="272">
        <f>_xll.xlInterp1D($E$53:$E$81,$E$21:$E$49,Y73)</f>
        <v>0.95985816403208746</v>
      </c>
      <c r="Z105" s="272">
        <f>_xll.xlInterp1D($E$53:$E$81,$E$21:$E$49,Z73)</f>
        <v>0.95985816403208746</v>
      </c>
      <c r="AA105" s="272">
        <f>_xll.xlInterp1D($E$53:$E$81,$E$21:$E$49,AA73)</f>
        <v>0.95985816403208746</v>
      </c>
      <c r="AB105" s="272">
        <f>_xll.xlInterp1D($E$53:$E$81,$E$21:$E$49,AB73)</f>
        <v>0.95985816403208746</v>
      </c>
      <c r="AC105" s="272">
        <f>_xll.xlInterp1D($E$53:$E$81,$E$21:$E$49,AC73)</f>
        <v>0.95985816403208746</v>
      </c>
      <c r="AD105" s="272">
        <f>_xll.xlInterp1D($E$53:$E$81,$E$21:$E$49,AD73)</f>
        <v>0.95985816403208746</v>
      </c>
      <c r="AE105" s="272">
        <f>_xll.xlInterp1D($E$53:$E$81,$E$21:$E$49,AE73)</f>
        <v>0.95985816403208746</v>
      </c>
      <c r="AF105" s="272">
        <f>_xll.xlInterp1D($E$53:$E$81,$E$21:$E$49,AF73)</f>
        <v>0.95985816403208746</v>
      </c>
      <c r="AG105" s="272">
        <f>_xll.xlInterp1D($E$53:$E$81,$E$21:$E$49,AG73)</f>
        <v>0.95985816403208746</v>
      </c>
      <c r="AH105" s="272">
        <f>_xll.xlInterp1D($E$53:$E$81,$E$21:$E$49,AH73)</f>
        <v>0.95985816403208746</v>
      </c>
      <c r="AI105" s="272">
        <f>_xll.xlInterp1D($E$53:$E$81,$E$21:$E$49,AI73)</f>
        <v>0.95985816403208746</v>
      </c>
      <c r="AJ105" s="272">
        <f>_xll.xlInterp1D($E$53:$E$81,$E$21:$E$49,AJ73)</f>
        <v>0.95920277648203289</v>
      </c>
      <c r="AK105" s="272">
        <f>_xll.xlInterp1D($E$53:$E$81,$E$21:$E$49,AK73)</f>
        <v>0.95985816403208746</v>
      </c>
      <c r="AL105" s="272">
        <f>_xll.xlInterp1D($E$53:$E$81,$E$21:$E$49,AL73)</f>
        <v>0.95985816403208746</v>
      </c>
      <c r="AM105" s="272">
        <f>_xll.xlInterp1D($E$53:$E$81,$E$21:$E$49,AM73)</f>
        <v>0.95978534319319253</v>
      </c>
      <c r="AN105" s="272">
        <f>_xll.xlInterp1D($E$53:$E$81,$E$21:$E$49,AN73)</f>
        <v>0.95985816403208746</v>
      </c>
      <c r="AO105" s="272">
        <f>_xll.xlInterp1D($E$53:$E$81,$E$21:$E$49,AO73)</f>
        <v>0.95985816403208746</v>
      </c>
      <c r="AP105" s="272">
        <f>_xll.xlInterp1D($E$53:$E$81,$E$21:$E$49,AP73)</f>
        <v>0.95985816403208746</v>
      </c>
    </row>
    <row r="106" spans="3:42" x14ac:dyDescent="0.2">
      <c r="C106" s="1" t="s">
        <v>150</v>
      </c>
      <c r="D106" s="3"/>
      <c r="E106" s="272">
        <f>_xll.xlShmInterpDisc(E$5,E74+0*TYPE(disc_refresh))</f>
        <v>1.0027796883177154</v>
      </c>
      <c r="F106" s="272">
        <f>_xll.xlInterp1D($E$53:$E$81,$E$21:$E$49,F74)</f>
        <v>0.93327855783543023</v>
      </c>
      <c r="G106" s="272">
        <f>_xll.xlInterp1D($E$53:$E$81,$E$21:$E$49,G74)</f>
        <v>0.93327855783543023</v>
      </c>
      <c r="H106" s="272">
        <f>_xll.xlInterp1D($E$53:$E$81,$E$21:$E$49,H74)</f>
        <v>0.93327855783543023</v>
      </c>
      <c r="I106" s="272">
        <f>_xll.xlInterp1D($E$53:$E$81,$E$21:$E$49,I74)</f>
        <v>0.93342419951322009</v>
      </c>
      <c r="J106" s="272">
        <f>_xll.xlInterp1D($E$53:$E$81,$E$21:$E$49,J74)</f>
        <v>0.93327855783543023</v>
      </c>
      <c r="K106" s="272">
        <f>_xll.xlInterp1D($E$53:$E$81,$E$21:$E$49,K74)</f>
        <v>0.93327855783543023</v>
      </c>
      <c r="L106" s="272">
        <f>_xll.xlInterp1D($E$53:$E$81,$E$21:$E$49,L74)</f>
        <v>0.93327855783543023</v>
      </c>
      <c r="M106" s="272">
        <f>_xll.xlInterp1D($E$53:$E$81,$E$21:$E$49,M74)</f>
        <v>0.93327855783543023</v>
      </c>
      <c r="N106" s="272">
        <f>_xll.xlInterp1D($E$53:$E$81,$E$21:$E$49,N74)</f>
        <v>0.93327855783543023</v>
      </c>
      <c r="O106" s="272">
        <f>_xll.xlInterp1D($E$53:$E$81,$E$21:$E$49,O74)</f>
        <v>0.93327855783543023</v>
      </c>
      <c r="P106" s="272">
        <f>_xll.xlInterp1D($E$53:$E$81,$E$21:$E$49,P74)</f>
        <v>0.93327855783543023</v>
      </c>
      <c r="Q106" s="272">
        <f>_xll.xlInterp1D($E$53:$E$81,$E$21:$E$49,Q74)</f>
        <v>0.93327855783543023</v>
      </c>
      <c r="R106" s="272">
        <f>_xll.xlInterp1D($E$53:$E$81,$E$21:$E$49,R74)</f>
        <v>0.93327855783543023</v>
      </c>
      <c r="S106" s="272">
        <f>_xll.xlInterp1D($E$53:$E$81,$E$21:$E$49,S74)</f>
        <v>0.93327855783543023</v>
      </c>
      <c r="T106" s="272">
        <f>_xll.xlInterp1D($E$53:$E$81,$E$21:$E$49,T74)</f>
        <v>0.93298529235935956</v>
      </c>
      <c r="U106" s="272">
        <f>_xll.xlInterp1D($E$53:$E$81,$E$21:$E$49,U74)</f>
        <v>0.93247207777623597</v>
      </c>
      <c r="V106" s="272">
        <f>_xll.xlInterp1D($E$53:$E$81,$E$21:$E$49,V74)</f>
        <v>0.93327855783543023</v>
      </c>
      <c r="W106" s="272">
        <f>_xll.xlInterp1D($E$53:$E$81,$E$21:$E$49,W74)</f>
        <v>0.93327855783543023</v>
      </c>
      <c r="X106" s="272">
        <f>_xll.xlInterp1D($E$53:$E$81,$E$21:$E$49,X74)</f>
        <v>0.93327855783543023</v>
      </c>
      <c r="Y106" s="272">
        <f>_xll.xlInterp1D($E$53:$E$81,$E$21:$E$49,Y74)</f>
        <v>0.93327855783543023</v>
      </c>
      <c r="Z106" s="272">
        <f>_xll.xlInterp1D($E$53:$E$81,$E$21:$E$49,Z74)</f>
        <v>0.93327855783543023</v>
      </c>
      <c r="AA106" s="272">
        <f>_xll.xlInterp1D($E$53:$E$81,$E$21:$E$49,AA74)</f>
        <v>0.93327855783543023</v>
      </c>
      <c r="AB106" s="272">
        <f>_xll.xlInterp1D($E$53:$E$81,$E$21:$E$49,AB74)</f>
        <v>0.93327855783543023</v>
      </c>
      <c r="AC106" s="272">
        <f>_xll.xlInterp1D($E$53:$E$81,$E$21:$E$49,AC74)</f>
        <v>0.93327855783543023</v>
      </c>
      <c r="AD106" s="272">
        <f>_xll.xlInterp1D($E$53:$E$81,$E$21:$E$49,AD74)</f>
        <v>0.93327855783543023</v>
      </c>
      <c r="AE106" s="272">
        <f>_xll.xlInterp1D($E$53:$E$81,$E$21:$E$49,AE74)</f>
        <v>0.93327855783543023</v>
      </c>
      <c r="AF106" s="272">
        <f>_xll.xlInterp1D($E$53:$E$81,$E$21:$E$49,AF74)</f>
        <v>0.93327855783543023</v>
      </c>
      <c r="AG106" s="272">
        <f>_xll.xlInterp1D($E$53:$E$81,$E$21:$E$49,AG74)</f>
        <v>0.93327855783543023</v>
      </c>
      <c r="AH106" s="272">
        <f>_xll.xlInterp1D($E$53:$E$81,$E$21:$E$49,AH74)</f>
        <v>0.93327855783543023</v>
      </c>
      <c r="AI106" s="272">
        <f>_xll.xlInterp1D($E$53:$E$81,$E$21:$E$49,AI74)</f>
        <v>0.93327855783543023</v>
      </c>
      <c r="AJ106" s="272">
        <f>_xll.xlInterp1D($E$53:$E$81,$E$21:$E$49,AJ74)</f>
        <v>0.93247207777623597</v>
      </c>
      <c r="AK106" s="272">
        <f>_xll.xlInterp1D($E$53:$E$81,$E$21:$E$49,AK74)</f>
        <v>0.93327855783543023</v>
      </c>
      <c r="AL106" s="272">
        <f>_xll.xlInterp1D($E$53:$E$81,$E$21:$E$49,AL74)</f>
        <v>0.93327855783543023</v>
      </c>
      <c r="AM106" s="272">
        <f>_xll.xlInterp1D($E$53:$E$81,$E$21:$E$49,AM74)</f>
        <v>0.93298529235935956</v>
      </c>
      <c r="AN106" s="272">
        <f>_xll.xlInterp1D($E$53:$E$81,$E$21:$E$49,AN74)</f>
        <v>0.93327855783543023</v>
      </c>
      <c r="AO106" s="272">
        <f>_xll.xlInterp1D($E$53:$E$81,$E$21:$E$49,AO74)</f>
        <v>0.93327855783543023</v>
      </c>
      <c r="AP106" s="272">
        <f>_xll.xlInterp1D($E$53:$E$81,$E$21:$E$49,AP74)</f>
        <v>0.93327855783543023</v>
      </c>
    </row>
    <row r="107" spans="3:42" x14ac:dyDescent="0.2">
      <c r="C107" s="1" t="s">
        <v>153</v>
      </c>
      <c r="D107" s="3"/>
      <c r="E107" s="272">
        <f>_xll.xlShmInterpDisc(E$5,E75+0*TYPE(disc_refresh))</f>
        <v>0.99967979330069245</v>
      </c>
      <c r="F107" s="272">
        <f>_xll.xlInterp1D($E$53:$E$81,$E$21:$E$49,F75)</f>
        <v>0.9062981340369306</v>
      </c>
      <c r="G107" s="272">
        <f>_xll.xlInterp1D($E$53:$E$81,$E$21:$E$49,G75)</f>
        <v>0.9062981340369306</v>
      </c>
      <c r="H107" s="272">
        <f>_xll.xlInterp1D($E$53:$E$81,$E$21:$E$49,H75)</f>
        <v>0.9062981340369306</v>
      </c>
      <c r="I107" s="272">
        <f>_xll.xlInterp1D($E$53:$E$81,$E$21:$E$49,I75)</f>
        <v>0.90666471588201891</v>
      </c>
      <c r="J107" s="272">
        <f>_xll.xlInterp1D($E$53:$E$81,$E$21:$E$49,J75)</f>
        <v>0.9062981340369306</v>
      </c>
      <c r="K107" s="272">
        <f>_xll.xlInterp1D($E$53:$E$81,$E$21:$E$49,K75)</f>
        <v>0.9062981340369306</v>
      </c>
      <c r="L107" s="272">
        <f>_xll.xlInterp1D($E$53:$E$81,$E$21:$E$49,L75)</f>
        <v>0.9062981340369306</v>
      </c>
      <c r="M107" s="272">
        <f>_xll.xlInterp1D($E$53:$E$81,$E$21:$E$49,M75)</f>
        <v>0.9062981340369306</v>
      </c>
      <c r="N107" s="272">
        <f>_xll.xlInterp1D($E$53:$E$81,$E$21:$E$49,N75)</f>
        <v>0.9062981340369306</v>
      </c>
      <c r="O107" s="272">
        <f>_xll.xlInterp1D($E$53:$E$81,$E$21:$E$49,O75)</f>
        <v>0.9062981340369306</v>
      </c>
      <c r="P107" s="272">
        <f>_xll.xlInterp1D($E$53:$E$81,$E$21:$E$49,P75)</f>
        <v>0.9062981340369306</v>
      </c>
      <c r="Q107" s="272">
        <f>_xll.xlInterp1D($E$53:$E$81,$E$21:$E$49,Q75)</f>
        <v>0.9062981340369306</v>
      </c>
      <c r="R107" s="272">
        <f>_xll.xlInterp1D($E$53:$E$81,$E$21:$E$49,R75)</f>
        <v>0.9062981340369306</v>
      </c>
      <c r="S107" s="272">
        <f>_xll.xlInterp1D($E$53:$E$81,$E$21:$E$49,S75)</f>
        <v>0.9062981340369306</v>
      </c>
      <c r="T107" s="272">
        <f>_xll.xlInterp1D($E$53:$E$81,$E$21:$E$49,T75)</f>
        <v>0.9062981340369306</v>
      </c>
      <c r="U107" s="272">
        <f>_xll.xlInterp1D($E$53:$E$81,$E$21:$E$49,U75)</f>
        <v>0.90577577110935537</v>
      </c>
      <c r="V107" s="272">
        <f>_xll.xlInterp1D($E$53:$E$81,$E$21:$E$49,V75)</f>
        <v>0.9062981340369306</v>
      </c>
      <c r="W107" s="272">
        <f>_xll.xlInterp1D($E$53:$E$81,$E$21:$E$49,W75)</f>
        <v>0.9062981340369306</v>
      </c>
      <c r="X107" s="272">
        <f>_xll.xlInterp1D($E$53:$E$81,$E$21:$E$49,X75)</f>
        <v>0.9062981340369306</v>
      </c>
      <c r="Y107" s="272">
        <f>_xll.xlInterp1D($E$53:$E$81,$E$21:$E$49,Y75)</f>
        <v>0.9062981340369306</v>
      </c>
      <c r="Z107" s="272">
        <f>_xll.xlInterp1D($E$53:$E$81,$E$21:$E$49,Z75)</f>
        <v>0.9062981340369306</v>
      </c>
      <c r="AA107" s="272">
        <f>_xll.xlInterp1D($E$53:$E$81,$E$21:$E$49,AA75)</f>
        <v>0.9062981340369306</v>
      </c>
      <c r="AB107" s="272">
        <f>_xll.xlInterp1D($E$53:$E$81,$E$21:$E$49,AB75)</f>
        <v>0.9062981340369306</v>
      </c>
      <c r="AC107" s="272">
        <f>_xll.xlInterp1D($E$53:$E$81,$E$21:$E$49,AC75)</f>
        <v>0.9062981340369306</v>
      </c>
      <c r="AD107" s="272">
        <f>_xll.xlInterp1D($E$53:$E$81,$E$21:$E$49,AD75)</f>
        <v>0.9062981340369306</v>
      </c>
      <c r="AE107" s="272">
        <f>_xll.xlInterp1D($E$53:$E$81,$E$21:$E$49,AE75)</f>
        <v>0.9062981340369306</v>
      </c>
      <c r="AF107" s="272">
        <f>_xll.xlInterp1D($E$53:$E$81,$E$21:$E$49,AF75)</f>
        <v>0.9062981340369306</v>
      </c>
      <c r="AG107" s="272">
        <f>_xll.xlInterp1D($E$53:$E$81,$E$21:$E$49,AG75)</f>
        <v>0.9062981340369306</v>
      </c>
      <c r="AH107" s="272">
        <f>_xll.xlInterp1D($E$53:$E$81,$E$21:$E$49,AH75)</f>
        <v>0.9062981340369306</v>
      </c>
      <c r="AI107" s="272">
        <f>_xll.xlInterp1D($E$53:$E$81,$E$21:$E$49,AI75)</f>
        <v>0.9062981340369306</v>
      </c>
      <c r="AJ107" s="272">
        <f>_xll.xlInterp1D($E$53:$E$81,$E$21:$E$49,AJ75)</f>
        <v>0.90577577110935537</v>
      </c>
      <c r="AK107" s="272">
        <f>_xll.xlInterp1D($E$53:$E$81,$E$21:$E$49,AK75)</f>
        <v>0.9062981340369306</v>
      </c>
      <c r="AL107" s="272">
        <f>_xll.xlInterp1D($E$53:$E$81,$E$21:$E$49,AL75)</f>
        <v>0.9062981340369306</v>
      </c>
      <c r="AM107" s="272">
        <f>_xll.xlInterp1D($E$53:$E$81,$E$21:$E$49,AM75)</f>
        <v>0.9062981340369306</v>
      </c>
      <c r="AN107" s="272">
        <f>_xll.xlInterp1D($E$53:$E$81,$E$21:$E$49,AN75)</f>
        <v>0.9062981340369306</v>
      </c>
      <c r="AO107" s="272">
        <f>_xll.xlInterp1D($E$53:$E$81,$E$21:$E$49,AO75)</f>
        <v>0.9062981340369306</v>
      </c>
      <c r="AP107" s="272">
        <f>_xll.xlInterp1D($E$53:$E$81,$E$21:$E$49,AP75)</f>
        <v>0.9062981340369306</v>
      </c>
    </row>
    <row r="108" spans="3:42" x14ac:dyDescent="0.2">
      <c r="C108" s="1" t="s">
        <v>156</v>
      </c>
      <c r="D108" s="3"/>
      <c r="E108" s="272">
        <f>_xll.xlShmInterpDisc(E$5,E76+0*TYPE(disc_refresh))</f>
        <v>0.99378401114951864</v>
      </c>
      <c r="F108" s="272">
        <f>_xll.xlInterp1D($E$53:$E$81,$E$21:$E$49,F76)</f>
        <v>0.87913526180302071</v>
      </c>
      <c r="G108" s="272">
        <f>_xll.xlInterp1D($E$53:$E$81,$E$21:$E$49,G76)</f>
        <v>0.87913526180302071</v>
      </c>
      <c r="H108" s="272">
        <f>_xll.xlInterp1D($E$53:$E$81,$E$21:$E$49,H76)</f>
        <v>0.87913526180302071</v>
      </c>
      <c r="I108" s="272">
        <f>_xll.xlInterp1D($E$53:$E$81,$E$21:$E$49,I76)</f>
        <v>0.87943375490449227</v>
      </c>
      <c r="J108" s="272">
        <f>_xll.xlInterp1D($E$53:$E$81,$E$21:$E$49,J76)</f>
        <v>0.87913526180302071</v>
      </c>
      <c r="K108" s="272">
        <f>_xll.xlInterp1D($E$53:$E$81,$E$21:$E$49,K76)</f>
        <v>0.87913526180302071</v>
      </c>
      <c r="L108" s="272">
        <f>_xll.xlInterp1D($E$53:$E$81,$E$21:$E$49,L76)</f>
        <v>0.87913526180302071</v>
      </c>
      <c r="M108" s="272">
        <f>_xll.xlInterp1D($E$53:$E$81,$E$21:$E$49,M76)</f>
        <v>0.87913526180302071</v>
      </c>
      <c r="N108" s="272">
        <f>_xll.xlInterp1D($E$53:$E$81,$E$21:$E$49,N76)</f>
        <v>0.87913526180302071</v>
      </c>
      <c r="O108" s="272">
        <f>_xll.xlInterp1D($E$53:$E$81,$E$21:$E$49,O76)</f>
        <v>0.87913526180302071</v>
      </c>
      <c r="P108" s="272">
        <f>_xll.xlInterp1D($E$53:$E$81,$E$21:$E$49,P76)</f>
        <v>0.87913526180302071</v>
      </c>
      <c r="Q108" s="272">
        <f>_xll.xlInterp1D($E$53:$E$81,$E$21:$E$49,Q76)</f>
        <v>0.87913526180302071</v>
      </c>
      <c r="R108" s="272">
        <f>_xll.xlInterp1D($E$53:$E$81,$E$21:$E$49,R76)</f>
        <v>0.87913526180302071</v>
      </c>
      <c r="S108" s="272">
        <f>_xll.xlInterp1D($E$53:$E$81,$E$21:$E$49,S76)</f>
        <v>0.87913526180302071</v>
      </c>
      <c r="T108" s="272">
        <f>_xll.xlInterp1D($E$53:$E$81,$E$21:$E$49,T76)</f>
        <v>0.87906101960470484</v>
      </c>
      <c r="U108" s="272">
        <f>_xll.xlInterp1D($E$53:$E$81,$E$21:$E$49,U76)</f>
        <v>0.87854132421649389</v>
      </c>
      <c r="V108" s="272">
        <f>_xll.xlInterp1D($E$53:$E$81,$E$21:$E$49,V76)</f>
        <v>0.87913526180302071</v>
      </c>
      <c r="W108" s="272">
        <f>_xll.xlInterp1D($E$53:$E$81,$E$21:$E$49,W76)</f>
        <v>0.87913526180302071</v>
      </c>
      <c r="X108" s="272">
        <f>_xll.xlInterp1D($E$53:$E$81,$E$21:$E$49,X76)</f>
        <v>0.87913526180302071</v>
      </c>
      <c r="Y108" s="272">
        <f>_xll.xlInterp1D($E$53:$E$81,$E$21:$E$49,Y76)</f>
        <v>0.87913526180302071</v>
      </c>
      <c r="Z108" s="272">
        <f>_xll.xlInterp1D($E$53:$E$81,$E$21:$E$49,Z76)</f>
        <v>0.87913526180302071</v>
      </c>
      <c r="AA108" s="272">
        <f>_xll.xlInterp1D($E$53:$E$81,$E$21:$E$49,AA76)</f>
        <v>0.87913526180302071</v>
      </c>
      <c r="AB108" s="272">
        <f>_xll.xlInterp1D($E$53:$E$81,$E$21:$E$49,AB76)</f>
        <v>0.87913526180302071</v>
      </c>
      <c r="AC108" s="272">
        <f>_xll.xlInterp1D($E$53:$E$81,$E$21:$E$49,AC76)</f>
        <v>0.87913526180302071</v>
      </c>
      <c r="AD108" s="272">
        <f>_xll.xlInterp1D($E$53:$E$81,$E$21:$E$49,AD76)</f>
        <v>0.87913526180302071</v>
      </c>
      <c r="AE108" s="272">
        <f>_xll.xlInterp1D($E$53:$E$81,$E$21:$E$49,AE76)</f>
        <v>0.87913526180302071</v>
      </c>
      <c r="AF108" s="272">
        <f>_xll.xlInterp1D($E$53:$E$81,$E$21:$E$49,AF76)</f>
        <v>0.87913526180302071</v>
      </c>
      <c r="AG108" s="272">
        <f>_xll.xlInterp1D($E$53:$E$81,$E$21:$E$49,AG76)</f>
        <v>0.87906101960470484</v>
      </c>
      <c r="AH108" s="272">
        <f>_xll.xlInterp1D($E$53:$E$81,$E$21:$E$49,AH76)</f>
        <v>0.87913526180302071</v>
      </c>
      <c r="AI108" s="272">
        <f>_xll.xlInterp1D($E$53:$E$81,$E$21:$E$49,AI76)</f>
        <v>0.87913526180302071</v>
      </c>
      <c r="AJ108" s="272">
        <f>_xll.xlInterp1D($E$53:$E$81,$E$21:$E$49,AJ76)</f>
        <v>0.87854132421649389</v>
      </c>
      <c r="AK108" s="272">
        <f>_xll.xlInterp1D($E$53:$E$81,$E$21:$E$49,AK76)</f>
        <v>0.87913526180302071</v>
      </c>
      <c r="AL108" s="272">
        <f>_xll.xlInterp1D($E$53:$E$81,$E$21:$E$49,AL76)</f>
        <v>0.87913526180302071</v>
      </c>
      <c r="AM108" s="272">
        <f>_xll.xlInterp1D($E$53:$E$81,$E$21:$E$49,AM76)</f>
        <v>0.87913526180302071</v>
      </c>
      <c r="AN108" s="272">
        <f>_xll.xlInterp1D($E$53:$E$81,$E$21:$E$49,AN76)</f>
        <v>0.87913526180302071</v>
      </c>
      <c r="AO108" s="272">
        <f>_xll.xlInterp1D($E$53:$E$81,$E$21:$E$49,AO76)</f>
        <v>0.87913526180302071</v>
      </c>
      <c r="AP108" s="272">
        <f>_xll.xlInterp1D($E$53:$E$81,$E$21:$E$49,AP76)</f>
        <v>0.87913526180302071</v>
      </c>
    </row>
    <row r="109" spans="3:42" x14ac:dyDescent="0.2">
      <c r="C109" s="1" t="s">
        <v>157</v>
      </c>
      <c r="D109" s="3"/>
      <c r="E109" s="272">
        <f>_xll.xlShmInterpDisc(E$5,E77+0*TYPE(disc_refresh))</f>
        <v>0.98531000739359098</v>
      </c>
      <c r="F109" s="272">
        <f>_xll.xlInterp1D($E$53:$E$81,$E$21:$E$49,F77)</f>
        <v>0.85211110161605308</v>
      </c>
      <c r="G109" s="272">
        <f>_xll.xlInterp1D($E$53:$E$81,$E$21:$E$49,G77)</f>
        <v>0.85211110161605308</v>
      </c>
      <c r="H109" s="272">
        <f>_xll.xlInterp1D($E$53:$E$81,$E$21:$E$49,H77)</f>
        <v>0.85211110161605308</v>
      </c>
      <c r="I109" s="272">
        <f>_xll.xlInterp1D($E$53:$E$81,$E$21:$E$49,I77)</f>
        <v>0.85233382821100057</v>
      </c>
      <c r="J109" s="272">
        <f>_xll.xlInterp1D($E$53:$E$81,$E$21:$E$49,J77)</f>
        <v>0.85211110161605308</v>
      </c>
      <c r="K109" s="272">
        <f>_xll.xlInterp1D($E$53:$E$81,$E$21:$E$49,K77)</f>
        <v>0.85211110161605308</v>
      </c>
      <c r="L109" s="272">
        <f>_xll.xlInterp1D($E$53:$E$81,$E$21:$E$49,L77)</f>
        <v>0.85211110161605308</v>
      </c>
      <c r="M109" s="272">
        <f>_xll.xlInterp1D($E$53:$E$81,$E$21:$E$49,M77)</f>
        <v>0.85211110161605308</v>
      </c>
      <c r="N109" s="272">
        <f>_xll.xlInterp1D($E$53:$E$81,$E$21:$E$49,N77)</f>
        <v>0.85211110161605308</v>
      </c>
      <c r="O109" s="272">
        <f>_xll.xlInterp1D($E$53:$E$81,$E$21:$E$49,O77)</f>
        <v>0.85211110161605308</v>
      </c>
      <c r="P109" s="272">
        <f>_xll.xlInterp1D($E$53:$E$81,$E$21:$E$49,P77)</f>
        <v>0.85211110161605308</v>
      </c>
      <c r="Q109" s="272">
        <f>_xll.xlInterp1D($E$53:$E$81,$E$21:$E$49,Q77)</f>
        <v>0.85211110161605308</v>
      </c>
      <c r="R109" s="272">
        <f>_xll.xlInterp1D($E$53:$E$81,$E$21:$E$49,R77)</f>
        <v>0.85211110161605308</v>
      </c>
      <c r="S109" s="272">
        <f>_xll.xlInterp1D($E$53:$E$81,$E$21:$E$49,S77)</f>
        <v>0.85211110161605308</v>
      </c>
      <c r="T109" s="272">
        <f>_xll.xlInterp1D($E$53:$E$81,$E$21:$E$49,T77)</f>
        <v>0.85196495851735699</v>
      </c>
      <c r="U109" s="272">
        <f>_xll.xlInterp1D($E$53:$E$81,$E$21:$E$49,U77)</f>
        <v>0.85145345767192071</v>
      </c>
      <c r="V109" s="272">
        <f>_xll.xlInterp1D($E$53:$E$81,$E$21:$E$49,V77)</f>
        <v>0.85211110161605308</v>
      </c>
      <c r="W109" s="272">
        <f>_xll.xlInterp1D($E$53:$E$81,$E$21:$E$49,W77)</f>
        <v>0.85211110161605308</v>
      </c>
      <c r="X109" s="272">
        <f>_xll.xlInterp1D($E$53:$E$81,$E$21:$E$49,X77)</f>
        <v>0.85211110161605308</v>
      </c>
      <c r="Y109" s="272">
        <f>_xll.xlInterp1D($E$53:$E$81,$E$21:$E$49,Y77)</f>
        <v>0.85211110161605308</v>
      </c>
      <c r="Z109" s="272">
        <f>_xll.xlInterp1D($E$53:$E$81,$E$21:$E$49,Z77)</f>
        <v>0.85211110161605308</v>
      </c>
      <c r="AA109" s="272">
        <f>_xll.xlInterp1D($E$53:$E$81,$E$21:$E$49,AA77)</f>
        <v>0.85211110161605308</v>
      </c>
      <c r="AB109" s="272">
        <f>_xll.xlInterp1D($E$53:$E$81,$E$21:$E$49,AB77)</f>
        <v>0.85211110161605308</v>
      </c>
      <c r="AC109" s="272">
        <f>_xll.xlInterp1D($E$53:$E$81,$E$21:$E$49,AC77)</f>
        <v>0.85211110161605308</v>
      </c>
      <c r="AD109" s="272">
        <f>_xll.xlInterp1D($E$53:$E$81,$E$21:$E$49,AD77)</f>
        <v>0.85211110161605308</v>
      </c>
      <c r="AE109" s="272">
        <f>_xll.xlInterp1D($E$53:$E$81,$E$21:$E$49,AE77)</f>
        <v>0.85211110161605308</v>
      </c>
      <c r="AF109" s="272">
        <f>_xll.xlInterp1D($E$53:$E$81,$E$21:$E$49,AF77)</f>
        <v>0.85211110161605308</v>
      </c>
      <c r="AG109" s="272">
        <f>_xll.xlInterp1D($E$53:$E$81,$E$21:$E$49,AG77)</f>
        <v>0.85211110161605308</v>
      </c>
      <c r="AH109" s="272">
        <f>_xll.xlInterp1D($E$53:$E$81,$E$21:$E$49,AH77)</f>
        <v>0.85211110161605308</v>
      </c>
      <c r="AI109" s="272">
        <f>_xll.xlInterp1D($E$53:$E$81,$E$21:$E$49,AI77)</f>
        <v>0.85211110161605308</v>
      </c>
      <c r="AJ109" s="272">
        <f>_xll.xlInterp1D($E$53:$E$81,$E$21:$E$49,AJ77)</f>
        <v>0.85145345767192071</v>
      </c>
      <c r="AK109" s="272">
        <f>_xll.xlInterp1D($E$53:$E$81,$E$21:$E$49,AK77)</f>
        <v>0.85211110161605308</v>
      </c>
      <c r="AL109" s="272">
        <f>_xll.xlInterp1D($E$53:$E$81,$E$21:$E$49,AL77)</f>
        <v>0.85211110161605308</v>
      </c>
      <c r="AM109" s="272">
        <f>_xll.xlInterp1D($E$53:$E$81,$E$21:$E$49,AM77)</f>
        <v>0.85203803006670509</v>
      </c>
      <c r="AN109" s="272">
        <f>_xll.xlInterp1D($E$53:$E$81,$E$21:$E$49,AN77)</f>
        <v>0.85211110161605308</v>
      </c>
      <c r="AO109" s="272">
        <f>_xll.xlInterp1D($E$53:$E$81,$E$21:$E$49,AO77)</f>
        <v>0.85211110161605308</v>
      </c>
      <c r="AP109" s="272">
        <f>_xll.xlInterp1D($E$53:$E$81,$E$21:$E$49,AP77)</f>
        <v>0.85211110161605308</v>
      </c>
    </row>
    <row r="110" spans="3:42" x14ac:dyDescent="0.2">
      <c r="C110" s="1" t="s">
        <v>158</v>
      </c>
      <c r="D110" s="3"/>
      <c r="E110" s="272">
        <f>_xll.xlShmInterpDisc(E$5,E78+0*TYPE(disc_refresh))</f>
        <v>0.97414100269652992</v>
      </c>
      <c r="F110" s="272">
        <f>_xll.xlInterp1D($E$53:$E$81,$E$21:$E$49,F78)</f>
        <v>0.82543998610401814</v>
      </c>
      <c r="G110" s="272">
        <f>_xll.xlInterp1D($E$53:$E$81,$E$21:$E$49,G78)</f>
        <v>0.82543998610401814</v>
      </c>
      <c r="H110" s="272">
        <f>_xll.xlInterp1D($E$53:$E$81,$E$21:$E$49,H78)</f>
        <v>0.82543998610401814</v>
      </c>
      <c r="I110" s="272">
        <f>_xll.xlInterp1D($E$53:$E$81,$E$21:$E$49,I78)</f>
        <v>0.82551305765336613</v>
      </c>
      <c r="J110" s="272">
        <f>_xll.xlInterp1D($E$53:$E$81,$E$21:$E$49,J78)</f>
        <v>0.82543998610401814</v>
      </c>
      <c r="K110" s="272">
        <f>_xll.xlInterp1D($E$53:$E$81,$E$21:$E$49,K78)</f>
        <v>0.82543998610401814</v>
      </c>
      <c r="L110" s="272">
        <f>_xll.xlInterp1D($E$53:$E$81,$E$21:$E$49,L78)</f>
        <v>0.82543998610401814</v>
      </c>
      <c r="M110" s="272">
        <f>_xll.xlInterp1D($E$53:$E$81,$E$21:$E$49,M78)</f>
        <v>0.82543998610401814</v>
      </c>
      <c r="N110" s="272">
        <f>_xll.xlInterp1D($E$53:$E$81,$E$21:$E$49,N78)</f>
        <v>0.82543998610401814</v>
      </c>
      <c r="O110" s="272">
        <f>_xll.xlInterp1D($E$53:$E$81,$E$21:$E$49,O78)</f>
        <v>0.82543998610401814</v>
      </c>
      <c r="P110" s="272">
        <f>_xll.xlInterp1D($E$53:$E$81,$E$21:$E$49,P78)</f>
        <v>0.82543998610401814</v>
      </c>
      <c r="Q110" s="272">
        <f>_xll.xlInterp1D($E$53:$E$81,$E$21:$E$49,Q78)</f>
        <v>0.82543998610401814</v>
      </c>
      <c r="R110" s="272">
        <f>_xll.xlInterp1D($E$53:$E$81,$E$21:$E$49,R78)</f>
        <v>0.82543998610401814</v>
      </c>
      <c r="S110" s="272">
        <f>_xll.xlInterp1D($E$53:$E$81,$E$21:$E$49,S78)</f>
        <v>0.82543998610401814</v>
      </c>
      <c r="T110" s="272">
        <f>_xll.xlInterp1D($E$53:$E$81,$E$21:$E$49,T78)</f>
        <v>0.82529666626289278</v>
      </c>
      <c r="U110" s="272">
        <f>_xll.xlInterp1D($E$53:$E$81,$E$21:$E$49,U78)</f>
        <v>0.82479504681895388</v>
      </c>
      <c r="V110" s="272">
        <f>_xll.xlInterp1D($E$53:$E$81,$E$21:$E$49,V78)</f>
        <v>0.82543998610401814</v>
      </c>
      <c r="W110" s="272">
        <f>_xll.xlInterp1D($E$53:$E$81,$E$21:$E$49,W78)</f>
        <v>0.82543998610401814</v>
      </c>
      <c r="X110" s="272">
        <f>_xll.xlInterp1D($E$53:$E$81,$E$21:$E$49,X78)</f>
        <v>0.82543998610401814</v>
      </c>
      <c r="Y110" s="272">
        <f>_xll.xlInterp1D($E$53:$E$81,$E$21:$E$49,Y78)</f>
        <v>0.82543998610401814</v>
      </c>
      <c r="Z110" s="272">
        <f>_xll.xlInterp1D($E$53:$E$81,$E$21:$E$49,Z78)</f>
        <v>0.82543998610401814</v>
      </c>
      <c r="AA110" s="272">
        <f>_xll.xlInterp1D($E$53:$E$81,$E$21:$E$49,AA78)</f>
        <v>0.82543998610401814</v>
      </c>
      <c r="AB110" s="272">
        <f>_xll.xlInterp1D($E$53:$E$81,$E$21:$E$49,AB78)</f>
        <v>0.82543998610401814</v>
      </c>
      <c r="AC110" s="272">
        <f>_xll.xlInterp1D($E$53:$E$81,$E$21:$E$49,AC78)</f>
        <v>0.82543998610401814</v>
      </c>
      <c r="AD110" s="272">
        <f>_xll.xlInterp1D($E$53:$E$81,$E$21:$E$49,AD78)</f>
        <v>0.82543998610401814</v>
      </c>
      <c r="AE110" s="272">
        <f>_xll.xlInterp1D($E$53:$E$81,$E$21:$E$49,AE78)</f>
        <v>0.82543998610401814</v>
      </c>
      <c r="AF110" s="272">
        <f>_xll.xlInterp1D($E$53:$E$81,$E$21:$E$49,AF78)</f>
        <v>0.82543998610401814</v>
      </c>
      <c r="AG110" s="272">
        <f>_xll.xlInterp1D($E$53:$E$81,$E$21:$E$49,AG78)</f>
        <v>0.82543998610401814</v>
      </c>
      <c r="AH110" s="272">
        <f>_xll.xlInterp1D($E$53:$E$81,$E$21:$E$49,AH78)</f>
        <v>0.82543998610401814</v>
      </c>
      <c r="AI110" s="272">
        <f>_xll.xlInterp1D($E$53:$E$81,$E$21:$E$49,AI78)</f>
        <v>0.82543998610401814</v>
      </c>
      <c r="AJ110" s="272">
        <f>_xll.xlInterp1D($E$53:$E$81,$E$21:$E$49,AJ78)</f>
        <v>0.82479504681895388</v>
      </c>
      <c r="AK110" s="272">
        <f>_xll.xlInterp1D($E$53:$E$81,$E$21:$E$49,AK78)</f>
        <v>0.82543998610401814</v>
      </c>
      <c r="AL110" s="272">
        <f>_xll.xlInterp1D($E$53:$E$81,$E$21:$E$49,AL78)</f>
        <v>0.82543998610401814</v>
      </c>
      <c r="AM110" s="272">
        <f>_xll.xlInterp1D($E$53:$E$81,$E$21:$E$49,AM78)</f>
        <v>0.82536832618345546</v>
      </c>
      <c r="AN110" s="272">
        <f>_xll.xlInterp1D($E$53:$E$81,$E$21:$E$49,AN78)</f>
        <v>0.82543998610401814</v>
      </c>
      <c r="AO110" s="272">
        <f>_xll.xlInterp1D($E$53:$E$81,$E$21:$E$49,AO78)</f>
        <v>0.82543998610401814</v>
      </c>
      <c r="AP110" s="272">
        <f>_xll.xlInterp1D($E$53:$E$81,$E$21:$E$49,AP78)</f>
        <v>0.82543998610401814</v>
      </c>
    </row>
    <row r="111" spans="3:42" x14ac:dyDescent="0.2">
      <c r="C111" s="1" t="s">
        <v>160</v>
      </c>
      <c r="D111" s="3"/>
      <c r="E111" s="272">
        <f>_xll.xlShmInterpDisc(E$5,E79+0*TYPE(disc_refresh))</f>
        <v>0.96042700195426067</v>
      </c>
      <c r="F111" s="272">
        <f>_xll.xlInterp1D($E$53:$E$81,$E$21:$E$49,F79)</f>
        <v>0.79921245517807227</v>
      </c>
      <c r="G111" s="272">
        <f>_xll.xlInterp1D($E$53:$E$81,$E$21:$E$49,G79)</f>
        <v>0.79921245517807227</v>
      </c>
      <c r="H111" s="272">
        <f>_xll.xlInterp1D($E$53:$E$81,$E$21:$E$49,H79)</f>
        <v>0.79921245517807227</v>
      </c>
      <c r="I111" s="272">
        <f>_xll.xlInterp1D($E$53:$E$81,$E$21:$E$49,I79)</f>
        <v>0.79935577501919763</v>
      </c>
      <c r="J111" s="272">
        <f>_xll.xlInterp1D($E$53:$E$81,$E$21:$E$49,J79)</f>
        <v>0.79921245517807227</v>
      </c>
      <c r="K111" s="272">
        <f>_xll.xlInterp1D($E$53:$E$81,$E$21:$E$49,K79)</f>
        <v>0.79921245517807227</v>
      </c>
      <c r="L111" s="272">
        <f>_xll.xlInterp1D($E$53:$E$81,$E$21:$E$49,L79)</f>
        <v>0.79921245517807227</v>
      </c>
      <c r="M111" s="272">
        <f>_xll.xlInterp1D($E$53:$E$81,$E$21:$E$49,M79)</f>
        <v>0.79921245517807227</v>
      </c>
      <c r="N111" s="272">
        <f>_xll.xlInterp1D($E$53:$E$81,$E$21:$E$49,N79)</f>
        <v>0.79921245517807227</v>
      </c>
      <c r="O111" s="272">
        <f>_xll.xlInterp1D($E$53:$E$81,$E$21:$E$49,O79)</f>
        <v>0.79921245517807227</v>
      </c>
      <c r="P111" s="272">
        <f>_xll.xlInterp1D($E$53:$E$81,$E$21:$E$49,P79)</f>
        <v>0.79921245517807227</v>
      </c>
      <c r="Q111" s="272">
        <f>_xll.xlInterp1D($E$53:$E$81,$E$21:$E$49,Q79)</f>
        <v>0.79921245517807227</v>
      </c>
      <c r="R111" s="272">
        <f>_xll.xlInterp1D($E$53:$E$81,$E$21:$E$49,R79)</f>
        <v>0.79921245517807227</v>
      </c>
      <c r="S111" s="272">
        <f>_xll.xlInterp1D($E$53:$E$81,$E$21:$E$49,S79)</f>
        <v>0.79921245517807227</v>
      </c>
      <c r="T111" s="272">
        <f>_xll.xlInterp1D($E$53:$E$81,$E$21:$E$49,T79)</f>
        <v>0.79893491005035211</v>
      </c>
      <c r="U111" s="272">
        <f>_xll.xlInterp1D($E$53:$E$81,$E$21:$E$49,U79)</f>
        <v>0.79844920607684189</v>
      </c>
      <c r="V111" s="272">
        <f>_xll.xlInterp1D($E$53:$E$81,$E$21:$E$49,V79)</f>
        <v>0.79921245517807227</v>
      </c>
      <c r="W111" s="272">
        <f>_xll.xlInterp1D($E$53:$E$81,$E$21:$E$49,W79)</f>
        <v>0.79921245517807227</v>
      </c>
      <c r="X111" s="272">
        <f>_xll.xlInterp1D($E$53:$E$81,$E$21:$E$49,X79)</f>
        <v>0.79921245517807227</v>
      </c>
      <c r="Y111" s="272">
        <f>_xll.xlInterp1D($E$53:$E$81,$E$21:$E$49,Y79)</f>
        <v>0.79921245517807227</v>
      </c>
      <c r="Z111" s="272">
        <f>_xll.xlInterp1D($E$53:$E$81,$E$21:$E$49,Z79)</f>
        <v>0.79921245517807227</v>
      </c>
      <c r="AA111" s="272">
        <f>_xll.xlInterp1D($E$53:$E$81,$E$21:$E$49,AA79)</f>
        <v>0.79921245517807227</v>
      </c>
      <c r="AB111" s="272">
        <f>_xll.xlInterp1D($E$53:$E$81,$E$21:$E$49,AB79)</f>
        <v>0.79921245517807227</v>
      </c>
      <c r="AC111" s="272">
        <f>_xll.xlInterp1D($E$53:$E$81,$E$21:$E$49,AC79)</f>
        <v>0.79921245517807227</v>
      </c>
      <c r="AD111" s="272">
        <f>_xll.xlInterp1D($E$53:$E$81,$E$21:$E$49,AD79)</f>
        <v>0.79921245517807227</v>
      </c>
      <c r="AE111" s="272">
        <f>_xll.xlInterp1D($E$53:$E$81,$E$21:$E$49,AE79)</f>
        <v>0.79921245517807227</v>
      </c>
      <c r="AF111" s="272">
        <f>_xll.xlInterp1D($E$53:$E$81,$E$21:$E$49,AF79)</f>
        <v>0.79921245517807227</v>
      </c>
      <c r="AG111" s="272">
        <f>_xll.xlInterp1D($E$53:$E$81,$E$21:$E$49,AG79)</f>
        <v>0.79921245517807227</v>
      </c>
      <c r="AH111" s="272">
        <f>_xll.xlInterp1D($E$53:$E$81,$E$21:$E$49,AH79)</f>
        <v>0.79921245517807227</v>
      </c>
      <c r="AI111" s="272">
        <f>_xll.xlInterp1D($E$53:$E$81,$E$21:$E$49,AI79)</f>
        <v>0.79921245517807227</v>
      </c>
      <c r="AJ111" s="272">
        <f>_xll.xlInterp1D($E$53:$E$81,$E$21:$E$49,AJ79)</f>
        <v>0.79844920607684189</v>
      </c>
      <c r="AK111" s="272">
        <f>_xll.xlInterp1D($E$53:$E$81,$E$21:$E$49,AK79)</f>
        <v>0.79921245517807227</v>
      </c>
      <c r="AL111" s="272">
        <f>_xll.xlInterp1D($E$53:$E$81,$E$21:$E$49,AL79)</f>
        <v>0.79921245517807227</v>
      </c>
      <c r="AM111" s="272">
        <f>_xll.xlInterp1D($E$53:$E$81,$E$21:$E$49,AM79)</f>
        <v>0.79893491005035211</v>
      </c>
      <c r="AN111" s="272">
        <f>_xll.xlInterp1D($E$53:$E$81,$E$21:$E$49,AN79)</f>
        <v>0.79921245517807227</v>
      </c>
      <c r="AO111" s="272">
        <f>_xll.xlInterp1D($E$53:$E$81,$E$21:$E$49,AO79)</f>
        <v>0.79921245517807227</v>
      </c>
      <c r="AP111" s="272">
        <f>_xll.xlInterp1D($E$53:$E$81,$E$21:$E$49,AP79)</f>
        <v>0.79921245517807227</v>
      </c>
    </row>
    <row r="112" spans="3:42" x14ac:dyDescent="0.2">
      <c r="C112" s="1" t="s">
        <v>162</v>
      </c>
      <c r="D112" s="3"/>
      <c r="E112" s="272">
        <f>_xll.xlShmInterpDisc(E$5,E80+0*TYPE(disc_refresh))</f>
        <v>0.9447958526028194</v>
      </c>
      <c r="F112" s="272">
        <f>_xll.xlInterp1D($E$53:$E$81,$E$21:$E$49,F80)</f>
        <v>0.77388646227360991</v>
      </c>
      <c r="G112" s="272">
        <f>_xll.xlInterp1D($E$53:$E$81,$E$21:$E$49,G80)</f>
        <v>0.77388646227360991</v>
      </c>
      <c r="H112" s="272">
        <f>_xll.xlInterp1D($E$53:$E$81,$E$21:$E$49,H80)</f>
        <v>0.77388646227360991</v>
      </c>
      <c r="I112" s="272">
        <f>_xll.xlInterp1D($E$53:$E$81,$E$21:$E$49,I80)</f>
        <v>0.77409462111939997</v>
      </c>
      <c r="J112" s="272">
        <f>_xll.xlInterp1D($E$53:$E$81,$E$21:$E$49,J80)</f>
        <v>0.77388646227360991</v>
      </c>
      <c r="K112" s="272">
        <f>_xll.xlInterp1D($E$53:$E$81,$E$21:$E$49,K80)</f>
        <v>0.77388646227360991</v>
      </c>
      <c r="L112" s="272">
        <f>_xll.xlInterp1D($E$53:$E$81,$E$21:$E$49,L80)</f>
        <v>0.77388646227360991</v>
      </c>
      <c r="M112" s="272">
        <f>_xll.xlInterp1D($E$53:$E$81,$E$21:$E$49,M80)</f>
        <v>0.77388646227360991</v>
      </c>
      <c r="N112" s="272">
        <f>_xll.xlInterp1D($E$53:$E$81,$E$21:$E$49,N80)</f>
        <v>0.77388646227360991</v>
      </c>
      <c r="O112" s="272">
        <f>_xll.xlInterp1D($E$53:$E$81,$E$21:$E$49,O80)</f>
        <v>0.77388646227360991</v>
      </c>
      <c r="P112" s="272">
        <f>_xll.xlInterp1D($E$53:$E$81,$E$21:$E$49,P80)</f>
        <v>0.77388646227360991</v>
      </c>
      <c r="Q112" s="272">
        <f>_xll.xlInterp1D($E$53:$E$81,$E$21:$E$49,Q80)</f>
        <v>0.77388646227360991</v>
      </c>
      <c r="R112" s="272">
        <f>_xll.xlInterp1D($E$53:$E$81,$E$21:$E$49,R80)</f>
        <v>0.77388646227360991</v>
      </c>
      <c r="S112" s="272">
        <f>_xll.xlInterp1D($E$53:$E$81,$E$21:$E$49,S80)</f>
        <v>0.77388646227360991</v>
      </c>
      <c r="T112" s="272">
        <f>_xll.xlInterp1D($E$53:$E$81,$E$21:$E$49,T80)</f>
        <v>0.77368388388650255</v>
      </c>
      <c r="U112" s="272">
        <f>_xll.xlInterp1D($E$53:$E$81,$E$21:$E$49,U80)</f>
        <v>0.77321120098325202</v>
      </c>
      <c r="V112" s="272">
        <f>_xll.xlInterp1D($E$53:$E$81,$E$21:$E$49,V80)</f>
        <v>0.77388646227360991</v>
      </c>
      <c r="W112" s="272">
        <f>_xll.xlInterp1D($E$53:$E$81,$E$21:$E$49,W80)</f>
        <v>0.77388646227360991</v>
      </c>
      <c r="X112" s="272">
        <f>_xll.xlInterp1D($E$53:$E$81,$E$21:$E$49,X80)</f>
        <v>0.77388646227360991</v>
      </c>
      <c r="Y112" s="272">
        <f>_xll.xlInterp1D($E$53:$E$81,$E$21:$E$49,Y80)</f>
        <v>0.77388646227360991</v>
      </c>
      <c r="Z112" s="272">
        <f>_xll.xlInterp1D($E$53:$E$81,$E$21:$E$49,Z80)</f>
        <v>0.77388646227360991</v>
      </c>
      <c r="AA112" s="272">
        <f>_xll.xlInterp1D($E$53:$E$81,$E$21:$E$49,AA80)</f>
        <v>0.77388646227360991</v>
      </c>
      <c r="AB112" s="272">
        <f>_xll.xlInterp1D($E$53:$E$81,$E$21:$E$49,AB80)</f>
        <v>0.77388646227360991</v>
      </c>
      <c r="AC112" s="272">
        <f>_xll.xlInterp1D($E$53:$E$81,$E$21:$E$49,AC80)</f>
        <v>0.77388646227360991</v>
      </c>
      <c r="AD112" s="272">
        <f>_xll.xlInterp1D($E$53:$E$81,$E$21:$E$49,AD80)</f>
        <v>0.77388646227360991</v>
      </c>
      <c r="AE112" s="272">
        <f>_xll.xlInterp1D($E$53:$E$81,$E$21:$E$49,AE80)</f>
        <v>0.77388646227360991</v>
      </c>
      <c r="AF112" s="272">
        <f>_xll.xlInterp1D($E$53:$E$81,$E$21:$E$49,AF80)</f>
        <v>0.77388646227360991</v>
      </c>
      <c r="AG112" s="272">
        <f>_xll.xlInterp1D($E$53:$E$81,$E$21:$E$49,AG80)</f>
        <v>0.77388646227360991</v>
      </c>
      <c r="AH112" s="272">
        <f>_xll.xlInterp1D($E$53:$E$81,$E$21:$E$49,AH80)</f>
        <v>0.77388646227360991</v>
      </c>
      <c r="AI112" s="272">
        <f>_xll.xlInterp1D($E$53:$E$81,$E$21:$E$49,AI80)</f>
        <v>0.77388646227360991</v>
      </c>
      <c r="AJ112" s="272">
        <f>_xll.xlInterp1D($E$53:$E$81,$E$21:$E$49,AJ80)</f>
        <v>0.77321120098325202</v>
      </c>
      <c r="AK112" s="272">
        <f>_xll.xlInterp1D($E$53:$E$81,$E$21:$E$49,AK80)</f>
        <v>0.77368388388650255</v>
      </c>
      <c r="AL112" s="272">
        <f>_xll.xlInterp1D($E$53:$E$81,$E$21:$E$49,AL80)</f>
        <v>0.77388646227360991</v>
      </c>
      <c r="AM112" s="272">
        <f>_xll.xlInterp1D($E$53:$E$81,$E$21:$E$49,AM80)</f>
        <v>0.77368388388650255</v>
      </c>
      <c r="AN112" s="272">
        <f>_xll.xlInterp1D($E$53:$E$81,$E$21:$E$49,AN80)</f>
        <v>0.77388646227360991</v>
      </c>
      <c r="AO112" s="272">
        <f>_xll.xlInterp1D($E$53:$E$81,$E$21:$E$49,AO80)</f>
        <v>0.77388646227360991</v>
      </c>
      <c r="AP112" s="272">
        <f>_xll.xlInterp1D($E$53:$E$81,$E$21:$E$49,AP80)</f>
        <v>0.77388646227360991</v>
      </c>
    </row>
    <row r="113" spans="3:42" x14ac:dyDescent="0.2">
      <c r="C113" s="1" t="s">
        <v>164</v>
      </c>
      <c r="D113" s="3"/>
      <c r="E113" s="272">
        <f>_xll.xlShmInterpDisc(E$5,E81+0*TYPE(disc_refresh))</f>
        <v>0.92800538733951776</v>
      </c>
      <c r="F113" s="272">
        <f>_xll.xlInterp1D($E$53:$E$81,$E$21:$E$49,F81)</f>
        <v>0.74910437291747689</v>
      </c>
      <c r="G113" s="272">
        <f>_xll.xlInterp1D($E$53:$E$81,$E$21:$E$49,G81)</f>
        <v>0.74910437291747689</v>
      </c>
      <c r="H113" s="272">
        <f>_xll.xlInterp1D($E$53:$E$81,$E$21:$E$49,H81)</f>
        <v>0.74910437291747689</v>
      </c>
      <c r="I113" s="272">
        <f>_xll.xlInterp1D($E$53:$E$81,$E$21:$E$49,I81)</f>
        <v>0.74944200356265578</v>
      </c>
      <c r="J113" s="272">
        <f>_xll.xlInterp1D($E$53:$E$81,$E$21:$E$49,J81)</f>
        <v>0.74910437291747689</v>
      </c>
      <c r="K113" s="272">
        <f>_xll.xlInterp1D($E$53:$E$81,$E$21:$E$49,K81)</f>
        <v>0.74910437291747689</v>
      </c>
      <c r="L113" s="272">
        <f>_xll.xlInterp1D($E$53:$E$81,$E$21:$E$49,L81)</f>
        <v>0.74910437291747689</v>
      </c>
      <c r="M113" s="272">
        <f>_xll.xlInterp1D($E$53:$E$81,$E$21:$E$49,M81)</f>
        <v>0.74910437291747689</v>
      </c>
      <c r="N113" s="272">
        <f>_xll.xlInterp1D($E$53:$E$81,$E$21:$E$49,N81)</f>
        <v>0.74910437291747689</v>
      </c>
      <c r="O113" s="272">
        <f>_xll.xlInterp1D($E$53:$E$81,$E$21:$E$49,O81)</f>
        <v>0.74910437291747689</v>
      </c>
      <c r="P113" s="272">
        <f>_xll.xlInterp1D($E$53:$E$81,$E$21:$E$49,P81)</f>
        <v>0.74910437291747689</v>
      </c>
      <c r="Q113" s="272">
        <f>_xll.xlInterp1D($E$53:$E$81,$E$21:$E$49,Q81)</f>
        <v>0.74910437291747689</v>
      </c>
      <c r="R113" s="272">
        <f>_xll.xlInterp1D($E$53:$E$81,$E$21:$E$49,R81)</f>
        <v>0.74910437291747689</v>
      </c>
      <c r="S113" s="272">
        <f>_xll.xlInterp1D($E$53:$E$81,$E$21:$E$49,S81)</f>
        <v>0.74910437291747689</v>
      </c>
      <c r="T113" s="272">
        <f>_xll.xlInterp1D($E$53:$E$81,$E$21:$E$49,T81)</f>
        <v>0.74910437291747689</v>
      </c>
      <c r="U113" s="272">
        <f>_xll.xlInterp1D($E$53:$E$81,$E$21:$E$49,U81)</f>
        <v>0.74863169001422636</v>
      </c>
      <c r="V113" s="272">
        <f>_xll.xlInterp1D($E$53:$E$81,$E$21:$E$49,V81)</f>
        <v>0.74910437291747689</v>
      </c>
      <c r="W113" s="272">
        <f>_xll.xlInterp1D($E$53:$E$81,$E$21:$E$49,W81)</f>
        <v>0.74910437291747689</v>
      </c>
      <c r="X113" s="272">
        <f>_xll.xlInterp1D($E$53:$E$81,$E$21:$E$49,X81)</f>
        <v>0.74910437291747689</v>
      </c>
      <c r="Y113" s="272">
        <f>_xll.xlInterp1D($E$53:$E$81,$E$21:$E$49,Y81)</f>
        <v>0.74910437291747689</v>
      </c>
      <c r="Z113" s="272">
        <f>_xll.xlInterp1D($E$53:$E$81,$E$21:$E$49,Z81)</f>
        <v>0.74910437291747689</v>
      </c>
      <c r="AA113" s="272">
        <f>_xll.xlInterp1D($E$53:$E$81,$E$21:$E$49,AA81)</f>
        <v>0.74910437291747689</v>
      </c>
      <c r="AB113" s="272">
        <f>_xll.xlInterp1D($E$53:$E$81,$E$21:$E$49,AB81)</f>
        <v>0.74910437291747689</v>
      </c>
      <c r="AC113" s="272">
        <f>_xll.xlInterp1D($E$53:$E$81,$E$21:$E$49,AC81)</f>
        <v>0.74910437291747689</v>
      </c>
      <c r="AD113" s="272">
        <f>_xll.xlInterp1D($E$53:$E$81,$E$21:$E$49,AD81)</f>
        <v>0.74910437291747689</v>
      </c>
      <c r="AE113" s="272">
        <f>_xll.xlInterp1D($E$53:$E$81,$E$21:$E$49,AE81)</f>
        <v>0.74910437291747689</v>
      </c>
      <c r="AF113" s="272">
        <f>_xll.xlInterp1D($E$53:$E$81,$E$21:$E$49,AF81)</f>
        <v>0.74910437291747689</v>
      </c>
      <c r="AG113" s="272">
        <f>_xll.xlInterp1D($E$53:$E$81,$E$21:$E$49,AG81)</f>
        <v>0.74910437291747689</v>
      </c>
      <c r="AH113" s="272">
        <f>_xll.xlInterp1D($E$53:$E$81,$E$21:$E$49,AH81)</f>
        <v>0.74910437291747689</v>
      </c>
      <c r="AI113" s="272">
        <f>_xll.xlInterp1D($E$53:$E$81,$E$21:$E$49,AI81)</f>
        <v>0.74910437291747689</v>
      </c>
      <c r="AJ113" s="272">
        <f>_xll.xlInterp1D($E$53:$E$81,$E$21:$E$49,AJ81)</f>
        <v>0.74863169001422636</v>
      </c>
      <c r="AK113" s="272">
        <f>_xll.xlInterp1D($E$53:$E$81,$E$21:$E$49,AK81)</f>
        <v>0.74910437291747689</v>
      </c>
      <c r="AL113" s="272">
        <f>_xll.xlInterp1D($E$53:$E$81,$E$21:$E$49,AL81)</f>
        <v>0.74910437291747689</v>
      </c>
      <c r="AM113" s="272">
        <f>_xll.xlInterp1D($E$53:$E$81,$E$21:$E$49,AM81)</f>
        <v>0.74910437291747689</v>
      </c>
      <c r="AN113" s="272">
        <f>_xll.xlInterp1D($E$53:$E$81,$E$21:$E$49,AN81)</f>
        <v>0.74910437291747689</v>
      </c>
      <c r="AO113" s="272">
        <f>_xll.xlInterp1D($E$53:$E$81,$E$21:$E$49,AO81)</f>
        <v>0.74910437291747689</v>
      </c>
      <c r="AP113" s="272">
        <f>_xll.xlInterp1D($E$53:$E$81,$E$21:$E$49,AP81)</f>
        <v>0.74910437291747689</v>
      </c>
    </row>
    <row r="114" spans="3:42" x14ac:dyDescent="0.2"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</row>
    <row r="115" spans="3:42" x14ac:dyDescent="0.2">
      <c r="C115" s="4" t="s">
        <v>253</v>
      </c>
      <c r="D115" s="1" t="s">
        <v>308</v>
      </c>
      <c r="E115" s="1" t="b">
        <v>1</v>
      </c>
      <c r="F115" s="1" t="b">
        <v>1</v>
      </c>
      <c r="G115" s="1" t="b">
        <v>1</v>
      </c>
      <c r="H115" s="1" t="b">
        <v>1</v>
      </c>
      <c r="I115" s="1" t="b">
        <v>1</v>
      </c>
      <c r="J115" s="1" t="b">
        <v>1</v>
      </c>
      <c r="K115" s="1" t="b">
        <v>1</v>
      </c>
      <c r="L115" s="1" t="b">
        <v>1</v>
      </c>
      <c r="M115" s="1" t="b">
        <v>1</v>
      </c>
      <c r="N115" s="1" t="b">
        <v>1</v>
      </c>
      <c r="O115" s="1" t="b">
        <v>1</v>
      </c>
      <c r="P115" s="1" t="b">
        <v>1</v>
      </c>
      <c r="Q115" s="1" t="b">
        <v>1</v>
      </c>
      <c r="R115" s="1" t="b">
        <v>1</v>
      </c>
      <c r="S115" s="1" t="b">
        <v>1</v>
      </c>
      <c r="T115" s="1" t="b">
        <v>1</v>
      </c>
      <c r="U115" s="1" t="b">
        <v>1</v>
      </c>
      <c r="V115" s="1" t="b">
        <v>1</v>
      </c>
      <c r="W115" s="1" t="b">
        <v>1</v>
      </c>
      <c r="X115" s="1" t="b">
        <v>1</v>
      </c>
      <c r="Y115" s="1" t="b">
        <v>1</v>
      </c>
      <c r="Z115" s="1" t="b">
        <v>1</v>
      </c>
      <c r="AA115" s="1" t="b">
        <v>1</v>
      </c>
      <c r="AB115" s="1" t="b">
        <v>1</v>
      </c>
      <c r="AC115" s="1" t="b">
        <v>1</v>
      </c>
      <c r="AD115" s="1" t="b">
        <v>1</v>
      </c>
      <c r="AE115" s="1" t="b">
        <v>1</v>
      </c>
      <c r="AF115" s="1" t="b">
        <v>1</v>
      </c>
      <c r="AG115" s="1" t="b">
        <v>1</v>
      </c>
      <c r="AH115" s="1" t="b">
        <v>1</v>
      </c>
      <c r="AI115" s="1" t="b">
        <v>1</v>
      </c>
      <c r="AJ115" s="1" t="b">
        <v>1</v>
      </c>
      <c r="AK115" s="1" t="b">
        <v>1</v>
      </c>
      <c r="AL115" s="1" t="b">
        <v>1</v>
      </c>
      <c r="AM115" s="1" t="b">
        <v>1</v>
      </c>
      <c r="AN115" s="1" t="b">
        <v>1</v>
      </c>
      <c r="AO115" s="1" t="b">
        <v>1</v>
      </c>
      <c r="AP115" s="1" t="b">
        <v>1</v>
      </c>
    </row>
    <row r="116" spans="3:42" x14ac:dyDescent="0.2">
      <c r="C116" s="1" t="s">
        <v>254</v>
      </c>
      <c r="E116" s="1" t="s">
        <v>235</v>
      </c>
      <c r="F116" s="1" t="s">
        <v>235</v>
      </c>
      <c r="G116" s="1" t="s">
        <v>235</v>
      </c>
      <c r="H116" s="1" t="s">
        <v>235</v>
      </c>
      <c r="I116" s="1" t="s">
        <v>235</v>
      </c>
      <c r="J116" s="1" t="s">
        <v>235</v>
      </c>
      <c r="K116" s="1" t="s">
        <v>235</v>
      </c>
      <c r="L116" s="1" t="s">
        <v>235</v>
      </c>
      <c r="M116" s="1" t="s">
        <v>235</v>
      </c>
      <c r="N116" s="1" t="s">
        <v>235</v>
      </c>
      <c r="O116" s="1" t="s">
        <v>235</v>
      </c>
      <c r="P116" s="1" t="s">
        <v>235</v>
      </c>
      <c r="Q116" s="1" t="s">
        <v>235</v>
      </c>
      <c r="R116" s="1" t="s">
        <v>235</v>
      </c>
      <c r="S116" s="1" t="s">
        <v>235</v>
      </c>
      <c r="T116" s="1" t="s">
        <v>235</v>
      </c>
      <c r="U116" s="1" t="s">
        <v>235</v>
      </c>
      <c r="V116" s="1" t="s">
        <v>235</v>
      </c>
      <c r="W116" s="1" t="s">
        <v>235</v>
      </c>
      <c r="X116" s="1" t="s">
        <v>235</v>
      </c>
      <c r="Y116" s="1" t="s">
        <v>235</v>
      </c>
      <c r="Z116" s="1" t="s">
        <v>235</v>
      </c>
      <c r="AA116" s="1" t="s">
        <v>235</v>
      </c>
      <c r="AB116" s="1" t="s">
        <v>235</v>
      </c>
      <c r="AC116" s="1" t="s">
        <v>235</v>
      </c>
      <c r="AD116" s="1" t="s">
        <v>235</v>
      </c>
      <c r="AE116" s="1" t="s">
        <v>235</v>
      </c>
      <c r="AF116" s="1" t="s">
        <v>235</v>
      </c>
      <c r="AG116" s="1" t="s">
        <v>235</v>
      </c>
      <c r="AH116" s="1" t="s">
        <v>235</v>
      </c>
      <c r="AI116" s="1" t="s">
        <v>235</v>
      </c>
      <c r="AJ116" s="1" t="s">
        <v>235</v>
      </c>
      <c r="AK116" s="1" t="s">
        <v>235</v>
      </c>
      <c r="AL116" s="1" t="s">
        <v>235</v>
      </c>
      <c r="AM116" s="1" t="s">
        <v>235</v>
      </c>
      <c r="AN116" s="1" t="s">
        <v>235</v>
      </c>
      <c r="AO116" s="1" t="s">
        <v>235</v>
      </c>
      <c r="AP116" s="1" t="s">
        <v>235</v>
      </c>
    </row>
    <row r="117" spans="3:42" x14ac:dyDescent="0.2">
      <c r="C117" s="1" t="s">
        <v>17</v>
      </c>
      <c r="E117" s="1" t="s">
        <v>280</v>
      </c>
      <c r="F117" s="1" t="s">
        <v>280</v>
      </c>
      <c r="G117" s="1" t="s">
        <v>280</v>
      </c>
      <c r="H117" s="1" t="s">
        <v>280</v>
      </c>
      <c r="I117" s="1" t="s">
        <v>280</v>
      </c>
      <c r="J117" s="1" t="s">
        <v>280</v>
      </c>
      <c r="K117" s="1" t="s">
        <v>280</v>
      </c>
      <c r="L117" s="1" t="s">
        <v>280</v>
      </c>
      <c r="M117" s="1" t="s">
        <v>280</v>
      </c>
      <c r="N117" s="1" t="s">
        <v>280</v>
      </c>
      <c r="O117" s="1" t="s">
        <v>280</v>
      </c>
      <c r="P117" s="1" t="s">
        <v>280</v>
      </c>
      <c r="Q117" s="1" t="s">
        <v>280</v>
      </c>
      <c r="R117" s="1" t="s">
        <v>280</v>
      </c>
      <c r="S117" s="1" t="s">
        <v>280</v>
      </c>
      <c r="T117" s="1" t="s">
        <v>280</v>
      </c>
      <c r="U117" s="1" t="s">
        <v>280</v>
      </c>
      <c r="V117" s="1" t="s">
        <v>18</v>
      </c>
      <c r="W117" s="1" t="s">
        <v>280</v>
      </c>
      <c r="X117" s="1" t="s">
        <v>280</v>
      </c>
      <c r="Y117" s="1" t="s">
        <v>18</v>
      </c>
      <c r="Z117" s="1" t="s">
        <v>18</v>
      </c>
      <c r="AA117" s="1" t="s">
        <v>280</v>
      </c>
      <c r="AB117" s="1" t="s">
        <v>18</v>
      </c>
      <c r="AC117" s="1" t="s">
        <v>280</v>
      </c>
      <c r="AD117" s="1" t="s">
        <v>280</v>
      </c>
      <c r="AE117" s="1" t="s">
        <v>280</v>
      </c>
      <c r="AF117" s="1" t="s">
        <v>280</v>
      </c>
      <c r="AG117" s="1" t="s">
        <v>280</v>
      </c>
      <c r="AH117" s="1" t="s">
        <v>280</v>
      </c>
      <c r="AI117" s="1" t="s">
        <v>280</v>
      </c>
      <c r="AJ117" s="1" t="s">
        <v>280</v>
      </c>
      <c r="AK117" s="1" t="s">
        <v>280</v>
      </c>
      <c r="AL117" s="1" t="s">
        <v>280</v>
      </c>
      <c r="AM117" s="1" t="s">
        <v>280</v>
      </c>
      <c r="AN117" s="1" t="s">
        <v>280</v>
      </c>
      <c r="AO117" s="1" t="s">
        <v>280</v>
      </c>
      <c r="AP117" s="1" t="s">
        <v>280</v>
      </c>
    </row>
    <row r="118" spans="3:42" x14ac:dyDescent="0.2">
      <c r="C118" s="1" t="s">
        <v>281</v>
      </c>
      <c r="E118" s="291" t="s">
        <v>42</v>
      </c>
      <c r="F118" s="291" t="s">
        <v>42</v>
      </c>
      <c r="G118" s="291" t="s">
        <v>42</v>
      </c>
      <c r="H118" s="291" t="s">
        <v>42</v>
      </c>
      <c r="I118" s="291" t="s">
        <v>42</v>
      </c>
      <c r="J118" s="291" t="s">
        <v>42</v>
      </c>
      <c r="K118" s="291" t="s">
        <v>42</v>
      </c>
      <c r="L118" s="291" t="s">
        <v>42</v>
      </c>
      <c r="M118" s="291" t="s">
        <v>42</v>
      </c>
      <c r="N118" s="291" t="s">
        <v>42</v>
      </c>
      <c r="O118" s="291" t="s">
        <v>42</v>
      </c>
      <c r="P118" s="291" t="s">
        <v>42</v>
      </c>
      <c r="Q118" s="291" t="s">
        <v>42</v>
      </c>
      <c r="R118" s="291" t="s">
        <v>42</v>
      </c>
      <c r="S118" s="291" t="s">
        <v>42</v>
      </c>
      <c r="T118" s="291" t="s">
        <v>42</v>
      </c>
      <c r="U118" s="291" t="s">
        <v>42</v>
      </c>
      <c r="V118" s="1" t="s">
        <v>282</v>
      </c>
      <c r="W118" s="291" t="s">
        <v>42</v>
      </c>
      <c r="X118" s="291" t="s">
        <v>42</v>
      </c>
      <c r="Y118" s="1" t="s">
        <v>282</v>
      </c>
      <c r="Z118" s="1" t="s">
        <v>282</v>
      </c>
      <c r="AA118" s="291"/>
      <c r="AB118" s="1" t="s">
        <v>282</v>
      </c>
      <c r="AE118" s="1" t="s">
        <v>42</v>
      </c>
      <c r="AG118" s="1" t="s">
        <v>42</v>
      </c>
      <c r="AH118" s="1" t="s">
        <v>42</v>
      </c>
      <c r="AI118" s="1" t="s">
        <v>42</v>
      </c>
      <c r="AJ118" s="1" t="s">
        <v>42</v>
      </c>
      <c r="AK118" s="1" t="s">
        <v>42</v>
      </c>
      <c r="AL118" s="1" t="s">
        <v>42</v>
      </c>
      <c r="AM118" s="1" t="s">
        <v>42</v>
      </c>
      <c r="AN118" s="1" t="s">
        <v>42</v>
      </c>
      <c r="AO118" s="1" t="s">
        <v>42</v>
      </c>
    </row>
    <row r="119" spans="3:42" x14ac:dyDescent="0.2">
      <c r="C119" s="1" t="s">
        <v>243</v>
      </c>
      <c r="E119" s="1" t="s">
        <v>244</v>
      </c>
      <c r="F119" s="1" t="s">
        <v>244</v>
      </c>
    </row>
    <row r="120" spans="3:42" x14ac:dyDescent="0.2">
      <c r="C120" s="1" t="s">
        <v>287</v>
      </c>
      <c r="AA120" s="291" t="s">
        <v>288</v>
      </c>
      <c r="AB120" s="291"/>
      <c r="AC120" s="291" t="s">
        <v>291</v>
      </c>
      <c r="AD120" s="291" t="s">
        <v>299</v>
      </c>
      <c r="AE120" s="291"/>
      <c r="AF120" s="291" t="s">
        <v>300</v>
      </c>
      <c r="AG120" s="291"/>
      <c r="AH120" s="291"/>
      <c r="AI120" s="291"/>
      <c r="AJ120" s="291"/>
      <c r="AK120" s="291"/>
      <c r="AL120" s="291"/>
      <c r="AM120" s="291"/>
      <c r="AN120" s="291"/>
      <c r="AO120" s="291"/>
      <c r="AP120" s="291" t="s">
        <v>307</v>
      </c>
    </row>
    <row r="121" spans="3:42" x14ac:dyDescent="0.2">
      <c r="C121" s="1" t="s">
        <v>23</v>
      </c>
      <c r="E121" s="292">
        <f>(_xll.RtGet(E$117,E$3&amp;IF(E$117="DTSIMI1",,$C21)&amp;E$118&amp;E$119,"BID")+_xll.RtGet(E$117,E$3&amp;IF(E$117="DTSIMI1",,$C21)&amp;E$118&amp;E$119,"ASK"))/2</f>
        <v>0.78</v>
      </c>
      <c r="F121" s="292">
        <f>(_xll.RtGet(F$117,F$3&amp;IF(F$117="DTSIMI1",,$C21)&amp;F$118&amp;F$119,"BID")+_xll.RtGet(F$117,F$3&amp;IF(F$117="DTSIMI1",,$C21)&amp;F$118&amp;F$119,"ASK"))/2</f>
        <v>0.23</v>
      </c>
      <c r="G121" s="292">
        <f>(_xll.RtGet(G$117,G$3&amp;IF(G$117="DTSIMI1",,$C21)&amp;G$118&amp;G$119,"BID")+_xll.RtGet(G$117,G$3&amp;IF(G$117="DTSIMI1",,$C21)&amp;G$118&amp;G$119,"ASK"))/2</f>
        <v>-0.85000000000000009</v>
      </c>
      <c r="H121" s="292">
        <f>(_xll.RtGet(H$117,H$3&amp;IF(H$117="DTSIMI1",,$C21)&amp;H$118&amp;H$119,"BID")+_xll.RtGet(H$117,H$3&amp;IF(H$117="DTSIMI1",,$C21)&amp;H$118&amp;H$119,"ASK"))/2</f>
        <v>9.999999999999995E-3</v>
      </c>
      <c r="I121" s="292">
        <f>(_xll.RtGet(I$117,I$3&amp;IF(I$117="DTSIMI1",,$C21)&amp;I$118&amp;I$119,"BID")+_xll.RtGet(I$117,I$3&amp;IF(I$117="DTSIMI1",,$C21)&amp;I$118&amp;I$119,"ASK"))/2</f>
        <v>0.42500000000000004</v>
      </c>
      <c r="J121" s="292">
        <f>(_xll.RtGet(J$117,J$3&amp;IF(J$117="DTSIMI1",,$C21)&amp;J$118&amp;J$119,"BID")+_xll.RtGet(J$117,J$3&amp;IF(J$117="DTSIMI1",,$C21)&amp;J$118&amp;J$119,"ASK"))/2</f>
        <v>1.7750000000000001</v>
      </c>
      <c r="K121" s="292">
        <f>(_xll.RtGet(K$117,K$3&amp;IF(K$117="DTSIMI1",,$C21)&amp;K$118&amp;K$119,"BID")+_xll.RtGet(K$117,K$3&amp;IF(K$117="DTSIMI1",,$C21)&amp;K$118&amp;K$119,"ASK"))/2</f>
        <v>5.0000000000000017E-2</v>
      </c>
      <c r="L121" s="292">
        <f>(_xll.RtGet(L$117,L$3&amp;IF(L$117="DTSIMI1",,$C21)&amp;L$118&amp;L$119,"BID")+_xll.RtGet(L$117,L$3&amp;IF(L$117="DTSIMI1",,$C21)&amp;L$118&amp;L$119,"ASK"))/2</f>
        <v>0.22500000000000003</v>
      </c>
      <c r="M121" s="292">
        <f>(_xll.RtGet(M$117,M$3&amp;IF(M$117="DTSIMI1",,$C21)&amp;M$118&amp;M$119,"BID")+_xll.RtGet(M$117,M$3&amp;IF(M$117="DTSIMI1",,$C21)&amp;M$118&amp;M$119,"ASK"))/2</f>
        <v>-0.69500000000000006</v>
      </c>
      <c r="N121" s="292">
        <f>(_xll.RtGet(N$117,N$3&amp;IF(N$117="DTSIMI1",,$C21)&amp;N$118&amp;N$119,"BID")+_xll.RtGet(N$117,N$3&amp;IF(N$117="DTSIMI1",,$C21)&amp;N$118&amp;N$119,"ASK"))/2</f>
        <v>1.7550000000000001</v>
      </c>
      <c r="O121" s="292">
        <f>(_xll.RtGet(O$117,O$3&amp;IF(O$117="DTSIMI1",,$C21)&amp;O$118&amp;O$119,"BID")+_xll.RtGet(O$117,O$3&amp;IF(O$117="DTSIMI1",,$C21)&amp;O$118&amp;O$119,"ASK"))/2</f>
        <v>1.4</v>
      </c>
      <c r="P121" s="292">
        <f>(_xll.RtGet(P$117,P$3&amp;IF(P$117="DTSIMI1",,$C21)&amp;P$118&amp;P$119,"BID")+_xll.RtGet(P$117,P$3&amp;IF(P$117="DTSIMI1",,$C21)&amp;P$118&amp;P$119,"ASK"))/2</f>
        <v>-0.32999999999999996</v>
      </c>
      <c r="Q121" s="292">
        <f>(_xll.RtGet(Q$117,Q$3&amp;IF(Q$117="DTSIMI1",,$C21)&amp;Q$118&amp;Q$119,"BID")+_xll.RtGet(Q$117,Q$3&amp;IF(Q$117="DTSIMI1",,$C21)&amp;Q$118&amp;Q$119,"ASK"))/2</f>
        <v>6.8250000000000002</v>
      </c>
      <c r="R121" s="292">
        <f>(_xll.RtGet(R$117,R$3&amp;IF(R$117="DTSIMI1",,$C21)&amp;R$118&amp;R$119,"BID")+_xll.RtGet(R$117,R$3&amp;IF(R$117="DTSIMI1",,$C21)&amp;R$118&amp;R$119,"ASK"))/2</f>
        <v>8.5000000000000006E-2</v>
      </c>
      <c r="S121" s="292">
        <f>(_xll.RtGet(S$117,S$3&amp;IF(S$117="DTSIMI1",,$C21)&amp;S$118&amp;S$119,"BID")+_xll.RtGet(S$117,S$3&amp;IF(S$117="DTSIMI1",,$C21)&amp;S$118&amp;S$119,"ASK"))/2</f>
        <v>9.5</v>
      </c>
      <c r="T121" s="292">
        <f>(_xll.RtGet(T$117,T$3&amp;IF(T$117="DTSIMI1",,$C21)&amp;T$118&amp;T$119,"BID")+_xll.RtGet(T$117,T$3&amp;IF(T$117="DTSIMI1",,$C21)&amp;T$118&amp;T$119,"ASK"))/2</f>
        <v>0.13500000000000001</v>
      </c>
      <c r="U121" s="292">
        <f>(_xll.RtGet(U$117,U$3&amp;IF(U$117="DTSIMI1",,$C21)&amp;U$118&amp;U$119,"BID")+_xll.RtGet(U$117,U$3&amp;IF(U$117="DTSIMI1",,$C21)&amp;U$118&amp;U$119,"ASK"))/2</f>
        <v>1</v>
      </c>
      <c r="V121" s="292">
        <f>(_xll.RtGet(V$117,V$3&amp;IF(V$117="DTSIMI1",,$C21)&amp;V$118&amp;V$119,"BID")+_xll.RtGet(V$117,V$3&amp;IF(V$117="DTSIMI1",,$C21)&amp;V$118&amp;V$119,"ASK"))/2</f>
        <v>12.125733642</v>
      </c>
      <c r="W121" s="292">
        <f>(_xll.RtGet(W$117,W$3&amp;IF(W$117="DTSIMI1",,$C21)&amp;W$118&amp;W$119,"BID")+_xll.RtGet(W$117,W$3&amp;IF(W$117="DTSIMI1",,$C21)&amp;W$118&amp;W$119,"ASK"))/2</f>
        <v>10.1</v>
      </c>
      <c r="X121" s="292">
        <f>(_xll.RtGet(X$117,X$3&amp;IF(X$117="DTSIMI1",,$C21)&amp;X$118&amp;X$119,"BID")+_xll.RtGet(X$117,X$3&amp;IF(X$117="DTSIMI1",,$C21)&amp;X$118&amp;X$119,"ASK"))/2</f>
        <v>6.1750000000000007</v>
      </c>
      <c r="Y121" s="292">
        <f>(_xll.RtGet(Y$117,Y$3&amp;IF(Y$117="DTSIMI1",,$C21)&amp;Y$118&amp;Y$119,"BID")+_xll.RtGet(Y$117,Y$3&amp;IF(Y$117="DTSIMI1",,$C21)&amp;Y$118&amp;Y$119,"ASK"))/2</f>
        <v>7.1063497380000005</v>
      </c>
      <c r="Z121" s="292">
        <f>(_xll.RtGet(Z$117,Z$3&amp;IF(Z$117="DTSIMI1",,$C21)&amp;Z$118&amp;Z$119,"BID")+_xll.RtGet(Z$117,Z$3&amp;IF(Z$117="DTSIMI1",,$C21)&amp;Z$118&amp;Z$119,"ASK"))/2</f>
        <v>3.0566542999999999</v>
      </c>
      <c r="AA121" s="292">
        <f>IF(AA120&lt;&gt;"",(_xll.RtGet(AA117,AA120,"BID")+_xll.RtGet(AA117,AA120,"ASK"))/2,(_xll.RtGet(AA$117,AA$3&amp;IF(AA$117="DTSIMI1",,$C21)&amp;AA$118&amp;AA$119,"BID")+_xll.RtGet(AA$117,AA$3&amp;IF(AA$117="DTSIMI1",,$C21)&amp;AA$118&amp;AA$119,"ASK"))/2)</f>
        <v>0.49249999999999999</v>
      </c>
      <c r="AB121" s="292">
        <f>IF(AB120&lt;&gt;"",(_xll.RtGet(AB117,AB120,"BID")+_xll.RtGet(AB117,AB120,"ASK"))/2,(_xll.RtGet(AB$117,AB$3&amp;IF(AB$117="DTSIMI1",,$C21)&amp;AB$118&amp;AB$119,"BID")+_xll.RtGet(AB$117,AB$3&amp;IF(AB$117="DTSIMI1",,$C21)&amp;AB$118&amp;AB$119,"ASK"))/2)</f>
        <v>2.301514541</v>
      </c>
      <c r="AC121" s="292">
        <f>IF(AC120&lt;&gt;"",(_xll.RtGet(AC117,AC120,"BID")+_xll.RtGet(AC117,AC120,"ASK"))/2,(_xll.RtGet(AC$117,AC$3&amp;IF(AC$117="DTSIMI1",,$C21)&amp;AC$118&amp;AC$119,"BID")+_xll.RtGet(AC$117,AC$3&amp;IF(AC$117="DTSIMI1",,$C21)&amp;AC$118&amp;AC$119,"ASK"))/2)</f>
        <v>3.3609999999999998</v>
      </c>
      <c r="AD121" s="292">
        <f>IF(AD120&lt;&gt;"",(_xll.RtGet(AD117,AD120,"BID")+_xll.RtGet(AD117,AD120,"ASK"))/2,(_xll.RtGet(AD$117,AD$3&amp;IF(AD$117="DTSIMI1",,$C21)&amp;AD$118&amp;AD$119,"BID")+_xll.RtGet(AD$117,AD$3&amp;IF(AD$117="DTSIMI1",,$C21)&amp;AD$118&amp;AD$119,"ASK"))/2)</f>
        <v>6.6854999999999993</v>
      </c>
      <c r="AE121" s="292">
        <f>IF(AE120&lt;&gt;"",(_xll.RtGet(AE117,AE120,"BID")+_xll.RtGet(AE117,AE120,"ASK"))/2,(_xll.RtGet(AE$117,AE$3&amp;IF(AE$117="DTSIMI1",,$C21)&amp;AE$118&amp;AE$119,"BID")+_xll.RtGet(AE$117,AE$3&amp;IF(AE$117="DTSIMI1",,$C21)&amp;AE$118&amp;AE$119,"ASK"))/2)</f>
        <v>4.1500000000000004</v>
      </c>
      <c r="AF121" s="292">
        <f>IF(AF120&lt;&gt;"",(_xll.RtGet(AF117,AF120,"BID")+_xll.RtGet(AF117,AF120,"ASK"))/2,(_xll.RtGet(AF$117,AF$3&amp;IF(AF$117="DTSIMI1",,$C21)&amp;AF$118&amp;AF$119,"BID")+_xll.RtGet(AF$117,AF$3&amp;IF(AF$117="DTSIMI1",,$C21)&amp;AF$118&amp;AF$119,"ASK"))/2)</f>
        <v>4.9359999999999999</v>
      </c>
      <c r="AG121" s="292">
        <f>IF(AG120&lt;&gt;"",(_xll.RtGet(AG117,AG120,"BID")+_xll.RtGet(AG117,AG120,"ASK"))/2,(_xll.RtGet(AG$117,AG$3&amp;IF(AG$117="DTSIMI1",,$C21)&amp;AG$118&amp;AG$119,"BID")+_xll.RtGet(AG$117,AG$3&amp;IF(AG$117="DTSIMI1",,$C21)&amp;AG$118&amp;AG$119,"ASK"))/2)</f>
        <v>0.32500000000000001</v>
      </c>
      <c r="AH121" s="292">
        <f>IF(AH120&lt;&gt;"",(_xll.RtGet(AH117,AH120,"BID")+_xll.RtGet(AH117,AH120,"ASK"))/2,(_xll.RtGet(AH$117,AH$3&amp;IF(AH$117="DTSIMI1",,$C21)&amp;AH$118&amp;AH$119,"BID")+_xll.RtGet(AH$117,AH$3&amp;IF(AH$117="DTSIMI1",,$C21)&amp;AH$118&amp;AH$119,"ASK"))/2)</f>
        <v>0.1</v>
      </c>
      <c r="AI121" s="292">
        <f>IF(AI120&lt;&gt;"",(_xll.RtGet(AI117,AI120,"BID")+_xll.RtGet(AI117,AI120,"ASK"))/2,(_xll.RtGet(AI$117,AI$3&amp;IF(AI$117="DTSIMI1",,$C21)&amp;AI$118&amp;AI$119,"BID")+_xll.RtGet(AI$117,AI$3&amp;IF(AI$117="DTSIMI1",,$C21)&amp;AI$118&amp;AI$119,"ASK"))/2)</f>
        <v>2.9750000000000001</v>
      </c>
      <c r="AJ121" s="292">
        <f>IF(AJ120&lt;&gt;"",(_xll.RtGet(AJ117,AJ120,"BID")+_xll.RtGet(AJ117,AJ120,"ASK"))/2,(_xll.RtGet(AJ$117,AJ$3&amp;IF(AJ$117="DTSIMI1",,$C21)&amp;AJ$118&amp;AJ$119,"BID")+_xll.RtGet(AJ$117,AJ$3&amp;IF(AJ$117="DTSIMI1",,$C21)&amp;AJ$118&amp;AJ$119,"ASK"))/2)</f>
        <v>1</v>
      </c>
      <c r="AK121" s="292">
        <f>IF(AK120&lt;&gt;"",(_xll.RtGet(AK117,AK120,"BID")+_xll.RtGet(AK117,AK120,"ASK"))/2,(_xll.RtGet(AK$117,AK$3&amp;IF(AK$117="DTSIMI1",,$C21)&amp;AK$118&amp;AK$119,"BID")+_xll.RtGet(AK$117,AK$3&amp;IF(AK$117="DTSIMI1",,$C21)&amp;AK$118&amp;AK$119,"ASK"))/2)</f>
        <v>0.46</v>
      </c>
      <c r="AL121" s="292">
        <f>IF(AL120&lt;&gt;"",(_xll.RtGet(AL117,AL120,"BID")+_xll.RtGet(AL117,AL120,"ASK"))/2,(_xll.RtGet(AL$117,AL$3&amp;IF(AL$117="DTSIMI1",,$C21)&amp;AL$118&amp;AL$119,"BID")+_xll.RtGet(AL$117,AL$3&amp;IF(AL$117="DTSIMI1",,$C21)&amp;AL$118&amp;AL$119,"ASK"))/2)</f>
        <v>7.5</v>
      </c>
      <c r="AM121" s="292">
        <f>IF(AM120&lt;&gt;"",(_xll.RtGet(AM117,AM120,"BID")+_xll.RtGet(AM117,AM120,"ASK"))/2,(_xll.RtGet(AM$117,AM$3&amp;IF(AM$117="DTSIMI1",,$C21)&amp;AM$118&amp;AM$119,"BID")+_xll.RtGet(AM$117,AM$3&amp;IF(AM$117="DTSIMI1",,$C21)&amp;AM$118&amp;AM$119,"ASK"))/2)</f>
        <v>0.65</v>
      </c>
      <c r="AN121" s="292">
        <f>IF(AN120&lt;&gt;"",(_xll.RtGet(AN117,AN120,"BID")+_xll.RtGet(AN117,AN120,"ASK"))/2,(_xll.RtGet(AN$117,AN$3&amp;IF(AN$117="DTSIMI1",,$C21)&amp;AN$118&amp;AN$119,"BID")+_xll.RtGet(AN$117,AN$3&amp;IF(AN$117="DTSIMI1",,$C21)&amp;AN$118&amp;AN$119,"ASK"))/2)</f>
        <v>2.75</v>
      </c>
      <c r="AO121" s="292">
        <f>IF(AO120&lt;&gt;"",(_xll.RtGet(AO117,AO120,"BID")+_xll.RtGet(AO117,AO120,"ASK"))/2,(_xll.RtGet(AO$117,AO$3&amp;IF(AO$117="DTSIMI1",,$C21)&amp;AO$118&amp;AO$119,"BID")+_xll.RtGet(AO$117,AO$3&amp;IF(AO$117="DTSIMI1",,$C21)&amp;AO$118&amp;AO$119,"ASK"))/2)</f>
        <v>0.15500000000000003</v>
      </c>
      <c r="AP121" s="292">
        <f>IF(AP120&lt;&gt;"",(_xll.RtGet(AP117,AP120,"BID")+_xll.RtGet(AP117,AP120,"ASK"))/2,(_xll.RtGet(AP$117,AP$3&amp;IF(AP$117="DTSIMI1",,$C21)&amp;AP$118&amp;AP$119,"BID")+_xll.RtGet(AP$117,AP$3&amp;IF(AP$117="DTSIMI1",,$C21)&amp;AP$118&amp;AP$119,"ASK"))/2)</f>
        <v>1.7505000000000002</v>
      </c>
    </row>
    <row r="122" spans="3:42" x14ac:dyDescent="0.2">
      <c r="C122" s="1" t="s">
        <v>30</v>
      </c>
      <c r="E122" s="269">
        <f>(_xll.RtGet("IDN",E$3&amp;$C22&amp;"D="&amp;E$119,"BID")+_xll.RtGet("IDN",E$3&amp;$C22&amp;"D="&amp;E$119,"ASK"))/2</f>
        <v>0.82000000000000006</v>
      </c>
      <c r="F122" s="269">
        <f>(_xll.RtGet("IDN",F$3&amp;$C22&amp;"D="&amp;F$119,"BID")+_xll.RtGet("IDN",F$3&amp;$C22&amp;"D="&amp;F$119,"ASK"))/2</f>
        <v>0.23</v>
      </c>
      <c r="G122" s="269">
        <f>(_xll.RtGet("IDN",G$3&amp;$C22&amp;"D="&amp;G$119,"BID")+_xll.RtGet("IDN",G$3&amp;$C22&amp;"D="&amp;G$119,"ASK"))/2</f>
        <v>-0.83000000000000007</v>
      </c>
      <c r="H122" s="269">
        <f>(_xll.RtGet("IDN",H$3&amp;$C22&amp;"D="&amp;H$119,"BID")+_xll.RtGet("IDN",H$3&amp;$C22&amp;"D="&amp;H$119,"ASK"))/2</f>
        <v>0</v>
      </c>
      <c r="I122" s="269">
        <f>(_xll.RtGet("IDN",I$3&amp;$C22&amp;"D="&amp;I$119,"BID")+_xll.RtGet("IDN",I$3&amp;$C22&amp;"D="&amp;I$119,"ASK"))/2</f>
        <v>0.51500000000000001</v>
      </c>
      <c r="J122" s="269">
        <f>(_xll.RtGet("IDN",J$3&amp;$C22&amp;"D="&amp;J$119,"BID")+_xll.RtGet("IDN",J$3&amp;$C22&amp;"D="&amp;J$119,"ASK"))/2</f>
        <v>1.7750000000000001</v>
      </c>
      <c r="K122" s="269">
        <f>(_xll.RtGet("IDN",K$3&amp;$C22&amp;"D="&amp;K$119,"BID")+_xll.RtGet("IDN",K$3&amp;$C22&amp;"D="&amp;K$119,"ASK"))/2</f>
        <v>-0.75</v>
      </c>
      <c r="L122" s="269">
        <f>(_xll.RtGet("IDN",L$3&amp;$C22&amp;"D="&amp;L$119,"BID")+_xll.RtGet("IDN",L$3&amp;$C22&amp;"D="&amp;L$119,"ASK"))/2</f>
        <v>0.52500000000000002</v>
      </c>
      <c r="M122" s="269">
        <f>(_xll.RtGet("IDN",M$3&amp;$C22&amp;"D="&amp;M$119,"BID")+_xll.RtGet("IDN",M$3&amp;$C22&amp;"D="&amp;M$119,"ASK"))/2</f>
        <v>-0.55000000000000004</v>
      </c>
      <c r="N122" s="269">
        <f>(_xll.RtGet("IDN",N$3&amp;$C22&amp;"D="&amp;N$119,"BID")+_xll.RtGet("IDN",N$3&amp;$C22&amp;"D="&amp;N$119,"ASK"))/2</f>
        <v>1.7550000000000001</v>
      </c>
      <c r="O122" s="269">
        <f>(_xll.RtGet("IDN",O$3&amp;$C22&amp;"D="&amp;O$119,"BID")+_xll.RtGet("IDN",O$3&amp;$C22&amp;"D="&amp;O$119,"ASK"))/2</f>
        <v>1.2749999999999999</v>
      </c>
      <c r="P122" s="269">
        <f>(_xll.RtGet("IDN",P$3&amp;$C22&amp;"D="&amp;P$119,"BID")+_xll.RtGet("IDN",P$3&amp;$C22&amp;"D="&amp;P$119,"ASK"))/2</f>
        <v>-0.53</v>
      </c>
      <c r="Q122" s="269">
        <f>(_xll.RtGet("IDN",Q$3&amp;$C22&amp;"D="&amp;Q$119,"BID")+_xll.RtGet("IDN",Q$3&amp;$C22&amp;"D="&amp;Q$119,"ASK"))/2</f>
        <v>6.8250000000000002</v>
      </c>
      <c r="R122" s="269">
        <f>(_xll.RtGet("IDN",R$3&amp;$C22&amp;"D="&amp;R$119,"BID")+_xll.RtGet("IDN",R$3&amp;$C22&amp;"D="&amp;R$119,"ASK"))/2</f>
        <v>-0.15000000000000002</v>
      </c>
      <c r="S122" s="269">
        <f>(_xll.RtGet("IDN",S$3&amp;$C22&amp;"D="&amp;S$119,"BID")+_xll.RtGet("IDN",S$3&amp;$C22&amp;"D="&amp;S$119,"ASK"))/2</f>
        <v>9.3000000000000007</v>
      </c>
      <c r="T122" s="269">
        <f>(_xll.RtGet("IDN",T$3&amp;$C22&amp;"D="&amp;T$119,"BID")+_xll.RtGet("IDN",T$3&amp;$C22&amp;"D="&amp;T$119,"ASK"))/2</f>
        <v>0.13500000000000001</v>
      </c>
      <c r="U122" s="290">
        <f t="shared" ref="U122:AP122" si="116">U121</f>
        <v>1</v>
      </c>
      <c r="V122" s="290">
        <f t="shared" si="116"/>
        <v>12.125733642</v>
      </c>
      <c r="W122" s="290">
        <f t="shared" si="116"/>
        <v>10.1</v>
      </c>
      <c r="X122" s="290">
        <f t="shared" si="116"/>
        <v>6.1750000000000007</v>
      </c>
      <c r="Y122" s="290">
        <f t="shared" si="116"/>
        <v>7.1063497380000005</v>
      </c>
      <c r="Z122" s="290">
        <f t="shared" si="116"/>
        <v>3.0566542999999999</v>
      </c>
      <c r="AA122" s="290">
        <f t="shared" si="116"/>
        <v>0.49249999999999999</v>
      </c>
      <c r="AB122" s="290">
        <f t="shared" si="116"/>
        <v>2.301514541</v>
      </c>
      <c r="AC122" s="290">
        <f t="shared" si="116"/>
        <v>3.3609999999999998</v>
      </c>
      <c r="AD122" s="290">
        <f t="shared" si="116"/>
        <v>6.6854999999999993</v>
      </c>
      <c r="AE122" s="290">
        <f t="shared" si="116"/>
        <v>4.1500000000000004</v>
      </c>
      <c r="AF122" s="290">
        <f t="shared" si="116"/>
        <v>4.9359999999999999</v>
      </c>
      <c r="AG122" s="290">
        <f t="shared" si="116"/>
        <v>0.32500000000000001</v>
      </c>
      <c r="AH122" s="290">
        <f t="shared" si="116"/>
        <v>0.1</v>
      </c>
      <c r="AI122" s="290">
        <f t="shared" si="116"/>
        <v>2.9750000000000001</v>
      </c>
      <c r="AJ122" s="290">
        <f t="shared" si="116"/>
        <v>1</v>
      </c>
      <c r="AK122" s="290">
        <f t="shared" si="116"/>
        <v>0.46</v>
      </c>
      <c r="AL122" s="290">
        <f t="shared" si="116"/>
        <v>7.5</v>
      </c>
      <c r="AM122" s="290">
        <f t="shared" si="116"/>
        <v>0.65</v>
      </c>
      <c r="AN122" s="290">
        <f t="shared" si="116"/>
        <v>2.75</v>
      </c>
      <c r="AO122" s="290">
        <f t="shared" si="116"/>
        <v>0.15500000000000003</v>
      </c>
      <c r="AP122" s="290">
        <f t="shared" si="116"/>
        <v>1.7505000000000002</v>
      </c>
    </row>
    <row r="123" spans="3:42" x14ac:dyDescent="0.2">
      <c r="C123" s="1" t="s">
        <v>41</v>
      </c>
      <c r="E123" s="269">
        <f>(_xll.RtGet("IDN",E$3&amp;$C23&amp;"D="&amp;E$119,"BID")+_xll.RtGet("IDN",E$3&amp;$C23&amp;"D="&amp;E$119,"ASK"))/2</f>
        <v>0.81</v>
      </c>
      <c r="F123" s="269">
        <f>(_xll.RtGet("IDN",F$3&amp;$C23&amp;"D="&amp;F$119,"BID")+_xll.RtGet("IDN",F$3&amp;$C23&amp;"D="&amp;F$119,"ASK"))/2</f>
        <v>0.25</v>
      </c>
      <c r="G123" s="269">
        <f>(_xll.RtGet("IDN",G$3&amp;$C23&amp;"D="&amp;G$119,"BID")+_xll.RtGet("IDN",G$3&amp;$C23&amp;"D="&amp;G$119,"ASK"))/2</f>
        <v>-0.81500000000000006</v>
      </c>
      <c r="H123" s="269">
        <f>(_xll.RtGet("IDN",H$3&amp;$C23&amp;"D="&amp;H$119,"BID")+_xll.RtGet("IDN",H$3&amp;$C23&amp;"D="&amp;H$119,"ASK"))/2</f>
        <v>4.5000000000000005E-2</v>
      </c>
      <c r="I123" s="269">
        <f>(_xll.RtGet("IDN",I$3&amp;$C23&amp;"D="&amp;I$119,"BID")+_xll.RtGet("IDN",I$3&amp;$C23&amp;"D="&amp;I$119,"ASK"))/2</f>
        <v>0.52500000000000002</v>
      </c>
      <c r="J123" s="269">
        <f>(_xll.RtGet("IDN",J$3&amp;$C23&amp;"D="&amp;J$119,"BID")+_xll.RtGet("IDN",J$3&amp;$C23&amp;"D="&amp;J$119,"ASK"))/2</f>
        <v>1.625</v>
      </c>
      <c r="K123" s="269">
        <f>(_xll.RtGet("IDN",K$3&amp;$C23&amp;"D="&amp;K$119,"BID")+_xll.RtGet("IDN",K$3&amp;$C23&amp;"D="&amp;K$119,"ASK"))/2</f>
        <v>-0.6</v>
      </c>
      <c r="L123" s="269">
        <f>(_xll.RtGet("IDN",L$3&amp;$C23&amp;"D="&amp;L$119,"BID")+_xll.RtGet("IDN",L$3&amp;$C23&amp;"D="&amp;L$119,"ASK"))/2</f>
        <v>0.45</v>
      </c>
      <c r="M123" s="269">
        <f>(_xll.RtGet("IDN",M$3&amp;$C23&amp;"D="&amp;M$119,"BID")+_xll.RtGet("IDN",M$3&amp;$C23&amp;"D="&amp;M$119,"ASK"))/2</f>
        <v>-0.65</v>
      </c>
      <c r="N123" s="269">
        <f>(_xll.RtGet("IDN",N$3&amp;$C23&amp;"D="&amp;N$119,"BID")+_xll.RtGet("IDN",N$3&amp;$C23&amp;"D="&amp;N$119,"ASK"))/2</f>
        <v>1.7550000000000001</v>
      </c>
      <c r="O123" s="269">
        <f>(_xll.RtGet("IDN",O$3&amp;$C23&amp;"D="&amp;O$119,"BID")+_xll.RtGet("IDN",O$3&amp;$C23&amp;"D="&amp;O$119,"ASK"))/2</f>
        <v>1.2850000000000001</v>
      </c>
      <c r="P123" s="269">
        <f>(_xll.RtGet("IDN",P$3&amp;$C23&amp;"D="&amp;P$119,"BID")+_xll.RtGet("IDN",P$3&amp;$C23&amp;"D="&amp;P$119,"ASK"))/2</f>
        <v>0</v>
      </c>
      <c r="Q123" s="290">
        <f>Q122</f>
        <v>6.8250000000000002</v>
      </c>
      <c r="R123" s="290">
        <f>R122</f>
        <v>-0.15000000000000002</v>
      </c>
      <c r="S123" s="290">
        <f>S122</f>
        <v>9.3000000000000007</v>
      </c>
      <c r="T123" s="269">
        <f>(_xll.RtGet("IDN",T$3&amp;$C23&amp;"D="&amp;T$119,"BID")+_xll.RtGet("IDN",T$3&amp;$C23&amp;"D="&amp;T$119,"ASK"))/2</f>
        <v>0.13500000000000001</v>
      </c>
      <c r="U123" s="290">
        <f t="shared" ref="U123:AP123" si="117">U121</f>
        <v>1</v>
      </c>
      <c r="V123" s="290">
        <f t="shared" si="117"/>
        <v>12.125733642</v>
      </c>
      <c r="W123" s="290">
        <f t="shared" si="117"/>
        <v>10.1</v>
      </c>
      <c r="X123" s="290">
        <f t="shared" si="117"/>
        <v>6.1750000000000007</v>
      </c>
      <c r="Y123" s="290">
        <f t="shared" si="117"/>
        <v>7.1063497380000005</v>
      </c>
      <c r="Z123" s="290">
        <f t="shared" si="117"/>
        <v>3.0566542999999999</v>
      </c>
      <c r="AA123" s="290">
        <f t="shared" si="117"/>
        <v>0.49249999999999999</v>
      </c>
      <c r="AB123" s="290">
        <f t="shared" si="117"/>
        <v>2.301514541</v>
      </c>
      <c r="AC123" s="290">
        <f t="shared" si="117"/>
        <v>3.3609999999999998</v>
      </c>
      <c r="AD123" s="290">
        <f t="shared" si="117"/>
        <v>6.6854999999999993</v>
      </c>
      <c r="AE123" s="290">
        <f t="shared" si="117"/>
        <v>4.1500000000000004</v>
      </c>
      <c r="AF123" s="290">
        <f t="shared" si="117"/>
        <v>4.9359999999999999</v>
      </c>
      <c r="AG123" s="290">
        <f t="shared" si="117"/>
        <v>0.32500000000000001</v>
      </c>
      <c r="AH123" s="290">
        <f t="shared" si="117"/>
        <v>0.1</v>
      </c>
      <c r="AI123" s="290">
        <f t="shared" si="117"/>
        <v>2.9750000000000001</v>
      </c>
      <c r="AJ123" s="290">
        <f t="shared" si="117"/>
        <v>1</v>
      </c>
      <c r="AK123" s="290">
        <f t="shared" si="117"/>
        <v>0.46</v>
      </c>
      <c r="AL123" s="290">
        <f t="shared" si="117"/>
        <v>7.5</v>
      </c>
      <c r="AM123" s="290">
        <f t="shared" si="117"/>
        <v>0.65</v>
      </c>
      <c r="AN123" s="290">
        <f t="shared" si="117"/>
        <v>2.75</v>
      </c>
      <c r="AO123" s="290">
        <f t="shared" si="117"/>
        <v>0.15500000000000003</v>
      </c>
      <c r="AP123" s="290">
        <f t="shared" si="117"/>
        <v>1.7505000000000002</v>
      </c>
    </row>
    <row r="124" spans="3:42" x14ac:dyDescent="0.2">
      <c r="C124" s="1" t="s">
        <v>92</v>
      </c>
      <c r="E124" s="270">
        <v>2.73</v>
      </c>
      <c r="F124" s="270">
        <v>1.47</v>
      </c>
      <c r="G124" s="270">
        <v>-3.3499999999999996</v>
      </c>
      <c r="H124" s="270">
        <v>-1.9449999999999998</v>
      </c>
      <c r="I124" s="270">
        <v>-0.56000000000000005</v>
      </c>
      <c r="J124" s="270">
        <v>-1.355</v>
      </c>
      <c r="K124" s="270">
        <v>-19.36</v>
      </c>
      <c r="L124" s="270">
        <v>-5.2949999999999999</v>
      </c>
      <c r="M124" s="270">
        <v>-25.46</v>
      </c>
      <c r="N124" s="270">
        <v>-1.5049999999999999</v>
      </c>
      <c r="O124" s="270">
        <v>4.6050000000000004</v>
      </c>
      <c r="P124" s="270">
        <v>-5.29</v>
      </c>
      <c r="Q124" s="270">
        <v>171.75</v>
      </c>
      <c r="R124" s="270">
        <v>-5.5</v>
      </c>
      <c r="S124" s="270">
        <v>62.454999999999998</v>
      </c>
      <c r="T124" s="270">
        <v>-11.25</v>
      </c>
      <c r="U124" s="270">
        <v>117.23500000000001</v>
      </c>
      <c r="V124" s="270">
        <v>69.5</v>
      </c>
      <c r="W124" s="270">
        <v>1013.1500000000001</v>
      </c>
      <c r="X124" s="270">
        <v>5.4999999999999716</v>
      </c>
      <c r="Y124" s="270">
        <v>215.5</v>
      </c>
      <c r="Z124" s="270">
        <v>-1.4</v>
      </c>
      <c r="AA124" s="270">
        <v>-0.80000000000006821</v>
      </c>
      <c r="AB124" s="270">
        <v>0.25</v>
      </c>
      <c r="AC124" s="270">
        <v>0.37</v>
      </c>
      <c r="AD124" s="270">
        <v>4.6150000000000002</v>
      </c>
      <c r="AE124" s="270">
        <v>-8</v>
      </c>
      <c r="AF124" s="270">
        <v>25.857142857142861</v>
      </c>
      <c r="AG124" s="270">
        <v>-5.3919999999999995</v>
      </c>
      <c r="AH124" s="270">
        <v>-6.39</v>
      </c>
      <c r="AI124" s="270">
        <v>42.49999999999865</v>
      </c>
      <c r="AJ124" s="270">
        <v>120</v>
      </c>
      <c r="AK124" s="270">
        <v>-0.5</v>
      </c>
      <c r="AL124" s="270">
        <v>44.857142857143884</v>
      </c>
      <c r="AM124" s="270">
        <v>-9.9999999999999978E-2</v>
      </c>
      <c r="AN124" s="270">
        <v>-10486.928571428572</v>
      </c>
      <c r="AO124" s="270">
        <v>-3.0999999999998806E-2</v>
      </c>
      <c r="AP124" s="270">
        <v>-7.0000000000014495E-3</v>
      </c>
    </row>
    <row r="125" spans="3:42" x14ac:dyDescent="0.2">
      <c r="C125" s="1" t="s">
        <v>55</v>
      </c>
      <c r="E125" s="271">
        <v>6.4</v>
      </c>
      <c r="F125" s="271">
        <v>3.7050000000000001</v>
      </c>
      <c r="G125" s="271">
        <v>-7.28</v>
      </c>
      <c r="H125" s="271">
        <v>-4.9000000000000004</v>
      </c>
      <c r="I125" s="271">
        <v>-1.4750000000000001</v>
      </c>
      <c r="J125" s="271">
        <v>-2.6749999999999998</v>
      </c>
      <c r="K125" s="1">
        <v>-43.204999999999998</v>
      </c>
      <c r="L125" s="1">
        <v>-11.07</v>
      </c>
      <c r="M125" s="1">
        <v>-59</v>
      </c>
      <c r="N125" s="271">
        <v>-3.01</v>
      </c>
      <c r="O125" s="1">
        <v>9.120000000000001</v>
      </c>
      <c r="P125" s="1">
        <v>-10.725</v>
      </c>
      <c r="Q125" s="1">
        <v>347.5</v>
      </c>
      <c r="R125" s="1">
        <v>-16.25</v>
      </c>
      <c r="S125" s="1">
        <v>129.715</v>
      </c>
      <c r="T125" s="1">
        <v>-16.2</v>
      </c>
      <c r="U125" s="1">
        <v>150.79975000000002</v>
      </c>
      <c r="V125" s="1">
        <v>135.3175</v>
      </c>
      <c r="W125" s="1">
        <v>2008.85</v>
      </c>
      <c r="X125" s="1">
        <v>11.041666666666778</v>
      </c>
      <c r="Y125" s="1">
        <v>471.70000000000005</v>
      </c>
      <c r="Z125" s="1">
        <v>-1.9</v>
      </c>
      <c r="AA125" s="1">
        <v>-0.82608695652178366</v>
      </c>
      <c r="AB125" s="1">
        <v>0.54166666666666674</v>
      </c>
      <c r="AC125" s="1">
        <v>0.67999999999999994</v>
      </c>
      <c r="AD125" s="1">
        <v>8.01</v>
      </c>
      <c r="AE125" s="1">
        <v>2.2083333333333339</v>
      </c>
      <c r="AF125" s="1">
        <v>53.607142857142861</v>
      </c>
      <c r="AG125" s="1">
        <v>-13.167549999999999</v>
      </c>
      <c r="AH125" s="1">
        <v>-13.174166666666666</v>
      </c>
      <c r="AI125" s="1">
        <v>54.239130434782865</v>
      </c>
      <c r="AJ125" s="1">
        <v>157.11000000000001</v>
      </c>
      <c r="AK125" s="1">
        <v>1.3958333333333333</v>
      </c>
      <c r="AL125" s="1">
        <v>70.857142857143685</v>
      </c>
      <c r="AM125" s="1">
        <v>0</v>
      </c>
      <c r="AN125" s="1">
        <v>-10874.428571428571</v>
      </c>
      <c r="AO125" s="1">
        <v>-3.3380952380951387E-2</v>
      </c>
      <c r="AP125" s="1">
        <v>3.9199999999998313E-2</v>
      </c>
    </row>
    <row r="126" spans="3:42" x14ac:dyDescent="0.2">
      <c r="C126" s="1" t="s">
        <v>63</v>
      </c>
      <c r="E126" s="271">
        <v>9.39</v>
      </c>
      <c r="F126" s="271">
        <v>5.4250000000000007</v>
      </c>
      <c r="G126" s="271">
        <v>-10.85</v>
      </c>
      <c r="H126" s="271">
        <v>-7.33</v>
      </c>
      <c r="I126" s="271">
        <v>-2.4000000000000004</v>
      </c>
      <c r="J126" s="271">
        <v>-3.96</v>
      </c>
      <c r="K126" s="1">
        <v>-64.314999999999998</v>
      </c>
      <c r="L126" s="1">
        <v>-16</v>
      </c>
      <c r="M126" s="1">
        <v>-88.509999999999991</v>
      </c>
      <c r="N126" s="271">
        <v>-4.5500000000000007</v>
      </c>
      <c r="O126" s="1">
        <v>13.855</v>
      </c>
      <c r="P126" s="1">
        <v>-17.014705882352942</v>
      </c>
      <c r="Q126" s="1">
        <v>525.40000000000009</v>
      </c>
      <c r="R126" s="1">
        <v>-29.324999999999999</v>
      </c>
      <c r="S126" s="1">
        <v>199.14999999999998</v>
      </c>
      <c r="T126" s="1">
        <v>-22.225000000000001</v>
      </c>
      <c r="U126" s="1">
        <v>229.11750000000001</v>
      </c>
      <c r="V126" s="1">
        <v>201.13499999999999</v>
      </c>
      <c r="W126" s="1">
        <v>2936.9722222222226</v>
      </c>
      <c r="X126" s="1">
        <v>16.583333333333584</v>
      </c>
      <c r="Y126" s="1">
        <v>632.5</v>
      </c>
      <c r="Z126" s="1">
        <v>-2.25</v>
      </c>
      <c r="AA126" s="1">
        <v>-0.8565217391304516</v>
      </c>
      <c r="AB126" s="1">
        <v>0.875</v>
      </c>
      <c r="AC126" s="1">
        <v>0.97647058823529398</v>
      </c>
      <c r="AD126" s="1">
        <v>12.354117647058825</v>
      </c>
      <c r="AE126" s="1">
        <v>12.416666666666668</v>
      </c>
      <c r="AF126" s="1">
        <v>81.357142857142861</v>
      </c>
      <c r="AG126" s="1">
        <v>-19.396899999999999</v>
      </c>
      <c r="AH126" s="1">
        <v>-19.958333333333332</v>
      </c>
      <c r="AI126" s="1">
        <v>67.934782608697788</v>
      </c>
      <c r="AJ126" s="1">
        <v>235</v>
      </c>
      <c r="AK126" s="1">
        <v>3.2916666666666665</v>
      </c>
      <c r="AL126" s="1">
        <v>96.857142857143486</v>
      </c>
      <c r="AM126" s="1">
        <v>1.75</v>
      </c>
      <c r="AN126" s="1">
        <v>-11261.928571428569</v>
      </c>
      <c r="AO126" s="1">
        <v>-3.7547619047618414E-2</v>
      </c>
      <c r="AP126" s="1">
        <v>8.5399999999998075E-2</v>
      </c>
    </row>
    <row r="127" spans="3:42" x14ac:dyDescent="0.2">
      <c r="C127" s="1" t="s">
        <v>66</v>
      </c>
      <c r="E127" s="271">
        <v>13.675000000000001</v>
      </c>
      <c r="F127" s="271">
        <v>7.83</v>
      </c>
      <c r="G127" s="271">
        <v>-16.3</v>
      </c>
      <c r="H127" s="271">
        <v>-11.149999999999999</v>
      </c>
      <c r="I127" s="271">
        <v>-4</v>
      </c>
      <c r="J127" s="271">
        <v>-5.79</v>
      </c>
      <c r="K127" s="1">
        <v>-98.734999999999999</v>
      </c>
      <c r="L127" s="1">
        <v>-21</v>
      </c>
      <c r="M127" s="1">
        <v>-131.02500000000001</v>
      </c>
      <c r="N127" s="271">
        <v>-6.7249999999999996</v>
      </c>
      <c r="O127" s="1">
        <v>20.405000000000001</v>
      </c>
      <c r="P127" s="1">
        <v>-26</v>
      </c>
      <c r="Q127" s="1">
        <v>779.45</v>
      </c>
      <c r="R127" s="1">
        <v>-50.974999999999994</v>
      </c>
      <c r="S127" s="1">
        <v>310.72000000000003</v>
      </c>
      <c r="T127" s="1">
        <v>-32</v>
      </c>
      <c r="U127" s="1">
        <v>341</v>
      </c>
      <c r="V127" s="1">
        <v>295.15999999999997</v>
      </c>
      <c r="W127" s="1">
        <v>4395.4500000000007</v>
      </c>
      <c r="X127" s="1">
        <v>24.500000000000455</v>
      </c>
      <c r="Y127" s="1">
        <v>1013.25</v>
      </c>
      <c r="Z127" s="1">
        <v>-2.89</v>
      </c>
      <c r="AA127" s="1">
        <v>-0.89999999999997726</v>
      </c>
      <c r="AB127" s="1">
        <v>1.25</v>
      </c>
      <c r="AC127" s="1">
        <v>1.4</v>
      </c>
      <c r="AD127" s="1">
        <v>18.560000000000002</v>
      </c>
      <c r="AE127" s="1">
        <v>27</v>
      </c>
      <c r="AF127" s="1">
        <v>121</v>
      </c>
      <c r="AG127" s="1">
        <v>-25.463349999999998</v>
      </c>
      <c r="AH127" s="1">
        <v>-29.65</v>
      </c>
      <c r="AI127" s="1">
        <v>87.500000000004803</v>
      </c>
      <c r="AJ127" s="1">
        <v>340</v>
      </c>
      <c r="AK127" s="1">
        <v>6</v>
      </c>
      <c r="AL127" s="1">
        <v>134.00000000000034</v>
      </c>
      <c r="AM127" s="1">
        <v>5</v>
      </c>
      <c r="AN127" s="1">
        <v>-11815.499999999996</v>
      </c>
      <c r="AO127" s="1">
        <v>-4.3499999999999872E-2</v>
      </c>
      <c r="AP127" s="1">
        <v>0.1579999999999977</v>
      </c>
    </row>
    <row r="128" spans="3:42" x14ac:dyDescent="0.2">
      <c r="C128" s="1" t="s">
        <v>71</v>
      </c>
      <c r="E128" s="271">
        <v>26.435000000000002</v>
      </c>
      <c r="F128" s="271">
        <v>14.765000000000001</v>
      </c>
      <c r="G128" s="271">
        <v>-31.46</v>
      </c>
      <c r="H128" s="271">
        <v>-22.07</v>
      </c>
      <c r="I128" s="271">
        <v>-7.754999999999999</v>
      </c>
      <c r="J128" s="271">
        <v>-10.8</v>
      </c>
      <c r="K128" s="1">
        <v>-191.125</v>
      </c>
      <c r="L128" s="1">
        <v>-37</v>
      </c>
      <c r="M128" s="1">
        <v>-246</v>
      </c>
      <c r="N128" s="271">
        <v>-12.885</v>
      </c>
      <c r="O128" s="1">
        <v>37.69</v>
      </c>
      <c r="P128" s="1">
        <v>-47</v>
      </c>
      <c r="Q128" s="1">
        <v>1503.5</v>
      </c>
      <c r="R128" s="1">
        <v>-112.875</v>
      </c>
      <c r="S128" s="1">
        <v>583.24499999999989</v>
      </c>
      <c r="T128" s="1">
        <v>-57.75</v>
      </c>
      <c r="U128" s="1">
        <v>658.26</v>
      </c>
      <c r="V128" s="1">
        <v>510</v>
      </c>
      <c r="W128" s="1">
        <v>7857.2999999999993</v>
      </c>
      <c r="X128" s="1">
        <v>47.000000000000597</v>
      </c>
      <c r="Y128" s="1">
        <v>1904.5</v>
      </c>
      <c r="Z128" s="1">
        <v>-5.2949999999999999</v>
      </c>
      <c r="AA128" s="1">
        <v>-0.78999999999996362</v>
      </c>
      <c r="AB128" s="1">
        <v>2.125</v>
      </c>
      <c r="AC128" s="1">
        <v>2.66</v>
      </c>
      <c r="AD128" s="1">
        <v>29.75</v>
      </c>
      <c r="AE128" s="1">
        <v>77</v>
      </c>
      <c r="AF128" s="1">
        <v>232</v>
      </c>
      <c r="AG128" s="1">
        <v>-48.885300000000001</v>
      </c>
      <c r="AH128" s="1">
        <v>-61.895000000000003</v>
      </c>
      <c r="AI128" s="1">
        <v>157.50000000000153</v>
      </c>
      <c r="AJ128" s="1">
        <v>642.5</v>
      </c>
      <c r="AK128" s="1">
        <v>8.5</v>
      </c>
      <c r="AL128" s="1">
        <v>237.99999999999955</v>
      </c>
      <c r="AM128" s="1">
        <v>12</v>
      </c>
      <c r="AN128" s="1">
        <v>-13365.499999999991</v>
      </c>
      <c r="AO128" s="1">
        <v>-7.2999999999998622E-2</v>
      </c>
      <c r="AP128" s="1">
        <v>0.31800000000000139</v>
      </c>
    </row>
    <row r="129" spans="3:42" x14ac:dyDescent="0.2">
      <c r="C129" s="1" t="s">
        <v>77</v>
      </c>
      <c r="E129" s="271">
        <v>48.44</v>
      </c>
      <c r="F129" s="271">
        <v>28.545000000000002</v>
      </c>
      <c r="G129" s="271">
        <v>-55.93</v>
      </c>
      <c r="H129" s="271">
        <v>-47.965000000000003</v>
      </c>
      <c r="I129" s="271">
        <v>-13.385</v>
      </c>
      <c r="J129" s="271">
        <v>-16.335000000000001</v>
      </c>
      <c r="K129" s="1">
        <v>-345.40499999999997</v>
      </c>
      <c r="L129" s="1">
        <v>-65.849999999999994</v>
      </c>
      <c r="M129" s="1">
        <v>-441</v>
      </c>
      <c r="N129" s="271">
        <v>-19.375</v>
      </c>
      <c r="O129" s="1">
        <v>57.204999999999998</v>
      </c>
      <c r="P129" s="1">
        <v>-77.25</v>
      </c>
      <c r="Q129" s="1">
        <v>2324.5</v>
      </c>
      <c r="R129" s="1">
        <v>-225.1</v>
      </c>
      <c r="S129" s="1">
        <v>901.01499999999999</v>
      </c>
      <c r="T129" s="1">
        <v>-80</v>
      </c>
      <c r="U129" s="1">
        <v>923.26</v>
      </c>
      <c r="V129" s="1">
        <v>778.33999999999992</v>
      </c>
      <c r="W129" s="1">
        <v>11451.8</v>
      </c>
      <c r="X129" s="1">
        <v>75.500000000000256</v>
      </c>
      <c r="Y129" s="1">
        <v>2899</v>
      </c>
      <c r="Z129" s="1">
        <v>-7</v>
      </c>
      <c r="AA129" s="1">
        <v>-0.92999999999994998</v>
      </c>
      <c r="AB129" s="1">
        <v>3.125</v>
      </c>
      <c r="AC129" s="1">
        <v>3.9299999999999997</v>
      </c>
      <c r="AD129" s="1">
        <v>47.3</v>
      </c>
      <c r="AE129" s="1">
        <v>142</v>
      </c>
      <c r="AF129" s="1">
        <v>359</v>
      </c>
      <c r="AG129" s="1">
        <v>-100.0257</v>
      </c>
      <c r="AH129" s="1">
        <v>-103.97499999999999</v>
      </c>
      <c r="AI129" s="1">
        <v>237.50000000000159</v>
      </c>
      <c r="AJ129" s="1">
        <v>910</v>
      </c>
      <c r="AK129" s="1">
        <v>21.5</v>
      </c>
      <c r="AL129" s="1">
        <v>336.99999999999903</v>
      </c>
      <c r="AM129" s="1">
        <v>21</v>
      </c>
      <c r="AN129" s="1">
        <v>-10265.500000000004</v>
      </c>
      <c r="AO129" s="1">
        <v>-9.3499999999998806E-2</v>
      </c>
      <c r="AP129" s="1">
        <v>0.48300000000000054</v>
      </c>
    </row>
    <row r="130" spans="3:42" x14ac:dyDescent="0.2">
      <c r="C130" s="1" t="s">
        <v>82</v>
      </c>
      <c r="E130" s="271">
        <v>62.954999999999998</v>
      </c>
      <c r="F130" s="271">
        <v>36.665000000000006</v>
      </c>
      <c r="G130" s="271">
        <v>-73.150000000000006</v>
      </c>
      <c r="H130" s="271">
        <v>-62.65</v>
      </c>
      <c r="I130" s="271">
        <v>-18.689999999999998</v>
      </c>
      <c r="J130" s="271">
        <v>-21.145</v>
      </c>
      <c r="K130" s="1">
        <v>-450.96000000000004</v>
      </c>
      <c r="L130" s="1">
        <v>-87.5</v>
      </c>
      <c r="M130" s="1">
        <v>-567</v>
      </c>
      <c r="N130" s="271">
        <v>-25.52</v>
      </c>
      <c r="O130" s="1">
        <v>71.174999999999997</v>
      </c>
      <c r="P130" s="1">
        <v>-103.69499999999999</v>
      </c>
      <c r="Q130" s="1">
        <v>3063.95</v>
      </c>
      <c r="R130" s="1">
        <v>-309.45</v>
      </c>
      <c r="S130" s="1">
        <v>1238.3050000000001</v>
      </c>
      <c r="T130" s="1">
        <v>-89.5</v>
      </c>
      <c r="U130" s="1">
        <v>1112.8737912087913</v>
      </c>
      <c r="V130" s="1">
        <v>1001.1492307692307</v>
      </c>
      <c r="W130" s="1">
        <v>15368.52967032967</v>
      </c>
      <c r="X130" s="1">
        <v>100.19780219780242</v>
      </c>
      <c r="Y130" s="1">
        <v>3872.8901098901097</v>
      </c>
      <c r="Z130" s="1">
        <v>-8.42</v>
      </c>
      <c r="AA130" s="1">
        <v>-1.1753846153845595</v>
      </c>
      <c r="AB130" s="1">
        <v>4.3598901098901095</v>
      </c>
      <c r="AC130" s="1">
        <v>5.3000000000000007</v>
      </c>
      <c r="AD130" s="1">
        <v>63.949999999999996</v>
      </c>
      <c r="AE130" s="1">
        <v>202.66666666666666</v>
      </c>
      <c r="AF130" s="1">
        <v>470.85714285714289</v>
      </c>
      <c r="AG130" s="1">
        <v>-126.07300604395604</v>
      </c>
      <c r="AH130" s="1">
        <v>-143.43412087912088</v>
      </c>
      <c r="AI130" s="1">
        <v>322.9065934065955</v>
      </c>
      <c r="AJ130" s="1">
        <v>1100</v>
      </c>
      <c r="AK130" s="1">
        <v>28.035</v>
      </c>
      <c r="AL130" s="1">
        <v>401.05494505494426</v>
      </c>
      <c r="AM130" s="1">
        <v>37.153846153846153</v>
      </c>
      <c r="AN130" s="1">
        <v>-9381.1593406593383</v>
      </c>
      <c r="AO130" s="1">
        <v>-0.12202197802197659</v>
      </c>
      <c r="AP130" s="1">
        <v>0.61662637362637385</v>
      </c>
    </row>
    <row r="131" spans="3:42" x14ac:dyDescent="0.2">
      <c r="C131" s="1" t="s">
        <v>85</v>
      </c>
      <c r="E131" s="271">
        <v>78.569999999999993</v>
      </c>
      <c r="F131" s="271">
        <v>45.244999999999997</v>
      </c>
      <c r="G131" s="271">
        <v>-92.1</v>
      </c>
      <c r="H131" s="271">
        <v>-78.349999999999994</v>
      </c>
      <c r="I131" s="271">
        <v>-23.25</v>
      </c>
      <c r="J131" s="271">
        <v>-25.97</v>
      </c>
      <c r="K131" s="1">
        <v>-559.62</v>
      </c>
      <c r="L131" s="1">
        <v>-113</v>
      </c>
      <c r="M131" s="1">
        <v>-720.60500000000002</v>
      </c>
      <c r="N131" s="271">
        <v>-31.945</v>
      </c>
      <c r="O131" s="1">
        <v>83.93</v>
      </c>
      <c r="P131" s="1">
        <v>-131.5</v>
      </c>
      <c r="Q131" s="1">
        <v>3852.6000000000004</v>
      </c>
      <c r="R131" s="1">
        <v>-399.72500000000002</v>
      </c>
      <c r="S131" s="1">
        <v>1546.6100000000001</v>
      </c>
      <c r="T131" s="1">
        <v>-98.97999999999999</v>
      </c>
      <c r="U131" s="1">
        <v>1315.5643956043957</v>
      </c>
      <c r="V131" s="1">
        <v>1239.3246153846153</v>
      </c>
      <c r="W131" s="1">
        <v>18918.065934065933</v>
      </c>
      <c r="X131" s="1">
        <v>126.59890109890127</v>
      </c>
      <c r="Y131" s="1">
        <v>4913.9450549450548</v>
      </c>
      <c r="Z131" s="1">
        <v>-9.3000000000000007</v>
      </c>
      <c r="AA131" s="1">
        <v>-1.4376923076922457</v>
      </c>
      <c r="AB131" s="1">
        <v>5.6799450549450547</v>
      </c>
      <c r="AC131" s="1">
        <v>6.54</v>
      </c>
      <c r="AD131" s="1">
        <v>76.95</v>
      </c>
      <c r="AE131" s="1">
        <v>269.83333333333331</v>
      </c>
      <c r="AF131" s="1">
        <v>590.42857142857144</v>
      </c>
      <c r="AG131" s="1">
        <v>-153.91667802197804</v>
      </c>
      <c r="AH131" s="1">
        <v>-185.61456043956045</v>
      </c>
      <c r="AI131" s="1">
        <v>414.20329670329932</v>
      </c>
      <c r="AJ131" s="1">
        <v>1300</v>
      </c>
      <c r="AK131" s="1">
        <v>37.612016129032256</v>
      </c>
      <c r="AL131" s="1">
        <v>469.5274725274719</v>
      </c>
      <c r="AM131" s="1">
        <v>54.92307692307692</v>
      </c>
      <c r="AN131" s="1">
        <v>-8252.8626373626284</v>
      </c>
      <c r="AO131" s="1">
        <v>-0.15251098901098731</v>
      </c>
      <c r="AP131" s="1">
        <v>0.7377252747252746</v>
      </c>
    </row>
    <row r="132" spans="3:42" x14ac:dyDescent="0.2">
      <c r="C132" s="1" t="s">
        <v>87</v>
      </c>
      <c r="E132" s="271">
        <v>101.05000000000001</v>
      </c>
      <c r="F132" s="271">
        <v>59.730000000000004</v>
      </c>
      <c r="G132" s="271">
        <v>-116.01499999999999</v>
      </c>
      <c r="H132" s="271">
        <v>-103.175</v>
      </c>
      <c r="I132" s="271">
        <v>-28.645</v>
      </c>
      <c r="J132" s="271">
        <v>-30.65</v>
      </c>
      <c r="K132" s="1">
        <v>-712.11</v>
      </c>
      <c r="L132" s="1">
        <v>-156</v>
      </c>
      <c r="M132" s="1">
        <v>-890</v>
      </c>
      <c r="N132" s="271">
        <v>-37.25</v>
      </c>
      <c r="O132" s="1">
        <v>93.14</v>
      </c>
      <c r="P132" s="1">
        <v>-160</v>
      </c>
      <c r="Q132" s="1">
        <v>4637</v>
      </c>
      <c r="R132" s="1">
        <v>-489</v>
      </c>
      <c r="S132" s="1">
        <v>1861.15</v>
      </c>
      <c r="T132" s="1">
        <v>-107.25</v>
      </c>
      <c r="U132" s="1">
        <v>1518.2550000000001</v>
      </c>
      <c r="V132" s="1">
        <v>1477.5</v>
      </c>
      <c r="W132" s="1">
        <v>22590</v>
      </c>
      <c r="X132" s="1">
        <v>153.00000000000011</v>
      </c>
      <c r="Y132" s="1">
        <v>5955</v>
      </c>
      <c r="Z132" s="1">
        <v>-8.75</v>
      </c>
      <c r="AA132" s="1">
        <v>-1.6999999999999318</v>
      </c>
      <c r="AB132" s="1">
        <v>7</v>
      </c>
      <c r="AC132" s="1">
        <v>7.7949999999999999</v>
      </c>
      <c r="AD132" s="1">
        <v>87.965000000000003</v>
      </c>
      <c r="AE132" s="1">
        <v>337</v>
      </c>
      <c r="AF132" s="1">
        <v>710</v>
      </c>
      <c r="AG132" s="1">
        <v>-181.76035000000002</v>
      </c>
      <c r="AH132" s="1">
        <v>-227.79500000000002</v>
      </c>
      <c r="AI132" s="1">
        <v>505.50000000000318</v>
      </c>
      <c r="AJ132" s="1">
        <v>1505.5</v>
      </c>
      <c r="AK132" s="1">
        <v>45</v>
      </c>
      <c r="AL132" s="1">
        <v>537.99999999999955</v>
      </c>
      <c r="AM132" s="1">
        <v>70</v>
      </c>
      <c r="AN132" s="1">
        <v>-7490.4999999999864</v>
      </c>
      <c r="AO132" s="1">
        <v>-0.18299999999999805</v>
      </c>
      <c r="AP132" s="1">
        <v>0.86299999999999955</v>
      </c>
    </row>
    <row r="133" spans="3:42" x14ac:dyDescent="0.2">
      <c r="C133" s="1" t="s">
        <v>90</v>
      </c>
      <c r="E133" s="271">
        <v>117.45</v>
      </c>
      <c r="F133" s="271">
        <v>69.23</v>
      </c>
      <c r="G133" s="271">
        <v>-135.02000000000001</v>
      </c>
      <c r="H133" s="271">
        <v>-119.7</v>
      </c>
      <c r="I133" s="271">
        <v>-35</v>
      </c>
      <c r="J133" s="271">
        <v>-34.950000000000003</v>
      </c>
      <c r="K133" s="1">
        <v>-829.07500000000005</v>
      </c>
      <c r="L133" s="1">
        <v>-191.72</v>
      </c>
      <c r="M133" s="1">
        <v>-1027.5</v>
      </c>
      <c r="N133" s="271">
        <v>-43.1</v>
      </c>
      <c r="O133" s="1">
        <v>98.474065934065933</v>
      </c>
      <c r="P133" s="1">
        <v>-186.73913043478262</v>
      </c>
      <c r="Q133" s="1">
        <v>5392.2747252747249</v>
      </c>
      <c r="R133" s="1">
        <v>-560.88</v>
      </c>
      <c r="S133" s="1">
        <v>2208.4004347826085</v>
      </c>
      <c r="T133" s="1">
        <v>-104.03571428571429</v>
      </c>
      <c r="U133" s="1">
        <v>1686.2665384615384</v>
      </c>
      <c r="V133" s="1">
        <v>1690.631868131868</v>
      </c>
      <c r="W133" s="1">
        <v>26050.869565217392</v>
      </c>
      <c r="X133" s="1">
        <v>177.56043956043982</v>
      </c>
      <c r="Y133" s="1">
        <v>7082.4313186813188</v>
      </c>
      <c r="Z133" s="1">
        <v>-10.088461538461537</v>
      </c>
      <c r="AA133" s="1">
        <v>-2.4302197802197227</v>
      </c>
      <c r="AB133" s="1">
        <v>8.141304347826086</v>
      </c>
      <c r="AC133" s="1">
        <v>8.9175274725274729</v>
      </c>
      <c r="AD133" s="1">
        <v>99.515000000000001</v>
      </c>
      <c r="AE133" s="1">
        <v>408.37362637362639</v>
      </c>
      <c r="AF133" s="1">
        <v>834.12087912087918</v>
      </c>
      <c r="AG133" s="1">
        <v>-193.55089395604395</v>
      </c>
      <c r="AH133" s="1">
        <v>-274.91972527472529</v>
      </c>
      <c r="AI133" s="1">
        <v>574.23626373626632</v>
      </c>
      <c r="AJ133" s="1">
        <v>1690.86</v>
      </c>
      <c r="AK133" s="1">
        <v>53.241758241758241</v>
      </c>
      <c r="AL133" s="1">
        <v>612.17582417582366</v>
      </c>
      <c r="AM133" s="1">
        <v>95.271739130434781</v>
      </c>
      <c r="AN133" s="1">
        <v>-6064.6758241758134</v>
      </c>
      <c r="AO133" s="1">
        <v>-0.19799999999999882</v>
      </c>
      <c r="AP133" s="1">
        <v>0.97060869565217367</v>
      </c>
    </row>
    <row r="134" spans="3:42" x14ac:dyDescent="0.2">
      <c r="C134" s="1" t="s">
        <v>93</v>
      </c>
      <c r="E134" s="271">
        <v>135.91</v>
      </c>
      <c r="F134" s="271">
        <v>79.835000000000008</v>
      </c>
      <c r="G134" s="271">
        <v>-156.63</v>
      </c>
      <c r="H134" s="271">
        <v>-137.88</v>
      </c>
      <c r="I134" s="271">
        <v>-40.905000000000001</v>
      </c>
      <c r="J134" s="271">
        <v>-39.5</v>
      </c>
      <c r="K134" s="1">
        <v>-958.125</v>
      </c>
      <c r="L134" s="1">
        <v>-240.39</v>
      </c>
      <c r="M134" s="1">
        <v>-1191.95</v>
      </c>
      <c r="N134" s="271">
        <v>-49.3</v>
      </c>
      <c r="O134" s="1">
        <v>104.34153846153846</v>
      </c>
      <c r="P134" s="1">
        <v>-216.15217391304347</v>
      </c>
      <c r="Q134" s="1">
        <v>6248.2527472527472</v>
      </c>
      <c r="R134" s="1">
        <v>-638.84999999999991</v>
      </c>
      <c r="S134" s="1">
        <v>2533.9477173913042</v>
      </c>
      <c r="T134" s="1">
        <v>-100.5</v>
      </c>
      <c r="U134" s="1">
        <v>1871.0792307692307</v>
      </c>
      <c r="V134" s="1">
        <v>1925.0769230769231</v>
      </c>
      <c r="W134" s="1">
        <v>29295.434782608696</v>
      </c>
      <c r="X134" s="1">
        <v>204.57692307692352</v>
      </c>
      <c r="Y134" s="1">
        <v>8322.6057692307695</v>
      </c>
      <c r="Z134" s="1">
        <v>-11.56076923076923</v>
      </c>
      <c r="AA134" s="1">
        <v>-3.2334615384614924</v>
      </c>
      <c r="AB134" s="1">
        <v>9.3967391304347831</v>
      </c>
      <c r="AC134" s="1">
        <v>10.152307692307691</v>
      </c>
      <c r="AD134" s="1">
        <v>112.22</v>
      </c>
      <c r="AE134" s="1">
        <v>486.88461538461536</v>
      </c>
      <c r="AF134" s="1">
        <v>970.65384615384619</v>
      </c>
      <c r="AG134" s="1">
        <v>-206.52049230769231</v>
      </c>
      <c r="AH134" s="1">
        <v>-326.7569230769231</v>
      </c>
      <c r="AI134" s="1">
        <v>649.84615384615574</v>
      </c>
      <c r="AJ134" s="1">
        <v>1871.18</v>
      </c>
      <c r="AK134" s="1">
        <v>62.307692307692307</v>
      </c>
      <c r="AL134" s="1">
        <v>693.76923076923026</v>
      </c>
      <c r="AM134" s="1">
        <v>121.35869565217391</v>
      </c>
      <c r="AN134" s="1">
        <v>-4496.2692307692232</v>
      </c>
      <c r="AO134" s="1">
        <v>-0.21449999999999966</v>
      </c>
      <c r="AP134" s="1">
        <v>1.0651739130434783</v>
      </c>
    </row>
    <row r="135" spans="3:42" x14ac:dyDescent="0.2">
      <c r="C135" s="1" t="s">
        <v>96</v>
      </c>
      <c r="E135" s="271">
        <v>157.97499999999999</v>
      </c>
      <c r="F135" s="271">
        <v>94.25</v>
      </c>
      <c r="G135" s="271">
        <v>-179.81</v>
      </c>
      <c r="H135" s="271">
        <v>-161.80500000000001</v>
      </c>
      <c r="I135" s="271">
        <v>-47.400000000000006</v>
      </c>
      <c r="J135" s="271">
        <v>-43.3</v>
      </c>
      <c r="K135" s="1">
        <v>-1107.7249999999999</v>
      </c>
      <c r="L135" s="1">
        <v>-280</v>
      </c>
      <c r="M135" s="1">
        <v>-1350</v>
      </c>
      <c r="N135" s="271">
        <v>-55.2</v>
      </c>
      <c r="O135" s="1">
        <v>109.32</v>
      </c>
      <c r="P135" s="1">
        <v>-242</v>
      </c>
      <c r="Q135" s="1">
        <v>6928</v>
      </c>
      <c r="R135" s="1">
        <v>-705</v>
      </c>
      <c r="S135" s="1">
        <v>2859.4949999999999</v>
      </c>
      <c r="T135" s="1">
        <v>-97.5</v>
      </c>
      <c r="U135" s="1">
        <v>2027.8899999999999</v>
      </c>
      <c r="V135" s="1">
        <v>2124</v>
      </c>
      <c r="W135" s="1">
        <v>32540</v>
      </c>
      <c r="X135" s="1">
        <v>227.50000000000057</v>
      </c>
      <c r="Y135" s="1">
        <v>9374.875</v>
      </c>
      <c r="Z135" s="1">
        <v>-12.809999999999999</v>
      </c>
      <c r="AA135" s="1">
        <v>-3.9149999999999636</v>
      </c>
      <c r="AB135" s="1">
        <v>10.5</v>
      </c>
      <c r="AC135" s="1">
        <v>11.2</v>
      </c>
      <c r="AD135" s="1">
        <v>123</v>
      </c>
      <c r="AE135" s="1">
        <v>553.5</v>
      </c>
      <c r="AF135" s="1">
        <v>1086.5</v>
      </c>
      <c r="AG135" s="1">
        <v>-217.52499999999998</v>
      </c>
      <c r="AH135" s="1">
        <v>-370.74</v>
      </c>
      <c r="AI135" s="1">
        <v>714.00000000000136</v>
      </c>
      <c r="AJ135" s="1">
        <v>1999.5</v>
      </c>
      <c r="AK135" s="1">
        <v>70</v>
      </c>
      <c r="AL135" s="1">
        <v>762.99999999999955</v>
      </c>
      <c r="AM135" s="1">
        <v>145</v>
      </c>
      <c r="AN135" s="1">
        <v>-3165.4999999999945</v>
      </c>
      <c r="AO135" s="1">
        <v>-0.22850000000000037</v>
      </c>
      <c r="AP135" s="1">
        <v>1.1630000000000003</v>
      </c>
    </row>
    <row r="136" spans="3:42" x14ac:dyDescent="0.2">
      <c r="C136" s="1" t="s">
        <v>99</v>
      </c>
      <c r="E136" s="271">
        <v>177.34</v>
      </c>
      <c r="F136" s="271">
        <v>104.575</v>
      </c>
      <c r="G136" s="271">
        <v>-200.75</v>
      </c>
      <c r="H136" s="271">
        <v>-180.64999999999998</v>
      </c>
      <c r="I136" s="271">
        <v>-54.39</v>
      </c>
      <c r="J136" s="271">
        <v>-47.400000000000006</v>
      </c>
      <c r="K136" s="1">
        <v>-1237.19</v>
      </c>
      <c r="L136" s="1">
        <v>-343.17</v>
      </c>
      <c r="M136" s="1">
        <v>-1520</v>
      </c>
      <c r="N136" s="271">
        <v>-61.15</v>
      </c>
      <c r="O136" s="1">
        <v>109.25217391304348</v>
      </c>
      <c r="P136" s="1">
        <v>-271.7412637362637</v>
      </c>
      <c r="Q136" s="1">
        <v>7731.304347826087</v>
      </c>
      <c r="R136" s="1">
        <v>-758.00347826086954</v>
      </c>
      <c r="S136" s="1">
        <v>3201.6113297872339</v>
      </c>
      <c r="T136" s="1">
        <v>-93.673913043478265</v>
      </c>
      <c r="U136" s="1">
        <v>2197.6708695652173</v>
      </c>
      <c r="V136" s="1">
        <v>2321.8556521739129</v>
      </c>
      <c r="W136" s="1">
        <v>35702.659574468082</v>
      </c>
      <c r="X136" s="1">
        <v>254.1086956521745</v>
      </c>
      <c r="Y136" s="1">
        <v>10628.309782608696</v>
      </c>
      <c r="Z136" s="1">
        <v>-10.87086956521739</v>
      </c>
      <c r="AA136" s="1">
        <v>-4.8158695652173655</v>
      </c>
      <c r="AB136" s="1">
        <v>12.203296703296703</v>
      </c>
      <c r="AC136" s="1">
        <v>12.523478260869565</v>
      </c>
      <c r="AD136" s="1">
        <v>137.45217391304348</v>
      </c>
      <c r="AE136" s="1">
        <v>629.5</v>
      </c>
      <c r="AF136" s="1">
        <v>1210.8478260869565</v>
      </c>
      <c r="AG136" s="1">
        <v>-230.5598</v>
      </c>
      <c r="AH136" s="1">
        <v>-424.91391304347826</v>
      </c>
      <c r="AI136" s="1">
        <v>792.60869565217433</v>
      </c>
      <c r="AJ136" s="1">
        <v>2187.9299999999998</v>
      </c>
      <c r="AK136" s="1">
        <v>89.021739130434781</v>
      </c>
      <c r="AL136" s="1">
        <v>841.60869565217365</v>
      </c>
      <c r="AM136" s="1">
        <v>196.73913043478262</v>
      </c>
      <c r="AN136" s="1">
        <v>-1358.4347826086914</v>
      </c>
      <c r="AO136" s="1">
        <v>-0.25841304347826133</v>
      </c>
      <c r="AP136" s="1">
        <v>1.2520425531914894</v>
      </c>
    </row>
    <row r="137" spans="3:42" x14ac:dyDescent="0.2">
      <c r="C137" s="1" t="s">
        <v>101</v>
      </c>
      <c r="E137" s="271">
        <v>197.65</v>
      </c>
      <c r="F137" s="271">
        <v>116.58</v>
      </c>
      <c r="G137" s="271">
        <v>-223.75</v>
      </c>
      <c r="H137" s="271">
        <v>-200.05500000000001</v>
      </c>
      <c r="I137" s="271">
        <v>-61.430000000000007</v>
      </c>
      <c r="J137" s="271">
        <v>-51.599999999999994</v>
      </c>
      <c r="K137" s="1">
        <v>-1375</v>
      </c>
      <c r="L137" s="1">
        <v>-400</v>
      </c>
      <c r="M137" s="1">
        <v>-1677.9250000000002</v>
      </c>
      <c r="N137" s="271">
        <v>-67.599999999999994</v>
      </c>
      <c r="O137" s="1">
        <v>109.18222826086956</v>
      </c>
      <c r="P137" s="1">
        <v>-303.40131868131863</v>
      </c>
      <c r="Q137" s="1">
        <v>8559.7119565217399</v>
      </c>
      <c r="R137" s="1">
        <v>-812.6633152173913</v>
      </c>
      <c r="S137" s="1">
        <v>3532.6916489361702</v>
      </c>
      <c r="T137" s="1">
        <v>-89.728260869565219</v>
      </c>
      <c r="U137" s="1">
        <v>2367.4517391304348</v>
      </c>
      <c r="V137" s="1">
        <v>2519.7113043478262</v>
      </c>
      <c r="W137" s="1">
        <v>38763.297872340423</v>
      </c>
      <c r="X137" s="1">
        <v>280.71739130434844</v>
      </c>
      <c r="Y137" s="1">
        <v>11881.744565217392</v>
      </c>
      <c r="Z137" s="1">
        <v>-8.9317391304347815</v>
      </c>
      <c r="AA137" s="1">
        <v>-5.7167391304347683</v>
      </c>
      <c r="AB137" s="1">
        <v>13.961538461538462</v>
      </c>
      <c r="AC137" s="1">
        <v>13.846956521739131</v>
      </c>
      <c r="AD137" s="1">
        <v>151.90434782608696</v>
      </c>
      <c r="AE137" s="1">
        <v>707.875</v>
      </c>
      <c r="AF137" s="1">
        <v>1335.195652173913</v>
      </c>
      <c r="AG137" s="1">
        <v>-244.0019375</v>
      </c>
      <c r="AH137" s="1">
        <v>-479.08782608695651</v>
      </c>
      <c r="AI137" s="1">
        <v>871.2173913043473</v>
      </c>
      <c r="AJ137" s="1">
        <v>2374.0100000000002</v>
      </c>
      <c r="AK137" s="1">
        <v>104.78260869565217</v>
      </c>
      <c r="AL137" s="1">
        <v>922.67391304347814</v>
      </c>
      <c r="AM137" s="1">
        <v>240.86956521739131</v>
      </c>
      <c r="AN137" s="1">
        <v>138.84782608695923</v>
      </c>
      <c r="AO137" s="1">
        <v>-0.28832608695652229</v>
      </c>
      <c r="AP137" s="1">
        <v>1.3382127659574468</v>
      </c>
    </row>
    <row r="138" spans="3:42" x14ac:dyDescent="0.2">
      <c r="C138" s="1" t="s">
        <v>138</v>
      </c>
      <c r="E138" s="271">
        <v>222.125</v>
      </c>
      <c r="F138" s="271">
        <v>134.125</v>
      </c>
      <c r="G138" s="271">
        <v>-248.745</v>
      </c>
      <c r="H138" s="271">
        <v>-228.285</v>
      </c>
      <c r="I138" s="271">
        <v>-69.275000000000006</v>
      </c>
      <c r="J138" s="271">
        <v>-55.015000000000001</v>
      </c>
      <c r="K138" s="1">
        <v>-1537.46</v>
      </c>
      <c r="L138" s="1">
        <v>-435</v>
      </c>
      <c r="M138" s="1">
        <v>-1860</v>
      </c>
      <c r="N138" s="271">
        <v>-73.400000000000006</v>
      </c>
      <c r="O138" s="1">
        <v>109.125</v>
      </c>
      <c r="P138" s="1">
        <v>-329.30499999999995</v>
      </c>
      <c r="Q138" s="1">
        <v>9237.5</v>
      </c>
      <c r="R138" s="1">
        <v>-857.38499999999999</v>
      </c>
      <c r="S138" s="1">
        <v>3896.88</v>
      </c>
      <c r="T138" s="1">
        <v>-86.5</v>
      </c>
      <c r="U138" s="1">
        <v>2516.0100000000002</v>
      </c>
      <c r="V138" s="1">
        <v>2692.835</v>
      </c>
      <c r="W138" s="1">
        <v>42130</v>
      </c>
      <c r="X138" s="1">
        <v>304.00000000000063</v>
      </c>
      <c r="Y138" s="1">
        <v>12978.5</v>
      </c>
      <c r="Z138" s="1">
        <v>-7.2350000000000003</v>
      </c>
      <c r="AA138" s="1">
        <v>-6.5049999999999955</v>
      </c>
      <c r="AB138" s="1">
        <v>15.5</v>
      </c>
      <c r="AC138" s="1">
        <v>15.004999999999999</v>
      </c>
      <c r="AD138" s="1">
        <v>164.55</v>
      </c>
      <c r="AE138" s="1">
        <v>772</v>
      </c>
      <c r="AF138" s="1">
        <v>1444</v>
      </c>
      <c r="AG138" s="1">
        <v>-255.00004999999999</v>
      </c>
      <c r="AH138" s="1">
        <v>-526.49</v>
      </c>
      <c r="AI138" s="1">
        <v>939.99999999999864</v>
      </c>
      <c r="AJ138" s="1">
        <v>2512.5</v>
      </c>
      <c r="AK138" s="1">
        <v>120</v>
      </c>
      <c r="AL138" s="1">
        <v>989</v>
      </c>
      <c r="AM138" s="1">
        <v>285</v>
      </c>
      <c r="AN138" s="1">
        <v>1584.5000000000023</v>
      </c>
      <c r="AO138" s="1">
        <v>-0.31450000000000067</v>
      </c>
      <c r="AP138" s="1">
        <v>1.4329999999999998</v>
      </c>
    </row>
    <row r="139" spans="3:42" x14ac:dyDescent="0.2">
      <c r="C139" s="1" t="s">
        <v>122</v>
      </c>
      <c r="E139" s="271">
        <v>285.75</v>
      </c>
      <c r="F139" s="271">
        <v>172.86500000000001</v>
      </c>
      <c r="G139" s="271">
        <v>-316</v>
      </c>
      <c r="H139" s="271">
        <v>-294.5</v>
      </c>
      <c r="I139" s="271">
        <v>-91.740000000000009</v>
      </c>
      <c r="J139" s="271">
        <v>-65</v>
      </c>
      <c r="K139" s="1">
        <v>-1958.82</v>
      </c>
      <c r="L139" s="1">
        <v>-565.25</v>
      </c>
      <c r="M139" s="1">
        <v>-2344.2049999999999</v>
      </c>
      <c r="N139" s="271">
        <v>-94.525000000000006</v>
      </c>
      <c r="O139" s="1">
        <v>108.93423913043479</v>
      </c>
      <c r="P139" s="1">
        <v>-415.65060439560432</v>
      </c>
      <c r="Q139" s="1">
        <v>11479.486301369863</v>
      </c>
      <c r="R139" s="1">
        <v>-1015.8380136986301</v>
      </c>
      <c r="S139" s="1">
        <v>4889.2569832402232</v>
      </c>
      <c r="T139" s="1">
        <v>-70.102739726027394</v>
      </c>
      <c r="U139" s="1">
        <v>2993.5186956521748</v>
      </c>
      <c r="V139" s="1">
        <v>3245.8134931506852</v>
      </c>
      <c r="W139" s="1">
        <v>50792.34636871508</v>
      </c>
      <c r="X139" s="1">
        <v>371.68493150684992</v>
      </c>
      <c r="Y139" s="1">
        <v>16391.501381215468</v>
      </c>
      <c r="Z139" s="1">
        <v>-9.1496575342465754</v>
      </c>
      <c r="AA139" s="1">
        <v>-7.3458219178082071</v>
      </c>
      <c r="AB139" s="1">
        <v>20.445054945054945</v>
      </c>
      <c r="AC139" s="1">
        <v>17.652790055248616</v>
      </c>
      <c r="AD139" s="1">
        <v>191.21685082872929</v>
      </c>
      <c r="AE139" s="1">
        <v>985.75</v>
      </c>
      <c r="AF139" s="1">
        <v>1701.7945205479452</v>
      </c>
      <c r="AG139" s="1">
        <v>-293.58907876712328</v>
      </c>
      <c r="AH139" s="1">
        <v>-700.20479452054792</v>
      </c>
      <c r="AI139" s="1">
        <v>1161.0869565217351</v>
      </c>
      <c r="AJ139" s="1">
        <v>3075.5</v>
      </c>
      <c r="AK139" s="1">
        <v>132.32876712328766</v>
      </c>
      <c r="AL139" s="1">
        <v>1210.0869565217395</v>
      </c>
      <c r="AM139" s="1">
        <v>434.00301369863013</v>
      </c>
      <c r="AN139" s="1">
        <v>6231.2391304347802</v>
      </c>
      <c r="AO139" s="1">
        <v>-0.35000684931506876</v>
      </c>
      <c r="AP139" s="1">
        <v>1.5969452054794526</v>
      </c>
    </row>
    <row r="140" spans="3:42" x14ac:dyDescent="0.2">
      <c r="C140" s="1" t="s">
        <v>133</v>
      </c>
      <c r="E140" s="271">
        <v>352.61</v>
      </c>
      <c r="F140" s="271">
        <v>213.38</v>
      </c>
      <c r="G140" s="271">
        <v>-384.65</v>
      </c>
      <c r="H140" s="271">
        <v>-365.25</v>
      </c>
      <c r="I140" s="271">
        <v>-116</v>
      </c>
      <c r="J140" s="271">
        <v>-75.25</v>
      </c>
      <c r="K140" s="1">
        <v>-2371.9299999999998</v>
      </c>
      <c r="L140" s="1">
        <v>-763.75</v>
      </c>
      <c r="M140" s="1">
        <v>-2831.335</v>
      </c>
      <c r="N140" s="271">
        <v>-109.6</v>
      </c>
      <c r="O140" s="1">
        <v>108.74135869565218</v>
      </c>
      <c r="P140" s="1">
        <v>-502.95560439560421</v>
      </c>
      <c r="Q140" s="1">
        <v>13746.383561643835</v>
      </c>
      <c r="R140" s="1">
        <v>-1176.0516164383562</v>
      </c>
      <c r="S140" s="1">
        <v>5915.4650000000001</v>
      </c>
      <c r="T140" s="1">
        <v>-53.523287671232879</v>
      </c>
      <c r="U140" s="1">
        <v>3476.333043478262</v>
      </c>
      <c r="V140" s="1">
        <v>3804.9361917808219</v>
      </c>
      <c r="W140" s="1">
        <v>59750</v>
      </c>
      <c r="X140" s="1">
        <v>440.12191780821973</v>
      </c>
      <c r="Y140" s="1">
        <v>19842.424999999999</v>
      </c>
      <c r="Z140" s="1">
        <v>-11.08558904109589</v>
      </c>
      <c r="AA140" s="1">
        <v>-8.1959863013698424</v>
      </c>
      <c r="AB140" s="1">
        <v>25.445054945054945</v>
      </c>
      <c r="AC140" s="1">
        <v>20.329999999999998</v>
      </c>
      <c r="AD140" s="1">
        <v>218.18</v>
      </c>
      <c r="AE140" s="1">
        <v>1201.875</v>
      </c>
      <c r="AF140" s="1">
        <v>1962.4534246575342</v>
      </c>
      <c r="AG140" s="1">
        <v>-332.60687452054793</v>
      </c>
      <c r="AH140" s="1">
        <v>-875.84975342465759</v>
      </c>
      <c r="AI140" s="1">
        <v>1384.6304347826022</v>
      </c>
      <c r="AJ140" s="1">
        <v>3590</v>
      </c>
      <c r="AK140" s="1">
        <v>144.79452054794521</v>
      </c>
      <c r="AL140" s="1">
        <v>1433.6304347826094</v>
      </c>
      <c r="AM140" s="1">
        <v>584.66161643835608</v>
      </c>
      <c r="AN140" s="1">
        <v>10929.608695652169</v>
      </c>
      <c r="AO140" s="1">
        <v>-0.38590821917808205</v>
      </c>
      <c r="AP140" s="1">
        <v>1.766479452054796</v>
      </c>
    </row>
    <row r="141" spans="3:42" x14ac:dyDescent="0.2">
      <c r="C141" s="1" t="s">
        <v>148</v>
      </c>
      <c r="E141" s="271">
        <v>493.89</v>
      </c>
      <c r="F141" s="271">
        <v>303.19500000000005</v>
      </c>
      <c r="G141" s="271">
        <v>-530.04999999999995</v>
      </c>
      <c r="H141" s="271">
        <v>-521.02</v>
      </c>
      <c r="I141" s="271">
        <v>-165.25</v>
      </c>
      <c r="J141" s="271">
        <v>-96.25</v>
      </c>
      <c r="K141" s="1">
        <v>-3228.4549999999999</v>
      </c>
      <c r="L141" s="1">
        <v>-1152.6799999999998</v>
      </c>
      <c r="M141" s="1">
        <v>-3748.48</v>
      </c>
      <c r="N141" s="271">
        <v>-153.80000000000001</v>
      </c>
      <c r="O141" s="1">
        <v>108.35135869565219</v>
      </c>
      <c r="P141" s="1">
        <v>-679.48439560439533</v>
      </c>
      <c r="Q141" s="1">
        <v>18330</v>
      </c>
      <c r="R141" s="1">
        <v>-1500</v>
      </c>
      <c r="S141" s="1">
        <v>8008.8649999999998</v>
      </c>
      <c r="T141" s="1">
        <v>-20</v>
      </c>
      <c r="U141" s="1">
        <v>4452.5730434782627</v>
      </c>
      <c r="V141" s="1">
        <v>4935.47</v>
      </c>
      <c r="W141" s="1">
        <v>77195</v>
      </c>
      <c r="X141" s="1">
        <v>578.50000000000045</v>
      </c>
      <c r="Y141" s="1">
        <v>27095.205000000002</v>
      </c>
      <c r="Z141" s="1">
        <v>-15</v>
      </c>
      <c r="AA141" s="1">
        <v>-9.9149999999999636</v>
      </c>
      <c r="AB141" s="1">
        <v>35.554945054945051</v>
      </c>
      <c r="AC141" s="1">
        <v>23.155000000000001</v>
      </c>
      <c r="AD141" s="1">
        <v>274.5</v>
      </c>
      <c r="AE141" s="1">
        <v>1638.875</v>
      </c>
      <c r="AF141" s="1">
        <v>2489.5</v>
      </c>
      <c r="AG141" s="1">
        <v>-411.5</v>
      </c>
      <c r="AH141" s="1">
        <v>-1231</v>
      </c>
      <c r="AI141" s="1">
        <v>1836.6304347825965</v>
      </c>
      <c r="AJ141" s="1">
        <v>4701.5</v>
      </c>
      <c r="AK141" s="1">
        <v>170</v>
      </c>
      <c r="AL141" s="1">
        <v>1885.6304347826106</v>
      </c>
      <c r="AM141" s="1">
        <v>889.29</v>
      </c>
      <c r="AN141" s="1">
        <v>20429.608695652161</v>
      </c>
      <c r="AO141" s="1">
        <v>-0.45849999999999902</v>
      </c>
      <c r="AP141" s="1">
        <v>2.1130000000000031</v>
      </c>
    </row>
    <row r="142" spans="3:42" x14ac:dyDescent="0.2">
      <c r="C142" s="1" t="s">
        <v>150</v>
      </c>
      <c r="E142" s="271">
        <v>792</v>
      </c>
      <c r="F142" s="271">
        <v>486</v>
      </c>
      <c r="G142" s="271">
        <v>-830.5</v>
      </c>
      <c r="H142" s="271">
        <v>-848</v>
      </c>
      <c r="I142" s="271">
        <v>-255.23499999999999</v>
      </c>
      <c r="J142" s="271">
        <v>-141.14999999999998</v>
      </c>
      <c r="K142" s="1">
        <v>-4954.7749999999996</v>
      </c>
      <c r="L142" s="1">
        <v>-1892.5</v>
      </c>
      <c r="M142" s="1">
        <v>-5474.55</v>
      </c>
      <c r="N142" s="271">
        <v>-241.25</v>
      </c>
      <c r="O142" s="1">
        <v>107.5777173913044</v>
      </c>
      <c r="P142" s="1">
        <v>-1029.6637912087908</v>
      </c>
      <c r="Q142" s="1">
        <v>27525</v>
      </c>
      <c r="R142" s="1">
        <v>-2200</v>
      </c>
      <c r="S142" s="1">
        <v>12205.33</v>
      </c>
      <c r="T142" s="1">
        <v>57.375341841385591</v>
      </c>
      <c r="U142" s="1">
        <v>6389.1360869565251</v>
      </c>
      <c r="V142" s="1">
        <v>7281.56</v>
      </c>
      <c r="W142" s="1">
        <v>108285</v>
      </c>
      <c r="X142" s="1">
        <v>861.99999999999977</v>
      </c>
      <c r="Y142" s="1">
        <v>41120.869999999995</v>
      </c>
      <c r="Z142" s="1">
        <v>-22.765000000000001</v>
      </c>
      <c r="AA142" s="1">
        <v>-30.299999999999955</v>
      </c>
      <c r="AB142" s="1">
        <v>55.609890109890109</v>
      </c>
      <c r="AC142" s="1">
        <v>31.729999999999997</v>
      </c>
      <c r="AD142" s="1">
        <v>396.66999999999996</v>
      </c>
      <c r="AE142" s="1">
        <v>2505.75</v>
      </c>
      <c r="AF142" s="1">
        <v>3651.15</v>
      </c>
      <c r="AG142" s="1">
        <v>-405.5</v>
      </c>
      <c r="AH142" s="1">
        <v>-1935.51</v>
      </c>
      <c r="AI142" s="1">
        <v>2733.2608695651943</v>
      </c>
      <c r="AJ142" s="1">
        <v>6550</v>
      </c>
      <c r="AK142" s="1">
        <v>450</v>
      </c>
      <c r="AL142" s="1">
        <v>2782.2608695652211</v>
      </c>
      <c r="AM142" s="1">
        <v>1565</v>
      </c>
      <c r="AN142" s="1">
        <v>39274.717391304323</v>
      </c>
      <c r="AO142" s="1">
        <v>-0.92549999999999777</v>
      </c>
      <c r="AP142" s="1">
        <v>2.7911369863013764</v>
      </c>
    </row>
    <row r="143" spans="3:42" x14ac:dyDescent="0.2">
      <c r="C143" s="1" t="s">
        <v>153</v>
      </c>
      <c r="E143" s="271">
        <v>1096.3499999999999</v>
      </c>
      <c r="F143" s="271">
        <v>663</v>
      </c>
      <c r="G143" s="271">
        <v>-1126</v>
      </c>
      <c r="H143" s="271">
        <v>-1182.1999999999998</v>
      </c>
      <c r="I143" s="271">
        <v>-333.5</v>
      </c>
      <c r="J143" s="271">
        <v>-194</v>
      </c>
      <c r="K143" s="1">
        <v>-6585.7000000000007</v>
      </c>
      <c r="L143" s="1">
        <v>-2538.6617486338801</v>
      </c>
      <c r="M143" s="1">
        <v>-6533.4</v>
      </c>
      <c r="N143" s="271">
        <v>-337</v>
      </c>
      <c r="O143" s="1">
        <v>106.79771739130443</v>
      </c>
      <c r="P143" s="1">
        <v>-1382.721373626373</v>
      </c>
      <c r="Q143" s="1">
        <v>37520</v>
      </c>
      <c r="R143" s="1">
        <v>-2905.7534246575342</v>
      </c>
      <c r="S143" s="1">
        <v>16702.584999999999</v>
      </c>
      <c r="T143" s="1">
        <v>135.38664539653601</v>
      </c>
      <c r="U143" s="1">
        <v>8341.6160869565265</v>
      </c>
      <c r="V143" s="1">
        <v>9499</v>
      </c>
      <c r="W143" s="1">
        <v>137402.54999999999</v>
      </c>
      <c r="X143" s="1">
        <v>1154.8415300546446</v>
      </c>
      <c r="Y143" s="1">
        <v>55097.184999999998</v>
      </c>
      <c r="Z143" s="1">
        <v>-30.593821917808217</v>
      </c>
      <c r="AA143" s="1">
        <v>-45</v>
      </c>
      <c r="AB143" s="1">
        <v>75.829670329670336</v>
      </c>
      <c r="AC143" s="1">
        <v>41.75</v>
      </c>
      <c r="AD143" s="1">
        <v>519.84413698630124</v>
      </c>
      <c r="AE143" s="1">
        <v>3379.75</v>
      </c>
      <c r="AF143" s="1">
        <v>4822.3478082191778</v>
      </c>
      <c r="AG143" s="1">
        <v>-77.283740983606549</v>
      </c>
      <c r="AH143" s="1">
        <v>-2645.810493150685</v>
      </c>
      <c r="AI143" s="1">
        <v>3637.2608695651834</v>
      </c>
      <c r="AJ143" s="1">
        <v>8130</v>
      </c>
      <c r="AK143" s="1">
        <v>775</v>
      </c>
      <c r="AL143" s="1">
        <v>3686.2608695652225</v>
      </c>
      <c r="AM143" s="1">
        <v>2420</v>
      </c>
      <c r="AN143" s="1">
        <v>58274.717391304308</v>
      </c>
      <c r="AO143" s="1">
        <v>-1.2154999999999987</v>
      </c>
      <c r="AP143" s="1">
        <v>3.4711369863013797</v>
      </c>
    </row>
    <row r="144" spans="3:42" x14ac:dyDescent="0.2">
      <c r="C144" s="1" t="s">
        <v>156</v>
      </c>
      <c r="E144" s="271">
        <v>1388</v>
      </c>
      <c r="F144" s="271">
        <v>824.25</v>
      </c>
      <c r="G144" s="271">
        <v>-1409.625</v>
      </c>
      <c r="H144" s="271">
        <v>-1514.9</v>
      </c>
      <c r="I144" s="271">
        <v>-383.19</v>
      </c>
      <c r="J144" s="271">
        <v>-255.5</v>
      </c>
      <c r="K144" s="1">
        <v>-7929.1550000000007</v>
      </c>
      <c r="L144" s="1">
        <v>-3177.8</v>
      </c>
      <c r="M144" s="1">
        <v>-7481.4250000000002</v>
      </c>
      <c r="N144" s="271">
        <v>-442.5</v>
      </c>
      <c r="O144" s="1">
        <v>106.02619565217402</v>
      </c>
      <c r="P144" s="1">
        <v>-1731.9413736263728</v>
      </c>
      <c r="Q144" s="1">
        <v>48070</v>
      </c>
      <c r="R144" s="1">
        <v>-3603.8356164383563</v>
      </c>
      <c r="S144" s="1">
        <v>21428.550000000003</v>
      </c>
      <c r="T144" s="1">
        <v>212.55</v>
      </c>
      <c r="U144" s="1">
        <v>10272.873478260875</v>
      </c>
      <c r="V144" s="1">
        <v>11846</v>
      </c>
      <c r="W144" s="1">
        <v>165893.75</v>
      </c>
      <c r="X144" s="1">
        <v>1444.5</v>
      </c>
      <c r="Y144" s="1">
        <v>71220.44</v>
      </c>
      <c r="Z144" s="1">
        <v>-38.337547945205479</v>
      </c>
      <c r="AA144" s="1">
        <v>-60.899999999999977</v>
      </c>
      <c r="AB144" s="1">
        <v>95.829670329670336</v>
      </c>
      <c r="AC144" s="1">
        <v>52.46</v>
      </c>
      <c r="AD144" s="1">
        <v>641.67942465753413</v>
      </c>
      <c r="AE144" s="1">
        <v>4244.25</v>
      </c>
      <c r="AF144" s="1">
        <v>5980.8152054794518</v>
      </c>
      <c r="AG144" s="1">
        <v>247.36494999999999</v>
      </c>
      <c r="AH144" s="1">
        <v>-3348.3903287671237</v>
      </c>
      <c r="AI144" s="1">
        <v>4531.4347826086505</v>
      </c>
      <c r="AJ144" s="1">
        <v>9530</v>
      </c>
      <c r="AK144" s="1">
        <v>1150</v>
      </c>
      <c r="AL144" s="1">
        <v>4580.4347826087032</v>
      </c>
      <c r="AM144" s="1">
        <v>3365</v>
      </c>
      <c r="AN144" s="1">
        <v>77068.195652173847</v>
      </c>
      <c r="AO144" s="1">
        <v>-1.4390000000000001</v>
      </c>
      <c r="AP144" s="1">
        <v>4.1511369863013829</v>
      </c>
    </row>
    <row r="145" spans="3:42" x14ac:dyDescent="0.2">
      <c r="C145" s="1" t="s">
        <v>157</v>
      </c>
      <c r="E145" s="271">
        <v>1664</v>
      </c>
      <c r="F145" s="271">
        <v>966.92901234567898</v>
      </c>
      <c r="G145" s="271">
        <v>-1671.5</v>
      </c>
      <c r="H145" s="271">
        <v>-1827.5</v>
      </c>
      <c r="I145" s="271">
        <v>-448.5</v>
      </c>
      <c r="J145" s="271">
        <v>-324.39999999999998</v>
      </c>
      <c r="K145" s="1">
        <v>-9272.61</v>
      </c>
      <c r="L145" s="1">
        <v>-3775.9</v>
      </c>
      <c r="M145" s="1">
        <v>-8604</v>
      </c>
      <c r="N145" s="271">
        <v>-631</v>
      </c>
      <c r="O145" s="1">
        <v>105.25467391304362</v>
      </c>
      <c r="P145" s="1">
        <v>-2081.1613736263726</v>
      </c>
      <c r="Q145" s="1">
        <v>58620</v>
      </c>
      <c r="R145" s="1">
        <v>-4301.9178082191775</v>
      </c>
      <c r="S145" s="1">
        <v>26154.515000000007</v>
      </c>
      <c r="T145" s="1">
        <v>289.71335460346398</v>
      </c>
      <c r="U145" s="1">
        <v>12204.130869565224</v>
      </c>
      <c r="V145" s="1">
        <v>13959.621673525377</v>
      </c>
      <c r="W145" s="1">
        <v>190532.24945235488</v>
      </c>
      <c r="X145" s="1">
        <v>1734.1584699453551</v>
      </c>
      <c r="Y145" s="1">
        <v>87343.695000000007</v>
      </c>
      <c r="Z145" s="1">
        <v>-46.081273972602737</v>
      </c>
      <c r="AA145" s="1">
        <v>-76.843681318681277</v>
      </c>
      <c r="AB145" s="1">
        <v>115.82967032967034</v>
      </c>
      <c r="AC145" s="1">
        <v>63.17</v>
      </c>
      <c r="AD145" s="1">
        <v>763.51471232876702</v>
      </c>
      <c r="AE145" s="1">
        <v>5108.75</v>
      </c>
      <c r="AF145" s="1">
        <v>7139.2826027397268</v>
      </c>
      <c r="AG145" s="1">
        <v>572.01364098360659</v>
      </c>
      <c r="AH145" s="1">
        <v>-4050.9701643835615</v>
      </c>
      <c r="AI145" s="1">
        <v>5425.6086956521176</v>
      </c>
      <c r="AJ145" s="1">
        <v>10930</v>
      </c>
      <c r="AK145" s="1">
        <v>1525</v>
      </c>
      <c r="AL145" s="1">
        <v>5474.6086956521831</v>
      </c>
      <c r="AM145" s="1">
        <v>4020</v>
      </c>
      <c r="AN145" s="1">
        <v>95861.6739130434</v>
      </c>
      <c r="AO145" s="1">
        <v>-1.6625000000000014</v>
      </c>
      <c r="AP145" s="1">
        <v>4.8367260273972761</v>
      </c>
    </row>
    <row r="146" spans="3:42" x14ac:dyDescent="0.2">
      <c r="C146" s="1" t="s">
        <v>158</v>
      </c>
      <c r="E146" s="271">
        <v>1917.9</v>
      </c>
      <c r="F146" s="271">
        <v>1110</v>
      </c>
      <c r="G146" s="271">
        <v>-1929</v>
      </c>
      <c r="H146" s="271">
        <v>-2137.5</v>
      </c>
      <c r="I146" s="271">
        <v>-475.79999999999995</v>
      </c>
      <c r="J146" s="271">
        <v>-392.6</v>
      </c>
      <c r="K146" s="1">
        <v>-10619.755810439561</v>
      </c>
      <c r="L146" s="1">
        <v>-4200</v>
      </c>
      <c r="M146" s="1">
        <v>-9138</v>
      </c>
      <c r="N146" s="271">
        <v>-689.5</v>
      </c>
      <c r="O146" s="1">
        <v>104.48103260869581</v>
      </c>
      <c r="P146" s="1">
        <v>-2431.3407692307683</v>
      </c>
      <c r="Q146" s="1">
        <v>69198.983516483509</v>
      </c>
      <c r="R146" s="1">
        <v>-5001.9178082191775</v>
      </c>
      <c r="S146" s="1">
        <v>30906.375698630145</v>
      </c>
      <c r="T146" s="1">
        <v>367.08869644484963</v>
      </c>
      <c r="U146" s="1">
        <v>14140.693913043488</v>
      </c>
      <c r="V146" s="1">
        <v>16079.05</v>
      </c>
      <c r="W146" s="1">
        <v>215305.75438116101</v>
      </c>
      <c r="X146" s="1">
        <v>2024.6127049180329</v>
      </c>
      <c r="Y146" s="1">
        <v>103511.24465659342</v>
      </c>
      <c r="Z146" s="1">
        <v>-53.846273972602731</v>
      </c>
      <c r="AA146" s="1">
        <v>-92.74368131868124</v>
      </c>
      <c r="AB146" s="1">
        <v>135.88461538461539</v>
      </c>
      <c r="AC146" s="1">
        <v>73.909423076923076</v>
      </c>
      <c r="AD146" s="1">
        <v>885.68471232876686</v>
      </c>
      <c r="AE146" s="1">
        <v>5975.625</v>
      </c>
      <c r="AF146" s="1">
        <v>8300.9326027397274</v>
      </c>
      <c r="AG146" s="1">
        <v>897.55422397540974</v>
      </c>
      <c r="AH146" s="1">
        <v>-4755.4801643835608</v>
      </c>
      <c r="AI146" s="1">
        <v>6322.2391304347166</v>
      </c>
      <c r="AJ146" s="1">
        <v>12333.846153846154</v>
      </c>
      <c r="AK146" s="1">
        <v>1901.0302197802198</v>
      </c>
      <c r="AL146" s="1">
        <v>6371.239130434793</v>
      </c>
      <c r="AM146" s="1">
        <v>4675</v>
      </c>
      <c r="AN146" s="1">
        <v>114706.78260869558</v>
      </c>
      <c r="AO146" s="1">
        <v>-1.8866140109890139</v>
      </c>
      <c r="AP146" s="1">
        <v>5.5148630136986494</v>
      </c>
    </row>
    <row r="147" spans="3:42" x14ac:dyDescent="0.2">
      <c r="C147" s="1" t="s">
        <v>160</v>
      </c>
      <c r="E147" s="271">
        <v>2147.6999999999998</v>
      </c>
      <c r="F147" s="271">
        <v>1217.8333333333333</v>
      </c>
      <c r="G147" s="271">
        <v>-2164</v>
      </c>
      <c r="H147" s="271">
        <v>-2418.1333789329683</v>
      </c>
      <c r="I147" s="271">
        <v>-496.5</v>
      </c>
      <c r="J147" s="271">
        <v>-465.9</v>
      </c>
      <c r="K147" s="1">
        <v>-11970.592431318681</v>
      </c>
      <c r="L147" s="1">
        <v>-4691.1049999999996</v>
      </c>
      <c r="M147" s="1">
        <v>-9426</v>
      </c>
      <c r="N147" s="271">
        <v>-820</v>
      </c>
      <c r="O147" s="1">
        <v>103.70527173913062</v>
      </c>
      <c r="P147" s="1">
        <v>-2782.479560439559</v>
      </c>
      <c r="Q147" s="1">
        <v>79806.950549450557</v>
      </c>
      <c r="R147" s="1">
        <v>-5703.8356164383558</v>
      </c>
      <c r="S147" s="1">
        <v>35632.340698630156</v>
      </c>
      <c r="T147" s="1">
        <v>444.67602552415684</v>
      </c>
      <c r="U147" s="1">
        <v>16082.56260869566</v>
      </c>
      <c r="V147" s="1">
        <v>18322.433333333334</v>
      </c>
      <c r="W147" s="1">
        <v>239944.25383351586</v>
      </c>
      <c r="X147" s="1">
        <v>2315.8627049180332</v>
      </c>
      <c r="Y147" s="1">
        <v>119723.08896978023</v>
      </c>
      <c r="Z147" s="1">
        <v>-61.632547945205481</v>
      </c>
      <c r="AA147" s="1">
        <v>-108.73104395604386</v>
      </c>
      <c r="AB147" s="1">
        <v>155.99450549450549</v>
      </c>
      <c r="AC147" s="1">
        <v>84.678269230769232</v>
      </c>
      <c r="AD147" s="1">
        <v>1008.189424657534</v>
      </c>
      <c r="AE147" s="1">
        <v>6844.875</v>
      </c>
      <c r="AF147" s="1">
        <v>9465.7652054794526</v>
      </c>
      <c r="AG147" s="1">
        <v>1223.98669897541</v>
      </c>
      <c r="AH147" s="1">
        <v>-5461.9203287671235</v>
      </c>
      <c r="AI147" s="1">
        <v>7221.3260869564438</v>
      </c>
      <c r="AJ147" s="1">
        <v>13741.538461538461</v>
      </c>
      <c r="AK147" s="1">
        <v>2278.0906593406594</v>
      </c>
      <c r="AL147" s="1">
        <v>7270.3260869565347</v>
      </c>
      <c r="AM147" s="1">
        <v>5364.5624430264361</v>
      </c>
      <c r="AN147" s="1">
        <v>133603.52173913034</v>
      </c>
      <c r="AO147" s="1">
        <v>-2.1113420329670372</v>
      </c>
      <c r="AP147" s="1">
        <v>6.1985890410959135</v>
      </c>
    </row>
    <row r="148" spans="3:42" x14ac:dyDescent="0.2">
      <c r="C148" s="1" t="s">
        <v>162</v>
      </c>
      <c r="E148" s="271">
        <v>2351.5</v>
      </c>
      <c r="F148" s="271">
        <v>1325.3720400728598</v>
      </c>
      <c r="G148" s="271">
        <v>-2397</v>
      </c>
      <c r="H148" s="271">
        <v>-2698</v>
      </c>
      <c r="I148" s="271">
        <v>-498.2</v>
      </c>
      <c r="J148" s="271">
        <v>-541.20000000000005</v>
      </c>
      <c r="K148" s="1">
        <v>-13317.738241758241</v>
      </c>
      <c r="L148" s="1">
        <v>-5105.7000000000007</v>
      </c>
      <c r="M148" s="1">
        <v>-9699</v>
      </c>
      <c r="N148" s="271">
        <v>-930</v>
      </c>
      <c r="O148" s="1">
        <v>102.93163043478282</v>
      </c>
      <c r="P148" s="1">
        <v>-3132.6589560439543</v>
      </c>
      <c r="Q148" s="1">
        <v>90385.934065934067</v>
      </c>
      <c r="R148" s="1">
        <v>-6403.8356164383558</v>
      </c>
      <c r="S148" s="1">
        <v>40345.357849315085</v>
      </c>
      <c r="T148" s="1">
        <v>522.05136736554232</v>
      </c>
      <c r="U148" s="1">
        <v>18019.125652173927</v>
      </c>
      <c r="V148" s="1">
        <v>20559.687204007285</v>
      </c>
      <c r="W148" s="1">
        <v>264515.25054764515</v>
      </c>
      <c r="X148" s="1">
        <v>2606.3169398907107</v>
      </c>
      <c r="Y148" s="1">
        <v>135890.63862637366</v>
      </c>
      <c r="Z148" s="1">
        <v>-69.397547945205474</v>
      </c>
      <c r="AA148" s="1">
        <v>-124.67472527472516</v>
      </c>
      <c r="AB148" s="1">
        <v>176.04945054945054</v>
      </c>
      <c r="AC148" s="1">
        <v>95.417692307692306</v>
      </c>
      <c r="AD148" s="1">
        <v>1130.359424657534</v>
      </c>
      <c r="AE148" s="1">
        <v>7711.75</v>
      </c>
      <c r="AF148" s="1">
        <v>10627.415205479454</v>
      </c>
      <c r="AG148" s="1">
        <v>1549.5272819672132</v>
      </c>
      <c r="AH148" s="1">
        <v>-6166.4303287671228</v>
      </c>
      <c r="AI148" s="1">
        <v>8117.9565217390427</v>
      </c>
      <c r="AJ148" s="1">
        <v>15145.384615384615</v>
      </c>
      <c r="AK148" s="1">
        <v>2654.1208791208792</v>
      </c>
      <c r="AL148" s="1">
        <v>8166.9565217391446</v>
      </c>
      <c r="AM148" s="1">
        <v>6044.781221513218</v>
      </c>
      <c r="AN148" s="1">
        <v>152448.63043478248</v>
      </c>
      <c r="AO148" s="1">
        <v>-2.3354560439560492</v>
      </c>
      <c r="AP148" s="1">
        <v>6.8785890410959167</v>
      </c>
    </row>
    <row r="149" spans="3:42" x14ac:dyDescent="0.2">
      <c r="C149" s="1" t="s">
        <v>164</v>
      </c>
      <c r="E149" s="271">
        <v>2543</v>
      </c>
      <c r="F149" s="271">
        <v>1433.5</v>
      </c>
      <c r="G149" s="271">
        <v>-2563.5</v>
      </c>
      <c r="H149" s="271">
        <v>-2852.1499999999996</v>
      </c>
      <c r="I149" s="271">
        <v>-482.7</v>
      </c>
      <c r="J149" s="271">
        <v>-621.79999999999995</v>
      </c>
      <c r="K149" s="1">
        <v>-14672.265673076923</v>
      </c>
      <c r="L149" s="1">
        <v>-5547.4</v>
      </c>
      <c r="M149" s="1">
        <v>-9825</v>
      </c>
      <c r="N149" s="271">
        <v>-1026</v>
      </c>
      <c r="O149" s="1">
        <v>102.15375000000024</v>
      </c>
      <c r="P149" s="1">
        <v>-3484.7571428571414</v>
      </c>
      <c r="Q149" s="1">
        <v>101022.88461538462</v>
      </c>
      <c r="R149" s="1">
        <v>-7107.6712328767126</v>
      </c>
      <c r="S149" s="1">
        <v>45071.322849315096</v>
      </c>
      <c r="T149" s="1">
        <v>599.8506836827712</v>
      </c>
      <c r="U149" s="1">
        <v>19966.30000000001</v>
      </c>
      <c r="V149" s="1">
        <v>22809.200000000001</v>
      </c>
      <c r="W149" s="1">
        <v>289153.75</v>
      </c>
      <c r="X149" s="1">
        <v>2898.3627049180332</v>
      </c>
      <c r="Y149" s="1">
        <v>152146.7775961539</v>
      </c>
      <c r="Z149" s="1">
        <v>-77.205095890410959</v>
      </c>
      <c r="AA149" s="1">
        <v>-140.70576923076908</v>
      </c>
      <c r="AB149" s="1">
        <v>196.21428571428572</v>
      </c>
      <c r="AC149" s="1">
        <v>106.21596153846154</v>
      </c>
      <c r="AD149" s="1">
        <v>1253.1988493150682</v>
      </c>
      <c r="AE149" s="1">
        <v>8583.375</v>
      </c>
      <c r="AF149" s="1">
        <v>11795.430410958905</v>
      </c>
      <c r="AG149" s="1">
        <v>1876.8516489754097</v>
      </c>
      <c r="AH149" s="1">
        <v>-6874.800657534247</v>
      </c>
      <c r="AI149" s="1">
        <v>9019.4999999999018</v>
      </c>
      <c r="AJ149" s="1">
        <v>16556.923076923078</v>
      </c>
      <c r="AK149" s="1">
        <v>3032.2115384615386</v>
      </c>
      <c r="AL149" s="1">
        <v>9068.5000000000164</v>
      </c>
      <c r="AM149" s="1">
        <v>6725</v>
      </c>
      <c r="AN149" s="1">
        <v>171396.99999999985</v>
      </c>
      <c r="AO149" s="1">
        <v>-2.560798076923084</v>
      </c>
      <c r="AP149" s="1">
        <v>7.5530000000000292</v>
      </c>
    </row>
    <row r="150" spans="3:42" x14ac:dyDescent="0.2">
      <c r="C150" s="270" t="s">
        <v>255</v>
      </c>
      <c r="D150" s="270" t="s">
        <v>308</v>
      </c>
      <c r="E150" s="270" t="b">
        <v>1</v>
      </c>
      <c r="F150" s="270" t="b">
        <v>1</v>
      </c>
      <c r="G150" s="270" t="b">
        <v>1</v>
      </c>
      <c r="H150" s="270" t="b">
        <v>1</v>
      </c>
      <c r="I150" s="270" t="b">
        <v>1</v>
      </c>
      <c r="J150" s="270" t="b">
        <v>1</v>
      </c>
      <c r="K150" s="270" t="b">
        <v>1</v>
      </c>
      <c r="L150" s="270" t="b">
        <v>1</v>
      </c>
      <c r="M150" s="270" t="b">
        <v>1</v>
      </c>
      <c r="N150" s="270" t="b">
        <v>1</v>
      </c>
      <c r="O150" s="270" t="b">
        <v>1</v>
      </c>
      <c r="P150" s="270" t="b">
        <v>1</v>
      </c>
      <c r="Q150" s="270" t="b">
        <v>1</v>
      </c>
      <c r="R150" s="270" t="b">
        <v>1</v>
      </c>
      <c r="S150" s="270" t="b">
        <v>1</v>
      </c>
      <c r="T150" s="270" t="b">
        <v>1</v>
      </c>
      <c r="U150" s="270" t="b">
        <v>1</v>
      </c>
      <c r="V150" s="270" t="b">
        <v>1</v>
      </c>
      <c r="W150" s="270" t="b">
        <v>1</v>
      </c>
      <c r="X150" s="270" t="b">
        <v>1</v>
      </c>
      <c r="Y150" s="270" t="b">
        <v>1</v>
      </c>
      <c r="Z150" s="270" t="b">
        <v>1</v>
      </c>
      <c r="AA150" s="270" t="b">
        <v>1</v>
      </c>
      <c r="AB150" s="270" t="b">
        <v>1</v>
      </c>
      <c r="AC150" s="270" t="b">
        <v>1</v>
      </c>
      <c r="AD150" s="270" t="b">
        <v>1</v>
      </c>
      <c r="AE150" s="270" t="b">
        <v>1</v>
      </c>
      <c r="AF150" s="270" t="b">
        <v>1</v>
      </c>
      <c r="AG150" s="270" t="b">
        <v>1</v>
      </c>
      <c r="AH150" s="270" t="b">
        <v>1</v>
      </c>
      <c r="AI150" s="270" t="b">
        <v>1</v>
      </c>
      <c r="AJ150" s="270" t="b">
        <v>1</v>
      </c>
      <c r="AK150" s="270" t="b">
        <v>1</v>
      </c>
      <c r="AL150" s="270" t="b">
        <v>1</v>
      </c>
      <c r="AM150" s="270" t="b">
        <v>1</v>
      </c>
      <c r="AN150" s="270" t="b">
        <v>1</v>
      </c>
      <c r="AO150" s="270" t="b">
        <v>1</v>
      </c>
      <c r="AP150" s="270" t="b">
        <v>1</v>
      </c>
    </row>
    <row r="151" spans="3:42" x14ac:dyDescent="0.2">
      <c r="C151" s="1" t="s">
        <v>220</v>
      </c>
      <c r="E151" s="271">
        <v>1.06555</v>
      </c>
      <c r="F151" s="271">
        <v>1.2314000000000001</v>
      </c>
      <c r="G151" s="271">
        <v>1.0060500000000001</v>
      </c>
      <c r="H151" s="271">
        <v>114.625</v>
      </c>
      <c r="I151" s="271">
        <v>1.3266499999999999</v>
      </c>
      <c r="J151" s="271">
        <v>0.75470000000000004</v>
      </c>
      <c r="K151" s="271">
        <v>6.9790999999999999</v>
      </c>
      <c r="L151" s="271">
        <v>8.4648000000000003</v>
      </c>
      <c r="M151" s="271">
        <v>8.9327499999999986</v>
      </c>
      <c r="N151" s="271">
        <v>0.71720000000000006</v>
      </c>
      <c r="O151" s="271">
        <v>4.0972999999999997</v>
      </c>
      <c r="P151" s="271">
        <v>289.03999999999996</v>
      </c>
      <c r="Q151" s="271">
        <v>13.550850000000001</v>
      </c>
      <c r="R151" s="271">
        <v>25.359500000000001</v>
      </c>
      <c r="S151" s="271">
        <v>3.7893499999999998</v>
      </c>
      <c r="T151" s="271">
        <v>7.7568999999999999</v>
      </c>
      <c r="U151" s="271">
        <v>6.8706999999999994</v>
      </c>
      <c r="V151" s="271">
        <v>3.2232000000000003</v>
      </c>
      <c r="W151" s="271">
        <v>59.689149999999998</v>
      </c>
      <c r="X151" s="271">
        <v>68.164999999999992</v>
      </c>
      <c r="Y151" s="271">
        <v>21.904899999999998</v>
      </c>
      <c r="Z151" s="271">
        <v>1.4271</v>
      </c>
      <c r="AA151" s="271">
        <v>1177.5</v>
      </c>
      <c r="AB151" s="271">
        <v>35.388500000000001</v>
      </c>
      <c r="AC151" s="271">
        <v>659.21</v>
      </c>
      <c r="AD151" s="271">
        <v>2933.605</v>
      </c>
      <c r="AE151" s="271">
        <v>13378</v>
      </c>
      <c r="AF151" s="271">
        <v>3.3392499999999998</v>
      </c>
      <c r="AG151" s="271">
        <v>4.2183000000000002</v>
      </c>
      <c r="AH151" s="271">
        <v>3.8126500000000001</v>
      </c>
      <c r="AI151" s="271">
        <v>4.4522499999999994</v>
      </c>
      <c r="AJ151" s="271">
        <v>6.8376000000000001</v>
      </c>
      <c r="AK151" s="271">
        <v>3.6729500000000002</v>
      </c>
      <c r="AL151" s="271">
        <v>103.95</v>
      </c>
      <c r="AM151" s="271">
        <v>3.7505500000000001</v>
      </c>
      <c r="AN151" s="271">
        <v>18.841549999999998</v>
      </c>
      <c r="AO151" s="271">
        <v>31.591000000000001</v>
      </c>
      <c r="AP151" s="271">
        <v>49.977000000000004</v>
      </c>
    </row>
    <row r="152" spans="3:42" x14ac:dyDescent="0.2">
      <c r="C152" s="1" t="s">
        <v>23</v>
      </c>
      <c r="E152" s="271">
        <v>7.0386185537985091E-2</v>
      </c>
      <c r="F152" s="271">
        <v>3.8980022738346609E-2</v>
      </c>
      <c r="G152" s="271">
        <v>8.7470801650017346E-2</v>
      </c>
      <c r="H152" s="271">
        <v>2.7917121046892038E-4</v>
      </c>
      <c r="I152" s="271">
        <v>3.618135906229978E-2</v>
      </c>
      <c r="J152" s="271">
        <v>2.7825626076586746E-2</v>
      </c>
      <c r="K152" s="271">
        <v>0.4857359831496898</v>
      </c>
      <c r="L152" s="271">
        <v>5.9068141007466213E-2</v>
      </c>
      <c r="M152" s="271">
        <v>8.6199658559794029E-2</v>
      </c>
      <c r="N152" s="271">
        <v>7.8081427774679288E-2</v>
      </c>
      <c r="O152" s="271">
        <v>7.0778317428550508E-2</v>
      </c>
      <c r="P152" s="271">
        <v>1.6952670910600613E-3</v>
      </c>
      <c r="Q152" s="271">
        <v>0.16235143920861073</v>
      </c>
      <c r="R152" s="271">
        <v>2.4448431554249889E-2</v>
      </c>
      <c r="S152" s="271">
        <v>9.7642075817752652E-2</v>
      </c>
      <c r="T152" s="271">
        <v>1.2891747992110262E-2</v>
      </c>
      <c r="U152" s="271">
        <v>7.0055452865064733</v>
      </c>
      <c r="V152" s="271">
        <v>1.6076156200876945</v>
      </c>
      <c r="W152" s="271">
        <v>5.5286429778276004E-2</v>
      </c>
      <c r="X152" s="271">
        <v>4.4010856011121556E-2</v>
      </c>
      <c r="Y152" s="271">
        <v>0.12599920565718181</v>
      </c>
      <c r="Z152" s="271">
        <v>2.1301940999229205</v>
      </c>
      <c r="AA152" s="271">
        <v>2.473922274531205E-4</v>
      </c>
      <c r="AB152" s="271">
        <v>1.9376754756892378E-3</v>
      </c>
      <c r="AC152" s="271">
        <v>6.0678691160631615E-4</v>
      </c>
      <c r="AD152" s="271">
        <v>5.4053435473224164E-5</v>
      </c>
      <c r="AE152" s="271">
        <v>1.2458264812876868E-4</v>
      </c>
      <c r="AF152" s="271">
        <v>0.7401148675386866</v>
      </c>
      <c r="AG152" s="271">
        <v>8.7760472228148798E-2</v>
      </c>
      <c r="AH152" s="271">
        <v>4.1755734200621619</v>
      </c>
      <c r="AI152" s="271">
        <v>4.8924945130331832</v>
      </c>
      <c r="AJ152" s="271">
        <v>0</v>
      </c>
      <c r="AK152" s="271">
        <v>0.38116500360745448</v>
      </c>
      <c r="AL152" s="271">
        <v>0</v>
      </c>
      <c r="AM152" s="271">
        <v>0.23996480516190957</v>
      </c>
      <c r="AN152" s="271">
        <v>381.89154137682675</v>
      </c>
      <c r="AO152" s="271">
        <v>2.0952320657936132E-4</v>
      </c>
      <c r="AP152" s="271">
        <v>-2.5611781419451833E-4</v>
      </c>
    </row>
    <row r="153" spans="3:42" x14ac:dyDescent="0.2">
      <c r="C153" s="1" t="s">
        <v>30</v>
      </c>
      <c r="E153" s="271">
        <v>4.5047158744310492E-2</v>
      </c>
      <c r="F153" s="271">
        <v>6.0094201721617634E-2</v>
      </c>
      <c r="G153" s="271">
        <v>8.4488842502857667E-2</v>
      </c>
      <c r="H153" s="271">
        <v>1.1515812431842967E-3</v>
      </c>
      <c r="I153" s="271">
        <v>4.5226698827874723E-2</v>
      </c>
      <c r="J153" s="271">
        <v>3.9750894395123922E-2</v>
      </c>
      <c r="K153" s="271">
        <v>0.3682423235087619</v>
      </c>
      <c r="L153" s="271">
        <v>9.6871751252244565E-2</v>
      </c>
      <c r="M153" s="271">
        <v>7.6124373793064831E-2</v>
      </c>
      <c r="N153" s="271">
        <v>5.5772448410485266E-2</v>
      </c>
      <c r="O153" s="271">
        <v>0.34901032387181796</v>
      </c>
      <c r="P153" s="271">
        <v>3.3213396069748133E-3</v>
      </c>
      <c r="Q153" s="271">
        <v>0.15497182833549145</v>
      </c>
      <c r="R153" s="271">
        <v>2.1688124765866828E-2</v>
      </c>
      <c r="S153" s="271">
        <v>0.49876627917716776</v>
      </c>
      <c r="T153" s="271">
        <v>7.7350487952662144E-3</v>
      </c>
      <c r="U153" s="271">
        <v>8.0427758452559459</v>
      </c>
      <c r="V153" s="271">
        <v>1.557199884173075</v>
      </c>
      <c r="W153" s="271">
        <v>0.18428809926092096</v>
      </c>
      <c r="X153" s="271">
        <v>4.4010856011124165E-2</v>
      </c>
      <c r="Y153" s="271">
        <v>3.8347584330446771E-2</v>
      </c>
      <c r="Z153" s="271">
        <v>8.4086609207483703E-2</v>
      </c>
      <c r="AA153" s="271">
        <v>2.5403858580260211E-4</v>
      </c>
      <c r="AB153" s="271">
        <v>8.4773302061404137E-3</v>
      </c>
      <c r="AC153" s="271">
        <v>6.0678691160631626E-4</v>
      </c>
      <c r="AD153" s="271">
        <v>8.1810605040555693E-5</v>
      </c>
      <c r="AE153" s="271">
        <v>3.1145662032192164E-4</v>
      </c>
      <c r="AF153" s="271">
        <v>0.84920694338976555</v>
      </c>
      <c r="AG153" s="271">
        <v>0.23556883104568196</v>
      </c>
      <c r="AH153" s="271">
        <v>0.12065099078069058</v>
      </c>
      <c r="AI153" s="271">
        <v>5.9471639888965173</v>
      </c>
      <c r="AJ153" s="271">
        <v>4.3875043875043875</v>
      </c>
      <c r="AK153" s="271">
        <v>0.38116500360745448</v>
      </c>
      <c r="AL153" s="271">
        <v>0</v>
      </c>
      <c r="AM153" s="271">
        <v>0.26662756129101067</v>
      </c>
      <c r="AN153" s="271">
        <v>381.89154137682675</v>
      </c>
      <c r="AO153" s="271">
        <v>2.0500112298411845E-4</v>
      </c>
      <c r="AP153" s="271">
        <v>-2.3210676911376889E-4</v>
      </c>
    </row>
    <row r="154" spans="3:42" x14ac:dyDescent="0.2">
      <c r="C154" s="1" t="s">
        <v>41</v>
      </c>
      <c r="E154" s="287">
        <v>3.0031439162873659E-2</v>
      </c>
      <c r="F154" s="287">
        <v>4.6288777001786602E-2</v>
      </c>
      <c r="G154" s="287">
        <v>5.5663237413647419E-2</v>
      </c>
      <c r="H154" s="287">
        <v>4.3620501635768826E-4</v>
      </c>
      <c r="I154" s="287">
        <v>4.5226698827874723E-2</v>
      </c>
      <c r="J154" s="287">
        <v>6.4926460845369044E-2</v>
      </c>
      <c r="K154" s="287">
        <v>0.12609075668782507</v>
      </c>
      <c r="L154" s="287">
        <v>4.9617238446271611E-2</v>
      </c>
      <c r="M154" s="287">
        <v>5.5973804259606512E-2</v>
      </c>
      <c r="N154" s="287">
        <v>3.9040713887339644E-2</v>
      </c>
      <c r="O154" s="287">
        <v>6.8337685793083261E-2</v>
      </c>
      <c r="P154" s="287">
        <v>2.0758372543592586E-3</v>
      </c>
      <c r="Q154" s="287">
        <v>9.5934941350542632E-2</v>
      </c>
      <c r="R154" s="287">
        <v>3.7855635954967569E-2</v>
      </c>
      <c r="S154" s="287">
        <v>0.49876627917716776</v>
      </c>
      <c r="T154" s="287">
        <v>1.4180922791321288E-2</v>
      </c>
      <c r="U154" s="287">
        <v>8.3885193648391017</v>
      </c>
      <c r="V154" s="287">
        <v>1.5403946388682019</v>
      </c>
      <c r="W154" s="287">
        <v>0.18428809926092096</v>
      </c>
      <c r="X154" s="287">
        <v>4.4010856011125032E-2</v>
      </c>
      <c r="Y154" s="287">
        <v>0.28669384475619636</v>
      </c>
      <c r="Z154" s="287">
        <v>0.11211547894331163</v>
      </c>
      <c r="AA154" s="287">
        <v>2.5625403858576265E-4</v>
      </c>
      <c r="AB154" s="287">
        <v>1.0657215116290805E-2</v>
      </c>
      <c r="AC154" s="287">
        <v>6.0678691160631626E-4</v>
      </c>
      <c r="AD154" s="287">
        <v>9.1062994896332869E-5</v>
      </c>
      <c r="AE154" s="287">
        <v>3.7374794438630598E-4</v>
      </c>
      <c r="AF154" s="287">
        <v>0.88557096867345853</v>
      </c>
      <c r="AG154" s="287">
        <v>0.93125192613137997</v>
      </c>
      <c r="AH154" s="287">
        <v>0.14088438675012316</v>
      </c>
      <c r="AI154" s="287">
        <v>6.298720480850962</v>
      </c>
      <c r="AJ154" s="287">
        <v>0.58500058500058494</v>
      </c>
      <c r="AK154" s="287">
        <v>0.16335643011748049</v>
      </c>
      <c r="AL154" s="271">
        <v>0</v>
      </c>
      <c r="AM154" s="287">
        <v>0.26662756129101067</v>
      </c>
      <c r="AN154" s="287">
        <v>380.18558527752191</v>
      </c>
      <c r="AO154" s="287">
        <v>2.0349376178570414E-4</v>
      </c>
      <c r="AP154" s="287">
        <v>-2.3210676911376889E-4</v>
      </c>
    </row>
    <row r="155" spans="3:42" x14ac:dyDescent="0.2">
      <c r="C155" s="1" t="s">
        <v>92</v>
      </c>
      <c r="E155" s="271">
        <v>0.18769649476796038</v>
      </c>
      <c r="F155" s="271">
        <v>0.35731687510151044</v>
      </c>
      <c r="G155" s="271">
        <v>0.17891754882958116</v>
      </c>
      <c r="H155" s="271">
        <v>2.1810250817884385E-3</v>
      </c>
      <c r="I155" s="271">
        <v>0.13568009648362422</v>
      </c>
      <c r="J155" s="271">
        <v>0.14575327944878744</v>
      </c>
      <c r="K155" s="1">
        <v>0.48430313364187344</v>
      </c>
      <c r="L155" s="1">
        <v>0.69345997542765347</v>
      </c>
      <c r="M155" s="1">
        <v>0.15896560409728269</v>
      </c>
      <c r="N155" s="271">
        <v>0.18126045733407711</v>
      </c>
      <c r="O155" s="1">
        <v>0.17328484611817538</v>
      </c>
      <c r="P155" s="1">
        <v>3.4597287572654309E-3</v>
      </c>
      <c r="Q155" s="1">
        <v>0.21400871532043947</v>
      </c>
      <c r="R155" s="1">
        <v>0.36357183698416762</v>
      </c>
      <c r="S155" s="1">
        <v>0.58321347988441319</v>
      </c>
      <c r="T155" s="1">
        <v>0.31455865100749025</v>
      </c>
      <c r="U155" s="1">
        <v>11.845954560670675</v>
      </c>
      <c r="V155" s="1">
        <v>1.439563167038963</v>
      </c>
      <c r="W155" s="1">
        <v>0.78908813410812562</v>
      </c>
      <c r="X155" s="1">
        <v>4.4010856011130244E-2</v>
      </c>
      <c r="Y155" s="1">
        <v>1.7767714073106939</v>
      </c>
      <c r="Z155" s="1">
        <v>0.51853409011281615</v>
      </c>
      <c r="AA155" s="1">
        <v>2.7176220806788648E-4</v>
      </c>
      <c r="AB155" s="1">
        <v>2.3736524577193156E-2</v>
      </c>
      <c r="AC155" s="1">
        <v>6.0678691160631648E-4</v>
      </c>
      <c r="AD155" s="1">
        <v>1.465773340309959E-4</v>
      </c>
      <c r="AE155" s="1">
        <v>7.4749588877261175E-4</v>
      </c>
      <c r="AF155" s="1">
        <v>1.103755120375616</v>
      </c>
      <c r="AG155" s="1">
        <v>0.36744660171158994</v>
      </c>
      <c r="AH155" s="1">
        <v>0.26228476256671868</v>
      </c>
      <c r="AI155" s="1">
        <v>8.7596159245320742</v>
      </c>
      <c r="AJ155" s="1">
        <v>2.925002925002925</v>
      </c>
      <c r="AK155" s="1">
        <v>0.81678215058740244</v>
      </c>
      <c r="AL155" s="271">
        <v>0</v>
      </c>
      <c r="AM155" s="1">
        <v>0.85320819613123411</v>
      </c>
      <c r="AN155" s="1">
        <v>369.94984868169286</v>
      </c>
      <c r="AO155" s="1">
        <v>1.8992751099997554E-4</v>
      </c>
      <c r="AP155" s="1">
        <v>-2.0009204233943634E-4</v>
      </c>
    </row>
    <row r="156" spans="3:42" x14ac:dyDescent="0.2">
      <c r="C156" s="1" t="s">
        <v>55</v>
      </c>
      <c r="E156" s="271">
        <v>0.16892684529116475</v>
      </c>
      <c r="F156" s="271">
        <v>0.1380542471983108</v>
      </c>
      <c r="G156" s="271">
        <v>0.25843645942050569</v>
      </c>
      <c r="H156" s="271">
        <v>4.53653217011996E-3</v>
      </c>
      <c r="I156" s="271">
        <v>0.27889797610522737</v>
      </c>
      <c r="J156" s="271">
        <v>0.22525506823903527</v>
      </c>
      <c r="K156" s="1">
        <v>0.4083621097276155</v>
      </c>
      <c r="L156" s="1">
        <v>0.40875153577166629</v>
      </c>
      <c r="M156" s="1">
        <v>0.26195740393495887</v>
      </c>
      <c r="N156" s="271">
        <v>0.27886224205242571</v>
      </c>
      <c r="O156" s="1">
        <v>0.34656969223635076</v>
      </c>
      <c r="P156" s="1">
        <v>6.5388873512316663E-3</v>
      </c>
      <c r="Q156" s="1">
        <v>1.0626639657290853</v>
      </c>
      <c r="R156" s="1">
        <v>0.3548965870778209</v>
      </c>
      <c r="S156" s="1">
        <v>0.97378178315542185</v>
      </c>
      <c r="T156" s="1">
        <v>4.6410292771596827E-2</v>
      </c>
      <c r="U156" s="1">
        <v>12.883185119420148</v>
      </c>
      <c r="V156" s="1">
        <v>1.3219264499048511</v>
      </c>
      <c r="W156" s="1">
        <v>1.2615358067588491</v>
      </c>
      <c r="X156" s="1">
        <v>4.4010856011136322E-2</v>
      </c>
      <c r="Y156" s="1">
        <v>1.3668174700637756</v>
      </c>
      <c r="Z156" s="1">
        <v>1.8358909676967277</v>
      </c>
      <c r="AA156" s="1">
        <v>2.8505492476684977E-4</v>
      </c>
      <c r="AB156" s="1">
        <v>2.0934295981274519E-2</v>
      </c>
      <c r="AC156" s="1">
        <v>6.0678691160631669E-4</v>
      </c>
      <c r="AD156" s="1">
        <v>2.1134406302143611E-4</v>
      </c>
      <c r="AE156" s="1">
        <v>1.183535157223302E-3</v>
      </c>
      <c r="AF156" s="1">
        <v>1.3583032973614664</v>
      </c>
      <c r="AG156" s="1">
        <v>0.68641395822961859</v>
      </c>
      <c r="AH156" s="1">
        <v>0.41987419074222204</v>
      </c>
      <c r="AI156" s="1">
        <v>10.868954876258741</v>
      </c>
      <c r="AJ156" s="1">
        <v>4.2851292851292824</v>
      </c>
      <c r="AK156" s="1">
        <v>0.7373727748358494</v>
      </c>
      <c r="AL156" s="271">
        <v>0</v>
      </c>
      <c r="AM156" s="1">
        <v>1.0665102451640427</v>
      </c>
      <c r="AN156" s="1">
        <v>358.00815598655896</v>
      </c>
      <c r="AO156" s="1">
        <v>1.8389806620631839E-4</v>
      </c>
      <c r="AP156" s="1">
        <v>-1.4406627048435436E-4</v>
      </c>
    </row>
    <row r="157" spans="3:42" x14ac:dyDescent="0.2">
      <c r="C157" s="1" t="s">
        <v>63</v>
      </c>
      <c r="E157" s="271">
        <v>0.24400544319834808</v>
      </c>
      <c r="F157" s="271">
        <v>0.17053759948026634</v>
      </c>
      <c r="G157" s="271">
        <v>0.49699319119328061</v>
      </c>
      <c r="H157" s="271">
        <v>4.01308615049073E-3</v>
      </c>
      <c r="I157" s="271">
        <v>0.3316624580710813</v>
      </c>
      <c r="J157" s="271">
        <v>0.13250298131707916</v>
      </c>
      <c r="K157" s="1">
        <v>0.64621512802510228</v>
      </c>
      <c r="L157" s="1">
        <v>0.29770343067762989</v>
      </c>
      <c r="M157" s="1">
        <v>0.33360387338725528</v>
      </c>
      <c r="N157" s="271">
        <v>0.27886224205242632</v>
      </c>
      <c r="O157" s="1">
        <v>0.58331096087667511</v>
      </c>
      <c r="P157" s="1">
        <v>1.313475847023006E-2</v>
      </c>
      <c r="Q157" s="1">
        <v>0.78223875255057962</v>
      </c>
      <c r="R157" s="1">
        <v>0.32453321240560723</v>
      </c>
      <c r="S157" s="1">
        <v>0.55418475464129591</v>
      </c>
      <c r="T157" s="1">
        <v>0.2410756874524618</v>
      </c>
      <c r="U157" s="1">
        <v>15.303389756502249</v>
      </c>
      <c r="V157" s="1">
        <v>1.2042897327707391</v>
      </c>
      <c r="W157" s="1">
        <v>1.3527491084132459</v>
      </c>
      <c r="X157" s="1">
        <v>4.40108560111424E-2</v>
      </c>
      <c r="Y157" s="1">
        <v>1.3156873576231773</v>
      </c>
      <c r="Z157" s="1">
        <v>0.43444748090533258</v>
      </c>
      <c r="AA157" s="1">
        <v>3.0056309424897354E-4</v>
      </c>
      <c r="AB157" s="1">
        <v>1.7731749014510363E-2</v>
      </c>
      <c r="AC157" s="1">
        <v>5.4432355305860758E-4</v>
      </c>
      <c r="AD157" s="1">
        <v>3.5170539519886057E-4</v>
      </c>
      <c r="AE157" s="1">
        <v>1.6195744256739921E-3</v>
      </c>
      <c r="AF157" s="1">
        <v>1.612851474347317</v>
      </c>
      <c r="AG157" s="1">
        <v>0.73859137567266442</v>
      </c>
      <c r="AH157" s="1">
        <v>0.57746361891772535</v>
      </c>
      <c r="AI157" s="1">
        <v>13.329850319939855</v>
      </c>
      <c r="AJ157" s="1">
        <v>4.3875043875043875</v>
      </c>
      <c r="AK157" s="1">
        <v>0.65796339908429646</v>
      </c>
      <c r="AL157" s="271">
        <v>0</v>
      </c>
      <c r="AM157" s="1">
        <v>2.093026356134434</v>
      </c>
      <c r="AN157" s="1">
        <v>346.06646329142507</v>
      </c>
      <c r="AO157" s="1">
        <v>1.7334653781741837E-4</v>
      </c>
      <c r="AP157" s="1">
        <v>-8.804049862927237E-5</v>
      </c>
    </row>
    <row r="158" spans="3:42" x14ac:dyDescent="0.2">
      <c r="C158" s="1" t="s">
        <v>66</v>
      </c>
      <c r="E158" s="271">
        <v>0.21585096898315298</v>
      </c>
      <c r="F158" s="271">
        <v>0.24362514211466679</v>
      </c>
      <c r="G158" s="271">
        <v>0.41747428060235742</v>
      </c>
      <c r="H158" s="271">
        <v>5.234460196292254E-3</v>
      </c>
      <c r="I158" s="271">
        <v>0.316586891795123</v>
      </c>
      <c r="J158" s="271">
        <v>0.13250298131707916</v>
      </c>
      <c r="K158" s="1">
        <v>0.70639480735338467</v>
      </c>
      <c r="L158" s="1">
        <v>0.35677157168509627</v>
      </c>
      <c r="M158" s="1">
        <v>0.50264476225126753</v>
      </c>
      <c r="N158" s="271">
        <v>0.51589514779698842</v>
      </c>
      <c r="O158" s="1">
        <v>0.41734800966490149</v>
      </c>
      <c r="P158" s="1">
        <v>2.255743149737062E-2</v>
      </c>
      <c r="Q158" s="1">
        <v>1.217635794064579</v>
      </c>
      <c r="R158" s="1">
        <v>0.93180070584987884</v>
      </c>
      <c r="S158" s="1">
        <v>1.2086505601224442</v>
      </c>
      <c r="T158" s="1">
        <v>0.30424525261380181</v>
      </c>
      <c r="U158" s="1">
        <v>18.76082495233382</v>
      </c>
      <c r="V158" s="1">
        <v>1.0362372797220076</v>
      </c>
      <c r="W158" s="1">
        <v>1.4960842967272978</v>
      </c>
      <c r="X158" s="1">
        <v>4.4010856011151088E-2</v>
      </c>
      <c r="Y158" s="1">
        <v>1.8881620094134197</v>
      </c>
      <c r="Z158" s="1">
        <v>0.43444748090533258</v>
      </c>
      <c r="AA158" s="1">
        <v>3.2271762208057898E-4</v>
      </c>
      <c r="AB158" s="1">
        <v>1.4128883676900688E-2</v>
      </c>
      <c r="AC158" s="1">
        <v>4.5509018370473752E-4</v>
      </c>
      <c r="AD158" s="1">
        <v>5.5222158402375263E-4</v>
      </c>
      <c r="AE158" s="1">
        <v>2.2424876663178351E-3</v>
      </c>
      <c r="AF158" s="1">
        <v>1.9764917271842464</v>
      </c>
      <c r="AG158" s="1">
        <v>1.0457530284711851</v>
      </c>
      <c r="AH158" s="1">
        <v>0.80259137345415887</v>
      </c>
      <c r="AI158" s="1">
        <v>16.8454152394843</v>
      </c>
      <c r="AJ158" s="1">
        <v>4.3875043875043875</v>
      </c>
      <c r="AK158" s="1">
        <v>0.544521433724935</v>
      </c>
      <c r="AL158" s="271">
        <v>0</v>
      </c>
      <c r="AM158" s="1">
        <v>3.9994134193651596</v>
      </c>
      <c r="AN158" s="1">
        <v>329.00690229837664</v>
      </c>
      <c r="AO158" s="1">
        <v>1.5827292583327546E-4</v>
      </c>
      <c r="AP158" s="1">
        <v>1.4217394716771717E-16</v>
      </c>
    </row>
    <row r="159" spans="3:42" x14ac:dyDescent="0.2">
      <c r="C159" s="1" t="s">
        <v>71</v>
      </c>
      <c r="E159" s="271">
        <v>0.3096992163671361</v>
      </c>
      <c r="F159" s="271">
        <v>0.25174598018515548</v>
      </c>
      <c r="G159" s="271">
        <v>0.45723373589781902</v>
      </c>
      <c r="H159" s="271">
        <v>7.677208287895333E-3</v>
      </c>
      <c r="I159" s="271">
        <v>0.42965363886480945</v>
      </c>
      <c r="J159" s="271">
        <v>0.31800715516099137</v>
      </c>
      <c r="K159" s="1">
        <v>1.1247868636357157</v>
      </c>
      <c r="L159" s="1">
        <v>0.7584349305358663</v>
      </c>
      <c r="M159" s="1">
        <v>0.49033052531415255</v>
      </c>
      <c r="N159" s="271">
        <v>0.43223647518125863</v>
      </c>
      <c r="O159" s="1">
        <v>2.1965684719205334</v>
      </c>
      <c r="P159" s="1">
        <v>3.9510102407971225E-2</v>
      </c>
      <c r="Q159" s="1">
        <v>1.6530328355785866</v>
      </c>
      <c r="R159" s="1">
        <v>0.98779550069993538</v>
      </c>
      <c r="S159" s="1">
        <v>1.9449245912887447</v>
      </c>
      <c r="T159" s="1">
        <v>0.9178924570382504</v>
      </c>
      <c r="U159" s="1">
        <v>9.3149169662479814</v>
      </c>
      <c r="V159" s="1">
        <v>2.8418962521717623</v>
      </c>
      <c r="W159" s="1">
        <v>2.9352068173193926</v>
      </c>
      <c r="X159" s="1">
        <v>2.9340570674093777E-2</v>
      </c>
      <c r="Y159" s="1">
        <v>4.8162739843596647</v>
      </c>
      <c r="Z159" s="1">
        <v>1.5345806180365773</v>
      </c>
      <c r="AA159" s="1">
        <v>2.0382165605077005E-4</v>
      </c>
      <c r="AB159" s="1">
        <v>2.3453946903655144E-2</v>
      </c>
      <c r="AC159" s="1">
        <v>6.0678691160631648E-4</v>
      </c>
      <c r="AD159" s="1">
        <v>1.0226325630069489E-3</v>
      </c>
      <c r="AE159" s="1">
        <v>2.989983555090447E-3</v>
      </c>
      <c r="AF159" s="1">
        <v>2.9946844351276485</v>
      </c>
      <c r="AG159" s="1">
        <v>2.8212787141739555</v>
      </c>
      <c r="AH159" s="1">
        <v>1.7337022805660103</v>
      </c>
      <c r="AI159" s="1">
        <v>16.845415239484304</v>
      </c>
      <c r="AJ159" s="1">
        <v>5.1187551187551188</v>
      </c>
      <c r="AK159" s="1">
        <v>1.9058250180372724</v>
      </c>
      <c r="AL159" s="271">
        <v>0</v>
      </c>
      <c r="AM159" s="1">
        <v>6.6656890322752664</v>
      </c>
      <c r="AN159" s="1">
        <v>281.24013151784106</v>
      </c>
      <c r="AO159" s="1">
        <v>-3.1654585166666341E-4</v>
      </c>
      <c r="AP159" s="1">
        <v>4.0018408467901482E-4</v>
      </c>
    </row>
    <row r="160" spans="3:42" x14ac:dyDescent="0.2">
      <c r="C160" s="1" t="s">
        <v>77</v>
      </c>
      <c r="E160" s="271">
        <v>0.3753929895359191</v>
      </c>
      <c r="F160" s="271">
        <v>0.46288777001786319</v>
      </c>
      <c r="G160" s="271">
        <v>0.53675264648874921</v>
      </c>
      <c r="H160" s="271">
        <v>5.8451472191929739E-3</v>
      </c>
      <c r="I160" s="271">
        <v>0.59548486790034993</v>
      </c>
      <c r="J160" s="271">
        <v>0.35775804955611445</v>
      </c>
      <c r="K160" s="1">
        <v>1.7724348411686246</v>
      </c>
      <c r="L160" s="1">
        <v>1.3231263585672435</v>
      </c>
      <c r="M160" s="1">
        <v>0.7366152640564263</v>
      </c>
      <c r="N160" s="271">
        <v>0.65532626882319966</v>
      </c>
      <c r="O160" s="1">
        <v>1.7060015131916146</v>
      </c>
      <c r="P160" s="1">
        <v>3.8887351231663474E-2</v>
      </c>
      <c r="Q160" s="1">
        <v>2.0662910444732248</v>
      </c>
      <c r="R160" s="1">
        <v>1.0820402610461561</v>
      </c>
      <c r="S160" s="1">
        <v>2.4621636956206019</v>
      </c>
      <c r="T160" s="1">
        <v>0.85859041627454225</v>
      </c>
      <c r="U160" s="1">
        <v>9.9669611538853431</v>
      </c>
      <c r="V160" s="1">
        <v>1.3526929759245512</v>
      </c>
      <c r="W160" s="1">
        <v>7.7803084815246937</v>
      </c>
      <c r="X160" s="1">
        <v>7.3351426685244872E-2</v>
      </c>
      <c r="Y160" s="1">
        <v>4.2401471816808165</v>
      </c>
      <c r="Z160" s="1">
        <v>1.7658187933571576</v>
      </c>
      <c r="AA160" s="1">
        <v>2.7176220806788648E-4</v>
      </c>
      <c r="AB160" s="1">
        <v>2.5149412944883216E-2</v>
      </c>
      <c r="AC160" s="1">
        <v>4.5509018370473785E-4</v>
      </c>
      <c r="AD160" s="1">
        <v>8.5219380250579067E-4</v>
      </c>
      <c r="AE160" s="1">
        <v>2.989983555090447E-3</v>
      </c>
      <c r="AF160" s="1">
        <v>1.9764917271842548</v>
      </c>
      <c r="AG160" s="1">
        <v>2.3386198231515087</v>
      </c>
      <c r="AH160" s="1">
        <v>2.7094015973142036</v>
      </c>
      <c r="AI160" s="1">
        <v>16.845415239484304</v>
      </c>
      <c r="AJ160" s="1">
        <v>5.85000585000585</v>
      </c>
      <c r="AK160" s="1">
        <v>1.9058250180372724</v>
      </c>
      <c r="AL160" s="271">
        <v>0</v>
      </c>
      <c r="AM160" s="1">
        <v>4.2660409806561708</v>
      </c>
      <c r="AN160" s="1">
        <v>249.39561766414946</v>
      </c>
      <c r="AO160" s="1">
        <v>4.7481877749993884E-4</v>
      </c>
      <c r="AP160" s="1">
        <v>6.002761270185933E-4</v>
      </c>
    </row>
    <row r="161" spans="3:42" x14ac:dyDescent="0.2">
      <c r="C161" s="1" t="s">
        <v>82</v>
      </c>
      <c r="E161" s="271">
        <v>0.47862606165829669</v>
      </c>
      <c r="F161" s="271">
        <v>0.69027123599155549</v>
      </c>
      <c r="G161" s="271">
        <v>1.4909795735798419</v>
      </c>
      <c r="H161" s="271">
        <v>8.7241003271537627E-3</v>
      </c>
      <c r="I161" s="271">
        <v>0.52764481965853793</v>
      </c>
      <c r="J161" s="271">
        <v>0.83476878229760509</v>
      </c>
      <c r="K161" s="1">
        <v>1.4815663910819412</v>
      </c>
      <c r="L161" s="1">
        <v>0.81514034590303441</v>
      </c>
      <c r="M161" s="1">
        <v>1.0097674288432994</v>
      </c>
      <c r="N161" s="271">
        <v>0.89235917456776426</v>
      </c>
      <c r="O161" s="1">
        <v>2.9751299636345885</v>
      </c>
      <c r="P161" s="1">
        <v>4.7848048712980901E-2</v>
      </c>
      <c r="Q161" s="1">
        <v>2.0884298770925609</v>
      </c>
      <c r="R161" s="1">
        <v>1.1041227153532207</v>
      </c>
      <c r="S161" s="1">
        <v>3.3646931531793052</v>
      </c>
      <c r="T161" s="1">
        <v>0.7142028387629068</v>
      </c>
      <c r="U161" s="1">
        <v>9.9859780430901353</v>
      </c>
      <c r="V161" s="1">
        <v>4.5185454902506414</v>
      </c>
      <c r="W161" s="1">
        <v>6.9284224746314722</v>
      </c>
      <c r="X161" s="1">
        <v>7.802657256188951E-2</v>
      </c>
      <c r="Y161" s="1">
        <v>5.650469394197966</v>
      </c>
      <c r="Z161" s="1">
        <v>4.3164459393174974</v>
      </c>
      <c r="AA161" s="1">
        <v>2.9341359277657632E-4</v>
      </c>
      <c r="AB161" s="1">
        <v>3.4424792185081536E-2</v>
      </c>
      <c r="AC161" s="1">
        <v>3.0339345580315856E-4</v>
      </c>
      <c r="AD161" s="1">
        <v>1.5407663949304682E-3</v>
      </c>
      <c r="AE161" s="1">
        <v>3.222537831597482E-3</v>
      </c>
      <c r="AF161" s="1">
        <v>1.9764917271842439</v>
      </c>
      <c r="AG161" s="1">
        <v>3.6026400406600994</v>
      </c>
      <c r="AH161" s="1">
        <v>2.3917776320960455</v>
      </c>
      <c r="AI161" s="1">
        <v>17.561191125118363</v>
      </c>
      <c r="AJ161" s="1">
        <v>5.85000585000585</v>
      </c>
      <c r="AK161" s="1">
        <v>2.5837542030248168</v>
      </c>
      <c r="AL161" s="271">
        <v>0</v>
      </c>
      <c r="AM161" s="1">
        <v>4.6176377647761848</v>
      </c>
      <c r="AN161" s="1">
        <v>265.46368280461087</v>
      </c>
      <c r="AO161" s="1">
        <v>2.226256539193733E-4</v>
      </c>
      <c r="AP161" s="1">
        <v>6.0027612701854332E-4</v>
      </c>
    </row>
    <row r="162" spans="3:42" x14ac:dyDescent="0.2">
      <c r="C162" s="1" t="s">
        <v>85</v>
      </c>
      <c r="E162" s="271">
        <v>0.52555018535027742</v>
      </c>
      <c r="F162" s="271">
        <v>0.72275458827351025</v>
      </c>
      <c r="G162" s="271">
        <v>1.6698971224094155</v>
      </c>
      <c r="H162" s="271">
        <v>1.0992366412213786E-2</v>
      </c>
      <c r="I162" s="271">
        <v>0.6633249161421646</v>
      </c>
      <c r="J162" s="271">
        <v>0.79501788790247496</v>
      </c>
      <c r="K162" s="1">
        <v>2.6593686865068484</v>
      </c>
      <c r="L162" s="1">
        <v>1.4554389944239667</v>
      </c>
      <c r="M162" s="1">
        <v>1.463155243346107</v>
      </c>
      <c r="N162" s="271">
        <v>1.3245956497490279</v>
      </c>
      <c r="O162" s="1">
        <v>4.1832426231908819</v>
      </c>
      <c r="P162" s="1">
        <v>5.1826736783836168E-2</v>
      </c>
      <c r="Q162" s="1">
        <v>2.6271414708302365</v>
      </c>
      <c r="R162" s="1">
        <v>1.4270786095940375</v>
      </c>
      <c r="S162" s="1">
        <v>3.2089936268753436</v>
      </c>
      <c r="T162" s="1">
        <v>0.9643027498098472</v>
      </c>
      <c r="U162" s="1">
        <v>10.006306441895257</v>
      </c>
      <c r="V162" s="1">
        <v>7.9027326607371515</v>
      </c>
      <c r="W162" s="1">
        <v>6.1564007808844909</v>
      </c>
      <c r="X162" s="1">
        <v>8.3024142292095843E-2</v>
      </c>
      <c r="Y162" s="1">
        <v>7.158055207578367</v>
      </c>
      <c r="Z162" s="1">
        <v>3.7698829794688526</v>
      </c>
      <c r="AA162" s="1">
        <v>3.1655817643069307E-4</v>
      </c>
      <c r="AB162" s="1">
        <v>4.4339852752190087E-2</v>
      </c>
      <c r="AC162" s="1">
        <v>3.0339345580315721E-4</v>
      </c>
      <c r="AD162" s="1">
        <v>1.7043876050115813E-3</v>
      </c>
      <c r="AE162" s="1">
        <v>3.4800086377302702E-3</v>
      </c>
      <c r="AF162" s="1">
        <v>1.9764917271842324</v>
      </c>
      <c r="AG162" s="1">
        <v>4.95383406627273</v>
      </c>
      <c r="AH162" s="1">
        <v>2.0522485658283594</v>
      </c>
      <c r="AI162" s="1">
        <v>18.326330864934079</v>
      </c>
      <c r="AJ162" s="1">
        <v>5.85000585000585</v>
      </c>
      <c r="AK162" s="1">
        <v>2.6621389416698977</v>
      </c>
      <c r="AL162" s="271">
        <v>0</v>
      </c>
      <c r="AM162" s="1">
        <v>5.0043942273082003</v>
      </c>
      <c r="AN162" s="1">
        <v>285.96431763899267</v>
      </c>
      <c r="AO162" s="1">
        <v>-4.6960098873645082E-5</v>
      </c>
      <c r="AP162" s="1">
        <v>6.00276127018498E-4</v>
      </c>
    </row>
    <row r="163" spans="3:42" x14ac:dyDescent="0.2">
      <c r="C163" s="1" t="s">
        <v>87</v>
      </c>
      <c r="E163" s="271">
        <v>0.6569377316878634</v>
      </c>
      <c r="F163" s="271">
        <v>1.0232255968815964</v>
      </c>
      <c r="G163" s="271">
        <v>2.0973112668356437</v>
      </c>
      <c r="H163" s="271">
        <v>1.5616139585605164E-2</v>
      </c>
      <c r="I163" s="271">
        <v>1.2889609165944302</v>
      </c>
      <c r="J163" s="271">
        <v>0.92752086921955645</v>
      </c>
      <c r="K163" s="1">
        <v>2.682294278631919</v>
      </c>
      <c r="L163" s="1">
        <v>4.0355353936300942</v>
      </c>
      <c r="M163" s="1">
        <v>1.8314628753743138</v>
      </c>
      <c r="N163" s="271">
        <v>1.3943112102621305</v>
      </c>
      <c r="O163" s="1">
        <v>2.7969638542454809</v>
      </c>
      <c r="P163" s="1">
        <v>6.5112095211735388E-2</v>
      </c>
      <c r="Q163" s="1">
        <v>3.5717316625894049</v>
      </c>
      <c r="R163" s="1">
        <v>1.7358386403517412</v>
      </c>
      <c r="S163" s="1">
        <v>4.9982186918600364</v>
      </c>
      <c r="T163" s="1">
        <v>1.7068674341553984</v>
      </c>
      <c r="U163" s="1">
        <v>10.02663484070038</v>
      </c>
      <c r="V163" s="1">
        <v>11.286919831223662</v>
      </c>
      <c r="W163" s="1">
        <v>5.357757649422096</v>
      </c>
      <c r="X163" s="1">
        <v>8.8021712022302176E-2</v>
      </c>
      <c r="Y163" s="1">
        <v>8.665641020958768</v>
      </c>
      <c r="Z163" s="1">
        <v>2.8309158433186177</v>
      </c>
      <c r="AA163" s="1">
        <v>3.3970276008480981E-4</v>
      </c>
      <c r="AB163" s="1">
        <v>5.4254913319298638E-2</v>
      </c>
      <c r="AC163" s="1">
        <v>5.3093854765552651E-4</v>
      </c>
      <c r="AD163" s="1">
        <v>2.1986600104649408E-3</v>
      </c>
      <c r="AE163" s="1">
        <v>3.7374794438630589E-3</v>
      </c>
      <c r="AF163" s="1">
        <v>1.9764917271842208</v>
      </c>
      <c r="AG163" s="1">
        <v>6.3050280918853616</v>
      </c>
      <c r="AH163" s="1">
        <v>1.7127194995606734</v>
      </c>
      <c r="AI163" s="1">
        <v>19.091470604749798</v>
      </c>
      <c r="AJ163" s="1">
        <v>6.5812565812565813</v>
      </c>
      <c r="AK163" s="1">
        <v>2.7226071686246747</v>
      </c>
      <c r="AL163" s="271">
        <v>0</v>
      </c>
      <c r="AM163" s="1">
        <v>5.3325512258202128</v>
      </c>
      <c r="AN163" s="1">
        <v>299.8160979324939</v>
      </c>
      <c r="AO163" s="1">
        <v>-3.1654585166666341E-4</v>
      </c>
      <c r="AP163" s="1">
        <v>6.0027612701845116E-4</v>
      </c>
    </row>
    <row r="164" spans="3:42" x14ac:dyDescent="0.2">
      <c r="C164" s="1" t="s">
        <v>90</v>
      </c>
      <c r="E164" s="271">
        <v>0.90094317488621645</v>
      </c>
      <c r="F164" s="271">
        <v>1.5429592333928908</v>
      </c>
      <c r="G164" s="271">
        <v>3.0415983301028797</v>
      </c>
      <c r="H164" s="271">
        <v>2.1461286804798325E-2</v>
      </c>
      <c r="I164" s="271">
        <v>2.3970150378773658</v>
      </c>
      <c r="J164" s="271">
        <v>1.6695375645952006</v>
      </c>
      <c r="K164" s="1">
        <v>4.6352681577853909</v>
      </c>
      <c r="L164" s="1">
        <v>2.3698138172195446</v>
      </c>
      <c r="M164" s="1">
        <v>2.2792533094511787</v>
      </c>
      <c r="N164" s="271">
        <v>3.2069157836028959</v>
      </c>
      <c r="O164" s="1">
        <v>3.4229456385510382</v>
      </c>
      <c r="P164" s="1">
        <v>7.3144682848169051E-2</v>
      </c>
      <c r="Q164" s="1">
        <v>4.6178523248227101</v>
      </c>
      <c r="R164" s="1">
        <v>1.6727459137601322</v>
      </c>
      <c r="S164" s="1">
        <v>5.6838932454286502</v>
      </c>
      <c r="T164" s="1">
        <v>2.195620517372765</v>
      </c>
      <c r="U164" s="1">
        <v>11.519356682149411</v>
      </c>
      <c r="V164" s="1">
        <v>13.688464675061834</v>
      </c>
      <c r="W164" s="1">
        <v>6.4929140679526025</v>
      </c>
      <c r="X164" s="1">
        <v>9.2858069825720799E-2</v>
      </c>
      <c r="Y164" s="1">
        <v>7.3326561135224866</v>
      </c>
      <c r="Z164" s="1">
        <v>4.6697329018119431</v>
      </c>
      <c r="AA164" s="1">
        <v>3.6490049228888856E-4</v>
      </c>
      <c r="AB164" s="1">
        <v>7.4342500112109633E-2</v>
      </c>
      <c r="AC164" s="1">
        <v>5.6594548486358341E-4</v>
      </c>
      <c r="AD164" s="1">
        <v>2.1480902683382232E-3</v>
      </c>
      <c r="AE164" s="1">
        <v>3.8606930519025002E-3</v>
      </c>
      <c r="AF164" s="1">
        <v>2.6675727506752169</v>
      </c>
      <c r="AG164" s="1">
        <v>6.9073878258858024</v>
      </c>
      <c r="AH164" s="1">
        <v>1.9954682381078732</v>
      </c>
      <c r="AI164" s="1">
        <v>22.423530762010166</v>
      </c>
      <c r="AJ164" s="1">
        <v>6.5812565812565813</v>
      </c>
      <c r="AK164" s="1">
        <v>4.5177327743112734</v>
      </c>
      <c r="AL164" s="271">
        <v>0</v>
      </c>
      <c r="AM164" s="1">
        <v>11.172274443226586</v>
      </c>
      <c r="AN164" s="1">
        <v>269.19637307317612</v>
      </c>
      <c r="AO164" s="1">
        <v>4.8699361794815653E-5</v>
      </c>
      <c r="AP164" s="1">
        <v>6.0027612701850212E-4</v>
      </c>
    </row>
    <row r="165" spans="3:42" x14ac:dyDescent="0.2">
      <c r="C165" s="1" t="s">
        <v>93</v>
      </c>
      <c r="E165" s="271">
        <v>0.88217352540941085</v>
      </c>
      <c r="F165" s="271">
        <v>1.7297385090141379</v>
      </c>
      <c r="G165" s="271">
        <v>3.2403956065801807</v>
      </c>
      <c r="H165" s="271">
        <v>1.8320610687022853E-2</v>
      </c>
      <c r="I165" s="271">
        <v>2.9623487732257945</v>
      </c>
      <c r="J165" s="271">
        <v>1.749039353385442</v>
      </c>
      <c r="K165" s="1">
        <v>4.2512644896906586</v>
      </c>
      <c r="L165" s="1">
        <v>2.6604290709762792</v>
      </c>
      <c r="M165" s="1">
        <v>2.4158293918446088</v>
      </c>
      <c r="N165" s="271">
        <v>3.82041271611824</v>
      </c>
      <c r="O165" s="1">
        <v>4.1115256012871519</v>
      </c>
      <c r="P165" s="1">
        <v>8.1980529248246073E-2</v>
      </c>
      <c r="Q165" s="1">
        <v>5.8034557420204553</v>
      </c>
      <c r="R165" s="1">
        <v>1.6017665963445653</v>
      </c>
      <c r="S165" s="1">
        <v>6.3267131393992262</v>
      </c>
      <c r="T165" s="1">
        <v>2.7332489089118681</v>
      </c>
      <c r="U165" s="1">
        <v>13.161350707743344</v>
      </c>
      <c r="V165" s="1">
        <v>16.330164003283823</v>
      </c>
      <c r="W165" s="1">
        <v>7.5571232103249528</v>
      </c>
      <c r="X165" s="1">
        <v>9.8178063409481278E-2</v>
      </c>
      <c r="Y165" s="1">
        <v>5.8663727153425764</v>
      </c>
      <c r="Z165" s="1">
        <v>6.6924316661546008</v>
      </c>
      <c r="AA165" s="1">
        <v>3.9261799771337513E-4</v>
      </c>
      <c r="AB165" s="1">
        <v>9.6438845584201724E-2</v>
      </c>
      <c r="AC165" s="1">
        <v>6.0445311579244597E-4</v>
      </c>
      <c r="AD165" s="1">
        <v>2.0924635519988339E-3</v>
      </c>
      <c r="AE165" s="1">
        <v>3.996228020745886E-3</v>
      </c>
      <c r="AF165" s="1">
        <v>3.4277618765153122</v>
      </c>
      <c r="AG165" s="1">
        <v>7.5699835332862877</v>
      </c>
      <c r="AH165" s="1">
        <v>2.3064918505097931</v>
      </c>
      <c r="AI165" s="1">
        <v>26.088796934996573</v>
      </c>
      <c r="AJ165" s="1">
        <v>6.5812565812565813</v>
      </c>
      <c r="AK165" s="1">
        <v>6.4923709405665324</v>
      </c>
      <c r="AL165" s="271">
        <v>0</v>
      </c>
      <c r="AM165" s="1">
        <v>17.200375828936394</v>
      </c>
      <c r="AN165" s="1">
        <v>235.51467572792652</v>
      </c>
      <c r="AO165" s="1">
        <v>4.5046909660244262E-4</v>
      </c>
      <c r="AP165" s="1">
        <v>6.00276127018547E-4</v>
      </c>
    </row>
    <row r="166" spans="3:42" x14ac:dyDescent="0.2">
      <c r="C166" s="1" t="s">
        <v>96</v>
      </c>
      <c r="E166" s="271">
        <v>1.2481816902069205</v>
      </c>
      <c r="F166" s="271">
        <v>1.6079259379567887</v>
      </c>
      <c r="G166" s="271">
        <v>3.2205158789324675</v>
      </c>
      <c r="H166" s="271">
        <v>1.4220283533260592E-2</v>
      </c>
      <c r="I166" s="271">
        <v>1.9145969170466961</v>
      </c>
      <c r="J166" s="271">
        <v>1.5635351795415393</v>
      </c>
      <c r="K166" s="1">
        <v>4.5722227794414874</v>
      </c>
      <c r="L166" s="1">
        <v>4.1040544371987533</v>
      </c>
      <c r="M166" s="1">
        <v>2.2725364529400447</v>
      </c>
      <c r="N166" s="271">
        <v>2.1472392638036797</v>
      </c>
      <c r="O166" s="1">
        <v>4.6957752666390054</v>
      </c>
      <c r="P166" s="1">
        <v>8.9745363963465274E-2</v>
      </c>
      <c r="Q166" s="1">
        <v>6.7449643380304289</v>
      </c>
      <c r="R166" s="1">
        <v>1.2050710778997986</v>
      </c>
      <c r="S166" s="1">
        <v>6.9695330333698013</v>
      </c>
      <c r="T166" s="1">
        <v>3.1894184532480772</v>
      </c>
      <c r="U166" s="1">
        <v>14.554557759762439</v>
      </c>
      <c r="V166" s="1">
        <v>18.571605857532784</v>
      </c>
      <c r="W166" s="1">
        <v>8.6213323526973031</v>
      </c>
      <c r="X166" s="1">
        <v>0.10269199735933865</v>
      </c>
      <c r="Y166" s="1">
        <v>4.6222534684020475</v>
      </c>
      <c r="Z166" s="1">
        <v>8.4086609207483711</v>
      </c>
      <c r="AA166" s="1">
        <v>4.1613588110384861E-4</v>
      </c>
      <c r="AB166" s="1">
        <v>0.11585684615058568</v>
      </c>
      <c r="AC166" s="1">
        <v>6.3712625718663235E-4</v>
      </c>
      <c r="AD166" s="1">
        <v>2.0452651260138978E-3</v>
      </c>
      <c r="AE166" s="1">
        <v>4.1112273882493644E-3</v>
      </c>
      <c r="AF166" s="1">
        <v>4.0727708317735747</v>
      </c>
      <c r="AG166" s="1">
        <v>8.132185951686699</v>
      </c>
      <c r="AH166" s="1">
        <v>2.5703906731538462</v>
      </c>
      <c r="AI166" s="1">
        <v>29.198719748439583</v>
      </c>
      <c r="AJ166" s="1">
        <v>3.6562536562536563</v>
      </c>
      <c r="AK166" s="1">
        <v>8.1678215058740253</v>
      </c>
      <c r="AL166" s="271">
        <v>0</v>
      </c>
      <c r="AM166" s="1">
        <v>22.663342709735904</v>
      </c>
      <c r="AN166" s="1">
        <v>206.93626585922991</v>
      </c>
      <c r="AO166" s="1">
        <v>7.9136462916648976E-4</v>
      </c>
      <c r="AP166" s="1">
        <v>6.002761270185933E-4</v>
      </c>
    </row>
    <row r="167" spans="3:42" x14ac:dyDescent="0.2">
      <c r="C167" s="1" t="s">
        <v>99</v>
      </c>
      <c r="E167" s="271">
        <v>1.2951058138989211</v>
      </c>
      <c r="F167" s="271">
        <v>2.8991391911645223</v>
      </c>
      <c r="G167" s="271">
        <v>4.0355847124894408</v>
      </c>
      <c r="H167" s="271">
        <v>2.163576881134124E-2</v>
      </c>
      <c r="I167" s="271">
        <v>2.9246598575358953</v>
      </c>
      <c r="J167" s="271">
        <v>2.4115542599708495</v>
      </c>
      <c r="K167" s="1">
        <v>4.0606955051510827</v>
      </c>
      <c r="L167" s="1">
        <v>3.5582648142897653</v>
      </c>
      <c r="M167" s="1">
        <v>2.9688505779295276</v>
      </c>
      <c r="N167" s="271">
        <v>4.1829336307863914</v>
      </c>
      <c r="O167" s="1">
        <v>5.2229516998999328</v>
      </c>
      <c r="P167" s="1">
        <v>0.12525624804202165</v>
      </c>
      <c r="Q167" s="1">
        <v>6.8065680461886275</v>
      </c>
      <c r="R167" s="1">
        <v>2.0059372313094217</v>
      </c>
      <c r="S167" s="1">
        <v>7.5535045167180126</v>
      </c>
      <c r="T167" s="1">
        <v>2.8647706081598048</v>
      </c>
      <c r="U167" s="1">
        <v>15.605523391389113</v>
      </c>
      <c r="V167" s="1">
        <v>20.459009140254864</v>
      </c>
      <c r="W167" s="1">
        <v>9.3650079068327869</v>
      </c>
      <c r="X167" s="1">
        <v>0.11800012118930425</v>
      </c>
      <c r="Y167" s="1">
        <v>8.2558260242348283</v>
      </c>
      <c r="Z167" s="1">
        <v>7.4264318334841413</v>
      </c>
      <c r="AA167" s="1">
        <v>4.5158312563448445E-4</v>
      </c>
      <c r="AB167" s="1">
        <v>0.13664959452432787</v>
      </c>
      <c r="AC167" s="1">
        <v>1.1278321943986971E-3</v>
      </c>
      <c r="AD167" s="1">
        <v>2.1638312202755731E-3</v>
      </c>
      <c r="AE167" s="1">
        <v>4.2412266732532967E-3</v>
      </c>
      <c r="AF167" s="1">
        <v>4.2602641181468028</v>
      </c>
      <c r="AG167" s="1">
        <v>9.8796774715550963</v>
      </c>
      <c r="AH167" s="1">
        <v>4.9989195008150862</v>
      </c>
      <c r="AI167" s="1">
        <v>26.073773153288968</v>
      </c>
      <c r="AJ167" s="1">
        <v>20.475020475020475</v>
      </c>
      <c r="AK167" s="1">
        <v>9.2035959721986291</v>
      </c>
      <c r="AL167" s="271">
        <v>0</v>
      </c>
      <c r="AM167" s="1">
        <v>21.185298619970521</v>
      </c>
      <c r="AN167" s="1">
        <v>257.41443546426518</v>
      </c>
      <c r="AO167" s="1">
        <v>4.3903533339843229E-4</v>
      </c>
      <c r="AP167" s="1">
        <v>7.3225172941273654E-4</v>
      </c>
    </row>
    <row r="168" spans="3:42" x14ac:dyDescent="0.2">
      <c r="C168" s="1" t="s">
        <v>101</v>
      </c>
      <c r="E168" s="271">
        <v>1.1261789686077506</v>
      </c>
      <c r="F168" s="271">
        <v>2.0789345460451538</v>
      </c>
      <c r="G168" s="271">
        <v>4.0355847124894408</v>
      </c>
      <c r="H168" s="271">
        <v>1.8582333696837473E-2</v>
      </c>
      <c r="I168" s="271">
        <v>2.5025440018090683</v>
      </c>
      <c r="J168" s="271">
        <v>2.517556645024511</v>
      </c>
      <c r="K168" s="1">
        <v>5.6425613617801877</v>
      </c>
      <c r="L168" s="1">
        <v>3.9244872885360582</v>
      </c>
      <c r="M168" s="1">
        <v>2.8065265455766633</v>
      </c>
      <c r="N168" s="271">
        <v>4.1550474065811542</v>
      </c>
      <c r="O168" s="1">
        <v>5.7666023967002644</v>
      </c>
      <c r="P168" s="1">
        <v>0.16305815689983971</v>
      </c>
      <c r="Q168" s="1">
        <v>6.87009687022677</v>
      </c>
      <c r="R168" s="1">
        <v>2.8318304520130955</v>
      </c>
      <c r="S168" s="1">
        <v>8.1186382102807979</v>
      </c>
      <c r="T168" s="1">
        <v>2.5299775179125237</v>
      </c>
      <c r="U168" s="1">
        <v>16.656489023015787</v>
      </c>
      <c r="V168" s="1">
        <v>22.346412422976943</v>
      </c>
      <c r="W168" s="1">
        <v>10.084693926963899</v>
      </c>
      <c r="X168" s="1">
        <v>0.13330824501926986</v>
      </c>
      <c r="Y168" s="1">
        <v>11.88939858006761</v>
      </c>
      <c r="Z168" s="1">
        <v>6.4442027462199114</v>
      </c>
      <c r="AA168" s="1">
        <v>4.8703037016512035E-4</v>
      </c>
      <c r="AB168" s="1">
        <v>0.15811307671657787</v>
      </c>
      <c r="AC168" s="1">
        <v>1.6185381316107619E-3</v>
      </c>
      <c r="AD168" s="1">
        <v>2.2823973145372481E-3</v>
      </c>
      <c r="AE168" s="1">
        <v>4.3752884359136018E-3</v>
      </c>
      <c r="AF168" s="1">
        <v>4.447757404520031</v>
      </c>
      <c r="AG168" s="1">
        <v>11.681778101419383</v>
      </c>
      <c r="AH168" s="1">
        <v>7.4274483284763271</v>
      </c>
      <c r="AI168" s="1">
        <v>22.94882655813835</v>
      </c>
      <c r="AJ168" s="1">
        <v>20.475020475020475</v>
      </c>
      <c r="AK168" s="1">
        <v>10.061809101439016</v>
      </c>
      <c r="AL168" s="271">
        <v>0</v>
      </c>
      <c r="AM168" s="1">
        <v>19.924613955170631</v>
      </c>
      <c r="AN168" s="1">
        <v>299.23920456558017</v>
      </c>
      <c r="AO168" s="1">
        <v>8.6706037630374815E-5</v>
      </c>
      <c r="AP168" s="1">
        <v>8.5997005431029437E-4</v>
      </c>
    </row>
    <row r="169" spans="3:42" x14ac:dyDescent="0.2">
      <c r="C169" s="1" t="s">
        <v>138</v>
      </c>
      <c r="E169" s="271">
        <v>1.679883628173263</v>
      </c>
      <c r="F169" s="271">
        <v>2.1032970602565979</v>
      </c>
      <c r="G169" s="271">
        <v>4.0057651210178431</v>
      </c>
      <c r="H169" s="271">
        <v>1.9280261723009635E-2</v>
      </c>
      <c r="I169" s="271">
        <v>2.4196283872912931</v>
      </c>
      <c r="J169" s="271">
        <v>2.3188021730488937</v>
      </c>
      <c r="K169" s="1">
        <v>6.5051367654855339</v>
      </c>
      <c r="L169" s="1">
        <v>4.0709762782345758</v>
      </c>
      <c r="M169" s="1">
        <v>3.9316000111947491</v>
      </c>
      <c r="N169" s="271">
        <v>3.0674846625766907</v>
      </c>
      <c r="O169" s="1">
        <v>6.2114075122641719</v>
      </c>
      <c r="P169" s="1">
        <v>0.19398699141987269</v>
      </c>
      <c r="Q169" s="1">
        <v>6.9220749989852495</v>
      </c>
      <c r="R169" s="1">
        <v>3.5075612689524651</v>
      </c>
      <c r="S169" s="1">
        <v>8.740285273199861</v>
      </c>
      <c r="T169" s="1">
        <v>2.256055898619294</v>
      </c>
      <c r="U169" s="1">
        <v>17.576083950689124</v>
      </c>
      <c r="V169" s="1">
        <v>23.997890295358761</v>
      </c>
      <c r="W169" s="1">
        <v>10.876348549108123</v>
      </c>
      <c r="X169" s="1">
        <v>0.14670285337048974</v>
      </c>
      <c r="Y169" s="1">
        <v>15.068774566421293</v>
      </c>
      <c r="Z169" s="1">
        <v>5.5847522948637103</v>
      </c>
      <c r="AA169" s="1">
        <v>5.1804670912942671E-4</v>
      </c>
      <c r="AB169" s="1">
        <v>0.1768936236347966</v>
      </c>
      <c r="AC169" s="1">
        <v>2.0479058266713182E-3</v>
      </c>
      <c r="AD169" s="1">
        <v>2.386142647016214E-3</v>
      </c>
      <c r="AE169" s="1">
        <v>4.4849753326356703E-3</v>
      </c>
      <c r="AF169" s="1">
        <v>4.611814030096606</v>
      </c>
      <c r="AG169" s="1">
        <v>13.156224071308342</v>
      </c>
      <c r="AH169" s="1">
        <v>9.5524110526799131</v>
      </c>
      <c r="AI169" s="1">
        <v>20.214498287381563</v>
      </c>
      <c r="AJ169" s="1">
        <v>2.1937521937521938</v>
      </c>
      <c r="AK169" s="1">
        <v>10.890428674498699</v>
      </c>
      <c r="AL169" s="271">
        <v>0</v>
      </c>
      <c r="AM169" s="1">
        <v>18.663929290370746</v>
      </c>
      <c r="AN169" s="1">
        <v>339.62174024960837</v>
      </c>
      <c r="AO169" s="1">
        <v>-2.2158209616667562E-4</v>
      </c>
      <c r="AP169" s="1">
        <v>1.0004602116976081E-3</v>
      </c>
    </row>
    <row r="170" spans="3:42" x14ac:dyDescent="0.2">
      <c r="C170" s="1" t="s">
        <v>122</v>
      </c>
      <c r="E170" s="271">
        <v>2.6465205762282857</v>
      </c>
      <c r="F170" s="271">
        <v>5.6602241351307443</v>
      </c>
      <c r="G170" s="271">
        <v>5.6657223796034444</v>
      </c>
      <c r="H170" s="271">
        <v>4.7982551799345692E-2</v>
      </c>
      <c r="I170" s="271">
        <v>3.5427580748501892</v>
      </c>
      <c r="J170" s="271">
        <v>7.5526699350735331</v>
      </c>
      <c r="K170" s="1">
        <v>8.5340516685532446</v>
      </c>
      <c r="L170" s="1">
        <v>5.9068141007466215</v>
      </c>
      <c r="M170" s="1">
        <v>8.5807841929976885</v>
      </c>
      <c r="N170" s="271">
        <v>3.6949247071946338</v>
      </c>
      <c r="O170" s="1">
        <v>7.69409123081053</v>
      </c>
      <c r="P170" s="1">
        <v>0.29708310648664926</v>
      </c>
      <c r="Q170" s="1">
        <v>8.8545221421432938</v>
      </c>
      <c r="R170" s="1">
        <v>4.5873219811440267</v>
      </c>
      <c r="S170" s="1">
        <v>12.166647881783897</v>
      </c>
      <c r="T170" s="1">
        <v>3.93699855736042</v>
      </c>
      <c r="U170" s="1">
        <v>20.531924789639142</v>
      </c>
      <c r="V170" s="1">
        <v>22.670612375347311</v>
      </c>
      <c r="W170" s="1">
        <v>15.935108350943079</v>
      </c>
      <c r="X170" s="1">
        <v>0.25160544167104015</v>
      </c>
      <c r="Y170" s="1">
        <v>23.809799210141733</v>
      </c>
      <c r="Z170" s="1">
        <v>49.324187474742821</v>
      </c>
      <c r="AA170" s="1">
        <v>8.1121484454515602E-4</v>
      </c>
      <c r="AB170" s="1">
        <v>0.23725966730049972</v>
      </c>
      <c r="AC170" s="1">
        <v>2.1459639325524501E-3</v>
      </c>
      <c r="AD170" s="1">
        <v>1.8810412595420653E-3</v>
      </c>
      <c r="AE170" s="1">
        <v>4.8505983217092307E-3</v>
      </c>
      <c r="AF170" s="1">
        <v>10.976954262348762</v>
      </c>
      <c r="AG170" s="1">
        <v>20.988748307683512</v>
      </c>
      <c r="AH170" s="1">
        <v>16.882443789770527</v>
      </c>
      <c r="AI170" s="1">
        <v>11.425585988520456</v>
      </c>
      <c r="AJ170" s="1">
        <v>2.925002925002925</v>
      </c>
      <c r="AK170" s="1">
        <v>14.918395444518765</v>
      </c>
      <c r="AL170" s="271">
        <v>0</v>
      </c>
      <c r="AM170" s="1">
        <v>21.10565336262097</v>
      </c>
      <c r="AN170" s="1">
        <v>469.42274780541334</v>
      </c>
      <c r="AO170" s="1">
        <v>1.3550764198056501E-3</v>
      </c>
      <c r="AP170" s="1">
        <v>5.4386661700000444E-3</v>
      </c>
    </row>
    <row r="171" spans="3:42" x14ac:dyDescent="0.2">
      <c r="C171" s="1" t="s">
        <v>133</v>
      </c>
      <c r="E171" s="271">
        <v>3.979165689080765</v>
      </c>
      <c r="F171" s="271">
        <v>4.8562611661523611</v>
      </c>
      <c r="G171" s="271">
        <v>6.3416331196262563</v>
      </c>
      <c r="H171" s="271">
        <v>8.5496183206106469E-2</v>
      </c>
      <c r="I171" s="271">
        <v>9.3317755248181484</v>
      </c>
      <c r="J171" s="271">
        <v>4.6641049423612166</v>
      </c>
      <c r="K171" s="1">
        <v>15.987734808213084</v>
      </c>
      <c r="L171" s="1">
        <v>6.1879784519421728</v>
      </c>
      <c r="M171" s="1">
        <v>7.4098122078867164</v>
      </c>
      <c r="N171" s="271">
        <v>9.1466815393195784</v>
      </c>
      <c r="O171" s="1">
        <v>9.1932492128962942</v>
      </c>
      <c r="P171" s="1">
        <v>0.40132473394305668</v>
      </c>
      <c r="Q171" s="1">
        <v>10.808440920225317</v>
      </c>
      <c r="R171" s="1">
        <v>5.679080034582161</v>
      </c>
      <c r="S171" s="1">
        <v>15.709818306569662</v>
      </c>
      <c r="T171" s="1">
        <v>5.6366183567542247</v>
      </c>
      <c r="U171" s="1">
        <v>23.520608304577493</v>
      </c>
      <c r="V171" s="1">
        <v>21.328586922891287</v>
      </c>
      <c r="W171" s="1">
        <v>21.166325873295133</v>
      </c>
      <c r="X171" s="1">
        <v>0.35767361428604111</v>
      </c>
      <c r="Y171" s="1">
        <v>32.647946349903513</v>
      </c>
      <c r="Z171" s="1">
        <v>93.549616378842799</v>
      </c>
      <c r="AA171" s="1">
        <v>1.1076404036877265E-3</v>
      </c>
      <c r="AB171" s="1">
        <v>0.29829644478471062</v>
      </c>
      <c r="AC171" s="1">
        <v>2.2451115729433722E-3</v>
      </c>
      <c r="AD171" s="1">
        <v>1.3703276344293148E-3</v>
      </c>
      <c r="AE171" s="1">
        <v>5.2202837884391638E-3</v>
      </c>
      <c r="AF171" s="1">
        <v>17.412818274959278</v>
      </c>
      <c r="AG171" s="1">
        <v>28.908300591129517</v>
      </c>
      <c r="AH171" s="1">
        <v>24.293921335051039</v>
      </c>
      <c r="AI171" s="1">
        <v>2.5390191085608933</v>
      </c>
      <c r="AJ171" s="1">
        <v>29.25002925002925</v>
      </c>
      <c r="AK171" s="1">
        <v>18.99111740087239</v>
      </c>
      <c r="AL171" s="271">
        <v>0</v>
      </c>
      <c r="AM171" s="1">
        <v>23.57450770234064</v>
      </c>
      <c r="AN171" s="1">
        <v>600.66598877850515</v>
      </c>
      <c r="AO171" s="1">
        <v>2.9492533637332239E-3</v>
      </c>
      <c r="AP171" s="1">
        <v>1.00281746041537E-2</v>
      </c>
    </row>
    <row r="172" spans="3:42" x14ac:dyDescent="0.2">
      <c r="C172" s="1" t="s">
        <v>148</v>
      </c>
      <c r="E172" s="271">
        <v>4.7487213176293954</v>
      </c>
      <c r="F172" s="271">
        <v>9.4932597044014919</v>
      </c>
      <c r="G172" s="271">
        <v>16.142338849957763</v>
      </c>
      <c r="H172" s="271">
        <v>8.3576881134132405E-2</v>
      </c>
      <c r="I172" s="271">
        <v>8.6382994761240575</v>
      </c>
      <c r="J172" s="271">
        <v>8.2946866304491724</v>
      </c>
      <c r="K172" s="1">
        <v>24.405725666633224</v>
      </c>
      <c r="L172" s="1">
        <v>4.9215575087420946</v>
      </c>
      <c r="M172" s="1">
        <v>14.559905964008891</v>
      </c>
      <c r="N172" s="271">
        <v>17.23368655883991</v>
      </c>
      <c r="O172" s="1">
        <v>12.224513704146627</v>
      </c>
      <c r="P172" s="1">
        <v>0.61209901363513319</v>
      </c>
      <c r="Q172" s="1">
        <v>14.759221746237321</v>
      </c>
      <c r="R172" s="1">
        <v>7.8865908239515763</v>
      </c>
      <c r="S172" s="1">
        <v>20.264689194716762</v>
      </c>
      <c r="T172" s="1">
        <v>9.0732122368471941</v>
      </c>
      <c r="U172" s="1">
        <v>29.563660686430865</v>
      </c>
      <c r="V172" s="1">
        <v>18.615040953090094</v>
      </c>
      <c r="W172" s="1">
        <v>24.768320540667681</v>
      </c>
      <c r="X172" s="1">
        <v>0.57214112814494411</v>
      </c>
      <c r="Y172" s="1">
        <v>23.80700208629127</v>
      </c>
      <c r="Z172" s="1">
        <v>182.97246163548454</v>
      </c>
      <c r="AA172" s="1">
        <v>1.7070063694265508E-3</v>
      </c>
      <c r="AB172" s="1">
        <v>0.42171146739014809</v>
      </c>
      <c r="AC172" s="1">
        <v>3.1097829219823739E-3</v>
      </c>
      <c r="AD172" s="1">
        <v>2.8429185251593286E-3</v>
      </c>
      <c r="AE172" s="1">
        <v>5.9677796772117757E-3</v>
      </c>
      <c r="AF172" s="1">
        <v>30.42599386089702</v>
      </c>
      <c r="AG172" s="1">
        <v>44.921461252163198</v>
      </c>
      <c r="AH172" s="1">
        <v>39.279766041991849</v>
      </c>
      <c r="AI172" s="1">
        <v>-15.429423813555143</v>
      </c>
      <c r="AJ172" s="1">
        <v>8.3362583362583358</v>
      </c>
      <c r="AK172" s="1">
        <v>27.226071686246748</v>
      </c>
      <c r="AL172" s="271">
        <v>0</v>
      </c>
      <c r="AM172" s="1">
        <v>28.566476916718877</v>
      </c>
      <c r="AN172" s="1">
        <v>866.03693755926201</v>
      </c>
      <c r="AO172" s="1">
        <v>6.1726441074988671E-3</v>
      </c>
      <c r="AP172" s="1">
        <v>1.9408928106929305E-2</v>
      </c>
    </row>
    <row r="173" spans="3:42" x14ac:dyDescent="0.2">
      <c r="C173" s="1" t="s">
        <v>150</v>
      </c>
      <c r="E173" s="271">
        <v>9.3848247383980112</v>
      </c>
      <c r="F173" s="271">
        <v>9.8586974175734827</v>
      </c>
      <c r="G173" s="271">
        <v>15.764624024650761</v>
      </c>
      <c r="H173" s="271">
        <v>8.8811341330425855E-2</v>
      </c>
      <c r="I173" s="271">
        <v>17.872083820148479</v>
      </c>
      <c r="J173" s="271">
        <v>23.241022923015755</v>
      </c>
      <c r="K173" s="1">
        <v>33.762232952672996</v>
      </c>
      <c r="L173" s="1">
        <v>19.322370286362339</v>
      </c>
      <c r="M173" s="1">
        <v>26.195740393495846</v>
      </c>
      <c r="N173" s="271">
        <v>31.539319576129397</v>
      </c>
      <c r="O173" s="1">
        <v>18.237619896029081</v>
      </c>
      <c r="P173" s="1">
        <v>1.0302110358503938</v>
      </c>
      <c r="Q173" s="1">
        <v>18.449027182796652</v>
      </c>
      <c r="R173" s="1">
        <v>7.8865908239515763</v>
      </c>
      <c r="S173" s="1">
        <v>41.249818570467582</v>
      </c>
      <c r="T173" s="1">
        <v>9.9859997027024239</v>
      </c>
      <c r="U173" s="1">
        <v>41.551237422172612</v>
      </c>
      <c r="V173" s="1">
        <v>31.02506825515016</v>
      </c>
      <c r="W173" s="1">
        <v>37.866178359048703</v>
      </c>
      <c r="X173" s="1">
        <v>0.20538399471869731</v>
      </c>
      <c r="Y173" s="1">
        <v>12.452008454729402</v>
      </c>
      <c r="Z173" s="1">
        <v>360.36017097610539</v>
      </c>
      <c r="AA173" s="1">
        <v>2.7176220806792509E-3</v>
      </c>
      <c r="AB173" s="1">
        <v>0.66652931114549963</v>
      </c>
      <c r="AC173" s="1">
        <v>3.0339345580315778E-3</v>
      </c>
      <c r="AD173" s="1">
        <v>5.3790472814165607E-3</v>
      </c>
      <c r="AE173" s="1">
        <v>7.4505840217878802E-3</v>
      </c>
      <c r="AF173" s="1">
        <v>121.13498540091338</v>
      </c>
      <c r="AG173" s="1">
        <v>89.268804968826302</v>
      </c>
      <c r="AH173" s="1">
        <v>69.007121031303782</v>
      </c>
      <c r="AI173" s="1">
        <v>-51.073345914491853</v>
      </c>
      <c r="AJ173" s="1">
        <v>73.125073125073129</v>
      </c>
      <c r="AK173" s="1">
        <v>54.452143372493495</v>
      </c>
      <c r="AL173" s="271">
        <v>0</v>
      </c>
      <c r="AM173" s="1">
        <v>133.31378064550532</v>
      </c>
      <c r="AN173" s="1">
        <v>1392.4521348689157</v>
      </c>
      <c r="AO173" s="1">
        <v>1.7821531448830325E-2</v>
      </c>
      <c r="AP173" s="1">
        <v>3.7766961843543924E-2</v>
      </c>
    </row>
    <row r="174" spans="3:42" x14ac:dyDescent="0.2">
      <c r="C174" s="1" t="s">
        <v>153</v>
      </c>
      <c r="E174" s="271">
        <v>10.811318098634491</v>
      </c>
      <c r="F174" s="271">
        <v>15.705700828325416</v>
      </c>
      <c r="G174" s="271">
        <v>25.326773023209597</v>
      </c>
      <c r="H174" s="271">
        <v>0.290338058887677</v>
      </c>
      <c r="I174" s="271">
        <v>11.502657068556132</v>
      </c>
      <c r="J174" s="271">
        <v>27.375115940108685</v>
      </c>
      <c r="K174" s="1">
        <v>29.665716209826478</v>
      </c>
      <c r="L174" s="1">
        <v>36.665706083127645</v>
      </c>
      <c r="M174" s="1">
        <v>65.670706109540731</v>
      </c>
      <c r="N174" s="271">
        <v>55.856107083100866</v>
      </c>
      <c r="O174" s="1">
        <v>24.300148878529747</v>
      </c>
      <c r="P174" s="1">
        <v>1.4517595952345468</v>
      </c>
      <c r="Q174" s="1">
        <v>29.518443492474642</v>
      </c>
      <c r="R174" s="1">
        <v>7.8865908239515763</v>
      </c>
      <c r="S174" s="1">
        <v>59.215960520933521</v>
      </c>
      <c r="T174" s="1">
        <v>10.90628953129071</v>
      </c>
      <c r="U174" s="1">
        <v>53.637342185879355</v>
      </c>
      <c r="V174" s="1">
        <v>140.20848845867405</v>
      </c>
      <c r="W174" s="1">
        <v>91.733589773015709</v>
      </c>
      <c r="X174" s="1">
        <v>9.4755613488482299E-2</v>
      </c>
      <c r="Y174" s="1">
        <v>50.46770357317304</v>
      </c>
      <c r="Z174" s="1">
        <v>539.20586148938889</v>
      </c>
      <c r="AA174" s="1">
        <v>5.4352441613588886E-3</v>
      </c>
      <c r="AB174" s="1">
        <v>0.91335935635637455</v>
      </c>
      <c r="AC174" s="1">
        <v>3.033934558031583E-3</v>
      </c>
      <c r="AD174" s="1">
        <v>7.9360209315608391E-3</v>
      </c>
      <c r="AE174" s="1">
        <v>8.9455757993331039E-3</v>
      </c>
      <c r="AF174" s="1">
        <v>212.58953029605314</v>
      </c>
      <c r="AG174" s="1">
        <v>103.961498228704</v>
      </c>
      <c r="AH174" s="1">
        <v>98.978810445185403</v>
      </c>
      <c r="AI174" s="1">
        <v>-87.010231758723933</v>
      </c>
      <c r="AJ174" s="1">
        <v>73.125073125073129</v>
      </c>
      <c r="AK174" s="1">
        <v>54.452143372493495</v>
      </c>
      <c r="AL174" s="271">
        <v>0</v>
      </c>
      <c r="AM174" s="1">
        <v>79.988268387303194</v>
      </c>
      <c r="AN174" s="1">
        <v>1923.1940324304296</v>
      </c>
      <c r="AO174" s="1">
        <v>2.7317906998828766E-2</v>
      </c>
      <c r="AP174" s="1">
        <v>5.6175429738775616E-2</v>
      </c>
    </row>
    <row r="175" spans="3:42" x14ac:dyDescent="0.2">
      <c r="C175" s="1" t="s">
        <v>156</v>
      </c>
      <c r="E175" s="271">
        <v>17.831167002956221</v>
      </c>
      <c r="F175" s="271">
        <v>26.425207081370768</v>
      </c>
      <c r="G175" s="271">
        <v>35.197057800307988</v>
      </c>
      <c r="H175" s="271">
        <v>0.25526717557251899</v>
      </c>
      <c r="I175" s="271">
        <v>22.161082425658599</v>
      </c>
      <c r="J175" s="271">
        <v>36.438319862196899</v>
      </c>
      <c r="K175" s="1">
        <v>49.747102061870386</v>
      </c>
      <c r="L175" s="1">
        <v>53.820527360362902</v>
      </c>
      <c r="M175" s="1">
        <v>85.56267666731965</v>
      </c>
      <c r="N175" s="271">
        <v>69.771332961516947</v>
      </c>
      <c r="O175" s="1">
        <v>30.296780806872796</v>
      </c>
      <c r="P175" s="1">
        <v>1.8687261050601764</v>
      </c>
      <c r="Q175" s="1">
        <v>36.898054365593303</v>
      </c>
      <c r="R175" s="1">
        <v>7.8865908239515763</v>
      </c>
      <c r="S175" s="1">
        <v>72.144299154208781</v>
      </c>
      <c r="T175" s="1">
        <v>11.816576209568256</v>
      </c>
      <c r="U175" s="1">
        <v>65.592076245632768</v>
      </c>
      <c r="V175" s="1">
        <v>172.95855050881096</v>
      </c>
      <c r="W175" s="1">
        <v>97.06119118801324</v>
      </c>
      <c r="X175" s="1">
        <v>-1.4670285337056478E-2</v>
      </c>
      <c r="Y175" s="1">
        <v>104.51999324352087</v>
      </c>
      <c r="Z175" s="1">
        <v>716.10757710578878</v>
      </c>
      <c r="AA175" s="1">
        <v>5.4352441613586952E-3</v>
      </c>
      <c r="AB175" s="1">
        <v>1.1575064662932184</v>
      </c>
      <c r="AC175" s="1">
        <v>3.033934558031583E-3</v>
      </c>
      <c r="AD175" s="1">
        <v>1.0465201389855723E-2</v>
      </c>
      <c r="AE175" s="1">
        <v>1.0424317666252837E-2</v>
      </c>
      <c r="AF175" s="1">
        <v>303.05000405102834</v>
      </c>
      <c r="AG175" s="1">
        <v>118.49448830097433</v>
      </c>
      <c r="AH175" s="1">
        <v>128.62472062630744</v>
      </c>
      <c r="AI175" s="1">
        <v>-122.55649927856219</v>
      </c>
      <c r="AJ175" s="1">
        <v>146.25014625014626</v>
      </c>
      <c r="AK175" s="1">
        <v>95.29125090186362</v>
      </c>
      <c r="AL175" s="271">
        <v>0</v>
      </c>
      <c r="AM175" s="1">
        <v>106.65102451640426</v>
      </c>
      <c r="AN175" s="1">
        <v>2448.1669963227964</v>
      </c>
      <c r="AO175" s="1">
        <v>3.855528473299346E-2</v>
      </c>
      <c r="AP175" s="1">
        <v>7.4583897634007315E-2</v>
      </c>
    </row>
    <row r="176" spans="3:42" x14ac:dyDescent="0.2">
      <c r="C176" s="1" t="s">
        <v>157</v>
      </c>
      <c r="E176" s="271">
        <v>23.368213598611131</v>
      </c>
      <c r="F176" s="271">
        <v>29.450124575215543</v>
      </c>
      <c r="G176" s="271">
        <v>49.878236668157477</v>
      </c>
      <c r="H176" s="271">
        <v>0.1774482006543088</v>
      </c>
      <c r="I176" s="271">
        <v>27.874722044246802</v>
      </c>
      <c r="J176" s="271">
        <v>39.830396183914139</v>
      </c>
      <c r="K176" s="1">
        <v>69.828487913914302</v>
      </c>
      <c r="L176" s="1">
        <v>51.961062281447894</v>
      </c>
      <c r="M176" s="1">
        <v>43.742408552797478</v>
      </c>
      <c r="N176" s="271">
        <v>60.540992749581804</v>
      </c>
      <c r="O176" s="1">
        <v>36.293412735215846</v>
      </c>
      <c r="P176" s="1">
        <v>2.2856926148858063</v>
      </c>
      <c r="Q176" s="1">
        <v>44.277665238711961</v>
      </c>
      <c r="R176" s="1">
        <v>7.8865908239515763</v>
      </c>
      <c r="S176" s="1">
        <v>85.072637787484041</v>
      </c>
      <c r="T176" s="1">
        <v>12.726862887845801</v>
      </c>
      <c r="U176" s="1">
        <v>77.546810305386174</v>
      </c>
      <c r="V176" s="1">
        <v>216.02423921766109</v>
      </c>
      <c r="W176" s="1">
        <v>179.87442405599427</v>
      </c>
      <c r="X176" s="1">
        <v>-0.12409618416259524</v>
      </c>
      <c r="Y176" s="1">
        <v>158.57228291386869</v>
      </c>
      <c r="Z176" s="1">
        <v>893.00929272218877</v>
      </c>
      <c r="AA176" s="1">
        <v>5.4352441613585009E-3</v>
      </c>
      <c r="AB176" s="1">
        <v>1.4016535762300619</v>
      </c>
      <c r="AC176" s="1">
        <v>3.033934558031583E-3</v>
      </c>
      <c r="AD176" s="1">
        <v>1.2994381848150606E-2</v>
      </c>
      <c r="AE176" s="1">
        <v>1.1903059533172569E-2</v>
      </c>
      <c r="AF176" s="1">
        <v>393.51047780600356</v>
      </c>
      <c r="AG176" s="1">
        <v>133.02747837324466</v>
      </c>
      <c r="AH176" s="1">
        <v>158.27063080742946</v>
      </c>
      <c r="AI176" s="1">
        <v>-158.10276679840047</v>
      </c>
      <c r="AJ176" s="1">
        <v>219.37521937521939</v>
      </c>
      <c r="AK176" s="1">
        <v>136.13035843123373</v>
      </c>
      <c r="AL176" s="271">
        <v>0</v>
      </c>
      <c r="AM176" s="1">
        <v>179.9736038714322</v>
      </c>
      <c r="AN176" s="1">
        <v>2973.1399602151632</v>
      </c>
      <c r="AO176" s="1">
        <v>4.9792662467158154E-2</v>
      </c>
      <c r="AP176" s="1">
        <v>9.3143668005090233E-2</v>
      </c>
    </row>
    <row r="177" spans="2:42" x14ac:dyDescent="0.2">
      <c r="C177" s="1" t="s">
        <v>158</v>
      </c>
      <c r="E177" s="271">
        <v>32.865656233869814</v>
      </c>
      <c r="F177" s="271">
        <v>32.483352281955497</v>
      </c>
      <c r="G177" s="271">
        <v>51.786690522339747</v>
      </c>
      <c r="H177" s="271">
        <v>0.34878953107960359</v>
      </c>
      <c r="I177" s="271">
        <v>33.889872988354114</v>
      </c>
      <c r="J177" s="271">
        <v>46.402544057241336</v>
      </c>
      <c r="K177" s="1">
        <v>89.965042408408863</v>
      </c>
      <c r="L177" s="1">
        <v>184.21699272280503</v>
      </c>
      <c r="M177" s="1">
        <v>53.790825893481859</v>
      </c>
      <c r="N177" s="271">
        <v>66.592303402119342</v>
      </c>
      <c r="O177" s="1">
        <v>42.306518927098303</v>
      </c>
      <c r="P177" s="1">
        <v>2.7038046371010669</v>
      </c>
      <c r="Q177" s="1">
        <v>51.677549768075458</v>
      </c>
      <c r="R177" s="1">
        <v>7.8865908239515763</v>
      </c>
      <c r="S177" s="1">
        <v>98.071816632448474</v>
      </c>
      <c r="T177" s="1">
        <v>13.639650353701031</v>
      </c>
      <c r="U177" s="1">
        <v>89.5343870411279</v>
      </c>
      <c r="V177" s="1">
        <v>259.20824025812897</v>
      </c>
      <c r="W177" s="1">
        <v>263.14142806297792</v>
      </c>
      <c r="X177" s="1">
        <v>-0.2338227035893031</v>
      </c>
      <c r="Y177" s="1">
        <v>212.77306788550868</v>
      </c>
      <c r="Z177" s="1">
        <v>1070.3970020628094</v>
      </c>
      <c r="AA177" s="1">
        <v>5.4352441613583075E-3</v>
      </c>
      <c r="AB177" s="1">
        <v>1.6464714199854136</v>
      </c>
      <c r="AC177" s="1">
        <v>3.033934558031583E-3</v>
      </c>
      <c r="AD177" s="1">
        <v>1.5530510604407837E-2</v>
      </c>
      <c r="AE177" s="1">
        <v>1.3385863877748674E-2</v>
      </c>
      <c r="AF177" s="1">
        <v>484.21946934601993</v>
      </c>
      <c r="AG177" s="1">
        <v>147.60039424241683</v>
      </c>
      <c r="AH177" s="1">
        <v>187.9979857967414</v>
      </c>
      <c r="AI177" s="1">
        <v>-193.74668889933719</v>
      </c>
      <c r="AJ177" s="1">
        <v>292.70118555832846</v>
      </c>
      <c r="AK177" s="1">
        <v>177.08166131095928</v>
      </c>
      <c r="AL177" s="271">
        <v>0</v>
      </c>
      <c r="AM177" s="1">
        <v>253.29618322646013</v>
      </c>
      <c r="AN177" s="1">
        <v>3499.5551575248173</v>
      </c>
      <c r="AO177" s="1">
        <v>6.1060912118174951E-2</v>
      </c>
      <c r="AP177" s="1">
        <v>0.11150170174170486</v>
      </c>
    </row>
    <row r="178" spans="2:42" x14ac:dyDescent="0.2">
      <c r="C178" s="1" t="s">
        <v>160</v>
      </c>
      <c r="E178" s="271">
        <v>41.499694993195817</v>
      </c>
      <c r="F178" s="271">
        <v>40.60419035244437</v>
      </c>
      <c r="G178" s="271">
        <v>63.475970379205471</v>
      </c>
      <c r="H178" s="271">
        <v>0.30519671742298715</v>
      </c>
      <c r="I178" s="271">
        <v>41.427656126333275</v>
      </c>
      <c r="J178" s="271">
        <v>59.6528421889493</v>
      </c>
      <c r="K178" s="1">
        <v>110.15676554535412</v>
      </c>
      <c r="L178" s="1">
        <v>85.078206218693779</v>
      </c>
      <c r="M178" s="1">
        <v>53.463938876605951</v>
      </c>
      <c r="N178" s="271">
        <v>72.643614054656865</v>
      </c>
      <c r="O178" s="1">
        <v>48.33609938252016</v>
      </c>
      <c r="P178" s="1">
        <v>3.1230621717059579</v>
      </c>
      <c r="Q178" s="1">
        <v>59.097707953683781</v>
      </c>
      <c r="R178" s="1">
        <v>7.8865908239515763</v>
      </c>
      <c r="S178" s="1">
        <v>111.00015526572375</v>
      </c>
      <c r="T178" s="1">
        <v>14.554938607133945</v>
      </c>
      <c r="U178" s="1">
        <v>101.55480645285797</v>
      </c>
      <c r="V178" s="1">
        <v>214.17225117895288</v>
      </c>
      <c r="W178" s="1">
        <v>345.95466093095894</v>
      </c>
      <c r="X178" s="1">
        <v>-0.34384984361717996</v>
      </c>
      <c r="Y178" s="1">
        <v>267.12234815844084</v>
      </c>
      <c r="Z178" s="1">
        <v>1248.2707051276511</v>
      </c>
      <c r="AA178" s="1">
        <v>5.4352441613581132E-3</v>
      </c>
      <c r="AB178" s="1">
        <v>1.8919599975592727</v>
      </c>
      <c r="AC178" s="1">
        <v>3.033934558031583E-3</v>
      </c>
      <c r="AD178" s="1">
        <v>1.8073587658627419E-2</v>
      </c>
      <c r="AE178" s="1">
        <v>1.487273069998115E-2</v>
      </c>
      <c r="AF178" s="1">
        <v>575.17697867107745</v>
      </c>
      <c r="AG178" s="1">
        <v>162.21323590849084</v>
      </c>
      <c r="AH178" s="1">
        <v>217.80678559424322</v>
      </c>
      <c r="AI178" s="1">
        <v>-229.4882655813723</v>
      </c>
      <c r="AJ178" s="1">
        <v>366.22804479947337</v>
      </c>
      <c r="AK178" s="1">
        <v>218.14515954104024</v>
      </c>
      <c r="AL178" s="271">
        <v>0</v>
      </c>
      <c r="AM178" s="1">
        <v>298.13919604158451</v>
      </c>
      <c r="AN178" s="1">
        <v>4027.4125882517574</v>
      </c>
      <c r="AO178" s="1">
        <v>7.2360033686043837E-2</v>
      </c>
      <c r="AP178" s="1">
        <v>0.13001103795417071</v>
      </c>
    </row>
    <row r="179" spans="2:42" x14ac:dyDescent="0.2">
      <c r="C179" s="1" t="s">
        <v>162</v>
      </c>
      <c r="E179" s="271">
        <v>49.51433531978811</v>
      </c>
      <c r="F179" s="271">
        <v>48.702840340773442</v>
      </c>
      <c r="G179" s="271">
        <v>69.042294120570574</v>
      </c>
      <c r="H179" s="271">
        <v>0.26172300981461288</v>
      </c>
      <c r="I179" s="271">
        <v>44.970414201183409</v>
      </c>
      <c r="J179" s="271">
        <v>72.638134358023123</v>
      </c>
      <c r="K179" s="1">
        <v>130.29332003984868</v>
      </c>
      <c r="L179" s="1">
        <v>101.63973159436722</v>
      </c>
      <c r="M179" s="1">
        <v>63.236965100333165</v>
      </c>
      <c r="N179" s="271">
        <v>84.746235359732253</v>
      </c>
      <c r="O179" s="1">
        <v>54.34920557440261</v>
      </c>
      <c r="P179" s="1">
        <v>3.541174193921218</v>
      </c>
      <c r="Q179" s="1">
        <v>66.497592483047271</v>
      </c>
      <c r="R179" s="1">
        <v>7.8865908239515763</v>
      </c>
      <c r="S179" s="1">
        <v>123.89307379315441</v>
      </c>
      <c r="T179" s="1">
        <v>15.467726072989176</v>
      </c>
      <c r="U179" s="1">
        <v>113.54238318859973</v>
      </c>
      <c r="V179" s="1">
        <v>169.25931125026631</v>
      </c>
      <c r="W179" s="1">
        <v>428.54100822943866</v>
      </c>
      <c r="X179" s="1">
        <v>-0.45357636304388782</v>
      </c>
      <c r="Y179" s="1">
        <v>321.32313313008086</v>
      </c>
      <c r="Z179" s="1">
        <v>1425.658414468272</v>
      </c>
      <c r="AA179" s="1">
        <v>5.4352441613579197E-3</v>
      </c>
      <c r="AB179" s="1">
        <v>2.1367778413146241</v>
      </c>
      <c r="AC179" s="1">
        <v>3.033934558031583E-3</v>
      </c>
      <c r="AD179" s="1">
        <v>2.0609716414884651E-2</v>
      </c>
      <c r="AE179" s="1">
        <v>1.6355535044557258E-2</v>
      </c>
      <c r="AF179" s="1">
        <v>665.88597021109376</v>
      </c>
      <c r="AG179" s="1">
        <v>176.78615177766301</v>
      </c>
      <c r="AH179" s="1">
        <v>247.53414058355517</v>
      </c>
      <c r="AI179" s="1">
        <v>-265.132187682309</v>
      </c>
      <c r="AJ179" s="1">
        <v>439.55401098258244</v>
      </c>
      <c r="AK179" s="1">
        <v>259.09646242076576</v>
      </c>
      <c r="AL179" s="271">
        <v>0</v>
      </c>
      <c r="AM179" s="1">
        <v>342.37457995677494</v>
      </c>
      <c r="AN179" s="1">
        <v>4553.8277855614115</v>
      </c>
      <c r="AO179" s="1">
        <v>8.3628283337060627E-2</v>
      </c>
      <c r="AP179" s="1">
        <v>0.14841950584940239</v>
      </c>
    </row>
    <row r="180" spans="2:42" x14ac:dyDescent="0.2">
      <c r="C180" s="1" t="s">
        <v>164</v>
      </c>
      <c r="E180" s="1">
        <v>56.290178780910857</v>
      </c>
      <c r="F180" s="1">
        <v>56.845866493422122</v>
      </c>
      <c r="G180" s="1">
        <v>1.3120620247499715</v>
      </c>
      <c r="H180" s="1">
        <v>0.37059978189749199</v>
      </c>
      <c r="I180" s="1">
        <v>52.734330833301875</v>
      </c>
      <c r="J180" s="1">
        <v>85.808930700940749</v>
      </c>
      <c r="K180" s="1">
        <v>150.54021181924463</v>
      </c>
      <c r="L180" s="1">
        <v>118.21425196106226</v>
      </c>
      <c r="M180" s="1">
        <v>67.079007024712524</v>
      </c>
      <c r="N180" s="1">
        <v>81.622978248745056</v>
      </c>
      <c r="O180" s="1">
        <v>60.395260293363869</v>
      </c>
      <c r="P180" s="1">
        <v>3.9615772409157404</v>
      </c>
      <c r="Q180" s="1">
        <v>73.938024324900425</v>
      </c>
      <c r="R180" s="1">
        <v>7.8865908239515763</v>
      </c>
      <c r="S180" s="1">
        <v>136.82141242642967</v>
      </c>
      <c r="T180" s="1">
        <v>16.385515113999777</v>
      </c>
      <c r="U180" s="1">
        <v>125.59564527631815</v>
      </c>
      <c r="V180" s="1">
        <v>124.10027302060064</v>
      </c>
      <c r="W180" s="1">
        <v>511.35424109741967</v>
      </c>
      <c r="X180" s="1">
        <v>-0.56390412367293374</v>
      </c>
      <c r="Y180" s="1">
        <v>375.82090870430517</v>
      </c>
      <c r="Z180" s="1">
        <v>1604.0181112573346</v>
      </c>
      <c r="AA180" s="1">
        <v>5.4352441613577246E-3</v>
      </c>
      <c r="AB180" s="1">
        <v>2.3829371527069911</v>
      </c>
      <c r="AC180" s="1">
        <v>3.033934558031583E-3</v>
      </c>
      <c r="AD180" s="1">
        <v>2.3159741767066581E-2</v>
      </c>
      <c r="AE180" s="1">
        <v>1.7846464344446106E-2</v>
      </c>
      <c r="AF180" s="1">
        <v>757.09199732119248</v>
      </c>
      <c r="AG180" s="1">
        <v>191.43891924063885</v>
      </c>
      <c r="AH180" s="1">
        <v>277.42438518924689</v>
      </c>
      <c r="AI180" s="1">
        <v>-300.97141894544262</v>
      </c>
      <c r="AJ180" s="1">
        <v>513.28176328176323</v>
      </c>
      <c r="AK180" s="1">
        <v>300.27215600120212</v>
      </c>
      <c r="AL180" s="271">
        <v>0</v>
      </c>
      <c r="AM180" s="1">
        <v>386.60996387196542</v>
      </c>
      <c r="AN180" s="1">
        <v>5083.1274497056384</v>
      </c>
      <c r="AO180" s="1">
        <v>9.4958276821781651E-2</v>
      </c>
      <c r="AP180" s="1">
        <v>0.16667667126878286</v>
      </c>
    </row>
    <row r="181" spans="2:42" x14ac:dyDescent="0.2">
      <c r="B181" s="318" t="s">
        <v>329</v>
      </c>
      <c r="C181" s="319" t="s">
        <v>328</v>
      </c>
      <c r="D181" s="319" t="s">
        <v>327</v>
      </c>
      <c r="E181" s="314">
        <v>1.0692499999999998</v>
      </c>
      <c r="F181" s="270">
        <v>1.23285</v>
      </c>
      <c r="G181" s="270">
        <v>1.0019499999999999</v>
      </c>
      <c r="H181" s="270">
        <v>113.295</v>
      </c>
      <c r="I181" s="270">
        <v>1.30925</v>
      </c>
      <c r="J181" s="270">
        <v>0.75634999999999997</v>
      </c>
      <c r="K181" s="270">
        <v>6.9546000000000001</v>
      </c>
      <c r="L181" s="270">
        <v>8.4534000000000002</v>
      </c>
      <c r="M181" s="270">
        <v>8.9093</v>
      </c>
      <c r="N181" s="270">
        <v>0.72004999999999997</v>
      </c>
      <c r="O181" s="270">
        <v>4.0806500000000003</v>
      </c>
      <c r="P181" s="270">
        <v>287.93</v>
      </c>
      <c r="Q181" s="270">
        <v>13.478100000000001</v>
      </c>
      <c r="R181" s="270">
        <v>25.271000000000001</v>
      </c>
      <c r="S181" s="270">
        <v>3.7733499999999998</v>
      </c>
      <c r="T181" s="270">
        <v>7.7561999999999998</v>
      </c>
      <c r="U181" s="270">
        <v>6.8496000000000006</v>
      </c>
      <c r="V181" s="270">
        <v>3.2170999999999998</v>
      </c>
      <c r="W181" s="270">
        <v>59.284000000000006</v>
      </c>
      <c r="X181" s="270">
        <v>68.074999999999989</v>
      </c>
      <c r="Y181" s="270">
        <v>21.791150000000002</v>
      </c>
      <c r="Z181" s="270">
        <v>1.4217499999999998</v>
      </c>
      <c r="AA181" s="270">
        <v>1166.635</v>
      </c>
      <c r="AB181" s="270">
        <v>35.281000000000006</v>
      </c>
      <c r="AC181" s="270">
        <v>659.18000000000006</v>
      </c>
      <c r="AD181" s="270">
        <v>2935.05</v>
      </c>
      <c r="AE181" s="270">
        <v>13351</v>
      </c>
      <c r="AF181" s="270">
        <v>3.3472999999999997</v>
      </c>
      <c r="AG181" s="270">
        <v>4.2054499999999999</v>
      </c>
      <c r="AH181" s="270">
        <v>3.8086000000000002</v>
      </c>
      <c r="AI181" s="270">
        <v>4.4442500000000003</v>
      </c>
      <c r="AJ181" s="270">
        <v>6.8126999999999995</v>
      </c>
      <c r="AK181" s="270">
        <v>3.6729500000000002</v>
      </c>
      <c r="AL181" s="270">
        <v>103.9</v>
      </c>
      <c r="AM181" s="270">
        <v>3.7505999999999999</v>
      </c>
      <c r="AN181" s="270">
        <v>18.807549999999999</v>
      </c>
      <c r="AO181" s="270">
        <v>31.539000000000001</v>
      </c>
      <c r="AP181" s="270">
        <v>49.855000000000004</v>
      </c>
    </row>
    <row r="182" spans="2:42" x14ac:dyDescent="0.2">
      <c r="B182" s="271" t="s">
        <v>23</v>
      </c>
      <c r="C182" s="320">
        <v>1.0000102778806337</v>
      </c>
      <c r="D182" s="320">
        <v>0.99997861156858592</v>
      </c>
      <c r="E182" s="292"/>
      <c r="F182" s="292"/>
      <c r="G182" s="292"/>
      <c r="H182" s="292"/>
      <c r="I182" s="292"/>
      <c r="J182" s="292"/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  <c r="AA182" s="292"/>
      <c r="AB182" s="292"/>
      <c r="AC182" s="292"/>
      <c r="AD182" s="292"/>
      <c r="AE182" s="292"/>
      <c r="AF182" s="292"/>
      <c r="AG182" s="292"/>
      <c r="AH182" s="292"/>
      <c r="AI182" s="292"/>
      <c r="AJ182" s="292"/>
      <c r="AK182" s="292"/>
      <c r="AL182" s="292"/>
      <c r="AM182" s="292"/>
      <c r="AN182" s="292"/>
      <c r="AO182" s="292"/>
      <c r="AP182" s="292"/>
    </row>
    <row r="183" spans="2:42" x14ac:dyDescent="0.2">
      <c r="B183" s="271" t="s">
        <v>30</v>
      </c>
      <c r="C183" s="320">
        <v>1.00002055586968</v>
      </c>
      <c r="D183" s="320">
        <v>0.99995555753077636</v>
      </c>
      <c r="E183" s="269"/>
      <c r="F183" s="269"/>
      <c r="G183" s="269"/>
      <c r="H183" s="269"/>
      <c r="I183" s="269"/>
      <c r="J183" s="269"/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90"/>
      <c r="V183" s="290"/>
      <c r="W183" s="290"/>
      <c r="X183" s="290"/>
      <c r="Y183" s="290"/>
      <c r="Z183" s="290"/>
      <c r="AA183" s="290"/>
      <c r="AB183" s="290"/>
      <c r="AC183" s="290"/>
      <c r="AD183" s="290"/>
      <c r="AE183" s="290"/>
      <c r="AF183" s="290"/>
      <c r="AG183" s="290"/>
      <c r="AH183" s="290"/>
      <c r="AI183" s="290"/>
      <c r="AJ183" s="290"/>
      <c r="AK183" s="290"/>
      <c r="AL183" s="290"/>
      <c r="AM183" s="290"/>
      <c r="AN183" s="290"/>
      <c r="AO183" s="290"/>
      <c r="AP183" s="290"/>
    </row>
    <row r="184" spans="2:42" x14ac:dyDescent="0.2">
      <c r="B184" s="271" t="s">
        <v>41</v>
      </c>
      <c r="C184" s="320">
        <v>1.0000513907875628</v>
      </c>
      <c r="D184" s="320">
        <v>0.99988612408031297</v>
      </c>
      <c r="E184" s="269"/>
      <c r="F184" s="269"/>
      <c r="G184" s="269"/>
      <c r="H184" s="269"/>
      <c r="I184" s="269"/>
      <c r="J184" s="269"/>
      <c r="K184" s="269"/>
      <c r="L184" s="269"/>
      <c r="M184" s="269"/>
      <c r="N184" s="269"/>
      <c r="O184" s="269"/>
      <c r="P184" s="269"/>
      <c r="Q184" s="290"/>
      <c r="R184" s="290"/>
      <c r="S184" s="290"/>
      <c r="T184" s="269"/>
      <c r="U184" s="290"/>
      <c r="V184" s="290"/>
      <c r="W184" s="290"/>
      <c r="X184" s="290"/>
      <c r="Y184" s="290"/>
      <c r="Z184" s="290"/>
      <c r="AA184" s="290"/>
      <c r="AB184" s="290"/>
      <c r="AC184" s="290"/>
      <c r="AD184" s="290"/>
      <c r="AE184" s="290"/>
      <c r="AF184" s="290"/>
      <c r="AG184" s="290"/>
      <c r="AH184" s="290"/>
      <c r="AI184" s="290"/>
      <c r="AJ184" s="290"/>
      <c r="AK184" s="290"/>
      <c r="AL184" s="290"/>
      <c r="AM184" s="290"/>
      <c r="AN184" s="290"/>
      <c r="AO184" s="290"/>
      <c r="AP184" s="290"/>
    </row>
    <row r="185" spans="2:42" x14ac:dyDescent="0.2">
      <c r="B185" s="271" t="s">
        <v>92</v>
      </c>
      <c r="C185" s="320">
        <v>1.0000925069694873</v>
      </c>
      <c r="D185" s="320">
        <v>0.99977643565866625</v>
      </c>
      <c r="E185" s="270">
        <v>2.6749999999999998</v>
      </c>
      <c r="F185" s="270">
        <v>1.3599999999999999</v>
      </c>
      <c r="G185" s="270">
        <v>-3.3149999999999999</v>
      </c>
      <c r="H185" s="270">
        <v>-1.7999999999999998</v>
      </c>
      <c r="I185" s="270">
        <v>-0.55000000000000004</v>
      </c>
      <c r="J185" s="270">
        <v>-1.37</v>
      </c>
      <c r="K185" s="270">
        <v>-18.989999999999998</v>
      </c>
      <c r="L185" s="270">
        <v>-5.5449999999999999</v>
      </c>
      <c r="M185" s="270">
        <v>-25.299999999999997</v>
      </c>
      <c r="N185" s="270">
        <v>-1.5249999999999999</v>
      </c>
      <c r="O185" s="270">
        <v>4.63</v>
      </c>
      <c r="P185" s="270">
        <v>-5.2249999999999996</v>
      </c>
      <c r="Q185" s="270">
        <v>169.55</v>
      </c>
      <c r="R185" s="270">
        <v>-5.5</v>
      </c>
      <c r="S185" s="270">
        <v>62.18</v>
      </c>
      <c r="T185" s="270">
        <v>-8.85</v>
      </c>
      <c r="U185" s="270">
        <v>125.005</v>
      </c>
      <c r="V185" s="270">
        <v>70.5</v>
      </c>
      <c r="W185" s="270">
        <v>1000</v>
      </c>
      <c r="X185" s="270">
        <v>5.5000000000006821</v>
      </c>
      <c r="Y185" s="270">
        <v>211.625</v>
      </c>
      <c r="Z185" s="270">
        <v>-1.6749999999999998</v>
      </c>
      <c r="AA185" s="270">
        <v>4.7500000000001137</v>
      </c>
      <c r="AB185" s="270">
        <v>0</v>
      </c>
      <c r="AC185" s="270">
        <v>0.37</v>
      </c>
      <c r="AD185" s="270">
        <v>4.4450000000000003</v>
      </c>
      <c r="AE185" s="270">
        <v>15</v>
      </c>
      <c r="AF185" s="270">
        <v>-33.790740740740716</v>
      </c>
      <c r="AG185" s="270">
        <v>-5.1460499999999998</v>
      </c>
      <c r="AH185" s="270">
        <v>-6.4249999999999998</v>
      </c>
      <c r="AI185" s="270">
        <v>177.49999999999932</v>
      </c>
      <c r="AJ185" s="270">
        <v>185</v>
      </c>
      <c r="AK185" s="270">
        <v>-0.44999999999999996</v>
      </c>
      <c r="AL185" s="270">
        <v>55.481481481481069</v>
      </c>
      <c r="AM185" s="270">
        <v>0</v>
      </c>
      <c r="AN185" s="270">
        <v>-9982.9074074074015</v>
      </c>
      <c r="AO185" s="270">
        <v>2.4999999999977263E-3</v>
      </c>
      <c r="AP185" s="270">
        <v>1.9999999999999574E-2</v>
      </c>
    </row>
    <row r="186" spans="2:42" x14ac:dyDescent="0.2">
      <c r="B186" s="271" t="s">
        <v>55</v>
      </c>
      <c r="C186" s="320">
        <v>1.0001605783506493</v>
      </c>
      <c r="D186" s="320">
        <v>0.9995186373643995</v>
      </c>
      <c r="E186" s="271">
        <v>6.21</v>
      </c>
      <c r="F186" s="271">
        <v>3.625</v>
      </c>
      <c r="G186" s="271">
        <v>-7.3049999999999997</v>
      </c>
      <c r="H186" s="271">
        <v>-4.67</v>
      </c>
      <c r="I186" s="271">
        <v>-1.4750000000000001</v>
      </c>
      <c r="J186" s="271">
        <v>-2.73</v>
      </c>
      <c r="K186" s="1">
        <v>-45.010000000000005</v>
      </c>
      <c r="L186" s="1">
        <v>-12</v>
      </c>
      <c r="M186" s="1">
        <v>-58.5</v>
      </c>
      <c r="N186" s="271">
        <v>-3.0750000000000002</v>
      </c>
      <c r="O186" s="1">
        <v>9.245000000000001</v>
      </c>
      <c r="P186" s="1">
        <v>-10.725000000000001</v>
      </c>
      <c r="Q186" s="1">
        <v>346.79999999999995</v>
      </c>
      <c r="R186" s="1">
        <v>-14.5</v>
      </c>
      <c r="S186" s="1">
        <v>129.535</v>
      </c>
      <c r="T186" s="1">
        <v>-16.2</v>
      </c>
      <c r="U186" s="1">
        <v>178.84961538461539</v>
      </c>
      <c r="V186" s="1">
        <v>133.6521153846154</v>
      </c>
      <c r="W186" s="1">
        <v>1995.95</v>
      </c>
      <c r="X186" s="1">
        <v>10.060000000000628</v>
      </c>
      <c r="Y186" s="1">
        <v>430.79999999999995</v>
      </c>
      <c r="Z186" s="1">
        <v>-1.9999999999999998</v>
      </c>
      <c r="AA186" s="1">
        <v>4.7648076923077616</v>
      </c>
      <c r="AB186" s="1">
        <v>0.14134615384615384</v>
      </c>
      <c r="AC186" s="1">
        <v>0.67999999999999994</v>
      </c>
      <c r="AD186" s="1">
        <v>8.01</v>
      </c>
      <c r="AE186" s="1">
        <v>20.384615384615387</v>
      </c>
      <c r="AF186" s="1">
        <v>8.9740740740740961</v>
      </c>
      <c r="AG186" s="1">
        <v>-12.381799999999998</v>
      </c>
      <c r="AH186" s="1">
        <v>-12.940384615384616</v>
      </c>
      <c r="AI186" s="1">
        <v>206.84615384615412</v>
      </c>
      <c r="AJ186" s="1">
        <v>180.935</v>
      </c>
      <c r="AK186" s="1">
        <v>0.6134615384615385</v>
      </c>
      <c r="AL186" s="1">
        <v>79.851851851851393</v>
      </c>
      <c r="AM186" s="1">
        <v>0.25</v>
      </c>
      <c r="AN186" s="1">
        <v>-10384.759259259252</v>
      </c>
      <c r="AO186" s="1">
        <v>-1.1500000000002166E-2</v>
      </c>
      <c r="AP186" s="1">
        <v>4.7222222222221902E-2</v>
      </c>
    </row>
    <row r="187" spans="2:42" x14ac:dyDescent="0.2">
      <c r="B187" s="271" t="s">
        <v>63</v>
      </c>
      <c r="C187" s="320">
        <v>1.0002306042965825</v>
      </c>
      <c r="D187" s="320">
        <v>0.9993055265947246</v>
      </c>
      <c r="E187" s="271">
        <v>9.18</v>
      </c>
      <c r="F187" s="271">
        <v>5.33</v>
      </c>
      <c r="G187" s="271">
        <v>-10.969999999999999</v>
      </c>
      <c r="H187" s="271">
        <v>-6.9649999999999999</v>
      </c>
      <c r="I187" s="271">
        <v>-2.33</v>
      </c>
      <c r="J187" s="271">
        <v>-3.8</v>
      </c>
      <c r="K187" s="1">
        <v>-66</v>
      </c>
      <c r="L187" s="1">
        <v>-15.745000000000001</v>
      </c>
      <c r="M187" s="1">
        <v>-86.5</v>
      </c>
      <c r="N187" s="271">
        <v>-4.57</v>
      </c>
      <c r="O187" s="1">
        <v>13.82</v>
      </c>
      <c r="P187" s="1">
        <v>-16.352631578947367</v>
      </c>
      <c r="Q187" s="1">
        <v>525.35</v>
      </c>
      <c r="R187" s="1">
        <v>-27.33</v>
      </c>
      <c r="S187" s="1">
        <v>198.35000000000002</v>
      </c>
      <c r="T187" s="1">
        <v>-21.1</v>
      </c>
      <c r="U187" s="1">
        <v>219.23307692307694</v>
      </c>
      <c r="V187" s="1">
        <v>196.80423076923077</v>
      </c>
      <c r="W187" s="1">
        <v>2848.5324999999998</v>
      </c>
      <c r="X187" s="1">
        <v>15.380000000000564</v>
      </c>
      <c r="Y187" s="1">
        <v>632.5</v>
      </c>
      <c r="Z187" s="1">
        <v>-2.4750000000000001</v>
      </c>
      <c r="AA187" s="1">
        <v>4.7796153846154104</v>
      </c>
      <c r="AB187" s="1">
        <v>0.28269230769230769</v>
      </c>
      <c r="AC187" s="1">
        <v>0.94526315789473681</v>
      </c>
      <c r="AD187" s="1">
        <v>11.896842105263159</v>
      </c>
      <c r="AE187" s="1">
        <v>25.76923076923077</v>
      </c>
      <c r="AF187" s="1">
        <v>51.738888888888908</v>
      </c>
      <c r="AG187" s="1">
        <v>-18.261499999999998</v>
      </c>
      <c r="AH187" s="1">
        <v>-19.455769230769231</v>
      </c>
      <c r="AI187" s="1">
        <v>240.38461538461672</v>
      </c>
      <c r="AJ187" s="1">
        <v>287.5</v>
      </c>
      <c r="AK187" s="1">
        <v>1.676923076923077</v>
      </c>
      <c r="AL187" s="1">
        <v>104.22222222222169</v>
      </c>
      <c r="AM187" s="1">
        <v>2</v>
      </c>
      <c r="AN187" s="1">
        <v>-10786.611111111102</v>
      </c>
      <c r="AO187" s="1">
        <v>-2.5500000000002059E-2</v>
      </c>
      <c r="AP187" s="1">
        <v>7.444444444444423E-2</v>
      </c>
    </row>
    <row r="188" spans="2:42" x14ac:dyDescent="0.2">
      <c r="B188" s="271" t="s">
        <v>66</v>
      </c>
      <c r="C188" s="320">
        <v>1.0003306583737761</v>
      </c>
      <c r="D188" s="320">
        <v>0.99896731898612645</v>
      </c>
      <c r="E188" s="271">
        <v>13.84</v>
      </c>
      <c r="F188" s="271">
        <v>8.0500000000000007</v>
      </c>
      <c r="G188" s="271">
        <v>-16.690000000000001</v>
      </c>
      <c r="H188" s="271">
        <v>-10.879999999999999</v>
      </c>
      <c r="I188" s="271">
        <v>-3.915</v>
      </c>
      <c r="J188" s="271">
        <v>-6.0500000000000007</v>
      </c>
      <c r="K188" s="1">
        <v>-99.64</v>
      </c>
      <c r="L188" s="1">
        <v>-21.36</v>
      </c>
      <c r="M188" s="1">
        <v>-131.77000000000001</v>
      </c>
      <c r="N188" s="271">
        <v>-6.9749999999999996</v>
      </c>
      <c r="O188" s="1">
        <v>20.984999999999999</v>
      </c>
      <c r="P188" s="1">
        <v>-26</v>
      </c>
      <c r="Q188" s="1">
        <v>805.95</v>
      </c>
      <c r="R188" s="1">
        <v>-47.5</v>
      </c>
      <c r="S188" s="1">
        <v>319.85500000000002</v>
      </c>
      <c r="T188" s="1">
        <v>-31</v>
      </c>
      <c r="U188" s="1">
        <v>300</v>
      </c>
      <c r="V188" s="1">
        <v>305.065</v>
      </c>
      <c r="W188" s="1">
        <v>4431.8999999999996</v>
      </c>
      <c r="X188" s="1">
        <v>24.500000000000455</v>
      </c>
      <c r="Y188" s="1">
        <v>1001.125</v>
      </c>
      <c r="Z188" s="1">
        <v>-3</v>
      </c>
      <c r="AA188" s="1">
        <v>4.80499999999995</v>
      </c>
      <c r="AB188" s="1">
        <v>0.52500000000000002</v>
      </c>
      <c r="AC188" s="1">
        <v>1.4</v>
      </c>
      <c r="AD188" s="1">
        <v>18.560000000000002</v>
      </c>
      <c r="AE188" s="1">
        <v>35</v>
      </c>
      <c r="AF188" s="1">
        <v>125.05000000000001</v>
      </c>
      <c r="AG188" s="1">
        <v>-25.461449999999999</v>
      </c>
      <c r="AH188" s="1">
        <v>-30.625</v>
      </c>
      <c r="AI188" s="1">
        <v>286.50000000000284</v>
      </c>
      <c r="AJ188" s="1">
        <v>390</v>
      </c>
      <c r="AK188" s="1">
        <v>3.5</v>
      </c>
      <c r="AL188" s="1">
        <v>145.99999999999937</v>
      </c>
      <c r="AM188" s="1">
        <v>5</v>
      </c>
      <c r="AN188" s="1">
        <v>-11475.499999999989</v>
      </c>
      <c r="AO188" s="1">
        <v>-4.9500000000001876E-2</v>
      </c>
      <c r="AP188" s="1">
        <v>0.125</v>
      </c>
    </row>
    <row r="189" spans="2:42" x14ac:dyDescent="0.2">
      <c r="B189" s="271" t="s">
        <v>71</v>
      </c>
      <c r="C189" s="320">
        <v>1.0005781002221927</v>
      </c>
      <c r="D189" s="320">
        <v>0.99806746367913413</v>
      </c>
      <c r="E189" s="271">
        <v>26.1</v>
      </c>
      <c r="F189" s="271">
        <v>14.66</v>
      </c>
      <c r="G189" s="271">
        <v>-31.384999999999998</v>
      </c>
      <c r="H189" s="271">
        <v>-21.7</v>
      </c>
      <c r="I189" s="271">
        <v>-7.55</v>
      </c>
      <c r="J189" s="271">
        <v>-10.95</v>
      </c>
      <c r="K189" s="1">
        <v>-190.30500000000001</v>
      </c>
      <c r="L189" s="1">
        <v>-34.730000000000004</v>
      </c>
      <c r="M189" s="1">
        <v>-244.23000000000002</v>
      </c>
      <c r="N189" s="271">
        <v>-12.85</v>
      </c>
      <c r="O189" s="1">
        <v>38.5</v>
      </c>
      <c r="P189" s="1">
        <v>-48</v>
      </c>
      <c r="Q189" s="1">
        <v>1497.5</v>
      </c>
      <c r="R189" s="1">
        <v>-109.85</v>
      </c>
      <c r="S189" s="1">
        <v>590.20000000000005</v>
      </c>
      <c r="T189" s="1">
        <v>-56</v>
      </c>
      <c r="U189" s="1">
        <v>595</v>
      </c>
      <c r="V189" s="1">
        <v>509.5</v>
      </c>
      <c r="W189" s="1">
        <v>7807.4</v>
      </c>
      <c r="X189" s="1">
        <v>45.50000000000054</v>
      </c>
      <c r="Y189" s="1">
        <v>1881.125</v>
      </c>
      <c r="Z189" s="1">
        <v>-5.6</v>
      </c>
      <c r="AA189" s="1">
        <v>4.82000000000005</v>
      </c>
      <c r="AB189" s="1">
        <v>1.75</v>
      </c>
      <c r="AC189" s="1">
        <v>2.66</v>
      </c>
      <c r="AD189" s="1">
        <v>34.200000000000003</v>
      </c>
      <c r="AE189" s="1">
        <v>95</v>
      </c>
      <c r="AF189" s="1">
        <v>290</v>
      </c>
      <c r="AG189" s="1">
        <v>-47.133499999999998</v>
      </c>
      <c r="AH189" s="1">
        <v>-61.5</v>
      </c>
      <c r="AI189" s="1">
        <v>384.99999999999977</v>
      </c>
      <c r="AJ189" s="1">
        <v>686.67</v>
      </c>
      <c r="AK189" s="1">
        <v>9</v>
      </c>
      <c r="AL189" s="1">
        <v>239.99999999999915</v>
      </c>
      <c r="AM189" s="1">
        <v>12</v>
      </c>
      <c r="AN189" s="1">
        <v>-13025.499999999984</v>
      </c>
      <c r="AO189" s="1">
        <v>-5.0500000000001322E-2</v>
      </c>
      <c r="AP189" s="1">
        <v>0.27999999999999758</v>
      </c>
    </row>
    <row r="190" spans="2:42" x14ac:dyDescent="0.2">
      <c r="B190" s="271" t="s">
        <v>77</v>
      </c>
      <c r="C190" s="320">
        <v>1.0007961729036805</v>
      </c>
      <c r="D190" s="320">
        <v>0.99627811943898459</v>
      </c>
      <c r="E190" s="271">
        <v>47.58</v>
      </c>
      <c r="F190" s="271">
        <v>27.95</v>
      </c>
      <c r="G190" s="271">
        <v>-54.88</v>
      </c>
      <c r="H190" s="271">
        <v>-46.58</v>
      </c>
      <c r="I190" s="271">
        <v>-13.08</v>
      </c>
      <c r="J190" s="271">
        <v>-16.324999999999999</v>
      </c>
      <c r="K190" s="1">
        <v>-340.495</v>
      </c>
      <c r="L190" s="1">
        <v>-61.900000000000006</v>
      </c>
      <c r="M190" s="1">
        <v>-431.255</v>
      </c>
      <c r="N190" s="271">
        <v>-19.45</v>
      </c>
      <c r="O190" s="1">
        <v>57.524999999999999</v>
      </c>
      <c r="P190" s="1">
        <v>-77.75</v>
      </c>
      <c r="Q190" s="1">
        <v>2284.5</v>
      </c>
      <c r="R190" s="1">
        <v>-221.3</v>
      </c>
      <c r="S190" s="1">
        <v>894.4849999999999</v>
      </c>
      <c r="T190" s="1">
        <v>-75</v>
      </c>
      <c r="U190" s="1">
        <v>870</v>
      </c>
      <c r="V190" s="1">
        <v>777.59500000000003</v>
      </c>
      <c r="W190" s="1">
        <v>11422.150000000001</v>
      </c>
      <c r="X190" s="1">
        <v>73.000000000000398</v>
      </c>
      <c r="Y190" s="1">
        <v>2851.875</v>
      </c>
      <c r="Z190" s="1">
        <v>-8.25</v>
      </c>
      <c r="AA190" s="1">
        <v>4.7300000000000182</v>
      </c>
      <c r="AB190" s="1">
        <v>2.75</v>
      </c>
      <c r="AC190" s="1">
        <v>3.94</v>
      </c>
      <c r="AD190" s="1">
        <v>48.465000000000003</v>
      </c>
      <c r="AE190" s="1">
        <v>150</v>
      </c>
      <c r="AF190" s="1">
        <v>410</v>
      </c>
      <c r="AG190" s="1">
        <v>-98.816299999999998</v>
      </c>
      <c r="AH190" s="1">
        <v>-101.75</v>
      </c>
      <c r="AI190" s="1">
        <v>450.00000000000375</v>
      </c>
      <c r="AJ190" s="1">
        <v>912.5</v>
      </c>
      <c r="AK190" s="1">
        <v>22.5</v>
      </c>
      <c r="AL190" s="1">
        <v>328.00000000000011</v>
      </c>
      <c r="AM190" s="1">
        <v>22</v>
      </c>
      <c r="AN190" s="1">
        <v>-9925.4999999999964</v>
      </c>
      <c r="AO190" s="1">
        <v>-8.0500000000000682E-2</v>
      </c>
      <c r="AP190" s="1">
        <v>0.42499999999999716</v>
      </c>
    </row>
    <row r="191" spans="2:42" x14ac:dyDescent="0.2">
      <c r="B191" s="271" t="s">
        <v>82</v>
      </c>
      <c r="C191" s="320">
        <v>1.0009703655276365</v>
      </c>
      <c r="D191" s="320">
        <v>0.99500028828206799</v>
      </c>
      <c r="E191" s="271">
        <v>63.3</v>
      </c>
      <c r="F191" s="271">
        <v>36.625</v>
      </c>
      <c r="G191" s="271">
        <v>-73.61</v>
      </c>
      <c r="H191" s="271">
        <v>-62.1</v>
      </c>
      <c r="I191" s="271">
        <v>-17.630000000000003</v>
      </c>
      <c r="J191" s="271">
        <v>-21.855</v>
      </c>
      <c r="K191" s="1">
        <v>-450.06</v>
      </c>
      <c r="L191" s="1">
        <v>-83.92</v>
      </c>
      <c r="M191" s="1">
        <v>-567.75</v>
      </c>
      <c r="N191" s="271">
        <v>-26.15</v>
      </c>
      <c r="O191" s="1">
        <v>73.930000000000007</v>
      </c>
      <c r="P191" s="1">
        <v>-107</v>
      </c>
      <c r="Q191" s="1">
        <v>3097.5</v>
      </c>
      <c r="R191" s="1">
        <v>-314.94499999999999</v>
      </c>
      <c r="S191" s="1">
        <v>1240.0999999999999</v>
      </c>
      <c r="T191" s="1">
        <v>-87.49</v>
      </c>
      <c r="U191" s="1">
        <v>1064.0950549450549</v>
      </c>
      <c r="V191" s="1">
        <v>1008.3329120879121</v>
      </c>
      <c r="W191" s="1">
        <v>14938.265384615384</v>
      </c>
      <c r="X191" s="1">
        <v>98.219780219780631</v>
      </c>
      <c r="Y191" s="1">
        <v>3863.3859890109889</v>
      </c>
      <c r="Z191" s="1">
        <v>-9.2050000000000001</v>
      </c>
      <c r="AA191" s="1">
        <v>4.4662637362637696</v>
      </c>
      <c r="AB191" s="1">
        <v>3.9862637362637363</v>
      </c>
      <c r="AC191" s="1">
        <v>5.33</v>
      </c>
      <c r="AD191" s="1">
        <v>60.344999999999999</v>
      </c>
      <c r="AE191" s="1">
        <v>207.69230769230768</v>
      </c>
      <c r="AF191" s="1">
        <v>541.86813186813185</v>
      </c>
      <c r="AG191" s="1">
        <v>-124.83648681318681</v>
      </c>
      <c r="AH191" s="1">
        <v>-142.05384615384617</v>
      </c>
      <c r="AI191" s="1">
        <v>531.5934065934091</v>
      </c>
      <c r="AJ191" s="1">
        <v>1144.9000000000001</v>
      </c>
      <c r="AK191" s="1">
        <v>30.520000000000003</v>
      </c>
      <c r="AL191" s="1">
        <v>400.52747252747224</v>
      </c>
      <c r="AM191" s="1">
        <v>39.406593406593402</v>
      </c>
      <c r="AN191" s="1">
        <v>-8919.1813186813088</v>
      </c>
      <c r="AO191" s="1">
        <v>-0.11330219780219875</v>
      </c>
      <c r="AP191" s="1">
        <v>0.5486263736263719</v>
      </c>
    </row>
    <row r="192" spans="2:42" x14ac:dyDescent="0.2">
      <c r="B192" s="271" t="s">
        <v>85</v>
      </c>
      <c r="C192" s="320">
        <v>1.0010702892980414</v>
      </c>
      <c r="D192" s="320">
        <v>0.99374350168585446</v>
      </c>
      <c r="E192" s="271">
        <v>77.835000000000008</v>
      </c>
      <c r="F192" s="271">
        <v>44.614999999999995</v>
      </c>
      <c r="G192" s="271">
        <v>-90.8</v>
      </c>
      <c r="H192" s="271">
        <v>-76.075000000000003</v>
      </c>
      <c r="I192" s="271">
        <v>-22.125</v>
      </c>
      <c r="J192" s="271">
        <v>-26.55</v>
      </c>
      <c r="K192" s="1">
        <v>-556.54999999999995</v>
      </c>
      <c r="L192" s="1">
        <v>-109.43</v>
      </c>
      <c r="M192" s="1">
        <v>-695.24</v>
      </c>
      <c r="N192" s="271">
        <v>-32.075000000000003</v>
      </c>
      <c r="O192" s="1">
        <v>86.435000000000002</v>
      </c>
      <c r="P192" s="1">
        <v>-132.5</v>
      </c>
      <c r="Q192" s="1">
        <v>3828.5</v>
      </c>
      <c r="R192" s="1">
        <v>-400.995</v>
      </c>
      <c r="S192" s="1">
        <v>1537.7249999999999</v>
      </c>
      <c r="T192" s="1">
        <v>-87.034999999999997</v>
      </c>
      <c r="U192" s="1">
        <v>1264.6599450549452</v>
      </c>
      <c r="V192" s="1">
        <v>1246.762087912088</v>
      </c>
      <c r="W192" s="1">
        <v>18688.788461538461</v>
      </c>
      <c r="X192" s="1">
        <v>124.28021978022022</v>
      </c>
      <c r="Y192" s="1">
        <v>4908.6140109890111</v>
      </c>
      <c r="Z192" s="1">
        <v>-9.84</v>
      </c>
      <c r="AA192" s="1">
        <v>4.1937362637363123</v>
      </c>
      <c r="AB192" s="1">
        <v>5.2637362637362637</v>
      </c>
      <c r="AC192" s="1">
        <v>6.5500000000000007</v>
      </c>
      <c r="AD192" s="1">
        <v>73.33</v>
      </c>
      <c r="AE192" s="1">
        <v>267.30769230769232</v>
      </c>
      <c r="AF192" s="1">
        <v>678.13186813186815</v>
      </c>
      <c r="AG192" s="1">
        <v>-151.72401318681318</v>
      </c>
      <c r="AH192" s="1">
        <v>-183.70115384615383</v>
      </c>
      <c r="AI192" s="1">
        <v>615.90659340659454</v>
      </c>
      <c r="AJ192" s="1">
        <v>1325.7</v>
      </c>
      <c r="AK192" s="1">
        <v>36.5448275862069</v>
      </c>
      <c r="AL192" s="1">
        <v>475.47252747252685</v>
      </c>
      <c r="AM192" s="1">
        <v>54.175824175824175</v>
      </c>
      <c r="AN192" s="1">
        <v>-8065.3351648351509</v>
      </c>
      <c r="AO192" s="1">
        <v>-0.14719780219780343</v>
      </c>
      <c r="AP192" s="1">
        <v>0.68049450549450508</v>
      </c>
    </row>
    <row r="193" spans="2:42" x14ac:dyDescent="0.2">
      <c r="B193" s="271" t="s">
        <v>87</v>
      </c>
      <c r="C193" s="320">
        <v>1.0011279145796403</v>
      </c>
      <c r="D193" s="320">
        <v>0.9918216722288139</v>
      </c>
      <c r="E193" s="271">
        <v>99.4</v>
      </c>
      <c r="F193" s="271">
        <v>58.575000000000003</v>
      </c>
      <c r="G193" s="271">
        <v>-114</v>
      </c>
      <c r="H193" s="271">
        <v>-99.85</v>
      </c>
      <c r="I193" s="271">
        <v>-27.375</v>
      </c>
      <c r="J193" s="271">
        <v>-31.1</v>
      </c>
      <c r="K193" s="1">
        <v>-697.29500000000007</v>
      </c>
      <c r="L193" s="1">
        <v>-144.98000000000002</v>
      </c>
      <c r="M193" s="1">
        <v>-871.36</v>
      </c>
      <c r="N193" s="271">
        <v>-37.96</v>
      </c>
      <c r="O193" s="1">
        <v>97.77</v>
      </c>
      <c r="P193" s="1">
        <v>-158.5</v>
      </c>
      <c r="Q193" s="1">
        <v>4589.25</v>
      </c>
      <c r="R193" s="1">
        <v>-486</v>
      </c>
      <c r="S193" s="1">
        <v>1850.5349999999999</v>
      </c>
      <c r="T193" s="1">
        <v>-96.5</v>
      </c>
      <c r="U193" s="1">
        <v>1458.7550000000001</v>
      </c>
      <c r="V193" s="1">
        <v>1477.5</v>
      </c>
      <c r="W193" s="1">
        <v>22087.699999999997</v>
      </c>
      <c r="X193" s="1">
        <v>149.50000000000045</v>
      </c>
      <c r="Y193" s="1">
        <v>5920.125</v>
      </c>
      <c r="Z193" s="1">
        <v>-11.125</v>
      </c>
      <c r="AA193" s="1">
        <v>3.9300000000000637</v>
      </c>
      <c r="AB193" s="1">
        <v>6.5</v>
      </c>
      <c r="AC193" s="1">
        <v>7.8100000000000005</v>
      </c>
      <c r="AD193" s="1">
        <v>87.984999999999999</v>
      </c>
      <c r="AE193" s="1">
        <v>325</v>
      </c>
      <c r="AF193" s="1">
        <v>810</v>
      </c>
      <c r="AG193" s="1">
        <v>-177.74419999999998</v>
      </c>
      <c r="AH193" s="1">
        <v>-224.005</v>
      </c>
      <c r="AI193" s="1">
        <v>697.49999999999977</v>
      </c>
      <c r="AJ193" s="1">
        <v>1493.33</v>
      </c>
      <c r="AK193" s="1">
        <v>43</v>
      </c>
      <c r="AL193" s="1">
        <v>547.99999999999898</v>
      </c>
      <c r="AM193" s="1">
        <v>70</v>
      </c>
      <c r="AN193" s="1">
        <v>-7150.49999999998</v>
      </c>
      <c r="AO193" s="1">
        <v>-0.18000000000000149</v>
      </c>
      <c r="AP193" s="1">
        <v>0.80000000000000071</v>
      </c>
    </row>
    <row r="194" spans="2:42" x14ac:dyDescent="0.2">
      <c r="B194" s="271" t="s">
        <v>90</v>
      </c>
      <c r="C194" s="320">
        <v>1.0011460108435368</v>
      </c>
      <c r="D194" s="320">
        <v>0.99025375055253151</v>
      </c>
      <c r="E194" s="271">
        <v>116.685</v>
      </c>
      <c r="F194" s="271">
        <v>68.75</v>
      </c>
      <c r="G194" s="271">
        <v>-133.53</v>
      </c>
      <c r="H194" s="271">
        <v>-116.85</v>
      </c>
      <c r="I194" s="271">
        <v>-33.44</v>
      </c>
      <c r="J194" s="271">
        <v>-35.015000000000001</v>
      </c>
      <c r="K194" s="1">
        <v>-825</v>
      </c>
      <c r="L194" s="1">
        <v>-183.1</v>
      </c>
      <c r="M194" s="1">
        <v>-1014.265</v>
      </c>
      <c r="N194" s="271">
        <v>-44.05</v>
      </c>
      <c r="O194" s="1">
        <v>105.58239130434782</v>
      </c>
      <c r="P194" s="1">
        <v>-187.01630434782609</v>
      </c>
      <c r="Q194" s="1">
        <v>5419.540760869565</v>
      </c>
      <c r="R194" s="1">
        <v>-566.52</v>
      </c>
      <c r="S194" s="1">
        <v>2186.0746195652173</v>
      </c>
      <c r="T194" s="1">
        <v>-91.029891304347828</v>
      </c>
      <c r="U194" s="1">
        <v>1640.3428804347827</v>
      </c>
      <c r="V194" s="1">
        <v>1710.1141304347825</v>
      </c>
      <c r="W194" s="1">
        <v>25491.735869565215</v>
      </c>
      <c r="X194" s="1">
        <v>175.62500000000063</v>
      </c>
      <c r="Y194" s="1">
        <v>7116.7354891304349</v>
      </c>
      <c r="Z194" s="1">
        <v>-12.694293478260869</v>
      </c>
      <c r="AA194" s="1">
        <v>3.1588043478261181</v>
      </c>
      <c r="AB194" s="1">
        <v>7.9347826086956523</v>
      </c>
      <c r="AC194" s="1">
        <v>9.0259782608695645</v>
      </c>
      <c r="AD194" s="1">
        <v>102.83228260869565</v>
      </c>
      <c r="AE194" s="1">
        <v>400.32608695652175</v>
      </c>
      <c r="AF194" s="1">
        <v>915.81521739130437</v>
      </c>
      <c r="AG194" s="1">
        <v>-192.31735869565216</v>
      </c>
      <c r="AH194" s="1">
        <v>-276.37635869565219</v>
      </c>
      <c r="AI194" s="1">
        <v>779.28260869565247</v>
      </c>
      <c r="AJ194" s="1">
        <v>1666.67</v>
      </c>
      <c r="AK194" s="1">
        <v>57.168478260869563</v>
      </c>
      <c r="AL194" s="1">
        <v>630.49999999999943</v>
      </c>
      <c r="AM194" s="1">
        <v>96.90217391304347</v>
      </c>
      <c r="AN194" s="1">
        <v>-5599.1413043478087</v>
      </c>
      <c r="AO194" s="1">
        <v>-0.19990760869565377</v>
      </c>
      <c r="AP194" s="1">
        <v>0.90614130434782725</v>
      </c>
    </row>
    <row r="195" spans="2:42" x14ac:dyDescent="0.2">
      <c r="B195" s="271" t="s">
        <v>93</v>
      </c>
      <c r="C195" s="320">
        <v>1.0011017457550955</v>
      </c>
      <c r="D195" s="320">
        <v>0.98870381989837974</v>
      </c>
      <c r="E195" s="271">
        <v>133.22</v>
      </c>
      <c r="F195" s="271">
        <v>78</v>
      </c>
      <c r="G195" s="271">
        <v>-153.17000000000002</v>
      </c>
      <c r="H195" s="271">
        <v>-132.80000000000001</v>
      </c>
      <c r="I195" s="271">
        <v>-38.674999999999997</v>
      </c>
      <c r="J195" s="271">
        <v>-39.625</v>
      </c>
      <c r="K195" s="1">
        <v>-951.5</v>
      </c>
      <c r="L195" s="1">
        <v>-221.8</v>
      </c>
      <c r="M195" s="1">
        <v>-1158.0300000000002</v>
      </c>
      <c r="N195" s="271">
        <v>-49.855000000000004</v>
      </c>
      <c r="O195" s="1">
        <v>112.44782608695652</v>
      </c>
      <c r="P195" s="1">
        <v>-212.07608695652175</v>
      </c>
      <c r="Q195" s="1">
        <v>6149.190217391304</v>
      </c>
      <c r="R195" s="1">
        <v>-638.26</v>
      </c>
      <c r="S195" s="1">
        <v>2521.6142391304347</v>
      </c>
      <c r="T195" s="1">
        <v>-86.222826086956516</v>
      </c>
      <c r="U195" s="1">
        <v>1799.9201086956523</v>
      </c>
      <c r="V195" s="1">
        <v>1914.5326086956522</v>
      </c>
      <c r="W195" s="1">
        <v>28895.771739130432</v>
      </c>
      <c r="X195" s="1">
        <v>198.58333333333411</v>
      </c>
      <c r="Y195" s="1">
        <v>8168.3022826086963</v>
      </c>
      <c r="Z195" s="1">
        <v>-14.073369565217391</v>
      </c>
      <c r="AA195" s="1">
        <v>2.4810869565217413</v>
      </c>
      <c r="AB195" s="1">
        <v>9.195652173913043</v>
      </c>
      <c r="AC195" s="1">
        <v>10.131413043478261</v>
      </c>
      <c r="AD195" s="1">
        <v>115.05945652173912</v>
      </c>
      <c r="AE195" s="1">
        <v>466.52173913043475</v>
      </c>
      <c r="AF195" s="1">
        <v>1008.804347826087</v>
      </c>
      <c r="AG195" s="1">
        <v>-205.12407391304347</v>
      </c>
      <c r="AH195" s="1">
        <v>-322.39967391304344</v>
      </c>
      <c r="AI195" s="1">
        <v>851.15217391304429</v>
      </c>
      <c r="AJ195" s="1">
        <v>1829.17</v>
      </c>
      <c r="AK195" s="1">
        <v>69.619565217391312</v>
      </c>
      <c r="AL195" s="1">
        <v>702.99999999999977</v>
      </c>
      <c r="AM195" s="1">
        <v>120.54347826086956</v>
      </c>
      <c r="AN195" s="1">
        <v>-4235.8260869565074</v>
      </c>
      <c r="AO195" s="1">
        <v>-0.2174021739130452</v>
      </c>
      <c r="AP195" s="1">
        <v>1.0122826086956538</v>
      </c>
    </row>
    <row r="196" spans="2:42" x14ac:dyDescent="0.2">
      <c r="B196" s="271" t="s">
        <v>96</v>
      </c>
      <c r="C196" s="320">
        <v>1.0013329162790696</v>
      </c>
      <c r="D196" s="320">
        <v>0.9868406513786695</v>
      </c>
      <c r="E196" s="271">
        <v>156.13</v>
      </c>
      <c r="F196" s="271">
        <v>92.625</v>
      </c>
      <c r="G196" s="271">
        <v>-176.78</v>
      </c>
      <c r="H196" s="271">
        <v>-157.19999999999999</v>
      </c>
      <c r="I196" s="271">
        <v>-44.65</v>
      </c>
      <c r="J196" s="271">
        <v>-44.325000000000003</v>
      </c>
      <c r="K196" s="1">
        <v>-1089.3</v>
      </c>
      <c r="L196" s="1">
        <v>-266.05</v>
      </c>
      <c r="M196" s="1">
        <v>-1327.75</v>
      </c>
      <c r="N196" s="271">
        <v>-56.099999999999994</v>
      </c>
      <c r="O196" s="1">
        <v>119.55</v>
      </c>
      <c r="P196" s="1">
        <v>-238</v>
      </c>
      <c r="Q196" s="1">
        <v>6904</v>
      </c>
      <c r="R196" s="1">
        <v>-710</v>
      </c>
      <c r="S196" s="1">
        <v>2846.33</v>
      </c>
      <c r="T196" s="1">
        <v>-81.25</v>
      </c>
      <c r="U196" s="1">
        <v>1965</v>
      </c>
      <c r="V196" s="1">
        <v>2126</v>
      </c>
      <c r="W196" s="1">
        <v>32190</v>
      </c>
      <c r="X196" s="1">
        <v>225.50000000000097</v>
      </c>
      <c r="Y196" s="1">
        <v>9256.130000000001</v>
      </c>
      <c r="Z196" s="1">
        <v>-15.5</v>
      </c>
      <c r="AA196" s="1">
        <v>1.7799999999999727</v>
      </c>
      <c r="AB196" s="1">
        <v>10.5</v>
      </c>
      <c r="AC196" s="1">
        <v>11.2</v>
      </c>
      <c r="AD196" s="1">
        <v>128.16</v>
      </c>
      <c r="AE196" s="1">
        <v>535</v>
      </c>
      <c r="AF196" s="1">
        <v>1105</v>
      </c>
      <c r="AG196" s="1">
        <v>-218.3724</v>
      </c>
      <c r="AH196" s="1">
        <v>-370.01</v>
      </c>
      <c r="AI196" s="1">
        <v>925.50000000000136</v>
      </c>
      <c r="AJ196" s="1">
        <v>1991.67</v>
      </c>
      <c r="AK196" s="1">
        <v>82.5</v>
      </c>
      <c r="AL196" s="1">
        <v>778.00000000000011</v>
      </c>
      <c r="AM196" s="1">
        <v>145</v>
      </c>
      <c r="AN196" s="1">
        <v>-2825.4999999999877</v>
      </c>
      <c r="AO196" s="1">
        <v>-0.23550000000000182</v>
      </c>
      <c r="AP196" s="1">
        <v>1.115000000000002</v>
      </c>
    </row>
    <row r="197" spans="2:42" x14ac:dyDescent="0.2">
      <c r="B197" s="271" t="s">
        <v>99</v>
      </c>
      <c r="C197" s="320">
        <v>1.0015939006342334</v>
      </c>
      <c r="D197" s="320">
        <v>0.98542969330219721</v>
      </c>
      <c r="E197" s="271">
        <v>174.48000000000002</v>
      </c>
      <c r="F197" s="271">
        <v>102.85</v>
      </c>
      <c r="G197" s="271">
        <v>-197.67500000000001</v>
      </c>
      <c r="H197" s="271">
        <v>-174.92500000000001</v>
      </c>
      <c r="I197" s="271">
        <v>-51.114999999999995</v>
      </c>
      <c r="J197" s="271">
        <v>-48.474999999999994</v>
      </c>
      <c r="K197" s="1">
        <v>-1220.4549999999999</v>
      </c>
      <c r="L197" s="1">
        <v>-313</v>
      </c>
      <c r="M197" s="1">
        <v>-1487</v>
      </c>
      <c r="N197" s="271">
        <v>-62.35</v>
      </c>
      <c r="O197" s="1">
        <v>118.96913043478261</v>
      </c>
      <c r="P197" s="1">
        <v>-269.75826086956522</v>
      </c>
      <c r="Q197" s="1">
        <v>7726.086956521739</v>
      </c>
      <c r="R197" s="1">
        <v>-762.17391304347825</v>
      </c>
      <c r="S197" s="1">
        <v>3210.7127717391304</v>
      </c>
      <c r="T197" s="1">
        <v>-84.502173913043478</v>
      </c>
      <c r="U197" s="1">
        <v>2143.695652173913</v>
      </c>
      <c r="V197" s="1">
        <v>2321.4504347826087</v>
      </c>
      <c r="W197" s="1">
        <v>35597.608695652176</v>
      </c>
      <c r="X197" s="1">
        <v>249.20454545454612</v>
      </c>
      <c r="Y197" s="1">
        <v>10528.95972826087</v>
      </c>
      <c r="Z197" s="1">
        <v>-15.752173913043478</v>
      </c>
      <c r="AA197" s="1">
        <v>0.93652173913042336</v>
      </c>
      <c r="AB197" s="1">
        <v>12.239130434782609</v>
      </c>
      <c r="AC197" s="1">
        <v>12.532173913043477</v>
      </c>
      <c r="AD197" s="1">
        <v>139.22086956521738</v>
      </c>
      <c r="AE197" s="1">
        <v>609.78260869565213</v>
      </c>
      <c r="AF197" s="1">
        <v>1227.9913043478261</v>
      </c>
      <c r="AG197" s="1">
        <v>-228.36088695652174</v>
      </c>
      <c r="AH197" s="1">
        <v>-424.15086956521736</v>
      </c>
      <c r="AI197" s="1">
        <v>995.58695652174083</v>
      </c>
      <c r="AJ197" s="1">
        <v>2162.61</v>
      </c>
      <c r="AK197" s="1">
        <v>91.089473684210532</v>
      </c>
      <c r="AL197" s="1">
        <v>858.69565217391289</v>
      </c>
      <c r="AM197" s="1">
        <v>187.10526315789474</v>
      </c>
      <c r="AN197" s="1">
        <v>-1225.4999999999889</v>
      </c>
      <c r="AO197" s="1">
        <v>-0.26315217391304513</v>
      </c>
      <c r="AP197" s="1">
        <v>1.2010869565217406</v>
      </c>
    </row>
    <row r="198" spans="2:42" x14ac:dyDescent="0.2">
      <c r="B198" s="271" t="s">
        <v>101</v>
      </c>
      <c r="C198" s="320">
        <v>1.0018678774605492</v>
      </c>
      <c r="D198" s="320">
        <v>0.98405256059600044</v>
      </c>
      <c r="E198" s="271">
        <v>192.38499999999999</v>
      </c>
      <c r="F198" s="271">
        <v>112.69</v>
      </c>
      <c r="G198" s="271">
        <v>-217.58500000000001</v>
      </c>
      <c r="H198" s="271">
        <v>-191.85</v>
      </c>
      <c r="I198" s="271">
        <v>-57.25</v>
      </c>
      <c r="J198" s="271">
        <v>-52.45</v>
      </c>
      <c r="K198" s="1">
        <v>-1345</v>
      </c>
      <c r="L198" s="1">
        <v>-252.25</v>
      </c>
      <c r="M198" s="1">
        <v>-1625.92</v>
      </c>
      <c r="N198" s="271">
        <v>-68.3</v>
      </c>
      <c r="O198" s="1">
        <v>118.44271739130436</v>
      </c>
      <c r="P198" s="1">
        <v>-298.53918478260869</v>
      </c>
      <c r="Q198" s="1">
        <v>8471.1032608695659</v>
      </c>
      <c r="R198" s="1">
        <v>-809.45652173913049</v>
      </c>
      <c r="S198" s="1">
        <v>3519.8860326086956</v>
      </c>
      <c r="T198" s="1">
        <v>-87.449456521739123</v>
      </c>
      <c r="U198" s="1">
        <v>2305.638586956522</v>
      </c>
      <c r="V198" s="1">
        <v>2498.5773913043477</v>
      </c>
      <c r="W198" s="1">
        <v>38488.913043478264</v>
      </c>
      <c r="X198" s="1">
        <v>273.75568181818215</v>
      </c>
      <c r="Y198" s="1">
        <v>11608.936467391304</v>
      </c>
      <c r="Z198" s="1">
        <v>-15.980706521739132</v>
      </c>
      <c r="AA198" s="1">
        <v>0.17211956521739413</v>
      </c>
      <c r="AB198" s="1">
        <v>13.815217391304348</v>
      </c>
      <c r="AC198" s="1">
        <v>13.739456521739129</v>
      </c>
      <c r="AD198" s="1">
        <v>149.24478260869563</v>
      </c>
      <c r="AE198" s="1">
        <v>677.554347826087</v>
      </c>
      <c r="AF198" s="1">
        <v>1339.4521739130435</v>
      </c>
      <c r="AG198" s="1">
        <v>-237.41295326086956</v>
      </c>
      <c r="AH198" s="1">
        <v>-473.21603260869563</v>
      </c>
      <c r="AI198" s="1">
        <v>1059.1032608695673</v>
      </c>
      <c r="AJ198" s="1">
        <v>2328.0300000000002</v>
      </c>
      <c r="AK198" s="1">
        <v>98.873684210526321</v>
      </c>
      <c r="AL198" s="1">
        <v>931.82608695652141</v>
      </c>
      <c r="AM198" s="1">
        <v>225.26315789473682</v>
      </c>
      <c r="AN198" s="1">
        <v>224.50000000001</v>
      </c>
      <c r="AO198" s="1">
        <v>-0.28821195652174059</v>
      </c>
      <c r="AP198" s="1">
        <v>1.2741304347826097</v>
      </c>
    </row>
    <row r="199" spans="2:42" x14ac:dyDescent="0.2">
      <c r="B199" s="271" t="s">
        <v>138</v>
      </c>
      <c r="C199" s="320">
        <v>1.0021212927907421</v>
      </c>
      <c r="D199" s="320">
        <v>0.98180009118633993</v>
      </c>
      <c r="E199" s="271">
        <v>220.25</v>
      </c>
      <c r="F199" s="271">
        <v>132.5</v>
      </c>
      <c r="G199" s="271">
        <v>-246.75</v>
      </c>
      <c r="H199" s="271">
        <v>-223.2</v>
      </c>
      <c r="I199" s="271">
        <v>-64</v>
      </c>
      <c r="J199" s="271">
        <v>-56.625</v>
      </c>
      <c r="K199" s="1">
        <v>-1511.8899999999999</v>
      </c>
      <c r="L199" s="1">
        <v>-411.52499999999998</v>
      </c>
      <c r="M199" s="1">
        <v>-1836.5</v>
      </c>
      <c r="N199" s="271">
        <v>-75.539999999999992</v>
      </c>
      <c r="O199" s="1">
        <v>117.88000000000001</v>
      </c>
      <c r="P199" s="1">
        <v>-329.30499999999995</v>
      </c>
      <c r="Q199" s="1">
        <v>9267.5</v>
      </c>
      <c r="R199" s="1">
        <v>-860</v>
      </c>
      <c r="S199" s="1">
        <v>3862.1849999999999</v>
      </c>
      <c r="T199" s="1">
        <v>-90.6</v>
      </c>
      <c r="U199" s="1">
        <v>2478.75</v>
      </c>
      <c r="V199" s="1">
        <v>2687.92</v>
      </c>
      <c r="W199" s="1">
        <v>41690</v>
      </c>
      <c r="X199" s="1">
        <v>300</v>
      </c>
      <c r="Y199" s="1">
        <v>12804.625</v>
      </c>
      <c r="Z199" s="1">
        <v>-16.225000000000001</v>
      </c>
      <c r="AA199" s="1">
        <v>-0.64499999999998181</v>
      </c>
      <c r="AB199" s="1">
        <v>15.5</v>
      </c>
      <c r="AC199" s="1">
        <v>15.03</v>
      </c>
      <c r="AD199" s="1">
        <v>159.95999999999998</v>
      </c>
      <c r="AE199" s="1">
        <v>750</v>
      </c>
      <c r="AF199" s="1">
        <v>1458.6</v>
      </c>
      <c r="AG199" s="1">
        <v>-247.08929999999998</v>
      </c>
      <c r="AH199" s="1">
        <v>-525.66499999999996</v>
      </c>
      <c r="AI199" s="1">
        <v>1127.0000000000025</v>
      </c>
      <c r="AJ199" s="1">
        <v>2510</v>
      </c>
      <c r="AK199" s="1">
        <v>108</v>
      </c>
      <c r="AL199" s="1">
        <v>1009.9999999999994</v>
      </c>
      <c r="AM199" s="1">
        <v>270</v>
      </c>
      <c r="AN199" s="1">
        <v>1924.5000000000091</v>
      </c>
      <c r="AO199" s="1">
        <v>-0.31500000000000128</v>
      </c>
      <c r="AP199" s="1">
        <v>1.3550000000000004</v>
      </c>
    </row>
    <row r="200" spans="2:42" x14ac:dyDescent="0.2">
      <c r="B200" s="271" t="s">
        <v>122</v>
      </c>
      <c r="C200" s="320">
        <v>1.0028107214826614</v>
      </c>
      <c r="D200" s="320">
        <v>0.97699773327526951</v>
      </c>
      <c r="E200" s="271">
        <v>281.875</v>
      </c>
      <c r="F200" s="271">
        <v>164.17000000000002</v>
      </c>
      <c r="G200" s="271">
        <v>-314.5</v>
      </c>
      <c r="H200" s="271">
        <v>-286</v>
      </c>
      <c r="I200" s="271">
        <v>-84.25</v>
      </c>
      <c r="J200" s="271">
        <v>-67.3</v>
      </c>
      <c r="K200" s="1">
        <v>-1906.0550000000001</v>
      </c>
      <c r="L200" s="1">
        <v>-479.1</v>
      </c>
      <c r="M200" s="1">
        <v>-2280.17</v>
      </c>
      <c r="N200" s="271">
        <v>-94.525000000000006</v>
      </c>
      <c r="O200" s="1">
        <v>116.24630434782611</v>
      </c>
      <c r="P200" s="1">
        <v>-418.6251086956521</v>
      </c>
      <c r="Q200" s="1">
        <v>11489.986413043478</v>
      </c>
      <c r="R200" s="1">
        <v>-1016.5217391304348</v>
      </c>
      <c r="S200" s="1">
        <v>4872.0048895027621</v>
      </c>
      <c r="T200" s="1">
        <v>-68.442391304347822</v>
      </c>
      <c r="U200" s="1">
        <v>2981.3315217391305</v>
      </c>
      <c r="V200" s="1">
        <v>3231.6447282608697</v>
      </c>
      <c r="W200" s="1">
        <v>50167.751381215465</v>
      </c>
      <c r="X200" s="1">
        <v>367.74456521739154</v>
      </c>
      <c r="Y200" s="1">
        <v>16131.780801104971</v>
      </c>
      <c r="Z200" s="1">
        <v>-21.068614130434785</v>
      </c>
      <c r="AA200" s="1">
        <v>-2.5990760869565057</v>
      </c>
      <c r="AB200" s="1">
        <v>20.391304347826086</v>
      </c>
      <c r="AC200" s="1">
        <v>17.749889502762432</v>
      </c>
      <c r="AD200" s="1">
        <v>192.0517127071823</v>
      </c>
      <c r="AE200" s="1">
        <v>960.32608695652175</v>
      </c>
      <c r="AF200" s="1">
        <v>1756.0891304347824</v>
      </c>
      <c r="AG200" s="1">
        <v>-279.72853369565217</v>
      </c>
      <c r="AH200" s="1">
        <v>-700.72339673913041</v>
      </c>
      <c r="AI200" s="1">
        <v>1324.1195652173949</v>
      </c>
      <c r="AJ200" s="1">
        <v>3031.2</v>
      </c>
      <c r="AK200" s="1">
        <v>122.77808219178083</v>
      </c>
      <c r="AL200" s="1">
        <v>1236.9565217391291</v>
      </c>
      <c r="AM200" s="1">
        <v>384.41215068493148</v>
      </c>
      <c r="AN200" s="1">
        <v>6274.5000000000055</v>
      </c>
      <c r="AO200" s="1">
        <v>-0.37834239130434921</v>
      </c>
      <c r="AP200" s="1">
        <v>1.5251369863013697</v>
      </c>
    </row>
    <row r="201" spans="2:42" x14ac:dyDescent="0.2">
      <c r="B201" s="271" t="s">
        <v>133</v>
      </c>
      <c r="C201" s="320">
        <v>1.0034597102582539</v>
      </c>
      <c r="D201" s="320">
        <v>0.97178594842788657</v>
      </c>
      <c r="E201" s="271">
        <v>347.5</v>
      </c>
      <c r="F201" s="271">
        <v>207</v>
      </c>
      <c r="G201" s="271">
        <v>-381.57499999999999</v>
      </c>
      <c r="H201" s="271">
        <v>-354.65</v>
      </c>
      <c r="I201" s="271">
        <v>-106.65</v>
      </c>
      <c r="J201" s="271">
        <v>-77.95</v>
      </c>
      <c r="K201" s="1">
        <v>-2322.85</v>
      </c>
      <c r="L201" s="1">
        <v>-736.25</v>
      </c>
      <c r="M201" s="1">
        <v>-2770.665</v>
      </c>
      <c r="N201" s="271">
        <v>-114.53</v>
      </c>
      <c r="O201" s="1">
        <v>114.59445652173916</v>
      </c>
      <c r="P201" s="1">
        <v>-508.9376630434781</v>
      </c>
      <c r="Q201" s="1">
        <v>13737.167119565216</v>
      </c>
      <c r="R201" s="1">
        <v>-1174.7826086956522</v>
      </c>
      <c r="S201" s="1">
        <v>5893.0450000000001</v>
      </c>
      <c r="T201" s="1">
        <v>-46.03858695652174</v>
      </c>
      <c r="U201" s="1">
        <v>3489.497282608696</v>
      </c>
      <c r="V201" s="1">
        <v>3781.410842391304</v>
      </c>
      <c r="W201" s="1">
        <v>58739.7</v>
      </c>
      <c r="X201" s="1">
        <v>436.24184782608745</v>
      </c>
      <c r="Y201" s="1">
        <v>19495.904999999999</v>
      </c>
      <c r="Z201" s="1">
        <v>-25.966046195652176</v>
      </c>
      <c r="AA201" s="1">
        <v>-4.5748641304347686</v>
      </c>
      <c r="AB201" s="1">
        <v>25.336956521739133</v>
      </c>
      <c r="AC201" s="1">
        <v>20.5</v>
      </c>
      <c r="AD201" s="1">
        <v>224.5</v>
      </c>
      <c r="AE201" s="1">
        <v>1172.9891304347825</v>
      </c>
      <c r="AF201" s="1">
        <v>2056.8836956521736</v>
      </c>
      <c r="AG201" s="1">
        <v>-312.73042554347825</v>
      </c>
      <c r="AH201" s="1">
        <v>-862.74552989130439</v>
      </c>
      <c r="AI201" s="1">
        <v>1523.4293478260918</v>
      </c>
      <c r="AJ201" s="1">
        <v>3575</v>
      </c>
      <c r="AK201" s="1">
        <v>138.23561643835617</v>
      </c>
      <c r="AL201" s="1">
        <v>1466.4347826086937</v>
      </c>
      <c r="AM201" s="1">
        <v>504.08463013698633</v>
      </c>
      <c r="AN201" s="1">
        <v>10824.500000000004</v>
      </c>
      <c r="AO201" s="1">
        <v>-0.44238858695652317</v>
      </c>
      <c r="AP201" s="1">
        <v>1.6971643835616432</v>
      </c>
    </row>
    <row r="202" spans="2:42" x14ac:dyDescent="0.2">
      <c r="B202" s="271" t="s">
        <v>148</v>
      </c>
      <c r="C202" s="320">
        <v>1.0045536222350846</v>
      </c>
      <c r="D202" s="320">
        <v>0.9606551948311054</v>
      </c>
      <c r="E202" s="271">
        <v>487.5</v>
      </c>
      <c r="F202" s="271">
        <v>297.5</v>
      </c>
      <c r="G202" s="271">
        <v>-527</v>
      </c>
      <c r="H202" s="271">
        <v>-507.375</v>
      </c>
      <c r="I202" s="271">
        <v>-151.57</v>
      </c>
      <c r="J202" s="271">
        <v>-100.5</v>
      </c>
      <c r="K202" s="1">
        <v>-3184.24</v>
      </c>
      <c r="L202" s="1">
        <v>-1094.99</v>
      </c>
      <c r="M202" s="1">
        <v>-3670.2049999999999</v>
      </c>
      <c r="N202" s="271">
        <v>-157.89999999999998</v>
      </c>
      <c r="O202" s="1">
        <v>111.20000000000006</v>
      </c>
      <c r="P202" s="1">
        <v>-694.52499999999964</v>
      </c>
      <c r="Q202" s="1">
        <v>18355</v>
      </c>
      <c r="R202" s="1">
        <v>-1500</v>
      </c>
      <c r="S202" s="1">
        <v>8001.4750000000004</v>
      </c>
      <c r="T202" s="1">
        <v>0</v>
      </c>
      <c r="U202" s="1">
        <v>4533.75</v>
      </c>
      <c r="V202" s="1">
        <v>4911.1499999999996</v>
      </c>
      <c r="W202" s="1">
        <v>76710</v>
      </c>
      <c r="X202" s="1">
        <v>577.00000000000102</v>
      </c>
      <c r="Y202" s="1">
        <v>26659.595000000001</v>
      </c>
      <c r="Z202" s="1">
        <v>-36.03</v>
      </c>
      <c r="AA202" s="1">
        <v>-8.6349999999999909</v>
      </c>
      <c r="AB202" s="1">
        <v>35.5</v>
      </c>
      <c r="AC202" s="1">
        <v>23.395</v>
      </c>
      <c r="AD202" s="1">
        <v>273.52499999999998</v>
      </c>
      <c r="AE202" s="1">
        <v>1610</v>
      </c>
      <c r="AF202" s="1">
        <v>2675</v>
      </c>
      <c r="AG202" s="1">
        <v>-380.54750000000001</v>
      </c>
      <c r="AH202" s="1">
        <v>-1211</v>
      </c>
      <c r="AI202" s="1">
        <v>1933.000000000007</v>
      </c>
      <c r="AJ202" s="1">
        <v>4649.3999999999996</v>
      </c>
      <c r="AK202" s="1">
        <v>170</v>
      </c>
      <c r="AL202" s="1">
        <v>1937.9999999999968</v>
      </c>
      <c r="AM202" s="1">
        <v>750.005</v>
      </c>
      <c r="AN202" s="1">
        <v>20174.499999999993</v>
      </c>
      <c r="AO202" s="1">
        <v>-0.57400000000000162</v>
      </c>
      <c r="AP202" s="1">
        <v>2.0449999999999982</v>
      </c>
    </row>
    <row r="203" spans="2:42" x14ac:dyDescent="0.2">
      <c r="B203" s="271" t="s">
        <v>150</v>
      </c>
      <c r="C203" s="320">
        <v>1.0031808942846574</v>
      </c>
      <c r="D203" s="320">
        <v>0.93495193695869083</v>
      </c>
      <c r="E203" s="271">
        <v>779</v>
      </c>
      <c r="F203" s="271">
        <v>474.75</v>
      </c>
      <c r="G203" s="271">
        <v>-814.31500000000005</v>
      </c>
      <c r="H203" s="271">
        <v>-819</v>
      </c>
      <c r="I203" s="271">
        <v>-234.9</v>
      </c>
      <c r="J203" s="271">
        <v>-146.1</v>
      </c>
      <c r="K203" s="1">
        <v>-4851.68</v>
      </c>
      <c r="L203" s="1">
        <v>-1792.5</v>
      </c>
      <c r="M203" s="1">
        <v>-5340.7049999999999</v>
      </c>
      <c r="N203" s="271">
        <v>-247.75</v>
      </c>
      <c r="O203" s="1">
        <v>104.59260869565229</v>
      </c>
      <c r="P203" s="1">
        <v>-1055.7752173913041</v>
      </c>
      <c r="Q203" s="1">
        <v>27535</v>
      </c>
      <c r="R203" s="1">
        <v>-2200</v>
      </c>
      <c r="S203" s="1">
        <v>12167.75</v>
      </c>
      <c r="T203" s="1">
        <v>70.785178408051237</v>
      </c>
      <c r="U203" s="1">
        <v>6566.413043478261</v>
      </c>
      <c r="V203" s="1">
        <v>7265.375</v>
      </c>
      <c r="W203" s="1">
        <v>108680</v>
      </c>
      <c r="X203" s="1">
        <v>871</v>
      </c>
      <c r="Y203" s="1">
        <v>41208.25</v>
      </c>
      <c r="Z203" s="1">
        <v>-55.619728260869564</v>
      </c>
      <c r="AA203" s="1">
        <v>-18.384999999999991</v>
      </c>
      <c r="AB203" s="1">
        <v>55.282608695652172</v>
      </c>
      <c r="AC203" s="1">
        <v>31.740000000000002</v>
      </c>
      <c r="AD203" s="1">
        <v>396.13</v>
      </c>
      <c r="AE203" s="1">
        <v>2460.6521739130435</v>
      </c>
      <c r="AF203" s="1">
        <v>3678.5</v>
      </c>
      <c r="AG203" s="1">
        <v>-342.35005000000001</v>
      </c>
      <c r="AH203" s="1">
        <v>-1888.8857065217392</v>
      </c>
      <c r="AI203" s="1">
        <v>2730.2391304347939</v>
      </c>
      <c r="AJ203" s="1">
        <v>6690</v>
      </c>
      <c r="AK203" s="1">
        <v>400</v>
      </c>
      <c r="AL203" s="1">
        <v>2855.9130434782551</v>
      </c>
      <c r="AM203" s="1">
        <v>1565</v>
      </c>
      <c r="AN203" s="1">
        <v>38374.499999999985</v>
      </c>
      <c r="AO203" s="1">
        <v>-0.70100000000000051</v>
      </c>
      <c r="AP203" s="1">
        <v>2.740671232876708</v>
      </c>
    </row>
    <row r="204" spans="2:42" x14ac:dyDescent="0.2">
      <c r="B204" s="271" t="s">
        <v>153</v>
      </c>
      <c r="C204" s="320">
        <v>1.0005017976185346</v>
      </c>
      <c r="D204" s="320">
        <v>0.90892275895797359</v>
      </c>
      <c r="E204" s="271">
        <v>1075</v>
      </c>
      <c r="F204" s="271">
        <v>644</v>
      </c>
      <c r="G204" s="271">
        <v>-1099</v>
      </c>
      <c r="H204" s="271">
        <v>-1139.25</v>
      </c>
      <c r="I204" s="271">
        <v>-297.3</v>
      </c>
      <c r="J204" s="271">
        <v>-203</v>
      </c>
      <c r="K204" s="1">
        <v>-6394.7549999999992</v>
      </c>
      <c r="L204" s="1">
        <v>-2352.0314128943755</v>
      </c>
      <c r="M204" s="1">
        <v>-6533.4</v>
      </c>
      <c r="N204" s="271">
        <v>-344.5</v>
      </c>
      <c r="O204" s="1">
        <v>97.985217391304502</v>
      </c>
      <c r="P204" s="1">
        <v>-1417.025434782608</v>
      </c>
      <c r="Q204" s="1">
        <v>37520</v>
      </c>
      <c r="R204" s="1">
        <v>-2900</v>
      </c>
      <c r="S204" s="1">
        <v>16747.309999999998</v>
      </c>
      <c r="T204" s="1">
        <v>141.57035681610247</v>
      </c>
      <c r="U204" s="1">
        <v>8599.076086956522</v>
      </c>
      <c r="V204" s="1">
        <v>9504</v>
      </c>
      <c r="W204" s="1">
        <v>137182.5</v>
      </c>
      <c r="X204" s="1">
        <v>1141.8779149519892</v>
      </c>
      <c r="Y204" s="1">
        <v>55097.184999999998</v>
      </c>
      <c r="Z204" s="1">
        <v>-75.209456521739128</v>
      </c>
      <c r="AA204" s="1">
        <v>-41.034999999999968</v>
      </c>
      <c r="AB204" s="1">
        <v>75.065217391304344</v>
      </c>
      <c r="AC204" s="1">
        <v>41.75</v>
      </c>
      <c r="AD204" s="1">
        <v>518.73500000000001</v>
      </c>
      <c r="AE204" s="1">
        <v>3311.304347826087</v>
      </c>
      <c r="AF204" s="1">
        <v>4682</v>
      </c>
      <c r="AG204" s="1">
        <v>18.179766735253736</v>
      </c>
      <c r="AH204" s="1">
        <v>-2566.7714130434783</v>
      </c>
      <c r="AI204" s="1">
        <v>3527.4782608695809</v>
      </c>
      <c r="AJ204" s="1">
        <v>8257.4049999999988</v>
      </c>
      <c r="AK204" s="1">
        <v>750</v>
      </c>
      <c r="AL204" s="1">
        <v>3773.8260869565129</v>
      </c>
      <c r="AM204" s="1">
        <v>2400</v>
      </c>
      <c r="AN204" s="1">
        <v>56574.499999999964</v>
      </c>
      <c r="AO204" s="1">
        <v>-0.91250000000000142</v>
      </c>
      <c r="AP204" s="1">
        <v>3.428780821917802</v>
      </c>
    </row>
    <row r="205" spans="2:42" x14ac:dyDescent="0.2">
      <c r="B205" s="271" t="s">
        <v>156</v>
      </c>
      <c r="C205" s="320">
        <v>0.99516520814786946</v>
      </c>
      <c r="D205" s="320">
        <v>0.88253072170723512</v>
      </c>
      <c r="E205" s="271">
        <v>1361.3</v>
      </c>
      <c r="F205" s="271">
        <v>801.98</v>
      </c>
      <c r="G205" s="271">
        <v>-1377.625</v>
      </c>
      <c r="H205" s="271">
        <v>-1460.5</v>
      </c>
      <c r="I205" s="271">
        <v>-349.08500000000004</v>
      </c>
      <c r="J205" s="271">
        <v>-265.35000000000002</v>
      </c>
      <c r="K205" s="1">
        <v>-7837.65</v>
      </c>
      <c r="L205" s="1">
        <v>-2913.1</v>
      </c>
      <c r="M205" s="1">
        <v>-7481.4250000000002</v>
      </c>
      <c r="N205" s="271">
        <v>-451</v>
      </c>
      <c r="O205" s="1">
        <v>91.359673913043679</v>
      </c>
      <c r="P205" s="1">
        <v>-1779.2680978260862</v>
      </c>
      <c r="Q205" s="1">
        <v>48190</v>
      </c>
      <c r="R205" s="1">
        <v>-3601.9230769230771</v>
      </c>
      <c r="S205" s="1">
        <v>21512.7</v>
      </c>
      <c r="T205" s="1">
        <v>212.55</v>
      </c>
      <c r="U205" s="1">
        <v>10637.323369565218</v>
      </c>
      <c r="V205" s="1">
        <v>11873</v>
      </c>
      <c r="W205" s="1">
        <v>166290.04999999999</v>
      </c>
      <c r="X205" s="1">
        <v>1413.5000000000005</v>
      </c>
      <c r="Y205" s="1">
        <v>71000</v>
      </c>
      <c r="Z205" s="1">
        <v>-94.853002717391291</v>
      </c>
      <c r="AA205" s="1">
        <v>-55.735000000000014</v>
      </c>
      <c r="AB205" s="1">
        <v>94.902173913043484</v>
      </c>
      <c r="AC205" s="1">
        <v>52.46</v>
      </c>
      <c r="AD205" s="1">
        <v>641.67682692307699</v>
      </c>
      <c r="AE205" s="1">
        <v>4164.29347826087</v>
      </c>
      <c r="AF205" s="1">
        <v>5688.256868131868</v>
      </c>
      <c r="AG205" s="1">
        <v>379.70005000000003</v>
      </c>
      <c r="AH205" s="1">
        <v>-3246.5194429347825</v>
      </c>
      <c r="AI205" s="1">
        <v>4326.907608695672</v>
      </c>
      <c r="AJ205" s="1">
        <v>9716.4549999999999</v>
      </c>
      <c r="AK205" s="1">
        <v>1350</v>
      </c>
      <c r="AL205" s="1">
        <v>4694.2608695652061</v>
      </c>
      <c r="AM205" s="1">
        <v>3340</v>
      </c>
      <c r="AN205" s="1">
        <v>74824.499999999956</v>
      </c>
      <c r="AO205" s="1">
        <v>-1.0620000000000012</v>
      </c>
      <c r="AP205" s="1">
        <v>4.1168904109588951</v>
      </c>
    </row>
    <row r="206" spans="2:42" x14ac:dyDescent="0.2">
      <c r="B206" s="271" t="s">
        <v>157</v>
      </c>
      <c r="C206" s="320">
        <v>0.98713635949892964</v>
      </c>
      <c r="D206" s="320">
        <v>0.85600800450162717</v>
      </c>
      <c r="E206" s="271">
        <v>1635.5</v>
      </c>
      <c r="F206" s="271">
        <v>862.49</v>
      </c>
      <c r="G206" s="271">
        <v>-1637.5</v>
      </c>
      <c r="H206" s="271">
        <v>-1798.5</v>
      </c>
      <c r="I206" s="271">
        <v>-393.5</v>
      </c>
      <c r="J206" s="271">
        <v>-327.39999999999998</v>
      </c>
      <c r="K206" s="1">
        <v>-9280.5450000000001</v>
      </c>
      <c r="L206" s="1">
        <v>-3479.3</v>
      </c>
      <c r="M206" s="1">
        <v>-8336</v>
      </c>
      <c r="N206" s="271">
        <v>-631</v>
      </c>
      <c r="O206" s="1">
        <v>84.73413043478287</v>
      </c>
      <c r="P206" s="1">
        <v>-2141.5107608695644</v>
      </c>
      <c r="Q206" s="1">
        <v>58860</v>
      </c>
      <c r="R206" s="1">
        <v>-4303.8461538461543</v>
      </c>
      <c r="S206" s="1">
        <v>26291.181730769233</v>
      </c>
      <c r="T206" s="1">
        <v>283.52964318389758</v>
      </c>
      <c r="U206" s="1">
        <v>12675.570652173914</v>
      </c>
      <c r="V206" s="1">
        <v>13992</v>
      </c>
      <c r="W206" s="1">
        <v>190643.10172413793</v>
      </c>
      <c r="X206" s="1">
        <v>1685.1220850480117</v>
      </c>
      <c r="Y206" s="1">
        <v>86902.815000000002</v>
      </c>
      <c r="Z206" s="1">
        <v>-114.49654891304348</v>
      </c>
      <c r="AA206" s="1">
        <v>-70.435000000000059</v>
      </c>
      <c r="AB206" s="1">
        <v>114.73913043478261</v>
      </c>
      <c r="AC206" s="1">
        <v>63.17</v>
      </c>
      <c r="AD206" s="1">
        <v>764.61865384615385</v>
      </c>
      <c r="AE206" s="1">
        <v>5017.282608695652</v>
      </c>
      <c r="AF206" s="1">
        <v>6694.5137362637361</v>
      </c>
      <c r="AG206" s="1">
        <v>741.22033326474616</v>
      </c>
      <c r="AH206" s="1">
        <v>-3926.2674728260868</v>
      </c>
      <c r="AI206" s="1">
        <v>5126.3369565217636</v>
      </c>
      <c r="AJ206" s="1">
        <v>11175.505000000001</v>
      </c>
      <c r="AK206" s="1">
        <v>1950</v>
      </c>
      <c r="AL206" s="1">
        <v>5614.6956521738994</v>
      </c>
      <c r="AM206" s="1">
        <v>4004.7680763983626</v>
      </c>
      <c r="AN206" s="1">
        <v>93074.499999999942</v>
      </c>
      <c r="AO206" s="1">
        <v>-1.2115000000000009</v>
      </c>
      <c r="AP206" s="1">
        <v>4.8087808219177965</v>
      </c>
    </row>
    <row r="207" spans="2:42" x14ac:dyDescent="0.2">
      <c r="B207" s="271" t="s">
        <v>158</v>
      </c>
      <c r="C207" s="320">
        <v>0.97644667538348706</v>
      </c>
      <c r="D207" s="320">
        <v>0.82964780519886794</v>
      </c>
      <c r="E207" s="271">
        <v>1890</v>
      </c>
      <c r="F207" s="271">
        <v>923</v>
      </c>
      <c r="G207" s="271">
        <v>-1892</v>
      </c>
      <c r="H207" s="271">
        <v>-2082.1</v>
      </c>
      <c r="I207" s="271">
        <v>-413.8</v>
      </c>
      <c r="J207" s="271">
        <v>-389.4</v>
      </c>
      <c r="K207" s="1">
        <v>-10723.44</v>
      </c>
      <c r="L207" s="1">
        <v>-4200</v>
      </c>
      <c r="M207" s="1">
        <v>-8919</v>
      </c>
      <c r="N207" s="271">
        <v>-698.5</v>
      </c>
      <c r="O207" s="1">
        <v>78.108586956522046</v>
      </c>
      <c r="P207" s="1">
        <v>-2503.7534239130423</v>
      </c>
      <c r="Q207" s="1">
        <v>69530</v>
      </c>
      <c r="R207" s="1">
        <v>-5005.7692307692305</v>
      </c>
      <c r="S207" s="1">
        <v>31069.663461538468</v>
      </c>
      <c r="T207" s="1">
        <v>354.50928636779508</v>
      </c>
      <c r="U207" s="1">
        <v>14713.817934782608</v>
      </c>
      <c r="V207" s="1">
        <v>16111</v>
      </c>
      <c r="W207" s="1">
        <v>214996.15344827587</v>
      </c>
      <c r="X207" s="1">
        <v>1956.7441700960228</v>
      </c>
      <c r="Y207" s="1">
        <v>102805.63</v>
      </c>
      <c r="Z207" s="1">
        <v>-134.14009510869565</v>
      </c>
      <c r="AA207" s="1">
        <v>-85.135000000000105</v>
      </c>
      <c r="AB207" s="1">
        <v>134.57608695652175</v>
      </c>
      <c r="AC207" s="1">
        <v>73.88</v>
      </c>
      <c r="AD207" s="1">
        <v>887.56048076923082</v>
      </c>
      <c r="AE207" s="1">
        <v>5870.271739130435</v>
      </c>
      <c r="AF207" s="1">
        <v>7700.7706043956041</v>
      </c>
      <c r="AG207" s="1">
        <v>1102.7406165294926</v>
      </c>
      <c r="AH207" s="1">
        <v>-4606.0155027173914</v>
      </c>
      <c r="AI207" s="1">
        <v>5925.7663043478551</v>
      </c>
      <c r="AJ207" s="1">
        <v>12634.555000000002</v>
      </c>
      <c r="AK207" s="1">
        <v>2554.9315068493152</v>
      </c>
      <c r="AL207" s="1">
        <v>6535.1304347825926</v>
      </c>
      <c r="AM207" s="1">
        <v>4675</v>
      </c>
      <c r="AN207" s="1">
        <v>111324.49999999994</v>
      </c>
      <c r="AO207" s="1">
        <v>-1.3610000000000007</v>
      </c>
      <c r="AP207" s="1">
        <v>5.4968904109588905</v>
      </c>
    </row>
    <row r="208" spans="2:42" x14ac:dyDescent="0.2">
      <c r="B208" s="271" t="s">
        <v>160</v>
      </c>
      <c r="C208" s="320">
        <v>0.96337221643825754</v>
      </c>
      <c r="D208" s="320">
        <v>0.8040693612290466</v>
      </c>
      <c r="E208" s="271">
        <v>2116.3000000000002</v>
      </c>
      <c r="F208" s="271">
        <v>1094.4087591240875</v>
      </c>
      <c r="G208" s="271">
        <v>-2127</v>
      </c>
      <c r="H208" s="271">
        <v>-2375.393989071038</v>
      </c>
      <c r="I208" s="271">
        <v>-433</v>
      </c>
      <c r="J208" s="271">
        <v>-459.6</v>
      </c>
      <c r="K208" s="1">
        <v>-12178.194410958906</v>
      </c>
      <c r="L208" s="1">
        <v>-4327.1000000000004</v>
      </c>
      <c r="M208" s="1">
        <v>-9144</v>
      </c>
      <c r="N208" s="271">
        <v>-824</v>
      </c>
      <c r="O208" s="1">
        <v>71.428586956522111</v>
      </c>
      <c r="P208" s="1">
        <v>-2868.9734239130421</v>
      </c>
      <c r="Q208" s="1">
        <v>80287.698630136991</v>
      </c>
      <c r="R208" s="1">
        <v>-5713.4615384615381</v>
      </c>
      <c r="S208" s="1">
        <v>35900.512115384627</v>
      </c>
      <c r="T208" s="1">
        <v>426.07232387923153</v>
      </c>
      <c r="U208" s="1">
        <v>16768.817934782608</v>
      </c>
      <c r="V208" s="1">
        <v>18143.261532846715</v>
      </c>
      <c r="W208" s="1">
        <v>239616.08793103448</v>
      </c>
      <c r="X208" s="1">
        <v>2230.5987654320998</v>
      </c>
      <c r="Y208" s="1">
        <v>118839.15306849315</v>
      </c>
      <c r="Z208" s="1">
        <v>-153.94509510869565</v>
      </c>
      <c r="AA208" s="1">
        <v>-99.955821917808379</v>
      </c>
      <c r="AB208" s="1">
        <v>154.57608695652175</v>
      </c>
      <c r="AC208" s="1">
        <v>84.67802739726028</v>
      </c>
      <c r="AD208" s="1">
        <v>1011.5127884615385</v>
      </c>
      <c r="AE208" s="1">
        <v>6730.271739130435</v>
      </c>
      <c r="AF208" s="1">
        <v>8715.298076923078</v>
      </c>
      <c r="AG208" s="1">
        <v>1467.2322993827161</v>
      </c>
      <c r="AH208" s="1">
        <v>-5291.3505027173915</v>
      </c>
      <c r="AI208" s="1">
        <v>6731.7663043478606</v>
      </c>
      <c r="AJ208" s="1">
        <v>14105.597191780826</v>
      </c>
      <c r="AK208" s="1">
        <v>3154.9315068493152</v>
      </c>
      <c r="AL208" s="1">
        <v>7463.1304347825881</v>
      </c>
      <c r="AM208" s="1">
        <v>5359.5837145471178</v>
      </c>
      <c r="AN208" s="1">
        <v>129724.49999999993</v>
      </c>
      <c r="AO208" s="1">
        <v>-1.5117287671232882</v>
      </c>
      <c r="AP208" s="1">
        <v>6.194452054794505</v>
      </c>
    </row>
    <row r="209" spans="2:42" x14ac:dyDescent="0.2">
      <c r="B209" s="271" t="s">
        <v>162</v>
      </c>
      <c r="C209" s="320">
        <v>0.94815727791223359</v>
      </c>
      <c r="D209" s="320">
        <v>0.77900871411924066</v>
      </c>
      <c r="E209" s="271">
        <v>2318.5</v>
      </c>
      <c r="F209" s="271">
        <v>1263.9543795620439</v>
      </c>
      <c r="G209" s="271">
        <v>-2352</v>
      </c>
      <c r="H209" s="271">
        <v>-2665.5</v>
      </c>
      <c r="I209" s="271">
        <v>-428.7</v>
      </c>
      <c r="J209" s="271">
        <v>-535.4</v>
      </c>
      <c r="K209" s="1">
        <v>-13617.136273972605</v>
      </c>
      <c r="L209" s="1">
        <v>-4723.3050000000003</v>
      </c>
      <c r="M209" s="1">
        <v>-9425</v>
      </c>
      <c r="N209" s="271">
        <v>-932</v>
      </c>
      <c r="O209" s="1">
        <v>64.821195652174325</v>
      </c>
      <c r="P209" s="1">
        <v>-3230.2236413043461</v>
      </c>
      <c r="Q209" s="1">
        <v>90928.465753424651</v>
      </c>
      <c r="R209" s="1">
        <v>-6413.4615384615381</v>
      </c>
      <c r="S209" s="1">
        <v>40665.902115384626</v>
      </c>
      <c r="T209" s="1">
        <v>496.85750228728273</v>
      </c>
      <c r="U209" s="1">
        <v>18801.480978260868</v>
      </c>
      <c r="V209" s="1">
        <v>20153.433266423359</v>
      </c>
      <c r="W209" s="1">
        <v>263902.41896551725</v>
      </c>
      <c r="X209" s="1">
        <v>2501.4766803840894</v>
      </c>
      <c r="Y209" s="1">
        <v>134698.39871232875</v>
      </c>
      <c r="Z209" s="1">
        <v>-173.5348233695652</v>
      </c>
      <c r="AA209" s="1">
        <v>-114.61554794520568</v>
      </c>
      <c r="AB209" s="1">
        <v>174.35869565217391</v>
      </c>
      <c r="AC209" s="1">
        <v>95.358684931506858</v>
      </c>
      <c r="AD209" s="1">
        <v>1134.1177884615386</v>
      </c>
      <c r="AE209" s="1">
        <v>7580.923913043478</v>
      </c>
      <c r="AF209" s="1">
        <v>9718.798076923078</v>
      </c>
      <c r="AG209" s="1">
        <v>1827.76211611797</v>
      </c>
      <c r="AH209" s="1">
        <v>-5969.2362092391304</v>
      </c>
      <c r="AI209" s="1">
        <v>7529.0054347826463</v>
      </c>
      <c r="AJ209" s="1">
        <v>15560.649794520552</v>
      </c>
      <c r="AK209" s="1">
        <v>3753.2876712328766</v>
      </c>
      <c r="AL209" s="1">
        <v>8381.0434782608481</v>
      </c>
      <c r="AM209" s="1">
        <v>6042.2918572735589</v>
      </c>
      <c r="AN209" s="1">
        <v>147924.49999999988</v>
      </c>
      <c r="AO209" s="1">
        <v>-1.6608191780821921</v>
      </c>
      <c r="AP209" s="1">
        <v>6.882561643835599</v>
      </c>
    </row>
    <row r="210" spans="2:42" x14ac:dyDescent="0.2">
      <c r="B210" s="287" t="s">
        <v>164</v>
      </c>
      <c r="C210" s="321">
        <v>0.9318235292924244</v>
      </c>
      <c r="D210" s="321">
        <v>0.75474568099188144</v>
      </c>
      <c r="E210" s="271">
        <v>2512</v>
      </c>
      <c r="F210" s="271">
        <v>1433.5</v>
      </c>
      <c r="G210" s="271">
        <v>-2542.5</v>
      </c>
      <c r="H210" s="271">
        <v>-2852.1499999999996</v>
      </c>
      <c r="I210" s="271">
        <v>-407.29999999999995</v>
      </c>
      <c r="J210" s="271">
        <v>-611.5</v>
      </c>
      <c r="K210" s="1">
        <v>-15056.078136986303</v>
      </c>
      <c r="L210" s="1">
        <v>-5131.7049999999999</v>
      </c>
      <c r="M210" s="1">
        <v>-9599</v>
      </c>
      <c r="N210" s="271">
        <v>-1034</v>
      </c>
      <c r="O210" s="1">
        <v>58.213804347826546</v>
      </c>
      <c r="P210" s="1">
        <v>-3591.4738586956505</v>
      </c>
      <c r="Q210" s="1">
        <v>101569.23287671233</v>
      </c>
      <c r="R210" s="1">
        <v>-7113.4615384615381</v>
      </c>
      <c r="S210" s="1">
        <v>45431.292115384626</v>
      </c>
      <c r="T210" s="1">
        <v>567.64268069533398</v>
      </c>
      <c r="U210" s="1">
        <v>20834.144021739132</v>
      </c>
      <c r="V210" s="1">
        <v>22163.605</v>
      </c>
      <c r="W210" s="1">
        <v>288188.75</v>
      </c>
      <c r="X210" s="1">
        <v>2772.3545953360781</v>
      </c>
      <c r="Y210" s="1">
        <v>150557.64435616438</v>
      </c>
      <c r="Z210" s="1">
        <v>-193.12455163043478</v>
      </c>
      <c r="AA210" s="1">
        <v>-129.27527397260297</v>
      </c>
      <c r="AB210" s="1">
        <v>194.14130434782609</v>
      </c>
      <c r="AC210" s="1">
        <v>106.03934246575342</v>
      </c>
      <c r="AD210" s="1">
        <v>1256.7227884615386</v>
      </c>
      <c r="AE210" s="1">
        <v>8431.576086956522</v>
      </c>
      <c r="AF210" s="1">
        <v>10722.298076923078</v>
      </c>
      <c r="AG210" s="1">
        <v>2188.2919328532239</v>
      </c>
      <c r="AH210" s="1">
        <v>-6647.1219157608693</v>
      </c>
      <c r="AI210" s="1">
        <v>8326.2445652174338</v>
      </c>
      <c r="AJ210" s="1">
        <v>17015.70239726028</v>
      </c>
      <c r="AK210" s="1">
        <v>4351.6438356164381</v>
      </c>
      <c r="AL210" s="1">
        <v>9298.9565217391046</v>
      </c>
      <c r="AM210" s="1">
        <v>6725</v>
      </c>
      <c r="AN210" s="1">
        <v>166124.49999999985</v>
      </c>
      <c r="AO210" s="1">
        <v>-1.8099095890410957</v>
      </c>
      <c r="AP210" s="1">
        <v>7.5706712328766921</v>
      </c>
    </row>
    <row r="211" spans="2:42" x14ac:dyDescent="0.2">
      <c r="B211" s="318" t="s">
        <v>330</v>
      </c>
      <c r="C211" s="319" t="s">
        <v>328</v>
      </c>
      <c r="D211" s="319" t="s">
        <v>327</v>
      </c>
      <c r="E211" s="314">
        <v>1.0689500000000001</v>
      </c>
      <c r="F211" s="270">
        <v>1.23115</v>
      </c>
      <c r="G211" s="270">
        <v>1.0020500000000001</v>
      </c>
      <c r="H211" s="270">
        <v>113.27500000000001</v>
      </c>
      <c r="I211" s="270">
        <v>1.3064499999999999</v>
      </c>
      <c r="J211" s="270">
        <v>0.75524999999999998</v>
      </c>
      <c r="K211" s="270">
        <v>6.9560500000000003</v>
      </c>
      <c r="L211" s="270">
        <v>8.4626999999999999</v>
      </c>
      <c r="M211" s="270">
        <v>8.9106999999999985</v>
      </c>
      <c r="N211" s="270">
        <v>0.71970000000000001</v>
      </c>
      <c r="O211" s="270">
        <v>4.0828500000000005</v>
      </c>
      <c r="P211" s="270">
        <v>287.87</v>
      </c>
      <c r="Q211" s="270">
        <v>13.5854</v>
      </c>
      <c r="R211" s="270">
        <v>25.2775</v>
      </c>
      <c r="S211" s="270">
        <v>3.7908499999999998</v>
      </c>
      <c r="T211" s="270">
        <v>7.7561999999999998</v>
      </c>
      <c r="U211" s="270">
        <v>6.8362999999999996</v>
      </c>
      <c r="V211" s="270">
        <v>3.2116500000000001</v>
      </c>
      <c r="W211" s="270">
        <v>59.206000000000003</v>
      </c>
      <c r="X211" s="270">
        <v>67.965000000000003</v>
      </c>
      <c r="Y211" s="270">
        <v>21.599049999999998</v>
      </c>
      <c r="Z211" s="270">
        <v>1.4205000000000001</v>
      </c>
      <c r="AA211" s="270">
        <v>1166.635</v>
      </c>
      <c r="AB211" s="270">
        <v>35.299999999999997</v>
      </c>
      <c r="AC211" s="270">
        <v>656.6</v>
      </c>
      <c r="AD211" s="270">
        <v>2919.4049999999997</v>
      </c>
      <c r="AE211" s="270">
        <v>13351</v>
      </c>
      <c r="AF211" s="270">
        <v>3.3441999999999998</v>
      </c>
      <c r="AG211" s="270">
        <v>4.2066499999999998</v>
      </c>
      <c r="AH211" s="270">
        <v>3.81135</v>
      </c>
      <c r="AI211" s="270">
        <v>4.4442500000000003</v>
      </c>
      <c r="AJ211" s="270">
        <v>6.8192000000000004</v>
      </c>
      <c r="AK211" s="270">
        <v>3.6729500000000002</v>
      </c>
      <c r="AL211" s="270">
        <v>104</v>
      </c>
      <c r="AM211" s="270">
        <v>3.7504999999999997</v>
      </c>
      <c r="AN211" s="270">
        <v>18.896549999999998</v>
      </c>
      <c r="AO211" s="270">
        <v>31.536000000000001</v>
      </c>
      <c r="AP211" s="270">
        <v>49.772999999999996</v>
      </c>
    </row>
    <row r="212" spans="2:42" x14ac:dyDescent="0.2">
      <c r="B212" s="271" t="s">
        <v>23</v>
      </c>
      <c r="C212" s="320">
        <v>1.0000102778806337</v>
      </c>
      <c r="D212" s="320">
        <v>0.99997861156858592</v>
      </c>
      <c r="AL212" s="271"/>
    </row>
    <row r="213" spans="2:42" x14ac:dyDescent="0.2">
      <c r="B213" s="271" t="s">
        <v>30</v>
      </c>
      <c r="C213" s="320">
        <v>1.00002055586968</v>
      </c>
      <c r="D213" s="320">
        <v>0.99995555753077636</v>
      </c>
      <c r="AL213" s="271"/>
    </row>
    <row r="214" spans="2:42" x14ac:dyDescent="0.2">
      <c r="B214" s="271" t="s">
        <v>41</v>
      </c>
      <c r="C214" s="320">
        <v>1.0000513907875628</v>
      </c>
      <c r="D214" s="320">
        <v>0.99988612408031297</v>
      </c>
      <c r="AL214" s="271"/>
    </row>
    <row r="215" spans="2:42" x14ac:dyDescent="0.2">
      <c r="B215" s="271" t="s">
        <v>92</v>
      </c>
      <c r="C215" s="320">
        <v>1.0000925069694873</v>
      </c>
      <c r="D215" s="320">
        <v>0.99977643565866625</v>
      </c>
      <c r="E215" s="270">
        <v>2.69</v>
      </c>
      <c r="F215" s="270">
        <v>1.43</v>
      </c>
      <c r="G215" s="270">
        <v>-3.3250000000000002</v>
      </c>
      <c r="H215" s="270">
        <v>-1.9</v>
      </c>
      <c r="I215" s="270">
        <v>-0.34499999999999997</v>
      </c>
      <c r="J215" s="270">
        <v>-1.3900000000000001</v>
      </c>
      <c r="K215" s="270">
        <v>-18.78</v>
      </c>
      <c r="L215" s="270">
        <v>-5.5</v>
      </c>
      <c r="M215" s="270">
        <v>-24.28</v>
      </c>
      <c r="N215" s="270">
        <v>-1.4950000000000001</v>
      </c>
      <c r="O215" s="270">
        <v>4.6099999999999994</v>
      </c>
      <c r="P215" s="270">
        <v>-5.28</v>
      </c>
      <c r="Q215" s="270">
        <v>165.5</v>
      </c>
      <c r="R215" s="270">
        <v>-6.8</v>
      </c>
      <c r="S215" s="270">
        <v>63.975000000000001</v>
      </c>
      <c r="T215" s="270">
        <v>-9.2249999999999996</v>
      </c>
      <c r="U215" s="270">
        <v>95.004999999999995</v>
      </c>
      <c r="V215" s="270">
        <v>68.5</v>
      </c>
      <c r="W215" s="270">
        <v>980.25</v>
      </c>
      <c r="X215" s="270">
        <v>4.9999999999997158</v>
      </c>
      <c r="Y215" s="270">
        <v>209</v>
      </c>
      <c r="Z215" s="270">
        <v>-1.6749999999999998</v>
      </c>
      <c r="AA215" s="270">
        <v>-0.59999999999990905</v>
      </c>
      <c r="AB215" s="270">
        <v>0</v>
      </c>
      <c r="AC215" s="270">
        <v>0.36000000000000004</v>
      </c>
      <c r="AD215" s="270">
        <v>4.4749999999999996</v>
      </c>
      <c r="AE215" s="270">
        <v>-21</v>
      </c>
      <c r="AF215" s="270">
        <v>16.740740740740748</v>
      </c>
      <c r="AG215" s="270">
        <v>-4.9589499999999997</v>
      </c>
      <c r="AH215" s="270">
        <v>-6.45</v>
      </c>
      <c r="AI215" s="270">
        <v>122.50000000000315</v>
      </c>
      <c r="AJ215" s="270">
        <v>210</v>
      </c>
      <c r="AK215" s="270">
        <v>-0.5</v>
      </c>
      <c r="AL215" s="270">
        <v>45.481481481481637</v>
      </c>
      <c r="AM215" s="270">
        <v>0</v>
      </c>
      <c r="AN215" s="270">
        <v>-10872.907407407403</v>
      </c>
      <c r="AO215" s="270">
        <v>-3.8500000000000867E-2</v>
      </c>
      <c r="AP215" s="270">
        <v>3.2000000000000028E-2</v>
      </c>
    </row>
    <row r="216" spans="2:42" x14ac:dyDescent="0.2">
      <c r="B216" s="271" t="s">
        <v>55</v>
      </c>
      <c r="C216" s="320">
        <v>1.0001605783506493</v>
      </c>
      <c r="D216" s="320">
        <v>0.9995186373643995</v>
      </c>
      <c r="E216" s="271">
        <v>6.1749999999999998</v>
      </c>
      <c r="F216" s="271">
        <v>3.65</v>
      </c>
      <c r="G216" s="271">
        <v>-7.2799999999999994</v>
      </c>
      <c r="H216" s="271">
        <v>-4.7050000000000001</v>
      </c>
      <c r="I216" s="271">
        <v>-1.23</v>
      </c>
      <c r="J216" s="271">
        <v>-2.66</v>
      </c>
      <c r="K216" s="1">
        <v>-43.03</v>
      </c>
      <c r="L216" s="1">
        <v>-10.925000000000001</v>
      </c>
      <c r="M216" s="1">
        <v>-56.2</v>
      </c>
      <c r="N216" s="271">
        <v>-3.0750000000000002</v>
      </c>
      <c r="O216" s="1">
        <v>9.125</v>
      </c>
      <c r="P216" s="1">
        <v>-10.725</v>
      </c>
      <c r="Q216" s="1">
        <v>340.5</v>
      </c>
      <c r="R216" s="1">
        <v>-17.725000000000001</v>
      </c>
      <c r="S216" s="1">
        <v>130.21</v>
      </c>
      <c r="T216" s="1">
        <v>-16.2</v>
      </c>
      <c r="U216" s="1">
        <v>158.08038461538462</v>
      </c>
      <c r="V216" s="1">
        <v>132.19057692307692</v>
      </c>
      <c r="W216" s="1">
        <v>1992.35</v>
      </c>
      <c r="X216" s="1">
        <v>9.5599999999998317</v>
      </c>
      <c r="Y216" s="1">
        <v>427.79999999999995</v>
      </c>
      <c r="Z216" s="1">
        <v>-2</v>
      </c>
      <c r="AA216" s="1">
        <v>-0.58249999999992497</v>
      </c>
      <c r="AB216" s="1">
        <v>0.14807692307692311</v>
      </c>
      <c r="AC216" s="1">
        <v>0.67999999999999994</v>
      </c>
      <c r="AD216" s="1">
        <v>8.09</v>
      </c>
      <c r="AE216" s="1">
        <v>-14.26923076923077</v>
      </c>
      <c r="AF216" s="1">
        <v>46.425925925925924</v>
      </c>
      <c r="AG216" s="1">
        <v>-12.562849999999999</v>
      </c>
      <c r="AH216" s="1">
        <v>-12.951923076923077</v>
      </c>
      <c r="AI216" s="1">
        <v>133.80769230769542</v>
      </c>
      <c r="AJ216" s="1">
        <v>210</v>
      </c>
      <c r="AK216" s="1">
        <v>1.25</v>
      </c>
      <c r="AL216" s="1">
        <v>69.851851851851961</v>
      </c>
      <c r="AM216" s="1">
        <v>0.25</v>
      </c>
      <c r="AN216" s="1">
        <v>-11274.759259259255</v>
      </c>
      <c r="AO216" s="1">
        <v>-4.5230769230770192E-2</v>
      </c>
      <c r="AP216" s="1">
        <v>6.0518518518518402E-2</v>
      </c>
    </row>
    <row r="217" spans="2:42" x14ac:dyDescent="0.2">
      <c r="B217" s="271" t="s">
        <v>63</v>
      </c>
      <c r="C217" s="320">
        <v>1.0002306042965825</v>
      </c>
      <c r="D217" s="320">
        <v>0.9993055265947246</v>
      </c>
      <c r="E217" s="271">
        <v>9.1150000000000002</v>
      </c>
      <c r="F217" s="271">
        <v>5.3049999999999997</v>
      </c>
      <c r="G217" s="271">
        <v>-10.925000000000001</v>
      </c>
      <c r="H217" s="271">
        <v>-7.1</v>
      </c>
      <c r="I217" s="271">
        <v>-2</v>
      </c>
      <c r="J217" s="271">
        <v>-3.99</v>
      </c>
      <c r="K217" s="1">
        <v>-64.289999999999992</v>
      </c>
      <c r="L217" s="1">
        <v>-16.25</v>
      </c>
      <c r="M217" s="1">
        <v>-83.48</v>
      </c>
      <c r="N217" s="271">
        <v>-4.57</v>
      </c>
      <c r="O217" s="1">
        <v>13.79</v>
      </c>
      <c r="P217" s="1">
        <v>-16.260526315789473</v>
      </c>
      <c r="Q217" s="1">
        <v>513.15</v>
      </c>
      <c r="R217" s="1">
        <v>-30.365000000000002</v>
      </c>
      <c r="S217" s="1">
        <v>201.6</v>
      </c>
      <c r="T217" s="1">
        <v>-22.61</v>
      </c>
      <c r="U217" s="1">
        <v>205.3869230769231</v>
      </c>
      <c r="V217" s="1">
        <v>195.88115384615384</v>
      </c>
      <c r="W217" s="1">
        <v>2844.2325000000001</v>
      </c>
      <c r="X217" s="1">
        <v>14.879999999999967</v>
      </c>
      <c r="Y217" s="1">
        <v>632.5</v>
      </c>
      <c r="Z217" s="1">
        <v>-2.5099999999999998</v>
      </c>
      <c r="AA217" s="1">
        <v>-0.56499999999994088</v>
      </c>
      <c r="AB217" s="1">
        <v>0.29615384615384621</v>
      </c>
      <c r="AC217" s="1">
        <v>0.95263157894736827</v>
      </c>
      <c r="AD217" s="1">
        <v>11.976842105263158</v>
      </c>
      <c r="AE217" s="1">
        <v>-7.5384615384615383</v>
      </c>
      <c r="AF217" s="1">
        <v>76.111111111111114</v>
      </c>
      <c r="AG217" s="1">
        <v>-17.621400000000001</v>
      </c>
      <c r="AH217" s="1">
        <v>-19.453846153846154</v>
      </c>
      <c r="AI217" s="1">
        <v>146.7307692307723</v>
      </c>
      <c r="AJ217" s="1">
        <v>281.82</v>
      </c>
      <c r="AK217" s="1">
        <v>3</v>
      </c>
      <c r="AL217" s="1">
        <v>94.222222222222257</v>
      </c>
      <c r="AM217" s="1">
        <v>1.631578947368421</v>
      </c>
      <c r="AN217" s="1">
        <v>-11676.611111111106</v>
      </c>
      <c r="AO217" s="1">
        <v>-5.1961538461539516E-2</v>
      </c>
      <c r="AP217" s="1">
        <v>8.9037037037036776E-2</v>
      </c>
    </row>
    <row r="218" spans="2:42" x14ac:dyDescent="0.2">
      <c r="B218" s="271" t="s">
        <v>66</v>
      </c>
      <c r="C218" s="320">
        <v>1.0003306583737761</v>
      </c>
      <c r="D218" s="320">
        <v>0.99896731898612645</v>
      </c>
      <c r="E218" s="271">
        <v>13.760000000000002</v>
      </c>
      <c r="F218" s="271">
        <v>8.08</v>
      </c>
      <c r="G218" s="271">
        <v>-16.600000000000001</v>
      </c>
      <c r="H218" s="271">
        <v>-11.25</v>
      </c>
      <c r="I218" s="271">
        <v>-3.5999999999999996</v>
      </c>
      <c r="J218" s="271">
        <v>-5.96</v>
      </c>
      <c r="K218" s="1">
        <v>-100.75</v>
      </c>
      <c r="L218" s="1">
        <v>-21.524999999999999</v>
      </c>
      <c r="M218" s="1">
        <v>-127.44</v>
      </c>
      <c r="N218" s="271">
        <v>-6.97</v>
      </c>
      <c r="O218" s="1">
        <v>21.25</v>
      </c>
      <c r="P218" s="1">
        <v>-25.75</v>
      </c>
      <c r="Q218" s="1">
        <v>797</v>
      </c>
      <c r="R218" s="1">
        <v>-49</v>
      </c>
      <c r="S218" s="1">
        <v>321.80500000000001</v>
      </c>
      <c r="T218" s="1">
        <v>-33</v>
      </c>
      <c r="U218" s="1">
        <v>300</v>
      </c>
      <c r="V218" s="1">
        <v>305.065</v>
      </c>
      <c r="W218" s="1">
        <v>4426.3</v>
      </c>
      <c r="X218" s="1">
        <v>24.000000000000199</v>
      </c>
      <c r="Y218" s="1">
        <v>998.875</v>
      </c>
      <c r="Z218" s="1">
        <v>-3</v>
      </c>
      <c r="AA218" s="1">
        <v>-0.53499999999996817</v>
      </c>
      <c r="AB218" s="1">
        <v>0.55000000000000004</v>
      </c>
      <c r="AC218" s="1">
        <v>1.42</v>
      </c>
      <c r="AD218" s="1">
        <v>18.64</v>
      </c>
      <c r="AE218" s="1">
        <v>4</v>
      </c>
      <c r="AF218" s="1">
        <v>127</v>
      </c>
      <c r="AG218" s="1">
        <v>-24.536899999999999</v>
      </c>
      <c r="AH218" s="1">
        <v>-30.6</v>
      </c>
      <c r="AI218" s="1">
        <v>164.50000000000298</v>
      </c>
      <c r="AJ218" s="1">
        <v>392.91499999999996</v>
      </c>
      <c r="AK218" s="1">
        <v>6</v>
      </c>
      <c r="AL218" s="1">
        <v>135.99999999999994</v>
      </c>
      <c r="AM218" s="1">
        <v>4</v>
      </c>
      <c r="AN218" s="1">
        <v>-12365.499999999993</v>
      </c>
      <c r="AO218" s="1">
        <v>-6.3500000000001222E-2</v>
      </c>
      <c r="AP218" s="1">
        <v>0.14199999999999946</v>
      </c>
    </row>
    <row r="219" spans="2:42" x14ac:dyDescent="0.2">
      <c r="B219" s="271" t="s">
        <v>71</v>
      </c>
      <c r="C219" s="320">
        <v>1.0005781002221927</v>
      </c>
      <c r="D219" s="320">
        <v>0.99806746367913413</v>
      </c>
      <c r="E219" s="271">
        <v>26.05</v>
      </c>
      <c r="F219" s="271">
        <v>14.545</v>
      </c>
      <c r="G219" s="271">
        <v>-31.14</v>
      </c>
      <c r="H219" s="271">
        <v>-21.954999999999998</v>
      </c>
      <c r="I219" s="271">
        <v>-7.35</v>
      </c>
      <c r="J219" s="271">
        <v>-10.850000000000001</v>
      </c>
      <c r="K219" s="1">
        <v>-189.98500000000001</v>
      </c>
      <c r="L219" s="1">
        <v>-35.849999999999994</v>
      </c>
      <c r="M219" s="1">
        <v>-239.2</v>
      </c>
      <c r="N219" s="271">
        <v>-12.844999999999999</v>
      </c>
      <c r="O219" s="1">
        <v>38.575000000000003</v>
      </c>
      <c r="P219" s="1">
        <v>-45.5</v>
      </c>
      <c r="Q219" s="1">
        <v>1487</v>
      </c>
      <c r="R219" s="1">
        <v>-112.95</v>
      </c>
      <c r="S219" s="1">
        <v>590.81500000000005</v>
      </c>
      <c r="T219" s="1">
        <v>-57</v>
      </c>
      <c r="U219" s="1">
        <v>608.755</v>
      </c>
      <c r="V219" s="1">
        <v>521</v>
      </c>
      <c r="W219" s="1">
        <v>7796.35</v>
      </c>
      <c r="X219" s="1">
        <v>45.999999999999375</v>
      </c>
      <c r="Y219" s="1">
        <v>1875</v>
      </c>
      <c r="Z219" s="1">
        <v>-6.1</v>
      </c>
      <c r="AA219" s="1">
        <v>-0.53999999999996362</v>
      </c>
      <c r="AB219" s="1">
        <v>1.75</v>
      </c>
      <c r="AC219" s="1">
        <v>2.7199999999999998</v>
      </c>
      <c r="AD219" s="1">
        <v>29.450000000000003</v>
      </c>
      <c r="AE219" s="1">
        <v>49</v>
      </c>
      <c r="AF219" s="1">
        <v>241.5</v>
      </c>
      <c r="AG219" s="1">
        <v>-46.19755</v>
      </c>
      <c r="AH219" s="1">
        <v>-61.5</v>
      </c>
      <c r="AI219" s="1">
        <v>190.00000000000128</v>
      </c>
      <c r="AJ219" s="1">
        <v>692.5</v>
      </c>
      <c r="AK219" s="1">
        <v>8.5</v>
      </c>
      <c r="AL219" s="1">
        <v>229.99999999999972</v>
      </c>
      <c r="AM219" s="1">
        <v>11</v>
      </c>
      <c r="AN219" s="1">
        <v>-13915.499999999989</v>
      </c>
      <c r="AO219" s="1">
        <v>-9.8500000000001364E-2</v>
      </c>
      <c r="AP219" s="1">
        <v>0.28200000000000003</v>
      </c>
    </row>
    <row r="220" spans="2:42" x14ac:dyDescent="0.2">
      <c r="B220" s="271" t="s">
        <v>77</v>
      </c>
      <c r="C220" s="320">
        <v>1.0007961729036805</v>
      </c>
      <c r="D220" s="320">
        <v>0.99627811943898459</v>
      </c>
      <c r="E220" s="271">
        <v>47.569999999999993</v>
      </c>
      <c r="F220" s="271">
        <v>27.835000000000001</v>
      </c>
      <c r="G220" s="271">
        <v>-54.484999999999999</v>
      </c>
      <c r="H220" s="271">
        <v>-47</v>
      </c>
      <c r="I220" s="271">
        <v>-12.9</v>
      </c>
      <c r="J220" s="271">
        <v>-16.21</v>
      </c>
      <c r="K220" s="1">
        <v>-337.85500000000002</v>
      </c>
      <c r="L220" s="1">
        <v>-64.25</v>
      </c>
      <c r="M220" s="1">
        <v>-427.95500000000004</v>
      </c>
      <c r="N220" s="271">
        <v>-19.32</v>
      </c>
      <c r="O220" s="1">
        <v>58</v>
      </c>
      <c r="P220" s="1">
        <v>-79.125</v>
      </c>
      <c r="Q220" s="1">
        <v>2274.5</v>
      </c>
      <c r="R220" s="1">
        <v>-226.3</v>
      </c>
      <c r="S220" s="1">
        <v>892.39</v>
      </c>
      <c r="T220" s="1">
        <v>-78.5</v>
      </c>
      <c r="U220" s="1">
        <v>875.2349999999999</v>
      </c>
      <c r="V220" s="1">
        <v>781.4849999999999</v>
      </c>
      <c r="W220" s="1">
        <v>11419.1</v>
      </c>
      <c r="X220" s="1">
        <v>72.999999999999687</v>
      </c>
      <c r="Y220" s="1">
        <v>2789.125</v>
      </c>
      <c r="Z220" s="1">
        <v>-8.5</v>
      </c>
      <c r="AA220" s="1">
        <v>-0.63499999999999091</v>
      </c>
      <c r="AB220" s="1">
        <v>2.75</v>
      </c>
      <c r="AC220" s="1">
        <v>3.98</v>
      </c>
      <c r="AD220" s="1">
        <v>47.3</v>
      </c>
      <c r="AE220" s="1">
        <v>104</v>
      </c>
      <c r="AF220" s="1">
        <v>369</v>
      </c>
      <c r="AG220" s="1">
        <v>-96.194400000000002</v>
      </c>
      <c r="AH220" s="1">
        <v>-102.505</v>
      </c>
      <c r="AI220" s="1">
        <v>260.00000000000244</v>
      </c>
      <c r="AJ220" s="1">
        <v>954.04500000000007</v>
      </c>
      <c r="AK220" s="1">
        <v>21</v>
      </c>
      <c r="AL220" s="1">
        <v>318.00000000000068</v>
      </c>
      <c r="AM220" s="1">
        <v>20</v>
      </c>
      <c r="AN220" s="1">
        <v>-10815.5</v>
      </c>
      <c r="AO220" s="1">
        <v>-0.11050000000000004</v>
      </c>
      <c r="AP220" s="1">
        <v>0.44200000000000017</v>
      </c>
    </row>
    <row r="221" spans="2:42" x14ac:dyDescent="0.2">
      <c r="B221" s="271" t="s">
        <v>82</v>
      </c>
      <c r="C221" s="320">
        <v>1.0009703655276365</v>
      </c>
      <c r="D221" s="320">
        <v>0.99500028828206799</v>
      </c>
      <c r="E221" s="271">
        <v>63.22</v>
      </c>
      <c r="F221" s="271">
        <v>36.615000000000002</v>
      </c>
      <c r="G221" s="271">
        <v>-73.284999999999997</v>
      </c>
      <c r="H221" s="271">
        <v>-62.65</v>
      </c>
      <c r="I221" s="271">
        <v>-17.564999999999998</v>
      </c>
      <c r="J221" s="271">
        <v>-21.664999999999999</v>
      </c>
      <c r="K221" s="1">
        <v>-456.38</v>
      </c>
      <c r="L221" s="1">
        <v>-85.5</v>
      </c>
      <c r="M221" s="1">
        <v>-566.22</v>
      </c>
      <c r="N221" s="271">
        <v>-25.924999999999997</v>
      </c>
      <c r="O221" s="1">
        <v>74.759999999999991</v>
      </c>
      <c r="P221" s="1">
        <v>-105.345</v>
      </c>
      <c r="Q221" s="1">
        <v>3088.85</v>
      </c>
      <c r="R221" s="1">
        <v>-314.94</v>
      </c>
      <c r="S221" s="1">
        <v>1237.0700000000002</v>
      </c>
      <c r="T221" s="1">
        <v>-87.49</v>
      </c>
      <c r="U221" s="1">
        <v>1062.2470879120879</v>
      </c>
      <c r="V221" s="1">
        <v>1010.9404945054945</v>
      </c>
      <c r="W221" s="1">
        <v>14880.770329670329</v>
      </c>
      <c r="X221" s="1">
        <v>98.219780219779921</v>
      </c>
      <c r="Y221" s="1">
        <v>3780.072802197802</v>
      </c>
      <c r="Z221" s="1">
        <v>-9.6999999999999993</v>
      </c>
      <c r="AA221" s="1">
        <v>-0.93170329670328011</v>
      </c>
      <c r="AB221" s="1">
        <v>3.9862637362637363</v>
      </c>
      <c r="AC221" s="1">
        <v>5.23</v>
      </c>
      <c r="AD221" s="1">
        <v>62.65</v>
      </c>
      <c r="AE221" s="1">
        <v>166.63736263736263</v>
      </c>
      <c r="AF221" s="1">
        <v>514.38461538461536</v>
      </c>
      <c r="AG221" s="1">
        <v>-121.03735054945055</v>
      </c>
      <c r="AH221" s="1">
        <v>-142.89126373626374</v>
      </c>
      <c r="AI221" s="1">
        <v>349.01098901099192</v>
      </c>
      <c r="AJ221" s="1">
        <v>1159.9000000000001</v>
      </c>
      <c r="AK221" s="1">
        <v>30.520000000000003</v>
      </c>
      <c r="AL221" s="1">
        <v>390.52747252747281</v>
      </c>
      <c r="AM221" s="1">
        <v>38.131868131868131</v>
      </c>
      <c r="AN221" s="1">
        <v>-9809.1813186813124</v>
      </c>
      <c r="AO221" s="1">
        <v>-0.14280769230769319</v>
      </c>
      <c r="AP221" s="1">
        <v>0.56232967032966996</v>
      </c>
    </row>
    <row r="222" spans="2:42" x14ac:dyDescent="0.2">
      <c r="B222" s="271" t="s">
        <v>85</v>
      </c>
      <c r="C222" s="320">
        <v>1.0010702892980414</v>
      </c>
      <c r="D222" s="320">
        <v>0.99374350168585446</v>
      </c>
      <c r="E222" s="271">
        <v>77.955000000000013</v>
      </c>
      <c r="F222" s="271">
        <v>44.375</v>
      </c>
      <c r="G222" s="271">
        <v>-90.41</v>
      </c>
      <c r="H222" s="271">
        <v>-76.44</v>
      </c>
      <c r="I222" s="271">
        <v>-22.125</v>
      </c>
      <c r="J222" s="271">
        <v>-26.35</v>
      </c>
      <c r="K222" s="1">
        <v>-560.52499999999998</v>
      </c>
      <c r="L222" s="1">
        <v>-110.5</v>
      </c>
      <c r="M222" s="1">
        <v>-697.56999999999994</v>
      </c>
      <c r="N222" s="271">
        <v>-32.1</v>
      </c>
      <c r="O222" s="1">
        <v>87.884999999999991</v>
      </c>
      <c r="P222" s="1">
        <v>-131.5</v>
      </c>
      <c r="Q222" s="1">
        <v>3829.75</v>
      </c>
      <c r="R222" s="1">
        <v>-400.99</v>
      </c>
      <c r="S222" s="1">
        <v>1532.6</v>
      </c>
      <c r="T222" s="1">
        <v>-92.875</v>
      </c>
      <c r="U222" s="1">
        <v>1255.4929120879121</v>
      </c>
      <c r="V222" s="1">
        <v>1248.0445054945055</v>
      </c>
      <c r="W222" s="1">
        <v>18573.218681318682</v>
      </c>
      <c r="X222" s="1">
        <v>124.28021978021951</v>
      </c>
      <c r="Y222" s="1">
        <v>4804.052197802198</v>
      </c>
      <c r="Z222" s="1">
        <v>-10.6</v>
      </c>
      <c r="AA222" s="1">
        <v>-1.238296703296679</v>
      </c>
      <c r="AB222" s="1">
        <v>5.2637362637362637</v>
      </c>
      <c r="AC222" s="1">
        <v>6.4499999999999993</v>
      </c>
      <c r="AD222" s="1">
        <v>77.704999999999998</v>
      </c>
      <c r="AE222" s="1">
        <v>231.36263736263737</v>
      </c>
      <c r="AF222" s="1">
        <v>664.61538461538464</v>
      </c>
      <c r="AG222" s="1">
        <v>-146.70839945054945</v>
      </c>
      <c r="AH222" s="1">
        <v>-184.62373626373625</v>
      </c>
      <c r="AI222" s="1">
        <v>440.98901098901439</v>
      </c>
      <c r="AJ222" s="1">
        <v>1333.3</v>
      </c>
      <c r="AK222" s="1">
        <v>37.510344827586209</v>
      </c>
      <c r="AL222" s="1">
        <v>465.47252747252742</v>
      </c>
      <c r="AM222" s="1">
        <v>53.516483516483518</v>
      </c>
      <c r="AN222" s="1">
        <v>-8955.3351648351545</v>
      </c>
      <c r="AO222" s="1">
        <v>-0.17619230769230942</v>
      </c>
      <c r="AP222" s="1">
        <v>0.69068131868131777</v>
      </c>
    </row>
    <row r="223" spans="2:42" x14ac:dyDescent="0.2">
      <c r="B223" s="271" t="s">
        <v>87</v>
      </c>
      <c r="C223" s="320">
        <v>1.0011279145796403</v>
      </c>
      <c r="D223" s="320">
        <v>0.9918216722288139</v>
      </c>
      <c r="E223" s="271">
        <v>99.224999999999994</v>
      </c>
      <c r="F223" s="271">
        <v>58.314999999999998</v>
      </c>
      <c r="G223" s="271">
        <v>-113.45</v>
      </c>
      <c r="H223" s="271">
        <v>-100.125</v>
      </c>
      <c r="I223" s="271">
        <v>-27.200000000000003</v>
      </c>
      <c r="J223" s="271">
        <v>-30.95</v>
      </c>
      <c r="K223" s="1">
        <v>-697.5</v>
      </c>
      <c r="L223" s="1">
        <v>-147</v>
      </c>
      <c r="M223" s="1">
        <v>-869.375</v>
      </c>
      <c r="N223" s="271">
        <v>-37.74</v>
      </c>
      <c r="O223" s="1">
        <v>98.6</v>
      </c>
      <c r="P223" s="1">
        <v>-150.25</v>
      </c>
      <c r="Q223" s="1">
        <v>4592</v>
      </c>
      <c r="R223" s="1">
        <v>-489.5</v>
      </c>
      <c r="S223" s="1">
        <v>1843.425</v>
      </c>
      <c r="T223" s="1">
        <v>-97</v>
      </c>
      <c r="U223" s="1">
        <v>1442.5050000000001</v>
      </c>
      <c r="V223" s="1">
        <v>1477.5</v>
      </c>
      <c r="W223" s="1">
        <v>21919.5</v>
      </c>
      <c r="X223" s="1">
        <v>149.49999999999974</v>
      </c>
      <c r="Y223" s="1">
        <v>5795</v>
      </c>
      <c r="Z223" s="1">
        <v>-11.25</v>
      </c>
      <c r="AA223" s="1">
        <v>-1.5349999999999682</v>
      </c>
      <c r="AB223" s="1">
        <v>6.5</v>
      </c>
      <c r="AC223" s="1">
        <v>7.7949999999999999</v>
      </c>
      <c r="AD223" s="1">
        <v>89.585000000000008</v>
      </c>
      <c r="AE223" s="1">
        <v>294</v>
      </c>
      <c r="AF223" s="1">
        <v>810</v>
      </c>
      <c r="AG223" s="1">
        <v>-171.55135000000001</v>
      </c>
      <c r="AH223" s="1">
        <v>-225.01</v>
      </c>
      <c r="AI223" s="1">
        <v>530.00000000000387</v>
      </c>
      <c r="AJ223" s="1">
        <v>1508</v>
      </c>
      <c r="AK223" s="1">
        <v>45</v>
      </c>
      <c r="AL223" s="1">
        <v>537.99999999999955</v>
      </c>
      <c r="AM223" s="1">
        <v>70</v>
      </c>
      <c r="AN223" s="1">
        <v>-8040.4999999999836</v>
      </c>
      <c r="AO223" s="1">
        <v>-0.20850000000000257</v>
      </c>
      <c r="AP223" s="1">
        <v>0.80699999999999861</v>
      </c>
    </row>
    <row r="224" spans="2:42" x14ac:dyDescent="0.2">
      <c r="B224" s="271" t="s">
        <v>90</v>
      </c>
      <c r="C224" s="320">
        <v>1.0011460108435368</v>
      </c>
      <c r="D224" s="320">
        <v>0.99025375055253151</v>
      </c>
      <c r="E224" s="271">
        <v>116.58000000000001</v>
      </c>
      <c r="F224" s="271">
        <v>68.185000000000002</v>
      </c>
      <c r="G224" s="271">
        <v>-133.5</v>
      </c>
      <c r="H224" s="271">
        <v>-117.3</v>
      </c>
      <c r="I224" s="271">
        <v>-32.74</v>
      </c>
      <c r="J224" s="271">
        <v>-35.71</v>
      </c>
      <c r="K224" s="1">
        <v>-820.32500000000005</v>
      </c>
      <c r="L224" s="1">
        <v>-182.07999999999998</v>
      </c>
      <c r="M224" s="1">
        <v>-1012.53</v>
      </c>
      <c r="N224" s="271">
        <v>-44.19</v>
      </c>
      <c r="O224" s="1">
        <v>107.75211956521738</v>
      </c>
      <c r="P224" s="1">
        <v>-182.80163043478262</v>
      </c>
      <c r="Q224" s="1">
        <v>5430.630434782609</v>
      </c>
      <c r="R224" s="1">
        <v>-568.26</v>
      </c>
      <c r="S224" s="1">
        <v>2176.7086956521739</v>
      </c>
      <c r="T224" s="1">
        <v>-96.282608695652172</v>
      </c>
      <c r="U224" s="1">
        <v>1643.8229347826089</v>
      </c>
      <c r="V224" s="1">
        <v>1707.2445652173913</v>
      </c>
      <c r="W224" s="1">
        <v>25181.407608695652</v>
      </c>
      <c r="X224" s="1">
        <v>175.96874999999986</v>
      </c>
      <c r="Y224" s="1">
        <v>6982.4171195652179</v>
      </c>
      <c r="Z224" s="1">
        <v>-12.595108695652174</v>
      </c>
      <c r="AA224" s="1">
        <v>-2.2488043478260584</v>
      </c>
      <c r="AB224" s="1">
        <v>7.9347826086956523</v>
      </c>
      <c r="AC224" s="1">
        <v>9.0163586956521744</v>
      </c>
      <c r="AD224" s="1">
        <v>104.83510869565218</v>
      </c>
      <c r="AE224" s="1">
        <v>370.2228260869565</v>
      </c>
      <c r="AF224" s="1">
        <v>916.89130434782612</v>
      </c>
      <c r="AG224" s="1">
        <v>-184.36747391304348</v>
      </c>
      <c r="AH224" s="1">
        <v>-276.8074456521739</v>
      </c>
      <c r="AI224" s="1">
        <v>611.24456521739535</v>
      </c>
      <c r="AJ224" s="1">
        <v>1682.2</v>
      </c>
      <c r="AK224" s="1">
        <v>53.608695652173914</v>
      </c>
      <c r="AL224" s="1">
        <v>620.5</v>
      </c>
      <c r="AM224" s="1">
        <v>102.28260869565217</v>
      </c>
      <c r="AN224" s="1">
        <v>-6489.1413043478124</v>
      </c>
      <c r="AO224" s="1">
        <v>-0.23325000000000223</v>
      </c>
      <c r="AP224" s="1">
        <v>0.91314130434782514</v>
      </c>
    </row>
    <row r="225" spans="2:42" x14ac:dyDescent="0.2">
      <c r="B225" s="271" t="s">
        <v>93</v>
      </c>
      <c r="C225" s="320">
        <v>1.0011017457550955</v>
      </c>
      <c r="D225" s="320">
        <v>0.98870381989837974</v>
      </c>
      <c r="E225" s="271">
        <v>133.05000000000001</v>
      </c>
      <c r="F225" s="271">
        <v>77.424999999999997</v>
      </c>
      <c r="G225" s="271">
        <v>-153.01</v>
      </c>
      <c r="H225" s="271">
        <v>-133.44999999999999</v>
      </c>
      <c r="I225" s="271">
        <v>-38.075000000000003</v>
      </c>
      <c r="J225" s="271">
        <v>-40.099999999999994</v>
      </c>
      <c r="K225" s="1">
        <v>-932</v>
      </c>
      <c r="L225" s="1">
        <v>-220</v>
      </c>
      <c r="M225" s="1">
        <v>-1157.5</v>
      </c>
      <c r="N225" s="271">
        <v>-49.93</v>
      </c>
      <c r="O225" s="1">
        <v>115.79489130434783</v>
      </c>
      <c r="P225" s="1">
        <v>-211.40760869565219</v>
      </c>
      <c r="Q225" s="1">
        <v>6167.608695652174</v>
      </c>
      <c r="R225" s="1">
        <v>-641.63</v>
      </c>
      <c r="S225" s="1">
        <v>2509.9923913043476</v>
      </c>
      <c r="T225" s="1">
        <v>-95.652173913043484</v>
      </c>
      <c r="U225" s="1">
        <v>1820.7386956521741</v>
      </c>
      <c r="V225" s="1">
        <v>1909.141304347826</v>
      </c>
      <c r="W225" s="1">
        <v>28443.315217391304</v>
      </c>
      <c r="X225" s="1">
        <v>199.2291666666666</v>
      </c>
      <c r="Y225" s="1">
        <v>8025.904891304348</v>
      </c>
      <c r="Z225" s="1">
        <v>-13.777173913043478</v>
      </c>
      <c r="AA225" s="1">
        <v>-2.8760869565217133</v>
      </c>
      <c r="AB225" s="1">
        <v>9.195652173913043</v>
      </c>
      <c r="AC225" s="1">
        <v>10.126684782608695</v>
      </c>
      <c r="AD225" s="1">
        <v>117.39402173913044</v>
      </c>
      <c r="AE225" s="1">
        <v>437.20652173913044</v>
      </c>
      <c r="AF225" s="1">
        <v>1010.8260869565217</v>
      </c>
      <c r="AG225" s="1">
        <v>-195.63012826086955</v>
      </c>
      <c r="AH225" s="1">
        <v>-322.32641304347823</v>
      </c>
      <c r="AI225" s="1">
        <v>682.64130434783033</v>
      </c>
      <c r="AJ225" s="1">
        <v>1839.9</v>
      </c>
      <c r="AK225" s="1">
        <v>61.173913043478265</v>
      </c>
      <c r="AL225" s="1">
        <v>693.00000000000034</v>
      </c>
      <c r="AM225" s="1">
        <v>130.65217391304347</v>
      </c>
      <c r="AN225" s="1">
        <v>-5125.8260869565111</v>
      </c>
      <c r="AO225" s="1">
        <v>-0.25500000000000195</v>
      </c>
      <c r="AP225" s="1">
        <v>1.0192826086956517</v>
      </c>
    </row>
    <row r="226" spans="2:42" x14ac:dyDescent="0.2">
      <c r="B226" s="271" t="s">
        <v>96</v>
      </c>
      <c r="C226" s="320">
        <v>1.0013329162790696</v>
      </c>
      <c r="D226" s="320">
        <v>0.9868406513786695</v>
      </c>
      <c r="E226" s="271">
        <v>155.905</v>
      </c>
      <c r="F226" s="271">
        <v>92.12</v>
      </c>
      <c r="G226" s="271">
        <v>-177.44</v>
      </c>
      <c r="H226" s="271">
        <v>-157.64500000000001</v>
      </c>
      <c r="I226" s="271">
        <v>-43.75</v>
      </c>
      <c r="J226" s="271">
        <v>-44.150000000000006</v>
      </c>
      <c r="K226" s="1">
        <v>-1087.5</v>
      </c>
      <c r="L226" s="1">
        <v>-265</v>
      </c>
      <c r="M226" s="1">
        <v>-1328.7399999999998</v>
      </c>
      <c r="N226" s="271">
        <v>-56.174999999999997</v>
      </c>
      <c r="O226" s="1">
        <v>124.11499999999999</v>
      </c>
      <c r="P226" s="1">
        <v>-241</v>
      </c>
      <c r="Q226" s="1">
        <v>6930</v>
      </c>
      <c r="R226" s="1">
        <v>-719</v>
      </c>
      <c r="S226" s="1">
        <v>2832.5249999999996</v>
      </c>
      <c r="T226" s="1">
        <v>-95</v>
      </c>
      <c r="U226" s="1">
        <v>2003.7550000000001</v>
      </c>
      <c r="V226" s="1">
        <v>2118</v>
      </c>
      <c r="W226" s="1">
        <v>31600</v>
      </c>
      <c r="X226" s="1">
        <v>226.50000000000006</v>
      </c>
      <c r="Y226" s="1">
        <v>9105.375</v>
      </c>
      <c r="Z226" s="1">
        <v>-15</v>
      </c>
      <c r="AA226" s="1">
        <v>-3.5249999999999773</v>
      </c>
      <c r="AB226" s="1">
        <v>10.5</v>
      </c>
      <c r="AC226" s="1">
        <v>11.2</v>
      </c>
      <c r="AD226" s="1">
        <v>130.85</v>
      </c>
      <c r="AE226" s="1">
        <v>506.5</v>
      </c>
      <c r="AF226" s="1">
        <v>1108</v>
      </c>
      <c r="AG226" s="1">
        <v>-207.28115</v>
      </c>
      <c r="AH226" s="1">
        <v>-369.41499999999996</v>
      </c>
      <c r="AI226" s="1">
        <v>756.50000000000432</v>
      </c>
      <c r="AJ226" s="1">
        <v>2000</v>
      </c>
      <c r="AK226" s="1">
        <v>69</v>
      </c>
      <c r="AL226" s="1">
        <v>768.00000000000068</v>
      </c>
      <c r="AM226" s="1">
        <v>160</v>
      </c>
      <c r="AN226" s="1">
        <v>-3715.4999999999918</v>
      </c>
      <c r="AO226" s="1">
        <v>-0.27750000000000163</v>
      </c>
      <c r="AP226" s="1">
        <v>1.1219999999999999</v>
      </c>
    </row>
    <row r="227" spans="2:42" x14ac:dyDescent="0.2">
      <c r="B227" s="271" t="s">
        <v>99</v>
      </c>
      <c r="C227" s="320">
        <v>1.0015939006342334</v>
      </c>
      <c r="D227" s="320">
        <v>0.98542969330219721</v>
      </c>
      <c r="E227" s="271">
        <v>174.37</v>
      </c>
      <c r="F227" s="271">
        <v>101.84</v>
      </c>
      <c r="G227" s="271">
        <v>-197.52500000000001</v>
      </c>
      <c r="H227" s="271">
        <v>-175.32999999999998</v>
      </c>
      <c r="I227" s="271">
        <v>-50.540000000000006</v>
      </c>
      <c r="J227" s="271">
        <v>-48.32</v>
      </c>
      <c r="K227" s="1">
        <v>-1214.78</v>
      </c>
      <c r="L227" s="1">
        <v>-308.89999999999998</v>
      </c>
      <c r="M227" s="1">
        <v>-1476.27</v>
      </c>
      <c r="N227" s="271">
        <v>-62.36</v>
      </c>
      <c r="O227" s="1">
        <v>122.72021739130435</v>
      </c>
      <c r="P227" s="1">
        <v>-271.08695652173913</v>
      </c>
      <c r="Q227" s="1">
        <v>7761.652173913044</v>
      </c>
      <c r="R227" s="1">
        <v>-775.3478260869565</v>
      </c>
      <c r="S227" s="1">
        <v>3194.174510869565</v>
      </c>
      <c r="T227" s="1">
        <v>-93.365217391304341</v>
      </c>
      <c r="U227" s="1">
        <v>2167.6680434782611</v>
      </c>
      <c r="V227" s="1">
        <v>2316.8782608695651</v>
      </c>
      <c r="W227" s="1">
        <v>34957.391304347824</v>
      </c>
      <c r="X227" s="1">
        <v>250.36363636363618</v>
      </c>
      <c r="Y227" s="1">
        <v>10323.191576086956</v>
      </c>
      <c r="Z227" s="1">
        <v>-15.695652173913043</v>
      </c>
      <c r="AA227" s="1">
        <v>-4.3980434782608828</v>
      </c>
      <c r="AB227" s="1">
        <v>12.586956521739131</v>
      </c>
      <c r="AC227" s="1">
        <v>12.530434782608694</v>
      </c>
      <c r="AD227" s="1">
        <v>142.57173913043479</v>
      </c>
      <c r="AE227" s="1">
        <v>582.1521739130435</v>
      </c>
      <c r="AF227" s="1">
        <v>1234.4347826086957</v>
      </c>
      <c r="AG227" s="1">
        <v>-218.60374130434781</v>
      </c>
      <c r="AH227" s="1">
        <v>-424.82543478260868</v>
      </c>
      <c r="AI227" s="1">
        <v>822.93478260869961</v>
      </c>
      <c r="AJ227" s="1">
        <v>2168.1</v>
      </c>
      <c r="AK227" s="1">
        <v>82.810526315789474</v>
      </c>
      <c r="AL227" s="1">
        <v>848.69565217391346</v>
      </c>
      <c r="AM227" s="1">
        <v>197.05263157894737</v>
      </c>
      <c r="AN227" s="1">
        <v>-2115.4999999999927</v>
      </c>
      <c r="AO227" s="1">
        <v>-0.29871739130434943</v>
      </c>
      <c r="AP227" s="1">
        <v>1.2080869565217398</v>
      </c>
    </row>
    <row r="228" spans="2:42" x14ac:dyDescent="0.2">
      <c r="B228" s="271" t="s">
        <v>101</v>
      </c>
      <c r="C228" s="320">
        <v>1.0018678774605492</v>
      </c>
      <c r="D228" s="320">
        <v>0.98405256059600044</v>
      </c>
      <c r="E228" s="271">
        <v>192.60499999999999</v>
      </c>
      <c r="F228" s="271">
        <v>111.77000000000001</v>
      </c>
      <c r="G228" s="271">
        <v>-218.25</v>
      </c>
      <c r="H228" s="271">
        <v>-192.57999999999998</v>
      </c>
      <c r="I228" s="271">
        <v>-56.349999999999994</v>
      </c>
      <c r="J228" s="271">
        <v>-52.325000000000003</v>
      </c>
      <c r="K228" s="1">
        <v>-1335</v>
      </c>
      <c r="L228" s="1">
        <v>-355</v>
      </c>
      <c r="M228" s="1">
        <v>-1620.91</v>
      </c>
      <c r="N228" s="271">
        <v>-68.25</v>
      </c>
      <c r="O228" s="1">
        <v>121.4561956521739</v>
      </c>
      <c r="P228" s="1">
        <v>-298.35326086956525</v>
      </c>
      <c r="Q228" s="1">
        <v>8515.3369565217399</v>
      </c>
      <c r="R228" s="1">
        <v>-826.41304347826087</v>
      </c>
      <c r="S228" s="1">
        <v>3501.0286413043477</v>
      </c>
      <c r="T228" s="1">
        <v>-91.883695652173913</v>
      </c>
      <c r="U228" s="1">
        <v>2316.2142391304351</v>
      </c>
      <c r="V228" s="1">
        <v>2497.1116847826088</v>
      </c>
      <c r="W228" s="1">
        <v>37806.086956521736</v>
      </c>
      <c r="X228" s="1">
        <v>275.07954545454504</v>
      </c>
      <c r="Y228" s="1">
        <v>11356.490489130436</v>
      </c>
      <c r="Z228" s="1">
        <v>-16.326086956521738</v>
      </c>
      <c r="AA228" s="1">
        <v>-5.1892391304348298</v>
      </c>
      <c r="AB228" s="1">
        <v>14.478260869565217</v>
      </c>
      <c r="AC228" s="1">
        <v>13.736141304347825</v>
      </c>
      <c r="AD228" s="1">
        <v>153.1945652173913</v>
      </c>
      <c r="AE228" s="1">
        <v>650.71195652173913</v>
      </c>
      <c r="AF228" s="1">
        <v>1349.016304347826</v>
      </c>
      <c r="AG228" s="1">
        <v>-228.86483967391302</v>
      </c>
      <c r="AH228" s="1">
        <v>-475.04114130434783</v>
      </c>
      <c r="AI228" s="1">
        <v>883.14130434782987</v>
      </c>
      <c r="AJ228" s="1">
        <v>2331.6</v>
      </c>
      <c r="AK228" s="1">
        <v>95.326315789473682</v>
      </c>
      <c r="AL228" s="1">
        <v>921.82608695652198</v>
      </c>
      <c r="AM228" s="1">
        <v>230.63157894736844</v>
      </c>
      <c r="AN228" s="1">
        <v>-665.49999999999409</v>
      </c>
      <c r="AO228" s="1">
        <v>-0.31794565217391463</v>
      </c>
      <c r="AP228" s="1">
        <v>1.28113043478261</v>
      </c>
    </row>
    <row r="229" spans="2:42" x14ac:dyDescent="0.2">
      <c r="B229" s="271" t="s">
        <v>138</v>
      </c>
      <c r="C229" s="320">
        <v>1.0021212927907421</v>
      </c>
      <c r="D229" s="320">
        <v>0.98180009118633993</v>
      </c>
      <c r="E229" s="271">
        <v>220.155</v>
      </c>
      <c r="F229" s="271">
        <v>131.23500000000001</v>
      </c>
      <c r="G229" s="271">
        <v>-247.07999999999998</v>
      </c>
      <c r="H229" s="271">
        <v>-223.64999999999998</v>
      </c>
      <c r="I229" s="271">
        <v>-63.45</v>
      </c>
      <c r="J229" s="271">
        <v>-56.55</v>
      </c>
      <c r="K229" s="1">
        <v>-1522.33</v>
      </c>
      <c r="L229" s="1">
        <v>-410</v>
      </c>
      <c r="M229" s="1">
        <v>-1831.25</v>
      </c>
      <c r="N229" s="271">
        <v>-75.525000000000006</v>
      </c>
      <c r="O229" s="1">
        <v>120.10499999999999</v>
      </c>
      <c r="P229" s="1">
        <v>-327.5</v>
      </c>
      <c r="Q229" s="1">
        <v>9321</v>
      </c>
      <c r="R229" s="1">
        <v>-881</v>
      </c>
      <c r="S229" s="1">
        <v>3840.76</v>
      </c>
      <c r="T229" s="1">
        <v>-90.3</v>
      </c>
      <c r="U229" s="1">
        <v>2475.0050000000001</v>
      </c>
      <c r="V229" s="1">
        <v>2689.7750000000001</v>
      </c>
      <c r="W229" s="1">
        <v>40960</v>
      </c>
      <c r="X229" s="1">
        <v>301.49999999999932</v>
      </c>
      <c r="Y229" s="1">
        <v>12500.5</v>
      </c>
      <c r="Z229" s="1">
        <v>-17</v>
      </c>
      <c r="AA229" s="1">
        <v>-6.0350000000000819</v>
      </c>
      <c r="AB229" s="1">
        <v>16.5</v>
      </c>
      <c r="AC229" s="1">
        <v>15.024999999999999</v>
      </c>
      <c r="AD229" s="1">
        <v>164.55</v>
      </c>
      <c r="AE229" s="1">
        <v>724</v>
      </c>
      <c r="AF229" s="1">
        <v>1471.5</v>
      </c>
      <c r="AG229" s="1">
        <v>-239.83359999999999</v>
      </c>
      <c r="AH229" s="1">
        <v>-528.72</v>
      </c>
      <c r="AI229" s="1">
        <v>947.50000000000341</v>
      </c>
      <c r="AJ229" s="1">
        <v>2504.35</v>
      </c>
      <c r="AK229" s="1">
        <v>110</v>
      </c>
      <c r="AL229" s="1">
        <v>1000</v>
      </c>
      <c r="AM229" s="1">
        <v>270</v>
      </c>
      <c r="AN229" s="1">
        <v>1034.500000000005</v>
      </c>
      <c r="AO229" s="1">
        <v>-0.33850000000000158</v>
      </c>
      <c r="AP229" s="1">
        <v>1.3620000000000019</v>
      </c>
    </row>
    <row r="230" spans="2:42" x14ac:dyDescent="0.2">
      <c r="B230" s="271" t="s">
        <v>122</v>
      </c>
      <c r="C230" s="320">
        <v>1.0028107214826614</v>
      </c>
      <c r="D230" s="320">
        <v>0.97699773327526951</v>
      </c>
      <c r="E230" s="271">
        <v>281.5</v>
      </c>
      <c r="F230" s="271">
        <v>167.33</v>
      </c>
      <c r="G230" s="271">
        <v>-314.5</v>
      </c>
      <c r="H230" s="271">
        <v>-286</v>
      </c>
      <c r="I230" s="271">
        <v>-83.465000000000003</v>
      </c>
      <c r="J230" s="271">
        <v>-66.754999999999995</v>
      </c>
      <c r="K230" s="1">
        <v>-1908.7049999999999</v>
      </c>
      <c r="L230" s="1">
        <v>-549.54999999999995</v>
      </c>
      <c r="M230" s="1">
        <v>-2280.17</v>
      </c>
      <c r="N230" s="271">
        <v>-94.525000000000006</v>
      </c>
      <c r="O230" s="1">
        <v>116.18217391304346</v>
      </c>
      <c r="P230" s="1">
        <v>-412.11956521739131</v>
      </c>
      <c r="Q230" s="1">
        <v>11562.195652173912</v>
      </c>
      <c r="R230" s="1">
        <v>-1032.3858695652175</v>
      </c>
      <c r="S230" s="1">
        <v>4844.9014364640889</v>
      </c>
      <c r="T230" s="1">
        <v>-68.215760869565216</v>
      </c>
      <c r="U230" s="1">
        <v>2936.0104347826091</v>
      </c>
      <c r="V230" s="1">
        <v>3229.920516304348</v>
      </c>
      <c r="W230" s="1">
        <v>49732.24033149171</v>
      </c>
      <c r="X230" s="1">
        <v>369.36684782608643</v>
      </c>
      <c r="Y230" s="1">
        <v>15853.770718232045</v>
      </c>
      <c r="Z230" s="1">
        <v>-22.815760869565217</v>
      </c>
      <c r="AA230" s="1">
        <v>-8.5662500000000605</v>
      </c>
      <c r="AB230" s="1">
        <v>22.369565217391305</v>
      </c>
      <c r="AC230" s="1">
        <v>17.722513812154695</v>
      </c>
      <c r="AD230" s="1">
        <v>194.35939226519338</v>
      </c>
      <c r="AE230" s="1">
        <v>936.77173913043475</v>
      </c>
      <c r="AF230" s="1">
        <v>1765.8342391304348</v>
      </c>
      <c r="AG230" s="1">
        <v>-271.64331739130432</v>
      </c>
      <c r="AH230" s="1">
        <v>-702.98527173913044</v>
      </c>
      <c r="AI230" s="1">
        <v>1134.347826086959</v>
      </c>
      <c r="AJ230" s="1">
        <v>3023.9</v>
      </c>
      <c r="AK230" s="1">
        <v>124.3013698630137</v>
      </c>
      <c r="AL230" s="1">
        <v>1226.9565217391298</v>
      </c>
      <c r="AM230" s="1">
        <v>418.12167123287674</v>
      </c>
      <c r="AN230" s="1">
        <v>5384.5000000000009</v>
      </c>
      <c r="AO230" s="1">
        <v>-0.38374456521739297</v>
      </c>
      <c r="AP230" s="1">
        <v>1.5407671232876725</v>
      </c>
    </row>
    <row r="231" spans="2:42" x14ac:dyDescent="0.2">
      <c r="B231" s="271" t="s">
        <v>133</v>
      </c>
      <c r="C231" s="320">
        <v>1.0034597102582539</v>
      </c>
      <c r="D231" s="320">
        <v>0.97178594842788657</v>
      </c>
      <c r="E231" s="271">
        <v>347.70499999999998</v>
      </c>
      <c r="F231" s="271">
        <v>207.28</v>
      </c>
      <c r="G231" s="271">
        <v>-377.5</v>
      </c>
      <c r="H231" s="271">
        <v>-353.85</v>
      </c>
      <c r="I231" s="271">
        <v>-105.25</v>
      </c>
      <c r="J231" s="271">
        <v>-77.55</v>
      </c>
      <c r="K231" s="1">
        <v>-2328.0749999999998</v>
      </c>
      <c r="L231" s="1">
        <v>-736.25</v>
      </c>
      <c r="M231" s="1">
        <v>-2763.25</v>
      </c>
      <c r="N231" s="271">
        <v>-114.53</v>
      </c>
      <c r="O231" s="1">
        <v>112.2157608695652</v>
      </c>
      <c r="P231" s="1">
        <v>-497.67934782608694</v>
      </c>
      <c r="Q231" s="1">
        <v>13828.29347826087</v>
      </c>
      <c r="R231" s="1">
        <v>-1185.453804347826</v>
      </c>
      <c r="S231" s="1">
        <v>5860.2000000000007</v>
      </c>
      <c r="T231" s="1">
        <v>-45.886141304347824</v>
      </c>
      <c r="U231" s="1">
        <v>3402.1381521739131</v>
      </c>
      <c r="V231" s="1">
        <v>3776.0676494565214</v>
      </c>
      <c r="W231" s="1">
        <v>58601.95</v>
      </c>
      <c r="X231" s="1">
        <v>437.98777173913004</v>
      </c>
      <c r="Y231" s="1">
        <v>19244.3</v>
      </c>
      <c r="Z231" s="1">
        <v>-28.696141304347822</v>
      </c>
      <c r="AA231" s="1">
        <v>-11.125625000000037</v>
      </c>
      <c r="AB231" s="1">
        <v>28.304347826086957</v>
      </c>
      <c r="AC231" s="1">
        <v>20.45</v>
      </c>
      <c r="AD231" s="1">
        <v>224.5</v>
      </c>
      <c r="AE231" s="1">
        <v>1151.907608695652</v>
      </c>
      <c r="AF231" s="1">
        <v>2063.438858695652</v>
      </c>
      <c r="AG231" s="1">
        <v>-303.80647608695648</v>
      </c>
      <c r="AH231" s="1">
        <v>-864.27334239130425</v>
      </c>
      <c r="AI231" s="1">
        <v>1323.2717391304363</v>
      </c>
      <c r="AJ231" s="1">
        <v>3565</v>
      </c>
      <c r="AK231" s="1">
        <v>139.26027397260273</v>
      </c>
      <c r="AL231" s="1">
        <v>1456.4347826086941</v>
      </c>
      <c r="AM231" s="1">
        <v>573.05353424657528</v>
      </c>
      <c r="AN231" s="1">
        <v>9934.5</v>
      </c>
      <c r="AO231" s="1">
        <v>-0.42949184782608879</v>
      </c>
      <c r="AP231" s="1">
        <v>1.7215205479452063</v>
      </c>
    </row>
    <row r="232" spans="2:42" x14ac:dyDescent="0.2">
      <c r="B232" s="271" t="s">
        <v>148</v>
      </c>
      <c r="C232" s="320">
        <v>1.0045536222350846</v>
      </c>
      <c r="D232" s="320">
        <v>0.9606551948311054</v>
      </c>
      <c r="E232" s="271">
        <v>489.20000000000005</v>
      </c>
      <c r="F232" s="271">
        <v>294.03999999999996</v>
      </c>
      <c r="G232" s="271">
        <v>-526.70000000000005</v>
      </c>
      <c r="H232" s="271">
        <v>-506</v>
      </c>
      <c r="I232" s="271">
        <v>-149.79000000000002</v>
      </c>
      <c r="J232" s="271">
        <v>-99.5</v>
      </c>
      <c r="K232" s="1">
        <v>-3179.45</v>
      </c>
      <c r="L232" s="1">
        <v>-1090.97</v>
      </c>
      <c r="M232" s="1">
        <v>-3675.91</v>
      </c>
      <c r="N232" s="271">
        <v>-157.89999999999998</v>
      </c>
      <c r="O232" s="1">
        <v>104.06499999999997</v>
      </c>
      <c r="P232" s="1">
        <v>-673.5</v>
      </c>
      <c r="Q232" s="1">
        <v>18485</v>
      </c>
      <c r="R232" s="1">
        <v>-1500</v>
      </c>
      <c r="S232" s="1">
        <v>7964.17</v>
      </c>
      <c r="T232" s="1">
        <v>0</v>
      </c>
      <c r="U232" s="1">
        <v>4360.0050000000001</v>
      </c>
      <c r="V232" s="1">
        <v>4898.37</v>
      </c>
      <c r="W232" s="1">
        <v>75230</v>
      </c>
      <c r="X232" s="1">
        <v>578.99999999999989</v>
      </c>
      <c r="Y232" s="1">
        <v>26310.959999999999</v>
      </c>
      <c r="Z232" s="1">
        <v>-40.779999999999994</v>
      </c>
      <c r="AA232" s="1">
        <v>-16.384999999999991</v>
      </c>
      <c r="AB232" s="1">
        <v>40.5</v>
      </c>
      <c r="AC232" s="1">
        <v>23.28</v>
      </c>
      <c r="AD232" s="1">
        <v>268.5</v>
      </c>
      <c r="AE232" s="1">
        <v>1594</v>
      </c>
      <c r="AF232" s="1">
        <v>2675</v>
      </c>
      <c r="AG232" s="1">
        <v>-369.9</v>
      </c>
      <c r="AH232" s="1">
        <v>-1210.9499999999998</v>
      </c>
      <c r="AI232" s="1">
        <v>1711.4999999999998</v>
      </c>
      <c r="AJ232" s="1">
        <v>4654</v>
      </c>
      <c r="AK232" s="1">
        <v>170</v>
      </c>
      <c r="AL232" s="1">
        <v>1927.9999999999973</v>
      </c>
      <c r="AM232" s="1">
        <v>891.43000000000006</v>
      </c>
      <c r="AN232" s="1">
        <v>19284.499999999989</v>
      </c>
      <c r="AO232" s="1">
        <v>-0.52350000000000207</v>
      </c>
      <c r="AP232" s="1">
        <v>2.0869999999999997</v>
      </c>
    </row>
    <row r="233" spans="2:42" x14ac:dyDescent="0.2">
      <c r="B233" s="271" t="s">
        <v>150</v>
      </c>
      <c r="C233" s="320">
        <v>1.0031808942846574</v>
      </c>
      <c r="D233" s="320">
        <v>0.93495193695869083</v>
      </c>
      <c r="E233" s="271">
        <v>782.5</v>
      </c>
      <c r="F233" s="271">
        <v>470.25</v>
      </c>
      <c r="G233" s="271">
        <v>-814.7</v>
      </c>
      <c r="H233" s="271">
        <v>-826</v>
      </c>
      <c r="I233" s="271">
        <v>-237.55</v>
      </c>
      <c r="J233" s="271">
        <v>-146.1</v>
      </c>
      <c r="K233" s="1">
        <v>-4871.4500000000007</v>
      </c>
      <c r="L233" s="1">
        <v>-1792.5</v>
      </c>
      <c r="M233" s="1">
        <v>-5313.7</v>
      </c>
      <c r="N233" s="271">
        <v>-246.75</v>
      </c>
      <c r="O233" s="1">
        <v>88.199347826086907</v>
      </c>
      <c r="P233" s="1">
        <v>-1015.7391304347826</v>
      </c>
      <c r="Q233" s="1">
        <v>27845</v>
      </c>
      <c r="R233" s="1">
        <v>-2200</v>
      </c>
      <c r="S233" s="1">
        <v>12167.75</v>
      </c>
      <c r="T233" s="1">
        <v>70.785178408051237</v>
      </c>
      <c r="U233" s="1">
        <v>6224.5158695652171</v>
      </c>
      <c r="V233" s="1">
        <v>7214.63</v>
      </c>
      <c r="W233" s="1">
        <v>106550</v>
      </c>
      <c r="X233" s="1">
        <v>862.49999999999932</v>
      </c>
      <c r="Y233" s="1">
        <v>40433.649999999994</v>
      </c>
      <c r="Z233" s="1">
        <v>-64.301521739130422</v>
      </c>
      <c r="AA233" s="1">
        <v>-27.985000000000014</v>
      </c>
      <c r="AB233" s="1">
        <v>64.239130434782609</v>
      </c>
      <c r="AC233" s="1">
        <v>32.42</v>
      </c>
      <c r="AD233" s="1">
        <v>386.85</v>
      </c>
      <c r="AE233" s="1">
        <v>2454.5434782608695</v>
      </c>
      <c r="AF233" s="1">
        <v>3678.5</v>
      </c>
      <c r="AG233" s="1">
        <v>-333.82499999999999</v>
      </c>
      <c r="AH233" s="1">
        <v>-1885.7644565217388</v>
      </c>
      <c r="AI233" s="1">
        <v>2467.1956521739094</v>
      </c>
      <c r="AJ233" s="1">
        <v>6690</v>
      </c>
      <c r="AK233" s="1">
        <v>400</v>
      </c>
      <c r="AL233" s="1">
        <v>2845.9130434782555</v>
      </c>
      <c r="AM233" s="1">
        <v>1625</v>
      </c>
      <c r="AN233" s="1">
        <v>37484.499999999978</v>
      </c>
      <c r="AO233" s="1">
        <v>-0.72700000000000031</v>
      </c>
      <c r="AP233" s="1">
        <v>2.8179589041095867</v>
      </c>
    </row>
    <row r="234" spans="2:42" x14ac:dyDescent="0.2">
      <c r="B234" s="271" t="s">
        <v>153</v>
      </c>
      <c r="C234" s="320">
        <v>1.0005017976185346</v>
      </c>
      <c r="D234" s="320">
        <v>0.90892275895797359</v>
      </c>
      <c r="E234" s="271">
        <v>1078.95</v>
      </c>
      <c r="F234" s="271">
        <v>638.5</v>
      </c>
      <c r="G234" s="271">
        <v>-1098.5</v>
      </c>
      <c r="H234" s="271">
        <v>-1137.8000000000002</v>
      </c>
      <c r="I234" s="271">
        <v>-303.14999999999998</v>
      </c>
      <c r="J234" s="271">
        <v>-200</v>
      </c>
      <c r="K234" s="1">
        <v>-6425.9</v>
      </c>
      <c r="L234" s="1">
        <v>-2391.5770919067218</v>
      </c>
      <c r="M234" s="1">
        <v>-6533.4</v>
      </c>
      <c r="N234" s="271">
        <v>-346.5</v>
      </c>
      <c r="O234" s="1">
        <v>72.333695652173844</v>
      </c>
      <c r="P234" s="1">
        <v>-1357.9782608695652</v>
      </c>
      <c r="Q234" s="1">
        <v>38000</v>
      </c>
      <c r="R234" s="1">
        <v>-2900</v>
      </c>
      <c r="S234" s="1">
        <v>16674.665000000001</v>
      </c>
      <c r="T234" s="1">
        <v>141.57035681610247</v>
      </c>
      <c r="U234" s="1">
        <v>8089.0267391304351</v>
      </c>
      <c r="V234" s="1">
        <v>9453</v>
      </c>
      <c r="W234" s="1">
        <v>134510.9</v>
      </c>
      <c r="X234" s="1">
        <v>1133.1282578875166</v>
      </c>
      <c r="Y234" s="1">
        <v>54774.625</v>
      </c>
      <c r="Z234" s="1">
        <v>-87.823043478260857</v>
      </c>
      <c r="AA234" s="1">
        <v>-41.034999999999968</v>
      </c>
      <c r="AB234" s="1">
        <v>87.978260869565219</v>
      </c>
      <c r="AC234" s="1">
        <v>42.65</v>
      </c>
      <c r="AD234" s="1">
        <v>505.20000000000005</v>
      </c>
      <c r="AE234" s="1">
        <v>3315.086956521739</v>
      </c>
      <c r="AF234" s="1">
        <v>4682</v>
      </c>
      <c r="AG234" s="1">
        <v>62.905066117969852</v>
      </c>
      <c r="AH234" s="1">
        <v>-2560.5789130434778</v>
      </c>
      <c r="AI234" s="1">
        <v>3222.8913043478187</v>
      </c>
      <c r="AJ234" s="1">
        <v>8257.4049999999988</v>
      </c>
      <c r="AK234" s="1">
        <v>737.5</v>
      </c>
      <c r="AL234" s="1">
        <v>3763.8260869565138</v>
      </c>
      <c r="AM234" s="1">
        <v>2450</v>
      </c>
      <c r="AN234" s="1">
        <v>55684.499999999956</v>
      </c>
      <c r="AO234" s="1">
        <v>-0.93850000000000122</v>
      </c>
      <c r="AP234" s="1">
        <v>3.5409726027397217</v>
      </c>
    </row>
    <row r="235" spans="2:42" x14ac:dyDescent="0.2">
      <c r="B235" s="271" t="s">
        <v>156</v>
      </c>
      <c r="C235" s="320">
        <v>0.99516520814786946</v>
      </c>
      <c r="D235" s="320">
        <v>0.88253072170723512</v>
      </c>
      <c r="E235" s="271">
        <v>1366.8000000000002</v>
      </c>
      <c r="F235" s="271">
        <v>792.75</v>
      </c>
      <c r="G235" s="271">
        <v>-1374.1</v>
      </c>
      <c r="H235" s="271">
        <v>-1455</v>
      </c>
      <c r="I235" s="271">
        <v>-358.1</v>
      </c>
      <c r="J235" s="271">
        <v>-262.14999999999998</v>
      </c>
      <c r="K235" s="1">
        <v>-7859.2749999999996</v>
      </c>
      <c r="L235" s="1">
        <v>-2992.3</v>
      </c>
      <c r="M235" s="1">
        <v>-7481.4250000000002</v>
      </c>
      <c r="N235" s="271">
        <v>-454.5</v>
      </c>
      <c r="O235" s="1">
        <v>56.424456521739046</v>
      </c>
      <c r="P235" s="1">
        <v>-1701.1576086956522</v>
      </c>
      <c r="Q235" s="1">
        <v>48940</v>
      </c>
      <c r="R235" s="1">
        <v>-3601.9230769230771</v>
      </c>
      <c r="S235" s="1">
        <v>21370.949999999997</v>
      </c>
      <c r="T235" s="1">
        <v>212.55</v>
      </c>
      <c r="U235" s="1">
        <v>9958.659891304349</v>
      </c>
      <c r="V235" s="1">
        <v>11801</v>
      </c>
      <c r="W235" s="1">
        <v>162623.75</v>
      </c>
      <c r="X235" s="1">
        <v>1404.4999999999995</v>
      </c>
      <c r="Y235" s="1">
        <v>70087.60500000001</v>
      </c>
      <c r="Z235" s="1">
        <v>-111.40918478260868</v>
      </c>
      <c r="AA235" s="1">
        <v>-55.634999999999991</v>
      </c>
      <c r="AB235" s="1">
        <v>111.78260869565217</v>
      </c>
      <c r="AC235" s="1">
        <v>52.32</v>
      </c>
      <c r="AD235" s="1">
        <v>623.87513736263747</v>
      </c>
      <c r="AE235" s="1">
        <v>4177.9945652173919</v>
      </c>
      <c r="AF235" s="1">
        <v>5688.256868131868</v>
      </c>
      <c r="AG235" s="1">
        <v>460.72505000000001</v>
      </c>
      <c r="AH235" s="1">
        <v>-3237.2472554347814</v>
      </c>
      <c r="AI235" s="1">
        <v>3980.6630434782501</v>
      </c>
      <c r="AJ235" s="1">
        <v>9716.4549999999999</v>
      </c>
      <c r="AK235" s="1">
        <v>1150</v>
      </c>
      <c r="AL235" s="1">
        <v>4684.260869565207</v>
      </c>
      <c r="AM235" s="1">
        <v>3350</v>
      </c>
      <c r="AN235" s="1">
        <v>73934.499999999956</v>
      </c>
      <c r="AO235" s="1">
        <v>-1.088000000000001</v>
      </c>
      <c r="AP235" s="1">
        <v>4.2639863013698562</v>
      </c>
    </row>
    <row r="236" spans="2:42" x14ac:dyDescent="0.2">
      <c r="B236" s="271" t="s">
        <v>157</v>
      </c>
      <c r="C236" s="320">
        <v>0.98713635949892964</v>
      </c>
      <c r="D236" s="320">
        <v>0.85600800450162717</v>
      </c>
      <c r="E236" s="271">
        <v>1640.9</v>
      </c>
      <c r="F236" s="271">
        <v>929.875</v>
      </c>
      <c r="G236" s="271">
        <v>-1633.5</v>
      </c>
      <c r="H236" s="271">
        <v>-1798.5</v>
      </c>
      <c r="I236" s="271">
        <v>-401.1</v>
      </c>
      <c r="J236" s="271">
        <v>-325.10000000000002</v>
      </c>
      <c r="K236" s="1">
        <v>-9292.65</v>
      </c>
      <c r="L236" s="1">
        <v>-3550.5</v>
      </c>
      <c r="M236" s="1">
        <v>-8314</v>
      </c>
      <c r="N236" s="271">
        <v>-631</v>
      </c>
      <c r="O236" s="1">
        <v>40.515217391304247</v>
      </c>
      <c r="P236" s="1">
        <v>-2044.3369565217392</v>
      </c>
      <c r="Q236" s="1">
        <v>59880</v>
      </c>
      <c r="R236" s="1">
        <v>-4303.8461538461543</v>
      </c>
      <c r="S236" s="1">
        <v>26080.136881868126</v>
      </c>
      <c r="T236" s="1">
        <v>283.52964318389758</v>
      </c>
      <c r="U236" s="1">
        <v>11828.293043478261</v>
      </c>
      <c r="V236" s="1">
        <v>13918.7</v>
      </c>
      <c r="W236" s="1">
        <v>186895.91037219486</v>
      </c>
      <c r="X236" s="1">
        <v>1675.8717421124825</v>
      </c>
      <c r="Y236" s="1">
        <v>85400.585000000021</v>
      </c>
      <c r="Z236" s="1">
        <v>-134.99532608695648</v>
      </c>
      <c r="AA236" s="1">
        <v>-70.235000000000014</v>
      </c>
      <c r="AB236" s="1">
        <v>135.58695652173913</v>
      </c>
      <c r="AC236" s="1">
        <v>61.99</v>
      </c>
      <c r="AD236" s="1">
        <v>742.5502747252749</v>
      </c>
      <c r="AE236" s="1">
        <v>5040.902173913043</v>
      </c>
      <c r="AF236" s="1">
        <v>6694.5137362637361</v>
      </c>
      <c r="AG236" s="1">
        <v>858.54503388203011</v>
      </c>
      <c r="AH236" s="1">
        <v>-3913.915597826086</v>
      </c>
      <c r="AI236" s="1">
        <v>4738.4347826086814</v>
      </c>
      <c r="AJ236" s="1">
        <v>11175.505000000001</v>
      </c>
      <c r="AK236" s="1">
        <v>1562.5</v>
      </c>
      <c r="AL236" s="1">
        <v>5604.6956521739003</v>
      </c>
      <c r="AM236" s="1">
        <v>4333.4583901773531</v>
      </c>
      <c r="AN236" s="1">
        <v>92184.499999999942</v>
      </c>
      <c r="AO236" s="1">
        <v>-1.2375000000000007</v>
      </c>
      <c r="AP236" s="1">
        <v>4.990972602739717</v>
      </c>
    </row>
    <row r="237" spans="2:42" x14ac:dyDescent="0.2">
      <c r="B237" s="271" t="s">
        <v>158</v>
      </c>
      <c r="C237" s="320">
        <v>0.97644667538348706</v>
      </c>
      <c r="D237" s="320">
        <v>0.82964780519886794</v>
      </c>
      <c r="E237" s="271">
        <v>1893</v>
      </c>
      <c r="F237" s="271">
        <v>1067</v>
      </c>
      <c r="G237" s="271">
        <v>-1894</v>
      </c>
      <c r="H237" s="271">
        <v>-2068.9</v>
      </c>
      <c r="I237" s="271">
        <v>-426.29999999999995</v>
      </c>
      <c r="J237" s="271">
        <v>-387.6</v>
      </c>
      <c r="K237" s="1">
        <v>-10726.025</v>
      </c>
      <c r="L237" s="1">
        <v>-4300</v>
      </c>
      <c r="M237" s="1">
        <v>-8865</v>
      </c>
      <c r="N237" s="271">
        <v>-700.5</v>
      </c>
      <c r="O237" s="1">
        <v>24.605978260869449</v>
      </c>
      <c r="P237" s="1">
        <v>-2387.516304347826</v>
      </c>
      <c r="Q237" s="1">
        <v>70820</v>
      </c>
      <c r="R237" s="1">
        <v>-5005.7692307692305</v>
      </c>
      <c r="S237" s="1">
        <v>30789.323763736254</v>
      </c>
      <c r="T237" s="1">
        <v>354.50928636779508</v>
      </c>
      <c r="U237" s="1">
        <v>13697.926195652173</v>
      </c>
      <c r="V237" s="1">
        <v>16036.400000000001</v>
      </c>
      <c r="W237" s="1">
        <v>211168.0707443897</v>
      </c>
      <c r="X237" s="1">
        <v>1947.2434842249654</v>
      </c>
      <c r="Y237" s="1">
        <v>100713.56500000003</v>
      </c>
      <c r="Z237" s="1">
        <v>-158.58146739130433</v>
      </c>
      <c r="AA237" s="1">
        <v>-84.835000000000036</v>
      </c>
      <c r="AB237" s="1">
        <v>159.39130434782609</v>
      </c>
      <c r="AC237" s="1">
        <v>71.66</v>
      </c>
      <c r="AD237" s="1">
        <v>861.22541208791222</v>
      </c>
      <c r="AE237" s="1">
        <v>5903.809782608696</v>
      </c>
      <c r="AF237" s="1">
        <v>7700.7706043956041</v>
      </c>
      <c r="AG237" s="1">
        <v>1256.3650177640604</v>
      </c>
      <c r="AH237" s="1">
        <v>-4590.5839402173897</v>
      </c>
      <c r="AI237" s="1">
        <v>5496.2065217391118</v>
      </c>
      <c r="AJ237" s="1">
        <v>12634.555000000002</v>
      </c>
      <c r="AK237" s="1">
        <v>1978.3904109589041</v>
      </c>
      <c r="AL237" s="1">
        <v>6525.1304347825935</v>
      </c>
      <c r="AM237" s="1">
        <v>5325</v>
      </c>
      <c r="AN237" s="1">
        <v>110434.49999999994</v>
      </c>
      <c r="AO237" s="1">
        <v>-1.3870000000000005</v>
      </c>
      <c r="AP237" s="1">
        <v>5.713986301369852</v>
      </c>
    </row>
    <row r="238" spans="2:42" x14ac:dyDescent="0.2">
      <c r="B238" s="271" t="s">
        <v>160</v>
      </c>
      <c r="C238" s="320">
        <v>0.96337221643825754</v>
      </c>
      <c r="D238" s="320">
        <v>0.8040693612290466</v>
      </c>
      <c r="E238" s="271">
        <v>2118.6999999999998</v>
      </c>
      <c r="F238" s="271">
        <v>1184.0145985401459</v>
      </c>
      <c r="G238" s="271">
        <v>-2125</v>
      </c>
      <c r="H238" s="271">
        <v>-2368.830054644809</v>
      </c>
      <c r="I238" s="271">
        <v>-445.29999999999995</v>
      </c>
      <c r="J238" s="271">
        <v>-459.4</v>
      </c>
      <c r="K238" s="1">
        <v>-12171.181164383561</v>
      </c>
      <c r="L238" s="1">
        <v>-4381.6000000000004</v>
      </c>
      <c r="M238" s="1">
        <v>-9072</v>
      </c>
      <c r="N238" s="271">
        <v>-827</v>
      </c>
      <c r="O238" s="1">
        <v>8.5659782608694144</v>
      </c>
      <c r="P238" s="1">
        <v>-2733.516304347826</v>
      </c>
      <c r="Q238" s="1">
        <v>81849.917808219179</v>
      </c>
      <c r="R238" s="1">
        <v>-5713.4615384615381</v>
      </c>
      <c r="S238" s="1">
        <v>35550.118173076909</v>
      </c>
      <c r="T238" s="1">
        <v>426.07232387923153</v>
      </c>
      <c r="U238" s="1">
        <v>15582.926195652173</v>
      </c>
      <c r="V238" s="1">
        <v>18163.992335766423</v>
      </c>
      <c r="W238" s="1">
        <v>235706.22739463602</v>
      </c>
      <c r="X238" s="1">
        <v>2220.8456790123455</v>
      </c>
      <c r="Y238" s="1">
        <v>116152.40510958909</v>
      </c>
      <c r="Z238" s="1">
        <v>-182.3614673913043</v>
      </c>
      <c r="AA238" s="1">
        <v>-99.555000000000064</v>
      </c>
      <c r="AB238" s="1">
        <v>183.39130434782609</v>
      </c>
      <c r="AC238" s="1">
        <v>81.409479452054796</v>
      </c>
      <c r="AD238" s="1">
        <v>980.87596153846175</v>
      </c>
      <c r="AE238" s="1">
        <v>6773.809782608696</v>
      </c>
      <c r="AF238" s="1">
        <v>8715.298076923078</v>
      </c>
      <c r="AG238" s="1">
        <v>1657.4547549382719</v>
      </c>
      <c r="AH238" s="1">
        <v>-5272.8139402173902</v>
      </c>
      <c r="AI238" s="1">
        <v>6260.2065217391091</v>
      </c>
      <c r="AJ238" s="1">
        <v>14105.597191780826</v>
      </c>
      <c r="AK238" s="1">
        <v>2390.8904109589039</v>
      </c>
      <c r="AL238" s="1">
        <v>7453.130434782589</v>
      </c>
      <c r="AM238" s="1">
        <v>6243.3440073193051</v>
      </c>
      <c r="AN238" s="1">
        <v>128834.49999999993</v>
      </c>
      <c r="AO238" s="1">
        <v>-1.537728767123288</v>
      </c>
      <c r="AP238" s="1">
        <v>6.4469315068493023</v>
      </c>
    </row>
    <row r="239" spans="2:42" x14ac:dyDescent="0.2">
      <c r="B239" s="271" t="s">
        <v>162</v>
      </c>
      <c r="C239" s="320">
        <v>0.94815727791223359</v>
      </c>
      <c r="D239" s="320">
        <v>0.77900871411924066</v>
      </c>
      <c r="E239" s="271">
        <v>2320</v>
      </c>
      <c r="F239" s="271">
        <v>1299.757299270073</v>
      </c>
      <c r="G239" s="271">
        <v>-2351</v>
      </c>
      <c r="H239" s="271">
        <v>-2665.5</v>
      </c>
      <c r="I239" s="271">
        <v>-444.20000000000005</v>
      </c>
      <c r="J239" s="271">
        <v>-533.79999999999995</v>
      </c>
      <c r="K239" s="1">
        <v>-13600.629109589041</v>
      </c>
      <c r="L239" s="1">
        <v>-4771.1000000000004</v>
      </c>
      <c r="M239" s="1">
        <v>-9431</v>
      </c>
      <c r="N239" s="271">
        <v>-935</v>
      </c>
      <c r="O239" s="1">
        <v>-7.2996739130436623</v>
      </c>
      <c r="P239" s="1">
        <v>-3075.7554347826085</v>
      </c>
      <c r="Q239" s="1">
        <v>92759.945205479453</v>
      </c>
      <c r="R239" s="1">
        <v>-6413.4615384615381</v>
      </c>
      <c r="S239" s="1">
        <v>40246.403173076906</v>
      </c>
      <c r="T239" s="1">
        <v>496.85750228728273</v>
      </c>
      <c r="U239" s="1">
        <v>17447.437065217393</v>
      </c>
      <c r="V239" s="1">
        <v>20268.458667883213</v>
      </c>
      <c r="W239" s="1">
        <v>259911.88869731798</v>
      </c>
      <c r="X239" s="1">
        <v>2491.4739368998626</v>
      </c>
      <c r="Y239" s="1">
        <v>131423.43173972607</v>
      </c>
      <c r="Z239" s="1">
        <v>-205.88298913043474</v>
      </c>
      <c r="AA239" s="1">
        <v>-114.11500000000008</v>
      </c>
      <c r="AB239" s="1">
        <v>207.13043478260869</v>
      </c>
      <c r="AC239" s="1">
        <v>91.05298630136987</v>
      </c>
      <c r="AD239" s="1">
        <v>1099.2259615384617</v>
      </c>
      <c r="AE239" s="1">
        <v>7634.353260869565</v>
      </c>
      <c r="AF239" s="1">
        <v>9718.798076923078</v>
      </c>
      <c r="AG239" s="1">
        <v>2054.1848210562421</v>
      </c>
      <c r="AH239" s="1">
        <v>-5947.6283967391291</v>
      </c>
      <c r="AI239" s="1">
        <v>7015.9021739130176</v>
      </c>
      <c r="AJ239" s="1">
        <v>15560.649794520552</v>
      </c>
      <c r="AK239" s="1">
        <v>2802.2602739726026</v>
      </c>
      <c r="AL239" s="1">
        <v>8371.0434782608481</v>
      </c>
      <c r="AM239" s="1">
        <v>7159.1720036596525</v>
      </c>
      <c r="AN239" s="1">
        <v>147034.49999999988</v>
      </c>
      <c r="AO239" s="1">
        <v>-1.686819178082192</v>
      </c>
      <c r="AP239" s="1">
        <v>7.1699452054794364</v>
      </c>
    </row>
    <row r="240" spans="2:42" x14ac:dyDescent="0.2">
      <c r="B240" s="287" t="s">
        <v>164</v>
      </c>
      <c r="C240" s="321">
        <v>0.9318235292924244</v>
      </c>
      <c r="D240" s="321">
        <v>0.75474568099188144</v>
      </c>
      <c r="E240" s="271">
        <v>2503.3000000000002</v>
      </c>
      <c r="F240" s="271">
        <v>1415.5</v>
      </c>
      <c r="G240" s="271">
        <v>-2538.5</v>
      </c>
      <c r="H240" s="271">
        <v>-2847.7</v>
      </c>
      <c r="I240" s="271">
        <v>-425.5</v>
      </c>
      <c r="J240" s="271">
        <v>-611.1</v>
      </c>
      <c r="K240" s="1">
        <v>-15030.077054794519</v>
      </c>
      <c r="L240" s="1">
        <v>-5179.3050000000003</v>
      </c>
      <c r="M240" s="1">
        <v>-9496</v>
      </c>
      <c r="N240" s="271">
        <v>-1040</v>
      </c>
      <c r="O240" s="1">
        <v>-23.165326086956711</v>
      </c>
      <c r="P240" s="1">
        <v>-3417.9945652173915</v>
      </c>
      <c r="Q240" s="1">
        <v>103669.97260273973</v>
      </c>
      <c r="R240" s="1">
        <v>-7113.4615384615381</v>
      </c>
      <c r="S240" s="1">
        <v>44942.688173076895</v>
      </c>
      <c r="T240" s="1">
        <v>567.64268069533398</v>
      </c>
      <c r="U240" s="1">
        <v>19311.947934782609</v>
      </c>
      <c r="V240" s="1">
        <v>22372.924999999999</v>
      </c>
      <c r="W240" s="1">
        <v>284117.55</v>
      </c>
      <c r="X240" s="1">
        <v>2762.1021947873796</v>
      </c>
      <c r="Y240" s="1">
        <v>146694.45836986307</v>
      </c>
      <c r="Z240" s="1">
        <v>-229.40451086956517</v>
      </c>
      <c r="AA240" s="1">
        <v>-128.6750000000001</v>
      </c>
      <c r="AB240" s="1">
        <v>230.86956521739131</v>
      </c>
      <c r="AC240" s="1">
        <v>100.69649315068494</v>
      </c>
      <c r="AD240" s="1">
        <v>1217.5759615384618</v>
      </c>
      <c r="AE240" s="1">
        <v>8494.8967391304359</v>
      </c>
      <c r="AF240" s="1">
        <v>10722.298076923078</v>
      </c>
      <c r="AG240" s="1">
        <v>2450.9148871742118</v>
      </c>
      <c r="AH240" s="1">
        <v>-6622.4428532608681</v>
      </c>
      <c r="AI240" s="1">
        <v>7771.5978260869279</v>
      </c>
      <c r="AJ240" s="1">
        <v>17015.70239726028</v>
      </c>
      <c r="AK240" s="1">
        <v>3213.6301369863013</v>
      </c>
      <c r="AL240" s="1">
        <v>9288.9565217391046</v>
      </c>
      <c r="AM240" s="1">
        <v>8075</v>
      </c>
      <c r="AN240" s="1">
        <v>165234.49999999985</v>
      </c>
      <c r="AO240" s="1">
        <v>-1.8359095890410955</v>
      </c>
      <c r="AP240" s="1">
        <v>7.8929589041095713</v>
      </c>
    </row>
    <row r="241" spans="3:42" x14ac:dyDescent="0.2">
      <c r="C241" s="318" t="s">
        <v>245</v>
      </c>
      <c r="D241" s="270"/>
      <c r="E241" s="270"/>
      <c r="F241" s="270"/>
      <c r="G241" s="270"/>
      <c r="H241" s="270"/>
      <c r="I241" s="270"/>
      <c r="J241" s="270"/>
      <c r="K241" s="270"/>
      <c r="L241" s="270"/>
      <c r="M241" s="270"/>
      <c r="N241" s="270"/>
      <c r="O241" s="270"/>
      <c r="P241" s="270"/>
      <c r="Q241" s="270"/>
      <c r="R241" s="270"/>
      <c r="S241" s="270"/>
      <c r="T241" s="270"/>
      <c r="U241" s="270"/>
      <c r="V241" s="270"/>
      <c r="W241" s="270"/>
      <c r="X241" s="270"/>
      <c r="Y241" s="270"/>
      <c r="Z241" s="270"/>
      <c r="AA241" s="270"/>
      <c r="AB241" s="270"/>
      <c r="AC241" s="270"/>
      <c r="AD241" s="270"/>
      <c r="AE241" s="270"/>
      <c r="AF241" s="270"/>
      <c r="AG241" s="270"/>
      <c r="AH241" s="270"/>
      <c r="AI241" s="270"/>
      <c r="AJ241" s="270"/>
      <c r="AK241" s="270"/>
      <c r="AL241" s="270"/>
      <c r="AM241" s="270"/>
      <c r="AN241" s="270"/>
      <c r="AO241" s="270"/>
      <c r="AP241" s="270"/>
    </row>
    <row r="242" spans="3:42" x14ac:dyDescent="0.2">
      <c r="C242" s="1" t="s">
        <v>123</v>
      </c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</row>
    <row r="243" spans="3:42" x14ac:dyDescent="0.2">
      <c r="C243" s="1" t="s">
        <v>23</v>
      </c>
      <c r="D243" s="271">
        <f t="shared" ref="D243:AP243" si="118">100*(1/D21-1)/((D53-today)/D$18)</f>
        <v>-0.36999989999841887</v>
      </c>
      <c r="E243" s="271">
        <f t="shared" si="118"/>
        <v>0.77999999999711633</v>
      </c>
      <c r="F243" s="271">
        <f t="shared" si="118"/>
        <v>0.22999999999750997</v>
      </c>
      <c r="G243" s="271">
        <f t="shared" si="118"/>
        <v>-0.85000000000556852</v>
      </c>
      <c r="H243" s="271">
        <f t="shared" si="118"/>
        <v>9.9999999960687092E-3</v>
      </c>
      <c r="I243" s="271">
        <f t="shared" si="118"/>
        <v>0.42500000000078586</v>
      </c>
      <c r="J243" s="271">
        <f t="shared" si="118"/>
        <v>1.7749999999976396</v>
      </c>
      <c r="K243" s="271">
        <f t="shared" si="118"/>
        <v>4.9999999996330757E-2</v>
      </c>
      <c r="L243" s="271">
        <f t="shared" si="118"/>
        <v>0.22499999999947562</v>
      </c>
      <c r="M243" s="271">
        <f t="shared" si="118"/>
        <v>-0.69499999999855788</v>
      </c>
      <c r="N243" s="271">
        <f t="shared" si="118"/>
        <v>1.7549999999975086</v>
      </c>
      <c r="O243" s="271">
        <f t="shared" si="118"/>
        <v>1.4000000000011781</v>
      </c>
      <c r="P243" s="271">
        <f t="shared" si="118"/>
        <v>-0.32999999999816509</v>
      </c>
      <c r="Q243" s="271">
        <f t="shared" si="118"/>
        <v>6.8250000000027455</v>
      </c>
      <c r="R243" s="271">
        <f t="shared" si="118"/>
        <v>8.4999999998558451E-2</v>
      </c>
      <c r="S243" s="271">
        <f t="shared" si="118"/>
        <v>9.4999999999982876</v>
      </c>
      <c r="T243" s="271">
        <f t="shared" si="118"/>
        <v>0.13500000000288281</v>
      </c>
      <c r="U243" s="271">
        <f t="shared" si="118"/>
        <v>0.9999999999985576</v>
      </c>
      <c r="V243" s="271">
        <f t="shared" si="118"/>
        <v>12.125733642000647</v>
      </c>
      <c r="W243" s="271">
        <f t="shared" si="118"/>
        <v>10.100000000002218</v>
      </c>
      <c r="X243" s="271">
        <f t="shared" si="118"/>
        <v>6.1750000000024841</v>
      </c>
      <c r="Y243" s="271">
        <f t="shared" si="118"/>
        <v>7.1063497379979523</v>
      </c>
      <c r="Z243" s="271">
        <f t="shared" si="118"/>
        <v>3.0566542999990176</v>
      </c>
      <c r="AA243" s="271">
        <f t="shared" si="118"/>
        <v>0.49249999999823046</v>
      </c>
      <c r="AB243" s="271">
        <f t="shared" si="118"/>
        <v>2.3015145410036908</v>
      </c>
      <c r="AC243" s="271">
        <f t="shared" si="118"/>
        <v>3.3610000000008355</v>
      </c>
      <c r="AD243" s="271">
        <f t="shared" si="118"/>
        <v>6.6855000000032305</v>
      </c>
      <c r="AE243" s="271">
        <f t="shared" si="118"/>
        <v>4.1499999999992099</v>
      </c>
      <c r="AF243" s="271">
        <f t="shared" si="118"/>
        <v>4.9359999999971649</v>
      </c>
      <c r="AG243" s="271">
        <f t="shared" si="118"/>
        <v>0.32500000000013074</v>
      </c>
      <c r="AH243" s="271">
        <f t="shared" si="118"/>
        <v>0.10000000000065512</v>
      </c>
      <c r="AI243" s="271">
        <f t="shared" si="118"/>
        <v>2.9749999999975074</v>
      </c>
      <c r="AJ243" s="271">
        <f t="shared" si="118"/>
        <v>0.9999999999985576</v>
      </c>
      <c r="AK243" s="271">
        <f t="shared" si="118"/>
        <v>0.46000000000034902</v>
      </c>
      <c r="AL243" s="271">
        <f t="shared" si="118"/>
        <v>7.5000000000011724</v>
      </c>
      <c r="AM243" s="271">
        <f t="shared" si="118"/>
        <v>0.65000000000026148</v>
      </c>
      <c r="AN243" s="271">
        <f t="shared" si="118"/>
        <v>2.7499999999980318</v>
      </c>
      <c r="AO243" s="271">
        <f t="shared" si="118"/>
        <v>0.15500000000301384</v>
      </c>
      <c r="AP243" s="271">
        <f t="shared" si="118"/>
        <v>1.7505000000008764</v>
      </c>
    </row>
    <row r="244" spans="3:42" x14ac:dyDescent="0.2">
      <c r="C244" s="1" t="s">
        <v>30</v>
      </c>
      <c r="D244" s="271">
        <f t="shared" ref="D244:AP244" si="119">100*(1/D22-1)/((D54-today)/D$18)</f>
        <v>-0.36999712291585496</v>
      </c>
      <c r="E244" s="271">
        <f t="shared" si="119"/>
        <v>0.81999999999937678</v>
      </c>
      <c r="F244" s="271">
        <f t="shared" si="119"/>
        <v>0.22999999999950838</v>
      </c>
      <c r="G244" s="271">
        <f t="shared" si="119"/>
        <v>-0.8300000000004415</v>
      </c>
      <c r="H244" s="271">
        <f t="shared" si="119"/>
        <v>0</v>
      </c>
      <c r="I244" s="271">
        <f t="shared" si="119"/>
        <v>0.51499999999937707</v>
      </c>
      <c r="J244" s="271">
        <f t="shared" si="119"/>
        <v>1.774999999999638</v>
      </c>
      <c r="K244" s="271">
        <f t="shared" si="119"/>
        <v>-0.7499999999989182</v>
      </c>
      <c r="L244" s="271">
        <f t="shared" si="119"/>
        <v>0.52499999999944258</v>
      </c>
      <c r="M244" s="271">
        <f t="shared" si="119"/>
        <v>-0.54999999999860716</v>
      </c>
      <c r="N244" s="271">
        <f t="shared" si="119"/>
        <v>1.754999999999507</v>
      </c>
      <c r="O244" s="271">
        <f t="shared" si="119"/>
        <v>1.2750000000003592</v>
      </c>
      <c r="P244" s="271">
        <f t="shared" si="119"/>
        <v>-0.53000000000047454</v>
      </c>
      <c r="Q244" s="271">
        <f t="shared" si="119"/>
        <v>6.8250000000007471</v>
      </c>
      <c r="R244" s="271">
        <f t="shared" si="119"/>
        <v>-0.14999999999998348</v>
      </c>
      <c r="S244" s="271">
        <f t="shared" si="119"/>
        <v>9.3000000000009742</v>
      </c>
      <c r="T244" s="271">
        <f t="shared" si="119"/>
        <v>0.13500000000021828</v>
      </c>
      <c r="U244" s="271">
        <f t="shared" si="119"/>
        <v>0.9999999999997875</v>
      </c>
      <c r="V244" s="271">
        <f t="shared" si="119"/>
        <v>12.125733642000647</v>
      </c>
      <c r="W244" s="271">
        <f t="shared" si="119"/>
        <v>10.10000000000022</v>
      </c>
      <c r="X244" s="271">
        <f t="shared" si="119"/>
        <v>6.1750000000004857</v>
      </c>
      <c r="Y244" s="271">
        <f t="shared" si="119"/>
        <v>7.1063497379999507</v>
      </c>
      <c r="Z244" s="271">
        <f t="shared" si="119"/>
        <v>3.0566542999990176</v>
      </c>
      <c r="AA244" s="271">
        <f t="shared" si="119"/>
        <v>0.49250000000022887</v>
      </c>
      <c r="AB244" s="271">
        <f t="shared" si="119"/>
        <v>2.301514540999694</v>
      </c>
      <c r="AC244" s="271">
        <f t="shared" si="119"/>
        <v>3.3610000000008355</v>
      </c>
      <c r="AD244" s="271">
        <f t="shared" si="119"/>
        <v>6.6854999999992337</v>
      </c>
      <c r="AE244" s="271">
        <f t="shared" si="119"/>
        <v>4.1499999999992099</v>
      </c>
      <c r="AF244" s="271">
        <f t="shared" si="119"/>
        <v>4.9359999999991633</v>
      </c>
      <c r="AG244" s="271">
        <f t="shared" si="119"/>
        <v>0.32500000000013074</v>
      </c>
      <c r="AH244" s="271">
        <f t="shared" si="119"/>
        <v>0.10000000000065512</v>
      </c>
      <c r="AI244" s="271">
        <f t="shared" si="119"/>
        <v>2.9749999999995058</v>
      </c>
      <c r="AJ244" s="271">
        <f t="shared" si="119"/>
        <v>0.9999999999997875</v>
      </c>
      <c r="AK244" s="271">
        <f t="shared" si="119"/>
        <v>0.45999999999901675</v>
      </c>
      <c r="AL244" s="271">
        <f t="shared" si="119"/>
        <v>7.499999999999174</v>
      </c>
      <c r="AM244" s="271">
        <f t="shared" si="119"/>
        <v>0.65000000000026148</v>
      </c>
      <c r="AN244" s="271">
        <f t="shared" si="119"/>
        <v>2.7500000000000302</v>
      </c>
      <c r="AO244" s="271">
        <f t="shared" si="119"/>
        <v>0.15499999999901704</v>
      </c>
      <c r="AP244" s="271">
        <f t="shared" si="119"/>
        <v>1.7505000000008764</v>
      </c>
    </row>
    <row r="245" spans="3:42" x14ac:dyDescent="0.2">
      <c r="C245" s="1" t="s">
        <v>41</v>
      </c>
      <c r="D245" s="287">
        <f t="shared" ref="D245:AP245" si="120">100*(1/D23-1)/((D55-today)/D$18)</f>
        <v>-0.369994656135475</v>
      </c>
      <c r="E245" s="287">
        <f t="shared" si="120"/>
        <v>0.80999999999971095</v>
      </c>
      <c r="F245" s="287">
        <f t="shared" si="120"/>
        <v>0.24999999999923972</v>
      </c>
      <c r="G245" s="287">
        <f t="shared" si="120"/>
        <v>-0.81500000000014339</v>
      </c>
      <c r="H245" s="287">
        <f t="shared" si="120"/>
        <v>4.4999999999895124E-2</v>
      </c>
      <c r="I245" s="287">
        <f t="shared" si="120"/>
        <v>0.52499999999984226</v>
      </c>
      <c r="J245" s="287">
        <f t="shared" si="120"/>
        <v>1.6250000000006537</v>
      </c>
      <c r="K245" s="287">
        <f t="shared" si="120"/>
        <v>-0.59999999999913456</v>
      </c>
      <c r="L245" s="287">
        <f t="shared" si="120"/>
        <v>0.45000000000054996</v>
      </c>
      <c r="M245" s="287">
        <f t="shared" si="120"/>
        <v>-0.64999999999946212</v>
      </c>
      <c r="N245" s="287">
        <f t="shared" si="120"/>
        <v>1.755000000000706</v>
      </c>
      <c r="O245" s="287">
        <f t="shared" si="120"/>
        <v>1.285000000000025</v>
      </c>
      <c r="P245" s="287">
        <f t="shared" si="120"/>
        <v>0</v>
      </c>
      <c r="Q245" s="287">
        <f t="shared" si="120"/>
        <v>6.8249999999995481</v>
      </c>
      <c r="R245" s="287">
        <f t="shared" si="120"/>
        <v>-0.15000000000018332</v>
      </c>
      <c r="S245" s="287">
        <f t="shared" si="120"/>
        <v>9.3000000000001748</v>
      </c>
      <c r="T245" s="287">
        <f t="shared" si="120"/>
        <v>0.13499999999945697</v>
      </c>
      <c r="U245" s="287">
        <f t="shared" si="120"/>
        <v>1.0000000000002705</v>
      </c>
      <c r="V245" s="287">
        <f t="shared" si="120"/>
        <v>12.125733642000647</v>
      </c>
      <c r="W245" s="287">
        <f t="shared" si="120"/>
        <v>10.10000000000062</v>
      </c>
      <c r="X245" s="287">
        <f t="shared" si="120"/>
        <v>6.1749999999992866</v>
      </c>
      <c r="Y245" s="287">
        <f t="shared" si="120"/>
        <v>7.1063497379995511</v>
      </c>
      <c r="Z245" s="287">
        <f t="shared" si="120"/>
        <v>3.0566543000006163</v>
      </c>
      <c r="AA245" s="287">
        <f t="shared" si="120"/>
        <v>0.49249999999982919</v>
      </c>
      <c r="AB245" s="287">
        <f t="shared" si="120"/>
        <v>2.3015145410004934</v>
      </c>
      <c r="AC245" s="287">
        <f t="shared" si="120"/>
        <v>3.3609999999992368</v>
      </c>
      <c r="AD245" s="287">
        <f t="shared" si="120"/>
        <v>6.6855000000000331</v>
      </c>
      <c r="AE245" s="287">
        <f t="shared" si="120"/>
        <v>4.1499999999992099</v>
      </c>
      <c r="AF245" s="287">
        <f t="shared" si="120"/>
        <v>4.9360000000003623</v>
      </c>
      <c r="AG245" s="287">
        <f t="shared" si="120"/>
        <v>0.32500000000013074</v>
      </c>
      <c r="AH245" s="287">
        <f t="shared" si="120"/>
        <v>0.10000000000065512</v>
      </c>
      <c r="AI245" s="287">
        <f t="shared" si="120"/>
        <v>2.9750000000007049</v>
      </c>
      <c r="AJ245" s="287">
        <f t="shared" si="120"/>
        <v>1.0000000000002705</v>
      </c>
      <c r="AK245" s="287">
        <f t="shared" si="120"/>
        <v>0.45999999999981611</v>
      </c>
      <c r="AL245" s="287">
        <f t="shared" si="120"/>
        <v>7.4999999999995737</v>
      </c>
      <c r="AM245" s="287">
        <f t="shared" si="120"/>
        <v>0.65000000000026148</v>
      </c>
      <c r="AN245" s="287">
        <f t="shared" si="120"/>
        <v>2.7499999999996305</v>
      </c>
      <c r="AO245" s="287">
        <f t="shared" si="120"/>
        <v>0.1549999999998164</v>
      </c>
      <c r="AP245" s="287">
        <f t="shared" si="120"/>
        <v>1.7504999999992776</v>
      </c>
    </row>
    <row r="246" spans="3:42" x14ac:dyDescent="0.2">
      <c r="C246" s="1" t="s">
        <v>92</v>
      </c>
      <c r="D246" s="1">
        <f t="shared" ref="D246:AP246" si="121">100*(1/D24-1)/((D56-today)/D$18)</f>
        <v>-0.36998927406519466</v>
      </c>
      <c r="E246" s="1">
        <f t="shared" si="121"/>
        <v>0.90121331787243719</v>
      </c>
      <c r="F246" s="1">
        <f t="shared" si="121"/>
        <v>0.29590687359978579</v>
      </c>
      <c r="G246" s="1">
        <f t="shared" si="121"/>
        <v>-0.78876801535778607</v>
      </c>
      <c r="H246" s="1">
        <f t="shared" si="121"/>
        <v>4.7545605676546643E-2</v>
      </c>
      <c r="I246" s="1">
        <f t="shared" si="121"/>
        <v>0.63830957633115304</v>
      </c>
      <c r="J246" s="1">
        <f t="shared" si="121"/>
        <v>1.8364702438665019</v>
      </c>
      <c r="K246" s="1">
        <f t="shared" si="121"/>
        <v>-0.57774600420288569</v>
      </c>
      <c r="L246" s="1">
        <f t="shared" si="121"/>
        <v>0.58915172704035712</v>
      </c>
      <c r="M246" s="1">
        <f t="shared" si="121"/>
        <v>-0.52996331446195843</v>
      </c>
      <c r="N246" s="1">
        <f t="shared" si="121"/>
        <v>1.928442281002499</v>
      </c>
      <c r="O246" s="1">
        <f t="shared" si="121"/>
        <v>1.4346436095538904</v>
      </c>
      <c r="P246" s="1">
        <f t="shared" si="121"/>
        <v>-0.18883470082554543</v>
      </c>
      <c r="Q246" s="1">
        <f t="shared" si="121"/>
        <v>7.2371745822742319</v>
      </c>
      <c r="R246" s="1">
        <f t="shared" si="121"/>
        <v>-0.16149105872699143</v>
      </c>
      <c r="S246" s="1">
        <f t="shared" si="121"/>
        <v>9.3860034366972656</v>
      </c>
      <c r="T246" s="1">
        <f t="shared" si="121"/>
        <v>0.25497028000059507</v>
      </c>
      <c r="U246" s="1">
        <f t="shared" si="121"/>
        <v>4.1868087751211203</v>
      </c>
      <c r="V246" s="1">
        <f t="shared" si="121"/>
        <v>12.080748998638313</v>
      </c>
      <c r="W246" s="1">
        <f t="shared" si="121"/>
        <v>9.8386916674411342</v>
      </c>
      <c r="X246" s="1">
        <f t="shared" si="121"/>
        <v>5.4917948120175488</v>
      </c>
      <c r="Y246" s="1">
        <f t="shared" si="121"/>
        <v>6.4104188033798213</v>
      </c>
      <c r="Z246" s="1">
        <f t="shared" si="121"/>
        <v>1.3934658287447474</v>
      </c>
      <c r="AA246" s="1">
        <f t="shared" si="121"/>
        <v>-1.4419398713420926</v>
      </c>
      <c r="AB246" s="1">
        <f t="shared" si="121"/>
        <v>1.6713467817163714</v>
      </c>
      <c r="AC246" s="1">
        <f t="shared" si="121"/>
        <v>3.663317574465323</v>
      </c>
      <c r="AD246" s="1">
        <f t="shared" si="121"/>
        <v>8.1877792509065337</v>
      </c>
      <c r="AE246" s="1">
        <f t="shared" si="121"/>
        <v>0.15400218929186657</v>
      </c>
      <c r="AF246" s="1">
        <f t="shared" si="121"/>
        <v>4.9342764745489864</v>
      </c>
      <c r="AG246" s="1">
        <f t="shared" si="121"/>
        <v>0.30275486297897719</v>
      </c>
      <c r="AH246" s="1">
        <f t="shared" si="121"/>
        <v>9.0730772677506302E-2</v>
      </c>
      <c r="AI246" s="1">
        <f t="shared" si="121"/>
        <v>4.810661337857832</v>
      </c>
      <c r="AJ246" s="1">
        <f t="shared" si="121"/>
        <v>4.2745197204367091</v>
      </c>
      <c r="AK246" s="1">
        <f t="shared" si="121"/>
        <v>0.72571786838203745</v>
      </c>
      <c r="AL246" s="1">
        <f t="shared" si="121"/>
        <v>17.46779869723883</v>
      </c>
      <c r="AM246" s="1">
        <f t="shared" si="121"/>
        <v>0.86982872185537019</v>
      </c>
      <c r="AN246" s="1">
        <f t="shared" si="121"/>
        <v>-180.64123721834414</v>
      </c>
      <c r="AO246" s="1">
        <f t="shared" si="121"/>
        <v>-2.5527979823941314</v>
      </c>
      <c r="AP246" s="1">
        <f t="shared" si="121"/>
        <v>0.78107298712826179</v>
      </c>
    </row>
    <row r="247" spans="3:42" x14ac:dyDescent="0.2">
      <c r="C247" s="1" t="s">
        <v>55</v>
      </c>
      <c r="D247" s="1">
        <f t="shared" ref="D247:AP247" si="122">100*(1/D25-1)/((D57-today)/D$18)</f>
        <v>-0.36221007184877863</v>
      </c>
      <c r="E247" s="1">
        <f t="shared" si="122"/>
        <v>1.1033955341548385</v>
      </c>
      <c r="F247" s="1">
        <f t="shared" si="122"/>
        <v>0.37035850711886198</v>
      </c>
      <c r="G247" s="1">
        <f t="shared" si="122"/>
        <v>-0.71121716273925273</v>
      </c>
      <c r="H247" s="1">
        <f t="shared" si="122"/>
        <v>6.5733810257651015E-2</v>
      </c>
      <c r="I247" s="1">
        <f t="shared" si="122"/>
        <v>0.74918078432748558</v>
      </c>
      <c r="J247" s="1">
        <f t="shared" si="122"/>
        <v>2.0253243112797747</v>
      </c>
      <c r="K247" s="1">
        <f t="shared" si="122"/>
        <v>-0.4842462807623793</v>
      </c>
      <c r="L247" s="1">
        <f t="shared" si="122"/>
        <v>0.77612033744500764</v>
      </c>
      <c r="M247" s="1">
        <f t="shared" si="122"/>
        <v>-0.52269850839881116</v>
      </c>
      <c r="N247" s="1">
        <f t="shared" si="122"/>
        <v>2.1515473293587384</v>
      </c>
      <c r="O247" s="1">
        <f t="shared" si="122"/>
        <v>1.6499925379664937</v>
      </c>
      <c r="P247" s="1">
        <f t="shared" si="122"/>
        <v>6.0847498918992216E-2</v>
      </c>
      <c r="Q247" s="1">
        <f t="shared" si="122"/>
        <v>7.5735373156118335</v>
      </c>
      <c r="R247" s="1">
        <f t="shared" si="122"/>
        <v>-0.39439915463601594</v>
      </c>
      <c r="S247" s="1">
        <f t="shared" si="122"/>
        <v>9.8452315339945251</v>
      </c>
      <c r="T247" s="1">
        <f t="shared" si="122"/>
        <v>0.51424597675993056</v>
      </c>
      <c r="U247" s="1">
        <f t="shared" si="122"/>
        <v>4.0347349115880489</v>
      </c>
      <c r="V247" s="1">
        <f t="shared" si="122"/>
        <v>12.028591954775791</v>
      </c>
      <c r="W247" s="1">
        <f t="shared" si="122"/>
        <v>9.9082637048373279</v>
      </c>
      <c r="X247" s="1">
        <f t="shared" si="122"/>
        <v>5.5373474250361987</v>
      </c>
      <c r="Y247" s="1">
        <f t="shared" si="122"/>
        <v>6.5117375103229334</v>
      </c>
      <c r="Z247" s="1">
        <f t="shared" si="122"/>
        <v>1.3341713599470673</v>
      </c>
      <c r="AA247" s="1">
        <f t="shared" si="122"/>
        <v>-0.37325887377326339</v>
      </c>
      <c r="AB247" s="1">
        <f t="shared" si="122"/>
        <v>1.7391177280869918</v>
      </c>
      <c r="AC247" s="1">
        <f t="shared" si="122"/>
        <v>3.7331186919060677</v>
      </c>
      <c r="AD247" s="1">
        <f t="shared" si="122"/>
        <v>7.8748715040819484</v>
      </c>
      <c r="AE247" s="1">
        <f t="shared" si="122"/>
        <v>2.1741847040317452</v>
      </c>
      <c r="AF247" s="1">
        <f t="shared" si="122"/>
        <v>5.2324533744205759</v>
      </c>
      <c r="AG247" s="1">
        <f t="shared" si="122"/>
        <v>0.3687287986084975</v>
      </c>
      <c r="AH247" s="1">
        <f t="shared" si="122"/>
        <v>0.25191925792400482</v>
      </c>
      <c r="AI247" s="1">
        <f t="shared" si="122"/>
        <v>4.0209146434690979</v>
      </c>
      <c r="AJ247" s="1">
        <f t="shared" si="122"/>
        <v>4.1720652215341643</v>
      </c>
      <c r="AK247" s="1">
        <f t="shared" si="122"/>
        <v>1.0994036981304411</v>
      </c>
      <c r="AL247" s="1">
        <f t="shared" si="122"/>
        <v>16.239096128298769</v>
      </c>
      <c r="AM247" s="1">
        <f t="shared" si="122"/>
        <v>1.0601708566566146</v>
      </c>
      <c r="AN247" s="1">
        <f t="shared" si="122"/>
        <v>-113.98626257553012</v>
      </c>
      <c r="AO247" s="1">
        <f t="shared" si="122"/>
        <v>-1.158780393404113</v>
      </c>
      <c r="AP247" s="1">
        <f t="shared" si="122"/>
        <v>2.8800178775729712</v>
      </c>
    </row>
    <row r="248" spans="3:42" x14ac:dyDescent="0.2">
      <c r="C248" s="1" t="s">
        <v>63</v>
      </c>
      <c r="D248" s="1">
        <f t="shared" ref="D248:AP248" si="123">100*(1/D26-1)/((D58-today)/D$18)</f>
        <v>-0.36158710776325265</v>
      </c>
      <c r="E248" s="1">
        <f t="shared" si="123"/>
        <v>1.0976000181079115</v>
      </c>
      <c r="F248" s="1">
        <f t="shared" si="123"/>
        <v>0.36857442344658153</v>
      </c>
      <c r="G248" s="1">
        <f t="shared" si="123"/>
        <v>-0.72048028883598292</v>
      </c>
      <c r="H248" s="1">
        <f t="shared" si="123"/>
        <v>4.4847804765559829E-2</v>
      </c>
      <c r="I248" s="1">
        <f t="shared" si="123"/>
        <v>0.78724229704972937</v>
      </c>
      <c r="J248" s="1">
        <f t="shared" si="123"/>
        <v>2.0071407256430973</v>
      </c>
      <c r="K248" s="1">
        <f t="shared" si="123"/>
        <v>-0.48156189514660497</v>
      </c>
      <c r="L248" s="1">
        <f t="shared" si="123"/>
        <v>0.77798381220887336</v>
      </c>
      <c r="M248" s="1">
        <f t="shared" si="123"/>
        <v>-0.5494388189745969</v>
      </c>
      <c r="N248" s="1">
        <f t="shared" si="123"/>
        <v>2.1622248526788113</v>
      </c>
      <c r="O248" s="1">
        <f t="shared" si="123"/>
        <v>1.6577799561178352</v>
      </c>
      <c r="P248" s="1">
        <f t="shared" si="123"/>
        <v>3.3261943392233206E-2</v>
      </c>
      <c r="Q248" s="1">
        <f t="shared" si="123"/>
        <v>7.6502646651410799</v>
      </c>
      <c r="R248" s="1">
        <f t="shared" si="123"/>
        <v>-0.72396855939494742</v>
      </c>
      <c r="S248" s="1">
        <f t="shared" si="123"/>
        <v>10.036161438486459</v>
      </c>
      <c r="T248" s="1">
        <f t="shared" si="123"/>
        <v>0.55820789301700802</v>
      </c>
      <c r="U248" s="1">
        <f t="shared" si="123"/>
        <v>4.6365433795774704</v>
      </c>
      <c r="V248" s="1">
        <f t="shared" si="123"/>
        <v>11.911803207358318</v>
      </c>
      <c r="W248" s="1">
        <f t="shared" si="123"/>
        <v>9.6815496813606217</v>
      </c>
      <c r="X248" s="1">
        <f t="shared" si="123"/>
        <v>5.4629952189694464</v>
      </c>
      <c r="Y248" s="1">
        <f t="shared" si="123"/>
        <v>6.2681402399122987</v>
      </c>
      <c r="Z248" s="1">
        <f t="shared" si="123"/>
        <v>1.2284414964311452</v>
      </c>
      <c r="AA248" s="1">
        <f t="shared" si="123"/>
        <v>-3.0614810189355524E-3</v>
      </c>
      <c r="AB248" s="1">
        <f t="shared" si="123"/>
        <v>1.6911793175179213</v>
      </c>
      <c r="AC248" s="1">
        <f t="shared" si="123"/>
        <v>3.6396957783721362</v>
      </c>
      <c r="AD248" s="1">
        <f t="shared" si="123"/>
        <v>8.1094738975323821</v>
      </c>
      <c r="AE248" s="1">
        <f t="shared" si="123"/>
        <v>2.9687937751684146</v>
      </c>
      <c r="AF248" s="1">
        <f t="shared" si="123"/>
        <v>5.2692828710301853</v>
      </c>
      <c r="AG248" s="1">
        <f t="shared" si="123"/>
        <v>0.35572712431132913</v>
      </c>
      <c r="AH248" s="1">
        <f t="shared" si="123"/>
        <v>0.22800208250846055</v>
      </c>
      <c r="AI248" s="1">
        <f t="shared" si="123"/>
        <v>3.6420607140559014</v>
      </c>
      <c r="AJ248" s="1">
        <f t="shared" si="123"/>
        <v>4.7448407934660954</v>
      </c>
      <c r="AK248" s="1">
        <f t="shared" si="123"/>
        <v>1.1691061458779117</v>
      </c>
      <c r="AL248" s="1">
        <f t="shared" si="123"/>
        <v>15.604749415073265</v>
      </c>
      <c r="AM248" s="1">
        <f t="shared" si="123"/>
        <v>1.1310478799545243</v>
      </c>
      <c r="AN248" s="1">
        <f t="shared" si="123"/>
        <v>-84.748821869683638</v>
      </c>
      <c r="AO248" s="1">
        <f t="shared" si="123"/>
        <v>-0.72156759092226963</v>
      </c>
      <c r="AP248" s="1">
        <f t="shared" si="123"/>
        <v>3.7093619622773488</v>
      </c>
    </row>
    <row r="249" spans="3:42" x14ac:dyDescent="0.2">
      <c r="C249" s="1" t="s">
        <v>66</v>
      </c>
      <c r="D249" s="1">
        <f t="shared" ref="D249:AP249" si="124">100*(1/D27-1)/((D59-today)/D$18)</f>
        <v>-0.36112941986376412</v>
      </c>
      <c r="E249" s="1">
        <f t="shared" si="124"/>
        <v>1.0945817453969704</v>
      </c>
      <c r="F249" s="1">
        <f t="shared" si="124"/>
        <v>0.37282140889579751</v>
      </c>
      <c r="G249" s="1">
        <f t="shared" si="124"/>
        <v>-0.76212994658180522</v>
      </c>
      <c r="H249" s="1">
        <f t="shared" si="124"/>
        <v>-7.2689197655303615E-4</v>
      </c>
      <c r="I249" s="1">
        <f t="shared" si="124"/>
        <v>0.75500665630064268</v>
      </c>
      <c r="J249" s="1">
        <f t="shared" si="124"/>
        <v>1.994472980995329</v>
      </c>
      <c r="K249" s="1">
        <f t="shared" si="124"/>
        <v>-0.54146049419232511</v>
      </c>
      <c r="L249" s="1">
        <f t="shared" si="124"/>
        <v>0.80539710887751625</v>
      </c>
      <c r="M249" s="1">
        <f t="shared" si="124"/>
        <v>-0.57221959508266806</v>
      </c>
      <c r="N249" s="1">
        <f t="shared" si="124"/>
        <v>2.1680407567344875</v>
      </c>
      <c r="O249" s="1">
        <f t="shared" si="124"/>
        <v>1.6594431432366972</v>
      </c>
      <c r="P249" s="1">
        <f t="shared" si="124"/>
        <v>1.4069906621269215E-2</v>
      </c>
      <c r="Q249" s="1">
        <f t="shared" si="124"/>
        <v>7.7081642866764</v>
      </c>
      <c r="R249" s="1">
        <f t="shared" si="124"/>
        <v>-1.0858865391258528</v>
      </c>
      <c r="S249" s="1">
        <f t="shared" si="124"/>
        <v>10.515701316299745</v>
      </c>
      <c r="T249" s="1">
        <f t="shared" si="124"/>
        <v>0.61794891354625636</v>
      </c>
      <c r="U249" s="1">
        <f t="shared" si="124"/>
        <v>5.482277253714992</v>
      </c>
      <c r="V249" s="1">
        <f t="shared" si="124"/>
        <v>11.828787803225232</v>
      </c>
      <c r="W249" s="1">
        <f t="shared" si="124"/>
        <v>9.5097892887354707</v>
      </c>
      <c r="X249" s="1">
        <f t="shared" si="124"/>
        <v>5.41022508252329</v>
      </c>
      <c r="Y249" s="1">
        <f t="shared" si="124"/>
        <v>6.5799499980860174</v>
      </c>
      <c r="Z249" s="1">
        <f t="shared" si="124"/>
        <v>1.1418800690356992</v>
      </c>
      <c r="AA249" s="1">
        <f t="shared" si="124"/>
        <v>0.27013952473353697</v>
      </c>
      <c r="AB249" s="1">
        <f t="shared" si="124"/>
        <v>1.6278230799206586</v>
      </c>
      <c r="AC249" s="1">
        <f t="shared" si="124"/>
        <v>3.572639140540141</v>
      </c>
      <c r="AD249" s="1">
        <f t="shared" si="124"/>
        <v>8.2841963518023878</v>
      </c>
      <c r="AE249" s="1">
        <f t="shared" si="124"/>
        <v>3.5544042882866069</v>
      </c>
      <c r="AF249" s="1">
        <f t="shared" si="124"/>
        <v>5.2982105957943961</v>
      </c>
      <c r="AG249" s="1">
        <f t="shared" si="124"/>
        <v>0.4164417709624248</v>
      </c>
      <c r="AH249" s="1">
        <f t="shared" si="124"/>
        <v>0.21153520731796199</v>
      </c>
      <c r="AI249" s="1">
        <f t="shared" si="124"/>
        <v>3.3651925944192178</v>
      </c>
      <c r="AJ249" s="1">
        <f t="shared" si="124"/>
        <v>5.4905421123000213</v>
      </c>
      <c r="AK249" s="1">
        <f t="shared" si="124"/>
        <v>1.2215946933723234</v>
      </c>
      <c r="AL249" s="1">
        <f t="shared" si="124"/>
        <v>15.141835784387656</v>
      </c>
      <c r="AM249" s="1">
        <f t="shared" si="124"/>
        <v>1.21007732418258</v>
      </c>
      <c r="AN249" s="1">
        <f t="shared" si="124"/>
        <v>-63.268636409826627</v>
      </c>
      <c r="AO249" s="1">
        <f t="shared" si="124"/>
        <v>-0.39921124209997111</v>
      </c>
      <c r="AP249" s="1">
        <f t="shared" si="124"/>
        <v>4.4566066008031466</v>
      </c>
    </row>
    <row r="250" spans="3:42" x14ac:dyDescent="0.2">
      <c r="C250" s="1" t="s">
        <v>71</v>
      </c>
      <c r="D250" s="1">
        <f t="shared" ref="D250:AP250" si="125">100*(1/D28-1)/((D60-today)/D$18)</f>
        <v>-0.3418914890347402</v>
      </c>
      <c r="E250" s="1">
        <f t="shared" si="125"/>
        <v>1.1506057419426849</v>
      </c>
      <c r="F250" s="1">
        <f t="shared" si="125"/>
        <v>0.42739424275430238</v>
      </c>
      <c r="G250" s="1">
        <f t="shared" si="125"/>
        <v>-0.74453087212900115</v>
      </c>
      <c r="H250" s="1">
        <f t="shared" si="125"/>
        <v>-3.9064620419106333E-3</v>
      </c>
      <c r="I250" s="1">
        <f t="shared" si="125"/>
        <v>0.78972461886781531</v>
      </c>
      <c r="J250" s="1">
        <f t="shared" si="125"/>
        <v>2.0319977584153701</v>
      </c>
      <c r="K250" s="1">
        <f t="shared" si="125"/>
        <v>-0.51702223396933789</v>
      </c>
      <c r="L250" s="1">
        <f t="shared" si="125"/>
        <v>0.88157099343342904</v>
      </c>
      <c r="M250" s="1">
        <f t="shared" si="125"/>
        <v>-0.51313777679094585</v>
      </c>
      <c r="N250" s="1">
        <f t="shared" si="125"/>
        <v>2.2407219764974635</v>
      </c>
      <c r="O250" s="1">
        <f t="shared" si="125"/>
        <v>1.7062775227344928</v>
      </c>
      <c r="P250" s="1">
        <f t="shared" si="125"/>
        <v>0.13381107228711236</v>
      </c>
      <c r="Q250" s="1">
        <f t="shared" si="125"/>
        <v>7.8897531249576707</v>
      </c>
      <c r="R250" s="1">
        <f t="shared" si="125"/>
        <v>-1.4593721763842233</v>
      </c>
      <c r="S250" s="1">
        <f t="shared" si="125"/>
        <v>10.511317547977406</v>
      </c>
      <c r="T250" s="1">
        <f t="shared" si="125"/>
        <v>0.74112446547185606</v>
      </c>
      <c r="U250" s="1">
        <f t="shared" si="125"/>
        <v>5.8608581145768692</v>
      </c>
      <c r="V250" s="1">
        <f t="shared" si="125"/>
        <v>10.94098687574758</v>
      </c>
      <c r="W250" s="1">
        <f t="shared" si="125"/>
        <v>9.2859756534575357</v>
      </c>
      <c r="X250" s="1">
        <f t="shared" si="125"/>
        <v>5.4415610893972914</v>
      </c>
      <c r="Y250" s="1">
        <f t="shared" si="125"/>
        <v>6.5322165749188699</v>
      </c>
      <c r="Z250" s="1">
        <f t="shared" si="125"/>
        <v>1.0803904383245617</v>
      </c>
      <c r="AA250" s="1">
        <f t="shared" si="125"/>
        <v>0.74563531207326261</v>
      </c>
      <c r="AB250" s="1">
        <f t="shared" si="125"/>
        <v>1.5887285120296724</v>
      </c>
      <c r="AC250" s="1">
        <f t="shared" si="125"/>
        <v>3.6233345662293512</v>
      </c>
      <c r="AD250" s="1">
        <f t="shared" si="125"/>
        <v>7.3341045281973196</v>
      </c>
      <c r="AE250" s="1">
        <f t="shared" si="125"/>
        <v>4.6592644727152841</v>
      </c>
      <c r="AF250" s="1">
        <f t="shared" si="125"/>
        <v>5.3923505403153786</v>
      </c>
      <c r="AG250" s="1">
        <f t="shared" si="125"/>
        <v>0.45559909502289136</v>
      </c>
      <c r="AH250" s="1">
        <f t="shared" si="125"/>
        <v>0.1753462940279655</v>
      </c>
      <c r="AI250" s="1">
        <f t="shared" si="125"/>
        <v>3.3136992493562851</v>
      </c>
      <c r="AJ250" s="1">
        <f t="shared" si="125"/>
        <v>5.7734062994164663</v>
      </c>
      <c r="AK250" s="1">
        <f t="shared" si="125"/>
        <v>1.260206556245258</v>
      </c>
      <c r="AL250" s="1">
        <f t="shared" si="125"/>
        <v>14.694834250659207</v>
      </c>
      <c r="AM250" s="1">
        <f t="shared" si="125"/>
        <v>1.3654088194515099</v>
      </c>
      <c r="AN250" s="1">
        <f t="shared" si="125"/>
        <v>-39.351981291356154</v>
      </c>
      <c r="AO250" s="1">
        <f t="shared" si="125"/>
        <v>-0.21470710090890474</v>
      </c>
      <c r="AP250" s="1">
        <f t="shared" si="125"/>
        <v>4.8534547894013409</v>
      </c>
    </row>
    <row r="251" spans="3:42" x14ac:dyDescent="0.2">
      <c r="C251" s="1" t="s">
        <v>77</v>
      </c>
      <c r="D251" s="1">
        <f t="shared" ref="D251:AP251" si="126">100*(1/D29-1)/((D61-today)/D$18)</f>
        <v>-0.31251398690771248</v>
      </c>
      <c r="E251" s="1">
        <f t="shared" si="126"/>
        <v>1.4590569871824965</v>
      </c>
      <c r="F251" s="1">
        <f t="shared" si="126"/>
        <v>0.55440102306079098</v>
      </c>
      <c r="G251" s="1">
        <f t="shared" si="126"/>
        <v>-0.72510864126261321</v>
      </c>
      <c r="H251" s="1">
        <f t="shared" si="126"/>
        <v>-0.16727037585061386</v>
      </c>
      <c r="I251" s="1">
        <f t="shared" si="126"/>
        <v>1.0277242049868405</v>
      </c>
      <c r="J251" s="1">
        <f t="shared" si="126"/>
        <v>2.3246576334286346</v>
      </c>
      <c r="K251" s="1">
        <f t="shared" si="126"/>
        <v>-0.48965067512963517</v>
      </c>
      <c r="L251" s="1">
        <f t="shared" si="126"/>
        <v>1.1506703568988361</v>
      </c>
      <c r="M251" s="1">
        <f t="shared" si="126"/>
        <v>-0.47658269870415615</v>
      </c>
      <c r="N251" s="1">
        <f t="shared" si="126"/>
        <v>2.5291237272279705</v>
      </c>
      <c r="O251" s="1">
        <f t="shared" si="126"/>
        <v>2.0094232419238378</v>
      </c>
      <c r="P251" s="1">
        <f t="shared" si="126"/>
        <v>0.3854641056454704</v>
      </c>
      <c r="Q251" s="1">
        <f t="shared" si="126"/>
        <v>8.2426588802514278</v>
      </c>
      <c r="R251" s="1">
        <f t="shared" si="126"/>
        <v>-1.9581983519177912</v>
      </c>
      <c r="S251" s="1">
        <f t="shared" si="126"/>
        <v>10.87111038060673</v>
      </c>
      <c r="T251" s="1">
        <f t="shared" si="126"/>
        <v>1.0271900898108088</v>
      </c>
      <c r="U251" s="1">
        <f t="shared" si="126"/>
        <v>6.1810795329258621</v>
      </c>
      <c r="V251" s="1">
        <f t="shared" si="126"/>
        <v>11.134489625931577</v>
      </c>
      <c r="W251" s="1">
        <f t="shared" si="126"/>
        <v>9.1571627999390195</v>
      </c>
      <c r="X251" s="1">
        <f t="shared" si="126"/>
        <v>5.9012913959872293</v>
      </c>
      <c r="Y251" s="1">
        <f t="shared" si="126"/>
        <v>6.7627384056949023</v>
      </c>
      <c r="Z251" s="1">
        <f t="shared" si="126"/>
        <v>1.3669481886700521</v>
      </c>
      <c r="AA251" s="1">
        <f t="shared" si="126"/>
        <v>1.1447782261728572</v>
      </c>
      <c r="AB251" s="1">
        <f t="shared" si="126"/>
        <v>1.8576461963774877</v>
      </c>
      <c r="AC251" s="1">
        <f t="shared" si="126"/>
        <v>3.834950764681385</v>
      </c>
      <c r="AD251" s="1">
        <f t="shared" si="126"/>
        <v>7.8444362519309765</v>
      </c>
      <c r="AE251" s="1">
        <f t="shared" si="126"/>
        <v>5.6390901869720622</v>
      </c>
      <c r="AF251" s="1">
        <f t="shared" si="126"/>
        <v>5.7246018225780171</v>
      </c>
      <c r="AG251" s="1">
        <f t="shared" si="126"/>
        <v>0.53615407291507722</v>
      </c>
      <c r="AH251" s="1">
        <f t="shared" si="126"/>
        <v>0.39130165452773086</v>
      </c>
      <c r="AI251" s="1">
        <f t="shared" si="126"/>
        <v>3.579853733796786</v>
      </c>
      <c r="AJ251" s="1">
        <f t="shared" si="126"/>
        <v>6.1358461309050414</v>
      </c>
      <c r="AK251" s="1">
        <f t="shared" si="126"/>
        <v>1.6665081212985704</v>
      </c>
      <c r="AL251" s="1">
        <f t="shared" si="126"/>
        <v>14.083090433989662</v>
      </c>
      <c r="AM251" s="1">
        <f t="shared" si="126"/>
        <v>1.6635960880140837</v>
      </c>
      <c r="AN251" s="1">
        <f t="shared" si="126"/>
        <v>-19.189619537128525</v>
      </c>
      <c r="AO251" s="1">
        <f t="shared" si="126"/>
        <v>0.30514461322699304</v>
      </c>
      <c r="AP251" s="1">
        <f t="shared" si="126"/>
        <v>5.1751804892053634</v>
      </c>
    </row>
    <row r="252" spans="3:42" x14ac:dyDescent="0.2">
      <c r="C252" s="1" t="s">
        <v>82</v>
      </c>
      <c r="D252" s="1">
        <f t="shared" ref="D252:AP252" si="127">100*(1/D30-1)/((D62-today)/D$18)</f>
        <v>-0.28289199329899517</v>
      </c>
      <c r="E252" s="1">
        <f t="shared" si="127"/>
        <v>1.4693030190651228</v>
      </c>
      <c r="F252" s="1">
        <f t="shared" si="127"/>
        <v>0.58400030235761957</v>
      </c>
      <c r="G252" s="1">
        <f t="shared" si="127"/>
        <v>-0.70542017449237004</v>
      </c>
      <c r="H252" s="1">
        <f t="shared" si="127"/>
        <v>-0.15196672281765142</v>
      </c>
      <c r="I252" s="1">
        <f t="shared" si="127"/>
        <v>1.0553499323606503</v>
      </c>
      <c r="J252" s="1">
        <f t="shared" si="127"/>
        <v>2.3201818933193592</v>
      </c>
      <c r="K252" s="1">
        <f t="shared" si="127"/>
        <v>-0.46670099987029678</v>
      </c>
      <c r="L252" s="1">
        <f t="shared" si="127"/>
        <v>1.1581264142524776</v>
      </c>
      <c r="M252" s="1">
        <f t="shared" si="127"/>
        <v>-0.42695661588548584</v>
      </c>
      <c r="N252" s="1">
        <f t="shared" si="127"/>
        <v>2.5417079797060622</v>
      </c>
      <c r="O252" s="1">
        <f t="shared" si="127"/>
        <v>1.9909563895342925</v>
      </c>
      <c r="P252" s="1">
        <f t="shared" si="127"/>
        <v>0.37887266951378812</v>
      </c>
      <c r="Q252" s="1">
        <f t="shared" si="127"/>
        <v>8.2660128818063594</v>
      </c>
      <c r="R252" s="1">
        <f t="shared" si="127"/>
        <v>-2.1223576073772557</v>
      </c>
      <c r="S252" s="1">
        <f t="shared" si="127"/>
        <v>11.288532833228079</v>
      </c>
      <c r="T252" s="1">
        <f t="shared" si="127"/>
        <v>1.1058435777448394</v>
      </c>
      <c r="U252" s="1">
        <f t="shared" si="127"/>
        <v>5.8857506318925958</v>
      </c>
      <c r="V252" s="1">
        <f t="shared" si="127"/>
        <v>10.910467546154678</v>
      </c>
      <c r="W252" s="1">
        <f t="shared" si="127"/>
        <v>9.290835114779723</v>
      </c>
      <c r="X252" s="1">
        <f t="shared" si="127"/>
        <v>5.9345926293211422</v>
      </c>
      <c r="Y252" s="1">
        <f t="shared" si="127"/>
        <v>6.8357181306079218</v>
      </c>
      <c r="Z252" s="1">
        <f t="shared" si="127"/>
        <v>1.3696094572633484</v>
      </c>
      <c r="AA252" s="1">
        <f t="shared" si="127"/>
        <v>1.1674289238097213</v>
      </c>
      <c r="AB252" s="1">
        <f t="shared" si="127"/>
        <v>1.8768802914838389</v>
      </c>
      <c r="AC252" s="1">
        <f t="shared" si="127"/>
        <v>3.8983256993945727</v>
      </c>
      <c r="AD252" s="1">
        <f t="shared" si="127"/>
        <v>8.0244035980380257</v>
      </c>
      <c r="AE252" s="1">
        <f t="shared" si="127"/>
        <v>5.9993197869528698</v>
      </c>
      <c r="AF252" s="1">
        <f t="shared" si="127"/>
        <v>5.7190841304694811</v>
      </c>
      <c r="AG252" s="1">
        <f t="shared" si="127"/>
        <v>0.58122082316023771</v>
      </c>
      <c r="AH252" s="1">
        <f t="shared" si="127"/>
        <v>0.34831148919047744</v>
      </c>
      <c r="AI252" s="1">
        <f t="shared" si="127"/>
        <v>3.6559388573945015</v>
      </c>
      <c r="AJ252" s="1">
        <f t="shared" si="127"/>
        <v>5.855849102161601</v>
      </c>
      <c r="AK252" s="1">
        <f t="shared" si="127"/>
        <v>1.6803432599771346</v>
      </c>
      <c r="AL252" s="1">
        <f t="shared" si="127"/>
        <v>12.951988367783008</v>
      </c>
      <c r="AM252" s="1">
        <f t="shared" si="127"/>
        <v>1.7503739946217536</v>
      </c>
      <c r="AN252" s="1">
        <f t="shared" si="127"/>
        <v>-12.999487675980317</v>
      </c>
      <c r="AO252" s="1">
        <f t="shared" si="127"/>
        <v>0.32076584790287044</v>
      </c>
      <c r="AP252" s="1">
        <f t="shared" si="127"/>
        <v>5.1000280025900722</v>
      </c>
    </row>
    <row r="253" spans="3:42" x14ac:dyDescent="0.2">
      <c r="C253" s="1" t="s">
        <v>85</v>
      </c>
      <c r="D253" s="1">
        <f t="shared" ref="D253:AP253" si="128">100*(1/D31-1)/((D63-today)/D$18)</f>
        <v>-0.25308668747925367</v>
      </c>
      <c r="E253" s="1">
        <f t="shared" si="128"/>
        <v>1.4885419995807532</v>
      </c>
      <c r="F253" s="1">
        <f t="shared" si="128"/>
        <v>0.61757130280751982</v>
      </c>
      <c r="G253" s="1">
        <f t="shared" si="128"/>
        <v>-0.69377546137587554</v>
      </c>
      <c r="H253" s="1">
        <f t="shared" si="128"/>
        <v>-0.1303432161612729</v>
      </c>
      <c r="I253" s="1">
        <f t="shared" si="128"/>
        <v>1.0669597120476741</v>
      </c>
      <c r="J253" s="1">
        <f t="shared" si="128"/>
        <v>2.32055189783271</v>
      </c>
      <c r="K253" s="1">
        <f t="shared" si="128"/>
        <v>-0.42620321755734264</v>
      </c>
      <c r="L253" s="1">
        <f t="shared" si="128"/>
        <v>1.168853538418956</v>
      </c>
      <c r="M253" s="1">
        <f t="shared" si="128"/>
        <v>-0.43238320270455527</v>
      </c>
      <c r="N253" s="1">
        <f t="shared" si="128"/>
        <v>2.5587273128894732</v>
      </c>
      <c r="O253" s="1">
        <f t="shared" si="128"/>
        <v>1.9791940389248577</v>
      </c>
      <c r="P253" s="1">
        <f t="shared" si="128"/>
        <v>0.39020239309820565</v>
      </c>
      <c r="Q253" s="1">
        <f t="shared" si="128"/>
        <v>8.2944994336008548</v>
      </c>
      <c r="R253" s="1">
        <f t="shared" si="128"/>
        <v>-2.2206442569731641</v>
      </c>
      <c r="S253" s="1">
        <f t="shared" si="128"/>
        <v>11.258037737971025</v>
      </c>
      <c r="T253" s="1">
        <f t="shared" si="128"/>
        <v>1.1857647395302808</v>
      </c>
      <c r="U253" s="1">
        <f t="shared" si="128"/>
        <v>5.7506266295791617</v>
      </c>
      <c r="V253" s="1">
        <f t="shared" si="128"/>
        <v>10.78102271587629</v>
      </c>
      <c r="W253" s="1">
        <f t="shared" si="128"/>
        <v>9.1456150649420973</v>
      </c>
      <c r="X253" s="1">
        <f t="shared" si="128"/>
        <v>5.9714315180956943</v>
      </c>
      <c r="Y253" s="1">
        <f t="shared" si="128"/>
        <v>6.8991152270564449</v>
      </c>
      <c r="Z253" s="1">
        <f t="shared" si="128"/>
        <v>1.3942629578753751</v>
      </c>
      <c r="AA253" s="1">
        <f t="shared" si="128"/>
        <v>1.1946497590463181</v>
      </c>
      <c r="AB253" s="1">
        <f t="shared" si="128"/>
        <v>1.902247213713248</v>
      </c>
      <c r="AC253" s="1">
        <f t="shared" si="128"/>
        <v>3.8741772519765347</v>
      </c>
      <c r="AD253" s="1">
        <f t="shared" si="128"/>
        <v>7.7761577792346213</v>
      </c>
      <c r="AE253" s="1">
        <f t="shared" si="128"/>
        <v>6.2914174897620336</v>
      </c>
      <c r="AF253" s="1">
        <f t="shared" si="128"/>
        <v>5.7303065565186158</v>
      </c>
      <c r="AG253" s="1">
        <f t="shared" si="128"/>
        <v>0.6228430093136339</v>
      </c>
      <c r="AH253" s="1">
        <f t="shared" si="128"/>
        <v>0.33196604206517072</v>
      </c>
      <c r="AI253" s="1">
        <f t="shared" si="128"/>
        <v>3.7196265723876349</v>
      </c>
      <c r="AJ253" s="1">
        <f t="shared" si="128"/>
        <v>5.7209771287006914</v>
      </c>
      <c r="AK253" s="1">
        <f t="shared" si="128"/>
        <v>1.7309355965168178</v>
      </c>
      <c r="AL253" s="1">
        <f t="shared" si="128"/>
        <v>12.2278579632265</v>
      </c>
      <c r="AM253" s="1">
        <f t="shared" si="128"/>
        <v>1.8360157194423323</v>
      </c>
      <c r="AN253" s="1">
        <f t="shared" si="128"/>
        <v>-8.7019608355661067</v>
      </c>
      <c r="AO253" s="1">
        <f t="shared" si="128"/>
        <v>0.3429036999465625</v>
      </c>
      <c r="AP253" s="1">
        <f t="shared" si="128"/>
        <v>4.9634660760908673</v>
      </c>
    </row>
    <row r="254" spans="3:42" x14ac:dyDescent="0.2">
      <c r="C254" s="1" t="s">
        <v>87</v>
      </c>
      <c r="D254" s="1">
        <f t="shared" ref="D254:AP254" si="129">100*(1/D32-1)/((D64-today)/D$18)</f>
        <v>-0.22321689470743278</v>
      </c>
      <c r="E254" s="1">
        <f t="shared" si="129"/>
        <v>1.6359616297653108</v>
      </c>
      <c r="F254" s="1">
        <f t="shared" si="129"/>
        <v>0.68104265404781672</v>
      </c>
      <c r="G254" s="1">
        <f t="shared" si="129"/>
        <v>-0.65022009416530513</v>
      </c>
      <c r="H254" s="1">
        <f t="shared" si="129"/>
        <v>-0.1385321465379461</v>
      </c>
      <c r="I254" s="1">
        <f t="shared" si="129"/>
        <v>1.1871159347053064</v>
      </c>
      <c r="J254" s="1">
        <f t="shared" si="129"/>
        <v>2.4526736890741598</v>
      </c>
      <c r="K254" s="1">
        <f t="shared" si="129"/>
        <v>-0.38929330781726829</v>
      </c>
      <c r="L254" s="1">
        <f t="shared" si="129"/>
        <v>1.2698659818863005</v>
      </c>
      <c r="M254" s="1">
        <f t="shared" si="129"/>
        <v>-0.33813853543709282</v>
      </c>
      <c r="N254" s="1">
        <f t="shared" si="129"/>
        <v>2.6753861175517923</v>
      </c>
      <c r="O254" s="1">
        <f t="shared" si="129"/>
        <v>2.0895447149754625</v>
      </c>
      <c r="P254" s="1">
        <f t="shared" si="129"/>
        <v>0.52639285153314419</v>
      </c>
      <c r="Q254" s="1">
        <f t="shared" si="129"/>
        <v>8.4497002354046202</v>
      </c>
      <c r="R254" s="1">
        <f t="shared" si="129"/>
        <v>-2.1483514685218879</v>
      </c>
      <c r="S254" s="1">
        <f t="shared" si="129"/>
        <v>11.415418375835376</v>
      </c>
      <c r="T254" s="1">
        <f t="shared" si="129"/>
        <v>1.3458735548804692</v>
      </c>
      <c r="U254" s="1">
        <f t="shared" si="129"/>
        <v>5.7823722631167902</v>
      </c>
      <c r="V254" s="1">
        <f t="shared" si="129"/>
        <v>10.83952720331834</v>
      </c>
      <c r="W254" s="1">
        <f t="shared" si="129"/>
        <v>9.2317774745300998</v>
      </c>
      <c r="X254" s="1">
        <f t="shared" si="129"/>
        <v>6.1357096413488534</v>
      </c>
      <c r="Y254" s="1">
        <f t="shared" si="129"/>
        <v>7.0822109820280952</v>
      </c>
      <c r="Z254" s="1">
        <f t="shared" si="129"/>
        <v>1.5647604519243474</v>
      </c>
      <c r="AA254" s="1">
        <f t="shared" si="129"/>
        <v>1.3470751750661303</v>
      </c>
      <c r="AB254" s="1">
        <f t="shared" si="129"/>
        <v>2.0542352531492409</v>
      </c>
      <c r="AC254" s="1">
        <f t="shared" si="129"/>
        <v>3.9997232931173774</v>
      </c>
      <c r="AD254" s="1">
        <f t="shared" si="129"/>
        <v>7.6196295007679558</v>
      </c>
      <c r="AE254" s="1">
        <f t="shared" si="129"/>
        <v>6.6268054048306402</v>
      </c>
      <c r="AF254" s="1">
        <f t="shared" si="129"/>
        <v>5.8771758652356025</v>
      </c>
      <c r="AG254" s="1">
        <f t="shared" si="129"/>
        <v>0.78425303589666184</v>
      </c>
      <c r="AH254" s="1">
        <f t="shared" si="129"/>
        <v>0.45427058732246695</v>
      </c>
      <c r="AI254" s="1">
        <f t="shared" si="129"/>
        <v>3.8993097463994646</v>
      </c>
      <c r="AJ254" s="1">
        <f t="shared" si="129"/>
        <v>5.7674756611009492</v>
      </c>
      <c r="AK254" s="1">
        <f t="shared" si="129"/>
        <v>1.8672800407466905</v>
      </c>
      <c r="AL254" s="1">
        <f t="shared" si="129"/>
        <v>11.890208940115938</v>
      </c>
      <c r="AM254" s="1">
        <f t="shared" si="129"/>
        <v>1.9959072815835226</v>
      </c>
      <c r="AN254" s="1">
        <f t="shared" si="129"/>
        <v>-6.083446917818927</v>
      </c>
      <c r="AO254" s="1">
        <f t="shared" si="129"/>
        <v>0.4909627597571512</v>
      </c>
      <c r="AP254" s="1">
        <f t="shared" si="129"/>
        <v>5.0269203756224137</v>
      </c>
    </row>
    <row r="255" spans="3:42" x14ac:dyDescent="0.2">
      <c r="C255" s="1" t="s">
        <v>90</v>
      </c>
      <c r="D255" s="1">
        <f t="shared" ref="D255:AP255" si="130">100*(1/D33-1)/((D65-today)/D$18)</f>
        <v>-0.19332561365270617</v>
      </c>
      <c r="E255" s="1">
        <f t="shared" si="130"/>
        <v>1.6638778590053103</v>
      </c>
      <c r="F255" s="1">
        <f t="shared" si="130"/>
        <v>0.71183253342325492</v>
      </c>
      <c r="G255" s="1">
        <f t="shared" si="130"/>
        <v>-0.62569706101780109</v>
      </c>
      <c r="H255" s="1">
        <f t="shared" si="130"/>
        <v>-0.10913085575029828</v>
      </c>
      <c r="I255" s="1">
        <f t="shared" si="130"/>
        <v>1.2123663979403008</v>
      </c>
      <c r="J255" s="1">
        <f t="shared" si="130"/>
        <v>2.4649831246071159</v>
      </c>
      <c r="K255" s="1">
        <f t="shared" si="130"/>
        <v>-0.3648003706378522</v>
      </c>
      <c r="L255" s="1">
        <f t="shared" si="130"/>
        <v>1.2771200245806174</v>
      </c>
      <c r="M255" s="1">
        <f t="shared" si="130"/>
        <v>-0.29769048925872477</v>
      </c>
      <c r="N255" s="1">
        <f t="shared" si="130"/>
        <v>2.6991647385030682</v>
      </c>
      <c r="O255" s="1">
        <f t="shared" si="130"/>
        <v>2.0769713927361044</v>
      </c>
      <c r="P255" s="1">
        <f t="shared" si="130"/>
        <v>0.55126603103283767</v>
      </c>
      <c r="Q255" s="1">
        <f t="shared" si="130"/>
        <v>8.4790090996856868</v>
      </c>
      <c r="R255" s="1">
        <f t="shared" si="130"/>
        <v>-2.0768543570012419</v>
      </c>
      <c r="S255" s="1">
        <f t="shared" si="130"/>
        <v>11.641869370924079</v>
      </c>
      <c r="T255" s="1">
        <f t="shared" si="130"/>
        <v>1.4225240890891051</v>
      </c>
      <c r="U255" s="1">
        <f t="shared" si="130"/>
        <v>5.6410976262730372</v>
      </c>
      <c r="V255" s="1">
        <f t="shared" si="130"/>
        <v>10.715672955863843</v>
      </c>
      <c r="W255" s="1">
        <f t="shared" si="130"/>
        <v>9.1916609745338711</v>
      </c>
      <c r="X255" s="1">
        <f t="shared" si="130"/>
        <v>6.1514130297046039</v>
      </c>
      <c r="Y255" s="1">
        <f t="shared" si="130"/>
        <v>7.2278144409820833</v>
      </c>
      <c r="Z255" s="1">
        <f t="shared" si="130"/>
        <v>1.5866812023357011</v>
      </c>
      <c r="AA255" s="1">
        <f t="shared" si="130"/>
        <v>1.3103514977671853</v>
      </c>
      <c r="AB255" s="1">
        <f t="shared" si="130"/>
        <v>2.0789014014729323</v>
      </c>
      <c r="AC255" s="1">
        <f t="shared" si="130"/>
        <v>3.989149531960797</v>
      </c>
      <c r="AD255" s="1">
        <f t="shared" si="130"/>
        <v>7.4874742584515692</v>
      </c>
      <c r="AE255" s="1">
        <f t="shared" si="130"/>
        <v>6.866473445092244</v>
      </c>
      <c r="AF255" s="1">
        <f t="shared" si="130"/>
        <v>5.9475539982192238</v>
      </c>
      <c r="AG255" s="1">
        <f t="shared" si="130"/>
        <v>0.88230144592445681</v>
      </c>
      <c r="AH255" s="1">
        <f t="shared" si="130"/>
        <v>0.43672438862748153</v>
      </c>
      <c r="AI255" s="1">
        <f t="shared" si="130"/>
        <v>3.87577067765225</v>
      </c>
      <c r="AJ255" s="1">
        <f t="shared" si="130"/>
        <v>5.6711669769950745</v>
      </c>
      <c r="AK255" s="1">
        <f t="shared" si="130"/>
        <v>1.9011413763814953</v>
      </c>
      <c r="AL255" s="1">
        <f t="shared" si="130"/>
        <v>11.709379201901294</v>
      </c>
      <c r="AM255" s="1">
        <f t="shared" si="130"/>
        <v>2.0867318665420678</v>
      </c>
      <c r="AN255" s="1">
        <f t="shared" si="130"/>
        <v>-3.719375458900128</v>
      </c>
      <c r="AO255" s="1">
        <f t="shared" si="130"/>
        <v>0.59648933864786535</v>
      </c>
      <c r="AP255" s="1">
        <f t="shared" si="130"/>
        <v>4.9507833674657578</v>
      </c>
    </row>
    <row r="256" spans="3:42" x14ac:dyDescent="0.2">
      <c r="C256" s="1" t="s">
        <v>93</v>
      </c>
      <c r="D256" s="1">
        <f t="shared" ref="D256:AP256" si="131">100*(1/D34-1)/((D66-today)/D$18)</f>
        <v>-0.16991200679008286</v>
      </c>
      <c r="E256" s="1">
        <f t="shared" si="131"/>
        <v>1.6913432103256931</v>
      </c>
      <c r="F256" s="1">
        <f t="shared" si="131"/>
        <v>0.73961974383082951</v>
      </c>
      <c r="G256" s="1">
        <f t="shared" si="131"/>
        <v>-0.61229729474646544</v>
      </c>
      <c r="H256" s="1">
        <f t="shared" si="131"/>
        <v>-8.1268988310314247E-2</v>
      </c>
      <c r="I256" s="1">
        <f t="shared" si="131"/>
        <v>1.2260160978099888</v>
      </c>
      <c r="J256" s="1">
        <f t="shared" si="131"/>
        <v>2.4765282261706489</v>
      </c>
      <c r="K256" s="1">
        <f t="shared" si="131"/>
        <v>-0.3418815513279756</v>
      </c>
      <c r="L256" s="1">
        <f t="shared" si="131"/>
        <v>1.2711748754177938</v>
      </c>
      <c r="M256" s="1">
        <f t="shared" si="131"/>
        <v>-0.28238626424506619</v>
      </c>
      <c r="N256" s="1">
        <f t="shared" si="131"/>
        <v>2.7190529770896616</v>
      </c>
      <c r="O256" s="1">
        <f t="shared" si="131"/>
        <v>2.0712453343317505</v>
      </c>
      <c r="P256" s="1">
        <f t="shared" si="131"/>
        <v>0.57572353392535425</v>
      </c>
      <c r="Q256" s="1">
        <f t="shared" si="131"/>
        <v>8.5136478948126708</v>
      </c>
      <c r="R256" s="1">
        <f t="shared" si="131"/>
        <v>-2.0088104261750992</v>
      </c>
      <c r="S256" s="1">
        <f t="shared" si="131"/>
        <v>11.619452399716788</v>
      </c>
      <c r="T256" s="1">
        <f t="shared" si="131"/>
        <v>1.4847235701547143</v>
      </c>
      <c r="U256" s="1">
        <f t="shared" si="131"/>
        <v>5.5386421207597047</v>
      </c>
      <c r="V256" s="1">
        <f t="shared" si="131"/>
        <v>10.622091769866884</v>
      </c>
      <c r="W256" s="1">
        <f t="shared" si="131"/>
        <v>9.0284660526082501</v>
      </c>
      <c r="X256" s="1">
        <f t="shared" si="131"/>
        <v>6.1708250622768324</v>
      </c>
      <c r="Y256" s="1">
        <f t="shared" si="131"/>
        <v>7.3547903180272733</v>
      </c>
      <c r="Z256" s="1">
        <f t="shared" si="131"/>
        <v>1.6091696434541662</v>
      </c>
      <c r="AA256" s="1">
        <f t="shared" si="131"/>
        <v>1.284373461983479</v>
      </c>
      <c r="AB256" s="1">
        <f t="shared" si="131"/>
        <v>2.1038738808203852</v>
      </c>
      <c r="AC256" s="1">
        <f t="shared" si="131"/>
        <v>3.9859300055552001</v>
      </c>
      <c r="AD256" s="1">
        <f t="shared" si="131"/>
        <v>7.3856014085362345</v>
      </c>
      <c r="AE256" s="1">
        <f t="shared" si="131"/>
        <v>7.0708275484805778</v>
      </c>
      <c r="AF256" s="1">
        <f t="shared" si="131"/>
        <v>6.01194465254338</v>
      </c>
      <c r="AG256" s="1">
        <f t="shared" si="131"/>
        <v>0.96722817854318899</v>
      </c>
      <c r="AH256" s="1">
        <f t="shared" si="131"/>
        <v>0.42616284958056222</v>
      </c>
      <c r="AI256" s="1">
        <f t="shared" si="131"/>
        <v>3.861812551681941</v>
      </c>
      <c r="AJ256" s="1">
        <f t="shared" si="131"/>
        <v>5.5573290434331497</v>
      </c>
      <c r="AK256" s="1">
        <f t="shared" si="131"/>
        <v>1.9336139560989858</v>
      </c>
      <c r="AL256" s="1">
        <f t="shared" si="131"/>
        <v>11.569277318525868</v>
      </c>
      <c r="AM256" s="1">
        <f t="shared" si="131"/>
        <v>2.1613757323009879</v>
      </c>
      <c r="AN256" s="1">
        <f t="shared" si="131"/>
        <v>-1.7685597126463191</v>
      </c>
      <c r="AO256" s="1">
        <f t="shared" si="131"/>
        <v>0.68745228278687698</v>
      </c>
      <c r="AP256" s="1">
        <f t="shared" si="131"/>
        <v>4.8242732644469593</v>
      </c>
    </row>
    <row r="257" spans="3:42" x14ac:dyDescent="0.2">
      <c r="C257" s="1" t="s">
        <v>96</v>
      </c>
      <c r="D257" s="1">
        <f t="shared" ref="D257:AP257" si="132">100*(1/D35-1)/((D67-today)/D$18)</f>
        <v>-0.18113850677752855</v>
      </c>
      <c r="E257" s="1">
        <f t="shared" si="132"/>
        <v>1.7603940136213125</v>
      </c>
      <c r="F257" s="1">
        <f t="shared" si="132"/>
        <v>0.7512799561871838</v>
      </c>
      <c r="G257" s="1">
        <f t="shared" si="132"/>
        <v>-0.6176127096258579</v>
      </c>
      <c r="H257" s="1">
        <f t="shared" si="132"/>
        <v>-0.11086118205186415</v>
      </c>
      <c r="I257" s="1">
        <f t="shared" si="132"/>
        <v>1.2766213010519476</v>
      </c>
      <c r="J257" s="1">
        <f t="shared" si="132"/>
        <v>2.5345640624144963</v>
      </c>
      <c r="K257" s="1">
        <f t="shared" si="132"/>
        <v>-0.35295000096640755</v>
      </c>
      <c r="L257" s="1">
        <f t="shared" si="132"/>
        <v>1.3203713478903629</v>
      </c>
      <c r="M257" s="1">
        <f t="shared" si="132"/>
        <v>-0.25009215998610479</v>
      </c>
      <c r="N257" s="1">
        <f t="shared" si="132"/>
        <v>2.7958760600631862</v>
      </c>
      <c r="O257" s="1">
        <f t="shared" si="132"/>
        <v>2.1185239569380796</v>
      </c>
      <c r="P257" s="1">
        <f t="shared" si="132"/>
        <v>0.64180803709416612</v>
      </c>
      <c r="Q257" s="1">
        <f t="shared" si="132"/>
        <v>8.5872972408337667</v>
      </c>
      <c r="R257" s="1">
        <f t="shared" si="132"/>
        <v>-1.9153729916781064</v>
      </c>
      <c r="S257" s="1">
        <f t="shared" si="132"/>
        <v>11.833955319464046</v>
      </c>
      <c r="T257" s="1">
        <f t="shared" si="132"/>
        <v>1.5804730817577186</v>
      </c>
      <c r="U257" s="1">
        <f t="shared" si="132"/>
        <v>5.5274406923441886</v>
      </c>
      <c r="V257" s="1">
        <f t="shared" si="132"/>
        <v>10.617021119836057</v>
      </c>
      <c r="W257" s="1">
        <f t="shared" si="132"/>
        <v>9.0846591257311786</v>
      </c>
      <c r="X257" s="1">
        <f t="shared" si="132"/>
        <v>6.2376633699910267</v>
      </c>
      <c r="Y257" s="1">
        <f t="shared" si="132"/>
        <v>7.4938760728373328</v>
      </c>
      <c r="Z257" s="1">
        <f t="shared" si="132"/>
        <v>1.6748584351051032</v>
      </c>
      <c r="AA257" s="1">
        <f t="shared" si="132"/>
        <v>1.3176547863662722</v>
      </c>
      <c r="AB257" s="1">
        <f t="shared" si="132"/>
        <v>2.172974478296597</v>
      </c>
      <c r="AC257" s="1">
        <f t="shared" si="132"/>
        <v>4.0362127416207798</v>
      </c>
      <c r="AD257" s="1">
        <f t="shared" si="132"/>
        <v>7.372760531187657</v>
      </c>
      <c r="AE257" s="1">
        <f t="shared" si="132"/>
        <v>7.2610912452000544</v>
      </c>
      <c r="AF257" s="1">
        <f t="shared" si="132"/>
        <v>6.1085361370003319</v>
      </c>
      <c r="AG257" s="1">
        <f t="shared" si="132"/>
        <v>1.0739247698461134</v>
      </c>
      <c r="AH257" s="1">
        <f t="shared" si="132"/>
        <v>0.4690796737948979</v>
      </c>
      <c r="AI257" s="1">
        <f t="shared" si="132"/>
        <v>3.9048783482402945</v>
      </c>
      <c r="AJ257" s="1">
        <f t="shared" si="132"/>
        <v>5.4926825958077234</v>
      </c>
      <c r="AK257" s="1">
        <f t="shared" si="132"/>
        <v>2.0061589340493176</v>
      </c>
      <c r="AL257" s="1">
        <f t="shared" si="132"/>
        <v>11.533981242818625</v>
      </c>
      <c r="AM257" s="1">
        <f t="shared" si="132"/>
        <v>2.2648058966369642</v>
      </c>
      <c r="AN257" s="1">
        <f t="shared" si="132"/>
        <v>-0.4248872859154571</v>
      </c>
      <c r="AO257" s="1">
        <f t="shared" si="132"/>
        <v>0.79796094296586628</v>
      </c>
      <c r="AP257" s="1">
        <f t="shared" si="132"/>
        <v>4.839645591481518</v>
      </c>
    </row>
    <row r="258" spans="3:42" x14ac:dyDescent="0.2">
      <c r="C258" s="1" t="s">
        <v>99</v>
      </c>
      <c r="D258" s="1">
        <f t="shared" ref="D258:AP258" si="133">100*(1/D36-1)/((D68-today)/D$18)</f>
        <v>-0.19356300434339554</v>
      </c>
      <c r="E258" s="1">
        <f t="shared" si="133"/>
        <v>1.7574394937939144</v>
      </c>
      <c r="F258" s="1">
        <f t="shared" si="133"/>
        <v>0.75388328452900444</v>
      </c>
      <c r="G258" s="1">
        <f t="shared" si="133"/>
        <v>-0.62364588007119237</v>
      </c>
      <c r="H258" s="1">
        <f t="shared" si="133"/>
        <v>-0.11698880255541498</v>
      </c>
      <c r="I258" s="1">
        <f t="shared" si="133"/>
        <v>1.2654510739576994</v>
      </c>
      <c r="J258" s="1">
        <f t="shared" si="133"/>
        <v>2.5175241618966431</v>
      </c>
      <c r="K258" s="1">
        <f t="shared" si="133"/>
        <v>-0.35926720650705063</v>
      </c>
      <c r="L258" s="1">
        <f t="shared" si="133"/>
        <v>1.2741340552253988</v>
      </c>
      <c r="M258" s="1">
        <f t="shared" si="133"/>
        <v>-0.27261022635737192</v>
      </c>
      <c r="N258" s="1">
        <f t="shared" si="133"/>
        <v>2.7868308360399783</v>
      </c>
      <c r="O258" s="1">
        <f t="shared" si="133"/>
        <v>2.0787733854972084</v>
      </c>
      <c r="P258" s="1">
        <f t="shared" si="133"/>
        <v>0.62802431238688006</v>
      </c>
      <c r="Q258" s="1">
        <f t="shared" si="133"/>
        <v>8.5881800988614962</v>
      </c>
      <c r="R258" s="1">
        <f t="shared" si="133"/>
        <v>-1.7898218230424314</v>
      </c>
      <c r="S258" s="1">
        <f t="shared" si="133"/>
        <v>11.870220966831718</v>
      </c>
      <c r="T258" s="1">
        <f t="shared" si="133"/>
        <v>1.6022258412857502</v>
      </c>
      <c r="U258" s="1">
        <f t="shared" si="133"/>
        <v>5.4583508112769472</v>
      </c>
      <c r="V258" s="1">
        <f t="shared" si="133"/>
        <v>10.435797530404329</v>
      </c>
      <c r="W258" s="1">
        <f t="shared" si="133"/>
        <v>8.9604419031456111</v>
      </c>
      <c r="X258" s="1">
        <f t="shared" si="133"/>
        <v>6.239059507264562</v>
      </c>
      <c r="Y258" s="1">
        <f t="shared" si="133"/>
        <v>7.582158554158525</v>
      </c>
      <c r="Z258" s="1">
        <f t="shared" si="133"/>
        <v>1.6967188716979333</v>
      </c>
      <c r="AA258" s="1">
        <f t="shared" si="133"/>
        <v>1.2694718588829108</v>
      </c>
      <c r="AB258" s="1">
        <f t="shared" si="133"/>
        <v>2.1847855573961081</v>
      </c>
      <c r="AC258" s="1">
        <f t="shared" si="133"/>
        <v>4.0381724809130812</v>
      </c>
      <c r="AD258" s="1">
        <f t="shared" si="133"/>
        <v>7.3792212219554605</v>
      </c>
      <c r="AE258" s="1">
        <f t="shared" si="133"/>
        <v>7.3680677646341657</v>
      </c>
      <c r="AF258" s="1">
        <f t="shared" si="133"/>
        <v>6.1017983468154311</v>
      </c>
      <c r="AG258" s="1">
        <f t="shared" si="133"/>
        <v>1.1045844927194199</v>
      </c>
      <c r="AH258" s="1">
        <f t="shared" si="133"/>
        <v>0.43006993091489432</v>
      </c>
      <c r="AI258" s="1">
        <f t="shared" si="133"/>
        <v>3.8916144571980813</v>
      </c>
      <c r="AJ258" s="1">
        <f t="shared" si="133"/>
        <v>5.4597830307144246</v>
      </c>
      <c r="AK258" s="1">
        <f t="shared" si="133"/>
        <v>2.0393317391842709</v>
      </c>
      <c r="AL258" s="1">
        <f t="shared" si="133"/>
        <v>11.427165297847562</v>
      </c>
      <c r="AM258" s="1">
        <f t="shared" si="133"/>
        <v>2.3692571020156659</v>
      </c>
      <c r="AN258" s="1">
        <f t="shared" si="133"/>
        <v>0.92996962514353221</v>
      </c>
      <c r="AO258" s="1">
        <f t="shared" si="133"/>
        <v>0.78139293207734628</v>
      </c>
      <c r="AP258" s="1">
        <f t="shared" si="133"/>
        <v>4.7327230274089773</v>
      </c>
    </row>
    <row r="259" spans="3:42" x14ac:dyDescent="0.2">
      <c r="C259" s="1" t="s">
        <v>101</v>
      </c>
      <c r="D259" s="1">
        <f t="shared" ref="D259:AP259" si="134">100*(1/D37-1)/((D69-today)/D$18)</f>
        <v>-0.20565899410057417</v>
      </c>
      <c r="E259" s="1">
        <f t="shared" si="134"/>
        <v>1.7572128470153665</v>
      </c>
      <c r="F259" s="1">
        <f t="shared" si="134"/>
        <v>0.74657462549365095</v>
      </c>
      <c r="G259" s="1">
        <f t="shared" si="134"/>
        <v>-0.6421501422047472</v>
      </c>
      <c r="H259" s="1">
        <f t="shared" si="134"/>
        <v>-0.12561010701920894</v>
      </c>
      <c r="I259" s="1">
        <f t="shared" si="134"/>
        <v>1.2504010045612748</v>
      </c>
      <c r="J259" s="1">
        <f t="shared" si="134"/>
        <v>2.5053980586307736</v>
      </c>
      <c r="K259" s="1">
        <f t="shared" si="134"/>
        <v>-0.36956795820081451</v>
      </c>
      <c r="L259" s="1">
        <f t="shared" si="134"/>
        <v>1.2480023035453405</v>
      </c>
      <c r="M259" s="1">
        <f t="shared" si="134"/>
        <v>-0.26903790536081967</v>
      </c>
      <c r="N259" s="1">
        <f t="shared" si="134"/>
        <v>2.7867592864836541</v>
      </c>
      <c r="O259" s="1">
        <f t="shared" si="134"/>
        <v>2.0478182795727009</v>
      </c>
      <c r="P259" s="1">
        <f t="shared" si="134"/>
        <v>0.61795161043227453</v>
      </c>
      <c r="Q259" s="1">
        <f t="shared" si="134"/>
        <v>8.5933153631575685</v>
      </c>
      <c r="R259" s="1">
        <f t="shared" si="134"/>
        <v>-1.6834952488437438</v>
      </c>
      <c r="S259" s="1">
        <f t="shared" si="134"/>
        <v>11.873706818529493</v>
      </c>
      <c r="T259" s="1">
        <f t="shared" si="134"/>
        <v>1.6205014456528772</v>
      </c>
      <c r="U259" s="1">
        <f t="shared" si="134"/>
        <v>5.3867147827268118</v>
      </c>
      <c r="V259" s="1">
        <f t="shared" si="134"/>
        <v>10.292928733794303</v>
      </c>
      <c r="W259" s="1">
        <f t="shared" si="134"/>
        <v>8.8452139643266481</v>
      </c>
      <c r="X259" s="1">
        <f t="shared" si="134"/>
        <v>6.2437256444487348</v>
      </c>
      <c r="Y259" s="1">
        <f t="shared" si="134"/>
        <v>7.658024201353566</v>
      </c>
      <c r="Z259" s="1">
        <f t="shared" si="134"/>
        <v>1.7168097244854312</v>
      </c>
      <c r="AA259" s="1">
        <f t="shared" si="134"/>
        <v>1.2322444414543507</v>
      </c>
      <c r="AB259" s="1">
        <f t="shared" si="134"/>
        <v>2.1983836245416248</v>
      </c>
      <c r="AC259" s="1">
        <f t="shared" si="134"/>
        <v>4.0426350877935295</v>
      </c>
      <c r="AD259" s="1">
        <f t="shared" si="134"/>
        <v>7.3883572985462811</v>
      </c>
      <c r="AE259" s="1">
        <f t="shared" si="134"/>
        <v>7.4781620662850647</v>
      </c>
      <c r="AF259" s="1">
        <f t="shared" si="134"/>
        <v>6.0997956199471952</v>
      </c>
      <c r="AG259" s="1">
        <f t="shared" si="134"/>
        <v>1.1323162461296037</v>
      </c>
      <c r="AH259" s="1">
        <f t="shared" si="134"/>
        <v>0.40006406227981611</v>
      </c>
      <c r="AI259" s="1">
        <f t="shared" si="134"/>
        <v>3.883628704915981</v>
      </c>
      <c r="AJ259" s="1">
        <f t="shared" si="134"/>
        <v>5.4142051394569179</v>
      </c>
      <c r="AK259" s="1">
        <f t="shared" si="134"/>
        <v>2.0590965010490536</v>
      </c>
      <c r="AL259" s="1">
        <f t="shared" si="134"/>
        <v>11.370605012309438</v>
      </c>
      <c r="AM259" s="1">
        <f t="shared" si="134"/>
        <v>2.4441046917454878</v>
      </c>
      <c r="AN259" s="1">
        <f t="shared" si="134"/>
        <v>1.8593354587169262</v>
      </c>
      <c r="AO259" s="1">
        <f t="shared" si="134"/>
        <v>0.7697783985073412</v>
      </c>
      <c r="AP259" s="1">
        <f t="shared" si="134"/>
        <v>4.6425082099604955</v>
      </c>
    </row>
    <row r="260" spans="3:42" x14ac:dyDescent="0.2">
      <c r="C260" s="1" t="s">
        <v>138</v>
      </c>
      <c r="D260" s="1">
        <f t="shared" ref="D260:AP260" si="135">100*(1/D38-1)/((D70-today)/D$18)</f>
        <v>-0.21059154523702203</v>
      </c>
      <c r="E260" s="1">
        <f t="shared" si="135"/>
        <v>1.8319193652442785</v>
      </c>
      <c r="F260" s="1">
        <f t="shared" si="135"/>
        <v>0.75454427833033233</v>
      </c>
      <c r="G260" s="1">
        <f t="shared" si="135"/>
        <v>-0.64333131549247002</v>
      </c>
      <c r="H260" s="1">
        <f t="shared" si="135"/>
        <v>-0.15644552309913007</v>
      </c>
      <c r="I260" s="1">
        <f t="shared" si="135"/>
        <v>1.3079748874753945</v>
      </c>
      <c r="J260" s="1">
        <f t="shared" si="135"/>
        <v>2.5724025267847956</v>
      </c>
      <c r="K260" s="1">
        <f t="shared" si="135"/>
        <v>-0.37461026058422781</v>
      </c>
      <c r="L260" s="1">
        <f t="shared" si="135"/>
        <v>1.3179055667086625</v>
      </c>
      <c r="M260" s="1">
        <f t="shared" si="135"/>
        <v>-0.25247827842815768</v>
      </c>
      <c r="N260" s="1">
        <f t="shared" si="135"/>
        <v>2.8700802007526072</v>
      </c>
      <c r="O260" s="1">
        <f t="shared" si="135"/>
        <v>2.1016741527496143</v>
      </c>
      <c r="P260" s="1">
        <f t="shared" si="135"/>
        <v>0.68479243758225139</v>
      </c>
      <c r="Q260" s="1">
        <f t="shared" si="135"/>
        <v>8.6782805511813788</v>
      </c>
      <c r="R260" s="1">
        <f t="shared" si="135"/>
        <v>-1.5388264484956946</v>
      </c>
      <c r="S260" s="1">
        <f t="shared" si="135"/>
        <v>12.156526625942108</v>
      </c>
      <c r="T260" s="1">
        <f t="shared" si="135"/>
        <v>1.711505655409977</v>
      </c>
      <c r="U260" s="1">
        <f t="shared" si="135"/>
        <v>5.3937043487583152</v>
      </c>
      <c r="V260" s="1">
        <f t="shared" si="135"/>
        <v>10.27101299869976</v>
      </c>
      <c r="W260" s="1">
        <f t="shared" si="135"/>
        <v>8.9570114347865672</v>
      </c>
      <c r="X260" s="1">
        <f t="shared" si="135"/>
        <v>6.3263812355414988</v>
      </c>
      <c r="Y260" s="1">
        <f t="shared" si="135"/>
        <v>7.7944097738355502</v>
      </c>
      <c r="Z260" s="1">
        <f t="shared" si="135"/>
        <v>1.8062159990927598</v>
      </c>
      <c r="AA260" s="1">
        <f t="shared" si="135"/>
        <v>1.279235163812708</v>
      </c>
      <c r="AB260" s="1">
        <f t="shared" si="135"/>
        <v>2.2836871674497252</v>
      </c>
      <c r="AC260" s="1">
        <f t="shared" si="135"/>
        <v>4.1230078466119089</v>
      </c>
      <c r="AD260" s="1">
        <f t="shared" si="135"/>
        <v>7.4754093385566511</v>
      </c>
      <c r="AE260" s="1">
        <f t="shared" si="135"/>
        <v>7.6064476217127712</v>
      </c>
      <c r="AF260" s="1">
        <f t="shared" si="135"/>
        <v>6.1774075142486566</v>
      </c>
      <c r="AG260" s="1">
        <f t="shared" si="135"/>
        <v>1.2256472580353146</v>
      </c>
      <c r="AH260" s="1">
        <f t="shared" si="135"/>
        <v>0.45155893494977173</v>
      </c>
      <c r="AI260" s="1">
        <f t="shared" si="135"/>
        <v>3.9546929790944843</v>
      </c>
      <c r="AJ260" s="1">
        <f t="shared" si="135"/>
        <v>5.4059298618193932</v>
      </c>
      <c r="AK260" s="1">
        <f t="shared" si="135"/>
        <v>2.1526603936958821</v>
      </c>
      <c r="AL260" s="1">
        <f t="shared" si="135"/>
        <v>11.369130783250368</v>
      </c>
      <c r="AM260" s="1">
        <f t="shared" si="135"/>
        <v>2.5836809990932412</v>
      </c>
      <c r="AN260" s="1">
        <f t="shared" si="135"/>
        <v>2.6892659287465692</v>
      </c>
      <c r="AO260" s="1">
        <f t="shared" si="135"/>
        <v>0.83515635945316324</v>
      </c>
      <c r="AP260" s="1">
        <f t="shared" si="135"/>
        <v>4.6924005015530437</v>
      </c>
    </row>
    <row r="261" spans="3:42" x14ac:dyDescent="0.2">
      <c r="C261" s="1" t="s">
        <v>122</v>
      </c>
      <c r="D261" s="1">
        <f t="shared" ref="D261:AP261" si="136">100*(1/D39-1)/((D71-today)/D$18)</f>
        <v>-0.22285264457240742</v>
      </c>
      <c r="E261" s="1">
        <f t="shared" si="136"/>
        <v>1.8850945526365064</v>
      </c>
      <c r="F261" s="1">
        <f t="shared" si="136"/>
        <v>0.76802187377479336</v>
      </c>
      <c r="G261" s="1">
        <f t="shared" si="136"/>
        <v>-0.65190412848643231</v>
      </c>
      <c r="H261" s="1">
        <f t="shared" si="136"/>
        <v>-0.18556337029927136</v>
      </c>
      <c r="I261" s="1">
        <f t="shared" si="136"/>
        <v>1.3238404521026186</v>
      </c>
      <c r="J261" s="1">
        <f t="shared" si="136"/>
        <v>2.5914409279056176</v>
      </c>
      <c r="K261" s="1">
        <f t="shared" si="136"/>
        <v>-0.38275941135029201</v>
      </c>
      <c r="L261" s="1">
        <f t="shared" si="136"/>
        <v>1.3461542502499104</v>
      </c>
      <c r="M261" s="1">
        <f t="shared" si="136"/>
        <v>-0.23453960694373152</v>
      </c>
      <c r="N261" s="1">
        <f t="shared" si="136"/>
        <v>2.9662360171593787</v>
      </c>
      <c r="O261" s="1">
        <f t="shared" si="136"/>
        <v>2.1027014868122027</v>
      </c>
      <c r="P261" s="1">
        <f t="shared" si="136"/>
        <v>0.71823981410039128</v>
      </c>
      <c r="Q261" s="1">
        <f t="shared" si="136"/>
        <v>8.7471585221316666</v>
      </c>
      <c r="R261" s="1">
        <f t="shared" si="136"/>
        <v>-1.3404906517228776</v>
      </c>
      <c r="S261" s="1">
        <f t="shared" si="136"/>
        <v>12.33346113002105</v>
      </c>
      <c r="T261" s="1">
        <f t="shared" si="136"/>
        <v>1.8048715530368209</v>
      </c>
      <c r="U261" s="1">
        <f t="shared" si="136"/>
        <v>5.325840372435561</v>
      </c>
      <c r="V261" s="1">
        <f t="shared" si="136"/>
        <v>10.084133021832365</v>
      </c>
      <c r="W261" s="1">
        <f t="shared" si="136"/>
        <v>8.8094602001485871</v>
      </c>
      <c r="X261" s="1">
        <f t="shared" si="136"/>
        <v>6.3149193016679632</v>
      </c>
      <c r="Y261" s="1">
        <f t="shared" si="136"/>
        <v>7.9554916888649316</v>
      </c>
      <c r="Z261" s="1">
        <f t="shared" si="136"/>
        <v>1.8535461469411882</v>
      </c>
      <c r="AA261" s="1">
        <f t="shared" si="136"/>
        <v>1.3811369500688218</v>
      </c>
      <c r="AB261" s="1">
        <f t="shared" si="136"/>
        <v>2.3624044518064222</v>
      </c>
      <c r="AC261" s="1">
        <f t="shared" si="136"/>
        <v>4.0591466525794964</v>
      </c>
      <c r="AD261" s="1">
        <f t="shared" si="136"/>
        <v>7.1759952584530424</v>
      </c>
      <c r="AE261" s="1">
        <f t="shared" si="136"/>
        <v>7.8350696946925984</v>
      </c>
      <c r="AF261" s="1">
        <f t="shared" si="136"/>
        <v>6.0168926711487387</v>
      </c>
      <c r="AG261" s="1">
        <f t="shared" si="136"/>
        <v>1.3217144409685309</v>
      </c>
      <c r="AH261" s="1">
        <f t="shared" si="136"/>
        <v>0.40375141177342272</v>
      </c>
      <c r="AI261" s="1">
        <f t="shared" si="136"/>
        <v>3.9993711212776342</v>
      </c>
      <c r="AJ261" s="1">
        <f t="shared" si="136"/>
        <v>5.436960987823297</v>
      </c>
      <c r="AK261" s="1">
        <f t="shared" si="136"/>
        <v>2.1712341784349327</v>
      </c>
      <c r="AL261" s="1">
        <f t="shared" si="136"/>
        <v>11.301319313430596</v>
      </c>
      <c r="AM261" s="1">
        <f t="shared" si="136"/>
        <v>2.8114366584950794</v>
      </c>
      <c r="AN261" s="1">
        <f t="shared" si="136"/>
        <v>4.5590958411386913</v>
      </c>
      <c r="AO261" s="1">
        <f t="shared" si="136"/>
        <v>0.98937437250907845</v>
      </c>
      <c r="AP261" s="1">
        <f t="shared" si="136"/>
        <v>4.4600634249530584</v>
      </c>
    </row>
    <row r="262" spans="3:42" x14ac:dyDescent="0.2">
      <c r="C262" s="1" t="s">
        <v>133</v>
      </c>
      <c r="D262" s="1">
        <f t="shared" ref="D262:AP262" si="137">100*(1/D40-1)/((D72-today)/D$18)</f>
        <v>-0.2263901161805506</v>
      </c>
      <c r="E262" s="1">
        <f t="shared" si="137"/>
        <v>1.9410393053681301</v>
      </c>
      <c r="F262" s="1">
        <f t="shared" si="137"/>
        <v>0.78874169163814567</v>
      </c>
      <c r="G262" s="1">
        <f t="shared" si="137"/>
        <v>-0.64762469813015799</v>
      </c>
      <c r="H262" s="1">
        <f t="shared" si="137"/>
        <v>-0.2124502161701638</v>
      </c>
      <c r="I262" s="1">
        <f t="shared" si="137"/>
        <v>1.3463445063342769</v>
      </c>
      <c r="J262" s="1">
        <f t="shared" si="137"/>
        <v>2.6270211176387455</v>
      </c>
      <c r="K262" s="1">
        <f t="shared" si="137"/>
        <v>-0.3608358459054023</v>
      </c>
      <c r="L262" s="1">
        <f t="shared" si="137"/>
        <v>1.3307630107394273</v>
      </c>
      <c r="M262" s="1">
        <f t="shared" si="137"/>
        <v>-0.20507214330857662</v>
      </c>
      <c r="N262" s="1">
        <f t="shared" si="137"/>
        <v>2.9940478245704067</v>
      </c>
      <c r="O262" s="1">
        <f t="shared" si="137"/>
        <v>2.1233215225869615</v>
      </c>
      <c r="P262" s="1">
        <f t="shared" si="137"/>
        <v>0.75836297480174508</v>
      </c>
      <c r="Q262" s="1">
        <f t="shared" si="137"/>
        <v>8.8273720116058456</v>
      </c>
      <c r="R262" s="1">
        <f t="shared" si="137"/>
        <v>-1.1913699625381735</v>
      </c>
      <c r="S262" s="1">
        <f t="shared" si="137"/>
        <v>12.535413261426314</v>
      </c>
      <c r="T262" s="1">
        <f t="shared" si="137"/>
        <v>1.8883294772604704</v>
      </c>
      <c r="U262" s="1">
        <f t="shared" si="137"/>
        <v>5.305155530340687</v>
      </c>
      <c r="V262" s="1">
        <f t="shared" si="137"/>
        <v>9.9916280021421588</v>
      </c>
      <c r="W262" s="1">
        <f t="shared" si="137"/>
        <v>8.7639101021199863</v>
      </c>
      <c r="X262" s="1">
        <f t="shared" si="137"/>
        <v>6.3352651912580882</v>
      </c>
      <c r="Y262" s="1">
        <f t="shared" si="137"/>
        <v>8.0973630108489925</v>
      </c>
      <c r="Z262" s="1">
        <f t="shared" si="137"/>
        <v>1.9054214227201416</v>
      </c>
      <c r="AA262" s="1">
        <f t="shared" si="137"/>
        <v>1.4694973194977237</v>
      </c>
      <c r="AB262" s="1">
        <f t="shared" si="137"/>
        <v>2.4368002597923102</v>
      </c>
      <c r="AC262" s="1">
        <f t="shared" si="137"/>
        <v>4.0391284741598215</v>
      </c>
      <c r="AD262" s="1">
        <f t="shared" si="137"/>
        <v>7.0006136361730213</v>
      </c>
      <c r="AE262" s="1">
        <f t="shared" si="137"/>
        <v>8.0230100345992597</v>
      </c>
      <c r="AF262" s="1">
        <f t="shared" si="137"/>
        <v>5.9344604617581025</v>
      </c>
      <c r="AG262" s="1">
        <f t="shared" si="137"/>
        <v>1.4059576394076392</v>
      </c>
      <c r="AH262" s="1">
        <f t="shared" si="137"/>
        <v>0.38754684356170477</v>
      </c>
      <c r="AI262" s="1">
        <f t="shared" si="137"/>
        <v>4.0536506047982455</v>
      </c>
      <c r="AJ262" s="1">
        <f t="shared" si="137"/>
        <v>5.4317035206112587</v>
      </c>
      <c r="AK262" s="1">
        <f t="shared" si="137"/>
        <v>2.2040190315529804</v>
      </c>
      <c r="AL262" s="1">
        <f t="shared" si="137"/>
        <v>11.29284356227333</v>
      </c>
      <c r="AM262" s="1">
        <f t="shared" si="137"/>
        <v>2.989036804044972</v>
      </c>
      <c r="AN262" s="1">
        <f t="shared" si="137"/>
        <v>5.8658128172433468</v>
      </c>
      <c r="AO262" s="1">
        <f t="shared" si="137"/>
        <v>1.1128322026390369</v>
      </c>
      <c r="AP262" s="1">
        <f t="shared" si="137"/>
        <v>4.3304069946603851</v>
      </c>
    </row>
    <row r="263" spans="3:42" x14ac:dyDescent="0.2">
      <c r="C263" s="1" t="s">
        <v>148</v>
      </c>
      <c r="D263" s="1">
        <f t="shared" ref="D263:AP263" si="138">100*(1/D41-1)/((D73-today)/D$18)</f>
        <v>-0.21879976741507148</v>
      </c>
      <c r="E263" s="1">
        <f t="shared" si="138"/>
        <v>2.0511461664827615</v>
      </c>
      <c r="F263" s="1">
        <f t="shared" si="138"/>
        <v>0.8199896814871469</v>
      </c>
      <c r="G263" s="1">
        <f t="shared" si="138"/>
        <v>-0.6498612013940237</v>
      </c>
      <c r="H263" s="1">
        <f t="shared" si="138"/>
        <v>-0.27589737126530067</v>
      </c>
      <c r="I263" s="1">
        <f t="shared" si="138"/>
        <v>1.4128537711451743</v>
      </c>
      <c r="J263" s="1">
        <f t="shared" si="138"/>
        <v>2.7167231137615149</v>
      </c>
      <c r="K263" s="1">
        <f t="shared" si="138"/>
        <v>-0.32106712067641202</v>
      </c>
      <c r="L263" s="1">
        <f t="shared" si="138"/>
        <v>1.3536830319548934</v>
      </c>
      <c r="M263" s="1">
        <f t="shared" si="138"/>
        <v>-0.10052519145387014</v>
      </c>
      <c r="N263" s="1">
        <f t="shared" si="138"/>
        <v>3.176343415289208</v>
      </c>
      <c r="O263" s="1">
        <f t="shared" si="138"/>
        <v>2.1888611063092269</v>
      </c>
      <c r="P263" s="1">
        <f t="shared" si="138"/>
        <v>0.84244694026113109</v>
      </c>
      <c r="Q263" s="1">
        <f t="shared" si="138"/>
        <v>9.0017136752015894</v>
      </c>
      <c r="R263" s="1">
        <f t="shared" si="138"/>
        <v>-0.97642093565351618</v>
      </c>
      <c r="S263" s="1">
        <f t="shared" si="138"/>
        <v>12.909010876815564</v>
      </c>
      <c r="T263" s="1">
        <f t="shared" si="138"/>
        <v>2.034196845874658</v>
      </c>
      <c r="U263" s="1">
        <f t="shared" si="138"/>
        <v>5.334663917567422</v>
      </c>
      <c r="V263" s="1">
        <f t="shared" si="138"/>
        <v>9.949368952371282</v>
      </c>
      <c r="W263" s="1">
        <f t="shared" si="138"/>
        <v>8.718993657557256</v>
      </c>
      <c r="X263" s="1">
        <f t="shared" si="138"/>
        <v>6.4206458675993376</v>
      </c>
      <c r="Y263" s="1">
        <f t="shared" si="138"/>
        <v>8.4117350194259402</v>
      </c>
      <c r="Z263" s="1">
        <f t="shared" si="138"/>
        <v>2.0101226003390811</v>
      </c>
      <c r="AA263" s="1">
        <f t="shared" si="138"/>
        <v>1.6190424054032</v>
      </c>
      <c r="AB263" s="1">
        <f t="shared" si="138"/>
        <v>2.5730191721903148</v>
      </c>
      <c r="AC263" s="1">
        <f t="shared" si="138"/>
        <v>3.8608958954011241</v>
      </c>
      <c r="AD263" s="1">
        <f t="shared" si="138"/>
        <v>6.8687952340160958</v>
      </c>
      <c r="AE263" s="1">
        <f t="shared" si="138"/>
        <v>8.3320735461238815</v>
      </c>
      <c r="AF263" s="1">
        <f t="shared" si="138"/>
        <v>5.8857072399463526</v>
      </c>
      <c r="AG263" s="1">
        <f t="shared" si="138"/>
        <v>1.5499018205727244</v>
      </c>
      <c r="AH263" s="1">
        <f t="shared" si="138"/>
        <v>0.39739378117076773</v>
      </c>
      <c r="AI263" s="1">
        <f t="shared" si="138"/>
        <v>4.1717439948158157</v>
      </c>
      <c r="AJ263" s="1">
        <f t="shared" si="138"/>
        <v>5.5344076001146991</v>
      </c>
      <c r="AK263" s="1">
        <f t="shared" si="138"/>
        <v>2.2855941589195257</v>
      </c>
      <c r="AL263" s="1">
        <f t="shared" si="138"/>
        <v>11.364917114150311</v>
      </c>
      <c r="AM263" s="1">
        <f t="shared" si="138"/>
        <v>3.2610777834185916</v>
      </c>
      <c r="AN263" s="1">
        <f t="shared" si="138"/>
        <v>7.6037121512663761</v>
      </c>
      <c r="AO263" s="1">
        <f t="shared" si="138"/>
        <v>1.3058161650437836</v>
      </c>
      <c r="AP263" s="1">
        <f t="shared" si="138"/>
        <v>4.2170246899420913</v>
      </c>
    </row>
    <row r="264" spans="3:42" x14ac:dyDescent="0.2">
      <c r="C264" s="1" t="s">
        <v>150</v>
      </c>
      <c r="D264" s="270">
        <f>_xll.xlShmImplSwap(D$3,D$13,D74,0,D$14,D$17,0)*100</f>
        <v>-9.099999999999879E-2</v>
      </c>
      <c r="E264" s="270">
        <f>_xll.xlShmImplSwap(E$3,E$13,E74,0,E$14,E$17,0)*100</f>
        <v>2.3182591715031213</v>
      </c>
      <c r="F264" s="270">
        <f>_xll.xlShmImplSwap(F$3,F$13,F74,0,F$14,F$17,0)*100</f>
        <v>1.011237597988776</v>
      </c>
      <c r="G264" s="270">
        <f>_xll.xlShmImplSwap(G$3,G$13,G74,0,G$14,G$17,0)*100</f>
        <v>-0.56758676793560703</v>
      </c>
      <c r="H264" s="270">
        <f>_xll.xlShmImplSwap(H$3,H$13,H74,0,H$14,H$17,0)*100</f>
        <v>-0.27384358816499837</v>
      </c>
      <c r="I264" s="270">
        <f>_xll.xlShmImplSwap(I$3,I$13,I74,0,I$14,I$17,0)*100</f>
        <v>1.6452344102936372</v>
      </c>
      <c r="J264" s="270">
        <f>_xll.xlShmImplSwap(J$3,J$13,J74,0,J$14,J$17,0)*100</f>
        <v>2.9385815443469738</v>
      </c>
      <c r="K264" s="270">
        <f>_xll.xlShmImplSwap(K$3,K$13,K74,0,K$14,K$17,0)*100</f>
        <v>-0.16006484108433594</v>
      </c>
      <c r="L264" s="270">
        <f>_xll.xlShmImplSwap(L$3,L$13,L74,0,L$14,L$17,0)*100</f>
        <v>1.553353905544788</v>
      </c>
      <c r="M264" s="270">
        <f>_xll.xlShmImplSwap(M$3,M$13,M74,0,M$14,M$17,0)*100</f>
        <v>0.18697994004783705</v>
      </c>
      <c r="N264" s="270">
        <f>_xll.xlShmImplSwap(N$3,N$13,N74,0,N$14,N$17,0)*100</f>
        <v>3.4474776521442463</v>
      </c>
      <c r="O264" s="270">
        <f>_xll.xlShmImplSwap(O$3,O$13,O74,0,O$14,O$17,0)*100</f>
        <v>2.3999862040130342</v>
      </c>
      <c r="P264" s="270">
        <f>_xll.xlShmImplSwap(P$3,P$13,P74,0,P$14,P$17,0)*100</f>
        <v>1.0642811921068951</v>
      </c>
      <c r="Q264" s="270">
        <f>_xll.xlShmImplSwap(Q$3,Q$13,Q74,0,Q$14,Q$17,0)*100</f>
        <v>8.5502042199495421</v>
      </c>
      <c r="R264" s="270">
        <f>_xll.xlShmImplSwap(R$3,R$13,R74,0,R$14,R$17,0)*100</f>
        <v>-0.72360713688261735</v>
      </c>
      <c r="S264" s="270">
        <f>_xll.xlShmImplSwap(S$3,S$13,S74,0,S$14,0,1,S$17,0)*100</f>
        <v>11.022225894448708</v>
      </c>
      <c r="T264" s="270">
        <f>_xll.xlShmImplSwap(T$3,T$13,T74,0,T$14,0,1,T$17,0)*100</f>
        <v>2.3229333820721512</v>
      </c>
      <c r="U264" s="270">
        <f>_xll.xlShmImplSwap(U$3,U$13,U74,0,U$14,0,1,U$17,0)*100</f>
        <v>5.2740769743989704</v>
      </c>
      <c r="V264" s="270">
        <f>_xll.xlShmImplSwap(V$3,V$13,V74,0,V$14,0,1,V$17,0)*100</f>
        <v>8.6397302865412176</v>
      </c>
      <c r="W264" s="270">
        <f>_xll.xlShmImplSwap(W$3,W$13,W74,0,W$14,0,1,W$17,0)*100</f>
        <v>7.2845834760513988</v>
      </c>
      <c r="X264" s="270">
        <f>_xll.xlShmImplSwap(X$3,X$13,X74,0,X$14,0,1,X$17,0)*100</f>
        <v>5.2497193257288082</v>
      </c>
      <c r="Y264" s="270">
        <f>_xll.xlShmImplSwap(Y$3,Y$13,Y74,0,Y$14,0,1,Y$17,0)*100</f>
        <v>7.7109714116512924</v>
      </c>
      <c r="Z264" s="270">
        <f>_xll.xlShmImplSwap(Z$3,Z$13,Z74,0,Z$14,0,1,Z$17,0)*100</f>
        <v>1.8417936045472421</v>
      </c>
      <c r="AA264" s="270">
        <f>_xll.xlShmImplSwap(AA$3,AA$13,AA74,0,AA$14,0,1,AA$17,0)*100</f>
        <v>1.3676531000682406</v>
      </c>
      <c r="AB264" s="270">
        <f>_xll.xlShmImplSwap(AB$3,AB$13,AB74,0,AB$14,0,1,AB$17,0)*100</f>
        <v>2.4612551300502172</v>
      </c>
      <c r="AC264" s="270">
        <f>_xll.xlShmImplSwap(AC$3,AC$13,AC74,0,AC$14,0,1,AC$17,0)*100</f>
        <v>2.4991657666026788</v>
      </c>
      <c r="AD264" s="270">
        <f>_xll.xlShmImplSwap(AD$3,AD$13,AD74,0,AD$14,0,1,AD$17,0)*100</f>
        <v>3.9332372041413342</v>
      </c>
      <c r="AE264" s="270">
        <f>_xll.xlShmImplSwap(AE$3,AE$13,AE74,0,AE$14,0,1,AE$17,0)*100</f>
        <v>7.4295350973791692</v>
      </c>
      <c r="AF264" s="270">
        <f>_xll.xlShmImplSwap(AF$3,AF$13,AF74,0,AF$14,0,1,AF$17,0)*100</f>
        <v>5.2024227481200063</v>
      </c>
      <c r="AG264" s="270">
        <f>_xll.xlShmImplSwap(AG$3,AG$13,AG74,0,AG$14,0,1,AG$17,0)*100</f>
        <v>1.9128264676504576</v>
      </c>
      <c r="AH264" s="270">
        <f>_xll.xlShmImplSwap(AH$3,AH$13,AH74,0,AH$14,0,1,AH$17,0)*100</f>
        <v>0.34743851154784888</v>
      </c>
      <c r="AI264" s="270">
        <f>_xll.xlShmImplSwap(AI$3,AI$13,AI74,0,AI$14,0,1,AI$17,0)*100</f>
        <v>4.2628748350236085</v>
      </c>
      <c r="AJ264" s="270">
        <f>_xll.xlShmImplSwap(AJ$3,AJ$13,AJ74,0,AJ$14,0,1,AJ$17,0)*100</f>
        <v>5.3017118028796331</v>
      </c>
      <c r="AK264" s="270">
        <f>_xll.xlShmImplSwap(AK$3,AK$13,AK74,0,AK$14,0,1,AK$17,0)*100</f>
        <v>2.4768421550089443</v>
      </c>
      <c r="AL264" s="270" t="e">
        <f>_xll.xlShmImplSwap(AL$3,AL$13,AL74,0,AL$14,0,1,AL$17,0)*100</f>
        <v>#VALUE!</v>
      </c>
      <c r="AM264" s="270">
        <f>_xll.xlShmImplSwap(AM$3,AM$13,AM74,0,AM$14,0,1,AM$17,0)*100</f>
        <v>3.6066007691803961</v>
      </c>
      <c r="AN264" s="270" t="e">
        <f>_xll.xlShmImplSwap(AN$3,AN$13,AN74,0,AN$14,0,1,AN$17,0)*100</f>
        <v>#VALUE!</v>
      </c>
      <c r="AO264" s="270" t="e">
        <f>_xll.xlShmImplSwap(AO$3,AO$13,AO74,0,AO$14,0,1,AO$17,0)*100</f>
        <v>#VALUE!</v>
      </c>
      <c r="AP264" s="270">
        <f>_xll.xlShmImplSwap(AP$3,AP$13,AP74,0,AP$14,0,1,AP$17,0)*100</f>
        <v>3.629262136466624</v>
      </c>
    </row>
    <row r="265" spans="3:42" x14ac:dyDescent="0.2">
      <c r="C265" s="1" t="s">
        <v>153</v>
      </c>
      <c r="D265" s="1">
        <f>_xll.xlShmImplSwap(D$3,D$13,D75,0,D$14,D$17,0)*100</f>
        <v>9.0001190476921653E-3</v>
      </c>
      <c r="E265" s="1">
        <f>_xll.xlShmImplSwap(E$3,E$13,E75,0,E$14,E$17,0)*100</f>
        <v>2.4705293417761185</v>
      </c>
      <c r="F265" s="1">
        <f>_xll.xlShmImplSwap(F$3,F$13,F75,0,F$14,F$17,0)*100</f>
        <v>1.1517841939877822</v>
      </c>
      <c r="G265" s="1">
        <f>_xll.xlShmImplSwap(G$3,G$13,G75,0,G$14,G$17,0)*100</f>
        <v>-0.50895754308762087</v>
      </c>
      <c r="H265" s="1">
        <f>_xll.xlShmImplSwap(H$3,H$13,H75,0,H$14,H$17,0)*100</f>
        <v>-0.26993236841724311</v>
      </c>
      <c r="I265" s="1">
        <f>_xll.xlShmImplSwap(I$3,I$13,I75,0,I$14,I$17,0)*100</f>
        <v>1.8194361066377955</v>
      </c>
      <c r="J265" s="1">
        <f>_xll.xlShmImplSwap(J$3,J$13,J75,0,J$14,J$17,0)*100</f>
        <v>3.1068748392761663</v>
      </c>
      <c r="K265" s="1">
        <f>_xll.xlShmImplSwap(K$3,K$13,K75,0,K$14,K$17,0)*100</f>
        <v>-1.321992622589685E-2</v>
      </c>
      <c r="L265" s="1">
        <f>_xll.xlShmImplSwap(L$3,L$13,L75,0,L$14,L$17,0)*100</f>
        <v>1.7019228479489958</v>
      </c>
      <c r="M265" s="1">
        <f>_xll.xlShmImplSwap(M$3,M$13,M75,0,M$14,M$17,0)*100</f>
        <v>0.55285394128607168</v>
      </c>
      <c r="N265" s="1">
        <f>_xll.xlShmImplSwap(N$3,N$13,N75,0,N$14,N$17,0)*100</f>
        <v>3.6562056185176757</v>
      </c>
      <c r="O265" s="1">
        <f>_xll.xlShmImplSwap(O$3,O$13,O75,0,O$14,O$17,0)*100</f>
        <v>2.530182944087342</v>
      </c>
      <c r="P265" s="1">
        <f>_xll.xlShmImplSwap(P$3,P$13,P75,0,P$14,P$17,0)*100</f>
        <v>1.2013961978638559</v>
      </c>
      <c r="Q265" s="1">
        <f>_xll.xlShmImplSwap(Q$3,Q$13,Q75,0,Q$14,Q$17,0)*100</f>
        <v>8.6286506930953291</v>
      </c>
      <c r="R265" s="1">
        <f>_xll.xlShmImplSwap(R$3,R$13,R75,0,R$14,R$17,0)*100</f>
        <v>-0.58367418814811312</v>
      </c>
      <c r="S265" s="1">
        <f>_xll.xlShmImplSwap(S$3,S$13,S75,0,S$14,0,1,S$17,0)*100</f>
        <v>12.104883182248763</v>
      </c>
      <c r="T265" s="1">
        <f>_xll.xlShmImplSwap(T$3,T$13,T75,0,T$14,0,1,T$17,0)*100</f>
        <v>2.4184747761210534</v>
      </c>
      <c r="U265" s="1">
        <f>_xll.xlShmImplSwap(U$3,U$13,U75,0,U$14,0,1,U$17,0)*100</f>
        <v>4.8427594665366103</v>
      </c>
      <c r="V265" s="1">
        <f>_xll.xlShmImplSwap(V$3,V$13,V75,0,V$14,0,1,V$17,0)*100</f>
        <v>8.824913973406824</v>
      </c>
      <c r="W265" s="1">
        <f>_xll.xlShmImplSwap(W$3,W$13,W75,0,W$14,0,1,W$17,0)*100</f>
        <v>7.9388741745502935</v>
      </c>
      <c r="X265" s="1">
        <f>_xll.xlShmImplSwap(X$3,X$13,X75,0,X$14,0,1,X$17,0)*100</f>
        <v>6.3166295120523435</v>
      </c>
      <c r="Y265" s="1">
        <f>_xll.xlShmImplSwap(Y$3,Y$13,Y75,0,Y$14,0,1,Y$17,0)*100</f>
        <v>7.9293087622213303</v>
      </c>
      <c r="Z265" s="1">
        <f>_xll.xlShmImplSwap(Z$3,Z$13,Z75,0,Z$14,0,1,Z$17,0)*100</f>
        <v>2.2396560761607716</v>
      </c>
      <c r="AA265" s="1">
        <f>_xll.xlShmImplSwap(AA$3,AA$13,AA75,0,AA$14,0,1,AA$17,0)*100</f>
        <v>1.4780623180972741</v>
      </c>
      <c r="AB265" s="1">
        <f>_xll.xlShmImplSwap(AB$3,AB$13,AB75,0,AB$14,0,1,AB$17,0)*100</f>
        <v>2.9768196707410195</v>
      </c>
      <c r="AC265" s="1">
        <f>_xll.xlShmImplSwap(AC$3,AC$13,AC75,0,AC$14,0,1,AC$17,0)*100</f>
        <v>4.0449667686798314</v>
      </c>
      <c r="AD265" s="1">
        <f>_xll.xlShmImplSwap(AD$3,AD$13,AD75,0,AD$14,0,1,AD$17,0)*100</f>
        <v>6.4856052061518854</v>
      </c>
      <c r="AE265" s="1">
        <f>_xll.xlShmImplSwap(AE$3,AE$13,AE75,0,AE$14,0,1,AE$17,0)*100</f>
        <v>8.0042823839185733</v>
      </c>
      <c r="AF265" s="1">
        <f>_xll.xlShmImplSwap(AF$3,AF$13,AF75,0,AF$14,0,1,AF$17,0)*100</f>
        <v>5.7664756813871145</v>
      </c>
      <c r="AG265" s="1">
        <f>_xll.xlShmImplSwap(AG$3,AG$13,AG75,0,AG$14,0,1,AG$17,0)*100</f>
        <v>2.3803223447519777</v>
      </c>
      <c r="AH265" s="1">
        <f>_xll.xlShmImplSwap(AH$3,AH$13,AH75,0,AH$14,0,1,AH$17,0)*100</f>
        <v>0.38196157344714027</v>
      </c>
      <c r="AI265" s="1">
        <f>_xll.xlShmImplSwap(AI$3,AI$13,AI75,0,AI$14,0,1,AI$17,0)*100</f>
        <v>4.7708286732007679</v>
      </c>
      <c r="AJ265" s="1">
        <f>_xll.xlShmImplSwap(AJ$3,AJ$13,AJ75,0,AJ$14,0,1,AJ$17,0)*100</f>
        <v>4.7786186813714417</v>
      </c>
      <c r="AK265" s="1">
        <f>_xll.xlShmImplSwap(AK$3,AK$13,AK75,0,AK$14,0,1,AK$17,0)*100</f>
        <v>2.9155678160833993</v>
      </c>
      <c r="AL265" s="1" t="e">
        <f>_xll.xlShmImplSwap(AL$3,AL$13,AL75,0,AL$14,0,1,AL$17,0)*100</f>
        <v>#VALUE!</v>
      </c>
      <c r="AM265" s="1">
        <f>_xll.xlShmImplSwap(AM$3,AM$13,AM75,0,AM$14,0,1,AM$17,0)*100</f>
        <v>3.7798359958443557</v>
      </c>
      <c r="AN265" s="1" t="e">
        <f>_xll.xlShmImplSwap(AN$3,AN$13,AN75,0,AN$14,0,1,AN$17,0)*100</f>
        <v>#VALUE!</v>
      </c>
      <c r="AO265" s="1" t="e">
        <f>_xll.xlShmImplSwap(AO$3,AO$13,AO75,0,AO$14,0,1,AO$17,0)*100</f>
        <v>#VALUE!</v>
      </c>
      <c r="AP265" s="1">
        <f>_xll.xlShmImplSwap(AP$3,AP$13,AP75,0,AP$14,0,1,AP$17,0)*100</f>
        <v>4.106232419063887</v>
      </c>
    </row>
    <row r="266" spans="3:42" x14ac:dyDescent="0.2">
      <c r="C266" s="1" t="s">
        <v>156</v>
      </c>
      <c r="D266" s="1">
        <f>_xll.xlShmImplSwap(D$3,D$13,D76,0,D$14,D$17,0)*100</f>
        <v>0.12500092314240063</v>
      </c>
      <c r="E266" s="1">
        <f>_xll.xlShmImplSwap(E$3,E$13,E76,0,E$14,E$17,0)*100</f>
        <v>2.5913943088334261</v>
      </c>
      <c r="F266" s="1">
        <f>_xll.xlShmImplSwap(F$3,F$13,F76,0,F$14,F$17,0)*100</f>
        <v>1.3004133381516636</v>
      </c>
      <c r="G266" s="1">
        <f>_xll.xlShmImplSwap(G$3,G$13,G76,0,G$14,G$17,0)*100</f>
        <v>-0.43307240216161386</v>
      </c>
      <c r="H266" s="1">
        <f>_xll.xlShmImplSwap(H$3,H$13,H76,0,H$14,H$17,0)*100</f>
        <v>-0.25796302454858006</v>
      </c>
      <c r="I266" s="1">
        <f>_xll.xlShmImplSwap(I$3,I$13,I76,0,I$14,I$17,0)*100</f>
        <v>1.9735320661480604</v>
      </c>
      <c r="J266" s="1">
        <f>_xll.xlShmImplSwap(J$3,J$13,J76,0,J$14,J$17,0)*100</f>
        <v>3.261812929437192</v>
      </c>
      <c r="K266" s="1">
        <f>_xll.xlShmImplSwap(K$3,K$13,K76,0,K$14,K$17,0)*100</f>
        <v>0.12423440171080652</v>
      </c>
      <c r="L266" s="1">
        <f>_xll.xlShmImplSwap(L$3,L$13,L76,0,L$14,L$17,0)*100</f>
        <v>1.8192985840947609</v>
      </c>
      <c r="M266" s="1">
        <f>_xll.xlShmImplSwap(M$3,M$13,M76,0,M$14,M$17,0)*100</f>
        <v>0.8196499041438462</v>
      </c>
      <c r="N266" s="1">
        <f>_xll.xlShmImplSwap(N$3,N$13,N76,0,N$14,N$17,0)*100</f>
        <v>3.8428514125874944</v>
      </c>
      <c r="O266" s="1">
        <f>_xll.xlShmImplSwap(O$3,O$13,O76,0,O$14,O$17,0)*100</f>
        <v>2.637225419501068</v>
      </c>
      <c r="P266" s="1">
        <f>_xll.xlShmImplSwap(P$3,P$13,P76,0,P$14,P$17,0)*100</f>
        <v>1.31025758477279</v>
      </c>
      <c r="Q266" s="1">
        <f>_xll.xlShmImplSwap(Q$3,Q$13,Q76,0,Q$14,Q$17,0)*100</f>
        <v>8.7069967873119367</v>
      </c>
      <c r="R266" s="1">
        <f>_xll.xlShmImplSwap(R$3,R$13,R76,0,R$14,R$17,0)*100</f>
        <v>-0.48767732059209123</v>
      </c>
      <c r="S266" s="1">
        <f>_xll.xlShmImplSwap(S$3,S$13,S76,0,S$14,0,1,S$17,0)*100</f>
        <v>12.086970645594398</v>
      </c>
      <c r="T266" s="1">
        <f>_xll.xlShmImplSwap(T$3,T$13,T76,0,T$14,0,1,T$17,0)*100</f>
        <v>2.561648726545211</v>
      </c>
      <c r="U266" s="1">
        <f>_xll.xlShmImplSwap(U$3,U$13,U76,0,U$14,0,1,U$17,0)*100</f>
        <v>4.964228069298664</v>
      </c>
      <c r="V266" s="1">
        <f>_xll.xlShmImplSwap(V$3,V$13,V76,0,V$14,0,1,V$17,0)*100</f>
        <v>8.7719056244276565</v>
      </c>
      <c r="W266" s="1">
        <f>_xll.xlShmImplSwap(W$3,W$13,W76,0,W$14,0,1,W$17,0)*100</f>
        <v>7.8010048659582738</v>
      </c>
      <c r="X266" s="1">
        <f>_xll.xlShmImplSwap(X$3,X$13,X76,0,X$14,0,1,X$17,0)*100</f>
        <v>6.3126039438059074</v>
      </c>
      <c r="Y266" s="1">
        <f>_xll.xlShmImplSwap(Y$3,Y$13,Y76,0,Y$14,0,1,Y$17,0)*100</f>
        <v>8.0623510710943282</v>
      </c>
      <c r="Z266" s="1">
        <f>_xll.xlShmImplSwap(Z$3,Z$13,Z76,0,Z$14,0,1,Z$17,0)*100</f>
        <v>2.34912160521325</v>
      </c>
      <c r="AA266" s="1">
        <f>_xll.xlShmImplSwap(AA$3,AA$13,AA76,0,AA$14,0,1,AA$17,0)*100</f>
        <v>1.5092916230014879</v>
      </c>
      <c r="AB266" s="1">
        <f>_xll.xlShmImplSwap(AB$3,AB$13,AB76,0,AB$14,0,1,AB$17,0)*100</f>
        <v>3.099443300573157</v>
      </c>
      <c r="AC266" s="1">
        <f>_xll.xlShmImplSwap(AC$3,AC$13,AC76,0,AC$14,0,1,AC$17,0)*100</f>
        <v>4.1647987339954975</v>
      </c>
      <c r="AD266" s="1">
        <f>_xll.xlShmImplSwap(AD$3,AD$13,AD76,0,AD$14,0,1,AD$17,0)*100</f>
        <v>6.4938718638400896</v>
      </c>
      <c r="AE266" s="1">
        <f>_xll.xlShmImplSwap(AE$3,AE$13,AE76,0,AE$14,0,1,AE$17,0)*100</f>
        <v>8.0179816218134299</v>
      </c>
      <c r="AF266" s="1">
        <f>_xll.xlShmImplSwap(AF$3,AF$13,AF76,0,AF$14,0,1,AF$17,0)*100</f>
        <v>5.8148409389839273</v>
      </c>
      <c r="AG266" s="1">
        <f>_xll.xlShmImplSwap(AG$3,AG$13,AG76,0,AG$14,0,1,AG$17,0)*100</f>
        <v>2.6585841912105703</v>
      </c>
      <c r="AH266" s="1">
        <f>_xll.xlShmImplSwap(AH$3,AH$13,AH76,0,AH$14,0,1,AH$17,0)*100</f>
        <v>0.3824746738603535</v>
      </c>
      <c r="AI266" s="1">
        <f>_xll.xlShmImplSwap(AI$3,AI$13,AI76,0,AI$14,0,1,AI$17,0)*100</f>
        <v>4.8758878820932612</v>
      </c>
      <c r="AJ266" s="1">
        <f>_xll.xlShmImplSwap(AJ$3,AJ$13,AJ76,0,AJ$14,0,1,AJ$17,0)*100</f>
        <v>4.7906650957339618</v>
      </c>
      <c r="AK266" s="1">
        <f>_xll.xlShmImplSwap(AK$3,AK$13,AK76,0,AK$14,0,1,AK$17,0)*100</f>
        <v>3.2189549800542943</v>
      </c>
      <c r="AL266" s="1" t="e">
        <f>_xll.xlShmImplSwap(AL$3,AL$13,AL76,0,AL$14,0,1,AL$17,0)*100</f>
        <v>#VALUE!</v>
      </c>
      <c r="AM266" s="1">
        <f>_xll.xlShmImplSwap(AM$3,AM$13,AM76,0,AM$14,0,1,AM$17,0)*100</f>
        <v>4.069039306404469</v>
      </c>
      <c r="AN266" s="1" t="e">
        <f>_xll.xlShmImplSwap(AN$3,AN$13,AN76,0,AN$14,0,1,AN$17,0)*100</f>
        <v>#VALUE!</v>
      </c>
      <c r="AO266" s="1" t="e">
        <f>_xll.xlShmImplSwap(AO$3,AO$13,AO76,0,AO$14,0,1,AO$17,0)*100</f>
        <v>#VALUE!</v>
      </c>
      <c r="AP266" s="1">
        <f>_xll.xlShmImplSwap(AP$3,AP$13,AP76,0,AP$14,0,1,AP$17,0)*100</f>
        <v>4.1422291100453998</v>
      </c>
    </row>
    <row r="267" spans="3:42" x14ac:dyDescent="0.2">
      <c r="C267" s="1" t="s">
        <v>157</v>
      </c>
      <c r="D267" s="1">
        <f>_xll.xlShmImplSwap(D$3,D$13,D77,0,D$14,D$17,0)*100</f>
        <v>0.24600003167887996</v>
      </c>
      <c r="E267" s="1">
        <f>_xll.xlShmImplSwap(E$3,E$13,E77,0,E$14,E$17,0)*100</f>
        <v>2.6808705531559411</v>
      </c>
      <c r="F267" s="1">
        <f>_xll.xlShmImplSwap(F$3,F$13,F77,0,F$14,F$17,0)*100</f>
        <v>1.4111135891751605</v>
      </c>
      <c r="G267" s="1">
        <f>_xll.xlShmImplSwap(G$3,G$13,G77,0,G$14,G$17,0)*100</f>
        <v>-0.35283435577930772</v>
      </c>
      <c r="H267" s="1">
        <f>_xll.xlShmImplSwap(H$3,H$13,H77,0,H$14,H$17,0)*100</f>
        <v>-0.23231931092654684</v>
      </c>
      <c r="I267" s="1">
        <f>_xll.xlShmImplSwap(I$3,I$13,I77,0,I$14,I$17,0)*100</f>
        <v>2.0761157650805435</v>
      </c>
      <c r="J267" s="1">
        <f>_xll.xlShmImplSwap(J$3,J$13,J77,0,J$14,J$17,0)*100</f>
        <v>3.3901521566120327</v>
      </c>
      <c r="K267" s="1">
        <f>_xll.xlShmImplSwap(K$3,K$13,K77,0,K$14,K$17,0)*100</f>
        <v>0.21599689024007898</v>
      </c>
      <c r="L267" s="1">
        <f>_xll.xlShmImplSwap(L$3,L$13,L77,0,L$14,L$17,0)*100</f>
        <v>1.907347648177717</v>
      </c>
      <c r="M267" s="1">
        <f>_xll.xlShmImplSwap(M$3,M$13,M77,0,M$14,M$17,0)*100</f>
        <v>0.96704305713770988</v>
      </c>
      <c r="N267" s="1">
        <f>_xll.xlShmImplSwap(N$3,N$13,N77,0,N$14,N$17,0)*100</f>
        <v>4.1716381663453657</v>
      </c>
      <c r="O267" s="1">
        <f>_xll.xlShmImplSwap(O$3,O$13,O77,0,O$14,O$17,0)*100</f>
        <v>2.5997168508634241</v>
      </c>
      <c r="P267" s="1">
        <f>_xll.xlShmImplSwap(P$3,P$13,P77,0,P$14,P$17,0)*100</f>
        <v>1.7291073019635963</v>
      </c>
      <c r="Q267" s="1">
        <f>_xll.xlShmImplSwap(Q$3,Q$13,Q77,0,Q$14,Q$17,0)*100</f>
        <v>8.7224034527237624</v>
      </c>
      <c r="R267" s="1">
        <f>_xll.xlShmImplSwap(R$3,R$13,R77,0,R$14,R$17,0)*100</f>
        <v>0.5513871432199392</v>
      </c>
      <c r="S267" s="1">
        <f>_xll.xlShmImplSwap(S$3,S$13,S77,0,S$14,0,1,S$17,0)*100</f>
        <v>11.346399861866665</v>
      </c>
      <c r="T267" s="1">
        <f>_xll.xlShmImplSwap(T$3,T$13,T77,0,T$14,0,1,T$17,0)*100</f>
        <v>2.1226563773155256</v>
      </c>
      <c r="U267" s="1">
        <f>_xll.xlShmImplSwap(U$3,U$13,U77,0,U$14,0,1,U$17,0)*100</f>
        <v>4.6968395828166241</v>
      </c>
      <c r="V267" s="1">
        <f>_xll.xlShmImplSwap(V$3,V$13,V77,0,V$14,0,1,V$17,0)*100</f>
        <v>8.4275165368353555</v>
      </c>
      <c r="W267" s="1">
        <f>_xll.xlShmImplSwap(W$3,W$13,W77,0,W$14,0,1,W$17,0)*100</f>
        <v>7.1165558603764554</v>
      </c>
      <c r="X267" s="1">
        <f>_xll.xlShmImplSwap(X$3,X$13,X77,0,X$14,0,1,X$17,0)*100</f>
        <v>5.6963346563245976</v>
      </c>
      <c r="Y267" s="1">
        <f>_xll.xlShmImplSwap(Y$3,Y$13,Y77,0,Y$14,0,1,Y$17,0)*100</f>
        <v>8.0014420230919452</v>
      </c>
      <c r="Z267" s="1">
        <f>_xll.xlShmImplSwap(Z$3,Z$13,Z77,0,Z$14,0,1,Z$17,0)*100</f>
        <v>2.2931454537215115</v>
      </c>
      <c r="AA267" s="1">
        <f>_xll.xlShmImplSwap(AA$3,AA$13,AA77,0,AA$14,0,1,AA$17,0)*100</f>
        <v>1.5074894993916685</v>
      </c>
      <c r="AB267" s="1">
        <f>_xll.xlShmImplSwap(AB$3,AB$13,AB77,0,AB$14,0,1,AB$17,0)*100</f>
        <v>2.9992638674296477</v>
      </c>
      <c r="AC267" s="1">
        <f>_xll.xlShmImplSwap(AC$3,AC$13,AC77,0,AC$14,0,1,AC$17,0)*100</f>
        <v>3.4867676591874321</v>
      </c>
      <c r="AD267" s="1">
        <f>_xll.xlShmImplSwap(AD$3,AD$13,AD77,0,AD$14,0,1,AD$17,0)*100</f>
        <v>5.0820962461999519</v>
      </c>
      <c r="AE267" s="1">
        <f>_xll.xlShmImplSwap(AE$3,AE$13,AE77,0,AE$14,0,1,AE$17,0)*100</f>
        <v>6.6066280610543888</v>
      </c>
      <c r="AF267" s="1">
        <f>_xll.xlShmImplSwap(AF$3,AF$13,AF77,0,AF$14,0,1,AF$17,0)*100</f>
        <v>5.5619581375292571</v>
      </c>
      <c r="AG267" s="1">
        <f>_xll.xlShmImplSwap(AG$3,AG$13,AG77,0,AG$14,0,1,AG$17,0)*100</f>
        <v>2.8275576643697198</v>
      </c>
      <c r="AH267" s="1">
        <f>_xll.xlShmImplSwap(AH$3,AH$13,AH77,0,AH$14,0,1,AH$17,0)*100</f>
        <v>0.36545683551120411</v>
      </c>
      <c r="AI267" s="1">
        <f>_xll.xlShmImplSwap(AI$3,AI$13,AI77,0,AI$14,0,1,AI$17,0)*100</f>
        <v>4.7473761542086272</v>
      </c>
      <c r="AJ267" s="1">
        <f>_xll.xlShmImplSwap(AJ$3,AJ$13,AJ77,0,AJ$14,0,1,AJ$17,0)*100</f>
        <v>4.8026586491213168</v>
      </c>
      <c r="AK267" s="1">
        <f>_xll.xlShmImplSwap(AK$3,AK$13,AK77,0,AK$14,0,1,AK$17,0)*100</f>
        <v>3.3505059367386041</v>
      </c>
      <c r="AL267" s="1" t="e">
        <f>_xll.xlShmImplSwap(AL$3,AL$13,AL77,0,AL$14,0,1,AL$17,0)*100</f>
        <v>#VALUE!</v>
      </c>
      <c r="AM267" s="1">
        <f>_xll.xlShmImplSwap(AM$3,AM$13,AM77,0,AM$14,0,1,AM$17,0)*100</f>
        <v>4.2862273844834791</v>
      </c>
      <c r="AN267" s="1" t="e">
        <f>_xll.xlShmImplSwap(AN$3,AN$13,AN77,0,AN$14,0,1,AN$17,0)*100</f>
        <v>#VALUE!</v>
      </c>
      <c r="AO267" s="1" t="e">
        <f>_xll.xlShmImplSwap(AO$3,AO$13,AO77,0,AO$14,0,1,AO$17,0)*100</f>
        <v>#VALUE!</v>
      </c>
      <c r="AP267" s="1">
        <f>_xll.xlShmImplSwap(AP$3,AP$13,AP77,0,AP$14,0,1,AP$17,0)*100</f>
        <v>3.9235621274800745</v>
      </c>
    </row>
    <row r="268" spans="3:42" x14ac:dyDescent="0.2">
      <c r="C268" s="1" t="s">
        <v>158</v>
      </c>
      <c r="D268" s="1">
        <f>_xll.xlShmImplSwap(D$3,D$13,D78,0,D$14,D$17,0)*100</f>
        <v>0.37200004120255448</v>
      </c>
      <c r="E268" s="1">
        <f>_xll.xlShmImplSwap(E$3,E$13,E78,0,E$14,E$17,0)*100</f>
        <v>2.7540462493682494</v>
      </c>
      <c r="F268" s="1">
        <f>_xll.xlShmImplSwap(F$3,F$13,F78,0,F$14,F$17,0)*100</f>
        <v>1.5112642675439307</v>
      </c>
      <c r="G268" s="1">
        <f>_xll.xlShmImplSwap(G$3,G$13,G78,0,G$14,G$17,0)*100</f>
        <v>-0.30214174486545986</v>
      </c>
      <c r="H268" s="1">
        <f>_xll.xlShmImplSwap(H$3,H$13,H78,0,H$14,H$17,0)*100</f>
        <v>-0.18908327110806525</v>
      </c>
      <c r="I268" s="1">
        <f>_xll.xlShmImplSwap(I$3,I$13,I78,0,I$14,I$17,0)*100</f>
        <v>2.1985348907542583</v>
      </c>
      <c r="J268" s="1">
        <f>_xll.xlShmImplSwap(J$3,J$13,J78,0,J$14,J$17,0)*100</f>
        <v>3.4918228057414997</v>
      </c>
      <c r="K268" s="1">
        <f>_xll.xlShmImplSwap(K$3,K$13,K78,0,K$14,K$17,0)*100</f>
        <v>0.2825875597542683</v>
      </c>
      <c r="L268" s="1">
        <f>_xll.xlShmImplSwap(L$3,L$13,L78,0,L$14,L$17,0)*100</f>
        <v>2.0166827676726342</v>
      </c>
      <c r="M268" s="1">
        <f>_xll.xlShmImplSwap(M$3,M$13,M78,0,M$14,M$17,0)*100</f>
        <v>1.1701708754921698</v>
      </c>
      <c r="N268" s="1">
        <f>_xll.xlShmImplSwap(N$3,N$13,N78,0,N$14,N$17,0)*100</f>
        <v>4.1688241422893233</v>
      </c>
      <c r="O268" s="1">
        <f>_xll.xlShmImplSwap(O$3,O$13,O78,0,O$14,O$17,0)*100</f>
        <v>2.7049305678683546</v>
      </c>
      <c r="P268" s="1">
        <f>_xll.xlShmImplSwap(P$3,P$13,P78,0,P$14,P$17,0)*100</f>
        <v>1.9925773629792336</v>
      </c>
      <c r="Q268" s="1">
        <f>_xll.xlShmImplSwap(Q$3,Q$13,Q78,0,Q$14,Q$17,0)*100</f>
        <v>8.7080536490867981</v>
      </c>
      <c r="R268" s="1">
        <f>_xll.xlShmImplSwap(R$3,R$13,R78,0,R$14,R$17,0)*100</f>
        <v>0.62099418351126634</v>
      </c>
      <c r="S268" s="1">
        <f>_xll.xlShmImplSwap(S$3,S$13,S78,0,S$14,0,1,S$17,0)*100</f>
        <v>11.290374390329271</v>
      </c>
      <c r="T268" s="1">
        <f>_xll.xlShmImplSwap(T$3,T$13,T78,0,T$14,0,1,T$17,0)*100</f>
        <v>2.2079094096140555</v>
      </c>
      <c r="U268" s="1">
        <f>_xll.xlShmImplSwap(U$3,U$13,U78,0,U$14,0,1,U$17,0)*100</f>
        <v>4.511569632856621</v>
      </c>
      <c r="V268" s="1">
        <f>_xll.xlShmImplSwap(V$3,V$13,V78,0,V$14,0,1,V$17,0)*100</f>
        <v>8.335853443797447</v>
      </c>
      <c r="W268" s="1">
        <f>_xll.xlShmImplSwap(W$3,W$13,W78,0,W$14,0,1,W$17,0)*100</f>
        <v>7.0339859062541352</v>
      </c>
      <c r="X268" s="1">
        <f>_xll.xlShmImplSwap(X$3,X$13,X78,0,X$14,0,1,X$17,0)*100</f>
        <v>5.7570831134745815</v>
      </c>
      <c r="Y268" s="1">
        <f>_xll.xlShmImplSwap(Y$3,Y$13,Y78,0,Y$14,0,1,Y$17,0)*100</f>
        <v>8.0283332517932244</v>
      </c>
      <c r="Z268" s="1">
        <f>_xll.xlShmImplSwap(Z$3,Z$13,Z78,0,Z$14,0,1,Z$17,0)*100</f>
        <v>2.3787651396766138</v>
      </c>
      <c r="AA268" s="1">
        <f>_xll.xlShmImplSwap(AA$3,AA$13,AA78,0,AA$14,0,1,AA$17,0)*100</f>
        <v>1.5391365203020391</v>
      </c>
      <c r="AB268" s="1">
        <f>_xll.xlShmImplSwap(AB$3,AB$13,AB78,0,AB$14,0,1,AB$17,0)*100</f>
        <v>3.0961714571782633</v>
      </c>
      <c r="AC268" s="1">
        <f>_xll.xlShmImplSwap(AC$3,AC$13,AC78,0,AC$14,0,1,AC$17,0)*100</f>
        <v>3.6470637862519655</v>
      </c>
      <c r="AD268" s="1">
        <f>_xll.xlShmImplSwap(AD$3,AD$13,AD78,0,AD$14,0,1,AD$17,0)*100</f>
        <v>5.2366108077679536</v>
      </c>
      <c r="AE268" s="1">
        <f>_xll.xlShmImplSwap(AE$3,AE$13,AE78,0,AE$14,0,1,AE$17,0)*100</f>
        <v>7.3859646648361297</v>
      </c>
      <c r="AF268" s="1">
        <f>_xll.xlShmImplSwap(AF$3,AF$13,AF78,0,AF$14,0,1,AF$17,0)*100</f>
        <v>5.6117844847030085</v>
      </c>
      <c r="AG268" s="1">
        <f>_xll.xlShmImplSwap(AG$3,AG$13,AG78,0,AG$14,0,1,AG$17,0)*100</f>
        <v>2.9760876172344632</v>
      </c>
      <c r="AH268" s="1">
        <f>_xll.xlShmImplSwap(AH$3,AH$13,AH78,0,AH$14,0,1,AH$17,0)*100</f>
        <v>0.36802706492198722</v>
      </c>
      <c r="AI268" s="1">
        <f>_xll.xlShmImplSwap(AI$3,AI$13,AI78,0,AI$14,0,1,AI$17,0)*100</f>
        <v>4.8240953151703003</v>
      </c>
      <c r="AJ268" s="1">
        <f>_xll.xlShmImplSwap(AJ$3,AJ$13,AJ78,0,AJ$14,0,1,AJ$17,0)*100</f>
        <v>4.8160791691022702</v>
      </c>
      <c r="AK268" s="1">
        <f>_xll.xlShmImplSwap(AK$3,AK$13,AK78,0,AK$14,0,1,AK$17,0)*100</f>
        <v>3.511983312671024</v>
      </c>
      <c r="AL268" s="1" t="e">
        <f>_xll.xlShmImplSwap(AL$3,AL$13,AL78,0,AL$14,0,1,AL$17,0)*100</f>
        <v>#VALUE!</v>
      </c>
      <c r="AM268" s="1">
        <f>_xll.xlShmImplSwap(AM$3,AM$13,AM78,0,AM$14,0,1,AM$17,0)*100</f>
        <v>4.4403210571079752</v>
      </c>
      <c r="AN268" s="1" t="e">
        <f>_xll.xlShmImplSwap(AN$3,AN$13,AN78,0,AN$14,0,1,AN$17,0)*100</f>
        <v>#VALUE!</v>
      </c>
      <c r="AO268" s="1" t="e">
        <f>_xll.xlShmImplSwap(AO$3,AO$13,AO78,0,AO$14,0,1,AO$17,0)*100</f>
        <v>#VALUE!</v>
      </c>
      <c r="AP268" s="1">
        <f>_xll.xlShmImplSwap(AP$3,AP$13,AP78,0,AP$14,0,1,AP$17,0)*100</f>
        <v>3.9818415942755383</v>
      </c>
    </row>
    <row r="269" spans="3:42" x14ac:dyDescent="0.2">
      <c r="C269" s="1" t="s">
        <v>160</v>
      </c>
      <c r="D269" s="1">
        <f>_xll.xlShmImplSwap(D$3,D$13,D79,0,D$14,D$17,0)*100</f>
        <v>0.49900004856907609</v>
      </c>
      <c r="E269" s="1">
        <f>_xll.xlShmImplSwap(E$3,E$13,E79,0,E$14,E$17,0)*100</f>
        <v>2.8108496944582986</v>
      </c>
      <c r="F269" s="1">
        <f>_xll.xlShmImplSwap(F$3,F$13,F79,0,F$14,F$17,0)*100</f>
        <v>1.608312223482995</v>
      </c>
      <c r="G269" s="1">
        <f>_xll.xlShmImplSwap(G$3,G$13,G79,0,G$14,G$17,0)*100</f>
        <v>-0.22973866522800424</v>
      </c>
      <c r="H269" s="1">
        <f>_xll.xlShmImplSwap(H$3,H$13,H79,0,H$14,H$17,0)*100</f>
        <v>-0.16855689313617059</v>
      </c>
      <c r="I269" s="1">
        <f>_xll.xlShmImplSwap(I$3,I$13,I79,0,I$14,I$17,0)*100</f>
        <v>2.295151612372957</v>
      </c>
      <c r="J269" s="1">
        <f>_xll.xlShmImplSwap(J$3,J$13,J79,0,J$14,J$17,0)*100</f>
        <v>3.5758799721949703</v>
      </c>
      <c r="K269" s="1">
        <f>_xll.xlShmImplSwap(K$3,K$13,K79,0,K$14,K$17,0)*100</f>
        <v>0.32441845497727861</v>
      </c>
      <c r="L269" s="1">
        <f>_xll.xlShmImplSwap(L$3,L$13,L79,0,L$14,L$17,0)*100</f>
        <v>2.0848985044397614</v>
      </c>
      <c r="M269" s="1">
        <f>_xll.xlShmImplSwap(M$3,M$13,M79,0,M$14,M$17,0)*100</f>
        <v>1.3727451530157695</v>
      </c>
      <c r="N269" s="1">
        <f>_xll.xlShmImplSwap(N$3,N$13,N79,0,N$14,N$17,0)*100</f>
        <v>4.2889164718229971</v>
      </c>
      <c r="O269" s="1">
        <f>_xll.xlShmImplSwap(O$3,O$13,O79,0,O$14,O$17,0)*100</f>
        <v>2.7949784087974394</v>
      </c>
      <c r="P269" s="1">
        <f>_xll.xlShmImplSwap(P$3,P$13,P79,0,P$14,P$17,0)*100</f>
        <v>2.2239492816566027</v>
      </c>
      <c r="Q269" s="1">
        <f>_xll.xlShmImplSwap(Q$3,Q$13,Q79,0,Q$14,Q$17,0)*100</f>
        <v>8.6728679061408354</v>
      </c>
      <c r="R269" s="1">
        <f>_xll.xlShmImplSwap(R$3,R$13,R79,0,R$14,R$17,0)*100</f>
        <v>0.69015201878294685</v>
      </c>
      <c r="S269" s="1">
        <f>_xll.xlShmImplSwap(S$3,S$13,S79,0,S$14,0,1,S$17,0)*100</f>
        <v>11.199612681352658</v>
      </c>
      <c r="T269" s="1">
        <f>_xll.xlShmImplSwap(T$3,T$13,T79,0,T$14,0,1,T$17,0)*100</f>
        <v>2.2966667824061169</v>
      </c>
      <c r="U269" s="1">
        <f>_xll.xlShmImplSwap(U$3,U$13,U79,0,U$14,0,1,U$17,0)*100</f>
        <v>4.6287259734915542</v>
      </c>
      <c r="V269" s="1">
        <f>_xll.xlShmImplSwap(V$3,V$13,V79,0,V$14,0,1,V$17,0)*100</f>
        <v>8.2705762003396757</v>
      </c>
      <c r="W269" s="1">
        <f>_xll.xlShmImplSwap(W$3,W$13,W79,0,W$14,0,1,W$17,0)*100</f>
        <v>6.9625287553329374</v>
      </c>
      <c r="X269" s="1">
        <f>_xll.xlShmImplSwap(X$3,X$13,X79,0,X$14,0,1,X$17,0)*100</f>
        <v>5.7937944425379708</v>
      </c>
      <c r="Y269" s="1">
        <f>_xll.xlShmImplSwap(Y$3,Y$13,Y79,0,Y$14,0,1,Y$17,0)*100</f>
        <v>8.0253177224012493</v>
      </c>
      <c r="Z269" s="1">
        <f>_xll.xlShmImplSwap(Z$3,Z$13,Z79,0,Z$14,0,1,Z$17,0)*100</f>
        <v>2.442594720929844</v>
      </c>
      <c r="AA269" s="1">
        <f>_xll.xlShmImplSwap(AA$3,AA$13,AA79,0,AA$14,0,1,AA$17,0)*100</f>
        <v>1.559541860237496</v>
      </c>
      <c r="AB269" s="1">
        <f>_xll.xlShmImplSwap(AB$3,AB$13,AB79,0,AB$14,0,1,AB$17,0)*100</f>
        <v>3.1682121687637643</v>
      </c>
      <c r="AC269" s="1">
        <f>_xll.xlShmImplSwap(AC$3,AC$13,AC79,0,AC$14,0,1,AC$17,0)*100</f>
        <v>3.7644692137491576</v>
      </c>
      <c r="AD269" s="1">
        <f>_xll.xlShmImplSwap(AD$3,AD$13,AD79,0,AD$14,0,1,AD$17,0)*100</f>
        <v>5.3419210662990597</v>
      </c>
      <c r="AE269" s="1">
        <f>_xll.xlShmImplSwap(AE$3,AE$13,AE79,0,AE$14,0,1,AE$17,0)*100</f>
        <v>7.4356138959123079</v>
      </c>
      <c r="AF269" s="1">
        <f>_xll.xlShmImplSwap(AF$3,AF$13,AF79,0,AF$14,0,1,AF$17,0)*100</f>
        <v>5.6410120076146217</v>
      </c>
      <c r="AG269" s="1">
        <f>_xll.xlShmImplSwap(AG$3,AG$13,AG79,0,AG$14,0,1,AG$17,0)*100</f>
        <v>3.0861271813548004</v>
      </c>
      <c r="AH269" s="1">
        <f>_xll.xlShmImplSwap(AH$3,AH$13,AH79,0,AH$14,0,1,AH$17,0)*100</f>
        <v>0.36995973530972748</v>
      </c>
      <c r="AI269" s="1">
        <f>_xll.xlShmImplSwap(AI$3,AI$13,AI79,0,AI$14,0,1,AI$17,0)*100</f>
        <v>4.8765417033260112</v>
      </c>
      <c r="AJ269" s="1">
        <f>_xll.xlShmImplSwap(AJ$3,AJ$13,AJ79,0,AJ$14,0,1,AJ$17,0)*100</f>
        <v>5.0670774598742447</v>
      </c>
      <c r="AK269" s="1">
        <f>_xll.xlShmImplSwap(AK$3,AK$13,AK79,0,AK$14,0,1,AK$17,0)*100</f>
        <v>3.6300606151441337</v>
      </c>
      <c r="AL269" s="1" t="e">
        <f>_xll.xlShmImplSwap(AL$3,AL$13,AL79,0,AL$14,0,1,AL$17,0)*100</f>
        <v>#VALUE!</v>
      </c>
      <c r="AM269" s="1">
        <f>_xll.xlShmImplSwap(AM$3,AM$13,AM79,0,AM$14,0,1,AM$17,0)*100</f>
        <v>4.5923556779029902</v>
      </c>
      <c r="AN269" s="1" t="e">
        <f>_xll.xlShmImplSwap(AN$3,AN$13,AN79,0,AN$14,0,1,AN$17,0)*100</f>
        <v>#VALUE!</v>
      </c>
      <c r="AO269" s="1" t="e">
        <f>_xll.xlShmImplSwap(AO$3,AO$13,AO79,0,AO$14,0,1,AO$17,0)*100</f>
        <v>#VALUE!</v>
      </c>
      <c r="AP269" s="1">
        <f>_xll.xlShmImplSwap(AP$3,AP$13,AP79,0,AP$14,0,1,AP$17,0)*100</f>
        <v>4.0244434702897864</v>
      </c>
    </row>
    <row r="270" spans="3:42" x14ac:dyDescent="0.2">
      <c r="C270" s="1" t="s">
        <v>162</v>
      </c>
      <c r="D270" s="1">
        <f>_xll.xlShmImplSwap(D$3,D$13,D80,0,D$14,D$17,0)*100</f>
        <v>0.6220000540905809</v>
      </c>
      <c r="E270" s="1">
        <f>_xll.xlShmImplSwap(E$3,E$13,E80,0,E$14,E$17,0)*100</f>
        <v>2.8560485500790498</v>
      </c>
      <c r="F270" s="1">
        <f>_xll.xlShmImplSwap(F$3,F$13,F80,0,F$14,F$17,0)*100</f>
        <v>1.685680300130048</v>
      </c>
      <c r="G270" s="1">
        <f>_xll.xlShmImplSwap(G$3,G$13,G80,0,G$14,G$17,0)*100</f>
        <v>-0.17346371667579411</v>
      </c>
      <c r="H270" s="1">
        <f>_xll.xlShmImplSwap(H$3,H$13,H80,0,H$14,H$17,0)*100</f>
        <v>-0.14143833234494149</v>
      </c>
      <c r="I270" s="1">
        <f>_xll.xlShmImplSwap(I$3,I$13,I80,0,I$14,I$17,0)*100</f>
        <v>2.3864607537602374</v>
      </c>
      <c r="J270" s="1">
        <f>_xll.xlShmImplSwap(J$3,J$13,J80,0,J$14,J$17,0)*100</f>
        <v>3.6473967510416547</v>
      </c>
      <c r="K270" s="1">
        <f>_xll.xlShmImplSwap(K$3,K$13,K80,0,K$14,K$17,0)*100</f>
        <v>0.35146905448321591</v>
      </c>
      <c r="L270" s="1">
        <f>_xll.xlShmImplSwap(L$3,L$13,L80,0,L$14,L$17,0)*100</f>
        <v>2.1494744509580213</v>
      </c>
      <c r="M270" s="1">
        <f>_xll.xlShmImplSwap(M$3,M$13,M80,0,M$14,M$17,0)*100</f>
        <v>1.5292701610670822</v>
      </c>
      <c r="N270" s="1">
        <f>_xll.xlShmImplSwap(N$3,N$13,N80,0,N$14,N$17,0)*100</f>
        <v>4.3536745147227478</v>
      </c>
      <c r="O270" s="1">
        <f>_xll.xlShmImplSwap(O$3,O$13,O80,0,O$14,O$17,0)*100</f>
        <v>2.8747171552067079</v>
      </c>
      <c r="P270" s="1">
        <f>_xll.xlShmImplSwap(P$3,P$13,P80,0,P$14,P$17,0)*100</f>
        <v>2.4374760042851418</v>
      </c>
      <c r="Q270" s="1">
        <f>_xll.xlShmImplSwap(Q$3,Q$13,Q80,0,Q$14,Q$17,0)*100</f>
        <v>8.6277427154166535</v>
      </c>
      <c r="R270" s="1">
        <f>_xll.xlShmImplSwap(R$3,R$13,R80,0,R$14,R$17,0)*100</f>
        <v>0.76122315759360726</v>
      </c>
      <c r="S270" s="1">
        <f>_xll.xlShmImplSwap(S$3,S$13,S80,0,S$14,0,1,S$17,0)*100</f>
        <v>11.099121829141806</v>
      </c>
      <c r="T270" s="1">
        <f>_xll.xlShmImplSwap(T$3,T$13,T80,0,T$14,0,1,T$17,0)*100</f>
        <v>2.3464124394959662</v>
      </c>
      <c r="U270" s="1">
        <f>_xll.xlShmImplSwap(U$3,U$13,U80,0,U$14,0,1,U$17,0)*100</f>
        <v>4.5018021151360692</v>
      </c>
      <c r="V270" s="1">
        <f>_xll.xlShmImplSwap(V$3,V$13,V80,0,V$14,0,1,V$17,0)*100</f>
        <v>8.2063596025919807</v>
      </c>
      <c r="W270" s="1">
        <f>_xll.xlShmImplSwap(W$3,W$13,W80,0,W$14,0,1,W$17,0)*100</f>
        <v>6.9013936112047158</v>
      </c>
      <c r="X270" s="1">
        <f>_xll.xlShmImplSwap(X$3,X$13,X80,0,X$14,0,1,X$17,0)*100</f>
        <v>5.8169180944191607</v>
      </c>
      <c r="Y270" s="1">
        <f>_xll.xlShmImplSwap(Y$3,Y$13,Y80,0,Y$14,0,1,Y$17,0)*100</f>
        <v>8.0068749681906368</v>
      </c>
      <c r="Z270" s="1">
        <f>_xll.xlShmImplSwap(Z$3,Z$13,Z80,0,Z$14,0,1,Z$17,0)*100</f>
        <v>2.4938514069852729</v>
      </c>
      <c r="AA270" s="1">
        <f>_xll.xlShmImplSwap(AA$3,AA$13,AA80,0,AA$14,0,1,AA$17,0)*100</f>
        <v>1.5750494294306743</v>
      </c>
      <c r="AB270" s="1">
        <f>_xll.xlShmImplSwap(AB$3,AB$13,AB80,0,AB$14,0,1,AB$17,0)*100</f>
        <v>3.225533323142745</v>
      </c>
      <c r="AC270" s="1">
        <f>_xll.xlShmImplSwap(AC$3,AC$13,AC80,0,AC$14,0,1,AC$17,0)*100</f>
        <v>3.8550176029251091</v>
      </c>
      <c r="AD270" s="1">
        <f>_xll.xlShmImplSwap(AD$3,AD$13,AD80,0,AD$14,0,1,AD$17,0)*100</f>
        <v>5.4167347698324262</v>
      </c>
      <c r="AE270" s="1">
        <f>_xll.xlShmImplSwap(AE$3,AE$13,AE80,0,AE$14,0,1,AE$17,0)*100</f>
        <v>7.4807897827758705</v>
      </c>
      <c r="AF270" s="1">
        <f>_xll.xlShmImplSwap(AF$3,AF$13,AF80,0,AF$14,0,1,AF$17,0)*100</f>
        <v>5.6588956593262694</v>
      </c>
      <c r="AG270" s="1">
        <f>_xll.xlShmImplSwap(AG$3,AG$13,AG80,0,AG$14,0,1,AG$17,0)*100</f>
        <v>3.1726423147482397</v>
      </c>
      <c r="AH270" s="1">
        <f>_xll.xlShmImplSwap(AH$3,AH$13,AH80,0,AH$14,0,1,AH$17,0)*100</f>
        <v>0.37145822084096708</v>
      </c>
      <c r="AI270" s="1">
        <f>_xll.xlShmImplSwap(AI$3,AI$13,AI80,0,AI$14,0,1,AI$17,0)*100</f>
        <v>4.9148858691743298</v>
      </c>
      <c r="AJ270" s="1">
        <f>_xll.xlShmImplSwap(AJ$3,AJ$13,AJ80,0,AJ$14,0,1,AJ$17,0)*100</f>
        <v>5.0533394466825312</v>
      </c>
      <c r="AK270" s="1">
        <f>_xll.xlShmImplSwap(AK$3,AK$13,AK80,0,AK$14,0,1,AK$17,0)*100</f>
        <v>3.7732952434946081</v>
      </c>
      <c r="AL270" s="1" t="e">
        <f>_xll.xlShmImplSwap(AL$3,AL$13,AL80,0,AL$14,0,1,AL$17,0)*100</f>
        <v>#VALUE!</v>
      </c>
      <c r="AM270" s="1">
        <f>_xll.xlShmImplSwap(AM$3,AM$13,AM80,0,AM$14,0,1,AM$17,0)*100</f>
        <v>4.655360673164334</v>
      </c>
      <c r="AN270" s="1" t="e">
        <f>_xll.xlShmImplSwap(AN$3,AN$13,AN80,0,AN$14,0,1,AN$17,0)*100</f>
        <v>#VALUE!</v>
      </c>
      <c r="AO270" s="1" t="e">
        <f>_xll.xlShmImplSwap(AO$3,AO$13,AO80,0,AO$14,0,1,AO$17,0)*100</f>
        <v>#VALUE!</v>
      </c>
      <c r="AP270" s="1">
        <f>_xll.xlShmImplSwap(AP$3,AP$13,AP80,0,AP$14,0,1,AP$17,0)*100</f>
        <v>4.0576426731555166</v>
      </c>
    </row>
    <row r="271" spans="3:42" x14ac:dyDescent="0.2">
      <c r="C271" s="1" t="s">
        <v>164</v>
      </c>
      <c r="D271" s="1">
        <f>_xll.xlShmImplSwap(D$3,D$13,D81,0,D$14,D$17,0)*100</f>
        <v>0.7340009439727041</v>
      </c>
      <c r="E271" s="1">
        <f>_xll.xlShmImplSwap(E$3,E$13,E81,0,E$14,E$17,0)*100</f>
        <v>2.8945728271840561</v>
      </c>
      <c r="F271" s="1">
        <f>_xll.xlShmImplSwap(F$3,F$13,F81,0,F$14,F$17,0)*100</f>
        <v>1.7505926530958857</v>
      </c>
      <c r="G271" s="1">
        <f>_xll.xlShmImplSwap(G$3,G$13,G81,0,G$14,G$17,0)*100</f>
        <v>-5.6702086650054516E-2</v>
      </c>
      <c r="H271" s="1">
        <f>_xll.xlShmImplSwap(H$3,H$13,H81,0,H$14,H$17,0)*100</f>
        <v>1.9464284798461046E-2</v>
      </c>
      <c r="I271" s="1">
        <f>_xll.xlShmImplSwap(I$3,I$13,I81,0,I$14,I$17,0)*100</f>
        <v>2.4733801403039761</v>
      </c>
      <c r="J271" s="1">
        <f>_xll.xlShmImplSwap(J$3,J$13,J81,0,J$14,J$17,0)*100</f>
        <v>3.7127907587736599</v>
      </c>
      <c r="K271" s="1">
        <f>_xll.xlShmImplSwap(K$3,K$13,K81,0,K$14,K$17,0)*100</f>
        <v>0.36851512518269652</v>
      </c>
      <c r="L271" s="1">
        <f>_xll.xlShmImplSwap(L$3,L$13,L81,0,L$14,L$17,0)*100</f>
        <v>2.2002978280294951</v>
      </c>
      <c r="M271" s="1">
        <f>_xll.xlShmImplSwap(M$3,M$13,M81,0,M$14,M$17,0)*100</f>
        <v>1.6695068976099718</v>
      </c>
      <c r="N271" s="1">
        <f>_xll.xlShmImplSwap(N$3,N$13,N81,0,N$14,N$17,0)*100</f>
        <v>4.3892913283265598</v>
      </c>
      <c r="O271" s="1">
        <f>_xll.xlShmImplSwap(O$3,O$13,O81,0,O$14,O$17,0)*100</f>
        <v>2.9451544051909262</v>
      </c>
      <c r="P271" s="1">
        <f>_xll.xlShmImplSwap(P$3,P$13,P81,0,P$14,P$17,0)*100</f>
        <v>2.6321644698113054</v>
      </c>
      <c r="Q271" s="1">
        <f>_xll.xlShmImplSwap(Q$3,Q$13,Q81,0,Q$14,Q$17,0)*100</f>
        <v>8.5782082336133758</v>
      </c>
      <c r="R271" s="1">
        <f>_xll.xlShmImplSwap(R$3,R$13,R81,0,R$14,R$17,0)*100</f>
        <v>0.83136715257840121</v>
      </c>
      <c r="S271" s="1">
        <f>_xll.xlShmImplSwap(S$3,S$13,S81,0,S$14,0,1,S$17,0)*100</f>
        <v>11.453989472076323</v>
      </c>
      <c r="T271" s="1">
        <f>_xll.xlShmImplSwap(T$3,T$13,T81,0,T$14,0,1,T$17,0)*100</f>
        <v>2.3651539481186932</v>
      </c>
      <c r="U271" s="1">
        <f>_xll.xlShmImplSwap(U$3,U$13,U81,0,U$14,0,1,U$17,0)*100</f>
        <v>4.1771570428619933</v>
      </c>
      <c r="V271" s="1">
        <f>_xll.xlShmImplSwap(V$3,V$13,V81,0,V$14,0,1,V$17,0)*100</f>
        <v>8.282448342677192</v>
      </c>
      <c r="W271" s="1">
        <f>_xll.xlShmImplSwap(W$3,W$13,W81,0,W$14,0,1,W$17,0)*100</f>
        <v>7.1783869832093714</v>
      </c>
      <c r="X271" s="1">
        <f>_xll.xlShmImplSwap(X$3,X$13,X81,0,X$14,0,1,X$17,0)*100</f>
        <v>6.2351237064057772</v>
      </c>
      <c r="Y271" s="1">
        <f>_xll.xlShmImplSwap(Y$3,Y$13,Y81,0,Y$14,0,1,Y$17,0)*100</f>
        <v>8.0564529637813269</v>
      </c>
      <c r="Z271" s="1">
        <f>_xll.xlShmImplSwap(Z$3,Z$13,Z81,0,Z$14,0,1,Z$17,0)*100</f>
        <v>2.6241432730658354</v>
      </c>
      <c r="AA271" s="1">
        <f>_xll.xlShmImplSwap(AA$3,AA$13,AA81,0,AA$14,0,1,AA$17,0)*100</f>
        <v>1.6071308133109985</v>
      </c>
      <c r="AB271" s="1">
        <f>_xll.xlShmImplSwap(AB$3,AB$13,AB81,0,AB$14,0,1,AB$17,0)*100</f>
        <v>3.5296703039677504</v>
      </c>
      <c r="AC271" s="1">
        <f>_xll.xlShmImplSwap(AC$3,AC$13,AC81,0,AC$14,0,1,AC$17,0)*100</f>
        <v>4.4237002220667172</v>
      </c>
      <c r="AD271" s="1">
        <f>_xll.xlShmImplSwap(AD$3,AD$13,AD81,0,AD$14,0,1,AD$17,0)*100</f>
        <v>6.4167852046773737</v>
      </c>
      <c r="AE271" s="1">
        <f>_xll.xlShmImplSwap(AE$3,AE$13,AE81,0,AE$14,0,1,AE$17,0)*100</f>
        <v>7.7183314823352482</v>
      </c>
      <c r="AF271" s="1">
        <f>_xll.xlShmImplSwap(AF$3,AF$13,AF81,0,AF$14,0,1,AF$17,0)*100</f>
        <v>5.8545988148687513</v>
      </c>
      <c r="AG271" s="1">
        <f>_xll.xlShmImplSwap(AG$3,AG$13,AG81,0,AG$14,0,1,AG$17,0)*100</f>
        <v>3.2584910946414603</v>
      </c>
      <c r="AH271" s="1">
        <f>_xll.xlShmImplSwap(AH$3,AH$13,AH81,0,AH$14,0,1,AH$17,0)*100</f>
        <v>0.38297389259613068</v>
      </c>
      <c r="AI271" s="1">
        <f>_xll.xlShmImplSwap(AI$3,AI$13,AI81,0,AI$14,0,1,AI$17,0)*100</f>
        <v>5.0745646470754719</v>
      </c>
      <c r="AJ271" s="1">
        <f>_xll.xlShmImplSwap(AJ$3,AJ$13,AJ81,0,AJ$14,0,1,AJ$17,0)*100</f>
        <v>4.8300766204815986</v>
      </c>
      <c r="AK271" s="1">
        <f>_xll.xlShmImplSwap(AK$3,AK$13,AK81,0,AK$14,0,1,AK$17,0)*100</f>
        <v>3.8418921258810803</v>
      </c>
      <c r="AL271" s="1" t="e">
        <f>_xll.xlShmImplSwap(AL$3,AL$13,AL81,0,AL$14,0,1,AL$17,0)*100</f>
        <v>#VALUE!</v>
      </c>
      <c r="AM271" s="1">
        <f>_xll.xlShmImplSwap(AM$3,AM$13,AM81,0,AM$14,0,1,AM$17,0)*100</f>
        <v>4.7027804164629243</v>
      </c>
      <c r="AN271" s="1" t="e">
        <f>_xll.xlShmImplSwap(AN$3,AN$13,AN81,0,AN$14,0,1,AN$17,0)*100</f>
        <v>#VALUE!</v>
      </c>
      <c r="AO271" s="1" t="e">
        <f>_xll.xlShmImplSwap(AO$3,AO$13,AO81,0,AO$14,0,1,AO$17,0)*100</f>
        <v>#VALUE!</v>
      </c>
      <c r="AP271" s="1">
        <f>_xll.xlShmImplSwap(AP$3,AP$13,AP81,0,AP$14,0,1,AP$17,0)*100</f>
        <v>4.2453045577080832</v>
      </c>
    </row>
    <row r="273" spans="3:42" x14ac:dyDescent="0.2">
      <c r="C273" s="4" t="s">
        <v>268</v>
      </c>
      <c r="E273" s="316">
        <v>1</v>
      </c>
      <c r="F273" s="316">
        <v>1</v>
      </c>
      <c r="G273" s="316">
        <v>1</v>
      </c>
      <c r="H273" s="316">
        <v>1</v>
      </c>
      <c r="I273" s="316">
        <v>1</v>
      </c>
      <c r="J273" s="316">
        <v>1</v>
      </c>
      <c r="K273" s="316">
        <v>1</v>
      </c>
      <c r="L273" s="316">
        <v>1</v>
      </c>
      <c r="M273" s="316">
        <v>1</v>
      </c>
      <c r="N273" s="316">
        <v>1</v>
      </c>
      <c r="O273" s="316">
        <v>1</v>
      </c>
      <c r="P273" s="316">
        <v>1</v>
      </c>
      <c r="Q273" s="316">
        <v>1</v>
      </c>
      <c r="R273" s="316">
        <v>1</v>
      </c>
      <c r="S273" s="316">
        <v>1</v>
      </c>
      <c r="T273" s="316">
        <v>1</v>
      </c>
      <c r="U273" s="316">
        <v>1</v>
      </c>
      <c r="V273" s="316">
        <v>1</v>
      </c>
      <c r="W273" s="316">
        <v>3</v>
      </c>
      <c r="X273" s="316">
        <v>1</v>
      </c>
      <c r="Y273" s="316">
        <v>3</v>
      </c>
      <c r="Z273" s="316">
        <v>1</v>
      </c>
      <c r="AA273" s="316">
        <v>1</v>
      </c>
      <c r="AB273" s="316">
        <v>1</v>
      </c>
      <c r="AC273" s="316">
        <v>1</v>
      </c>
      <c r="AD273" s="316">
        <v>1</v>
      </c>
      <c r="AE273" s="316">
        <v>1</v>
      </c>
      <c r="AF273" s="316">
        <v>1</v>
      </c>
      <c r="AG273" s="316">
        <v>1</v>
      </c>
      <c r="AH273" s="316">
        <v>1</v>
      </c>
      <c r="AI273" s="316">
        <v>1</v>
      </c>
      <c r="AJ273" s="316">
        <v>1</v>
      </c>
      <c r="AK273" s="316">
        <v>1</v>
      </c>
      <c r="AL273" s="316">
        <v>1</v>
      </c>
      <c r="AM273" s="316">
        <v>1</v>
      </c>
      <c r="AN273" s="316">
        <v>1</v>
      </c>
      <c r="AO273" s="316">
        <v>1</v>
      </c>
      <c r="AP273" s="316">
        <v>1</v>
      </c>
    </row>
    <row r="274" spans="3:42" x14ac:dyDescent="0.2">
      <c r="C274" s="4" t="s">
        <v>264</v>
      </c>
    </row>
    <row r="275" spans="3:42" x14ac:dyDescent="0.2">
      <c r="C275" s="1" t="s">
        <v>23</v>
      </c>
      <c r="E275" s="272">
        <f>E21</f>
        <v>0.99997833380276768</v>
      </c>
      <c r="F275" s="272">
        <f t="shared" ref="F275:AP275" si="139">F21</f>
        <v>0.99999361115192886</v>
      </c>
      <c r="G275" s="272">
        <f t="shared" si="139"/>
        <v>1.000023611668609</v>
      </c>
      <c r="H275" s="272">
        <f t="shared" si="139"/>
        <v>0.99999972222229949</v>
      </c>
      <c r="I275" s="272">
        <f t="shared" si="139"/>
        <v>0.99998819458381394</v>
      </c>
      <c r="J275" s="272">
        <f t="shared" si="139"/>
        <v>0.99995069687536242</v>
      </c>
      <c r="K275" s="272">
        <f t="shared" si="139"/>
        <v>0.99999861111304023</v>
      </c>
      <c r="L275" s="272">
        <f t="shared" si="139"/>
        <v>0.99999375003906232</v>
      </c>
      <c r="M275" s="272">
        <f t="shared" si="139"/>
        <v>1.0000193059282672</v>
      </c>
      <c r="N275" s="272">
        <f t="shared" si="139"/>
        <v>0.99995125237644666</v>
      </c>
      <c r="O275" s="272">
        <f t="shared" si="139"/>
        <v>0.99996111262339793</v>
      </c>
      <c r="P275" s="272">
        <f t="shared" si="139"/>
        <v>1.0000091667506952</v>
      </c>
      <c r="Q275" s="272">
        <f t="shared" si="139"/>
        <v>0.99981045260169421</v>
      </c>
      <c r="R275" s="272">
        <f t="shared" si="139"/>
        <v>0.9999976388944638</v>
      </c>
      <c r="S275" s="272">
        <f t="shared" si="139"/>
        <v>0.99973618073008519</v>
      </c>
      <c r="T275" s="272">
        <f t="shared" si="139"/>
        <v>0.99999625001406234</v>
      </c>
      <c r="U275" s="272">
        <f t="shared" si="139"/>
        <v>0.99997222299380573</v>
      </c>
      <c r="V275" s="272">
        <f t="shared" si="139"/>
        <v>0.99966328747900957</v>
      </c>
      <c r="W275" s="272">
        <f t="shared" si="139"/>
        <v>0.99971952313378742</v>
      </c>
      <c r="X275" s="272">
        <f t="shared" si="139"/>
        <v>0.99982850163895487</v>
      </c>
      <c r="Y275" s="272">
        <f t="shared" si="139"/>
        <v>0.99980264035468513</v>
      </c>
      <c r="Z275" s="272">
        <f t="shared" si="139"/>
        <v>0.99991510014470852</v>
      </c>
      <c r="AA275" s="272">
        <f t="shared" si="139"/>
        <v>0.99998631963159956</v>
      </c>
      <c r="AB275" s="272">
        <f t="shared" si="139"/>
        <v>0.99993607312743393</v>
      </c>
      <c r="AC275" s="272">
        <f t="shared" si="139"/>
        <v>0.9999066476043722</v>
      </c>
      <c r="AD275" s="272">
        <f t="shared" si="139"/>
        <v>0.99981432614784815</v>
      </c>
      <c r="AE275" s="272">
        <f t="shared" si="139"/>
        <v>0.99988473550965651</v>
      </c>
      <c r="AF275" s="272">
        <f t="shared" si="139"/>
        <v>0.99986290768576846</v>
      </c>
      <c r="AG275" s="272">
        <f t="shared" si="139"/>
        <v>0.99999097230372225</v>
      </c>
      <c r="AH275" s="272">
        <f t="shared" si="139"/>
        <v>0.99999722222993825</v>
      </c>
      <c r="AI275" s="272">
        <f t="shared" si="139"/>
        <v>0.99991736793973285</v>
      </c>
      <c r="AJ275" s="272">
        <f t="shared" si="139"/>
        <v>0.99997222299380573</v>
      </c>
      <c r="AK275" s="272">
        <f t="shared" si="139"/>
        <v>0.9999616681360548</v>
      </c>
      <c r="AL275" s="272">
        <f t="shared" si="139"/>
        <v>0.99979171006040402</v>
      </c>
      <c r="AM275" s="272">
        <f t="shared" si="139"/>
        <v>0.99992778299345042</v>
      </c>
      <c r="AN275" s="272">
        <f t="shared" si="139"/>
        <v>0.9999236169459278</v>
      </c>
      <c r="AO275" s="272">
        <f t="shared" si="139"/>
        <v>0.99999569446298209</v>
      </c>
      <c r="AP275" s="272">
        <f t="shared" si="139"/>
        <v>0.99995137736427564</v>
      </c>
    </row>
    <row r="276" spans="3:42" x14ac:dyDescent="0.2">
      <c r="C276" s="1" t="s">
        <v>30</v>
      </c>
      <c r="E276" s="272">
        <f t="shared" ref="E276:AP276" si="140">E22</f>
        <v>0.99990889718936726</v>
      </c>
      <c r="F276" s="272">
        <f t="shared" si="140"/>
        <v>0.99997444509751421</v>
      </c>
      <c r="G276" s="272">
        <f t="shared" si="140"/>
        <v>1.000092230727945</v>
      </c>
      <c r="H276" s="272">
        <f t="shared" si="140"/>
        <v>1</v>
      </c>
      <c r="I276" s="272">
        <f t="shared" si="140"/>
        <v>0.99994278105197321</v>
      </c>
      <c r="J276" s="272">
        <f t="shared" si="140"/>
        <v>0.999802816666713</v>
      </c>
      <c r="K276" s="272">
        <f t="shared" si="140"/>
        <v>1.0000833402783564</v>
      </c>
      <c r="L276" s="272">
        <f t="shared" si="140"/>
        <v>0.99994167006924606</v>
      </c>
      <c r="M276" s="272">
        <f t="shared" si="140"/>
        <v>1.0000611148459071</v>
      </c>
      <c r="N276" s="272">
        <f t="shared" si="140"/>
        <v>0.99980503801758658</v>
      </c>
      <c r="O276" s="272">
        <f t="shared" si="140"/>
        <v>0.99985835339993501</v>
      </c>
      <c r="P276" s="272">
        <f t="shared" si="140"/>
        <v>1.0000588923569944</v>
      </c>
      <c r="Q276" s="272">
        <f t="shared" si="140"/>
        <v>0.99924224130034711</v>
      </c>
      <c r="R276" s="272">
        <f t="shared" si="140"/>
        <v>1.000016666944449</v>
      </c>
      <c r="S276" s="272">
        <f t="shared" si="140"/>
        <v>0.99896773334221289</v>
      </c>
      <c r="T276" s="272">
        <f t="shared" si="140"/>
        <v>0.99997750050623857</v>
      </c>
      <c r="U276" s="272">
        <f t="shared" si="140"/>
        <v>0.99963901924305121</v>
      </c>
      <c r="V276" s="272">
        <f t="shared" si="140"/>
        <v>0.99865450904699038</v>
      </c>
      <c r="W276" s="272">
        <f t="shared" si="140"/>
        <v>0.99887903574877079</v>
      </c>
      <c r="X276" s="272">
        <f t="shared" si="140"/>
        <v>0.99931435931458135</v>
      </c>
      <c r="Y276" s="272">
        <f t="shared" si="140"/>
        <v>0.99921102855211574</v>
      </c>
      <c r="Z276" s="272">
        <f t="shared" si="140"/>
        <v>0.99966048705263466</v>
      </c>
      <c r="AA276" s="272">
        <f t="shared" si="140"/>
        <v>0.99994528077213551</v>
      </c>
      <c r="AB276" s="272">
        <f t="shared" si="140"/>
        <v>0.99974434154007374</v>
      </c>
      <c r="AC276" s="272">
        <f t="shared" si="140"/>
        <v>0.99962669496424716</v>
      </c>
      <c r="AD276" s="272">
        <f t="shared" si="140"/>
        <v>0.99925771805843566</v>
      </c>
      <c r="AE276" s="272">
        <f t="shared" si="140"/>
        <v>0.99953910141434787</v>
      </c>
      <c r="AF276" s="272">
        <f t="shared" si="140"/>
        <v>0.9994518561819874</v>
      </c>
      <c r="AG276" s="272">
        <f t="shared" si="140"/>
        <v>0.99996389019285414</v>
      </c>
      <c r="AH276" s="272">
        <f t="shared" si="140"/>
        <v>0.99998888901234428</v>
      </c>
      <c r="AI276" s="272">
        <f t="shared" si="140"/>
        <v>0.99966955367531296</v>
      </c>
      <c r="AJ276" s="272">
        <f t="shared" si="140"/>
        <v>0.99963901924305121</v>
      </c>
      <c r="AK276" s="272">
        <f t="shared" si="140"/>
        <v>0.99994889150110111</v>
      </c>
      <c r="AL276" s="272">
        <f t="shared" si="140"/>
        <v>0.99916736053288935</v>
      </c>
      <c r="AM276" s="272">
        <f t="shared" si="140"/>
        <v>0.99990973037156361</v>
      </c>
      <c r="AN276" s="272">
        <f t="shared" si="140"/>
        <v>0.99969453778012274</v>
      </c>
      <c r="AO276" s="272">
        <f t="shared" si="140"/>
        <v>0.99998277807437774</v>
      </c>
      <c r="AP276" s="272">
        <f t="shared" si="140"/>
        <v>0.99980553782289339</v>
      </c>
    </row>
    <row r="277" spans="3:42" x14ac:dyDescent="0.2">
      <c r="C277" s="1" t="s">
        <v>41</v>
      </c>
      <c r="E277" s="287">
        <f t="shared" ref="E277:AP277" si="141">E23</f>
        <v>0.99988751265482634</v>
      </c>
      <c r="F277" s="287">
        <f t="shared" si="141"/>
        <v>0.99996527898336873</v>
      </c>
      <c r="G277" s="287">
        <f t="shared" si="141"/>
        <v>1.0001132072588772</v>
      </c>
      <c r="H277" s="287">
        <f t="shared" si="141"/>
        <v>0.99999375003906232</v>
      </c>
      <c r="I277" s="287">
        <f t="shared" si="141"/>
        <v>0.99992708864978597</v>
      </c>
      <c r="J277" s="287">
        <f t="shared" si="141"/>
        <v>0.99977435648204394</v>
      </c>
      <c r="K277" s="287">
        <f t="shared" si="141"/>
        <v>1.0000833402783564</v>
      </c>
      <c r="L277" s="287">
        <f t="shared" si="141"/>
        <v>0.99993750390600578</v>
      </c>
      <c r="M277" s="287">
        <f t="shared" si="141"/>
        <v>1.0000902859285907</v>
      </c>
      <c r="N277" s="287">
        <f t="shared" si="141"/>
        <v>0.99975630939958371</v>
      </c>
      <c r="O277" s="287">
        <f t="shared" si="141"/>
        <v>0.99982155962442809</v>
      </c>
      <c r="P277" s="287">
        <f t="shared" si="141"/>
        <v>1</v>
      </c>
      <c r="Q277" s="287">
        <f t="shared" si="141"/>
        <v>0.99905298102840023</v>
      </c>
      <c r="R277" s="287">
        <f t="shared" si="141"/>
        <v>1.0000208337673702</v>
      </c>
      <c r="S277" s="287">
        <f t="shared" si="141"/>
        <v>0.99870999958387086</v>
      </c>
      <c r="T277" s="287">
        <f t="shared" si="141"/>
        <v>0.99997375068904448</v>
      </c>
      <c r="U277" s="287">
        <f t="shared" si="141"/>
        <v>0.99961126228688835</v>
      </c>
      <c r="V277" s="287">
        <f t="shared" si="141"/>
        <v>0.99831870185159999</v>
      </c>
      <c r="W277" s="287">
        <f t="shared" si="141"/>
        <v>0.99859918725121699</v>
      </c>
      <c r="X277" s="287">
        <f t="shared" si="141"/>
        <v>0.99914309602528395</v>
      </c>
      <c r="Y277" s="287">
        <f t="shared" si="141"/>
        <v>0.9990139801755169</v>
      </c>
      <c r="Z277" s="287">
        <f t="shared" si="141"/>
        <v>0.99957564483431127</v>
      </c>
      <c r="AA277" s="287">
        <f t="shared" si="141"/>
        <v>0.99993160190084218</v>
      </c>
      <c r="AB277" s="287">
        <f t="shared" si="141"/>
        <v>0.99968044734917672</v>
      </c>
      <c r="AC277" s="287">
        <f t="shared" si="141"/>
        <v>0.99953341225019832</v>
      </c>
      <c r="AD277" s="287">
        <f t="shared" si="141"/>
        <v>0.99907231972312371</v>
      </c>
      <c r="AE277" s="287">
        <f t="shared" si="141"/>
        <v>0.9994239431438825</v>
      </c>
      <c r="AF277" s="287">
        <f t="shared" si="141"/>
        <v>0.99931491410888307</v>
      </c>
      <c r="AG277" s="287">
        <f t="shared" si="141"/>
        <v>0.99994583626720213</v>
      </c>
      <c r="AH277" s="287">
        <f t="shared" si="141"/>
        <v>0.99998611130400961</v>
      </c>
      <c r="AI277" s="287">
        <f t="shared" si="141"/>
        <v>0.99958697621468895</v>
      </c>
      <c r="AJ277" s="287">
        <f t="shared" si="141"/>
        <v>0.99961126228688835</v>
      </c>
      <c r="AK277" s="287">
        <f t="shared" si="141"/>
        <v>0.99993611519264047</v>
      </c>
      <c r="AL277" s="287">
        <f t="shared" si="141"/>
        <v>0.99895941727367332</v>
      </c>
      <c r="AM277" s="287">
        <f t="shared" si="141"/>
        <v>0.9998916784015065</v>
      </c>
      <c r="AN277" s="287">
        <f t="shared" si="141"/>
        <v>0.99961820138141688</v>
      </c>
      <c r="AO277" s="287">
        <f t="shared" si="141"/>
        <v>0.99997847268565754</v>
      </c>
      <c r="AP277" s="287">
        <f t="shared" si="141"/>
        <v>0.99975693409539812</v>
      </c>
    </row>
    <row r="278" spans="3:42" x14ac:dyDescent="0.2">
      <c r="C278" s="1" t="s">
        <v>92</v>
      </c>
      <c r="E278" s="1">
        <f t="shared" ref="E278:E303" si="142">E88/((E124/E$11/E$10)-(E155*E$10*IF(PanicDF_Switch,E$273,1))/E$11/2/E$10+1)</f>
        <v>0.9998662771754161</v>
      </c>
      <c r="F278" s="1">
        <f t="shared" ref="F278:F303" si="143">F88*((F124/F$11/F$10)-(F155*F$10*IF(PanicDF_Switch,F$273,1))/F$11/2/F$10+1)</f>
        <v>0.99982618760271214</v>
      </c>
      <c r="G278" s="1">
        <f t="shared" ref="G278:I303" si="144">G88/((G124/G$11/G$10)-(G155*G$10*IF(PanicDF_Switch,G$273,1))/G$11/2/G$10+1)</f>
        <v>1.0000666591805525</v>
      </c>
      <c r="H278" s="1">
        <f t="shared" si="144"/>
        <v>0.99990527684297381</v>
      </c>
      <c r="I278" s="1">
        <f t="shared" si="144"/>
        <v>0.99985509735429445</v>
      </c>
      <c r="J278" s="1">
        <f t="shared" ref="J278:J303" si="145">J88*((J124/J$11/J$10)-(J155*J$10*IF(PanicDF_Switch,J$273,1))/J$11/2/J$10+1)</f>
        <v>0.99953792730162527</v>
      </c>
      <c r="K278" s="1">
        <f t="shared" ref="K278:M303" si="146">K88/((K124/K$11/K$10)-(K155*K$10*IF(PanicDF_Switch,K$273,1))/K$11/2/K$10+1)</f>
        <v>1.0000263278344106</v>
      </c>
      <c r="L278" s="1">
        <f t="shared" si="146"/>
        <v>0.99982191391762265</v>
      </c>
      <c r="M278" s="1">
        <f t="shared" si="146"/>
        <v>1.0000176771424625</v>
      </c>
      <c r="N278" s="1">
        <f t="shared" ref="N278:N303" si="147">N88*((N124/N$11/N$10)-(N155*N$10*IF(PanicDF_Switch,N$273,1))/N$11/2/N$10+1)</f>
        <v>0.99950585847608742</v>
      </c>
      <c r="O278" s="1">
        <f t="shared" ref="O278:AP278" si="148">O88/((O124/O$11/O$10)-(O155*O$10*IF(PanicDF_Switch,O$273,1))/O$11/2/O$10+1)</f>
        <v>0.99962101753829768</v>
      </c>
      <c r="P278" s="1">
        <f t="shared" si="148"/>
        <v>0.99992500834499543</v>
      </c>
      <c r="Q278" s="1">
        <f t="shared" si="148"/>
        <v>0.99846988031490169</v>
      </c>
      <c r="R278" s="1">
        <f t="shared" si="148"/>
        <v>1.0001234214423778</v>
      </c>
      <c r="S278" s="1">
        <f t="shared" si="148"/>
        <v>0.99810875584152026</v>
      </c>
      <c r="T278" s="1">
        <f t="shared" si="148"/>
        <v>0.99980654874561803</v>
      </c>
      <c r="U278" s="1">
        <f t="shared" si="148"/>
        <v>0.99827644973535812</v>
      </c>
      <c r="V278" s="1">
        <f t="shared" si="148"/>
        <v>0.99764534870190336</v>
      </c>
      <c r="W278" s="1">
        <f t="shared" si="148"/>
        <v>0.99806998213787557</v>
      </c>
      <c r="X278" s="1">
        <f t="shared" si="148"/>
        <v>0.99913839925581871</v>
      </c>
      <c r="Y278" s="1">
        <f t="shared" si="148"/>
        <v>0.99883079189088819</v>
      </c>
      <c r="Z278" s="1">
        <f t="shared" si="148"/>
        <v>0.99984871405707643</v>
      </c>
      <c r="AA278" s="1">
        <f t="shared" si="148"/>
        <v>1.0005404323035825</v>
      </c>
      <c r="AB278" s="1">
        <f t="shared" si="148"/>
        <v>0.99977273235912234</v>
      </c>
      <c r="AC278" s="1">
        <f t="shared" si="148"/>
        <v>0.99946695809792874</v>
      </c>
      <c r="AD278" s="1">
        <f t="shared" si="148"/>
        <v>0.99822750247980707</v>
      </c>
      <c r="AE278" s="1">
        <f t="shared" si="148"/>
        <v>1.0006971271571439</v>
      </c>
      <c r="AF278" s="1">
        <f t="shared" si="148"/>
        <v>0.99900626764034728</v>
      </c>
      <c r="AG278" s="1">
        <f t="shared" si="148"/>
        <v>0.99987088253066592</v>
      </c>
      <c r="AH278" s="1">
        <f t="shared" si="148"/>
        <v>0.99990540217838886</v>
      </c>
      <c r="AI278" s="1">
        <f t="shared" si="148"/>
        <v>0.99920852121033121</v>
      </c>
      <c r="AJ278" s="1">
        <f t="shared" si="148"/>
        <v>0.99778334997175866</v>
      </c>
      <c r="AK278" s="1">
        <f t="shared" si="148"/>
        <v>0.99977914518950495</v>
      </c>
      <c r="AL278" s="1">
        <f t="shared" si="148"/>
        <v>0.99542916794941094</v>
      </c>
      <c r="AM278" s="1">
        <f t="shared" si="148"/>
        <v>0.99973057688313727</v>
      </c>
      <c r="AN278" s="1">
        <f t="shared" si="148"/>
        <v>1.0797982408367941</v>
      </c>
      <c r="AO278" s="1">
        <f t="shared" si="148"/>
        <v>1.0008018239355545</v>
      </c>
      <c r="AP278" s="1">
        <f t="shared" si="148"/>
        <v>0.99976471406484957</v>
      </c>
    </row>
    <row r="279" spans="3:42" x14ac:dyDescent="0.2">
      <c r="C279" s="1" t="s">
        <v>55</v>
      </c>
      <c r="E279" s="1">
        <f t="shared" si="142"/>
        <v>0.99958919866924145</v>
      </c>
      <c r="F279" s="1">
        <f t="shared" si="143"/>
        <v>0.9997424186781142</v>
      </c>
      <c r="G279" s="1">
        <f t="shared" si="144"/>
        <v>1.0001852868167456</v>
      </c>
      <c r="H279" s="1">
        <f t="shared" si="144"/>
        <v>0.99989872442182537</v>
      </c>
      <c r="I279" s="1">
        <f t="shared" si="144"/>
        <v>0.99969202308644933</v>
      </c>
      <c r="J279" s="1">
        <f t="shared" si="145"/>
        <v>0.99908309985624921</v>
      </c>
      <c r="K279" s="1">
        <f t="shared" si="146"/>
        <v>1.0000881435369531</v>
      </c>
      <c r="L279" s="1">
        <f t="shared" si="146"/>
        <v>0.99959976035448561</v>
      </c>
      <c r="M279" s="1">
        <f t="shared" si="146"/>
        <v>1.0001222775607714</v>
      </c>
      <c r="N279" s="1">
        <f t="shared" si="147"/>
        <v>0.99901521475035426</v>
      </c>
      <c r="O279" s="1">
        <f t="shared" ref="O279:AP279" si="149">O89/((O125/O$11/O$10)-(O156*O$10*IF(PanicDF_Switch,O$273,1))/O$11/2/O$10+1)</f>
        <v>0.99924350459104727</v>
      </c>
      <c r="P279" s="1">
        <f t="shared" si="149"/>
        <v>0.99985229714641544</v>
      </c>
      <c r="Q279" s="1">
        <f t="shared" si="149"/>
        <v>0.99694499682859017</v>
      </c>
      <c r="R279" s="1">
        <f t="shared" si="149"/>
        <v>1.0002670587500011</v>
      </c>
      <c r="S279" s="1">
        <f t="shared" si="149"/>
        <v>0.99608735213813726</v>
      </c>
      <c r="T279" s="1">
        <f t="shared" si="149"/>
        <v>0.99959961782588658</v>
      </c>
      <c r="U279" s="1">
        <f t="shared" si="149"/>
        <v>0.99763108653285693</v>
      </c>
      <c r="V279" s="1">
        <f t="shared" si="149"/>
        <v>0.99533574144605008</v>
      </c>
      <c r="W279" s="1">
        <f t="shared" si="149"/>
        <v>0.99615884887839501</v>
      </c>
      <c r="X279" s="1">
        <f t="shared" si="149"/>
        <v>0.99805154413810748</v>
      </c>
      <c r="Y279" s="1">
        <f t="shared" si="149"/>
        <v>0.99733906060871669</v>
      </c>
      <c r="Z279" s="1">
        <f t="shared" si="149"/>
        <v>0.9996734646670099</v>
      </c>
      <c r="AA279" s="1">
        <f t="shared" si="149"/>
        <v>1.0002929412139256</v>
      </c>
      <c r="AB279" s="1">
        <f t="shared" si="149"/>
        <v>0.99940024403197425</v>
      </c>
      <c r="AC279" s="1">
        <f t="shared" si="149"/>
        <v>0.99872139315187392</v>
      </c>
      <c r="AD279" s="1">
        <f t="shared" si="149"/>
        <v>0.99683216432239286</v>
      </c>
      <c r="AE279" s="1">
        <f t="shared" si="149"/>
        <v>0.99987524877456657</v>
      </c>
      <c r="AF279" s="1">
        <f t="shared" si="149"/>
        <v>0.99791436339828499</v>
      </c>
      <c r="AG279" s="1">
        <f t="shared" si="149"/>
        <v>0.99979500910950414</v>
      </c>
      <c r="AH279" s="1">
        <f t="shared" si="149"/>
        <v>0.99981507068015751</v>
      </c>
      <c r="AI279" s="1">
        <f t="shared" si="149"/>
        <v>0.99877464014457362</v>
      </c>
      <c r="AJ279" s="1">
        <f t="shared" si="149"/>
        <v>0.99710063873512267</v>
      </c>
      <c r="AK279" s="1">
        <f t="shared" si="149"/>
        <v>0.9994474726426652</v>
      </c>
      <c r="AL279" s="1">
        <f t="shared" si="149"/>
        <v>0.9926820251877625</v>
      </c>
      <c r="AM279" s="1">
        <f t="shared" si="149"/>
        <v>0.99947186833773283</v>
      </c>
      <c r="AN279" s="1">
        <f t="shared" si="149"/>
        <v>1.0812044851028484</v>
      </c>
      <c r="AO279" s="1">
        <f t="shared" si="149"/>
        <v>1.0005979024249569</v>
      </c>
      <c r="AP279" s="1">
        <f t="shared" si="149"/>
        <v>0.99859341708339544</v>
      </c>
    </row>
    <row r="280" spans="3:42" x14ac:dyDescent="0.2">
      <c r="C280" s="1" t="s">
        <v>63</v>
      </c>
      <c r="E280" s="1">
        <f t="shared" si="142"/>
        <v>0.99938266693941846</v>
      </c>
      <c r="F280" s="1">
        <f t="shared" si="143"/>
        <v>0.99967005783980367</v>
      </c>
      <c r="G280" s="1">
        <f t="shared" si="144"/>
        <v>1.0003420605938516</v>
      </c>
      <c r="H280" s="1">
        <f t="shared" si="144"/>
        <v>0.99989783290668277</v>
      </c>
      <c r="I280" s="1">
        <f t="shared" si="144"/>
        <v>0.99952586092743001</v>
      </c>
      <c r="J280" s="1">
        <f t="shared" si="145"/>
        <v>0.99870742603873475</v>
      </c>
      <c r="K280" s="1">
        <f t="shared" si="146"/>
        <v>1.0001923897333371</v>
      </c>
      <c r="L280" s="1">
        <f t="shared" si="146"/>
        <v>0.99944214778032969</v>
      </c>
      <c r="M280" s="1">
        <f t="shared" si="146"/>
        <v>1.0002461347699001</v>
      </c>
      <c r="N280" s="1">
        <f t="shared" si="147"/>
        <v>0.99859049740664763</v>
      </c>
      <c r="O280" s="1">
        <f t="shared" ref="O280:AP280" si="150">O90/((O126/O$11/O$10)-(O157*O$10*IF(PanicDF_Switch,O$273,1))/O$11/2/O$10+1)</f>
        <v>0.99892970504436651</v>
      </c>
      <c r="P280" s="1">
        <f t="shared" si="150"/>
        <v>0.99989262451046623</v>
      </c>
      <c r="Q280" s="1">
        <f t="shared" si="150"/>
        <v>0.99541780975789185</v>
      </c>
      <c r="R280" s="1">
        <f t="shared" si="150"/>
        <v>1.000557731737457</v>
      </c>
      <c r="S280" s="1">
        <f t="shared" si="150"/>
        <v>0.9940416976563623</v>
      </c>
      <c r="T280" s="1">
        <f t="shared" si="150"/>
        <v>0.99947649413744422</v>
      </c>
      <c r="U280" s="1">
        <f t="shared" si="150"/>
        <v>0.99640679341291061</v>
      </c>
      <c r="V280" s="1">
        <f t="shared" si="150"/>
        <v>0.99310098170866068</v>
      </c>
      <c r="W280" s="1">
        <f t="shared" si="150"/>
        <v>0.99441266431673125</v>
      </c>
      <c r="X280" s="1">
        <f t="shared" si="150"/>
        <v>0.9970321574143155</v>
      </c>
      <c r="Y280" s="1">
        <f t="shared" si="150"/>
        <v>0.99642674352561311</v>
      </c>
      <c r="Z280" s="1">
        <f t="shared" si="150"/>
        <v>0.99941763860498389</v>
      </c>
      <c r="AA280" s="1">
        <f t="shared" si="150"/>
        <v>1.0001161487921646</v>
      </c>
      <c r="AB280" s="1">
        <f t="shared" si="150"/>
        <v>0.99907990750981457</v>
      </c>
      <c r="AC280" s="1">
        <f t="shared" si="150"/>
        <v>0.99803162613545726</v>
      </c>
      <c r="AD280" s="1">
        <f t="shared" si="150"/>
        <v>0.99522225008145848</v>
      </c>
      <c r="AE280" s="1">
        <f t="shared" si="150"/>
        <v>0.99912010892791692</v>
      </c>
      <c r="AF280" s="1">
        <f t="shared" si="150"/>
        <v>0.99688993770544176</v>
      </c>
      <c r="AG280" s="1">
        <f t="shared" si="150"/>
        <v>0.99973498364412283</v>
      </c>
      <c r="AH280" s="1">
        <f t="shared" si="150"/>
        <v>0.9997905924921332</v>
      </c>
      <c r="AI280" s="1">
        <f t="shared" si="150"/>
        <v>0.99838038982048261</v>
      </c>
      <c r="AJ280" s="1">
        <f t="shared" si="150"/>
        <v>0.99576322356897251</v>
      </c>
      <c r="AK280" s="1">
        <f t="shared" si="150"/>
        <v>0.99918168373846028</v>
      </c>
      <c r="AL280" s="1">
        <f t="shared" si="150"/>
        <v>0.99001374048030644</v>
      </c>
      <c r="AM280" s="1">
        <f t="shared" si="150"/>
        <v>0.99926616687052028</v>
      </c>
      <c r="AN280" s="1">
        <f t="shared" si="150"/>
        <v>1.082686526919074</v>
      </c>
      <c r="AO280" s="1">
        <f t="shared" si="150"/>
        <v>1.0005142416544317</v>
      </c>
      <c r="AP280" s="1">
        <f t="shared" si="150"/>
        <v>0.99748995164309406</v>
      </c>
    </row>
    <row r="281" spans="3:42" x14ac:dyDescent="0.2">
      <c r="C281" s="1" t="s">
        <v>66</v>
      </c>
      <c r="E281" s="1">
        <f t="shared" si="142"/>
        <v>0.99907981014296121</v>
      </c>
      <c r="F281" s="1">
        <f t="shared" si="143"/>
        <v>0.99955997193451296</v>
      </c>
      <c r="G281" s="1">
        <f t="shared" si="144"/>
        <v>1.0005789762299797</v>
      </c>
      <c r="H281" s="1">
        <f t="shared" si="144"/>
        <v>0.99993579992865789</v>
      </c>
      <c r="I281" s="1">
        <f t="shared" si="144"/>
        <v>0.99931435840624094</v>
      </c>
      <c r="J281" s="1">
        <f t="shared" si="145"/>
        <v>0.99816395976342875</v>
      </c>
      <c r="K281" s="1">
        <f t="shared" si="146"/>
        <v>1.0003875602524726</v>
      </c>
      <c r="L281" s="1">
        <f t="shared" si="146"/>
        <v>0.99920266731156238</v>
      </c>
      <c r="M281" s="1">
        <f t="shared" si="146"/>
        <v>1.0004295211636913</v>
      </c>
      <c r="N281" s="1">
        <f t="shared" si="147"/>
        <v>0.9979745097363335</v>
      </c>
      <c r="O281" s="1">
        <f t="shared" ref="O281:AP281" si="151">O91/((O127/O$11/O$10)-(O158*O$10*IF(PanicDF_Switch,O$273,1))/O$11/2/O$10+1)</f>
        <v>0.99846054562714937</v>
      </c>
      <c r="P281" s="1">
        <f t="shared" si="151"/>
        <v>0.99994921979999385</v>
      </c>
      <c r="Q281" s="1">
        <f t="shared" si="151"/>
        <v>0.99328402035313745</v>
      </c>
      <c r="R281" s="1">
        <f t="shared" si="151"/>
        <v>1.0014164569009112</v>
      </c>
      <c r="S281" s="1">
        <f t="shared" si="151"/>
        <v>0.99087186139668881</v>
      </c>
      <c r="T281" s="1">
        <f t="shared" si="151"/>
        <v>0.99922916328233291</v>
      </c>
      <c r="U281" s="1">
        <f t="shared" si="151"/>
        <v>0.99473028790078544</v>
      </c>
      <c r="V281" s="1">
        <f t="shared" si="151"/>
        <v>0.98992316241018441</v>
      </c>
      <c r="W281" s="1">
        <f t="shared" si="151"/>
        <v>0.99167473883634749</v>
      </c>
      <c r="X281" s="1">
        <f t="shared" si="151"/>
        <v>0.99557771048102761</v>
      </c>
      <c r="Y281" s="1">
        <f t="shared" si="151"/>
        <v>0.9944309203114654</v>
      </c>
      <c r="Z281" s="1">
        <f t="shared" si="151"/>
        <v>0.99916099739878883</v>
      </c>
      <c r="AA281" s="1">
        <f t="shared" si="151"/>
        <v>0.99986251732615128</v>
      </c>
      <c r="AB281" s="1">
        <f t="shared" si="151"/>
        <v>0.99865475703334905</v>
      </c>
      <c r="AC281" s="1">
        <f t="shared" si="151"/>
        <v>0.99704634621766608</v>
      </c>
      <c r="AD281" s="1">
        <f t="shared" si="151"/>
        <v>0.99292916122086927</v>
      </c>
      <c r="AE281" s="1">
        <f t="shared" si="151"/>
        <v>0.99804171607575087</v>
      </c>
      <c r="AF281" s="1">
        <f t="shared" si="151"/>
        <v>0.99542832497331468</v>
      </c>
      <c r="AG281" s="1">
        <f t="shared" si="151"/>
        <v>0.99959261509960451</v>
      </c>
      <c r="AH281" s="1">
        <f t="shared" si="151"/>
        <v>0.99975455773730504</v>
      </c>
      <c r="AI281" s="1">
        <f t="shared" si="151"/>
        <v>0.99781637915528354</v>
      </c>
      <c r="AJ281" s="1">
        <f t="shared" si="151"/>
        <v>0.99400948387363519</v>
      </c>
      <c r="AK281" s="1">
        <f t="shared" si="151"/>
        <v>0.99880098743483814</v>
      </c>
      <c r="AL281" s="1">
        <f t="shared" si="151"/>
        <v>0.98622372901208455</v>
      </c>
      <c r="AM281" s="1">
        <f t="shared" si="151"/>
        <v>0.99886832626444255</v>
      </c>
      <c r="AN281" s="1">
        <f t="shared" si="151"/>
        <v>1.084810739819315</v>
      </c>
      <c r="AO281" s="1">
        <f t="shared" si="151"/>
        <v>1.0003936386704912</v>
      </c>
      <c r="AP281" s="1">
        <f t="shared" si="151"/>
        <v>0.9957888137749642</v>
      </c>
    </row>
    <row r="282" spans="3:42" x14ac:dyDescent="0.2">
      <c r="C282" s="1" t="s">
        <v>71</v>
      </c>
      <c r="E282" s="1">
        <f t="shared" si="142"/>
        <v>0.99813786572997343</v>
      </c>
      <c r="F282" s="1">
        <f t="shared" si="143"/>
        <v>0.99917455647380538</v>
      </c>
      <c r="G282" s="1">
        <f t="shared" si="144"/>
        <v>1.0011440327116863</v>
      </c>
      <c r="H282" s="1">
        <f t="shared" si="144"/>
        <v>0.99995419125290241</v>
      </c>
      <c r="I282" s="1">
        <f t="shared" si="144"/>
        <v>0.99869714173369606</v>
      </c>
      <c r="J282" s="1">
        <f t="shared" si="145"/>
        <v>0.99654646130316338</v>
      </c>
      <c r="K282" s="1">
        <f t="shared" si="146"/>
        <v>1.0007874599650648</v>
      </c>
      <c r="L282" s="1">
        <f t="shared" si="146"/>
        <v>0.998464782950231</v>
      </c>
      <c r="M282" s="1">
        <f t="shared" si="146"/>
        <v>1.0007710562481209</v>
      </c>
      <c r="N282" s="1">
        <f t="shared" si="147"/>
        <v>0.99617595807146919</v>
      </c>
      <c r="O282" s="1">
        <f t="shared" ref="O282:AP282" si="152">O92/((O128/O$11/O$10)-(O159*O$10*IF(PanicDF_Switch,O$273,1))/O$11/2/O$10+1)</f>
        <v>0.99718272271161967</v>
      </c>
      <c r="P282" s="1">
        <f t="shared" si="152"/>
        <v>0.99981376964223345</v>
      </c>
      <c r="Q282" s="1">
        <f t="shared" si="152"/>
        <v>0.98711973800927078</v>
      </c>
      <c r="R282" s="1">
        <f t="shared" si="152"/>
        <v>1.0029499659391559</v>
      </c>
      <c r="S282" s="1">
        <f t="shared" si="152"/>
        <v>0.98295671022502773</v>
      </c>
      <c r="T282" s="1">
        <f t="shared" si="152"/>
        <v>0.99855148344606603</v>
      </c>
      <c r="U282" s="1">
        <f t="shared" si="152"/>
        <v>0.98824091659314728</v>
      </c>
      <c r="V282" s="1">
        <f t="shared" si="152"/>
        <v>0.98258290824716443</v>
      </c>
      <c r="W282" s="1">
        <f t="shared" si="152"/>
        <v>0.9851666326705073</v>
      </c>
      <c r="X282" s="1">
        <f t="shared" si="152"/>
        <v>0.99130085965389447</v>
      </c>
      <c r="Y282" s="1">
        <f t="shared" si="152"/>
        <v>0.98962460751179626</v>
      </c>
      <c r="Z282" s="1">
        <f t="shared" si="152"/>
        <v>0.99843754781682259</v>
      </c>
      <c r="AA282" s="1">
        <f t="shared" si="152"/>
        <v>0.99876235352481468</v>
      </c>
      <c r="AB282" s="1">
        <f t="shared" si="152"/>
        <v>0.99750848232732525</v>
      </c>
      <c r="AC282" s="1">
        <f t="shared" si="152"/>
        <v>0.99428009192879108</v>
      </c>
      <c r="AD282" s="1">
        <f t="shared" si="152"/>
        <v>0.9884717112592003</v>
      </c>
      <c r="AE282" s="1">
        <f t="shared" si="152"/>
        <v>0.99375636209612939</v>
      </c>
      <c r="AF282" s="1">
        <f t="shared" si="152"/>
        <v>0.99125202074322238</v>
      </c>
      <c r="AG282" s="1">
        <f t="shared" si="152"/>
        <v>0.99928951284723144</v>
      </c>
      <c r="AH282" s="1">
        <f t="shared" si="152"/>
        <v>0.99970006997084415</v>
      </c>
      <c r="AI282" s="1">
        <f t="shared" si="152"/>
        <v>0.9953078663403071</v>
      </c>
      <c r="AJ282" s="1">
        <f t="shared" si="152"/>
        <v>0.98821575198639677</v>
      </c>
      <c r="AK282" s="1">
        <f t="shared" si="152"/>
        <v>0.99785464791736445</v>
      </c>
      <c r="AL282" s="1">
        <f t="shared" si="152"/>
        <v>0.97565231866290203</v>
      </c>
      <c r="AM282" s="1">
        <f t="shared" si="152"/>
        <v>0.99777553699702215</v>
      </c>
      <c r="AN282" s="1">
        <f t="shared" si="152"/>
        <v>1.0906979762700133</v>
      </c>
      <c r="AO282" s="1">
        <f t="shared" si="152"/>
        <v>1.000143306488487</v>
      </c>
      <c r="AP282" s="1">
        <f t="shared" si="152"/>
        <v>0.99187770767085892</v>
      </c>
    </row>
    <row r="283" spans="3:42" x14ac:dyDescent="0.2">
      <c r="C283" s="1" t="s">
        <v>77</v>
      </c>
      <c r="E283" s="1">
        <f t="shared" si="142"/>
        <v>0.99631481462492077</v>
      </c>
      <c r="F283" s="1">
        <f t="shared" si="143"/>
        <v>0.99845062510851101</v>
      </c>
      <c r="G283" s="1">
        <f t="shared" si="144"/>
        <v>1.0017605166685184</v>
      </c>
      <c r="H283" s="1">
        <f t="shared" si="144"/>
        <v>1.0003798195140532</v>
      </c>
      <c r="I283" s="1">
        <f t="shared" si="144"/>
        <v>0.99742876530750091</v>
      </c>
      <c r="J283" s="1">
        <f t="shared" si="145"/>
        <v>0.9939905248436991</v>
      </c>
      <c r="K283" s="1">
        <f t="shared" si="146"/>
        <v>1.001208321407635</v>
      </c>
      <c r="L283" s="1">
        <f t="shared" si="146"/>
        <v>0.9970060351731681</v>
      </c>
      <c r="M283" s="1">
        <f t="shared" si="146"/>
        <v>1.001143888274415</v>
      </c>
      <c r="N283" s="1">
        <f t="shared" si="147"/>
        <v>0.99344072156433549</v>
      </c>
      <c r="O283" s="1">
        <f t="shared" ref="O283:AP283" si="153">O93/((O129/O$11/O$10)-(O160*O$10*IF(PanicDF_Switch,O$273,1))/O$11/2/O$10+1)</f>
        <v>0.99486035271852202</v>
      </c>
      <c r="P283" s="1">
        <f t="shared" si="153"/>
        <v>0.99902877122844325</v>
      </c>
      <c r="Q283" s="1">
        <f t="shared" si="153"/>
        <v>0.97946403796077186</v>
      </c>
      <c r="R283" s="1">
        <f t="shared" si="153"/>
        <v>1.0056349228975725</v>
      </c>
      <c r="S283" s="1">
        <f t="shared" si="153"/>
        <v>0.97314526015559843</v>
      </c>
      <c r="T283" s="1">
        <f t="shared" si="153"/>
        <v>0.99719435714091331</v>
      </c>
      <c r="U283" s="1">
        <f t="shared" si="153"/>
        <v>0.98311268123372253</v>
      </c>
      <c r="V283" s="1">
        <f t="shared" si="153"/>
        <v>0.9727404821741048</v>
      </c>
      <c r="W283" s="1">
        <f t="shared" si="153"/>
        <v>0.97778532553574138</v>
      </c>
      <c r="X283" s="1">
        <f t="shared" si="153"/>
        <v>0.98560928490370536</v>
      </c>
      <c r="Y283" s="1">
        <f t="shared" si="153"/>
        <v>0.98335871488148463</v>
      </c>
      <c r="Z283" s="1">
        <f t="shared" si="153"/>
        <v>0.9967413886835127</v>
      </c>
      <c r="AA283" s="1">
        <f t="shared" si="153"/>
        <v>0.99708747251879026</v>
      </c>
      <c r="AB283" s="1">
        <f t="shared" si="153"/>
        <v>0.99541064598537077</v>
      </c>
      <c r="AC283" s="1">
        <f t="shared" si="153"/>
        <v>0.99048490314293103</v>
      </c>
      <c r="AD283" s="1">
        <f t="shared" si="153"/>
        <v>0.9807689464817998</v>
      </c>
      <c r="AE283" s="1">
        <f t="shared" si="153"/>
        <v>0.98716210330713949</v>
      </c>
      <c r="AF283" s="1">
        <f t="shared" si="153"/>
        <v>0.98566508292263633</v>
      </c>
      <c r="AG283" s="1">
        <f t="shared" si="153"/>
        <v>0.99864928126433583</v>
      </c>
      <c r="AH283" s="1">
        <f t="shared" si="153"/>
        <v>0.99902426136794653</v>
      </c>
      <c r="AI283" s="1">
        <f t="shared" si="153"/>
        <v>0.99170960921804718</v>
      </c>
      <c r="AJ283" s="1">
        <f t="shared" si="153"/>
        <v>0.98303798326368863</v>
      </c>
      <c r="AK283" s="1">
        <f t="shared" si="153"/>
        <v>0.99567652810563556</v>
      </c>
      <c r="AL283" s="1">
        <f t="shared" si="153"/>
        <v>0.96488350307463178</v>
      </c>
      <c r="AM283" s="1">
        <f t="shared" si="153"/>
        <v>0.99581931185819539</v>
      </c>
      <c r="AN283" s="1">
        <f t="shared" si="153"/>
        <v>1.0676467263560174</v>
      </c>
      <c r="AO283" s="1">
        <f t="shared" si="153"/>
        <v>0.9993595440870271</v>
      </c>
      <c r="AP283" s="1">
        <f t="shared" si="153"/>
        <v>0.98692263151455173</v>
      </c>
    </row>
    <row r="284" spans="3:42" x14ac:dyDescent="0.2">
      <c r="C284" s="1" t="s">
        <v>82</v>
      </c>
      <c r="E284" s="1">
        <f t="shared" si="142"/>
        <v>0.99511978759754205</v>
      </c>
      <c r="F284" s="1">
        <f t="shared" si="143"/>
        <v>0.99789272387798877</v>
      </c>
      <c r="G284" s="1">
        <f t="shared" si="144"/>
        <v>1.0023272054361567</v>
      </c>
      <c r="H284" s="1">
        <f t="shared" si="144"/>
        <v>1.0004764456687527</v>
      </c>
      <c r="I284" s="1">
        <f t="shared" si="144"/>
        <v>0.99639457086416661</v>
      </c>
      <c r="J284" s="1">
        <f t="shared" si="145"/>
        <v>0.99213535583392565</v>
      </c>
      <c r="K284" s="1">
        <f t="shared" si="146"/>
        <v>1.0015100772507732</v>
      </c>
      <c r="L284" s="1">
        <f t="shared" si="146"/>
        <v>0.99603474045848606</v>
      </c>
      <c r="M284" s="1">
        <f t="shared" si="146"/>
        <v>1.0013712423146919</v>
      </c>
      <c r="N284" s="1">
        <f t="shared" si="147"/>
        <v>0.99137979349575744</v>
      </c>
      <c r="O284" s="1">
        <f t="shared" ref="O284:AP284" si="154">O94/((O130/O$11/O$10)-(O161*O$10*IF(PanicDF_Switch,O$273,1))/O$11/2/O$10+1)</f>
        <v>0.99338669270933022</v>
      </c>
      <c r="P284" s="1">
        <f t="shared" si="154"/>
        <v>0.99878671441451139</v>
      </c>
      <c r="Q284" s="1">
        <f t="shared" si="154"/>
        <v>0.97306443511095997</v>
      </c>
      <c r="R284" s="1">
        <f t="shared" si="154"/>
        <v>1.007818866888353</v>
      </c>
      <c r="S284" s="1">
        <f t="shared" si="154"/>
        <v>0.96363641831328539</v>
      </c>
      <c r="T284" s="1">
        <f t="shared" si="154"/>
        <v>0.99606340727234144</v>
      </c>
      <c r="U284" s="1">
        <f t="shared" si="154"/>
        <v>0.97920596707198215</v>
      </c>
      <c r="V284" s="1">
        <f t="shared" si="154"/>
        <v>0.96520272245348127</v>
      </c>
      <c r="W284" s="1">
        <f t="shared" si="154"/>
        <v>0.97031733730132774</v>
      </c>
      <c r="X284" s="1">
        <f t="shared" si="154"/>
        <v>0.98092828130047949</v>
      </c>
      <c r="Y284" s="1">
        <f t="shared" si="154"/>
        <v>0.97795022203617654</v>
      </c>
      <c r="Z284" s="1">
        <f t="shared" si="154"/>
        <v>0.99576697034723138</v>
      </c>
      <c r="AA284" s="1">
        <f t="shared" si="154"/>
        <v>0.99610500231310251</v>
      </c>
      <c r="AB284" s="1">
        <f t="shared" si="154"/>
        <v>0.99391112130435844</v>
      </c>
      <c r="AC284" s="1">
        <f t="shared" si="154"/>
        <v>0.98717746866816558</v>
      </c>
      <c r="AD284" s="1">
        <f t="shared" si="154"/>
        <v>0.97447262554797787</v>
      </c>
      <c r="AE284" s="1">
        <f t="shared" si="154"/>
        <v>0.98167465847512614</v>
      </c>
      <c r="AF284" s="1">
        <f t="shared" si="154"/>
        <v>0.98122556745665845</v>
      </c>
      <c r="AG284" s="1">
        <f t="shared" si="154"/>
        <v>0.99812746564663646</v>
      </c>
      <c r="AH284" s="1">
        <f t="shared" si="154"/>
        <v>0.99884170265834482</v>
      </c>
      <c r="AI284" s="1">
        <f t="shared" si="154"/>
        <v>0.9886622239370263</v>
      </c>
      <c r="AJ284" s="1">
        <f t="shared" si="154"/>
        <v>0.9791125296352271</v>
      </c>
      <c r="AK284" s="1">
        <f t="shared" si="154"/>
        <v>0.99433404898745414</v>
      </c>
      <c r="AL284" s="1">
        <f t="shared" si="154"/>
        <v>0.95800332296422142</v>
      </c>
      <c r="AM284" s="1">
        <f t="shared" si="154"/>
        <v>0.99416624999006398</v>
      </c>
      <c r="AN284" s="1">
        <f t="shared" si="154"/>
        <v>1.0619331653850501</v>
      </c>
      <c r="AO284" s="1">
        <f t="shared" si="154"/>
        <v>0.99893418395490008</v>
      </c>
      <c r="AP284" s="1">
        <f t="shared" si="154"/>
        <v>0.98312957374969501</v>
      </c>
    </row>
    <row r="285" spans="3:42" x14ac:dyDescent="0.2">
      <c r="C285" s="1" t="s">
        <v>85</v>
      </c>
      <c r="E285" s="1">
        <f t="shared" si="142"/>
        <v>0.99378912187806157</v>
      </c>
      <c r="F285" s="1">
        <f t="shared" si="143"/>
        <v>0.99724678056373328</v>
      </c>
      <c r="G285" s="1">
        <f t="shared" si="144"/>
        <v>1.0028966827435823</v>
      </c>
      <c r="H285" s="1">
        <f t="shared" si="144"/>
        <v>1.0005257303084965</v>
      </c>
      <c r="I285" s="1">
        <f t="shared" si="144"/>
        <v>0.99553852204024129</v>
      </c>
      <c r="J285" s="1">
        <f t="shared" si="145"/>
        <v>0.99017312683763725</v>
      </c>
      <c r="K285" s="1">
        <f t="shared" si="146"/>
        <v>1.0017979502404097</v>
      </c>
      <c r="L285" s="1">
        <f t="shared" si="146"/>
        <v>0.995032532606836</v>
      </c>
      <c r="M285" s="1">
        <f t="shared" si="146"/>
        <v>1.001786514349152</v>
      </c>
      <c r="N285" s="1">
        <f t="shared" si="147"/>
        <v>0.9891402429661843</v>
      </c>
      <c r="O285" s="1">
        <f t="shared" ref="O285:AP285" si="155">O95/((O131/O$11/O$10)-(O162*O$10*IF(PanicDF_Switch,O$273,1))/O$11/2/O$10+1)</f>
        <v>0.99180762134736611</v>
      </c>
      <c r="P285" s="1">
        <f t="shared" si="155"/>
        <v>0.99843295502006024</v>
      </c>
      <c r="Q285" s="1">
        <f t="shared" si="155"/>
        <v>0.96628654977061712</v>
      </c>
      <c r="R285" s="1">
        <f t="shared" si="155"/>
        <v>1.0102770131268857</v>
      </c>
      <c r="S285" s="1">
        <f t="shared" si="155"/>
        <v>0.9548145883730863</v>
      </c>
      <c r="T285" s="1">
        <f t="shared" si="155"/>
        <v>0.99475425847590981</v>
      </c>
      <c r="U285" s="1">
        <f t="shared" si="155"/>
        <v>0.97480499008817045</v>
      </c>
      <c r="V285" s="1">
        <f t="shared" si="155"/>
        <v>0.95720536872667017</v>
      </c>
      <c r="W285" s="1">
        <f t="shared" si="155"/>
        <v>0.96339424683815378</v>
      </c>
      <c r="X285" s="1">
        <f t="shared" si="155"/>
        <v>0.97591188915861116</v>
      </c>
      <c r="Y285" s="1">
        <f t="shared" si="155"/>
        <v>0.97217096132323433</v>
      </c>
      <c r="Z285" s="1">
        <f t="shared" si="155"/>
        <v>0.99446733044645674</v>
      </c>
      <c r="AA285" s="1">
        <f t="shared" si="155"/>
        <v>0.99500417214281489</v>
      </c>
      <c r="AB285" s="1">
        <f t="shared" si="155"/>
        <v>0.99225919509754579</v>
      </c>
      <c r="AC285" s="1">
        <f t="shared" si="155"/>
        <v>0.98401867007209609</v>
      </c>
      <c r="AD285" s="1">
        <f t="shared" si="155"/>
        <v>0.96903921505675672</v>
      </c>
      <c r="AE285" s="1">
        <f t="shared" si="155"/>
        <v>0.9756506438621364</v>
      </c>
      <c r="AF285" s="1">
        <f t="shared" si="155"/>
        <v>0.97646300813237097</v>
      </c>
      <c r="AG285" s="1">
        <f t="shared" si="155"/>
        <v>0.99751862103721256</v>
      </c>
      <c r="AH285" s="1">
        <f t="shared" si="155"/>
        <v>0.9985958328388792</v>
      </c>
      <c r="AI285" s="1">
        <f t="shared" si="155"/>
        <v>0.98536761523130634</v>
      </c>
      <c r="AJ285" s="1">
        <f t="shared" si="155"/>
        <v>0.97473525557304086</v>
      </c>
      <c r="AK285" s="1">
        <f t="shared" si="155"/>
        <v>0.99255267921522161</v>
      </c>
      <c r="AL285" s="1">
        <f t="shared" si="155"/>
        <v>0.95069046737274077</v>
      </c>
      <c r="AM285" s="1">
        <f t="shared" si="155"/>
        <v>0.9922322153459967</v>
      </c>
      <c r="AN285" s="1">
        <f t="shared" si="155"/>
        <v>1.0549223993741514</v>
      </c>
      <c r="AO285" s="1">
        <f t="shared" si="155"/>
        <v>0.99842845547284331</v>
      </c>
      <c r="AP285" s="1">
        <f t="shared" si="155"/>
        <v>0.97946757839181597</v>
      </c>
    </row>
    <row r="286" spans="3:42" x14ac:dyDescent="0.2">
      <c r="C286" s="1" t="s">
        <v>87</v>
      </c>
      <c r="E286" s="1">
        <f t="shared" si="142"/>
        <v>0.99178176694863673</v>
      </c>
      <c r="F286" s="1">
        <f t="shared" si="143"/>
        <v>0.99637756539332289</v>
      </c>
      <c r="G286" s="1">
        <f t="shared" si="144"/>
        <v>1.0032932983529379</v>
      </c>
      <c r="H286" s="1">
        <f t="shared" si="144"/>
        <v>1.0007039393800279</v>
      </c>
      <c r="I286" s="1">
        <f t="shared" si="144"/>
        <v>0.99408867656988131</v>
      </c>
      <c r="J286" s="1">
        <f t="shared" si="145"/>
        <v>0.98754521285375352</v>
      </c>
      <c r="K286" s="1">
        <f t="shared" si="146"/>
        <v>1.0019763873888945</v>
      </c>
      <c r="L286" s="1">
        <f t="shared" si="146"/>
        <v>0.99365009608640464</v>
      </c>
      <c r="M286" s="1">
        <f t="shared" si="146"/>
        <v>1.0016902829286167</v>
      </c>
      <c r="N286" s="1">
        <f t="shared" si="147"/>
        <v>0.98639896904543534</v>
      </c>
      <c r="O286" s="1">
        <f t="shared" ref="O286:AP286" si="156">O96/((O132/O$11/O$10)-(O163*O$10*IF(PanicDF_Switch,O$273,1))/O$11/2/O$10+1)</f>
        <v>0.98950740531185855</v>
      </c>
      <c r="P286" s="1">
        <f t="shared" si="156"/>
        <v>0.99746464342551477</v>
      </c>
      <c r="Q286" s="1">
        <f t="shared" si="156"/>
        <v>0.95897425186217833</v>
      </c>
      <c r="R286" s="1">
        <f t="shared" si="156"/>
        <v>1.0120110409570433</v>
      </c>
      <c r="S286" s="1">
        <f t="shared" si="156"/>
        <v>0.94542007277915696</v>
      </c>
      <c r="T286" s="1">
        <f t="shared" si="156"/>
        <v>0.99302602385752103</v>
      </c>
      <c r="U286" s="1">
        <f t="shared" si="156"/>
        <v>0.97026358190582918</v>
      </c>
      <c r="V286" s="1">
        <f t="shared" si="156"/>
        <v>0.948667283252837</v>
      </c>
      <c r="W286" s="1">
        <f t="shared" si="156"/>
        <v>0.95570472669642159</v>
      </c>
      <c r="X286" s="1">
        <f t="shared" si="156"/>
        <v>0.97026723127932035</v>
      </c>
      <c r="Y286" s="1">
        <f t="shared" si="156"/>
        <v>0.96578139131610052</v>
      </c>
      <c r="Z286" s="1">
        <f t="shared" si="156"/>
        <v>0.9923672940710061</v>
      </c>
      <c r="AA286" s="1">
        <f t="shared" si="156"/>
        <v>0.99322102662296718</v>
      </c>
      <c r="AB286" s="1">
        <f t="shared" si="156"/>
        <v>0.98992879705370995</v>
      </c>
      <c r="AC286" s="1">
        <f t="shared" si="156"/>
        <v>0.98028695513283881</v>
      </c>
      <c r="AD286" s="1">
        <f t="shared" si="156"/>
        <v>0.96377870283562816</v>
      </c>
      <c r="AE286" s="1">
        <f t="shared" si="156"/>
        <v>0.96901903924645749</v>
      </c>
      <c r="AF286" s="1">
        <f t="shared" si="156"/>
        <v>0.97106725827639284</v>
      </c>
      <c r="AG286" s="1">
        <f t="shared" si="156"/>
        <v>0.99622502560439907</v>
      </c>
      <c r="AH286" s="1">
        <f t="shared" si="156"/>
        <v>0.99766457521163032</v>
      </c>
      <c r="AI286" s="1">
        <f t="shared" si="156"/>
        <v>0.98141243710181447</v>
      </c>
      <c r="AJ286" s="1">
        <f t="shared" si="156"/>
        <v>0.97017554941071404</v>
      </c>
      <c r="AK286" s="1">
        <f t="shared" si="156"/>
        <v>0.99053963685696034</v>
      </c>
      <c r="AL286" s="1">
        <f t="shared" si="156"/>
        <v>0.94282200939746674</v>
      </c>
      <c r="AM286" s="1">
        <f t="shared" si="156"/>
        <v>0.99003455399105911</v>
      </c>
      <c r="AN286" s="1">
        <f t="shared" si="156"/>
        <v>1.0490496787404688</v>
      </c>
      <c r="AO286" s="1">
        <f t="shared" si="156"/>
        <v>0.99723732681637445</v>
      </c>
      <c r="AP286" s="1">
        <f t="shared" si="156"/>
        <v>0.97507351945892118</v>
      </c>
    </row>
    <row r="287" spans="3:42" x14ac:dyDescent="0.2">
      <c r="C287" s="1" t="s">
        <v>90</v>
      </c>
      <c r="E287" s="1">
        <f t="shared" si="142"/>
        <v>0.99029045706350649</v>
      </c>
      <c r="F287" s="1">
        <f t="shared" si="143"/>
        <v>0.99560551242397455</v>
      </c>
      <c r="G287" s="1">
        <f t="shared" si="144"/>
        <v>1.0037390470186824</v>
      </c>
      <c r="H287" s="1">
        <f t="shared" si="144"/>
        <v>1.0006725634219469</v>
      </c>
      <c r="I287" s="1">
        <f t="shared" si="144"/>
        <v>0.99295425304611584</v>
      </c>
      <c r="J287" s="1">
        <f t="shared" si="145"/>
        <v>0.98544755769003067</v>
      </c>
      <c r="K287" s="1">
        <f t="shared" si="146"/>
        <v>1.0022538707709365</v>
      </c>
      <c r="L287" s="1">
        <f t="shared" si="146"/>
        <v>0.99248089176647114</v>
      </c>
      <c r="M287" s="1">
        <f t="shared" si="146"/>
        <v>1.001752349058413</v>
      </c>
      <c r="N287" s="1">
        <f t="shared" si="147"/>
        <v>0.98400657240098788</v>
      </c>
      <c r="O287" s="1">
        <f t="shared" ref="O287:AP287" si="157">O97/((O133/O$11/O$10)-(O164*O$10*IF(PanicDF_Switch,O$273,1))/O$11/2/O$10+1)</f>
        <v>0.98791015884184374</v>
      </c>
      <c r="P287" s="1">
        <f t="shared" si="157"/>
        <v>0.99692078419603758</v>
      </c>
      <c r="Q287" s="1">
        <f t="shared" si="157"/>
        <v>0.95243517613716566</v>
      </c>
      <c r="R287" s="1">
        <f t="shared" si="157"/>
        <v>1.0133759672207707</v>
      </c>
      <c r="S287" s="1">
        <f t="shared" si="157"/>
        <v>0.93584134929122775</v>
      </c>
      <c r="T287" s="1">
        <f t="shared" si="157"/>
        <v>0.99145226064769032</v>
      </c>
      <c r="U287" s="1">
        <f t="shared" si="157"/>
        <v>0.96649375827381623</v>
      </c>
      <c r="V287" s="1">
        <f t="shared" si="157"/>
        <v>0.94138235887202304</v>
      </c>
      <c r="W287" s="1">
        <f t="shared" si="157"/>
        <v>0.94900491543337562</v>
      </c>
      <c r="X287" s="1">
        <f t="shared" si="157"/>
        <v>0.96541589186682109</v>
      </c>
      <c r="Y287" s="1">
        <f t="shared" si="157"/>
        <v>0.95944576798965597</v>
      </c>
      <c r="Z287" s="1">
        <f t="shared" si="157"/>
        <v>0.99104740130917734</v>
      </c>
      <c r="AA287" s="1">
        <f t="shared" si="157"/>
        <v>0.99234454779822301</v>
      </c>
      <c r="AB287" s="1">
        <f t="shared" si="157"/>
        <v>0.98820931729480865</v>
      </c>
      <c r="AC287" s="1">
        <f t="shared" si="157"/>
        <v>0.97717312210196328</v>
      </c>
      <c r="AD287" s="1">
        <f t="shared" si="157"/>
        <v>0.95862609766961626</v>
      </c>
      <c r="AE287" s="1">
        <f t="shared" si="157"/>
        <v>0.96258976045513089</v>
      </c>
      <c r="AF287" s="1">
        <f t="shared" si="157"/>
        <v>0.96611149455525569</v>
      </c>
      <c r="AG287" s="1">
        <f t="shared" si="157"/>
        <v>0.9950245978741139</v>
      </c>
      <c r="AH287" s="1">
        <f t="shared" si="157"/>
        <v>0.99740695576730298</v>
      </c>
      <c r="AI287" s="1">
        <f t="shared" si="157"/>
        <v>0.97859104770971939</v>
      </c>
      <c r="AJ287" s="1">
        <f t="shared" si="157"/>
        <v>0.96608533485209169</v>
      </c>
      <c r="AK287" s="1">
        <f t="shared" si="157"/>
        <v>0.98890531234496948</v>
      </c>
      <c r="AL287" s="1">
        <f t="shared" si="157"/>
        <v>0.93504908850547486</v>
      </c>
      <c r="AM287" s="1">
        <f t="shared" si="157"/>
        <v>0.9881065212914959</v>
      </c>
      <c r="AN287" s="1">
        <f t="shared" si="157"/>
        <v>1.0374735865935758</v>
      </c>
      <c r="AO287" s="1">
        <f t="shared" si="157"/>
        <v>0.99638462306123876</v>
      </c>
      <c r="AP287" s="1">
        <f t="shared" si="157"/>
        <v>0.97153865231912107</v>
      </c>
    </row>
    <row r="288" spans="3:42" x14ac:dyDescent="0.2">
      <c r="C288" s="1" t="s">
        <v>93</v>
      </c>
      <c r="E288" s="1">
        <f t="shared" si="142"/>
        <v>0.98861056971211381</v>
      </c>
      <c r="F288" s="1">
        <f t="shared" si="143"/>
        <v>0.99475963117382149</v>
      </c>
      <c r="G288" s="1">
        <f t="shared" si="144"/>
        <v>1.0042342509929316</v>
      </c>
      <c r="H288" s="1">
        <f t="shared" si="144"/>
        <v>1.0005640432391461</v>
      </c>
      <c r="I288" s="1">
        <f t="shared" si="144"/>
        <v>0.99189640872446827</v>
      </c>
      <c r="J288" s="1">
        <f t="shared" si="145"/>
        <v>0.98317702590802492</v>
      </c>
      <c r="K288" s="1">
        <f t="shared" si="146"/>
        <v>1.0024114854457609</v>
      </c>
      <c r="L288" s="1">
        <f t="shared" si="146"/>
        <v>0.99138409955961493</v>
      </c>
      <c r="M288" s="1">
        <f t="shared" si="146"/>
        <v>1.0019271487724148</v>
      </c>
      <c r="N288" s="1">
        <f t="shared" si="147"/>
        <v>0.98145353294400306</v>
      </c>
      <c r="O288" s="1">
        <f t="shared" ref="O288:AP288" si="158">O98/((O134/O$11/O$10)-(O165*O$10*IF(PanicDF_Switch,O$273,1))/O$11/2/O$10+1)</f>
        <v>0.98612827185450469</v>
      </c>
      <c r="P288" s="1">
        <f t="shared" si="158"/>
        <v>0.99629577620585208</v>
      </c>
      <c r="Q288" s="1">
        <f t="shared" si="158"/>
        <v>0.94506986156406692</v>
      </c>
      <c r="R288" s="1">
        <f t="shared" si="158"/>
        <v>1.014814508239313</v>
      </c>
      <c r="S288" s="1">
        <f t="shared" si="158"/>
        <v>0.92675747883569315</v>
      </c>
      <c r="T288" s="1">
        <f t="shared" si="158"/>
        <v>0.98985456621424817</v>
      </c>
      <c r="U288" s="1">
        <f t="shared" si="158"/>
        <v>0.96216017767679751</v>
      </c>
      <c r="V288" s="1">
        <f t="shared" si="158"/>
        <v>0.93344818909015381</v>
      </c>
      <c r="W288" s="1">
        <f t="shared" si="158"/>
        <v>0.94253341627522569</v>
      </c>
      <c r="X288" s="1">
        <f t="shared" si="158"/>
        <v>0.96009376331937202</v>
      </c>
      <c r="Y288" s="1">
        <f t="shared" si="158"/>
        <v>0.95252569406051357</v>
      </c>
      <c r="Z288" s="1">
        <f t="shared" si="158"/>
        <v>0.98956958425014496</v>
      </c>
      <c r="AA288" s="1">
        <f t="shared" si="158"/>
        <v>0.99135372238895525</v>
      </c>
      <c r="AB288" s="1">
        <f t="shared" si="158"/>
        <v>0.98629348559930108</v>
      </c>
      <c r="AC288" s="1">
        <f t="shared" si="158"/>
        <v>0.97373488582797718</v>
      </c>
      <c r="AD288" s="1">
        <f t="shared" si="158"/>
        <v>0.95297927284506723</v>
      </c>
      <c r="AE288" s="1">
        <f t="shared" si="158"/>
        <v>0.95556877367949455</v>
      </c>
      <c r="AF288" s="1">
        <f t="shared" si="158"/>
        <v>0.96067649938207189</v>
      </c>
      <c r="AG288" s="1">
        <f t="shared" si="158"/>
        <v>0.99367779081860685</v>
      </c>
      <c r="AH288" s="1">
        <f t="shared" si="158"/>
        <v>0.99709726282986444</v>
      </c>
      <c r="AI288" s="1">
        <f t="shared" si="158"/>
        <v>0.97547137107348503</v>
      </c>
      <c r="AJ288" s="1">
        <f t="shared" si="158"/>
        <v>0.96172707238169008</v>
      </c>
      <c r="AK288" s="1">
        <f t="shared" si="158"/>
        <v>0.98708275862951589</v>
      </c>
      <c r="AL288" s="1">
        <f t="shared" si="158"/>
        <v>0.9265952307314026</v>
      </c>
      <c r="AM288" s="1">
        <f t="shared" si="158"/>
        <v>0.98609411246686141</v>
      </c>
      <c r="AN288" s="1">
        <f t="shared" si="158"/>
        <v>1.0249659003216292</v>
      </c>
      <c r="AO288" s="1">
        <f t="shared" si="158"/>
        <v>0.99541982672489393</v>
      </c>
      <c r="AP288" s="1">
        <f t="shared" si="158"/>
        <v>0.9680941129311168</v>
      </c>
    </row>
    <row r="289" spans="3:42" x14ac:dyDescent="0.2">
      <c r="C289" s="1" t="s">
        <v>96</v>
      </c>
      <c r="E289" s="1">
        <f t="shared" si="142"/>
        <v>0.98682691543499101</v>
      </c>
      <c r="F289" s="1">
        <f t="shared" si="143"/>
        <v>0.99410804763733984</v>
      </c>
      <c r="G289" s="1">
        <f t="shared" si="144"/>
        <v>1.0047554216890346</v>
      </c>
      <c r="H289" s="1">
        <f t="shared" si="144"/>
        <v>1.0008347425327564</v>
      </c>
      <c r="I289" s="1">
        <f t="shared" si="144"/>
        <v>0.9904623862102746</v>
      </c>
      <c r="J289" s="1">
        <f t="shared" si="145"/>
        <v>0.98089793256598878</v>
      </c>
      <c r="K289" s="1">
        <f t="shared" si="146"/>
        <v>1.0027811902805028</v>
      </c>
      <c r="L289" s="1">
        <f t="shared" si="146"/>
        <v>0.9901140570950745</v>
      </c>
      <c r="M289" s="1">
        <f t="shared" si="146"/>
        <v>1.0018911171483496</v>
      </c>
      <c r="N289" s="1">
        <f t="shared" si="147"/>
        <v>0.97893610206448467</v>
      </c>
      <c r="O289" s="1">
        <f t="shared" ref="O289:AP289" si="159">O99/((O135/O$11/O$10)-(O166*O$10*IF(PanicDF_Switch,O$273,1))/O$11/2/O$10+1)</f>
        <v>0.98424080523983315</v>
      </c>
      <c r="P289" s="1">
        <f t="shared" si="159"/>
        <v>0.99536943181516335</v>
      </c>
      <c r="Q289" s="1">
        <f t="shared" si="159"/>
        <v>0.93894783205856602</v>
      </c>
      <c r="R289" s="1">
        <f t="shared" si="159"/>
        <v>1.0154781587260151</v>
      </c>
      <c r="S289" s="1">
        <f t="shared" si="159"/>
        <v>0.91770434933231082</v>
      </c>
      <c r="T289" s="1">
        <f t="shared" si="159"/>
        <v>0.98794158643322905</v>
      </c>
      <c r="U289" s="1">
        <f t="shared" si="159"/>
        <v>0.95861887349099351</v>
      </c>
      <c r="V289" s="1">
        <f t="shared" si="159"/>
        <v>0.92644582014416277</v>
      </c>
      <c r="W289" s="1">
        <f t="shared" si="159"/>
        <v>0.93601184457691988</v>
      </c>
      <c r="X289" s="1">
        <f t="shared" si="159"/>
        <v>0.95524504117945441</v>
      </c>
      <c r="Y289" s="1">
        <f t="shared" si="159"/>
        <v>0.94635242236065042</v>
      </c>
      <c r="Z289" s="1">
        <f t="shared" si="159"/>
        <v>0.98793792707071992</v>
      </c>
      <c r="AA289" s="1">
        <f t="shared" si="159"/>
        <v>0.99013382037126951</v>
      </c>
      <c r="AB289" s="1">
        <f t="shared" si="159"/>
        <v>0.98428550940431847</v>
      </c>
      <c r="AC289" s="1">
        <f t="shared" si="159"/>
        <v>0.9704568257370374</v>
      </c>
      <c r="AD289" s="1">
        <f t="shared" si="159"/>
        <v>0.94786313950885071</v>
      </c>
      <c r="AE289" s="1">
        <f t="shared" si="159"/>
        <v>0.94931050805620232</v>
      </c>
      <c r="AF289" s="1">
        <f t="shared" si="159"/>
        <v>0.95573345716881253</v>
      </c>
      <c r="AG289" s="1">
        <f t="shared" si="159"/>
        <v>0.99215543373754922</v>
      </c>
      <c r="AH289" s="1">
        <f t="shared" si="159"/>
        <v>0.99645328895352092</v>
      </c>
      <c r="AI289" s="1">
        <f t="shared" si="159"/>
        <v>0.97246031191820059</v>
      </c>
      <c r="AJ289" s="1">
        <f t="shared" si="159"/>
        <v>0.95836494294924124</v>
      </c>
      <c r="AK289" s="1">
        <f t="shared" si="159"/>
        <v>0.98516055512398593</v>
      </c>
      <c r="AL289" s="1">
        <f t="shared" si="159"/>
        <v>0.91916820291577594</v>
      </c>
      <c r="AM289" s="1">
        <f t="shared" si="159"/>
        <v>0.98390007639816335</v>
      </c>
      <c r="AN289" s="1">
        <f t="shared" si="159"/>
        <v>1.0141678366480817</v>
      </c>
      <c r="AO289" s="1">
        <f t="shared" si="159"/>
        <v>0.99422043209575317</v>
      </c>
      <c r="AP289" s="1">
        <f t="shared" si="159"/>
        <v>0.96448109097800572</v>
      </c>
    </row>
    <row r="290" spans="3:42" x14ac:dyDescent="0.2">
      <c r="C290" s="1" t="s">
        <v>99</v>
      </c>
      <c r="E290" s="1">
        <f t="shared" si="142"/>
        <v>0.9853325007036382</v>
      </c>
      <c r="F290" s="1">
        <f t="shared" si="143"/>
        <v>0.99336283995923869</v>
      </c>
      <c r="G290" s="1">
        <f t="shared" si="144"/>
        <v>1.0054044659533203</v>
      </c>
      <c r="H290" s="1">
        <f t="shared" si="144"/>
        <v>1.0010239924432445</v>
      </c>
      <c r="I290" s="1">
        <f t="shared" si="144"/>
        <v>0.98952808283243454</v>
      </c>
      <c r="J290" s="1">
        <f t="shared" si="145"/>
        <v>0.97883338380639151</v>
      </c>
      <c r="K290" s="1">
        <f t="shared" si="146"/>
        <v>1.0031256257748471</v>
      </c>
      <c r="L290" s="1">
        <f t="shared" si="146"/>
        <v>0.98932630235819485</v>
      </c>
      <c r="M290" s="1">
        <f t="shared" si="146"/>
        <v>1.0023441932533681</v>
      </c>
      <c r="N290" s="1">
        <f t="shared" si="147"/>
        <v>0.97653392965228503</v>
      </c>
      <c r="O290" s="1">
        <f t="shared" ref="O290:AP290" si="160">O100/((O136/O$11/O$10)-(O167*O$10*IF(PanicDF_Switch,O$273,1))/O$11/2/O$10+1)</f>
        <v>0.98277561158419546</v>
      </c>
      <c r="P290" s="1">
        <f t="shared" si="160"/>
        <v>0.99511831675705753</v>
      </c>
      <c r="Q290" s="1">
        <f t="shared" si="160"/>
        <v>0.93226716698912404</v>
      </c>
      <c r="R290" s="1">
        <f t="shared" si="160"/>
        <v>1.016543856442168</v>
      </c>
      <c r="S290" s="1">
        <f t="shared" si="160"/>
        <v>0.90870632710483701</v>
      </c>
      <c r="T290" s="1">
        <f t="shared" si="160"/>
        <v>0.98633015203774388</v>
      </c>
      <c r="U290" s="1">
        <f t="shared" si="160"/>
        <v>0.95500699491246011</v>
      </c>
      <c r="V290" s="1">
        <f t="shared" si="160"/>
        <v>0.9198204691018661</v>
      </c>
      <c r="W290" s="1">
        <f t="shared" si="160"/>
        <v>0.92995056576410506</v>
      </c>
      <c r="X290" s="1">
        <f t="shared" si="160"/>
        <v>0.95027532935399217</v>
      </c>
      <c r="Y290" s="1">
        <f t="shared" si="160"/>
        <v>0.93992221861563063</v>
      </c>
      <c r="Z290" s="1">
        <f t="shared" si="160"/>
        <v>0.98625697266112722</v>
      </c>
      <c r="AA290" s="1">
        <f t="shared" si="160"/>
        <v>0.98940947384006839</v>
      </c>
      <c r="AB290" s="1">
        <f t="shared" si="160"/>
        <v>0.98242294900678051</v>
      </c>
      <c r="AC290" s="1">
        <f t="shared" si="160"/>
        <v>0.9673083183450486</v>
      </c>
      <c r="AD290" s="1">
        <f t="shared" si="160"/>
        <v>0.94202088240525406</v>
      </c>
      <c r="AE290" s="1">
        <f t="shared" si="160"/>
        <v>0.94277651888218617</v>
      </c>
      <c r="AF290" s="1">
        <f t="shared" si="160"/>
        <v>0.95086272263175742</v>
      </c>
      <c r="AG290" s="1">
        <f t="shared" si="160"/>
        <v>0.99104580120915109</v>
      </c>
      <c r="AH290" s="1">
        <f t="shared" si="160"/>
        <v>0.99649432135449101</v>
      </c>
      <c r="AI290" s="1">
        <f t="shared" si="160"/>
        <v>0.96914972658263487</v>
      </c>
      <c r="AJ290" s="1">
        <f t="shared" si="160"/>
        <v>0.95522106086221126</v>
      </c>
      <c r="AK290" s="1">
        <f t="shared" si="160"/>
        <v>0.98320891476181571</v>
      </c>
      <c r="AL290" s="1">
        <f t="shared" si="160"/>
        <v>0.9113536961789237</v>
      </c>
      <c r="AM290" s="1">
        <f t="shared" si="160"/>
        <v>0.98089141163546523</v>
      </c>
      <c r="AN290" s="1">
        <f t="shared" si="160"/>
        <v>1.0053269495220587</v>
      </c>
      <c r="AO290" s="1">
        <f t="shared" si="160"/>
        <v>0.99348422363021704</v>
      </c>
      <c r="AP290" s="1">
        <f t="shared" si="160"/>
        <v>0.96140596992942418</v>
      </c>
    </row>
    <row r="291" spans="3:42" x14ac:dyDescent="0.2">
      <c r="C291" s="1" t="s">
        <v>101</v>
      </c>
      <c r="E291" s="1">
        <f t="shared" si="142"/>
        <v>0.98376501817484707</v>
      </c>
      <c r="F291" s="1">
        <f t="shared" si="143"/>
        <v>0.99279016184088953</v>
      </c>
      <c r="G291" s="1">
        <f t="shared" si="144"/>
        <v>1.0061610685967739</v>
      </c>
      <c r="H291" s="1">
        <f t="shared" si="144"/>
        <v>1.0011946878713789</v>
      </c>
      <c r="I291" s="1">
        <f t="shared" si="144"/>
        <v>0.98861268604079311</v>
      </c>
      <c r="J291" s="1">
        <f t="shared" si="145"/>
        <v>0.97673187327166511</v>
      </c>
      <c r="K291" s="1">
        <f t="shared" si="146"/>
        <v>1.0036370672270065</v>
      </c>
      <c r="L291" s="1">
        <f t="shared" si="146"/>
        <v>0.98844538354099587</v>
      </c>
      <c r="M291" s="1">
        <f t="shared" si="146"/>
        <v>1.0025531886973205</v>
      </c>
      <c r="N291" s="1">
        <f t="shared" si="147"/>
        <v>0.97410545299300222</v>
      </c>
      <c r="O291" s="1">
        <f t="shared" ref="O291:AP291" si="161">O101/((O137/O$11/O$10)-(O168*O$10*IF(PanicDF_Switch,O$273,1))/O$11/2/O$10+1)</f>
        <v>0.98124873071363117</v>
      </c>
      <c r="P291" s="1">
        <f t="shared" si="161"/>
        <v>0.994834294170165</v>
      </c>
      <c r="Q291" s="1">
        <f t="shared" si="161"/>
        <v>0.92544083061124283</v>
      </c>
      <c r="R291" s="1">
        <f t="shared" si="161"/>
        <v>1.017632208877647</v>
      </c>
      <c r="S291" s="1">
        <f t="shared" si="161"/>
        <v>0.90008143047397737</v>
      </c>
      <c r="T291" s="1">
        <f t="shared" si="161"/>
        <v>0.9848916806134238</v>
      </c>
      <c r="U291" s="1">
        <f t="shared" si="161"/>
        <v>0.95100748172074279</v>
      </c>
      <c r="V291" s="1">
        <f t="shared" si="161"/>
        <v>0.91325520532585869</v>
      </c>
      <c r="W291" s="1">
        <f t="shared" si="161"/>
        <v>0.92408207768553108</v>
      </c>
      <c r="X291" s="1">
        <f t="shared" si="161"/>
        <v>0.94532740203809695</v>
      </c>
      <c r="Y291" s="1">
        <f t="shared" si="161"/>
        <v>0.93354505114943942</v>
      </c>
      <c r="Z291" s="1">
        <f t="shared" si="161"/>
        <v>0.98451397054830714</v>
      </c>
      <c r="AA291" s="1">
        <f t="shared" si="161"/>
        <v>0.98866853733559468</v>
      </c>
      <c r="AB291" s="1">
        <f t="shared" si="161"/>
        <v>0.9805345684281791</v>
      </c>
      <c r="AC291" s="1">
        <f t="shared" si="161"/>
        <v>0.96415562155709467</v>
      </c>
      <c r="AD291" s="1">
        <f t="shared" si="161"/>
        <v>0.93621812389261116</v>
      </c>
      <c r="AE291" s="1">
        <f t="shared" si="161"/>
        <v>0.93614136947434434</v>
      </c>
      <c r="AF291" s="1">
        <f t="shared" si="161"/>
        <v>0.94601200501271221</v>
      </c>
      <c r="AG291" s="1">
        <f t="shared" si="161"/>
        <v>0.98988461210618439</v>
      </c>
      <c r="AH291" s="1">
        <f t="shared" si="161"/>
        <v>0.99651990915540078</v>
      </c>
      <c r="AI291" s="1">
        <f t="shared" si="161"/>
        <v>0.96583654259848695</v>
      </c>
      <c r="AJ291" s="1">
        <f t="shared" si="161"/>
        <v>0.95094143322348101</v>
      </c>
      <c r="AK291" s="1">
        <f t="shared" si="161"/>
        <v>0.98132197533038845</v>
      </c>
      <c r="AL291" s="1">
        <f t="shared" si="161"/>
        <v>0.90343751019104823</v>
      </c>
      <c r="AM291" s="1">
        <f t="shared" si="161"/>
        <v>0.97831943869601545</v>
      </c>
      <c r="AN291" s="1">
        <f t="shared" si="161"/>
        <v>0.99782186804130746</v>
      </c>
      <c r="AO291" s="1">
        <f t="shared" si="161"/>
        <v>0.99273135621505915</v>
      </c>
      <c r="AP291" s="1">
        <f t="shared" si="161"/>
        <v>0.95837783003504495</v>
      </c>
    </row>
    <row r="292" spans="3:42" x14ac:dyDescent="0.2">
      <c r="C292" s="1" t="s">
        <v>138</v>
      </c>
      <c r="E292" s="1">
        <f t="shared" si="142"/>
        <v>0.98177948034442686</v>
      </c>
      <c r="F292" s="1">
        <f t="shared" si="143"/>
        <v>0.99215700499322934</v>
      </c>
      <c r="G292" s="1">
        <f t="shared" si="144"/>
        <v>1.0066601175799221</v>
      </c>
      <c r="H292" s="1">
        <f t="shared" si="144"/>
        <v>1.0016134119611546</v>
      </c>
      <c r="I292" s="1">
        <f t="shared" si="144"/>
        <v>0.98691629372751655</v>
      </c>
      <c r="J292" s="1">
        <f t="shared" si="145"/>
        <v>0.97429981177358405</v>
      </c>
      <c r="K292" s="1">
        <f t="shared" si="146"/>
        <v>1.0040133730883261</v>
      </c>
      <c r="L292" s="1">
        <f t="shared" si="146"/>
        <v>0.98684108616164024</v>
      </c>
      <c r="M292" s="1">
        <f t="shared" si="146"/>
        <v>1.0026433046454999</v>
      </c>
      <c r="N292" s="1">
        <f t="shared" si="147"/>
        <v>0.97137274688812447</v>
      </c>
      <c r="O292" s="1">
        <f t="shared" ref="O292:AP292" si="162">O102/((O138/O$11/O$10)-(O169*O$10*IF(PanicDF_Switch,O$273,1))/O$11/2/O$10+1)</f>
        <v>0.97926492621575612</v>
      </c>
      <c r="P292" s="1">
        <f t="shared" si="162"/>
        <v>0.99385594611097106</v>
      </c>
      <c r="Q292" s="1">
        <f t="shared" si="162"/>
        <v>0.91922431223201662</v>
      </c>
      <c r="R292" s="1">
        <f t="shared" si="162"/>
        <v>1.0177636427773109</v>
      </c>
      <c r="S292" s="1">
        <f t="shared" si="162"/>
        <v>0.89039215234640801</v>
      </c>
      <c r="T292" s="1">
        <f t="shared" si="162"/>
        <v>0.98266356684862055</v>
      </c>
      <c r="U292" s="1">
        <f t="shared" si="162"/>
        <v>0.9472110367474339</v>
      </c>
      <c r="V292" s="1">
        <f t="shared" si="162"/>
        <v>0.90689055820433306</v>
      </c>
      <c r="W292" s="1">
        <f t="shared" si="162"/>
        <v>0.91732109425897523</v>
      </c>
      <c r="X292" s="1">
        <f t="shared" si="162"/>
        <v>0.94032246179385326</v>
      </c>
      <c r="Y292" s="1">
        <f t="shared" si="162"/>
        <v>0.92732427762121183</v>
      </c>
      <c r="Z292" s="1">
        <f t="shared" si="162"/>
        <v>0.9823412365789802</v>
      </c>
      <c r="AA292" s="1">
        <f t="shared" si="162"/>
        <v>0.98727877734465275</v>
      </c>
      <c r="AB292" s="1">
        <f t="shared" si="162"/>
        <v>0.97814980151302522</v>
      </c>
      <c r="AC292" s="1">
        <f t="shared" si="162"/>
        <v>0.96068539558575605</v>
      </c>
      <c r="AD292" s="1">
        <f t="shared" si="162"/>
        <v>0.93048674667427611</v>
      </c>
      <c r="AE292" s="1">
        <f t="shared" si="162"/>
        <v>0.92998788113796227</v>
      </c>
      <c r="AF292" s="1">
        <f t="shared" si="162"/>
        <v>0.9410901276064807</v>
      </c>
      <c r="AG292" s="1">
        <f t="shared" si="162"/>
        <v>0.98819266853706</v>
      </c>
      <c r="AH292" s="1">
        <f t="shared" si="162"/>
        <v>0.99579549296802339</v>
      </c>
      <c r="AI292" s="1">
        <f t="shared" si="162"/>
        <v>0.96222605400448935</v>
      </c>
      <c r="AJ292" s="1">
        <f t="shared" si="162"/>
        <v>0.9463931948793568</v>
      </c>
      <c r="AK292" s="1">
        <f t="shared" si="162"/>
        <v>0.9789037399359356</v>
      </c>
      <c r="AL292" s="1">
        <f t="shared" si="162"/>
        <v>0.89629381784220652</v>
      </c>
      <c r="AM292" s="1">
        <f t="shared" si="162"/>
        <v>0.97501377448230264</v>
      </c>
      <c r="AN292" s="1">
        <f t="shared" si="162"/>
        <v>0.99005514982051512</v>
      </c>
      <c r="AO292" s="1">
        <f t="shared" si="162"/>
        <v>0.99132811523398212</v>
      </c>
      <c r="AP292" s="1">
        <f t="shared" si="162"/>
        <v>0.95467294791957946</v>
      </c>
    </row>
    <row r="293" spans="3:42" x14ac:dyDescent="0.2">
      <c r="C293" s="1" t="s">
        <v>122</v>
      </c>
      <c r="E293" s="1">
        <f t="shared" si="142"/>
        <v>0.97678416705877968</v>
      </c>
      <c r="F293" s="1">
        <f t="shared" si="143"/>
        <v>0.98996139734620769</v>
      </c>
      <c r="G293" s="1">
        <f t="shared" si="144"/>
        <v>1.0084915454560817</v>
      </c>
      <c r="H293" s="1">
        <f t="shared" si="144"/>
        <v>1.0025270865431626</v>
      </c>
      <c r="I293" s="1">
        <f t="shared" si="144"/>
        <v>0.98367366533149747</v>
      </c>
      <c r="J293" s="1">
        <f t="shared" si="145"/>
        <v>0.96774984813788223</v>
      </c>
      <c r="K293" s="1">
        <f t="shared" si="146"/>
        <v>1.0051701259797081</v>
      </c>
      <c r="L293" s="1">
        <f t="shared" si="146"/>
        <v>0.98338631182862035</v>
      </c>
      <c r="M293" s="1">
        <f t="shared" si="146"/>
        <v>1.0032887351667226</v>
      </c>
      <c r="N293" s="1">
        <f t="shared" si="147"/>
        <v>0.96347836732142322</v>
      </c>
      <c r="O293" s="1">
        <f t="shared" ref="O293:AP293" si="163">O103/((O139/O$11/O$10)-(O170*O$10*IF(PanicDF_Switch,O$273,1))/O$11/2/O$10+1)</f>
        <v>0.97431359633185588</v>
      </c>
      <c r="P293" s="1">
        <f t="shared" si="163"/>
        <v>0.99227235875086806</v>
      </c>
      <c r="Q293" s="1">
        <f t="shared" si="163"/>
        <v>0.90063165982532334</v>
      </c>
      <c r="R293" s="1">
        <f t="shared" si="163"/>
        <v>1.0197152847867377</v>
      </c>
      <c r="S293" s="1">
        <f t="shared" si="163"/>
        <v>0.86539670445486283</v>
      </c>
      <c r="T293" s="1">
        <f t="shared" si="163"/>
        <v>0.97748784525207955</v>
      </c>
      <c r="U293" s="1">
        <f t="shared" si="163"/>
        <v>0.93617459965784977</v>
      </c>
      <c r="V293" s="1">
        <f t="shared" si="163"/>
        <v>0.88810252434196413</v>
      </c>
      <c r="W293" s="1">
        <f t="shared" si="163"/>
        <v>0.90060956452330909</v>
      </c>
      <c r="X293" s="1">
        <f t="shared" si="163"/>
        <v>0.92714108896885739</v>
      </c>
      <c r="Y293" s="1">
        <f t="shared" si="163"/>
        <v>0.90955007439804636</v>
      </c>
      <c r="Z293" s="1">
        <f t="shared" si="163"/>
        <v>0.97957303706611332</v>
      </c>
      <c r="AA293" s="1">
        <f t="shared" si="163"/>
        <v>0.98306071605310696</v>
      </c>
      <c r="AB293" s="1">
        <f t="shared" si="163"/>
        <v>0.97206639090066549</v>
      </c>
      <c r="AC293" s="1">
        <f t="shared" si="163"/>
        <v>0.95205588025875065</v>
      </c>
      <c r="AD293" s="1">
        <f t="shared" si="163"/>
        <v>0.91758272790312145</v>
      </c>
      <c r="AE293" s="1">
        <f t="shared" si="163"/>
        <v>0.9115714000194125</v>
      </c>
      <c r="AF293" s="1">
        <f t="shared" si="163"/>
        <v>0.9296607567613373</v>
      </c>
      <c r="AG293" s="1">
        <f t="shared" si="163"/>
        <v>0.98441365713126094</v>
      </c>
      <c r="AH293" s="1">
        <f t="shared" si="163"/>
        <v>0.99565512947552759</v>
      </c>
      <c r="AI293" s="1">
        <f t="shared" si="163"/>
        <v>0.95224002014034215</v>
      </c>
      <c r="AJ293" s="1">
        <f t="shared" si="163"/>
        <v>0.93412253726825134</v>
      </c>
      <c r="AK293" s="1">
        <f t="shared" si="163"/>
        <v>0.97374729284685579</v>
      </c>
      <c r="AL293" s="1">
        <f t="shared" si="163"/>
        <v>0.87470440398184113</v>
      </c>
      <c r="AM293" s="1">
        <f t="shared" si="163"/>
        <v>0.96630847594178226</v>
      </c>
      <c r="AN293" s="1">
        <f t="shared" si="163"/>
        <v>0.96724299437357741</v>
      </c>
      <c r="AO293" s="1">
        <f t="shared" si="163"/>
        <v>0.98814666678471452</v>
      </c>
      <c r="AP293" s="1">
        <f t="shared" si="163"/>
        <v>0.94879192589772188</v>
      </c>
    </row>
    <row r="294" spans="3:42" x14ac:dyDescent="0.2">
      <c r="C294" s="1" t="s">
        <v>133</v>
      </c>
      <c r="E294" s="1">
        <f t="shared" si="142"/>
        <v>0.97151482913389942</v>
      </c>
      <c r="F294" s="1">
        <f t="shared" si="143"/>
        <v>0.98779266959211154</v>
      </c>
      <c r="G294" s="1">
        <f t="shared" si="144"/>
        <v>1.010141022637786</v>
      </c>
      <c r="H294" s="1">
        <f t="shared" si="144"/>
        <v>1.0036080810154799</v>
      </c>
      <c r="I294" s="1">
        <f t="shared" si="144"/>
        <v>0.98040495876929712</v>
      </c>
      <c r="J294" s="1">
        <f t="shared" si="145"/>
        <v>0.96128913978973107</v>
      </c>
      <c r="K294" s="1">
        <f t="shared" si="146"/>
        <v>1.006200575213311</v>
      </c>
      <c r="L294" s="1">
        <f t="shared" si="146"/>
        <v>0.98034797420128861</v>
      </c>
      <c r="M294" s="1">
        <f t="shared" si="146"/>
        <v>1.0033741158540885</v>
      </c>
      <c r="N294" s="1">
        <f t="shared" si="147"/>
        <v>0.95591361924953255</v>
      </c>
      <c r="O294" s="1">
        <f t="shared" ref="O294:AP294" si="164">O104/((O140/O$11/O$10)-(O171*O$10*IF(PanicDF_Switch,O$273,1))/O$11/2/O$10+1)</f>
        <v>0.96907286087342592</v>
      </c>
      <c r="P294" s="1">
        <f t="shared" si="164"/>
        <v>0.99042092785879354</v>
      </c>
      <c r="Q294" s="1">
        <f t="shared" si="164"/>
        <v>0.88218464004034391</v>
      </c>
      <c r="R294" s="1">
        <f t="shared" si="164"/>
        <v>1.0214707154779215</v>
      </c>
      <c r="S294" s="1">
        <f t="shared" si="164"/>
        <v>0.8406307350346256</v>
      </c>
      <c r="T294" s="1">
        <f t="shared" si="164"/>
        <v>0.97202068548867915</v>
      </c>
      <c r="U294" s="1">
        <f t="shared" si="164"/>
        <v>0.92493392104819572</v>
      </c>
      <c r="V294" s="1">
        <f t="shared" si="164"/>
        <v>0.86948521255784228</v>
      </c>
      <c r="W294" s="1">
        <f t="shared" si="164"/>
        <v>0.88367675801086343</v>
      </c>
      <c r="X294" s="1">
        <f t="shared" si="164"/>
        <v>0.91383017346041906</v>
      </c>
      <c r="Y294" s="1">
        <f t="shared" si="164"/>
        <v>0.89186602983969765</v>
      </c>
      <c r="Z294" s="1">
        <f t="shared" si="164"/>
        <v>0.9765255466636803</v>
      </c>
      <c r="AA294" s="1">
        <f t="shared" si="164"/>
        <v>0.97855246509590799</v>
      </c>
      <c r="AB294" s="1">
        <f t="shared" si="164"/>
        <v>0.96569607689661729</v>
      </c>
      <c r="AC294" s="1">
        <f t="shared" si="164"/>
        <v>0.94317073883816693</v>
      </c>
      <c r="AD294" s="1">
        <f t="shared" si="164"/>
        <v>0.90454561151060675</v>
      </c>
      <c r="AE294" s="1">
        <f t="shared" si="164"/>
        <v>0.89327901100543294</v>
      </c>
      <c r="AF294" s="1">
        <f t="shared" si="164"/>
        <v>0.91804570686693487</v>
      </c>
      <c r="AG294" s="1">
        <f t="shared" si="164"/>
        <v>0.98034620623838697</v>
      </c>
      <c r="AH294" s="1">
        <f t="shared" si="164"/>
        <v>0.99527185185375333</v>
      </c>
      <c r="AI294" s="1">
        <f t="shared" si="164"/>
        <v>0.94202241285730637</v>
      </c>
      <c r="AJ294" s="1">
        <f t="shared" si="164"/>
        <v>0.92350755352644298</v>
      </c>
      <c r="AK294" s="1">
        <f t="shared" si="164"/>
        <v>0.9683015422073622</v>
      </c>
      <c r="AL294" s="1">
        <f t="shared" si="164"/>
        <v>0.8534899191480303</v>
      </c>
      <c r="AM294" s="1">
        <f t="shared" si="164"/>
        <v>0.95734240365382517</v>
      </c>
      <c r="AN294" s="1">
        <f t="shared" si="164"/>
        <v>0.94476965060672702</v>
      </c>
      <c r="AO294" s="1">
        <f t="shared" si="164"/>
        <v>0.98467996456675566</v>
      </c>
      <c r="AP294" s="1">
        <f t="shared" si="164"/>
        <v>0.94260833985377368</v>
      </c>
    </row>
    <row r="295" spans="3:42" x14ac:dyDescent="0.2">
      <c r="C295" s="1" t="s">
        <v>148</v>
      </c>
      <c r="E295" s="1">
        <f t="shared" si="142"/>
        <v>0.96020297109451469</v>
      </c>
      <c r="F295" s="1">
        <f t="shared" si="143"/>
        <v>0.98303615859721172</v>
      </c>
      <c r="G295" s="1">
        <f t="shared" si="144"/>
        <v>1.0141061126052988</v>
      </c>
      <c r="H295" s="1">
        <f t="shared" si="144"/>
        <v>1.0060058578251558</v>
      </c>
      <c r="I295" s="1">
        <f t="shared" si="144"/>
        <v>0.97245287212428466</v>
      </c>
      <c r="J295" s="1">
        <f t="shared" si="145"/>
        <v>0.94721861131690144</v>
      </c>
      <c r="K295" s="1">
        <f t="shared" si="146"/>
        <v>1.0077030882679705</v>
      </c>
      <c r="L295" s="1">
        <f t="shared" si="146"/>
        <v>0.97335214469699827</v>
      </c>
      <c r="M295" s="1">
        <f t="shared" si="146"/>
        <v>1.0026631916903457</v>
      </c>
      <c r="N295" s="1">
        <f t="shared" si="147"/>
        <v>0.93844738474013911</v>
      </c>
      <c r="O295" s="1">
        <f t="shared" ref="O295:AP295" si="165">O105/((O141/O$11/O$10)-(O172*O$10*IF(PanicDF_Switch,O$273,1))/O$11/2/O$10+1)</f>
        <v>0.95791050987149817</v>
      </c>
      <c r="P295" s="1">
        <f t="shared" si="165"/>
        <v>0.98605651428405749</v>
      </c>
      <c r="Q295" s="1">
        <f t="shared" si="165"/>
        <v>0.8460401267134916</v>
      </c>
      <c r="R295" s="1">
        <f t="shared" si="165"/>
        <v>1.0244964376679526</v>
      </c>
      <c r="S295" s="1">
        <f t="shared" si="165"/>
        <v>0.79304921354932656</v>
      </c>
      <c r="T295" s="1">
        <f t="shared" si="165"/>
        <v>0.96039583974133791</v>
      </c>
      <c r="U295" s="1">
        <f t="shared" si="165"/>
        <v>0.90207690835029997</v>
      </c>
      <c r="V295" s="1">
        <f t="shared" si="165"/>
        <v>0.83307097503093896</v>
      </c>
      <c r="W295" s="1">
        <f t="shared" si="165"/>
        <v>0.85087024083464602</v>
      </c>
      <c r="X295" s="1">
        <f t="shared" si="165"/>
        <v>0.88710910109480368</v>
      </c>
      <c r="Y295" s="1">
        <f t="shared" si="165"/>
        <v>0.85510416590471239</v>
      </c>
      <c r="Z295" s="1">
        <f t="shared" si="165"/>
        <v>0.96974932171330031</v>
      </c>
      <c r="AA295" s="1">
        <f t="shared" si="165"/>
        <v>0.96884310390010364</v>
      </c>
      <c r="AB295" s="1">
        <f t="shared" si="165"/>
        <v>0.95229836600451212</v>
      </c>
      <c r="AC295" s="1">
        <f t="shared" si="165"/>
        <v>0.92868186267002129</v>
      </c>
      <c r="AD295" s="1">
        <f t="shared" si="165"/>
        <v>0.87887073529748638</v>
      </c>
      <c r="AE295" s="1">
        <f t="shared" si="165"/>
        <v>0.85738263977614626</v>
      </c>
      <c r="AF295" s="1">
        <f t="shared" si="165"/>
        <v>0.89452945317046262</v>
      </c>
      <c r="AG295" s="1">
        <f t="shared" si="165"/>
        <v>0.97151752822490201</v>
      </c>
      <c r="AH295" s="1">
        <f t="shared" si="165"/>
        <v>0.99390049083826892</v>
      </c>
      <c r="AI295" s="1">
        <f t="shared" si="165"/>
        <v>0.92114854738459162</v>
      </c>
      <c r="AJ295" s="1">
        <f t="shared" si="165"/>
        <v>0.8978418464966732</v>
      </c>
      <c r="AK295" s="1">
        <f t="shared" si="165"/>
        <v>0.95673239625548667</v>
      </c>
      <c r="AL295" s="1">
        <f t="shared" si="165"/>
        <v>0.81247666136532282</v>
      </c>
      <c r="AM295" s="1">
        <f t="shared" si="165"/>
        <v>0.93886499149302716</v>
      </c>
      <c r="AN295" s="1">
        <f t="shared" si="165"/>
        <v>0.90116810771454015</v>
      </c>
      <c r="AO295" s="1">
        <f t="shared" si="165"/>
        <v>0.97705426969349674</v>
      </c>
      <c r="AP295" s="1">
        <f t="shared" si="165"/>
        <v>0.92957720112065956</v>
      </c>
    </row>
    <row r="296" spans="3:42" x14ac:dyDescent="0.2">
      <c r="C296" s="1" t="s">
        <v>150</v>
      </c>
      <c r="E296" s="1">
        <f t="shared" si="142"/>
        <v>0.933809829046923</v>
      </c>
      <c r="F296" s="1">
        <f t="shared" si="143"/>
        <v>0.96965247193823656</v>
      </c>
      <c r="G296" s="1">
        <f t="shared" si="144"/>
        <v>1.0181281351262077</v>
      </c>
      <c r="H296" s="1">
        <f t="shared" si="144"/>
        <v>1.0083223731751925</v>
      </c>
      <c r="I296" s="1">
        <f t="shared" si="144"/>
        <v>0.95260262910717752</v>
      </c>
      <c r="J296" s="1">
        <f t="shared" si="145"/>
        <v>0.91473912211386044</v>
      </c>
      <c r="K296" s="1">
        <f t="shared" si="146"/>
        <v>1.0064283691439966</v>
      </c>
      <c r="L296" s="1">
        <f t="shared" si="146"/>
        <v>0.9555656061400587</v>
      </c>
      <c r="M296" s="1">
        <f t="shared" si="146"/>
        <v>0.99559914678276651</v>
      </c>
      <c r="N296" s="1">
        <f t="shared" si="147"/>
        <v>0.90041341107484518</v>
      </c>
      <c r="O296" s="1">
        <f t="shared" ref="O296:AP296" si="166">O106/((O142/O$11/O$10)-(O173*O$10*IF(PanicDF_Switch,O$273,1))/O$11/2/O$10+1)</f>
        <v>0.93168193933276255</v>
      </c>
      <c r="P296" s="1">
        <f t="shared" si="166"/>
        <v>0.97295024350398873</v>
      </c>
      <c r="Q296" s="1">
        <f t="shared" si="166"/>
        <v>0.77630803459882325</v>
      </c>
      <c r="R296" s="1">
        <f t="shared" si="166"/>
        <v>1.0263656014843163</v>
      </c>
      <c r="S296" s="1">
        <f t="shared" si="166"/>
        <v>0.70701147138332054</v>
      </c>
      <c r="T296" s="1">
        <f t="shared" si="166"/>
        <v>0.93276108601091334</v>
      </c>
      <c r="U296" s="1">
        <f t="shared" si="166"/>
        <v>0.85476262576409656</v>
      </c>
      <c r="V296" s="1">
        <f t="shared" si="166"/>
        <v>0.76225851079202145</v>
      </c>
      <c r="W296" s="1">
        <f t="shared" si="166"/>
        <v>0.791234836658815</v>
      </c>
      <c r="X296" s="1">
        <f t="shared" si="166"/>
        <v>0.82926328481851141</v>
      </c>
      <c r="Y296" s="1">
        <f t="shared" si="166"/>
        <v>0.78618232911188912</v>
      </c>
      <c r="Z296" s="1">
        <f t="shared" si="166"/>
        <v>0.95194933199458409</v>
      </c>
      <c r="AA296" s="1">
        <f t="shared" si="166"/>
        <v>0.95926632493996067</v>
      </c>
      <c r="AB296" s="1">
        <f t="shared" si="166"/>
        <v>0.92186452283595532</v>
      </c>
      <c r="AC296" s="1">
        <f t="shared" si="166"/>
        <v>0.8917102329343044</v>
      </c>
      <c r="AD296" s="1">
        <f t="shared" si="166"/>
        <v>0.82406784393103372</v>
      </c>
      <c r="AE296" s="1">
        <f t="shared" si="166"/>
        <v>0.78852274307928727</v>
      </c>
      <c r="AF296" s="1">
        <f t="shared" si="166"/>
        <v>0.84590987971465803</v>
      </c>
      <c r="AG296" s="1">
        <f t="shared" si="166"/>
        <v>0.94660324564288945</v>
      </c>
      <c r="AH296" s="1">
        <f t="shared" si="166"/>
        <v>0.98677752442391042</v>
      </c>
      <c r="AI296" s="1">
        <f t="shared" si="166"/>
        <v>0.87718748835884741</v>
      </c>
      <c r="AJ296" s="1">
        <f t="shared" si="166"/>
        <v>0.85380457965113166</v>
      </c>
      <c r="AK296" s="1">
        <f t="shared" si="166"/>
        <v>0.92446917542082374</v>
      </c>
      <c r="AL296" s="1">
        <f t="shared" si="166"/>
        <v>0.73622513090760366</v>
      </c>
      <c r="AM296" s="1">
        <f t="shared" si="166"/>
        <v>0.90138148356110726</v>
      </c>
      <c r="AN296" s="1">
        <f t="shared" si="166"/>
        <v>0.81951023499805586</v>
      </c>
      <c r="AO296" s="1">
        <f t="shared" si="166"/>
        <v>0.97035291339451923</v>
      </c>
      <c r="AP296" s="1">
        <f t="shared" si="166"/>
        <v>0.90000974349382545</v>
      </c>
    </row>
    <row r="297" spans="3:42" x14ac:dyDescent="0.2">
      <c r="C297" s="1" t="s">
        <v>153</v>
      </c>
      <c r="E297" s="1">
        <f t="shared" si="142"/>
        <v>0.90686245699765022</v>
      </c>
      <c r="F297" s="1">
        <f t="shared" si="143"/>
        <v>0.95438257125557191</v>
      </c>
      <c r="G297" s="1">
        <f t="shared" si="144"/>
        <v>1.0219746302835471</v>
      </c>
      <c r="H297" s="1">
        <f t="shared" si="144"/>
        <v>1.0121576865755799</v>
      </c>
      <c r="I297" s="1">
        <f t="shared" si="144"/>
        <v>0.93059366604196281</v>
      </c>
      <c r="J297" s="1">
        <f t="shared" si="145"/>
        <v>0.88176071549608437</v>
      </c>
      <c r="K297" s="1">
        <f t="shared" si="146"/>
        <v>1.0023719310702712</v>
      </c>
      <c r="L297" s="1">
        <f t="shared" si="146"/>
        <v>0.93608829338015465</v>
      </c>
      <c r="M297" s="1">
        <f t="shared" si="146"/>
        <v>0.9812917739113034</v>
      </c>
      <c r="N297" s="1">
        <f t="shared" si="147"/>
        <v>0.86118162221384009</v>
      </c>
      <c r="O297" s="1">
        <f t="shared" ref="O297:AP297" si="167">O107/((O143/O$11/O$10)-(O174*O$10*IF(PanicDF_Switch,O$273,1))/O$11/2/O$10+1)</f>
        <v>0.90503874417661323</v>
      </c>
      <c r="P297" s="1">
        <f t="shared" si="167"/>
        <v>0.95914430640320802</v>
      </c>
      <c r="Q297" s="1">
        <f t="shared" si="167"/>
        <v>0.71059518942849942</v>
      </c>
      <c r="R297" s="1">
        <f t="shared" si="167"/>
        <v>1.0281617648587587</v>
      </c>
      <c r="S297" s="1">
        <f t="shared" si="167"/>
        <v>0.63032959544791001</v>
      </c>
      <c r="T297" s="1">
        <f t="shared" si="167"/>
        <v>0.90521182911628739</v>
      </c>
      <c r="U297" s="1">
        <f t="shared" si="167"/>
        <v>0.80964886116205714</v>
      </c>
      <c r="V297" s="1">
        <f t="shared" si="167"/>
        <v>0.70381335510767717</v>
      </c>
      <c r="W297" s="1">
        <f t="shared" si="167"/>
        <v>0.73946687722121263</v>
      </c>
      <c r="X297" s="1">
        <f t="shared" si="167"/>
        <v>0.77531304952992675</v>
      </c>
      <c r="Y297" s="1">
        <f t="shared" si="167"/>
        <v>0.72561571638068367</v>
      </c>
      <c r="Z297" s="1">
        <f t="shared" si="167"/>
        <v>0.93346578641151801</v>
      </c>
      <c r="AA297" s="1">
        <f t="shared" si="167"/>
        <v>0.94498012293322042</v>
      </c>
      <c r="AB297" s="1">
        <f t="shared" si="167"/>
        <v>0.89127044530026012</v>
      </c>
      <c r="AC297" s="1">
        <f t="shared" si="167"/>
        <v>0.85353562051900822</v>
      </c>
      <c r="AD297" s="1">
        <f t="shared" si="167"/>
        <v>0.77247780923398701</v>
      </c>
      <c r="AE297" s="1">
        <f t="shared" si="167"/>
        <v>0.7261060951495093</v>
      </c>
      <c r="AF297" s="1">
        <f t="shared" si="167"/>
        <v>0.79935652317646244</v>
      </c>
      <c r="AG297" s="1">
        <f t="shared" si="167"/>
        <v>0.91271468367766007</v>
      </c>
      <c r="AH297" s="1">
        <f t="shared" si="167"/>
        <v>0.9790879564561511</v>
      </c>
      <c r="AI297" s="1">
        <f t="shared" si="167"/>
        <v>0.83449377925067503</v>
      </c>
      <c r="AJ297" s="1">
        <f t="shared" si="167"/>
        <v>0.81217640743513009</v>
      </c>
      <c r="AK297" s="1">
        <f t="shared" si="167"/>
        <v>0.88994311684715588</v>
      </c>
      <c r="AL297" s="1">
        <f t="shared" si="167"/>
        <v>0.66904300620380308</v>
      </c>
      <c r="AM297" s="1">
        <f t="shared" si="167"/>
        <v>0.8545754212045632</v>
      </c>
      <c r="AN297" s="1">
        <f t="shared" si="167"/>
        <v>0.74707504604787522</v>
      </c>
      <c r="AO297" s="1">
        <f t="shared" si="167"/>
        <v>0.95614695272377359</v>
      </c>
      <c r="AP297" s="1">
        <f t="shared" si="167"/>
        <v>0.87029659731187048</v>
      </c>
    </row>
    <row r="298" spans="3:42" x14ac:dyDescent="0.2">
      <c r="C298" s="1" t="s">
        <v>156</v>
      </c>
      <c r="E298" s="1">
        <f t="shared" si="142"/>
        <v>0.8799456149911663</v>
      </c>
      <c r="F298" s="1">
        <f t="shared" si="143"/>
        <v>0.9368194999735262</v>
      </c>
      <c r="G298" s="1">
        <f t="shared" si="144"/>
        <v>1.024483509692186</v>
      </c>
      <c r="H298" s="1">
        <f t="shared" si="144"/>
        <v>1.014509047990392</v>
      </c>
      <c r="I298" s="1">
        <f t="shared" si="144"/>
        <v>0.90662533944539825</v>
      </c>
      <c r="J298" s="1">
        <f t="shared" si="145"/>
        <v>0.84777085617953285</v>
      </c>
      <c r="K298" s="1">
        <f t="shared" si="146"/>
        <v>0.99460965510441002</v>
      </c>
      <c r="L298" s="1">
        <f t="shared" si="146"/>
        <v>0.91598761830307718</v>
      </c>
      <c r="M298" s="1">
        <f t="shared" si="146"/>
        <v>0.9639967619862797</v>
      </c>
      <c r="N298" s="1">
        <f t="shared" si="147"/>
        <v>0.82182721417360793</v>
      </c>
      <c r="O298" s="1">
        <f t="shared" ref="O298:AP298" si="168">O108/((O144/O$11/O$10)-(O175*O$10*IF(PanicDF_Switch,O$273,1))/O$11/2/O$10+1)</f>
        <v>0.87819307494569065</v>
      </c>
      <c r="P298" s="1">
        <f t="shared" si="168"/>
        <v>0.9445593168297709</v>
      </c>
      <c r="Q298" s="1">
        <f t="shared" si="168"/>
        <v>0.64981877135325183</v>
      </c>
      <c r="R298" s="1">
        <f t="shared" si="168"/>
        <v>1.0294964992446474</v>
      </c>
      <c r="S298" s="1">
        <f t="shared" si="168"/>
        <v>0.56286743956837915</v>
      </c>
      <c r="T298" s="1">
        <f t="shared" si="168"/>
        <v>0.87717569515941118</v>
      </c>
      <c r="U298" s="1">
        <f t="shared" si="168"/>
        <v>0.76645660592995191</v>
      </c>
      <c r="V298" s="1">
        <f t="shared" si="168"/>
        <v>0.64695813943968372</v>
      </c>
      <c r="W298" s="1">
        <f t="shared" si="168"/>
        <v>0.69055968753376018</v>
      </c>
      <c r="X298" s="1">
        <f t="shared" si="168"/>
        <v>0.72536773129338372</v>
      </c>
      <c r="Y298" s="1">
        <f t="shared" si="168"/>
        <v>0.66605760982463957</v>
      </c>
      <c r="Z298" s="1">
        <f t="shared" si="168"/>
        <v>0.91432942351619473</v>
      </c>
      <c r="AA298" s="1">
        <f t="shared" si="168"/>
        <v>0.9297483121726754</v>
      </c>
      <c r="AB298" s="1">
        <f t="shared" si="168"/>
        <v>0.86080713451117497</v>
      </c>
      <c r="AC298" s="1">
        <f t="shared" si="168"/>
        <v>0.8154766008599903</v>
      </c>
      <c r="AD298" s="1">
        <f t="shared" si="168"/>
        <v>0.72446162483047571</v>
      </c>
      <c r="AE298" s="1">
        <f t="shared" si="168"/>
        <v>0.67005024732038665</v>
      </c>
      <c r="AF298" s="1">
        <f t="shared" si="168"/>
        <v>0.7553006649695112</v>
      </c>
      <c r="AG298" s="1">
        <f t="shared" si="168"/>
        <v>0.87911432332195494</v>
      </c>
      <c r="AH298" s="1">
        <f t="shared" si="168"/>
        <v>0.97062052932971798</v>
      </c>
      <c r="AI298" s="1">
        <f t="shared" si="168"/>
        <v>0.79351043943725419</v>
      </c>
      <c r="AJ298" s="1">
        <f t="shared" si="168"/>
        <v>0.77605278123952914</v>
      </c>
      <c r="AK298" s="1">
        <f t="shared" si="168"/>
        <v>0.8564017185851569</v>
      </c>
      <c r="AL298" s="1">
        <f t="shared" si="168"/>
        <v>0.61024011516882748</v>
      </c>
      <c r="AM298" s="1">
        <f t="shared" si="168"/>
        <v>0.81072048687754494</v>
      </c>
      <c r="AN298" s="1">
        <f t="shared" si="168"/>
        <v>0.68328795214086935</v>
      </c>
      <c r="AO298" s="1">
        <f t="shared" si="168"/>
        <v>0.9400792761608241</v>
      </c>
      <c r="AP298" s="1">
        <f t="shared" si="168"/>
        <v>0.84065913475148024</v>
      </c>
    </row>
    <row r="299" spans="3:42" x14ac:dyDescent="0.2">
      <c r="C299" s="1" t="s">
        <v>157</v>
      </c>
      <c r="E299" s="1">
        <f t="shared" si="142"/>
        <v>0.85308589660254963</v>
      </c>
      <c r="F299" s="1">
        <f t="shared" si="143"/>
        <v>0.91776646064005873</v>
      </c>
      <c r="G299" s="1">
        <f t="shared" si="144"/>
        <v>1.0249588694531984</v>
      </c>
      <c r="H299" s="1">
        <f t="shared" si="144"/>
        <v>1.0148047812038248</v>
      </c>
      <c r="I299" s="1">
        <f t="shared" si="144"/>
        <v>0.88343121978585426</v>
      </c>
      <c r="J299" s="1">
        <f t="shared" si="145"/>
        <v>0.81378698988668552</v>
      </c>
      <c r="K299" s="1">
        <f t="shared" si="146"/>
        <v>0.98664391792920747</v>
      </c>
      <c r="L299" s="1">
        <f t="shared" si="146"/>
        <v>0.89432797141497811</v>
      </c>
      <c r="M299" s="1">
        <f t="shared" si="146"/>
        <v>0.94522192964878216</v>
      </c>
      <c r="N299" s="1">
        <f t="shared" si="147"/>
        <v>0.77456210034223627</v>
      </c>
      <c r="O299" s="1">
        <f t="shared" ref="O299:AP299" si="169">O109/((O145/O$11/O$10)-(O176*O$10*IF(PanicDF_Switch,O$273,1))/O$11/2/O$10+1)</f>
        <v>0.85146891674926428</v>
      </c>
      <c r="P299" s="1">
        <f t="shared" si="169"/>
        <v>0.92967480146744108</v>
      </c>
      <c r="Q299" s="1">
        <f t="shared" si="169"/>
        <v>0.59572404065108553</v>
      </c>
      <c r="R299" s="1">
        <f t="shared" si="169"/>
        <v>1.031087998781987</v>
      </c>
      <c r="S299" s="1">
        <f t="shared" si="169"/>
        <v>0.50541671936278421</v>
      </c>
      <c r="T299" s="1">
        <f t="shared" si="169"/>
        <v>0.84933324136346855</v>
      </c>
      <c r="U299" s="1">
        <f t="shared" si="169"/>
        <v>0.72541395328457647</v>
      </c>
      <c r="V299" s="1">
        <f t="shared" si="169"/>
        <v>0.59910911690960666</v>
      </c>
      <c r="W299" s="1">
        <f t="shared" si="169"/>
        <v>0.65036035256610158</v>
      </c>
      <c r="X299" s="1">
        <f t="shared" si="169"/>
        <v>0.67895866538597027</v>
      </c>
      <c r="Y299" s="1">
        <f t="shared" si="169"/>
        <v>0.61267173946417985</v>
      </c>
      <c r="Z299" s="1">
        <f t="shared" si="169"/>
        <v>0.89496138718583929</v>
      </c>
      <c r="AA299" s="1">
        <f t="shared" si="169"/>
        <v>0.91426037198320609</v>
      </c>
      <c r="AB299" s="1">
        <f t="shared" si="169"/>
        <v>0.83074224217300774</v>
      </c>
      <c r="AC299" s="1">
        <f t="shared" si="169"/>
        <v>0.77867442859008895</v>
      </c>
      <c r="AD299" s="1">
        <f t="shared" si="169"/>
        <v>0.67964027615408351</v>
      </c>
      <c r="AE299" s="1">
        <f t="shared" si="169"/>
        <v>0.61930034981871351</v>
      </c>
      <c r="AF299" s="1">
        <f t="shared" si="169"/>
        <v>0.71358710338623232</v>
      </c>
      <c r="AG299" s="1">
        <f t="shared" si="169"/>
        <v>0.84626433379739607</v>
      </c>
      <c r="AH299" s="1">
        <f t="shared" si="169"/>
        <v>0.96192906617907603</v>
      </c>
      <c r="AI299" s="1">
        <f t="shared" si="169"/>
        <v>0.75423593106164899</v>
      </c>
      <c r="AJ299" s="1">
        <f t="shared" si="169"/>
        <v>0.74111438491999659</v>
      </c>
      <c r="AK299" s="1">
        <f t="shared" si="169"/>
        <v>0.82352391708368267</v>
      </c>
      <c r="AL299" s="1">
        <f t="shared" si="169"/>
        <v>0.55815458787749606</v>
      </c>
      <c r="AM299" s="1">
        <f t="shared" si="169"/>
        <v>0.77585977315399657</v>
      </c>
      <c r="AN299" s="1">
        <f t="shared" si="169"/>
        <v>0.62649650898273046</v>
      </c>
      <c r="AO299" s="1">
        <f t="shared" si="169"/>
        <v>0.92371977939581118</v>
      </c>
      <c r="AP299" s="1">
        <f t="shared" si="169"/>
        <v>0.81137426751372865</v>
      </c>
    </row>
    <row r="300" spans="3:42" x14ac:dyDescent="0.2">
      <c r="C300" s="1" t="s">
        <v>158</v>
      </c>
      <c r="E300" s="1">
        <f t="shared" si="142"/>
        <v>0.82670041345001222</v>
      </c>
      <c r="F300" s="1">
        <f t="shared" si="143"/>
        <v>0.89850556876224286</v>
      </c>
      <c r="G300" s="1">
        <f t="shared" si="144"/>
        <v>1.0245376851623875</v>
      </c>
      <c r="H300" s="1">
        <f t="shared" si="144"/>
        <v>1.0168291963917617</v>
      </c>
      <c r="I300" s="1">
        <f t="shared" si="144"/>
        <v>0.85772871859651401</v>
      </c>
      <c r="J300" s="1">
        <f t="shared" si="145"/>
        <v>0.78058491883210623</v>
      </c>
      <c r="K300" s="1">
        <f t="shared" si="146"/>
        <v>0.97877876722225743</v>
      </c>
      <c r="L300" s="1">
        <f t="shared" si="146"/>
        <v>0.87703423322762331</v>
      </c>
      <c r="M300" s="1">
        <f t="shared" si="146"/>
        <v>0.92226619209944671</v>
      </c>
      <c r="N300" s="1">
        <f t="shared" si="147"/>
        <v>0.74333563901995736</v>
      </c>
      <c r="O300" s="1">
        <f t="shared" ref="O300:AP300" si="170">O110/((O146/O$11/O$10)-(O177*O$10*IF(PanicDF_Switch,O$273,1))/O$11/2/O$10+1)</f>
        <v>0.82508134701425639</v>
      </c>
      <c r="P300" s="1">
        <f t="shared" si="170"/>
        <v>0.91475361966552005</v>
      </c>
      <c r="Q300" s="1">
        <f t="shared" si="170"/>
        <v>0.54734579628358115</v>
      </c>
      <c r="R300" s="1">
        <f t="shared" si="170"/>
        <v>1.0333289101054697</v>
      </c>
      <c r="S300" s="1">
        <f t="shared" si="170"/>
        <v>0.45586588869687755</v>
      </c>
      <c r="T300" s="1">
        <f t="shared" si="170"/>
        <v>0.82196734306564401</v>
      </c>
      <c r="U300" s="1">
        <f t="shared" si="170"/>
        <v>0.6865655005609943</v>
      </c>
      <c r="V300" s="1">
        <f t="shared" si="170"/>
        <v>0.55551770449995441</v>
      </c>
      <c r="W300" s="1">
        <f t="shared" si="170"/>
        <v>0.61254658008719076</v>
      </c>
      <c r="X300" s="1">
        <f t="shared" si="170"/>
        <v>0.63584128682786467</v>
      </c>
      <c r="Y300" s="1">
        <f t="shared" si="170"/>
        <v>0.5646313073157686</v>
      </c>
      <c r="Z300" s="1">
        <f t="shared" si="170"/>
        <v>0.8756060629014687</v>
      </c>
      <c r="AA300" s="1">
        <f t="shared" si="170"/>
        <v>0.89866386691959999</v>
      </c>
      <c r="AB300" s="1">
        <f t="shared" si="170"/>
        <v>0.80126921826375097</v>
      </c>
      <c r="AC300" s="1">
        <f t="shared" si="170"/>
        <v>0.74323706773513332</v>
      </c>
      <c r="AD300" s="1">
        <f t="shared" si="170"/>
        <v>0.63782662925738809</v>
      </c>
      <c r="AE300" s="1">
        <f t="shared" si="170"/>
        <v>0.57322914701447103</v>
      </c>
      <c r="AF300" s="1">
        <f t="shared" si="170"/>
        <v>0.67417210544530815</v>
      </c>
      <c r="AG300" s="1">
        <f t="shared" si="170"/>
        <v>0.81412558679008395</v>
      </c>
      <c r="AH300" s="1">
        <f t="shared" si="170"/>
        <v>0.95330584895823556</v>
      </c>
      <c r="AI300" s="1">
        <f t="shared" si="170"/>
        <v>0.71672167523801122</v>
      </c>
      <c r="AJ300" s="1">
        <f t="shared" si="170"/>
        <v>0.70752453780459468</v>
      </c>
      <c r="AK300" s="1">
        <f t="shared" si="170"/>
        <v>0.79148261036627077</v>
      </c>
      <c r="AL300" s="1">
        <f t="shared" si="170"/>
        <v>0.51176943074703451</v>
      </c>
      <c r="AM300" s="1">
        <f t="shared" si="170"/>
        <v>0.74224866642705611</v>
      </c>
      <c r="AN300" s="1">
        <f t="shared" si="170"/>
        <v>0.57569321708192811</v>
      </c>
      <c r="AO300" s="1">
        <f t="shared" si="170"/>
        <v>0.90732661201345</v>
      </c>
      <c r="AP300" s="1">
        <f t="shared" si="170"/>
        <v>0.78270643045747157</v>
      </c>
    </row>
    <row r="301" spans="3:42" x14ac:dyDescent="0.2">
      <c r="C301" s="1" t="s">
        <v>160</v>
      </c>
      <c r="E301" s="1">
        <f t="shared" si="142"/>
        <v>0.80070087287732306</v>
      </c>
      <c r="F301" s="1">
        <f t="shared" si="143"/>
        <v>0.8766306179969432</v>
      </c>
      <c r="G301" s="1">
        <f t="shared" si="144"/>
        <v>1.0223670086627745</v>
      </c>
      <c r="H301" s="1">
        <f t="shared" si="144"/>
        <v>1.0148553882457523</v>
      </c>
      <c r="I301" s="1">
        <f t="shared" si="144"/>
        <v>0.83222575984123903</v>
      </c>
      <c r="J301" s="1">
        <f t="shared" si="145"/>
        <v>0.74749079687231867</v>
      </c>
      <c r="K301" s="1">
        <f t="shared" si="146"/>
        <v>0.97113007036271226</v>
      </c>
      <c r="L301" s="1">
        <f t="shared" si="146"/>
        <v>0.84993024099726433</v>
      </c>
      <c r="M301" s="1">
        <f t="shared" si="146"/>
        <v>0.8961740140389306</v>
      </c>
      <c r="N301" s="1">
        <f t="shared" si="147"/>
        <v>0.70493279849884638</v>
      </c>
      <c r="O301" s="1">
        <f t="shared" ref="O301:AP301" si="171">O111/((O147/O$11/O$10)-(O178*O$10*IF(PanicDF_Switch,O$273,1))/O$11/2/O$10+1)</f>
        <v>0.79912114863401817</v>
      </c>
      <c r="P301" s="1">
        <f t="shared" si="171"/>
        <v>0.89989399602708098</v>
      </c>
      <c r="Q301" s="1">
        <f t="shared" si="171"/>
        <v>0.50392044110900769</v>
      </c>
      <c r="R301" s="1">
        <f t="shared" si="171"/>
        <v>1.036407040924938</v>
      </c>
      <c r="S301" s="1">
        <f t="shared" si="171"/>
        <v>0.41307696417338469</v>
      </c>
      <c r="T301" s="1">
        <f t="shared" si="171"/>
        <v>0.79495623017272721</v>
      </c>
      <c r="U301" s="1">
        <f t="shared" si="171"/>
        <v>0.64967555337239002</v>
      </c>
      <c r="V301" s="1">
        <f t="shared" si="171"/>
        <v>0.51305693440892175</v>
      </c>
      <c r="W301" s="1">
        <f t="shared" si="171"/>
        <v>0.57717705891077531</v>
      </c>
      <c r="X301" s="1">
        <f t="shared" si="171"/>
        <v>0.59577677893253733</v>
      </c>
      <c r="Y301" s="1">
        <f t="shared" si="171"/>
        <v>0.52127003814063233</v>
      </c>
      <c r="Z301" s="1">
        <f t="shared" si="171"/>
        <v>0.85635924456791301</v>
      </c>
      <c r="AA301" s="1">
        <f t="shared" si="171"/>
        <v>0.8831644922033175</v>
      </c>
      <c r="AB301" s="1">
        <f t="shared" si="171"/>
        <v>0.77246898828243604</v>
      </c>
      <c r="AC301" s="1">
        <f t="shared" si="171"/>
        <v>0.70918988009255779</v>
      </c>
      <c r="AD301" s="1">
        <f t="shared" si="171"/>
        <v>0.59882594211898377</v>
      </c>
      <c r="AE301" s="1">
        <f t="shared" si="171"/>
        <v>0.53131522732265235</v>
      </c>
      <c r="AF301" s="1">
        <f t="shared" si="171"/>
        <v>0.63696938026643979</v>
      </c>
      <c r="AG301" s="1">
        <f t="shared" si="171"/>
        <v>0.78284669178261335</v>
      </c>
      <c r="AH301" s="1">
        <f t="shared" si="171"/>
        <v>0.94486107712589495</v>
      </c>
      <c r="AI301" s="1">
        <f t="shared" si="171"/>
        <v>0.68095194300850326</v>
      </c>
      <c r="AJ301" s="1">
        <f t="shared" si="171"/>
        <v>0.67513065216620749</v>
      </c>
      <c r="AK301" s="1">
        <f t="shared" si="171"/>
        <v>0.76034643357684584</v>
      </c>
      <c r="AL301" s="1">
        <f t="shared" si="171"/>
        <v>0.47028927916084512</v>
      </c>
      <c r="AM301" s="1">
        <f t="shared" si="171"/>
        <v>0.70819585676676233</v>
      </c>
      <c r="AN301" s="1">
        <f t="shared" si="171"/>
        <v>0.53008042580177683</v>
      </c>
      <c r="AO301" s="1">
        <f t="shared" si="171"/>
        <v>0.89099736657978568</v>
      </c>
      <c r="AP301" s="1">
        <f t="shared" si="171"/>
        <v>0.75466936730867107</v>
      </c>
    </row>
    <row r="302" spans="3:42" x14ac:dyDescent="0.2">
      <c r="C302" s="1" t="s">
        <v>162</v>
      </c>
      <c r="E302" s="1">
        <f t="shared" si="142"/>
        <v>0.77556173799166317</v>
      </c>
      <c r="F302" s="1">
        <f t="shared" si="143"/>
        <v>0.85529635813519533</v>
      </c>
      <c r="G302" s="1">
        <f t="shared" si="144"/>
        <v>1.0205688143309672</v>
      </c>
      <c r="H302" s="1">
        <f t="shared" si="144"/>
        <v>1.0138491998184185</v>
      </c>
      <c r="I302" s="1">
        <f t="shared" si="144"/>
        <v>0.80618208396145852</v>
      </c>
      <c r="J302" s="1">
        <f t="shared" si="145"/>
        <v>0.71557990585206532</v>
      </c>
      <c r="K302" s="1">
        <f t="shared" si="146"/>
        <v>0.96414964435121231</v>
      </c>
      <c r="L302" s="1">
        <f t="shared" si="146"/>
        <v>0.82803925945274293</v>
      </c>
      <c r="M302" s="1">
        <f t="shared" si="146"/>
        <v>0.87123850836129602</v>
      </c>
      <c r="N302" s="1">
        <f t="shared" si="147"/>
        <v>0.67025667706684022</v>
      </c>
      <c r="O302" s="1">
        <f t="shared" ref="O302:AP302" si="172">O112/((O148/O$11/O$10)-(O179*O$10*IF(PanicDF_Switch,O$273,1))/O$11/2/O$10+1)</f>
        <v>0.77404535702223642</v>
      </c>
      <c r="P302" s="1">
        <f t="shared" si="172"/>
        <v>0.88554214576870482</v>
      </c>
      <c r="Q302" s="1">
        <f t="shared" si="172"/>
        <v>0.46516317731089663</v>
      </c>
      <c r="R302" s="1">
        <f t="shared" si="172"/>
        <v>1.0408211209538181</v>
      </c>
      <c r="S302" s="1">
        <f t="shared" si="172"/>
        <v>0.37594509597786196</v>
      </c>
      <c r="T302" s="1">
        <f t="shared" si="172"/>
        <v>0.76910251833708887</v>
      </c>
      <c r="U302" s="1">
        <f t="shared" si="172"/>
        <v>0.61532825531236723</v>
      </c>
      <c r="V302" s="1">
        <f t="shared" si="172"/>
        <v>0.47495100289401915</v>
      </c>
      <c r="W302" s="1">
        <f t="shared" si="172"/>
        <v>0.54432822174741824</v>
      </c>
      <c r="X302" s="1">
        <f t="shared" si="172"/>
        <v>0.55891532463360027</v>
      </c>
      <c r="Y302" s="1">
        <f t="shared" si="172"/>
        <v>0.48238256369186439</v>
      </c>
      <c r="Z302" s="1">
        <f t="shared" si="172"/>
        <v>0.83767160113073025</v>
      </c>
      <c r="AA302" s="1">
        <f t="shared" si="172"/>
        <v>0.86816822276472227</v>
      </c>
      <c r="AB302" s="1">
        <f t="shared" si="172"/>
        <v>0.74479208670442509</v>
      </c>
      <c r="AC302" s="1">
        <f t="shared" si="172"/>
        <v>0.67693066483960895</v>
      </c>
      <c r="AD302" s="1">
        <f t="shared" si="172"/>
        <v>0.56282272753445628</v>
      </c>
      <c r="AE302" s="1">
        <f t="shared" si="172"/>
        <v>0.49346432090240999</v>
      </c>
      <c r="AF302" s="1">
        <f t="shared" si="172"/>
        <v>0.60226349817387537</v>
      </c>
      <c r="AG302" s="1">
        <f t="shared" si="172"/>
        <v>0.75288536773991843</v>
      </c>
      <c r="AH302" s="1">
        <f t="shared" si="172"/>
        <v>0.9370364889094609</v>
      </c>
      <c r="AI302" s="1">
        <f t="shared" si="172"/>
        <v>0.64728393393745975</v>
      </c>
      <c r="AJ302" s="1">
        <f t="shared" si="172"/>
        <v>0.64459848125341745</v>
      </c>
      <c r="AK302" s="1">
        <f t="shared" si="172"/>
        <v>0.73036832257328743</v>
      </c>
      <c r="AL302" s="1">
        <f t="shared" si="172"/>
        <v>0.43338910776526529</v>
      </c>
      <c r="AM302" s="1">
        <f t="shared" si="172"/>
        <v>0.6762664809905039</v>
      </c>
      <c r="AN302" s="1">
        <f t="shared" si="172"/>
        <v>0.48936256775034631</v>
      </c>
      <c r="AO302" s="1">
        <f t="shared" si="172"/>
        <v>0.87518178173716255</v>
      </c>
      <c r="AP302" s="1">
        <f t="shared" si="172"/>
        <v>0.72772994317073036</v>
      </c>
    </row>
    <row r="303" spans="3:42" x14ac:dyDescent="0.2">
      <c r="C303" s="1" t="s">
        <v>164</v>
      </c>
      <c r="E303" s="1">
        <f t="shared" si="142"/>
        <v>0.75090966288488459</v>
      </c>
      <c r="F303" s="1">
        <f t="shared" si="143"/>
        <v>0.83418009693283268</v>
      </c>
      <c r="G303" s="1">
        <f t="shared" si="144"/>
        <v>1.0053392113666504</v>
      </c>
      <c r="H303" s="1">
        <f t="shared" si="144"/>
        <v>0.99970880272421458</v>
      </c>
      <c r="I303" s="1">
        <f t="shared" si="144"/>
        <v>0.77987392874508965</v>
      </c>
      <c r="J303" s="1">
        <f t="shared" si="145"/>
        <v>0.68417140635127105</v>
      </c>
      <c r="K303" s="1">
        <f t="shared" si="146"/>
        <v>0.95763823590872332</v>
      </c>
      <c r="L303" s="1">
        <f t="shared" si="146"/>
        <v>0.80674260990094027</v>
      </c>
      <c r="M303" s="1">
        <f t="shared" si="146"/>
        <v>0.84486326727665173</v>
      </c>
      <c r="N303" s="1">
        <f t="shared" si="147"/>
        <v>0.63888304391460105</v>
      </c>
      <c r="O303" s="1">
        <f t="shared" ref="O303:AP303" si="173">O113/((O149/O$11/O$10)-(O180*O$10*IF(PanicDF_Switch,O$273,1))/O$11/2/O$10+1)</f>
        <v>0.74949903383210181</v>
      </c>
      <c r="P303" s="1">
        <f t="shared" si="173"/>
        <v>0.87142755782237191</v>
      </c>
      <c r="Q303" s="1">
        <f t="shared" si="173"/>
        <v>0.43007171954441425</v>
      </c>
      <c r="R303" s="1">
        <f t="shared" si="173"/>
        <v>1.0465563877182495</v>
      </c>
      <c r="S303" s="1">
        <f t="shared" si="173"/>
        <v>0.34321968202221725</v>
      </c>
      <c r="T303" s="1">
        <f t="shared" si="173"/>
        <v>0.74396074136583212</v>
      </c>
      <c r="U303" s="1">
        <f t="shared" si="173"/>
        <v>0.58290081485507916</v>
      </c>
      <c r="V303" s="1">
        <f t="shared" si="173"/>
        <v>0.44027359262518168</v>
      </c>
      <c r="W303" s="1">
        <f t="shared" si="173"/>
        <v>0.51348437897209209</v>
      </c>
      <c r="X303" s="1">
        <f t="shared" si="173"/>
        <v>0.52457642900390689</v>
      </c>
      <c r="Y303" s="1">
        <f t="shared" si="173"/>
        <v>0.44701627600249699</v>
      </c>
      <c r="Z303" s="1">
        <f t="shared" si="173"/>
        <v>0.81924021104241496</v>
      </c>
      <c r="AA303" s="1">
        <f t="shared" si="173"/>
        <v>0.8534010473857484</v>
      </c>
      <c r="AB303" s="1">
        <f t="shared" si="173"/>
        <v>0.71785534677327112</v>
      </c>
      <c r="AC303" s="1">
        <f t="shared" si="173"/>
        <v>0.64599728229675502</v>
      </c>
      <c r="AD303" s="1">
        <f t="shared" si="173"/>
        <v>0.52917521374414089</v>
      </c>
      <c r="AE303" s="1">
        <f t="shared" si="173"/>
        <v>0.45881871169718919</v>
      </c>
      <c r="AF303" s="1">
        <f t="shared" si="173"/>
        <v>0.56949597980736</v>
      </c>
      <c r="AG303" s="1">
        <f t="shared" si="173"/>
        <v>0.72382749499488142</v>
      </c>
      <c r="AH303" s="1">
        <f t="shared" si="173"/>
        <v>0.92962530329643156</v>
      </c>
      <c r="AI303" s="1">
        <f t="shared" si="173"/>
        <v>0.61521433341729637</v>
      </c>
      <c r="AJ303" s="1">
        <f t="shared" si="173"/>
        <v>0.61540755281263027</v>
      </c>
      <c r="AK303" s="1">
        <f t="shared" si="173"/>
        <v>0.70170977156875525</v>
      </c>
      <c r="AL303" s="1">
        <f t="shared" si="173"/>
        <v>0.40007912022386344</v>
      </c>
      <c r="AM303" s="1">
        <f t="shared" si="173"/>
        <v>0.64579269422156804</v>
      </c>
      <c r="AN303" s="1">
        <f t="shared" si="173"/>
        <v>0.45248905580157184</v>
      </c>
      <c r="AO303" s="1">
        <f t="shared" si="173"/>
        <v>0.85959710440002979</v>
      </c>
      <c r="AP303" s="1">
        <f t="shared" si="173"/>
        <v>0.70154575555695131</v>
      </c>
    </row>
    <row r="304" spans="3:42" x14ac:dyDescent="0.2">
      <c r="C304" s="4" t="s">
        <v>265</v>
      </c>
    </row>
    <row r="305" spans="3:42" x14ac:dyDescent="0.2">
      <c r="C305" s="1" t="s">
        <v>23</v>
      </c>
      <c r="E305" s="294">
        <f>E21</f>
        <v>0.99997833380276768</v>
      </c>
      <c r="F305" s="271">
        <f t="shared" ref="F305:AP305" si="174">F21</f>
        <v>0.99999361115192886</v>
      </c>
      <c r="G305" s="271">
        <f t="shared" si="174"/>
        <v>1.000023611668609</v>
      </c>
      <c r="H305" s="271">
        <f t="shared" si="174"/>
        <v>0.99999972222229949</v>
      </c>
      <c r="I305" s="271">
        <f t="shared" si="174"/>
        <v>0.99998819458381394</v>
      </c>
      <c r="J305" s="271">
        <f t="shared" si="174"/>
        <v>0.99995069687536242</v>
      </c>
      <c r="K305" s="271">
        <f t="shared" si="174"/>
        <v>0.99999861111304023</v>
      </c>
      <c r="L305" s="271">
        <f t="shared" si="174"/>
        <v>0.99999375003906232</v>
      </c>
      <c r="M305" s="271">
        <f t="shared" si="174"/>
        <v>1.0000193059282672</v>
      </c>
      <c r="N305" s="271">
        <f t="shared" si="174"/>
        <v>0.99995125237644666</v>
      </c>
      <c r="O305" s="271">
        <f t="shared" si="174"/>
        <v>0.99996111262339793</v>
      </c>
      <c r="P305" s="271">
        <f t="shared" si="174"/>
        <v>1.0000091667506952</v>
      </c>
      <c r="Q305" s="271">
        <f t="shared" si="174"/>
        <v>0.99981045260169421</v>
      </c>
      <c r="R305" s="271">
        <f t="shared" si="174"/>
        <v>0.9999976388944638</v>
      </c>
      <c r="S305" s="271">
        <f t="shared" si="174"/>
        <v>0.99973618073008519</v>
      </c>
      <c r="T305" s="271">
        <f t="shared" si="174"/>
        <v>0.99999625001406234</v>
      </c>
      <c r="U305" s="271">
        <f t="shared" si="174"/>
        <v>0.99997222299380573</v>
      </c>
      <c r="V305" s="271">
        <f t="shared" si="174"/>
        <v>0.99966328747900957</v>
      </c>
      <c r="W305" s="271">
        <f t="shared" si="174"/>
        <v>0.99971952313378742</v>
      </c>
      <c r="X305" s="271">
        <f t="shared" si="174"/>
        <v>0.99982850163895487</v>
      </c>
      <c r="Y305" s="271">
        <f t="shared" si="174"/>
        <v>0.99980264035468513</v>
      </c>
      <c r="Z305" s="271">
        <f t="shared" si="174"/>
        <v>0.99991510014470852</v>
      </c>
      <c r="AA305" s="271">
        <f t="shared" si="174"/>
        <v>0.99998631963159956</v>
      </c>
      <c r="AB305" s="271">
        <f t="shared" si="174"/>
        <v>0.99993607312743393</v>
      </c>
      <c r="AC305" s="271">
        <f t="shared" si="174"/>
        <v>0.9999066476043722</v>
      </c>
      <c r="AD305" s="271">
        <f t="shared" si="174"/>
        <v>0.99981432614784815</v>
      </c>
      <c r="AE305" s="271">
        <f t="shared" si="174"/>
        <v>0.99988473550965651</v>
      </c>
      <c r="AF305" s="271">
        <f t="shared" si="174"/>
        <v>0.99986290768576846</v>
      </c>
      <c r="AG305" s="271">
        <f t="shared" si="174"/>
        <v>0.99999097230372225</v>
      </c>
      <c r="AH305" s="271">
        <f t="shared" si="174"/>
        <v>0.99999722222993825</v>
      </c>
      <c r="AI305" s="271">
        <f t="shared" si="174"/>
        <v>0.99991736793973285</v>
      </c>
      <c r="AJ305" s="271">
        <f t="shared" si="174"/>
        <v>0.99997222299380573</v>
      </c>
      <c r="AK305" s="271">
        <f t="shared" si="174"/>
        <v>0.9999616681360548</v>
      </c>
      <c r="AL305" s="271">
        <f t="shared" si="174"/>
        <v>0.99979171006040402</v>
      </c>
      <c r="AM305" s="271">
        <f t="shared" si="174"/>
        <v>0.99992778299345042</v>
      </c>
      <c r="AN305" s="271">
        <f t="shared" si="174"/>
        <v>0.9999236169459278</v>
      </c>
      <c r="AO305" s="271">
        <f t="shared" si="174"/>
        <v>0.99999569446298209</v>
      </c>
      <c r="AP305" s="271">
        <f t="shared" si="174"/>
        <v>0.99995137736427564</v>
      </c>
    </row>
    <row r="306" spans="3:42" x14ac:dyDescent="0.2">
      <c r="C306" s="1" t="s">
        <v>30</v>
      </c>
      <c r="E306" s="271">
        <f t="shared" ref="E306:AP306" si="175">E22</f>
        <v>0.99990889718936726</v>
      </c>
      <c r="F306" s="271">
        <f t="shared" si="175"/>
        <v>0.99997444509751421</v>
      </c>
      <c r="G306" s="271">
        <f t="shared" si="175"/>
        <v>1.000092230727945</v>
      </c>
      <c r="H306" s="271">
        <f t="shared" si="175"/>
        <v>1</v>
      </c>
      <c r="I306" s="271">
        <f t="shared" si="175"/>
        <v>0.99994278105197321</v>
      </c>
      <c r="J306" s="271">
        <f t="shared" si="175"/>
        <v>0.999802816666713</v>
      </c>
      <c r="K306" s="271">
        <f t="shared" si="175"/>
        <v>1.0000833402783564</v>
      </c>
      <c r="L306" s="271">
        <f t="shared" si="175"/>
        <v>0.99994167006924606</v>
      </c>
      <c r="M306" s="271">
        <f t="shared" si="175"/>
        <v>1.0000611148459071</v>
      </c>
      <c r="N306" s="271">
        <f t="shared" si="175"/>
        <v>0.99980503801758658</v>
      </c>
      <c r="O306" s="271">
        <f t="shared" si="175"/>
        <v>0.99985835339993501</v>
      </c>
      <c r="P306" s="271">
        <f t="shared" si="175"/>
        <v>1.0000588923569944</v>
      </c>
      <c r="Q306" s="271">
        <f t="shared" si="175"/>
        <v>0.99924224130034711</v>
      </c>
      <c r="R306" s="271">
        <f t="shared" si="175"/>
        <v>1.000016666944449</v>
      </c>
      <c r="S306" s="271">
        <f t="shared" si="175"/>
        <v>0.99896773334221289</v>
      </c>
      <c r="T306" s="271">
        <f t="shared" si="175"/>
        <v>0.99997750050623857</v>
      </c>
      <c r="U306" s="271">
        <f t="shared" si="175"/>
        <v>0.99963901924305121</v>
      </c>
      <c r="V306" s="271">
        <f t="shared" si="175"/>
        <v>0.99865450904699038</v>
      </c>
      <c r="W306" s="271">
        <f t="shared" si="175"/>
        <v>0.99887903574877079</v>
      </c>
      <c r="X306" s="271">
        <f t="shared" si="175"/>
        <v>0.99931435931458135</v>
      </c>
      <c r="Y306" s="271">
        <f t="shared" si="175"/>
        <v>0.99921102855211574</v>
      </c>
      <c r="Z306" s="271">
        <f t="shared" si="175"/>
        <v>0.99966048705263466</v>
      </c>
      <c r="AA306" s="271">
        <f t="shared" si="175"/>
        <v>0.99994528077213551</v>
      </c>
      <c r="AB306" s="271">
        <f t="shared" si="175"/>
        <v>0.99974434154007374</v>
      </c>
      <c r="AC306" s="271">
        <f t="shared" si="175"/>
        <v>0.99962669496424716</v>
      </c>
      <c r="AD306" s="271">
        <f t="shared" si="175"/>
        <v>0.99925771805843566</v>
      </c>
      <c r="AE306" s="271">
        <f t="shared" si="175"/>
        <v>0.99953910141434787</v>
      </c>
      <c r="AF306" s="271">
        <f t="shared" si="175"/>
        <v>0.9994518561819874</v>
      </c>
      <c r="AG306" s="271">
        <f t="shared" si="175"/>
        <v>0.99996389019285414</v>
      </c>
      <c r="AH306" s="271">
        <f t="shared" si="175"/>
        <v>0.99998888901234428</v>
      </c>
      <c r="AI306" s="271">
        <f t="shared" si="175"/>
        <v>0.99966955367531296</v>
      </c>
      <c r="AJ306" s="271">
        <f t="shared" si="175"/>
        <v>0.99963901924305121</v>
      </c>
      <c r="AK306" s="271">
        <f t="shared" si="175"/>
        <v>0.99994889150110111</v>
      </c>
      <c r="AL306" s="271">
        <f t="shared" si="175"/>
        <v>0.99916736053288935</v>
      </c>
      <c r="AM306" s="271">
        <f t="shared" si="175"/>
        <v>0.99990973037156361</v>
      </c>
      <c r="AN306" s="271">
        <f t="shared" si="175"/>
        <v>0.99969453778012274</v>
      </c>
      <c r="AO306" s="271">
        <f t="shared" si="175"/>
        <v>0.99998277807437774</v>
      </c>
      <c r="AP306" s="271">
        <f t="shared" si="175"/>
        <v>0.99980553782289339</v>
      </c>
    </row>
    <row r="307" spans="3:42" x14ac:dyDescent="0.2">
      <c r="C307" s="1" t="s">
        <v>41</v>
      </c>
      <c r="E307" s="287">
        <f t="shared" ref="E307:AP307" si="176">E23</f>
        <v>0.99988751265482634</v>
      </c>
      <c r="F307" s="287">
        <f t="shared" si="176"/>
        <v>0.99996527898336873</v>
      </c>
      <c r="G307" s="287">
        <f t="shared" si="176"/>
        <v>1.0001132072588772</v>
      </c>
      <c r="H307" s="287">
        <f t="shared" si="176"/>
        <v>0.99999375003906232</v>
      </c>
      <c r="I307" s="287">
        <f t="shared" si="176"/>
        <v>0.99992708864978597</v>
      </c>
      <c r="J307" s="287">
        <f t="shared" si="176"/>
        <v>0.99977435648204394</v>
      </c>
      <c r="K307" s="287">
        <f t="shared" si="176"/>
        <v>1.0000833402783564</v>
      </c>
      <c r="L307" s="287">
        <f t="shared" si="176"/>
        <v>0.99993750390600578</v>
      </c>
      <c r="M307" s="287">
        <f t="shared" si="176"/>
        <v>1.0000902859285907</v>
      </c>
      <c r="N307" s="287">
        <f t="shared" si="176"/>
        <v>0.99975630939958371</v>
      </c>
      <c r="O307" s="287">
        <f t="shared" si="176"/>
        <v>0.99982155962442809</v>
      </c>
      <c r="P307" s="287">
        <f t="shared" si="176"/>
        <v>1</v>
      </c>
      <c r="Q307" s="287">
        <f t="shared" si="176"/>
        <v>0.99905298102840023</v>
      </c>
      <c r="R307" s="287">
        <f t="shared" si="176"/>
        <v>1.0000208337673702</v>
      </c>
      <c r="S307" s="287">
        <f t="shared" si="176"/>
        <v>0.99870999958387086</v>
      </c>
      <c r="T307" s="287">
        <f t="shared" si="176"/>
        <v>0.99997375068904448</v>
      </c>
      <c r="U307" s="287">
        <f t="shared" si="176"/>
        <v>0.99961126228688835</v>
      </c>
      <c r="V307" s="287">
        <f t="shared" si="176"/>
        <v>0.99831870185159999</v>
      </c>
      <c r="W307" s="287">
        <f t="shared" si="176"/>
        <v>0.99859918725121699</v>
      </c>
      <c r="X307" s="287">
        <f t="shared" si="176"/>
        <v>0.99914309602528395</v>
      </c>
      <c r="Y307" s="287">
        <f t="shared" si="176"/>
        <v>0.9990139801755169</v>
      </c>
      <c r="Z307" s="287">
        <f t="shared" si="176"/>
        <v>0.99957564483431127</v>
      </c>
      <c r="AA307" s="287">
        <f t="shared" si="176"/>
        <v>0.99993160190084218</v>
      </c>
      <c r="AB307" s="287">
        <f t="shared" si="176"/>
        <v>0.99968044734917672</v>
      </c>
      <c r="AC307" s="287">
        <f t="shared" si="176"/>
        <v>0.99953341225019832</v>
      </c>
      <c r="AD307" s="287">
        <f t="shared" si="176"/>
        <v>0.99907231972312371</v>
      </c>
      <c r="AE307" s="287">
        <f t="shared" si="176"/>
        <v>0.9994239431438825</v>
      </c>
      <c r="AF307" s="287">
        <f t="shared" si="176"/>
        <v>0.99931491410888307</v>
      </c>
      <c r="AG307" s="287">
        <f t="shared" si="176"/>
        <v>0.99994583626720213</v>
      </c>
      <c r="AH307" s="287">
        <f t="shared" si="176"/>
        <v>0.99998611130400961</v>
      </c>
      <c r="AI307" s="287">
        <f t="shared" si="176"/>
        <v>0.99958697621468895</v>
      </c>
      <c r="AJ307" s="287">
        <f t="shared" si="176"/>
        <v>0.99961126228688835</v>
      </c>
      <c r="AK307" s="287">
        <f t="shared" si="176"/>
        <v>0.99993611519264047</v>
      </c>
      <c r="AL307" s="287">
        <f t="shared" si="176"/>
        <v>0.99895941727367332</v>
      </c>
      <c r="AM307" s="287">
        <f t="shared" si="176"/>
        <v>0.9998916784015065</v>
      </c>
      <c r="AN307" s="287">
        <f t="shared" si="176"/>
        <v>0.99961820138141688</v>
      </c>
      <c r="AO307" s="287">
        <f t="shared" si="176"/>
        <v>0.99997847268565754</v>
      </c>
      <c r="AP307" s="287">
        <f t="shared" si="176"/>
        <v>0.99975693409539812</v>
      </c>
    </row>
    <row r="308" spans="3:42" x14ac:dyDescent="0.2">
      <c r="C308" s="1" t="s">
        <v>92</v>
      </c>
      <c r="E308" s="1">
        <f t="shared" ref="E308:E333" si="177">E88/((E124/E$11/E$10)+(E155*E$10*IF(PanicDF_Switch,E$273,1))/E$11/2/E$10+1)</f>
        <v>0.99984751501892122</v>
      </c>
      <c r="F308" s="1">
        <f t="shared" ref="F308:F333" si="178">F88*((F124/F$11/F$10)+(F155*F$10*IF(PanicDF_Switch,F$273,1))/F$11/2/F$10+1)</f>
        <v>0.99986190945346998</v>
      </c>
      <c r="G308" s="1">
        <f t="shared" ref="G308:I333" si="179">G88/((G124/G$11/G$10)+(G155*G$10*IF(PanicDF_Switch,G$273,1))/G$11/2/G$10+1)</f>
        <v>1.0000487604331176</v>
      </c>
      <c r="H308" s="1">
        <f t="shared" si="179"/>
        <v>0.99988346519486815</v>
      </c>
      <c r="I308" s="1">
        <f t="shared" si="179"/>
        <v>0.99984153083005745</v>
      </c>
      <c r="J308" s="1">
        <f t="shared" ref="J308:J333" si="180">J88*((J124/J$11/J$10)+(J155*J$10*IF(PanicDF_Switch,J$273,1))/J$11/2/J$10+1)</f>
        <v>0.99955249861705642</v>
      </c>
      <c r="K308" s="1">
        <f t="shared" ref="K308:M333" si="181">K88/((K124/K$11/K$10)+(K155*K$10*IF(PanicDF_Switch,K$273,1))/K$11/2/K$10+1)</f>
        <v>0.99997788398074794</v>
      </c>
      <c r="L308" s="1">
        <f t="shared" si="181"/>
        <v>0.99975257833654962</v>
      </c>
      <c r="M308" s="1">
        <f t="shared" si="181"/>
        <v>1.0000017758952833</v>
      </c>
      <c r="N308" s="1">
        <f t="shared" ref="N308:N333" si="182">N88*((N124/N$11/N$10)+(N155*N$10*IF(PanicDF_Switch,N$273,1))/N$11/2/N$10+1)</f>
        <v>0.99952397953181227</v>
      </c>
      <c r="O308" s="1">
        <f t="shared" ref="O308:AP308" si="183">O88/((O124/O$11/O$10)+(O155*O$10*IF(PanicDF_Switch,O$273,1))/O$11/2/O$10+1)</f>
        <v>0.99960369771753443</v>
      </c>
      <c r="P308" s="1">
        <f t="shared" si="183"/>
        <v>0.99989040791791306</v>
      </c>
      <c r="Q308" s="1">
        <f t="shared" si="183"/>
        <v>0.99844853946604062</v>
      </c>
      <c r="R308" s="1">
        <f t="shared" si="183"/>
        <v>0.99975979197113696</v>
      </c>
      <c r="S308" s="1">
        <f t="shared" si="183"/>
        <v>0.99805064226922557</v>
      </c>
      <c r="T308" s="1">
        <f t="shared" si="183"/>
        <v>0.99977509489857841</v>
      </c>
      <c r="U308" s="1">
        <f t="shared" si="183"/>
        <v>0.99709660797491562</v>
      </c>
      <c r="V308" s="1">
        <f t="shared" si="183"/>
        <v>0.99750205065176645</v>
      </c>
      <c r="W308" s="1">
        <f t="shared" si="183"/>
        <v>0.99799136216952711</v>
      </c>
      <c r="X308" s="1">
        <f t="shared" si="183"/>
        <v>0.99869912099718816</v>
      </c>
      <c r="Y308" s="1">
        <f t="shared" si="183"/>
        <v>0.99865351264793578</v>
      </c>
      <c r="Z308" s="1">
        <f t="shared" si="183"/>
        <v>0.9997968647505675</v>
      </c>
      <c r="AA308" s="1">
        <f t="shared" si="183"/>
        <v>1.0002683753568453</v>
      </c>
      <c r="AB308" s="1">
        <f t="shared" si="183"/>
        <v>0.99953546597973142</v>
      </c>
      <c r="AC308" s="1">
        <f t="shared" si="183"/>
        <v>0.9988610185677228</v>
      </c>
      <c r="AD308" s="1">
        <f t="shared" si="183"/>
        <v>0.99808142546055478</v>
      </c>
      <c r="AE308" s="1">
        <f t="shared" si="183"/>
        <v>0.99994894238917575</v>
      </c>
      <c r="AF308" s="1">
        <f t="shared" si="183"/>
        <v>0.99889609320476169</v>
      </c>
      <c r="AG308" s="1">
        <f t="shared" si="183"/>
        <v>0.99983413859318682</v>
      </c>
      <c r="AH308" s="1">
        <f t="shared" si="183"/>
        <v>0.9998791721311211</v>
      </c>
      <c r="AI308" s="1">
        <f t="shared" si="183"/>
        <v>0.99833447008657294</v>
      </c>
      <c r="AJ308" s="1">
        <f t="shared" si="183"/>
        <v>0.99749205188108847</v>
      </c>
      <c r="AK308" s="1">
        <f t="shared" si="183"/>
        <v>0.99969748723669816</v>
      </c>
      <c r="AL308" s="1">
        <f t="shared" si="183"/>
        <v>0.99542916794941094</v>
      </c>
      <c r="AM308" s="1">
        <f t="shared" si="183"/>
        <v>0.99964528246220163</v>
      </c>
      <c r="AN308" s="1">
        <f t="shared" si="183"/>
        <v>1.0383093513366264</v>
      </c>
      <c r="AO308" s="1">
        <f t="shared" si="183"/>
        <v>1.0006115755135538</v>
      </c>
      <c r="AP308" s="1">
        <f t="shared" si="183"/>
        <v>0.99996480707276802</v>
      </c>
    </row>
    <row r="309" spans="3:42" x14ac:dyDescent="0.2">
      <c r="C309" s="1" t="s">
        <v>55</v>
      </c>
      <c r="E309" s="1">
        <f t="shared" si="177"/>
        <v>0.99957232320267653</v>
      </c>
      <c r="F309" s="1">
        <f t="shared" si="178"/>
        <v>0.99975621649061175</v>
      </c>
      <c r="G309" s="1">
        <f t="shared" si="179"/>
        <v>1.0001594199987622</v>
      </c>
      <c r="H309" s="1">
        <f t="shared" si="179"/>
        <v>0.99985334532514425</v>
      </c>
      <c r="I309" s="1">
        <f t="shared" si="179"/>
        <v>0.99966413916689267</v>
      </c>
      <c r="J309" s="1">
        <f t="shared" si="180"/>
        <v>0.99910561294265365</v>
      </c>
      <c r="K309" s="1">
        <f t="shared" si="181"/>
        <v>1.0000472792633586</v>
      </c>
      <c r="L309" s="1">
        <f t="shared" si="181"/>
        <v>0.99955889705193779</v>
      </c>
      <c r="M309" s="1">
        <f t="shared" si="181"/>
        <v>1.0000960616452259</v>
      </c>
      <c r="N309" s="1">
        <f t="shared" si="182"/>
        <v>0.99904308559827504</v>
      </c>
      <c r="O309" s="1">
        <f t="shared" ref="O309:AP309" si="184">O89/((O125/O$11/O$10)+(O156*O$10*IF(PanicDF_Switch,O$273,1))/O$11/2/O$10+1)</f>
        <v>0.99920888214607417</v>
      </c>
      <c r="P309" s="1">
        <f t="shared" si="184"/>
        <v>0.99978689580173108</v>
      </c>
      <c r="Q309" s="1">
        <f t="shared" si="184"/>
        <v>0.9968393316598444</v>
      </c>
      <c r="R309" s="1">
        <f t="shared" si="184"/>
        <v>0.9999119028277299</v>
      </c>
      <c r="S309" s="1">
        <f t="shared" si="184"/>
        <v>0.99599069055944711</v>
      </c>
      <c r="T309" s="1">
        <f t="shared" si="184"/>
        <v>0.99959497769648842</v>
      </c>
      <c r="U309" s="1">
        <f t="shared" si="184"/>
        <v>0.99634945845621703</v>
      </c>
      <c r="V309" s="1">
        <f t="shared" si="184"/>
        <v>0.99520472408313654</v>
      </c>
      <c r="W309" s="1">
        <f t="shared" si="184"/>
        <v>0.99603360926875184</v>
      </c>
      <c r="X309" s="1">
        <f t="shared" si="184"/>
        <v>0.99761309980308033</v>
      </c>
      <c r="Y309" s="1">
        <f t="shared" si="184"/>
        <v>0.99720304475546329</v>
      </c>
      <c r="Z309" s="1">
        <f t="shared" si="184"/>
        <v>0.99948992793068436</v>
      </c>
      <c r="AA309" s="1">
        <f t="shared" si="184"/>
        <v>1.0000076432939893</v>
      </c>
      <c r="AB309" s="1">
        <f t="shared" si="184"/>
        <v>0.99919108053547656</v>
      </c>
      <c r="AC309" s="1">
        <f t="shared" si="184"/>
        <v>0.99811618998675877</v>
      </c>
      <c r="AD309" s="1">
        <f t="shared" si="184"/>
        <v>0.996622085567197</v>
      </c>
      <c r="AE309" s="1">
        <f t="shared" si="184"/>
        <v>0.99869275622198006</v>
      </c>
      <c r="AF309" s="1">
        <f t="shared" si="184"/>
        <v>0.9977790427905131</v>
      </c>
      <c r="AG309" s="1">
        <f t="shared" si="184"/>
        <v>0.99972636271235549</v>
      </c>
      <c r="AH309" s="1">
        <f t="shared" si="184"/>
        <v>0.99977307739709453</v>
      </c>
      <c r="AI309" s="1">
        <f t="shared" si="184"/>
        <v>0.99769098555702529</v>
      </c>
      <c r="AJ309" s="1">
        <f t="shared" si="184"/>
        <v>0.99667443883136309</v>
      </c>
      <c r="AK309" s="1">
        <f t="shared" si="184"/>
        <v>0.99937378162441615</v>
      </c>
      <c r="AL309" s="1">
        <f t="shared" si="184"/>
        <v>0.9926820251877625</v>
      </c>
      <c r="AM309" s="1">
        <f t="shared" si="184"/>
        <v>0.99936527932291319</v>
      </c>
      <c r="AN309" s="1">
        <f t="shared" si="184"/>
        <v>1.0408914288226185</v>
      </c>
      <c r="AO309" s="1">
        <f t="shared" si="184"/>
        <v>1.0004137167196441</v>
      </c>
      <c r="AP309" s="1">
        <f t="shared" si="184"/>
        <v>0.99873717830762687</v>
      </c>
    </row>
    <row r="310" spans="3:42" x14ac:dyDescent="0.2">
      <c r="C310" s="1" t="s">
        <v>63</v>
      </c>
      <c r="E310" s="1">
        <f t="shared" si="177"/>
        <v>0.99935830322576347</v>
      </c>
      <c r="F310" s="1">
        <f t="shared" si="178"/>
        <v>0.999687098610897</v>
      </c>
      <c r="G310" s="1">
        <f t="shared" si="179"/>
        <v>1.000292291836919</v>
      </c>
      <c r="H310" s="1">
        <f t="shared" si="179"/>
        <v>0.99985768127486396</v>
      </c>
      <c r="I310" s="1">
        <f t="shared" si="179"/>
        <v>0.99949270495872544</v>
      </c>
      <c r="J310" s="1">
        <f t="shared" si="180"/>
        <v>0.99872066624488698</v>
      </c>
      <c r="K310" s="1">
        <f t="shared" si="181"/>
        <v>1.000127698262655</v>
      </c>
      <c r="L310" s="1">
        <f t="shared" si="181"/>
        <v>0.999412388862708</v>
      </c>
      <c r="M310" s="1">
        <f t="shared" si="181"/>
        <v>1.0002127336330884</v>
      </c>
      <c r="N310" s="1">
        <f t="shared" si="182"/>
        <v>0.99861836239154178</v>
      </c>
      <c r="O310" s="1">
        <f t="shared" ref="O310:AP310" si="185">O90/((O126/O$11/O$10)+(O157*O$10*IF(PanicDF_Switch,O$273,1))/O$11/2/O$10+1)</f>
        <v>0.99887145777485598</v>
      </c>
      <c r="P310" s="1">
        <f t="shared" si="185"/>
        <v>0.99976122230738418</v>
      </c>
      <c r="Q310" s="1">
        <f t="shared" si="185"/>
        <v>0.99534024807873278</v>
      </c>
      <c r="R310" s="1">
        <f t="shared" si="185"/>
        <v>1.0002326944014117</v>
      </c>
      <c r="S310" s="1">
        <f t="shared" si="185"/>
        <v>0.99398689889527914</v>
      </c>
      <c r="T310" s="1">
        <f t="shared" si="185"/>
        <v>0.99945239257410934</v>
      </c>
      <c r="U310" s="1">
        <f t="shared" si="185"/>
        <v>0.99488817938656215</v>
      </c>
      <c r="V310" s="1">
        <f t="shared" si="185"/>
        <v>0.99298213238032429</v>
      </c>
      <c r="W310" s="1">
        <f t="shared" si="185"/>
        <v>0.99427881289425368</v>
      </c>
      <c r="X310" s="1">
        <f t="shared" si="185"/>
        <v>0.9965945160357027</v>
      </c>
      <c r="Y310" s="1">
        <f t="shared" si="185"/>
        <v>0.99629603094772112</v>
      </c>
      <c r="Z310" s="1">
        <f t="shared" si="185"/>
        <v>0.99937421325419462</v>
      </c>
      <c r="AA310" s="1">
        <f t="shared" si="185"/>
        <v>0.99981537720493763</v>
      </c>
      <c r="AB310" s="1">
        <f t="shared" si="185"/>
        <v>0.998902812656838</v>
      </c>
      <c r="AC310" s="1">
        <f t="shared" si="185"/>
        <v>0.9974893249049962</v>
      </c>
      <c r="AD310" s="1">
        <f t="shared" si="185"/>
        <v>0.99487375393194322</v>
      </c>
      <c r="AE310" s="1">
        <f t="shared" si="185"/>
        <v>0.99750476689936696</v>
      </c>
      <c r="AF310" s="1">
        <f t="shared" si="185"/>
        <v>0.99672955784614359</v>
      </c>
      <c r="AG310" s="1">
        <f t="shared" si="185"/>
        <v>0.99966111284063108</v>
      </c>
      <c r="AH310" s="1">
        <f t="shared" si="185"/>
        <v>0.99973282965306121</v>
      </c>
      <c r="AI310" s="1">
        <f t="shared" si="185"/>
        <v>0.99705247495259552</v>
      </c>
      <c r="AJ310" s="1">
        <f t="shared" si="185"/>
        <v>0.99532792358489841</v>
      </c>
      <c r="AK310" s="1">
        <f t="shared" si="185"/>
        <v>0.99911594929437486</v>
      </c>
      <c r="AL310" s="1">
        <f t="shared" si="185"/>
        <v>0.99001374048030644</v>
      </c>
      <c r="AM310" s="1">
        <f t="shared" si="185"/>
        <v>0.99905704946990748</v>
      </c>
      <c r="AN310" s="1">
        <f t="shared" si="185"/>
        <v>1.0435565893919945</v>
      </c>
      <c r="AO310" s="1">
        <f t="shared" si="185"/>
        <v>1.0003406146583094</v>
      </c>
      <c r="AP310" s="1">
        <f t="shared" si="185"/>
        <v>0.99757762519987625</v>
      </c>
    </row>
    <row r="311" spans="3:42" x14ac:dyDescent="0.2">
      <c r="C311" s="1" t="s">
        <v>66</v>
      </c>
      <c r="E311" s="1">
        <f t="shared" si="177"/>
        <v>0.9990582727813998</v>
      </c>
      <c r="F311" s="1">
        <f t="shared" si="178"/>
        <v>0.99958430855026514</v>
      </c>
      <c r="G311" s="1">
        <f t="shared" si="179"/>
        <v>1.0005371377178105</v>
      </c>
      <c r="H311" s="1">
        <f t="shared" si="179"/>
        <v>0.99988340909589957</v>
      </c>
      <c r="I311" s="1">
        <f t="shared" si="179"/>
        <v>0.9992827123828768</v>
      </c>
      <c r="J311" s="1">
        <f t="shared" si="180"/>
        <v>0.99817719597589161</v>
      </c>
      <c r="K311" s="1">
        <f t="shared" si="181"/>
        <v>1.0003167957818726</v>
      </c>
      <c r="L311" s="1">
        <f t="shared" si="181"/>
        <v>0.99916701039103661</v>
      </c>
      <c r="M311" s="1">
        <f t="shared" si="181"/>
        <v>1.0003791624976699</v>
      </c>
      <c r="N311" s="1">
        <f t="shared" si="182"/>
        <v>0.99802604440911535</v>
      </c>
      <c r="O311" s="1">
        <f t="shared" ref="O311:AP311" si="186">O91/((O127/O$11/O$10)+(O158*O$10*IF(PanicDF_Switch,O$273,1))/O$11/2/O$10+1)</f>
        <v>0.99841889668573602</v>
      </c>
      <c r="P311" s="1">
        <f t="shared" si="186"/>
        <v>0.99972347934015604</v>
      </c>
      <c r="Q311" s="1">
        <f t="shared" si="186"/>
        <v>0.99316377352060781</v>
      </c>
      <c r="R311" s="1">
        <f t="shared" si="186"/>
        <v>1.0004818931913966</v>
      </c>
      <c r="S311" s="1">
        <f t="shared" si="186"/>
        <v>0.99075308077199442</v>
      </c>
      <c r="T311" s="1">
        <f t="shared" si="186"/>
        <v>0.9991987501255456</v>
      </c>
      <c r="U311" s="1">
        <f t="shared" si="186"/>
        <v>0.99287503990841353</v>
      </c>
      <c r="V311" s="1">
        <f t="shared" si="186"/>
        <v>0.98982151893384496</v>
      </c>
      <c r="W311" s="1">
        <f t="shared" si="186"/>
        <v>0.99152747141488151</v>
      </c>
      <c r="X311" s="1">
        <f t="shared" si="186"/>
        <v>0.99514121312897152</v>
      </c>
      <c r="Y311" s="1">
        <f t="shared" si="186"/>
        <v>0.99424403774467984</v>
      </c>
      <c r="Z311" s="1">
        <f t="shared" si="186"/>
        <v>0.99911758125191441</v>
      </c>
      <c r="AA311" s="1">
        <f t="shared" si="186"/>
        <v>0.99953964939169926</v>
      </c>
      <c r="AB311" s="1">
        <f t="shared" si="186"/>
        <v>0.99851371804609723</v>
      </c>
      <c r="AC311" s="1">
        <f t="shared" si="186"/>
        <v>0.99659366460276</v>
      </c>
      <c r="AD311" s="1">
        <f t="shared" si="186"/>
        <v>0.99238444098409873</v>
      </c>
      <c r="AE311" s="1">
        <f t="shared" si="186"/>
        <v>0.99581062431105105</v>
      </c>
      <c r="AF311" s="1">
        <f t="shared" si="186"/>
        <v>0.99523230903668536</v>
      </c>
      <c r="AG311" s="1">
        <f t="shared" si="186"/>
        <v>0.9994880247330028</v>
      </c>
      <c r="AH311" s="1">
        <f t="shared" si="186"/>
        <v>0.999674259075087</v>
      </c>
      <c r="AI311" s="1">
        <f t="shared" si="186"/>
        <v>0.99614022195865137</v>
      </c>
      <c r="AJ311" s="1">
        <f t="shared" si="186"/>
        <v>0.99357561437491981</v>
      </c>
      <c r="AK311" s="1">
        <f t="shared" si="186"/>
        <v>0.9987466109434775</v>
      </c>
      <c r="AL311" s="1">
        <f t="shared" si="186"/>
        <v>0.98622372901208455</v>
      </c>
      <c r="AM311" s="1">
        <f t="shared" si="186"/>
        <v>0.9984689706246439</v>
      </c>
      <c r="AN311" s="1">
        <f t="shared" si="186"/>
        <v>1.0473885890835595</v>
      </c>
      <c r="AO311" s="1">
        <f t="shared" si="186"/>
        <v>1.0002350976817955</v>
      </c>
      <c r="AP311" s="1">
        <f t="shared" si="186"/>
        <v>0.99578881377496398</v>
      </c>
    </row>
    <row r="312" spans="3:42" x14ac:dyDescent="0.2">
      <c r="C312" s="1" t="s">
        <v>71</v>
      </c>
      <c r="E312" s="1">
        <f t="shared" si="177"/>
        <v>0.99810703045454152</v>
      </c>
      <c r="F312" s="1">
        <f t="shared" si="178"/>
        <v>0.99919968048312235</v>
      </c>
      <c r="G312" s="1">
        <f t="shared" si="179"/>
        <v>1.0010981144888198</v>
      </c>
      <c r="H312" s="1">
        <f t="shared" si="179"/>
        <v>0.99987727754893563</v>
      </c>
      <c r="I312" s="1">
        <f t="shared" si="179"/>
        <v>0.99865420817288597</v>
      </c>
      <c r="J312" s="1">
        <f t="shared" si="180"/>
        <v>0.99657819811470372</v>
      </c>
      <c r="K312" s="1">
        <f t="shared" si="181"/>
        <v>1.0006745899556582</v>
      </c>
      <c r="L312" s="1">
        <f t="shared" si="181"/>
        <v>0.99838902565241372</v>
      </c>
      <c r="M312" s="1">
        <f t="shared" si="181"/>
        <v>1.0007218510880478</v>
      </c>
      <c r="N312" s="1">
        <f t="shared" si="182"/>
        <v>0.99621909486047244</v>
      </c>
      <c r="O312" s="1">
        <f t="shared" ref="O312:AP312" si="187">O92/((O128/O$11/O$10)+(O159*O$10*IF(PanicDF_Switch,O$273,1))/O$11/2/O$10+1)</f>
        <v>0.99696391001065698</v>
      </c>
      <c r="P312" s="1">
        <f t="shared" si="187"/>
        <v>0.99941817708528669</v>
      </c>
      <c r="Q312" s="1">
        <f t="shared" si="187"/>
        <v>0.98695836765642986</v>
      </c>
      <c r="R312" s="1">
        <f t="shared" si="187"/>
        <v>1.0019553205672103</v>
      </c>
      <c r="S312" s="1">
        <f t="shared" si="187"/>
        <v>0.98276844853059353</v>
      </c>
      <c r="T312" s="1">
        <f t="shared" si="187"/>
        <v>0.99845976308240736</v>
      </c>
      <c r="U312" s="1">
        <f t="shared" si="187"/>
        <v>0.98732953452039751</v>
      </c>
      <c r="V312" s="1">
        <f t="shared" si="187"/>
        <v>0.98230805635607998</v>
      </c>
      <c r="W312" s="1">
        <f t="shared" si="187"/>
        <v>0.9848812642732947</v>
      </c>
      <c r="X312" s="1">
        <f t="shared" si="187"/>
        <v>0.99101204011579158</v>
      </c>
      <c r="Y312" s="1">
        <f t="shared" si="187"/>
        <v>0.98915219826503309</v>
      </c>
      <c r="Z312" s="1">
        <f t="shared" si="187"/>
        <v>0.99828428442000483</v>
      </c>
      <c r="AA312" s="1">
        <f t="shared" si="187"/>
        <v>0.99855866823055306</v>
      </c>
      <c r="AB312" s="1">
        <f t="shared" si="187"/>
        <v>0.9972746950177287</v>
      </c>
      <c r="AC312" s="1">
        <f t="shared" si="187"/>
        <v>0.99367938197852679</v>
      </c>
      <c r="AD312" s="1">
        <f t="shared" si="187"/>
        <v>0.98747152233469049</v>
      </c>
      <c r="AE312" s="1">
        <f t="shared" si="187"/>
        <v>0.99080643597487938</v>
      </c>
      <c r="AF312" s="1">
        <f t="shared" si="187"/>
        <v>0.99095726405021689</v>
      </c>
      <c r="AG312" s="1">
        <f t="shared" si="187"/>
        <v>0.99900729817964729</v>
      </c>
      <c r="AH312" s="1">
        <f t="shared" si="187"/>
        <v>0.9995264849890968</v>
      </c>
      <c r="AI312" s="1">
        <f t="shared" si="187"/>
        <v>0.99363854023809828</v>
      </c>
      <c r="AJ312" s="1">
        <f t="shared" si="187"/>
        <v>0.98771474452189223</v>
      </c>
      <c r="AK312" s="1">
        <f t="shared" si="187"/>
        <v>0.99766453639400765</v>
      </c>
      <c r="AL312" s="1">
        <f t="shared" si="187"/>
        <v>0.97565231866290203</v>
      </c>
      <c r="AM312" s="1">
        <f t="shared" si="187"/>
        <v>0.99711088502726675</v>
      </c>
      <c r="AN312" s="1">
        <f t="shared" si="187"/>
        <v>1.0581733570321719</v>
      </c>
      <c r="AO312" s="1">
        <f t="shared" si="187"/>
        <v>1.0004606813199814</v>
      </c>
      <c r="AP312" s="1">
        <f t="shared" si="187"/>
        <v>0.99148336209579835</v>
      </c>
    </row>
    <row r="313" spans="3:42" x14ac:dyDescent="0.2">
      <c r="C313" s="1" t="s">
        <v>77</v>
      </c>
      <c r="E313" s="1">
        <f t="shared" si="177"/>
        <v>0.9962775836165586</v>
      </c>
      <c r="F313" s="1">
        <f t="shared" si="178"/>
        <v>0.99849673634391789</v>
      </c>
      <c r="G313" s="1">
        <f t="shared" si="179"/>
        <v>1.0017064477699651</v>
      </c>
      <c r="H313" s="1">
        <f t="shared" si="179"/>
        <v>1.0003211018519971</v>
      </c>
      <c r="I313" s="1">
        <f t="shared" si="179"/>
        <v>0.99736931171938781</v>
      </c>
      <c r="J313" s="1">
        <f t="shared" si="180"/>
        <v>0.994026163429789</v>
      </c>
      <c r="K313" s="1">
        <f t="shared" si="181"/>
        <v>1.0010299970085221</v>
      </c>
      <c r="L313" s="1">
        <f t="shared" si="181"/>
        <v>0.99687402471546072</v>
      </c>
      <c r="M313" s="1">
        <f t="shared" si="181"/>
        <v>1.0010697793493648</v>
      </c>
      <c r="N313" s="1">
        <f t="shared" si="182"/>
        <v>0.99350600283942481</v>
      </c>
      <c r="O313" s="1">
        <f t="shared" ref="O313:AP313" si="188">O93/((O129/O$11/O$10)+(O160*O$10*IF(PanicDF_Switch,O$273,1))/O$11/2/O$10+1)</f>
        <v>0.9946908804587572</v>
      </c>
      <c r="P313" s="1">
        <f t="shared" si="188"/>
        <v>0.99863931023759833</v>
      </c>
      <c r="Q313" s="1">
        <f t="shared" si="188"/>
        <v>0.97926508554930913</v>
      </c>
      <c r="R313" s="1">
        <f t="shared" si="188"/>
        <v>1.0045376391926948</v>
      </c>
      <c r="S313" s="1">
        <f t="shared" si="188"/>
        <v>0.97291124888842073</v>
      </c>
      <c r="T313" s="1">
        <f t="shared" si="188"/>
        <v>0.99710865427950035</v>
      </c>
      <c r="U313" s="1">
        <f t="shared" si="188"/>
        <v>0.98214628433988282</v>
      </c>
      <c r="V313" s="1">
        <f t="shared" si="188"/>
        <v>0.97261201126360541</v>
      </c>
      <c r="W313" s="1">
        <f t="shared" si="188"/>
        <v>0.97703918392278011</v>
      </c>
      <c r="X313" s="1">
        <f t="shared" si="188"/>
        <v>0.98489450552528501</v>
      </c>
      <c r="Y313" s="1">
        <f t="shared" si="188"/>
        <v>0.98294728855279723</v>
      </c>
      <c r="Z313" s="1">
        <f t="shared" si="188"/>
        <v>0.99656531139508731</v>
      </c>
      <c r="AA313" s="1">
        <f t="shared" si="188"/>
        <v>0.99681632451440016</v>
      </c>
      <c r="AB313" s="1">
        <f t="shared" si="188"/>
        <v>0.99516055834050454</v>
      </c>
      <c r="AC313" s="1">
        <f t="shared" si="188"/>
        <v>0.99003691588103515</v>
      </c>
      <c r="AD313" s="1">
        <f t="shared" si="188"/>
        <v>0.97994674831765194</v>
      </c>
      <c r="AE313" s="1">
        <f t="shared" si="188"/>
        <v>0.98424581939781275</v>
      </c>
      <c r="AF313" s="1">
        <f t="shared" si="188"/>
        <v>0.98547235804951328</v>
      </c>
      <c r="AG313" s="1">
        <f t="shared" si="188"/>
        <v>0.99841520749092427</v>
      </c>
      <c r="AH313" s="1">
        <f t="shared" si="188"/>
        <v>0.99875288225919889</v>
      </c>
      <c r="AI313" s="1">
        <f t="shared" si="188"/>
        <v>0.99004928842578543</v>
      </c>
      <c r="AJ313" s="1">
        <f t="shared" si="188"/>
        <v>0.98247062229450044</v>
      </c>
      <c r="AK313" s="1">
        <f t="shared" si="188"/>
        <v>0.99548689865354822</v>
      </c>
      <c r="AL313" s="1">
        <f t="shared" si="188"/>
        <v>0.96488350307463178</v>
      </c>
      <c r="AM313" s="1">
        <f t="shared" si="188"/>
        <v>0.99539481948478614</v>
      </c>
      <c r="AN313" s="1">
        <f t="shared" si="188"/>
        <v>1.0398523448361412</v>
      </c>
      <c r="AO313" s="1">
        <f t="shared" si="188"/>
        <v>0.99888373411523512</v>
      </c>
      <c r="AP313" s="1">
        <f t="shared" si="188"/>
        <v>0.98633605045570172</v>
      </c>
    </row>
    <row r="314" spans="3:42" x14ac:dyDescent="0.2">
      <c r="C314" s="1" t="s">
        <v>82</v>
      </c>
      <c r="E314" s="1">
        <f t="shared" si="177"/>
        <v>0.99507243944728174</v>
      </c>
      <c r="F314" s="1">
        <f t="shared" si="178"/>
        <v>0.99796140341905815</v>
      </c>
      <c r="G314" s="1">
        <f t="shared" si="179"/>
        <v>1.002176677226772</v>
      </c>
      <c r="H314" s="1">
        <f t="shared" si="179"/>
        <v>1.0003886872713641</v>
      </c>
      <c r="I314" s="1">
        <f t="shared" si="179"/>
        <v>0.99634192384000586</v>
      </c>
      <c r="J314" s="1">
        <f t="shared" si="180"/>
        <v>0.99221841236862962</v>
      </c>
      <c r="K314" s="1">
        <f t="shared" si="181"/>
        <v>1.0013607430112668</v>
      </c>
      <c r="L314" s="1">
        <f t="shared" si="181"/>
        <v>0.99595346895083803</v>
      </c>
      <c r="M314" s="1">
        <f t="shared" si="181"/>
        <v>1.0012694863569596</v>
      </c>
      <c r="N314" s="1">
        <f t="shared" si="182"/>
        <v>0.99146858007034255</v>
      </c>
      <c r="O314" s="1">
        <f t="shared" ref="O314:AP314" si="189">O94/((O130/O$11/O$10)+(O161*O$10*IF(PanicDF_Switch,O$273,1))/O$11/2/O$10+1)</f>
        <v>0.99309170357079046</v>
      </c>
      <c r="P314" s="1">
        <f t="shared" si="189"/>
        <v>0.99830720892039038</v>
      </c>
      <c r="Q314" s="1">
        <f t="shared" si="189"/>
        <v>0.97286573102619545</v>
      </c>
      <c r="R314" s="1">
        <f t="shared" si="189"/>
        <v>1.0066929942431551</v>
      </c>
      <c r="S314" s="1">
        <f t="shared" si="189"/>
        <v>0.96332249558275751</v>
      </c>
      <c r="T314" s="1">
        <f t="shared" si="189"/>
        <v>0.9959921885112456</v>
      </c>
      <c r="U314" s="1">
        <f t="shared" si="189"/>
        <v>0.9782441925886709</v>
      </c>
      <c r="V314" s="1">
        <f t="shared" si="189"/>
        <v>0.96477982234063331</v>
      </c>
      <c r="W314" s="1">
        <f t="shared" si="189"/>
        <v>0.96966215675821055</v>
      </c>
      <c r="X314" s="1">
        <f t="shared" si="189"/>
        <v>0.98017427412654656</v>
      </c>
      <c r="Y314" s="1">
        <f t="shared" si="189"/>
        <v>0.97740738523234649</v>
      </c>
      <c r="Z314" s="1">
        <f t="shared" si="189"/>
        <v>0.99533699202605042</v>
      </c>
      <c r="AA314" s="1">
        <f t="shared" si="189"/>
        <v>0.99581248248592391</v>
      </c>
      <c r="AB314" s="1">
        <f t="shared" si="189"/>
        <v>0.99356944921890511</v>
      </c>
      <c r="AC314" s="1">
        <f t="shared" si="189"/>
        <v>0.98688039896753887</v>
      </c>
      <c r="AD314" s="1">
        <f t="shared" si="189"/>
        <v>0.9730043295805676</v>
      </c>
      <c r="AE314" s="1">
        <f t="shared" si="189"/>
        <v>0.978563322357757</v>
      </c>
      <c r="AF314" s="1">
        <f t="shared" si="189"/>
        <v>0.98103434431001313</v>
      </c>
      <c r="AG314" s="1">
        <f t="shared" si="189"/>
        <v>0.99776686346779364</v>
      </c>
      <c r="AH314" s="1">
        <f t="shared" si="189"/>
        <v>0.99860192856426544</v>
      </c>
      <c r="AI314" s="1">
        <f t="shared" si="189"/>
        <v>0.98694001808405196</v>
      </c>
      <c r="AJ314" s="1">
        <f t="shared" si="189"/>
        <v>0.97854897919800188</v>
      </c>
      <c r="AK314" s="1">
        <f t="shared" si="189"/>
        <v>0.99407736659112589</v>
      </c>
      <c r="AL314" s="1">
        <f t="shared" si="189"/>
        <v>0.95800332296422142</v>
      </c>
      <c r="AM314" s="1">
        <f t="shared" si="189"/>
        <v>0.99370774010052398</v>
      </c>
      <c r="AN314" s="1">
        <f t="shared" si="189"/>
        <v>1.0326742620176508</v>
      </c>
      <c r="AO314" s="1">
        <f t="shared" si="189"/>
        <v>0.99871095820510669</v>
      </c>
      <c r="AP314" s="1">
        <f t="shared" si="189"/>
        <v>0.98254678995717015</v>
      </c>
    </row>
    <row r="315" spans="3:42" x14ac:dyDescent="0.2">
      <c r="C315" s="1" t="s">
        <v>85</v>
      </c>
      <c r="E315" s="1">
        <f t="shared" si="177"/>
        <v>0.9937372769216134</v>
      </c>
      <c r="F315" s="1">
        <f t="shared" si="178"/>
        <v>0.99731859575895465</v>
      </c>
      <c r="G315" s="1">
        <f t="shared" si="179"/>
        <v>1.0027276762368669</v>
      </c>
      <c r="H315" s="1">
        <f t="shared" si="179"/>
        <v>1.0004149980483921</v>
      </c>
      <c r="I315" s="1">
        <f t="shared" si="179"/>
        <v>0.99547237175286707</v>
      </c>
      <c r="J315" s="1">
        <f t="shared" si="180"/>
        <v>0.99025212234420412</v>
      </c>
      <c r="K315" s="1">
        <f t="shared" si="181"/>
        <v>1.0015294177053868</v>
      </c>
      <c r="L315" s="1">
        <f t="shared" si="181"/>
        <v>0.99488752867263741</v>
      </c>
      <c r="M315" s="1">
        <f t="shared" si="181"/>
        <v>1.0016387562752063</v>
      </c>
      <c r="N315" s="1">
        <f t="shared" si="182"/>
        <v>0.98927185900393688</v>
      </c>
      <c r="O315" s="1">
        <f t="shared" ref="O315:AP315" si="190">O95/((O131/O$11/O$10)+(O162*O$10*IF(PanicDF_Switch,O$273,1))/O$11/2/O$10+1)</f>
        <v>0.991393658711336</v>
      </c>
      <c r="P315" s="1">
        <f t="shared" si="190"/>
        <v>0.99791327013948172</v>
      </c>
      <c r="Q315" s="1">
        <f t="shared" si="190"/>
        <v>0.96603974195988074</v>
      </c>
      <c r="R315" s="1">
        <f t="shared" si="190"/>
        <v>1.0088132403910575</v>
      </c>
      <c r="S315" s="1">
        <f t="shared" si="190"/>
        <v>0.9545202495435412</v>
      </c>
      <c r="T315" s="1">
        <f t="shared" si="190"/>
        <v>0.99465821612746308</v>
      </c>
      <c r="U315" s="1">
        <f t="shared" si="190"/>
        <v>0.97384836587858703</v>
      </c>
      <c r="V315" s="1">
        <f t="shared" si="190"/>
        <v>0.95647720079177756</v>
      </c>
      <c r="W315" s="1">
        <f t="shared" si="190"/>
        <v>0.96281953474168025</v>
      </c>
      <c r="X315" s="1">
        <f t="shared" si="190"/>
        <v>0.9751167445242469</v>
      </c>
      <c r="Y315" s="1">
        <f t="shared" si="190"/>
        <v>0.97149058248837594</v>
      </c>
      <c r="Z315" s="1">
        <f t="shared" si="190"/>
        <v>0.99409225417345781</v>
      </c>
      <c r="AA315" s="1">
        <f t="shared" si="190"/>
        <v>0.99468886035753623</v>
      </c>
      <c r="AB315" s="1">
        <f t="shared" si="190"/>
        <v>0.9918200310634061</v>
      </c>
      <c r="AC315" s="1">
        <f t="shared" si="190"/>
        <v>0.98372310240067684</v>
      </c>
      <c r="AD315" s="1">
        <f t="shared" si="190"/>
        <v>0.96743114747243319</v>
      </c>
      <c r="AE315" s="1">
        <f t="shared" si="190"/>
        <v>0.97232816645821685</v>
      </c>
      <c r="AF315" s="1">
        <f t="shared" si="190"/>
        <v>0.97627338262449415</v>
      </c>
      <c r="AG315" s="1">
        <f t="shared" si="190"/>
        <v>0.99702278046473247</v>
      </c>
      <c r="AH315" s="1">
        <f t="shared" si="190"/>
        <v>0.9983899147932962</v>
      </c>
      <c r="AI315" s="1">
        <f t="shared" si="190"/>
        <v>0.98358006589055735</v>
      </c>
      <c r="AJ315" s="1">
        <f t="shared" si="190"/>
        <v>0.97417583451267986</v>
      </c>
      <c r="AK315" s="1">
        <f t="shared" si="190"/>
        <v>0.99228875329907706</v>
      </c>
      <c r="AL315" s="1">
        <f t="shared" si="190"/>
        <v>0.95069046737274077</v>
      </c>
      <c r="AM315" s="1">
        <f t="shared" si="190"/>
        <v>0.99173651316995637</v>
      </c>
      <c r="AN315" s="1">
        <f t="shared" si="190"/>
        <v>1.023838303157738</v>
      </c>
      <c r="AO315" s="1">
        <f t="shared" si="190"/>
        <v>0.99847557033318624</v>
      </c>
      <c r="AP315" s="1">
        <f t="shared" si="190"/>
        <v>0.97888835137663632</v>
      </c>
    </row>
    <row r="316" spans="3:42" x14ac:dyDescent="0.2">
      <c r="C316" s="1" t="s">
        <v>87</v>
      </c>
      <c r="E316" s="1">
        <f t="shared" si="177"/>
        <v>0.99171722723581379</v>
      </c>
      <c r="F316" s="1">
        <f t="shared" si="178"/>
        <v>0.99647903032388963</v>
      </c>
      <c r="G316" s="1">
        <f t="shared" si="179"/>
        <v>1.003080444263615</v>
      </c>
      <c r="H316" s="1">
        <f t="shared" si="179"/>
        <v>1.000546261091096</v>
      </c>
      <c r="I316" s="1">
        <f t="shared" si="179"/>
        <v>0.99396027345228644</v>
      </c>
      <c r="J316" s="1">
        <f t="shared" si="180"/>
        <v>0.98763718752764895</v>
      </c>
      <c r="K316" s="1">
        <f t="shared" si="181"/>
        <v>1.0017048940745912</v>
      </c>
      <c r="L316" s="1">
        <f t="shared" si="181"/>
        <v>0.99324844590535522</v>
      </c>
      <c r="M316" s="1">
        <f t="shared" si="181"/>
        <v>1.0015049979827753</v>
      </c>
      <c r="N316" s="1">
        <f t="shared" si="182"/>
        <v>0.98653723150736838</v>
      </c>
      <c r="O316" s="1">
        <f t="shared" ref="O316:AP316" si="191">O96/((O132/O$11/O$10)+(O163*O$10*IF(PanicDF_Switch,O$273,1))/O$11/2/O$10+1)</f>
        <v>0.98923130989996533</v>
      </c>
      <c r="P316" s="1">
        <f t="shared" si="191"/>
        <v>0.99681177183257097</v>
      </c>
      <c r="Q316" s="1">
        <f t="shared" si="191"/>
        <v>0.95864312214020464</v>
      </c>
      <c r="R316" s="1">
        <f t="shared" si="191"/>
        <v>1.0102213971636722</v>
      </c>
      <c r="S316" s="1">
        <f t="shared" si="191"/>
        <v>0.94496976088545881</v>
      </c>
      <c r="T316" s="1">
        <f t="shared" si="191"/>
        <v>0.99285630730667751</v>
      </c>
      <c r="U316" s="1">
        <f t="shared" si="191"/>
        <v>0.96931223343497752</v>
      </c>
      <c r="V316" s="1">
        <f t="shared" si="191"/>
        <v>0.94764401377411667</v>
      </c>
      <c r="W316" s="1">
        <f t="shared" si="191"/>
        <v>0.95521148274661849</v>
      </c>
      <c r="X316" s="1">
        <f t="shared" si="191"/>
        <v>0.96943229353996208</v>
      </c>
      <c r="Y316" s="1">
        <f t="shared" si="191"/>
        <v>0.96496697322895997</v>
      </c>
      <c r="Z316" s="1">
        <f t="shared" si="191"/>
        <v>0.99208623069601065</v>
      </c>
      <c r="AA316" s="1">
        <f t="shared" si="191"/>
        <v>0.992883196341803</v>
      </c>
      <c r="AB316" s="1">
        <f t="shared" si="191"/>
        <v>0.989392917406832</v>
      </c>
      <c r="AC316" s="1">
        <f t="shared" si="191"/>
        <v>0.97977270045749409</v>
      </c>
      <c r="AD316" s="1">
        <f t="shared" si="191"/>
        <v>0.96172356434416362</v>
      </c>
      <c r="AE316" s="1">
        <f t="shared" si="191"/>
        <v>0.9654927690890831</v>
      </c>
      <c r="AF316" s="1">
        <f t="shared" si="191"/>
        <v>0.97087934173713508</v>
      </c>
      <c r="AG316" s="1">
        <f t="shared" si="191"/>
        <v>0.99559438439738279</v>
      </c>
      <c r="AH316" s="1">
        <f t="shared" si="191"/>
        <v>0.99749269101468396</v>
      </c>
      <c r="AI316" s="1">
        <f t="shared" si="191"/>
        <v>0.97956155776491682</v>
      </c>
      <c r="AJ316" s="1">
        <f t="shared" si="191"/>
        <v>0.96955100861585986</v>
      </c>
      <c r="AK316" s="1">
        <f t="shared" si="191"/>
        <v>0.99027031844946245</v>
      </c>
      <c r="AL316" s="1">
        <f t="shared" si="191"/>
        <v>0.94282200939746674</v>
      </c>
      <c r="AM316" s="1">
        <f t="shared" si="191"/>
        <v>0.98950773670567449</v>
      </c>
      <c r="AN316" s="1">
        <f t="shared" si="191"/>
        <v>1.0167988065737152</v>
      </c>
      <c r="AO316" s="1">
        <f t="shared" si="191"/>
        <v>0.99755488798149139</v>
      </c>
      <c r="AP316" s="1">
        <f t="shared" si="191"/>
        <v>0.97449831140496856</v>
      </c>
    </row>
    <row r="317" spans="3:42" x14ac:dyDescent="0.2">
      <c r="C317" s="1" t="s">
        <v>90</v>
      </c>
      <c r="E317" s="1">
        <f t="shared" si="177"/>
        <v>0.99020221415119525</v>
      </c>
      <c r="F317" s="1">
        <f t="shared" si="178"/>
        <v>0.99575828319588466</v>
      </c>
      <c r="G317" s="1">
        <f t="shared" si="179"/>
        <v>1.0034296445416147</v>
      </c>
      <c r="H317" s="1">
        <f t="shared" si="179"/>
        <v>1.0004555634222978</v>
      </c>
      <c r="I317" s="1">
        <f t="shared" si="179"/>
        <v>0.99271563950047481</v>
      </c>
      <c r="J317" s="1">
        <f t="shared" si="180"/>
        <v>0.98561286117761204</v>
      </c>
      <c r="K317" s="1">
        <f t="shared" si="181"/>
        <v>1.0017838242964838</v>
      </c>
      <c r="L317" s="1">
        <f t="shared" si="181"/>
        <v>0.99224518635103587</v>
      </c>
      <c r="M317" s="1">
        <f t="shared" si="181"/>
        <v>1.0015213940560925</v>
      </c>
      <c r="N317" s="1">
        <f t="shared" si="182"/>
        <v>0.98432409407564292</v>
      </c>
      <c r="O317" s="1">
        <f t="shared" ref="O317:AP317" si="192">O97/((O133/O$11/O$10)+(O164*O$10*IF(PanicDF_Switch,O$273,1))/O$11/2/O$10+1)</f>
        <v>0.98757287092494384</v>
      </c>
      <c r="P317" s="1">
        <f t="shared" si="192"/>
        <v>0.99618711799579773</v>
      </c>
      <c r="Q317" s="1">
        <f t="shared" si="192"/>
        <v>0.95201228148136108</v>
      </c>
      <c r="R317" s="1">
        <f t="shared" si="192"/>
        <v>1.0116439888579252</v>
      </c>
      <c r="S317" s="1">
        <f t="shared" si="192"/>
        <v>0.93533885480925905</v>
      </c>
      <c r="T317" s="1">
        <f t="shared" si="192"/>
        <v>0.99123430696235737</v>
      </c>
      <c r="U317" s="1">
        <f t="shared" si="192"/>
        <v>0.96540770015159694</v>
      </c>
      <c r="V317" s="1">
        <f t="shared" si="192"/>
        <v>0.94015876815206378</v>
      </c>
      <c r="W317" s="1">
        <f t="shared" si="192"/>
        <v>0.9484146864032964</v>
      </c>
      <c r="X317" s="1">
        <f t="shared" si="192"/>
        <v>0.96454257936270393</v>
      </c>
      <c r="Y317" s="1">
        <f t="shared" si="192"/>
        <v>0.95876451584811018</v>
      </c>
      <c r="Z317" s="1">
        <f t="shared" si="192"/>
        <v>0.9905843894379972</v>
      </c>
      <c r="AA317" s="1">
        <f t="shared" si="192"/>
        <v>0.99198175822077306</v>
      </c>
      <c r="AB317" s="1">
        <f t="shared" si="192"/>
        <v>0.98747661575346124</v>
      </c>
      <c r="AC317" s="1">
        <f t="shared" si="192"/>
        <v>0.9766276289569138</v>
      </c>
      <c r="AD317" s="1">
        <f t="shared" si="192"/>
        <v>0.9566365107987328</v>
      </c>
      <c r="AE317" s="1">
        <f t="shared" si="192"/>
        <v>0.95899032065901246</v>
      </c>
      <c r="AF317" s="1">
        <f t="shared" si="192"/>
        <v>0.96586009070663315</v>
      </c>
      <c r="AG317" s="1">
        <f t="shared" si="192"/>
        <v>0.99433436715055179</v>
      </c>
      <c r="AH317" s="1">
        <f t="shared" si="192"/>
        <v>0.99720650095265273</v>
      </c>
      <c r="AI317" s="1">
        <f t="shared" si="192"/>
        <v>0.9764270379718718</v>
      </c>
      <c r="AJ317" s="1">
        <f t="shared" si="192"/>
        <v>0.96546507180405772</v>
      </c>
      <c r="AK317" s="1">
        <f t="shared" si="192"/>
        <v>0.98845929862488169</v>
      </c>
      <c r="AL317" s="1">
        <f t="shared" si="192"/>
        <v>0.93504908850547486</v>
      </c>
      <c r="AM317" s="1">
        <f t="shared" si="192"/>
        <v>0.98700599191140448</v>
      </c>
      <c r="AN317" s="1">
        <f t="shared" si="192"/>
        <v>1.0090121493567707</v>
      </c>
      <c r="AO317" s="1">
        <f t="shared" si="192"/>
        <v>0.9963357949192968</v>
      </c>
      <c r="AP317" s="1">
        <f t="shared" si="192"/>
        <v>0.97096673968914482</v>
      </c>
    </row>
    <row r="318" spans="3:42" x14ac:dyDescent="0.2">
      <c r="C318" s="1" t="s">
        <v>93</v>
      </c>
      <c r="E318" s="1">
        <f t="shared" si="177"/>
        <v>0.98852445923502097</v>
      </c>
      <c r="F318" s="1">
        <f t="shared" si="178"/>
        <v>0.99493060489595153</v>
      </c>
      <c r="G318" s="1">
        <f t="shared" si="179"/>
        <v>1.0039037473678507</v>
      </c>
      <c r="H318" s="1">
        <f t="shared" si="179"/>
        <v>1.0003785191605881</v>
      </c>
      <c r="I318" s="1">
        <f t="shared" si="179"/>
        <v>0.99160170940832182</v>
      </c>
      <c r="J318" s="1">
        <f t="shared" si="180"/>
        <v>0.98334990739666717</v>
      </c>
      <c r="K318" s="1">
        <f t="shared" si="181"/>
        <v>1.0019794950604137</v>
      </c>
      <c r="L318" s="1">
        <f t="shared" si="181"/>
        <v>0.99111963297859951</v>
      </c>
      <c r="M318" s="1">
        <f t="shared" si="181"/>
        <v>1.0016818568196177</v>
      </c>
      <c r="N318" s="1">
        <f t="shared" si="182"/>
        <v>0.98183115660141906</v>
      </c>
      <c r="O318" s="1">
        <f t="shared" ref="O318:AP318" si="193">O98/((O134/O$11/O$10)+(O165*O$10*IF(PanicDF_Switch,O$273,1))/O$11/2/O$10+1)</f>
        <v>0.98572393549286663</v>
      </c>
      <c r="P318" s="1">
        <f t="shared" si="193"/>
        <v>0.99547319333036</v>
      </c>
      <c r="Q318" s="1">
        <f t="shared" si="193"/>
        <v>0.94454571478289062</v>
      </c>
      <c r="R318" s="1">
        <f t="shared" si="193"/>
        <v>1.0131483738078002</v>
      </c>
      <c r="S318" s="1">
        <f t="shared" si="193"/>
        <v>0.92620805956713859</v>
      </c>
      <c r="T318" s="1">
        <f t="shared" si="193"/>
        <v>0.98958370040077648</v>
      </c>
      <c r="U318" s="1">
        <f t="shared" si="193"/>
        <v>0.96092820560771108</v>
      </c>
      <c r="V318" s="1">
        <f t="shared" si="193"/>
        <v>0.93201087120513648</v>
      </c>
      <c r="W318" s="1">
        <f t="shared" si="193"/>
        <v>0.94185470001089422</v>
      </c>
      <c r="X318" s="1">
        <f t="shared" si="193"/>
        <v>0.95917906287960109</v>
      </c>
      <c r="Y318" s="1">
        <f t="shared" si="193"/>
        <v>0.95198751265201043</v>
      </c>
      <c r="Z318" s="1">
        <f t="shared" si="193"/>
        <v>0.98890700653438557</v>
      </c>
      <c r="AA318" s="1">
        <f t="shared" si="193"/>
        <v>0.9909635041240239</v>
      </c>
      <c r="AB318" s="1">
        <f t="shared" si="193"/>
        <v>0.98534529051256092</v>
      </c>
      <c r="AC318" s="1">
        <f t="shared" si="193"/>
        <v>0.97315540824694391</v>
      </c>
      <c r="AD318" s="1">
        <f t="shared" si="193"/>
        <v>0.9510606012971089</v>
      </c>
      <c r="AE318" s="1">
        <f t="shared" si="193"/>
        <v>0.95189129087189484</v>
      </c>
      <c r="AF318" s="1">
        <f t="shared" si="193"/>
        <v>0.96035655727186198</v>
      </c>
      <c r="AG318" s="1">
        <f t="shared" si="193"/>
        <v>0.99292216496069508</v>
      </c>
      <c r="AH318" s="1">
        <f t="shared" si="193"/>
        <v>0.99686532209718937</v>
      </c>
      <c r="AI318" s="1">
        <f t="shared" si="193"/>
        <v>0.97296631487778151</v>
      </c>
      <c r="AJ318" s="1">
        <f t="shared" si="193"/>
        <v>0.96111119198694273</v>
      </c>
      <c r="AK318" s="1">
        <f t="shared" si="193"/>
        <v>0.98644320044263645</v>
      </c>
      <c r="AL318" s="1">
        <f t="shared" si="193"/>
        <v>0.9265952307314026</v>
      </c>
      <c r="AM318" s="1">
        <f t="shared" si="193"/>
        <v>0.98440491211955516</v>
      </c>
      <c r="AN318" s="1">
        <f t="shared" si="193"/>
        <v>1.0005310847508571</v>
      </c>
      <c r="AO318" s="1">
        <f t="shared" si="193"/>
        <v>0.99496845776474552</v>
      </c>
      <c r="AP318" s="1">
        <f t="shared" si="193"/>
        <v>0.96752528349615041</v>
      </c>
    </row>
    <row r="319" spans="3:42" x14ac:dyDescent="0.2">
      <c r="C319" s="1" t="s">
        <v>96</v>
      </c>
      <c r="E319" s="1">
        <f t="shared" si="177"/>
        <v>0.98670554842868907</v>
      </c>
      <c r="F319" s="1">
        <f t="shared" si="178"/>
        <v>0.99426669136160462</v>
      </c>
      <c r="G319" s="1">
        <f t="shared" si="179"/>
        <v>1.0044260040158113</v>
      </c>
      <c r="H319" s="1">
        <f t="shared" si="179"/>
        <v>1.000690393624484</v>
      </c>
      <c r="I319" s="1">
        <f t="shared" si="179"/>
        <v>0.99027209089622714</v>
      </c>
      <c r="J319" s="1">
        <f t="shared" si="180"/>
        <v>0.98105219653925158</v>
      </c>
      <c r="K319" s="1">
        <f t="shared" si="181"/>
        <v>1.002315409983084</v>
      </c>
      <c r="L319" s="1">
        <f t="shared" si="181"/>
        <v>0.98970644423109722</v>
      </c>
      <c r="M319" s="1">
        <f t="shared" si="181"/>
        <v>1.0016599666439536</v>
      </c>
      <c r="N319" s="1">
        <f t="shared" si="182"/>
        <v>0.97914795637049235</v>
      </c>
      <c r="O319" s="1">
        <f t="shared" ref="O319:AP319" si="194">O99/((O135/O$11/O$10)+(O166*O$10*IF(PanicDF_Switch,O$273,1))/O$11/2/O$10+1)</f>
        <v>0.98377996564226688</v>
      </c>
      <c r="P319" s="1">
        <f t="shared" si="194"/>
        <v>0.99446899903140507</v>
      </c>
      <c r="Q319" s="1">
        <f t="shared" si="194"/>
        <v>0.93834551238740604</v>
      </c>
      <c r="R319" s="1">
        <f t="shared" si="194"/>
        <v>1.0142202223953845</v>
      </c>
      <c r="S319" s="1">
        <f t="shared" si="194"/>
        <v>0.91710982318403433</v>
      </c>
      <c r="T319" s="1">
        <f t="shared" si="194"/>
        <v>0.98762614433091334</v>
      </c>
      <c r="U319" s="1">
        <f t="shared" si="194"/>
        <v>0.95726460300545479</v>
      </c>
      <c r="V319" s="1">
        <f t="shared" si="194"/>
        <v>0.92483303704381259</v>
      </c>
      <c r="W319" s="1">
        <f t="shared" si="194"/>
        <v>0.93524690847639003</v>
      </c>
      <c r="X319" s="1">
        <f t="shared" si="194"/>
        <v>0.95429623446952117</v>
      </c>
      <c r="Y319" s="1">
        <f t="shared" si="194"/>
        <v>0.9459330399667113</v>
      </c>
      <c r="Z319" s="1">
        <f t="shared" si="194"/>
        <v>0.98710680696331465</v>
      </c>
      <c r="AA319" s="1">
        <f t="shared" si="194"/>
        <v>0.98972050194187022</v>
      </c>
      <c r="AB319" s="1">
        <f t="shared" si="194"/>
        <v>0.98314917708789173</v>
      </c>
      <c r="AC319" s="1">
        <f t="shared" si="194"/>
        <v>0.96984904209382716</v>
      </c>
      <c r="AD319" s="1">
        <f t="shared" si="194"/>
        <v>0.94600434439083614</v>
      </c>
      <c r="AE319" s="1">
        <f t="shared" si="194"/>
        <v>0.9455701199235933</v>
      </c>
      <c r="AF319" s="1">
        <f t="shared" si="194"/>
        <v>0.95535654913659362</v>
      </c>
      <c r="AG319" s="1">
        <f t="shared" si="194"/>
        <v>0.99134474363950142</v>
      </c>
      <c r="AH319" s="1">
        <f t="shared" si="194"/>
        <v>0.99619468006713652</v>
      </c>
      <c r="AI319" s="1">
        <f t="shared" si="194"/>
        <v>0.96966967936631243</v>
      </c>
      <c r="AJ319" s="1">
        <f t="shared" si="194"/>
        <v>0.95802455646896423</v>
      </c>
      <c r="AK319" s="1">
        <f t="shared" si="194"/>
        <v>0.98435775142833015</v>
      </c>
      <c r="AL319" s="1">
        <f t="shared" si="194"/>
        <v>0.91916820291577594</v>
      </c>
      <c r="AM319" s="1">
        <f t="shared" si="194"/>
        <v>0.98168132208054881</v>
      </c>
      <c r="AN319" s="1">
        <f t="shared" si="194"/>
        <v>0.99304470119584587</v>
      </c>
      <c r="AO319" s="1">
        <f t="shared" si="194"/>
        <v>0.99342822458013913</v>
      </c>
      <c r="AP319" s="1">
        <f t="shared" si="194"/>
        <v>0.96391546820937402</v>
      </c>
    </row>
    <row r="320" spans="3:42" x14ac:dyDescent="0.2">
      <c r="C320" s="1" t="s">
        <v>99</v>
      </c>
      <c r="E320" s="1">
        <f t="shared" si="177"/>
        <v>0.98520698678057061</v>
      </c>
      <c r="F320" s="1">
        <f t="shared" si="178"/>
        <v>0.99364844560600052</v>
      </c>
      <c r="G320" s="1">
        <f t="shared" si="179"/>
        <v>1.0049905506021595</v>
      </c>
      <c r="H320" s="1">
        <f t="shared" si="179"/>
        <v>1.0008039694263884</v>
      </c>
      <c r="I320" s="1">
        <f t="shared" si="179"/>
        <v>0.98923753080929322</v>
      </c>
      <c r="J320" s="1">
        <f t="shared" si="180"/>
        <v>0.97907095553672396</v>
      </c>
      <c r="K320" s="1">
        <f t="shared" si="181"/>
        <v>1.0027110214619526</v>
      </c>
      <c r="L320" s="1">
        <f t="shared" si="181"/>
        <v>0.98897290402919991</v>
      </c>
      <c r="M320" s="1">
        <f t="shared" si="181"/>
        <v>1.0020415066448136</v>
      </c>
      <c r="N320" s="1">
        <f t="shared" si="182"/>
        <v>0.97694600695737721</v>
      </c>
      <c r="O320" s="1">
        <f t="shared" ref="O320:AP320" si="195">O100/((O136/O$11/O$10)+(O167*O$10*IF(PanicDF_Switch,O$273,1))/O$11/2/O$10+1)</f>
        <v>0.98226381097179605</v>
      </c>
      <c r="P320" s="1">
        <f t="shared" si="195"/>
        <v>0.99386083419192472</v>
      </c>
      <c r="Q320" s="1">
        <f t="shared" si="195"/>
        <v>0.93166705597726196</v>
      </c>
      <c r="R320" s="1">
        <f t="shared" si="195"/>
        <v>1.0144440761909237</v>
      </c>
      <c r="S320" s="1">
        <f t="shared" si="195"/>
        <v>0.90807363067064617</v>
      </c>
      <c r="T320" s="1">
        <f t="shared" si="195"/>
        <v>0.98604729000154823</v>
      </c>
      <c r="U320" s="1">
        <f t="shared" si="195"/>
        <v>0.95356394022521107</v>
      </c>
      <c r="V320" s="1">
        <f t="shared" si="195"/>
        <v>0.91806673319478582</v>
      </c>
      <c r="W320" s="1">
        <f t="shared" si="195"/>
        <v>0.92912918148040846</v>
      </c>
      <c r="X320" s="1">
        <f t="shared" si="195"/>
        <v>0.94919491688242064</v>
      </c>
      <c r="Y320" s="1">
        <f t="shared" si="195"/>
        <v>0.93918243503643806</v>
      </c>
      <c r="Z320" s="1">
        <f t="shared" si="195"/>
        <v>0.9855242495707619</v>
      </c>
      <c r="AA320" s="1">
        <f t="shared" si="195"/>
        <v>0.98896094002936585</v>
      </c>
      <c r="AB320" s="1">
        <f t="shared" si="195"/>
        <v>0.98108599582254241</v>
      </c>
      <c r="AC320" s="1">
        <f t="shared" si="195"/>
        <v>0.96623828840384485</v>
      </c>
      <c r="AD320" s="1">
        <f t="shared" si="195"/>
        <v>0.94007575057792947</v>
      </c>
      <c r="AE320" s="1">
        <f t="shared" si="195"/>
        <v>0.93896540339502987</v>
      </c>
      <c r="AF320" s="1">
        <f t="shared" si="195"/>
        <v>0.9504718854271661</v>
      </c>
      <c r="AG320" s="1">
        <f t="shared" si="195"/>
        <v>0.99006178768155217</v>
      </c>
      <c r="AH320" s="1">
        <f t="shared" si="195"/>
        <v>0.99599069490590253</v>
      </c>
      <c r="AI320" s="1">
        <f t="shared" si="195"/>
        <v>0.9666701624178704</v>
      </c>
      <c r="AJ320" s="1">
        <f t="shared" si="195"/>
        <v>0.95332776470099356</v>
      </c>
      <c r="AK320" s="1">
        <f t="shared" si="195"/>
        <v>0.98230661114726314</v>
      </c>
      <c r="AL320" s="1">
        <f t="shared" si="195"/>
        <v>0.9113536961789237</v>
      </c>
      <c r="AM320" s="1">
        <f t="shared" si="195"/>
        <v>0.9788263836266099</v>
      </c>
      <c r="AN320" s="1">
        <f t="shared" si="195"/>
        <v>0.97959405495759899</v>
      </c>
      <c r="AO320" s="1">
        <f t="shared" si="195"/>
        <v>0.99304454894893812</v>
      </c>
      <c r="AP320" s="1">
        <f t="shared" si="195"/>
        <v>0.96071942957205048</v>
      </c>
    </row>
    <row r="321" spans="3:42" x14ac:dyDescent="0.2">
      <c r="C321" s="1" t="s">
        <v>101</v>
      </c>
      <c r="E321" s="1">
        <f t="shared" si="177"/>
        <v>0.98365625226243791</v>
      </c>
      <c r="F321" s="1">
        <f t="shared" si="178"/>
        <v>0.99299464180471009</v>
      </c>
      <c r="G321" s="1">
        <f t="shared" si="179"/>
        <v>1.0057458734263867</v>
      </c>
      <c r="H321" s="1">
        <f t="shared" si="179"/>
        <v>1.0010053557106966</v>
      </c>
      <c r="I321" s="1">
        <f t="shared" si="179"/>
        <v>0.98836416168104191</v>
      </c>
      <c r="J321" s="1">
        <f t="shared" si="180"/>
        <v>0.97697949525316019</v>
      </c>
      <c r="K321" s="1">
        <f t="shared" si="181"/>
        <v>1.0030595436028946</v>
      </c>
      <c r="L321" s="1">
        <f t="shared" si="181"/>
        <v>0.98805570446170943</v>
      </c>
      <c r="M321" s="1">
        <f t="shared" si="181"/>
        <v>1.0022664740786484</v>
      </c>
      <c r="N321" s="1">
        <f t="shared" si="182"/>
        <v>0.97451413538513709</v>
      </c>
      <c r="O321" s="1">
        <f t="shared" ref="O321:AP321" si="196">O101/((O137/O$11/O$10)+(O168*O$10*IF(PanicDF_Switch,O$273,1))/O$11/2/O$10+1)</f>
        <v>0.98068454964939011</v>
      </c>
      <c r="P321" s="1">
        <f t="shared" si="196"/>
        <v>0.99319627712611813</v>
      </c>
      <c r="Q321" s="1">
        <f t="shared" si="196"/>
        <v>0.92484301177711326</v>
      </c>
      <c r="R321" s="1">
        <f t="shared" si="196"/>
        <v>1.0146593901567473</v>
      </c>
      <c r="S321" s="1">
        <f t="shared" si="196"/>
        <v>0.89941325047670706</v>
      </c>
      <c r="T321" s="1">
        <f t="shared" si="196"/>
        <v>0.98464224825347202</v>
      </c>
      <c r="U321" s="1">
        <f t="shared" si="196"/>
        <v>0.94947743264214313</v>
      </c>
      <c r="V321" s="1">
        <f t="shared" si="196"/>
        <v>0.9113643374010858</v>
      </c>
      <c r="W321" s="1">
        <f t="shared" si="196"/>
        <v>0.92320741268115813</v>
      </c>
      <c r="X321" s="1">
        <f t="shared" si="196"/>
        <v>0.94411782188482229</v>
      </c>
      <c r="Y321" s="1">
        <f t="shared" si="196"/>
        <v>0.9324928231253975</v>
      </c>
      <c r="Z321" s="1">
        <f t="shared" si="196"/>
        <v>0.98387933707462016</v>
      </c>
      <c r="AA321" s="1">
        <f t="shared" si="196"/>
        <v>0.98818479497091716</v>
      </c>
      <c r="AB321" s="1">
        <f t="shared" si="196"/>
        <v>0.97899152258625788</v>
      </c>
      <c r="AC321" s="1">
        <f t="shared" si="196"/>
        <v>0.96262841440676761</v>
      </c>
      <c r="AD321" s="1">
        <f t="shared" si="196"/>
        <v>0.93418870311866298</v>
      </c>
      <c r="AE321" s="1">
        <f t="shared" si="196"/>
        <v>0.93225938237398331</v>
      </c>
      <c r="AF321" s="1">
        <f t="shared" si="196"/>
        <v>0.94560750564380835</v>
      </c>
      <c r="AG321" s="1">
        <f t="shared" si="196"/>
        <v>0.98872220603331429</v>
      </c>
      <c r="AH321" s="1">
        <f t="shared" si="196"/>
        <v>0.99577061193354222</v>
      </c>
      <c r="AI321" s="1">
        <f t="shared" si="196"/>
        <v>0.96366504466084879</v>
      </c>
      <c r="AJ321" s="1">
        <f t="shared" si="196"/>
        <v>0.94906157185871565</v>
      </c>
      <c r="AK321" s="1">
        <f t="shared" si="196"/>
        <v>0.98033789039187491</v>
      </c>
      <c r="AL321" s="1">
        <f t="shared" si="196"/>
        <v>0.90343751019104823</v>
      </c>
      <c r="AM321" s="1">
        <f t="shared" si="196"/>
        <v>0.97638452906486228</v>
      </c>
      <c r="AN321" s="1">
        <f t="shared" si="196"/>
        <v>0.96842462966202847</v>
      </c>
      <c r="AO321" s="1">
        <f t="shared" si="196"/>
        <v>0.99264449137687105</v>
      </c>
      <c r="AP321" s="1">
        <f t="shared" si="196"/>
        <v>0.95757548290391403</v>
      </c>
    </row>
    <row r="322" spans="3:42" x14ac:dyDescent="0.2">
      <c r="C322" s="1" t="s">
        <v>138</v>
      </c>
      <c r="E322" s="1">
        <f t="shared" si="177"/>
        <v>0.98161793398795416</v>
      </c>
      <c r="F322" s="1">
        <f t="shared" si="178"/>
        <v>0.99236345809357152</v>
      </c>
      <c r="G322" s="1">
        <f t="shared" si="179"/>
        <v>1.0062467351311948</v>
      </c>
      <c r="H322" s="1">
        <f t="shared" si="179"/>
        <v>1.0014163934836717</v>
      </c>
      <c r="I322" s="1">
        <f t="shared" si="179"/>
        <v>0.98667627235419286</v>
      </c>
      <c r="J322" s="1">
        <f t="shared" si="180"/>
        <v>0.97452741818579858</v>
      </c>
      <c r="K322" s="1">
        <f t="shared" si="181"/>
        <v>1.0033457585984507</v>
      </c>
      <c r="L322" s="1">
        <f t="shared" si="181"/>
        <v>0.98643735291967782</v>
      </c>
      <c r="M322" s="1">
        <f t="shared" si="181"/>
        <v>1.002240803545779</v>
      </c>
      <c r="N322" s="1">
        <f t="shared" si="182"/>
        <v>0.97167384164587778</v>
      </c>
      <c r="O322" s="1">
        <f t="shared" ref="O322:AP322" si="197">O102/((O138/O$11/O$10)+(O169*O$10*IF(PanicDF_Switch,O$273,1))/O$11/2/O$10+1)</f>
        <v>0.97865846841454285</v>
      </c>
      <c r="P322" s="1">
        <f t="shared" si="197"/>
        <v>0.99190768792378259</v>
      </c>
      <c r="Q322" s="1">
        <f t="shared" si="197"/>
        <v>0.91862881866508517</v>
      </c>
      <c r="R322" s="1">
        <f t="shared" si="197"/>
        <v>1.0140755510291275</v>
      </c>
      <c r="S322" s="1">
        <f t="shared" si="197"/>
        <v>0.88968677213714831</v>
      </c>
      <c r="T322" s="1">
        <f t="shared" si="197"/>
        <v>0.98244165002033534</v>
      </c>
      <c r="U322" s="1">
        <f t="shared" si="197"/>
        <v>0.94560638235603045</v>
      </c>
      <c r="V322" s="1">
        <f t="shared" si="197"/>
        <v>0.90488423833893317</v>
      </c>
      <c r="W322" s="1">
        <f t="shared" si="197"/>
        <v>0.9163896349845807</v>
      </c>
      <c r="X322" s="1">
        <f t="shared" si="197"/>
        <v>0.93900280357787713</v>
      </c>
      <c r="Y322" s="1">
        <f t="shared" si="197"/>
        <v>0.92600601305699615</v>
      </c>
      <c r="Z322" s="1">
        <f t="shared" si="197"/>
        <v>0.98179249836478844</v>
      </c>
      <c r="AA322" s="1">
        <f t="shared" si="197"/>
        <v>0.98676461354871647</v>
      </c>
      <c r="AB322" s="1">
        <f t="shared" si="197"/>
        <v>0.9764285781308919</v>
      </c>
      <c r="AC322" s="1">
        <f t="shared" si="197"/>
        <v>0.9587637116312735</v>
      </c>
      <c r="AD322" s="1">
        <f t="shared" si="197"/>
        <v>0.92838676868616343</v>
      </c>
      <c r="AE322" s="1">
        <f t="shared" si="197"/>
        <v>0.92605281252948024</v>
      </c>
      <c r="AF322" s="1">
        <f t="shared" si="197"/>
        <v>0.94067419646255612</v>
      </c>
      <c r="AG322" s="1">
        <f t="shared" si="197"/>
        <v>0.98688553824388336</v>
      </c>
      <c r="AH322" s="1">
        <f t="shared" si="197"/>
        <v>0.99483141567106737</v>
      </c>
      <c r="AI322" s="1">
        <f t="shared" si="197"/>
        <v>0.960323063401613</v>
      </c>
      <c r="AJ322" s="1">
        <f t="shared" si="197"/>
        <v>0.9461929593523426</v>
      </c>
      <c r="AK322" s="1">
        <f t="shared" si="197"/>
        <v>0.97784171984894119</v>
      </c>
      <c r="AL322" s="1">
        <f t="shared" si="197"/>
        <v>0.89629381784220652</v>
      </c>
      <c r="AM322" s="1">
        <f t="shared" si="197"/>
        <v>0.97320941064801714</v>
      </c>
      <c r="AN322" s="1">
        <f t="shared" si="197"/>
        <v>0.9572633314995489</v>
      </c>
      <c r="AO322" s="1">
        <f t="shared" si="197"/>
        <v>0.99155000941767546</v>
      </c>
      <c r="AP322" s="1">
        <f t="shared" si="197"/>
        <v>0.95374490966943881</v>
      </c>
    </row>
    <row r="323" spans="3:42" x14ac:dyDescent="0.2">
      <c r="C323" s="1" t="s">
        <v>122</v>
      </c>
      <c r="E323" s="1">
        <f t="shared" si="177"/>
        <v>0.97653244294863595</v>
      </c>
      <c r="F323" s="1">
        <f t="shared" si="178"/>
        <v>0.99051413474100802</v>
      </c>
      <c r="G323" s="1">
        <f t="shared" si="179"/>
        <v>1.0079018054950564</v>
      </c>
      <c r="H323" s="1">
        <f t="shared" si="179"/>
        <v>1.0020334850413843</v>
      </c>
      <c r="I323" s="1">
        <f t="shared" si="179"/>
        <v>0.98332280947410089</v>
      </c>
      <c r="J323" s="1">
        <f t="shared" si="180"/>
        <v>0.96848738838435222</v>
      </c>
      <c r="K323" s="1">
        <f t="shared" si="181"/>
        <v>1.0042879243353207</v>
      </c>
      <c r="L323" s="1">
        <f t="shared" si="181"/>
        <v>0.98280171272103001</v>
      </c>
      <c r="M323" s="1">
        <f t="shared" si="181"/>
        <v>1.0024050228024788</v>
      </c>
      <c r="N323" s="1">
        <f t="shared" si="182"/>
        <v>0.96383918749530328</v>
      </c>
      <c r="O323" s="1">
        <f t="shared" ref="O323:AP323" si="198">O103/((O139/O$11/O$10)+(O170*O$10*IF(PanicDF_Switch,O$273,1))/O$11/2/O$10+1)</f>
        <v>0.97356622510277391</v>
      </c>
      <c r="P323" s="1">
        <f t="shared" si="198"/>
        <v>0.98928597589140066</v>
      </c>
      <c r="Q323" s="1">
        <f t="shared" si="198"/>
        <v>0.89989677409508939</v>
      </c>
      <c r="R323" s="1">
        <f t="shared" si="198"/>
        <v>1.0148539394124449</v>
      </c>
      <c r="S323" s="1">
        <f t="shared" si="198"/>
        <v>0.86446463518629768</v>
      </c>
      <c r="T323" s="1">
        <f t="shared" si="198"/>
        <v>0.97710273619601207</v>
      </c>
      <c r="U323" s="1">
        <f t="shared" si="198"/>
        <v>0.93433451338244811</v>
      </c>
      <c r="V323" s="1">
        <f t="shared" si="198"/>
        <v>0.88627522479501342</v>
      </c>
      <c r="W323" s="1">
        <f t="shared" si="198"/>
        <v>0.89928794900055209</v>
      </c>
      <c r="X323" s="1">
        <f t="shared" si="198"/>
        <v>0.9249316080220672</v>
      </c>
      <c r="Y323" s="1">
        <f t="shared" si="198"/>
        <v>0.90753745485228632</v>
      </c>
      <c r="Z323" s="1">
        <f t="shared" si="198"/>
        <v>0.97475017472928538</v>
      </c>
      <c r="AA323" s="1">
        <f t="shared" si="198"/>
        <v>0.98225856374698339</v>
      </c>
      <c r="AB323" s="1">
        <f t="shared" si="198"/>
        <v>0.9697760186846156</v>
      </c>
      <c r="AC323" s="1">
        <f t="shared" si="198"/>
        <v>0.9500681639306835</v>
      </c>
      <c r="AD323" s="1">
        <f t="shared" si="198"/>
        <v>0.91596376600701535</v>
      </c>
      <c r="AE323" s="1">
        <f t="shared" si="198"/>
        <v>0.9074624632848316</v>
      </c>
      <c r="AF323" s="1">
        <f t="shared" si="198"/>
        <v>0.92869026460917981</v>
      </c>
      <c r="AG323" s="1">
        <f t="shared" si="198"/>
        <v>0.98233521152713399</v>
      </c>
      <c r="AH323" s="1">
        <f t="shared" si="198"/>
        <v>0.99394424355510569</v>
      </c>
      <c r="AI323" s="1">
        <f t="shared" si="198"/>
        <v>0.95118027232767632</v>
      </c>
      <c r="AJ323" s="1">
        <f t="shared" si="198"/>
        <v>0.93386110347879314</v>
      </c>
      <c r="AK323" s="1">
        <f t="shared" si="198"/>
        <v>0.97230090804044167</v>
      </c>
      <c r="AL323" s="1">
        <f t="shared" si="198"/>
        <v>0.87470440398184113</v>
      </c>
      <c r="AM323" s="1">
        <f t="shared" si="198"/>
        <v>0.96429444987383506</v>
      </c>
      <c r="AN323" s="1">
        <f t="shared" si="198"/>
        <v>0.92426832202282261</v>
      </c>
      <c r="AO323" s="1">
        <f t="shared" si="198"/>
        <v>0.98679357800077905</v>
      </c>
      <c r="AP323" s="1">
        <f t="shared" si="198"/>
        <v>0.94380468561052844</v>
      </c>
    </row>
    <row r="324" spans="3:42" x14ac:dyDescent="0.2">
      <c r="C324" s="1" t="s">
        <v>133</v>
      </c>
      <c r="E324" s="1">
        <f t="shared" si="177"/>
        <v>0.97114070226502136</v>
      </c>
      <c r="F324" s="1">
        <f t="shared" si="178"/>
        <v>0.98826430934176479</v>
      </c>
      <c r="G324" s="1">
        <f t="shared" si="179"/>
        <v>1.0094751818390675</v>
      </c>
      <c r="H324" s="1">
        <f t="shared" si="179"/>
        <v>1.0027221842122527</v>
      </c>
      <c r="I324" s="1">
        <f t="shared" si="179"/>
        <v>0.97948243088503717</v>
      </c>
      <c r="J324" s="1">
        <f t="shared" si="180"/>
        <v>0.96174211734017756</v>
      </c>
      <c r="K324" s="1">
        <f t="shared" si="181"/>
        <v>1.0045366686830521</v>
      </c>
      <c r="L324" s="1">
        <f t="shared" si="181"/>
        <v>0.97973600473850586</v>
      </c>
      <c r="M324" s="1">
        <f t="shared" si="181"/>
        <v>1.0026065912880817</v>
      </c>
      <c r="N324" s="1">
        <f t="shared" si="182"/>
        <v>0.95680194433003507</v>
      </c>
      <c r="O324" s="1">
        <f t="shared" ref="O324:AP324" si="199">O104/((O140/O$11/O$10)+(O171*O$10*IF(PanicDF_Switch,O$273,1))/O$11/2/O$10+1)</f>
        <v>0.96818473334989597</v>
      </c>
      <c r="P324" s="1">
        <f t="shared" si="199"/>
        <v>0.98638397778141063</v>
      </c>
      <c r="Q324" s="1">
        <f t="shared" si="199"/>
        <v>0.88131937830372142</v>
      </c>
      <c r="R324" s="1">
        <f t="shared" si="199"/>
        <v>1.0154056551935104</v>
      </c>
      <c r="S324" s="1">
        <f t="shared" si="199"/>
        <v>0.83948921593367065</v>
      </c>
      <c r="T324" s="1">
        <f t="shared" si="199"/>
        <v>0.97147257079652283</v>
      </c>
      <c r="U324" s="1">
        <f t="shared" si="199"/>
        <v>0.92286550720006788</v>
      </c>
      <c r="V324" s="1">
        <f t="shared" si="199"/>
        <v>0.86782810907175478</v>
      </c>
      <c r="W324" s="1">
        <f t="shared" si="199"/>
        <v>0.88197816872398704</v>
      </c>
      <c r="X324" s="1">
        <f t="shared" si="199"/>
        <v>0.91076503300630618</v>
      </c>
      <c r="Y324" s="1">
        <f t="shared" si="199"/>
        <v>0.88920011277739086</v>
      </c>
      <c r="Z324" s="1">
        <f t="shared" si="199"/>
        <v>0.96742568337731816</v>
      </c>
      <c r="AA324" s="1">
        <f t="shared" si="199"/>
        <v>0.97746159197592797</v>
      </c>
      <c r="AB324" s="1">
        <f t="shared" si="199"/>
        <v>0.96284023337043445</v>
      </c>
      <c r="AC324" s="1">
        <f t="shared" si="199"/>
        <v>0.94111880038123663</v>
      </c>
      <c r="AD324" s="1">
        <f t="shared" si="199"/>
        <v>0.90339262808642318</v>
      </c>
      <c r="AE324" s="1">
        <f t="shared" si="199"/>
        <v>0.88901046711213993</v>
      </c>
      <c r="AF324" s="1">
        <f t="shared" si="199"/>
        <v>0.91653710355397644</v>
      </c>
      <c r="AG324" s="1">
        <f t="shared" si="199"/>
        <v>0.97749382421178466</v>
      </c>
      <c r="AH324" s="1">
        <f t="shared" si="199"/>
        <v>0.99280016857650533</v>
      </c>
      <c r="AI324" s="1">
        <f t="shared" si="199"/>
        <v>0.94179047420297413</v>
      </c>
      <c r="AJ324" s="1">
        <f t="shared" si="199"/>
        <v>0.92094460413692114</v>
      </c>
      <c r="AK324" s="1">
        <f t="shared" si="199"/>
        <v>0.96647158107808129</v>
      </c>
      <c r="AL324" s="1">
        <f t="shared" si="199"/>
        <v>0.8534899191480303</v>
      </c>
      <c r="AM324" s="1">
        <f t="shared" si="199"/>
        <v>0.95512273418713489</v>
      </c>
      <c r="AN324" s="1">
        <f t="shared" si="199"/>
        <v>0.89261253211526403</v>
      </c>
      <c r="AO324" s="1">
        <f t="shared" si="199"/>
        <v>0.98174436215874716</v>
      </c>
      <c r="AP324" s="1">
        <f t="shared" si="199"/>
        <v>0.93352240652104868</v>
      </c>
    </row>
    <row r="325" spans="3:42" x14ac:dyDescent="0.2">
      <c r="C325" s="1" t="s">
        <v>148</v>
      </c>
      <c r="E325" s="1">
        <f t="shared" si="177"/>
        <v>0.95976729481332379</v>
      </c>
      <c r="F325" s="1">
        <f t="shared" si="178"/>
        <v>0.98394737688026646</v>
      </c>
      <c r="G325" s="1">
        <f t="shared" si="179"/>
        <v>1.0123795347986979</v>
      </c>
      <c r="H325" s="1">
        <f t="shared" si="179"/>
        <v>1.0051254176279045</v>
      </c>
      <c r="I325" s="1">
        <f t="shared" si="179"/>
        <v>0.9716026144818265</v>
      </c>
      <c r="J325" s="1">
        <f t="shared" si="180"/>
        <v>0.94801478358493396</v>
      </c>
      <c r="K325" s="1">
        <f t="shared" si="181"/>
        <v>1.005127724958043</v>
      </c>
      <c r="L325" s="1">
        <f t="shared" si="181"/>
        <v>0.97286661165520849</v>
      </c>
      <c r="M325" s="1">
        <f t="shared" si="181"/>
        <v>1.0011405362961734</v>
      </c>
      <c r="N325" s="1">
        <f t="shared" si="182"/>
        <v>0.94010157421412643</v>
      </c>
      <c r="O325" s="1">
        <f t="shared" ref="O325:AP325" si="200">O105/((O141/O$11/O$10)+(O172*O$10*IF(PanicDF_Switch,O$273,1))/O$11/2/O$10+1)</f>
        <v>0.95674331088612574</v>
      </c>
      <c r="P325" s="1">
        <f t="shared" si="200"/>
        <v>0.97989488008715142</v>
      </c>
      <c r="Q325" s="1">
        <f t="shared" si="200"/>
        <v>0.84494093433898687</v>
      </c>
      <c r="R325" s="1">
        <f t="shared" si="200"/>
        <v>1.0159445360200221</v>
      </c>
      <c r="S325" s="1">
        <f t="shared" si="200"/>
        <v>0.79172363144949953</v>
      </c>
      <c r="T325" s="1">
        <f t="shared" si="200"/>
        <v>0.95952462281942386</v>
      </c>
      <c r="U325" s="1">
        <f t="shared" si="200"/>
        <v>0.89957581949653043</v>
      </c>
      <c r="V325" s="1">
        <f t="shared" si="200"/>
        <v>0.83172722077824757</v>
      </c>
      <c r="W325" s="1">
        <f t="shared" si="200"/>
        <v>0.84900616457902944</v>
      </c>
      <c r="X325" s="1">
        <f t="shared" si="200"/>
        <v>0.8824429395272404</v>
      </c>
      <c r="Y325" s="1">
        <f t="shared" si="200"/>
        <v>0.85329442843199665</v>
      </c>
      <c r="Z325" s="1">
        <f t="shared" si="200"/>
        <v>0.95214810621176427</v>
      </c>
      <c r="AA325" s="1">
        <f t="shared" si="200"/>
        <v>0.96717667286882747</v>
      </c>
      <c r="AB325" s="1">
        <f t="shared" si="200"/>
        <v>0.94833064458999239</v>
      </c>
      <c r="AC325" s="1">
        <f t="shared" si="200"/>
        <v>0.92589604810078041</v>
      </c>
      <c r="AD325" s="1">
        <f t="shared" si="200"/>
        <v>0.87658893130113458</v>
      </c>
      <c r="AE325" s="1">
        <f t="shared" si="200"/>
        <v>0.85283646461387608</v>
      </c>
      <c r="AF325" s="1">
        <f t="shared" si="200"/>
        <v>0.89200017094246709</v>
      </c>
      <c r="AG325" s="1">
        <f t="shared" si="200"/>
        <v>0.96712031063529114</v>
      </c>
      <c r="AH325" s="1">
        <f t="shared" si="200"/>
        <v>0.98987438838793063</v>
      </c>
      <c r="AI325" s="1">
        <f t="shared" si="200"/>
        <v>0.92251453113342297</v>
      </c>
      <c r="AJ325" s="1">
        <f t="shared" si="200"/>
        <v>0.89714180839788082</v>
      </c>
      <c r="AK325" s="1">
        <f t="shared" si="200"/>
        <v>0.95414309898148963</v>
      </c>
      <c r="AL325" s="1">
        <f t="shared" si="200"/>
        <v>0.81247666136532282</v>
      </c>
      <c r="AM325" s="1">
        <f t="shared" si="200"/>
        <v>0.93624875519091799</v>
      </c>
      <c r="AN325" s="1">
        <f t="shared" si="200"/>
        <v>0.83340529542189401</v>
      </c>
      <c r="AO325" s="1">
        <f t="shared" si="200"/>
        <v>0.97095354658782185</v>
      </c>
      <c r="AP325" s="1">
        <f t="shared" si="200"/>
        <v>0.91242665646850452</v>
      </c>
    </row>
    <row r="326" spans="3:42" x14ac:dyDescent="0.2">
      <c r="C326" s="1" t="s">
        <v>150</v>
      </c>
      <c r="E326" s="1">
        <f t="shared" si="177"/>
        <v>0.93299445264085712</v>
      </c>
      <c r="F326" s="1">
        <f t="shared" si="178"/>
        <v>0.9705725630290376</v>
      </c>
      <c r="G326" s="1">
        <f t="shared" si="179"/>
        <v>1.0163801772803371</v>
      </c>
      <c r="H326" s="1">
        <f t="shared" si="179"/>
        <v>1.0073557895538923</v>
      </c>
      <c r="I326" s="1">
        <f t="shared" si="179"/>
        <v>0.950868312880641</v>
      </c>
      <c r="J326" s="1">
        <f t="shared" si="180"/>
        <v>0.91690815694948158</v>
      </c>
      <c r="K326" s="1">
        <f t="shared" si="181"/>
        <v>1.0027774073774705</v>
      </c>
      <c r="L326" s="1">
        <f t="shared" si="181"/>
        <v>0.95367886733670515</v>
      </c>
      <c r="M326" s="1">
        <f t="shared" si="181"/>
        <v>0.99282469949123942</v>
      </c>
      <c r="N326" s="1">
        <f t="shared" si="182"/>
        <v>0.90335690814375724</v>
      </c>
      <c r="O326" s="1">
        <f t="shared" ref="O326:AP326" si="201">O106/((O142/O$11/O$10)+(O173*O$10*IF(PanicDF_Switch,O$273,1))/O$11/2/O$10+1)</f>
        <v>0.92998876276437037</v>
      </c>
      <c r="P326" s="1">
        <f t="shared" si="201"/>
        <v>0.96261176318294306</v>
      </c>
      <c r="Q326" s="1">
        <f t="shared" si="201"/>
        <v>0.77511853476492121</v>
      </c>
      <c r="R326" s="1">
        <f t="shared" si="201"/>
        <v>1.0175402561287901</v>
      </c>
      <c r="S326" s="1">
        <f t="shared" si="201"/>
        <v>0.70480900818048109</v>
      </c>
      <c r="T326" s="1">
        <f t="shared" si="201"/>
        <v>0.93183078343367987</v>
      </c>
      <c r="U326" s="1">
        <f t="shared" si="201"/>
        <v>0.85151931804704462</v>
      </c>
      <c r="V326" s="1">
        <f t="shared" si="201"/>
        <v>0.76033184263882192</v>
      </c>
      <c r="W326" s="1">
        <f t="shared" si="201"/>
        <v>0.78870286403132395</v>
      </c>
      <c r="X326" s="1">
        <f t="shared" si="201"/>
        <v>0.82775268876263219</v>
      </c>
      <c r="Y326" s="1">
        <f t="shared" si="201"/>
        <v>0.78535853370901831</v>
      </c>
      <c r="Z326" s="1">
        <f t="shared" si="201"/>
        <v>0.91819914272227621</v>
      </c>
      <c r="AA326" s="1">
        <f t="shared" si="201"/>
        <v>0.95659427389555984</v>
      </c>
      <c r="AB326" s="1">
        <f t="shared" si="201"/>
        <v>0.91583487091479809</v>
      </c>
      <c r="AC326" s="1">
        <f t="shared" si="201"/>
        <v>0.88913281225351026</v>
      </c>
      <c r="AD326" s="1">
        <f t="shared" si="201"/>
        <v>0.82017235327157512</v>
      </c>
      <c r="AE326" s="1">
        <f t="shared" si="201"/>
        <v>0.78359007176422479</v>
      </c>
      <c r="AF326" s="1">
        <f t="shared" si="201"/>
        <v>0.83672308207130464</v>
      </c>
      <c r="AG326" s="1">
        <f t="shared" si="201"/>
        <v>0.93810929251475539</v>
      </c>
      <c r="AH326" s="1">
        <f t="shared" si="201"/>
        <v>0.97962986441236022</v>
      </c>
      <c r="AI326" s="1">
        <f t="shared" si="201"/>
        <v>0.88141863110186625</v>
      </c>
      <c r="AJ326" s="1">
        <f t="shared" si="201"/>
        <v>0.84812587514669446</v>
      </c>
      <c r="AK326" s="1">
        <f t="shared" si="201"/>
        <v>0.91950951032112649</v>
      </c>
      <c r="AL326" s="1">
        <f t="shared" si="201"/>
        <v>0.73622513090760366</v>
      </c>
      <c r="AM326" s="1">
        <f t="shared" si="201"/>
        <v>0.88991950464983816</v>
      </c>
      <c r="AN326" s="1">
        <f t="shared" si="201"/>
        <v>0.73022492294171204</v>
      </c>
      <c r="AO326" s="1">
        <f t="shared" si="201"/>
        <v>0.95269987141173862</v>
      </c>
      <c r="AP326" s="1">
        <f t="shared" si="201"/>
        <v>0.86838266208328563</v>
      </c>
    </row>
    <row r="327" spans="3:42" x14ac:dyDescent="0.2">
      <c r="C327" s="1" t="s">
        <v>153</v>
      </c>
      <c r="E327" s="1">
        <f t="shared" si="177"/>
        <v>0.90597392135948784</v>
      </c>
      <c r="F327" s="1">
        <f t="shared" si="178"/>
        <v>0.95580597599101702</v>
      </c>
      <c r="G327" s="1">
        <f t="shared" si="179"/>
        <v>1.0190642452285332</v>
      </c>
      <c r="H327" s="1">
        <f t="shared" si="179"/>
        <v>1.0088863644343189</v>
      </c>
      <c r="I327" s="1">
        <f t="shared" si="179"/>
        <v>0.92949628057125533</v>
      </c>
      <c r="J327" s="1">
        <f t="shared" si="180"/>
        <v>0.88424171714564093</v>
      </c>
      <c r="K327" s="1">
        <f t="shared" si="181"/>
        <v>0.99909385568348019</v>
      </c>
      <c r="L327" s="1">
        <f t="shared" si="181"/>
        <v>0.9325566162858907</v>
      </c>
      <c r="M327" s="1">
        <f t="shared" si="181"/>
        <v>0.97436358370280063</v>
      </c>
      <c r="N327" s="1">
        <f t="shared" si="182"/>
        <v>0.86624385077623811</v>
      </c>
      <c r="O327" s="1">
        <f t="shared" ref="O327:AP327" si="202">O107/((O143/O$11/O$10)+(O174*O$10*IF(PanicDF_Switch,O$273,1))/O$11/2/O$10+1)</f>
        <v>0.90284785912289611</v>
      </c>
      <c r="P327" s="1">
        <f t="shared" si="202"/>
        <v>0.94463088803072726</v>
      </c>
      <c r="Q327" s="1">
        <f t="shared" si="202"/>
        <v>0.7089543619909161</v>
      </c>
      <c r="R327" s="1">
        <f t="shared" si="202"/>
        <v>1.0190443283262154</v>
      </c>
      <c r="S327" s="1">
        <f t="shared" si="202"/>
        <v>0.62774425264564027</v>
      </c>
      <c r="T327" s="1">
        <f t="shared" si="202"/>
        <v>0.90422683519752389</v>
      </c>
      <c r="U327" s="1">
        <f t="shared" si="202"/>
        <v>0.80578552303492423</v>
      </c>
      <c r="V327" s="1">
        <f t="shared" si="202"/>
        <v>0.69623255489144942</v>
      </c>
      <c r="W327" s="1">
        <f t="shared" si="202"/>
        <v>0.7339732867326817</v>
      </c>
      <c r="X327" s="1">
        <f t="shared" si="202"/>
        <v>0.77468508350229426</v>
      </c>
      <c r="Y327" s="1">
        <f t="shared" si="202"/>
        <v>0.7226955706112711</v>
      </c>
      <c r="Z327" s="1">
        <f t="shared" si="202"/>
        <v>0.88435160694994464</v>
      </c>
      <c r="AA327" s="1">
        <f t="shared" si="202"/>
        <v>0.93965488494187344</v>
      </c>
      <c r="AB327" s="1">
        <f t="shared" si="202"/>
        <v>0.88333619082011416</v>
      </c>
      <c r="AC327" s="1">
        <f t="shared" si="202"/>
        <v>0.85110375653667592</v>
      </c>
      <c r="AD327" s="1">
        <f t="shared" si="202"/>
        <v>0.76728770630142662</v>
      </c>
      <c r="AE327" s="1">
        <f t="shared" si="202"/>
        <v>0.7209391257194766</v>
      </c>
      <c r="AF327" s="1">
        <f t="shared" si="202"/>
        <v>0.78464410614120061</v>
      </c>
      <c r="AG327" s="1">
        <f t="shared" si="202"/>
        <v>0.9032577966652503</v>
      </c>
      <c r="AH327" s="1">
        <f t="shared" si="202"/>
        <v>0.96872949213950132</v>
      </c>
      <c r="AI327" s="1">
        <f t="shared" si="202"/>
        <v>0.84123345306275199</v>
      </c>
      <c r="AJ327" s="1">
        <f t="shared" si="202"/>
        <v>0.80688576952125279</v>
      </c>
      <c r="AK327" s="1">
        <f t="shared" si="202"/>
        <v>0.8852099433341607</v>
      </c>
      <c r="AL327" s="1">
        <f t="shared" si="202"/>
        <v>0.66904300620380308</v>
      </c>
      <c r="AM327" s="1">
        <f t="shared" si="202"/>
        <v>0.84817818033766523</v>
      </c>
      <c r="AN327" s="1">
        <f t="shared" si="202"/>
        <v>0.64484641667937492</v>
      </c>
      <c r="AO327" s="1">
        <f t="shared" si="202"/>
        <v>0.92936229922941771</v>
      </c>
      <c r="AP327" s="1">
        <f t="shared" si="202"/>
        <v>0.82575227247572303</v>
      </c>
    </row>
    <row r="328" spans="3:42" x14ac:dyDescent="0.2">
      <c r="C328" s="1" t="s">
        <v>156</v>
      </c>
      <c r="E328" s="1">
        <f t="shared" si="177"/>
        <v>0.87855849421751397</v>
      </c>
      <c r="F328" s="1">
        <f t="shared" si="178"/>
        <v>0.9391426331080942</v>
      </c>
      <c r="G328" s="1">
        <f t="shared" si="179"/>
        <v>1.0202986303834412</v>
      </c>
      <c r="H328" s="1">
        <f t="shared" si="179"/>
        <v>1.0115293401594949</v>
      </c>
      <c r="I328" s="1">
        <f t="shared" si="179"/>
        <v>0.90455875824568643</v>
      </c>
      <c r="J328" s="1">
        <f t="shared" si="180"/>
        <v>0.85097427736670428</v>
      </c>
      <c r="K328" s="1">
        <f t="shared" si="181"/>
        <v>0.98904318332383268</v>
      </c>
      <c r="L328" s="1">
        <f t="shared" si="181"/>
        <v>0.91087971247642807</v>
      </c>
      <c r="M328" s="1">
        <f t="shared" si="181"/>
        <v>0.95503642847121162</v>
      </c>
      <c r="N328" s="1">
        <f t="shared" si="182"/>
        <v>0.82796105808055487</v>
      </c>
      <c r="O328" s="1">
        <f t="shared" ref="O328:AP328" si="203">O108/((O144/O$11/O$10)+(O175*O$10*IF(PanicDF_Switch,O$273,1))/O$11/2/O$10+1)</f>
        <v>0.87554330345043496</v>
      </c>
      <c r="P328" s="1">
        <f t="shared" si="203"/>
        <v>0.9259677895369699</v>
      </c>
      <c r="Q328" s="1">
        <f t="shared" si="203"/>
        <v>0.64805131208726963</v>
      </c>
      <c r="R328" s="1">
        <f t="shared" si="203"/>
        <v>1.0200756325880476</v>
      </c>
      <c r="S328" s="1">
        <f t="shared" si="203"/>
        <v>0.56027948192532773</v>
      </c>
      <c r="T328" s="1">
        <f t="shared" si="203"/>
        <v>0.87614261497325685</v>
      </c>
      <c r="U328" s="1">
        <f t="shared" si="203"/>
        <v>0.762095604667265</v>
      </c>
      <c r="V328" s="1">
        <f t="shared" si="203"/>
        <v>0.63882710403052534</v>
      </c>
      <c r="W328" s="1">
        <f t="shared" si="203"/>
        <v>0.68533459728777446</v>
      </c>
      <c r="X328" s="1">
        <f t="shared" si="203"/>
        <v>0.72545554289453307</v>
      </c>
      <c r="Y328" s="1">
        <f t="shared" si="203"/>
        <v>0.66082471811921684</v>
      </c>
      <c r="Z328" s="1">
        <f t="shared" si="203"/>
        <v>0.85095257742195585</v>
      </c>
      <c r="AA328" s="1">
        <f t="shared" si="203"/>
        <v>0.92443451578233338</v>
      </c>
      <c r="AB328" s="1">
        <f t="shared" si="203"/>
        <v>0.85116029748597355</v>
      </c>
      <c r="AC328" s="1">
        <f t="shared" si="203"/>
        <v>0.81318808976548651</v>
      </c>
      <c r="AD328" s="1">
        <f t="shared" si="203"/>
        <v>0.71826730855448839</v>
      </c>
      <c r="AE328" s="1">
        <f t="shared" si="203"/>
        <v>0.66476859506511454</v>
      </c>
      <c r="AF328" s="1">
        <f t="shared" si="203"/>
        <v>0.7361344823005822</v>
      </c>
      <c r="AG328" s="1">
        <f t="shared" si="203"/>
        <v>0.86881867661044698</v>
      </c>
      <c r="AH328" s="1">
        <f t="shared" si="203"/>
        <v>0.95702977176037651</v>
      </c>
      <c r="AI328" s="1">
        <f t="shared" si="203"/>
        <v>0.80238643073550386</v>
      </c>
      <c r="AJ328" s="1">
        <f t="shared" si="203"/>
        <v>0.76615490631618743</v>
      </c>
      <c r="AK328" s="1">
        <f t="shared" si="203"/>
        <v>0.84852510474172693</v>
      </c>
      <c r="AL328" s="1">
        <f t="shared" si="203"/>
        <v>0.61024011516882748</v>
      </c>
      <c r="AM328" s="1">
        <f t="shared" si="203"/>
        <v>0.80282459579389565</v>
      </c>
      <c r="AN328" s="1">
        <f t="shared" si="203"/>
        <v>0.57405733806844872</v>
      </c>
      <c r="AO328" s="1">
        <f t="shared" si="203"/>
        <v>0.90285628086275571</v>
      </c>
      <c r="AP328" s="1">
        <f t="shared" si="203"/>
        <v>0.78469495146347257</v>
      </c>
    </row>
    <row r="329" spans="3:42" x14ac:dyDescent="0.2">
      <c r="C329" s="1" t="s">
        <v>157</v>
      </c>
      <c r="E329" s="1">
        <f t="shared" si="177"/>
        <v>0.85136339214661161</v>
      </c>
      <c r="F329" s="1">
        <f t="shared" si="178"/>
        <v>0.92027593844951028</v>
      </c>
      <c r="G329" s="1">
        <f t="shared" si="179"/>
        <v>1.0188462136497591</v>
      </c>
      <c r="H329" s="1">
        <f t="shared" si="179"/>
        <v>1.012664732946543</v>
      </c>
      <c r="I329" s="1">
        <f t="shared" si="179"/>
        <v>0.88088618710887789</v>
      </c>
      <c r="J329" s="1">
        <f t="shared" si="180"/>
        <v>0.81718098216369339</v>
      </c>
      <c r="K329" s="1">
        <f t="shared" si="181"/>
        <v>0.97873057452110668</v>
      </c>
      <c r="L329" s="1">
        <f t="shared" si="181"/>
        <v>0.8894771708683008</v>
      </c>
      <c r="M329" s="1">
        <f t="shared" si="181"/>
        <v>0.94065765413689018</v>
      </c>
      <c r="N329" s="1">
        <f t="shared" si="182"/>
        <v>0.77972086554471387</v>
      </c>
      <c r="O329" s="1">
        <f t="shared" ref="O329:AP329" si="204">O109/((O145/O$11/O$10)+(O176*O$10*IF(PanicDF_Switch,O$273,1))/O$11/2/O$10+1)</f>
        <v>0.84839213270177716</v>
      </c>
      <c r="P329" s="1">
        <f t="shared" si="204"/>
        <v>0.90705512734053706</v>
      </c>
      <c r="Q329" s="1">
        <f t="shared" si="204"/>
        <v>0.59388565572094076</v>
      </c>
      <c r="R329" s="1">
        <f t="shared" si="204"/>
        <v>1.0213412518291849</v>
      </c>
      <c r="S329" s="1">
        <f t="shared" si="204"/>
        <v>0.50287921402365865</v>
      </c>
      <c r="T329" s="1">
        <f t="shared" si="204"/>
        <v>0.84825701106930995</v>
      </c>
      <c r="U329" s="1">
        <f t="shared" si="204"/>
        <v>0.72065276901480957</v>
      </c>
      <c r="V329" s="1">
        <f t="shared" si="204"/>
        <v>0.59014574392455676</v>
      </c>
      <c r="W329" s="1">
        <f t="shared" si="204"/>
        <v>0.64155271174339601</v>
      </c>
      <c r="X329" s="1">
        <f t="shared" si="204"/>
        <v>0.67963067968652491</v>
      </c>
      <c r="Y329" s="1">
        <f t="shared" si="204"/>
        <v>0.60576515713734858</v>
      </c>
      <c r="Z329" s="1">
        <f t="shared" si="204"/>
        <v>0.81821927324987609</v>
      </c>
      <c r="AA329" s="1">
        <f t="shared" si="204"/>
        <v>0.90895962198371139</v>
      </c>
      <c r="AB329" s="1">
        <f t="shared" si="204"/>
        <v>0.81954315595586058</v>
      </c>
      <c r="AC329" s="1">
        <f t="shared" si="204"/>
        <v>0.77652155063219652</v>
      </c>
      <c r="AD329" s="1">
        <f t="shared" si="204"/>
        <v>0.67266856093053251</v>
      </c>
      <c r="AE329" s="1">
        <f t="shared" si="204"/>
        <v>0.61398876486740239</v>
      </c>
      <c r="AF329" s="1">
        <f t="shared" si="204"/>
        <v>0.69082181719570157</v>
      </c>
      <c r="AG329" s="1">
        <f t="shared" si="204"/>
        <v>0.83522972063502132</v>
      </c>
      <c r="AH329" s="1">
        <f t="shared" si="204"/>
        <v>0.94504413675801469</v>
      </c>
      <c r="AI329" s="1">
        <f t="shared" si="204"/>
        <v>0.76494072339861285</v>
      </c>
      <c r="AJ329" s="1">
        <f t="shared" si="204"/>
        <v>0.72722821052482323</v>
      </c>
      <c r="AK329" s="1">
        <f t="shared" si="204"/>
        <v>0.81283005120977614</v>
      </c>
      <c r="AL329" s="1">
        <f t="shared" si="204"/>
        <v>0.55815458787749606</v>
      </c>
      <c r="AM329" s="1">
        <f t="shared" si="204"/>
        <v>0.76334979186075547</v>
      </c>
      <c r="AN329" s="1">
        <f t="shared" si="204"/>
        <v>0.51411432008535707</v>
      </c>
      <c r="AO329" s="1">
        <f t="shared" si="204"/>
        <v>0.87641353772270014</v>
      </c>
      <c r="AP329" s="1">
        <f t="shared" si="204"/>
        <v>0.74527524472737239</v>
      </c>
    </row>
    <row r="330" spans="3:42" x14ac:dyDescent="0.2">
      <c r="C330" s="1" t="s">
        <v>158</v>
      </c>
      <c r="E330" s="1">
        <f t="shared" si="177"/>
        <v>0.82440105236498984</v>
      </c>
      <c r="F330" s="1">
        <f t="shared" si="178"/>
        <v>0.90118687454786583</v>
      </c>
      <c r="G330" s="1">
        <f t="shared" si="179"/>
        <v>1.0179942482975251</v>
      </c>
      <c r="H330" s="1">
        <f t="shared" si="179"/>
        <v>1.0124789690216158</v>
      </c>
      <c r="I330" s="1">
        <f t="shared" si="179"/>
        <v>0.85471904549521516</v>
      </c>
      <c r="J330" s="1">
        <f t="shared" si="180"/>
        <v>0.78441517036428632</v>
      </c>
      <c r="K330" s="1">
        <f t="shared" si="181"/>
        <v>0.968447610322973</v>
      </c>
      <c r="L330" s="1">
        <f t="shared" si="181"/>
        <v>0.86019745908947454</v>
      </c>
      <c r="M330" s="1">
        <f t="shared" si="181"/>
        <v>0.91675642854424733</v>
      </c>
      <c r="N330" s="1">
        <f t="shared" si="182"/>
        <v>0.74883243401944521</v>
      </c>
      <c r="O330" s="1">
        <f t="shared" ref="O330:AP330" si="205">O110/((O146/O$11/O$10)+(O177*O$10*IF(PanicDF_Switch,O$273,1))/O$11/2/O$10+1)</f>
        <v>0.82160692435609195</v>
      </c>
      <c r="P330" s="1">
        <f t="shared" si="205"/>
        <v>0.88814170001525672</v>
      </c>
      <c r="Q330" s="1">
        <f t="shared" si="205"/>
        <v>0.54547660251511987</v>
      </c>
      <c r="R330" s="1">
        <f t="shared" si="205"/>
        <v>1.0232267494452463</v>
      </c>
      <c r="S330" s="1">
        <f t="shared" si="205"/>
        <v>0.45341012245726886</v>
      </c>
      <c r="T330" s="1">
        <f t="shared" si="205"/>
        <v>0.82085224592861838</v>
      </c>
      <c r="U330" s="1">
        <f t="shared" si="205"/>
        <v>0.68148644435597072</v>
      </c>
      <c r="V330" s="1">
        <f t="shared" si="205"/>
        <v>0.54599306964332006</v>
      </c>
      <c r="W330" s="1">
        <f t="shared" si="205"/>
        <v>0.60081428193199182</v>
      </c>
      <c r="X330" s="1">
        <f t="shared" si="205"/>
        <v>0.636988598886293</v>
      </c>
      <c r="Y330" s="1">
        <f t="shared" si="205"/>
        <v>0.55653129465477302</v>
      </c>
      <c r="Z330" s="1">
        <f t="shared" si="205"/>
        <v>0.78632299273330886</v>
      </c>
      <c r="AA330" s="1">
        <f t="shared" si="205"/>
        <v>0.89337739663625615</v>
      </c>
      <c r="AB330" s="1">
        <f t="shared" si="205"/>
        <v>0.78866431997310626</v>
      </c>
      <c r="AC330" s="1">
        <f t="shared" si="205"/>
        <v>0.74121222805817721</v>
      </c>
      <c r="AD330" s="1">
        <f t="shared" si="205"/>
        <v>0.6302630953811007</v>
      </c>
      <c r="AE330" s="1">
        <f t="shared" si="205"/>
        <v>0.56794957226898191</v>
      </c>
      <c r="AF330" s="1">
        <f t="shared" si="205"/>
        <v>0.64852409739515027</v>
      </c>
      <c r="AG330" s="1">
        <f t="shared" si="205"/>
        <v>0.80244383263952979</v>
      </c>
      <c r="AH330" s="1">
        <f t="shared" si="205"/>
        <v>0.93304751568326028</v>
      </c>
      <c r="AI330" s="1">
        <f t="shared" si="205"/>
        <v>0.72898527822575909</v>
      </c>
      <c r="AJ330" s="1">
        <f t="shared" si="205"/>
        <v>0.69019481422360163</v>
      </c>
      <c r="AK330" s="1">
        <f t="shared" si="205"/>
        <v>0.77826787213955018</v>
      </c>
      <c r="AL330" s="1">
        <f t="shared" si="205"/>
        <v>0.51176943074703451</v>
      </c>
      <c r="AM330" s="1">
        <f t="shared" si="205"/>
        <v>0.72571770950225856</v>
      </c>
      <c r="AN330" s="1">
        <f t="shared" si="205"/>
        <v>0.46274901214144881</v>
      </c>
      <c r="AO330" s="1">
        <f t="shared" si="205"/>
        <v>0.85025863416736769</v>
      </c>
      <c r="AP330" s="1">
        <f t="shared" si="205"/>
        <v>0.70786449285417541</v>
      </c>
    </row>
    <row r="331" spans="3:42" x14ac:dyDescent="0.2">
      <c r="C331" s="1" t="s">
        <v>160</v>
      </c>
      <c r="E331" s="1">
        <f t="shared" si="177"/>
        <v>0.79794016045800253</v>
      </c>
      <c r="F331" s="1">
        <f t="shared" si="178"/>
        <v>0.87987575546315278</v>
      </c>
      <c r="G331" s="1">
        <f t="shared" si="179"/>
        <v>1.0141322942018782</v>
      </c>
      <c r="H331" s="1">
        <f t="shared" si="179"/>
        <v>1.0109375535646248</v>
      </c>
      <c r="I331" s="1">
        <f t="shared" si="179"/>
        <v>0.82865168683929846</v>
      </c>
      <c r="J331" s="1">
        <f t="shared" si="180"/>
        <v>0.75225832631873668</v>
      </c>
      <c r="K331" s="1">
        <f t="shared" si="181"/>
        <v>0.95830295031526735</v>
      </c>
      <c r="L331" s="1">
        <f t="shared" si="181"/>
        <v>0.84230925896259379</v>
      </c>
      <c r="M331" s="1">
        <f t="shared" si="181"/>
        <v>0.89083344457474822</v>
      </c>
      <c r="N331" s="1">
        <f t="shared" si="182"/>
        <v>0.71073856661300949</v>
      </c>
      <c r="O331" s="1">
        <f t="shared" ref="O331:AP331" si="206">O111/((O147/O$11/O$10)+(O178*O$10*IF(PanicDF_Switch,O$273,1))/O$11/2/O$10+1)</f>
        <v>0.79527752644579808</v>
      </c>
      <c r="P331" s="1">
        <f t="shared" si="206"/>
        <v>0.86932427008196189</v>
      </c>
      <c r="Q331" s="1">
        <f t="shared" si="206"/>
        <v>0.50204968544459705</v>
      </c>
      <c r="R331" s="1">
        <f t="shared" si="206"/>
        <v>1.0259147889732665</v>
      </c>
      <c r="S331" s="1">
        <f t="shared" si="206"/>
        <v>0.41072061945257698</v>
      </c>
      <c r="T331" s="1">
        <f t="shared" si="206"/>
        <v>0.79380660330749375</v>
      </c>
      <c r="U331" s="1">
        <f t="shared" si="206"/>
        <v>0.64435113331067884</v>
      </c>
      <c r="V331" s="1">
        <f t="shared" si="206"/>
        <v>0.50609865753936534</v>
      </c>
      <c r="W331" s="1">
        <f t="shared" si="206"/>
        <v>0.56310823221447737</v>
      </c>
      <c r="X331" s="1">
        <f t="shared" si="206"/>
        <v>0.59730782537362526</v>
      </c>
      <c r="Y331" s="1">
        <f t="shared" si="206"/>
        <v>0.51234372405607886</v>
      </c>
      <c r="Z331" s="1">
        <f t="shared" si="206"/>
        <v>0.75533160986456693</v>
      </c>
      <c r="AA331" s="1">
        <f t="shared" si="206"/>
        <v>0.87789171567538538</v>
      </c>
      <c r="AB331" s="1">
        <f t="shared" si="206"/>
        <v>0.75859690065749719</v>
      </c>
      <c r="AC331" s="1">
        <f t="shared" si="206"/>
        <v>0.70728572906914344</v>
      </c>
      <c r="AD331" s="1">
        <f t="shared" si="206"/>
        <v>0.59082499149676537</v>
      </c>
      <c r="AE331" s="1">
        <f t="shared" si="206"/>
        <v>0.52611335059545528</v>
      </c>
      <c r="AF331" s="1">
        <f t="shared" si="206"/>
        <v>0.60904969380734475</v>
      </c>
      <c r="AG331" s="1">
        <f t="shared" si="206"/>
        <v>0.7706024707126391</v>
      </c>
      <c r="AH331" s="1">
        <f t="shared" si="206"/>
        <v>0.92114168486829762</v>
      </c>
      <c r="AI331" s="1">
        <f t="shared" si="206"/>
        <v>0.69453217130983269</v>
      </c>
      <c r="AJ331" s="1">
        <f t="shared" si="206"/>
        <v>0.65485217194670375</v>
      </c>
      <c r="AK331" s="1">
        <f t="shared" si="206"/>
        <v>0.74488729056397673</v>
      </c>
      <c r="AL331" s="1">
        <f t="shared" si="206"/>
        <v>0.47028927916084512</v>
      </c>
      <c r="AM331" s="1">
        <f t="shared" si="206"/>
        <v>0.68996168533397051</v>
      </c>
      <c r="AN331" s="1">
        <f t="shared" si="206"/>
        <v>0.41833498096051153</v>
      </c>
      <c r="AO331" s="1">
        <f t="shared" si="206"/>
        <v>0.8244859501475601</v>
      </c>
      <c r="AP331" s="1">
        <f t="shared" si="206"/>
        <v>0.67215253547509546</v>
      </c>
    </row>
    <row r="332" spans="3:42" x14ac:dyDescent="0.2">
      <c r="C332" s="1" t="s">
        <v>162</v>
      </c>
      <c r="E332" s="1">
        <f t="shared" si="177"/>
        <v>0.77242221184445947</v>
      </c>
      <c r="F332" s="1">
        <f t="shared" si="178"/>
        <v>0.85906540501659523</v>
      </c>
      <c r="G332" s="1">
        <f t="shared" si="179"/>
        <v>1.0113603716313557</v>
      </c>
      <c r="H332" s="1">
        <f t="shared" si="179"/>
        <v>1.0103848253102401</v>
      </c>
      <c r="I332" s="1">
        <f t="shared" si="179"/>
        <v>0.80242397061762305</v>
      </c>
      <c r="J332" s="1">
        <f t="shared" si="180"/>
        <v>0.72120127273451384</v>
      </c>
      <c r="K332" s="1">
        <f t="shared" si="181"/>
        <v>0.94874893768354362</v>
      </c>
      <c r="L332" s="1">
        <f t="shared" si="181"/>
        <v>0.81913104681180993</v>
      </c>
      <c r="M332" s="1">
        <f t="shared" si="181"/>
        <v>0.86507983711298975</v>
      </c>
      <c r="N332" s="1">
        <f t="shared" si="182"/>
        <v>0.67681507349419523</v>
      </c>
      <c r="O332" s="1">
        <f t="shared" ref="O332:AP332" si="207">O112/((O148/O$11/O$10)+(O179*O$10*IF(PanicDF_Switch,O$273,1))/O$11/2/O$10+1)</f>
        <v>0.76986036799425106</v>
      </c>
      <c r="P332" s="1">
        <f t="shared" si="207"/>
        <v>0.85105655290559779</v>
      </c>
      <c r="Q332" s="1">
        <f t="shared" si="207"/>
        <v>0.46331132258279745</v>
      </c>
      <c r="R332" s="1">
        <f t="shared" si="207"/>
        <v>1.0298971132676658</v>
      </c>
      <c r="S332" s="1">
        <f t="shared" si="207"/>
        <v>0.37369597599705223</v>
      </c>
      <c r="T332" s="1">
        <f t="shared" si="207"/>
        <v>0.76792175156139864</v>
      </c>
      <c r="U332" s="1">
        <f t="shared" si="207"/>
        <v>0.60981805980071657</v>
      </c>
      <c r="V332" s="1">
        <f t="shared" si="207"/>
        <v>0.47006802409596971</v>
      </c>
      <c r="W332" s="1">
        <f t="shared" si="207"/>
        <v>0.52840101447168564</v>
      </c>
      <c r="X332" s="1">
        <f t="shared" si="207"/>
        <v>0.56075224446514538</v>
      </c>
      <c r="Y332" s="1">
        <f t="shared" si="207"/>
        <v>0.4729106990248339</v>
      </c>
      <c r="Z332" s="1">
        <f t="shared" si="207"/>
        <v>0.72568631643586534</v>
      </c>
      <c r="AA332" s="1">
        <f t="shared" si="207"/>
        <v>0.86290672310304151</v>
      </c>
      <c r="AB332" s="1">
        <f t="shared" si="207"/>
        <v>0.72978446785138895</v>
      </c>
      <c r="AC332" s="1">
        <f t="shared" si="207"/>
        <v>0.67513896061349121</v>
      </c>
      <c r="AD332" s="1">
        <f t="shared" si="207"/>
        <v>0.55451127791978694</v>
      </c>
      <c r="AE332" s="1">
        <f t="shared" si="207"/>
        <v>0.48837109179472132</v>
      </c>
      <c r="AF332" s="1">
        <f t="shared" si="207"/>
        <v>0.57259102837269804</v>
      </c>
      <c r="AG332" s="1">
        <f t="shared" si="207"/>
        <v>0.74015553086900776</v>
      </c>
      <c r="AH332" s="1">
        <f t="shared" si="207"/>
        <v>0.90976897872001361</v>
      </c>
      <c r="AI332" s="1">
        <f t="shared" si="207"/>
        <v>0.6619635297012515</v>
      </c>
      <c r="AJ332" s="1">
        <f t="shared" si="207"/>
        <v>0.62181274794346764</v>
      </c>
      <c r="AK332" s="1">
        <f t="shared" si="207"/>
        <v>0.71293070372749234</v>
      </c>
      <c r="AL332" s="1">
        <f t="shared" si="207"/>
        <v>0.43338910776526529</v>
      </c>
      <c r="AM332" s="1">
        <f t="shared" si="207"/>
        <v>0.65661625918980804</v>
      </c>
      <c r="AN332" s="1">
        <f t="shared" si="207"/>
        <v>0.37995208554786514</v>
      </c>
      <c r="AO332" s="1">
        <f t="shared" si="207"/>
        <v>0.79956344326169948</v>
      </c>
      <c r="AP332" s="1">
        <f t="shared" si="207"/>
        <v>0.63860193398408849</v>
      </c>
    </row>
    <row r="333" spans="3:42" x14ac:dyDescent="0.2">
      <c r="C333" s="1" t="s">
        <v>164</v>
      </c>
      <c r="E333" s="1">
        <f t="shared" si="177"/>
        <v>0.74750492344902797</v>
      </c>
      <c r="F333" s="1">
        <f t="shared" si="178"/>
        <v>0.8384384456500833</v>
      </c>
      <c r="G333" s="1">
        <f t="shared" si="179"/>
        <v>1.0051622164430338</v>
      </c>
      <c r="H333" s="1">
        <f t="shared" si="179"/>
        <v>0.9947887787263503</v>
      </c>
      <c r="I333" s="1">
        <f t="shared" si="179"/>
        <v>0.77561767502554635</v>
      </c>
      <c r="J333" s="1">
        <f t="shared" si="180"/>
        <v>0.69059939087361588</v>
      </c>
      <c r="K333" s="1">
        <f t="shared" si="181"/>
        <v>0.93955672679188118</v>
      </c>
      <c r="L333" s="1">
        <f t="shared" si="181"/>
        <v>0.79660108190593482</v>
      </c>
      <c r="M333" s="1">
        <f t="shared" si="181"/>
        <v>0.83851954863074929</v>
      </c>
      <c r="N333" s="1">
        <f t="shared" si="182"/>
        <v>0.64499745690826926</v>
      </c>
      <c r="O333" s="1">
        <f t="shared" ref="O333:AP333" si="208">O113/((O149/O$11/O$10)+(O180*O$10*IF(PanicDF_Switch,O$273,1))/O$11/2/O$10+1)</f>
        <v>0.7449972331542678</v>
      </c>
      <c r="P333" s="1">
        <f t="shared" si="208"/>
        <v>0.8330372573628787</v>
      </c>
      <c r="Q333" s="1">
        <f t="shared" si="208"/>
        <v>0.42825382933856093</v>
      </c>
      <c r="R333" s="1">
        <f t="shared" si="208"/>
        <v>1.0351509152609966</v>
      </c>
      <c r="S333" s="1">
        <f t="shared" si="208"/>
        <v>0.34108151266079795</v>
      </c>
      <c r="T333" s="1">
        <f t="shared" si="208"/>
        <v>0.74275206049048303</v>
      </c>
      <c r="U333" s="1">
        <f t="shared" si="208"/>
        <v>0.57725574525456003</v>
      </c>
      <c r="V333" s="1">
        <f t="shared" si="208"/>
        <v>0.43708558372874085</v>
      </c>
      <c r="W333" s="1">
        <f t="shared" si="208"/>
        <v>0.49609548185530705</v>
      </c>
      <c r="X333" s="1">
        <f t="shared" si="208"/>
        <v>0.52665612016468588</v>
      </c>
      <c r="Y333" s="1">
        <f t="shared" si="208"/>
        <v>0.4372111501709946</v>
      </c>
      <c r="Z333" s="1">
        <f t="shared" si="208"/>
        <v>0.69697679754500574</v>
      </c>
      <c r="AA333" s="1">
        <f t="shared" si="208"/>
        <v>0.84814931949950045</v>
      </c>
      <c r="AB333" s="1">
        <f t="shared" si="208"/>
        <v>0.70182885678438045</v>
      </c>
      <c r="AC333" s="1">
        <f t="shared" si="208"/>
        <v>0.64431154273490598</v>
      </c>
      <c r="AD333" s="1">
        <f t="shared" si="208"/>
        <v>0.52065711477552679</v>
      </c>
      <c r="AE333" s="1">
        <f t="shared" si="208"/>
        <v>0.45385769509142604</v>
      </c>
      <c r="AF333" s="1">
        <f t="shared" si="208"/>
        <v>0.53850153026553904</v>
      </c>
      <c r="AG333" s="1">
        <f t="shared" si="208"/>
        <v>0.71068136550827221</v>
      </c>
      <c r="AH333" s="1">
        <f t="shared" si="208"/>
        <v>0.89868547090853357</v>
      </c>
      <c r="AI333" s="1">
        <f t="shared" si="208"/>
        <v>0.63080646548680541</v>
      </c>
      <c r="AJ333" s="1">
        <f t="shared" si="208"/>
        <v>0.59049233360001319</v>
      </c>
      <c r="AK333" s="1">
        <f t="shared" si="208"/>
        <v>0.68251244172248049</v>
      </c>
      <c r="AL333" s="1">
        <f t="shared" si="208"/>
        <v>0.40007912022386344</v>
      </c>
      <c r="AM333" s="1">
        <f t="shared" si="208"/>
        <v>0.62496322048373243</v>
      </c>
      <c r="AN333" s="1">
        <f t="shared" si="208"/>
        <v>0.34619339728263759</v>
      </c>
      <c r="AO333" s="1">
        <f t="shared" si="208"/>
        <v>0.77513484461841164</v>
      </c>
      <c r="AP333" s="1">
        <f t="shared" si="208"/>
        <v>0.60682371740492325</v>
      </c>
    </row>
    <row r="334" spans="3:42" x14ac:dyDescent="0.2">
      <c r="C334" s="4" t="s">
        <v>321</v>
      </c>
    </row>
    <row r="335" spans="3:42" x14ac:dyDescent="0.2">
      <c r="C335" s="313" t="s">
        <v>316</v>
      </c>
    </row>
    <row r="336" spans="3:42" x14ac:dyDescent="0.2">
      <c r="C336" s="4" t="s">
        <v>315</v>
      </c>
      <c r="E336" s="1" t="b">
        <v>1</v>
      </c>
      <c r="F336" s="1" t="b">
        <f>E336</f>
        <v>1</v>
      </c>
      <c r="G336" s="1" t="b">
        <f t="shared" ref="G336:AP336" si="209">F336</f>
        <v>1</v>
      </c>
      <c r="H336" s="1" t="b">
        <f t="shared" si="209"/>
        <v>1</v>
      </c>
      <c r="I336" s="1" t="b">
        <f t="shared" si="209"/>
        <v>1</v>
      </c>
      <c r="J336" s="1" t="b">
        <f t="shared" si="209"/>
        <v>1</v>
      </c>
      <c r="K336" s="1" t="b">
        <f t="shared" si="209"/>
        <v>1</v>
      </c>
      <c r="L336" s="1" t="b">
        <f t="shared" si="209"/>
        <v>1</v>
      </c>
      <c r="M336" s="1" t="b">
        <f t="shared" si="209"/>
        <v>1</v>
      </c>
      <c r="N336" s="1" t="b">
        <f t="shared" si="209"/>
        <v>1</v>
      </c>
      <c r="O336" s="1" t="b">
        <f t="shared" si="209"/>
        <v>1</v>
      </c>
      <c r="P336" s="1" t="b">
        <f t="shared" si="209"/>
        <v>1</v>
      </c>
      <c r="Q336" s="1" t="b">
        <f t="shared" si="209"/>
        <v>1</v>
      </c>
      <c r="R336" s="1" t="b">
        <f t="shared" si="209"/>
        <v>1</v>
      </c>
      <c r="S336" s="1" t="b">
        <f t="shared" si="209"/>
        <v>1</v>
      </c>
      <c r="T336" s="1" t="b">
        <f t="shared" si="209"/>
        <v>1</v>
      </c>
      <c r="U336" s="1" t="b">
        <f t="shared" si="209"/>
        <v>1</v>
      </c>
      <c r="V336" s="1" t="b">
        <f t="shared" si="209"/>
        <v>1</v>
      </c>
      <c r="W336" s="1" t="b">
        <f t="shared" si="209"/>
        <v>1</v>
      </c>
      <c r="X336" s="1" t="b">
        <f t="shared" si="209"/>
        <v>1</v>
      </c>
      <c r="Y336" s="1" t="b">
        <f t="shared" si="209"/>
        <v>1</v>
      </c>
      <c r="Z336" s="1" t="b">
        <f t="shared" si="209"/>
        <v>1</v>
      </c>
      <c r="AA336" s="1" t="b">
        <f t="shared" si="209"/>
        <v>1</v>
      </c>
      <c r="AB336" s="1" t="b">
        <f t="shared" si="209"/>
        <v>1</v>
      </c>
      <c r="AC336" s="1" t="b">
        <f t="shared" si="209"/>
        <v>1</v>
      </c>
      <c r="AD336" s="1" t="b">
        <f t="shared" si="209"/>
        <v>1</v>
      </c>
      <c r="AE336" s="1" t="b">
        <f t="shared" si="209"/>
        <v>1</v>
      </c>
      <c r="AF336" s="1" t="b">
        <f t="shared" si="209"/>
        <v>1</v>
      </c>
      <c r="AG336" s="1" t="b">
        <f t="shared" si="209"/>
        <v>1</v>
      </c>
      <c r="AH336" s="1" t="b">
        <f t="shared" si="209"/>
        <v>1</v>
      </c>
      <c r="AI336" s="1" t="b">
        <f t="shared" si="209"/>
        <v>1</v>
      </c>
      <c r="AJ336" s="1" t="b">
        <f t="shared" si="209"/>
        <v>1</v>
      </c>
      <c r="AK336" s="1" t="b">
        <f t="shared" si="209"/>
        <v>1</v>
      </c>
      <c r="AL336" s="1" t="b">
        <f t="shared" si="209"/>
        <v>1</v>
      </c>
      <c r="AM336" s="1" t="b">
        <f t="shared" si="209"/>
        <v>1</v>
      </c>
      <c r="AN336" s="1" t="b">
        <f t="shared" si="209"/>
        <v>1</v>
      </c>
      <c r="AO336" s="1" t="b">
        <f t="shared" si="209"/>
        <v>1</v>
      </c>
      <c r="AP336" s="1" t="b">
        <f t="shared" si="209"/>
        <v>1</v>
      </c>
    </row>
    <row r="337" spans="3:42" x14ac:dyDescent="0.2">
      <c r="C337" s="1" t="s">
        <v>23</v>
      </c>
      <c r="E337" s="294">
        <f>E20</f>
        <v>1</v>
      </c>
      <c r="F337" s="271">
        <f t="shared" ref="F337:AP337" si="210">F20</f>
        <v>1</v>
      </c>
      <c r="G337" s="271">
        <f t="shared" si="210"/>
        <v>1</v>
      </c>
      <c r="H337" s="271">
        <f t="shared" si="210"/>
        <v>1</v>
      </c>
      <c r="I337" s="271">
        <f t="shared" si="210"/>
        <v>1</v>
      </c>
      <c r="J337" s="271">
        <f t="shared" si="210"/>
        <v>1</v>
      </c>
      <c r="K337" s="271">
        <f t="shared" si="210"/>
        <v>1</v>
      </c>
      <c r="L337" s="271">
        <f t="shared" si="210"/>
        <v>1</v>
      </c>
      <c r="M337" s="271">
        <f t="shared" si="210"/>
        <v>1</v>
      </c>
      <c r="N337" s="271">
        <f t="shared" si="210"/>
        <v>1</v>
      </c>
      <c r="O337" s="271">
        <f t="shared" si="210"/>
        <v>1</v>
      </c>
      <c r="P337" s="271">
        <f t="shared" si="210"/>
        <v>1</v>
      </c>
      <c r="Q337" s="271">
        <f t="shared" si="210"/>
        <v>1</v>
      </c>
      <c r="R337" s="271">
        <f t="shared" si="210"/>
        <v>1</v>
      </c>
      <c r="S337" s="271">
        <f t="shared" si="210"/>
        <v>1</v>
      </c>
      <c r="T337" s="271">
        <f t="shared" si="210"/>
        <v>1</v>
      </c>
      <c r="U337" s="271">
        <f t="shared" si="210"/>
        <v>1</v>
      </c>
      <c r="V337" s="271">
        <f t="shared" si="210"/>
        <v>1</v>
      </c>
      <c r="W337" s="271">
        <f t="shared" si="210"/>
        <v>1</v>
      </c>
      <c r="X337" s="271">
        <f t="shared" si="210"/>
        <v>1</v>
      </c>
      <c r="Y337" s="271">
        <f t="shared" si="210"/>
        <v>1</v>
      </c>
      <c r="Z337" s="271">
        <f t="shared" si="210"/>
        <v>1</v>
      </c>
      <c r="AA337" s="271">
        <f t="shared" si="210"/>
        <v>1</v>
      </c>
      <c r="AB337" s="271">
        <f t="shared" si="210"/>
        <v>1</v>
      </c>
      <c r="AC337" s="271">
        <f t="shared" si="210"/>
        <v>1</v>
      </c>
      <c r="AD337" s="271">
        <f t="shared" si="210"/>
        <v>1</v>
      </c>
      <c r="AE337" s="271">
        <f t="shared" si="210"/>
        <v>1</v>
      </c>
      <c r="AF337" s="271">
        <f t="shared" si="210"/>
        <v>1</v>
      </c>
      <c r="AG337" s="271">
        <f t="shared" si="210"/>
        <v>1</v>
      </c>
      <c r="AH337" s="271">
        <f t="shared" si="210"/>
        <v>1</v>
      </c>
      <c r="AI337" s="271">
        <f t="shared" si="210"/>
        <v>1</v>
      </c>
      <c r="AJ337" s="271">
        <f t="shared" si="210"/>
        <v>1</v>
      </c>
      <c r="AK337" s="271">
        <f t="shared" si="210"/>
        <v>1</v>
      </c>
      <c r="AL337" s="271">
        <f t="shared" si="210"/>
        <v>1</v>
      </c>
      <c r="AM337" s="271">
        <f t="shared" si="210"/>
        <v>1</v>
      </c>
      <c r="AN337" s="271">
        <f t="shared" si="210"/>
        <v>1</v>
      </c>
      <c r="AO337" s="271">
        <f t="shared" si="210"/>
        <v>1</v>
      </c>
      <c r="AP337" s="271">
        <f t="shared" si="210"/>
        <v>1</v>
      </c>
    </row>
    <row r="338" spans="3:42" x14ac:dyDescent="0.2">
      <c r="C338" s="1" t="s">
        <v>30</v>
      </c>
      <c r="E338" s="294">
        <f>E21</f>
        <v>0.99997833380276768</v>
      </c>
      <c r="F338" s="271">
        <f t="shared" ref="F338:AP338" si="211">F21</f>
        <v>0.99999361115192886</v>
      </c>
      <c r="G338" s="271">
        <f t="shared" si="211"/>
        <v>1.000023611668609</v>
      </c>
      <c r="H338" s="271">
        <f t="shared" si="211"/>
        <v>0.99999972222229949</v>
      </c>
      <c r="I338" s="271">
        <f t="shared" si="211"/>
        <v>0.99998819458381394</v>
      </c>
      <c r="J338" s="271">
        <f t="shared" si="211"/>
        <v>0.99995069687536242</v>
      </c>
      <c r="K338" s="271">
        <f t="shared" si="211"/>
        <v>0.99999861111304023</v>
      </c>
      <c r="L338" s="271">
        <f t="shared" si="211"/>
        <v>0.99999375003906232</v>
      </c>
      <c r="M338" s="271">
        <f t="shared" si="211"/>
        <v>1.0000193059282672</v>
      </c>
      <c r="N338" s="271">
        <f t="shared" si="211"/>
        <v>0.99995125237644666</v>
      </c>
      <c r="O338" s="271">
        <f t="shared" si="211"/>
        <v>0.99996111262339793</v>
      </c>
      <c r="P338" s="271">
        <f t="shared" si="211"/>
        <v>1.0000091667506952</v>
      </c>
      <c r="Q338" s="271">
        <f t="shared" si="211"/>
        <v>0.99981045260169421</v>
      </c>
      <c r="R338" s="271">
        <f t="shared" si="211"/>
        <v>0.9999976388944638</v>
      </c>
      <c r="S338" s="271">
        <f t="shared" si="211"/>
        <v>0.99973618073008519</v>
      </c>
      <c r="T338" s="271">
        <f t="shared" si="211"/>
        <v>0.99999625001406234</v>
      </c>
      <c r="U338" s="271">
        <f t="shared" si="211"/>
        <v>0.99997222299380573</v>
      </c>
      <c r="V338" s="271">
        <f t="shared" si="211"/>
        <v>0.99966328747900957</v>
      </c>
      <c r="W338" s="271">
        <f t="shared" si="211"/>
        <v>0.99971952313378742</v>
      </c>
      <c r="X338" s="271">
        <f t="shared" si="211"/>
        <v>0.99982850163895487</v>
      </c>
      <c r="Y338" s="271">
        <f t="shared" si="211"/>
        <v>0.99980264035468513</v>
      </c>
      <c r="Z338" s="271">
        <f t="shared" si="211"/>
        <v>0.99991510014470852</v>
      </c>
      <c r="AA338" s="271">
        <f t="shared" si="211"/>
        <v>0.99998631963159956</v>
      </c>
      <c r="AB338" s="271">
        <f t="shared" si="211"/>
        <v>0.99993607312743393</v>
      </c>
      <c r="AC338" s="271">
        <f t="shared" si="211"/>
        <v>0.9999066476043722</v>
      </c>
      <c r="AD338" s="271">
        <f t="shared" si="211"/>
        <v>0.99981432614784815</v>
      </c>
      <c r="AE338" s="271">
        <f t="shared" si="211"/>
        <v>0.99988473550965651</v>
      </c>
      <c r="AF338" s="271">
        <f t="shared" si="211"/>
        <v>0.99986290768576846</v>
      </c>
      <c r="AG338" s="271">
        <f t="shared" si="211"/>
        <v>0.99999097230372225</v>
      </c>
      <c r="AH338" s="271">
        <f t="shared" si="211"/>
        <v>0.99999722222993825</v>
      </c>
      <c r="AI338" s="271">
        <f t="shared" si="211"/>
        <v>0.99991736793973285</v>
      </c>
      <c r="AJ338" s="271">
        <f t="shared" si="211"/>
        <v>0.99997222299380573</v>
      </c>
      <c r="AK338" s="271">
        <f t="shared" si="211"/>
        <v>0.9999616681360548</v>
      </c>
      <c r="AL338" s="271">
        <f t="shared" si="211"/>
        <v>0.99979171006040402</v>
      </c>
      <c r="AM338" s="271">
        <f t="shared" si="211"/>
        <v>0.99992778299345042</v>
      </c>
      <c r="AN338" s="271">
        <f t="shared" si="211"/>
        <v>0.9999236169459278</v>
      </c>
      <c r="AO338" s="271">
        <f t="shared" si="211"/>
        <v>0.99999569446298209</v>
      </c>
      <c r="AP338" s="271">
        <f t="shared" si="211"/>
        <v>0.99995137736427564</v>
      </c>
    </row>
    <row r="339" spans="3:42" x14ac:dyDescent="0.2">
      <c r="C339" s="1" t="s">
        <v>41</v>
      </c>
      <c r="E339" s="294">
        <f>E22</f>
        <v>0.99990889718936726</v>
      </c>
      <c r="F339" s="287">
        <f t="shared" ref="F339:AP339" si="212">F22</f>
        <v>0.99997444509751421</v>
      </c>
      <c r="G339" s="287">
        <f t="shared" si="212"/>
        <v>1.000092230727945</v>
      </c>
      <c r="H339" s="287">
        <f t="shared" si="212"/>
        <v>1</v>
      </c>
      <c r="I339" s="287">
        <f t="shared" si="212"/>
        <v>0.99994278105197321</v>
      </c>
      <c r="J339" s="287">
        <f t="shared" si="212"/>
        <v>0.999802816666713</v>
      </c>
      <c r="K339" s="287">
        <f t="shared" si="212"/>
        <v>1.0000833402783564</v>
      </c>
      <c r="L339" s="287">
        <f t="shared" si="212"/>
        <v>0.99994167006924606</v>
      </c>
      <c r="M339" s="287">
        <f t="shared" si="212"/>
        <v>1.0000611148459071</v>
      </c>
      <c r="N339" s="287">
        <f t="shared" si="212"/>
        <v>0.99980503801758658</v>
      </c>
      <c r="O339" s="287">
        <f t="shared" si="212"/>
        <v>0.99985835339993501</v>
      </c>
      <c r="P339" s="287">
        <f t="shared" si="212"/>
        <v>1.0000588923569944</v>
      </c>
      <c r="Q339" s="287">
        <f t="shared" si="212"/>
        <v>0.99924224130034711</v>
      </c>
      <c r="R339" s="287">
        <f t="shared" si="212"/>
        <v>1.000016666944449</v>
      </c>
      <c r="S339" s="287">
        <f t="shared" si="212"/>
        <v>0.99896773334221289</v>
      </c>
      <c r="T339" s="287">
        <f t="shared" si="212"/>
        <v>0.99997750050623857</v>
      </c>
      <c r="U339" s="287">
        <f t="shared" si="212"/>
        <v>0.99963901924305121</v>
      </c>
      <c r="V339" s="287">
        <f t="shared" si="212"/>
        <v>0.99865450904699038</v>
      </c>
      <c r="W339" s="287">
        <f t="shared" si="212"/>
        <v>0.99887903574877079</v>
      </c>
      <c r="X339" s="287">
        <f t="shared" si="212"/>
        <v>0.99931435931458135</v>
      </c>
      <c r="Y339" s="287">
        <f t="shared" si="212"/>
        <v>0.99921102855211574</v>
      </c>
      <c r="Z339" s="287">
        <f t="shared" si="212"/>
        <v>0.99966048705263466</v>
      </c>
      <c r="AA339" s="287">
        <f t="shared" si="212"/>
        <v>0.99994528077213551</v>
      </c>
      <c r="AB339" s="287">
        <f t="shared" si="212"/>
        <v>0.99974434154007374</v>
      </c>
      <c r="AC339" s="287">
        <f t="shared" si="212"/>
        <v>0.99962669496424716</v>
      </c>
      <c r="AD339" s="287">
        <f t="shared" si="212"/>
        <v>0.99925771805843566</v>
      </c>
      <c r="AE339" s="287">
        <f t="shared" si="212"/>
        <v>0.99953910141434787</v>
      </c>
      <c r="AF339" s="287">
        <f t="shared" si="212"/>
        <v>0.9994518561819874</v>
      </c>
      <c r="AG339" s="287">
        <f t="shared" si="212"/>
        <v>0.99996389019285414</v>
      </c>
      <c r="AH339" s="287">
        <f t="shared" si="212"/>
        <v>0.99998888901234428</v>
      </c>
      <c r="AI339" s="287">
        <f t="shared" si="212"/>
        <v>0.99966955367531296</v>
      </c>
      <c r="AJ339" s="287">
        <f t="shared" si="212"/>
        <v>0.99963901924305121</v>
      </c>
      <c r="AK339" s="287">
        <f t="shared" si="212"/>
        <v>0.99994889150110111</v>
      </c>
      <c r="AL339" s="287">
        <f t="shared" si="212"/>
        <v>0.99916736053288935</v>
      </c>
      <c r="AM339" s="287">
        <f t="shared" si="212"/>
        <v>0.99990973037156361</v>
      </c>
      <c r="AN339" s="287">
        <f t="shared" si="212"/>
        <v>0.99969453778012274</v>
      </c>
      <c r="AO339" s="287">
        <f t="shared" si="212"/>
        <v>0.99998277807437774</v>
      </c>
      <c r="AP339" s="287">
        <f t="shared" si="212"/>
        <v>0.99980553782289339</v>
      </c>
    </row>
    <row r="340" spans="3:42" x14ac:dyDescent="0.2">
      <c r="C340" s="1" t="s">
        <v>92</v>
      </c>
      <c r="E340" s="270">
        <f t="shared" ref="E340:AP347" si="213">IF(E$336,IF($C$335="MI",$D185,$D215)*E$10*E$15/((IF($C$335="MI",E$181,E$211)+IF($C$335="MI",E185,E215)/E$11)*E$16),NA())</f>
        <v>0.99621399946888323</v>
      </c>
      <c r="F340" s="1">
        <f t="shared" ref="F340:F364" si="214">IF(F$336,F$15/F$16*(IF($C$335="MI",F$181,F$211)+(IF($C$335="MI",F185,F215)/F$11))*IF($C$335="MI",$D185,$D215)/IF($C$335="MI",F$181,F$211),NA())</f>
        <v>0.99995810809419039</v>
      </c>
      <c r="G340" s="1">
        <f t="shared" si="213"/>
        <v>1.0042846424936154</v>
      </c>
      <c r="H340" s="1">
        <f t="shared" si="213"/>
        <v>1.0119535849197101</v>
      </c>
      <c r="I340" s="1">
        <f t="shared" si="213"/>
        <v>1.0152715483936736</v>
      </c>
      <c r="J340" s="1">
        <f t="shared" ref="J340:J364" si="215">IF(J$336,J$15/J$16*(IF($C$335="MI",J$181,J$211)+(IF($C$335="MI",J185,J215)/J$11))*IF($C$335="MI",$D185,$D215)/IF($C$335="MI",J$181,J$211),NA())</f>
        <v>0.99948638483758345</v>
      </c>
      <c r="K340" s="1">
        <f t="shared" si="213"/>
        <v>1.0035352902670531</v>
      </c>
      <c r="L340" s="1">
        <f t="shared" si="213"/>
        <v>1.0001223036328588</v>
      </c>
      <c r="M340" s="1">
        <f t="shared" si="213"/>
        <v>1.0026762202337451</v>
      </c>
      <c r="N340" s="1">
        <f t="shared" ref="N340:N364" si="216">IF(N$336,N$15/N$16*(IF($C$335="MI",N$181,N$211)+(IF($C$335="MI",N185,N215)/N$11))*IF($C$335="MI",$D185,$D215)/IF($C$335="MI",N$181,N$211),NA())</f>
        <v>0.99946493281566351</v>
      </c>
      <c r="O340" s="1">
        <f t="shared" si="213"/>
        <v>1.0031508558104381</v>
      </c>
      <c r="P340" s="1">
        <f t="shared" si="213"/>
        <v>1.004174628280351</v>
      </c>
      <c r="Q340" s="1">
        <f t="shared" si="213"/>
        <v>0.99535639786393937</v>
      </c>
      <c r="R340" s="1">
        <f t="shared" si="213"/>
        <v>1.0033977351296679</v>
      </c>
      <c r="S340" s="1">
        <f t="shared" si="213"/>
        <v>0.99675802267107816</v>
      </c>
      <c r="T340" s="1">
        <f t="shared" si="213"/>
        <v>1.0001027383750942</v>
      </c>
      <c r="U340" s="1">
        <f>IF(U$336,IF($C$335="MI",$D185,$D215)*U$10*U$15/((IF($C$335="MI",U$181,U$211)+IF($C$335="MI",U185,U215)/U$11)*U$16),NA())</f>
        <v>1.0034059897231429</v>
      </c>
      <c r="V340" s="1">
        <f t="shared" ref="V340:AP340" si="217">IF(V$336,IF($C$335="MI",$D185,$D215)*V$10*V$15/((IF($C$335="MI",V$181,V$211)+IF($C$335="MI",V185,V215)/V$11)*V$16),NA())</f>
        <v>0.99998036326373285</v>
      </c>
      <c r="W340" s="1">
        <f t="shared" si="217"/>
        <v>1.0052326502939137</v>
      </c>
      <c r="X340" s="1">
        <f t="shared" si="217"/>
        <v>1.0013855683474617</v>
      </c>
      <c r="Y340" s="1">
        <f t="shared" si="217"/>
        <v>1.012246472717893</v>
      </c>
      <c r="Z340" s="1">
        <f t="shared" si="217"/>
        <v>1.0042905391413992</v>
      </c>
      <c r="AA340" s="1">
        <f t="shared" si="217"/>
        <v>1.0096434403610519</v>
      </c>
      <c r="AB340" s="1">
        <f t="shared" si="217"/>
        <v>1.0021180109675774</v>
      </c>
      <c r="AC340" s="1">
        <f t="shared" si="217"/>
        <v>1.002917404812868</v>
      </c>
      <c r="AD340" s="1">
        <f t="shared" si="217"/>
        <v>1.0024484935225366</v>
      </c>
      <c r="AE340" s="1">
        <f t="shared" si="217"/>
        <v>1.0030054526427055</v>
      </c>
      <c r="AF340" s="1">
        <f t="shared" si="217"/>
        <v>0.99734102864901142</v>
      </c>
      <c r="AG340" s="1">
        <f t="shared" si="217"/>
        <v>1.0027185831781917</v>
      </c>
      <c r="AH340" s="1">
        <f t="shared" si="217"/>
        <v>1.0003667478421918</v>
      </c>
      <c r="AI340" s="1">
        <f t="shared" si="217"/>
        <v>0.99858390209065173</v>
      </c>
      <c r="AJ340" s="1">
        <f t="shared" si="217"/>
        <v>0.99938961598425347</v>
      </c>
      <c r="AK340" s="1">
        <f t="shared" si="217"/>
        <v>0.99983003539431847</v>
      </c>
      <c r="AL340" s="1">
        <f t="shared" si="217"/>
        <v>0.99420680747763801</v>
      </c>
      <c r="AM340" s="1">
        <f t="shared" si="217"/>
        <v>0.99981197977874448</v>
      </c>
      <c r="AN340" s="1">
        <f t="shared" si="217"/>
        <v>1.0575004327037583</v>
      </c>
      <c r="AO340" s="1">
        <f t="shared" si="217"/>
        <v>1.0028183519562426</v>
      </c>
      <c r="AP340" s="1">
        <f t="shared" si="217"/>
        <v>1.0031254295383867</v>
      </c>
    </row>
    <row r="341" spans="3:42" x14ac:dyDescent="0.2">
      <c r="C341" s="1" t="s">
        <v>55</v>
      </c>
      <c r="E341" s="1">
        <f t="shared" si="213"/>
        <v>0.99563260443432611</v>
      </c>
      <c r="F341" s="1">
        <f t="shared" si="214"/>
        <v>0.99988050718435217</v>
      </c>
      <c r="G341" s="1">
        <f t="shared" si="213"/>
        <v>1.0044222496257982</v>
      </c>
      <c r="H341" s="1">
        <f t="shared" si="213"/>
        <v>1.0119432736514369</v>
      </c>
      <c r="I341" s="1">
        <f t="shared" si="213"/>
        <v>1.0150785186640605</v>
      </c>
      <c r="J341" s="1">
        <f t="shared" si="215"/>
        <v>0.99906060387025886</v>
      </c>
      <c r="K341" s="1">
        <f t="shared" si="213"/>
        <v>1.0036264988678216</v>
      </c>
      <c r="L341" s="1">
        <f t="shared" si="213"/>
        <v>0.99992852057503645</v>
      </c>
      <c r="M341" s="1">
        <f t="shared" si="213"/>
        <v>1.0027769879097068</v>
      </c>
      <c r="N341" s="1">
        <f t="shared" si="216"/>
        <v>0.99898780739481974</v>
      </c>
      <c r="O341" s="1">
        <f t="shared" si="213"/>
        <v>1.0027813078336902</v>
      </c>
      <c r="P341" s="1">
        <f t="shared" si="213"/>
        <v>1.0041056551828045</v>
      </c>
      <c r="Q341" s="1">
        <f t="shared" si="213"/>
        <v>0.99382110870909568</v>
      </c>
      <c r="R341" s="1">
        <f t="shared" si="213"/>
        <v>1.0035728665308474</v>
      </c>
      <c r="S341" s="1">
        <f t="shared" si="213"/>
        <v>0.99476584280111502</v>
      </c>
      <c r="T341" s="1">
        <f t="shared" si="213"/>
        <v>0.99993478883133136</v>
      </c>
      <c r="U341" s="1">
        <f t="shared" ref="U341:U365" si="218">IF(U$336,IF($C$335="MI",$D186,$D216)*U$10*U$15/((IF($C$335="MI",U$181,U$211)+IF($C$335="MI",U186,U216)/U$11)*U$16),NA())</f>
        <v>1.0022238331491404</v>
      </c>
      <c r="V341" s="1">
        <f t="shared" si="213"/>
        <v>0.99774807861975534</v>
      </c>
      <c r="W341" s="1">
        <f t="shared" si="213"/>
        <v>1.0032612498123425</v>
      </c>
      <c r="X341" s="1">
        <f t="shared" si="213"/>
        <v>1.0004566086558642</v>
      </c>
      <c r="Y341" s="1">
        <f t="shared" si="213"/>
        <v>1.0109623365138893</v>
      </c>
      <c r="Z341" s="1">
        <f t="shared" si="213"/>
        <v>1.0040545516008585</v>
      </c>
      <c r="AA341" s="1">
        <f t="shared" si="213"/>
        <v>1.0093679490798095</v>
      </c>
      <c r="AB341" s="1">
        <f t="shared" si="213"/>
        <v>1.0018175845030719</v>
      </c>
      <c r="AC341" s="1">
        <f t="shared" si="213"/>
        <v>1.0021706472356084</v>
      </c>
      <c r="AD341" s="1">
        <f t="shared" si="213"/>
        <v>1.0009524577815436</v>
      </c>
      <c r="AE341" s="1">
        <f t="shared" si="213"/>
        <v>1.0022407563675251</v>
      </c>
      <c r="AF341" s="1">
        <f t="shared" si="213"/>
        <v>0.99620001210960862</v>
      </c>
      <c r="AG341" s="1">
        <f t="shared" si="213"/>
        <v>1.0026412840732819</v>
      </c>
      <c r="AH341" s="1">
        <f t="shared" si="213"/>
        <v>1.0002794675930085</v>
      </c>
      <c r="AI341" s="1">
        <f t="shared" si="213"/>
        <v>0.99807316538206781</v>
      </c>
      <c r="AJ341" s="1">
        <f t="shared" si="213"/>
        <v>0.99913191743373808</v>
      </c>
      <c r="AK341" s="1">
        <f t="shared" si="213"/>
        <v>0.99952459965603513</v>
      </c>
      <c r="AL341" s="1">
        <f t="shared" si="213"/>
        <v>0.99163685573316362</v>
      </c>
      <c r="AM341" s="1">
        <f t="shared" si="213"/>
        <v>0.99954750955751981</v>
      </c>
      <c r="AN341" s="1">
        <f t="shared" si="213"/>
        <v>1.0596186957275016</v>
      </c>
      <c r="AO341" s="1">
        <f t="shared" si="213"/>
        <v>1.0027740542528383</v>
      </c>
      <c r="AP341" s="1">
        <f t="shared" si="213"/>
        <v>1.002292851267319</v>
      </c>
    </row>
    <row r="342" spans="3:42" x14ac:dyDescent="0.2">
      <c r="C342" s="1" t="s">
        <v>63</v>
      </c>
      <c r="E342" s="1">
        <f t="shared" si="213"/>
        <v>0.99514677879793068</v>
      </c>
      <c r="F342" s="1">
        <f t="shared" si="214"/>
        <v>0.999801661870792</v>
      </c>
      <c r="G342" s="1">
        <f t="shared" si="213"/>
        <v>1.0045737770481402</v>
      </c>
      <c r="H342" s="1">
        <f t="shared" si="213"/>
        <v>1.0119415598761636</v>
      </c>
      <c r="I342" s="1">
        <f t="shared" si="213"/>
        <v>1.0149219137686836</v>
      </c>
      <c r="J342" s="1">
        <f t="shared" si="215"/>
        <v>0.99867163109731072</v>
      </c>
      <c r="K342" s="1">
        <f t="shared" si="213"/>
        <v>1.0037194721518872</v>
      </c>
      <c r="L342" s="1">
        <f t="shared" si="213"/>
        <v>0.999778239761826</v>
      </c>
      <c r="M342" s="1">
        <f t="shared" si="213"/>
        <v>1.0028704037392926</v>
      </c>
      <c r="N342" s="1">
        <f t="shared" si="216"/>
        <v>0.99856725018502124</v>
      </c>
      <c r="O342" s="1">
        <f t="shared" si="213"/>
        <v>1.0024529883151447</v>
      </c>
      <c r="P342" s="1">
        <f t="shared" si="213"/>
        <v>1.0040847163944007</v>
      </c>
      <c r="Q342" s="1">
        <f t="shared" si="213"/>
        <v>0.99235123651850976</v>
      </c>
      <c r="R342" s="1">
        <f t="shared" si="213"/>
        <v>1.0038612238429674</v>
      </c>
      <c r="S342" s="1">
        <f t="shared" si="213"/>
        <v>0.99269069092812257</v>
      </c>
      <c r="T342" s="1">
        <f t="shared" si="213"/>
        <v>0.99980423397794149</v>
      </c>
      <c r="U342" s="1">
        <f t="shared" si="218"/>
        <v>1.0013188411384348</v>
      </c>
      <c r="V342" s="1">
        <f t="shared" si="213"/>
        <v>0.99556911447644225</v>
      </c>
      <c r="W342" s="1">
        <f t="shared" si="213"/>
        <v>1.001611011604997</v>
      </c>
      <c r="X342" s="1">
        <f t="shared" si="213"/>
        <v>0.99946206203333332</v>
      </c>
      <c r="Y342" s="1">
        <f t="shared" si="213"/>
        <v>1.0097916708384642</v>
      </c>
      <c r="Z342" s="1">
        <f t="shared" si="213"/>
        <v>1.0038765208180036</v>
      </c>
      <c r="AA342" s="1">
        <f t="shared" si="213"/>
        <v>1.009137593268191</v>
      </c>
      <c r="AB342" s="1">
        <f t="shared" si="213"/>
        <v>1.0015619716707254</v>
      </c>
      <c r="AC342" s="1">
        <f t="shared" si="213"/>
        <v>1.0015415440310584</v>
      </c>
      <c r="AD342" s="1">
        <f t="shared" si="213"/>
        <v>0.99941211944356567</v>
      </c>
      <c r="AE342" s="1">
        <f t="shared" si="213"/>
        <v>1.0015216181805153</v>
      </c>
      <c r="AF342" s="1">
        <f t="shared" si="213"/>
        <v>0.9951055163500524</v>
      </c>
      <c r="AG342" s="1">
        <f t="shared" si="213"/>
        <v>1.0025481012091226</v>
      </c>
      <c r="AH342" s="1">
        <f t="shared" si="213"/>
        <v>1.0002368867233906</v>
      </c>
      <c r="AI342" s="1">
        <f t="shared" si="213"/>
        <v>0.99757115785702333</v>
      </c>
      <c r="AJ342" s="1">
        <f t="shared" si="213"/>
        <v>0.99787115504064205</v>
      </c>
      <c r="AK342" s="1">
        <f t="shared" si="213"/>
        <v>0.99926387868288458</v>
      </c>
      <c r="AL342" s="1">
        <f t="shared" si="213"/>
        <v>0.98912307238900521</v>
      </c>
      <c r="AM342" s="1">
        <f t="shared" si="213"/>
        <v>0.99929758155876758</v>
      </c>
      <c r="AN342" s="1">
        <f t="shared" si="213"/>
        <v>1.0617940433951738</v>
      </c>
      <c r="AO342" s="1">
        <f t="shared" si="213"/>
        <v>1.0027745802649417</v>
      </c>
      <c r="AP342" s="1">
        <f t="shared" si="213"/>
        <v>1.0015060113072236</v>
      </c>
    </row>
    <row r="343" spans="3:42" x14ac:dyDescent="0.2">
      <c r="C343" s="1" t="s">
        <v>66</v>
      </c>
      <c r="E343" s="1">
        <f t="shared" si="213"/>
        <v>0.99437825112441214</v>
      </c>
      <c r="F343" s="1">
        <f t="shared" si="214"/>
        <v>0.99968846736127226</v>
      </c>
      <c r="G343" s="1">
        <f t="shared" si="213"/>
        <v>1.0048034669373178</v>
      </c>
      <c r="H343" s="1">
        <f t="shared" si="213"/>
        <v>1.0119700586764779</v>
      </c>
      <c r="I343" s="1">
        <f t="shared" si="213"/>
        <v>1.0147027098530224</v>
      </c>
      <c r="J343" s="1">
        <f t="shared" si="215"/>
        <v>0.99807309425417767</v>
      </c>
      <c r="K343" s="1">
        <f t="shared" si="213"/>
        <v>1.0039064530557893</v>
      </c>
      <c r="L343" s="1">
        <f t="shared" si="213"/>
        <v>0.99950218545488012</v>
      </c>
      <c r="M343" s="1">
        <f t="shared" si="213"/>
        <v>1.0030262860979844</v>
      </c>
      <c r="N343" s="1">
        <f t="shared" si="216"/>
        <v>0.997896199132563</v>
      </c>
      <c r="O343" s="1">
        <f t="shared" si="213"/>
        <v>1.0019307090069092</v>
      </c>
      <c r="P343" s="1">
        <f t="shared" si="213"/>
        <v>1.004076066434985</v>
      </c>
      <c r="Q343" s="1">
        <f t="shared" si="213"/>
        <v>0.98995477876416782</v>
      </c>
      <c r="R343" s="1">
        <f t="shared" si="213"/>
        <v>1.0042627242752096</v>
      </c>
      <c r="S343" s="1">
        <f t="shared" si="213"/>
        <v>0.98923452724889138</v>
      </c>
      <c r="T343" s="1">
        <f t="shared" si="213"/>
        <v>0.99959980037155427</v>
      </c>
      <c r="U343" s="1">
        <f t="shared" si="218"/>
        <v>0.99960066790650148</v>
      </c>
      <c r="V343" s="1">
        <f t="shared" si="213"/>
        <v>0.99188059736738787</v>
      </c>
      <c r="W343" s="1">
        <f t="shared" si="213"/>
        <v>0.99861633837361685</v>
      </c>
      <c r="X343" s="1">
        <f t="shared" si="213"/>
        <v>0.99778782768073193</v>
      </c>
      <c r="Y343" s="1">
        <f t="shared" si="213"/>
        <v>1.0077455118676768</v>
      </c>
      <c r="Z343" s="1">
        <f t="shared" si="213"/>
        <v>1.0035713903989611</v>
      </c>
      <c r="AA343" s="1">
        <f t="shared" si="213"/>
        <v>1.008770104993068</v>
      </c>
      <c r="AB343" s="1">
        <f t="shared" si="213"/>
        <v>1.0011510125620797</v>
      </c>
      <c r="AC343" s="1">
        <f t="shared" si="213"/>
        <v>1.00049146074325</v>
      </c>
      <c r="AD343" s="1">
        <f t="shared" si="213"/>
        <v>0.99680808780084684</v>
      </c>
      <c r="AE343" s="1">
        <f t="shared" si="213"/>
        <v>1.0003176581093505</v>
      </c>
      <c r="AF343" s="1">
        <f t="shared" si="213"/>
        <v>0.99326071163388929</v>
      </c>
      <c r="AG343" s="1">
        <f t="shared" si="213"/>
        <v>1.0023736499167926</v>
      </c>
      <c r="AH343" s="1">
        <f t="shared" si="213"/>
        <v>1.0001910154864435</v>
      </c>
      <c r="AI343" s="1">
        <f t="shared" si="213"/>
        <v>0.99683628853068806</v>
      </c>
      <c r="AJ343" s="1">
        <f t="shared" si="213"/>
        <v>0.99591761143567537</v>
      </c>
      <c r="AK343" s="1">
        <f t="shared" si="213"/>
        <v>0.99884410802892565</v>
      </c>
      <c r="AL343" s="1">
        <f t="shared" si="213"/>
        <v>0.98486752713746495</v>
      </c>
      <c r="AM343" s="1">
        <f t="shared" si="213"/>
        <v>0.99889629960644022</v>
      </c>
      <c r="AN343" s="1">
        <f t="shared" si="213"/>
        <v>1.0655751771669395</v>
      </c>
      <c r="AO343" s="1">
        <f t="shared" si="213"/>
        <v>1.002802711805945</v>
      </c>
      <c r="AP343" s="1">
        <f t="shared" si="213"/>
        <v>1.0001047575711206</v>
      </c>
    </row>
    <row r="344" spans="3:42" x14ac:dyDescent="0.2">
      <c r="C344" s="1" t="s">
        <v>71</v>
      </c>
      <c r="E344" s="1">
        <f>IF(E$336,IF($C$335="MI",$D189,$D219)*E$10*E$15/((IF($C$335="MI",E$181,E$211)+IF($C$335="MI",E189,E219)/E$11)*E$16),NA())</f>
        <v>0.99234307334558636</v>
      </c>
      <c r="F344" s="1">
        <f t="shared" si="214"/>
        <v>0.9993121007915442</v>
      </c>
      <c r="G344" s="1">
        <f t="shared" si="213"/>
        <v>1.0053595774613726</v>
      </c>
      <c r="H344" s="1">
        <f t="shared" si="213"/>
        <v>1.0120158422497461</v>
      </c>
      <c r="I344" s="1">
        <f t="shared" si="213"/>
        <v>1.0140798393959829</v>
      </c>
      <c r="J344" s="1">
        <f t="shared" si="215"/>
        <v>0.99652789653809071</v>
      </c>
      <c r="K344" s="1">
        <f t="shared" si="213"/>
        <v>1.0042923639037871</v>
      </c>
      <c r="L344" s="1">
        <f t="shared" si="213"/>
        <v>0.99877095553557338</v>
      </c>
      <c r="M344" s="1">
        <f t="shared" si="213"/>
        <v>1.00338304249514</v>
      </c>
      <c r="N344" s="1">
        <f t="shared" si="216"/>
        <v>0.99618265850112875</v>
      </c>
      <c r="O344" s="1">
        <f t="shared" si="213"/>
        <v>1.0006038130321133</v>
      </c>
      <c r="P344" s="1">
        <f t="shared" si="213"/>
        <v>1.0038609483262</v>
      </c>
      <c r="Q344" s="1">
        <f t="shared" si="213"/>
        <v>0.98409399762747884</v>
      </c>
      <c r="R344" s="1">
        <f t="shared" si="213"/>
        <v>1.0059079061299503</v>
      </c>
      <c r="S344" s="1">
        <f t="shared" si="213"/>
        <v>0.9814374910706094</v>
      </c>
      <c r="T344" s="1">
        <f t="shared" si="213"/>
        <v>0.99900863002783047</v>
      </c>
      <c r="U344" s="1">
        <f t="shared" si="218"/>
        <v>0.99422951790172631</v>
      </c>
      <c r="V344" s="1">
        <f t="shared" si="213"/>
        <v>0.98443059392692644</v>
      </c>
      <c r="W344" s="1">
        <f t="shared" si="213"/>
        <v>0.99211153139829678</v>
      </c>
      <c r="X344" s="1">
        <f t="shared" si="213"/>
        <v>0.99368383809176108</v>
      </c>
      <c r="Y344" s="1">
        <f t="shared" si="213"/>
        <v>1.0027888488318693</v>
      </c>
      <c r="Z344" s="1">
        <f t="shared" si="213"/>
        <v>1.0028862969450181</v>
      </c>
      <c r="AA344" s="1">
        <f t="shared" si="213"/>
        <v>1.0078657410019061</v>
      </c>
      <c r="AB344" s="1">
        <f t="shared" si="213"/>
        <v>0.99990933064780008</v>
      </c>
      <c r="AC344" s="1">
        <f t="shared" si="213"/>
        <v>0.99761931201413812</v>
      </c>
      <c r="AD344" s="1">
        <f t="shared" si="213"/>
        <v>0.99225934047191244</v>
      </c>
      <c r="AE344" s="1">
        <f t="shared" si="213"/>
        <v>0.9960603367058436</v>
      </c>
      <c r="AF344" s="1">
        <f t="shared" si="213"/>
        <v>0.98899265649679935</v>
      </c>
      <c r="AG344" s="1">
        <f t="shared" si="213"/>
        <v>1.0019869649498878</v>
      </c>
      <c r="AH344" s="1">
        <f t="shared" si="213"/>
        <v>1.000101528058196</v>
      </c>
      <c r="AI344" s="1">
        <f t="shared" si="213"/>
        <v>0.99536934082717943</v>
      </c>
      <c r="AJ344" s="1">
        <f t="shared" si="213"/>
        <v>0.99069306795318302</v>
      </c>
      <c r="AK344" s="1">
        <f t="shared" si="213"/>
        <v>0.99787645416235426</v>
      </c>
      <c r="AL344" s="1">
        <f t="shared" si="213"/>
        <v>0.9752791351803366</v>
      </c>
      <c r="AM344" s="1">
        <f t="shared" si="213"/>
        <v>0.99781029504211161</v>
      </c>
      <c r="AN344" s="1">
        <f t="shared" si="213"/>
        <v>1.0740420791049758</v>
      </c>
      <c r="AO344" s="1">
        <f t="shared" si="213"/>
        <v>1.0030148363540941</v>
      </c>
      <c r="AP344" s="1">
        <f t="shared" si="213"/>
        <v>0.99640918098477593</v>
      </c>
    </row>
    <row r="345" spans="3:42" x14ac:dyDescent="0.2">
      <c r="C345" s="1" t="s">
        <v>77</v>
      </c>
      <c r="E345" s="1">
        <f t="shared" si="213"/>
        <v>0.98857863297880921</v>
      </c>
      <c r="F345" s="1">
        <f t="shared" si="214"/>
        <v>0.99859605650167094</v>
      </c>
      <c r="G345" s="1">
        <f t="shared" si="213"/>
        <v>1.0059079532155901</v>
      </c>
      <c r="H345" s="1">
        <f t="shared" si="213"/>
        <v>1.0124443436189134</v>
      </c>
      <c r="I345" s="1">
        <f t="shared" si="213"/>
        <v>1.0126922373903364</v>
      </c>
      <c r="J345" s="1">
        <f t="shared" si="215"/>
        <v>0.99403433009831077</v>
      </c>
      <c r="K345" s="1">
        <f t="shared" si="213"/>
        <v>1.0046333332719295</v>
      </c>
      <c r="L345" s="1">
        <f t="shared" si="213"/>
        <v>0.9973151812084593</v>
      </c>
      <c r="M345" s="1">
        <f t="shared" si="213"/>
        <v>1.0037160590070489</v>
      </c>
      <c r="N345" s="1">
        <f t="shared" si="216"/>
        <v>0.99350045453794267</v>
      </c>
      <c r="O345" s="1">
        <f t="shared" si="213"/>
        <v>0.99833539131163651</v>
      </c>
      <c r="P345" s="1">
        <f t="shared" si="213"/>
        <v>1.0032349131401201</v>
      </c>
      <c r="Q345" s="1">
        <f t="shared" si="213"/>
        <v>0.97672923425558811</v>
      </c>
      <c r="R345" s="1">
        <f t="shared" si="213"/>
        <v>1.0086478106136261</v>
      </c>
      <c r="S345" s="1">
        <f t="shared" si="213"/>
        <v>0.97206353840198856</v>
      </c>
      <c r="T345" s="1">
        <f t="shared" si="213"/>
        <v>0.99749430483074397</v>
      </c>
      <c r="U345" s="1">
        <f t="shared" si="218"/>
        <v>0.98862738318114962</v>
      </c>
      <c r="V345" s="1">
        <f t="shared" si="213"/>
        <v>0.97488498818681002</v>
      </c>
      <c r="W345" s="1">
        <f t="shared" si="213"/>
        <v>0.98438779021162626</v>
      </c>
      <c r="X345" s="1">
        <f t="shared" si="213"/>
        <v>0.98800376292418812</v>
      </c>
      <c r="Y345" s="1">
        <f t="shared" si="213"/>
        <v>0.99680860791351633</v>
      </c>
      <c r="Z345" s="1">
        <f t="shared" si="213"/>
        <v>1.0012575531964909</v>
      </c>
      <c r="AA345" s="1">
        <f t="shared" si="213"/>
        <v>1.0061407990955098</v>
      </c>
      <c r="AB345" s="1">
        <f t="shared" si="213"/>
        <v>0.99783415179357959</v>
      </c>
      <c r="AC345" s="1">
        <f t="shared" si="213"/>
        <v>0.99393130897634852</v>
      </c>
      <c r="AD345" s="1">
        <f t="shared" si="213"/>
        <v>0.98452091014699017</v>
      </c>
      <c r="AE345" s="1">
        <f t="shared" si="213"/>
        <v>0.99021029487438772</v>
      </c>
      <c r="AF345" s="1">
        <f t="shared" si="213"/>
        <v>0.98349681401226563</v>
      </c>
      <c r="AG345" s="1">
        <f t="shared" si="213"/>
        <v>1.0013820642474562</v>
      </c>
      <c r="AH345" s="1">
        <f t="shared" si="213"/>
        <v>0.9993854792500011</v>
      </c>
      <c r="AI345" s="1">
        <f t="shared" si="213"/>
        <v>0.99202897141845692</v>
      </c>
      <c r="AJ345" s="1">
        <f t="shared" si="213"/>
        <v>0.98517636503983486</v>
      </c>
      <c r="AK345" s="1">
        <f t="shared" si="213"/>
        <v>0.99574865171939386</v>
      </c>
      <c r="AL345" s="1">
        <f t="shared" si="213"/>
        <v>0.96553748531462635</v>
      </c>
      <c r="AM345" s="1">
        <f t="shared" si="213"/>
        <v>0.99578252597459449</v>
      </c>
      <c r="AN345" s="1">
        <f t="shared" si="213"/>
        <v>1.0534605558989758</v>
      </c>
      <c r="AO345" s="1">
        <f t="shared" si="213"/>
        <v>1.001598942493616</v>
      </c>
      <c r="AP345" s="1">
        <f t="shared" si="213"/>
        <v>0.99145364414947235</v>
      </c>
    </row>
    <row r="346" spans="3:42" x14ac:dyDescent="0.2">
      <c r="C346" s="1" t="s">
        <v>82</v>
      </c>
      <c r="E346" s="1">
        <f t="shared" si="213"/>
        <v>0.98587370014892994</v>
      </c>
      <c r="F346" s="1">
        <f t="shared" si="214"/>
        <v>0.99802488766533171</v>
      </c>
      <c r="G346" s="1">
        <f t="shared" si="213"/>
        <v>1.0065164745037285</v>
      </c>
      <c r="H346" s="1">
        <f t="shared" si="213"/>
        <v>1.0125505394248329</v>
      </c>
      <c r="I346" s="1">
        <f t="shared" si="213"/>
        <v>1.0117549824011141</v>
      </c>
      <c r="J346" s="1">
        <f t="shared" si="215"/>
        <v>0.99204078686708475</v>
      </c>
      <c r="K346" s="1">
        <f t="shared" si="213"/>
        <v>1.0050656880013904</v>
      </c>
      <c r="L346" s="1">
        <f t="shared" si="213"/>
        <v>0.99628637938450937</v>
      </c>
      <c r="M346" s="1">
        <f t="shared" si="213"/>
        <v>1.0039940773584939</v>
      </c>
      <c r="N346" s="1">
        <f t="shared" si="216"/>
        <v>0.99131312582440756</v>
      </c>
      <c r="O346" s="1">
        <f t="shared" si="213"/>
        <v>0.99664638093422742</v>
      </c>
      <c r="P346" s="1">
        <f t="shared" si="213"/>
        <v>1.0028641133090777</v>
      </c>
      <c r="Q346" s="1">
        <f t="shared" si="213"/>
        <v>0.96975916714811961</v>
      </c>
      <c r="R346" s="1">
        <f t="shared" si="213"/>
        <v>1.0109311457401</v>
      </c>
      <c r="S346" s="1">
        <f t="shared" si="213"/>
        <v>0.96226864261561018</v>
      </c>
      <c r="T346" s="1">
        <f t="shared" si="213"/>
        <v>0.99633051273940165</v>
      </c>
      <c r="U346" s="1">
        <f t="shared" si="218"/>
        <v>0.98469969648843236</v>
      </c>
      <c r="V346" s="1">
        <f t="shared" si="213"/>
        <v>0.96689076654795847</v>
      </c>
      <c r="W346" s="1">
        <f t="shared" si="213"/>
        <v>0.97751798150564417</v>
      </c>
      <c r="X346" s="1">
        <f t="shared" si="213"/>
        <v>0.9831272203214978</v>
      </c>
      <c r="Y346" s="1">
        <f t="shared" si="213"/>
        <v>0.9910412407742536</v>
      </c>
      <c r="Z346" s="1">
        <f t="shared" si="213"/>
        <v>1.0000578681617038</v>
      </c>
      <c r="AA346" s="1">
        <f t="shared" si="213"/>
        <v>1.0051060798422931</v>
      </c>
      <c r="AB346" s="1">
        <f t="shared" si="213"/>
        <v>0.99620570891358218</v>
      </c>
      <c r="AC346" s="1">
        <f t="shared" si="213"/>
        <v>0.99078165502305671</v>
      </c>
      <c r="AD346" s="1">
        <f t="shared" si="213"/>
        <v>0.97819687971308855</v>
      </c>
      <c r="AE346" s="1">
        <f t="shared" si="213"/>
        <v>0.98435774370349394</v>
      </c>
      <c r="AF346" s="1">
        <f t="shared" si="213"/>
        <v>0.97802992519765586</v>
      </c>
      <c r="AG346" s="1">
        <f t="shared" si="213"/>
        <v>1.000690012490252</v>
      </c>
      <c r="AH346" s="1">
        <f t="shared" si="213"/>
        <v>0.99916526467250677</v>
      </c>
      <c r="AI346" s="1">
        <f t="shared" si="213"/>
        <v>0.98878773002420639</v>
      </c>
      <c r="AJ346" s="1">
        <f t="shared" si="213"/>
        <v>0.98099225660993261</v>
      </c>
      <c r="AK346" s="1">
        <f t="shared" si="213"/>
        <v>0.99421395440665128</v>
      </c>
      <c r="AL346" s="1">
        <f t="shared" si="213"/>
        <v>0.95781764050082074</v>
      </c>
      <c r="AM346" s="1">
        <f t="shared" si="213"/>
        <v>0.99402502318937613</v>
      </c>
      <c r="AN346" s="1">
        <f t="shared" si="213"/>
        <v>1.0461996977344659</v>
      </c>
      <c r="AO346" s="1">
        <f t="shared" si="213"/>
        <v>1.0013437407848351</v>
      </c>
      <c r="AP346" s="1">
        <f t="shared" si="213"/>
        <v>0.98781491052595471</v>
      </c>
    </row>
    <row r="347" spans="3:42" x14ac:dyDescent="0.2">
      <c r="C347" s="1" t="s">
        <v>85</v>
      </c>
      <c r="E347" s="1">
        <f t="shared" si="213"/>
        <v>0.98328100131394169</v>
      </c>
      <c r="F347" s="1">
        <f t="shared" si="214"/>
        <v>0.99739068325002367</v>
      </c>
      <c r="G347" s="1">
        <f t="shared" si="213"/>
        <v>1.0069787437089681</v>
      </c>
      <c r="H347" s="1">
        <f t="shared" si="213"/>
        <v>1.012511062525814</v>
      </c>
      <c r="I347" s="1">
        <f t="shared" si="213"/>
        <v>1.010830325574972</v>
      </c>
      <c r="J347" s="1">
        <f t="shared" si="215"/>
        <v>0.99017136048349152</v>
      </c>
      <c r="K347" s="1">
        <f t="shared" si="213"/>
        <v>1.0053112659240728</v>
      </c>
      <c r="L347" s="1">
        <f t="shared" si="213"/>
        <v>0.99532229782463832</v>
      </c>
      <c r="M347" s="1">
        <f t="shared" si="213"/>
        <v>1.0042156818527603</v>
      </c>
      <c r="N347" s="1">
        <f t="shared" si="216"/>
        <v>0.98920845671642099</v>
      </c>
      <c r="O347" s="1">
        <f t="shared" si="213"/>
        <v>0.99506821859165107</v>
      </c>
      <c r="P347" s="1">
        <f t="shared" si="213"/>
        <v>1.0025115911706322</v>
      </c>
      <c r="Q347" s="1">
        <f t="shared" si="213"/>
        <v>0.96339703634865359</v>
      </c>
      <c r="R347" s="1">
        <f t="shared" si="213"/>
        <v>1.013146718194184</v>
      </c>
      <c r="S347" s="1">
        <f t="shared" si="213"/>
        <v>0.95385208048309855</v>
      </c>
      <c r="T347" s="1">
        <f t="shared" si="213"/>
        <v>0.9951412149480463</v>
      </c>
      <c r="U347" s="1">
        <f t="shared" si="218"/>
        <v>0.98072606043174404</v>
      </c>
      <c r="V347" s="1">
        <f t="shared" si="213"/>
        <v>0.95880698748897275</v>
      </c>
      <c r="W347" s="1">
        <f t="shared" ref="E347:AP354" si="219">IF(W$336,IF($C$335="MI",$D192,$D222)*W$10*W$15/((IF($C$335="MI",W$181,W$211)+IF($C$335="MI",W192,W222)/W$11)*W$16),NA())</f>
        <v>0.97037977296061395</v>
      </c>
      <c r="X347" s="1">
        <f t="shared" si="219"/>
        <v>0.97818810674603007</v>
      </c>
      <c r="Y347" s="1">
        <f t="shared" si="219"/>
        <v>0.98519910605768868</v>
      </c>
      <c r="Z347" s="1">
        <f t="shared" si="219"/>
        <v>0.99885802219131725</v>
      </c>
      <c r="AA347" s="1">
        <f t="shared" si="219"/>
        <v>1.0041006186422907</v>
      </c>
      <c r="AB347" s="1">
        <f t="shared" si="219"/>
        <v>0.99458787410504501</v>
      </c>
      <c r="AC347" s="1">
        <f t="shared" si="219"/>
        <v>0.98770947933609321</v>
      </c>
      <c r="AD347" s="1">
        <f t="shared" si="219"/>
        <v>0.97205387248094555</v>
      </c>
      <c r="AE347" s="1">
        <f t="shared" si="219"/>
        <v>0.97842947477321829</v>
      </c>
      <c r="AF347" s="1">
        <f t="shared" si="219"/>
        <v>0.97249204787452936</v>
      </c>
      <c r="AG347" s="1">
        <f t="shared" si="219"/>
        <v>1.0000380726446461</v>
      </c>
      <c r="AH347" s="1">
        <f t="shared" si="219"/>
        <v>0.99900119256907161</v>
      </c>
      <c r="AI347" s="1">
        <f t="shared" si="219"/>
        <v>0.98551506494676866</v>
      </c>
      <c r="AJ347" s="1">
        <f t="shared" si="219"/>
        <v>0.97730960420861979</v>
      </c>
      <c r="AK347" s="1">
        <f t="shared" si="219"/>
        <v>0.99276937440102775</v>
      </c>
      <c r="AL347" s="1">
        <f t="shared" si="219"/>
        <v>0.95000957659837326</v>
      </c>
      <c r="AM347" s="1">
        <f t="shared" si="219"/>
        <v>0.99236281297515339</v>
      </c>
      <c r="AN347" s="1">
        <f t="shared" si="219"/>
        <v>1.0399220472501223</v>
      </c>
      <c r="AO347" s="1">
        <f t="shared" si="219"/>
        <v>1.0011435927692784</v>
      </c>
      <c r="AP347" s="1">
        <f t="shared" si="219"/>
        <v>0.98405791939570153</v>
      </c>
    </row>
    <row r="348" spans="3:42" x14ac:dyDescent="0.2">
      <c r="C348" s="1" t="s">
        <v>87</v>
      </c>
      <c r="E348" s="1">
        <f t="shared" si="219"/>
        <v>0.97944461348526979</v>
      </c>
      <c r="F348" s="1">
        <f t="shared" si="214"/>
        <v>0.99658488860932548</v>
      </c>
      <c r="G348" s="1">
        <f t="shared" si="219"/>
        <v>1.0073686357560734</v>
      </c>
      <c r="H348" s="1">
        <f t="shared" si="219"/>
        <v>1.0126847760858091</v>
      </c>
      <c r="I348" s="1">
        <f t="shared" si="219"/>
        <v>1.0092681740554883</v>
      </c>
      <c r="J348" s="1">
        <f t="shared" si="215"/>
        <v>0.98765241471048526</v>
      </c>
      <c r="K348" s="1">
        <f t="shared" si="219"/>
        <v>1.0053628569302504</v>
      </c>
      <c r="L348" s="1">
        <f t="shared" si="219"/>
        <v>0.99382661733275024</v>
      </c>
      <c r="M348" s="1">
        <f t="shared" si="219"/>
        <v>1.0042250987026915</v>
      </c>
      <c r="N348" s="1">
        <f t="shared" si="216"/>
        <v>0.98651822761562125</v>
      </c>
      <c r="O348" s="1">
        <f t="shared" si="219"/>
        <v>0.99288381525089808</v>
      </c>
      <c r="P348" s="1">
        <f t="shared" si="219"/>
        <v>1.0012279329668781</v>
      </c>
      <c r="Q348" s="1">
        <f t="shared" si="219"/>
        <v>0.95631531106795165</v>
      </c>
      <c r="R348" s="1">
        <f t="shared" si="219"/>
        <v>1.0147979901442357</v>
      </c>
      <c r="S348" s="1">
        <f t="shared" si="219"/>
        <v>0.94456353983781116</v>
      </c>
      <c r="T348" s="1">
        <f t="shared" si="219"/>
        <v>0.9932695710567776</v>
      </c>
      <c r="U348" s="1">
        <f t="shared" si="218"/>
        <v>0.97620707777474669</v>
      </c>
      <c r="V348" s="1">
        <f t="shared" si="219"/>
        <v>0.95041649427293151</v>
      </c>
      <c r="W348" s="1">
        <f t="shared" si="219"/>
        <v>0.96322463848532258</v>
      </c>
      <c r="X348" s="1">
        <f t="shared" si="219"/>
        <v>0.97275158928066874</v>
      </c>
      <c r="Y348" s="1">
        <f t="shared" si="219"/>
        <v>0.97890039898387693</v>
      </c>
      <c r="Z348" s="1">
        <f t="shared" si="219"/>
        <v>0.99697195565897134</v>
      </c>
      <c r="AA348" s="1">
        <f t="shared" si="219"/>
        <v>1.0024139680854505</v>
      </c>
      <c r="AB348" s="1">
        <f t="shared" si="219"/>
        <v>0.99231740334596019</v>
      </c>
      <c r="AC348" s="1">
        <f t="shared" si="219"/>
        <v>0.98380366894534887</v>
      </c>
      <c r="AD348" s="1">
        <f t="shared" si="219"/>
        <v>0.96634357869480303</v>
      </c>
      <c r="AE348" s="1">
        <f t="shared" si="219"/>
        <v>0.97205446796483286</v>
      </c>
      <c r="AF348" s="1">
        <f t="shared" si="219"/>
        <v>0.96649150077212076</v>
      </c>
      <c r="AG348" s="1">
        <f t="shared" si="219"/>
        <v>0.99869592768397142</v>
      </c>
      <c r="AH348" s="1">
        <f t="shared" si="219"/>
        <v>0.99813199543550257</v>
      </c>
      <c r="AI348" s="1">
        <f t="shared" si="219"/>
        <v>0.98166235848377781</v>
      </c>
      <c r="AJ348" s="1">
        <f t="shared" si="219"/>
        <v>0.97297471030819993</v>
      </c>
      <c r="AK348" s="1">
        <f t="shared" si="219"/>
        <v>0.99064762811782969</v>
      </c>
      <c r="AL348" s="1">
        <f t="shared" si="219"/>
        <v>0.94188520328180436</v>
      </c>
      <c r="AM348" s="1">
        <f t="shared" si="219"/>
        <v>0.99000916280612639</v>
      </c>
      <c r="AN348" s="1">
        <f t="shared" si="219"/>
        <v>1.0326627846361456</v>
      </c>
      <c r="AO348" s="1">
        <f t="shared" si="219"/>
        <v>1.0002379232734893</v>
      </c>
      <c r="AP348" s="1">
        <f t="shared" si="219"/>
        <v>0.97989616253507927</v>
      </c>
    </row>
    <row r="349" spans="3:42" x14ac:dyDescent="0.2">
      <c r="C349" s="1" t="s">
        <v>90</v>
      </c>
      <c r="E349" s="1">
        <f t="shared" si="219"/>
        <v>0.97632571728424378</v>
      </c>
      <c r="F349" s="1">
        <f t="shared" si="214"/>
        <v>0.99580336505392142</v>
      </c>
      <c r="G349" s="1">
        <f t="shared" si="219"/>
        <v>1.0078157656177107</v>
      </c>
      <c r="H349" s="1">
        <f t="shared" si="219"/>
        <v>1.0126329412691657</v>
      </c>
      <c r="I349" s="1">
        <f t="shared" si="219"/>
        <v>1.0081010490968458</v>
      </c>
      <c r="J349" s="1">
        <f t="shared" si="215"/>
        <v>0.98546703795757018</v>
      </c>
      <c r="K349" s="1">
        <f t="shared" si="219"/>
        <v>1.0055670720155487</v>
      </c>
      <c r="L349" s="1">
        <f t="shared" si="219"/>
        <v>0.99266772765202316</v>
      </c>
      <c r="M349" s="1">
        <f t="shared" si="219"/>
        <v>1.0042668720301662</v>
      </c>
      <c r="N349" s="1">
        <f t="shared" si="216"/>
        <v>0.98407130997408909</v>
      </c>
      <c r="O349" s="1">
        <f t="shared" si="219"/>
        <v>0.99109258632581865</v>
      </c>
      <c r="P349" s="1">
        <f t="shared" si="219"/>
        <v>1.0007827394119539</v>
      </c>
      <c r="Q349" s="1">
        <f t="shared" si="219"/>
        <v>0.94913604336298119</v>
      </c>
      <c r="R349" s="1">
        <f t="shared" si="219"/>
        <v>1.0164232726075544</v>
      </c>
      <c r="S349" s="1">
        <f t="shared" si="219"/>
        <v>0.93522928024157903</v>
      </c>
      <c r="T349" s="1">
        <f t="shared" si="219"/>
        <v>0.99169017658074243</v>
      </c>
      <c r="U349" s="1">
        <f t="shared" si="218"/>
        <v>0.97186100918005069</v>
      </c>
      <c r="V349" s="1">
        <f t="shared" si="219"/>
        <v>0.94246861978201169</v>
      </c>
      <c r="W349" s="1">
        <f t="shared" si="219"/>
        <v>0.95661966199718262</v>
      </c>
      <c r="X349" s="1">
        <f t="shared" si="219"/>
        <v>0.96752691159514936</v>
      </c>
      <c r="Y349" s="1">
        <f t="shared" si="219"/>
        <v>0.97214812125961458</v>
      </c>
      <c r="Z349" s="1">
        <f t="shared" si="219"/>
        <v>0.99549023245054435</v>
      </c>
      <c r="AA349" s="1">
        <f t="shared" si="219"/>
        <v>1.0014428405439137</v>
      </c>
      <c r="AB349" s="1">
        <f t="shared" si="219"/>
        <v>0.99034690737530995</v>
      </c>
      <c r="AC349" s="1">
        <f t="shared" si="219"/>
        <v>0.980446066511105</v>
      </c>
      <c r="AD349" s="1">
        <f t="shared" si="219"/>
        <v>0.95995072914934698</v>
      </c>
      <c r="AE349" s="1">
        <f t="shared" si="219"/>
        <v>0.96512646755020881</v>
      </c>
      <c r="AF349" s="1">
        <f t="shared" si="219"/>
        <v>0.96196159819292681</v>
      </c>
      <c r="AG349" s="1">
        <f t="shared" si="219"/>
        <v>0.997422261238606</v>
      </c>
      <c r="AH349" s="1">
        <f t="shared" si="219"/>
        <v>0.99791835466106038</v>
      </c>
      <c r="AI349" s="1">
        <f t="shared" si="219"/>
        <v>0.97834308244543733</v>
      </c>
      <c r="AJ349" s="1">
        <f t="shared" si="219"/>
        <v>0.9690147411386788</v>
      </c>
      <c r="AK349" s="1">
        <f t="shared" si="219"/>
        <v>0.98885007840210182</v>
      </c>
      <c r="AL349" s="1">
        <f t="shared" si="219"/>
        <v>0.93335637173828434</v>
      </c>
      <c r="AM349" s="1">
        <f t="shared" si="219"/>
        <v>0.98759561241863125</v>
      </c>
      <c r="AN349" s="1">
        <f t="shared" si="219"/>
        <v>1.0222647921575836</v>
      </c>
      <c r="AO349" s="1">
        <f t="shared" si="219"/>
        <v>0.99944630001701429</v>
      </c>
      <c r="AP349" s="1">
        <f t="shared" si="219"/>
        <v>0.97629834716070785</v>
      </c>
    </row>
    <row r="350" spans="3:42" x14ac:dyDescent="0.2">
      <c r="C350" s="1" t="s">
        <v>93</v>
      </c>
      <c r="E350" s="1">
        <f t="shared" si="219"/>
        <v>0.97331411769215337</v>
      </c>
      <c r="F350" s="1">
        <f t="shared" si="214"/>
        <v>0.99498683669231214</v>
      </c>
      <c r="G350" s="1">
        <f t="shared" si="219"/>
        <v>1.0082278814897914</v>
      </c>
      <c r="H350" s="1">
        <f t="shared" si="219"/>
        <v>1.012506653034879</v>
      </c>
      <c r="I350" s="1">
        <f t="shared" si="219"/>
        <v>1.0069354078184694</v>
      </c>
      <c r="J350" s="1">
        <f t="shared" si="215"/>
        <v>0.98334996195198121</v>
      </c>
      <c r="K350" s="1">
        <f t="shared" si="219"/>
        <v>1.0056269104360902</v>
      </c>
      <c r="L350" s="1">
        <f t="shared" si="219"/>
        <v>0.99155927847215064</v>
      </c>
      <c r="M350" s="1">
        <f t="shared" si="219"/>
        <v>1.0043477827943779</v>
      </c>
      <c r="N350" s="1">
        <f t="shared" si="216"/>
        <v>0.98174259267349062</v>
      </c>
      <c r="O350" s="1">
        <f t="shared" si="219"/>
        <v>0.98934696510471665</v>
      </c>
      <c r="P350" s="1">
        <f t="shared" si="219"/>
        <v>1.0002166077848751</v>
      </c>
      <c r="Q350" s="1">
        <f t="shared" si="219"/>
        <v>0.94273292353292548</v>
      </c>
      <c r="R350" s="1">
        <f t="shared" si="219"/>
        <v>1.0178547330252634</v>
      </c>
      <c r="S350" s="1">
        <f t="shared" si="219"/>
        <v>0.92606580915742065</v>
      </c>
      <c r="T350" s="1">
        <f t="shared" si="219"/>
        <v>0.99012993973621211</v>
      </c>
      <c r="U350" s="1">
        <f t="shared" si="218"/>
        <v>0.96789388095237017</v>
      </c>
      <c r="V350" s="1">
        <f t="shared" si="219"/>
        <v>0.9354099421180867</v>
      </c>
      <c r="W350" s="1">
        <f t="shared" si="219"/>
        <v>0.95010141715514618</v>
      </c>
      <c r="X350" s="1">
        <f t="shared" si="219"/>
        <v>0.9628006137796602</v>
      </c>
      <c r="Y350" s="1">
        <f t="shared" si="219"/>
        <v>0.96610526702368038</v>
      </c>
      <c r="Z350" s="1">
        <f t="shared" si="219"/>
        <v>0.99401489581856273</v>
      </c>
      <c r="AA350" s="1">
        <f t="shared" si="219"/>
        <v>1.0004143439523618</v>
      </c>
      <c r="AB350" s="1">
        <f t="shared" si="219"/>
        <v>0.98844456334964248</v>
      </c>
      <c r="AC350" s="1">
        <f t="shared" si="219"/>
        <v>0.97728126702355667</v>
      </c>
      <c r="AD350" s="1">
        <f t="shared" si="219"/>
        <v>0.95448449288369042</v>
      </c>
      <c r="AE350" s="1">
        <f t="shared" si="219"/>
        <v>0.95893457875588928</v>
      </c>
      <c r="AF350" s="1">
        <f t="shared" si="219"/>
        <v>0.95783729048540844</v>
      </c>
      <c r="AG350" s="1">
        <f t="shared" si="219"/>
        <v>0.99612898267542294</v>
      </c>
      <c r="AH350" s="1">
        <f t="shared" si="219"/>
        <v>0.99755652558393448</v>
      </c>
      <c r="AI350" s="1">
        <f t="shared" si="219"/>
        <v>0.97526628818968919</v>
      </c>
      <c r="AJ350" s="1">
        <f t="shared" si="219"/>
        <v>0.96531941140856647</v>
      </c>
      <c r="AK350" s="1">
        <f t="shared" si="219"/>
        <v>0.98709932708574455</v>
      </c>
      <c r="AL350" s="1">
        <f t="shared" si="219"/>
        <v>0.9258049503263176</v>
      </c>
      <c r="AM350" s="1">
        <f t="shared" si="219"/>
        <v>0.98530656283426854</v>
      </c>
      <c r="AN350" s="1">
        <f t="shared" si="219"/>
        <v>1.0130957294337832</v>
      </c>
      <c r="AO350" s="1">
        <f t="shared" si="219"/>
        <v>0.99857581889132174</v>
      </c>
      <c r="AP350" s="1">
        <f t="shared" si="219"/>
        <v>0.97273326900384594</v>
      </c>
    </row>
    <row r="351" spans="3:42" x14ac:dyDescent="0.2">
      <c r="C351" s="1" t="s">
        <v>96</v>
      </c>
      <c r="E351" s="1">
        <f t="shared" si="219"/>
        <v>0.96943270786371638</v>
      </c>
      <c r="F351" s="1">
        <f t="shared" si="214"/>
        <v>0.99428979780988791</v>
      </c>
      <c r="G351" s="1">
        <f t="shared" si="219"/>
        <v>1.0088255780862467</v>
      </c>
      <c r="H351" s="1">
        <f t="shared" si="219"/>
        <v>1.0127876847485631</v>
      </c>
      <c r="I351" s="1">
        <f t="shared" si="219"/>
        <v>1.0054759211937569</v>
      </c>
      <c r="J351" s="1">
        <f t="shared" si="215"/>
        <v>0.98096774905768924</v>
      </c>
      <c r="K351" s="1">
        <f t="shared" si="219"/>
        <v>1.0060112941361545</v>
      </c>
      <c r="L351" s="1">
        <f t="shared" si="219"/>
        <v>0.99021864536101845</v>
      </c>
      <c r="M351" s="1">
        <f t="shared" si="219"/>
        <v>1.0044107481818867</v>
      </c>
      <c r="N351" s="1">
        <f t="shared" si="216"/>
        <v>0.97903632722382228</v>
      </c>
      <c r="O351" s="1">
        <f t="shared" si="219"/>
        <v>0.98728196341432228</v>
      </c>
      <c r="P351" s="1">
        <f t="shared" si="219"/>
        <v>0.99936667083832598</v>
      </c>
      <c r="Q351" s="1">
        <f t="shared" si="219"/>
        <v>0.93593217397287698</v>
      </c>
      <c r="R351" s="1">
        <f t="shared" si="219"/>
        <v>1.0191372749614198</v>
      </c>
      <c r="S351" s="1">
        <f t="shared" si="219"/>
        <v>0.91700315195939375</v>
      </c>
      <c r="T351" s="1">
        <f t="shared" si="219"/>
        <v>0.98825576382640523</v>
      </c>
      <c r="U351" s="1">
        <f t="shared" si="218"/>
        <v>0.96355728464752399</v>
      </c>
      <c r="V351" s="1">
        <f t="shared" si="219"/>
        <v>0.92795118528824871</v>
      </c>
      <c r="W351" s="1">
        <f t="shared" si="219"/>
        <v>0.94351107191101125</v>
      </c>
      <c r="X351" s="1">
        <f t="shared" si="219"/>
        <v>0.9572546773143471</v>
      </c>
      <c r="Y351" s="1">
        <f t="shared" si="219"/>
        <v>0.95966035942618866</v>
      </c>
      <c r="Z351" s="1">
        <f t="shared" si="219"/>
        <v>0.9922272168226931</v>
      </c>
      <c r="AA351" s="1">
        <f t="shared" si="219"/>
        <v>0.9990861988553319</v>
      </c>
      <c r="AB351" s="1">
        <f t="shared" si="219"/>
        <v>0.98621841892338835</v>
      </c>
      <c r="AC351" s="1">
        <f t="shared" si="219"/>
        <v>0.97387185771292262</v>
      </c>
      <c r="AD351" s="1">
        <f t="shared" si="219"/>
        <v>0.94848310495633659</v>
      </c>
      <c r="AE351" s="1">
        <f t="shared" si="219"/>
        <v>0.95234145859203756</v>
      </c>
      <c r="AF351" s="1">
        <f t="shared" si="219"/>
        <v>0.95334339136580959</v>
      </c>
      <c r="AG351" s="1">
        <f t="shared" si="219"/>
        <v>0.99452856007817292</v>
      </c>
      <c r="AH351" s="1">
        <f t="shared" si="219"/>
        <v>0.99691885612679576</v>
      </c>
      <c r="AI351" s="1">
        <f t="shared" si="219"/>
        <v>0.97183778401203913</v>
      </c>
      <c r="AJ351" s="1">
        <f t="shared" si="219"/>
        <v>0.96130267471768804</v>
      </c>
      <c r="AK351" s="1">
        <f t="shared" si="219"/>
        <v>0.98502964732968878</v>
      </c>
      <c r="AL351" s="1">
        <f t="shared" si="219"/>
        <v>0.91785467767985152</v>
      </c>
      <c r="AM351" s="1">
        <f t="shared" si="219"/>
        <v>0.98268351158530087</v>
      </c>
      <c r="AN351" s="1">
        <f t="shared" si="219"/>
        <v>1.0034883345277632</v>
      </c>
      <c r="AO351" s="1">
        <f t="shared" si="219"/>
        <v>0.99741147160150689</v>
      </c>
      <c r="AP351" s="1">
        <f t="shared" si="219"/>
        <v>0.96894070447505043</v>
      </c>
    </row>
    <row r="352" spans="3:42" x14ac:dyDescent="0.2">
      <c r="C352" s="1" t="s">
        <v>99</v>
      </c>
      <c r="E352" s="1">
        <f t="shared" si="219"/>
        <v>0.96640127882137261</v>
      </c>
      <c r="F352" s="1">
        <f t="shared" si="214"/>
        <v>0.99364624255216127</v>
      </c>
      <c r="G352" s="1">
        <f t="shared" si="219"/>
        <v>1.0094429791649566</v>
      </c>
      <c r="H352" s="1">
        <f t="shared" si="219"/>
        <v>1.0129434006050708</v>
      </c>
      <c r="I352" s="1">
        <f t="shared" si="219"/>
        <v>1.0045621733107606</v>
      </c>
      <c r="J352" s="1">
        <f t="shared" si="215"/>
        <v>0.97902115534324263</v>
      </c>
      <c r="K352" s="1">
        <f t="shared" si="219"/>
        <v>1.0064437391092571</v>
      </c>
      <c r="L352" s="1">
        <f t="shared" si="219"/>
        <v>0.98931767516239932</v>
      </c>
      <c r="M352" s="1">
        <f t="shared" si="219"/>
        <v>1.0046632186707667</v>
      </c>
      <c r="N352" s="1">
        <f t="shared" si="216"/>
        <v>0.97678975118188383</v>
      </c>
      <c r="O352" s="1">
        <f t="shared" si="219"/>
        <v>0.98590395272275611</v>
      </c>
      <c r="P352" s="1">
        <f t="shared" si="219"/>
        <v>0.99899072115853416</v>
      </c>
      <c r="Q352" s="1">
        <f t="shared" si="219"/>
        <v>0.92918193922578185</v>
      </c>
      <c r="R352" s="1">
        <f t="shared" si="219"/>
        <v>1.0200205084811855</v>
      </c>
      <c r="S352" s="1">
        <f t="shared" si="219"/>
        <v>0.90763515922309845</v>
      </c>
      <c r="T352" s="1">
        <f t="shared" si="219"/>
        <v>0.98682195760113944</v>
      </c>
      <c r="U352" s="1">
        <f t="shared" si="218"/>
        <v>0.95994351419518009</v>
      </c>
      <c r="V352" s="1">
        <f t="shared" si="219"/>
        <v>0.9212724834595144</v>
      </c>
      <c r="W352" s="1">
        <f t="shared" si="219"/>
        <v>0.93711721842335483</v>
      </c>
      <c r="X352" s="1">
        <f t="shared" si="219"/>
        <v>0.95264898941330778</v>
      </c>
      <c r="Y352" s="1">
        <f t="shared" si="219"/>
        <v>0.9531316181496734</v>
      </c>
      <c r="Z352" s="1">
        <f t="shared" si="219"/>
        <v>0.99085713307340417</v>
      </c>
      <c r="AA352" s="1">
        <f t="shared" si="219"/>
        <v>0.99840714808707687</v>
      </c>
      <c r="AB352" s="1">
        <f t="shared" si="219"/>
        <v>0.98422819474324541</v>
      </c>
      <c r="AC352" s="1">
        <f t="shared" si="219"/>
        <v>0.97054585721135034</v>
      </c>
      <c r="AD352" s="1">
        <f t="shared" si="219"/>
        <v>0.94350123510840556</v>
      </c>
      <c r="AE352" s="1">
        <f t="shared" si="219"/>
        <v>0.94581633657827913</v>
      </c>
      <c r="AF352" s="1">
        <f t="shared" si="219"/>
        <v>0.94850928291670289</v>
      </c>
      <c r="AG352" s="1">
        <f t="shared" si="219"/>
        <v>0.99337531028966564</v>
      </c>
      <c r="AH352" s="1">
        <f t="shared" si="219"/>
        <v>0.99695707743946671</v>
      </c>
      <c r="AI352" s="1">
        <f t="shared" si="219"/>
        <v>0.96902397747948499</v>
      </c>
      <c r="AJ352" s="1">
        <f t="shared" si="219"/>
        <v>0.95763482898209007</v>
      </c>
      <c r="AK352" s="1">
        <f t="shared" si="219"/>
        <v>0.98325226268726773</v>
      </c>
      <c r="AL352" s="1">
        <f t="shared" si="219"/>
        <v>0.90996728195657117</v>
      </c>
      <c r="AM352" s="1">
        <f t="shared" si="219"/>
        <v>0.98031412138290963</v>
      </c>
      <c r="AN352" s="1">
        <f t="shared" si="219"/>
        <v>0.99347297078765739</v>
      </c>
      <c r="AO352" s="1">
        <f t="shared" si="219"/>
        <v>0.99666190574336033</v>
      </c>
      <c r="AP352" s="1">
        <f t="shared" si="219"/>
        <v>0.96592151975031237</v>
      </c>
    </row>
    <row r="353" spans="2:42" x14ac:dyDescent="0.2">
      <c r="C353" s="1" t="s">
        <v>101</v>
      </c>
      <c r="E353" s="1">
        <f t="shared" si="219"/>
        <v>0.96343361541270445</v>
      </c>
      <c r="F353" s="1">
        <f t="shared" si="214"/>
        <v>0.99305137964813384</v>
      </c>
      <c r="G353" s="1">
        <f t="shared" si="219"/>
        <v>1.0101635812614387</v>
      </c>
      <c r="H353" s="1">
        <f t="shared" si="219"/>
        <v>1.0130948567261577</v>
      </c>
      <c r="I353" s="1">
        <f t="shared" si="219"/>
        <v>1.003606356766706</v>
      </c>
      <c r="J353" s="1">
        <f t="shared" si="215"/>
        <v>0.97713120264699671</v>
      </c>
      <c r="K353" s="1">
        <f t="shared" si="219"/>
        <v>1.0068082132444189</v>
      </c>
      <c r="L353" s="1">
        <f t="shared" si="219"/>
        <v>0.98847554722878017</v>
      </c>
      <c r="M353" s="1">
        <f t="shared" si="219"/>
        <v>1.0049178870328981</v>
      </c>
      <c r="N353" s="1">
        <f t="shared" si="216"/>
        <v>0.97461943117386174</v>
      </c>
      <c r="O353" s="1">
        <f t="shared" si="219"/>
        <v>0.98455654707787055</v>
      </c>
      <c r="P353" s="1">
        <f t="shared" si="219"/>
        <v>0.99854942853205542</v>
      </c>
      <c r="Q353" s="1">
        <f t="shared" si="219"/>
        <v>0.92303936715496238</v>
      </c>
      <c r="R353" s="1">
        <f t="shared" si="219"/>
        <v>1.0207223344633209</v>
      </c>
      <c r="S353" s="1">
        <f t="shared" si="219"/>
        <v>0.89965035794518911</v>
      </c>
      <c r="T353" s="1">
        <f t="shared" si="219"/>
        <v>0.98542403381669375</v>
      </c>
      <c r="U353" s="1">
        <f t="shared" si="218"/>
        <v>0.9565873086573794</v>
      </c>
      <c r="V353" s="1">
        <f t="shared" si="219"/>
        <v>0.91519463891606501</v>
      </c>
      <c r="W353" s="1">
        <f t="shared" si="219"/>
        <v>0.93157522465248388</v>
      </c>
      <c r="X353" s="1">
        <f t="shared" si="219"/>
        <v>0.94799271295786036</v>
      </c>
      <c r="Y353" s="1">
        <f t="shared" si="219"/>
        <v>0.94747366390757226</v>
      </c>
      <c r="Z353" s="1">
        <f t="shared" si="219"/>
        <v>0.98951638004030917</v>
      </c>
      <c r="AA353" s="1">
        <f t="shared" si="219"/>
        <v>0.99769106008801534</v>
      </c>
      <c r="AB353" s="1">
        <f t="shared" si="219"/>
        <v>0.98232829901354191</v>
      </c>
      <c r="AC353" s="1">
        <f t="shared" si="219"/>
        <v>0.96744628256387821</v>
      </c>
      <c r="AD353" s="1">
        <f t="shared" si="219"/>
        <v>0.93892531115607225</v>
      </c>
      <c r="AE353" s="1">
        <f t="shared" si="219"/>
        <v>0.93986981871294406</v>
      </c>
      <c r="AF353" s="1">
        <f t="shared" si="219"/>
        <v>0.94406426986504688</v>
      </c>
      <c r="AG353" s="1">
        <f t="shared" si="219"/>
        <v>0.99223036837535405</v>
      </c>
      <c r="AH353" s="1">
        <f t="shared" si="219"/>
        <v>0.99689207619991371</v>
      </c>
      <c r="AI353" s="1">
        <f t="shared" si="219"/>
        <v>0.96638440583008067</v>
      </c>
      <c r="AJ353" s="1">
        <f t="shared" si="219"/>
        <v>0.95407948750950655</v>
      </c>
      <c r="AK353" s="1">
        <f t="shared" si="219"/>
        <v>0.98154445837436488</v>
      </c>
      <c r="AL353" s="1">
        <f t="shared" si="219"/>
        <v>0.90282612110984928</v>
      </c>
      <c r="AM353" s="1">
        <f t="shared" si="219"/>
        <v>0.97807302692826759</v>
      </c>
      <c r="AN353" s="1">
        <f t="shared" si="219"/>
        <v>0.98444507206504317</v>
      </c>
      <c r="AO353" s="1">
        <f t="shared" si="219"/>
        <v>0.99588209613676115</v>
      </c>
      <c r="AP353" s="1">
        <f t="shared" si="219"/>
        <v>0.96319163064540081</v>
      </c>
    </row>
    <row r="354" spans="2:42" x14ac:dyDescent="0.2">
      <c r="C354" s="1" t="s">
        <v>138</v>
      </c>
      <c r="E354" s="1">
        <f t="shared" si="219"/>
        <v>0.95880096564461759</v>
      </c>
      <c r="F354" s="1">
        <f t="shared" si="214"/>
        <v>0.99233068123758295</v>
      </c>
      <c r="G354" s="1">
        <f t="shared" si="219"/>
        <v>1.0108243420450551</v>
      </c>
      <c r="H354" s="1">
        <f t="shared" si="219"/>
        <v>1.0136041912541633</v>
      </c>
      <c r="I354" s="1">
        <f t="shared" si="219"/>
        <v>1.0018559539176852</v>
      </c>
      <c r="J354" s="1">
        <f t="shared" si="215"/>
        <v>0.97434539823945032</v>
      </c>
      <c r="K354" s="1">
        <f t="shared" si="219"/>
        <v>1.0072693641645614</v>
      </c>
      <c r="L354" s="1">
        <f t="shared" si="219"/>
        <v>0.98685702454608704</v>
      </c>
      <c r="M354" s="1">
        <f t="shared" si="219"/>
        <v>1.0050340285389674</v>
      </c>
      <c r="N354" s="1">
        <f t="shared" si="216"/>
        <v>0.97139621633060513</v>
      </c>
      <c r="O354" s="1">
        <f t="shared" si="219"/>
        <v>0.98233533745514301</v>
      </c>
      <c r="P354" s="1">
        <f t="shared" si="219"/>
        <v>0.99728409771120219</v>
      </c>
      <c r="Q354" s="1">
        <f t="shared" si="219"/>
        <v>0.91581578213200798</v>
      </c>
      <c r="R354" s="1">
        <f t="shared" ref="E354:AP361" si="220">IF(R$336,IF($C$335="MI",$D199,$D229)*R$10*R$15/((IF($C$335="MI",R$181,R$211)+IF($C$335="MI",R199,R229)/R$11)*R$16),NA())</f>
        <v>1.0206645586006811</v>
      </c>
      <c r="S354" s="1">
        <f t="shared" si="220"/>
        <v>0.89028700518971438</v>
      </c>
      <c r="T354" s="1">
        <f t="shared" si="220"/>
        <v>0.98314832697021393</v>
      </c>
      <c r="U354" s="1">
        <f t="shared" si="218"/>
        <v>0.95225832466795657</v>
      </c>
      <c r="V354" s="1">
        <f t="shared" si="220"/>
        <v>0.908045498471167</v>
      </c>
      <c r="W354" s="1">
        <f t="shared" si="220"/>
        <v>0.92481208550594118</v>
      </c>
      <c r="X354" s="1">
        <f t="shared" si="220"/>
        <v>0.94230220481867055</v>
      </c>
      <c r="Y354" s="1">
        <f t="shared" si="220"/>
        <v>0.94057196671184062</v>
      </c>
      <c r="Z354" s="1">
        <f t="shared" si="220"/>
        <v>0.98729829735910768</v>
      </c>
      <c r="AA354" s="1">
        <f t="shared" si="220"/>
        <v>0.99613275302298143</v>
      </c>
      <c r="AB354" s="1">
        <f t="shared" si="220"/>
        <v>0.97952106621672042</v>
      </c>
      <c r="AC354" s="1">
        <f t="shared" si="220"/>
        <v>0.96337952976708308</v>
      </c>
      <c r="AD354" s="1">
        <f t="shared" si="220"/>
        <v>0.93332683213499634</v>
      </c>
      <c r="AE354" s="1">
        <f t="shared" si="220"/>
        <v>0.93283581433420937</v>
      </c>
      <c r="AF354" s="1">
        <f t="shared" si="220"/>
        <v>0.93859894310807312</v>
      </c>
      <c r="AG354" s="1">
        <f t="shared" si="220"/>
        <v>0.99021879028565318</v>
      </c>
      <c r="AH354" s="1">
        <f t="shared" si="220"/>
        <v>0.99603072710381857</v>
      </c>
      <c r="AI354" s="1">
        <f t="shared" si="220"/>
        <v>0.96280527376879066</v>
      </c>
      <c r="AJ354" s="1">
        <f t="shared" si="220"/>
        <v>0.94956962197794115</v>
      </c>
      <c r="AK354" s="1">
        <f t="shared" si="220"/>
        <v>0.97890766206288482</v>
      </c>
      <c r="AL354" s="1">
        <f t="shared" si="220"/>
        <v>0.89458274339351984</v>
      </c>
      <c r="AM354" s="1">
        <f t="shared" si="220"/>
        <v>0.97481724772636069</v>
      </c>
      <c r="AN354" s="1">
        <f t="shared" si="220"/>
        <v>0.97340367316971543</v>
      </c>
      <c r="AO354" s="1">
        <f t="shared" si="220"/>
        <v>0.99425718030055077</v>
      </c>
      <c r="AP354" s="1">
        <f t="shared" si="220"/>
        <v>0.95946711875174728</v>
      </c>
    </row>
    <row r="355" spans="2:42" x14ac:dyDescent="0.2">
      <c r="C355" s="1" t="s">
        <v>122</v>
      </c>
      <c r="E355" s="1">
        <f t="shared" si="220"/>
        <v>0.94877613613236467</v>
      </c>
      <c r="F355" s="1">
        <f t="shared" si="214"/>
        <v>0.99034137537906841</v>
      </c>
      <c r="G355" s="1">
        <f t="shared" si="220"/>
        <v>1.0128670781846001</v>
      </c>
      <c r="H355" s="1">
        <f t="shared" si="220"/>
        <v>1.0143419694883893</v>
      </c>
      <c r="I355" s="1">
        <f t="shared" si="220"/>
        <v>0.998492665662298</v>
      </c>
      <c r="J355" s="1">
        <f t="shared" si="215"/>
        <v>0.96825951676376398</v>
      </c>
      <c r="K355" s="1">
        <f t="shared" si="220"/>
        <v>1.0080670350570704</v>
      </c>
      <c r="L355" s="1">
        <f t="shared" si="220"/>
        <v>0.98365988407146654</v>
      </c>
      <c r="M355" s="1">
        <f t="shared" si="220"/>
        <v>1.0052889260759506</v>
      </c>
      <c r="N355" s="1">
        <f t="shared" si="216"/>
        <v>0.96406575247983439</v>
      </c>
      <c r="O355" s="1">
        <f t="shared" si="220"/>
        <v>0.97762401663143927</v>
      </c>
      <c r="P355" s="1">
        <f t="shared" si="220"/>
        <v>0.99536555469674559</v>
      </c>
      <c r="Q355" s="1">
        <f t="shared" si="220"/>
        <v>0.8974809663309582</v>
      </c>
      <c r="R355" s="1">
        <f t="shared" si="220"/>
        <v>1.0220139302777256</v>
      </c>
      <c r="S355" s="1">
        <f t="shared" si="220"/>
        <v>0.86512454094699476</v>
      </c>
      <c r="T355" s="1">
        <f t="shared" si="220"/>
        <v>0.97806056640613037</v>
      </c>
      <c r="U355" s="1">
        <f t="shared" si="218"/>
        <v>0.94147346778654672</v>
      </c>
      <c r="V355" s="1">
        <f t="shared" si="220"/>
        <v>0.88979549998654328</v>
      </c>
      <c r="W355" s="1">
        <f t="shared" si="220"/>
        <v>0.9077096535196526</v>
      </c>
      <c r="X355" s="1">
        <f t="shared" si="220"/>
        <v>0.92881229620586236</v>
      </c>
      <c r="Y355" s="1">
        <f t="shared" si="220"/>
        <v>0.9224338866617513</v>
      </c>
      <c r="Z355" s="1">
        <f t="shared" si="220"/>
        <v>0.98287193173849019</v>
      </c>
      <c r="AA355" s="1">
        <f t="shared" si="220"/>
        <v>0.99342693683636252</v>
      </c>
      <c r="AB355" s="1">
        <f t="shared" si="220"/>
        <v>0.97311931386328232</v>
      </c>
      <c r="AC355" s="1">
        <f t="shared" si="220"/>
        <v>0.95483228662776076</v>
      </c>
      <c r="AD355" s="1">
        <f t="shared" si="220"/>
        <v>0.91987014538533096</v>
      </c>
      <c r="AE355" s="1">
        <f t="shared" si="220"/>
        <v>0.91444923261758249</v>
      </c>
      <c r="AF355" s="1">
        <f t="shared" si="220"/>
        <v>0.92619967877604059</v>
      </c>
      <c r="AG355" s="1">
        <f t="shared" si="220"/>
        <v>0.98612521421318122</v>
      </c>
      <c r="AH355" s="1">
        <f t="shared" si="220"/>
        <v>0.99577576720145977</v>
      </c>
      <c r="AI355" s="1">
        <f t="shared" si="220"/>
        <v>0.95416799647102912</v>
      </c>
      <c r="AJ355" s="1">
        <f t="shared" si="220"/>
        <v>0.9380312901197434</v>
      </c>
      <c r="AK355" s="1">
        <f t="shared" si="220"/>
        <v>0.97374143840285132</v>
      </c>
      <c r="AL355" s="1">
        <f t="shared" si="220"/>
        <v>0.87283028593829837</v>
      </c>
      <c r="AM355" s="1">
        <f t="shared" si="220"/>
        <v>0.96626018853916185</v>
      </c>
      <c r="AN355" s="1">
        <f t="shared" si="220"/>
        <v>0.94696194089841379</v>
      </c>
      <c r="AO355" s="1">
        <f t="shared" si="220"/>
        <v>0.99083085488598732</v>
      </c>
      <c r="AP355" s="1">
        <f t="shared" si="220"/>
        <v>0.95144775412852711</v>
      </c>
    </row>
    <row r="356" spans="2:42" x14ac:dyDescent="0.2">
      <c r="C356" s="1" t="s">
        <v>133</v>
      </c>
      <c r="E356" s="1">
        <f t="shared" si="220"/>
        <v>0.93805416844500011</v>
      </c>
      <c r="F356" s="1">
        <f t="shared" si="214"/>
        <v>0.98821199659458137</v>
      </c>
      <c r="G356" s="1">
        <f t="shared" si="220"/>
        <v>1.0140459489546587</v>
      </c>
      <c r="H356" s="1">
        <f t="shared" si="220"/>
        <v>1.0151691852125329</v>
      </c>
      <c r="I356" s="1">
        <f t="shared" si="220"/>
        <v>0.99483576709435118</v>
      </c>
      <c r="J356" s="1">
        <f t="shared" si="215"/>
        <v>0.96170549230409474</v>
      </c>
      <c r="K356" s="1">
        <f t="shared" si="220"/>
        <v>1.008943902718056</v>
      </c>
      <c r="L356" s="1">
        <f t="shared" si="220"/>
        <v>0.98059003044587723</v>
      </c>
      <c r="M356" s="1">
        <f t="shared" si="220"/>
        <v>1.0055206555433203</v>
      </c>
      <c r="N356" s="1">
        <f t="shared" si="216"/>
        <v>0.95622202796195299</v>
      </c>
      <c r="O356" s="1">
        <f t="shared" si="220"/>
        <v>0.97250309967198345</v>
      </c>
      <c r="P356" s="1">
        <f t="shared" si="220"/>
        <v>0.99305016624669407</v>
      </c>
      <c r="Q356" s="1">
        <f t="shared" si="220"/>
        <v>0.87917853464467566</v>
      </c>
      <c r="R356" s="1">
        <f t="shared" si="220"/>
        <v>1.0230206965172532</v>
      </c>
      <c r="S356" s="1">
        <f t="shared" si="220"/>
        <v>0.84054838074968519</v>
      </c>
      <c r="T356" s="1">
        <f t="shared" si="220"/>
        <v>0.97256287058495572</v>
      </c>
      <c r="U356" s="1">
        <f t="shared" si="218"/>
        <v>0.93036876479950259</v>
      </c>
      <c r="V356" s="1">
        <f t="shared" si="220"/>
        <v>0.87158184701423791</v>
      </c>
      <c r="W356" s="1">
        <f t="shared" si="220"/>
        <v>0.89055975393167519</v>
      </c>
      <c r="X356" s="1">
        <f t="shared" si="220"/>
        <v>0.91509453637327021</v>
      </c>
      <c r="Y356" s="1">
        <f t="shared" si="220"/>
        <v>0.90428870330653988</v>
      </c>
      <c r="Z356" s="1">
        <f t="shared" si="220"/>
        <v>0.97803433488783109</v>
      </c>
      <c r="AA356" s="1">
        <f t="shared" si="220"/>
        <v>0.99031614607083429</v>
      </c>
      <c r="AB356" s="1">
        <f t="shared" si="220"/>
        <v>0.96631384172697588</v>
      </c>
      <c r="AC356" s="1">
        <f t="shared" si="220"/>
        <v>0.94591273427076916</v>
      </c>
      <c r="AD356" s="1">
        <f t="shared" si="220"/>
        <v>0.90619135855358812</v>
      </c>
      <c r="AE356" s="1">
        <f t="shared" si="220"/>
        <v>0.89607855068303643</v>
      </c>
      <c r="AF356" s="1">
        <f t="shared" si="220"/>
        <v>0.91353693484581655</v>
      </c>
      <c r="AG356" s="1">
        <f t="shared" si="220"/>
        <v>0.98162014296834188</v>
      </c>
      <c r="AH356" s="1">
        <f t="shared" si="220"/>
        <v>0.99475249067997473</v>
      </c>
      <c r="AI356" s="1">
        <f t="shared" si="220"/>
        <v>0.94516014444401963</v>
      </c>
      <c r="AJ356" s="1">
        <f t="shared" si="220"/>
        <v>0.92599166600620364</v>
      </c>
      <c r="AK356" s="1">
        <f t="shared" si="220"/>
        <v>0.96815405191400605</v>
      </c>
      <c r="AL356" s="1">
        <f t="shared" si="220"/>
        <v>0.85137089222665607</v>
      </c>
      <c r="AM356" s="1">
        <f t="shared" si="220"/>
        <v>0.95719513927532962</v>
      </c>
      <c r="AN356" s="1">
        <f t="shared" si="220"/>
        <v>0.92036341217571949</v>
      </c>
      <c r="AO356" s="1">
        <f t="shared" si="220"/>
        <v>0.98699468527616796</v>
      </c>
      <c r="AP356" s="1">
        <f t="shared" si="220"/>
        <v>0.94305035801228609</v>
      </c>
    </row>
    <row r="357" spans="2:42" x14ac:dyDescent="0.2">
      <c r="C357" s="1" t="s">
        <v>148</v>
      </c>
      <c r="E357" s="1">
        <f t="shared" si="220"/>
        <v>0.91557230213402518</v>
      </c>
      <c r="F357" s="1">
        <f t="shared" si="214"/>
        <v>0.98366334845015457</v>
      </c>
      <c r="G357" s="1">
        <f t="shared" si="220"/>
        <v>1.0181848793397452</v>
      </c>
      <c r="H357" s="1">
        <f t="shared" si="220"/>
        <v>1.0176512906416126</v>
      </c>
      <c r="I357" s="1">
        <f t="shared" si="220"/>
        <v>0.9868326749877252</v>
      </c>
      <c r="J357" s="1">
        <f t="shared" si="215"/>
        <v>0.94789852187453894</v>
      </c>
      <c r="K357" s="1">
        <f t="shared" si="220"/>
        <v>1.0101796118030424</v>
      </c>
      <c r="L357" s="1">
        <f t="shared" si="220"/>
        <v>0.97347463345907681</v>
      </c>
      <c r="M357" s="1">
        <f t="shared" si="220"/>
        <v>1.0046224430593946</v>
      </c>
      <c r="N357" s="1">
        <f t="shared" si="216"/>
        <v>0.93948111808509494</v>
      </c>
      <c r="O357" s="1">
        <f t="shared" si="220"/>
        <v>0.96155556501855499</v>
      </c>
      <c r="P357" s="1">
        <f t="shared" si="220"/>
        <v>0.9878152138064854</v>
      </c>
      <c r="Q357" s="1">
        <f t="shared" si="220"/>
        <v>0.84288581198018575</v>
      </c>
      <c r="R357" s="1">
        <f t="shared" si="220"/>
        <v>1.0246813630863925</v>
      </c>
      <c r="S357" s="1">
        <f t="shared" si="220"/>
        <v>0.7928102659901235</v>
      </c>
      <c r="T357" s="1">
        <f t="shared" si="220"/>
        <v>0.9608544344839548</v>
      </c>
      <c r="U357" s="1">
        <f t="shared" si="218"/>
        <v>0.90759846149826595</v>
      </c>
      <c r="V357" s="1">
        <f t="shared" si="220"/>
        <v>0.83547487886487171</v>
      </c>
      <c r="W357" s="1">
        <f t="shared" si="220"/>
        <v>0.85842188065879044</v>
      </c>
      <c r="X357" s="1">
        <f t="shared" si="220"/>
        <v>0.88731781775306151</v>
      </c>
      <c r="Y357" s="1">
        <f t="shared" si="220"/>
        <v>0.86785978716201084</v>
      </c>
      <c r="Z357" s="1">
        <f t="shared" si="220"/>
        <v>0.96765684194568169</v>
      </c>
      <c r="AA357" s="1">
        <f t="shared" si="220"/>
        <v>0.98344938207781185</v>
      </c>
      <c r="AB357" s="1">
        <f t="shared" si="220"/>
        <v>0.95198296021967233</v>
      </c>
      <c r="AC357" s="1">
        <f t="shared" si="220"/>
        <v>0.93118606740620125</v>
      </c>
      <c r="AD357" s="1">
        <f t="shared" si="220"/>
        <v>0.88344777330260471</v>
      </c>
      <c r="AE357" s="1">
        <f t="shared" si="220"/>
        <v>0.85961139373373874</v>
      </c>
      <c r="AF357" s="1">
        <f t="shared" si="220"/>
        <v>0.88778181980821214</v>
      </c>
      <c r="AG357" s="1">
        <f t="shared" si="220"/>
        <v>0.97191489919020269</v>
      </c>
      <c r="AH357" s="1">
        <f t="shared" si="220"/>
        <v>0.9925967275105525</v>
      </c>
      <c r="AI357" s="1">
        <f t="shared" si="220"/>
        <v>0.92647512832177248</v>
      </c>
      <c r="AJ357" s="1">
        <f t="shared" si="220"/>
        <v>0.90170102335352442</v>
      </c>
      <c r="AK357" s="1">
        <f t="shared" si="220"/>
        <v>0.95626759933914962</v>
      </c>
      <c r="AL357" s="1">
        <f t="shared" si="220"/>
        <v>0.80942610987742492</v>
      </c>
      <c r="AM357" s="1">
        <f t="shared" si="220"/>
        <v>0.93838552180167634</v>
      </c>
      <c r="AN357" s="1">
        <f t="shared" si="220"/>
        <v>0.86897251272193587</v>
      </c>
      <c r="AO357" s="1">
        <f t="shared" si="220"/>
        <v>0.97864733915666391</v>
      </c>
      <c r="AP357" s="1">
        <f t="shared" si="220"/>
        <v>0.92567878650336033</v>
      </c>
    </row>
    <row r="358" spans="2:42" x14ac:dyDescent="0.2">
      <c r="C358" s="1" t="s">
        <v>150</v>
      </c>
      <c r="E358" s="1">
        <f t="shared" si="220"/>
        <v>0.86829351807726551</v>
      </c>
      <c r="F358" s="1">
        <f t="shared" si="214"/>
        <v>0.97072698779144118</v>
      </c>
      <c r="G358" s="1">
        <f t="shared" si="220"/>
        <v>1.0219436191907707</v>
      </c>
      <c r="H358" s="1">
        <f t="shared" si="220"/>
        <v>1.0206030571663771</v>
      </c>
      <c r="I358" s="1">
        <f t="shared" si="220"/>
        <v>0.96700011950645826</v>
      </c>
      <c r="J358" s="1">
        <f t="shared" si="215"/>
        <v>0.91676840659428727</v>
      </c>
      <c r="K358" s="1">
        <f t="shared" si="220"/>
        <v>1.008866481971826</v>
      </c>
      <c r="L358" s="1">
        <f t="shared" si="220"/>
        <v>0.9554522028994954</v>
      </c>
      <c r="M358" s="1">
        <f t="shared" si="220"/>
        <v>0.99685336484736209</v>
      </c>
      <c r="N358" s="1">
        <f t="shared" si="216"/>
        <v>0.9028032160498829</v>
      </c>
      <c r="O358" s="1">
        <f t="shared" si="220"/>
        <v>0.93619108888307045</v>
      </c>
      <c r="P358" s="1">
        <f t="shared" si="220"/>
        <v>0.97323289457904094</v>
      </c>
      <c r="Q358" s="1">
        <f t="shared" si="220"/>
        <v>0.77342846075075133</v>
      </c>
      <c r="R358" s="1">
        <f t="shared" si="220"/>
        <v>1.0275146393542911</v>
      </c>
      <c r="S358" s="1">
        <f t="shared" si="220"/>
        <v>0.70682716989586836</v>
      </c>
      <c r="T358" s="1">
        <f t="shared" si="220"/>
        <v>0.93429318453945909</v>
      </c>
      <c r="U358" s="1">
        <f t="shared" si="218"/>
        <v>0.86123401456523596</v>
      </c>
      <c r="V358" s="1">
        <f t="shared" si="220"/>
        <v>0.76523522044961301</v>
      </c>
      <c r="W358" s="1">
        <f t="shared" si="220"/>
        <v>0.79799900120248712</v>
      </c>
      <c r="X358" s="1">
        <f t="shared" si="220"/>
        <v>0.83161123956090832</v>
      </c>
      <c r="Y358" s="1">
        <f t="shared" si="220"/>
        <v>0.79812041931246502</v>
      </c>
      <c r="Z358" s="1">
        <f t="shared" si="220"/>
        <v>0.94333277448454989</v>
      </c>
      <c r="AA358" s="1">
        <f t="shared" si="220"/>
        <v>0.96688707181262679</v>
      </c>
      <c r="AB358" s="1">
        <f t="shared" si="220"/>
        <v>0.92039233746913363</v>
      </c>
      <c r="AC358" s="1">
        <f t="shared" si="220"/>
        <v>0.89424939901942502</v>
      </c>
      <c r="AD358" s="1">
        <f t="shared" si="220"/>
        <v>0.82903268907180805</v>
      </c>
      <c r="AE358" s="1">
        <f t="shared" si="220"/>
        <v>0.79106177409334788</v>
      </c>
      <c r="AF358" s="1">
        <f t="shared" si="220"/>
        <v>0.84067057986113902</v>
      </c>
      <c r="AG358" s="1">
        <f t="shared" si="220"/>
        <v>0.94509270320358141</v>
      </c>
      <c r="AH358" s="1">
        <f t="shared" si="220"/>
        <v>0.98403325997530389</v>
      </c>
      <c r="AI358" s="1">
        <f t="shared" si="220"/>
        <v>0.88716059907525269</v>
      </c>
      <c r="AJ358" s="1">
        <f t="shared" si="220"/>
        <v>0.85371436049988147</v>
      </c>
      <c r="AK358" s="1">
        <f t="shared" si="220"/>
        <v>0.92491659491799505</v>
      </c>
      <c r="AL358" s="1">
        <f t="shared" si="220"/>
        <v>0.7331784400895669</v>
      </c>
      <c r="AM358" s="1">
        <f t="shared" si="220"/>
        <v>0.89615688837588625</v>
      </c>
      <c r="AN358" s="1">
        <f t="shared" si="220"/>
        <v>0.77775081388728173</v>
      </c>
      <c r="AO358" s="1">
        <f t="shared" si="220"/>
        <v>0.95875390275644479</v>
      </c>
      <c r="AP358" s="1">
        <f t="shared" si="220"/>
        <v>0.88838963783069147</v>
      </c>
    </row>
    <row r="359" spans="2:42" x14ac:dyDescent="0.2">
      <c r="C359" s="1" t="s">
        <v>153</v>
      </c>
      <c r="E359" s="1">
        <f t="shared" si="220"/>
        <v>0.8228565360872464</v>
      </c>
      <c r="F359" s="1">
        <f t="shared" si="214"/>
        <v>0.95612405748394613</v>
      </c>
      <c r="G359" s="1">
        <f t="shared" si="220"/>
        <v>1.0250945988540296</v>
      </c>
      <c r="H359" s="1">
        <f t="shared" si="220"/>
        <v>1.0225498658584875</v>
      </c>
      <c r="I359" s="1">
        <f t="shared" si="220"/>
        <v>0.94491121141546297</v>
      </c>
      <c r="J359" s="1">
        <f t="shared" si="215"/>
        <v>0.88475943064425333</v>
      </c>
      <c r="K359" s="1">
        <f t="shared" si="220"/>
        <v>1.004927488431882</v>
      </c>
      <c r="L359" s="1">
        <f t="shared" si="220"/>
        <v>0.93561889396510578</v>
      </c>
      <c r="M359" s="1">
        <f t="shared" si="220"/>
        <v>0.98341549480740309</v>
      </c>
      <c r="N359" s="1">
        <f t="shared" si="216"/>
        <v>0.86507275453123345</v>
      </c>
      <c r="O359" s="1">
        <f t="shared" si="220"/>
        <v>0.91048045603071559</v>
      </c>
      <c r="P359" s="1">
        <f t="shared" si="220"/>
        <v>0.95794318267752443</v>
      </c>
      <c r="Q359" s="1">
        <f t="shared" si="220"/>
        <v>0.70797705175298575</v>
      </c>
      <c r="R359" s="1">
        <f t="shared" si="220"/>
        <v>1.0301557817584737</v>
      </c>
      <c r="S359" s="1">
        <f t="shared" si="220"/>
        <v>0.63041133285160222</v>
      </c>
      <c r="T359" s="1">
        <f t="shared" si="220"/>
        <v>0.90745493349807183</v>
      </c>
      <c r="U359" s="1">
        <f t="shared" si="218"/>
        <v>0.81683813792442184</v>
      </c>
      <c r="V359" s="1">
        <f t="shared" si="220"/>
        <v>0.70387293481424151</v>
      </c>
      <c r="W359" s="1">
        <f t="shared" si="220"/>
        <v>0.74592787727597376</v>
      </c>
      <c r="X359" s="1">
        <f t="shared" si="220"/>
        <v>0.78086738593437077</v>
      </c>
      <c r="Y359" s="1">
        <f t="shared" si="220"/>
        <v>0.73480535605893382</v>
      </c>
      <c r="Z359" s="1">
        <f t="shared" si="220"/>
        <v>0.9185982617325521</v>
      </c>
      <c r="AA359" s="1">
        <f t="shared" si="220"/>
        <v>0.95086664178090019</v>
      </c>
      <c r="AB359" s="1">
        <f t="shared" si="220"/>
        <v>0.8888975348617334</v>
      </c>
      <c r="AC359" s="1">
        <f t="shared" si="220"/>
        <v>0.85663477889944906</v>
      </c>
      <c r="AD359" s="1">
        <f t="shared" si="220"/>
        <v>0.77809962749242834</v>
      </c>
      <c r="AE359" s="1">
        <f t="shared" si="220"/>
        <v>0.72932967014053518</v>
      </c>
      <c r="AF359" s="1">
        <f t="shared" si="220"/>
        <v>0.79575412391499667</v>
      </c>
      <c r="AG359" s="1">
        <f t="shared" si="220"/>
        <v>0.91012909782804119</v>
      </c>
      <c r="AH359" s="1">
        <f t="shared" si="220"/>
        <v>0.97479517301345453</v>
      </c>
      <c r="AI359" s="1">
        <f t="shared" si="220"/>
        <v>0.84878831179661751</v>
      </c>
      <c r="AJ359" s="1">
        <f t="shared" si="220"/>
        <v>0.81293084982943031</v>
      </c>
      <c r="AK359" s="1">
        <f t="shared" si="220"/>
        <v>0.89106717319339901</v>
      </c>
      <c r="AL359" s="1">
        <f t="shared" si="220"/>
        <v>0.66657449461774521</v>
      </c>
      <c r="AM359" s="1">
        <f t="shared" si="220"/>
        <v>0.85321887159148635</v>
      </c>
      <c r="AN359" s="1">
        <f t="shared" si="220"/>
        <v>0.69985049088878459</v>
      </c>
      <c r="AO359" s="1">
        <f t="shared" si="220"/>
        <v>0.93850479519306884</v>
      </c>
      <c r="AP359" s="1">
        <f t="shared" si="220"/>
        <v>0.85194433946672998</v>
      </c>
    </row>
    <row r="360" spans="2:42" x14ac:dyDescent="0.2">
      <c r="C360" s="1" t="s">
        <v>156</v>
      </c>
      <c r="E360" s="1">
        <f t="shared" si="220"/>
        <v>0.77988792824442743</v>
      </c>
      <c r="F360" s="1">
        <f t="shared" si="214"/>
        <v>0.93941935054320114</v>
      </c>
      <c r="G360" s="1">
        <f t="shared" si="220"/>
        <v>1.0270549867680969</v>
      </c>
      <c r="H360" s="1">
        <f t="shared" si="220"/>
        <v>1.0247586810163882</v>
      </c>
      <c r="I360" s="1">
        <f t="shared" si="220"/>
        <v>0.921441893296299</v>
      </c>
      <c r="J360" s="1">
        <f t="shared" si="215"/>
        <v>0.85180738393939215</v>
      </c>
      <c r="K360" s="1">
        <f t="shared" si="220"/>
        <v>0.99841529886532798</v>
      </c>
      <c r="L360" s="1">
        <f t="shared" si="220"/>
        <v>0.91513668861955721</v>
      </c>
      <c r="M360" s="1">
        <f t="shared" si="220"/>
        <v>0.96595048921136351</v>
      </c>
      <c r="N360" s="1">
        <f t="shared" si="216"/>
        <v>0.82671186947393704</v>
      </c>
      <c r="O360" s="1">
        <f t="shared" si="220"/>
        <v>0.88438718952484574</v>
      </c>
      <c r="P360" s="1">
        <f t="shared" si="220"/>
        <v>0.94191253634235628</v>
      </c>
      <c r="Q360" s="1">
        <f t="shared" si="220"/>
        <v>0.64672381887186214</v>
      </c>
      <c r="R360" s="1">
        <f t="shared" si="220"/>
        <v>1.0326345675321289</v>
      </c>
      <c r="S360" s="1">
        <f t="shared" si="220"/>
        <v>0.56361353667278891</v>
      </c>
      <c r="T360" s="1">
        <f t="shared" si="220"/>
        <v>0.88030139070151681</v>
      </c>
      <c r="U360" s="1">
        <f t="shared" si="218"/>
        <v>0.77418719009208625</v>
      </c>
      <c r="V360" s="1">
        <f t="shared" si="220"/>
        <v>0.64689577012239619</v>
      </c>
      <c r="W360" s="1">
        <f t="shared" si="220"/>
        <v>0.69728880673318649</v>
      </c>
      <c r="X360" s="1">
        <f t="shared" si="220"/>
        <v>0.73310495490098371</v>
      </c>
      <c r="Y360" s="1">
        <f t="shared" si="220"/>
        <v>0.67527904509381087</v>
      </c>
      <c r="Z360" s="1">
        <f t="shared" si="220"/>
        <v>0.89341795034513138</v>
      </c>
      <c r="AA360" s="1">
        <f t="shared" si="220"/>
        <v>0.9353895025597686</v>
      </c>
      <c r="AB360" s="1">
        <f t="shared" si="220"/>
        <v>0.85744543325282796</v>
      </c>
      <c r="AC360" s="1">
        <f t="shared" si="220"/>
        <v>0.82041539869288116</v>
      </c>
      <c r="AD360" s="1">
        <f t="shared" si="220"/>
        <v>0.73020206797986564</v>
      </c>
      <c r="AE360" s="1">
        <f t="shared" si="220"/>
        <v>0.67329187426933734</v>
      </c>
      <c r="AF360" s="1">
        <f t="shared" si="220"/>
        <v>0.75277903338752006</v>
      </c>
      <c r="AG360" s="1">
        <f t="shared" si="220"/>
        <v>0.87543546151218488</v>
      </c>
      <c r="AH360" s="1">
        <f t="shared" si="220"/>
        <v>0.96485421189954901</v>
      </c>
      <c r="AI360" s="1">
        <f t="shared" si="220"/>
        <v>0.81124541092610725</v>
      </c>
      <c r="AJ360" s="1">
        <f t="shared" si="220"/>
        <v>0.77454379133770768</v>
      </c>
      <c r="AK360" s="1">
        <f t="shared" si="220"/>
        <v>0.85577182046131839</v>
      </c>
      <c r="AL360" s="1">
        <f t="shared" si="220"/>
        <v>0.60772639265468831</v>
      </c>
      <c r="AM360" s="1">
        <f t="shared" si="220"/>
        <v>0.81019438175806702</v>
      </c>
      <c r="AN360" s="1">
        <f t="shared" si="220"/>
        <v>0.63235762547284158</v>
      </c>
      <c r="AO360" s="1">
        <f t="shared" si="220"/>
        <v>0.91572806155639008</v>
      </c>
      <c r="AP360" s="1">
        <f t="shared" si="220"/>
        <v>0.8161387540126962</v>
      </c>
    </row>
    <row r="361" spans="2:42" x14ac:dyDescent="0.2">
      <c r="C361" s="1" t="s">
        <v>157</v>
      </c>
      <c r="E361" s="1">
        <f t="shared" si="220"/>
        <v>0.73963434927565064</v>
      </c>
      <c r="F361" s="1">
        <f t="shared" si="214"/>
        <v>0.9207217662901982</v>
      </c>
      <c r="G361" s="1">
        <f t="shared" si="220"/>
        <v>1.0269998232347826</v>
      </c>
      <c r="H361" s="1">
        <f t="shared" si="220"/>
        <v>1.0297917654602375</v>
      </c>
      <c r="I361" s="1">
        <f t="shared" si="220"/>
        <v>0.89678460567039886</v>
      </c>
      <c r="J361" s="1">
        <f t="shared" si="215"/>
        <v>0.81907393608349599</v>
      </c>
      <c r="K361" s="1">
        <f t="shared" si="220"/>
        <v>0.99144198955938057</v>
      </c>
      <c r="L361" s="1">
        <f t="shared" si="220"/>
        <v>0.89374529590570939</v>
      </c>
      <c r="M361" s="1">
        <f t="shared" si="220"/>
        <v>0.9465757604504621</v>
      </c>
      <c r="N361" s="1">
        <f t="shared" si="216"/>
        <v>0.78087602596274008</v>
      </c>
      <c r="O361" s="1">
        <f t="shared" ref="E361:AP365" si="221">IF(O$336,IF($C$335="MI",$D206,$D236)*O$10*O$15/((IF($C$335="MI",O$181,O$211)+IF($C$335="MI",O206,O236)/O$11)*O$16),NA())</f>
        <v>0.8581426023390607</v>
      </c>
      <c r="P361" s="1">
        <f t="shared" si="221"/>
        <v>0.92532919585290863</v>
      </c>
      <c r="Q361" s="1">
        <f t="shared" si="221"/>
        <v>0.59222732880065232</v>
      </c>
      <c r="R361" s="1">
        <f t="shared" si="221"/>
        <v>1.0351212440806143</v>
      </c>
      <c r="S361" s="1">
        <f t="shared" si="221"/>
        <v>0.50644316637151277</v>
      </c>
      <c r="T361" s="1">
        <f t="shared" si="221"/>
        <v>0.85306713417235835</v>
      </c>
      <c r="U361" s="1">
        <f t="shared" si="218"/>
        <v>0.73341306304399656</v>
      </c>
      <c r="V361" s="1">
        <f t="shared" si="221"/>
        <v>0.59859058313409441</v>
      </c>
      <c r="W361" s="1">
        <f t="shared" si="221"/>
        <v>0.6552587195975077</v>
      </c>
      <c r="X361" s="1">
        <f t="shared" si="221"/>
        <v>0.68829712722240088</v>
      </c>
      <c r="Y361" s="1">
        <f t="shared" si="221"/>
        <v>0.62170660991655258</v>
      </c>
      <c r="Z361" s="1">
        <f t="shared" si="221"/>
        <v>0.86802070348675697</v>
      </c>
      <c r="AA361" s="1">
        <f t="shared" si="221"/>
        <v>0.9193598152620468</v>
      </c>
      <c r="AB361" s="1">
        <f t="shared" si="221"/>
        <v>0.82627569102972132</v>
      </c>
      <c r="AC361" s="1">
        <f t="shared" si="221"/>
        <v>0.78505097276179969</v>
      </c>
      <c r="AD361" s="1">
        <f t="shared" si="221"/>
        <v>0.6853043772195957</v>
      </c>
      <c r="AE361" s="1">
        <f t="shared" si="221"/>
        <v>0.62241739919436379</v>
      </c>
      <c r="AF361" s="1">
        <f t="shared" si="221"/>
        <v>0.71185011519917185</v>
      </c>
      <c r="AG361" s="1">
        <f t="shared" si="221"/>
        <v>0.84125646339766802</v>
      </c>
      <c r="AH361" s="1">
        <f t="shared" si="221"/>
        <v>0.95437417302887673</v>
      </c>
      <c r="AI361" s="1">
        <f t="shared" si="221"/>
        <v>0.77474114612828071</v>
      </c>
      <c r="AJ361" s="1">
        <f t="shared" si="221"/>
        <v>0.73745552589204488</v>
      </c>
      <c r="AK361" s="1">
        <f t="shared" si="221"/>
        <v>0.82111155246283796</v>
      </c>
      <c r="AL361" s="1">
        <f t="shared" si="221"/>
        <v>0.55556222092543261</v>
      </c>
      <c r="AM361" s="1">
        <f t="shared" si="221"/>
        <v>0.7673734365078323</v>
      </c>
      <c r="AN361" s="1">
        <f t="shared" si="221"/>
        <v>0.57353939188016434</v>
      </c>
      <c r="AO361" s="1">
        <f t="shared" si="221"/>
        <v>0.89259029160297432</v>
      </c>
      <c r="AP361" s="1">
        <f t="shared" si="221"/>
        <v>0.78110275456295186</v>
      </c>
    </row>
    <row r="362" spans="2:42" x14ac:dyDescent="0.2">
      <c r="B362" s="272"/>
      <c r="C362" s="1" t="s">
        <v>158</v>
      </c>
      <c r="E362" s="1">
        <f t="shared" si="221"/>
        <v>0.70249500591205372</v>
      </c>
      <c r="F362" s="1">
        <f t="shared" si="214"/>
        <v>0.90160993976537118</v>
      </c>
      <c r="G362" s="1">
        <f t="shared" si="221"/>
        <v>1.0272813767907352</v>
      </c>
      <c r="H362" s="1">
        <f t="shared" si="221"/>
        <v>1.0272292159717118</v>
      </c>
      <c r="I362" s="1">
        <f t="shared" si="221"/>
        <v>0.87090180112134974</v>
      </c>
      <c r="J362" s="1">
        <f t="shared" si="215"/>
        <v>0.78698615331942856</v>
      </c>
      <c r="K362" s="1">
        <f t="shared" si="221"/>
        <v>0.98432171763107157</v>
      </c>
      <c r="L362" s="1">
        <f t="shared" si="221"/>
        <v>0.87430539169742905</v>
      </c>
      <c r="M362" s="1">
        <f t="shared" si="221"/>
        <v>0.92372630608284556</v>
      </c>
      <c r="N362" s="1">
        <f t="shared" si="216"/>
        <v>0.74881855420099941</v>
      </c>
      <c r="O362" s="1">
        <f t="shared" si="221"/>
        <v>0.83204056114759262</v>
      </c>
      <c r="P362" s="1">
        <f t="shared" si="221"/>
        <v>0.90849266867591461</v>
      </c>
      <c r="Q362" s="1">
        <f t="shared" si="221"/>
        <v>0.54360671608794497</v>
      </c>
      <c r="R362" s="1">
        <f t="shared" si="221"/>
        <v>1.0379834548324789</v>
      </c>
      <c r="S362" s="1">
        <f t="shared" si="221"/>
        <v>0.45720033236553331</v>
      </c>
      <c r="T362" s="1">
        <f t="shared" si="221"/>
        <v>0.82604430887480262</v>
      </c>
      <c r="U362" s="1">
        <f t="shared" si="218"/>
        <v>0.69463295883399767</v>
      </c>
      <c r="V362" s="1">
        <f t="shared" si="221"/>
        <v>0.55464283867954634</v>
      </c>
      <c r="W362" s="1">
        <f t="shared" si="221"/>
        <v>0.61588943049927047</v>
      </c>
      <c r="X362" s="1">
        <f t="shared" si="221"/>
        <v>0.64639724179469127</v>
      </c>
      <c r="Y362" s="1">
        <f t="shared" si="221"/>
        <v>0.57342707110608138</v>
      </c>
      <c r="Z362" s="1">
        <f t="shared" si="221"/>
        <v>0.84270324000478414</v>
      </c>
      <c r="AA362" s="1">
        <f t="shared" si="221"/>
        <v>0.90307435510860645</v>
      </c>
      <c r="AB362" s="1">
        <f t="shared" si="221"/>
        <v>0.79566403073199654</v>
      </c>
      <c r="AC362" s="1">
        <f t="shared" si="221"/>
        <v>0.75077276766970125</v>
      </c>
      <c r="AD362" s="1">
        <f t="shared" si="221"/>
        <v>0.64335141547770669</v>
      </c>
      <c r="AE362" s="1">
        <f t="shared" si="221"/>
        <v>0.57621569444073895</v>
      </c>
      <c r="AF362" s="1">
        <f t="shared" si="221"/>
        <v>0.67305509337495684</v>
      </c>
      <c r="AG362" s="1">
        <f t="shared" si="221"/>
        <v>0.8078634254609568</v>
      </c>
      <c r="AH362" s="1">
        <f t="shared" si="221"/>
        <v>0.94365590051138093</v>
      </c>
      <c r="AI362" s="1">
        <f t="shared" si="221"/>
        <v>0.73948957240223745</v>
      </c>
      <c r="AJ362" s="1">
        <f t="shared" si="221"/>
        <v>0.70184374940382899</v>
      </c>
      <c r="AK362" s="1">
        <f t="shared" si="221"/>
        <v>0.78727534818302425</v>
      </c>
      <c r="AL362" s="1">
        <f t="shared" si="221"/>
        <v>0.50917144971803452</v>
      </c>
      <c r="AM362" s="1">
        <f t="shared" si="221"/>
        <v>0.72652456619284123</v>
      </c>
      <c r="AN362" s="1">
        <f t="shared" si="221"/>
        <v>0.52199397008970005</v>
      </c>
      <c r="AO362" s="1">
        <f t="shared" si="221"/>
        <v>0.86939335846668198</v>
      </c>
      <c r="AP362" s="1">
        <f t="shared" si="221"/>
        <v>0.7471846123250081</v>
      </c>
    </row>
    <row r="363" spans="2:42" x14ac:dyDescent="0.2">
      <c r="B363" s="272"/>
      <c r="C363" s="1" t="s">
        <v>160</v>
      </c>
      <c r="E363" s="1">
        <f t="shared" si="221"/>
        <v>0.6688393635414156</v>
      </c>
      <c r="F363" s="1">
        <f t="shared" si="214"/>
        <v>0.88145564305570556</v>
      </c>
      <c r="G363" s="1">
        <f t="shared" si="221"/>
        <v>1.0247385208104347</v>
      </c>
      <c r="H363" s="1">
        <f t="shared" si="221"/>
        <v>1.0288898740642238</v>
      </c>
      <c r="I363" s="1">
        <f t="shared" si="221"/>
        <v>0.84532231597973728</v>
      </c>
      <c r="J363" s="1">
        <f t="shared" si="215"/>
        <v>0.75507968450935681</v>
      </c>
      <c r="K363" s="1">
        <f t="shared" si="221"/>
        <v>0.97799723030305719</v>
      </c>
      <c r="L363" s="1">
        <f t="shared" si="221"/>
        <v>0.84821178670170538</v>
      </c>
      <c r="M363" s="1">
        <f t="shared" si="221"/>
        <v>0.89756281591176446</v>
      </c>
      <c r="N363" s="1">
        <f t="shared" si="216"/>
        <v>0.71160064249025923</v>
      </c>
      <c r="O363" s="1">
        <f t="shared" si="221"/>
        <v>0.80670508090729542</v>
      </c>
      <c r="P363" s="1">
        <f t="shared" si="221"/>
        <v>0.89217654793980361</v>
      </c>
      <c r="Q363" s="1">
        <f t="shared" si="221"/>
        <v>0.50015447524568102</v>
      </c>
      <c r="R363" s="1">
        <f t="shared" si="221"/>
        <v>1.0423714264103425</v>
      </c>
      <c r="S363" s="1">
        <f t="shared" si="221"/>
        <v>0.41438736748109362</v>
      </c>
      <c r="T363" s="1">
        <f t="shared" si="221"/>
        <v>0.79984234088531359</v>
      </c>
      <c r="U363" s="1">
        <f t="shared" si="218"/>
        <v>0.65810004460389382</v>
      </c>
      <c r="V363" s="1">
        <f t="shared" si="221"/>
        <v>0.51479708741269126</v>
      </c>
      <c r="W363" s="1">
        <f t="shared" si="221"/>
        <v>0.57920682469929141</v>
      </c>
      <c r="X363" s="1">
        <f t="shared" si="221"/>
        <v>0.60746034068134758</v>
      </c>
      <c r="Y363" s="1">
        <f t="shared" si="221"/>
        <v>0.529915465863393</v>
      </c>
      <c r="Z363" s="1">
        <f t="shared" si="221"/>
        <v>0.81810731216734156</v>
      </c>
      <c r="AA363" s="1">
        <f t="shared" si="221"/>
        <v>0.88730565998703126</v>
      </c>
      <c r="AB363" s="1">
        <f t="shared" si="221"/>
        <v>0.76614941523726909</v>
      </c>
      <c r="AC363" s="1">
        <f t="shared" si="221"/>
        <v>0.71801376986677934</v>
      </c>
      <c r="AD363" s="1">
        <f t="shared" si="221"/>
        <v>0.60438870075056528</v>
      </c>
      <c r="AE363" s="1">
        <f t="shared" si="221"/>
        <v>0.53430873803521306</v>
      </c>
      <c r="AF363" s="1">
        <f t="shared" si="221"/>
        <v>0.63660658419782068</v>
      </c>
      <c r="AG363" s="1">
        <f t="shared" si="221"/>
        <v>0.77577436626346918</v>
      </c>
      <c r="AH363" s="1">
        <f t="shared" si="221"/>
        <v>0.93356158655999999</v>
      </c>
      <c r="AI363" s="1">
        <f t="shared" si="221"/>
        <v>0.70589148999791895</v>
      </c>
      <c r="AJ363" s="1">
        <f t="shared" si="221"/>
        <v>0.66804711804116512</v>
      </c>
      <c r="AK363" s="1">
        <f t="shared" si="221"/>
        <v>0.75495787632112321</v>
      </c>
      <c r="AL363" s="1">
        <f t="shared" si="221"/>
        <v>0.46782285544800767</v>
      </c>
      <c r="AM363" s="1">
        <f t="shared" si="221"/>
        <v>0.68934480167093659</v>
      </c>
      <c r="AN363" s="1">
        <f t="shared" si="221"/>
        <v>0.47660998271752542</v>
      </c>
      <c r="AO363" s="1">
        <f t="shared" si="221"/>
        <v>0.84682319987606158</v>
      </c>
      <c r="AP363" s="1">
        <f t="shared" si="221"/>
        <v>0.71470774718601027</v>
      </c>
    </row>
    <row r="364" spans="2:42" x14ac:dyDescent="0.2">
      <c r="B364" s="272"/>
      <c r="C364" s="1" t="s">
        <v>162</v>
      </c>
      <c r="E364" s="1">
        <f t="shared" si="221"/>
        <v>0.63796686385512058</v>
      </c>
      <c r="F364" s="1">
        <f t="shared" si="214"/>
        <v>0.86130716264677476</v>
      </c>
      <c r="G364" s="1">
        <f t="shared" si="221"/>
        <v>1.0220554304796146</v>
      </c>
      <c r="H364" s="1">
        <f t="shared" si="221"/>
        <v>1.0309629360422579</v>
      </c>
      <c r="I364" s="1">
        <f t="shared" si="221"/>
        <v>0.81890454398652957</v>
      </c>
      <c r="J364" s="1">
        <f t="shared" si="215"/>
        <v>0.72387267792897125</v>
      </c>
      <c r="K364" s="1">
        <f t="shared" si="221"/>
        <v>0.97171922044228309</v>
      </c>
      <c r="L364" s="1">
        <f t="shared" si="221"/>
        <v>0.82578357921574763</v>
      </c>
      <c r="M364" s="1">
        <f t="shared" si="221"/>
        <v>0.8735063787156756</v>
      </c>
      <c r="N364" s="1">
        <f t="shared" si="216"/>
        <v>0.67773320560908124</v>
      </c>
      <c r="O364" s="1">
        <f t="shared" si="221"/>
        <v>0.78186604922478353</v>
      </c>
      <c r="P364" s="1">
        <f t="shared" si="221"/>
        <v>0.87587535814800177</v>
      </c>
      <c r="Q364" s="1">
        <f t="shared" si="221"/>
        <v>0.46144132677501359</v>
      </c>
      <c r="R364" s="1">
        <f t="shared" si="221"/>
        <v>1.0473579525792909</v>
      </c>
      <c r="S364" s="1">
        <f t="shared" si="221"/>
        <v>0.37734781081015945</v>
      </c>
      <c r="T364" s="1">
        <f t="shared" si="221"/>
        <v>0.77421073299306897</v>
      </c>
      <c r="U364" s="1">
        <f t="shared" si="218"/>
        <v>0.62373517064787753</v>
      </c>
      <c r="V364" s="1">
        <f t="shared" si="221"/>
        <v>0.4787158413125277</v>
      </c>
      <c r="W364" s="1">
        <f t="shared" si="221"/>
        <v>0.54521137804353836</v>
      </c>
      <c r="X364" s="1">
        <f t="shared" si="221"/>
        <v>0.57137924642834448</v>
      </c>
      <c r="Y364" s="1">
        <f t="shared" si="221"/>
        <v>0.49083231365359287</v>
      </c>
      <c r="Z364" s="1">
        <f t="shared" si="221"/>
        <v>0.79394089395006506</v>
      </c>
      <c r="AA364" s="1">
        <f t="shared" si="221"/>
        <v>0.87154271457967869</v>
      </c>
      <c r="AB364" s="1">
        <f t="shared" si="221"/>
        <v>0.7375555519243715</v>
      </c>
      <c r="AC364" s="1">
        <f t="shared" si="221"/>
        <v>0.68666267805261372</v>
      </c>
      <c r="AD364" s="1">
        <f t="shared" si="221"/>
        <v>0.56830686939775432</v>
      </c>
      <c r="AE364" s="1">
        <f t="shared" si="221"/>
        <v>0.49642835367735239</v>
      </c>
      <c r="AF364" s="1">
        <f t="shared" si="221"/>
        <v>0.60242533807596521</v>
      </c>
      <c r="AG364" s="1">
        <f t="shared" si="221"/>
        <v>0.74483730265214942</v>
      </c>
      <c r="AH364" s="1">
        <f t="shared" si="221"/>
        <v>0.92343997852415194</v>
      </c>
      <c r="AI364" s="1">
        <f t="shared" si="221"/>
        <v>0.67384745741439533</v>
      </c>
      <c r="AJ364" s="1">
        <f t="shared" si="221"/>
        <v>0.63598151947065729</v>
      </c>
      <c r="AK364" s="1">
        <f t="shared" si="221"/>
        <v>0.72381661763770322</v>
      </c>
      <c r="AL364" s="1">
        <f t="shared" si="221"/>
        <v>0.43107833793438322</v>
      </c>
      <c r="AM364" s="1">
        <f t="shared" si="221"/>
        <v>0.6541655028450204</v>
      </c>
      <c r="AN364" s="1">
        <f t="shared" si="221"/>
        <v>0.43674360240972399</v>
      </c>
      <c r="AO364" s="1">
        <f t="shared" si="221"/>
        <v>0.82452790862197534</v>
      </c>
      <c r="AP364" s="1">
        <f t="shared" si="221"/>
        <v>0.68364033433782723</v>
      </c>
    </row>
    <row r="365" spans="2:42" x14ac:dyDescent="0.2">
      <c r="B365" s="272"/>
      <c r="C365" s="1" t="s">
        <v>164</v>
      </c>
      <c r="E365" s="1">
        <f>IF(E$336,IF($C$335="MI",$C210,$C240)*E$10*E$15/((IF($C$335="MI",E$181,E$211)+IF($C$335="MI",E210,E240)/E$11)*E$16),NA())</f>
        <v>0.75251143795681974</v>
      </c>
      <c r="F365" s="1">
        <f>IF(F$336,F$15/F$16*(IF($C$335="MI",F$181,F$211)+(IF($C$335="MI",F210,F240)/F$11))*IF($C$335="MI",$D210,$D240)/IF($C$335="MI",F$181,F$211),NA())</f>
        <v>0.84157682873745354</v>
      </c>
      <c r="G365" s="1">
        <f t="shared" si="221"/>
        <v>1.0150375733511472</v>
      </c>
      <c r="H365" s="1">
        <f t="shared" si="221"/>
        <v>1.0203142285675897</v>
      </c>
      <c r="I365" s="1">
        <f t="shared" si="221"/>
        <v>0.79222504259653426</v>
      </c>
      <c r="J365" s="1">
        <f>IF(J$336,J$15/J$16*(IF($C$335="MI",J$181,J$211)+(IF($C$335="MI",J210,J240)/J$11))*IF($C$335="MI",$D210,$D240)/IF($C$335="MI",J$181,J$211),NA())</f>
        <v>0.69360289499199645</v>
      </c>
      <c r="K365" s="1">
        <f t="shared" si="221"/>
        <v>0.96613307780538971</v>
      </c>
      <c r="L365" s="1">
        <f t="shared" si="221"/>
        <v>0.80417444936183691</v>
      </c>
      <c r="M365" s="1">
        <f t="shared" si="221"/>
        <v>0.84699109669445638</v>
      </c>
      <c r="N365" s="1">
        <f>IF(N$336,N$15/N$16*(IF($C$335="MI",N$181,N$211)+(IF($C$335="MI",N210,N240)/N$11))*IF($C$335="MI",$D210,$D240)/IF($C$335="MI",N$181,N$211),NA())</f>
        <v>0.64561435091371389</v>
      </c>
      <c r="O365" s="1">
        <f t="shared" si="221"/>
        <v>0.75780855287655657</v>
      </c>
      <c r="P365" s="1">
        <f t="shared" si="221"/>
        <v>0.86004324006968391</v>
      </c>
      <c r="Q365" s="1">
        <f t="shared" si="221"/>
        <v>0.426705794506334</v>
      </c>
      <c r="R365" s="1">
        <f t="shared" si="221"/>
        <v>1.0538425161229861</v>
      </c>
      <c r="S365" s="1">
        <f t="shared" si="221"/>
        <v>0.34487176824072591</v>
      </c>
      <c r="T365" s="1">
        <f t="shared" si="221"/>
        <v>0.74941755261723997</v>
      </c>
      <c r="U365" s="1">
        <f t="shared" si="218"/>
        <v>0.59145696634419487</v>
      </c>
      <c r="V365" s="1">
        <f t="shared" si="221"/>
        <v>0.44589284169854893</v>
      </c>
      <c r="W365" s="1">
        <f t="shared" si="221"/>
        <v>0.51363708813984577</v>
      </c>
      <c r="X365" s="1">
        <f t="shared" si="221"/>
        <v>0.53790970874027255</v>
      </c>
      <c r="Y365" s="1">
        <f t="shared" si="221"/>
        <v>0.45552178638929786</v>
      </c>
      <c r="Z365" s="1">
        <f t="shared" si="221"/>
        <v>0.77050740045436161</v>
      </c>
      <c r="AA365" s="1">
        <f t="shared" si="221"/>
        <v>0.85624241481213503</v>
      </c>
      <c r="AB365" s="1">
        <f t="shared" si="221"/>
        <v>0.71007306951631</v>
      </c>
      <c r="AC365" s="1">
        <f t="shared" si="221"/>
        <v>0.65680415310863505</v>
      </c>
      <c r="AD365" s="1">
        <f t="shared" si="221"/>
        <v>0.53485471657782369</v>
      </c>
      <c r="AE365" s="1">
        <f t="shared" si="221"/>
        <v>0.4620205651086014</v>
      </c>
      <c r="AF365" s="1">
        <f t="shared" si="221"/>
        <v>0.57040022068102336</v>
      </c>
      <c r="AG365" s="1">
        <f t="shared" si="221"/>
        <v>0.71520747864138901</v>
      </c>
      <c r="AH365" s="1">
        <f t="shared" si="221"/>
        <v>0.91385033889328171</v>
      </c>
      <c r="AI365" s="1">
        <f t="shared" si="221"/>
        <v>0.64341092824365043</v>
      </c>
      <c r="AJ365" s="1">
        <f t="shared" si="221"/>
        <v>0.60565111083962608</v>
      </c>
      <c r="AK365" s="1">
        <f t="shared" si="221"/>
        <v>0.69405027086018301</v>
      </c>
      <c r="AL365" s="1">
        <f t="shared" si="221"/>
        <v>0.39818072781176833</v>
      </c>
      <c r="AM365" s="1">
        <f t="shared" si="221"/>
        <v>0.62105623362523099</v>
      </c>
      <c r="AN365" s="1">
        <f t="shared" si="221"/>
        <v>0.40139835949051189</v>
      </c>
      <c r="AO365" s="1">
        <f t="shared" si="221"/>
        <v>0.80285723690841182</v>
      </c>
      <c r="AP365" s="1">
        <f t="shared" si="221"/>
        <v>0.65404315740055874</v>
      </c>
    </row>
    <row r="366" spans="2:42" x14ac:dyDescent="0.2">
      <c r="E366" s="291" t="b">
        <f>_xll.xlPushShmLiborCurveName(E3,E3&amp;"Freeze",E53:E81,E337:E365,"linear","r","cont",5)</f>
        <v>1</v>
      </c>
      <c r="F366" s="291" t="b">
        <f>_xll.xlPushShmLiborCurveName(F3,F3&amp;"Freeze",F53:F81,F337:F365,"linear","r","cont",5)</f>
        <v>1</v>
      </c>
      <c r="G366" s="291" t="b">
        <f>_xll.xlPushShmLiborCurveName(G3,G3&amp;"Freeze",G53:G81,G337:G365,"linear","r","cont",5)</f>
        <v>1</v>
      </c>
      <c r="H366" s="291" t="b">
        <f>_xll.xlPushShmLiborCurveName(H3,H3&amp;"Freeze",H53:H81,H337:H365,"linear","r","cont",5)</f>
        <v>1</v>
      </c>
      <c r="I366" s="291" t="b">
        <f>_xll.xlPushShmLiborCurveName(I3,I3&amp;"Freeze",I53:I81,I337:I365,"linear","r","cont",5)</f>
        <v>1</v>
      </c>
      <c r="J366" s="291" t="b">
        <f>_xll.xlPushShmLiborCurveName(J3,J3&amp;"Freeze",J53:J81,J337:J365,"linear","r","cont",5)</f>
        <v>1</v>
      </c>
      <c r="K366" s="291" t="b">
        <f>_xll.xlPushShmLiborCurveName(K3,K3&amp;"Freeze",K53:K81,K337:K365,"linear","r","cont",5)</f>
        <v>1</v>
      </c>
      <c r="L366" s="291" t="b">
        <f>_xll.xlPushShmLiborCurveName(L3,L3&amp;"Freeze",L53:L81,L337:L365,"linear","r","cont",5)</f>
        <v>1</v>
      </c>
      <c r="M366" s="291" t="b">
        <f>_xll.xlPushShmLiborCurveName(M3,M3&amp;"Freeze",M53:M81,M337:M365,"linear","r","cont",5)</f>
        <v>1</v>
      </c>
      <c r="N366" s="291" t="b">
        <f>_xll.xlPushShmLiborCurveName(N3,N3&amp;"Freeze",N53:N81,N337:N365,"linear","r","cont",5)</f>
        <v>1</v>
      </c>
      <c r="O366" s="291" t="b">
        <f>_xll.xlPushShmLiborCurveName(O3,O3&amp;"Freeze",O53:O81,O337:O365,"linear","r","cont",5)</f>
        <v>1</v>
      </c>
      <c r="P366" s="291" t="b">
        <f>_xll.xlPushShmLiborCurveName(P3,P3&amp;"Freeze",P53:P81,P337:P365,"linear","r","cont",5)</f>
        <v>1</v>
      </c>
      <c r="Q366" s="291" t="b">
        <f>_xll.xlPushShmLiborCurveName(Q3,Q3&amp;"Freeze",Q53:Q81,Q337:Q365,"linear","r","cont",5)</f>
        <v>1</v>
      </c>
      <c r="R366" s="291" t="b">
        <f>_xll.xlPushShmLiborCurveName(R3,R3&amp;"Freeze",R53:R81,R337:R365,"linear","r","cont",5)</f>
        <v>1</v>
      </c>
      <c r="S366" s="291" t="b">
        <f>_xll.xlPushShmLiborCurveName(S3,S3&amp;"Freeze",S53:S81,S337:S365,"linear","r","cont",5)</f>
        <v>1</v>
      </c>
      <c r="T366" s="291" t="b">
        <f>_xll.xlPushShmLiborCurveName(T3,T3&amp;"Freeze",T53:T81,T337:T365,"linear","r","cont",5)</f>
        <v>1</v>
      </c>
      <c r="U366" s="291" t="b">
        <f>_xll.xlPushShmLiborCurveName(U3,U3&amp;"Freeze",U53:U81,U337:U365,"linear","r","cont",5)</f>
        <v>1</v>
      </c>
      <c r="V366" s="291" t="b">
        <f>_xll.xlPushShmLiborCurveName(V3,V3&amp;"Freeze",V53:V81,V337:V365,"linear","r","cont",5)</f>
        <v>1</v>
      </c>
      <c r="W366" s="291" t="b">
        <f>_xll.xlPushShmLiborCurveName(W3,W3&amp;"Freeze",W53:W81,W337:W365,"linear","r","cont",5)</f>
        <v>1</v>
      </c>
      <c r="X366" s="291" t="b">
        <f>_xll.xlPushShmLiborCurveName(X3,X3&amp;"Freeze",X53:X81,X337:X365,"linear","r","cont",5)</f>
        <v>1</v>
      </c>
      <c r="Y366" s="291" t="b">
        <f>_xll.xlPushShmLiborCurveName(Y3,Y3&amp;"Freeze",Y53:Y81,Y337:Y365,"linear","r","cont",5)</f>
        <v>1</v>
      </c>
      <c r="Z366" s="291" t="b">
        <f>_xll.xlPushShmLiborCurveName(Z3,Z3&amp;"Freeze",Z53:Z81,Z337:Z365,"linear","r","cont",5)</f>
        <v>1</v>
      </c>
      <c r="AA366" s="291" t="b">
        <f>_xll.xlPushShmLiborCurveName(AA3,AA3&amp;"Freeze",AA53:AA81,AA337:AA365,"linear","r","cont",5)</f>
        <v>1</v>
      </c>
      <c r="AB366" s="291" t="b">
        <f>_xll.xlPushShmLiborCurveName(AB3,AB3&amp;"Freeze",AB53:AB81,AB337:AB365,"linear","r","cont",5)</f>
        <v>1</v>
      </c>
      <c r="AC366" s="291" t="b">
        <f>_xll.xlPushShmLiborCurveName(AC3,AC3&amp;"Freeze",AC53:AC81,AC337:AC365,"linear","r","cont",5)</f>
        <v>1</v>
      </c>
      <c r="AD366" s="291" t="b">
        <f>_xll.xlPushShmLiborCurveName(AD3,AD3&amp;"Freeze",AD53:AD81,AD337:AD365,"linear","r","cont",5)</f>
        <v>1</v>
      </c>
      <c r="AE366" s="291" t="b">
        <f>_xll.xlPushShmLiborCurveName(AE3,AE3&amp;"Freeze",AE53:AE81,AE337:AE365,"linear","r","cont",5)</f>
        <v>1</v>
      </c>
      <c r="AF366" s="291" t="b">
        <f>_xll.xlPushShmLiborCurveName(AF3,AF3&amp;"Freeze",AF53:AF81,AF337:AF365,"linear","r","cont",5)</f>
        <v>1</v>
      </c>
      <c r="AG366" s="291" t="b">
        <f>_xll.xlPushShmLiborCurveName(AG3,AG3&amp;"Freeze",AG53:AG81,AG337:AG365,"linear","r","cont",5)</f>
        <v>1</v>
      </c>
      <c r="AH366" s="291" t="b">
        <f>_xll.xlPushShmLiborCurveName(AH3,AH3&amp;"Freeze",AH53:AH81,AH337:AH365,"linear","r","cont",5)</f>
        <v>1</v>
      </c>
      <c r="AI366" s="291" t="b">
        <f>_xll.xlPushShmLiborCurveName(AI3,AI3&amp;"Freeze",AI53:AI81,AI337:AI365,"linear","r","cont",5)</f>
        <v>1</v>
      </c>
      <c r="AJ366" s="291" t="b">
        <f>_xll.xlPushShmLiborCurveName(AJ3,AJ3&amp;"Freeze",AJ53:AJ81,AJ337:AJ365,"linear","r","cont",5)</f>
        <v>1</v>
      </c>
      <c r="AK366" s="291" t="b">
        <f>_xll.xlPushShmLiborCurveName(AK3,AK3&amp;"Freeze",AK53:AK81,AK337:AK365,"linear","r","cont",5)</f>
        <v>1</v>
      </c>
      <c r="AL366" s="291" t="str">
        <f>_xll.xlPushShmLiborCurveName(AL3,AL3&amp;"Freeze",AL53:AL81,AL337:AL365,"linear","r","cont",5)</f>
        <v>Market Name not found: KES</v>
      </c>
      <c r="AM366" s="291" t="b">
        <f>_xll.xlPushShmLiborCurveName(AM3,AM3&amp;"Freeze",AM53:AM81,AM337:AM365,"linear","r","cont",5)</f>
        <v>1</v>
      </c>
      <c r="AN366" s="291" t="str">
        <f>_xll.xlPushShmLiborCurveName(AN3,AN3&amp;"Freeze",AN53:AN81,AN337:AN365,"linear","r","cont",5)</f>
        <v>Market Name not found: EGP</v>
      </c>
      <c r="AO366" s="291" t="b">
        <f>_xll.xlPushShmLiborCurveName(AO3,AO3&amp;"Freeze",AO53:AO81,AO337:AO365,"linear","r","cont",5)</f>
        <v>1</v>
      </c>
      <c r="AP366" s="291" t="str">
        <f>_xll.xlPushShmLiborCurveName(AP3,AP3&amp;"Freeze",AP53:AP81,AP337:AP365,"linear","r","cont",5)</f>
        <v>Market Name not found: PHP</v>
      </c>
    </row>
    <row r="367" spans="2:42" x14ac:dyDescent="0.2">
      <c r="C367" s="4" t="s">
        <v>245</v>
      </c>
      <c r="E367" s="291"/>
    </row>
    <row r="368" spans="2:42" x14ac:dyDescent="0.2">
      <c r="C368" s="1" t="s">
        <v>23</v>
      </c>
      <c r="E368" s="294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</row>
    <row r="369" spans="3:42" x14ac:dyDescent="0.2">
      <c r="C369" s="1" t="s">
        <v>30</v>
      </c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</row>
    <row r="370" spans="3:42" x14ac:dyDescent="0.2">
      <c r="C370" s="1" t="s">
        <v>41</v>
      </c>
      <c r="E370" s="287"/>
      <c r="F370" s="287"/>
      <c r="G370" s="287"/>
      <c r="H370" s="287"/>
      <c r="I370" s="287"/>
      <c r="J370" s="287"/>
      <c r="K370" s="287"/>
      <c r="L370" s="287"/>
      <c r="M370" s="287"/>
      <c r="N370" s="287"/>
      <c r="O370" s="287"/>
      <c r="P370" s="287"/>
      <c r="Q370" s="287"/>
      <c r="R370" s="287"/>
      <c r="S370" s="287"/>
      <c r="T370" s="287"/>
      <c r="U370" s="287"/>
      <c r="V370" s="287"/>
      <c r="W370" s="287"/>
      <c r="X370" s="287"/>
      <c r="Y370" s="287"/>
      <c r="Z370" s="287"/>
      <c r="AA370" s="287"/>
      <c r="AB370" s="287"/>
      <c r="AC370" s="287"/>
      <c r="AD370" s="287"/>
      <c r="AE370" s="287"/>
      <c r="AF370" s="287"/>
      <c r="AG370" s="287"/>
      <c r="AH370" s="287"/>
      <c r="AI370" s="287"/>
      <c r="AJ370" s="287"/>
      <c r="AK370" s="287"/>
      <c r="AL370" s="287"/>
      <c r="AM370" s="287"/>
      <c r="AN370" s="287"/>
      <c r="AO370" s="287"/>
      <c r="AP370" s="287"/>
    </row>
    <row r="371" spans="3:42" x14ac:dyDescent="0.2">
      <c r="C371" s="1" t="s">
        <v>92</v>
      </c>
      <c r="E371" s="1">
        <f t="shared" ref="E371:AP371" si="222">100*(1/E340-1)/((E56-today)/E$18)</f>
        <v>12.43763608958651</v>
      </c>
      <c r="F371" s="1">
        <f t="shared" si="222"/>
        <v>0.13710652630318584</v>
      </c>
      <c r="G371" s="1">
        <f t="shared" si="222"/>
        <v>-13.962641416007267</v>
      </c>
      <c r="H371" s="1">
        <f t="shared" si="222"/>
        <v>-38.658713162916946</v>
      </c>
      <c r="I371" s="1">
        <f t="shared" si="222"/>
        <v>-67.688263184623779</v>
      </c>
      <c r="J371" s="1">
        <f t="shared" si="222"/>
        <v>1.6817861405889933</v>
      </c>
      <c r="K371" s="1">
        <f t="shared" si="222"/>
        <v>-11.529281517257932</v>
      </c>
      <c r="L371" s="1">
        <f t="shared" si="222"/>
        <v>-0.40021748675813451</v>
      </c>
      <c r="M371" s="1">
        <f t="shared" si="222"/>
        <v>-8.7351617302346565</v>
      </c>
      <c r="N371" s="1">
        <f t="shared" si="222"/>
        <v>1.7520664401762658</v>
      </c>
      <c r="O371" s="1">
        <f t="shared" si="222"/>
        <v>-10.279502513030327</v>
      </c>
      <c r="P371" s="1">
        <f t="shared" si="222"/>
        <v>-13.605621414673829</v>
      </c>
      <c r="Q371" s="1">
        <f t="shared" si="222"/>
        <v>15.268142533663013</v>
      </c>
      <c r="R371" s="1">
        <f t="shared" si="222"/>
        <v>-11.082206023646947</v>
      </c>
      <c r="S371" s="1">
        <f t="shared" si="222"/>
        <v>10.644617229659643</v>
      </c>
      <c r="T371" s="1">
        <f t="shared" si="222"/>
        <v>-0.28447704278264591</v>
      </c>
      <c r="U371" s="1">
        <f t="shared" si="222"/>
        <v>-6.1099710032114896</v>
      </c>
      <c r="V371" s="1">
        <f t="shared" si="222"/>
        <v>6.4266944321903191E-2</v>
      </c>
      <c r="W371" s="1">
        <f t="shared" si="222"/>
        <v>-17.035894447448342</v>
      </c>
      <c r="X371" s="1">
        <f t="shared" si="222"/>
        <v>-4.5283130317613267</v>
      </c>
      <c r="Y371" s="1">
        <f t="shared" si="222"/>
        <v>-39.594472629719611</v>
      </c>
      <c r="Z371" s="1">
        <f t="shared" si="222"/>
        <v>-13.981775109387867</v>
      </c>
      <c r="AA371" s="1">
        <f t="shared" si="222"/>
        <v>-31.258906868396448</v>
      </c>
      <c r="AB371" s="1">
        <f t="shared" si="222"/>
        <v>-6.9170219292168484</v>
      </c>
      <c r="AC371" s="1">
        <f t="shared" si="222"/>
        <v>-9.5200963218303833</v>
      </c>
      <c r="AD371" s="1">
        <f t="shared" si="222"/>
        <v>-7.9936790569096905</v>
      </c>
      <c r="AE371" s="1">
        <f t="shared" si="222"/>
        <v>-9.8065536979449508</v>
      </c>
      <c r="AF371" s="1">
        <f t="shared" si="222"/>
        <v>8.7252883495310947</v>
      </c>
      <c r="AG371" s="1">
        <f t="shared" si="222"/>
        <v>-8.8730591610713443</v>
      </c>
      <c r="AH371" s="1">
        <f t="shared" si="222"/>
        <v>-1.1998256318933689</v>
      </c>
      <c r="AI371" s="1">
        <f t="shared" si="222"/>
        <v>4.6410744646226059</v>
      </c>
      <c r="AJ371" s="1">
        <f t="shared" si="222"/>
        <v>1.0993622614956067</v>
      </c>
      <c r="AK371" s="1">
        <f t="shared" si="222"/>
        <v>0.556342358922021</v>
      </c>
      <c r="AL371" s="1">
        <f t="shared" si="222"/>
        <v>19.070015434912563</v>
      </c>
      <c r="AM371" s="1">
        <f t="shared" si="222"/>
        <v>0.56416673852188737</v>
      </c>
      <c r="AN371" s="1">
        <f t="shared" si="222"/>
        <v>-177.95097617319411</v>
      </c>
      <c r="AO371" s="1">
        <f t="shared" si="222"/>
        <v>-9.1977747448939571</v>
      </c>
      <c r="AP371" s="1">
        <f t="shared" si="222"/>
        <v>-10.196809080966601</v>
      </c>
    </row>
    <row r="372" spans="3:42" x14ac:dyDescent="0.2">
      <c r="C372" s="1" t="s">
        <v>55</v>
      </c>
      <c r="E372" s="1">
        <f t="shared" ref="E372:AP372" si="223">100*(1/E341-1)/((E57-today)/E$18)</f>
        <v>8.7731067589036371</v>
      </c>
      <c r="F372" s="1">
        <f t="shared" si="223"/>
        <v>0.23901419177452254</v>
      </c>
      <c r="G372" s="1">
        <f t="shared" si="223"/>
        <v>-8.8055588721689393</v>
      </c>
      <c r="H372" s="1">
        <f t="shared" si="223"/>
        <v>-23.604630738522481</v>
      </c>
      <c r="I372" s="1">
        <f t="shared" si="223"/>
        <v>-35.650882299600454</v>
      </c>
      <c r="J372" s="1">
        <f t="shared" si="223"/>
        <v>1.8805588491868086</v>
      </c>
      <c r="K372" s="1">
        <f t="shared" si="223"/>
        <v>-7.2267897906495016</v>
      </c>
      <c r="L372" s="1">
        <f t="shared" si="223"/>
        <v>0.14296906927402375</v>
      </c>
      <c r="M372" s="1">
        <f t="shared" si="223"/>
        <v>-5.5385952074857858</v>
      </c>
      <c r="N372" s="1">
        <f t="shared" si="223"/>
        <v>2.0264363542530361</v>
      </c>
      <c r="O372" s="1">
        <f t="shared" si="223"/>
        <v>-5.5471872320769222</v>
      </c>
      <c r="P372" s="1">
        <f t="shared" si="223"/>
        <v>-8.1777354038645722</v>
      </c>
      <c r="Q372" s="1">
        <f t="shared" si="223"/>
        <v>12.434614714373016</v>
      </c>
      <c r="R372" s="1">
        <f t="shared" si="223"/>
        <v>-7.1202932044149847</v>
      </c>
      <c r="S372" s="1">
        <f t="shared" si="223"/>
        <v>10.523395504104638</v>
      </c>
      <c r="T372" s="1">
        <f t="shared" si="223"/>
        <v>0.11738775859639894</v>
      </c>
      <c r="U372" s="1">
        <f t="shared" si="223"/>
        <v>-2.9585315849092928</v>
      </c>
      <c r="V372" s="1">
        <f t="shared" si="223"/>
        <v>4.5140079515060272</v>
      </c>
      <c r="W372" s="1">
        <f t="shared" si="223"/>
        <v>-6.501297270182782</v>
      </c>
      <c r="X372" s="1">
        <f t="shared" si="223"/>
        <v>-0.91280051911013516</v>
      </c>
      <c r="Y372" s="1">
        <f t="shared" si="223"/>
        <v>-20.545516008089802</v>
      </c>
      <c r="Z372" s="1">
        <f t="shared" si="223"/>
        <v>-8.0763571947242152</v>
      </c>
      <c r="AA372" s="1">
        <f t="shared" si="223"/>
        <v>-18.562010193309273</v>
      </c>
      <c r="AB372" s="1">
        <f t="shared" si="223"/>
        <v>-3.6285737666972295</v>
      </c>
      <c r="AC372" s="1">
        <f t="shared" si="223"/>
        <v>-4.3318914629877359</v>
      </c>
      <c r="AD372" s="1">
        <f t="shared" si="223"/>
        <v>-1.9031029378850928</v>
      </c>
      <c r="AE372" s="1">
        <f t="shared" si="223"/>
        <v>-4.4714932081715286</v>
      </c>
      <c r="AF372" s="1">
        <f t="shared" si="223"/>
        <v>7.628965758280426</v>
      </c>
      <c r="AG372" s="1">
        <f t="shared" si="223"/>
        <v>-5.2686521395799435</v>
      </c>
      <c r="AH372" s="1">
        <f t="shared" si="223"/>
        <v>-0.55877902538759017</v>
      </c>
      <c r="AI372" s="1">
        <f t="shared" si="223"/>
        <v>3.8611089542612831</v>
      </c>
      <c r="AJ372" s="1">
        <f t="shared" si="223"/>
        <v>1.158449051107624</v>
      </c>
      <c r="AK372" s="1">
        <f t="shared" si="223"/>
        <v>0.95125291389219768</v>
      </c>
      <c r="AL372" s="1">
        <f t="shared" si="223"/>
        <v>16.867352637177202</v>
      </c>
      <c r="AM372" s="1">
        <f t="shared" si="223"/>
        <v>0.85773843050974741</v>
      </c>
      <c r="AN372" s="1">
        <f t="shared" si="223"/>
        <v>-112.52858404233645</v>
      </c>
      <c r="AO372" s="1">
        <f t="shared" si="223"/>
        <v>-5.5327603283576998</v>
      </c>
      <c r="AP372" s="1">
        <f t="shared" si="223"/>
        <v>-4.5752122534246098</v>
      </c>
    </row>
    <row r="373" spans="3:42" x14ac:dyDescent="0.2">
      <c r="C373" s="1" t="s">
        <v>63</v>
      </c>
      <c r="E373" s="1">
        <f t="shared" ref="E373:AP373" si="224">100*(1/E342-1)/((E58-today)/E$18)</f>
        <v>7.0227213511373421</v>
      </c>
      <c r="F373" s="1">
        <f t="shared" si="224"/>
        <v>0.2856635640365468</v>
      </c>
      <c r="G373" s="1">
        <f t="shared" si="224"/>
        <v>-6.5562521138815555</v>
      </c>
      <c r="H373" s="1">
        <f t="shared" si="224"/>
        <v>-16.99292419987172</v>
      </c>
      <c r="I373" s="1">
        <f t="shared" si="224"/>
        <v>-24.058675593433694</v>
      </c>
      <c r="J373" s="1">
        <f t="shared" si="224"/>
        <v>1.9153955717863624</v>
      </c>
      <c r="K373" s="1">
        <f t="shared" si="224"/>
        <v>-5.3361920808756302</v>
      </c>
      <c r="L373" s="1">
        <f t="shared" si="224"/>
        <v>0.31940557442677431</v>
      </c>
      <c r="M373" s="1">
        <f t="shared" si="224"/>
        <v>-4.1215508695537117</v>
      </c>
      <c r="N373" s="1">
        <f t="shared" si="224"/>
        <v>2.0661199665691043</v>
      </c>
      <c r="O373" s="1">
        <f t="shared" si="224"/>
        <v>-3.5236596777922102</v>
      </c>
      <c r="P373" s="1">
        <f t="shared" si="224"/>
        <v>-5.8580630816279289</v>
      </c>
      <c r="Q373" s="1">
        <f t="shared" si="224"/>
        <v>11.099113910501401</v>
      </c>
      <c r="R373" s="1">
        <f t="shared" si="224"/>
        <v>-5.5387758803828113</v>
      </c>
      <c r="S373" s="1">
        <f t="shared" si="224"/>
        <v>10.602904973011</v>
      </c>
      <c r="T373" s="1">
        <f t="shared" si="224"/>
        <v>0.26107247186383614</v>
      </c>
      <c r="U373" s="1">
        <f t="shared" si="224"/>
        <v>-1.3945807984032406</v>
      </c>
      <c r="V373" s="1">
        <f t="shared" si="224"/>
        <v>6.4088721326781695</v>
      </c>
      <c r="W373" s="1">
        <f t="shared" si="224"/>
        <v>-2.3161254062875791</v>
      </c>
      <c r="X373" s="1">
        <f t="shared" si="224"/>
        <v>0.77504759952979896</v>
      </c>
      <c r="Y373" s="1">
        <f t="shared" si="224"/>
        <v>-13.963282144802029</v>
      </c>
      <c r="Z373" s="1">
        <f t="shared" si="224"/>
        <v>-5.5606340642139074</v>
      </c>
      <c r="AA373" s="1">
        <f t="shared" si="224"/>
        <v>-13.038989325113874</v>
      </c>
      <c r="AB373" s="1">
        <f t="shared" si="224"/>
        <v>-2.2457314369598791</v>
      </c>
      <c r="AC373" s="1">
        <f t="shared" si="224"/>
        <v>-2.2164067161803835</v>
      </c>
      <c r="AD373" s="1">
        <f t="shared" si="224"/>
        <v>0.84704596311766522</v>
      </c>
      <c r="AE373" s="1">
        <f t="shared" si="224"/>
        <v>-2.1878011818883714</v>
      </c>
      <c r="AF373" s="1">
        <f t="shared" si="224"/>
        <v>7.0827227265066739</v>
      </c>
      <c r="AG373" s="1">
        <f t="shared" si="224"/>
        <v>-3.6599398439948594</v>
      </c>
      <c r="AH373" s="1">
        <f t="shared" si="224"/>
        <v>-0.3410360947594171</v>
      </c>
      <c r="AI373" s="1">
        <f t="shared" si="224"/>
        <v>3.5060483238106599</v>
      </c>
      <c r="AJ373" s="1">
        <f t="shared" si="224"/>
        <v>2.2588799386088292</v>
      </c>
      <c r="AK373" s="1">
        <f t="shared" si="224"/>
        <v>1.060795570879165</v>
      </c>
      <c r="AL373" s="1">
        <f t="shared" si="224"/>
        <v>15.835012039505294</v>
      </c>
      <c r="AM373" s="1">
        <f t="shared" si="224"/>
        <v>0.9732630180599573</v>
      </c>
      <c r="AN373" s="1">
        <f t="shared" si="224"/>
        <v>-83.804785911699412</v>
      </c>
      <c r="AO373" s="1">
        <f t="shared" si="224"/>
        <v>-3.9843407084176796</v>
      </c>
      <c r="AP373" s="1">
        <f t="shared" si="224"/>
        <v>-2.1653951727871679</v>
      </c>
    </row>
    <row r="374" spans="3:42" x14ac:dyDescent="0.2">
      <c r="C374" s="1" t="s">
        <v>66</v>
      </c>
      <c r="E374" s="1">
        <f t="shared" ref="E374:AP374" si="225">100*(1/E343-1)/((E59-today)/E$18)</f>
        <v>5.8150610851500923</v>
      </c>
      <c r="F374" s="1">
        <f t="shared" si="225"/>
        <v>0.32053342788750222</v>
      </c>
      <c r="G374" s="1">
        <f t="shared" si="225"/>
        <v>-4.9170897716666238</v>
      </c>
      <c r="H374" s="1">
        <f t="shared" si="225"/>
        <v>-12.166427501868299</v>
      </c>
      <c r="I374" s="1">
        <f t="shared" si="225"/>
        <v>-15.806915349604182</v>
      </c>
      <c r="J374" s="1">
        <f t="shared" si="225"/>
        <v>1.9857866193498148</v>
      </c>
      <c r="K374" s="1">
        <f t="shared" si="225"/>
        <v>-4.0024306926306554</v>
      </c>
      <c r="L374" s="1">
        <f t="shared" si="225"/>
        <v>0.5122928446670727</v>
      </c>
      <c r="M374" s="1">
        <f t="shared" si="225"/>
        <v>-3.1033597605691656</v>
      </c>
      <c r="N374" s="1">
        <f t="shared" si="225"/>
        <v>2.1684714958634235</v>
      </c>
      <c r="O374" s="1">
        <f t="shared" si="225"/>
        <v>-1.9820453685471711</v>
      </c>
      <c r="P374" s="1">
        <f t="shared" si="225"/>
        <v>-4.1755058367941675</v>
      </c>
      <c r="Q374" s="1">
        <f t="shared" si="225"/>
        <v>10.437070236434868</v>
      </c>
      <c r="R374" s="1">
        <f t="shared" si="225"/>
        <v>-4.3659057449561693</v>
      </c>
      <c r="S374" s="1">
        <f t="shared" si="225"/>
        <v>11.193561670000866</v>
      </c>
      <c r="T374" s="1">
        <f t="shared" si="225"/>
        <v>0.36956294059375949</v>
      </c>
      <c r="U374" s="1">
        <f t="shared" si="225"/>
        <v>0.35077313267539439</v>
      </c>
      <c r="V374" s="1">
        <f t="shared" si="225"/>
        <v>8.419748896327178</v>
      </c>
      <c r="W374" s="1">
        <f t="shared" si="225"/>
        <v>1.3855787985970203</v>
      </c>
      <c r="X374" s="1">
        <f t="shared" si="225"/>
        <v>2.2804219289430754</v>
      </c>
      <c r="Y374" s="1">
        <f t="shared" si="225"/>
        <v>-7.9055794473231522</v>
      </c>
      <c r="Z374" s="1">
        <f t="shared" si="225"/>
        <v>-3.6603575588034762</v>
      </c>
      <c r="AA374" s="1">
        <f t="shared" si="225"/>
        <v>-8.9422549070319377</v>
      </c>
      <c r="AB374" s="1">
        <f t="shared" si="225"/>
        <v>-1.1825375197416095</v>
      </c>
      <c r="AC374" s="1">
        <f t="shared" si="225"/>
        <v>-0.50525416618335384</v>
      </c>
      <c r="AD374" s="1">
        <f t="shared" si="225"/>
        <v>3.2936226448569781</v>
      </c>
      <c r="AE374" s="1">
        <f t="shared" si="225"/>
        <v>-0.32663029856884662</v>
      </c>
      <c r="AF374" s="1">
        <f t="shared" si="225"/>
        <v>6.9788720937955011</v>
      </c>
      <c r="AG374" s="1">
        <f t="shared" si="225"/>
        <v>-2.4356870175572656</v>
      </c>
      <c r="AH374" s="1">
        <f t="shared" si="225"/>
        <v>-0.19643554953840642</v>
      </c>
      <c r="AI374" s="1">
        <f t="shared" si="225"/>
        <v>3.2644309431937302</v>
      </c>
      <c r="AJ374" s="1">
        <f t="shared" si="225"/>
        <v>3.5992297547739538</v>
      </c>
      <c r="AK374" s="1">
        <f t="shared" si="225"/>
        <v>1.1902933064382535</v>
      </c>
      <c r="AL374" s="1">
        <f t="shared" si="225"/>
        <v>15.803982567356632</v>
      </c>
      <c r="AM374" s="1">
        <f t="shared" si="225"/>
        <v>1.019926056075499</v>
      </c>
      <c r="AN374" s="1">
        <f t="shared" si="225"/>
        <v>-63.297977564333344</v>
      </c>
      <c r="AO374" s="1">
        <f t="shared" si="225"/>
        <v>-2.8747322401265762</v>
      </c>
      <c r="AP374" s="1">
        <f t="shared" si="225"/>
        <v>-0.10773935806775674</v>
      </c>
    </row>
    <row r="375" spans="3:42" x14ac:dyDescent="0.2">
      <c r="C375" s="1" t="s">
        <v>71</v>
      </c>
      <c r="E375" s="1">
        <f t="shared" ref="E375:AP375" si="226">100*(1/E344-1)/((E60-today)/E$18)</f>
        <v>4.4091471762016505</v>
      </c>
      <c r="F375" s="1">
        <f t="shared" si="226"/>
        <v>0.39335585115336208</v>
      </c>
      <c r="G375" s="1">
        <f t="shared" si="226"/>
        <v>-3.0462888710388447</v>
      </c>
      <c r="H375" s="1">
        <f t="shared" si="226"/>
        <v>-6.7846720225442763</v>
      </c>
      <c r="I375" s="1">
        <f t="shared" si="226"/>
        <v>-8.3306099869035375</v>
      </c>
      <c r="J375" s="1">
        <f t="shared" si="226"/>
        <v>1.9909719818016165</v>
      </c>
      <c r="K375" s="1">
        <f t="shared" si="226"/>
        <v>-2.4422961497570586</v>
      </c>
      <c r="L375" s="1">
        <f t="shared" si="226"/>
        <v>0.70317535630870509</v>
      </c>
      <c r="M375" s="1">
        <f t="shared" si="226"/>
        <v>-1.9266492039498042</v>
      </c>
      <c r="N375" s="1">
        <f t="shared" si="226"/>
        <v>2.1896968198955591</v>
      </c>
      <c r="O375" s="1">
        <f t="shared" si="226"/>
        <v>-0.34482780682689096</v>
      </c>
      <c r="P375" s="1">
        <f t="shared" si="226"/>
        <v>-2.1977707072664239</v>
      </c>
      <c r="Q375" s="1">
        <f t="shared" si="226"/>
        <v>9.2360528920834337</v>
      </c>
      <c r="R375" s="1">
        <f t="shared" si="226"/>
        <v>-3.356118725579917</v>
      </c>
      <c r="S375" s="1">
        <f t="shared" si="226"/>
        <v>10.807767235466947</v>
      </c>
      <c r="T375" s="1">
        <f t="shared" si="226"/>
        <v>0.53320500638907264</v>
      </c>
      <c r="U375" s="1">
        <f t="shared" si="226"/>
        <v>2.7492507593676518</v>
      </c>
      <c r="V375" s="1">
        <f t="shared" si="226"/>
        <v>9.0375121671483694</v>
      </c>
      <c r="W375" s="1">
        <f t="shared" si="226"/>
        <v>4.5435378998943676</v>
      </c>
      <c r="X375" s="1">
        <f t="shared" si="226"/>
        <v>3.6321767928394322</v>
      </c>
      <c r="Y375" s="1">
        <f t="shared" si="226"/>
        <v>-1.5891958768605086</v>
      </c>
      <c r="Z375" s="1">
        <f t="shared" si="226"/>
        <v>-1.6445658346658629</v>
      </c>
      <c r="AA375" s="1">
        <f t="shared" si="226"/>
        <v>-4.4596308427729632</v>
      </c>
      <c r="AB375" s="1">
        <f t="shared" si="226"/>
        <v>5.1815756500975654E-2</v>
      </c>
      <c r="AC375" s="1">
        <f t="shared" si="226"/>
        <v>1.3636395350362969</v>
      </c>
      <c r="AD375" s="1">
        <f t="shared" si="226"/>
        <v>4.4577398625911258</v>
      </c>
      <c r="AE375" s="1">
        <f t="shared" si="226"/>
        <v>2.2601403601057211</v>
      </c>
      <c r="AF375" s="1">
        <f t="shared" si="226"/>
        <v>6.3599163572534785</v>
      </c>
      <c r="AG375" s="1">
        <f t="shared" si="226"/>
        <v>-1.133156999552235</v>
      </c>
      <c r="AH375" s="1">
        <f t="shared" si="226"/>
        <v>-5.8010143597631021E-2</v>
      </c>
      <c r="AI375" s="1">
        <f t="shared" si="226"/>
        <v>2.6584011053610066</v>
      </c>
      <c r="AJ375" s="1">
        <f t="shared" si="226"/>
        <v>4.4499622553398837</v>
      </c>
      <c r="AK375" s="1">
        <f t="shared" si="226"/>
        <v>1.2160370748376235</v>
      </c>
      <c r="AL375" s="1">
        <f t="shared" si="226"/>
        <v>14.484272203533878</v>
      </c>
      <c r="AM375" s="1">
        <f t="shared" si="226"/>
        <v>1.1791398562098714</v>
      </c>
      <c r="AN375" s="1">
        <f t="shared" si="226"/>
        <v>-39.393018496831445</v>
      </c>
      <c r="AO375" s="1">
        <f t="shared" si="226"/>
        <v>-1.7175853920297079</v>
      </c>
      <c r="AP375" s="1">
        <f t="shared" si="226"/>
        <v>2.0592911218462819</v>
      </c>
    </row>
    <row r="376" spans="3:42" x14ac:dyDescent="0.2">
      <c r="C376" s="1" t="s">
        <v>77</v>
      </c>
      <c r="E376" s="1">
        <f t="shared" ref="E376:AP376" si="227">100*(1/E345-1)/((E61-today)/E$18)</f>
        <v>4.3781008733819302</v>
      </c>
      <c r="F376" s="1">
        <f t="shared" si="227"/>
        <v>0.53276867121572435</v>
      </c>
      <c r="G376" s="1">
        <f t="shared" si="227"/>
        <v>-2.2256542625453606</v>
      </c>
      <c r="H376" s="1">
        <f t="shared" si="227"/>
        <v>-4.6577881498734355</v>
      </c>
      <c r="I376" s="1">
        <f t="shared" si="227"/>
        <v>-4.9581745729687023</v>
      </c>
      <c r="J376" s="1">
        <f t="shared" si="227"/>
        <v>2.2742422888857585</v>
      </c>
      <c r="K376" s="1">
        <f t="shared" si="227"/>
        <v>-1.7476918117947364</v>
      </c>
      <c r="L376" s="1">
        <f t="shared" si="227"/>
        <v>1.0201439173010167</v>
      </c>
      <c r="M376" s="1">
        <f t="shared" si="227"/>
        <v>-1.4029772354261096</v>
      </c>
      <c r="N376" s="1">
        <f t="shared" si="227"/>
        <v>2.4790986632463103</v>
      </c>
      <c r="O376" s="1">
        <f t="shared" si="227"/>
        <v>0.63185086634806331</v>
      </c>
      <c r="P376" s="1">
        <f t="shared" si="227"/>
        <v>-1.2219090518712785</v>
      </c>
      <c r="Q376" s="1">
        <f t="shared" si="227"/>
        <v>9.0284954424534547</v>
      </c>
      <c r="R376" s="1">
        <f t="shared" si="227"/>
        <v>-3.2489686094134242</v>
      </c>
      <c r="S376" s="1">
        <f t="shared" si="227"/>
        <v>10.890696119479648</v>
      </c>
      <c r="T376" s="1">
        <f t="shared" si="227"/>
        <v>0.94199604340647336</v>
      </c>
      <c r="U376" s="1">
        <f t="shared" si="227"/>
        <v>4.0206201714050538</v>
      </c>
      <c r="V376" s="1">
        <f t="shared" si="227"/>
        <v>9.7624517248677467</v>
      </c>
      <c r="W376" s="1">
        <f t="shared" si="227"/>
        <v>6.010035753561831</v>
      </c>
      <c r="X376" s="1">
        <f t="shared" si="227"/>
        <v>4.6011388229731143</v>
      </c>
      <c r="Y376" s="1">
        <f t="shared" si="227"/>
        <v>1.2132415622936787</v>
      </c>
      <c r="Z376" s="1">
        <f t="shared" si="227"/>
        <v>-0.47594794460060352</v>
      </c>
      <c r="AA376" s="1">
        <f t="shared" si="227"/>
        <v>-2.312836989949854</v>
      </c>
      <c r="AB376" s="1">
        <f t="shared" si="227"/>
        <v>0.82252394022312292</v>
      </c>
      <c r="AC376" s="1">
        <f t="shared" si="227"/>
        <v>2.3137559632181155</v>
      </c>
      <c r="AD376" s="1">
        <f t="shared" si="227"/>
        <v>5.957984543441893</v>
      </c>
      <c r="AE376" s="1">
        <f t="shared" si="227"/>
        <v>3.7464597310003129</v>
      </c>
      <c r="AF376" s="1">
        <f t="shared" si="227"/>
        <v>6.3587790133269841</v>
      </c>
      <c r="AG376" s="1">
        <f t="shared" si="227"/>
        <v>-0.52300678058972927</v>
      </c>
      <c r="AH376" s="1">
        <f t="shared" si="227"/>
        <v>0.23301421312123918</v>
      </c>
      <c r="AI376" s="1">
        <f t="shared" si="227"/>
        <v>3.0448710588217036</v>
      </c>
      <c r="AJ376" s="1">
        <f t="shared" si="227"/>
        <v>5.2590343014849834</v>
      </c>
      <c r="AK376" s="1">
        <f t="shared" si="227"/>
        <v>1.6179155657356596</v>
      </c>
      <c r="AL376" s="1">
        <f t="shared" si="227"/>
        <v>13.525605631912558</v>
      </c>
      <c r="AM376" s="1">
        <f t="shared" si="227"/>
        <v>1.6049696009150001</v>
      </c>
      <c r="AN376" s="1">
        <f t="shared" si="227"/>
        <v>-19.230655442011837</v>
      </c>
      <c r="AO376" s="1">
        <f t="shared" si="227"/>
        <v>-0.60494777351091744</v>
      </c>
      <c r="AP376" s="1">
        <f t="shared" si="227"/>
        <v>3.2665360385311866</v>
      </c>
    </row>
    <row r="377" spans="3:42" x14ac:dyDescent="0.2">
      <c r="C377" s="1" t="s">
        <v>82</v>
      </c>
      <c r="E377" s="1">
        <f t="shared" ref="E377:AP377" si="228">100*(1/E346-1)/((E62-today)/E$18)</f>
        <v>4.1599485077150327</v>
      </c>
      <c r="F377" s="1">
        <f t="shared" si="228"/>
        <v>0.57455451978395733</v>
      </c>
      <c r="G377" s="1">
        <f t="shared" si="228"/>
        <v>-1.8796311263197896</v>
      </c>
      <c r="H377" s="1">
        <f t="shared" si="228"/>
        <v>-3.5985413591069522</v>
      </c>
      <c r="I377" s="1">
        <f t="shared" si="228"/>
        <v>-3.3730862565467428</v>
      </c>
      <c r="J377" s="1">
        <f t="shared" si="228"/>
        <v>2.3292785208461466</v>
      </c>
      <c r="K377" s="1">
        <f t="shared" si="228"/>
        <v>-1.4632711382590304</v>
      </c>
      <c r="L377" s="1">
        <f t="shared" si="228"/>
        <v>1.082166677107842</v>
      </c>
      <c r="M377" s="1">
        <f t="shared" si="228"/>
        <v>-1.1549578549956991</v>
      </c>
      <c r="N377" s="1">
        <f t="shared" si="228"/>
        <v>2.5440959699796495</v>
      </c>
      <c r="O377" s="1">
        <f t="shared" si="228"/>
        <v>0.97690751735162751</v>
      </c>
      <c r="P377" s="1">
        <f t="shared" si="228"/>
        <v>-0.82914201048423308</v>
      </c>
      <c r="Q377" s="1">
        <f t="shared" si="228"/>
        <v>9.0533783354026323</v>
      </c>
      <c r="R377" s="1">
        <f t="shared" si="228"/>
        <v>-3.1392429188150377</v>
      </c>
      <c r="S377" s="1">
        <f t="shared" si="228"/>
        <v>11.383790931091072</v>
      </c>
      <c r="T377" s="1">
        <f t="shared" si="228"/>
        <v>1.0522862827084494</v>
      </c>
      <c r="U377" s="1">
        <f t="shared" si="228"/>
        <v>4.2057853290039384</v>
      </c>
      <c r="V377" s="1">
        <f t="shared" si="228"/>
        <v>9.9415140071078874</v>
      </c>
      <c r="W377" s="1">
        <f t="shared" si="228"/>
        <v>6.6771535162352951</v>
      </c>
      <c r="X377" s="1">
        <f t="shared" si="228"/>
        <v>4.9826195813377252</v>
      </c>
      <c r="Y377" s="1">
        <f t="shared" si="228"/>
        <v>2.624441840346972</v>
      </c>
      <c r="Z377" s="1">
        <f t="shared" si="228"/>
        <v>-1.6799461889078198E-2</v>
      </c>
      <c r="AA377" s="1">
        <f t="shared" si="228"/>
        <v>-1.4748794246945114</v>
      </c>
      <c r="AB377" s="1">
        <f t="shared" si="228"/>
        <v>1.1057639703039408</v>
      </c>
      <c r="AC377" s="1">
        <f t="shared" si="228"/>
        <v>2.7011942433686729</v>
      </c>
      <c r="AD377" s="1">
        <f t="shared" si="228"/>
        <v>6.4710267218083803</v>
      </c>
      <c r="AE377" s="1">
        <f t="shared" si="228"/>
        <v>4.61346522050889</v>
      </c>
      <c r="AF377" s="1">
        <f t="shared" si="228"/>
        <v>6.5216908493824812</v>
      </c>
      <c r="AG377" s="1">
        <f t="shared" si="228"/>
        <v>-0.20018807457551502</v>
      </c>
      <c r="AH377" s="1">
        <f t="shared" si="228"/>
        <v>0.24254497529291857</v>
      </c>
      <c r="AI377" s="1">
        <f t="shared" si="228"/>
        <v>3.2920869216115438</v>
      </c>
      <c r="AJ377" s="1">
        <f t="shared" si="228"/>
        <v>5.2446419055773417</v>
      </c>
      <c r="AK377" s="1">
        <f t="shared" si="228"/>
        <v>1.6895957665310275</v>
      </c>
      <c r="AL377" s="1">
        <f t="shared" si="228"/>
        <v>12.78582785455931</v>
      </c>
      <c r="AM377" s="1">
        <f t="shared" si="228"/>
        <v>1.7311368238381206</v>
      </c>
      <c r="AN377" s="1">
        <f t="shared" si="228"/>
        <v>-12.820511705692356</v>
      </c>
      <c r="AO377" s="1">
        <f t="shared" si="228"/>
        <v>-0.38959477797874803</v>
      </c>
      <c r="AP377" s="1">
        <f t="shared" si="228"/>
        <v>3.5812444050003878</v>
      </c>
    </row>
    <row r="378" spans="3:42" x14ac:dyDescent="0.2">
      <c r="C378" s="1" t="s">
        <v>85</v>
      </c>
      <c r="E378" s="1">
        <f t="shared" ref="E378:AP378" si="229">100*(1/E347-1)/((E63-today)/E$18)</f>
        <v>3.94914807698169</v>
      </c>
      <c r="F378" s="1">
        <f t="shared" si="229"/>
        <v>0.60762033196885612</v>
      </c>
      <c r="G378" s="1">
        <f t="shared" si="229"/>
        <v>-1.6096362676226479</v>
      </c>
      <c r="H378" s="1">
        <f t="shared" si="229"/>
        <v>-2.8698897965983998</v>
      </c>
      <c r="I378" s="1">
        <f t="shared" si="229"/>
        <v>-2.53759413915758</v>
      </c>
      <c r="J378" s="1">
        <f t="shared" si="229"/>
        <v>2.3054401309045764</v>
      </c>
      <c r="K378" s="1">
        <f t="shared" si="229"/>
        <v>-1.2270670641711514</v>
      </c>
      <c r="L378" s="1">
        <f t="shared" si="229"/>
        <v>1.0915399524424139</v>
      </c>
      <c r="M378" s="1">
        <f t="shared" si="229"/>
        <v>-0.9750157515280099</v>
      </c>
      <c r="N378" s="1">
        <f t="shared" si="229"/>
        <v>2.5337662038453521</v>
      </c>
      <c r="O378" s="1">
        <f t="shared" si="229"/>
        <v>1.1511230919835203</v>
      </c>
      <c r="P378" s="1">
        <f t="shared" si="229"/>
        <v>-0.58187586984970885</v>
      </c>
      <c r="Q378" s="1">
        <f t="shared" si="229"/>
        <v>8.8243301281438615</v>
      </c>
      <c r="R378" s="1">
        <f t="shared" si="229"/>
        <v>-3.0138096167971904</v>
      </c>
      <c r="S378" s="1">
        <f t="shared" si="229"/>
        <v>11.236780511096802</v>
      </c>
      <c r="T378" s="1">
        <f t="shared" si="229"/>
        <v>1.112470202135283</v>
      </c>
      <c r="U378" s="1">
        <f t="shared" si="229"/>
        <v>4.287867273229522</v>
      </c>
      <c r="V378" s="1">
        <f t="shared" si="229"/>
        <v>9.9784518492674223</v>
      </c>
      <c r="W378" s="1">
        <f t="shared" si="229"/>
        <v>7.0895300936732539</v>
      </c>
      <c r="X378" s="1">
        <f t="shared" si="229"/>
        <v>5.1789508333439445</v>
      </c>
      <c r="Y378" s="1">
        <f t="shared" si="229"/>
        <v>3.4892713148162628</v>
      </c>
      <c r="Z378" s="1">
        <f t="shared" si="229"/>
        <v>0.26553679268967434</v>
      </c>
      <c r="AA378" s="1">
        <f t="shared" si="229"/>
        <v>-0.94851226211275041</v>
      </c>
      <c r="AB378" s="1">
        <f t="shared" si="229"/>
        <v>1.2638500005954416</v>
      </c>
      <c r="AC378" s="1">
        <f t="shared" si="229"/>
        <v>2.890093292628158</v>
      </c>
      <c r="AD378" s="1">
        <f t="shared" si="229"/>
        <v>6.6773186878320168</v>
      </c>
      <c r="AE378" s="1">
        <f t="shared" si="229"/>
        <v>5.1203776755906416</v>
      </c>
      <c r="AF378" s="1">
        <f t="shared" si="229"/>
        <v>6.5696616578282283</v>
      </c>
      <c r="AG378" s="1">
        <f t="shared" si="229"/>
        <v>-8.8423421051520359E-3</v>
      </c>
      <c r="AH378" s="1">
        <f t="shared" si="229"/>
        <v>0.23221301681850548</v>
      </c>
      <c r="AI378" s="1">
        <f t="shared" si="229"/>
        <v>3.4136900589003853</v>
      </c>
      <c r="AJ378" s="1">
        <f t="shared" si="229"/>
        <v>5.0655716343207597</v>
      </c>
      <c r="AK378" s="1">
        <f t="shared" si="229"/>
        <v>1.659483416965674</v>
      </c>
      <c r="AL378" s="1">
        <f t="shared" si="229"/>
        <v>12.221644149290691</v>
      </c>
      <c r="AM378" s="1">
        <f t="shared" si="229"/>
        <v>1.7535104498790184</v>
      </c>
      <c r="AN378" s="1">
        <f t="shared" si="229"/>
        <v>-8.9162619932460192</v>
      </c>
      <c r="AO378" s="1">
        <f t="shared" si="229"/>
        <v>-0.26530524203082106</v>
      </c>
      <c r="AP378" s="1">
        <f t="shared" si="229"/>
        <v>3.7626614374367646</v>
      </c>
    </row>
    <row r="379" spans="3:42" x14ac:dyDescent="0.2">
      <c r="C379" s="1" t="s">
        <v>87</v>
      </c>
      <c r="E379" s="1">
        <f t="shared" ref="E379:AP379" si="230">100*(1/E348-1)/((E64-today)/E$18)</f>
        <v>4.0619570022645801</v>
      </c>
      <c r="F379" s="1">
        <f t="shared" si="230"/>
        <v>0.6632543890397844</v>
      </c>
      <c r="G379" s="1">
        <f t="shared" si="230"/>
        <v>-1.4157553799768785</v>
      </c>
      <c r="H379" s="1">
        <f t="shared" si="230"/>
        <v>-2.4243654195943427</v>
      </c>
      <c r="I379" s="1">
        <f t="shared" si="230"/>
        <v>-1.8164302064756335</v>
      </c>
      <c r="J379" s="1">
        <f t="shared" si="230"/>
        <v>2.4197330778824684</v>
      </c>
      <c r="K379" s="1">
        <f t="shared" si="230"/>
        <v>-1.0324355051767391</v>
      </c>
      <c r="L379" s="1">
        <f t="shared" si="230"/>
        <v>1.2022703330125528</v>
      </c>
      <c r="M379" s="1">
        <f t="shared" si="230"/>
        <v>-0.81432045493288974</v>
      </c>
      <c r="N379" s="1">
        <f t="shared" si="230"/>
        <v>2.6450350608413138</v>
      </c>
      <c r="O379" s="1">
        <f t="shared" si="230"/>
        <v>1.3871976351264204</v>
      </c>
      <c r="P379" s="1">
        <f t="shared" si="230"/>
        <v>-0.23737296711043565</v>
      </c>
      <c r="Q379" s="1">
        <f t="shared" si="230"/>
        <v>8.8413319182144523</v>
      </c>
      <c r="R379" s="1">
        <f t="shared" si="230"/>
        <v>-2.822361841969844</v>
      </c>
      <c r="S379" s="1">
        <f t="shared" si="230"/>
        <v>11.359360168177364</v>
      </c>
      <c r="T379" s="1">
        <f t="shared" si="230"/>
        <v>1.3044772419518671</v>
      </c>
      <c r="U379" s="1">
        <f t="shared" si="230"/>
        <v>4.5227918792862996</v>
      </c>
      <c r="V379" s="1">
        <f t="shared" si="230"/>
        <v>10.097475809717855</v>
      </c>
      <c r="W379" s="1">
        <f t="shared" si="230"/>
        <v>7.3895658620811595</v>
      </c>
      <c r="X379" s="1">
        <f t="shared" si="230"/>
        <v>5.4216163754375906</v>
      </c>
      <c r="Y379" s="1">
        <f t="shared" si="230"/>
        <v>4.1718174283054275</v>
      </c>
      <c r="Z379" s="1">
        <f t="shared" si="230"/>
        <v>0.58785314364859498</v>
      </c>
      <c r="AA379" s="1">
        <f t="shared" si="230"/>
        <v>-0.46609449221302768</v>
      </c>
      <c r="AB379" s="1">
        <f t="shared" si="230"/>
        <v>1.4984663033124854</v>
      </c>
      <c r="AC379" s="1">
        <f t="shared" si="230"/>
        <v>3.1863814412012168</v>
      </c>
      <c r="AD379" s="1">
        <f t="shared" si="230"/>
        <v>6.7410248308047525</v>
      </c>
      <c r="AE379" s="1">
        <f t="shared" si="230"/>
        <v>5.5643102626668082</v>
      </c>
      <c r="AF379" s="1">
        <f t="shared" si="230"/>
        <v>6.7103704216832982</v>
      </c>
      <c r="AG379" s="1">
        <f t="shared" si="230"/>
        <v>0.25273067249831715</v>
      </c>
      <c r="AH379" s="1">
        <f t="shared" si="230"/>
        <v>0.36222591020152978</v>
      </c>
      <c r="AI379" s="1">
        <f t="shared" si="230"/>
        <v>3.6155210678604099</v>
      </c>
      <c r="AJ379" s="1">
        <f t="shared" si="230"/>
        <v>5.1542986243300497</v>
      </c>
      <c r="AK379" s="1">
        <f t="shared" si="230"/>
        <v>1.827225384632901</v>
      </c>
      <c r="AL379" s="1">
        <f t="shared" si="230"/>
        <v>11.942034052634286</v>
      </c>
      <c r="AM379" s="1">
        <f t="shared" si="230"/>
        <v>1.9532247753542866</v>
      </c>
      <c r="AN379" s="1">
        <f t="shared" si="230"/>
        <v>-6.1218719009446545</v>
      </c>
      <c r="AO379" s="1">
        <f t="shared" si="230"/>
        <v>-4.6038712155529023E-2</v>
      </c>
      <c r="AP379" s="1">
        <f t="shared" si="230"/>
        <v>3.9708955546112072</v>
      </c>
    </row>
    <row r="380" spans="3:42" x14ac:dyDescent="0.2">
      <c r="C380" s="1" t="s">
        <v>90</v>
      </c>
      <c r="E380" s="1">
        <f t="shared" ref="E380:AP380" si="231">100*(1/E349-1)/((E65-today)/E$18)</f>
        <v>4.0413908146707351</v>
      </c>
      <c r="F380" s="1">
        <f t="shared" si="231"/>
        <v>0.70238681874897535</v>
      </c>
      <c r="G380" s="1">
        <f t="shared" si="231"/>
        <v>-1.2925255263826672</v>
      </c>
      <c r="H380" s="1">
        <f t="shared" si="231"/>
        <v>-2.0792235031271518</v>
      </c>
      <c r="I380" s="1">
        <f t="shared" si="231"/>
        <v>-1.3518419678586426</v>
      </c>
      <c r="J380" s="1">
        <f t="shared" si="231"/>
        <v>2.4578806262511117</v>
      </c>
      <c r="K380" s="1">
        <f t="shared" si="231"/>
        <v>-0.92270855097216964</v>
      </c>
      <c r="L380" s="1">
        <f t="shared" si="231"/>
        <v>1.2310719461183783</v>
      </c>
      <c r="M380" s="1">
        <f t="shared" si="231"/>
        <v>-0.70812386444992403</v>
      </c>
      <c r="N380" s="1">
        <f t="shared" si="231"/>
        <v>2.6977533478290683</v>
      </c>
      <c r="O380" s="1">
        <f t="shared" si="231"/>
        <v>1.497911462742844</v>
      </c>
      <c r="P380" s="1">
        <f t="shared" si="231"/>
        <v>-0.13035453502689237</v>
      </c>
      <c r="Q380" s="1">
        <f t="shared" si="231"/>
        <v>8.9316238335369995</v>
      </c>
      <c r="R380" s="1">
        <f t="shared" si="231"/>
        <v>-2.6929844829673795</v>
      </c>
      <c r="S380" s="1">
        <f t="shared" si="231"/>
        <v>11.54275233656965</v>
      </c>
      <c r="T380" s="1">
        <f t="shared" si="231"/>
        <v>1.3837632460880926</v>
      </c>
      <c r="U380" s="1">
        <f t="shared" si="231"/>
        <v>4.6325950816674677</v>
      </c>
      <c r="V380" s="1">
        <f t="shared" si="231"/>
        <v>10.173880772690881</v>
      </c>
      <c r="W380" s="1">
        <f t="shared" si="231"/>
        <v>7.5579215241179023</v>
      </c>
      <c r="X380" s="1">
        <f t="shared" si="231"/>
        <v>5.5938303482281722</v>
      </c>
      <c r="Y380" s="1">
        <f t="shared" si="231"/>
        <v>4.7749717234957991</v>
      </c>
      <c r="Z380" s="1">
        <f t="shared" si="231"/>
        <v>0.75503294799691056</v>
      </c>
      <c r="AA380" s="1">
        <f t="shared" si="231"/>
        <v>-0.24012695907338344</v>
      </c>
      <c r="AB380" s="1">
        <f t="shared" si="231"/>
        <v>1.6245305143079241</v>
      </c>
      <c r="AC380" s="1">
        <f t="shared" si="231"/>
        <v>3.3239859143021264</v>
      </c>
      <c r="AD380" s="1">
        <f t="shared" si="231"/>
        <v>6.9533552842068564</v>
      </c>
      <c r="AE380" s="1">
        <f t="shared" si="231"/>
        <v>6.0222733535137962</v>
      </c>
      <c r="AF380" s="1">
        <f t="shared" si="231"/>
        <v>6.5904227844661989</v>
      </c>
      <c r="AG380" s="1">
        <f t="shared" si="231"/>
        <v>0.43073344519650725</v>
      </c>
      <c r="AH380" s="1">
        <f t="shared" si="231"/>
        <v>0.34766460422615741</v>
      </c>
      <c r="AI380" s="1">
        <f t="shared" si="231"/>
        <v>3.6893870093828536</v>
      </c>
      <c r="AJ380" s="1">
        <f t="shared" si="231"/>
        <v>5.116167182333804</v>
      </c>
      <c r="AK380" s="1">
        <f t="shared" si="231"/>
        <v>1.8792740243488057</v>
      </c>
      <c r="AL380" s="1">
        <f t="shared" si="231"/>
        <v>11.90035415547271</v>
      </c>
      <c r="AM380" s="1">
        <f t="shared" si="231"/>
        <v>2.0837179964645798</v>
      </c>
      <c r="AN380" s="1">
        <f t="shared" si="231"/>
        <v>-3.6299779875022531</v>
      </c>
      <c r="AO380" s="1">
        <f t="shared" si="231"/>
        <v>9.2334456084364191E-2</v>
      </c>
      <c r="AP380" s="1">
        <f t="shared" si="231"/>
        <v>4.0461765450117149</v>
      </c>
    </row>
    <row r="381" spans="3:42" x14ac:dyDescent="0.2">
      <c r="C381" s="1" t="s">
        <v>93</v>
      </c>
      <c r="E381" s="1">
        <f t="shared" ref="E381:AP381" si="232">100*(1/E350-1)/((E66-today)/E$18)</f>
        <v>3.9639822145856871</v>
      </c>
      <c r="F381" s="1">
        <f t="shared" si="232"/>
        <v>0.7284465164351922</v>
      </c>
      <c r="G381" s="1">
        <f t="shared" si="232"/>
        <v>-1.1798654344709929</v>
      </c>
      <c r="H381" s="1">
        <f t="shared" si="232"/>
        <v>-1.7858557223338762</v>
      </c>
      <c r="I381" s="1">
        <f t="shared" si="232"/>
        <v>-1.0162090669415154</v>
      </c>
      <c r="J381" s="1">
        <f t="shared" si="232"/>
        <v>2.447993603215878</v>
      </c>
      <c r="K381" s="1">
        <f t="shared" si="232"/>
        <v>-0.80897717755275689</v>
      </c>
      <c r="L381" s="1">
        <f t="shared" si="232"/>
        <v>1.230733560393104</v>
      </c>
      <c r="M381" s="1">
        <f t="shared" si="232"/>
        <v>-0.62587393885880027</v>
      </c>
      <c r="N381" s="1">
        <f t="shared" si="232"/>
        <v>2.6887141042252862</v>
      </c>
      <c r="O381" s="1">
        <f t="shared" si="232"/>
        <v>1.5567822720541038</v>
      </c>
      <c r="P381" s="1">
        <f t="shared" si="232"/>
        <v>-3.1310006183630508E-2</v>
      </c>
      <c r="Q381" s="1">
        <f t="shared" si="232"/>
        <v>8.7473968558930011</v>
      </c>
      <c r="R381" s="1">
        <f t="shared" si="232"/>
        <v>-2.536125343449545</v>
      </c>
      <c r="S381" s="1">
        <f t="shared" si="232"/>
        <v>11.542679254589945</v>
      </c>
      <c r="T381" s="1">
        <f t="shared" si="232"/>
        <v>1.4412216087761238</v>
      </c>
      <c r="U381" s="1">
        <f t="shared" si="232"/>
        <v>4.5929235888855704</v>
      </c>
      <c r="V381" s="1">
        <f t="shared" si="232"/>
        <v>9.9831327432080617</v>
      </c>
      <c r="W381" s="1">
        <f t="shared" si="232"/>
        <v>7.5931398597699484</v>
      </c>
      <c r="X381" s="1">
        <f t="shared" si="232"/>
        <v>5.5860210689634036</v>
      </c>
      <c r="Y381" s="1">
        <f t="shared" si="232"/>
        <v>5.0723699467807704</v>
      </c>
      <c r="Z381" s="1">
        <f t="shared" si="232"/>
        <v>0.87052645874403811</v>
      </c>
      <c r="AA381" s="1">
        <f t="shared" si="232"/>
        <v>-5.988033868286366E-2</v>
      </c>
      <c r="AB381" s="1">
        <f t="shared" si="232"/>
        <v>1.6901964983743392</v>
      </c>
      <c r="AC381" s="1">
        <f t="shared" si="232"/>
        <v>3.3609936093255697</v>
      </c>
      <c r="AD381" s="1">
        <f t="shared" si="232"/>
        <v>6.8943553245693163</v>
      </c>
      <c r="AE381" s="1">
        <f t="shared" si="232"/>
        <v>6.1914227185349402</v>
      </c>
      <c r="AF381" s="1">
        <f t="shared" si="232"/>
        <v>6.3641429336157644</v>
      </c>
      <c r="AG381" s="1">
        <f t="shared" si="232"/>
        <v>0.5618400479196638</v>
      </c>
      <c r="AH381" s="1">
        <f t="shared" si="232"/>
        <v>0.3541387384989011</v>
      </c>
      <c r="AI381" s="1">
        <f t="shared" si="232"/>
        <v>3.6666481527405397</v>
      </c>
      <c r="AJ381" s="1">
        <f t="shared" si="232"/>
        <v>4.9744443076253031</v>
      </c>
      <c r="AK381" s="1">
        <f t="shared" si="232"/>
        <v>1.8895337871199458</v>
      </c>
      <c r="AL381" s="1">
        <f t="shared" si="232"/>
        <v>11.58666858474186</v>
      </c>
      <c r="AM381" s="1">
        <f t="shared" si="232"/>
        <v>2.1560318802706444</v>
      </c>
      <c r="AN381" s="1">
        <f t="shared" si="232"/>
        <v>-1.868884072201547</v>
      </c>
      <c r="AO381" s="1">
        <f t="shared" si="232"/>
        <v>0.20619936770361316</v>
      </c>
      <c r="AP381" s="1">
        <f t="shared" si="232"/>
        <v>4.0526813474619425</v>
      </c>
    </row>
    <row r="382" spans="3:42" x14ac:dyDescent="0.2">
      <c r="C382" s="1" t="s">
        <v>96</v>
      </c>
      <c r="E382" s="1">
        <f t="shared" ref="E382:AP382" si="233">100*(1/E351-1)/((E67-today)/E$18)</f>
        <v>4.0979063664147075</v>
      </c>
      <c r="F382" s="1">
        <f t="shared" si="233"/>
        <v>0.74638213312240309</v>
      </c>
      <c r="G382" s="1">
        <f t="shared" si="233"/>
        <v>-1.1369721022147994</v>
      </c>
      <c r="H382" s="1">
        <f t="shared" si="233"/>
        <v>-1.6409533736154123</v>
      </c>
      <c r="I382" s="1">
        <f t="shared" si="233"/>
        <v>-0.7155458258966868</v>
      </c>
      <c r="J382" s="1">
        <f t="shared" si="233"/>
        <v>2.5214952683254488</v>
      </c>
      <c r="K382" s="1">
        <f t="shared" si="233"/>
        <v>-0.77658295490826978</v>
      </c>
      <c r="L382" s="1">
        <f t="shared" si="233"/>
        <v>1.2837800939489787</v>
      </c>
      <c r="M382" s="1">
        <f t="shared" si="233"/>
        <v>-0.57072072545674202</v>
      </c>
      <c r="N382" s="1">
        <f t="shared" si="233"/>
        <v>2.7828596078117465</v>
      </c>
      <c r="O382" s="1">
        <f t="shared" si="233"/>
        <v>1.6741778767305096</v>
      </c>
      <c r="P382" s="1">
        <f t="shared" si="233"/>
        <v>8.2065822953196865E-2</v>
      </c>
      <c r="Q382" s="1">
        <f t="shared" si="233"/>
        <v>8.8964827763899184</v>
      </c>
      <c r="R382" s="1">
        <f t="shared" si="233"/>
        <v>-2.4404512814295081</v>
      </c>
      <c r="S382" s="1">
        <f t="shared" si="233"/>
        <v>11.762875564961965</v>
      </c>
      <c r="T382" s="1">
        <f t="shared" si="233"/>
        <v>1.5333938522701087</v>
      </c>
      <c r="U382" s="1">
        <f t="shared" si="233"/>
        <v>4.7606873120683426</v>
      </c>
      <c r="V382" s="1">
        <f t="shared" si="233"/>
        <v>10.090773114726638</v>
      </c>
      <c r="W382" s="1">
        <f t="shared" si="233"/>
        <v>7.7810653829588698</v>
      </c>
      <c r="X382" s="1">
        <f t="shared" si="233"/>
        <v>5.8034177615901799</v>
      </c>
      <c r="Y382" s="1">
        <f t="shared" si="233"/>
        <v>5.463075470801364</v>
      </c>
      <c r="Z382" s="1">
        <f t="shared" si="233"/>
        <v>1.0180946360187673</v>
      </c>
      <c r="AA382" s="1">
        <f t="shared" si="233"/>
        <v>0.11886978293956053</v>
      </c>
      <c r="AB382" s="1">
        <f t="shared" si="233"/>
        <v>1.8161372527517909</v>
      </c>
      <c r="AC382" s="1">
        <f t="shared" si="233"/>
        <v>3.4868193553313107</v>
      </c>
      <c r="AD382" s="1">
        <f t="shared" si="233"/>
        <v>7.058993992601394</v>
      </c>
      <c r="AE382" s="1">
        <f t="shared" si="233"/>
        <v>6.503854055909434</v>
      </c>
      <c r="AF382" s="1">
        <f t="shared" si="233"/>
        <v>6.3604309037641595</v>
      </c>
      <c r="AG382" s="1">
        <f t="shared" si="233"/>
        <v>0.71500175407199429</v>
      </c>
      <c r="AH382" s="1">
        <f t="shared" si="233"/>
        <v>0.40167508962717435</v>
      </c>
      <c r="AI382" s="1">
        <f t="shared" si="233"/>
        <v>3.7661340731446624</v>
      </c>
      <c r="AJ382" s="1">
        <f t="shared" si="233"/>
        <v>5.0670742126128205</v>
      </c>
      <c r="AK382" s="1">
        <f t="shared" si="233"/>
        <v>1.9751744594388838</v>
      </c>
      <c r="AL382" s="1">
        <f t="shared" si="233"/>
        <v>11.63139070501231</v>
      </c>
      <c r="AM382" s="1">
        <f t="shared" si="233"/>
        <v>2.2819381151102269</v>
      </c>
      <c r="AN382" s="1">
        <f t="shared" si="233"/>
        <v>-0.45178159063317702</v>
      </c>
      <c r="AO382" s="1">
        <f t="shared" si="233"/>
        <v>0.33728832352940258</v>
      </c>
      <c r="AP382" s="1">
        <f t="shared" si="233"/>
        <v>4.165979533519228</v>
      </c>
    </row>
    <row r="383" spans="3:42" x14ac:dyDescent="0.2">
      <c r="C383" s="1" t="s">
        <v>99</v>
      </c>
      <c r="E383" s="1">
        <f t="shared" ref="E383:AP383" si="234">100*(1/E352-1)/((E68-today)/E$18)</f>
        <v>4.0505059375256387</v>
      </c>
      <c r="F383" s="1">
        <f t="shared" si="234"/>
        <v>0.74497698924988998</v>
      </c>
      <c r="G383" s="1">
        <f t="shared" si="234"/>
        <v>-1.0898613741731187</v>
      </c>
      <c r="H383" s="1">
        <f t="shared" si="234"/>
        <v>-1.4887001599810488</v>
      </c>
      <c r="I383" s="1">
        <f t="shared" si="234"/>
        <v>-0.53604052036706118</v>
      </c>
      <c r="J383" s="1">
        <f t="shared" si="234"/>
        <v>2.4965111614029012</v>
      </c>
      <c r="K383" s="1">
        <f t="shared" si="234"/>
        <v>-0.74592037025319891</v>
      </c>
      <c r="L383" s="1">
        <f t="shared" si="234"/>
        <v>1.2579808597091793</v>
      </c>
      <c r="M383" s="1">
        <f t="shared" si="234"/>
        <v>-0.5407659024752216</v>
      </c>
      <c r="N383" s="1">
        <f t="shared" si="234"/>
        <v>2.7683610061934099</v>
      </c>
      <c r="O383" s="1">
        <f t="shared" si="234"/>
        <v>1.6657382604841864</v>
      </c>
      <c r="P383" s="1">
        <f t="shared" si="234"/>
        <v>0.11770468128699718</v>
      </c>
      <c r="Q383" s="1">
        <f t="shared" si="234"/>
        <v>8.879475061757141</v>
      </c>
      <c r="R383" s="1">
        <f t="shared" si="234"/>
        <v>-2.2867054197425629</v>
      </c>
      <c r="S383" s="1">
        <f t="shared" si="234"/>
        <v>11.856032916060114</v>
      </c>
      <c r="T383" s="1">
        <f t="shared" si="234"/>
        <v>1.5408487235235067</v>
      </c>
      <c r="U383" s="1">
        <f t="shared" si="234"/>
        <v>4.7538183752726049</v>
      </c>
      <c r="V383" s="1">
        <f t="shared" si="234"/>
        <v>9.9559446461856957</v>
      </c>
      <c r="W383" s="1">
        <f t="shared" si="234"/>
        <v>7.8177512544548433</v>
      </c>
      <c r="X383" s="1">
        <f t="shared" si="234"/>
        <v>5.7908239592231752</v>
      </c>
      <c r="Y383" s="1">
        <f t="shared" si="234"/>
        <v>5.7288981899269338</v>
      </c>
      <c r="Z383" s="1">
        <f t="shared" si="234"/>
        <v>1.0750171182535717</v>
      </c>
      <c r="AA383" s="1">
        <f t="shared" si="234"/>
        <v>0.18587104519627157</v>
      </c>
      <c r="AB383" s="1">
        <f t="shared" si="234"/>
        <v>1.8669368388219092</v>
      </c>
      <c r="AC383" s="1">
        <f t="shared" si="234"/>
        <v>3.5356913747621905</v>
      </c>
      <c r="AD383" s="1">
        <f t="shared" si="234"/>
        <v>6.9765466443331663</v>
      </c>
      <c r="AE383" s="1">
        <f t="shared" si="234"/>
        <v>6.6742977172084075</v>
      </c>
      <c r="AF383" s="1">
        <f t="shared" si="234"/>
        <v>6.324575418697548</v>
      </c>
      <c r="AG383" s="1">
        <f t="shared" si="234"/>
        <v>0.77695559970864247</v>
      </c>
      <c r="AH383" s="1">
        <f t="shared" si="234"/>
        <v>0.3555973048322138</v>
      </c>
      <c r="AI383" s="1">
        <f t="shared" si="234"/>
        <v>3.7242184678116002</v>
      </c>
      <c r="AJ383" s="1">
        <f t="shared" si="234"/>
        <v>5.0399293572546062</v>
      </c>
      <c r="AK383" s="1">
        <f t="shared" si="234"/>
        <v>1.9844273648517283</v>
      </c>
      <c r="AL383" s="1">
        <f t="shared" si="234"/>
        <v>11.527061370311349</v>
      </c>
      <c r="AM383" s="1">
        <f t="shared" si="234"/>
        <v>2.3170609126153581</v>
      </c>
      <c r="AN383" s="1">
        <f t="shared" si="234"/>
        <v>0.76542654929288312</v>
      </c>
      <c r="AO383" s="1">
        <f t="shared" si="234"/>
        <v>0.39020673209087042</v>
      </c>
      <c r="AP383" s="1">
        <f t="shared" si="234"/>
        <v>4.1103840192220744</v>
      </c>
    </row>
    <row r="384" spans="3:42" x14ac:dyDescent="0.2">
      <c r="C384" s="1" t="s">
        <v>101</v>
      </c>
      <c r="E384" s="1">
        <f t="shared" ref="E384:AP384" si="235">100*(1/E353-1)/((E69-today)/E$18)</f>
        <v>3.9951824940251139</v>
      </c>
      <c r="F384" s="1">
        <f t="shared" si="235"/>
        <v>0.73655173965745857</v>
      </c>
      <c r="G384" s="1">
        <f t="shared" si="235"/>
        <v>-1.0590865469163266</v>
      </c>
      <c r="H384" s="1">
        <f t="shared" si="235"/>
        <v>-1.3645792476843657</v>
      </c>
      <c r="I384" s="1">
        <f t="shared" si="235"/>
        <v>-0.3861561699533746</v>
      </c>
      <c r="J384" s="1">
        <f t="shared" si="235"/>
        <v>2.4635809603775236</v>
      </c>
      <c r="K384" s="1">
        <f t="shared" si="235"/>
        <v>-0.71180788585236809</v>
      </c>
      <c r="L384" s="1">
        <f t="shared" si="235"/>
        <v>1.2272436026448119</v>
      </c>
      <c r="M384" s="1">
        <f t="shared" si="235"/>
        <v>-0.51513892421688701</v>
      </c>
      <c r="N384" s="1">
        <f t="shared" si="235"/>
        <v>2.7412123525859009</v>
      </c>
      <c r="O384" s="1">
        <f t="shared" si="235"/>
        <v>1.6511257054832029</v>
      </c>
      <c r="P384" s="1">
        <f t="shared" si="235"/>
        <v>0.15291354549401268</v>
      </c>
      <c r="Q384" s="1">
        <f t="shared" si="235"/>
        <v>8.7765695972596998</v>
      </c>
      <c r="R384" s="1">
        <f t="shared" si="235"/>
        <v>-2.1370144366508779</v>
      </c>
      <c r="S384" s="1">
        <f t="shared" si="235"/>
        <v>11.77579380129721</v>
      </c>
      <c r="T384" s="1">
        <f t="shared" si="235"/>
        <v>1.5615731161091886</v>
      </c>
      <c r="U384" s="1">
        <f t="shared" si="235"/>
        <v>4.6679538342488236</v>
      </c>
      <c r="V384" s="1">
        <f t="shared" si="235"/>
        <v>9.7826825764201946</v>
      </c>
      <c r="W384" s="1">
        <f t="shared" si="235"/>
        <v>7.7543173729272796</v>
      </c>
      <c r="X384" s="1">
        <f t="shared" si="235"/>
        <v>5.791716857982693</v>
      </c>
      <c r="Y384" s="1">
        <f t="shared" si="235"/>
        <v>5.8527245192216419</v>
      </c>
      <c r="Z384" s="1">
        <f t="shared" si="235"/>
        <v>1.1152305968703478</v>
      </c>
      <c r="AA384" s="1">
        <f t="shared" si="235"/>
        <v>0.24432317983298513</v>
      </c>
      <c r="AB384" s="1">
        <f t="shared" si="235"/>
        <v>1.8991961481828425</v>
      </c>
      <c r="AC384" s="1">
        <f t="shared" si="235"/>
        <v>3.552399916050208</v>
      </c>
      <c r="AD384" s="1">
        <f t="shared" si="235"/>
        <v>6.867178529088652</v>
      </c>
      <c r="AE384" s="1">
        <f t="shared" si="235"/>
        <v>6.7541846785954531</v>
      </c>
      <c r="AF384" s="1">
        <f t="shared" si="235"/>
        <v>6.2551232585707952</v>
      </c>
      <c r="AG384" s="1">
        <f t="shared" si="235"/>
        <v>0.82426015828176558</v>
      </c>
      <c r="AH384" s="1">
        <f t="shared" si="235"/>
        <v>0.32913217520781324</v>
      </c>
      <c r="AI384" s="1">
        <f t="shared" si="235"/>
        <v>3.6723071690366793</v>
      </c>
      <c r="AJ384" s="1">
        <f t="shared" si="235"/>
        <v>4.9505861672357074</v>
      </c>
      <c r="AK384" s="1">
        <f t="shared" si="235"/>
        <v>1.9850202500187057</v>
      </c>
      <c r="AL384" s="1">
        <f t="shared" si="235"/>
        <v>11.363014077700427</v>
      </c>
      <c r="AM384" s="1">
        <f t="shared" si="235"/>
        <v>2.3667670958030267</v>
      </c>
      <c r="AN384" s="1">
        <f t="shared" si="235"/>
        <v>1.6681098077844712</v>
      </c>
      <c r="AO384" s="1">
        <f t="shared" si="235"/>
        <v>0.43653231681353638</v>
      </c>
      <c r="AP384" s="1">
        <f t="shared" si="235"/>
        <v>4.0344282828677107</v>
      </c>
    </row>
    <row r="385" spans="3:42" x14ac:dyDescent="0.2">
      <c r="C385" s="1" t="s">
        <v>138</v>
      </c>
      <c r="E385" s="1">
        <f t="shared" ref="E385:AP385" si="236">100*(1/E354-1)/((E70-today)/E$18)</f>
        <v>4.1921296806252748</v>
      </c>
      <c r="F385" s="1">
        <f t="shared" si="236"/>
        <v>0.75400895575501292</v>
      </c>
      <c r="G385" s="1">
        <f t="shared" si="236"/>
        <v>-1.0447249104753074</v>
      </c>
      <c r="H385" s="1">
        <f t="shared" si="236"/>
        <v>-1.3094245096753732</v>
      </c>
      <c r="I385" s="1">
        <f t="shared" si="236"/>
        <v>-0.18122436526806859</v>
      </c>
      <c r="J385" s="1">
        <f t="shared" si="236"/>
        <v>2.5687892416400602</v>
      </c>
      <c r="K385" s="1">
        <f t="shared" si="236"/>
        <v>-0.70408798796877015</v>
      </c>
      <c r="L385" s="1">
        <f t="shared" si="236"/>
        <v>1.2993184177704098</v>
      </c>
      <c r="M385" s="1">
        <f t="shared" si="236"/>
        <v>-0.48866478304517119</v>
      </c>
      <c r="N385" s="1">
        <f t="shared" si="236"/>
        <v>2.8727855781217158</v>
      </c>
      <c r="O385" s="1">
        <f t="shared" si="236"/>
        <v>1.7543721028686594</v>
      </c>
      <c r="P385" s="1">
        <f t="shared" si="236"/>
        <v>0.26568765867618904</v>
      </c>
      <c r="Q385" s="1">
        <f t="shared" si="236"/>
        <v>8.9680638687243217</v>
      </c>
      <c r="R385" s="1">
        <f t="shared" si="236"/>
        <v>-1.9752370949290237</v>
      </c>
      <c r="S385" s="1">
        <f t="shared" si="236"/>
        <v>12.022759793600134</v>
      </c>
      <c r="T385" s="1">
        <f t="shared" si="236"/>
        <v>1.6632309987436094</v>
      </c>
      <c r="U385" s="1">
        <f t="shared" si="236"/>
        <v>4.7747823298733731</v>
      </c>
      <c r="V385" s="1">
        <f t="shared" si="236"/>
        <v>9.8796490880314867</v>
      </c>
      <c r="W385" s="1">
        <f t="shared" si="236"/>
        <v>7.9317803119866053</v>
      </c>
      <c r="X385" s="1">
        <f t="shared" si="236"/>
        <v>5.9737238856462183</v>
      </c>
      <c r="Y385" s="1">
        <f t="shared" si="236"/>
        <v>6.1641821267868595</v>
      </c>
      <c r="Z385" s="1">
        <f t="shared" si="236"/>
        <v>1.2551328254744738</v>
      </c>
      <c r="AA385" s="1">
        <f t="shared" si="236"/>
        <v>0.37875713538866157</v>
      </c>
      <c r="AB385" s="1">
        <f t="shared" si="236"/>
        <v>2.0397159675811456</v>
      </c>
      <c r="AC385" s="1">
        <f t="shared" si="236"/>
        <v>3.7085371785667682</v>
      </c>
      <c r="AD385" s="1">
        <f t="shared" si="236"/>
        <v>6.9693692283797493</v>
      </c>
      <c r="AE385" s="1">
        <f t="shared" si="236"/>
        <v>7.0243909795274053</v>
      </c>
      <c r="AF385" s="1">
        <f t="shared" si="236"/>
        <v>6.3822222023925583</v>
      </c>
      <c r="AG385" s="1">
        <f t="shared" si="236"/>
        <v>0.9636904204777037</v>
      </c>
      <c r="AH385" s="1">
        <f t="shared" si="236"/>
        <v>0.38878934723110214</v>
      </c>
      <c r="AI385" s="1">
        <f t="shared" si="236"/>
        <v>3.7689384110353115</v>
      </c>
      <c r="AJ385" s="1">
        <f t="shared" si="236"/>
        <v>5.0579684035738541</v>
      </c>
      <c r="AK385" s="1">
        <f t="shared" si="236"/>
        <v>2.1021278582079668</v>
      </c>
      <c r="AL385" s="1">
        <f t="shared" si="236"/>
        <v>11.496544591971951</v>
      </c>
      <c r="AM385" s="1">
        <f t="shared" si="236"/>
        <v>2.5135108559550852</v>
      </c>
      <c r="AN385" s="1">
        <f t="shared" si="236"/>
        <v>2.6656603675524608</v>
      </c>
      <c r="AO385" s="1">
        <f t="shared" si="236"/>
        <v>0.56351123605647413</v>
      </c>
      <c r="AP385" s="1">
        <f t="shared" si="236"/>
        <v>4.1214830206985908</v>
      </c>
    </row>
    <row r="386" spans="3:42" x14ac:dyDescent="0.2">
      <c r="C386" s="1" t="s">
        <v>122</v>
      </c>
      <c r="E386" s="1">
        <f t="shared" ref="E386:AP386" si="237">100*(1/E355-1)/((E71-today)/E$18)</f>
        <v>4.2344635340219865</v>
      </c>
      <c r="F386" s="1">
        <f t="shared" si="237"/>
        <v>0.76492733191668505</v>
      </c>
      <c r="G386" s="1">
        <f t="shared" si="237"/>
        <v>-0.9963623307043693</v>
      </c>
      <c r="H386" s="1">
        <f t="shared" si="237"/>
        <v>-1.1089557426061027</v>
      </c>
      <c r="I386" s="1">
        <f t="shared" si="237"/>
        <v>0.1191797229810741</v>
      </c>
      <c r="J386" s="1">
        <f t="shared" si="237"/>
        <v>2.5710562328451743</v>
      </c>
      <c r="K386" s="1">
        <f t="shared" si="237"/>
        <v>-0.6276453945260384</v>
      </c>
      <c r="L386" s="1">
        <f t="shared" si="237"/>
        <v>1.3028667130150671</v>
      </c>
      <c r="M386" s="1">
        <f t="shared" si="237"/>
        <v>-0.41263533367099386</v>
      </c>
      <c r="N386" s="1">
        <f t="shared" si="237"/>
        <v>2.9234233736373163</v>
      </c>
      <c r="O386" s="1">
        <f t="shared" si="237"/>
        <v>1.7951472732608631</v>
      </c>
      <c r="P386" s="1">
        <f t="shared" si="237"/>
        <v>0.36517830501814996</v>
      </c>
      <c r="Q386" s="1">
        <f t="shared" si="237"/>
        <v>8.9591967124760004</v>
      </c>
      <c r="R386" s="1">
        <f t="shared" si="237"/>
        <v>-1.689392596059091</v>
      </c>
      <c r="S386" s="1">
        <f t="shared" si="237"/>
        <v>12.227681537188552</v>
      </c>
      <c r="T386" s="1">
        <f t="shared" si="237"/>
        <v>1.7517060799531243</v>
      </c>
      <c r="U386" s="1">
        <f t="shared" si="237"/>
        <v>4.7819095211264226</v>
      </c>
      <c r="V386" s="1">
        <f t="shared" si="237"/>
        <v>9.7140187798933404</v>
      </c>
      <c r="W386" s="1">
        <f t="shared" si="237"/>
        <v>7.9744205863747695</v>
      </c>
      <c r="X386" s="1">
        <f t="shared" si="237"/>
        <v>6.0112784251402394</v>
      </c>
      <c r="Y386" s="1">
        <f t="shared" si="237"/>
        <v>6.5951791454973669</v>
      </c>
      <c r="Z386" s="1">
        <f t="shared" si="237"/>
        <v>1.3667883469694349</v>
      </c>
      <c r="AA386" s="1">
        <f t="shared" si="237"/>
        <v>0.51894542684462119</v>
      </c>
      <c r="AB386" s="1">
        <f t="shared" si="237"/>
        <v>2.1665268366653558</v>
      </c>
      <c r="AC386" s="1">
        <f t="shared" si="237"/>
        <v>3.7101444979378875</v>
      </c>
      <c r="AD386" s="1">
        <f t="shared" si="237"/>
        <v>6.832153985114104</v>
      </c>
      <c r="AE386" s="1">
        <f t="shared" si="237"/>
        <v>7.3376015519397644</v>
      </c>
      <c r="AF386" s="1">
        <f t="shared" si="237"/>
        <v>6.2494736510843776</v>
      </c>
      <c r="AG386" s="1">
        <f t="shared" si="237"/>
        <v>1.1035297317208306</v>
      </c>
      <c r="AH386" s="1">
        <f t="shared" si="237"/>
        <v>0.33271785402773618</v>
      </c>
      <c r="AI386" s="1">
        <f t="shared" si="237"/>
        <v>3.7673312841590705</v>
      </c>
      <c r="AJ386" s="1">
        <f t="shared" si="237"/>
        <v>5.0817322270073797</v>
      </c>
      <c r="AK386" s="1">
        <f t="shared" si="237"/>
        <v>2.1150327448376451</v>
      </c>
      <c r="AL386" s="1">
        <f t="shared" si="237"/>
        <v>11.427301940838817</v>
      </c>
      <c r="AM386" s="1">
        <f t="shared" si="237"/>
        <v>2.7327080378668231</v>
      </c>
      <c r="AN386" s="1">
        <f t="shared" si="237"/>
        <v>4.3928352270703206</v>
      </c>
      <c r="AO386" s="1">
        <f t="shared" si="237"/>
        <v>0.7258036352490308</v>
      </c>
      <c r="AP386" s="1">
        <f t="shared" si="237"/>
        <v>4.0023419757031418</v>
      </c>
    </row>
    <row r="387" spans="3:42" x14ac:dyDescent="0.2">
      <c r="C387" s="1" t="s">
        <v>133</v>
      </c>
      <c r="E387" s="1">
        <f t="shared" ref="E387:AP387" si="238">100*(1/E356-1)/((E72-today)/E$18)</f>
        <v>4.3223903092479938</v>
      </c>
      <c r="F387" s="1">
        <f t="shared" si="238"/>
        <v>0.7807822687613547</v>
      </c>
      <c r="G387" s="1">
        <f t="shared" si="238"/>
        <v>-0.90663663244518866</v>
      </c>
      <c r="H387" s="1">
        <f t="shared" si="238"/>
        <v>-0.97805581322317547</v>
      </c>
      <c r="I387" s="1">
        <f t="shared" si="238"/>
        <v>0.34164070082068027</v>
      </c>
      <c r="J387" s="1">
        <f t="shared" si="238"/>
        <v>2.6063588226326639</v>
      </c>
      <c r="K387" s="1">
        <f t="shared" si="238"/>
        <v>-0.58022957017028376</v>
      </c>
      <c r="L387" s="1">
        <f t="shared" si="238"/>
        <v>1.29561865306135</v>
      </c>
      <c r="M387" s="1">
        <f t="shared" si="238"/>
        <v>-0.3593680519709414</v>
      </c>
      <c r="N387" s="1">
        <f t="shared" si="238"/>
        <v>2.9966547275421962</v>
      </c>
      <c r="O387" s="1">
        <f t="shared" si="238"/>
        <v>1.850685219395521</v>
      </c>
      <c r="P387" s="1">
        <f t="shared" si="238"/>
        <v>0.45808180167434259</v>
      </c>
      <c r="Q387" s="1">
        <f t="shared" si="238"/>
        <v>8.9951173559771416</v>
      </c>
      <c r="R387" s="1">
        <f t="shared" si="238"/>
        <v>-1.4729019967177537</v>
      </c>
      <c r="S387" s="1">
        <f t="shared" si="238"/>
        <v>12.41669545625915</v>
      </c>
      <c r="T387" s="1">
        <f t="shared" si="238"/>
        <v>1.8398584394371686</v>
      </c>
      <c r="U387" s="1">
        <f t="shared" si="238"/>
        <v>4.8199182325829932</v>
      </c>
      <c r="V387" s="1">
        <f t="shared" si="238"/>
        <v>9.6440189301671229</v>
      </c>
      <c r="W387" s="1">
        <f t="shared" si="238"/>
        <v>8.0436618982732391</v>
      </c>
      <c r="X387" s="1">
        <f t="shared" si="238"/>
        <v>6.0730867767176084</v>
      </c>
      <c r="Y387" s="1">
        <f t="shared" si="238"/>
        <v>6.9278090028422286</v>
      </c>
      <c r="Z387" s="1">
        <f t="shared" si="238"/>
        <v>1.4700430999579097</v>
      </c>
      <c r="AA387" s="1">
        <f t="shared" si="238"/>
        <v>0.64005041187767575</v>
      </c>
      <c r="AB387" s="1">
        <f t="shared" si="238"/>
        <v>2.2817764608753728</v>
      </c>
      <c r="AC387" s="1">
        <f t="shared" si="238"/>
        <v>3.7426892195455044</v>
      </c>
      <c r="AD387" s="1">
        <f t="shared" si="238"/>
        <v>6.7758337437513978</v>
      </c>
      <c r="AE387" s="1">
        <f t="shared" si="238"/>
        <v>7.5909988279872334</v>
      </c>
      <c r="AF387" s="1">
        <f t="shared" si="238"/>
        <v>6.1950430381109802</v>
      </c>
      <c r="AG387" s="1">
        <f t="shared" si="238"/>
        <v>1.2255710074253383</v>
      </c>
      <c r="AH387" s="1">
        <f t="shared" si="238"/>
        <v>0.34528522474566942</v>
      </c>
      <c r="AI387" s="1">
        <f t="shared" si="238"/>
        <v>3.7977879614476544</v>
      </c>
      <c r="AJ387" s="1">
        <f t="shared" si="238"/>
        <v>5.1471193984066756</v>
      </c>
      <c r="AK387" s="1">
        <f t="shared" si="238"/>
        <v>2.1530272505877353</v>
      </c>
      <c r="AL387" s="1">
        <f t="shared" si="238"/>
        <v>11.426806788255716</v>
      </c>
      <c r="AM387" s="1">
        <f t="shared" si="238"/>
        <v>2.9217530473036999</v>
      </c>
      <c r="AN387" s="1">
        <f t="shared" si="238"/>
        <v>5.6636069933145805</v>
      </c>
      <c r="AO387" s="1">
        <f t="shared" si="238"/>
        <v>0.86247370572572257</v>
      </c>
      <c r="AP387" s="1">
        <f t="shared" si="238"/>
        <v>3.9527188537012834</v>
      </c>
    </row>
    <row r="388" spans="3:42" x14ac:dyDescent="0.2">
      <c r="C388" s="1" t="s">
        <v>148</v>
      </c>
      <c r="E388" s="1">
        <f t="shared" ref="E388:AP388" si="239">100*(1/E357-1)/((E73-today)/E$18)</f>
        <v>4.5227100094370973</v>
      </c>
      <c r="F388" s="1">
        <f t="shared" si="239"/>
        <v>0.81455984492307731</v>
      </c>
      <c r="G388" s="1">
        <f t="shared" si="239"/>
        <v>-0.87597199399085734</v>
      </c>
      <c r="H388" s="1">
        <f t="shared" si="239"/>
        <v>-0.85071466436166043</v>
      </c>
      <c r="I388" s="1">
        <f t="shared" si="239"/>
        <v>0.6553186994066057</v>
      </c>
      <c r="J388" s="1">
        <f t="shared" si="239"/>
        <v>2.6958432671271533</v>
      </c>
      <c r="K388" s="1">
        <f t="shared" si="239"/>
        <v>-0.4942413286381605</v>
      </c>
      <c r="L388" s="1">
        <f t="shared" si="239"/>
        <v>1.3364207050113956</v>
      </c>
      <c r="M388" s="1">
        <f t="shared" si="239"/>
        <v>-0.22567067866386817</v>
      </c>
      <c r="N388" s="1">
        <f t="shared" si="239"/>
        <v>3.1594339509830216</v>
      </c>
      <c r="O388" s="1">
        <f t="shared" si="239"/>
        <v>1.9609455631870523</v>
      </c>
      <c r="P388" s="1">
        <f t="shared" si="239"/>
        <v>0.60499062275868898</v>
      </c>
      <c r="Q388" s="1">
        <f t="shared" si="239"/>
        <v>9.1422501985113414</v>
      </c>
      <c r="R388" s="1">
        <f t="shared" si="239"/>
        <v>-1.1813721935823558</v>
      </c>
      <c r="S388" s="1">
        <f t="shared" si="239"/>
        <v>12.817561460837217</v>
      </c>
      <c r="T388" s="1">
        <f t="shared" si="239"/>
        <v>1.9927355063889216</v>
      </c>
      <c r="U388" s="1">
        <f t="shared" si="239"/>
        <v>4.9328639579111213</v>
      </c>
      <c r="V388" s="1">
        <f t="shared" si="239"/>
        <v>9.6584016999317814</v>
      </c>
      <c r="W388" s="1">
        <f t="shared" si="239"/>
        <v>8.0891297375949023</v>
      </c>
      <c r="X388" s="1">
        <f t="shared" si="239"/>
        <v>6.2284859270794319</v>
      </c>
      <c r="Y388" s="1">
        <f t="shared" si="239"/>
        <v>7.4677862267872408</v>
      </c>
      <c r="Z388" s="1">
        <f t="shared" si="239"/>
        <v>1.6393341733677029</v>
      </c>
      <c r="AA388" s="1">
        <f t="shared" si="239"/>
        <v>0.82540793950033553</v>
      </c>
      <c r="AB388" s="1">
        <f t="shared" si="239"/>
        <v>2.4738459302294111</v>
      </c>
      <c r="AC388" s="1">
        <f t="shared" si="239"/>
        <v>3.6244853543151216</v>
      </c>
      <c r="AD388" s="1">
        <f t="shared" si="239"/>
        <v>6.4706235704103277</v>
      </c>
      <c r="AE388" s="1">
        <f t="shared" si="239"/>
        <v>8.0100668414811302</v>
      </c>
      <c r="AF388" s="1">
        <f t="shared" si="239"/>
        <v>6.1995963692128706</v>
      </c>
      <c r="AG388" s="1">
        <f t="shared" si="239"/>
        <v>1.4172752013081911</v>
      </c>
      <c r="AH388" s="1">
        <f t="shared" si="239"/>
        <v>0.36581148496414123</v>
      </c>
      <c r="AI388" s="1">
        <f t="shared" si="239"/>
        <v>3.8923057794460152</v>
      </c>
      <c r="AJ388" s="1">
        <f t="shared" si="239"/>
        <v>5.2820209696320006</v>
      </c>
      <c r="AK388" s="1">
        <f t="shared" si="239"/>
        <v>2.24300539450799</v>
      </c>
      <c r="AL388" s="1">
        <f t="shared" si="239"/>
        <v>11.547623897141213</v>
      </c>
      <c r="AM388" s="1">
        <f t="shared" si="239"/>
        <v>3.2160044281087017</v>
      </c>
      <c r="AN388" s="1">
        <f t="shared" si="239"/>
        <v>7.3954195048574682</v>
      </c>
      <c r="AO388" s="1">
        <f t="shared" si="239"/>
        <v>1.0701193650185743</v>
      </c>
      <c r="AP388" s="1">
        <f t="shared" si="239"/>
        <v>3.9378477572327366</v>
      </c>
    </row>
    <row r="389" spans="3:42" x14ac:dyDescent="0.2">
      <c r="C389" s="1" t="s">
        <v>150</v>
      </c>
      <c r="E389" s="270">
        <f>_xll.xlShmImplSwap(E$3&amp;"Freeze",E$13,E74,0,E$14,E$17,0)*100</f>
        <v>4.7510604835309751</v>
      </c>
      <c r="F389" s="270">
        <f>_xll.xlShmImplSwap(F$3&amp;"Freeze",F$13,F74,0,F$14,F$17,0)*100</f>
        <v>1.0128720479058149</v>
      </c>
      <c r="G389" s="270">
        <f>_xll.xlShmImplSwap(G$3&amp;"Freeze",G$13,G74,0,G$14,G$17,0)*100</f>
        <v>-0.53103451988883132</v>
      </c>
      <c r="H389" s="270">
        <f>_xll.xlShmImplSwap(H$3&amp;"Freeze",H$13,H74,0,H$14,H$17,0)*100</f>
        <v>-0.21807848175436831</v>
      </c>
      <c r="I389" s="270">
        <f>_xll.xlShmImplSwap(I$3&amp;"Freeze",I$13,I74,0,I$14,I$17,0)*100</f>
        <v>1.6950680002659873</v>
      </c>
      <c r="J389" s="270">
        <f>_xll.xlShmImplSwap(J$3&amp;"Freeze",J$13,J74,0,J$14,J$17,0)*100</f>
        <v>2.9477670791399317</v>
      </c>
      <c r="K389" s="270">
        <f>_xll.xlShmImplSwap(K$3&amp;"Freeze",K$13,K74,0,K$14,K$17,0)*100</f>
        <v>-0.12673006687488234</v>
      </c>
      <c r="L389" s="270">
        <f>_xll.xlShmImplSwap(L$3&amp;"Freeze",L$13,L74,0,L$14,L$17,0)*100</f>
        <v>1.622419417126393</v>
      </c>
      <c r="M389" s="270">
        <f>_xll.xlShmImplSwap(M$3&amp;"Freeze",M$13,M74,0,M$14,M$17,0)*100</f>
        <v>0.21874525733060565</v>
      </c>
      <c r="N389" s="270">
        <f>_xll.xlShmImplSwap(N$3&amp;"Freeze",N$13,N74,0,N$14,N$17,0)*100</f>
        <v>3.4573949918321119</v>
      </c>
      <c r="O389" s="270">
        <f>_xll.xlShmImplSwap(O$3&amp;"Freeze",O$13,O74,0,O$14,O$17,0)*100</f>
        <v>2.40534166711929</v>
      </c>
      <c r="P389" s="270">
        <f>_xll.xlShmImplSwap(P$3&amp;"Freeze",P$13,P74,0,P$14,P$17,0)*100</f>
        <v>1.1345662164398831</v>
      </c>
      <c r="Q389" s="270">
        <f>_xll.xlShmImplSwap(Q$3&amp;"Freeze",Q$13,Q74,0,Q$14,Q$17,0)*100</f>
        <v>8.606207257970226</v>
      </c>
      <c r="R389" s="270">
        <f>_xll.xlShmImplSwap(R$3&amp;"Freeze",R$13,R74,0,R$14,R$17,0)*100</f>
        <v>-0.69077655437620922</v>
      </c>
      <c r="S389" s="270">
        <f>_xll.xlShmImplSwap(S$3&amp;"Freeze",S$13,S74,0,S$14,S$17,0)*100</f>
        <v>12.369912125898317</v>
      </c>
      <c r="T389" s="270">
        <f>_xll.xlShmImplSwap(T$3&amp;"Freeze",T$13,T74,0,T$14,T$17,0)*100</f>
        <v>2.3158313447105461</v>
      </c>
      <c r="U389" s="270">
        <f>_xll.xlShmImplSwap(U$3&amp;"Freeze",U$13,U74,0,U$14,U$17,0)*100</f>
        <v>5.4144931690718101</v>
      </c>
      <c r="V389" s="270">
        <f>_xll.xlShmImplSwap(V$3&amp;"Freeze",V$13,V74,0,V$14,V$17,0)*100</f>
        <v>9.2020804575173649</v>
      </c>
      <c r="W389" s="270">
        <f>_xll.xlShmImplSwap(W$3&amp;"Freeze",W$13,W74,0,W$14,W$17,0)*100</f>
        <v>8.1936567871356427</v>
      </c>
      <c r="X389" s="270">
        <f>_xll.xlShmImplSwap(X$3&amp;"Freeze",X$13,X74,0,X$14,X$17,0)*100</f>
        <v>6.3955927923067994</v>
      </c>
      <c r="Y389" s="270">
        <f>_xll.xlShmImplSwap(Y$3&amp;"Freeze",Y$13,Y74,0,Y$14,Y$17,0)*100</f>
        <v>8.0773103129588506</v>
      </c>
      <c r="Z389" s="270">
        <f>_xll.xlShmImplSwap(Z$3&amp;"Freeze",Z$13,Z74,0,Z$14,Z$17,0)*100</f>
        <v>2.1500952864727387</v>
      </c>
      <c r="AA389" s="270">
        <f>_xll.xlShmImplSwap(AA$3&amp;"Freeze",AA$13,AA74,0,AA$14,AA$17,0)*100</f>
        <v>1.4367448963072174</v>
      </c>
      <c r="AB389" s="270">
        <f>_xll.xlShmImplSwap(AB$3&amp;"Freeze",AB$13,AB74,0,AB$14,AB$17,0)*100</f>
        <v>2.8502944498765377</v>
      </c>
      <c r="AC389" s="270">
        <f>_xll.xlShmImplSwap(AC$3&amp;"Freeze",AC$13,AC74,0,AC$14,AC$17,0)*100</f>
        <v>3.9539825188533397</v>
      </c>
      <c r="AD389" s="270">
        <f>_xll.xlShmImplSwap(AD$3&amp;"Freeze",AD$13,AD74,0,AD$14,AD$17,0)*100</f>
        <v>6.6205625090960414</v>
      </c>
      <c r="AE389" s="270">
        <f>_xll.xlShmImplSwap(AE$3&amp;"Freeze",AE$13,AE74,0,AE$14,AE$17,0)*100</f>
        <v>8.0825779537644227</v>
      </c>
      <c r="AF389" s="270">
        <f>_xll.xlShmImplSwap(AF$3&amp;"Freeze",AF$13,AF74,0,AF$14,AF$17,0)*100</f>
        <v>5.8164353323492763</v>
      </c>
      <c r="AG389" s="270">
        <f>_xll.xlShmImplSwap(AG$3&amp;"Freeze",AG$13,AG74,0,AG$14,AG$17,0)*100</f>
        <v>2.0279586687153173</v>
      </c>
      <c r="AH389" s="270">
        <f>_xll.xlShmImplSwap(AH$3&amp;"Freeze",AH$13,AH74,0,AH$14,AH$17,0)*100</f>
        <v>0.55849286532042108</v>
      </c>
      <c r="AI389" s="270">
        <f>_xll.xlShmImplSwap(AI$3&amp;"Freeze",AI$13,AI74,0,AI$14,AI$17,0)*100</f>
        <v>4.3350945446012306</v>
      </c>
      <c r="AJ389" s="270">
        <f>_xll.xlShmImplSwap(AJ$3&amp;"Freeze",AJ$13,AJ74,0,AJ$14,AJ$17,0)*100</f>
        <v>5.4007160193833936</v>
      </c>
      <c r="AK389" s="270">
        <f>_xll.xlShmImplSwap(AK$3&amp;"Freeze",AK$13,AK74,0,AK$14,AK$17,0)*100</f>
        <v>2.6584501148156661</v>
      </c>
      <c r="AL389" s="270" t="e">
        <f>_xll.xlShmImplSwap(AL$3&amp;"Freeze",AL$13,AL74,0,AL$14,AL$17,0)*100</f>
        <v>#VALUE!</v>
      </c>
      <c r="AM389" s="270">
        <f>_xll.xlShmImplSwap(AM$3&amp;"Freeze",AM$13,AM74,0,AM$14,AM$17,0)*100</f>
        <v>3.6305750646145372</v>
      </c>
      <c r="AN389" s="270" t="e">
        <f>_xll.xlShmImplSwap(AN$3&amp;"Freeze",AN$13,AN74,0,AN$14,AN$17,0)*100</f>
        <v>#VALUE!</v>
      </c>
      <c r="AO389" s="270" t="e">
        <f>_xll.xlShmImplSwap(AO$3&amp;"Freeze",AO$13,AO74,0,AO$14,AO$17,0)*100</f>
        <v>#VALUE!</v>
      </c>
      <c r="AP389" s="270" t="e">
        <f>_xll.xlShmImplSwap(AP$3&amp;"Freeze",AP$13,AP74,0,AP$14,AP$17,0)*100</f>
        <v>#VALUE!</v>
      </c>
    </row>
    <row r="390" spans="3:42" x14ac:dyDescent="0.2">
      <c r="C390" s="1" t="s">
        <v>153</v>
      </c>
      <c r="E390" s="271">
        <f>_xll.xlShmImplSwap(E$3&amp;"Freeze",E$13,E75,0,E$14,E$17,0)*100</f>
        <v>4.9671507070067697</v>
      </c>
      <c r="F390" s="271">
        <f>_xll.xlShmImplSwap(F$3&amp;"Freeze",F$13,F75,0,F$14,F$17,0)*100</f>
        <v>1.1504909337405409</v>
      </c>
      <c r="G390" s="271">
        <f>_xll.xlShmImplSwap(G$3&amp;"Freeze",G$13,G75,0,G$14,G$17,0)*100</f>
        <v>-0.47254142783965181</v>
      </c>
      <c r="H390" s="271">
        <f>_xll.xlShmImplSwap(H$3&amp;"Freeze",H$13,H75,0,H$14,H$17,0)*100</f>
        <v>-0.22563121917646184</v>
      </c>
      <c r="I390" s="271">
        <f>_xll.xlShmImplSwap(I$3&amp;"Freeze",I$13,I75,0,I$14,I$17,0)*100</f>
        <v>1.865773248799774</v>
      </c>
      <c r="J390" s="271">
        <f>_xll.xlShmImplSwap(J$3&amp;"Freeze",J$13,J75,0,J$14,J$17,0)*100</f>
        <v>3.1244541182961463</v>
      </c>
      <c r="K390" s="271">
        <f>_xll.xlShmImplSwap(K$3&amp;"Freeze",K$13,K75,0,K$14,K$17,0)*100</f>
        <v>7.621919915159263E-3</v>
      </c>
      <c r="L390" s="271">
        <f>_xll.xlShmImplSwap(L$3&amp;"Freeze",L$13,L75,0,L$14,L$17,0)*100</f>
        <v>1.7559303988810604</v>
      </c>
      <c r="M390" s="271">
        <f>_xll.xlShmImplSwap(M$3&amp;"Freeze",M$13,M75,0,M$14,M$17,0)*100</f>
        <v>0.57663970224880468</v>
      </c>
      <c r="N390" s="271">
        <f>_xll.xlShmImplSwap(N$3&amp;"Freeze",N$13,N75,0,N$14,N$17,0)*100</f>
        <v>3.6661185010964408</v>
      </c>
      <c r="O390" s="271">
        <f>_xll.xlShmImplSwap(O$3&amp;"Freeze",O$13,O75,0,O$14,O$17,0)*100</f>
        <v>2.5263339638647162</v>
      </c>
      <c r="P390" s="271">
        <f>_xll.xlShmImplSwap(P$3&amp;"Freeze",P$13,P75,0,P$14,P$17,0)*100</f>
        <v>1.2704011551043795</v>
      </c>
      <c r="Q390" s="271">
        <f>_xll.xlShmImplSwap(Q$3&amp;"Freeze",Q$13,Q75,0,Q$14,Q$17,0)*100</f>
        <v>8.6731235728107929</v>
      </c>
      <c r="R390" s="271">
        <f>_xll.xlShmImplSwap(R$3&amp;"Freeze",R$13,R75,0,R$14,R$17,0)*100</f>
        <v>-0.55688469545002628</v>
      </c>
      <c r="S390" s="271">
        <f>_xll.xlShmImplSwap(S$3&amp;"Freeze",S$13,S75,0,S$14,S$17,0)*100</f>
        <v>12.32829641278729</v>
      </c>
      <c r="T390" s="271">
        <f>_xll.xlShmImplSwap(T$3&amp;"Freeze",T$13,T75,0,T$14,T$17,0)*100</f>
        <v>2.4930430487065269</v>
      </c>
      <c r="U390" s="271">
        <f>_xll.xlShmImplSwap(U$3&amp;"Freeze",U$13,U75,0,U$14,U$17,0)*100</f>
        <v>5.4784555008734186</v>
      </c>
      <c r="V390" s="271">
        <f>_xll.xlShmImplSwap(V$3&amp;"Freeze",V$13,V75,0,V$14,V$17,0)*100</f>
        <v>9.0173721262170456</v>
      </c>
      <c r="W390" s="271">
        <f>_xll.xlShmImplSwap(W$3&amp;"Freeze",W$13,W75,0,W$14,W$17,0)*100</f>
        <v>7.9561735621753868</v>
      </c>
      <c r="X390" s="271">
        <f>_xll.xlShmImplSwap(X$3&amp;"Freeze",X$13,X75,0,X$14,X$17,0)*100</f>
        <v>6.4747738773520709</v>
      </c>
      <c r="Y390" s="271">
        <f>_xll.xlShmImplSwap(Y$3&amp;"Freeze",Y$13,Y75,0,Y$14,Y$17,0)*100</f>
        <v>8.0886614833526096</v>
      </c>
      <c r="Z390" s="271">
        <f>_xll.xlShmImplSwap(Z$3&amp;"Freeze",Z$13,Z75,0,Z$14,Z$17,0)*100</f>
        <v>2.2677764465599854</v>
      </c>
      <c r="AA390" s="271">
        <f>_xll.xlShmImplSwap(AA$3&amp;"Freeze",AA$13,AA75,0,AA$14,AA$17,0)*100</f>
        <v>1.4861004892699348</v>
      </c>
      <c r="AB390" s="271">
        <f>_xll.xlShmImplSwap(AB$3&amp;"Freeze",AB$13,AB75,0,AB$14,AB$17,0)*100</f>
        <v>3.0011583243939324</v>
      </c>
      <c r="AC390" s="271">
        <f>_xll.xlShmImplSwap(AC$3&amp;"Freeze",AC$13,AC75,0,AC$14,AC$17,0)*100</f>
        <v>4.0703961119933689</v>
      </c>
      <c r="AD390" s="271">
        <f>_xll.xlShmImplSwap(AD$3&amp;"Freeze",AD$13,AD75,0,AD$14,AD$17,0)*100</f>
        <v>6.6095357100494887</v>
      </c>
      <c r="AE390" s="271">
        <f>_xll.xlShmImplSwap(AE$3&amp;"Freeze",AE$13,AE75,0,AE$14,AE$17,0)*100</f>
        <v>8.133962866730263</v>
      </c>
      <c r="AF390" s="271">
        <f>_xll.xlShmImplSwap(AF$3&amp;"Freeze",AF$13,AF75,0,AF$14,AF$17,0)*100</f>
        <v>5.8697202993167794</v>
      </c>
      <c r="AG390" s="271">
        <f>_xll.xlShmImplSwap(AG$3&amp;"Freeze",AG$13,AG75,0,AG$14,AG$17,0)*100</f>
        <v>2.4375028314518468</v>
      </c>
      <c r="AH390" s="271">
        <f>_xll.xlShmImplSwap(AH$3&amp;"Freeze",AH$13,AH75,0,AH$14,AH$17,0)*100</f>
        <v>0.65182834154652636</v>
      </c>
      <c r="AI390" s="271">
        <f>_xll.xlShmImplSwap(AI$3&amp;"Freeze",AI$13,AI75,0,AI$14,AI$17,0)*100</f>
        <v>4.4579276924799549</v>
      </c>
      <c r="AJ390" s="271">
        <f>_xll.xlShmImplSwap(AJ$3&amp;"Freeze",AJ$13,AJ75,0,AJ$14,AJ$17,0)*100</f>
        <v>5.3252836558966381</v>
      </c>
      <c r="AK390" s="271">
        <f>_xll.xlShmImplSwap(AK$3&amp;"Freeze",AK$13,AK75,0,AK$14,AK$17,0)*100</f>
        <v>2.9386238697791889</v>
      </c>
      <c r="AL390" s="271" t="e">
        <f>_xll.xlShmImplSwap(AL$3&amp;"Freeze",AL$13,AL75,0,AL$14,AL$17,0)*100</f>
        <v>#VALUE!</v>
      </c>
      <c r="AM390" s="271">
        <f>_xll.xlShmImplSwap(AM$3&amp;"Freeze",AM$13,AM75,0,AM$14,AM$17,0)*100</f>
        <v>3.9781763216847428</v>
      </c>
      <c r="AN390" s="271" t="e">
        <f>_xll.xlShmImplSwap(AN$3&amp;"Freeze",AN$13,AN75,0,AN$14,AN$17,0)*100</f>
        <v>#VALUE!</v>
      </c>
      <c r="AO390" s="271" t="e">
        <f>_xll.xlShmImplSwap(AO$3&amp;"Freeze",AO$13,AO75,0,AO$14,AO$17,0)*100</f>
        <v>#VALUE!</v>
      </c>
      <c r="AP390" s="271" t="e">
        <f>_xll.xlShmImplSwap(AP$3&amp;"Freeze",AP$13,AP75,0,AP$14,AP$17,0)*100</f>
        <v>#VALUE!</v>
      </c>
    </row>
    <row r="391" spans="3:42" x14ac:dyDescent="0.2">
      <c r="C391" s="1" t="s">
        <v>156</v>
      </c>
      <c r="E391" s="271">
        <f>_xll.xlShmImplSwap(E$3&amp;"Freeze",E$13,E76,0,E$14,E$17,0)*100</f>
        <v>5.0970651571926675</v>
      </c>
      <c r="F391" s="271">
        <f>_xll.xlShmImplSwap(F$3&amp;"Freeze",F$13,F76,0,F$14,F$17,0)*100</f>
        <v>1.2847274592721505</v>
      </c>
      <c r="G391" s="271">
        <f>_xll.xlShmImplSwap(G$3&amp;"Freeze",G$13,G76,0,G$14,G$17,0)*100</f>
        <v>-0.40456859746312301</v>
      </c>
      <c r="H391" s="271">
        <f>_xll.xlShmImplSwap(H$3&amp;"Freeze",H$13,H76,0,H$14,H$17,0)*100</f>
        <v>-0.22338729722898559</v>
      </c>
      <c r="I391" s="271">
        <f>_xll.xlShmImplSwap(I$3&amp;"Freeze",I$13,I76,0,I$14,I$17,0)*100</f>
        <v>2.009594149911762</v>
      </c>
      <c r="J391" s="271">
        <f>_xll.xlShmImplSwap(J$3&amp;"Freeze",J$13,J76,0,J$14,J$17,0)*100</f>
        <v>3.2787876309837172</v>
      </c>
      <c r="K391" s="271">
        <f>_xll.xlShmImplSwap(K$3&amp;"Freeze",K$13,K76,0,K$14,K$17,0)*100</f>
        <v>0.14468908215674905</v>
      </c>
      <c r="L391" s="271">
        <f>_xll.xlShmImplSwap(L$3&amp;"Freeze",L$13,L76,0,L$14,L$17,0)*100</f>
        <v>1.8633527219232993</v>
      </c>
      <c r="M391" s="271">
        <f>_xll.xlShmImplSwap(M$3&amp;"Freeze",M$13,M76,0,M$14,M$17,0)*100</f>
        <v>0.83917990324494718</v>
      </c>
      <c r="N391" s="271">
        <f>_xll.xlShmImplSwap(N$3&amp;"Freeze",N$13,N76,0,N$14,N$17,0)*100</f>
        <v>3.8490866600175448</v>
      </c>
      <c r="O391" s="271">
        <f>_xll.xlShmImplSwap(O$3&amp;"Freeze",O$13,O76,0,O$14,O$17,0)*100</f>
        <v>2.6269264128543366</v>
      </c>
      <c r="P391" s="271">
        <f>_xll.xlShmImplSwap(P$3&amp;"Freeze",P$13,P76,0,P$14,P$17,0)*100</f>
        <v>1.3777149916701701</v>
      </c>
      <c r="Q391" s="271">
        <f>_xll.xlShmImplSwap(Q$3&amp;"Freeze",Q$13,Q76,0,Q$14,Q$17,0)*100</f>
        <v>8.7419823956346434</v>
      </c>
      <c r="R391" s="271">
        <f>_xll.xlShmImplSwap(R$3&amp;"Freeze",R$13,R76,0,R$14,R$17,0)*100</f>
        <v>-0.46550411807394665</v>
      </c>
      <c r="S391" s="271">
        <f>_xll.xlShmImplSwap(S$3&amp;"Freeze",S$13,S76,0,S$14,S$17,0)*100</f>
        <v>12.298458032567032</v>
      </c>
      <c r="T391" s="271">
        <f>_xll.xlShmImplSwap(T$3&amp;"Freeze",T$13,T76,0,T$14,T$17,0)*100</f>
        <v>2.6208686665263126</v>
      </c>
      <c r="U391" s="271">
        <f>_xll.xlShmImplSwap(U$3&amp;"Freeze",U$13,U76,0,U$14,U$17,0)*100</f>
        <v>5.517824735536176</v>
      </c>
      <c r="V391" s="271">
        <f>_xll.xlShmImplSwap(V$3&amp;"Freeze",V$13,V76,0,V$14,V$17,0)*100</f>
        <v>8.9456744938296939</v>
      </c>
      <c r="W391" s="271">
        <f>_xll.xlShmImplSwap(W$3&amp;"Freeze",W$13,W76,0,W$14,W$17,0)*100</f>
        <v>7.8114209414511473</v>
      </c>
      <c r="X391" s="271">
        <f>_xll.xlShmImplSwap(X$3&amp;"Freeze",X$13,X76,0,X$14,X$17,0)*100</f>
        <v>6.5242888345138734</v>
      </c>
      <c r="Y391" s="271">
        <f>_xll.xlShmImplSwap(Y$3&amp;"Freeze",Y$13,Y76,0,Y$14,Y$17,0)*100</f>
        <v>8.2122950208792513</v>
      </c>
      <c r="Z391" s="271">
        <f>_xll.xlShmImplSwap(Z$3&amp;"Freeze",Z$13,Z76,0,Z$14,Z$17,0)*100</f>
        <v>2.3665978498250251</v>
      </c>
      <c r="AA391" s="271">
        <f>_xll.xlShmImplSwap(AA$3&amp;"Freeze",AA$13,AA76,0,AA$14,AA$17,0)*100</f>
        <v>1.5185480289930859</v>
      </c>
      <c r="AB391" s="271">
        <f>_xll.xlShmImplSwap(AB$3&amp;"Freeze",AB$13,AB76,0,AB$14,AB$17,0)*100</f>
        <v>3.1186496799659245</v>
      </c>
      <c r="AC391" s="271">
        <f>_xll.xlShmImplSwap(AC$3&amp;"Freeze",AC$13,AC76,0,AC$14,AC$17,0)*100</f>
        <v>4.1846725740433488</v>
      </c>
      <c r="AD391" s="271">
        <f>_xll.xlShmImplSwap(AD$3&amp;"Freeze",AD$13,AD76,0,AD$14,AD$17,0)*100</f>
        <v>6.6077224058934094</v>
      </c>
      <c r="AE391" s="271">
        <f>_xll.xlShmImplSwap(AE$3&amp;"Freeze",AE$13,AE76,0,AE$14,AE$17,0)*100</f>
        <v>8.1442828696475775</v>
      </c>
      <c r="AF391" s="271">
        <f>_xll.xlShmImplSwap(AF$3&amp;"Freeze",AF$13,AF76,0,AF$14,AF$17,0)*100</f>
        <v>5.911929841827404</v>
      </c>
      <c r="AG391" s="271">
        <f>_xll.xlShmImplSwap(AG$3&amp;"Freeze",AG$13,AG76,0,AG$14,AG$17,0)*100</f>
        <v>2.7052956719512853</v>
      </c>
      <c r="AH391" s="271">
        <f>_xll.xlShmImplSwap(AH$3&amp;"Freeze",AH$13,AH76,0,AH$14,AH$17,0)*100</f>
        <v>0.7296737300300552</v>
      </c>
      <c r="AI391" s="271">
        <f>_xll.xlShmImplSwap(AI$3&amp;"Freeze",AI$13,AI76,0,AI$14,AI$17,0)*100</f>
        <v>4.5519898109780383</v>
      </c>
      <c r="AJ391" s="271">
        <f>_xll.xlShmImplSwap(AJ$3&amp;"Freeze",AJ$13,AJ76,0,AJ$14,AJ$17,0)*100</f>
        <v>5.2493240094728213</v>
      </c>
      <c r="AK391" s="271">
        <f>_xll.xlShmImplSwap(AK$3&amp;"Freeze",AK$13,AK76,0,AK$14,AK$17,0)*100</f>
        <v>3.1699701319838658</v>
      </c>
      <c r="AL391" s="271" t="e">
        <f>_xll.xlShmImplSwap(AL$3&amp;"Freeze",AL$13,AL76,0,AL$14,AL$17,0)*100</f>
        <v>#VALUE!</v>
      </c>
      <c r="AM391" s="271">
        <f>_xll.xlShmImplSwap(AM$3&amp;"Freeze",AM$13,AM76,0,AM$14,AM$17,0)*100</f>
        <v>4.2397265114750846</v>
      </c>
      <c r="AN391" s="271" t="e">
        <f>_xll.xlShmImplSwap(AN$3&amp;"Freeze",AN$13,AN76,0,AN$14,AN$17,0)*100</f>
        <v>#VALUE!</v>
      </c>
      <c r="AO391" s="271" t="e">
        <f>_xll.xlShmImplSwap(AO$3&amp;"Freeze",AO$13,AO76,0,AO$14,AO$17,0)*100</f>
        <v>#VALUE!</v>
      </c>
      <c r="AP391" s="271" t="e">
        <f>_xll.xlShmImplSwap(AP$3&amp;"Freeze",AP$13,AP76,0,AP$14,AP$17,0)*100</f>
        <v>#VALUE!</v>
      </c>
    </row>
    <row r="392" spans="3:42" x14ac:dyDescent="0.2">
      <c r="C392" s="1" t="s">
        <v>157</v>
      </c>
      <c r="E392" s="271">
        <f>_xll.xlShmImplSwap(E$3&amp;"Freeze",E$13,E77,0,E$14,E$17,0)*100</f>
        <v>5.159655178072815</v>
      </c>
      <c r="F392" s="271">
        <f>_xll.xlShmImplSwap(F$3&amp;"Freeze",F$13,F77,0,F$14,F$17,0)*100</f>
        <v>1.4088516160325268</v>
      </c>
      <c r="G392" s="271">
        <f>_xll.xlShmImplSwap(G$3&amp;"Freeze",G$13,G77,0,G$14,G$17,0)*100</f>
        <v>-0.33385797799386518</v>
      </c>
      <c r="H392" s="271">
        <f>_xll.xlShmImplSwap(H$3&amp;"Freeze",H$13,H77,0,H$14,H$17,0)*100</f>
        <v>-0.19874022085072002</v>
      </c>
      <c r="I392" s="271">
        <f>_xll.xlShmImplSwap(I$3&amp;"Freeze",I$13,I77,0,I$14,I$17,0)*100</f>
        <v>2.1062762929739209</v>
      </c>
      <c r="J392" s="271">
        <f>_xll.xlShmImplSwap(J$3&amp;"Freeze",J$13,J77,0,J$14,J$17,0)*100</f>
        <v>3.4047363246312181</v>
      </c>
      <c r="K392" s="271">
        <f>_xll.xlShmImplSwap(K$3&amp;"Freeze",K$13,K77,0,K$14,K$17,0)*100</f>
        <v>0.23730775798205761</v>
      </c>
      <c r="L392" s="271">
        <f>_xll.xlShmImplSwap(L$3&amp;"Freeze",L$13,L77,0,L$14,L$17,0)*100</f>
        <v>1.9431906020707059</v>
      </c>
      <c r="M392" s="271">
        <f>_xll.xlShmImplSwap(M$3&amp;"Freeze",M$13,M77,0,M$14,M$17,0)*100</f>
        <v>0.98712119764056117</v>
      </c>
      <c r="N392" s="271">
        <f>_xll.xlShmImplSwap(N$3&amp;"Freeze",N$13,N77,0,N$14,N$17,0)*100</f>
        <v>4.1812831631335001</v>
      </c>
      <c r="O392" s="271">
        <f>_xll.xlShmImplSwap(O$3&amp;"Freeze",O$13,O77,0,O$14,O$17,0)*100</f>
        <v>2.7043052497718545</v>
      </c>
      <c r="P392" s="271">
        <f>_xll.xlShmImplSwap(P$3&amp;"Freeze",P$13,P77,0,P$14,P$17,0)*100</f>
        <v>1.4572311534215521</v>
      </c>
      <c r="Q392" s="271">
        <f>_xll.xlShmImplSwap(Q$3&amp;"Freeze",Q$13,Q77,0,Q$14,Q$17,0)*100</f>
        <v>8.7521009280575903</v>
      </c>
      <c r="R392" s="271">
        <f>_xll.xlShmImplSwap(R$3&amp;"Freeze",R$13,R77,0,R$14,R$17,0)*100</f>
        <v>-0.41082881581882646</v>
      </c>
      <c r="S392" s="271">
        <f>_xll.xlShmImplSwap(S$3&amp;"Freeze",S$13,S77,0,S$14,S$17,0)*100</f>
        <v>12.198806492870485</v>
      </c>
      <c r="T392" s="271">
        <f>_xll.xlShmImplSwap(T$3&amp;"Freeze",T$13,T77,0,T$14,T$17,0)*100</f>
        <v>2.7159920608648118</v>
      </c>
      <c r="U392" s="271">
        <f>_xll.xlShmImplSwap(U$3&amp;"Freeze",U$13,U77,0,U$14,U$17,0)*100</f>
        <v>5.543919424680757</v>
      </c>
      <c r="V392" s="271">
        <f>_xll.xlShmImplSwap(V$3&amp;"Freeze",V$13,V77,0,V$14,V$17,0)*100</f>
        <v>8.8010779275862667</v>
      </c>
      <c r="W392" s="271">
        <f>_xll.xlShmImplSwap(W$3&amp;"Freeze",W$13,W77,0,W$14,W$17,0)*100</f>
        <v>7.6323628881902961</v>
      </c>
      <c r="X392" s="271">
        <f>_xll.xlShmImplSwap(X$3&amp;"Freeze",X$13,X77,0,X$14,X$17,0)*100</f>
        <v>6.5488748543368809</v>
      </c>
      <c r="Y392" s="271">
        <f>_xll.xlShmImplSwap(Y$3&amp;"Freeze",Y$13,Y77,0,Y$14,Y$17,0)*100</f>
        <v>8.2615441018820714</v>
      </c>
      <c r="Z392" s="271">
        <f>_xll.xlShmImplSwap(Z$3&amp;"Freeze",Z$13,Z77,0,Z$14,Z$17,0)*100</f>
        <v>2.4425789501663804</v>
      </c>
      <c r="AA392" s="271">
        <f>_xll.xlShmImplSwap(AA$3&amp;"Freeze",AA$13,AA77,0,AA$14,AA$17,0)*100</f>
        <v>1.5467846116021282</v>
      </c>
      <c r="AB392" s="271">
        <f>_xll.xlShmImplSwap(AB$3&amp;"Freeze",AB$13,AB77,0,AB$14,AB$17,0)*100</f>
        <v>3.2065609261511372</v>
      </c>
      <c r="AC392" s="271">
        <f>_xll.xlShmImplSwap(AC$3&amp;"Freeze",AC$13,AC77,0,AC$14,AC$17,0)*100</f>
        <v>4.2672706353460983</v>
      </c>
      <c r="AD392" s="271">
        <f>_xll.xlShmImplSwap(AD$3&amp;"Freeze",AD$13,AD77,0,AD$14,AD$17,0)*100</f>
        <v>6.5992635861277709</v>
      </c>
      <c r="AE392" s="271">
        <f>_xll.xlShmImplSwap(AE$3&amp;"Freeze",AE$13,AE77,0,AE$14,AE$17,0)*100</f>
        <v>8.1271000519719756</v>
      </c>
      <c r="AF392" s="271">
        <f>_xll.xlShmImplSwap(AF$3&amp;"Freeze",AF$13,AF77,0,AF$14,AF$17,0)*100</f>
        <v>5.9369388871771696</v>
      </c>
      <c r="AG392" s="271">
        <f>_xll.xlShmImplSwap(AG$3&amp;"Freeze",AG$13,AG77,0,AG$14,AG$17,0)*100</f>
        <v>2.894949367582484</v>
      </c>
      <c r="AH392" s="271">
        <f>_xll.xlShmImplSwap(AH$3&amp;"Freeze",AH$13,AH77,0,AH$14,AH$17,0)*100</f>
        <v>0.78546269356674858</v>
      </c>
      <c r="AI392" s="271">
        <f>_xll.xlShmImplSwap(AI$3&amp;"Freeze",AI$13,AI77,0,AI$14,AI$17,0)*100</f>
        <v>4.6191754688506705</v>
      </c>
      <c r="AJ392" s="271">
        <f>_xll.xlShmImplSwap(AJ$3&amp;"Freeze",AJ$13,AJ77,0,AJ$14,AJ$17,0)*100</f>
        <v>5.2035538060754991</v>
      </c>
      <c r="AK392" s="271">
        <f>_xll.xlShmImplSwap(AK$3&amp;"Freeze",AK$13,AK77,0,AK$14,AK$17,0)*100</f>
        <v>3.3316453210520325</v>
      </c>
      <c r="AL392" s="271" t="e">
        <f>_xll.xlShmImplSwap(AL$3&amp;"Freeze",AL$13,AL77,0,AL$14,AL$17,0)*100</f>
        <v>#VALUE!</v>
      </c>
      <c r="AM392" s="271">
        <f>_xll.xlShmImplSwap(AM$3&amp;"Freeze",AM$13,AM77,0,AM$14,AM$17,0)*100</f>
        <v>4.3109615724220838</v>
      </c>
      <c r="AN392" s="271" t="e">
        <f>_xll.xlShmImplSwap(AN$3&amp;"Freeze",AN$13,AN77,0,AN$14,AN$17,0)*100</f>
        <v>#VALUE!</v>
      </c>
      <c r="AO392" s="271" t="e">
        <f>_xll.xlShmImplSwap(AO$3&amp;"Freeze",AO$13,AO77,0,AO$14,AO$17,0)*100</f>
        <v>#VALUE!</v>
      </c>
      <c r="AP392" s="271" t="e">
        <f>_xll.xlShmImplSwap(AP$3&amp;"Freeze",AP$13,AP77,0,AP$14,AP$17,0)*100</f>
        <v>#VALUE!</v>
      </c>
    </row>
    <row r="393" spans="3:42" x14ac:dyDescent="0.2">
      <c r="C393" s="1" t="s">
        <v>158</v>
      </c>
      <c r="E393" s="271">
        <f>_xll.xlShmImplSwap(E$3&amp;"Freeze",E$13,E78,0,E$14,E$17,0)*100</f>
        <v>5.1878484230825315</v>
      </c>
      <c r="F393" s="271">
        <f>_xll.xlShmImplSwap(F$3&amp;"Freeze",F$13,F78,0,F$14,F$17,0)*100</f>
        <v>1.5073538302508473</v>
      </c>
      <c r="G393" s="271">
        <f>_xll.xlShmImplSwap(G$3&amp;"Freeze",G$13,G78,0,G$14,G$17,0)*100</f>
        <v>-0.27858656628025757</v>
      </c>
      <c r="H393" s="271">
        <f>_xll.xlShmImplSwap(H$3&amp;"Freeze",H$13,H78,0,H$14,H$17,0)*100</f>
        <v>-0.18908555135941052</v>
      </c>
      <c r="I393" s="271">
        <f>_xll.xlShmImplSwap(I$3&amp;"Freeze",I$13,I78,0,I$14,I$17,0)*100</f>
        <v>2.221427793958207</v>
      </c>
      <c r="J393" s="271">
        <f>_xll.xlShmImplSwap(J$3&amp;"Freeze",J$13,J78,0,J$14,J$17,0)*100</f>
        <v>3.5035767888512472</v>
      </c>
      <c r="K393" s="271">
        <f>_xll.xlShmImplSwap(K$3&amp;"Freeze",K$13,K78,0,K$14,K$17,0)*100</f>
        <v>0.30350671155514514</v>
      </c>
      <c r="L393" s="271">
        <f>_xll.xlShmImplSwap(L$3&amp;"Freeze",L$13,L78,0,L$14,L$17,0)*100</f>
        <v>2.0498763360269376</v>
      </c>
      <c r="M393" s="271">
        <f>_xll.xlShmImplSwap(M$3&amp;"Freeze",M$13,M78,0,M$14,M$17,0)*100</f>
        <v>1.191061264019901</v>
      </c>
      <c r="N393" s="271">
        <f>_xll.xlShmImplSwap(N$3&amp;"Freeze",N$13,N78,0,N$14,N$17,0)*100</f>
        <v>4.1774743976801059</v>
      </c>
      <c r="O393" s="271">
        <f>_xll.xlShmImplSwap(O$3&amp;"Freeze",O$13,O78,0,O$14,O$17,0)*100</f>
        <v>2.7676399944033139</v>
      </c>
      <c r="P393" s="271">
        <f>_xll.xlShmImplSwap(P$3&amp;"Freeze",P$13,P78,0,P$14,P$17,0)*100</f>
        <v>1.5200982412917214</v>
      </c>
      <c r="Q393" s="271">
        <f>_xll.xlShmImplSwap(Q$3&amp;"Freeze",Q$13,Q78,0,Q$14,Q$17,0)*100</f>
        <v>8.7332317033678883</v>
      </c>
      <c r="R393" s="271">
        <f>_xll.xlShmImplSwap(R$3&amp;"Freeze",R$13,R78,0,R$14,R$17,0)*100</f>
        <v>-0.3788976322067677</v>
      </c>
      <c r="S393" s="271">
        <f>_xll.xlShmImplSwap(S$3&amp;"Freeze",S$13,S78,0,S$14,S$17,0)*100</f>
        <v>12.074260642157046</v>
      </c>
      <c r="T393" s="271">
        <f>_xll.xlShmImplSwap(T$3&amp;"Freeze",T$13,T78,0,T$14,T$17,0)*100</f>
        <v>2.7927288393005689</v>
      </c>
      <c r="U393" s="271">
        <f>_xll.xlShmImplSwap(U$3&amp;"Freeze",U$13,U78,0,U$14,U$17,0)*100</f>
        <v>5.5640235931108943</v>
      </c>
      <c r="V393" s="271">
        <f>_xll.xlShmImplSwap(V$3&amp;"Freeze",V$13,V78,0,V$14,V$17,0)*100</f>
        <v>8.680801802209448</v>
      </c>
      <c r="W393" s="271">
        <f>_xll.xlShmImplSwap(W$3&amp;"Freeze",W$13,W78,0,W$14,W$17,0)*100</f>
        <v>7.5001357486011306</v>
      </c>
      <c r="X393" s="271">
        <f>_xll.xlShmImplSwap(X$3&amp;"Freeze",X$13,X78,0,X$14,X$17,0)*100</f>
        <v>6.5597208269762817</v>
      </c>
      <c r="Y393" s="271">
        <f>_xll.xlShmImplSwap(Y$3&amp;"Freeze",Y$13,Y78,0,Y$14,Y$17,0)*100</f>
        <v>8.2726193021999723</v>
      </c>
      <c r="Z393" s="271">
        <f>_xll.xlShmImplSwap(Z$3&amp;"Freeze",Z$13,Z78,0,Z$14,Z$17,0)*100</f>
        <v>2.5047479180146177</v>
      </c>
      <c r="AA393" s="271">
        <f>_xll.xlShmImplSwap(AA$3&amp;"Freeze",AA$13,AA78,0,AA$14,AA$17,0)*100</f>
        <v>1.5733901606795362</v>
      </c>
      <c r="AB393" s="271">
        <f>_xll.xlShmImplSwap(AB$3&amp;"Freeze",AB$13,AB78,0,AB$14,AB$17,0)*100</f>
        <v>3.2768079494582576</v>
      </c>
      <c r="AC393" s="271">
        <f>_xll.xlShmImplSwap(AC$3&amp;"Freeze",AC$13,AC78,0,AC$14,AC$17,0)*100</f>
        <v>4.3311016662602952</v>
      </c>
      <c r="AD393" s="271">
        <f>_xll.xlShmImplSwap(AD$3&amp;"Freeze",AD$13,AD78,0,AD$14,AD$17,0)*100</f>
        <v>6.5873597163923288</v>
      </c>
      <c r="AE393" s="271">
        <f>_xll.xlShmImplSwap(AE$3&amp;"Freeze",AE$13,AE78,0,AE$14,AE$17,0)*100</f>
        <v>8.0967782038351501</v>
      </c>
      <c r="AF393" s="271">
        <f>_xll.xlShmImplSwap(AF$3&amp;"Freeze",AF$13,AF78,0,AF$14,AF$17,0)*100</f>
        <v>5.9521086326427213</v>
      </c>
      <c r="AG393" s="271">
        <f>_xll.xlShmImplSwap(AG$3&amp;"Freeze",AG$13,AG78,0,AG$14,AG$17,0)*100</f>
        <v>3.0364711074781128</v>
      </c>
      <c r="AH393" s="271">
        <f>_xll.xlShmImplSwap(AH$3&amp;"Freeze",AH$13,AH78,0,AH$14,AH$17,0)*100</f>
        <v>0.82768409240974139</v>
      </c>
      <c r="AI393" s="271">
        <f>_xll.xlShmImplSwap(AI$3&amp;"Freeze",AI$13,AI78,0,AI$14,AI$17,0)*100</f>
        <v>4.670436208786751</v>
      </c>
      <c r="AJ393" s="271">
        <f>_xll.xlShmImplSwap(AJ$3&amp;"Freeze",AJ$13,AJ78,0,AJ$14,AJ$17,0)*100</f>
        <v>5.1761005964394746</v>
      </c>
      <c r="AK393" s="271">
        <f>_xll.xlShmImplSwap(AK$3&amp;"Freeze",AK$13,AK78,0,AK$14,AK$17,0)*100</f>
        <v>3.4530672870870598</v>
      </c>
      <c r="AL393" s="271" t="e">
        <f>_xll.xlShmImplSwap(AL$3&amp;"Freeze",AL$13,AL78,0,AL$14,AL$17,0)*100</f>
        <v>#VALUE!</v>
      </c>
      <c r="AM393" s="271">
        <f>_xll.xlShmImplSwap(AM$3&amp;"Freeze",AM$13,AM78,0,AM$14,AM$17,0)*100</f>
        <v>4.3671740196119035</v>
      </c>
      <c r="AN393" s="271" t="e">
        <f>_xll.xlShmImplSwap(AN$3&amp;"Freeze",AN$13,AN78,0,AN$14,AN$17,0)*100</f>
        <v>#VALUE!</v>
      </c>
      <c r="AO393" s="271" t="e">
        <f>_xll.xlShmImplSwap(AO$3&amp;"Freeze",AO$13,AO78,0,AO$14,AO$17,0)*100</f>
        <v>#VALUE!</v>
      </c>
      <c r="AP393" s="271" t="e">
        <f>_xll.xlShmImplSwap(AP$3&amp;"Freeze",AP$13,AP78,0,AP$14,AP$17,0)*100</f>
        <v>#VALUE!</v>
      </c>
    </row>
    <row r="394" spans="3:42" x14ac:dyDescent="0.2">
      <c r="C394" s="1" t="s">
        <v>160</v>
      </c>
      <c r="E394" s="271">
        <f>_xll.xlShmImplSwap(E$3&amp;"Freeze",E$13,E79,0,E$14,E$17,0)*100</f>
        <v>5.1816132485990325</v>
      </c>
      <c r="F394" s="271">
        <f>_xll.xlShmImplSwap(F$3&amp;"Freeze",F$13,F79,0,F$14,F$17,0)*100</f>
        <v>1.6071944899222319</v>
      </c>
      <c r="G394" s="271">
        <f>_xll.xlShmImplSwap(G$3&amp;"Freeze",G$13,G79,0,G$14,G$17,0)*100</f>
        <v>-0.21076104732642825</v>
      </c>
      <c r="H394" s="271">
        <f>_xll.xlShmImplSwap(H$3&amp;"Freeze",H$13,H79,0,H$14,H$17,0)*100</f>
        <v>-0.14099853399853104</v>
      </c>
      <c r="I394" s="271">
        <f>_xll.xlShmImplSwap(I$3&amp;"Freeze",I$13,I79,0,I$14,I$17,0)*100</f>
        <v>2.318477143762506</v>
      </c>
      <c r="J394" s="271">
        <f>_xll.xlShmImplSwap(J$3&amp;"Freeze",J$13,J79,0,J$14,J$17,0)*100</f>
        <v>3.5888891212872713</v>
      </c>
      <c r="K394" s="271">
        <f>_xll.xlShmImplSwap(K$3&amp;"Freeze",K$13,K79,0,K$14,K$17,0)*100</f>
        <v>0.34787080203040815</v>
      </c>
      <c r="L394" s="271">
        <f>_xll.xlShmImplSwap(L$3&amp;"Freeze",L$13,L79,0,L$14,L$17,0)*100</f>
        <v>2.1131044214460855</v>
      </c>
      <c r="M394" s="271">
        <f>_xll.xlShmImplSwap(M$3&amp;"Freeze",M$13,M79,0,M$14,M$17,0)*100</f>
        <v>1.3902997533052337</v>
      </c>
      <c r="N394" s="271">
        <f>_xll.xlShmImplSwap(N$3&amp;"Freeze",N$13,N79,0,N$14,N$17,0)*100</f>
        <v>4.2960667360776048</v>
      </c>
      <c r="O394" s="271">
        <f>_xll.xlShmImplSwap(O$3&amp;"Freeze",O$13,O79,0,O$14,O$17,0)*100</f>
        <v>2.8182370307882554</v>
      </c>
      <c r="P394" s="271">
        <f>_xll.xlShmImplSwap(P$3&amp;"Freeze",P$13,P79,0,P$14,P$17,0)*100</f>
        <v>1.5680753554785531</v>
      </c>
      <c r="Q394" s="271">
        <f>_xll.xlShmImplSwap(Q$3&amp;"Freeze",Q$13,Q79,0,Q$14,Q$17,0)*100</f>
        <v>8.6967917538270321</v>
      </c>
      <c r="R394" s="271">
        <f>_xll.xlShmImplSwap(R$3&amp;"Freeze",R$13,R79,0,R$14,R$17,0)*100</f>
        <v>-0.36749794659674412</v>
      </c>
      <c r="S394" s="271">
        <f>_xll.xlShmImplSwap(S$3&amp;"Freeze",S$13,S79,0,S$14,S$17,0)*100</f>
        <v>11.936009713731996</v>
      </c>
      <c r="T394" s="271">
        <f>_xll.xlShmImplSwap(T$3&amp;"Freeze",T$13,T79,0,T$14,T$17,0)*100</f>
        <v>2.8508745147907479</v>
      </c>
      <c r="U394" s="271">
        <f>_xll.xlShmImplSwap(U$3&amp;"Freeze",U$13,U79,0,U$14,U$17,0)*100</f>
        <v>5.5720932721424417</v>
      </c>
      <c r="V394" s="271">
        <f>_xll.xlShmImplSwap(V$3&amp;"Freeze",V$13,V79,0,V$14,V$17,0)*100</f>
        <v>8.5963238103531019</v>
      </c>
      <c r="W394" s="271">
        <f>_xll.xlShmImplSwap(W$3&amp;"Freeze",W$13,W79,0,W$14,W$17,0)*100</f>
        <v>7.3925881931007185</v>
      </c>
      <c r="X394" s="271">
        <f>_xll.xlShmImplSwap(X$3&amp;"Freeze",X$13,X79,0,X$14,X$17,0)*100</f>
        <v>6.5597238141001633</v>
      </c>
      <c r="Y394" s="271">
        <f>_xll.xlShmImplSwap(Y$3&amp;"Freeze",Y$13,Y79,0,Y$14,Y$17,0)*100</f>
        <v>8.2596545130181518</v>
      </c>
      <c r="Z394" s="271">
        <f>_xll.xlShmImplSwap(Z$3&amp;"Freeze",Z$13,Z79,0,Z$14,Z$17,0)*100</f>
        <v>2.5538835223960437</v>
      </c>
      <c r="AA394" s="271">
        <f>_xll.xlShmImplSwap(AA$3&amp;"Freeze",AA$13,AA79,0,AA$14,AA$17,0)*100</f>
        <v>1.592742819662758</v>
      </c>
      <c r="AB394" s="271">
        <f>_xll.xlShmImplSwap(AB$3&amp;"Freeze",AB$13,AB79,0,AB$14,AB$17,0)*100</f>
        <v>3.3318183733356745</v>
      </c>
      <c r="AC394" s="271">
        <f>_xll.xlShmImplSwap(AC$3&amp;"Freeze",AC$13,AC79,0,AC$14,AC$17,0)*100</f>
        <v>4.3799468459669617</v>
      </c>
      <c r="AD394" s="271">
        <f>_xll.xlShmImplSwap(AD$3&amp;"Freeze",AD$13,AD79,0,AD$14,AD$17,0)*100</f>
        <v>6.5705551620759879</v>
      </c>
      <c r="AE394" s="271">
        <f>_xll.xlShmImplSwap(AE$3&amp;"Freeze",AE$13,AE79,0,AE$14,AE$17,0)*100</f>
        <v>8.0573565849659321</v>
      </c>
      <c r="AF394" s="271">
        <f>_xll.xlShmImplSwap(AF$3&amp;"Freeze",AF$13,AF79,0,AF$14,AF$17,0)*100</f>
        <v>5.9579254947382108</v>
      </c>
      <c r="AG394" s="271">
        <f>_xll.xlShmImplSwap(AG$3&amp;"Freeze",AG$13,AG79,0,AG$14,AG$17,0)*100</f>
        <v>3.1449678084780186</v>
      </c>
      <c r="AH394" s="271">
        <f>_xll.xlShmImplSwap(AH$3&amp;"Freeze",AH$13,AH79,0,AH$14,AH$17,0)*100</f>
        <v>0.85647405986897052</v>
      </c>
      <c r="AI394" s="271">
        <f>_xll.xlShmImplSwap(AI$3&amp;"Freeze",AI$13,AI79,0,AI$14,AI$17,0)*100</f>
        <v>4.7078003892737197</v>
      </c>
      <c r="AJ394" s="271">
        <f>_xll.xlShmImplSwap(AJ$3&amp;"Freeze",AJ$13,AJ79,0,AJ$14,AJ$17,0)*100</f>
        <v>5.1517116441213195</v>
      </c>
      <c r="AK394" s="271">
        <f>_xll.xlShmImplSwap(AK$3&amp;"Freeze",AK$13,AK79,0,AK$14,AK$17,0)*100</f>
        <v>3.5450376898279208</v>
      </c>
      <c r="AL394" s="271" t="e">
        <f>_xll.xlShmImplSwap(AL$3&amp;"Freeze",AL$13,AL79,0,AL$14,AL$17,0)*100</f>
        <v>#VALUE!</v>
      </c>
      <c r="AM394" s="271">
        <f>_xll.xlShmImplSwap(AM$3&amp;"Freeze",AM$13,AM79,0,AM$14,AM$17,0)*100</f>
        <v>4.4131645182138497</v>
      </c>
      <c r="AN394" s="271" t="e">
        <f>_xll.xlShmImplSwap(AN$3&amp;"Freeze",AN$13,AN79,0,AN$14,AN$17,0)*100</f>
        <v>#VALUE!</v>
      </c>
      <c r="AO394" s="271" t="e">
        <f>_xll.xlShmImplSwap(AO$3&amp;"Freeze",AO$13,AO79,0,AO$14,AO$17,0)*100</f>
        <v>#VALUE!</v>
      </c>
      <c r="AP394" s="271" t="e">
        <f>_xll.xlShmImplSwap(AP$3&amp;"Freeze",AP$13,AP79,0,AP$14,AP$17,0)*100</f>
        <v>#VALUE!</v>
      </c>
    </row>
    <row r="395" spans="3:42" x14ac:dyDescent="0.2">
      <c r="C395" s="1" t="s">
        <v>162</v>
      </c>
      <c r="E395" s="271">
        <f>_xll.xlShmImplSwap(E$3&amp;"Freeze",E$13,E80,0,E$14,E$17,0)*100</f>
        <v>5.1620891084535154</v>
      </c>
      <c r="F395" s="271">
        <f>_xll.xlShmImplSwap(F$3&amp;"Freeze",F$13,F80,0,F$14,F$17,0)*100</f>
        <v>1.6895300758030558</v>
      </c>
      <c r="G395" s="271">
        <f>_xll.xlShmImplSwap(G$3&amp;"Freeze",G$13,G80,0,G$14,G$17,0)*100</f>
        <v>-0.15382588356764795</v>
      </c>
      <c r="H395" s="271">
        <f>_xll.xlShmImplSwap(H$3&amp;"Freeze",H$13,H80,0,H$14,H$17,0)*100</f>
        <v>-0.10906998269779701</v>
      </c>
      <c r="I395" s="271">
        <f>_xll.xlShmImplSwap(I$3&amp;"Freeze",I$13,I80,0,I$14,I$17,0)*100</f>
        <v>2.437180084897745</v>
      </c>
      <c r="J395" s="271">
        <f>_xll.xlShmImplSwap(J$3&amp;"Freeze",J$13,J80,0,J$14,J$17,0)*100</f>
        <v>3.6626046646076484</v>
      </c>
      <c r="K395" s="271">
        <f>_xll.xlShmImplSwap(K$3&amp;"Freeze",K$13,K80,0,K$14,K$17,0)*100</f>
        <v>0.37994498575286795</v>
      </c>
      <c r="L395" s="271">
        <f>_xll.xlShmImplSwap(L$3&amp;"Freeze",L$13,L80,0,L$14,L$17,0)*100</f>
        <v>2.1788708087177002</v>
      </c>
      <c r="M395" s="271">
        <f>_xll.xlShmImplSwap(M$3&amp;"Freeze",M$13,M80,0,M$14,M$17,0)*100</f>
        <v>1.5449650817114988</v>
      </c>
      <c r="N395" s="271">
        <f>_xll.xlShmImplSwap(N$3&amp;"Freeze",N$13,N80,0,N$14,N$17,0)*100</f>
        <v>4.3679706947528345</v>
      </c>
      <c r="O395" s="271">
        <f>_xll.xlShmImplSwap(O$3&amp;"Freeze",O$13,O80,0,O$14,O$17,0)*100</f>
        <v>2.8613127079102423</v>
      </c>
      <c r="P395" s="271">
        <f>_xll.xlShmImplSwap(P$3&amp;"Freeze",P$13,P80,0,P$14,P$17,0)*100</f>
        <v>1.607857081324825</v>
      </c>
      <c r="Q395" s="271">
        <f>_xll.xlShmImplSwap(Q$3&amp;"Freeze",Q$13,Q80,0,Q$14,Q$17,0)*100</f>
        <v>8.652910227041815</v>
      </c>
      <c r="R395" s="271">
        <f>_xll.xlShmImplSwap(R$3&amp;"Freeze",R$13,R80,0,R$14,R$17,0)*100</f>
        <v>-0.36754188139708133</v>
      </c>
      <c r="S395" s="271">
        <f>_xll.xlShmImplSwap(S$3&amp;"Freeze",S$13,S80,0,S$14,S$17,0)*100</f>
        <v>11.798077306355676</v>
      </c>
      <c r="T395" s="271">
        <f>_xll.xlShmImplSwap(T$3&amp;"Freeze",T$13,T80,0,T$14,T$17,0)*100</f>
        <v>2.9024892874258867</v>
      </c>
      <c r="U395" s="271">
        <f>_xll.xlShmImplSwap(U$3&amp;"Freeze",U$13,U80,0,U$14,U$17,0)*100</f>
        <v>5.5811486034854685</v>
      </c>
      <c r="V395" s="271">
        <f>_xll.xlShmImplSwap(V$3&amp;"Freeze",V$13,V80,0,V$14,V$17,0)*100</f>
        <v>8.5190503950378194</v>
      </c>
      <c r="W395" s="271">
        <f>_xll.xlShmImplSwap(W$3&amp;"Freeze",W$13,W80,0,W$14,W$17,0)*100</f>
        <v>7.3040058545948305</v>
      </c>
      <c r="X395" s="271">
        <f>_xll.xlShmImplSwap(X$3&amp;"Freeze",X$13,X80,0,X$14,X$17,0)*100</f>
        <v>6.5541680101399606</v>
      </c>
      <c r="Y395" s="271">
        <f>_xll.xlShmImplSwap(Y$3&amp;"Freeze",Y$13,Y80,0,Y$14,Y$17,0)*100</f>
        <v>8.2352855313459887</v>
      </c>
      <c r="Z395" s="271">
        <f>_xll.xlShmImplSwap(Z$3&amp;"Freeze",Z$13,Z80,0,Z$14,Z$17,0)*100</f>
        <v>2.596129372420898</v>
      </c>
      <c r="AA395" s="271">
        <f>_xll.xlShmImplSwap(AA$3&amp;"Freeze",AA$13,AA80,0,AA$14,AA$17,0)*100</f>
        <v>1.6101523315530109</v>
      </c>
      <c r="AB395" s="271">
        <f>_xll.xlShmImplSwap(AB$3&amp;"Freeze",AB$13,AB80,0,AB$14,AB$17,0)*100</f>
        <v>3.3781693547387701</v>
      </c>
      <c r="AC395" s="271">
        <f>_xll.xlShmImplSwap(AC$3&amp;"Freeze",AC$13,AC80,0,AC$14,AC$17,0)*100</f>
        <v>4.4190221491710719</v>
      </c>
      <c r="AD395" s="271">
        <f>_xll.xlShmImplSwap(AD$3&amp;"Freeze",AD$13,AD80,0,AD$14,AD$17,0)*100</f>
        <v>6.5529093604845716</v>
      </c>
      <c r="AE395" s="271">
        <f>_xll.xlShmImplSwap(AE$3&amp;"Freeze",AE$13,AE80,0,AE$14,AE$17,0)*100</f>
        <v>8.0153242939948726</v>
      </c>
      <c r="AF395" s="271">
        <f>_xll.xlShmImplSwap(AF$3&amp;"Freeze",AF$13,AF80,0,AF$14,AF$17,0)*100</f>
        <v>5.9596831467206002</v>
      </c>
      <c r="AG395" s="271">
        <f>_xll.xlShmImplSwap(AG$3&amp;"Freeze",AG$13,AG80,0,AG$14,AG$17,0)*100</f>
        <v>3.2320214678253643</v>
      </c>
      <c r="AH395" s="271">
        <f>_xll.xlShmImplSwap(AH$3&amp;"Freeze",AH$13,AH80,0,AH$14,AH$17,0)*100</f>
        <v>0.87843894351661755</v>
      </c>
      <c r="AI395" s="271">
        <f>_xll.xlShmImplSwap(AI$3&amp;"Freeze",AI$13,AI80,0,AI$14,AI$17,0)*100</f>
        <v>4.7377739376188766</v>
      </c>
      <c r="AJ395" s="271">
        <f>_xll.xlShmImplSwap(AJ$3&amp;"Freeze",AJ$13,AJ80,0,AJ$14,AJ$17,0)*100</f>
        <v>5.1380060439112301</v>
      </c>
      <c r="AK395" s="271">
        <f>_xll.xlShmImplSwap(AK$3&amp;"Freeze",AK$13,AK80,0,AK$14,AK$17,0)*100</f>
        <v>3.6163328719495027</v>
      </c>
      <c r="AL395" s="271" t="e">
        <f>_xll.xlShmImplSwap(AL$3&amp;"Freeze",AL$13,AL80,0,AL$14,AL$17,0)*100</f>
        <v>#VALUE!</v>
      </c>
      <c r="AM395" s="271">
        <f>_xll.xlShmImplSwap(AM$3&amp;"Freeze",AM$13,AM80,0,AM$14,AM$17,0)*100</f>
        <v>4.4533319519258976</v>
      </c>
      <c r="AN395" s="271" t="e">
        <f>_xll.xlShmImplSwap(AN$3&amp;"Freeze",AN$13,AN80,0,AN$14,AN$17,0)*100</f>
        <v>#VALUE!</v>
      </c>
      <c r="AO395" s="271" t="e">
        <f>_xll.xlShmImplSwap(AO$3&amp;"Freeze",AO$13,AO80,0,AO$14,AO$17,0)*100</f>
        <v>#VALUE!</v>
      </c>
      <c r="AP395" s="271" t="e">
        <f>_xll.xlShmImplSwap(AP$3&amp;"Freeze",AP$13,AP80,0,AP$14,AP$17,0)*100</f>
        <v>#VALUE!</v>
      </c>
    </row>
    <row r="396" spans="3:42" x14ac:dyDescent="0.2">
      <c r="C396" s="1" t="s">
        <v>164</v>
      </c>
      <c r="E396" s="271">
        <f>_xll.xlShmImplSwap(E$3&amp;"Freeze",E$13,E81,0,E$14,E$17,0)*100</f>
        <v>3.193569343003702</v>
      </c>
      <c r="F396" s="271">
        <f>_xll.xlShmImplSwap(F$3&amp;"Freeze",F$13,F81,0,F$14,F$17,0)*100</f>
        <v>1.7615974875000884</v>
      </c>
      <c r="G396" s="271">
        <f>_xll.xlShmImplSwap(G$3&amp;"Freeze",G$13,G81,0,G$14,G$17,0)*100</f>
        <v>-2.8029607998139812E-2</v>
      </c>
      <c r="H396" s="271">
        <f>_xll.xlShmImplSwap(H$3&amp;"Freeze",H$13,H81,0,H$14,H$17,0)*100</f>
        <v>5.7069857169643107E-2</v>
      </c>
      <c r="I396" s="271">
        <f>_xll.xlShmImplSwap(I$3&amp;"Freeze",I$13,I81,0,I$14,I$17,0)*100</f>
        <v>2.5060225526737141</v>
      </c>
      <c r="J396" s="271">
        <f>_xll.xlShmImplSwap(J$3&amp;"Freeze",J$13,J81,0,J$14,J$17,0)*100</f>
        <v>3.7336135044893131</v>
      </c>
      <c r="K396" s="271">
        <f>_xll.xlShmImplSwap(K$3&amp;"Freeze",K$13,K81,0,K$14,K$17,0)*100</f>
        <v>0.40452329964270983</v>
      </c>
      <c r="L396" s="271">
        <f>_xll.xlShmImplSwap(L$3&amp;"Freeze",L$13,L81,0,L$14,L$17,0)*100</f>
        <v>2.2337925790712942</v>
      </c>
      <c r="M396" s="271">
        <f>_xll.xlShmImplSwap(M$3&amp;"Freeze",M$13,M81,0,M$14,M$17,0)*100</f>
        <v>1.6954733129477559</v>
      </c>
      <c r="N396" s="271">
        <f>_xll.xlShmImplSwap(N$3&amp;"Freeze",N$13,N81,0,N$14,N$17,0)*100</f>
        <v>4.4081713345301843</v>
      </c>
      <c r="O396" s="271">
        <f>_xll.xlShmImplSwap(O$3&amp;"Freeze",O$13,O81,0,O$14,O$17,0)*100</f>
        <v>2.901051237418026</v>
      </c>
      <c r="P396" s="271">
        <f>_xll.xlShmImplSwap(P$3&amp;"Freeze",P$13,P81,0,P$14,P$17,0)*100</f>
        <v>1.6435908484990835</v>
      </c>
      <c r="Q396" s="271">
        <f>_xll.xlShmImplSwap(Q$3&amp;"Freeze",Q$13,Q81,0,Q$14,Q$17,0)*100</f>
        <v>8.6067929780824777</v>
      </c>
      <c r="R396" s="271">
        <f>_xll.xlShmImplSwap(R$3&amp;"Freeze",R$13,R81,0,R$14,R$17,0)*100</f>
        <v>-0.37554205282673941</v>
      </c>
      <c r="S396" s="271">
        <f>_xll.xlShmImplSwap(S$3&amp;"Freeze",S$13,S81,0,S$14,S$17,0)*100</f>
        <v>11.66530271425275</v>
      </c>
      <c r="T396" s="271">
        <f>_xll.xlShmImplSwap(T$3&amp;"Freeze",T$13,T81,0,T$14,T$17,0)*100</f>
        <v>2.9503500993843672</v>
      </c>
      <c r="U396" s="271">
        <f>_xll.xlShmImplSwap(U$3&amp;"Freeze",U$13,U81,0,U$14,U$17,0)*100</f>
        <v>5.5910504400097496</v>
      </c>
      <c r="V396" s="271">
        <f>_xll.xlShmImplSwap(V$3&amp;"Freeze",V$13,V81,0,V$14,V$17,0)*100</f>
        <v>8.4488051403827651</v>
      </c>
      <c r="W396" s="271">
        <f>_xll.xlShmImplSwap(W$3&amp;"Freeze",W$13,W81,0,W$14,W$17,0)*100</f>
        <v>7.2303467558809826</v>
      </c>
      <c r="X396" s="271">
        <f>_xll.xlShmImplSwap(X$3&amp;"Freeze",X$13,X81,0,X$14,X$17,0)*100</f>
        <v>6.546838230786892</v>
      </c>
      <c r="Y396" s="271">
        <f>_xll.xlShmImplSwap(Y$3&amp;"Freeze",Y$13,Y81,0,Y$14,Y$17,0)*100</f>
        <v>8.2056195956362465</v>
      </c>
      <c r="Z396" s="271">
        <f>_xll.xlShmImplSwap(Z$3&amp;"Freeze",Z$13,Z81,0,Z$14,Z$17,0)*100</f>
        <v>2.635126092818445</v>
      </c>
      <c r="AA396" s="271">
        <f>_xll.xlShmImplSwap(AA$3&amp;"Freeze",AA$13,AA81,0,AA$14,AA$17,0)*100</f>
        <v>1.6274344588949072</v>
      </c>
      <c r="AB396" s="271">
        <f>_xll.xlShmImplSwap(AB$3&amp;"Freeze",AB$13,AB81,0,AB$14,AB$17,0)*100</f>
        <v>3.4200901981095182</v>
      </c>
      <c r="AC396" s="271">
        <f>_xll.xlShmImplSwap(AC$3&amp;"Freeze",AC$13,AC81,0,AC$14,AC$17,0)*100</f>
        <v>4.4534592655979379</v>
      </c>
      <c r="AD396" s="271">
        <f>_xll.xlShmImplSwap(AD$3&amp;"Freeze",AD$13,AD81,0,AD$14,AD$17,0)*100</f>
        <v>6.5363219134678756</v>
      </c>
      <c r="AE396" s="271">
        <f>_xll.xlShmImplSwap(AE$3&amp;"Freeze",AE$13,AE81,0,AE$14,AE$17,0)*100</f>
        <v>7.9738256776154763</v>
      </c>
      <c r="AF396" s="271">
        <f>_xll.xlShmImplSwap(AF$3&amp;"Freeze",AF$13,AF81,0,AF$14,AF$17,0)*100</f>
        <v>5.9601781342418061</v>
      </c>
      <c r="AG396" s="271">
        <f>_xll.xlShmImplSwap(AG$3&amp;"Freeze",AG$13,AG81,0,AG$14,AG$17,0)*100</f>
        <v>3.3063206931995865</v>
      </c>
      <c r="AH396" s="271">
        <f>_xll.xlShmImplSwap(AH$3&amp;"Freeze",AH$13,AH81,0,AH$14,AH$17,0)*100</f>
        <v>0.89692201841824126</v>
      </c>
      <c r="AI396" s="271">
        <f>_xll.xlShmImplSwap(AI$3&amp;"Freeze",AI$13,AI81,0,AI$14,AI$17,0)*100</f>
        <v>4.7640260408497266</v>
      </c>
      <c r="AJ396" s="271">
        <f>_xll.xlShmImplSwap(AJ$3&amp;"Freeze",AJ$13,AJ81,0,AJ$14,AJ$17,0)*100</f>
        <v>5.1316636931187318</v>
      </c>
      <c r="AK396" s="271">
        <f>_xll.xlShmImplSwap(AK$3&amp;"Freeze",AK$13,AK81,0,AK$14,AK$17,0)*100</f>
        <v>3.6822958376345678</v>
      </c>
      <c r="AL396" s="271" t="e">
        <f>_xll.xlShmImplSwap(AL$3&amp;"Freeze",AL$13,AL81,0,AL$14,AL$17,0)*100</f>
        <v>#VALUE!</v>
      </c>
      <c r="AM396" s="271">
        <f>_xll.xlShmImplSwap(AM$3&amp;"Freeze",AM$13,AM81,0,AM$14,AM$17,0)*100</f>
        <v>4.4895424639725343</v>
      </c>
      <c r="AN396" s="271" t="e">
        <f>_xll.xlShmImplSwap(AN$3&amp;"Freeze",AN$13,AN81,0,AN$14,AN$17,0)*100</f>
        <v>#VALUE!</v>
      </c>
      <c r="AO396" s="271" t="e">
        <f>_xll.xlShmImplSwap(AO$3&amp;"Freeze",AO$13,AO81,0,AO$14,AO$17,0)*100</f>
        <v>#VALUE!</v>
      </c>
      <c r="AP396" s="271" t="e">
        <f>_xll.xlShmImplSwap(AP$3&amp;"Freeze",AP$13,AP81,0,AP$14,AP$17,0)*100</f>
        <v>#VALUE!</v>
      </c>
    </row>
    <row r="398" spans="3:42" x14ac:dyDescent="0.2">
      <c r="C398" s="4" t="s">
        <v>322</v>
      </c>
    </row>
    <row r="399" spans="3:42" x14ac:dyDescent="0.2">
      <c r="C399" s="4" t="s">
        <v>252</v>
      </c>
    </row>
    <row r="400" spans="3:42" x14ac:dyDescent="0.2">
      <c r="C400" s="1" t="s">
        <v>248</v>
      </c>
      <c r="D400" s="4" t="b">
        <f>RT_Switch</f>
        <v>0</v>
      </c>
      <c r="E400" s="1" t="b">
        <f>D400</f>
        <v>0</v>
      </c>
      <c r="F400" s="1" t="b">
        <f t="shared" ref="F400:AP400" si="240">E400</f>
        <v>0</v>
      </c>
      <c r="G400" s="1" t="b">
        <f t="shared" si="240"/>
        <v>0</v>
      </c>
      <c r="H400" s="1" t="b">
        <f t="shared" si="240"/>
        <v>0</v>
      </c>
      <c r="I400" s="1" t="b">
        <f t="shared" si="240"/>
        <v>0</v>
      </c>
      <c r="J400" s="1" t="b">
        <f t="shared" si="240"/>
        <v>0</v>
      </c>
      <c r="K400" s="1" t="b">
        <f t="shared" si="240"/>
        <v>0</v>
      </c>
      <c r="L400" s="1" t="b">
        <f t="shared" si="240"/>
        <v>0</v>
      </c>
      <c r="M400" s="1" t="b">
        <f t="shared" si="240"/>
        <v>0</v>
      </c>
      <c r="N400" s="1" t="b">
        <f t="shared" si="240"/>
        <v>0</v>
      </c>
      <c r="O400" s="1" t="b">
        <f t="shared" si="240"/>
        <v>0</v>
      </c>
      <c r="P400" s="1" t="b">
        <f t="shared" si="240"/>
        <v>0</v>
      </c>
      <c r="Q400" s="1" t="b">
        <f t="shared" si="240"/>
        <v>0</v>
      </c>
      <c r="R400" s="1" t="b">
        <f t="shared" si="240"/>
        <v>0</v>
      </c>
      <c r="S400" s="1" t="b">
        <f t="shared" si="240"/>
        <v>0</v>
      </c>
      <c r="T400" s="1" t="b">
        <f t="shared" si="240"/>
        <v>0</v>
      </c>
      <c r="U400" s="1" t="b">
        <f t="shared" si="240"/>
        <v>0</v>
      </c>
      <c r="V400" s="1" t="b">
        <f t="shared" si="240"/>
        <v>0</v>
      </c>
      <c r="W400" s="1" t="b">
        <f t="shared" si="240"/>
        <v>0</v>
      </c>
      <c r="X400" s="1" t="b">
        <f t="shared" si="240"/>
        <v>0</v>
      </c>
      <c r="Y400" s="1" t="b">
        <f t="shared" si="240"/>
        <v>0</v>
      </c>
      <c r="Z400" s="1" t="b">
        <f t="shared" si="240"/>
        <v>0</v>
      </c>
      <c r="AA400" s="1" t="b">
        <f t="shared" si="240"/>
        <v>0</v>
      </c>
      <c r="AB400" s="1" t="b">
        <f t="shared" si="240"/>
        <v>0</v>
      </c>
      <c r="AC400" s="1" t="b">
        <f t="shared" si="240"/>
        <v>0</v>
      </c>
      <c r="AD400" s="1" t="b">
        <f t="shared" si="240"/>
        <v>0</v>
      </c>
      <c r="AE400" s="1" t="b">
        <f t="shared" si="240"/>
        <v>0</v>
      </c>
      <c r="AF400" s="1" t="b">
        <f t="shared" si="240"/>
        <v>0</v>
      </c>
      <c r="AG400" s="1" t="b">
        <f t="shared" si="240"/>
        <v>0</v>
      </c>
      <c r="AH400" s="1" t="b">
        <f t="shared" si="240"/>
        <v>0</v>
      </c>
      <c r="AI400" s="1" t="b">
        <f t="shared" si="240"/>
        <v>0</v>
      </c>
      <c r="AJ400" s="1" t="b">
        <f t="shared" si="240"/>
        <v>0</v>
      </c>
      <c r="AK400" s="1" t="b">
        <f t="shared" si="240"/>
        <v>0</v>
      </c>
      <c r="AL400" s="1" t="b">
        <f t="shared" si="240"/>
        <v>0</v>
      </c>
      <c r="AM400" s="1" t="b">
        <f t="shared" si="240"/>
        <v>0</v>
      </c>
      <c r="AN400" s="1" t="b">
        <f t="shared" si="240"/>
        <v>0</v>
      </c>
      <c r="AO400" s="1" t="b">
        <f t="shared" si="240"/>
        <v>0</v>
      </c>
      <c r="AP400" s="1" t="b">
        <f t="shared" si="240"/>
        <v>0</v>
      </c>
    </row>
    <row r="401" spans="3:42" x14ac:dyDescent="0.2">
      <c r="C401" s="1" t="s">
        <v>323</v>
      </c>
      <c r="D401" s="4" t="b">
        <v>1</v>
      </c>
      <c r="E401" s="1" t="b">
        <f>D401</f>
        <v>1</v>
      </c>
      <c r="F401" s="1" t="b">
        <f t="shared" ref="F401:AO401" si="241">E401</f>
        <v>1</v>
      </c>
      <c r="G401" s="1" t="b">
        <f t="shared" si="241"/>
        <v>1</v>
      </c>
      <c r="H401" s="1" t="b">
        <f t="shared" si="241"/>
        <v>1</v>
      </c>
      <c r="I401" s="1" t="b">
        <f t="shared" si="241"/>
        <v>1</v>
      </c>
      <c r="J401" s="1" t="b">
        <f t="shared" si="241"/>
        <v>1</v>
      </c>
      <c r="K401" s="1" t="b">
        <f t="shared" si="241"/>
        <v>1</v>
      </c>
      <c r="L401" s="1" t="b">
        <f t="shared" si="241"/>
        <v>1</v>
      </c>
      <c r="M401" s="1" t="b">
        <f t="shared" si="241"/>
        <v>1</v>
      </c>
      <c r="N401" s="1" t="b">
        <f t="shared" si="241"/>
        <v>1</v>
      </c>
      <c r="O401" s="1" t="b">
        <f t="shared" si="241"/>
        <v>1</v>
      </c>
      <c r="P401" s="1" t="b">
        <f t="shared" si="241"/>
        <v>1</v>
      </c>
      <c r="Q401" s="1" t="b">
        <f t="shared" si="241"/>
        <v>1</v>
      </c>
      <c r="R401" s="1" t="b">
        <f t="shared" si="241"/>
        <v>1</v>
      </c>
      <c r="S401" s="1" t="b">
        <f t="shared" si="241"/>
        <v>1</v>
      </c>
      <c r="T401" s="1" t="b">
        <f t="shared" si="241"/>
        <v>1</v>
      </c>
      <c r="U401" s="1" t="b">
        <f t="shared" si="241"/>
        <v>1</v>
      </c>
      <c r="V401" s="1" t="b">
        <f t="shared" si="241"/>
        <v>1</v>
      </c>
      <c r="W401" s="1" t="b">
        <f t="shared" si="241"/>
        <v>1</v>
      </c>
      <c r="X401" s="1" t="b">
        <f t="shared" si="241"/>
        <v>1</v>
      </c>
      <c r="Y401" s="1" t="b">
        <f t="shared" si="241"/>
        <v>1</v>
      </c>
      <c r="Z401" s="1" t="b">
        <f t="shared" si="241"/>
        <v>1</v>
      </c>
      <c r="AA401" s="1" t="b">
        <f t="shared" si="241"/>
        <v>1</v>
      </c>
      <c r="AB401" s="1" t="b">
        <f t="shared" si="241"/>
        <v>1</v>
      </c>
      <c r="AC401" s="1" t="b">
        <f t="shared" si="241"/>
        <v>1</v>
      </c>
      <c r="AD401" s="1" t="b">
        <f t="shared" si="241"/>
        <v>1</v>
      </c>
      <c r="AE401" s="1" t="b">
        <f t="shared" si="241"/>
        <v>1</v>
      </c>
      <c r="AF401" s="1" t="b">
        <f t="shared" si="241"/>
        <v>1</v>
      </c>
      <c r="AG401" s="1" t="b">
        <f t="shared" si="241"/>
        <v>1</v>
      </c>
      <c r="AH401" s="1" t="b">
        <f t="shared" si="241"/>
        <v>1</v>
      </c>
      <c r="AI401" s="1" t="b">
        <f t="shared" si="241"/>
        <v>1</v>
      </c>
      <c r="AJ401" s="1" t="b">
        <f t="shared" si="241"/>
        <v>1</v>
      </c>
      <c r="AK401" s="1" t="b">
        <f t="shared" si="241"/>
        <v>1</v>
      </c>
      <c r="AL401" s="1" t="b">
        <f t="shared" si="241"/>
        <v>1</v>
      </c>
      <c r="AM401" s="1" t="b">
        <f t="shared" si="241"/>
        <v>1</v>
      </c>
      <c r="AN401" s="1" t="b">
        <f t="shared" si="241"/>
        <v>1</v>
      </c>
      <c r="AO401" s="1" t="b">
        <f t="shared" si="241"/>
        <v>1</v>
      </c>
      <c r="AP401" s="1" t="b">
        <f t="shared" ref="AP401" si="242">AO401</f>
        <v>1</v>
      </c>
    </row>
    <row r="402" spans="3:42" x14ac:dyDescent="0.2">
      <c r="C402" s="1" t="s">
        <v>326</v>
      </c>
      <c r="D402" s="317" t="s">
        <v>164</v>
      </c>
      <c r="E402" s="317" t="s">
        <v>164</v>
      </c>
      <c r="F402" s="317" t="s">
        <v>164</v>
      </c>
      <c r="G402" s="317" t="s">
        <v>164</v>
      </c>
      <c r="H402" s="317" t="s">
        <v>164</v>
      </c>
      <c r="I402" s="317" t="s">
        <v>164</v>
      </c>
      <c r="J402" s="317" t="s">
        <v>164</v>
      </c>
      <c r="K402" s="317" t="s">
        <v>164</v>
      </c>
      <c r="L402" s="317" t="s">
        <v>164</v>
      </c>
      <c r="M402" s="317" t="s">
        <v>164</v>
      </c>
      <c r="N402" s="317" t="s">
        <v>164</v>
      </c>
      <c r="O402" s="317" t="s">
        <v>164</v>
      </c>
      <c r="P402" s="317" t="s">
        <v>164</v>
      </c>
      <c r="Q402" s="317" t="s">
        <v>164</v>
      </c>
      <c r="R402" s="317" t="s">
        <v>164</v>
      </c>
      <c r="S402" s="317" t="s">
        <v>164</v>
      </c>
      <c r="T402" s="317" t="s">
        <v>164</v>
      </c>
      <c r="U402" s="317" t="s">
        <v>164</v>
      </c>
      <c r="V402" s="317" t="s">
        <v>164</v>
      </c>
      <c r="W402" s="317" t="s">
        <v>164</v>
      </c>
      <c r="X402" s="317" t="s">
        <v>164</v>
      </c>
      <c r="Y402" s="317" t="s">
        <v>164</v>
      </c>
      <c r="Z402" s="317" t="s">
        <v>164</v>
      </c>
      <c r="AA402" s="317" t="s">
        <v>164</v>
      </c>
      <c r="AB402" s="317" t="s">
        <v>164</v>
      </c>
      <c r="AC402" s="317" t="s">
        <v>164</v>
      </c>
      <c r="AD402" s="317" t="s">
        <v>164</v>
      </c>
      <c r="AE402" s="317" t="s">
        <v>164</v>
      </c>
      <c r="AF402" s="317" t="s">
        <v>164</v>
      </c>
      <c r="AG402" s="317" t="s">
        <v>164</v>
      </c>
      <c r="AH402" s="317" t="s">
        <v>164</v>
      </c>
      <c r="AI402" s="317" t="s">
        <v>164</v>
      </c>
      <c r="AJ402" s="317" t="s">
        <v>164</v>
      </c>
      <c r="AK402" s="317" t="s">
        <v>164</v>
      </c>
      <c r="AL402" s="317" t="s">
        <v>164</v>
      </c>
      <c r="AM402" s="317" t="s">
        <v>164</v>
      </c>
      <c r="AN402" s="317" t="s">
        <v>164</v>
      </c>
      <c r="AO402" s="317" t="s">
        <v>164</v>
      </c>
      <c r="AP402" s="317" t="s">
        <v>164</v>
      </c>
    </row>
    <row r="403" spans="3:42" x14ac:dyDescent="0.2">
      <c r="C403" s="1" t="s">
        <v>17</v>
      </c>
      <c r="D403" s="1" t="s">
        <v>18</v>
      </c>
      <c r="E403" s="1" t="s">
        <v>18</v>
      </c>
      <c r="F403" s="1" t="s">
        <v>18</v>
      </c>
      <c r="G403" s="1" t="s">
        <v>18</v>
      </c>
      <c r="H403" s="1" t="s">
        <v>18</v>
      </c>
      <c r="I403" s="1" t="s">
        <v>18</v>
      </c>
      <c r="J403" s="1" t="s">
        <v>18</v>
      </c>
      <c r="K403" s="1" t="s">
        <v>18</v>
      </c>
      <c r="L403" s="1" t="s">
        <v>18</v>
      </c>
      <c r="M403" s="1" t="s">
        <v>18</v>
      </c>
      <c r="N403" s="1" t="s">
        <v>18</v>
      </c>
      <c r="O403" s="1" t="s">
        <v>18</v>
      </c>
      <c r="P403" s="1" t="s">
        <v>18</v>
      </c>
      <c r="Q403" s="1" t="s">
        <v>18</v>
      </c>
      <c r="R403" s="1" t="s">
        <v>18</v>
      </c>
      <c r="S403" s="1" t="s">
        <v>18</v>
      </c>
      <c r="T403" s="1" t="s">
        <v>18</v>
      </c>
      <c r="U403" s="1" t="s">
        <v>18</v>
      </c>
      <c r="V403" s="1" t="s">
        <v>18</v>
      </c>
      <c r="W403" s="1" t="s">
        <v>18</v>
      </c>
      <c r="X403" s="1" t="s">
        <v>18</v>
      </c>
      <c r="Y403" s="1" t="s">
        <v>18</v>
      </c>
      <c r="Z403" s="1" t="s">
        <v>18</v>
      </c>
      <c r="AA403" s="1" t="s">
        <v>18</v>
      </c>
      <c r="AB403" s="1" t="s">
        <v>18</v>
      </c>
      <c r="AC403" s="1" t="s">
        <v>18</v>
      </c>
      <c r="AD403" s="1" t="s">
        <v>18</v>
      </c>
      <c r="AE403" s="1" t="s">
        <v>18</v>
      </c>
      <c r="AF403" s="1" t="s">
        <v>18</v>
      </c>
      <c r="AG403" s="1" t="s">
        <v>18</v>
      </c>
      <c r="AH403" s="1" t="s">
        <v>18</v>
      </c>
      <c r="AI403" s="1" t="s">
        <v>18</v>
      </c>
      <c r="AJ403" s="1" t="s">
        <v>18</v>
      </c>
      <c r="AK403" s="1" t="s">
        <v>18</v>
      </c>
      <c r="AL403" s="1" t="s">
        <v>18</v>
      </c>
      <c r="AM403" s="1" t="s">
        <v>18</v>
      </c>
      <c r="AN403" s="1" t="s">
        <v>18</v>
      </c>
      <c r="AO403" s="1" t="s">
        <v>18</v>
      </c>
      <c r="AP403" s="1" t="s">
        <v>18</v>
      </c>
    </row>
    <row r="404" spans="3:42" x14ac:dyDescent="0.2">
      <c r="C404" s="1" t="s">
        <v>23</v>
      </c>
    </row>
    <row r="405" spans="3:42" x14ac:dyDescent="0.2">
      <c r="C405" s="1" t="s">
        <v>30</v>
      </c>
    </row>
    <row r="406" spans="3:42" x14ac:dyDescent="0.2">
      <c r="C406" s="1" t="s">
        <v>41</v>
      </c>
    </row>
    <row r="407" spans="3:42" x14ac:dyDescent="0.2">
      <c r="C407" s="1" t="s">
        <v>92</v>
      </c>
      <c r="E407" s="1" t="str">
        <f>IF(AND(E$400,COUNTA(E$404:E406)+4&lt;=MATCH(E$402,Tenors_set,0)),_xll.RtContribute(E$403,E$3&amp;"FX"&amp;$C407&amp;"D=",{"BID","ASK"},CHOOSE({1,2},IF(E$401,E246,E124/E$11),IF(E$401,E246,E124)),"SCOPE:SERVER"),"RT_FALSE")</f>
        <v>RT_FALSE</v>
      </c>
      <c r="F407" s="1" t="str">
        <f>IF(AND(F$400,COUNTA(F$404:F406)+4&lt;=MATCH(F$402,Tenors_set,0)),_xll.RtContribute(F$403,F$3&amp;"FX"&amp;$C407&amp;"D=",{"BID","ASK"},CHOOSE({1,2},IF(F$401,F246,F124/F$11),IF(F$401,F246,F124)),"SCOPE:SERVER"),"RT_FALSE")</f>
        <v>RT_FALSE</v>
      </c>
      <c r="G407" s="1" t="str">
        <f>IF(AND(G$400,COUNTA(G$404:G406)+4&lt;=MATCH(G$402,Tenors_set,0)),_xll.RtContribute(G$403,G$3&amp;"FX"&amp;$C407&amp;"D=",{"BID","ASK"},CHOOSE({1,2},IF(G$401,G246,G124/G$11),IF(G$401,G246,G124)),"SCOPE:SERVER"),"RT_FALSE")</f>
        <v>RT_FALSE</v>
      </c>
      <c r="H407" s="1" t="str">
        <f>IF(AND(H$400,COUNTA(H$404:H406)+4&lt;=MATCH(H$402,Tenors_set,0)),_xll.RtContribute(H$403,H$3&amp;"FX"&amp;$C407&amp;"D=",{"BID","ASK"},CHOOSE({1,2},IF(H$401,H246,H124/H$11),IF(H$401,H246,H124)),"SCOPE:SERVER"),"RT_FALSE")</f>
        <v>RT_FALSE</v>
      </c>
      <c r="I407" s="1" t="str">
        <f>IF(AND(I$400,COUNTA(I$404:I406)+4&lt;=MATCH(I$402,Tenors_set,0)),_xll.RtContribute(I$403,I$3&amp;"FX"&amp;$C407&amp;"D=",{"BID","ASK"},CHOOSE({1,2},IF(I$401,I246,I124/I$11),IF(I$401,I246,I124)),"SCOPE:SERVER"),"RT_FALSE")</f>
        <v>RT_FALSE</v>
      </c>
      <c r="J407" s="1" t="str">
        <f>IF(AND(J$400,COUNTA(J$404:J406)+4&lt;=MATCH(J$402,Tenors_set,0)),_xll.RtContribute(J$403,J$3&amp;"FX"&amp;$C407&amp;"D=",{"BID","ASK"},CHOOSE({1,2},IF(J$401,J246,J124/J$11),IF(J$401,J246,J124)),"SCOPE:SERVER"),"RT_FALSE")</f>
        <v>RT_FALSE</v>
      </c>
      <c r="K407" s="1" t="str">
        <f>IF(AND(K$400,COUNTA(K$404:K406)+4&lt;=MATCH(K$402,Tenors_set,0)),_xll.RtContribute(K$403,K$3&amp;"FX"&amp;$C407&amp;"D=",{"BID","ASK"},CHOOSE({1,2},IF(K$401,K246,K124/K$11),IF(K$401,K246,K124)),"SCOPE:SERVER"),"RT_FALSE")</f>
        <v>RT_FALSE</v>
      </c>
      <c r="L407" s="1" t="str">
        <f>IF(AND(L$400,COUNTA(L$404:L406)+4&lt;=MATCH(L$402,Tenors_set,0)),_xll.RtContribute(L$403,L$3&amp;"FX"&amp;$C407&amp;"D=",{"BID","ASK"},CHOOSE({1,2},IF(L$401,L246,L124/L$11),IF(L$401,L246,L124)),"SCOPE:SERVER"),"RT_FALSE")</f>
        <v>RT_FALSE</v>
      </c>
      <c r="M407" s="1" t="str">
        <f>IF(AND(M$400,COUNTA(M$404:M406)+4&lt;=MATCH(M$402,Tenors_set,0)),_xll.RtContribute(M$403,M$3&amp;"FX"&amp;$C407&amp;"D=",{"BID","ASK"},CHOOSE({1,2},IF(M$401,M246,M124/M$11),IF(M$401,M246,M124)),"SCOPE:SERVER"),"RT_FALSE")</f>
        <v>RT_FALSE</v>
      </c>
      <c r="N407" s="1" t="str">
        <f>IF(AND(N$400,COUNTA(N$404:N406)+4&lt;=MATCH(N$402,Tenors_set,0)),_xll.RtContribute(N$403,N$3&amp;"FX"&amp;$C407&amp;"D=",{"BID","ASK"},CHOOSE({1,2},IF(N$401,N246,N124/N$11),IF(N$401,N246,N124)),"SCOPE:SERVER"),"RT_FALSE")</f>
        <v>RT_FALSE</v>
      </c>
      <c r="O407" s="1" t="str">
        <f>IF(AND(O$400,COUNTA(O$404:O406)+4&lt;=MATCH(O$402,Tenors_set,0)),_xll.RtContribute(O$403,O$3&amp;"FX"&amp;$C407&amp;"D=",{"BID","ASK"},CHOOSE({1,2},IF(O$401,O246,O124/O$11),IF(O$401,O246,O124)),"SCOPE:SERVER"),"RT_FALSE")</f>
        <v>RT_FALSE</v>
      </c>
      <c r="P407" s="1" t="str">
        <f>IF(AND(P$400,COUNTA(P$404:P406)+4&lt;=MATCH(P$402,Tenors_set,0)),_xll.RtContribute(P$403,P$3&amp;"FX"&amp;$C407&amp;"D=",{"BID","ASK"},CHOOSE({1,2},IF(P$401,P246,P124/P$11),IF(P$401,P246,P124)),"SCOPE:SERVER"),"RT_FALSE")</f>
        <v>RT_FALSE</v>
      </c>
      <c r="Q407" s="1" t="str">
        <f>IF(AND(Q$400,COUNTA(Q$404:Q406)+4&lt;=MATCH(Q$402,Tenors_set,0)),_xll.RtContribute(Q$403,Q$3&amp;"FX"&amp;$C407&amp;"D=",{"BID","ASK"},CHOOSE({1,2},IF(Q$401,Q246,Q124/Q$11),IF(Q$401,Q246,Q124)),"SCOPE:SERVER"),"RT_FALSE")</f>
        <v>RT_FALSE</v>
      </c>
      <c r="R407" s="1" t="str">
        <f>IF(AND(R$400,COUNTA(R$404:R406)+4&lt;=MATCH(R$402,Tenors_set,0)),_xll.RtContribute(R$403,R$3&amp;"FX"&amp;$C407&amp;"D=",{"BID","ASK"},CHOOSE({1,2},IF(R$401,R246,R124/R$11),IF(R$401,R246,R124)),"SCOPE:SERVER"),"RT_FALSE")</f>
        <v>RT_FALSE</v>
      </c>
      <c r="S407" s="1" t="str">
        <f>IF(AND(S$400,COUNTA(S$404:S406)+4&lt;=MATCH(S$402,Tenors_set,0)),_xll.RtContribute(S$403,S$3&amp;"FX"&amp;$C407&amp;"D=",{"BID","ASK"},CHOOSE({1,2},IF(S$401,S246,S124/S$11),IF(S$401,S246,S124)),"SCOPE:SERVER"),"RT_FALSE")</f>
        <v>RT_FALSE</v>
      </c>
      <c r="T407" s="1" t="str">
        <f>IF(AND(T$400,COUNTA(T$404:T406)+4&lt;=MATCH(T$402,Tenors_set,0)),_xll.RtContribute(T$403,T$3&amp;"FX"&amp;$C407&amp;"D=",{"BID","ASK"},CHOOSE({1,2},IF(T$401,T246,T124/T$11),IF(T$401,T246,T124)),"SCOPE:SERVER"),"RT_FALSE")</f>
        <v>RT_FALSE</v>
      </c>
      <c r="U407" s="1" t="str">
        <f>IF(AND(U$400,COUNTA(U$404:U406)+4&lt;=MATCH(U$402,Tenors_set,0)),_xll.RtContribute(U$403,U$3&amp;"FX"&amp;$C407&amp;"D=",{"BID","ASK"},CHOOSE({1,2},IF(U$401,U246,U124/U$11),IF(U$401,U246,U124)),"SCOPE:SERVER"),"RT_FALSE")</f>
        <v>RT_FALSE</v>
      </c>
      <c r="V407" s="1" t="str">
        <f>IF(AND(V$400,COUNTA(V$404:V406)+4&lt;=MATCH(V$402,Tenors_set,0)),_xll.RtContribute(V$403,V$3&amp;"FX"&amp;$C407&amp;"D=",{"BID","ASK"},CHOOSE({1,2},IF(V$401,V246,V124/V$11),IF(V$401,V246,V124)),"SCOPE:SERVER"),"RT_FALSE")</f>
        <v>RT_FALSE</v>
      </c>
      <c r="W407" s="1" t="str">
        <f>IF(AND(W$400,COUNTA(W$404:W406)+4&lt;=MATCH(W$402,Tenors_set,0)),_xll.RtContribute(W$403,W$3&amp;"FX"&amp;$C407&amp;"D=",{"BID","ASK"},CHOOSE({1,2},IF(W$401,W246,W124/W$11),IF(W$401,W246,W124)),"SCOPE:SERVER"),"RT_FALSE")</f>
        <v>RT_FALSE</v>
      </c>
      <c r="X407" s="1" t="str">
        <f>IF(AND(X$400,COUNTA(X$404:X406)+4&lt;=MATCH(X$402,Tenors_set,0)),_xll.RtContribute(X$403,X$3&amp;"FX"&amp;$C407&amp;"D=",{"BID","ASK"},CHOOSE({1,2},IF(X$401,X246,X124/X$11),IF(X$401,X246,X124)),"SCOPE:SERVER"),"RT_FALSE")</f>
        <v>RT_FALSE</v>
      </c>
      <c r="Y407" s="1" t="str">
        <f>IF(AND(Y$400,COUNTA(Y$404:Y406)+4&lt;=MATCH(Y$402,Tenors_set,0)),_xll.RtContribute(Y$403,Y$3&amp;"FX"&amp;$C407&amp;"D=",{"BID","ASK"},CHOOSE({1,2},IF(Y$401,Y246,Y124/Y$11),IF(Y$401,Y246,Y124)),"SCOPE:SERVER"),"RT_FALSE")</f>
        <v>RT_FALSE</v>
      </c>
      <c r="Z407" s="1" t="str">
        <f>IF(AND(Z$400,COUNTA(Z$404:Z406)+4&lt;=MATCH(Z$402,Tenors_set,0)),_xll.RtContribute(Z$403,Z$3&amp;"FX"&amp;$C407&amp;"D=",{"BID","ASK"},CHOOSE({1,2},IF(Z$401,Z246,Z124/Z$11),IF(Z$401,Z246,Z124)),"SCOPE:SERVER"),"RT_FALSE")</f>
        <v>RT_FALSE</v>
      </c>
      <c r="AA407" s="1" t="str">
        <f>IF(AND(AA$400,COUNTA(AA$404:AA406)+4&lt;=MATCH(AA$402,Tenors_set,0)),_xll.RtContribute(AA$403,AA$3&amp;"FX"&amp;$C407&amp;"D=",{"BID","ASK"},CHOOSE({1,2},IF(AA$401,AA246,AA124/AA$11),IF(AA$401,AA246,AA124)),"SCOPE:SERVER"),"RT_FALSE")</f>
        <v>RT_FALSE</v>
      </c>
      <c r="AB407" s="1" t="str">
        <f>IF(AND(AB$400,COUNTA(AB$404:AB406)+4&lt;=MATCH(AB$402,Tenors_set,0)),_xll.RtContribute(AB$403,AB$3&amp;"FX"&amp;$C407&amp;"D=",{"BID","ASK"},CHOOSE({1,2},IF(AB$401,AB246,AB124/AB$11),IF(AB$401,AB246,AB124)),"SCOPE:SERVER"),"RT_FALSE")</f>
        <v>RT_FALSE</v>
      </c>
      <c r="AC407" s="1" t="str">
        <f>IF(AND(AC$400,COUNTA(AC$404:AC406)+4&lt;=MATCH(AC$402,Tenors_set,0)),_xll.RtContribute(AC$403,AC$3&amp;"FX"&amp;$C407&amp;"D=",{"BID","ASK"},CHOOSE({1,2},IF(AC$401,AC246,AC124/AC$11),IF(AC$401,AC246,AC124)),"SCOPE:SERVER"),"RT_FALSE")</f>
        <v>RT_FALSE</v>
      </c>
      <c r="AD407" s="1" t="str">
        <f>IF(AND(AD$400,COUNTA(AD$404:AD406)+4&lt;=MATCH(AD$402,Tenors_set,0)),_xll.RtContribute(AD$403,AD$3&amp;"FX"&amp;$C407&amp;"D=",{"BID","ASK"},CHOOSE({1,2},IF(AD$401,AD246,AD124/AD$11),IF(AD$401,AD246,AD124)),"SCOPE:SERVER"),"RT_FALSE")</f>
        <v>RT_FALSE</v>
      </c>
      <c r="AE407" s="1" t="str">
        <f>IF(AND(AE$400,COUNTA(AE$404:AE406)+4&lt;=MATCH(AE$402,Tenors_set,0)),_xll.RtContribute(AE$403,AE$3&amp;"FX"&amp;$C407&amp;"D=",{"BID","ASK"},CHOOSE({1,2},IF(AE$401,AE246,AE124/AE$11),IF(AE$401,AE246,AE124)),"SCOPE:SERVER"),"RT_FALSE")</f>
        <v>RT_FALSE</v>
      </c>
      <c r="AF407" s="1" t="str">
        <f>IF(AND(AF$400,COUNTA(AF$404:AF406)+4&lt;=MATCH(AF$402,Tenors_set,0)),_xll.RtContribute(AF$403,AF$3&amp;"FX"&amp;$C407&amp;"D=",{"BID","ASK"},CHOOSE({1,2},IF(AF$401,AF246,AF124/AF$11),IF(AF$401,AF246,AF124)),"SCOPE:SERVER"),"RT_FALSE")</f>
        <v>RT_FALSE</v>
      </c>
      <c r="AG407" s="1" t="str">
        <f>IF(AND(AG$400,COUNTA(AG$404:AG406)+4&lt;=MATCH(AG$402,Tenors_set,0)),_xll.RtContribute(AG$403,AG$3&amp;"FX"&amp;$C407&amp;"D=",{"BID","ASK"},CHOOSE({1,2},IF(AG$401,AG246,AG124/AG$11),IF(AG$401,AG246,AG124)),"SCOPE:SERVER"),"RT_FALSE")</f>
        <v>RT_FALSE</v>
      </c>
      <c r="AH407" s="1" t="str">
        <f>IF(AND(AH$400,COUNTA(AH$404:AH406)+4&lt;=MATCH(AH$402,Tenors_set,0)),_xll.RtContribute(AH$403,AH$3&amp;"FX"&amp;$C407&amp;"D=",{"BID","ASK"},CHOOSE({1,2},IF(AH$401,AH246,AH124/AH$11),IF(AH$401,AH246,AH124)),"SCOPE:SERVER"),"RT_FALSE")</f>
        <v>RT_FALSE</v>
      </c>
      <c r="AI407" s="1" t="str">
        <f>IF(AND(AI$400,COUNTA(AI$404:AI406)+4&lt;=MATCH(AI$402,Tenors_set,0)),_xll.RtContribute(AI$403,AI$3&amp;"FX"&amp;$C407&amp;"D=",{"BID","ASK"},CHOOSE({1,2},IF(AI$401,AI246,AI124/AI$11),IF(AI$401,AI246,AI124)),"SCOPE:SERVER"),"RT_FALSE")</f>
        <v>RT_FALSE</v>
      </c>
      <c r="AJ407" s="1" t="str">
        <f>IF(AND(AJ$400,COUNTA(AJ$404:AJ406)+4&lt;=MATCH(AJ$402,Tenors_set,0)),_xll.RtContribute(AJ$403,AJ$3&amp;"FX"&amp;$C407&amp;"D=",{"BID","ASK"},CHOOSE({1,2},IF(AJ$401,AJ246,AJ124/AJ$11),IF(AJ$401,AJ246,AJ124)),"SCOPE:SERVER"),"RT_FALSE")</f>
        <v>RT_FALSE</v>
      </c>
      <c r="AK407" s="1" t="str">
        <f>IF(AND(AK$400,COUNTA(AK$404:AK406)+4&lt;=MATCH(AK$402,Tenors_set,0)),_xll.RtContribute(AK$403,AK$3&amp;"FX"&amp;$C407&amp;"D=",{"BID","ASK"},CHOOSE({1,2},IF(AK$401,AK246,AK124/AK$11),IF(AK$401,AK246,AK124)),"SCOPE:SERVER"),"RT_FALSE")</f>
        <v>RT_FALSE</v>
      </c>
      <c r="AL407" s="1" t="str">
        <f>IF(AND(AL$400,COUNTA(AL$404:AL406)+4&lt;=MATCH(AL$402,Tenors_set,0)),_xll.RtContribute(AL$403,AL$3&amp;"FX"&amp;$C407&amp;"D=",{"BID","ASK"},CHOOSE({1,2},IF(AL$401,AL246,AL124/AL$11),IF(AL$401,AL246,AL124)),"SCOPE:SERVER"),"RT_FALSE")</f>
        <v>RT_FALSE</v>
      </c>
      <c r="AM407" s="1" t="str">
        <f>IF(AND(AM$400,COUNTA(AM$404:AM406)+4&lt;=MATCH(AM$402,Tenors_set,0)),_xll.RtContribute(AM$403,AM$3&amp;"FX"&amp;$C407&amp;"D=",{"BID","ASK"},CHOOSE({1,2},IF(AM$401,AM246,AM124/AM$11),IF(AM$401,AM246,AM124)),"SCOPE:SERVER"),"RT_FALSE")</f>
        <v>RT_FALSE</v>
      </c>
      <c r="AN407" s="1" t="str">
        <f>IF(AND(AN$400,COUNTA(AN$404:AN406)+4&lt;=MATCH(AN$402,Tenors_set,0)),_xll.RtContribute(AN$403,AN$3&amp;"FX"&amp;$C407&amp;"D=",{"BID","ASK"},CHOOSE({1,2},IF(AN$401,AN246,AN124/AN$11),IF(AN$401,AN246,AN124)),"SCOPE:SERVER"),"RT_FALSE")</f>
        <v>RT_FALSE</v>
      </c>
      <c r="AO407" s="1" t="str">
        <f>IF(AND(AO$400,COUNTA(AO$404:AO406)+4&lt;=MATCH(AO$402,Tenors_set,0)),_xll.RtContribute(AO$403,AO$3&amp;"FX"&amp;$C407&amp;"D=",{"BID","ASK"},CHOOSE({1,2},IF(AO$401,AO246,AO124/AO$11),IF(AO$401,AO246,AO124)),"SCOPE:SERVER"),"RT_FALSE")</f>
        <v>RT_FALSE</v>
      </c>
      <c r="AP407" s="1" t="str">
        <f>IF(AND(AP$400,COUNTA(AP$404:AP406)+4&lt;=MATCH(AP$402,Tenors_set,0)),_xll.RtContribute(AP$403,AP$3&amp;"FX"&amp;$C407&amp;"D=",{"BID","ASK"},CHOOSE({1,2},IF(AP$401,AP246,AP124/AP$11),IF(AP$401,AP246,AP124)),"SCOPE:SERVER"),"RT_FALSE")</f>
        <v>RT_FALSE</v>
      </c>
    </row>
    <row r="408" spans="3:42" x14ac:dyDescent="0.2">
      <c r="C408" s="1" t="s">
        <v>55</v>
      </c>
      <c r="E408" s="1" t="str">
        <f>IF(AND(E$400,COUNTA(E$404:E407)+4&lt;=MATCH(E$402,Tenors_set,0)),_xll.RtContribute(E$403,E$3&amp;"FX"&amp;$C408&amp;"D=",{"BID","ASK"},CHOOSE({1,2},IF(E$401,E247,E125/E$11),IF(E$401,E247,E125)),"SCOPE:SERVER"),"RT_FALSE")</f>
        <v>RT_FALSE</v>
      </c>
      <c r="F408" s="1" t="str">
        <f>IF(AND(F$400,COUNTA(F$404:F407)+4&lt;=MATCH(F$402,Tenors_set,0)),_xll.RtContribute(F$403,F$3&amp;"FX"&amp;$C408&amp;"D=",{"BID","ASK"},CHOOSE({1,2},IF(F$401,F247,F125/F$11),IF(F$401,F247,F125)),"SCOPE:SERVER"),"RT_FALSE")</f>
        <v>RT_FALSE</v>
      </c>
      <c r="G408" s="1" t="str">
        <f>IF(AND(G$400,COUNTA(G$404:G407)+4&lt;=MATCH(G$402,Tenors_set,0)),_xll.RtContribute(G$403,G$3&amp;"FX"&amp;$C408&amp;"D=",{"BID","ASK"},CHOOSE({1,2},IF(G$401,G247,G125/G$11),IF(G$401,G247,G125)),"SCOPE:SERVER"),"RT_FALSE")</f>
        <v>RT_FALSE</v>
      </c>
      <c r="H408" s="1" t="str">
        <f>IF(AND(H$400,COUNTA(H$404:H407)+4&lt;=MATCH(H$402,Tenors_set,0)),_xll.RtContribute(H$403,H$3&amp;"FX"&amp;$C408&amp;"D=",{"BID","ASK"},CHOOSE({1,2},IF(H$401,H247,H125/H$11),IF(H$401,H247,H125)),"SCOPE:SERVER"),"RT_FALSE")</f>
        <v>RT_FALSE</v>
      </c>
      <c r="I408" s="1" t="str">
        <f>IF(AND(I$400,COUNTA(I$404:I407)+4&lt;=MATCH(I$402,Tenors_set,0)),_xll.RtContribute(I$403,I$3&amp;"FX"&amp;$C408&amp;"D=",{"BID","ASK"},CHOOSE({1,2},IF(I$401,I247,I125/I$11),IF(I$401,I247,I125)),"SCOPE:SERVER"),"RT_FALSE")</f>
        <v>RT_FALSE</v>
      </c>
      <c r="J408" s="1" t="str">
        <f>IF(AND(J$400,COUNTA(J$404:J407)+4&lt;=MATCH(J$402,Tenors_set,0)),_xll.RtContribute(J$403,J$3&amp;"FX"&amp;$C408&amp;"D=",{"BID","ASK"},CHOOSE({1,2},IF(J$401,J247,J125/J$11),IF(J$401,J247,J125)),"SCOPE:SERVER"),"RT_FALSE")</f>
        <v>RT_FALSE</v>
      </c>
      <c r="K408" s="1" t="str">
        <f>IF(AND(K$400,COUNTA(K$404:K407)+4&lt;=MATCH(K$402,Tenors_set,0)),_xll.RtContribute(K$403,K$3&amp;"FX"&amp;$C408&amp;"D=",{"BID","ASK"},CHOOSE({1,2},IF(K$401,K247,K125/K$11),IF(K$401,K247,K125)),"SCOPE:SERVER"),"RT_FALSE")</f>
        <v>RT_FALSE</v>
      </c>
      <c r="L408" s="1" t="str">
        <f>IF(AND(L$400,COUNTA(L$404:L407)+4&lt;=MATCH(L$402,Tenors_set,0)),_xll.RtContribute(L$403,L$3&amp;"FX"&amp;$C408&amp;"D=",{"BID","ASK"},CHOOSE({1,2},IF(L$401,L247,L125/L$11),IF(L$401,L247,L125)),"SCOPE:SERVER"),"RT_FALSE")</f>
        <v>RT_FALSE</v>
      </c>
      <c r="M408" s="1" t="str">
        <f>IF(AND(M$400,COUNTA(M$404:M407)+4&lt;=MATCH(M$402,Tenors_set,0)),_xll.RtContribute(M$403,M$3&amp;"FX"&amp;$C408&amp;"D=",{"BID","ASK"},CHOOSE({1,2},IF(M$401,M247,M125/M$11),IF(M$401,M247,M125)),"SCOPE:SERVER"),"RT_FALSE")</f>
        <v>RT_FALSE</v>
      </c>
      <c r="N408" s="1" t="str">
        <f>IF(AND(N$400,COUNTA(N$404:N407)+4&lt;=MATCH(N$402,Tenors_set,0)),_xll.RtContribute(N$403,N$3&amp;"FX"&amp;$C408&amp;"D=",{"BID","ASK"},CHOOSE({1,2},IF(N$401,N247,N125/N$11),IF(N$401,N247,N125)),"SCOPE:SERVER"),"RT_FALSE")</f>
        <v>RT_FALSE</v>
      </c>
      <c r="O408" s="1" t="str">
        <f>IF(AND(O$400,COUNTA(O$404:O407)+4&lt;=MATCH(O$402,Tenors_set,0)),_xll.RtContribute(O$403,O$3&amp;"FX"&amp;$C408&amp;"D=",{"BID","ASK"},CHOOSE({1,2},IF(O$401,O247,O125/O$11),IF(O$401,O247,O125)),"SCOPE:SERVER"),"RT_FALSE")</f>
        <v>RT_FALSE</v>
      </c>
      <c r="P408" s="1" t="str">
        <f>IF(AND(P$400,COUNTA(P$404:P407)+4&lt;=MATCH(P$402,Tenors_set,0)),_xll.RtContribute(P$403,P$3&amp;"FX"&amp;$C408&amp;"D=",{"BID","ASK"},CHOOSE({1,2},IF(P$401,P247,P125/P$11),IF(P$401,P247,P125)),"SCOPE:SERVER"),"RT_FALSE")</f>
        <v>RT_FALSE</v>
      </c>
      <c r="Q408" s="1" t="str">
        <f>IF(AND(Q$400,COUNTA(Q$404:Q407)+4&lt;=MATCH(Q$402,Tenors_set,0)),_xll.RtContribute(Q$403,Q$3&amp;"FX"&amp;$C408&amp;"D=",{"BID","ASK"},CHOOSE({1,2},IF(Q$401,Q247,Q125/Q$11),IF(Q$401,Q247,Q125)),"SCOPE:SERVER"),"RT_FALSE")</f>
        <v>RT_FALSE</v>
      </c>
      <c r="R408" s="1" t="str">
        <f>IF(AND(R$400,COUNTA(R$404:R407)+4&lt;=MATCH(R$402,Tenors_set,0)),_xll.RtContribute(R$403,R$3&amp;"FX"&amp;$C408&amp;"D=",{"BID","ASK"},CHOOSE({1,2},IF(R$401,R247,R125/R$11),IF(R$401,R247,R125)),"SCOPE:SERVER"),"RT_FALSE")</f>
        <v>RT_FALSE</v>
      </c>
      <c r="S408" s="1" t="str">
        <f>IF(AND(S$400,COUNTA(S$404:S407)+4&lt;=MATCH(S$402,Tenors_set,0)),_xll.RtContribute(S$403,S$3&amp;"FX"&amp;$C408&amp;"D=",{"BID","ASK"},CHOOSE({1,2},IF(S$401,S247,S125/S$11),IF(S$401,S247,S125)),"SCOPE:SERVER"),"RT_FALSE")</f>
        <v>RT_FALSE</v>
      </c>
      <c r="T408" s="1" t="str">
        <f>IF(AND(T$400,COUNTA(T$404:T407)+4&lt;=MATCH(T$402,Tenors_set,0)),_xll.RtContribute(T$403,T$3&amp;"FX"&amp;$C408&amp;"D=",{"BID","ASK"},CHOOSE({1,2},IF(T$401,T247,T125/T$11),IF(T$401,T247,T125)),"SCOPE:SERVER"),"RT_FALSE")</f>
        <v>RT_FALSE</v>
      </c>
      <c r="U408" s="1" t="str">
        <f>IF(AND(U$400,COUNTA(U$404:U407)+4&lt;=MATCH(U$402,Tenors_set,0)),_xll.RtContribute(U$403,U$3&amp;"FX"&amp;$C408&amp;"D=",{"BID","ASK"},CHOOSE({1,2},IF(U$401,U247,U125/U$11),IF(U$401,U247,U125)),"SCOPE:SERVER"),"RT_FALSE")</f>
        <v>RT_FALSE</v>
      </c>
      <c r="V408" s="1" t="str">
        <f>IF(AND(V$400,COUNTA(V$404:V407)+4&lt;=MATCH(V$402,Tenors_set,0)),_xll.RtContribute(V$403,V$3&amp;"FX"&amp;$C408&amp;"D=",{"BID","ASK"},CHOOSE({1,2},IF(V$401,V247,V125/V$11),IF(V$401,V247,V125)),"SCOPE:SERVER"),"RT_FALSE")</f>
        <v>RT_FALSE</v>
      </c>
      <c r="W408" s="1" t="str">
        <f>IF(AND(W$400,COUNTA(W$404:W407)+4&lt;=MATCH(W$402,Tenors_set,0)),_xll.RtContribute(W$403,W$3&amp;"FX"&amp;$C408&amp;"D=",{"BID","ASK"},CHOOSE({1,2},IF(W$401,W247,W125/W$11),IF(W$401,W247,W125)),"SCOPE:SERVER"),"RT_FALSE")</f>
        <v>RT_FALSE</v>
      </c>
      <c r="X408" s="1" t="str">
        <f>IF(AND(X$400,COUNTA(X$404:X407)+4&lt;=MATCH(X$402,Tenors_set,0)),_xll.RtContribute(X$403,X$3&amp;"FX"&amp;$C408&amp;"D=",{"BID","ASK"},CHOOSE({1,2},IF(X$401,X247,X125/X$11),IF(X$401,X247,X125)),"SCOPE:SERVER"),"RT_FALSE")</f>
        <v>RT_FALSE</v>
      </c>
      <c r="Y408" s="1" t="str">
        <f>IF(AND(Y$400,COUNTA(Y$404:Y407)+4&lt;=MATCH(Y$402,Tenors_set,0)),_xll.RtContribute(Y$403,Y$3&amp;"FX"&amp;$C408&amp;"D=",{"BID","ASK"},CHOOSE({1,2},IF(Y$401,Y247,Y125/Y$11),IF(Y$401,Y247,Y125)),"SCOPE:SERVER"),"RT_FALSE")</f>
        <v>RT_FALSE</v>
      </c>
      <c r="Z408" s="1" t="str">
        <f>IF(AND(Z$400,COUNTA(Z$404:Z407)+4&lt;=MATCH(Z$402,Tenors_set,0)),_xll.RtContribute(Z$403,Z$3&amp;"FX"&amp;$C408&amp;"D=",{"BID","ASK"},CHOOSE({1,2},IF(Z$401,Z247,Z125/Z$11),IF(Z$401,Z247,Z125)),"SCOPE:SERVER"),"RT_FALSE")</f>
        <v>RT_FALSE</v>
      </c>
      <c r="AA408" s="1" t="str">
        <f>IF(AND(AA$400,COUNTA(AA$404:AA407)+4&lt;=MATCH(AA$402,Tenors_set,0)),_xll.RtContribute(AA$403,AA$3&amp;"FX"&amp;$C408&amp;"D=",{"BID","ASK"},CHOOSE({1,2},IF(AA$401,AA247,AA125/AA$11),IF(AA$401,AA247,AA125)),"SCOPE:SERVER"),"RT_FALSE")</f>
        <v>RT_FALSE</v>
      </c>
      <c r="AB408" s="1" t="str">
        <f>IF(AND(AB$400,COUNTA(AB$404:AB407)+4&lt;=MATCH(AB$402,Tenors_set,0)),_xll.RtContribute(AB$403,AB$3&amp;"FX"&amp;$C408&amp;"D=",{"BID","ASK"},CHOOSE({1,2},IF(AB$401,AB247,AB125/AB$11),IF(AB$401,AB247,AB125)),"SCOPE:SERVER"),"RT_FALSE")</f>
        <v>RT_FALSE</v>
      </c>
      <c r="AC408" s="1" t="str">
        <f>IF(AND(AC$400,COUNTA(AC$404:AC407)+4&lt;=MATCH(AC$402,Tenors_set,0)),_xll.RtContribute(AC$403,AC$3&amp;"FX"&amp;$C408&amp;"D=",{"BID","ASK"},CHOOSE({1,2},IF(AC$401,AC247,AC125/AC$11),IF(AC$401,AC247,AC125)),"SCOPE:SERVER"),"RT_FALSE")</f>
        <v>RT_FALSE</v>
      </c>
      <c r="AD408" s="1" t="str">
        <f>IF(AND(AD$400,COUNTA(AD$404:AD407)+4&lt;=MATCH(AD$402,Tenors_set,0)),_xll.RtContribute(AD$403,AD$3&amp;"FX"&amp;$C408&amp;"D=",{"BID","ASK"},CHOOSE({1,2},IF(AD$401,AD247,AD125/AD$11),IF(AD$401,AD247,AD125)),"SCOPE:SERVER"),"RT_FALSE")</f>
        <v>RT_FALSE</v>
      </c>
      <c r="AE408" s="1" t="str">
        <f>IF(AND(AE$400,COUNTA(AE$404:AE407)+4&lt;=MATCH(AE$402,Tenors_set,0)),_xll.RtContribute(AE$403,AE$3&amp;"FX"&amp;$C408&amp;"D=",{"BID","ASK"},CHOOSE({1,2},IF(AE$401,AE247,AE125/AE$11),IF(AE$401,AE247,AE125)),"SCOPE:SERVER"),"RT_FALSE")</f>
        <v>RT_FALSE</v>
      </c>
      <c r="AF408" s="1" t="str">
        <f>IF(AND(AF$400,COUNTA(AF$404:AF407)+4&lt;=MATCH(AF$402,Tenors_set,0)),_xll.RtContribute(AF$403,AF$3&amp;"FX"&amp;$C408&amp;"D=",{"BID","ASK"},CHOOSE({1,2},IF(AF$401,AF247,AF125/AF$11),IF(AF$401,AF247,AF125)),"SCOPE:SERVER"),"RT_FALSE")</f>
        <v>RT_FALSE</v>
      </c>
      <c r="AG408" s="1" t="str">
        <f>IF(AND(AG$400,COUNTA(AG$404:AG407)+4&lt;=MATCH(AG$402,Tenors_set,0)),_xll.RtContribute(AG$403,AG$3&amp;"FX"&amp;$C408&amp;"D=",{"BID","ASK"},CHOOSE({1,2},IF(AG$401,AG247,AG125/AG$11),IF(AG$401,AG247,AG125)),"SCOPE:SERVER"),"RT_FALSE")</f>
        <v>RT_FALSE</v>
      </c>
      <c r="AH408" s="1" t="str">
        <f>IF(AND(AH$400,COUNTA(AH$404:AH407)+4&lt;=MATCH(AH$402,Tenors_set,0)),_xll.RtContribute(AH$403,AH$3&amp;"FX"&amp;$C408&amp;"D=",{"BID","ASK"},CHOOSE({1,2},IF(AH$401,AH247,AH125/AH$11),IF(AH$401,AH247,AH125)),"SCOPE:SERVER"),"RT_FALSE")</f>
        <v>RT_FALSE</v>
      </c>
      <c r="AI408" s="1" t="str">
        <f>IF(AND(AI$400,COUNTA(AI$404:AI407)+4&lt;=MATCH(AI$402,Tenors_set,0)),_xll.RtContribute(AI$403,AI$3&amp;"FX"&amp;$C408&amp;"D=",{"BID","ASK"},CHOOSE({1,2},IF(AI$401,AI247,AI125/AI$11),IF(AI$401,AI247,AI125)),"SCOPE:SERVER"),"RT_FALSE")</f>
        <v>RT_FALSE</v>
      </c>
      <c r="AJ408" s="1" t="str">
        <f>IF(AND(AJ$400,COUNTA(AJ$404:AJ407)+4&lt;=MATCH(AJ$402,Tenors_set,0)),_xll.RtContribute(AJ$403,AJ$3&amp;"FX"&amp;$C408&amp;"D=",{"BID","ASK"},CHOOSE({1,2},IF(AJ$401,AJ247,AJ125/AJ$11),IF(AJ$401,AJ247,AJ125)),"SCOPE:SERVER"),"RT_FALSE")</f>
        <v>RT_FALSE</v>
      </c>
      <c r="AK408" s="1" t="str">
        <f>IF(AND(AK$400,COUNTA(AK$404:AK407)+4&lt;=MATCH(AK$402,Tenors_set,0)),_xll.RtContribute(AK$403,AK$3&amp;"FX"&amp;$C408&amp;"D=",{"BID","ASK"},CHOOSE({1,2},IF(AK$401,AK247,AK125/AK$11),IF(AK$401,AK247,AK125)),"SCOPE:SERVER"),"RT_FALSE")</f>
        <v>RT_FALSE</v>
      </c>
      <c r="AL408" s="1" t="str">
        <f>IF(AND(AL$400,COUNTA(AL$404:AL407)+4&lt;=MATCH(AL$402,Tenors_set,0)),_xll.RtContribute(AL$403,AL$3&amp;"FX"&amp;$C408&amp;"D=",{"BID","ASK"},CHOOSE({1,2},IF(AL$401,AL247,AL125/AL$11),IF(AL$401,AL247,AL125)),"SCOPE:SERVER"),"RT_FALSE")</f>
        <v>RT_FALSE</v>
      </c>
      <c r="AM408" s="1" t="str">
        <f>IF(AND(AM$400,COUNTA(AM$404:AM407)+4&lt;=MATCH(AM$402,Tenors_set,0)),_xll.RtContribute(AM$403,AM$3&amp;"FX"&amp;$C408&amp;"D=",{"BID","ASK"},CHOOSE({1,2},IF(AM$401,AM247,AM125/AM$11),IF(AM$401,AM247,AM125)),"SCOPE:SERVER"),"RT_FALSE")</f>
        <v>RT_FALSE</v>
      </c>
      <c r="AN408" s="1" t="str">
        <f>IF(AND(AN$400,COUNTA(AN$404:AN407)+4&lt;=MATCH(AN$402,Tenors_set,0)),_xll.RtContribute(AN$403,AN$3&amp;"FX"&amp;$C408&amp;"D=",{"BID","ASK"},CHOOSE({1,2},IF(AN$401,AN247,AN125/AN$11),IF(AN$401,AN247,AN125)),"SCOPE:SERVER"),"RT_FALSE")</f>
        <v>RT_FALSE</v>
      </c>
      <c r="AO408" s="1" t="str">
        <f>IF(AND(AO$400,COUNTA(AO$404:AO407)+4&lt;=MATCH(AO$402,Tenors_set,0)),_xll.RtContribute(AO$403,AO$3&amp;"FX"&amp;$C408&amp;"D=",{"BID","ASK"},CHOOSE({1,2},IF(AO$401,AO247,AO125/AO$11),IF(AO$401,AO247,AO125)),"SCOPE:SERVER"),"RT_FALSE")</f>
        <v>RT_FALSE</v>
      </c>
      <c r="AP408" s="1" t="str">
        <f>IF(AND(AP$400,COUNTA(AP$404:AP407)+4&lt;=MATCH(AP$402,Tenors_set,0)),_xll.RtContribute(AP$403,AP$3&amp;"FX"&amp;$C408&amp;"D=",{"BID","ASK"},CHOOSE({1,2},IF(AP$401,AP247,AP125/AP$11),IF(AP$401,AP247,AP125)),"SCOPE:SERVER"),"RT_FALSE")</f>
        <v>RT_FALSE</v>
      </c>
    </row>
    <row r="409" spans="3:42" x14ac:dyDescent="0.2">
      <c r="C409" s="1" t="s">
        <v>63</v>
      </c>
      <c r="E409" s="1" t="str">
        <f>IF(AND(E$400,COUNTA(E$404:E408)+4&lt;=MATCH(E$402,Tenors_set,0)),_xll.RtContribute(E$403,E$3&amp;"FX"&amp;$C409&amp;"D=",{"BID","ASK"},CHOOSE({1,2},IF(E$401,E248,E126/E$11),IF(E$401,E248,E126)),"SCOPE:SERVER"),"RT_FALSE")</f>
        <v>RT_FALSE</v>
      </c>
      <c r="F409" s="1" t="str">
        <f>IF(AND(F$400,COUNTA(F$404:F408)+4&lt;=MATCH(F$402,Tenors_set,0)),_xll.RtContribute(F$403,F$3&amp;"FX"&amp;$C409&amp;"D=",{"BID","ASK"},CHOOSE({1,2},IF(F$401,F248,F126/F$11),IF(F$401,F248,F126)),"SCOPE:SERVER"),"RT_FALSE")</f>
        <v>RT_FALSE</v>
      </c>
      <c r="G409" s="1" t="str">
        <f>IF(AND(G$400,COUNTA(G$404:G408)+4&lt;=MATCH(G$402,Tenors_set,0)),_xll.RtContribute(G$403,G$3&amp;"FX"&amp;$C409&amp;"D=",{"BID","ASK"},CHOOSE({1,2},IF(G$401,G248,G126/G$11),IF(G$401,G248,G126)),"SCOPE:SERVER"),"RT_FALSE")</f>
        <v>RT_FALSE</v>
      </c>
      <c r="H409" s="1" t="str">
        <f>IF(AND(H$400,COUNTA(H$404:H408)+4&lt;=MATCH(H$402,Tenors_set,0)),_xll.RtContribute(H$403,H$3&amp;"FX"&amp;$C409&amp;"D=",{"BID","ASK"},CHOOSE({1,2},IF(H$401,H248,H126/H$11),IF(H$401,H248,H126)),"SCOPE:SERVER"),"RT_FALSE")</f>
        <v>RT_FALSE</v>
      </c>
      <c r="I409" s="1" t="str">
        <f>IF(AND(I$400,COUNTA(I$404:I408)+4&lt;=MATCH(I$402,Tenors_set,0)),_xll.RtContribute(I$403,I$3&amp;"FX"&amp;$C409&amp;"D=",{"BID","ASK"},CHOOSE({1,2},IF(I$401,I248,I126/I$11),IF(I$401,I248,I126)),"SCOPE:SERVER"),"RT_FALSE")</f>
        <v>RT_FALSE</v>
      </c>
      <c r="J409" s="1" t="str">
        <f>IF(AND(J$400,COUNTA(J$404:J408)+4&lt;=MATCH(J$402,Tenors_set,0)),_xll.RtContribute(J$403,J$3&amp;"FX"&amp;$C409&amp;"D=",{"BID","ASK"},CHOOSE({1,2},IF(J$401,J248,J126/J$11),IF(J$401,J248,J126)),"SCOPE:SERVER"),"RT_FALSE")</f>
        <v>RT_FALSE</v>
      </c>
      <c r="K409" s="1" t="str">
        <f>IF(AND(K$400,COUNTA(K$404:K408)+4&lt;=MATCH(K$402,Tenors_set,0)),_xll.RtContribute(K$403,K$3&amp;"FX"&amp;$C409&amp;"D=",{"BID","ASK"},CHOOSE({1,2},IF(K$401,K248,K126/K$11),IF(K$401,K248,K126)),"SCOPE:SERVER"),"RT_FALSE")</f>
        <v>RT_FALSE</v>
      </c>
      <c r="L409" s="1" t="str">
        <f>IF(AND(L$400,COUNTA(L$404:L408)+4&lt;=MATCH(L$402,Tenors_set,0)),_xll.RtContribute(L$403,L$3&amp;"FX"&amp;$C409&amp;"D=",{"BID","ASK"},CHOOSE({1,2},IF(L$401,L248,L126/L$11),IF(L$401,L248,L126)),"SCOPE:SERVER"),"RT_FALSE")</f>
        <v>RT_FALSE</v>
      </c>
      <c r="M409" s="1" t="str">
        <f>IF(AND(M$400,COUNTA(M$404:M408)+4&lt;=MATCH(M$402,Tenors_set,0)),_xll.RtContribute(M$403,M$3&amp;"FX"&amp;$C409&amp;"D=",{"BID","ASK"},CHOOSE({1,2},IF(M$401,M248,M126/M$11),IF(M$401,M248,M126)),"SCOPE:SERVER"),"RT_FALSE")</f>
        <v>RT_FALSE</v>
      </c>
      <c r="N409" s="1" t="str">
        <f>IF(AND(N$400,COUNTA(N$404:N408)+4&lt;=MATCH(N$402,Tenors_set,0)),_xll.RtContribute(N$403,N$3&amp;"FX"&amp;$C409&amp;"D=",{"BID","ASK"},CHOOSE({1,2},IF(N$401,N248,N126/N$11),IF(N$401,N248,N126)),"SCOPE:SERVER"),"RT_FALSE")</f>
        <v>RT_FALSE</v>
      </c>
      <c r="O409" s="1" t="str">
        <f>IF(AND(O$400,COUNTA(O$404:O408)+4&lt;=MATCH(O$402,Tenors_set,0)),_xll.RtContribute(O$403,O$3&amp;"FX"&amp;$C409&amp;"D=",{"BID","ASK"},CHOOSE({1,2},IF(O$401,O248,O126/O$11),IF(O$401,O248,O126)),"SCOPE:SERVER"),"RT_FALSE")</f>
        <v>RT_FALSE</v>
      </c>
      <c r="P409" s="1" t="str">
        <f>IF(AND(P$400,COUNTA(P$404:P408)+4&lt;=MATCH(P$402,Tenors_set,0)),_xll.RtContribute(P$403,P$3&amp;"FX"&amp;$C409&amp;"D=",{"BID","ASK"},CHOOSE({1,2},IF(P$401,P248,P126/P$11),IF(P$401,P248,P126)),"SCOPE:SERVER"),"RT_FALSE")</f>
        <v>RT_FALSE</v>
      </c>
      <c r="Q409" s="1" t="str">
        <f>IF(AND(Q$400,COUNTA(Q$404:Q408)+4&lt;=MATCH(Q$402,Tenors_set,0)),_xll.RtContribute(Q$403,Q$3&amp;"FX"&amp;$C409&amp;"D=",{"BID","ASK"},CHOOSE({1,2},IF(Q$401,Q248,Q126/Q$11),IF(Q$401,Q248,Q126)),"SCOPE:SERVER"),"RT_FALSE")</f>
        <v>RT_FALSE</v>
      </c>
      <c r="R409" s="1" t="str">
        <f>IF(AND(R$400,COUNTA(R$404:R408)+4&lt;=MATCH(R$402,Tenors_set,0)),_xll.RtContribute(R$403,R$3&amp;"FX"&amp;$C409&amp;"D=",{"BID","ASK"},CHOOSE({1,2},IF(R$401,R248,R126/R$11),IF(R$401,R248,R126)),"SCOPE:SERVER"),"RT_FALSE")</f>
        <v>RT_FALSE</v>
      </c>
      <c r="S409" s="1" t="str">
        <f>IF(AND(S$400,COUNTA(S$404:S408)+4&lt;=MATCH(S$402,Tenors_set,0)),_xll.RtContribute(S$403,S$3&amp;"FX"&amp;$C409&amp;"D=",{"BID","ASK"},CHOOSE({1,2},IF(S$401,S248,S126/S$11),IF(S$401,S248,S126)),"SCOPE:SERVER"),"RT_FALSE")</f>
        <v>RT_FALSE</v>
      </c>
      <c r="T409" s="1" t="str">
        <f>IF(AND(T$400,COUNTA(T$404:T408)+4&lt;=MATCH(T$402,Tenors_set,0)),_xll.RtContribute(T$403,T$3&amp;"FX"&amp;$C409&amp;"D=",{"BID","ASK"},CHOOSE({1,2},IF(T$401,T248,T126/T$11),IF(T$401,T248,T126)),"SCOPE:SERVER"),"RT_FALSE")</f>
        <v>RT_FALSE</v>
      </c>
      <c r="U409" s="1" t="str">
        <f>IF(AND(U$400,COUNTA(U$404:U408)+4&lt;=MATCH(U$402,Tenors_set,0)),_xll.RtContribute(U$403,U$3&amp;"FX"&amp;$C409&amp;"D=",{"BID","ASK"},CHOOSE({1,2},IF(U$401,U248,U126/U$11),IF(U$401,U248,U126)),"SCOPE:SERVER"),"RT_FALSE")</f>
        <v>RT_FALSE</v>
      </c>
      <c r="V409" s="1" t="str">
        <f>IF(AND(V$400,COUNTA(V$404:V408)+4&lt;=MATCH(V$402,Tenors_set,0)),_xll.RtContribute(V$403,V$3&amp;"FX"&amp;$C409&amp;"D=",{"BID","ASK"},CHOOSE({1,2},IF(V$401,V248,V126/V$11),IF(V$401,V248,V126)),"SCOPE:SERVER"),"RT_FALSE")</f>
        <v>RT_FALSE</v>
      </c>
      <c r="W409" s="1" t="str">
        <f>IF(AND(W$400,COUNTA(W$404:W408)+4&lt;=MATCH(W$402,Tenors_set,0)),_xll.RtContribute(W$403,W$3&amp;"FX"&amp;$C409&amp;"D=",{"BID","ASK"},CHOOSE({1,2},IF(W$401,W248,W126/W$11),IF(W$401,W248,W126)),"SCOPE:SERVER"),"RT_FALSE")</f>
        <v>RT_FALSE</v>
      </c>
      <c r="X409" s="1" t="str">
        <f>IF(AND(X$400,COUNTA(X$404:X408)+4&lt;=MATCH(X$402,Tenors_set,0)),_xll.RtContribute(X$403,X$3&amp;"FX"&amp;$C409&amp;"D=",{"BID","ASK"},CHOOSE({1,2},IF(X$401,X248,X126/X$11),IF(X$401,X248,X126)),"SCOPE:SERVER"),"RT_FALSE")</f>
        <v>RT_FALSE</v>
      </c>
      <c r="Y409" s="1" t="str">
        <f>IF(AND(Y$400,COUNTA(Y$404:Y408)+4&lt;=MATCH(Y$402,Tenors_set,0)),_xll.RtContribute(Y$403,Y$3&amp;"FX"&amp;$C409&amp;"D=",{"BID","ASK"},CHOOSE({1,2},IF(Y$401,Y248,Y126/Y$11),IF(Y$401,Y248,Y126)),"SCOPE:SERVER"),"RT_FALSE")</f>
        <v>RT_FALSE</v>
      </c>
      <c r="Z409" s="1" t="str">
        <f>IF(AND(Z$400,COUNTA(Z$404:Z408)+4&lt;=MATCH(Z$402,Tenors_set,0)),_xll.RtContribute(Z$403,Z$3&amp;"FX"&amp;$C409&amp;"D=",{"BID","ASK"},CHOOSE({1,2},IF(Z$401,Z248,Z126/Z$11),IF(Z$401,Z248,Z126)),"SCOPE:SERVER"),"RT_FALSE")</f>
        <v>RT_FALSE</v>
      </c>
      <c r="AA409" s="1" t="str">
        <f>IF(AND(AA$400,COUNTA(AA$404:AA408)+4&lt;=MATCH(AA$402,Tenors_set,0)),_xll.RtContribute(AA$403,AA$3&amp;"FX"&amp;$C409&amp;"D=",{"BID","ASK"},CHOOSE({1,2},IF(AA$401,AA248,AA126/AA$11),IF(AA$401,AA248,AA126)),"SCOPE:SERVER"),"RT_FALSE")</f>
        <v>RT_FALSE</v>
      </c>
      <c r="AB409" s="1" t="str">
        <f>IF(AND(AB$400,COUNTA(AB$404:AB408)+4&lt;=MATCH(AB$402,Tenors_set,0)),_xll.RtContribute(AB$403,AB$3&amp;"FX"&amp;$C409&amp;"D=",{"BID","ASK"},CHOOSE({1,2},IF(AB$401,AB248,AB126/AB$11),IF(AB$401,AB248,AB126)),"SCOPE:SERVER"),"RT_FALSE")</f>
        <v>RT_FALSE</v>
      </c>
      <c r="AC409" s="1" t="str">
        <f>IF(AND(AC$400,COUNTA(AC$404:AC408)+4&lt;=MATCH(AC$402,Tenors_set,0)),_xll.RtContribute(AC$403,AC$3&amp;"FX"&amp;$C409&amp;"D=",{"BID","ASK"},CHOOSE({1,2},IF(AC$401,AC248,AC126/AC$11),IF(AC$401,AC248,AC126)),"SCOPE:SERVER"),"RT_FALSE")</f>
        <v>RT_FALSE</v>
      </c>
      <c r="AD409" s="1" t="str">
        <f>IF(AND(AD$400,COUNTA(AD$404:AD408)+4&lt;=MATCH(AD$402,Tenors_set,0)),_xll.RtContribute(AD$403,AD$3&amp;"FX"&amp;$C409&amp;"D=",{"BID","ASK"},CHOOSE({1,2},IF(AD$401,AD248,AD126/AD$11),IF(AD$401,AD248,AD126)),"SCOPE:SERVER"),"RT_FALSE")</f>
        <v>RT_FALSE</v>
      </c>
      <c r="AE409" s="1" t="str">
        <f>IF(AND(AE$400,COUNTA(AE$404:AE408)+4&lt;=MATCH(AE$402,Tenors_set,0)),_xll.RtContribute(AE$403,AE$3&amp;"FX"&amp;$C409&amp;"D=",{"BID","ASK"},CHOOSE({1,2},IF(AE$401,AE248,AE126/AE$11),IF(AE$401,AE248,AE126)),"SCOPE:SERVER"),"RT_FALSE")</f>
        <v>RT_FALSE</v>
      </c>
      <c r="AF409" s="1" t="str">
        <f>IF(AND(AF$400,COUNTA(AF$404:AF408)+4&lt;=MATCH(AF$402,Tenors_set,0)),_xll.RtContribute(AF$403,AF$3&amp;"FX"&amp;$C409&amp;"D=",{"BID","ASK"},CHOOSE({1,2},IF(AF$401,AF248,AF126/AF$11),IF(AF$401,AF248,AF126)),"SCOPE:SERVER"),"RT_FALSE")</f>
        <v>RT_FALSE</v>
      </c>
      <c r="AG409" s="1" t="str">
        <f>IF(AND(AG$400,COUNTA(AG$404:AG408)+4&lt;=MATCH(AG$402,Tenors_set,0)),_xll.RtContribute(AG$403,AG$3&amp;"FX"&amp;$C409&amp;"D=",{"BID","ASK"},CHOOSE({1,2},IF(AG$401,AG248,AG126/AG$11),IF(AG$401,AG248,AG126)),"SCOPE:SERVER"),"RT_FALSE")</f>
        <v>RT_FALSE</v>
      </c>
      <c r="AH409" s="1" t="str">
        <f>IF(AND(AH$400,COUNTA(AH$404:AH408)+4&lt;=MATCH(AH$402,Tenors_set,0)),_xll.RtContribute(AH$403,AH$3&amp;"FX"&amp;$C409&amp;"D=",{"BID","ASK"},CHOOSE({1,2},IF(AH$401,AH248,AH126/AH$11),IF(AH$401,AH248,AH126)),"SCOPE:SERVER"),"RT_FALSE")</f>
        <v>RT_FALSE</v>
      </c>
      <c r="AI409" s="1" t="str">
        <f>IF(AND(AI$400,COUNTA(AI$404:AI408)+4&lt;=MATCH(AI$402,Tenors_set,0)),_xll.RtContribute(AI$403,AI$3&amp;"FX"&amp;$C409&amp;"D=",{"BID","ASK"},CHOOSE({1,2},IF(AI$401,AI248,AI126/AI$11),IF(AI$401,AI248,AI126)),"SCOPE:SERVER"),"RT_FALSE")</f>
        <v>RT_FALSE</v>
      </c>
      <c r="AJ409" s="1" t="str">
        <f>IF(AND(AJ$400,COUNTA(AJ$404:AJ408)+4&lt;=MATCH(AJ$402,Tenors_set,0)),_xll.RtContribute(AJ$403,AJ$3&amp;"FX"&amp;$C409&amp;"D=",{"BID","ASK"},CHOOSE({1,2},IF(AJ$401,AJ248,AJ126/AJ$11),IF(AJ$401,AJ248,AJ126)),"SCOPE:SERVER"),"RT_FALSE")</f>
        <v>RT_FALSE</v>
      </c>
      <c r="AK409" s="1" t="str">
        <f>IF(AND(AK$400,COUNTA(AK$404:AK408)+4&lt;=MATCH(AK$402,Tenors_set,0)),_xll.RtContribute(AK$403,AK$3&amp;"FX"&amp;$C409&amp;"D=",{"BID","ASK"},CHOOSE({1,2},IF(AK$401,AK248,AK126/AK$11),IF(AK$401,AK248,AK126)),"SCOPE:SERVER"),"RT_FALSE")</f>
        <v>RT_FALSE</v>
      </c>
      <c r="AL409" s="1" t="str">
        <f>IF(AND(AL$400,COUNTA(AL$404:AL408)+4&lt;=MATCH(AL$402,Tenors_set,0)),_xll.RtContribute(AL$403,AL$3&amp;"FX"&amp;$C409&amp;"D=",{"BID","ASK"},CHOOSE({1,2},IF(AL$401,AL248,AL126/AL$11),IF(AL$401,AL248,AL126)),"SCOPE:SERVER"),"RT_FALSE")</f>
        <v>RT_FALSE</v>
      </c>
      <c r="AM409" s="1" t="str">
        <f>IF(AND(AM$400,COUNTA(AM$404:AM408)+4&lt;=MATCH(AM$402,Tenors_set,0)),_xll.RtContribute(AM$403,AM$3&amp;"FX"&amp;$C409&amp;"D=",{"BID","ASK"},CHOOSE({1,2},IF(AM$401,AM248,AM126/AM$11),IF(AM$401,AM248,AM126)),"SCOPE:SERVER"),"RT_FALSE")</f>
        <v>RT_FALSE</v>
      </c>
      <c r="AN409" s="1" t="str">
        <f>IF(AND(AN$400,COUNTA(AN$404:AN408)+4&lt;=MATCH(AN$402,Tenors_set,0)),_xll.RtContribute(AN$403,AN$3&amp;"FX"&amp;$C409&amp;"D=",{"BID","ASK"},CHOOSE({1,2},IF(AN$401,AN248,AN126/AN$11),IF(AN$401,AN248,AN126)),"SCOPE:SERVER"),"RT_FALSE")</f>
        <v>RT_FALSE</v>
      </c>
      <c r="AO409" s="1" t="str">
        <f>IF(AND(AO$400,COUNTA(AO$404:AO408)+4&lt;=MATCH(AO$402,Tenors_set,0)),_xll.RtContribute(AO$403,AO$3&amp;"FX"&amp;$C409&amp;"D=",{"BID","ASK"},CHOOSE({1,2},IF(AO$401,AO248,AO126/AO$11),IF(AO$401,AO248,AO126)),"SCOPE:SERVER"),"RT_FALSE")</f>
        <v>RT_FALSE</v>
      </c>
      <c r="AP409" s="1" t="str">
        <f>IF(AND(AP$400,COUNTA(AP$404:AP408)+4&lt;=MATCH(AP$402,Tenors_set,0)),_xll.RtContribute(AP$403,AP$3&amp;"FX"&amp;$C409&amp;"D=",{"BID","ASK"},CHOOSE({1,2},IF(AP$401,AP248,AP126/AP$11),IF(AP$401,AP248,AP126)),"SCOPE:SERVER"),"RT_FALSE")</f>
        <v>RT_FALSE</v>
      </c>
    </row>
    <row r="410" spans="3:42" x14ac:dyDescent="0.2">
      <c r="C410" s="1" t="s">
        <v>66</v>
      </c>
      <c r="E410" s="1" t="str">
        <f>IF(AND(E$400,COUNTA(E$404:E409)+4&lt;=MATCH(E$402,Tenors_set,0)),_xll.RtContribute(E$403,E$3&amp;"FX"&amp;$C410&amp;"D=",{"BID","ASK"},CHOOSE({1,2},IF(E$401,E249,E127/E$11),IF(E$401,E249,E127)),"SCOPE:SERVER"),"RT_FALSE")</f>
        <v>RT_FALSE</v>
      </c>
      <c r="F410" s="1" t="str">
        <f>IF(AND(F$400,COUNTA(F$404:F409)+4&lt;=MATCH(F$402,Tenors_set,0)),_xll.RtContribute(F$403,F$3&amp;"FX"&amp;$C410&amp;"D=",{"BID","ASK"},CHOOSE({1,2},IF(F$401,F249,F127/F$11),IF(F$401,F249,F127)),"SCOPE:SERVER"),"RT_FALSE")</f>
        <v>RT_FALSE</v>
      </c>
      <c r="G410" s="1" t="str">
        <f>IF(AND(G$400,COUNTA(G$404:G409)+4&lt;=MATCH(G$402,Tenors_set,0)),_xll.RtContribute(G$403,G$3&amp;"FX"&amp;$C410&amp;"D=",{"BID","ASK"},CHOOSE({1,2},IF(G$401,G249,G127/G$11),IF(G$401,G249,G127)),"SCOPE:SERVER"),"RT_FALSE")</f>
        <v>RT_FALSE</v>
      </c>
      <c r="H410" s="1" t="str">
        <f>IF(AND(H$400,COUNTA(H$404:H409)+4&lt;=MATCH(H$402,Tenors_set,0)),_xll.RtContribute(H$403,H$3&amp;"FX"&amp;$C410&amp;"D=",{"BID","ASK"},CHOOSE({1,2},IF(H$401,H249,H127/H$11),IF(H$401,H249,H127)),"SCOPE:SERVER"),"RT_FALSE")</f>
        <v>RT_FALSE</v>
      </c>
      <c r="I410" s="1" t="str">
        <f>IF(AND(I$400,COUNTA(I$404:I409)+4&lt;=MATCH(I$402,Tenors_set,0)),_xll.RtContribute(I$403,I$3&amp;"FX"&amp;$C410&amp;"D=",{"BID","ASK"},CHOOSE({1,2},IF(I$401,I249,I127/I$11),IF(I$401,I249,I127)),"SCOPE:SERVER"),"RT_FALSE")</f>
        <v>RT_FALSE</v>
      </c>
      <c r="J410" s="1" t="str">
        <f>IF(AND(J$400,COUNTA(J$404:J409)+4&lt;=MATCH(J$402,Tenors_set,0)),_xll.RtContribute(J$403,J$3&amp;"FX"&amp;$C410&amp;"D=",{"BID","ASK"},CHOOSE({1,2},IF(J$401,J249,J127/J$11),IF(J$401,J249,J127)),"SCOPE:SERVER"),"RT_FALSE")</f>
        <v>RT_FALSE</v>
      </c>
      <c r="K410" s="1" t="str">
        <f>IF(AND(K$400,COUNTA(K$404:K409)+4&lt;=MATCH(K$402,Tenors_set,0)),_xll.RtContribute(K$403,K$3&amp;"FX"&amp;$C410&amp;"D=",{"BID","ASK"},CHOOSE({1,2},IF(K$401,K249,K127/K$11),IF(K$401,K249,K127)),"SCOPE:SERVER"),"RT_FALSE")</f>
        <v>RT_FALSE</v>
      </c>
      <c r="L410" s="1" t="str">
        <f>IF(AND(L$400,COUNTA(L$404:L409)+4&lt;=MATCH(L$402,Tenors_set,0)),_xll.RtContribute(L$403,L$3&amp;"FX"&amp;$C410&amp;"D=",{"BID","ASK"},CHOOSE({1,2},IF(L$401,L249,L127/L$11),IF(L$401,L249,L127)),"SCOPE:SERVER"),"RT_FALSE")</f>
        <v>RT_FALSE</v>
      </c>
      <c r="M410" s="1" t="str">
        <f>IF(AND(M$400,COUNTA(M$404:M409)+4&lt;=MATCH(M$402,Tenors_set,0)),_xll.RtContribute(M$403,M$3&amp;"FX"&amp;$C410&amp;"D=",{"BID","ASK"},CHOOSE({1,2},IF(M$401,M249,M127/M$11),IF(M$401,M249,M127)),"SCOPE:SERVER"),"RT_FALSE")</f>
        <v>RT_FALSE</v>
      </c>
      <c r="N410" s="1" t="str">
        <f>IF(AND(N$400,COUNTA(N$404:N409)+4&lt;=MATCH(N$402,Tenors_set,0)),_xll.RtContribute(N$403,N$3&amp;"FX"&amp;$C410&amp;"D=",{"BID","ASK"},CHOOSE({1,2},IF(N$401,N249,N127/N$11),IF(N$401,N249,N127)),"SCOPE:SERVER"),"RT_FALSE")</f>
        <v>RT_FALSE</v>
      </c>
      <c r="O410" s="1" t="str">
        <f>IF(AND(O$400,COUNTA(O$404:O409)+4&lt;=MATCH(O$402,Tenors_set,0)),_xll.RtContribute(O$403,O$3&amp;"FX"&amp;$C410&amp;"D=",{"BID","ASK"},CHOOSE({1,2},IF(O$401,O249,O127/O$11),IF(O$401,O249,O127)),"SCOPE:SERVER"),"RT_FALSE")</f>
        <v>RT_FALSE</v>
      </c>
      <c r="P410" s="1" t="str">
        <f>IF(AND(P$400,COUNTA(P$404:P409)+4&lt;=MATCH(P$402,Tenors_set,0)),_xll.RtContribute(P$403,P$3&amp;"FX"&amp;$C410&amp;"D=",{"BID","ASK"},CHOOSE({1,2},IF(P$401,P249,P127/P$11),IF(P$401,P249,P127)),"SCOPE:SERVER"),"RT_FALSE")</f>
        <v>RT_FALSE</v>
      </c>
      <c r="Q410" s="1" t="str">
        <f>IF(AND(Q$400,COUNTA(Q$404:Q409)+4&lt;=MATCH(Q$402,Tenors_set,0)),_xll.RtContribute(Q$403,Q$3&amp;"FX"&amp;$C410&amp;"D=",{"BID","ASK"},CHOOSE({1,2},IF(Q$401,Q249,Q127/Q$11),IF(Q$401,Q249,Q127)),"SCOPE:SERVER"),"RT_FALSE")</f>
        <v>RT_FALSE</v>
      </c>
      <c r="R410" s="1" t="str">
        <f>IF(AND(R$400,COUNTA(R$404:R409)+4&lt;=MATCH(R$402,Tenors_set,0)),_xll.RtContribute(R$403,R$3&amp;"FX"&amp;$C410&amp;"D=",{"BID","ASK"},CHOOSE({1,2},IF(R$401,R249,R127/R$11),IF(R$401,R249,R127)),"SCOPE:SERVER"),"RT_FALSE")</f>
        <v>RT_FALSE</v>
      </c>
      <c r="S410" s="1" t="str">
        <f>IF(AND(S$400,COUNTA(S$404:S409)+4&lt;=MATCH(S$402,Tenors_set,0)),_xll.RtContribute(S$403,S$3&amp;"FX"&amp;$C410&amp;"D=",{"BID","ASK"},CHOOSE({1,2},IF(S$401,S249,S127/S$11),IF(S$401,S249,S127)),"SCOPE:SERVER"),"RT_FALSE")</f>
        <v>RT_FALSE</v>
      </c>
      <c r="T410" s="1" t="str">
        <f>IF(AND(T$400,COUNTA(T$404:T409)+4&lt;=MATCH(T$402,Tenors_set,0)),_xll.RtContribute(T$403,T$3&amp;"FX"&amp;$C410&amp;"D=",{"BID","ASK"},CHOOSE({1,2},IF(T$401,T249,T127/T$11),IF(T$401,T249,T127)),"SCOPE:SERVER"),"RT_FALSE")</f>
        <v>RT_FALSE</v>
      </c>
      <c r="U410" s="1" t="str">
        <f>IF(AND(U$400,COUNTA(U$404:U409)+4&lt;=MATCH(U$402,Tenors_set,0)),_xll.RtContribute(U$403,U$3&amp;"FX"&amp;$C410&amp;"D=",{"BID","ASK"},CHOOSE({1,2},IF(U$401,U249,U127/U$11),IF(U$401,U249,U127)),"SCOPE:SERVER"),"RT_FALSE")</f>
        <v>RT_FALSE</v>
      </c>
      <c r="V410" s="1" t="str">
        <f>IF(AND(V$400,COUNTA(V$404:V409)+4&lt;=MATCH(V$402,Tenors_set,0)),_xll.RtContribute(V$403,V$3&amp;"FX"&amp;$C410&amp;"D=",{"BID","ASK"},CHOOSE({1,2},IF(V$401,V249,V127/V$11),IF(V$401,V249,V127)),"SCOPE:SERVER"),"RT_FALSE")</f>
        <v>RT_FALSE</v>
      </c>
      <c r="W410" s="1" t="str">
        <f>IF(AND(W$400,COUNTA(W$404:W409)+4&lt;=MATCH(W$402,Tenors_set,0)),_xll.RtContribute(W$403,W$3&amp;"FX"&amp;$C410&amp;"D=",{"BID","ASK"},CHOOSE({1,2},IF(W$401,W249,W127/W$11),IF(W$401,W249,W127)),"SCOPE:SERVER"),"RT_FALSE")</f>
        <v>RT_FALSE</v>
      </c>
      <c r="X410" s="1" t="str">
        <f>IF(AND(X$400,COUNTA(X$404:X409)+4&lt;=MATCH(X$402,Tenors_set,0)),_xll.RtContribute(X$403,X$3&amp;"FX"&amp;$C410&amp;"D=",{"BID","ASK"},CHOOSE({1,2},IF(X$401,X249,X127/X$11),IF(X$401,X249,X127)),"SCOPE:SERVER"),"RT_FALSE")</f>
        <v>RT_FALSE</v>
      </c>
      <c r="Y410" s="1" t="str">
        <f>IF(AND(Y$400,COUNTA(Y$404:Y409)+4&lt;=MATCH(Y$402,Tenors_set,0)),_xll.RtContribute(Y$403,Y$3&amp;"FX"&amp;$C410&amp;"D=",{"BID","ASK"},CHOOSE({1,2},IF(Y$401,Y249,Y127/Y$11),IF(Y$401,Y249,Y127)),"SCOPE:SERVER"),"RT_FALSE")</f>
        <v>RT_FALSE</v>
      </c>
      <c r="Z410" s="1" t="str">
        <f>IF(AND(Z$400,COUNTA(Z$404:Z409)+4&lt;=MATCH(Z$402,Tenors_set,0)),_xll.RtContribute(Z$403,Z$3&amp;"FX"&amp;$C410&amp;"D=",{"BID","ASK"},CHOOSE({1,2},IF(Z$401,Z249,Z127/Z$11),IF(Z$401,Z249,Z127)),"SCOPE:SERVER"),"RT_FALSE")</f>
        <v>RT_FALSE</v>
      </c>
      <c r="AA410" s="1" t="str">
        <f>IF(AND(AA$400,COUNTA(AA$404:AA409)+4&lt;=MATCH(AA$402,Tenors_set,0)),_xll.RtContribute(AA$403,AA$3&amp;"FX"&amp;$C410&amp;"D=",{"BID","ASK"},CHOOSE({1,2},IF(AA$401,AA249,AA127/AA$11),IF(AA$401,AA249,AA127)),"SCOPE:SERVER"),"RT_FALSE")</f>
        <v>RT_FALSE</v>
      </c>
      <c r="AB410" s="1" t="str">
        <f>IF(AND(AB$400,COUNTA(AB$404:AB409)+4&lt;=MATCH(AB$402,Tenors_set,0)),_xll.RtContribute(AB$403,AB$3&amp;"FX"&amp;$C410&amp;"D=",{"BID","ASK"},CHOOSE({1,2},IF(AB$401,AB249,AB127/AB$11),IF(AB$401,AB249,AB127)),"SCOPE:SERVER"),"RT_FALSE")</f>
        <v>RT_FALSE</v>
      </c>
      <c r="AC410" s="1" t="str">
        <f>IF(AND(AC$400,COUNTA(AC$404:AC409)+4&lt;=MATCH(AC$402,Tenors_set,0)),_xll.RtContribute(AC$403,AC$3&amp;"FX"&amp;$C410&amp;"D=",{"BID","ASK"},CHOOSE({1,2},IF(AC$401,AC249,AC127/AC$11),IF(AC$401,AC249,AC127)),"SCOPE:SERVER"),"RT_FALSE")</f>
        <v>RT_FALSE</v>
      </c>
      <c r="AD410" s="1" t="str">
        <f>IF(AND(AD$400,COUNTA(AD$404:AD409)+4&lt;=MATCH(AD$402,Tenors_set,0)),_xll.RtContribute(AD$403,AD$3&amp;"FX"&amp;$C410&amp;"D=",{"BID","ASK"},CHOOSE({1,2},IF(AD$401,AD249,AD127/AD$11),IF(AD$401,AD249,AD127)),"SCOPE:SERVER"),"RT_FALSE")</f>
        <v>RT_FALSE</v>
      </c>
      <c r="AE410" s="1" t="str">
        <f>IF(AND(AE$400,COUNTA(AE$404:AE409)+4&lt;=MATCH(AE$402,Tenors_set,0)),_xll.RtContribute(AE$403,AE$3&amp;"FX"&amp;$C410&amp;"D=",{"BID","ASK"},CHOOSE({1,2},IF(AE$401,AE249,AE127/AE$11),IF(AE$401,AE249,AE127)),"SCOPE:SERVER"),"RT_FALSE")</f>
        <v>RT_FALSE</v>
      </c>
      <c r="AF410" s="1" t="str">
        <f>IF(AND(AF$400,COUNTA(AF$404:AF409)+4&lt;=MATCH(AF$402,Tenors_set,0)),_xll.RtContribute(AF$403,AF$3&amp;"FX"&amp;$C410&amp;"D=",{"BID","ASK"},CHOOSE({1,2},IF(AF$401,AF249,AF127/AF$11),IF(AF$401,AF249,AF127)),"SCOPE:SERVER"),"RT_FALSE")</f>
        <v>RT_FALSE</v>
      </c>
      <c r="AG410" s="1" t="str">
        <f>IF(AND(AG$400,COUNTA(AG$404:AG409)+4&lt;=MATCH(AG$402,Tenors_set,0)),_xll.RtContribute(AG$403,AG$3&amp;"FX"&amp;$C410&amp;"D=",{"BID","ASK"},CHOOSE({1,2},IF(AG$401,AG249,AG127/AG$11),IF(AG$401,AG249,AG127)),"SCOPE:SERVER"),"RT_FALSE")</f>
        <v>RT_FALSE</v>
      </c>
      <c r="AH410" s="1" t="str">
        <f>IF(AND(AH$400,COUNTA(AH$404:AH409)+4&lt;=MATCH(AH$402,Tenors_set,0)),_xll.RtContribute(AH$403,AH$3&amp;"FX"&amp;$C410&amp;"D=",{"BID","ASK"},CHOOSE({1,2},IF(AH$401,AH249,AH127/AH$11),IF(AH$401,AH249,AH127)),"SCOPE:SERVER"),"RT_FALSE")</f>
        <v>RT_FALSE</v>
      </c>
      <c r="AI410" s="1" t="str">
        <f>IF(AND(AI$400,COUNTA(AI$404:AI409)+4&lt;=MATCH(AI$402,Tenors_set,0)),_xll.RtContribute(AI$403,AI$3&amp;"FX"&amp;$C410&amp;"D=",{"BID","ASK"},CHOOSE({1,2},IF(AI$401,AI249,AI127/AI$11),IF(AI$401,AI249,AI127)),"SCOPE:SERVER"),"RT_FALSE")</f>
        <v>RT_FALSE</v>
      </c>
      <c r="AJ410" s="1" t="str">
        <f>IF(AND(AJ$400,COUNTA(AJ$404:AJ409)+4&lt;=MATCH(AJ$402,Tenors_set,0)),_xll.RtContribute(AJ$403,AJ$3&amp;"FX"&amp;$C410&amp;"D=",{"BID","ASK"},CHOOSE({1,2},IF(AJ$401,AJ249,AJ127/AJ$11),IF(AJ$401,AJ249,AJ127)),"SCOPE:SERVER"),"RT_FALSE")</f>
        <v>RT_FALSE</v>
      </c>
      <c r="AK410" s="1" t="str">
        <f>IF(AND(AK$400,COUNTA(AK$404:AK409)+4&lt;=MATCH(AK$402,Tenors_set,0)),_xll.RtContribute(AK$403,AK$3&amp;"FX"&amp;$C410&amp;"D=",{"BID","ASK"},CHOOSE({1,2},IF(AK$401,AK249,AK127/AK$11),IF(AK$401,AK249,AK127)),"SCOPE:SERVER"),"RT_FALSE")</f>
        <v>RT_FALSE</v>
      </c>
      <c r="AL410" s="1" t="str">
        <f>IF(AND(AL$400,COUNTA(AL$404:AL409)+4&lt;=MATCH(AL$402,Tenors_set,0)),_xll.RtContribute(AL$403,AL$3&amp;"FX"&amp;$C410&amp;"D=",{"BID","ASK"},CHOOSE({1,2},IF(AL$401,AL249,AL127/AL$11),IF(AL$401,AL249,AL127)),"SCOPE:SERVER"),"RT_FALSE")</f>
        <v>RT_FALSE</v>
      </c>
      <c r="AM410" s="1" t="str">
        <f>IF(AND(AM$400,COUNTA(AM$404:AM409)+4&lt;=MATCH(AM$402,Tenors_set,0)),_xll.RtContribute(AM$403,AM$3&amp;"FX"&amp;$C410&amp;"D=",{"BID","ASK"},CHOOSE({1,2},IF(AM$401,AM249,AM127/AM$11),IF(AM$401,AM249,AM127)),"SCOPE:SERVER"),"RT_FALSE")</f>
        <v>RT_FALSE</v>
      </c>
      <c r="AN410" s="1" t="str">
        <f>IF(AND(AN$400,COUNTA(AN$404:AN409)+4&lt;=MATCH(AN$402,Tenors_set,0)),_xll.RtContribute(AN$403,AN$3&amp;"FX"&amp;$C410&amp;"D=",{"BID","ASK"},CHOOSE({1,2},IF(AN$401,AN249,AN127/AN$11),IF(AN$401,AN249,AN127)),"SCOPE:SERVER"),"RT_FALSE")</f>
        <v>RT_FALSE</v>
      </c>
      <c r="AO410" s="1" t="str">
        <f>IF(AND(AO$400,COUNTA(AO$404:AO409)+4&lt;=MATCH(AO$402,Tenors_set,0)),_xll.RtContribute(AO$403,AO$3&amp;"FX"&amp;$C410&amp;"D=",{"BID","ASK"},CHOOSE({1,2},IF(AO$401,AO249,AO127/AO$11),IF(AO$401,AO249,AO127)),"SCOPE:SERVER"),"RT_FALSE")</f>
        <v>RT_FALSE</v>
      </c>
      <c r="AP410" s="1" t="str">
        <f>IF(AND(AP$400,COUNTA(AP$404:AP409)+4&lt;=MATCH(AP$402,Tenors_set,0)),_xll.RtContribute(AP$403,AP$3&amp;"FX"&amp;$C410&amp;"D=",{"BID","ASK"},CHOOSE({1,2},IF(AP$401,AP249,AP127/AP$11),IF(AP$401,AP249,AP127)),"SCOPE:SERVER"),"RT_FALSE")</f>
        <v>RT_FALSE</v>
      </c>
    </row>
    <row r="411" spans="3:42" x14ac:dyDescent="0.2">
      <c r="C411" s="1" t="s">
        <v>71</v>
      </c>
      <c r="E411" s="1" t="str">
        <f>IF(AND(E$400,COUNTA(E$404:E410)+4&lt;=MATCH(E$402,Tenors_set,0)),_xll.RtContribute(E$403,E$3&amp;"FX"&amp;$C411&amp;"D=",{"BID","ASK"},CHOOSE({1,2},IF(E$401,E250,E128/E$11),IF(E$401,E250,E128)),"SCOPE:SERVER"),"RT_FALSE")</f>
        <v>RT_FALSE</v>
      </c>
      <c r="F411" s="1" t="str">
        <f>IF(AND(F$400,COUNTA(F$404:F410)+4&lt;=MATCH(F$402,Tenors_set,0)),_xll.RtContribute(F$403,F$3&amp;"FX"&amp;$C411&amp;"D=",{"BID","ASK"},CHOOSE({1,2},IF(F$401,F250,F128/F$11),IF(F$401,F250,F128)),"SCOPE:SERVER"),"RT_FALSE")</f>
        <v>RT_FALSE</v>
      </c>
      <c r="G411" s="1" t="str">
        <f>IF(AND(G$400,COUNTA(G$404:G410)+4&lt;=MATCH(G$402,Tenors_set,0)),_xll.RtContribute(G$403,G$3&amp;"FX"&amp;$C411&amp;"D=",{"BID","ASK"},CHOOSE({1,2},IF(G$401,G250,G128/G$11),IF(G$401,G250,G128)),"SCOPE:SERVER"),"RT_FALSE")</f>
        <v>RT_FALSE</v>
      </c>
      <c r="H411" s="1" t="str">
        <f>IF(AND(H$400,COUNTA(H$404:H410)+4&lt;=MATCH(H$402,Tenors_set,0)),_xll.RtContribute(H$403,H$3&amp;"FX"&amp;$C411&amp;"D=",{"BID","ASK"},CHOOSE({1,2},IF(H$401,H250,H128/H$11),IF(H$401,H250,H128)),"SCOPE:SERVER"),"RT_FALSE")</f>
        <v>RT_FALSE</v>
      </c>
      <c r="I411" s="1" t="str">
        <f>IF(AND(I$400,COUNTA(I$404:I410)+4&lt;=MATCH(I$402,Tenors_set,0)),_xll.RtContribute(I$403,I$3&amp;"FX"&amp;$C411&amp;"D=",{"BID","ASK"},CHOOSE({1,2},IF(I$401,I250,I128/I$11),IF(I$401,I250,I128)),"SCOPE:SERVER"),"RT_FALSE")</f>
        <v>RT_FALSE</v>
      </c>
      <c r="J411" s="1" t="str">
        <f>IF(AND(J$400,COUNTA(J$404:J410)+4&lt;=MATCH(J$402,Tenors_set,0)),_xll.RtContribute(J$403,J$3&amp;"FX"&amp;$C411&amp;"D=",{"BID","ASK"},CHOOSE({1,2},IF(J$401,J250,J128/J$11),IF(J$401,J250,J128)),"SCOPE:SERVER"),"RT_FALSE")</f>
        <v>RT_FALSE</v>
      </c>
      <c r="K411" s="1" t="str">
        <f>IF(AND(K$400,COUNTA(K$404:K410)+4&lt;=MATCH(K$402,Tenors_set,0)),_xll.RtContribute(K$403,K$3&amp;"FX"&amp;$C411&amp;"D=",{"BID","ASK"},CHOOSE({1,2},IF(K$401,K250,K128/K$11),IF(K$401,K250,K128)),"SCOPE:SERVER"),"RT_FALSE")</f>
        <v>RT_FALSE</v>
      </c>
      <c r="L411" s="1" t="str">
        <f>IF(AND(L$400,COUNTA(L$404:L410)+4&lt;=MATCH(L$402,Tenors_set,0)),_xll.RtContribute(L$403,L$3&amp;"FX"&amp;$C411&amp;"D=",{"BID","ASK"},CHOOSE({1,2},IF(L$401,L250,L128/L$11),IF(L$401,L250,L128)),"SCOPE:SERVER"),"RT_FALSE")</f>
        <v>RT_FALSE</v>
      </c>
      <c r="M411" s="1" t="str">
        <f>IF(AND(M$400,COUNTA(M$404:M410)+4&lt;=MATCH(M$402,Tenors_set,0)),_xll.RtContribute(M$403,M$3&amp;"FX"&amp;$C411&amp;"D=",{"BID","ASK"},CHOOSE({1,2},IF(M$401,M250,M128/M$11),IF(M$401,M250,M128)),"SCOPE:SERVER"),"RT_FALSE")</f>
        <v>RT_FALSE</v>
      </c>
      <c r="N411" s="1" t="str">
        <f>IF(AND(N$400,COUNTA(N$404:N410)+4&lt;=MATCH(N$402,Tenors_set,0)),_xll.RtContribute(N$403,N$3&amp;"FX"&amp;$C411&amp;"D=",{"BID","ASK"},CHOOSE({1,2},IF(N$401,N250,N128/N$11),IF(N$401,N250,N128)),"SCOPE:SERVER"),"RT_FALSE")</f>
        <v>RT_FALSE</v>
      </c>
      <c r="O411" s="1" t="str">
        <f>IF(AND(O$400,COUNTA(O$404:O410)+4&lt;=MATCH(O$402,Tenors_set,0)),_xll.RtContribute(O$403,O$3&amp;"FX"&amp;$C411&amp;"D=",{"BID","ASK"},CHOOSE({1,2},IF(O$401,O250,O128/O$11),IF(O$401,O250,O128)),"SCOPE:SERVER"),"RT_FALSE")</f>
        <v>RT_FALSE</v>
      </c>
      <c r="P411" s="1" t="str">
        <f>IF(AND(P$400,COUNTA(P$404:P410)+4&lt;=MATCH(P$402,Tenors_set,0)),_xll.RtContribute(P$403,P$3&amp;"FX"&amp;$C411&amp;"D=",{"BID","ASK"},CHOOSE({1,2},IF(P$401,P250,P128/P$11),IF(P$401,P250,P128)),"SCOPE:SERVER"),"RT_FALSE")</f>
        <v>RT_FALSE</v>
      </c>
      <c r="Q411" s="1" t="str">
        <f>IF(AND(Q$400,COUNTA(Q$404:Q410)+4&lt;=MATCH(Q$402,Tenors_set,0)),_xll.RtContribute(Q$403,Q$3&amp;"FX"&amp;$C411&amp;"D=",{"BID","ASK"},CHOOSE({1,2},IF(Q$401,Q250,Q128/Q$11),IF(Q$401,Q250,Q128)),"SCOPE:SERVER"),"RT_FALSE")</f>
        <v>RT_FALSE</v>
      </c>
      <c r="R411" s="1" t="str">
        <f>IF(AND(R$400,COUNTA(R$404:R410)+4&lt;=MATCH(R$402,Tenors_set,0)),_xll.RtContribute(R$403,R$3&amp;"FX"&amp;$C411&amp;"D=",{"BID","ASK"},CHOOSE({1,2},IF(R$401,R250,R128/R$11),IF(R$401,R250,R128)),"SCOPE:SERVER"),"RT_FALSE")</f>
        <v>RT_FALSE</v>
      </c>
      <c r="S411" s="1" t="str">
        <f>IF(AND(S$400,COUNTA(S$404:S410)+4&lt;=MATCH(S$402,Tenors_set,0)),_xll.RtContribute(S$403,S$3&amp;"FX"&amp;$C411&amp;"D=",{"BID","ASK"},CHOOSE({1,2},IF(S$401,S250,S128/S$11),IF(S$401,S250,S128)),"SCOPE:SERVER"),"RT_FALSE")</f>
        <v>RT_FALSE</v>
      </c>
      <c r="T411" s="1" t="str">
        <f>IF(AND(T$400,COUNTA(T$404:T410)+4&lt;=MATCH(T$402,Tenors_set,0)),_xll.RtContribute(T$403,T$3&amp;"FX"&amp;$C411&amp;"D=",{"BID","ASK"},CHOOSE({1,2},IF(T$401,T250,T128/T$11),IF(T$401,T250,T128)),"SCOPE:SERVER"),"RT_FALSE")</f>
        <v>RT_FALSE</v>
      </c>
      <c r="U411" s="1" t="str">
        <f>IF(AND(U$400,COUNTA(U$404:U410)+4&lt;=MATCH(U$402,Tenors_set,0)),_xll.RtContribute(U$403,U$3&amp;"FX"&amp;$C411&amp;"D=",{"BID","ASK"},CHOOSE({1,2},IF(U$401,U250,U128/U$11),IF(U$401,U250,U128)),"SCOPE:SERVER"),"RT_FALSE")</f>
        <v>RT_FALSE</v>
      </c>
      <c r="V411" s="1" t="str">
        <f>IF(AND(V$400,COUNTA(V$404:V410)+4&lt;=MATCH(V$402,Tenors_set,0)),_xll.RtContribute(V$403,V$3&amp;"FX"&amp;$C411&amp;"D=",{"BID","ASK"},CHOOSE({1,2},IF(V$401,V250,V128/V$11),IF(V$401,V250,V128)),"SCOPE:SERVER"),"RT_FALSE")</f>
        <v>RT_FALSE</v>
      </c>
      <c r="W411" s="1" t="str">
        <f>IF(AND(W$400,COUNTA(W$404:W410)+4&lt;=MATCH(W$402,Tenors_set,0)),_xll.RtContribute(W$403,W$3&amp;"FX"&amp;$C411&amp;"D=",{"BID","ASK"},CHOOSE({1,2},IF(W$401,W250,W128/W$11),IF(W$401,W250,W128)),"SCOPE:SERVER"),"RT_FALSE")</f>
        <v>RT_FALSE</v>
      </c>
      <c r="X411" s="1" t="str">
        <f>IF(AND(X$400,COUNTA(X$404:X410)+4&lt;=MATCH(X$402,Tenors_set,0)),_xll.RtContribute(X$403,X$3&amp;"FX"&amp;$C411&amp;"D=",{"BID","ASK"},CHOOSE({1,2},IF(X$401,X250,X128/X$11),IF(X$401,X250,X128)),"SCOPE:SERVER"),"RT_FALSE")</f>
        <v>RT_FALSE</v>
      </c>
      <c r="Y411" s="1" t="str">
        <f>IF(AND(Y$400,COUNTA(Y$404:Y410)+4&lt;=MATCH(Y$402,Tenors_set,0)),_xll.RtContribute(Y$403,Y$3&amp;"FX"&amp;$C411&amp;"D=",{"BID","ASK"},CHOOSE({1,2},IF(Y$401,Y250,Y128/Y$11),IF(Y$401,Y250,Y128)),"SCOPE:SERVER"),"RT_FALSE")</f>
        <v>RT_FALSE</v>
      </c>
      <c r="Z411" s="1" t="str">
        <f>IF(AND(Z$400,COUNTA(Z$404:Z410)+4&lt;=MATCH(Z$402,Tenors_set,0)),_xll.RtContribute(Z$403,Z$3&amp;"FX"&amp;$C411&amp;"D=",{"BID","ASK"},CHOOSE({1,2},IF(Z$401,Z250,Z128/Z$11),IF(Z$401,Z250,Z128)),"SCOPE:SERVER"),"RT_FALSE")</f>
        <v>RT_FALSE</v>
      </c>
      <c r="AA411" s="1" t="str">
        <f>IF(AND(AA$400,COUNTA(AA$404:AA410)+4&lt;=MATCH(AA$402,Tenors_set,0)),_xll.RtContribute(AA$403,AA$3&amp;"FX"&amp;$C411&amp;"D=",{"BID","ASK"},CHOOSE({1,2},IF(AA$401,AA250,AA128/AA$11),IF(AA$401,AA250,AA128)),"SCOPE:SERVER"),"RT_FALSE")</f>
        <v>RT_FALSE</v>
      </c>
      <c r="AB411" s="1" t="str">
        <f>IF(AND(AB$400,COUNTA(AB$404:AB410)+4&lt;=MATCH(AB$402,Tenors_set,0)),_xll.RtContribute(AB$403,AB$3&amp;"FX"&amp;$C411&amp;"D=",{"BID","ASK"},CHOOSE({1,2},IF(AB$401,AB250,AB128/AB$11),IF(AB$401,AB250,AB128)),"SCOPE:SERVER"),"RT_FALSE")</f>
        <v>RT_FALSE</v>
      </c>
      <c r="AC411" s="1" t="str">
        <f>IF(AND(AC$400,COUNTA(AC$404:AC410)+4&lt;=MATCH(AC$402,Tenors_set,0)),_xll.RtContribute(AC$403,AC$3&amp;"FX"&amp;$C411&amp;"D=",{"BID","ASK"},CHOOSE({1,2},IF(AC$401,AC250,AC128/AC$11),IF(AC$401,AC250,AC128)),"SCOPE:SERVER"),"RT_FALSE")</f>
        <v>RT_FALSE</v>
      </c>
      <c r="AD411" s="1" t="str">
        <f>IF(AND(AD$400,COUNTA(AD$404:AD410)+4&lt;=MATCH(AD$402,Tenors_set,0)),_xll.RtContribute(AD$403,AD$3&amp;"FX"&amp;$C411&amp;"D=",{"BID","ASK"},CHOOSE({1,2},IF(AD$401,AD250,AD128/AD$11),IF(AD$401,AD250,AD128)),"SCOPE:SERVER"),"RT_FALSE")</f>
        <v>RT_FALSE</v>
      </c>
      <c r="AE411" s="1" t="str">
        <f>IF(AND(AE$400,COUNTA(AE$404:AE410)+4&lt;=MATCH(AE$402,Tenors_set,0)),_xll.RtContribute(AE$403,AE$3&amp;"FX"&amp;$C411&amp;"D=",{"BID","ASK"},CHOOSE({1,2},IF(AE$401,AE250,AE128/AE$11),IF(AE$401,AE250,AE128)),"SCOPE:SERVER"),"RT_FALSE")</f>
        <v>RT_FALSE</v>
      </c>
      <c r="AF411" s="1" t="str">
        <f>IF(AND(AF$400,COUNTA(AF$404:AF410)+4&lt;=MATCH(AF$402,Tenors_set,0)),_xll.RtContribute(AF$403,AF$3&amp;"FX"&amp;$C411&amp;"D=",{"BID","ASK"},CHOOSE({1,2},IF(AF$401,AF250,AF128/AF$11),IF(AF$401,AF250,AF128)),"SCOPE:SERVER"),"RT_FALSE")</f>
        <v>RT_FALSE</v>
      </c>
      <c r="AG411" s="1" t="str">
        <f>IF(AND(AG$400,COUNTA(AG$404:AG410)+4&lt;=MATCH(AG$402,Tenors_set,0)),_xll.RtContribute(AG$403,AG$3&amp;"FX"&amp;$C411&amp;"D=",{"BID","ASK"},CHOOSE({1,2},IF(AG$401,AG250,AG128/AG$11),IF(AG$401,AG250,AG128)),"SCOPE:SERVER"),"RT_FALSE")</f>
        <v>RT_FALSE</v>
      </c>
      <c r="AH411" s="1" t="str">
        <f>IF(AND(AH$400,COUNTA(AH$404:AH410)+4&lt;=MATCH(AH$402,Tenors_set,0)),_xll.RtContribute(AH$403,AH$3&amp;"FX"&amp;$C411&amp;"D=",{"BID","ASK"},CHOOSE({1,2},IF(AH$401,AH250,AH128/AH$11),IF(AH$401,AH250,AH128)),"SCOPE:SERVER"),"RT_FALSE")</f>
        <v>RT_FALSE</v>
      </c>
      <c r="AI411" s="1" t="str">
        <f>IF(AND(AI$400,COUNTA(AI$404:AI410)+4&lt;=MATCH(AI$402,Tenors_set,0)),_xll.RtContribute(AI$403,AI$3&amp;"FX"&amp;$C411&amp;"D=",{"BID","ASK"},CHOOSE({1,2},IF(AI$401,AI250,AI128/AI$11),IF(AI$401,AI250,AI128)),"SCOPE:SERVER"),"RT_FALSE")</f>
        <v>RT_FALSE</v>
      </c>
      <c r="AJ411" s="1" t="str">
        <f>IF(AND(AJ$400,COUNTA(AJ$404:AJ410)+4&lt;=MATCH(AJ$402,Tenors_set,0)),_xll.RtContribute(AJ$403,AJ$3&amp;"FX"&amp;$C411&amp;"D=",{"BID","ASK"},CHOOSE({1,2},IF(AJ$401,AJ250,AJ128/AJ$11),IF(AJ$401,AJ250,AJ128)),"SCOPE:SERVER"),"RT_FALSE")</f>
        <v>RT_FALSE</v>
      </c>
      <c r="AK411" s="1" t="str">
        <f>IF(AND(AK$400,COUNTA(AK$404:AK410)+4&lt;=MATCH(AK$402,Tenors_set,0)),_xll.RtContribute(AK$403,AK$3&amp;"FX"&amp;$C411&amp;"D=",{"BID","ASK"},CHOOSE({1,2},IF(AK$401,AK250,AK128/AK$11),IF(AK$401,AK250,AK128)),"SCOPE:SERVER"),"RT_FALSE")</f>
        <v>RT_FALSE</v>
      </c>
      <c r="AL411" s="1" t="str">
        <f>IF(AND(AL$400,COUNTA(AL$404:AL410)+4&lt;=MATCH(AL$402,Tenors_set,0)),_xll.RtContribute(AL$403,AL$3&amp;"FX"&amp;$C411&amp;"D=",{"BID","ASK"},CHOOSE({1,2},IF(AL$401,AL250,AL128/AL$11),IF(AL$401,AL250,AL128)),"SCOPE:SERVER"),"RT_FALSE")</f>
        <v>RT_FALSE</v>
      </c>
      <c r="AM411" s="1" t="str">
        <f>IF(AND(AM$400,COUNTA(AM$404:AM410)+4&lt;=MATCH(AM$402,Tenors_set,0)),_xll.RtContribute(AM$403,AM$3&amp;"FX"&amp;$C411&amp;"D=",{"BID","ASK"},CHOOSE({1,2},IF(AM$401,AM250,AM128/AM$11),IF(AM$401,AM250,AM128)),"SCOPE:SERVER"),"RT_FALSE")</f>
        <v>RT_FALSE</v>
      </c>
      <c r="AN411" s="1" t="str">
        <f>IF(AND(AN$400,COUNTA(AN$404:AN410)+4&lt;=MATCH(AN$402,Tenors_set,0)),_xll.RtContribute(AN$403,AN$3&amp;"FX"&amp;$C411&amp;"D=",{"BID","ASK"},CHOOSE({1,2},IF(AN$401,AN250,AN128/AN$11),IF(AN$401,AN250,AN128)),"SCOPE:SERVER"),"RT_FALSE")</f>
        <v>RT_FALSE</v>
      </c>
      <c r="AO411" s="1" t="str">
        <f>IF(AND(AO$400,COUNTA(AO$404:AO410)+4&lt;=MATCH(AO$402,Tenors_set,0)),_xll.RtContribute(AO$403,AO$3&amp;"FX"&amp;$C411&amp;"D=",{"BID","ASK"},CHOOSE({1,2},IF(AO$401,AO250,AO128/AO$11),IF(AO$401,AO250,AO128)),"SCOPE:SERVER"),"RT_FALSE")</f>
        <v>RT_FALSE</v>
      </c>
      <c r="AP411" s="1" t="str">
        <f>IF(AND(AP$400,COUNTA(AP$404:AP410)+4&lt;=MATCH(AP$402,Tenors_set,0)),_xll.RtContribute(AP$403,AP$3&amp;"FX"&amp;$C411&amp;"D=",{"BID","ASK"},CHOOSE({1,2},IF(AP$401,AP250,AP128/AP$11),IF(AP$401,AP250,AP128)),"SCOPE:SERVER"),"RT_FALSE")</f>
        <v>RT_FALSE</v>
      </c>
    </row>
    <row r="412" spans="3:42" x14ac:dyDescent="0.2">
      <c r="C412" s="1" t="s">
        <v>77</v>
      </c>
      <c r="E412" s="1" t="str">
        <f>IF(AND(E$400,COUNTA(E$404:E411)+4&lt;=MATCH(E$402,Tenors_set,0)),_xll.RtContribute(E$403,E$3&amp;"FX"&amp;$C412&amp;"D=",{"BID","ASK"},CHOOSE({1,2},IF(E$401,E251,E129/E$11),IF(E$401,E251,E129)),"SCOPE:SERVER"),"RT_FALSE")</f>
        <v>RT_FALSE</v>
      </c>
      <c r="F412" s="1" t="str">
        <f>IF(AND(F$400,COUNTA(F$404:F411)+4&lt;=MATCH(F$402,Tenors_set,0)),_xll.RtContribute(F$403,F$3&amp;"FX"&amp;$C412&amp;"D=",{"BID","ASK"},CHOOSE({1,2},IF(F$401,F251,F129/F$11),IF(F$401,F251,F129)),"SCOPE:SERVER"),"RT_FALSE")</f>
        <v>RT_FALSE</v>
      </c>
      <c r="G412" s="1" t="str">
        <f>IF(AND(G$400,COUNTA(G$404:G411)+4&lt;=MATCH(G$402,Tenors_set,0)),_xll.RtContribute(G$403,G$3&amp;"FX"&amp;$C412&amp;"D=",{"BID","ASK"},CHOOSE({1,2},IF(G$401,G251,G129/G$11),IF(G$401,G251,G129)),"SCOPE:SERVER"),"RT_FALSE")</f>
        <v>RT_FALSE</v>
      </c>
      <c r="H412" s="1" t="str">
        <f>IF(AND(H$400,COUNTA(H$404:H411)+4&lt;=MATCH(H$402,Tenors_set,0)),_xll.RtContribute(H$403,H$3&amp;"FX"&amp;$C412&amp;"D=",{"BID","ASK"},CHOOSE({1,2},IF(H$401,H251,H129/H$11),IF(H$401,H251,H129)),"SCOPE:SERVER"),"RT_FALSE")</f>
        <v>RT_FALSE</v>
      </c>
      <c r="I412" s="1" t="str">
        <f>IF(AND(I$400,COUNTA(I$404:I411)+4&lt;=MATCH(I$402,Tenors_set,0)),_xll.RtContribute(I$403,I$3&amp;"FX"&amp;$C412&amp;"D=",{"BID","ASK"},CHOOSE({1,2},IF(I$401,I251,I129/I$11),IF(I$401,I251,I129)),"SCOPE:SERVER"),"RT_FALSE")</f>
        <v>RT_FALSE</v>
      </c>
      <c r="J412" s="1" t="str">
        <f>IF(AND(J$400,COUNTA(J$404:J411)+4&lt;=MATCH(J$402,Tenors_set,0)),_xll.RtContribute(J$403,J$3&amp;"FX"&amp;$C412&amp;"D=",{"BID","ASK"},CHOOSE({1,2},IF(J$401,J251,J129/J$11),IF(J$401,J251,J129)),"SCOPE:SERVER"),"RT_FALSE")</f>
        <v>RT_FALSE</v>
      </c>
      <c r="K412" s="1" t="str">
        <f>IF(AND(K$400,COUNTA(K$404:K411)+4&lt;=MATCH(K$402,Tenors_set,0)),_xll.RtContribute(K$403,K$3&amp;"FX"&amp;$C412&amp;"D=",{"BID","ASK"},CHOOSE({1,2},IF(K$401,K251,K129/K$11),IF(K$401,K251,K129)),"SCOPE:SERVER"),"RT_FALSE")</f>
        <v>RT_FALSE</v>
      </c>
      <c r="L412" s="1" t="str">
        <f>IF(AND(L$400,COUNTA(L$404:L411)+4&lt;=MATCH(L$402,Tenors_set,0)),_xll.RtContribute(L$403,L$3&amp;"FX"&amp;$C412&amp;"D=",{"BID","ASK"},CHOOSE({1,2},IF(L$401,L251,L129/L$11),IF(L$401,L251,L129)),"SCOPE:SERVER"),"RT_FALSE")</f>
        <v>RT_FALSE</v>
      </c>
      <c r="M412" s="1" t="str">
        <f>IF(AND(M$400,COUNTA(M$404:M411)+4&lt;=MATCH(M$402,Tenors_set,0)),_xll.RtContribute(M$403,M$3&amp;"FX"&amp;$C412&amp;"D=",{"BID","ASK"},CHOOSE({1,2},IF(M$401,M251,M129/M$11),IF(M$401,M251,M129)),"SCOPE:SERVER"),"RT_FALSE")</f>
        <v>RT_FALSE</v>
      </c>
      <c r="N412" s="1" t="str">
        <f>IF(AND(N$400,COUNTA(N$404:N411)+4&lt;=MATCH(N$402,Tenors_set,0)),_xll.RtContribute(N$403,N$3&amp;"FX"&amp;$C412&amp;"D=",{"BID","ASK"},CHOOSE({1,2},IF(N$401,N251,N129/N$11),IF(N$401,N251,N129)),"SCOPE:SERVER"),"RT_FALSE")</f>
        <v>RT_FALSE</v>
      </c>
      <c r="O412" s="1" t="str">
        <f>IF(AND(O$400,COUNTA(O$404:O411)+4&lt;=MATCH(O$402,Tenors_set,0)),_xll.RtContribute(O$403,O$3&amp;"FX"&amp;$C412&amp;"D=",{"BID","ASK"},CHOOSE({1,2},IF(O$401,O251,O129/O$11),IF(O$401,O251,O129)),"SCOPE:SERVER"),"RT_FALSE")</f>
        <v>RT_FALSE</v>
      </c>
      <c r="P412" s="1" t="str">
        <f>IF(AND(P$400,COUNTA(P$404:P411)+4&lt;=MATCH(P$402,Tenors_set,0)),_xll.RtContribute(P$403,P$3&amp;"FX"&amp;$C412&amp;"D=",{"BID","ASK"},CHOOSE({1,2},IF(P$401,P251,P129/P$11),IF(P$401,P251,P129)),"SCOPE:SERVER"),"RT_FALSE")</f>
        <v>RT_FALSE</v>
      </c>
      <c r="Q412" s="1" t="str">
        <f>IF(AND(Q$400,COUNTA(Q$404:Q411)+4&lt;=MATCH(Q$402,Tenors_set,0)),_xll.RtContribute(Q$403,Q$3&amp;"FX"&amp;$C412&amp;"D=",{"BID","ASK"},CHOOSE({1,2},IF(Q$401,Q251,Q129/Q$11),IF(Q$401,Q251,Q129)),"SCOPE:SERVER"),"RT_FALSE")</f>
        <v>RT_FALSE</v>
      </c>
      <c r="R412" s="1" t="str">
        <f>IF(AND(R$400,COUNTA(R$404:R411)+4&lt;=MATCH(R$402,Tenors_set,0)),_xll.RtContribute(R$403,R$3&amp;"FX"&amp;$C412&amp;"D=",{"BID","ASK"},CHOOSE({1,2},IF(R$401,R251,R129/R$11),IF(R$401,R251,R129)),"SCOPE:SERVER"),"RT_FALSE")</f>
        <v>RT_FALSE</v>
      </c>
      <c r="S412" s="1" t="str">
        <f>IF(AND(S$400,COUNTA(S$404:S411)+4&lt;=MATCH(S$402,Tenors_set,0)),_xll.RtContribute(S$403,S$3&amp;"FX"&amp;$C412&amp;"D=",{"BID","ASK"},CHOOSE({1,2},IF(S$401,S251,S129/S$11),IF(S$401,S251,S129)),"SCOPE:SERVER"),"RT_FALSE")</f>
        <v>RT_FALSE</v>
      </c>
      <c r="T412" s="1" t="str">
        <f>IF(AND(T$400,COUNTA(T$404:T411)+4&lt;=MATCH(T$402,Tenors_set,0)),_xll.RtContribute(T$403,T$3&amp;"FX"&amp;$C412&amp;"D=",{"BID","ASK"},CHOOSE({1,2},IF(T$401,T251,T129/T$11),IF(T$401,T251,T129)),"SCOPE:SERVER"),"RT_FALSE")</f>
        <v>RT_FALSE</v>
      </c>
      <c r="U412" s="1" t="str">
        <f>IF(AND(U$400,COUNTA(U$404:U411)+4&lt;=MATCH(U$402,Tenors_set,0)),_xll.RtContribute(U$403,U$3&amp;"FX"&amp;$C412&amp;"D=",{"BID","ASK"},CHOOSE({1,2},IF(U$401,U251,U129/U$11),IF(U$401,U251,U129)),"SCOPE:SERVER"),"RT_FALSE")</f>
        <v>RT_FALSE</v>
      </c>
      <c r="V412" s="1" t="str">
        <f>IF(AND(V$400,COUNTA(V$404:V411)+4&lt;=MATCH(V$402,Tenors_set,0)),_xll.RtContribute(V$403,V$3&amp;"FX"&amp;$C412&amp;"D=",{"BID","ASK"},CHOOSE({1,2},IF(V$401,V251,V129/V$11),IF(V$401,V251,V129)),"SCOPE:SERVER"),"RT_FALSE")</f>
        <v>RT_FALSE</v>
      </c>
      <c r="W412" s="1" t="str">
        <f>IF(AND(W$400,COUNTA(W$404:W411)+4&lt;=MATCH(W$402,Tenors_set,0)),_xll.RtContribute(W$403,W$3&amp;"FX"&amp;$C412&amp;"D=",{"BID","ASK"},CHOOSE({1,2},IF(W$401,W251,W129/W$11),IF(W$401,W251,W129)),"SCOPE:SERVER"),"RT_FALSE")</f>
        <v>RT_FALSE</v>
      </c>
      <c r="X412" s="1" t="str">
        <f>IF(AND(X$400,COUNTA(X$404:X411)+4&lt;=MATCH(X$402,Tenors_set,0)),_xll.RtContribute(X$403,X$3&amp;"FX"&amp;$C412&amp;"D=",{"BID","ASK"},CHOOSE({1,2},IF(X$401,X251,X129/X$11),IF(X$401,X251,X129)),"SCOPE:SERVER"),"RT_FALSE")</f>
        <v>RT_FALSE</v>
      </c>
      <c r="Y412" s="1" t="str">
        <f>IF(AND(Y$400,COUNTA(Y$404:Y411)+4&lt;=MATCH(Y$402,Tenors_set,0)),_xll.RtContribute(Y$403,Y$3&amp;"FX"&amp;$C412&amp;"D=",{"BID","ASK"},CHOOSE({1,2},IF(Y$401,Y251,Y129/Y$11),IF(Y$401,Y251,Y129)),"SCOPE:SERVER"),"RT_FALSE")</f>
        <v>RT_FALSE</v>
      </c>
      <c r="Z412" s="1" t="str">
        <f>IF(AND(Z$400,COUNTA(Z$404:Z411)+4&lt;=MATCH(Z$402,Tenors_set,0)),_xll.RtContribute(Z$403,Z$3&amp;"FX"&amp;$C412&amp;"D=",{"BID","ASK"},CHOOSE({1,2},IF(Z$401,Z251,Z129/Z$11),IF(Z$401,Z251,Z129)),"SCOPE:SERVER"),"RT_FALSE")</f>
        <v>RT_FALSE</v>
      </c>
      <c r="AA412" s="1" t="str">
        <f>IF(AND(AA$400,COUNTA(AA$404:AA411)+4&lt;=MATCH(AA$402,Tenors_set,0)),_xll.RtContribute(AA$403,AA$3&amp;"FX"&amp;$C412&amp;"D=",{"BID","ASK"},CHOOSE({1,2},IF(AA$401,AA251,AA129/AA$11),IF(AA$401,AA251,AA129)),"SCOPE:SERVER"),"RT_FALSE")</f>
        <v>RT_FALSE</v>
      </c>
      <c r="AB412" s="1" t="str">
        <f>IF(AND(AB$400,COUNTA(AB$404:AB411)+4&lt;=MATCH(AB$402,Tenors_set,0)),_xll.RtContribute(AB$403,AB$3&amp;"FX"&amp;$C412&amp;"D=",{"BID","ASK"},CHOOSE({1,2},IF(AB$401,AB251,AB129/AB$11),IF(AB$401,AB251,AB129)),"SCOPE:SERVER"),"RT_FALSE")</f>
        <v>RT_FALSE</v>
      </c>
      <c r="AC412" s="1" t="str">
        <f>IF(AND(AC$400,COUNTA(AC$404:AC411)+4&lt;=MATCH(AC$402,Tenors_set,0)),_xll.RtContribute(AC$403,AC$3&amp;"FX"&amp;$C412&amp;"D=",{"BID","ASK"},CHOOSE({1,2},IF(AC$401,AC251,AC129/AC$11),IF(AC$401,AC251,AC129)),"SCOPE:SERVER"),"RT_FALSE")</f>
        <v>RT_FALSE</v>
      </c>
      <c r="AD412" s="1" t="str">
        <f>IF(AND(AD$400,COUNTA(AD$404:AD411)+4&lt;=MATCH(AD$402,Tenors_set,0)),_xll.RtContribute(AD$403,AD$3&amp;"FX"&amp;$C412&amp;"D=",{"BID","ASK"},CHOOSE({1,2},IF(AD$401,AD251,AD129/AD$11),IF(AD$401,AD251,AD129)),"SCOPE:SERVER"),"RT_FALSE")</f>
        <v>RT_FALSE</v>
      </c>
      <c r="AE412" s="1" t="str">
        <f>IF(AND(AE$400,COUNTA(AE$404:AE411)+4&lt;=MATCH(AE$402,Tenors_set,0)),_xll.RtContribute(AE$403,AE$3&amp;"FX"&amp;$C412&amp;"D=",{"BID","ASK"},CHOOSE({1,2},IF(AE$401,AE251,AE129/AE$11),IF(AE$401,AE251,AE129)),"SCOPE:SERVER"),"RT_FALSE")</f>
        <v>RT_FALSE</v>
      </c>
      <c r="AF412" s="1" t="str">
        <f>IF(AND(AF$400,COUNTA(AF$404:AF411)+4&lt;=MATCH(AF$402,Tenors_set,0)),_xll.RtContribute(AF$403,AF$3&amp;"FX"&amp;$C412&amp;"D=",{"BID","ASK"},CHOOSE({1,2},IF(AF$401,AF251,AF129/AF$11),IF(AF$401,AF251,AF129)),"SCOPE:SERVER"),"RT_FALSE")</f>
        <v>RT_FALSE</v>
      </c>
      <c r="AG412" s="1" t="str">
        <f>IF(AND(AG$400,COUNTA(AG$404:AG411)+4&lt;=MATCH(AG$402,Tenors_set,0)),_xll.RtContribute(AG$403,AG$3&amp;"FX"&amp;$C412&amp;"D=",{"BID","ASK"},CHOOSE({1,2},IF(AG$401,AG251,AG129/AG$11),IF(AG$401,AG251,AG129)),"SCOPE:SERVER"),"RT_FALSE")</f>
        <v>RT_FALSE</v>
      </c>
      <c r="AH412" s="1" t="str">
        <f>IF(AND(AH$400,COUNTA(AH$404:AH411)+4&lt;=MATCH(AH$402,Tenors_set,0)),_xll.RtContribute(AH$403,AH$3&amp;"FX"&amp;$C412&amp;"D=",{"BID","ASK"},CHOOSE({1,2},IF(AH$401,AH251,AH129/AH$11),IF(AH$401,AH251,AH129)),"SCOPE:SERVER"),"RT_FALSE")</f>
        <v>RT_FALSE</v>
      </c>
      <c r="AI412" s="1" t="str">
        <f>IF(AND(AI$400,COUNTA(AI$404:AI411)+4&lt;=MATCH(AI$402,Tenors_set,0)),_xll.RtContribute(AI$403,AI$3&amp;"FX"&amp;$C412&amp;"D=",{"BID","ASK"},CHOOSE({1,2},IF(AI$401,AI251,AI129/AI$11),IF(AI$401,AI251,AI129)),"SCOPE:SERVER"),"RT_FALSE")</f>
        <v>RT_FALSE</v>
      </c>
      <c r="AJ412" s="1" t="str">
        <f>IF(AND(AJ$400,COUNTA(AJ$404:AJ411)+4&lt;=MATCH(AJ$402,Tenors_set,0)),_xll.RtContribute(AJ$403,AJ$3&amp;"FX"&amp;$C412&amp;"D=",{"BID","ASK"},CHOOSE({1,2},IF(AJ$401,AJ251,AJ129/AJ$11),IF(AJ$401,AJ251,AJ129)),"SCOPE:SERVER"),"RT_FALSE")</f>
        <v>RT_FALSE</v>
      </c>
      <c r="AK412" s="1" t="str">
        <f>IF(AND(AK$400,COUNTA(AK$404:AK411)+4&lt;=MATCH(AK$402,Tenors_set,0)),_xll.RtContribute(AK$403,AK$3&amp;"FX"&amp;$C412&amp;"D=",{"BID","ASK"},CHOOSE({1,2},IF(AK$401,AK251,AK129/AK$11),IF(AK$401,AK251,AK129)),"SCOPE:SERVER"),"RT_FALSE")</f>
        <v>RT_FALSE</v>
      </c>
      <c r="AL412" s="1" t="str">
        <f>IF(AND(AL$400,COUNTA(AL$404:AL411)+4&lt;=MATCH(AL$402,Tenors_set,0)),_xll.RtContribute(AL$403,AL$3&amp;"FX"&amp;$C412&amp;"D=",{"BID","ASK"},CHOOSE({1,2},IF(AL$401,AL251,AL129/AL$11),IF(AL$401,AL251,AL129)),"SCOPE:SERVER"),"RT_FALSE")</f>
        <v>RT_FALSE</v>
      </c>
      <c r="AM412" s="1" t="str">
        <f>IF(AND(AM$400,COUNTA(AM$404:AM411)+4&lt;=MATCH(AM$402,Tenors_set,0)),_xll.RtContribute(AM$403,AM$3&amp;"FX"&amp;$C412&amp;"D=",{"BID","ASK"},CHOOSE({1,2},IF(AM$401,AM251,AM129/AM$11),IF(AM$401,AM251,AM129)),"SCOPE:SERVER"),"RT_FALSE")</f>
        <v>RT_FALSE</v>
      </c>
      <c r="AN412" s="1" t="str">
        <f>IF(AND(AN$400,COUNTA(AN$404:AN411)+4&lt;=MATCH(AN$402,Tenors_set,0)),_xll.RtContribute(AN$403,AN$3&amp;"FX"&amp;$C412&amp;"D=",{"BID","ASK"},CHOOSE({1,2},IF(AN$401,AN251,AN129/AN$11),IF(AN$401,AN251,AN129)),"SCOPE:SERVER"),"RT_FALSE")</f>
        <v>RT_FALSE</v>
      </c>
      <c r="AO412" s="1" t="str">
        <f>IF(AND(AO$400,COUNTA(AO$404:AO411)+4&lt;=MATCH(AO$402,Tenors_set,0)),_xll.RtContribute(AO$403,AO$3&amp;"FX"&amp;$C412&amp;"D=",{"BID","ASK"},CHOOSE({1,2},IF(AO$401,AO251,AO129/AO$11),IF(AO$401,AO251,AO129)),"SCOPE:SERVER"),"RT_FALSE")</f>
        <v>RT_FALSE</v>
      </c>
      <c r="AP412" s="1" t="str">
        <f>IF(AND(AP$400,COUNTA(AP$404:AP411)+4&lt;=MATCH(AP$402,Tenors_set,0)),_xll.RtContribute(AP$403,AP$3&amp;"FX"&amp;$C412&amp;"D=",{"BID","ASK"},CHOOSE({1,2},IF(AP$401,AP251,AP129/AP$11),IF(AP$401,AP251,AP129)),"SCOPE:SERVER"),"RT_FALSE")</f>
        <v>RT_FALSE</v>
      </c>
    </row>
    <row r="413" spans="3:42" x14ac:dyDescent="0.2">
      <c r="C413" s="1" t="s">
        <v>82</v>
      </c>
      <c r="E413" s="1" t="str">
        <f>IF(AND(E$400,COUNTA(E$404:E412)+4&lt;=MATCH(E$402,Tenors_set,0)),_xll.RtContribute(E$403,E$3&amp;"FX"&amp;$C413&amp;"D=",{"BID","ASK"},CHOOSE({1,2},IF(E$401,E252,E130/E$11),IF(E$401,E252,E130)),"SCOPE:SERVER"),"RT_FALSE")</f>
        <v>RT_FALSE</v>
      </c>
      <c r="F413" s="1" t="str">
        <f>IF(AND(F$400,COUNTA(F$404:F412)+4&lt;=MATCH(F$402,Tenors_set,0)),_xll.RtContribute(F$403,F$3&amp;"FX"&amp;$C413&amp;"D=",{"BID","ASK"},CHOOSE({1,2},IF(F$401,F252,F130/F$11),IF(F$401,F252,F130)),"SCOPE:SERVER"),"RT_FALSE")</f>
        <v>RT_FALSE</v>
      </c>
      <c r="G413" s="1" t="str">
        <f>IF(AND(G$400,COUNTA(G$404:G412)+4&lt;=MATCH(G$402,Tenors_set,0)),_xll.RtContribute(G$403,G$3&amp;"FX"&amp;$C413&amp;"D=",{"BID","ASK"},CHOOSE({1,2},IF(G$401,G252,G130/G$11),IF(G$401,G252,G130)),"SCOPE:SERVER"),"RT_FALSE")</f>
        <v>RT_FALSE</v>
      </c>
      <c r="H413" s="1" t="str">
        <f>IF(AND(H$400,COUNTA(H$404:H412)+4&lt;=MATCH(H$402,Tenors_set,0)),_xll.RtContribute(H$403,H$3&amp;"FX"&amp;$C413&amp;"D=",{"BID","ASK"},CHOOSE({1,2},IF(H$401,H252,H130/H$11),IF(H$401,H252,H130)),"SCOPE:SERVER"),"RT_FALSE")</f>
        <v>RT_FALSE</v>
      </c>
      <c r="I413" s="1" t="str">
        <f>IF(AND(I$400,COUNTA(I$404:I412)+4&lt;=MATCH(I$402,Tenors_set,0)),_xll.RtContribute(I$403,I$3&amp;"FX"&amp;$C413&amp;"D=",{"BID","ASK"},CHOOSE({1,2},IF(I$401,I252,I130/I$11),IF(I$401,I252,I130)),"SCOPE:SERVER"),"RT_FALSE")</f>
        <v>RT_FALSE</v>
      </c>
      <c r="J413" s="1" t="str">
        <f>IF(AND(J$400,COUNTA(J$404:J412)+4&lt;=MATCH(J$402,Tenors_set,0)),_xll.RtContribute(J$403,J$3&amp;"FX"&amp;$C413&amp;"D=",{"BID","ASK"},CHOOSE({1,2},IF(J$401,J252,J130/J$11),IF(J$401,J252,J130)),"SCOPE:SERVER"),"RT_FALSE")</f>
        <v>RT_FALSE</v>
      </c>
      <c r="K413" s="1" t="str">
        <f>IF(AND(K$400,COUNTA(K$404:K412)+4&lt;=MATCH(K$402,Tenors_set,0)),_xll.RtContribute(K$403,K$3&amp;"FX"&amp;$C413&amp;"D=",{"BID","ASK"},CHOOSE({1,2},IF(K$401,K252,K130/K$11),IF(K$401,K252,K130)),"SCOPE:SERVER"),"RT_FALSE")</f>
        <v>RT_FALSE</v>
      </c>
      <c r="L413" s="1" t="str">
        <f>IF(AND(L$400,COUNTA(L$404:L412)+4&lt;=MATCH(L$402,Tenors_set,0)),_xll.RtContribute(L$403,L$3&amp;"FX"&amp;$C413&amp;"D=",{"BID","ASK"},CHOOSE({1,2},IF(L$401,L252,L130/L$11),IF(L$401,L252,L130)),"SCOPE:SERVER"),"RT_FALSE")</f>
        <v>RT_FALSE</v>
      </c>
      <c r="M413" s="1" t="str">
        <f>IF(AND(M$400,COUNTA(M$404:M412)+4&lt;=MATCH(M$402,Tenors_set,0)),_xll.RtContribute(M$403,M$3&amp;"FX"&amp;$C413&amp;"D=",{"BID","ASK"},CHOOSE({1,2},IF(M$401,M252,M130/M$11),IF(M$401,M252,M130)),"SCOPE:SERVER"),"RT_FALSE")</f>
        <v>RT_FALSE</v>
      </c>
      <c r="N413" s="1" t="str">
        <f>IF(AND(N$400,COUNTA(N$404:N412)+4&lt;=MATCH(N$402,Tenors_set,0)),_xll.RtContribute(N$403,N$3&amp;"FX"&amp;$C413&amp;"D=",{"BID","ASK"},CHOOSE({1,2},IF(N$401,N252,N130/N$11),IF(N$401,N252,N130)),"SCOPE:SERVER"),"RT_FALSE")</f>
        <v>RT_FALSE</v>
      </c>
      <c r="O413" s="1" t="str">
        <f>IF(AND(O$400,COUNTA(O$404:O412)+4&lt;=MATCH(O$402,Tenors_set,0)),_xll.RtContribute(O$403,O$3&amp;"FX"&amp;$C413&amp;"D=",{"BID","ASK"},CHOOSE({1,2},IF(O$401,O252,O130/O$11),IF(O$401,O252,O130)),"SCOPE:SERVER"),"RT_FALSE")</f>
        <v>RT_FALSE</v>
      </c>
      <c r="P413" s="1" t="str">
        <f>IF(AND(P$400,COUNTA(P$404:P412)+4&lt;=MATCH(P$402,Tenors_set,0)),_xll.RtContribute(P$403,P$3&amp;"FX"&amp;$C413&amp;"D=",{"BID","ASK"},CHOOSE({1,2},IF(P$401,P252,P130/P$11),IF(P$401,P252,P130)),"SCOPE:SERVER"),"RT_FALSE")</f>
        <v>RT_FALSE</v>
      </c>
      <c r="Q413" s="1" t="str">
        <f>IF(AND(Q$400,COUNTA(Q$404:Q412)+4&lt;=MATCH(Q$402,Tenors_set,0)),_xll.RtContribute(Q$403,Q$3&amp;"FX"&amp;$C413&amp;"D=",{"BID","ASK"},CHOOSE({1,2},IF(Q$401,Q252,Q130/Q$11),IF(Q$401,Q252,Q130)),"SCOPE:SERVER"),"RT_FALSE")</f>
        <v>RT_FALSE</v>
      </c>
      <c r="R413" s="1" t="str">
        <f>IF(AND(R$400,COUNTA(R$404:R412)+4&lt;=MATCH(R$402,Tenors_set,0)),_xll.RtContribute(R$403,R$3&amp;"FX"&amp;$C413&amp;"D=",{"BID","ASK"},CHOOSE({1,2},IF(R$401,R252,R130/R$11),IF(R$401,R252,R130)),"SCOPE:SERVER"),"RT_FALSE")</f>
        <v>RT_FALSE</v>
      </c>
      <c r="S413" s="1" t="str">
        <f>IF(AND(S$400,COUNTA(S$404:S412)+4&lt;=MATCH(S$402,Tenors_set,0)),_xll.RtContribute(S$403,S$3&amp;"FX"&amp;$C413&amp;"D=",{"BID","ASK"},CHOOSE({1,2},IF(S$401,S252,S130/S$11),IF(S$401,S252,S130)),"SCOPE:SERVER"),"RT_FALSE")</f>
        <v>RT_FALSE</v>
      </c>
      <c r="T413" s="1" t="str">
        <f>IF(AND(T$400,COUNTA(T$404:T412)+4&lt;=MATCH(T$402,Tenors_set,0)),_xll.RtContribute(T$403,T$3&amp;"FX"&amp;$C413&amp;"D=",{"BID","ASK"},CHOOSE({1,2},IF(T$401,T252,T130/T$11),IF(T$401,T252,T130)),"SCOPE:SERVER"),"RT_FALSE")</f>
        <v>RT_FALSE</v>
      </c>
      <c r="U413" s="1" t="str">
        <f>IF(AND(U$400,COUNTA(U$404:U412)+4&lt;=MATCH(U$402,Tenors_set,0)),_xll.RtContribute(U$403,U$3&amp;"FX"&amp;$C413&amp;"D=",{"BID","ASK"},CHOOSE({1,2},IF(U$401,U252,U130/U$11),IF(U$401,U252,U130)),"SCOPE:SERVER"),"RT_FALSE")</f>
        <v>RT_FALSE</v>
      </c>
      <c r="V413" s="1" t="str">
        <f>IF(AND(V$400,COUNTA(V$404:V412)+4&lt;=MATCH(V$402,Tenors_set,0)),_xll.RtContribute(V$403,V$3&amp;"FX"&amp;$C413&amp;"D=",{"BID","ASK"},CHOOSE({1,2},IF(V$401,V252,V130/V$11),IF(V$401,V252,V130)),"SCOPE:SERVER"),"RT_FALSE")</f>
        <v>RT_FALSE</v>
      </c>
      <c r="W413" s="1" t="str">
        <f>IF(AND(W$400,COUNTA(W$404:W412)+4&lt;=MATCH(W$402,Tenors_set,0)),_xll.RtContribute(W$403,W$3&amp;"FX"&amp;$C413&amp;"D=",{"BID","ASK"},CHOOSE({1,2},IF(W$401,W252,W130/W$11),IF(W$401,W252,W130)),"SCOPE:SERVER"),"RT_FALSE")</f>
        <v>RT_FALSE</v>
      </c>
      <c r="X413" s="1" t="str">
        <f>IF(AND(X$400,COUNTA(X$404:X412)+4&lt;=MATCH(X$402,Tenors_set,0)),_xll.RtContribute(X$403,X$3&amp;"FX"&amp;$C413&amp;"D=",{"BID","ASK"},CHOOSE({1,2},IF(X$401,X252,X130/X$11),IF(X$401,X252,X130)),"SCOPE:SERVER"),"RT_FALSE")</f>
        <v>RT_FALSE</v>
      </c>
      <c r="Y413" s="1" t="str">
        <f>IF(AND(Y$400,COUNTA(Y$404:Y412)+4&lt;=MATCH(Y$402,Tenors_set,0)),_xll.RtContribute(Y$403,Y$3&amp;"FX"&amp;$C413&amp;"D=",{"BID","ASK"},CHOOSE({1,2},IF(Y$401,Y252,Y130/Y$11),IF(Y$401,Y252,Y130)),"SCOPE:SERVER"),"RT_FALSE")</f>
        <v>RT_FALSE</v>
      </c>
      <c r="Z413" s="1" t="str">
        <f>IF(AND(Z$400,COUNTA(Z$404:Z412)+4&lt;=MATCH(Z$402,Tenors_set,0)),_xll.RtContribute(Z$403,Z$3&amp;"FX"&amp;$C413&amp;"D=",{"BID","ASK"},CHOOSE({1,2},IF(Z$401,Z252,Z130/Z$11),IF(Z$401,Z252,Z130)),"SCOPE:SERVER"),"RT_FALSE")</f>
        <v>RT_FALSE</v>
      </c>
      <c r="AA413" s="1" t="str">
        <f>IF(AND(AA$400,COUNTA(AA$404:AA412)+4&lt;=MATCH(AA$402,Tenors_set,0)),_xll.RtContribute(AA$403,AA$3&amp;"FX"&amp;$C413&amp;"D=",{"BID","ASK"},CHOOSE({1,2},IF(AA$401,AA252,AA130/AA$11),IF(AA$401,AA252,AA130)),"SCOPE:SERVER"),"RT_FALSE")</f>
        <v>RT_FALSE</v>
      </c>
      <c r="AB413" s="1" t="str">
        <f>IF(AND(AB$400,COUNTA(AB$404:AB412)+4&lt;=MATCH(AB$402,Tenors_set,0)),_xll.RtContribute(AB$403,AB$3&amp;"FX"&amp;$C413&amp;"D=",{"BID","ASK"},CHOOSE({1,2},IF(AB$401,AB252,AB130/AB$11),IF(AB$401,AB252,AB130)),"SCOPE:SERVER"),"RT_FALSE")</f>
        <v>RT_FALSE</v>
      </c>
      <c r="AC413" s="1" t="str">
        <f>IF(AND(AC$400,COUNTA(AC$404:AC412)+4&lt;=MATCH(AC$402,Tenors_set,0)),_xll.RtContribute(AC$403,AC$3&amp;"FX"&amp;$C413&amp;"D=",{"BID","ASK"},CHOOSE({1,2},IF(AC$401,AC252,AC130/AC$11),IF(AC$401,AC252,AC130)),"SCOPE:SERVER"),"RT_FALSE")</f>
        <v>RT_FALSE</v>
      </c>
      <c r="AD413" s="1" t="str">
        <f>IF(AND(AD$400,COUNTA(AD$404:AD412)+4&lt;=MATCH(AD$402,Tenors_set,0)),_xll.RtContribute(AD$403,AD$3&amp;"FX"&amp;$C413&amp;"D=",{"BID","ASK"},CHOOSE({1,2},IF(AD$401,AD252,AD130/AD$11),IF(AD$401,AD252,AD130)),"SCOPE:SERVER"),"RT_FALSE")</f>
        <v>RT_FALSE</v>
      </c>
      <c r="AE413" s="1" t="str">
        <f>IF(AND(AE$400,COUNTA(AE$404:AE412)+4&lt;=MATCH(AE$402,Tenors_set,0)),_xll.RtContribute(AE$403,AE$3&amp;"FX"&amp;$C413&amp;"D=",{"BID","ASK"},CHOOSE({1,2},IF(AE$401,AE252,AE130/AE$11),IF(AE$401,AE252,AE130)),"SCOPE:SERVER"),"RT_FALSE")</f>
        <v>RT_FALSE</v>
      </c>
      <c r="AF413" s="1" t="str">
        <f>IF(AND(AF$400,COUNTA(AF$404:AF412)+4&lt;=MATCH(AF$402,Tenors_set,0)),_xll.RtContribute(AF$403,AF$3&amp;"FX"&amp;$C413&amp;"D=",{"BID","ASK"},CHOOSE({1,2},IF(AF$401,AF252,AF130/AF$11),IF(AF$401,AF252,AF130)),"SCOPE:SERVER"),"RT_FALSE")</f>
        <v>RT_FALSE</v>
      </c>
      <c r="AG413" s="1" t="str">
        <f>IF(AND(AG$400,COUNTA(AG$404:AG412)+4&lt;=MATCH(AG$402,Tenors_set,0)),_xll.RtContribute(AG$403,AG$3&amp;"FX"&amp;$C413&amp;"D=",{"BID","ASK"},CHOOSE({1,2},IF(AG$401,AG252,AG130/AG$11),IF(AG$401,AG252,AG130)),"SCOPE:SERVER"),"RT_FALSE")</f>
        <v>RT_FALSE</v>
      </c>
      <c r="AH413" s="1" t="str">
        <f>IF(AND(AH$400,COUNTA(AH$404:AH412)+4&lt;=MATCH(AH$402,Tenors_set,0)),_xll.RtContribute(AH$403,AH$3&amp;"FX"&amp;$C413&amp;"D=",{"BID","ASK"},CHOOSE({1,2},IF(AH$401,AH252,AH130/AH$11),IF(AH$401,AH252,AH130)),"SCOPE:SERVER"),"RT_FALSE")</f>
        <v>RT_FALSE</v>
      </c>
      <c r="AI413" s="1" t="str">
        <f>IF(AND(AI$400,COUNTA(AI$404:AI412)+4&lt;=MATCH(AI$402,Tenors_set,0)),_xll.RtContribute(AI$403,AI$3&amp;"FX"&amp;$C413&amp;"D=",{"BID","ASK"},CHOOSE({1,2},IF(AI$401,AI252,AI130/AI$11),IF(AI$401,AI252,AI130)),"SCOPE:SERVER"),"RT_FALSE")</f>
        <v>RT_FALSE</v>
      </c>
      <c r="AJ413" s="1" t="str">
        <f>IF(AND(AJ$400,COUNTA(AJ$404:AJ412)+4&lt;=MATCH(AJ$402,Tenors_set,0)),_xll.RtContribute(AJ$403,AJ$3&amp;"FX"&amp;$C413&amp;"D=",{"BID","ASK"},CHOOSE({1,2},IF(AJ$401,AJ252,AJ130/AJ$11),IF(AJ$401,AJ252,AJ130)),"SCOPE:SERVER"),"RT_FALSE")</f>
        <v>RT_FALSE</v>
      </c>
      <c r="AK413" s="1" t="str">
        <f>IF(AND(AK$400,COUNTA(AK$404:AK412)+4&lt;=MATCH(AK$402,Tenors_set,0)),_xll.RtContribute(AK$403,AK$3&amp;"FX"&amp;$C413&amp;"D=",{"BID","ASK"},CHOOSE({1,2},IF(AK$401,AK252,AK130/AK$11),IF(AK$401,AK252,AK130)),"SCOPE:SERVER"),"RT_FALSE")</f>
        <v>RT_FALSE</v>
      </c>
      <c r="AL413" s="1" t="str">
        <f>IF(AND(AL$400,COUNTA(AL$404:AL412)+4&lt;=MATCH(AL$402,Tenors_set,0)),_xll.RtContribute(AL$403,AL$3&amp;"FX"&amp;$C413&amp;"D=",{"BID","ASK"},CHOOSE({1,2},IF(AL$401,AL252,AL130/AL$11),IF(AL$401,AL252,AL130)),"SCOPE:SERVER"),"RT_FALSE")</f>
        <v>RT_FALSE</v>
      </c>
      <c r="AM413" s="1" t="str">
        <f>IF(AND(AM$400,COUNTA(AM$404:AM412)+4&lt;=MATCH(AM$402,Tenors_set,0)),_xll.RtContribute(AM$403,AM$3&amp;"FX"&amp;$C413&amp;"D=",{"BID","ASK"},CHOOSE({1,2},IF(AM$401,AM252,AM130/AM$11),IF(AM$401,AM252,AM130)),"SCOPE:SERVER"),"RT_FALSE")</f>
        <v>RT_FALSE</v>
      </c>
      <c r="AN413" s="1" t="str">
        <f>IF(AND(AN$400,COUNTA(AN$404:AN412)+4&lt;=MATCH(AN$402,Tenors_set,0)),_xll.RtContribute(AN$403,AN$3&amp;"FX"&amp;$C413&amp;"D=",{"BID","ASK"},CHOOSE({1,2},IF(AN$401,AN252,AN130/AN$11),IF(AN$401,AN252,AN130)),"SCOPE:SERVER"),"RT_FALSE")</f>
        <v>RT_FALSE</v>
      </c>
      <c r="AO413" s="1" t="str">
        <f>IF(AND(AO$400,COUNTA(AO$404:AO412)+4&lt;=MATCH(AO$402,Tenors_set,0)),_xll.RtContribute(AO$403,AO$3&amp;"FX"&amp;$C413&amp;"D=",{"BID","ASK"},CHOOSE({1,2},IF(AO$401,AO252,AO130/AO$11),IF(AO$401,AO252,AO130)),"SCOPE:SERVER"),"RT_FALSE")</f>
        <v>RT_FALSE</v>
      </c>
      <c r="AP413" s="1" t="str">
        <f>IF(AND(AP$400,COUNTA(AP$404:AP412)+4&lt;=MATCH(AP$402,Tenors_set,0)),_xll.RtContribute(AP$403,AP$3&amp;"FX"&amp;$C413&amp;"D=",{"BID","ASK"},CHOOSE({1,2},IF(AP$401,AP252,AP130/AP$11),IF(AP$401,AP252,AP130)),"SCOPE:SERVER"),"RT_FALSE")</f>
        <v>RT_FALSE</v>
      </c>
    </row>
    <row r="414" spans="3:42" x14ac:dyDescent="0.2">
      <c r="C414" s="1" t="s">
        <v>85</v>
      </c>
      <c r="E414" s="1" t="str">
        <f>IF(AND(E$400,COUNTA(E$404:E413)+4&lt;=MATCH(E$402,Tenors_set,0)),_xll.RtContribute(E$403,E$3&amp;"FX"&amp;$C414&amp;"D=",{"BID","ASK"},CHOOSE({1,2},IF(E$401,E253,E131/E$11),IF(E$401,E253,E131)),"SCOPE:SERVER"),"RT_FALSE")</f>
        <v>RT_FALSE</v>
      </c>
      <c r="F414" s="1" t="str">
        <f>IF(AND(F$400,COUNTA(F$404:F413)+4&lt;=MATCH(F$402,Tenors_set,0)),_xll.RtContribute(F$403,F$3&amp;"FX"&amp;$C414&amp;"D=",{"BID","ASK"},CHOOSE({1,2},IF(F$401,F253,F131/F$11),IF(F$401,F253,F131)),"SCOPE:SERVER"),"RT_FALSE")</f>
        <v>RT_FALSE</v>
      </c>
      <c r="G414" s="1" t="str">
        <f>IF(AND(G$400,COUNTA(G$404:G413)+4&lt;=MATCH(G$402,Tenors_set,0)),_xll.RtContribute(G$403,G$3&amp;"FX"&amp;$C414&amp;"D=",{"BID","ASK"},CHOOSE({1,2},IF(G$401,G253,G131/G$11),IF(G$401,G253,G131)),"SCOPE:SERVER"),"RT_FALSE")</f>
        <v>RT_FALSE</v>
      </c>
      <c r="H414" s="1" t="str">
        <f>IF(AND(H$400,COUNTA(H$404:H413)+4&lt;=MATCH(H$402,Tenors_set,0)),_xll.RtContribute(H$403,H$3&amp;"FX"&amp;$C414&amp;"D=",{"BID","ASK"},CHOOSE({1,2},IF(H$401,H253,H131/H$11),IF(H$401,H253,H131)),"SCOPE:SERVER"),"RT_FALSE")</f>
        <v>RT_FALSE</v>
      </c>
      <c r="I414" s="1" t="str">
        <f>IF(AND(I$400,COUNTA(I$404:I413)+4&lt;=MATCH(I$402,Tenors_set,0)),_xll.RtContribute(I$403,I$3&amp;"FX"&amp;$C414&amp;"D=",{"BID","ASK"},CHOOSE({1,2},IF(I$401,I253,I131/I$11),IF(I$401,I253,I131)),"SCOPE:SERVER"),"RT_FALSE")</f>
        <v>RT_FALSE</v>
      </c>
      <c r="J414" s="1" t="str">
        <f>IF(AND(J$400,COUNTA(J$404:J413)+4&lt;=MATCH(J$402,Tenors_set,0)),_xll.RtContribute(J$403,J$3&amp;"FX"&amp;$C414&amp;"D=",{"BID","ASK"},CHOOSE({1,2},IF(J$401,J253,J131/J$11),IF(J$401,J253,J131)),"SCOPE:SERVER"),"RT_FALSE")</f>
        <v>RT_FALSE</v>
      </c>
      <c r="K414" s="1" t="str">
        <f>IF(AND(K$400,COUNTA(K$404:K413)+4&lt;=MATCH(K$402,Tenors_set,0)),_xll.RtContribute(K$403,K$3&amp;"FX"&amp;$C414&amp;"D=",{"BID","ASK"},CHOOSE({1,2},IF(K$401,K253,K131/K$11),IF(K$401,K253,K131)),"SCOPE:SERVER"),"RT_FALSE")</f>
        <v>RT_FALSE</v>
      </c>
      <c r="L414" s="1" t="str">
        <f>IF(AND(L$400,COUNTA(L$404:L413)+4&lt;=MATCH(L$402,Tenors_set,0)),_xll.RtContribute(L$403,L$3&amp;"FX"&amp;$C414&amp;"D=",{"BID","ASK"},CHOOSE({1,2},IF(L$401,L253,L131/L$11),IF(L$401,L253,L131)),"SCOPE:SERVER"),"RT_FALSE")</f>
        <v>RT_FALSE</v>
      </c>
      <c r="M414" s="1" t="str">
        <f>IF(AND(M$400,COUNTA(M$404:M413)+4&lt;=MATCH(M$402,Tenors_set,0)),_xll.RtContribute(M$403,M$3&amp;"FX"&amp;$C414&amp;"D=",{"BID","ASK"},CHOOSE({1,2},IF(M$401,M253,M131/M$11),IF(M$401,M253,M131)),"SCOPE:SERVER"),"RT_FALSE")</f>
        <v>RT_FALSE</v>
      </c>
      <c r="N414" s="1" t="str">
        <f>IF(AND(N$400,COUNTA(N$404:N413)+4&lt;=MATCH(N$402,Tenors_set,0)),_xll.RtContribute(N$403,N$3&amp;"FX"&amp;$C414&amp;"D=",{"BID","ASK"},CHOOSE({1,2},IF(N$401,N253,N131/N$11),IF(N$401,N253,N131)),"SCOPE:SERVER"),"RT_FALSE")</f>
        <v>RT_FALSE</v>
      </c>
      <c r="O414" s="1" t="str">
        <f>IF(AND(O$400,COUNTA(O$404:O413)+4&lt;=MATCH(O$402,Tenors_set,0)),_xll.RtContribute(O$403,O$3&amp;"FX"&amp;$C414&amp;"D=",{"BID","ASK"},CHOOSE({1,2},IF(O$401,O253,O131/O$11),IF(O$401,O253,O131)),"SCOPE:SERVER"),"RT_FALSE")</f>
        <v>RT_FALSE</v>
      </c>
      <c r="P414" s="1" t="str">
        <f>IF(AND(P$400,COUNTA(P$404:P413)+4&lt;=MATCH(P$402,Tenors_set,0)),_xll.RtContribute(P$403,P$3&amp;"FX"&amp;$C414&amp;"D=",{"BID","ASK"},CHOOSE({1,2},IF(P$401,P253,P131/P$11),IF(P$401,P253,P131)),"SCOPE:SERVER"),"RT_FALSE")</f>
        <v>RT_FALSE</v>
      </c>
      <c r="Q414" s="1" t="str">
        <f>IF(AND(Q$400,COUNTA(Q$404:Q413)+4&lt;=MATCH(Q$402,Tenors_set,0)),_xll.RtContribute(Q$403,Q$3&amp;"FX"&amp;$C414&amp;"D=",{"BID","ASK"},CHOOSE({1,2},IF(Q$401,Q253,Q131/Q$11),IF(Q$401,Q253,Q131)),"SCOPE:SERVER"),"RT_FALSE")</f>
        <v>RT_FALSE</v>
      </c>
      <c r="R414" s="1" t="str">
        <f>IF(AND(R$400,COUNTA(R$404:R413)+4&lt;=MATCH(R$402,Tenors_set,0)),_xll.RtContribute(R$403,R$3&amp;"FX"&amp;$C414&amp;"D=",{"BID","ASK"},CHOOSE({1,2},IF(R$401,R253,R131/R$11),IF(R$401,R253,R131)),"SCOPE:SERVER"),"RT_FALSE")</f>
        <v>RT_FALSE</v>
      </c>
      <c r="S414" s="1" t="str">
        <f>IF(AND(S$400,COUNTA(S$404:S413)+4&lt;=MATCH(S$402,Tenors_set,0)),_xll.RtContribute(S$403,S$3&amp;"FX"&amp;$C414&amp;"D=",{"BID","ASK"},CHOOSE({1,2},IF(S$401,S253,S131/S$11),IF(S$401,S253,S131)),"SCOPE:SERVER"),"RT_FALSE")</f>
        <v>RT_FALSE</v>
      </c>
      <c r="T414" s="1" t="str">
        <f>IF(AND(T$400,COUNTA(T$404:T413)+4&lt;=MATCH(T$402,Tenors_set,0)),_xll.RtContribute(T$403,T$3&amp;"FX"&amp;$C414&amp;"D=",{"BID","ASK"},CHOOSE({1,2},IF(T$401,T253,T131/T$11),IF(T$401,T253,T131)),"SCOPE:SERVER"),"RT_FALSE")</f>
        <v>RT_FALSE</v>
      </c>
      <c r="U414" s="1" t="str">
        <f>IF(AND(U$400,COUNTA(U$404:U413)+4&lt;=MATCH(U$402,Tenors_set,0)),_xll.RtContribute(U$403,U$3&amp;"FX"&amp;$C414&amp;"D=",{"BID","ASK"},CHOOSE({1,2},IF(U$401,U253,U131/U$11),IF(U$401,U253,U131)),"SCOPE:SERVER"),"RT_FALSE")</f>
        <v>RT_FALSE</v>
      </c>
      <c r="V414" s="1" t="str">
        <f>IF(AND(V$400,COUNTA(V$404:V413)+4&lt;=MATCH(V$402,Tenors_set,0)),_xll.RtContribute(V$403,V$3&amp;"FX"&amp;$C414&amp;"D=",{"BID","ASK"},CHOOSE({1,2},IF(V$401,V253,V131/V$11),IF(V$401,V253,V131)),"SCOPE:SERVER"),"RT_FALSE")</f>
        <v>RT_FALSE</v>
      </c>
      <c r="W414" s="1" t="str">
        <f>IF(AND(W$400,COUNTA(W$404:W413)+4&lt;=MATCH(W$402,Tenors_set,0)),_xll.RtContribute(W$403,W$3&amp;"FX"&amp;$C414&amp;"D=",{"BID","ASK"},CHOOSE({1,2},IF(W$401,W253,W131/W$11),IF(W$401,W253,W131)),"SCOPE:SERVER"),"RT_FALSE")</f>
        <v>RT_FALSE</v>
      </c>
      <c r="X414" s="1" t="str">
        <f>IF(AND(X$400,COUNTA(X$404:X413)+4&lt;=MATCH(X$402,Tenors_set,0)),_xll.RtContribute(X$403,X$3&amp;"FX"&amp;$C414&amp;"D=",{"BID","ASK"},CHOOSE({1,2},IF(X$401,X253,X131/X$11),IF(X$401,X253,X131)),"SCOPE:SERVER"),"RT_FALSE")</f>
        <v>RT_FALSE</v>
      </c>
      <c r="Y414" s="1" t="str">
        <f>IF(AND(Y$400,COUNTA(Y$404:Y413)+4&lt;=MATCH(Y$402,Tenors_set,0)),_xll.RtContribute(Y$403,Y$3&amp;"FX"&amp;$C414&amp;"D=",{"BID","ASK"},CHOOSE({1,2},IF(Y$401,Y253,Y131/Y$11),IF(Y$401,Y253,Y131)),"SCOPE:SERVER"),"RT_FALSE")</f>
        <v>RT_FALSE</v>
      </c>
      <c r="Z414" s="1" t="str">
        <f>IF(AND(Z$400,COUNTA(Z$404:Z413)+4&lt;=MATCH(Z$402,Tenors_set,0)),_xll.RtContribute(Z$403,Z$3&amp;"FX"&amp;$C414&amp;"D=",{"BID","ASK"},CHOOSE({1,2},IF(Z$401,Z253,Z131/Z$11),IF(Z$401,Z253,Z131)),"SCOPE:SERVER"),"RT_FALSE")</f>
        <v>RT_FALSE</v>
      </c>
      <c r="AA414" s="1" t="str">
        <f>IF(AND(AA$400,COUNTA(AA$404:AA413)+4&lt;=MATCH(AA$402,Tenors_set,0)),_xll.RtContribute(AA$403,AA$3&amp;"FX"&amp;$C414&amp;"D=",{"BID","ASK"},CHOOSE({1,2},IF(AA$401,AA253,AA131/AA$11),IF(AA$401,AA253,AA131)),"SCOPE:SERVER"),"RT_FALSE")</f>
        <v>RT_FALSE</v>
      </c>
      <c r="AB414" s="1" t="str">
        <f>IF(AND(AB$400,COUNTA(AB$404:AB413)+4&lt;=MATCH(AB$402,Tenors_set,0)),_xll.RtContribute(AB$403,AB$3&amp;"FX"&amp;$C414&amp;"D=",{"BID","ASK"},CHOOSE({1,2},IF(AB$401,AB253,AB131/AB$11),IF(AB$401,AB253,AB131)),"SCOPE:SERVER"),"RT_FALSE")</f>
        <v>RT_FALSE</v>
      </c>
      <c r="AC414" s="1" t="str">
        <f>IF(AND(AC$400,COUNTA(AC$404:AC413)+4&lt;=MATCH(AC$402,Tenors_set,0)),_xll.RtContribute(AC$403,AC$3&amp;"FX"&amp;$C414&amp;"D=",{"BID","ASK"},CHOOSE({1,2},IF(AC$401,AC253,AC131/AC$11),IF(AC$401,AC253,AC131)),"SCOPE:SERVER"),"RT_FALSE")</f>
        <v>RT_FALSE</v>
      </c>
      <c r="AD414" s="1" t="str">
        <f>IF(AND(AD$400,COUNTA(AD$404:AD413)+4&lt;=MATCH(AD$402,Tenors_set,0)),_xll.RtContribute(AD$403,AD$3&amp;"FX"&amp;$C414&amp;"D=",{"BID","ASK"},CHOOSE({1,2},IF(AD$401,AD253,AD131/AD$11),IF(AD$401,AD253,AD131)),"SCOPE:SERVER"),"RT_FALSE")</f>
        <v>RT_FALSE</v>
      </c>
      <c r="AE414" s="1" t="str">
        <f>IF(AND(AE$400,COUNTA(AE$404:AE413)+4&lt;=MATCH(AE$402,Tenors_set,0)),_xll.RtContribute(AE$403,AE$3&amp;"FX"&amp;$C414&amp;"D=",{"BID","ASK"},CHOOSE({1,2},IF(AE$401,AE253,AE131/AE$11),IF(AE$401,AE253,AE131)),"SCOPE:SERVER"),"RT_FALSE")</f>
        <v>RT_FALSE</v>
      </c>
      <c r="AF414" s="1" t="str">
        <f>IF(AND(AF$400,COUNTA(AF$404:AF413)+4&lt;=MATCH(AF$402,Tenors_set,0)),_xll.RtContribute(AF$403,AF$3&amp;"FX"&amp;$C414&amp;"D=",{"BID","ASK"},CHOOSE({1,2},IF(AF$401,AF253,AF131/AF$11),IF(AF$401,AF253,AF131)),"SCOPE:SERVER"),"RT_FALSE")</f>
        <v>RT_FALSE</v>
      </c>
      <c r="AG414" s="1" t="str">
        <f>IF(AND(AG$400,COUNTA(AG$404:AG413)+4&lt;=MATCH(AG$402,Tenors_set,0)),_xll.RtContribute(AG$403,AG$3&amp;"FX"&amp;$C414&amp;"D=",{"BID","ASK"},CHOOSE({1,2},IF(AG$401,AG253,AG131/AG$11),IF(AG$401,AG253,AG131)),"SCOPE:SERVER"),"RT_FALSE")</f>
        <v>RT_FALSE</v>
      </c>
      <c r="AH414" s="1" t="str">
        <f>IF(AND(AH$400,COUNTA(AH$404:AH413)+4&lt;=MATCH(AH$402,Tenors_set,0)),_xll.RtContribute(AH$403,AH$3&amp;"FX"&amp;$C414&amp;"D=",{"BID","ASK"},CHOOSE({1,2},IF(AH$401,AH253,AH131/AH$11),IF(AH$401,AH253,AH131)),"SCOPE:SERVER"),"RT_FALSE")</f>
        <v>RT_FALSE</v>
      </c>
      <c r="AI414" s="1" t="str">
        <f>IF(AND(AI$400,COUNTA(AI$404:AI413)+4&lt;=MATCH(AI$402,Tenors_set,0)),_xll.RtContribute(AI$403,AI$3&amp;"FX"&amp;$C414&amp;"D=",{"BID","ASK"},CHOOSE({1,2},IF(AI$401,AI253,AI131/AI$11),IF(AI$401,AI253,AI131)),"SCOPE:SERVER"),"RT_FALSE")</f>
        <v>RT_FALSE</v>
      </c>
      <c r="AJ414" s="1" t="str">
        <f>IF(AND(AJ$400,COUNTA(AJ$404:AJ413)+4&lt;=MATCH(AJ$402,Tenors_set,0)),_xll.RtContribute(AJ$403,AJ$3&amp;"FX"&amp;$C414&amp;"D=",{"BID","ASK"},CHOOSE({1,2},IF(AJ$401,AJ253,AJ131/AJ$11),IF(AJ$401,AJ253,AJ131)),"SCOPE:SERVER"),"RT_FALSE")</f>
        <v>RT_FALSE</v>
      </c>
      <c r="AK414" s="1" t="str">
        <f>IF(AND(AK$400,COUNTA(AK$404:AK413)+4&lt;=MATCH(AK$402,Tenors_set,0)),_xll.RtContribute(AK$403,AK$3&amp;"FX"&amp;$C414&amp;"D=",{"BID","ASK"},CHOOSE({1,2},IF(AK$401,AK253,AK131/AK$11),IF(AK$401,AK253,AK131)),"SCOPE:SERVER"),"RT_FALSE")</f>
        <v>RT_FALSE</v>
      </c>
      <c r="AL414" s="1" t="str">
        <f>IF(AND(AL$400,COUNTA(AL$404:AL413)+4&lt;=MATCH(AL$402,Tenors_set,0)),_xll.RtContribute(AL$403,AL$3&amp;"FX"&amp;$C414&amp;"D=",{"BID","ASK"},CHOOSE({1,2},IF(AL$401,AL253,AL131/AL$11),IF(AL$401,AL253,AL131)),"SCOPE:SERVER"),"RT_FALSE")</f>
        <v>RT_FALSE</v>
      </c>
      <c r="AM414" s="1" t="str">
        <f>IF(AND(AM$400,COUNTA(AM$404:AM413)+4&lt;=MATCH(AM$402,Tenors_set,0)),_xll.RtContribute(AM$403,AM$3&amp;"FX"&amp;$C414&amp;"D=",{"BID","ASK"},CHOOSE({1,2},IF(AM$401,AM253,AM131/AM$11),IF(AM$401,AM253,AM131)),"SCOPE:SERVER"),"RT_FALSE")</f>
        <v>RT_FALSE</v>
      </c>
      <c r="AN414" s="1" t="str">
        <f>IF(AND(AN$400,COUNTA(AN$404:AN413)+4&lt;=MATCH(AN$402,Tenors_set,0)),_xll.RtContribute(AN$403,AN$3&amp;"FX"&amp;$C414&amp;"D=",{"BID","ASK"},CHOOSE({1,2},IF(AN$401,AN253,AN131/AN$11),IF(AN$401,AN253,AN131)),"SCOPE:SERVER"),"RT_FALSE")</f>
        <v>RT_FALSE</v>
      </c>
      <c r="AO414" s="1" t="str">
        <f>IF(AND(AO$400,COUNTA(AO$404:AO413)+4&lt;=MATCH(AO$402,Tenors_set,0)),_xll.RtContribute(AO$403,AO$3&amp;"FX"&amp;$C414&amp;"D=",{"BID","ASK"},CHOOSE({1,2},IF(AO$401,AO253,AO131/AO$11),IF(AO$401,AO253,AO131)),"SCOPE:SERVER"),"RT_FALSE")</f>
        <v>RT_FALSE</v>
      </c>
      <c r="AP414" s="1" t="str">
        <f>IF(AND(AP$400,COUNTA(AP$404:AP413)+4&lt;=MATCH(AP$402,Tenors_set,0)),_xll.RtContribute(AP$403,AP$3&amp;"FX"&amp;$C414&amp;"D=",{"BID","ASK"},CHOOSE({1,2},IF(AP$401,AP253,AP131/AP$11),IF(AP$401,AP253,AP131)),"SCOPE:SERVER"),"RT_FALSE")</f>
        <v>RT_FALSE</v>
      </c>
    </row>
    <row r="415" spans="3:42" x14ac:dyDescent="0.2">
      <c r="C415" s="1" t="s">
        <v>87</v>
      </c>
      <c r="E415" s="1" t="str">
        <f>IF(AND(E$400,COUNTA(E$404:E414)+4&lt;=MATCH(E$402,Tenors_set,0)),_xll.RtContribute(E$403,E$3&amp;"FX"&amp;$C415&amp;"D=",{"BID","ASK"},CHOOSE({1,2},IF(E$401,E254,E132/E$11),IF(E$401,E254,E132)),"SCOPE:SERVER"),"RT_FALSE")</f>
        <v>RT_FALSE</v>
      </c>
      <c r="F415" s="1" t="str">
        <f>IF(AND(F$400,COUNTA(F$404:F414)+4&lt;=MATCH(F$402,Tenors_set,0)),_xll.RtContribute(F$403,F$3&amp;"FX"&amp;$C415&amp;"D=",{"BID","ASK"},CHOOSE({1,2},IF(F$401,F254,F132/F$11),IF(F$401,F254,F132)),"SCOPE:SERVER"),"RT_FALSE")</f>
        <v>RT_FALSE</v>
      </c>
      <c r="G415" s="1" t="str">
        <f>IF(AND(G$400,COUNTA(G$404:G414)+4&lt;=MATCH(G$402,Tenors_set,0)),_xll.RtContribute(G$403,G$3&amp;"FX"&amp;$C415&amp;"D=",{"BID","ASK"},CHOOSE({1,2},IF(G$401,G254,G132/G$11),IF(G$401,G254,G132)),"SCOPE:SERVER"),"RT_FALSE")</f>
        <v>RT_FALSE</v>
      </c>
      <c r="H415" s="1" t="str">
        <f>IF(AND(H$400,COUNTA(H$404:H414)+4&lt;=MATCH(H$402,Tenors_set,0)),_xll.RtContribute(H$403,H$3&amp;"FX"&amp;$C415&amp;"D=",{"BID","ASK"},CHOOSE({1,2},IF(H$401,H254,H132/H$11),IF(H$401,H254,H132)),"SCOPE:SERVER"),"RT_FALSE")</f>
        <v>RT_FALSE</v>
      </c>
      <c r="I415" s="1" t="str">
        <f>IF(AND(I$400,COUNTA(I$404:I414)+4&lt;=MATCH(I$402,Tenors_set,0)),_xll.RtContribute(I$403,I$3&amp;"FX"&amp;$C415&amp;"D=",{"BID","ASK"},CHOOSE({1,2},IF(I$401,I254,I132/I$11),IF(I$401,I254,I132)),"SCOPE:SERVER"),"RT_FALSE")</f>
        <v>RT_FALSE</v>
      </c>
      <c r="J415" s="1" t="str">
        <f>IF(AND(J$400,COUNTA(J$404:J414)+4&lt;=MATCH(J$402,Tenors_set,0)),_xll.RtContribute(J$403,J$3&amp;"FX"&amp;$C415&amp;"D=",{"BID","ASK"},CHOOSE({1,2},IF(J$401,J254,J132/J$11),IF(J$401,J254,J132)),"SCOPE:SERVER"),"RT_FALSE")</f>
        <v>RT_FALSE</v>
      </c>
      <c r="K415" s="1" t="str">
        <f>IF(AND(K$400,COUNTA(K$404:K414)+4&lt;=MATCH(K$402,Tenors_set,0)),_xll.RtContribute(K$403,K$3&amp;"FX"&amp;$C415&amp;"D=",{"BID","ASK"},CHOOSE({1,2},IF(K$401,K254,K132/K$11),IF(K$401,K254,K132)),"SCOPE:SERVER"),"RT_FALSE")</f>
        <v>RT_FALSE</v>
      </c>
      <c r="L415" s="1" t="str">
        <f>IF(AND(L$400,COUNTA(L$404:L414)+4&lt;=MATCH(L$402,Tenors_set,0)),_xll.RtContribute(L$403,L$3&amp;"FX"&amp;$C415&amp;"D=",{"BID","ASK"},CHOOSE({1,2},IF(L$401,L254,L132/L$11),IF(L$401,L254,L132)),"SCOPE:SERVER"),"RT_FALSE")</f>
        <v>RT_FALSE</v>
      </c>
      <c r="M415" s="1" t="str">
        <f>IF(AND(M$400,COUNTA(M$404:M414)+4&lt;=MATCH(M$402,Tenors_set,0)),_xll.RtContribute(M$403,M$3&amp;"FX"&amp;$C415&amp;"D=",{"BID","ASK"},CHOOSE({1,2},IF(M$401,M254,M132/M$11),IF(M$401,M254,M132)),"SCOPE:SERVER"),"RT_FALSE")</f>
        <v>RT_FALSE</v>
      </c>
      <c r="N415" s="1" t="str">
        <f>IF(AND(N$400,COUNTA(N$404:N414)+4&lt;=MATCH(N$402,Tenors_set,0)),_xll.RtContribute(N$403,N$3&amp;"FX"&amp;$C415&amp;"D=",{"BID","ASK"},CHOOSE({1,2},IF(N$401,N254,N132/N$11),IF(N$401,N254,N132)),"SCOPE:SERVER"),"RT_FALSE")</f>
        <v>RT_FALSE</v>
      </c>
      <c r="O415" s="1" t="str">
        <f>IF(AND(O$400,COUNTA(O$404:O414)+4&lt;=MATCH(O$402,Tenors_set,0)),_xll.RtContribute(O$403,O$3&amp;"FX"&amp;$C415&amp;"D=",{"BID","ASK"},CHOOSE({1,2},IF(O$401,O254,O132/O$11),IF(O$401,O254,O132)),"SCOPE:SERVER"),"RT_FALSE")</f>
        <v>RT_FALSE</v>
      </c>
      <c r="P415" s="1" t="str">
        <f>IF(AND(P$400,COUNTA(P$404:P414)+4&lt;=MATCH(P$402,Tenors_set,0)),_xll.RtContribute(P$403,P$3&amp;"FX"&amp;$C415&amp;"D=",{"BID","ASK"},CHOOSE({1,2},IF(P$401,P254,P132/P$11),IF(P$401,P254,P132)),"SCOPE:SERVER"),"RT_FALSE")</f>
        <v>RT_FALSE</v>
      </c>
      <c r="Q415" s="1" t="str">
        <f>IF(AND(Q$400,COUNTA(Q$404:Q414)+4&lt;=MATCH(Q$402,Tenors_set,0)),_xll.RtContribute(Q$403,Q$3&amp;"FX"&amp;$C415&amp;"D=",{"BID","ASK"},CHOOSE({1,2},IF(Q$401,Q254,Q132/Q$11),IF(Q$401,Q254,Q132)),"SCOPE:SERVER"),"RT_FALSE")</f>
        <v>RT_FALSE</v>
      </c>
      <c r="R415" s="1" t="str">
        <f>IF(AND(R$400,COUNTA(R$404:R414)+4&lt;=MATCH(R$402,Tenors_set,0)),_xll.RtContribute(R$403,R$3&amp;"FX"&amp;$C415&amp;"D=",{"BID","ASK"},CHOOSE({1,2},IF(R$401,R254,R132/R$11),IF(R$401,R254,R132)),"SCOPE:SERVER"),"RT_FALSE")</f>
        <v>RT_FALSE</v>
      </c>
      <c r="S415" s="1" t="str">
        <f>IF(AND(S$400,COUNTA(S$404:S414)+4&lt;=MATCH(S$402,Tenors_set,0)),_xll.RtContribute(S$403,S$3&amp;"FX"&amp;$C415&amp;"D=",{"BID","ASK"},CHOOSE({1,2},IF(S$401,S254,S132/S$11),IF(S$401,S254,S132)),"SCOPE:SERVER"),"RT_FALSE")</f>
        <v>RT_FALSE</v>
      </c>
      <c r="T415" s="1" t="str">
        <f>IF(AND(T$400,COUNTA(T$404:T414)+4&lt;=MATCH(T$402,Tenors_set,0)),_xll.RtContribute(T$403,T$3&amp;"FX"&amp;$C415&amp;"D=",{"BID","ASK"},CHOOSE({1,2},IF(T$401,T254,T132/T$11),IF(T$401,T254,T132)),"SCOPE:SERVER"),"RT_FALSE")</f>
        <v>RT_FALSE</v>
      </c>
      <c r="U415" s="1" t="str">
        <f>IF(AND(U$400,COUNTA(U$404:U414)+4&lt;=MATCH(U$402,Tenors_set,0)),_xll.RtContribute(U$403,U$3&amp;"FX"&amp;$C415&amp;"D=",{"BID","ASK"},CHOOSE({1,2},IF(U$401,U254,U132/U$11),IF(U$401,U254,U132)),"SCOPE:SERVER"),"RT_FALSE")</f>
        <v>RT_FALSE</v>
      </c>
      <c r="V415" s="1" t="str">
        <f>IF(AND(V$400,COUNTA(V$404:V414)+4&lt;=MATCH(V$402,Tenors_set,0)),_xll.RtContribute(V$403,V$3&amp;"FX"&amp;$C415&amp;"D=",{"BID","ASK"},CHOOSE({1,2},IF(V$401,V254,V132/V$11),IF(V$401,V254,V132)),"SCOPE:SERVER"),"RT_FALSE")</f>
        <v>RT_FALSE</v>
      </c>
      <c r="W415" s="1" t="str">
        <f>IF(AND(W$400,COUNTA(W$404:W414)+4&lt;=MATCH(W$402,Tenors_set,0)),_xll.RtContribute(W$403,W$3&amp;"FX"&amp;$C415&amp;"D=",{"BID","ASK"},CHOOSE({1,2},IF(W$401,W254,W132/W$11),IF(W$401,W254,W132)),"SCOPE:SERVER"),"RT_FALSE")</f>
        <v>RT_FALSE</v>
      </c>
      <c r="X415" s="1" t="str">
        <f>IF(AND(X$400,COUNTA(X$404:X414)+4&lt;=MATCH(X$402,Tenors_set,0)),_xll.RtContribute(X$403,X$3&amp;"FX"&amp;$C415&amp;"D=",{"BID","ASK"},CHOOSE({1,2},IF(X$401,X254,X132/X$11),IF(X$401,X254,X132)),"SCOPE:SERVER"),"RT_FALSE")</f>
        <v>RT_FALSE</v>
      </c>
      <c r="Y415" s="1" t="str">
        <f>IF(AND(Y$400,COUNTA(Y$404:Y414)+4&lt;=MATCH(Y$402,Tenors_set,0)),_xll.RtContribute(Y$403,Y$3&amp;"FX"&amp;$C415&amp;"D=",{"BID","ASK"},CHOOSE({1,2},IF(Y$401,Y254,Y132/Y$11),IF(Y$401,Y254,Y132)),"SCOPE:SERVER"),"RT_FALSE")</f>
        <v>RT_FALSE</v>
      </c>
      <c r="Z415" s="1" t="str">
        <f>IF(AND(Z$400,COUNTA(Z$404:Z414)+4&lt;=MATCH(Z$402,Tenors_set,0)),_xll.RtContribute(Z$403,Z$3&amp;"FX"&amp;$C415&amp;"D=",{"BID","ASK"},CHOOSE({1,2},IF(Z$401,Z254,Z132/Z$11),IF(Z$401,Z254,Z132)),"SCOPE:SERVER"),"RT_FALSE")</f>
        <v>RT_FALSE</v>
      </c>
      <c r="AA415" s="1" t="str">
        <f>IF(AND(AA$400,COUNTA(AA$404:AA414)+4&lt;=MATCH(AA$402,Tenors_set,0)),_xll.RtContribute(AA$403,AA$3&amp;"FX"&amp;$C415&amp;"D=",{"BID","ASK"},CHOOSE({1,2},IF(AA$401,AA254,AA132/AA$11),IF(AA$401,AA254,AA132)),"SCOPE:SERVER"),"RT_FALSE")</f>
        <v>RT_FALSE</v>
      </c>
      <c r="AB415" s="1" t="str">
        <f>IF(AND(AB$400,COUNTA(AB$404:AB414)+4&lt;=MATCH(AB$402,Tenors_set,0)),_xll.RtContribute(AB$403,AB$3&amp;"FX"&amp;$C415&amp;"D=",{"BID","ASK"},CHOOSE({1,2},IF(AB$401,AB254,AB132/AB$11),IF(AB$401,AB254,AB132)),"SCOPE:SERVER"),"RT_FALSE")</f>
        <v>RT_FALSE</v>
      </c>
      <c r="AC415" s="1" t="str">
        <f>IF(AND(AC$400,COUNTA(AC$404:AC414)+4&lt;=MATCH(AC$402,Tenors_set,0)),_xll.RtContribute(AC$403,AC$3&amp;"FX"&amp;$C415&amp;"D=",{"BID","ASK"},CHOOSE({1,2},IF(AC$401,AC254,AC132/AC$11),IF(AC$401,AC254,AC132)),"SCOPE:SERVER"),"RT_FALSE")</f>
        <v>RT_FALSE</v>
      </c>
      <c r="AD415" s="1" t="str">
        <f>IF(AND(AD$400,COUNTA(AD$404:AD414)+4&lt;=MATCH(AD$402,Tenors_set,0)),_xll.RtContribute(AD$403,AD$3&amp;"FX"&amp;$C415&amp;"D=",{"BID","ASK"},CHOOSE({1,2},IF(AD$401,AD254,AD132/AD$11),IF(AD$401,AD254,AD132)),"SCOPE:SERVER"),"RT_FALSE")</f>
        <v>RT_FALSE</v>
      </c>
      <c r="AE415" s="1" t="str">
        <f>IF(AND(AE$400,COUNTA(AE$404:AE414)+4&lt;=MATCH(AE$402,Tenors_set,0)),_xll.RtContribute(AE$403,AE$3&amp;"FX"&amp;$C415&amp;"D=",{"BID","ASK"},CHOOSE({1,2},IF(AE$401,AE254,AE132/AE$11),IF(AE$401,AE254,AE132)),"SCOPE:SERVER"),"RT_FALSE")</f>
        <v>RT_FALSE</v>
      </c>
      <c r="AF415" s="1" t="str">
        <f>IF(AND(AF$400,COUNTA(AF$404:AF414)+4&lt;=MATCH(AF$402,Tenors_set,0)),_xll.RtContribute(AF$403,AF$3&amp;"FX"&amp;$C415&amp;"D=",{"BID","ASK"},CHOOSE({1,2},IF(AF$401,AF254,AF132/AF$11),IF(AF$401,AF254,AF132)),"SCOPE:SERVER"),"RT_FALSE")</f>
        <v>RT_FALSE</v>
      </c>
      <c r="AG415" s="1" t="str">
        <f>IF(AND(AG$400,COUNTA(AG$404:AG414)+4&lt;=MATCH(AG$402,Tenors_set,0)),_xll.RtContribute(AG$403,AG$3&amp;"FX"&amp;$C415&amp;"D=",{"BID","ASK"},CHOOSE({1,2},IF(AG$401,AG254,AG132/AG$11),IF(AG$401,AG254,AG132)),"SCOPE:SERVER"),"RT_FALSE")</f>
        <v>RT_FALSE</v>
      </c>
      <c r="AH415" s="1" t="str">
        <f>IF(AND(AH$400,COUNTA(AH$404:AH414)+4&lt;=MATCH(AH$402,Tenors_set,0)),_xll.RtContribute(AH$403,AH$3&amp;"FX"&amp;$C415&amp;"D=",{"BID","ASK"},CHOOSE({1,2},IF(AH$401,AH254,AH132/AH$11),IF(AH$401,AH254,AH132)),"SCOPE:SERVER"),"RT_FALSE")</f>
        <v>RT_FALSE</v>
      </c>
      <c r="AI415" s="1" t="str">
        <f>IF(AND(AI$400,COUNTA(AI$404:AI414)+4&lt;=MATCH(AI$402,Tenors_set,0)),_xll.RtContribute(AI$403,AI$3&amp;"FX"&amp;$C415&amp;"D=",{"BID","ASK"},CHOOSE({1,2},IF(AI$401,AI254,AI132/AI$11),IF(AI$401,AI254,AI132)),"SCOPE:SERVER"),"RT_FALSE")</f>
        <v>RT_FALSE</v>
      </c>
      <c r="AJ415" s="1" t="str">
        <f>IF(AND(AJ$400,COUNTA(AJ$404:AJ414)+4&lt;=MATCH(AJ$402,Tenors_set,0)),_xll.RtContribute(AJ$403,AJ$3&amp;"FX"&amp;$C415&amp;"D=",{"BID","ASK"},CHOOSE({1,2},IF(AJ$401,AJ254,AJ132/AJ$11),IF(AJ$401,AJ254,AJ132)),"SCOPE:SERVER"),"RT_FALSE")</f>
        <v>RT_FALSE</v>
      </c>
      <c r="AK415" s="1" t="str">
        <f>IF(AND(AK$400,COUNTA(AK$404:AK414)+4&lt;=MATCH(AK$402,Tenors_set,0)),_xll.RtContribute(AK$403,AK$3&amp;"FX"&amp;$C415&amp;"D=",{"BID","ASK"},CHOOSE({1,2},IF(AK$401,AK254,AK132/AK$11),IF(AK$401,AK254,AK132)),"SCOPE:SERVER"),"RT_FALSE")</f>
        <v>RT_FALSE</v>
      </c>
      <c r="AL415" s="1" t="str">
        <f>IF(AND(AL$400,COUNTA(AL$404:AL414)+4&lt;=MATCH(AL$402,Tenors_set,0)),_xll.RtContribute(AL$403,AL$3&amp;"FX"&amp;$C415&amp;"D=",{"BID","ASK"},CHOOSE({1,2},IF(AL$401,AL254,AL132/AL$11),IF(AL$401,AL254,AL132)),"SCOPE:SERVER"),"RT_FALSE")</f>
        <v>RT_FALSE</v>
      </c>
      <c r="AM415" s="1" t="str">
        <f>IF(AND(AM$400,COUNTA(AM$404:AM414)+4&lt;=MATCH(AM$402,Tenors_set,0)),_xll.RtContribute(AM$403,AM$3&amp;"FX"&amp;$C415&amp;"D=",{"BID","ASK"},CHOOSE({1,2},IF(AM$401,AM254,AM132/AM$11),IF(AM$401,AM254,AM132)),"SCOPE:SERVER"),"RT_FALSE")</f>
        <v>RT_FALSE</v>
      </c>
      <c r="AN415" s="1" t="str">
        <f>IF(AND(AN$400,COUNTA(AN$404:AN414)+4&lt;=MATCH(AN$402,Tenors_set,0)),_xll.RtContribute(AN$403,AN$3&amp;"FX"&amp;$C415&amp;"D=",{"BID","ASK"},CHOOSE({1,2},IF(AN$401,AN254,AN132/AN$11),IF(AN$401,AN254,AN132)),"SCOPE:SERVER"),"RT_FALSE")</f>
        <v>RT_FALSE</v>
      </c>
      <c r="AO415" s="1" t="str">
        <f>IF(AND(AO$400,COUNTA(AO$404:AO414)+4&lt;=MATCH(AO$402,Tenors_set,0)),_xll.RtContribute(AO$403,AO$3&amp;"FX"&amp;$C415&amp;"D=",{"BID","ASK"},CHOOSE({1,2},IF(AO$401,AO254,AO132/AO$11),IF(AO$401,AO254,AO132)),"SCOPE:SERVER"),"RT_FALSE")</f>
        <v>RT_FALSE</v>
      </c>
      <c r="AP415" s="1" t="str">
        <f>IF(AND(AP$400,COUNTA(AP$404:AP414)+4&lt;=MATCH(AP$402,Tenors_set,0)),_xll.RtContribute(AP$403,AP$3&amp;"FX"&amp;$C415&amp;"D=",{"BID","ASK"},CHOOSE({1,2},IF(AP$401,AP254,AP132/AP$11),IF(AP$401,AP254,AP132)),"SCOPE:SERVER"),"RT_FALSE")</f>
        <v>RT_FALSE</v>
      </c>
    </row>
    <row r="416" spans="3:42" x14ac:dyDescent="0.2">
      <c r="C416" s="1" t="s">
        <v>90</v>
      </c>
      <c r="E416" s="1" t="str">
        <f>IF(AND(E$400,COUNTA(E$404:E415)+4&lt;=MATCH(E$402,Tenors_set,0)),_xll.RtContribute(E$403,E$3&amp;"FX"&amp;$C416&amp;"D=",{"BID","ASK"},CHOOSE({1,2},IF(E$401,E255,E133/E$11),IF(E$401,E255,E133)),"SCOPE:SERVER"),"RT_FALSE")</f>
        <v>RT_FALSE</v>
      </c>
      <c r="F416" s="1" t="str">
        <f>IF(AND(F$400,COUNTA(F$404:F415)+4&lt;=MATCH(F$402,Tenors_set,0)),_xll.RtContribute(F$403,F$3&amp;"FX"&amp;$C416&amp;"D=",{"BID","ASK"},CHOOSE({1,2},IF(F$401,F255,F133/F$11),IF(F$401,F255,F133)),"SCOPE:SERVER"),"RT_FALSE")</f>
        <v>RT_FALSE</v>
      </c>
      <c r="G416" s="1" t="str">
        <f>IF(AND(G$400,COUNTA(G$404:G415)+4&lt;=MATCH(G$402,Tenors_set,0)),_xll.RtContribute(G$403,G$3&amp;"FX"&amp;$C416&amp;"D=",{"BID","ASK"},CHOOSE({1,2},IF(G$401,G255,G133/G$11),IF(G$401,G255,G133)),"SCOPE:SERVER"),"RT_FALSE")</f>
        <v>RT_FALSE</v>
      </c>
      <c r="H416" s="1" t="str">
        <f>IF(AND(H$400,COUNTA(H$404:H415)+4&lt;=MATCH(H$402,Tenors_set,0)),_xll.RtContribute(H$403,H$3&amp;"FX"&amp;$C416&amp;"D=",{"BID","ASK"},CHOOSE({1,2},IF(H$401,H255,H133/H$11),IF(H$401,H255,H133)),"SCOPE:SERVER"),"RT_FALSE")</f>
        <v>RT_FALSE</v>
      </c>
      <c r="I416" s="1" t="str">
        <f>IF(AND(I$400,COUNTA(I$404:I415)+4&lt;=MATCH(I$402,Tenors_set,0)),_xll.RtContribute(I$403,I$3&amp;"FX"&amp;$C416&amp;"D=",{"BID","ASK"},CHOOSE({1,2},IF(I$401,I255,I133/I$11),IF(I$401,I255,I133)),"SCOPE:SERVER"),"RT_FALSE")</f>
        <v>RT_FALSE</v>
      </c>
      <c r="J416" s="1" t="str">
        <f>IF(AND(J$400,COUNTA(J$404:J415)+4&lt;=MATCH(J$402,Tenors_set,0)),_xll.RtContribute(J$403,J$3&amp;"FX"&amp;$C416&amp;"D=",{"BID","ASK"},CHOOSE({1,2},IF(J$401,J255,J133/J$11),IF(J$401,J255,J133)),"SCOPE:SERVER"),"RT_FALSE")</f>
        <v>RT_FALSE</v>
      </c>
      <c r="K416" s="1" t="str">
        <f>IF(AND(K$400,COUNTA(K$404:K415)+4&lt;=MATCH(K$402,Tenors_set,0)),_xll.RtContribute(K$403,K$3&amp;"FX"&amp;$C416&amp;"D=",{"BID","ASK"},CHOOSE({1,2},IF(K$401,K255,K133/K$11),IF(K$401,K255,K133)),"SCOPE:SERVER"),"RT_FALSE")</f>
        <v>RT_FALSE</v>
      </c>
      <c r="L416" s="1" t="str">
        <f>IF(AND(L$400,COUNTA(L$404:L415)+4&lt;=MATCH(L$402,Tenors_set,0)),_xll.RtContribute(L$403,L$3&amp;"FX"&amp;$C416&amp;"D=",{"BID","ASK"},CHOOSE({1,2},IF(L$401,L255,L133/L$11),IF(L$401,L255,L133)),"SCOPE:SERVER"),"RT_FALSE")</f>
        <v>RT_FALSE</v>
      </c>
      <c r="M416" s="1" t="str">
        <f>IF(AND(M$400,COUNTA(M$404:M415)+4&lt;=MATCH(M$402,Tenors_set,0)),_xll.RtContribute(M$403,M$3&amp;"FX"&amp;$C416&amp;"D=",{"BID","ASK"},CHOOSE({1,2},IF(M$401,M255,M133/M$11),IF(M$401,M255,M133)),"SCOPE:SERVER"),"RT_FALSE")</f>
        <v>RT_FALSE</v>
      </c>
      <c r="N416" s="1" t="str">
        <f>IF(AND(N$400,COUNTA(N$404:N415)+4&lt;=MATCH(N$402,Tenors_set,0)),_xll.RtContribute(N$403,N$3&amp;"FX"&amp;$C416&amp;"D=",{"BID","ASK"},CHOOSE({1,2},IF(N$401,N255,N133/N$11),IF(N$401,N255,N133)),"SCOPE:SERVER"),"RT_FALSE")</f>
        <v>RT_FALSE</v>
      </c>
      <c r="O416" s="1" t="str">
        <f>IF(AND(O$400,COUNTA(O$404:O415)+4&lt;=MATCH(O$402,Tenors_set,0)),_xll.RtContribute(O$403,O$3&amp;"FX"&amp;$C416&amp;"D=",{"BID","ASK"},CHOOSE({1,2},IF(O$401,O255,O133/O$11),IF(O$401,O255,O133)),"SCOPE:SERVER"),"RT_FALSE")</f>
        <v>RT_FALSE</v>
      </c>
      <c r="P416" s="1" t="str">
        <f>IF(AND(P$400,COUNTA(P$404:P415)+4&lt;=MATCH(P$402,Tenors_set,0)),_xll.RtContribute(P$403,P$3&amp;"FX"&amp;$C416&amp;"D=",{"BID","ASK"},CHOOSE({1,2},IF(P$401,P255,P133/P$11),IF(P$401,P255,P133)),"SCOPE:SERVER"),"RT_FALSE")</f>
        <v>RT_FALSE</v>
      </c>
      <c r="Q416" s="1" t="str">
        <f>IF(AND(Q$400,COUNTA(Q$404:Q415)+4&lt;=MATCH(Q$402,Tenors_set,0)),_xll.RtContribute(Q$403,Q$3&amp;"FX"&amp;$C416&amp;"D=",{"BID","ASK"},CHOOSE({1,2},IF(Q$401,Q255,Q133/Q$11),IF(Q$401,Q255,Q133)),"SCOPE:SERVER"),"RT_FALSE")</f>
        <v>RT_FALSE</v>
      </c>
      <c r="R416" s="1" t="str">
        <f>IF(AND(R$400,COUNTA(R$404:R415)+4&lt;=MATCH(R$402,Tenors_set,0)),_xll.RtContribute(R$403,R$3&amp;"FX"&amp;$C416&amp;"D=",{"BID","ASK"},CHOOSE({1,2},IF(R$401,R255,R133/R$11),IF(R$401,R255,R133)),"SCOPE:SERVER"),"RT_FALSE")</f>
        <v>RT_FALSE</v>
      </c>
      <c r="S416" s="1" t="str">
        <f>IF(AND(S$400,COUNTA(S$404:S415)+4&lt;=MATCH(S$402,Tenors_set,0)),_xll.RtContribute(S$403,S$3&amp;"FX"&amp;$C416&amp;"D=",{"BID","ASK"},CHOOSE({1,2},IF(S$401,S255,S133/S$11),IF(S$401,S255,S133)),"SCOPE:SERVER"),"RT_FALSE")</f>
        <v>RT_FALSE</v>
      </c>
      <c r="T416" s="1" t="str">
        <f>IF(AND(T$400,COUNTA(T$404:T415)+4&lt;=MATCH(T$402,Tenors_set,0)),_xll.RtContribute(T$403,T$3&amp;"FX"&amp;$C416&amp;"D=",{"BID","ASK"},CHOOSE({1,2},IF(T$401,T255,T133/T$11),IF(T$401,T255,T133)),"SCOPE:SERVER"),"RT_FALSE")</f>
        <v>RT_FALSE</v>
      </c>
      <c r="U416" s="1" t="str">
        <f>IF(AND(U$400,COUNTA(U$404:U415)+4&lt;=MATCH(U$402,Tenors_set,0)),_xll.RtContribute(U$403,U$3&amp;"FX"&amp;$C416&amp;"D=",{"BID","ASK"},CHOOSE({1,2},IF(U$401,U255,U133/U$11),IF(U$401,U255,U133)),"SCOPE:SERVER"),"RT_FALSE")</f>
        <v>RT_FALSE</v>
      </c>
      <c r="V416" s="1" t="str">
        <f>IF(AND(V$400,COUNTA(V$404:V415)+4&lt;=MATCH(V$402,Tenors_set,0)),_xll.RtContribute(V$403,V$3&amp;"FX"&amp;$C416&amp;"D=",{"BID","ASK"},CHOOSE({1,2},IF(V$401,V255,V133/V$11),IF(V$401,V255,V133)),"SCOPE:SERVER"),"RT_FALSE")</f>
        <v>RT_FALSE</v>
      </c>
      <c r="W416" s="1" t="str">
        <f>IF(AND(W$400,COUNTA(W$404:W415)+4&lt;=MATCH(W$402,Tenors_set,0)),_xll.RtContribute(W$403,W$3&amp;"FX"&amp;$C416&amp;"D=",{"BID","ASK"},CHOOSE({1,2},IF(W$401,W255,W133/W$11),IF(W$401,W255,W133)),"SCOPE:SERVER"),"RT_FALSE")</f>
        <v>RT_FALSE</v>
      </c>
      <c r="X416" s="1" t="str">
        <f>IF(AND(X$400,COUNTA(X$404:X415)+4&lt;=MATCH(X$402,Tenors_set,0)),_xll.RtContribute(X$403,X$3&amp;"FX"&amp;$C416&amp;"D=",{"BID","ASK"},CHOOSE({1,2},IF(X$401,X255,X133/X$11),IF(X$401,X255,X133)),"SCOPE:SERVER"),"RT_FALSE")</f>
        <v>RT_FALSE</v>
      </c>
      <c r="Y416" s="1" t="str">
        <f>IF(AND(Y$400,COUNTA(Y$404:Y415)+4&lt;=MATCH(Y$402,Tenors_set,0)),_xll.RtContribute(Y$403,Y$3&amp;"FX"&amp;$C416&amp;"D=",{"BID","ASK"},CHOOSE({1,2},IF(Y$401,Y255,Y133/Y$11),IF(Y$401,Y255,Y133)),"SCOPE:SERVER"),"RT_FALSE")</f>
        <v>RT_FALSE</v>
      </c>
      <c r="Z416" s="1" t="str">
        <f>IF(AND(Z$400,COUNTA(Z$404:Z415)+4&lt;=MATCH(Z$402,Tenors_set,0)),_xll.RtContribute(Z$403,Z$3&amp;"FX"&amp;$C416&amp;"D=",{"BID","ASK"},CHOOSE({1,2},IF(Z$401,Z255,Z133/Z$11),IF(Z$401,Z255,Z133)),"SCOPE:SERVER"),"RT_FALSE")</f>
        <v>RT_FALSE</v>
      </c>
      <c r="AA416" s="1" t="str">
        <f>IF(AND(AA$400,COUNTA(AA$404:AA415)+4&lt;=MATCH(AA$402,Tenors_set,0)),_xll.RtContribute(AA$403,AA$3&amp;"FX"&amp;$C416&amp;"D=",{"BID","ASK"},CHOOSE({1,2},IF(AA$401,AA255,AA133/AA$11),IF(AA$401,AA255,AA133)),"SCOPE:SERVER"),"RT_FALSE")</f>
        <v>RT_FALSE</v>
      </c>
      <c r="AB416" s="1" t="str">
        <f>IF(AND(AB$400,COUNTA(AB$404:AB415)+4&lt;=MATCH(AB$402,Tenors_set,0)),_xll.RtContribute(AB$403,AB$3&amp;"FX"&amp;$C416&amp;"D=",{"BID","ASK"},CHOOSE({1,2},IF(AB$401,AB255,AB133/AB$11),IF(AB$401,AB255,AB133)),"SCOPE:SERVER"),"RT_FALSE")</f>
        <v>RT_FALSE</v>
      </c>
      <c r="AC416" s="1" t="str">
        <f>IF(AND(AC$400,COUNTA(AC$404:AC415)+4&lt;=MATCH(AC$402,Tenors_set,0)),_xll.RtContribute(AC$403,AC$3&amp;"FX"&amp;$C416&amp;"D=",{"BID","ASK"},CHOOSE({1,2},IF(AC$401,AC255,AC133/AC$11),IF(AC$401,AC255,AC133)),"SCOPE:SERVER"),"RT_FALSE")</f>
        <v>RT_FALSE</v>
      </c>
      <c r="AD416" s="1" t="str">
        <f>IF(AND(AD$400,COUNTA(AD$404:AD415)+4&lt;=MATCH(AD$402,Tenors_set,0)),_xll.RtContribute(AD$403,AD$3&amp;"FX"&amp;$C416&amp;"D=",{"BID","ASK"},CHOOSE({1,2},IF(AD$401,AD255,AD133/AD$11),IF(AD$401,AD255,AD133)),"SCOPE:SERVER"),"RT_FALSE")</f>
        <v>RT_FALSE</v>
      </c>
      <c r="AE416" s="1" t="str">
        <f>IF(AND(AE$400,COUNTA(AE$404:AE415)+4&lt;=MATCH(AE$402,Tenors_set,0)),_xll.RtContribute(AE$403,AE$3&amp;"FX"&amp;$C416&amp;"D=",{"BID","ASK"},CHOOSE({1,2},IF(AE$401,AE255,AE133/AE$11),IF(AE$401,AE255,AE133)),"SCOPE:SERVER"),"RT_FALSE")</f>
        <v>RT_FALSE</v>
      </c>
      <c r="AF416" s="1" t="str">
        <f>IF(AND(AF$400,COUNTA(AF$404:AF415)+4&lt;=MATCH(AF$402,Tenors_set,0)),_xll.RtContribute(AF$403,AF$3&amp;"FX"&amp;$C416&amp;"D=",{"BID","ASK"},CHOOSE({1,2},IF(AF$401,AF255,AF133/AF$11),IF(AF$401,AF255,AF133)),"SCOPE:SERVER"),"RT_FALSE")</f>
        <v>RT_FALSE</v>
      </c>
      <c r="AG416" s="1" t="str">
        <f>IF(AND(AG$400,COUNTA(AG$404:AG415)+4&lt;=MATCH(AG$402,Tenors_set,0)),_xll.RtContribute(AG$403,AG$3&amp;"FX"&amp;$C416&amp;"D=",{"BID","ASK"},CHOOSE({1,2},IF(AG$401,AG255,AG133/AG$11),IF(AG$401,AG255,AG133)),"SCOPE:SERVER"),"RT_FALSE")</f>
        <v>RT_FALSE</v>
      </c>
      <c r="AH416" s="1" t="str">
        <f>IF(AND(AH$400,COUNTA(AH$404:AH415)+4&lt;=MATCH(AH$402,Tenors_set,0)),_xll.RtContribute(AH$403,AH$3&amp;"FX"&amp;$C416&amp;"D=",{"BID","ASK"},CHOOSE({1,2},IF(AH$401,AH255,AH133/AH$11),IF(AH$401,AH255,AH133)),"SCOPE:SERVER"),"RT_FALSE")</f>
        <v>RT_FALSE</v>
      </c>
      <c r="AI416" s="1" t="str">
        <f>IF(AND(AI$400,COUNTA(AI$404:AI415)+4&lt;=MATCH(AI$402,Tenors_set,0)),_xll.RtContribute(AI$403,AI$3&amp;"FX"&amp;$C416&amp;"D=",{"BID","ASK"},CHOOSE({1,2},IF(AI$401,AI255,AI133/AI$11),IF(AI$401,AI255,AI133)),"SCOPE:SERVER"),"RT_FALSE")</f>
        <v>RT_FALSE</v>
      </c>
      <c r="AJ416" s="1" t="str">
        <f>IF(AND(AJ$400,COUNTA(AJ$404:AJ415)+4&lt;=MATCH(AJ$402,Tenors_set,0)),_xll.RtContribute(AJ$403,AJ$3&amp;"FX"&amp;$C416&amp;"D=",{"BID","ASK"},CHOOSE({1,2},IF(AJ$401,AJ255,AJ133/AJ$11),IF(AJ$401,AJ255,AJ133)),"SCOPE:SERVER"),"RT_FALSE")</f>
        <v>RT_FALSE</v>
      </c>
      <c r="AK416" s="1" t="str">
        <f>IF(AND(AK$400,COUNTA(AK$404:AK415)+4&lt;=MATCH(AK$402,Tenors_set,0)),_xll.RtContribute(AK$403,AK$3&amp;"FX"&amp;$C416&amp;"D=",{"BID","ASK"},CHOOSE({1,2},IF(AK$401,AK255,AK133/AK$11),IF(AK$401,AK255,AK133)),"SCOPE:SERVER"),"RT_FALSE")</f>
        <v>RT_FALSE</v>
      </c>
      <c r="AL416" s="1" t="str">
        <f>IF(AND(AL$400,COUNTA(AL$404:AL415)+4&lt;=MATCH(AL$402,Tenors_set,0)),_xll.RtContribute(AL$403,AL$3&amp;"FX"&amp;$C416&amp;"D=",{"BID","ASK"},CHOOSE({1,2},IF(AL$401,AL255,AL133/AL$11),IF(AL$401,AL255,AL133)),"SCOPE:SERVER"),"RT_FALSE")</f>
        <v>RT_FALSE</v>
      </c>
      <c r="AM416" s="1" t="str">
        <f>IF(AND(AM$400,COUNTA(AM$404:AM415)+4&lt;=MATCH(AM$402,Tenors_set,0)),_xll.RtContribute(AM$403,AM$3&amp;"FX"&amp;$C416&amp;"D=",{"BID","ASK"},CHOOSE({1,2},IF(AM$401,AM255,AM133/AM$11),IF(AM$401,AM255,AM133)),"SCOPE:SERVER"),"RT_FALSE")</f>
        <v>RT_FALSE</v>
      </c>
      <c r="AN416" s="1" t="str">
        <f>IF(AND(AN$400,COUNTA(AN$404:AN415)+4&lt;=MATCH(AN$402,Tenors_set,0)),_xll.RtContribute(AN$403,AN$3&amp;"FX"&amp;$C416&amp;"D=",{"BID","ASK"},CHOOSE({1,2},IF(AN$401,AN255,AN133/AN$11),IF(AN$401,AN255,AN133)),"SCOPE:SERVER"),"RT_FALSE")</f>
        <v>RT_FALSE</v>
      </c>
      <c r="AO416" s="1" t="str">
        <f>IF(AND(AO$400,COUNTA(AO$404:AO415)+4&lt;=MATCH(AO$402,Tenors_set,0)),_xll.RtContribute(AO$403,AO$3&amp;"FX"&amp;$C416&amp;"D=",{"BID","ASK"},CHOOSE({1,2},IF(AO$401,AO255,AO133/AO$11),IF(AO$401,AO255,AO133)),"SCOPE:SERVER"),"RT_FALSE")</f>
        <v>RT_FALSE</v>
      </c>
      <c r="AP416" s="1" t="str">
        <f>IF(AND(AP$400,COUNTA(AP$404:AP415)+4&lt;=MATCH(AP$402,Tenors_set,0)),_xll.RtContribute(AP$403,AP$3&amp;"FX"&amp;$C416&amp;"D=",{"BID","ASK"},CHOOSE({1,2},IF(AP$401,AP255,AP133/AP$11),IF(AP$401,AP255,AP133)),"SCOPE:SERVER"),"RT_FALSE")</f>
        <v>RT_FALSE</v>
      </c>
    </row>
    <row r="417" spans="3:42" x14ac:dyDescent="0.2">
      <c r="C417" s="1" t="s">
        <v>93</v>
      </c>
      <c r="E417" s="1" t="str">
        <f>IF(AND(E$400,COUNTA(E$404:E416)+4&lt;=MATCH(E$402,Tenors_set,0)),_xll.RtContribute(E$403,E$3&amp;"FX"&amp;$C417&amp;"D=",{"BID","ASK"},CHOOSE({1,2},IF(E$401,E256,E134/E$11),IF(E$401,E256,E134)),"SCOPE:SERVER"),"RT_FALSE")</f>
        <v>RT_FALSE</v>
      </c>
      <c r="F417" s="1" t="str">
        <f>IF(AND(F$400,COUNTA(F$404:F416)+4&lt;=MATCH(F$402,Tenors_set,0)),_xll.RtContribute(F$403,F$3&amp;"FX"&amp;$C417&amp;"D=",{"BID","ASK"},CHOOSE({1,2},IF(F$401,F256,F134/F$11),IF(F$401,F256,F134)),"SCOPE:SERVER"),"RT_FALSE")</f>
        <v>RT_FALSE</v>
      </c>
      <c r="G417" s="1" t="str">
        <f>IF(AND(G$400,COUNTA(G$404:G416)+4&lt;=MATCH(G$402,Tenors_set,0)),_xll.RtContribute(G$403,G$3&amp;"FX"&amp;$C417&amp;"D=",{"BID","ASK"},CHOOSE({1,2},IF(G$401,G256,G134/G$11),IF(G$401,G256,G134)),"SCOPE:SERVER"),"RT_FALSE")</f>
        <v>RT_FALSE</v>
      </c>
      <c r="H417" s="1" t="str">
        <f>IF(AND(H$400,COUNTA(H$404:H416)+4&lt;=MATCH(H$402,Tenors_set,0)),_xll.RtContribute(H$403,H$3&amp;"FX"&amp;$C417&amp;"D=",{"BID","ASK"},CHOOSE({1,2},IF(H$401,H256,H134/H$11),IF(H$401,H256,H134)),"SCOPE:SERVER"),"RT_FALSE")</f>
        <v>RT_FALSE</v>
      </c>
      <c r="I417" s="1" t="str">
        <f>IF(AND(I$400,COUNTA(I$404:I416)+4&lt;=MATCH(I$402,Tenors_set,0)),_xll.RtContribute(I$403,I$3&amp;"FX"&amp;$C417&amp;"D=",{"BID","ASK"},CHOOSE({1,2},IF(I$401,I256,I134/I$11),IF(I$401,I256,I134)),"SCOPE:SERVER"),"RT_FALSE")</f>
        <v>RT_FALSE</v>
      </c>
      <c r="J417" s="1" t="str">
        <f>IF(AND(J$400,COUNTA(J$404:J416)+4&lt;=MATCH(J$402,Tenors_set,0)),_xll.RtContribute(J$403,J$3&amp;"FX"&amp;$C417&amp;"D=",{"BID","ASK"},CHOOSE({1,2},IF(J$401,J256,J134/J$11),IF(J$401,J256,J134)),"SCOPE:SERVER"),"RT_FALSE")</f>
        <v>RT_FALSE</v>
      </c>
      <c r="K417" s="1" t="str">
        <f>IF(AND(K$400,COUNTA(K$404:K416)+4&lt;=MATCH(K$402,Tenors_set,0)),_xll.RtContribute(K$403,K$3&amp;"FX"&amp;$C417&amp;"D=",{"BID","ASK"},CHOOSE({1,2},IF(K$401,K256,K134/K$11),IF(K$401,K256,K134)),"SCOPE:SERVER"),"RT_FALSE")</f>
        <v>RT_FALSE</v>
      </c>
      <c r="L417" s="1" t="str">
        <f>IF(AND(L$400,COUNTA(L$404:L416)+4&lt;=MATCH(L$402,Tenors_set,0)),_xll.RtContribute(L$403,L$3&amp;"FX"&amp;$C417&amp;"D=",{"BID","ASK"},CHOOSE({1,2},IF(L$401,L256,L134/L$11),IF(L$401,L256,L134)),"SCOPE:SERVER"),"RT_FALSE")</f>
        <v>RT_FALSE</v>
      </c>
      <c r="M417" s="1" t="str">
        <f>IF(AND(M$400,COUNTA(M$404:M416)+4&lt;=MATCH(M$402,Tenors_set,0)),_xll.RtContribute(M$403,M$3&amp;"FX"&amp;$C417&amp;"D=",{"BID","ASK"},CHOOSE({1,2},IF(M$401,M256,M134/M$11),IF(M$401,M256,M134)),"SCOPE:SERVER"),"RT_FALSE")</f>
        <v>RT_FALSE</v>
      </c>
      <c r="N417" s="1" t="str">
        <f>IF(AND(N$400,COUNTA(N$404:N416)+4&lt;=MATCH(N$402,Tenors_set,0)),_xll.RtContribute(N$403,N$3&amp;"FX"&amp;$C417&amp;"D=",{"BID","ASK"},CHOOSE({1,2},IF(N$401,N256,N134/N$11),IF(N$401,N256,N134)),"SCOPE:SERVER"),"RT_FALSE")</f>
        <v>RT_FALSE</v>
      </c>
      <c r="O417" s="1" t="str">
        <f>IF(AND(O$400,COUNTA(O$404:O416)+4&lt;=MATCH(O$402,Tenors_set,0)),_xll.RtContribute(O$403,O$3&amp;"FX"&amp;$C417&amp;"D=",{"BID","ASK"},CHOOSE({1,2},IF(O$401,O256,O134/O$11),IF(O$401,O256,O134)),"SCOPE:SERVER"),"RT_FALSE")</f>
        <v>RT_FALSE</v>
      </c>
      <c r="P417" s="1" t="str">
        <f>IF(AND(P$400,COUNTA(P$404:P416)+4&lt;=MATCH(P$402,Tenors_set,0)),_xll.RtContribute(P$403,P$3&amp;"FX"&amp;$C417&amp;"D=",{"BID","ASK"},CHOOSE({1,2},IF(P$401,P256,P134/P$11),IF(P$401,P256,P134)),"SCOPE:SERVER"),"RT_FALSE")</f>
        <v>RT_FALSE</v>
      </c>
      <c r="Q417" s="1" t="str">
        <f>IF(AND(Q$400,COUNTA(Q$404:Q416)+4&lt;=MATCH(Q$402,Tenors_set,0)),_xll.RtContribute(Q$403,Q$3&amp;"FX"&amp;$C417&amp;"D=",{"BID","ASK"},CHOOSE({1,2},IF(Q$401,Q256,Q134/Q$11),IF(Q$401,Q256,Q134)),"SCOPE:SERVER"),"RT_FALSE")</f>
        <v>RT_FALSE</v>
      </c>
      <c r="R417" s="1" t="str">
        <f>IF(AND(R$400,COUNTA(R$404:R416)+4&lt;=MATCH(R$402,Tenors_set,0)),_xll.RtContribute(R$403,R$3&amp;"FX"&amp;$C417&amp;"D=",{"BID","ASK"},CHOOSE({1,2},IF(R$401,R256,R134/R$11),IF(R$401,R256,R134)),"SCOPE:SERVER"),"RT_FALSE")</f>
        <v>RT_FALSE</v>
      </c>
      <c r="S417" s="1" t="str">
        <f>IF(AND(S$400,COUNTA(S$404:S416)+4&lt;=MATCH(S$402,Tenors_set,0)),_xll.RtContribute(S$403,S$3&amp;"FX"&amp;$C417&amp;"D=",{"BID","ASK"},CHOOSE({1,2},IF(S$401,S256,S134/S$11),IF(S$401,S256,S134)),"SCOPE:SERVER"),"RT_FALSE")</f>
        <v>RT_FALSE</v>
      </c>
      <c r="T417" s="1" t="str">
        <f>IF(AND(T$400,COUNTA(T$404:T416)+4&lt;=MATCH(T$402,Tenors_set,0)),_xll.RtContribute(T$403,T$3&amp;"FX"&amp;$C417&amp;"D=",{"BID","ASK"},CHOOSE({1,2},IF(T$401,T256,T134/T$11),IF(T$401,T256,T134)),"SCOPE:SERVER"),"RT_FALSE")</f>
        <v>RT_FALSE</v>
      </c>
      <c r="U417" s="1" t="str">
        <f>IF(AND(U$400,COUNTA(U$404:U416)+4&lt;=MATCH(U$402,Tenors_set,0)),_xll.RtContribute(U$403,U$3&amp;"FX"&amp;$C417&amp;"D=",{"BID","ASK"},CHOOSE({1,2},IF(U$401,U256,U134/U$11),IF(U$401,U256,U134)),"SCOPE:SERVER"),"RT_FALSE")</f>
        <v>RT_FALSE</v>
      </c>
      <c r="V417" s="1" t="str">
        <f>IF(AND(V$400,COUNTA(V$404:V416)+4&lt;=MATCH(V$402,Tenors_set,0)),_xll.RtContribute(V$403,V$3&amp;"FX"&amp;$C417&amp;"D=",{"BID","ASK"},CHOOSE({1,2},IF(V$401,V256,V134/V$11),IF(V$401,V256,V134)),"SCOPE:SERVER"),"RT_FALSE")</f>
        <v>RT_FALSE</v>
      </c>
      <c r="W417" s="1" t="str">
        <f>IF(AND(W$400,COUNTA(W$404:W416)+4&lt;=MATCH(W$402,Tenors_set,0)),_xll.RtContribute(W$403,W$3&amp;"FX"&amp;$C417&amp;"D=",{"BID","ASK"},CHOOSE({1,2},IF(W$401,W256,W134/W$11),IF(W$401,W256,W134)),"SCOPE:SERVER"),"RT_FALSE")</f>
        <v>RT_FALSE</v>
      </c>
      <c r="X417" s="1" t="str">
        <f>IF(AND(X$400,COUNTA(X$404:X416)+4&lt;=MATCH(X$402,Tenors_set,0)),_xll.RtContribute(X$403,X$3&amp;"FX"&amp;$C417&amp;"D=",{"BID","ASK"},CHOOSE({1,2},IF(X$401,X256,X134/X$11),IF(X$401,X256,X134)),"SCOPE:SERVER"),"RT_FALSE")</f>
        <v>RT_FALSE</v>
      </c>
      <c r="Y417" s="1" t="str">
        <f>IF(AND(Y$400,COUNTA(Y$404:Y416)+4&lt;=MATCH(Y$402,Tenors_set,0)),_xll.RtContribute(Y$403,Y$3&amp;"FX"&amp;$C417&amp;"D=",{"BID","ASK"},CHOOSE({1,2},IF(Y$401,Y256,Y134/Y$11),IF(Y$401,Y256,Y134)),"SCOPE:SERVER"),"RT_FALSE")</f>
        <v>RT_FALSE</v>
      </c>
      <c r="Z417" s="1" t="str">
        <f>IF(AND(Z$400,COUNTA(Z$404:Z416)+4&lt;=MATCH(Z$402,Tenors_set,0)),_xll.RtContribute(Z$403,Z$3&amp;"FX"&amp;$C417&amp;"D=",{"BID","ASK"},CHOOSE({1,2},IF(Z$401,Z256,Z134/Z$11),IF(Z$401,Z256,Z134)),"SCOPE:SERVER"),"RT_FALSE")</f>
        <v>RT_FALSE</v>
      </c>
      <c r="AA417" s="1" t="str">
        <f>IF(AND(AA$400,COUNTA(AA$404:AA416)+4&lt;=MATCH(AA$402,Tenors_set,0)),_xll.RtContribute(AA$403,AA$3&amp;"FX"&amp;$C417&amp;"D=",{"BID","ASK"},CHOOSE({1,2},IF(AA$401,AA256,AA134/AA$11),IF(AA$401,AA256,AA134)),"SCOPE:SERVER"),"RT_FALSE")</f>
        <v>RT_FALSE</v>
      </c>
      <c r="AB417" s="1" t="str">
        <f>IF(AND(AB$400,COUNTA(AB$404:AB416)+4&lt;=MATCH(AB$402,Tenors_set,0)),_xll.RtContribute(AB$403,AB$3&amp;"FX"&amp;$C417&amp;"D=",{"BID","ASK"},CHOOSE({1,2},IF(AB$401,AB256,AB134/AB$11),IF(AB$401,AB256,AB134)),"SCOPE:SERVER"),"RT_FALSE")</f>
        <v>RT_FALSE</v>
      </c>
      <c r="AC417" s="1" t="str">
        <f>IF(AND(AC$400,COUNTA(AC$404:AC416)+4&lt;=MATCH(AC$402,Tenors_set,0)),_xll.RtContribute(AC$403,AC$3&amp;"FX"&amp;$C417&amp;"D=",{"BID","ASK"},CHOOSE({1,2},IF(AC$401,AC256,AC134/AC$11),IF(AC$401,AC256,AC134)),"SCOPE:SERVER"),"RT_FALSE")</f>
        <v>RT_FALSE</v>
      </c>
      <c r="AD417" s="1" t="str">
        <f>IF(AND(AD$400,COUNTA(AD$404:AD416)+4&lt;=MATCH(AD$402,Tenors_set,0)),_xll.RtContribute(AD$403,AD$3&amp;"FX"&amp;$C417&amp;"D=",{"BID","ASK"},CHOOSE({1,2},IF(AD$401,AD256,AD134/AD$11),IF(AD$401,AD256,AD134)),"SCOPE:SERVER"),"RT_FALSE")</f>
        <v>RT_FALSE</v>
      </c>
      <c r="AE417" s="1" t="str">
        <f>IF(AND(AE$400,COUNTA(AE$404:AE416)+4&lt;=MATCH(AE$402,Tenors_set,0)),_xll.RtContribute(AE$403,AE$3&amp;"FX"&amp;$C417&amp;"D=",{"BID","ASK"},CHOOSE({1,2},IF(AE$401,AE256,AE134/AE$11),IF(AE$401,AE256,AE134)),"SCOPE:SERVER"),"RT_FALSE")</f>
        <v>RT_FALSE</v>
      </c>
      <c r="AF417" s="1" t="str">
        <f>IF(AND(AF$400,COUNTA(AF$404:AF416)+4&lt;=MATCH(AF$402,Tenors_set,0)),_xll.RtContribute(AF$403,AF$3&amp;"FX"&amp;$C417&amp;"D=",{"BID","ASK"},CHOOSE({1,2},IF(AF$401,AF256,AF134/AF$11),IF(AF$401,AF256,AF134)),"SCOPE:SERVER"),"RT_FALSE")</f>
        <v>RT_FALSE</v>
      </c>
      <c r="AG417" s="1" t="str">
        <f>IF(AND(AG$400,COUNTA(AG$404:AG416)+4&lt;=MATCH(AG$402,Tenors_set,0)),_xll.RtContribute(AG$403,AG$3&amp;"FX"&amp;$C417&amp;"D=",{"BID","ASK"},CHOOSE({1,2},IF(AG$401,AG256,AG134/AG$11),IF(AG$401,AG256,AG134)),"SCOPE:SERVER"),"RT_FALSE")</f>
        <v>RT_FALSE</v>
      </c>
      <c r="AH417" s="1" t="str">
        <f>IF(AND(AH$400,COUNTA(AH$404:AH416)+4&lt;=MATCH(AH$402,Tenors_set,0)),_xll.RtContribute(AH$403,AH$3&amp;"FX"&amp;$C417&amp;"D=",{"BID","ASK"},CHOOSE({1,2},IF(AH$401,AH256,AH134/AH$11),IF(AH$401,AH256,AH134)),"SCOPE:SERVER"),"RT_FALSE")</f>
        <v>RT_FALSE</v>
      </c>
      <c r="AI417" s="1" t="str">
        <f>IF(AND(AI$400,COUNTA(AI$404:AI416)+4&lt;=MATCH(AI$402,Tenors_set,0)),_xll.RtContribute(AI$403,AI$3&amp;"FX"&amp;$C417&amp;"D=",{"BID","ASK"},CHOOSE({1,2},IF(AI$401,AI256,AI134/AI$11),IF(AI$401,AI256,AI134)),"SCOPE:SERVER"),"RT_FALSE")</f>
        <v>RT_FALSE</v>
      </c>
      <c r="AJ417" s="1" t="str">
        <f>IF(AND(AJ$400,COUNTA(AJ$404:AJ416)+4&lt;=MATCH(AJ$402,Tenors_set,0)),_xll.RtContribute(AJ$403,AJ$3&amp;"FX"&amp;$C417&amp;"D=",{"BID","ASK"},CHOOSE({1,2},IF(AJ$401,AJ256,AJ134/AJ$11),IF(AJ$401,AJ256,AJ134)),"SCOPE:SERVER"),"RT_FALSE")</f>
        <v>RT_FALSE</v>
      </c>
      <c r="AK417" s="1" t="str">
        <f>IF(AND(AK$400,COUNTA(AK$404:AK416)+4&lt;=MATCH(AK$402,Tenors_set,0)),_xll.RtContribute(AK$403,AK$3&amp;"FX"&amp;$C417&amp;"D=",{"BID","ASK"},CHOOSE({1,2},IF(AK$401,AK256,AK134/AK$11),IF(AK$401,AK256,AK134)),"SCOPE:SERVER"),"RT_FALSE")</f>
        <v>RT_FALSE</v>
      </c>
      <c r="AL417" s="1" t="str">
        <f>IF(AND(AL$400,COUNTA(AL$404:AL416)+4&lt;=MATCH(AL$402,Tenors_set,0)),_xll.RtContribute(AL$403,AL$3&amp;"FX"&amp;$C417&amp;"D=",{"BID","ASK"},CHOOSE({1,2},IF(AL$401,AL256,AL134/AL$11),IF(AL$401,AL256,AL134)),"SCOPE:SERVER"),"RT_FALSE")</f>
        <v>RT_FALSE</v>
      </c>
      <c r="AM417" s="1" t="str">
        <f>IF(AND(AM$400,COUNTA(AM$404:AM416)+4&lt;=MATCH(AM$402,Tenors_set,0)),_xll.RtContribute(AM$403,AM$3&amp;"FX"&amp;$C417&amp;"D=",{"BID","ASK"},CHOOSE({1,2},IF(AM$401,AM256,AM134/AM$11),IF(AM$401,AM256,AM134)),"SCOPE:SERVER"),"RT_FALSE")</f>
        <v>RT_FALSE</v>
      </c>
      <c r="AN417" s="1" t="str">
        <f>IF(AND(AN$400,COUNTA(AN$404:AN416)+4&lt;=MATCH(AN$402,Tenors_set,0)),_xll.RtContribute(AN$403,AN$3&amp;"FX"&amp;$C417&amp;"D=",{"BID","ASK"},CHOOSE({1,2},IF(AN$401,AN256,AN134/AN$11),IF(AN$401,AN256,AN134)),"SCOPE:SERVER"),"RT_FALSE")</f>
        <v>RT_FALSE</v>
      </c>
      <c r="AO417" s="1" t="str">
        <f>IF(AND(AO$400,COUNTA(AO$404:AO416)+4&lt;=MATCH(AO$402,Tenors_set,0)),_xll.RtContribute(AO$403,AO$3&amp;"FX"&amp;$C417&amp;"D=",{"BID","ASK"},CHOOSE({1,2},IF(AO$401,AO256,AO134/AO$11),IF(AO$401,AO256,AO134)),"SCOPE:SERVER"),"RT_FALSE")</f>
        <v>RT_FALSE</v>
      </c>
      <c r="AP417" s="1" t="str">
        <f>IF(AND(AP$400,COUNTA(AP$404:AP416)+4&lt;=MATCH(AP$402,Tenors_set,0)),_xll.RtContribute(AP$403,AP$3&amp;"FX"&amp;$C417&amp;"D=",{"BID","ASK"},CHOOSE({1,2},IF(AP$401,AP256,AP134/AP$11),IF(AP$401,AP256,AP134)),"SCOPE:SERVER"),"RT_FALSE")</f>
        <v>RT_FALSE</v>
      </c>
    </row>
    <row r="418" spans="3:42" x14ac:dyDescent="0.2">
      <c r="C418" s="1" t="s">
        <v>96</v>
      </c>
      <c r="E418" s="1" t="str">
        <f>IF(AND(E$400,COUNTA(E$404:E417)+4&lt;=MATCH(E$402,Tenors_set,0)),_xll.RtContribute(E$403,E$3&amp;"FX"&amp;$C418&amp;"D=",{"BID","ASK"},CHOOSE({1,2},IF(E$401,E257,E135/E$11),IF(E$401,E257,E135)),"SCOPE:SERVER"),"RT_FALSE")</f>
        <v>RT_FALSE</v>
      </c>
      <c r="F418" s="1" t="str">
        <f>IF(AND(F$400,COUNTA(F$404:F417)+4&lt;=MATCH(F$402,Tenors_set,0)),_xll.RtContribute(F$403,F$3&amp;"FX"&amp;$C418&amp;"D=",{"BID","ASK"},CHOOSE({1,2},IF(F$401,F257,F135/F$11),IF(F$401,F257,F135)),"SCOPE:SERVER"),"RT_FALSE")</f>
        <v>RT_FALSE</v>
      </c>
      <c r="G418" s="1" t="str">
        <f>IF(AND(G$400,COUNTA(G$404:G417)+4&lt;=MATCH(G$402,Tenors_set,0)),_xll.RtContribute(G$403,G$3&amp;"FX"&amp;$C418&amp;"D=",{"BID","ASK"},CHOOSE({1,2},IF(G$401,G257,G135/G$11),IF(G$401,G257,G135)),"SCOPE:SERVER"),"RT_FALSE")</f>
        <v>RT_FALSE</v>
      </c>
      <c r="H418" s="1" t="str">
        <f>IF(AND(H$400,COUNTA(H$404:H417)+4&lt;=MATCH(H$402,Tenors_set,0)),_xll.RtContribute(H$403,H$3&amp;"FX"&amp;$C418&amp;"D=",{"BID","ASK"},CHOOSE({1,2},IF(H$401,H257,H135/H$11),IF(H$401,H257,H135)),"SCOPE:SERVER"),"RT_FALSE")</f>
        <v>RT_FALSE</v>
      </c>
      <c r="I418" s="1" t="str">
        <f>IF(AND(I$400,COUNTA(I$404:I417)+4&lt;=MATCH(I$402,Tenors_set,0)),_xll.RtContribute(I$403,I$3&amp;"FX"&amp;$C418&amp;"D=",{"BID","ASK"},CHOOSE({1,2},IF(I$401,I257,I135/I$11),IF(I$401,I257,I135)),"SCOPE:SERVER"),"RT_FALSE")</f>
        <v>RT_FALSE</v>
      </c>
      <c r="J418" s="1" t="str">
        <f>IF(AND(J$400,COUNTA(J$404:J417)+4&lt;=MATCH(J$402,Tenors_set,0)),_xll.RtContribute(J$403,J$3&amp;"FX"&amp;$C418&amp;"D=",{"BID","ASK"},CHOOSE({1,2},IF(J$401,J257,J135/J$11),IF(J$401,J257,J135)),"SCOPE:SERVER"),"RT_FALSE")</f>
        <v>RT_FALSE</v>
      </c>
      <c r="K418" s="1" t="str">
        <f>IF(AND(K$400,COUNTA(K$404:K417)+4&lt;=MATCH(K$402,Tenors_set,0)),_xll.RtContribute(K$403,K$3&amp;"FX"&amp;$C418&amp;"D=",{"BID","ASK"},CHOOSE({1,2},IF(K$401,K257,K135/K$11),IF(K$401,K257,K135)),"SCOPE:SERVER"),"RT_FALSE")</f>
        <v>RT_FALSE</v>
      </c>
      <c r="L418" s="1" t="str">
        <f>IF(AND(L$400,COUNTA(L$404:L417)+4&lt;=MATCH(L$402,Tenors_set,0)),_xll.RtContribute(L$403,L$3&amp;"FX"&amp;$C418&amp;"D=",{"BID","ASK"},CHOOSE({1,2},IF(L$401,L257,L135/L$11),IF(L$401,L257,L135)),"SCOPE:SERVER"),"RT_FALSE")</f>
        <v>RT_FALSE</v>
      </c>
      <c r="M418" s="1" t="str">
        <f>IF(AND(M$400,COUNTA(M$404:M417)+4&lt;=MATCH(M$402,Tenors_set,0)),_xll.RtContribute(M$403,M$3&amp;"FX"&amp;$C418&amp;"D=",{"BID","ASK"},CHOOSE({1,2},IF(M$401,M257,M135/M$11),IF(M$401,M257,M135)),"SCOPE:SERVER"),"RT_FALSE")</f>
        <v>RT_FALSE</v>
      </c>
      <c r="N418" s="1" t="str">
        <f>IF(AND(N$400,COUNTA(N$404:N417)+4&lt;=MATCH(N$402,Tenors_set,0)),_xll.RtContribute(N$403,N$3&amp;"FX"&amp;$C418&amp;"D=",{"BID","ASK"},CHOOSE({1,2},IF(N$401,N257,N135/N$11),IF(N$401,N257,N135)),"SCOPE:SERVER"),"RT_FALSE")</f>
        <v>RT_FALSE</v>
      </c>
      <c r="O418" s="1" t="str">
        <f>IF(AND(O$400,COUNTA(O$404:O417)+4&lt;=MATCH(O$402,Tenors_set,0)),_xll.RtContribute(O$403,O$3&amp;"FX"&amp;$C418&amp;"D=",{"BID","ASK"},CHOOSE({1,2},IF(O$401,O257,O135/O$11),IF(O$401,O257,O135)),"SCOPE:SERVER"),"RT_FALSE")</f>
        <v>RT_FALSE</v>
      </c>
      <c r="P418" s="1" t="str">
        <f>IF(AND(P$400,COUNTA(P$404:P417)+4&lt;=MATCH(P$402,Tenors_set,0)),_xll.RtContribute(P$403,P$3&amp;"FX"&amp;$C418&amp;"D=",{"BID","ASK"},CHOOSE({1,2},IF(P$401,P257,P135/P$11),IF(P$401,P257,P135)),"SCOPE:SERVER"),"RT_FALSE")</f>
        <v>RT_FALSE</v>
      </c>
      <c r="Q418" s="1" t="str">
        <f>IF(AND(Q$400,COUNTA(Q$404:Q417)+4&lt;=MATCH(Q$402,Tenors_set,0)),_xll.RtContribute(Q$403,Q$3&amp;"FX"&amp;$C418&amp;"D=",{"BID","ASK"},CHOOSE({1,2},IF(Q$401,Q257,Q135/Q$11),IF(Q$401,Q257,Q135)),"SCOPE:SERVER"),"RT_FALSE")</f>
        <v>RT_FALSE</v>
      </c>
      <c r="R418" s="1" t="str">
        <f>IF(AND(R$400,COUNTA(R$404:R417)+4&lt;=MATCH(R$402,Tenors_set,0)),_xll.RtContribute(R$403,R$3&amp;"FX"&amp;$C418&amp;"D=",{"BID","ASK"},CHOOSE({1,2},IF(R$401,R257,R135/R$11),IF(R$401,R257,R135)),"SCOPE:SERVER"),"RT_FALSE")</f>
        <v>RT_FALSE</v>
      </c>
      <c r="S418" s="1" t="str">
        <f>IF(AND(S$400,COUNTA(S$404:S417)+4&lt;=MATCH(S$402,Tenors_set,0)),_xll.RtContribute(S$403,S$3&amp;"FX"&amp;$C418&amp;"D=",{"BID","ASK"},CHOOSE({1,2},IF(S$401,S257,S135/S$11),IF(S$401,S257,S135)),"SCOPE:SERVER"),"RT_FALSE")</f>
        <v>RT_FALSE</v>
      </c>
      <c r="T418" s="1" t="str">
        <f>IF(AND(T$400,COUNTA(T$404:T417)+4&lt;=MATCH(T$402,Tenors_set,0)),_xll.RtContribute(T$403,T$3&amp;"FX"&amp;$C418&amp;"D=",{"BID","ASK"},CHOOSE({1,2},IF(T$401,T257,T135/T$11),IF(T$401,T257,T135)),"SCOPE:SERVER"),"RT_FALSE")</f>
        <v>RT_FALSE</v>
      </c>
      <c r="U418" s="1" t="str">
        <f>IF(AND(U$400,COUNTA(U$404:U417)+4&lt;=MATCH(U$402,Tenors_set,0)),_xll.RtContribute(U$403,U$3&amp;"FX"&amp;$C418&amp;"D=",{"BID","ASK"},CHOOSE({1,2},IF(U$401,U257,U135/U$11),IF(U$401,U257,U135)),"SCOPE:SERVER"),"RT_FALSE")</f>
        <v>RT_FALSE</v>
      </c>
      <c r="V418" s="1" t="str">
        <f>IF(AND(V$400,COUNTA(V$404:V417)+4&lt;=MATCH(V$402,Tenors_set,0)),_xll.RtContribute(V$403,V$3&amp;"FX"&amp;$C418&amp;"D=",{"BID","ASK"},CHOOSE({1,2},IF(V$401,V257,V135/V$11),IF(V$401,V257,V135)),"SCOPE:SERVER"),"RT_FALSE")</f>
        <v>RT_FALSE</v>
      </c>
      <c r="W418" s="1" t="str">
        <f>IF(AND(W$400,COUNTA(W$404:W417)+4&lt;=MATCH(W$402,Tenors_set,0)),_xll.RtContribute(W$403,W$3&amp;"FX"&amp;$C418&amp;"D=",{"BID","ASK"},CHOOSE({1,2},IF(W$401,W257,W135/W$11),IF(W$401,W257,W135)),"SCOPE:SERVER"),"RT_FALSE")</f>
        <v>RT_FALSE</v>
      </c>
      <c r="X418" s="1" t="str">
        <f>IF(AND(X$400,COUNTA(X$404:X417)+4&lt;=MATCH(X$402,Tenors_set,0)),_xll.RtContribute(X$403,X$3&amp;"FX"&amp;$C418&amp;"D=",{"BID","ASK"},CHOOSE({1,2},IF(X$401,X257,X135/X$11),IF(X$401,X257,X135)),"SCOPE:SERVER"),"RT_FALSE")</f>
        <v>RT_FALSE</v>
      </c>
      <c r="Y418" s="1" t="str">
        <f>IF(AND(Y$400,COUNTA(Y$404:Y417)+4&lt;=MATCH(Y$402,Tenors_set,0)),_xll.RtContribute(Y$403,Y$3&amp;"FX"&amp;$C418&amp;"D=",{"BID","ASK"},CHOOSE({1,2},IF(Y$401,Y257,Y135/Y$11),IF(Y$401,Y257,Y135)),"SCOPE:SERVER"),"RT_FALSE")</f>
        <v>RT_FALSE</v>
      </c>
      <c r="Z418" s="1" t="str">
        <f>IF(AND(Z$400,COUNTA(Z$404:Z417)+4&lt;=MATCH(Z$402,Tenors_set,0)),_xll.RtContribute(Z$403,Z$3&amp;"FX"&amp;$C418&amp;"D=",{"BID","ASK"},CHOOSE({1,2},IF(Z$401,Z257,Z135/Z$11),IF(Z$401,Z257,Z135)),"SCOPE:SERVER"),"RT_FALSE")</f>
        <v>RT_FALSE</v>
      </c>
      <c r="AA418" s="1" t="str">
        <f>IF(AND(AA$400,COUNTA(AA$404:AA417)+4&lt;=MATCH(AA$402,Tenors_set,0)),_xll.RtContribute(AA$403,AA$3&amp;"FX"&amp;$C418&amp;"D=",{"BID","ASK"},CHOOSE({1,2},IF(AA$401,AA257,AA135/AA$11),IF(AA$401,AA257,AA135)),"SCOPE:SERVER"),"RT_FALSE")</f>
        <v>RT_FALSE</v>
      </c>
      <c r="AB418" s="1" t="str">
        <f>IF(AND(AB$400,COUNTA(AB$404:AB417)+4&lt;=MATCH(AB$402,Tenors_set,0)),_xll.RtContribute(AB$403,AB$3&amp;"FX"&amp;$C418&amp;"D=",{"BID","ASK"},CHOOSE({1,2},IF(AB$401,AB257,AB135/AB$11),IF(AB$401,AB257,AB135)),"SCOPE:SERVER"),"RT_FALSE")</f>
        <v>RT_FALSE</v>
      </c>
      <c r="AC418" s="1" t="str">
        <f>IF(AND(AC$400,COUNTA(AC$404:AC417)+4&lt;=MATCH(AC$402,Tenors_set,0)),_xll.RtContribute(AC$403,AC$3&amp;"FX"&amp;$C418&amp;"D=",{"BID","ASK"},CHOOSE({1,2},IF(AC$401,AC257,AC135/AC$11),IF(AC$401,AC257,AC135)),"SCOPE:SERVER"),"RT_FALSE")</f>
        <v>RT_FALSE</v>
      </c>
      <c r="AD418" s="1" t="str">
        <f>IF(AND(AD$400,COUNTA(AD$404:AD417)+4&lt;=MATCH(AD$402,Tenors_set,0)),_xll.RtContribute(AD$403,AD$3&amp;"FX"&amp;$C418&amp;"D=",{"BID","ASK"},CHOOSE({1,2},IF(AD$401,AD257,AD135/AD$11),IF(AD$401,AD257,AD135)),"SCOPE:SERVER"),"RT_FALSE")</f>
        <v>RT_FALSE</v>
      </c>
      <c r="AE418" s="1" t="str">
        <f>IF(AND(AE$400,COUNTA(AE$404:AE417)+4&lt;=MATCH(AE$402,Tenors_set,0)),_xll.RtContribute(AE$403,AE$3&amp;"FX"&amp;$C418&amp;"D=",{"BID","ASK"},CHOOSE({1,2},IF(AE$401,AE257,AE135/AE$11),IF(AE$401,AE257,AE135)),"SCOPE:SERVER"),"RT_FALSE")</f>
        <v>RT_FALSE</v>
      </c>
      <c r="AF418" s="1" t="str">
        <f>IF(AND(AF$400,COUNTA(AF$404:AF417)+4&lt;=MATCH(AF$402,Tenors_set,0)),_xll.RtContribute(AF$403,AF$3&amp;"FX"&amp;$C418&amp;"D=",{"BID","ASK"},CHOOSE({1,2},IF(AF$401,AF257,AF135/AF$11),IF(AF$401,AF257,AF135)),"SCOPE:SERVER"),"RT_FALSE")</f>
        <v>RT_FALSE</v>
      </c>
      <c r="AG418" s="1" t="str">
        <f>IF(AND(AG$400,COUNTA(AG$404:AG417)+4&lt;=MATCH(AG$402,Tenors_set,0)),_xll.RtContribute(AG$403,AG$3&amp;"FX"&amp;$C418&amp;"D=",{"BID","ASK"},CHOOSE({1,2},IF(AG$401,AG257,AG135/AG$11),IF(AG$401,AG257,AG135)),"SCOPE:SERVER"),"RT_FALSE")</f>
        <v>RT_FALSE</v>
      </c>
      <c r="AH418" s="1" t="str">
        <f>IF(AND(AH$400,COUNTA(AH$404:AH417)+4&lt;=MATCH(AH$402,Tenors_set,0)),_xll.RtContribute(AH$403,AH$3&amp;"FX"&amp;$C418&amp;"D=",{"BID","ASK"},CHOOSE({1,2},IF(AH$401,AH257,AH135/AH$11),IF(AH$401,AH257,AH135)),"SCOPE:SERVER"),"RT_FALSE")</f>
        <v>RT_FALSE</v>
      </c>
      <c r="AI418" s="1" t="str">
        <f>IF(AND(AI$400,COUNTA(AI$404:AI417)+4&lt;=MATCH(AI$402,Tenors_set,0)),_xll.RtContribute(AI$403,AI$3&amp;"FX"&amp;$C418&amp;"D=",{"BID","ASK"},CHOOSE({1,2},IF(AI$401,AI257,AI135/AI$11),IF(AI$401,AI257,AI135)),"SCOPE:SERVER"),"RT_FALSE")</f>
        <v>RT_FALSE</v>
      </c>
      <c r="AJ418" s="1" t="str">
        <f>IF(AND(AJ$400,COUNTA(AJ$404:AJ417)+4&lt;=MATCH(AJ$402,Tenors_set,0)),_xll.RtContribute(AJ$403,AJ$3&amp;"FX"&amp;$C418&amp;"D=",{"BID","ASK"},CHOOSE({1,2},IF(AJ$401,AJ257,AJ135/AJ$11),IF(AJ$401,AJ257,AJ135)),"SCOPE:SERVER"),"RT_FALSE")</f>
        <v>RT_FALSE</v>
      </c>
      <c r="AK418" s="1" t="str">
        <f>IF(AND(AK$400,COUNTA(AK$404:AK417)+4&lt;=MATCH(AK$402,Tenors_set,0)),_xll.RtContribute(AK$403,AK$3&amp;"FX"&amp;$C418&amp;"D=",{"BID","ASK"},CHOOSE({1,2},IF(AK$401,AK257,AK135/AK$11),IF(AK$401,AK257,AK135)),"SCOPE:SERVER"),"RT_FALSE")</f>
        <v>RT_FALSE</v>
      </c>
      <c r="AL418" s="1" t="str">
        <f>IF(AND(AL$400,COUNTA(AL$404:AL417)+4&lt;=MATCH(AL$402,Tenors_set,0)),_xll.RtContribute(AL$403,AL$3&amp;"FX"&amp;$C418&amp;"D=",{"BID","ASK"},CHOOSE({1,2},IF(AL$401,AL257,AL135/AL$11),IF(AL$401,AL257,AL135)),"SCOPE:SERVER"),"RT_FALSE")</f>
        <v>RT_FALSE</v>
      </c>
      <c r="AM418" s="1" t="str">
        <f>IF(AND(AM$400,COUNTA(AM$404:AM417)+4&lt;=MATCH(AM$402,Tenors_set,0)),_xll.RtContribute(AM$403,AM$3&amp;"FX"&amp;$C418&amp;"D=",{"BID","ASK"},CHOOSE({1,2},IF(AM$401,AM257,AM135/AM$11),IF(AM$401,AM257,AM135)),"SCOPE:SERVER"),"RT_FALSE")</f>
        <v>RT_FALSE</v>
      </c>
      <c r="AN418" s="1" t="str">
        <f>IF(AND(AN$400,COUNTA(AN$404:AN417)+4&lt;=MATCH(AN$402,Tenors_set,0)),_xll.RtContribute(AN$403,AN$3&amp;"FX"&amp;$C418&amp;"D=",{"BID","ASK"},CHOOSE({1,2},IF(AN$401,AN257,AN135/AN$11),IF(AN$401,AN257,AN135)),"SCOPE:SERVER"),"RT_FALSE")</f>
        <v>RT_FALSE</v>
      </c>
      <c r="AO418" s="1" t="str">
        <f>IF(AND(AO$400,COUNTA(AO$404:AO417)+4&lt;=MATCH(AO$402,Tenors_set,0)),_xll.RtContribute(AO$403,AO$3&amp;"FX"&amp;$C418&amp;"D=",{"BID","ASK"},CHOOSE({1,2},IF(AO$401,AO257,AO135/AO$11),IF(AO$401,AO257,AO135)),"SCOPE:SERVER"),"RT_FALSE")</f>
        <v>RT_FALSE</v>
      </c>
      <c r="AP418" s="1" t="str">
        <f>IF(AND(AP$400,COUNTA(AP$404:AP417)+4&lt;=MATCH(AP$402,Tenors_set,0)),_xll.RtContribute(AP$403,AP$3&amp;"FX"&amp;$C418&amp;"D=",{"BID","ASK"},CHOOSE({1,2},IF(AP$401,AP257,AP135/AP$11),IF(AP$401,AP257,AP135)),"SCOPE:SERVER"),"RT_FALSE")</f>
        <v>RT_FALSE</v>
      </c>
    </row>
    <row r="419" spans="3:42" x14ac:dyDescent="0.2">
      <c r="C419" s="1" t="s">
        <v>99</v>
      </c>
      <c r="E419" s="1" t="str">
        <f>IF(AND(E$400,COUNTA(E$404:E418)+4&lt;=MATCH(E$402,Tenors_set,0)),_xll.RtContribute(E$403,E$3&amp;"FX"&amp;$C419&amp;"D=",{"BID","ASK"},CHOOSE({1,2},IF(E$401,E258,E136/E$11),IF(E$401,E258,E136)),"SCOPE:SERVER"),"RT_FALSE")</f>
        <v>RT_FALSE</v>
      </c>
      <c r="F419" s="1" t="str">
        <f>IF(AND(F$400,COUNTA(F$404:F418)+4&lt;=MATCH(F$402,Tenors_set,0)),_xll.RtContribute(F$403,F$3&amp;"FX"&amp;$C419&amp;"D=",{"BID","ASK"},CHOOSE({1,2},IF(F$401,F258,F136/F$11),IF(F$401,F258,F136)),"SCOPE:SERVER"),"RT_FALSE")</f>
        <v>RT_FALSE</v>
      </c>
      <c r="G419" s="1" t="str">
        <f>IF(AND(G$400,COUNTA(G$404:G418)+4&lt;=MATCH(G$402,Tenors_set,0)),_xll.RtContribute(G$403,G$3&amp;"FX"&amp;$C419&amp;"D=",{"BID","ASK"},CHOOSE({1,2},IF(G$401,G258,G136/G$11),IF(G$401,G258,G136)),"SCOPE:SERVER"),"RT_FALSE")</f>
        <v>RT_FALSE</v>
      </c>
      <c r="H419" s="1" t="str">
        <f>IF(AND(H$400,COUNTA(H$404:H418)+4&lt;=MATCH(H$402,Tenors_set,0)),_xll.RtContribute(H$403,H$3&amp;"FX"&amp;$C419&amp;"D=",{"BID","ASK"},CHOOSE({1,2},IF(H$401,H258,H136/H$11),IF(H$401,H258,H136)),"SCOPE:SERVER"),"RT_FALSE")</f>
        <v>RT_FALSE</v>
      </c>
      <c r="I419" s="1" t="str">
        <f>IF(AND(I$400,COUNTA(I$404:I418)+4&lt;=MATCH(I$402,Tenors_set,0)),_xll.RtContribute(I$403,I$3&amp;"FX"&amp;$C419&amp;"D=",{"BID","ASK"},CHOOSE({1,2},IF(I$401,I258,I136/I$11),IF(I$401,I258,I136)),"SCOPE:SERVER"),"RT_FALSE")</f>
        <v>RT_FALSE</v>
      </c>
      <c r="J419" s="1" t="str">
        <f>IF(AND(J$400,COUNTA(J$404:J418)+4&lt;=MATCH(J$402,Tenors_set,0)),_xll.RtContribute(J$403,J$3&amp;"FX"&amp;$C419&amp;"D=",{"BID","ASK"},CHOOSE({1,2},IF(J$401,J258,J136/J$11),IF(J$401,J258,J136)),"SCOPE:SERVER"),"RT_FALSE")</f>
        <v>RT_FALSE</v>
      </c>
      <c r="K419" s="1" t="str">
        <f>IF(AND(K$400,COUNTA(K$404:K418)+4&lt;=MATCH(K$402,Tenors_set,0)),_xll.RtContribute(K$403,K$3&amp;"FX"&amp;$C419&amp;"D=",{"BID","ASK"},CHOOSE({1,2},IF(K$401,K258,K136/K$11),IF(K$401,K258,K136)),"SCOPE:SERVER"),"RT_FALSE")</f>
        <v>RT_FALSE</v>
      </c>
      <c r="L419" s="1" t="str">
        <f>IF(AND(L$400,COUNTA(L$404:L418)+4&lt;=MATCH(L$402,Tenors_set,0)),_xll.RtContribute(L$403,L$3&amp;"FX"&amp;$C419&amp;"D=",{"BID","ASK"},CHOOSE({1,2},IF(L$401,L258,L136/L$11),IF(L$401,L258,L136)),"SCOPE:SERVER"),"RT_FALSE")</f>
        <v>RT_FALSE</v>
      </c>
      <c r="M419" s="1" t="str">
        <f>IF(AND(M$400,COUNTA(M$404:M418)+4&lt;=MATCH(M$402,Tenors_set,0)),_xll.RtContribute(M$403,M$3&amp;"FX"&amp;$C419&amp;"D=",{"BID","ASK"},CHOOSE({1,2},IF(M$401,M258,M136/M$11),IF(M$401,M258,M136)),"SCOPE:SERVER"),"RT_FALSE")</f>
        <v>RT_FALSE</v>
      </c>
      <c r="N419" s="1" t="str">
        <f>IF(AND(N$400,COUNTA(N$404:N418)+4&lt;=MATCH(N$402,Tenors_set,0)),_xll.RtContribute(N$403,N$3&amp;"FX"&amp;$C419&amp;"D=",{"BID","ASK"},CHOOSE({1,2},IF(N$401,N258,N136/N$11),IF(N$401,N258,N136)),"SCOPE:SERVER"),"RT_FALSE")</f>
        <v>RT_FALSE</v>
      </c>
      <c r="O419" s="1" t="str">
        <f>IF(AND(O$400,COUNTA(O$404:O418)+4&lt;=MATCH(O$402,Tenors_set,0)),_xll.RtContribute(O$403,O$3&amp;"FX"&amp;$C419&amp;"D=",{"BID","ASK"},CHOOSE({1,2},IF(O$401,O258,O136/O$11),IF(O$401,O258,O136)),"SCOPE:SERVER"),"RT_FALSE")</f>
        <v>RT_FALSE</v>
      </c>
      <c r="P419" s="1" t="str">
        <f>IF(AND(P$400,COUNTA(P$404:P418)+4&lt;=MATCH(P$402,Tenors_set,0)),_xll.RtContribute(P$403,P$3&amp;"FX"&amp;$C419&amp;"D=",{"BID","ASK"},CHOOSE({1,2},IF(P$401,P258,P136/P$11),IF(P$401,P258,P136)),"SCOPE:SERVER"),"RT_FALSE")</f>
        <v>RT_FALSE</v>
      </c>
      <c r="Q419" s="1" t="str">
        <f>IF(AND(Q$400,COUNTA(Q$404:Q418)+4&lt;=MATCH(Q$402,Tenors_set,0)),_xll.RtContribute(Q$403,Q$3&amp;"FX"&amp;$C419&amp;"D=",{"BID","ASK"},CHOOSE({1,2},IF(Q$401,Q258,Q136/Q$11),IF(Q$401,Q258,Q136)),"SCOPE:SERVER"),"RT_FALSE")</f>
        <v>RT_FALSE</v>
      </c>
      <c r="R419" s="1" t="str">
        <f>IF(AND(R$400,COUNTA(R$404:R418)+4&lt;=MATCH(R$402,Tenors_set,0)),_xll.RtContribute(R$403,R$3&amp;"FX"&amp;$C419&amp;"D=",{"BID","ASK"},CHOOSE({1,2},IF(R$401,R258,R136/R$11),IF(R$401,R258,R136)),"SCOPE:SERVER"),"RT_FALSE")</f>
        <v>RT_FALSE</v>
      </c>
      <c r="S419" s="1" t="str">
        <f>IF(AND(S$400,COUNTA(S$404:S418)+4&lt;=MATCH(S$402,Tenors_set,0)),_xll.RtContribute(S$403,S$3&amp;"FX"&amp;$C419&amp;"D=",{"BID","ASK"},CHOOSE({1,2},IF(S$401,S258,S136/S$11),IF(S$401,S258,S136)),"SCOPE:SERVER"),"RT_FALSE")</f>
        <v>RT_FALSE</v>
      </c>
      <c r="T419" s="1" t="str">
        <f>IF(AND(T$400,COUNTA(T$404:T418)+4&lt;=MATCH(T$402,Tenors_set,0)),_xll.RtContribute(T$403,T$3&amp;"FX"&amp;$C419&amp;"D=",{"BID","ASK"},CHOOSE({1,2},IF(T$401,T258,T136/T$11),IF(T$401,T258,T136)),"SCOPE:SERVER"),"RT_FALSE")</f>
        <v>RT_FALSE</v>
      </c>
      <c r="U419" s="1" t="str">
        <f>IF(AND(U$400,COUNTA(U$404:U418)+4&lt;=MATCH(U$402,Tenors_set,0)),_xll.RtContribute(U$403,U$3&amp;"FX"&amp;$C419&amp;"D=",{"BID","ASK"},CHOOSE({1,2},IF(U$401,U258,U136/U$11),IF(U$401,U258,U136)),"SCOPE:SERVER"),"RT_FALSE")</f>
        <v>RT_FALSE</v>
      </c>
      <c r="V419" s="1" t="str">
        <f>IF(AND(V$400,COUNTA(V$404:V418)+4&lt;=MATCH(V$402,Tenors_set,0)),_xll.RtContribute(V$403,V$3&amp;"FX"&amp;$C419&amp;"D=",{"BID","ASK"},CHOOSE({1,2},IF(V$401,V258,V136/V$11),IF(V$401,V258,V136)),"SCOPE:SERVER"),"RT_FALSE")</f>
        <v>RT_FALSE</v>
      </c>
      <c r="W419" s="1" t="str">
        <f>IF(AND(W$400,COUNTA(W$404:W418)+4&lt;=MATCH(W$402,Tenors_set,0)),_xll.RtContribute(W$403,W$3&amp;"FX"&amp;$C419&amp;"D=",{"BID","ASK"},CHOOSE({1,2},IF(W$401,W258,W136/W$11),IF(W$401,W258,W136)),"SCOPE:SERVER"),"RT_FALSE")</f>
        <v>RT_FALSE</v>
      </c>
      <c r="X419" s="1" t="str">
        <f>IF(AND(X$400,COUNTA(X$404:X418)+4&lt;=MATCH(X$402,Tenors_set,0)),_xll.RtContribute(X$403,X$3&amp;"FX"&amp;$C419&amp;"D=",{"BID","ASK"},CHOOSE({1,2},IF(X$401,X258,X136/X$11),IF(X$401,X258,X136)),"SCOPE:SERVER"),"RT_FALSE")</f>
        <v>RT_FALSE</v>
      </c>
      <c r="Y419" s="1" t="str">
        <f>IF(AND(Y$400,COUNTA(Y$404:Y418)+4&lt;=MATCH(Y$402,Tenors_set,0)),_xll.RtContribute(Y$403,Y$3&amp;"FX"&amp;$C419&amp;"D=",{"BID","ASK"},CHOOSE({1,2},IF(Y$401,Y258,Y136/Y$11),IF(Y$401,Y258,Y136)),"SCOPE:SERVER"),"RT_FALSE")</f>
        <v>RT_FALSE</v>
      </c>
      <c r="Z419" s="1" t="str">
        <f>IF(AND(Z$400,COUNTA(Z$404:Z418)+4&lt;=MATCH(Z$402,Tenors_set,0)),_xll.RtContribute(Z$403,Z$3&amp;"FX"&amp;$C419&amp;"D=",{"BID","ASK"},CHOOSE({1,2},IF(Z$401,Z258,Z136/Z$11),IF(Z$401,Z258,Z136)),"SCOPE:SERVER"),"RT_FALSE")</f>
        <v>RT_FALSE</v>
      </c>
      <c r="AA419" s="1" t="str">
        <f>IF(AND(AA$400,COUNTA(AA$404:AA418)+4&lt;=MATCH(AA$402,Tenors_set,0)),_xll.RtContribute(AA$403,AA$3&amp;"FX"&amp;$C419&amp;"D=",{"BID","ASK"},CHOOSE({1,2},IF(AA$401,AA258,AA136/AA$11),IF(AA$401,AA258,AA136)),"SCOPE:SERVER"),"RT_FALSE")</f>
        <v>RT_FALSE</v>
      </c>
      <c r="AB419" s="1" t="str">
        <f>IF(AND(AB$400,COUNTA(AB$404:AB418)+4&lt;=MATCH(AB$402,Tenors_set,0)),_xll.RtContribute(AB$403,AB$3&amp;"FX"&amp;$C419&amp;"D=",{"BID","ASK"},CHOOSE({1,2},IF(AB$401,AB258,AB136/AB$11),IF(AB$401,AB258,AB136)),"SCOPE:SERVER"),"RT_FALSE")</f>
        <v>RT_FALSE</v>
      </c>
      <c r="AC419" s="1" t="str">
        <f>IF(AND(AC$400,COUNTA(AC$404:AC418)+4&lt;=MATCH(AC$402,Tenors_set,0)),_xll.RtContribute(AC$403,AC$3&amp;"FX"&amp;$C419&amp;"D=",{"BID","ASK"},CHOOSE({1,2},IF(AC$401,AC258,AC136/AC$11),IF(AC$401,AC258,AC136)),"SCOPE:SERVER"),"RT_FALSE")</f>
        <v>RT_FALSE</v>
      </c>
      <c r="AD419" s="1" t="str">
        <f>IF(AND(AD$400,COUNTA(AD$404:AD418)+4&lt;=MATCH(AD$402,Tenors_set,0)),_xll.RtContribute(AD$403,AD$3&amp;"FX"&amp;$C419&amp;"D=",{"BID","ASK"},CHOOSE({1,2},IF(AD$401,AD258,AD136/AD$11),IF(AD$401,AD258,AD136)),"SCOPE:SERVER"),"RT_FALSE")</f>
        <v>RT_FALSE</v>
      </c>
      <c r="AE419" s="1" t="str">
        <f>IF(AND(AE$400,COUNTA(AE$404:AE418)+4&lt;=MATCH(AE$402,Tenors_set,0)),_xll.RtContribute(AE$403,AE$3&amp;"FX"&amp;$C419&amp;"D=",{"BID","ASK"},CHOOSE({1,2},IF(AE$401,AE258,AE136/AE$11),IF(AE$401,AE258,AE136)),"SCOPE:SERVER"),"RT_FALSE")</f>
        <v>RT_FALSE</v>
      </c>
      <c r="AF419" s="1" t="str">
        <f>IF(AND(AF$400,COUNTA(AF$404:AF418)+4&lt;=MATCH(AF$402,Tenors_set,0)),_xll.RtContribute(AF$403,AF$3&amp;"FX"&amp;$C419&amp;"D=",{"BID","ASK"},CHOOSE({1,2},IF(AF$401,AF258,AF136/AF$11),IF(AF$401,AF258,AF136)),"SCOPE:SERVER"),"RT_FALSE")</f>
        <v>RT_FALSE</v>
      </c>
      <c r="AG419" s="1" t="str">
        <f>IF(AND(AG$400,COUNTA(AG$404:AG418)+4&lt;=MATCH(AG$402,Tenors_set,0)),_xll.RtContribute(AG$403,AG$3&amp;"FX"&amp;$C419&amp;"D=",{"BID","ASK"},CHOOSE({1,2},IF(AG$401,AG258,AG136/AG$11),IF(AG$401,AG258,AG136)),"SCOPE:SERVER"),"RT_FALSE")</f>
        <v>RT_FALSE</v>
      </c>
      <c r="AH419" s="1" t="str">
        <f>IF(AND(AH$400,COUNTA(AH$404:AH418)+4&lt;=MATCH(AH$402,Tenors_set,0)),_xll.RtContribute(AH$403,AH$3&amp;"FX"&amp;$C419&amp;"D=",{"BID","ASK"},CHOOSE({1,2},IF(AH$401,AH258,AH136/AH$11),IF(AH$401,AH258,AH136)),"SCOPE:SERVER"),"RT_FALSE")</f>
        <v>RT_FALSE</v>
      </c>
      <c r="AI419" s="1" t="str">
        <f>IF(AND(AI$400,COUNTA(AI$404:AI418)+4&lt;=MATCH(AI$402,Tenors_set,0)),_xll.RtContribute(AI$403,AI$3&amp;"FX"&amp;$C419&amp;"D=",{"BID","ASK"},CHOOSE({1,2},IF(AI$401,AI258,AI136/AI$11),IF(AI$401,AI258,AI136)),"SCOPE:SERVER"),"RT_FALSE")</f>
        <v>RT_FALSE</v>
      </c>
      <c r="AJ419" s="1" t="str">
        <f>IF(AND(AJ$400,COUNTA(AJ$404:AJ418)+4&lt;=MATCH(AJ$402,Tenors_set,0)),_xll.RtContribute(AJ$403,AJ$3&amp;"FX"&amp;$C419&amp;"D=",{"BID","ASK"},CHOOSE({1,2},IF(AJ$401,AJ258,AJ136/AJ$11),IF(AJ$401,AJ258,AJ136)),"SCOPE:SERVER"),"RT_FALSE")</f>
        <v>RT_FALSE</v>
      </c>
      <c r="AK419" s="1" t="str">
        <f>IF(AND(AK$400,COUNTA(AK$404:AK418)+4&lt;=MATCH(AK$402,Tenors_set,0)),_xll.RtContribute(AK$403,AK$3&amp;"FX"&amp;$C419&amp;"D=",{"BID","ASK"},CHOOSE({1,2},IF(AK$401,AK258,AK136/AK$11),IF(AK$401,AK258,AK136)),"SCOPE:SERVER"),"RT_FALSE")</f>
        <v>RT_FALSE</v>
      </c>
      <c r="AL419" s="1" t="str">
        <f>IF(AND(AL$400,COUNTA(AL$404:AL418)+4&lt;=MATCH(AL$402,Tenors_set,0)),_xll.RtContribute(AL$403,AL$3&amp;"FX"&amp;$C419&amp;"D=",{"BID","ASK"},CHOOSE({1,2},IF(AL$401,AL258,AL136/AL$11),IF(AL$401,AL258,AL136)),"SCOPE:SERVER"),"RT_FALSE")</f>
        <v>RT_FALSE</v>
      </c>
      <c r="AM419" s="1" t="str">
        <f>IF(AND(AM$400,COUNTA(AM$404:AM418)+4&lt;=MATCH(AM$402,Tenors_set,0)),_xll.RtContribute(AM$403,AM$3&amp;"FX"&amp;$C419&amp;"D=",{"BID","ASK"},CHOOSE({1,2},IF(AM$401,AM258,AM136/AM$11),IF(AM$401,AM258,AM136)),"SCOPE:SERVER"),"RT_FALSE")</f>
        <v>RT_FALSE</v>
      </c>
      <c r="AN419" s="1" t="str">
        <f>IF(AND(AN$400,COUNTA(AN$404:AN418)+4&lt;=MATCH(AN$402,Tenors_set,0)),_xll.RtContribute(AN$403,AN$3&amp;"FX"&amp;$C419&amp;"D=",{"BID","ASK"},CHOOSE({1,2},IF(AN$401,AN258,AN136/AN$11),IF(AN$401,AN258,AN136)),"SCOPE:SERVER"),"RT_FALSE")</f>
        <v>RT_FALSE</v>
      </c>
      <c r="AO419" s="1" t="str">
        <f>IF(AND(AO$400,COUNTA(AO$404:AO418)+4&lt;=MATCH(AO$402,Tenors_set,0)),_xll.RtContribute(AO$403,AO$3&amp;"FX"&amp;$C419&amp;"D=",{"BID","ASK"},CHOOSE({1,2},IF(AO$401,AO258,AO136/AO$11),IF(AO$401,AO258,AO136)),"SCOPE:SERVER"),"RT_FALSE")</f>
        <v>RT_FALSE</v>
      </c>
      <c r="AP419" s="1" t="str">
        <f>IF(AND(AP$400,COUNTA(AP$404:AP418)+4&lt;=MATCH(AP$402,Tenors_set,0)),_xll.RtContribute(AP$403,AP$3&amp;"FX"&amp;$C419&amp;"D=",{"BID","ASK"},CHOOSE({1,2},IF(AP$401,AP258,AP136/AP$11),IF(AP$401,AP258,AP136)),"SCOPE:SERVER"),"RT_FALSE")</f>
        <v>RT_FALSE</v>
      </c>
    </row>
    <row r="420" spans="3:42" x14ac:dyDescent="0.2">
      <c r="C420" s="1" t="s">
        <v>101</v>
      </c>
      <c r="E420" s="1" t="str">
        <f>IF(AND(E$400,COUNTA(E$404:E419)+4&lt;=MATCH(E$402,Tenors_set,0)),_xll.RtContribute(E$403,E$3&amp;"FX"&amp;$C420&amp;"D=",{"BID","ASK"},CHOOSE({1,2},IF(E$401,E259,E137/E$11),IF(E$401,E259,E137)),"SCOPE:SERVER"),"RT_FALSE")</f>
        <v>RT_FALSE</v>
      </c>
      <c r="F420" s="1" t="str">
        <f>IF(AND(F$400,COUNTA(F$404:F419)+4&lt;=MATCH(F$402,Tenors_set,0)),_xll.RtContribute(F$403,F$3&amp;"FX"&amp;$C420&amp;"D=",{"BID","ASK"},CHOOSE({1,2},IF(F$401,F259,F137/F$11),IF(F$401,F259,F137)),"SCOPE:SERVER"),"RT_FALSE")</f>
        <v>RT_FALSE</v>
      </c>
      <c r="G420" s="1" t="str">
        <f>IF(AND(G$400,COUNTA(G$404:G419)+4&lt;=MATCH(G$402,Tenors_set,0)),_xll.RtContribute(G$403,G$3&amp;"FX"&amp;$C420&amp;"D=",{"BID","ASK"},CHOOSE({1,2},IF(G$401,G259,G137/G$11),IF(G$401,G259,G137)),"SCOPE:SERVER"),"RT_FALSE")</f>
        <v>RT_FALSE</v>
      </c>
      <c r="H420" s="1" t="str">
        <f>IF(AND(H$400,COUNTA(H$404:H419)+4&lt;=MATCH(H$402,Tenors_set,0)),_xll.RtContribute(H$403,H$3&amp;"FX"&amp;$C420&amp;"D=",{"BID","ASK"},CHOOSE({1,2},IF(H$401,H259,H137/H$11),IF(H$401,H259,H137)),"SCOPE:SERVER"),"RT_FALSE")</f>
        <v>RT_FALSE</v>
      </c>
      <c r="I420" s="1" t="str">
        <f>IF(AND(I$400,COUNTA(I$404:I419)+4&lt;=MATCH(I$402,Tenors_set,0)),_xll.RtContribute(I$403,I$3&amp;"FX"&amp;$C420&amp;"D=",{"BID","ASK"},CHOOSE({1,2},IF(I$401,I259,I137/I$11),IF(I$401,I259,I137)),"SCOPE:SERVER"),"RT_FALSE")</f>
        <v>RT_FALSE</v>
      </c>
      <c r="J420" s="1" t="str">
        <f>IF(AND(J$400,COUNTA(J$404:J419)+4&lt;=MATCH(J$402,Tenors_set,0)),_xll.RtContribute(J$403,J$3&amp;"FX"&amp;$C420&amp;"D=",{"BID","ASK"},CHOOSE({1,2},IF(J$401,J259,J137/J$11),IF(J$401,J259,J137)),"SCOPE:SERVER"),"RT_FALSE")</f>
        <v>RT_FALSE</v>
      </c>
      <c r="K420" s="1" t="str">
        <f>IF(AND(K$400,COUNTA(K$404:K419)+4&lt;=MATCH(K$402,Tenors_set,0)),_xll.RtContribute(K$403,K$3&amp;"FX"&amp;$C420&amp;"D=",{"BID","ASK"},CHOOSE({1,2},IF(K$401,K259,K137/K$11),IF(K$401,K259,K137)),"SCOPE:SERVER"),"RT_FALSE")</f>
        <v>RT_FALSE</v>
      </c>
      <c r="L420" s="1" t="str">
        <f>IF(AND(L$400,COUNTA(L$404:L419)+4&lt;=MATCH(L$402,Tenors_set,0)),_xll.RtContribute(L$403,L$3&amp;"FX"&amp;$C420&amp;"D=",{"BID","ASK"},CHOOSE({1,2},IF(L$401,L259,L137/L$11),IF(L$401,L259,L137)),"SCOPE:SERVER"),"RT_FALSE")</f>
        <v>RT_FALSE</v>
      </c>
      <c r="M420" s="1" t="str">
        <f>IF(AND(M$400,COUNTA(M$404:M419)+4&lt;=MATCH(M$402,Tenors_set,0)),_xll.RtContribute(M$403,M$3&amp;"FX"&amp;$C420&amp;"D=",{"BID","ASK"},CHOOSE({1,2},IF(M$401,M259,M137/M$11),IF(M$401,M259,M137)),"SCOPE:SERVER"),"RT_FALSE")</f>
        <v>RT_FALSE</v>
      </c>
      <c r="N420" s="1" t="str">
        <f>IF(AND(N$400,COUNTA(N$404:N419)+4&lt;=MATCH(N$402,Tenors_set,0)),_xll.RtContribute(N$403,N$3&amp;"FX"&amp;$C420&amp;"D=",{"BID","ASK"},CHOOSE({1,2},IF(N$401,N259,N137/N$11),IF(N$401,N259,N137)),"SCOPE:SERVER"),"RT_FALSE")</f>
        <v>RT_FALSE</v>
      </c>
      <c r="O420" s="1" t="str">
        <f>IF(AND(O$400,COUNTA(O$404:O419)+4&lt;=MATCH(O$402,Tenors_set,0)),_xll.RtContribute(O$403,O$3&amp;"FX"&amp;$C420&amp;"D=",{"BID","ASK"},CHOOSE({1,2},IF(O$401,O259,O137/O$11),IF(O$401,O259,O137)),"SCOPE:SERVER"),"RT_FALSE")</f>
        <v>RT_FALSE</v>
      </c>
      <c r="P420" s="1" t="str">
        <f>IF(AND(P$400,COUNTA(P$404:P419)+4&lt;=MATCH(P$402,Tenors_set,0)),_xll.RtContribute(P$403,P$3&amp;"FX"&amp;$C420&amp;"D=",{"BID","ASK"},CHOOSE({1,2},IF(P$401,P259,P137/P$11),IF(P$401,P259,P137)),"SCOPE:SERVER"),"RT_FALSE")</f>
        <v>RT_FALSE</v>
      </c>
      <c r="Q420" s="1" t="str">
        <f>IF(AND(Q$400,COUNTA(Q$404:Q419)+4&lt;=MATCH(Q$402,Tenors_set,0)),_xll.RtContribute(Q$403,Q$3&amp;"FX"&amp;$C420&amp;"D=",{"BID","ASK"},CHOOSE({1,2},IF(Q$401,Q259,Q137/Q$11),IF(Q$401,Q259,Q137)),"SCOPE:SERVER"),"RT_FALSE")</f>
        <v>RT_FALSE</v>
      </c>
      <c r="R420" s="1" t="str">
        <f>IF(AND(R$400,COUNTA(R$404:R419)+4&lt;=MATCH(R$402,Tenors_set,0)),_xll.RtContribute(R$403,R$3&amp;"FX"&amp;$C420&amp;"D=",{"BID","ASK"},CHOOSE({1,2},IF(R$401,R259,R137/R$11),IF(R$401,R259,R137)),"SCOPE:SERVER"),"RT_FALSE")</f>
        <v>RT_FALSE</v>
      </c>
      <c r="S420" s="1" t="str">
        <f>IF(AND(S$400,COUNTA(S$404:S419)+4&lt;=MATCH(S$402,Tenors_set,0)),_xll.RtContribute(S$403,S$3&amp;"FX"&amp;$C420&amp;"D=",{"BID","ASK"},CHOOSE({1,2},IF(S$401,S259,S137/S$11),IF(S$401,S259,S137)),"SCOPE:SERVER"),"RT_FALSE")</f>
        <v>RT_FALSE</v>
      </c>
      <c r="T420" s="1" t="str">
        <f>IF(AND(T$400,COUNTA(T$404:T419)+4&lt;=MATCH(T$402,Tenors_set,0)),_xll.RtContribute(T$403,T$3&amp;"FX"&amp;$C420&amp;"D=",{"BID","ASK"},CHOOSE({1,2},IF(T$401,T259,T137/T$11),IF(T$401,T259,T137)),"SCOPE:SERVER"),"RT_FALSE")</f>
        <v>RT_FALSE</v>
      </c>
      <c r="U420" s="1" t="str">
        <f>IF(AND(U$400,COUNTA(U$404:U419)+4&lt;=MATCH(U$402,Tenors_set,0)),_xll.RtContribute(U$403,U$3&amp;"FX"&amp;$C420&amp;"D=",{"BID","ASK"},CHOOSE({1,2},IF(U$401,U259,U137/U$11),IF(U$401,U259,U137)),"SCOPE:SERVER"),"RT_FALSE")</f>
        <v>RT_FALSE</v>
      </c>
      <c r="V420" s="1" t="str">
        <f>IF(AND(V$400,COUNTA(V$404:V419)+4&lt;=MATCH(V$402,Tenors_set,0)),_xll.RtContribute(V$403,V$3&amp;"FX"&amp;$C420&amp;"D=",{"BID","ASK"},CHOOSE({1,2},IF(V$401,V259,V137/V$11),IF(V$401,V259,V137)),"SCOPE:SERVER"),"RT_FALSE")</f>
        <v>RT_FALSE</v>
      </c>
      <c r="W420" s="1" t="str">
        <f>IF(AND(W$400,COUNTA(W$404:W419)+4&lt;=MATCH(W$402,Tenors_set,0)),_xll.RtContribute(W$403,W$3&amp;"FX"&amp;$C420&amp;"D=",{"BID","ASK"},CHOOSE({1,2},IF(W$401,W259,W137/W$11),IF(W$401,W259,W137)),"SCOPE:SERVER"),"RT_FALSE")</f>
        <v>RT_FALSE</v>
      </c>
      <c r="X420" s="1" t="str">
        <f>IF(AND(X$400,COUNTA(X$404:X419)+4&lt;=MATCH(X$402,Tenors_set,0)),_xll.RtContribute(X$403,X$3&amp;"FX"&amp;$C420&amp;"D=",{"BID","ASK"},CHOOSE({1,2},IF(X$401,X259,X137/X$11),IF(X$401,X259,X137)),"SCOPE:SERVER"),"RT_FALSE")</f>
        <v>RT_FALSE</v>
      </c>
      <c r="Y420" s="1" t="str">
        <f>IF(AND(Y$400,COUNTA(Y$404:Y419)+4&lt;=MATCH(Y$402,Tenors_set,0)),_xll.RtContribute(Y$403,Y$3&amp;"FX"&amp;$C420&amp;"D=",{"BID","ASK"},CHOOSE({1,2},IF(Y$401,Y259,Y137/Y$11),IF(Y$401,Y259,Y137)),"SCOPE:SERVER"),"RT_FALSE")</f>
        <v>RT_FALSE</v>
      </c>
      <c r="Z420" s="1" t="str">
        <f>IF(AND(Z$400,COUNTA(Z$404:Z419)+4&lt;=MATCH(Z$402,Tenors_set,0)),_xll.RtContribute(Z$403,Z$3&amp;"FX"&amp;$C420&amp;"D=",{"BID","ASK"},CHOOSE({1,2},IF(Z$401,Z259,Z137/Z$11),IF(Z$401,Z259,Z137)),"SCOPE:SERVER"),"RT_FALSE")</f>
        <v>RT_FALSE</v>
      </c>
      <c r="AA420" s="1" t="str">
        <f>IF(AND(AA$400,COUNTA(AA$404:AA419)+4&lt;=MATCH(AA$402,Tenors_set,0)),_xll.RtContribute(AA$403,AA$3&amp;"FX"&amp;$C420&amp;"D=",{"BID","ASK"},CHOOSE({1,2},IF(AA$401,AA259,AA137/AA$11),IF(AA$401,AA259,AA137)),"SCOPE:SERVER"),"RT_FALSE")</f>
        <v>RT_FALSE</v>
      </c>
      <c r="AB420" s="1" t="str">
        <f>IF(AND(AB$400,COUNTA(AB$404:AB419)+4&lt;=MATCH(AB$402,Tenors_set,0)),_xll.RtContribute(AB$403,AB$3&amp;"FX"&amp;$C420&amp;"D=",{"BID","ASK"},CHOOSE({1,2},IF(AB$401,AB259,AB137/AB$11),IF(AB$401,AB259,AB137)),"SCOPE:SERVER"),"RT_FALSE")</f>
        <v>RT_FALSE</v>
      </c>
      <c r="AC420" s="1" t="str">
        <f>IF(AND(AC$400,COUNTA(AC$404:AC419)+4&lt;=MATCH(AC$402,Tenors_set,0)),_xll.RtContribute(AC$403,AC$3&amp;"FX"&amp;$C420&amp;"D=",{"BID","ASK"},CHOOSE({1,2},IF(AC$401,AC259,AC137/AC$11),IF(AC$401,AC259,AC137)),"SCOPE:SERVER"),"RT_FALSE")</f>
        <v>RT_FALSE</v>
      </c>
      <c r="AD420" s="1" t="str">
        <f>IF(AND(AD$400,COUNTA(AD$404:AD419)+4&lt;=MATCH(AD$402,Tenors_set,0)),_xll.RtContribute(AD$403,AD$3&amp;"FX"&amp;$C420&amp;"D=",{"BID","ASK"},CHOOSE({1,2},IF(AD$401,AD259,AD137/AD$11),IF(AD$401,AD259,AD137)),"SCOPE:SERVER"),"RT_FALSE")</f>
        <v>RT_FALSE</v>
      </c>
      <c r="AE420" s="1" t="str">
        <f>IF(AND(AE$400,COUNTA(AE$404:AE419)+4&lt;=MATCH(AE$402,Tenors_set,0)),_xll.RtContribute(AE$403,AE$3&amp;"FX"&amp;$C420&amp;"D=",{"BID","ASK"},CHOOSE({1,2},IF(AE$401,AE259,AE137/AE$11),IF(AE$401,AE259,AE137)),"SCOPE:SERVER"),"RT_FALSE")</f>
        <v>RT_FALSE</v>
      </c>
      <c r="AF420" s="1" t="str">
        <f>IF(AND(AF$400,COUNTA(AF$404:AF419)+4&lt;=MATCH(AF$402,Tenors_set,0)),_xll.RtContribute(AF$403,AF$3&amp;"FX"&amp;$C420&amp;"D=",{"BID","ASK"},CHOOSE({1,2},IF(AF$401,AF259,AF137/AF$11),IF(AF$401,AF259,AF137)),"SCOPE:SERVER"),"RT_FALSE")</f>
        <v>RT_FALSE</v>
      </c>
      <c r="AG420" s="1" t="str">
        <f>IF(AND(AG$400,COUNTA(AG$404:AG419)+4&lt;=MATCH(AG$402,Tenors_set,0)),_xll.RtContribute(AG$403,AG$3&amp;"FX"&amp;$C420&amp;"D=",{"BID","ASK"},CHOOSE({1,2},IF(AG$401,AG259,AG137/AG$11),IF(AG$401,AG259,AG137)),"SCOPE:SERVER"),"RT_FALSE")</f>
        <v>RT_FALSE</v>
      </c>
      <c r="AH420" s="1" t="str">
        <f>IF(AND(AH$400,COUNTA(AH$404:AH419)+4&lt;=MATCH(AH$402,Tenors_set,0)),_xll.RtContribute(AH$403,AH$3&amp;"FX"&amp;$C420&amp;"D=",{"BID","ASK"},CHOOSE({1,2},IF(AH$401,AH259,AH137/AH$11),IF(AH$401,AH259,AH137)),"SCOPE:SERVER"),"RT_FALSE")</f>
        <v>RT_FALSE</v>
      </c>
      <c r="AI420" s="1" t="str">
        <f>IF(AND(AI$400,COUNTA(AI$404:AI419)+4&lt;=MATCH(AI$402,Tenors_set,0)),_xll.RtContribute(AI$403,AI$3&amp;"FX"&amp;$C420&amp;"D=",{"BID","ASK"},CHOOSE({1,2},IF(AI$401,AI259,AI137/AI$11),IF(AI$401,AI259,AI137)),"SCOPE:SERVER"),"RT_FALSE")</f>
        <v>RT_FALSE</v>
      </c>
      <c r="AJ420" s="1" t="str">
        <f>IF(AND(AJ$400,COUNTA(AJ$404:AJ419)+4&lt;=MATCH(AJ$402,Tenors_set,0)),_xll.RtContribute(AJ$403,AJ$3&amp;"FX"&amp;$C420&amp;"D=",{"BID","ASK"},CHOOSE({1,2},IF(AJ$401,AJ259,AJ137/AJ$11),IF(AJ$401,AJ259,AJ137)),"SCOPE:SERVER"),"RT_FALSE")</f>
        <v>RT_FALSE</v>
      </c>
      <c r="AK420" s="1" t="str">
        <f>IF(AND(AK$400,COUNTA(AK$404:AK419)+4&lt;=MATCH(AK$402,Tenors_set,0)),_xll.RtContribute(AK$403,AK$3&amp;"FX"&amp;$C420&amp;"D=",{"BID","ASK"},CHOOSE({1,2},IF(AK$401,AK259,AK137/AK$11),IF(AK$401,AK259,AK137)),"SCOPE:SERVER"),"RT_FALSE")</f>
        <v>RT_FALSE</v>
      </c>
      <c r="AL420" s="1" t="str">
        <f>IF(AND(AL$400,COUNTA(AL$404:AL419)+4&lt;=MATCH(AL$402,Tenors_set,0)),_xll.RtContribute(AL$403,AL$3&amp;"FX"&amp;$C420&amp;"D=",{"BID","ASK"},CHOOSE({1,2},IF(AL$401,AL259,AL137/AL$11),IF(AL$401,AL259,AL137)),"SCOPE:SERVER"),"RT_FALSE")</f>
        <v>RT_FALSE</v>
      </c>
      <c r="AM420" s="1" t="str">
        <f>IF(AND(AM$400,COUNTA(AM$404:AM419)+4&lt;=MATCH(AM$402,Tenors_set,0)),_xll.RtContribute(AM$403,AM$3&amp;"FX"&amp;$C420&amp;"D=",{"BID","ASK"},CHOOSE({1,2},IF(AM$401,AM259,AM137/AM$11),IF(AM$401,AM259,AM137)),"SCOPE:SERVER"),"RT_FALSE")</f>
        <v>RT_FALSE</v>
      </c>
      <c r="AN420" s="1" t="str">
        <f>IF(AND(AN$400,COUNTA(AN$404:AN419)+4&lt;=MATCH(AN$402,Tenors_set,0)),_xll.RtContribute(AN$403,AN$3&amp;"FX"&amp;$C420&amp;"D=",{"BID","ASK"},CHOOSE({1,2},IF(AN$401,AN259,AN137/AN$11),IF(AN$401,AN259,AN137)),"SCOPE:SERVER"),"RT_FALSE")</f>
        <v>RT_FALSE</v>
      </c>
      <c r="AO420" s="1" t="str">
        <f>IF(AND(AO$400,COUNTA(AO$404:AO419)+4&lt;=MATCH(AO$402,Tenors_set,0)),_xll.RtContribute(AO$403,AO$3&amp;"FX"&amp;$C420&amp;"D=",{"BID","ASK"},CHOOSE({1,2},IF(AO$401,AO259,AO137/AO$11),IF(AO$401,AO259,AO137)),"SCOPE:SERVER"),"RT_FALSE")</f>
        <v>RT_FALSE</v>
      </c>
      <c r="AP420" s="1" t="str">
        <f>IF(AND(AP$400,COUNTA(AP$404:AP419)+4&lt;=MATCH(AP$402,Tenors_set,0)),_xll.RtContribute(AP$403,AP$3&amp;"FX"&amp;$C420&amp;"D=",{"BID","ASK"},CHOOSE({1,2},IF(AP$401,AP259,AP137/AP$11),IF(AP$401,AP259,AP137)),"SCOPE:SERVER"),"RT_FALSE")</f>
        <v>RT_FALSE</v>
      </c>
    </row>
    <row r="421" spans="3:42" x14ac:dyDescent="0.2">
      <c r="C421" s="1" t="s">
        <v>138</v>
      </c>
      <c r="E421" s="1" t="str">
        <f>IF(AND(E$400,COUNTA(E$404:E420)+4&lt;=MATCH(E$402,Tenors_set,0)),_xll.RtContribute(E$403,E$3&amp;"FX"&amp;$C421&amp;"D=",{"BID","ASK"},CHOOSE({1,2},IF(E$401,E260,E138/E$11),IF(E$401,E260,E138)),"SCOPE:SERVER"),"RT_FALSE")</f>
        <v>RT_FALSE</v>
      </c>
      <c r="F421" s="1" t="str">
        <f>IF(AND(F$400,COUNTA(F$404:F420)+4&lt;=MATCH(F$402,Tenors_set,0)),_xll.RtContribute(F$403,F$3&amp;"FX"&amp;$C421&amp;"D=",{"BID","ASK"},CHOOSE({1,2},IF(F$401,F260,F138/F$11),IF(F$401,F260,F138)),"SCOPE:SERVER"),"RT_FALSE")</f>
        <v>RT_FALSE</v>
      </c>
      <c r="G421" s="1" t="str">
        <f>IF(AND(G$400,COUNTA(G$404:G420)+4&lt;=MATCH(G$402,Tenors_set,0)),_xll.RtContribute(G$403,G$3&amp;"FX"&amp;$C421&amp;"D=",{"BID","ASK"},CHOOSE({1,2},IF(G$401,G260,G138/G$11),IF(G$401,G260,G138)),"SCOPE:SERVER"),"RT_FALSE")</f>
        <v>RT_FALSE</v>
      </c>
      <c r="H421" s="1" t="str">
        <f>IF(AND(H$400,COUNTA(H$404:H420)+4&lt;=MATCH(H$402,Tenors_set,0)),_xll.RtContribute(H$403,H$3&amp;"FX"&amp;$C421&amp;"D=",{"BID","ASK"},CHOOSE({1,2},IF(H$401,H260,H138/H$11),IF(H$401,H260,H138)),"SCOPE:SERVER"),"RT_FALSE")</f>
        <v>RT_FALSE</v>
      </c>
      <c r="I421" s="1" t="str">
        <f>IF(AND(I$400,COUNTA(I$404:I420)+4&lt;=MATCH(I$402,Tenors_set,0)),_xll.RtContribute(I$403,I$3&amp;"FX"&amp;$C421&amp;"D=",{"BID","ASK"},CHOOSE({1,2},IF(I$401,I260,I138/I$11),IF(I$401,I260,I138)),"SCOPE:SERVER"),"RT_FALSE")</f>
        <v>RT_FALSE</v>
      </c>
      <c r="J421" s="1" t="str">
        <f>IF(AND(J$400,COUNTA(J$404:J420)+4&lt;=MATCH(J$402,Tenors_set,0)),_xll.RtContribute(J$403,J$3&amp;"FX"&amp;$C421&amp;"D=",{"BID","ASK"},CHOOSE({1,2},IF(J$401,J260,J138/J$11),IF(J$401,J260,J138)),"SCOPE:SERVER"),"RT_FALSE")</f>
        <v>RT_FALSE</v>
      </c>
      <c r="K421" s="1" t="str">
        <f>IF(AND(K$400,COUNTA(K$404:K420)+4&lt;=MATCH(K$402,Tenors_set,0)),_xll.RtContribute(K$403,K$3&amp;"FX"&amp;$C421&amp;"D=",{"BID","ASK"},CHOOSE({1,2},IF(K$401,K260,K138/K$11),IF(K$401,K260,K138)),"SCOPE:SERVER"),"RT_FALSE")</f>
        <v>RT_FALSE</v>
      </c>
      <c r="L421" s="1" t="str">
        <f>IF(AND(L$400,COUNTA(L$404:L420)+4&lt;=MATCH(L$402,Tenors_set,0)),_xll.RtContribute(L$403,L$3&amp;"FX"&amp;$C421&amp;"D=",{"BID","ASK"},CHOOSE({1,2},IF(L$401,L260,L138/L$11),IF(L$401,L260,L138)),"SCOPE:SERVER"),"RT_FALSE")</f>
        <v>RT_FALSE</v>
      </c>
      <c r="M421" s="1" t="str">
        <f>IF(AND(M$400,COUNTA(M$404:M420)+4&lt;=MATCH(M$402,Tenors_set,0)),_xll.RtContribute(M$403,M$3&amp;"FX"&amp;$C421&amp;"D=",{"BID","ASK"},CHOOSE({1,2},IF(M$401,M260,M138/M$11),IF(M$401,M260,M138)),"SCOPE:SERVER"),"RT_FALSE")</f>
        <v>RT_FALSE</v>
      </c>
      <c r="N421" s="1" t="str">
        <f>IF(AND(N$400,COUNTA(N$404:N420)+4&lt;=MATCH(N$402,Tenors_set,0)),_xll.RtContribute(N$403,N$3&amp;"FX"&amp;$C421&amp;"D=",{"BID","ASK"},CHOOSE({1,2},IF(N$401,N260,N138/N$11),IF(N$401,N260,N138)),"SCOPE:SERVER"),"RT_FALSE")</f>
        <v>RT_FALSE</v>
      </c>
      <c r="O421" s="1" t="str">
        <f>IF(AND(O$400,COUNTA(O$404:O420)+4&lt;=MATCH(O$402,Tenors_set,0)),_xll.RtContribute(O$403,O$3&amp;"FX"&amp;$C421&amp;"D=",{"BID","ASK"},CHOOSE({1,2},IF(O$401,O260,O138/O$11),IF(O$401,O260,O138)),"SCOPE:SERVER"),"RT_FALSE")</f>
        <v>RT_FALSE</v>
      </c>
      <c r="P421" s="1" t="str">
        <f>IF(AND(P$400,COUNTA(P$404:P420)+4&lt;=MATCH(P$402,Tenors_set,0)),_xll.RtContribute(P$403,P$3&amp;"FX"&amp;$C421&amp;"D=",{"BID","ASK"},CHOOSE({1,2},IF(P$401,P260,P138/P$11),IF(P$401,P260,P138)),"SCOPE:SERVER"),"RT_FALSE")</f>
        <v>RT_FALSE</v>
      </c>
      <c r="Q421" s="1" t="str">
        <f>IF(AND(Q$400,COUNTA(Q$404:Q420)+4&lt;=MATCH(Q$402,Tenors_set,0)),_xll.RtContribute(Q$403,Q$3&amp;"FX"&amp;$C421&amp;"D=",{"BID","ASK"},CHOOSE({1,2},IF(Q$401,Q260,Q138/Q$11),IF(Q$401,Q260,Q138)),"SCOPE:SERVER"),"RT_FALSE")</f>
        <v>RT_FALSE</v>
      </c>
      <c r="R421" s="1" t="str">
        <f>IF(AND(R$400,COUNTA(R$404:R420)+4&lt;=MATCH(R$402,Tenors_set,0)),_xll.RtContribute(R$403,R$3&amp;"FX"&amp;$C421&amp;"D=",{"BID","ASK"},CHOOSE({1,2},IF(R$401,R260,R138/R$11),IF(R$401,R260,R138)),"SCOPE:SERVER"),"RT_FALSE")</f>
        <v>RT_FALSE</v>
      </c>
      <c r="S421" s="1" t="str">
        <f>IF(AND(S$400,COUNTA(S$404:S420)+4&lt;=MATCH(S$402,Tenors_set,0)),_xll.RtContribute(S$403,S$3&amp;"FX"&amp;$C421&amp;"D=",{"BID","ASK"},CHOOSE({1,2},IF(S$401,S260,S138/S$11),IF(S$401,S260,S138)),"SCOPE:SERVER"),"RT_FALSE")</f>
        <v>RT_FALSE</v>
      </c>
      <c r="T421" s="1" t="str">
        <f>IF(AND(T$400,COUNTA(T$404:T420)+4&lt;=MATCH(T$402,Tenors_set,0)),_xll.RtContribute(T$403,T$3&amp;"FX"&amp;$C421&amp;"D=",{"BID","ASK"},CHOOSE({1,2},IF(T$401,T260,T138/T$11),IF(T$401,T260,T138)),"SCOPE:SERVER"),"RT_FALSE")</f>
        <v>RT_FALSE</v>
      </c>
      <c r="U421" s="1" t="str">
        <f>IF(AND(U$400,COUNTA(U$404:U420)+4&lt;=MATCH(U$402,Tenors_set,0)),_xll.RtContribute(U$403,U$3&amp;"FX"&amp;$C421&amp;"D=",{"BID","ASK"},CHOOSE({1,2},IF(U$401,U260,U138/U$11),IF(U$401,U260,U138)),"SCOPE:SERVER"),"RT_FALSE")</f>
        <v>RT_FALSE</v>
      </c>
      <c r="V421" s="1" t="str">
        <f>IF(AND(V$400,COUNTA(V$404:V420)+4&lt;=MATCH(V$402,Tenors_set,0)),_xll.RtContribute(V$403,V$3&amp;"FX"&amp;$C421&amp;"D=",{"BID","ASK"},CHOOSE({1,2},IF(V$401,V260,V138/V$11),IF(V$401,V260,V138)),"SCOPE:SERVER"),"RT_FALSE")</f>
        <v>RT_FALSE</v>
      </c>
      <c r="W421" s="1" t="str">
        <f>IF(AND(W$400,COUNTA(W$404:W420)+4&lt;=MATCH(W$402,Tenors_set,0)),_xll.RtContribute(W$403,W$3&amp;"FX"&amp;$C421&amp;"D=",{"BID","ASK"},CHOOSE({1,2},IF(W$401,W260,W138/W$11),IF(W$401,W260,W138)),"SCOPE:SERVER"),"RT_FALSE")</f>
        <v>RT_FALSE</v>
      </c>
      <c r="X421" s="1" t="str">
        <f>IF(AND(X$400,COUNTA(X$404:X420)+4&lt;=MATCH(X$402,Tenors_set,0)),_xll.RtContribute(X$403,X$3&amp;"FX"&amp;$C421&amp;"D=",{"BID","ASK"},CHOOSE({1,2},IF(X$401,X260,X138/X$11),IF(X$401,X260,X138)),"SCOPE:SERVER"),"RT_FALSE")</f>
        <v>RT_FALSE</v>
      </c>
      <c r="Y421" s="1" t="str">
        <f>IF(AND(Y$400,COUNTA(Y$404:Y420)+4&lt;=MATCH(Y$402,Tenors_set,0)),_xll.RtContribute(Y$403,Y$3&amp;"FX"&amp;$C421&amp;"D=",{"BID","ASK"},CHOOSE({1,2},IF(Y$401,Y260,Y138/Y$11),IF(Y$401,Y260,Y138)),"SCOPE:SERVER"),"RT_FALSE")</f>
        <v>RT_FALSE</v>
      </c>
      <c r="Z421" s="1" t="str">
        <f>IF(AND(Z$400,COUNTA(Z$404:Z420)+4&lt;=MATCH(Z$402,Tenors_set,0)),_xll.RtContribute(Z$403,Z$3&amp;"FX"&amp;$C421&amp;"D=",{"BID","ASK"},CHOOSE({1,2},IF(Z$401,Z260,Z138/Z$11),IF(Z$401,Z260,Z138)),"SCOPE:SERVER"),"RT_FALSE")</f>
        <v>RT_FALSE</v>
      </c>
      <c r="AA421" s="1" t="str">
        <f>IF(AND(AA$400,COUNTA(AA$404:AA420)+4&lt;=MATCH(AA$402,Tenors_set,0)),_xll.RtContribute(AA$403,AA$3&amp;"FX"&amp;$C421&amp;"D=",{"BID","ASK"},CHOOSE({1,2},IF(AA$401,AA260,AA138/AA$11),IF(AA$401,AA260,AA138)),"SCOPE:SERVER"),"RT_FALSE")</f>
        <v>RT_FALSE</v>
      </c>
      <c r="AB421" s="1" t="str">
        <f>IF(AND(AB$400,COUNTA(AB$404:AB420)+4&lt;=MATCH(AB$402,Tenors_set,0)),_xll.RtContribute(AB$403,AB$3&amp;"FX"&amp;$C421&amp;"D=",{"BID","ASK"},CHOOSE({1,2},IF(AB$401,AB260,AB138/AB$11),IF(AB$401,AB260,AB138)),"SCOPE:SERVER"),"RT_FALSE")</f>
        <v>RT_FALSE</v>
      </c>
      <c r="AC421" s="1" t="str">
        <f>IF(AND(AC$400,COUNTA(AC$404:AC420)+4&lt;=MATCH(AC$402,Tenors_set,0)),_xll.RtContribute(AC$403,AC$3&amp;"FX"&amp;$C421&amp;"D=",{"BID","ASK"},CHOOSE({1,2},IF(AC$401,AC260,AC138/AC$11),IF(AC$401,AC260,AC138)),"SCOPE:SERVER"),"RT_FALSE")</f>
        <v>RT_FALSE</v>
      </c>
      <c r="AD421" s="1" t="str">
        <f>IF(AND(AD$400,COUNTA(AD$404:AD420)+4&lt;=MATCH(AD$402,Tenors_set,0)),_xll.RtContribute(AD$403,AD$3&amp;"FX"&amp;$C421&amp;"D=",{"BID","ASK"},CHOOSE({1,2},IF(AD$401,AD260,AD138/AD$11),IF(AD$401,AD260,AD138)),"SCOPE:SERVER"),"RT_FALSE")</f>
        <v>RT_FALSE</v>
      </c>
      <c r="AE421" s="1" t="str">
        <f>IF(AND(AE$400,COUNTA(AE$404:AE420)+4&lt;=MATCH(AE$402,Tenors_set,0)),_xll.RtContribute(AE$403,AE$3&amp;"FX"&amp;$C421&amp;"D=",{"BID","ASK"},CHOOSE({1,2},IF(AE$401,AE260,AE138/AE$11),IF(AE$401,AE260,AE138)),"SCOPE:SERVER"),"RT_FALSE")</f>
        <v>RT_FALSE</v>
      </c>
      <c r="AF421" s="1" t="str">
        <f>IF(AND(AF$400,COUNTA(AF$404:AF420)+4&lt;=MATCH(AF$402,Tenors_set,0)),_xll.RtContribute(AF$403,AF$3&amp;"FX"&amp;$C421&amp;"D=",{"BID","ASK"},CHOOSE({1,2},IF(AF$401,AF260,AF138/AF$11),IF(AF$401,AF260,AF138)),"SCOPE:SERVER"),"RT_FALSE")</f>
        <v>RT_FALSE</v>
      </c>
      <c r="AG421" s="1" t="str">
        <f>IF(AND(AG$400,COUNTA(AG$404:AG420)+4&lt;=MATCH(AG$402,Tenors_set,0)),_xll.RtContribute(AG$403,AG$3&amp;"FX"&amp;$C421&amp;"D=",{"BID","ASK"},CHOOSE({1,2},IF(AG$401,AG260,AG138/AG$11),IF(AG$401,AG260,AG138)),"SCOPE:SERVER"),"RT_FALSE")</f>
        <v>RT_FALSE</v>
      </c>
      <c r="AH421" s="1" t="str">
        <f>IF(AND(AH$400,COUNTA(AH$404:AH420)+4&lt;=MATCH(AH$402,Tenors_set,0)),_xll.RtContribute(AH$403,AH$3&amp;"FX"&amp;$C421&amp;"D=",{"BID","ASK"},CHOOSE({1,2},IF(AH$401,AH260,AH138/AH$11),IF(AH$401,AH260,AH138)),"SCOPE:SERVER"),"RT_FALSE")</f>
        <v>RT_FALSE</v>
      </c>
      <c r="AI421" s="1" t="str">
        <f>IF(AND(AI$400,COUNTA(AI$404:AI420)+4&lt;=MATCH(AI$402,Tenors_set,0)),_xll.RtContribute(AI$403,AI$3&amp;"FX"&amp;$C421&amp;"D=",{"BID","ASK"},CHOOSE({1,2},IF(AI$401,AI260,AI138/AI$11),IF(AI$401,AI260,AI138)),"SCOPE:SERVER"),"RT_FALSE")</f>
        <v>RT_FALSE</v>
      </c>
      <c r="AJ421" s="1" t="str">
        <f>IF(AND(AJ$400,COUNTA(AJ$404:AJ420)+4&lt;=MATCH(AJ$402,Tenors_set,0)),_xll.RtContribute(AJ$403,AJ$3&amp;"FX"&amp;$C421&amp;"D=",{"BID","ASK"},CHOOSE({1,2},IF(AJ$401,AJ260,AJ138/AJ$11),IF(AJ$401,AJ260,AJ138)),"SCOPE:SERVER"),"RT_FALSE")</f>
        <v>RT_FALSE</v>
      </c>
      <c r="AK421" s="1" t="str">
        <f>IF(AND(AK$400,COUNTA(AK$404:AK420)+4&lt;=MATCH(AK$402,Tenors_set,0)),_xll.RtContribute(AK$403,AK$3&amp;"FX"&amp;$C421&amp;"D=",{"BID","ASK"},CHOOSE({1,2},IF(AK$401,AK260,AK138/AK$11),IF(AK$401,AK260,AK138)),"SCOPE:SERVER"),"RT_FALSE")</f>
        <v>RT_FALSE</v>
      </c>
      <c r="AL421" s="1" t="str">
        <f>IF(AND(AL$400,COUNTA(AL$404:AL420)+4&lt;=MATCH(AL$402,Tenors_set,0)),_xll.RtContribute(AL$403,AL$3&amp;"FX"&amp;$C421&amp;"D=",{"BID","ASK"},CHOOSE({1,2},IF(AL$401,AL260,AL138/AL$11),IF(AL$401,AL260,AL138)),"SCOPE:SERVER"),"RT_FALSE")</f>
        <v>RT_FALSE</v>
      </c>
      <c r="AM421" s="1" t="str">
        <f>IF(AND(AM$400,COUNTA(AM$404:AM420)+4&lt;=MATCH(AM$402,Tenors_set,0)),_xll.RtContribute(AM$403,AM$3&amp;"FX"&amp;$C421&amp;"D=",{"BID","ASK"},CHOOSE({1,2},IF(AM$401,AM260,AM138/AM$11),IF(AM$401,AM260,AM138)),"SCOPE:SERVER"),"RT_FALSE")</f>
        <v>RT_FALSE</v>
      </c>
      <c r="AN421" s="1" t="str">
        <f>IF(AND(AN$400,COUNTA(AN$404:AN420)+4&lt;=MATCH(AN$402,Tenors_set,0)),_xll.RtContribute(AN$403,AN$3&amp;"FX"&amp;$C421&amp;"D=",{"BID","ASK"},CHOOSE({1,2},IF(AN$401,AN260,AN138/AN$11),IF(AN$401,AN260,AN138)),"SCOPE:SERVER"),"RT_FALSE")</f>
        <v>RT_FALSE</v>
      </c>
      <c r="AO421" s="1" t="str">
        <f>IF(AND(AO$400,COUNTA(AO$404:AO420)+4&lt;=MATCH(AO$402,Tenors_set,0)),_xll.RtContribute(AO$403,AO$3&amp;"FX"&amp;$C421&amp;"D=",{"BID","ASK"},CHOOSE({1,2},IF(AO$401,AO260,AO138/AO$11),IF(AO$401,AO260,AO138)),"SCOPE:SERVER"),"RT_FALSE")</f>
        <v>RT_FALSE</v>
      </c>
      <c r="AP421" s="1" t="str">
        <f>IF(AND(AP$400,COUNTA(AP$404:AP420)+4&lt;=MATCH(AP$402,Tenors_set,0)),_xll.RtContribute(AP$403,AP$3&amp;"FX"&amp;$C421&amp;"D=",{"BID","ASK"},CHOOSE({1,2},IF(AP$401,AP260,AP138/AP$11),IF(AP$401,AP260,AP138)),"SCOPE:SERVER"),"RT_FALSE")</f>
        <v>RT_FALSE</v>
      </c>
    </row>
    <row r="422" spans="3:42" x14ac:dyDescent="0.2">
      <c r="C422" s="1" t="s">
        <v>122</v>
      </c>
      <c r="E422" s="1" t="str">
        <f>IF(AND(E$400,COUNTA(E$404:E421)+4&lt;=MATCH(E$402,Tenors_set,0)),_xll.RtContribute(E$403,E$3&amp;"FX"&amp;$C422&amp;"D=",{"BID","ASK"},CHOOSE({1,2},IF(E$401,E261,E139/E$11),IF(E$401,E261,E139)),"SCOPE:SERVER"),"RT_FALSE")</f>
        <v>RT_FALSE</v>
      </c>
      <c r="F422" s="1" t="str">
        <f>IF(AND(F$400,COUNTA(F$404:F421)+4&lt;=MATCH(F$402,Tenors_set,0)),_xll.RtContribute(F$403,F$3&amp;"FX"&amp;$C422&amp;"D=",{"BID","ASK"},CHOOSE({1,2},IF(F$401,F261,F139/F$11),IF(F$401,F261,F139)),"SCOPE:SERVER"),"RT_FALSE")</f>
        <v>RT_FALSE</v>
      </c>
      <c r="G422" s="1" t="str">
        <f>IF(AND(G$400,COUNTA(G$404:G421)+4&lt;=MATCH(G$402,Tenors_set,0)),_xll.RtContribute(G$403,G$3&amp;"FX"&amp;$C422&amp;"D=",{"BID","ASK"},CHOOSE({1,2},IF(G$401,G261,G139/G$11),IF(G$401,G261,G139)),"SCOPE:SERVER"),"RT_FALSE")</f>
        <v>RT_FALSE</v>
      </c>
      <c r="H422" s="1" t="str">
        <f>IF(AND(H$400,COUNTA(H$404:H421)+4&lt;=MATCH(H$402,Tenors_set,0)),_xll.RtContribute(H$403,H$3&amp;"FX"&amp;$C422&amp;"D=",{"BID","ASK"},CHOOSE({1,2},IF(H$401,H261,H139/H$11),IF(H$401,H261,H139)),"SCOPE:SERVER"),"RT_FALSE")</f>
        <v>RT_FALSE</v>
      </c>
      <c r="I422" s="1" t="str">
        <f>IF(AND(I$400,COUNTA(I$404:I421)+4&lt;=MATCH(I$402,Tenors_set,0)),_xll.RtContribute(I$403,I$3&amp;"FX"&amp;$C422&amp;"D=",{"BID","ASK"},CHOOSE({1,2},IF(I$401,I261,I139/I$11),IF(I$401,I261,I139)),"SCOPE:SERVER"),"RT_FALSE")</f>
        <v>RT_FALSE</v>
      </c>
      <c r="J422" s="1" t="str">
        <f>IF(AND(J$400,COUNTA(J$404:J421)+4&lt;=MATCH(J$402,Tenors_set,0)),_xll.RtContribute(J$403,J$3&amp;"FX"&amp;$C422&amp;"D=",{"BID","ASK"},CHOOSE({1,2},IF(J$401,J261,J139/J$11),IF(J$401,J261,J139)),"SCOPE:SERVER"),"RT_FALSE")</f>
        <v>RT_FALSE</v>
      </c>
      <c r="K422" s="1" t="str">
        <f>IF(AND(K$400,COUNTA(K$404:K421)+4&lt;=MATCH(K$402,Tenors_set,0)),_xll.RtContribute(K$403,K$3&amp;"FX"&amp;$C422&amp;"D=",{"BID","ASK"},CHOOSE({1,2},IF(K$401,K261,K139/K$11),IF(K$401,K261,K139)),"SCOPE:SERVER"),"RT_FALSE")</f>
        <v>RT_FALSE</v>
      </c>
      <c r="L422" s="1" t="str">
        <f>IF(AND(L$400,COUNTA(L$404:L421)+4&lt;=MATCH(L$402,Tenors_set,0)),_xll.RtContribute(L$403,L$3&amp;"FX"&amp;$C422&amp;"D=",{"BID","ASK"},CHOOSE({1,2},IF(L$401,L261,L139/L$11),IF(L$401,L261,L139)),"SCOPE:SERVER"),"RT_FALSE")</f>
        <v>RT_FALSE</v>
      </c>
      <c r="M422" s="1" t="str">
        <f>IF(AND(M$400,COUNTA(M$404:M421)+4&lt;=MATCH(M$402,Tenors_set,0)),_xll.RtContribute(M$403,M$3&amp;"FX"&amp;$C422&amp;"D=",{"BID","ASK"},CHOOSE({1,2},IF(M$401,M261,M139/M$11),IF(M$401,M261,M139)),"SCOPE:SERVER"),"RT_FALSE")</f>
        <v>RT_FALSE</v>
      </c>
      <c r="N422" s="1" t="str">
        <f>IF(AND(N$400,COUNTA(N$404:N421)+4&lt;=MATCH(N$402,Tenors_set,0)),_xll.RtContribute(N$403,N$3&amp;"FX"&amp;$C422&amp;"D=",{"BID","ASK"},CHOOSE({1,2},IF(N$401,N261,N139/N$11),IF(N$401,N261,N139)),"SCOPE:SERVER"),"RT_FALSE")</f>
        <v>RT_FALSE</v>
      </c>
      <c r="O422" s="1" t="str">
        <f>IF(AND(O$400,COUNTA(O$404:O421)+4&lt;=MATCH(O$402,Tenors_set,0)),_xll.RtContribute(O$403,O$3&amp;"FX"&amp;$C422&amp;"D=",{"BID","ASK"},CHOOSE({1,2},IF(O$401,O261,O139/O$11),IF(O$401,O261,O139)),"SCOPE:SERVER"),"RT_FALSE")</f>
        <v>RT_FALSE</v>
      </c>
      <c r="P422" s="1" t="str">
        <f>IF(AND(P$400,COUNTA(P$404:P421)+4&lt;=MATCH(P$402,Tenors_set,0)),_xll.RtContribute(P$403,P$3&amp;"FX"&amp;$C422&amp;"D=",{"BID","ASK"},CHOOSE({1,2},IF(P$401,P261,P139/P$11),IF(P$401,P261,P139)),"SCOPE:SERVER"),"RT_FALSE")</f>
        <v>RT_FALSE</v>
      </c>
      <c r="Q422" s="1" t="str">
        <f>IF(AND(Q$400,COUNTA(Q$404:Q421)+4&lt;=MATCH(Q$402,Tenors_set,0)),_xll.RtContribute(Q$403,Q$3&amp;"FX"&amp;$C422&amp;"D=",{"BID","ASK"},CHOOSE({1,2},IF(Q$401,Q261,Q139/Q$11),IF(Q$401,Q261,Q139)),"SCOPE:SERVER"),"RT_FALSE")</f>
        <v>RT_FALSE</v>
      </c>
      <c r="R422" s="1" t="str">
        <f>IF(AND(R$400,COUNTA(R$404:R421)+4&lt;=MATCH(R$402,Tenors_set,0)),_xll.RtContribute(R$403,R$3&amp;"FX"&amp;$C422&amp;"D=",{"BID","ASK"},CHOOSE({1,2},IF(R$401,R261,R139/R$11),IF(R$401,R261,R139)),"SCOPE:SERVER"),"RT_FALSE")</f>
        <v>RT_FALSE</v>
      </c>
      <c r="S422" s="1" t="str">
        <f>IF(AND(S$400,COUNTA(S$404:S421)+4&lt;=MATCH(S$402,Tenors_set,0)),_xll.RtContribute(S$403,S$3&amp;"FX"&amp;$C422&amp;"D=",{"BID","ASK"},CHOOSE({1,2},IF(S$401,S261,S139/S$11),IF(S$401,S261,S139)),"SCOPE:SERVER"),"RT_FALSE")</f>
        <v>RT_FALSE</v>
      </c>
      <c r="T422" s="1" t="str">
        <f>IF(AND(T$400,COUNTA(T$404:T421)+4&lt;=MATCH(T$402,Tenors_set,0)),_xll.RtContribute(T$403,T$3&amp;"FX"&amp;$C422&amp;"D=",{"BID","ASK"},CHOOSE({1,2},IF(T$401,T261,T139/T$11),IF(T$401,T261,T139)),"SCOPE:SERVER"),"RT_FALSE")</f>
        <v>RT_FALSE</v>
      </c>
      <c r="U422" s="1" t="str">
        <f>IF(AND(U$400,COUNTA(U$404:U421)+4&lt;=MATCH(U$402,Tenors_set,0)),_xll.RtContribute(U$403,U$3&amp;"FX"&amp;$C422&amp;"D=",{"BID","ASK"},CHOOSE({1,2},IF(U$401,U261,U139/U$11),IF(U$401,U261,U139)),"SCOPE:SERVER"),"RT_FALSE")</f>
        <v>RT_FALSE</v>
      </c>
      <c r="V422" s="1" t="str">
        <f>IF(AND(V$400,COUNTA(V$404:V421)+4&lt;=MATCH(V$402,Tenors_set,0)),_xll.RtContribute(V$403,V$3&amp;"FX"&amp;$C422&amp;"D=",{"BID","ASK"},CHOOSE({1,2},IF(V$401,V261,V139/V$11),IF(V$401,V261,V139)),"SCOPE:SERVER"),"RT_FALSE")</f>
        <v>RT_FALSE</v>
      </c>
      <c r="W422" s="1" t="str">
        <f>IF(AND(W$400,COUNTA(W$404:W421)+4&lt;=MATCH(W$402,Tenors_set,0)),_xll.RtContribute(W$403,W$3&amp;"FX"&amp;$C422&amp;"D=",{"BID","ASK"},CHOOSE({1,2},IF(W$401,W261,W139/W$11),IF(W$401,W261,W139)),"SCOPE:SERVER"),"RT_FALSE")</f>
        <v>RT_FALSE</v>
      </c>
      <c r="X422" s="1" t="str">
        <f>IF(AND(X$400,COUNTA(X$404:X421)+4&lt;=MATCH(X$402,Tenors_set,0)),_xll.RtContribute(X$403,X$3&amp;"FX"&amp;$C422&amp;"D=",{"BID","ASK"},CHOOSE({1,2},IF(X$401,X261,X139/X$11),IF(X$401,X261,X139)),"SCOPE:SERVER"),"RT_FALSE")</f>
        <v>RT_FALSE</v>
      </c>
      <c r="Y422" s="1" t="str">
        <f>IF(AND(Y$400,COUNTA(Y$404:Y421)+4&lt;=MATCH(Y$402,Tenors_set,0)),_xll.RtContribute(Y$403,Y$3&amp;"FX"&amp;$C422&amp;"D=",{"BID","ASK"},CHOOSE({1,2},IF(Y$401,Y261,Y139/Y$11),IF(Y$401,Y261,Y139)),"SCOPE:SERVER"),"RT_FALSE")</f>
        <v>RT_FALSE</v>
      </c>
      <c r="Z422" s="1" t="str">
        <f>IF(AND(Z$400,COUNTA(Z$404:Z421)+4&lt;=MATCH(Z$402,Tenors_set,0)),_xll.RtContribute(Z$403,Z$3&amp;"FX"&amp;$C422&amp;"D=",{"BID","ASK"},CHOOSE({1,2},IF(Z$401,Z261,Z139/Z$11),IF(Z$401,Z261,Z139)),"SCOPE:SERVER"),"RT_FALSE")</f>
        <v>RT_FALSE</v>
      </c>
      <c r="AA422" s="1" t="str">
        <f>IF(AND(AA$400,COUNTA(AA$404:AA421)+4&lt;=MATCH(AA$402,Tenors_set,0)),_xll.RtContribute(AA$403,AA$3&amp;"FX"&amp;$C422&amp;"D=",{"BID","ASK"},CHOOSE({1,2},IF(AA$401,AA261,AA139/AA$11),IF(AA$401,AA261,AA139)),"SCOPE:SERVER"),"RT_FALSE")</f>
        <v>RT_FALSE</v>
      </c>
      <c r="AB422" s="1" t="str">
        <f>IF(AND(AB$400,COUNTA(AB$404:AB421)+4&lt;=MATCH(AB$402,Tenors_set,0)),_xll.RtContribute(AB$403,AB$3&amp;"FX"&amp;$C422&amp;"D=",{"BID","ASK"},CHOOSE({1,2},IF(AB$401,AB261,AB139/AB$11),IF(AB$401,AB261,AB139)),"SCOPE:SERVER"),"RT_FALSE")</f>
        <v>RT_FALSE</v>
      </c>
      <c r="AC422" s="1" t="str">
        <f>IF(AND(AC$400,COUNTA(AC$404:AC421)+4&lt;=MATCH(AC$402,Tenors_set,0)),_xll.RtContribute(AC$403,AC$3&amp;"FX"&amp;$C422&amp;"D=",{"BID","ASK"},CHOOSE({1,2},IF(AC$401,AC261,AC139/AC$11),IF(AC$401,AC261,AC139)),"SCOPE:SERVER"),"RT_FALSE")</f>
        <v>RT_FALSE</v>
      </c>
      <c r="AD422" s="1" t="str">
        <f>IF(AND(AD$400,COUNTA(AD$404:AD421)+4&lt;=MATCH(AD$402,Tenors_set,0)),_xll.RtContribute(AD$403,AD$3&amp;"FX"&amp;$C422&amp;"D=",{"BID","ASK"},CHOOSE({1,2},IF(AD$401,AD261,AD139/AD$11),IF(AD$401,AD261,AD139)),"SCOPE:SERVER"),"RT_FALSE")</f>
        <v>RT_FALSE</v>
      </c>
      <c r="AE422" s="1" t="str">
        <f>IF(AND(AE$400,COUNTA(AE$404:AE421)+4&lt;=MATCH(AE$402,Tenors_set,0)),_xll.RtContribute(AE$403,AE$3&amp;"FX"&amp;$C422&amp;"D=",{"BID","ASK"},CHOOSE({1,2},IF(AE$401,AE261,AE139/AE$11),IF(AE$401,AE261,AE139)),"SCOPE:SERVER"),"RT_FALSE")</f>
        <v>RT_FALSE</v>
      </c>
      <c r="AF422" s="1" t="str">
        <f>IF(AND(AF$400,COUNTA(AF$404:AF421)+4&lt;=MATCH(AF$402,Tenors_set,0)),_xll.RtContribute(AF$403,AF$3&amp;"FX"&amp;$C422&amp;"D=",{"BID","ASK"},CHOOSE({1,2},IF(AF$401,AF261,AF139/AF$11),IF(AF$401,AF261,AF139)),"SCOPE:SERVER"),"RT_FALSE")</f>
        <v>RT_FALSE</v>
      </c>
      <c r="AG422" s="1" t="str">
        <f>IF(AND(AG$400,COUNTA(AG$404:AG421)+4&lt;=MATCH(AG$402,Tenors_set,0)),_xll.RtContribute(AG$403,AG$3&amp;"FX"&amp;$C422&amp;"D=",{"BID","ASK"},CHOOSE({1,2},IF(AG$401,AG261,AG139/AG$11),IF(AG$401,AG261,AG139)),"SCOPE:SERVER"),"RT_FALSE")</f>
        <v>RT_FALSE</v>
      </c>
      <c r="AH422" s="1" t="str">
        <f>IF(AND(AH$400,COUNTA(AH$404:AH421)+4&lt;=MATCH(AH$402,Tenors_set,0)),_xll.RtContribute(AH$403,AH$3&amp;"FX"&amp;$C422&amp;"D=",{"BID","ASK"},CHOOSE({1,2},IF(AH$401,AH261,AH139/AH$11),IF(AH$401,AH261,AH139)),"SCOPE:SERVER"),"RT_FALSE")</f>
        <v>RT_FALSE</v>
      </c>
      <c r="AI422" s="1" t="str">
        <f>IF(AND(AI$400,COUNTA(AI$404:AI421)+4&lt;=MATCH(AI$402,Tenors_set,0)),_xll.RtContribute(AI$403,AI$3&amp;"FX"&amp;$C422&amp;"D=",{"BID","ASK"},CHOOSE({1,2},IF(AI$401,AI261,AI139/AI$11),IF(AI$401,AI261,AI139)),"SCOPE:SERVER"),"RT_FALSE")</f>
        <v>RT_FALSE</v>
      </c>
      <c r="AJ422" s="1" t="str">
        <f>IF(AND(AJ$400,COUNTA(AJ$404:AJ421)+4&lt;=MATCH(AJ$402,Tenors_set,0)),_xll.RtContribute(AJ$403,AJ$3&amp;"FX"&amp;$C422&amp;"D=",{"BID","ASK"},CHOOSE({1,2},IF(AJ$401,AJ261,AJ139/AJ$11),IF(AJ$401,AJ261,AJ139)),"SCOPE:SERVER"),"RT_FALSE")</f>
        <v>RT_FALSE</v>
      </c>
      <c r="AK422" s="1" t="str">
        <f>IF(AND(AK$400,COUNTA(AK$404:AK421)+4&lt;=MATCH(AK$402,Tenors_set,0)),_xll.RtContribute(AK$403,AK$3&amp;"FX"&amp;$C422&amp;"D=",{"BID","ASK"},CHOOSE({1,2},IF(AK$401,AK261,AK139/AK$11),IF(AK$401,AK261,AK139)),"SCOPE:SERVER"),"RT_FALSE")</f>
        <v>RT_FALSE</v>
      </c>
      <c r="AL422" s="1" t="str">
        <f>IF(AND(AL$400,COUNTA(AL$404:AL421)+4&lt;=MATCH(AL$402,Tenors_set,0)),_xll.RtContribute(AL$403,AL$3&amp;"FX"&amp;$C422&amp;"D=",{"BID","ASK"},CHOOSE({1,2},IF(AL$401,AL261,AL139/AL$11),IF(AL$401,AL261,AL139)),"SCOPE:SERVER"),"RT_FALSE")</f>
        <v>RT_FALSE</v>
      </c>
      <c r="AM422" s="1" t="str">
        <f>IF(AND(AM$400,COUNTA(AM$404:AM421)+4&lt;=MATCH(AM$402,Tenors_set,0)),_xll.RtContribute(AM$403,AM$3&amp;"FX"&amp;$C422&amp;"D=",{"BID","ASK"},CHOOSE({1,2},IF(AM$401,AM261,AM139/AM$11),IF(AM$401,AM261,AM139)),"SCOPE:SERVER"),"RT_FALSE")</f>
        <v>RT_FALSE</v>
      </c>
      <c r="AN422" s="1" t="str">
        <f>IF(AND(AN$400,COUNTA(AN$404:AN421)+4&lt;=MATCH(AN$402,Tenors_set,0)),_xll.RtContribute(AN$403,AN$3&amp;"FX"&amp;$C422&amp;"D=",{"BID","ASK"},CHOOSE({1,2},IF(AN$401,AN261,AN139/AN$11),IF(AN$401,AN261,AN139)),"SCOPE:SERVER"),"RT_FALSE")</f>
        <v>RT_FALSE</v>
      </c>
      <c r="AO422" s="1" t="str">
        <f>IF(AND(AO$400,COUNTA(AO$404:AO421)+4&lt;=MATCH(AO$402,Tenors_set,0)),_xll.RtContribute(AO$403,AO$3&amp;"FX"&amp;$C422&amp;"D=",{"BID","ASK"},CHOOSE({1,2},IF(AO$401,AO261,AO139/AO$11),IF(AO$401,AO261,AO139)),"SCOPE:SERVER"),"RT_FALSE")</f>
        <v>RT_FALSE</v>
      </c>
      <c r="AP422" s="1" t="str">
        <f>IF(AND(AP$400,COUNTA(AP$404:AP421)+4&lt;=MATCH(AP$402,Tenors_set,0)),_xll.RtContribute(AP$403,AP$3&amp;"FX"&amp;$C422&amp;"D=",{"BID","ASK"},CHOOSE({1,2},IF(AP$401,AP261,AP139/AP$11),IF(AP$401,AP261,AP139)),"SCOPE:SERVER"),"RT_FALSE")</f>
        <v>RT_FALSE</v>
      </c>
    </row>
    <row r="423" spans="3:42" x14ac:dyDescent="0.2">
      <c r="C423" s="1" t="s">
        <v>133</v>
      </c>
      <c r="E423" s="1" t="str">
        <f>IF(AND(E$400,COUNTA(E$404:E422)+4&lt;=MATCH(E$402,Tenors_set,0)),_xll.RtContribute(E$403,E$3&amp;"FX"&amp;$C423&amp;"D=",{"BID","ASK"},CHOOSE({1,2},IF(E$401,E262,E140/E$11),IF(E$401,E262,E140)),"SCOPE:SERVER"),"RT_FALSE")</f>
        <v>RT_FALSE</v>
      </c>
      <c r="F423" s="1" t="str">
        <f>IF(AND(F$400,COUNTA(F$404:F422)+4&lt;=MATCH(F$402,Tenors_set,0)),_xll.RtContribute(F$403,F$3&amp;"FX"&amp;$C423&amp;"D=",{"BID","ASK"},CHOOSE({1,2},IF(F$401,F262,F140/F$11),IF(F$401,F262,F140)),"SCOPE:SERVER"),"RT_FALSE")</f>
        <v>RT_FALSE</v>
      </c>
      <c r="G423" s="1" t="str">
        <f>IF(AND(G$400,COUNTA(G$404:G422)+4&lt;=MATCH(G$402,Tenors_set,0)),_xll.RtContribute(G$403,G$3&amp;"FX"&amp;$C423&amp;"D=",{"BID","ASK"},CHOOSE({1,2},IF(G$401,G262,G140/G$11),IF(G$401,G262,G140)),"SCOPE:SERVER"),"RT_FALSE")</f>
        <v>RT_FALSE</v>
      </c>
      <c r="H423" s="1" t="str">
        <f>IF(AND(H$400,COUNTA(H$404:H422)+4&lt;=MATCH(H$402,Tenors_set,0)),_xll.RtContribute(H$403,H$3&amp;"FX"&amp;$C423&amp;"D=",{"BID","ASK"},CHOOSE({1,2},IF(H$401,H262,H140/H$11),IF(H$401,H262,H140)),"SCOPE:SERVER"),"RT_FALSE")</f>
        <v>RT_FALSE</v>
      </c>
      <c r="I423" s="1" t="str">
        <f>IF(AND(I$400,COUNTA(I$404:I422)+4&lt;=MATCH(I$402,Tenors_set,0)),_xll.RtContribute(I$403,I$3&amp;"FX"&amp;$C423&amp;"D=",{"BID","ASK"},CHOOSE({1,2},IF(I$401,I262,I140/I$11),IF(I$401,I262,I140)),"SCOPE:SERVER"),"RT_FALSE")</f>
        <v>RT_FALSE</v>
      </c>
      <c r="J423" s="1" t="str">
        <f>IF(AND(J$400,COUNTA(J$404:J422)+4&lt;=MATCH(J$402,Tenors_set,0)),_xll.RtContribute(J$403,J$3&amp;"FX"&amp;$C423&amp;"D=",{"BID","ASK"},CHOOSE({1,2},IF(J$401,J262,J140/J$11),IF(J$401,J262,J140)),"SCOPE:SERVER"),"RT_FALSE")</f>
        <v>RT_FALSE</v>
      </c>
      <c r="K423" s="1" t="str">
        <f>IF(AND(K$400,COUNTA(K$404:K422)+4&lt;=MATCH(K$402,Tenors_set,0)),_xll.RtContribute(K$403,K$3&amp;"FX"&amp;$C423&amp;"D=",{"BID","ASK"},CHOOSE({1,2},IF(K$401,K262,K140/K$11),IF(K$401,K262,K140)),"SCOPE:SERVER"),"RT_FALSE")</f>
        <v>RT_FALSE</v>
      </c>
      <c r="L423" s="1" t="str">
        <f>IF(AND(L$400,COUNTA(L$404:L422)+4&lt;=MATCH(L$402,Tenors_set,0)),_xll.RtContribute(L$403,L$3&amp;"FX"&amp;$C423&amp;"D=",{"BID","ASK"},CHOOSE({1,2},IF(L$401,L262,L140/L$11),IF(L$401,L262,L140)),"SCOPE:SERVER"),"RT_FALSE")</f>
        <v>RT_FALSE</v>
      </c>
      <c r="M423" s="1" t="str">
        <f>IF(AND(M$400,COUNTA(M$404:M422)+4&lt;=MATCH(M$402,Tenors_set,0)),_xll.RtContribute(M$403,M$3&amp;"FX"&amp;$C423&amp;"D=",{"BID","ASK"},CHOOSE({1,2},IF(M$401,M262,M140/M$11),IF(M$401,M262,M140)),"SCOPE:SERVER"),"RT_FALSE")</f>
        <v>RT_FALSE</v>
      </c>
      <c r="N423" s="1" t="str">
        <f>IF(AND(N$400,COUNTA(N$404:N422)+4&lt;=MATCH(N$402,Tenors_set,0)),_xll.RtContribute(N$403,N$3&amp;"FX"&amp;$C423&amp;"D=",{"BID","ASK"},CHOOSE({1,2},IF(N$401,N262,N140/N$11),IF(N$401,N262,N140)),"SCOPE:SERVER"),"RT_FALSE")</f>
        <v>RT_FALSE</v>
      </c>
      <c r="O423" s="1" t="str">
        <f>IF(AND(O$400,COUNTA(O$404:O422)+4&lt;=MATCH(O$402,Tenors_set,0)),_xll.RtContribute(O$403,O$3&amp;"FX"&amp;$C423&amp;"D=",{"BID","ASK"},CHOOSE({1,2},IF(O$401,O262,O140/O$11),IF(O$401,O262,O140)),"SCOPE:SERVER"),"RT_FALSE")</f>
        <v>RT_FALSE</v>
      </c>
      <c r="P423" s="1" t="str">
        <f>IF(AND(P$400,COUNTA(P$404:P422)+4&lt;=MATCH(P$402,Tenors_set,0)),_xll.RtContribute(P$403,P$3&amp;"FX"&amp;$C423&amp;"D=",{"BID","ASK"},CHOOSE({1,2},IF(P$401,P262,P140/P$11),IF(P$401,P262,P140)),"SCOPE:SERVER"),"RT_FALSE")</f>
        <v>RT_FALSE</v>
      </c>
      <c r="Q423" s="1" t="str">
        <f>IF(AND(Q$400,COUNTA(Q$404:Q422)+4&lt;=MATCH(Q$402,Tenors_set,0)),_xll.RtContribute(Q$403,Q$3&amp;"FX"&amp;$C423&amp;"D=",{"BID","ASK"},CHOOSE({1,2},IF(Q$401,Q262,Q140/Q$11),IF(Q$401,Q262,Q140)),"SCOPE:SERVER"),"RT_FALSE")</f>
        <v>RT_FALSE</v>
      </c>
      <c r="R423" s="1" t="str">
        <f>IF(AND(R$400,COUNTA(R$404:R422)+4&lt;=MATCH(R$402,Tenors_set,0)),_xll.RtContribute(R$403,R$3&amp;"FX"&amp;$C423&amp;"D=",{"BID","ASK"},CHOOSE({1,2},IF(R$401,R262,R140/R$11),IF(R$401,R262,R140)),"SCOPE:SERVER"),"RT_FALSE")</f>
        <v>RT_FALSE</v>
      </c>
      <c r="S423" s="1" t="str">
        <f>IF(AND(S$400,COUNTA(S$404:S422)+4&lt;=MATCH(S$402,Tenors_set,0)),_xll.RtContribute(S$403,S$3&amp;"FX"&amp;$C423&amp;"D=",{"BID","ASK"},CHOOSE({1,2},IF(S$401,S262,S140/S$11),IF(S$401,S262,S140)),"SCOPE:SERVER"),"RT_FALSE")</f>
        <v>RT_FALSE</v>
      </c>
      <c r="T423" s="1" t="str">
        <f>IF(AND(T$400,COUNTA(T$404:T422)+4&lt;=MATCH(T$402,Tenors_set,0)),_xll.RtContribute(T$403,T$3&amp;"FX"&amp;$C423&amp;"D=",{"BID","ASK"},CHOOSE({1,2},IF(T$401,T262,T140/T$11),IF(T$401,T262,T140)),"SCOPE:SERVER"),"RT_FALSE")</f>
        <v>RT_FALSE</v>
      </c>
      <c r="U423" s="1" t="str">
        <f>IF(AND(U$400,COUNTA(U$404:U422)+4&lt;=MATCH(U$402,Tenors_set,0)),_xll.RtContribute(U$403,U$3&amp;"FX"&amp;$C423&amp;"D=",{"BID","ASK"},CHOOSE({1,2},IF(U$401,U262,U140/U$11),IF(U$401,U262,U140)),"SCOPE:SERVER"),"RT_FALSE")</f>
        <v>RT_FALSE</v>
      </c>
      <c r="V423" s="1" t="str">
        <f>IF(AND(V$400,COUNTA(V$404:V422)+4&lt;=MATCH(V$402,Tenors_set,0)),_xll.RtContribute(V$403,V$3&amp;"FX"&amp;$C423&amp;"D=",{"BID","ASK"},CHOOSE({1,2},IF(V$401,V262,V140/V$11),IF(V$401,V262,V140)),"SCOPE:SERVER"),"RT_FALSE")</f>
        <v>RT_FALSE</v>
      </c>
      <c r="W423" s="1" t="str">
        <f>IF(AND(W$400,COUNTA(W$404:W422)+4&lt;=MATCH(W$402,Tenors_set,0)),_xll.RtContribute(W$403,W$3&amp;"FX"&amp;$C423&amp;"D=",{"BID","ASK"},CHOOSE({1,2},IF(W$401,W262,W140/W$11),IF(W$401,W262,W140)),"SCOPE:SERVER"),"RT_FALSE")</f>
        <v>RT_FALSE</v>
      </c>
      <c r="X423" s="1" t="str">
        <f>IF(AND(X$400,COUNTA(X$404:X422)+4&lt;=MATCH(X$402,Tenors_set,0)),_xll.RtContribute(X$403,X$3&amp;"FX"&amp;$C423&amp;"D=",{"BID","ASK"},CHOOSE({1,2},IF(X$401,X262,X140/X$11),IF(X$401,X262,X140)),"SCOPE:SERVER"),"RT_FALSE")</f>
        <v>RT_FALSE</v>
      </c>
      <c r="Y423" s="1" t="str">
        <f>IF(AND(Y$400,COUNTA(Y$404:Y422)+4&lt;=MATCH(Y$402,Tenors_set,0)),_xll.RtContribute(Y$403,Y$3&amp;"FX"&amp;$C423&amp;"D=",{"BID","ASK"},CHOOSE({1,2},IF(Y$401,Y262,Y140/Y$11),IF(Y$401,Y262,Y140)),"SCOPE:SERVER"),"RT_FALSE")</f>
        <v>RT_FALSE</v>
      </c>
      <c r="Z423" s="1" t="str">
        <f>IF(AND(Z$400,COUNTA(Z$404:Z422)+4&lt;=MATCH(Z$402,Tenors_set,0)),_xll.RtContribute(Z$403,Z$3&amp;"FX"&amp;$C423&amp;"D=",{"BID","ASK"},CHOOSE({1,2},IF(Z$401,Z262,Z140/Z$11),IF(Z$401,Z262,Z140)),"SCOPE:SERVER"),"RT_FALSE")</f>
        <v>RT_FALSE</v>
      </c>
      <c r="AA423" s="1" t="str">
        <f>IF(AND(AA$400,COUNTA(AA$404:AA422)+4&lt;=MATCH(AA$402,Tenors_set,0)),_xll.RtContribute(AA$403,AA$3&amp;"FX"&amp;$C423&amp;"D=",{"BID","ASK"},CHOOSE({1,2},IF(AA$401,AA262,AA140/AA$11),IF(AA$401,AA262,AA140)),"SCOPE:SERVER"),"RT_FALSE")</f>
        <v>RT_FALSE</v>
      </c>
      <c r="AB423" s="1" t="str">
        <f>IF(AND(AB$400,COUNTA(AB$404:AB422)+4&lt;=MATCH(AB$402,Tenors_set,0)),_xll.RtContribute(AB$403,AB$3&amp;"FX"&amp;$C423&amp;"D=",{"BID","ASK"},CHOOSE({1,2},IF(AB$401,AB262,AB140/AB$11),IF(AB$401,AB262,AB140)),"SCOPE:SERVER"),"RT_FALSE")</f>
        <v>RT_FALSE</v>
      </c>
      <c r="AC423" s="1" t="str">
        <f>IF(AND(AC$400,COUNTA(AC$404:AC422)+4&lt;=MATCH(AC$402,Tenors_set,0)),_xll.RtContribute(AC$403,AC$3&amp;"FX"&amp;$C423&amp;"D=",{"BID","ASK"},CHOOSE({1,2},IF(AC$401,AC262,AC140/AC$11),IF(AC$401,AC262,AC140)),"SCOPE:SERVER"),"RT_FALSE")</f>
        <v>RT_FALSE</v>
      </c>
      <c r="AD423" s="1" t="str">
        <f>IF(AND(AD$400,COUNTA(AD$404:AD422)+4&lt;=MATCH(AD$402,Tenors_set,0)),_xll.RtContribute(AD$403,AD$3&amp;"FX"&amp;$C423&amp;"D=",{"BID","ASK"},CHOOSE({1,2},IF(AD$401,AD262,AD140/AD$11),IF(AD$401,AD262,AD140)),"SCOPE:SERVER"),"RT_FALSE")</f>
        <v>RT_FALSE</v>
      </c>
      <c r="AE423" s="1" t="str">
        <f>IF(AND(AE$400,COUNTA(AE$404:AE422)+4&lt;=MATCH(AE$402,Tenors_set,0)),_xll.RtContribute(AE$403,AE$3&amp;"FX"&amp;$C423&amp;"D=",{"BID","ASK"},CHOOSE({1,2},IF(AE$401,AE262,AE140/AE$11),IF(AE$401,AE262,AE140)),"SCOPE:SERVER"),"RT_FALSE")</f>
        <v>RT_FALSE</v>
      </c>
      <c r="AF423" s="1" t="str">
        <f>IF(AND(AF$400,COUNTA(AF$404:AF422)+4&lt;=MATCH(AF$402,Tenors_set,0)),_xll.RtContribute(AF$403,AF$3&amp;"FX"&amp;$C423&amp;"D=",{"BID","ASK"},CHOOSE({1,2},IF(AF$401,AF262,AF140/AF$11),IF(AF$401,AF262,AF140)),"SCOPE:SERVER"),"RT_FALSE")</f>
        <v>RT_FALSE</v>
      </c>
      <c r="AG423" s="1" t="str">
        <f>IF(AND(AG$400,COUNTA(AG$404:AG422)+4&lt;=MATCH(AG$402,Tenors_set,0)),_xll.RtContribute(AG$403,AG$3&amp;"FX"&amp;$C423&amp;"D=",{"BID","ASK"},CHOOSE({1,2},IF(AG$401,AG262,AG140/AG$11),IF(AG$401,AG262,AG140)),"SCOPE:SERVER"),"RT_FALSE")</f>
        <v>RT_FALSE</v>
      </c>
      <c r="AH423" s="1" t="str">
        <f>IF(AND(AH$400,COUNTA(AH$404:AH422)+4&lt;=MATCH(AH$402,Tenors_set,0)),_xll.RtContribute(AH$403,AH$3&amp;"FX"&amp;$C423&amp;"D=",{"BID","ASK"},CHOOSE({1,2},IF(AH$401,AH262,AH140/AH$11),IF(AH$401,AH262,AH140)),"SCOPE:SERVER"),"RT_FALSE")</f>
        <v>RT_FALSE</v>
      </c>
      <c r="AI423" s="1" t="str">
        <f>IF(AND(AI$400,COUNTA(AI$404:AI422)+4&lt;=MATCH(AI$402,Tenors_set,0)),_xll.RtContribute(AI$403,AI$3&amp;"FX"&amp;$C423&amp;"D=",{"BID","ASK"},CHOOSE({1,2},IF(AI$401,AI262,AI140/AI$11),IF(AI$401,AI262,AI140)),"SCOPE:SERVER"),"RT_FALSE")</f>
        <v>RT_FALSE</v>
      </c>
      <c r="AJ423" s="1" t="str">
        <f>IF(AND(AJ$400,COUNTA(AJ$404:AJ422)+4&lt;=MATCH(AJ$402,Tenors_set,0)),_xll.RtContribute(AJ$403,AJ$3&amp;"FX"&amp;$C423&amp;"D=",{"BID","ASK"},CHOOSE({1,2},IF(AJ$401,AJ262,AJ140/AJ$11),IF(AJ$401,AJ262,AJ140)),"SCOPE:SERVER"),"RT_FALSE")</f>
        <v>RT_FALSE</v>
      </c>
      <c r="AK423" s="1" t="str">
        <f>IF(AND(AK$400,COUNTA(AK$404:AK422)+4&lt;=MATCH(AK$402,Tenors_set,0)),_xll.RtContribute(AK$403,AK$3&amp;"FX"&amp;$C423&amp;"D=",{"BID","ASK"},CHOOSE({1,2},IF(AK$401,AK262,AK140/AK$11),IF(AK$401,AK262,AK140)),"SCOPE:SERVER"),"RT_FALSE")</f>
        <v>RT_FALSE</v>
      </c>
      <c r="AL423" s="1" t="str">
        <f>IF(AND(AL$400,COUNTA(AL$404:AL422)+4&lt;=MATCH(AL$402,Tenors_set,0)),_xll.RtContribute(AL$403,AL$3&amp;"FX"&amp;$C423&amp;"D=",{"BID","ASK"},CHOOSE({1,2},IF(AL$401,AL262,AL140/AL$11),IF(AL$401,AL262,AL140)),"SCOPE:SERVER"),"RT_FALSE")</f>
        <v>RT_FALSE</v>
      </c>
      <c r="AM423" s="1" t="str">
        <f>IF(AND(AM$400,COUNTA(AM$404:AM422)+4&lt;=MATCH(AM$402,Tenors_set,0)),_xll.RtContribute(AM$403,AM$3&amp;"FX"&amp;$C423&amp;"D=",{"BID","ASK"},CHOOSE({1,2},IF(AM$401,AM262,AM140/AM$11),IF(AM$401,AM262,AM140)),"SCOPE:SERVER"),"RT_FALSE")</f>
        <v>RT_FALSE</v>
      </c>
      <c r="AN423" s="1" t="str">
        <f>IF(AND(AN$400,COUNTA(AN$404:AN422)+4&lt;=MATCH(AN$402,Tenors_set,0)),_xll.RtContribute(AN$403,AN$3&amp;"FX"&amp;$C423&amp;"D=",{"BID","ASK"},CHOOSE({1,2},IF(AN$401,AN262,AN140/AN$11),IF(AN$401,AN262,AN140)),"SCOPE:SERVER"),"RT_FALSE")</f>
        <v>RT_FALSE</v>
      </c>
      <c r="AO423" s="1" t="str">
        <f>IF(AND(AO$400,COUNTA(AO$404:AO422)+4&lt;=MATCH(AO$402,Tenors_set,0)),_xll.RtContribute(AO$403,AO$3&amp;"FX"&amp;$C423&amp;"D=",{"BID","ASK"},CHOOSE({1,2},IF(AO$401,AO262,AO140/AO$11),IF(AO$401,AO262,AO140)),"SCOPE:SERVER"),"RT_FALSE")</f>
        <v>RT_FALSE</v>
      </c>
      <c r="AP423" s="1" t="str">
        <f>IF(AND(AP$400,COUNTA(AP$404:AP422)+4&lt;=MATCH(AP$402,Tenors_set,0)),_xll.RtContribute(AP$403,AP$3&amp;"FX"&amp;$C423&amp;"D=",{"BID","ASK"},CHOOSE({1,2},IF(AP$401,AP262,AP140/AP$11),IF(AP$401,AP262,AP140)),"SCOPE:SERVER"),"RT_FALSE")</f>
        <v>RT_FALSE</v>
      </c>
    </row>
    <row r="424" spans="3:42" x14ac:dyDescent="0.2">
      <c r="C424" s="1" t="s">
        <v>148</v>
      </c>
      <c r="E424" s="1" t="str">
        <f>IF(AND(E$400,COUNTA(E$404:E423)+4&lt;=MATCH(E$402,Tenors_set,0)),_xll.RtContribute(E$403,E$3&amp;"FX"&amp;$C424&amp;"D=",{"BID","ASK"},CHOOSE({1,2},IF(E$401,E263,E141/E$11),IF(E$401,E263,E141)),"SCOPE:SERVER"),"RT_FALSE")</f>
        <v>RT_FALSE</v>
      </c>
      <c r="F424" s="1" t="str">
        <f>IF(AND(F$400,COUNTA(F$404:F423)+4&lt;=MATCH(F$402,Tenors_set,0)),_xll.RtContribute(F$403,F$3&amp;"FX"&amp;$C424&amp;"D=",{"BID","ASK"},CHOOSE({1,2},IF(F$401,F263,F141/F$11),IF(F$401,F263,F141)),"SCOPE:SERVER"),"RT_FALSE")</f>
        <v>RT_FALSE</v>
      </c>
      <c r="G424" s="1" t="str">
        <f>IF(AND(G$400,COUNTA(G$404:G423)+4&lt;=MATCH(G$402,Tenors_set,0)),_xll.RtContribute(G$403,G$3&amp;"FX"&amp;$C424&amp;"D=",{"BID","ASK"},CHOOSE({1,2},IF(G$401,G263,G141/G$11),IF(G$401,G263,G141)),"SCOPE:SERVER"),"RT_FALSE")</f>
        <v>RT_FALSE</v>
      </c>
      <c r="H424" s="1" t="str">
        <f>IF(AND(H$400,COUNTA(H$404:H423)+4&lt;=MATCH(H$402,Tenors_set,0)),_xll.RtContribute(H$403,H$3&amp;"FX"&amp;$C424&amp;"D=",{"BID","ASK"},CHOOSE({1,2},IF(H$401,H263,H141/H$11),IF(H$401,H263,H141)),"SCOPE:SERVER"),"RT_FALSE")</f>
        <v>RT_FALSE</v>
      </c>
      <c r="I424" s="1" t="str">
        <f>IF(AND(I$400,COUNTA(I$404:I423)+4&lt;=MATCH(I$402,Tenors_set,0)),_xll.RtContribute(I$403,I$3&amp;"FX"&amp;$C424&amp;"D=",{"BID","ASK"},CHOOSE({1,2},IF(I$401,I263,I141/I$11),IF(I$401,I263,I141)),"SCOPE:SERVER"),"RT_FALSE")</f>
        <v>RT_FALSE</v>
      </c>
      <c r="J424" s="1" t="str">
        <f>IF(AND(J$400,COUNTA(J$404:J423)+4&lt;=MATCH(J$402,Tenors_set,0)),_xll.RtContribute(J$403,J$3&amp;"FX"&amp;$C424&amp;"D=",{"BID","ASK"},CHOOSE({1,2},IF(J$401,J263,J141/J$11),IF(J$401,J263,J141)),"SCOPE:SERVER"),"RT_FALSE")</f>
        <v>RT_FALSE</v>
      </c>
      <c r="K424" s="1" t="str">
        <f>IF(AND(K$400,COUNTA(K$404:K423)+4&lt;=MATCH(K$402,Tenors_set,0)),_xll.RtContribute(K$403,K$3&amp;"FX"&amp;$C424&amp;"D=",{"BID","ASK"},CHOOSE({1,2},IF(K$401,K263,K141/K$11),IF(K$401,K263,K141)),"SCOPE:SERVER"),"RT_FALSE")</f>
        <v>RT_FALSE</v>
      </c>
      <c r="L424" s="1" t="str">
        <f>IF(AND(L$400,COUNTA(L$404:L423)+4&lt;=MATCH(L$402,Tenors_set,0)),_xll.RtContribute(L$403,L$3&amp;"FX"&amp;$C424&amp;"D=",{"BID","ASK"},CHOOSE({1,2},IF(L$401,L263,L141/L$11),IF(L$401,L263,L141)),"SCOPE:SERVER"),"RT_FALSE")</f>
        <v>RT_FALSE</v>
      </c>
      <c r="M424" s="1" t="str">
        <f>IF(AND(M$400,COUNTA(M$404:M423)+4&lt;=MATCH(M$402,Tenors_set,0)),_xll.RtContribute(M$403,M$3&amp;"FX"&amp;$C424&amp;"D=",{"BID","ASK"},CHOOSE({1,2},IF(M$401,M263,M141/M$11),IF(M$401,M263,M141)),"SCOPE:SERVER"),"RT_FALSE")</f>
        <v>RT_FALSE</v>
      </c>
      <c r="N424" s="1" t="str">
        <f>IF(AND(N$400,COUNTA(N$404:N423)+4&lt;=MATCH(N$402,Tenors_set,0)),_xll.RtContribute(N$403,N$3&amp;"FX"&amp;$C424&amp;"D=",{"BID","ASK"},CHOOSE({1,2},IF(N$401,N263,N141/N$11),IF(N$401,N263,N141)),"SCOPE:SERVER"),"RT_FALSE")</f>
        <v>RT_FALSE</v>
      </c>
      <c r="O424" s="1" t="str">
        <f>IF(AND(O$400,COUNTA(O$404:O423)+4&lt;=MATCH(O$402,Tenors_set,0)),_xll.RtContribute(O$403,O$3&amp;"FX"&amp;$C424&amp;"D=",{"BID","ASK"},CHOOSE({1,2},IF(O$401,O263,O141/O$11),IF(O$401,O263,O141)),"SCOPE:SERVER"),"RT_FALSE")</f>
        <v>RT_FALSE</v>
      </c>
      <c r="P424" s="1" t="str">
        <f>IF(AND(P$400,COUNTA(P$404:P423)+4&lt;=MATCH(P$402,Tenors_set,0)),_xll.RtContribute(P$403,P$3&amp;"FX"&amp;$C424&amp;"D=",{"BID","ASK"},CHOOSE({1,2},IF(P$401,P263,P141/P$11),IF(P$401,P263,P141)),"SCOPE:SERVER"),"RT_FALSE")</f>
        <v>RT_FALSE</v>
      </c>
      <c r="Q424" s="1" t="str">
        <f>IF(AND(Q$400,COUNTA(Q$404:Q423)+4&lt;=MATCH(Q$402,Tenors_set,0)),_xll.RtContribute(Q$403,Q$3&amp;"FX"&amp;$C424&amp;"D=",{"BID","ASK"},CHOOSE({1,2},IF(Q$401,Q263,Q141/Q$11),IF(Q$401,Q263,Q141)),"SCOPE:SERVER"),"RT_FALSE")</f>
        <v>RT_FALSE</v>
      </c>
      <c r="R424" s="1" t="str">
        <f>IF(AND(R$400,COUNTA(R$404:R423)+4&lt;=MATCH(R$402,Tenors_set,0)),_xll.RtContribute(R$403,R$3&amp;"FX"&amp;$C424&amp;"D=",{"BID","ASK"},CHOOSE({1,2},IF(R$401,R263,R141/R$11),IF(R$401,R263,R141)),"SCOPE:SERVER"),"RT_FALSE")</f>
        <v>RT_FALSE</v>
      </c>
      <c r="S424" s="1" t="str">
        <f>IF(AND(S$400,COUNTA(S$404:S423)+4&lt;=MATCH(S$402,Tenors_set,0)),_xll.RtContribute(S$403,S$3&amp;"FX"&amp;$C424&amp;"D=",{"BID","ASK"},CHOOSE({1,2},IF(S$401,S263,S141/S$11),IF(S$401,S263,S141)),"SCOPE:SERVER"),"RT_FALSE")</f>
        <v>RT_FALSE</v>
      </c>
      <c r="T424" s="1" t="str">
        <f>IF(AND(T$400,COUNTA(T$404:T423)+4&lt;=MATCH(T$402,Tenors_set,0)),_xll.RtContribute(T$403,T$3&amp;"FX"&amp;$C424&amp;"D=",{"BID","ASK"},CHOOSE({1,2},IF(T$401,T263,T141/T$11),IF(T$401,T263,T141)),"SCOPE:SERVER"),"RT_FALSE")</f>
        <v>RT_FALSE</v>
      </c>
      <c r="U424" s="1" t="str">
        <f>IF(AND(U$400,COUNTA(U$404:U423)+4&lt;=MATCH(U$402,Tenors_set,0)),_xll.RtContribute(U$403,U$3&amp;"FX"&amp;$C424&amp;"D=",{"BID","ASK"},CHOOSE({1,2},IF(U$401,U263,U141/U$11),IF(U$401,U263,U141)),"SCOPE:SERVER"),"RT_FALSE")</f>
        <v>RT_FALSE</v>
      </c>
      <c r="V424" s="1" t="str">
        <f>IF(AND(V$400,COUNTA(V$404:V423)+4&lt;=MATCH(V$402,Tenors_set,0)),_xll.RtContribute(V$403,V$3&amp;"FX"&amp;$C424&amp;"D=",{"BID","ASK"},CHOOSE({1,2},IF(V$401,V263,V141/V$11),IF(V$401,V263,V141)),"SCOPE:SERVER"),"RT_FALSE")</f>
        <v>RT_FALSE</v>
      </c>
      <c r="W424" s="1" t="str">
        <f>IF(AND(W$400,COUNTA(W$404:W423)+4&lt;=MATCH(W$402,Tenors_set,0)),_xll.RtContribute(W$403,W$3&amp;"FX"&amp;$C424&amp;"D=",{"BID","ASK"},CHOOSE({1,2},IF(W$401,W263,W141/W$11),IF(W$401,W263,W141)),"SCOPE:SERVER"),"RT_FALSE")</f>
        <v>RT_FALSE</v>
      </c>
      <c r="X424" s="1" t="str">
        <f>IF(AND(X$400,COUNTA(X$404:X423)+4&lt;=MATCH(X$402,Tenors_set,0)),_xll.RtContribute(X$403,X$3&amp;"FX"&amp;$C424&amp;"D=",{"BID","ASK"},CHOOSE({1,2},IF(X$401,X263,X141/X$11),IF(X$401,X263,X141)),"SCOPE:SERVER"),"RT_FALSE")</f>
        <v>RT_FALSE</v>
      </c>
      <c r="Y424" s="1" t="str">
        <f>IF(AND(Y$400,COUNTA(Y$404:Y423)+4&lt;=MATCH(Y$402,Tenors_set,0)),_xll.RtContribute(Y$403,Y$3&amp;"FX"&amp;$C424&amp;"D=",{"BID","ASK"},CHOOSE({1,2},IF(Y$401,Y263,Y141/Y$11),IF(Y$401,Y263,Y141)),"SCOPE:SERVER"),"RT_FALSE")</f>
        <v>RT_FALSE</v>
      </c>
      <c r="Z424" s="1" t="str">
        <f>IF(AND(Z$400,COUNTA(Z$404:Z423)+4&lt;=MATCH(Z$402,Tenors_set,0)),_xll.RtContribute(Z$403,Z$3&amp;"FX"&amp;$C424&amp;"D=",{"BID","ASK"},CHOOSE({1,2},IF(Z$401,Z263,Z141/Z$11),IF(Z$401,Z263,Z141)),"SCOPE:SERVER"),"RT_FALSE")</f>
        <v>RT_FALSE</v>
      </c>
      <c r="AA424" s="1" t="str">
        <f>IF(AND(AA$400,COUNTA(AA$404:AA423)+4&lt;=MATCH(AA$402,Tenors_set,0)),_xll.RtContribute(AA$403,AA$3&amp;"FX"&amp;$C424&amp;"D=",{"BID","ASK"},CHOOSE({1,2},IF(AA$401,AA263,AA141/AA$11),IF(AA$401,AA263,AA141)),"SCOPE:SERVER"),"RT_FALSE")</f>
        <v>RT_FALSE</v>
      </c>
      <c r="AB424" s="1" t="str">
        <f>IF(AND(AB$400,COUNTA(AB$404:AB423)+4&lt;=MATCH(AB$402,Tenors_set,0)),_xll.RtContribute(AB$403,AB$3&amp;"FX"&amp;$C424&amp;"D=",{"BID","ASK"},CHOOSE({1,2},IF(AB$401,AB263,AB141/AB$11),IF(AB$401,AB263,AB141)),"SCOPE:SERVER"),"RT_FALSE")</f>
        <v>RT_FALSE</v>
      </c>
      <c r="AC424" s="1" t="str">
        <f>IF(AND(AC$400,COUNTA(AC$404:AC423)+4&lt;=MATCH(AC$402,Tenors_set,0)),_xll.RtContribute(AC$403,AC$3&amp;"FX"&amp;$C424&amp;"D=",{"BID","ASK"},CHOOSE({1,2},IF(AC$401,AC263,AC141/AC$11),IF(AC$401,AC263,AC141)),"SCOPE:SERVER"),"RT_FALSE")</f>
        <v>RT_FALSE</v>
      </c>
      <c r="AD424" s="1" t="str">
        <f>IF(AND(AD$400,COUNTA(AD$404:AD423)+4&lt;=MATCH(AD$402,Tenors_set,0)),_xll.RtContribute(AD$403,AD$3&amp;"FX"&amp;$C424&amp;"D=",{"BID","ASK"},CHOOSE({1,2},IF(AD$401,AD263,AD141/AD$11),IF(AD$401,AD263,AD141)),"SCOPE:SERVER"),"RT_FALSE")</f>
        <v>RT_FALSE</v>
      </c>
      <c r="AE424" s="1" t="str">
        <f>IF(AND(AE$400,COUNTA(AE$404:AE423)+4&lt;=MATCH(AE$402,Tenors_set,0)),_xll.RtContribute(AE$403,AE$3&amp;"FX"&amp;$C424&amp;"D=",{"BID","ASK"},CHOOSE({1,2},IF(AE$401,AE263,AE141/AE$11),IF(AE$401,AE263,AE141)),"SCOPE:SERVER"),"RT_FALSE")</f>
        <v>RT_FALSE</v>
      </c>
      <c r="AF424" s="1" t="str">
        <f>IF(AND(AF$400,COUNTA(AF$404:AF423)+4&lt;=MATCH(AF$402,Tenors_set,0)),_xll.RtContribute(AF$403,AF$3&amp;"FX"&amp;$C424&amp;"D=",{"BID","ASK"},CHOOSE({1,2},IF(AF$401,AF263,AF141/AF$11),IF(AF$401,AF263,AF141)),"SCOPE:SERVER"),"RT_FALSE")</f>
        <v>RT_FALSE</v>
      </c>
      <c r="AG424" s="1" t="str">
        <f>IF(AND(AG$400,COUNTA(AG$404:AG423)+4&lt;=MATCH(AG$402,Tenors_set,0)),_xll.RtContribute(AG$403,AG$3&amp;"FX"&amp;$C424&amp;"D=",{"BID","ASK"},CHOOSE({1,2},IF(AG$401,AG263,AG141/AG$11),IF(AG$401,AG263,AG141)),"SCOPE:SERVER"),"RT_FALSE")</f>
        <v>RT_FALSE</v>
      </c>
      <c r="AH424" s="1" t="str">
        <f>IF(AND(AH$400,COUNTA(AH$404:AH423)+4&lt;=MATCH(AH$402,Tenors_set,0)),_xll.RtContribute(AH$403,AH$3&amp;"FX"&amp;$C424&amp;"D=",{"BID","ASK"},CHOOSE({1,2},IF(AH$401,AH263,AH141/AH$11),IF(AH$401,AH263,AH141)),"SCOPE:SERVER"),"RT_FALSE")</f>
        <v>RT_FALSE</v>
      </c>
      <c r="AI424" s="1" t="str">
        <f>IF(AND(AI$400,COUNTA(AI$404:AI423)+4&lt;=MATCH(AI$402,Tenors_set,0)),_xll.RtContribute(AI$403,AI$3&amp;"FX"&amp;$C424&amp;"D=",{"BID","ASK"},CHOOSE({1,2},IF(AI$401,AI263,AI141/AI$11),IF(AI$401,AI263,AI141)),"SCOPE:SERVER"),"RT_FALSE")</f>
        <v>RT_FALSE</v>
      </c>
      <c r="AJ424" s="1" t="str">
        <f>IF(AND(AJ$400,COUNTA(AJ$404:AJ423)+4&lt;=MATCH(AJ$402,Tenors_set,0)),_xll.RtContribute(AJ$403,AJ$3&amp;"FX"&amp;$C424&amp;"D=",{"BID","ASK"},CHOOSE({1,2},IF(AJ$401,AJ263,AJ141/AJ$11),IF(AJ$401,AJ263,AJ141)),"SCOPE:SERVER"),"RT_FALSE")</f>
        <v>RT_FALSE</v>
      </c>
      <c r="AK424" s="1" t="str">
        <f>IF(AND(AK$400,COUNTA(AK$404:AK423)+4&lt;=MATCH(AK$402,Tenors_set,0)),_xll.RtContribute(AK$403,AK$3&amp;"FX"&amp;$C424&amp;"D=",{"BID","ASK"},CHOOSE({1,2},IF(AK$401,AK263,AK141/AK$11),IF(AK$401,AK263,AK141)),"SCOPE:SERVER"),"RT_FALSE")</f>
        <v>RT_FALSE</v>
      </c>
      <c r="AL424" s="1" t="str">
        <f>IF(AND(AL$400,COUNTA(AL$404:AL423)+4&lt;=MATCH(AL$402,Tenors_set,0)),_xll.RtContribute(AL$403,AL$3&amp;"FX"&amp;$C424&amp;"D=",{"BID","ASK"},CHOOSE({1,2},IF(AL$401,AL263,AL141/AL$11),IF(AL$401,AL263,AL141)),"SCOPE:SERVER"),"RT_FALSE")</f>
        <v>RT_FALSE</v>
      </c>
      <c r="AM424" s="1" t="str">
        <f>IF(AND(AM$400,COUNTA(AM$404:AM423)+4&lt;=MATCH(AM$402,Tenors_set,0)),_xll.RtContribute(AM$403,AM$3&amp;"FX"&amp;$C424&amp;"D=",{"BID","ASK"},CHOOSE({1,2},IF(AM$401,AM263,AM141/AM$11),IF(AM$401,AM263,AM141)),"SCOPE:SERVER"),"RT_FALSE")</f>
        <v>RT_FALSE</v>
      </c>
      <c r="AN424" s="1" t="str">
        <f>IF(AND(AN$400,COUNTA(AN$404:AN423)+4&lt;=MATCH(AN$402,Tenors_set,0)),_xll.RtContribute(AN$403,AN$3&amp;"FX"&amp;$C424&amp;"D=",{"BID","ASK"},CHOOSE({1,2},IF(AN$401,AN263,AN141/AN$11),IF(AN$401,AN263,AN141)),"SCOPE:SERVER"),"RT_FALSE")</f>
        <v>RT_FALSE</v>
      </c>
      <c r="AO424" s="1" t="str">
        <f>IF(AND(AO$400,COUNTA(AO$404:AO423)+4&lt;=MATCH(AO$402,Tenors_set,0)),_xll.RtContribute(AO$403,AO$3&amp;"FX"&amp;$C424&amp;"D=",{"BID","ASK"},CHOOSE({1,2},IF(AO$401,AO263,AO141/AO$11),IF(AO$401,AO263,AO141)),"SCOPE:SERVER"),"RT_FALSE")</f>
        <v>RT_FALSE</v>
      </c>
      <c r="AP424" s="1" t="str">
        <f>IF(AND(AP$400,COUNTA(AP$404:AP423)+4&lt;=MATCH(AP$402,Tenors_set,0)),_xll.RtContribute(AP$403,AP$3&amp;"FX"&amp;$C424&amp;"D=",{"BID","ASK"},CHOOSE({1,2},IF(AP$401,AP263,AP141/AP$11),IF(AP$401,AP263,AP141)),"SCOPE:SERVER"),"RT_FALSE")</f>
        <v>RT_FALSE</v>
      </c>
    </row>
    <row r="425" spans="3:42" x14ac:dyDescent="0.2">
      <c r="C425" s="1" t="s">
        <v>150</v>
      </c>
      <c r="D425" s="270"/>
      <c r="E425" s="270" t="str">
        <f>IF(AND(E$400,COUNTA(E$404:E424)+4&lt;=MATCH(E$402,Tenors_set,0)),_xll.RtContribute(E$403,E$3&amp;"FX"&amp;$C425&amp;"S=","BID",{"BID","ASK"},CHOOSE({1,2},IF(E$401,E264,E142/E$11),IF(E$401,E264,E142)),"SCOPE:SERVER"),"RT_FALSE")</f>
        <v>RT_FALSE</v>
      </c>
      <c r="F425" s="270" t="str">
        <f>IF(AND(F$400,COUNTA(F$404:F424)+4&lt;=MATCH(F$402,Tenors_set,0)),_xll.RtContribute(F$403,F$3&amp;"FX"&amp;$C425&amp;"S=","BID",{"BID","ASK"},CHOOSE({1,2},IF(F$401,F264,F142/F$11),IF(F$401,F264,F142)),"SCOPE:SERVER"),"RT_FALSE")</f>
        <v>RT_FALSE</v>
      </c>
      <c r="G425" s="270" t="str">
        <f>IF(AND(G$400,COUNTA(G$404:G424)+4&lt;=MATCH(G$402,Tenors_set,0)),_xll.RtContribute(G$403,G$3&amp;"FX"&amp;$C425&amp;"S=","BID",{"BID","ASK"},CHOOSE({1,2},IF(G$401,G264,G142/G$11),IF(G$401,G264,G142)),"SCOPE:SERVER"),"RT_FALSE")</f>
        <v>RT_FALSE</v>
      </c>
      <c r="H425" s="270" t="str">
        <f>IF(AND(H$400,COUNTA(H$404:H424)+4&lt;=MATCH(H$402,Tenors_set,0)),_xll.RtContribute(H$403,H$3&amp;"FX"&amp;$C425&amp;"S=","BID",{"BID","ASK"},CHOOSE({1,2},IF(H$401,H264,H142/H$11),IF(H$401,H264,H142)),"SCOPE:SERVER"),"RT_FALSE")</f>
        <v>RT_FALSE</v>
      </c>
      <c r="I425" s="270" t="str">
        <f>IF(AND(I$400,COUNTA(I$404:I424)+4&lt;=MATCH(I$402,Tenors_set,0)),_xll.RtContribute(I$403,I$3&amp;"FX"&amp;$C425&amp;"S=","BID",{"BID","ASK"},CHOOSE({1,2},IF(I$401,I264,I142/I$11),IF(I$401,I264,I142)),"SCOPE:SERVER"),"RT_FALSE")</f>
        <v>RT_FALSE</v>
      </c>
      <c r="J425" s="270" t="str">
        <f>IF(AND(J$400,COUNTA(J$404:J424)+4&lt;=MATCH(J$402,Tenors_set,0)),_xll.RtContribute(J$403,J$3&amp;"FX"&amp;$C425&amp;"S=","BID",{"BID","ASK"},CHOOSE({1,2},IF(J$401,J264,J142/J$11),IF(J$401,J264,J142)),"SCOPE:SERVER"),"RT_FALSE")</f>
        <v>RT_FALSE</v>
      </c>
      <c r="K425" s="270" t="str">
        <f>IF(AND(K$400,COUNTA(K$404:K424)+4&lt;=MATCH(K$402,Tenors_set,0)),_xll.RtContribute(K$403,K$3&amp;"FX"&amp;$C425&amp;"S=","BID",{"BID","ASK"},CHOOSE({1,2},IF(K$401,K264,K142/K$11),IF(K$401,K264,K142)),"SCOPE:SERVER"),"RT_FALSE")</f>
        <v>RT_FALSE</v>
      </c>
      <c r="L425" s="270" t="str">
        <f>IF(AND(L$400,COUNTA(L$404:L424)+4&lt;=MATCH(L$402,Tenors_set,0)),_xll.RtContribute(L$403,L$3&amp;"FX"&amp;$C425&amp;"S=","BID",{"BID","ASK"},CHOOSE({1,2},IF(L$401,L264,L142/L$11),IF(L$401,L264,L142)),"SCOPE:SERVER"),"RT_FALSE")</f>
        <v>RT_FALSE</v>
      </c>
      <c r="M425" s="270" t="str">
        <f>IF(AND(M$400,COUNTA(M$404:M424)+4&lt;=MATCH(M$402,Tenors_set,0)),_xll.RtContribute(M$403,M$3&amp;"FX"&amp;$C425&amp;"S=","BID",{"BID","ASK"},CHOOSE({1,2},IF(M$401,M264,M142/M$11),IF(M$401,M264,M142)),"SCOPE:SERVER"),"RT_FALSE")</f>
        <v>RT_FALSE</v>
      </c>
      <c r="N425" s="270" t="str">
        <f>IF(AND(N$400,COUNTA(N$404:N424)+4&lt;=MATCH(N$402,Tenors_set,0)),_xll.RtContribute(N$403,N$3&amp;"FX"&amp;$C425&amp;"S=","BID",{"BID","ASK"},CHOOSE({1,2},IF(N$401,N264,N142/N$11),IF(N$401,N264,N142)),"SCOPE:SERVER"),"RT_FALSE")</f>
        <v>RT_FALSE</v>
      </c>
      <c r="O425" s="270" t="str">
        <f>IF(AND(O$400,COUNTA(O$404:O424)+4&lt;=MATCH(O$402,Tenors_set,0)),_xll.RtContribute(O$403,O$3&amp;"FX"&amp;$C425&amp;"S=","BID",{"BID","ASK"},CHOOSE({1,2},IF(O$401,O264,O142/O$11),IF(O$401,O264,O142)),"SCOPE:SERVER"),"RT_FALSE")</f>
        <v>RT_FALSE</v>
      </c>
      <c r="P425" s="270" t="str">
        <f>IF(AND(P$400,COUNTA(P$404:P424)+4&lt;=MATCH(P$402,Tenors_set,0)),_xll.RtContribute(P$403,P$3&amp;"FX"&amp;$C425&amp;"S=","BID",{"BID","ASK"},CHOOSE({1,2},IF(P$401,P264,P142/P$11),IF(P$401,P264,P142)),"SCOPE:SERVER"),"RT_FALSE")</f>
        <v>RT_FALSE</v>
      </c>
      <c r="Q425" s="270" t="str">
        <f>IF(AND(Q$400,COUNTA(Q$404:Q424)+4&lt;=MATCH(Q$402,Tenors_set,0)),_xll.RtContribute(Q$403,Q$3&amp;"FX"&amp;$C425&amp;"S=","BID",{"BID","ASK"},CHOOSE({1,2},IF(Q$401,Q264,Q142/Q$11),IF(Q$401,Q264,Q142)),"SCOPE:SERVER"),"RT_FALSE")</f>
        <v>RT_FALSE</v>
      </c>
      <c r="R425" s="270" t="str">
        <f>IF(AND(R$400,COUNTA(R$404:R424)+4&lt;=MATCH(R$402,Tenors_set,0)),_xll.RtContribute(R$403,R$3&amp;"FX"&amp;$C425&amp;"S=","BID",{"BID","ASK"},CHOOSE({1,2},IF(R$401,R264,R142/R$11),IF(R$401,R264,R142)),"SCOPE:SERVER"),"RT_FALSE")</f>
        <v>RT_FALSE</v>
      </c>
      <c r="S425" s="270" t="str">
        <f>IF(AND(S$400,COUNTA(S$404:S424)+4&lt;=MATCH(S$402,Tenors_set,0)),_xll.RtContribute(S$403,S$3&amp;"FX"&amp;$C425&amp;"S=","BID",{"BID","ASK"},CHOOSE({1,2},IF(S$401,S264,S142/S$11),IF(S$401,S264,S142)),"SCOPE:SERVER"),"RT_FALSE")</f>
        <v>RT_FALSE</v>
      </c>
      <c r="T425" s="270" t="str">
        <f>IF(AND(T$400,COUNTA(T$404:T424)+4&lt;=MATCH(T$402,Tenors_set,0)),_xll.RtContribute(T$403,T$3&amp;"FX"&amp;$C425&amp;"S=","BID",{"BID","ASK"},CHOOSE({1,2},IF(T$401,T264,T142/T$11),IF(T$401,T264,T142)),"SCOPE:SERVER"),"RT_FALSE")</f>
        <v>RT_FALSE</v>
      </c>
      <c r="U425" s="270" t="str">
        <f>IF(AND(U$400,COUNTA(U$404:U424)+4&lt;=MATCH(U$402,Tenors_set,0)),_xll.RtContribute(U$403,U$3&amp;"FX"&amp;$C425&amp;"S=","BID",{"BID","ASK"},CHOOSE({1,2},IF(U$401,U264,U142/U$11),IF(U$401,U264,U142)),"SCOPE:SERVER"),"RT_FALSE")</f>
        <v>RT_FALSE</v>
      </c>
      <c r="V425" s="270" t="str">
        <f>IF(AND(V$400,COUNTA(V$404:V424)+4&lt;=MATCH(V$402,Tenors_set,0)),_xll.RtContribute(V$403,V$3&amp;"FX"&amp;$C425&amp;"S=","BID",{"BID","ASK"},CHOOSE({1,2},IF(V$401,V264,V142/V$11),IF(V$401,V264,V142)),"SCOPE:SERVER"),"RT_FALSE")</f>
        <v>RT_FALSE</v>
      </c>
      <c r="W425" s="270" t="str">
        <f>IF(AND(W$400,COUNTA(W$404:W424)+4&lt;=MATCH(W$402,Tenors_set,0)),_xll.RtContribute(W$403,W$3&amp;"FX"&amp;$C425&amp;"S=","BID",{"BID","ASK"},CHOOSE({1,2},IF(W$401,W264,W142/W$11),IF(W$401,W264,W142)),"SCOPE:SERVER"),"RT_FALSE")</f>
        <v>RT_FALSE</v>
      </c>
      <c r="X425" s="270" t="str">
        <f>IF(AND(X$400,COUNTA(X$404:X424)+4&lt;=MATCH(X$402,Tenors_set,0)),_xll.RtContribute(X$403,X$3&amp;"FX"&amp;$C425&amp;"S=","BID",{"BID","ASK"},CHOOSE({1,2},IF(X$401,X264,X142/X$11),IF(X$401,X264,X142)),"SCOPE:SERVER"),"RT_FALSE")</f>
        <v>RT_FALSE</v>
      </c>
      <c r="Y425" s="270" t="str">
        <f>IF(AND(Y$400,COUNTA(Y$404:Y424)+4&lt;=MATCH(Y$402,Tenors_set,0)),_xll.RtContribute(Y$403,Y$3&amp;"FX"&amp;$C425&amp;"S=","BID",{"BID","ASK"},CHOOSE({1,2},IF(Y$401,Y264,Y142/Y$11),IF(Y$401,Y264,Y142)),"SCOPE:SERVER"),"RT_FALSE")</f>
        <v>RT_FALSE</v>
      </c>
      <c r="Z425" s="270" t="str">
        <f>IF(AND(Z$400,COUNTA(Z$404:Z424)+4&lt;=MATCH(Z$402,Tenors_set,0)),_xll.RtContribute(Z$403,Z$3&amp;"FX"&amp;$C425&amp;"S=","BID",{"BID","ASK"},CHOOSE({1,2},IF(Z$401,Z264,Z142/Z$11),IF(Z$401,Z264,Z142)),"SCOPE:SERVER"),"RT_FALSE")</f>
        <v>RT_FALSE</v>
      </c>
      <c r="AA425" s="270" t="str">
        <f>IF(AND(AA$400,COUNTA(AA$404:AA424)+4&lt;=MATCH(AA$402,Tenors_set,0)),_xll.RtContribute(AA$403,AA$3&amp;"FX"&amp;$C425&amp;"S=","BID",{"BID","ASK"},CHOOSE({1,2},IF(AA$401,AA264,AA142/AA$11),IF(AA$401,AA264,AA142)),"SCOPE:SERVER"),"RT_FALSE")</f>
        <v>RT_FALSE</v>
      </c>
      <c r="AB425" s="270" t="str">
        <f>IF(AND(AB$400,COUNTA(AB$404:AB424)+4&lt;=MATCH(AB$402,Tenors_set,0)),_xll.RtContribute(AB$403,AB$3&amp;"FX"&amp;$C425&amp;"S=","BID",{"BID","ASK"},CHOOSE({1,2},IF(AB$401,AB264,AB142/AB$11),IF(AB$401,AB264,AB142)),"SCOPE:SERVER"),"RT_FALSE")</f>
        <v>RT_FALSE</v>
      </c>
      <c r="AC425" s="270" t="str">
        <f>IF(AND(AC$400,COUNTA(AC$404:AC424)+4&lt;=MATCH(AC$402,Tenors_set,0)),_xll.RtContribute(AC$403,AC$3&amp;"FX"&amp;$C425&amp;"S=","BID",{"BID","ASK"},CHOOSE({1,2},IF(AC$401,AC264,AC142/AC$11),IF(AC$401,AC264,AC142)),"SCOPE:SERVER"),"RT_FALSE")</f>
        <v>RT_FALSE</v>
      </c>
      <c r="AD425" s="270" t="str">
        <f>IF(AND(AD$400,COUNTA(AD$404:AD424)+4&lt;=MATCH(AD$402,Tenors_set,0)),_xll.RtContribute(AD$403,AD$3&amp;"FX"&amp;$C425&amp;"S=","BID",{"BID","ASK"},CHOOSE({1,2},IF(AD$401,AD264,AD142/AD$11),IF(AD$401,AD264,AD142)),"SCOPE:SERVER"),"RT_FALSE")</f>
        <v>RT_FALSE</v>
      </c>
      <c r="AE425" s="270" t="str">
        <f>IF(AND(AE$400,COUNTA(AE$404:AE424)+4&lt;=MATCH(AE$402,Tenors_set,0)),_xll.RtContribute(AE$403,AE$3&amp;"FX"&amp;$C425&amp;"S=","BID",{"BID","ASK"},CHOOSE({1,2},IF(AE$401,AE264,AE142/AE$11),IF(AE$401,AE264,AE142)),"SCOPE:SERVER"),"RT_FALSE")</f>
        <v>RT_FALSE</v>
      </c>
      <c r="AF425" s="270" t="str">
        <f>IF(AND(AF$400,COUNTA(AF$404:AF424)+4&lt;=MATCH(AF$402,Tenors_set,0)),_xll.RtContribute(AF$403,AF$3&amp;"FX"&amp;$C425&amp;"S=","BID",{"BID","ASK"},CHOOSE({1,2},IF(AF$401,AF264,AF142/AF$11),IF(AF$401,AF264,AF142)),"SCOPE:SERVER"),"RT_FALSE")</f>
        <v>RT_FALSE</v>
      </c>
      <c r="AG425" s="270" t="str">
        <f>IF(AND(AG$400,COUNTA(AG$404:AG424)+4&lt;=MATCH(AG$402,Tenors_set,0)),_xll.RtContribute(AG$403,AG$3&amp;"FX"&amp;$C425&amp;"S=","BID",{"BID","ASK"},CHOOSE({1,2},IF(AG$401,AG264,AG142/AG$11),IF(AG$401,AG264,AG142)),"SCOPE:SERVER"),"RT_FALSE")</f>
        <v>RT_FALSE</v>
      </c>
      <c r="AH425" s="270" t="str">
        <f>IF(AND(AH$400,COUNTA(AH$404:AH424)+4&lt;=MATCH(AH$402,Tenors_set,0)),_xll.RtContribute(AH$403,AH$3&amp;"FX"&amp;$C425&amp;"S=","BID",{"BID","ASK"},CHOOSE({1,2},IF(AH$401,AH264,AH142/AH$11),IF(AH$401,AH264,AH142)),"SCOPE:SERVER"),"RT_FALSE")</f>
        <v>RT_FALSE</v>
      </c>
      <c r="AI425" s="270" t="str">
        <f>IF(AND(AI$400,COUNTA(AI$404:AI424)+4&lt;=MATCH(AI$402,Tenors_set,0)),_xll.RtContribute(AI$403,AI$3&amp;"FX"&amp;$C425&amp;"S=","BID",{"BID","ASK"},CHOOSE({1,2},IF(AI$401,AI264,AI142/AI$11),IF(AI$401,AI264,AI142)),"SCOPE:SERVER"),"RT_FALSE")</f>
        <v>RT_FALSE</v>
      </c>
      <c r="AJ425" s="270" t="str">
        <f>IF(AND(AJ$400,COUNTA(AJ$404:AJ424)+4&lt;=MATCH(AJ$402,Tenors_set,0)),_xll.RtContribute(AJ$403,AJ$3&amp;"FX"&amp;$C425&amp;"S=","BID",{"BID","ASK"},CHOOSE({1,2},IF(AJ$401,AJ264,AJ142/AJ$11),IF(AJ$401,AJ264,AJ142)),"SCOPE:SERVER"),"RT_FALSE")</f>
        <v>RT_FALSE</v>
      </c>
      <c r="AK425" s="270" t="str">
        <f>IF(AND(AK$400,COUNTA(AK$404:AK424)+4&lt;=MATCH(AK$402,Tenors_set,0)),_xll.RtContribute(AK$403,AK$3&amp;"FX"&amp;$C425&amp;"S=","BID",{"BID","ASK"},CHOOSE({1,2},IF(AK$401,AK264,AK142/AK$11),IF(AK$401,AK264,AK142)),"SCOPE:SERVER"),"RT_FALSE")</f>
        <v>RT_FALSE</v>
      </c>
      <c r="AL425" s="270" t="str">
        <f>IF(AND(AL$400,COUNTA(AL$404:AL424)+4&lt;=MATCH(AL$402,Tenors_set,0)),_xll.RtContribute(AL$403,AL$3&amp;"FX"&amp;$C425&amp;"S=","BID",{"BID","ASK"},CHOOSE({1,2},IF(AL$401,AL264,AL142/AL$11),IF(AL$401,AL264,AL142)),"SCOPE:SERVER"),"RT_FALSE")</f>
        <v>RT_FALSE</v>
      </c>
      <c r="AM425" s="270" t="str">
        <f>IF(AND(AM$400,COUNTA(AM$404:AM424)+4&lt;=MATCH(AM$402,Tenors_set,0)),_xll.RtContribute(AM$403,AM$3&amp;"FX"&amp;$C425&amp;"S=","BID",{"BID","ASK"},CHOOSE({1,2},IF(AM$401,AM264,AM142/AM$11),IF(AM$401,AM264,AM142)),"SCOPE:SERVER"),"RT_FALSE")</f>
        <v>RT_FALSE</v>
      </c>
      <c r="AN425" s="270" t="str">
        <f>IF(AND(AN$400,COUNTA(AN$404:AN424)+4&lt;=MATCH(AN$402,Tenors_set,0)),_xll.RtContribute(AN$403,AN$3&amp;"FX"&amp;$C425&amp;"S=","BID",{"BID","ASK"},CHOOSE({1,2},IF(AN$401,AN264,AN142/AN$11),IF(AN$401,AN264,AN142)),"SCOPE:SERVER"),"RT_FALSE")</f>
        <v>RT_FALSE</v>
      </c>
      <c r="AO425" s="270" t="str">
        <f>IF(AND(AO$400,COUNTA(AO$404:AO424)+4&lt;=MATCH(AO$402,Tenors_set,0)),_xll.RtContribute(AO$403,AO$3&amp;"FX"&amp;$C425&amp;"S=","BID",{"BID","ASK"},CHOOSE({1,2},IF(AO$401,AO264,AO142/AO$11),IF(AO$401,AO264,AO142)),"SCOPE:SERVER"),"RT_FALSE")</f>
        <v>RT_FALSE</v>
      </c>
      <c r="AP425" s="270" t="str">
        <f>IF(AND(AP$400,COUNTA(AP$404:AP424)+4&lt;=MATCH(AP$402,Tenors_set,0)),_xll.RtContribute(AP$403,AP$3&amp;"FX"&amp;$C425&amp;"S=","BID",{"BID","ASK"},CHOOSE({1,2},IF(AP$401,AP264,AP142/AP$11),IF(AP$401,AP264,AP142)),"SCOPE:SERVER"),"RT_FALSE")</f>
        <v>RT_FALSE</v>
      </c>
    </row>
    <row r="426" spans="3:42" x14ac:dyDescent="0.2">
      <c r="C426" s="1" t="s">
        <v>153</v>
      </c>
      <c r="E426" s="1" t="str">
        <f>IF(AND(E$400,COUNTA(E$404:E425)+4&lt;=MATCH(E$402,Tenors_set,0)),_xll.RtContribute(E$403,E$3&amp;"FX"&amp;$C426&amp;"S=","BID",{"BID","ASK"},CHOOSE({1,2},IF(E$401,E265,E143/E$11),IF(E$401,E265,E143)),"SCOPE:SERVER"),"RT_FALSE")</f>
        <v>RT_FALSE</v>
      </c>
      <c r="F426" s="1" t="str">
        <f>IF(AND(F$400,COUNTA(F$404:F425)+4&lt;=MATCH(F$402,Tenors_set,0)),_xll.RtContribute(F$403,F$3&amp;"FX"&amp;$C426&amp;"S=","BID",{"BID","ASK"},CHOOSE({1,2},IF(F$401,F265,F143/F$11),IF(F$401,F265,F143)),"SCOPE:SERVER"),"RT_FALSE")</f>
        <v>RT_FALSE</v>
      </c>
      <c r="G426" s="1" t="str">
        <f>IF(AND(G$400,COUNTA(G$404:G425)+4&lt;=MATCH(G$402,Tenors_set,0)),_xll.RtContribute(G$403,G$3&amp;"FX"&amp;$C426&amp;"S=","BID",{"BID","ASK"},CHOOSE({1,2},IF(G$401,G265,G143/G$11),IF(G$401,G265,G143)),"SCOPE:SERVER"),"RT_FALSE")</f>
        <v>RT_FALSE</v>
      </c>
      <c r="H426" s="1" t="str">
        <f>IF(AND(H$400,COUNTA(H$404:H425)+4&lt;=MATCH(H$402,Tenors_set,0)),_xll.RtContribute(H$403,H$3&amp;"FX"&amp;$C426&amp;"S=","BID",{"BID","ASK"},CHOOSE({1,2},IF(H$401,H265,H143/H$11),IF(H$401,H265,H143)),"SCOPE:SERVER"),"RT_FALSE")</f>
        <v>RT_FALSE</v>
      </c>
      <c r="I426" s="1" t="str">
        <f>IF(AND(I$400,COUNTA(I$404:I425)+4&lt;=MATCH(I$402,Tenors_set,0)),_xll.RtContribute(I$403,I$3&amp;"FX"&amp;$C426&amp;"S=","BID",{"BID","ASK"},CHOOSE({1,2},IF(I$401,I265,I143/I$11),IF(I$401,I265,I143)),"SCOPE:SERVER"),"RT_FALSE")</f>
        <v>RT_FALSE</v>
      </c>
      <c r="J426" s="1" t="str">
        <f>IF(AND(J$400,COUNTA(J$404:J425)+4&lt;=MATCH(J$402,Tenors_set,0)),_xll.RtContribute(J$403,J$3&amp;"FX"&amp;$C426&amp;"S=","BID",{"BID","ASK"},CHOOSE({1,2},IF(J$401,J265,J143/J$11),IF(J$401,J265,J143)),"SCOPE:SERVER"),"RT_FALSE")</f>
        <v>RT_FALSE</v>
      </c>
      <c r="K426" s="1" t="str">
        <f>IF(AND(K$400,COUNTA(K$404:K425)+4&lt;=MATCH(K$402,Tenors_set,0)),_xll.RtContribute(K$403,K$3&amp;"FX"&amp;$C426&amp;"S=","BID",{"BID","ASK"},CHOOSE({1,2},IF(K$401,K265,K143/K$11),IF(K$401,K265,K143)),"SCOPE:SERVER"),"RT_FALSE")</f>
        <v>RT_FALSE</v>
      </c>
      <c r="L426" s="1" t="str">
        <f>IF(AND(L$400,COUNTA(L$404:L425)+4&lt;=MATCH(L$402,Tenors_set,0)),_xll.RtContribute(L$403,L$3&amp;"FX"&amp;$C426&amp;"S=","BID",{"BID","ASK"},CHOOSE({1,2},IF(L$401,L265,L143/L$11),IF(L$401,L265,L143)),"SCOPE:SERVER"),"RT_FALSE")</f>
        <v>RT_FALSE</v>
      </c>
      <c r="M426" s="1" t="str">
        <f>IF(AND(M$400,COUNTA(M$404:M425)+4&lt;=MATCH(M$402,Tenors_set,0)),_xll.RtContribute(M$403,M$3&amp;"FX"&amp;$C426&amp;"S=","BID",{"BID","ASK"},CHOOSE({1,2},IF(M$401,M265,M143/M$11),IF(M$401,M265,M143)),"SCOPE:SERVER"),"RT_FALSE")</f>
        <v>RT_FALSE</v>
      </c>
      <c r="N426" s="1" t="str">
        <f>IF(AND(N$400,COUNTA(N$404:N425)+4&lt;=MATCH(N$402,Tenors_set,0)),_xll.RtContribute(N$403,N$3&amp;"FX"&amp;$C426&amp;"S=","BID",{"BID","ASK"},CHOOSE({1,2},IF(N$401,N265,N143/N$11),IF(N$401,N265,N143)),"SCOPE:SERVER"),"RT_FALSE")</f>
        <v>RT_FALSE</v>
      </c>
      <c r="O426" s="1" t="str">
        <f>IF(AND(O$400,COUNTA(O$404:O425)+4&lt;=MATCH(O$402,Tenors_set,0)),_xll.RtContribute(O$403,O$3&amp;"FX"&amp;$C426&amp;"S=","BID",{"BID","ASK"},CHOOSE({1,2},IF(O$401,O265,O143/O$11),IF(O$401,O265,O143)),"SCOPE:SERVER"),"RT_FALSE")</f>
        <v>RT_FALSE</v>
      </c>
      <c r="P426" s="1" t="str">
        <f>IF(AND(P$400,COUNTA(P$404:P425)+4&lt;=MATCH(P$402,Tenors_set,0)),_xll.RtContribute(P$403,P$3&amp;"FX"&amp;$C426&amp;"S=","BID",{"BID","ASK"},CHOOSE({1,2},IF(P$401,P265,P143/P$11),IF(P$401,P265,P143)),"SCOPE:SERVER"),"RT_FALSE")</f>
        <v>RT_FALSE</v>
      </c>
      <c r="Q426" s="1" t="str">
        <f>IF(AND(Q$400,COUNTA(Q$404:Q425)+4&lt;=MATCH(Q$402,Tenors_set,0)),_xll.RtContribute(Q$403,Q$3&amp;"FX"&amp;$C426&amp;"S=","BID",{"BID","ASK"},CHOOSE({1,2},IF(Q$401,Q265,Q143/Q$11),IF(Q$401,Q265,Q143)),"SCOPE:SERVER"),"RT_FALSE")</f>
        <v>RT_FALSE</v>
      </c>
      <c r="R426" s="1" t="str">
        <f>IF(AND(R$400,COUNTA(R$404:R425)+4&lt;=MATCH(R$402,Tenors_set,0)),_xll.RtContribute(R$403,R$3&amp;"FX"&amp;$C426&amp;"S=","BID",{"BID","ASK"},CHOOSE({1,2},IF(R$401,R265,R143/R$11),IF(R$401,R265,R143)),"SCOPE:SERVER"),"RT_FALSE")</f>
        <v>RT_FALSE</v>
      </c>
      <c r="S426" s="1" t="str">
        <f>IF(AND(S$400,COUNTA(S$404:S425)+4&lt;=MATCH(S$402,Tenors_set,0)),_xll.RtContribute(S$403,S$3&amp;"FX"&amp;$C426&amp;"S=","BID",{"BID","ASK"},CHOOSE({1,2},IF(S$401,S265,S143/S$11),IF(S$401,S265,S143)),"SCOPE:SERVER"),"RT_FALSE")</f>
        <v>RT_FALSE</v>
      </c>
      <c r="T426" s="1" t="str">
        <f>IF(AND(T$400,COUNTA(T$404:T425)+4&lt;=MATCH(T$402,Tenors_set,0)),_xll.RtContribute(T$403,T$3&amp;"FX"&amp;$C426&amp;"S=","BID",{"BID","ASK"},CHOOSE({1,2},IF(T$401,T265,T143/T$11),IF(T$401,T265,T143)),"SCOPE:SERVER"),"RT_FALSE")</f>
        <v>RT_FALSE</v>
      </c>
      <c r="U426" s="1" t="str">
        <f>IF(AND(U$400,COUNTA(U$404:U425)+4&lt;=MATCH(U$402,Tenors_set,0)),_xll.RtContribute(U$403,U$3&amp;"FX"&amp;$C426&amp;"S=","BID",{"BID","ASK"},CHOOSE({1,2},IF(U$401,U265,U143/U$11),IF(U$401,U265,U143)),"SCOPE:SERVER"),"RT_FALSE")</f>
        <v>RT_FALSE</v>
      </c>
      <c r="V426" s="1" t="str">
        <f>IF(AND(V$400,COUNTA(V$404:V425)+4&lt;=MATCH(V$402,Tenors_set,0)),_xll.RtContribute(V$403,V$3&amp;"FX"&amp;$C426&amp;"S=","BID",{"BID","ASK"},CHOOSE({1,2},IF(V$401,V265,V143/V$11),IF(V$401,V265,V143)),"SCOPE:SERVER"),"RT_FALSE")</f>
        <v>RT_FALSE</v>
      </c>
      <c r="W426" s="1" t="str">
        <f>IF(AND(W$400,COUNTA(W$404:W425)+4&lt;=MATCH(W$402,Tenors_set,0)),_xll.RtContribute(W$403,W$3&amp;"FX"&amp;$C426&amp;"S=","BID",{"BID","ASK"},CHOOSE({1,2},IF(W$401,W265,W143/W$11),IF(W$401,W265,W143)),"SCOPE:SERVER"),"RT_FALSE")</f>
        <v>RT_FALSE</v>
      </c>
      <c r="X426" s="1" t="str">
        <f>IF(AND(X$400,COUNTA(X$404:X425)+4&lt;=MATCH(X$402,Tenors_set,0)),_xll.RtContribute(X$403,X$3&amp;"FX"&amp;$C426&amp;"S=","BID",{"BID","ASK"},CHOOSE({1,2},IF(X$401,X265,X143/X$11),IF(X$401,X265,X143)),"SCOPE:SERVER"),"RT_FALSE")</f>
        <v>RT_FALSE</v>
      </c>
      <c r="Y426" s="1" t="str">
        <f>IF(AND(Y$400,COUNTA(Y$404:Y425)+4&lt;=MATCH(Y$402,Tenors_set,0)),_xll.RtContribute(Y$403,Y$3&amp;"FX"&amp;$C426&amp;"S=","BID",{"BID","ASK"},CHOOSE({1,2},IF(Y$401,Y265,Y143/Y$11),IF(Y$401,Y265,Y143)),"SCOPE:SERVER"),"RT_FALSE")</f>
        <v>RT_FALSE</v>
      </c>
      <c r="Z426" s="1" t="str">
        <f>IF(AND(Z$400,COUNTA(Z$404:Z425)+4&lt;=MATCH(Z$402,Tenors_set,0)),_xll.RtContribute(Z$403,Z$3&amp;"FX"&amp;$C426&amp;"S=","BID",{"BID","ASK"},CHOOSE({1,2},IF(Z$401,Z265,Z143/Z$11),IF(Z$401,Z265,Z143)),"SCOPE:SERVER"),"RT_FALSE")</f>
        <v>RT_FALSE</v>
      </c>
      <c r="AA426" s="1" t="str">
        <f>IF(AND(AA$400,COUNTA(AA$404:AA425)+4&lt;=MATCH(AA$402,Tenors_set,0)),_xll.RtContribute(AA$403,AA$3&amp;"FX"&amp;$C426&amp;"S=","BID",{"BID","ASK"},CHOOSE({1,2},IF(AA$401,AA265,AA143/AA$11),IF(AA$401,AA265,AA143)),"SCOPE:SERVER"),"RT_FALSE")</f>
        <v>RT_FALSE</v>
      </c>
      <c r="AB426" s="1" t="str">
        <f>IF(AND(AB$400,COUNTA(AB$404:AB425)+4&lt;=MATCH(AB$402,Tenors_set,0)),_xll.RtContribute(AB$403,AB$3&amp;"FX"&amp;$C426&amp;"S=","BID",{"BID","ASK"},CHOOSE({1,2},IF(AB$401,AB265,AB143/AB$11),IF(AB$401,AB265,AB143)),"SCOPE:SERVER"),"RT_FALSE")</f>
        <v>RT_FALSE</v>
      </c>
      <c r="AC426" s="1" t="str">
        <f>IF(AND(AC$400,COUNTA(AC$404:AC425)+4&lt;=MATCH(AC$402,Tenors_set,0)),_xll.RtContribute(AC$403,AC$3&amp;"FX"&amp;$C426&amp;"S=","BID",{"BID","ASK"},CHOOSE({1,2},IF(AC$401,AC265,AC143/AC$11),IF(AC$401,AC265,AC143)),"SCOPE:SERVER"),"RT_FALSE")</f>
        <v>RT_FALSE</v>
      </c>
      <c r="AD426" s="1" t="str">
        <f>IF(AND(AD$400,COUNTA(AD$404:AD425)+4&lt;=MATCH(AD$402,Tenors_set,0)),_xll.RtContribute(AD$403,AD$3&amp;"FX"&amp;$C426&amp;"S=","BID",{"BID","ASK"},CHOOSE({1,2},IF(AD$401,AD265,AD143/AD$11),IF(AD$401,AD265,AD143)),"SCOPE:SERVER"),"RT_FALSE")</f>
        <v>RT_FALSE</v>
      </c>
      <c r="AE426" s="1" t="str">
        <f>IF(AND(AE$400,COUNTA(AE$404:AE425)+4&lt;=MATCH(AE$402,Tenors_set,0)),_xll.RtContribute(AE$403,AE$3&amp;"FX"&amp;$C426&amp;"S=","BID",{"BID","ASK"},CHOOSE({1,2},IF(AE$401,AE265,AE143/AE$11),IF(AE$401,AE265,AE143)),"SCOPE:SERVER"),"RT_FALSE")</f>
        <v>RT_FALSE</v>
      </c>
      <c r="AF426" s="1" t="str">
        <f>IF(AND(AF$400,COUNTA(AF$404:AF425)+4&lt;=MATCH(AF$402,Tenors_set,0)),_xll.RtContribute(AF$403,AF$3&amp;"FX"&amp;$C426&amp;"S=","BID",{"BID","ASK"},CHOOSE({1,2},IF(AF$401,AF265,AF143/AF$11),IF(AF$401,AF265,AF143)),"SCOPE:SERVER"),"RT_FALSE")</f>
        <v>RT_FALSE</v>
      </c>
      <c r="AG426" s="1" t="str">
        <f>IF(AND(AG$400,COUNTA(AG$404:AG425)+4&lt;=MATCH(AG$402,Tenors_set,0)),_xll.RtContribute(AG$403,AG$3&amp;"FX"&amp;$C426&amp;"S=","BID",{"BID","ASK"},CHOOSE({1,2},IF(AG$401,AG265,AG143/AG$11),IF(AG$401,AG265,AG143)),"SCOPE:SERVER"),"RT_FALSE")</f>
        <v>RT_FALSE</v>
      </c>
      <c r="AH426" s="1" t="str">
        <f>IF(AND(AH$400,COUNTA(AH$404:AH425)+4&lt;=MATCH(AH$402,Tenors_set,0)),_xll.RtContribute(AH$403,AH$3&amp;"FX"&amp;$C426&amp;"S=","BID",{"BID","ASK"},CHOOSE({1,2},IF(AH$401,AH265,AH143/AH$11),IF(AH$401,AH265,AH143)),"SCOPE:SERVER"),"RT_FALSE")</f>
        <v>RT_FALSE</v>
      </c>
      <c r="AI426" s="1" t="str">
        <f>IF(AND(AI$400,COUNTA(AI$404:AI425)+4&lt;=MATCH(AI$402,Tenors_set,0)),_xll.RtContribute(AI$403,AI$3&amp;"FX"&amp;$C426&amp;"S=","BID",{"BID","ASK"},CHOOSE({1,2},IF(AI$401,AI265,AI143/AI$11),IF(AI$401,AI265,AI143)),"SCOPE:SERVER"),"RT_FALSE")</f>
        <v>RT_FALSE</v>
      </c>
      <c r="AJ426" s="1" t="str">
        <f>IF(AND(AJ$400,COUNTA(AJ$404:AJ425)+4&lt;=MATCH(AJ$402,Tenors_set,0)),_xll.RtContribute(AJ$403,AJ$3&amp;"FX"&amp;$C426&amp;"S=","BID",{"BID","ASK"},CHOOSE({1,2},IF(AJ$401,AJ265,AJ143/AJ$11),IF(AJ$401,AJ265,AJ143)),"SCOPE:SERVER"),"RT_FALSE")</f>
        <v>RT_FALSE</v>
      </c>
      <c r="AK426" s="1" t="str">
        <f>IF(AND(AK$400,COUNTA(AK$404:AK425)+4&lt;=MATCH(AK$402,Tenors_set,0)),_xll.RtContribute(AK$403,AK$3&amp;"FX"&amp;$C426&amp;"S=","BID",{"BID","ASK"},CHOOSE({1,2},IF(AK$401,AK265,AK143/AK$11),IF(AK$401,AK265,AK143)),"SCOPE:SERVER"),"RT_FALSE")</f>
        <v>RT_FALSE</v>
      </c>
      <c r="AL426" s="1" t="str">
        <f>IF(AND(AL$400,COUNTA(AL$404:AL425)+4&lt;=MATCH(AL$402,Tenors_set,0)),_xll.RtContribute(AL$403,AL$3&amp;"FX"&amp;$C426&amp;"S=","BID",{"BID","ASK"},CHOOSE({1,2},IF(AL$401,AL265,AL143/AL$11),IF(AL$401,AL265,AL143)),"SCOPE:SERVER"),"RT_FALSE")</f>
        <v>RT_FALSE</v>
      </c>
      <c r="AM426" s="1" t="str">
        <f>IF(AND(AM$400,COUNTA(AM$404:AM425)+4&lt;=MATCH(AM$402,Tenors_set,0)),_xll.RtContribute(AM$403,AM$3&amp;"FX"&amp;$C426&amp;"S=","BID",{"BID","ASK"},CHOOSE({1,2},IF(AM$401,AM265,AM143/AM$11),IF(AM$401,AM265,AM143)),"SCOPE:SERVER"),"RT_FALSE")</f>
        <v>RT_FALSE</v>
      </c>
      <c r="AN426" s="1" t="str">
        <f>IF(AND(AN$400,COUNTA(AN$404:AN425)+4&lt;=MATCH(AN$402,Tenors_set,0)),_xll.RtContribute(AN$403,AN$3&amp;"FX"&amp;$C426&amp;"S=","BID",{"BID","ASK"},CHOOSE({1,2},IF(AN$401,AN265,AN143/AN$11),IF(AN$401,AN265,AN143)),"SCOPE:SERVER"),"RT_FALSE")</f>
        <v>RT_FALSE</v>
      </c>
      <c r="AO426" s="1" t="str">
        <f>IF(AND(AO$400,COUNTA(AO$404:AO425)+4&lt;=MATCH(AO$402,Tenors_set,0)),_xll.RtContribute(AO$403,AO$3&amp;"FX"&amp;$C426&amp;"S=","BID",{"BID","ASK"},CHOOSE({1,2},IF(AO$401,AO265,AO143/AO$11),IF(AO$401,AO265,AO143)),"SCOPE:SERVER"),"RT_FALSE")</f>
        <v>RT_FALSE</v>
      </c>
      <c r="AP426" s="1" t="str">
        <f>IF(AND(AP$400,COUNTA(AP$404:AP425)+4&lt;=MATCH(AP$402,Tenors_set,0)),_xll.RtContribute(AP$403,AP$3&amp;"FX"&amp;$C426&amp;"S=","BID",{"BID","ASK"},CHOOSE({1,2},IF(AP$401,AP265,AP143/AP$11),IF(AP$401,AP265,AP143)),"SCOPE:SERVER"),"RT_FALSE")</f>
        <v>RT_FALSE</v>
      </c>
    </row>
    <row r="427" spans="3:42" x14ac:dyDescent="0.2">
      <c r="C427" s="1" t="s">
        <v>156</v>
      </c>
      <c r="E427" s="1" t="str">
        <f>IF(AND(E$400,COUNTA(E$404:E426)+4&lt;=MATCH(E$402,Tenors_set,0)),_xll.RtContribute(E$403,E$3&amp;"FX"&amp;$C427&amp;"S=","BID",{"BID","ASK"},CHOOSE({1,2},IF(E$401,E266,E144/E$11),IF(E$401,E266,E144)),"SCOPE:SERVER"),"RT_FALSE")</f>
        <v>RT_FALSE</v>
      </c>
      <c r="F427" s="1" t="str">
        <f>IF(AND(F$400,COUNTA(F$404:F426)+4&lt;=MATCH(F$402,Tenors_set,0)),_xll.RtContribute(F$403,F$3&amp;"FX"&amp;$C427&amp;"S=","BID",{"BID","ASK"},CHOOSE({1,2},IF(F$401,F266,F144/F$11),IF(F$401,F266,F144)),"SCOPE:SERVER"),"RT_FALSE")</f>
        <v>RT_FALSE</v>
      </c>
      <c r="G427" s="1" t="str">
        <f>IF(AND(G$400,COUNTA(G$404:G426)+4&lt;=MATCH(G$402,Tenors_set,0)),_xll.RtContribute(G$403,G$3&amp;"FX"&amp;$C427&amp;"S=","BID",{"BID","ASK"},CHOOSE({1,2},IF(G$401,G266,G144/G$11),IF(G$401,G266,G144)),"SCOPE:SERVER"),"RT_FALSE")</f>
        <v>RT_FALSE</v>
      </c>
      <c r="H427" s="1" t="str">
        <f>IF(AND(H$400,COUNTA(H$404:H426)+4&lt;=MATCH(H$402,Tenors_set,0)),_xll.RtContribute(H$403,H$3&amp;"FX"&amp;$C427&amp;"S=","BID",{"BID","ASK"},CHOOSE({1,2},IF(H$401,H266,H144/H$11),IF(H$401,H266,H144)),"SCOPE:SERVER"),"RT_FALSE")</f>
        <v>RT_FALSE</v>
      </c>
      <c r="I427" s="1" t="str">
        <f>IF(AND(I$400,COUNTA(I$404:I426)+4&lt;=MATCH(I$402,Tenors_set,0)),_xll.RtContribute(I$403,I$3&amp;"FX"&amp;$C427&amp;"S=","BID",{"BID","ASK"},CHOOSE({1,2},IF(I$401,I266,I144/I$11),IF(I$401,I266,I144)),"SCOPE:SERVER"),"RT_FALSE")</f>
        <v>RT_FALSE</v>
      </c>
      <c r="J427" s="1" t="str">
        <f>IF(AND(J$400,COUNTA(J$404:J426)+4&lt;=MATCH(J$402,Tenors_set,0)),_xll.RtContribute(J$403,J$3&amp;"FX"&amp;$C427&amp;"S=","BID",{"BID","ASK"},CHOOSE({1,2},IF(J$401,J266,J144/J$11),IF(J$401,J266,J144)),"SCOPE:SERVER"),"RT_FALSE")</f>
        <v>RT_FALSE</v>
      </c>
      <c r="K427" s="1" t="str">
        <f>IF(AND(K$400,COUNTA(K$404:K426)+4&lt;=MATCH(K$402,Tenors_set,0)),_xll.RtContribute(K$403,K$3&amp;"FX"&amp;$C427&amp;"S=","BID",{"BID","ASK"},CHOOSE({1,2},IF(K$401,K266,K144/K$11),IF(K$401,K266,K144)),"SCOPE:SERVER"),"RT_FALSE")</f>
        <v>RT_FALSE</v>
      </c>
      <c r="L427" s="1" t="str">
        <f>IF(AND(L$400,COUNTA(L$404:L426)+4&lt;=MATCH(L$402,Tenors_set,0)),_xll.RtContribute(L$403,L$3&amp;"FX"&amp;$C427&amp;"S=","BID",{"BID","ASK"},CHOOSE({1,2},IF(L$401,L266,L144/L$11),IF(L$401,L266,L144)),"SCOPE:SERVER"),"RT_FALSE")</f>
        <v>RT_FALSE</v>
      </c>
      <c r="M427" s="1" t="str">
        <f>IF(AND(M$400,COUNTA(M$404:M426)+4&lt;=MATCH(M$402,Tenors_set,0)),_xll.RtContribute(M$403,M$3&amp;"FX"&amp;$C427&amp;"S=","BID",{"BID","ASK"},CHOOSE({1,2},IF(M$401,M266,M144/M$11),IF(M$401,M266,M144)),"SCOPE:SERVER"),"RT_FALSE")</f>
        <v>RT_FALSE</v>
      </c>
      <c r="N427" s="1" t="str">
        <f>IF(AND(N$400,COUNTA(N$404:N426)+4&lt;=MATCH(N$402,Tenors_set,0)),_xll.RtContribute(N$403,N$3&amp;"FX"&amp;$C427&amp;"S=","BID",{"BID","ASK"},CHOOSE({1,2},IF(N$401,N266,N144/N$11),IF(N$401,N266,N144)),"SCOPE:SERVER"),"RT_FALSE")</f>
        <v>RT_FALSE</v>
      </c>
      <c r="O427" s="1" t="str">
        <f>IF(AND(O$400,COUNTA(O$404:O426)+4&lt;=MATCH(O$402,Tenors_set,0)),_xll.RtContribute(O$403,O$3&amp;"FX"&amp;$C427&amp;"S=","BID",{"BID","ASK"},CHOOSE({1,2},IF(O$401,O266,O144/O$11),IF(O$401,O266,O144)),"SCOPE:SERVER"),"RT_FALSE")</f>
        <v>RT_FALSE</v>
      </c>
      <c r="P427" s="1" t="str">
        <f>IF(AND(P$400,COUNTA(P$404:P426)+4&lt;=MATCH(P$402,Tenors_set,0)),_xll.RtContribute(P$403,P$3&amp;"FX"&amp;$C427&amp;"S=","BID",{"BID","ASK"},CHOOSE({1,2},IF(P$401,P266,P144/P$11),IF(P$401,P266,P144)),"SCOPE:SERVER"),"RT_FALSE")</f>
        <v>RT_FALSE</v>
      </c>
      <c r="Q427" s="1" t="str">
        <f>IF(AND(Q$400,COUNTA(Q$404:Q426)+4&lt;=MATCH(Q$402,Tenors_set,0)),_xll.RtContribute(Q$403,Q$3&amp;"FX"&amp;$C427&amp;"S=","BID",{"BID","ASK"},CHOOSE({1,2},IF(Q$401,Q266,Q144/Q$11),IF(Q$401,Q266,Q144)),"SCOPE:SERVER"),"RT_FALSE")</f>
        <v>RT_FALSE</v>
      </c>
      <c r="R427" s="1" t="str">
        <f>IF(AND(R$400,COUNTA(R$404:R426)+4&lt;=MATCH(R$402,Tenors_set,0)),_xll.RtContribute(R$403,R$3&amp;"FX"&amp;$C427&amp;"S=","BID",{"BID","ASK"},CHOOSE({1,2},IF(R$401,R266,R144/R$11),IF(R$401,R266,R144)),"SCOPE:SERVER"),"RT_FALSE")</f>
        <v>RT_FALSE</v>
      </c>
      <c r="S427" s="1" t="str">
        <f>IF(AND(S$400,COUNTA(S$404:S426)+4&lt;=MATCH(S$402,Tenors_set,0)),_xll.RtContribute(S$403,S$3&amp;"FX"&amp;$C427&amp;"S=","BID",{"BID","ASK"},CHOOSE({1,2},IF(S$401,S266,S144/S$11),IF(S$401,S266,S144)),"SCOPE:SERVER"),"RT_FALSE")</f>
        <v>RT_FALSE</v>
      </c>
      <c r="T427" s="1" t="str">
        <f>IF(AND(T$400,COUNTA(T$404:T426)+4&lt;=MATCH(T$402,Tenors_set,0)),_xll.RtContribute(T$403,T$3&amp;"FX"&amp;$C427&amp;"S=","BID",{"BID","ASK"},CHOOSE({1,2},IF(T$401,T266,T144/T$11),IF(T$401,T266,T144)),"SCOPE:SERVER"),"RT_FALSE")</f>
        <v>RT_FALSE</v>
      </c>
      <c r="U427" s="1" t="str">
        <f>IF(AND(U$400,COUNTA(U$404:U426)+4&lt;=MATCH(U$402,Tenors_set,0)),_xll.RtContribute(U$403,U$3&amp;"FX"&amp;$C427&amp;"S=","BID",{"BID","ASK"},CHOOSE({1,2},IF(U$401,U266,U144/U$11),IF(U$401,U266,U144)),"SCOPE:SERVER"),"RT_FALSE")</f>
        <v>RT_FALSE</v>
      </c>
      <c r="V427" s="1" t="str">
        <f>IF(AND(V$400,COUNTA(V$404:V426)+4&lt;=MATCH(V$402,Tenors_set,0)),_xll.RtContribute(V$403,V$3&amp;"FX"&amp;$C427&amp;"S=","BID",{"BID","ASK"},CHOOSE({1,2},IF(V$401,V266,V144/V$11),IF(V$401,V266,V144)),"SCOPE:SERVER"),"RT_FALSE")</f>
        <v>RT_FALSE</v>
      </c>
      <c r="W427" s="1" t="str">
        <f>IF(AND(W$400,COUNTA(W$404:W426)+4&lt;=MATCH(W$402,Tenors_set,0)),_xll.RtContribute(W$403,W$3&amp;"FX"&amp;$C427&amp;"S=","BID",{"BID","ASK"},CHOOSE({1,2},IF(W$401,W266,W144/W$11),IF(W$401,W266,W144)),"SCOPE:SERVER"),"RT_FALSE")</f>
        <v>RT_FALSE</v>
      </c>
      <c r="X427" s="1" t="str">
        <f>IF(AND(X$400,COUNTA(X$404:X426)+4&lt;=MATCH(X$402,Tenors_set,0)),_xll.RtContribute(X$403,X$3&amp;"FX"&amp;$C427&amp;"S=","BID",{"BID","ASK"},CHOOSE({1,2},IF(X$401,X266,X144/X$11),IF(X$401,X266,X144)),"SCOPE:SERVER"),"RT_FALSE")</f>
        <v>RT_FALSE</v>
      </c>
      <c r="Y427" s="1" t="str">
        <f>IF(AND(Y$400,COUNTA(Y$404:Y426)+4&lt;=MATCH(Y$402,Tenors_set,0)),_xll.RtContribute(Y$403,Y$3&amp;"FX"&amp;$C427&amp;"S=","BID",{"BID","ASK"},CHOOSE({1,2},IF(Y$401,Y266,Y144/Y$11),IF(Y$401,Y266,Y144)),"SCOPE:SERVER"),"RT_FALSE")</f>
        <v>RT_FALSE</v>
      </c>
      <c r="Z427" s="1" t="str">
        <f>IF(AND(Z$400,COUNTA(Z$404:Z426)+4&lt;=MATCH(Z$402,Tenors_set,0)),_xll.RtContribute(Z$403,Z$3&amp;"FX"&amp;$C427&amp;"S=","BID",{"BID","ASK"},CHOOSE({1,2},IF(Z$401,Z266,Z144/Z$11),IF(Z$401,Z266,Z144)),"SCOPE:SERVER"),"RT_FALSE")</f>
        <v>RT_FALSE</v>
      </c>
      <c r="AA427" s="1" t="str">
        <f>IF(AND(AA$400,COUNTA(AA$404:AA426)+4&lt;=MATCH(AA$402,Tenors_set,0)),_xll.RtContribute(AA$403,AA$3&amp;"FX"&amp;$C427&amp;"S=","BID",{"BID","ASK"},CHOOSE({1,2},IF(AA$401,AA266,AA144/AA$11),IF(AA$401,AA266,AA144)),"SCOPE:SERVER"),"RT_FALSE")</f>
        <v>RT_FALSE</v>
      </c>
      <c r="AB427" s="1" t="str">
        <f>IF(AND(AB$400,COUNTA(AB$404:AB426)+4&lt;=MATCH(AB$402,Tenors_set,0)),_xll.RtContribute(AB$403,AB$3&amp;"FX"&amp;$C427&amp;"S=","BID",{"BID","ASK"},CHOOSE({1,2},IF(AB$401,AB266,AB144/AB$11),IF(AB$401,AB266,AB144)),"SCOPE:SERVER"),"RT_FALSE")</f>
        <v>RT_FALSE</v>
      </c>
      <c r="AC427" s="1" t="str">
        <f>IF(AND(AC$400,COUNTA(AC$404:AC426)+4&lt;=MATCH(AC$402,Tenors_set,0)),_xll.RtContribute(AC$403,AC$3&amp;"FX"&amp;$C427&amp;"S=","BID",{"BID","ASK"},CHOOSE({1,2},IF(AC$401,AC266,AC144/AC$11),IF(AC$401,AC266,AC144)),"SCOPE:SERVER"),"RT_FALSE")</f>
        <v>RT_FALSE</v>
      </c>
      <c r="AD427" s="1" t="str">
        <f>IF(AND(AD$400,COUNTA(AD$404:AD426)+4&lt;=MATCH(AD$402,Tenors_set,0)),_xll.RtContribute(AD$403,AD$3&amp;"FX"&amp;$C427&amp;"S=","BID",{"BID","ASK"},CHOOSE({1,2},IF(AD$401,AD266,AD144/AD$11),IF(AD$401,AD266,AD144)),"SCOPE:SERVER"),"RT_FALSE")</f>
        <v>RT_FALSE</v>
      </c>
      <c r="AE427" s="1" t="str">
        <f>IF(AND(AE$400,COUNTA(AE$404:AE426)+4&lt;=MATCH(AE$402,Tenors_set,0)),_xll.RtContribute(AE$403,AE$3&amp;"FX"&amp;$C427&amp;"S=","BID",{"BID","ASK"},CHOOSE({1,2},IF(AE$401,AE266,AE144/AE$11),IF(AE$401,AE266,AE144)),"SCOPE:SERVER"),"RT_FALSE")</f>
        <v>RT_FALSE</v>
      </c>
      <c r="AF427" s="1" t="str">
        <f>IF(AND(AF$400,COUNTA(AF$404:AF426)+4&lt;=MATCH(AF$402,Tenors_set,0)),_xll.RtContribute(AF$403,AF$3&amp;"FX"&amp;$C427&amp;"S=","BID",{"BID","ASK"},CHOOSE({1,2},IF(AF$401,AF266,AF144/AF$11),IF(AF$401,AF266,AF144)),"SCOPE:SERVER"),"RT_FALSE")</f>
        <v>RT_FALSE</v>
      </c>
      <c r="AG427" s="1" t="str">
        <f>IF(AND(AG$400,COUNTA(AG$404:AG426)+4&lt;=MATCH(AG$402,Tenors_set,0)),_xll.RtContribute(AG$403,AG$3&amp;"FX"&amp;$C427&amp;"S=","BID",{"BID","ASK"},CHOOSE({1,2},IF(AG$401,AG266,AG144/AG$11),IF(AG$401,AG266,AG144)),"SCOPE:SERVER"),"RT_FALSE")</f>
        <v>RT_FALSE</v>
      </c>
      <c r="AH427" s="1" t="str">
        <f>IF(AND(AH$400,COUNTA(AH$404:AH426)+4&lt;=MATCH(AH$402,Tenors_set,0)),_xll.RtContribute(AH$403,AH$3&amp;"FX"&amp;$C427&amp;"S=","BID",{"BID","ASK"},CHOOSE({1,2},IF(AH$401,AH266,AH144/AH$11),IF(AH$401,AH266,AH144)),"SCOPE:SERVER"),"RT_FALSE")</f>
        <v>RT_FALSE</v>
      </c>
      <c r="AI427" s="1" t="str">
        <f>IF(AND(AI$400,COUNTA(AI$404:AI426)+4&lt;=MATCH(AI$402,Tenors_set,0)),_xll.RtContribute(AI$403,AI$3&amp;"FX"&amp;$C427&amp;"S=","BID",{"BID","ASK"},CHOOSE({1,2},IF(AI$401,AI266,AI144/AI$11),IF(AI$401,AI266,AI144)),"SCOPE:SERVER"),"RT_FALSE")</f>
        <v>RT_FALSE</v>
      </c>
      <c r="AJ427" s="1" t="str">
        <f>IF(AND(AJ$400,COUNTA(AJ$404:AJ426)+4&lt;=MATCH(AJ$402,Tenors_set,0)),_xll.RtContribute(AJ$403,AJ$3&amp;"FX"&amp;$C427&amp;"S=","BID",{"BID","ASK"},CHOOSE({1,2},IF(AJ$401,AJ266,AJ144/AJ$11),IF(AJ$401,AJ266,AJ144)),"SCOPE:SERVER"),"RT_FALSE")</f>
        <v>RT_FALSE</v>
      </c>
      <c r="AK427" s="1" t="str">
        <f>IF(AND(AK$400,COUNTA(AK$404:AK426)+4&lt;=MATCH(AK$402,Tenors_set,0)),_xll.RtContribute(AK$403,AK$3&amp;"FX"&amp;$C427&amp;"S=","BID",{"BID","ASK"},CHOOSE({1,2},IF(AK$401,AK266,AK144/AK$11),IF(AK$401,AK266,AK144)),"SCOPE:SERVER"),"RT_FALSE")</f>
        <v>RT_FALSE</v>
      </c>
      <c r="AL427" s="1" t="str">
        <f>IF(AND(AL$400,COUNTA(AL$404:AL426)+4&lt;=MATCH(AL$402,Tenors_set,0)),_xll.RtContribute(AL$403,AL$3&amp;"FX"&amp;$C427&amp;"S=","BID",{"BID","ASK"},CHOOSE({1,2},IF(AL$401,AL266,AL144/AL$11),IF(AL$401,AL266,AL144)),"SCOPE:SERVER"),"RT_FALSE")</f>
        <v>RT_FALSE</v>
      </c>
      <c r="AM427" s="1" t="str">
        <f>IF(AND(AM$400,COUNTA(AM$404:AM426)+4&lt;=MATCH(AM$402,Tenors_set,0)),_xll.RtContribute(AM$403,AM$3&amp;"FX"&amp;$C427&amp;"S=","BID",{"BID","ASK"},CHOOSE({1,2},IF(AM$401,AM266,AM144/AM$11),IF(AM$401,AM266,AM144)),"SCOPE:SERVER"),"RT_FALSE")</f>
        <v>RT_FALSE</v>
      </c>
      <c r="AN427" s="1" t="str">
        <f>IF(AND(AN$400,COUNTA(AN$404:AN426)+4&lt;=MATCH(AN$402,Tenors_set,0)),_xll.RtContribute(AN$403,AN$3&amp;"FX"&amp;$C427&amp;"S=","BID",{"BID","ASK"},CHOOSE({1,2},IF(AN$401,AN266,AN144/AN$11),IF(AN$401,AN266,AN144)),"SCOPE:SERVER"),"RT_FALSE")</f>
        <v>RT_FALSE</v>
      </c>
      <c r="AO427" s="1" t="str">
        <f>IF(AND(AO$400,COUNTA(AO$404:AO426)+4&lt;=MATCH(AO$402,Tenors_set,0)),_xll.RtContribute(AO$403,AO$3&amp;"FX"&amp;$C427&amp;"S=","BID",{"BID","ASK"},CHOOSE({1,2},IF(AO$401,AO266,AO144/AO$11),IF(AO$401,AO266,AO144)),"SCOPE:SERVER"),"RT_FALSE")</f>
        <v>RT_FALSE</v>
      </c>
      <c r="AP427" s="1" t="str">
        <f>IF(AND(AP$400,COUNTA(AP$404:AP426)+4&lt;=MATCH(AP$402,Tenors_set,0)),_xll.RtContribute(AP$403,AP$3&amp;"FX"&amp;$C427&amp;"S=","BID",{"BID","ASK"},CHOOSE({1,2},IF(AP$401,AP266,AP144/AP$11),IF(AP$401,AP266,AP144)),"SCOPE:SERVER"),"RT_FALSE")</f>
        <v>RT_FALSE</v>
      </c>
    </row>
    <row r="428" spans="3:42" x14ac:dyDescent="0.2">
      <c r="C428" s="1" t="s">
        <v>157</v>
      </c>
      <c r="E428" s="1" t="str">
        <f>IF(AND(E$400,COUNTA(E$404:E427)+4&lt;=MATCH(E$402,Tenors_set,0)),_xll.RtContribute(E$403,E$3&amp;"FX"&amp;$C428&amp;"S=","BID",{"BID","ASK"},CHOOSE({1,2},IF(E$401,E267,E145/E$11),IF(E$401,E267,E145)),"SCOPE:SERVER"),"RT_FALSE")</f>
        <v>RT_FALSE</v>
      </c>
      <c r="F428" s="1" t="str">
        <f>IF(AND(F$400,COUNTA(F$404:F427)+4&lt;=MATCH(F$402,Tenors_set,0)),_xll.RtContribute(F$403,F$3&amp;"FX"&amp;$C428&amp;"S=","BID",{"BID","ASK"},CHOOSE({1,2},IF(F$401,F267,F145/F$11),IF(F$401,F267,F145)),"SCOPE:SERVER"),"RT_FALSE")</f>
        <v>RT_FALSE</v>
      </c>
      <c r="G428" s="1" t="str">
        <f>IF(AND(G$400,COUNTA(G$404:G427)+4&lt;=MATCH(G$402,Tenors_set,0)),_xll.RtContribute(G$403,G$3&amp;"FX"&amp;$C428&amp;"S=","BID",{"BID","ASK"},CHOOSE({1,2},IF(G$401,G267,G145/G$11),IF(G$401,G267,G145)),"SCOPE:SERVER"),"RT_FALSE")</f>
        <v>RT_FALSE</v>
      </c>
      <c r="H428" s="1" t="str">
        <f>IF(AND(H$400,COUNTA(H$404:H427)+4&lt;=MATCH(H$402,Tenors_set,0)),_xll.RtContribute(H$403,H$3&amp;"FX"&amp;$C428&amp;"S=","BID",{"BID","ASK"},CHOOSE({1,2},IF(H$401,H267,H145/H$11),IF(H$401,H267,H145)),"SCOPE:SERVER"),"RT_FALSE")</f>
        <v>RT_FALSE</v>
      </c>
      <c r="I428" s="1" t="str">
        <f>IF(AND(I$400,COUNTA(I$404:I427)+4&lt;=MATCH(I$402,Tenors_set,0)),_xll.RtContribute(I$403,I$3&amp;"FX"&amp;$C428&amp;"S=","BID",{"BID","ASK"},CHOOSE({1,2},IF(I$401,I267,I145/I$11),IF(I$401,I267,I145)),"SCOPE:SERVER"),"RT_FALSE")</f>
        <v>RT_FALSE</v>
      </c>
      <c r="J428" s="1" t="str">
        <f>IF(AND(J$400,COUNTA(J$404:J427)+4&lt;=MATCH(J$402,Tenors_set,0)),_xll.RtContribute(J$403,J$3&amp;"FX"&amp;$C428&amp;"S=","BID",{"BID","ASK"},CHOOSE({1,2},IF(J$401,J267,J145/J$11),IF(J$401,J267,J145)),"SCOPE:SERVER"),"RT_FALSE")</f>
        <v>RT_FALSE</v>
      </c>
      <c r="K428" s="1" t="str">
        <f>IF(AND(K$400,COUNTA(K$404:K427)+4&lt;=MATCH(K$402,Tenors_set,0)),_xll.RtContribute(K$403,K$3&amp;"FX"&amp;$C428&amp;"S=","BID",{"BID","ASK"},CHOOSE({1,2},IF(K$401,K267,K145/K$11),IF(K$401,K267,K145)),"SCOPE:SERVER"),"RT_FALSE")</f>
        <v>RT_FALSE</v>
      </c>
      <c r="L428" s="1" t="str">
        <f>IF(AND(L$400,COUNTA(L$404:L427)+4&lt;=MATCH(L$402,Tenors_set,0)),_xll.RtContribute(L$403,L$3&amp;"FX"&amp;$C428&amp;"S=","BID",{"BID","ASK"},CHOOSE({1,2},IF(L$401,L267,L145/L$11),IF(L$401,L267,L145)),"SCOPE:SERVER"),"RT_FALSE")</f>
        <v>RT_FALSE</v>
      </c>
      <c r="M428" s="1" t="str">
        <f>IF(AND(M$400,COUNTA(M$404:M427)+4&lt;=MATCH(M$402,Tenors_set,0)),_xll.RtContribute(M$403,M$3&amp;"FX"&amp;$C428&amp;"S=","BID",{"BID","ASK"},CHOOSE({1,2},IF(M$401,M267,M145/M$11),IF(M$401,M267,M145)),"SCOPE:SERVER"),"RT_FALSE")</f>
        <v>RT_FALSE</v>
      </c>
      <c r="N428" s="1" t="str">
        <f>IF(AND(N$400,COUNTA(N$404:N427)+4&lt;=MATCH(N$402,Tenors_set,0)),_xll.RtContribute(N$403,N$3&amp;"FX"&amp;$C428&amp;"S=","BID",{"BID","ASK"},CHOOSE({1,2},IF(N$401,N267,N145/N$11),IF(N$401,N267,N145)),"SCOPE:SERVER"),"RT_FALSE")</f>
        <v>RT_FALSE</v>
      </c>
      <c r="O428" s="1" t="str">
        <f>IF(AND(O$400,COUNTA(O$404:O427)+4&lt;=MATCH(O$402,Tenors_set,0)),_xll.RtContribute(O$403,O$3&amp;"FX"&amp;$C428&amp;"S=","BID",{"BID","ASK"},CHOOSE({1,2},IF(O$401,O267,O145/O$11),IF(O$401,O267,O145)),"SCOPE:SERVER"),"RT_FALSE")</f>
        <v>RT_FALSE</v>
      </c>
      <c r="P428" s="1" t="str">
        <f>IF(AND(P$400,COUNTA(P$404:P427)+4&lt;=MATCH(P$402,Tenors_set,0)),_xll.RtContribute(P$403,P$3&amp;"FX"&amp;$C428&amp;"S=","BID",{"BID","ASK"},CHOOSE({1,2},IF(P$401,P267,P145/P$11),IF(P$401,P267,P145)),"SCOPE:SERVER"),"RT_FALSE")</f>
        <v>RT_FALSE</v>
      </c>
      <c r="Q428" s="1" t="str">
        <f>IF(AND(Q$400,COUNTA(Q$404:Q427)+4&lt;=MATCH(Q$402,Tenors_set,0)),_xll.RtContribute(Q$403,Q$3&amp;"FX"&amp;$C428&amp;"S=","BID",{"BID","ASK"},CHOOSE({1,2},IF(Q$401,Q267,Q145/Q$11),IF(Q$401,Q267,Q145)),"SCOPE:SERVER"),"RT_FALSE")</f>
        <v>RT_FALSE</v>
      </c>
      <c r="R428" s="1" t="str">
        <f>IF(AND(R$400,COUNTA(R$404:R427)+4&lt;=MATCH(R$402,Tenors_set,0)),_xll.RtContribute(R$403,R$3&amp;"FX"&amp;$C428&amp;"S=","BID",{"BID","ASK"},CHOOSE({1,2},IF(R$401,R267,R145/R$11),IF(R$401,R267,R145)),"SCOPE:SERVER"),"RT_FALSE")</f>
        <v>RT_FALSE</v>
      </c>
      <c r="S428" s="1" t="str">
        <f>IF(AND(S$400,COUNTA(S$404:S427)+4&lt;=MATCH(S$402,Tenors_set,0)),_xll.RtContribute(S$403,S$3&amp;"FX"&amp;$C428&amp;"S=","BID",{"BID","ASK"},CHOOSE({1,2},IF(S$401,S267,S145/S$11),IF(S$401,S267,S145)),"SCOPE:SERVER"),"RT_FALSE")</f>
        <v>RT_FALSE</v>
      </c>
      <c r="T428" s="1" t="str">
        <f>IF(AND(T$400,COUNTA(T$404:T427)+4&lt;=MATCH(T$402,Tenors_set,0)),_xll.RtContribute(T$403,T$3&amp;"FX"&amp;$C428&amp;"S=","BID",{"BID","ASK"},CHOOSE({1,2},IF(T$401,T267,T145/T$11),IF(T$401,T267,T145)),"SCOPE:SERVER"),"RT_FALSE")</f>
        <v>RT_FALSE</v>
      </c>
      <c r="U428" s="1" t="str">
        <f>IF(AND(U$400,COUNTA(U$404:U427)+4&lt;=MATCH(U$402,Tenors_set,0)),_xll.RtContribute(U$403,U$3&amp;"FX"&amp;$C428&amp;"S=","BID",{"BID","ASK"},CHOOSE({1,2},IF(U$401,U267,U145/U$11),IF(U$401,U267,U145)),"SCOPE:SERVER"),"RT_FALSE")</f>
        <v>RT_FALSE</v>
      </c>
      <c r="V428" s="1" t="str">
        <f>IF(AND(V$400,COUNTA(V$404:V427)+4&lt;=MATCH(V$402,Tenors_set,0)),_xll.RtContribute(V$403,V$3&amp;"FX"&amp;$C428&amp;"S=","BID",{"BID","ASK"},CHOOSE({1,2},IF(V$401,V267,V145/V$11),IF(V$401,V267,V145)),"SCOPE:SERVER"),"RT_FALSE")</f>
        <v>RT_FALSE</v>
      </c>
      <c r="W428" s="1" t="str">
        <f>IF(AND(W$400,COUNTA(W$404:W427)+4&lt;=MATCH(W$402,Tenors_set,0)),_xll.RtContribute(W$403,W$3&amp;"FX"&amp;$C428&amp;"S=","BID",{"BID","ASK"},CHOOSE({1,2},IF(W$401,W267,W145/W$11),IF(W$401,W267,W145)),"SCOPE:SERVER"),"RT_FALSE")</f>
        <v>RT_FALSE</v>
      </c>
      <c r="X428" s="1" t="str">
        <f>IF(AND(X$400,COUNTA(X$404:X427)+4&lt;=MATCH(X$402,Tenors_set,0)),_xll.RtContribute(X$403,X$3&amp;"FX"&amp;$C428&amp;"S=","BID",{"BID","ASK"},CHOOSE({1,2},IF(X$401,X267,X145/X$11),IF(X$401,X267,X145)),"SCOPE:SERVER"),"RT_FALSE")</f>
        <v>RT_FALSE</v>
      </c>
      <c r="Y428" s="1" t="str">
        <f>IF(AND(Y$400,COUNTA(Y$404:Y427)+4&lt;=MATCH(Y$402,Tenors_set,0)),_xll.RtContribute(Y$403,Y$3&amp;"FX"&amp;$C428&amp;"S=","BID",{"BID","ASK"},CHOOSE({1,2},IF(Y$401,Y267,Y145/Y$11),IF(Y$401,Y267,Y145)),"SCOPE:SERVER"),"RT_FALSE")</f>
        <v>RT_FALSE</v>
      </c>
      <c r="Z428" s="1" t="str">
        <f>IF(AND(Z$400,COUNTA(Z$404:Z427)+4&lt;=MATCH(Z$402,Tenors_set,0)),_xll.RtContribute(Z$403,Z$3&amp;"FX"&amp;$C428&amp;"S=","BID",{"BID","ASK"},CHOOSE({1,2},IF(Z$401,Z267,Z145/Z$11),IF(Z$401,Z267,Z145)),"SCOPE:SERVER"),"RT_FALSE")</f>
        <v>RT_FALSE</v>
      </c>
      <c r="AA428" s="1" t="str">
        <f>IF(AND(AA$400,COUNTA(AA$404:AA427)+4&lt;=MATCH(AA$402,Tenors_set,0)),_xll.RtContribute(AA$403,AA$3&amp;"FX"&amp;$C428&amp;"S=","BID",{"BID","ASK"},CHOOSE({1,2},IF(AA$401,AA267,AA145/AA$11),IF(AA$401,AA267,AA145)),"SCOPE:SERVER"),"RT_FALSE")</f>
        <v>RT_FALSE</v>
      </c>
      <c r="AB428" s="1" t="str">
        <f>IF(AND(AB$400,COUNTA(AB$404:AB427)+4&lt;=MATCH(AB$402,Tenors_set,0)),_xll.RtContribute(AB$403,AB$3&amp;"FX"&amp;$C428&amp;"S=","BID",{"BID","ASK"},CHOOSE({1,2},IF(AB$401,AB267,AB145/AB$11),IF(AB$401,AB267,AB145)),"SCOPE:SERVER"),"RT_FALSE")</f>
        <v>RT_FALSE</v>
      </c>
      <c r="AC428" s="1" t="str">
        <f>IF(AND(AC$400,COUNTA(AC$404:AC427)+4&lt;=MATCH(AC$402,Tenors_set,0)),_xll.RtContribute(AC$403,AC$3&amp;"FX"&amp;$C428&amp;"S=","BID",{"BID","ASK"},CHOOSE({1,2},IF(AC$401,AC267,AC145/AC$11),IF(AC$401,AC267,AC145)),"SCOPE:SERVER"),"RT_FALSE")</f>
        <v>RT_FALSE</v>
      </c>
      <c r="AD428" s="1" t="str">
        <f>IF(AND(AD$400,COUNTA(AD$404:AD427)+4&lt;=MATCH(AD$402,Tenors_set,0)),_xll.RtContribute(AD$403,AD$3&amp;"FX"&amp;$C428&amp;"S=","BID",{"BID","ASK"},CHOOSE({1,2},IF(AD$401,AD267,AD145/AD$11),IF(AD$401,AD267,AD145)),"SCOPE:SERVER"),"RT_FALSE")</f>
        <v>RT_FALSE</v>
      </c>
      <c r="AE428" s="1" t="str">
        <f>IF(AND(AE$400,COUNTA(AE$404:AE427)+4&lt;=MATCH(AE$402,Tenors_set,0)),_xll.RtContribute(AE$403,AE$3&amp;"FX"&amp;$C428&amp;"S=","BID",{"BID","ASK"},CHOOSE({1,2},IF(AE$401,AE267,AE145/AE$11),IF(AE$401,AE267,AE145)),"SCOPE:SERVER"),"RT_FALSE")</f>
        <v>RT_FALSE</v>
      </c>
      <c r="AF428" s="1" t="str">
        <f>IF(AND(AF$400,COUNTA(AF$404:AF427)+4&lt;=MATCH(AF$402,Tenors_set,0)),_xll.RtContribute(AF$403,AF$3&amp;"FX"&amp;$C428&amp;"S=","BID",{"BID","ASK"},CHOOSE({1,2},IF(AF$401,AF267,AF145/AF$11),IF(AF$401,AF267,AF145)),"SCOPE:SERVER"),"RT_FALSE")</f>
        <v>RT_FALSE</v>
      </c>
      <c r="AG428" s="1" t="str">
        <f>IF(AND(AG$400,COUNTA(AG$404:AG427)+4&lt;=MATCH(AG$402,Tenors_set,0)),_xll.RtContribute(AG$403,AG$3&amp;"FX"&amp;$C428&amp;"S=","BID",{"BID","ASK"},CHOOSE({1,2},IF(AG$401,AG267,AG145/AG$11),IF(AG$401,AG267,AG145)),"SCOPE:SERVER"),"RT_FALSE")</f>
        <v>RT_FALSE</v>
      </c>
      <c r="AH428" s="1" t="str">
        <f>IF(AND(AH$400,COUNTA(AH$404:AH427)+4&lt;=MATCH(AH$402,Tenors_set,0)),_xll.RtContribute(AH$403,AH$3&amp;"FX"&amp;$C428&amp;"S=","BID",{"BID","ASK"},CHOOSE({1,2},IF(AH$401,AH267,AH145/AH$11),IF(AH$401,AH267,AH145)),"SCOPE:SERVER"),"RT_FALSE")</f>
        <v>RT_FALSE</v>
      </c>
      <c r="AI428" s="1" t="str">
        <f>IF(AND(AI$400,COUNTA(AI$404:AI427)+4&lt;=MATCH(AI$402,Tenors_set,0)),_xll.RtContribute(AI$403,AI$3&amp;"FX"&amp;$C428&amp;"S=","BID",{"BID","ASK"},CHOOSE({1,2},IF(AI$401,AI267,AI145/AI$11),IF(AI$401,AI267,AI145)),"SCOPE:SERVER"),"RT_FALSE")</f>
        <v>RT_FALSE</v>
      </c>
      <c r="AJ428" s="1" t="str">
        <f>IF(AND(AJ$400,COUNTA(AJ$404:AJ427)+4&lt;=MATCH(AJ$402,Tenors_set,0)),_xll.RtContribute(AJ$403,AJ$3&amp;"FX"&amp;$C428&amp;"S=","BID",{"BID","ASK"},CHOOSE({1,2},IF(AJ$401,AJ267,AJ145/AJ$11),IF(AJ$401,AJ267,AJ145)),"SCOPE:SERVER"),"RT_FALSE")</f>
        <v>RT_FALSE</v>
      </c>
      <c r="AK428" s="1" t="str">
        <f>IF(AND(AK$400,COUNTA(AK$404:AK427)+4&lt;=MATCH(AK$402,Tenors_set,0)),_xll.RtContribute(AK$403,AK$3&amp;"FX"&amp;$C428&amp;"S=","BID",{"BID","ASK"},CHOOSE({1,2},IF(AK$401,AK267,AK145/AK$11),IF(AK$401,AK267,AK145)),"SCOPE:SERVER"),"RT_FALSE")</f>
        <v>RT_FALSE</v>
      </c>
      <c r="AL428" s="1" t="str">
        <f>IF(AND(AL$400,COUNTA(AL$404:AL427)+4&lt;=MATCH(AL$402,Tenors_set,0)),_xll.RtContribute(AL$403,AL$3&amp;"FX"&amp;$C428&amp;"S=","BID",{"BID","ASK"},CHOOSE({1,2},IF(AL$401,AL267,AL145/AL$11),IF(AL$401,AL267,AL145)),"SCOPE:SERVER"),"RT_FALSE")</f>
        <v>RT_FALSE</v>
      </c>
      <c r="AM428" s="1" t="str">
        <f>IF(AND(AM$400,COUNTA(AM$404:AM427)+4&lt;=MATCH(AM$402,Tenors_set,0)),_xll.RtContribute(AM$403,AM$3&amp;"FX"&amp;$C428&amp;"S=","BID",{"BID","ASK"},CHOOSE({1,2},IF(AM$401,AM267,AM145/AM$11),IF(AM$401,AM267,AM145)),"SCOPE:SERVER"),"RT_FALSE")</f>
        <v>RT_FALSE</v>
      </c>
      <c r="AN428" s="1" t="str">
        <f>IF(AND(AN$400,COUNTA(AN$404:AN427)+4&lt;=MATCH(AN$402,Tenors_set,0)),_xll.RtContribute(AN$403,AN$3&amp;"FX"&amp;$C428&amp;"S=","BID",{"BID","ASK"},CHOOSE({1,2},IF(AN$401,AN267,AN145/AN$11),IF(AN$401,AN267,AN145)),"SCOPE:SERVER"),"RT_FALSE")</f>
        <v>RT_FALSE</v>
      </c>
      <c r="AO428" s="1" t="str">
        <f>IF(AND(AO$400,COUNTA(AO$404:AO427)+4&lt;=MATCH(AO$402,Tenors_set,0)),_xll.RtContribute(AO$403,AO$3&amp;"FX"&amp;$C428&amp;"S=","BID",{"BID","ASK"},CHOOSE({1,2},IF(AO$401,AO267,AO145/AO$11),IF(AO$401,AO267,AO145)),"SCOPE:SERVER"),"RT_FALSE")</f>
        <v>RT_FALSE</v>
      </c>
      <c r="AP428" s="1" t="str">
        <f>IF(AND(AP$400,COUNTA(AP$404:AP427)+4&lt;=MATCH(AP$402,Tenors_set,0)),_xll.RtContribute(AP$403,AP$3&amp;"FX"&amp;$C428&amp;"S=","BID",{"BID","ASK"},CHOOSE({1,2},IF(AP$401,AP267,AP145/AP$11),IF(AP$401,AP267,AP145)),"SCOPE:SERVER"),"RT_FALSE")</f>
        <v>RT_FALSE</v>
      </c>
    </row>
    <row r="429" spans="3:42" x14ac:dyDescent="0.2">
      <c r="C429" s="1" t="s">
        <v>158</v>
      </c>
      <c r="E429" s="1" t="str">
        <f>IF(AND(E$400,COUNTA(E$404:E428)+4&lt;=MATCH(E$402,Tenors_set,0)),_xll.RtContribute(E$403,E$3&amp;"FX"&amp;$C429&amp;"S=","BID",{"BID","ASK"},CHOOSE({1,2},IF(E$401,E268,E146/E$11),IF(E$401,E268,E146)),"SCOPE:SERVER"),"RT_FALSE")</f>
        <v>RT_FALSE</v>
      </c>
      <c r="F429" s="1" t="str">
        <f>IF(AND(F$400,COUNTA(F$404:F428)+4&lt;=MATCH(F$402,Tenors_set,0)),_xll.RtContribute(F$403,F$3&amp;"FX"&amp;$C429&amp;"S=","BID",{"BID","ASK"},CHOOSE({1,2},IF(F$401,F268,F146/F$11),IF(F$401,F268,F146)),"SCOPE:SERVER"),"RT_FALSE")</f>
        <v>RT_FALSE</v>
      </c>
      <c r="G429" s="1" t="str">
        <f>IF(AND(G$400,COUNTA(G$404:G428)+4&lt;=MATCH(G$402,Tenors_set,0)),_xll.RtContribute(G$403,G$3&amp;"FX"&amp;$C429&amp;"S=","BID",{"BID","ASK"},CHOOSE({1,2},IF(G$401,G268,G146/G$11),IF(G$401,G268,G146)),"SCOPE:SERVER"),"RT_FALSE")</f>
        <v>RT_FALSE</v>
      </c>
      <c r="H429" s="1" t="str">
        <f>IF(AND(H$400,COUNTA(H$404:H428)+4&lt;=MATCH(H$402,Tenors_set,0)),_xll.RtContribute(H$403,H$3&amp;"FX"&amp;$C429&amp;"S=","BID",{"BID","ASK"},CHOOSE({1,2},IF(H$401,H268,H146/H$11),IF(H$401,H268,H146)),"SCOPE:SERVER"),"RT_FALSE")</f>
        <v>RT_FALSE</v>
      </c>
      <c r="I429" s="1" t="str">
        <f>IF(AND(I$400,COUNTA(I$404:I428)+4&lt;=MATCH(I$402,Tenors_set,0)),_xll.RtContribute(I$403,I$3&amp;"FX"&amp;$C429&amp;"S=","BID",{"BID","ASK"},CHOOSE({1,2},IF(I$401,I268,I146/I$11),IF(I$401,I268,I146)),"SCOPE:SERVER"),"RT_FALSE")</f>
        <v>RT_FALSE</v>
      </c>
      <c r="J429" s="1" t="str">
        <f>IF(AND(J$400,COUNTA(J$404:J428)+4&lt;=MATCH(J$402,Tenors_set,0)),_xll.RtContribute(J$403,J$3&amp;"FX"&amp;$C429&amp;"S=","BID",{"BID","ASK"},CHOOSE({1,2},IF(J$401,J268,J146/J$11),IF(J$401,J268,J146)),"SCOPE:SERVER"),"RT_FALSE")</f>
        <v>RT_FALSE</v>
      </c>
      <c r="K429" s="1" t="str">
        <f>IF(AND(K$400,COUNTA(K$404:K428)+4&lt;=MATCH(K$402,Tenors_set,0)),_xll.RtContribute(K$403,K$3&amp;"FX"&amp;$C429&amp;"S=","BID",{"BID","ASK"},CHOOSE({1,2},IF(K$401,K268,K146/K$11),IF(K$401,K268,K146)),"SCOPE:SERVER"),"RT_FALSE")</f>
        <v>RT_FALSE</v>
      </c>
      <c r="L429" s="1" t="str">
        <f>IF(AND(L$400,COUNTA(L$404:L428)+4&lt;=MATCH(L$402,Tenors_set,0)),_xll.RtContribute(L$403,L$3&amp;"FX"&amp;$C429&amp;"S=","BID",{"BID","ASK"},CHOOSE({1,2},IF(L$401,L268,L146/L$11),IF(L$401,L268,L146)),"SCOPE:SERVER"),"RT_FALSE")</f>
        <v>RT_FALSE</v>
      </c>
      <c r="M429" s="1" t="str">
        <f>IF(AND(M$400,COUNTA(M$404:M428)+4&lt;=MATCH(M$402,Tenors_set,0)),_xll.RtContribute(M$403,M$3&amp;"FX"&amp;$C429&amp;"S=","BID",{"BID","ASK"},CHOOSE({1,2},IF(M$401,M268,M146/M$11),IF(M$401,M268,M146)),"SCOPE:SERVER"),"RT_FALSE")</f>
        <v>RT_FALSE</v>
      </c>
      <c r="N429" s="1" t="str">
        <f>IF(AND(N$400,COUNTA(N$404:N428)+4&lt;=MATCH(N$402,Tenors_set,0)),_xll.RtContribute(N$403,N$3&amp;"FX"&amp;$C429&amp;"S=","BID",{"BID","ASK"},CHOOSE({1,2},IF(N$401,N268,N146/N$11),IF(N$401,N268,N146)),"SCOPE:SERVER"),"RT_FALSE")</f>
        <v>RT_FALSE</v>
      </c>
      <c r="O429" s="1" t="str">
        <f>IF(AND(O$400,COUNTA(O$404:O428)+4&lt;=MATCH(O$402,Tenors_set,0)),_xll.RtContribute(O$403,O$3&amp;"FX"&amp;$C429&amp;"S=","BID",{"BID","ASK"},CHOOSE({1,2},IF(O$401,O268,O146/O$11),IF(O$401,O268,O146)),"SCOPE:SERVER"),"RT_FALSE")</f>
        <v>RT_FALSE</v>
      </c>
      <c r="P429" s="1" t="str">
        <f>IF(AND(P$400,COUNTA(P$404:P428)+4&lt;=MATCH(P$402,Tenors_set,0)),_xll.RtContribute(P$403,P$3&amp;"FX"&amp;$C429&amp;"S=","BID",{"BID","ASK"},CHOOSE({1,2},IF(P$401,P268,P146/P$11),IF(P$401,P268,P146)),"SCOPE:SERVER"),"RT_FALSE")</f>
        <v>RT_FALSE</v>
      </c>
      <c r="Q429" s="1" t="str">
        <f>IF(AND(Q$400,COUNTA(Q$404:Q428)+4&lt;=MATCH(Q$402,Tenors_set,0)),_xll.RtContribute(Q$403,Q$3&amp;"FX"&amp;$C429&amp;"S=","BID",{"BID","ASK"},CHOOSE({1,2},IF(Q$401,Q268,Q146/Q$11),IF(Q$401,Q268,Q146)),"SCOPE:SERVER"),"RT_FALSE")</f>
        <v>RT_FALSE</v>
      </c>
      <c r="R429" s="1" t="str">
        <f>IF(AND(R$400,COUNTA(R$404:R428)+4&lt;=MATCH(R$402,Tenors_set,0)),_xll.RtContribute(R$403,R$3&amp;"FX"&amp;$C429&amp;"S=","BID",{"BID","ASK"},CHOOSE({1,2},IF(R$401,R268,R146/R$11),IF(R$401,R268,R146)),"SCOPE:SERVER"),"RT_FALSE")</f>
        <v>RT_FALSE</v>
      </c>
      <c r="S429" s="1" t="str">
        <f>IF(AND(S$400,COUNTA(S$404:S428)+4&lt;=MATCH(S$402,Tenors_set,0)),_xll.RtContribute(S$403,S$3&amp;"FX"&amp;$C429&amp;"S=","BID",{"BID","ASK"},CHOOSE({1,2},IF(S$401,S268,S146/S$11),IF(S$401,S268,S146)),"SCOPE:SERVER"),"RT_FALSE")</f>
        <v>RT_FALSE</v>
      </c>
      <c r="T429" s="1" t="str">
        <f>IF(AND(T$400,COUNTA(T$404:T428)+4&lt;=MATCH(T$402,Tenors_set,0)),_xll.RtContribute(T$403,T$3&amp;"FX"&amp;$C429&amp;"S=","BID",{"BID","ASK"},CHOOSE({1,2},IF(T$401,T268,T146/T$11),IF(T$401,T268,T146)),"SCOPE:SERVER"),"RT_FALSE")</f>
        <v>RT_FALSE</v>
      </c>
      <c r="U429" s="1" t="str">
        <f>IF(AND(U$400,COUNTA(U$404:U428)+4&lt;=MATCH(U$402,Tenors_set,0)),_xll.RtContribute(U$403,U$3&amp;"FX"&amp;$C429&amp;"S=","BID",{"BID","ASK"},CHOOSE({1,2},IF(U$401,U268,U146/U$11),IF(U$401,U268,U146)),"SCOPE:SERVER"),"RT_FALSE")</f>
        <v>RT_FALSE</v>
      </c>
      <c r="V429" s="1" t="str">
        <f>IF(AND(V$400,COUNTA(V$404:V428)+4&lt;=MATCH(V$402,Tenors_set,0)),_xll.RtContribute(V$403,V$3&amp;"FX"&amp;$C429&amp;"S=","BID",{"BID","ASK"},CHOOSE({1,2},IF(V$401,V268,V146/V$11),IF(V$401,V268,V146)),"SCOPE:SERVER"),"RT_FALSE")</f>
        <v>RT_FALSE</v>
      </c>
      <c r="W429" s="1" t="str">
        <f>IF(AND(W$400,COUNTA(W$404:W428)+4&lt;=MATCH(W$402,Tenors_set,0)),_xll.RtContribute(W$403,W$3&amp;"FX"&amp;$C429&amp;"S=","BID",{"BID","ASK"},CHOOSE({1,2},IF(W$401,W268,W146/W$11),IF(W$401,W268,W146)),"SCOPE:SERVER"),"RT_FALSE")</f>
        <v>RT_FALSE</v>
      </c>
      <c r="X429" s="1" t="str">
        <f>IF(AND(X$400,COUNTA(X$404:X428)+4&lt;=MATCH(X$402,Tenors_set,0)),_xll.RtContribute(X$403,X$3&amp;"FX"&amp;$C429&amp;"S=","BID",{"BID","ASK"},CHOOSE({1,2},IF(X$401,X268,X146/X$11),IF(X$401,X268,X146)),"SCOPE:SERVER"),"RT_FALSE")</f>
        <v>RT_FALSE</v>
      </c>
      <c r="Y429" s="1" t="str">
        <f>IF(AND(Y$400,COUNTA(Y$404:Y428)+4&lt;=MATCH(Y$402,Tenors_set,0)),_xll.RtContribute(Y$403,Y$3&amp;"FX"&amp;$C429&amp;"S=","BID",{"BID","ASK"},CHOOSE({1,2},IF(Y$401,Y268,Y146/Y$11),IF(Y$401,Y268,Y146)),"SCOPE:SERVER"),"RT_FALSE")</f>
        <v>RT_FALSE</v>
      </c>
      <c r="Z429" s="1" t="str">
        <f>IF(AND(Z$400,COUNTA(Z$404:Z428)+4&lt;=MATCH(Z$402,Tenors_set,0)),_xll.RtContribute(Z$403,Z$3&amp;"FX"&amp;$C429&amp;"S=","BID",{"BID","ASK"},CHOOSE({1,2},IF(Z$401,Z268,Z146/Z$11),IF(Z$401,Z268,Z146)),"SCOPE:SERVER"),"RT_FALSE")</f>
        <v>RT_FALSE</v>
      </c>
      <c r="AA429" s="1" t="str">
        <f>IF(AND(AA$400,COUNTA(AA$404:AA428)+4&lt;=MATCH(AA$402,Tenors_set,0)),_xll.RtContribute(AA$403,AA$3&amp;"FX"&amp;$C429&amp;"S=","BID",{"BID","ASK"},CHOOSE({1,2},IF(AA$401,AA268,AA146/AA$11),IF(AA$401,AA268,AA146)),"SCOPE:SERVER"),"RT_FALSE")</f>
        <v>RT_FALSE</v>
      </c>
      <c r="AB429" s="1" t="str">
        <f>IF(AND(AB$400,COUNTA(AB$404:AB428)+4&lt;=MATCH(AB$402,Tenors_set,0)),_xll.RtContribute(AB$403,AB$3&amp;"FX"&amp;$C429&amp;"S=","BID",{"BID","ASK"},CHOOSE({1,2},IF(AB$401,AB268,AB146/AB$11),IF(AB$401,AB268,AB146)),"SCOPE:SERVER"),"RT_FALSE")</f>
        <v>RT_FALSE</v>
      </c>
      <c r="AC429" s="1" t="str">
        <f>IF(AND(AC$400,COUNTA(AC$404:AC428)+4&lt;=MATCH(AC$402,Tenors_set,0)),_xll.RtContribute(AC$403,AC$3&amp;"FX"&amp;$C429&amp;"S=","BID",{"BID","ASK"},CHOOSE({1,2},IF(AC$401,AC268,AC146/AC$11),IF(AC$401,AC268,AC146)),"SCOPE:SERVER"),"RT_FALSE")</f>
        <v>RT_FALSE</v>
      </c>
      <c r="AD429" s="1" t="str">
        <f>IF(AND(AD$400,COUNTA(AD$404:AD428)+4&lt;=MATCH(AD$402,Tenors_set,0)),_xll.RtContribute(AD$403,AD$3&amp;"FX"&amp;$C429&amp;"S=","BID",{"BID","ASK"},CHOOSE({1,2},IF(AD$401,AD268,AD146/AD$11),IF(AD$401,AD268,AD146)),"SCOPE:SERVER"),"RT_FALSE")</f>
        <v>RT_FALSE</v>
      </c>
      <c r="AE429" s="1" t="str">
        <f>IF(AND(AE$400,COUNTA(AE$404:AE428)+4&lt;=MATCH(AE$402,Tenors_set,0)),_xll.RtContribute(AE$403,AE$3&amp;"FX"&amp;$C429&amp;"S=","BID",{"BID","ASK"},CHOOSE({1,2},IF(AE$401,AE268,AE146/AE$11),IF(AE$401,AE268,AE146)),"SCOPE:SERVER"),"RT_FALSE")</f>
        <v>RT_FALSE</v>
      </c>
      <c r="AF429" s="1" t="str">
        <f>IF(AND(AF$400,COUNTA(AF$404:AF428)+4&lt;=MATCH(AF$402,Tenors_set,0)),_xll.RtContribute(AF$403,AF$3&amp;"FX"&amp;$C429&amp;"S=","BID",{"BID","ASK"},CHOOSE({1,2},IF(AF$401,AF268,AF146/AF$11),IF(AF$401,AF268,AF146)),"SCOPE:SERVER"),"RT_FALSE")</f>
        <v>RT_FALSE</v>
      </c>
      <c r="AG429" s="1" t="str">
        <f>IF(AND(AG$400,COUNTA(AG$404:AG428)+4&lt;=MATCH(AG$402,Tenors_set,0)),_xll.RtContribute(AG$403,AG$3&amp;"FX"&amp;$C429&amp;"S=","BID",{"BID","ASK"},CHOOSE({1,2},IF(AG$401,AG268,AG146/AG$11),IF(AG$401,AG268,AG146)),"SCOPE:SERVER"),"RT_FALSE")</f>
        <v>RT_FALSE</v>
      </c>
      <c r="AH429" s="1" t="str">
        <f>IF(AND(AH$400,COUNTA(AH$404:AH428)+4&lt;=MATCH(AH$402,Tenors_set,0)),_xll.RtContribute(AH$403,AH$3&amp;"FX"&amp;$C429&amp;"S=","BID",{"BID","ASK"},CHOOSE({1,2},IF(AH$401,AH268,AH146/AH$11),IF(AH$401,AH268,AH146)),"SCOPE:SERVER"),"RT_FALSE")</f>
        <v>RT_FALSE</v>
      </c>
      <c r="AI429" s="1" t="str">
        <f>IF(AND(AI$400,COUNTA(AI$404:AI428)+4&lt;=MATCH(AI$402,Tenors_set,0)),_xll.RtContribute(AI$403,AI$3&amp;"FX"&amp;$C429&amp;"S=","BID",{"BID","ASK"},CHOOSE({1,2},IF(AI$401,AI268,AI146/AI$11),IF(AI$401,AI268,AI146)),"SCOPE:SERVER"),"RT_FALSE")</f>
        <v>RT_FALSE</v>
      </c>
      <c r="AJ429" s="1" t="str">
        <f>IF(AND(AJ$400,COUNTA(AJ$404:AJ428)+4&lt;=MATCH(AJ$402,Tenors_set,0)),_xll.RtContribute(AJ$403,AJ$3&amp;"FX"&amp;$C429&amp;"S=","BID",{"BID","ASK"},CHOOSE({1,2},IF(AJ$401,AJ268,AJ146/AJ$11),IF(AJ$401,AJ268,AJ146)),"SCOPE:SERVER"),"RT_FALSE")</f>
        <v>RT_FALSE</v>
      </c>
      <c r="AK429" s="1" t="str">
        <f>IF(AND(AK$400,COUNTA(AK$404:AK428)+4&lt;=MATCH(AK$402,Tenors_set,0)),_xll.RtContribute(AK$403,AK$3&amp;"FX"&amp;$C429&amp;"S=","BID",{"BID","ASK"},CHOOSE({1,2},IF(AK$401,AK268,AK146/AK$11),IF(AK$401,AK268,AK146)),"SCOPE:SERVER"),"RT_FALSE")</f>
        <v>RT_FALSE</v>
      </c>
      <c r="AL429" s="1" t="str">
        <f>IF(AND(AL$400,COUNTA(AL$404:AL428)+4&lt;=MATCH(AL$402,Tenors_set,0)),_xll.RtContribute(AL$403,AL$3&amp;"FX"&amp;$C429&amp;"S=","BID",{"BID","ASK"},CHOOSE({1,2},IF(AL$401,AL268,AL146/AL$11),IF(AL$401,AL268,AL146)),"SCOPE:SERVER"),"RT_FALSE")</f>
        <v>RT_FALSE</v>
      </c>
      <c r="AM429" s="1" t="str">
        <f>IF(AND(AM$400,COUNTA(AM$404:AM428)+4&lt;=MATCH(AM$402,Tenors_set,0)),_xll.RtContribute(AM$403,AM$3&amp;"FX"&amp;$C429&amp;"S=","BID",{"BID","ASK"},CHOOSE({1,2},IF(AM$401,AM268,AM146/AM$11),IF(AM$401,AM268,AM146)),"SCOPE:SERVER"),"RT_FALSE")</f>
        <v>RT_FALSE</v>
      </c>
      <c r="AN429" s="1" t="str">
        <f>IF(AND(AN$400,COUNTA(AN$404:AN428)+4&lt;=MATCH(AN$402,Tenors_set,0)),_xll.RtContribute(AN$403,AN$3&amp;"FX"&amp;$C429&amp;"S=","BID",{"BID","ASK"},CHOOSE({1,2},IF(AN$401,AN268,AN146/AN$11),IF(AN$401,AN268,AN146)),"SCOPE:SERVER"),"RT_FALSE")</f>
        <v>RT_FALSE</v>
      </c>
      <c r="AO429" s="1" t="str">
        <f>IF(AND(AO$400,COUNTA(AO$404:AO428)+4&lt;=MATCH(AO$402,Tenors_set,0)),_xll.RtContribute(AO$403,AO$3&amp;"FX"&amp;$C429&amp;"S=","BID",{"BID","ASK"},CHOOSE({1,2},IF(AO$401,AO268,AO146/AO$11),IF(AO$401,AO268,AO146)),"SCOPE:SERVER"),"RT_FALSE")</f>
        <v>RT_FALSE</v>
      </c>
      <c r="AP429" s="1" t="str">
        <f>IF(AND(AP$400,COUNTA(AP$404:AP428)+4&lt;=MATCH(AP$402,Tenors_set,0)),_xll.RtContribute(AP$403,AP$3&amp;"FX"&amp;$C429&amp;"S=","BID",{"BID","ASK"},CHOOSE({1,2},IF(AP$401,AP268,AP146/AP$11),IF(AP$401,AP268,AP146)),"SCOPE:SERVER"),"RT_FALSE")</f>
        <v>RT_FALSE</v>
      </c>
    </row>
    <row r="430" spans="3:42" x14ac:dyDescent="0.2">
      <c r="C430" s="1" t="s">
        <v>160</v>
      </c>
      <c r="E430" s="1" t="str">
        <f>IF(AND(E$400,COUNTA(E$404:E429)+4&lt;=MATCH(E$402,Tenors_set,0)),_xll.RtContribute(E$403,E$3&amp;"FX"&amp;$C430&amp;"S=","BID",{"BID","ASK"},CHOOSE({1,2},IF(E$401,E269,E147/E$11),IF(E$401,E269,E147)),"SCOPE:SERVER"),"RT_FALSE")</f>
        <v>RT_FALSE</v>
      </c>
      <c r="F430" s="1" t="str">
        <f>IF(AND(F$400,COUNTA(F$404:F429)+4&lt;=MATCH(F$402,Tenors_set,0)),_xll.RtContribute(F$403,F$3&amp;"FX"&amp;$C430&amp;"S=","BID",{"BID","ASK"},CHOOSE({1,2},IF(F$401,F269,F147/F$11),IF(F$401,F269,F147)),"SCOPE:SERVER"),"RT_FALSE")</f>
        <v>RT_FALSE</v>
      </c>
      <c r="G430" s="1" t="str">
        <f>IF(AND(G$400,COUNTA(G$404:G429)+4&lt;=MATCH(G$402,Tenors_set,0)),_xll.RtContribute(G$403,G$3&amp;"FX"&amp;$C430&amp;"S=","BID",{"BID","ASK"},CHOOSE({1,2},IF(G$401,G269,G147/G$11),IF(G$401,G269,G147)),"SCOPE:SERVER"),"RT_FALSE")</f>
        <v>RT_FALSE</v>
      </c>
      <c r="H430" s="1" t="str">
        <f>IF(AND(H$400,COUNTA(H$404:H429)+4&lt;=MATCH(H$402,Tenors_set,0)),_xll.RtContribute(H$403,H$3&amp;"FX"&amp;$C430&amp;"S=","BID",{"BID","ASK"},CHOOSE({1,2},IF(H$401,H269,H147/H$11),IF(H$401,H269,H147)),"SCOPE:SERVER"),"RT_FALSE")</f>
        <v>RT_FALSE</v>
      </c>
      <c r="I430" s="1" t="str">
        <f>IF(AND(I$400,COUNTA(I$404:I429)+4&lt;=MATCH(I$402,Tenors_set,0)),_xll.RtContribute(I$403,I$3&amp;"FX"&amp;$C430&amp;"S=","BID",{"BID","ASK"},CHOOSE({1,2},IF(I$401,I269,I147/I$11),IF(I$401,I269,I147)),"SCOPE:SERVER"),"RT_FALSE")</f>
        <v>RT_FALSE</v>
      </c>
      <c r="J430" s="1" t="str">
        <f>IF(AND(J$400,COUNTA(J$404:J429)+4&lt;=MATCH(J$402,Tenors_set,0)),_xll.RtContribute(J$403,J$3&amp;"FX"&amp;$C430&amp;"S=","BID",{"BID","ASK"},CHOOSE({1,2},IF(J$401,J269,J147/J$11),IF(J$401,J269,J147)),"SCOPE:SERVER"),"RT_FALSE")</f>
        <v>RT_FALSE</v>
      </c>
      <c r="K430" s="1" t="str">
        <f>IF(AND(K$400,COUNTA(K$404:K429)+4&lt;=MATCH(K$402,Tenors_set,0)),_xll.RtContribute(K$403,K$3&amp;"FX"&amp;$C430&amp;"S=","BID",{"BID","ASK"},CHOOSE({1,2},IF(K$401,K269,K147/K$11),IF(K$401,K269,K147)),"SCOPE:SERVER"),"RT_FALSE")</f>
        <v>RT_FALSE</v>
      </c>
      <c r="L430" s="1" t="str">
        <f>IF(AND(L$400,COUNTA(L$404:L429)+4&lt;=MATCH(L$402,Tenors_set,0)),_xll.RtContribute(L$403,L$3&amp;"FX"&amp;$C430&amp;"S=","BID",{"BID","ASK"},CHOOSE({1,2},IF(L$401,L269,L147/L$11),IF(L$401,L269,L147)),"SCOPE:SERVER"),"RT_FALSE")</f>
        <v>RT_FALSE</v>
      </c>
      <c r="M430" s="1" t="str">
        <f>IF(AND(M$400,COUNTA(M$404:M429)+4&lt;=MATCH(M$402,Tenors_set,0)),_xll.RtContribute(M$403,M$3&amp;"FX"&amp;$C430&amp;"S=","BID",{"BID","ASK"},CHOOSE({1,2},IF(M$401,M269,M147/M$11),IF(M$401,M269,M147)),"SCOPE:SERVER"),"RT_FALSE")</f>
        <v>RT_FALSE</v>
      </c>
      <c r="N430" s="1" t="str">
        <f>IF(AND(N$400,COUNTA(N$404:N429)+4&lt;=MATCH(N$402,Tenors_set,0)),_xll.RtContribute(N$403,N$3&amp;"FX"&amp;$C430&amp;"S=","BID",{"BID","ASK"},CHOOSE({1,2},IF(N$401,N269,N147/N$11),IF(N$401,N269,N147)),"SCOPE:SERVER"),"RT_FALSE")</f>
        <v>RT_FALSE</v>
      </c>
      <c r="O430" s="1" t="str">
        <f>IF(AND(O$400,COUNTA(O$404:O429)+4&lt;=MATCH(O$402,Tenors_set,0)),_xll.RtContribute(O$403,O$3&amp;"FX"&amp;$C430&amp;"S=","BID",{"BID","ASK"},CHOOSE({1,2},IF(O$401,O269,O147/O$11),IF(O$401,O269,O147)),"SCOPE:SERVER"),"RT_FALSE")</f>
        <v>RT_FALSE</v>
      </c>
      <c r="P430" s="1" t="str">
        <f>IF(AND(P$400,COUNTA(P$404:P429)+4&lt;=MATCH(P$402,Tenors_set,0)),_xll.RtContribute(P$403,P$3&amp;"FX"&amp;$C430&amp;"S=","BID",{"BID","ASK"},CHOOSE({1,2},IF(P$401,P269,P147/P$11),IF(P$401,P269,P147)),"SCOPE:SERVER"),"RT_FALSE")</f>
        <v>RT_FALSE</v>
      </c>
      <c r="Q430" s="1" t="str">
        <f>IF(AND(Q$400,COUNTA(Q$404:Q429)+4&lt;=MATCH(Q$402,Tenors_set,0)),_xll.RtContribute(Q$403,Q$3&amp;"FX"&amp;$C430&amp;"S=","BID",{"BID","ASK"},CHOOSE({1,2},IF(Q$401,Q269,Q147/Q$11),IF(Q$401,Q269,Q147)),"SCOPE:SERVER"),"RT_FALSE")</f>
        <v>RT_FALSE</v>
      </c>
      <c r="R430" s="1" t="str">
        <f>IF(AND(R$400,COUNTA(R$404:R429)+4&lt;=MATCH(R$402,Tenors_set,0)),_xll.RtContribute(R$403,R$3&amp;"FX"&amp;$C430&amp;"S=","BID",{"BID","ASK"},CHOOSE({1,2},IF(R$401,R269,R147/R$11),IF(R$401,R269,R147)),"SCOPE:SERVER"),"RT_FALSE")</f>
        <v>RT_FALSE</v>
      </c>
      <c r="S430" s="1" t="str">
        <f>IF(AND(S$400,COUNTA(S$404:S429)+4&lt;=MATCH(S$402,Tenors_set,0)),_xll.RtContribute(S$403,S$3&amp;"FX"&amp;$C430&amp;"S=","BID",{"BID","ASK"},CHOOSE({1,2},IF(S$401,S269,S147/S$11),IF(S$401,S269,S147)),"SCOPE:SERVER"),"RT_FALSE")</f>
        <v>RT_FALSE</v>
      </c>
      <c r="T430" s="1" t="str">
        <f>IF(AND(T$400,COUNTA(T$404:T429)+4&lt;=MATCH(T$402,Tenors_set,0)),_xll.RtContribute(T$403,T$3&amp;"FX"&amp;$C430&amp;"S=","BID",{"BID","ASK"},CHOOSE({1,2},IF(T$401,T269,T147/T$11),IF(T$401,T269,T147)),"SCOPE:SERVER"),"RT_FALSE")</f>
        <v>RT_FALSE</v>
      </c>
      <c r="U430" s="1" t="str">
        <f>IF(AND(U$400,COUNTA(U$404:U429)+4&lt;=MATCH(U$402,Tenors_set,0)),_xll.RtContribute(U$403,U$3&amp;"FX"&amp;$C430&amp;"S=","BID",{"BID","ASK"},CHOOSE({1,2},IF(U$401,U269,U147/U$11),IF(U$401,U269,U147)),"SCOPE:SERVER"),"RT_FALSE")</f>
        <v>RT_FALSE</v>
      </c>
      <c r="V430" s="1" t="str">
        <f>IF(AND(V$400,COUNTA(V$404:V429)+4&lt;=MATCH(V$402,Tenors_set,0)),_xll.RtContribute(V$403,V$3&amp;"FX"&amp;$C430&amp;"S=","BID",{"BID","ASK"},CHOOSE({1,2},IF(V$401,V269,V147/V$11),IF(V$401,V269,V147)),"SCOPE:SERVER"),"RT_FALSE")</f>
        <v>RT_FALSE</v>
      </c>
      <c r="W430" s="1" t="str">
        <f>IF(AND(W$400,COUNTA(W$404:W429)+4&lt;=MATCH(W$402,Tenors_set,0)),_xll.RtContribute(W$403,W$3&amp;"FX"&amp;$C430&amp;"S=","BID",{"BID","ASK"},CHOOSE({1,2},IF(W$401,W269,W147/W$11),IF(W$401,W269,W147)),"SCOPE:SERVER"),"RT_FALSE")</f>
        <v>RT_FALSE</v>
      </c>
      <c r="X430" s="1" t="str">
        <f>IF(AND(X$400,COUNTA(X$404:X429)+4&lt;=MATCH(X$402,Tenors_set,0)),_xll.RtContribute(X$403,X$3&amp;"FX"&amp;$C430&amp;"S=","BID",{"BID","ASK"},CHOOSE({1,2},IF(X$401,X269,X147/X$11),IF(X$401,X269,X147)),"SCOPE:SERVER"),"RT_FALSE")</f>
        <v>RT_FALSE</v>
      </c>
      <c r="Y430" s="1" t="str">
        <f>IF(AND(Y$400,COUNTA(Y$404:Y429)+4&lt;=MATCH(Y$402,Tenors_set,0)),_xll.RtContribute(Y$403,Y$3&amp;"FX"&amp;$C430&amp;"S=","BID",{"BID","ASK"},CHOOSE({1,2},IF(Y$401,Y269,Y147/Y$11),IF(Y$401,Y269,Y147)),"SCOPE:SERVER"),"RT_FALSE")</f>
        <v>RT_FALSE</v>
      </c>
      <c r="Z430" s="1" t="str">
        <f>IF(AND(Z$400,COUNTA(Z$404:Z429)+4&lt;=MATCH(Z$402,Tenors_set,0)),_xll.RtContribute(Z$403,Z$3&amp;"FX"&amp;$C430&amp;"S=","BID",{"BID","ASK"},CHOOSE({1,2},IF(Z$401,Z269,Z147/Z$11),IF(Z$401,Z269,Z147)),"SCOPE:SERVER"),"RT_FALSE")</f>
        <v>RT_FALSE</v>
      </c>
      <c r="AA430" s="1" t="str">
        <f>IF(AND(AA$400,COUNTA(AA$404:AA429)+4&lt;=MATCH(AA$402,Tenors_set,0)),_xll.RtContribute(AA$403,AA$3&amp;"FX"&amp;$C430&amp;"S=","BID",{"BID","ASK"},CHOOSE({1,2},IF(AA$401,AA269,AA147/AA$11),IF(AA$401,AA269,AA147)),"SCOPE:SERVER"),"RT_FALSE")</f>
        <v>RT_FALSE</v>
      </c>
      <c r="AB430" s="1" t="str">
        <f>IF(AND(AB$400,COUNTA(AB$404:AB429)+4&lt;=MATCH(AB$402,Tenors_set,0)),_xll.RtContribute(AB$403,AB$3&amp;"FX"&amp;$C430&amp;"S=","BID",{"BID","ASK"},CHOOSE({1,2},IF(AB$401,AB269,AB147/AB$11),IF(AB$401,AB269,AB147)),"SCOPE:SERVER"),"RT_FALSE")</f>
        <v>RT_FALSE</v>
      </c>
      <c r="AC430" s="1" t="str">
        <f>IF(AND(AC$400,COUNTA(AC$404:AC429)+4&lt;=MATCH(AC$402,Tenors_set,0)),_xll.RtContribute(AC$403,AC$3&amp;"FX"&amp;$C430&amp;"S=","BID",{"BID","ASK"},CHOOSE({1,2},IF(AC$401,AC269,AC147/AC$11),IF(AC$401,AC269,AC147)),"SCOPE:SERVER"),"RT_FALSE")</f>
        <v>RT_FALSE</v>
      </c>
      <c r="AD430" s="1" t="str">
        <f>IF(AND(AD$400,COUNTA(AD$404:AD429)+4&lt;=MATCH(AD$402,Tenors_set,0)),_xll.RtContribute(AD$403,AD$3&amp;"FX"&amp;$C430&amp;"S=","BID",{"BID","ASK"},CHOOSE({1,2},IF(AD$401,AD269,AD147/AD$11),IF(AD$401,AD269,AD147)),"SCOPE:SERVER"),"RT_FALSE")</f>
        <v>RT_FALSE</v>
      </c>
      <c r="AE430" s="1" t="str">
        <f>IF(AND(AE$400,COUNTA(AE$404:AE429)+4&lt;=MATCH(AE$402,Tenors_set,0)),_xll.RtContribute(AE$403,AE$3&amp;"FX"&amp;$C430&amp;"S=","BID",{"BID","ASK"},CHOOSE({1,2},IF(AE$401,AE269,AE147/AE$11),IF(AE$401,AE269,AE147)),"SCOPE:SERVER"),"RT_FALSE")</f>
        <v>RT_FALSE</v>
      </c>
      <c r="AF430" s="1" t="str">
        <f>IF(AND(AF$400,COUNTA(AF$404:AF429)+4&lt;=MATCH(AF$402,Tenors_set,0)),_xll.RtContribute(AF$403,AF$3&amp;"FX"&amp;$C430&amp;"S=","BID",{"BID","ASK"},CHOOSE({1,2},IF(AF$401,AF269,AF147/AF$11),IF(AF$401,AF269,AF147)),"SCOPE:SERVER"),"RT_FALSE")</f>
        <v>RT_FALSE</v>
      </c>
      <c r="AG430" s="1" t="str">
        <f>IF(AND(AG$400,COUNTA(AG$404:AG429)+4&lt;=MATCH(AG$402,Tenors_set,0)),_xll.RtContribute(AG$403,AG$3&amp;"FX"&amp;$C430&amp;"S=","BID",{"BID","ASK"},CHOOSE({1,2},IF(AG$401,AG269,AG147/AG$11),IF(AG$401,AG269,AG147)),"SCOPE:SERVER"),"RT_FALSE")</f>
        <v>RT_FALSE</v>
      </c>
      <c r="AH430" s="1" t="str">
        <f>IF(AND(AH$400,COUNTA(AH$404:AH429)+4&lt;=MATCH(AH$402,Tenors_set,0)),_xll.RtContribute(AH$403,AH$3&amp;"FX"&amp;$C430&amp;"S=","BID",{"BID","ASK"},CHOOSE({1,2},IF(AH$401,AH269,AH147/AH$11),IF(AH$401,AH269,AH147)),"SCOPE:SERVER"),"RT_FALSE")</f>
        <v>RT_FALSE</v>
      </c>
      <c r="AI430" s="1" t="str">
        <f>IF(AND(AI$400,COUNTA(AI$404:AI429)+4&lt;=MATCH(AI$402,Tenors_set,0)),_xll.RtContribute(AI$403,AI$3&amp;"FX"&amp;$C430&amp;"S=","BID",{"BID","ASK"},CHOOSE({1,2},IF(AI$401,AI269,AI147/AI$11),IF(AI$401,AI269,AI147)),"SCOPE:SERVER"),"RT_FALSE")</f>
        <v>RT_FALSE</v>
      </c>
      <c r="AJ430" s="1" t="str">
        <f>IF(AND(AJ$400,COUNTA(AJ$404:AJ429)+4&lt;=MATCH(AJ$402,Tenors_set,0)),_xll.RtContribute(AJ$403,AJ$3&amp;"FX"&amp;$C430&amp;"S=","BID",{"BID","ASK"},CHOOSE({1,2},IF(AJ$401,AJ269,AJ147/AJ$11),IF(AJ$401,AJ269,AJ147)),"SCOPE:SERVER"),"RT_FALSE")</f>
        <v>RT_FALSE</v>
      </c>
      <c r="AK430" s="1" t="str">
        <f>IF(AND(AK$400,COUNTA(AK$404:AK429)+4&lt;=MATCH(AK$402,Tenors_set,0)),_xll.RtContribute(AK$403,AK$3&amp;"FX"&amp;$C430&amp;"S=","BID",{"BID","ASK"},CHOOSE({1,2},IF(AK$401,AK269,AK147/AK$11),IF(AK$401,AK269,AK147)),"SCOPE:SERVER"),"RT_FALSE")</f>
        <v>RT_FALSE</v>
      </c>
      <c r="AL430" s="1" t="str">
        <f>IF(AND(AL$400,COUNTA(AL$404:AL429)+4&lt;=MATCH(AL$402,Tenors_set,0)),_xll.RtContribute(AL$403,AL$3&amp;"FX"&amp;$C430&amp;"S=","BID",{"BID","ASK"},CHOOSE({1,2},IF(AL$401,AL269,AL147/AL$11),IF(AL$401,AL269,AL147)),"SCOPE:SERVER"),"RT_FALSE")</f>
        <v>RT_FALSE</v>
      </c>
      <c r="AM430" s="1" t="str">
        <f>IF(AND(AM$400,COUNTA(AM$404:AM429)+4&lt;=MATCH(AM$402,Tenors_set,0)),_xll.RtContribute(AM$403,AM$3&amp;"FX"&amp;$C430&amp;"S=","BID",{"BID","ASK"},CHOOSE({1,2},IF(AM$401,AM269,AM147/AM$11),IF(AM$401,AM269,AM147)),"SCOPE:SERVER"),"RT_FALSE")</f>
        <v>RT_FALSE</v>
      </c>
      <c r="AN430" s="1" t="str">
        <f>IF(AND(AN$400,COUNTA(AN$404:AN429)+4&lt;=MATCH(AN$402,Tenors_set,0)),_xll.RtContribute(AN$403,AN$3&amp;"FX"&amp;$C430&amp;"S=","BID",{"BID","ASK"},CHOOSE({1,2},IF(AN$401,AN269,AN147/AN$11),IF(AN$401,AN269,AN147)),"SCOPE:SERVER"),"RT_FALSE")</f>
        <v>RT_FALSE</v>
      </c>
      <c r="AO430" s="1" t="str">
        <f>IF(AND(AO$400,COUNTA(AO$404:AO429)+4&lt;=MATCH(AO$402,Tenors_set,0)),_xll.RtContribute(AO$403,AO$3&amp;"FX"&amp;$C430&amp;"S=","BID",{"BID","ASK"},CHOOSE({1,2},IF(AO$401,AO269,AO147/AO$11),IF(AO$401,AO269,AO147)),"SCOPE:SERVER"),"RT_FALSE")</f>
        <v>RT_FALSE</v>
      </c>
      <c r="AP430" s="1" t="str">
        <f>IF(AND(AP$400,COUNTA(AP$404:AP429)+4&lt;=MATCH(AP$402,Tenors_set,0)),_xll.RtContribute(AP$403,AP$3&amp;"FX"&amp;$C430&amp;"S=","BID",{"BID","ASK"},CHOOSE({1,2},IF(AP$401,AP269,AP147/AP$11),IF(AP$401,AP269,AP147)),"SCOPE:SERVER"),"RT_FALSE")</f>
        <v>RT_FALSE</v>
      </c>
    </row>
    <row r="431" spans="3:42" x14ac:dyDescent="0.2">
      <c r="C431" s="1" t="s">
        <v>162</v>
      </c>
      <c r="E431" s="1" t="str">
        <f>IF(AND(E$400,COUNTA(E$404:E430)+4&lt;=MATCH(E$402,Tenors_set,0)),_xll.RtContribute(E$403,E$3&amp;"FX"&amp;$C431&amp;"S=","BID",{"BID","ASK"},CHOOSE({1,2},IF(E$401,E270,E148/E$11),IF(E$401,E270,E148)),"SCOPE:SERVER"),"RT_FALSE")</f>
        <v>RT_FALSE</v>
      </c>
      <c r="F431" s="1" t="str">
        <f>IF(AND(F$400,COUNTA(F$404:F430)+4&lt;=MATCH(F$402,Tenors_set,0)),_xll.RtContribute(F$403,F$3&amp;"FX"&amp;$C431&amp;"S=","BID",{"BID","ASK"},CHOOSE({1,2},IF(F$401,F270,F148/F$11),IF(F$401,F270,F148)),"SCOPE:SERVER"),"RT_FALSE")</f>
        <v>RT_FALSE</v>
      </c>
      <c r="G431" s="1" t="str">
        <f>IF(AND(G$400,COUNTA(G$404:G430)+4&lt;=MATCH(G$402,Tenors_set,0)),_xll.RtContribute(G$403,G$3&amp;"FX"&amp;$C431&amp;"S=","BID",{"BID","ASK"},CHOOSE({1,2},IF(G$401,G270,G148/G$11),IF(G$401,G270,G148)),"SCOPE:SERVER"),"RT_FALSE")</f>
        <v>RT_FALSE</v>
      </c>
      <c r="H431" s="1" t="str">
        <f>IF(AND(H$400,COUNTA(H$404:H430)+4&lt;=MATCH(H$402,Tenors_set,0)),_xll.RtContribute(H$403,H$3&amp;"FX"&amp;$C431&amp;"S=","BID",{"BID","ASK"},CHOOSE({1,2},IF(H$401,H270,H148/H$11),IF(H$401,H270,H148)),"SCOPE:SERVER"),"RT_FALSE")</f>
        <v>RT_FALSE</v>
      </c>
      <c r="I431" s="1" t="str">
        <f>IF(AND(I$400,COUNTA(I$404:I430)+4&lt;=MATCH(I$402,Tenors_set,0)),_xll.RtContribute(I$403,I$3&amp;"FX"&amp;$C431&amp;"S=","BID",{"BID","ASK"},CHOOSE({1,2},IF(I$401,I270,I148/I$11),IF(I$401,I270,I148)),"SCOPE:SERVER"),"RT_FALSE")</f>
        <v>RT_FALSE</v>
      </c>
      <c r="J431" s="1" t="str">
        <f>IF(AND(J$400,COUNTA(J$404:J430)+4&lt;=MATCH(J$402,Tenors_set,0)),_xll.RtContribute(J$403,J$3&amp;"FX"&amp;$C431&amp;"S=","BID",{"BID","ASK"},CHOOSE({1,2},IF(J$401,J270,J148/J$11),IF(J$401,J270,J148)),"SCOPE:SERVER"),"RT_FALSE")</f>
        <v>RT_FALSE</v>
      </c>
      <c r="K431" s="1" t="str">
        <f>IF(AND(K$400,COUNTA(K$404:K430)+4&lt;=MATCH(K$402,Tenors_set,0)),_xll.RtContribute(K$403,K$3&amp;"FX"&amp;$C431&amp;"S=","BID",{"BID","ASK"},CHOOSE({1,2},IF(K$401,K270,K148/K$11),IF(K$401,K270,K148)),"SCOPE:SERVER"),"RT_FALSE")</f>
        <v>RT_FALSE</v>
      </c>
      <c r="L431" s="1" t="str">
        <f>IF(AND(L$400,COUNTA(L$404:L430)+4&lt;=MATCH(L$402,Tenors_set,0)),_xll.RtContribute(L$403,L$3&amp;"FX"&amp;$C431&amp;"S=","BID",{"BID","ASK"},CHOOSE({1,2},IF(L$401,L270,L148/L$11),IF(L$401,L270,L148)),"SCOPE:SERVER"),"RT_FALSE")</f>
        <v>RT_FALSE</v>
      </c>
      <c r="M431" s="1" t="str">
        <f>IF(AND(M$400,COUNTA(M$404:M430)+4&lt;=MATCH(M$402,Tenors_set,0)),_xll.RtContribute(M$403,M$3&amp;"FX"&amp;$C431&amp;"S=","BID",{"BID","ASK"},CHOOSE({1,2},IF(M$401,M270,M148/M$11),IF(M$401,M270,M148)),"SCOPE:SERVER"),"RT_FALSE")</f>
        <v>RT_FALSE</v>
      </c>
      <c r="N431" s="1" t="str">
        <f>IF(AND(N$400,COUNTA(N$404:N430)+4&lt;=MATCH(N$402,Tenors_set,0)),_xll.RtContribute(N$403,N$3&amp;"FX"&amp;$C431&amp;"S=","BID",{"BID","ASK"},CHOOSE({1,2},IF(N$401,N270,N148/N$11),IF(N$401,N270,N148)),"SCOPE:SERVER"),"RT_FALSE")</f>
        <v>RT_FALSE</v>
      </c>
      <c r="O431" s="1" t="str">
        <f>IF(AND(O$400,COUNTA(O$404:O430)+4&lt;=MATCH(O$402,Tenors_set,0)),_xll.RtContribute(O$403,O$3&amp;"FX"&amp;$C431&amp;"S=","BID",{"BID","ASK"},CHOOSE({1,2},IF(O$401,O270,O148/O$11),IF(O$401,O270,O148)),"SCOPE:SERVER"),"RT_FALSE")</f>
        <v>RT_FALSE</v>
      </c>
      <c r="P431" s="1" t="str">
        <f>IF(AND(P$400,COUNTA(P$404:P430)+4&lt;=MATCH(P$402,Tenors_set,0)),_xll.RtContribute(P$403,P$3&amp;"FX"&amp;$C431&amp;"S=","BID",{"BID","ASK"},CHOOSE({1,2},IF(P$401,P270,P148/P$11),IF(P$401,P270,P148)),"SCOPE:SERVER"),"RT_FALSE")</f>
        <v>RT_FALSE</v>
      </c>
      <c r="Q431" s="1" t="str">
        <f>IF(AND(Q$400,COUNTA(Q$404:Q430)+4&lt;=MATCH(Q$402,Tenors_set,0)),_xll.RtContribute(Q$403,Q$3&amp;"FX"&amp;$C431&amp;"S=","BID",{"BID","ASK"},CHOOSE({1,2},IF(Q$401,Q270,Q148/Q$11),IF(Q$401,Q270,Q148)),"SCOPE:SERVER"),"RT_FALSE")</f>
        <v>RT_FALSE</v>
      </c>
      <c r="R431" s="1" t="str">
        <f>IF(AND(R$400,COUNTA(R$404:R430)+4&lt;=MATCH(R$402,Tenors_set,0)),_xll.RtContribute(R$403,R$3&amp;"FX"&amp;$C431&amp;"S=","BID",{"BID","ASK"},CHOOSE({1,2},IF(R$401,R270,R148/R$11),IF(R$401,R270,R148)),"SCOPE:SERVER"),"RT_FALSE")</f>
        <v>RT_FALSE</v>
      </c>
      <c r="S431" s="1" t="str">
        <f>IF(AND(S$400,COUNTA(S$404:S430)+4&lt;=MATCH(S$402,Tenors_set,0)),_xll.RtContribute(S$403,S$3&amp;"FX"&amp;$C431&amp;"S=","BID",{"BID","ASK"},CHOOSE({1,2},IF(S$401,S270,S148/S$11),IF(S$401,S270,S148)),"SCOPE:SERVER"),"RT_FALSE")</f>
        <v>RT_FALSE</v>
      </c>
      <c r="T431" s="1" t="str">
        <f>IF(AND(T$400,COUNTA(T$404:T430)+4&lt;=MATCH(T$402,Tenors_set,0)),_xll.RtContribute(T$403,T$3&amp;"FX"&amp;$C431&amp;"S=","BID",{"BID","ASK"},CHOOSE({1,2},IF(T$401,T270,T148/T$11),IF(T$401,T270,T148)),"SCOPE:SERVER"),"RT_FALSE")</f>
        <v>RT_FALSE</v>
      </c>
      <c r="U431" s="1" t="str">
        <f>IF(AND(U$400,COUNTA(U$404:U430)+4&lt;=MATCH(U$402,Tenors_set,0)),_xll.RtContribute(U$403,U$3&amp;"FX"&amp;$C431&amp;"S=","BID",{"BID","ASK"},CHOOSE({1,2},IF(U$401,U270,U148/U$11),IF(U$401,U270,U148)),"SCOPE:SERVER"),"RT_FALSE")</f>
        <v>RT_FALSE</v>
      </c>
      <c r="V431" s="1" t="str">
        <f>IF(AND(V$400,COUNTA(V$404:V430)+4&lt;=MATCH(V$402,Tenors_set,0)),_xll.RtContribute(V$403,V$3&amp;"FX"&amp;$C431&amp;"S=","BID",{"BID","ASK"},CHOOSE({1,2},IF(V$401,V270,V148/V$11),IF(V$401,V270,V148)),"SCOPE:SERVER"),"RT_FALSE")</f>
        <v>RT_FALSE</v>
      </c>
      <c r="W431" s="1" t="str">
        <f>IF(AND(W$400,COUNTA(W$404:W430)+4&lt;=MATCH(W$402,Tenors_set,0)),_xll.RtContribute(W$403,W$3&amp;"FX"&amp;$C431&amp;"S=","BID",{"BID","ASK"},CHOOSE({1,2},IF(W$401,W270,W148/W$11),IF(W$401,W270,W148)),"SCOPE:SERVER"),"RT_FALSE")</f>
        <v>RT_FALSE</v>
      </c>
      <c r="X431" s="1" t="str">
        <f>IF(AND(X$400,COUNTA(X$404:X430)+4&lt;=MATCH(X$402,Tenors_set,0)),_xll.RtContribute(X$403,X$3&amp;"FX"&amp;$C431&amp;"S=","BID",{"BID","ASK"},CHOOSE({1,2},IF(X$401,X270,X148/X$11),IF(X$401,X270,X148)),"SCOPE:SERVER"),"RT_FALSE")</f>
        <v>RT_FALSE</v>
      </c>
      <c r="Y431" s="1" t="str">
        <f>IF(AND(Y$400,COUNTA(Y$404:Y430)+4&lt;=MATCH(Y$402,Tenors_set,0)),_xll.RtContribute(Y$403,Y$3&amp;"FX"&amp;$C431&amp;"S=","BID",{"BID","ASK"},CHOOSE({1,2},IF(Y$401,Y270,Y148/Y$11),IF(Y$401,Y270,Y148)),"SCOPE:SERVER"),"RT_FALSE")</f>
        <v>RT_FALSE</v>
      </c>
      <c r="Z431" s="1" t="str">
        <f>IF(AND(Z$400,COUNTA(Z$404:Z430)+4&lt;=MATCH(Z$402,Tenors_set,0)),_xll.RtContribute(Z$403,Z$3&amp;"FX"&amp;$C431&amp;"S=","BID",{"BID","ASK"},CHOOSE({1,2},IF(Z$401,Z270,Z148/Z$11),IF(Z$401,Z270,Z148)),"SCOPE:SERVER"),"RT_FALSE")</f>
        <v>RT_FALSE</v>
      </c>
      <c r="AA431" s="1" t="str">
        <f>IF(AND(AA$400,COUNTA(AA$404:AA430)+4&lt;=MATCH(AA$402,Tenors_set,0)),_xll.RtContribute(AA$403,AA$3&amp;"FX"&amp;$C431&amp;"S=","BID",{"BID","ASK"},CHOOSE({1,2},IF(AA$401,AA270,AA148/AA$11),IF(AA$401,AA270,AA148)),"SCOPE:SERVER"),"RT_FALSE")</f>
        <v>RT_FALSE</v>
      </c>
      <c r="AB431" s="1" t="str">
        <f>IF(AND(AB$400,COUNTA(AB$404:AB430)+4&lt;=MATCH(AB$402,Tenors_set,0)),_xll.RtContribute(AB$403,AB$3&amp;"FX"&amp;$C431&amp;"S=","BID",{"BID","ASK"},CHOOSE({1,2},IF(AB$401,AB270,AB148/AB$11),IF(AB$401,AB270,AB148)),"SCOPE:SERVER"),"RT_FALSE")</f>
        <v>RT_FALSE</v>
      </c>
      <c r="AC431" s="1" t="str">
        <f>IF(AND(AC$400,COUNTA(AC$404:AC430)+4&lt;=MATCH(AC$402,Tenors_set,0)),_xll.RtContribute(AC$403,AC$3&amp;"FX"&amp;$C431&amp;"S=","BID",{"BID","ASK"},CHOOSE({1,2},IF(AC$401,AC270,AC148/AC$11),IF(AC$401,AC270,AC148)),"SCOPE:SERVER"),"RT_FALSE")</f>
        <v>RT_FALSE</v>
      </c>
      <c r="AD431" s="1" t="str">
        <f>IF(AND(AD$400,COUNTA(AD$404:AD430)+4&lt;=MATCH(AD$402,Tenors_set,0)),_xll.RtContribute(AD$403,AD$3&amp;"FX"&amp;$C431&amp;"S=","BID",{"BID","ASK"},CHOOSE({1,2},IF(AD$401,AD270,AD148/AD$11),IF(AD$401,AD270,AD148)),"SCOPE:SERVER"),"RT_FALSE")</f>
        <v>RT_FALSE</v>
      </c>
      <c r="AE431" s="1" t="str">
        <f>IF(AND(AE$400,COUNTA(AE$404:AE430)+4&lt;=MATCH(AE$402,Tenors_set,0)),_xll.RtContribute(AE$403,AE$3&amp;"FX"&amp;$C431&amp;"S=","BID",{"BID","ASK"},CHOOSE({1,2},IF(AE$401,AE270,AE148/AE$11),IF(AE$401,AE270,AE148)),"SCOPE:SERVER"),"RT_FALSE")</f>
        <v>RT_FALSE</v>
      </c>
      <c r="AF431" s="1" t="str">
        <f>IF(AND(AF$400,COUNTA(AF$404:AF430)+4&lt;=MATCH(AF$402,Tenors_set,0)),_xll.RtContribute(AF$403,AF$3&amp;"FX"&amp;$C431&amp;"S=","BID",{"BID","ASK"},CHOOSE({1,2},IF(AF$401,AF270,AF148/AF$11),IF(AF$401,AF270,AF148)),"SCOPE:SERVER"),"RT_FALSE")</f>
        <v>RT_FALSE</v>
      </c>
      <c r="AG431" s="1" t="str">
        <f>IF(AND(AG$400,COUNTA(AG$404:AG430)+4&lt;=MATCH(AG$402,Tenors_set,0)),_xll.RtContribute(AG$403,AG$3&amp;"FX"&amp;$C431&amp;"S=","BID",{"BID","ASK"},CHOOSE({1,2},IF(AG$401,AG270,AG148/AG$11),IF(AG$401,AG270,AG148)),"SCOPE:SERVER"),"RT_FALSE")</f>
        <v>RT_FALSE</v>
      </c>
      <c r="AH431" s="1" t="str">
        <f>IF(AND(AH$400,COUNTA(AH$404:AH430)+4&lt;=MATCH(AH$402,Tenors_set,0)),_xll.RtContribute(AH$403,AH$3&amp;"FX"&amp;$C431&amp;"S=","BID",{"BID","ASK"},CHOOSE({1,2},IF(AH$401,AH270,AH148/AH$11),IF(AH$401,AH270,AH148)),"SCOPE:SERVER"),"RT_FALSE")</f>
        <v>RT_FALSE</v>
      </c>
      <c r="AI431" s="1" t="str">
        <f>IF(AND(AI$400,COUNTA(AI$404:AI430)+4&lt;=MATCH(AI$402,Tenors_set,0)),_xll.RtContribute(AI$403,AI$3&amp;"FX"&amp;$C431&amp;"S=","BID",{"BID","ASK"},CHOOSE({1,2},IF(AI$401,AI270,AI148/AI$11),IF(AI$401,AI270,AI148)),"SCOPE:SERVER"),"RT_FALSE")</f>
        <v>RT_FALSE</v>
      </c>
      <c r="AJ431" s="1" t="str">
        <f>IF(AND(AJ$400,COUNTA(AJ$404:AJ430)+4&lt;=MATCH(AJ$402,Tenors_set,0)),_xll.RtContribute(AJ$403,AJ$3&amp;"FX"&amp;$C431&amp;"S=","BID",{"BID","ASK"},CHOOSE({1,2},IF(AJ$401,AJ270,AJ148/AJ$11),IF(AJ$401,AJ270,AJ148)),"SCOPE:SERVER"),"RT_FALSE")</f>
        <v>RT_FALSE</v>
      </c>
      <c r="AK431" s="1" t="str">
        <f>IF(AND(AK$400,COUNTA(AK$404:AK430)+4&lt;=MATCH(AK$402,Tenors_set,0)),_xll.RtContribute(AK$403,AK$3&amp;"FX"&amp;$C431&amp;"S=","BID",{"BID","ASK"},CHOOSE({1,2},IF(AK$401,AK270,AK148/AK$11),IF(AK$401,AK270,AK148)),"SCOPE:SERVER"),"RT_FALSE")</f>
        <v>RT_FALSE</v>
      </c>
      <c r="AL431" s="1" t="str">
        <f>IF(AND(AL$400,COUNTA(AL$404:AL430)+4&lt;=MATCH(AL$402,Tenors_set,0)),_xll.RtContribute(AL$403,AL$3&amp;"FX"&amp;$C431&amp;"S=","BID",{"BID","ASK"},CHOOSE({1,2},IF(AL$401,AL270,AL148/AL$11),IF(AL$401,AL270,AL148)),"SCOPE:SERVER"),"RT_FALSE")</f>
        <v>RT_FALSE</v>
      </c>
      <c r="AM431" s="1" t="str">
        <f>IF(AND(AM$400,COUNTA(AM$404:AM430)+4&lt;=MATCH(AM$402,Tenors_set,0)),_xll.RtContribute(AM$403,AM$3&amp;"FX"&amp;$C431&amp;"S=","BID",{"BID","ASK"},CHOOSE({1,2},IF(AM$401,AM270,AM148/AM$11),IF(AM$401,AM270,AM148)),"SCOPE:SERVER"),"RT_FALSE")</f>
        <v>RT_FALSE</v>
      </c>
      <c r="AN431" s="1" t="str">
        <f>IF(AND(AN$400,COUNTA(AN$404:AN430)+4&lt;=MATCH(AN$402,Tenors_set,0)),_xll.RtContribute(AN$403,AN$3&amp;"FX"&amp;$C431&amp;"S=","BID",{"BID","ASK"},CHOOSE({1,2},IF(AN$401,AN270,AN148/AN$11),IF(AN$401,AN270,AN148)),"SCOPE:SERVER"),"RT_FALSE")</f>
        <v>RT_FALSE</v>
      </c>
      <c r="AO431" s="1" t="str">
        <f>IF(AND(AO$400,COUNTA(AO$404:AO430)+4&lt;=MATCH(AO$402,Tenors_set,0)),_xll.RtContribute(AO$403,AO$3&amp;"FX"&amp;$C431&amp;"S=","BID",{"BID","ASK"},CHOOSE({1,2},IF(AO$401,AO270,AO148/AO$11),IF(AO$401,AO270,AO148)),"SCOPE:SERVER"),"RT_FALSE")</f>
        <v>RT_FALSE</v>
      </c>
      <c r="AP431" s="1" t="str">
        <f>IF(AND(AP$400,COUNTA(AP$404:AP430)+4&lt;=MATCH(AP$402,Tenors_set,0)),_xll.RtContribute(AP$403,AP$3&amp;"FX"&amp;$C431&amp;"S=","BID",{"BID","ASK"},CHOOSE({1,2},IF(AP$401,AP270,AP148/AP$11),IF(AP$401,AP270,AP148)),"SCOPE:SERVER"),"RT_FALSE")</f>
        <v>RT_FALSE</v>
      </c>
    </row>
    <row r="432" spans="3:42" x14ac:dyDescent="0.2">
      <c r="C432" s="1" t="s">
        <v>164</v>
      </c>
      <c r="E432" s="1" t="str">
        <f>IF(AND(E$400,COUNTA(E$404:E431)+4&lt;=MATCH(E$402,Tenors_set,0)),_xll.RtContribute(E$403,E$3&amp;"FX"&amp;$C432&amp;"S=","BID",{"BID","ASK"},CHOOSE({1,2},IF(E$401,E271,E149/E$11),IF(E$401,E271,E149)),"SCOPE:SERVER"),"RT_FALSE")</f>
        <v>RT_FALSE</v>
      </c>
      <c r="F432" s="1" t="str">
        <f>IF(AND(F$400,COUNTA(F$404:F431)+4&lt;=MATCH(F$402,Tenors_set,0)),_xll.RtContribute(F$403,F$3&amp;"FX"&amp;$C432&amp;"S=","BID",{"BID","ASK"},CHOOSE({1,2},IF(F$401,F271,F149/F$11),IF(F$401,F271,F149)),"SCOPE:SERVER"),"RT_FALSE")</f>
        <v>RT_FALSE</v>
      </c>
      <c r="G432" s="1" t="str">
        <f>IF(AND(G$400,COUNTA(G$404:G431)+4&lt;=MATCH(G$402,Tenors_set,0)),_xll.RtContribute(G$403,G$3&amp;"FX"&amp;$C432&amp;"S=","BID",{"BID","ASK"},CHOOSE({1,2},IF(G$401,G271,G149/G$11),IF(G$401,G271,G149)),"SCOPE:SERVER"),"RT_FALSE")</f>
        <v>RT_FALSE</v>
      </c>
      <c r="H432" s="1" t="str">
        <f>IF(AND(H$400,COUNTA(H$404:H431)+4&lt;=MATCH(H$402,Tenors_set,0)),_xll.RtContribute(H$403,H$3&amp;"FX"&amp;$C432&amp;"S=","BID",{"BID","ASK"},CHOOSE({1,2},IF(H$401,H271,H149/H$11),IF(H$401,H271,H149)),"SCOPE:SERVER"),"RT_FALSE")</f>
        <v>RT_FALSE</v>
      </c>
      <c r="I432" s="1" t="str">
        <f>IF(AND(I$400,COUNTA(I$404:I431)+4&lt;=MATCH(I$402,Tenors_set,0)),_xll.RtContribute(I$403,I$3&amp;"FX"&amp;$C432&amp;"S=","BID",{"BID","ASK"},CHOOSE({1,2},IF(I$401,I271,I149/I$11),IF(I$401,I271,I149)),"SCOPE:SERVER"),"RT_FALSE")</f>
        <v>RT_FALSE</v>
      </c>
      <c r="J432" s="1" t="str">
        <f>IF(AND(J$400,COUNTA(J$404:J431)+4&lt;=MATCH(J$402,Tenors_set,0)),_xll.RtContribute(J$403,J$3&amp;"FX"&amp;$C432&amp;"S=","BID",{"BID","ASK"},CHOOSE({1,2},IF(J$401,J271,J149/J$11),IF(J$401,J271,J149)),"SCOPE:SERVER"),"RT_FALSE")</f>
        <v>RT_FALSE</v>
      </c>
      <c r="K432" s="1" t="str">
        <f>IF(AND(K$400,COUNTA(K$404:K431)+4&lt;=MATCH(K$402,Tenors_set,0)),_xll.RtContribute(K$403,K$3&amp;"FX"&amp;$C432&amp;"S=","BID",{"BID","ASK"},CHOOSE({1,2},IF(K$401,K271,K149/K$11),IF(K$401,K271,K149)),"SCOPE:SERVER"),"RT_FALSE")</f>
        <v>RT_FALSE</v>
      </c>
      <c r="L432" s="1" t="str">
        <f>IF(AND(L$400,COUNTA(L$404:L431)+4&lt;=MATCH(L$402,Tenors_set,0)),_xll.RtContribute(L$403,L$3&amp;"FX"&amp;$C432&amp;"S=","BID",{"BID","ASK"},CHOOSE({1,2},IF(L$401,L271,L149/L$11),IF(L$401,L271,L149)),"SCOPE:SERVER"),"RT_FALSE")</f>
        <v>RT_FALSE</v>
      </c>
      <c r="M432" s="1" t="str">
        <f>IF(AND(M$400,COUNTA(M$404:M431)+4&lt;=MATCH(M$402,Tenors_set,0)),_xll.RtContribute(M$403,M$3&amp;"FX"&amp;$C432&amp;"S=","BID",{"BID","ASK"},CHOOSE({1,2},IF(M$401,M271,M149/M$11),IF(M$401,M271,M149)),"SCOPE:SERVER"),"RT_FALSE")</f>
        <v>RT_FALSE</v>
      </c>
      <c r="N432" s="1" t="str">
        <f>IF(AND(N$400,COUNTA(N$404:N431)+4&lt;=MATCH(N$402,Tenors_set,0)),_xll.RtContribute(N$403,N$3&amp;"FX"&amp;$C432&amp;"S=","BID",{"BID","ASK"},CHOOSE({1,2},IF(N$401,N271,N149/N$11),IF(N$401,N271,N149)),"SCOPE:SERVER"),"RT_FALSE")</f>
        <v>RT_FALSE</v>
      </c>
      <c r="O432" s="1" t="str">
        <f>IF(AND(O$400,COUNTA(O$404:O431)+4&lt;=MATCH(O$402,Tenors_set,0)),_xll.RtContribute(O$403,O$3&amp;"FX"&amp;$C432&amp;"S=","BID",{"BID","ASK"},CHOOSE({1,2},IF(O$401,O271,O149/O$11),IF(O$401,O271,O149)),"SCOPE:SERVER"),"RT_FALSE")</f>
        <v>RT_FALSE</v>
      </c>
      <c r="P432" s="1" t="str">
        <f>IF(AND(P$400,COUNTA(P$404:P431)+4&lt;=MATCH(P$402,Tenors_set,0)),_xll.RtContribute(P$403,P$3&amp;"FX"&amp;$C432&amp;"S=","BID",{"BID","ASK"},CHOOSE({1,2},IF(P$401,P271,P149/P$11),IF(P$401,P271,P149)),"SCOPE:SERVER"),"RT_FALSE")</f>
        <v>RT_FALSE</v>
      </c>
      <c r="Q432" s="1" t="str">
        <f>IF(AND(Q$400,COUNTA(Q$404:Q431)+4&lt;=MATCH(Q$402,Tenors_set,0)),_xll.RtContribute(Q$403,Q$3&amp;"FX"&amp;$C432&amp;"S=","BID",{"BID","ASK"},CHOOSE({1,2},IF(Q$401,Q271,Q149/Q$11),IF(Q$401,Q271,Q149)),"SCOPE:SERVER"),"RT_FALSE")</f>
        <v>RT_FALSE</v>
      </c>
      <c r="R432" s="1" t="str">
        <f>IF(AND(R$400,COUNTA(R$404:R431)+4&lt;=MATCH(R$402,Tenors_set,0)),_xll.RtContribute(R$403,R$3&amp;"FX"&amp;$C432&amp;"S=","BID",{"BID","ASK"},CHOOSE({1,2},IF(R$401,R271,R149/R$11),IF(R$401,R271,R149)),"SCOPE:SERVER"),"RT_FALSE")</f>
        <v>RT_FALSE</v>
      </c>
      <c r="S432" s="1" t="str">
        <f>IF(AND(S$400,COUNTA(S$404:S431)+4&lt;=MATCH(S$402,Tenors_set,0)),_xll.RtContribute(S$403,S$3&amp;"FX"&amp;$C432&amp;"S=","BID",{"BID","ASK"},CHOOSE({1,2},IF(S$401,S271,S149/S$11),IF(S$401,S271,S149)),"SCOPE:SERVER"),"RT_FALSE")</f>
        <v>RT_FALSE</v>
      </c>
      <c r="T432" s="1" t="str">
        <f>IF(AND(T$400,COUNTA(T$404:T431)+4&lt;=MATCH(T$402,Tenors_set,0)),_xll.RtContribute(T$403,T$3&amp;"FX"&amp;$C432&amp;"S=","BID",{"BID","ASK"},CHOOSE({1,2},IF(T$401,T271,T149/T$11),IF(T$401,T271,T149)),"SCOPE:SERVER"),"RT_FALSE")</f>
        <v>RT_FALSE</v>
      </c>
      <c r="U432" s="1" t="str">
        <f>IF(AND(U$400,COUNTA(U$404:U431)+4&lt;=MATCH(U$402,Tenors_set,0)),_xll.RtContribute(U$403,U$3&amp;"FX"&amp;$C432&amp;"S=","BID",{"BID","ASK"},CHOOSE({1,2},IF(U$401,U271,U149/U$11),IF(U$401,U271,U149)),"SCOPE:SERVER"),"RT_FALSE")</f>
        <v>RT_FALSE</v>
      </c>
      <c r="V432" s="1" t="str">
        <f>IF(AND(V$400,COUNTA(V$404:V431)+4&lt;=MATCH(V$402,Tenors_set,0)),_xll.RtContribute(V$403,V$3&amp;"FX"&amp;$C432&amp;"S=","BID",{"BID","ASK"},CHOOSE({1,2},IF(V$401,V271,V149/V$11),IF(V$401,V271,V149)),"SCOPE:SERVER"),"RT_FALSE")</f>
        <v>RT_FALSE</v>
      </c>
      <c r="W432" s="1" t="str">
        <f>IF(AND(W$400,COUNTA(W$404:W431)+4&lt;=MATCH(W$402,Tenors_set,0)),_xll.RtContribute(W$403,W$3&amp;"FX"&amp;$C432&amp;"S=","BID",{"BID","ASK"},CHOOSE({1,2},IF(W$401,W271,W149/W$11),IF(W$401,W271,W149)),"SCOPE:SERVER"),"RT_FALSE")</f>
        <v>RT_FALSE</v>
      </c>
      <c r="X432" s="1" t="str">
        <f>IF(AND(X$400,COUNTA(X$404:X431)+4&lt;=MATCH(X$402,Tenors_set,0)),_xll.RtContribute(X$403,X$3&amp;"FX"&amp;$C432&amp;"S=","BID",{"BID","ASK"},CHOOSE({1,2},IF(X$401,X271,X149/X$11),IF(X$401,X271,X149)),"SCOPE:SERVER"),"RT_FALSE")</f>
        <v>RT_FALSE</v>
      </c>
      <c r="Y432" s="1" t="str">
        <f>IF(AND(Y$400,COUNTA(Y$404:Y431)+4&lt;=MATCH(Y$402,Tenors_set,0)),_xll.RtContribute(Y$403,Y$3&amp;"FX"&amp;$C432&amp;"S=","BID",{"BID","ASK"},CHOOSE({1,2},IF(Y$401,Y271,Y149/Y$11),IF(Y$401,Y271,Y149)),"SCOPE:SERVER"),"RT_FALSE")</f>
        <v>RT_FALSE</v>
      </c>
      <c r="Z432" s="1" t="str">
        <f>IF(AND(Z$400,COUNTA(Z$404:Z431)+4&lt;=MATCH(Z$402,Tenors_set,0)),_xll.RtContribute(Z$403,Z$3&amp;"FX"&amp;$C432&amp;"S=","BID",{"BID","ASK"},CHOOSE({1,2},IF(Z$401,Z271,Z149/Z$11),IF(Z$401,Z271,Z149)),"SCOPE:SERVER"),"RT_FALSE")</f>
        <v>RT_FALSE</v>
      </c>
      <c r="AA432" s="1" t="str">
        <f>IF(AND(AA$400,COUNTA(AA$404:AA431)+4&lt;=MATCH(AA$402,Tenors_set,0)),_xll.RtContribute(AA$403,AA$3&amp;"FX"&amp;$C432&amp;"S=","BID",{"BID","ASK"},CHOOSE({1,2},IF(AA$401,AA271,AA149/AA$11),IF(AA$401,AA271,AA149)),"SCOPE:SERVER"),"RT_FALSE")</f>
        <v>RT_FALSE</v>
      </c>
      <c r="AB432" s="1" t="str">
        <f>IF(AND(AB$400,COUNTA(AB$404:AB431)+4&lt;=MATCH(AB$402,Tenors_set,0)),_xll.RtContribute(AB$403,AB$3&amp;"FX"&amp;$C432&amp;"S=","BID",{"BID","ASK"},CHOOSE({1,2},IF(AB$401,AB271,AB149/AB$11),IF(AB$401,AB271,AB149)),"SCOPE:SERVER"),"RT_FALSE")</f>
        <v>RT_FALSE</v>
      </c>
      <c r="AC432" s="1" t="str">
        <f>IF(AND(AC$400,COUNTA(AC$404:AC431)+4&lt;=MATCH(AC$402,Tenors_set,0)),_xll.RtContribute(AC$403,AC$3&amp;"FX"&amp;$C432&amp;"S=","BID",{"BID","ASK"},CHOOSE({1,2},IF(AC$401,AC271,AC149/AC$11),IF(AC$401,AC271,AC149)),"SCOPE:SERVER"),"RT_FALSE")</f>
        <v>RT_FALSE</v>
      </c>
      <c r="AD432" s="1" t="str">
        <f>IF(AND(AD$400,COUNTA(AD$404:AD431)+4&lt;=MATCH(AD$402,Tenors_set,0)),_xll.RtContribute(AD$403,AD$3&amp;"FX"&amp;$C432&amp;"S=","BID",{"BID","ASK"},CHOOSE({1,2},IF(AD$401,AD271,AD149/AD$11),IF(AD$401,AD271,AD149)),"SCOPE:SERVER"),"RT_FALSE")</f>
        <v>RT_FALSE</v>
      </c>
      <c r="AE432" s="1" t="str">
        <f>IF(AND(AE$400,COUNTA(AE$404:AE431)+4&lt;=MATCH(AE$402,Tenors_set,0)),_xll.RtContribute(AE$403,AE$3&amp;"FX"&amp;$C432&amp;"S=","BID",{"BID","ASK"},CHOOSE({1,2},IF(AE$401,AE271,AE149/AE$11),IF(AE$401,AE271,AE149)),"SCOPE:SERVER"),"RT_FALSE")</f>
        <v>RT_FALSE</v>
      </c>
      <c r="AF432" s="1" t="str">
        <f>IF(AND(AF$400,COUNTA(AF$404:AF431)+4&lt;=MATCH(AF$402,Tenors_set,0)),_xll.RtContribute(AF$403,AF$3&amp;"FX"&amp;$C432&amp;"S=","BID",{"BID","ASK"},CHOOSE({1,2},IF(AF$401,AF271,AF149/AF$11),IF(AF$401,AF271,AF149)),"SCOPE:SERVER"),"RT_FALSE")</f>
        <v>RT_FALSE</v>
      </c>
      <c r="AG432" s="1" t="str">
        <f>IF(AND(AG$400,COUNTA(AG$404:AG431)+4&lt;=MATCH(AG$402,Tenors_set,0)),_xll.RtContribute(AG$403,AG$3&amp;"FX"&amp;$C432&amp;"S=","BID",{"BID","ASK"},CHOOSE({1,2},IF(AG$401,AG271,AG149/AG$11),IF(AG$401,AG271,AG149)),"SCOPE:SERVER"),"RT_FALSE")</f>
        <v>RT_FALSE</v>
      </c>
      <c r="AH432" s="1" t="str">
        <f>IF(AND(AH$400,COUNTA(AH$404:AH431)+4&lt;=MATCH(AH$402,Tenors_set,0)),_xll.RtContribute(AH$403,AH$3&amp;"FX"&amp;$C432&amp;"S=","BID",{"BID","ASK"},CHOOSE({1,2},IF(AH$401,AH271,AH149/AH$11),IF(AH$401,AH271,AH149)),"SCOPE:SERVER"),"RT_FALSE")</f>
        <v>RT_FALSE</v>
      </c>
      <c r="AI432" s="1" t="str">
        <f>IF(AND(AI$400,COUNTA(AI$404:AI431)+4&lt;=MATCH(AI$402,Tenors_set,0)),_xll.RtContribute(AI$403,AI$3&amp;"FX"&amp;$C432&amp;"S=","BID",{"BID","ASK"},CHOOSE({1,2},IF(AI$401,AI271,AI149/AI$11),IF(AI$401,AI271,AI149)),"SCOPE:SERVER"),"RT_FALSE")</f>
        <v>RT_FALSE</v>
      </c>
      <c r="AJ432" s="1" t="str">
        <f>IF(AND(AJ$400,COUNTA(AJ$404:AJ431)+4&lt;=MATCH(AJ$402,Tenors_set,0)),_xll.RtContribute(AJ$403,AJ$3&amp;"FX"&amp;$C432&amp;"S=","BID",{"BID","ASK"},CHOOSE({1,2},IF(AJ$401,AJ271,AJ149/AJ$11),IF(AJ$401,AJ271,AJ149)),"SCOPE:SERVER"),"RT_FALSE")</f>
        <v>RT_FALSE</v>
      </c>
      <c r="AK432" s="1" t="str">
        <f>IF(AND(AK$400,COUNTA(AK$404:AK431)+4&lt;=MATCH(AK$402,Tenors_set,0)),_xll.RtContribute(AK$403,AK$3&amp;"FX"&amp;$C432&amp;"S=","BID",{"BID","ASK"},CHOOSE({1,2},IF(AK$401,AK271,AK149/AK$11),IF(AK$401,AK271,AK149)),"SCOPE:SERVER"),"RT_FALSE")</f>
        <v>RT_FALSE</v>
      </c>
      <c r="AL432" s="1" t="str">
        <f>IF(AND(AL$400,COUNTA(AL$404:AL431)+4&lt;=MATCH(AL$402,Tenors_set,0)),_xll.RtContribute(AL$403,AL$3&amp;"FX"&amp;$C432&amp;"S=","BID",{"BID","ASK"},CHOOSE({1,2},IF(AL$401,AL271,AL149/AL$11),IF(AL$401,AL271,AL149)),"SCOPE:SERVER"),"RT_FALSE")</f>
        <v>RT_FALSE</v>
      </c>
      <c r="AM432" s="1" t="str">
        <f>IF(AND(AM$400,COUNTA(AM$404:AM431)+4&lt;=MATCH(AM$402,Tenors_set,0)),_xll.RtContribute(AM$403,AM$3&amp;"FX"&amp;$C432&amp;"S=","BID",{"BID","ASK"},CHOOSE({1,2},IF(AM$401,AM271,AM149/AM$11),IF(AM$401,AM271,AM149)),"SCOPE:SERVER"),"RT_FALSE")</f>
        <v>RT_FALSE</v>
      </c>
      <c r="AN432" s="1" t="str">
        <f>IF(AND(AN$400,COUNTA(AN$404:AN431)+4&lt;=MATCH(AN$402,Tenors_set,0)),_xll.RtContribute(AN$403,AN$3&amp;"FX"&amp;$C432&amp;"S=","BID",{"BID","ASK"},CHOOSE({1,2},IF(AN$401,AN271,AN149/AN$11),IF(AN$401,AN271,AN149)),"SCOPE:SERVER"),"RT_FALSE")</f>
        <v>RT_FALSE</v>
      </c>
      <c r="AO432" s="1" t="str">
        <f>IF(AND(AO$400,COUNTA(AO$404:AO431)+4&lt;=MATCH(AO$402,Tenors_set,0)),_xll.RtContribute(AO$403,AO$3&amp;"FX"&amp;$C432&amp;"S=","BID",{"BID","ASK"},CHOOSE({1,2},IF(AO$401,AO271,AO149/AO$11),IF(AO$401,AO271,AO149)),"SCOPE:SERVER"),"RT_FALSE")</f>
        <v>RT_FALSE</v>
      </c>
      <c r="AP432" s="1" t="str">
        <f>IF(AND(AP$400,COUNTA(AP$404:AP431)+4&lt;=MATCH(AP$402,Tenors_set,0)),_xll.RtContribute(AP$403,AP$3&amp;"FX"&amp;$C432&amp;"S=","BID",{"BID","ASK"},CHOOSE({1,2},IF(AP$401,AP271,AP149/AP$11),IF(AP$401,AP271,AP149)),"SCOPE:SERVER"),"RT_FALSE")</f>
        <v>RT_FALSE</v>
      </c>
    </row>
    <row r="433" spans="3:42" x14ac:dyDescent="0.2">
      <c r="C433" s="4" t="s">
        <v>317</v>
      </c>
    </row>
    <row r="434" spans="3:42" x14ac:dyDescent="0.2">
      <c r="C434" s="1" t="s">
        <v>248</v>
      </c>
      <c r="D434" s="4" t="b">
        <v>0</v>
      </c>
      <c r="E434" s="1" t="b">
        <f>D434</f>
        <v>0</v>
      </c>
      <c r="F434" s="1" t="b">
        <f t="shared" ref="F434:AP434" si="243">E434</f>
        <v>0</v>
      </c>
      <c r="G434" s="1" t="b">
        <f t="shared" si="243"/>
        <v>0</v>
      </c>
      <c r="H434" s="1" t="b">
        <f t="shared" si="243"/>
        <v>0</v>
      </c>
      <c r="I434" s="1" t="b">
        <f t="shared" si="243"/>
        <v>0</v>
      </c>
      <c r="J434" s="1" t="b">
        <f t="shared" si="243"/>
        <v>0</v>
      </c>
      <c r="K434" s="1" t="b">
        <f t="shared" si="243"/>
        <v>0</v>
      </c>
      <c r="L434" s="1" t="b">
        <f t="shared" si="243"/>
        <v>0</v>
      </c>
      <c r="M434" s="1" t="b">
        <f t="shared" si="243"/>
        <v>0</v>
      </c>
      <c r="N434" s="1" t="b">
        <f t="shared" si="243"/>
        <v>0</v>
      </c>
      <c r="O434" s="1" t="b">
        <f t="shared" si="243"/>
        <v>0</v>
      </c>
      <c r="P434" s="1" t="b">
        <f t="shared" si="243"/>
        <v>0</v>
      </c>
      <c r="Q434" s="1" t="b">
        <f t="shared" si="243"/>
        <v>0</v>
      </c>
      <c r="R434" s="1" t="b">
        <f t="shared" si="243"/>
        <v>0</v>
      </c>
      <c r="S434" s="1" t="b">
        <f t="shared" si="243"/>
        <v>0</v>
      </c>
      <c r="T434" s="1" t="b">
        <f t="shared" si="243"/>
        <v>0</v>
      </c>
      <c r="U434" s="1" t="b">
        <f t="shared" si="243"/>
        <v>0</v>
      </c>
      <c r="V434" s="1" t="b">
        <f t="shared" si="243"/>
        <v>0</v>
      </c>
      <c r="W434" s="1" t="b">
        <f t="shared" si="243"/>
        <v>0</v>
      </c>
      <c r="X434" s="1" t="b">
        <f t="shared" si="243"/>
        <v>0</v>
      </c>
      <c r="Y434" s="1" t="b">
        <f t="shared" si="243"/>
        <v>0</v>
      </c>
      <c r="Z434" s="1" t="b">
        <f t="shared" si="243"/>
        <v>0</v>
      </c>
      <c r="AA434" s="1" t="b">
        <f t="shared" si="243"/>
        <v>0</v>
      </c>
      <c r="AB434" s="1" t="b">
        <f t="shared" si="243"/>
        <v>0</v>
      </c>
      <c r="AC434" s="1" t="b">
        <f t="shared" si="243"/>
        <v>0</v>
      </c>
      <c r="AD434" s="1" t="b">
        <f t="shared" si="243"/>
        <v>0</v>
      </c>
      <c r="AE434" s="1" t="b">
        <f t="shared" si="243"/>
        <v>0</v>
      </c>
      <c r="AF434" s="1" t="b">
        <f t="shared" si="243"/>
        <v>0</v>
      </c>
      <c r="AG434" s="1" t="b">
        <f t="shared" si="243"/>
        <v>0</v>
      </c>
      <c r="AH434" s="1" t="b">
        <f t="shared" si="243"/>
        <v>0</v>
      </c>
      <c r="AI434" s="1" t="b">
        <f t="shared" si="243"/>
        <v>0</v>
      </c>
      <c r="AJ434" s="1" t="b">
        <f t="shared" si="243"/>
        <v>0</v>
      </c>
      <c r="AK434" s="1" t="b">
        <f t="shared" si="243"/>
        <v>0</v>
      </c>
      <c r="AL434" s="1" t="b">
        <f t="shared" si="243"/>
        <v>0</v>
      </c>
      <c r="AM434" s="1" t="b">
        <f t="shared" si="243"/>
        <v>0</v>
      </c>
      <c r="AN434" s="1" t="b">
        <f t="shared" si="243"/>
        <v>0</v>
      </c>
      <c r="AO434" s="1" t="b">
        <f t="shared" si="243"/>
        <v>0</v>
      </c>
      <c r="AP434" s="1" t="b">
        <f t="shared" si="243"/>
        <v>0</v>
      </c>
    </row>
    <row r="435" spans="3:42" x14ac:dyDescent="0.2">
      <c r="C435" s="1" t="s">
        <v>23</v>
      </c>
    </row>
    <row r="436" spans="3:42" x14ac:dyDescent="0.2">
      <c r="C436" s="1" t="s">
        <v>30</v>
      </c>
    </row>
    <row r="437" spans="3:42" x14ac:dyDescent="0.2">
      <c r="C437" s="1" t="s">
        <v>41</v>
      </c>
    </row>
    <row r="438" spans="3:42" x14ac:dyDescent="0.2">
      <c r="C438" s="1" t="s">
        <v>92</v>
      </c>
      <c r="U438" s="1" t="str">
        <f>IF(U$434,_xll.RtContribute(U$403,U$3&amp;"REF"&amp;$C438&amp;"D","BID",U371,"SCOPE:SERVER"),"RT_FALSE")</f>
        <v>RT_FALSE</v>
      </c>
    </row>
    <row r="439" spans="3:42" x14ac:dyDescent="0.2">
      <c r="C439" s="1" t="s">
        <v>55</v>
      </c>
      <c r="U439" s="1" t="str">
        <f>IF(U$434,_xll.RtContribute(U$403,U$3&amp;"REF"&amp;$C439&amp;"D","BID",U372,"SCOPE:SERVER"),"RT_FALSE")</f>
        <v>RT_FALSE</v>
      </c>
    </row>
    <row r="440" spans="3:42" x14ac:dyDescent="0.2">
      <c r="C440" s="1" t="s">
        <v>63</v>
      </c>
      <c r="U440" s="1" t="str">
        <f>IF(U$434,_xll.RtContribute(U$403,U$3&amp;"REF"&amp;$C440&amp;"D","BID",U373,"SCOPE:SERVER"),"RT_FALSE")</f>
        <v>RT_FALSE</v>
      </c>
    </row>
    <row r="441" spans="3:42" x14ac:dyDescent="0.2">
      <c r="C441" s="1" t="s">
        <v>66</v>
      </c>
      <c r="U441" s="1" t="str">
        <f>IF(U$434,_xll.RtContribute(U$403,U$3&amp;"REF"&amp;$C441&amp;"D","BID",U374,"SCOPE:SERVER"),"RT_FALSE")</f>
        <v>RT_FALSE</v>
      </c>
    </row>
    <row r="442" spans="3:42" x14ac:dyDescent="0.2">
      <c r="C442" s="1" t="s">
        <v>71</v>
      </c>
      <c r="U442" s="1" t="str">
        <f>IF(U$434,_xll.RtContribute(U$403,U$3&amp;"REF"&amp;$C442&amp;"D","BID",U375,"SCOPE:SERVER"),"RT_FALSE")</f>
        <v>RT_FALSE</v>
      </c>
    </row>
    <row r="443" spans="3:42" x14ac:dyDescent="0.2">
      <c r="C443" s="1" t="s">
        <v>77</v>
      </c>
      <c r="U443" s="1" t="str">
        <f>IF(U$434,_xll.RtContribute(U$403,U$3&amp;"REF"&amp;$C443&amp;"D","BID",U376,"SCOPE:SERVER"),"RT_FALSE")</f>
        <v>RT_FALSE</v>
      </c>
    </row>
    <row r="444" spans="3:42" x14ac:dyDescent="0.2">
      <c r="C444" s="1" t="s">
        <v>82</v>
      </c>
      <c r="U444" s="1" t="str">
        <f>IF(U$434,_xll.RtContribute(U$403,U$3&amp;"REF"&amp;$C444&amp;"D","BID",U377,"SCOPE:SERVER"),"RT_FALSE")</f>
        <v>RT_FALSE</v>
      </c>
    </row>
    <row r="445" spans="3:42" x14ac:dyDescent="0.2">
      <c r="C445" s="1" t="s">
        <v>85</v>
      </c>
      <c r="U445" s="1" t="str">
        <f>IF(U$434,_xll.RtContribute(U$403,U$3&amp;"REF"&amp;$C445&amp;"D","BID",U378,"SCOPE:SERVER"),"RT_FALSE")</f>
        <v>RT_FALSE</v>
      </c>
    </row>
    <row r="446" spans="3:42" x14ac:dyDescent="0.2">
      <c r="C446" s="1" t="s">
        <v>87</v>
      </c>
      <c r="U446" s="1" t="str">
        <f>IF(U$434,_xll.RtContribute(U$403,U$3&amp;"REF"&amp;$C446&amp;"D","BID",U379,"SCOPE:SERVER"),"RT_FALSE")</f>
        <v>RT_FALSE</v>
      </c>
    </row>
    <row r="447" spans="3:42" x14ac:dyDescent="0.2">
      <c r="C447" s="1" t="s">
        <v>90</v>
      </c>
      <c r="U447" s="1" t="str">
        <f>IF(U$434,_xll.RtContribute(U$403,U$3&amp;"REF"&amp;$C447&amp;"D","BID",U380,"SCOPE:SERVER"),"RT_FALSE")</f>
        <v>RT_FALSE</v>
      </c>
    </row>
    <row r="448" spans="3:42" x14ac:dyDescent="0.2">
      <c r="C448" s="1" t="s">
        <v>93</v>
      </c>
      <c r="U448" s="1" t="str">
        <f>IF(U$434,_xll.RtContribute(U$403,U$3&amp;"REF"&amp;$C448&amp;"D","BID",U381,"SCOPE:SERVER"),"RT_FALSE")</f>
        <v>RT_FALSE</v>
      </c>
    </row>
    <row r="449" spans="3:21" x14ac:dyDescent="0.2">
      <c r="C449" s="1" t="s">
        <v>96</v>
      </c>
      <c r="U449" s="1" t="str">
        <f>IF(U$434,_xll.RtContribute(U$403,U$3&amp;"REF"&amp;$C449&amp;"D","BID",U382,"SCOPE:SERVER"),"RT_FALSE")</f>
        <v>RT_FALSE</v>
      </c>
    </row>
    <row r="450" spans="3:21" x14ac:dyDescent="0.2">
      <c r="C450" s="1" t="s">
        <v>99</v>
      </c>
      <c r="U450" s="1" t="str">
        <f>IF(U$434,_xll.RtContribute(U$403,U$3&amp;"REF"&amp;$C450&amp;"D","BID",U383,"SCOPE:SERVER"),"RT_FALSE")</f>
        <v>RT_FALSE</v>
      </c>
    </row>
    <row r="451" spans="3:21" x14ac:dyDescent="0.2">
      <c r="C451" s="1" t="s">
        <v>101</v>
      </c>
      <c r="U451" s="1" t="str">
        <f>IF(U$434,_xll.RtContribute(U$403,U$3&amp;"REF"&amp;$C451&amp;"D","BID",U384,"SCOPE:SERVER"),"RT_FALSE")</f>
        <v>RT_FALSE</v>
      </c>
    </row>
    <row r="452" spans="3:21" x14ac:dyDescent="0.2">
      <c r="C452" s="1" t="s">
        <v>138</v>
      </c>
      <c r="U452" s="1" t="str">
        <f>IF(U$434,_xll.RtContribute(U$403,U$3&amp;"REF"&amp;$C452&amp;"D","BID",U385,"SCOPE:SERVER"),"RT_FALSE")</f>
        <v>RT_FALSE</v>
      </c>
    </row>
    <row r="453" spans="3:21" x14ac:dyDescent="0.2">
      <c r="C453" s="1" t="s">
        <v>122</v>
      </c>
      <c r="U453" s="1" t="str">
        <f>IF(U$434,_xll.RtContribute(U$403,U$3&amp;"REF"&amp;$C453&amp;"D","BID",U386,"SCOPE:SERVER"),"RT_FALSE")</f>
        <v>RT_FALSE</v>
      </c>
    </row>
    <row r="454" spans="3:21" x14ac:dyDescent="0.2">
      <c r="C454" s="1" t="s">
        <v>133</v>
      </c>
      <c r="U454" s="1" t="str">
        <f>IF(U$434,_xll.RtContribute(U$403,U$3&amp;"REF"&amp;$C454&amp;"D","BID",U387,"SCOPE:SERVER"),"RT_FALSE")</f>
        <v>RT_FALSE</v>
      </c>
    </row>
    <row r="455" spans="3:21" x14ac:dyDescent="0.2">
      <c r="C455" s="1" t="s">
        <v>148</v>
      </c>
      <c r="U455" s="1" t="str">
        <f>IF(U$434,_xll.RtContribute(U$403,U$3&amp;"REF"&amp;$C455&amp;"D","BID",U388,"SCOPE:SERVER"),"RT_FALSE")</f>
        <v>RT_FALSE</v>
      </c>
    </row>
    <row r="456" spans="3:21" x14ac:dyDescent="0.2">
      <c r="C456" s="1" t="s">
        <v>150</v>
      </c>
      <c r="U456" s="1" t="str">
        <f>IF(U$434,_xll.RtContribute(U$403,U$3&amp;"REF"&amp;$C456&amp;"S","BID",U389,"SCOPE:SERVER"),"RT_FALSE")</f>
        <v>RT_FALSE</v>
      </c>
    </row>
    <row r="457" spans="3:21" x14ac:dyDescent="0.2">
      <c r="C457" s="1" t="s">
        <v>153</v>
      </c>
      <c r="U457" s="1" t="str">
        <f>IF(U$434,_xll.RtContribute(U$403,U$3&amp;"REF"&amp;$C457&amp;"S","BID",U390,"SCOPE:SERVER"),"RT_FALSE")</f>
        <v>RT_FALSE</v>
      </c>
    </row>
    <row r="458" spans="3:21" x14ac:dyDescent="0.2">
      <c r="C458" s="1" t="s">
        <v>156</v>
      </c>
      <c r="U458" s="1" t="str">
        <f>IF(U$434,_xll.RtContribute(U$403,U$3&amp;"REF"&amp;$C458&amp;"S","BID",U391,"SCOPE:SERVER"),"RT_FALSE")</f>
        <v>RT_FALSE</v>
      </c>
    </row>
    <row r="459" spans="3:21" x14ac:dyDescent="0.2">
      <c r="C459" s="1" t="s">
        <v>157</v>
      </c>
      <c r="U459" s="1" t="str">
        <f>IF(U$434,_xll.RtContribute(U$403,U$3&amp;"REF"&amp;$C459&amp;"S","BID",U392,"SCOPE:SERVER"),"RT_FALSE")</f>
        <v>RT_FALSE</v>
      </c>
    </row>
    <row r="460" spans="3:21" x14ac:dyDescent="0.2">
      <c r="C460" s="1" t="s">
        <v>158</v>
      </c>
      <c r="U460" s="1" t="str">
        <f>IF(U$434,_xll.RtContribute(U$403,U$3&amp;"REF"&amp;$C460&amp;"S","BID",U393,"SCOPE:SERVER"),"RT_FALSE")</f>
        <v>RT_FALSE</v>
      </c>
    </row>
    <row r="461" spans="3:21" x14ac:dyDescent="0.2">
      <c r="C461" s="1" t="s">
        <v>160</v>
      </c>
      <c r="U461" s="1" t="str">
        <f>IF(U$434,_xll.RtContribute(U$403,U$3&amp;"REF"&amp;$C461&amp;"S","BID",U394,"SCOPE:SERVER"),"RT_FALSE")</f>
        <v>RT_FALSE</v>
      </c>
    </row>
    <row r="462" spans="3:21" x14ac:dyDescent="0.2">
      <c r="C462" s="1" t="s">
        <v>162</v>
      </c>
      <c r="U462" s="1" t="str">
        <f>IF(U$434,_xll.RtContribute(U$403,U$3&amp;"REF"&amp;$C462&amp;"S","BID",U395,"SCOPE:SERVER"),"RT_FALSE")</f>
        <v>RT_FALSE</v>
      </c>
    </row>
    <row r="463" spans="3:21" x14ac:dyDescent="0.2">
      <c r="C463" s="1" t="s">
        <v>164</v>
      </c>
      <c r="U463" s="1" t="str">
        <f>IF(U$434,_xll.RtContribute(U$403,U$3&amp;"REF"&amp;$C463&amp;"S","BID",U396,"SCOPE:SERVER"),"RT_FALSE")</f>
        <v>RT_FALSE</v>
      </c>
    </row>
    <row r="466" spans="2:42" x14ac:dyDescent="0.2">
      <c r="C466" s="4" t="s">
        <v>318</v>
      </c>
    </row>
    <row r="467" spans="2:42" x14ac:dyDescent="0.2">
      <c r="C467" s="1" t="s">
        <v>319</v>
      </c>
      <c r="D467" s="4" t="b">
        <f t="shared" ref="D467:AP467" si="244">RT_DF_Switch</f>
        <v>0</v>
      </c>
      <c r="E467" s="1" t="b">
        <f t="shared" si="244"/>
        <v>0</v>
      </c>
      <c r="F467" s="1" t="b">
        <f t="shared" si="244"/>
        <v>0</v>
      </c>
      <c r="G467" s="1" t="b">
        <f t="shared" si="244"/>
        <v>0</v>
      </c>
      <c r="H467" s="1" t="b">
        <f t="shared" si="244"/>
        <v>0</v>
      </c>
      <c r="I467" s="1" t="b">
        <f t="shared" si="244"/>
        <v>0</v>
      </c>
      <c r="J467" s="1" t="b">
        <f t="shared" si="244"/>
        <v>0</v>
      </c>
      <c r="K467" s="1" t="b">
        <f t="shared" si="244"/>
        <v>0</v>
      </c>
      <c r="L467" s="1" t="b">
        <f t="shared" si="244"/>
        <v>0</v>
      </c>
      <c r="M467" s="1" t="b">
        <f t="shared" si="244"/>
        <v>0</v>
      </c>
      <c r="N467" s="1" t="b">
        <f t="shared" si="244"/>
        <v>0</v>
      </c>
      <c r="O467" s="1" t="b">
        <f t="shared" si="244"/>
        <v>0</v>
      </c>
      <c r="P467" s="1" t="b">
        <f t="shared" si="244"/>
        <v>0</v>
      </c>
      <c r="Q467" s="1" t="b">
        <f t="shared" si="244"/>
        <v>0</v>
      </c>
      <c r="R467" s="1" t="b">
        <f t="shared" si="244"/>
        <v>0</v>
      </c>
      <c r="S467" s="1" t="b">
        <f t="shared" si="244"/>
        <v>0</v>
      </c>
      <c r="T467" s="1" t="b">
        <f t="shared" si="244"/>
        <v>0</v>
      </c>
      <c r="U467" s="1" t="b">
        <f t="shared" si="244"/>
        <v>0</v>
      </c>
      <c r="V467" s="1" t="b">
        <f t="shared" si="244"/>
        <v>0</v>
      </c>
      <c r="W467" s="1" t="b">
        <f t="shared" si="244"/>
        <v>0</v>
      </c>
      <c r="X467" s="1" t="b">
        <f t="shared" si="244"/>
        <v>0</v>
      </c>
      <c r="Y467" s="1" t="b">
        <f t="shared" si="244"/>
        <v>0</v>
      </c>
      <c r="Z467" s="1" t="b">
        <f t="shared" si="244"/>
        <v>0</v>
      </c>
      <c r="AA467" s="1" t="b">
        <f t="shared" si="244"/>
        <v>0</v>
      </c>
      <c r="AB467" s="1" t="b">
        <f t="shared" si="244"/>
        <v>0</v>
      </c>
      <c r="AC467" s="1" t="b">
        <f t="shared" si="244"/>
        <v>0</v>
      </c>
      <c r="AD467" s="1" t="b">
        <f t="shared" si="244"/>
        <v>0</v>
      </c>
      <c r="AE467" s="1" t="b">
        <f t="shared" si="244"/>
        <v>0</v>
      </c>
      <c r="AF467" s="1" t="b">
        <f t="shared" si="244"/>
        <v>0</v>
      </c>
      <c r="AG467" s="1" t="b">
        <f t="shared" si="244"/>
        <v>0</v>
      </c>
      <c r="AH467" s="1" t="b">
        <f t="shared" si="244"/>
        <v>0</v>
      </c>
      <c r="AI467" s="1" t="b">
        <f t="shared" si="244"/>
        <v>0</v>
      </c>
      <c r="AJ467" s="1" t="b">
        <f t="shared" si="244"/>
        <v>0</v>
      </c>
      <c r="AK467" s="1" t="b">
        <f t="shared" si="244"/>
        <v>0</v>
      </c>
      <c r="AL467" s="1" t="b">
        <f t="shared" si="244"/>
        <v>0</v>
      </c>
      <c r="AM467" s="1" t="b">
        <f t="shared" si="244"/>
        <v>0</v>
      </c>
      <c r="AN467" s="1" t="b">
        <f t="shared" si="244"/>
        <v>0</v>
      </c>
      <c r="AO467" s="1" t="b">
        <f t="shared" si="244"/>
        <v>0</v>
      </c>
      <c r="AP467" s="1" t="b">
        <f t="shared" si="244"/>
        <v>0</v>
      </c>
    </row>
    <row r="468" spans="2:42" x14ac:dyDescent="0.2">
      <c r="C468" s="4" t="s">
        <v>320</v>
      </c>
    </row>
    <row r="469" spans="2:42" x14ac:dyDescent="0.2">
      <c r="C469" s="1" t="s">
        <v>23</v>
      </c>
      <c r="D469" s="1" t="str">
        <f>IF(D$467,_xll.RtContribute(D$403,D$3&amp;"FX"&amp;$C469&amp;"DDF=","DIVPAYDATE",D53,"SCOPE:SERVER"),"RT_FALSE")</f>
        <v>RT_FALSE</v>
      </c>
      <c r="E469" s="1" t="str">
        <f>IF(E$467,_xll.RtContribute(E$403,E$3&amp;"FX"&amp;$C469&amp;"DDF=","DIVPAYDATE",E53,"SCOPE:SERVER"),"RT_FALSE")</f>
        <v>RT_FALSE</v>
      </c>
      <c r="F469" s="1" t="str">
        <f>IF(F$467,_xll.RtContribute(F$403,F$3&amp;"FX"&amp;$C469&amp;"DDF=","DIVPAYDATE",F53,"SCOPE:SERVER"),"RT_FALSE")</f>
        <v>RT_FALSE</v>
      </c>
      <c r="G469" s="1" t="str">
        <f>IF(G$467,_xll.RtContribute(G$403,G$3&amp;"FX"&amp;$C469&amp;"DDF=","DIVPAYDATE",G53,"SCOPE:SERVER"),"RT_FALSE")</f>
        <v>RT_FALSE</v>
      </c>
      <c r="H469" s="1" t="str">
        <f>IF(H$467,_xll.RtContribute(H$403,H$3&amp;"FX"&amp;$C469&amp;"DDF=","DIVPAYDATE",H53,"SCOPE:SERVER"),"RT_FALSE")</f>
        <v>RT_FALSE</v>
      </c>
      <c r="I469" s="1" t="str">
        <f>IF(I$467,_xll.RtContribute(I$403,I$3&amp;"FX"&amp;$C469&amp;"DDF=","DIVPAYDATE",I53,"SCOPE:SERVER"),"RT_FALSE")</f>
        <v>RT_FALSE</v>
      </c>
      <c r="J469" s="1" t="str">
        <f>IF(J$467,_xll.RtContribute(J$403,J$3&amp;"FX"&amp;$C469&amp;"DDF=","DIVPAYDATE",J53,"SCOPE:SERVER"),"RT_FALSE")</f>
        <v>RT_FALSE</v>
      </c>
      <c r="K469" s="1" t="str">
        <f>IF(K$467,_xll.RtContribute(K$403,K$3&amp;"FX"&amp;$C469&amp;"DDF=","DIVPAYDATE",K53,"SCOPE:SERVER"),"RT_FALSE")</f>
        <v>RT_FALSE</v>
      </c>
      <c r="L469" s="1" t="str">
        <f>IF(L$467,_xll.RtContribute(L$403,L$3&amp;"FX"&amp;$C469&amp;"DDF=","DIVPAYDATE",L53,"SCOPE:SERVER"),"RT_FALSE")</f>
        <v>RT_FALSE</v>
      </c>
      <c r="M469" s="1" t="str">
        <f>IF(M$467,_xll.RtContribute(M$403,M$3&amp;"FX"&amp;$C469&amp;"DDF=","DIVPAYDATE",M53,"SCOPE:SERVER"),"RT_FALSE")</f>
        <v>RT_FALSE</v>
      </c>
      <c r="N469" s="1" t="str">
        <f>IF(N$467,_xll.RtContribute(N$403,N$3&amp;"FX"&amp;$C469&amp;"DDF=","DIVPAYDATE",N53,"SCOPE:SERVER"),"RT_FALSE")</f>
        <v>RT_FALSE</v>
      </c>
      <c r="O469" s="1" t="str">
        <f>IF(O$467,_xll.RtContribute(O$403,O$3&amp;"FX"&amp;$C469&amp;"DDF=","DIVPAYDATE",O53,"SCOPE:SERVER"),"RT_FALSE")</f>
        <v>RT_FALSE</v>
      </c>
      <c r="P469" s="1" t="str">
        <f>IF(P$467,_xll.RtContribute(P$403,P$3&amp;"FX"&amp;$C469&amp;"DDF=","DIVPAYDATE",P53,"SCOPE:SERVER"),"RT_FALSE")</f>
        <v>RT_FALSE</v>
      </c>
      <c r="Q469" s="1" t="str">
        <f>IF(Q$467,_xll.RtContribute(Q$403,Q$3&amp;"FX"&amp;$C469&amp;"DDF=","DIVPAYDATE",Q53,"SCOPE:SERVER"),"RT_FALSE")</f>
        <v>RT_FALSE</v>
      </c>
      <c r="R469" s="1" t="str">
        <f>IF(R$467,_xll.RtContribute(R$403,R$3&amp;"FX"&amp;$C469&amp;"DDF=","DIVPAYDATE",R53,"SCOPE:SERVER"),"RT_FALSE")</f>
        <v>RT_FALSE</v>
      </c>
      <c r="S469" s="1" t="str">
        <f>IF(S$467,_xll.RtContribute(S$403,S$3&amp;"FX"&amp;$C469&amp;"DDF=","DIVPAYDATE",S53,"SCOPE:SERVER"),"RT_FALSE")</f>
        <v>RT_FALSE</v>
      </c>
      <c r="T469" s="1" t="str">
        <f>IF(T$467,_xll.RtContribute(T$403,T$3&amp;"FX"&amp;$C469&amp;"DDF=","DIVPAYDATE",T53,"SCOPE:SERVER"),"RT_FALSE")</f>
        <v>RT_FALSE</v>
      </c>
      <c r="U469" s="1" t="str">
        <f>IF(U$467,_xll.RtContribute(U$403,U$3&amp;"FX"&amp;$C469&amp;"DDF=","DIVPAYDATE",U53,"SCOPE:SERVER"),"RT_FALSE")</f>
        <v>RT_FALSE</v>
      </c>
      <c r="V469" s="1" t="str">
        <f>IF(V$467,_xll.RtContribute(V$403,V$3&amp;"FX"&amp;$C469&amp;"DDF=","DIVPAYDATE",V53,"SCOPE:SERVER"),"RT_FALSE")</f>
        <v>RT_FALSE</v>
      </c>
      <c r="W469" s="1" t="str">
        <f>IF(W$467,_xll.RtContribute(W$403,W$3&amp;"FX"&amp;$C469&amp;"DDF=","DIVPAYDATE",W53,"SCOPE:SERVER"),"RT_FALSE")</f>
        <v>RT_FALSE</v>
      </c>
      <c r="X469" s="1" t="str">
        <f>IF(X$467,_xll.RtContribute(X$403,X$3&amp;"FX"&amp;$C469&amp;"DDF=","DIVPAYDATE",X53,"SCOPE:SERVER"),"RT_FALSE")</f>
        <v>RT_FALSE</v>
      </c>
      <c r="Y469" s="1" t="str">
        <f>IF(Y$467,_xll.RtContribute(Y$403,Y$3&amp;"FX"&amp;$C469&amp;"DDF=","DIVPAYDATE",Y53,"SCOPE:SERVER"),"RT_FALSE")</f>
        <v>RT_FALSE</v>
      </c>
      <c r="Z469" s="1" t="str">
        <f>IF(Z$467,_xll.RtContribute(Z$403,Z$3&amp;"FX"&amp;$C469&amp;"DDF=","DIVPAYDATE",Z53,"SCOPE:SERVER"),"RT_FALSE")</f>
        <v>RT_FALSE</v>
      </c>
      <c r="AA469" s="1" t="str">
        <f>IF(AA$467,_xll.RtContribute(AA$403,AA$3&amp;"FX"&amp;$C469&amp;"DDF=","DIVPAYDATE",AA53,"SCOPE:SERVER"),"RT_FALSE")</f>
        <v>RT_FALSE</v>
      </c>
      <c r="AB469" s="1" t="str">
        <f>IF(AB$467,_xll.RtContribute(AB$403,AB$3&amp;"FX"&amp;$C469&amp;"DDF=","DIVPAYDATE",AB53,"SCOPE:SERVER"),"RT_FALSE")</f>
        <v>RT_FALSE</v>
      </c>
      <c r="AC469" s="1" t="str">
        <f>IF(AC$467,_xll.RtContribute(AC$403,AC$3&amp;"FX"&amp;$C469&amp;"DDF=","DIVPAYDATE",AC53,"SCOPE:SERVER"),"RT_FALSE")</f>
        <v>RT_FALSE</v>
      </c>
      <c r="AD469" s="1" t="str">
        <f>IF(AD$467,_xll.RtContribute(AD$403,AD$3&amp;"FX"&amp;$C469&amp;"DDF=","DIVPAYDATE",AD53,"SCOPE:SERVER"),"RT_FALSE")</f>
        <v>RT_FALSE</v>
      </c>
      <c r="AE469" s="1" t="str">
        <f>IF(AE$467,_xll.RtContribute(AE$403,AE$3&amp;"FX"&amp;$C469&amp;"DDF=","DIVPAYDATE",AE53,"SCOPE:SERVER"),"RT_FALSE")</f>
        <v>RT_FALSE</v>
      </c>
      <c r="AF469" s="1" t="str">
        <f>IF(AF$467,_xll.RtContribute(AF$403,AF$3&amp;"FX"&amp;$C469&amp;"DDF=","DIVPAYDATE",AF53,"SCOPE:SERVER"),"RT_FALSE")</f>
        <v>RT_FALSE</v>
      </c>
      <c r="AG469" s="1" t="str">
        <f>IF(AG$467,_xll.RtContribute(AG$403,AG$3&amp;"FX"&amp;$C469&amp;"DDF=","DIVPAYDATE",AG53,"SCOPE:SERVER"),"RT_FALSE")</f>
        <v>RT_FALSE</v>
      </c>
      <c r="AH469" s="1" t="str">
        <f>IF(AH$467,_xll.RtContribute(AH$403,AH$3&amp;"FX"&amp;$C469&amp;"DDF=","DIVPAYDATE",AH53,"SCOPE:SERVER"),"RT_FALSE")</f>
        <v>RT_FALSE</v>
      </c>
      <c r="AI469" s="1" t="str">
        <f>IF(AI$467,_xll.RtContribute(AI$403,AI$3&amp;"FX"&amp;$C469&amp;"DDF=","DIVPAYDATE",AI53,"SCOPE:SERVER"),"RT_FALSE")</f>
        <v>RT_FALSE</v>
      </c>
      <c r="AJ469" s="1" t="str">
        <f>IF(AJ$467,_xll.RtContribute(AJ$403,AJ$3&amp;"FX"&amp;$C469&amp;"DDF=","DIVPAYDATE",AJ53,"SCOPE:SERVER"),"RT_FALSE")</f>
        <v>RT_FALSE</v>
      </c>
      <c r="AK469" s="1" t="str">
        <f>IF(AK$467,_xll.RtContribute(AK$403,AK$3&amp;"FX"&amp;$C469&amp;"DDF=","DIVPAYDATE",AK53,"SCOPE:SERVER"),"RT_FALSE")</f>
        <v>RT_FALSE</v>
      </c>
      <c r="AL469" s="1" t="str">
        <f>IF(AL$467,_xll.RtContribute(AL$403,AL$3&amp;"FX"&amp;$C469&amp;"DDF=","DIVPAYDATE",AL53,"SCOPE:SERVER"),"RT_FALSE")</f>
        <v>RT_FALSE</v>
      </c>
      <c r="AM469" s="1" t="str">
        <f>IF(AM$467,_xll.RtContribute(AM$403,AM$3&amp;"FX"&amp;$C469&amp;"DDF=","DIVPAYDATE",AM53,"SCOPE:SERVER"),"RT_FALSE")</f>
        <v>RT_FALSE</v>
      </c>
      <c r="AN469" s="1" t="str">
        <f>IF(AN$467,_xll.RtContribute(AN$403,AN$3&amp;"FX"&amp;$C469&amp;"DDF=","DIVPAYDATE",AN53,"SCOPE:SERVER"),"RT_FALSE")</f>
        <v>RT_FALSE</v>
      </c>
      <c r="AO469" s="1" t="str">
        <f>IF(AO$467,_xll.RtContribute(AO$403,AO$3&amp;"FX"&amp;$C469&amp;"DDF=","DIVPAYDATE",AO53,"SCOPE:SERVER"),"RT_FALSE")</f>
        <v>RT_FALSE</v>
      </c>
      <c r="AP469" s="1" t="str">
        <f>IF(AP$467,_xll.RtContribute(AP$403,AP$3&amp;"FX"&amp;$C469&amp;"DDF=","DIVPAYDATE",AP53,"SCOPE:SERVER"),"RT_FALSE")</f>
        <v>RT_FALSE</v>
      </c>
    </row>
    <row r="470" spans="2:42" x14ac:dyDescent="0.2">
      <c r="C470" s="1" t="s">
        <v>30</v>
      </c>
      <c r="D470" s="1" t="str">
        <f>IF(D$467,_xll.RtContribute(D$403,D$3&amp;"FX"&amp;$C470&amp;"DDF=","DIVPAYDATE",D54,"SCOPE:SERVER"),"RT_FALSE")</f>
        <v>RT_FALSE</v>
      </c>
      <c r="E470" s="1" t="str">
        <f>IF(E$467,_xll.RtContribute(E$403,E$3&amp;"FX"&amp;$C470&amp;"DDF=","DIVPAYDATE",E54,"SCOPE:SERVER"),"RT_FALSE")</f>
        <v>RT_FALSE</v>
      </c>
      <c r="F470" s="1" t="str">
        <f>IF(F$467,_xll.RtContribute(F$403,F$3&amp;"FX"&amp;$C470&amp;"DDF=","DIVPAYDATE",F54,"SCOPE:SERVER"),"RT_FALSE")</f>
        <v>RT_FALSE</v>
      </c>
      <c r="G470" s="1" t="str">
        <f>IF(G$467,_xll.RtContribute(G$403,G$3&amp;"FX"&amp;$C470&amp;"DDF=","DIVPAYDATE",G54,"SCOPE:SERVER"),"RT_FALSE")</f>
        <v>RT_FALSE</v>
      </c>
      <c r="H470" s="1" t="str">
        <f>IF(H$467,_xll.RtContribute(H$403,H$3&amp;"FX"&amp;$C470&amp;"DDF=","DIVPAYDATE",H54,"SCOPE:SERVER"),"RT_FALSE")</f>
        <v>RT_FALSE</v>
      </c>
      <c r="I470" s="1" t="str">
        <f>IF(I$467,_xll.RtContribute(I$403,I$3&amp;"FX"&amp;$C470&amp;"DDF=","DIVPAYDATE",I54,"SCOPE:SERVER"),"RT_FALSE")</f>
        <v>RT_FALSE</v>
      </c>
      <c r="J470" s="1" t="str">
        <f>IF(J$467,_xll.RtContribute(J$403,J$3&amp;"FX"&amp;$C470&amp;"DDF=","DIVPAYDATE",J54,"SCOPE:SERVER"),"RT_FALSE")</f>
        <v>RT_FALSE</v>
      </c>
      <c r="K470" s="1" t="str">
        <f>IF(K$467,_xll.RtContribute(K$403,K$3&amp;"FX"&amp;$C470&amp;"DDF=","DIVPAYDATE",K54,"SCOPE:SERVER"),"RT_FALSE")</f>
        <v>RT_FALSE</v>
      </c>
      <c r="L470" s="1" t="str">
        <f>IF(L$467,_xll.RtContribute(L$403,L$3&amp;"FX"&amp;$C470&amp;"DDF=","DIVPAYDATE",L54,"SCOPE:SERVER"),"RT_FALSE")</f>
        <v>RT_FALSE</v>
      </c>
      <c r="M470" s="1" t="str">
        <f>IF(M$467,_xll.RtContribute(M$403,M$3&amp;"FX"&amp;$C470&amp;"DDF=","DIVPAYDATE",M54,"SCOPE:SERVER"),"RT_FALSE")</f>
        <v>RT_FALSE</v>
      </c>
      <c r="N470" s="1" t="str">
        <f>IF(N$467,_xll.RtContribute(N$403,N$3&amp;"FX"&amp;$C470&amp;"DDF=","DIVPAYDATE",N54,"SCOPE:SERVER"),"RT_FALSE")</f>
        <v>RT_FALSE</v>
      </c>
      <c r="O470" s="1" t="str">
        <f>IF(O$467,_xll.RtContribute(O$403,O$3&amp;"FX"&amp;$C470&amp;"DDF=","DIVPAYDATE",O54,"SCOPE:SERVER"),"RT_FALSE")</f>
        <v>RT_FALSE</v>
      </c>
      <c r="P470" s="1" t="str">
        <f>IF(P$467,_xll.RtContribute(P$403,P$3&amp;"FX"&amp;$C470&amp;"DDF=","DIVPAYDATE",P54,"SCOPE:SERVER"),"RT_FALSE")</f>
        <v>RT_FALSE</v>
      </c>
      <c r="Q470" s="1" t="str">
        <f>IF(Q$467,_xll.RtContribute(Q$403,Q$3&amp;"FX"&amp;$C470&amp;"DDF=","DIVPAYDATE",Q54,"SCOPE:SERVER"),"RT_FALSE")</f>
        <v>RT_FALSE</v>
      </c>
      <c r="R470" s="1" t="str">
        <f>IF(R$467,_xll.RtContribute(R$403,R$3&amp;"FX"&amp;$C470&amp;"DDF=","DIVPAYDATE",R54,"SCOPE:SERVER"),"RT_FALSE")</f>
        <v>RT_FALSE</v>
      </c>
      <c r="S470" s="1" t="str">
        <f>IF(S$467,_xll.RtContribute(S$403,S$3&amp;"FX"&amp;$C470&amp;"DDF=","DIVPAYDATE",S54,"SCOPE:SERVER"),"RT_FALSE")</f>
        <v>RT_FALSE</v>
      </c>
      <c r="T470" s="1" t="str">
        <f>IF(T$467,_xll.RtContribute(T$403,T$3&amp;"FX"&amp;$C470&amp;"DDF=","DIVPAYDATE",T54,"SCOPE:SERVER"),"RT_FALSE")</f>
        <v>RT_FALSE</v>
      </c>
      <c r="U470" s="1" t="str">
        <f>IF(U$467,_xll.RtContribute(U$403,U$3&amp;"FX"&amp;$C470&amp;"DDF=","DIVPAYDATE",U54,"SCOPE:SERVER"),"RT_FALSE")</f>
        <v>RT_FALSE</v>
      </c>
      <c r="V470" s="1" t="str">
        <f>IF(V$467,_xll.RtContribute(V$403,V$3&amp;"FX"&amp;$C470&amp;"DDF=","DIVPAYDATE",V54,"SCOPE:SERVER"),"RT_FALSE")</f>
        <v>RT_FALSE</v>
      </c>
      <c r="W470" s="1" t="str">
        <f>IF(W$467,_xll.RtContribute(W$403,W$3&amp;"FX"&amp;$C470&amp;"DDF=","DIVPAYDATE",W54,"SCOPE:SERVER"),"RT_FALSE")</f>
        <v>RT_FALSE</v>
      </c>
      <c r="X470" s="1" t="str">
        <f>IF(X$467,_xll.RtContribute(X$403,X$3&amp;"FX"&amp;$C470&amp;"DDF=","DIVPAYDATE",X54,"SCOPE:SERVER"),"RT_FALSE")</f>
        <v>RT_FALSE</v>
      </c>
      <c r="Y470" s="1" t="str">
        <f>IF(Y$467,_xll.RtContribute(Y$403,Y$3&amp;"FX"&amp;$C470&amp;"DDF=","DIVPAYDATE",Y54,"SCOPE:SERVER"),"RT_FALSE")</f>
        <v>RT_FALSE</v>
      </c>
      <c r="Z470" s="1" t="str">
        <f>IF(Z$467,_xll.RtContribute(Z$403,Z$3&amp;"FX"&amp;$C470&amp;"DDF=","DIVPAYDATE",Z54,"SCOPE:SERVER"),"RT_FALSE")</f>
        <v>RT_FALSE</v>
      </c>
      <c r="AA470" s="1" t="str">
        <f>IF(AA$467,_xll.RtContribute(AA$403,AA$3&amp;"FX"&amp;$C470&amp;"DDF=","DIVPAYDATE",AA54,"SCOPE:SERVER"),"RT_FALSE")</f>
        <v>RT_FALSE</v>
      </c>
      <c r="AB470" s="1" t="str">
        <f>IF(AB$467,_xll.RtContribute(AB$403,AB$3&amp;"FX"&amp;$C470&amp;"DDF=","DIVPAYDATE",AB54,"SCOPE:SERVER"),"RT_FALSE")</f>
        <v>RT_FALSE</v>
      </c>
      <c r="AC470" s="1" t="str">
        <f>IF(AC$467,_xll.RtContribute(AC$403,AC$3&amp;"FX"&amp;$C470&amp;"DDF=","DIVPAYDATE",AC54,"SCOPE:SERVER"),"RT_FALSE")</f>
        <v>RT_FALSE</v>
      </c>
      <c r="AD470" s="1" t="str">
        <f>IF(AD$467,_xll.RtContribute(AD$403,AD$3&amp;"FX"&amp;$C470&amp;"DDF=","DIVPAYDATE",AD54,"SCOPE:SERVER"),"RT_FALSE")</f>
        <v>RT_FALSE</v>
      </c>
      <c r="AE470" s="1" t="str">
        <f>IF(AE$467,_xll.RtContribute(AE$403,AE$3&amp;"FX"&amp;$C470&amp;"DDF=","DIVPAYDATE",AE54,"SCOPE:SERVER"),"RT_FALSE")</f>
        <v>RT_FALSE</v>
      </c>
      <c r="AF470" s="1" t="str">
        <f>IF(AF$467,_xll.RtContribute(AF$403,AF$3&amp;"FX"&amp;$C470&amp;"DDF=","DIVPAYDATE",AF54,"SCOPE:SERVER"),"RT_FALSE")</f>
        <v>RT_FALSE</v>
      </c>
      <c r="AG470" s="1" t="str">
        <f>IF(AG$467,_xll.RtContribute(AG$403,AG$3&amp;"FX"&amp;$C470&amp;"DDF=","DIVPAYDATE",AG54,"SCOPE:SERVER"),"RT_FALSE")</f>
        <v>RT_FALSE</v>
      </c>
      <c r="AH470" s="1" t="str">
        <f>IF(AH$467,_xll.RtContribute(AH$403,AH$3&amp;"FX"&amp;$C470&amp;"DDF=","DIVPAYDATE",AH54,"SCOPE:SERVER"),"RT_FALSE")</f>
        <v>RT_FALSE</v>
      </c>
      <c r="AI470" s="1" t="str">
        <f>IF(AI$467,_xll.RtContribute(AI$403,AI$3&amp;"FX"&amp;$C470&amp;"DDF=","DIVPAYDATE",AI54,"SCOPE:SERVER"),"RT_FALSE")</f>
        <v>RT_FALSE</v>
      </c>
      <c r="AJ470" s="1" t="str">
        <f>IF(AJ$467,_xll.RtContribute(AJ$403,AJ$3&amp;"FX"&amp;$C470&amp;"DDF=","DIVPAYDATE",AJ54,"SCOPE:SERVER"),"RT_FALSE")</f>
        <v>RT_FALSE</v>
      </c>
      <c r="AK470" s="1" t="str">
        <f>IF(AK$467,_xll.RtContribute(AK$403,AK$3&amp;"FX"&amp;$C470&amp;"DDF=","DIVPAYDATE",AK54,"SCOPE:SERVER"),"RT_FALSE")</f>
        <v>RT_FALSE</v>
      </c>
      <c r="AL470" s="1" t="str">
        <f>IF(AL$467,_xll.RtContribute(AL$403,AL$3&amp;"FX"&amp;$C470&amp;"DDF=","DIVPAYDATE",AL54,"SCOPE:SERVER"),"RT_FALSE")</f>
        <v>RT_FALSE</v>
      </c>
      <c r="AM470" s="1" t="str">
        <f>IF(AM$467,_xll.RtContribute(AM$403,AM$3&amp;"FX"&amp;$C470&amp;"DDF=","DIVPAYDATE",AM54,"SCOPE:SERVER"),"RT_FALSE")</f>
        <v>RT_FALSE</v>
      </c>
      <c r="AN470" s="1" t="str">
        <f>IF(AN$467,_xll.RtContribute(AN$403,AN$3&amp;"FX"&amp;$C470&amp;"DDF=","DIVPAYDATE",AN54,"SCOPE:SERVER"),"RT_FALSE")</f>
        <v>RT_FALSE</v>
      </c>
      <c r="AO470" s="1" t="str">
        <f>IF(AO$467,_xll.RtContribute(AO$403,AO$3&amp;"FX"&amp;$C470&amp;"DDF=","DIVPAYDATE",AO54,"SCOPE:SERVER"),"RT_FALSE")</f>
        <v>RT_FALSE</v>
      </c>
      <c r="AP470" s="1" t="str">
        <f>IF(AP$467,_xll.RtContribute(AP$403,AP$3&amp;"FX"&amp;$C470&amp;"DDF=","DIVPAYDATE",AP54,"SCOPE:SERVER"),"RT_FALSE")</f>
        <v>RT_FALSE</v>
      </c>
    </row>
    <row r="471" spans="2:42" x14ac:dyDescent="0.2">
      <c r="C471" s="1" t="s">
        <v>41</v>
      </c>
      <c r="D471" s="1" t="str">
        <f>IF(D$467,_xll.RtContribute(D$403,D$3&amp;"FX"&amp;$C471&amp;"DDF=","DIVPAYDATE",D55,"SCOPE:SERVER"),"RT_FALSE")</f>
        <v>RT_FALSE</v>
      </c>
      <c r="E471" s="1" t="str">
        <f>IF(E$467,_xll.RtContribute(E$403,E$3&amp;"FX"&amp;$C471&amp;"DDF=","DIVPAYDATE",E55,"SCOPE:SERVER"),"RT_FALSE")</f>
        <v>RT_FALSE</v>
      </c>
      <c r="F471" s="1" t="str">
        <f>IF(F$467,_xll.RtContribute(F$403,F$3&amp;"FX"&amp;$C471&amp;"DDF=","DIVPAYDATE",F55,"SCOPE:SERVER"),"RT_FALSE")</f>
        <v>RT_FALSE</v>
      </c>
      <c r="G471" s="1" t="str">
        <f>IF(G$467,_xll.RtContribute(G$403,G$3&amp;"FX"&amp;$C471&amp;"DDF=","DIVPAYDATE",G55,"SCOPE:SERVER"),"RT_FALSE")</f>
        <v>RT_FALSE</v>
      </c>
      <c r="H471" s="1" t="str">
        <f>IF(H$467,_xll.RtContribute(H$403,H$3&amp;"FX"&amp;$C471&amp;"DDF=","DIVPAYDATE",H55,"SCOPE:SERVER"),"RT_FALSE")</f>
        <v>RT_FALSE</v>
      </c>
      <c r="I471" s="1" t="str">
        <f>IF(I$467,_xll.RtContribute(I$403,I$3&amp;"FX"&amp;$C471&amp;"DDF=","DIVPAYDATE",I55,"SCOPE:SERVER"),"RT_FALSE")</f>
        <v>RT_FALSE</v>
      </c>
      <c r="J471" s="1" t="str">
        <f>IF(J$467,_xll.RtContribute(J$403,J$3&amp;"FX"&amp;$C471&amp;"DDF=","DIVPAYDATE",J55,"SCOPE:SERVER"),"RT_FALSE")</f>
        <v>RT_FALSE</v>
      </c>
      <c r="K471" s="1" t="str">
        <f>IF(K$467,_xll.RtContribute(K$403,K$3&amp;"FX"&amp;$C471&amp;"DDF=","DIVPAYDATE",K55,"SCOPE:SERVER"),"RT_FALSE")</f>
        <v>RT_FALSE</v>
      </c>
      <c r="L471" s="1" t="str">
        <f>IF(L$467,_xll.RtContribute(L$403,L$3&amp;"FX"&amp;$C471&amp;"DDF=","DIVPAYDATE",L55,"SCOPE:SERVER"),"RT_FALSE")</f>
        <v>RT_FALSE</v>
      </c>
      <c r="M471" s="1" t="str">
        <f>IF(M$467,_xll.RtContribute(M$403,M$3&amp;"FX"&amp;$C471&amp;"DDF=","DIVPAYDATE",M55,"SCOPE:SERVER"),"RT_FALSE")</f>
        <v>RT_FALSE</v>
      </c>
      <c r="N471" s="1" t="str">
        <f>IF(N$467,_xll.RtContribute(N$403,N$3&amp;"FX"&amp;$C471&amp;"DDF=","DIVPAYDATE",N55,"SCOPE:SERVER"),"RT_FALSE")</f>
        <v>RT_FALSE</v>
      </c>
      <c r="O471" s="1" t="str">
        <f>IF(O$467,_xll.RtContribute(O$403,O$3&amp;"FX"&amp;$C471&amp;"DDF=","DIVPAYDATE",O55,"SCOPE:SERVER"),"RT_FALSE")</f>
        <v>RT_FALSE</v>
      </c>
      <c r="P471" s="1" t="str">
        <f>IF(P$467,_xll.RtContribute(P$403,P$3&amp;"FX"&amp;$C471&amp;"DDF=","DIVPAYDATE",P55,"SCOPE:SERVER"),"RT_FALSE")</f>
        <v>RT_FALSE</v>
      </c>
      <c r="Q471" s="1" t="str">
        <f>IF(Q$467,_xll.RtContribute(Q$403,Q$3&amp;"FX"&amp;$C471&amp;"DDF=","DIVPAYDATE",Q55,"SCOPE:SERVER"),"RT_FALSE")</f>
        <v>RT_FALSE</v>
      </c>
      <c r="R471" s="1" t="str">
        <f>IF(R$467,_xll.RtContribute(R$403,R$3&amp;"FX"&amp;$C471&amp;"DDF=","DIVPAYDATE",R55,"SCOPE:SERVER"),"RT_FALSE")</f>
        <v>RT_FALSE</v>
      </c>
      <c r="S471" s="1" t="str">
        <f>IF(S$467,_xll.RtContribute(S$403,S$3&amp;"FX"&amp;$C471&amp;"DDF=","DIVPAYDATE",S55,"SCOPE:SERVER"),"RT_FALSE")</f>
        <v>RT_FALSE</v>
      </c>
      <c r="T471" s="1" t="str">
        <f>IF(T$467,_xll.RtContribute(T$403,T$3&amp;"FX"&amp;$C471&amp;"DDF=","DIVPAYDATE",T55,"SCOPE:SERVER"),"RT_FALSE")</f>
        <v>RT_FALSE</v>
      </c>
      <c r="U471" s="1" t="str">
        <f>IF(U$467,_xll.RtContribute(U$403,U$3&amp;"FX"&amp;$C471&amp;"DDF=","DIVPAYDATE",U55,"SCOPE:SERVER"),"RT_FALSE")</f>
        <v>RT_FALSE</v>
      </c>
      <c r="V471" s="1" t="str">
        <f>IF(V$467,_xll.RtContribute(V$403,V$3&amp;"FX"&amp;$C471&amp;"DDF=","DIVPAYDATE",V55,"SCOPE:SERVER"),"RT_FALSE")</f>
        <v>RT_FALSE</v>
      </c>
      <c r="W471" s="1" t="str">
        <f>IF(W$467,_xll.RtContribute(W$403,W$3&amp;"FX"&amp;$C471&amp;"DDF=","DIVPAYDATE",W55,"SCOPE:SERVER"),"RT_FALSE")</f>
        <v>RT_FALSE</v>
      </c>
      <c r="X471" s="1" t="str">
        <f>IF(X$467,_xll.RtContribute(X$403,X$3&amp;"FX"&amp;$C471&amp;"DDF=","DIVPAYDATE",X55,"SCOPE:SERVER"),"RT_FALSE")</f>
        <v>RT_FALSE</v>
      </c>
      <c r="Y471" s="1" t="str">
        <f>IF(Y$467,_xll.RtContribute(Y$403,Y$3&amp;"FX"&amp;$C471&amp;"DDF=","DIVPAYDATE",Y55,"SCOPE:SERVER"),"RT_FALSE")</f>
        <v>RT_FALSE</v>
      </c>
      <c r="Z471" s="1" t="str">
        <f>IF(Z$467,_xll.RtContribute(Z$403,Z$3&amp;"FX"&amp;$C471&amp;"DDF=","DIVPAYDATE",Z55,"SCOPE:SERVER"),"RT_FALSE")</f>
        <v>RT_FALSE</v>
      </c>
      <c r="AA471" s="1" t="str">
        <f>IF(AA$467,_xll.RtContribute(AA$403,AA$3&amp;"FX"&amp;$C471&amp;"DDF=","DIVPAYDATE",AA55,"SCOPE:SERVER"),"RT_FALSE")</f>
        <v>RT_FALSE</v>
      </c>
      <c r="AB471" s="1" t="str">
        <f>IF(AB$467,_xll.RtContribute(AB$403,AB$3&amp;"FX"&amp;$C471&amp;"DDF=","DIVPAYDATE",AB55,"SCOPE:SERVER"),"RT_FALSE")</f>
        <v>RT_FALSE</v>
      </c>
      <c r="AC471" s="1" t="str">
        <f>IF(AC$467,_xll.RtContribute(AC$403,AC$3&amp;"FX"&amp;$C471&amp;"DDF=","DIVPAYDATE",AC55,"SCOPE:SERVER"),"RT_FALSE")</f>
        <v>RT_FALSE</v>
      </c>
      <c r="AD471" s="1" t="str">
        <f>IF(AD$467,_xll.RtContribute(AD$403,AD$3&amp;"FX"&amp;$C471&amp;"DDF=","DIVPAYDATE",AD55,"SCOPE:SERVER"),"RT_FALSE")</f>
        <v>RT_FALSE</v>
      </c>
      <c r="AE471" s="1" t="str">
        <f>IF(AE$467,_xll.RtContribute(AE$403,AE$3&amp;"FX"&amp;$C471&amp;"DDF=","DIVPAYDATE",AE55,"SCOPE:SERVER"),"RT_FALSE")</f>
        <v>RT_FALSE</v>
      </c>
      <c r="AF471" s="1" t="str">
        <f>IF(AF$467,_xll.RtContribute(AF$403,AF$3&amp;"FX"&amp;$C471&amp;"DDF=","DIVPAYDATE",AF55,"SCOPE:SERVER"),"RT_FALSE")</f>
        <v>RT_FALSE</v>
      </c>
      <c r="AG471" s="1" t="str">
        <f>IF(AG$467,_xll.RtContribute(AG$403,AG$3&amp;"FX"&amp;$C471&amp;"DDF=","DIVPAYDATE",AG55,"SCOPE:SERVER"),"RT_FALSE")</f>
        <v>RT_FALSE</v>
      </c>
      <c r="AH471" s="1" t="str">
        <f>IF(AH$467,_xll.RtContribute(AH$403,AH$3&amp;"FX"&amp;$C471&amp;"DDF=","DIVPAYDATE",AH55,"SCOPE:SERVER"),"RT_FALSE")</f>
        <v>RT_FALSE</v>
      </c>
      <c r="AI471" s="1" t="str">
        <f>IF(AI$467,_xll.RtContribute(AI$403,AI$3&amp;"FX"&amp;$C471&amp;"DDF=","DIVPAYDATE",AI55,"SCOPE:SERVER"),"RT_FALSE")</f>
        <v>RT_FALSE</v>
      </c>
      <c r="AJ471" s="1" t="str">
        <f>IF(AJ$467,_xll.RtContribute(AJ$403,AJ$3&amp;"FX"&amp;$C471&amp;"DDF=","DIVPAYDATE",AJ55,"SCOPE:SERVER"),"RT_FALSE")</f>
        <v>RT_FALSE</v>
      </c>
      <c r="AK471" s="1" t="str">
        <f>IF(AK$467,_xll.RtContribute(AK$403,AK$3&amp;"FX"&amp;$C471&amp;"DDF=","DIVPAYDATE",AK55,"SCOPE:SERVER"),"RT_FALSE")</f>
        <v>RT_FALSE</v>
      </c>
      <c r="AL471" s="1" t="str">
        <f>IF(AL$467,_xll.RtContribute(AL$403,AL$3&amp;"FX"&amp;$C471&amp;"DDF=","DIVPAYDATE",AL55,"SCOPE:SERVER"),"RT_FALSE")</f>
        <v>RT_FALSE</v>
      </c>
      <c r="AM471" s="1" t="str">
        <f>IF(AM$467,_xll.RtContribute(AM$403,AM$3&amp;"FX"&amp;$C471&amp;"DDF=","DIVPAYDATE",AM55,"SCOPE:SERVER"),"RT_FALSE")</f>
        <v>RT_FALSE</v>
      </c>
      <c r="AN471" s="1" t="str">
        <f>IF(AN$467,_xll.RtContribute(AN$403,AN$3&amp;"FX"&amp;$C471&amp;"DDF=","DIVPAYDATE",AN55,"SCOPE:SERVER"),"RT_FALSE")</f>
        <v>RT_FALSE</v>
      </c>
      <c r="AO471" s="1" t="str">
        <f>IF(AO$467,_xll.RtContribute(AO$403,AO$3&amp;"FX"&amp;$C471&amp;"DDF=","DIVPAYDATE",AO55,"SCOPE:SERVER"),"RT_FALSE")</f>
        <v>RT_FALSE</v>
      </c>
      <c r="AP471" s="1" t="str">
        <f>IF(AP$467,_xll.RtContribute(AP$403,AP$3&amp;"FX"&amp;$C471&amp;"DDF=","DIVPAYDATE",AP55,"SCOPE:SERVER"),"RT_FALSE")</f>
        <v>RT_FALSE</v>
      </c>
    </row>
    <row r="472" spans="2:42" x14ac:dyDescent="0.2">
      <c r="B472" s="305" t="s">
        <v>313</v>
      </c>
      <c r="C472" s="1" t="s">
        <v>92</v>
      </c>
      <c r="D472" s="1" t="str">
        <f>IF(D$467,_xll.RtContribute(D$403,D$3&amp;"FX"&amp;$C472&amp;"DDF=","DIVPAYDATE",D56,"SCOPE:SERVER"),"RT_FALSE")</f>
        <v>RT_FALSE</v>
      </c>
      <c r="E472" s="1" t="str">
        <f>IF(E$467,_xll.RtContribute(E$403,E$3&amp;"FX"&amp;$C472&amp;"DDF=","DIVPAYDATE",E56,"SCOPE:SERVER"),"RT_FALSE")</f>
        <v>RT_FALSE</v>
      </c>
      <c r="F472" s="1" t="str">
        <f>IF(F$467,_xll.RtContribute(F$403,F$3&amp;"FX"&amp;$C472&amp;"DDF=","DIVPAYDATE",F56,"SCOPE:SERVER"),"RT_FALSE")</f>
        <v>RT_FALSE</v>
      </c>
      <c r="G472" s="1" t="str">
        <f>IF(G$467,_xll.RtContribute(G$403,G$3&amp;"FX"&amp;$C472&amp;"DDF=","DIVPAYDATE",G56,"SCOPE:SERVER"),"RT_FALSE")</f>
        <v>RT_FALSE</v>
      </c>
      <c r="H472" s="1" t="str">
        <f>IF(H$467,_xll.RtContribute(H$403,H$3&amp;"FX"&amp;$C472&amp;"DDF=","DIVPAYDATE",H56,"SCOPE:SERVER"),"RT_FALSE")</f>
        <v>RT_FALSE</v>
      </c>
      <c r="I472" s="1" t="str">
        <f>IF(I$467,_xll.RtContribute(I$403,I$3&amp;"FX"&amp;$C472&amp;"DDF=","DIVPAYDATE",I56,"SCOPE:SERVER"),"RT_FALSE")</f>
        <v>RT_FALSE</v>
      </c>
      <c r="J472" s="1" t="str">
        <f>IF(J$467,_xll.RtContribute(J$403,J$3&amp;"FX"&amp;$C472&amp;"DDF=","DIVPAYDATE",J56,"SCOPE:SERVER"),"RT_FALSE")</f>
        <v>RT_FALSE</v>
      </c>
      <c r="K472" s="1" t="str">
        <f>IF(K$467,_xll.RtContribute(K$403,K$3&amp;"FX"&amp;$C472&amp;"DDF=","DIVPAYDATE",K56,"SCOPE:SERVER"),"RT_FALSE")</f>
        <v>RT_FALSE</v>
      </c>
      <c r="L472" s="1" t="str">
        <f>IF(L$467,_xll.RtContribute(L$403,L$3&amp;"FX"&amp;$C472&amp;"DDF=","DIVPAYDATE",L56,"SCOPE:SERVER"),"RT_FALSE")</f>
        <v>RT_FALSE</v>
      </c>
      <c r="M472" s="1" t="str">
        <f>IF(M$467,_xll.RtContribute(M$403,M$3&amp;"FX"&amp;$C472&amp;"DDF=","DIVPAYDATE",M56,"SCOPE:SERVER"),"RT_FALSE")</f>
        <v>RT_FALSE</v>
      </c>
      <c r="N472" s="1" t="str">
        <f>IF(N$467,_xll.RtContribute(N$403,N$3&amp;"FX"&amp;$C472&amp;"DDF=","DIVPAYDATE",N56,"SCOPE:SERVER"),"RT_FALSE")</f>
        <v>RT_FALSE</v>
      </c>
      <c r="O472" s="1" t="str">
        <f>IF(O$467,_xll.RtContribute(O$403,O$3&amp;"FX"&amp;$C472&amp;"DDF=","DIVPAYDATE",O56,"SCOPE:SERVER"),"RT_FALSE")</f>
        <v>RT_FALSE</v>
      </c>
      <c r="P472" s="1" t="str">
        <f>IF(P$467,_xll.RtContribute(P$403,P$3&amp;"FX"&amp;$C472&amp;"DDF=","DIVPAYDATE",P56,"SCOPE:SERVER"),"RT_FALSE")</f>
        <v>RT_FALSE</v>
      </c>
      <c r="Q472" s="1" t="str">
        <f>IF(Q$467,_xll.RtContribute(Q$403,Q$3&amp;"FX"&amp;$C472&amp;"DDF=","DIVPAYDATE",Q56,"SCOPE:SERVER"),"RT_FALSE")</f>
        <v>RT_FALSE</v>
      </c>
      <c r="R472" s="1" t="str">
        <f>IF(R$467,_xll.RtContribute(R$403,R$3&amp;"FX"&amp;$C472&amp;"DDF=","DIVPAYDATE",R56,"SCOPE:SERVER"),"RT_FALSE")</f>
        <v>RT_FALSE</v>
      </c>
      <c r="S472" s="1" t="str">
        <f>IF(S$467,_xll.RtContribute(S$403,S$3&amp;"FX"&amp;$C472&amp;"DDF=","DIVPAYDATE",S56,"SCOPE:SERVER"),"RT_FALSE")</f>
        <v>RT_FALSE</v>
      </c>
      <c r="T472" s="1" t="str">
        <f>IF(T$467,_xll.RtContribute(T$403,T$3&amp;"FX"&amp;$C472&amp;"DDF=","DIVPAYDATE",T56,"SCOPE:SERVER"),"RT_FALSE")</f>
        <v>RT_FALSE</v>
      </c>
      <c r="U472" s="305" t="str">
        <f>IF(U$467,_xll.RtContribute(U$403,U$3&amp;"FXSWDDF=","DIVPAYDATE",U56,"SCOPE:SERVER"),"RT_FALSE")</f>
        <v>RT_FALSE</v>
      </c>
      <c r="V472" s="305" t="str">
        <f>IF(V$467,_xll.RtContribute(V$403,V$3&amp;"FXSWDDF=","DIVPAYDATE",V56,"SCOPE:SERVER"),"RT_FALSE")</f>
        <v>RT_FALSE</v>
      </c>
      <c r="W472" s="305" t="str">
        <f>IF(W$467,_xll.RtContribute(W$403,W$3&amp;"FXSWDDF=","DIVPAYDATE",W56,"SCOPE:SERVER"),"RT_FALSE")</f>
        <v>RT_FALSE</v>
      </c>
      <c r="X472" s="305" t="str">
        <f>IF(X$467,_xll.RtContribute(X$403,X$3&amp;"FXSWDDF=","DIVPAYDATE",X56,"SCOPE:SERVER"),"RT_FALSE")</f>
        <v>RT_FALSE</v>
      </c>
      <c r="Y472" s="305" t="str">
        <f>IF(Y$467,_xll.RtContribute(Y$403,Y$3&amp;"FXSWDDF=","DIVPAYDATE",Y56,"SCOPE:SERVER"),"RT_FALSE")</f>
        <v>RT_FALSE</v>
      </c>
      <c r="Z472" s="305" t="str">
        <f>IF(Z$467,_xll.RtContribute(Z$403,Z$3&amp;"FXSWDDF=","DIVPAYDATE",Z56,"SCOPE:SERVER"),"RT_FALSE")</f>
        <v>RT_FALSE</v>
      </c>
      <c r="AA472" s="305" t="str">
        <f>IF(AA$467,_xll.RtContribute(AA$403,AA$3&amp;"FXSWDDF=","DIVPAYDATE",AA56,"SCOPE:SERVER"),"RT_FALSE")</f>
        <v>RT_FALSE</v>
      </c>
      <c r="AB472" s="305" t="str">
        <f>IF(AB$467,_xll.RtContribute(AB$403,AB$3&amp;"FXSWDDF=","DIVPAYDATE",AB56,"SCOPE:SERVER"),"RT_FALSE")</f>
        <v>RT_FALSE</v>
      </c>
      <c r="AC472" s="305" t="str">
        <f>IF(AC$467,_xll.RtContribute(AC$403,AC$3&amp;"FXSWDDF=","DIVPAYDATE",AC56,"SCOPE:SERVER"),"RT_FALSE")</f>
        <v>RT_FALSE</v>
      </c>
      <c r="AD472" s="305" t="str">
        <f>IF(AD$467,_xll.RtContribute(AD$403,AD$3&amp;"FXSWDDF=","DIVPAYDATE",AD56,"SCOPE:SERVER"),"RT_FALSE")</f>
        <v>RT_FALSE</v>
      </c>
      <c r="AE472" s="305" t="str">
        <f>IF(AE$467,_xll.RtContribute(AE$403,AE$3&amp;"FXSWDDF=","DIVPAYDATE",AE56,"SCOPE:SERVER"),"RT_FALSE")</f>
        <v>RT_FALSE</v>
      </c>
      <c r="AF472" s="305" t="str">
        <f>IF(AF$467,_xll.RtContribute(AF$403,AF$3&amp;"FXSWDDF=","DIVPAYDATE",AF56,"SCOPE:SERVER"),"RT_FALSE")</f>
        <v>RT_FALSE</v>
      </c>
      <c r="AG472" s="305" t="str">
        <f>IF(AG$467,_xll.RtContribute(AG$403,AG$3&amp;"FXSWDDF=","DIVPAYDATE",AG56,"SCOPE:SERVER"),"RT_FALSE")</f>
        <v>RT_FALSE</v>
      </c>
      <c r="AH472" s="305" t="str">
        <f>IF(AH$467,_xll.RtContribute(AH$403,AH$3&amp;"FXSWDDF=","DIVPAYDATE",AH56,"SCOPE:SERVER"),"RT_FALSE")</f>
        <v>RT_FALSE</v>
      </c>
      <c r="AI472" s="305" t="str">
        <f>IF(AI$467,_xll.RtContribute(AI$403,AI$3&amp;"FXSWDDF=","DIVPAYDATE",AI56,"SCOPE:SERVER"),"RT_FALSE")</f>
        <v>RT_FALSE</v>
      </c>
      <c r="AJ472" s="305" t="str">
        <f>IF(AJ$467,_xll.RtContribute(AJ$403,AJ$3&amp;"FXSWDDF=","DIVPAYDATE",AJ56,"SCOPE:SERVER"),"RT_FALSE")</f>
        <v>RT_FALSE</v>
      </c>
      <c r="AK472" s="305" t="str">
        <f>IF(AK$467,_xll.RtContribute(AK$403,AK$3&amp;"FXSWDDF=","DIVPAYDATE",AK56,"SCOPE:SERVER"),"RT_FALSE")</f>
        <v>RT_FALSE</v>
      </c>
      <c r="AL472" s="305" t="str">
        <f>IF(AL$467,_xll.RtContribute(AL$403,AL$3&amp;"FXSWDDF=","DIVPAYDATE",AL56,"SCOPE:SERVER"),"RT_FALSE")</f>
        <v>RT_FALSE</v>
      </c>
      <c r="AM472" s="305" t="str">
        <f>IF(AM$467,_xll.RtContribute(AM$403,AM$3&amp;"FXSWDDF=","DIVPAYDATE",AM56,"SCOPE:SERVER"),"RT_FALSE")</f>
        <v>RT_FALSE</v>
      </c>
      <c r="AN472" s="305" t="str">
        <f>IF(AN$467,_xll.RtContribute(AN$403,AN$3&amp;"FXSWDDF=","DIVPAYDATE",AN56,"SCOPE:SERVER"),"RT_FALSE")</f>
        <v>RT_FALSE</v>
      </c>
      <c r="AO472" s="1" t="str">
        <f>IF(AO$467,_xll.RtContribute(AO$403,AO$3&amp;"FX"&amp;$C472&amp;"DDF=","DIVPAYDATE",AO56,"SCOPE:SERVER"),"RT_FALSE")</f>
        <v>RT_FALSE</v>
      </c>
      <c r="AP472" s="1" t="str">
        <f>IF(AP$467,_xll.RtContribute(AP$403,AP$3&amp;"FX"&amp;$C472&amp;"DDF=","DIVPAYDATE",AP56,"SCOPE:SERVER"),"RT_FALSE")</f>
        <v>RT_FALSE</v>
      </c>
    </row>
    <row r="473" spans="2:42" x14ac:dyDescent="0.2">
      <c r="C473" s="1" t="s">
        <v>55</v>
      </c>
      <c r="D473" s="1" t="str">
        <f>IF(D$467,_xll.RtContribute(D$403,D$3&amp;"FX"&amp;$C473&amp;"DDF=","DIVPAYDATE",D57,"SCOPE:SERVER"),"RT_FALSE")</f>
        <v>RT_FALSE</v>
      </c>
      <c r="E473" s="1" t="str">
        <f>IF(E$467,_xll.RtContribute(E$403,E$3&amp;"FX"&amp;$C473&amp;"DDF=","DIVPAYDATE",E57,"SCOPE:SERVER"),"RT_FALSE")</f>
        <v>RT_FALSE</v>
      </c>
      <c r="F473" s="1" t="str">
        <f>IF(F$467,_xll.RtContribute(F$403,F$3&amp;"FX"&amp;$C473&amp;"DDF=","DIVPAYDATE",F57,"SCOPE:SERVER"),"RT_FALSE")</f>
        <v>RT_FALSE</v>
      </c>
      <c r="G473" s="1" t="str">
        <f>IF(G$467,_xll.RtContribute(G$403,G$3&amp;"FX"&amp;$C473&amp;"DDF=","DIVPAYDATE",G57,"SCOPE:SERVER"),"RT_FALSE")</f>
        <v>RT_FALSE</v>
      </c>
      <c r="H473" s="1" t="str">
        <f>IF(H$467,_xll.RtContribute(H$403,H$3&amp;"FX"&amp;$C473&amp;"DDF=","DIVPAYDATE",H57,"SCOPE:SERVER"),"RT_FALSE")</f>
        <v>RT_FALSE</v>
      </c>
      <c r="I473" s="1" t="str">
        <f>IF(I$467,_xll.RtContribute(I$403,I$3&amp;"FX"&amp;$C473&amp;"DDF=","DIVPAYDATE",I57,"SCOPE:SERVER"),"RT_FALSE")</f>
        <v>RT_FALSE</v>
      </c>
      <c r="J473" s="1" t="str">
        <f>IF(J$467,_xll.RtContribute(J$403,J$3&amp;"FX"&amp;$C473&amp;"DDF=","DIVPAYDATE",J57,"SCOPE:SERVER"),"RT_FALSE")</f>
        <v>RT_FALSE</v>
      </c>
      <c r="K473" s="1" t="str">
        <f>IF(K$467,_xll.RtContribute(K$403,K$3&amp;"FX"&amp;$C473&amp;"DDF=","DIVPAYDATE",K57,"SCOPE:SERVER"),"RT_FALSE")</f>
        <v>RT_FALSE</v>
      </c>
      <c r="L473" s="1" t="str">
        <f>IF(L$467,_xll.RtContribute(L$403,L$3&amp;"FX"&amp;$C473&amp;"DDF=","DIVPAYDATE",L57,"SCOPE:SERVER"),"RT_FALSE")</f>
        <v>RT_FALSE</v>
      </c>
      <c r="M473" s="1" t="str">
        <f>IF(M$467,_xll.RtContribute(M$403,M$3&amp;"FX"&amp;$C473&amp;"DDF=","DIVPAYDATE",M57,"SCOPE:SERVER"),"RT_FALSE")</f>
        <v>RT_FALSE</v>
      </c>
      <c r="N473" s="1" t="str">
        <f>IF(N$467,_xll.RtContribute(N$403,N$3&amp;"FX"&amp;$C473&amp;"DDF=","DIVPAYDATE",N57,"SCOPE:SERVER"),"RT_FALSE")</f>
        <v>RT_FALSE</v>
      </c>
      <c r="O473" s="1" t="str">
        <f>IF(O$467,_xll.RtContribute(O$403,O$3&amp;"FX"&amp;$C473&amp;"DDF=","DIVPAYDATE",O57,"SCOPE:SERVER"),"RT_FALSE")</f>
        <v>RT_FALSE</v>
      </c>
      <c r="P473" s="1" t="str">
        <f>IF(P$467,_xll.RtContribute(P$403,P$3&amp;"FX"&amp;$C473&amp;"DDF=","DIVPAYDATE",P57,"SCOPE:SERVER"),"RT_FALSE")</f>
        <v>RT_FALSE</v>
      </c>
      <c r="Q473" s="1" t="str">
        <f>IF(Q$467,_xll.RtContribute(Q$403,Q$3&amp;"FX"&amp;$C473&amp;"DDF=","DIVPAYDATE",Q57,"SCOPE:SERVER"),"RT_FALSE")</f>
        <v>RT_FALSE</v>
      </c>
      <c r="R473" s="1" t="str">
        <f>IF(R$467,_xll.RtContribute(R$403,R$3&amp;"FX"&amp;$C473&amp;"DDF=","DIVPAYDATE",R57,"SCOPE:SERVER"),"RT_FALSE")</f>
        <v>RT_FALSE</v>
      </c>
      <c r="S473" s="1" t="str">
        <f>IF(S$467,_xll.RtContribute(S$403,S$3&amp;"FX"&amp;$C473&amp;"DDF=","DIVPAYDATE",S57,"SCOPE:SERVER"),"RT_FALSE")</f>
        <v>RT_FALSE</v>
      </c>
      <c r="T473" s="1" t="str">
        <f>IF(T$467,_xll.RtContribute(T$403,T$3&amp;"FX"&amp;$C473&amp;"DDF=","DIVPAYDATE",T57,"SCOPE:SERVER"),"RT_FALSE")</f>
        <v>RT_FALSE</v>
      </c>
      <c r="U473" s="1" t="str">
        <f>IF(U$467,_xll.RtContribute(U$403,U$3&amp;"FX"&amp;$C473&amp;"DDF=","DIVPAYDATE",U57,"SCOPE:SERVER"),"RT_FALSE")</f>
        <v>RT_FALSE</v>
      </c>
      <c r="V473" s="1" t="str">
        <f>IF(V$467,_xll.RtContribute(V$403,V$3&amp;"FX"&amp;$C473&amp;"DDF=","DIVPAYDATE",V57,"SCOPE:SERVER"),"RT_FALSE")</f>
        <v>RT_FALSE</v>
      </c>
      <c r="W473" s="1" t="str">
        <f>IF(W$467,_xll.RtContribute(W$403,W$3&amp;"FX"&amp;$C473&amp;"DDF=","DIVPAYDATE",W57,"SCOPE:SERVER"),"RT_FALSE")</f>
        <v>RT_FALSE</v>
      </c>
      <c r="X473" s="1" t="str">
        <f>IF(X$467,_xll.RtContribute(X$403,X$3&amp;"FX"&amp;$C473&amp;"DDF=","DIVPAYDATE",X57,"SCOPE:SERVER"),"RT_FALSE")</f>
        <v>RT_FALSE</v>
      </c>
      <c r="Y473" s="1" t="str">
        <f>IF(Y$467,_xll.RtContribute(Y$403,Y$3&amp;"FX"&amp;$C473&amp;"DDF=","DIVPAYDATE",Y57,"SCOPE:SERVER"),"RT_FALSE")</f>
        <v>RT_FALSE</v>
      </c>
      <c r="Z473" s="1" t="str">
        <f>IF(Z$467,_xll.RtContribute(Z$403,Z$3&amp;"FX"&amp;$C473&amp;"DDF=","DIVPAYDATE",Z57,"SCOPE:SERVER"),"RT_FALSE")</f>
        <v>RT_FALSE</v>
      </c>
      <c r="AA473" s="1" t="str">
        <f>IF(AA$467,_xll.RtContribute(AA$403,AA$3&amp;"FX"&amp;$C473&amp;"DDF=","DIVPAYDATE",AA57,"SCOPE:SERVER"),"RT_FALSE")</f>
        <v>RT_FALSE</v>
      </c>
      <c r="AB473" s="1" t="str">
        <f>IF(AB$467,_xll.RtContribute(AB$403,AB$3&amp;"FX"&amp;$C473&amp;"DDF=","DIVPAYDATE",AB57,"SCOPE:SERVER"),"RT_FALSE")</f>
        <v>RT_FALSE</v>
      </c>
      <c r="AC473" s="1" t="str">
        <f>IF(AC$467,_xll.RtContribute(AC$403,AC$3&amp;"FX"&amp;$C473&amp;"DDF=","DIVPAYDATE",AC57,"SCOPE:SERVER"),"RT_FALSE")</f>
        <v>RT_FALSE</v>
      </c>
      <c r="AD473" s="1" t="str">
        <f>IF(AD$467,_xll.RtContribute(AD$403,AD$3&amp;"FX"&amp;$C473&amp;"DDF=","DIVPAYDATE",AD57,"SCOPE:SERVER"),"RT_FALSE")</f>
        <v>RT_FALSE</v>
      </c>
      <c r="AE473" s="1" t="str">
        <f>IF(AE$467,_xll.RtContribute(AE$403,AE$3&amp;"FX"&amp;$C473&amp;"DDF=","DIVPAYDATE",AE57,"SCOPE:SERVER"),"RT_FALSE")</f>
        <v>RT_FALSE</v>
      </c>
      <c r="AF473" s="1" t="str">
        <f>IF(AF$467,_xll.RtContribute(AF$403,AF$3&amp;"FX"&amp;$C473&amp;"DDF=","DIVPAYDATE",AF57,"SCOPE:SERVER"),"RT_FALSE")</f>
        <v>RT_FALSE</v>
      </c>
      <c r="AG473" s="1" t="str">
        <f>IF(AG$467,_xll.RtContribute(AG$403,AG$3&amp;"FX"&amp;$C473&amp;"DDF=","DIVPAYDATE",AG57,"SCOPE:SERVER"),"RT_FALSE")</f>
        <v>RT_FALSE</v>
      </c>
      <c r="AH473" s="1" t="str">
        <f>IF(AH$467,_xll.RtContribute(AH$403,AH$3&amp;"FX"&amp;$C473&amp;"DDF=","DIVPAYDATE",AH57,"SCOPE:SERVER"),"RT_FALSE")</f>
        <v>RT_FALSE</v>
      </c>
      <c r="AI473" s="1" t="str">
        <f>IF(AI$467,_xll.RtContribute(AI$403,AI$3&amp;"FX"&amp;$C473&amp;"DDF=","DIVPAYDATE",AI57,"SCOPE:SERVER"),"RT_FALSE")</f>
        <v>RT_FALSE</v>
      </c>
      <c r="AJ473" s="1" t="str">
        <f>IF(AJ$467,_xll.RtContribute(AJ$403,AJ$3&amp;"FX"&amp;$C473&amp;"DDF=","DIVPAYDATE",AJ57,"SCOPE:SERVER"),"RT_FALSE")</f>
        <v>RT_FALSE</v>
      </c>
      <c r="AK473" s="1" t="str">
        <f>IF(AK$467,_xll.RtContribute(AK$403,AK$3&amp;"FX"&amp;$C473&amp;"DDF=","DIVPAYDATE",AK57,"SCOPE:SERVER"),"RT_FALSE")</f>
        <v>RT_FALSE</v>
      </c>
      <c r="AL473" s="1" t="str">
        <f>IF(AL$467,_xll.RtContribute(AL$403,AL$3&amp;"FX"&amp;$C473&amp;"DDF=","DIVPAYDATE",AL57,"SCOPE:SERVER"),"RT_FALSE")</f>
        <v>RT_FALSE</v>
      </c>
      <c r="AM473" s="1" t="str">
        <f>IF(AM$467,_xll.RtContribute(AM$403,AM$3&amp;"FX"&amp;$C473&amp;"DDF=","DIVPAYDATE",AM57,"SCOPE:SERVER"),"RT_FALSE")</f>
        <v>RT_FALSE</v>
      </c>
      <c r="AN473" s="1" t="str">
        <f>IF(AN$467,_xll.RtContribute(AN$403,AN$3&amp;"FX"&amp;$C473&amp;"DDF=","DIVPAYDATE",AN57,"SCOPE:SERVER"),"RT_FALSE")</f>
        <v>RT_FALSE</v>
      </c>
      <c r="AO473" s="1" t="str">
        <f>IF(AO$467,_xll.RtContribute(AO$403,AO$3&amp;"FX"&amp;$C473&amp;"DDF=","DIVPAYDATE",AO57,"SCOPE:SERVER"),"RT_FALSE")</f>
        <v>RT_FALSE</v>
      </c>
      <c r="AP473" s="1" t="str">
        <f>IF(AP$467,_xll.RtContribute(AP$403,AP$3&amp;"FX"&amp;$C473&amp;"DDF=","DIVPAYDATE",AP57,"SCOPE:SERVER"),"RT_FALSE")</f>
        <v>RT_FALSE</v>
      </c>
    </row>
    <row r="474" spans="2:42" x14ac:dyDescent="0.2">
      <c r="C474" s="1" t="s">
        <v>63</v>
      </c>
      <c r="D474" s="1" t="str">
        <f>IF(D$467,_xll.RtContribute(D$403,D$3&amp;"FX"&amp;$C474&amp;"DDF=","DIVPAYDATE",D58,"SCOPE:SERVER"),"RT_FALSE")</f>
        <v>RT_FALSE</v>
      </c>
      <c r="E474" s="1" t="str">
        <f>IF(E$467,_xll.RtContribute(E$403,E$3&amp;"FX"&amp;$C474&amp;"DDF=","DIVPAYDATE",E58,"SCOPE:SERVER"),"RT_FALSE")</f>
        <v>RT_FALSE</v>
      </c>
      <c r="F474" s="1" t="str">
        <f>IF(F$467,_xll.RtContribute(F$403,F$3&amp;"FX"&amp;$C474&amp;"DDF=","DIVPAYDATE",F58,"SCOPE:SERVER"),"RT_FALSE")</f>
        <v>RT_FALSE</v>
      </c>
      <c r="G474" s="1" t="str">
        <f>IF(G$467,_xll.RtContribute(G$403,G$3&amp;"FX"&amp;$C474&amp;"DDF=","DIVPAYDATE",G58,"SCOPE:SERVER"),"RT_FALSE")</f>
        <v>RT_FALSE</v>
      </c>
      <c r="H474" s="1" t="str">
        <f>IF(H$467,_xll.RtContribute(H$403,H$3&amp;"FX"&amp;$C474&amp;"DDF=","DIVPAYDATE",H58,"SCOPE:SERVER"),"RT_FALSE")</f>
        <v>RT_FALSE</v>
      </c>
      <c r="I474" s="1" t="str">
        <f>IF(I$467,_xll.RtContribute(I$403,I$3&amp;"FX"&amp;$C474&amp;"DDF=","DIVPAYDATE",I58,"SCOPE:SERVER"),"RT_FALSE")</f>
        <v>RT_FALSE</v>
      </c>
      <c r="J474" s="1" t="str">
        <f>IF(J$467,_xll.RtContribute(J$403,J$3&amp;"FX"&amp;$C474&amp;"DDF=","DIVPAYDATE",J58,"SCOPE:SERVER"),"RT_FALSE")</f>
        <v>RT_FALSE</v>
      </c>
      <c r="K474" s="1" t="str">
        <f>IF(K$467,_xll.RtContribute(K$403,K$3&amp;"FX"&amp;$C474&amp;"DDF=","DIVPAYDATE",K58,"SCOPE:SERVER"),"RT_FALSE")</f>
        <v>RT_FALSE</v>
      </c>
      <c r="L474" s="1" t="str">
        <f>IF(L$467,_xll.RtContribute(L$403,L$3&amp;"FX"&amp;$C474&amp;"DDF=","DIVPAYDATE",L58,"SCOPE:SERVER"),"RT_FALSE")</f>
        <v>RT_FALSE</v>
      </c>
      <c r="M474" s="1" t="str">
        <f>IF(M$467,_xll.RtContribute(M$403,M$3&amp;"FX"&amp;$C474&amp;"DDF=","DIVPAYDATE",M58,"SCOPE:SERVER"),"RT_FALSE")</f>
        <v>RT_FALSE</v>
      </c>
      <c r="N474" s="1" t="str">
        <f>IF(N$467,_xll.RtContribute(N$403,N$3&amp;"FX"&amp;$C474&amp;"DDF=","DIVPAYDATE",N58,"SCOPE:SERVER"),"RT_FALSE")</f>
        <v>RT_FALSE</v>
      </c>
      <c r="O474" s="1" t="str">
        <f>IF(O$467,_xll.RtContribute(O$403,O$3&amp;"FX"&amp;$C474&amp;"DDF=","DIVPAYDATE",O58,"SCOPE:SERVER"),"RT_FALSE")</f>
        <v>RT_FALSE</v>
      </c>
      <c r="P474" s="1" t="str">
        <f>IF(P$467,_xll.RtContribute(P$403,P$3&amp;"FX"&amp;$C474&amp;"DDF=","DIVPAYDATE",P58,"SCOPE:SERVER"),"RT_FALSE")</f>
        <v>RT_FALSE</v>
      </c>
      <c r="Q474" s="1" t="str">
        <f>IF(Q$467,_xll.RtContribute(Q$403,Q$3&amp;"FX"&amp;$C474&amp;"DDF=","DIVPAYDATE",Q58,"SCOPE:SERVER"),"RT_FALSE")</f>
        <v>RT_FALSE</v>
      </c>
      <c r="R474" s="1" t="str">
        <f>IF(R$467,_xll.RtContribute(R$403,R$3&amp;"FX"&amp;$C474&amp;"DDF=","DIVPAYDATE",R58,"SCOPE:SERVER"),"RT_FALSE")</f>
        <v>RT_FALSE</v>
      </c>
      <c r="S474" s="1" t="str">
        <f>IF(S$467,_xll.RtContribute(S$403,S$3&amp;"FX"&amp;$C474&amp;"DDF=","DIVPAYDATE",S58,"SCOPE:SERVER"),"RT_FALSE")</f>
        <v>RT_FALSE</v>
      </c>
      <c r="T474" s="1" t="str">
        <f>IF(T$467,_xll.RtContribute(T$403,T$3&amp;"FX"&amp;$C474&amp;"DDF=","DIVPAYDATE",T58,"SCOPE:SERVER"),"RT_FALSE")</f>
        <v>RT_FALSE</v>
      </c>
      <c r="U474" s="1" t="str">
        <f>IF(U$467,_xll.RtContribute(U$403,U$3&amp;"FX"&amp;$C474&amp;"DDF=","DIVPAYDATE",U58,"SCOPE:SERVER"),"RT_FALSE")</f>
        <v>RT_FALSE</v>
      </c>
      <c r="V474" s="1" t="str">
        <f>IF(V$467,_xll.RtContribute(V$403,V$3&amp;"FX"&amp;$C474&amp;"DDF=","DIVPAYDATE",V58,"SCOPE:SERVER"),"RT_FALSE")</f>
        <v>RT_FALSE</v>
      </c>
      <c r="W474" s="1" t="str">
        <f>IF(W$467,_xll.RtContribute(W$403,W$3&amp;"FX"&amp;$C474&amp;"DDF=","DIVPAYDATE",W58,"SCOPE:SERVER"),"RT_FALSE")</f>
        <v>RT_FALSE</v>
      </c>
      <c r="X474" s="1" t="str">
        <f>IF(X$467,_xll.RtContribute(X$403,X$3&amp;"FX"&amp;$C474&amp;"DDF=","DIVPAYDATE",X58,"SCOPE:SERVER"),"RT_FALSE")</f>
        <v>RT_FALSE</v>
      </c>
      <c r="Y474" s="1" t="str">
        <f>IF(Y$467,_xll.RtContribute(Y$403,Y$3&amp;"FX"&amp;$C474&amp;"DDF=","DIVPAYDATE",Y58,"SCOPE:SERVER"),"RT_FALSE")</f>
        <v>RT_FALSE</v>
      </c>
      <c r="Z474" s="1" t="str">
        <f>IF(Z$467,_xll.RtContribute(Z$403,Z$3&amp;"FX"&amp;$C474&amp;"DDF=","DIVPAYDATE",Z58,"SCOPE:SERVER"),"RT_FALSE")</f>
        <v>RT_FALSE</v>
      </c>
      <c r="AA474" s="1" t="str">
        <f>IF(AA$467,_xll.RtContribute(AA$403,AA$3&amp;"FX"&amp;$C474&amp;"DDF=","DIVPAYDATE",AA58,"SCOPE:SERVER"),"RT_FALSE")</f>
        <v>RT_FALSE</v>
      </c>
      <c r="AB474" s="1" t="str">
        <f>IF(AB$467,_xll.RtContribute(AB$403,AB$3&amp;"FX"&amp;$C474&amp;"DDF=","DIVPAYDATE",AB58,"SCOPE:SERVER"),"RT_FALSE")</f>
        <v>RT_FALSE</v>
      </c>
      <c r="AC474" s="1" t="str">
        <f>IF(AC$467,_xll.RtContribute(AC$403,AC$3&amp;"FX"&amp;$C474&amp;"DDF=","DIVPAYDATE",AC58,"SCOPE:SERVER"),"RT_FALSE")</f>
        <v>RT_FALSE</v>
      </c>
      <c r="AD474" s="1" t="str">
        <f>IF(AD$467,_xll.RtContribute(AD$403,AD$3&amp;"FX"&amp;$C474&amp;"DDF=","DIVPAYDATE",AD58,"SCOPE:SERVER"),"RT_FALSE")</f>
        <v>RT_FALSE</v>
      </c>
      <c r="AE474" s="1" t="str">
        <f>IF(AE$467,_xll.RtContribute(AE$403,AE$3&amp;"FX"&amp;$C474&amp;"DDF=","DIVPAYDATE",AE58,"SCOPE:SERVER"),"RT_FALSE")</f>
        <v>RT_FALSE</v>
      </c>
      <c r="AF474" s="1" t="str">
        <f>IF(AF$467,_xll.RtContribute(AF$403,AF$3&amp;"FX"&amp;$C474&amp;"DDF=","DIVPAYDATE",AF58,"SCOPE:SERVER"),"RT_FALSE")</f>
        <v>RT_FALSE</v>
      </c>
      <c r="AG474" s="1" t="str">
        <f>IF(AG$467,_xll.RtContribute(AG$403,AG$3&amp;"FX"&amp;$C474&amp;"DDF=","DIVPAYDATE",AG58,"SCOPE:SERVER"),"RT_FALSE")</f>
        <v>RT_FALSE</v>
      </c>
      <c r="AH474" s="1" t="str">
        <f>IF(AH$467,_xll.RtContribute(AH$403,AH$3&amp;"FX"&amp;$C474&amp;"DDF=","DIVPAYDATE",AH58,"SCOPE:SERVER"),"RT_FALSE")</f>
        <v>RT_FALSE</v>
      </c>
      <c r="AI474" s="1" t="str">
        <f>IF(AI$467,_xll.RtContribute(AI$403,AI$3&amp;"FX"&amp;$C474&amp;"DDF=","DIVPAYDATE",AI58,"SCOPE:SERVER"),"RT_FALSE")</f>
        <v>RT_FALSE</v>
      </c>
      <c r="AJ474" s="1" t="str">
        <f>IF(AJ$467,_xll.RtContribute(AJ$403,AJ$3&amp;"FX"&amp;$C474&amp;"DDF=","DIVPAYDATE",AJ58,"SCOPE:SERVER"),"RT_FALSE")</f>
        <v>RT_FALSE</v>
      </c>
      <c r="AK474" s="1" t="str">
        <f>IF(AK$467,_xll.RtContribute(AK$403,AK$3&amp;"FX"&amp;$C474&amp;"DDF=","DIVPAYDATE",AK58,"SCOPE:SERVER"),"RT_FALSE")</f>
        <v>RT_FALSE</v>
      </c>
      <c r="AL474" s="1" t="str">
        <f>IF(AL$467,_xll.RtContribute(AL$403,AL$3&amp;"FX"&amp;$C474&amp;"DDF=","DIVPAYDATE",AL58,"SCOPE:SERVER"),"RT_FALSE")</f>
        <v>RT_FALSE</v>
      </c>
      <c r="AM474" s="1" t="str">
        <f>IF(AM$467,_xll.RtContribute(AM$403,AM$3&amp;"FX"&amp;$C474&amp;"DDF=","DIVPAYDATE",AM58,"SCOPE:SERVER"),"RT_FALSE")</f>
        <v>RT_FALSE</v>
      </c>
      <c r="AN474" s="1" t="str">
        <f>IF(AN$467,_xll.RtContribute(AN$403,AN$3&amp;"FX"&amp;$C474&amp;"DDF=","DIVPAYDATE",AN58,"SCOPE:SERVER"),"RT_FALSE")</f>
        <v>RT_FALSE</v>
      </c>
      <c r="AO474" s="1" t="str">
        <f>IF(AO$467,_xll.RtContribute(AO$403,AO$3&amp;"FX"&amp;$C474&amp;"DDF=","DIVPAYDATE",AO58,"SCOPE:SERVER"),"RT_FALSE")</f>
        <v>RT_FALSE</v>
      </c>
      <c r="AP474" s="1" t="str">
        <f>IF(AP$467,_xll.RtContribute(AP$403,AP$3&amp;"FX"&amp;$C474&amp;"DDF=","DIVPAYDATE",AP58,"SCOPE:SERVER"),"RT_FALSE")</f>
        <v>RT_FALSE</v>
      </c>
    </row>
    <row r="475" spans="2:42" x14ac:dyDescent="0.2">
      <c r="C475" s="1" t="s">
        <v>66</v>
      </c>
      <c r="D475" s="1" t="str">
        <f>IF(D$467,_xll.RtContribute(D$403,D$3&amp;"FX"&amp;$C475&amp;"DDF=","DIVPAYDATE",D59,"SCOPE:SERVER"),"RT_FALSE")</f>
        <v>RT_FALSE</v>
      </c>
      <c r="E475" s="1" t="str">
        <f>IF(E$467,_xll.RtContribute(E$403,E$3&amp;"FX"&amp;$C475&amp;"DDF=","DIVPAYDATE",E59,"SCOPE:SERVER"),"RT_FALSE")</f>
        <v>RT_FALSE</v>
      </c>
      <c r="F475" s="1" t="str">
        <f>IF(F$467,_xll.RtContribute(F$403,F$3&amp;"FX"&amp;$C475&amp;"DDF=","DIVPAYDATE",F59,"SCOPE:SERVER"),"RT_FALSE")</f>
        <v>RT_FALSE</v>
      </c>
      <c r="G475" s="1" t="str">
        <f>IF(G$467,_xll.RtContribute(G$403,G$3&amp;"FX"&amp;$C475&amp;"DDF=","DIVPAYDATE",G59,"SCOPE:SERVER"),"RT_FALSE")</f>
        <v>RT_FALSE</v>
      </c>
      <c r="H475" s="1" t="str">
        <f>IF(H$467,_xll.RtContribute(H$403,H$3&amp;"FX"&amp;$C475&amp;"DDF=","DIVPAYDATE",H59,"SCOPE:SERVER"),"RT_FALSE")</f>
        <v>RT_FALSE</v>
      </c>
      <c r="I475" s="1" t="str">
        <f>IF(I$467,_xll.RtContribute(I$403,I$3&amp;"FX"&amp;$C475&amp;"DDF=","DIVPAYDATE",I59,"SCOPE:SERVER"),"RT_FALSE")</f>
        <v>RT_FALSE</v>
      </c>
      <c r="J475" s="1" t="str">
        <f>IF(J$467,_xll.RtContribute(J$403,J$3&amp;"FX"&amp;$C475&amp;"DDF=","DIVPAYDATE",J59,"SCOPE:SERVER"),"RT_FALSE")</f>
        <v>RT_FALSE</v>
      </c>
      <c r="K475" s="1" t="str">
        <f>IF(K$467,_xll.RtContribute(K$403,K$3&amp;"FX"&amp;$C475&amp;"DDF=","DIVPAYDATE",K59,"SCOPE:SERVER"),"RT_FALSE")</f>
        <v>RT_FALSE</v>
      </c>
      <c r="L475" s="1" t="str">
        <f>IF(L$467,_xll.RtContribute(L$403,L$3&amp;"FX"&amp;$C475&amp;"DDF=","DIVPAYDATE",L59,"SCOPE:SERVER"),"RT_FALSE")</f>
        <v>RT_FALSE</v>
      </c>
      <c r="M475" s="1" t="str">
        <f>IF(M$467,_xll.RtContribute(M$403,M$3&amp;"FX"&amp;$C475&amp;"DDF=","DIVPAYDATE",M59,"SCOPE:SERVER"),"RT_FALSE")</f>
        <v>RT_FALSE</v>
      </c>
      <c r="N475" s="1" t="str">
        <f>IF(N$467,_xll.RtContribute(N$403,N$3&amp;"FX"&amp;$C475&amp;"DDF=","DIVPAYDATE",N59,"SCOPE:SERVER"),"RT_FALSE")</f>
        <v>RT_FALSE</v>
      </c>
      <c r="O475" s="1" t="str">
        <f>IF(O$467,_xll.RtContribute(O$403,O$3&amp;"FX"&amp;$C475&amp;"DDF=","DIVPAYDATE",O59,"SCOPE:SERVER"),"RT_FALSE")</f>
        <v>RT_FALSE</v>
      </c>
      <c r="P475" s="1" t="str">
        <f>IF(P$467,_xll.RtContribute(P$403,P$3&amp;"FX"&amp;$C475&amp;"DDF=","DIVPAYDATE",P59,"SCOPE:SERVER"),"RT_FALSE")</f>
        <v>RT_FALSE</v>
      </c>
      <c r="Q475" s="1" t="str">
        <f>IF(Q$467,_xll.RtContribute(Q$403,Q$3&amp;"FX"&amp;$C475&amp;"DDF=","DIVPAYDATE",Q59,"SCOPE:SERVER"),"RT_FALSE")</f>
        <v>RT_FALSE</v>
      </c>
      <c r="R475" s="1" t="str">
        <f>IF(R$467,_xll.RtContribute(R$403,R$3&amp;"FX"&amp;$C475&amp;"DDF=","DIVPAYDATE",R59,"SCOPE:SERVER"),"RT_FALSE")</f>
        <v>RT_FALSE</v>
      </c>
      <c r="S475" s="1" t="str">
        <f>IF(S$467,_xll.RtContribute(S$403,S$3&amp;"FX"&amp;$C475&amp;"DDF=","DIVPAYDATE",S59,"SCOPE:SERVER"),"RT_FALSE")</f>
        <v>RT_FALSE</v>
      </c>
      <c r="T475" s="1" t="str">
        <f>IF(T$467,_xll.RtContribute(T$403,T$3&amp;"FX"&amp;$C475&amp;"DDF=","DIVPAYDATE",T59,"SCOPE:SERVER"),"RT_FALSE")</f>
        <v>RT_FALSE</v>
      </c>
      <c r="U475" s="1" t="str">
        <f>IF(U$467,_xll.RtContribute(U$403,U$3&amp;"FX"&amp;$C475&amp;"DDF=","DIVPAYDATE",U59,"SCOPE:SERVER"),"RT_FALSE")</f>
        <v>RT_FALSE</v>
      </c>
      <c r="V475" s="1" t="str">
        <f>IF(V$467,_xll.RtContribute(V$403,V$3&amp;"FX"&amp;$C475&amp;"DDF=","DIVPAYDATE",V59,"SCOPE:SERVER"),"RT_FALSE")</f>
        <v>RT_FALSE</v>
      </c>
      <c r="W475" s="1" t="str">
        <f>IF(W$467,_xll.RtContribute(W$403,W$3&amp;"FX"&amp;$C475&amp;"DDF=","DIVPAYDATE",W59,"SCOPE:SERVER"),"RT_FALSE")</f>
        <v>RT_FALSE</v>
      </c>
      <c r="X475" s="1" t="str">
        <f>IF(X$467,_xll.RtContribute(X$403,X$3&amp;"FX"&amp;$C475&amp;"DDF=","DIVPAYDATE",X59,"SCOPE:SERVER"),"RT_FALSE")</f>
        <v>RT_FALSE</v>
      </c>
      <c r="Y475" s="1" t="str">
        <f>IF(Y$467,_xll.RtContribute(Y$403,Y$3&amp;"FX"&amp;$C475&amp;"DDF=","DIVPAYDATE",Y59,"SCOPE:SERVER"),"RT_FALSE")</f>
        <v>RT_FALSE</v>
      </c>
      <c r="Z475" s="1" t="str">
        <f>IF(Z$467,_xll.RtContribute(Z$403,Z$3&amp;"FX"&amp;$C475&amp;"DDF=","DIVPAYDATE",Z59,"SCOPE:SERVER"),"RT_FALSE")</f>
        <v>RT_FALSE</v>
      </c>
      <c r="AA475" s="1" t="str">
        <f>IF(AA$467,_xll.RtContribute(AA$403,AA$3&amp;"FX"&amp;$C475&amp;"DDF=","DIVPAYDATE",AA59,"SCOPE:SERVER"),"RT_FALSE")</f>
        <v>RT_FALSE</v>
      </c>
      <c r="AB475" s="1" t="str">
        <f>IF(AB$467,_xll.RtContribute(AB$403,AB$3&amp;"FX"&amp;$C475&amp;"DDF=","DIVPAYDATE",AB59,"SCOPE:SERVER"),"RT_FALSE")</f>
        <v>RT_FALSE</v>
      </c>
      <c r="AC475" s="1" t="str">
        <f>IF(AC$467,_xll.RtContribute(AC$403,AC$3&amp;"FX"&amp;$C475&amp;"DDF=","DIVPAYDATE",AC59,"SCOPE:SERVER"),"RT_FALSE")</f>
        <v>RT_FALSE</v>
      </c>
      <c r="AD475" s="1" t="str">
        <f>IF(AD$467,_xll.RtContribute(AD$403,AD$3&amp;"FX"&amp;$C475&amp;"DDF=","DIVPAYDATE",AD59,"SCOPE:SERVER"),"RT_FALSE")</f>
        <v>RT_FALSE</v>
      </c>
      <c r="AE475" s="1" t="str">
        <f>IF(AE$467,_xll.RtContribute(AE$403,AE$3&amp;"FX"&amp;$C475&amp;"DDF=","DIVPAYDATE",AE59,"SCOPE:SERVER"),"RT_FALSE")</f>
        <v>RT_FALSE</v>
      </c>
      <c r="AF475" s="1" t="str">
        <f>IF(AF$467,_xll.RtContribute(AF$403,AF$3&amp;"FX"&amp;$C475&amp;"DDF=","DIVPAYDATE",AF59,"SCOPE:SERVER"),"RT_FALSE")</f>
        <v>RT_FALSE</v>
      </c>
      <c r="AG475" s="1" t="str">
        <f>IF(AG$467,_xll.RtContribute(AG$403,AG$3&amp;"FX"&amp;$C475&amp;"DDF=","DIVPAYDATE",AG59,"SCOPE:SERVER"),"RT_FALSE")</f>
        <v>RT_FALSE</v>
      </c>
      <c r="AH475" s="1" t="str">
        <f>IF(AH$467,_xll.RtContribute(AH$403,AH$3&amp;"FX"&amp;$C475&amp;"DDF=","DIVPAYDATE",AH59,"SCOPE:SERVER"),"RT_FALSE")</f>
        <v>RT_FALSE</v>
      </c>
      <c r="AI475" s="1" t="str">
        <f>IF(AI$467,_xll.RtContribute(AI$403,AI$3&amp;"FX"&amp;$C475&amp;"DDF=","DIVPAYDATE",AI59,"SCOPE:SERVER"),"RT_FALSE")</f>
        <v>RT_FALSE</v>
      </c>
      <c r="AJ475" s="1" t="str">
        <f>IF(AJ$467,_xll.RtContribute(AJ$403,AJ$3&amp;"FX"&amp;$C475&amp;"DDF=","DIVPAYDATE",AJ59,"SCOPE:SERVER"),"RT_FALSE")</f>
        <v>RT_FALSE</v>
      </c>
      <c r="AK475" s="1" t="str">
        <f>IF(AK$467,_xll.RtContribute(AK$403,AK$3&amp;"FX"&amp;$C475&amp;"DDF=","DIVPAYDATE",AK59,"SCOPE:SERVER"),"RT_FALSE")</f>
        <v>RT_FALSE</v>
      </c>
      <c r="AL475" s="1" t="str">
        <f>IF(AL$467,_xll.RtContribute(AL$403,AL$3&amp;"FX"&amp;$C475&amp;"DDF=","DIVPAYDATE",AL59,"SCOPE:SERVER"),"RT_FALSE")</f>
        <v>RT_FALSE</v>
      </c>
      <c r="AM475" s="1" t="str">
        <f>IF(AM$467,_xll.RtContribute(AM$403,AM$3&amp;"FX"&amp;$C475&amp;"DDF=","DIVPAYDATE",AM59,"SCOPE:SERVER"),"RT_FALSE")</f>
        <v>RT_FALSE</v>
      </c>
      <c r="AN475" s="1" t="str">
        <f>IF(AN$467,_xll.RtContribute(AN$403,AN$3&amp;"FX"&amp;$C475&amp;"DDF=","DIVPAYDATE",AN59,"SCOPE:SERVER"),"RT_FALSE")</f>
        <v>RT_FALSE</v>
      </c>
      <c r="AO475" s="1" t="str">
        <f>IF(AO$467,_xll.RtContribute(AO$403,AO$3&amp;"FX"&amp;$C475&amp;"DDF=","DIVPAYDATE",AO59,"SCOPE:SERVER"),"RT_FALSE")</f>
        <v>RT_FALSE</v>
      </c>
      <c r="AP475" s="1" t="str">
        <f>IF(AP$467,_xll.RtContribute(AP$403,AP$3&amp;"FX"&amp;$C475&amp;"DDF=","DIVPAYDATE",AP59,"SCOPE:SERVER"),"RT_FALSE")</f>
        <v>RT_FALSE</v>
      </c>
    </row>
    <row r="476" spans="2:42" x14ac:dyDescent="0.2">
      <c r="C476" s="1" t="s">
        <v>71</v>
      </c>
      <c r="D476" s="1" t="str">
        <f>IF(D$467,_xll.RtContribute(D$403,D$3&amp;"FX"&amp;$C476&amp;"DDF=","DIVPAYDATE",D60,"SCOPE:SERVER"),"RT_FALSE")</f>
        <v>RT_FALSE</v>
      </c>
      <c r="E476" s="1" t="str">
        <f>IF(E$467,_xll.RtContribute(E$403,E$3&amp;"FX"&amp;$C476&amp;"DDF=","DIVPAYDATE",E60,"SCOPE:SERVER"),"RT_FALSE")</f>
        <v>RT_FALSE</v>
      </c>
      <c r="F476" s="1" t="str">
        <f>IF(F$467,_xll.RtContribute(F$403,F$3&amp;"FX"&amp;$C476&amp;"DDF=","DIVPAYDATE",F60,"SCOPE:SERVER"),"RT_FALSE")</f>
        <v>RT_FALSE</v>
      </c>
      <c r="G476" s="1" t="str">
        <f>IF(G$467,_xll.RtContribute(G$403,G$3&amp;"FX"&amp;$C476&amp;"DDF=","DIVPAYDATE",G60,"SCOPE:SERVER"),"RT_FALSE")</f>
        <v>RT_FALSE</v>
      </c>
      <c r="H476" s="1" t="str">
        <f>IF(H$467,_xll.RtContribute(H$403,H$3&amp;"FX"&amp;$C476&amp;"DDF=","DIVPAYDATE",H60,"SCOPE:SERVER"),"RT_FALSE")</f>
        <v>RT_FALSE</v>
      </c>
      <c r="I476" s="1" t="str">
        <f>IF(I$467,_xll.RtContribute(I$403,I$3&amp;"FX"&amp;$C476&amp;"DDF=","DIVPAYDATE",I60,"SCOPE:SERVER"),"RT_FALSE")</f>
        <v>RT_FALSE</v>
      </c>
      <c r="J476" s="1" t="str">
        <f>IF(J$467,_xll.RtContribute(J$403,J$3&amp;"FX"&amp;$C476&amp;"DDF=","DIVPAYDATE",J60,"SCOPE:SERVER"),"RT_FALSE")</f>
        <v>RT_FALSE</v>
      </c>
      <c r="K476" s="1" t="str">
        <f>IF(K$467,_xll.RtContribute(K$403,K$3&amp;"FX"&amp;$C476&amp;"DDF=","DIVPAYDATE",K60,"SCOPE:SERVER"),"RT_FALSE")</f>
        <v>RT_FALSE</v>
      </c>
      <c r="L476" s="1" t="str">
        <f>IF(L$467,_xll.RtContribute(L$403,L$3&amp;"FX"&amp;$C476&amp;"DDF=","DIVPAYDATE",L60,"SCOPE:SERVER"),"RT_FALSE")</f>
        <v>RT_FALSE</v>
      </c>
      <c r="M476" s="1" t="str">
        <f>IF(M$467,_xll.RtContribute(M$403,M$3&amp;"FX"&amp;$C476&amp;"DDF=","DIVPAYDATE",M60,"SCOPE:SERVER"),"RT_FALSE")</f>
        <v>RT_FALSE</v>
      </c>
      <c r="N476" s="1" t="str">
        <f>IF(N$467,_xll.RtContribute(N$403,N$3&amp;"FX"&amp;$C476&amp;"DDF=","DIVPAYDATE",N60,"SCOPE:SERVER"),"RT_FALSE")</f>
        <v>RT_FALSE</v>
      </c>
      <c r="O476" s="1" t="str">
        <f>IF(O$467,_xll.RtContribute(O$403,O$3&amp;"FX"&amp;$C476&amp;"DDF=","DIVPAYDATE",O60,"SCOPE:SERVER"),"RT_FALSE")</f>
        <v>RT_FALSE</v>
      </c>
      <c r="P476" s="1" t="str">
        <f>IF(P$467,_xll.RtContribute(P$403,P$3&amp;"FX"&amp;$C476&amp;"DDF=","DIVPAYDATE",P60,"SCOPE:SERVER"),"RT_FALSE")</f>
        <v>RT_FALSE</v>
      </c>
      <c r="Q476" s="1" t="str">
        <f>IF(Q$467,_xll.RtContribute(Q$403,Q$3&amp;"FX"&amp;$C476&amp;"DDF=","DIVPAYDATE",Q60,"SCOPE:SERVER"),"RT_FALSE")</f>
        <v>RT_FALSE</v>
      </c>
      <c r="R476" s="1" t="str">
        <f>IF(R$467,_xll.RtContribute(R$403,R$3&amp;"FX"&amp;$C476&amp;"DDF=","DIVPAYDATE",R60,"SCOPE:SERVER"),"RT_FALSE")</f>
        <v>RT_FALSE</v>
      </c>
      <c r="S476" s="1" t="str">
        <f>IF(S$467,_xll.RtContribute(S$403,S$3&amp;"FX"&amp;$C476&amp;"DDF=","DIVPAYDATE",S60,"SCOPE:SERVER"),"RT_FALSE")</f>
        <v>RT_FALSE</v>
      </c>
      <c r="T476" s="1" t="str">
        <f>IF(T$467,_xll.RtContribute(T$403,T$3&amp;"FX"&amp;$C476&amp;"DDF=","DIVPAYDATE",T60,"SCOPE:SERVER"),"RT_FALSE")</f>
        <v>RT_FALSE</v>
      </c>
      <c r="U476" s="1" t="str">
        <f>IF(U$467,_xll.RtContribute(U$403,U$3&amp;"FX"&amp;$C476&amp;"DDF=","DIVPAYDATE",U60,"SCOPE:SERVER"),"RT_FALSE")</f>
        <v>RT_FALSE</v>
      </c>
      <c r="V476" s="1" t="str">
        <f>IF(V$467,_xll.RtContribute(V$403,V$3&amp;"FX"&amp;$C476&amp;"DDF=","DIVPAYDATE",V60,"SCOPE:SERVER"),"RT_FALSE")</f>
        <v>RT_FALSE</v>
      </c>
      <c r="W476" s="1" t="str">
        <f>IF(W$467,_xll.RtContribute(W$403,W$3&amp;"FX"&amp;$C476&amp;"DDF=","DIVPAYDATE",W60,"SCOPE:SERVER"),"RT_FALSE")</f>
        <v>RT_FALSE</v>
      </c>
      <c r="X476" s="1" t="str">
        <f>IF(X$467,_xll.RtContribute(X$403,X$3&amp;"FX"&amp;$C476&amp;"DDF=","DIVPAYDATE",X60,"SCOPE:SERVER"),"RT_FALSE")</f>
        <v>RT_FALSE</v>
      </c>
      <c r="Y476" s="1" t="str">
        <f>IF(Y$467,_xll.RtContribute(Y$403,Y$3&amp;"FX"&amp;$C476&amp;"DDF=","DIVPAYDATE",Y60,"SCOPE:SERVER"),"RT_FALSE")</f>
        <v>RT_FALSE</v>
      </c>
      <c r="Z476" s="1" t="str">
        <f>IF(Z$467,_xll.RtContribute(Z$403,Z$3&amp;"FX"&amp;$C476&amp;"DDF=","DIVPAYDATE",Z60,"SCOPE:SERVER"),"RT_FALSE")</f>
        <v>RT_FALSE</v>
      </c>
      <c r="AA476" s="1" t="str">
        <f>IF(AA$467,_xll.RtContribute(AA$403,AA$3&amp;"FX"&amp;$C476&amp;"DDF=","DIVPAYDATE",AA60,"SCOPE:SERVER"),"RT_FALSE")</f>
        <v>RT_FALSE</v>
      </c>
      <c r="AB476" s="1" t="str">
        <f>IF(AB$467,_xll.RtContribute(AB$403,AB$3&amp;"FX"&amp;$C476&amp;"DDF=","DIVPAYDATE",AB60,"SCOPE:SERVER"),"RT_FALSE")</f>
        <v>RT_FALSE</v>
      </c>
      <c r="AC476" s="1" t="str">
        <f>IF(AC$467,_xll.RtContribute(AC$403,AC$3&amp;"FX"&amp;$C476&amp;"DDF=","DIVPAYDATE",AC60,"SCOPE:SERVER"),"RT_FALSE")</f>
        <v>RT_FALSE</v>
      </c>
      <c r="AD476" s="1" t="str">
        <f>IF(AD$467,_xll.RtContribute(AD$403,AD$3&amp;"FX"&amp;$C476&amp;"DDF=","DIVPAYDATE",AD60,"SCOPE:SERVER"),"RT_FALSE")</f>
        <v>RT_FALSE</v>
      </c>
      <c r="AE476" s="1" t="str">
        <f>IF(AE$467,_xll.RtContribute(AE$403,AE$3&amp;"FX"&amp;$C476&amp;"DDF=","DIVPAYDATE",AE60,"SCOPE:SERVER"),"RT_FALSE")</f>
        <v>RT_FALSE</v>
      </c>
      <c r="AF476" s="1" t="str">
        <f>IF(AF$467,_xll.RtContribute(AF$403,AF$3&amp;"FX"&amp;$C476&amp;"DDF=","DIVPAYDATE",AF60,"SCOPE:SERVER"),"RT_FALSE")</f>
        <v>RT_FALSE</v>
      </c>
      <c r="AG476" s="1" t="str">
        <f>IF(AG$467,_xll.RtContribute(AG$403,AG$3&amp;"FX"&amp;$C476&amp;"DDF=","DIVPAYDATE",AG60,"SCOPE:SERVER"),"RT_FALSE")</f>
        <v>RT_FALSE</v>
      </c>
      <c r="AH476" s="1" t="str">
        <f>IF(AH$467,_xll.RtContribute(AH$403,AH$3&amp;"FX"&amp;$C476&amp;"DDF=","DIVPAYDATE",AH60,"SCOPE:SERVER"),"RT_FALSE")</f>
        <v>RT_FALSE</v>
      </c>
      <c r="AI476" s="1" t="str">
        <f>IF(AI$467,_xll.RtContribute(AI$403,AI$3&amp;"FX"&amp;$C476&amp;"DDF=","DIVPAYDATE",AI60,"SCOPE:SERVER"),"RT_FALSE")</f>
        <v>RT_FALSE</v>
      </c>
      <c r="AJ476" s="1" t="str">
        <f>IF(AJ$467,_xll.RtContribute(AJ$403,AJ$3&amp;"FX"&amp;$C476&amp;"DDF=","DIVPAYDATE",AJ60,"SCOPE:SERVER"),"RT_FALSE")</f>
        <v>RT_FALSE</v>
      </c>
      <c r="AK476" s="1" t="str">
        <f>IF(AK$467,_xll.RtContribute(AK$403,AK$3&amp;"FX"&amp;$C476&amp;"DDF=","DIVPAYDATE",AK60,"SCOPE:SERVER"),"RT_FALSE")</f>
        <v>RT_FALSE</v>
      </c>
      <c r="AL476" s="1" t="str">
        <f>IF(AL$467,_xll.RtContribute(AL$403,AL$3&amp;"FX"&amp;$C476&amp;"DDF=","DIVPAYDATE",AL60,"SCOPE:SERVER"),"RT_FALSE")</f>
        <v>RT_FALSE</v>
      </c>
      <c r="AM476" s="1" t="str">
        <f>IF(AM$467,_xll.RtContribute(AM$403,AM$3&amp;"FX"&amp;$C476&amp;"DDF=","DIVPAYDATE",AM60,"SCOPE:SERVER"),"RT_FALSE")</f>
        <v>RT_FALSE</v>
      </c>
      <c r="AN476" s="1" t="str">
        <f>IF(AN$467,_xll.RtContribute(AN$403,AN$3&amp;"FX"&amp;$C476&amp;"DDF=","DIVPAYDATE",AN60,"SCOPE:SERVER"),"RT_FALSE")</f>
        <v>RT_FALSE</v>
      </c>
      <c r="AO476" s="1" t="str">
        <f>IF(AO$467,_xll.RtContribute(AO$403,AO$3&amp;"FX"&amp;$C476&amp;"DDF=","DIVPAYDATE",AO60,"SCOPE:SERVER"),"RT_FALSE")</f>
        <v>RT_FALSE</v>
      </c>
      <c r="AP476" s="1" t="str">
        <f>IF(AP$467,_xll.RtContribute(AP$403,AP$3&amp;"FX"&amp;$C476&amp;"DDF=","DIVPAYDATE",AP60,"SCOPE:SERVER"),"RT_FALSE")</f>
        <v>RT_FALSE</v>
      </c>
    </row>
    <row r="477" spans="2:42" x14ac:dyDescent="0.2">
      <c r="C477" s="1" t="s">
        <v>77</v>
      </c>
      <c r="D477" s="1" t="str">
        <f>IF(D$467,_xll.RtContribute(D$403,D$3&amp;"FX"&amp;$C477&amp;"DDF=","DIVPAYDATE",D61,"SCOPE:SERVER"),"RT_FALSE")</f>
        <v>RT_FALSE</v>
      </c>
      <c r="E477" s="1" t="str">
        <f>IF(E$467,_xll.RtContribute(E$403,E$3&amp;"FX"&amp;$C477&amp;"DDF=","DIVPAYDATE",E61,"SCOPE:SERVER"),"RT_FALSE")</f>
        <v>RT_FALSE</v>
      </c>
      <c r="F477" s="1" t="str">
        <f>IF(F$467,_xll.RtContribute(F$403,F$3&amp;"FX"&amp;$C477&amp;"DDF=","DIVPAYDATE",F61,"SCOPE:SERVER"),"RT_FALSE")</f>
        <v>RT_FALSE</v>
      </c>
      <c r="G477" s="1" t="str">
        <f>IF(G$467,_xll.RtContribute(G$403,G$3&amp;"FX"&amp;$C477&amp;"DDF=","DIVPAYDATE",G61,"SCOPE:SERVER"),"RT_FALSE")</f>
        <v>RT_FALSE</v>
      </c>
      <c r="H477" s="1" t="str">
        <f>IF(H$467,_xll.RtContribute(H$403,H$3&amp;"FX"&amp;$C477&amp;"DDF=","DIVPAYDATE",H61,"SCOPE:SERVER"),"RT_FALSE")</f>
        <v>RT_FALSE</v>
      </c>
      <c r="I477" s="1" t="str">
        <f>IF(I$467,_xll.RtContribute(I$403,I$3&amp;"FX"&amp;$C477&amp;"DDF=","DIVPAYDATE",I61,"SCOPE:SERVER"),"RT_FALSE")</f>
        <v>RT_FALSE</v>
      </c>
      <c r="J477" s="1" t="str">
        <f>IF(J$467,_xll.RtContribute(J$403,J$3&amp;"FX"&amp;$C477&amp;"DDF=","DIVPAYDATE",J61,"SCOPE:SERVER"),"RT_FALSE")</f>
        <v>RT_FALSE</v>
      </c>
      <c r="K477" s="1" t="str">
        <f>IF(K$467,_xll.RtContribute(K$403,K$3&amp;"FX"&amp;$C477&amp;"DDF=","DIVPAYDATE",K61,"SCOPE:SERVER"),"RT_FALSE")</f>
        <v>RT_FALSE</v>
      </c>
      <c r="L477" s="1" t="str">
        <f>IF(L$467,_xll.RtContribute(L$403,L$3&amp;"FX"&amp;$C477&amp;"DDF=","DIVPAYDATE",L61,"SCOPE:SERVER"),"RT_FALSE")</f>
        <v>RT_FALSE</v>
      </c>
      <c r="M477" s="1" t="str">
        <f>IF(M$467,_xll.RtContribute(M$403,M$3&amp;"FX"&amp;$C477&amp;"DDF=","DIVPAYDATE",M61,"SCOPE:SERVER"),"RT_FALSE")</f>
        <v>RT_FALSE</v>
      </c>
      <c r="N477" s="1" t="str">
        <f>IF(N$467,_xll.RtContribute(N$403,N$3&amp;"FX"&amp;$C477&amp;"DDF=","DIVPAYDATE",N61,"SCOPE:SERVER"),"RT_FALSE")</f>
        <v>RT_FALSE</v>
      </c>
      <c r="O477" s="1" t="str">
        <f>IF(O$467,_xll.RtContribute(O$403,O$3&amp;"FX"&amp;$C477&amp;"DDF=","DIVPAYDATE",O61,"SCOPE:SERVER"),"RT_FALSE")</f>
        <v>RT_FALSE</v>
      </c>
      <c r="P477" s="1" t="str">
        <f>IF(P$467,_xll.RtContribute(P$403,P$3&amp;"FX"&amp;$C477&amp;"DDF=","DIVPAYDATE",P61,"SCOPE:SERVER"),"RT_FALSE")</f>
        <v>RT_FALSE</v>
      </c>
      <c r="Q477" s="1" t="str">
        <f>IF(Q$467,_xll.RtContribute(Q$403,Q$3&amp;"FX"&amp;$C477&amp;"DDF=","DIVPAYDATE",Q61,"SCOPE:SERVER"),"RT_FALSE")</f>
        <v>RT_FALSE</v>
      </c>
      <c r="R477" s="1" t="str">
        <f>IF(R$467,_xll.RtContribute(R$403,R$3&amp;"FX"&amp;$C477&amp;"DDF=","DIVPAYDATE",R61,"SCOPE:SERVER"),"RT_FALSE")</f>
        <v>RT_FALSE</v>
      </c>
      <c r="S477" s="1" t="str">
        <f>IF(S$467,_xll.RtContribute(S$403,S$3&amp;"FX"&amp;$C477&amp;"DDF=","DIVPAYDATE",S61,"SCOPE:SERVER"),"RT_FALSE")</f>
        <v>RT_FALSE</v>
      </c>
      <c r="T477" s="1" t="str">
        <f>IF(T$467,_xll.RtContribute(T$403,T$3&amp;"FX"&amp;$C477&amp;"DDF=","DIVPAYDATE",T61,"SCOPE:SERVER"),"RT_FALSE")</f>
        <v>RT_FALSE</v>
      </c>
      <c r="U477" s="1" t="str">
        <f>IF(U$467,_xll.RtContribute(U$403,U$3&amp;"FX"&amp;$C477&amp;"DDF=","DIVPAYDATE",U61,"SCOPE:SERVER"),"RT_FALSE")</f>
        <v>RT_FALSE</v>
      </c>
      <c r="V477" s="1" t="str">
        <f>IF(V$467,_xll.RtContribute(V$403,V$3&amp;"FX"&amp;$C477&amp;"DDF=","DIVPAYDATE",V61,"SCOPE:SERVER"),"RT_FALSE")</f>
        <v>RT_FALSE</v>
      </c>
      <c r="W477" s="1" t="str">
        <f>IF(W$467,_xll.RtContribute(W$403,W$3&amp;"FX"&amp;$C477&amp;"DDF=","DIVPAYDATE",W61,"SCOPE:SERVER"),"RT_FALSE")</f>
        <v>RT_FALSE</v>
      </c>
      <c r="X477" s="1" t="str">
        <f>IF(X$467,_xll.RtContribute(X$403,X$3&amp;"FX"&amp;$C477&amp;"DDF=","DIVPAYDATE",X61,"SCOPE:SERVER"),"RT_FALSE")</f>
        <v>RT_FALSE</v>
      </c>
      <c r="Y477" s="1" t="str">
        <f>IF(Y$467,_xll.RtContribute(Y$403,Y$3&amp;"FX"&amp;$C477&amp;"DDF=","DIVPAYDATE",Y61,"SCOPE:SERVER"),"RT_FALSE")</f>
        <v>RT_FALSE</v>
      </c>
      <c r="Z477" s="1" t="str">
        <f>IF(Z$467,_xll.RtContribute(Z$403,Z$3&amp;"FX"&amp;$C477&amp;"DDF=","DIVPAYDATE",Z61,"SCOPE:SERVER"),"RT_FALSE")</f>
        <v>RT_FALSE</v>
      </c>
      <c r="AA477" s="1" t="str">
        <f>IF(AA$467,_xll.RtContribute(AA$403,AA$3&amp;"FX"&amp;$C477&amp;"DDF=","DIVPAYDATE",AA61,"SCOPE:SERVER"),"RT_FALSE")</f>
        <v>RT_FALSE</v>
      </c>
      <c r="AB477" s="1" t="str">
        <f>IF(AB$467,_xll.RtContribute(AB$403,AB$3&amp;"FX"&amp;$C477&amp;"DDF=","DIVPAYDATE",AB61,"SCOPE:SERVER"),"RT_FALSE")</f>
        <v>RT_FALSE</v>
      </c>
      <c r="AC477" s="1" t="str">
        <f>IF(AC$467,_xll.RtContribute(AC$403,AC$3&amp;"FX"&amp;$C477&amp;"DDF=","DIVPAYDATE",AC61,"SCOPE:SERVER"),"RT_FALSE")</f>
        <v>RT_FALSE</v>
      </c>
      <c r="AD477" s="1" t="str">
        <f>IF(AD$467,_xll.RtContribute(AD$403,AD$3&amp;"FX"&amp;$C477&amp;"DDF=","DIVPAYDATE",AD61,"SCOPE:SERVER"),"RT_FALSE")</f>
        <v>RT_FALSE</v>
      </c>
      <c r="AE477" s="1" t="str">
        <f>IF(AE$467,_xll.RtContribute(AE$403,AE$3&amp;"FX"&amp;$C477&amp;"DDF=","DIVPAYDATE",AE61,"SCOPE:SERVER"),"RT_FALSE")</f>
        <v>RT_FALSE</v>
      </c>
      <c r="AF477" s="1" t="str">
        <f>IF(AF$467,_xll.RtContribute(AF$403,AF$3&amp;"FX"&amp;$C477&amp;"DDF=","DIVPAYDATE",AF61,"SCOPE:SERVER"),"RT_FALSE")</f>
        <v>RT_FALSE</v>
      </c>
      <c r="AG477" s="1" t="str">
        <f>IF(AG$467,_xll.RtContribute(AG$403,AG$3&amp;"FX"&amp;$C477&amp;"DDF=","DIVPAYDATE",AG61,"SCOPE:SERVER"),"RT_FALSE")</f>
        <v>RT_FALSE</v>
      </c>
      <c r="AH477" s="1" t="str">
        <f>IF(AH$467,_xll.RtContribute(AH$403,AH$3&amp;"FX"&amp;$C477&amp;"DDF=","DIVPAYDATE",AH61,"SCOPE:SERVER"),"RT_FALSE")</f>
        <v>RT_FALSE</v>
      </c>
      <c r="AI477" s="1" t="str">
        <f>IF(AI$467,_xll.RtContribute(AI$403,AI$3&amp;"FX"&amp;$C477&amp;"DDF=","DIVPAYDATE",AI61,"SCOPE:SERVER"),"RT_FALSE")</f>
        <v>RT_FALSE</v>
      </c>
      <c r="AJ477" s="1" t="str">
        <f>IF(AJ$467,_xll.RtContribute(AJ$403,AJ$3&amp;"FX"&amp;$C477&amp;"DDF=","DIVPAYDATE",AJ61,"SCOPE:SERVER"),"RT_FALSE")</f>
        <v>RT_FALSE</v>
      </c>
      <c r="AK477" s="1" t="str">
        <f>IF(AK$467,_xll.RtContribute(AK$403,AK$3&amp;"FX"&amp;$C477&amp;"DDF=","DIVPAYDATE",AK61,"SCOPE:SERVER"),"RT_FALSE")</f>
        <v>RT_FALSE</v>
      </c>
      <c r="AL477" s="1" t="str">
        <f>IF(AL$467,_xll.RtContribute(AL$403,AL$3&amp;"FX"&amp;$C477&amp;"DDF=","DIVPAYDATE",AL61,"SCOPE:SERVER"),"RT_FALSE")</f>
        <v>RT_FALSE</v>
      </c>
      <c r="AM477" s="1" t="str">
        <f>IF(AM$467,_xll.RtContribute(AM$403,AM$3&amp;"FX"&amp;$C477&amp;"DDF=","DIVPAYDATE",AM61,"SCOPE:SERVER"),"RT_FALSE")</f>
        <v>RT_FALSE</v>
      </c>
      <c r="AN477" s="1" t="str">
        <f>IF(AN$467,_xll.RtContribute(AN$403,AN$3&amp;"FX"&amp;$C477&amp;"DDF=","DIVPAYDATE",AN61,"SCOPE:SERVER"),"RT_FALSE")</f>
        <v>RT_FALSE</v>
      </c>
      <c r="AO477" s="1" t="str">
        <f>IF(AO$467,_xll.RtContribute(AO$403,AO$3&amp;"FX"&amp;$C477&amp;"DDF=","DIVPAYDATE",AO61,"SCOPE:SERVER"),"RT_FALSE")</f>
        <v>RT_FALSE</v>
      </c>
      <c r="AP477" s="1" t="str">
        <f>IF(AP$467,_xll.RtContribute(AP$403,AP$3&amp;"FX"&amp;$C477&amp;"DDF=","DIVPAYDATE",AP61,"SCOPE:SERVER"),"RT_FALSE")</f>
        <v>RT_FALSE</v>
      </c>
    </row>
    <row r="478" spans="2:42" x14ac:dyDescent="0.2">
      <c r="C478" s="1" t="s">
        <v>82</v>
      </c>
      <c r="D478" s="1" t="str">
        <f>IF(D$467,_xll.RtContribute(D$403,D$3&amp;"FX"&amp;$C478&amp;"DDF=","DIVPAYDATE",D62,"SCOPE:SERVER"),"RT_FALSE")</f>
        <v>RT_FALSE</v>
      </c>
      <c r="E478" s="1" t="str">
        <f>IF(E$467,_xll.RtContribute(E$403,E$3&amp;"FX"&amp;$C478&amp;"DDF=","DIVPAYDATE",E62,"SCOPE:SERVER"),"RT_FALSE")</f>
        <v>RT_FALSE</v>
      </c>
      <c r="F478" s="1" t="str">
        <f>IF(F$467,_xll.RtContribute(F$403,F$3&amp;"FX"&amp;$C478&amp;"DDF=","DIVPAYDATE",F62,"SCOPE:SERVER"),"RT_FALSE")</f>
        <v>RT_FALSE</v>
      </c>
      <c r="G478" s="1" t="str">
        <f>IF(G$467,_xll.RtContribute(G$403,G$3&amp;"FX"&amp;$C478&amp;"DDF=","DIVPAYDATE",G62,"SCOPE:SERVER"),"RT_FALSE")</f>
        <v>RT_FALSE</v>
      </c>
      <c r="H478" s="1" t="str">
        <f>IF(H$467,_xll.RtContribute(H$403,H$3&amp;"FX"&amp;$C478&amp;"DDF=","DIVPAYDATE",H62,"SCOPE:SERVER"),"RT_FALSE")</f>
        <v>RT_FALSE</v>
      </c>
      <c r="I478" s="1" t="str">
        <f>IF(I$467,_xll.RtContribute(I$403,I$3&amp;"FX"&amp;$C478&amp;"DDF=","DIVPAYDATE",I62,"SCOPE:SERVER"),"RT_FALSE")</f>
        <v>RT_FALSE</v>
      </c>
      <c r="J478" s="1" t="str">
        <f>IF(J$467,_xll.RtContribute(J$403,J$3&amp;"FX"&amp;$C478&amp;"DDF=","DIVPAYDATE",J62,"SCOPE:SERVER"),"RT_FALSE")</f>
        <v>RT_FALSE</v>
      </c>
      <c r="K478" s="1" t="str">
        <f>IF(K$467,_xll.RtContribute(K$403,K$3&amp;"FX"&amp;$C478&amp;"DDF=","DIVPAYDATE",K62,"SCOPE:SERVER"),"RT_FALSE")</f>
        <v>RT_FALSE</v>
      </c>
      <c r="L478" s="1" t="str">
        <f>IF(L$467,_xll.RtContribute(L$403,L$3&amp;"FX"&amp;$C478&amp;"DDF=","DIVPAYDATE",L62,"SCOPE:SERVER"),"RT_FALSE")</f>
        <v>RT_FALSE</v>
      </c>
      <c r="M478" s="1" t="str">
        <f>IF(M$467,_xll.RtContribute(M$403,M$3&amp;"FX"&amp;$C478&amp;"DDF=","DIVPAYDATE",M62,"SCOPE:SERVER"),"RT_FALSE")</f>
        <v>RT_FALSE</v>
      </c>
      <c r="N478" s="1" t="str">
        <f>IF(N$467,_xll.RtContribute(N$403,N$3&amp;"FX"&amp;$C478&amp;"DDF=","DIVPAYDATE",N62,"SCOPE:SERVER"),"RT_FALSE")</f>
        <v>RT_FALSE</v>
      </c>
      <c r="O478" s="1" t="str">
        <f>IF(O$467,_xll.RtContribute(O$403,O$3&amp;"FX"&amp;$C478&amp;"DDF=","DIVPAYDATE",O62,"SCOPE:SERVER"),"RT_FALSE")</f>
        <v>RT_FALSE</v>
      </c>
      <c r="P478" s="1" t="str">
        <f>IF(P$467,_xll.RtContribute(P$403,P$3&amp;"FX"&amp;$C478&amp;"DDF=","DIVPAYDATE",P62,"SCOPE:SERVER"),"RT_FALSE")</f>
        <v>RT_FALSE</v>
      </c>
      <c r="Q478" s="1" t="str">
        <f>IF(Q$467,_xll.RtContribute(Q$403,Q$3&amp;"FX"&amp;$C478&amp;"DDF=","DIVPAYDATE",Q62,"SCOPE:SERVER"),"RT_FALSE")</f>
        <v>RT_FALSE</v>
      </c>
      <c r="R478" s="1" t="str">
        <f>IF(R$467,_xll.RtContribute(R$403,R$3&amp;"FX"&amp;$C478&amp;"DDF=","DIVPAYDATE",R62,"SCOPE:SERVER"),"RT_FALSE")</f>
        <v>RT_FALSE</v>
      </c>
      <c r="S478" s="1" t="str">
        <f>IF(S$467,_xll.RtContribute(S$403,S$3&amp;"FX"&amp;$C478&amp;"DDF=","DIVPAYDATE",S62,"SCOPE:SERVER"),"RT_FALSE")</f>
        <v>RT_FALSE</v>
      </c>
      <c r="T478" s="1" t="str">
        <f>IF(T$467,_xll.RtContribute(T$403,T$3&amp;"FX"&amp;$C478&amp;"DDF=","DIVPAYDATE",T62,"SCOPE:SERVER"),"RT_FALSE")</f>
        <v>RT_FALSE</v>
      </c>
      <c r="U478" s="1" t="str">
        <f>IF(U$467,_xll.RtContribute(U$403,U$3&amp;"FX"&amp;$C478&amp;"DDF=","DIVPAYDATE",U62,"SCOPE:SERVER"),"RT_FALSE")</f>
        <v>RT_FALSE</v>
      </c>
      <c r="V478" s="1" t="str">
        <f>IF(V$467,_xll.RtContribute(V$403,V$3&amp;"FX"&amp;$C478&amp;"DDF=","DIVPAYDATE",V62,"SCOPE:SERVER"),"RT_FALSE")</f>
        <v>RT_FALSE</v>
      </c>
      <c r="W478" s="1" t="str">
        <f>IF(W$467,_xll.RtContribute(W$403,W$3&amp;"FX"&amp;$C478&amp;"DDF=","DIVPAYDATE",W62,"SCOPE:SERVER"),"RT_FALSE")</f>
        <v>RT_FALSE</v>
      </c>
      <c r="X478" s="1" t="str">
        <f>IF(X$467,_xll.RtContribute(X$403,X$3&amp;"FX"&amp;$C478&amp;"DDF=","DIVPAYDATE",X62,"SCOPE:SERVER"),"RT_FALSE")</f>
        <v>RT_FALSE</v>
      </c>
      <c r="Y478" s="1" t="str">
        <f>IF(Y$467,_xll.RtContribute(Y$403,Y$3&amp;"FX"&amp;$C478&amp;"DDF=","DIVPAYDATE",Y62,"SCOPE:SERVER"),"RT_FALSE")</f>
        <v>RT_FALSE</v>
      </c>
      <c r="Z478" s="1" t="str">
        <f>IF(Z$467,_xll.RtContribute(Z$403,Z$3&amp;"FX"&amp;$C478&amp;"DDF=","DIVPAYDATE",Z62,"SCOPE:SERVER"),"RT_FALSE")</f>
        <v>RT_FALSE</v>
      </c>
      <c r="AA478" s="1" t="str">
        <f>IF(AA$467,_xll.RtContribute(AA$403,AA$3&amp;"FX"&amp;$C478&amp;"DDF=","DIVPAYDATE",AA62,"SCOPE:SERVER"),"RT_FALSE")</f>
        <v>RT_FALSE</v>
      </c>
      <c r="AB478" s="1" t="str">
        <f>IF(AB$467,_xll.RtContribute(AB$403,AB$3&amp;"FX"&amp;$C478&amp;"DDF=","DIVPAYDATE",AB62,"SCOPE:SERVER"),"RT_FALSE")</f>
        <v>RT_FALSE</v>
      </c>
      <c r="AC478" s="1" t="str">
        <f>IF(AC$467,_xll.RtContribute(AC$403,AC$3&amp;"FX"&amp;$C478&amp;"DDF=","DIVPAYDATE",AC62,"SCOPE:SERVER"),"RT_FALSE")</f>
        <v>RT_FALSE</v>
      </c>
      <c r="AD478" s="1" t="str">
        <f>IF(AD$467,_xll.RtContribute(AD$403,AD$3&amp;"FX"&amp;$C478&amp;"DDF=","DIVPAYDATE",AD62,"SCOPE:SERVER"),"RT_FALSE")</f>
        <v>RT_FALSE</v>
      </c>
      <c r="AE478" s="1" t="str">
        <f>IF(AE$467,_xll.RtContribute(AE$403,AE$3&amp;"FX"&amp;$C478&amp;"DDF=","DIVPAYDATE",AE62,"SCOPE:SERVER"),"RT_FALSE")</f>
        <v>RT_FALSE</v>
      </c>
      <c r="AF478" s="1" t="str">
        <f>IF(AF$467,_xll.RtContribute(AF$403,AF$3&amp;"FX"&amp;$C478&amp;"DDF=","DIVPAYDATE",AF62,"SCOPE:SERVER"),"RT_FALSE")</f>
        <v>RT_FALSE</v>
      </c>
      <c r="AG478" s="1" t="str">
        <f>IF(AG$467,_xll.RtContribute(AG$403,AG$3&amp;"FX"&amp;$C478&amp;"DDF=","DIVPAYDATE",AG62,"SCOPE:SERVER"),"RT_FALSE")</f>
        <v>RT_FALSE</v>
      </c>
      <c r="AH478" s="1" t="str">
        <f>IF(AH$467,_xll.RtContribute(AH$403,AH$3&amp;"FX"&amp;$C478&amp;"DDF=","DIVPAYDATE",AH62,"SCOPE:SERVER"),"RT_FALSE")</f>
        <v>RT_FALSE</v>
      </c>
      <c r="AI478" s="1" t="str">
        <f>IF(AI$467,_xll.RtContribute(AI$403,AI$3&amp;"FX"&amp;$C478&amp;"DDF=","DIVPAYDATE",AI62,"SCOPE:SERVER"),"RT_FALSE")</f>
        <v>RT_FALSE</v>
      </c>
      <c r="AJ478" s="1" t="str">
        <f>IF(AJ$467,_xll.RtContribute(AJ$403,AJ$3&amp;"FX"&amp;$C478&amp;"DDF=","DIVPAYDATE",AJ62,"SCOPE:SERVER"),"RT_FALSE")</f>
        <v>RT_FALSE</v>
      </c>
      <c r="AK478" s="1" t="str">
        <f>IF(AK$467,_xll.RtContribute(AK$403,AK$3&amp;"FX"&amp;$C478&amp;"DDF=","DIVPAYDATE",AK62,"SCOPE:SERVER"),"RT_FALSE")</f>
        <v>RT_FALSE</v>
      </c>
      <c r="AL478" s="1" t="str">
        <f>IF(AL$467,_xll.RtContribute(AL$403,AL$3&amp;"FX"&amp;$C478&amp;"DDF=","DIVPAYDATE",AL62,"SCOPE:SERVER"),"RT_FALSE")</f>
        <v>RT_FALSE</v>
      </c>
      <c r="AM478" s="1" t="str">
        <f>IF(AM$467,_xll.RtContribute(AM$403,AM$3&amp;"FX"&amp;$C478&amp;"DDF=","DIVPAYDATE",AM62,"SCOPE:SERVER"),"RT_FALSE")</f>
        <v>RT_FALSE</v>
      </c>
      <c r="AN478" s="1" t="str">
        <f>IF(AN$467,_xll.RtContribute(AN$403,AN$3&amp;"FX"&amp;$C478&amp;"DDF=","DIVPAYDATE",AN62,"SCOPE:SERVER"),"RT_FALSE")</f>
        <v>RT_FALSE</v>
      </c>
      <c r="AO478" s="1" t="str">
        <f>IF(AO$467,_xll.RtContribute(AO$403,AO$3&amp;"FX"&amp;$C478&amp;"DDF=","DIVPAYDATE",AO62,"SCOPE:SERVER"),"RT_FALSE")</f>
        <v>RT_FALSE</v>
      </c>
      <c r="AP478" s="1" t="str">
        <f>IF(AP$467,_xll.RtContribute(AP$403,AP$3&amp;"FX"&amp;$C478&amp;"DDF=","DIVPAYDATE",AP62,"SCOPE:SERVER"),"RT_FALSE")</f>
        <v>RT_FALSE</v>
      </c>
    </row>
    <row r="479" spans="2:42" x14ac:dyDescent="0.2">
      <c r="C479" s="1" t="s">
        <v>85</v>
      </c>
      <c r="D479" s="1" t="str">
        <f>IF(D$467,_xll.RtContribute(D$403,D$3&amp;"FX"&amp;$C479&amp;"DDF=","DIVPAYDATE",D63,"SCOPE:SERVER"),"RT_FALSE")</f>
        <v>RT_FALSE</v>
      </c>
      <c r="E479" s="1" t="str">
        <f>IF(E$467,_xll.RtContribute(E$403,E$3&amp;"FX"&amp;$C479&amp;"DDF=","DIVPAYDATE",E63,"SCOPE:SERVER"),"RT_FALSE")</f>
        <v>RT_FALSE</v>
      </c>
      <c r="F479" s="1" t="str">
        <f>IF(F$467,_xll.RtContribute(F$403,F$3&amp;"FX"&amp;$C479&amp;"DDF=","DIVPAYDATE",F63,"SCOPE:SERVER"),"RT_FALSE")</f>
        <v>RT_FALSE</v>
      </c>
      <c r="G479" s="1" t="str">
        <f>IF(G$467,_xll.RtContribute(G$403,G$3&amp;"FX"&amp;$C479&amp;"DDF=","DIVPAYDATE",G63,"SCOPE:SERVER"),"RT_FALSE")</f>
        <v>RT_FALSE</v>
      </c>
      <c r="H479" s="1" t="str">
        <f>IF(H$467,_xll.RtContribute(H$403,H$3&amp;"FX"&amp;$C479&amp;"DDF=","DIVPAYDATE",H63,"SCOPE:SERVER"),"RT_FALSE")</f>
        <v>RT_FALSE</v>
      </c>
      <c r="I479" s="1" t="str">
        <f>IF(I$467,_xll.RtContribute(I$403,I$3&amp;"FX"&amp;$C479&amp;"DDF=","DIVPAYDATE",I63,"SCOPE:SERVER"),"RT_FALSE")</f>
        <v>RT_FALSE</v>
      </c>
      <c r="J479" s="1" t="str">
        <f>IF(J$467,_xll.RtContribute(J$403,J$3&amp;"FX"&amp;$C479&amp;"DDF=","DIVPAYDATE",J63,"SCOPE:SERVER"),"RT_FALSE")</f>
        <v>RT_FALSE</v>
      </c>
      <c r="K479" s="1" t="str">
        <f>IF(K$467,_xll.RtContribute(K$403,K$3&amp;"FX"&amp;$C479&amp;"DDF=","DIVPAYDATE",K63,"SCOPE:SERVER"),"RT_FALSE")</f>
        <v>RT_FALSE</v>
      </c>
      <c r="L479" s="1" t="str">
        <f>IF(L$467,_xll.RtContribute(L$403,L$3&amp;"FX"&amp;$C479&amp;"DDF=","DIVPAYDATE",L63,"SCOPE:SERVER"),"RT_FALSE")</f>
        <v>RT_FALSE</v>
      </c>
      <c r="M479" s="1" t="str">
        <f>IF(M$467,_xll.RtContribute(M$403,M$3&amp;"FX"&amp;$C479&amp;"DDF=","DIVPAYDATE",M63,"SCOPE:SERVER"),"RT_FALSE")</f>
        <v>RT_FALSE</v>
      </c>
      <c r="N479" s="1" t="str">
        <f>IF(N$467,_xll.RtContribute(N$403,N$3&amp;"FX"&amp;$C479&amp;"DDF=","DIVPAYDATE",N63,"SCOPE:SERVER"),"RT_FALSE")</f>
        <v>RT_FALSE</v>
      </c>
      <c r="O479" s="1" t="str">
        <f>IF(O$467,_xll.RtContribute(O$403,O$3&amp;"FX"&amp;$C479&amp;"DDF=","DIVPAYDATE",O63,"SCOPE:SERVER"),"RT_FALSE")</f>
        <v>RT_FALSE</v>
      </c>
      <c r="P479" s="1" t="str">
        <f>IF(P$467,_xll.RtContribute(P$403,P$3&amp;"FX"&amp;$C479&amp;"DDF=","DIVPAYDATE",P63,"SCOPE:SERVER"),"RT_FALSE")</f>
        <v>RT_FALSE</v>
      </c>
      <c r="Q479" s="1" t="str">
        <f>IF(Q$467,_xll.RtContribute(Q$403,Q$3&amp;"FX"&amp;$C479&amp;"DDF=","DIVPAYDATE",Q63,"SCOPE:SERVER"),"RT_FALSE")</f>
        <v>RT_FALSE</v>
      </c>
      <c r="R479" s="1" t="str">
        <f>IF(R$467,_xll.RtContribute(R$403,R$3&amp;"FX"&amp;$C479&amp;"DDF=","DIVPAYDATE",R63,"SCOPE:SERVER"),"RT_FALSE")</f>
        <v>RT_FALSE</v>
      </c>
      <c r="S479" s="1" t="str">
        <f>IF(S$467,_xll.RtContribute(S$403,S$3&amp;"FX"&amp;$C479&amp;"DDF=","DIVPAYDATE",S63,"SCOPE:SERVER"),"RT_FALSE")</f>
        <v>RT_FALSE</v>
      </c>
      <c r="T479" s="1" t="str">
        <f>IF(T$467,_xll.RtContribute(T$403,T$3&amp;"FX"&amp;$C479&amp;"DDF=","DIVPAYDATE",T63,"SCOPE:SERVER"),"RT_FALSE")</f>
        <v>RT_FALSE</v>
      </c>
      <c r="U479" s="1" t="str">
        <f>IF(U$467,_xll.RtContribute(U$403,U$3&amp;"FX"&amp;$C479&amp;"DDF=","DIVPAYDATE",U63,"SCOPE:SERVER"),"RT_FALSE")</f>
        <v>RT_FALSE</v>
      </c>
      <c r="V479" s="1" t="str">
        <f>IF(V$467,_xll.RtContribute(V$403,V$3&amp;"FX"&amp;$C479&amp;"DDF=","DIVPAYDATE",V63,"SCOPE:SERVER"),"RT_FALSE")</f>
        <v>RT_FALSE</v>
      </c>
      <c r="W479" s="1" t="str">
        <f>IF(W$467,_xll.RtContribute(W$403,W$3&amp;"FX"&amp;$C479&amp;"DDF=","DIVPAYDATE",W63,"SCOPE:SERVER"),"RT_FALSE")</f>
        <v>RT_FALSE</v>
      </c>
      <c r="X479" s="1" t="str">
        <f>IF(X$467,_xll.RtContribute(X$403,X$3&amp;"FX"&amp;$C479&amp;"DDF=","DIVPAYDATE",X63,"SCOPE:SERVER"),"RT_FALSE")</f>
        <v>RT_FALSE</v>
      </c>
      <c r="Y479" s="1" t="str">
        <f>IF(Y$467,_xll.RtContribute(Y$403,Y$3&amp;"FX"&amp;$C479&amp;"DDF=","DIVPAYDATE",Y63,"SCOPE:SERVER"),"RT_FALSE")</f>
        <v>RT_FALSE</v>
      </c>
      <c r="Z479" s="1" t="str">
        <f>IF(Z$467,_xll.RtContribute(Z$403,Z$3&amp;"FX"&amp;$C479&amp;"DDF=","DIVPAYDATE",Z63,"SCOPE:SERVER"),"RT_FALSE")</f>
        <v>RT_FALSE</v>
      </c>
      <c r="AA479" s="1" t="str">
        <f>IF(AA$467,_xll.RtContribute(AA$403,AA$3&amp;"FX"&amp;$C479&amp;"DDF=","DIVPAYDATE",AA63,"SCOPE:SERVER"),"RT_FALSE")</f>
        <v>RT_FALSE</v>
      </c>
      <c r="AB479" s="1" t="str">
        <f>IF(AB$467,_xll.RtContribute(AB$403,AB$3&amp;"FX"&amp;$C479&amp;"DDF=","DIVPAYDATE",AB63,"SCOPE:SERVER"),"RT_FALSE")</f>
        <v>RT_FALSE</v>
      </c>
      <c r="AC479" s="1" t="str">
        <f>IF(AC$467,_xll.RtContribute(AC$403,AC$3&amp;"FX"&amp;$C479&amp;"DDF=","DIVPAYDATE",AC63,"SCOPE:SERVER"),"RT_FALSE")</f>
        <v>RT_FALSE</v>
      </c>
      <c r="AD479" s="1" t="str">
        <f>IF(AD$467,_xll.RtContribute(AD$403,AD$3&amp;"FX"&amp;$C479&amp;"DDF=","DIVPAYDATE",AD63,"SCOPE:SERVER"),"RT_FALSE")</f>
        <v>RT_FALSE</v>
      </c>
      <c r="AE479" s="1" t="str">
        <f>IF(AE$467,_xll.RtContribute(AE$403,AE$3&amp;"FX"&amp;$C479&amp;"DDF=","DIVPAYDATE",AE63,"SCOPE:SERVER"),"RT_FALSE")</f>
        <v>RT_FALSE</v>
      </c>
      <c r="AF479" s="1" t="str">
        <f>IF(AF$467,_xll.RtContribute(AF$403,AF$3&amp;"FX"&amp;$C479&amp;"DDF=","DIVPAYDATE",AF63,"SCOPE:SERVER"),"RT_FALSE")</f>
        <v>RT_FALSE</v>
      </c>
      <c r="AG479" s="1" t="str">
        <f>IF(AG$467,_xll.RtContribute(AG$403,AG$3&amp;"FX"&amp;$C479&amp;"DDF=","DIVPAYDATE",AG63,"SCOPE:SERVER"),"RT_FALSE")</f>
        <v>RT_FALSE</v>
      </c>
      <c r="AH479" s="1" t="str">
        <f>IF(AH$467,_xll.RtContribute(AH$403,AH$3&amp;"FX"&amp;$C479&amp;"DDF=","DIVPAYDATE",AH63,"SCOPE:SERVER"),"RT_FALSE")</f>
        <v>RT_FALSE</v>
      </c>
      <c r="AI479" s="1" t="str">
        <f>IF(AI$467,_xll.RtContribute(AI$403,AI$3&amp;"FX"&amp;$C479&amp;"DDF=","DIVPAYDATE",AI63,"SCOPE:SERVER"),"RT_FALSE")</f>
        <v>RT_FALSE</v>
      </c>
      <c r="AJ479" s="1" t="str">
        <f>IF(AJ$467,_xll.RtContribute(AJ$403,AJ$3&amp;"FX"&amp;$C479&amp;"DDF=","DIVPAYDATE",AJ63,"SCOPE:SERVER"),"RT_FALSE")</f>
        <v>RT_FALSE</v>
      </c>
      <c r="AK479" s="1" t="str">
        <f>IF(AK$467,_xll.RtContribute(AK$403,AK$3&amp;"FX"&amp;$C479&amp;"DDF=","DIVPAYDATE",AK63,"SCOPE:SERVER"),"RT_FALSE")</f>
        <v>RT_FALSE</v>
      </c>
      <c r="AL479" s="1" t="str">
        <f>IF(AL$467,_xll.RtContribute(AL$403,AL$3&amp;"FX"&amp;$C479&amp;"DDF=","DIVPAYDATE",AL63,"SCOPE:SERVER"),"RT_FALSE")</f>
        <v>RT_FALSE</v>
      </c>
      <c r="AM479" s="1" t="str">
        <f>IF(AM$467,_xll.RtContribute(AM$403,AM$3&amp;"FX"&amp;$C479&amp;"DDF=","DIVPAYDATE",AM63,"SCOPE:SERVER"),"RT_FALSE")</f>
        <v>RT_FALSE</v>
      </c>
      <c r="AN479" s="1" t="str">
        <f>IF(AN$467,_xll.RtContribute(AN$403,AN$3&amp;"FX"&amp;$C479&amp;"DDF=","DIVPAYDATE",AN63,"SCOPE:SERVER"),"RT_FALSE")</f>
        <v>RT_FALSE</v>
      </c>
      <c r="AO479" s="1" t="str">
        <f>IF(AO$467,_xll.RtContribute(AO$403,AO$3&amp;"FX"&amp;$C479&amp;"DDF=","DIVPAYDATE",AO63,"SCOPE:SERVER"),"RT_FALSE")</f>
        <v>RT_FALSE</v>
      </c>
      <c r="AP479" s="1" t="str">
        <f>IF(AP$467,_xll.RtContribute(AP$403,AP$3&amp;"FX"&amp;$C479&amp;"DDF=","DIVPAYDATE",AP63,"SCOPE:SERVER"),"RT_FALSE")</f>
        <v>RT_FALSE</v>
      </c>
    </row>
    <row r="480" spans="2:42" x14ac:dyDescent="0.2">
      <c r="C480" s="1" t="s">
        <v>87</v>
      </c>
      <c r="D480" s="1" t="str">
        <f>IF(D$467,_xll.RtContribute(D$403,D$3&amp;"FX"&amp;$C480&amp;"DDF=","DIVPAYDATE",D64,"SCOPE:SERVER"),"RT_FALSE")</f>
        <v>RT_FALSE</v>
      </c>
      <c r="E480" s="1" t="str">
        <f>IF(E$467,_xll.RtContribute(E$403,E$3&amp;"FX"&amp;$C480&amp;"DDF=","DIVPAYDATE",E64,"SCOPE:SERVER"),"RT_FALSE")</f>
        <v>RT_FALSE</v>
      </c>
      <c r="F480" s="1" t="str">
        <f>IF(F$467,_xll.RtContribute(F$403,F$3&amp;"FX"&amp;$C480&amp;"DDF=","DIVPAYDATE",F64,"SCOPE:SERVER"),"RT_FALSE")</f>
        <v>RT_FALSE</v>
      </c>
      <c r="G480" s="1" t="str">
        <f>IF(G$467,_xll.RtContribute(G$403,G$3&amp;"FX"&amp;$C480&amp;"DDF=","DIVPAYDATE",G64,"SCOPE:SERVER"),"RT_FALSE")</f>
        <v>RT_FALSE</v>
      </c>
      <c r="H480" s="1" t="str">
        <f>IF(H$467,_xll.RtContribute(H$403,H$3&amp;"FX"&amp;$C480&amp;"DDF=","DIVPAYDATE",H64,"SCOPE:SERVER"),"RT_FALSE")</f>
        <v>RT_FALSE</v>
      </c>
      <c r="I480" s="1" t="str">
        <f>IF(I$467,_xll.RtContribute(I$403,I$3&amp;"FX"&amp;$C480&amp;"DDF=","DIVPAYDATE",I64,"SCOPE:SERVER"),"RT_FALSE")</f>
        <v>RT_FALSE</v>
      </c>
      <c r="J480" s="1" t="str">
        <f>IF(J$467,_xll.RtContribute(J$403,J$3&amp;"FX"&amp;$C480&amp;"DDF=","DIVPAYDATE",J64,"SCOPE:SERVER"),"RT_FALSE")</f>
        <v>RT_FALSE</v>
      </c>
      <c r="K480" s="1" t="str">
        <f>IF(K$467,_xll.RtContribute(K$403,K$3&amp;"FX"&amp;$C480&amp;"DDF=","DIVPAYDATE",K64,"SCOPE:SERVER"),"RT_FALSE")</f>
        <v>RT_FALSE</v>
      </c>
      <c r="L480" s="1" t="str">
        <f>IF(L$467,_xll.RtContribute(L$403,L$3&amp;"FX"&amp;$C480&amp;"DDF=","DIVPAYDATE",L64,"SCOPE:SERVER"),"RT_FALSE")</f>
        <v>RT_FALSE</v>
      </c>
      <c r="M480" s="1" t="str">
        <f>IF(M$467,_xll.RtContribute(M$403,M$3&amp;"FX"&amp;$C480&amp;"DDF=","DIVPAYDATE",M64,"SCOPE:SERVER"),"RT_FALSE")</f>
        <v>RT_FALSE</v>
      </c>
      <c r="N480" s="1" t="str">
        <f>IF(N$467,_xll.RtContribute(N$403,N$3&amp;"FX"&amp;$C480&amp;"DDF=","DIVPAYDATE",N64,"SCOPE:SERVER"),"RT_FALSE")</f>
        <v>RT_FALSE</v>
      </c>
      <c r="O480" s="1" t="str">
        <f>IF(O$467,_xll.RtContribute(O$403,O$3&amp;"FX"&amp;$C480&amp;"DDF=","DIVPAYDATE",O64,"SCOPE:SERVER"),"RT_FALSE")</f>
        <v>RT_FALSE</v>
      </c>
      <c r="P480" s="1" t="str">
        <f>IF(P$467,_xll.RtContribute(P$403,P$3&amp;"FX"&amp;$C480&amp;"DDF=","DIVPAYDATE",P64,"SCOPE:SERVER"),"RT_FALSE")</f>
        <v>RT_FALSE</v>
      </c>
      <c r="Q480" s="1" t="str">
        <f>IF(Q$467,_xll.RtContribute(Q$403,Q$3&amp;"FX"&amp;$C480&amp;"DDF=","DIVPAYDATE",Q64,"SCOPE:SERVER"),"RT_FALSE")</f>
        <v>RT_FALSE</v>
      </c>
      <c r="R480" s="1" t="str">
        <f>IF(R$467,_xll.RtContribute(R$403,R$3&amp;"FX"&amp;$C480&amp;"DDF=","DIVPAYDATE",R64,"SCOPE:SERVER"),"RT_FALSE")</f>
        <v>RT_FALSE</v>
      </c>
      <c r="S480" s="1" t="str">
        <f>IF(S$467,_xll.RtContribute(S$403,S$3&amp;"FX"&amp;$C480&amp;"DDF=","DIVPAYDATE",S64,"SCOPE:SERVER"),"RT_FALSE")</f>
        <v>RT_FALSE</v>
      </c>
      <c r="T480" s="1" t="str">
        <f>IF(T$467,_xll.RtContribute(T$403,T$3&amp;"FX"&amp;$C480&amp;"DDF=","DIVPAYDATE",T64,"SCOPE:SERVER"),"RT_FALSE")</f>
        <v>RT_FALSE</v>
      </c>
      <c r="U480" s="1" t="str">
        <f>IF(U$467,_xll.RtContribute(U$403,U$3&amp;"FX"&amp;$C480&amp;"DDF=","DIVPAYDATE",U64,"SCOPE:SERVER"),"RT_FALSE")</f>
        <v>RT_FALSE</v>
      </c>
      <c r="V480" s="1" t="str">
        <f>IF(V$467,_xll.RtContribute(V$403,V$3&amp;"FX"&amp;$C480&amp;"DDF=","DIVPAYDATE",V64,"SCOPE:SERVER"),"RT_FALSE")</f>
        <v>RT_FALSE</v>
      </c>
      <c r="W480" s="1" t="str">
        <f>IF(W$467,_xll.RtContribute(W$403,W$3&amp;"FX"&amp;$C480&amp;"DDF=","DIVPAYDATE",W64,"SCOPE:SERVER"),"RT_FALSE")</f>
        <v>RT_FALSE</v>
      </c>
      <c r="X480" s="1" t="str">
        <f>IF(X$467,_xll.RtContribute(X$403,X$3&amp;"FX"&amp;$C480&amp;"DDF=","DIVPAYDATE",X64,"SCOPE:SERVER"),"RT_FALSE")</f>
        <v>RT_FALSE</v>
      </c>
      <c r="Y480" s="1" t="str">
        <f>IF(Y$467,_xll.RtContribute(Y$403,Y$3&amp;"FX"&amp;$C480&amp;"DDF=","DIVPAYDATE",Y64,"SCOPE:SERVER"),"RT_FALSE")</f>
        <v>RT_FALSE</v>
      </c>
      <c r="Z480" s="1" t="str">
        <f>IF(Z$467,_xll.RtContribute(Z$403,Z$3&amp;"FX"&amp;$C480&amp;"DDF=","DIVPAYDATE",Z64,"SCOPE:SERVER"),"RT_FALSE")</f>
        <v>RT_FALSE</v>
      </c>
      <c r="AA480" s="1" t="str">
        <f>IF(AA$467,_xll.RtContribute(AA$403,AA$3&amp;"FX"&amp;$C480&amp;"DDF=","DIVPAYDATE",AA64,"SCOPE:SERVER"),"RT_FALSE")</f>
        <v>RT_FALSE</v>
      </c>
      <c r="AB480" s="1" t="str">
        <f>IF(AB$467,_xll.RtContribute(AB$403,AB$3&amp;"FX"&amp;$C480&amp;"DDF=","DIVPAYDATE",AB64,"SCOPE:SERVER"),"RT_FALSE")</f>
        <v>RT_FALSE</v>
      </c>
      <c r="AC480" s="1" t="str">
        <f>IF(AC$467,_xll.RtContribute(AC$403,AC$3&amp;"FX"&amp;$C480&amp;"DDF=","DIVPAYDATE",AC64,"SCOPE:SERVER"),"RT_FALSE")</f>
        <v>RT_FALSE</v>
      </c>
      <c r="AD480" s="1" t="str">
        <f>IF(AD$467,_xll.RtContribute(AD$403,AD$3&amp;"FX"&amp;$C480&amp;"DDF=","DIVPAYDATE",AD64,"SCOPE:SERVER"),"RT_FALSE")</f>
        <v>RT_FALSE</v>
      </c>
      <c r="AE480" s="1" t="str">
        <f>IF(AE$467,_xll.RtContribute(AE$403,AE$3&amp;"FX"&amp;$C480&amp;"DDF=","DIVPAYDATE",AE64,"SCOPE:SERVER"),"RT_FALSE")</f>
        <v>RT_FALSE</v>
      </c>
      <c r="AF480" s="1" t="str">
        <f>IF(AF$467,_xll.RtContribute(AF$403,AF$3&amp;"FX"&amp;$C480&amp;"DDF=","DIVPAYDATE",AF64,"SCOPE:SERVER"),"RT_FALSE")</f>
        <v>RT_FALSE</v>
      </c>
      <c r="AG480" s="1" t="str">
        <f>IF(AG$467,_xll.RtContribute(AG$403,AG$3&amp;"FX"&amp;$C480&amp;"DDF=","DIVPAYDATE",AG64,"SCOPE:SERVER"),"RT_FALSE")</f>
        <v>RT_FALSE</v>
      </c>
      <c r="AH480" s="1" t="str">
        <f>IF(AH$467,_xll.RtContribute(AH$403,AH$3&amp;"FX"&amp;$C480&amp;"DDF=","DIVPAYDATE",AH64,"SCOPE:SERVER"),"RT_FALSE")</f>
        <v>RT_FALSE</v>
      </c>
      <c r="AI480" s="1" t="str">
        <f>IF(AI$467,_xll.RtContribute(AI$403,AI$3&amp;"FX"&amp;$C480&amp;"DDF=","DIVPAYDATE",AI64,"SCOPE:SERVER"),"RT_FALSE")</f>
        <v>RT_FALSE</v>
      </c>
      <c r="AJ480" s="1" t="str">
        <f>IF(AJ$467,_xll.RtContribute(AJ$403,AJ$3&amp;"FX"&amp;$C480&amp;"DDF=","DIVPAYDATE",AJ64,"SCOPE:SERVER"),"RT_FALSE")</f>
        <v>RT_FALSE</v>
      </c>
      <c r="AK480" s="1" t="str">
        <f>IF(AK$467,_xll.RtContribute(AK$403,AK$3&amp;"FX"&amp;$C480&amp;"DDF=","DIVPAYDATE",AK64,"SCOPE:SERVER"),"RT_FALSE")</f>
        <v>RT_FALSE</v>
      </c>
      <c r="AL480" s="1" t="str">
        <f>IF(AL$467,_xll.RtContribute(AL$403,AL$3&amp;"FX"&amp;$C480&amp;"DDF=","DIVPAYDATE",AL64,"SCOPE:SERVER"),"RT_FALSE")</f>
        <v>RT_FALSE</v>
      </c>
      <c r="AM480" s="1" t="str">
        <f>IF(AM$467,_xll.RtContribute(AM$403,AM$3&amp;"FX"&amp;$C480&amp;"DDF=","DIVPAYDATE",AM64,"SCOPE:SERVER"),"RT_FALSE")</f>
        <v>RT_FALSE</v>
      </c>
      <c r="AN480" s="1" t="str">
        <f>IF(AN$467,_xll.RtContribute(AN$403,AN$3&amp;"FX"&amp;$C480&amp;"DDF=","DIVPAYDATE",AN64,"SCOPE:SERVER"),"RT_FALSE")</f>
        <v>RT_FALSE</v>
      </c>
      <c r="AO480" s="1" t="str">
        <f>IF(AO$467,_xll.RtContribute(AO$403,AO$3&amp;"FX"&amp;$C480&amp;"DDF=","DIVPAYDATE",AO64,"SCOPE:SERVER"),"RT_FALSE")</f>
        <v>RT_FALSE</v>
      </c>
      <c r="AP480" s="1" t="str">
        <f>IF(AP$467,_xll.RtContribute(AP$403,AP$3&amp;"FX"&amp;$C480&amp;"DDF=","DIVPAYDATE",AP64,"SCOPE:SERVER"),"RT_FALSE")</f>
        <v>RT_FALSE</v>
      </c>
    </row>
    <row r="481" spans="3:42" x14ac:dyDescent="0.2">
      <c r="C481" s="1" t="s">
        <v>90</v>
      </c>
      <c r="D481" s="1" t="str">
        <f>IF(D$467,_xll.RtContribute(D$403,D$3&amp;"FX"&amp;$C481&amp;"DDF=","DIVPAYDATE",D65,"SCOPE:SERVER"),"RT_FALSE")</f>
        <v>RT_FALSE</v>
      </c>
      <c r="E481" s="1" t="str">
        <f>IF(E$467,_xll.RtContribute(E$403,E$3&amp;"FX"&amp;$C481&amp;"DDF=","DIVPAYDATE",E65,"SCOPE:SERVER"),"RT_FALSE")</f>
        <v>RT_FALSE</v>
      </c>
      <c r="F481" s="1" t="str">
        <f>IF(F$467,_xll.RtContribute(F$403,F$3&amp;"FX"&amp;$C481&amp;"DDF=","DIVPAYDATE",F65,"SCOPE:SERVER"),"RT_FALSE")</f>
        <v>RT_FALSE</v>
      </c>
      <c r="G481" s="1" t="str">
        <f>IF(G$467,_xll.RtContribute(G$403,G$3&amp;"FX"&amp;$C481&amp;"DDF=","DIVPAYDATE",G65,"SCOPE:SERVER"),"RT_FALSE")</f>
        <v>RT_FALSE</v>
      </c>
      <c r="H481" s="1" t="str">
        <f>IF(H$467,_xll.RtContribute(H$403,H$3&amp;"FX"&amp;$C481&amp;"DDF=","DIVPAYDATE",H65,"SCOPE:SERVER"),"RT_FALSE")</f>
        <v>RT_FALSE</v>
      </c>
      <c r="I481" s="1" t="str">
        <f>IF(I$467,_xll.RtContribute(I$403,I$3&amp;"FX"&amp;$C481&amp;"DDF=","DIVPAYDATE",I65,"SCOPE:SERVER"),"RT_FALSE")</f>
        <v>RT_FALSE</v>
      </c>
      <c r="J481" s="1" t="str">
        <f>IF(J$467,_xll.RtContribute(J$403,J$3&amp;"FX"&amp;$C481&amp;"DDF=","DIVPAYDATE",J65,"SCOPE:SERVER"),"RT_FALSE")</f>
        <v>RT_FALSE</v>
      </c>
      <c r="K481" s="1" t="str">
        <f>IF(K$467,_xll.RtContribute(K$403,K$3&amp;"FX"&amp;$C481&amp;"DDF=","DIVPAYDATE",K65,"SCOPE:SERVER"),"RT_FALSE")</f>
        <v>RT_FALSE</v>
      </c>
      <c r="L481" s="1" t="str">
        <f>IF(L$467,_xll.RtContribute(L$403,L$3&amp;"FX"&amp;$C481&amp;"DDF=","DIVPAYDATE",L65,"SCOPE:SERVER"),"RT_FALSE")</f>
        <v>RT_FALSE</v>
      </c>
      <c r="M481" s="1" t="str">
        <f>IF(M$467,_xll.RtContribute(M$403,M$3&amp;"FX"&amp;$C481&amp;"DDF=","DIVPAYDATE",M65,"SCOPE:SERVER"),"RT_FALSE")</f>
        <v>RT_FALSE</v>
      </c>
      <c r="N481" s="1" t="str">
        <f>IF(N$467,_xll.RtContribute(N$403,N$3&amp;"FX"&amp;$C481&amp;"DDF=","DIVPAYDATE",N65,"SCOPE:SERVER"),"RT_FALSE")</f>
        <v>RT_FALSE</v>
      </c>
      <c r="O481" s="1" t="str">
        <f>IF(O$467,_xll.RtContribute(O$403,O$3&amp;"FX"&amp;$C481&amp;"DDF=","DIVPAYDATE",O65,"SCOPE:SERVER"),"RT_FALSE")</f>
        <v>RT_FALSE</v>
      </c>
      <c r="P481" s="1" t="str">
        <f>IF(P$467,_xll.RtContribute(P$403,P$3&amp;"FX"&amp;$C481&amp;"DDF=","DIVPAYDATE",P65,"SCOPE:SERVER"),"RT_FALSE")</f>
        <v>RT_FALSE</v>
      </c>
      <c r="Q481" s="1" t="str">
        <f>IF(Q$467,_xll.RtContribute(Q$403,Q$3&amp;"FX"&amp;$C481&amp;"DDF=","DIVPAYDATE",Q65,"SCOPE:SERVER"),"RT_FALSE")</f>
        <v>RT_FALSE</v>
      </c>
      <c r="R481" s="1" t="str">
        <f>IF(R$467,_xll.RtContribute(R$403,R$3&amp;"FX"&amp;$C481&amp;"DDF=","DIVPAYDATE",R65,"SCOPE:SERVER"),"RT_FALSE")</f>
        <v>RT_FALSE</v>
      </c>
      <c r="S481" s="1" t="str">
        <f>IF(S$467,_xll.RtContribute(S$403,S$3&amp;"FX"&amp;$C481&amp;"DDF=","DIVPAYDATE",S65,"SCOPE:SERVER"),"RT_FALSE")</f>
        <v>RT_FALSE</v>
      </c>
      <c r="T481" s="1" t="str">
        <f>IF(T$467,_xll.RtContribute(T$403,T$3&amp;"FX"&amp;$C481&amp;"DDF=","DIVPAYDATE",T65,"SCOPE:SERVER"),"RT_FALSE")</f>
        <v>RT_FALSE</v>
      </c>
      <c r="U481" s="1" t="str">
        <f>IF(U$467,_xll.RtContribute(U$403,U$3&amp;"FX"&amp;$C481&amp;"DDF=","DIVPAYDATE",U65,"SCOPE:SERVER"),"RT_FALSE")</f>
        <v>RT_FALSE</v>
      </c>
      <c r="V481" s="1" t="str">
        <f>IF(V$467,_xll.RtContribute(V$403,V$3&amp;"FX"&amp;$C481&amp;"DDF=","DIVPAYDATE",V65,"SCOPE:SERVER"),"RT_FALSE")</f>
        <v>RT_FALSE</v>
      </c>
      <c r="W481" s="1" t="str">
        <f>IF(W$467,_xll.RtContribute(W$403,W$3&amp;"FX"&amp;$C481&amp;"DDF=","DIVPAYDATE",W65,"SCOPE:SERVER"),"RT_FALSE")</f>
        <v>RT_FALSE</v>
      </c>
      <c r="X481" s="1" t="str">
        <f>IF(X$467,_xll.RtContribute(X$403,X$3&amp;"FX"&amp;$C481&amp;"DDF=","DIVPAYDATE",X65,"SCOPE:SERVER"),"RT_FALSE")</f>
        <v>RT_FALSE</v>
      </c>
      <c r="Y481" s="1" t="str">
        <f>IF(Y$467,_xll.RtContribute(Y$403,Y$3&amp;"FX"&amp;$C481&amp;"DDF=","DIVPAYDATE",Y65,"SCOPE:SERVER"),"RT_FALSE")</f>
        <v>RT_FALSE</v>
      </c>
      <c r="Z481" s="1" t="str">
        <f>IF(Z$467,_xll.RtContribute(Z$403,Z$3&amp;"FX"&amp;$C481&amp;"DDF=","DIVPAYDATE",Z65,"SCOPE:SERVER"),"RT_FALSE")</f>
        <v>RT_FALSE</v>
      </c>
      <c r="AA481" s="1" t="str">
        <f>IF(AA$467,_xll.RtContribute(AA$403,AA$3&amp;"FX"&amp;$C481&amp;"DDF=","DIVPAYDATE",AA65,"SCOPE:SERVER"),"RT_FALSE")</f>
        <v>RT_FALSE</v>
      </c>
      <c r="AB481" s="1" t="str">
        <f>IF(AB$467,_xll.RtContribute(AB$403,AB$3&amp;"FX"&amp;$C481&amp;"DDF=","DIVPAYDATE",AB65,"SCOPE:SERVER"),"RT_FALSE")</f>
        <v>RT_FALSE</v>
      </c>
      <c r="AC481" s="1" t="str">
        <f>IF(AC$467,_xll.RtContribute(AC$403,AC$3&amp;"FX"&amp;$C481&amp;"DDF=","DIVPAYDATE",AC65,"SCOPE:SERVER"),"RT_FALSE")</f>
        <v>RT_FALSE</v>
      </c>
      <c r="AD481" s="1" t="str">
        <f>IF(AD$467,_xll.RtContribute(AD$403,AD$3&amp;"FX"&amp;$C481&amp;"DDF=","DIVPAYDATE",AD65,"SCOPE:SERVER"),"RT_FALSE")</f>
        <v>RT_FALSE</v>
      </c>
      <c r="AE481" s="1" t="str">
        <f>IF(AE$467,_xll.RtContribute(AE$403,AE$3&amp;"FX"&amp;$C481&amp;"DDF=","DIVPAYDATE",AE65,"SCOPE:SERVER"),"RT_FALSE")</f>
        <v>RT_FALSE</v>
      </c>
      <c r="AF481" s="1" t="str">
        <f>IF(AF$467,_xll.RtContribute(AF$403,AF$3&amp;"FX"&amp;$C481&amp;"DDF=","DIVPAYDATE",AF65,"SCOPE:SERVER"),"RT_FALSE")</f>
        <v>RT_FALSE</v>
      </c>
      <c r="AG481" s="1" t="str">
        <f>IF(AG$467,_xll.RtContribute(AG$403,AG$3&amp;"FX"&amp;$C481&amp;"DDF=","DIVPAYDATE",AG65,"SCOPE:SERVER"),"RT_FALSE")</f>
        <v>RT_FALSE</v>
      </c>
      <c r="AH481" s="1" t="str">
        <f>IF(AH$467,_xll.RtContribute(AH$403,AH$3&amp;"FX"&amp;$C481&amp;"DDF=","DIVPAYDATE",AH65,"SCOPE:SERVER"),"RT_FALSE")</f>
        <v>RT_FALSE</v>
      </c>
      <c r="AI481" s="1" t="str">
        <f>IF(AI$467,_xll.RtContribute(AI$403,AI$3&amp;"FX"&amp;$C481&amp;"DDF=","DIVPAYDATE",AI65,"SCOPE:SERVER"),"RT_FALSE")</f>
        <v>RT_FALSE</v>
      </c>
      <c r="AJ481" s="1" t="str">
        <f>IF(AJ$467,_xll.RtContribute(AJ$403,AJ$3&amp;"FX"&amp;$C481&amp;"DDF=","DIVPAYDATE",AJ65,"SCOPE:SERVER"),"RT_FALSE")</f>
        <v>RT_FALSE</v>
      </c>
      <c r="AK481" s="1" t="str">
        <f>IF(AK$467,_xll.RtContribute(AK$403,AK$3&amp;"FX"&amp;$C481&amp;"DDF=","DIVPAYDATE",AK65,"SCOPE:SERVER"),"RT_FALSE")</f>
        <v>RT_FALSE</v>
      </c>
      <c r="AL481" s="1" t="str">
        <f>IF(AL$467,_xll.RtContribute(AL$403,AL$3&amp;"FX"&amp;$C481&amp;"DDF=","DIVPAYDATE",AL65,"SCOPE:SERVER"),"RT_FALSE")</f>
        <v>RT_FALSE</v>
      </c>
      <c r="AM481" s="1" t="str">
        <f>IF(AM$467,_xll.RtContribute(AM$403,AM$3&amp;"FX"&amp;$C481&amp;"DDF=","DIVPAYDATE",AM65,"SCOPE:SERVER"),"RT_FALSE")</f>
        <v>RT_FALSE</v>
      </c>
      <c r="AN481" s="1" t="str">
        <f>IF(AN$467,_xll.RtContribute(AN$403,AN$3&amp;"FX"&amp;$C481&amp;"DDF=","DIVPAYDATE",AN65,"SCOPE:SERVER"),"RT_FALSE")</f>
        <v>RT_FALSE</v>
      </c>
      <c r="AO481" s="1" t="str">
        <f>IF(AO$467,_xll.RtContribute(AO$403,AO$3&amp;"FX"&amp;$C481&amp;"DDF=","DIVPAYDATE",AO65,"SCOPE:SERVER"),"RT_FALSE")</f>
        <v>RT_FALSE</v>
      </c>
      <c r="AP481" s="1" t="str">
        <f>IF(AP$467,_xll.RtContribute(AP$403,AP$3&amp;"FX"&amp;$C481&amp;"DDF=","DIVPAYDATE",AP65,"SCOPE:SERVER"),"RT_FALSE")</f>
        <v>RT_FALSE</v>
      </c>
    </row>
    <row r="482" spans="3:42" x14ac:dyDescent="0.2">
      <c r="C482" s="1" t="s">
        <v>93</v>
      </c>
      <c r="D482" s="1" t="str">
        <f>IF(D$467,_xll.RtContribute(D$403,D$3&amp;"FX"&amp;$C482&amp;"DDF=","DIVPAYDATE",D66,"SCOPE:SERVER"),"RT_FALSE")</f>
        <v>RT_FALSE</v>
      </c>
      <c r="E482" s="1" t="str">
        <f>IF(E$467,_xll.RtContribute(E$403,E$3&amp;"FX"&amp;$C482&amp;"DDF=","DIVPAYDATE",E66,"SCOPE:SERVER"),"RT_FALSE")</f>
        <v>RT_FALSE</v>
      </c>
      <c r="F482" s="1" t="str">
        <f>IF(F$467,_xll.RtContribute(F$403,F$3&amp;"FX"&amp;$C482&amp;"DDF=","DIVPAYDATE",F66,"SCOPE:SERVER"),"RT_FALSE")</f>
        <v>RT_FALSE</v>
      </c>
      <c r="G482" s="1" t="str">
        <f>IF(G$467,_xll.RtContribute(G$403,G$3&amp;"FX"&amp;$C482&amp;"DDF=","DIVPAYDATE",G66,"SCOPE:SERVER"),"RT_FALSE")</f>
        <v>RT_FALSE</v>
      </c>
      <c r="H482" s="1" t="str">
        <f>IF(H$467,_xll.RtContribute(H$403,H$3&amp;"FX"&amp;$C482&amp;"DDF=","DIVPAYDATE",H66,"SCOPE:SERVER"),"RT_FALSE")</f>
        <v>RT_FALSE</v>
      </c>
      <c r="I482" s="1" t="str">
        <f>IF(I$467,_xll.RtContribute(I$403,I$3&amp;"FX"&amp;$C482&amp;"DDF=","DIVPAYDATE",I66,"SCOPE:SERVER"),"RT_FALSE")</f>
        <v>RT_FALSE</v>
      </c>
      <c r="J482" s="1" t="str">
        <f>IF(J$467,_xll.RtContribute(J$403,J$3&amp;"FX"&amp;$C482&amp;"DDF=","DIVPAYDATE",J66,"SCOPE:SERVER"),"RT_FALSE")</f>
        <v>RT_FALSE</v>
      </c>
      <c r="K482" s="1" t="str">
        <f>IF(K$467,_xll.RtContribute(K$403,K$3&amp;"FX"&amp;$C482&amp;"DDF=","DIVPAYDATE",K66,"SCOPE:SERVER"),"RT_FALSE")</f>
        <v>RT_FALSE</v>
      </c>
      <c r="L482" s="1" t="str">
        <f>IF(L$467,_xll.RtContribute(L$403,L$3&amp;"FX"&amp;$C482&amp;"DDF=","DIVPAYDATE",L66,"SCOPE:SERVER"),"RT_FALSE")</f>
        <v>RT_FALSE</v>
      </c>
      <c r="M482" s="1" t="str">
        <f>IF(M$467,_xll.RtContribute(M$403,M$3&amp;"FX"&amp;$C482&amp;"DDF=","DIVPAYDATE",M66,"SCOPE:SERVER"),"RT_FALSE")</f>
        <v>RT_FALSE</v>
      </c>
      <c r="N482" s="1" t="str">
        <f>IF(N$467,_xll.RtContribute(N$403,N$3&amp;"FX"&amp;$C482&amp;"DDF=","DIVPAYDATE",N66,"SCOPE:SERVER"),"RT_FALSE")</f>
        <v>RT_FALSE</v>
      </c>
      <c r="O482" s="1" t="str">
        <f>IF(O$467,_xll.RtContribute(O$403,O$3&amp;"FX"&amp;$C482&amp;"DDF=","DIVPAYDATE",O66,"SCOPE:SERVER"),"RT_FALSE")</f>
        <v>RT_FALSE</v>
      </c>
      <c r="P482" s="1" t="str">
        <f>IF(P$467,_xll.RtContribute(P$403,P$3&amp;"FX"&amp;$C482&amp;"DDF=","DIVPAYDATE",P66,"SCOPE:SERVER"),"RT_FALSE")</f>
        <v>RT_FALSE</v>
      </c>
      <c r="Q482" s="1" t="str">
        <f>IF(Q$467,_xll.RtContribute(Q$403,Q$3&amp;"FX"&amp;$C482&amp;"DDF=","DIVPAYDATE",Q66,"SCOPE:SERVER"),"RT_FALSE")</f>
        <v>RT_FALSE</v>
      </c>
      <c r="R482" s="1" t="str">
        <f>IF(R$467,_xll.RtContribute(R$403,R$3&amp;"FX"&amp;$C482&amp;"DDF=","DIVPAYDATE",R66,"SCOPE:SERVER"),"RT_FALSE")</f>
        <v>RT_FALSE</v>
      </c>
      <c r="S482" s="1" t="str">
        <f>IF(S$467,_xll.RtContribute(S$403,S$3&amp;"FX"&amp;$C482&amp;"DDF=","DIVPAYDATE",S66,"SCOPE:SERVER"),"RT_FALSE")</f>
        <v>RT_FALSE</v>
      </c>
      <c r="T482" s="1" t="str">
        <f>IF(T$467,_xll.RtContribute(T$403,T$3&amp;"FX"&amp;$C482&amp;"DDF=","DIVPAYDATE",T66,"SCOPE:SERVER"),"RT_FALSE")</f>
        <v>RT_FALSE</v>
      </c>
      <c r="U482" s="1" t="str">
        <f>IF(U$467,_xll.RtContribute(U$403,U$3&amp;"FX"&amp;$C482&amp;"DDF=","DIVPAYDATE",U66,"SCOPE:SERVER"),"RT_FALSE")</f>
        <v>RT_FALSE</v>
      </c>
      <c r="V482" s="1" t="str">
        <f>IF(V$467,_xll.RtContribute(V$403,V$3&amp;"FX"&amp;$C482&amp;"DDF=","DIVPAYDATE",V66,"SCOPE:SERVER"),"RT_FALSE")</f>
        <v>RT_FALSE</v>
      </c>
      <c r="W482" s="1" t="str">
        <f>IF(W$467,_xll.RtContribute(W$403,W$3&amp;"FX"&amp;$C482&amp;"DDF=","DIVPAYDATE",W66,"SCOPE:SERVER"),"RT_FALSE")</f>
        <v>RT_FALSE</v>
      </c>
      <c r="X482" s="1" t="str">
        <f>IF(X$467,_xll.RtContribute(X$403,X$3&amp;"FX"&amp;$C482&amp;"DDF=","DIVPAYDATE",X66,"SCOPE:SERVER"),"RT_FALSE")</f>
        <v>RT_FALSE</v>
      </c>
      <c r="Y482" s="1" t="str">
        <f>IF(Y$467,_xll.RtContribute(Y$403,Y$3&amp;"FX"&amp;$C482&amp;"DDF=","DIVPAYDATE",Y66,"SCOPE:SERVER"),"RT_FALSE")</f>
        <v>RT_FALSE</v>
      </c>
      <c r="Z482" s="1" t="str">
        <f>IF(Z$467,_xll.RtContribute(Z$403,Z$3&amp;"FX"&amp;$C482&amp;"DDF=","DIVPAYDATE",Z66,"SCOPE:SERVER"),"RT_FALSE")</f>
        <v>RT_FALSE</v>
      </c>
      <c r="AA482" s="1" t="str">
        <f>IF(AA$467,_xll.RtContribute(AA$403,AA$3&amp;"FX"&amp;$C482&amp;"DDF=","DIVPAYDATE",AA66,"SCOPE:SERVER"),"RT_FALSE")</f>
        <v>RT_FALSE</v>
      </c>
      <c r="AB482" s="1" t="str">
        <f>IF(AB$467,_xll.RtContribute(AB$403,AB$3&amp;"FX"&amp;$C482&amp;"DDF=","DIVPAYDATE",AB66,"SCOPE:SERVER"),"RT_FALSE")</f>
        <v>RT_FALSE</v>
      </c>
      <c r="AC482" s="1" t="str">
        <f>IF(AC$467,_xll.RtContribute(AC$403,AC$3&amp;"FX"&amp;$C482&amp;"DDF=","DIVPAYDATE",AC66,"SCOPE:SERVER"),"RT_FALSE")</f>
        <v>RT_FALSE</v>
      </c>
      <c r="AD482" s="1" t="str">
        <f>IF(AD$467,_xll.RtContribute(AD$403,AD$3&amp;"FX"&amp;$C482&amp;"DDF=","DIVPAYDATE",AD66,"SCOPE:SERVER"),"RT_FALSE")</f>
        <v>RT_FALSE</v>
      </c>
      <c r="AE482" s="1" t="str">
        <f>IF(AE$467,_xll.RtContribute(AE$403,AE$3&amp;"FX"&amp;$C482&amp;"DDF=","DIVPAYDATE",AE66,"SCOPE:SERVER"),"RT_FALSE")</f>
        <v>RT_FALSE</v>
      </c>
      <c r="AF482" s="1" t="str">
        <f>IF(AF$467,_xll.RtContribute(AF$403,AF$3&amp;"FX"&amp;$C482&amp;"DDF=","DIVPAYDATE",AF66,"SCOPE:SERVER"),"RT_FALSE")</f>
        <v>RT_FALSE</v>
      </c>
      <c r="AG482" s="1" t="str">
        <f>IF(AG$467,_xll.RtContribute(AG$403,AG$3&amp;"FX"&amp;$C482&amp;"DDF=","DIVPAYDATE",AG66,"SCOPE:SERVER"),"RT_FALSE")</f>
        <v>RT_FALSE</v>
      </c>
      <c r="AH482" s="1" t="str">
        <f>IF(AH$467,_xll.RtContribute(AH$403,AH$3&amp;"FX"&amp;$C482&amp;"DDF=","DIVPAYDATE",AH66,"SCOPE:SERVER"),"RT_FALSE")</f>
        <v>RT_FALSE</v>
      </c>
      <c r="AI482" s="1" t="str">
        <f>IF(AI$467,_xll.RtContribute(AI$403,AI$3&amp;"FX"&amp;$C482&amp;"DDF=","DIVPAYDATE",AI66,"SCOPE:SERVER"),"RT_FALSE")</f>
        <v>RT_FALSE</v>
      </c>
      <c r="AJ482" s="1" t="str">
        <f>IF(AJ$467,_xll.RtContribute(AJ$403,AJ$3&amp;"FX"&amp;$C482&amp;"DDF=","DIVPAYDATE",AJ66,"SCOPE:SERVER"),"RT_FALSE")</f>
        <v>RT_FALSE</v>
      </c>
      <c r="AK482" s="1" t="str">
        <f>IF(AK$467,_xll.RtContribute(AK$403,AK$3&amp;"FX"&amp;$C482&amp;"DDF=","DIVPAYDATE",AK66,"SCOPE:SERVER"),"RT_FALSE")</f>
        <v>RT_FALSE</v>
      </c>
      <c r="AL482" s="1" t="str">
        <f>IF(AL$467,_xll.RtContribute(AL$403,AL$3&amp;"FX"&amp;$C482&amp;"DDF=","DIVPAYDATE",AL66,"SCOPE:SERVER"),"RT_FALSE")</f>
        <v>RT_FALSE</v>
      </c>
      <c r="AM482" s="1" t="str">
        <f>IF(AM$467,_xll.RtContribute(AM$403,AM$3&amp;"FX"&amp;$C482&amp;"DDF=","DIVPAYDATE",AM66,"SCOPE:SERVER"),"RT_FALSE")</f>
        <v>RT_FALSE</v>
      </c>
      <c r="AN482" s="1" t="str">
        <f>IF(AN$467,_xll.RtContribute(AN$403,AN$3&amp;"FX"&amp;$C482&amp;"DDF=","DIVPAYDATE",AN66,"SCOPE:SERVER"),"RT_FALSE")</f>
        <v>RT_FALSE</v>
      </c>
      <c r="AO482" s="1" t="str">
        <f>IF(AO$467,_xll.RtContribute(AO$403,AO$3&amp;"FX"&amp;$C482&amp;"DDF=","DIVPAYDATE",AO66,"SCOPE:SERVER"),"RT_FALSE")</f>
        <v>RT_FALSE</v>
      </c>
      <c r="AP482" s="1" t="str">
        <f>IF(AP$467,_xll.RtContribute(AP$403,AP$3&amp;"FX"&amp;$C482&amp;"DDF=","DIVPAYDATE",AP66,"SCOPE:SERVER"),"RT_FALSE")</f>
        <v>RT_FALSE</v>
      </c>
    </row>
    <row r="483" spans="3:42" x14ac:dyDescent="0.2">
      <c r="C483" s="1" t="s">
        <v>96</v>
      </c>
      <c r="D483" s="1" t="str">
        <f>IF(D$467,_xll.RtContribute(D$403,D$3&amp;"FX"&amp;$C483&amp;"DDF=","DIVPAYDATE",D67,"SCOPE:SERVER"),"RT_FALSE")</f>
        <v>RT_FALSE</v>
      </c>
      <c r="E483" s="1" t="str">
        <f>IF(E$467,_xll.RtContribute(E$403,E$3&amp;"FX"&amp;$C483&amp;"DDF=","DIVPAYDATE",E67,"SCOPE:SERVER"),"RT_FALSE")</f>
        <v>RT_FALSE</v>
      </c>
      <c r="F483" s="1" t="str">
        <f>IF(F$467,_xll.RtContribute(F$403,F$3&amp;"FX"&amp;$C483&amp;"DDF=","DIVPAYDATE",F67,"SCOPE:SERVER"),"RT_FALSE")</f>
        <v>RT_FALSE</v>
      </c>
      <c r="G483" s="1" t="str">
        <f>IF(G$467,_xll.RtContribute(G$403,G$3&amp;"FX"&amp;$C483&amp;"DDF=","DIVPAYDATE",G67,"SCOPE:SERVER"),"RT_FALSE")</f>
        <v>RT_FALSE</v>
      </c>
      <c r="H483" s="1" t="str">
        <f>IF(H$467,_xll.RtContribute(H$403,H$3&amp;"FX"&amp;$C483&amp;"DDF=","DIVPAYDATE",H67,"SCOPE:SERVER"),"RT_FALSE")</f>
        <v>RT_FALSE</v>
      </c>
      <c r="I483" s="1" t="str">
        <f>IF(I$467,_xll.RtContribute(I$403,I$3&amp;"FX"&amp;$C483&amp;"DDF=","DIVPAYDATE",I67,"SCOPE:SERVER"),"RT_FALSE")</f>
        <v>RT_FALSE</v>
      </c>
      <c r="J483" s="1" t="str">
        <f>IF(J$467,_xll.RtContribute(J$403,J$3&amp;"FX"&amp;$C483&amp;"DDF=","DIVPAYDATE",J67,"SCOPE:SERVER"),"RT_FALSE")</f>
        <v>RT_FALSE</v>
      </c>
      <c r="K483" s="1" t="str">
        <f>IF(K$467,_xll.RtContribute(K$403,K$3&amp;"FX"&amp;$C483&amp;"DDF=","DIVPAYDATE",K67,"SCOPE:SERVER"),"RT_FALSE")</f>
        <v>RT_FALSE</v>
      </c>
      <c r="L483" s="1" t="str">
        <f>IF(L$467,_xll.RtContribute(L$403,L$3&amp;"FX"&amp;$C483&amp;"DDF=","DIVPAYDATE",L67,"SCOPE:SERVER"),"RT_FALSE")</f>
        <v>RT_FALSE</v>
      </c>
      <c r="M483" s="1" t="str">
        <f>IF(M$467,_xll.RtContribute(M$403,M$3&amp;"FX"&amp;$C483&amp;"DDF=","DIVPAYDATE",M67,"SCOPE:SERVER"),"RT_FALSE")</f>
        <v>RT_FALSE</v>
      </c>
      <c r="N483" s="1" t="str">
        <f>IF(N$467,_xll.RtContribute(N$403,N$3&amp;"FX"&amp;$C483&amp;"DDF=","DIVPAYDATE",N67,"SCOPE:SERVER"),"RT_FALSE")</f>
        <v>RT_FALSE</v>
      </c>
      <c r="O483" s="1" t="str">
        <f>IF(O$467,_xll.RtContribute(O$403,O$3&amp;"FX"&amp;$C483&amp;"DDF=","DIVPAYDATE",O67,"SCOPE:SERVER"),"RT_FALSE")</f>
        <v>RT_FALSE</v>
      </c>
      <c r="P483" s="1" t="str">
        <f>IF(P$467,_xll.RtContribute(P$403,P$3&amp;"FX"&amp;$C483&amp;"DDF=","DIVPAYDATE",P67,"SCOPE:SERVER"),"RT_FALSE")</f>
        <v>RT_FALSE</v>
      </c>
      <c r="Q483" s="1" t="str">
        <f>IF(Q$467,_xll.RtContribute(Q$403,Q$3&amp;"FX"&amp;$C483&amp;"DDF=","DIVPAYDATE",Q67,"SCOPE:SERVER"),"RT_FALSE")</f>
        <v>RT_FALSE</v>
      </c>
      <c r="R483" s="1" t="str">
        <f>IF(R$467,_xll.RtContribute(R$403,R$3&amp;"FX"&amp;$C483&amp;"DDF=","DIVPAYDATE",R67,"SCOPE:SERVER"),"RT_FALSE")</f>
        <v>RT_FALSE</v>
      </c>
      <c r="S483" s="1" t="str">
        <f>IF(S$467,_xll.RtContribute(S$403,S$3&amp;"FX"&amp;$C483&amp;"DDF=","DIVPAYDATE",S67,"SCOPE:SERVER"),"RT_FALSE")</f>
        <v>RT_FALSE</v>
      </c>
      <c r="T483" s="1" t="str">
        <f>IF(T$467,_xll.RtContribute(T$403,T$3&amp;"FX"&amp;$C483&amp;"DDF=","DIVPAYDATE",T67,"SCOPE:SERVER"),"RT_FALSE")</f>
        <v>RT_FALSE</v>
      </c>
      <c r="U483" s="1" t="str">
        <f>IF(U$467,_xll.RtContribute(U$403,U$3&amp;"FX"&amp;$C483&amp;"DDF=","DIVPAYDATE",U67,"SCOPE:SERVER"),"RT_FALSE")</f>
        <v>RT_FALSE</v>
      </c>
      <c r="V483" s="1" t="str">
        <f>IF(V$467,_xll.RtContribute(V$403,V$3&amp;"FX"&amp;$C483&amp;"DDF=","DIVPAYDATE",V67,"SCOPE:SERVER"),"RT_FALSE")</f>
        <v>RT_FALSE</v>
      </c>
      <c r="W483" s="1" t="str">
        <f>IF(W$467,_xll.RtContribute(W$403,W$3&amp;"FX"&amp;$C483&amp;"DDF=","DIVPAYDATE",W67,"SCOPE:SERVER"),"RT_FALSE")</f>
        <v>RT_FALSE</v>
      </c>
      <c r="X483" s="1" t="str">
        <f>IF(X$467,_xll.RtContribute(X$403,X$3&amp;"FX"&amp;$C483&amp;"DDF=","DIVPAYDATE",X67,"SCOPE:SERVER"),"RT_FALSE")</f>
        <v>RT_FALSE</v>
      </c>
      <c r="Y483" s="1" t="str">
        <f>IF(Y$467,_xll.RtContribute(Y$403,Y$3&amp;"FX"&amp;$C483&amp;"DDF=","DIVPAYDATE",Y67,"SCOPE:SERVER"),"RT_FALSE")</f>
        <v>RT_FALSE</v>
      </c>
      <c r="Z483" s="1" t="str">
        <f>IF(Z$467,_xll.RtContribute(Z$403,Z$3&amp;"FX"&amp;$C483&amp;"DDF=","DIVPAYDATE",Z67,"SCOPE:SERVER"),"RT_FALSE")</f>
        <v>RT_FALSE</v>
      </c>
      <c r="AA483" s="1" t="str">
        <f>IF(AA$467,_xll.RtContribute(AA$403,AA$3&amp;"FX"&amp;$C483&amp;"DDF=","DIVPAYDATE",AA67,"SCOPE:SERVER"),"RT_FALSE")</f>
        <v>RT_FALSE</v>
      </c>
      <c r="AB483" s="1" t="str">
        <f>IF(AB$467,_xll.RtContribute(AB$403,AB$3&amp;"FX"&amp;$C483&amp;"DDF=","DIVPAYDATE",AB67,"SCOPE:SERVER"),"RT_FALSE")</f>
        <v>RT_FALSE</v>
      </c>
      <c r="AC483" s="1" t="str">
        <f>IF(AC$467,_xll.RtContribute(AC$403,AC$3&amp;"FX"&amp;$C483&amp;"DDF=","DIVPAYDATE",AC67,"SCOPE:SERVER"),"RT_FALSE")</f>
        <v>RT_FALSE</v>
      </c>
      <c r="AD483" s="1" t="str">
        <f>IF(AD$467,_xll.RtContribute(AD$403,AD$3&amp;"FX"&amp;$C483&amp;"DDF=","DIVPAYDATE",AD67,"SCOPE:SERVER"),"RT_FALSE")</f>
        <v>RT_FALSE</v>
      </c>
      <c r="AE483" s="1" t="str">
        <f>IF(AE$467,_xll.RtContribute(AE$403,AE$3&amp;"FX"&amp;$C483&amp;"DDF=","DIVPAYDATE",AE67,"SCOPE:SERVER"),"RT_FALSE")</f>
        <v>RT_FALSE</v>
      </c>
      <c r="AF483" s="1" t="str">
        <f>IF(AF$467,_xll.RtContribute(AF$403,AF$3&amp;"FX"&amp;$C483&amp;"DDF=","DIVPAYDATE",AF67,"SCOPE:SERVER"),"RT_FALSE")</f>
        <v>RT_FALSE</v>
      </c>
      <c r="AG483" s="1" t="str">
        <f>IF(AG$467,_xll.RtContribute(AG$403,AG$3&amp;"FX"&amp;$C483&amp;"DDF=","DIVPAYDATE",AG67,"SCOPE:SERVER"),"RT_FALSE")</f>
        <v>RT_FALSE</v>
      </c>
      <c r="AH483" s="1" t="str">
        <f>IF(AH$467,_xll.RtContribute(AH$403,AH$3&amp;"FX"&amp;$C483&amp;"DDF=","DIVPAYDATE",AH67,"SCOPE:SERVER"),"RT_FALSE")</f>
        <v>RT_FALSE</v>
      </c>
      <c r="AI483" s="1" t="str">
        <f>IF(AI$467,_xll.RtContribute(AI$403,AI$3&amp;"FX"&amp;$C483&amp;"DDF=","DIVPAYDATE",AI67,"SCOPE:SERVER"),"RT_FALSE")</f>
        <v>RT_FALSE</v>
      </c>
      <c r="AJ483" s="1" t="str">
        <f>IF(AJ$467,_xll.RtContribute(AJ$403,AJ$3&amp;"FX"&amp;$C483&amp;"DDF=","DIVPAYDATE",AJ67,"SCOPE:SERVER"),"RT_FALSE")</f>
        <v>RT_FALSE</v>
      </c>
      <c r="AK483" s="1" t="str">
        <f>IF(AK$467,_xll.RtContribute(AK$403,AK$3&amp;"FX"&amp;$C483&amp;"DDF=","DIVPAYDATE",AK67,"SCOPE:SERVER"),"RT_FALSE")</f>
        <v>RT_FALSE</v>
      </c>
      <c r="AL483" s="1" t="str">
        <f>IF(AL$467,_xll.RtContribute(AL$403,AL$3&amp;"FX"&amp;$C483&amp;"DDF=","DIVPAYDATE",AL67,"SCOPE:SERVER"),"RT_FALSE")</f>
        <v>RT_FALSE</v>
      </c>
      <c r="AM483" s="1" t="str">
        <f>IF(AM$467,_xll.RtContribute(AM$403,AM$3&amp;"FX"&amp;$C483&amp;"DDF=","DIVPAYDATE",AM67,"SCOPE:SERVER"),"RT_FALSE")</f>
        <v>RT_FALSE</v>
      </c>
      <c r="AN483" s="1" t="str">
        <f>IF(AN$467,_xll.RtContribute(AN$403,AN$3&amp;"FX"&amp;$C483&amp;"DDF=","DIVPAYDATE",AN67,"SCOPE:SERVER"),"RT_FALSE")</f>
        <v>RT_FALSE</v>
      </c>
      <c r="AO483" s="1" t="str">
        <f>IF(AO$467,_xll.RtContribute(AO$403,AO$3&amp;"FX"&amp;$C483&amp;"DDF=","DIVPAYDATE",AO67,"SCOPE:SERVER"),"RT_FALSE")</f>
        <v>RT_FALSE</v>
      </c>
      <c r="AP483" s="1" t="str">
        <f>IF(AP$467,_xll.RtContribute(AP$403,AP$3&amp;"FX"&amp;$C483&amp;"DDF=","DIVPAYDATE",AP67,"SCOPE:SERVER"),"RT_FALSE")</f>
        <v>RT_FALSE</v>
      </c>
    </row>
    <row r="484" spans="3:42" x14ac:dyDescent="0.2">
      <c r="C484" s="1" t="s">
        <v>99</v>
      </c>
      <c r="D484" s="1" t="str">
        <f>IF(D$467,_xll.RtContribute(D$403,D$3&amp;"FX"&amp;$C484&amp;"DDF=","DIVPAYDATE",D68,"SCOPE:SERVER"),"RT_FALSE")</f>
        <v>RT_FALSE</v>
      </c>
      <c r="E484" s="1" t="str">
        <f>IF(E$467,_xll.RtContribute(E$403,E$3&amp;"FX"&amp;$C484&amp;"DDF=","DIVPAYDATE",E68,"SCOPE:SERVER"),"RT_FALSE")</f>
        <v>RT_FALSE</v>
      </c>
      <c r="F484" s="1" t="str">
        <f>IF(F$467,_xll.RtContribute(F$403,F$3&amp;"FX"&amp;$C484&amp;"DDF=","DIVPAYDATE",F68,"SCOPE:SERVER"),"RT_FALSE")</f>
        <v>RT_FALSE</v>
      </c>
      <c r="G484" s="1" t="str">
        <f>IF(G$467,_xll.RtContribute(G$403,G$3&amp;"FX"&amp;$C484&amp;"DDF=","DIVPAYDATE",G68,"SCOPE:SERVER"),"RT_FALSE")</f>
        <v>RT_FALSE</v>
      </c>
      <c r="H484" s="1" t="str">
        <f>IF(H$467,_xll.RtContribute(H$403,H$3&amp;"FX"&amp;$C484&amp;"DDF=","DIVPAYDATE",H68,"SCOPE:SERVER"),"RT_FALSE")</f>
        <v>RT_FALSE</v>
      </c>
      <c r="I484" s="1" t="str">
        <f>IF(I$467,_xll.RtContribute(I$403,I$3&amp;"FX"&amp;$C484&amp;"DDF=","DIVPAYDATE",I68,"SCOPE:SERVER"),"RT_FALSE")</f>
        <v>RT_FALSE</v>
      </c>
      <c r="J484" s="1" t="str">
        <f>IF(J$467,_xll.RtContribute(J$403,J$3&amp;"FX"&amp;$C484&amp;"DDF=","DIVPAYDATE",J68,"SCOPE:SERVER"),"RT_FALSE")</f>
        <v>RT_FALSE</v>
      </c>
      <c r="K484" s="1" t="str">
        <f>IF(K$467,_xll.RtContribute(K$403,K$3&amp;"FX"&amp;$C484&amp;"DDF=","DIVPAYDATE",K68,"SCOPE:SERVER"),"RT_FALSE")</f>
        <v>RT_FALSE</v>
      </c>
      <c r="L484" s="1" t="str">
        <f>IF(L$467,_xll.RtContribute(L$403,L$3&amp;"FX"&amp;$C484&amp;"DDF=","DIVPAYDATE",L68,"SCOPE:SERVER"),"RT_FALSE")</f>
        <v>RT_FALSE</v>
      </c>
      <c r="M484" s="1" t="str">
        <f>IF(M$467,_xll.RtContribute(M$403,M$3&amp;"FX"&amp;$C484&amp;"DDF=","DIVPAYDATE",M68,"SCOPE:SERVER"),"RT_FALSE")</f>
        <v>RT_FALSE</v>
      </c>
      <c r="N484" s="1" t="str">
        <f>IF(N$467,_xll.RtContribute(N$403,N$3&amp;"FX"&amp;$C484&amp;"DDF=","DIVPAYDATE",N68,"SCOPE:SERVER"),"RT_FALSE")</f>
        <v>RT_FALSE</v>
      </c>
      <c r="O484" s="1" t="str">
        <f>IF(O$467,_xll.RtContribute(O$403,O$3&amp;"FX"&amp;$C484&amp;"DDF=","DIVPAYDATE",O68,"SCOPE:SERVER"),"RT_FALSE")</f>
        <v>RT_FALSE</v>
      </c>
      <c r="P484" s="1" t="str">
        <f>IF(P$467,_xll.RtContribute(P$403,P$3&amp;"FX"&amp;$C484&amp;"DDF=","DIVPAYDATE",P68,"SCOPE:SERVER"),"RT_FALSE")</f>
        <v>RT_FALSE</v>
      </c>
      <c r="Q484" s="1" t="str">
        <f>IF(Q$467,_xll.RtContribute(Q$403,Q$3&amp;"FX"&amp;$C484&amp;"DDF=","DIVPAYDATE",Q68,"SCOPE:SERVER"),"RT_FALSE")</f>
        <v>RT_FALSE</v>
      </c>
      <c r="R484" s="1" t="str">
        <f>IF(R$467,_xll.RtContribute(R$403,R$3&amp;"FX"&amp;$C484&amp;"DDF=","DIVPAYDATE",R68,"SCOPE:SERVER"),"RT_FALSE")</f>
        <v>RT_FALSE</v>
      </c>
      <c r="S484" s="1" t="str">
        <f>IF(S$467,_xll.RtContribute(S$403,S$3&amp;"FX"&amp;$C484&amp;"DDF=","DIVPAYDATE",S68,"SCOPE:SERVER"),"RT_FALSE")</f>
        <v>RT_FALSE</v>
      </c>
      <c r="T484" s="1" t="str">
        <f>IF(T$467,_xll.RtContribute(T$403,T$3&amp;"FX"&amp;$C484&amp;"DDF=","DIVPAYDATE",T68,"SCOPE:SERVER"),"RT_FALSE")</f>
        <v>RT_FALSE</v>
      </c>
      <c r="U484" s="1" t="str">
        <f>IF(U$467,_xll.RtContribute(U$403,U$3&amp;"FX"&amp;$C484&amp;"DDF=","DIVPAYDATE",U68,"SCOPE:SERVER"),"RT_FALSE")</f>
        <v>RT_FALSE</v>
      </c>
      <c r="V484" s="1" t="str">
        <f>IF(V$467,_xll.RtContribute(V$403,V$3&amp;"FX"&amp;$C484&amp;"DDF=","DIVPAYDATE",V68,"SCOPE:SERVER"),"RT_FALSE")</f>
        <v>RT_FALSE</v>
      </c>
      <c r="W484" s="1" t="str">
        <f>IF(W$467,_xll.RtContribute(W$403,W$3&amp;"FX"&amp;$C484&amp;"DDF=","DIVPAYDATE",W68,"SCOPE:SERVER"),"RT_FALSE")</f>
        <v>RT_FALSE</v>
      </c>
      <c r="X484" s="1" t="str">
        <f>IF(X$467,_xll.RtContribute(X$403,X$3&amp;"FX"&amp;$C484&amp;"DDF=","DIVPAYDATE",X68,"SCOPE:SERVER"),"RT_FALSE")</f>
        <v>RT_FALSE</v>
      </c>
      <c r="Y484" s="1" t="str">
        <f>IF(Y$467,_xll.RtContribute(Y$403,Y$3&amp;"FX"&amp;$C484&amp;"DDF=","DIVPAYDATE",Y68,"SCOPE:SERVER"),"RT_FALSE")</f>
        <v>RT_FALSE</v>
      </c>
      <c r="Z484" s="1" t="str">
        <f>IF(Z$467,_xll.RtContribute(Z$403,Z$3&amp;"FX"&amp;$C484&amp;"DDF=","DIVPAYDATE",Z68,"SCOPE:SERVER"),"RT_FALSE")</f>
        <v>RT_FALSE</v>
      </c>
      <c r="AA484" s="1" t="str">
        <f>IF(AA$467,_xll.RtContribute(AA$403,AA$3&amp;"FX"&amp;$C484&amp;"DDF=","DIVPAYDATE",AA68,"SCOPE:SERVER"),"RT_FALSE")</f>
        <v>RT_FALSE</v>
      </c>
      <c r="AB484" s="1" t="str">
        <f>IF(AB$467,_xll.RtContribute(AB$403,AB$3&amp;"FX"&amp;$C484&amp;"DDF=","DIVPAYDATE",AB68,"SCOPE:SERVER"),"RT_FALSE")</f>
        <v>RT_FALSE</v>
      </c>
      <c r="AC484" s="1" t="str">
        <f>IF(AC$467,_xll.RtContribute(AC$403,AC$3&amp;"FX"&amp;$C484&amp;"DDF=","DIVPAYDATE",AC68,"SCOPE:SERVER"),"RT_FALSE")</f>
        <v>RT_FALSE</v>
      </c>
      <c r="AD484" s="1" t="str">
        <f>IF(AD$467,_xll.RtContribute(AD$403,AD$3&amp;"FX"&amp;$C484&amp;"DDF=","DIVPAYDATE",AD68,"SCOPE:SERVER"),"RT_FALSE")</f>
        <v>RT_FALSE</v>
      </c>
      <c r="AE484" s="1" t="str">
        <f>IF(AE$467,_xll.RtContribute(AE$403,AE$3&amp;"FX"&amp;$C484&amp;"DDF=","DIVPAYDATE",AE68,"SCOPE:SERVER"),"RT_FALSE")</f>
        <v>RT_FALSE</v>
      </c>
      <c r="AF484" s="1" t="str">
        <f>IF(AF$467,_xll.RtContribute(AF$403,AF$3&amp;"FX"&amp;$C484&amp;"DDF=","DIVPAYDATE",AF68,"SCOPE:SERVER"),"RT_FALSE")</f>
        <v>RT_FALSE</v>
      </c>
      <c r="AG484" s="1" t="str">
        <f>IF(AG$467,_xll.RtContribute(AG$403,AG$3&amp;"FX"&amp;$C484&amp;"DDF=","DIVPAYDATE",AG68,"SCOPE:SERVER"),"RT_FALSE")</f>
        <v>RT_FALSE</v>
      </c>
      <c r="AH484" s="1" t="str">
        <f>IF(AH$467,_xll.RtContribute(AH$403,AH$3&amp;"FX"&amp;$C484&amp;"DDF=","DIVPAYDATE",AH68,"SCOPE:SERVER"),"RT_FALSE")</f>
        <v>RT_FALSE</v>
      </c>
      <c r="AI484" s="1" t="str">
        <f>IF(AI$467,_xll.RtContribute(AI$403,AI$3&amp;"FX"&amp;$C484&amp;"DDF=","DIVPAYDATE",AI68,"SCOPE:SERVER"),"RT_FALSE")</f>
        <v>RT_FALSE</v>
      </c>
      <c r="AJ484" s="1" t="str">
        <f>IF(AJ$467,_xll.RtContribute(AJ$403,AJ$3&amp;"FX"&amp;$C484&amp;"DDF=","DIVPAYDATE",AJ68,"SCOPE:SERVER"),"RT_FALSE")</f>
        <v>RT_FALSE</v>
      </c>
      <c r="AK484" s="1" t="str">
        <f>IF(AK$467,_xll.RtContribute(AK$403,AK$3&amp;"FX"&amp;$C484&amp;"DDF=","DIVPAYDATE",AK68,"SCOPE:SERVER"),"RT_FALSE")</f>
        <v>RT_FALSE</v>
      </c>
      <c r="AL484" s="1" t="str">
        <f>IF(AL$467,_xll.RtContribute(AL$403,AL$3&amp;"FX"&amp;$C484&amp;"DDF=","DIVPAYDATE",AL68,"SCOPE:SERVER"),"RT_FALSE")</f>
        <v>RT_FALSE</v>
      </c>
      <c r="AM484" s="1" t="str">
        <f>IF(AM$467,_xll.RtContribute(AM$403,AM$3&amp;"FX"&amp;$C484&amp;"DDF=","DIVPAYDATE",AM68,"SCOPE:SERVER"),"RT_FALSE")</f>
        <v>RT_FALSE</v>
      </c>
      <c r="AN484" s="1" t="str">
        <f>IF(AN$467,_xll.RtContribute(AN$403,AN$3&amp;"FX"&amp;$C484&amp;"DDF=","DIVPAYDATE",AN68,"SCOPE:SERVER"),"RT_FALSE")</f>
        <v>RT_FALSE</v>
      </c>
      <c r="AO484" s="1" t="str">
        <f>IF(AO$467,_xll.RtContribute(AO$403,AO$3&amp;"FX"&amp;$C484&amp;"DDF=","DIVPAYDATE",AO68,"SCOPE:SERVER"),"RT_FALSE")</f>
        <v>RT_FALSE</v>
      </c>
      <c r="AP484" s="1" t="str">
        <f>IF(AP$467,_xll.RtContribute(AP$403,AP$3&amp;"FX"&amp;$C484&amp;"DDF=","DIVPAYDATE",AP68,"SCOPE:SERVER"),"RT_FALSE")</f>
        <v>RT_FALSE</v>
      </c>
    </row>
    <row r="485" spans="3:42" x14ac:dyDescent="0.2">
      <c r="C485" s="1" t="s">
        <v>101</v>
      </c>
      <c r="D485" s="1" t="str">
        <f>IF(D$467,_xll.RtContribute(D$403,D$3&amp;"FX"&amp;$C485&amp;"DDF=","DIVPAYDATE",D69,"SCOPE:SERVER"),"RT_FALSE")</f>
        <v>RT_FALSE</v>
      </c>
      <c r="E485" s="1" t="str">
        <f>IF(E$467,_xll.RtContribute(E$403,E$3&amp;"FX"&amp;$C485&amp;"DDF=","DIVPAYDATE",E69,"SCOPE:SERVER"),"RT_FALSE")</f>
        <v>RT_FALSE</v>
      </c>
      <c r="F485" s="1" t="str">
        <f>IF(F$467,_xll.RtContribute(F$403,F$3&amp;"FX"&amp;$C485&amp;"DDF=","DIVPAYDATE",F69,"SCOPE:SERVER"),"RT_FALSE")</f>
        <v>RT_FALSE</v>
      </c>
      <c r="G485" s="1" t="str">
        <f>IF(G$467,_xll.RtContribute(G$403,G$3&amp;"FX"&amp;$C485&amp;"DDF=","DIVPAYDATE",G69,"SCOPE:SERVER"),"RT_FALSE")</f>
        <v>RT_FALSE</v>
      </c>
      <c r="H485" s="1" t="str">
        <f>IF(H$467,_xll.RtContribute(H$403,H$3&amp;"FX"&amp;$C485&amp;"DDF=","DIVPAYDATE",H69,"SCOPE:SERVER"),"RT_FALSE")</f>
        <v>RT_FALSE</v>
      </c>
      <c r="I485" s="1" t="str">
        <f>IF(I$467,_xll.RtContribute(I$403,I$3&amp;"FX"&amp;$C485&amp;"DDF=","DIVPAYDATE",I69,"SCOPE:SERVER"),"RT_FALSE")</f>
        <v>RT_FALSE</v>
      </c>
      <c r="J485" s="1" t="str">
        <f>IF(J$467,_xll.RtContribute(J$403,J$3&amp;"FX"&amp;$C485&amp;"DDF=","DIVPAYDATE",J69,"SCOPE:SERVER"),"RT_FALSE")</f>
        <v>RT_FALSE</v>
      </c>
      <c r="K485" s="1" t="str">
        <f>IF(K$467,_xll.RtContribute(K$403,K$3&amp;"FX"&amp;$C485&amp;"DDF=","DIVPAYDATE",K69,"SCOPE:SERVER"),"RT_FALSE")</f>
        <v>RT_FALSE</v>
      </c>
      <c r="L485" s="1" t="str">
        <f>IF(L$467,_xll.RtContribute(L$403,L$3&amp;"FX"&amp;$C485&amp;"DDF=","DIVPAYDATE",L69,"SCOPE:SERVER"),"RT_FALSE")</f>
        <v>RT_FALSE</v>
      </c>
      <c r="M485" s="1" t="str">
        <f>IF(M$467,_xll.RtContribute(M$403,M$3&amp;"FX"&amp;$C485&amp;"DDF=","DIVPAYDATE",M69,"SCOPE:SERVER"),"RT_FALSE")</f>
        <v>RT_FALSE</v>
      </c>
      <c r="N485" s="1" t="str">
        <f>IF(N$467,_xll.RtContribute(N$403,N$3&amp;"FX"&amp;$C485&amp;"DDF=","DIVPAYDATE",N69,"SCOPE:SERVER"),"RT_FALSE")</f>
        <v>RT_FALSE</v>
      </c>
      <c r="O485" s="1" t="str">
        <f>IF(O$467,_xll.RtContribute(O$403,O$3&amp;"FX"&amp;$C485&amp;"DDF=","DIVPAYDATE",O69,"SCOPE:SERVER"),"RT_FALSE")</f>
        <v>RT_FALSE</v>
      </c>
      <c r="P485" s="1" t="str">
        <f>IF(P$467,_xll.RtContribute(P$403,P$3&amp;"FX"&amp;$C485&amp;"DDF=","DIVPAYDATE",P69,"SCOPE:SERVER"),"RT_FALSE")</f>
        <v>RT_FALSE</v>
      </c>
      <c r="Q485" s="1" t="str">
        <f>IF(Q$467,_xll.RtContribute(Q$403,Q$3&amp;"FX"&amp;$C485&amp;"DDF=","DIVPAYDATE",Q69,"SCOPE:SERVER"),"RT_FALSE")</f>
        <v>RT_FALSE</v>
      </c>
      <c r="R485" s="1" t="str">
        <f>IF(R$467,_xll.RtContribute(R$403,R$3&amp;"FX"&amp;$C485&amp;"DDF=","DIVPAYDATE",R69,"SCOPE:SERVER"),"RT_FALSE")</f>
        <v>RT_FALSE</v>
      </c>
      <c r="S485" s="1" t="str">
        <f>IF(S$467,_xll.RtContribute(S$403,S$3&amp;"FX"&amp;$C485&amp;"DDF=","DIVPAYDATE",S69,"SCOPE:SERVER"),"RT_FALSE")</f>
        <v>RT_FALSE</v>
      </c>
      <c r="T485" s="1" t="str">
        <f>IF(T$467,_xll.RtContribute(T$403,T$3&amp;"FX"&amp;$C485&amp;"DDF=","DIVPAYDATE",T69,"SCOPE:SERVER"),"RT_FALSE")</f>
        <v>RT_FALSE</v>
      </c>
      <c r="U485" s="1" t="str">
        <f>IF(U$467,_xll.RtContribute(U$403,U$3&amp;"FX"&amp;$C485&amp;"DDF=","DIVPAYDATE",U69,"SCOPE:SERVER"),"RT_FALSE")</f>
        <v>RT_FALSE</v>
      </c>
      <c r="V485" s="1" t="str">
        <f>IF(V$467,_xll.RtContribute(V$403,V$3&amp;"FX"&amp;$C485&amp;"DDF=","DIVPAYDATE",V69,"SCOPE:SERVER"),"RT_FALSE")</f>
        <v>RT_FALSE</v>
      </c>
      <c r="W485" s="1" t="str">
        <f>IF(W$467,_xll.RtContribute(W$403,W$3&amp;"FX"&amp;$C485&amp;"DDF=","DIVPAYDATE",W69,"SCOPE:SERVER"),"RT_FALSE")</f>
        <v>RT_FALSE</v>
      </c>
      <c r="X485" s="1" t="str">
        <f>IF(X$467,_xll.RtContribute(X$403,X$3&amp;"FX"&amp;$C485&amp;"DDF=","DIVPAYDATE",X69,"SCOPE:SERVER"),"RT_FALSE")</f>
        <v>RT_FALSE</v>
      </c>
      <c r="Y485" s="1" t="str">
        <f>IF(Y$467,_xll.RtContribute(Y$403,Y$3&amp;"FX"&amp;$C485&amp;"DDF=","DIVPAYDATE",Y69,"SCOPE:SERVER"),"RT_FALSE")</f>
        <v>RT_FALSE</v>
      </c>
      <c r="Z485" s="1" t="str">
        <f>IF(Z$467,_xll.RtContribute(Z$403,Z$3&amp;"FX"&amp;$C485&amp;"DDF=","DIVPAYDATE",Z69,"SCOPE:SERVER"),"RT_FALSE")</f>
        <v>RT_FALSE</v>
      </c>
      <c r="AA485" s="1" t="str">
        <f>IF(AA$467,_xll.RtContribute(AA$403,AA$3&amp;"FX"&amp;$C485&amp;"DDF=","DIVPAYDATE",AA69,"SCOPE:SERVER"),"RT_FALSE")</f>
        <v>RT_FALSE</v>
      </c>
      <c r="AB485" s="1" t="str">
        <f>IF(AB$467,_xll.RtContribute(AB$403,AB$3&amp;"FX"&amp;$C485&amp;"DDF=","DIVPAYDATE",AB69,"SCOPE:SERVER"),"RT_FALSE")</f>
        <v>RT_FALSE</v>
      </c>
      <c r="AC485" s="1" t="str">
        <f>IF(AC$467,_xll.RtContribute(AC$403,AC$3&amp;"FX"&amp;$C485&amp;"DDF=","DIVPAYDATE",AC69,"SCOPE:SERVER"),"RT_FALSE")</f>
        <v>RT_FALSE</v>
      </c>
      <c r="AD485" s="1" t="str">
        <f>IF(AD$467,_xll.RtContribute(AD$403,AD$3&amp;"FX"&amp;$C485&amp;"DDF=","DIVPAYDATE",AD69,"SCOPE:SERVER"),"RT_FALSE")</f>
        <v>RT_FALSE</v>
      </c>
      <c r="AE485" s="1" t="str">
        <f>IF(AE$467,_xll.RtContribute(AE$403,AE$3&amp;"FX"&amp;$C485&amp;"DDF=","DIVPAYDATE",AE69,"SCOPE:SERVER"),"RT_FALSE")</f>
        <v>RT_FALSE</v>
      </c>
      <c r="AF485" s="1" t="str">
        <f>IF(AF$467,_xll.RtContribute(AF$403,AF$3&amp;"FX"&amp;$C485&amp;"DDF=","DIVPAYDATE",AF69,"SCOPE:SERVER"),"RT_FALSE")</f>
        <v>RT_FALSE</v>
      </c>
      <c r="AG485" s="1" t="str">
        <f>IF(AG$467,_xll.RtContribute(AG$403,AG$3&amp;"FX"&amp;$C485&amp;"DDF=","DIVPAYDATE",AG69,"SCOPE:SERVER"),"RT_FALSE")</f>
        <v>RT_FALSE</v>
      </c>
      <c r="AH485" s="1" t="str">
        <f>IF(AH$467,_xll.RtContribute(AH$403,AH$3&amp;"FX"&amp;$C485&amp;"DDF=","DIVPAYDATE",AH69,"SCOPE:SERVER"),"RT_FALSE")</f>
        <v>RT_FALSE</v>
      </c>
      <c r="AI485" s="1" t="str">
        <f>IF(AI$467,_xll.RtContribute(AI$403,AI$3&amp;"FX"&amp;$C485&amp;"DDF=","DIVPAYDATE",AI69,"SCOPE:SERVER"),"RT_FALSE")</f>
        <v>RT_FALSE</v>
      </c>
      <c r="AJ485" s="1" t="str">
        <f>IF(AJ$467,_xll.RtContribute(AJ$403,AJ$3&amp;"FX"&amp;$C485&amp;"DDF=","DIVPAYDATE",AJ69,"SCOPE:SERVER"),"RT_FALSE")</f>
        <v>RT_FALSE</v>
      </c>
      <c r="AK485" s="1" t="str">
        <f>IF(AK$467,_xll.RtContribute(AK$403,AK$3&amp;"FX"&amp;$C485&amp;"DDF=","DIVPAYDATE",AK69,"SCOPE:SERVER"),"RT_FALSE")</f>
        <v>RT_FALSE</v>
      </c>
      <c r="AL485" s="1" t="str">
        <f>IF(AL$467,_xll.RtContribute(AL$403,AL$3&amp;"FX"&amp;$C485&amp;"DDF=","DIVPAYDATE",AL69,"SCOPE:SERVER"),"RT_FALSE")</f>
        <v>RT_FALSE</v>
      </c>
      <c r="AM485" s="1" t="str">
        <f>IF(AM$467,_xll.RtContribute(AM$403,AM$3&amp;"FX"&amp;$C485&amp;"DDF=","DIVPAYDATE",AM69,"SCOPE:SERVER"),"RT_FALSE")</f>
        <v>RT_FALSE</v>
      </c>
      <c r="AN485" s="1" t="str">
        <f>IF(AN$467,_xll.RtContribute(AN$403,AN$3&amp;"FX"&amp;$C485&amp;"DDF=","DIVPAYDATE",AN69,"SCOPE:SERVER"),"RT_FALSE")</f>
        <v>RT_FALSE</v>
      </c>
      <c r="AO485" s="1" t="str">
        <f>IF(AO$467,_xll.RtContribute(AO$403,AO$3&amp;"FX"&amp;$C485&amp;"DDF=","DIVPAYDATE",AO69,"SCOPE:SERVER"),"RT_FALSE")</f>
        <v>RT_FALSE</v>
      </c>
      <c r="AP485" s="1" t="str">
        <f>IF(AP$467,_xll.RtContribute(AP$403,AP$3&amp;"FX"&amp;$C485&amp;"DDF=","DIVPAYDATE",AP69,"SCOPE:SERVER"),"RT_FALSE")</f>
        <v>RT_FALSE</v>
      </c>
    </row>
    <row r="486" spans="3:42" x14ac:dyDescent="0.2">
      <c r="C486" s="1" t="s">
        <v>138</v>
      </c>
      <c r="D486" s="1" t="str">
        <f>IF(D$467,_xll.RtContribute(D$403,D$3&amp;"FX"&amp;$C486&amp;"DDF=","DIVPAYDATE",D70,"SCOPE:SERVER"),"RT_FALSE")</f>
        <v>RT_FALSE</v>
      </c>
      <c r="E486" s="1" t="str">
        <f>IF(E$467,_xll.RtContribute(E$403,E$3&amp;"FX"&amp;$C486&amp;"DDF=","DIVPAYDATE",E70,"SCOPE:SERVER"),"RT_FALSE")</f>
        <v>RT_FALSE</v>
      </c>
      <c r="F486" s="1" t="str">
        <f>IF(F$467,_xll.RtContribute(F$403,F$3&amp;"FX"&amp;$C486&amp;"DDF=","DIVPAYDATE",F70,"SCOPE:SERVER"),"RT_FALSE")</f>
        <v>RT_FALSE</v>
      </c>
      <c r="G486" s="1" t="str">
        <f>IF(G$467,_xll.RtContribute(G$403,G$3&amp;"FX"&amp;$C486&amp;"DDF=","DIVPAYDATE",G70,"SCOPE:SERVER"),"RT_FALSE")</f>
        <v>RT_FALSE</v>
      </c>
      <c r="H486" s="1" t="str">
        <f>IF(H$467,_xll.RtContribute(H$403,H$3&amp;"FX"&amp;$C486&amp;"DDF=","DIVPAYDATE",H70,"SCOPE:SERVER"),"RT_FALSE")</f>
        <v>RT_FALSE</v>
      </c>
      <c r="I486" s="1" t="str">
        <f>IF(I$467,_xll.RtContribute(I$403,I$3&amp;"FX"&amp;$C486&amp;"DDF=","DIVPAYDATE",I70,"SCOPE:SERVER"),"RT_FALSE")</f>
        <v>RT_FALSE</v>
      </c>
      <c r="J486" s="1" t="str">
        <f>IF(J$467,_xll.RtContribute(J$403,J$3&amp;"FX"&amp;$C486&amp;"DDF=","DIVPAYDATE",J70,"SCOPE:SERVER"),"RT_FALSE")</f>
        <v>RT_FALSE</v>
      </c>
      <c r="K486" s="1" t="str">
        <f>IF(K$467,_xll.RtContribute(K$403,K$3&amp;"FX"&amp;$C486&amp;"DDF=","DIVPAYDATE",K70,"SCOPE:SERVER"),"RT_FALSE")</f>
        <v>RT_FALSE</v>
      </c>
      <c r="L486" s="1" t="str">
        <f>IF(L$467,_xll.RtContribute(L$403,L$3&amp;"FX"&amp;$C486&amp;"DDF=","DIVPAYDATE",L70,"SCOPE:SERVER"),"RT_FALSE")</f>
        <v>RT_FALSE</v>
      </c>
      <c r="M486" s="1" t="str">
        <f>IF(M$467,_xll.RtContribute(M$403,M$3&amp;"FX"&amp;$C486&amp;"DDF=","DIVPAYDATE",M70,"SCOPE:SERVER"),"RT_FALSE")</f>
        <v>RT_FALSE</v>
      </c>
      <c r="N486" s="1" t="str">
        <f>IF(N$467,_xll.RtContribute(N$403,N$3&amp;"FX"&amp;$C486&amp;"DDF=","DIVPAYDATE",N70,"SCOPE:SERVER"),"RT_FALSE")</f>
        <v>RT_FALSE</v>
      </c>
      <c r="O486" s="1" t="str">
        <f>IF(O$467,_xll.RtContribute(O$403,O$3&amp;"FX"&amp;$C486&amp;"DDF=","DIVPAYDATE",O70,"SCOPE:SERVER"),"RT_FALSE")</f>
        <v>RT_FALSE</v>
      </c>
      <c r="P486" s="1" t="str">
        <f>IF(P$467,_xll.RtContribute(P$403,P$3&amp;"FX"&amp;$C486&amp;"DDF=","DIVPAYDATE",P70,"SCOPE:SERVER"),"RT_FALSE")</f>
        <v>RT_FALSE</v>
      </c>
      <c r="Q486" s="1" t="str">
        <f>IF(Q$467,_xll.RtContribute(Q$403,Q$3&amp;"FX"&amp;$C486&amp;"DDF=","DIVPAYDATE",Q70,"SCOPE:SERVER"),"RT_FALSE")</f>
        <v>RT_FALSE</v>
      </c>
      <c r="R486" s="1" t="str">
        <f>IF(R$467,_xll.RtContribute(R$403,R$3&amp;"FX"&amp;$C486&amp;"DDF=","DIVPAYDATE",R70,"SCOPE:SERVER"),"RT_FALSE")</f>
        <v>RT_FALSE</v>
      </c>
      <c r="S486" s="1" t="str">
        <f>IF(S$467,_xll.RtContribute(S$403,S$3&amp;"FX"&amp;$C486&amp;"DDF=","DIVPAYDATE",S70,"SCOPE:SERVER"),"RT_FALSE")</f>
        <v>RT_FALSE</v>
      </c>
      <c r="T486" s="1" t="str">
        <f>IF(T$467,_xll.RtContribute(T$403,T$3&amp;"FX"&amp;$C486&amp;"DDF=","DIVPAYDATE",T70,"SCOPE:SERVER"),"RT_FALSE")</f>
        <v>RT_FALSE</v>
      </c>
      <c r="U486" s="305" t="str">
        <f>IF(U$467,_xll.RtContribute(U$403,U$3&amp;"FX1YDDF=","DIVPAYDATE",U70,"SCOPE:SERVER"),"RT_FALSE")</f>
        <v>RT_FALSE</v>
      </c>
      <c r="V486" s="305" t="str">
        <f>IF(V$467,_xll.RtContribute(V$403,V$3&amp;"FX1YDDF=","DIVPAYDATE",V70,"SCOPE:SERVER"),"RT_FALSE")</f>
        <v>RT_FALSE</v>
      </c>
      <c r="W486" s="305" t="str">
        <f>IF(W$467,_xll.RtContribute(W$403,W$3&amp;"FX1YDDF=","DIVPAYDATE",W70,"SCOPE:SERVER"),"RT_FALSE")</f>
        <v>RT_FALSE</v>
      </c>
      <c r="X486" s="305" t="str">
        <f>IF(X$467,_xll.RtContribute(X$403,X$3&amp;"FX1YDDF=","DIVPAYDATE",X70,"SCOPE:SERVER"),"RT_FALSE")</f>
        <v>RT_FALSE</v>
      </c>
      <c r="Y486" s="305" t="str">
        <f>IF(Y$467,_xll.RtContribute(Y$403,Y$3&amp;"FX1YDDF=","DIVPAYDATE",Y70,"SCOPE:SERVER"),"RT_FALSE")</f>
        <v>RT_FALSE</v>
      </c>
      <c r="Z486" s="305" t="str">
        <f>IF(Z$467,_xll.RtContribute(Z$403,Z$3&amp;"FX1YDDF=","DIVPAYDATE",Z70,"SCOPE:SERVER"),"RT_FALSE")</f>
        <v>RT_FALSE</v>
      </c>
      <c r="AA486" s="305" t="str">
        <f>IF(AA$467,_xll.RtContribute(AA$403,AA$3&amp;"FX1YDDF=","DIVPAYDATE",AA70,"SCOPE:SERVER"),"RT_FALSE")</f>
        <v>RT_FALSE</v>
      </c>
      <c r="AB486" s="305" t="str">
        <f>IF(AB$467,_xll.RtContribute(AB$403,AB$3&amp;"FX1YDDF=","DIVPAYDATE",AB70,"SCOPE:SERVER"),"RT_FALSE")</f>
        <v>RT_FALSE</v>
      </c>
      <c r="AC486" s="305" t="str">
        <f>IF(AC$467,_xll.RtContribute(AC$403,AC$3&amp;"FX1YDDF=","DIVPAYDATE",AC70,"SCOPE:SERVER"),"RT_FALSE")</f>
        <v>RT_FALSE</v>
      </c>
      <c r="AD486" s="305" t="str">
        <f>IF(AD$467,_xll.RtContribute(AD$403,AD$3&amp;"FX1YDDF=","DIVPAYDATE",AD70,"SCOPE:SERVER"),"RT_FALSE")</f>
        <v>RT_FALSE</v>
      </c>
      <c r="AE486" s="305" t="str">
        <f>IF(AE$467,_xll.RtContribute(AE$403,AE$3&amp;"FX1YDDF=","DIVPAYDATE",AE70,"SCOPE:SERVER"),"RT_FALSE")</f>
        <v>RT_FALSE</v>
      </c>
      <c r="AF486" s="305" t="str">
        <f>IF(AF$467,_xll.RtContribute(AF$403,AF$3&amp;"FX1YDDF=","DIVPAYDATE",AF70,"SCOPE:SERVER"),"RT_FALSE")</f>
        <v>RT_FALSE</v>
      </c>
      <c r="AG486" s="305" t="str">
        <f>IF(AG$467,_xll.RtContribute(AG$403,AG$3&amp;"FX1YDDF=","DIVPAYDATE",AG70,"SCOPE:SERVER"),"RT_FALSE")</f>
        <v>RT_FALSE</v>
      </c>
      <c r="AH486" s="305" t="str">
        <f>IF(AH$467,_xll.RtContribute(AH$403,AH$3&amp;"FX1YDDF=","DIVPAYDATE",AH70,"SCOPE:SERVER"),"RT_FALSE")</f>
        <v>RT_FALSE</v>
      </c>
      <c r="AI486" s="1" t="str">
        <f>IF(AI$467,_xll.RtContribute(AI$403,AI$3&amp;"FX"&amp;$C486&amp;"DDF=","DIVPAYDATE",AI70,"SCOPE:SERVER"),"RT_FALSE")</f>
        <v>RT_FALSE</v>
      </c>
      <c r="AJ486" s="1" t="str">
        <f>IF(AJ$467,_xll.RtContribute(AJ$403,AJ$3&amp;"FX"&amp;$C486&amp;"DDF=","DIVPAYDATE",AJ70,"SCOPE:SERVER"),"RT_FALSE")</f>
        <v>RT_FALSE</v>
      </c>
      <c r="AK486" s="1" t="str">
        <f>IF(AK$467,_xll.RtContribute(AK$403,AK$3&amp;"FX"&amp;$C486&amp;"DDF=","DIVPAYDATE",AK70,"SCOPE:SERVER"),"RT_FALSE")</f>
        <v>RT_FALSE</v>
      </c>
      <c r="AL486" s="305" t="str">
        <f>IF(AL$467,_xll.RtContribute(AL$403,AL$3&amp;"FX1YDDF=","DIVPAYDATE",AL70,"SCOPE:SERVER"),"RT_FALSE")</f>
        <v>RT_FALSE</v>
      </c>
      <c r="AM486" s="1" t="str">
        <f>IF(AM$467,_xll.RtContribute(AM$403,AM$3&amp;"FX"&amp;$C486&amp;"DDF=","DIVPAYDATE",AM70,"SCOPE:SERVER"),"RT_FALSE")</f>
        <v>RT_FALSE</v>
      </c>
      <c r="AN486" s="305" t="str">
        <f>IF(AN$467,_xll.RtContribute(AN$403,AN$3&amp;"FX1YDDF=","DIVPAYDATE",AN70,"SCOPE:SERVER"),"RT_FALSE")</f>
        <v>RT_FALSE</v>
      </c>
      <c r="AO486" s="1" t="str">
        <f>IF(AO$467,_xll.RtContribute(AO$403,AO$3&amp;"FX"&amp;$C486&amp;"DDF=","DIVPAYDATE",AO70,"SCOPE:SERVER"),"RT_FALSE")</f>
        <v>RT_FALSE</v>
      </c>
      <c r="AP486" s="1" t="str">
        <f>IF(AP$467,_xll.RtContribute(AP$403,AP$3&amp;"FX"&amp;$C486&amp;"DDF=","DIVPAYDATE",AP70,"SCOPE:SERVER"),"RT_FALSE")</f>
        <v>RT_FALSE</v>
      </c>
    </row>
    <row r="487" spans="3:42" x14ac:dyDescent="0.2">
      <c r="C487" s="1" t="s">
        <v>122</v>
      </c>
      <c r="D487" s="1" t="str">
        <f>IF(D$467,_xll.RtContribute(D$403,D$3&amp;"FX"&amp;$C487&amp;"DDF=","DIVPAYDATE",D71,"SCOPE:SERVER"),"RT_FALSE")</f>
        <v>RT_FALSE</v>
      </c>
      <c r="E487" s="1" t="str">
        <f>IF(E$467,_xll.RtContribute(E$403,E$3&amp;"FX"&amp;$C487&amp;"DDF=","DIVPAYDATE",E71,"SCOPE:SERVER"),"RT_FALSE")</f>
        <v>RT_FALSE</v>
      </c>
      <c r="F487" s="1" t="str">
        <f>IF(F$467,_xll.RtContribute(F$403,F$3&amp;"FX"&amp;$C487&amp;"DDF=","DIVPAYDATE",F71,"SCOPE:SERVER"),"RT_FALSE")</f>
        <v>RT_FALSE</v>
      </c>
      <c r="G487" s="1" t="str">
        <f>IF(G$467,_xll.RtContribute(G$403,G$3&amp;"FX"&amp;$C487&amp;"DDF=","DIVPAYDATE",G71,"SCOPE:SERVER"),"RT_FALSE")</f>
        <v>RT_FALSE</v>
      </c>
      <c r="H487" s="1" t="str">
        <f>IF(H$467,_xll.RtContribute(H$403,H$3&amp;"FX"&amp;$C487&amp;"DDF=","DIVPAYDATE",H71,"SCOPE:SERVER"),"RT_FALSE")</f>
        <v>RT_FALSE</v>
      </c>
      <c r="I487" s="1" t="str">
        <f>IF(I$467,_xll.RtContribute(I$403,I$3&amp;"FX"&amp;$C487&amp;"DDF=","DIVPAYDATE",I71,"SCOPE:SERVER"),"RT_FALSE")</f>
        <v>RT_FALSE</v>
      </c>
      <c r="J487" s="1" t="str">
        <f>IF(J$467,_xll.RtContribute(J$403,J$3&amp;"FX"&amp;$C487&amp;"DDF=","DIVPAYDATE",J71,"SCOPE:SERVER"),"RT_FALSE")</f>
        <v>RT_FALSE</v>
      </c>
      <c r="K487" s="1" t="str">
        <f>IF(K$467,_xll.RtContribute(K$403,K$3&amp;"FX"&amp;$C487&amp;"DDF=","DIVPAYDATE",K71,"SCOPE:SERVER"),"RT_FALSE")</f>
        <v>RT_FALSE</v>
      </c>
      <c r="L487" s="1" t="str">
        <f>IF(L$467,_xll.RtContribute(L$403,L$3&amp;"FX"&amp;$C487&amp;"DDF=","DIVPAYDATE",L71,"SCOPE:SERVER"),"RT_FALSE")</f>
        <v>RT_FALSE</v>
      </c>
      <c r="M487" s="1" t="str">
        <f>IF(M$467,_xll.RtContribute(M$403,M$3&amp;"FX"&amp;$C487&amp;"DDF=","DIVPAYDATE",M71,"SCOPE:SERVER"),"RT_FALSE")</f>
        <v>RT_FALSE</v>
      </c>
      <c r="N487" s="1" t="str">
        <f>IF(N$467,_xll.RtContribute(N$403,N$3&amp;"FX"&amp;$C487&amp;"DDF=","DIVPAYDATE",N71,"SCOPE:SERVER"),"RT_FALSE")</f>
        <v>RT_FALSE</v>
      </c>
      <c r="O487" s="1" t="str">
        <f>IF(O$467,_xll.RtContribute(O$403,O$3&amp;"FX"&amp;$C487&amp;"DDF=","DIVPAYDATE",O71,"SCOPE:SERVER"),"RT_FALSE")</f>
        <v>RT_FALSE</v>
      </c>
      <c r="P487" s="1" t="str">
        <f>IF(P$467,_xll.RtContribute(P$403,P$3&amp;"FX"&amp;$C487&amp;"DDF=","DIVPAYDATE",P71,"SCOPE:SERVER"),"RT_FALSE")</f>
        <v>RT_FALSE</v>
      </c>
      <c r="Q487" s="1" t="str">
        <f>IF(Q$467,_xll.RtContribute(Q$403,Q$3&amp;"FX"&amp;$C487&amp;"DDF=","DIVPAYDATE",Q71,"SCOPE:SERVER"),"RT_FALSE")</f>
        <v>RT_FALSE</v>
      </c>
      <c r="R487" s="1" t="str">
        <f>IF(R$467,_xll.RtContribute(R$403,R$3&amp;"FX"&amp;$C487&amp;"DDF=","DIVPAYDATE",R71,"SCOPE:SERVER"),"RT_FALSE")</f>
        <v>RT_FALSE</v>
      </c>
      <c r="S487" s="1" t="str">
        <f>IF(S$467,_xll.RtContribute(S$403,S$3&amp;"FX"&amp;$C487&amp;"DDF=","DIVPAYDATE",S71,"SCOPE:SERVER"),"RT_FALSE")</f>
        <v>RT_FALSE</v>
      </c>
      <c r="T487" s="1" t="str">
        <f>IF(T$467,_xll.RtContribute(T$403,T$3&amp;"FX"&amp;$C487&amp;"DDF=","DIVPAYDATE",T71,"SCOPE:SERVER"),"RT_FALSE")</f>
        <v>RT_FALSE</v>
      </c>
      <c r="U487" s="1" t="str">
        <f>IF(U$467,_xll.RtContribute(U$403,U$3&amp;"FX"&amp;$C487&amp;"DDF=","DIVPAYDATE",U71,"SCOPE:SERVER"),"RT_FALSE")</f>
        <v>RT_FALSE</v>
      </c>
      <c r="V487" s="1" t="str">
        <f>IF(V$467,_xll.RtContribute(V$403,V$3&amp;"FX"&amp;$C487&amp;"DDF=","DIVPAYDATE",V71,"SCOPE:SERVER"),"RT_FALSE")</f>
        <v>RT_FALSE</v>
      </c>
      <c r="W487" s="1" t="str">
        <f>IF(W$467,_xll.RtContribute(W$403,W$3&amp;"FX"&amp;$C487&amp;"DDF=","DIVPAYDATE",W71,"SCOPE:SERVER"),"RT_FALSE")</f>
        <v>RT_FALSE</v>
      </c>
      <c r="X487" s="1" t="str">
        <f>IF(X$467,_xll.RtContribute(X$403,X$3&amp;"FX"&amp;$C487&amp;"DDF=","DIVPAYDATE",X71,"SCOPE:SERVER"),"RT_FALSE")</f>
        <v>RT_FALSE</v>
      </c>
      <c r="Y487" s="1" t="str">
        <f>IF(Y$467,_xll.RtContribute(Y$403,Y$3&amp;"FX"&amp;$C487&amp;"DDF=","DIVPAYDATE",Y71,"SCOPE:SERVER"),"RT_FALSE")</f>
        <v>RT_FALSE</v>
      </c>
      <c r="Z487" s="1" t="str">
        <f>IF(Z$467,_xll.RtContribute(Z$403,Z$3&amp;"FX"&amp;$C487&amp;"DDF=","DIVPAYDATE",Z71,"SCOPE:SERVER"),"RT_FALSE")</f>
        <v>RT_FALSE</v>
      </c>
      <c r="AA487" s="1" t="str">
        <f>IF(AA$467,_xll.RtContribute(AA$403,AA$3&amp;"FX"&amp;$C487&amp;"DDF=","DIVPAYDATE",AA71,"SCOPE:SERVER"),"RT_FALSE")</f>
        <v>RT_FALSE</v>
      </c>
      <c r="AB487" s="1" t="str">
        <f>IF(AB$467,_xll.RtContribute(AB$403,AB$3&amp;"FX"&amp;$C487&amp;"DDF=","DIVPAYDATE",AB71,"SCOPE:SERVER"),"RT_FALSE")</f>
        <v>RT_FALSE</v>
      </c>
      <c r="AC487" s="1" t="str">
        <f>IF(AC$467,_xll.RtContribute(AC$403,AC$3&amp;"FX"&amp;$C487&amp;"DDF=","DIVPAYDATE",AC71,"SCOPE:SERVER"),"RT_FALSE")</f>
        <v>RT_FALSE</v>
      </c>
      <c r="AD487" s="1" t="str">
        <f>IF(AD$467,_xll.RtContribute(AD$403,AD$3&amp;"FX"&amp;$C487&amp;"DDF=","DIVPAYDATE",AD71,"SCOPE:SERVER"),"RT_FALSE")</f>
        <v>RT_FALSE</v>
      </c>
      <c r="AE487" s="1" t="str">
        <f>IF(AE$467,_xll.RtContribute(AE$403,AE$3&amp;"FX"&amp;$C487&amp;"DDF=","DIVPAYDATE",AE71,"SCOPE:SERVER"),"RT_FALSE")</f>
        <v>RT_FALSE</v>
      </c>
      <c r="AF487" s="1" t="str">
        <f>IF(AF$467,_xll.RtContribute(AF$403,AF$3&amp;"FX"&amp;$C487&amp;"DDF=","DIVPAYDATE",AF71,"SCOPE:SERVER"),"RT_FALSE")</f>
        <v>RT_FALSE</v>
      </c>
      <c r="AG487" s="1" t="str">
        <f>IF(AG$467,_xll.RtContribute(AG$403,AG$3&amp;"FX"&amp;$C487&amp;"DDF=","DIVPAYDATE",AG71,"SCOPE:SERVER"),"RT_FALSE")</f>
        <v>RT_FALSE</v>
      </c>
      <c r="AH487" s="1" t="str">
        <f>IF(AH$467,_xll.RtContribute(AH$403,AH$3&amp;"FX"&amp;$C487&amp;"DDF=","DIVPAYDATE",AH71,"SCOPE:SERVER"),"RT_FALSE")</f>
        <v>RT_FALSE</v>
      </c>
      <c r="AI487" s="1" t="str">
        <f>IF(AI$467,_xll.RtContribute(AI$403,AI$3&amp;"FX"&amp;$C487&amp;"DDF=","DIVPAYDATE",AI71,"SCOPE:SERVER"),"RT_FALSE")</f>
        <v>RT_FALSE</v>
      </c>
      <c r="AJ487" s="1" t="str">
        <f>IF(AJ$467,_xll.RtContribute(AJ$403,AJ$3&amp;"FX"&amp;$C487&amp;"DDF=","DIVPAYDATE",AJ71,"SCOPE:SERVER"),"RT_FALSE")</f>
        <v>RT_FALSE</v>
      </c>
      <c r="AK487" s="1" t="str">
        <f>IF(AK$467,_xll.RtContribute(AK$403,AK$3&amp;"FX"&amp;$C487&amp;"DDF=","DIVPAYDATE",AK71,"SCOPE:SERVER"),"RT_FALSE")</f>
        <v>RT_FALSE</v>
      </c>
      <c r="AL487" s="1" t="str">
        <f>IF(AL$467,_xll.RtContribute(AL$403,AL$3&amp;"FX"&amp;$C487&amp;"DDF=","DIVPAYDATE",AL71,"SCOPE:SERVER"),"RT_FALSE")</f>
        <v>RT_FALSE</v>
      </c>
      <c r="AM487" s="1" t="str">
        <f>IF(AM$467,_xll.RtContribute(AM$403,AM$3&amp;"FX"&amp;$C487&amp;"DDF=","DIVPAYDATE",AM71,"SCOPE:SERVER"),"RT_FALSE")</f>
        <v>RT_FALSE</v>
      </c>
      <c r="AN487" s="1" t="str">
        <f>IF(AN$467,_xll.RtContribute(AN$403,AN$3&amp;"FX"&amp;$C487&amp;"DDF=","DIVPAYDATE",AN71,"SCOPE:SERVER"),"RT_FALSE")</f>
        <v>RT_FALSE</v>
      </c>
      <c r="AO487" s="1" t="str">
        <f>IF(AO$467,_xll.RtContribute(AO$403,AO$3&amp;"FX"&amp;$C487&amp;"DDF=","DIVPAYDATE",AO71,"SCOPE:SERVER"),"RT_FALSE")</f>
        <v>RT_FALSE</v>
      </c>
      <c r="AP487" s="1" t="str">
        <f>IF(AP$467,_xll.RtContribute(AP$403,AP$3&amp;"FX"&amp;$C487&amp;"DDF=","DIVPAYDATE",AP71,"SCOPE:SERVER"),"RT_FALSE")</f>
        <v>RT_FALSE</v>
      </c>
    </row>
    <row r="488" spans="3:42" x14ac:dyDescent="0.2">
      <c r="C488" s="1" t="s">
        <v>133</v>
      </c>
      <c r="D488" s="1" t="str">
        <f>IF(D$467,_xll.RtContribute(D$403,D$3&amp;"FX"&amp;$C488&amp;"DDF=","DIVPAYDATE",D72,"SCOPE:SERVER"),"RT_FALSE")</f>
        <v>RT_FALSE</v>
      </c>
      <c r="E488" s="1" t="str">
        <f>IF(E$467,_xll.RtContribute(E$403,E$3&amp;"FX"&amp;$C488&amp;"DDF=","DIVPAYDATE",E72,"SCOPE:SERVER"),"RT_FALSE")</f>
        <v>RT_FALSE</v>
      </c>
      <c r="F488" s="1" t="str">
        <f>IF(F$467,_xll.RtContribute(F$403,F$3&amp;"FX"&amp;$C488&amp;"DDF=","DIVPAYDATE",F72,"SCOPE:SERVER"),"RT_FALSE")</f>
        <v>RT_FALSE</v>
      </c>
      <c r="G488" s="1" t="str">
        <f>IF(G$467,_xll.RtContribute(G$403,G$3&amp;"FX"&amp;$C488&amp;"DDF=","DIVPAYDATE",G72,"SCOPE:SERVER"),"RT_FALSE")</f>
        <v>RT_FALSE</v>
      </c>
      <c r="H488" s="1" t="str">
        <f>IF(H$467,_xll.RtContribute(H$403,H$3&amp;"FX"&amp;$C488&amp;"DDF=","DIVPAYDATE",H72,"SCOPE:SERVER"),"RT_FALSE")</f>
        <v>RT_FALSE</v>
      </c>
      <c r="I488" s="1" t="str">
        <f>IF(I$467,_xll.RtContribute(I$403,I$3&amp;"FX"&amp;$C488&amp;"DDF=","DIVPAYDATE",I72,"SCOPE:SERVER"),"RT_FALSE")</f>
        <v>RT_FALSE</v>
      </c>
      <c r="J488" s="1" t="str">
        <f>IF(J$467,_xll.RtContribute(J$403,J$3&amp;"FX"&amp;$C488&amp;"DDF=","DIVPAYDATE",J72,"SCOPE:SERVER"),"RT_FALSE")</f>
        <v>RT_FALSE</v>
      </c>
      <c r="K488" s="1" t="str">
        <f>IF(K$467,_xll.RtContribute(K$403,K$3&amp;"FX"&amp;$C488&amp;"DDF=","DIVPAYDATE",K72,"SCOPE:SERVER"),"RT_FALSE")</f>
        <v>RT_FALSE</v>
      </c>
      <c r="L488" s="1" t="str">
        <f>IF(L$467,_xll.RtContribute(L$403,L$3&amp;"FX"&amp;$C488&amp;"DDF=","DIVPAYDATE",L72,"SCOPE:SERVER"),"RT_FALSE")</f>
        <v>RT_FALSE</v>
      </c>
      <c r="M488" s="1" t="str">
        <f>IF(M$467,_xll.RtContribute(M$403,M$3&amp;"FX"&amp;$C488&amp;"DDF=","DIVPAYDATE",M72,"SCOPE:SERVER"),"RT_FALSE")</f>
        <v>RT_FALSE</v>
      </c>
      <c r="N488" s="1" t="str">
        <f>IF(N$467,_xll.RtContribute(N$403,N$3&amp;"FX"&amp;$C488&amp;"DDF=","DIVPAYDATE",N72,"SCOPE:SERVER"),"RT_FALSE")</f>
        <v>RT_FALSE</v>
      </c>
      <c r="O488" s="1" t="str">
        <f>IF(O$467,_xll.RtContribute(O$403,O$3&amp;"FX"&amp;$C488&amp;"DDF=","DIVPAYDATE",O72,"SCOPE:SERVER"),"RT_FALSE")</f>
        <v>RT_FALSE</v>
      </c>
      <c r="P488" s="1" t="str">
        <f>IF(P$467,_xll.RtContribute(P$403,P$3&amp;"FX"&amp;$C488&amp;"DDF=","DIVPAYDATE",P72,"SCOPE:SERVER"),"RT_FALSE")</f>
        <v>RT_FALSE</v>
      </c>
      <c r="Q488" s="1" t="str">
        <f>IF(Q$467,_xll.RtContribute(Q$403,Q$3&amp;"FX"&amp;$C488&amp;"DDF=","DIVPAYDATE",Q72,"SCOPE:SERVER"),"RT_FALSE")</f>
        <v>RT_FALSE</v>
      </c>
      <c r="R488" s="1" t="str">
        <f>IF(R$467,_xll.RtContribute(R$403,R$3&amp;"FX"&amp;$C488&amp;"DDF=","DIVPAYDATE",R72,"SCOPE:SERVER"),"RT_FALSE")</f>
        <v>RT_FALSE</v>
      </c>
      <c r="S488" s="1" t="str">
        <f>IF(S$467,_xll.RtContribute(S$403,S$3&amp;"FX"&amp;$C488&amp;"DDF=","DIVPAYDATE",S72,"SCOPE:SERVER"),"RT_FALSE")</f>
        <v>RT_FALSE</v>
      </c>
      <c r="T488" s="1" t="str">
        <f>IF(T$467,_xll.RtContribute(T$403,T$3&amp;"FX"&amp;$C488&amp;"DDF=","DIVPAYDATE",T72,"SCOPE:SERVER"),"RT_FALSE")</f>
        <v>RT_FALSE</v>
      </c>
      <c r="U488" s="1" t="str">
        <f>IF(U$467,_xll.RtContribute(U$403,U$3&amp;"FX"&amp;$C488&amp;"DDF=","DIVPAYDATE",U72,"SCOPE:SERVER"),"RT_FALSE")</f>
        <v>RT_FALSE</v>
      </c>
      <c r="V488" s="1" t="str">
        <f>IF(V$467,_xll.RtContribute(V$403,V$3&amp;"FX"&amp;$C488&amp;"DDF=","DIVPAYDATE",V72,"SCOPE:SERVER"),"RT_FALSE")</f>
        <v>RT_FALSE</v>
      </c>
      <c r="W488" s="1" t="str">
        <f>IF(W$467,_xll.RtContribute(W$403,W$3&amp;"FX"&amp;$C488&amp;"DDF=","DIVPAYDATE",W72,"SCOPE:SERVER"),"RT_FALSE")</f>
        <v>RT_FALSE</v>
      </c>
      <c r="X488" s="1" t="str">
        <f>IF(X$467,_xll.RtContribute(X$403,X$3&amp;"FX"&amp;$C488&amp;"DDF=","DIVPAYDATE",X72,"SCOPE:SERVER"),"RT_FALSE")</f>
        <v>RT_FALSE</v>
      </c>
      <c r="Y488" s="1" t="str">
        <f>IF(Y$467,_xll.RtContribute(Y$403,Y$3&amp;"FX"&amp;$C488&amp;"DDF=","DIVPAYDATE",Y72,"SCOPE:SERVER"),"RT_FALSE")</f>
        <v>RT_FALSE</v>
      </c>
      <c r="Z488" s="1" t="str">
        <f>IF(Z$467,_xll.RtContribute(Z$403,Z$3&amp;"FX"&amp;$C488&amp;"DDF=","DIVPAYDATE",Z72,"SCOPE:SERVER"),"RT_FALSE")</f>
        <v>RT_FALSE</v>
      </c>
      <c r="AA488" s="1" t="str">
        <f>IF(AA$467,_xll.RtContribute(AA$403,AA$3&amp;"FX"&amp;$C488&amp;"DDF=","DIVPAYDATE",AA72,"SCOPE:SERVER"),"RT_FALSE")</f>
        <v>RT_FALSE</v>
      </c>
      <c r="AB488" s="1" t="str">
        <f>IF(AB$467,_xll.RtContribute(AB$403,AB$3&amp;"FX"&amp;$C488&amp;"DDF=","DIVPAYDATE",AB72,"SCOPE:SERVER"),"RT_FALSE")</f>
        <v>RT_FALSE</v>
      </c>
      <c r="AC488" s="1" t="str">
        <f>IF(AC$467,_xll.RtContribute(AC$403,AC$3&amp;"FX"&amp;$C488&amp;"DDF=","DIVPAYDATE",AC72,"SCOPE:SERVER"),"RT_FALSE")</f>
        <v>RT_FALSE</v>
      </c>
      <c r="AD488" s="1" t="str">
        <f>IF(AD$467,_xll.RtContribute(AD$403,AD$3&amp;"FX"&amp;$C488&amp;"DDF=","DIVPAYDATE",AD72,"SCOPE:SERVER"),"RT_FALSE")</f>
        <v>RT_FALSE</v>
      </c>
      <c r="AE488" s="1" t="str">
        <f>IF(AE$467,_xll.RtContribute(AE$403,AE$3&amp;"FX"&amp;$C488&amp;"DDF=","DIVPAYDATE",AE72,"SCOPE:SERVER"),"RT_FALSE")</f>
        <v>RT_FALSE</v>
      </c>
      <c r="AF488" s="1" t="str">
        <f>IF(AF$467,_xll.RtContribute(AF$403,AF$3&amp;"FX"&amp;$C488&amp;"DDF=","DIVPAYDATE",AF72,"SCOPE:SERVER"),"RT_FALSE")</f>
        <v>RT_FALSE</v>
      </c>
      <c r="AG488" s="1" t="str">
        <f>IF(AG$467,_xll.RtContribute(AG$403,AG$3&amp;"FX"&amp;$C488&amp;"DDF=","DIVPAYDATE",AG72,"SCOPE:SERVER"),"RT_FALSE")</f>
        <v>RT_FALSE</v>
      </c>
      <c r="AH488" s="1" t="str">
        <f>IF(AH$467,_xll.RtContribute(AH$403,AH$3&amp;"FX"&amp;$C488&amp;"DDF=","DIVPAYDATE",AH72,"SCOPE:SERVER"),"RT_FALSE")</f>
        <v>RT_FALSE</v>
      </c>
      <c r="AI488" s="1" t="str">
        <f>IF(AI$467,_xll.RtContribute(AI$403,AI$3&amp;"FX"&amp;$C488&amp;"DDF=","DIVPAYDATE",AI72,"SCOPE:SERVER"),"RT_FALSE")</f>
        <v>RT_FALSE</v>
      </c>
      <c r="AJ488" s="1" t="str">
        <f>IF(AJ$467,_xll.RtContribute(AJ$403,AJ$3&amp;"FX"&amp;$C488&amp;"DDF=","DIVPAYDATE",AJ72,"SCOPE:SERVER"),"RT_FALSE")</f>
        <v>RT_FALSE</v>
      </c>
      <c r="AK488" s="1" t="str">
        <f>IF(AK$467,_xll.RtContribute(AK$403,AK$3&amp;"FX"&amp;$C488&amp;"DDF=","DIVPAYDATE",AK72,"SCOPE:SERVER"),"RT_FALSE")</f>
        <v>RT_FALSE</v>
      </c>
      <c r="AL488" s="1" t="str">
        <f>IF(AL$467,_xll.RtContribute(AL$403,AL$3&amp;"FX"&amp;$C488&amp;"DDF=","DIVPAYDATE",AL72,"SCOPE:SERVER"),"RT_FALSE")</f>
        <v>RT_FALSE</v>
      </c>
      <c r="AM488" s="1" t="str">
        <f>IF(AM$467,_xll.RtContribute(AM$403,AM$3&amp;"FX"&amp;$C488&amp;"DDF=","DIVPAYDATE",AM72,"SCOPE:SERVER"),"RT_FALSE")</f>
        <v>RT_FALSE</v>
      </c>
      <c r="AN488" s="1" t="str">
        <f>IF(AN$467,_xll.RtContribute(AN$403,AN$3&amp;"FX"&amp;$C488&amp;"DDF=","DIVPAYDATE",AN72,"SCOPE:SERVER"),"RT_FALSE")</f>
        <v>RT_FALSE</v>
      </c>
      <c r="AO488" s="1" t="str">
        <f>IF(AO$467,_xll.RtContribute(AO$403,AO$3&amp;"FX"&amp;$C488&amp;"DDF=","DIVPAYDATE",AO72,"SCOPE:SERVER"),"RT_FALSE")</f>
        <v>RT_FALSE</v>
      </c>
      <c r="AP488" s="1" t="str">
        <f>IF(AP$467,_xll.RtContribute(AP$403,AP$3&amp;"FX"&amp;$C488&amp;"DDF=","DIVPAYDATE",AP72,"SCOPE:SERVER"),"RT_FALSE")</f>
        <v>RT_FALSE</v>
      </c>
    </row>
    <row r="489" spans="3:42" x14ac:dyDescent="0.2">
      <c r="C489" s="1" t="s">
        <v>148</v>
      </c>
      <c r="D489" s="1" t="str">
        <f>IF(D$467,_xll.RtContribute(D$403,D$3&amp;"FX"&amp;$C489&amp;"DDF=","DIVPAYDATE",D73,"SCOPE:SERVER"),"RT_FALSE")</f>
        <v>RT_FALSE</v>
      </c>
      <c r="E489" s="1" t="str">
        <f>IF(E$467,_xll.RtContribute(E$403,E$3&amp;"FX"&amp;$C489&amp;"DDF=","DIVPAYDATE",E73,"SCOPE:SERVER"),"RT_FALSE")</f>
        <v>RT_FALSE</v>
      </c>
      <c r="F489" s="1" t="str">
        <f>IF(F$467,_xll.RtContribute(F$403,F$3&amp;"FX"&amp;$C489&amp;"DDF=","DIVPAYDATE",F73,"SCOPE:SERVER"),"RT_FALSE")</f>
        <v>RT_FALSE</v>
      </c>
      <c r="G489" s="1" t="str">
        <f>IF(G$467,_xll.RtContribute(G$403,G$3&amp;"FX"&amp;$C489&amp;"DDF=","DIVPAYDATE",G73,"SCOPE:SERVER"),"RT_FALSE")</f>
        <v>RT_FALSE</v>
      </c>
      <c r="H489" s="1" t="str">
        <f>IF(H$467,_xll.RtContribute(H$403,H$3&amp;"FX"&amp;$C489&amp;"DDF=","DIVPAYDATE",H73,"SCOPE:SERVER"),"RT_FALSE")</f>
        <v>RT_FALSE</v>
      </c>
      <c r="I489" s="1" t="str">
        <f>IF(I$467,_xll.RtContribute(I$403,I$3&amp;"FX"&amp;$C489&amp;"DDF=","DIVPAYDATE",I73,"SCOPE:SERVER"),"RT_FALSE")</f>
        <v>RT_FALSE</v>
      </c>
      <c r="J489" s="1" t="str">
        <f>IF(J$467,_xll.RtContribute(J$403,J$3&amp;"FX"&amp;$C489&amp;"DDF=","DIVPAYDATE",J73,"SCOPE:SERVER"),"RT_FALSE")</f>
        <v>RT_FALSE</v>
      </c>
      <c r="K489" s="1" t="str">
        <f>IF(K$467,_xll.RtContribute(K$403,K$3&amp;"FX"&amp;$C489&amp;"DDF=","DIVPAYDATE",K73,"SCOPE:SERVER"),"RT_FALSE")</f>
        <v>RT_FALSE</v>
      </c>
      <c r="L489" s="1" t="str">
        <f>IF(L$467,_xll.RtContribute(L$403,L$3&amp;"FX"&amp;$C489&amp;"DDF=","DIVPAYDATE",L73,"SCOPE:SERVER"),"RT_FALSE")</f>
        <v>RT_FALSE</v>
      </c>
      <c r="M489" s="1" t="str">
        <f>IF(M$467,_xll.RtContribute(M$403,M$3&amp;"FX"&amp;$C489&amp;"DDF=","DIVPAYDATE",M73,"SCOPE:SERVER"),"RT_FALSE")</f>
        <v>RT_FALSE</v>
      </c>
      <c r="N489" s="1" t="str">
        <f>IF(N$467,_xll.RtContribute(N$403,N$3&amp;"FX"&amp;$C489&amp;"DDF=","DIVPAYDATE",N73,"SCOPE:SERVER"),"RT_FALSE")</f>
        <v>RT_FALSE</v>
      </c>
      <c r="O489" s="1" t="str">
        <f>IF(O$467,_xll.RtContribute(O$403,O$3&amp;"FX"&amp;$C489&amp;"DDF=","DIVPAYDATE",O73,"SCOPE:SERVER"),"RT_FALSE")</f>
        <v>RT_FALSE</v>
      </c>
      <c r="P489" s="1" t="str">
        <f>IF(P$467,_xll.RtContribute(P$403,P$3&amp;"FX"&amp;$C489&amp;"DDF=","DIVPAYDATE",P73,"SCOPE:SERVER"),"RT_FALSE")</f>
        <v>RT_FALSE</v>
      </c>
      <c r="Q489" s="1" t="str">
        <f>IF(Q$467,_xll.RtContribute(Q$403,Q$3&amp;"FX"&amp;$C489&amp;"DDF=","DIVPAYDATE",Q73,"SCOPE:SERVER"),"RT_FALSE")</f>
        <v>RT_FALSE</v>
      </c>
      <c r="R489" s="1" t="str">
        <f>IF(R$467,_xll.RtContribute(R$403,R$3&amp;"FX"&amp;$C489&amp;"DDF=","DIVPAYDATE",R73,"SCOPE:SERVER"),"RT_FALSE")</f>
        <v>RT_FALSE</v>
      </c>
      <c r="S489" s="1" t="str">
        <f>IF(S$467,_xll.RtContribute(S$403,S$3&amp;"FX"&amp;$C489&amp;"DDF=","DIVPAYDATE",S73,"SCOPE:SERVER"),"RT_FALSE")</f>
        <v>RT_FALSE</v>
      </c>
      <c r="T489" s="1" t="str">
        <f>IF(T$467,_xll.RtContribute(T$403,T$3&amp;"FX"&amp;$C489&amp;"DDF=","DIVPAYDATE",T73,"SCOPE:SERVER"),"RT_FALSE")</f>
        <v>RT_FALSE</v>
      </c>
      <c r="U489" s="1" t="str">
        <f>IF(U$467,_xll.RtContribute(U$403,U$3&amp;"FX"&amp;$C489&amp;"DDF=","DIVPAYDATE",U73,"SCOPE:SERVER"),"RT_FALSE")</f>
        <v>RT_FALSE</v>
      </c>
      <c r="V489" s="1" t="str">
        <f>IF(V$467,_xll.RtContribute(V$403,V$3&amp;"FX"&amp;$C489&amp;"DDF=","DIVPAYDATE",V73,"SCOPE:SERVER"),"RT_FALSE")</f>
        <v>RT_FALSE</v>
      </c>
      <c r="W489" s="1" t="str">
        <f>IF(W$467,_xll.RtContribute(W$403,W$3&amp;"FX"&amp;$C489&amp;"DDF=","DIVPAYDATE",W73,"SCOPE:SERVER"),"RT_FALSE")</f>
        <v>RT_FALSE</v>
      </c>
      <c r="X489" s="1" t="str">
        <f>IF(X$467,_xll.RtContribute(X$403,X$3&amp;"FX"&amp;$C489&amp;"DDF=","DIVPAYDATE",X73,"SCOPE:SERVER"),"RT_FALSE")</f>
        <v>RT_FALSE</v>
      </c>
      <c r="Y489" s="1" t="str">
        <f>IF(Y$467,_xll.RtContribute(Y$403,Y$3&amp;"FX"&amp;$C489&amp;"DDF=","DIVPAYDATE",Y73,"SCOPE:SERVER"),"RT_FALSE")</f>
        <v>RT_FALSE</v>
      </c>
      <c r="Z489" s="1" t="str">
        <f>IF(Z$467,_xll.RtContribute(Z$403,Z$3&amp;"FX"&amp;$C489&amp;"DDF=","DIVPAYDATE",Z73,"SCOPE:SERVER"),"RT_FALSE")</f>
        <v>RT_FALSE</v>
      </c>
      <c r="AA489" s="1" t="str">
        <f>IF(AA$467,_xll.RtContribute(AA$403,AA$3&amp;"FX"&amp;$C489&amp;"DDF=","DIVPAYDATE",AA73,"SCOPE:SERVER"),"RT_FALSE")</f>
        <v>RT_FALSE</v>
      </c>
      <c r="AB489" s="1" t="str">
        <f>IF(AB$467,_xll.RtContribute(AB$403,AB$3&amp;"FX"&amp;$C489&amp;"DDF=","DIVPAYDATE",AB73,"SCOPE:SERVER"),"RT_FALSE")</f>
        <v>RT_FALSE</v>
      </c>
      <c r="AC489" s="1" t="str">
        <f>IF(AC$467,_xll.RtContribute(AC$403,AC$3&amp;"FX"&amp;$C489&amp;"DDF=","DIVPAYDATE",AC73,"SCOPE:SERVER"),"RT_FALSE")</f>
        <v>RT_FALSE</v>
      </c>
      <c r="AD489" s="1" t="str">
        <f>IF(AD$467,_xll.RtContribute(AD$403,AD$3&amp;"FX"&amp;$C489&amp;"DDF=","DIVPAYDATE",AD73,"SCOPE:SERVER"),"RT_FALSE")</f>
        <v>RT_FALSE</v>
      </c>
      <c r="AE489" s="1" t="str">
        <f>IF(AE$467,_xll.RtContribute(AE$403,AE$3&amp;"FX"&amp;$C489&amp;"DDF=","DIVPAYDATE",AE73,"SCOPE:SERVER"),"RT_FALSE")</f>
        <v>RT_FALSE</v>
      </c>
      <c r="AF489" s="1" t="str">
        <f>IF(AF$467,_xll.RtContribute(AF$403,AF$3&amp;"FX"&amp;$C489&amp;"DDF=","DIVPAYDATE",AF73,"SCOPE:SERVER"),"RT_FALSE")</f>
        <v>RT_FALSE</v>
      </c>
      <c r="AG489" s="1" t="str">
        <f>IF(AG$467,_xll.RtContribute(AG$403,AG$3&amp;"FX"&amp;$C489&amp;"DDF=","DIVPAYDATE",AG73,"SCOPE:SERVER"),"RT_FALSE")</f>
        <v>RT_FALSE</v>
      </c>
      <c r="AH489" s="1" t="str">
        <f>IF(AH$467,_xll.RtContribute(AH$403,AH$3&amp;"FX"&amp;$C489&amp;"DDF=","DIVPAYDATE",AH73,"SCOPE:SERVER"),"RT_FALSE")</f>
        <v>RT_FALSE</v>
      </c>
      <c r="AI489" s="1" t="str">
        <f>IF(AI$467,_xll.RtContribute(AI$403,AI$3&amp;"FX"&amp;$C489&amp;"DDF=","DIVPAYDATE",AI73,"SCOPE:SERVER"),"RT_FALSE")</f>
        <v>RT_FALSE</v>
      </c>
      <c r="AJ489" s="1" t="str">
        <f>IF(AJ$467,_xll.RtContribute(AJ$403,AJ$3&amp;"FX"&amp;$C489&amp;"DDF=","DIVPAYDATE",AJ73,"SCOPE:SERVER"),"RT_FALSE")</f>
        <v>RT_FALSE</v>
      </c>
      <c r="AK489" s="1" t="str">
        <f>IF(AK$467,_xll.RtContribute(AK$403,AK$3&amp;"FX"&amp;$C489&amp;"DDF=","DIVPAYDATE",AK73,"SCOPE:SERVER"),"RT_FALSE")</f>
        <v>RT_FALSE</v>
      </c>
      <c r="AL489" s="1" t="str">
        <f>IF(AL$467,_xll.RtContribute(AL$403,AL$3&amp;"FX"&amp;$C489&amp;"DDF=","DIVPAYDATE",AL73,"SCOPE:SERVER"),"RT_FALSE")</f>
        <v>RT_FALSE</v>
      </c>
      <c r="AM489" s="1" t="str">
        <f>IF(AM$467,_xll.RtContribute(AM$403,AM$3&amp;"FX"&amp;$C489&amp;"DDF=","DIVPAYDATE",AM73,"SCOPE:SERVER"),"RT_FALSE")</f>
        <v>RT_FALSE</v>
      </c>
      <c r="AN489" s="1" t="str">
        <f>IF(AN$467,_xll.RtContribute(AN$403,AN$3&amp;"FX"&amp;$C489&amp;"DDF=","DIVPAYDATE",AN73,"SCOPE:SERVER"),"RT_FALSE")</f>
        <v>RT_FALSE</v>
      </c>
      <c r="AO489" s="1" t="str">
        <f>IF(AO$467,_xll.RtContribute(AO$403,AO$3&amp;"FX"&amp;$C489&amp;"DDF=","DIVPAYDATE",AO73,"SCOPE:SERVER"),"RT_FALSE")</f>
        <v>RT_FALSE</v>
      </c>
      <c r="AP489" s="1" t="str">
        <f>IF(AP$467,_xll.RtContribute(AP$403,AP$3&amp;"FX"&amp;$C489&amp;"DDF=","DIVPAYDATE",AP73,"SCOPE:SERVER"),"RT_FALSE")</f>
        <v>RT_FALSE</v>
      </c>
    </row>
    <row r="490" spans="3:42" x14ac:dyDescent="0.2">
      <c r="C490" s="1" t="s">
        <v>150</v>
      </c>
      <c r="D490" s="270" t="str">
        <f>IF(D$467,_xll.RtContribute(D$403,D$3&amp;"FX"&amp;$C490&amp;"SDF=","DIVPAYDATE",D74,"SCOPE:SERVER"),"RT_FALSE")</f>
        <v>RT_FALSE</v>
      </c>
      <c r="E490" s="270" t="str">
        <f>IF(E$467,_xll.RtContribute(E$403,E$3&amp;"FX"&amp;$C490&amp;"SDF=","DIVPAYDATE",E74,"SCOPE:SERVER"),"RT_FALSE")</f>
        <v>RT_FALSE</v>
      </c>
      <c r="F490" s="270" t="str">
        <f>IF(F$467,_xll.RtContribute(F$403,F$3&amp;"FX"&amp;$C490&amp;"SDF=","DIVPAYDATE",F74,"SCOPE:SERVER"),"RT_FALSE")</f>
        <v>RT_FALSE</v>
      </c>
      <c r="G490" s="270" t="str">
        <f>IF(G$467,_xll.RtContribute(G$403,G$3&amp;"FX"&amp;$C490&amp;"SDF=","DIVPAYDATE",G74,"SCOPE:SERVER"),"RT_FALSE")</f>
        <v>RT_FALSE</v>
      </c>
      <c r="H490" s="270" t="str">
        <f>IF(H$467,_xll.RtContribute(H$403,H$3&amp;"FX"&amp;$C490&amp;"SDF=","DIVPAYDATE",H74,"SCOPE:SERVER"),"RT_FALSE")</f>
        <v>RT_FALSE</v>
      </c>
      <c r="I490" s="270" t="str">
        <f>IF(I$467,_xll.RtContribute(I$403,I$3&amp;"FX"&amp;$C490&amp;"SDF=","DIVPAYDATE",I74,"SCOPE:SERVER"),"RT_FALSE")</f>
        <v>RT_FALSE</v>
      </c>
      <c r="J490" s="270" t="str">
        <f>IF(J$467,_xll.RtContribute(J$403,J$3&amp;"FX"&amp;$C490&amp;"SDF=","DIVPAYDATE",J74,"SCOPE:SERVER"),"RT_FALSE")</f>
        <v>RT_FALSE</v>
      </c>
      <c r="K490" s="270" t="str">
        <f>IF(K$467,_xll.RtContribute(K$403,K$3&amp;"FX"&amp;$C490&amp;"SDF=","DIVPAYDATE",K74,"SCOPE:SERVER"),"RT_FALSE")</f>
        <v>RT_FALSE</v>
      </c>
      <c r="L490" s="270" t="str">
        <f>IF(L$467,_xll.RtContribute(L$403,L$3&amp;"FX"&amp;$C490&amp;"SDF=","DIVPAYDATE",L74,"SCOPE:SERVER"),"RT_FALSE")</f>
        <v>RT_FALSE</v>
      </c>
      <c r="M490" s="270" t="str">
        <f>IF(M$467,_xll.RtContribute(M$403,M$3&amp;"FX"&amp;$C490&amp;"SDF=","DIVPAYDATE",M74,"SCOPE:SERVER"),"RT_FALSE")</f>
        <v>RT_FALSE</v>
      </c>
      <c r="N490" s="270" t="str">
        <f>IF(N$467,_xll.RtContribute(N$403,N$3&amp;"FX"&amp;$C490&amp;"SDF=","DIVPAYDATE",N74,"SCOPE:SERVER"),"RT_FALSE")</f>
        <v>RT_FALSE</v>
      </c>
      <c r="O490" s="270" t="str">
        <f>IF(O$467,_xll.RtContribute(O$403,O$3&amp;"FX"&amp;$C490&amp;"SDF=","DIVPAYDATE",O74,"SCOPE:SERVER"),"RT_FALSE")</f>
        <v>RT_FALSE</v>
      </c>
      <c r="P490" s="270" t="str">
        <f>IF(P$467,_xll.RtContribute(P$403,P$3&amp;"FX"&amp;$C490&amp;"SDF=","DIVPAYDATE",P74,"SCOPE:SERVER"),"RT_FALSE")</f>
        <v>RT_FALSE</v>
      </c>
      <c r="Q490" s="270" t="str">
        <f>IF(Q$467,_xll.RtContribute(Q$403,Q$3&amp;"FX"&amp;$C490&amp;"SDF=","DIVPAYDATE",Q74,"SCOPE:SERVER"),"RT_FALSE")</f>
        <v>RT_FALSE</v>
      </c>
      <c r="R490" s="270" t="str">
        <f>IF(R$467,_xll.RtContribute(R$403,R$3&amp;"FX"&amp;$C490&amp;"SDF=","DIVPAYDATE",R74,"SCOPE:SERVER"),"RT_FALSE")</f>
        <v>RT_FALSE</v>
      </c>
      <c r="S490" s="270" t="str">
        <f>IF(S$467,_xll.RtContribute(S$403,S$3&amp;"FX"&amp;$C490&amp;"SDF=","DIVPAYDATE",S74,"SCOPE:SERVER"),"RT_FALSE")</f>
        <v>RT_FALSE</v>
      </c>
      <c r="T490" s="270" t="str">
        <f>IF(T$467,_xll.RtContribute(T$403,T$3&amp;"FX"&amp;$C490&amp;"SDF=","DIVPAYDATE",T74,"SCOPE:SERVER"),"RT_FALSE")</f>
        <v>RT_FALSE</v>
      </c>
      <c r="U490" s="270" t="str">
        <f>IF(U$467,_xll.RtContribute(U$403,U$3&amp;"FX"&amp;$C490&amp;"SDF=","DIVPAYDATE",U74,"SCOPE:SERVER"),"RT_FALSE")</f>
        <v>RT_FALSE</v>
      </c>
      <c r="V490" s="270" t="str">
        <f>IF(V$467,_xll.RtContribute(V$403,V$3&amp;"FX"&amp;$C490&amp;"SDF=","DIVPAYDATE",V74,"SCOPE:SERVER"),"RT_FALSE")</f>
        <v>RT_FALSE</v>
      </c>
      <c r="W490" s="270" t="str">
        <f>IF(W$467,_xll.RtContribute(W$403,W$3&amp;"FX"&amp;$C490&amp;"SDF=","DIVPAYDATE",W74,"SCOPE:SERVER"),"RT_FALSE")</f>
        <v>RT_FALSE</v>
      </c>
      <c r="X490" s="270" t="str">
        <f>IF(X$467,_xll.RtContribute(X$403,X$3&amp;"FX"&amp;$C490&amp;"SDF=","DIVPAYDATE",X74,"SCOPE:SERVER"),"RT_FALSE")</f>
        <v>RT_FALSE</v>
      </c>
      <c r="Y490" s="270" t="str">
        <f>IF(Y$467,_xll.RtContribute(Y$403,Y$3&amp;"FX"&amp;$C490&amp;"SDF=","DIVPAYDATE",Y74,"SCOPE:SERVER"),"RT_FALSE")</f>
        <v>RT_FALSE</v>
      </c>
      <c r="Z490" s="270" t="str">
        <f>IF(Z$467,_xll.RtContribute(Z$403,Z$3&amp;"FX"&amp;$C490&amp;"SDF=","DIVPAYDATE",Z74,"SCOPE:SERVER"),"RT_FALSE")</f>
        <v>RT_FALSE</v>
      </c>
      <c r="AA490" s="270" t="str">
        <f>IF(AA$467,_xll.RtContribute(AA$403,AA$3&amp;"FX"&amp;$C490&amp;"SDF=","DIVPAYDATE",AA74,"SCOPE:SERVER"),"RT_FALSE")</f>
        <v>RT_FALSE</v>
      </c>
      <c r="AB490" s="270" t="str">
        <f>IF(AB$467,_xll.RtContribute(AB$403,AB$3&amp;"FX"&amp;$C490&amp;"SDF=","DIVPAYDATE",AB74,"SCOPE:SERVER"),"RT_FALSE")</f>
        <v>RT_FALSE</v>
      </c>
      <c r="AC490" s="270" t="str">
        <f>IF(AC$467,_xll.RtContribute(AC$403,AC$3&amp;"FX"&amp;$C490&amp;"SDF=","DIVPAYDATE",AC74,"SCOPE:SERVER"),"RT_FALSE")</f>
        <v>RT_FALSE</v>
      </c>
      <c r="AD490" s="270" t="str">
        <f>IF(AD$467,_xll.RtContribute(AD$403,AD$3&amp;"FX"&amp;$C490&amp;"SDF=","DIVPAYDATE",AD74,"SCOPE:SERVER"),"RT_FALSE")</f>
        <v>RT_FALSE</v>
      </c>
      <c r="AE490" s="270" t="str">
        <f>IF(AE$467,_xll.RtContribute(AE$403,AE$3&amp;"FX"&amp;$C490&amp;"SDF=","DIVPAYDATE",AE74,"SCOPE:SERVER"),"RT_FALSE")</f>
        <v>RT_FALSE</v>
      </c>
      <c r="AF490" s="270" t="str">
        <f>IF(AF$467,_xll.RtContribute(AF$403,AF$3&amp;"FX"&amp;$C490&amp;"SDF=","DIVPAYDATE",AF74,"SCOPE:SERVER"),"RT_FALSE")</f>
        <v>RT_FALSE</v>
      </c>
      <c r="AG490" s="270" t="str">
        <f>IF(AG$467,_xll.RtContribute(AG$403,AG$3&amp;"FX"&amp;$C490&amp;"SDF=","DIVPAYDATE",AG74,"SCOPE:SERVER"),"RT_FALSE")</f>
        <v>RT_FALSE</v>
      </c>
      <c r="AH490" s="270" t="str">
        <f>IF(AH$467,_xll.RtContribute(AH$403,AH$3&amp;"FX"&amp;$C490&amp;"SDF=","DIVPAYDATE",AH74,"SCOPE:SERVER"),"RT_FALSE")</f>
        <v>RT_FALSE</v>
      </c>
      <c r="AI490" s="270" t="str">
        <f>IF(AI$467,_xll.RtContribute(AI$403,AI$3&amp;"FX"&amp;$C490&amp;"SDF=","DIVPAYDATE",AI74,"SCOPE:SERVER"),"RT_FALSE")</f>
        <v>RT_FALSE</v>
      </c>
      <c r="AJ490" s="270" t="str">
        <f>IF(AJ$467,_xll.RtContribute(AJ$403,AJ$3&amp;"FX"&amp;$C490&amp;"SDF=","DIVPAYDATE",AJ74,"SCOPE:SERVER"),"RT_FALSE")</f>
        <v>RT_FALSE</v>
      </c>
      <c r="AK490" s="270" t="str">
        <f>IF(AK$467,_xll.RtContribute(AK$403,AK$3&amp;"FX"&amp;$C490&amp;"SDF=","DIVPAYDATE",AK74,"SCOPE:SERVER"),"RT_FALSE")</f>
        <v>RT_FALSE</v>
      </c>
      <c r="AL490" s="270" t="str">
        <f>IF(AL$467,_xll.RtContribute(AL$403,AL$3&amp;"FX"&amp;$C490&amp;"SDF=","DIVPAYDATE",AL74,"SCOPE:SERVER"),"RT_FALSE")</f>
        <v>RT_FALSE</v>
      </c>
      <c r="AM490" s="270" t="str">
        <f>IF(AM$467,_xll.RtContribute(AM$403,AM$3&amp;"FX"&amp;$C490&amp;"SDF=","DIVPAYDATE",AM74,"SCOPE:SERVER"),"RT_FALSE")</f>
        <v>RT_FALSE</v>
      </c>
      <c r="AN490" s="270" t="str">
        <f>IF(AN$467,_xll.RtContribute(AN$403,AN$3&amp;"FX"&amp;$C490&amp;"SDF=","DIVPAYDATE",AN74,"SCOPE:SERVER"),"RT_FALSE")</f>
        <v>RT_FALSE</v>
      </c>
      <c r="AO490" s="270" t="str">
        <f>IF(AO$467,_xll.RtContribute(AO$403,AO$3&amp;"FX"&amp;$C490&amp;"SDF=","DIVPAYDATE",AO74,"SCOPE:SERVER"),"RT_FALSE")</f>
        <v>RT_FALSE</v>
      </c>
      <c r="AP490" s="270" t="str">
        <f>IF(AP$467,_xll.RtContribute(AP$403,AP$3&amp;"FX"&amp;$C490&amp;"SDF=","DIVPAYDATE",AP74,"SCOPE:SERVER"),"RT_FALSE")</f>
        <v>RT_FALSE</v>
      </c>
    </row>
    <row r="491" spans="3:42" x14ac:dyDescent="0.2">
      <c r="C491" s="1" t="s">
        <v>153</v>
      </c>
      <c r="D491" s="1" t="str">
        <f>IF(D$467,_xll.RtContribute(D$403,D$3&amp;"FX"&amp;$C491&amp;"SDF=","DIVPAYDATE",D75,"SCOPE:SERVER"),"RT_FALSE")</f>
        <v>RT_FALSE</v>
      </c>
      <c r="E491" s="1" t="str">
        <f>IF(E$467,_xll.RtContribute(E$403,E$3&amp;"FX"&amp;$C491&amp;"SDF=","DIVPAYDATE",E75,"SCOPE:SERVER"),"RT_FALSE")</f>
        <v>RT_FALSE</v>
      </c>
      <c r="F491" s="1" t="str">
        <f>IF(F$467,_xll.RtContribute(F$403,F$3&amp;"FX"&amp;$C491&amp;"SDF=","DIVPAYDATE",F75,"SCOPE:SERVER"),"RT_FALSE")</f>
        <v>RT_FALSE</v>
      </c>
      <c r="G491" s="1" t="str">
        <f>IF(G$467,_xll.RtContribute(G$403,G$3&amp;"FX"&amp;$C491&amp;"SDF=","DIVPAYDATE",G75,"SCOPE:SERVER"),"RT_FALSE")</f>
        <v>RT_FALSE</v>
      </c>
      <c r="H491" s="1" t="str">
        <f>IF(H$467,_xll.RtContribute(H$403,H$3&amp;"FX"&amp;$C491&amp;"SDF=","DIVPAYDATE",H75,"SCOPE:SERVER"),"RT_FALSE")</f>
        <v>RT_FALSE</v>
      </c>
      <c r="I491" s="1" t="str">
        <f>IF(I$467,_xll.RtContribute(I$403,I$3&amp;"FX"&amp;$C491&amp;"SDF=","DIVPAYDATE",I75,"SCOPE:SERVER"),"RT_FALSE")</f>
        <v>RT_FALSE</v>
      </c>
      <c r="J491" s="1" t="str">
        <f>IF(J$467,_xll.RtContribute(J$403,J$3&amp;"FX"&amp;$C491&amp;"SDF=","DIVPAYDATE",J75,"SCOPE:SERVER"),"RT_FALSE")</f>
        <v>RT_FALSE</v>
      </c>
      <c r="K491" s="1" t="str">
        <f>IF(K$467,_xll.RtContribute(K$403,K$3&amp;"FX"&amp;$C491&amp;"SDF=","DIVPAYDATE",K75,"SCOPE:SERVER"),"RT_FALSE")</f>
        <v>RT_FALSE</v>
      </c>
      <c r="L491" s="1" t="str">
        <f>IF(L$467,_xll.RtContribute(L$403,L$3&amp;"FX"&amp;$C491&amp;"SDF=","DIVPAYDATE",L75,"SCOPE:SERVER"),"RT_FALSE")</f>
        <v>RT_FALSE</v>
      </c>
      <c r="M491" s="1" t="str">
        <f>IF(M$467,_xll.RtContribute(M$403,M$3&amp;"FX"&amp;$C491&amp;"SDF=","DIVPAYDATE",M75,"SCOPE:SERVER"),"RT_FALSE")</f>
        <v>RT_FALSE</v>
      </c>
      <c r="N491" s="1" t="str">
        <f>IF(N$467,_xll.RtContribute(N$403,N$3&amp;"FX"&amp;$C491&amp;"SDF=","DIVPAYDATE",N75,"SCOPE:SERVER"),"RT_FALSE")</f>
        <v>RT_FALSE</v>
      </c>
      <c r="O491" s="1" t="str">
        <f>IF(O$467,_xll.RtContribute(O$403,O$3&amp;"FX"&amp;$C491&amp;"SDF=","DIVPAYDATE",O75,"SCOPE:SERVER"),"RT_FALSE")</f>
        <v>RT_FALSE</v>
      </c>
      <c r="P491" s="1" t="str">
        <f>IF(P$467,_xll.RtContribute(P$403,P$3&amp;"FX"&amp;$C491&amp;"SDF=","DIVPAYDATE",P75,"SCOPE:SERVER"),"RT_FALSE")</f>
        <v>RT_FALSE</v>
      </c>
      <c r="Q491" s="1" t="str">
        <f>IF(Q$467,_xll.RtContribute(Q$403,Q$3&amp;"FX"&amp;$C491&amp;"SDF=","DIVPAYDATE",Q75,"SCOPE:SERVER"),"RT_FALSE")</f>
        <v>RT_FALSE</v>
      </c>
      <c r="R491" s="1" t="str">
        <f>IF(R$467,_xll.RtContribute(R$403,R$3&amp;"FX"&amp;$C491&amp;"SDF=","DIVPAYDATE",R75,"SCOPE:SERVER"),"RT_FALSE")</f>
        <v>RT_FALSE</v>
      </c>
      <c r="S491" s="1" t="str">
        <f>IF(S$467,_xll.RtContribute(S$403,S$3&amp;"FX"&amp;$C491&amp;"SDF=","DIVPAYDATE",S75,"SCOPE:SERVER"),"RT_FALSE")</f>
        <v>RT_FALSE</v>
      </c>
      <c r="T491" s="1" t="str">
        <f>IF(T$467,_xll.RtContribute(T$403,T$3&amp;"FX"&amp;$C491&amp;"SDF=","DIVPAYDATE",T75,"SCOPE:SERVER"),"RT_FALSE")</f>
        <v>RT_FALSE</v>
      </c>
      <c r="U491" s="1" t="str">
        <f>IF(U$467,_xll.RtContribute(U$403,U$3&amp;"FX"&amp;$C491&amp;"SDF=","DIVPAYDATE",U75,"SCOPE:SERVER"),"RT_FALSE")</f>
        <v>RT_FALSE</v>
      </c>
      <c r="V491" s="1" t="str">
        <f>IF(V$467,_xll.RtContribute(V$403,V$3&amp;"FX"&amp;$C491&amp;"SDF=","DIVPAYDATE",V75,"SCOPE:SERVER"),"RT_FALSE")</f>
        <v>RT_FALSE</v>
      </c>
      <c r="W491" s="1" t="str">
        <f>IF(W$467,_xll.RtContribute(W$403,W$3&amp;"FX"&amp;$C491&amp;"SDF=","DIVPAYDATE",W75,"SCOPE:SERVER"),"RT_FALSE")</f>
        <v>RT_FALSE</v>
      </c>
      <c r="X491" s="1" t="str">
        <f>IF(X$467,_xll.RtContribute(X$403,X$3&amp;"FX"&amp;$C491&amp;"SDF=","DIVPAYDATE",X75,"SCOPE:SERVER"),"RT_FALSE")</f>
        <v>RT_FALSE</v>
      </c>
      <c r="Y491" s="1" t="str">
        <f>IF(Y$467,_xll.RtContribute(Y$403,Y$3&amp;"FX"&amp;$C491&amp;"SDF=","DIVPAYDATE",Y75,"SCOPE:SERVER"),"RT_FALSE")</f>
        <v>RT_FALSE</v>
      </c>
      <c r="Z491" s="1" t="str">
        <f>IF(Z$467,_xll.RtContribute(Z$403,Z$3&amp;"FX"&amp;$C491&amp;"SDF=","DIVPAYDATE",Z75,"SCOPE:SERVER"),"RT_FALSE")</f>
        <v>RT_FALSE</v>
      </c>
      <c r="AA491" s="1" t="str">
        <f>IF(AA$467,_xll.RtContribute(AA$403,AA$3&amp;"FX"&amp;$C491&amp;"SDF=","DIVPAYDATE",AA75,"SCOPE:SERVER"),"RT_FALSE")</f>
        <v>RT_FALSE</v>
      </c>
      <c r="AB491" s="1" t="str">
        <f>IF(AB$467,_xll.RtContribute(AB$403,AB$3&amp;"FX"&amp;$C491&amp;"SDF=","DIVPAYDATE",AB75,"SCOPE:SERVER"),"RT_FALSE")</f>
        <v>RT_FALSE</v>
      </c>
      <c r="AC491" s="1" t="str">
        <f>IF(AC$467,_xll.RtContribute(AC$403,AC$3&amp;"FX"&amp;$C491&amp;"SDF=","DIVPAYDATE",AC75,"SCOPE:SERVER"),"RT_FALSE")</f>
        <v>RT_FALSE</v>
      </c>
      <c r="AD491" s="1" t="str">
        <f>IF(AD$467,_xll.RtContribute(AD$403,AD$3&amp;"FX"&amp;$C491&amp;"SDF=","DIVPAYDATE",AD75,"SCOPE:SERVER"),"RT_FALSE")</f>
        <v>RT_FALSE</v>
      </c>
      <c r="AE491" s="1" t="str">
        <f>IF(AE$467,_xll.RtContribute(AE$403,AE$3&amp;"FX"&amp;$C491&amp;"SDF=","DIVPAYDATE",AE75,"SCOPE:SERVER"),"RT_FALSE")</f>
        <v>RT_FALSE</v>
      </c>
      <c r="AF491" s="1" t="str">
        <f>IF(AF$467,_xll.RtContribute(AF$403,AF$3&amp;"FX"&amp;$C491&amp;"SDF=","DIVPAYDATE",AF75,"SCOPE:SERVER"),"RT_FALSE")</f>
        <v>RT_FALSE</v>
      </c>
      <c r="AG491" s="1" t="str">
        <f>IF(AG$467,_xll.RtContribute(AG$403,AG$3&amp;"FX"&amp;$C491&amp;"SDF=","DIVPAYDATE",AG75,"SCOPE:SERVER"),"RT_FALSE")</f>
        <v>RT_FALSE</v>
      </c>
      <c r="AH491" s="1" t="str">
        <f>IF(AH$467,_xll.RtContribute(AH$403,AH$3&amp;"FX"&amp;$C491&amp;"SDF=","DIVPAYDATE",AH75,"SCOPE:SERVER"),"RT_FALSE")</f>
        <v>RT_FALSE</v>
      </c>
      <c r="AI491" s="1" t="str">
        <f>IF(AI$467,_xll.RtContribute(AI$403,AI$3&amp;"FX"&amp;$C491&amp;"SDF=","DIVPAYDATE",AI75,"SCOPE:SERVER"),"RT_FALSE")</f>
        <v>RT_FALSE</v>
      </c>
      <c r="AJ491" s="1" t="str">
        <f>IF(AJ$467,_xll.RtContribute(AJ$403,AJ$3&amp;"FX"&amp;$C491&amp;"SDF=","DIVPAYDATE",AJ75,"SCOPE:SERVER"),"RT_FALSE")</f>
        <v>RT_FALSE</v>
      </c>
      <c r="AK491" s="1" t="str">
        <f>IF(AK$467,_xll.RtContribute(AK$403,AK$3&amp;"FX"&amp;$C491&amp;"SDF=","DIVPAYDATE",AK75,"SCOPE:SERVER"),"RT_FALSE")</f>
        <v>RT_FALSE</v>
      </c>
      <c r="AL491" s="1" t="str">
        <f>IF(AL$467,_xll.RtContribute(AL$403,AL$3&amp;"FX"&amp;$C491&amp;"SDF=","DIVPAYDATE",AL75,"SCOPE:SERVER"),"RT_FALSE")</f>
        <v>RT_FALSE</v>
      </c>
      <c r="AM491" s="1" t="str">
        <f>IF(AM$467,_xll.RtContribute(AM$403,AM$3&amp;"FX"&amp;$C491&amp;"SDF=","DIVPAYDATE",AM75,"SCOPE:SERVER"),"RT_FALSE")</f>
        <v>RT_FALSE</v>
      </c>
      <c r="AN491" s="1" t="str">
        <f>IF(AN$467,_xll.RtContribute(AN$403,AN$3&amp;"FX"&amp;$C491&amp;"SDF=","DIVPAYDATE",AN75,"SCOPE:SERVER"),"RT_FALSE")</f>
        <v>RT_FALSE</v>
      </c>
      <c r="AO491" s="1" t="str">
        <f>IF(AO$467,_xll.RtContribute(AO$403,AO$3&amp;"FX"&amp;$C491&amp;"SDF=","DIVPAYDATE",AO75,"SCOPE:SERVER"),"RT_FALSE")</f>
        <v>RT_FALSE</v>
      </c>
      <c r="AP491" s="1" t="str">
        <f>IF(AP$467,_xll.RtContribute(AP$403,AP$3&amp;"FX"&amp;$C491&amp;"SDF=","DIVPAYDATE",AP75,"SCOPE:SERVER"),"RT_FALSE")</f>
        <v>RT_FALSE</v>
      </c>
    </row>
    <row r="492" spans="3:42" x14ac:dyDescent="0.2">
      <c r="C492" s="1" t="s">
        <v>156</v>
      </c>
      <c r="D492" s="1" t="str">
        <f>IF(D$467,_xll.RtContribute(D$403,D$3&amp;"FX"&amp;$C492&amp;"SDF=","DIVPAYDATE",D76,"SCOPE:SERVER"),"RT_FALSE")</f>
        <v>RT_FALSE</v>
      </c>
      <c r="E492" s="1" t="str">
        <f>IF(E$467,_xll.RtContribute(E$403,E$3&amp;"FX"&amp;$C492&amp;"SDF=","DIVPAYDATE",E76,"SCOPE:SERVER"),"RT_FALSE")</f>
        <v>RT_FALSE</v>
      </c>
      <c r="F492" s="1" t="str">
        <f>IF(F$467,_xll.RtContribute(F$403,F$3&amp;"FX"&amp;$C492&amp;"SDF=","DIVPAYDATE",F76,"SCOPE:SERVER"),"RT_FALSE")</f>
        <v>RT_FALSE</v>
      </c>
      <c r="G492" s="1" t="str">
        <f>IF(G$467,_xll.RtContribute(G$403,G$3&amp;"FX"&amp;$C492&amp;"SDF=","DIVPAYDATE",G76,"SCOPE:SERVER"),"RT_FALSE")</f>
        <v>RT_FALSE</v>
      </c>
      <c r="H492" s="1" t="str">
        <f>IF(H$467,_xll.RtContribute(H$403,H$3&amp;"FX"&amp;$C492&amp;"SDF=","DIVPAYDATE",H76,"SCOPE:SERVER"),"RT_FALSE")</f>
        <v>RT_FALSE</v>
      </c>
      <c r="I492" s="1" t="str">
        <f>IF(I$467,_xll.RtContribute(I$403,I$3&amp;"FX"&amp;$C492&amp;"SDF=","DIVPAYDATE",I76,"SCOPE:SERVER"),"RT_FALSE")</f>
        <v>RT_FALSE</v>
      </c>
      <c r="J492" s="1" t="str">
        <f>IF(J$467,_xll.RtContribute(J$403,J$3&amp;"FX"&amp;$C492&amp;"SDF=","DIVPAYDATE",J76,"SCOPE:SERVER"),"RT_FALSE")</f>
        <v>RT_FALSE</v>
      </c>
      <c r="K492" s="1" t="str">
        <f>IF(K$467,_xll.RtContribute(K$403,K$3&amp;"FX"&amp;$C492&amp;"SDF=","DIVPAYDATE",K76,"SCOPE:SERVER"),"RT_FALSE")</f>
        <v>RT_FALSE</v>
      </c>
      <c r="L492" s="1" t="str">
        <f>IF(L$467,_xll.RtContribute(L$403,L$3&amp;"FX"&amp;$C492&amp;"SDF=","DIVPAYDATE",L76,"SCOPE:SERVER"),"RT_FALSE")</f>
        <v>RT_FALSE</v>
      </c>
      <c r="M492" s="1" t="str">
        <f>IF(M$467,_xll.RtContribute(M$403,M$3&amp;"FX"&amp;$C492&amp;"SDF=","DIVPAYDATE",M76,"SCOPE:SERVER"),"RT_FALSE")</f>
        <v>RT_FALSE</v>
      </c>
      <c r="N492" s="1" t="str">
        <f>IF(N$467,_xll.RtContribute(N$403,N$3&amp;"FX"&amp;$C492&amp;"SDF=","DIVPAYDATE",N76,"SCOPE:SERVER"),"RT_FALSE")</f>
        <v>RT_FALSE</v>
      </c>
      <c r="O492" s="1" t="str">
        <f>IF(O$467,_xll.RtContribute(O$403,O$3&amp;"FX"&amp;$C492&amp;"SDF=","DIVPAYDATE",O76,"SCOPE:SERVER"),"RT_FALSE")</f>
        <v>RT_FALSE</v>
      </c>
      <c r="P492" s="1" t="str">
        <f>IF(P$467,_xll.RtContribute(P$403,P$3&amp;"FX"&amp;$C492&amp;"SDF=","DIVPAYDATE",P76,"SCOPE:SERVER"),"RT_FALSE")</f>
        <v>RT_FALSE</v>
      </c>
      <c r="Q492" s="1" t="str">
        <f>IF(Q$467,_xll.RtContribute(Q$403,Q$3&amp;"FX"&amp;$C492&amp;"SDF=","DIVPAYDATE",Q76,"SCOPE:SERVER"),"RT_FALSE")</f>
        <v>RT_FALSE</v>
      </c>
      <c r="R492" s="1" t="str">
        <f>IF(R$467,_xll.RtContribute(R$403,R$3&amp;"FX"&amp;$C492&amp;"SDF=","DIVPAYDATE",R76,"SCOPE:SERVER"),"RT_FALSE")</f>
        <v>RT_FALSE</v>
      </c>
      <c r="S492" s="1" t="str">
        <f>IF(S$467,_xll.RtContribute(S$403,S$3&amp;"FX"&amp;$C492&amp;"SDF=","DIVPAYDATE",S76,"SCOPE:SERVER"),"RT_FALSE")</f>
        <v>RT_FALSE</v>
      </c>
      <c r="T492" s="1" t="str">
        <f>IF(T$467,_xll.RtContribute(T$403,T$3&amp;"FX"&amp;$C492&amp;"SDF=","DIVPAYDATE",T76,"SCOPE:SERVER"),"RT_FALSE")</f>
        <v>RT_FALSE</v>
      </c>
      <c r="U492" s="1" t="str">
        <f>IF(U$467,_xll.RtContribute(U$403,U$3&amp;"FX"&amp;$C492&amp;"SDF=","DIVPAYDATE",U76,"SCOPE:SERVER"),"RT_FALSE")</f>
        <v>RT_FALSE</v>
      </c>
      <c r="V492" s="1" t="str">
        <f>IF(V$467,_xll.RtContribute(V$403,V$3&amp;"FX"&amp;$C492&amp;"SDF=","DIVPAYDATE",V76,"SCOPE:SERVER"),"RT_FALSE")</f>
        <v>RT_FALSE</v>
      </c>
      <c r="W492" s="1" t="str">
        <f>IF(W$467,_xll.RtContribute(W$403,W$3&amp;"FX"&amp;$C492&amp;"SDF=","DIVPAYDATE",W76,"SCOPE:SERVER"),"RT_FALSE")</f>
        <v>RT_FALSE</v>
      </c>
      <c r="X492" s="1" t="str">
        <f>IF(X$467,_xll.RtContribute(X$403,X$3&amp;"FX"&amp;$C492&amp;"SDF=","DIVPAYDATE",X76,"SCOPE:SERVER"),"RT_FALSE")</f>
        <v>RT_FALSE</v>
      </c>
      <c r="Y492" s="1" t="str">
        <f>IF(Y$467,_xll.RtContribute(Y$403,Y$3&amp;"FX"&amp;$C492&amp;"SDF=","DIVPAYDATE",Y76,"SCOPE:SERVER"),"RT_FALSE")</f>
        <v>RT_FALSE</v>
      </c>
      <c r="Z492" s="1" t="str">
        <f>IF(Z$467,_xll.RtContribute(Z$403,Z$3&amp;"FX"&amp;$C492&amp;"SDF=","DIVPAYDATE",Z76,"SCOPE:SERVER"),"RT_FALSE")</f>
        <v>RT_FALSE</v>
      </c>
      <c r="AA492" s="1" t="str">
        <f>IF(AA$467,_xll.RtContribute(AA$403,AA$3&amp;"FX"&amp;$C492&amp;"SDF=","DIVPAYDATE",AA76,"SCOPE:SERVER"),"RT_FALSE")</f>
        <v>RT_FALSE</v>
      </c>
      <c r="AB492" s="1" t="str">
        <f>IF(AB$467,_xll.RtContribute(AB$403,AB$3&amp;"FX"&amp;$C492&amp;"SDF=","DIVPAYDATE",AB76,"SCOPE:SERVER"),"RT_FALSE")</f>
        <v>RT_FALSE</v>
      </c>
      <c r="AC492" s="1" t="str">
        <f>IF(AC$467,_xll.RtContribute(AC$403,AC$3&amp;"FX"&amp;$C492&amp;"SDF=","DIVPAYDATE",AC76,"SCOPE:SERVER"),"RT_FALSE")</f>
        <v>RT_FALSE</v>
      </c>
      <c r="AD492" s="1" t="str">
        <f>IF(AD$467,_xll.RtContribute(AD$403,AD$3&amp;"FX"&amp;$C492&amp;"SDF=","DIVPAYDATE",AD76,"SCOPE:SERVER"),"RT_FALSE")</f>
        <v>RT_FALSE</v>
      </c>
      <c r="AE492" s="1" t="str">
        <f>IF(AE$467,_xll.RtContribute(AE$403,AE$3&amp;"FX"&amp;$C492&amp;"SDF=","DIVPAYDATE",AE76,"SCOPE:SERVER"),"RT_FALSE")</f>
        <v>RT_FALSE</v>
      </c>
      <c r="AF492" s="1" t="str">
        <f>IF(AF$467,_xll.RtContribute(AF$403,AF$3&amp;"FX"&amp;$C492&amp;"SDF=","DIVPAYDATE",AF76,"SCOPE:SERVER"),"RT_FALSE")</f>
        <v>RT_FALSE</v>
      </c>
      <c r="AG492" s="1" t="str">
        <f>IF(AG$467,_xll.RtContribute(AG$403,AG$3&amp;"FX"&amp;$C492&amp;"SDF=","DIVPAYDATE",AG76,"SCOPE:SERVER"),"RT_FALSE")</f>
        <v>RT_FALSE</v>
      </c>
      <c r="AH492" s="1" t="str">
        <f>IF(AH$467,_xll.RtContribute(AH$403,AH$3&amp;"FX"&amp;$C492&amp;"SDF=","DIVPAYDATE",AH76,"SCOPE:SERVER"),"RT_FALSE")</f>
        <v>RT_FALSE</v>
      </c>
      <c r="AI492" s="1" t="str">
        <f>IF(AI$467,_xll.RtContribute(AI$403,AI$3&amp;"FX"&amp;$C492&amp;"SDF=","DIVPAYDATE",AI76,"SCOPE:SERVER"),"RT_FALSE")</f>
        <v>RT_FALSE</v>
      </c>
      <c r="AJ492" s="1" t="str">
        <f>IF(AJ$467,_xll.RtContribute(AJ$403,AJ$3&amp;"FX"&amp;$C492&amp;"SDF=","DIVPAYDATE",AJ76,"SCOPE:SERVER"),"RT_FALSE")</f>
        <v>RT_FALSE</v>
      </c>
      <c r="AK492" s="1" t="str">
        <f>IF(AK$467,_xll.RtContribute(AK$403,AK$3&amp;"FX"&amp;$C492&amp;"SDF=","DIVPAYDATE",AK76,"SCOPE:SERVER"),"RT_FALSE")</f>
        <v>RT_FALSE</v>
      </c>
      <c r="AL492" s="1" t="str">
        <f>IF(AL$467,_xll.RtContribute(AL$403,AL$3&amp;"FX"&amp;$C492&amp;"SDF=","DIVPAYDATE",AL76,"SCOPE:SERVER"),"RT_FALSE")</f>
        <v>RT_FALSE</v>
      </c>
      <c r="AM492" s="1" t="str">
        <f>IF(AM$467,_xll.RtContribute(AM$403,AM$3&amp;"FX"&amp;$C492&amp;"SDF=","DIVPAYDATE",AM76,"SCOPE:SERVER"),"RT_FALSE")</f>
        <v>RT_FALSE</v>
      </c>
      <c r="AN492" s="1" t="str">
        <f>IF(AN$467,_xll.RtContribute(AN$403,AN$3&amp;"FX"&amp;$C492&amp;"SDF=","DIVPAYDATE",AN76,"SCOPE:SERVER"),"RT_FALSE")</f>
        <v>RT_FALSE</v>
      </c>
      <c r="AO492" s="1" t="str">
        <f>IF(AO$467,_xll.RtContribute(AO$403,AO$3&amp;"FX"&amp;$C492&amp;"SDF=","DIVPAYDATE",AO76,"SCOPE:SERVER"),"RT_FALSE")</f>
        <v>RT_FALSE</v>
      </c>
      <c r="AP492" s="1" t="str">
        <f>IF(AP$467,_xll.RtContribute(AP$403,AP$3&amp;"FX"&amp;$C492&amp;"SDF=","DIVPAYDATE",AP76,"SCOPE:SERVER"),"RT_FALSE")</f>
        <v>RT_FALSE</v>
      </c>
    </row>
    <row r="493" spans="3:42" x14ac:dyDescent="0.2">
      <c r="C493" s="1" t="s">
        <v>157</v>
      </c>
      <c r="D493" s="1" t="str">
        <f>IF(D$467,_xll.RtContribute(D$403,D$3&amp;"FX"&amp;$C493&amp;"SDF=","DIVPAYDATE",D77,"SCOPE:SERVER"),"RT_FALSE")</f>
        <v>RT_FALSE</v>
      </c>
      <c r="E493" s="1" t="str">
        <f>IF(E$467,_xll.RtContribute(E$403,E$3&amp;"FX"&amp;$C493&amp;"SDF=","DIVPAYDATE",E77,"SCOPE:SERVER"),"RT_FALSE")</f>
        <v>RT_FALSE</v>
      </c>
      <c r="F493" s="1" t="str">
        <f>IF(F$467,_xll.RtContribute(F$403,F$3&amp;"FX"&amp;$C493&amp;"SDF=","DIVPAYDATE",F77,"SCOPE:SERVER"),"RT_FALSE")</f>
        <v>RT_FALSE</v>
      </c>
      <c r="G493" s="1" t="str">
        <f>IF(G$467,_xll.RtContribute(G$403,G$3&amp;"FX"&amp;$C493&amp;"SDF=","DIVPAYDATE",G77,"SCOPE:SERVER"),"RT_FALSE")</f>
        <v>RT_FALSE</v>
      </c>
      <c r="H493" s="1" t="str">
        <f>IF(H$467,_xll.RtContribute(H$403,H$3&amp;"FX"&amp;$C493&amp;"SDF=","DIVPAYDATE",H77,"SCOPE:SERVER"),"RT_FALSE")</f>
        <v>RT_FALSE</v>
      </c>
      <c r="I493" s="1" t="str">
        <f>IF(I$467,_xll.RtContribute(I$403,I$3&amp;"FX"&amp;$C493&amp;"SDF=","DIVPAYDATE",I77,"SCOPE:SERVER"),"RT_FALSE")</f>
        <v>RT_FALSE</v>
      </c>
      <c r="J493" s="1" t="str">
        <f>IF(J$467,_xll.RtContribute(J$403,J$3&amp;"FX"&amp;$C493&amp;"SDF=","DIVPAYDATE",J77,"SCOPE:SERVER"),"RT_FALSE")</f>
        <v>RT_FALSE</v>
      </c>
      <c r="K493" s="1" t="str">
        <f>IF(K$467,_xll.RtContribute(K$403,K$3&amp;"FX"&amp;$C493&amp;"SDF=","DIVPAYDATE",K77,"SCOPE:SERVER"),"RT_FALSE")</f>
        <v>RT_FALSE</v>
      </c>
      <c r="L493" s="1" t="str">
        <f>IF(L$467,_xll.RtContribute(L$403,L$3&amp;"FX"&amp;$C493&amp;"SDF=","DIVPAYDATE",L77,"SCOPE:SERVER"),"RT_FALSE")</f>
        <v>RT_FALSE</v>
      </c>
      <c r="M493" s="1" t="str">
        <f>IF(M$467,_xll.RtContribute(M$403,M$3&amp;"FX"&amp;$C493&amp;"SDF=","DIVPAYDATE",M77,"SCOPE:SERVER"),"RT_FALSE")</f>
        <v>RT_FALSE</v>
      </c>
      <c r="N493" s="1" t="str">
        <f>IF(N$467,_xll.RtContribute(N$403,N$3&amp;"FX"&amp;$C493&amp;"SDF=","DIVPAYDATE",N77,"SCOPE:SERVER"),"RT_FALSE")</f>
        <v>RT_FALSE</v>
      </c>
      <c r="O493" s="1" t="str">
        <f>IF(O$467,_xll.RtContribute(O$403,O$3&amp;"FX"&amp;$C493&amp;"SDF=","DIVPAYDATE",O77,"SCOPE:SERVER"),"RT_FALSE")</f>
        <v>RT_FALSE</v>
      </c>
      <c r="P493" s="1" t="str">
        <f>IF(P$467,_xll.RtContribute(P$403,P$3&amp;"FX"&amp;$C493&amp;"SDF=","DIVPAYDATE",P77,"SCOPE:SERVER"),"RT_FALSE")</f>
        <v>RT_FALSE</v>
      </c>
      <c r="Q493" s="1" t="str">
        <f>IF(Q$467,_xll.RtContribute(Q$403,Q$3&amp;"FX"&amp;$C493&amp;"SDF=","DIVPAYDATE",Q77,"SCOPE:SERVER"),"RT_FALSE")</f>
        <v>RT_FALSE</v>
      </c>
      <c r="R493" s="1" t="str">
        <f>IF(R$467,_xll.RtContribute(R$403,R$3&amp;"FX"&amp;$C493&amp;"SDF=","DIVPAYDATE",R77,"SCOPE:SERVER"),"RT_FALSE")</f>
        <v>RT_FALSE</v>
      </c>
      <c r="S493" s="1" t="str">
        <f>IF(S$467,_xll.RtContribute(S$403,S$3&amp;"FX"&amp;$C493&amp;"SDF=","DIVPAYDATE",S77,"SCOPE:SERVER"),"RT_FALSE")</f>
        <v>RT_FALSE</v>
      </c>
      <c r="T493" s="1" t="str">
        <f>IF(T$467,_xll.RtContribute(T$403,T$3&amp;"FX"&amp;$C493&amp;"SDF=","DIVPAYDATE",T77,"SCOPE:SERVER"),"RT_FALSE")</f>
        <v>RT_FALSE</v>
      </c>
      <c r="U493" s="1" t="str">
        <f>IF(U$467,_xll.RtContribute(U$403,U$3&amp;"FX"&amp;$C493&amp;"SDF=","DIVPAYDATE",U77,"SCOPE:SERVER"),"RT_FALSE")</f>
        <v>RT_FALSE</v>
      </c>
      <c r="V493" s="1" t="str">
        <f>IF(V$467,_xll.RtContribute(V$403,V$3&amp;"FX"&amp;$C493&amp;"SDF=","DIVPAYDATE",V77,"SCOPE:SERVER"),"RT_FALSE")</f>
        <v>RT_FALSE</v>
      </c>
      <c r="W493" s="1" t="str">
        <f>IF(W$467,_xll.RtContribute(W$403,W$3&amp;"FX"&amp;$C493&amp;"SDF=","DIVPAYDATE",W77,"SCOPE:SERVER"),"RT_FALSE")</f>
        <v>RT_FALSE</v>
      </c>
      <c r="X493" s="1" t="str">
        <f>IF(X$467,_xll.RtContribute(X$403,X$3&amp;"FX"&amp;$C493&amp;"SDF=","DIVPAYDATE",X77,"SCOPE:SERVER"),"RT_FALSE")</f>
        <v>RT_FALSE</v>
      </c>
      <c r="Y493" s="1" t="str">
        <f>IF(Y$467,_xll.RtContribute(Y$403,Y$3&amp;"FX"&amp;$C493&amp;"SDF=","DIVPAYDATE",Y77,"SCOPE:SERVER"),"RT_FALSE")</f>
        <v>RT_FALSE</v>
      </c>
      <c r="Z493" s="1" t="str">
        <f>IF(Z$467,_xll.RtContribute(Z$403,Z$3&amp;"FX"&amp;$C493&amp;"SDF=","DIVPAYDATE",Z77,"SCOPE:SERVER"),"RT_FALSE")</f>
        <v>RT_FALSE</v>
      </c>
      <c r="AA493" s="1" t="str">
        <f>IF(AA$467,_xll.RtContribute(AA$403,AA$3&amp;"FX"&amp;$C493&amp;"SDF=","DIVPAYDATE",AA77,"SCOPE:SERVER"),"RT_FALSE")</f>
        <v>RT_FALSE</v>
      </c>
      <c r="AB493" s="1" t="str">
        <f>IF(AB$467,_xll.RtContribute(AB$403,AB$3&amp;"FX"&amp;$C493&amp;"SDF=","DIVPAYDATE",AB77,"SCOPE:SERVER"),"RT_FALSE")</f>
        <v>RT_FALSE</v>
      </c>
      <c r="AC493" s="1" t="str">
        <f>IF(AC$467,_xll.RtContribute(AC$403,AC$3&amp;"FX"&amp;$C493&amp;"SDF=","DIVPAYDATE",AC77,"SCOPE:SERVER"),"RT_FALSE")</f>
        <v>RT_FALSE</v>
      </c>
      <c r="AD493" s="1" t="str">
        <f>IF(AD$467,_xll.RtContribute(AD$403,AD$3&amp;"FX"&amp;$C493&amp;"SDF=","DIVPAYDATE",AD77,"SCOPE:SERVER"),"RT_FALSE")</f>
        <v>RT_FALSE</v>
      </c>
      <c r="AE493" s="1" t="str">
        <f>IF(AE$467,_xll.RtContribute(AE$403,AE$3&amp;"FX"&amp;$C493&amp;"SDF=","DIVPAYDATE",AE77,"SCOPE:SERVER"),"RT_FALSE")</f>
        <v>RT_FALSE</v>
      </c>
      <c r="AF493" s="1" t="str">
        <f>IF(AF$467,_xll.RtContribute(AF$403,AF$3&amp;"FX"&amp;$C493&amp;"SDF=","DIVPAYDATE",AF77,"SCOPE:SERVER"),"RT_FALSE")</f>
        <v>RT_FALSE</v>
      </c>
      <c r="AG493" s="1" t="str">
        <f>IF(AG$467,_xll.RtContribute(AG$403,AG$3&amp;"FX"&amp;$C493&amp;"SDF=","DIVPAYDATE",AG77,"SCOPE:SERVER"),"RT_FALSE")</f>
        <v>RT_FALSE</v>
      </c>
      <c r="AH493" s="1" t="str">
        <f>IF(AH$467,_xll.RtContribute(AH$403,AH$3&amp;"FX"&amp;$C493&amp;"SDF=","DIVPAYDATE",AH77,"SCOPE:SERVER"),"RT_FALSE")</f>
        <v>RT_FALSE</v>
      </c>
      <c r="AI493" s="1" t="str">
        <f>IF(AI$467,_xll.RtContribute(AI$403,AI$3&amp;"FX"&amp;$C493&amp;"SDF=","DIVPAYDATE",AI77,"SCOPE:SERVER"),"RT_FALSE")</f>
        <v>RT_FALSE</v>
      </c>
      <c r="AJ493" s="1" t="str">
        <f>IF(AJ$467,_xll.RtContribute(AJ$403,AJ$3&amp;"FX"&amp;$C493&amp;"SDF=","DIVPAYDATE",AJ77,"SCOPE:SERVER"),"RT_FALSE")</f>
        <v>RT_FALSE</v>
      </c>
      <c r="AK493" s="1" t="str">
        <f>IF(AK$467,_xll.RtContribute(AK$403,AK$3&amp;"FX"&amp;$C493&amp;"SDF=","DIVPAYDATE",AK77,"SCOPE:SERVER"),"RT_FALSE")</f>
        <v>RT_FALSE</v>
      </c>
      <c r="AL493" s="1" t="str">
        <f>IF(AL$467,_xll.RtContribute(AL$403,AL$3&amp;"FX"&amp;$C493&amp;"SDF=","DIVPAYDATE",AL77,"SCOPE:SERVER"),"RT_FALSE")</f>
        <v>RT_FALSE</v>
      </c>
      <c r="AM493" s="1" t="str">
        <f>IF(AM$467,_xll.RtContribute(AM$403,AM$3&amp;"FX"&amp;$C493&amp;"SDF=","DIVPAYDATE",AM77,"SCOPE:SERVER"),"RT_FALSE")</f>
        <v>RT_FALSE</v>
      </c>
      <c r="AN493" s="1" t="str">
        <f>IF(AN$467,_xll.RtContribute(AN$403,AN$3&amp;"FX"&amp;$C493&amp;"SDF=","DIVPAYDATE",AN77,"SCOPE:SERVER"),"RT_FALSE")</f>
        <v>RT_FALSE</v>
      </c>
      <c r="AO493" s="1" t="str">
        <f>IF(AO$467,_xll.RtContribute(AO$403,AO$3&amp;"FX"&amp;$C493&amp;"SDF=","DIVPAYDATE",AO77,"SCOPE:SERVER"),"RT_FALSE")</f>
        <v>RT_FALSE</v>
      </c>
      <c r="AP493" s="1" t="str">
        <f>IF(AP$467,_xll.RtContribute(AP$403,AP$3&amp;"FX"&amp;$C493&amp;"SDF=","DIVPAYDATE",AP77,"SCOPE:SERVER"),"RT_FALSE")</f>
        <v>RT_FALSE</v>
      </c>
    </row>
    <row r="494" spans="3:42" x14ac:dyDescent="0.2">
      <c r="C494" s="1" t="s">
        <v>158</v>
      </c>
      <c r="D494" s="1" t="str">
        <f>IF(D$467,_xll.RtContribute(D$403,D$3&amp;"FX"&amp;$C494&amp;"SDF=","DIVPAYDATE",D78,"SCOPE:SERVER"),"RT_FALSE")</f>
        <v>RT_FALSE</v>
      </c>
      <c r="E494" s="1" t="str">
        <f>IF(E$467,_xll.RtContribute(E$403,E$3&amp;"FX"&amp;$C494&amp;"SDF=","DIVPAYDATE",E78,"SCOPE:SERVER"),"RT_FALSE")</f>
        <v>RT_FALSE</v>
      </c>
      <c r="F494" s="1" t="str">
        <f>IF(F$467,_xll.RtContribute(F$403,F$3&amp;"FX"&amp;$C494&amp;"SDF=","DIVPAYDATE",F78,"SCOPE:SERVER"),"RT_FALSE")</f>
        <v>RT_FALSE</v>
      </c>
      <c r="G494" s="1" t="str">
        <f>IF(G$467,_xll.RtContribute(G$403,G$3&amp;"FX"&amp;$C494&amp;"SDF=","DIVPAYDATE",G78,"SCOPE:SERVER"),"RT_FALSE")</f>
        <v>RT_FALSE</v>
      </c>
      <c r="H494" s="1" t="str">
        <f>IF(H$467,_xll.RtContribute(H$403,H$3&amp;"FX"&amp;$C494&amp;"SDF=","DIVPAYDATE",H78,"SCOPE:SERVER"),"RT_FALSE")</f>
        <v>RT_FALSE</v>
      </c>
      <c r="I494" s="1" t="str">
        <f>IF(I$467,_xll.RtContribute(I$403,I$3&amp;"FX"&amp;$C494&amp;"SDF=","DIVPAYDATE",I78,"SCOPE:SERVER"),"RT_FALSE")</f>
        <v>RT_FALSE</v>
      </c>
      <c r="J494" s="1" t="str">
        <f>IF(J$467,_xll.RtContribute(J$403,J$3&amp;"FX"&amp;$C494&amp;"SDF=","DIVPAYDATE",J78,"SCOPE:SERVER"),"RT_FALSE")</f>
        <v>RT_FALSE</v>
      </c>
      <c r="K494" s="1" t="str">
        <f>IF(K$467,_xll.RtContribute(K$403,K$3&amp;"FX"&amp;$C494&amp;"SDF=","DIVPAYDATE",K78,"SCOPE:SERVER"),"RT_FALSE")</f>
        <v>RT_FALSE</v>
      </c>
      <c r="L494" s="1" t="str">
        <f>IF(L$467,_xll.RtContribute(L$403,L$3&amp;"FX"&amp;$C494&amp;"SDF=","DIVPAYDATE",L78,"SCOPE:SERVER"),"RT_FALSE")</f>
        <v>RT_FALSE</v>
      </c>
      <c r="M494" s="1" t="str">
        <f>IF(M$467,_xll.RtContribute(M$403,M$3&amp;"FX"&amp;$C494&amp;"SDF=","DIVPAYDATE",M78,"SCOPE:SERVER"),"RT_FALSE")</f>
        <v>RT_FALSE</v>
      </c>
      <c r="N494" s="1" t="str">
        <f>IF(N$467,_xll.RtContribute(N$403,N$3&amp;"FX"&amp;$C494&amp;"SDF=","DIVPAYDATE",N78,"SCOPE:SERVER"),"RT_FALSE")</f>
        <v>RT_FALSE</v>
      </c>
      <c r="O494" s="1" t="str">
        <f>IF(O$467,_xll.RtContribute(O$403,O$3&amp;"FX"&amp;$C494&amp;"SDF=","DIVPAYDATE",O78,"SCOPE:SERVER"),"RT_FALSE")</f>
        <v>RT_FALSE</v>
      </c>
      <c r="P494" s="1" t="str">
        <f>IF(P$467,_xll.RtContribute(P$403,P$3&amp;"FX"&amp;$C494&amp;"SDF=","DIVPAYDATE",P78,"SCOPE:SERVER"),"RT_FALSE")</f>
        <v>RT_FALSE</v>
      </c>
      <c r="Q494" s="1" t="str">
        <f>IF(Q$467,_xll.RtContribute(Q$403,Q$3&amp;"FX"&amp;$C494&amp;"SDF=","DIVPAYDATE",Q78,"SCOPE:SERVER"),"RT_FALSE")</f>
        <v>RT_FALSE</v>
      </c>
      <c r="R494" s="1" t="str">
        <f>IF(R$467,_xll.RtContribute(R$403,R$3&amp;"FX"&amp;$C494&amp;"SDF=","DIVPAYDATE",R78,"SCOPE:SERVER"),"RT_FALSE")</f>
        <v>RT_FALSE</v>
      </c>
      <c r="S494" s="1" t="str">
        <f>IF(S$467,_xll.RtContribute(S$403,S$3&amp;"FX"&amp;$C494&amp;"SDF=","DIVPAYDATE",S78,"SCOPE:SERVER"),"RT_FALSE")</f>
        <v>RT_FALSE</v>
      </c>
      <c r="T494" s="1" t="str">
        <f>IF(T$467,_xll.RtContribute(T$403,T$3&amp;"FX"&amp;$C494&amp;"SDF=","DIVPAYDATE",T78,"SCOPE:SERVER"),"RT_FALSE")</f>
        <v>RT_FALSE</v>
      </c>
      <c r="U494" s="1" t="str">
        <f>IF(U$467,_xll.RtContribute(U$403,U$3&amp;"FX"&amp;$C494&amp;"SDF=","DIVPAYDATE",U78,"SCOPE:SERVER"),"RT_FALSE")</f>
        <v>RT_FALSE</v>
      </c>
      <c r="V494" s="1" t="str">
        <f>IF(V$467,_xll.RtContribute(V$403,V$3&amp;"FX"&amp;$C494&amp;"SDF=","DIVPAYDATE",V78,"SCOPE:SERVER"),"RT_FALSE")</f>
        <v>RT_FALSE</v>
      </c>
      <c r="W494" s="1" t="str">
        <f>IF(W$467,_xll.RtContribute(W$403,W$3&amp;"FX"&amp;$C494&amp;"SDF=","DIVPAYDATE",W78,"SCOPE:SERVER"),"RT_FALSE")</f>
        <v>RT_FALSE</v>
      </c>
      <c r="X494" s="1" t="str">
        <f>IF(X$467,_xll.RtContribute(X$403,X$3&amp;"FX"&amp;$C494&amp;"SDF=","DIVPAYDATE",X78,"SCOPE:SERVER"),"RT_FALSE")</f>
        <v>RT_FALSE</v>
      </c>
      <c r="Y494" s="1" t="str">
        <f>IF(Y$467,_xll.RtContribute(Y$403,Y$3&amp;"FX"&amp;$C494&amp;"SDF=","DIVPAYDATE",Y78,"SCOPE:SERVER"),"RT_FALSE")</f>
        <v>RT_FALSE</v>
      </c>
      <c r="Z494" s="1" t="str">
        <f>IF(Z$467,_xll.RtContribute(Z$403,Z$3&amp;"FX"&amp;$C494&amp;"SDF=","DIVPAYDATE",Z78,"SCOPE:SERVER"),"RT_FALSE")</f>
        <v>RT_FALSE</v>
      </c>
      <c r="AA494" s="1" t="str">
        <f>IF(AA$467,_xll.RtContribute(AA$403,AA$3&amp;"FX"&amp;$C494&amp;"SDF=","DIVPAYDATE",AA78,"SCOPE:SERVER"),"RT_FALSE")</f>
        <v>RT_FALSE</v>
      </c>
      <c r="AB494" s="1" t="str">
        <f>IF(AB$467,_xll.RtContribute(AB$403,AB$3&amp;"FX"&amp;$C494&amp;"SDF=","DIVPAYDATE",AB78,"SCOPE:SERVER"),"RT_FALSE")</f>
        <v>RT_FALSE</v>
      </c>
      <c r="AC494" s="1" t="str">
        <f>IF(AC$467,_xll.RtContribute(AC$403,AC$3&amp;"FX"&amp;$C494&amp;"SDF=","DIVPAYDATE",AC78,"SCOPE:SERVER"),"RT_FALSE")</f>
        <v>RT_FALSE</v>
      </c>
      <c r="AD494" s="1" t="str">
        <f>IF(AD$467,_xll.RtContribute(AD$403,AD$3&amp;"FX"&amp;$C494&amp;"SDF=","DIVPAYDATE",AD78,"SCOPE:SERVER"),"RT_FALSE")</f>
        <v>RT_FALSE</v>
      </c>
      <c r="AE494" s="1" t="str">
        <f>IF(AE$467,_xll.RtContribute(AE$403,AE$3&amp;"FX"&amp;$C494&amp;"SDF=","DIVPAYDATE",AE78,"SCOPE:SERVER"),"RT_FALSE")</f>
        <v>RT_FALSE</v>
      </c>
      <c r="AF494" s="1" t="str">
        <f>IF(AF$467,_xll.RtContribute(AF$403,AF$3&amp;"FX"&amp;$C494&amp;"SDF=","DIVPAYDATE",AF78,"SCOPE:SERVER"),"RT_FALSE")</f>
        <v>RT_FALSE</v>
      </c>
      <c r="AG494" s="1" t="str">
        <f>IF(AG$467,_xll.RtContribute(AG$403,AG$3&amp;"FX"&amp;$C494&amp;"SDF=","DIVPAYDATE",AG78,"SCOPE:SERVER"),"RT_FALSE")</f>
        <v>RT_FALSE</v>
      </c>
      <c r="AH494" s="1" t="str">
        <f>IF(AH$467,_xll.RtContribute(AH$403,AH$3&amp;"FX"&amp;$C494&amp;"SDF=","DIVPAYDATE",AH78,"SCOPE:SERVER"),"RT_FALSE")</f>
        <v>RT_FALSE</v>
      </c>
      <c r="AI494" s="1" t="str">
        <f>IF(AI$467,_xll.RtContribute(AI$403,AI$3&amp;"FX"&amp;$C494&amp;"SDF=","DIVPAYDATE",AI78,"SCOPE:SERVER"),"RT_FALSE")</f>
        <v>RT_FALSE</v>
      </c>
      <c r="AJ494" s="1" t="str">
        <f>IF(AJ$467,_xll.RtContribute(AJ$403,AJ$3&amp;"FX"&amp;$C494&amp;"SDF=","DIVPAYDATE",AJ78,"SCOPE:SERVER"),"RT_FALSE")</f>
        <v>RT_FALSE</v>
      </c>
      <c r="AK494" s="1" t="str">
        <f>IF(AK$467,_xll.RtContribute(AK$403,AK$3&amp;"FX"&amp;$C494&amp;"SDF=","DIVPAYDATE",AK78,"SCOPE:SERVER"),"RT_FALSE")</f>
        <v>RT_FALSE</v>
      </c>
      <c r="AL494" s="1" t="str">
        <f>IF(AL$467,_xll.RtContribute(AL$403,AL$3&amp;"FX"&amp;$C494&amp;"SDF=","DIVPAYDATE",AL78,"SCOPE:SERVER"),"RT_FALSE")</f>
        <v>RT_FALSE</v>
      </c>
      <c r="AM494" s="1" t="str">
        <f>IF(AM$467,_xll.RtContribute(AM$403,AM$3&amp;"FX"&amp;$C494&amp;"SDF=","DIVPAYDATE",AM78,"SCOPE:SERVER"),"RT_FALSE")</f>
        <v>RT_FALSE</v>
      </c>
      <c r="AN494" s="1" t="str">
        <f>IF(AN$467,_xll.RtContribute(AN$403,AN$3&amp;"FX"&amp;$C494&amp;"SDF=","DIVPAYDATE",AN78,"SCOPE:SERVER"),"RT_FALSE")</f>
        <v>RT_FALSE</v>
      </c>
      <c r="AO494" s="1" t="str">
        <f>IF(AO$467,_xll.RtContribute(AO$403,AO$3&amp;"FX"&amp;$C494&amp;"SDF=","DIVPAYDATE",AO78,"SCOPE:SERVER"),"RT_FALSE")</f>
        <v>RT_FALSE</v>
      </c>
      <c r="AP494" s="1" t="str">
        <f>IF(AP$467,_xll.RtContribute(AP$403,AP$3&amp;"FX"&amp;$C494&amp;"SDF=","DIVPAYDATE",AP78,"SCOPE:SERVER"),"RT_FALSE")</f>
        <v>RT_FALSE</v>
      </c>
    </row>
    <row r="495" spans="3:42" x14ac:dyDescent="0.2">
      <c r="C495" s="1" t="s">
        <v>160</v>
      </c>
      <c r="D495" s="1" t="str">
        <f>IF(D$467,_xll.RtContribute(D$403,D$3&amp;"FX"&amp;$C495&amp;"SDF=","DIVPAYDATE",D79,"SCOPE:SERVER"),"RT_FALSE")</f>
        <v>RT_FALSE</v>
      </c>
      <c r="E495" s="1" t="str">
        <f>IF(E$467,_xll.RtContribute(E$403,E$3&amp;"FX"&amp;$C495&amp;"SDF=","DIVPAYDATE",E79,"SCOPE:SERVER"),"RT_FALSE")</f>
        <v>RT_FALSE</v>
      </c>
      <c r="F495" s="1" t="str">
        <f>IF(F$467,_xll.RtContribute(F$403,F$3&amp;"FX"&amp;$C495&amp;"SDF=","DIVPAYDATE",F79,"SCOPE:SERVER"),"RT_FALSE")</f>
        <v>RT_FALSE</v>
      </c>
      <c r="G495" s="1" t="str">
        <f>IF(G$467,_xll.RtContribute(G$403,G$3&amp;"FX"&amp;$C495&amp;"SDF=","DIVPAYDATE",G79,"SCOPE:SERVER"),"RT_FALSE")</f>
        <v>RT_FALSE</v>
      </c>
      <c r="H495" s="1" t="str">
        <f>IF(H$467,_xll.RtContribute(H$403,H$3&amp;"FX"&amp;$C495&amp;"SDF=","DIVPAYDATE",H79,"SCOPE:SERVER"),"RT_FALSE")</f>
        <v>RT_FALSE</v>
      </c>
      <c r="I495" s="1" t="str">
        <f>IF(I$467,_xll.RtContribute(I$403,I$3&amp;"FX"&amp;$C495&amp;"SDF=","DIVPAYDATE",I79,"SCOPE:SERVER"),"RT_FALSE")</f>
        <v>RT_FALSE</v>
      </c>
      <c r="J495" s="1" t="str">
        <f>IF(J$467,_xll.RtContribute(J$403,J$3&amp;"FX"&amp;$C495&amp;"SDF=","DIVPAYDATE",J79,"SCOPE:SERVER"),"RT_FALSE")</f>
        <v>RT_FALSE</v>
      </c>
      <c r="K495" s="1" t="str">
        <f>IF(K$467,_xll.RtContribute(K$403,K$3&amp;"FX"&amp;$C495&amp;"SDF=","DIVPAYDATE",K79,"SCOPE:SERVER"),"RT_FALSE")</f>
        <v>RT_FALSE</v>
      </c>
      <c r="L495" s="1" t="str">
        <f>IF(L$467,_xll.RtContribute(L$403,L$3&amp;"FX"&amp;$C495&amp;"SDF=","DIVPAYDATE",L79,"SCOPE:SERVER"),"RT_FALSE")</f>
        <v>RT_FALSE</v>
      </c>
      <c r="M495" s="1" t="str">
        <f>IF(M$467,_xll.RtContribute(M$403,M$3&amp;"FX"&amp;$C495&amp;"SDF=","DIVPAYDATE",M79,"SCOPE:SERVER"),"RT_FALSE")</f>
        <v>RT_FALSE</v>
      </c>
      <c r="N495" s="1" t="str">
        <f>IF(N$467,_xll.RtContribute(N$403,N$3&amp;"FX"&amp;$C495&amp;"SDF=","DIVPAYDATE",N79,"SCOPE:SERVER"),"RT_FALSE")</f>
        <v>RT_FALSE</v>
      </c>
      <c r="O495" s="1" t="str">
        <f>IF(O$467,_xll.RtContribute(O$403,O$3&amp;"FX"&amp;$C495&amp;"SDF=","DIVPAYDATE",O79,"SCOPE:SERVER"),"RT_FALSE")</f>
        <v>RT_FALSE</v>
      </c>
      <c r="P495" s="1" t="str">
        <f>IF(P$467,_xll.RtContribute(P$403,P$3&amp;"FX"&amp;$C495&amp;"SDF=","DIVPAYDATE",P79,"SCOPE:SERVER"),"RT_FALSE")</f>
        <v>RT_FALSE</v>
      </c>
      <c r="Q495" s="1" t="str">
        <f>IF(Q$467,_xll.RtContribute(Q$403,Q$3&amp;"FX"&amp;$C495&amp;"SDF=","DIVPAYDATE",Q79,"SCOPE:SERVER"),"RT_FALSE")</f>
        <v>RT_FALSE</v>
      </c>
      <c r="R495" s="1" t="str">
        <f>IF(R$467,_xll.RtContribute(R$403,R$3&amp;"FX"&amp;$C495&amp;"SDF=","DIVPAYDATE",R79,"SCOPE:SERVER"),"RT_FALSE")</f>
        <v>RT_FALSE</v>
      </c>
      <c r="S495" s="1" t="str">
        <f>IF(S$467,_xll.RtContribute(S$403,S$3&amp;"FX"&amp;$C495&amp;"SDF=","DIVPAYDATE",S79,"SCOPE:SERVER"),"RT_FALSE")</f>
        <v>RT_FALSE</v>
      </c>
      <c r="T495" s="1" t="str">
        <f>IF(T$467,_xll.RtContribute(T$403,T$3&amp;"FX"&amp;$C495&amp;"SDF=","DIVPAYDATE",T79,"SCOPE:SERVER"),"RT_FALSE")</f>
        <v>RT_FALSE</v>
      </c>
      <c r="U495" s="1" t="str">
        <f>IF(U$467,_xll.RtContribute(U$403,U$3&amp;"FX"&amp;$C495&amp;"SDF=","DIVPAYDATE",U79,"SCOPE:SERVER"),"RT_FALSE")</f>
        <v>RT_FALSE</v>
      </c>
      <c r="V495" s="1" t="str">
        <f>IF(V$467,_xll.RtContribute(V$403,V$3&amp;"FX"&amp;$C495&amp;"SDF=","DIVPAYDATE",V79,"SCOPE:SERVER"),"RT_FALSE")</f>
        <v>RT_FALSE</v>
      </c>
      <c r="W495" s="1" t="str">
        <f>IF(W$467,_xll.RtContribute(W$403,W$3&amp;"FX"&amp;$C495&amp;"SDF=","DIVPAYDATE",W79,"SCOPE:SERVER"),"RT_FALSE")</f>
        <v>RT_FALSE</v>
      </c>
      <c r="X495" s="1" t="str">
        <f>IF(X$467,_xll.RtContribute(X$403,X$3&amp;"FX"&amp;$C495&amp;"SDF=","DIVPAYDATE",X79,"SCOPE:SERVER"),"RT_FALSE")</f>
        <v>RT_FALSE</v>
      </c>
      <c r="Y495" s="1" t="str">
        <f>IF(Y$467,_xll.RtContribute(Y$403,Y$3&amp;"FX"&amp;$C495&amp;"SDF=","DIVPAYDATE",Y79,"SCOPE:SERVER"),"RT_FALSE")</f>
        <v>RT_FALSE</v>
      </c>
      <c r="Z495" s="1" t="str">
        <f>IF(Z$467,_xll.RtContribute(Z$403,Z$3&amp;"FX"&amp;$C495&amp;"SDF=","DIVPAYDATE",Z79,"SCOPE:SERVER"),"RT_FALSE")</f>
        <v>RT_FALSE</v>
      </c>
      <c r="AA495" s="1" t="str">
        <f>IF(AA$467,_xll.RtContribute(AA$403,AA$3&amp;"FX"&amp;$C495&amp;"SDF=","DIVPAYDATE",AA79,"SCOPE:SERVER"),"RT_FALSE")</f>
        <v>RT_FALSE</v>
      </c>
      <c r="AB495" s="1" t="str">
        <f>IF(AB$467,_xll.RtContribute(AB$403,AB$3&amp;"FX"&amp;$C495&amp;"SDF=","DIVPAYDATE",AB79,"SCOPE:SERVER"),"RT_FALSE")</f>
        <v>RT_FALSE</v>
      </c>
      <c r="AC495" s="1" t="str">
        <f>IF(AC$467,_xll.RtContribute(AC$403,AC$3&amp;"FX"&amp;$C495&amp;"SDF=","DIVPAYDATE",AC79,"SCOPE:SERVER"),"RT_FALSE")</f>
        <v>RT_FALSE</v>
      </c>
      <c r="AD495" s="1" t="str">
        <f>IF(AD$467,_xll.RtContribute(AD$403,AD$3&amp;"FX"&amp;$C495&amp;"SDF=","DIVPAYDATE",AD79,"SCOPE:SERVER"),"RT_FALSE")</f>
        <v>RT_FALSE</v>
      </c>
      <c r="AE495" s="1" t="str">
        <f>IF(AE$467,_xll.RtContribute(AE$403,AE$3&amp;"FX"&amp;$C495&amp;"SDF=","DIVPAYDATE",AE79,"SCOPE:SERVER"),"RT_FALSE")</f>
        <v>RT_FALSE</v>
      </c>
      <c r="AF495" s="1" t="str">
        <f>IF(AF$467,_xll.RtContribute(AF$403,AF$3&amp;"FX"&amp;$C495&amp;"SDF=","DIVPAYDATE",AF79,"SCOPE:SERVER"),"RT_FALSE")</f>
        <v>RT_FALSE</v>
      </c>
      <c r="AG495" s="1" t="str">
        <f>IF(AG$467,_xll.RtContribute(AG$403,AG$3&amp;"FX"&amp;$C495&amp;"SDF=","DIVPAYDATE",AG79,"SCOPE:SERVER"),"RT_FALSE")</f>
        <v>RT_FALSE</v>
      </c>
      <c r="AH495" s="1" t="str">
        <f>IF(AH$467,_xll.RtContribute(AH$403,AH$3&amp;"FX"&amp;$C495&amp;"SDF=","DIVPAYDATE",AH79,"SCOPE:SERVER"),"RT_FALSE")</f>
        <v>RT_FALSE</v>
      </c>
      <c r="AI495" s="1" t="str">
        <f>IF(AI$467,_xll.RtContribute(AI$403,AI$3&amp;"FX"&amp;$C495&amp;"SDF=","DIVPAYDATE",AI79,"SCOPE:SERVER"),"RT_FALSE")</f>
        <v>RT_FALSE</v>
      </c>
      <c r="AJ495" s="1" t="str">
        <f>IF(AJ$467,_xll.RtContribute(AJ$403,AJ$3&amp;"FX"&amp;$C495&amp;"SDF=","DIVPAYDATE",AJ79,"SCOPE:SERVER"),"RT_FALSE")</f>
        <v>RT_FALSE</v>
      </c>
      <c r="AK495" s="1" t="str">
        <f>IF(AK$467,_xll.RtContribute(AK$403,AK$3&amp;"FX"&amp;$C495&amp;"SDF=","DIVPAYDATE",AK79,"SCOPE:SERVER"),"RT_FALSE")</f>
        <v>RT_FALSE</v>
      </c>
      <c r="AL495" s="1" t="str">
        <f>IF(AL$467,_xll.RtContribute(AL$403,AL$3&amp;"FX"&amp;$C495&amp;"SDF=","DIVPAYDATE",AL79,"SCOPE:SERVER"),"RT_FALSE")</f>
        <v>RT_FALSE</v>
      </c>
      <c r="AM495" s="1" t="str">
        <f>IF(AM$467,_xll.RtContribute(AM$403,AM$3&amp;"FX"&amp;$C495&amp;"SDF=","DIVPAYDATE",AM79,"SCOPE:SERVER"),"RT_FALSE")</f>
        <v>RT_FALSE</v>
      </c>
      <c r="AN495" s="1" t="str">
        <f>IF(AN$467,_xll.RtContribute(AN$403,AN$3&amp;"FX"&amp;$C495&amp;"SDF=","DIVPAYDATE",AN79,"SCOPE:SERVER"),"RT_FALSE")</f>
        <v>RT_FALSE</v>
      </c>
      <c r="AO495" s="1" t="str">
        <f>IF(AO$467,_xll.RtContribute(AO$403,AO$3&amp;"FX"&amp;$C495&amp;"SDF=","DIVPAYDATE",AO79,"SCOPE:SERVER"),"RT_FALSE")</f>
        <v>RT_FALSE</v>
      </c>
      <c r="AP495" s="1" t="str">
        <f>IF(AP$467,_xll.RtContribute(AP$403,AP$3&amp;"FX"&amp;$C495&amp;"SDF=","DIVPAYDATE",AP79,"SCOPE:SERVER"),"RT_FALSE")</f>
        <v>RT_FALSE</v>
      </c>
    </row>
    <row r="496" spans="3:42" x14ac:dyDescent="0.2">
      <c r="C496" s="1" t="s">
        <v>162</v>
      </c>
      <c r="D496" s="1" t="str">
        <f>IF(D$467,_xll.RtContribute(D$403,D$3&amp;"FX"&amp;$C496&amp;"SDF=","DIVPAYDATE",D80,"SCOPE:SERVER"),"RT_FALSE")</f>
        <v>RT_FALSE</v>
      </c>
      <c r="E496" s="1" t="str">
        <f>IF(E$467,_xll.RtContribute(E$403,E$3&amp;"FX"&amp;$C496&amp;"SDF=","DIVPAYDATE",E80,"SCOPE:SERVER"),"RT_FALSE")</f>
        <v>RT_FALSE</v>
      </c>
      <c r="F496" s="1" t="str">
        <f>IF(F$467,_xll.RtContribute(F$403,F$3&amp;"FX"&amp;$C496&amp;"SDF=","DIVPAYDATE",F80,"SCOPE:SERVER"),"RT_FALSE")</f>
        <v>RT_FALSE</v>
      </c>
      <c r="G496" s="1" t="str">
        <f>IF(G$467,_xll.RtContribute(G$403,G$3&amp;"FX"&amp;$C496&amp;"SDF=","DIVPAYDATE",G80,"SCOPE:SERVER"),"RT_FALSE")</f>
        <v>RT_FALSE</v>
      </c>
      <c r="H496" s="1" t="str">
        <f>IF(H$467,_xll.RtContribute(H$403,H$3&amp;"FX"&amp;$C496&amp;"SDF=","DIVPAYDATE",H80,"SCOPE:SERVER"),"RT_FALSE")</f>
        <v>RT_FALSE</v>
      </c>
      <c r="I496" s="1" t="str">
        <f>IF(I$467,_xll.RtContribute(I$403,I$3&amp;"FX"&amp;$C496&amp;"SDF=","DIVPAYDATE",I80,"SCOPE:SERVER"),"RT_FALSE")</f>
        <v>RT_FALSE</v>
      </c>
      <c r="J496" s="1" t="str">
        <f>IF(J$467,_xll.RtContribute(J$403,J$3&amp;"FX"&amp;$C496&amp;"SDF=","DIVPAYDATE",J80,"SCOPE:SERVER"),"RT_FALSE")</f>
        <v>RT_FALSE</v>
      </c>
      <c r="K496" s="1" t="str">
        <f>IF(K$467,_xll.RtContribute(K$403,K$3&amp;"FX"&amp;$C496&amp;"SDF=","DIVPAYDATE",K80,"SCOPE:SERVER"),"RT_FALSE")</f>
        <v>RT_FALSE</v>
      </c>
      <c r="L496" s="1" t="str">
        <f>IF(L$467,_xll.RtContribute(L$403,L$3&amp;"FX"&amp;$C496&amp;"SDF=","DIVPAYDATE",L80,"SCOPE:SERVER"),"RT_FALSE")</f>
        <v>RT_FALSE</v>
      </c>
      <c r="M496" s="1" t="str">
        <f>IF(M$467,_xll.RtContribute(M$403,M$3&amp;"FX"&amp;$C496&amp;"SDF=","DIVPAYDATE",M80,"SCOPE:SERVER"),"RT_FALSE")</f>
        <v>RT_FALSE</v>
      </c>
      <c r="N496" s="1" t="str">
        <f>IF(N$467,_xll.RtContribute(N$403,N$3&amp;"FX"&amp;$C496&amp;"SDF=","DIVPAYDATE",N80,"SCOPE:SERVER"),"RT_FALSE")</f>
        <v>RT_FALSE</v>
      </c>
      <c r="O496" s="1" t="str">
        <f>IF(O$467,_xll.RtContribute(O$403,O$3&amp;"FX"&amp;$C496&amp;"SDF=","DIVPAYDATE",O80,"SCOPE:SERVER"),"RT_FALSE")</f>
        <v>RT_FALSE</v>
      </c>
      <c r="P496" s="1" t="str">
        <f>IF(P$467,_xll.RtContribute(P$403,P$3&amp;"FX"&amp;$C496&amp;"SDF=","DIVPAYDATE",P80,"SCOPE:SERVER"),"RT_FALSE")</f>
        <v>RT_FALSE</v>
      </c>
      <c r="Q496" s="1" t="str">
        <f>IF(Q$467,_xll.RtContribute(Q$403,Q$3&amp;"FX"&amp;$C496&amp;"SDF=","DIVPAYDATE",Q80,"SCOPE:SERVER"),"RT_FALSE")</f>
        <v>RT_FALSE</v>
      </c>
      <c r="R496" s="1" t="str">
        <f>IF(R$467,_xll.RtContribute(R$403,R$3&amp;"FX"&amp;$C496&amp;"SDF=","DIVPAYDATE",R80,"SCOPE:SERVER"),"RT_FALSE")</f>
        <v>RT_FALSE</v>
      </c>
      <c r="S496" s="1" t="str">
        <f>IF(S$467,_xll.RtContribute(S$403,S$3&amp;"FX"&amp;$C496&amp;"SDF=","DIVPAYDATE",S80,"SCOPE:SERVER"),"RT_FALSE")</f>
        <v>RT_FALSE</v>
      </c>
      <c r="T496" s="1" t="str">
        <f>IF(T$467,_xll.RtContribute(T$403,T$3&amp;"FX"&amp;$C496&amp;"SDF=","DIVPAYDATE",T80,"SCOPE:SERVER"),"RT_FALSE")</f>
        <v>RT_FALSE</v>
      </c>
      <c r="U496" s="1" t="str">
        <f>IF(U$467,_xll.RtContribute(U$403,U$3&amp;"FX"&amp;$C496&amp;"SDF=","DIVPAYDATE",U80,"SCOPE:SERVER"),"RT_FALSE")</f>
        <v>RT_FALSE</v>
      </c>
      <c r="V496" s="1" t="str">
        <f>IF(V$467,_xll.RtContribute(V$403,V$3&amp;"FX"&amp;$C496&amp;"SDF=","DIVPAYDATE",V80,"SCOPE:SERVER"),"RT_FALSE")</f>
        <v>RT_FALSE</v>
      </c>
      <c r="W496" s="1" t="str">
        <f>IF(W$467,_xll.RtContribute(W$403,W$3&amp;"FX"&amp;$C496&amp;"SDF=","DIVPAYDATE",W80,"SCOPE:SERVER"),"RT_FALSE")</f>
        <v>RT_FALSE</v>
      </c>
      <c r="X496" s="1" t="str">
        <f>IF(X$467,_xll.RtContribute(X$403,X$3&amp;"FX"&amp;$C496&amp;"SDF=","DIVPAYDATE",X80,"SCOPE:SERVER"),"RT_FALSE")</f>
        <v>RT_FALSE</v>
      </c>
      <c r="Y496" s="1" t="str">
        <f>IF(Y$467,_xll.RtContribute(Y$403,Y$3&amp;"FX"&amp;$C496&amp;"SDF=","DIVPAYDATE",Y80,"SCOPE:SERVER"),"RT_FALSE")</f>
        <v>RT_FALSE</v>
      </c>
      <c r="Z496" s="1" t="str">
        <f>IF(Z$467,_xll.RtContribute(Z$403,Z$3&amp;"FX"&amp;$C496&amp;"SDF=","DIVPAYDATE",Z80,"SCOPE:SERVER"),"RT_FALSE")</f>
        <v>RT_FALSE</v>
      </c>
      <c r="AA496" s="1" t="str">
        <f>IF(AA$467,_xll.RtContribute(AA$403,AA$3&amp;"FX"&amp;$C496&amp;"SDF=","DIVPAYDATE",AA80,"SCOPE:SERVER"),"RT_FALSE")</f>
        <v>RT_FALSE</v>
      </c>
      <c r="AB496" s="1" t="str">
        <f>IF(AB$467,_xll.RtContribute(AB$403,AB$3&amp;"FX"&amp;$C496&amp;"SDF=","DIVPAYDATE",AB80,"SCOPE:SERVER"),"RT_FALSE")</f>
        <v>RT_FALSE</v>
      </c>
      <c r="AC496" s="1" t="str">
        <f>IF(AC$467,_xll.RtContribute(AC$403,AC$3&amp;"FX"&amp;$C496&amp;"SDF=","DIVPAYDATE",AC80,"SCOPE:SERVER"),"RT_FALSE")</f>
        <v>RT_FALSE</v>
      </c>
      <c r="AD496" s="1" t="str">
        <f>IF(AD$467,_xll.RtContribute(AD$403,AD$3&amp;"FX"&amp;$C496&amp;"SDF=","DIVPAYDATE",AD80,"SCOPE:SERVER"),"RT_FALSE")</f>
        <v>RT_FALSE</v>
      </c>
      <c r="AE496" s="1" t="str">
        <f>IF(AE$467,_xll.RtContribute(AE$403,AE$3&amp;"FX"&amp;$C496&amp;"SDF=","DIVPAYDATE",AE80,"SCOPE:SERVER"),"RT_FALSE")</f>
        <v>RT_FALSE</v>
      </c>
      <c r="AF496" s="1" t="str">
        <f>IF(AF$467,_xll.RtContribute(AF$403,AF$3&amp;"FX"&amp;$C496&amp;"SDF=","DIVPAYDATE",AF80,"SCOPE:SERVER"),"RT_FALSE")</f>
        <v>RT_FALSE</v>
      </c>
      <c r="AG496" s="1" t="str">
        <f>IF(AG$467,_xll.RtContribute(AG$403,AG$3&amp;"FX"&amp;$C496&amp;"SDF=","DIVPAYDATE",AG80,"SCOPE:SERVER"),"RT_FALSE")</f>
        <v>RT_FALSE</v>
      </c>
      <c r="AH496" s="1" t="str">
        <f>IF(AH$467,_xll.RtContribute(AH$403,AH$3&amp;"FX"&amp;$C496&amp;"SDF=","DIVPAYDATE",AH80,"SCOPE:SERVER"),"RT_FALSE")</f>
        <v>RT_FALSE</v>
      </c>
      <c r="AI496" s="1" t="str">
        <f>IF(AI$467,_xll.RtContribute(AI$403,AI$3&amp;"FX"&amp;$C496&amp;"SDF=","DIVPAYDATE",AI80,"SCOPE:SERVER"),"RT_FALSE")</f>
        <v>RT_FALSE</v>
      </c>
      <c r="AJ496" s="1" t="str">
        <f>IF(AJ$467,_xll.RtContribute(AJ$403,AJ$3&amp;"FX"&amp;$C496&amp;"SDF=","DIVPAYDATE",AJ80,"SCOPE:SERVER"),"RT_FALSE")</f>
        <v>RT_FALSE</v>
      </c>
      <c r="AK496" s="1" t="str">
        <f>IF(AK$467,_xll.RtContribute(AK$403,AK$3&amp;"FX"&amp;$C496&amp;"SDF=","DIVPAYDATE",AK80,"SCOPE:SERVER"),"RT_FALSE")</f>
        <v>RT_FALSE</v>
      </c>
      <c r="AL496" s="1" t="str">
        <f>IF(AL$467,_xll.RtContribute(AL$403,AL$3&amp;"FX"&amp;$C496&amp;"SDF=","DIVPAYDATE",AL80,"SCOPE:SERVER"),"RT_FALSE")</f>
        <v>RT_FALSE</v>
      </c>
      <c r="AM496" s="1" t="str">
        <f>IF(AM$467,_xll.RtContribute(AM$403,AM$3&amp;"FX"&amp;$C496&amp;"SDF=","DIVPAYDATE",AM80,"SCOPE:SERVER"),"RT_FALSE")</f>
        <v>RT_FALSE</v>
      </c>
      <c r="AN496" s="1" t="str">
        <f>IF(AN$467,_xll.RtContribute(AN$403,AN$3&amp;"FX"&amp;$C496&amp;"SDF=","DIVPAYDATE",AN80,"SCOPE:SERVER"),"RT_FALSE")</f>
        <v>RT_FALSE</v>
      </c>
      <c r="AO496" s="1" t="str">
        <f>IF(AO$467,_xll.RtContribute(AO$403,AO$3&amp;"FX"&amp;$C496&amp;"SDF=","DIVPAYDATE",AO80,"SCOPE:SERVER"),"RT_FALSE")</f>
        <v>RT_FALSE</v>
      </c>
      <c r="AP496" s="1" t="str">
        <f>IF(AP$467,_xll.RtContribute(AP$403,AP$3&amp;"FX"&amp;$C496&amp;"SDF=","DIVPAYDATE",AP80,"SCOPE:SERVER"),"RT_FALSE")</f>
        <v>RT_FALSE</v>
      </c>
    </row>
    <row r="497" spans="2:42" x14ac:dyDescent="0.2">
      <c r="C497" s="1" t="s">
        <v>164</v>
      </c>
      <c r="D497" s="1" t="str">
        <f>IF(D$467,_xll.RtContribute(D$403,D$3&amp;"FX"&amp;$C497&amp;"SDF=","DIVPAYDATE",D81,"SCOPE:SERVER"),"RT_FALSE")</f>
        <v>RT_FALSE</v>
      </c>
      <c r="E497" s="1" t="str">
        <f>IF(E$467,_xll.RtContribute(E$403,E$3&amp;"FX"&amp;$C497&amp;"SDF=","DIVPAYDATE",E81,"SCOPE:SERVER"),"RT_FALSE")</f>
        <v>RT_FALSE</v>
      </c>
      <c r="F497" s="1" t="str">
        <f>IF(F$467,_xll.RtContribute(F$403,F$3&amp;"FX"&amp;$C497&amp;"SDF=","DIVPAYDATE",F81,"SCOPE:SERVER"),"RT_FALSE")</f>
        <v>RT_FALSE</v>
      </c>
      <c r="G497" s="1" t="str">
        <f>IF(G$467,_xll.RtContribute(G$403,G$3&amp;"FX"&amp;$C497&amp;"SDF=","DIVPAYDATE",G81,"SCOPE:SERVER"),"RT_FALSE")</f>
        <v>RT_FALSE</v>
      </c>
      <c r="H497" s="1" t="str">
        <f>IF(H$467,_xll.RtContribute(H$403,H$3&amp;"FX"&amp;$C497&amp;"SDF=","DIVPAYDATE",H81,"SCOPE:SERVER"),"RT_FALSE")</f>
        <v>RT_FALSE</v>
      </c>
      <c r="I497" s="1" t="str">
        <f>IF(I$467,_xll.RtContribute(I$403,I$3&amp;"FX"&amp;$C497&amp;"SDF=","DIVPAYDATE",I81,"SCOPE:SERVER"),"RT_FALSE")</f>
        <v>RT_FALSE</v>
      </c>
      <c r="J497" s="1" t="str">
        <f>IF(J$467,_xll.RtContribute(J$403,J$3&amp;"FX"&amp;$C497&amp;"SDF=","DIVPAYDATE",J81,"SCOPE:SERVER"),"RT_FALSE")</f>
        <v>RT_FALSE</v>
      </c>
      <c r="K497" s="1" t="str">
        <f>IF(K$467,_xll.RtContribute(K$403,K$3&amp;"FX"&amp;$C497&amp;"SDF=","DIVPAYDATE",K81,"SCOPE:SERVER"),"RT_FALSE")</f>
        <v>RT_FALSE</v>
      </c>
      <c r="L497" s="1" t="str">
        <f>IF(L$467,_xll.RtContribute(L$403,L$3&amp;"FX"&amp;$C497&amp;"SDF=","DIVPAYDATE",L81,"SCOPE:SERVER"),"RT_FALSE")</f>
        <v>RT_FALSE</v>
      </c>
      <c r="M497" s="1" t="str">
        <f>IF(M$467,_xll.RtContribute(M$403,M$3&amp;"FX"&amp;$C497&amp;"SDF=","DIVPAYDATE",M81,"SCOPE:SERVER"),"RT_FALSE")</f>
        <v>RT_FALSE</v>
      </c>
      <c r="N497" s="1" t="str">
        <f>IF(N$467,_xll.RtContribute(N$403,N$3&amp;"FX"&amp;$C497&amp;"SDF=","DIVPAYDATE",N81,"SCOPE:SERVER"),"RT_FALSE")</f>
        <v>RT_FALSE</v>
      </c>
      <c r="O497" s="1" t="str">
        <f>IF(O$467,_xll.RtContribute(O$403,O$3&amp;"FX"&amp;$C497&amp;"SDF=","DIVPAYDATE",O81,"SCOPE:SERVER"),"RT_FALSE")</f>
        <v>RT_FALSE</v>
      </c>
      <c r="P497" s="1" t="str">
        <f>IF(P$467,_xll.RtContribute(P$403,P$3&amp;"FX"&amp;$C497&amp;"SDF=","DIVPAYDATE",P81,"SCOPE:SERVER"),"RT_FALSE")</f>
        <v>RT_FALSE</v>
      </c>
      <c r="Q497" s="1" t="str">
        <f>IF(Q$467,_xll.RtContribute(Q$403,Q$3&amp;"FX"&amp;$C497&amp;"SDF=","DIVPAYDATE",Q81,"SCOPE:SERVER"),"RT_FALSE")</f>
        <v>RT_FALSE</v>
      </c>
      <c r="R497" s="1" t="str">
        <f>IF(R$467,_xll.RtContribute(R$403,R$3&amp;"FX"&amp;$C497&amp;"SDF=","DIVPAYDATE",R81,"SCOPE:SERVER"),"RT_FALSE")</f>
        <v>RT_FALSE</v>
      </c>
      <c r="S497" s="1" t="str">
        <f>IF(S$467,_xll.RtContribute(S$403,S$3&amp;"FX"&amp;$C497&amp;"SDF=","DIVPAYDATE",S81,"SCOPE:SERVER"),"RT_FALSE")</f>
        <v>RT_FALSE</v>
      </c>
      <c r="T497" s="1" t="str">
        <f>IF(T$467,_xll.RtContribute(T$403,T$3&amp;"FX"&amp;$C497&amp;"SDF=","DIVPAYDATE",T81,"SCOPE:SERVER"),"RT_FALSE")</f>
        <v>RT_FALSE</v>
      </c>
      <c r="U497" s="1" t="str">
        <f>IF(U$467,_xll.RtContribute(U$403,U$3&amp;"FX"&amp;$C497&amp;"SDF=","DIVPAYDATE",U81,"SCOPE:SERVER"),"RT_FALSE")</f>
        <v>RT_FALSE</v>
      </c>
      <c r="V497" s="1" t="str">
        <f>IF(V$467,_xll.RtContribute(V$403,V$3&amp;"FX"&amp;$C497&amp;"SDF=","DIVPAYDATE",V81,"SCOPE:SERVER"),"RT_FALSE")</f>
        <v>RT_FALSE</v>
      </c>
      <c r="W497" s="1" t="str">
        <f>IF(W$467,_xll.RtContribute(W$403,W$3&amp;"FX"&amp;$C497&amp;"SDF=","DIVPAYDATE",W81,"SCOPE:SERVER"),"RT_FALSE")</f>
        <v>RT_FALSE</v>
      </c>
      <c r="X497" s="1" t="str">
        <f>IF(X$467,_xll.RtContribute(X$403,X$3&amp;"FX"&amp;$C497&amp;"SDF=","DIVPAYDATE",X81,"SCOPE:SERVER"),"RT_FALSE")</f>
        <v>RT_FALSE</v>
      </c>
      <c r="Y497" s="1" t="str">
        <f>IF(Y$467,_xll.RtContribute(Y$403,Y$3&amp;"FX"&amp;$C497&amp;"SDF=","DIVPAYDATE",Y81,"SCOPE:SERVER"),"RT_FALSE")</f>
        <v>RT_FALSE</v>
      </c>
      <c r="Z497" s="1" t="str">
        <f>IF(Z$467,_xll.RtContribute(Z$403,Z$3&amp;"FX"&amp;$C497&amp;"SDF=","DIVPAYDATE",Z81,"SCOPE:SERVER"),"RT_FALSE")</f>
        <v>RT_FALSE</v>
      </c>
      <c r="AA497" s="1" t="str">
        <f>IF(AA$467,_xll.RtContribute(AA$403,AA$3&amp;"FX"&amp;$C497&amp;"SDF=","DIVPAYDATE",AA81,"SCOPE:SERVER"),"RT_FALSE")</f>
        <v>RT_FALSE</v>
      </c>
      <c r="AB497" s="1" t="str">
        <f>IF(AB$467,_xll.RtContribute(AB$403,AB$3&amp;"FX"&amp;$C497&amp;"SDF=","DIVPAYDATE",AB81,"SCOPE:SERVER"),"RT_FALSE")</f>
        <v>RT_FALSE</v>
      </c>
      <c r="AC497" s="1" t="str">
        <f>IF(AC$467,_xll.RtContribute(AC$403,AC$3&amp;"FX"&amp;$C497&amp;"SDF=","DIVPAYDATE",AC81,"SCOPE:SERVER"),"RT_FALSE")</f>
        <v>RT_FALSE</v>
      </c>
      <c r="AD497" s="1" t="str">
        <f>IF(AD$467,_xll.RtContribute(AD$403,AD$3&amp;"FX"&amp;$C497&amp;"SDF=","DIVPAYDATE",AD81,"SCOPE:SERVER"),"RT_FALSE")</f>
        <v>RT_FALSE</v>
      </c>
      <c r="AE497" s="1" t="str">
        <f>IF(AE$467,_xll.RtContribute(AE$403,AE$3&amp;"FX"&amp;$C497&amp;"SDF=","DIVPAYDATE",AE81,"SCOPE:SERVER"),"RT_FALSE")</f>
        <v>RT_FALSE</v>
      </c>
      <c r="AF497" s="1" t="str">
        <f>IF(AF$467,_xll.RtContribute(AF$403,AF$3&amp;"FX"&amp;$C497&amp;"SDF=","DIVPAYDATE",AF81,"SCOPE:SERVER"),"RT_FALSE")</f>
        <v>RT_FALSE</v>
      </c>
      <c r="AG497" s="1" t="str">
        <f>IF(AG$467,_xll.RtContribute(AG$403,AG$3&amp;"FX"&amp;$C497&amp;"SDF=","DIVPAYDATE",AG81,"SCOPE:SERVER"),"RT_FALSE")</f>
        <v>RT_FALSE</v>
      </c>
      <c r="AH497" s="1" t="str">
        <f>IF(AH$467,_xll.RtContribute(AH$403,AH$3&amp;"FX"&amp;$C497&amp;"SDF=","DIVPAYDATE",AH81,"SCOPE:SERVER"),"RT_FALSE")</f>
        <v>RT_FALSE</v>
      </c>
      <c r="AI497" s="1" t="str">
        <f>IF(AI$467,_xll.RtContribute(AI$403,AI$3&amp;"FX"&amp;$C497&amp;"SDF=","DIVPAYDATE",AI81,"SCOPE:SERVER"),"RT_FALSE")</f>
        <v>RT_FALSE</v>
      </c>
      <c r="AJ497" s="1" t="str">
        <f>IF(AJ$467,_xll.RtContribute(AJ$403,AJ$3&amp;"FX"&amp;$C497&amp;"SDF=","DIVPAYDATE",AJ81,"SCOPE:SERVER"),"RT_FALSE")</f>
        <v>RT_FALSE</v>
      </c>
      <c r="AK497" s="1" t="str">
        <f>IF(AK$467,_xll.RtContribute(AK$403,AK$3&amp;"FX"&amp;$C497&amp;"SDF=","DIVPAYDATE",AK81,"SCOPE:SERVER"),"RT_FALSE")</f>
        <v>RT_FALSE</v>
      </c>
      <c r="AL497" s="1" t="str">
        <f>IF(AL$467,_xll.RtContribute(AL$403,AL$3&amp;"FX"&amp;$C497&amp;"SDF=","DIVPAYDATE",AL81,"SCOPE:SERVER"),"RT_FALSE")</f>
        <v>RT_FALSE</v>
      </c>
      <c r="AM497" s="1" t="str">
        <f>IF(AM$467,_xll.RtContribute(AM$403,AM$3&amp;"FX"&amp;$C497&amp;"SDF=","DIVPAYDATE",AM81,"SCOPE:SERVER"),"RT_FALSE")</f>
        <v>RT_FALSE</v>
      </c>
      <c r="AN497" s="1" t="str">
        <f>IF(AN$467,_xll.RtContribute(AN$403,AN$3&amp;"FX"&amp;$C497&amp;"SDF=","DIVPAYDATE",AN81,"SCOPE:SERVER"),"RT_FALSE")</f>
        <v>RT_FALSE</v>
      </c>
      <c r="AO497" s="1" t="str">
        <f>IF(AO$467,_xll.RtContribute(AO$403,AO$3&amp;"FX"&amp;$C497&amp;"SDF=","DIVPAYDATE",AO81,"SCOPE:SERVER"),"RT_FALSE")</f>
        <v>RT_FALSE</v>
      </c>
      <c r="AP497" s="1" t="str">
        <f>IF(AP$467,_xll.RtContribute(AP$403,AP$3&amp;"FX"&amp;$C497&amp;"SDF=","DIVPAYDATE",AP81,"SCOPE:SERVER"),"RT_FALSE")</f>
        <v>RT_FALSE</v>
      </c>
    </row>
    <row r="498" spans="2:42" x14ac:dyDescent="0.2">
      <c r="C498" s="4" t="s">
        <v>311</v>
      </c>
    </row>
    <row r="499" spans="2:42" x14ac:dyDescent="0.2">
      <c r="C499" s="1" t="s">
        <v>23</v>
      </c>
      <c r="D499" s="1" t="str">
        <f>IF(D$467,_xll.RtContribute(D$403,D$3&amp;"FX"&amp;$C499&amp;"DDF=","BID",D21,"SCOPE:SERVER"),"RT_FALSE")</f>
        <v>RT_FALSE</v>
      </c>
      <c r="E499" s="1" t="str">
        <f>IF(E$467,_xll.RtContribute(E$403,E$3&amp;"FX"&amp;$C499&amp;"DDF=","BID",E275,"SCOPE:SERVER"),"RT_FALSE")</f>
        <v>RT_FALSE</v>
      </c>
      <c r="F499" s="1" t="str">
        <f>IF(F$467,_xll.RtContribute(F$403,F$3&amp;"FX"&amp;$C499&amp;"DDF=","BID",F275,"SCOPE:SERVER"),"RT_FALSE")</f>
        <v>RT_FALSE</v>
      </c>
      <c r="G499" s="1" t="str">
        <f>IF(G$467,_xll.RtContribute(G$403,G$3&amp;"FX"&amp;$C499&amp;"DDF=","BID",G275,"SCOPE:SERVER"),"RT_FALSE")</f>
        <v>RT_FALSE</v>
      </c>
      <c r="H499" s="1" t="str">
        <f>IF(H$467,_xll.RtContribute(H$403,H$3&amp;"FX"&amp;$C499&amp;"DDF=","BID",H275,"SCOPE:SERVER"),"RT_FALSE")</f>
        <v>RT_FALSE</v>
      </c>
      <c r="I499" s="1" t="str">
        <f>IF(I$467,_xll.RtContribute(I$403,I$3&amp;"FX"&amp;$C499&amp;"DDF=","BID",I275,"SCOPE:SERVER"),"RT_FALSE")</f>
        <v>RT_FALSE</v>
      </c>
      <c r="J499" s="1" t="str">
        <f>IF(J$467,_xll.RtContribute(J$403,J$3&amp;"FX"&amp;$C499&amp;"DDF=","BID",J275,"SCOPE:SERVER"),"RT_FALSE")</f>
        <v>RT_FALSE</v>
      </c>
      <c r="K499" s="1" t="str">
        <f>IF(K$467,_xll.RtContribute(K$403,K$3&amp;"FX"&amp;$C499&amp;"DDF=","BID",K275,"SCOPE:SERVER"),"RT_FALSE")</f>
        <v>RT_FALSE</v>
      </c>
      <c r="L499" s="1" t="str">
        <f>IF(L$467,_xll.RtContribute(L$403,L$3&amp;"FX"&amp;$C499&amp;"DDF=","BID",L275,"SCOPE:SERVER"),"RT_FALSE")</f>
        <v>RT_FALSE</v>
      </c>
      <c r="M499" s="1" t="str">
        <f>IF(M$467,_xll.RtContribute(M$403,M$3&amp;"FX"&amp;$C499&amp;"DDF=","BID",M275,"SCOPE:SERVER"),"RT_FALSE")</f>
        <v>RT_FALSE</v>
      </c>
      <c r="N499" s="1" t="str">
        <f>IF(N$467,_xll.RtContribute(N$403,N$3&amp;"FX"&amp;$C499&amp;"DDF=","BID",N275,"SCOPE:SERVER"),"RT_FALSE")</f>
        <v>RT_FALSE</v>
      </c>
      <c r="O499" s="1" t="str">
        <f>IF(O$467,_xll.RtContribute(O$403,O$3&amp;"FX"&amp;$C499&amp;"DDF=","BID",O275,"SCOPE:SERVER"),"RT_FALSE")</f>
        <v>RT_FALSE</v>
      </c>
      <c r="P499" s="1" t="str">
        <f>IF(P$467,_xll.RtContribute(P$403,P$3&amp;"FX"&amp;$C499&amp;"DDF=","BID",P275,"SCOPE:SERVER"),"RT_FALSE")</f>
        <v>RT_FALSE</v>
      </c>
      <c r="Q499" s="1" t="str">
        <f>IF(Q$467,_xll.RtContribute(Q$403,Q$3&amp;"FX"&amp;$C499&amp;"DDF=","BID",Q275,"SCOPE:SERVER"),"RT_FALSE")</f>
        <v>RT_FALSE</v>
      </c>
      <c r="R499" s="1" t="str">
        <f>IF(R$467,_xll.RtContribute(R$403,R$3&amp;"FX"&amp;$C499&amp;"DDF=","BID",R275,"SCOPE:SERVER"),"RT_FALSE")</f>
        <v>RT_FALSE</v>
      </c>
      <c r="S499" s="1" t="str">
        <f>IF(S$467,_xll.RtContribute(S$403,S$3&amp;"FX"&amp;$C499&amp;"DDF=","BID",S275,"SCOPE:SERVER"),"RT_FALSE")</f>
        <v>RT_FALSE</v>
      </c>
      <c r="T499" s="1" t="str">
        <f>IF(T$467,_xll.RtContribute(T$403,T$3&amp;"FX"&amp;$C499&amp;"DDF=","BID",T275,"SCOPE:SERVER"),"RT_FALSE")</f>
        <v>RT_FALSE</v>
      </c>
      <c r="U499" s="1" t="str">
        <f>IF(U$467,_xll.RtContribute(U$403,U$3&amp;"FX"&amp;$C499&amp;"DDF=","BID",U275,"SCOPE:SERVER"),"RT_FALSE")</f>
        <v>RT_FALSE</v>
      </c>
      <c r="V499" s="1" t="str">
        <f>IF(V$467,_xll.RtContribute(V$403,V$3&amp;"FX"&amp;$C499&amp;"DDF=","BID",V275,"SCOPE:SERVER"),"RT_FALSE")</f>
        <v>RT_FALSE</v>
      </c>
      <c r="W499" s="1" t="str">
        <f>IF(W$467,_xll.RtContribute(W$403,W$3&amp;"FX"&amp;$C499&amp;"DDF=","BID",W275,"SCOPE:SERVER"),"RT_FALSE")</f>
        <v>RT_FALSE</v>
      </c>
      <c r="X499" s="1" t="str">
        <f>IF(X$467,_xll.RtContribute(X$403,X$3&amp;"FX"&amp;$C499&amp;"DDF=","BID",X275,"SCOPE:SERVER"),"RT_FALSE")</f>
        <v>RT_FALSE</v>
      </c>
      <c r="Y499" s="1" t="str">
        <f>IF(Y$467,_xll.RtContribute(Y$403,Y$3&amp;"FX"&amp;$C499&amp;"DDF=","BID",Y275,"SCOPE:SERVER"),"RT_FALSE")</f>
        <v>RT_FALSE</v>
      </c>
      <c r="Z499" s="1" t="str">
        <f>IF(Z$467,_xll.RtContribute(Z$403,Z$3&amp;"FX"&amp;$C499&amp;"DDF=","BID",Z275,"SCOPE:SERVER"),"RT_FALSE")</f>
        <v>RT_FALSE</v>
      </c>
      <c r="AA499" s="1" t="str">
        <f>IF(AA$467,_xll.RtContribute(AA$403,AA$3&amp;"FX"&amp;$C499&amp;"DDF=","BID",AA275,"SCOPE:SERVER"),"RT_FALSE")</f>
        <v>RT_FALSE</v>
      </c>
      <c r="AB499" s="1" t="str">
        <f>IF(AB$467,_xll.RtContribute(AB$403,AB$3&amp;"FX"&amp;$C499&amp;"DDF=","BID",AB275,"SCOPE:SERVER"),"RT_FALSE")</f>
        <v>RT_FALSE</v>
      </c>
      <c r="AC499" s="1" t="str">
        <f>IF(AC$467,_xll.RtContribute(AC$403,AC$3&amp;"FX"&amp;$C499&amp;"DDF=","BID",AC275,"SCOPE:SERVER"),"RT_FALSE")</f>
        <v>RT_FALSE</v>
      </c>
      <c r="AD499" s="1" t="str">
        <f>IF(AD$467,_xll.RtContribute(AD$403,AD$3&amp;"FX"&amp;$C499&amp;"DDF=","BID",AD275,"SCOPE:SERVER"),"RT_FALSE")</f>
        <v>RT_FALSE</v>
      </c>
      <c r="AE499" s="1" t="str">
        <f>IF(AE$467,_xll.RtContribute(AE$403,AE$3&amp;"FX"&amp;$C499&amp;"DDF=","BID",AE275,"SCOPE:SERVER"),"RT_FALSE")</f>
        <v>RT_FALSE</v>
      </c>
      <c r="AF499" s="1" t="str">
        <f>IF(AF$467,_xll.RtContribute(AF$403,AF$3&amp;"FX"&amp;$C499&amp;"DDF=","BID",AF275,"SCOPE:SERVER"),"RT_FALSE")</f>
        <v>RT_FALSE</v>
      </c>
      <c r="AG499" s="1" t="str">
        <f>IF(AG$467,_xll.RtContribute(AG$403,AG$3&amp;"FX"&amp;$C499&amp;"DDF=","BID",AG275,"SCOPE:SERVER"),"RT_FALSE")</f>
        <v>RT_FALSE</v>
      </c>
      <c r="AH499" s="1" t="str">
        <f>IF(AH$467,_xll.RtContribute(AH$403,AH$3&amp;"FX"&amp;$C499&amp;"DDF=","BID",AH275,"SCOPE:SERVER"),"RT_FALSE")</f>
        <v>RT_FALSE</v>
      </c>
      <c r="AI499" s="1" t="str">
        <f>IF(AI$467,_xll.RtContribute(AI$403,AI$3&amp;"FX"&amp;$C499&amp;"DDF=","BID",AI275,"SCOPE:SERVER"),"RT_FALSE")</f>
        <v>RT_FALSE</v>
      </c>
      <c r="AJ499" s="1" t="str">
        <f>IF(AJ$467,_xll.RtContribute(AJ$403,AJ$3&amp;"FX"&amp;$C499&amp;"DDF=","BID",AJ275,"SCOPE:SERVER"),"RT_FALSE")</f>
        <v>RT_FALSE</v>
      </c>
      <c r="AK499" s="1" t="str">
        <f>IF(AK$467,_xll.RtContribute(AK$403,AK$3&amp;"FX"&amp;$C499&amp;"DDF=","BID",AK275,"SCOPE:SERVER"),"RT_FALSE")</f>
        <v>RT_FALSE</v>
      </c>
      <c r="AL499" s="1" t="str">
        <f>IF(AL$467,_xll.RtContribute(AL$403,AL$3&amp;"FX"&amp;$C499&amp;"DDF=","BID",AL275,"SCOPE:SERVER"),"RT_FALSE")</f>
        <v>RT_FALSE</v>
      </c>
      <c r="AM499" s="1" t="str">
        <f>IF(AM$467,_xll.RtContribute(AM$403,AM$3&amp;"FX"&amp;$C499&amp;"DDF=","BID",AM275,"SCOPE:SERVER"),"RT_FALSE")</f>
        <v>RT_FALSE</v>
      </c>
      <c r="AN499" s="1" t="str">
        <f>IF(AN$467,_xll.RtContribute(AN$403,AN$3&amp;"FX"&amp;$C499&amp;"DDF=","BID",AN275,"SCOPE:SERVER"),"RT_FALSE")</f>
        <v>RT_FALSE</v>
      </c>
      <c r="AO499" s="1" t="str">
        <f>IF(AO$467,_xll.RtContribute(AO$403,AO$3&amp;"FX"&amp;$C499&amp;"DDF=","BID",AO275,"SCOPE:SERVER"),"RT_FALSE")</f>
        <v>RT_FALSE</v>
      </c>
      <c r="AP499" s="1" t="str">
        <f>IF(AP$467,_xll.RtContribute(AP$403,AP$3&amp;"FX"&amp;$C499&amp;"DDF=","BID",AP275,"SCOPE:SERVER"),"RT_FALSE")</f>
        <v>RT_FALSE</v>
      </c>
    </row>
    <row r="500" spans="2:42" x14ac:dyDescent="0.2">
      <c r="C500" s="1" t="s">
        <v>30</v>
      </c>
      <c r="D500" s="1" t="str">
        <f>IF(D$467,_xll.RtContribute(D$403,D$3&amp;"FX"&amp;$C500&amp;"DDF=","BID",D22,"SCOPE:SERVER"),"RT_FALSE")</f>
        <v>RT_FALSE</v>
      </c>
      <c r="E500" s="1" t="str">
        <f>IF(E$467,_xll.RtContribute(E$403,E$3&amp;"FX"&amp;$C500&amp;"DDF=","BID",E276,"SCOPE:SERVER"),"RT_FALSE")</f>
        <v>RT_FALSE</v>
      </c>
      <c r="F500" s="1" t="str">
        <f>IF(F$467,_xll.RtContribute(F$403,F$3&amp;"FX"&amp;$C500&amp;"DDF=","BID",F276,"SCOPE:SERVER"),"RT_FALSE")</f>
        <v>RT_FALSE</v>
      </c>
      <c r="G500" s="1" t="str">
        <f>IF(G$467,_xll.RtContribute(G$403,G$3&amp;"FX"&amp;$C500&amp;"DDF=","BID",G276,"SCOPE:SERVER"),"RT_FALSE")</f>
        <v>RT_FALSE</v>
      </c>
      <c r="H500" s="1" t="str">
        <f>IF(H$467,_xll.RtContribute(H$403,H$3&amp;"FX"&amp;$C500&amp;"DDF=","BID",H276,"SCOPE:SERVER"),"RT_FALSE")</f>
        <v>RT_FALSE</v>
      </c>
      <c r="I500" s="1" t="str">
        <f>IF(I$467,_xll.RtContribute(I$403,I$3&amp;"FX"&amp;$C500&amp;"DDF=","BID",I276,"SCOPE:SERVER"),"RT_FALSE")</f>
        <v>RT_FALSE</v>
      </c>
      <c r="J500" s="1" t="str">
        <f>IF(J$467,_xll.RtContribute(J$403,J$3&amp;"FX"&amp;$C500&amp;"DDF=","BID",J276,"SCOPE:SERVER"),"RT_FALSE")</f>
        <v>RT_FALSE</v>
      </c>
      <c r="K500" s="1" t="str">
        <f>IF(K$467,_xll.RtContribute(K$403,K$3&amp;"FX"&amp;$C500&amp;"DDF=","BID",K276,"SCOPE:SERVER"),"RT_FALSE")</f>
        <v>RT_FALSE</v>
      </c>
      <c r="L500" s="1" t="str">
        <f>IF(L$467,_xll.RtContribute(L$403,L$3&amp;"FX"&amp;$C500&amp;"DDF=","BID",L276,"SCOPE:SERVER"),"RT_FALSE")</f>
        <v>RT_FALSE</v>
      </c>
      <c r="M500" s="1" t="str">
        <f>IF(M$467,_xll.RtContribute(M$403,M$3&amp;"FX"&amp;$C500&amp;"DDF=","BID",M276,"SCOPE:SERVER"),"RT_FALSE")</f>
        <v>RT_FALSE</v>
      </c>
      <c r="N500" s="1" t="str">
        <f>IF(N$467,_xll.RtContribute(N$403,N$3&amp;"FX"&amp;$C500&amp;"DDF=","BID",N276,"SCOPE:SERVER"),"RT_FALSE")</f>
        <v>RT_FALSE</v>
      </c>
      <c r="O500" s="1" t="str">
        <f>IF(O$467,_xll.RtContribute(O$403,O$3&amp;"FX"&amp;$C500&amp;"DDF=","BID",O276,"SCOPE:SERVER"),"RT_FALSE")</f>
        <v>RT_FALSE</v>
      </c>
      <c r="P500" s="1" t="str">
        <f>IF(P$467,_xll.RtContribute(P$403,P$3&amp;"FX"&amp;$C500&amp;"DDF=","BID",P276,"SCOPE:SERVER"),"RT_FALSE")</f>
        <v>RT_FALSE</v>
      </c>
      <c r="Q500" s="1" t="str">
        <f>IF(Q$467,_xll.RtContribute(Q$403,Q$3&amp;"FX"&amp;$C500&amp;"DDF=","BID",Q276,"SCOPE:SERVER"),"RT_FALSE")</f>
        <v>RT_FALSE</v>
      </c>
      <c r="R500" s="1" t="str">
        <f>IF(R$467,_xll.RtContribute(R$403,R$3&amp;"FX"&amp;$C500&amp;"DDF=","BID",R276,"SCOPE:SERVER"),"RT_FALSE")</f>
        <v>RT_FALSE</v>
      </c>
      <c r="S500" s="1" t="str">
        <f>IF(S$467,_xll.RtContribute(S$403,S$3&amp;"FX"&amp;$C500&amp;"DDF=","BID",S276,"SCOPE:SERVER"),"RT_FALSE")</f>
        <v>RT_FALSE</v>
      </c>
      <c r="T500" s="1" t="str">
        <f>IF(T$467,_xll.RtContribute(T$403,T$3&amp;"FX"&amp;$C500&amp;"DDF=","BID",T276,"SCOPE:SERVER"),"RT_FALSE")</f>
        <v>RT_FALSE</v>
      </c>
      <c r="U500" s="1" t="str">
        <f>IF(U$467,_xll.RtContribute(U$403,U$3&amp;"FX"&amp;$C500&amp;"DDF=","BID",U276,"SCOPE:SERVER"),"RT_FALSE")</f>
        <v>RT_FALSE</v>
      </c>
      <c r="V500" s="1" t="str">
        <f>IF(V$467,_xll.RtContribute(V$403,V$3&amp;"FX"&amp;$C500&amp;"DDF=","BID",V276,"SCOPE:SERVER"),"RT_FALSE")</f>
        <v>RT_FALSE</v>
      </c>
      <c r="W500" s="1" t="str">
        <f>IF(W$467,_xll.RtContribute(W$403,W$3&amp;"FX"&amp;$C500&amp;"DDF=","BID",W276,"SCOPE:SERVER"),"RT_FALSE")</f>
        <v>RT_FALSE</v>
      </c>
      <c r="X500" s="1" t="str">
        <f>IF(X$467,_xll.RtContribute(X$403,X$3&amp;"FX"&amp;$C500&amp;"DDF=","BID",X276,"SCOPE:SERVER"),"RT_FALSE")</f>
        <v>RT_FALSE</v>
      </c>
      <c r="Y500" s="1" t="str">
        <f>IF(Y$467,_xll.RtContribute(Y$403,Y$3&amp;"FX"&amp;$C500&amp;"DDF=","BID",Y276,"SCOPE:SERVER"),"RT_FALSE")</f>
        <v>RT_FALSE</v>
      </c>
      <c r="Z500" s="1" t="str">
        <f>IF(Z$467,_xll.RtContribute(Z$403,Z$3&amp;"FX"&amp;$C500&amp;"DDF=","BID",Z276,"SCOPE:SERVER"),"RT_FALSE")</f>
        <v>RT_FALSE</v>
      </c>
      <c r="AA500" s="1" t="str">
        <f>IF(AA$467,_xll.RtContribute(AA$403,AA$3&amp;"FX"&amp;$C500&amp;"DDF=","BID",AA276,"SCOPE:SERVER"),"RT_FALSE")</f>
        <v>RT_FALSE</v>
      </c>
      <c r="AB500" s="1" t="str">
        <f>IF(AB$467,_xll.RtContribute(AB$403,AB$3&amp;"FX"&amp;$C500&amp;"DDF=","BID",AB276,"SCOPE:SERVER"),"RT_FALSE")</f>
        <v>RT_FALSE</v>
      </c>
      <c r="AC500" s="1" t="str">
        <f>IF(AC$467,_xll.RtContribute(AC$403,AC$3&amp;"FX"&amp;$C500&amp;"DDF=","BID",AC276,"SCOPE:SERVER"),"RT_FALSE")</f>
        <v>RT_FALSE</v>
      </c>
      <c r="AD500" s="1" t="str">
        <f>IF(AD$467,_xll.RtContribute(AD$403,AD$3&amp;"FX"&amp;$C500&amp;"DDF=","BID",AD276,"SCOPE:SERVER"),"RT_FALSE")</f>
        <v>RT_FALSE</v>
      </c>
      <c r="AE500" s="1" t="str">
        <f>IF(AE$467,_xll.RtContribute(AE$403,AE$3&amp;"FX"&amp;$C500&amp;"DDF=","BID",AE276,"SCOPE:SERVER"),"RT_FALSE")</f>
        <v>RT_FALSE</v>
      </c>
      <c r="AF500" s="1" t="str">
        <f>IF(AF$467,_xll.RtContribute(AF$403,AF$3&amp;"FX"&amp;$C500&amp;"DDF=","BID",AF276,"SCOPE:SERVER"),"RT_FALSE")</f>
        <v>RT_FALSE</v>
      </c>
      <c r="AG500" s="1" t="str">
        <f>IF(AG$467,_xll.RtContribute(AG$403,AG$3&amp;"FX"&amp;$C500&amp;"DDF=","BID",AG276,"SCOPE:SERVER"),"RT_FALSE")</f>
        <v>RT_FALSE</v>
      </c>
      <c r="AH500" s="1" t="str">
        <f>IF(AH$467,_xll.RtContribute(AH$403,AH$3&amp;"FX"&amp;$C500&amp;"DDF=","BID",AH276,"SCOPE:SERVER"),"RT_FALSE")</f>
        <v>RT_FALSE</v>
      </c>
      <c r="AI500" s="1" t="str">
        <f>IF(AI$467,_xll.RtContribute(AI$403,AI$3&amp;"FX"&amp;$C500&amp;"DDF=","BID",AI276,"SCOPE:SERVER"),"RT_FALSE")</f>
        <v>RT_FALSE</v>
      </c>
      <c r="AJ500" s="1" t="str">
        <f>IF(AJ$467,_xll.RtContribute(AJ$403,AJ$3&amp;"FX"&amp;$C500&amp;"DDF=","BID",AJ276,"SCOPE:SERVER"),"RT_FALSE")</f>
        <v>RT_FALSE</v>
      </c>
      <c r="AK500" s="1" t="str">
        <f>IF(AK$467,_xll.RtContribute(AK$403,AK$3&amp;"FX"&amp;$C500&amp;"DDF=","BID",AK276,"SCOPE:SERVER"),"RT_FALSE")</f>
        <v>RT_FALSE</v>
      </c>
      <c r="AL500" s="1" t="str">
        <f>IF(AL$467,_xll.RtContribute(AL$403,AL$3&amp;"FX"&amp;$C500&amp;"DDF=","BID",AL276,"SCOPE:SERVER"),"RT_FALSE")</f>
        <v>RT_FALSE</v>
      </c>
      <c r="AM500" s="1" t="str">
        <f>IF(AM$467,_xll.RtContribute(AM$403,AM$3&amp;"FX"&amp;$C500&amp;"DDF=","BID",AM276,"SCOPE:SERVER"),"RT_FALSE")</f>
        <v>RT_FALSE</v>
      </c>
      <c r="AN500" s="1" t="str">
        <f>IF(AN$467,_xll.RtContribute(AN$403,AN$3&amp;"FX"&amp;$C500&amp;"DDF=","BID",AN276,"SCOPE:SERVER"),"RT_FALSE")</f>
        <v>RT_FALSE</v>
      </c>
      <c r="AO500" s="1" t="str">
        <f>IF(AO$467,_xll.RtContribute(AO$403,AO$3&amp;"FX"&amp;$C500&amp;"DDF=","BID",AO276,"SCOPE:SERVER"),"RT_FALSE")</f>
        <v>RT_FALSE</v>
      </c>
      <c r="AP500" s="1" t="str">
        <f>IF(AP$467,_xll.RtContribute(AP$403,AP$3&amp;"FX"&amp;$C500&amp;"DDF=","BID",AP276,"SCOPE:SERVER"),"RT_FALSE")</f>
        <v>RT_FALSE</v>
      </c>
    </row>
    <row r="501" spans="2:42" x14ac:dyDescent="0.2">
      <c r="C501" s="1" t="s">
        <v>41</v>
      </c>
      <c r="D501" s="1" t="str">
        <f>IF(D$467,_xll.RtContribute(D$403,D$3&amp;"FX"&amp;$C501&amp;"DDF=","BID",D23,"SCOPE:SERVER"),"RT_FALSE")</f>
        <v>RT_FALSE</v>
      </c>
      <c r="E501" s="1" t="str">
        <f>IF(E$467,_xll.RtContribute(E$403,E$3&amp;"FX"&amp;$C501&amp;"DDF=","BID",E277,"SCOPE:SERVER"),"RT_FALSE")</f>
        <v>RT_FALSE</v>
      </c>
      <c r="F501" s="1" t="str">
        <f>IF(F$467,_xll.RtContribute(F$403,F$3&amp;"FX"&amp;$C501&amp;"DDF=","BID",F277,"SCOPE:SERVER"),"RT_FALSE")</f>
        <v>RT_FALSE</v>
      </c>
      <c r="G501" s="1" t="str">
        <f>IF(G$467,_xll.RtContribute(G$403,G$3&amp;"FX"&amp;$C501&amp;"DDF=","BID",G277,"SCOPE:SERVER"),"RT_FALSE")</f>
        <v>RT_FALSE</v>
      </c>
      <c r="H501" s="1" t="str">
        <f>IF(H$467,_xll.RtContribute(H$403,H$3&amp;"FX"&amp;$C501&amp;"DDF=","BID",H277,"SCOPE:SERVER"),"RT_FALSE")</f>
        <v>RT_FALSE</v>
      </c>
      <c r="I501" s="1" t="str">
        <f>IF(I$467,_xll.RtContribute(I$403,I$3&amp;"FX"&amp;$C501&amp;"DDF=","BID",I277,"SCOPE:SERVER"),"RT_FALSE")</f>
        <v>RT_FALSE</v>
      </c>
      <c r="J501" s="1" t="str">
        <f>IF(J$467,_xll.RtContribute(J$403,J$3&amp;"FX"&amp;$C501&amp;"DDF=","BID",J277,"SCOPE:SERVER"),"RT_FALSE")</f>
        <v>RT_FALSE</v>
      </c>
      <c r="K501" s="1" t="str">
        <f>IF(K$467,_xll.RtContribute(K$403,K$3&amp;"FX"&amp;$C501&amp;"DDF=","BID",K277,"SCOPE:SERVER"),"RT_FALSE")</f>
        <v>RT_FALSE</v>
      </c>
      <c r="L501" s="1" t="str">
        <f>IF(L$467,_xll.RtContribute(L$403,L$3&amp;"FX"&amp;$C501&amp;"DDF=","BID",L277,"SCOPE:SERVER"),"RT_FALSE")</f>
        <v>RT_FALSE</v>
      </c>
      <c r="M501" s="1" t="str">
        <f>IF(M$467,_xll.RtContribute(M$403,M$3&amp;"FX"&amp;$C501&amp;"DDF=","BID",M277,"SCOPE:SERVER"),"RT_FALSE")</f>
        <v>RT_FALSE</v>
      </c>
      <c r="N501" s="1" t="str">
        <f>IF(N$467,_xll.RtContribute(N$403,N$3&amp;"FX"&amp;$C501&amp;"DDF=","BID",N277,"SCOPE:SERVER"),"RT_FALSE")</f>
        <v>RT_FALSE</v>
      </c>
      <c r="O501" s="1" t="str">
        <f>IF(O$467,_xll.RtContribute(O$403,O$3&amp;"FX"&amp;$C501&amp;"DDF=","BID",O277,"SCOPE:SERVER"),"RT_FALSE")</f>
        <v>RT_FALSE</v>
      </c>
      <c r="P501" s="1" t="str">
        <f>IF(P$467,_xll.RtContribute(P$403,P$3&amp;"FX"&amp;$C501&amp;"DDF=","BID",P277,"SCOPE:SERVER"),"RT_FALSE")</f>
        <v>RT_FALSE</v>
      </c>
      <c r="Q501" s="1" t="str">
        <f>IF(Q$467,_xll.RtContribute(Q$403,Q$3&amp;"FX"&amp;$C501&amp;"DDF=","BID",Q277,"SCOPE:SERVER"),"RT_FALSE")</f>
        <v>RT_FALSE</v>
      </c>
      <c r="R501" s="1" t="str">
        <f>IF(R$467,_xll.RtContribute(R$403,R$3&amp;"FX"&amp;$C501&amp;"DDF=","BID",R277,"SCOPE:SERVER"),"RT_FALSE")</f>
        <v>RT_FALSE</v>
      </c>
      <c r="S501" s="1" t="str">
        <f>IF(S$467,_xll.RtContribute(S$403,S$3&amp;"FX"&amp;$C501&amp;"DDF=","BID",S277,"SCOPE:SERVER"),"RT_FALSE")</f>
        <v>RT_FALSE</v>
      </c>
      <c r="T501" s="1" t="str">
        <f>IF(T$467,_xll.RtContribute(T$403,T$3&amp;"FX"&amp;$C501&amp;"DDF=","BID",T277,"SCOPE:SERVER"),"RT_FALSE")</f>
        <v>RT_FALSE</v>
      </c>
      <c r="U501" s="1" t="str">
        <f>IF(U$467,_xll.RtContribute(U$403,U$3&amp;"FX"&amp;$C501&amp;"DDF=","BID",U277,"SCOPE:SERVER"),"RT_FALSE")</f>
        <v>RT_FALSE</v>
      </c>
      <c r="V501" s="1" t="str">
        <f>IF(V$467,_xll.RtContribute(V$403,V$3&amp;"FX"&amp;$C501&amp;"DDF=","BID",V277,"SCOPE:SERVER"),"RT_FALSE")</f>
        <v>RT_FALSE</v>
      </c>
      <c r="W501" s="1" t="str">
        <f>IF(W$467,_xll.RtContribute(W$403,W$3&amp;"FX"&amp;$C501&amp;"DDF=","BID",W277,"SCOPE:SERVER"),"RT_FALSE")</f>
        <v>RT_FALSE</v>
      </c>
      <c r="X501" s="1" t="str">
        <f>IF(X$467,_xll.RtContribute(X$403,X$3&amp;"FX"&amp;$C501&amp;"DDF=","BID",X277,"SCOPE:SERVER"),"RT_FALSE")</f>
        <v>RT_FALSE</v>
      </c>
      <c r="Y501" s="1" t="str">
        <f>IF(Y$467,_xll.RtContribute(Y$403,Y$3&amp;"FX"&amp;$C501&amp;"DDF=","BID",Y277,"SCOPE:SERVER"),"RT_FALSE")</f>
        <v>RT_FALSE</v>
      </c>
      <c r="Z501" s="1" t="str">
        <f>IF(Z$467,_xll.RtContribute(Z$403,Z$3&amp;"FX"&amp;$C501&amp;"DDF=","BID",Z277,"SCOPE:SERVER"),"RT_FALSE")</f>
        <v>RT_FALSE</v>
      </c>
      <c r="AA501" s="1" t="str">
        <f>IF(AA$467,_xll.RtContribute(AA$403,AA$3&amp;"FX"&amp;$C501&amp;"DDF=","BID",AA277,"SCOPE:SERVER"),"RT_FALSE")</f>
        <v>RT_FALSE</v>
      </c>
      <c r="AB501" s="1" t="str">
        <f>IF(AB$467,_xll.RtContribute(AB$403,AB$3&amp;"FX"&amp;$C501&amp;"DDF=","BID",AB277,"SCOPE:SERVER"),"RT_FALSE")</f>
        <v>RT_FALSE</v>
      </c>
      <c r="AC501" s="1" t="str">
        <f>IF(AC$467,_xll.RtContribute(AC$403,AC$3&amp;"FX"&amp;$C501&amp;"DDF=","BID",AC277,"SCOPE:SERVER"),"RT_FALSE")</f>
        <v>RT_FALSE</v>
      </c>
      <c r="AD501" s="1" t="str">
        <f>IF(AD$467,_xll.RtContribute(AD$403,AD$3&amp;"FX"&amp;$C501&amp;"DDF=","BID",AD277,"SCOPE:SERVER"),"RT_FALSE")</f>
        <v>RT_FALSE</v>
      </c>
      <c r="AE501" s="1" t="str">
        <f>IF(AE$467,_xll.RtContribute(AE$403,AE$3&amp;"FX"&amp;$C501&amp;"DDF=","BID",AE277,"SCOPE:SERVER"),"RT_FALSE")</f>
        <v>RT_FALSE</v>
      </c>
      <c r="AF501" s="1" t="str">
        <f>IF(AF$467,_xll.RtContribute(AF$403,AF$3&amp;"FX"&amp;$C501&amp;"DDF=","BID",AF277,"SCOPE:SERVER"),"RT_FALSE")</f>
        <v>RT_FALSE</v>
      </c>
      <c r="AG501" s="1" t="str">
        <f>IF(AG$467,_xll.RtContribute(AG$403,AG$3&amp;"FX"&amp;$C501&amp;"DDF=","BID",AG277,"SCOPE:SERVER"),"RT_FALSE")</f>
        <v>RT_FALSE</v>
      </c>
      <c r="AH501" s="1" t="str">
        <f>IF(AH$467,_xll.RtContribute(AH$403,AH$3&amp;"FX"&amp;$C501&amp;"DDF=","BID",AH277,"SCOPE:SERVER"),"RT_FALSE")</f>
        <v>RT_FALSE</v>
      </c>
      <c r="AI501" s="1" t="str">
        <f>IF(AI$467,_xll.RtContribute(AI$403,AI$3&amp;"FX"&amp;$C501&amp;"DDF=","BID",AI277,"SCOPE:SERVER"),"RT_FALSE")</f>
        <v>RT_FALSE</v>
      </c>
      <c r="AJ501" s="1" t="str">
        <f>IF(AJ$467,_xll.RtContribute(AJ$403,AJ$3&amp;"FX"&amp;$C501&amp;"DDF=","BID",AJ277,"SCOPE:SERVER"),"RT_FALSE")</f>
        <v>RT_FALSE</v>
      </c>
      <c r="AK501" s="1" t="str">
        <f>IF(AK$467,_xll.RtContribute(AK$403,AK$3&amp;"FX"&amp;$C501&amp;"DDF=","BID",AK277,"SCOPE:SERVER"),"RT_FALSE")</f>
        <v>RT_FALSE</v>
      </c>
      <c r="AL501" s="1" t="str">
        <f>IF(AL$467,_xll.RtContribute(AL$403,AL$3&amp;"FX"&amp;$C501&amp;"DDF=","BID",AL277,"SCOPE:SERVER"),"RT_FALSE")</f>
        <v>RT_FALSE</v>
      </c>
      <c r="AM501" s="1" t="str">
        <f>IF(AM$467,_xll.RtContribute(AM$403,AM$3&amp;"FX"&amp;$C501&amp;"DDF=","BID",AM277,"SCOPE:SERVER"),"RT_FALSE")</f>
        <v>RT_FALSE</v>
      </c>
      <c r="AN501" s="1" t="str">
        <f>IF(AN$467,_xll.RtContribute(AN$403,AN$3&amp;"FX"&amp;$C501&amp;"DDF=","BID",AN277,"SCOPE:SERVER"),"RT_FALSE")</f>
        <v>RT_FALSE</v>
      </c>
      <c r="AO501" s="1" t="str">
        <f>IF(AO$467,_xll.RtContribute(AO$403,AO$3&amp;"FX"&amp;$C501&amp;"DDF=","BID",AO277,"SCOPE:SERVER"),"RT_FALSE")</f>
        <v>RT_FALSE</v>
      </c>
      <c r="AP501" s="1" t="str">
        <f>IF(AP$467,_xll.RtContribute(AP$403,AP$3&amp;"FX"&amp;$C501&amp;"DDF=","BID",AP277,"SCOPE:SERVER"),"RT_FALSE")</f>
        <v>RT_FALSE</v>
      </c>
    </row>
    <row r="502" spans="2:42" x14ac:dyDescent="0.2">
      <c r="B502" s="305" t="s">
        <v>313</v>
      </c>
      <c r="C502" s="1" t="s">
        <v>92</v>
      </c>
      <c r="D502" s="1" t="str">
        <f>IF(D$467,_xll.RtContribute(D$403,D$3&amp;"FX"&amp;$C502&amp;"DDF=","BID",D24,"SCOPE:SERVER"),"RT_FALSE")</f>
        <v>RT_FALSE</v>
      </c>
      <c r="E502" s="1" t="str">
        <f>IF(E$467,_xll.RtContribute(E$403,E$3&amp;"FX"&amp;$C502&amp;"DDF=","BID",E278,"SCOPE:SERVER"),"RT_FALSE")</f>
        <v>RT_FALSE</v>
      </c>
      <c r="F502" s="1" t="str">
        <f>IF(F$467,_xll.RtContribute(F$403,F$3&amp;"FX"&amp;$C502&amp;"DDF=","BID",F278,"SCOPE:SERVER"),"RT_FALSE")</f>
        <v>RT_FALSE</v>
      </c>
      <c r="G502" s="1" t="str">
        <f>IF(G$467,_xll.RtContribute(G$403,G$3&amp;"FX"&amp;$C502&amp;"DDF=","BID",G278,"SCOPE:SERVER"),"RT_FALSE")</f>
        <v>RT_FALSE</v>
      </c>
      <c r="H502" s="1" t="str">
        <f>IF(H$467,_xll.RtContribute(H$403,H$3&amp;"FX"&amp;$C502&amp;"DDF=","BID",H278,"SCOPE:SERVER"),"RT_FALSE")</f>
        <v>RT_FALSE</v>
      </c>
      <c r="I502" s="1" t="str">
        <f>IF(I$467,_xll.RtContribute(I$403,I$3&amp;"FX"&amp;$C502&amp;"DDF=","BID",I278,"SCOPE:SERVER"),"RT_FALSE")</f>
        <v>RT_FALSE</v>
      </c>
      <c r="J502" s="1" t="str">
        <f>IF(J$467,_xll.RtContribute(J$403,J$3&amp;"FX"&amp;$C502&amp;"DDF=","BID",J278,"SCOPE:SERVER"),"RT_FALSE")</f>
        <v>RT_FALSE</v>
      </c>
      <c r="K502" s="1" t="str">
        <f>IF(K$467,_xll.RtContribute(K$403,K$3&amp;"FX"&amp;$C502&amp;"DDF=","BID",K278,"SCOPE:SERVER"),"RT_FALSE")</f>
        <v>RT_FALSE</v>
      </c>
      <c r="L502" s="1" t="str">
        <f>IF(L$467,_xll.RtContribute(L$403,L$3&amp;"FX"&amp;$C502&amp;"DDF=","BID",L278,"SCOPE:SERVER"),"RT_FALSE")</f>
        <v>RT_FALSE</v>
      </c>
      <c r="M502" s="1" t="str">
        <f>IF(M$467,_xll.RtContribute(M$403,M$3&amp;"FX"&amp;$C502&amp;"DDF=","BID",M278,"SCOPE:SERVER"),"RT_FALSE")</f>
        <v>RT_FALSE</v>
      </c>
      <c r="N502" s="1" t="str">
        <f>IF(N$467,_xll.RtContribute(N$403,N$3&amp;"FX"&amp;$C502&amp;"DDF=","BID",N278,"SCOPE:SERVER"),"RT_FALSE")</f>
        <v>RT_FALSE</v>
      </c>
      <c r="O502" s="1" t="str">
        <f>IF(O$467,_xll.RtContribute(O$403,O$3&amp;"FX"&amp;$C502&amp;"DDF=","BID",O278,"SCOPE:SERVER"),"RT_FALSE")</f>
        <v>RT_FALSE</v>
      </c>
      <c r="P502" s="1" t="str">
        <f>IF(P$467,_xll.RtContribute(P$403,P$3&amp;"FX"&amp;$C502&amp;"DDF=","BID",P278,"SCOPE:SERVER"),"RT_FALSE")</f>
        <v>RT_FALSE</v>
      </c>
      <c r="Q502" s="1" t="str">
        <f>IF(Q$467,_xll.RtContribute(Q$403,Q$3&amp;"FX"&amp;$C502&amp;"DDF=","BID",Q278,"SCOPE:SERVER"),"RT_FALSE")</f>
        <v>RT_FALSE</v>
      </c>
      <c r="R502" s="1" t="str">
        <f>IF(R$467,_xll.RtContribute(R$403,R$3&amp;"FX"&amp;$C502&amp;"DDF=","BID",R278,"SCOPE:SERVER"),"RT_FALSE")</f>
        <v>RT_FALSE</v>
      </c>
      <c r="S502" s="1" t="str">
        <f>IF(S$467,_xll.RtContribute(S$403,S$3&amp;"FX"&amp;$C502&amp;"DDF=","BID",S278,"SCOPE:SERVER"),"RT_FALSE")</f>
        <v>RT_FALSE</v>
      </c>
      <c r="T502" s="1" t="str">
        <f>IF(T$467,_xll.RtContribute(T$403,T$3&amp;"FX"&amp;$C502&amp;"DDF=","BID",T278,"SCOPE:SERVER"),"RT_FALSE")</f>
        <v>RT_FALSE</v>
      </c>
      <c r="U502" s="305" t="str">
        <f>IF(U$467,_xll.RtContribute(U$403,U$3&amp;"FXSWDDF=","BID",U278,"SCOPE:SERVER"),"RT_FALSE")</f>
        <v>RT_FALSE</v>
      </c>
      <c r="V502" s="305" t="str">
        <f>IF(V$467,_xll.RtContribute(V$403,V$3&amp;"FXSWDDF=","BID",V278,"SCOPE:SERVER"),"RT_FALSE")</f>
        <v>RT_FALSE</v>
      </c>
      <c r="W502" s="305" t="str">
        <f>IF(W$467,_xll.RtContribute(W$403,W$3&amp;"FXSWDDF=","BID",W278,"SCOPE:SERVER"),"RT_FALSE")</f>
        <v>RT_FALSE</v>
      </c>
      <c r="X502" s="305" t="str">
        <f>IF(X$467,_xll.RtContribute(X$403,X$3&amp;"FXSWDDF=","BID",X278,"SCOPE:SERVER"),"RT_FALSE")</f>
        <v>RT_FALSE</v>
      </c>
      <c r="Y502" s="305" t="str">
        <f>IF(Y$467,_xll.RtContribute(Y$403,Y$3&amp;"FXSWDDF=","BID",Y278,"SCOPE:SERVER"),"RT_FALSE")</f>
        <v>RT_FALSE</v>
      </c>
      <c r="Z502" s="305" t="str">
        <f>IF(Z$467,_xll.RtContribute(Z$403,Z$3&amp;"FXSWDDF=","BID",Z278,"SCOPE:SERVER"),"RT_FALSE")</f>
        <v>RT_FALSE</v>
      </c>
      <c r="AA502" s="305" t="str">
        <f>IF(AA$467,_xll.RtContribute(AA$403,AA$3&amp;"FXSWDDF=","BID",AA278,"SCOPE:SERVER"),"RT_FALSE")</f>
        <v>RT_FALSE</v>
      </c>
      <c r="AB502" s="305" t="str">
        <f>IF(AB$467,_xll.RtContribute(AB$403,AB$3&amp;"FXSWDDF=","BID",AB278,"SCOPE:SERVER"),"RT_FALSE")</f>
        <v>RT_FALSE</v>
      </c>
      <c r="AC502" s="305" t="str">
        <f>IF(AC$467,_xll.RtContribute(AC$403,AC$3&amp;"FXSWDDF=","BID",AC278,"SCOPE:SERVER"),"RT_FALSE")</f>
        <v>RT_FALSE</v>
      </c>
      <c r="AD502" s="305" t="str">
        <f>IF(AD$467,_xll.RtContribute(AD$403,AD$3&amp;"FXSWDDF=","BID",AD278,"SCOPE:SERVER"),"RT_FALSE")</f>
        <v>RT_FALSE</v>
      </c>
      <c r="AE502" s="305" t="str">
        <f>IF(AE$467,_xll.RtContribute(AE$403,AE$3&amp;"FXSWDDF=","BID",AE278,"SCOPE:SERVER"),"RT_FALSE")</f>
        <v>RT_FALSE</v>
      </c>
      <c r="AF502" s="305" t="str">
        <f>IF(AF$467,_xll.RtContribute(AF$403,AF$3&amp;"FXSWDDF=","BID",AF278,"SCOPE:SERVER"),"RT_FALSE")</f>
        <v>RT_FALSE</v>
      </c>
      <c r="AG502" s="305" t="str">
        <f>IF(AG$467,_xll.RtContribute(AG$403,AG$3&amp;"FXSWDDF=","BID",AG278,"SCOPE:SERVER"),"RT_FALSE")</f>
        <v>RT_FALSE</v>
      </c>
      <c r="AH502" s="305" t="str">
        <f>IF(AH$467,_xll.RtContribute(AH$403,AH$3&amp;"FXSWDDF=","BID",AH278,"SCOPE:SERVER"),"RT_FALSE")</f>
        <v>RT_FALSE</v>
      </c>
      <c r="AI502" s="305" t="str">
        <f>IF(AI$467,_xll.RtContribute(AI$403,AI$3&amp;"FXSWDDF=","BID",AI278,"SCOPE:SERVER"),"RT_FALSE")</f>
        <v>RT_FALSE</v>
      </c>
      <c r="AJ502" s="305" t="str">
        <f>IF(AJ$467,_xll.RtContribute(AJ$403,AJ$3&amp;"FXSWDDF=","BID",AJ278,"SCOPE:SERVER"),"RT_FALSE")</f>
        <v>RT_FALSE</v>
      </c>
      <c r="AK502" s="305" t="str">
        <f>IF(AK$467,_xll.RtContribute(AK$403,AK$3&amp;"FXSWDDF=","BID",AK278,"SCOPE:SERVER"),"RT_FALSE")</f>
        <v>RT_FALSE</v>
      </c>
      <c r="AL502" s="305" t="str">
        <f>IF(AL$467,_xll.RtContribute(AL$403,AL$3&amp;"FXSWDDF=","BID",AL278,"SCOPE:SERVER"),"RT_FALSE")</f>
        <v>RT_FALSE</v>
      </c>
      <c r="AM502" s="305" t="str">
        <f>IF(AM$467,_xll.RtContribute(AM$403,AM$3&amp;"FXSWDDF=","BID",AM278,"SCOPE:SERVER"),"RT_FALSE")</f>
        <v>RT_FALSE</v>
      </c>
      <c r="AN502" s="305" t="str">
        <f>IF(AN$467,_xll.RtContribute(AN$403,AN$3&amp;"FXSWDDF=","BID",AN278,"SCOPE:SERVER"),"RT_FALSE")</f>
        <v>RT_FALSE</v>
      </c>
      <c r="AO502" s="1" t="str">
        <f>IF(AO$467,_xll.RtContribute(AO$403,AO$3&amp;"FX"&amp;$C502&amp;"DDF=","BID",AO278,"SCOPE:SERVER"),"RT_FALSE")</f>
        <v>RT_FALSE</v>
      </c>
      <c r="AP502" s="1" t="str">
        <f>IF(AP$467,_xll.RtContribute(AP$403,AP$3&amp;"FX"&amp;$C502&amp;"DDF=","BID",AP278,"SCOPE:SERVER"),"RT_FALSE")</f>
        <v>RT_FALSE</v>
      </c>
    </row>
    <row r="503" spans="2:42" x14ac:dyDescent="0.2">
      <c r="C503" s="1" t="s">
        <v>55</v>
      </c>
      <c r="D503" s="1" t="str">
        <f>IF(D$467,_xll.RtContribute(D$403,D$3&amp;"FX"&amp;$C503&amp;"DDF=","BID",D25,"SCOPE:SERVER"),"RT_FALSE")</f>
        <v>RT_FALSE</v>
      </c>
      <c r="E503" s="1" t="str">
        <f>IF(E$467,_xll.RtContribute(E$403,E$3&amp;"FX"&amp;$C503&amp;"DDF=","BID",E279,"SCOPE:SERVER"),"RT_FALSE")</f>
        <v>RT_FALSE</v>
      </c>
      <c r="F503" s="1" t="str">
        <f>IF(F$467,_xll.RtContribute(F$403,F$3&amp;"FX"&amp;$C503&amp;"DDF=","BID",F279,"SCOPE:SERVER"),"RT_FALSE")</f>
        <v>RT_FALSE</v>
      </c>
      <c r="G503" s="1" t="str">
        <f>IF(G$467,_xll.RtContribute(G$403,G$3&amp;"FX"&amp;$C503&amp;"DDF=","BID",G279,"SCOPE:SERVER"),"RT_FALSE")</f>
        <v>RT_FALSE</v>
      </c>
      <c r="H503" s="1" t="str">
        <f>IF(H$467,_xll.RtContribute(H$403,H$3&amp;"FX"&amp;$C503&amp;"DDF=","BID",H279,"SCOPE:SERVER"),"RT_FALSE")</f>
        <v>RT_FALSE</v>
      </c>
      <c r="I503" s="1" t="str">
        <f>IF(I$467,_xll.RtContribute(I$403,I$3&amp;"FX"&amp;$C503&amp;"DDF=","BID",I279,"SCOPE:SERVER"),"RT_FALSE")</f>
        <v>RT_FALSE</v>
      </c>
      <c r="J503" s="1" t="str">
        <f>IF(J$467,_xll.RtContribute(J$403,J$3&amp;"FX"&amp;$C503&amp;"DDF=","BID",J279,"SCOPE:SERVER"),"RT_FALSE")</f>
        <v>RT_FALSE</v>
      </c>
      <c r="K503" s="1" t="str">
        <f>IF(K$467,_xll.RtContribute(K$403,K$3&amp;"FX"&amp;$C503&amp;"DDF=","BID",K279,"SCOPE:SERVER"),"RT_FALSE")</f>
        <v>RT_FALSE</v>
      </c>
      <c r="L503" s="1" t="str">
        <f>IF(L$467,_xll.RtContribute(L$403,L$3&amp;"FX"&amp;$C503&amp;"DDF=","BID",L279,"SCOPE:SERVER"),"RT_FALSE")</f>
        <v>RT_FALSE</v>
      </c>
      <c r="M503" s="1" t="str">
        <f>IF(M$467,_xll.RtContribute(M$403,M$3&amp;"FX"&amp;$C503&amp;"DDF=","BID",M279,"SCOPE:SERVER"),"RT_FALSE")</f>
        <v>RT_FALSE</v>
      </c>
      <c r="N503" s="1" t="str">
        <f>IF(N$467,_xll.RtContribute(N$403,N$3&amp;"FX"&amp;$C503&amp;"DDF=","BID",N279,"SCOPE:SERVER"),"RT_FALSE")</f>
        <v>RT_FALSE</v>
      </c>
      <c r="O503" s="1" t="str">
        <f>IF(O$467,_xll.RtContribute(O$403,O$3&amp;"FX"&amp;$C503&amp;"DDF=","BID",O279,"SCOPE:SERVER"),"RT_FALSE")</f>
        <v>RT_FALSE</v>
      </c>
      <c r="P503" s="1" t="str">
        <f>IF(P$467,_xll.RtContribute(P$403,P$3&amp;"FX"&amp;$C503&amp;"DDF=","BID",P279,"SCOPE:SERVER"),"RT_FALSE")</f>
        <v>RT_FALSE</v>
      </c>
      <c r="Q503" s="1" t="str">
        <f>IF(Q$467,_xll.RtContribute(Q$403,Q$3&amp;"FX"&amp;$C503&amp;"DDF=","BID",Q279,"SCOPE:SERVER"),"RT_FALSE")</f>
        <v>RT_FALSE</v>
      </c>
      <c r="R503" s="1" t="str">
        <f>IF(R$467,_xll.RtContribute(R$403,R$3&amp;"FX"&amp;$C503&amp;"DDF=","BID",R279,"SCOPE:SERVER"),"RT_FALSE")</f>
        <v>RT_FALSE</v>
      </c>
      <c r="S503" s="1" t="str">
        <f>IF(S$467,_xll.RtContribute(S$403,S$3&amp;"FX"&amp;$C503&amp;"DDF=","BID",S279,"SCOPE:SERVER"),"RT_FALSE")</f>
        <v>RT_FALSE</v>
      </c>
      <c r="T503" s="1" t="str">
        <f>IF(T$467,_xll.RtContribute(T$403,T$3&amp;"FX"&amp;$C503&amp;"DDF=","BID",T279,"SCOPE:SERVER"),"RT_FALSE")</f>
        <v>RT_FALSE</v>
      </c>
      <c r="U503" s="1" t="str">
        <f>IF(U$467,_xll.RtContribute(U$403,U$3&amp;"FX"&amp;$C503&amp;"DDF=","BID",U279,"SCOPE:SERVER"),"RT_FALSE")</f>
        <v>RT_FALSE</v>
      </c>
      <c r="V503" s="1" t="str">
        <f>IF(V$467,_xll.RtContribute(V$403,V$3&amp;"FX"&amp;$C503&amp;"DDF=","BID",V279,"SCOPE:SERVER"),"RT_FALSE")</f>
        <v>RT_FALSE</v>
      </c>
      <c r="W503" s="1" t="str">
        <f>IF(W$467,_xll.RtContribute(W$403,W$3&amp;"FX"&amp;$C503&amp;"DDF=","BID",W279,"SCOPE:SERVER"),"RT_FALSE")</f>
        <v>RT_FALSE</v>
      </c>
      <c r="X503" s="1" t="str">
        <f>IF(X$467,_xll.RtContribute(X$403,X$3&amp;"FX"&amp;$C503&amp;"DDF=","BID",X279,"SCOPE:SERVER"),"RT_FALSE")</f>
        <v>RT_FALSE</v>
      </c>
      <c r="Y503" s="1" t="str">
        <f>IF(Y$467,_xll.RtContribute(Y$403,Y$3&amp;"FX"&amp;$C503&amp;"DDF=","BID",Y279,"SCOPE:SERVER"),"RT_FALSE")</f>
        <v>RT_FALSE</v>
      </c>
      <c r="Z503" s="1" t="str">
        <f>IF(Z$467,_xll.RtContribute(Z$403,Z$3&amp;"FX"&amp;$C503&amp;"DDF=","BID",Z279,"SCOPE:SERVER"),"RT_FALSE")</f>
        <v>RT_FALSE</v>
      </c>
      <c r="AA503" s="1" t="str">
        <f>IF(AA$467,_xll.RtContribute(AA$403,AA$3&amp;"FX"&amp;$C503&amp;"DDF=","BID",AA279,"SCOPE:SERVER"),"RT_FALSE")</f>
        <v>RT_FALSE</v>
      </c>
      <c r="AB503" s="1" t="str">
        <f>IF(AB$467,_xll.RtContribute(AB$403,AB$3&amp;"FX"&amp;$C503&amp;"DDF=","BID",AB279,"SCOPE:SERVER"),"RT_FALSE")</f>
        <v>RT_FALSE</v>
      </c>
      <c r="AC503" s="1" t="str">
        <f>IF(AC$467,_xll.RtContribute(AC$403,AC$3&amp;"FX"&amp;$C503&amp;"DDF=","BID",AC279,"SCOPE:SERVER"),"RT_FALSE")</f>
        <v>RT_FALSE</v>
      </c>
      <c r="AD503" s="1" t="str">
        <f>IF(AD$467,_xll.RtContribute(AD$403,AD$3&amp;"FX"&amp;$C503&amp;"DDF=","BID",AD279,"SCOPE:SERVER"),"RT_FALSE")</f>
        <v>RT_FALSE</v>
      </c>
      <c r="AE503" s="1" t="str">
        <f>IF(AE$467,_xll.RtContribute(AE$403,AE$3&amp;"FX"&amp;$C503&amp;"DDF=","BID",AE279,"SCOPE:SERVER"),"RT_FALSE")</f>
        <v>RT_FALSE</v>
      </c>
      <c r="AF503" s="1" t="str">
        <f>IF(AF$467,_xll.RtContribute(AF$403,AF$3&amp;"FX"&amp;$C503&amp;"DDF=","BID",AF279,"SCOPE:SERVER"),"RT_FALSE")</f>
        <v>RT_FALSE</v>
      </c>
      <c r="AG503" s="1" t="str">
        <f>IF(AG$467,_xll.RtContribute(AG$403,AG$3&amp;"FX"&amp;$C503&amp;"DDF=","BID",AG279,"SCOPE:SERVER"),"RT_FALSE")</f>
        <v>RT_FALSE</v>
      </c>
      <c r="AH503" s="1" t="str">
        <f>IF(AH$467,_xll.RtContribute(AH$403,AH$3&amp;"FX"&amp;$C503&amp;"DDF=","BID",AH279,"SCOPE:SERVER"),"RT_FALSE")</f>
        <v>RT_FALSE</v>
      </c>
      <c r="AI503" s="1" t="str">
        <f>IF(AI$467,_xll.RtContribute(AI$403,AI$3&amp;"FX"&amp;$C503&amp;"DDF=","BID",AI279,"SCOPE:SERVER"),"RT_FALSE")</f>
        <v>RT_FALSE</v>
      </c>
      <c r="AJ503" s="1" t="str">
        <f>IF(AJ$467,_xll.RtContribute(AJ$403,AJ$3&amp;"FX"&amp;$C503&amp;"DDF=","BID",AJ279,"SCOPE:SERVER"),"RT_FALSE")</f>
        <v>RT_FALSE</v>
      </c>
      <c r="AK503" s="1" t="str">
        <f>IF(AK$467,_xll.RtContribute(AK$403,AK$3&amp;"FX"&amp;$C503&amp;"DDF=","BID",AK279,"SCOPE:SERVER"),"RT_FALSE")</f>
        <v>RT_FALSE</v>
      </c>
      <c r="AL503" s="1" t="str">
        <f>IF(AL$467,_xll.RtContribute(AL$403,AL$3&amp;"FX"&amp;$C503&amp;"DDF=","BID",AL279,"SCOPE:SERVER"),"RT_FALSE")</f>
        <v>RT_FALSE</v>
      </c>
      <c r="AM503" s="1" t="str">
        <f>IF(AM$467,_xll.RtContribute(AM$403,AM$3&amp;"FX"&amp;$C503&amp;"DDF=","BID",AM279,"SCOPE:SERVER"),"RT_FALSE")</f>
        <v>RT_FALSE</v>
      </c>
      <c r="AN503" s="1" t="str">
        <f>IF(AN$467,_xll.RtContribute(AN$403,AN$3&amp;"FX"&amp;$C503&amp;"DDF=","BID",AN279,"SCOPE:SERVER"),"RT_FALSE")</f>
        <v>RT_FALSE</v>
      </c>
      <c r="AO503" s="1" t="str">
        <f>IF(AO$467,_xll.RtContribute(AO$403,AO$3&amp;"FX"&amp;$C503&amp;"DDF=","BID",AO279,"SCOPE:SERVER"),"RT_FALSE")</f>
        <v>RT_FALSE</v>
      </c>
      <c r="AP503" s="1" t="str">
        <f>IF(AP$467,_xll.RtContribute(AP$403,AP$3&amp;"FX"&amp;$C503&amp;"DDF=","BID",AP279,"SCOPE:SERVER"),"RT_FALSE")</f>
        <v>RT_FALSE</v>
      </c>
    </row>
    <row r="504" spans="2:42" x14ac:dyDescent="0.2">
      <c r="C504" s="1" t="s">
        <v>63</v>
      </c>
      <c r="D504" s="1" t="str">
        <f>IF(D$467,_xll.RtContribute(D$403,D$3&amp;"FX"&amp;$C504&amp;"DDF=","BID",D26,"SCOPE:SERVER"),"RT_FALSE")</f>
        <v>RT_FALSE</v>
      </c>
      <c r="E504" s="1" t="str">
        <f>IF(E$467,_xll.RtContribute(E$403,E$3&amp;"FX"&amp;$C504&amp;"DDF=","BID",E280,"SCOPE:SERVER"),"RT_FALSE")</f>
        <v>RT_FALSE</v>
      </c>
      <c r="F504" s="1" t="str">
        <f>IF(F$467,_xll.RtContribute(F$403,F$3&amp;"FX"&amp;$C504&amp;"DDF=","BID",F280,"SCOPE:SERVER"),"RT_FALSE")</f>
        <v>RT_FALSE</v>
      </c>
      <c r="G504" s="1" t="str">
        <f>IF(G$467,_xll.RtContribute(G$403,G$3&amp;"FX"&amp;$C504&amp;"DDF=","BID",G280,"SCOPE:SERVER"),"RT_FALSE")</f>
        <v>RT_FALSE</v>
      </c>
      <c r="H504" s="1" t="str">
        <f>IF(H$467,_xll.RtContribute(H$403,H$3&amp;"FX"&amp;$C504&amp;"DDF=","BID",H280,"SCOPE:SERVER"),"RT_FALSE")</f>
        <v>RT_FALSE</v>
      </c>
      <c r="I504" s="1" t="str">
        <f>IF(I$467,_xll.RtContribute(I$403,I$3&amp;"FX"&amp;$C504&amp;"DDF=","BID",I280,"SCOPE:SERVER"),"RT_FALSE")</f>
        <v>RT_FALSE</v>
      </c>
      <c r="J504" s="1" t="str">
        <f>IF(J$467,_xll.RtContribute(J$403,J$3&amp;"FX"&amp;$C504&amp;"DDF=","BID",J280,"SCOPE:SERVER"),"RT_FALSE")</f>
        <v>RT_FALSE</v>
      </c>
      <c r="K504" s="1" t="str">
        <f>IF(K$467,_xll.RtContribute(K$403,K$3&amp;"FX"&amp;$C504&amp;"DDF=","BID",K280,"SCOPE:SERVER"),"RT_FALSE")</f>
        <v>RT_FALSE</v>
      </c>
      <c r="L504" s="1" t="str">
        <f>IF(L$467,_xll.RtContribute(L$403,L$3&amp;"FX"&amp;$C504&amp;"DDF=","BID",L280,"SCOPE:SERVER"),"RT_FALSE")</f>
        <v>RT_FALSE</v>
      </c>
      <c r="M504" s="1" t="str">
        <f>IF(M$467,_xll.RtContribute(M$403,M$3&amp;"FX"&amp;$C504&amp;"DDF=","BID",M280,"SCOPE:SERVER"),"RT_FALSE")</f>
        <v>RT_FALSE</v>
      </c>
      <c r="N504" s="1" t="str">
        <f>IF(N$467,_xll.RtContribute(N$403,N$3&amp;"FX"&amp;$C504&amp;"DDF=","BID",N280,"SCOPE:SERVER"),"RT_FALSE")</f>
        <v>RT_FALSE</v>
      </c>
      <c r="O504" s="1" t="str">
        <f>IF(O$467,_xll.RtContribute(O$403,O$3&amp;"FX"&amp;$C504&amp;"DDF=","BID",O280,"SCOPE:SERVER"),"RT_FALSE")</f>
        <v>RT_FALSE</v>
      </c>
      <c r="P504" s="1" t="str">
        <f>IF(P$467,_xll.RtContribute(P$403,P$3&amp;"FX"&amp;$C504&amp;"DDF=","BID",P280,"SCOPE:SERVER"),"RT_FALSE")</f>
        <v>RT_FALSE</v>
      </c>
      <c r="Q504" s="1" t="str">
        <f>IF(Q$467,_xll.RtContribute(Q$403,Q$3&amp;"FX"&amp;$C504&amp;"DDF=","BID",Q280,"SCOPE:SERVER"),"RT_FALSE")</f>
        <v>RT_FALSE</v>
      </c>
      <c r="R504" s="1" t="str">
        <f>IF(R$467,_xll.RtContribute(R$403,R$3&amp;"FX"&amp;$C504&amp;"DDF=","BID",R280,"SCOPE:SERVER"),"RT_FALSE")</f>
        <v>RT_FALSE</v>
      </c>
      <c r="S504" s="1" t="str">
        <f>IF(S$467,_xll.RtContribute(S$403,S$3&amp;"FX"&amp;$C504&amp;"DDF=","BID",S280,"SCOPE:SERVER"),"RT_FALSE")</f>
        <v>RT_FALSE</v>
      </c>
      <c r="T504" s="1" t="str">
        <f>IF(T$467,_xll.RtContribute(T$403,T$3&amp;"FX"&amp;$C504&amp;"DDF=","BID",T280,"SCOPE:SERVER"),"RT_FALSE")</f>
        <v>RT_FALSE</v>
      </c>
      <c r="U504" s="1" t="str">
        <f>IF(U$467,_xll.RtContribute(U$403,U$3&amp;"FX"&amp;$C504&amp;"DDF=","BID",U280,"SCOPE:SERVER"),"RT_FALSE")</f>
        <v>RT_FALSE</v>
      </c>
      <c r="V504" s="1" t="str">
        <f>IF(V$467,_xll.RtContribute(V$403,V$3&amp;"FX"&amp;$C504&amp;"DDF=","BID",V280,"SCOPE:SERVER"),"RT_FALSE")</f>
        <v>RT_FALSE</v>
      </c>
      <c r="W504" s="1" t="str">
        <f>IF(W$467,_xll.RtContribute(W$403,W$3&amp;"FX"&amp;$C504&amp;"DDF=","BID",W280,"SCOPE:SERVER"),"RT_FALSE")</f>
        <v>RT_FALSE</v>
      </c>
      <c r="X504" s="1" t="str">
        <f>IF(X$467,_xll.RtContribute(X$403,X$3&amp;"FX"&amp;$C504&amp;"DDF=","BID",X280,"SCOPE:SERVER"),"RT_FALSE")</f>
        <v>RT_FALSE</v>
      </c>
      <c r="Y504" s="1" t="str">
        <f>IF(Y$467,_xll.RtContribute(Y$403,Y$3&amp;"FX"&amp;$C504&amp;"DDF=","BID",Y280,"SCOPE:SERVER"),"RT_FALSE")</f>
        <v>RT_FALSE</v>
      </c>
      <c r="Z504" s="1" t="str">
        <f>IF(Z$467,_xll.RtContribute(Z$403,Z$3&amp;"FX"&amp;$C504&amp;"DDF=","BID",Z280,"SCOPE:SERVER"),"RT_FALSE")</f>
        <v>RT_FALSE</v>
      </c>
      <c r="AA504" s="1" t="str">
        <f>IF(AA$467,_xll.RtContribute(AA$403,AA$3&amp;"FX"&amp;$C504&amp;"DDF=","BID",AA280,"SCOPE:SERVER"),"RT_FALSE")</f>
        <v>RT_FALSE</v>
      </c>
      <c r="AB504" s="1" t="str">
        <f>IF(AB$467,_xll.RtContribute(AB$403,AB$3&amp;"FX"&amp;$C504&amp;"DDF=","BID",AB280,"SCOPE:SERVER"),"RT_FALSE")</f>
        <v>RT_FALSE</v>
      </c>
      <c r="AC504" s="1" t="str">
        <f>IF(AC$467,_xll.RtContribute(AC$403,AC$3&amp;"FX"&amp;$C504&amp;"DDF=","BID",AC280,"SCOPE:SERVER"),"RT_FALSE")</f>
        <v>RT_FALSE</v>
      </c>
      <c r="AD504" s="1" t="str">
        <f>IF(AD$467,_xll.RtContribute(AD$403,AD$3&amp;"FX"&amp;$C504&amp;"DDF=","BID",AD280,"SCOPE:SERVER"),"RT_FALSE")</f>
        <v>RT_FALSE</v>
      </c>
      <c r="AE504" s="1" t="str">
        <f>IF(AE$467,_xll.RtContribute(AE$403,AE$3&amp;"FX"&amp;$C504&amp;"DDF=","BID",AE280,"SCOPE:SERVER"),"RT_FALSE")</f>
        <v>RT_FALSE</v>
      </c>
      <c r="AF504" s="1" t="str">
        <f>IF(AF$467,_xll.RtContribute(AF$403,AF$3&amp;"FX"&amp;$C504&amp;"DDF=","BID",AF280,"SCOPE:SERVER"),"RT_FALSE")</f>
        <v>RT_FALSE</v>
      </c>
      <c r="AG504" s="1" t="str">
        <f>IF(AG$467,_xll.RtContribute(AG$403,AG$3&amp;"FX"&amp;$C504&amp;"DDF=","BID",AG280,"SCOPE:SERVER"),"RT_FALSE")</f>
        <v>RT_FALSE</v>
      </c>
      <c r="AH504" s="1" t="str">
        <f>IF(AH$467,_xll.RtContribute(AH$403,AH$3&amp;"FX"&amp;$C504&amp;"DDF=","BID",AH280,"SCOPE:SERVER"),"RT_FALSE")</f>
        <v>RT_FALSE</v>
      </c>
      <c r="AI504" s="1" t="str">
        <f>IF(AI$467,_xll.RtContribute(AI$403,AI$3&amp;"FX"&amp;$C504&amp;"DDF=","BID",AI280,"SCOPE:SERVER"),"RT_FALSE")</f>
        <v>RT_FALSE</v>
      </c>
      <c r="AJ504" s="1" t="str">
        <f>IF(AJ$467,_xll.RtContribute(AJ$403,AJ$3&amp;"FX"&amp;$C504&amp;"DDF=","BID",AJ280,"SCOPE:SERVER"),"RT_FALSE")</f>
        <v>RT_FALSE</v>
      </c>
      <c r="AK504" s="1" t="str">
        <f>IF(AK$467,_xll.RtContribute(AK$403,AK$3&amp;"FX"&amp;$C504&amp;"DDF=","BID",AK280,"SCOPE:SERVER"),"RT_FALSE")</f>
        <v>RT_FALSE</v>
      </c>
      <c r="AL504" s="1" t="str">
        <f>IF(AL$467,_xll.RtContribute(AL$403,AL$3&amp;"FX"&amp;$C504&amp;"DDF=","BID",AL280,"SCOPE:SERVER"),"RT_FALSE")</f>
        <v>RT_FALSE</v>
      </c>
      <c r="AM504" s="1" t="str">
        <f>IF(AM$467,_xll.RtContribute(AM$403,AM$3&amp;"FX"&amp;$C504&amp;"DDF=","BID",AM280,"SCOPE:SERVER"),"RT_FALSE")</f>
        <v>RT_FALSE</v>
      </c>
      <c r="AN504" s="1" t="str">
        <f>IF(AN$467,_xll.RtContribute(AN$403,AN$3&amp;"FX"&amp;$C504&amp;"DDF=","BID",AN280,"SCOPE:SERVER"),"RT_FALSE")</f>
        <v>RT_FALSE</v>
      </c>
      <c r="AO504" s="1" t="str">
        <f>IF(AO$467,_xll.RtContribute(AO$403,AO$3&amp;"FX"&amp;$C504&amp;"DDF=","BID",AO280,"SCOPE:SERVER"),"RT_FALSE")</f>
        <v>RT_FALSE</v>
      </c>
      <c r="AP504" s="1" t="str">
        <f>IF(AP$467,_xll.RtContribute(AP$403,AP$3&amp;"FX"&amp;$C504&amp;"DDF=","BID",AP280,"SCOPE:SERVER"),"RT_FALSE")</f>
        <v>RT_FALSE</v>
      </c>
    </row>
    <row r="505" spans="2:42" x14ac:dyDescent="0.2">
      <c r="C505" s="1" t="s">
        <v>66</v>
      </c>
      <c r="D505" s="1" t="str">
        <f>IF(D$467,_xll.RtContribute(D$403,D$3&amp;"FX"&amp;$C505&amp;"DDF=","BID",D27,"SCOPE:SERVER"),"RT_FALSE")</f>
        <v>RT_FALSE</v>
      </c>
      <c r="E505" s="1" t="str">
        <f>IF(E$467,_xll.RtContribute(E$403,E$3&amp;"FX"&amp;$C505&amp;"DDF=","BID",E281,"SCOPE:SERVER"),"RT_FALSE")</f>
        <v>RT_FALSE</v>
      </c>
      <c r="F505" s="1" t="str">
        <f>IF(F$467,_xll.RtContribute(F$403,F$3&amp;"FX"&amp;$C505&amp;"DDF=","BID",F281,"SCOPE:SERVER"),"RT_FALSE")</f>
        <v>RT_FALSE</v>
      </c>
      <c r="G505" s="1" t="str">
        <f>IF(G$467,_xll.RtContribute(G$403,G$3&amp;"FX"&amp;$C505&amp;"DDF=","BID",G281,"SCOPE:SERVER"),"RT_FALSE")</f>
        <v>RT_FALSE</v>
      </c>
      <c r="H505" s="1" t="str">
        <f>IF(H$467,_xll.RtContribute(H$403,H$3&amp;"FX"&amp;$C505&amp;"DDF=","BID",H281,"SCOPE:SERVER"),"RT_FALSE")</f>
        <v>RT_FALSE</v>
      </c>
      <c r="I505" s="1" t="str">
        <f>IF(I$467,_xll.RtContribute(I$403,I$3&amp;"FX"&amp;$C505&amp;"DDF=","BID",I281,"SCOPE:SERVER"),"RT_FALSE")</f>
        <v>RT_FALSE</v>
      </c>
      <c r="J505" s="1" t="str">
        <f>IF(J$467,_xll.RtContribute(J$403,J$3&amp;"FX"&amp;$C505&amp;"DDF=","BID",J281,"SCOPE:SERVER"),"RT_FALSE")</f>
        <v>RT_FALSE</v>
      </c>
      <c r="K505" s="1" t="str">
        <f>IF(K$467,_xll.RtContribute(K$403,K$3&amp;"FX"&amp;$C505&amp;"DDF=","BID",K281,"SCOPE:SERVER"),"RT_FALSE")</f>
        <v>RT_FALSE</v>
      </c>
      <c r="L505" s="1" t="str">
        <f>IF(L$467,_xll.RtContribute(L$403,L$3&amp;"FX"&amp;$C505&amp;"DDF=","BID",L281,"SCOPE:SERVER"),"RT_FALSE")</f>
        <v>RT_FALSE</v>
      </c>
      <c r="M505" s="1" t="str">
        <f>IF(M$467,_xll.RtContribute(M$403,M$3&amp;"FX"&amp;$C505&amp;"DDF=","BID",M281,"SCOPE:SERVER"),"RT_FALSE")</f>
        <v>RT_FALSE</v>
      </c>
      <c r="N505" s="1" t="str">
        <f>IF(N$467,_xll.RtContribute(N$403,N$3&amp;"FX"&amp;$C505&amp;"DDF=","BID",N281,"SCOPE:SERVER"),"RT_FALSE")</f>
        <v>RT_FALSE</v>
      </c>
      <c r="O505" s="1" t="str">
        <f>IF(O$467,_xll.RtContribute(O$403,O$3&amp;"FX"&amp;$C505&amp;"DDF=","BID",O281,"SCOPE:SERVER"),"RT_FALSE")</f>
        <v>RT_FALSE</v>
      </c>
      <c r="P505" s="1" t="str">
        <f>IF(P$467,_xll.RtContribute(P$403,P$3&amp;"FX"&amp;$C505&amp;"DDF=","BID",P281,"SCOPE:SERVER"),"RT_FALSE")</f>
        <v>RT_FALSE</v>
      </c>
      <c r="Q505" s="1" t="str">
        <f>IF(Q$467,_xll.RtContribute(Q$403,Q$3&amp;"FX"&amp;$C505&amp;"DDF=","BID",Q281,"SCOPE:SERVER"),"RT_FALSE")</f>
        <v>RT_FALSE</v>
      </c>
      <c r="R505" s="1" t="str">
        <f>IF(R$467,_xll.RtContribute(R$403,R$3&amp;"FX"&amp;$C505&amp;"DDF=","BID",R281,"SCOPE:SERVER"),"RT_FALSE")</f>
        <v>RT_FALSE</v>
      </c>
      <c r="S505" s="1" t="str">
        <f>IF(S$467,_xll.RtContribute(S$403,S$3&amp;"FX"&amp;$C505&amp;"DDF=","BID",S281,"SCOPE:SERVER"),"RT_FALSE")</f>
        <v>RT_FALSE</v>
      </c>
      <c r="T505" s="1" t="str">
        <f>IF(T$467,_xll.RtContribute(T$403,T$3&amp;"FX"&amp;$C505&amp;"DDF=","BID",T281,"SCOPE:SERVER"),"RT_FALSE")</f>
        <v>RT_FALSE</v>
      </c>
      <c r="U505" s="1" t="str">
        <f>IF(U$467,_xll.RtContribute(U$403,U$3&amp;"FX"&amp;$C505&amp;"DDF=","BID",U281,"SCOPE:SERVER"),"RT_FALSE")</f>
        <v>RT_FALSE</v>
      </c>
      <c r="V505" s="1" t="str">
        <f>IF(V$467,_xll.RtContribute(V$403,V$3&amp;"FX"&amp;$C505&amp;"DDF=","BID",V281,"SCOPE:SERVER"),"RT_FALSE")</f>
        <v>RT_FALSE</v>
      </c>
      <c r="W505" s="1" t="str">
        <f>IF(W$467,_xll.RtContribute(W$403,W$3&amp;"FX"&amp;$C505&amp;"DDF=","BID",W281,"SCOPE:SERVER"),"RT_FALSE")</f>
        <v>RT_FALSE</v>
      </c>
      <c r="X505" s="1" t="str">
        <f>IF(X$467,_xll.RtContribute(X$403,X$3&amp;"FX"&amp;$C505&amp;"DDF=","BID",X281,"SCOPE:SERVER"),"RT_FALSE")</f>
        <v>RT_FALSE</v>
      </c>
      <c r="Y505" s="1" t="str">
        <f>IF(Y$467,_xll.RtContribute(Y$403,Y$3&amp;"FX"&amp;$C505&amp;"DDF=","BID",Y281,"SCOPE:SERVER"),"RT_FALSE")</f>
        <v>RT_FALSE</v>
      </c>
      <c r="Z505" s="1" t="str">
        <f>IF(Z$467,_xll.RtContribute(Z$403,Z$3&amp;"FX"&amp;$C505&amp;"DDF=","BID",Z281,"SCOPE:SERVER"),"RT_FALSE")</f>
        <v>RT_FALSE</v>
      </c>
      <c r="AA505" s="1" t="str">
        <f>IF(AA$467,_xll.RtContribute(AA$403,AA$3&amp;"FX"&amp;$C505&amp;"DDF=","BID",AA281,"SCOPE:SERVER"),"RT_FALSE")</f>
        <v>RT_FALSE</v>
      </c>
      <c r="AB505" s="1" t="str">
        <f>IF(AB$467,_xll.RtContribute(AB$403,AB$3&amp;"FX"&amp;$C505&amp;"DDF=","BID",AB281,"SCOPE:SERVER"),"RT_FALSE")</f>
        <v>RT_FALSE</v>
      </c>
      <c r="AC505" s="1" t="str">
        <f>IF(AC$467,_xll.RtContribute(AC$403,AC$3&amp;"FX"&amp;$C505&amp;"DDF=","BID",AC281,"SCOPE:SERVER"),"RT_FALSE")</f>
        <v>RT_FALSE</v>
      </c>
      <c r="AD505" s="1" t="str">
        <f>IF(AD$467,_xll.RtContribute(AD$403,AD$3&amp;"FX"&amp;$C505&amp;"DDF=","BID",AD281,"SCOPE:SERVER"),"RT_FALSE")</f>
        <v>RT_FALSE</v>
      </c>
      <c r="AE505" s="1" t="str">
        <f>IF(AE$467,_xll.RtContribute(AE$403,AE$3&amp;"FX"&amp;$C505&amp;"DDF=","BID",AE281,"SCOPE:SERVER"),"RT_FALSE")</f>
        <v>RT_FALSE</v>
      </c>
      <c r="AF505" s="1" t="str">
        <f>IF(AF$467,_xll.RtContribute(AF$403,AF$3&amp;"FX"&amp;$C505&amp;"DDF=","BID",AF281,"SCOPE:SERVER"),"RT_FALSE")</f>
        <v>RT_FALSE</v>
      </c>
      <c r="AG505" s="1" t="str">
        <f>IF(AG$467,_xll.RtContribute(AG$403,AG$3&amp;"FX"&amp;$C505&amp;"DDF=","BID",AG281,"SCOPE:SERVER"),"RT_FALSE")</f>
        <v>RT_FALSE</v>
      </c>
      <c r="AH505" s="1" t="str">
        <f>IF(AH$467,_xll.RtContribute(AH$403,AH$3&amp;"FX"&amp;$C505&amp;"DDF=","BID",AH281,"SCOPE:SERVER"),"RT_FALSE")</f>
        <v>RT_FALSE</v>
      </c>
      <c r="AI505" s="1" t="str">
        <f>IF(AI$467,_xll.RtContribute(AI$403,AI$3&amp;"FX"&amp;$C505&amp;"DDF=","BID",AI281,"SCOPE:SERVER"),"RT_FALSE")</f>
        <v>RT_FALSE</v>
      </c>
      <c r="AJ505" s="1" t="str">
        <f>IF(AJ$467,_xll.RtContribute(AJ$403,AJ$3&amp;"FX"&amp;$C505&amp;"DDF=","BID",AJ281,"SCOPE:SERVER"),"RT_FALSE")</f>
        <v>RT_FALSE</v>
      </c>
      <c r="AK505" s="1" t="str">
        <f>IF(AK$467,_xll.RtContribute(AK$403,AK$3&amp;"FX"&amp;$C505&amp;"DDF=","BID",AK281,"SCOPE:SERVER"),"RT_FALSE")</f>
        <v>RT_FALSE</v>
      </c>
      <c r="AL505" s="1" t="str">
        <f>IF(AL$467,_xll.RtContribute(AL$403,AL$3&amp;"FX"&amp;$C505&amp;"DDF=","BID",AL281,"SCOPE:SERVER"),"RT_FALSE")</f>
        <v>RT_FALSE</v>
      </c>
      <c r="AM505" s="1" t="str">
        <f>IF(AM$467,_xll.RtContribute(AM$403,AM$3&amp;"FX"&amp;$C505&amp;"DDF=","BID",AM281,"SCOPE:SERVER"),"RT_FALSE")</f>
        <v>RT_FALSE</v>
      </c>
      <c r="AN505" s="1" t="str">
        <f>IF(AN$467,_xll.RtContribute(AN$403,AN$3&amp;"FX"&amp;$C505&amp;"DDF=","BID",AN281,"SCOPE:SERVER"),"RT_FALSE")</f>
        <v>RT_FALSE</v>
      </c>
      <c r="AO505" s="1" t="str">
        <f>IF(AO$467,_xll.RtContribute(AO$403,AO$3&amp;"FX"&amp;$C505&amp;"DDF=","BID",AO281,"SCOPE:SERVER"),"RT_FALSE")</f>
        <v>RT_FALSE</v>
      </c>
      <c r="AP505" s="1" t="str">
        <f>IF(AP$467,_xll.RtContribute(AP$403,AP$3&amp;"FX"&amp;$C505&amp;"DDF=","BID",AP281,"SCOPE:SERVER"),"RT_FALSE")</f>
        <v>RT_FALSE</v>
      </c>
    </row>
    <row r="506" spans="2:42" x14ac:dyDescent="0.2">
      <c r="C506" s="1" t="s">
        <v>71</v>
      </c>
      <c r="D506" s="1" t="str">
        <f>IF(D$467,_xll.RtContribute(D$403,D$3&amp;"FX"&amp;$C506&amp;"DDF=","BID",D28,"SCOPE:SERVER"),"RT_FALSE")</f>
        <v>RT_FALSE</v>
      </c>
      <c r="E506" s="1" t="str">
        <f>IF(E$467,_xll.RtContribute(E$403,E$3&amp;"FX"&amp;$C506&amp;"DDF=","BID",E282,"SCOPE:SERVER"),"RT_FALSE")</f>
        <v>RT_FALSE</v>
      </c>
      <c r="F506" s="1" t="str">
        <f>IF(F$467,_xll.RtContribute(F$403,F$3&amp;"FX"&amp;$C506&amp;"DDF=","BID",F282,"SCOPE:SERVER"),"RT_FALSE")</f>
        <v>RT_FALSE</v>
      </c>
      <c r="G506" s="1" t="str">
        <f>IF(G$467,_xll.RtContribute(G$403,G$3&amp;"FX"&amp;$C506&amp;"DDF=","BID",G282,"SCOPE:SERVER"),"RT_FALSE")</f>
        <v>RT_FALSE</v>
      </c>
      <c r="H506" s="1" t="str">
        <f>IF(H$467,_xll.RtContribute(H$403,H$3&amp;"FX"&amp;$C506&amp;"DDF=","BID",H282,"SCOPE:SERVER"),"RT_FALSE")</f>
        <v>RT_FALSE</v>
      </c>
      <c r="I506" s="1" t="str">
        <f>IF(I$467,_xll.RtContribute(I$403,I$3&amp;"FX"&amp;$C506&amp;"DDF=","BID",I282,"SCOPE:SERVER"),"RT_FALSE")</f>
        <v>RT_FALSE</v>
      </c>
      <c r="J506" s="1" t="str">
        <f>IF(J$467,_xll.RtContribute(J$403,J$3&amp;"FX"&amp;$C506&amp;"DDF=","BID",J282,"SCOPE:SERVER"),"RT_FALSE")</f>
        <v>RT_FALSE</v>
      </c>
      <c r="K506" s="1" t="str">
        <f>IF(K$467,_xll.RtContribute(K$403,K$3&amp;"FX"&amp;$C506&amp;"DDF=","BID",K282,"SCOPE:SERVER"),"RT_FALSE")</f>
        <v>RT_FALSE</v>
      </c>
      <c r="L506" s="1" t="str">
        <f>IF(L$467,_xll.RtContribute(L$403,L$3&amp;"FX"&amp;$C506&amp;"DDF=","BID",L282,"SCOPE:SERVER"),"RT_FALSE")</f>
        <v>RT_FALSE</v>
      </c>
      <c r="M506" s="1" t="str">
        <f>IF(M$467,_xll.RtContribute(M$403,M$3&amp;"FX"&amp;$C506&amp;"DDF=","BID",M282,"SCOPE:SERVER"),"RT_FALSE")</f>
        <v>RT_FALSE</v>
      </c>
      <c r="N506" s="1" t="str">
        <f>IF(N$467,_xll.RtContribute(N$403,N$3&amp;"FX"&amp;$C506&amp;"DDF=","BID",N282,"SCOPE:SERVER"),"RT_FALSE")</f>
        <v>RT_FALSE</v>
      </c>
      <c r="O506" s="1" t="str">
        <f>IF(O$467,_xll.RtContribute(O$403,O$3&amp;"FX"&amp;$C506&amp;"DDF=","BID",O282,"SCOPE:SERVER"),"RT_FALSE")</f>
        <v>RT_FALSE</v>
      </c>
      <c r="P506" s="1" t="str">
        <f>IF(P$467,_xll.RtContribute(P$403,P$3&amp;"FX"&amp;$C506&amp;"DDF=","BID",P282,"SCOPE:SERVER"),"RT_FALSE")</f>
        <v>RT_FALSE</v>
      </c>
      <c r="Q506" s="1" t="str">
        <f>IF(Q$467,_xll.RtContribute(Q$403,Q$3&amp;"FX"&amp;$C506&amp;"DDF=","BID",Q282,"SCOPE:SERVER"),"RT_FALSE")</f>
        <v>RT_FALSE</v>
      </c>
      <c r="R506" s="1" t="str">
        <f>IF(R$467,_xll.RtContribute(R$403,R$3&amp;"FX"&amp;$C506&amp;"DDF=","BID",R282,"SCOPE:SERVER"),"RT_FALSE")</f>
        <v>RT_FALSE</v>
      </c>
      <c r="S506" s="1" t="str">
        <f>IF(S$467,_xll.RtContribute(S$403,S$3&amp;"FX"&amp;$C506&amp;"DDF=","BID",S282,"SCOPE:SERVER"),"RT_FALSE")</f>
        <v>RT_FALSE</v>
      </c>
      <c r="T506" s="1" t="str">
        <f>IF(T$467,_xll.RtContribute(T$403,T$3&amp;"FX"&amp;$C506&amp;"DDF=","BID",T282,"SCOPE:SERVER"),"RT_FALSE")</f>
        <v>RT_FALSE</v>
      </c>
      <c r="U506" s="1" t="str">
        <f>IF(U$467,_xll.RtContribute(U$403,U$3&amp;"FX"&amp;$C506&amp;"DDF=","BID",U282,"SCOPE:SERVER"),"RT_FALSE")</f>
        <v>RT_FALSE</v>
      </c>
      <c r="V506" s="1" t="str">
        <f>IF(V$467,_xll.RtContribute(V$403,V$3&amp;"FX"&amp;$C506&amp;"DDF=","BID",V282,"SCOPE:SERVER"),"RT_FALSE")</f>
        <v>RT_FALSE</v>
      </c>
      <c r="W506" s="1" t="str">
        <f>IF(W$467,_xll.RtContribute(W$403,W$3&amp;"FX"&amp;$C506&amp;"DDF=","BID",W282,"SCOPE:SERVER"),"RT_FALSE")</f>
        <v>RT_FALSE</v>
      </c>
      <c r="X506" s="1" t="str">
        <f>IF(X$467,_xll.RtContribute(X$403,X$3&amp;"FX"&amp;$C506&amp;"DDF=","BID",X282,"SCOPE:SERVER"),"RT_FALSE")</f>
        <v>RT_FALSE</v>
      </c>
      <c r="Y506" s="1" t="str">
        <f>IF(Y$467,_xll.RtContribute(Y$403,Y$3&amp;"FX"&amp;$C506&amp;"DDF=","BID",Y282,"SCOPE:SERVER"),"RT_FALSE")</f>
        <v>RT_FALSE</v>
      </c>
      <c r="Z506" s="1" t="str">
        <f>IF(Z$467,_xll.RtContribute(Z$403,Z$3&amp;"FX"&amp;$C506&amp;"DDF=","BID",Z282,"SCOPE:SERVER"),"RT_FALSE")</f>
        <v>RT_FALSE</v>
      </c>
      <c r="AA506" s="1" t="str">
        <f>IF(AA$467,_xll.RtContribute(AA$403,AA$3&amp;"FX"&amp;$C506&amp;"DDF=","BID",AA282,"SCOPE:SERVER"),"RT_FALSE")</f>
        <v>RT_FALSE</v>
      </c>
      <c r="AB506" s="1" t="str">
        <f>IF(AB$467,_xll.RtContribute(AB$403,AB$3&amp;"FX"&amp;$C506&amp;"DDF=","BID",AB282,"SCOPE:SERVER"),"RT_FALSE")</f>
        <v>RT_FALSE</v>
      </c>
      <c r="AC506" s="1" t="str">
        <f>IF(AC$467,_xll.RtContribute(AC$403,AC$3&amp;"FX"&amp;$C506&amp;"DDF=","BID",AC282,"SCOPE:SERVER"),"RT_FALSE")</f>
        <v>RT_FALSE</v>
      </c>
      <c r="AD506" s="1" t="str">
        <f>IF(AD$467,_xll.RtContribute(AD$403,AD$3&amp;"FX"&amp;$C506&amp;"DDF=","BID",AD282,"SCOPE:SERVER"),"RT_FALSE")</f>
        <v>RT_FALSE</v>
      </c>
      <c r="AE506" s="1" t="str">
        <f>IF(AE$467,_xll.RtContribute(AE$403,AE$3&amp;"FX"&amp;$C506&amp;"DDF=","BID",AE282,"SCOPE:SERVER"),"RT_FALSE")</f>
        <v>RT_FALSE</v>
      </c>
      <c r="AF506" s="1" t="str">
        <f>IF(AF$467,_xll.RtContribute(AF$403,AF$3&amp;"FX"&amp;$C506&amp;"DDF=","BID",AF282,"SCOPE:SERVER"),"RT_FALSE")</f>
        <v>RT_FALSE</v>
      </c>
      <c r="AG506" s="1" t="str">
        <f>IF(AG$467,_xll.RtContribute(AG$403,AG$3&amp;"FX"&amp;$C506&amp;"DDF=","BID",AG282,"SCOPE:SERVER"),"RT_FALSE")</f>
        <v>RT_FALSE</v>
      </c>
      <c r="AH506" s="1" t="str">
        <f>IF(AH$467,_xll.RtContribute(AH$403,AH$3&amp;"FX"&amp;$C506&amp;"DDF=","BID",AH282,"SCOPE:SERVER"),"RT_FALSE")</f>
        <v>RT_FALSE</v>
      </c>
      <c r="AI506" s="1" t="str">
        <f>IF(AI$467,_xll.RtContribute(AI$403,AI$3&amp;"FX"&amp;$C506&amp;"DDF=","BID",AI282,"SCOPE:SERVER"),"RT_FALSE")</f>
        <v>RT_FALSE</v>
      </c>
      <c r="AJ506" s="1" t="str">
        <f>IF(AJ$467,_xll.RtContribute(AJ$403,AJ$3&amp;"FX"&amp;$C506&amp;"DDF=","BID",AJ282,"SCOPE:SERVER"),"RT_FALSE")</f>
        <v>RT_FALSE</v>
      </c>
      <c r="AK506" s="1" t="str">
        <f>IF(AK$467,_xll.RtContribute(AK$403,AK$3&amp;"FX"&amp;$C506&amp;"DDF=","BID",AK282,"SCOPE:SERVER"),"RT_FALSE")</f>
        <v>RT_FALSE</v>
      </c>
      <c r="AL506" s="1" t="str">
        <f>IF(AL$467,_xll.RtContribute(AL$403,AL$3&amp;"FX"&amp;$C506&amp;"DDF=","BID",AL282,"SCOPE:SERVER"),"RT_FALSE")</f>
        <v>RT_FALSE</v>
      </c>
      <c r="AM506" s="1" t="str">
        <f>IF(AM$467,_xll.RtContribute(AM$403,AM$3&amp;"FX"&amp;$C506&amp;"DDF=","BID",AM282,"SCOPE:SERVER"),"RT_FALSE")</f>
        <v>RT_FALSE</v>
      </c>
      <c r="AN506" s="1" t="str">
        <f>IF(AN$467,_xll.RtContribute(AN$403,AN$3&amp;"FX"&amp;$C506&amp;"DDF=","BID",AN282,"SCOPE:SERVER"),"RT_FALSE")</f>
        <v>RT_FALSE</v>
      </c>
      <c r="AO506" s="1" t="str">
        <f>IF(AO$467,_xll.RtContribute(AO$403,AO$3&amp;"FX"&amp;$C506&amp;"DDF=","BID",AO282,"SCOPE:SERVER"),"RT_FALSE")</f>
        <v>RT_FALSE</v>
      </c>
      <c r="AP506" s="1" t="str">
        <f>IF(AP$467,_xll.RtContribute(AP$403,AP$3&amp;"FX"&amp;$C506&amp;"DDF=","BID",AP282,"SCOPE:SERVER"),"RT_FALSE")</f>
        <v>RT_FALSE</v>
      </c>
    </row>
    <row r="507" spans="2:42" x14ac:dyDescent="0.2">
      <c r="C507" s="1" t="s">
        <v>77</v>
      </c>
      <c r="D507" s="1" t="str">
        <f>IF(D$467,_xll.RtContribute(D$403,D$3&amp;"FX"&amp;$C507&amp;"DDF=","BID",D29,"SCOPE:SERVER"),"RT_FALSE")</f>
        <v>RT_FALSE</v>
      </c>
      <c r="E507" s="1" t="str">
        <f>IF(E$467,_xll.RtContribute(E$403,E$3&amp;"FX"&amp;$C507&amp;"DDF=","BID",E283,"SCOPE:SERVER"),"RT_FALSE")</f>
        <v>RT_FALSE</v>
      </c>
      <c r="F507" s="1" t="str">
        <f>IF(F$467,_xll.RtContribute(F$403,F$3&amp;"FX"&amp;$C507&amp;"DDF=","BID",F283,"SCOPE:SERVER"),"RT_FALSE")</f>
        <v>RT_FALSE</v>
      </c>
      <c r="G507" s="1" t="str">
        <f>IF(G$467,_xll.RtContribute(G$403,G$3&amp;"FX"&amp;$C507&amp;"DDF=","BID",G283,"SCOPE:SERVER"),"RT_FALSE")</f>
        <v>RT_FALSE</v>
      </c>
      <c r="H507" s="1" t="str">
        <f>IF(H$467,_xll.RtContribute(H$403,H$3&amp;"FX"&amp;$C507&amp;"DDF=","BID",H283,"SCOPE:SERVER"),"RT_FALSE")</f>
        <v>RT_FALSE</v>
      </c>
      <c r="I507" s="1" t="str">
        <f>IF(I$467,_xll.RtContribute(I$403,I$3&amp;"FX"&amp;$C507&amp;"DDF=","BID",I283,"SCOPE:SERVER"),"RT_FALSE")</f>
        <v>RT_FALSE</v>
      </c>
      <c r="J507" s="1" t="str">
        <f>IF(J$467,_xll.RtContribute(J$403,J$3&amp;"FX"&amp;$C507&amp;"DDF=","BID",J283,"SCOPE:SERVER"),"RT_FALSE")</f>
        <v>RT_FALSE</v>
      </c>
      <c r="K507" s="1" t="str">
        <f>IF(K$467,_xll.RtContribute(K$403,K$3&amp;"FX"&amp;$C507&amp;"DDF=","BID",K283,"SCOPE:SERVER"),"RT_FALSE")</f>
        <v>RT_FALSE</v>
      </c>
      <c r="L507" s="1" t="str">
        <f>IF(L$467,_xll.RtContribute(L$403,L$3&amp;"FX"&amp;$C507&amp;"DDF=","BID",L283,"SCOPE:SERVER"),"RT_FALSE")</f>
        <v>RT_FALSE</v>
      </c>
      <c r="M507" s="1" t="str">
        <f>IF(M$467,_xll.RtContribute(M$403,M$3&amp;"FX"&amp;$C507&amp;"DDF=","BID",M283,"SCOPE:SERVER"),"RT_FALSE")</f>
        <v>RT_FALSE</v>
      </c>
      <c r="N507" s="1" t="str">
        <f>IF(N$467,_xll.RtContribute(N$403,N$3&amp;"FX"&amp;$C507&amp;"DDF=","BID",N283,"SCOPE:SERVER"),"RT_FALSE")</f>
        <v>RT_FALSE</v>
      </c>
      <c r="O507" s="1" t="str">
        <f>IF(O$467,_xll.RtContribute(O$403,O$3&amp;"FX"&amp;$C507&amp;"DDF=","BID",O283,"SCOPE:SERVER"),"RT_FALSE")</f>
        <v>RT_FALSE</v>
      </c>
      <c r="P507" s="1" t="str">
        <f>IF(P$467,_xll.RtContribute(P$403,P$3&amp;"FX"&amp;$C507&amp;"DDF=","BID",P283,"SCOPE:SERVER"),"RT_FALSE")</f>
        <v>RT_FALSE</v>
      </c>
      <c r="Q507" s="1" t="str">
        <f>IF(Q$467,_xll.RtContribute(Q$403,Q$3&amp;"FX"&amp;$C507&amp;"DDF=","BID",Q283,"SCOPE:SERVER"),"RT_FALSE")</f>
        <v>RT_FALSE</v>
      </c>
      <c r="R507" s="1" t="str">
        <f>IF(R$467,_xll.RtContribute(R$403,R$3&amp;"FX"&amp;$C507&amp;"DDF=","BID",R283,"SCOPE:SERVER"),"RT_FALSE")</f>
        <v>RT_FALSE</v>
      </c>
      <c r="S507" s="1" t="str">
        <f>IF(S$467,_xll.RtContribute(S$403,S$3&amp;"FX"&amp;$C507&amp;"DDF=","BID",S283,"SCOPE:SERVER"),"RT_FALSE")</f>
        <v>RT_FALSE</v>
      </c>
      <c r="T507" s="1" t="str">
        <f>IF(T$467,_xll.RtContribute(T$403,T$3&amp;"FX"&amp;$C507&amp;"DDF=","BID",T283,"SCOPE:SERVER"),"RT_FALSE")</f>
        <v>RT_FALSE</v>
      </c>
      <c r="U507" s="1" t="str">
        <f>IF(U$467,_xll.RtContribute(U$403,U$3&amp;"FX"&amp;$C507&amp;"DDF=","BID",U283,"SCOPE:SERVER"),"RT_FALSE")</f>
        <v>RT_FALSE</v>
      </c>
      <c r="V507" s="1" t="str">
        <f>IF(V$467,_xll.RtContribute(V$403,V$3&amp;"FX"&amp;$C507&amp;"DDF=","BID",V283,"SCOPE:SERVER"),"RT_FALSE")</f>
        <v>RT_FALSE</v>
      </c>
      <c r="W507" s="1" t="str">
        <f>IF(W$467,_xll.RtContribute(W$403,W$3&amp;"FX"&amp;$C507&amp;"DDF=","BID",W283,"SCOPE:SERVER"),"RT_FALSE")</f>
        <v>RT_FALSE</v>
      </c>
      <c r="X507" s="1" t="str">
        <f>IF(X$467,_xll.RtContribute(X$403,X$3&amp;"FX"&amp;$C507&amp;"DDF=","BID",X283,"SCOPE:SERVER"),"RT_FALSE")</f>
        <v>RT_FALSE</v>
      </c>
      <c r="Y507" s="1" t="str">
        <f>IF(Y$467,_xll.RtContribute(Y$403,Y$3&amp;"FX"&amp;$C507&amp;"DDF=","BID",Y283,"SCOPE:SERVER"),"RT_FALSE")</f>
        <v>RT_FALSE</v>
      </c>
      <c r="Z507" s="1" t="str">
        <f>IF(Z$467,_xll.RtContribute(Z$403,Z$3&amp;"FX"&amp;$C507&amp;"DDF=","BID",Z283,"SCOPE:SERVER"),"RT_FALSE")</f>
        <v>RT_FALSE</v>
      </c>
      <c r="AA507" s="1" t="str">
        <f>IF(AA$467,_xll.RtContribute(AA$403,AA$3&amp;"FX"&amp;$C507&amp;"DDF=","BID",AA283,"SCOPE:SERVER"),"RT_FALSE")</f>
        <v>RT_FALSE</v>
      </c>
      <c r="AB507" s="1" t="str">
        <f>IF(AB$467,_xll.RtContribute(AB$403,AB$3&amp;"FX"&amp;$C507&amp;"DDF=","BID",AB283,"SCOPE:SERVER"),"RT_FALSE")</f>
        <v>RT_FALSE</v>
      </c>
      <c r="AC507" s="1" t="str">
        <f>IF(AC$467,_xll.RtContribute(AC$403,AC$3&amp;"FX"&amp;$C507&amp;"DDF=","BID",AC283,"SCOPE:SERVER"),"RT_FALSE")</f>
        <v>RT_FALSE</v>
      </c>
      <c r="AD507" s="1" t="str">
        <f>IF(AD$467,_xll.RtContribute(AD$403,AD$3&amp;"FX"&amp;$C507&amp;"DDF=","BID",AD283,"SCOPE:SERVER"),"RT_FALSE")</f>
        <v>RT_FALSE</v>
      </c>
      <c r="AE507" s="1" t="str">
        <f>IF(AE$467,_xll.RtContribute(AE$403,AE$3&amp;"FX"&amp;$C507&amp;"DDF=","BID",AE283,"SCOPE:SERVER"),"RT_FALSE")</f>
        <v>RT_FALSE</v>
      </c>
      <c r="AF507" s="1" t="str">
        <f>IF(AF$467,_xll.RtContribute(AF$403,AF$3&amp;"FX"&amp;$C507&amp;"DDF=","BID",AF283,"SCOPE:SERVER"),"RT_FALSE")</f>
        <v>RT_FALSE</v>
      </c>
      <c r="AG507" s="1" t="str">
        <f>IF(AG$467,_xll.RtContribute(AG$403,AG$3&amp;"FX"&amp;$C507&amp;"DDF=","BID",AG283,"SCOPE:SERVER"),"RT_FALSE")</f>
        <v>RT_FALSE</v>
      </c>
      <c r="AH507" s="1" t="str">
        <f>IF(AH$467,_xll.RtContribute(AH$403,AH$3&amp;"FX"&amp;$C507&amp;"DDF=","BID",AH283,"SCOPE:SERVER"),"RT_FALSE")</f>
        <v>RT_FALSE</v>
      </c>
      <c r="AI507" s="1" t="str">
        <f>IF(AI$467,_xll.RtContribute(AI$403,AI$3&amp;"FX"&amp;$C507&amp;"DDF=","BID",AI283,"SCOPE:SERVER"),"RT_FALSE")</f>
        <v>RT_FALSE</v>
      </c>
      <c r="AJ507" s="1" t="str">
        <f>IF(AJ$467,_xll.RtContribute(AJ$403,AJ$3&amp;"FX"&amp;$C507&amp;"DDF=","BID",AJ283,"SCOPE:SERVER"),"RT_FALSE")</f>
        <v>RT_FALSE</v>
      </c>
      <c r="AK507" s="1" t="str">
        <f>IF(AK$467,_xll.RtContribute(AK$403,AK$3&amp;"FX"&amp;$C507&amp;"DDF=","BID",AK283,"SCOPE:SERVER"),"RT_FALSE")</f>
        <v>RT_FALSE</v>
      </c>
      <c r="AL507" s="1" t="str">
        <f>IF(AL$467,_xll.RtContribute(AL$403,AL$3&amp;"FX"&amp;$C507&amp;"DDF=","BID",AL283,"SCOPE:SERVER"),"RT_FALSE")</f>
        <v>RT_FALSE</v>
      </c>
      <c r="AM507" s="1" t="str">
        <f>IF(AM$467,_xll.RtContribute(AM$403,AM$3&amp;"FX"&amp;$C507&amp;"DDF=","BID",AM283,"SCOPE:SERVER"),"RT_FALSE")</f>
        <v>RT_FALSE</v>
      </c>
      <c r="AN507" s="1" t="str">
        <f>IF(AN$467,_xll.RtContribute(AN$403,AN$3&amp;"FX"&amp;$C507&amp;"DDF=","BID",AN283,"SCOPE:SERVER"),"RT_FALSE")</f>
        <v>RT_FALSE</v>
      </c>
      <c r="AO507" s="1" t="str">
        <f>IF(AO$467,_xll.RtContribute(AO$403,AO$3&amp;"FX"&amp;$C507&amp;"DDF=","BID",AO283,"SCOPE:SERVER"),"RT_FALSE")</f>
        <v>RT_FALSE</v>
      </c>
      <c r="AP507" s="1" t="str">
        <f>IF(AP$467,_xll.RtContribute(AP$403,AP$3&amp;"FX"&amp;$C507&amp;"DDF=","BID",AP283,"SCOPE:SERVER"),"RT_FALSE")</f>
        <v>RT_FALSE</v>
      </c>
    </row>
    <row r="508" spans="2:42" x14ac:dyDescent="0.2">
      <c r="C508" s="1" t="s">
        <v>82</v>
      </c>
      <c r="D508" s="1" t="str">
        <f>IF(D$467,_xll.RtContribute(D$403,D$3&amp;"FX"&amp;$C508&amp;"DDF=","BID",D30,"SCOPE:SERVER"),"RT_FALSE")</f>
        <v>RT_FALSE</v>
      </c>
      <c r="E508" s="1" t="str">
        <f>IF(E$467,_xll.RtContribute(E$403,E$3&amp;"FX"&amp;$C508&amp;"DDF=","BID",E284,"SCOPE:SERVER"),"RT_FALSE")</f>
        <v>RT_FALSE</v>
      </c>
      <c r="F508" s="1" t="str">
        <f>IF(F$467,_xll.RtContribute(F$403,F$3&amp;"FX"&amp;$C508&amp;"DDF=","BID",F284,"SCOPE:SERVER"),"RT_FALSE")</f>
        <v>RT_FALSE</v>
      </c>
      <c r="G508" s="1" t="str">
        <f>IF(G$467,_xll.RtContribute(G$403,G$3&amp;"FX"&amp;$C508&amp;"DDF=","BID",G284,"SCOPE:SERVER"),"RT_FALSE")</f>
        <v>RT_FALSE</v>
      </c>
      <c r="H508" s="1" t="str">
        <f>IF(H$467,_xll.RtContribute(H$403,H$3&amp;"FX"&amp;$C508&amp;"DDF=","BID",H284,"SCOPE:SERVER"),"RT_FALSE")</f>
        <v>RT_FALSE</v>
      </c>
      <c r="I508" s="1" t="str">
        <f>IF(I$467,_xll.RtContribute(I$403,I$3&amp;"FX"&amp;$C508&amp;"DDF=","BID",I284,"SCOPE:SERVER"),"RT_FALSE")</f>
        <v>RT_FALSE</v>
      </c>
      <c r="J508" s="1" t="str">
        <f>IF(J$467,_xll.RtContribute(J$403,J$3&amp;"FX"&amp;$C508&amp;"DDF=","BID",J284,"SCOPE:SERVER"),"RT_FALSE")</f>
        <v>RT_FALSE</v>
      </c>
      <c r="K508" s="1" t="str">
        <f>IF(K$467,_xll.RtContribute(K$403,K$3&amp;"FX"&amp;$C508&amp;"DDF=","BID",K284,"SCOPE:SERVER"),"RT_FALSE")</f>
        <v>RT_FALSE</v>
      </c>
      <c r="L508" s="1" t="str">
        <f>IF(L$467,_xll.RtContribute(L$403,L$3&amp;"FX"&amp;$C508&amp;"DDF=","BID",L284,"SCOPE:SERVER"),"RT_FALSE")</f>
        <v>RT_FALSE</v>
      </c>
      <c r="M508" s="1" t="str">
        <f>IF(M$467,_xll.RtContribute(M$403,M$3&amp;"FX"&amp;$C508&amp;"DDF=","BID",M284,"SCOPE:SERVER"),"RT_FALSE")</f>
        <v>RT_FALSE</v>
      </c>
      <c r="N508" s="1" t="str">
        <f>IF(N$467,_xll.RtContribute(N$403,N$3&amp;"FX"&amp;$C508&amp;"DDF=","BID",N284,"SCOPE:SERVER"),"RT_FALSE")</f>
        <v>RT_FALSE</v>
      </c>
      <c r="O508" s="1" t="str">
        <f>IF(O$467,_xll.RtContribute(O$403,O$3&amp;"FX"&amp;$C508&amp;"DDF=","BID",O284,"SCOPE:SERVER"),"RT_FALSE")</f>
        <v>RT_FALSE</v>
      </c>
      <c r="P508" s="1" t="str">
        <f>IF(P$467,_xll.RtContribute(P$403,P$3&amp;"FX"&amp;$C508&amp;"DDF=","BID",P284,"SCOPE:SERVER"),"RT_FALSE")</f>
        <v>RT_FALSE</v>
      </c>
      <c r="Q508" s="1" t="str">
        <f>IF(Q$467,_xll.RtContribute(Q$403,Q$3&amp;"FX"&amp;$C508&amp;"DDF=","BID",Q284,"SCOPE:SERVER"),"RT_FALSE")</f>
        <v>RT_FALSE</v>
      </c>
      <c r="R508" s="1" t="str">
        <f>IF(R$467,_xll.RtContribute(R$403,R$3&amp;"FX"&amp;$C508&amp;"DDF=","BID",R284,"SCOPE:SERVER"),"RT_FALSE")</f>
        <v>RT_FALSE</v>
      </c>
      <c r="S508" s="1" t="str">
        <f>IF(S$467,_xll.RtContribute(S$403,S$3&amp;"FX"&amp;$C508&amp;"DDF=","BID",S284,"SCOPE:SERVER"),"RT_FALSE")</f>
        <v>RT_FALSE</v>
      </c>
      <c r="T508" s="1" t="str">
        <f>IF(T$467,_xll.RtContribute(T$403,T$3&amp;"FX"&amp;$C508&amp;"DDF=","BID",T284,"SCOPE:SERVER"),"RT_FALSE")</f>
        <v>RT_FALSE</v>
      </c>
      <c r="U508" s="1" t="str">
        <f>IF(U$467,_xll.RtContribute(U$403,U$3&amp;"FX"&amp;$C508&amp;"DDF=","BID",U284,"SCOPE:SERVER"),"RT_FALSE")</f>
        <v>RT_FALSE</v>
      </c>
      <c r="V508" s="1" t="str">
        <f>IF(V$467,_xll.RtContribute(V$403,V$3&amp;"FX"&amp;$C508&amp;"DDF=","BID",V284,"SCOPE:SERVER"),"RT_FALSE")</f>
        <v>RT_FALSE</v>
      </c>
      <c r="W508" s="1" t="str">
        <f>IF(W$467,_xll.RtContribute(W$403,W$3&amp;"FX"&amp;$C508&amp;"DDF=","BID",W284,"SCOPE:SERVER"),"RT_FALSE")</f>
        <v>RT_FALSE</v>
      </c>
      <c r="X508" s="1" t="str">
        <f>IF(X$467,_xll.RtContribute(X$403,X$3&amp;"FX"&amp;$C508&amp;"DDF=","BID",X284,"SCOPE:SERVER"),"RT_FALSE")</f>
        <v>RT_FALSE</v>
      </c>
      <c r="Y508" s="1" t="str">
        <f>IF(Y$467,_xll.RtContribute(Y$403,Y$3&amp;"FX"&amp;$C508&amp;"DDF=","BID",Y284,"SCOPE:SERVER"),"RT_FALSE")</f>
        <v>RT_FALSE</v>
      </c>
      <c r="Z508" s="1" t="str">
        <f>IF(Z$467,_xll.RtContribute(Z$403,Z$3&amp;"FX"&amp;$C508&amp;"DDF=","BID",Z284,"SCOPE:SERVER"),"RT_FALSE")</f>
        <v>RT_FALSE</v>
      </c>
      <c r="AA508" s="1" t="str">
        <f>IF(AA$467,_xll.RtContribute(AA$403,AA$3&amp;"FX"&amp;$C508&amp;"DDF=","BID",AA284,"SCOPE:SERVER"),"RT_FALSE")</f>
        <v>RT_FALSE</v>
      </c>
      <c r="AB508" s="1" t="str">
        <f>IF(AB$467,_xll.RtContribute(AB$403,AB$3&amp;"FX"&amp;$C508&amp;"DDF=","BID",AB284,"SCOPE:SERVER"),"RT_FALSE")</f>
        <v>RT_FALSE</v>
      </c>
      <c r="AC508" s="1" t="str">
        <f>IF(AC$467,_xll.RtContribute(AC$403,AC$3&amp;"FX"&amp;$C508&amp;"DDF=","BID",AC284,"SCOPE:SERVER"),"RT_FALSE")</f>
        <v>RT_FALSE</v>
      </c>
      <c r="AD508" s="1" t="str">
        <f>IF(AD$467,_xll.RtContribute(AD$403,AD$3&amp;"FX"&amp;$C508&amp;"DDF=","BID",AD284,"SCOPE:SERVER"),"RT_FALSE")</f>
        <v>RT_FALSE</v>
      </c>
      <c r="AE508" s="1" t="str">
        <f>IF(AE$467,_xll.RtContribute(AE$403,AE$3&amp;"FX"&amp;$C508&amp;"DDF=","BID",AE284,"SCOPE:SERVER"),"RT_FALSE")</f>
        <v>RT_FALSE</v>
      </c>
      <c r="AF508" s="1" t="str">
        <f>IF(AF$467,_xll.RtContribute(AF$403,AF$3&amp;"FX"&amp;$C508&amp;"DDF=","BID",AF284,"SCOPE:SERVER"),"RT_FALSE")</f>
        <v>RT_FALSE</v>
      </c>
      <c r="AG508" s="1" t="str">
        <f>IF(AG$467,_xll.RtContribute(AG$403,AG$3&amp;"FX"&amp;$C508&amp;"DDF=","BID",AG284,"SCOPE:SERVER"),"RT_FALSE")</f>
        <v>RT_FALSE</v>
      </c>
      <c r="AH508" s="1" t="str">
        <f>IF(AH$467,_xll.RtContribute(AH$403,AH$3&amp;"FX"&amp;$C508&amp;"DDF=","BID",AH284,"SCOPE:SERVER"),"RT_FALSE")</f>
        <v>RT_FALSE</v>
      </c>
      <c r="AI508" s="1" t="str">
        <f>IF(AI$467,_xll.RtContribute(AI$403,AI$3&amp;"FX"&amp;$C508&amp;"DDF=","BID",AI284,"SCOPE:SERVER"),"RT_FALSE")</f>
        <v>RT_FALSE</v>
      </c>
      <c r="AJ508" s="1" t="str">
        <f>IF(AJ$467,_xll.RtContribute(AJ$403,AJ$3&amp;"FX"&amp;$C508&amp;"DDF=","BID",AJ284,"SCOPE:SERVER"),"RT_FALSE")</f>
        <v>RT_FALSE</v>
      </c>
      <c r="AK508" s="1" t="str">
        <f>IF(AK$467,_xll.RtContribute(AK$403,AK$3&amp;"FX"&amp;$C508&amp;"DDF=","BID",AK284,"SCOPE:SERVER"),"RT_FALSE")</f>
        <v>RT_FALSE</v>
      </c>
      <c r="AL508" s="1" t="str">
        <f>IF(AL$467,_xll.RtContribute(AL$403,AL$3&amp;"FX"&amp;$C508&amp;"DDF=","BID",AL284,"SCOPE:SERVER"),"RT_FALSE")</f>
        <v>RT_FALSE</v>
      </c>
      <c r="AM508" s="1" t="str">
        <f>IF(AM$467,_xll.RtContribute(AM$403,AM$3&amp;"FX"&amp;$C508&amp;"DDF=","BID",AM284,"SCOPE:SERVER"),"RT_FALSE")</f>
        <v>RT_FALSE</v>
      </c>
      <c r="AN508" s="1" t="str">
        <f>IF(AN$467,_xll.RtContribute(AN$403,AN$3&amp;"FX"&amp;$C508&amp;"DDF=","BID",AN284,"SCOPE:SERVER"),"RT_FALSE")</f>
        <v>RT_FALSE</v>
      </c>
      <c r="AO508" s="1" t="str">
        <f>IF(AO$467,_xll.RtContribute(AO$403,AO$3&amp;"FX"&amp;$C508&amp;"DDF=","BID",AO284,"SCOPE:SERVER"),"RT_FALSE")</f>
        <v>RT_FALSE</v>
      </c>
      <c r="AP508" s="1" t="str">
        <f>IF(AP$467,_xll.RtContribute(AP$403,AP$3&amp;"FX"&amp;$C508&amp;"DDF=","BID",AP284,"SCOPE:SERVER"),"RT_FALSE")</f>
        <v>RT_FALSE</v>
      </c>
    </row>
    <row r="509" spans="2:42" x14ac:dyDescent="0.2">
      <c r="C509" s="1" t="s">
        <v>85</v>
      </c>
      <c r="D509" s="1" t="str">
        <f>IF(D$467,_xll.RtContribute(D$403,D$3&amp;"FX"&amp;$C509&amp;"DDF=","BID",D31,"SCOPE:SERVER"),"RT_FALSE")</f>
        <v>RT_FALSE</v>
      </c>
      <c r="E509" s="1" t="str">
        <f>IF(E$467,_xll.RtContribute(E$403,E$3&amp;"FX"&amp;$C509&amp;"DDF=","BID",E285,"SCOPE:SERVER"),"RT_FALSE")</f>
        <v>RT_FALSE</v>
      </c>
      <c r="F509" s="1" t="str">
        <f>IF(F$467,_xll.RtContribute(F$403,F$3&amp;"FX"&amp;$C509&amp;"DDF=","BID",F285,"SCOPE:SERVER"),"RT_FALSE")</f>
        <v>RT_FALSE</v>
      </c>
      <c r="G509" s="1" t="str">
        <f>IF(G$467,_xll.RtContribute(G$403,G$3&amp;"FX"&amp;$C509&amp;"DDF=","BID",G285,"SCOPE:SERVER"),"RT_FALSE")</f>
        <v>RT_FALSE</v>
      </c>
      <c r="H509" s="1" t="str">
        <f>IF(H$467,_xll.RtContribute(H$403,H$3&amp;"FX"&amp;$C509&amp;"DDF=","BID",H285,"SCOPE:SERVER"),"RT_FALSE")</f>
        <v>RT_FALSE</v>
      </c>
      <c r="I509" s="1" t="str">
        <f>IF(I$467,_xll.RtContribute(I$403,I$3&amp;"FX"&amp;$C509&amp;"DDF=","BID",I285,"SCOPE:SERVER"),"RT_FALSE")</f>
        <v>RT_FALSE</v>
      </c>
      <c r="J509" s="1" t="str">
        <f>IF(J$467,_xll.RtContribute(J$403,J$3&amp;"FX"&amp;$C509&amp;"DDF=","BID",J285,"SCOPE:SERVER"),"RT_FALSE")</f>
        <v>RT_FALSE</v>
      </c>
      <c r="K509" s="1" t="str">
        <f>IF(K$467,_xll.RtContribute(K$403,K$3&amp;"FX"&amp;$C509&amp;"DDF=","BID",K285,"SCOPE:SERVER"),"RT_FALSE")</f>
        <v>RT_FALSE</v>
      </c>
      <c r="L509" s="1" t="str">
        <f>IF(L$467,_xll.RtContribute(L$403,L$3&amp;"FX"&amp;$C509&amp;"DDF=","BID",L285,"SCOPE:SERVER"),"RT_FALSE")</f>
        <v>RT_FALSE</v>
      </c>
      <c r="M509" s="1" t="str">
        <f>IF(M$467,_xll.RtContribute(M$403,M$3&amp;"FX"&amp;$C509&amp;"DDF=","BID",M285,"SCOPE:SERVER"),"RT_FALSE")</f>
        <v>RT_FALSE</v>
      </c>
      <c r="N509" s="1" t="str">
        <f>IF(N$467,_xll.RtContribute(N$403,N$3&amp;"FX"&amp;$C509&amp;"DDF=","BID",N285,"SCOPE:SERVER"),"RT_FALSE")</f>
        <v>RT_FALSE</v>
      </c>
      <c r="O509" s="1" t="str">
        <f>IF(O$467,_xll.RtContribute(O$403,O$3&amp;"FX"&amp;$C509&amp;"DDF=","BID",O285,"SCOPE:SERVER"),"RT_FALSE")</f>
        <v>RT_FALSE</v>
      </c>
      <c r="P509" s="1" t="str">
        <f>IF(P$467,_xll.RtContribute(P$403,P$3&amp;"FX"&amp;$C509&amp;"DDF=","BID",P285,"SCOPE:SERVER"),"RT_FALSE")</f>
        <v>RT_FALSE</v>
      </c>
      <c r="Q509" s="1" t="str">
        <f>IF(Q$467,_xll.RtContribute(Q$403,Q$3&amp;"FX"&amp;$C509&amp;"DDF=","BID",Q285,"SCOPE:SERVER"),"RT_FALSE")</f>
        <v>RT_FALSE</v>
      </c>
      <c r="R509" s="1" t="str">
        <f>IF(R$467,_xll.RtContribute(R$403,R$3&amp;"FX"&amp;$C509&amp;"DDF=","BID",R285,"SCOPE:SERVER"),"RT_FALSE")</f>
        <v>RT_FALSE</v>
      </c>
      <c r="S509" s="1" t="str">
        <f>IF(S$467,_xll.RtContribute(S$403,S$3&amp;"FX"&amp;$C509&amp;"DDF=","BID",S285,"SCOPE:SERVER"),"RT_FALSE")</f>
        <v>RT_FALSE</v>
      </c>
      <c r="T509" s="1" t="str">
        <f>IF(T$467,_xll.RtContribute(T$403,T$3&amp;"FX"&amp;$C509&amp;"DDF=","BID",T285,"SCOPE:SERVER"),"RT_FALSE")</f>
        <v>RT_FALSE</v>
      </c>
      <c r="U509" s="1" t="str">
        <f>IF(U$467,_xll.RtContribute(U$403,U$3&amp;"FX"&amp;$C509&amp;"DDF=","BID",U285,"SCOPE:SERVER"),"RT_FALSE")</f>
        <v>RT_FALSE</v>
      </c>
      <c r="V509" s="1" t="str">
        <f>IF(V$467,_xll.RtContribute(V$403,V$3&amp;"FX"&amp;$C509&amp;"DDF=","BID",V285,"SCOPE:SERVER"),"RT_FALSE")</f>
        <v>RT_FALSE</v>
      </c>
      <c r="W509" s="1" t="str">
        <f>IF(W$467,_xll.RtContribute(W$403,W$3&amp;"FX"&amp;$C509&amp;"DDF=","BID",W285,"SCOPE:SERVER"),"RT_FALSE")</f>
        <v>RT_FALSE</v>
      </c>
      <c r="X509" s="1" t="str">
        <f>IF(X$467,_xll.RtContribute(X$403,X$3&amp;"FX"&amp;$C509&amp;"DDF=","BID",X285,"SCOPE:SERVER"),"RT_FALSE")</f>
        <v>RT_FALSE</v>
      </c>
      <c r="Y509" s="1" t="str">
        <f>IF(Y$467,_xll.RtContribute(Y$403,Y$3&amp;"FX"&amp;$C509&amp;"DDF=","BID",Y285,"SCOPE:SERVER"),"RT_FALSE")</f>
        <v>RT_FALSE</v>
      </c>
      <c r="Z509" s="1" t="str">
        <f>IF(Z$467,_xll.RtContribute(Z$403,Z$3&amp;"FX"&amp;$C509&amp;"DDF=","BID",Z285,"SCOPE:SERVER"),"RT_FALSE")</f>
        <v>RT_FALSE</v>
      </c>
      <c r="AA509" s="1" t="str">
        <f>IF(AA$467,_xll.RtContribute(AA$403,AA$3&amp;"FX"&amp;$C509&amp;"DDF=","BID",AA285,"SCOPE:SERVER"),"RT_FALSE")</f>
        <v>RT_FALSE</v>
      </c>
      <c r="AB509" s="1" t="str">
        <f>IF(AB$467,_xll.RtContribute(AB$403,AB$3&amp;"FX"&amp;$C509&amp;"DDF=","BID",AB285,"SCOPE:SERVER"),"RT_FALSE")</f>
        <v>RT_FALSE</v>
      </c>
      <c r="AC509" s="1" t="str">
        <f>IF(AC$467,_xll.RtContribute(AC$403,AC$3&amp;"FX"&amp;$C509&amp;"DDF=","BID",AC285,"SCOPE:SERVER"),"RT_FALSE")</f>
        <v>RT_FALSE</v>
      </c>
      <c r="AD509" s="1" t="str">
        <f>IF(AD$467,_xll.RtContribute(AD$403,AD$3&amp;"FX"&amp;$C509&amp;"DDF=","BID",AD285,"SCOPE:SERVER"),"RT_FALSE")</f>
        <v>RT_FALSE</v>
      </c>
      <c r="AE509" s="1" t="str">
        <f>IF(AE$467,_xll.RtContribute(AE$403,AE$3&amp;"FX"&amp;$C509&amp;"DDF=","BID",AE285,"SCOPE:SERVER"),"RT_FALSE")</f>
        <v>RT_FALSE</v>
      </c>
      <c r="AF509" s="1" t="str">
        <f>IF(AF$467,_xll.RtContribute(AF$403,AF$3&amp;"FX"&amp;$C509&amp;"DDF=","BID",AF285,"SCOPE:SERVER"),"RT_FALSE")</f>
        <v>RT_FALSE</v>
      </c>
      <c r="AG509" s="1" t="str">
        <f>IF(AG$467,_xll.RtContribute(AG$403,AG$3&amp;"FX"&amp;$C509&amp;"DDF=","BID",AG285,"SCOPE:SERVER"),"RT_FALSE")</f>
        <v>RT_FALSE</v>
      </c>
      <c r="AH509" s="1" t="str">
        <f>IF(AH$467,_xll.RtContribute(AH$403,AH$3&amp;"FX"&amp;$C509&amp;"DDF=","BID",AH285,"SCOPE:SERVER"),"RT_FALSE")</f>
        <v>RT_FALSE</v>
      </c>
      <c r="AI509" s="1" t="str">
        <f>IF(AI$467,_xll.RtContribute(AI$403,AI$3&amp;"FX"&amp;$C509&amp;"DDF=","BID",AI285,"SCOPE:SERVER"),"RT_FALSE")</f>
        <v>RT_FALSE</v>
      </c>
      <c r="AJ509" s="1" t="str">
        <f>IF(AJ$467,_xll.RtContribute(AJ$403,AJ$3&amp;"FX"&amp;$C509&amp;"DDF=","BID",AJ285,"SCOPE:SERVER"),"RT_FALSE")</f>
        <v>RT_FALSE</v>
      </c>
      <c r="AK509" s="1" t="str">
        <f>IF(AK$467,_xll.RtContribute(AK$403,AK$3&amp;"FX"&amp;$C509&amp;"DDF=","BID",AK285,"SCOPE:SERVER"),"RT_FALSE")</f>
        <v>RT_FALSE</v>
      </c>
      <c r="AL509" s="1" t="str">
        <f>IF(AL$467,_xll.RtContribute(AL$403,AL$3&amp;"FX"&amp;$C509&amp;"DDF=","BID",AL285,"SCOPE:SERVER"),"RT_FALSE")</f>
        <v>RT_FALSE</v>
      </c>
      <c r="AM509" s="1" t="str">
        <f>IF(AM$467,_xll.RtContribute(AM$403,AM$3&amp;"FX"&amp;$C509&amp;"DDF=","BID",AM285,"SCOPE:SERVER"),"RT_FALSE")</f>
        <v>RT_FALSE</v>
      </c>
      <c r="AN509" s="1" t="str">
        <f>IF(AN$467,_xll.RtContribute(AN$403,AN$3&amp;"FX"&amp;$C509&amp;"DDF=","BID",AN285,"SCOPE:SERVER"),"RT_FALSE")</f>
        <v>RT_FALSE</v>
      </c>
      <c r="AO509" s="1" t="str">
        <f>IF(AO$467,_xll.RtContribute(AO$403,AO$3&amp;"FX"&amp;$C509&amp;"DDF=","BID",AO285,"SCOPE:SERVER"),"RT_FALSE")</f>
        <v>RT_FALSE</v>
      </c>
      <c r="AP509" s="1" t="str">
        <f>IF(AP$467,_xll.RtContribute(AP$403,AP$3&amp;"FX"&amp;$C509&amp;"DDF=","BID",AP285,"SCOPE:SERVER"),"RT_FALSE")</f>
        <v>RT_FALSE</v>
      </c>
    </row>
    <row r="510" spans="2:42" x14ac:dyDescent="0.2">
      <c r="C510" s="1" t="s">
        <v>87</v>
      </c>
      <c r="D510" s="1" t="str">
        <f>IF(D$467,_xll.RtContribute(D$403,D$3&amp;"FX"&amp;$C510&amp;"DDF=","BID",D32,"SCOPE:SERVER"),"RT_FALSE")</f>
        <v>RT_FALSE</v>
      </c>
      <c r="E510" s="1" t="str">
        <f>IF(E$467,_xll.RtContribute(E$403,E$3&amp;"FX"&amp;$C510&amp;"DDF=","BID",E286,"SCOPE:SERVER"),"RT_FALSE")</f>
        <v>RT_FALSE</v>
      </c>
      <c r="F510" s="1" t="str">
        <f>IF(F$467,_xll.RtContribute(F$403,F$3&amp;"FX"&amp;$C510&amp;"DDF=","BID",F286,"SCOPE:SERVER"),"RT_FALSE")</f>
        <v>RT_FALSE</v>
      </c>
      <c r="G510" s="1" t="str">
        <f>IF(G$467,_xll.RtContribute(G$403,G$3&amp;"FX"&amp;$C510&amp;"DDF=","BID",G286,"SCOPE:SERVER"),"RT_FALSE")</f>
        <v>RT_FALSE</v>
      </c>
      <c r="H510" s="1" t="str">
        <f>IF(H$467,_xll.RtContribute(H$403,H$3&amp;"FX"&amp;$C510&amp;"DDF=","BID",H286,"SCOPE:SERVER"),"RT_FALSE")</f>
        <v>RT_FALSE</v>
      </c>
      <c r="I510" s="1" t="str">
        <f>IF(I$467,_xll.RtContribute(I$403,I$3&amp;"FX"&amp;$C510&amp;"DDF=","BID",I286,"SCOPE:SERVER"),"RT_FALSE")</f>
        <v>RT_FALSE</v>
      </c>
      <c r="J510" s="1" t="str">
        <f>IF(J$467,_xll.RtContribute(J$403,J$3&amp;"FX"&amp;$C510&amp;"DDF=","BID",J286,"SCOPE:SERVER"),"RT_FALSE")</f>
        <v>RT_FALSE</v>
      </c>
      <c r="K510" s="1" t="str">
        <f>IF(K$467,_xll.RtContribute(K$403,K$3&amp;"FX"&amp;$C510&amp;"DDF=","BID",K286,"SCOPE:SERVER"),"RT_FALSE")</f>
        <v>RT_FALSE</v>
      </c>
      <c r="L510" s="1" t="str">
        <f>IF(L$467,_xll.RtContribute(L$403,L$3&amp;"FX"&amp;$C510&amp;"DDF=","BID",L286,"SCOPE:SERVER"),"RT_FALSE")</f>
        <v>RT_FALSE</v>
      </c>
      <c r="M510" s="1" t="str">
        <f>IF(M$467,_xll.RtContribute(M$403,M$3&amp;"FX"&amp;$C510&amp;"DDF=","BID",M286,"SCOPE:SERVER"),"RT_FALSE")</f>
        <v>RT_FALSE</v>
      </c>
      <c r="N510" s="1" t="str">
        <f>IF(N$467,_xll.RtContribute(N$403,N$3&amp;"FX"&amp;$C510&amp;"DDF=","BID",N286,"SCOPE:SERVER"),"RT_FALSE")</f>
        <v>RT_FALSE</v>
      </c>
      <c r="O510" s="1" t="str">
        <f>IF(O$467,_xll.RtContribute(O$403,O$3&amp;"FX"&amp;$C510&amp;"DDF=","BID",O286,"SCOPE:SERVER"),"RT_FALSE")</f>
        <v>RT_FALSE</v>
      </c>
      <c r="P510" s="1" t="str">
        <f>IF(P$467,_xll.RtContribute(P$403,P$3&amp;"FX"&amp;$C510&amp;"DDF=","BID",P286,"SCOPE:SERVER"),"RT_FALSE")</f>
        <v>RT_FALSE</v>
      </c>
      <c r="Q510" s="1" t="str">
        <f>IF(Q$467,_xll.RtContribute(Q$403,Q$3&amp;"FX"&amp;$C510&amp;"DDF=","BID",Q286,"SCOPE:SERVER"),"RT_FALSE")</f>
        <v>RT_FALSE</v>
      </c>
      <c r="R510" s="1" t="str">
        <f>IF(R$467,_xll.RtContribute(R$403,R$3&amp;"FX"&amp;$C510&amp;"DDF=","BID",R286,"SCOPE:SERVER"),"RT_FALSE")</f>
        <v>RT_FALSE</v>
      </c>
      <c r="S510" s="1" t="str">
        <f>IF(S$467,_xll.RtContribute(S$403,S$3&amp;"FX"&amp;$C510&amp;"DDF=","BID",S286,"SCOPE:SERVER"),"RT_FALSE")</f>
        <v>RT_FALSE</v>
      </c>
      <c r="T510" s="1" t="str">
        <f>IF(T$467,_xll.RtContribute(T$403,T$3&amp;"FX"&amp;$C510&amp;"DDF=","BID",T286,"SCOPE:SERVER"),"RT_FALSE")</f>
        <v>RT_FALSE</v>
      </c>
      <c r="U510" s="1" t="str">
        <f>IF(U$467,_xll.RtContribute(U$403,U$3&amp;"FX"&amp;$C510&amp;"DDF=","BID",U286,"SCOPE:SERVER"),"RT_FALSE")</f>
        <v>RT_FALSE</v>
      </c>
      <c r="V510" s="1" t="str">
        <f>IF(V$467,_xll.RtContribute(V$403,V$3&amp;"FX"&amp;$C510&amp;"DDF=","BID",V286,"SCOPE:SERVER"),"RT_FALSE")</f>
        <v>RT_FALSE</v>
      </c>
      <c r="W510" s="1" t="str">
        <f>IF(W$467,_xll.RtContribute(W$403,W$3&amp;"FX"&amp;$C510&amp;"DDF=","BID",W286,"SCOPE:SERVER"),"RT_FALSE")</f>
        <v>RT_FALSE</v>
      </c>
      <c r="X510" s="1" t="str">
        <f>IF(X$467,_xll.RtContribute(X$403,X$3&amp;"FX"&amp;$C510&amp;"DDF=","BID",X286,"SCOPE:SERVER"),"RT_FALSE")</f>
        <v>RT_FALSE</v>
      </c>
      <c r="Y510" s="1" t="str">
        <f>IF(Y$467,_xll.RtContribute(Y$403,Y$3&amp;"FX"&amp;$C510&amp;"DDF=","BID",Y286,"SCOPE:SERVER"),"RT_FALSE")</f>
        <v>RT_FALSE</v>
      </c>
      <c r="Z510" s="1" t="str">
        <f>IF(Z$467,_xll.RtContribute(Z$403,Z$3&amp;"FX"&amp;$C510&amp;"DDF=","BID",Z286,"SCOPE:SERVER"),"RT_FALSE")</f>
        <v>RT_FALSE</v>
      </c>
      <c r="AA510" s="1" t="str">
        <f>IF(AA$467,_xll.RtContribute(AA$403,AA$3&amp;"FX"&amp;$C510&amp;"DDF=","BID",AA286,"SCOPE:SERVER"),"RT_FALSE")</f>
        <v>RT_FALSE</v>
      </c>
      <c r="AB510" s="1" t="str">
        <f>IF(AB$467,_xll.RtContribute(AB$403,AB$3&amp;"FX"&amp;$C510&amp;"DDF=","BID",AB286,"SCOPE:SERVER"),"RT_FALSE")</f>
        <v>RT_FALSE</v>
      </c>
      <c r="AC510" s="1" t="str">
        <f>IF(AC$467,_xll.RtContribute(AC$403,AC$3&amp;"FX"&amp;$C510&amp;"DDF=","BID",AC286,"SCOPE:SERVER"),"RT_FALSE")</f>
        <v>RT_FALSE</v>
      </c>
      <c r="AD510" s="1" t="str">
        <f>IF(AD$467,_xll.RtContribute(AD$403,AD$3&amp;"FX"&amp;$C510&amp;"DDF=","BID",AD286,"SCOPE:SERVER"),"RT_FALSE")</f>
        <v>RT_FALSE</v>
      </c>
      <c r="AE510" s="1" t="str">
        <f>IF(AE$467,_xll.RtContribute(AE$403,AE$3&amp;"FX"&amp;$C510&amp;"DDF=","BID",AE286,"SCOPE:SERVER"),"RT_FALSE")</f>
        <v>RT_FALSE</v>
      </c>
      <c r="AF510" s="1" t="str">
        <f>IF(AF$467,_xll.RtContribute(AF$403,AF$3&amp;"FX"&amp;$C510&amp;"DDF=","BID",AF286,"SCOPE:SERVER"),"RT_FALSE")</f>
        <v>RT_FALSE</v>
      </c>
      <c r="AG510" s="1" t="str">
        <f>IF(AG$467,_xll.RtContribute(AG$403,AG$3&amp;"FX"&amp;$C510&amp;"DDF=","BID",AG286,"SCOPE:SERVER"),"RT_FALSE")</f>
        <v>RT_FALSE</v>
      </c>
      <c r="AH510" s="1" t="str">
        <f>IF(AH$467,_xll.RtContribute(AH$403,AH$3&amp;"FX"&amp;$C510&amp;"DDF=","BID",AH286,"SCOPE:SERVER"),"RT_FALSE")</f>
        <v>RT_FALSE</v>
      </c>
      <c r="AI510" s="1" t="str">
        <f>IF(AI$467,_xll.RtContribute(AI$403,AI$3&amp;"FX"&amp;$C510&amp;"DDF=","BID",AI286,"SCOPE:SERVER"),"RT_FALSE")</f>
        <v>RT_FALSE</v>
      </c>
      <c r="AJ510" s="1" t="str">
        <f>IF(AJ$467,_xll.RtContribute(AJ$403,AJ$3&amp;"FX"&amp;$C510&amp;"DDF=","BID",AJ286,"SCOPE:SERVER"),"RT_FALSE")</f>
        <v>RT_FALSE</v>
      </c>
      <c r="AK510" s="1" t="str">
        <f>IF(AK$467,_xll.RtContribute(AK$403,AK$3&amp;"FX"&amp;$C510&amp;"DDF=","BID",AK286,"SCOPE:SERVER"),"RT_FALSE")</f>
        <v>RT_FALSE</v>
      </c>
      <c r="AL510" s="1" t="str">
        <f>IF(AL$467,_xll.RtContribute(AL$403,AL$3&amp;"FX"&amp;$C510&amp;"DDF=","BID",AL286,"SCOPE:SERVER"),"RT_FALSE")</f>
        <v>RT_FALSE</v>
      </c>
      <c r="AM510" s="1" t="str">
        <f>IF(AM$467,_xll.RtContribute(AM$403,AM$3&amp;"FX"&amp;$C510&amp;"DDF=","BID",AM286,"SCOPE:SERVER"),"RT_FALSE")</f>
        <v>RT_FALSE</v>
      </c>
      <c r="AN510" s="1" t="str">
        <f>IF(AN$467,_xll.RtContribute(AN$403,AN$3&amp;"FX"&amp;$C510&amp;"DDF=","BID",AN286,"SCOPE:SERVER"),"RT_FALSE")</f>
        <v>RT_FALSE</v>
      </c>
      <c r="AO510" s="1" t="str">
        <f>IF(AO$467,_xll.RtContribute(AO$403,AO$3&amp;"FX"&amp;$C510&amp;"DDF=","BID",AO286,"SCOPE:SERVER"),"RT_FALSE")</f>
        <v>RT_FALSE</v>
      </c>
      <c r="AP510" s="1" t="str">
        <f>IF(AP$467,_xll.RtContribute(AP$403,AP$3&amp;"FX"&amp;$C510&amp;"DDF=","BID",AP286,"SCOPE:SERVER"),"RT_FALSE")</f>
        <v>RT_FALSE</v>
      </c>
    </row>
    <row r="511" spans="2:42" x14ac:dyDescent="0.2">
      <c r="C511" s="1" t="s">
        <v>90</v>
      </c>
      <c r="D511" s="1" t="str">
        <f>IF(D$467,_xll.RtContribute(D$403,D$3&amp;"FX"&amp;$C511&amp;"DDF=","BID",D33,"SCOPE:SERVER"),"RT_FALSE")</f>
        <v>RT_FALSE</v>
      </c>
      <c r="E511" s="1" t="str">
        <f>IF(E$467,_xll.RtContribute(E$403,E$3&amp;"FX"&amp;$C511&amp;"DDF=","BID",E287,"SCOPE:SERVER"),"RT_FALSE")</f>
        <v>RT_FALSE</v>
      </c>
      <c r="F511" s="1" t="str">
        <f>IF(F$467,_xll.RtContribute(F$403,F$3&amp;"FX"&amp;$C511&amp;"DDF=","BID",F287,"SCOPE:SERVER"),"RT_FALSE")</f>
        <v>RT_FALSE</v>
      </c>
      <c r="G511" s="1" t="str">
        <f>IF(G$467,_xll.RtContribute(G$403,G$3&amp;"FX"&amp;$C511&amp;"DDF=","BID",G287,"SCOPE:SERVER"),"RT_FALSE")</f>
        <v>RT_FALSE</v>
      </c>
      <c r="H511" s="1" t="str">
        <f>IF(H$467,_xll.RtContribute(H$403,H$3&amp;"FX"&amp;$C511&amp;"DDF=","BID",H287,"SCOPE:SERVER"),"RT_FALSE")</f>
        <v>RT_FALSE</v>
      </c>
      <c r="I511" s="1" t="str">
        <f>IF(I$467,_xll.RtContribute(I$403,I$3&amp;"FX"&amp;$C511&amp;"DDF=","BID",I287,"SCOPE:SERVER"),"RT_FALSE")</f>
        <v>RT_FALSE</v>
      </c>
      <c r="J511" s="1" t="str">
        <f>IF(J$467,_xll.RtContribute(J$403,J$3&amp;"FX"&amp;$C511&amp;"DDF=","BID",J287,"SCOPE:SERVER"),"RT_FALSE")</f>
        <v>RT_FALSE</v>
      </c>
      <c r="K511" s="1" t="str">
        <f>IF(K$467,_xll.RtContribute(K$403,K$3&amp;"FX"&amp;$C511&amp;"DDF=","BID",K287,"SCOPE:SERVER"),"RT_FALSE")</f>
        <v>RT_FALSE</v>
      </c>
      <c r="L511" s="1" t="str">
        <f>IF(L$467,_xll.RtContribute(L$403,L$3&amp;"FX"&amp;$C511&amp;"DDF=","BID",L287,"SCOPE:SERVER"),"RT_FALSE")</f>
        <v>RT_FALSE</v>
      </c>
      <c r="M511" s="1" t="str">
        <f>IF(M$467,_xll.RtContribute(M$403,M$3&amp;"FX"&amp;$C511&amp;"DDF=","BID",M287,"SCOPE:SERVER"),"RT_FALSE")</f>
        <v>RT_FALSE</v>
      </c>
      <c r="N511" s="1" t="str">
        <f>IF(N$467,_xll.RtContribute(N$403,N$3&amp;"FX"&amp;$C511&amp;"DDF=","BID",N287,"SCOPE:SERVER"),"RT_FALSE")</f>
        <v>RT_FALSE</v>
      </c>
      <c r="O511" s="1" t="str">
        <f>IF(O$467,_xll.RtContribute(O$403,O$3&amp;"FX"&amp;$C511&amp;"DDF=","BID",O287,"SCOPE:SERVER"),"RT_FALSE")</f>
        <v>RT_FALSE</v>
      </c>
      <c r="P511" s="1" t="str">
        <f>IF(P$467,_xll.RtContribute(P$403,P$3&amp;"FX"&amp;$C511&amp;"DDF=","BID",P287,"SCOPE:SERVER"),"RT_FALSE")</f>
        <v>RT_FALSE</v>
      </c>
      <c r="Q511" s="1" t="str">
        <f>IF(Q$467,_xll.RtContribute(Q$403,Q$3&amp;"FX"&amp;$C511&amp;"DDF=","BID",Q287,"SCOPE:SERVER"),"RT_FALSE")</f>
        <v>RT_FALSE</v>
      </c>
      <c r="R511" s="1" t="str">
        <f>IF(R$467,_xll.RtContribute(R$403,R$3&amp;"FX"&amp;$C511&amp;"DDF=","BID",R287,"SCOPE:SERVER"),"RT_FALSE")</f>
        <v>RT_FALSE</v>
      </c>
      <c r="S511" s="1" t="str">
        <f>IF(S$467,_xll.RtContribute(S$403,S$3&amp;"FX"&amp;$C511&amp;"DDF=","BID",S287,"SCOPE:SERVER"),"RT_FALSE")</f>
        <v>RT_FALSE</v>
      </c>
      <c r="T511" s="1" t="str">
        <f>IF(T$467,_xll.RtContribute(T$403,T$3&amp;"FX"&amp;$C511&amp;"DDF=","BID",T287,"SCOPE:SERVER"),"RT_FALSE")</f>
        <v>RT_FALSE</v>
      </c>
      <c r="U511" s="1" t="str">
        <f>IF(U$467,_xll.RtContribute(U$403,U$3&amp;"FX"&amp;$C511&amp;"DDF=","BID",U287,"SCOPE:SERVER"),"RT_FALSE")</f>
        <v>RT_FALSE</v>
      </c>
      <c r="V511" s="1" t="str">
        <f>IF(V$467,_xll.RtContribute(V$403,V$3&amp;"FX"&amp;$C511&amp;"DDF=","BID",V287,"SCOPE:SERVER"),"RT_FALSE")</f>
        <v>RT_FALSE</v>
      </c>
      <c r="W511" s="1" t="str">
        <f>IF(W$467,_xll.RtContribute(W$403,W$3&amp;"FX"&amp;$C511&amp;"DDF=","BID",W287,"SCOPE:SERVER"),"RT_FALSE")</f>
        <v>RT_FALSE</v>
      </c>
      <c r="X511" s="1" t="str">
        <f>IF(X$467,_xll.RtContribute(X$403,X$3&amp;"FX"&amp;$C511&amp;"DDF=","BID",X287,"SCOPE:SERVER"),"RT_FALSE")</f>
        <v>RT_FALSE</v>
      </c>
      <c r="Y511" s="1" t="str">
        <f>IF(Y$467,_xll.RtContribute(Y$403,Y$3&amp;"FX"&amp;$C511&amp;"DDF=","BID",Y287,"SCOPE:SERVER"),"RT_FALSE")</f>
        <v>RT_FALSE</v>
      </c>
      <c r="Z511" s="1" t="str">
        <f>IF(Z$467,_xll.RtContribute(Z$403,Z$3&amp;"FX"&amp;$C511&amp;"DDF=","BID",Z287,"SCOPE:SERVER"),"RT_FALSE")</f>
        <v>RT_FALSE</v>
      </c>
      <c r="AA511" s="1" t="str">
        <f>IF(AA$467,_xll.RtContribute(AA$403,AA$3&amp;"FX"&amp;$C511&amp;"DDF=","BID",AA287,"SCOPE:SERVER"),"RT_FALSE")</f>
        <v>RT_FALSE</v>
      </c>
      <c r="AB511" s="1" t="str">
        <f>IF(AB$467,_xll.RtContribute(AB$403,AB$3&amp;"FX"&amp;$C511&amp;"DDF=","BID",AB287,"SCOPE:SERVER"),"RT_FALSE")</f>
        <v>RT_FALSE</v>
      </c>
      <c r="AC511" s="1" t="str">
        <f>IF(AC$467,_xll.RtContribute(AC$403,AC$3&amp;"FX"&amp;$C511&amp;"DDF=","BID",AC287,"SCOPE:SERVER"),"RT_FALSE")</f>
        <v>RT_FALSE</v>
      </c>
      <c r="AD511" s="1" t="str">
        <f>IF(AD$467,_xll.RtContribute(AD$403,AD$3&amp;"FX"&amp;$C511&amp;"DDF=","BID",AD287,"SCOPE:SERVER"),"RT_FALSE")</f>
        <v>RT_FALSE</v>
      </c>
      <c r="AE511" s="1" t="str">
        <f>IF(AE$467,_xll.RtContribute(AE$403,AE$3&amp;"FX"&amp;$C511&amp;"DDF=","BID",AE287,"SCOPE:SERVER"),"RT_FALSE")</f>
        <v>RT_FALSE</v>
      </c>
      <c r="AF511" s="1" t="str">
        <f>IF(AF$467,_xll.RtContribute(AF$403,AF$3&amp;"FX"&amp;$C511&amp;"DDF=","BID",AF287,"SCOPE:SERVER"),"RT_FALSE")</f>
        <v>RT_FALSE</v>
      </c>
      <c r="AG511" s="1" t="str">
        <f>IF(AG$467,_xll.RtContribute(AG$403,AG$3&amp;"FX"&amp;$C511&amp;"DDF=","BID",AG287,"SCOPE:SERVER"),"RT_FALSE")</f>
        <v>RT_FALSE</v>
      </c>
      <c r="AH511" s="1" t="str">
        <f>IF(AH$467,_xll.RtContribute(AH$403,AH$3&amp;"FX"&amp;$C511&amp;"DDF=","BID",AH287,"SCOPE:SERVER"),"RT_FALSE")</f>
        <v>RT_FALSE</v>
      </c>
      <c r="AI511" s="1" t="str">
        <f>IF(AI$467,_xll.RtContribute(AI$403,AI$3&amp;"FX"&amp;$C511&amp;"DDF=","BID",AI287,"SCOPE:SERVER"),"RT_FALSE")</f>
        <v>RT_FALSE</v>
      </c>
      <c r="AJ511" s="1" t="str">
        <f>IF(AJ$467,_xll.RtContribute(AJ$403,AJ$3&amp;"FX"&amp;$C511&amp;"DDF=","BID",AJ287,"SCOPE:SERVER"),"RT_FALSE")</f>
        <v>RT_FALSE</v>
      </c>
      <c r="AK511" s="1" t="str">
        <f>IF(AK$467,_xll.RtContribute(AK$403,AK$3&amp;"FX"&amp;$C511&amp;"DDF=","BID",AK287,"SCOPE:SERVER"),"RT_FALSE")</f>
        <v>RT_FALSE</v>
      </c>
      <c r="AL511" s="1" t="str">
        <f>IF(AL$467,_xll.RtContribute(AL$403,AL$3&amp;"FX"&amp;$C511&amp;"DDF=","BID",AL287,"SCOPE:SERVER"),"RT_FALSE")</f>
        <v>RT_FALSE</v>
      </c>
      <c r="AM511" s="1" t="str">
        <f>IF(AM$467,_xll.RtContribute(AM$403,AM$3&amp;"FX"&amp;$C511&amp;"DDF=","BID",AM287,"SCOPE:SERVER"),"RT_FALSE")</f>
        <v>RT_FALSE</v>
      </c>
      <c r="AN511" s="1" t="str">
        <f>IF(AN$467,_xll.RtContribute(AN$403,AN$3&amp;"FX"&amp;$C511&amp;"DDF=","BID",AN287,"SCOPE:SERVER"),"RT_FALSE")</f>
        <v>RT_FALSE</v>
      </c>
      <c r="AO511" s="1" t="str">
        <f>IF(AO$467,_xll.RtContribute(AO$403,AO$3&amp;"FX"&amp;$C511&amp;"DDF=","BID",AO287,"SCOPE:SERVER"),"RT_FALSE")</f>
        <v>RT_FALSE</v>
      </c>
      <c r="AP511" s="1" t="str">
        <f>IF(AP$467,_xll.RtContribute(AP$403,AP$3&amp;"FX"&amp;$C511&amp;"DDF=","BID",AP287,"SCOPE:SERVER"),"RT_FALSE")</f>
        <v>RT_FALSE</v>
      </c>
    </row>
    <row r="512" spans="2:42" x14ac:dyDescent="0.2">
      <c r="C512" s="1" t="s">
        <v>93</v>
      </c>
      <c r="D512" s="1" t="str">
        <f>IF(D$467,_xll.RtContribute(D$403,D$3&amp;"FX"&amp;$C512&amp;"DDF=","BID",D34,"SCOPE:SERVER"),"RT_FALSE")</f>
        <v>RT_FALSE</v>
      </c>
      <c r="E512" s="1" t="str">
        <f>IF(E$467,_xll.RtContribute(E$403,E$3&amp;"FX"&amp;$C512&amp;"DDF=","BID",E288,"SCOPE:SERVER"),"RT_FALSE")</f>
        <v>RT_FALSE</v>
      </c>
      <c r="F512" s="1" t="str">
        <f>IF(F$467,_xll.RtContribute(F$403,F$3&amp;"FX"&amp;$C512&amp;"DDF=","BID",F288,"SCOPE:SERVER"),"RT_FALSE")</f>
        <v>RT_FALSE</v>
      </c>
      <c r="G512" s="1" t="str">
        <f>IF(G$467,_xll.RtContribute(G$403,G$3&amp;"FX"&amp;$C512&amp;"DDF=","BID",G288,"SCOPE:SERVER"),"RT_FALSE")</f>
        <v>RT_FALSE</v>
      </c>
      <c r="H512" s="1" t="str">
        <f>IF(H$467,_xll.RtContribute(H$403,H$3&amp;"FX"&amp;$C512&amp;"DDF=","BID",H288,"SCOPE:SERVER"),"RT_FALSE")</f>
        <v>RT_FALSE</v>
      </c>
      <c r="I512" s="1" t="str">
        <f>IF(I$467,_xll.RtContribute(I$403,I$3&amp;"FX"&amp;$C512&amp;"DDF=","BID",I288,"SCOPE:SERVER"),"RT_FALSE")</f>
        <v>RT_FALSE</v>
      </c>
      <c r="J512" s="1" t="str">
        <f>IF(J$467,_xll.RtContribute(J$403,J$3&amp;"FX"&amp;$C512&amp;"DDF=","BID",J288,"SCOPE:SERVER"),"RT_FALSE")</f>
        <v>RT_FALSE</v>
      </c>
      <c r="K512" s="1" t="str">
        <f>IF(K$467,_xll.RtContribute(K$403,K$3&amp;"FX"&amp;$C512&amp;"DDF=","BID",K288,"SCOPE:SERVER"),"RT_FALSE")</f>
        <v>RT_FALSE</v>
      </c>
      <c r="L512" s="1" t="str">
        <f>IF(L$467,_xll.RtContribute(L$403,L$3&amp;"FX"&amp;$C512&amp;"DDF=","BID",L288,"SCOPE:SERVER"),"RT_FALSE")</f>
        <v>RT_FALSE</v>
      </c>
      <c r="M512" s="1" t="str">
        <f>IF(M$467,_xll.RtContribute(M$403,M$3&amp;"FX"&amp;$C512&amp;"DDF=","BID",M288,"SCOPE:SERVER"),"RT_FALSE")</f>
        <v>RT_FALSE</v>
      </c>
      <c r="N512" s="1" t="str">
        <f>IF(N$467,_xll.RtContribute(N$403,N$3&amp;"FX"&amp;$C512&amp;"DDF=","BID",N288,"SCOPE:SERVER"),"RT_FALSE")</f>
        <v>RT_FALSE</v>
      </c>
      <c r="O512" s="1" t="str">
        <f>IF(O$467,_xll.RtContribute(O$403,O$3&amp;"FX"&amp;$C512&amp;"DDF=","BID",O288,"SCOPE:SERVER"),"RT_FALSE")</f>
        <v>RT_FALSE</v>
      </c>
      <c r="P512" s="1" t="str">
        <f>IF(P$467,_xll.RtContribute(P$403,P$3&amp;"FX"&amp;$C512&amp;"DDF=","BID",P288,"SCOPE:SERVER"),"RT_FALSE")</f>
        <v>RT_FALSE</v>
      </c>
      <c r="Q512" s="1" t="str">
        <f>IF(Q$467,_xll.RtContribute(Q$403,Q$3&amp;"FX"&amp;$C512&amp;"DDF=","BID",Q288,"SCOPE:SERVER"),"RT_FALSE")</f>
        <v>RT_FALSE</v>
      </c>
      <c r="R512" s="1" t="str">
        <f>IF(R$467,_xll.RtContribute(R$403,R$3&amp;"FX"&amp;$C512&amp;"DDF=","BID",R288,"SCOPE:SERVER"),"RT_FALSE")</f>
        <v>RT_FALSE</v>
      </c>
      <c r="S512" s="1" t="str">
        <f>IF(S$467,_xll.RtContribute(S$403,S$3&amp;"FX"&amp;$C512&amp;"DDF=","BID",S288,"SCOPE:SERVER"),"RT_FALSE")</f>
        <v>RT_FALSE</v>
      </c>
      <c r="T512" s="1" t="str">
        <f>IF(T$467,_xll.RtContribute(T$403,T$3&amp;"FX"&amp;$C512&amp;"DDF=","BID",T288,"SCOPE:SERVER"),"RT_FALSE")</f>
        <v>RT_FALSE</v>
      </c>
      <c r="U512" s="1" t="str">
        <f>IF(U$467,_xll.RtContribute(U$403,U$3&amp;"FX"&amp;$C512&amp;"DDF=","BID",U288,"SCOPE:SERVER"),"RT_FALSE")</f>
        <v>RT_FALSE</v>
      </c>
      <c r="V512" s="1" t="str">
        <f>IF(V$467,_xll.RtContribute(V$403,V$3&amp;"FX"&amp;$C512&amp;"DDF=","BID",V288,"SCOPE:SERVER"),"RT_FALSE")</f>
        <v>RT_FALSE</v>
      </c>
      <c r="W512" s="1" t="str">
        <f>IF(W$467,_xll.RtContribute(W$403,W$3&amp;"FX"&amp;$C512&amp;"DDF=","BID",W288,"SCOPE:SERVER"),"RT_FALSE")</f>
        <v>RT_FALSE</v>
      </c>
      <c r="X512" s="1" t="str">
        <f>IF(X$467,_xll.RtContribute(X$403,X$3&amp;"FX"&amp;$C512&amp;"DDF=","BID",X288,"SCOPE:SERVER"),"RT_FALSE")</f>
        <v>RT_FALSE</v>
      </c>
      <c r="Y512" s="1" t="str">
        <f>IF(Y$467,_xll.RtContribute(Y$403,Y$3&amp;"FX"&amp;$C512&amp;"DDF=","BID",Y288,"SCOPE:SERVER"),"RT_FALSE")</f>
        <v>RT_FALSE</v>
      </c>
      <c r="Z512" s="1" t="str">
        <f>IF(Z$467,_xll.RtContribute(Z$403,Z$3&amp;"FX"&amp;$C512&amp;"DDF=","BID",Z288,"SCOPE:SERVER"),"RT_FALSE")</f>
        <v>RT_FALSE</v>
      </c>
      <c r="AA512" s="1" t="str">
        <f>IF(AA$467,_xll.RtContribute(AA$403,AA$3&amp;"FX"&amp;$C512&amp;"DDF=","BID",AA288,"SCOPE:SERVER"),"RT_FALSE")</f>
        <v>RT_FALSE</v>
      </c>
      <c r="AB512" s="1" t="str">
        <f>IF(AB$467,_xll.RtContribute(AB$403,AB$3&amp;"FX"&amp;$C512&amp;"DDF=","BID",AB288,"SCOPE:SERVER"),"RT_FALSE")</f>
        <v>RT_FALSE</v>
      </c>
      <c r="AC512" s="1" t="str">
        <f>IF(AC$467,_xll.RtContribute(AC$403,AC$3&amp;"FX"&amp;$C512&amp;"DDF=","BID",AC288,"SCOPE:SERVER"),"RT_FALSE")</f>
        <v>RT_FALSE</v>
      </c>
      <c r="AD512" s="1" t="str">
        <f>IF(AD$467,_xll.RtContribute(AD$403,AD$3&amp;"FX"&amp;$C512&amp;"DDF=","BID",AD288,"SCOPE:SERVER"),"RT_FALSE")</f>
        <v>RT_FALSE</v>
      </c>
      <c r="AE512" s="1" t="str">
        <f>IF(AE$467,_xll.RtContribute(AE$403,AE$3&amp;"FX"&amp;$C512&amp;"DDF=","BID",AE288,"SCOPE:SERVER"),"RT_FALSE")</f>
        <v>RT_FALSE</v>
      </c>
      <c r="AF512" s="1" t="str">
        <f>IF(AF$467,_xll.RtContribute(AF$403,AF$3&amp;"FX"&amp;$C512&amp;"DDF=","BID",AF288,"SCOPE:SERVER"),"RT_FALSE")</f>
        <v>RT_FALSE</v>
      </c>
      <c r="AG512" s="1" t="str">
        <f>IF(AG$467,_xll.RtContribute(AG$403,AG$3&amp;"FX"&amp;$C512&amp;"DDF=","BID",AG288,"SCOPE:SERVER"),"RT_FALSE")</f>
        <v>RT_FALSE</v>
      </c>
      <c r="AH512" s="1" t="str">
        <f>IF(AH$467,_xll.RtContribute(AH$403,AH$3&amp;"FX"&amp;$C512&amp;"DDF=","BID",AH288,"SCOPE:SERVER"),"RT_FALSE")</f>
        <v>RT_FALSE</v>
      </c>
      <c r="AI512" s="1" t="str">
        <f>IF(AI$467,_xll.RtContribute(AI$403,AI$3&amp;"FX"&amp;$C512&amp;"DDF=","BID",AI288,"SCOPE:SERVER"),"RT_FALSE")</f>
        <v>RT_FALSE</v>
      </c>
      <c r="AJ512" s="1" t="str">
        <f>IF(AJ$467,_xll.RtContribute(AJ$403,AJ$3&amp;"FX"&amp;$C512&amp;"DDF=","BID",AJ288,"SCOPE:SERVER"),"RT_FALSE")</f>
        <v>RT_FALSE</v>
      </c>
      <c r="AK512" s="1" t="str">
        <f>IF(AK$467,_xll.RtContribute(AK$403,AK$3&amp;"FX"&amp;$C512&amp;"DDF=","BID",AK288,"SCOPE:SERVER"),"RT_FALSE")</f>
        <v>RT_FALSE</v>
      </c>
      <c r="AL512" s="1" t="str">
        <f>IF(AL$467,_xll.RtContribute(AL$403,AL$3&amp;"FX"&amp;$C512&amp;"DDF=","BID",AL288,"SCOPE:SERVER"),"RT_FALSE")</f>
        <v>RT_FALSE</v>
      </c>
      <c r="AM512" s="1" t="str">
        <f>IF(AM$467,_xll.RtContribute(AM$403,AM$3&amp;"FX"&amp;$C512&amp;"DDF=","BID",AM288,"SCOPE:SERVER"),"RT_FALSE")</f>
        <v>RT_FALSE</v>
      </c>
      <c r="AN512" s="1" t="str">
        <f>IF(AN$467,_xll.RtContribute(AN$403,AN$3&amp;"FX"&amp;$C512&amp;"DDF=","BID",AN288,"SCOPE:SERVER"),"RT_FALSE")</f>
        <v>RT_FALSE</v>
      </c>
      <c r="AO512" s="1" t="str">
        <f>IF(AO$467,_xll.RtContribute(AO$403,AO$3&amp;"FX"&amp;$C512&amp;"DDF=","BID",AO288,"SCOPE:SERVER"),"RT_FALSE")</f>
        <v>RT_FALSE</v>
      </c>
      <c r="AP512" s="1" t="str">
        <f>IF(AP$467,_xll.RtContribute(AP$403,AP$3&amp;"FX"&amp;$C512&amp;"DDF=","BID",AP288,"SCOPE:SERVER"),"RT_FALSE")</f>
        <v>RT_FALSE</v>
      </c>
    </row>
    <row r="513" spans="2:42" x14ac:dyDescent="0.2">
      <c r="C513" s="1" t="s">
        <v>96</v>
      </c>
      <c r="D513" s="1" t="str">
        <f>IF(D$467,_xll.RtContribute(D$403,D$3&amp;"FX"&amp;$C513&amp;"DDF=","BID",D35,"SCOPE:SERVER"),"RT_FALSE")</f>
        <v>RT_FALSE</v>
      </c>
      <c r="E513" s="1" t="str">
        <f>IF(E$467,_xll.RtContribute(E$403,E$3&amp;"FX"&amp;$C513&amp;"DDF=","BID",E289,"SCOPE:SERVER"),"RT_FALSE")</f>
        <v>RT_FALSE</v>
      </c>
      <c r="F513" s="1" t="str">
        <f>IF(F$467,_xll.RtContribute(F$403,F$3&amp;"FX"&amp;$C513&amp;"DDF=","BID",F289,"SCOPE:SERVER"),"RT_FALSE")</f>
        <v>RT_FALSE</v>
      </c>
      <c r="G513" s="1" t="str">
        <f>IF(G$467,_xll.RtContribute(G$403,G$3&amp;"FX"&amp;$C513&amp;"DDF=","BID",G289,"SCOPE:SERVER"),"RT_FALSE")</f>
        <v>RT_FALSE</v>
      </c>
      <c r="H513" s="1" t="str">
        <f>IF(H$467,_xll.RtContribute(H$403,H$3&amp;"FX"&amp;$C513&amp;"DDF=","BID",H289,"SCOPE:SERVER"),"RT_FALSE")</f>
        <v>RT_FALSE</v>
      </c>
      <c r="I513" s="1" t="str">
        <f>IF(I$467,_xll.RtContribute(I$403,I$3&amp;"FX"&amp;$C513&amp;"DDF=","BID",I289,"SCOPE:SERVER"),"RT_FALSE")</f>
        <v>RT_FALSE</v>
      </c>
      <c r="J513" s="1" t="str">
        <f>IF(J$467,_xll.RtContribute(J$403,J$3&amp;"FX"&amp;$C513&amp;"DDF=","BID",J289,"SCOPE:SERVER"),"RT_FALSE")</f>
        <v>RT_FALSE</v>
      </c>
      <c r="K513" s="1" t="str">
        <f>IF(K$467,_xll.RtContribute(K$403,K$3&amp;"FX"&amp;$C513&amp;"DDF=","BID",K289,"SCOPE:SERVER"),"RT_FALSE")</f>
        <v>RT_FALSE</v>
      </c>
      <c r="L513" s="1" t="str">
        <f>IF(L$467,_xll.RtContribute(L$403,L$3&amp;"FX"&amp;$C513&amp;"DDF=","BID",L289,"SCOPE:SERVER"),"RT_FALSE")</f>
        <v>RT_FALSE</v>
      </c>
      <c r="M513" s="1" t="str">
        <f>IF(M$467,_xll.RtContribute(M$403,M$3&amp;"FX"&amp;$C513&amp;"DDF=","BID",M289,"SCOPE:SERVER"),"RT_FALSE")</f>
        <v>RT_FALSE</v>
      </c>
      <c r="N513" s="1" t="str">
        <f>IF(N$467,_xll.RtContribute(N$403,N$3&amp;"FX"&amp;$C513&amp;"DDF=","BID",N289,"SCOPE:SERVER"),"RT_FALSE")</f>
        <v>RT_FALSE</v>
      </c>
      <c r="O513" s="1" t="str">
        <f>IF(O$467,_xll.RtContribute(O$403,O$3&amp;"FX"&amp;$C513&amp;"DDF=","BID",O289,"SCOPE:SERVER"),"RT_FALSE")</f>
        <v>RT_FALSE</v>
      </c>
      <c r="P513" s="1" t="str">
        <f>IF(P$467,_xll.RtContribute(P$403,P$3&amp;"FX"&amp;$C513&amp;"DDF=","BID",P289,"SCOPE:SERVER"),"RT_FALSE")</f>
        <v>RT_FALSE</v>
      </c>
      <c r="Q513" s="1" t="str">
        <f>IF(Q$467,_xll.RtContribute(Q$403,Q$3&amp;"FX"&amp;$C513&amp;"DDF=","BID",Q289,"SCOPE:SERVER"),"RT_FALSE")</f>
        <v>RT_FALSE</v>
      </c>
      <c r="R513" s="1" t="str">
        <f>IF(R$467,_xll.RtContribute(R$403,R$3&amp;"FX"&amp;$C513&amp;"DDF=","BID",R289,"SCOPE:SERVER"),"RT_FALSE")</f>
        <v>RT_FALSE</v>
      </c>
      <c r="S513" s="1" t="str">
        <f>IF(S$467,_xll.RtContribute(S$403,S$3&amp;"FX"&amp;$C513&amp;"DDF=","BID",S289,"SCOPE:SERVER"),"RT_FALSE")</f>
        <v>RT_FALSE</v>
      </c>
      <c r="T513" s="1" t="str">
        <f>IF(T$467,_xll.RtContribute(T$403,T$3&amp;"FX"&amp;$C513&amp;"DDF=","BID",T289,"SCOPE:SERVER"),"RT_FALSE")</f>
        <v>RT_FALSE</v>
      </c>
      <c r="U513" s="1" t="str">
        <f>IF(U$467,_xll.RtContribute(U$403,U$3&amp;"FX"&amp;$C513&amp;"DDF=","BID",U289,"SCOPE:SERVER"),"RT_FALSE")</f>
        <v>RT_FALSE</v>
      </c>
      <c r="V513" s="1" t="str">
        <f>IF(V$467,_xll.RtContribute(V$403,V$3&amp;"FX"&amp;$C513&amp;"DDF=","BID",V289,"SCOPE:SERVER"),"RT_FALSE")</f>
        <v>RT_FALSE</v>
      </c>
      <c r="W513" s="1" t="str">
        <f>IF(W$467,_xll.RtContribute(W$403,W$3&amp;"FX"&amp;$C513&amp;"DDF=","BID",W289,"SCOPE:SERVER"),"RT_FALSE")</f>
        <v>RT_FALSE</v>
      </c>
      <c r="X513" s="1" t="str">
        <f>IF(X$467,_xll.RtContribute(X$403,X$3&amp;"FX"&amp;$C513&amp;"DDF=","BID",X289,"SCOPE:SERVER"),"RT_FALSE")</f>
        <v>RT_FALSE</v>
      </c>
      <c r="Y513" s="1" t="str">
        <f>IF(Y$467,_xll.RtContribute(Y$403,Y$3&amp;"FX"&amp;$C513&amp;"DDF=","BID",Y289,"SCOPE:SERVER"),"RT_FALSE")</f>
        <v>RT_FALSE</v>
      </c>
      <c r="Z513" s="1" t="str">
        <f>IF(Z$467,_xll.RtContribute(Z$403,Z$3&amp;"FX"&amp;$C513&amp;"DDF=","BID",Z289,"SCOPE:SERVER"),"RT_FALSE")</f>
        <v>RT_FALSE</v>
      </c>
      <c r="AA513" s="1" t="str">
        <f>IF(AA$467,_xll.RtContribute(AA$403,AA$3&amp;"FX"&amp;$C513&amp;"DDF=","BID",AA289,"SCOPE:SERVER"),"RT_FALSE")</f>
        <v>RT_FALSE</v>
      </c>
      <c r="AB513" s="1" t="str">
        <f>IF(AB$467,_xll.RtContribute(AB$403,AB$3&amp;"FX"&amp;$C513&amp;"DDF=","BID",AB289,"SCOPE:SERVER"),"RT_FALSE")</f>
        <v>RT_FALSE</v>
      </c>
      <c r="AC513" s="1" t="str">
        <f>IF(AC$467,_xll.RtContribute(AC$403,AC$3&amp;"FX"&amp;$C513&amp;"DDF=","BID",AC289,"SCOPE:SERVER"),"RT_FALSE")</f>
        <v>RT_FALSE</v>
      </c>
      <c r="AD513" s="1" t="str">
        <f>IF(AD$467,_xll.RtContribute(AD$403,AD$3&amp;"FX"&amp;$C513&amp;"DDF=","BID",AD289,"SCOPE:SERVER"),"RT_FALSE")</f>
        <v>RT_FALSE</v>
      </c>
      <c r="AE513" s="1" t="str">
        <f>IF(AE$467,_xll.RtContribute(AE$403,AE$3&amp;"FX"&amp;$C513&amp;"DDF=","BID",AE289,"SCOPE:SERVER"),"RT_FALSE")</f>
        <v>RT_FALSE</v>
      </c>
      <c r="AF513" s="1" t="str">
        <f>IF(AF$467,_xll.RtContribute(AF$403,AF$3&amp;"FX"&amp;$C513&amp;"DDF=","BID",AF289,"SCOPE:SERVER"),"RT_FALSE")</f>
        <v>RT_FALSE</v>
      </c>
      <c r="AG513" s="1" t="str">
        <f>IF(AG$467,_xll.RtContribute(AG$403,AG$3&amp;"FX"&amp;$C513&amp;"DDF=","BID",AG289,"SCOPE:SERVER"),"RT_FALSE")</f>
        <v>RT_FALSE</v>
      </c>
      <c r="AH513" s="1" t="str">
        <f>IF(AH$467,_xll.RtContribute(AH$403,AH$3&amp;"FX"&amp;$C513&amp;"DDF=","BID",AH289,"SCOPE:SERVER"),"RT_FALSE")</f>
        <v>RT_FALSE</v>
      </c>
      <c r="AI513" s="1" t="str">
        <f>IF(AI$467,_xll.RtContribute(AI$403,AI$3&amp;"FX"&amp;$C513&amp;"DDF=","BID",AI289,"SCOPE:SERVER"),"RT_FALSE")</f>
        <v>RT_FALSE</v>
      </c>
      <c r="AJ513" s="1" t="str">
        <f>IF(AJ$467,_xll.RtContribute(AJ$403,AJ$3&amp;"FX"&amp;$C513&amp;"DDF=","BID",AJ289,"SCOPE:SERVER"),"RT_FALSE")</f>
        <v>RT_FALSE</v>
      </c>
      <c r="AK513" s="1" t="str">
        <f>IF(AK$467,_xll.RtContribute(AK$403,AK$3&amp;"FX"&amp;$C513&amp;"DDF=","BID",AK289,"SCOPE:SERVER"),"RT_FALSE")</f>
        <v>RT_FALSE</v>
      </c>
      <c r="AL513" s="1" t="str">
        <f>IF(AL$467,_xll.RtContribute(AL$403,AL$3&amp;"FX"&amp;$C513&amp;"DDF=","BID",AL289,"SCOPE:SERVER"),"RT_FALSE")</f>
        <v>RT_FALSE</v>
      </c>
      <c r="AM513" s="1" t="str">
        <f>IF(AM$467,_xll.RtContribute(AM$403,AM$3&amp;"FX"&amp;$C513&amp;"DDF=","BID",AM289,"SCOPE:SERVER"),"RT_FALSE")</f>
        <v>RT_FALSE</v>
      </c>
      <c r="AN513" s="1" t="str">
        <f>IF(AN$467,_xll.RtContribute(AN$403,AN$3&amp;"FX"&amp;$C513&amp;"DDF=","BID",AN289,"SCOPE:SERVER"),"RT_FALSE")</f>
        <v>RT_FALSE</v>
      </c>
      <c r="AO513" s="1" t="str">
        <f>IF(AO$467,_xll.RtContribute(AO$403,AO$3&amp;"FX"&amp;$C513&amp;"DDF=","BID",AO289,"SCOPE:SERVER"),"RT_FALSE")</f>
        <v>RT_FALSE</v>
      </c>
      <c r="AP513" s="1" t="str">
        <f>IF(AP$467,_xll.RtContribute(AP$403,AP$3&amp;"FX"&amp;$C513&amp;"DDF=","BID",AP289,"SCOPE:SERVER"),"RT_FALSE")</f>
        <v>RT_FALSE</v>
      </c>
    </row>
    <row r="514" spans="2:42" x14ac:dyDescent="0.2">
      <c r="C514" s="1" t="s">
        <v>99</v>
      </c>
      <c r="D514" s="1" t="str">
        <f>IF(D$467,_xll.RtContribute(D$403,D$3&amp;"FX"&amp;$C514&amp;"DDF=","BID",D36,"SCOPE:SERVER"),"RT_FALSE")</f>
        <v>RT_FALSE</v>
      </c>
      <c r="E514" s="1" t="str">
        <f>IF(E$467,_xll.RtContribute(E$403,E$3&amp;"FX"&amp;$C514&amp;"DDF=","BID",E290,"SCOPE:SERVER"),"RT_FALSE")</f>
        <v>RT_FALSE</v>
      </c>
      <c r="F514" s="1" t="str">
        <f>IF(F$467,_xll.RtContribute(F$403,F$3&amp;"FX"&amp;$C514&amp;"DDF=","BID",F290,"SCOPE:SERVER"),"RT_FALSE")</f>
        <v>RT_FALSE</v>
      </c>
      <c r="G514" s="1" t="str">
        <f>IF(G$467,_xll.RtContribute(G$403,G$3&amp;"FX"&amp;$C514&amp;"DDF=","BID",G290,"SCOPE:SERVER"),"RT_FALSE")</f>
        <v>RT_FALSE</v>
      </c>
      <c r="H514" s="1" t="str">
        <f>IF(H$467,_xll.RtContribute(H$403,H$3&amp;"FX"&amp;$C514&amp;"DDF=","BID",H290,"SCOPE:SERVER"),"RT_FALSE")</f>
        <v>RT_FALSE</v>
      </c>
      <c r="I514" s="1" t="str">
        <f>IF(I$467,_xll.RtContribute(I$403,I$3&amp;"FX"&amp;$C514&amp;"DDF=","BID",I290,"SCOPE:SERVER"),"RT_FALSE")</f>
        <v>RT_FALSE</v>
      </c>
      <c r="J514" s="1" t="str">
        <f>IF(J$467,_xll.RtContribute(J$403,J$3&amp;"FX"&amp;$C514&amp;"DDF=","BID",J290,"SCOPE:SERVER"),"RT_FALSE")</f>
        <v>RT_FALSE</v>
      </c>
      <c r="K514" s="1" t="str">
        <f>IF(K$467,_xll.RtContribute(K$403,K$3&amp;"FX"&amp;$C514&amp;"DDF=","BID",K290,"SCOPE:SERVER"),"RT_FALSE")</f>
        <v>RT_FALSE</v>
      </c>
      <c r="L514" s="1" t="str">
        <f>IF(L$467,_xll.RtContribute(L$403,L$3&amp;"FX"&amp;$C514&amp;"DDF=","BID",L290,"SCOPE:SERVER"),"RT_FALSE")</f>
        <v>RT_FALSE</v>
      </c>
      <c r="M514" s="1" t="str">
        <f>IF(M$467,_xll.RtContribute(M$403,M$3&amp;"FX"&amp;$C514&amp;"DDF=","BID",M290,"SCOPE:SERVER"),"RT_FALSE")</f>
        <v>RT_FALSE</v>
      </c>
      <c r="N514" s="1" t="str">
        <f>IF(N$467,_xll.RtContribute(N$403,N$3&amp;"FX"&amp;$C514&amp;"DDF=","BID",N290,"SCOPE:SERVER"),"RT_FALSE")</f>
        <v>RT_FALSE</v>
      </c>
      <c r="O514" s="1" t="str">
        <f>IF(O$467,_xll.RtContribute(O$403,O$3&amp;"FX"&amp;$C514&amp;"DDF=","BID",O290,"SCOPE:SERVER"),"RT_FALSE")</f>
        <v>RT_FALSE</v>
      </c>
      <c r="P514" s="1" t="str">
        <f>IF(P$467,_xll.RtContribute(P$403,P$3&amp;"FX"&amp;$C514&amp;"DDF=","BID",P290,"SCOPE:SERVER"),"RT_FALSE")</f>
        <v>RT_FALSE</v>
      </c>
      <c r="Q514" s="1" t="str">
        <f>IF(Q$467,_xll.RtContribute(Q$403,Q$3&amp;"FX"&amp;$C514&amp;"DDF=","BID",Q290,"SCOPE:SERVER"),"RT_FALSE")</f>
        <v>RT_FALSE</v>
      </c>
      <c r="R514" s="1" t="str">
        <f>IF(R$467,_xll.RtContribute(R$403,R$3&amp;"FX"&amp;$C514&amp;"DDF=","BID",R290,"SCOPE:SERVER"),"RT_FALSE")</f>
        <v>RT_FALSE</v>
      </c>
      <c r="S514" s="1" t="str">
        <f>IF(S$467,_xll.RtContribute(S$403,S$3&amp;"FX"&amp;$C514&amp;"DDF=","BID",S290,"SCOPE:SERVER"),"RT_FALSE")</f>
        <v>RT_FALSE</v>
      </c>
      <c r="T514" s="1" t="str">
        <f>IF(T$467,_xll.RtContribute(T$403,T$3&amp;"FX"&amp;$C514&amp;"DDF=","BID",T290,"SCOPE:SERVER"),"RT_FALSE")</f>
        <v>RT_FALSE</v>
      </c>
      <c r="U514" s="1" t="str">
        <f>IF(U$467,_xll.RtContribute(U$403,U$3&amp;"FX"&amp;$C514&amp;"DDF=","BID",U290,"SCOPE:SERVER"),"RT_FALSE")</f>
        <v>RT_FALSE</v>
      </c>
      <c r="V514" s="1" t="str">
        <f>IF(V$467,_xll.RtContribute(V$403,V$3&amp;"FX"&amp;$C514&amp;"DDF=","BID",V290,"SCOPE:SERVER"),"RT_FALSE")</f>
        <v>RT_FALSE</v>
      </c>
      <c r="W514" s="1" t="str">
        <f>IF(W$467,_xll.RtContribute(W$403,W$3&amp;"FX"&amp;$C514&amp;"DDF=","BID",W290,"SCOPE:SERVER"),"RT_FALSE")</f>
        <v>RT_FALSE</v>
      </c>
      <c r="X514" s="1" t="str">
        <f>IF(X$467,_xll.RtContribute(X$403,X$3&amp;"FX"&amp;$C514&amp;"DDF=","BID",X290,"SCOPE:SERVER"),"RT_FALSE")</f>
        <v>RT_FALSE</v>
      </c>
      <c r="Y514" s="1" t="str">
        <f>IF(Y$467,_xll.RtContribute(Y$403,Y$3&amp;"FX"&amp;$C514&amp;"DDF=","BID",Y290,"SCOPE:SERVER"),"RT_FALSE")</f>
        <v>RT_FALSE</v>
      </c>
      <c r="Z514" s="1" t="str">
        <f>IF(Z$467,_xll.RtContribute(Z$403,Z$3&amp;"FX"&amp;$C514&amp;"DDF=","BID",Z290,"SCOPE:SERVER"),"RT_FALSE")</f>
        <v>RT_FALSE</v>
      </c>
      <c r="AA514" s="1" t="str">
        <f>IF(AA$467,_xll.RtContribute(AA$403,AA$3&amp;"FX"&amp;$C514&amp;"DDF=","BID",AA290,"SCOPE:SERVER"),"RT_FALSE")</f>
        <v>RT_FALSE</v>
      </c>
      <c r="AB514" s="1" t="str">
        <f>IF(AB$467,_xll.RtContribute(AB$403,AB$3&amp;"FX"&amp;$C514&amp;"DDF=","BID",AB290,"SCOPE:SERVER"),"RT_FALSE")</f>
        <v>RT_FALSE</v>
      </c>
      <c r="AC514" s="1" t="str">
        <f>IF(AC$467,_xll.RtContribute(AC$403,AC$3&amp;"FX"&amp;$C514&amp;"DDF=","BID",AC290,"SCOPE:SERVER"),"RT_FALSE")</f>
        <v>RT_FALSE</v>
      </c>
      <c r="AD514" s="1" t="str">
        <f>IF(AD$467,_xll.RtContribute(AD$403,AD$3&amp;"FX"&amp;$C514&amp;"DDF=","BID",AD290,"SCOPE:SERVER"),"RT_FALSE")</f>
        <v>RT_FALSE</v>
      </c>
      <c r="AE514" s="1" t="str">
        <f>IF(AE$467,_xll.RtContribute(AE$403,AE$3&amp;"FX"&amp;$C514&amp;"DDF=","BID",AE290,"SCOPE:SERVER"),"RT_FALSE")</f>
        <v>RT_FALSE</v>
      </c>
      <c r="AF514" s="1" t="str">
        <f>IF(AF$467,_xll.RtContribute(AF$403,AF$3&amp;"FX"&amp;$C514&amp;"DDF=","BID",AF290,"SCOPE:SERVER"),"RT_FALSE")</f>
        <v>RT_FALSE</v>
      </c>
      <c r="AG514" s="1" t="str">
        <f>IF(AG$467,_xll.RtContribute(AG$403,AG$3&amp;"FX"&amp;$C514&amp;"DDF=","BID",AG290,"SCOPE:SERVER"),"RT_FALSE")</f>
        <v>RT_FALSE</v>
      </c>
      <c r="AH514" s="1" t="str">
        <f>IF(AH$467,_xll.RtContribute(AH$403,AH$3&amp;"FX"&amp;$C514&amp;"DDF=","BID",AH290,"SCOPE:SERVER"),"RT_FALSE")</f>
        <v>RT_FALSE</v>
      </c>
      <c r="AI514" s="1" t="str">
        <f>IF(AI$467,_xll.RtContribute(AI$403,AI$3&amp;"FX"&amp;$C514&amp;"DDF=","BID",AI290,"SCOPE:SERVER"),"RT_FALSE")</f>
        <v>RT_FALSE</v>
      </c>
      <c r="AJ514" s="1" t="str">
        <f>IF(AJ$467,_xll.RtContribute(AJ$403,AJ$3&amp;"FX"&amp;$C514&amp;"DDF=","BID",AJ290,"SCOPE:SERVER"),"RT_FALSE")</f>
        <v>RT_FALSE</v>
      </c>
      <c r="AK514" s="1" t="str">
        <f>IF(AK$467,_xll.RtContribute(AK$403,AK$3&amp;"FX"&amp;$C514&amp;"DDF=","BID",AK290,"SCOPE:SERVER"),"RT_FALSE")</f>
        <v>RT_FALSE</v>
      </c>
      <c r="AL514" s="1" t="str">
        <f>IF(AL$467,_xll.RtContribute(AL$403,AL$3&amp;"FX"&amp;$C514&amp;"DDF=","BID",AL290,"SCOPE:SERVER"),"RT_FALSE")</f>
        <v>RT_FALSE</v>
      </c>
      <c r="AM514" s="1" t="str">
        <f>IF(AM$467,_xll.RtContribute(AM$403,AM$3&amp;"FX"&amp;$C514&amp;"DDF=","BID",AM290,"SCOPE:SERVER"),"RT_FALSE")</f>
        <v>RT_FALSE</v>
      </c>
      <c r="AN514" s="1" t="str">
        <f>IF(AN$467,_xll.RtContribute(AN$403,AN$3&amp;"FX"&amp;$C514&amp;"DDF=","BID",AN290,"SCOPE:SERVER"),"RT_FALSE")</f>
        <v>RT_FALSE</v>
      </c>
      <c r="AO514" s="1" t="str">
        <f>IF(AO$467,_xll.RtContribute(AO$403,AO$3&amp;"FX"&amp;$C514&amp;"DDF=","BID",AO290,"SCOPE:SERVER"),"RT_FALSE")</f>
        <v>RT_FALSE</v>
      </c>
      <c r="AP514" s="1" t="str">
        <f>IF(AP$467,_xll.RtContribute(AP$403,AP$3&amp;"FX"&amp;$C514&amp;"DDF=","BID",AP290,"SCOPE:SERVER"),"RT_FALSE")</f>
        <v>RT_FALSE</v>
      </c>
    </row>
    <row r="515" spans="2:42" x14ac:dyDescent="0.2">
      <c r="C515" s="1" t="s">
        <v>101</v>
      </c>
      <c r="D515" s="1" t="str">
        <f>IF(D$467,_xll.RtContribute(D$403,D$3&amp;"FX"&amp;$C515&amp;"DDF=","BID",D37,"SCOPE:SERVER"),"RT_FALSE")</f>
        <v>RT_FALSE</v>
      </c>
      <c r="E515" s="1" t="str">
        <f>IF(E$467,_xll.RtContribute(E$403,E$3&amp;"FX"&amp;$C515&amp;"DDF=","BID",E291,"SCOPE:SERVER"),"RT_FALSE")</f>
        <v>RT_FALSE</v>
      </c>
      <c r="F515" s="1" t="str">
        <f>IF(F$467,_xll.RtContribute(F$403,F$3&amp;"FX"&amp;$C515&amp;"DDF=","BID",F291,"SCOPE:SERVER"),"RT_FALSE")</f>
        <v>RT_FALSE</v>
      </c>
      <c r="G515" s="1" t="str">
        <f>IF(G$467,_xll.RtContribute(G$403,G$3&amp;"FX"&amp;$C515&amp;"DDF=","BID",G291,"SCOPE:SERVER"),"RT_FALSE")</f>
        <v>RT_FALSE</v>
      </c>
      <c r="H515" s="1" t="str">
        <f>IF(H$467,_xll.RtContribute(H$403,H$3&amp;"FX"&amp;$C515&amp;"DDF=","BID",H291,"SCOPE:SERVER"),"RT_FALSE")</f>
        <v>RT_FALSE</v>
      </c>
      <c r="I515" s="1" t="str">
        <f>IF(I$467,_xll.RtContribute(I$403,I$3&amp;"FX"&amp;$C515&amp;"DDF=","BID",I291,"SCOPE:SERVER"),"RT_FALSE")</f>
        <v>RT_FALSE</v>
      </c>
      <c r="J515" s="1" t="str">
        <f>IF(J$467,_xll.RtContribute(J$403,J$3&amp;"FX"&amp;$C515&amp;"DDF=","BID",J291,"SCOPE:SERVER"),"RT_FALSE")</f>
        <v>RT_FALSE</v>
      </c>
      <c r="K515" s="1" t="str">
        <f>IF(K$467,_xll.RtContribute(K$403,K$3&amp;"FX"&amp;$C515&amp;"DDF=","BID",K291,"SCOPE:SERVER"),"RT_FALSE")</f>
        <v>RT_FALSE</v>
      </c>
      <c r="L515" s="1" t="str">
        <f>IF(L$467,_xll.RtContribute(L$403,L$3&amp;"FX"&amp;$C515&amp;"DDF=","BID",L291,"SCOPE:SERVER"),"RT_FALSE")</f>
        <v>RT_FALSE</v>
      </c>
      <c r="M515" s="1" t="str">
        <f>IF(M$467,_xll.RtContribute(M$403,M$3&amp;"FX"&amp;$C515&amp;"DDF=","BID",M291,"SCOPE:SERVER"),"RT_FALSE")</f>
        <v>RT_FALSE</v>
      </c>
      <c r="N515" s="1" t="str">
        <f>IF(N$467,_xll.RtContribute(N$403,N$3&amp;"FX"&amp;$C515&amp;"DDF=","BID",N291,"SCOPE:SERVER"),"RT_FALSE")</f>
        <v>RT_FALSE</v>
      </c>
      <c r="O515" s="1" t="str">
        <f>IF(O$467,_xll.RtContribute(O$403,O$3&amp;"FX"&amp;$C515&amp;"DDF=","BID",O291,"SCOPE:SERVER"),"RT_FALSE")</f>
        <v>RT_FALSE</v>
      </c>
      <c r="P515" s="1" t="str">
        <f>IF(P$467,_xll.RtContribute(P$403,P$3&amp;"FX"&amp;$C515&amp;"DDF=","BID",P291,"SCOPE:SERVER"),"RT_FALSE")</f>
        <v>RT_FALSE</v>
      </c>
      <c r="Q515" s="1" t="str">
        <f>IF(Q$467,_xll.RtContribute(Q$403,Q$3&amp;"FX"&amp;$C515&amp;"DDF=","BID",Q291,"SCOPE:SERVER"),"RT_FALSE")</f>
        <v>RT_FALSE</v>
      </c>
      <c r="R515" s="1" t="str">
        <f>IF(R$467,_xll.RtContribute(R$403,R$3&amp;"FX"&amp;$C515&amp;"DDF=","BID",R291,"SCOPE:SERVER"),"RT_FALSE")</f>
        <v>RT_FALSE</v>
      </c>
      <c r="S515" s="1" t="str">
        <f>IF(S$467,_xll.RtContribute(S$403,S$3&amp;"FX"&amp;$C515&amp;"DDF=","BID",S291,"SCOPE:SERVER"),"RT_FALSE")</f>
        <v>RT_FALSE</v>
      </c>
      <c r="T515" s="1" t="str">
        <f>IF(T$467,_xll.RtContribute(T$403,T$3&amp;"FX"&amp;$C515&amp;"DDF=","BID",T291,"SCOPE:SERVER"),"RT_FALSE")</f>
        <v>RT_FALSE</v>
      </c>
      <c r="U515" s="1" t="str">
        <f>IF(U$467,_xll.RtContribute(U$403,U$3&amp;"FX"&amp;$C515&amp;"DDF=","BID",U291,"SCOPE:SERVER"),"RT_FALSE")</f>
        <v>RT_FALSE</v>
      </c>
      <c r="V515" s="1" t="str">
        <f>IF(V$467,_xll.RtContribute(V$403,V$3&amp;"FX"&amp;$C515&amp;"DDF=","BID",V291,"SCOPE:SERVER"),"RT_FALSE")</f>
        <v>RT_FALSE</v>
      </c>
      <c r="W515" s="1" t="str">
        <f>IF(W$467,_xll.RtContribute(W$403,W$3&amp;"FX"&amp;$C515&amp;"DDF=","BID",W291,"SCOPE:SERVER"),"RT_FALSE")</f>
        <v>RT_FALSE</v>
      </c>
      <c r="X515" s="1" t="str">
        <f>IF(X$467,_xll.RtContribute(X$403,X$3&amp;"FX"&amp;$C515&amp;"DDF=","BID",X291,"SCOPE:SERVER"),"RT_FALSE")</f>
        <v>RT_FALSE</v>
      </c>
      <c r="Y515" s="1" t="str">
        <f>IF(Y$467,_xll.RtContribute(Y$403,Y$3&amp;"FX"&amp;$C515&amp;"DDF=","BID",Y291,"SCOPE:SERVER"),"RT_FALSE")</f>
        <v>RT_FALSE</v>
      </c>
      <c r="Z515" s="1" t="str">
        <f>IF(Z$467,_xll.RtContribute(Z$403,Z$3&amp;"FX"&amp;$C515&amp;"DDF=","BID",Z291,"SCOPE:SERVER"),"RT_FALSE")</f>
        <v>RT_FALSE</v>
      </c>
      <c r="AA515" s="1" t="str">
        <f>IF(AA$467,_xll.RtContribute(AA$403,AA$3&amp;"FX"&amp;$C515&amp;"DDF=","BID",AA291,"SCOPE:SERVER"),"RT_FALSE")</f>
        <v>RT_FALSE</v>
      </c>
      <c r="AB515" s="1" t="str">
        <f>IF(AB$467,_xll.RtContribute(AB$403,AB$3&amp;"FX"&amp;$C515&amp;"DDF=","BID",AB291,"SCOPE:SERVER"),"RT_FALSE")</f>
        <v>RT_FALSE</v>
      </c>
      <c r="AC515" s="1" t="str">
        <f>IF(AC$467,_xll.RtContribute(AC$403,AC$3&amp;"FX"&amp;$C515&amp;"DDF=","BID",AC291,"SCOPE:SERVER"),"RT_FALSE")</f>
        <v>RT_FALSE</v>
      </c>
      <c r="AD515" s="1" t="str">
        <f>IF(AD$467,_xll.RtContribute(AD$403,AD$3&amp;"FX"&amp;$C515&amp;"DDF=","BID",AD291,"SCOPE:SERVER"),"RT_FALSE")</f>
        <v>RT_FALSE</v>
      </c>
      <c r="AE515" s="1" t="str">
        <f>IF(AE$467,_xll.RtContribute(AE$403,AE$3&amp;"FX"&amp;$C515&amp;"DDF=","BID",AE291,"SCOPE:SERVER"),"RT_FALSE")</f>
        <v>RT_FALSE</v>
      </c>
      <c r="AF515" s="1" t="str">
        <f>IF(AF$467,_xll.RtContribute(AF$403,AF$3&amp;"FX"&amp;$C515&amp;"DDF=","BID",AF291,"SCOPE:SERVER"),"RT_FALSE")</f>
        <v>RT_FALSE</v>
      </c>
      <c r="AG515" s="1" t="str">
        <f>IF(AG$467,_xll.RtContribute(AG$403,AG$3&amp;"FX"&amp;$C515&amp;"DDF=","BID",AG291,"SCOPE:SERVER"),"RT_FALSE")</f>
        <v>RT_FALSE</v>
      </c>
      <c r="AH515" s="1" t="str">
        <f>IF(AH$467,_xll.RtContribute(AH$403,AH$3&amp;"FX"&amp;$C515&amp;"DDF=","BID",AH291,"SCOPE:SERVER"),"RT_FALSE")</f>
        <v>RT_FALSE</v>
      </c>
      <c r="AI515" s="1" t="str">
        <f>IF(AI$467,_xll.RtContribute(AI$403,AI$3&amp;"FX"&amp;$C515&amp;"DDF=","BID",AI291,"SCOPE:SERVER"),"RT_FALSE")</f>
        <v>RT_FALSE</v>
      </c>
      <c r="AJ515" s="1" t="str">
        <f>IF(AJ$467,_xll.RtContribute(AJ$403,AJ$3&amp;"FX"&amp;$C515&amp;"DDF=","BID",AJ291,"SCOPE:SERVER"),"RT_FALSE")</f>
        <v>RT_FALSE</v>
      </c>
      <c r="AK515" s="1" t="str">
        <f>IF(AK$467,_xll.RtContribute(AK$403,AK$3&amp;"FX"&amp;$C515&amp;"DDF=","BID",AK291,"SCOPE:SERVER"),"RT_FALSE")</f>
        <v>RT_FALSE</v>
      </c>
      <c r="AL515" s="1" t="str">
        <f>IF(AL$467,_xll.RtContribute(AL$403,AL$3&amp;"FX"&amp;$C515&amp;"DDF=","BID",AL291,"SCOPE:SERVER"),"RT_FALSE")</f>
        <v>RT_FALSE</v>
      </c>
      <c r="AM515" s="1" t="str">
        <f>IF(AM$467,_xll.RtContribute(AM$403,AM$3&amp;"FX"&amp;$C515&amp;"DDF=","BID",AM291,"SCOPE:SERVER"),"RT_FALSE")</f>
        <v>RT_FALSE</v>
      </c>
      <c r="AN515" s="1" t="str">
        <f>IF(AN$467,_xll.RtContribute(AN$403,AN$3&amp;"FX"&amp;$C515&amp;"DDF=","BID",AN291,"SCOPE:SERVER"),"RT_FALSE")</f>
        <v>RT_FALSE</v>
      </c>
      <c r="AO515" s="1" t="str">
        <f>IF(AO$467,_xll.RtContribute(AO$403,AO$3&amp;"FX"&amp;$C515&amp;"DDF=","BID",AO291,"SCOPE:SERVER"),"RT_FALSE")</f>
        <v>RT_FALSE</v>
      </c>
      <c r="AP515" s="1" t="str">
        <f>IF(AP$467,_xll.RtContribute(AP$403,AP$3&amp;"FX"&amp;$C515&amp;"DDF=","BID",AP291,"SCOPE:SERVER"),"RT_FALSE")</f>
        <v>RT_FALSE</v>
      </c>
    </row>
    <row r="516" spans="2:42" x14ac:dyDescent="0.2">
      <c r="B516" s="305" t="s">
        <v>314</v>
      </c>
      <c r="C516" s="1" t="s">
        <v>138</v>
      </c>
      <c r="D516" s="1" t="str">
        <f>IF(D$467,_xll.RtContribute(D$403,D$3&amp;"FX"&amp;$C516&amp;"DDF=","BID",D38,"SCOPE:SERVER"),"RT_FALSE")</f>
        <v>RT_FALSE</v>
      </c>
      <c r="E516" s="1" t="str">
        <f>IF(E$467,_xll.RtContribute(E$403,E$3&amp;"FX"&amp;$C516&amp;"DDF=","BID",E292,"SCOPE:SERVER"),"RT_FALSE")</f>
        <v>RT_FALSE</v>
      </c>
      <c r="F516" s="1" t="str">
        <f>IF(F$467,_xll.RtContribute(F$403,F$3&amp;"FX"&amp;$C516&amp;"DDF=","BID",F292,"SCOPE:SERVER"),"RT_FALSE")</f>
        <v>RT_FALSE</v>
      </c>
      <c r="G516" s="1" t="str">
        <f>IF(G$467,_xll.RtContribute(G$403,G$3&amp;"FX"&amp;$C516&amp;"DDF=","BID",G292,"SCOPE:SERVER"),"RT_FALSE")</f>
        <v>RT_FALSE</v>
      </c>
      <c r="H516" s="1" t="str">
        <f>IF(H$467,_xll.RtContribute(H$403,H$3&amp;"FX"&amp;$C516&amp;"DDF=","BID",H292,"SCOPE:SERVER"),"RT_FALSE")</f>
        <v>RT_FALSE</v>
      </c>
      <c r="I516" s="1" t="str">
        <f>IF(I$467,_xll.RtContribute(I$403,I$3&amp;"FX"&amp;$C516&amp;"DDF=","BID",I292,"SCOPE:SERVER"),"RT_FALSE")</f>
        <v>RT_FALSE</v>
      </c>
      <c r="J516" s="1" t="str">
        <f>IF(J$467,_xll.RtContribute(J$403,J$3&amp;"FX"&amp;$C516&amp;"DDF=","BID",J292,"SCOPE:SERVER"),"RT_FALSE")</f>
        <v>RT_FALSE</v>
      </c>
      <c r="K516" s="1" t="str">
        <f>IF(K$467,_xll.RtContribute(K$403,K$3&amp;"FX"&amp;$C516&amp;"DDF=","BID",K292,"SCOPE:SERVER"),"RT_FALSE")</f>
        <v>RT_FALSE</v>
      </c>
      <c r="L516" s="1" t="str">
        <f>IF(L$467,_xll.RtContribute(L$403,L$3&amp;"FX"&amp;$C516&amp;"DDF=","BID",L292,"SCOPE:SERVER"),"RT_FALSE")</f>
        <v>RT_FALSE</v>
      </c>
      <c r="M516" s="1" t="str">
        <f>IF(M$467,_xll.RtContribute(M$403,M$3&amp;"FX"&amp;$C516&amp;"DDF=","BID",M292,"SCOPE:SERVER"),"RT_FALSE")</f>
        <v>RT_FALSE</v>
      </c>
      <c r="N516" s="1" t="str">
        <f>IF(N$467,_xll.RtContribute(N$403,N$3&amp;"FX"&amp;$C516&amp;"DDF=","BID",N292,"SCOPE:SERVER"),"RT_FALSE")</f>
        <v>RT_FALSE</v>
      </c>
      <c r="O516" s="1" t="str">
        <f>IF(O$467,_xll.RtContribute(O$403,O$3&amp;"FX"&amp;$C516&amp;"DDF=","BID",O292,"SCOPE:SERVER"),"RT_FALSE")</f>
        <v>RT_FALSE</v>
      </c>
      <c r="P516" s="1" t="str">
        <f>IF(P$467,_xll.RtContribute(P$403,P$3&amp;"FX"&amp;$C516&amp;"DDF=","BID",P292,"SCOPE:SERVER"),"RT_FALSE")</f>
        <v>RT_FALSE</v>
      </c>
      <c r="Q516" s="1" t="str">
        <f>IF(Q$467,_xll.RtContribute(Q$403,Q$3&amp;"FX"&amp;$C516&amp;"DDF=","BID",Q292,"SCOPE:SERVER"),"RT_FALSE")</f>
        <v>RT_FALSE</v>
      </c>
      <c r="R516" s="1" t="str">
        <f>IF(R$467,_xll.RtContribute(R$403,R$3&amp;"FX"&amp;$C516&amp;"DDF=","BID",R292,"SCOPE:SERVER"),"RT_FALSE")</f>
        <v>RT_FALSE</v>
      </c>
      <c r="S516" s="1" t="str">
        <f>IF(S$467,_xll.RtContribute(S$403,S$3&amp;"FX"&amp;$C516&amp;"DDF=","BID",S292,"SCOPE:SERVER"),"RT_FALSE")</f>
        <v>RT_FALSE</v>
      </c>
      <c r="T516" s="1" t="str">
        <f>IF(T$467,_xll.RtContribute(T$403,T$3&amp;"FX"&amp;$C516&amp;"DDF=","BID",T292,"SCOPE:SERVER"),"RT_FALSE")</f>
        <v>RT_FALSE</v>
      </c>
      <c r="U516" s="305" t="str">
        <f>IF(U$467,_xll.RtContribute(U$403,U$3&amp;"FX1YDDF=","BID",U292,"SCOPE:SERVER"),"RT_FALSE")</f>
        <v>RT_FALSE</v>
      </c>
      <c r="V516" s="305" t="str">
        <f>IF(V$467,_xll.RtContribute(V$403,V$3&amp;"FX1YDDF=","BID",V292,"SCOPE:SERVER"),"RT_FALSE")</f>
        <v>RT_FALSE</v>
      </c>
      <c r="W516" s="305" t="str">
        <f>IF(W$467,_xll.RtContribute(W$403,W$3&amp;"FX1YDDF=","BID",W292,"SCOPE:SERVER"),"RT_FALSE")</f>
        <v>RT_FALSE</v>
      </c>
      <c r="X516" s="305" t="str">
        <f>IF(X$467,_xll.RtContribute(X$403,X$3&amp;"FX1YDDF=","BID",X292,"SCOPE:SERVER"),"RT_FALSE")</f>
        <v>RT_FALSE</v>
      </c>
      <c r="Y516" s="305" t="str">
        <f>IF(Y$467,_xll.RtContribute(Y$403,Y$3&amp;"FX1YDDF=","BID",Y292,"SCOPE:SERVER"),"RT_FALSE")</f>
        <v>RT_FALSE</v>
      </c>
      <c r="Z516" s="305" t="str">
        <f>IF(Z$467,_xll.RtContribute(Z$403,Z$3&amp;"FX1YDDF=","BID",Z292,"SCOPE:SERVER"),"RT_FALSE")</f>
        <v>RT_FALSE</v>
      </c>
      <c r="AA516" s="305" t="str">
        <f>IF(AA$467,_xll.RtContribute(AA$403,AA$3&amp;"FX1YDDF=","BID",AA292,"SCOPE:SERVER"),"RT_FALSE")</f>
        <v>RT_FALSE</v>
      </c>
      <c r="AB516" s="305" t="str">
        <f>IF(AB$467,_xll.RtContribute(AB$403,AB$3&amp;"FX1YDDF=","BID",AB292,"SCOPE:SERVER"),"RT_FALSE")</f>
        <v>RT_FALSE</v>
      </c>
      <c r="AC516" s="305" t="str">
        <f>IF(AC$467,_xll.RtContribute(AC$403,AC$3&amp;"FX1YDDF=","BID",AC292,"SCOPE:SERVER"),"RT_FALSE")</f>
        <v>RT_FALSE</v>
      </c>
      <c r="AD516" s="305" t="str">
        <f>IF(AD$467,_xll.RtContribute(AD$403,AD$3&amp;"FX1YDDF=","BID",AD292,"SCOPE:SERVER"),"RT_FALSE")</f>
        <v>RT_FALSE</v>
      </c>
      <c r="AE516" s="305" t="str">
        <f>IF(AE$467,_xll.RtContribute(AE$403,AE$3&amp;"FX1YDDF=","BID",AE292,"SCOPE:SERVER"),"RT_FALSE")</f>
        <v>RT_FALSE</v>
      </c>
      <c r="AF516" s="305" t="str">
        <f>IF(AF$467,_xll.RtContribute(AF$403,AF$3&amp;"FX1YDDF=","BID",AF292,"SCOPE:SERVER"),"RT_FALSE")</f>
        <v>RT_FALSE</v>
      </c>
      <c r="AG516" s="305" t="str">
        <f>IF(AG$467,_xll.RtContribute(AG$403,AG$3&amp;"FX1YDDF=","BID",AG292,"SCOPE:SERVER"),"RT_FALSE")</f>
        <v>RT_FALSE</v>
      </c>
      <c r="AH516" s="305" t="str">
        <f>IF(AH$467,_xll.RtContribute(AH$403,AH$3&amp;"FX1YDDF=","BID",AH292,"SCOPE:SERVER"),"RT_FALSE")</f>
        <v>RT_FALSE</v>
      </c>
      <c r="AI516" s="1" t="str">
        <f>IF(AI$467,_xll.RtContribute(AI$403,AI$3&amp;"FX"&amp;$C516&amp;"DDF=","BID",AI292,"SCOPE:SERVER"),"RT_FALSE")</f>
        <v>RT_FALSE</v>
      </c>
      <c r="AJ516" s="1" t="str">
        <f>IF(AJ$467,_xll.RtContribute(AJ$403,AJ$3&amp;"FX"&amp;$C516&amp;"DDF=","BID",AJ292,"SCOPE:SERVER"),"RT_FALSE")</f>
        <v>RT_FALSE</v>
      </c>
      <c r="AK516" s="1" t="str">
        <f>IF(AK$467,_xll.RtContribute(AK$403,AK$3&amp;"FX"&amp;$C516&amp;"DDF=","BID",AK292,"SCOPE:SERVER"),"RT_FALSE")</f>
        <v>RT_FALSE</v>
      </c>
      <c r="AL516" s="305" t="str">
        <f>IF(AL$467,_xll.RtContribute(AL$403,AL$3&amp;"FX1YDDF=","BID",AL292,"SCOPE:SERVER"),"RT_FALSE")</f>
        <v>RT_FALSE</v>
      </c>
      <c r="AM516" s="1" t="str">
        <f>IF(AM$467,_xll.RtContribute(AM$403,AM$3&amp;"FX"&amp;$C516&amp;"DDF=","BID",AM292,"SCOPE:SERVER"),"RT_FALSE")</f>
        <v>RT_FALSE</v>
      </c>
      <c r="AN516" s="305" t="str">
        <f>IF(AN$467,_xll.RtContribute(AN$403,AN$3&amp;"FX1YDDF=","BID",AN292,"SCOPE:SERVER"),"RT_FALSE")</f>
        <v>RT_FALSE</v>
      </c>
      <c r="AO516" s="1" t="str">
        <f>IF(AO$467,_xll.RtContribute(AO$403,AO$3&amp;"FX"&amp;$C516&amp;"DDF=","BID",AO292,"SCOPE:SERVER"),"RT_FALSE")</f>
        <v>RT_FALSE</v>
      </c>
      <c r="AP516" s="1" t="str">
        <f>IF(AP$467,_xll.RtContribute(AP$403,AP$3&amp;"FX"&amp;$C516&amp;"DDF=","BID",AP292,"SCOPE:SERVER"),"RT_FALSE")</f>
        <v>RT_FALSE</v>
      </c>
    </row>
    <row r="517" spans="2:42" x14ac:dyDescent="0.2">
      <c r="C517" s="1" t="s">
        <v>122</v>
      </c>
      <c r="D517" s="1" t="str">
        <f>IF(D$467,_xll.RtContribute(D$403,D$3&amp;"FX"&amp;$C517&amp;"DDF=","BID",D39,"SCOPE:SERVER"),"RT_FALSE")</f>
        <v>RT_FALSE</v>
      </c>
      <c r="E517" s="1" t="str">
        <f>IF(E$467,_xll.RtContribute(E$403,E$3&amp;"FX"&amp;$C517&amp;"DDF=","BID",E293,"SCOPE:SERVER"),"RT_FALSE")</f>
        <v>RT_FALSE</v>
      </c>
      <c r="F517" s="1" t="str">
        <f>IF(F$467,_xll.RtContribute(F$403,F$3&amp;"FX"&amp;$C517&amp;"DDF=","BID",F293,"SCOPE:SERVER"),"RT_FALSE")</f>
        <v>RT_FALSE</v>
      </c>
      <c r="G517" s="1" t="str">
        <f>IF(G$467,_xll.RtContribute(G$403,G$3&amp;"FX"&amp;$C517&amp;"DDF=","BID",G293,"SCOPE:SERVER"),"RT_FALSE")</f>
        <v>RT_FALSE</v>
      </c>
      <c r="H517" s="1" t="str">
        <f>IF(H$467,_xll.RtContribute(H$403,H$3&amp;"FX"&amp;$C517&amp;"DDF=","BID",H293,"SCOPE:SERVER"),"RT_FALSE")</f>
        <v>RT_FALSE</v>
      </c>
      <c r="I517" s="1" t="str">
        <f>IF(I$467,_xll.RtContribute(I$403,I$3&amp;"FX"&amp;$C517&amp;"DDF=","BID",I293,"SCOPE:SERVER"),"RT_FALSE")</f>
        <v>RT_FALSE</v>
      </c>
      <c r="J517" s="1" t="str">
        <f>IF(J$467,_xll.RtContribute(J$403,J$3&amp;"FX"&amp;$C517&amp;"DDF=","BID",J293,"SCOPE:SERVER"),"RT_FALSE")</f>
        <v>RT_FALSE</v>
      </c>
      <c r="K517" s="1" t="str">
        <f>IF(K$467,_xll.RtContribute(K$403,K$3&amp;"FX"&amp;$C517&amp;"DDF=","BID",K293,"SCOPE:SERVER"),"RT_FALSE")</f>
        <v>RT_FALSE</v>
      </c>
      <c r="L517" s="1" t="str">
        <f>IF(L$467,_xll.RtContribute(L$403,L$3&amp;"FX"&amp;$C517&amp;"DDF=","BID",L293,"SCOPE:SERVER"),"RT_FALSE")</f>
        <v>RT_FALSE</v>
      </c>
      <c r="M517" s="1" t="str">
        <f>IF(M$467,_xll.RtContribute(M$403,M$3&amp;"FX"&amp;$C517&amp;"DDF=","BID",M293,"SCOPE:SERVER"),"RT_FALSE")</f>
        <v>RT_FALSE</v>
      </c>
      <c r="N517" s="1" t="str">
        <f>IF(N$467,_xll.RtContribute(N$403,N$3&amp;"FX"&amp;$C517&amp;"DDF=","BID",N293,"SCOPE:SERVER"),"RT_FALSE")</f>
        <v>RT_FALSE</v>
      </c>
      <c r="O517" s="1" t="str">
        <f>IF(O$467,_xll.RtContribute(O$403,O$3&amp;"FX"&amp;$C517&amp;"DDF=","BID",O293,"SCOPE:SERVER"),"RT_FALSE")</f>
        <v>RT_FALSE</v>
      </c>
      <c r="P517" s="1" t="str">
        <f>IF(P$467,_xll.RtContribute(P$403,P$3&amp;"FX"&amp;$C517&amp;"DDF=","BID",P293,"SCOPE:SERVER"),"RT_FALSE")</f>
        <v>RT_FALSE</v>
      </c>
      <c r="Q517" s="1" t="str">
        <f>IF(Q$467,_xll.RtContribute(Q$403,Q$3&amp;"FX"&amp;$C517&amp;"DDF=","BID",Q293,"SCOPE:SERVER"),"RT_FALSE")</f>
        <v>RT_FALSE</v>
      </c>
      <c r="R517" s="1" t="str">
        <f>IF(R$467,_xll.RtContribute(R$403,R$3&amp;"FX"&amp;$C517&amp;"DDF=","BID",R293,"SCOPE:SERVER"),"RT_FALSE")</f>
        <v>RT_FALSE</v>
      </c>
      <c r="S517" s="1" t="str">
        <f>IF(S$467,_xll.RtContribute(S$403,S$3&amp;"FX"&amp;$C517&amp;"DDF=","BID",S293,"SCOPE:SERVER"),"RT_FALSE")</f>
        <v>RT_FALSE</v>
      </c>
      <c r="T517" s="1" t="str">
        <f>IF(T$467,_xll.RtContribute(T$403,T$3&amp;"FX"&amp;$C517&amp;"DDF=","BID",T293,"SCOPE:SERVER"),"RT_FALSE")</f>
        <v>RT_FALSE</v>
      </c>
      <c r="U517" s="1" t="str">
        <f>IF(U$467,_xll.RtContribute(U$403,U$3&amp;"FX"&amp;$C517&amp;"DDF=","BID",U293,"SCOPE:SERVER"),"RT_FALSE")</f>
        <v>RT_FALSE</v>
      </c>
      <c r="V517" s="1" t="str">
        <f>IF(V$467,_xll.RtContribute(V$403,V$3&amp;"FX"&amp;$C517&amp;"DDF=","BID",V293,"SCOPE:SERVER"),"RT_FALSE")</f>
        <v>RT_FALSE</v>
      </c>
      <c r="W517" s="1" t="str">
        <f>IF(W$467,_xll.RtContribute(W$403,W$3&amp;"FX"&amp;$C517&amp;"DDF=","BID",W293,"SCOPE:SERVER"),"RT_FALSE")</f>
        <v>RT_FALSE</v>
      </c>
      <c r="X517" s="1" t="str">
        <f>IF(X$467,_xll.RtContribute(X$403,X$3&amp;"FX"&amp;$C517&amp;"DDF=","BID",X293,"SCOPE:SERVER"),"RT_FALSE")</f>
        <v>RT_FALSE</v>
      </c>
      <c r="Y517" s="1" t="str">
        <f>IF(Y$467,_xll.RtContribute(Y$403,Y$3&amp;"FX"&amp;$C517&amp;"DDF=","BID",Y293,"SCOPE:SERVER"),"RT_FALSE")</f>
        <v>RT_FALSE</v>
      </c>
      <c r="Z517" s="1" t="str">
        <f>IF(Z$467,_xll.RtContribute(Z$403,Z$3&amp;"FX"&amp;$C517&amp;"DDF=","BID",Z293,"SCOPE:SERVER"),"RT_FALSE")</f>
        <v>RT_FALSE</v>
      </c>
      <c r="AA517" s="1" t="str">
        <f>IF(AA$467,_xll.RtContribute(AA$403,AA$3&amp;"FX"&amp;$C517&amp;"DDF=","BID",AA293,"SCOPE:SERVER"),"RT_FALSE")</f>
        <v>RT_FALSE</v>
      </c>
      <c r="AB517" s="1" t="str">
        <f>IF(AB$467,_xll.RtContribute(AB$403,AB$3&amp;"FX"&amp;$C517&amp;"DDF=","BID",AB293,"SCOPE:SERVER"),"RT_FALSE")</f>
        <v>RT_FALSE</v>
      </c>
      <c r="AC517" s="1" t="str">
        <f>IF(AC$467,_xll.RtContribute(AC$403,AC$3&amp;"FX"&amp;$C517&amp;"DDF=","BID",AC293,"SCOPE:SERVER"),"RT_FALSE")</f>
        <v>RT_FALSE</v>
      </c>
      <c r="AD517" s="1" t="str">
        <f>IF(AD$467,_xll.RtContribute(AD$403,AD$3&amp;"FX"&amp;$C517&amp;"DDF=","BID",AD293,"SCOPE:SERVER"),"RT_FALSE")</f>
        <v>RT_FALSE</v>
      </c>
      <c r="AE517" s="1" t="str">
        <f>IF(AE$467,_xll.RtContribute(AE$403,AE$3&amp;"FX"&amp;$C517&amp;"DDF=","BID",AE293,"SCOPE:SERVER"),"RT_FALSE")</f>
        <v>RT_FALSE</v>
      </c>
      <c r="AF517" s="1" t="str">
        <f>IF(AF$467,_xll.RtContribute(AF$403,AF$3&amp;"FX"&amp;$C517&amp;"DDF=","BID",AF293,"SCOPE:SERVER"),"RT_FALSE")</f>
        <v>RT_FALSE</v>
      </c>
      <c r="AG517" s="1" t="str">
        <f>IF(AG$467,_xll.RtContribute(AG$403,AG$3&amp;"FX"&amp;$C517&amp;"DDF=","BID",AG293,"SCOPE:SERVER"),"RT_FALSE")</f>
        <v>RT_FALSE</v>
      </c>
      <c r="AH517" s="1" t="str">
        <f>IF(AH$467,_xll.RtContribute(AH$403,AH$3&amp;"FX"&amp;$C517&amp;"DDF=","BID",AH293,"SCOPE:SERVER"),"RT_FALSE")</f>
        <v>RT_FALSE</v>
      </c>
      <c r="AI517" s="1" t="str">
        <f>IF(AI$467,_xll.RtContribute(AI$403,AI$3&amp;"FX"&amp;$C517&amp;"DDF=","BID",AI293,"SCOPE:SERVER"),"RT_FALSE")</f>
        <v>RT_FALSE</v>
      </c>
      <c r="AJ517" s="1" t="str">
        <f>IF(AJ$467,_xll.RtContribute(AJ$403,AJ$3&amp;"FX"&amp;$C517&amp;"DDF=","BID",AJ293,"SCOPE:SERVER"),"RT_FALSE")</f>
        <v>RT_FALSE</v>
      </c>
      <c r="AK517" s="1" t="str">
        <f>IF(AK$467,_xll.RtContribute(AK$403,AK$3&amp;"FX"&amp;$C517&amp;"DDF=","BID",AK293,"SCOPE:SERVER"),"RT_FALSE")</f>
        <v>RT_FALSE</v>
      </c>
      <c r="AL517" s="1" t="str">
        <f>IF(AL$467,_xll.RtContribute(AL$403,AL$3&amp;"FX"&amp;$C517&amp;"DDF=","BID",AL293,"SCOPE:SERVER"),"RT_FALSE")</f>
        <v>RT_FALSE</v>
      </c>
      <c r="AM517" s="1" t="str">
        <f>IF(AM$467,_xll.RtContribute(AM$403,AM$3&amp;"FX"&amp;$C517&amp;"DDF=","BID",AM293,"SCOPE:SERVER"),"RT_FALSE")</f>
        <v>RT_FALSE</v>
      </c>
      <c r="AN517" s="1" t="str">
        <f>IF(AN$467,_xll.RtContribute(AN$403,AN$3&amp;"FX"&amp;$C517&amp;"DDF=","BID",AN293,"SCOPE:SERVER"),"RT_FALSE")</f>
        <v>RT_FALSE</v>
      </c>
      <c r="AO517" s="1" t="str">
        <f>IF(AO$467,_xll.RtContribute(AO$403,AO$3&amp;"FX"&amp;$C517&amp;"DDF=","BID",AO293,"SCOPE:SERVER"),"RT_FALSE")</f>
        <v>RT_FALSE</v>
      </c>
      <c r="AP517" s="1" t="str">
        <f>IF(AP$467,_xll.RtContribute(AP$403,AP$3&amp;"FX"&amp;$C517&amp;"DDF=","BID",AP293,"SCOPE:SERVER"),"RT_FALSE")</f>
        <v>RT_FALSE</v>
      </c>
    </row>
    <row r="518" spans="2:42" x14ac:dyDescent="0.2">
      <c r="C518" s="1" t="s">
        <v>133</v>
      </c>
      <c r="D518" s="1" t="str">
        <f>IF(D$467,_xll.RtContribute(D$403,D$3&amp;"FX"&amp;$C518&amp;"DDF=","BID",D40,"SCOPE:SERVER"),"RT_FALSE")</f>
        <v>RT_FALSE</v>
      </c>
      <c r="E518" s="1" t="str">
        <f>IF(E$467,_xll.RtContribute(E$403,E$3&amp;"FX"&amp;$C518&amp;"DDF=","BID",E294,"SCOPE:SERVER"),"RT_FALSE")</f>
        <v>RT_FALSE</v>
      </c>
      <c r="F518" s="1" t="str">
        <f>IF(F$467,_xll.RtContribute(F$403,F$3&amp;"FX"&amp;$C518&amp;"DDF=","BID",F294,"SCOPE:SERVER"),"RT_FALSE")</f>
        <v>RT_FALSE</v>
      </c>
      <c r="G518" s="1" t="str">
        <f>IF(G$467,_xll.RtContribute(G$403,G$3&amp;"FX"&amp;$C518&amp;"DDF=","BID",G294,"SCOPE:SERVER"),"RT_FALSE")</f>
        <v>RT_FALSE</v>
      </c>
      <c r="H518" s="1" t="str">
        <f>IF(H$467,_xll.RtContribute(H$403,H$3&amp;"FX"&amp;$C518&amp;"DDF=","BID",H294,"SCOPE:SERVER"),"RT_FALSE")</f>
        <v>RT_FALSE</v>
      </c>
      <c r="I518" s="1" t="str">
        <f>IF(I$467,_xll.RtContribute(I$403,I$3&amp;"FX"&amp;$C518&amp;"DDF=","BID",I294,"SCOPE:SERVER"),"RT_FALSE")</f>
        <v>RT_FALSE</v>
      </c>
      <c r="J518" s="1" t="str">
        <f>IF(J$467,_xll.RtContribute(J$403,J$3&amp;"FX"&amp;$C518&amp;"DDF=","BID",J294,"SCOPE:SERVER"),"RT_FALSE")</f>
        <v>RT_FALSE</v>
      </c>
      <c r="K518" s="1" t="str">
        <f>IF(K$467,_xll.RtContribute(K$403,K$3&amp;"FX"&amp;$C518&amp;"DDF=","BID",K294,"SCOPE:SERVER"),"RT_FALSE")</f>
        <v>RT_FALSE</v>
      </c>
      <c r="L518" s="1" t="str">
        <f>IF(L$467,_xll.RtContribute(L$403,L$3&amp;"FX"&amp;$C518&amp;"DDF=","BID",L294,"SCOPE:SERVER"),"RT_FALSE")</f>
        <v>RT_FALSE</v>
      </c>
      <c r="M518" s="1" t="str">
        <f>IF(M$467,_xll.RtContribute(M$403,M$3&amp;"FX"&amp;$C518&amp;"DDF=","BID",M294,"SCOPE:SERVER"),"RT_FALSE")</f>
        <v>RT_FALSE</v>
      </c>
      <c r="N518" s="1" t="str">
        <f>IF(N$467,_xll.RtContribute(N$403,N$3&amp;"FX"&amp;$C518&amp;"DDF=","BID",N294,"SCOPE:SERVER"),"RT_FALSE")</f>
        <v>RT_FALSE</v>
      </c>
      <c r="O518" s="1" t="str">
        <f>IF(O$467,_xll.RtContribute(O$403,O$3&amp;"FX"&amp;$C518&amp;"DDF=","BID",O294,"SCOPE:SERVER"),"RT_FALSE")</f>
        <v>RT_FALSE</v>
      </c>
      <c r="P518" s="1" t="str">
        <f>IF(P$467,_xll.RtContribute(P$403,P$3&amp;"FX"&amp;$C518&amp;"DDF=","BID",P294,"SCOPE:SERVER"),"RT_FALSE")</f>
        <v>RT_FALSE</v>
      </c>
      <c r="Q518" s="1" t="str">
        <f>IF(Q$467,_xll.RtContribute(Q$403,Q$3&amp;"FX"&amp;$C518&amp;"DDF=","BID",Q294,"SCOPE:SERVER"),"RT_FALSE")</f>
        <v>RT_FALSE</v>
      </c>
      <c r="R518" s="1" t="str">
        <f>IF(R$467,_xll.RtContribute(R$403,R$3&amp;"FX"&amp;$C518&amp;"DDF=","BID",R294,"SCOPE:SERVER"),"RT_FALSE")</f>
        <v>RT_FALSE</v>
      </c>
      <c r="S518" s="1" t="str">
        <f>IF(S$467,_xll.RtContribute(S$403,S$3&amp;"FX"&amp;$C518&amp;"DDF=","BID",S294,"SCOPE:SERVER"),"RT_FALSE")</f>
        <v>RT_FALSE</v>
      </c>
      <c r="T518" s="1" t="str">
        <f>IF(T$467,_xll.RtContribute(T$403,T$3&amp;"FX"&amp;$C518&amp;"DDF=","BID",T294,"SCOPE:SERVER"),"RT_FALSE")</f>
        <v>RT_FALSE</v>
      </c>
      <c r="U518" s="1" t="str">
        <f>IF(U$467,_xll.RtContribute(U$403,U$3&amp;"FX"&amp;$C518&amp;"DDF=","BID",U294,"SCOPE:SERVER"),"RT_FALSE")</f>
        <v>RT_FALSE</v>
      </c>
      <c r="V518" s="1" t="str">
        <f>IF(V$467,_xll.RtContribute(V$403,V$3&amp;"FX"&amp;$C518&amp;"DDF=","BID",V294,"SCOPE:SERVER"),"RT_FALSE")</f>
        <v>RT_FALSE</v>
      </c>
      <c r="W518" s="1" t="str">
        <f>IF(W$467,_xll.RtContribute(W$403,W$3&amp;"FX"&amp;$C518&amp;"DDF=","BID",W294,"SCOPE:SERVER"),"RT_FALSE")</f>
        <v>RT_FALSE</v>
      </c>
      <c r="X518" s="1" t="str">
        <f>IF(X$467,_xll.RtContribute(X$403,X$3&amp;"FX"&amp;$C518&amp;"DDF=","BID",X294,"SCOPE:SERVER"),"RT_FALSE")</f>
        <v>RT_FALSE</v>
      </c>
      <c r="Y518" s="1" t="str">
        <f>IF(Y$467,_xll.RtContribute(Y$403,Y$3&amp;"FX"&amp;$C518&amp;"DDF=","BID",Y294,"SCOPE:SERVER"),"RT_FALSE")</f>
        <v>RT_FALSE</v>
      </c>
      <c r="Z518" s="1" t="str">
        <f>IF(Z$467,_xll.RtContribute(Z$403,Z$3&amp;"FX"&amp;$C518&amp;"DDF=","BID",Z294,"SCOPE:SERVER"),"RT_FALSE")</f>
        <v>RT_FALSE</v>
      </c>
      <c r="AA518" s="1" t="str">
        <f>IF(AA$467,_xll.RtContribute(AA$403,AA$3&amp;"FX"&amp;$C518&amp;"DDF=","BID",AA294,"SCOPE:SERVER"),"RT_FALSE")</f>
        <v>RT_FALSE</v>
      </c>
      <c r="AB518" s="1" t="str">
        <f>IF(AB$467,_xll.RtContribute(AB$403,AB$3&amp;"FX"&amp;$C518&amp;"DDF=","BID",AB294,"SCOPE:SERVER"),"RT_FALSE")</f>
        <v>RT_FALSE</v>
      </c>
      <c r="AC518" s="1" t="str">
        <f>IF(AC$467,_xll.RtContribute(AC$403,AC$3&amp;"FX"&amp;$C518&amp;"DDF=","BID",AC294,"SCOPE:SERVER"),"RT_FALSE")</f>
        <v>RT_FALSE</v>
      </c>
      <c r="AD518" s="1" t="str">
        <f>IF(AD$467,_xll.RtContribute(AD$403,AD$3&amp;"FX"&amp;$C518&amp;"DDF=","BID",AD294,"SCOPE:SERVER"),"RT_FALSE")</f>
        <v>RT_FALSE</v>
      </c>
      <c r="AE518" s="1" t="str">
        <f>IF(AE$467,_xll.RtContribute(AE$403,AE$3&amp;"FX"&amp;$C518&amp;"DDF=","BID",AE294,"SCOPE:SERVER"),"RT_FALSE")</f>
        <v>RT_FALSE</v>
      </c>
      <c r="AF518" s="1" t="str">
        <f>IF(AF$467,_xll.RtContribute(AF$403,AF$3&amp;"FX"&amp;$C518&amp;"DDF=","BID",AF294,"SCOPE:SERVER"),"RT_FALSE")</f>
        <v>RT_FALSE</v>
      </c>
      <c r="AG518" s="1" t="str">
        <f>IF(AG$467,_xll.RtContribute(AG$403,AG$3&amp;"FX"&amp;$C518&amp;"DDF=","BID",AG294,"SCOPE:SERVER"),"RT_FALSE")</f>
        <v>RT_FALSE</v>
      </c>
      <c r="AH518" s="1" t="str">
        <f>IF(AH$467,_xll.RtContribute(AH$403,AH$3&amp;"FX"&amp;$C518&amp;"DDF=","BID",AH294,"SCOPE:SERVER"),"RT_FALSE")</f>
        <v>RT_FALSE</v>
      </c>
      <c r="AI518" s="1" t="str">
        <f>IF(AI$467,_xll.RtContribute(AI$403,AI$3&amp;"FX"&amp;$C518&amp;"DDF=","BID",AI294,"SCOPE:SERVER"),"RT_FALSE")</f>
        <v>RT_FALSE</v>
      </c>
      <c r="AJ518" s="1" t="str">
        <f>IF(AJ$467,_xll.RtContribute(AJ$403,AJ$3&amp;"FX"&amp;$C518&amp;"DDF=","BID",AJ294,"SCOPE:SERVER"),"RT_FALSE")</f>
        <v>RT_FALSE</v>
      </c>
      <c r="AK518" s="1" t="str">
        <f>IF(AK$467,_xll.RtContribute(AK$403,AK$3&amp;"FX"&amp;$C518&amp;"DDF=","BID",AK294,"SCOPE:SERVER"),"RT_FALSE")</f>
        <v>RT_FALSE</v>
      </c>
      <c r="AL518" s="1" t="str">
        <f>IF(AL$467,_xll.RtContribute(AL$403,AL$3&amp;"FX"&amp;$C518&amp;"DDF=","BID",AL294,"SCOPE:SERVER"),"RT_FALSE")</f>
        <v>RT_FALSE</v>
      </c>
      <c r="AM518" s="1" t="str">
        <f>IF(AM$467,_xll.RtContribute(AM$403,AM$3&amp;"FX"&amp;$C518&amp;"DDF=","BID",AM294,"SCOPE:SERVER"),"RT_FALSE")</f>
        <v>RT_FALSE</v>
      </c>
      <c r="AN518" s="1" t="str">
        <f>IF(AN$467,_xll.RtContribute(AN$403,AN$3&amp;"FX"&amp;$C518&amp;"DDF=","BID",AN294,"SCOPE:SERVER"),"RT_FALSE")</f>
        <v>RT_FALSE</v>
      </c>
      <c r="AO518" s="1" t="str">
        <f>IF(AO$467,_xll.RtContribute(AO$403,AO$3&amp;"FX"&amp;$C518&amp;"DDF=","BID",AO294,"SCOPE:SERVER"),"RT_FALSE")</f>
        <v>RT_FALSE</v>
      </c>
      <c r="AP518" s="1" t="str">
        <f>IF(AP$467,_xll.RtContribute(AP$403,AP$3&amp;"FX"&amp;$C518&amp;"DDF=","BID",AP294,"SCOPE:SERVER"),"RT_FALSE")</f>
        <v>RT_FALSE</v>
      </c>
    </row>
    <row r="519" spans="2:42" x14ac:dyDescent="0.2">
      <c r="C519" s="1" t="s">
        <v>148</v>
      </c>
      <c r="D519" s="1" t="str">
        <f>IF(D$467,_xll.RtContribute(D$403,D$3&amp;"FX"&amp;$C519&amp;"DDF=","BID",D41,"SCOPE:SERVER"),"RT_FALSE")</f>
        <v>RT_FALSE</v>
      </c>
      <c r="E519" s="1" t="str">
        <f>IF(E$467,_xll.RtContribute(E$403,E$3&amp;"FX"&amp;$C519&amp;"DDF=","BID",E295,"SCOPE:SERVER"),"RT_FALSE")</f>
        <v>RT_FALSE</v>
      </c>
      <c r="F519" s="1" t="str">
        <f>IF(F$467,_xll.RtContribute(F$403,F$3&amp;"FX"&amp;$C519&amp;"DDF=","BID",F295,"SCOPE:SERVER"),"RT_FALSE")</f>
        <v>RT_FALSE</v>
      </c>
      <c r="G519" s="1" t="str">
        <f>IF(G$467,_xll.RtContribute(G$403,G$3&amp;"FX"&amp;$C519&amp;"DDF=","BID",G295,"SCOPE:SERVER"),"RT_FALSE")</f>
        <v>RT_FALSE</v>
      </c>
      <c r="H519" s="1" t="str">
        <f>IF(H$467,_xll.RtContribute(H$403,H$3&amp;"FX"&amp;$C519&amp;"DDF=","BID",H295,"SCOPE:SERVER"),"RT_FALSE")</f>
        <v>RT_FALSE</v>
      </c>
      <c r="I519" s="1" t="str">
        <f>IF(I$467,_xll.RtContribute(I$403,I$3&amp;"FX"&amp;$C519&amp;"DDF=","BID",I295,"SCOPE:SERVER"),"RT_FALSE")</f>
        <v>RT_FALSE</v>
      </c>
      <c r="J519" s="1" t="str">
        <f>IF(J$467,_xll.RtContribute(J$403,J$3&amp;"FX"&amp;$C519&amp;"DDF=","BID",J295,"SCOPE:SERVER"),"RT_FALSE")</f>
        <v>RT_FALSE</v>
      </c>
      <c r="K519" s="1" t="str">
        <f>IF(K$467,_xll.RtContribute(K$403,K$3&amp;"FX"&amp;$C519&amp;"DDF=","BID",K295,"SCOPE:SERVER"),"RT_FALSE")</f>
        <v>RT_FALSE</v>
      </c>
      <c r="L519" s="1" t="str">
        <f>IF(L$467,_xll.RtContribute(L$403,L$3&amp;"FX"&amp;$C519&amp;"DDF=","BID",L295,"SCOPE:SERVER"),"RT_FALSE")</f>
        <v>RT_FALSE</v>
      </c>
      <c r="M519" s="1" t="str">
        <f>IF(M$467,_xll.RtContribute(M$403,M$3&amp;"FX"&amp;$C519&amp;"DDF=","BID",M295,"SCOPE:SERVER"),"RT_FALSE")</f>
        <v>RT_FALSE</v>
      </c>
      <c r="N519" s="1" t="str">
        <f>IF(N$467,_xll.RtContribute(N$403,N$3&amp;"FX"&amp;$C519&amp;"DDF=","BID",N295,"SCOPE:SERVER"),"RT_FALSE")</f>
        <v>RT_FALSE</v>
      </c>
      <c r="O519" s="1" t="str">
        <f>IF(O$467,_xll.RtContribute(O$403,O$3&amp;"FX"&amp;$C519&amp;"DDF=","BID",O295,"SCOPE:SERVER"),"RT_FALSE")</f>
        <v>RT_FALSE</v>
      </c>
      <c r="P519" s="1" t="str">
        <f>IF(P$467,_xll.RtContribute(P$403,P$3&amp;"FX"&amp;$C519&amp;"DDF=","BID",P295,"SCOPE:SERVER"),"RT_FALSE")</f>
        <v>RT_FALSE</v>
      </c>
      <c r="Q519" s="1" t="str">
        <f>IF(Q$467,_xll.RtContribute(Q$403,Q$3&amp;"FX"&amp;$C519&amp;"DDF=","BID",Q295,"SCOPE:SERVER"),"RT_FALSE")</f>
        <v>RT_FALSE</v>
      </c>
      <c r="R519" s="1" t="str">
        <f>IF(R$467,_xll.RtContribute(R$403,R$3&amp;"FX"&amp;$C519&amp;"DDF=","BID",R295,"SCOPE:SERVER"),"RT_FALSE")</f>
        <v>RT_FALSE</v>
      </c>
      <c r="S519" s="1" t="str">
        <f>IF(S$467,_xll.RtContribute(S$403,S$3&amp;"FX"&amp;$C519&amp;"DDF=","BID",S295,"SCOPE:SERVER"),"RT_FALSE")</f>
        <v>RT_FALSE</v>
      </c>
      <c r="T519" s="1" t="str">
        <f>IF(T$467,_xll.RtContribute(T$403,T$3&amp;"FX"&amp;$C519&amp;"DDF=","BID",T295,"SCOPE:SERVER"),"RT_FALSE")</f>
        <v>RT_FALSE</v>
      </c>
      <c r="U519" s="1" t="str">
        <f>IF(U$467,_xll.RtContribute(U$403,U$3&amp;"FX"&amp;$C519&amp;"DDF=","BID",U295,"SCOPE:SERVER"),"RT_FALSE")</f>
        <v>RT_FALSE</v>
      </c>
      <c r="V519" s="1" t="str">
        <f>IF(V$467,_xll.RtContribute(V$403,V$3&amp;"FX"&amp;$C519&amp;"DDF=","BID",V295,"SCOPE:SERVER"),"RT_FALSE")</f>
        <v>RT_FALSE</v>
      </c>
      <c r="W519" s="1" t="str">
        <f>IF(W$467,_xll.RtContribute(W$403,W$3&amp;"FX"&amp;$C519&amp;"DDF=","BID",W295,"SCOPE:SERVER"),"RT_FALSE")</f>
        <v>RT_FALSE</v>
      </c>
      <c r="X519" s="1" t="str">
        <f>IF(X$467,_xll.RtContribute(X$403,X$3&amp;"FX"&amp;$C519&amp;"DDF=","BID",X295,"SCOPE:SERVER"),"RT_FALSE")</f>
        <v>RT_FALSE</v>
      </c>
      <c r="Y519" s="1" t="str">
        <f>IF(Y$467,_xll.RtContribute(Y$403,Y$3&amp;"FX"&amp;$C519&amp;"DDF=","BID",Y295,"SCOPE:SERVER"),"RT_FALSE")</f>
        <v>RT_FALSE</v>
      </c>
      <c r="Z519" s="1" t="str">
        <f>IF(Z$467,_xll.RtContribute(Z$403,Z$3&amp;"FX"&amp;$C519&amp;"DDF=","BID",Z295,"SCOPE:SERVER"),"RT_FALSE")</f>
        <v>RT_FALSE</v>
      </c>
      <c r="AA519" s="1" t="str">
        <f>IF(AA$467,_xll.RtContribute(AA$403,AA$3&amp;"FX"&amp;$C519&amp;"DDF=","BID",AA295,"SCOPE:SERVER"),"RT_FALSE")</f>
        <v>RT_FALSE</v>
      </c>
      <c r="AB519" s="1" t="str">
        <f>IF(AB$467,_xll.RtContribute(AB$403,AB$3&amp;"FX"&amp;$C519&amp;"DDF=","BID",AB295,"SCOPE:SERVER"),"RT_FALSE")</f>
        <v>RT_FALSE</v>
      </c>
      <c r="AC519" s="1" t="str">
        <f>IF(AC$467,_xll.RtContribute(AC$403,AC$3&amp;"FX"&amp;$C519&amp;"DDF=","BID",AC295,"SCOPE:SERVER"),"RT_FALSE")</f>
        <v>RT_FALSE</v>
      </c>
      <c r="AD519" s="1" t="str">
        <f>IF(AD$467,_xll.RtContribute(AD$403,AD$3&amp;"FX"&amp;$C519&amp;"DDF=","BID",AD295,"SCOPE:SERVER"),"RT_FALSE")</f>
        <v>RT_FALSE</v>
      </c>
      <c r="AE519" s="1" t="str">
        <f>IF(AE$467,_xll.RtContribute(AE$403,AE$3&amp;"FX"&amp;$C519&amp;"DDF=","BID",AE295,"SCOPE:SERVER"),"RT_FALSE")</f>
        <v>RT_FALSE</v>
      </c>
      <c r="AF519" s="1" t="str">
        <f>IF(AF$467,_xll.RtContribute(AF$403,AF$3&amp;"FX"&amp;$C519&amp;"DDF=","BID",AF295,"SCOPE:SERVER"),"RT_FALSE")</f>
        <v>RT_FALSE</v>
      </c>
      <c r="AG519" s="1" t="str">
        <f>IF(AG$467,_xll.RtContribute(AG$403,AG$3&amp;"FX"&amp;$C519&amp;"DDF=","BID",AG295,"SCOPE:SERVER"),"RT_FALSE")</f>
        <v>RT_FALSE</v>
      </c>
      <c r="AH519" s="1" t="str">
        <f>IF(AH$467,_xll.RtContribute(AH$403,AH$3&amp;"FX"&amp;$C519&amp;"DDF=","BID",AH295,"SCOPE:SERVER"),"RT_FALSE")</f>
        <v>RT_FALSE</v>
      </c>
      <c r="AI519" s="1" t="str">
        <f>IF(AI$467,_xll.RtContribute(AI$403,AI$3&amp;"FX"&amp;$C519&amp;"DDF=","BID",AI295,"SCOPE:SERVER"),"RT_FALSE")</f>
        <v>RT_FALSE</v>
      </c>
      <c r="AJ519" s="1" t="str">
        <f>IF(AJ$467,_xll.RtContribute(AJ$403,AJ$3&amp;"FX"&amp;$C519&amp;"DDF=","BID",AJ295,"SCOPE:SERVER"),"RT_FALSE")</f>
        <v>RT_FALSE</v>
      </c>
      <c r="AK519" s="1" t="str">
        <f>IF(AK$467,_xll.RtContribute(AK$403,AK$3&amp;"FX"&amp;$C519&amp;"DDF=","BID",AK295,"SCOPE:SERVER"),"RT_FALSE")</f>
        <v>RT_FALSE</v>
      </c>
      <c r="AL519" s="1" t="str">
        <f>IF(AL$467,_xll.RtContribute(AL$403,AL$3&amp;"FX"&amp;$C519&amp;"DDF=","BID",AL295,"SCOPE:SERVER"),"RT_FALSE")</f>
        <v>RT_FALSE</v>
      </c>
      <c r="AM519" s="1" t="str">
        <f>IF(AM$467,_xll.RtContribute(AM$403,AM$3&amp;"FX"&amp;$C519&amp;"DDF=","BID",AM295,"SCOPE:SERVER"),"RT_FALSE")</f>
        <v>RT_FALSE</v>
      </c>
      <c r="AN519" s="1" t="str">
        <f>IF(AN$467,_xll.RtContribute(AN$403,AN$3&amp;"FX"&amp;$C519&amp;"DDF=","BID",AN295,"SCOPE:SERVER"),"RT_FALSE")</f>
        <v>RT_FALSE</v>
      </c>
      <c r="AO519" s="1" t="str">
        <f>IF(AO$467,_xll.RtContribute(AO$403,AO$3&amp;"FX"&amp;$C519&amp;"DDF=","BID",AO295,"SCOPE:SERVER"),"RT_FALSE")</f>
        <v>RT_FALSE</v>
      </c>
      <c r="AP519" s="1" t="str">
        <f>IF(AP$467,_xll.RtContribute(AP$403,AP$3&amp;"FX"&amp;$C519&amp;"DDF=","BID",AP295,"SCOPE:SERVER"),"RT_FALSE")</f>
        <v>RT_FALSE</v>
      </c>
    </row>
    <row r="520" spans="2:42" x14ac:dyDescent="0.2">
      <c r="C520" s="1" t="s">
        <v>150</v>
      </c>
      <c r="D520" s="270" t="str">
        <f>IF(D$467,_xll.RtContribute(D$403,D$3&amp;"FX"&amp;$C520&amp;"SDF=","BID",D42,"SCOPE:SERVER"),"RT_FALSE")</f>
        <v>RT_FALSE</v>
      </c>
      <c r="E520" s="270" t="str">
        <f>IF(E$467,_xll.RtContribute(E$403,E$3&amp;"FX"&amp;$C520&amp;"SDF=","BID",E296,"SCOPE:SERVER"),"RT_FALSE")</f>
        <v>RT_FALSE</v>
      </c>
      <c r="F520" s="270" t="str">
        <f>IF(F$467,_xll.RtContribute(F$403,F$3&amp;"FX"&amp;$C520&amp;"SDF=","BID",F296,"SCOPE:SERVER"),"RT_FALSE")</f>
        <v>RT_FALSE</v>
      </c>
      <c r="G520" s="270" t="str">
        <f>IF(G$467,_xll.RtContribute(G$403,G$3&amp;"FX"&amp;$C520&amp;"SDF=","BID",G296,"SCOPE:SERVER"),"RT_FALSE")</f>
        <v>RT_FALSE</v>
      </c>
      <c r="H520" s="270" t="str">
        <f>IF(H$467,_xll.RtContribute(H$403,H$3&amp;"FX"&amp;$C520&amp;"SDF=","BID",H296,"SCOPE:SERVER"),"RT_FALSE")</f>
        <v>RT_FALSE</v>
      </c>
      <c r="I520" s="270" t="str">
        <f>IF(I$467,_xll.RtContribute(I$403,I$3&amp;"FX"&amp;$C520&amp;"SDF=","BID",I296,"SCOPE:SERVER"),"RT_FALSE")</f>
        <v>RT_FALSE</v>
      </c>
      <c r="J520" s="270" t="str">
        <f>IF(J$467,_xll.RtContribute(J$403,J$3&amp;"FX"&amp;$C520&amp;"SDF=","BID",J296,"SCOPE:SERVER"),"RT_FALSE")</f>
        <v>RT_FALSE</v>
      </c>
      <c r="K520" s="270" t="str">
        <f>IF(K$467,_xll.RtContribute(K$403,K$3&amp;"FX"&amp;$C520&amp;"SDF=","BID",K296,"SCOPE:SERVER"),"RT_FALSE")</f>
        <v>RT_FALSE</v>
      </c>
      <c r="L520" s="270" t="str">
        <f>IF(L$467,_xll.RtContribute(L$403,L$3&amp;"FX"&amp;$C520&amp;"SDF=","BID",L296,"SCOPE:SERVER"),"RT_FALSE")</f>
        <v>RT_FALSE</v>
      </c>
      <c r="M520" s="270" t="str">
        <f>IF(M$467,_xll.RtContribute(M$403,M$3&amp;"FX"&amp;$C520&amp;"SDF=","BID",M296,"SCOPE:SERVER"),"RT_FALSE")</f>
        <v>RT_FALSE</v>
      </c>
      <c r="N520" s="270" t="str">
        <f>IF(N$467,_xll.RtContribute(N$403,N$3&amp;"FX"&amp;$C520&amp;"SDF=","BID",N296,"SCOPE:SERVER"),"RT_FALSE")</f>
        <v>RT_FALSE</v>
      </c>
      <c r="O520" s="270" t="str">
        <f>IF(O$467,_xll.RtContribute(O$403,O$3&amp;"FX"&amp;$C520&amp;"SDF=","BID",O296,"SCOPE:SERVER"),"RT_FALSE")</f>
        <v>RT_FALSE</v>
      </c>
      <c r="P520" s="270" t="str">
        <f>IF(P$467,_xll.RtContribute(P$403,P$3&amp;"FX"&amp;$C520&amp;"SDF=","BID",P296,"SCOPE:SERVER"),"RT_FALSE")</f>
        <v>RT_FALSE</v>
      </c>
      <c r="Q520" s="270" t="str">
        <f>IF(Q$467,_xll.RtContribute(Q$403,Q$3&amp;"FX"&amp;$C520&amp;"SDF=","BID",Q296,"SCOPE:SERVER"),"RT_FALSE")</f>
        <v>RT_FALSE</v>
      </c>
      <c r="R520" s="270" t="str">
        <f>IF(R$467,_xll.RtContribute(R$403,R$3&amp;"FX"&amp;$C520&amp;"SDF=","BID",R296,"SCOPE:SERVER"),"RT_FALSE")</f>
        <v>RT_FALSE</v>
      </c>
      <c r="S520" s="270" t="str">
        <f>IF(S$467,_xll.RtContribute(S$403,S$3&amp;"FX"&amp;$C520&amp;"SDF=","BID",S296,"SCOPE:SERVER"),"RT_FALSE")</f>
        <v>RT_FALSE</v>
      </c>
      <c r="T520" s="270" t="str">
        <f>IF(T$467,_xll.RtContribute(T$403,T$3&amp;"FX"&amp;$C520&amp;"SDF=","BID",T296,"SCOPE:SERVER"),"RT_FALSE")</f>
        <v>RT_FALSE</v>
      </c>
      <c r="U520" s="270" t="str">
        <f>IF(U$467,_xll.RtContribute(U$403,U$3&amp;"FX"&amp;$C520&amp;"SDF=","BID",U296,"SCOPE:SERVER"),"RT_FALSE")</f>
        <v>RT_FALSE</v>
      </c>
      <c r="V520" s="270" t="str">
        <f>IF(V$467,_xll.RtContribute(V$403,V$3&amp;"FX"&amp;$C520&amp;"SDF=","BID",V296,"SCOPE:SERVER"),"RT_FALSE")</f>
        <v>RT_FALSE</v>
      </c>
      <c r="W520" s="270" t="str">
        <f>IF(W$467,_xll.RtContribute(W$403,W$3&amp;"FX"&amp;$C520&amp;"SDF=","BID",W296,"SCOPE:SERVER"),"RT_FALSE")</f>
        <v>RT_FALSE</v>
      </c>
      <c r="X520" s="270" t="str">
        <f>IF(X$467,_xll.RtContribute(X$403,X$3&amp;"FX"&amp;$C520&amp;"SDF=","BID",X296,"SCOPE:SERVER"),"RT_FALSE")</f>
        <v>RT_FALSE</v>
      </c>
      <c r="Y520" s="270" t="str">
        <f>IF(Y$467,_xll.RtContribute(Y$403,Y$3&amp;"FX"&amp;$C520&amp;"SDF=","BID",Y296,"SCOPE:SERVER"),"RT_FALSE")</f>
        <v>RT_FALSE</v>
      </c>
      <c r="Z520" s="270" t="str">
        <f>IF(Z$467,_xll.RtContribute(Z$403,Z$3&amp;"FX"&amp;$C520&amp;"SDF=","BID",Z296,"SCOPE:SERVER"),"RT_FALSE")</f>
        <v>RT_FALSE</v>
      </c>
      <c r="AA520" s="270" t="str">
        <f>IF(AA$467,_xll.RtContribute(AA$403,AA$3&amp;"FX"&amp;$C520&amp;"SDF=","BID",AA296,"SCOPE:SERVER"),"RT_FALSE")</f>
        <v>RT_FALSE</v>
      </c>
      <c r="AB520" s="270" t="str">
        <f>IF(AB$467,_xll.RtContribute(AB$403,AB$3&amp;"FX"&amp;$C520&amp;"SDF=","BID",AB296,"SCOPE:SERVER"),"RT_FALSE")</f>
        <v>RT_FALSE</v>
      </c>
      <c r="AC520" s="270" t="str">
        <f>IF(AC$467,_xll.RtContribute(AC$403,AC$3&amp;"FX"&amp;$C520&amp;"SDF=","BID",AC296,"SCOPE:SERVER"),"RT_FALSE")</f>
        <v>RT_FALSE</v>
      </c>
      <c r="AD520" s="270" t="str">
        <f>IF(AD$467,_xll.RtContribute(AD$403,AD$3&amp;"FX"&amp;$C520&amp;"SDF=","BID",AD296,"SCOPE:SERVER"),"RT_FALSE")</f>
        <v>RT_FALSE</v>
      </c>
      <c r="AE520" s="270" t="str">
        <f>IF(AE$467,_xll.RtContribute(AE$403,AE$3&amp;"FX"&amp;$C520&amp;"SDF=","BID",AE296,"SCOPE:SERVER"),"RT_FALSE")</f>
        <v>RT_FALSE</v>
      </c>
      <c r="AF520" s="270" t="str">
        <f>IF(AF$467,_xll.RtContribute(AF$403,AF$3&amp;"FX"&amp;$C520&amp;"SDF=","BID",AF296,"SCOPE:SERVER"),"RT_FALSE")</f>
        <v>RT_FALSE</v>
      </c>
      <c r="AG520" s="270" t="str">
        <f>IF(AG$467,_xll.RtContribute(AG$403,AG$3&amp;"FX"&amp;$C520&amp;"SDF=","BID",AG296,"SCOPE:SERVER"),"RT_FALSE")</f>
        <v>RT_FALSE</v>
      </c>
      <c r="AH520" s="270" t="str">
        <f>IF(AH$467,_xll.RtContribute(AH$403,AH$3&amp;"FX"&amp;$C520&amp;"SDF=","BID",AH296,"SCOPE:SERVER"),"RT_FALSE")</f>
        <v>RT_FALSE</v>
      </c>
      <c r="AI520" s="270" t="str">
        <f>IF(AI$467,_xll.RtContribute(AI$403,AI$3&amp;"FX"&amp;$C520&amp;"SDF=","BID",AI296,"SCOPE:SERVER"),"RT_FALSE")</f>
        <v>RT_FALSE</v>
      </c>
      <c r="AJ520" s="270" t="str">
        <f>IF(AJ$467,_xll.RtContribute(AJ$403,AJ$3&amp;"FX"&amp;$C520&amp;"SDF=","BID",AJ296,"SCOPE:SERVER"),"RT_FALSE")</f>
        <v>RT_FALSE</v>
      </c>
      <c r="AK520" s="270" t="str">
        <f>IF(AK$467,_xll.RtContribute(AK$403,AK$3&amp;"FX"&amp;$C520&amp;"SDF=","BID",AK296,"SCOPE:SERVER"),"RT_FALSE")</f>
        <v>RT_FALSE</v>
      </c>
      <c r="AL520" s="270" t="str">
        <f>IF(AL$467,_xll.RtContribute(AL$403,AL$3&amp;"FX"&amp;$C520&amp;"SDF=","BID",AL296,"SCOPE:SERVER"),"RT_FALSE")</f>
        <v>RT_FALSE</v>
      </c>
      <c r="AM520" s="270" t="str">
        <f>IF(AM$467,_xll.RtContribute(AM$403,AM$3&amp;"FX"&amp;$C520&amp;"SDF=","BID",AM296,"SCOPE:SERVER"),"RT_FALSE")</f>
        <v>RT_FALSE</v>
      </c>
      <c r="AN520" s="270" t="str">
        <f>IF(AN$467,_xll.RtContribute(AN$403,AN$3&amp;"FX"&amp;$C520&amp;"SDF=","BID",AN296,"SCOPE:SERVER"),"RT_FALSE")</f>
        <v>RT_FALSE</v>
      </c>
      <c r="AO520" s="270" t="str">
        <f>IF(AO$467,_xll.RtContribute(AO$403,AO$3&amp;"FX"&amp;$C520&amp;"SDF=","BID",AO296,"SCOPE:SERVER"),"RT_FALSE")</f>
        <v>RT_FALSE</v>
      </c>
      <c r="AP520" s="270" t="str">
        <f>IF(AP$467,_xll.RtContribute(AP$403,AP$3&amp;"FX"&amp;$C520&amp;"SDF=","BID",AP296,"SCOPE:SERVER"),"RT_FALSE")</f>
        <v>RT_FALSE</v>
      </c>
    </row>
    <row r="521" spans="2:42" x14ac:dyDescent="0.2">
      <c r="C521" s="1" t="s">
        <v>153</v>
      </c>
      <c r="D521" s="1" t="str">
        <f>IF(D$467,_xll.RtContribute(D$403,D$3&amp;"FX"&amp;$C521&amp;"SDF=","BID",D43,"SCOPE:SERVER"),"RT_FALSE")</f>
        <v>RT_FALSE</v>
      </c>
      <c r="E521" s="1" t="str">
        <f>IF(E$467,_xll.RtContribute(E$403,E$3&amp;"FX"&amp;$C521&amp;"SDF=","BID",E297,"SCOPE:SERVER"),"RT_FALSE")</f>
        <v>RT_FALSE</v>
      </c>
      <c r="F521" s="1" t="str">
        <f>IF(F$467,_xll.RtContribute(F$403,F$3&amp;"FX"&amp;$C521&amp;"SDF=","BID",F297,"SCOPE:SERVER"),"RT_FALSE")</f>
        <v>RT_FALSE</v>
      </c>
      <c r="G521" s="1" t="str">
        <f>IF(G$467,_xll.RtContribute(G$403,G$3&amp;"FX"&amp;$C521&amp;"SDF=","BID",G297,"SCOPE:SERVER"),"RT_FALSE")</f>
        <v>RT_FALSE</v>
      </c>
      <c r="H521" s="1" t="str">
        <f>IF(H$467,_xll.RtContribute(H$403,H$3&amp;"FX"&amp;$C521&amp;"SDF=","BID",H297,"SCOPE:SERVER"),"RT_FALSE")</f>
        <v>RT_FALSE</v>
      </c>
      <c r="I521" s="1" t="str">
        <f>IF(I$467,_xll.RtContribute(I$403,I$3&amp;"FX"&amp;$C521&amp;"SDF=","BID",I297,"SCOPE:SERVER"),"RT_FALSE")</f>
        <v>RT_FALSE</v>
      </c>
      <c r="J521" s="1" t="str">
        <f>IF(J$467,_xll.RtContribute(J$403,J$3&amp;"FX"&amp;$C521&amp;"SDF=","BID",J297,"SCOPE:SERVER"),"RT_FALSE")</f>
        <v>RT_FALSE</v>
      </c>
      <c r="K521" s="1" t="str">
        <f>IF(K$467,_xll.RtContribute(K$403,K$3&amp;"FX"&amp;$C521&amp;"SDF=","BID",K297,"SCOPE:SERVER"),"RT_FALSE")</f>
        <v>RT_FALSE</v>
      </c>
      <c r="L521" s="1" t="str">
        <f>IF(L$467,_xll.RtContribute(L$403,L$3&amp;"FX"&amp;$C521&amp;"SDF=","BID",L297,"SCOPE:SERVER"),"RT_FALSE")</f>
        <v>RT_FALSE</v>
      </c>
      <c r="M521" s="1" t="str">
        <f>IF(M$467,_xll.RtContribute(M$403,M$3&amp;"FX"&amp;$C521&amp;"SDF=","BID",M297,"SCOPE:SERVER"),"RT_FALSE")</f>
        <v>RT_FALSE</v>
      </c>
      <c r="N521" s="1" t="str">
        <f>IF(N$467,_xll.RtContribute(N$403,N$3&amp;"FX"&amp;$C521&amp;"SDF=","BID",N297,"SCOPE:SERVER"),"RT_FALSE")</f>
        <v>RT_FALSE</v>
      </c>
      <c r="O521" s="1" t="str">
        <f>IF(O$467,_xll.RtContribute(O$403,O$3&amp;"FX"&amp;$C521&amp;"SDF=","BID",O297,"SCOPE:SERVER"),"RT_FALSE")</f>
        <v>RT_FALSE</v>
      </c>
      <c r="P521" s="1" t="str">
        <f>IF(P$467,_xll.RtContribute(P$403,P$3&amp;"FX"&amp;$C521&amp;"SDF=","BID",P297,"SCOPE:SERVER"),"RT_FALSE")</f>
        <v>RT_FALSE</v>
      </c>
      <c r="Q521" s="1" t="str">
        <f>IF(Q$467,_xll.RtContribute(Q$403,Q$3&amp;"FX"&amp;$C521&amp;"SDF=","BID",Q297,"SCOPE:SERVER"),"RT_FALSE")</f>
        <v>RT_FALSE</v>
      </c>
      <c r="R521" s="1" t="str">
        <f>IF(R$467,_xll.RtContribute(R$403,R$3&amp;"FX"&amp;$C521&amp;"SDF=","BID",R297,"SCOPE:SERVER"),"RT_FALSE")</f>
        <v>RT_FALSE</v>
      </c>
      <c r="S521" s="1" t="str">
        <f>IF(S$467,_xll.RtContribute(S$403,S$3&amp;"FX"&amp;$C521&amp;"SDF=","BID",S297,"SCOPE:SERVER"),"RT_FALSE")</f>
        <v>RT_FALSE</v>
      </c>
      <c r="T521" s="1" t="str">
        <f>IF(T$467,_xll.RtContribute(T$403,T$3&amp;"FX"&amp;$C521&amp;"SDF=","BID",T297,"SCOPE:SERVER"),"RT_FALSE")</f>
        <v>RT_FALSE</v>
      </c>
      <c r="U521" s="1" t="str">
        <f>IF(U$467,_xll.RtContribute(U$403,U$3&amp;"FX"&amp;$C521&amp;"SDF=","BID",U297,"SCOPE:SERVER"),"RT_FALSE")</f>
        <v>RT_FALSE</v>
      </c>
      <c r="V521" s="1" t="str">
        <f>IF(V$467,_xll.RtContribute(V$403,V$3&amp;"FX"&amp;$C521&amp;"SDF=","BID",V297,"SCOPE:SERVER"),"RT_FALSE")</f>
        <v>RT_FALSE</v>
      </c>
      <c r="W521" s="1" t="str">
        <f>IF(W$467,_xll.RtContribute(W$403,W$3&amp;"FX"&amp;$C521&amp;"SDF=","BID",W297,"SCOPE:SERVER"),"RT_FALSE")</f>
        <v>RT_FALSE</v>
      </c>
      <c r="X521" s="1" t="str">
        <f>IF(X$467,_xll.RtContribute(X$403,X$3&amp;"FX"&amp;$C521&amp;"SDF=","BID",X297,"SCOPE:SERVER"),"RT_FALSE")</f>
        <v>RT_FALSE</v>
      </c>
      <c r="Y521" s="1" t="str">
        <f>IF(Y$467,_xll.RtContribute(Y$403,Y$3&amp;"FX"&amp;$C521&amp;"SDF=","BID",Y297,"SCOPE:SERVER"),"RT_FALSE")</f>
        <v>RT_FALSE</v>
      </c>
      <c r="Z521" s="1" t="str">
        <f>IF(Z$467,_xll.RtContribute(Z$403,Z$3&amp;"FX"&amp;$C521&amp;"SDF=","BID",Z297,"SCOPE:SERVER"),"RT_FALSE")</f>
        <v>RT_FALSE</v>
      </c>
      <c r="AA521" s="1" t="str">
        <f>IF(AA$467,_xll.RtContribute(AA$403,AA$3&amp;"FX"&amp;$C521&amp;"SDF=","BID",AA297,"SCOPE:SERVER"),"RT_FALSE")</f>
        <v>RT_FALSE</v>
      </c>
      <c r="AB521" s="1" t="str">
        <f>IF(AB$467,_xll.RtContribute(AB$403,AB$3&amp;"FX"&amp;$C521&amp;"SDF=","BID",AB297,"SCOPE:SERVER"),"RT_FALSE")</f>
        <v>RT_FALSE</v>
      </c>
      <c r="AC521" s="1" t="str">
        <f>IF(AC$467,_xll.RtContribute(AC$403,AC$3&amp;"FX"&amp;$C521&amp;"SDF=","BID",AC297,"SCOPE:SERVER"),"RT_FALSE")</f>
        <v>RT_FALSE</v>
      </c>
      <c r="AD521" s="1" t="str">
        <f>IF(AD$467,_xll.RtContribute(AD$403,AD$3&amp;"FX"&amp;$C521&amp;"SDF=","BID",AD297,"SCOPE:SERVER"),"RT_FALSE")</f>
        <v>RT_FALSE</v>
      </c>
      <c r="AE521" s="1" t="str">
        <f>IF(AE$467,_xll.RtContribute(AE$403,AE$3&amp;"FX"&amp;$C521&amp;"SDF=","BID",AE297,"SCOPE:SERVER"),"RT_FALSE")</f>
        <v>RT_FALSE</v>
      </c>
      <c r="AF521" s="1" t="str">
        <f>IF(AF$467,_xll.RtContribute(AF$403,AF$3&amp;"FX"&amp;$C521&amp;"SDF=","BID",AF297,"SCOPE:SERVER"),"RT_FALSE")</f>
        <v>RT_FALSE</v>
      </c>
      <c r="AG521" s="1" t="str">
        <f>IF(AG$467,_xll.RtContribute(AG$403,AG$3&amp;"FX"&amp;$C521&amp;"SDF=","BID",AG297,"SCOPE:SERVER"),"RT_FALSE")</f>
        <v>RT_FALSE</v>
      </c>
      <c r="AH521" s="1" t="str">
        <f>IF(AH$467,_xll.RtContribute(AH$403,AH$3&amp;"FX"&amp;$C521&amp;"SDF=","BID",AH297,"SCOPE:SERVER"),"RT_FALSE")</f>
        <v>RT_FALSE</v>
      </c>
      <c r="AI521" s="1" t="str">
        <f>IF(AI$467,_xll.RtContribute(AI$403,AI$3&amp;"FX"&amp;$C521&amp;"SDF=","BID",AI297,"SCOPE:SERVER"),"RT_FALSE")</f>
        <v>RT_FALSE</v>
      </c>
      <c r="AJ521" s="1" t="str">
        <f>IF(AJ$467,_xll.RtContribute(AJ$403,AJ$3&amp;"FX"&amp;$C521&amp;"SDF=","BID",AJ297,"SCOPE:SERVER"),"RT_FALSE")</f>
        <v>RT_FALSE</v>
      </c>
      <c r="AK521" s="1" t="str">
        <f>IF(AK$467,_xll.RtContribute(AK$403,AK$3&amp;"FX"&amp;$C521&amp;"SDF=","BID",AK297,"SCOPE:SERVER"),"RT_FALSE")</f>
        <v>RT_FALSE</v>
      </c>
      <c r="AL521" s="1" t="str">
        <f>IF(AL$467,_xll.RtContribute(AL$403,AL$3&amp;"FX"&amp;$C521&amp;"SDF=","BID",AL297,"SCOPE:SERVER"),"RT_FALSE")</f>
        <v>RT_FALSE</v>
      </c>
      <c r="AM521" s="1" t="str">
        <f>IF(AM$467,_xll.RtContribute(AM$403,AM$3&amp;"FX"&amp;$C521&amp;"SDF=","BID",AM297,"SCOPE:SERVER"),"RT_FALSE")</f>
        <v>RT_FALSE</v>
      </c>
      <c r="AN521" s="1" t="str">
        <f>IF(AN$467,_xll.RtContribute(AN$403,AN$3&amp;"FX"&amp;$C521&amp;"SDF=","BID",AN297,"SCOPE:SERVER"),"RT_FALSE")</f>
        <v>RT_FALSE</v>
      </c>
      <c r="AO521" s="1" t="str">
        <f>IF(AO$467,_xll.RtContribute(AO$403,AO$3&amp;"FX"&amp;$C521&amp;"SDF=","BID",AO297,"SCOPE:SERVER"),"RT_FALSE")</f>
        <v>RT_FALSE</v>
      </c>
      <c r="AP521" s="1" t="str">
        <f>IF(AP$467,_xll.RtContribute(AP$403,AP$3&amp;"FX"&amp;$C521&amp;"SDF=","BID",AP297,"SCOPE:SERVER"),"RT_FALSE")</f>
        <v>RT_FALSE</v>
      </c>
    </row>
    <row r="522" spans="2:42" x14ac:dyDescent="0.2">
      <c r="C522" s="1" t="s">
        <v>156</v>
      </c>
      <c r="D522" s="1" t="str">
        <f>IF(D$467,_xll.RtContribute(D$403,D$3&amp;"FX"&amp;$C522&amp;"SDF=","BID",D44,"SCOPE:SERVER"),"RT_FALSE")</f>
        <v>RT_FALSE</v>
      </c>
      <c r="E522" s="1" t="str">
        <f>IF(E$467,_xll.RtContribute(E$403,E$3&amp;"FX"&amp;$C522&amp;"SDF=","BID",E298,"SCOPE:SERVER"),"RT_FALSE")</f>
        <v>RT_FALSE</v>
      </c>
      <c r="F522" s="1" t="str">
        <f>IF(F$467,_xll.RtContribute(F$403,F$3&amp;"FX"&amp;$C522&amp;"SDF=","BID",F298,"SCOPE:SERVER"),"RT_FALSE")</f>
        <v>RT_FALSE</v>
      </c>
      <c r="G522" s="1" t="str">
        <f>IF(G$467,_xll.RtContribute(G$403,G$3&amp;"FX"&amp;$C522&amp;"SDF=","BID",G298,"SCOPE:SERVER"),"RT_FALSE")</f>
        <v>RT_FALSE</v>
      </c>
      <c r="H522" s="1" t="str">
        <f>IF(H$467,_xll.RtContribute(H$403,H$3&amp;"FX"&amp;$C522&amp;"SDF=","BID",H298,"SCOPE:SERVER"),"RT_FALSE")</f>
        <v>RT_FALSE</v>
      </c>
      <c r="I522" s="1" t="str">
        <f>IF(I$467,_xll.RtContribute(I$403,I$3&amp;"FX"&amp;$C522&amp;"SDF=","BID",I298,"SCOPE:SERVER"),"RT_FALSE")</f>
        <v>RT_FALSE</v>
      </c>
      <c r="J522" s="1" t="str">
        <f>IF(J$467,_xll.RtContribute(J$403,J$3&amp;"FX"&amp;$C522&amp;"SDF=","BID",J298,"SCOPE:SERVER"),"RT_FALSE")</f>
        <v>RT_FALSE</v>
      </c>
      <c r="K522" s="1" t="str">
        <f>IF(K$467,_xll.RtContribute(K$403,K$3&amp;"FX"&amp;$C522&amp;"SDF=","BID",K298,"SCOPE:SERVER"),"RT_FALSE")</f>
        <v>RT_FALSE</v>
      </c>
      <c r="L522" s="1" t="str">
        <f>IF(L$467,_xll.RtContribute(L$403,L$3&amp;"FX"&amp;$C522&amp;"SDF=","BID",L298,"SCOPE:SERVER"),"RT_FALSE")</f>
        <v>RT_FALSE</v>
      </c>
      <c r="M522" s="1" t="str">
        <f>IF(M$467,_xll.RtContribute(M$403,M$3&amp;"FX"&amp;$C522&amp;"SDF=","BID",M298,"SCOPE:SERVER"),"RT_FALSE")</f>
        <v>RT_FALSE</v>
      </c>
      <c r="N522" s="1" t="str">
        <f>IF(N$467,_xll.RtContribute(N$403,N$3&amp;"FX"&amp;$C522&amp;"SDF=","BID",N298,"SCOPE:SERVER"),"RT_FALSE")</f>
        <v>RT_FALSE</v>
      </c>
      <c r="O522" s="1" t="str">
        <f>IF(O$467,_xll.RtContribute(O$403,O$3&amp;"FX"&amp;$C522&amp;"SDF=","BID",O298,"SCOPE:SERVER"),"RT_FALSE")</f>
        <v>RT_FALSE</v>
      </c>
      <c r="P522" s="1" t="str">
        <f>IF(P$467,_xll.RtContribute(P$403,P$3&amp;"FX"&amp;$C522&amp;"SDF=","BID",P298,"SCOPE:SERVER"),"RT_FALSE")</f>
        <v>RT_FALSE</v>
      </c>
      <c r="Q522" s="1" t="str">
        <f>IF(Q$467,_xll.RtContribute(Q$403,Q$3&amp;"FX"&amp;$C522&amp;"SDF=","BID",Q298,"SCOPE:SERVER"),"RT_FALSE")</f>
        <v>RT_FALSE</v>
      </c>
      <c r="R522" s="1" t="str">
        <f>IF(R$467,_xll.RtContribute(R$403,R$3&amp;"FX"&amp;$C522&amp;"SDF=","BID",R298,"SCOPE:SERVER"),"RT_FALSE")</f>
        <v>RT_FALSE</v>
      </c>
      <c r="S522" s="1" t="str">
        <f>IF(S$467,_xll.RtContribute(S$403,S$3&amp;"FX"&amp;$C522&amp;"SDF=","BID",S298,"SCOPE:SERVER"),"RT_FALSE")</f>
        <v>RT_FALSE</v>
      </c>
      <c r="T522" s="1" t="str">
        <f>IF(T$467,_xll.RtContribute(T$403,T$3&amp;"FX"&amp;$C522&amp;"SDF=","BID",T298,"SCOPE:SERVER"),"RT_FALSE")</f>
        <v>RT_FALSE</v>
      </c>
      <c r="U522" s="1" t="str">
        <f>IF(U$467,_xll.RtContribute(U$403,U$3&amp;"FX"&amp;$C522&amp;"SDF=","BID",U298,"SCOPE:SERVER"),"RT_FALSE")</f>
        <v>RT_FALSE</v>
      </c>
      <c r="V522" s="1" t="str">
        <f>IF(V$467,_xll.RtContribute(V$403,V$3&amp;"FX"&amp;$C522&amp;"SDF=","BID",V298,"SCOPE:SERVER"),"RT_FALSE")</f>
        <v>RT_FALSE</v>
      </c>
      <c r="W522" s="1" t="str">
        <f>IF(W$467,_xll.RtContribute(W$403,W$3&amp;"FX"&amp;$C522&amp;"SDF=","BID",W298,"SCOPE:SERVER"),"RT_FALSE")</f>
        <v>RT_FALSE</v>
      </c>
      <c r="X522" s="1" t="str">
        <f>IF(X$467,_xll.RtContribute(X$403,X$3&amp;"FX"&amp;$C522&amp;"SDF=","BID",X298,"SCOPE:SERVER"),"RT_FALSE")</f>
        <v>RT_FALSE</v>
      </c>
      <c r="Y522" s="1" t="str">
        <f>IF(Y$467,_xll.RtContribute(Y$403,Y$3&amp;"FX"&amp;$C522&amp;"SDF=","BID",Y298,"SCOPE:SERVER"),"RT_FALSE")</f>
        <v>RT_FALSE</v>
      </c>
      <c r="Z522" s="1" t="str">
        <f>IF(Z$467,_xll.RtContribute(Z$403,Z$3&amp;"FX"&amp;$C522&amp;"SDF=","BID",Z298,"SCOPE:SERVER"),"RT_FALSE")</f>
        <v>RT_FALSE</v>
      </c>
      <c r="AA522" s="1" t="str">
        <f>IF(AA$467,_xll.RtContribute(AA$403,AA$3&amp;"FX"&amp;$C522&amp;"SDF=","BID",AA298,"SCOPE:SERVER"),"RT_FALSE")</f>
        <v>RT_FALSE</v>
      </c>
      <c r="AB522" s="1" t="str">
        <f>IF(AB$467,_xll.RtContribute(AB$403,AB$3&amp;"FX"&amp;$C522&amp;"SDF=","BID",AB298,"SCOPE:SERVER"),"RT_FALSE")</f>
        <v>RT_FALSE</v>
      </c>
      <c r="AC522" s="1" t="str">
        <f>IF(AC$467,_xll.RtContribute(AC$403,AC$3&amp;"FX"&amp;$C522&amp;"SDF=","BID",AC298,"SCOPE:SERVER"),"RT_FALSE")</f>
        <v>RT_FALSE</v>
      </c>
      <c r="AD522" s="1" t="str">
        <f>IF(AD$467,_xll.RtContribute(AD$403,AD$3&amp;"FX"&amp;$C522&amp;"SDF=","BID",AD298,"SCOPE:SERVER"),"RT_FALSE")</f>
        <v>RT_FALSE</v>
      </c>
      <c r="AE522" s="1" t="str">
        <f>IF(AE$467,_xll.RtContribute(AE$403,AE$3&amp;"FX"&amp;$C522&amp;"SDF=","BID",AE298,"SCOPE:SERVER"),"RT_FALSE")</f>
        <v>RT_FALSE</v>
      </c>
      <c r="AF522" s="1" t="str">
        <f>IF(AF$467,_xll.RtContribute(AF$403,AF$3&amp;"FX"&amp;$C522&amp;"SDF=","BID",AF298,"SCOPE:SERVER"),"RT_FALSE")</f>
        <v>RT_FALSE</v>
      </c>
      <c r="AG522" s="1" t="str">
        <f>IF(AG$467,_xll.RtContribute(AG$403,AG$3&amp;"FX"&amp;$C522&amp;"SDF=","BID",AG298,"SCOPE:SERVER"),"RT_FALSE")</f>
        <v>RT_FALSE</v>
      </c>
      <c r="AH522" s="1" t="str">
        <f>IF(AH$467,_xll.RtContribute(AH$403,AH$3&amp;"FX"&amp;$C522&amp;"SDF=","BID",AH298,"SCOPE:SERVER"),"RT_FALSE")</f>
        <v>RT_FALSE</v>
      </c>
      <c r="AI522" s="1" t="str">
        <f>IF(AI$467,_xll.RtContribute(AI$403,AI$3&amp;"FX"&amp;$C522&amp;"SDF=","BID",AI298,"SCOPE:SERVER"),"RT_FALSE")</f>
        <v>RT_FALSE</v>
      </c>
      <c r="AJ522" s="1" t="str">
        <f>IF(AJ$467,_xll.RtContribute(AJ$403,AJ$3&amp;"FX"&amp;$C522&amp;"SDF=","BID",AJ298,"SCOPE:SERVER"),"RT_FALSE")</f>
        <v>RT_FALSE</v>
      </c>
      <c r="AK522" s="1" t="str">
        <f>IF(AK$467,_xll.RtContribute(AK$403,AK$3&amp;"FX"&amp;$C522&amp;"SDF=","BID",AK298,"SCOPE:SERVER"),"RT_FALSE")</f>
        <v>RT_FALSE</v>
      </c>
      <c r="AL522" s="1" t="str">
        <f>IF(AL$467,_xll.RtContribute(AL$403,AL$3&amp;"FX"&amp;$C522&amp;"SDF=","BID",AL298,"SCOPE:SERVER"),"RT_FALSE")</f>
        <v>RT_FALSE</v>
      </c>
      <c r="AM522" s="1" t="str">
        <f>IF(AM$467,_xll.RtContribute(AM$403,AM$3&amp;"FX"&amp;$C522&amp;"SDF=","BID",AM298,"SCOPE:SERVER"),"RT_FALSE")</f>
        <v>RT_FALSE</v>
      </c>
      <c r="AN522" s="1" t="str">
        <f>IF(AN$467,_xll.RtContribute(AN$403,AN$3&amp;"FX"&amp;$C522&amp;"SDF=","BID",AN298,"SCOPE:SERVER"),"RT_FALSE")</f>
        <v>RT_FALSE</v>
      </c>
      <c r="AO522" s="1" t="str">
        <f>IF(AO$467,_xll.RtContribute(AO$403,AO$3&amp;"FX"&amp;$C522&amp;"SDF=","BID",AO298,"SCOPE:SERVER"),"RT_FALSE")</f>
        <v>RT_FALSE</v>
      </c>
      <c r="AP522" s="1" t="str">
        <f>IF(AP$467,_xll.RtContribute(AP$403,AP$3&amp;"FX"&amp;$C522&amp;"SDF=","BID",AP298,"SCOPE:SERVER"),"RT_FALSE")</f>
        <v>RT_FALSE</v>
      </c>
    </row>
    <row r="523" spans="2:42" x14ac:dyDescent="0.2">
      <c r="C523" s="1" t="s">
        <v>157</v>
      </c>
      <c r="D523" s="1" t="str">
        <f>IF(D$467,_xll.RtContribute(D$403,D$3&amp;"FX"&amp;$C523&amp;"SDF=","BID",D45,"SCOPE:SERVER"),"RT_FALSE")</f>
        <v>RT_FALSE</v>
      </c>
      <c r="E523" s="1" t="str">
        <f>IF(E$467,_xll.RtContribute(E$403,E$3&amp;"FX"&amp;$C523&amp;"SDF=","BID",E299,"SCOPE:SERVER"),"RT_FALSE")</f>
        <v>RT_FALSE</v>
      </c>
      <c r="F523" s="1" t="str">
        <f>IF(F$467,_xll.RtContribute(F$403,F$3&amp;"FX"&amp;$C523&amp;"SDF=","BID",F299,"SCOPE:SERVER"),"RT_FALSE")</f>
        <v>RT_FALSE</v>
      </c>
      <c r="G523" s="1" t="str">
        <f>IF(G$467,_xll.RtContribute(G$403,G$3&amp;"FX"&amp;$C523&amp;"SDF=","BID",G299,"SCOPE:SERVER"),"RT_FALSE")</f>
        <v>RT_FALSE</v>
      </c>
      <c r="H523" s="1" t="str">
        <f>IF(H$467,_xll.RtContribute(H$403,H$3&amp;"FX"&amp;$C523&amp;"SDF=","BID",H299,"SCOPE:SERVER"),"RT_FALSE")</f>
        <v>RT_FALSE</v>
      </c>
      <c r="I523" s="1" t="str">
        <f>IF(I$467,_xll.RtContribute(I$403,I$3&amp;"FX"&amp;$C523&amp;"SDF=","BID",I299,"SCOPE:SERVER"),"RT_FALSE")</f>
        <v>RT_FALSE</v>
      </c>
      <c r="J523" s="1" t="str">
        <f>IF(J$467,_xll.RtContribute(J$403,J$3&amp;"FX"&amp;$C523&amp;"SDF=","BID",J299,"SCOPE:SERVER"),"RT_FALSE")</f>
        <v>RT_FALSE</v>
      </c>
      <c r="K523" s="1" t="str">
        <f>IF(K$467,_xll.RtContribute(K$403,K$3&amp;"FX"&amp;$C523&amp;"SDF=","BID",K299,"SCOPE:SERVER"),"RT_FALSE")</f>
        <v>RT_FALSE</v>
      </c>
      <c r="L523" s="1" t="str">
        <f>IF(L$467,_xll.RtContribute(L$403,L$3&amp;"FX"&amp;$C523&amp;"SDF=","BID",L299,"SCOPE:SERVER"),"RT_FALSE")</f>
        <v>RT_FALSE</v>
      </c>
      <c r="M523" s="1" t="str">
        <f>IF(M$467,_xll.RtContribute(M$403,M$3&amp;"FX"&amp;$C523&amp;"SDF=","BID",M299,"SCOPE:SERVER"),"RT_FALSE")</f>
        <v>RT_FALSE</v>
      </c>
      <c r="N523" s="1" t="str">
        <f>IF(N$467,_xll.RtContribute(N$403,N$3&amp;"FX"&amp;$C523&amp;"SDF=","BID",N299,"SCOPE:SERVER"),"RT_FALSE")</f>
        <v>RT_FALSE</v>
      </c>
      <c r="O523" s="1" t="str">
        <f>IF(O$467,_xll.RtContribute(O$403,O$3&amp;"FX"&amp;$C523&amp;"SDF=","BID",O299,"SCOPE:SERVER"),"RT_FALSE")</f>
        <v>RT_FALSE</v>
      </c>
      <c r="P523" s="1" t="str">
        <f>IF(P$467,_xll.RtContribute(P$403,P$3&amp;"FX"&amp;$C523&amp;"SDF=","BID",P299,"SCOPE:SERVER"),"RT_FALSE")</f>
        <v>RT_FALSE</v>
      </c>
      <c r="Q523" s="1" t="str">
        <f>IF(Q$467,_xll.RtContribute(Q$403,Q$3&amp;"FX"&amp;$C523&amp;"SDF=","BID",Q299,"SCOPE:SERVER"),"RT_FALSE")</f>
        <v>RT_FALSE</v>
      </c>
      <c r="R523" s="1" t="str">
        <f>IF(R$467,_xll.RtContribute(R$403,R$3&amp;"FX"&amp;$C523&amp;"SDF=","BID",R299,"SCOPE:SERVER"),"RT_FALSE")</f>
        <v>RT_FALSE</v>
      </c>
      <c r="S523" s="1" t="str">
        <f>IF(S$467,_xll.RtContribute(S$403,S$3&amp;"FX"&amp;$C523&amp;"SDF=","BID",S299,"SCOPE:SERVER"),"RT_FALSE")</f>
        <v>RT_FALSE</v>
      </c>
      <c r="T523" s="1" t="str">
        <f>IF(T$467,_xll.RtContribute(T$403,T$3&amp;"FX"&amp;$C523&amp;"SDF=","BID",T299,"SCOPE:SERVER"),"RT_FALSE")</f>
        <v>RT_FALSE</v>
      </c>
      <c r="U523" s="1" t="str">
        <f>IF(U$467,_xll.RtContribute(U$403,U$3&amp;"FX"&amp;$C523&amp;"SDF=","BID",U299,"SCOPE:SERVER"),"RT_FALSE")</f>
        <v>RT_FALSE</v>
      </c>
      <c r="V523" s="1" t="str">
        <f>IF(V$467,_xll.RtContribute(V$403,V$3&amp;"FX"&amp;$C523&amp;"SDF=","BID",V299,"SCOPE:SERVER"),"RT_FALSE")</f>
        <v>RT_FALSE</v>
      </c>
      <c r="W523" s="1" t="str">
        <f>IF(W$467,_xll.RtContribute(W$403,W$3&amp;"FX"&amp;$C523&amp;"SDF=","BID",W299,"SCOPE:SERVER"),"RT_FALSE")</f>
        <v>RT_FALSE</v>
      </c>
      <c r="X523" s="1" t="str">
        <f>IF(X$467,_xll.RtContribute(X$403,X$3&amp;"FX"&amp;$C523&amp;"SDF=","BID",X299,"SCOPE:SERVER"),"RT_FALSE")</f>
        <v>RT_FALSE</v>
      </c>
      <c r="Y523" s="1" t="str">
        <f>IF(Y$467,_xll.RtContribute(Y$403,Y$3&amp;"FX"&amp;$C523&amp;"SDF=","BID",Y299,"SCOPE:SERVER"),"RT_FALSE")</f>
        <v>RT_FALSE</v>
      </c>
      <c r="Z523" s="1" t="str">
        <f>IF(Z$467,_xll.RtContribute(Z$403,Z$3&amp;"FX"&amp;$C523&amp;"SDF=","BID",Z299,"SCOPE:SERVER"),"RT_FALSE")</f>
        <v>RT_FALSE</v>
      </c>
      <c r="AA523" s="1" t="str">
        <f>IF(AA$467,_xll.RtContribute(AA$403,AA$3&amp;"FX"&amp;$C523&amp;"SDF=","BID",AA299,"SCOPE:SERVER"),"RT_FALSE")</f>
        <v>RT_FALSE</v>
      </c>
      <c r="AB523" s="1" t="str">
        <f>IF(AB$467,_xll.RtContribute(AB$403,AB$3&amp;"FX"&amp;$C523&amp;"SDF=","BID",AB299,"SCOPE:SERVER"),"RT_FALSE")</f>
        <v>RT_FALSE</v>
      </c>
      <c r="AC523" s="1" t="str">
        <f>IF(AC$467,_xll.RtContribute(AC$403,AC$3&amp;"FX"&amp;$C523&amp;"SDF=","BID",AC299,"SCOPE:SERVER"),"RT_FALSE")</f>
        <v>RT_FALSE</v>
      </c>
      <c r="AD523" s="1" t="str">
        <f>IF(AD$467,_xll.RtContribute(AD$403,AD$3&amp;"FX"&amp;$C523&amp;"SDF=","BID",AD299,"SCOPE:SERVER"),"RT_FALSE")</f>
        <v>RT_FALSE</v>
      </c>
      <c r="AE523" s="1" t="str">
        <f>IF(AE$467,_xll.RtContribute(AE$403,AE$3&amp;"FX"&amp;$C523&amp;"SDF=","BID",AE299,"SCOPE:SERVER"),"RT_FALSE")</f>
        <v>RT_FALSE</v>
      </c>
      <c r="AF523" s="1" t="str">
        <f>IF(AF$467,_xll.RtContribute(AF$403,AF$3&amp;"FX"&amp;$C523&amp;"SDF=","BID",AF299,"SCOPE:SERVER"),"RT_FALSE")</f>
        <v>RT_FALSE</v>
      </c>
      <c r="AG523" s="1" t="str">
        <f>IF(AG$467,_xll.RtContribute(AG$403,AG$3&amp;"FX"&amp;$C523&amp;"SDF=","BID",AG299,"SCOPE:SERVER"),"RT_FALSE")</f>
        <v>RT_FALSE</v>
      </c>
      <c r="AH523" s="1" t="str">
        <f>IF(AH$467,_xll.RtContribute(AH$403,AH$3&amp;"FX"&amp;$C523&amp;"SDF=","BID",AH299,"SCOPE:SERVER"),"RT_FALSE")</f>
        <v>RT_FALSE</v>
      </c>
      <c r="AI523" s="1" t="str">
        <f>IF(AI$467,_xll.RtContribute(AI$403,AI$3&amp;"FX"&amp;$C523&amp;"SDF=","BID",AI299,"SCOPE:SERVER"),"RT_FALSE")</f>
        <v>RT_FALSE</v>
      </c>
      <c r="AJ523" s="1" t="str">
        <f>IF(AJ$467,_xll.RtContribute(AJ$403,AJ$3&amp;"FX"&amp;$C523&amp;"SDF=","BID",AJ299,"SCOPE:SERVER"),"RT_FALSE")</f>
        <v>RT_FALSE</v>
      </c>
      <c r="AK523" s="1" t="str">
        <f>IF(AK$467,_xll.RtContribute(AK$403,AK$3&amp;"FX"&amp;$C523&amp;"SDF=","BID",AK299,"SCOPE:SERVER"),"RT_FALSE")</f>
        <v>RT_FALSE</v>
      </c>
      <c r="AL523" s="1" t="str">
        <f>IF(AL$467,_xll.RtContribute(AL$403,AL$3&amp;"FX"&amp;$C523&amp;"SDF=","BID",AL299,"SCOPE:SERVER"),"RT_FALSE")</f>
        <v>RT_FALSE</v>
      </c>
      <c r="AM523" s="1" t="str">
        <f>IF(AM$467,_xll.RtContribute(AM$403,AM$3&amp;"FX"&amp;$C523&amp;"SDF=","BID",AM299,"SCOPE:SERVER"),"RT_FALSE")</f>
        <v>RT_FALSE</v>
      </c>
      <c r="AN523" s="1" t="str">
        <f>IF(AN$467,_xll.RtContribute(AN$403,AN$3&amp;"FX"&amp;$C523&amp;"SDF=","BID",AN299,"SCOPE:SERVER"),"RT_FALSE")</f>
        <v>RT_FALSE</v>
      </c>
      <c r="AO523" s="1" t="str">
        <f>IF(AO$467,_xll.RtContribute(AO$403,AO$3&amp;"FX"&amp;$C523&amp;"SDF=","BID",AO299,"SCOPE:SERVER"),"RT_FALSE")</f>
        <v>RT_FALSE</v>
      </c>
      <c r="AP523" s="1" t="str">
        <f>IF(AP$467,_xll.RtContribute(AP$403,AP$3&amp;"FX"&amp;$C523&amp;"SDF=","BID",AP299,"SCOPE:SERVER"),"RT_FALSE")</f>
        <v>RT_FALSE</v>
      </c>
    </row>
    <row r="524" spans="2:42" x14ac:dyDescent="0.2">
      <c r="C524" s="1" t="s">
        <v>158</v>
      </c>
      <c r="D524" s="1" t="str">
        <f>IF(D$467,_xll.RtContribute(D$403,D$3&amp;"FX"&amp;$C524&amp;"SDF=","BID",D46,"SCOPE:SERVER"),"RT_FALSE")</f>
        <v>RT_FALSE</v>
      </c>
      <c r="E524" s="1" t="str">
        <f>IF(E$467,_xll.RtContribute(E$403,E$3&amp;"FX"&amp;$C524&amp;"SDF=","BID",E300,"SCOPE:SERVER"),"RT_FALSE")</f>
        <v>RT_FALSE</v>
      </c>
      <c r="F524" s="1" t="str">
        <f>IF(F$467,_xll.RtContribute(F$403,F$3&amp;"FX"&amp;$C524&amp;"SDF=","BID",F300,"SCOPE:SERVER"),"RT_FALSE")</f>
        <v>RT_FALSE</v>
      </c>
      <c r="G524" s="1" t="str">
        <f>IF(G$467,_xll.RtContribute(G$403,G$3&amp;"FX"&amp;$C524&amp;"SDF=","BID",G300,"SCOPE:SERVER"),"RT_FALSE")</f>
        <v>RT_FALSE</v>
      </c>
      <c r="H524" s="1" t="str">
        <f>IF(H$467,_xll.RtContribute(H$403,H$3&amp;"FX"&amp;$C524&amp;"SDF=","BID",H300,"SCOPE:SERVER"),"RT_FALSE")</f>
        <v>RT_FALSE</v>
      </c>
      <c r="I524" s="1" t="str">
        <f>IF(I$467,_xll.RtContribute(I$403,I$3&amp;"FX"&amp;$C524&amp;"SDF=","BID",I300,"SCOPE:SERVER"),"RT_FALSE")</f>
        <v>RT_FALSE</v>
      </c>
      <c r="J524" s="1" t="str">
        <f>IF(J$467,_xll.RtContribute(J$403,J$3&amp;"FX"&amp;$C524&amp;"SDF=","BID",J300,"SCOPE:SERVER"),"RT_FALSE")</f>
        <v>RT_FALSE</v>
      </c>
      <c r="K524" s="1" t="str">
        <f>IF(K$467,_xll.RtContribute(K$403,K$3&amp;"FX"&amp;$C524&amp;"SDF=","BID",K300,"SCOPE:SERVER"),"RT_FALSE")</f>
        <v>RT_FALSE</v>
      </c>
      <c r="L524" s="1" t="str">
        <f>IF(L$467,_xll.RtContribute(L$403,L$3&amp;"FX"&amp;$C524&amp;"SDF=","BID",L300,"SCOPE:SERVER"),"RT_FALSE")</f>
        <v>RT_FALSE</v>
      </c>
      <c r="M524" s="1" t="str">
        <f>IF(M$467,_xll.RtContribute(M$403,M$3&amp;"FX"&amp;$C524&amp;"SDF=","BID",M300,"SCOPE:SERVER"),"RT_FALSE")</f>
        <v>RT_FALSE</v>
      </c>
      <c r="N524" s="1" t="str">
        <f>IF(N$467,_xll.RtContribute(N$403,N$3&amp;"FX"&amp;$C524&amp;"SDF=","BID",N300,"SCOPE:SERVER"),"RT_FALSE")</f>
        <v>RT_FALSE</v>
      </c>
      <c r="O524" s="1" t="str">
        <f>IF(O$467,_xll.RtContribute(O$403,O$3&amp;"FX"&amp;$C524&amp;"SDF=","BID",O300,"SCOPE:SERVER"),"RT_FALSE")</f>
        <v>RT_FALSE</v>
      </c>
      <c r="P524" s="1" t="str">
        <f>IF(P$467,_xll.RtContribute(P$403,P$3&amp;"FX"&amp;$C524&amp;"SDF=","BID",P300,"SCOPE:SERVER"),"RT_FALSE")</f>
        <v>RT_FALSE</v>
      </c>
      <c r="Q524" s="1" t="str">
        <f>IF(Q$467,_xll.RtContribute(Q$403,Q$3&amp;"FX"&amp;$C524&amp;"SDF=","BID",Q300,"SCOPE:SERVER"),"RT_FALSE")</f>
        <v>RT_FALSE</v>
      </c>
      <c r="R524" s="1" t="str">
        <f>IF(R$467,_xll.RtContribute(R$403,R$3&amp;"FX"&amp;$C524&amp;"SDF=","BID",R300,"SCOPE:SERVER"),"RT_FALSE")</f>
        <v>RT_FALSE</v>
      </c>
      <c r="S524" s="1" t="str">
        <f>IF(S$467,_xll.RtContribute(S$403,S$3&amp;"FX"&amp;$C524&amp;"SDF=","BID",S300,"SCOPE:SERVER"),"RT_FALSE")</f>
        <v>RT_FALSE</v>
      </c>
      <c r="T524" s="1" t="str">
        <f>IF(T$467,_xll.RtContribute(T$403,T$3&amp;"FX"&amp;$C524&amp;"SDF=","BID",T300,"SCOPE:SERVER"),"RT_FALSE")</f>
        <v>RT_FALSE</v>
      </c>
      <c r="U524" s="1" t="str">
        <f>IF(U$467,_xll.RtContribute(U$403,U$3&amp;"FX"&amp;$C524&amp;"SDF=","BID",U300,"SCOPE:SERVER"),"RT_FALSE")</f>
        <v>RT_FALSE</v>
      </c>
      <c r="V524" s="1" t="str">
        <f>IF(V$467,_xll.RtContribute(V$403,V$3&amp;"FX"&amp;$C524&amp;"SDF=","BID",V300,"SCOPE:SERVER"),"RT_FALSE")</f>
        <v>RT_FALSE</v>
      </c>
      <c r="W524" s="1" t="str">
        <f>IF(W$467,_xll.RtContribute(W$403,W$3&amp;"FX"&amp;$C524&amp;"SDF=","BID",W300,"SCOPE:SERVER"),"RT_FALSE")</f>
        <v>RT_FALSE</v>
      </c>
      <c r="X524" s="1" t="str">
        <f>IF(X$467,_xll.RtContribute(X$403,X$3&amp;"FX"&amp;$C524&amp;"SDF=","BID",X300,"SCOPE:SERVER"),"RT_FALSE")</f>
        <v>RT_FALSE</v>
      </c>
      <c r="Y524" s="1" t="str">
        <f>IF(Y$467,_xll.RtContribute(Y$403,Y$3&amp;"FX"&amp;$C524&amp;"SDF=","BID",Y300,"SCOPE:SERVER"),"RT_FALSE")</f>
        <v>RT_FALSE</v>
      </c>
      <c r="Z524" s="1" t="str">
        <f>IF(Z$467,_xll.RtContribute(Z$403,Z$3&amp;"FX"&amp;$C524&amp;"SDF=","BID",Z300,"SCOPE:SERVER"),"RT_FALSE")</f>
        <v>RT_FALSE</v>
      </c>
      <c r="AA524" s="1" t="str">
        <f>IF(AA$467,_xll.RtContribute(AA$403,AA$3&amp;"FX"&amp;$C524&amp;"SDF=","BID",AA300,"SCOPE:SERVER"),"RT_FALSE")</f>
        <v>RT_FALSE</v>
      </c>
      <c r="AB524" s="1" t="str">
        <f>IF(AB$467,_xll.RtContribute(AB$403,AB$3&amp;"FX"&amp;$C524&amp;"SDF=","BID",AB300,"SCOPE:SERVER"),"RT_FALSE")</f>
        <v>RT_FALSE</v>
      </c>
      <c r="AC524" s="1" t="str">
        <f>IF(AC$467,_xll.RtContribute(AC$403,AC$3&amp;"FX"&amp;$C524&amp;"SDF=","BID",AC300,"SCOPE:SERVER"),"RT_FALSE")</f>
        <v>RT_FALSE</v>
      </c>
      <c r="AD524" s="1" t="str">
        <f>IF(AD$467,_xll.RtContribute(AD$403,AD$3&amp;"FX"&amp;$C524&amp;"SDF=","BID",AD300,"SCOPE:SERVER"),"RT_FALSE")</f>
        <v>RT_FALSE</v>
      </c>
      <c r="AE524" s="1" t="str">
        <f>IF(AE$467,_xll.RtContribute(AE$403,AE$3&amp;"FX"&amp;$C524&amp;"SDF=","BID",AE300,"SCOPE:SERVER"),"RT_FALSE")</f>
        <v>RT_FALSE</v>
      </c>
      <c r="AF524" s="1" t="str">
        <f>IF(AF$467,_xll.RtContribute(AF$403,AF$3&amp;"FX"&amp;$C524&amp;"SDF=","BID",AF300,"SCOPE:SERVER"),"RT_FALSE")</f>
        <v>RT_FALSE</v>
      </c>
      <c r="AG524" s="1" t="str">
        <f>IF(AG$467,_xll.RtContribute(AG$403,AG$3&amp;"FX"&amp;$C524&amp;"SDF=","BID",AG300,"SCOPE:SERVER"),"RT_FALSE")</f>
        <v>RT_FALSE</v>
      </c>
      <c r="AH524" s="1" t="str">
        <f>IF(AH$467,_xll.RtContribute(AH$403,AH$3&amp;"FX"&amp;$C524&amp;"SDF=","BID",AH300,"SCOPE:SERVER"),"RT_FALSE")</f>
        <v>RT_FALSE</v>
      </c>
      <c r="AI524" s="1" t="str">
        <f>IF(AI$467,_xll.RtContribute(AI$403,AI$3&amp;"FX"&amp;$C524&amp;"SDF=","BID",AI300,"SCOPE:SERVER"),"RT_FALSE")</f>
        <v>RT_FALSE</v>
      </c>
      <c r="AJ524" s="1" t="str">
        <f>IF(AJ$467,_xll.RtContribute(AJ$403,AJ$3&amp;"FX"&amp;$C524&amp;"SDF=","BID",AJ300,"SCOPE:SERVER"),"RT_FALSE")</f>
        <v>RT_FALSE</v>
      </c>
      <c r="AK524" s="1" t="str">
        <f>IF(AK$467,_xll.RtContribute(AK$403,AK$3&amp;"FX"&amp;$C524&amp;"SDF=","BID",AK300,"SCOPE:SERVER"),"RT_FALSE")</f>
        <v>RT_FALSE</v>
      </c>
      <c r="AL524" s="1" t="str">
        <f>IF(AL$467,_xll.RtContribute(AL$403,AL$3&amp;"FX"&amp;$C524&amp;"SDF=","BID",AL300,"SCOPE:SERVER"),"RT_FALSE")</f>
        <v>RT_FALSE</v>
      </c>
      <c r="AM524" s="1" t="str">
        <f>IF(AM$467,_xll.RtContribute(AM$403,AM$3&amp;"FX"&amp;$C524&amp;"SDF=","BID",AM300,"SCOPE:SERVER"),"RT_FALSE")</f>
        <v>RT_FALSE</v>
      </c>
      <c r="AN524" s="1" t="str">
        <f>IF(AN$467,_xll.RtContribute(AN$403,AN$3&amp;"FX"&amp;$C524&amp;"SDF=","BID",AN300,"SCOPE:SERVER"),"RT_FALSE")</f>
        <v>RT_FALSE</v>
      </c>
      <c r="AO524" s="1" t="str">
        <f>IF(AO$467,_xll.RtContribute(AO$403,AO$3&amp;"FX"&amp;$C524&amp;"SDF=","BID",AO300,"SCOPE:SERVER"),"RT_FALSE")</f>
        <v>RT_FALSE</v>
      </c>
      <c r="AP524" s="1" t="str">
        <f>IF(AP$467,_xll.RtContribute(AP$403,AP$3&amp;"FX"&amp;$C524&amp;"SDF=","BID",AP300,"SCOPE:SERVER"),"RT_FALSE")</f>
        <v>RT_FALSE</v>
      </c>
    </row>
    <row r="525" spans="2:42" x14ac:dyDescent="0.2">
      <c r="C525" s="1" t="s">
        <v>160</v>
      </c>
      <c r="D525" s="1" t="str">
        <f>IF(D$467,_xll.RtContribute(D$403,D$3&amp;"FX"&amp;$C525&amp;"SDF=","BID",D47,"SCOPE:SERVER"),"RT_FALSE")</f>
        <v>RT_FALSE</v>
      </c>
      <c r="E525" s="1" t="str">
        <f>IF(E$467,_xll.RtContribute(E$403,E$3&amp;"FX"&amp;$C525&amp;"SDF=","BID",E301,"SCOPE:SERVER"),"RT_FALSE")</f>
        <v>RT_FALSE</v>
      </c>
      <c r="F525" s="1" t="str">
        <f>IF(F$467,_xll.RtContribute(F$403,F$3&amp;"FX"&amp;$C525&amp;"SDF=","BID",F301,"SCOPE:SERVER"),"RT_FALSE")</f>
        <v>RT_FALSE</v>
      </c>
      <c r="G525" s="1" t="str">
        <f>IF(G$467,_xll.RtContribute(G$403,G$3&amp;"FX"&amp;$C525&amp;"SDF=","BID",G301,"SCOPE:SERVER"),"RT_FALSE")</f>
        <v>RT_FALSE</v>
      </c>
      <c r="H525" s="1" t="str">
        <f>IF(H$467,_xll.RtContribute(H$403,H$3&amp;"FX"&amp;$C525&amp;"SDF=","BID",H301,"SCOPE:SERVER"),"RT_FALSE")</f>
        <v>RT_FALSE</v>
      </c>
      <c r="I525" s="1" t="str">
        <f>IF(I$467,_xll.RtContribute(I$403,I$3&amp;"FX"&amp;$C525&amp;"SDF=","BID",I301,"SCOPE:SERVER"),"RT_FALSE")</f>
        <v>RT_FALSE</v>
      </c>
      <c r="J525" s="1" t="str">
        <f>IF(J$467,_xll.RtContribute(J$403,J$3&amp;"FX"&amp;$C525&amp;"SDF=","BID",J301,"SCOPE:SERVER"),"RT_FALSE")</f>
        <v>RT_FALSE</v>
      </c>
      <c r="K525" s="1" t="str">
        <f>IF(K$467,_xll.RtContribute(K$403,K$3&amp;"FX"&amp;$C525&amp;"SDF=","BID",K301,"SCOPE:SERVER"),"RT_FALSE")</f>
        <v>RT_FALSE</v>
      </c>
      <c r="L525" s="1" t="str">
        <f>IF(L$467,_xll.RtContribute(L$403,L$3&amp;"FX"&amp;$C525&amp;"SDF=","BID",L301,"SCOPE:SERVER"),"RT_FALSE")</f>
        <v>RT_FALSE</v>
      </c>
      <c r="M525" s="1" t="str">
        <f>IF(M$467,_xll.RtContribute(M$403,M$3&amp;"FX"&amp;$C525&amp;"SDF=","BID",M301,"SCOPE:SERVER"),"RT_FALSE")</f>
        <v>RT_FALSE</v>
      </c>
      <c r="N525" s="1" t="str">
        <f>IF(N$467,_xll.RtContribute(N$403,N$3&amp;"FX"&amp;$C525&amp;"SDF=","BID",N301,"SCOPE:SERVER"),"RT_FALSE")</f>
        <v>RT_FALSE</v>
      </c>
      <c r="O525" s="1" t="str">
        <f>IF(O$467,_xll.RtContribute(O$403,O$3&amp;"FX"&amp;$C525&amp;"SDF=","BID",O301,"SCOPE:SERVER"),"RT_FALSE")</f>
        <v>RT_FALSE</v>
      </c>
      <c r="P525" s="1" t="str">
        <f>IF(P$467,_xll.RtContribute(P$403,P$3&amp;"FX"&amp;$C525&amp;"SDF=","BID",P301,"SCOPE:SERVER"),"RT_FALSE")</f>
        <v>RT_FALSE</v>
      </c>
      <c r="Q525" s="1" t="str">
        <f>IF(Q$467,_xll.RtContribute(Q$403,Q$3&amp;"FX"&amp;$C525&amp;"SDF=","BID",Q301,"SCOPE:SERVER"),"RT_FALSE")</f>
        <v>RT_FALSE</v>
      </c>
      <c r="R525" s="1" t="str">
        <f>IF(R$467,_xll.RtContribute(R$403,R$3&amp;"FX"&amp;$C525&amp;"SDF=","BID",R301,"SCOPE:SERVER"),"RT_FALSE")</f>
        <v>RT_FALSE</v>
      </c>
      <c r="S525" s="1" t="str">
        <f>IF(S$467,_xll.RtContribute(S$403,S$3&amp;"FX"&amp;$C525&amp;"SDF=","BID",S301,"SCOPE:SERVER"),"RT_FALSE")</f>
        <v>RT_FALSE</v>
      </c>
      <c r="T525" s="1" t="str">
        <f>IF(T$467,_xll.RtContribute(T$403,T$3&amp;"FX"&amp;$C525&amp;"SDF=","BID",T301,"SCOPE:SERVER"),"RT_FALSE")</f>
        <v>RT_FALSE</v>
      </c>
      <c r="U525" s="1" t="str">
        <f>IF(U$467,_xll.RtContribute(U$403,U$3&amp;"FX"&amp;$C525&amp;"SDF=","BID",U301,"SCOPE:SERVER"),"RT_FALSE")</f>
        <v>RT_FALSE</v>
      </c>
      <c r="V525" s="1" t="str">
        <f>IF(V$467,_xll.RtContribute(V$403,V$3&amp;"FX"&amp;$C525&amp;"SDF=","BID",V301,"SCOPE:SERVER"),"RT_FALSE")</f>
        <v>RT_FALSE</v>
      </c>
      <c r="W525" s="1" t="str">
        <f>IF(W$467,_xll.RtContribute(W$403,W$3&amp;"FX"&amp;$C525&amp;"SDF=","BID",W301,"SCOPE:SERVER"),"RT_FALSE")</f>
        <v>RT_FALSE</v>
      </c>
      <c r="X525" s="1" t="str">
        <f>IF(X$467,_xll.RtContribute(X$403,X$3&amp;"FX"&amp;$C525&amp;"SDF=","BID",X301,"SCOPE:SERVER"),"RT_FALSE")</f>
        <v>RT_FALSE</v>
      </c>
      <c r="Y525" s="1" t="str">
        <f>IF(Y$467,_xll.RtContribute(Y$403,Y$3&amp;"FX"&amp;$C525&amp;"SDF=","BID",Y301,"SCOPE:SERVER"),"RT_FALSE")</f>
        <v>RT_FALSE</v>
      </c>
      <c r="Z525" s="1" t="str">
        <f>IF(Z$467,_xll.RtContribute(Z$403,Z$3&amp;"FX"&amp;$C525&amp;"SDF=","BID",Z301,"SCOPE:SERVER"),"RT_FALSE")</f>
        <v>RT_FALSE</v>
      </c>
      <c r="AA525" s="1" t="str">
        <f>IF(AA$467,_xll.RtContribute(AA$403,AA$3&amp;"FX"&amp;$C525&amp;"SDF=","BID",AA301,"SCOPE:SERVER"),"RT_FALSE")</f>
        <v>RT_FALSE</v>
      </c>
      <c r="AB525" s="1" t="str">
        <f>IF(AB$467,_xll.RtContribute(AB$403,AB$3&amp;"FX"&amp;$C525&amp;"SDF=","BID",AB301,"SCOPE:SERVER"),"RT_FALSE")</f>
        <v>RT_FALSE</v>
      </c>
      <c r="AC525" s="1" t="str">
        <f>IF(AC$467,_xll.RtContribute(AC$403,AC$3&amp;"FX"&amp;$C525&amp;"SDF=","BID",AC301,"SCOPE:SERVER"),"RT_FALSE")</f>
        <v>RT_FALSE</v>
      </c>
      <c r="AD525" s="1" t="str">
        <f>IF(AD$467,_xll.RtContribute(AD$403,AD$3&amp;"FX"&amp;$C525&amp;"SDF=","BID",AD301,"SCOPE:SERVER"),"RT_FALSE")</f>
        <v>RT_FALSE</v>
      </c>
      <c r="AE525" s="1" t="str">
        <f>IF(AE$467,_xll.RtContribute(AE$403,AE$3&amp;"FX"&amp;$C525&amp;"SDF=","BID",AE301,"SCOPE:SERVER"),"RT_FALSE")</f>
        <v>RT_FALSE</v>
      </c>
      <c r="AF525" s="1" t="str">
        <f>IF(AF$467,_xll.RtContribute(AF$403,AF$3&amp;"FX"&amp;$C525&amp;"SDF=","BID",AF301,"SCOPE:SERVER"),"RT_FALSE")</f>
        <v>RT_FALSE</v>
      </c>
      <c r="AG525" s="1" t="str">
        <f>IF(AG$467,_xll.RtContribute(AG$403,AG$3&amp;"FX"&amp;$C525&amp;"SDF=","BID",AG301,"SCOPE:SERVER"),"RT_FALSE")</f>
        <v>RT_FALSE</v>
      </c>
      <c r="AH525" s="1" t="str">
        <f>IF(AH$467,_xll.RtContribute(AH$403,AH$3&amp;"FX"&amp;$C525&amp;"SDF=","BID",AH301,"SCOPE:SERVER"),"RT_FALSE")</f>
        <v>RT_FALSE</v>
      </c>
      <c r="AI525" s="1" t="str">
        <f>IF(AI$467,_xll.RtContribute(AI$403,AI$3&amp;"FX"&amp;$C525&amp;"SDF=","BID",AI301,"SCOPE:SERVER"),"RT_FALSE")</f>
        <v>RT_FALSE</v>
      </c>
      <c r="AJ525" s="1" t="str">
        <f>IF(AJ$467,_xll.RtContribute(AJ$403,AJ$3&amp;"FX"&amp;$C525&amp;"SDF=","BID",AJ301,"SCOPE:SERVER"),"RT_FALSE")</f>
        <v>RT_FALSE</v>
      </c>
      <c r="AK525" s="1" t="str">
        <f>IF(AK$467,_xll.RtContribute(AK$403,AK$3&amp;"FX"&amp;$C525&amp;"SDF=","BID",AK301,"SCOPE:SERVER"),"RT_FALSE")</f>
        <v>RT_FALSE</v>
      </c>
      <c r="AL525" s="1" t="str">
        <f>IF(AL$467,_xll.RtContribute(AL$403,AL$3&amp;"FX"&amp;$C525&amp;"SDF=","BID",AL301,"SCOPE:SERVER"),"RT_FALSE")</f>
        <v>RT_FALSE</v>
      </c>
      <c r="AM525" s="1" t="str">
        <f>IF(AM$467,_xll.RtContribute(AM$403,AM$3&amp;"FX"&amp;$C525&amp;"SDF=","BID",AM301,"SCOPE:SERVER"),"RT_FALSE")</f>
        <v>RT_FALSE</v>
      </c>
      <c r="AN525" s="1" t="str">
        <f>IF(AN$467,_xll.RtContribute(AN$403,AN$3&amp;"FX"&amp;$C525&amp;"SDF=","BID",AN301,"SCOPE:SERVER"),"RT_FALSE")</f>
        <v>RT_FALSE</v>
      </c>
      <c r="AO525" s="1" t="str">
        <f>IF(AO$467,_xll.RtContribute(AO$403,AO$3&amp;"FX"&amp;$C525&amp;"SDF=","BID",AO301,"SCOPE:SERVER"),"RT_FALSE")</f>
        <v>RT_FALSE</v>
      </c>
      <c r="AP525" s="1" t="str">
        <f>IF(AP$467,_xll.RtContribute(AP$403,AP$3&amp;"FX"&amp;$C525&amp;"SDF=","BID",AP301,"SCOPE:SERVER"),"RT_FALSE")</f>
        <v>RT_FALSE</v>
      </c>
    </row>
    <row r="526" spans="2:42" x14ac:dyDescent="0.2">
      <c r="C526" s="1" t="s">
        <v>162</v>
      </c>
      <c r="D526" s="1" t="str">
        <f>IF(D$467,_xll.RtContribute(D$403,D$3&amp;"FX"&amp;$C526&amp;"SDF=","BID",D48,"SCOPE:SERVER"),"RT_FALSE")</f>
        <v>RT_FALSE</v>
      </c>
      <c r="E526" s="1" t="str">
        <f>IF(E$467,_xll.RtContribute(E$403,E$3&amp;"FX"&amp;$C526&amp;"SDF=","BID",E302,"SCOPE:SERVER"),"RT_FALSE")</f>
        <v>RT_FALSE</v>
      </c>
      <c r="F526" s="1" t="str">
        <f>IF(F$467,_xll.RtContribute(F$403,F$3&amp;"FX"&amp;$C526&amp;"SDF=","BID",F302,"SCOPE:SERVER"),"RT_FALSE")</f>
        <v>RT_FALSE</v>
      </c>
      <c r="G526" s="1" t="str">
        <f>IF(G$467,_xll.RtContribute(G$403,G$3&amp;"FX"&amp;$C526&amp;"SDF=","BID",G302,"SCOPE:SERVER"),"RT_FALSE")</f>
        <v>RT_FALSE</v>
      </c>
      <c r="H526" s="1" t="str">
        <f>IF(H$467,_xll.RtContribute(H$403,H$3&amp;"FX"&amp;$C526&amp;"SDF=","BID",H302,"SCOPE:SERVER"),"RT_FALSE")</f>
        <v>RT_FALSE</v>
      </c>
      <c r="I526" s="1" t="str">
        <f>IF(I$467,_xll.RtContribute(I$403,I$3&amp;"FX"&amp;$C526&amp;"SDF=","BID",I302,"SCOPE:SERVER"),"RT_FALSE")</f>
        <v>RT_FALSE</v>
      </c>
      <c r="J526" s="1" t="str">
        <f>IF(J$467,_xll.RtContribute(J$403,J$3&amp;"FX"&amp;$C526&amp;"SDF=","BID",J302,"SCOPE:SERVER"),"RT_FALSE")</f>
        <v>RT_FALSE</v>
      </c>
      <c r="K526" s="1" t="str">
        <f>IF(K$467,_xll.RtContribute(K$403,K$3&amp;"FX"&amp;$C526&amp;"SDF=","BID",K302,"SCOPE:SERVER"),"RT_FALSE")</f>
        <v>RT_FALSE</v>
      </c>
      <c r="L526" s="1" t="str">
        <f>IF(L$467,_xll.RtContribute(L$403,L$3&amp;"FX"&amp;$C526&amp;"SDF=","BID",L302,"SCOPE:SERVER"),"RT_FALSE")</f>
        <v>RT_FALSE</v>
      </c>
      <c r="M526" s="1" t="str">
        <f>IF(M$467,_xll.RtContribute(M$403,M$3&amp;"FX"&amp;$C526&amp;"SDF=","BID",M302,"SCOPE:SERVER"),"RT_FALSE")</f>
        <v>RT_FALSE</v>
      </c>
      <c r="N526" s="1" t="str">
        <f>IF(N$467,_xll.RtContribute(N$403,N$3&amp;"FX"&amp;$C526&amp;"SDF=","BID",N302,"SCOPE:SERVER"),"RT_FALSE")</f>
        <v>RT_FALSE</v>
      </c>
      <c r="O526" s="1" t="str">
        <f>IF(O$467,_xll.RtContribute(O$403,O$3&amp;"FX"&amp;$C526&amp;"SDF=","BID",O302,"SCOPE:SERVER"),"RT_FALSE")</f>
        <v>RT_FALSE</v>
      </c>
      <c r="P526" s="1" t="str">
        <f>IF(P$467,_xll.RtContribute(P$403,P$3&amp;"FX"&amp;$C526&amp;"SDF=","BID",P302,"SCOPE:SERVER"),"RT_FALSE")</f>
        <v>RT_FALSE</v>
      </c>
      <c r="Q526" s="1" t="str">
        <f>IF(Q$467,_xll.RtContribute(Q$403,Q$3&amp;"FX"&amp;$C526&amp;"SDF=","BID",Q302,"SCOPE:SERVER"),"RT_FALSE")</f>
        <v>RT_FALSE</v>
      </c>
      <c r="R526" s="1" t="str">
        <f>IF(R$467,_xll.RtContribute(R$403,R$3&amp;"FX"&amp;$C526&amp;"SDF=","BID",R302,"SCOPE:SERVER"),"RT_FALSE")</f>
        <v>RT_FALSE</v>
      </c>
      <c r="S526" s="1" t="str">
        <f>IF(S$467,_xll.RtContribute(S$403,S$3&amp;"FX"&amp;$C526&amp;"SDF=","BID",S302,"SCOPE:SERVER"),"RT_FALSE")</f>
        <v>RT_FALSE</v>
      </c>
      <c r="T526" s="1" t="str">
        <f>IF(T$467,_xll.RtContribute(T$403,T$3&amp;"FX"&amp;$C526&amp;"SDF=","BID",T302,"SCOPE:SERVER"),"RT_FALSE")</f>
        <v>RT_FALSE</v>
      </c>
      <c r="U526" s="1" t="str">
        <f>IF(U$467,_xll.RtContribute(U$403,U$3&amp;"FX"&amp;$C526&amp;"SDF=","BID",U302,"SCOPE:SERVER"),"RT_FALSE")</f>
        <v>RT_FALSE</v>
      </c>
      <c r="V526" s="1" t="str">
        <f>IF(V$467,_xll.RtContribute(V$403,V$3&amp;"FX"&amp;$C526&amp;"SDF=","BID",V302,"SCOPE:SERVER"),"RT_FALSE")</f>
        <v>RT_FALSE</v>
      </c>
      <c r="W526" s="1" t="str">
        <f>IF(W$467,_xll.RtContribute(W$403,W$3&amp;"FX"&amp;$C526&amp;"SDF=","BID",W302,"SCOPE:SERVER"),"RT_FALSE")</f>
        <v>RT_FALSE</v>
      </c>
      <c r="X526" s="1" t="str">
        <f>IF(X$467,_xll.RtContribute(X$403,X$3&amp;"FX"&amp;$C526&amp;"SDF=","BID",X302,"SCOPE:SERVER"),"RT_FALSE")</f>
        <v>RT_FALSE</v>
      </c>
      <c r="Y526" s="1" t="str">
        <f>IF(Y$467,_xll.RtContribute(Y$403,Y$3&amp;"FX"&amp;$C526&amp;"SDF=","BID",Y302,"SCOPE:SERVER"),"RT_FALSE")</f>
        <v>RT_FALSE</v>
      </c>
      <c r="Z526" s="1" t="str">
        <f>IF(Z$467,_xll.RtContribute(Z$403,Z$3&amp;"FX"&amp;$C526&amp;"SDF=","BID",Z302,"SCOPE:SERVER"),"RT_FALSE")</f>
        <v>RT_FALSE</v>
      </c>
      <c r="AA526" s="1" t="str">
        <f>IF(AA$467,_xll.RtContribute(AA$403,AA$3&amp;"FX"&amp;$C526&amp;"SDF=","BID",AA302,"SCOPE:SERVER"),"RT_FALSE")</f>
        <v>RT_FALSE</v>
      </c>
      <c r="AB526" s="1" t="str">
        <f>IF(AB$467,_xll.RtContribute(AB$403,AB$3&amp;"FX"&amp;$C526&amp;"SDF=","BID",AB302,"SCOPE:SERVER"),"RT_FALSE")</f>
        <v>RT_FALSE</v>
      </c>
      <c r="AC526" s="1" t="str">
        <f>IF(AC$467,_xll.RtContribute(AC$403,AC$3&amp;"FX"&amp;$C526&amp;"SDF=","BID",AC302,"SCOPE:SERVER"),"RT_FALSE")</f>
        <v>RT_FALSE</v>
      </c>
      <c r="AD526" s="1" t="str">
        <f>IF(AD$467,_xll.RtContribute(AD$403,AD$3&amp;"FX"&amp;$C526&amp;"SDF=","BID",AD302,"SCOPE:SERVER"),"RT_FALSE")</f>
        <v>RT_FALSE</v>
      </c>
      <c r="AE526" s="1" t="str">
        <f>IF(AE$467,_xll.RtContribute(AE$403,AE$3&amp;"FX"&amp;$C526&amp;"SDF=","BID",AE302,"SCOPE:SERVER"),"RT_FALSE")</f>
        <v>RT_FALSE</v>
      </c>
      <c r="AF526" s="1" t="str">
        <f>IF(AF$467,_xll.RtContribute(AF$403,AF$3&amp;"FX"&amp;$C526&amp;"SDF=","BID",AF302,"SCOPE:SERVER"),"RT_FALSE")</f>
        <v>RT_FALSE</v>
      </c>
      <c r="AG526" s="1" t="str">
        <f>IF(AG$467,_xll.RtContribute(AG$403,AG$3&amp;"FX"&amp;$C526&amp;"SDF=","BID",AG302,"SCOPE:SERVER"),"RT_FALSE")</f>
        <v>RT_FALSE</v>
      </c>
      <c r="AH526" s="1" t="str">
        <f>IF(AH$467,_xll.RtContribute(AH$403,AH$3&amp;"FX"&amp;$C526&amp;"SDF=","BID",AH302,"SCOPE:SERVER"),"RT_FALSE")</f>
        <v>RT_FALSE</v>
      </c>
      <c r="AI526" s="1" t="str">
        <f>IF(AI$467,_xll.RtContribute(AI$403,AI$3&amp;"FX"&amp;$C526&amp;"SDF=","BID",AI302,"SCOPE:SERVER"),"RT_FALSE")</f>
        <v>RT_FALSE</v>
      </c>
      <c r="AJ526" s="1" t="str">
        <f>IF(AJ$467,_xll.RtContribute(AJ$403,AJ$3&amp;"FX"&amp;$C526&amp;"SDF=","BID",AJ302,"SCOPE:SERVER"),"RT_FALSE")</f>
        <v>RT_FALSE</v>
      </c>
      <c r="AK526" s="1" t="str">
        <f>IF(AK$467,_xll.RtContribute(AK$403,AK$3&amp;"FX"&amp;$C526&amp;"SDF=","BID",AK302,"SCOPE:SERVER"),"RT_FALSE")</f>
        <v>RT_FALSE</v>
      </c>
      <c r="AL526" s="1" t="str">
        <f>IF(AL$467,_xll.RtContribute(AL$403,AL$3&amp;"FX"&amp;$C526&amp;"SDF=","BID",AL302,"SCOPE:SERVER"),"RT_FALSE")</f>
        <v>RT_FALSE</v>
      </c>
      <c r="AM526" s="1" t="str">
        <f>IF(AM$467,_xll.RtContribute(AM$403,AM$3&amp;"FX"&amp;$C526&amp;"SDF=","BID",AM302,"SCOPE:SERVER"),"RT_FALSE")</f>
        <v>RT_FALSE</v>
      </c>
      <c r="AN526" s="1" t="str">
        <f>IF(AN$467,_xll.RtContribute(AN$403,AN$3&amp;"FX"&amp;$C526&amp;"SDF=","BID",AN302,"SCOPE:SERVER"),"RT_FALSE")</f>
        <v>RT_FALSE</v>
      </c>
      <c r="AO526" s="1" t="str">
        <f>IF(AO$467,_xll.RtContribute(AO$403,AO$3&amp;"FX"&amp;$C526&amp;"SDF=","BID",AO302,"SCOPE:SERVER"),"RT_FALSE")</f>
        <v>RT_FALSE</v>
      </c>
      <c r="AP526" s="1" t="str">
        <f>IF(AP$467,_xll.RtContribute(AP$403,AP$3&amp;"FX"&amp;$C526&amp;"SDF=","BID",AP302,"SCOPE:SERVER"),"RT_FALSE")</f>
        <v>RT_FALSE</v>
      </c>
    </row>
    <row r="527" spans="2:42" x14ac:dyDescent="0.2">
      <c r="C527" s="1" t="s">
        <v>164</v>
      </c>
      <c r="D527" s="1" t="str">
        <f>IF(D$467,_xll.RtContribute(D$403,D$3&amp;"FX"&amp;$C527&amp;"SDF=","BID",D49,"SCOPE:SERVER"),"RT_FALSE")</f>
        <v>RT_FALSE</v>
      </c>
      <c r="E527" s="1" t="str">
        <f>IF(E$467,_xll.RtContribute(E$403,E$3&amp;"FX"&amp;$C527&amp;"SDF=","BID",E303,"SCOPE:SERVER"),"RT_FALSE")</f>
        <v>RT_FALSE</v>
      </c>
      <c r="F527" s="1" t="str">
        <f>IF(F$467,_xll.RtContribute(F$403,F$3&amp;"FX"&amp;$C527&amp;"SDF=","BID",F303,"SCOPE:SERVER"),"RT_FALSE")</f>
        <v>RT_FALSE</v>
      </c>
      <c r="G527" s="1" t="str">
        <f>IF(G$467,_xll.RtContribute(G$403,G$3&amp;"FX"&amp;$C527&amp;"SDF=","BID",G303,"SCOPE:SERVER"),"RT_FALSE")</f>
        <v>RT_FALSE</v>
      </c>
      <c r="H527" s="1" t="str">
        <f>IF(H$467,_xll.RtContribute(H$403,H$3&amp;"FX"&amp;$C527&amp;"SDF=","BID",H303,"SCOPE:SERVER"),"RT_FALSE")</f>
        <v>RT_FALSE</v>
      </c>
      <c r="I527" s="1" t="str">
        <f>IF(I$467,_xll.RtContribute(I$403,I$3&amp;"FX"&amp;$C527&amp;"SDF=","BID",I303,"SCOPE:SERVER"),"RT_FALSE")</f>
        <v>RT_FALSE</v>
      </c>
      <c r="J527" s="1" t="str">
        <f>IF(J$467,_xll.RtContribute(J$403,J$3&amp;"FX"&amp;$C527&amp;"SDF=","BID",J303,"SCOPE:SERVER"),"RT_FALSE")</f>
        <v>RT_FALSE</v>
      </c>
      <c r="K527" s="1" t="str">
        <f>IF(K$467,_xll.RtContribute(K$403,K$3&amp;"FX"&amp;$C527&amp;"SDF=","BID",K303,"SCOPE:SERVER"),"RT_FALSE")</f>
        <v>RT_FALSE</v>
      </c>
      <c r="L527" s="1" t="str">
        <f>IF(L$467,_xll.RtContribute(L$403,L$3&amp;"FX"&amp;$C527&amp;"SDF=","BID",L303,"SCOPE:SERVER"),"RT_FALSE")</f>
        <v>RT_FALSE</v>
      </c>
      <c r="M527" s="1" t="str">
        <f>IF(M$467,_xll.RtContribute(M$403,M$3&amp;"FX"&amp;$C527&amp;"SDF=","BID",M303,"SCOPE:SERVER"),"RT_FALSE")</f>
        <v>RT_FALSE</v>
      </c>
      <c r="N527" s="1" t="str">
        <f>IF(N$467,_xll.RtContribute(N$403,N$3&amp;"FX"&amp;$C527&amp;"SDF=","BID",N303,"SCOPE:SERVER"),"RT_FALSE")</f>
        <v>RT_FALSE</v>
      </c>
      <c r="O527" s="1" t="str">
        <f>IF(O$467,_xll.RtContribute(O$403,O$3&amp;"FX"&amp;$C527&amp;"SDF=","BID",O303,"SCOPE:SERVER"),"RT_FALSE")</f>
        <v>RT_FALSE</v>
      </c>
      <c r="P527" s="1" t="str">
        <f>IF(P$467,_xll.RtContribute(P$403,P$3&amp;"FX"&amp;$C527&amp;"SDF=","BID",P303,"SCOPE:SERVER"),"RT_FALSE")</f>
        <v>RT_FALSE</v>
      </c>
      <c r="Q527" s="1" t="str">
        <f>IF(Q$467,_xll.RtContribute(Q$403,Q$3&amp;"FX"&amp;$C527&amp;"SDF=","BID",Q303,"SCOPE:SERVER"),"RT_FALSE")</f>
        <v>RT_FALSE</v>
      </c>
      <c r="R527" s="1" t="str">
        <f>IF(R$467,_xll.RtContribute(R$403,R$3&amp;"FX"&amp;$C527&amp;"SDF=","BID",R303,"SCOPE:SERVER"),"RT_FALSE")</f>
        <v>RT_FALSE</v>
      </c>
      <c r="S527" s="1" t="str">
        <f>IF(S$467,_xll.RtContribute(S$403,S$3&amp;"FX"&amp;$C527&amp;"SDF=","BID",S303,"SCOPE:SERVER"),"RT_FALSE")</f>
        <v>RT_FALSE</v>
      </c>
      <c r="T527" s="1" t="str">
        <f>IF(T$467,_xll.RtContribute(T$403,T$3&amp;"FX"&amp;$C527&amp;"SDF=","BID",T303,"SCOPE:SERVER"),"RT_FALSE")</f>
        <v>RT_FALSE</v>
      </c>
      <c r="U527" s="1" t="str">
        <f>IF(U$467,_xll.RtContribute(U$403,U$3&amp;"FX"&amp;$C527&amp;"SDF=","BID",U303,"SCOPE:SERVER"),"RT_FALSE")</f>
        <v>RT_FALSE</v>
      </c>
      <c r="V527" s="1" t="str">
        <f>IF(V$467,_xll.RtContribute(V$403,V$3&amp;"FX"&amp;$C527&amp;"SDF=","BID",V303,"SCOPE:SERVER"),"RT_FALSE")</f>
        <v>RT_FALSE</v>
      </c>
      <c r="W527" s="1" t="str">
        <f>IF(W$467,_xll.RtContribute(W$403,W$3&amp;"FX"&amp;$C527&amp;"SDF=","BID",W303,"SCOPE:SERVER"),"RT_FALSE")</f>
        <v>RT_FALSE</v>
      </c>
      <c r="X527" s="1" t="str">
        <f>IF(X$467,_xll.RtContribute(X$403,X$3&amp;"FX"&amp;$C527&amp;"SDF=","BID",X303,"SCOPE:SERVER"),"RT_FALSE")</f>
        <v>RT_FALSE</v>
      </c>
      <c r="Y527" s="1" t="str">
        <f>IF(Y$467,_xll.RtContribute(Y$403,Y$3&amp;"FX"&amp;$C527&amp;"SDF=","BID",Y303,"SCOPE:SERVER"),"RT_FALSE")</f>
        <v>RT_FALSE</v>
      </c>
      <c r="Z527" s="1" t="str">
        <f>IF(Z$467,_xll.RtContribute(Z$403,Z$3&amp;"FX"&amp;$C527&amp;"SDF=","BID",Z303,"SCOPE:SERVER"),"RT_FALSE")</f>
        <v>RT_FALSE</v>
      </c>
      <c r="AA527" s="1" t="str">
        <f>IF(AA$467,_xll.RtContribute(AA$403,AA$3&amp;"FX"&amp;$C527&amp;"SDF=","BID",AA303,"SCOPE:SERVER"),"RT_FALSE")</f>
        <v>RT_FALSE</v>
      </c>
      <c r="AB527" s="1" t="str">
        <f>IF(AB$467,_xll.RtContribute(AB$403,AB$3&amp;"FX"&amp;$C527&amp;"SDF=","BID",AB303,"SCOPE:SERVER"),"RT_FALSE")</f>
        <v>RT_FALSE</v>
      </c>
      <c r="AC527" s="1" t="str">
        <f>IF(AC$467,_xll.RtContribute(AC$403,AC$3&amp;"FX"&amp;$C527&amp;"SDF=","BID",AC303,"SCOPE:SERVER"),"RT_FALSE")</f>
        <v>RT_FALSE</v>
      </c>
      <c r="AD527" s="1" t="str">
        <f>IF(AD$467,_xll.RtContribute(AD$403,AD$3&amp;"FX"&amp;$C527&amp;"SDF=","BID",AD303,"SCOPE:SERVER"),"RT_FALSE")</f>
        <v>RT_FALSE</v>
      </c>
      <c r="AE527" s="1" t="str">
        <f>IF(AE$467,_xll.RtContribute(AE$403,AE$3&amp;"FX"&amp;$C527&amp;"SDF=","BID",AE303,"SCOPE:SERVER"),"RT_FALSE")</f>
        <v>RT_FALSE</v>
      </c>
      <c r="AF527" s="1" t="str">
        <f>IF(AF$467,_xll.RtContribute(AF$403,AF$3&amp;"FX"&amp;$C527&amp;"SDF=","BID",AF303,"SCOPE:SERVER"),"RT_FALSE")</f>
        <v>RT_FALSE</v>
      </c>
      <c r="AG527" s="1" t="str">
        <f>IF(AG$467,_xll.RtContribute(AG$403,AG$3&amp;"FX"&amp;$C527&amp;"SDF=","BID",AG303,"SCOPE:SERVER"),"RT_FALSE")</f>
        <v>RT_FALSE</v>
      </c>
      <c r="AH527" s="1" t="str">
        <f>IF(AH$467,_xll.RtContribute(AH$403,AH$3&amp;"FX"&amp;$C527&amp;"SDF=","BID",AH303,"SCOPE:SERVER"),"RT_FALSE")</f>
        <v>RT_FALSE</v>
      </c>
      <c r="AI527" s="1" t="str">
        <f>IF(AI$467,_xll.RtContribute(AI$403,AI$3&amp;"FX"&amp;$C527&amp;"SDF=","BID",AI303,"SCOPE:SERVER"),"RT_FALSE")</f>
        <v>RT_FALSE</v>
      </c>
      <c r="AJ527" s="1" t="str">
        <f>IF(AJ$467,_xll.RtContribute(AJ$403,AJ$3&amp;"FX"&amp;$C527&amp;"SDF=","BID",AJ303,"SCOPE:SERVER"),"RT_FALSE")</f>
        <v>RT_FALSE</v>
      </c>
      <c r="AK527" s="1" t="str">
        <f>IF(AK$467,_xll.RtContribute(AK$403,AK$3&amp;"FX"&amp;$C527&amp;"SDF=","BID",AK303,"SCOPE:SERVER"),"RT_FALSE")</f>
        <v>RT_FALSE</v>
      </c>
      <c r="AL527" s="1" t="str">
        <f>IF(AL$467,_xll.RtContribute(AL$403,AL$3&amp;"FX"&amp;$C527&amp;"SDF=","BID",AL303,"SCOPE:SERVER"),"RT_FALSE")</f>
        <v>RT_FALSE</v>
      </c>
      <c r="AM527" s="1" t="str">
        <f>IF(AM$467,_xll.RtContribute(AM$403,AM$3&amp;"FX"&amp;$C527&amp;"SDF=","BID",AM303,"SCOPE:SERVER"),"RT_FALSE")</f>
        <v>RT_FALSE</v>
      </c>
      <c r="AN527" s="1" t="str">
        <f>IF(AN$467,_xll.RtContribute(AN$403,AN$3&amp;"FX"&amp;$C527&amp;"SDF=","BID",AN303,"SCOPE:SERVER"),"RT_FALSE")</f>
        <v>RT_FALSE</v>
      </c>
      <c r="AO527" s="1" t="str">
        <f>IF(AO$467,_xll.RtContribute(AO$403,AO$3&amp;"FX"&amp;$C527&amp;"SDF=","BID",AO303,"SCOPE:SERVER"),"RT_FALSE")</f>
        <v>RT_FALSE</v>
      </c>
      <c r="AP527" s="1" t="str">
        <f>IF(AP$467,_xll.RtContribute(AP$403,AP$3&amp;"FX"&amp;$C527&amp;"SDF=","BID",AP303,"SCOPE:SERVER"),"RT_FALSE")</f>
        <v>RT_FALSE</v>
      </c>
    </row>
    <row r="528" spans="2:42" x14ac:dyDescent="0.2">
      <c r="C528" s="4" t="s">
        <v>312</v>
      </c>
    </row>
    <row r="529" spans="2:42" x14ac:dyDescent="0.2">
      <c r="C529" s="1" t="s">
        <v>23</v>
      </c>
      <c r="D529" s="1" t="str">
        <f>IF(D$467,_xll.RtContribute(D$403,D$3&amp;"FX"&amp;$C499&amp;"DDF=","ASK",D21,"SCOPE:SERVER"),"RT_FALSE")</f>
        <v>RT_FALSE</v>
      </c>
      <c r="E529" s="1" t="str">
        <f>IF(E$467,_xll.RtContribute(E$403,E$3&amp;"FX"&amp;$C499&amp;"DDF=","ASK",E305,"SCOPE:SERVER"),"RT_FALSE")</f>
        <v>RT_FALSE</v>
      </c>
      <c r="F529" s="1" t="str">
        <f>IF(F$467,_xll.RtContribute(F$403,F$3&amp;"FX"&amp;$C499&amp;"DDF=","ASK",F305,"SCOPE:SERVER"),"RT_FALSE")</f>
        <v>RT_FALSE</v>
      </c>
      <c r="G529" s="1" t="str">
        <f>IF(G$467,_xll.RtContribute(G$403,G$3&amp;"FX"&amp;$C499&amp;"DDF=","ASK",G305,"SCOPE:SERVER"),"RT_FALSE")</f>
        <v>RT_FALSE</v>
      </c>
      <c r="H529" s="1" t="str">
        <f>IF(H$467,_xll.RtContribute(H$403,H$3&amp;"FX"&amp;$C499&amp;"DDF=","ASK",H305,"SCOPE:SERVER"),"RT_FALSE")</f>
        <v>RT_FALSE</v>
      </c>
      <c r="I529" s="1" t="str">
        <f>IF(I$467,_xll.RtContribute(I$403,I$3&amp;"FX"&amp;$C499&amp;"DDF=","ASK",I305,"SCOPE:SERVER"),"RT_FALSE")</f>
        <v>RT_FALSE</v>
      </c>
      <c r="J529" s="1" t="str">
        <f>IF(J$467,_xll.RtContribute(J$403,J$3&amp;"FX"&amp;$C499&amp;"DDF=","ASK",J305,"SCOPE:SERVER"),"RT_FALSE")</f>
        <v>RT_FALSE</v>
      </c>
      <c r="K529" s="1" t="str">
        <f>IF(K$467,_xll.RtContribute(K$403,K$3&amp;"FX"&amp;$C499&amp;"DDF=","ASK",K305,"SCOPE:SERVER"),"RT_FALSE")</f>
        <v>RT_FALSE</v>
      </c>
      <c r="L529" s="1" t="str">
        <f>IF(L$467,_xll.RtContribute(L$403,L$3&amp;"FX"&amp;$C499&amp;"DDF=","ASK",L305,"SCOPE:SERVER"),"RT_FALSE")</f>
        <v>RT_FALSE</v>
      </c>
      <c r="M529" s="1" t="str">
        <f>IF(M$467,_xll.RtContribute(M$403,M$3&amp;"FX"&amp;$C499&amp;"DDF=","ASK",M305,"SCOPE:SERVER"),"RT_FALSE")</f>
        <v>RT_FALSE</v>
      </c>
      <c r="N529" s="1" t="str">
        <f>IF(N$467,_xll.RtContribute(N$403,N$3&amp;"FX"&amp;$C499&amp;"DDF=","ASK",N305,"SCOPE:SERVER"),"RT_FALSE")</f>
        <v>RT_FALSE</v>
      </c>
      <c r="O529" s="1" t="str">
        <f>IF(O$467,_xll.RtContribute(O$403,O$3&amp;"FX"&amp;$C499&amp;"DDF=","ASK",O305,"SCOPE:SERVER"),"RT_FALSE")</f>
        <v>RT_FALSE</v>
      </c>
      <c r="P529" s="1" t="str">
        <f>IF(P$467,_xll.RtContribute(P$403,P$3&amp;"FX"&amp;$C499&amp;"DDF=","ASK",P305,"SCOPE:SERVER"),"RT_FALSE")</f>
        <v>RT_FALSE</v>
      </c>
      <c r="Q529" s="1" t="str">
        <f>IF(Q$467,_xll.RtContribute(Q$403,Q$3&amp;"FX"&amp;$C499&amp;"DDF=","ASK",Q305,"SCOPE:SERVER"),"RT_FALSE")</f>
        <v>RT_FALSE</v>
      </c>
      <c r="R529" s="1" t="str">
        <f>IF(R$467,_xll.RtContribute(R$403,R$3&amp;"FX"&amp;$C499&amp;"DDF=","ASK",R305,"SCOPE:SERVER"),"RT_FALSE")</f>
        <v>RT_FALSE</v>
      </c>
      <c r="S529" s="1" t="str">
        <f>IF(S$467,_xll.RtContribute(S$403,S$3&amp;"FX"&amp;$C499&amp;"DDF=","ASK",S305,"SCOPE:SERVER"),"RT_FALSE")</f>
        <v>RT_FALSE</v>
      </c>
      <c r="T529" s="1" t="str">
        <f>IF(T$467,_xll.RtContribute(T$403,T$3&amp;"FX"&amp;$C499&amp;"DDF=","ASK",T305,"SCOPE:SERVER"),"RT_FALSE")</f>
        <v>RT_FALSE</v>
      </c>
      <c r="U529" s="1" t="str">
        <f>IF(U$467,_xll.RtContribute(U$403,U$3&amp;"FX"&amp;$C499&amp;"DDF=","ASK",U305,"SCOPE:SERVER"),"RT_FALSE")</f>
        <v>RT_FALSE</v>
      </c>
      <c r="V529" s="1" t="str">
        <f>IF(V$467,_xll.RtContribute(V$403,V$3&amp;"FX"&amp;$C499&amp;"DDF=","ASK",V305,"SCOPE:SERVER"),"RT_FALSE")</f>
        <v>RT_FALSE</v>
      </c>
      <c r="W529" s="1" t="str">
        <f>IF(W$467,_xll.RtContribute(W$403,W$3&amp;"FX"&amp;$C499&amp;"DDF=","ASK",W305,"SCOPE:SERVER"),"RT_FALSE")</f>
        <v>RT_FALSE</v>
      </c>
      <c r="X529" s="1" t="str">
        <f>IF(X$467,_xll.RtContribute(X$403,X$3&amp;"FX"&amp;$C499&amp;"DDF=","ASK",X305,"SCOPE:SERVER"),"RT_FALSE")</f>
        <v>RT_FALSE</v>
      </c>
      <c r="Y529" s="1" t="str">
        <f>IF(Y$467,_xll.RtContribute(Y$403,Y$3&amp;"FX"&amp;$C499&amp;"DDF=","ASK",Y305,"SCOPE:SERVER"),"RT_FALSE")</f>
        <v>RT_FALSE</v>
      </c>
      <c r="Z529" s="1" t="str">
        <f>IF(Z$467,_xll.RtContribute(Z$403,Z$3&amp;"FX"&amp;$C499&amp;"DDF=","ASK",Z305,"SCOPE:SERVER"),"RT_FALSE")</f>
        <v>RT_FALSE</v>
      </c>
      <c r="AA529" s="1" t="str">
        <f>IF(AA$467,_xll.RtContribute(AA$403,AA$3&amp;"FX"&amp;$C499&amp;"DDF=","ASK",AA305,"SCOPE:SERVER"),"RT_FALSE")</f>
        <v>RT_FALSE</v>
      </c>
      <c r="AB529" s="1" t="str">
        <f>IF(AB$467,_xll.RtContribute(AB$403,AB$3&amp;"FX"&amp;$C499&amp;"DDF=","ASK",AB305,"SCOPE:SERVER"),"RT_FALSE")</f>
        <v>RT_FALSE</v>
      </c>
      <c r="AC529" s="1" t="str">
        <f>IF(AC$467,_xll.RtContribute(AC$403,AC$3&amp;"FX"&amp;$C499&amp;"DDF=","ASK",AC305,"SCOPE:SERVER"),"RT_FALSE")</f>
        <v>RT_FALSE</v>
      </c>
      <c r="AD529" s="1" t="str">
        <f>IF(AD$467,_xll.RtContribute(AD$403,AD$3&amp;"FX"&amp;$C499&amp;"DDF=","ASK",AD305,"SCOPE:SERVER"),"RT_FALSE")</f>
        <v>RT_FALSE</v>
      </c>
      <c r="AE529" s="1" t="str">
        <f>IF(AE$467,_xll.RtContribute(AE$403,AE$3&amp;"FX"&amp;$C499&amp;"DDF=","ASK",AE305,"SCOPE:SERVER"),"RT_FALSE")</f>
        <v>RT_FALSE</v>
      </c>
      <c r="AF529" s="1" t="str">
        <f>IF(AF$467,_xll.RtContribute(AF$403,AF$3&amp;"FX"&amp;$C499&amp;"DDF=","ASK",AF305,"SCOPE:SERVER"),"RT_FALSE")</f>
        <v>RT_FALSE</v>
      </c>
      <c r="AG529" s="1" t="str">
        <f>IF(AG$467,_xll.RtContribute(AG$403,AG$3&amp;"FX"&amp;$C499&amp;"DDF=","ASK",AG305,"SCOPE:SERVER"),"RT_FALSE")</f>
        <v>RT_FALSE</v>
      </c>
      <c r="AH529" s="1" t="str">
        <f>IF(AH$467,_xll.RtContribute(AH$403,AH$3&amp;"FX"&amp;$C499&amp;"DDF=","ASK",AH305,"SCOPE:SERVER"),"RT_FALSE")</f>
        <v>RT_FALSE</v>
      </c>
      <c r="AI529" s="1" t="str">
        <f>IF(AI$467,_xll.RtContribute(AI$403,AI$3&amp;"FX"&amp;$C499&amp;"DDF=","ASK",AI305,"SCOPE:SERVER"),"RT_FALSE")</f>
        <v>RT_FALSE</v>
      </c>
      <c r="AJ529" s="1" t="str">
        <f>IF(AJ$467,_xll.RtContribute(AJ$403,AJ$3&amp;"FX"&amp;$C499&amp;"DDF=","ASK",AJ305,"SCOPE:SERVER"),"RT_FALSE")</f>
        <v>RT_FALSE</v>
      </c>
      <c r="AK529" s="1" t="str">
        <f>IF(AK$467,_xll.RtContribute(AK$403,AK$3&amp;"FX"&amp;$C499&amp;"DDF=","ASK",AK305,"SCOPE:SERVER"),"RT_FALSE")</f>
        <v>RT_FALSE</v>
      </c>
      <c r="AL529" s="1" t="str">
        <f>IF(AL$467,_xll.RtContribute(AL$403,AL$3&amp;"FX"&amp;$C499&amp;"DDF=","ASK",AL305,"SCOPE:SERVER"),"RT_FALSE")</f>
        <v>RT_FALSE</v>
      </c>
      <c r="AM529" s="1" t="str">
        <f>IF(AM$467,_xll.RtContribute(AM$403,AM$3&amp;"FX"&amp;$C499&amp;"DDF=","ASK",AM305,"SCOPE:SERVER"),"RT_FALSE")</f>
        <v>RT_FALSE</v>
      </c>
      <c r="AN529" s="1" t="str">
        <f>IF(AN$467,_xll.RtContribute(AN$403,AN$3&amp;"FX"&amp;$C499&amp;"DDF=","ASK",AN305,"SCOPE:SERVER"),"RT_FALSE")</f>
        <v>RT_FALSE</v>
      </c>
      <c r="AO529" s="1" t="str">
        <f>IF(AO$467,_xll.RtContribute(AO$403,AO$3&amp;"FX"&amp;$C499&amp;"DDF=","ASK",AO305,"SCOPE:SERVER"),"RT_FALSE")</f>
        <v>RT_FALSE</v>
      </c>
      <c r="AP529" s="1" t="str">
        <f>IF(AP$467,_xll.RtContribute(AP$403,AP$3&amp;"FX"&amp;$C499&amp;"DDF=","ASK",AP305,"SCOPE:SERVER"),"RT_FALSE")</f>
        <v>RT_FALSE</v>
      </c>
    </row>
    <row r="530" spans="2:42" x14ac:dyDescent="0.2">
      <c r="C530" s="1" t="s">
        <v>30</v>
      </c>
      <c r="D530" s="1" t="str">
        <f>IF(D$467,_xll.RtContribute(D$403,D$3&amp;"FX"&amp;$C500&amp;"DDF=","ASK",D22,"SCOPE:SERVER"),"RT_FALSE")</f>
        <v>RT_FALSE</v>
      </c>
      <c r="E530" s="1" t="str">
        <f>IF(E$467,_xll.RtContribute(E$403,E$3&amp;"FX"&amp;$C500&amp;"DDF=","ASK",E306,"SCOPE:SERVER"),"RT_FALSE")</f>
        <v>RT_FALSE</v>
      </c>
      <c r="F530" s="1" t="str">
        <f>IF(F$467,_xll.RtContribute(F$403,F$3&amp;"FX"&amp;$C500&amp;"DDF=","ASK",F306,"SCOPE:SERVER"),"RT_FALSE")</f>
        <v>RT_FALSE</v>
      </c>
      <c r="G530" s="1" t="str">
        <f>IF(G$467,_xll.RtContribute(G$403,G$3&amp;"FX"&amp;$C500&amp;"DDF=","ASK",G306,"SCOPE:SERVER"),"RT_FALSE")</f>
        <v>RT_FALSE</v>
      </c>
      <c r="H530" s="1" t="str">
        <f>IF(H$467,_xll.RtContribute(H$403,H$3&amp;"FX"&amp;$C500&amp;"DDF=","ASK",H306,"SCOPE:SERVER"),"RT_FALSE")</f>
        <v>RT_FALSE</v>
      </c>
      <c r="I530" s="1" t="str">
        <f>IF(I$467,_xll.RtContribute(I$403,I$3&amp;"FX"&amp;$C500&amp;"DDF=","ASK",I306,"SCOPE:SERVER"),"RT_FALSE")</f>
        <v>RT_FALSE</v>
      </c>
      <c r="J530" s="1" t="str">
        <f>IF(J$467,_xll.RtContribute(J$403,J$3&amp;"FX"&amp;$C500&amp;"DDF=","ASK",J306,"SCOPE:SERVER"),"RT_FALSE")</f>
        <v>RT_FALSE</v>
      </c>
      <c r="K530" s="1" t="str">
        <f>IF(K$467,_xll.RtContribute(K$403,K$3&amp;"FX"&amp;$C500&amp;"DDF=","ASK",K306,"SCOPE:SERVER"),"RT_FALSE")</f>
        <v>RT_FALSE</v>
      </c>
      <c r="L530" s="1" t="str">
        <f>IF(L$467,_xll.RtContribute(L$403,L$3&amp;"FX"&amp;$C500&amp;"DDF=","ASK",L306,"SCOPE:SERVER"),"RT_FALSE")</f>
        <v>RT_FALSE</v>
      </c>
      <c r="M530" s="1" t="str">
        <f>IF(M$467,_xll.RtContribute(M$403,M$3&amp;"FX"&amp;$C500&amp;"DDF=","ASK",M306,"SCOPE:SERVER"),"RT_FALSE")</f>
        <v>RT_FALSE</v>
      </c>
      <c r="N530" s="1" t="str">
        <f>IF(N$467,_xll.RtContribute(N$403,N$3&amp;"FX"&amp;$C500&amp;"DDF=","ASK",N306,"SCOPE:SERVER"),"RT_FALSE")</f>
        <v>RT_FALSE</v>
      </c>
      <c r="O530" s="1" t="str">
        <f>IF(O$467,_xll.RtContribute(O$403,O$3&amp;"FX"&amp;$C500&amp;"DDF=","ASK",O306,"SCOPE:SERVER"),"RT_FALSE")</f>
        <v>RT_FALSE</v>
      </c>
      <c r="P530" s="1" t="str">
        <f>IF(P$467,_xll.RtContribute(P$403,P$3&amp;"FX"&amp;$C500&amp;"DDF=","ASK",P306,"SCOPE:SERVER"),"RT_FALSE")</f>
        <v>RT_FALSE</v>
      </c>
      <c r="Q530" s="1" t="str">
        <f>IF(Q$467,_xll.RtContribute(Q$403,Q$3&amp;"FX"&amp;$C500&amp;"DDF=","ASK",Q306,"SCOPE:SERVER"),"RT_FALSE")</f>
        <v>RT_FALSE</v>
      </c>
      <c r="R530" s="1" t="str">
        <f>IF(R$467,_xll.RtContribute(R$403,R$3&amp;"FX"&amp;$C500&amp;"DDF=","ASK",R306,"SCOPE:SERVER"),"RT_FALSE")</f>
        <v>RT_FALSE</v>
      </c>
      <c r="S530" s="1" t="str">
        <f>IF(S$467,_xll.RtContribute(S$403,S$3&amp;"FX"&amp;$C500&amp;"DDF=","ASK",S306,"SCOPE:SERVER"),"RT_FALSE")</f>
        <v>RT_FALSE</v>
      </c>
      <c r="T530" s="1" t="str">
        <f>IF(T$467,_xll.RtContribute(T$403,T$3&amp;"FX"&amp;$C500&amp;"DDF=","ASK",T306,"SCOPE:SERVER"),"RT_FALSE")</f>
        <v>RT_FALSE</v>
      </c>
      <c r="U530" s="1" t="str">
        <f>IF(U$467,_xll.RtContribute(U$403,U$3&amp;"FX"&amp;$C500&amp;"DDF=","ASK",U306,"SCOPE:SERVER"),"RT_FALSE")</f>
        <v>RT_FALSE</v>
      </c>
      <c r="V530" s="1" t="str">
        <f>IF(V$467,_xll.RtContribute(V$403,V$3&amp;"FX"&amp;$C500&amp;"DDF=","ASK",V306,"SCOPE:SERVER"),"RT_FALSE")</f>
        <v>RT_FALSE</v>
      </c>
      <c r="W530" s="1" t="str">
        <f>IF(W$467,_xll.RtContribute(W$403,W$3&amp;"FX"&amp;$C500&amp;"DDF=","ASK",W306,"SCOPE:SERVER"),"RT_FALSE")</f>
        <v>RT_FALSE</v>
      </c>
      <c r="X530" s="1" t="str">
        <f>IF(X$467,_xll.RtContribute(X$403,X$3&amp;"FX"&amp;$C500&amp;"DDF=","ASK",X306,"SCOPE:SERVER"),"RT_FALSE")</f>
        <v>RT_FALSE</v>
      </c>
      <c r="Y530" s="1" t="str">
        <f>IF(Y$467,_xll.RtContribute(Y$403,Y$3&amp;"FX"&amp;$C500&amp;"DDF=","ASK",Y306,"SCOPE:SERVER"),"RT_FALSE")</f>
        <v>RT_FALSE</v>
      </c>
      <c r="Z530" s="1" t="str">
        <f>IF(Z$467,_xll.RtContribute(Z$403,Z$3&amp;"FX"&amp;$C500&amp;"DDF=","ASK",Z306,"SCOPE:SERVER"),"RT_FALSE")</f>
        <v>RT_FALSE</v>
      </c>
      <c r="AA530" s="1" t="str">
        <f>IF(AA$467,_xll.RtContribute(AA$403,AA$3&amp;"FX"&amp;$C500&amp;"DDF=","ASK",AA306,"SCOPE:SERVER"),"RT_FALSE")</f>
        <v>RT_FALSE</v>
      </c>
      <c r="AB530" s="1" t="str">
        <f>IF(AB$467,_xll.RtContribute(AB$403,AB$3&amp;"FX"&amp;$C500&amp;"DDF=","ASK",AB306,"SCOPE:SERVER"),"RT_FALSE")</f>
        <v>RT_FALSE</v>
      </c>
      <c r="AC530" s="1" t="str">
        <f>IF(AC$467,_xll.RtContribute(AC$403,AC$3&amp;"FX"&amp;$C500&amp;"DDF=","ASK",AC306,"SCOPE:SERVER"),"RT_FALSE")</f>
        <v>RT_FALSE</v>
      </c>
      <c r="AD530" s="1" t="str">
        <f>IF(AD$467,_xll.RtContribute(AD$403,AD$3&amp;"FX"&amp;$C500&amp;"DDF=","ASK",AD306,"SCOPE:SERVER"),"RT_FALSE")</f>
        <v>RT_FALSE</v>
      </c>
      <c r="AE530" s="1" t="str">
        <f>IF(AE$467,_xll.RtContribute(AE$403,AE$3&amp;"FX"&amp;$C500&amp;"DDF=","ASK",AE306,"SCOPE:SERVER"),"RT_FALSE")</f>
        <v>RT_FALSE</v>
      </c>
      <c r="AF530" s="1" t="str">
        <f>IF(AF$467,_xll.RtContribute(AF$403,AF$3&amp;"FX"&amp;$C500&amp;"DDF=","ASK",AF306,"SCOPE:SERVER"),"RT_FALSE")</f>
        <v>RT_FALSE</v>
      </c>
      <c r="AG530" s="1" t="str">
        <f>IF(AG$467,_xll.RtContribute(AG$403,AG$3&amp;"FX"&amp;$C500&amp;"DDF=","ASK",AG306,"SCOPE:SERVER"),"RT_FALSE")</f>
        <v>RT_FALSE</v>
      </c>
      <c r="AH530" s="1" t="str">
        <f>IF(AH$467,_xll.RtContribute(AH$403,AH$3&amp;"FX"&amp;$C500&amp;"DDF=","ASK",AH306,"SCOPE:SERVER"),"RT_FALSE")</f>
        <v>RT_FALSE</v>
      </c>
      <c r="AI530" s="1" t="str">
        <f>IF(AI$467,_xll.RtContribute(AI$403,AI$3&amp;"FX"&amp;$C500&amp;"DDF=","ASK",AI306,"SCOPE:SERVER"),"RT_FALSE")</f>
        <v>RT_FALSE</v>
      </c>
      <c r="AJ530" s="1" t="str">
        <f>IF(AJ$467,_xll.RtContribute(AJ$403,AJ$3&amp;"FX"&amp;$C500&amp;"DDF=","ASK",AJ306,"SCOPE:SERVER"),"RT_FALSE")</f>
        <v>RT_FALSE</v>
      </c>
      <c r="AK530" s="1" t="str">
        <f>IF(AK$467,_xll.RtContribute(AK$403,AK$3&amp;"FX"&amp;$C500&amp;"DDF=","ASK",AK306,"SCOPE:SERVER"),"RT_FALSE")</f>
        <v>RT_FALSE</v>
      </c>
      <c r="AL530" s="1" t="str">
        <f>IF(AL$467,_xll.RtContribute(AL$403,AL$3&amp;"FX"&amp;$C500&amp;"DDF=","ASK",AL306,"SCOPE:SERVER"),"RT_FALSE")</f>
        <v>RT_FALSE</v>
      </c>
      <c r="AM530" s="1" t="str">
        <f>IF(AM$467,_xll.RtContribute(AM$403,AM$3&amp;"FX"&amp;$C500&amp;"DDF=","ASK",AM306,"SCOPE:SERVER"),"RT_FALSE")</f>
        <v>RT_FALSE</v>
      </c>
      <c r="AN530" s="1" t="str">
        <f>IF(AN$467,_xll.RtContribute(AN$403,AN$3&amp;"FX"&amp;$C500&amp;"DDF=","ASK",AN306,"SCOPE:SERVER"),"RT_FALSE")</f>
        <v>RT_FALSE</v>
      </c>
      <c r="AO530" s="1" t="str">
        <f>IF(AO$467,_xll.RtContribute(AO$403,AO$3&amp;"FX"&amp;$C500&amp;"DDF=","ASK",AO306,"SCOPE:SERVER"),"RT_FALSE")</f>
        <v>RT_FALSE</v>
      </c>
      <c r="AP530" s="1" t="str">
        <f>IF(AP$467,_xll.RtContribute(AP$403,AP$3&amp;"FX"&amp;$C500&amp;"DDF=","ASK",AP306,"SCOPE:SERVER"),"RT_FALSE")</f>
        <v>RT_FALSE</v>
      </c>
    </row>
    <row r="531" spans="2:42" x14ac:dyDescent="0.2">
      <c r="C531" s="1" t="s">
        <v>41</v>
      </c>
      <c r="D531" s="1" t="str">
        <f>IF(D$467,_xll.RtContribute(D$403,D$3&amp;"FX"&amp;$C501&amp;"DDF=","ASK",D23,"SCOPE:SERVER"),"RT_FALSE")</f>
        <v>RT_FALSE</v>
      </c>
      <c r="E531" s="1" t="str">
        <f>IF(E$467,_xll.RtContribute(E$403,E$3&amp;"FX"&amp;$C501&amp;"DDF=","ASK",E307,"SCOPE:SERVER"),"RT_FALSE")</f>
        <v>RT_FALSE</v>
      </c>
      <c r="F531" s="1" t="str">
        <f>IF(F$467,_xll.RtContribute(F$403,F$3&amp;"FX"&amp;$C501&amp;"DDF=","ASK",F307,"SCOPE:SERVER"),"RT_FALSE")</f>
        <v>RT_FALSE</v>
      </c>
      <c r="G531" s="1" t="str">
        <f>IF(G$467,_xll.RtContribute(G$403,G$3&amp;"FX"&amp;$C501&amp;"DDF=","ASK",G307,"SCOPE:SERVER"),"RT_FALSE")</f>
        <v>RT_FALSE</v>
      </c>
      <c r="H531" s="1" t="str">
        <f>IF(H$467,_xll.RtContribute(H$403,H$3&amp;"FX"&amp;$C501&amp;"DDF=","ASK",H307,"SCOPE:SERVER"),"RT_FALSE")</f>
        <v>RT_FALSE</v>
      </c>
      <c r="I531" s="1" t="str">
        <f>IF(I$467,_xll.RtContribute(I$403,I$3&amp;"FX"&amp;$C501&amp;"DDF=","ASK",I307,"SCOPE:SERVER"),"RT_FALSE")</f>
        <v>RT_FALSE</v>
      </c>
      <c r="J531" s="1" t="str">
        <f>IF(J$467,_xll.RtContribute(J$403,J$3&amp;"FX"&amp;$C501&amp;"DDF=","ASK",J307,"SCOPE:SERVER"),"RT_FALSE")</f>
        <v>RT_FALSE</v>
      </c>
      <c r="K531" s="1" t="str">
        <f>IF(K$467,_xll.RtContribute(K$403,K$3&amp;"FX"&amp;$C501&amp;"DDF=","ASK",K307,"SCOPE:SERVER"),"RT_FALSE")</f>
        <v>RT_FALSE</v>
      </c>
      <c r="L531" s="1" t="str">
        <f>IF(L$467,_xll.RtContribute(L$403,L$3&amp;"FX"&amp;$C501&amp;"DDF=","ASK",L307,"SCOPE:SERVER"),"RT_FALSE")</f>
        <v>RT_FALSE</v>
      </c>
      <c r="M531" s="1" t="str">
        <f>IF(M$467,_xll.RtContribute(M$403,M$3&amp;"FX"&amp;$C501&amp;"DDF=","ASK",M307,"SCOPE:SERVER"),"RT_FALSE")</f>
        <v>RT_FALSE</v>
      </c>
      <c r="N531" s="1" t="str">
        <f>IF(N$467,_xll.RtContribute(N$403,N$3&amp;"FX"&amp;$C501&amp;"DDF=","ASK",N307,"SCOPE:SERVER"),"RT_FALSE")</f>
        <v>RT_FALSE</v>
      </c>
      <c r="O531" s="1" t="str">
        <f>IF(O$467,_xll.RtContribute(O$403,O$3&amp;"FX"&amp;$C501&amp;"DDF=","ASK",O307,"SCOPE:SERVER"),"RT_FALSE")</f>
        <v>RT_FALSE</v>
      </c>
      <c r="P531" s="1" t="str">
        <f>IF(P$467,_xll.RtContribute(P$403,P$3&amp;"FX"&amp;$C501&amp;"DDF=","ASK",P307,"SCOPE:SERVER"),"RT_FALSE")</f>
        <v>RT_FALSE</v>
      </c>
      <c r="Q531" s="1" t="str">
        <f>IF(Q$467,_xll.RtContribute(Q$403,Q$3&amp;"FX"&amp;$C501&amp;"DDF=","ASK",Q307,"SCOPE:SERVER"),"RT_FALSE")</f>
        <v>RT_FALSE</v>
      </c>
      <c r="R531" s="1" t="str">
        <f>IF(R$467,_xll.RtContribute(R$403,R$3&amp;"FX"&amp;$C501&amp;"DDF=","ASK",R307,"SCOPE:SERVER"),"RT_FALSE")</f>
        <v>RT_FALSE</v>
      </c>
      <c r="S531" s="1" t="str">
        <f>IF(S$467,_xll.RtContribute(S$403,S$3&amp;"FX"&amp;$C501&amp;"DDF=","ASK",S307,"SCOPE:SERVER"),"RT_FALSE")</f>
        <v>RT_FALSE</v>
      </c>
      <c r="T531" s="1" t="str">
        <f>IF(T$467,_xll.RtContribute(T$403,T$3&amp;"FX"&amp;$C501&amp;"DDF=","ASK",T307,"SCOPE:SERVER"),"RT_FALSE")</f>
        <v>RT_FALSE</v>
      </c>
      <c r="U531" s="1" t="str">
        <f>IF(U$467,_xll.RtContribute(U$403,U$3&amp;"FX"&amp;$C501&amp;"DDF=","ASK",U307,"SCOPE:SERVER"),"RT_FALSE")</f>
        <v>RT_FALSE</v>
      </c>
      <c r="V531" s="1" t="str">
        <f>IF(V$467,_xll.RtContribute(V$403,V$3&amp;"FX"&amp;$C501&amp;"DDF=","ASK",V307,"SCOPE:SERVER"),"RT_FALSE")</f>
        <v>RT_FALSE</v>
      </c>
      <c r="W531" s="1" t="str">
        <f>IF(W$467,_xll.RtContribute(W$403,W$3&amp;"FX"&amp;$C501&amp;"DDF=","ASK",W307,"SCOPE:SERVER"),"RT_FALSE")</f>
        <v>RT_FALSE</v>
      </c>
      <c r="X531" s="1" t="str">
        <f>IF(X$467,_xll.RtContribute(X$403,X$3&amp;"FX"&amp;$C501&amp;"DDF=","ASK",X307,"SCOPE:SERVER"),"RT_FALSE")</f>
        <v>RT_FALSE</v>
      </c>
      <c r="Y531" s="1" t="str">
        <f>IF(Y$467,_xll.RtContribute(Y$403,Y$3&amp;"FX"&amp;$C501&amp;"DDF=","ASK",Y307,"SCOPE:SERVER"),"RT_FALSE")</f>
        <v>RT_FALSE</v>
      </c>
      <c r="Z531" s="1" t="str">
        <f>IF(Z$467,_xll.RtContribute(Z$403,Z$3&amp;"FX"&amp;$C501&amp;"DDF=","ASK",Z307,"SCOPE:SERVER"),"RT_FALSE")</f>
        <v>RT_FALSE</v>
      </c>
      <c r="AA531" s="1" t="str">
        <f>IF(AA$467,_xll.RtContribute(AA$403,AA$3&amp;"FX"&amp;$C501&amp;"DDF=","ASK",AA307,"SCOPE:SERVER"),"RT_FALSE")</f>
        <v>RT_FALSE</v>
      </c>
      <c r="AB531" s="1" t="str">
        <f>IF(AB$467,_xll.RtContribute(AB$403,AB$3&amp;"FX"&amp;$C501&amp;"DDF=","ASK",AB307,"SCOPE:SERVER"),"RT_FALSE")</f>
        <v>RT_FALSE</v>
      </c>
      <c r="AC531" s="1" t="str">
        <f>IF(AC$467,_xll.RtContribute(AC$403,AC$3&amp;"FX"&amp;$C501&amp;"DDF=","ASK",AC307,"SCOPE:SERVER"),"RT_FALSE")</f>
        <v>RT_FALSE</v>
      </c>
      <c r="AD531" s="1" t="str">
        <f>IF(AD$467,_xll.RtContribute(AD$403,AD$3&amp;"FX"&amp;$C501&amp;"DDF=","ASK",AD307,"SCOPE:SERVER"),"RT_FALSE")</f>
        <v>RT_FALSE</v>
      </c>
      <c r="AE531" s="1" t="str">
        <f>IF(AE$467,_xll.RtContribute(AE$403,AE$3&amp;"FX"&amp;$C501&amp;"DDF=","ASK",AE307,"SCOPE:SERVER"),"RT_FALSE")</f>
        <v>RT_FALSE</v>
      </c>
      <c r="AF531" s="1" t="str">
        <f>IF(AF$467,_xll.RtContribute(AF$403,AF$3&amp;"FX"&amp;$C501&amp;"DDF=","ASK",AF307,"SCOPE:SERVER"),"RT_FALSE")</f>
        <v>RT_FALSE</v>
      </c>
      <c r="AG531" s="1" t="str">
        <f>IF(AG$467,_xll.RtContribute(AG$403,AG$3&amp;"FX"&amp;$C501&amp;"DDF=","ASK",AG307,"SCOPE:SERVER"),"RT_FALSE")</f>
        <v>RT_FALSE</v>
      </c>
      <c r="AH531" s="1" t="str">
        <f>IF(AH$467,_xll.RtContribute(AH$403,AH$3&amp;"FX"&amp;$C501&amp;"DDF=","ASK",AH307,"SCOPE:SERVER"),"RT_FALSE")</f>
        <v>RT_FALSE</v>
      </c>
      <c r="AI531" s="1" t="str">
        <f>IF(AI$467,_xll.RtContribute(AI$403,AI$3&amp;"FX"&amp;$C501&amp;"DDF=","ASK",AI307,"SCOPE:SERVER"),"RT_FALSE")</f>
        <v>RT_FALSE</v>
      </c>
      <c r="AJ531" s="1" t="str">
        <f>IF(AJ$467,_xll.RtContribute(AJ$403,AJ$3&amp;"FX"&amp;$C501&amp;"DDF=","ASK",AJ307,"SCOPE:SERVER"),"RT_FALSE")</f>
        <v>RT_FALSE</v>
      </c>
      <c r="AK531" s="1" t="str">
        <f>IF(AK$467,_xll.RtContribute(AK$403,AK$3&amp;"FX"&amp;$C501&amp;"DDF=","ASK",AK307,"SCOPE:SERVER"),"RT_FALSE")</f>
        <v>RT_FALSE</v>
      </c>
      <c r="AL531" s="1" t="str">
        <f>IF(AL$467,_xll.RtContribute(AL$403,AL$3&amp;"FX"&amp;$C501&amp;"DDF=","ASK",AL307,"SCOPE:SERVER"),"RT_FALSE")</f>
        <v>RT_FALSE</v>
      </c>
      <c r="AM531" s="1" t="str">
        <f>IF(AM$467,_xll.RtContribute(AM$403,AM$3&amp;"FX"&amp;$C501&amp;"DDF=","ASK",AM307,"SCOPE:SERVER"),"RT_FALSE")</f>
        <v>RT_FALSE</v>
      </c>
      <c r="AN531" s="1" t="str">
        <f>IF(AN$467,_xll.RtContribute(AN$403,AN$3&amp;"FX"&amp;$C501&amp;"DDF=","ASK",AN307,"SCOPE:SERVER"),"RT_FALSE")</f>
        <v>RT_FALSE</v>
      </c>
      <c r="AO531" s="1" t="str">
        <f>IF(AO$467,_xll.RtContribute(AO$403,AO$3&amp;"FX"&amp;$C501&amp;"DDF=","ASK",AO307,"SCOPE:SERVER"),"RT_FALSE")</f>
        <v>RT_FALSE</v>
      </c>
      <c r="AP531" s="1" t="str">
        <f>IF(AP$467,_xll.RtContribute(AP$403,AP$3&amp;"FX"&amp;$C501&amp;"DDF=","ASK",AP307,"SCOPE:SERVER"),"RT_FALSE")</f>
        <v>RT_FALSE</v>
      </c>
    </row>
    <row r="532" spans="2:42" x14ac:dyDescent="0.2">
      <c r="B532" s="305" t="s">
        <v>313</v>
      </c>
      <c r="C532" s="1" t="s">
        <v>92</v>
      </c>
      <c r="D532" s="1" t="str">
        <f>IF(D$467,_xll.RtContribute(D$403,D$3&amp;"FX"&amp;$C502&amp;"DDF=","ASK",D24,"SCOPE:SERVER"),"RT_FALSE")</f>
        <v>RT_FALSE</v>
      </c>
      <c r="E532" s="1" t="str">
        <f>IF(E$467,_xll.RtContribute(E$403,E$3&amp;"FX"&amp;$C502&amp;"DDF=","ASK",E308,"SCOPE:SERVER"),"RT_FALSE")</f>
        <v>RT_FALSE</v>
      </c>
      <c r="F532" s="1" t="str">
        <f>IF(F$467,_xll.RtContribute(F$403,F$3&amp;"FX"&amp;$C502&amp;"DDF=","ASK",F308,"SCOPE:SERVER"),"RT_FALSE")</f>
        <v>RT_FALSE</v>
      </c>
      <c r="G532" s="1" t="str">
        <f>IF(G$467,_xll.RtContribute(G$403,G$3&amp;"FX"&amp;$C502&amp;"DDF=","ASK",G308,"SCOPE:SERVER"),"RT_FALSE")</f>
        <v>RT_FALSE</v>
      </c>
      <c r="H532" s="1" t="str">
        <f>IF(H$467,_xll.RtContribute(H$403,H$3&amp;"FX"&amp;$C502&amp;"DDF=","ASK",H308,"SCOPE:SERVER"),"RT_FALSE")</f>
        <v>RT_FALSE</v>
      </c>
      <c r="I532" s="1" t="str">
        <f>IF(I$467,_xll.RtContribute(I$403,I$3&amp;"FX"&amp;$C502&amp;"DDF=","ASK",I308,"SCOPE:SERVER"),"RT_FALSE")</f>
        <v>RT_FALSE</v>
      </c>
      <c r="J532" s="1" t="str">
        <f>IF(J$467,_xll.RtContribute(J$403,J$3&amp;"FX"&amp;$C502&amp;"DDF=","ASK",J308,"SCOPE:SERVER"),"RT_FALSE")</f>
        <v>RT_FALSE</v>
      </c>
      <c r="K532" s="1" t="str">
        <f>IF(K$467,_xll.RtContribute(K$403,K$3&amp;"FX"&amp;$C502&amp;"DDF=","ASK",K308,"SCOPE:SERVER"),"RT_FALSE")</f>
        <v>RT_FALSE</v>
      </c>
      <c r="L532" s="1" t="str">
        <f>IF(L$467,_xll.RtContribute(L$403,L$3&amp;"FX"&amp;$C502&amp;"DDF=","ASK",L308,"SCOPE:SERVER"),"RT_FALSE")</f>
        <v>RT_FALSE</v>
      </c>
      <c r="M532" s="1" t="str">
        <f>IF(M$467,_xll.RtContribute(M$403,M$3&amp;"FX"&amp;$C502&amp;"DDF=","ASK",M308,"SCOPE:SERVER"),"RT_FALSE")</f>
        <v>RT_FALSE</v>
      </c>
      <c r="N532" s="1" t="str">
        <f>IF(N$467,_xll.RtContribute(N$403,N$3&amp;"FX"&amp;$C502&amp;"DDF=","ASK",N308,"SCOPE:SERVER"),"RT_FALSE")</f>
        <v>RT_FALSE</v>
      </c>
      <c r="O532" s="1" t="str">
        <f>IF(O$467,_xll.RtContribute(O$403,O$3&amp;"FX"&amp;$C502&amp;"DDF=","ASK",O308,"SCOPE:SERVER"),"RT_FALSE")</f>
        <v>RT_FALSE</v>
      </c>
      <c r="P532" s="1" t="str">
        <f>IF(P$467,_xll.RtContribute(P$403,P$3&amp;"FX"&amp;$C502&amp;"DDF=","ASK",P308,"SCOPE:SERVER"),"RT_FALSE")</f>
        <v>RT_FALSE</v>
      </c>
      <c r="Q532" s="1" t="str">
        <f>IF(Q$467,_xll.RtContribute(Q$403,Q$3&amp;"FX"&amp;$C502&amp;"DDF=","ASK",Q308,"SCOPE:SERVER"),"RT_FALSE")</f>
        <v>RT_FALSE</v>
      </c>
      <c r="R532" s="1" t="str">
        <f>IF(R$467,_xll.RtContribute(R$403,R$3&amp;"FX"&amp;$C502&amp;"DDF=","ASK",R308,"SCOPE:SERVER"),"RT_FALSE")</f>
        <v>RT_FALSE</v>
      </c>
      <c r="S532" s="1" t="str">
        <f>IF(S$467,_xll.RtContribute(S$403,S$3&amp;"FX"&amp;$C502&amp;"DDF=","ASK",S308,"SCOPE:SERVER"),"RT_FALSE")</f>
        <v>RT_FALSE</v>
      </c>
      <c r="T532" s="1" t="str">
        <f>IF(T$467,_xll.RtContribute(T$403,T$3&amp;"FX"&amp;$C502&amp;"DDF=","ASK",T308,"SCOPE:SERVER"),"RT_FALSE")</f>
        <v>RT_FALSE</v>
      </c>
      <c r="U532" s="305" t="str">
        <f>IF(U$467,_xll.RtContribute(U$403,U$3&amp;"FXSWDDF=","ASK",U308,"SCOPE:SERVER"),"RT_FALSE")</f>
        <v>RT_FALSE</v>
      </c>
      <c r="V532" s="305" t="str">
        <f>IF(V$467,_xll.RtContribute(V$403,V$3&amp;"FXSWDDF=","ASK",V308,"SCOPE:SERVER"),"RT_FALSE")</f>
        <v>RT_FALSE</v>
      </c>
      <c r="W532" s="305" t="str">
        <f>IF(W$467,_xll.RtContribute(W$403,W$3&amp;"FXSWDDF=","ASK",W308,"SCOPE:SERVER"),"RT_FALSE")</f>
        <v>RT_FALSE</v>
      </c>
      <c r="X532" s="305" t="str">
        <f>IF(X$467,_xll.RtContribute(X$403,X$3&amp;"FXSWDDF=","ASK",X308,"SCOPE:SERVER"),"RT_FALSE")</f>
        <v>RT_FALSE</v>
      </c>
      <c r="Y532" s="305" t="str">
        <f>IF(Y$467,_xll.RtContribute(Y$403,Y$3&amp;"FXSWDDF=","ASK",Y308,"SCOPE:SERVER"),"RT_FALSE")</f>
        <v>RT_FALSE</v>
      </c>
      <c r="Z532" s="305" t="str">
        <f>IF(Z$467,_xll.RtContribute(Z$403,Z$3&amp;"FXSWDDF=","ASK",Z308,"SCOPE:SERVER"),"RT_FALSE")</f>
        <v>RT_FALSE</v>
      </c>
      <c r="AA532" s="305" t="str">
        <f>IF(AA$467,_xll.RtContribute(AA$403,AA$3&amp;"FXSWDDF=","ASK",AA308,"SCOPE:SERVER"),"RT_FALSE")</f>
        <v>RT_FALSE</v>
      </c>
      <c r="AB532" s="305" t="str">
        <f>IF(AB$467,_xll.RtContribute(AB$403,AB$3&amp;"FXSWDDF=","ASK",AB308,"SCOPE:SERVER"),"RT_FALSE")</f>
        <v>RT_FALSE</v>
      </c>
      <c r="AC532" s="305" t="str">
        <f>IF(AC$467,_xll.RtContribute(AC$403,AC$3&amp;"FXSWDDF=","ASK",AC308,"SCOPE:SERVER"),"RT_FALSE")</f>
        <v>RT_FALSE</v>
      </c>
      <c r="AD532" s="305" t="str">
        <f>IF(AD$467,_xll.RtContribute(AD$403,AD$3&amp;"FXSWDDF=","ASK",AD308,"SCOPE:SERVER"),"RT_FALSE")</f>
        <v>RT_FALSE</v>
      </c>
      <c r="AE532" s="305" t="str">
        <f>IF(AE$467,_xll.RtContribute(AE$403,AE$3&amp;"FXSWDDF=","ASK",AE308,"SCOPE:SERVER"),"RT_FALSE")</f>
        <v>RT_FALSE</v>
      </c>
      <c r="AF532" s="305" t="str">
        <f>IF(AF$467,_xll.RtContribute(AF$403,AF$3&amp;"FXSWDDF=","ASK",AF308,"SCOPE:SERVER"),"RT_FALSE")</f>
        <v>RT_FALSE</v>
      </c>
      <c r="AG532" s="305" t="str">
        <f>IF(AG$467,_xll.RtContribute(AG$403,AG$3&amp;"FXSWDDF=","ASK",AG308,"SCOPE:SERVER"),"RT_FALSE")</f>
        <v>RT_FALSE</v>
      </c>
      <c r="AH532" s="305" t="str">
        <f>IF(AH$467,_xll.RtContribute(AH$403,AH$3&amp;"FXSWDDF=","ASK",AH308,"SCOPE:SERVER"),"RT_FALSE")</f>
        <v>RT_FALSE</v>
      </c>
      <c r="AI532" s="305" t="str">
        <f>IF(AI$467,_xll.RtContribute(AI$403,AI$3&amp;"FXSWDDF=","ASK",AI308,"SCOPE:SERVER"),"RT_FALSE")</f>
        <v>RT_FALSE</v>
      </c>
      <c r="AJ532" s="305" t="str">
        <f>IF(AJ$467,_xll.RtContribute(AJ$403,AJ$3&amp;"FXSWDDF=","ASK",AJ308,"SCOPE:SERVER"),"RT_FALSE")</f>
        <v>RT_FALSE</v>
      </c>
      <c r="AK532" s="305" t="str">
        <f>IF(AK$467,_xll.RtContribute(AK$403,AK$3&amp;"FXSWDDF=","ASK",AK308,"SCOPE:SERVER"),"RT_FALSE")</f>
        <v>RT_FALSE</v>
      </c>
      <c r="AL532" s="305" t="str">
        <f>IF(AL$467,_xll.RtContribute(AL$403,AL$3&amp;"FXSWDDF=","ASK",AL308,"SCOPE:SERVER"),"RT_FALSE")</f>
        <v>RT_FALSE</v>
      </c>
      <c r="AM532" s="305" t="str">
        <f>IF(AM$467,_xll.RtContribute(AM$403,AM$3&amp;"FXSWDDF=","ASK",AM308,"SCOPE:SERVER"),"RT_FALSE")</f>
        <v>RT_FALSE</v>
      </c>
      <c r="AN532" s="305" t="str">
        <f>IF(AN$467,_xll.RtContribute(AN$403,AN$3&amp;"FXSWDDF=","ASK",AN308,"SCOPE:SERVER"),"RT_FALSE")</f>
        <v>RT_FALSE</v>
      </c>
      <c r="AO532" s="1" t="str">
        <f>IF(AO$467,_xll.RtContribute(AO$403,AO$3&amp;"FX"&amp;$C502&amp;"DDF=","ASK",AO308,"SCOPE:SERVER"),"RT_FALSE")</f>
        <v>RT_FALSE</v>
      </c>
      <c r="AP532" s="1" t="str">
        <f>IF(AP$467,_xll.RtContribute(AP$403,AP$3&amp;"FX"&amp;$C502&amp;"DDF=","ASK",AP308,"SCOPE:SERVER"),"RT_FALSE")</f>
        <v>RT_FALSE</v>
      </c>
    </row>
    <row r="533" spans="2:42" x14ac:dyDescent="0.2">
      <c r="C533" s="1" t="s">
        <v>55</v>
      </c>
      <c r="D533" s="1" t="str">
        <f>IF(D$467,_xll.RtContribute(D$403,D$3&amp;"FX"&amp;$C503&amp;"DDF=","ASK",D25,"SCOPE:SERVER"),"RT_FALSE")</f>
        <v>RT_FALSE</v>
      </c>
      <c r="E533" s="1" t="str">
        <f>IF(E$467,_xll.RtContribute(E$403,E$3&amp;"FX"&amp;$C503&amp;"DDF=","ASK",E309,"SCOPE:SERVER"),"RT_FALSE")</f>
        <v>RT_FALSE</v>
      </c>
      <c r="F533" s="1" t="str">
        <f>IF(F$467,_xll.RtContribute(F$403,F$3&amp;"FX"&amp;$C503&amp;"DDF=","ASK",F309,"SCOPE:SERVER"),"RT_FALSE")</f>
        <v>RT_FALSE</v>
      </c>
      <c r="G533" s="1" t="str">
        <f>IF(G$467,_xll.RtContribute(G$403,G$3&amp;"FX"&amp;$C503&amp;"DDF=","ASK",G309,"SCOPE:SERVER"),"RT_FALSE")</f>
        <v>RT_FALSE</v>
      </c>
      <c r="H533" s="1" t="str">
        <f>IF(H$467,_xll.RtContribute(H$403,H$3&amp;"FX"&amp;$C503&amp;"DDF=","ASK",H309,"SCOPE:SERVER"),"RT_FALSE")</f>
        <v>RT_FALSE</v>
      </c>
      <c r="I533" s="1" t="str">
        <f>IF(I$467,_xll.RtContribute(I$403,I$3&amp;"FX"&amp;$C503&amp;"DDF=","ASK",I309,"SCOPE:SERVER"),"RT_FALSE")</f>
        <v>RT_FALSE</v>
      </c>
      <c r="J533" s="1" t="str">
        <f>IF(J$467,_xll.RtContribute(J$403,J$3&amp;"FX"&amp;$C503&amp;"DDF=","ASK",J309,"SCOPE:SERVER"),"RT_FALSE")</f>
        <v>RT_FALSE</v>
      </c>
      <c r="K533" s="1" t="str">
        <f>IF(K$467,_xll.RtContribute(K$403,K$3&amp;"FX"&amp;$C503&amp;"DDF=","ASK",K309,"SCOPE:SERVER"),"RT_FALSE")</f>
        <v>RT_FALSE</v>
      </c>
      <c r="L533" s="1" t="str">
        <f>IF(L$467,_xll.RtContribute(L$403,L$3&amp;"FX"&amp;$C503&amp;"DDF=","ASK",L309,"SCOPE:SERVER"),"RT_FALSE")</f>
        <v>RT_FALSE</v>
      </c>
      <c r="M533" s="1" t="str">
        <f>IF(M$467,_xll.RtContribute(M$403,M$3&amp;"FX"&amp;$C503&amp;"DDF=","ASK",M309,"SCOPE:SERVER"),"RT_FALSE")</f>
        <v>RT_FALSE</v>
      </c>
      <c r="N533" s="1" t="str">
        <f>IF(N$467,_xll.RtContribute(N$403,N$3&amp;"FX"&amp;$C503&amp;"DDF=","ASK",N309,"SCOPE:SERVER"),"RT_FALSE")</f>
        <v>RT_FALSE</v>
      </c>
      <c r="O533" s="1" t="str">
        <f>IF(O$467,_xll.RtContribute(O$403,O$3&amp;"FX"&amp;$C503&amp;"DDF=","ASK",O309,"SCOPE:SERVER"),"RT_FALSE")</f>
        <v>RT_FALSE</v>
      </c>
      <c r="P533" s="1" t="str">
        <f>IF(P$467,_xll.RtContribute(P$403,P$3&amp;"FX"&amp;$C503&amp;"DDF=","ASK",P309,"SCOPE:SERVER"),"RT_FALSE")</f>
        <v>RT_FALSE</v>
      </c>
      <c r="Q533" s="1" t="str">
        <f>IF(Q$467,_xll.RtContribute(Q$403,Q$3&amp;"FX"&amp;$C503&amp;"DDF=","ASK",Q309,"SCOPE:SERVER"),"RT_FALSE")</f>
        <v>RT_FALSE</v>
      </c>
      <c r="R533" s="1" t="str">
        <f>IF(R$467,_xll.RtContribute(R$403,R$3&amp;"FX"&amp;$C503&amp;"DDF=","ASK",R309,"SCOPE:SERVER"),"RT_FALSE")</f>
        <v>RT_FALSE</v>
      </c>
      <c r="S533" s="1" t="str">
        <f>IF(S$467,_xll.RtContribute(S$403,S$3&amp;"FX"&amp;$C503&amp;"DDF=","ASK",S309,"SCOPE:SERVER"),"RT_FALSE")</f>
        <v>RT_FALSE</v>
      </c>
      <c r="T533" s="1" t="str">
        <f>IF(T$467,_xll.RtContribute(T$403,T$3&amp;"FX"&amp;$C503&amp;"DDF=","ASK",T309,"SCOPE:SERVER"),"RT_FALSE")</f>
        <v>RT_FALSE</v>
      </c>
      <c r="U533" s="1" t="str">
        <f>IF(U$467,_xll.RtContribute(U$403,U$3&amp;"FX"&amp;$C503&amp;"DDF=","ASK",U309,"SCOPE:SERVER"),"RT_FALSE")</f>
        <v>RT_FALSE</v>
      </c>
      <c r="V533" s="1" t="str">
        <f>IF(V$467,_xll.RtContribute(V$403,V$3&amp;"FX"&amp;$C503&amp;"DDF=","ASK",V309,"SCOPE:SERVER"),"RT_FALSE")</f>
        <v>RT_FALSE</v>
      </c>
      <c r="W533" s="1" t="str">
        <f>IF(W$467,_xll.RtContribute(W$403,W$3&amp;"FX"&amp;$C503&amp;"DDF=","ASK",W309,"SCOPE:SERVER"),"RT_FALSE")</f>
        <v>RT_FALSE</v>
      </c>
      <c r="X533" s="1" t="str">
        <f>IF(X$467,_xll.RtContribute(X$403,X$3&amp;"FX"&amp;$C503&amp;"DDF=","ASK",X309,"SCOPE:SERVER"),"RT_FALSE")</f>
        <v>RT_FALSE</v>
      </c>
      <c r="Y533" s="1" t="str">
        <f>IF(Y$467,_xll.RtContribute(Y$403,Y$3&amp;"FX"&amp;$C503&amp;"DDF=","ASK",Y309,"SCOPE:SERVER"),"RT_FALSE")</f>
        <v>RT_FALSE</v>
      </c>
      <c r="Z533" s="1" t="str">
        <f>IF(Z$467,_xll.RtContribute(Z$403,Z$3&amp;"FX"&amp;$C503&amp;"DDF=","ASK",Z309,"SCOPE:SERVER"),"RT_FALSE")</f>
        <v>RT_FALSE</v>
      </c>
      <c r="AA533" s="1" t="str">
        <f>IF(AA$467,_xll.RtContribute(AA$403,AA$3&amp;"FX"&amp;$C503&amp;"DDF=","ASK",AA309,"SCOPE:SERVER"),"RT_FALSE")</f>
        <v>RT_FALSE</v>
      </c>
      <c r="AB533" s="1" t="str">
        <f>IF(AB$467,_xll.RtContribute(AB$403,AB$3&amp;"FX"&amp;$C503&amp;"DDF=","ASK",AB309,"SCOPE:SERVER"),"RT_FALSE")</f>
        <v>RT_FALSE</v>
      </c>
      <c r="AC533" s="1" t="str">
        <f>IF(AC$467,_xll.RtContribute(AC$403,AC$3&amp;"FX"&amp;$C503&amp;"DDF=","ASK",AC309,"SCOPE:SERVER"),"RT_FALSE")</f>
        <v>RT_FALSE</v>
      </c>
      <c r="AD533" s="1" t="str">
        <f>IF(AD$467,_xll.RtContribute(AD$403,AD$3&amp;"FX"&amp;$C503&amp;"DDF=","ASK",AD309,"SCOPE:SERVER"),"RT_FALSE")</f>
        <v>RT_FALSE</v>
      </c>
      <c r="AE533" s="1" t="str">
        <f>IF(AE$467,_xll.RtContribute(AE$403,AE$3&amp;"FX"&amp;$C503&amp;"DDF=","ASK",AE309,"SCOPE:SERVER"),"RT_FALSE")</f>
        <v>RT_FALSE</v>
      </c>
      <c r="AF533" s="1" t="str">
        <f>IF(AF$467,_xll.RtContribute(AF$403,AF$3&amp;"FX"&amp;$C503&amp;"DDF=","ASK",AF309,"SCOPE:SERVER"),"RT_FALSE")</f>
        <v>RT_FALSE</v>
      </c>
      <c r="AG533" s="1" t="str">
        <f>IF(AG$467,_xll.RtContribute(AG$403,AG$3&amp;"FX"&amp;$C503&amp;"DDF=","ASK",AG309,"SCOPE:SERVER"),"RT_FALSE")</f>
        <v>RT_FALSE</v>
      </c>
      <c r="AH533" s="1" t="str">
        <f>IF(AH$467,_xll.RtContribute(AH$403,AH$3&amp;"FX"&amp;$C503&amp;"DDF=","ASK",AH309,"SCOPE:SERVER"),"RT_FALSE")</f>
        <v>RT_FALSE</v>
      </c>
      <c r="AI533" s="1" t="str">
        <f>IF(AI$467,_xll.RtContribute(AI$403,AI$3&amp;"FX"&amp;$C503&amp;"DDF=","ASK",AI309,"SCOPE:SERVER"),"RT_FALSE")</f>
        <v>RT_FALSE</v>
      </c>
      <c r="AJ533" s="1" t="str">
        <f>IF(AJ$467,_xll.RtContribute(AJ$403,AJ$3&amp;"FX"&amp;$C503&amp;"DDF=","ASK",AJ309,"SCOPE:SERVER"),"RT_FALSE")</f>
        <v>RT_FALSE</v>
      </c>
      <c r="AK533" s="1" t="str">
        <f>IF(AK$467,_xll.RtContribute(AK$403,AK$3&amp;"FX"&amp;$C503&amp;"DDF=","ASK",AK309,"SCOPE:SERVER"),"RT_FALSE")</f>
        <v>RT_FALSE</v>
      </c>
      <c r="AL533" s="1" t="str">
        <f>IF(AL$467,_xll.RtContribute(AL$403,AL$3&amp;"FX"&amp;$C503&amp;"DDF=","ASK",AL309,"SCOPE:SERVER"),"RT_FALSE")</f>
        <v>RT_FALSE</v>
      </c>
      <c r="AM533" s="1" t="str">
        <f>IF(AM$467,_xll.RtContribute(AM$403,AM$3&amp;"FX"&amp;$C503&amp;"DDF=","ASK",AM309,"SCOPE:SERVER"),"RT_FALSE")</f>
        <v>RT_FALSE</v>
      </c>
      <c r="AN533" s="1" t="str">
        <f>IF(AN$467,_xll.RtContribute(AN$403,AN$3&amp;"FX"&amp;$C503&amp;"DDF=","ASK",AN309,"SCOPE:SERVER"),"RT_FALSE")</f>
        <v>RT_FALSE</v>
      </c>
      <c r="AO533" s="1" t="str">
        <f>IF(AO$467,_xll.RtContribute(AO$403,AO$3&amp;"FX"&amp;$C503&amp;"DDF=","ASK",AO309,"SCOPE:SERVER"),"RT_FALSE")</f>
        <v>RT_FALSE</v>
      </c>
      <c r="AP533" s="1" t="str">
        <f>IF(AP$467,_xll.RtContribute(AP$403,AP$3&amp;"FX"&amp;$C503&amp;"DDF=","ASK",AP309,"SCOPE:SERVER"),"RT_FALSE")</f>
        <v>RT_FALSE</v>
      </c>
    </row>
    <row r="534" spans="2:42" x14ac:dyDescent="0.2">
      <c r="C534" s="1" t="s">
        <v>63</v>
      </c>
      <c r="D534" s="1" t="str">
        <f>IF(D$467,_xll.RtContribute(D$403,D$3&amp;"FX"&amp;$C504&amp;"DDF=","ASK",D26,"SCOPE:SERVER"),"RT_FALSE")</f>
        <v>RT_FALSE</v>
      </c>
      <c r="E534" s="1" t="str">
        <f>IF(E$467,_xll.RtContribute(E$403,E$3&amp;"FX"&amp;$C504&amp;"DDF=","ASK",E310,"SCOPE:SERVER"),"RT_FALSE")</f>
        <v>RT_FALSE</v>
      </c>
      <c r="F534" s="1" t="str">
        <f>IF(F$467,_xll.RtContribute(F$403,F$3&amp;"FX"&amp;$C504&amp;"DDF=","ASK",F310,"SCOPE:SERVER"),"RT_FALSE")</f>
        <v>RT_FALSE</v>
      </c>
      <c r="G534" s="1" t="str">
        <f>IF(G$467,_xll.RtContribute(G$403,G$3&amp;"FX"&amp;$C504&amp;"DDF=","ASK",G310,"SCOPE:SERVER"),"RT_FALSE")</f>
        <v>RT_FALSE</v>
      </c>
      <c r="H534" s="1" t="str">
        <f>IF(H$467,_xll.RtContribute(H$403,H$3&amp;"FX"&amp;$C504&amp;"DDF=","ASK",H310,"SCOPE:SERVER"),"RT_FALSE")</f>
        <v>RT_FALSE</v>
      </c>
      <c r="I534" s="1" t="str">
        <f>IF(I$467,_xll.RtContribute(I$403,I$3&amp;"FX"&amp;$C504&amp;"DDF=","ASK",I310,"SCOPE:SERVER"),"RT_FALSE")</f>
        <v>RT_FALSE</v>
      </c>
      <c r="J534" s="1" t="str">
        <f>IF(J$467,_xll.RtContribute(J$403,J$3&amp;"FX"&amp;$C504&amp;"DDF=","ASK",J310,"SCOPE:SERVER"),"RT_FALSE")</f>
        <v>RT_FALSE</v>
      </c>
      <c r="K534" s="1" t="str">
        <f>IF(K$467,_xll.RtContribute(K$403,K$3&amp;"FX"&amp;$C504&amp;"DDF=","ASK",K310,"SCOPE:SERVER"),"RT_FALSE")</f>
        <v>RT_FALSE</v>
      </c>
      <c r="L534" s="1" t="str">
        <f>IF(L$467,_xll.RtContribute(L$403,L$3&amp;"FX"&amp;$C504&amp;"DDF=","ASK",L310,"SCOPE:SERVER"),"RT_FALSE")</f>
        <v>RT_FALSE</v>
      </c>
      <c r="M534" s="1" t="str">
        <f>IF(M$467,_xll.RtContribute(M$403,M$3&amp;"FX"&amp;$C504&amp;"DDF=","ASK",M310,"SCOPE:SERVER"),"RT_FALSE")</f>
        <v>RT_FALSE</v>
      </c>
      <c r="N534" s="1" t="str">
        <f>IF(N$467,_xll.RtContribute(N$403,N$3&amp;"FX"&amp;$C504&amp;"DDF=","ASK",N310,"SCOPE:SERVER"),"RT_FALSE")</f>
        <v>RT_FALSE</v>
      </c>
      <c r="O534" s="1" t="str">
        <f>IF(O$467,_xll.RtContribute(O$403,O$3&amp;"FX"&amp;$C504&amp;"DDF=","ASK",O310,"SCOPE:SERVER"),"RT_FALSE")</f>
        <v>RT_FALSE</v>
      </c>
      <c r="P534" s="1" t="str">
        <f>IF(P$467,_xll.RtContribute(P$403,P$3&amp;"FX"&amp;$C504&amp;"DDF=","ASK",P310,"SCOPE:SERVER"),"RT_FALSE")</f>
        <v>RT_FALSE</v>
      </c>
      <c r="Q534" s="1" t="str">
        <f>IF(Q$467,_xll.RtContribute(Q$403,Q$3&amp;"FX"&amp;$C504&amp;"DDF=","ASK",Q310,"SCOPE:SERVER"),"RT_FALSE")</f>
        <v>RT_FALSE</v>
      </c>
      <c r="R534" s="1" t="str">
        <f>IF(R$467,_xll.RtContribute(R$403,R$3&amp;"FX"&amp;$C504&amp;"DDF=","ASK",R310,"SCOPE:SERVER"),"RT_FALSE")</f>
        <v>RT_FALSE</v>
      </c>
      <c r="S534" s="1" t="str">
        <f>IF(S$467,_xll.RtContribute(S$403,S$3&amp;"FX"&amp;$C504&amp;"DDF=","ASK",S310,"SCOPE:SERVER"),"RT_FALSE")</f>
        <v>RT_FALSE</v>
      </c>
      <c r="T534" s="1" t="str">
        <f>IF(T$467,_xll.RtContribute(T$403,T$3&amp;"FX"&amp;$C504&amp;"DDF=","ASK",T310,"SCOPE:SERVER"),"RT_FALSE")</f>
        <v>RT_FALSE</v>
      </c>
      <c r="U534" s="1" t="str">
        <f>IF(U$467,_xll.RtContribute(U$403,U$3&amp;"FX"&amp;$C504&amp;"DDF=","ASK",U310,"SCOPE:SERVER"),"RT_FALSE")</f>
        <v>RT_FALSE</v>
      </c>
      <c r="V534" s="1" t="str">
        <f>IF(V$467,_xll.RtContribute(V$403,V$3&amp;"FX"&amp;$C504&amp;"DDF=","ASK",V310,"SCOPE:SERVER"),"RT_FALSE")</f>
        <v>RT_FALSE</v>
      </c>
      <c r="W534" s="1" t="str">
        <f>IF(W$467,_xll.RtContribute(W$403,W$3&amp;"FX"&amp;$C504&amp;"DDF=","ASK",W310,"SCOPE:SERVER"),"RT_FALSE")</f>
        <v>RT_FALSE</v>
      </c>
      <c r="X534" s="1" t="str">
        <f>IF(X$467,_xll.RtContribute(X$403,X$3&amp;"FX"&amp;$C504&amp;"DDF=","ASK",X310,"SCOPE:SERVER"),"RT_FALSE")</f>
        <v>RT_FALSE</v>
      </c>
      <c r="Y534" s="1" t="str">
        <f>IF(Y$467,_xll.RtContribute(Y$403,Y$3&amp;"FX"&amp;$C504&amp;"DDF=","ASK",Y310,"SCOPE:SERVER"),"RT_FALSE")</f>
        <v>RT_FALSE</v>
      </c>
      <c r="Z534" s="1" t="str">
        <f>IF(Z$467,_xll.RtContribute(Z$403,Z$3&amp;"FX"&amp;$C504&amp;"DDF=","ASK",Z310,"SCOPE:SERVER"),"RT_FALSE")</f>
        <v>RT_FALSE</v>
      </c>
      <c r="AA534" s="1" t="str">
        <f>IF(AA$467,_xll.RtContribute(AA$403,AA$3&amp;"FX"&amp;$C504&amp;"DDF=","ASK",AA310,"SCOPE:SERVER"),"RT_FALSE")</f>
        <v>RT_FALSE</v>
      </c>
      <c r="AB534" s="1" t="str">
        <f>IF(AB$467,_xll.RtContribute(AB$403,AB$3&amp;"FX"&amp;$C504&amp;"DDF=","ASK",AB310,"SCOPE:SERVER"),"RT_FALSE")</f>
        <v>RT_FALSE</v>
      </c>
      <c r="AC534" s="1" t="str">
        <f>IF(AC$467,_xll.RtContribute(AC$403,AC$3&amp;"FX"&amp;$C504&amp;"DDF=","ASK",AC310,"SCOPE:SERVER"),"RT_FALSE")</f>
        <v>RT_FALSE</v>
      </c>
      <c r="AD534" s="1" t="str">
        <f>IF(AD$467,_xll.RtContribute(AD$403,AD$3&amp;"FX"&amp;$C504&amp;"DDF=","ASK",AD310,"SCOPE:SERVER"),"RT_FALSE")</f>
        <v>RT_FALSE</v>
      </c>
      <c r="AE534" s="1" t="str">
        <f>IF(AE$467,_xll.RtContribute(AE$403,AE$3&amp;"FX"&amp;$C504&amp;"DDF=","ASK",AE310,"SCOPE:SERVER"),"RT_FALSE")</f>
        <v>RT_FALSE</v>
      </c>
      <c r="AF534" s="1" t="str">
        <f>IF(AF$467,_xll.RtContribute(AF$403,AF$3&amp;"FX"&amp;$C504&amp;"DDF=","ASK",AF310,"SCOPE:SERVER"),"RT_FALSE")</f>
        <v>RT_FALSE</v>
      </c>
      <c r="AG534" s="1" t="str">
        <f>IF(AG$467,_xll.RtContribute(AG$403,AG$3&amp;"FX"&amp;$C504&amp;"DDF=","ASK",AG310,"SCOPE:SERVER"),"RT_FALSE")</f>
        <v>RT_FALSE</v>
      </c>
      <c r="AH534" s="1" t="str">
        <f>IF(AH$467,_xll.RtContribute(AH$403,AH$3&amp;"FX"&amp;$C504&amp;"DDF=","ASK",AH310,"SCOPE:SERVER"),"RT_FALSE")</f>
        <v>RT_FALSE</v>
      </c>
      <c r="AI534" s="1" t="str">
        <f>IF(AI$467,_xll.RtContribute(AI$403,AI$3&amp;"FX"&amp;$C504&amp;"DDF=","ASK",AI310,"SCOPE:SERVER"),"RT_FALSE")</f>
        <v>RT_FALSE</v>
      </c>
      <c r="AJ534" s="1" t="str">
        <f>IF(AJ$467,_xll.RtContribute(AJ$403,AJ$3&amp;"FX"&amp;$C504&amp;"DDF=","ASK",AJ310,"SCOPE:SERVER"),"RT_FALSE")</f>
        <v>RT_FALSE</v>
      </c>
      <c r="AK534" s="1" t="str">
        <f>IF(AK$467,_xll.RtContribute(AK$403,AK$3&amp;"FX"&amp;$C504&amp;"DDF=","ASK",AK310,"SCOPE:SERVER"),"RT_FALSE")</f>
        <v>RT_FALSE</v>
      </c>
      <c r="AL534" s="1" t="str">
        <f>IF(AL$467,_xll.RtContribute(AL$403,AL$3&amp;"FX"&amp;$C504&amp;"DDF=","ASK",AL310,"SCOPE:SERVER"),"RT_FALSE")</f>
        <v>RT_FALSE</v>
      </c>
      <c r="AM534" s="1" t="str">
        <f>IF(AM$467,_xll.RtContribute(AM$403,AM$3&amp;"FX"&amp;$C504&amp;"DDF=","ASK",AM310,"SCOPE:SERVER"),"RT_FALSE")</f>
        <v>RT_FALSE</v>
      </c>
      <c r="AN534" s="1" t="str">
        <f>IF(AN$467,_xll.RtContribute(AN$403,AN$3&amp;"FX"&amp;$C504&amp;"DDF=","ASK",AN310,"SCOPE:SERVER"),"RT_FALSE")</f>
        <v>RT_FALSE</v>
      </c>
      <c r="AO534" s="1" t="str">
        <f>IF(AO$467,_xll.RtContribute(AO$403,AO$3&amp;"FX"&amp;$C504&amp;"DDF=","ASK",AO310,"SCOPE:SERVER"),"RT_FALSE")</f>
        <v>RT_FALSE</v>
      </c>
      <c r="AP534" s="1" t="str">
        <f>IF(AP$467,_xll.RtContribute(AP$403,AP$3&amp;"FX"&amp;$C504&amp;"DDF=","ASK",AP310,"SCOPE:SERVER"),"RT_FALSE")</f>
        <v>RT_FALSE</v>
      </c>
    </row>
    <row r="535" spans="2:42" x14ac:dyDescent="0.2">
      <c r="C535" s="1" t="s">
        <v>66</v>
      </c>
      <c r="D535" s="1" t="str">
        <f>IF(D$467,_xll.RtContribute(D$403,D$3&amp;"FX"&amp;$C505&amp;"DDF=","ASK",D27,"SCOPE:SERVER"),"RT_FALSE")</f>
        <v>RT_FALSE</v>
      </c>
      <c r="E535" s="1" t="str">
        <f>IF(E$467,_xll.RtContribute(E$403,E$3&amp;"FX"&amp;$C505&amp;"DDF=","ASK",E311,"SCOPE:SERVER"),"RT_FALSE")</f>
        <v>RT_FALSE</v>
      </c>
      <c r="F535" s="1" t="str">
        <f>IF(F$467,_xll.RtContribute(F$403,F$3&amp;"FX"&amp;$C505&amp;"DDF=","ASK",F311,"SCOPE:SERVER"),"RT_FALSE")</f>
        <v>RT_FALSE</v>
      </c>
      <c r="G535" s="1" t="str">
        <f>IF(G$467,_xll.RtContribute(G$403,G$3&amp;"FX"&amp;$C505&amp;"DDF=","ASK",G311,"SCOPE:SERVER"),"RT_FALSE")</f>
        <v>RT_FALSE</v>
      </c>
      <c r="H535" s="1" t="str">
        <f>IF(H$467,_xll.RtContribute(H$403,H$3&amp;"FX"&amp;$C505&amp;"DDF=","ASK",H311,"SCOPE:SERVER"),"RT_FALSE")</f>
        <v>RT_FALSE</v>
      </c>
      <c r="I535" s="1" t="str">
        <f>IF(I$467,_xll.RtContribute(I$403,I$3&amp;"FX"&amp;$C505&amp;"DDF=","ASK",I311,"SCOPE:SERVER"),"RT_FALSE")</f>
        <v>RT_FALSE</v>
      </c>
      <c r="J535" s="1" t="str">
        <f>IF(J$467,_xll.RtContribute(J$403,J$3&amp;"FX"&amp;$C505&amp;"DDF=","ASK",J311,"SCOPE:SERVER"),"RT_FALSE")</f>
        <v>RT_FALSE</v>
      </c>
      <c r="K535" s="1" t="str">
        <f>IF(K$467,_xll.RtContribute(K$403,K$3&amp;"FX"&amp;$C505&amp;"DDF=","ASK",K311,"SCOPE:SERVER"),"RT_FALSE")</f>
        <v>RT_FALSE</v>
      </c>
      <c r="L535" s="1" t="str">
        <f>IF(L$467,_xll.RtContribute(L$403,L$3&amp;"FX"&amp;$C505&amp;"DDF=","ASK",L311,"SCOPE:SERVER"),"RT_FALSE")</f>
        <v>RT_FALSE</v>
      </c>
      <c r="M535" s="1" t="str">
        <f>IF(M$467,_xll.RtContribute(M$403,M$3&amp;"FX"&amp;$C505&amp;"DDF=","ASK",M311,"SCOPE:SERVER"),"RT_FALSE")</f>
        <v>RT_FALSE</v>
      </c>
      <c r="N535" s="1" t="str">
        <f>IF(N$467,_xll.RtContribute(N$403,N$3&amp;"FX"&amp;$C505&amp;"DDF=","ASK",N311,"SCOPE:SERVER"),"RT_FALSE")</f>
        <v>RT_FALSE</v>
      </c>
      <c r="O535" s="1" t="str">
        <f>IF(O$467,_xll.RtContribute(O$403,O$3&amp;"FX"&amp;$C505&amp;"DDF=","ASK",O311,"SCOPE:SERVER"),"RT_FALSE")</f>
        <v>RT_FALSE</v>
      </c>
      <c r="P535" s="1" t="str">
        <f>IF(P$467,_xll.RtContribute(P$403,P$3&amp;"FX"&amp;$C505&amp;"DDF=","ASK",P311,"SCOPE:SERVER"),"RT_FALSE")</f>
        <v>RT_FALSE</v>
      </c>
      <c r="Q535" s="1" t="str">
        <f>IF(Q$467,_xll.RtContribute(Q$403,Q$3&amp;"FX"&amp;$C505&amp;"DDF=","ASK",Q311,"SCOPE:SERVER"),"RT_FALSE")</f>
        <v>RT_FALSE</v>
      </c>
      <c r="R535" s="1" t="str">
        <f>IF(R$467,_xll.RtContribute(R$403,R$3&amp;"FX"&amp;$C505&amp;"DDF=","ASK",R311,"SCOPE:SERVER"),"RT_FALSE")</f>
        <v>RT_FALSE</v>
      </c>
      <c r="S535" s="1" t="str">
        <f>IF(S$467,_xll.RtContribute(S$403,S$3&amp;"FX"&amp;$C505&amp;"DDF=","ASK",S311,"SCOPE:SERVER"),"RT_FALSE")</f>
        <v>RT_FALSE</v>
      </c>
      <c r="T535" s="1" t="str">
        <f>IF(T$467,_xll.RtContribute(T$403,T$3&amp;"FX"&amp;$C505&amp;"DDF=","ASK",T311,"SCOPE:SERVER"),"RT_FALSE")</f>
        <v>RT_FALSE</v>
      </c>
      <c r="U535" s="1" t="str">
        <f>IF(U$467,_xll.RtContribute(U$403,U$3&amp;"FX"&amp;$C505&amp;"DDF=","ASK",U311,"SCOPE:SERVER"),"RT_FALSE")</f>
        <v>RT_FALSE</v>
      </c>
      <c r="V535" s="1" t="str">
        <f>IF(V$467,_xll.RtContribute(V$403,V$3&amp;"FX"&amp;$C505&amp;"DDF=","ASK",V311,"SCOPE:SERVER"),"RT_FALSE")</f>
        <v>RT_FALSE</v>
      </c>
      <c r="W535" s="1" t="str">
        <f>IF(W$467,_xll.RtContribute(W$403,W$3&amp;"FX"&amp;$C505&amp;"DDF=","ASK",W311,"SCOPE:SERVER"),"RT_FALSE")</f>
        <v>RT_FALSE</v>
      </c>
      <c r="X535" s="1" t="str">
        <f>IF(X$467,_xll.RtContribute(X$403,X$3&amp;"FX"&amp;$C505&amp;"DDF=","ASK",X311,"SCOPE:SERVER"),"RT_FALSE")</f>
        <v>RT_FALSE</v>
      </c>
      <c r="Y535" s="1" t="str">
        <f>IF(Y$467,_xll.RtContribute(Y$403,Y$3&amp;"FX"&amp;$C505&amp;"DDF=","ASK",Y311,"SCOPE:SERVER"),"RT_FALSE")</f>
        <v>RT_FALSE</v>
      </c>
      <c r="Z535" s="1" t="str">
        <f>IF(Z$467,_xll.RtContribute(Z$403,Z$3&amp;"FX"&amp;$C505&amp;"DDF=","ASK",Z311,"SCOPE:SERVER"),"RT_FALSE")</f>
        <v>RT_FALSE</v>
      </c>
      <c r="AA535" s="1" t="str">
        <f>IF(AA$467,_xll.RtContribute(AA$403,AA$3&amp;"FX"&amp;$C505&amp;"DDF=","ASK",AA311,"SCOPE:SERVER"),"RT_FALSE")</f>
        <v>RT_FALSE</v>
      </c>
      <c r="AB535" s="1" t="str">
        <f>IF(AB$467,_xll.RtContribute(AB$403,AB$3&amp;"FX"&amp;$C505&amp;"DDF=","ASK",AB311,"SCOPE:SERVER"),"RT_FALSE")</f>
        <v>RT_FALSE</v>
      </c>
      <c r="AC535" s="1" t="str">
        <f>IF(AC$467,_xll.RtContribute(AC$403,AC$3&amp;"FX"&amp;$C505&amp;"DDF=","ASK",AC311,"SCOPE:SERVER"),"RT_FALSE")</f>
        <v>RT_FALSE</v>
      </c>
      <c r="AD535" s="1" t="str">
        <f>IF(AD$467,_xll.RtContribute(AD$403,AD$3&amp;"FX"&amp;$C505&amp;"DDF=","ASK",AD311,"SCOPE:SERVER"),"RT_FALSE")</f>
        <v>RT_FALSE</v>
      </c>
      <c r="AE535" s="1" t="str">
        <f>IF(AE$467,_xll.RtContribute(AE$403,AE$3&amp;"FX"&amp;$C505&amp;"DDF=","ASK",AE311,"SCOPE:SERVER"),"RT_FALSE")</f>
        <v>RT_FALSE</v>
      </c>
      <c r="AF535" s="1" t="str">
        <f>IF(AF$467,_xll.RtContribute(AF$403,AF$3&amp;"FX"&amp;$C505&amp;"DDF=","ASK",AF311,"SCOPE:SERVER"),"RT_FALSE")</f>
        <v>RT_FALSE</v>
      </c>
      <c r="AG535" s="1" t="str">
        <f>IF(AG$467,_xll.RtContribute(AG$403,AG$3&amp;"FX"&amp;$C505&amp;"DDF=","ASK",AG311,"SCOPE:SERVER"),"RT_FALSE")</f>
        <v>RT_FALSE</v>
      </c>
      <c r="AH535" s="1" t="str">
        <f>IF(AH$467,_xll.RtContribute(AH$403,AH$3&amp;"FX"&amp;$C505&amp;"DDF=","ASK",AH311,"SCOPE:SERVER"),"RT_FALSE")</f>
        <v>RT_FALSE</v>
      </c>
      <c r="AI535" s="1" t="str">
        <f>IF(AI$467,_xll.RtContribute(AI$403,AI$3&amp;"FX"&amp;$C505&amp;"DDF=","ASK",AI311,"SCOPE:SERVER"),"RT_FALSE")</f>
        <v>RT_FALSE</v>
      </c>
      <c r="AJ535" s="1" t="str">
        <f>IF(AJ$467,_xll.RtContribute(AJ$403,AJ$3&amp;"FX"&amp;$C505&amp;"DDF=","ASK",AJ311,"SCOPE:SERVER"),"RT_FALSE")</f>
        <v>RT_FALSE</v>
      </c>
      <c r="AK535" s="1" t="str">
        <f>IF(AK$467,_xll.RtContribute(AK$403,AK$3&amp;"FX"&amp;$C505&amp;"DDF=","ASK",AK311,"SCOPE:SERVER"),"RT_FALSE")</f>
        <v>RT_FALSE</v>
      </c>
      <c r="AL535" s="1" t="str">
        <f>IF(AL$467,_xll.RtContribute(AL$403,AL$3&amp;"FX"&amp;$C505&amp;"DDF=","ASK",AL311,"SCOPE:SERVER"),"RT_FALSE")</f>
        <v>RT_FALSE</v>
      </c>
      <c r="AM535" s="1" t="str">
        <f>IF(AM$467,_xll.RtContribute(AM$403,AM$3&amp;"FX"&amp;$C505&amp;"DDF=","ASK",AM311,"SCOPE:SERVER"),"RT_FALSE")</f>
        <v>RT_FALSE</v>
      </c>
      <c r="AN535" s="1" t="str">
        <f>IF(AN$467,_xll.RtContribute(AN$403,AN$3&amp;"FX"&amp;$C505&amp;"DDF=","ASK",AN311,"SCOPE:SERVER"),"RT_FALSE")</f>
        <v>RT_FALSE</v>
      </c>
      <c r="AO535" s="1" t="str">
        <f>IF(AO$467,_xll.RtContribute(AO$403,AO$3&amp;"FX"&amp;$C505&amp;"DDF=","ASK",AO311,"SCOPE:SERVER"),"RT_FALSE")</f>
        <v>RT_FALSE</v>
      </c>
      <c r="AP535" s="1" t="str">
        <f>IF(AP$467,_xll.RtContribute(AP$403,AP$3&amp;"FX"&amp;$C505&amp;"DDF=","ASK",AP311,"SCOPE:SERVER"),"RT_FALSE")</f>
        <v>RT_FALSE</v>
      </c>
    </row>
    <row r="536" spans="2:42" x14ac:dyDescent="0.2">
      <c r="C536" s="1" t="s">
        <v>71</v>
      </c>
      <c r="D536" s="1" t="str">
        <f>IF(D$467,_xll.RtContribute(D$403,D$3&amp;"FX"&amp;$C506&amp;"DDF=","ASK",D28,"SCOPE:SERVER"),"RT_FALSE")</f>
        <v>RT_FALSE</v>
      </c>
      <c r="E536" s="1" t="str">
        <f>IF(E$467,_xll.RtContribute(E$403,E$3&amp;"FX"&amp;$C506&amp;"DDF=","ASK",E312,"SCOPE:SERVER"),"RT_FALSE")</f>
        <v>RT_FALSE</v>
      </c>
      <c r="F536" s="1" t="str">
        <f>IF(F$467,_xll.RtContribute(F$403,F$3&amp;"FX"&amp;$C506&amp;"DDF=","ASK",F312,"SCOPE:SERVER"),"RT_FALSE")</f>
        <v>RT_FALSE</v>
      </c>
      <c r="G536" s="1" t="str">
        <f>IF(G$467,_xll.RtContribute(G$403,G$3&amp;"FX"&amp;$C506&amp;"DDF=","ASK",G312,"SCOPE:SERVER"),"RT_FALSE")</f>
        <v>RT_FALSE</v>
      </c>
      <c r="H536" s="1" t="str">
        <f>IF(H$467,_xll.RtContribute(H$403,H$3&amp;"FX"&amp;$C506&amp;"DDF=","ASK",H312,"SCOPE:SERVER"),"RT_FALSE")</f>
        <v>RT_FALSE</v>
      </c>
      <c r="I536" s="1" t="str">
        <f>IF(I$467,_xll.RtContribute(I$403,I$3&amp;"FX"&amp;$C506&amp;"DDF=","ASK",I312,"SCOPE:SERVER"),"RT_FALSE")</f>
        <v>RT_FALSE</v>
      </c>
      <c r="J536" s="1" t="str">
        <f>IF(J$467,_xll.RtContribute(J$403,J$3&amp;"FX"&amp;$C506&amp;"DDF=","ASK",J312,"SCOPE:SERVER"),"RT_FALSE")</f>
        <v>RT_FALSE</v>
      </c>
      <c r="K536" s="1" t="str">
        <f>IF(K$467,_xll.RtContribute(K$403,K$3&amp;"FX"&amp;$C506&amp;"DDF=","ASK",K312,"SCOPE:SERVER"),"RT_FALSE")</f>
        <v>RT_FALSE</v>
      </c>
      <c r="L536" s="1" t="str">
        <f>IF(L$467,_xll.RtContribute(L$403,L$3&amp;"FX"&amp;$C506&amp;"DDF=","ASK",L312,"SCOPE:SERVER"),"RT_FALSE")</f>
        <v>RT_FALSE</v>
      </c>
      <c r="M536" s="1" t="str">
        <f>IF(M$467,_xll.RtContribute(M$403,M$3&amp;"FX"&amp;$C506&amp;"DDF=","ASK",M312,"SCOPE:SERVER"),"RT_FALSE")</f>
        <v>RT_FALSE</v>
      </c>
      <c r="N536" s="1" t="str">
        <f>IF(N$467,_xll.RtContribute(N$403,N$3&amp;"FX"&amp;$C506&amp;"DDF=","ASK",N312,"SCOPE:SERVER"),"RT_FALSE")</f>
        <v>RT_FALSE</v>
      </c>
      <c r="O536" s="1" t="str">
        <f>IF(O$467,_xll.RtContribute(O$403,O$3&amp;"FX"&amp;$C506&amp;"DDF=","ASK",O312,"SCOPE:SERVER"),"RT_FALSE")</f>
        <v>RT_FALSE</v>
      </c>
      <c r="P536" s="1" t="str">
        <f>IF(P$467,_xll.RtContribute(P$403,P$3&amp;"FX"&amp;$C506&amp;"DDF=","ASK",P312,"SCOPE:SERVER"),"RT_FALSE")</f>
        <v>RT_FALSE</v>
      </c>
      <c r="Q536" s="1" t="str">
        <f>IF(Q$467,_xll.RtContribute(Q$403,Q$3&amp;"FX"&amp;$C506&amp;"DDF=","ASK",Q312,"SCOPE:SERVER"),"RT_FALSE")</f>
        <v>RT_FALSE</v>
      </c>
      <c r="R536" s="1" t="str">
        <f>IF(R$467,_xll.RtContribute(R$403,R$3&amp;"FX"&amp;$C506&amp;"DDF=","ASK",R312,"SCOPE:SERVER"),"RT_FALSE")</f>
        <v>RT_FALSE</v>
      </c>
      <c r="S536" s="1" t="str">
        <f>IF(S$467,_xll.RtContribute(S$403,S$3&amp;"FX"&amp;$C506&amp;"DDF=","ASK",S312,"SCOPE:SERVER"),"RT_FALSE")</f>
        <v>RT_FALSE</v>
      </c>
      <c r="T536" s="1" t="str">
        <f>IF(T$467,_xll.RtContribute(T$403,T$3&amp;"FX"&amp;$C506&amp;"DDF=","ASK",T312,"SCOPE:SERVER"),"RT_FALSE")</f>
        <v>RT_FALSE</v>
      </c>
      <c r="U536" s="1" t="str">
        <f>IF(U$467,_xll.RtContribute(U$403,U$3&amp;"FX"&amp;$C506&amp;"DDF=","ASK",U312,"SCOPE:SERVER"),"RT_FALSE")</f>
        <v>RT_FALSE</v>
      </c>
      <c r="V536" s="1" t="str">
        <f>IF(V$467,_xll.RtContribute(V$403,V$3&amp;"FX"&amp;$C506&amp;"DDF=","ASK",V312,"SCOPE:SERVER"),"RT_FALSE")</f>
        <v>RT_FALSE</v>
      </c>
      <c r="W536" s="1" t="str">
        <f>IF(W$467,_xll.RtContribute(W$403,W$3&amp;"FX"&amp;$C506&amp;"DDF=","ASK",W312,"SCOPE:SERVER"),"RT_FALSE")</f>
        <v>RT_FALSE</v>
      </c>
      <c r="X536" s="1" t="str">
        <f>IF(X$467,_xll.RtContribute(X$403,X$3&amp;"FX"&amp;$C506&amp;"DDF=","ASK",X312,"SCOPE:SERVER"),"RT_FALSE")</f>
        <v>RT_FALSE</v>
      </c>
      <c r="Y536" s="1" t="str">
        <f>IF(Y$467,_xll.RtContribute(Y$403,Y$3&amp;"FX"&amp;$C506&amp;"DDF=","ASK",Y312,"SCOPE:SERVER"),"RT_FALSE")</f>
        <v>RT_FALSE</v>
      </c>
      <c r="Z536" s="1" t="str">
        <f>IF(Z$467,_xll.RtContribute(Z$403,Z$3&amp;"FX"&amp;$C506&amp;"DDF=","ASK",Z312,"SCOPE:SERVER"),"RT_FALSE")</f>
        <v>RT_FALSE</v>
      </c>
      <c r="AA536" s="1" t="str">
        <f>IF(AA$467,_xll.RtContribute(AA$403,AA$3&amp;"FX"&amp;$C506&amp;"DDF=","ASK",AA312,"SCOPE:SERVER"),"RT_FALSE")</f>
        <v>RT_FALSE</v>
      </c>
      <c r="AB536" s="1" t="str">
        <f>IF(AB$467,_xll.RtContribute(AB$403,AB$3&amp;"FX"&amp;$C506&amp;"DDF=","ASK",AB312,"SCOPE:SERVER"),"RT_FALSE")</f>
        <v>RT_FALSE</v>
      </c>
      <c r="AC536" s="1" t="str">
        <f>IF(AC$467,_xll.RtContribute(AC$403,AC$3&amp;"FX"&amp;$C506&amp;"DDF=","ASK",AC312,"SCOPE:SERVER"),"RT_FALSE")</f>
        <v>RT_FALSE</v>
      </c>
      <c r="AD536" s="1" t="str">
        <f>IF(AD$467,_xll.RtContribute(AD$403,AD$3&amp;"FX"&amp;$C506&amp;"DDF=","ASK",AD312,"SCOPE:SERVER"),"RT_FALSE")</f>
        <v>RT_FALSE</v>
      </c>
      <c r="AE536" s="1" t="str">
        <f>IF(AE$467,_xll.RtContribute(AE$403,AE$3&amp;"FX"&amp;$C506&amp;"DDF=","ASK",AE312,"SCOPE:SERVER"),"RT_FALSE")</f>
        <v>RT_FALSE</v>
      </c>
      <c r="AF536" s="1" t="str">
        <f>IF(AF$467,_xll.RtContribute(AF$403,AF$3&amp;"FX"&amp;$C506&amp;"DDF=","ASK",AF312,"SCOPE:SERVER"),"RT_FALSE")</f>
        <v>RT_FALSE</v>
      </c>
      <c r="AG536" s="1" t="str">
        <f>IF(AG$467,_xll.RtContribute(AG$403,AG$3&amp;"FX"&amp;$C506&amp;"DDF=","ASK",AG312,"SCOPE:SERVER"),"RT_FALSE")</f>
        <v>RT_FALSE</v>
      </c>
      <c r="AH536" s="1" t="str">
        <f>IF(AH$467,_xll.RtContribute(AH$403,AH$3&amp;"FX"&amp;$C506&amp;"DDF=","ASK",AH312,"SCOPE:SERVER"),"RT_FALSE")</f>
        <v>RT_FALSE</v>
      </c>
      <c r="AI536" s="1" t="str">
        <f>IF(AI$467,_xll.RtContribute(AI$403,AI$3&amp;"FX"&amp;$C506&amp;"DDF=","ASK",AI312,"SCOPE:SERVER"),"RT_FALSE")</f>
        <v>RT_FALSE</v>
      </c>
      <c r="AJ536" s="1" t="str">
        <f>IF(AJ$467,_xll.RtContribute(AJ$403,AJ$3&amp;"FX"&amp;$C506&amp;"DDF=","ASK",AJ312,"SCOPE:SERVER"),"RT_FALSE")</f>
        <v>RT_FALSE</v>
      </c>
      <c r="AK536" s="1" t="str">
        <f>IF(AK$467,_xll.RtContribute(AK$403,AK$3&amp;"FX"&amp;$C506&amp;"DDF=","ASK",AK312,"SCOPE:SERVER"),"RT_FALSE")</f>
        <v>RT_FALSE</v>
      </c>
      <c r="AL536" s="1" t="str">
        <f>IF(AL$467,_xll.RtContribute(AL$403,AL$3&amp;"FX"&amp;$C506&amp;"DDF=","ASK",AL312,"SCOPE:SERVER"),"RT_FALSE")</f>
        <v>RT_FALSE</v>
      </c>
      <c r="AM536" s="1" t="str">
        <f>IF(AM$467,_xll.RtContribute(AM$403,AM$3&amp;"FX"&amp;$C506&amp;"DDF=","ASK",AM312,"SCOPE:SERVER"),"RT_FALSE")</f>
        <v>RT_FALSE</v>
      </c>
      <c r="AN536" s="1" t="str">
        <f>IF(AN$467,_xll.RtContribute(AN$403,AN$3&amp;"FX"&amp;$C506&amp;"DDF=","ASK",AN312,"SCOPE:SERVER"),"RT_FALSE")</f>
        <v>RT_FALSE</v>
      </c>
      <c r="AO536" s="1" t="str">
        <f>IF(AO$467,_xll.RtContribute(AO$403,AO$3&amp;"FX"&amp;$C506&amp;"DDF=","ASK",AO312,"SCOPE:SERVER"),"RT_FALSE")</f>
        <v>RT_FALSE</v>
      </c>
      <c r="AP536" s="1" t="str">
        <f>IF(AP$467,_xll.RtContribute(AP$403,AP$3&amp;"FX"&amp;$C506&amp;"DDF=","ASK",AP312,"SCOPE:SERVER"),"RT_FALSE")</f>
        <v>RT_FALSE</v>
      </c>
    </row>
    <row r="537" spans="2:42" x14ac:dyDescent="0.2">
      <c r="C537" s="1" t="s">
        <v>77</v>
      </c>
      <c r="D537" s="1" t="str">
        <f>IF(D$467,_xll.RtContribute(D$403,D$3&amp;"FX"&amp;$C507&amp;"DDF=","ASK",D29,"SCOPE:SERVER"),"RT_FALSE")</f>
        <v>RT_FALSE</v>
      </c>
      <c r="E537" s="1" t="str">
        <f>IF(E$467,_xll.RtContribute(E$403,E$3&amp;"FX"&amp;$C507&amp;"DDF=","ASK",E313,"SCOPE:SERVER"),"RT_FALSE")</f>
        <v>RT_FALSE</v>
      </c>
      <c r="F537" s="1" t="str">
        <f>IF(F$467,_xll.RtContribute(F$403,F$3&amp;"FX"&amp;$C507&amp;"DDF=","ASK",F313,"SCOPE:SERVER"),"RT_FALSE")</f>
        <v>RT_FALSE</v>
      </c>
      <c r="G537" s="1" t="str">
        <f>IF(G$467,_xll.RtContribute(G$403,G$3&amp;"FX"&amp;$C507&amp;"DDF=","ASK",G313,"SCOPE:SERVER"),"RT_FALSE")</f>
        <v>RT_FALSE</v>
      </c>
      <c r="H537" s="1" t="str">
        <f>IF(H$467,_xll.RtContribute(H$403,H$3&amp;"FX"&amp;$C507&amp;"DDF=","ASK",H313,"SCOPE:SERVER"),"RT_FALSE")</f>
        <v>RT_FALSE</v>
      </c>
      <c r="I537" s="1" t="str">
        <f>IF(I$467,_xll.RtContribute(I$403,I$3&amp;"FX"&amp;$C507&amp;"DDF=","ASK",I313,"SCOPE:SERVER"),"RT_FALSE")</f>
        <v>RT_FALSE</v>
      </c>
      <c r="J537" s="1" t="str">
        <f>IF(J$467,_xll.RtContribute(J$403,J$3&amp;"FX"&amp;$C507&amp;"DDF=","ASK",J313,"SCOPE:SERVER"),"RT_FALSE")</f>
        <v>RT_FALSE</v>
      </c>
      <c r="K537" s="1" t="str">
        <f>IF(K$467,_xll.RtContribute(K$403,K$3&amp;"FX"&amp;$C507&amp;"DDF=","ASK",K313,"SCOPE:SERVER"),"RT_FALSE")</f>
        <v>RT_FALSE</v>
      </c>
      <c r="L537" s="1" t="str">
        <f>IF(L$467,_xll.RtContribute(L$403,L$3&amp;"FX"&amp;$C507&amp;"DDF=","ASK",L313,"SCOPE:SERVER"),"RT_FALSE")</f>
        <v>RT_FALSE</v>
      </c>
      <c r="M537" s="1" t="str">
        <f>IF(M$467,_xll.RtContribute(M$403,M$3&amp;"FX"&amp;$C507&amp;"DDF=","ASK",M313,"SCOPE:SERVER"),"RT_FALSE")</f>
        <v>RT_FALSE</v>
      </c>
      <c r="N537" s="1" t="str">
        <f>IF(N$467,_xll.RtContribute(N$403,N$3&amp;"FX"&amp;$C507&amp;"DDF=","ASK",N313,"SCOPE:SERVER"),"RT_FALSE")</f>
        <v>RT_FALSE</v>
      </c>
      <c r="O537" s="1" t="str">
        <f>IF(O$467,_xll.RtContribute(O$403,O$3&amp;"FX"&amp;$C507&amp;"DDF=","ASK",O313,"SCOPE:SERVER"),"RT_FALSE")</f>
        <v>RT_FALSE</v>
      </c>
      <c r="P537" s="1" t="str">
        <f>IF(P$467,_xll.RtContribute(P$403,P$3&amp;"FX"&amp;$C507&amp;"DDF=","ASK",P313,"SCOPE:SERVER"),"RT_FALSE")</f>
        <v>RT_FALSE</v>
      </c>
      <c r="Q537" s="1" t="str">
        <f>IF(Q$467,_xll.RtContribute(Q$403,Q$3&amp;"FX"&amp;$C507&amp;"DDF=","ASK",Q313,"SCOPE:SERVER"),"RT_FALSE")</f>
        <v>RT_FALSE</v>
      </c>
      <c r="R537" s="1" t="str">
        <f>IF(R$467,_xll.RtContribute(R$403,R$3&amp;"FX"&amp;$C507&amp;"DDF=","ASK",R313,"SCOPE:SERVER"),"RT_FALSE")</f>
        <v>RT_FALSE</v>
      </c>
      <c r="S537" s="1" t="str">
        <f>IF(S$467,_xll.RtContribute(S$403,S$3&amp;"FX"&amp;$C507&amp;"DDF=","ASK",S313,"SCOPE:SERVER"),"RT_FALSE")</f>
        <v>RT_FALSE</v>
      </c>
      <c r="T537" s="1" t="str">
        <f>IF(T$467,_xll.RtContribute(T$403,T$3&amp;"FX"&amp;$C507&amp;"DDF=","ASK",T313,"SCOPE:SERVER"),"RT_FALSE")</f>
        <v>RT_FALSE</v>
      </c>
      <c r="U537" s="1" t="str">
        <f>IF(U$467,_xll.RtContribute(U$403,U$3&amp;"FX"&amp;$C507&amp;"DDF=","ASK",U313,"SCOPE:SERVER"),"RT_FALSE")</f>
        <v>RT_FALSE</v>
      </c>
      <c r="V537" s="1" t="str">
        <f>IF(V$467,_xll.RtContribute(V$403,V$3&amp;"FX"&amp;$C507&amp;"DDF=","ASK",V313,"SCOPE:SERVER"),"RT_FALSE")</f>
        <v>RT_FALSE</v>
      </c>
      <c r="W537" s="1" t="str">
        <f>IF(W$467,_xll.RtContribute(W$403,W$3&amp;"FX"&amp;$C507&amp;"DDF=","ASK",W313,"SCOPE:SERVER"),"RT_FALSE")</f>
        <v>RT_FALSE</v>
      </c>
      <c r="X537" s="1" t="str">
        <f>IF(X$467,_xll.RtContribute(X$403,X$3&amp;"FX"&amp;$C507&amp;"DDF=","ASK",X313,"SCOPE:SERVER"),"RT_FALSE")</f>
        <v>RT_FALSE</v>
      </c>
      <c r="Y537" s="1" t="str">
        <f>IF(Y$467,_xll.RtContribute(Y$403,Y$3&amp;"FX"&amp;$C507&amp;"DDF=","ASK",Y313,"SCOPE:SERVER"),"RT_FALSE")</f>
        <v>RT_FALSE</v>
      </c>
      <c r="Z537" s="1" t="str">
        <f>IF(Z$467,_xll.RtContribute(Z$403,Z$3&amp;"FX"&amp;$C507&amp;"DDF=","ASK",Z313,"SCOPE:SERVER"),"RT_FALSE")</f>
        <v>RT_FALSE</v>
      </c>
      <c r="AA537" s="1" t="str">
        <f>IF(AA$467,_xll.RtContribute(AA$403,AA$3&amp;"FX"&amp;$C507&amp;"DDF=","ASK",AA313,"SCOPE:SERVER"),"RT_FALSE")</f>
        <v>RT_FALSE</v>
      </c>
      <c r="AB537" s="1" t="str">
        <f>IF(AB$467,_xll.RtContribute(AB$403,AB$3&amp;"FX"&amp;$C507&amp;"DDF=","ASK",AB313,"SCOPE:SERVER"),"RT_FALSE")</f>
        <v>RT_FALSE</v>
      </c>
      <c r="AC537" s="1" t="str">
        <f>IF(AC$467,_xll.RtContribute(AC$403,AC$3&amp;"FX"&amp;$C507&amp;"DDF=","ASK",AC313,"SCOPE:SERVER"),"RT_FALSE")</f>
        <v>RT_FALSE</v>
      </c>
      <c r="AD537" s="1" t="str">
        <f>IF(AD$467,_xll.RtContribute(AD$403,AD$3&amp;"FX"&amp;$C507&amp;"DDF=","ASK",AD313,"SCOPE:SERVER"),"RT_FALSE")</f>
        <v>RT_FALSE</v>
      </c>
      <c r="AE537" s="1" t="str">
        <f>IF(AE$467,_xll.RtContribute(AE$403,AE$3&amp;"FX"&amp;$C507&amp;"DDF=","ASK",AE313,"SCOPE:SERVER"),"RT_FALSE")</f>
        <v>RT_FALSE</v>
      </c>
      <c r="AF537" s="1" t="str">
        <f>IF(AF$467,_xll.RtContribute(AF$403,AF$3&amp;"FX"&amp;$C507&amp;"DDF=","ASK",AF313,"SCOPE:SERVER"),"RT_FALSE")</f>
        <v>RT_FALSE</v>
      </c>
      <c r="AG537" s="1" t="str">
        <f>IF(AG$467,_xll.RtContribute(AG$403,AG$3&amp;"FX"&amp;$C507&amp;"DDF=","ASK",AG313,"SCOPE:SERVER"),"RT_FALSE")</f>
        <v>RT_FALSE</v>
      </c>
      <c r="AH537" s="1" t="str">
        <f>IF(AH$467,_xll.RtContribute(AH$403,AH$3&amp;"FX"&amp;$C507&amp;"DDF=","ASK",AH313,"SCOPE:SERVER"),"RT_FALSE")</f>
        <v>RT_FALSE</v>
      </c>
      <c r="AI537" s="1" t="str">
        <f>IF(AI$467,_xll.RtContribute(AI$403,AI$3&amp;"FX"&amp;$C507&amp;"DDF=","ASK",AI313,"SCOPE:SERVER"),"RT_FALSE")</f>
        <v>RT_FALSE</v>
      </c>
      <c r="AJ537" s="1" t="str">
        <f>IF(AJ$467,_xll.RtContribute(AJ$403,AJ$3&amp;"FX"&amp;$C507&amp;"DDF=","ASK",AJ313,"SCOPE:SERVER"),"RT_FALSE")</f>
        <v>RT_FALSE</v>
      </c>
      <c r="AK537" s="1" t="str">
        <f>IF(AK$467,_xll.RtContribute(AK$403,AK$3&amp;"FX"&amp;$C507&amp;"DDF=","ASK",AK313,"SCOPE:SERVER"),"RT_FALSE")</f>
        <v>RT_FALSE</v>
      </c>
      <c r="AL537" s="1" t="str">
        <f>IF(AL$467,_xll.RtContribute(AL$403,AL$3&amp;"FX"&amp;$C507&amp;"DDF=","ASK",AL313,"SCOPE:SERVER"),"RT_FALSE")</f>
        <v>RT_FALSE</v>
      </c>
      <c r="AM537" s="1" t="str">
        <f>IF(AM$467,_xll.RtContribute(AM$403,AM$3&amp;"FX"&amp;$C507&amp;"DDF=","ASK",AM313,"SCOPE:SERVER"),"RT_FALSE")</f>
        <v>RT_FALSE</v>
      </c>
      <c r="AN537" s="1" t="str">
        <f>IF(AN$467,_xll.RtContribute(AN$403,AN$3&amp;"FX"&amp;$C507&amp;"DDF=","ASK",AN313,"SCOPE:SERVER"),"RT_FALSE")</f>
        <v>RT_FALSE</v>
      </c>
      <c r="AO537" s="1" t="str">
        <f>IF(AO$467,_xll.RtContribute(AO$403,AO$3&amp;"FX"&amp;$C507&amp;"DDF=","ASK",AO313,"SCOPE:SERVER"),"RT_FALSE")</f>
        <v>RT_FALSE</v>
      </c>
      <c r="AP537" s="1" t="str">
        <f>IF(AP$467,_xll.RtContribute(AP$403,AP$3&amp;"FX"&amp;$C507&amp;"DDF=","ASK",AP313,"SCOPE:SERVER"),"RT_FALSE")</f>
        <v>RT_FALSE</v>
      </c>
    </row>
    <row r="538" spans="2:42" x14ac:dyDescent="0.2">
      <c r="C538" s="1" t="s">
        <v>82</v>
      </c>
      <c r="D538" s="1" t="str">
        <f>IF(D$467,_xll.RtContribute(D$403,D$3&amp;"FX"&amp;$C508&amp;"DDF=","ASK",D30,"SCOPE:SERVER"),"RT_FALSE")</f>
        <v>RT_FALSE</v>
      </c>
      <c r="E538" s="1" t="str">
        <f>IF(E$467,_xll.RtContribute(E$403,E$3&amp;"FX"&amp;$C508&amp;"DDF=","ASK",E314,"SCOPE:SERVER"),"RT_FALSE")</f>
        <v>RT_FALSE</v>
      </c>
      <c r="F538" s="1" t="str">
        <f>IF(F$467,_xll.RtContribute(F$403,F$3&amp;"FX"&amp;$C508&amp;"DDF=","ASK",F314,"SCOPE:SERVER"),"RT_FALSE")</f>
        <v>RT_FALSE</v>
      </c>
      <c r="G538" s="1" t="str">
        <f>IF(G$467,_xll.RtContribute(G$403,G$3&amp;"FX"&amp;$C508&amp;"DDF=","ASK",G314,"SCOPE:SERVER"),"RT_FALSE")</f>
        <v>RT_FALSE</v>
      </c>
      <c r="H538" s="1" t="str">
        <f>IF(H$467,_xll.RtContribute(H$403,H$3&amp;"FX"&amp;$C508&amp;"DDF=","ASK",H314,"SCOPE:SERVER"),"RT_FALSE")</f>
        <v>RT_FALSE</v>
      </c>
      <c r="I538" s="1" t="str">
        <f>IF(I$467,_xll.RtContribute(I$403,I$3&amp;"FX"&amp;$C508&amp;"DDF=","ASK",I314,"SCOPE:SERVER"),"RT_FALSE")</f>
        <v>RT_FALSE</v>
      </c>
      <c r="J538" s="1" t="str">
        <f>IF(J$467,_xll.RtContribute(J$403,J$3&amp;"FX"&amp;$C508&amp;"DDF=","ASK",J314,"SCOPE:SERVER"),"RT_FALSE")</f>
        <v>RT_FALSE</v>
      </c>
      <c r="K538" s="1" t="str">
        <f>IF(K$467,_xll.RtContribute(K$403,K$3&amp;"FX"&amp;$C508&amp;"DDF=","ASK",K314,"SCOPE:SERVER"),"RT_FALSE")</f>
        <v>RT_FALSE</v>
      </c>
      <c r="L538" s="1" t="str">
        <f>IF(L$467,_xll.RtContribute(L$403,L$3&amp;"FX"&amp;$C508&amp;"DDF=","ASK",L314,"SCOPE:SERVER"),"RT_FALSE")</f>
        <v>RT_FALSE</v>
      </c>
      <c r="M538" s="1" t="str">
        <f>IF(M$467,_xll.RtContribute(M$403,M$3&amp;"FX"&amp;$C508&amp;"DDF=","ASK",M314,"SCOPE:SERVER"),"RT_FALSE")</f>
        <v>RT_FALSE</v>
      </c>
      <c r="N538" s="1" t="str">
        <f>IF(N$467,_xll.RtContribute(N$403,N$3&amp;"FX"&amp;$C508&amp;"DDF=","ASK",N314,"SCOPE:SERVER"),"RT_FALSE")</f>
        <v>RT_FALSE</v>
      </c>
      <c r="O538" s="1" t="str">
        <f>IF(O$467,_xll.RtContribute(O$403,O$3&amp;"FX"&amp;$C508&amp;"DDF=","ASK",O314,"SCOPE:SERVER"),"RT_FALSE")</f>
        <v>RT_FALSE</v>
      </c>
      <c r="P538" s="1" t="str">
        <f>IF(P$467,_xll.RtContribute(P$403,P$3&amp;"FX"&amp;$C508&amp;"DDF=","ASK",P314,"SCOPE:SERVER"),"RT_FALSE")</f>
        <v>RT_FALSE</v>
      </c>
      <c r="Q538" s="1" t="str">
        <f>IF(Q$467,_xll.RtContribute(Q$403,Q$3&amp;"FX"&amp;$C508&amp;"DDF=","ASK",Q314,"SCOPE:SERVER"),"RT_FALSE")</f>
        <v>RT_FALSE</v>
      </c>
      <c r="R538" s="1" t="str">
        <f>IF(R$467,_xll.RtContribute(R$403,R$3&amp;"FX"&amp;$C508&amp;"DDF=","ASK",R314,"SCOPE:SERVER"),"RT_FALSE")</f>
        <v>RT_FALSE</v>
      </c>
      <c r="S538" s="1" t="str">
        <f>IF(S$467,_xll.RtContribute(S$403,S$3&amp;"FX"&amp;$C508&amp;"DDF=","ASK",S314,"SCOPE:SERVER"),"RT_FALSE")</f>
        <v>RT_FALSE</v>
      </c>
      <c r="T538" s="1" t="str">
        <f>IF(T$467,_xll.RtContribute(T$403,T$3&amp;"FX"&amp;$C508&amp;"DDF=","ASK",T314,"SCOPE:SERVER"),"RT_FALSE")</f>
        <v>RT_FALSE</v>
      </c>
      <c r="U538" s="1" t="str">
        <f>IF(U$467,_xll.RtContribute(U$403,U$3&amp;"FX"&amp;$C508&amp;"DDF=","ASK",U314,"SCOPE:SERVER"),"RT_FALSE")</f>
        <v>RT_FALSE</v>
      </c>
      <c r="V538" s="1" t="str">
        <f>IF(V$467,_xll.RtContribute(V$403,V$3&amp;"FX"&amp;$C508&amp;"DDF=","ASK",V314,"SCOPE:SERVER"),"RT_FALSE")</f>
        <v>RT_FALSE</v>
      </c>
      <c r="W538" s="1" t="str">
        <f>IF(W$467,_xll.RtContribute(W$403,W$3&amp;"FX"&amp;$C508&amp;"DDF=","ASK",W314,"SCOPE:SERVER"),"RT_FALSE")</f>
        <v>RT_FALSE</v>
      </c>
      <c r="X538" s="1" t="str">
        <f>IF(X$467,_xll.RtContribute(X$403,X$3&amp;"FX"&amp;$C508&amp;"DDF=","ASK",X314,"SCOPE:SERVER"),"RT_FALSE")</f>
        <v>RT_FALSE</v>
      </c>
      <c r="Y538" s="1" t="str">
        <f>IF(Y$467,_xll.RtContribute(Y$403,Y$3&amp;"FX"&amp;$C508&amp;"DDF=","ASK",Y314,"SCOPE:SERVER"),"RT_FALSE")</f>
        <v>RT_FALSE</v>
      </c>
      <c r="Z538" s="1" t="str">
        <f>IF(Z$467,_xll.RtContribute(Z$403,Z$3&amp;"FX"&amp;$C508&amp;"DDF=","ASK",Z314,"SCOPE:SERVER"),"RT_FALSE")</f>
        <v>RT_FALSE</v>
      </c>
      <c r="AA538" s="1" t="str">
        <f>IF(AA$467,_xll.RtContribute(AA$403,AA$3&amp;"FX"&amp;$C508&amp;"DDF=","ASK",AA314,"SCOPE:SERVER"),"RT_FALSE")</f>
        <v>RT_FALSE</v>
      </c>
      <c r="AB538" s="1" t="str">
        <f>IF(AB$467,_xll.RtContribute(AB$403,AB$3&amp;"FX"&amp;$C508&amp;"DDF=","ASK",AB314,"SCOPE:SERVER"),"RT_FALSE")</f>
        <v>RT_FALSE</v>
      </c>
      <c r="AC538" s="1" t="str">
        <f>IF(AC$467,_xll.RtContribute(AC$403,AC$3&amp;"FX"&amp;$C508&amp;"DDF=","ASK",AC314,"SCOPE:SERVER"),"RT_FALSE")</f>
        <v>RT_FALSE</v>
      </c>
      <c r="AD538" s="1" t="str">
        <f>IF(AD$467,_xll.RtContribute(AD$403,AD$3&amp;"FX"&amp;$C508&amp;"DDF=","ASK",AD314,"SCOPE:SERVER"),"RT_FALSE")</f>
        <v>RT_FALSE</v>
      </c>
      <c r="AE538" s="1" t="str">
        <f>IF(AE$467,_xll.RtContribute(AE$403,AE$3&amp;"FX"&amp;$C508&amp;"DDF=","ASK",AE314,"SCOPE:SERVER"),"RT_FALSE")</f>
        <v>RT_FALSE</v>
      </c>
      <c r="AF538" s="1" t="str">
        <f>IF(AF$467,_xll.RtContribute(AF$403,AF$3&amp;"FX"&amp;$C508&amp;"DDF=","ASK",AF314,"SCOPE:SERVER"),"RT_FALSE")</f>
        <v>RT_FALSE</v>
      </c>
      <c r="AG538" s="1" t="str">
        <f>IF(AG$467,_xll.RtContribute(AG$403,AG$3&amp;"FX"&amp;$C508&amp;"DDF=","ASK",AG314,"SCOPE:SERVER"),"RT_FALSE")</f>
        <v>RT_FALSE</v>
      </c>
      <c r="AH538" s="1" t="str">
        <f>IF(AH$467,_xll.RtContribute(AH$403,AH$3&amp;"FX"&amp;$C508&amp;"DDF=","ASK",AH314,"SCOPE:SERVER"),"RT_FALSE")</f>
        <v>RT_FALSE</v>
      </c>
      <c r="AI538" s="1" t="str">
        <f>IF(AI$467,_xll.RtContribute(AI$403,AI$3&amp;"FX"&amp;$C508&amp;"DDF=","ASK",AI314,"SCOPE:SERVER"),"RT_FALSE")</f>
        <v>RT_FALSE</v>
      </c>
      <c r="AJ538" s="1" t="str">
        <f>IF(AJ$467,_xll.RtContribute(AJ$403,AJ$3&amp;"FX"&amp;$C508&amp;"DDF=","ASK",AJ314,"SCOPE:SERVER"),"RT_FALSE")</f>
        <v>RT_FALSE</v>
      </c>
      <c r="AK538" s="1" t="str">
        <f>IF(AK$467,_xll.RtContribute(AK$403,AK$3&amp;"FX"&amp;$C508&amp;"DDF=","ASK",AK314,"SCOPE:SERVER"),"RT_FALSE")</f>
        <v>RT_FALSE</v>
      </c>
      <c r="AL538" s="1" t="str">
        <f>IF(AL$467,_xll.RtContribute(AL$403,AL$3&amp;"FX"&amp;$C508&amp;"DDF=","ASK",AL314,"SCOPE:SERVER"),"RT_FALSE")</f>
        <v>RT_FALSE</v>
      </c>
      <c r="AM538" s="1" t="str">
        <f>IF(AM$467,_xll.RtContribute(AM$403,AM$3&amp;"FX"&amp;$C508&amp;"DDF=","ASK",AM314,"SCOPE:SERVER"),"RT_FALSE")</f>
        <v>RT_FALSE</v>
      </c>
      <c r="AN538" s="1" t="str">
        <f>IF(AN$467,_xll.RtContribute(AN$403,AN$3&amp;"FX"&amp;$C508&amp;"DDF=","ASK",AN314,"SCOPE:SERVER"),"RT_FALSE")</f>
        <v>RT_FALSE</v>
      </c>
      <c r="AO538" s="1" t="str">
        <f>IF(AO$467,_xll.RtContribute(AO$403,AO$3&amp;"FX"&amp;$C508&amp;"DDF=","ASK",AO314,"SCOPE:SERVER"),"RT_FALSE")</f>
        <v>RT_FALSE</v>
      </c>
      <c r="AP538" s="1" t="str">
        <f>IF(AP$467,_xll.RtContribute(AP$403,AP$3&amp;"FX"&amp;$C508&amp;"DDF=","ASK",AP314,"SCOPE:SERVER"),"RT_FALSE")</f>
        <v>RT_FALSE</v>
      </c>
    </row>
    <row r="539" spans="2:42" x14ac:dyDescent="0.2">
      <c r="C539" s="1" t="s">
        <v>85</v>
      </c>
      <c r="D539" s="1" t="str">
        <f>IF(D$467,_xll.RtContribute(D$403,D$3&amp;"FX"&amp;$C509&amp;"DDF=","ASK",D31,"SCOPE:SERVER"),"RT_FALSE")</f>
        <v>RT_FALSE</v>
      </c>
      <c r="E539" s="1" t="str">
        <f>IF(E$467,_xll.RtContribute(E$403,E$3&amp;"FX"&amp;$C509&amp;"DDF=","ASK",E315,"SCOPE:SERVER"),"RT_FALSE")</f>
        <v>RT_FALSE</v>
      </c>
      <c r="F539" s="1" t="str">
        <f>IF(F$467,_xll.RtContribute(F$403,F$3&amp;"FX"&amp;$C509&amp;"DDF=","ASK",F315,"SCOPE:SERVER"),"RT_FALSE")</f>
        <v>RT_FALSE</v>
      </c>
      <c r="G539" s="1" t="str">
        <f>IF(G$467,_xll.RtContribute(G$403,G$3&amp;"FX"&amp;$C509&amp;"DDF=","ASK",G315,"SCOPE:SERVER"),"RT_FALSE")</f>
        <v>RT_FALSE</v>
      </c>
      <c r="H539" s="1" t="str">
        <f>IF(H$467,_xll.RtContribute(H$403,H$3&amp;"FX"&amp;$C509&amp;"DDF=","ASK",H315,"SCOPE:SERVER"),"RT_FALSE")</f>
        <v>RT_FALSE</v>
      </c>
      <c r="I539" s="1" t="str">
        <f>IF(I$467,_xll.RtContribute(I$403,I$3&amp;"FX"&amp;$C509&amp;"DDF=","ASK",I315,"SCOPE:SERVER"),"RT_FALSE")</f>
        <v>RT_FALSE</v>
      </c>
      <c r="J539" s="1" t="str">
        <f>IF(J$467,_xll.RtContribute(J$403,J$3&amp;"FX"&amp;$C509&amp;"DDF=","ASK",J315,"SCOPE:SERVER"),"RT_FALSE")</f>
        <v>RT_FALSE</v>
      </c>
      <c r="K539" s="1" t="str">
        <f>IF(K$467,_xll.RtContribute(K$403,K$3&amp;"FX"&amp;$C509&amp;"DDF=","ASK",K315,"SCOPE:SERVER"),"RT_FALSE")</f>
        <v>RT_FALSE</v>
      </c>
      <c r="L539" s="1" t="str">
        <f>IF(L$467,_xll.RtContribute(L$403,L$3&amp;"FX"&amp;$C509&amp;"DDF=","ASK",L315,"SCOPE:SERVER"),"RT_FALSE")</f>
        <v>RT_FALSE</v>
      </c>
      <c r="M539" s="1" t="str">
        <f>IF(M$467,_xll.RtContribute(M$403,M$3&amp;"FX"&amp;$C509&amp;"DDF=","ASK",M315,"SCOPE:SERVER"),"RT_FALSE")</f>
        <v>RT_FALSE</v>
      </c>
      <c r="N539" s="1" t="str">
        <f>IF(N$467,_xll.RtContribute(N$403,N$3&amp;"FX"&amp;$C509&amp;"DDF=","ASK",N315,"SCOPE:SERVER"),"RT_FALSE")</f>
        <v>RT_FALSE</v>
      </c>
      <c r="O539" s="1" t="str">
        <f>IF(O$467,_xll.RtContribute(O$403,O$3&amp;"FX"&amp;$C509&amp;"DDF=","ASK",O315,"SCOPE:SERVER"),"RT_FALSE")</f>
        <v>RT_FALSE</v>
      </c>
      <c r="P539" s="1" t="str">
        <f>IF(P$467,_xll.RtContribute(P$403,P$3&amp;"FX"&amp;$C509&amp;"DDF=","ASK",P315,"SCOPE:SERVER"),"RT_FALSE")</f>
        <v>RT_FALSE</v>
      </c>
      <c r="Q539" s="1" t="str">
        <f>IF(Q$467,_xll.RtContribute(Q$403,Q$3&amp;"FX"&amp;$C509&amp;"DDF=","ASK",Q315,"SCOPE:SERVER"),"RT_FALSE")</f>
        <v>RT_FALSE</v>
      </c>
      <c r="R539" s="1" t="str">
        <f>IF(R$467,_xll.RtContribute(R$403,R$3&amp;"FX"&amp;$C509&amp;"DDF=","ASK",R315,"SCOPE:SERVER"),"RT_FALSE")</f>
        <v>RT_FALSE</v>
      </c>
      <c r="S539" s="1" t="str">
        <f>IF(S$467,_xll.RtContribute(S$403,S$3&amp;"FX"&amp;$C509&amp;"DDF=","ASK",S315,"SCOPE:SERVER"),"RT_FALSE")</f>
        <v>RT_FALSE</v>
      </c>
      <c r="T539" s="1" t="str">
        <f>IF(T$467,_xll.RtContribute(T$403,T$3&amp;"FX"&amp;$C509&amp;"DDF=","ASK",T315,"SCOPE:SERVER"),"RT_FALSE")</f>
        <v>RT_FALSE</v>
      </c>
      <c r="U539" s="1" t="str">
        <f>IF(U$467,_xll.RtContribute(U$403,U$3&amp;"FX"&amp;$C509&amp;"DDF=","ASK",U315,"SCOPE:SERVER"),"RT_FALSE")</f>
        <v>RT_FALSE</v>
      </c>
      <c r="V539" s="1" t="str">
        <f>IF(V$467,_xll.RtContribute(V$403,V$3&amp;"FX"&amp;$C509&amp;"DDF=","ASK",V315,"SCOPE:SERVER"),"RT_FALSE")</f>
        <v>RT_FALSE</v>
      </c>
      <c r="W539" s="1" t="str">
        <f>IF(W$467,_xll.RtContribute(W$403,W$3&amp;"FX"&amp;$C509&amp;"DDF=","ASK",W315,"SCOPE:SERVER"),"RT_FALSE")</f>
        <v>RT_FALSE</v>
      </c>
      <c r="X539" s="1" t="str">
        <f>IF(X$467,_xll.RtContribute(X$403,X$3&amp;"FX"&amp;$C509&amp;"DDF=","ASK",X315,"SCOPE:SERVER"),"RT_FALSE")</f>
        <v>RT_FALSE</v>
      </c>
      <c r="Y539" s="1" t="str">
        <f>IF(Y$467,_xll.RtContribute(Y$403,Y$3&amp;"FX"&amp;$C509&amp;"DDF=","ASK",Y315,"SCOPE:SERVER"),"RT_FALSE")</f>
        <v>RT_FALSE</v>
      </c>
      <c r="Z539" s="1" t="str">
        <f>IF(Z$467,_xll.RtContribute(Z$403,Z$3&amp;"FX"&amp;$C509&amp;"DDF=","ASK",Z315,"SCOPE:SERVER"),"RT_FALSE")</f>
        <v>RT_FALSE</v>
      </c>
      <c r="AA539" s="1" t="str">
        <f>IF(AA$467,_xll.RtContribute(AA$403,AA$3&amp;"FX"&amp;$C509&amp;"DDF=","ASK",AA315,"SCOPE:SERVER"),"RT_FALSE")</f>
        <v>RT_FALSE</v>
      </c>
      <c r="AB539" s="1" t="str">
        <f>IF(AB$467,_xll.RtContribute(AB$403,AB$3&amp;"FX"&amp;$C509&amp;"DDF=","ASK",AB315,"SCOPE:SERVER"),"RT_FALSE")</f>
        <v>RT_FALSE</v>
      </c>
      <c r="AC539" s="1" t="str">
        <f>IF(AC$467,_xll.RtContribute(AC$403,AC$3&amp;"FX"&amp;$C509&amp;"DDF=","ASK",AC315,"SCOPE:SERVER"),"RT_FALSE")</f>
        <v>RT_FALSE</v>
      </c>
      <c r="AD539" s="1" t="str">
        <f>IF(AD$467,_xll.RtContribute(AD$403,AD$3&amp;"FX"&amp;$C509&amp;"DDF=","ASK",AD315,"SCOPE:SERVER"),"RT_FALSE")</f>
        <v>RT_FALSE</v>
      </c>
      <c r="AE539" s="1" t="str">
        <f>IF(AE$467,_xll.RtContribute(AE$403,AE$3&amp;"FX"&amp;$C509&amp;"DDF=","ASK",AE315,"SCOPE:SERVER"),"RT_FALSE")</f>
        <v>RT_FALSE</v>
      </c>
      <c r="AF539" s="1" t="str">
        <f>IF(AF$467,_xll.RtContribute(AF$403,AF$3&amp;"FX"&amp;$C509&amp;"DDF=","ASK",AF315,"SCOPE:SERVER"),"RT_FALSE")</f>
        <v>RT_FALSE</v>
      </c>
      <c r="AG539" s="1" t="str">
        <f>IF(AG$467,_xll.RtContribute(AG$403,AG$3&amp;"FX"&amp;$C509&amp;"DDF=","ASK",AG315,"SCOPE:SERVER"),"RT_FALSE")</f>
        <v>RT_FALSE</v>
      </c>
      <c r="AH539" s="1" t="str">
        <f>IF(AH$467,_xll.RtContribute(AH$403,AH$3&amp;"FX"&amp;$C509&amp;"DDF=","ASK",AH315,"SCOPE:SERVER"),"RT_FALSE")</f>
        <v>RT_FALSE</v>
      </c>
      <c r="AI539" s="1" t="str">
        <f>IF(AI$467,_xll.RtContribute(AI$403,AI$3&amp;"FX"&amp;$C509&amp;"DDF=","ASK",AI315,"SCOPE:SERVER"),"RT_FALSE")</f>
        <v>RT_FALSE</v>
      </c>
      <c r="AJ539" s="1" t="str">
        <f>IF(AJ$467,_xll.RtContribute(AJ$403,AJ$3&amp;"FX"&amp;$C509&amp;"DDF=","ASK",AJ315,"SCOPE:SERVER"),"RT_FALSE")</f>
        <v>RT_FALSE</v>
      </c>
      <c r="AK539" s="1" t="str">
        <f>IF(AK$467,_xll.RtContribute(AK$403,AK$3&amp;"FX"&amp;$C509&amp;"DDF=","ASK",AK315,"SCOPE:SERVER"),"RT_FALSE")</f>
        <v>RT_FALSE</v>
      </c>
      <c r="AL539" s="1" t="str">
        <f>IF(AL$467,_xll.RtContribute(AL$403,AL$3&amp;"FX"&amp;$C509&amp;"DDF=","ASK",AL315,"SCOPE:SERVER"),"RT_FALSE")</f>
        <v>RT_FALSE</v>
      </c>
      <c r="AM539" s="1" t="str">
        <f>IF(AM$467,_xll.RtContribute(AM$403,AM$3&amp;"FX"&amp;$C509&amp;"DDF=","ASK",AM315,"SCOPE:SERVER"),"RT_FALSE")</f>
        <v>RT_FALSE</v>
      </c>
      <c r="AN539" s="1" t="str">
        <f>IF(AN$467,_xll.RtContribute(AN$403,AN$3&amp;"FX"&amp;$C509&amp;"DDF=","ASK",AN315,"SCOPE:SERVER"),"RT_FALSE")</f>
        <v>RT_FALSE</v>
      </c>
      <c r="AO539" s="1" t="str">
        <f>IF(AO$467,_xll.RtContribute(AO$403,AO$3&amp;"FX"&amp;$C509&amp;"DDF=","ASK",AO315,"SCOPE:SERVER"),"RT_FALSE")</f>
        <v>RT_FALSE</v>
      </c>
      <c r="AP539" s="1" t="str">
        <f>IF(AP$467,_xll.RtContribute(AP$403,AP$3&amp;"FX"&amp;$C509&amp;"DDF=","ASK",AP315,"SCOPE:SERVER"),"RT_FALSE")</f>
        <v>RT_FALSE</v>
      </c>
    </row>
    <row r="540" spans="2:42" x14ac:dyDescent="0.2">
      <c r="C540" s="1" t="s">
        <v>87</v>
      </c>
      <c r="D540" s="1" t="str">
        <f>IF(D$467,_xll.RtContribute(D$403,D$3&amp;"FX"&amp;$C510&amp;"DDF=","ASK",D32,"SCOPE:SERVER"),"RT_FALSE")</f>
        <v>RT_FALSE</v>
      </c>
      <c r="E540" s="1" t="str">
        <f>IF(E$467,_xll.RtContribute(E$403,E$3&amp;"FX"&amp;$C510&amp;"DDF=","ASK",E316,"SCOPE:SERVER"),"RT_FALSE")</f>
        <v>RT_FALSE</v>
      </c>
      <c r="F540" s="1" t="str">
        <f>IF(F$467,_xll.RtContribute(F$403,F$3&amp;"FX"&amp;$C510&amp;"DDF=","ASK",F316,"SCOPE:SERVER"),"RT_FALSE")</f>
        <v>RT_FALSE</v>
      </c>
      <c r="G540" s="1" t="str">
        <f>IF(G$467,_xll.RtContribute(G$403,G$3&amp;"FX"&amp;$C510&amp;"DDF=","ASK",G316,"SCOPE:SERVER"),"RT_FALSE")</f>
        <v>RT_FALSE</v>
      </c>
      <c r="H540" s="1" t="str">
        <f>IF(H$467,_xll.RtContribute(H$403,H$3&amp;"FX"&amp;$C510&amp;"DDF=","ASK",H316,"SCOPE:SERVER"),"RT_FALSE")</f>
        <v>RT_FALSE</v>
      </c>
      <c r="I540" s="1" t="str">
        <f>IF(I$467,_xll.RtContribute(I$403,I$3&amp;"FX"&amp;$C510&amp;"DDF=","ASK",I316,"SCOPE:SERVER"),"RT_FALSE")</f>
        <v>RT_FALSE</v>
      </c>
      <c r="J540" s="1" t="str">
        <f>IF(J$467,_xll.RtContribute(J$403,J$3&amp;"FX"&amp;$C510&amp;"DDF=","ASK",J316,"SCOPE:SERVER"),"RT_FALSE")</f>
        <v>RT_FALSE</v>
      </c>
      <c r="K540" s="1" t="str">
        <f>IF(K$467,_xll.RtContribute(K$403,K$3&amp;"FX"&amp;$C510&amp;"DDF=","ASK",K316,"SCOPE:SERVER"),"RT_FALSE")</f>
        <v>RT_FALSE</v>
      </c>
      <c r="L540" s="1" t="str">
        <f>IF(L$467,_xll.RtContribute(L$403,L$3&amp;"FX"&amp;$C510&amp;"DDF=","ASK",L316,"SCOPE:SERVER"),"RT_FALSE")</f>
        <v>RT_FALSE</v>
      </c>
      <c r="M540" s="1" t="str">
        <f>IF(M$467,_xll.RtContribute(M$403,M$3&amp;"FX"&amp;$C510&amp;"DDF=","ASK",M316,"SCOPE:SERVER"),"RT_FALSE")</f>
        <v>RT_FALSE</v>
      </c>
      <c r="N540" s="1" t="str">
        <f>IF(N$467,_xll.RtContribute(N$403,N$3&amp;"FX"&amp;$C510&amp;"DDF=","ASK",N316,"SCOPE:SERVER"),"RT_FALSE")</f>
        <v>RT_FALSE</v>
      </c>
      <c r="O540" s="1" t="str">
        <f>IF(O$467,_xll.RtContribute(O$403,O$3&amp;"FX"&amp;$C510&amp;"DDF=","ASK",O316,"SCOPE:SERVER"),"RT_FALSE")</f>
        <v>RT_FALSE</v>
      </c>
      <c r="P540" s="1" t="str">
        <f>IF(P$467,_xll.RtContribute(P$403,P$3&amp;"FX"&amp;$C510&amp;"DDF=","ASK",P316,"SCOPE:SERVER"),"RT_FALSE")</f>
        <v>RT_FALSE</v>
      </c>
      <c r="Q540" s="1" t="str">
        <f>IF(Q$467,_xll.RtContribute(Q$403,Q$3&amp;"FX"&amp;$C510&amp;"DDF=","ASK",Q316,"SCOPE:SERVER"),"RT_FALSE")</f>
        <v>RT_FALSE</v>
      </c>
      <c r="R540" s="1" t="str">
        <f>IF(R$467,_xll.RtContribute(R$403,R$3&amp;"FX"&amp;$C510&amp;"DDF=","ASK",R316,"SCOPE:SERVER"),"RT_FALSE")</f>
        <v>RT_FALSE</v>
      </c>
      <c r="S540" s="1" t="str">
        <f>IF(S$467,_xll.RtContribute(S$403,S$3&amp;"FX"&amp;$C510&amp;"DDF=","ASK",S316,"SCOPE:SERVER"),"RT_FALSE")</f>
        <v>RT_FALSE</v>
      </c>
      <c r="T540" s="1" t="str">
        <f>IF(T$467,_xll.RtContribute(T$403,T$3&amp;"FX"&amp;$C510&amp;"DDF=","ASK",T316,"SCOPE:SERVER"),"RT_FALSE")</f>
        <v>RT_FALSE</v>
      </c>
      <c r="U540" s="1" t="str">
        <f>IF(U$467,_xll.RtContribute(U$403,U$3&amp;"FX"&amp;$C510&amp;"DDF=","ASK",U316,"SCOPE:SERVER"),"RT_FALSE")</f>
        <v>RT_FALSE</v>
      </c>
      <c r="V540" s="1" t="str">
        <f>IF(V$467,_xll.RtContribute(V$403,V$3&amp;"FX"&amp;$C510&amp;"DDF=","ASK",V316,"SCOPE:SERVER"),"RT_FALSE")</f>
        <v>RT_FALSE</v>
      </c>
      <c r="W540" s="1" t="str">
        <f>IF(W$467,_xll.RtContribute(W$403,W$3&amp;"FX"&amp;$C510&amp;"DDF=","ASK",W316,"SCOPE:SERVER"),"RT_FALSE")</f>
        <v>RT_FALSE</v>
      </c>
      <c r="X540" s="1" t="str">
        <f>IF(X$467,_xll.RtContribute(X$403,X$3&amp;"FX"&amp;$C510&amp;"DDF=","ASK",X316,"SCOPE:SERVER"),"RT_FALSE")</f>
        <v>RT_FALSE</v>
      </c>
      <c r="Y540" s="1" t="str">
        <f>IF(Y$467,_xll.RtContribute(Y$403,Y$3&amp;"FX"&amp;$C510&amp;"DDF=","ASK",Y316,"SCOPE:SERVER"),"RT_FALSE")</f>
        <v>RT_FALSE</v>
      </c>
      <c r="Z540" s="1" t="str">
        <f>IF(Z$467,_xll.RtContribute(Z$403,Z$3&amp;"FX"&amp;$C510&amp;"DDF=","ASK",Z316,"SCOPE:SERVER"),"RT_FALSE")</f>
        <v>RT_FALSE</v>
      </c>
      <c r="AA540" s="1" t="str">
        <f>IF(AA$467,_xll.RtContribute(AA$403,AA$3&amp;"FX"&amp;$C510&amp;"DDF=","ASK",AA316,"SCOPE:SERVER"),"RT_FALSE")</f>
        <v>RT_FALSE</v>
      </c>
      <c r="AB540" s="1" t="str">
        <f>IF(AB$467,_xll.RtContribute(AB$403,AB$3&amp;"FX"&amp;$C510&amp;"DDF=","ASK",AB316,"SCOPE:SERVER"),"RT_FALSE")</f>
        <v>RT_FALSE</v>
      </c>
      <c r="AC540" s="1" t="str">
        <f>IF(AC$467,_xll.RtContribute(AC$403,AC$3&amp;"FX"&amp;$C510&amp;"DDF=","ASK",AC316,"SCOPE:SERVER"),"RT_FALSE")</f>
        <v>RT_FALSE</v>
      </c>
      <c r="AD540" s="1" t="str">
        <f>IF(AD$467,_xll.RtContribute(AD$403,AD$3&amp;"FX"&amp;$C510&amp;"DDF=","ASK",AD316,"SCOPE:SERVER"),"RT_FALSE")</f>
        <v>RT_FALSE</v>
      </c>
      <c r="AE540" s="1" t="str">
        <f>IF(AE$467,_xll.RtContribute(AE$403,AE$3&amp;"FX"&amp;$C510&amp;"DDF=","ASK",AE316,"SCOPE:SERVER"),"RT_FALSE")</f>
        <v>RT_FALSE</v>
      </c>
      <c r="AF540" s="1" t="str">
        <f>IF(AF$467,_xll.RtContribute(AF$403,AF$3&amp;"FX"&amp;$C510&amp;"DDF=","ASK",AF316,"SCOPE:SERVER"),"RT_FALSE")</f>
        <v>RT_FALSE</v>
      </c>
      <c r="AG540" s="1" t="str">
        <f>IF(AG$467,_xll.RtContribute(AG$403,AG$3&amp;"FX"&amp;$C510&amp;"DDF=","ASK",AG316,"SCOPE:SERVER"),"RT_FALSE")</f>
        <v>RT_FALSE</v>
      </c>
      <c r="AH540" s="1" t="str">
        <f>IF(AH$467,_xll.RtContribute(AH$403,AH$3&amp;"FX"&amp;$C510&amp;"DDF=","ASK",AH316,"SCOPE:SERVER"),"RT_FALSE")</f>
        <v>RT_FALSE</v>
      </c>
      <c r="AI540" s="1" t="str">
        <f>IF(AI$467,_xll.RtContribute(AI$403,AI$3&amp;"FX"&amp;$C510&amp;"DDF=","ASK",AI316,"SCOPE:SERVER"),"RT_FALSE")</f>
        <v>RT_FALSE</v>
      </c>
      <c r="AJ540" s="1" t="str">
        <f>IF(AJ$467,_xll.RtContribute(AJ$403,AJ$3&amp;"FX"&amp;$C510&amp;"DDF=","ASK",AJ316,"SCOPE:SERVER"),"RT_FALSE")</f>
        <v>RT_FALSE</v>
      </c>
      <c r="AK540" s="1" t="str">
        <f>IF(AK$467,_xll.RtContribute(AK$403,AK$3&amp;"FX"&amp;$C510&amp;"DDF=","ASK",AK316,"SCOPE:SERVER"),"RT_FALSE")</f>
        <v>RT_FALSE</v>
      </c>
      <c r="AL540" s="1" t="str">
        <f>IF(AL$467,_xll.RtContribute(AL$403,AL$3&amp;"FX"&amp;$C510&amp;"DDF=","ASK",AL316,"SCOPE:SERVER"),"RT_FALSE")</f>
        <v>RT_FALSE</v>
      </c>
      <c r="AM540" s="1" t="str">
        <f>IF(AM$467,_xll.RtContribute(AM$403,AM$3&amp;"FX"&amp;$C510&amp;"DDF=","ASK",AM316,"SCOPE:SERVER"),"RT_FALSE")</f>
        <v>RT_FALSE</v>
      </c>
      <c r="AN540" s="1" t="str">
        <f>IF(AN$467,_xll.RtContribute(AN$403,AN$3&amp;"FX"&amp;$C510&amp;"DDF=","ASK",AN316,"SCOPE:SERVER"),"RT_FALSE")</f>
        <v>RT_FALSE</v>
      </c>
      <c r="AO540" s="1" t="str">
        <f>IF(AO$467,_xll.RtContribute(AO$403,AO$3&amp;"FX"&amp;$C510&amp;"DDF=","ASK",AO316,"SCOPE:SERVER"),"RT_FALSE")</f>
        <v>RT_FALSE</v>
      </c>
      <c r="AP540" s="1" t="str">
        <f>IF(AP$467,_xll.RtContribute(AP$403,AP$3&amp;"FX"&amp;$C510&amp;"DDF=","ASK",AP316,"SCOPE:SERVER"),"RT_FALSE")</f>
        <v>RT_FALSE</v>
      </c>
    </row>
    <row r="541" spans="2:42" x14ac:dyDescent="0.2">
      <c r="C541" s="1" t="s">
        <v>90</v>
      </c>
      <c r="D541" s="1" t="str">
        <f>IF(D$467,_xll.RtContribute(D$403,D$3&amp;"FX"&amp;$C511&amp;"DDF=","ASK",D33,"SCOPE:SERVER"),"RT_FALSE")</f>
        <v>RT_FALSE</v>
      </c>
      <c r="E541" s="1" t="str">
        <f>IF(E$467,_xll.RtContribute(E$403,E$3&amp;"FX"&amp;$C511&amp;"DDF=","ASK",E317,"SCOPE:SERVER"),"RT_FALSE")</f>
        <v>RT_FALSE</v>
      </c>
      <c r="F541" s="1" t="str">
        <f>IF(F$467,_xll.RtContribute(F$403,F$3&amp;"FX"&amp;$C511&amp;"DDF=","ASK",F317,"SCOPE:SERVER"),"RT_FALSE")</f>
        <v>RT_FALSE</v>
      </c>
      <c r="G541" s="1" t="str">
        <f>IF(G$467,_xll.RtContribute(G$403,G$3&amp;"FX"&amp;$C511&amp;"DDF=","ASK",G317,"SCOPE:SERVER"),"RT_FALSE")</f>
        <v>RT_FALSE</v>
      </c>
      <c r="H541" s="1" t="str">
        <f>IF(H$467,_xll.RtContribute(H$403,H$3&amp;"FX"&amp;$C511&amp;"DDF=","ASK",H317,"SCOPE:SERVER"),"RT_FALSE")</f>
        <v>RT_FALSE</v>
      </c>
      <c r="I541" s="1" t="str">
        <f>IF(I$467,_xll.RtContribute(I$403,I$3&amp;"FX"&amp;$C511&amp;"DDF=","ASK",I317,"SCOPE:SERVER"),"RT_FALSE")</f>
        <v>RT_FALSE</v>
      </c>
      <c r="J541" s="1" t="str">
        <f>IF(J$467,_xll.RtContribute(J$403,J$3&amp;"FX"&amp;$C511&amp;"DDF=","ASK",J317,"SCOPE:SERVER"),"RT_FALSE")</f>
        <v>RT_FALSE</v>
      </c>
      <c r="K541" s="1" t="str">
        <f>IF(K$467,_xll.RtContribute(K$403,K$3&amp;"FX"&amp;$C511&amp;"DDF=","ASK",K317,"SCOPE:SERVER"),"RT_FALSE")</f>
        <v>RT_FALSE</v>
      </c>
      <c r="L541" s="1" t="str">
        <f>IF(L$467,_xll.RtContribute(L$403,L$3&amp;"FX"&amp;$C511&amp;"DDF=","ASK",L317,"SCOPE:SERVER"),"RT_FALSE")</f>
        <v>RT_FALSE</v>
      </c>
      <c r="M541" s="1" t="str">
        <f>IF(M$467,_xll.RtContribute(M$403,M$3&amp;"FX"&amp;$C511&amp;"DDF=","ASK",M317,"SCOPE:SERVER"),"RT_FALSE")</f>
        <v>RT_FALSE</v>
      </c>
      <c r="N541" s="1" t="str">
        <f>IF(N$467,_xll.RtContribute(N$403,N$3&amp;"FX"&amp;$C511&amp;"DDF=","ASK",N317,"SCOPE:SERVER"),"RT_FALSE")</f>
        <v>RT_FALSE</v>
      </c>
      <c r="O541" s="1" t="str">
        <f>IF(O$467,_xll.RtContribute(O$403,O$3&amp;"FX"&amp;$C511&amp;"DDF=","ASK",O317,"SCOPE:SERVER"),"RT_FALSE")</f>
        <v>RT_FALSE</v>
      </c>
      <c r="P541" s="1" t="str">
        <f>IF(P$467,_xll.RtContribute(P$403,P$3&amp;"FX"&amp;$C511&amp;"DDF=","ASK",P317,"SCOPE:SERVER"),"RT_FALSE")</f>
        <v>RT_FALSE</v>
      </c>
      <c r="Q541" s="1" t="str">
        <f>IF(Q$467,_xll.RtContribute(Q$403,Q$3&amp;"FX"&amp;$C511&amp;"DDF=","ASK",Q317,"SCOPE:SERVER"),"RT_FALSE")</f>
        <v>RT_FALSE</v>
      </c>
      <c r="R541" s="1" t="str">
        <f>IF(R$467,_xll.RtContribute(R$403,R$3&amp;"FX"&amp;$C511&amp;"DDF=","ASK",R317,"SCOPE:SERVER"),"RT_FALSE")</f>
        <v>RT_FALSE</v>
      </c>
      <c r="S541" s="1" t="str">
        <f>IF(S$467,_xll.RtContribute(S$403,S$3&amp;"FX"&amp;$C511&amp;"DDF=","ASK",S317,"SCOPE:SERVER"),"RT_FALSE")</f>
        <v>RT_FALSE</v>
      </c>
      <c r="T541" s="1" t="str">
        <f>IF(T$467,_xll.RtContribute(T$403,T$3&amp;"FX"&amp;$C511&amp;"DDF=","ASK",T317,"SCOPE:SERVER"),"RT_FALSE")</f>
        <v>RT_FALSE</v>
      </c>
      <c r="U541" s="1" t="str">
        <f>IF(U$467,_xll.RtContribute(U$403,U$3&amp;"FX"&amp;$C511&amp;"DDF=","ASK",U317,"SCOPE:SERVER"),"RT_FALSE")</f>
        <v>RT_FALSE</v>
      </c>
      <c r="V541" s="1" t="str">
        <f>IF(V$467,_xll.RtContribute(V$403,V$3&amp;"FX"&amp;$C511&amp;"DDF=","ASK",V317,"SCOPE:SERVER"),"RT_FALSE")</f>
        <v>RT_FALSE</v>
      </c>
      <c r="W541" s="1" t="str">
        <f>IF(W$467,_xll.RtContribute(W$403,W$3&amp;"FX"&amp;$C511&amp;"DDF=","ASK",W317,"SCOPE:SERVER"),"RT_FALSE")</f>
        <v>RT_FALSE</v>
      </c>
      <c r="X541" s="1" t="str">
        <f>IF(X$467,_xll.RtContribute(X$403,X$3&amp;"FX"&amp;$C511&amp;"DDF=","ASK",X317,"SCOPE:SERVER"),"RT_FALSE")</f>
        <v>RT_FALSE</v>
      </c>
      <c r="Y541" s="1" t="str">
        <f>IF(Y$467,_xll.RtContribute(Y$403,Y$3&amp;"FX"&amp;$C511&amp;"DDF=","ASK",Y317,"SCOPE:SERVER"),"RT_FALSE")</f>
        <v>RT_FALSE</v>
      </c>
      <c r="Z541" s="1" t="str">
        <f>IF(Z$467,_xll.RtContribute(Z$403,Z$3&amp;"FX"&amp;$C511&amp;"DDF=","ASK",Z317,"SCOPE:SERVER"),"RT_FALSE")</f>
        <v>RT_FALSE</v>
      </c>
      <c r="AA541" s="1" t="str">
        <f>IF(AA$467,_xll.RtContribute(AA$403,AA$3&amp;"FX"&amp;$C511&amp;"DDF=","ASK",AA317,"SCOPE:SERVER"),"RT_FALSE")</f>
        <v>RT_FALSE</v>
      </c>
      <c r="AB541" s="1" t="str">
        <f>IF(AB$467,_xll.RtContribute(AB$403,AB$3&amp;"FX"&amp;$C511&amp;"DDF=","ASK",AB317,"SCOPE:SERVER"),"RT_FALSE")</f>
        <v>RT_FALSE</v>
      </c>
      <c r="AC541" s="1" t="str">
        <f>IF(AC$467,_xll.RtContribute(AC$403,AC$3&amp;"FX"&amp;$C511&amp;"DDF=","ASK",AC317,"SCOPE:SERVER"),"RT_FALSE")</f>
        <v>RT_FALSE</v>
      </c>
      <c r="AD541" s="1" t="str">
        <f>IF(AD$467,_xll.RtContribute(AD$403,AD$3&amp;"FX"&amp;$C511&amp;"DDF=","ASK",AD317,"SCOPE:SERVER"),"RT_FALSE")</f>
        <v>RT_FALSE</v>
      </c>
      <c r="AE541" s="1" t="str">
        <f>IF(AE$467,_xll.RtContribute(AE$403,AE$3&amp;"FX"&amp;$C511&amp;"DDF=","ASK",AE317,"SCOPE:SERVER"),"RT_FALSE")</f>
        <v>RT_FALSE</v>
      </c>
      <c r="AF541" s="1" t="str">
        <f>IF(AF$467,_xll.RtContribute(AF$403,AF$3&amp;"FX"&amp;$C511&amp;"DDF=","ASK",AF317,"SCOPE:SERVER"),"RT_FALSE")</f>
        <v>RT_FALSE</v>
      </c>
      <c r="AG541" s="1" t="str">
        <f>IF(AG$467,_xll.RtContribute(AG$403,AG$3&amp;"FX"&amp;$C511&amp;"DDF=","ASK",AG317,"SCOPE:SERVER"),"RT_FALSE")</f>
        <v>RT_FALSE</v>
      </c>
      <c r="AH541" s="1" t="str">
        <f>IF(AH$467,_xll.RtContribute(AH$403,AH$3&amp;"FX"&amp;$C511&amp;"DDF=","ASK",AH317,"SCOPE:SERVER"),"RT_FALSE")</f>
        <v>RT_FALSE</v>
      </c>
      <c r="AI541" s="1" t="str">
        <f>IF(AI$467,_xll.RtContribute(AI$403,AI$3&amp;"FX"&amp;$C511&amp;"DDF=","ASK",AI317,"SCOPE:SERVER"),"RT_FALSE")</f>
        <v>RT_FALSE</v>
      </c>
      <c r="AJ541" s="1" t="str">
        <f>IF(AJ$467,_xll.RtContribute(AJ$403,AJ$3&amp;"FX"&amp;$C511&amp;"DDF=","ASK",AJ317,"SCOPE:SERVER"),"RT_FALSE")</f>
        <v>RT_FALSE</v>
      </c>
      <c r="AK541" s="1" t="str">
        <f>IF(AK$467,_xll.RtContribute(AK$403,AK$3&amp;"FX"&amp;$C511&amp;"DDF=","ASK",AK317,"SCOPE:SERVER"),"RT_FALSE")</f>
        <v>RT_FALSE</v>
      </c>
      <c r="AL541" s="1" t="str">
        <f>IF(AL$467,_xll.RtContribute(AL$403,AL$3&amp;"FX"&amp;$C511&amp;"DDF=","ASK",AL317,"SCOPE:SERVER"),"RT_FALSE")</f>
        <v>RT_FALSE</v>
      </c>
      <c r="AM541" s="1" t="str">
        <f>IF(AM$467,_xll.RtContribute(AM$403,AM$3&amp;"FX"&amp;$C511&amp;"DDF=","ASK",AM317,"SCOPE:SERVER"),"RT_FALSE")</f>
        <v>RT_FALSE</v>
      </c>
      <c r="AN541" s="1" t="str">
        <f>IF(AN$467,_xll.RtContribute(AN$403,AN$3&amp;"FX"&amp;$C511&amp;"DDF=","ASK",AN317,"SCOPE:SERVER"),"RT_FALSE")</f>
        <v>RT_FALSE</v>
      </c>
      <c r="AO541" s="1" t="str">
        <f>IF(AO$467,_xll.RtContribute(AO$403,AO$3&amp;"FX"&amp;$C511&amp;"DDF=","ASK",AO317,"SCOPE:SERVER"),"RT_FALSE")</f>
        <v>RT_FALSE</v>
      </c>
      <c r="AP541" s="1" t="str">
        <f>IF(AP$467,_xll.RtContribute(AP$403,AP$3&amp;"FX"&amp;$C511&amp;"DDF=","ASK",AP317,"SCOPE:SERVER"),"RT_FALSE")</f>
        <v>RT_FALSE</v>
      </c>
    </row>
    <row r="542" spans="2:42" x14ac:dyDescent="0.2">
      <c r="C542" s="1" t="s">
        <v>93</v>
      </c>
      <c r="D542" s="1" t="str">
        <f>IF(D$467,_xll.RtContribute(D$403,D$3&amp;"FX"&amp;$C512&amp;"DDF=","ASK",D34,"SCOPE:SERVER"),"RT_FALSE")</f>
        <v>RT_FALSE</v>
      </c>
      <c r="E542" s="1" t="str">
        <f>IF(E$467,_xll.RtContribute(E$403,E$3&amp;"FX"&amp;$C512&amp;"DDF=","ASK",E318,"SCOPE:SERVER"),"RT_FALSE")</f>
        <v>RT_FALSE</v>
      </c>
      <c r="F542" s="1" t="str">
        <f>IF(F$467,_xll.RtContribute(F$403,F$3&amp;"FX"&amp;$C512&amp;"DDF=","ASK",F318,"SCOPE:SERVER"),"RT_FALSE")</f>
        <v>RT_FALSE</v>
      </c>
      <c r="G542" s="1" t="str">
        <f>IF(G$467,_xll.RtContribute(G$403,G$3&amp;"FX"&amp;$C512&amp;"DDF=","ASK",G318,"SCOPE:SERVER"),"RT_FALSE")</f>
        <v>RT_FALSE</v>
      </c>
      <c r="H542" s="1" t="str">
        <f>IF(H$467,_xll.RtContribute(H$403,H$3&amp;"FX"&amp;$C512&amp;"DDF=","ASK",H318,"SCOPE:SERVER"),"RT_FALSE")</f>
        <v>RT_FALSE</v>
      </c>
      <c r="I542" s="1" t="str">
        <f>IF(I$467,_xll.RtContribute(I$403,I$3&amp;"FX"&amp;$C512&amp;"DDF=","ASK",I318,"SCOPE:SERVER"),"RT_FALSE")</f>
        <v>RT_FALSE</v>
      </c>
      <c r="J542" s="1" t="str">
        <f>IF(J$467,_xll.RtContribute(J$403,J$3&amp;"FX"&amp;$C512&amp;"DDF=","ASK",J318,"SCOPE:SERVER"),"RT_FALSE")</f>
        <v>RT_FALSE</v>
      </c>
      <c r="K542" s="1" t="str">
        <f>IF(K$467,_xll.RtContribute(K$403,K$3&amp;"FX"&amp;$C512&amp;"DDF=","ASK",K318,"SCOPE:SERVER"),"RT_FALSE")</f>
        <v>RT_FALSE</v>
      </c>
      <c r="L542" s="1" t="str">
        <f>IF(L$467,_xll.RtContribute(L$403,L$3&amp;"FX"&amp;$C512&amp;"DDF=","ASK",L318,"SCOPE:SERVER"),"RT_FALSE")</f>
        <v>RT_FALSE</v>
      </c>
      <c r="M542" s="1" t="str">
        <f>IF(M$467,_xll.RtContribute(M$403,M$3&amp;"FX"&amp;$C512&amp;"DDF=","ASK",M318,"SCOPE:SERVER"),"RT_FALSE")</f>
        <v>RT_FALSE</v>
      </c>
      <c r="N542" s="1" t="str">
        <f>IF(N$467,_xll.RtContribute(N$403,N$3&amp;"FX"&amp;$C512&amp;"DDF=","ASK",N318,"SCOPE:SERVER"),"RT_FALSE")</f>
        <v>RT_FALSE</v>
      </c>
      <c r="O542" s="1" t="str">
        <f>IF(O$467,_xll.RtContribute(O$403,O$3&amp;"FX"&amp;$C512&amp;"DDF=","ASK",O318,"SCOPE:SERVER"),"RT_FALSE")</f>
        <v>RT_FALSE</v>
      </c>
      <c r="P542" s="1" t="str">
        <f>IF(P$467,_xll.RtContribute(P$403,P$3&amp;"FX"&amp;$C512&amp;"DDF=","ASK",P318,"SCOPE:SERVER"),"RT_FALSE")</f>
        <v>RT_FALSE</v>
      </c>
      <c r="Q542" s="1" t="str">
        <f>IF(Q$467,_xll.RtContribute(Q$403,Q$3&amp;"FX"&amp;$C512&amp;"DDF=","ASK",Q318,"SCOPE:SERVER"),"RT_FALSE")</f>
        <v>RT_FALSE</v>
      </c>
      <c r="R542" s="1" t="str">
        <f>IF(R$467,_xll.RtContribute(R$403,R$3&amp;"FX"&amp;$C512&amp;"DDF=","ASK",R318,"SCOPE:SERVER"),"RT_FALSE")</f>
        <v>RT_FALSE</v>
      </c>
      <c r="S542" s="1" t="str">
        <f>IF(S$467,_xll.RtContribute(S$403,S$3&amp;"FX"&amp;$C512&amp;"DDF=","ASK",S318,"SCOPE:SERVER"),"RT_FALSE")</f>
        <v>RT_FALSE</v>
      </c>
      <c r="T542" s="1" t="str">
        <f>IF(T$467,_xll.RtContribute(T$403,T$3&amp;"FX"&amp;$C512&amp;"DDF=","ASK",T318,"SCOPE:SERVER"),"RT_FALSE")</f>
        <v>RT_FALSE</v>
      </c>
      <c r="U542" s="1" t="str">
        <f>IF(U$467,_xll.RtContribute(U$403,U$3&amp;"FX"&amp;$C512&amp;"DDF=","ASK",U318,"SCOPE:SERVER"),"RT_FALSE")</f>
        <v>RT_FALSE</v>
      </c>
      <c r="V542" s="1" t="str">
        <f>IF(V$467,_xll.RtContribute(V$403,V$3&amp;"FX"&amp;$C512&amp;"DDF=","ASK",V318,"SCOPE:SERVER"),"RT_FALSE")</f>
        <v>RT_FALSE</v>
      </c>
      <c r="W542" s="1" t="str">
        <f>IF(W$467,_xll.RtContribute(W$403,W$3&amp;"FX"&amp;$C512&amp;"DDF=","ASK",W318,"SCOPE:SERVER"),"RT_FALSE")</f>
        <v>RT_FALSE</v>
      </c>
      <c r="X542" s="1" t="str">
        <f>IF(X$467,_xll.RtContribute(X$403,X$3&amp;"FX"&amp;$C512&amp;"DDF=","ASK",X318,"SCOPE:SERVER"),"RT_FALSE")</f>
        <v>RT_FALSE</v>
      </c>
      <c r="Y542" s="1" t="str">
        <f>IF(Y$467,_xll.RtContribute(Y$403,Y$3&amp;"FX"&amp;$C512&amp;"DDF=","ASK",Y318,"SCOPE:SERVER"),"RT_FALSE")</f>
        <v>RT_FALSE</v>
      </c>
      <c r="Z542" s="1" t="str">
        <f>IF(Z$467,_xll.RtContribute(Z$403,Z$3&amp;"FX"&amp;$C512&amp;"DDF=","ASK",Z318,"SCOPE:SERVER"),"RT_FALSE")</f>
        <v>RT_FALSE</v>
      </c>
      <c r="AA542" s="1" t="str">
        <f>IF(AA$467,_xll.RtContribute(AA$403,AA$3&amp;"FX"&amp;$C512&amp;"DDF=","ASK",AA318,"SCOPE:SERVER"),"RT_FALSE")</f>
        <v>RT_FALSE</v>
      </c>
      <c r="AB542" s="1" t="str">
        <f>IF(AB$467,_xll.RtContribute(AB$403,AB$3&amp;"FX"&amp;$C512&amp;"DDF=","ASK",AB318,"SCOPE:SERVER"),"RT_FALSE")</f>
        <v>RT_FALSE</v>
      </c>
      <c r="AC542" s="1" t="str">
        <f>IF(AC$467,_xll.RtContribute(AC$403,AC$3&amp;"FX"&amp;$C512&amp;"DDF=","ASK",AC318,"SCOPE:SERVER"),"RT_FALSE")</f>
        <v>RT_FALSE</v>
      </c>
      <c r="AD542" s="1" t="str">
        <f>IF(AD$467,_xll.RtContribute(AD$403,AD$3&amp;"FX"&amp;$C512&amp;"DDF=","ASK",AD318,"SCOPE:SERVER"),"RT_FALSE")</f>
        <v>RT_FALSE</v>
      </c>
      <c r="AE542" s="1" t="str">
        <f>IF(AE$467,_xll.RtContribute(AE$403,AE$3&amp;"FX"&amp;$C512&amp;"DDF=","ASK",AE318,"SCOPE:SERVER"),"RT_FALSE")</f>
        <v>RT_FALSE</v>
      </c>
      <c r="AF542" s="1" t="str">
        <f>IF(AF$467,_xll.RtContribute(AF$403,AF$3&amp;"FX"&amp;$C512&amp;"DDF=","ASK",AF318,"SCOPE:SERVER"),"RT_FALSE")</f>
        <v>RT_FALSE</v>
      </c>
      <c r="AG542" s="1" t="str">
        <f>IF(AG$467,_xll.RtContribute(AG$403,AG$3&amp;"FX"&amp;$C512&amp;"DDF=","ASK",AG318,"SCOPE:SERVER"),"RT_FALSE")</f>
        <v>RT_FALSE</v>
      </c>
      <c r="AH542" s="1" t="str">
        <f>IF(AH$467,_xll.RtContribute(AH$403,AH$3&amp;"FX"&amp;$C512&amp;"DDF=","ASK",AH318,"SCOPE:SERVER"),"RT_FALSE")</f>
        <v>RT_FALSE</v>
      </c>
      <c r="AI542" s="1" t="str">
        <f>IF(AI$467,_xll.RtContribute(AI$403,AI$3&amp;"FX"&amp;$C512&amp;"DDF=","ASK",AI318,"SCOPE:SERVER"),"RT_FALSE")</f>
        <v>RT_FALSE</v>
      </c>
      <c r="AJ542" s="1" t="str">
        <f>IF(AJ$467,_xll.RtContribute(AJ$403,AJ$3&amp;"FX"&amp;$C512&amp;"DDF=","ASK",AJ318,"SCOPE:SERVER"),"RT_FALSE")</f>
        <v>RT_FALSE</v>
      </c>
      <c r="AK542" s="1" t="str">
        <f>IF(AK$467,_xll.RtContribute(AK$403,AK$3&amp;"FX"&amp;$C512&amp;"DDF=","ASK",AK318,"SCOPE:SERVER"),"RT_FALSE")</f>
        <v>RT_FALSE</v>
      </c>
      <c r="AL542" s="1" t="str">
        <f>IF(AL$467,_xll.RtContribute(AL$403,AL$3&amp;"FX"&amp;$C512&amp;"DDF=","ASK",AL318,"SCOPE:SERVER"),"RT_FALSE")</f>
        <v>RT_FALSE</v>
      </c>
      <c r="AM542" s="1" t="str">
        <f>IF(AM$467,_xll.RtContribute(AM$403,AM$3&amp;"FX"&amp;$C512&amp;"DDF=","ASK",AM318,"SCOPE:SERVER"),"RT_FALSE")</f>
        <v>RT_FALSE</v>
      </c>
      <c r="AN542" s="1" t="str">
        <f>IF(AN$467,_xll.RtContribute(AN$403,AN$3&amp;"FX"&amp;$C512&amp;"DDF=","ASK",AN318,"SCOPE:SERVER"),"RT_FALSE")</f>
        <v>RT_FALSE</v>
      </c>
      <c r="AO542" s="1" t="str">
        <f>IF(AO$467,_xll.RtContribute(AO$403,AO$3&amp;"FX"&amp;$C512&amp;"DDF=","ASK",AO318,"SCOPE:SERVER"),"RT_FALSE")</f>
        <v>RT_FALSE</v>
      </c>
      <c r="AP542" s="1" t="str">
        <f>IF(AP$467,_xll.RtContribute(AP$403,AP$3&amp;"FX"&amp;$C512&amp;"DDF=","ASK",AP318,"SCOPE:SERVER"),"RT_FALSE")</f>
        <v>RT_FALSE</v>
      </c>
    </row>
    <row r="543" spans="2:42" x14ac:dyDescent="0.2">
      <c r="C543" s="1" t="s">
        <v>96</v>
      </c>
      <c r="D543" s="1" t="str">
        <f>IF(D$467,_xll.RtContribute(D$403,D$3&amp;"FX"&amp;$C513&amp;"DDF=","ASK",D35,"SCOPE:SERVER"),"RT_FALSE")</f>
        <v>RT_FALSE</v>
      </c>
      <c r="E543" s="1" t="str">
        <f>IF(E$467,_xll.RtContribute(E$403,E$3&amp;"FX"&amp;$C513&amp;"DDF=","ASK",E319,"SCOPE:SERVER"),"RT_FALSE")</f>
        <v>RT_FALSE</v>
      </c>
      <c r="F543" s="1" t="str">
        <f>IF(F$467,_xll.RtContribute(F$403,F$3&amp;"FX"&amp;$C513&amp;"DDF=","ASK",F319,"SCOPE:SERVER"),"RT_FALSE")</f>
        <v>RT_FALSE</v>
      </c>
      <c r="G543" s="1" t="str">
        <f>IF(G$467,_xll.RtContribute(G$403,G$3&amp;"FX"&amp;$C513&amp;"DDF=","ASK",G319,"SCOPE:SERVER"),"RT_FALSE")</f>
        <v>RT_FALSE</v>
      </c>
      <c r="H543" s="1" t="str">
        <f>IF(H$467,_xll.RtContribute(H$403,H$3&amp;"FX"&amp;$C513&amp;"DDF=","ASK",H319,"SCOPE:SERVER"),"RT_FALSE")</f>
        <v>RT_FALSE</v>
      </c>
      <c r="I543" s="1" t="str">
        <f>IF(I$467,_xll.RtContribute(I$403,I$3&amp;"FX"&amp;$C513&amp;"DDF=","ASK",I319,"SCOPE:SERVER"),"RT_FALSE")</f>
        <v>RT_FALSE</v>
      </c>
      <c r="J543" s="1" t="str">
        <f>IF(J$467,_xll.RtContribute(J$403,J$3&amp;"FX"&amp;$C513&amp;"DDF=","ASK",J319,"SCOPE:SERVER"),"RT_FALSE")</f>
        <v>RT_FALSE</v>
      </c>
      <c r="K543" s="1" t="str">
        <f>IF(K$467,_xll.RtContribute(K$403,K$3&amp;"FX"&amp;$C513&amp;"DDF=","ASK",K319,"SCOPE:SERVER"),"RT_FALSE")</f>
        <v>RT_FALSE</v>
      </c>
      <c r="L543" s="1" t="str">
        <f>IF(L$467,_xll.RtContribute(L$403,L$3&amp;"FX"&amp;$C513&amp;"DDF=","ASK",L319,"SCOPE:SERVER"),"RT_FALSE")</f>
        <v>RT_FALSE</v>
      </c>
      <c r="M543" s="1" t="str">
        <f>IF(M$467,_xll.RtContribute(M$403,M$3&amp;"FX"&amp;$C513&amp;"DDF=","ASK",M319,"SCOPE:SERVER"),"RT_FALSE")</f>
        <v>RT_FALSE</v>
      </c>
      <c r="N543" s="1" t="str">
        <f>IF(N$467,_xll.RtContribute(N$403,N$3&amp;"FX"&amp;$C513&amp;"DDF=","ASK",N319,"SCOPE:SERVER"),"RT_FALSE")</f>
        <v>RT_FALSE</v>
      </c>
      <c r="O543" s="1" t="str">
        <f>IF(O$467,_xll.RtContribute(O$403,O$3&amp;"FX"&amp;$C513&amp;"DDF=","ASK",O319,"SCOPE:SERVER"),"RT_FALSE")</f>
        <v>RT_FALSE</v>
      </c>
      <c r="P543" s="1" t="str">
        <f>IF(P$467,_xll.RtContribute(P$403,P$3&amp;"FX"&amp;$C513&amp;"DDF=","ASK",P319,"SCOPE:SERVER"),"RT_FALSE")</f>
        <v>RT_FALSE</v>
      </c>
      <c r="Q543" s="1" t="str">
        <f>IF(Q$467,_xll.RtContribute(Q$403,Q$3&amp;"FX"&amp;$C513&amp;"DDF=","ASK",Q319,"SCOPE:SERVER"),"RT_FALSE")</f>
        <v>RT_FALSE</v>
      </c>
      <c r="R543" s="1" t="str">
        <f>IF(R$467,_xll.RtContribute(R$403,R$3&amp;"FX"&amp;$C513&amp;"DDF=","ASK",R319,"SCOPE:SERVER"),"RT_FALSE")</f>
        <v>RT_FALSE</v>
      </c>
      <c r="S543" s="1" t="str">
        <f>IF(S$467,_xll.RtContribute(S$403,S$3&amp;"FX"&amp;$C513&amp;"DDF=","ASK",S319,"SCOPE:SERVER"),"RT_FALSE")</f>
        <v>RT_FALSE</v>
      </c>
      <c r="T543" s="1" t="str">
        <f>IF(T$467,_xll.RtContribute(T$403,T$3&amp;"FX"&amp;$C513&amp;"DDF=","ASK",T319,"SCOPE:SERVER"),"RT_FALSE")</f>
        <v>RT_FALSE</v>
      </c>
      <c r="U543" s="1" t="str">
        <f>IF(U$467,_xll.RtContribute(U$403,U$3&amp;"FX"&amp;$C513&amp;"DDF=","ASK",U319,"SCOPE:SERVER"),"RT_FALSE")</f>
        <v>RT_FALSE</v>
      </c>
      <c r="V543" s="1" t="str">
        <f>IF(V$467,_xll.RtContribute(V$403,V$3&amp;"FX"&amp;$C513&amp;"DDF=","ASK",V319,"SCOPE:SERVER"),"RT_FALSE")</f>
        <v>RT_FALSE</v>
      </c>
      <c r="W543" s="1" t="str">
        <f>IF(W$467,_xll.RtContribute(W$403,W$3&amp;"FX"&amp;$C513&amp;"DDF=","ASK",W319,"SCOPE:SERVER"),"RT_FALSE")</f>
        <v>RT_FALSE</v>
      </c>
      <c r="X543" s="1" t="str">
        <f>IF(X$467,_xll.RtContribute(X$403,X$3&amp;"FX"&amp;$C513&amp;"DDF=","ASK",X319,"SCOPE:SERVER"),"RT_FALSE")</f>
        <v>RT_FALSE</v>
      </c>
      <c r="Y543" s="1" t="str">
        <f>IF(Y$467,_xll.RtContribute(Y$403,Y$3&amp;"FX"&amp;$C513&amp;"DDF=","ASK",Y319,"SCOPE:SERVER"),"RT_FALSE")</f>
        <v>RT_FALSE</v>
      </c>
      <c r="Z543" s="1" t="str">
        <f>IF(Z$467,_xll.RtContribute(Z$403,Z$3&amp;"FX"&amp;$C513&amp;"DDF=","ASK",Z319,"SCOPE:SERVER"),"RT_FALSE")</f>
        <v>RT_FALSE</v>
      </c>
      <c r="AA543" s="1" t="str">
        <f>IF(AA$467,_xll.RtContribute(AA$403,AA$3&amp;"FX"&amp;$C513&amp;"DDF=","ASK",AA319,"SCOPE:SERVER"),"RT_FALSE")</f>
        <v>RT_FALSE</v>
      </c>
      <c r="AB543" s="1" t="str">
        <f>IF(AB$467,_xll.RtContribute(AB$403,AB$3&amp;"FX"&amp;$C513&amp;"DDF=","ASK",AB319,"SCOPE:SERVER"),"RT_FALSE")</f>
        <v>RT_FALSE</v>
      </c>
      <c r="AC543" s="1" t="str">
        <f>IF(AC$467,_xll.RtContribute(AC$403,AC$3&amp;"FX"&amp;$C513&amp;"DDF=","ASK",AC319,"SCOPE:SERVER"),"RT_FALSE")</f>
        <v>RT_FALSE</v>
      </c>
      <c r="AD543" s="1" t="str">
        <f>IF(AD$467,_xll.RtContribute(AD$403,AD$3&amp;"FX"&amp;$C513&amp;"DDF=","ASK",AD319,"SCOPE:SERVER"),"RT_FALSE")</f>
        <v>RT_FALSE</v>
      </c>
      <c r="AE543" s="1" t="str">
        <f>IF(AE$467,_xll.RtContribute(AE$403,AE$3&amp;"FX"&amp;$C513&amp;"DDF=","ASK",AE319,"SCOPE:SERVER"),"RT_FALSE")</f>
        <v>RT_FALSE</v>
      </c>
      <c r="AF543" s="1" t="str">
        <f>IF(AF$467,_xll.RtContribute(AF$403,AF$3&amp;"FX"&amp;$C513&amp;"DDF=","ASK",AF319,"SCOPE:SERVER"),"RT_FALSE")</f>
        <v>RT_FALSE</v>
      </c>
      <c r="AG543" s="1" t="str">
        <f>IF(AG$467,_xll.RtContribute(AG$403,AG$3&amp;"FX"&amp;$C513&amp;"DDF=","ASK",AG319,"SCOPE:SERVER"),"RT_FALSE")</f>
        <v>RT_FALSE</v>
      </c>
      <c r="AH543" s="1" t="str">
        <f>IF(AH$467,_xll.RtContribute(AH$403,AH$3&amp;"FX"&amp;$C513&amp;"DDF=","ASK",AH319,"SCOPE:SERVER"),"RT_FALSE")</f>
        <v>RT_FALSE</v>
      </c>
      <c r="AI543" s="1" t="str">
        <f>IF(AI$467,_xll.RtContribute(AI$403,AI$3&amp;"FX"&amp;$C513&amp;"DDF=","ASK",AI319,"SCOPE:SERVER"),"RT_FALSE")</f>
        <v>RT_FALSE</v>
      </c>
      <c r="AJ543" s="1" t="str">
        <f>IF(AJ$467,_xll.RtContribute(AJ$403,AJ$3&amp;"FX"&amp;$C513&amp;"DDF=","ASK",AJ319,"SCOPE:SERVER"),"RT_FALSE")</f>
        <v>RT_FALSE</v>
      </c>
      <c r="AK543" s="1" t="str">
        <f>IF(AK$467,_xll.RtContribute(AK$403,AK$3&amp;"FX"&amp;$C513&amp;"DDF=","ASK",AK319,"SCOPE:SERVER"),"RT_FALSE")</f>
        <v>RT_FALSE</v>
      </c>
      <c r="AL543" s="1" t="str">
        <f>IF(AL$467,_xll.RtContribute(AL$403,AL$3&amp;"FX"&amp;$C513&amp;"DDF=","ASK",AL319,"SCOPE:SERVER"),"RT_FALSE")</f>
        <v>RT_FALSE</v>
      </c>
      <c r="AM543" s="1" t="str">
        <f>IF(AM$467,_xll.RtContribute(AM$403,AM$3&amp;"FX"&amp;$C513&amp;"DDF=","ASK",AM319,"SCOPE:SERVER"),"RT_FALSE")</f>
        <v>RT_FALSE</v>
      </c>
      <c r="AN543" s="1" t="str">
        <f>IF(AN$467,_xll.RtContribute(AN$403,AN$3&amp;"FX"&amp;$C513&amp;"DDF=","ASK",AN319,"SCOPE:SERVER"),"RT_FALSE")</f>
        <v>RT_FALSE</v>
      </c>
      <c r="AO543" s="1" t="str">
        <f>IF(AO$467,_xll.RtContribute(AO$403,AO$3&amp;"FX"&amp;$C513&amp;"DDF=","ASK",AO319,"SCOPE:SERVER"),"RT_FALSE")</f>
        <v>RT_FALSE</v>
      </c>
      <c r="AP543" s="1" t="str">
        <f>IF(AP$467,_xll.RtContribute(AP$403,AP$3&amp;"FX"&amp;$C513&amp;"DDF=","ASK",AP319,"SCOPE:SERVER"),"RT_FALSE")</f>
        <v>RT_FALSE</v>
      </c>
    </row>
    <row r="544" spans="2:42" x14ac:dyDescent="0.2">
      <c r="C544" s="1" t="s">
        <v>99</v>
      </c>
      <c r="D544" s="1" t="str">
        <f>IF(D$467,_xll.RtContribute(D$403,D$3&amp;"FX"&amp;$C514&amp;"DDF=","ASK",D36,"SCOPE:SERVER"),"RT_FALSE")</f>
        <v>RT_FALSE</v>
      </c>
      <c r="E544" s="1" t="str">
        <f>IF(E$467,_xll.RtContribute(E$403,E$3&amp;"FX"&amp;$C514&amp;"DDF=","ASK",E320,"SCOPE:SERVER"),"RT_FALSE")</f>
        <v>RT_FALSE</v>
      </c>
      <c r="F544" s="1" t="str">
        <f>IF(F$467,_xll.RtContribute(F$403,F$3&amp;"FX"&amp;$C514&amp;"DDF=","ASK",F320,"SCOPE:SERVER"),"RT_FALSE")</f>
        <v>RT_FALSE</v>
      </c>
      <c r="G544" s="1" t="str">
        <f>IF(G$467,_xll.RtContribute(G$403,G$3&amp;"FX"&amp;$C514&amp;"DDF=","ASK",G320,"SCOPE:SERVER"),"RT_FALSE")</f>
        <v>RT_FALSE</v>
      </c>
      <c r="H544" s="1" t="str">
        <f>IF(H$467,_xll.RtContribute(H$403,H$3&amp;"FX"&amp;$C514&amp;"DDF=","ASK",H320,"SCOPE:SERVER"),"RT_FALSE")</f>
        <v>RT_FALSE</v>
      </c>
      <c r="I544" s="1" t="str">
        <f>IF(I$467,_xll.RtContribute(I$403,I$3&amp;"FX"&amp;$C514&amp;"DDF=","ASK",I320,"SCOPE:SERVER"),"RT_FALSE")</f>
        <v>RT_FALSE</v>
      </c>
      <c r="J544" s="1" t="str">
        <f>IF(J$467,_xll.RtContribute(J$403,J$3&amp;"FX"&amp;$C514&amp;"DDF=","ASK",J320,"SCOPE:SERVER"),"RT_FALSE")</f>
        <v>RT_FALSE</v>
      </c>
      <c r="K544" s="1" t="str">
        <f>IF(K$467,_xll.RtContribute(K$403,K$3&amp;"FX"&amp;$C514&amp;"DDF=","ASK",K320,"SCOPE:SERVER"),"RT_FALSE")</f>
        <v>RT_FALSE</v>
      </c>
      <c r="L544" s="1" t="str">
        <f>IF(L$467,_xll.RtContribute(L$403,L$3&amp;"FX"&amp;$C514&amp;"DDF=","ASK",L320,"SCOPE:SERVER"),"RT_FALSE")</f>
        <v>RT_FALSE</v>
      </c>
      <c r="M544" s="1" t="str">
        <f>IF(M$467,_xll.RtContribute(M$403,M$3&amp;"FX"&amp;$C514&amp;"DDF=","ASK",M320,"SCOPE:SERVER"),"RT_FALSE")</f>
        <v>RT_FALSE</v>
      </c>
      <c r="N544" s="1" t="str">
        <f>IF(N$467,_xll.RtContribute(N$403,N$3&amp;"FX"&amp;$C514&amp;"DDF=","ASK",N320,"SCOPE:SERVER"),"RT_FALSE")</f>
        <v>RT_FALSE</v>
      </c>
      <c r="O544" s="1" t="str">
        <f>IF(O$467,_xll.RtContribute(O$403,O$3&amp;"FX"&amp;$C514&amp;"DDF=","ASK",O320,"SCOPE:SERVER"),"RT_FALSE")</f>
        <v>RT_FALSE</v>
      </c>
      <c r="P544" s="1" t="str">
        <f>IF(P$467,_xll.RtContribute(P$403,P$3&amp;"FX"&amp;$C514&amp;"DDF=","ASK",P320,"SCOPE:SERVER"),"RT_FALSE")</f>
        <v>RT_FALSE</v>
      </c>
      <c r="Q544" s="1" t="str">
        <f>IF(Q$467,_xll.RtContribute(Q$403,Q$3&amp;"FX"&amp;$C514&amp;"DDF=","ASK",Q320,"SCOPE:SERVER"),"RT_FALSE")</f>
        <v>RT_FALSE</v>
      </c>
      <c r="R544" s="1" t="str">
        <f>IF(R$467,_xll.RtContribute(R$403,R$3&amp;"FX"&amp;$C514&amp;"DDF=","ASK",R320,"SCOPE:SERVER"),"RT_FALSE")</f>
        <v>RT_FALSE</v>
      </c>
      <c r="S544" s="1" t="str">
        <f>IF(S$467,_xll.RtContribute(S$403,S$3&amp;"FX"&amp;$C514&amp;"DDF=","ASK",S320,"SCOPE:SERVER"),"RT_FALSE")</f>
        <v>RT_FALSE</v>
      </c>
      <c r="T544" s="1" t="str">
        <f>IF(T$467,_xll.RtContribute(T$403,T$3&amp;"FX"&amp;$C514&amp;"DDF=","ASK",T320,"SCOPE:SERVER"),"RT_FALSE")</f>
        <v>RT_FALSE</v>
      </c>
      <c r="U544" s="1" t="str">
        <f>IF(U$467,_xll.RtContribute(U$403,U$3&amp;"FX"&amp;$C514&amp;"DDF=","ASK",U320,"SCOPE:SERVER"),"RT_FALSE")</f>
        <v>RT_FALSE</v>
      </c>
      <c r="V544" s="1" t="str">
        <f>IF(V$467,_xll.RtContribute(V$403,V$3&amp;"FX"&amp;$C514&amp;"DDF=","ASK",V320,"SCOPE:SERVER"),"RT_FALSE")</f>
        <v>RT_FALSE</v>
      </c>
      <c r="W544" s="1" t="str">
        <f>IF(W$467,_xll.RtContribute(W$403,W$3&amp;"FX"&amp;$C514&amp;"DDF=","ASK",W320,"SCOPE:SERVER"),"RT_FALSE")</f>
        <v>RT_FALSE</v>
      </c>
      <c r="X544" s="1" t="str">
        <f>IF(X$467,_xll.RtContribute(X$403,X$3&amp;"FX"&amp;$C514&amp;"DDF=","ASK",X320,"SCOPE:SERVER"),"RT_FALSE")</f>
        <v>RT_FALSE</v>
      </c>
      <c r="Y544" s="1" t="str">
        <f>IF(Y$467,_xll.RtContribute(Y$403,Y$3&amp;"FX"&amp;$C514&amp;"DDF=","ASK",Y320,"SCOPE:SERVER"),"RT_FALSE")</f>
        <v>RT_FALSE</v>
      </c>
      <c r="Z544" s="1" t="str">
        <f>IF(Z$467,_xll.RtContribute(Z$403,Z$3&amp;"FX"&amp;$C514&amp;"DDF=","ASK",Z320,"SCOPE:SERVER"),"RT_FALSE")</f>
        <v>RT_FALSE</v>
      </c>
      <c r="AA544" s="1" t="str">
        <f>IF(AA$467,_xll.RtContribute(AA$403,AA$3&amp;"FX"&amp;$C514&amp;"DDF=","ASK",AA320,"SCOPE:SERVER"),"RT_FALSE")</f>
        <v>RT_FALSE</v>
      </c>
      <c r="AB544" s="1" t="str">
        <f>IF(AB$467,_xll.RtContribute(AB$403,AB$3&amp;"FX"&amp;$C514&amp;"DDF=","ASK",AB320,"SCOPE:SERVER"),"RT_FALSE")</f>
        <v>RT_FALSE</v>
      </c>
      <c r="AC544" s="1" t="str">
        <f>IF(AC$467,_xll.RtContribute(AC$403,AC$3&amp;"FX"&amp;$C514&amp;"DDF=","ASK",AC320,"SCOPE:SERVER"),"RT_FALSE")</f>
        <v>RT_FALSE</v>
      </c>
      <c r="AD544" s="1" t="str">
        <f>IF(AD$467,_xll.RtContribute(AD$403,AD$3&amp;"FX"&amp;$C514&amp;"DDF=","ASK",AD320,"SCOPE:SERVER"),"RT_FALSE")</f>
        <v>RT_FALSE</v>
      </c>
      <c r="AE544" s="1" t="str">
        <f>IF(AE$467,_xll.RtContribute(AE$403,AE$3&amp;"FX"&amp;$C514&amp;"DDF=","ASK",AE320,"SCOPE:SERVER"),"RT_FALSE")</f>
        <v>RT_FALSE</v>
      </c>
      <c r="AF544" s="1" t="str">
        <f>IF(AF$467,_xll.RtContribute(AF$403,AF$3&amp;"FX"&amp;$C514&amp;"DDF=","ASK",AF320,"SCOPE:SERVER"),"RT_FALSE")</f>
        <v>RT_FALSE</v>
      </c>
      <c r="AG544" s="1" t="str">
        <f>IF(AG$467,_xll.RtContribute(AG$403,AG$3&amp;"FX"&amp;$C514&amp;"DDF=","ASK",AG320,"SCOPE:SERVER"),"RT_FALSE")</f>
        <v>RT_FALSE</v>
      </c>
      <c r="AH544" s="1" t="str">
        <f>IF(AH$467,_xll.RtContribute(AH$403,AH$3&amp;"FX"&amp;$C514&amp;"DDF=","ASK",AH320,"SCOPE:SERVER"),"RT_FALSE")</f>
        <v>RT_FALSE</v>
      </c>
      <c r="AI544" s="1" t="str">
        <f>IF(AI$467,_xll.RtContribute(AI$403,AI$3&amp;"FX"&amp;$C514&amp;"DDF=","ASK",AI320,"SCOPE:SERVER"),"RT_FALSE")</f>
        <v>RT_FALSE</v>
      </c>
      <c r="AJ544" s="1" t="str">
        <f>IF(AJ$467,_xll.RtContribute(AJ$403,AJ$3&amp;"FX"&amp;$C514&amp;"DDF=","ASK",AJ320,"SCOPE:SERVER"),"RT_FALSE")</f>
        <v>RT_FALSE</v>
      </c>
      <c r="AK544" s="1" t="str">
        <f>IF(AK$467,_xll.RtContribute(AK$403,AK$3&amp;"FX"&amp;$C514&amp;"DDF=","ASK",AK320,"SCOPE:SERVER"),"RT_FALSE")</f>
        <v>RT_FALSE</v>
      </c>
      <c r="AL544" s="1" t="str">
        <f>IF(AL$467,_xll.RtContribute(AL$403,AL$3&amp;"FX"&amp;$C514&amp;"DDF=","ASK",AL320,"SCOPE:SERVER"),"RT_FALSE")</f>
        <v>RT_FALSE</v>
      </c>
      <c r="AM544" s="1" t="str">
        <f>IF(AM$467,_xll.RtContribute(AM$403,AM$3&amp;"FX"&amp;$C514&amp;"DDF=","ASK",AM320,"SCOPE:SERVER"),"RT_FALSE")</f>
        <v>RT_FALSE</v>
      </c>
      <c r="AN544" s="1" t="str">
        <f>IF(AN$467,_xll.RtContribute(AN$403,AN$3&amp;"FX"&amp;$C514&amp;"DDF=","ASK",AN320,"SCOPE:SERVER"),"RT_FALSE")</f>
        <v>RT_FALSE</v>
      </c>
      <c r="AO544" s="1" t="str">
        <f>IF(AO$467,_xll.RtContribute(AO$403,AO$3&amp;"FX"&amp;$C514&amp;"DDF=","ASK",AO320,"SCOPE:SERVER"),"RT_FALSE")</f>
        <v>RT_FALSE</v>
      </c>
      <c r="AP544" s="1" t="str">
        <f>IF(AP$467,_xll.RtContribute(AP$403,AP$3&amp;"FX"&amp;$C514&amp;"DDF=","ASK",AP320,"SCOPE:SERVER"),"RT_FALSE")</f>
        <v>RT_FALSE</v>
      </c>
    </row>
    <row r="545" spans="2:42" x14ac:dyDescent="0.2">
      <c r="C545" s="1" t="s">
        <v>101</v>
      </c>
      <c r="D545" s="1" t="str">
        <f>IF(D$467,_xll.RtContribute(D$403,D$3&amp;"FX"&amp;$C515&amp;"DDF=","ASK",D37,"SCOPE:SERVER"),"RT_FALSE")</f>
        <v>RT_FALSE</v>
      </c>
      <c r="E545" s="1" t="str">
        <f>IF(E$467,_xll.RtContribute(E$403,E$3&amp;"FX"&amp;$C515&amp;"DDF=","ASK",E321,"SCOPE:SERVER"),"RT_FALSE")</f>
        <v>RT_FALSE</v>
      </c>
      <c r="F545" s="1" t="str">
        <f>IF(F$467,_xll.RtContribute(F$403,F$3&amp;"FX"&amp;$C515&amp;"DDF=","ASK",F321,"SCOPE:SERVER"),"RT_FALSE")</f>
        <v>RT_FALSE</v>
      </c>
      <c r="G545" s="1" t="str">
        <f>IF(G$467,_xll.RtContribute(G$403,G$3&amp;"FX"&amp;$C515&amp;"DDF=","ASK",G321,"SCOPE:SERVER"),"RT_FALSE")</f>
        <v>RT_FALSE</v>
      </c>
      <c r="H545" s="1" t="str">
        <f>IF(H$467,_xll.RtContribute(H$403,H$3&amp;"FX"&amp;$C515&amp;"DDF=","ASK",H321,"SCOPE:SERVER"),"RT_FALSE")</f>
        <v>RT_FALSE</v>
      </c>
      <c r="I545" s="1" t="str">
        <f>IF(I$467,_xll.RtContribute(I$403,I$3&amp;"FX"&amp;$C515&amp;"DDF=","ASK",I321,"SCOPE:SERVER"),"RT_FALSE")</f>
        <v>RT_FALSE</v>
      </c>
      <c r="J545" s="1" t="str">
        <f>IF(J$467,_xll.RtContribute(J$403,J$3&amp;"FX"&amp;$C515&amp;"DDF=","ASK",J321,"SCOPE:SERVER"),"RT_FALSE")</f>
        <v>RT_FALSE</v>
      </c>
      <c r="K545" s="1" t="str">
        <f>IF(K$467,_xll.RtContribute(K$403,K$3&amp;"FX"&amp;$C515&amp;"DDF=","ASK",K321,"SCOPE:SERVER"),"RT_FALSE")</f>
        <v>RT_FALSE</v>
      </c>
      <c r="L545" s="1" t="str">
        <f>IF(L$467,_xll.RtContribute(L$403,L$3&amp;"FX"&amp;$C515&amp;"DDF=","ASK",L321,"SCOPE:SERVER"),"RT_FALSE")</f>
        <v>RT_FALSE</v>
      </c>
      <c r="M545" s="1" t="str">
        <f>IF(M$467,_xll.RtContribute(M$403,M$3&amp;"FX"&amp;$C515&amp;"DDF=","ASK",M321,"SCOPE:SERVER"),"RT_FALSE")</f>
        <v>RT_FALSE</v>
      </c>
      <c r="N545" s="1" t="str">
        <f>IF(N$467,_xll.RtContribute(N$403,N$3&amp;"FX"&amp;$C515&amp;"DDF=","ASK",N321,"SCOPE:SERVER"),"RT_FALSE")</f>
        <v>RT_FALSE</v>
      </c>
      <c r="O545" s="1" t="str">
        <f>IF(O$467,_xll.RtContribute(O$403,O$3&amp;"FX"&amp;$C515&amp;"DDF=","ASK",O321,"SCOPE:SERVER"),"RT_FALSE")</f>
        <v>RT_FALSE</v>
      </c>
      <c r="P545" s="1" t="str">
        <f>IF(P$467,_xll.RtContribute(P$403,P$3&amp;"FX"&amp;$C515&amp;"DDF=","ASK",P321,"SCOPE:SERVER"),"RT_FALSE")</f>
        <v>RT_FALSE</v>
      </c>
      <c r="Q545" s="1" t="str">
        <f>IF(Q$467,_xll.RtContribute(Q$403,Q$3&amp;"FX"&amp;$C515&amp;"DDF=","ASK",Q321,"SCOPE:SERVER"),"RT_FALSE")</f>
        <v>RT_FALSE</v>
      </c>
      <c r="R545" s="1" t="str">
        <f>IF(R$467,_xll.RtContribute(R$403,R$3&amp;"FX"&amp;$C515&amp;"DDF=","ASK",R321,"SCOPE:SERVER"),"RT_FALSE")</f>
        <v>RT_FALSE</v>
      </c>
      <c r="S545" s="1" t="str">
        <f>IF(S$467,_xll.RtContribute(S$403,S$3&amp;"FX"&amp;$C515&amp;"DDF=","ASK",S321,"SCOPE:SERVER"),"RT_FALSE")</f>
        <v>RT_FALSE</v>
      </c>
      <c r="T545" s="1" t="str">
        <f>IF(T$467,_xll.RtContribute(T$403,T$3&amp;"FX"&amp;$C515&amp;"DDF=","ASK",T321,"SCOPE:SERVER"),"RT_FALSE")</f>
        <v>RT_FALSE</v>
      </c>
      <c r="U545" s="1" t="str">
        <f>IF(U$467,_xll.RtContribute(U$403,U$3&amp;"FX"&amp;$C515&amp;"DDF=","ASK",U321,"SCOPE:SERVER"),"RT_FALSE")</f>
        <v>RT_FALSE</v>
      </c>
      <c r="V545" s="1" t="str">
        <f>IF(V$467,_xll.RtContribute(V$403,V$3&amp;"FX"&amp;$C515&amp;"DDF=","ASK",V321,"SCOPE:SERVER"),"RT_FALSE")</f>
        <v>RT_FALSE</v>
      </c>
      <c r="W545" s="1" t="str">
        <f>IF(W$467,_xll.RtContribute(W$403,W$3&amp;"FX"&amp;$C515&amp;"DDF=","ASK",W321,"SCOPE:SERVER"),"RT_FALSE")</f>
        <v>RT_FALSE</v>
      </c>
      <c r="X545" s="1" t="str">
        <f>IF(X$467,_xll.RtContribute(X$403,X$3&amp;"FX"&amp;$C515&amp;"DDF=","ASK",X321,"SCOPE:SERVER"),"RT_FALSE")</f>
        <v>RT_FALSE</v>
      </c>
      <c r="Y545" s="1" t="str">
        <f>IF(Y$467,_xll.RtContribute(Y$403,Y$3&amp;"FX"&amp;$C515&amp;"DDF=","ASK",Y321,"SCOPE:SERVER"),"RT_FALSE")</f>
        <v>RT_FALSE</v>
      </c>
      <c r="Z545" s="1" t="str">
        <f>IF(Z$467,_xll.RtContribute(Z$403,Z$3&amp;"FX"&amp;$C515&amp;"DDF=","ASK",Z321,"SCOPE:SERVER"),"RT_FALSE")</f>
        <v>RT_FALSE</v>
      </c>
      <c r="AA545" s="1" t="str">
        <f>IF(AA$467,_xll.RtContribute(AA$403,AA$3&amp;"FX"&amp;$C515&amp;"DDF=","ASK",AA321,"SCOPE:SERVER"),"RT_FALSE")</f>
        <v>RT_FALSE</v>
      </c>
      <c r="AB545" s="1" t="str">
        <f>IF(AB$467,_xll.RtContribute(AB$403,AB$3&amp;"FX"&amp;$C515&amp;"DDF=","ASK",AB321,"SCOPE:SERVER"),"RT_FALSE")</f>
        <v>RT_FALSE</v>
      </c>
      <c r="AC545" s="1" t="str">
        <f>IF(AC$467,_xll.RtContribute(AC$403,AC$3&amp;"FX"&amp;$C515&amp;"DDF=","ASK",AC321,"SCOPE:SERVER"),"RT_FALSE")</f>
        <v>RT_FALSE</v>
      </c>
      <c r="AD545" s="1" t="str">
        <f>IF(AD$467,_xll.RtContribute(AD$403,AD$3&amp;"FX"&amp;$C515&amp;"DDF=","ASK",AD321,"SCOPE:SERVER"),"RT_FALSE")</f>
        <v>RT_FALSE</v>
      </c>
      <c r="AE545" s="1" t="str">
        <f>IF(AE$467,_xll.RtContribute(AE$403,AE$3&amp;"FX"&amp;$C515&amp;"DDF=","ASK",AE321,"SCOPE:SERVER"),"RT_FALSE")</f>
        <v>RT_FALSE</v>
      </c>
      <c r="AF545" s="1" t="str">
        <f>IF(AF$467,_xll.RtContribute(AF$403,AF$3&amp;"FX"&amp;$C515&amp;"DDF=","ASK",AF321,"SCOPE:SERVER"),"RT_FALSE")</f>
        <v>RT_FALSE</v>
      </c>
      <c r="AG545" s="1" t="str">
        <f>IF(AG$467,_xll.RtContribute(AG$403,AG$3&amp;"FX"&amp;$C515&amp;"DDF=","ASK",AG321,"SCOPE:SERVER"),"RT_FALSE")</f>
        <v>RT_FALSE</v>
      </c>
      <c r="AH545" s="1" t="str">
        <f>IF(AH$467,_xll.RtContribute(AH$403,AH$3&amp;"FX"&amp;$C515&amp;"DDF=","ASK",AH321,"SCOPE:SERVER"),"RT_FALSE")</f>
        <v>RT_FALSE</v>
      </c>
      <c r="AI545" s="1" t="str">
        <f>IF(AI$467,_xll.RtContribute(AI$403,AI$3&amp;"FX"&amp;$C515&amp;"DDF=","ASK",AI321,"SCOPE:SERVER"),"RT_FALSE")</f>
        <v>RT_FALSE</v>
      </c>
      <c r="AJ545" s="1" t="str">
        <f>IF(AJ$467,_xll.RtContribute(AJ$403,AJ$3&amp;"FX"&amp;$C515&amp;"DDF=","ASK",AJ321,"SCOPE:SERVER"),"RT_FALSE")</f>
        <v>RT_FALSE</v>
      </c>
      <c r="AK545" s="1" t="str">
        <f>IF(AK$467,_xll.RtContribute(AK$403,AK$3&amp;"FX"&amp;$C515&amp;"DDF=","ASK",AK321,"SCOPE:SERVER"),"RT_FALSE")</f>
        <v>RT_FALSE</v>
      </c>
      <c r="AL545" s="1" t="str">
        <f>IF(AL$467,_xll.RtContribute(AL$403,AL$3&amp;"FX"&amp;$C515&amp;"DDF=","ASK",AL321,"SCOPE:SERVER"),"RT_FALSE")</f>
        <v>RT_FALSE</v>
      </c>
      <c r="AM545" s="1" t="str">
        <f>IF(AM$467,_xll.RtContribute(AM$403,AM$3&amp;"FX"&amp;$C515&amp;"DDF=","ASK",AM321,"SCOPE:SERVER"),"RT_FALSE")</f>
        <v>RT_FALSE</v>
      </c>
      <c r="AN545" s="1" t="str">
        <f>IF(AN$467,_xll.RtContribute(AN$403,AN$3&amp;"FX"&amp;$C515&amp;"DDF=","ASK",AN321,"SCOPE:SERVER"),"RT_FALSE")</f>
        <v>RT_FALSE</v>
      </c>
      <c r="AO545" s="1" t="str">
        <f>IF(AO$467,_xll.RtContribute(AO$403,AO$3&amp;"FX"&amp;$C515&amp;"DDF=","ASK",AO321,"SCOPE:SERVER"),"RT_FALSE")</f>
        <v>RT_FALSE</v>
      </c>
      <c r="AP545" s="1" t="str">
        <f>IF(AP$467,_xll.RtContribute(AP$403,AP$3&amp;"FX"&amp;$C515&amp;"DDF=","ASK",AP321,"SCOPE:SERVER"),"RT_FALSE")</f>
        <v>RT_FALSE</v>
      </c>
    </row>
    <row r="546" spans="2:42" x14ac:dyDescent="0.2">
      <c r="B546" s="305" t="s">
        <v>314</v>
      </c>
      <c r="C546" s="1" t="s">
        <v>138</v>
      </c>
      <c r="D546" s="1" t="str">
        <f>IF(D$467,_xll.RtContribute(D$403,D$3&amp;"FX"&amp;$C516&amp;"DDF=","ASK",D38,"SCOPE:SERVER"),"RT_FALSE")</f>
        <v>RT_FALSE</v>
      </c>
      <c r="E546" s="1" t="str">
        <f>IF(E$467,_xll.RtContribute(E$403,E$3&amp;"FX"&amp;$C516&amp;"DDF=","ASK",E322,"SCOPE:SERVER"),"RT_FALSE")</f>
        <v>RT_FALSE</v>
      </c>
      <c r="F546" s="1" t="str">
        <f>IF(F$467,_xll.RtContribute(F$403,F$3&amp;"FX"&amp;$C516&amp;"DDF=","ASK",F322,"SCOPE:SERVER"),"RT_FALSE")</f>
        <v>RT_FALSE</v>
      </c>
      <c r="G546" s="1" t="str">
        <f>IF(G$467,_xll.RtContribute(G$403,G$3&amp;"FX"&amp;$C516&amp;"DDF=","ASK",G322,"SCOPE:SERVER"),"RT_FALSE")</f>
        <v>RT_FALSE</v>
      </c>
      <c r="H546" s="1" t="str">
        <f>IF(H$467,_xll.RtContribute(H$403,H$3&amp;"FX"&amp;$C516&amp;"DDF=","ASK",H322,"SCOPE:SERVER"),"RT_FALSE")</f>
        <v>RT_FALSE</v>
      </c>
      <c r="I546" s="1" t="str">
        <f>IF(I$467,_xll.RtContribute(I$403,I$3&amp;"FX"&amp;$C516&amp;"DDF=","ASK",I322,"SCOPE:SERVER"),"RT_FALSE")</f>
        <v>RT_FALSE</v>
      </c>
      <c r="J546" s="1" t="str">
        <f>IF(J$467,_xll.RtContribute(J$403,J$3&amp;"FX"&amp;$C516&amp;"DDF=","ASK",J322,"SCOPE:SERVER"),"RT_FALSE")</f>
        <v>RT_FALSE</v>
      </c>
      <c r="K546" s="1" t="str">
        <f>IF(K$467,_xll.RtContribute(K$403,K$3&amp;"FX"&amp;$C516&amp;"DDF=","ASK",K322,"SCOPE:SERVER"),"RT_FALSE")</f>
        <v>RT_FALSE</v>
      </c>
      <c r="L546" s="1" t="str">
        <f>IF(L$467,_xll.RtContribute(L$403,L$3&amp;"FX"&amp;$C516&amp;"DDF=","ASK",L322,"SCOPE:SERVER"),"RT_FALSE")</f>
        <v>RT_FALSE</v>
      </c>
      <c r="M546" s="1" t="str">
        <f>IF(M$467,_xll.RtContribute(M$403,M$3&amp;"FX"&amp;$C516&amp;"DDF=","ASK",M322,"SCOPE:SERVER"),"RT_FALSE")</f>
        <v>RT_FALSE</v>
      </c>
      <c r="N546" s="1" t="str">
        <f>IF(N$467,_xll.RtContribute(N$403,N$3&amp;"FX"&amp;$C516&amp;"DDF=","ASK",N322,"SCOPE:SERVER"),"RT_FALSE")</f>
        <v>RT_FALSE</v>
      </c>
      <c r="O546" s="1" t="str">
        <f>IF(O$467,_xll.RtContribute(O$403,O$3&amp;"FX"&amp;$C516&amp;"DDF=","ASK",O322,"SCOPE:SERVER"),"RT_FALSE")</f>
        <v>RT_FALSE</v>
      </c>
      <c r="P546" s="1" t="str">
        <f>IF(P$467,_xll.RtContribute(P$403,P$3&amp;"FX"&amp;$C516&amp;"DDF=","ASK",P322,"SCOPE:SERVER"),"RT_FALSE")</f>
        <v>RT_FALSE</v>
      </c>
      <c r="Q546" s="1" t="str">
        <f>IF(Q$467,_xll.RtContribute(Q$403,Q$3&amp;"FX"&amp;$C516&amp;"DDF=","ASK",Q322,"SCOPE:SERVER"),"RT_FALSE")</f>
        <v>RT_FALSE</v>
      </c>
      <c r="R546" s="1" t="str">
        <f>IF(R$467,_xll.RtContribute(R$403,R$3&amp;"FX"&amp;$C516&amp;"DDF=","ASK",R322,"SCOPE:SERVER"),"RT_FALSE")</f>
        <v>RT_FALSE</v>
      </c>
      <c r="S546" s="1" t="str">
        <f>IF(S$467,_xll.RtContribute(S$403,S$3&amp;"FX"&amp;$C516&amp;"DDF=","ASK",S322,"SCOPE:SERVER"),"RT_FALSE")</f>
        <v>RT_FALSE</v>
      </c>
      <c r="T546" s="1" t="str">
        <f>IF(T$467,_xll.RtContribute(T$403,T$3&amp;"FX"&amp;$C516&amp;"DDF=","ASK",T322,"SCOPE:SERVER"),"RT_FALSE")</f>
        <v>RT_FALSE</v>
      </c>
      <c r="U546" s="305" t="str">
        <f>IF(U$467,_xll.RtContribute(U$403,U$3&amp;"FX1YDDF=","ASK",U322,"SCOPE:SERVER"),"RT_FALSE")</f>
        <v>RT_FALSE</v>
      </c>
      <c r="V546" s="305" t="str">
        <f>IF(V$467,_xll.RtContribute(V$403,V$3&amp;"FX1YDDF=","ASK",V322,"SCOPE:SERVER"),"RT_FALSE")</f>
        <v>RT_FALSE</v>
      </c>
      <c r="W546" s="305" t="str">
        <f>IF(W$467,_xll.RtContribute(W$403,W$3&amp;"FX1YDDF=","ASK",W322,"SCOPE:SERVER"),"RT_FALSE")</f>
        <v>RT_FALSE</v>
      </c>
      <c r="X546" s="305" t="str">
        <f>IF(X$467,_xll.RtContribute(X$403,X$3&amp;"FX1YDDF=","ASK",X322,"SCOPE:SERVER"),"RT_FALSE")</f>
        <v>RT_FALSE</v>
      </c>
      <c r="Y546" s="305" t="str">
        <f>IF(Y$467,_xll.RtContribute(Y$403,Y$3&amp;"FX1YDDF=","ASK",Y322,"SCOPE:SERVER"),"RT_FALSE")</f>
        <v>RT_FALSE</v>
      </c>
      <c r="Z546" s="305" t="str">
        <f>IF(Z$467,_xll.RtContribute(Z$403,Z$3&amp;"FX1YDDF=","ASK",Z322,"SCOPE:SERVER"),"RT_FALSE")</f>
        <v>RT_FALSE</v>
      </c>
      <c r="AA546" s="305" t="str">
        <f>IF(AA$467,_xll.RtContribute(AA$403,AA$3&amp;"FX1YDDF=","ASK",AA322,"SCOPE:SERVER"),"RT_FALSE")</f>
        <v>RT_FALSE</v>
      </c>
      <c r="AB546" s="305" t="str">
        <f>IF(AB$467,_xll.RtContribute(AB$403,AB$3&amp;"FX1YDDF=","ASK",AB322,"SCOPE:SERVER"),"RT_FALSE")</f>
        <v>RT_FALSE</v>
      </c>
      <c r="AC546" s="305" t="str">
        <f>IF(AC$467,_xll.RtContribute(AC$403,AC$3&amp;"FX1YDDF=","ASK",AC322,"SCOPE:SERVER"),"RT_FALSE")</f>
        <v>RT_FALSE</v>
      </c>
      <c r="AD546" s="305" t="str">
        <f>IF(AD$467,_xll.RtContribute(AD$403,AD$3&amp;"FX1YDDF=","ASK",AD322,"SCOPE:SERVER"),"RT_FALSE")</f>
        <v>RT_FALSE</v>
      </c>
      <c r="AE546" s="305" t="str">
        <f>IF(AE$467,_xll.RtContribute(AE$403,AE$3&amp;"FX1YDDF=","ASK",AE322,"SCOPE:SERVER"),"RT_FALSE")</f>
        <v>RT_FALSE</v>
      </c>
      <c r="AF546" s="305" t="str">
        <f>IF(AF$467,_xll.RtContribute(AF$403,AF$3&amp;"FX1YDDF=","ASK",AF322,"SCOPE:SERVER"),"RT_FALSE")</f>
        <v>RT_FALSE</v>
      </c>
      <c r="AG546" s="305" t="str">
        <f>IF(AG$467,_xll.RtContribute(AG$403,AG$3&amp;"FX1YDDF=","ASK",AG322,"SCOPE:SERVER"),"RT_FALSE")</f>
        <v>RT_FALSE</v>
      </c>
      <c r="AH546" s="305" t="str">
        <f>IF(AH$467,_xll.RtContribute(AH$403,AH$3&amp;"FX1YDDF=","ASK",AH322,"SCOPE:SERVER"),"RT_FALSE")</f>
        <v>RT_FALSE</v>
      </c>
      <c r="AI546" s="1" t="str">
        <f>IF(AI$467,_xll.RtContribute(AI$403,AI$3&amp;"FX"&amp;$C516&amp;"DDF=","ASK",AI322,"SCOPE:SERVER"),"RT_FALSE")</f>
        <v>RT_FALSE</v>
      </c>
      <c r="AJ546" s="1" t="str">
        <f>IF(AJ$467,_xll.RtContribute(AJ$403,AJ$3&amp;"FX"&amp;$C516&amp;"DDF=","ASK",AJ322,"SCOPE:SERVER"),"RT_FALSE")</f>
        <v>RT_FALSE</v>
      </c>
      <c r="AK546" s="1" t="str">
        <f>IF(AK$467,_xll.RtContribute(AK$403,AK$3&amp;"FX"&amp;$C516&amp;"DDF=","ASK",AK322,"SCOPE:SERVER"),"RT_FALSE")</f>
        <v>RT_FALSE</v>
      </c>
      <c r="AL546" s="305" t="str">
        <f>IF(AL$467,_xll.RtContribute(AL$403,AL$3&amp;"FX1YDDF=","ASK",AL322,"SCOPE:SERVER"),"RT_FALSE")</f>
        <v>RT_FALSE</v>
      </c>
      <c r="AM546" s="1" t="str">
        <f>IF(AM$467,_xll.RtContribute(AM$403,AM$3&amp;"FX"&amp;$C516&amp;"DDF=","ASK",AM322,"SCOPE:SERVER"),"RT_FALSE")</f>
        <v>RT_FALSE</v>
      </c>
      <c r="AN546" s="305" t="str">
        <f>IF(AN$467,_xll.RtContribute(AN$403,AN$3&amp;"FX1YDDF=","ASK",AN322,"SCOPE:SERVER"),"RT_FALSE")</f>
        <v>RT_FALSE</v>
      </c>
      <c r="AO546" s="1" t="str">
        <f>IF(AO$467,_xll.RtContribute(AO$403,AO$3&amp;"FX"&amp;$C516&amp;"DDF=","ASK",AO322,"SCOPE:SERVER"),"RT_FALSE")</f>
        <v>RT_FALSE</v>
      </c>
      <c r="AP546" s="1" t="str">
        <f>IF(AP$467,_xll.RtContribute(AP$403,AP$3&amp;"FX"&amp;$C516&amp;"DDF=","ASK",AP322,"SCOPE:SERVER"),"RT_FALSE")</f>
        <v>RT_FALSE</v>
      </c>
    </row>
    <row r="547" spans="2:42" x14ac:dyDescent="0.2">
      <c r="C547" s="1" t="s">
        <v>122</v>
      </c>
      <c r="D547" s="1" t="str">
        <f>IF(D$467,_xll.RtContribute(D$403,D$3&amp;"FX"&amp;$C517&amp;"DDF=","ASK",D39,"SCOPE:SERVER"),"RT_FALSE")</f>
        <v>RT_FALSE</v>
      </c>
      <c r="E547" s="1" t="str">
        <f>IF(E$467,_xll.RtContribute(E$403,E$3&amp;"FX"&amp;$C517&amp;"DDF=","ASK",E323,"SCOPE:SERVER"),"RT_FALSE")</f>
        <v>RT_FALSE</v>
      </c>
      <c r="F547" s="1" t="str">
        <f>IF(F$467,_xll.RtContribute(F$403,F$3&amp;"FX"&amp;$C517&amp;"DDF=","ASK",F323,"SCOPE:SERVER"),"RT_FALSE")</f>
        <v>RT_FALSE</v>
      </c>
      <c r="G547" s="1" t="str">
        <f>IF(G$467,_xll.RtContribute(G$403,G$3&amp;"FX"&amp;$C517&amp;"DDF=","ASK",G323,"SCOPE:SERVER"),"RT_FALSE")</f>
        <v>RT_FALSE</v>
      </c>
      <c r="H547" s="1" t="str">
        <f>IF(H$467,_xll.RtContribute(H$403,H$3&amp;"FX"&amp;$C517&amp;"DDF=","ASK",H323,"SCOPE:SERVER"),"RT_FALSE")</f>
        <v>RT_FALSE</v>
      </c>
      <c r="I547" s="1" t="str">
        <f>IF(I$467,_xll.RtContribute(I$403,I$3&amp;"FX"&amp;$C517&amp;"DDF=","ASK",I323,"SCOPE:SERVER"),"RT_FALSE")</f>
        <v>RT_FALSE</v>
      </c>
      <c r="J547" s="1" t="str">
        <f>IF(J$467,_xll.RtContribute(J$403,J$3&amp;"FX"&amp;$C517&amp;"DDF=","ASK",J323,"SCOPE:SERVER"),"RT_FALSE")</f>
        <v>RT_FALSE</v>
      </c>
      <c r="K547" s="1" t="str">
        <f>IF(K$467,_xll.RtContribute(K$403,K$3&amp;"FX"&amp;$C517&amp;"DDF=","ASK",K323,"SCOPE:SERVER"),"RT_FALSE")</f>
        <v>RT_FALSE</v>
      </c>
      <c r="L547" s="1" t="str">
        <f>IF(L$467,_xll.RtContribute(L$403,L$3&amp;"FX"&amp;$C517&amp;"DDF=","ASK",L323,"SCOPE:SERVER"),"RT_FALSE")</f>
        <v>RT_FALSE</v>
      </c>
      <c r="M547" s="1" t="str">
        <f>IF(M$467,_xll.RtContribute(M$403,M$3&amp;"FX"&amp;$C517&amp;"DDF=","ASK",M323,"SCOPE:SERVER"),"RT_FALSE")</f>
        <v>RT_FALSE</v>
      </c>
      <c r="N547" s="1" t="str">
        <f>IF(N$467,_xll.RtContribute(N$403,N$3&amp;"FX"&amp;$C517&amp;"DDF=","ASK",N323,"SCOPE:SERVER"),"RT_FALSE")</f>
        <v>RT_FALSE</v>
      </c>
      <c r="O547" s="1" t="str">
        <f>IF(O$467,_xll.RtContribute(O$403,O$3&amp;"FX"&amp;$C517&amp;"DDF=","ASK",O323,"SCOPE:SERVER"),"RT_FALSE")</f>
        <v>RT_FALSE</v>
      </c>
      <c r="P547" s="1" t="str">
        <f>IF(P$467,_xll.RtContribute(P$403,P$3&amp;"FX"&amp;$C517&amp;"DDF=","ASK",P323,"SCOPE:SERVER"),"RT_FALSE")</f>
        <v>RT_FALSE</v>
      </c>
      <c r="Q547" s="1" t="str">
        <f>IF(Q$467,_xll.RtContribute(Q$403,Q$3&amp;"FX"&amp;$C517&amp;"DDF=","ASK",Q323,"SCOPE:SERVER"),"RT_FALSE")</f>
        <v>RT_FALSE</v>
      </c>
      <c r="R547" s="1" t="str">
        <f>IF(R$467,_xll.RtContribute(R$403,R$3&amp;"FX"&amp;$C517&amp;"DDF=","ASK",R323,"SCOPE:SERVER"),"RT_FALSE")</f>
        <v>RT_FALSE</v>
      </c>
      <c r="S547" s="1" t="str">
        <f>IF(S$467,_xll.RtContribute(S$403,S$3&amp;"FX"&amp;$C517&amp;"DDF=","ASK",S323,"SCOPE:SERVER"),"RT_FALSE")</f>
        <v>RT_FALSE</v>
      </c>
      <c r="T547" s="1" t="str">
        <f>IF(T$467,_xll.RtContribute(T$403,T$3&amp;"FX"&amp;$C517&amp;"DDF=","ASK",T323,"SCOPE:SERVER"),"RT_FALSE")</f>
        <v>RT_FALSE</v>
      </c>
      <c r="U547" s="1" t="str">
        <f>IF(U$467,_xll.RtContribute(U$403,U$3&amp;"FX"&amp;$C517&amp;"DDF=","ASK",U323,"SCOPE:SERVER"),"RT_FALSE")</f>
        <v>RT_FALSE</v>
      </c>
      <c r="V547" s="1" t="str">
        <f>IF(V$467,_xll.RtContribute(V$403,V$3&amp;"FX"&amp;$C517&amp;"DDF=","ASK",V323,"SCOPE:SERVER"),"RT_FALSE")</f>
        <v>RT_FALSE</v>
      </c>
      <c r="W547" s="1" t="str">
        <f>IF(W$467,_xll.RtContribute(W$403,W$3&amp;"FX"&amp;$C517&amp;"DDF=","ASK",W323,"SCOPE:SERVER"),"RT_FALSE")</f>
        <v>RT_FALSE</v>
      </c>
      <c r="X547" s="1" t="str">
        <f>IF(X$467,_xll.RtContribute(X$403,X$3&amp;"FX"&amp;$C517&amp;"DDF=","ASK",X323,"SCOPE:SERVER"),"RT_FALSE")</f>
        <v>RT_FALSE</v>
      </c>
      <c r="Y547" s="1" t="str">
        <f>IF(Y$467,_xll.RtContribute(Y$403,Y$3&amp;"FX"&amp;$C517&amp;"DDF=","ASK",Y323,"SCOPE:SERVER"),"RT_FALSE")</f>
        <v>RT_FALSE</v>
      </c>
      <c r="Z547" s="1" t="str">
        <f>IF(Z$467,_xll.RtContribute(Z$403,Z$3&amp;"FX"&amp;$C517&amp;"DDF=","ASK",Z323,"SCOPE:SERVER"),"RT_FALSE")</f>
        <v>RT_FALSE</v>
      </c>
      <c r="AA547" s="1" t="str">
        <f>IF(AA$467,_xll.RtContribute(AA$403,AA$3&amp;"FX"&amp;$C517&amp;"DDF=","ASK",AA323,"SCOPE:SERVER"),"RT_FALSE")</f>
        <v>RT_FALSE</v>
      </c>
      <c r="AB547" s="1" t="str">
        <f>IF(AB$467,_xll.RtContribute(AB$403,AB$3&amp;"FX"&amp;$C517&amp;"DDF=","ASK",AB323,"SCOPE:SERVER"),"RT_FALSE")</f>
        <v>RT_FALSE</v>
      </c>
      <c r="AC547" s="1" t="str">
        <f>IF(AC$467,_xll.RtContribute(AC$403,AC$3&amp;"FX"&amp;$C517&amp;"DDF=","ASK",AC323,"SCOPE:SERVER"),"RT_FALSE")</f>
        <v>RT_FALSE</v>
      </c>
      <c r="AD547" s="1" t="str">
        <f>IF(AD$467,_xll.RtContribute(AD$403,AD$3&amp;"FX"&amp;$C517&amp;"DDF=","ASK",AD323,"SCOPE:SERVER"),"RT_FALSE")</f>
        <v>RT_FALSE</v>
      </c>
      <c r="AE547" s="1" t="str">
        <f>IF(AE$467,_xll.RtContribute(AE$403,AE$3&amp;"FX"&amp;$C517&amp;"DDF=","ASK",AE323,"SCOPE:SERVER"),"RT_FALSE")</f>
        <v>RT_FALSE</v>
      </c>
      <c r="AF547" s="1" t="str">
        <f>IF(AF$467,_xll.RtContribute(AF$403,AF$3&amp;"FX"&amp;$C517&amp;"DDF=","ASK",AF323,"SCOPE:SERVER"),"RT_FALSE")</f>
        <v>RT_FALSE</v>
      </c>
      <c r="AG547" s="1" t="str">
        <f>IF(AG$467,_xll.RtContribute(AG$403,AG$3&amp;"FX"&amp;$C517&amp;"DDF=","ASK",AG323,"SCOPE:SERVER"),"RT_FALSE")</f>
        <v>RT_FALSE</v>
      </c>
      <c r="AH547" s="1" t="str">
        <f>IF(AH$467,_xll.RtContribute(AH$403,AH$3&amp;"FX"&amp;$C517&amp;"DDF=","ASK",AH323,"SCOPE:SERVER"),"RT_FALSE")</f>
        <v>RT_FALSE</v>
      </c>
      <c r="AI547" s="1" t="str">
        <f>IF(AI$467,_xll.RtContribute(AI$403,AI$3&amp;"FX"&amp;$C517&amp;"DDF=","ASK",AI323,"SCOPE:SERVER"),"RT_FALSE")</f>
        <v>RT_FALSE</v>
      </c>
      <c r="AJ547" s="1" t="str">
        <f>IF(AJ$467,_xll.RtContribute(AJ$403,AJ$3&amp;"FX"&amp;$C517&amp;"DDF=","ASK",AJ323,"SCOPE:SERVER"),"RT_FALSE")</f>
        <v>RT_FALSE</v>
      </c>
      <c r="AK547" s="1" t="str">
        <f>IF(AK$467,_xll.RtContribute(AK$403,AK$3&amp;"FX"&amp;$C517&amp;"DDF=","ASK",AK323,"SCOPE:SERVER"),"RT_FALSE")</f>
        <v>RT_FALSE</v>
      </c>
      <c r="AL547" s="1" t="str">
        <f>IF(AL$467,_xll.RtContribute(AL$403,AL$3&amp;"FX"&amp;$C517&amp;"DDF=","ASK",AL323,"SCOPE:SERVER"),"RT_FALSE")</f>
        <v>RT_FALSE</v>
      </c>
      <c r="AM547" s="1" t="str">
        <f>IF(AM$467,_xll.RtContribute(AM$403,AM$3&amp;"FX"&amp;$C517&amp;"DDF=","ASK",AM323,"SCOPE:SERVER"),"RT_FALSE")</f>
        <v>RT_FALSE</v>
      </c>
      <c r="AN547" s="1" t="str">
        <f>IF(AN$467,_xll.RtContribute(AN$403,AN$3&amp;"FX"&amp;$C517&amp;"DDF=","ASK",AN323,"SCOPE:SERVER"),"RT_FALSE")</f>
        <v>RT_FALSE</v>
      </c>
      <c r="AO547" s="1" t="str">
        <f>IF(AO$467,_xll.RtContribute(AO$403,AO$3&amp;"FX"&amp;$C517&amp;"DDF=","ASK",AO323,"SCOPE:SERVER"),"RT_FALSE")</f>
        <v>RT_FALSE</v>
      </c>
      <c r="AP547" s="1" t="str">
        <f>IF(AP$467,_xll.RtContribute(AP$403,AP$3&amp;"FX"&amp;$C517&amp;"DDF=","ASK",AP323,"SCOPE:SERVER"),"RT_FALSE")</f>
        <v>RT_FALSE</v>
      </c>
    </row>
    <row r="548" spans="2:42" x14ac:dyDescent="0.2">
      <c r="C548" s="1" t="s">
        <v>133</v>
      </c>
      <c r="D548" s="1" t="str">
        <f>IF(D$467,_xll.RtContribute(D$403,D$3&amp;"FX"&amp;$C518&amp;"DDF=","ASK",D40,"SCOPE:SERVER"),"RT_FALSE")</f>
        <v>RT_FALSE</v>
      </c>
      <c r="E548" s="1" t="str">
        <f>IF(E$467,_xll.RtContribute(E$403,E$3&amp;"FX"&amp;$C518&amp;"DDF=","ASK",E324,"SCOPE:SERVER"),"RT_FALSE")</f>
        <v>RT_FALSE</v>
      </c>
      <c r="F548" s="1" t="str">
        <f>IF(F$467,_xll.RtContribute(F$403,F$3&amp;"FX"&amp;$C518&amp;"DDF=","ASK",F324,"SCOPE:SERVER"),"RT_FALSE")</f>
        <v>RT_FALSE</v>
      </c>
      <c r="G548" s="1" t="str">
        <f>IF(G$467,_xll.RtContribute(G$403,G$3&amp;"FX"&amp;$C518&amp;"DDF=","ASK",G324,"SCOPE:SERVER"),"RT_FALSE")</f>
        <v>RT_FALSE</v>
      </c>
      <c r="H548" s="1" t="str">
        <f>IF(H$467,_xll.RtContribute(H$403,H$3&amp;"FX"&amp;$C518&amp;"DDF=","ASK",H324,"SCOPE:SERVER"),"RT_FALSE")</f>
        <v>RT_FALSE</v>
      </c>
      <c r="I548" s="1" t="str">
        <f>IF(I$467,_xll.RtContribute(I$403,I$3&amp;"FX"&amp;$C518&amp;"DDF=","ASK",I324,"SCOPE:SERVER"),"RT_FALSE")</f>
        <v>RT_FALSE</v>
      </c>
      <c r="J548" s="1" t="str">
        <f>IF(J$467,_xll.RtContribute(J$403,J$3&amp;"FX"&amp;$C518&amp;"DDF=","ASK",J324,"SCOPE:SERVER"),"RT_FALSE")</f>
        <v>RT_FALSE</v>
      </c>
      <c r="K548" s="1" t="str">
        <f>IF(K$467,_xll.RtContribute(K$403,K$3&amp;"FX"&amp;$C518&amp;"DDF=","ASK",K324,"SCOPE:SERVER"),"RT_FALSE")</f>
        <v>RT_FALSE</v>
      </c>
      <c r="L548" s="1" t="str">
        <f>IF(L$467,_xll.RtContribute(L$403,L$3&amp;"FX"&amp;$C518&amp;"DDF=","ASK",L324,"SCOPE:SERVER"),"RT_FALSE")</f>
        <v>RT_FALSE</v>
      </c>
      <c r="M548" s="1" t="str">
        <f>IF(M$467,_xll.RtContribute(M$403,M$3&amp;"FX"&amp;$C518&amp;"DDF=","ASK",M324,"SCOPE:SERVER"),"RT_FALSE")</f>
        <v>RT_FALSE</v>
      </c>
      <c r="N548" s="1" t="str">
        <f>IF(N$467,_xll.RtContribute(N$403,N$3&amp;"FX"&amp;$C518&amp;"DDF=","ASK",N324,"SCOPE:SERVER"),"RT_FALSE")</f>
        <v>RT_FALSE</v>
      </c>
      <c r="O548" s="1" t="str">
        <f>IF(O$467,_xll.RtContribute(O$403,O$3&amp;"FX"&amp;$C518&amp;"DDF=","ASK",O324,"SCOPE:SERVER"),"RT_FALSE")</f>
        <v>RT_FALSE</v>
      </c>
      <c r="P548" s="1" t="str">
        <f>IF(P$467,_xll.RtContribute(P$403,P$3&amp;"FX"&amp;$C518&amp;"DDF=","ASK",P324,"SCOPE:SERVER"),"RT_FALSE")</f>
        <v>RT_FALSE</v>
      </c>
      <c r="Q548" s="1" t="str">
        <f>IF(Q$467,_xll.RtContribute(Q$403,Q$3&amp;"FX"&amp;$C518&amp;"DDF=","ASK",Q324,"SCOPE:SERVER"),"RT_FALSE")</f>
        <v>RT_FALSE</v>
      </c>
      <c r="R548" s="1" t="str">
        <f>IF(R$467,_xll.RtContribute(R$403,R$3&amp;"FX"&amp;$C518&amp;"DDF=","ASK",R324,"SCOPE:SERVER"),"RT_FALSE")</f>
        <v>RT_FALSE</v>
      </c>
      <c r="S548" s="1" t="str">
        <f>IF(S$467,_xll.RtContribute(S$403,S$3&amp;"FX"&amp;$C518&amp;"DDF=","ASK",S324,"SCOPE:SERVER"),"RT_FALSE")</f>
        <v>RT_FALSE</v>
      </c>
      <c r="T548" s="1" t="str">
        <f>IF(T$467,_xll.RtContribute(T$403,T$3&amp;"FX"&amp;$C518&amp;"DDF=","ASK",T324,"SCOPE:SERVER"),"RT_FALSE")</f>
        <v>RT_FALSE</v>
      </c>
      <c r="U548" s="1" t="str">
        <f>IF(U$467,_xll.RtContribute(U$403,U$3&amp;"FX"&amp;$C518&amp;"DDF=","ASK",U324,"SCOPE:SERVER"),"RT_FALSE")</f>
        <v>RT_FALSE</v>
      </c>
      <c r="V548" s="1" t="str">
        <f>IF(V$467,_xll.RtContribute(V$403,V$3&amp;"FX"&amp;$C518&amp;"DDF=","ASK",V324,"SCOPE:SERVER"),"RT_FALSE")</f>
        <v>RT_FALSE</v>
      </c>
      <c r="W548" s="1" t="str">
        <f>IF(W$467,_xll.RtContribute(W$403,W$3&amp;"FX"&amp;$C518&amp;"DDF=","ASK",W324,"SCOPE:SERVER"),"RT_FALSE")</f>
        <v>RT_FALSE</v>
      </c>
      <c r="X548" s="1" t="str">
        <f>IF(X$467,_xll.RtContribute(X$403,X$3&amp;"FX"&amp;$C518&amp;"DDF=","ASK",X324,"SCOPE:SERVER"),"RT_FALSE")</f>
        <v>RT_FALSE</v>
      </c>
      <c r="Y548" s="1" t="str">
        <f>IF(Y$467,_xll.RtContribute(Y$403,Y$3&amp;"FX"&amp;$C518&amp;"DDF=","ASK",Y324,"SCOPE:SERVER"),"RT_FALSE")</f>
        <v>RT_FALSE</v>
      </c>
      <c r="Z548" s="1" t="str">
        <f>IF(Z$467,_xll.RtContribute(Z$403,Z$3&amp;"FX"&amp;$C518&amp;"DDF=","ASK",Z324,"SCOPE:SERVER"),"RT_FALSE")</f>
        <v>RT_FALSE</v>
      </c>
      <c r="AA548" s="1" t="str">
        <f>IF(AA$467,_xll.RtContribute(AA$403,AA$3&amp;"FX"&amp;$C518&amp;"DDF=","ASK",AA324,"SCOPE:SERVER"),"RT_FALSE")</f>
        <v>RT_FALSE</v>
      </c>
      <c r="AB548" s="1" t="str">
        <f>IF(AB$467,_xll.RtContribute(AB$403,AB$3&amp;"FX"&amp;$C518&amp;"DDF=","ASK",AB324,"SCOPE:SERVER"),"RT_FALSE")</f>
        <v>RT_FALSE</v>
      </c>
      <c r="AC548" s="1" t="str">
        <f>IF(AC$467,_xll.RtContribute(AC$403,AC$3&amp;"FX"&amp;$C518&amp;"DDF=","ASK",AC324,"SCOPE:SERVER"),"RT_FALSE")</f>
        <v>RT_FALSE</v>
      </c>
      <c r="AD548" s="1" t="str">
        <f>IF(AD$467,_xll.RtContribute(AD$403,AD$3&amp;"FX"&amp;$C518&amp;"DDF=","ASK",AD324,"SCOPE:SERVER"),"RT_FALSE")</f>
        <v>RT_FALSE</v>
      </c>
      <c r="AE548" s="1" t="str">
        <f>IF(AE$467,_xll.RtContribute(AE$403,AE$3&amp;"FX"&amp;$C518&amp;"DDF=","ASK",AE324,"SCOPE:SERVER"),"RT_FALSE")</f>
        <v>RT_FALSE</v>
      </c>
      <c r="AF548" s="1" t="str">
        <f>IF(AF$467,_xll.RtContribute(AF$403,AF$3&amp;"FX"&amp;$C518&amp;"DDF=","ASK",AF324,"SCOPE:SERVER"),"RT_FALSE")</f>
        <v>RT_FALSE</v>
      </c>
      <c r="AG548" s="1" t="str">
        <f>IF(AG$467,_xll.RtContribute(AG$403,AG$3&amp;"FX"&amp;$C518&amp;"DDF=","ASK",AG324,"SCOPE:SERVER"),"RT_FALSE")</f>
        <v>RT_FALSE</v>
      </c>
      <c r="AH548" s="1" t="str">
        <f>IF(AH$467,_xll.RtContribute(AH$403,AH$3&amp;"FX"&amp;$C518&amp;"DDF=","ASK",AH324,"SCOPE:SERVER"),"RT_FALSE")</f>
        <v>RT_FALSE</v>
      </c>
      <c r="AI548" s="1" t="str">
        <f>IF(AI$467,_xll.RtContribute(AI$403,AI$3&amp;"FX"&amp;$C518&amp;"DDF=","ASK",AI324,"SCOPE:SERVER"),"RT_FALSE")</f>
        <v>RT_FALSE</v>
      </c>
      <c r="AJ548" s="1" t="str">
        <f>IF(AJ$467,_xll.RtContribute(AJ$403,AJ$3&amp;"FX"&amp;$C518&amp;"DDF=","ASK",AJ324,"SCOPE:SERVER"),"RT_FALSE")</f>
        <v>RT_FALSE</v>
      </c>
      <c r="AK548" s="1" t="str">
        <f>IF(AK$467,_xll.RtContribute(AK$403,AK$3&amp;"FX"&amp;$C518&amp;"DDF=","ASK",AK324,"SCOPE:SERVER"),"RT_FALSE")</f>
        <v>RT_FALSE</v>
      </c>
      <c r="AL548" s="1" t="str">
        <f>IF(AL$467,_xll.RtContribute(AL$403,AL$3&amp;"FX"&amp;$C518&amp;"DDF=","ASK",AL324,"SCOPE:SERVER"),"RT_FALSE")</f>
        <v>RT_FALSE</v>
      </c>
      <c r="AM548" s="1" t="str">
        <f>IF(AM$467,_xll.RtContribute(AM$403,AM$3&amp;"FX"&amp;$C518&amp;"DDF=","ASK",AM324,"SCOPE:SERVER"),"RT_FALSE")</f>
        <v>RT_FALSE</v>
      </c>
      <c r="AN548" s="1" t="str">
        <f>IF(AN$467,_xll.RtContribute(AN$403,AN$3&amp;"FX"&amp;$C518&amp;"DDF=","ASK",AN324,"SCOPE:SERVER"),"RT_FALSE")</f>
        <v>RT_FALSE</v>
      </c>
      <c r="AO548" s="1" t="str">
        <f>IF(AO$467,_xll.RtContribute(AO$403,AO$3&amp;"FX"&amp;$C518&amp;"DDF=","ASK",AO324,"SCOPE:SERVER"),"RT_FALSE")</f>
        <v>RT_FALSE</v>
      </c>
      <c r="AP548" s="1" t="str">
        <f>IF(AP$467,_xll.RtContribute(AP$403,AP$3&amp;"FX"&amp;$C518&amp;"DDF=","ASK",AP324,"SCOPE:SERVER"),"RT_FALSE")</f>
        <v>RT_FALSE</v>
      </c>
    </row>
    <row r="549" spans="2:42" x14ac:dyDescent="0.2">
      <c r="C549" s="1" t="s">
        <v>148</v>
      </c>
      <c r="D549" s="1" t="str">
        <f>IF(D$467,_xll.RtContribute(D$403,D$3&amp;"FX"&amp;$C519&amp;"DDF=","ASK",D41,"SCOPE:SERVER"),"RT_FALSE")</f>
        <v>RT_FALSE</v>
      </c>
      <c r="E549" s="1" t="str">
        <f>IF(E$467,_xll.RtContribute(E$403,E$3&amp;"FX"&amp;$C519&amp;"DDF=","ASK",E325,"SCOPE:SERVER"),"RT_FALSE")</f>
        <v>RT_FALSE</v>
      </c>
      <c r="F549" s="1" t="str">
        <f>IF(F$467,_xll.RtContribute(F$403,F$3&amp;"FX"&amp;$C519&amp;"DDF=","ASK",F325,"SCOPE:SERVER"),"RT_FALSE")</f>
        <v>RT_FALSE</v>
      </c>
      <c r="G549" s="1" t="str">
        <f>IF(G$467,_xll.RtContribute(G$403,G$3&amp;"FX"&amp;$C519&amp;"DDF=","ASK",G325,"SCOPE:SERVER"),"RT_FALSE")</f>
        <v>RT_FALSE</v>
      </c>
      <c r="H549" s="1" t="str">
        <f>IF(H$467,_xll.RtContribute(H$403,H$3&amp;"FX"&amp;$C519&amp;"DDF=","ASK",H325,"SCOPE:SERVER"),"RT_FALSE")</f>
        <v>RT_FALSE</v>
      </c>
      <c r="I549" s="1" t="str">
        <f>IF(I$467,_xll.RtContribute(I$403,I$3&amp;"FX"&amp;$C519&amp;"DDF=","ASK",I325,"SCOPE:SERVER"),"RT_FALSE")</f>
        <v>RT_FALSE</v>
      </c>
      <c r="J549" s="1" t="str">
        <f>IF(J$467,_xll.RtContribute(J$403,J$3&amp;"FX"&amp;$C519&amp;"DDF=","ASK",J325,"SCOPE:SERVER"),"RT_FALSE")</f>
        <v>RT_FALSE</v>
      </c>
      <c r="K549" s="1" t="str">
        <f>IF(K$467,_xll.RtContribute(K$403,K$3&amp;"FX"&amp;$C519&amp;"DDF=","ASK",K325,"SCOPE:SERVER"),"RT_FALSE")</f>
        <v>RT_FALSE</v>
      </c>
      <c r="L549" s="1" t="str">
        <f>IF(L$467,_xll.RtContribute(L$403,L$3&amp;"FX"&amp;$C519&amp;"DDF=","ASK",L325,"SCOPE:SERVER"),"RT_FALSE")</f>
        <v>RT_FALSE</v>
      </c>
      <c r="M549" s="1" t="str">
        <f>IF(M$467,_xll.RtContribute(M$403,M$3&amp;"FX"&amp;$C519&amp;"DDF=","ASK",M325,"SCOPE:SERVER"),"RT_FALSE")</f>
        <v>RT_FALSE</v>
      </c>
      <c r="N549" s="1" t="str">
        <f>IF(N$467,_xll.RtContribute(N$403,N$3&amp;"FX"&amp;$C519&amp;"DDF=","ASK",N325,"SCOPE:SERVER"),"RT_FALSE")</f>
        <v>RT_FALSE</v>
      </c>
      <c r="O549" s="1" t="str">
        <f>IF(O$467,_xll.RtContribute(O$403,O$3&amp;"FX"&amp;$C519&amp;"DDF=","ASK",O325,"SCOPE:SERVER"),"RT_FALSE")</f>
        <v>RT_FALSE</v>
      </c>
      <c r="P549" s="1" t="str">
        <f>IF(P$467,_xll.RtContribute(P$403,P$3&amp;"FX"&amp;$C519&amp;"DDF=","ASK",P325,"SCOPE:SERVER"),"RT_FALSE")</f>
        <v>RT_FALSE</v>
      </c>
      <c r="Q549" s="1" t="str">
        <f>IF(Q$467,_xll.RtContribute(Q$403,Q$3&amp;"FX"&amp;$C519&amp;"DDF=","ASK",Q325,"SCOPE:SERVER"),"RT_FALSE")</f>
        <v>RT_FALSE</v>
      </c>
      <c r="R549" s="1" t="str">
        <f>IF(R$467,_xll.RtContribute(R$403,R$3&amp;"FX"&amp;$C519&amp;"DDF=","ASK",R325,"SCOPE:SERVER"),"RT_FALSE")</f>
        <v>RT_FALSE</v>
      </c>
      <c r="S549" s="1" t="str">
        <f>IF(S$467,_xll.RtContribute(S$403,S$3&amp;"FX"&amp;$C519&amp;"DDF=","ASK",S325,"SCOPE:SERVER"),"RT_FALSE")</f>
        <v>RT_FALSE</v>
      </c>
      <c r="T549" s="1" t="str">
        <f>IF(T$467,_xll.RtContribute(T$403,T$3&amp;"FX"&amp;$C519&amp;"DDF=","ASK",T325,"SCOPE:SERVER"),"RT_FALSE")</f>
        <v>RT_FALSE</v>
      </c>
      <c r="U549" s="1" t="str">
        <f>IF(U$467,_xll.RtContribute(U$403,U$3&amp;"FX"&amp;$C519&amp;"DDF=","ASK",U325,"SCOPE:SERVER"),"RT_FALSE")</f>
        <v>RT_FALSE</v>
      </c>
      <c r="V549" s="1" t="str">
        <f>IF(V$467,_xll.RtContribute(V$403,V$3&amp;"FX"&amp;$C519&amp;"DDF=","ASK",V325,"SCOPE:SERVER"),"RT_FALSE")</f>
        <v>RT_FALSE</v>
      </c>
      <c r="W549" s="1" t="str">
        <f>IF(W$467,_xll.RtContribute(W$403,W$3&amp;"FX"&amp;$C519&amp;"DDF=","ASK",W325,"SCOPE:SERVER"),"RT_FALSE")</f>
        <v>RT_FALSE</v>
      </c>
      <c r="X549" s="1" t="str">
        <f>IF(X$467,_xll.RtContribute(X$403,X$3&amp;"FX"&amp;$C519&amp;"DDF=","ASK",X325,"SCOPE:SERVER"),"RT_FALSE")</f>
        <v>RT_FALSE</v>
      </c>
      <c r="Y549" s="1" t="str">
        <f>IF(Y$467,_xll.RtContribute(Y$403,Y$3&amp;"FX"&amp;$C519&amp;"DDF=","ASK",Y325,"SCOPE:SERVER"),"RT_FALSE")</f>
        <v>RT_FALSE</v>
      </c>
      <c r="Z549" s="1" t="str">
        <f>IF(Z$467,_xll.RtContribute(Z$403,Z$3&amp;"FX"&amp;$C519&amp;"DDF=","ASK",Z325,"SCOPE:SERVER"),"RT_FALSE")</f>
        <v>RT_FALSE</v>
      </c>
      <c r="AA549" s="1" t="str">
        <f>IF(AA$467,_xll.RtContribute(AA$403,AA$3&amp;"FX"&amp;$C519&amp;"DDF=","ASK",AA325,"SCOPE:SERVER"),"RT_FALSE")</f>
        <v>RT_FALSE</v>
      </c>
      <c r="AB549" s="1" t="str">
        <f>IF(AB$467,_xll.RtContribute(AB$403,AB$3&amp;"FX"&amp;$C519&amp;"DDF=","ASK",AB325,"SCOPE:SERVER"),"RT_FALSE")</f>
        <v>RT_FALSE</v>
      </c>
      <c r="AC549" s="1" t="str">
        <f>IF(AC$467,_xll.RtContribute(AC$403,AC$3&amp;"FX"&amp;$C519&amp;"DDF=","ASK",AC325,"SCOPE:SERVER"),"RT_FALSE")</f>
        <v>RT_FALSE</v>
      </c>
      <c r="AD549" s="1" t="str">
        <f>IF(AD$467,_xll.RtContribute(AD$403,AD$3&amp;"FX"&amp;$C519&amp;"DDF=","ASK",AD325,"SCOPE:SERVER"),"RT_FALSE")</f>
        <v>RT_FALSE</v>
      </c>
      <c r="AE549" s="1" t="str">
        <f>IF(AE$467,_xll.RtContribute(AE$403,AE$3&amp;"FX"&amp;$C519&amp;"DDF=","ASK",AE325,"SCOPE:SERVER"),"RT_FALSE")</f>
        <v>RT_FALSE</v>
      </c>
      <c r="AF549" s="1" t="str">
        <f>IF(AF$467,_xll.RtContribute(AF$403,AF$3&amp;"FX"&amp;$C519&amp;"DDF=","ASK",AF325,"SCOPE:SERVER"),"RT_FALSE")</f>
        <v>RT_FALSE</v>
      </c>
      <c r="AG549" s="1" t="str">
        <f>IF(AG$467,_xll.RtContribute(AG$403,AG$3&amp;"FX"&amp;$C519&amp;"DDF=","ASK",AG325,"SCOPE:SERVER"),"RT_FALSE")</f>
        <v>RT_FALSE</v>
      </c>
      <c r="AH549" s="1" t="str">
        <f>IF(AH$467,_xll.RtContribute(AH$403,AH$3&amp;"FX"&amp;$C519&amp;"DDF=","ASK",AH325,"SCOPE:SERVER"),"RT_FALSE")</f>
        <v>RT_FALSE</v>
      </c>
      <c r="AI549" s="1" t="str">
        <f>IF(AI$467,_xll.RtContribute(AI$403,AI$3&amp;"FX"&amp;$C519&amp;"DDF=","ASK",AI325,"SCOPE:SERVER"),"RT_FALSE")</f>
        <v>RT_FALSE</v>
      </c>
      <c r="AJ549" s="1" t="str">
        <f>IF(AJ$467,_xll.RtContribute(AJ$403,AJ$3&amp;"FX"&amp;$C519&amp;"DDF=","ASK",AJ325,"SCOPE:SERVER"),"RT_FALSE")</f>
        <v>RT_FALSE</v>
      </c>
      <c r="AK549" s="1" t="str">
        <f>IF(AK$467,_xll.RtContribute(AK$403,AK$3&amp;"FX"&amp;$C519&amp;"DDF=","ASK",AK325,"SCOPE:SERVER"),"RT_FALSE")</f>
        <v>RT_FALSE</v>
      </c>
      <c r="AL549" s="1" t="str">
        <f>IF(AL$467,_xll.RtContribute(AL$403,AL$3&amp;"FX"&amp;$C519&amp;"DDF=","ASK",AL325,"SCOPE:SERVER"),"RT_FALSE")</f>
        <v>RT_FALSE</v>
      </c>
      <c r="AM549" s="1" t="str">
        <f>IF(AM$467,_xll.RtContribute(AM$403,AM$3&amp;"FX"&amp;$C519&amp;"DDF=","ASK",AM325,"SCOPE:SERVER"),"RT_FALSE")</f>
        <v>RT_FALSE</v>
      </c>
      <c r="AN549" s="1" t="str">
        <f>IF(AN$467,_xll.RtContribute(AN$403,AN$3&amp;"FX"&amp;$C519&amp;"DDF=","ASK",AN325,"SCOPE:SERVER"),"RT_FALSE")</f>
        <v>RT_FALSE</v>
      </c>
      <c r="AO549" s="1" t="str">
        <f>IF(AO$467,_xll.RtContribute(AO$403,AO$3&amp;"FX"&amp;$C519&amp;"DDF=","ASK",AO325,"SCOPE:SERVER"),"RT_FALSE")</f>
        <v>RT_FALSE</v>
      </c>
      <c r="AP549" s="1" t="str">
        <f>IF(AP$467,_xll.RtContribute(AP$403,AP$3&amp;"FX"&amp;$C519&amp;"DDF=","ASK",AP325,"SCOPE:SERVER"),"RT_FALSE")</f>
        <v>RT_FALSE</v>
      </c>
    </row>
    <row r="550" spans="2:42" x14ac:dyDescent="0.2">
      <c r="C550" s="1" t="s">
        <v>150</v>
      </c>
      <c r="D550" s="270" t="str">
        <f>IF(D$467,_xll.RtContribute(D$403,D$3&amp;"FX"&amp;$C520&amp;"SDF=","BID",D42,"SCOPE:SERVER"),"RT_FALSE")</f>
        <v>RT_FALSE</v>
      </c>
      <c r="E550" s="270" t="str">
        <f>IF(E$467,_xll.RtContribute(E$403,E$3&amp;"FX"&amp;$C520&amp;"SDF=","ASK",E326,"SCOPE:SERVER"),"RT_FALSE")</f>
        <v>RT_FALSE</v>
      </c>
      <c r="F550" s="270" t="str">
        <f>IF(F$467,_xll.RtContribute(F$403,F$3&amp;"FX"&amp;$C520&amp;"SDF=","ASK",F326,"SCOPE:SERVER"),"RT_FALSE")</f>
        <v>RT_FALSE</v>
      </c>
      <c r="G550" s="270" t="str">
        <f>IF(G$467,_xll.RtContribute(G$403,G$3&amp;"FX"&amp;$C520&amp;"SDF=","ASK",G326,"SCOPE:SERVER"),"RT_FALSE")</f>
        <v>RT_FALSE</v>
      </c>
      <c r="H550" s="270" t="str">
        <f>IF(H$467,_xll.RtContribute(H$403,H$3&amp;"FX"&amp;$C520&amp;"SDF=","ASK",H326,"SCOPE:SERVER"),"RT_FALSE")</f>
        <v>RT_FALSE</v>
      </c>
      <c r="I550" s="270" t="str">
        <f>IF(I$467,_xll.RtContribute(I$403,I$3&amp;"FX"&amp;$C520&amp;"SDF=","ASK",I326,"SCOPE:SERVER"),"RT_FALSE")</f>
        <v>RT_FALSE</v>
      </c>
      <c r="J550" s="270" t="str">
        <f>IF(J$467,_xll.RtContribute(J$403,J$3&amp;"FX"&amp;$C520&amp;"SDF=","ASK",J326,"SCOPE:SERVER"),"RT_FALSE")</f>
        <v>RT_FALSE</v>
      </c>
      <c r="K550" s="270" t="str">
        <f>IF(K$467,_xll.RtContribute(K$403,K$3&amp;"FX"&amp;$C520&amp;"SDF=","ASK",K326,"SCOPE:SERVER"),"RT_FALSE")</f>
        <v>RT_FALSE</v>
      </c>
      <c r="L550" s="270" t="str">
        <f>IF(L$467,_xll.RtContribute(L$403,L$3&amp;"FX"&amp;$C520&amp;"SDF=","ASK",L326,"SCOPE:SERVER"),"RT_FALSE")</f>
        <v>RT_FALSE</v>
      </c>
      <c r="M550" s="270" t="str">
        <f>IF(M$467,_xll.RtContribute(M$403,M$3&amp;"FX"&amp;$C520&amp;"SDF=","ASK",M326,"SCOPE:SERVER"),"RT_FALSE")</f>
        <v>RT_FALSE</v>
      </c>
      <c r="N550" s="270" t="str">
        <f>IF(N$467,_xll.RtContribute(N$403,N$3&amp;"FX"&amp;$C520&amp;"SDF=","ASK",N326,"SCOPE:SERVER"),"RT_FALSE")</f>
        <v>RT_FALSE</v>
      </c>
      <c r="O550" s="270" t="str">
        <f>IF(O$467,_xll.RtContribute(O$403,O$3&amp;"FX"&amp;$C520&amp;"SDF=","ASK",O326,"SCOPE:SERVER"),"RT_FALSE")</f>
        <v>RT_FALSE</v>
      </c>
      <c r="P550" s="270" t="str">
        <f>IF(P$467,_xll.RtContribute(P$403,P$3&amp;"FX"&amp;$C520&amp;"SDF=","ASK",P326,"SCOPE:SERVER"),"RT_FALSE")</f>
        <v>RT_FALSE</v>
      </c>
      <c r="Q550" s="270" t="str">
        <f>IF(Q$467,_xll.RtContribute(Q$403,Q$3&amp;"FX"&amp;$C520&amp;"SDF=","ASK",Q326,"SCOPE:SERVER"),"RT_FALSE")</f>
        <v>RT_FALSE</v>
      </c>
      <c r="R550" s="270" t="str">
        <f>IF(R$467,_xll.RtContribute(R$403,R$3&amp;"FX"&amp;$C520&amp;"SDF=","ASK",R326,"SCOPE:SERVER"),"RT_FALSE")</f>
        <v>RT_FALSE</v>
      </c>
      <c r="S550" s="270" t="str">
        <f>IF(S$467,_xll.RtContribute(S$403,S$3&amp;"FX"&amp;$C520&amp;"SDF=","ASK",S326,"SCOPE:SERVER"),"RT_FALSE")</f>
        <v>RT_FALSE</v>
      </c>
      <c r="T550" s="270" t="str">
        <f>IF(T$467,_xll.RtContribute(T$403,T$3&amp;"FX"&amp;$C520&amp;"SDF=","ASK",T326,"SCOPE:SERVER"),"RT_FALSE")</f>
        <v>RT_FALSE</v>
      </c>
      <c r="U550" s="270" t="str">
        <f>IF(U$467,_xll.RtContribute(U$403,U$3&amp;"FX"&amp;$C520&amp;"SDF=","ASK",U326,"SCOPE:SERVER"),"RT_FALSE")</f>
        <v>RT_FALSE</v>
      </c>
      <c r="V550" s="270" t="str">
        <f>IF(V$467,_xll.RtContribute(V$403,V$3&amp;"FX"&amp;$C520&amp;"SDF=","ASK",V326,"SCOPE:SERVER"),"RT_FALSE")</f>
        <v>RT_FALSE</v>
      </c>
      <c r="W550" s="270" t="str">
        <f>IF(W$467,_xll.RtContribute(W$403,W$3&amp;"FX"&amp;$C520&amp;"SDF=","ASK",W326,"SCOPE:SERVER"),"RT_FALSE")</f>
        <v>RT_FALSE</v>
      </c>
      <c r="X550" s="270" t="str">
        <f>IF(X$467,_xll.RtContribute(X$403,X$3&amp;"FX"&amp;$C520&amp;"SDF=","ASK",X326,"SCOPE:SERVER"),"RT_FALSE")</f>
        <v>RT_FALSE</v>
      </c>
      <c r="Y550" s="270" t="str">
        <f>IF(Y$467,_xll.RtContribute(Y$403,Y$3&amp;"FX"&amp;$C520&amp;"SDF=","ASK",Y326,"SCOPE:SERVER"),"RT_FALSE")</f>
        <v>RT_FALSE</v>
      </c>
      <c r="Z550" s="270" t="str">
        <f>IF(Z$467,_xll.RtContribute(Z$403,Z$3&amp;"FX"&amp;$C520&amp;"SDF=","ASK",Z326,"SCOPE:SERVER"),"RT_FALSE")</f>
        <v>RT_FALSE</v>
      </c>
      <c r="AA550" s="270" t="str">
        <f>IF(AA$467,_xll.RtContribute(AA$403,AA$3&amp;"FX"&amp;$C520&amp;"SDF=","ASK",AA326,"SCOPE:SERVER"),"RT_FALSE")</f>
        <v>RT_FALSE</v>
      </c>
      <c r="AB550" s="270" t="str">
        <f>IF(AB$467,_xll.RtContribute(AB$403,AB$3&amp;"FX"&amp;$C520&amp;"SDF=","ASK",AB326,"SCOPE:SERVER"),"RT_FALSE")</f>
        <v>RT_FALSE</v>
      </c>
      <c r="AC550" s="270" t="str">
        <f>IF(AC$467,_xll.RtContribute(AC$403,AC$3&amp;"FX"&amp;$C520&amp;"SDF=","ASK",AC326,"SCOPE:SERVER"),"RT_FALSE")</f>
        <v>RT_FALSE</v>
      </c>
      <c r="AD550" s="270" t="str">
        <f>IF(AD$467,_xll.RtContribute(AD$403,AD$3&amp;"FX"&amp;$C520&amp;"SDF=","ASK",AD326,"SCOPE:SERVER"),"RT_FALSE")</f>
        <v>RT_FALSE</v>
      </c>
      <c r="AE550" s="270" t="str">
        <f>IF(AE$467,_xll.RtContribute(AE$403,AE$3&amp;"FX"&amp;$C520&amp;"SDF=","ASK",AE326,"SCOPE:SERVER"),"RT_FALSE")</f>
        <v>RT_FALSE</v>
      </c>
      <c r="AF550" s="270" t="str">
        <f>IF(AF$467,_xll.RtContribute(AF$403,AF$3&amp;"FX"&amp;$C520&amp;"SDF=","ASK",AF326,"SCOPE:SERVER"),"RT_FALSE")</f>
        <v>RT_FALSE</v>
      </c>
      <c r="AG550" s="270" t="str">
        <f>IF(AG$467,_xll.RtContribute(AG$403,AG$3&amp;"FX"&amp;$C520&amp;"SDF=","ASK",AG326,"SCOPE:SERVER"),"RT_FALSE")</f>
        <v>RT_FALSE</v>
      </c>
      <c r="AH550" s="270" t="str">
        <f>IF(AH$467,_xll.RtContribute(AH$403,AH$3&amp;"FX"&amp;$C520&amp;"SDF=","ASK",AH326,"SCOPE:SERVER"),"RT_FALSE")</f>
        <v>RT_FALSE</v>
      </c>
      <c r="AI550" s="270" t="str">
        <f>IF(AI$467,_xll.RtContribute(AI$403,AI$3&amp;"FX"&amp;$C520&amp;"SDF=","ASK",AI326,"SCOPE:SERVER"),"RT_FALSE")</f>
        <v>RT_FALSE</v>
      </c>
      <c r="AJ550" s="270" t="str">
        <f>IF(AJ$467,_xll.RtContribute(AJ$403,AJ$3&amp;"FX"&amp;$C520&amp;"SDF=","ASK",AJ326,"SCOPE:SERVER"),"RT_FALSE")</f>
        <v>RT_FALSE</v>
      </c>
      <c r="AK550" s="270" t="str">
        <f>IF(AK$467,_xll.RtContribute(AK$403,AK$3&amp;"FX"&amp;$C520&amp;"SDF=","ASK",AK326,"SCOPE:SERVER"),"RT_FALSE")</f>
        <v>RT_FALSE</v>
      </c>
      <c r="AL550" s="270" t="str">
        <f>IF(AL$467,_xll.RtContribute(AL$403,AL$3&amp;"FX"&amp;$C520&amp;"SDF=","ASK",AL326,"SCOPE:SERVER"),"RT_FALSE")</f>
        <v>RT_FALSE</v>
      </c>
      <c r="AM550" s="270" t="str">
        <f>IF(AM$467,_xll.RtContribute(AM$403,AM$3&amp;"FX"&amp;$C520&amp;"SDF=","ASK",AM326,"SCOPE:SERVER"),"RT_FALSE")</f>
        <v>RT_FALSE</v>
      </c>
      <c r="AN550" s="270" t="str">
        <f>IF(AN$467,_xll.RtContribute(AN$403,AN$3&amp;"FX"&amp;$C520&amp;"SDF=","ASK",AN326,"SCOPE:SERVER"),"RT_FALSE")</f>
        <v>RT_FALSE</v>
      </c>
      <c r="AO550" s="270" t="str">
        <f>IF(AO$467,_xll.RtContribute(AO$403,AO$3&amp;"FX"&amp;$C520&amp;"SDF=","ASK",AO326,"SCOPE:SERVER"),"RT_FALSE")</f>
        <v>RT_FALSE</v>
      </c>
      <c r="AP550" s="270" t="str">
        <f>IF(AP$467,_xll.RtContribute(AP$403,AP$3&amp;"FX"&amp;$C520&amp;"SDF=","ASK",AP326,"SCOPE:SERVER"),"RT_FALSE")</f>
        <v>RT_FALSE</v>
      </c>
    </row>
    <row r="551" spans="2:42" x14ac:dyDescent="0.2">
      <c r="C551" s="1" t="s">
        <v>153</v>
      </c>
      <c r="D551" s="1" t="str">
        <f>IF(D$467,_xll.RtContribute(D$403,D$3&amp;"FX"&amp;$C521&amp;"SDF=","BID",D43,"SCOPE:SERVER"),"RT_FALSE")</f>
        <v>RT_FALSE</v>
      </c>
      <c r="E551" s="1" t="str">
        <f>IF(E$467,_xll.RtContribute(E$403,E$3&amp;"FX"&amp;$C521&amp;"SDF=","ASK",E327,"SCOPE:SERVER"),"RT_FALSE")</f>
        <v>RT_FALSE</v>
      </c>
      <c r="F551" s="1" t="str">
        <f>IF(F$467,_xll.RtContribute(F$403,F$3&amp;"FX"&amp;$C521&amp;"SDF=","ASK",F327,"SCOPE:SERVER"),"RT_FALSE")</f>
        <v>RT_FALSE</v>
      </c>
      <c r="G551" s="1" t="str">
        <f>IF(G$467,_xll.RtContribute(G$403,G$3&amp;"FX"&amp;$C521&amp;"SDF=","ASK",G327,"SCOPE:SERVER"),"RT_FALSE")</f>
        <v>RT_FALSE</v>
      </c>
      <c r="H551" s="1" t="str">
        <f>IF(H$467,_xll.RtContribute(H$403,H$3&amp;"FX"&amp;$C521&amp;"SDF=","ASK",H327,"SCOPE:SERVER"),"RT_FALSE")</f>
        <v>RT_FALSE</v>
      </c>
      <c r="I551" s="1" t="str">
        <f>IF(I$467,_xll.RtContribute(I$403,I$3&amp;"FX"&amp;$C521&amp;"SDF=","ASK",I327,"SCOPE:SERVER"),"RT_FALSE")</f>
        <v>RT_FALSE</v>
      </c>
      <c r="J551" s="1" t="str">
        <f>IF(J$467,_xll.RtContribute(J$403,J$3&amp;"FX"&amp;$C521&amp;"SDF=","ASK",J327,"SCOPE:SERVER"),"RT_FALSE")</f>
        <v>RT_FALSE</v>
      </c>
      <c r="K551" s="1" t="str">
        <f>IF(K$467,_xll.RtContribute(K$403,K$3&amp;"FX"&amp;$C521&amp;"SDF=","ASK",K327,"SCOPE:SERVER"),"RT_FALSE")</f>
        <v>RT_FALSE</v>
      </c>
      <c r="L551" s="1" t="str">
        <f>IF(L$467,_xll.RtContribute(L$403,L$3&amp;"FX"&amp;$C521&amp;"SDF=","ASK",L327,"SCOPE:SERVER"),"RT_FALSE")</f>
        <v>RT_FALSE</v>
      </c>
      <c r="M551" s="1" t="str">
        <f>IF(M$467,_xll.RtContribute(M$403,M$3&amp;"FX"&amp;$C521&amp;"SDF=","ASK",M327,"SCOPE:SERVER"),"RT_FALSE")</f>
        <v>RT_FALSE</v>
      </c>
      <c r="N551" s="1" t="str">
        <f>IF(N$467,_xll.RtContribute(N$403,N$3&amp;"FX"&amp;$C521&amp;"SDF=","ASK",N327,"SCOPE:SERVER"),"RT_FALSE")</f>
        <v>RT_FALSE</v>
      </c>
      <c r="O551" s="1" t="str">
        <f>IF(O$467,_xll.RtContribute(O$403,O$3&amp;"FX"&amp;$C521&amp;"SDF=","ASK",O327,"SCOPE:SERVER"),"RT_FALSE")</f>
        <v>RT_FALSE</v>
      </c>
      <c r="P551" s="1" t="str">
        <f>IF(P$467,_xll.RtContribute(P$403,P$3&amp;"FX"&amp;$C521&amp;"SDF=","ASK",P327,"SCOPE:SERVER"),"RT_FALSE")</f>
        <v>RT_FALSE</v>
      </c>
      <c r="Q551" s="1" t="str">
        <f>IF(Q$467,_xll.RtContribute(Q$403,Q$3&amp;"FX"&amp;$C521&amp;"SDF=","ASK",Q327,"SCOPE:SERVER"),"RT_FALSE")</f>
        <v>RT_FALSE</v>
      </c>
      <c r="R551" s="1" t="str">
        <f>IF(R$467,_xll.RtContribute(R$403,R$3&amp;"FX"&amp;$C521&amp;"SDF=","ASK",R327,"SCOPE:SERVER"),"RT_FALSE")</f>
        <v>RT_FALSE</v>
      </c>
      <c r="S551" s="1" t="str">
        <f>IF(S$467,_xll.RtContribute(S$403,S$3&amp;"FX"&amp;$C521&amp;"SDF=","ASK",S327,"SCOPE:SERVER"),"RT_FALSE")</f>
        <v>RT_FALSE</v>
      </c>
      <c r="T551" s="1" t="str">
        <f>IF(T$467,_xll.RtContribute(T$403,T$3&amp;"FX"&amp;$C521&amp;"SDF=","ASK",T327,"SCOPE:SERVER"),"RT_FALSE")</f>
        <v>RT_FALSE</v>
      </c>
      <c r="U551" s="1" t="str">
        <f>IF(U$467,_xll.RtContribute(U$403,U$3&amp;"FX"&amp;$C521&amp;"SDF=","ASK",U327,"SCOPE:SERVER"),"RT_FALSE")</f>
        <v>RT_FALSE</v>
      </c>
      <c r="V551" s="1" t="str">
        <f>IF(V$467,_xll.RtContribute(V$403,V$3&amp;"FX"&amp;$C521&amp;"SDF=","ASK",V327,"SCOPE:SERVER"),"RT_FALSE")</f>
        <v>RT_FALSE</v>
      </c>
      <c r="W551" s="1" t="str">
        <f>IF(W$467,_xll.RtContribute(W$403,W$3&amp;"FX"&amp;$C521&amp;"SDF=","ASK",W327,"SCOPE:SERVER"),"RT_FALSE")</f>
        <v>RT_FALSE</v>
      </c>
      <c r="X551" s="1" t="str">
        <f>IF(X$467,_xll.RtContribute(X$403,X$3&amp;"FX"&amp;$C521&amp;"SDF=","ASK",X327,"SCOPE:SERVER"),"RT_FALSE")</f>
        <v>RT_FALSE</v>
      </c>
      <c r="Y551" s="1" t="str">
        <f>IF(Y$467,_xll.RtContribute(Y$403,Y$3&amp;"FX"&amp;$C521&amp;"SDF=","ASK",Y327,"SCOPE:SERVER"),"RT_FALSE")</f>
        <v>RT_FALSE</v>
      </c>
      <c r="Z551" s="1" t="str">
        <f>IF(Z$467,_xll.RtContribute(Z$403,Z$3&amp;"FX"&amp;$C521&amp;"SDF=","ASK",Z327,"SCOPE:SERVER"),"RT_FALSE")</f>
        <v>RT_FALSE</v>
      </c>
      <c r="AA551" s="1" t="str">
        <f>IF(AA$467,_xll.RtContribute(AA$403,AA$3&amp;"FX"&amp;$C521&amp;"SDF=","ASK",AA327,"SCOPE:SERVER"),"RT_FALSE")</f>
        <v>RT_FALSE</v>
      </c>
      <c r="AB551" s="1" t="str">
        <f>IF(AB$467,_xll.RtContribute(AB$403,AB$3&amp;"FX"&amp;$C521&amp;"SDF=","ASK",AB327,"SCOPE:SERVER"),"RT_FALSE")</f>
        <v>RT_FALSE</v>
      </c>
      <c r="AC551" s="1" t="str">
        <f>IF(AC$467,_xll.RtContribute(AC$403,AC$3&amp;"FX"&amp;$C521&amp;"SDF=","ASK",AC327,"SCOPE:SERVER"),"RT_FALSE")</f>
        <v>RT_FALSE</v>
      </c>
      <c r="AD551" s="1" t="str">
        <f>IF(AD$467,_xll.RtContribute(AD$403,AD$3&amp;"FX"&amp;$C521&amp;"SDF=","ASK",AD327,"SCOPE:SERVER"),"RT_FALSE")</f>
        <v>RT_FALSE</v>
      </c>
      <c r="AE551" s="1" t="str">
        <f>IF(AE$467,_xll.RtContribute(AE$403,AE$3&amp;"FX"&amp;$C521&amp;"SDF=","ASK",AE327,"SCOPE:SERVER"),"RT_FALSE")</f>
        <v>RT_FALSE</v>
      </c>
      <c r="AF551" s="1" t="str">
        <f>IF(AF$467,_xll.RtContribute(AF$403,AF$3&amp;"FX"&amp;$C521&amp;"SDF=","ASK",AF327,"SCOPE:SERVER"),"RT_FALSE")</f>
        <v>RT_FALSE</v>
      </c>
      <c r="AG551" s="1" t="str">
        <f>IF(AG$467,_xll.RtContribute(AG$403,AG$3&amp;"FX"&amp;$C521&amp;"SDF=","ASK",AG327,"SCOPE:SERVER"),"RT_FALSE")</f>
        <v>RT_FALSE</v>
      </c>
      <c r="AH551" s="1" t="str">
        <f>IF(AH$467,_xll.RtContribute(AH$403,AH$3&amp;"FX"&amp;$C521&amp;"SDF=","ASK",AH327,"SCOPE:SERVER"),"RT_FALSE")</f>
        <v>RT_FALSE</v>
      </c>
      <c r="AI551" s="1" t="str">
        <f>IF(AI$467,_xll.RtContribute(AI$403,AI$3&amp;"FX"&amp;$C521&amp;"SDF=","ASK",AI327,"SCOPE:SERVER"),"RT_FALSE")</f>
        <v>RT_FALSE</v>
      </c>
      <c r="AJ551" s="1" t="str">
        <f>IF(AJ$467,_xll.RtContribute(AJ$403,AJ$3&amp;"FX"&amp;$C521&amp;"SDF=","ASK",AJ327,"SCOPE:SERVER"),"RT_FALSE")</f>
        <v>RT_FALSE</v>
      </c>
      <c r="AK551" s="1" t="str">
        <f>IF(AK$467,_xll.RtContribute(AK$403,AK$3&amp;"FX"&amp;$C521&amp;"SDF=","ASK",AK327,"SCOPE:SERVER"),"RT_FALSE")</f>
        <v>RT_FALSE</v>
      </c>
      <c r="AL551" s="1" t="str">
        <f>IF(AL$467,_xll.RtContribute(AL$403,AL$3&amp;"FX"&amp;$C521&amp;"SDF=","ASK",AL327,"SCOPE:SERVER"),"RT_FALSE")</f>
        <v>RT_FALSE</v>
      </c>
      <c r="AM551" s="1" t="str">
        <f>IF(AM$467,_xll.RtContribute(AM$403,AM$3&amp;"FX"&amp;$C521&amp;"SDF=","ASK",AM327,"SCOPE:SERVER"),"RT_FALSE")</f>
        <v>RT_FALSE</v>
      </c>
      <c r="AN551" s="1" t="str">
        <f>IF(AN$467,_xll.RtContribute(AN$403,AN$3&amp;"FX"&amp;$C521&amp;"SDF=","ASK",AN327,"SCOPE:SERVER"),"RT_FALSE")</f>
        <v>RT_FALSE</v>
      </c>
      <c r="AO551" s="1" t="str">
        <f>IF(AO$467,_xll.RtContribute(AO$403,AO$3&amp;"FX"&amp;$C521&amp;"SDF=","ASK",AO327,"SCOPE:SERVER"),"RT_FALSE")</f>
        <v>RT_FALSE</v>
      </c>
      <c r="AP551" s="1" t="str">
        <f>IF(AP$467,_xll.RtContribute(AP$403,AP$3&amp;"FX"&amp;$C521&amp;"SDF=","ASK",AP327,"SCOPE:SERVER"),"RT_FALSE")</f>
        <v>RT_FALSE</v>
      </c>
    </row>
    <row r="552" spans="2:42" x14ac:dyDescent="0.2">
      <c r="C552" s="1" t="s">
        <v>156</v>
      </c>
      <c r="D552" s="1" t="str">
        <f>IF(D$467,_xll.RtContribute(D$403,D$3&amp;"FX"&amp;$C522&amp;"SDF=","BID",D44,"SCOPE:SERVER"),"RT_FALSE")</f>
        <v>RT_FALSE</v>
      </c>
      <c r="E552" s="1" t="str">
        <f>IF(E$467,_xll.RtContribute(E$403,E$3&amp;"FX"&amp;$C522&amp;"SDF=","ASK",E328,"SCOPE:SERVER"),"RT_FALSE")</f>
        <v>RT_FALSE</v>
      </c>
      <c r="F552" s="1" t="str">
        <f>IF(F$467,_xll.RtContribute(F$403,F$3&amp;"FX"&amp;$C522&amp;"SDF=","ASK",F328,"SCOPE:SERVER"),"RT_FALSE")</f>
        <v>RT_FALSE</v>
      </c>
      <c r="G552" s="1" t="str">
        <f>IF(G$467,_xll.RtContribute(G$403,G$3&amp;"FX"&amp;$C522&amp;"SDF=","ASK",G328,"SCOPE:SERVER"),"RT_FALSE")</f>
        <v>RT_FALSE</v>
      </c>
      <c r="H552" s="1" t="str">
        <f>IF(H$467,_xll.RtContribute(H$403,H$3&amp;"FX"&amp;$C522&amp;"SDF=","ASK",H328,"SCOPE:SERVER"),"RT_FALSE")</f>
        <v>RT_FALSE</v>
      </c>
      <c r="I552" s="1" t="str">
        <f>IF(I$467,_xll.RtContribute(I$403,I$3&amp;"FX"&amp;$C522&amp;"SDF=","ASK",I328,"SCOPE:SERVER"),"RT_FALSE")</f>
        <v>RT_FALSE</v>
      </c>
      <c r="J552" s="1" t="str">
        <f>IF(J$467,_xll.RtContribute(J$403,J$3&amp;"FX"&amp;$C522&amp;"SDF=","ASK",J328,"SCOPE:SERVER"),"RT_FALSE")</f>
        <v>RT_FALSE</v>
      </c>
      <c r="K552" s="1" t="str">
        <f>IF(K$467,_xll.RtContribute(K$403,K$3&amp;"FX"&amp;$C522&amp;"SDF=","ASK",K328,"SCOPE:SERVER"),"RT_FALSE")</f>
        <v>RT_FALSE</v>
      </c>
      <c r="L552" s="1" t="str">
        <f>IF(L$467,_xll.RtContribute(L$403,L$3&amp;"FX"&amp;$C522&amp;"SDF=","ASK",L328,"SCOPE:SERVER"),"RT_FALSE")</f>
        <v>RT_FALSE</v>
      </c>
      <c r="M552" s="1" t="str">
        <f>IF(M$467,_xll.RtContribute(M$403,M$3&amp;"FX"&amp;$C522&amp;"SDF=","ASK",M328,"SCOPE:SERVER"),"RT_FALSE")</f>
        <v>RT_FALSE</v>
      </c>
      <c r="N552" s="1" t="str">
        <f>IF(N$467,_xll.RtContribute(N$403,N$3&amp;"FX"&amp;$C522&amp;"SDF=","ASK",N328,"SCOPE:SERVER"),"RT_FALSE")</f>
        <v>RT_FALSE</v>
      </c>
      <c r="O552" s="1" t="str">
        <f>IF(O$467,_xll.RtContribute(O$403,O$3&amp;"FX"&amp;$C522&amp;"SDF=","ASK",O328,"SCOPE:SERVER"),"RT_FALSE")</f>
        <v>RT_FALSE</v>
      </c>
      <c r="P552" s="1" t="str">
        <f>IF(P$467,_xll.RtContribute(P$403,P$3&amp;"FX"&amp;$C522&amp;"SDF=","ASK",P328,"SCOPE:SERVER"),"RT_FALSE")</f>
        <v>RT_FALSE</v>
      </c>
      <c r="Q552" s="1" t="str">
        <f>IF(Q$467,_xll.RtContribute(Q$403,Q$3&amp;"FX"&amp;$C522&amp;"SDF=","ASK",Q328,"SCOPE:SERVER"),"RT_FALSE")</f>
        <v>RT_FALSE</v>
      </c>
      <c r="R552" s="1" t="str">
        <f>IF(R$467,_xll.RtContribute(R$403,R$3&amp;"FX"&amp;$C522&amp;"SDF=","ASK",R328,"SCOPE:SERVER"),"RT_FALSE")</f>
        <v>RT_FALSE</v>
      </c>
      <c r="S552" s="1" t="str">
        <f>IF(S$467,_xll.RtContribute(S$403,S$3&amp;"FX"&amp;$C522&amp;"SDF=","ASK",S328,"SCOPE:SERVER"),"RT_FALSE")</f>
        <v>RT_FALSE</v>
      </c>
      <c r="T552" s="1" t="str">
        <f>IF(T$467,_xll.RtContribute(T$403,T$3&amp;"FX"&amp;$C522&amp;"SDF=","ASK",T328,"SCOPE:SERVER"),"RT_FALSE")</f>
        <v>RT_FALSE</v>
      </c>
      <c r="U552" s="1" t="str">
        <f>IF(U$467,_xll.RtContribute(U$403,U$3&amp;"FX"&amp;$C522&amp;"SDF=","ASK",U328,"SCOPE:SERVER"),"RT_FALSE")</f>
        <v>RT_FALSE</v>
      </c>
      <c r="V552" s="1" t="str">
        <f>IF(V$467,_xll.RtContribute(V$403,V$3&amp;"FX"&amp;$C522&amp;"SDF=","ASK",V328,"SCOPE:SERVER"),"RT_FALSE")</f>
        <v>RT_FALSE</v>
      </c>
      <c r="W552" s="1" t="str">
        <f>IF(W$467,_xll.RtContribute(W$403,W$3&amp;"FX"&amp;$C522&amp;"SDF=","ASK",W328,"SCOPE:SERVER"),"RT_FALSE")</f>
        <v>RT_FALSE</v>
      </c>
      <c r="X552" s="1" t="str">
        <f>IF(X$467,_xll.RtContribute(X$403,X$3&amp;"FX"&amp;$C522&amp;"SDF=","ASK",X328,"SCOPE:SERVER"),"RT_FALSE")</f>
        <v>RT_FALSE</v>
      </c>
      <c r="Y552" s="1" t="str">
        <f>IF(Y$467,_xll.RtContribute(Y$403,Y$3&amp;"FX"&amp;$C522&amp;"SDF=","ASK",Y328,"SCOPE:SERVER"),"RT_FALSE")</f>
        <v>RT_FALSE</v>
      </c>
      <c r="Z552" s="1" t="str">
        <f>IF(Z$467,_xll.RtContribute(Z$403,Z$3&amp;"FX"&amp;$C522&amp;"SDF=","ASK",Z328,"SCOPE:SERVER"),"RT_FALSE")</f>
        <v>RT_FALSE</v>
      </c>
      <c r="AA552" s="1" t="str">
        <f>IF(AA$467,_xll.RtContribute(AA$403,AA$3&amp;"FX"&amp;$C522&amp;"SDF=","ASK",AA328,"SCOPE:SERVER"),"RT_FALSE")</f>
        <v>RT_FALSE</v>
      </c>
      <c r="AB552" s="1" t="str">
        <f>IF(AB$467,_xll.RtContribute(AB$403,AB$3&amp;"FX"&amp;$C522&amp;"SDF=","ASK",AB328,"SCOPE:SERVER"),"RT_FALSE")</f>
        <v>RT_FALSE</v>
      </c>
      <c r="AC552" s="1" t="str">
        <f>IF(AC$467,_xll.RtContribute(AC$403,AC$3&amp;"FX"&amp;$C522&amp;"SDF=","ASK",AC328,"SCOPE:SERVER"),"RT_FALSE")</f>
        <v>RT_FALSE</v>
      </c>
      <c r="AD552" s="1" t="str">
        <f>IF(AD$467,_xll.RtContribute(AD$403,AD$3&amp;"FX"&amp;$C522&amp;"SDF=","ASK",AD328,"SCOPE:SERVER"),"RT_FALSE")</f>
        <v>RT_FALSE</v>
      </c>
      <c r="AE552" s="1" t="str">
        <f>IF(AE$467,_xll.RtContribute(AE$403,AE$3&amp;"FX"&amp;$C522&amp;"SDF=","ASK",AE328,"SCOPE:SERVER"),"RT_FALSE")</f>
        <v>RT_FALSE</v>
      </c>
      <c r="AF552" s="1" t="str">
        <f>IF(AF$467,_xll.RtContribute(AF$403,AF$3&amp;"FX"&amp;$C522&amp;"SDF=","ASK",AF328,"SCOPE:SERVER"),"RT_FALSE")</f>
        <v>RT_FALSE</v>
      </c>
      <c r="AG552" s="1" t="str">
        <f>IF(AG$467,_xll.RtContribute(AG$403,AG$3&amp;"FX"&amp;$C522&amp;"SDF=","ASK",AG328,"SCOPE:SERVER"),"RT_FALSE")</f>
        <v>RT_FALSE</v>
      </c>
      <c r="AH552" s="1" t="str">
        <f>IF(AH$467,_xll.RtContribute(AH$403,AH$3&amp;"FX"&amp;$C522&amp;"SDF=","ASK",AH328,"SCOPE:SERVER"),"RT_FALSE")</f>
        <v>RT_FALSE</v>
      </c>
      <c r="AI552" s="1" t="str">
        <f>IF(AI$467,_xll.RtContribute(AI$403,AI$3&amp;"FX"&amp;$C522&amp;"SDF=","ASK",AI328,"SCOPE:SERVER"),"RT_FALSE")</f>
        <v>RT_FALSE</v>
      </c>
      <c r="AJ552" s="1" t="str">
        <f>IF(AJ$467,_xll.RtContribute(AJ$403,AJ$3&amp;"FX"&amp;$C522&amp;"SDF=","ASK",AJ328,"SCOPE:SERVER"),"RT_FALSE")</f>
        <v>RT_FALSE</v>
      </c>
      <c r="AK552" s="1" t="str">
        <f>IF(AK$467,_xll.RtContribute(AK$403,AK$3&amp;"FX"&amp;$C522&amp;"SDF=","ASK",AK328,"SCOPE:SERVER"),"RT_FALSE")</f>
        <v>RT_FALSE</v>
      </c>
      <c r="AL552" s="1" t="str">
        <f>IF(AL$467,_xll.RtContribute(AL$403,AL$3&amp;"FX"&amp;$C522&amp;"SDF=","ASK",AL328,"SCOPE:SERVER"),"RT_FALSE")</f>
        <v>RT_FALSE</v>
      </c>
      <c r="AM552" s="1" t="str">
        <f>IF(AM$467,_xll.RtContribute(AM$403,AM$3&amp;"FX"&amp;$C522&amp;"SDF=","ASK",AM328,"SCOPE:SERVER"),"RT_FALSE")</f>
        <v>RT_FALSE</v>
      </c>
      <c r="AN552" s="1" t="str">
        <f>IF(AN$467,_xll.RtContribute(AN$403,AN$3&amp;"FX"&amp;$C522&amp;"SDF=","ASK",AN328,"SCOPE:SERVER"),"RT_FALSE")</f>
        <v>RT_FALSE</v>
      </c>
      <c r="AO552" s="1" t="str">
        <f>IF(AO$467,_xll.RtContribute(AO$403,AO$3&amp;"FX"&amp;$C522&amp;"SDF=","ASK",AO328,"SCOPE:SERVER"),"RT_FALSE")</f>
        <v>RT_FALSE</v>
      </c>
      <c r="AP552" s="1" t="str">
        <f>IF(AP$467,_xll.RtContribute(AP$403,AP$3&amp;"FX"&amp;$C522&amp;"SDF=","ASK",AP328,"SCOPE:SERVER"),"RT_FALSE")</f>
        <v>RT_FALSE</v>
      </c>
    </row>
    <row r="553" spans="2:42" x14ac:dyDescent="0.2">
      <c r="C553" s="1" t="s">
        <v>157</v>
      </c>
      <c r="D553" s="1" t="str">
        <f>IF(D$467,_xll.RtContribute(D$403,D$3&amp;"FX"&amp;$C523&amp;"SDF=","BID",D45,"SCOPE:SERVER"),"RT_FALSE")</f>
        <v>RT_FALSE</v>
      </c>
      <c r="E553" s="1" t="str">
        <f>IF(E$467,_xll.RtContribute(E$403,E$3&amp;"FX"&amp;$C523&amp;"SDF=","ASK",E329,"SCOPE:SERVER"),"RT_FALSE")</f>
        <v>RT_FALSE</v>
      </c>
      <c r="F553" s="1" t="str">
        <f>IF(F$467,_xll.RtContribute(F$403,F$3&amp;"FX"&amp;$C523&amp;"SDF=","ASK",F329,"SCOPE:SERVER"),"RT_FALSE")</f>
        <v>RT_FALSE</v>
      </c>
      <c r="G553" s="1" t="str">
        <f>IF(G$467,_xll.RtContribute(G$403,G$3&amp;"FX"&amp;$C523&amp;"SDF=","ASK",G329,"SCOPE:SERVER"),"RT_FALSE")</f>
        <v>RT_FALSE</v>
      </c>
      <c r="H553" s="1" t="str">
        <f>IF(H$467,_xll.RtContribute(H$403,H$3&amp;"FX"&amp;$C523&amp;"SDF=","ASK",H329,"SCOPE:SERVER"),"RT_FALSE")</f>
        <v>RT_FALSE</v>
      </c>
      <c r="I553" s="1" t="str">
        <f>IF(I$467,_xll.RtContribute(I$403,I$3&amp;"FX"&amp;$C523&amp;"SDF=","ASK",I329,"SCOPE:SERVER"),"RT_FALSE")</f>
        <v>RT_FALSE</v>
      </c>
      <c r="J553" s="1" t="str">
        <f>IF(J$467,_xll.RtContribute(J$403,J$3&amp;"FX"&amp;$C523&amp;"SDF=","ASK",J329,"SCOPE:SERVER"),"RT_FALSE")</f>
        <v>RT_FALSE</v>
      </c>
      <c r="K553" s="1" t="str">
        <f>IF(K$467,_xll.RtContribute(K$403,K$3&amp;"FX"&amp;$C523&amp;"SDF=","ASK",K329,"SCOPE:SERVER"),"RT_FALSE")</f>
        <v>RT_FALSE</v>
      </c>
      <c r="L553" s="1" t="str">
        <f>IF(L$467,_xll.RtContribute(L$403,L$3&amp;"FX"&amp;$C523&amp;"SDF=","ASK",L329,"SCOPE:SERVER"),"RT_FALSE")</f>
        <v>RT_FALSE</v>
      </c>
      <c r="M553" s="1" t="str">
        <f>IF(M$467,_xll.RtContribute(M$403,M$3&amp;"FX"&amp;$C523&amp;"SDF=","ASK",M329,"SCOPE:SERVER"),"RT_FALSE")</f>
        <v>RT_FALSE</v>
      </c>
      <c r="N553" s="1" t="str">
        <f>IF(N$467,_xll.RtContribute(N$403,N$3&amp;"FX"&amp;$C523&amp;"SDF=","ASK",N329,"SCOPE:SERVER"),"RT_FALSE")</f>
        <v>RT_FALSE</v>
      </c>
      <c r="O553" s="1" t="str">
        <f>IF(O$467,_xll.RtContribute(O$403,O$3&amp;"FX"&amp;$C523&amp;"SDF=","ASK",O329,"SCOPE:SERVER"),"RT_FALSE")</f>
        <v>RT_FALSE</v>
      </c>
      <c r="P553" s="1" t="str">
        <f>IF(P$467,_xll.RtContribute(P$403,P$3&amp;"FX"&amp;$C523&amp;"SDF=","ASK",P329,"SCOPE:SERVER"),"RT_FALSE")</f>
        <v>RT_FALSE</v>
      </c>
      <c r="Q553" s="1" t="str">
        <f>IF(Q$467,_xll.RtContribute(Q$403,Q$3&amp;"FX"&amp;$C523&amp;"SDF=","ASK",Q329,"SCOPE:SERVER"),"RT_FALSE")</f>
        <v>RT_FALSE</v>
      </c>
      <c r="R553" s="1" t="str">
        <f>IF(R$467,_xll.RtContribute(R$403,R$3&amp;"FX"&amp;$C523&amp;"SDF=","ASK",R329,"SCOPE:SERVER"),"RT_FALSE")</f>
        <v>RT_FALSE</v>
      </c>
      <c r="S553" s="1" t="str">
        <f>IF(S$467,_xll.RtContribute(S$403,S$3&amp;"FX"&amp;$C523&amp;"SDF=","ASK",S329,"SCOPE:SERVER"),"RT_FALSE")</f>
        <v>RT_FALSE</v>
      </c>
      <c r="T553" s="1" t="str">
        <f>IF(T$467,_xll.RtContribute(T$403,T$3&amp;"FX"&amp;$C523&amp;"SDF=","ASK",T329,"SCOPE:SERVER"),"RT_FALSE")</f>
        <v>RT_FALSE</v>
      </c>
      <c r="U553" s="1" t="str">
        <f>IF(U$467,_xll.RtContribute(U$403,U$3&amp;"FX"&amp;$C523&amp;"SDF=","ASK",U329,"SCOPE:SERVER"),"RT_FALSE")</f>
        <v>RT_FALSE</v>
      </c>
      <c r="V553" s="1" t="str">
        <f>IF(V$467,_xll.RtContribute(V$403,V$3&amp;"FX"&amp;$C523&amp;"SDF=","ASK",V329,"SCOPE:SERVER"),"RT_FALSE")</f>
        <v>RT_FALSE</v>
      </c>
      <c r="W553" s="1" t="str">
        <f>IF(W$467,_xll.RtContribute(W$403,W$3&amp;"FX"&amp;$C523&amp;"SDF=","ASK",W329,"SCOPE:SERVER"),"RT_FALSE")</f>
        <v>RT_FALSE</v>
      </c>
      <c r="X553" s="1" t="str">
        <f>IF(X$467,_xll.RtContribute(X$403,X$3&amp;"FX"&amp;$C523&amp;"SDF=","ASK",X329,"SCOPE:SERVER"),"RT_FALSE")</f>
        <v>RT_FALSE</v>
      </c>
      <c r="Y553" s="1" t="str">
        <f>IF(Y$467,_xll.RtContribute(Y$403,Y$3&amp;"FX"&amp;$C523&amp;"SDF=","ASK",Y329,"SCOPE:SERVER"),"RT_FALSE")</f>
        <v>RT_FALSE</v>
      </c>
      <c r="Z553" s="1" t="str">
        <f>IF(Z$467,_xll.RtContribute(Z$403,Z$3&amp;"FX"&amp;$C523&amp;"SDF=","ASK",Z329,"SCOPE:SERVER"),"RT_FALSE")</f>
        <v>RT_FALSE</v>
      </c>
      <c r="AA553" s="1" t="str">
        <f>IF(AA$467,_xll.RtContribute(AA$403,AA$3&amp;"FX"&amp;$C523&amp;"SDF=","ASK",AA329,"SCOPE:SERVER"),"RT_FALSE")</f>
        <v>RT_FALSE</v>
      </c>
      <c r="AB553" s="1" t="str">
        <f>IF(AB$467,_xll.RtContribute(AB$403,AB$3&amp;"FX"&amp;$C523&amp;"SDF=","ASK",AB329,"SCOPE:SERVER"),"RT_FALSE")</f>
        <v>RT_FALSE</v>
      </c>
      <c r="AC553" s="1" t="str">
        <f>IF(AC$467,_xll.RtContribute(AC$403,AC$3&amp;"FX"&amp;$C523&amp;"SDF=","ASK",AC329,"SCOPE:SERVER"),"RT_FALSE")</f>
        <v>RT_FALSE</v>
      </c>
      <c r="AD553" s="1" t="str">
        <f>IF(AD$467,_xll.RtContribute(AD$403,AD$3&amp;"FX"&amp;$C523&amp;"SDF=","ASK",AD329,"SCOPE:SERVER"),"RT_FALSE")</f>
        <v>RT_FALSE</v>
      </c>
      <c r="AE553" s="1" t="str">
        <f>IF(AE$467,_xll.RtContribute(AE$403,AE$3&amp;"FX"&amp;$C523&amp;"SDF=","ASK",AE329,"SCOPE:SERVER"),"RT_FALSE")</f>
        <v>RT_FALSE</v>
      </c>
      <c r="AF553" s="1" t="str">
        <f>IF(AF$467,_xll.RtContribute(AF$403,AF$3&amp;"FX"&amp;$C523&amp;"SDF=","ASK",AF329,"SCOPE:SERVER"),"RT_FALSE")</f>
        <v>RT_FALSE</v>
      </c>
      <c r="AG553" s="1" t="str">
        <f>IF(AG$467,_xll.RtContribute(AG$403,AG$3&amp;"FX"&amp;$C523&amp;"SDF=","ASK",AG329,"SCOPE:SERVER"),"RT_FALSE")</f>
        <v>RT_FALSE</v>
      </c>
      <c r="AH553" s="1" t="str">
        <f>IF(AH$467,_xll.RtContribute(AH$403,AH$3&amp;"FX"&amp;$C523&amp;"SDF=","ASK",AH329,"SCOPE:SERVER"),"RT_FALSE")</f>
        <v>RT_FALSE</v>
      </c>
      <c r="AI553" s="1" t="str">
        <f>IF(AI$467,_xll.RtContribute(AI$403,AI$3&amp;"FX"&amp;$C523&amp;"SDF=","ASK",AI329,"SCOPE:SERVER"),"RT_FALSE")</f>
        <v>RT_FALSE</v>
      </c>
      <c r="AJ553" s="1" t="str">
        <f>IF(AJ$467,_xll.RtContribute(AJ$403,AJ$3&amp;"FX"&amp;$C523&amp;"SDF=","ASK",AJ329,"SCOPE:SERVER"),"RT_FALSE")</f>
        <v>RT_FALSE</v>
      </c>
      <c r="AK553" s="1" t="str">
        <f>IF(AK$467,_xll.RtContribute(AK$403,AK$3&amp;"FX"&amp;$C523&amp;"SDF=","ASK",AK329,"SCOPE:SERVER"),"RT_FALSE")</f>
        <v>RT_FALSE</v>
      </c>
      <c r="AL553" s="1" t="str">
        <f>IF(AL$467,_xll.RtContribute(AL$403,AL$3&amp;"FX"&amp;$C523&amp;"SDF=","ASK",AL329,"SCOPE:SERVER"),"RT_FALSE")</f>
        <v>RT_FALSE</v>
      </c>
      <c r="AM553" s="1" t="str">
        <f>IF(AM$467,_xll.RtContribute(AM$403,AM$3&amp;"FX"&amp;$C523&amp;"SDF=","ASK",AM329,"SCOPE:SERVER"),"RT_FALSE")</f>
        <v>RT_FALSE</v>
      </c>
      <c r="AN553" s="1" t="str">
        <f>IF(AN$467,_xll.RtContribute(AN$403,AN$3&amp;"FX"&amp;$C523&amp;"SDF=","ASK",AN329,"SCOPE:SERVER"),"RT_FALSE")</f>
        <v>RT_FALSE</v>
      </c>
      <c r="AO553" s="1" t="str">
        <f>IF(AO$467,_xll.RtContribute(AO$403,AO$3&amp;"FX"&amp;$C523&amp;"SDF=","ASK",AO329,"SCOPE:SERVER"),"RT_FALSE")</f>
        <v>RT_FALSE</v>
      </c>
      <c r="AP553" s="1" t="str">
        <f>IF(AP$467,_xll.RtContribute(AP$403,AP$3&amp;"FX"&amp;$C523&amp;"SDF=","ASK",AP329,"SCOPE:SERVER"),"RT_FALSE")</f>
        <v>RT_FALSE</v>
      </c>
    </row>
    <row r="554" spans="2:42" x14ac:dyDescent="0.2">
      <c r="C554" s="1" t="s">
        <v>158</v>
      </c>
      <c r="D554" s="1" t="str">
        <f>IF(D$467,_xll.RtContribute(D$403,D$3&amp;"FX"&amp;$C524&amp;"SDF=","BID",D46,"SCOPE:SERVER"),"RT_FALSE")</f>
        <v>RT_FALSE</v>
      </c>
      <c r="E554" s="1" t="str">
        <f>IF(E$467,_xll.RtContribute(E$403,E$3&amp;"FX"&amp;$C524&amp;"SDF=","ASK",E330,"SCOPE:SERVER"),"RT_FALSE")</f>
        <v>RT_FALSE</v>
      </c>
      <c r="F554" s="1" t="str">
        <f>IF(F$467,_xll.RtContribute(F$403,F$3&amp;"FX"&amp;$C524&amp;"SDF=","ASK",F330,"SCOPE:SERVER"),"RT_FALSE")</f>
        <v>RT_FALSE</v>
      </c>
      <c r="G554" s="1" t="str">
        <f>IF(G$467,_xll.RtContribute(G$403,G$3&amp;"FX"&amp;$C524&amp;"SDF=","ASK",G330,"SCOPE:SERVER"),"RT_FALSE")</f>
        <v>RT_FALSE</v>
      </c>
      <c r="H554" s="1" t="str">
        <f>IF(H$467,_xll.RtContribute(H$403,H$3&amp;"FX"&amp;$C524&amp;"SDF=","ASK",H330,"SCOPE:SERVER"),"RT_FALSE")</f>
        <v>RT_FALSE</v>
      </c>
      <c r="I554" s="1" t="str">
        <f>IF(I$467,_xll.RtContribute(I$403,I$3&amp;"FX"&amp;$C524&amp;"SDF=","ASK",I330,"SCOPE:SERVER"),"RT_FALSE")</f>
        <v>RT_FALSE</v>
      </c>
      <c r="J554" s="1" t="str">
        <f>IF(J$467,_xll.RtContribute(J$403,J$3&amp;"FX"&amp;$C524&amp;"SDF=","ASK",J330,"SCOPE:SERVER"),"RT_FALSE")</f>
        <v>RT_FALSE</v>
      </c>
      <c r="K554" s="1" t="str">
        <f>IF(K$467,_xll.RtContribute(K$403,K$3&amp;"FX"&amp;$C524&amp;"SDF=","ASK",K330,"SCOPE:SERVER"),"RT_FALSE")</f>
        <v>RT_FALSE</v>
      </c>
      <c r="L554" s="1" t="str">
        <f>IF(L$467,_xll.RtContribute(L$403,L$3&amp;"FX"&amp;$C524&amp;"SDF=","ASK",L330,"SCOPE:SERVER"),"RT_FALSE")</f>
        <v>RT_FALSE</v>
      </c>
      <c r="M554" s="1" t="str">
        <f>IF(M$467,_xll.RtContribute(M$403,M$3&amp;"FX"&amp;$C524&amp;"SDF=","ASK",M330,"SCOPE:SERVER"),"RT_FALSE")</f>
        <v>RT_FALSE</v>
      </c>
      <c r="N554" s="1" t="str">
        <f>IF(N$467,_xll.RtContribute(N$403,N$3&amp;"FX"&amp;$C524&amp;"SDF=","ASK",N330,"SCOPE:SERVER"),"RT_FALSE")</f>
        <v>RT_FALSE</v>
      </c>
      <c r="O554" s="1" t="str">
        <f>IF(O$467,_xll.RtContribute(O$403,O$3&amp;"FX"&amp;$C524&amp;"SDF=","ASK",O330,"SCOPE:SERVER"),"RT_FALSE")</f>
        <v>RT_FALSE</v>
      </c>
      <c r="P554" s="1" t="str">
        <f>IF(P$467,_xll.RtContribute(P$403,P$3&amp;"FX"&amp;$C524&amp;"SDF=","ASK",P330,"SCOPE:SERVER"),"RT_FALSE")</f>
        <v>RT_FALSE</v>
      </c>
      <c r="Q554" s="1" t="str">
        <f>IF(Q$467,_xll.RtContribute(Q$403,Q$3&amp;"FX"&amp;$C524&amp;"SDF=","ASK",Q330,"SCOPE:SERVER"),"RT_FALSE")</f>
        <v>RT_FALSE</v>
      </c>
      <c r="R554" s="1" t="str">
        <f>IF(R$467,_xll.RtContribute(R$403,R$3&amp;"FX"&amp;$C524&amp;"SDF=","ASK",R330,"SCOPE:SERVER"),"RT_FALSE")</f>
        <v>RT_FALSE</v>
      </c>
      <c r="S554" s="1" t="str">
        <f>IF(S$467,_xll.RtContribute(S$403,S$3&amp;"FX"&amp;$C524&amp;"SDF=","ASK",S330,"SCOPE:SERVER"),"RT_FALSE")</f>
        <v>RT_FALSE</v>
      </c>
      <c r="T554" s="1" t="str">
        <f>IF(T$467,_xll.RtContribute(T$403,T$3&amp;"FX"&amp;$C524&amp;"SDF=","ASK",T330,"SCOPE:SERVER"),"RT_FALSE")</f>
        <v>RT_FALSE</v>
      </c>
      <c r="U554" s="1" t="str">
        <f>IF(U$467,_xll.RtContribute(U$403,U$3&amp;"FX"&amp;$C524&amp;"SDF=","ASK",U330,"SCOPE:SERVER"),"RT_FALSE")</f>
        <v>RT_FALSE</v>
      </c>
      <c r="V554" s="1" t="str">
        <f>IF(V$467,_xll.RtContribute(V$403,V$3&amp;"FX"&amp;$C524&amp;"SDF=","ASK",V330,"SCOPE:SERVER"),"RT_FALSE")</f>
        <v>RT_FALSE</v>
      </c>
      <c r="W554" s="1" t="str">
        <f>IF(W$467,_xll.RtContribute(W$403,W$3&amp;"FX"&amp;$C524&amp;"SDF=","ASK",W330,"SCOPE:SERVER"),"RT_FALSE")</f>
        <v>RT_FALSE</v>
      </c>
      <c r="X554" s="1" t="str">
        <f>IF(X$467,_xll.RtContribute(X$403,X$3&amp;"FX"&amp;$C524&amp;"SDF=","ASK",X330,"SCOPE:SERVER"),"RT_FALSE")</f>
        <v>RT_FALSE</v>
      </c>
      <c r="Y554" s="1" t="str">
        <f>IF(Y$467,_xll.RtContribute(Y$403,Y$3&amp;"FX"&amp;$C524&amp;"SDF=","ASK",Y330,"SCOPE:SERVER"),"RT_FALSE")</f>
        <v>RT_FALSE</v>
      </c>
      <c r="Z554" s="1" t="str">
        <f>IF(Z$467,_xll.RtContribute(Z$403,Z$3&amp;"FX"&amp;$C524&amp;"SDF=","ASK",Z330,"SCOPE:SERVER"),"RT_FALSE")</f>
        <v>RT_FALSE</v>
      </c>
      <c r="AA554" s="1" t="str">
        <f>IF(AA$467,_xll.RtContribute(AA$403,AA$3&amp;"FX"&amp;$C524&amp;"SDF=","ASK",AA330,"SCOPE:SERVER"),"RT_FALSE")</f>
        <v>RT_FALSE</v>
      </c>
      <c r="AB554" s="1" t="str">
        <f>IF(AB$467,_xll.RtContribute(AB$403,AB$3&amp;"FX"&amp;$C524&amp;"SDF=","ASK",AB330,"SCOPE:SERVER"),"RT_FALSE")</f>
        <v>RT_FALSE</v>
      </c>
      <c r="AC554" s="1" t="str">
        <f>IF(AC$467,_xll.RtContribute(AC$403,AC$3&amp;"FX"&amp;$C524&amp;"SDF=","ASK",AC330,"SCOPE:SERVER"),"RT_FALSE")</f>
        <v>RT_FALSE</v>
      </c>
      <c r="AD554" s="1" t="str">
        <f>IF(AD$467,_xll.RtContribute(AD$403,AD$3&amp;"FX"&amp;$C524&amp;"SDF=","ASK",AD330,"SCOPE:SERVER"),"RT_FALSE")</f>
        <v>RT_FALSE</v>
      </c>
      <c r="AE554" s="1" t="str">
        <f>IF(AE$467,_xll.RtContribute(AE$403,AE$3&amp;"FX"&amp;$C524&amp;"SDF=","ASK",AE330,"SCOPE:SERVER"),"RT_FALSE")</f>
        <v>RT_FALSE</v>
      </c>
      <c r="AF554" s="1" t="str">
        <f>IF(AF$467,_xll.RtContribute(AF$403,AF$3&amp;"FX"&amp;$C524&amp;"SDF=","ASK",AF330,"SCOPE:SERVER"),"RT_FALSE")</f>
        <v>RT_FALSE</v>
      </c>
      <c r="AG554" s="1" t="str">
        <f>IF(AG$467,_xll.RtContribute(AG$403,AG$3&amp;"FX"&amp;$C524&amp;"SDF=","ASK",AG330,"SCOPE:SERVER"),"RT_FALSE")</f>
        <v>RT_FALSE</v>
      </c>
      <c r="AH554" s="1" t="str">
        <f>IF(AH$467,_xll.RtContribute(AH$403,AH$3&amp;"FX"&amp;$C524&amp;"SDF=","ASK",AH330,"SCOPE:SERVER"),"RT_FALSE")</f>
        <v>RT_FALSE</v>
      </c>
      <c r="AI554" s="1" t="str">
        <f>IF(AI$467,_xll.RtContribute(AI$403,AI$3&amp;"FX"&amp;$C524&amp;"SDF=","ASK",AI330,"SCOPE:SERVER"),"RT_FALSE")</f>
        <v>RT_FALSE</v>
      </c>
      <c r="AJ554" s="1" t="str">
        <f>IF(AJ$467,_xll.RtContribute(AJ$403,AJ$3&amp;"FX"&amp;$C524&amp;"SDF=","ASK",AJ330,"SCOPE:SERVER"),"RT_FALSE")</f>
        <v>RT_FALSE</v>
      </c>
      <c r="AK554" s="1" t="str">
        <f>IF(AK$467,_xll.RtContribute(AK$403,AK$3&amp;"FX"&amp;$C524&amp;"SDF=","ASK",AK330,"SCOPE:SERVER"),"RT_FALSE")</f>
        <v>RT_FALSE</v>
      </c>
      <c r="AL554" s="1" t="str">
        <f>IF(AL$467,_xll.RtContribute(AL$403,AL$3&amp;"FX"&amp;$C524&amp;"SDF=","ASK",AL330,"SCOPE:SERVER"),"RT_FALSE")</f>
        <v>RT_FALSE</v>
      </c>
      <c r="AM554" s="1" t="str">
        <f>IF(AM$467,_xll.RtContribute(AM$403,AM$3&amp;"FX"&amp;$C524&amp;"SDF=","ASK",AM330,"SCOPE:SERVER"),"RT_FALSE")</f>
        <v>RT_FALSE</v>
      </c>
      <c r="AN554" s="1" t="str">
        <f>IF(AN$467,_xll.RtContribute(AN$403,AN$3&amp;"FX"&amp;$C524&amp;"SDF=","ASK",AN330,"SCOPE:SERVER"),"RT_FALSE")</f>
        <v>RT_FALSE</v>
      </c>
      <c r="AO554" s="1" t="str">
        <f>IF(AO$467,_xll.RtContribute(AO$403,AO$3&amp;"FX"&amp;$C524&amp;"SDF=","ASK",AO330,"SCOPE:SERVER"),"RT_FALSE")</f>
        <v>RT_FALSE</v>
      </c>
      <c r="AP554" s="1" t="str">
        <f>IF(AP$467,_xll.RtContribute(AP$403,AP$3&amp;"FX"&amp;$C524&amp;"SDF=","ASK",AP330,"SCOPE:SERVER"),"RT_FALSE")</f>
        <v>RT_FALSE</v>
      </c>
    </row>
    <row r="555" spans="2:42" x14ac:dyDescent="0.2">
      <c r="C555" s="1" t="s">
        <v>160</v>
      </c>
      <c r="D555" s="1" t="str">
        <f>IF(D$467,_xll.RtContribute(D$403,D$3&amp;"FX"&amp;$C525&amp;"SDF=","BID",D47,"SCOPE:SERVER"),"RT_FALSE")</f>
        <v>RT_FALSE</v>
      </c>
      <c r="E555" s="1" t="str">
        <f>IF(E$467,_xll.RtContribute(E$403,E$3&amp;"FX"&amp;$C525&amp;"SDF=","ASK",E331,"SCOPE:SERVER"),"RT_FALSE")</f>
        <v>RT_FALSE</v>
      </c>
      <c r="F555" s="1" t="str">
        <f>IF(F$467,_xll.RtContribute(F$403,F$3&amp;"FX"&amp;$C525&amp;"SDF=","ASK",F331,"SCOPE:SERVER"),"RT_FALSE")</f>
        <v>RT_FALSE</v>
      </c>
      <c r="G555" s="1" t="str">
        <f>IF(G$467,_xll.RtContribute(G$403,G$3&amp;"FX"&amp;$C525&amp;"SDF=","ASK",G331,"SCOPE:SERVER"),"RT_FALSE")</f>
        <v>RT_FALSE</v>
      </c>
      <c r="H555" s="1" t="str">
        <f>IF(H$467,_xll.RtContribute(H$403,H$3&amp;"FX"&amp;$C525&amp;"SDF=","ASK",H331,"SCOPE:SERVER"),"RT_FALSE")</f>
        <v>RT_FALSE</v>
      </c>
      <c r="I555" s="1" t="str">
        <f>IF(I$467,_xll.RtContribute(I$403,I$3&amp;"FX"&amp;$C525&amp;"SDF=","ASK",I331,"SCOPE:SERVER"),"RT_FALSE")</f>
        <v>RT_FALSE</v>
      </c>
      <c r="J555" s="1" t="str">
        <f>IF(J$467,_xll.RtContribute(J$403,J$3&amp;"FX"&amp;$C525&amp;"SDF=","ASK",J331,"SCOPE:SERVER"),"RT_FALSE")</f>
        <v>RT_FALSE</v>
      </c>
      <c r="K555" s="1" t="str">
        <f>IF(K$467,_xll.RtContribute(K$403,K$3&amp;"FX"&amp;$C525&amp;"SDF=","ASK",K331,"SCOPE:SERVER"),"RT_FALSE")</f>
        <v>RT_FALSE</v>
      </c>
      <c r="L555" s="1" t="str">
        <f>IF(L$467,_xll.RtContribute(L$403,L$3&amp;"FX"&amp;$C525&amp;"SDF=","ASK",L331,"SCOPE:SERVER"),"RT_FALSE")</f>
        <v>RT_FALSE</v>
      </c>
      <c r="M555" s="1" t="str">
        <f>IF(M$467,_xll.RtContribute(M$403,M$3&amp;"FX"&amp;$C525&amp;"SDF=","ASK",M331,"SCOPE:SERVER"),"RT_FALSE")</f>
        <v>RT_FALSE</v>
      </c>
      <c r="N555" s="1" t="str">
        <f>IF(N$467,_xll.RtContribute(N$403,N$3&amp;"FX"&amp;$C525&amp;"SDF=","ASK",N331,"SCOPE:SERVER"),"RT_FALSE")</f>
        <v>RT_FALSE</v>
      </c>
      <c r="O555" s="1" t="str">
        <f>IF(O$467,_xll.RtContribute(O$403,O$3&amp;"FX"&amp;$C525&amp;"SDF=","ASK",O331,"SCOPE:SERVER"),"RT_FALSE")</f>
        <v>RT_FALSE</v>
      </c>
      <c r="P555" s="1" t="str">
        <f>IF(P$467,_xll.RtContribute(P$403,P$3&amp;"FX"&amp;$C525&amp;"SDF=","ASK",P331,"SCOPE:SERVER"),"RT_FALSE")</f>
        <v>RT_FALSE</v>
      </c>
      <c r="Q555" s="1" t="str">
        <f>IF(Q$467,_xll.RtContribute(Q$403,Q$3&amp;"FX"&amp;$C525&amp;"SDF=","ASK",Q331,"SCOPE:SERVER"),"RT_FALSE")</f>
        <v>RT_FALSE</v>
      </c>
      <c r="R555" s="1" t="str">
        <f>IF(R$467,_xll.RtContribute(R$403,R$3&amp;"FX"&amp;$C525&amp;"SDF=","ASK",R331,"SCOPE:SERVER"),"RT_FALSE")</f>
        <v>RT_FALSE</v>
      </c>
      <c r="S555" s="1" t="str">
        <f>IF(S$467,_xll.RtContribute(S$403,S$3&amp;"FX"&amp;$C525&amp;"SDF=","ASK",S331,"SCOPE:SERVER"),"RT_FALSE")</f>
        <v>RT_FALSE</v>
      </c>
      <c r="T555" s="1" t="str">
        <f>IF(T$467,_xll.RtContribute(T$403,T$3&amp;"FX"&amp;$C525&amp;"SDF=","ASK",T331,"SCOPE:SERVER"),"RT_FALSE")</f>
        <v>RT_FALSE</v>
      </c>
      <c r="U555" s="1" t="str">
        <f>IF(U$467,_xll.RtContribute(U$403,U$3&amp;"FX"&amp;$C525&amp;"SDF=","ASK",U331,"SCOPE:SERVER"),"RT_FALSE")</f>
        <v>RT_FALSE</v>
      </c>
      <c r="V555" s="1" t="str">
        <f>IF(V$467,_xll.RtContribute(V$403,V$3&amp;"FX"&amp;$C525&amp;"SDF=","ASK",V331,"SCOPE:SERVER"),"RT_FALSE")</f>
        <v>RT_FALSE</v>
      </c>
      <c r="W555" s="1" t="str">
        <f>IF(W$467,_xll.RtContribute(W$403,W$3&amp;"FX"&amp;$C525&amp;"SDF=","ASK",W331,"SCOPE:SERVER"),"RT_FALSE")</f>
        <v>RT_FALSE</v>
      </c>
      <c r="X555" s="1" t="str">
        <f>IF(X$467,_xll.RtContribute(X$403,X$3&amp;"FX"&amp;$C525&amp;"SDF=","ASK",X331,"SCOPE:SERVER"),"RT_FALSE")</f>
        <v>RT_FALSE</v>
      </c>
      <c r="Y555" s="1" t="str">
        <f>IF(Y$467,_xll.RtContribute(Y$403,Y$3&amp;"FX"&amp;$C525&amp;"SDF=","ASK",Y331,"SCOPE:SERVER"),"RT_FALSE")</f>
        <v>RT_FALSE</v>
      </c>
      <c r="Z555" s="1" t="str">
        <f>IF(Z$467,_xll.RtContribute(Z$403,Z$3&amp;"FX"&amp;$C525&amp;"SDF=","ASK",Z331,"SCOPE:SERVER"),"RT_FALSE")</f>
        <v>RT_FALSE</v>
      </c>
      <c r="AA555" s="1" t="str">
        <f>IF(AA$467,_xll.RtContribute(AA$403,AA$3&amp;"FX"&amp;$C525&amp;"SDF=","ASK",AA331,"SCOPE:SERVER"),"RT_FALSE")</f>
        <v>RT_FALSE</v>
      </c>
      <c r="AB555" s="1" t="str">
        <f>IF(AB$467,_xll.RtContribute(AB$403,AB$3&amp;"FX"&amp;$C525&amp;"SDF=","ASK",AB331,"SCOPE:SERVER"),"RT_FALSE")</f>
        <v>RT_FALSE</v>
      </c>
      <c r="AC555" s="1" t="str">
        <f>IF(AC$467,_xll.RtContribute(AC$403,AC$3&amp;"FX"&amp;$C525&amp;"SDF=","ASK",AC331,"SCOPE:SERVER"),"RT_FALSE")</f>
        <v>RT_FALSE</v>
      </c>
      <c r="AD555" s="1" t="str">
        <f>IF(AD$467,_xll.RtContribute(AD$403,AD$3&amp;"FX"&amp;$C525&amp;"SDF=","ASK",AD331,"SCOPE:SERVER"),"RT_FALSE")</f>
        <v>RT_FALSE</v>
      </c>
      <c r="AE555" s="1" t="str">
        <f>IF(AE$467,_xll.RtContribute(AE$403,AE$3&amp;"FX"&amp;$C525&amp;"SDF=","ASK",AE331,"SCOPE:SERVER"),"RT_FALSE")</f>
        <v>RT_FALSE</v>
      </c>
      <c r="AF555" s="1" t="str">
        <f>IF(AF$467,_xll.RtContribute(AF$403,AF$3&amp;"FX"&amp;$C525&amp;"SDF=","ASK",AF331,"SCOPE:SERVER"),"RT_FALSE")</f>
        <v>RT_FALSE</v>
      </c>
      <c r="AG555" s="1" t="str">
        <f>IF(AG$467,_xll.RtContribute(AG$403,AG$3&amp;"FX"&amp;$C525&amp;"SDF=","ASK",AG331,"SCOPE:SERVER"),"RT_FALSE")</f>
        <v>RT_FALSE</v>
      </c>
      <c r="AH555" s="1" t="str">
        <f>IF(AH$467,_xll.RtContribute(AH$403,AH$3&amp;"FX"&amp;$C525&amp;"SDF=","ASK",AH331,"SCOPE:SERVER"),"RT_FALSE")</f>
        <v>RT_FALSE</v>
      </c>
      <c r="AI555" s="1" t="str">
        <f>IF(AI$467,_xll.RtContribute(AI$403,AI$3&amp;"FX"&amp;$C525&amp;"SDF=","ASK",AI331,"SCOPE:SERVER"),"RT_FALSE")</f>
        <v>RT_FALSE</v>
      </c>
      <c r="AJ555" s="1" t="str">
        <f>IF(AJ$467,_xll.RtContribute(AJ$403,AJ$3&amp;"FX"&amp;$C525&amp;"SDF=","ASK",AJ331,"SCOPE:SERVER"),"RT_FALSE")</f>
        <v>RT_FALSE</v>
      </c>
      <c r="AK555" s="1" t="str">
        <f>IF(AK$467,_xll.RtContribute(AK$403,AK$3&amp;"FX"&amp;$C525&amp;"SDF=","ASK",AK331,"SCOPE:SERVER"),"RT_FALSE")</f>
        <v>RT_FALSE</v>
      </c>
      <c r="AL555" s="1" t="str">
        <f>IF(AL$467,_xll.RtContribute(AL$403,AL$3&amp;"FX"&amp;$C525&amp;"SDF=","ASK",AL331,"SCOPE:SERVER"),"RT_FALSE")</f>
        <v>RT_FALSE</v>
      </c>
      <c r="AM555" s="1" t="str">
        <f>IF(AM$467,_xll.RtContribute(AM$403,AM$3&amp;"FX"&amp;$C525&amp;"SDF=","ASK",AM331,"SCOPE:SERVER"),"RT_FALSE")</f>
        <v>RT_FALSE</v>
      </c>
      <c r="AN555" s="1" t="str">
        <f>IF(AN$467,_xll.RtContribute(AN$403,AN$3&amp;"FX"&amp;$C525&amp;"SDF=","ASK",AN331,"SCOPE:SERVER"),"RT_FALSE")</f>
        <v>RT_FALSE</v>
      </c>
      <c r="AO555" s="1" t="str">
        <f>IF(AO$467,_xll.RtContribute(AO$403,AO$3&amp;"FX"&amp;$C525&amp;"SDF=","ASK",AO331,"SCOPE:SERVER"),"RT_FALSE")</f>
        <v>RT_FALSE</v>
      </c>
      <c r="AP555" s="1" t="str">
        <f>IF(AP$467,_xll.RtContribute(AP$403,AP$3&amp;"FX"&amp;$C525&amp;"SDF=","ASK",AP331,"SCOPE:SERVER"),"RT_FALSE")</f>
        <v>RT_FALSE</v>
      </c>
    </row>
    <row r="556" spans="2:42" x14ac:dyDescent="0.2">
      <c r="C556" s="1" t="s">
        <v>162</v>
      </c>
      <c r="D556" s="1" t="str">
        <f>IF(D$467,_xll.RtContribute(D$403,D$3&amp;"FX"&amp;$C526&amp;"SDF=","BID",D48,"SCOPE:SERVER"),"RT_FALSE")</f>
        <v>RT_FALSE</v>
      </c>
      <c r="E556" s="1" t="str">
        <f>IF(E$467,_xll.RtContribute(E$403,E$3&amp;"FX"&amp;$C526&amp;"SDF=","ASK",E332,"SCOPE:SERVER"),"RT_FALSE")</f>
        <v>RT_FALSE</v>
      </c>
      <c r="F556" s="1" t="str">
        <f>IF(F$467,_xll.RtContribute(F$403,F$3&amp;"FX"&amp;$C526&amp;"SDF=","ASK",F332,"SCOPE:SERVER"),"RT_FALSE")</f>
        <v>RT_FALSE</v>
      </c>
      <c r="G556" s="1" t="str">
        <f>IF(G$467,_xll.RtContribute(G$403,G$3&amp;"FX"&amp;$C526&amp;"SDF=","ASK",G332,"SCOPE:SERVER"),"RT_FALSE")</f>
        <v>RT_FALSE</v>
      </c>
      <c r="H556" s="1" t="str">
        <f>IF(H$467,_xll.RtContribute(H$403,H$3&amp;"FX"&amp;$C526&amp;"SDF=","ASK",H332,"SCOPE:SERVER"),"RT_FALSE")</f>
        <v>RT_FALSE</v>
      </c>
      <c r="I556" s="1" t="str">
        <f>IF(I$467,_xll.RtContribute(I$403,I$3&amp;"FX"&amp;$C526&amp;"SDF=","ASK",I332,"SCOPE:SERVER"),"RT_FALSE")</f>
        <v>RT_FALSE</v>
      </c>
      <c r="J556" s="1" t="str">
        <f>IF(J$467,_xll.RtContribute(J$403,J$3&amp;"FX"&amp;$C526&amp;"SDF=","ASK",J332,"SCOPE:SERVER"),"RT_FALSE")</f>
        <v>RT_FALSE</v>
      </c>
      <c r="K556" s="1" t="str">
        <f>IF(K$467,_xll.RtContribute(K$403,K$3&amp;"FX"&amp;$C526&amp;"SDF=","ASK",K332,"SCOPE:SERVER"),"RT_FALSE")</f>
        <v>RT_FALSE</v>
      </c>
      <c r="L556" s="1" t="str">
        <f>IF(L$467,_xll.RtContribute(L$403,L$3&amp;"FX"&amp;$C526&amp;"SDF=","ASK",L332,"SCOPE:SERVER"),"RT_FALSE")</f>
        <v>RT_FALSE</v>
      </c>
      <c r="M556" s="1" t="str">
        <f>IF(M$467,_xll.RtContribute(M$403,M$3&amp;"FX"&amp;$C526&amp;"SDF=","ASK",M332,"SCOPE:SERVER"),"RT_FALSE")</f>
        <v>RT_FALSE</v>
      </c>
      <c r="N556" s="1" t="str">
        <f>IF(N$467,_xll.RtContribute(N$403,N$3&amp;"FX"&amp;$C526&amp;"SDF=","ASK",N332,"SCOPE:SERVER"),"RT_FALSE")</f>
        <v>RT_FALSE</v>
      </c>
      <c r="O556" s="1" t="str">
        <f>IF(O$467,_xll.RtContribute(O$403,O$3&amp;"FX"&amp;$C526&amp;"SDF=","ASK",O332,"SCOPE:SERVER"),"RT_FALSE")</f>
        <v>RT_FALSE</v>
      </c>
      <c r="P556" s="1" t="str">
        <f>IF(P$467,_xll.RtContribute(P$403,P$3&amp;"FX"&amp;$C526&amp;"SDF=","ASK",P332,"SCOPE:SERVER"),"RT_FALSE")</f>
        <v>RT_FALSE</v>
      </c>
      <c r="Q556" s="1" t="str">
        <f>IF(Q$467,_xll.RtContribute(Q$403,Q$3&amp;"FX"&amp;$C526&amp;"SDF=","ASK",Q332,"SCOPE:SERVER"),"RT_FALSE")</f>
        <v>RT_FALSE</v>
      </c>
      <c r="R556" s="1" t="str">
        <f>IF(R$467,_xll.RtContribute(R$403,R$3&amp;"FX"&amp;$C526&amp;"SDF=","ASK",R332,"SCOPE:SERVER"),"RT_FALSE")</f>
        <v>RT_FALSE</v>
      </c>
      <c r="S556" s="1" t="str">
        <f>IF(S$467,_xll.RtContribute(S$403,S$3&amp;"FX"&amp;$C526&amp;"SDF=","ASK",S332,"SCOPE:SERVER"),"RT_FALSE")</f>
        <v>RT_FALSE</v>
      </c>
      <c r="T556" s="1" t="str">
        <f>IF(T$467,_xll.RtContribute(T$403,T$3&amp;"FX"&amp;$C526&amp;"SDF=","ASK",T332,"SCOPE:SERVER"),"RT_FALSE")</f>
        <v>RT_FALSE</v>
      </c>
      <c r="U556" s="1" t="str">
        <f>IF(U$467,_xll.RtContribute(U$403,U$3&amp;"FX"&amp;$C526&amp;"SDF=","ASK",U332,"SCOPE:SERVER"),"RT_FALSE")</f>
        <v>RT_FALSE</v>
      </c>
      <c r="V556" s="1" t="str">
        <f>IF(V$467,_xll.RtContribute(V$403,V$3&amp;"FX"&amp;$C526&amp;"SDF=","ASK",V332,"SCOPE:SERVER"),"RT_FALSE")</f>
        <v>RT_FALSE</v>
      </c>
      <c r="W556" s="1" t="str">
        <f>IF(W$467,_xll.RtContribute(W$403,W$3&amp;"FX"&amp;$C526&amp;"SDF=","ASK",W332,"SCOPE:SERVER"),"RT_FALSE")</f>
        <v>RT_FALSE</v>
      </c>
      <c r="X556" s="1" t="str">
        <f>IF(X$467,_xll.RtContribute(X$403,X$3&amp;"FX"&amp;$C526&amp;"SDF=","ASK",X332,"SCOPE:SERVER"),"RT_FALSE")</f>
        <v>RT_FALSE</v>
      </c>
      <c r="Y556" s="1" t="str">
        <f>IF(Y$467,_xll.RtContribute(Y$403,Y$3&amp;"FX"&amp;$C526&amp;"SDF=","ASK",Y332,"SCOPE:SERVER"),"RT_FALSE")</f>
        <v>RT_FALSE</v>
      </c>
      <c r="Z556" s="1" t="str">
        <f>IF(Z$467,_xll.RtContribute(Z$403,Z$3&amp;"FX"&amp;$C526&amp;"SDF=","ASK",Z332,"SCOPE:SERVER"),"RT_FALSE")</f>
        <v>RT_FALSE</v>
      </c>
      <c r="AA556" s="1" t="str">
        <f>IF(AA$467,_xll.RtContribute(AA$403,AA$3&amp;"FX"&amp;$C526&amp;"SDF=","ASK",AA332,"SCOPE:SERVER"),"RT_FALSE")</f>
        <v>RT_FALSE</v>
      </c>
      <c r="AB556" s="1" t="str">
        <f>IF(AB$467,_xll.RtContribute(AB$403,AB$3&amp;"FX"&amp;$C526&amp;"SDF=","ASK",AB332,"SCOPE:SERVER"),"RT_FALSE")</f>
        <v>RT_FALSE</v>
      </c>
      <c r="AC556" s="1" t="str">
        <f>IF(AC$467,_xll.RtContribute(AC$403,AC$3&amp;"FX"&amp;$C526&amp;"SDF=","ASK",AC332,"SCOPE:SERVER"),"RT_FALSE")</f>
        <v>RT_FALSE</v>
      </c>
      <c r="AD556" s="1" t="str">
        <f>IF(AD$467,_xll.RtContribute(AD$403,AD$3&amp;"FX"&amp;$C526&amp;"SDF=","ASK",AD332,"SCOPE:SERVER"),"RT_FALSE")</f>
        <v>RT_FALSE</v>
      </c>
      <c r="AE556" s="1" t="str">
        <f>IF(AE$467,_xll.RtContribute(AE$403,AE$3&amp;"FX"&amp;$C526&amp;"SDF=","ASK",AE332,"SCOPE:SERVER"),"RT_FALSE")</f>
        <v>RT_FALSE</v>
      </c>
      <c r="AF556" s="1" t="str">
        <f>IF(AF$467,_xll.RtContribute(AF$403,AF$3&amp;"FX"&amp;$C526&amp;"SDF=","ASK",AF332,"SCOPE:SERVER"),"RT_FALSE")</f>
        <v>RT_FALSE</v>
      </c>
      <c r="AG556" s="1" t="str">
        <f>IF(AG$467,_xll.RtContribute(AG$403,AG$3&amp;"FX"&amp;$C526&amp;"SDF=","ASK",AG332,"SCOPE:SERVER"),"RT_FALSE")</f>
        <v>RT_FALSE</v>
      </c>
      <c r="AH556" s="1" t="str">
        <f>IF(AH$467,_xll.RtContribute(AH$403,AH$3&amp;"FX"&amp;$C526&amp;"SDF=","ASK",AH332,"SCOPE:SERVER"),"RT_FALSE")</f>
        <v>RT_FALSE</v>
      </c>
      <c r="AI556" s="1" t="str">
        <f>IF(AI$467,_xll.RtContribute(AI$403,AI$3&amp;"FX"&amp;$C526&amp;"SDF=","ASK",AI332,"SCOPE:SERVER"),"RT_FALSE")</f>
        <v>RT_FALSE</v>
      </c>
      <c r="AJ556" s="1" t="str">
        <f>IF(AJ$467,_xll.RtContribute(AJ$403,AJ$3&amp;"FX"&amp;$C526&amp;"SDF=","ASK",AJ332,"SCOPE:SERVER"),"RT_FALSE")</f>
        <v>RT_FALSE</v>
      </c>
      <c r="AK556" s="1" t="str">
        <f>IF(AK$467,_xll.RtContribute(AK$403,AK$3&amp;"FX"&amp;$C526&amp;"SDF=","ASK",AK332,"SCOPE:SERVER"),"RT_FALSE")</f>
        <v>RT_FALSE</v>
      </c>
      <c r="AL556" s="1" t="str">
        <f>IF(AL$467,_xll.RtContribute(AL$403,AL$3&amp;"FX"&amp;$C526&amp;"SDF=","ASK",AL332,"SCOPE:SERVER"),"RT_FALSE")</f>
        <v>RT_FALSE</v>
      </c>
      <c r="AM556" s="1" t="str">
        <f>IF(AM$467,_xll.RtContribute(AM$403,AM$3&amp;"FX"&amp;$C526&amp;"SDF=","ASK",AM332,"SCOPE:SERVER"),"RT_FALSE")</f>
        <v>RT_FALSE</v>
      </c>
      <c r="AN556" s="1" t="str">
        <f>IF(AN$467,_xll.RtContribute(AN$403,AN$3&amp;"FX"&amp;$C526&amp;"SDF=","ASK",AN332,"SCOPE:SERVER"),"RT_FALSE")</f>
        <v>RT_FALSE</v>
      </c>
      <c r="AO556" s="1" t="str">
        <f>IF(AO$467,_xll.RtContribute(AO$403,AO$3&amp;"FX"&amp;$C526&amp;"SDF=","ASK",AO332,"SCOPE:SERVER"),"RT_FALSE")</f>
        <v>RT_FALSE</v>
      </c>
      <c r="AP556" s="1" t="str">
        <f>IF(AP$467,_xll.RtContribute(AP$403,AP$3&amp;"FX"&amp;$C526&amp;"SDF=","ASK",AP332,"SCOPE:SERVER"),"RT_FALSE")</f>
        <v>RT_FALSE</v>
      </c>
    </row>
    <row r="557" spans="2:42" x14ac:dyDescent="0.2">
      <c r="C557" s="1" t="s">
        <v>164</v>
      </c>
      <c r="D557" s="1" t="str">
        <f>IF(D$467,_xll.RtContribute(D$403,D$3&amp;"FX"&amp;$C527&amp;"SDF=","BID",D49,"SCOPE:SERVER"),"RT_FALSE")</f>
        <v>RT_FALSE</v>
      </c>
      <c r="E557" s="1" t="str">
        <f>IF(E$467,_xll.RtContribute(E$403,E$3&amp;"FX"&amp;$C527&amp;"SDF=","ASK",E333,"SCOPE:SERVER"),"RT_FALSE")</f>
        <v>RT_FALSE</v>
      </c>
      <c r="F557" s="1" t="str">
        <f>IF(F$467,_xll.RtContribute(F$403,F$3&amp;"FX"&amp;$C527&amp;"SDF=","ASK",F333,"SCOPE:SERVER"),"RT_FALSE")</f>
        <v>RT_FALSE</v>
      </c>
      <c r="G557" s="1" t="str">
        <f>IF(G$467,_xll.RtContribute(G$403,G$3&amp;"FX"&amp;$C527&amp;"SDF=","ASK",G333,"SCOPE:SERVER"),"RT_FALSE")</f>
        <v>RT_FALSE</v>
      </c>
      <c r="H557" s="1" t="str">
        <f>IF(H$467,_xll.RtContribute(H$403,H$3&amp;"FX"&amp;$C527&amp;"SDF=","ASK",H333,"SCOPE:SERVER"),"RT_FALSE")</f>
        <v>RT_FALSE</v>
      </c>
      <c r="I557" s="1" t="str">
        <f>IF(I$467,_xll.RtContribute(I$403,I$3&amp;"FX"&amp;$C527&amp;"SDF=","ASK",I333,"SCOPE:SERVER"),"RT_FALSE")</f>
        <v>RT_FALSE</v>
      </c>
      <c r="J557" s="1" t="str">
        <f>IF(J$467,_xll.RtContribute(J$403,J$3&amp;"FX"&amp;$C527&amp;"SDF=","ASK",J333,"SCOPE:SERVER"),"RT_FALSE")</f>
        <v>RT_FALSE</v>
      </c>
      <c r="K557" s="1" t="str">
        <f>IF(K$467,_xll.RtContribute(K$403,K$3&amp;"FX"&amp;$C527&amp;"SDF=","ASK",K333,"SCOPE:SERVER"),"RT_FALSE")</f>
        <v>RT_FALSE</v>
      </c>
      <c r="L557" s="1" t="str">
        <f>IF(L$467,_xll.RtContribute(L$403,L$3&amp;"FX"&amp;$C527&amp;"SDF=","ASK",L333,"SCOPE:SERVER"),"RT_FALSE")</f>
        <v>RT_FALSE</v>
      </c>
      <c r="M557" s="1" t="str">
        <f>IF(M$467,_xll.RtContribute(M$403,M$3&amp;"FX"&amp;$C527&amp;"SDF=","ASK",M333,"SCOPE:SERVER"),"RT_FALSE")</f>
        <v>RT_FALSE</v>
      </c>
      <c r="N557" s="1" t="str">
        <f>IF(N$467,_xll.RtContribute(N$403,N$3&amp;"FX"&amp;$C527&amp;"SDF=","ASK",N333,"SCOPE:SERVER"),"RT_FALSE")</f>
        <v>RT_FALSE</v>
      </c>
      <c r="O557" s="1" t="str">
        <f>IF(O$467,_xll.RtContribute(O$403,O$3&amp;"FX"&amp;$C527&amp;"SDF=","ASK",O333,"SCOPE:SERVER"),"RT_FALSE")</f>
        <v>RT_FALSE</v>
      </c>
      <c r="P557" s="1" t="str">
        <f>IF(P$467,_xll.RtContribute(P$403,P$3&amp;"FX"&amp;$C527&amp;"SDF=","ASK",P333,"SCOPE:SERVER"),"RT_FALSE")</f>
        <v>RT_FALSE</v>
      </c>
      <c r="Q557" s="1" t="str">
        <f>IF(Q$467,_xll.RtContribute(Q$403,Q$3&amp;"FX"&amp;$C527&amp;"SDF=","ASK",Q333,"SCOPE:SERVER"),"RT_FALSE")</f>
        <v>RT_FALSE</v>
      </c>
      <c r="R557" s="1" t="str">
        <f>IF(R$467,_xll.RtContribute(R$403,R$3&amp;"FX"&amp;$C527&amp;"SDF=","ASK",R333,"SCOPE:SERVER"),"RT_FALSE")</f>
        <v>RT_FALSE</v>
      </c>
      <c r="S557" s="1" t="str">
        <f>IF(S$467,_xll.RtContribute(S$403,S$3&amp;"FX"&amp;$C527&amp;"SDF=","ASK",S333,"SCOPE:SERVER"),"RT_FALSE")</f>
        <v>RT_FALSE</v>
      </c>
      <c r="T557" s="1" t="str">
        <f>IF(T$467,_xll.RtContribute(T$403,T$3&amp;"FX"&amp;$C527&amp;"SDF=","ASK",T333,"SCOPE:SERVER"),"RT_FALSE")</f>
        <v>RT_FALSE</v>
      </c>
      <c r="U557" s="1" t="str">
        <f>IF(U$467,_xll.RtContribute(U$403,U$3&amp;"FX"&amp;$C527&amp;"SDF=","ASK",U333,"SCOPE:SERVER"),"RT_FALSE")</f>
        <v>RT_FALSE</v>
      </c>
      <c r="V557" s="1" t="str">
        <f>IF(V$467,_xll.RtContribute(V$403,V$3&amp;"FX"&amp;$C527&amp;"SDF=","ASK",V333,"SCOPE:SERVER"),"RT_FALSE")</f>
        <v>RT_FALSE</v>
      </c>
      <c r="W557" s="1" t="str">
        <f>IF(W$467,_xll.RtContribute(W$403,W$3&amp;"FX"&amp;$C527&amp;"SDF=","ASK",W333,"SCOPE:SERVER"),"RT_FALSE")</f>
        <v>RT_FALSE</v>
      </c>
      <c r="X557" s="1" t="str">
        <f>IF(X$467,_xll.RtContribute(X$403,X$3&amp;"FX"&amp;$C527&amp;"SDF=","ASK",X333,"SCOPE:SERVER"),"RT_FALSE")</f>
        <v>RT_FALSE</v>
      </c>
      <c r="Y557" s="1" t="str">
        <f>IF(Y$467,_xll.RtContribute(Y$403,Y$3&amp;"FX"&amp;$C527&amp;"SDF=","ASK",Y333,"SCOPE:SERVER"),"RT_FALSE")</f>
        <v>RT_FALSE</v>
      </c>
      <c r="Z557" s="1" t="str">
        <f>IF(Z$467,_xll.RtContribute(Z$403,Z$3&amp;"FX"&amp;$C527&amp;"SDF=","ASK",Z333,"SCOPE:SERVER"),"RT_FALSE")</f>
        <v>RT_FALSE</v>
      </c>
      <c r="AA557" s="1" t="str">
        <f>IF(AA$467,_xll.RtContribute(AA$403,AA$3&amp;"FX"&amp;$C527&amp;"SDF=","ASK",AA333,"SCOPE:SERVER"),"RT_FALSE")</f>
        <v>RT_FALSE</v>
      </c>
      <c r="AB557" s="1" t="str">
        <f>IF(AB$467,_xll.RtContribute(AB$403,AB$3&amp;"FX"&amp;$C527&amp;"SDF=","ASK",AB333,"SCOPE:SERVER"),"RT_FALSE")</f>
        <v>RT_FALSE</v>
      </c>
      <c r="AC557" s="1" t="str">
        <f>IF(AC$467,_xll.RtContribute(AC$403,AC$3&amp;"FX"&amp;$C527&amp;"SDF=","ASK",AC333,"SCOPE:SERVER"),"RT_FALSE")</f>
        <v>RT_FALSE</v>
      </c>
      <c r="AD557" s="1" t="str">
        <f>IF(AD$467,_xll.RtContribute(AD$403,AD$3&amp;"FX"&amp;$C527&amp;"SDF=","ASK",AD333,"SCOPE:SERVER"),"RT_FALSE")</f>
        <v>RT_FALSE</v>
      </c>
      <c r="AE557" s="1" t="str">
        <f>IF(AE$467,_xll.RtContribute(AE$403,AE$3&amp;"FX"&amp;$C527&amp;"SDF=","ASK",AE333,"SCOPE:SERVER"),"RT_FALSE")</f>
        <v>RT_FALSE</v>
      </c>
      <c r="AF557" s="1" t="str">
        <f>IF(AF$467,_xll.RtContribute(AF$403,AF$3&amp;"FX"&amp;$C527&amp;"SDF=","ASK",AF333,"SCOPE:SERVER"),"RT_FALSE")</f>
        <v>RT_FALSE</v>
      </c>
      <c r="AG557" s="1" t="str">
        <f>IF(AG$467,_xll.RtContribute(AG$403,AG$3&amp;"FX"&amp;$C527&amp;"SDF=","ASK",AG333,"SCOPE:SERVER"),"RT_FALSE")</f>
        <v>RT_FALSE</v>
      </c>
      <c r="AH557" s="1" t="str">
        <f>IF(AH$467,_xll.RtContribute(AH$403,AH$3&amp;"FX"&amp;$C527&amp;"SDF=","ASK",AH333,"SCOPE:SERVER"),"RT_FALSE")</f>
        <v>RT_FALSE</v>
      </c>
      <c r="AI557" s="1" t="str">
        <f>IF(AI$467,_xll.RtContribute(AI$403,AI$3&amp;"FX"&amp;$C527&amp;"SDF=","ASK",AI333,"SCOPE:SERVER"),"RT_FALSE")</f>
        <v>RT_FALSE</v>
      </c>
      <c r="AJ557" s="1" t="str">
        <f>IF(AJ$467,_xll.RtContribute(AJ$403,AJ$3&amp;"FX"&amp;$C527&amp;"SDF=","ASK",AJ333,"SCOPE:SERVER"),"RT_FALSE")</f>
        <v>RT_FALSE</v>
      </c>
      <c r="AK557" s="1" t="str">
        <f>IF(AK$467,_xll.RtContribute(AK$403,AK$3&amp;"FX"&amp;$C527&amp;"SDF=","ASK",AK333,"SCOPE:SERVER"),"RT_FALSE")</f>
        <v>RT_FALSE</v>
      </c>
      <c r="AL557" s="1" t="str">
        <f>IF(AL$467,_xll.RtContribute(AL$403,AL$3&amp;"FX"&amp;$C527&amp;"SDF=","ASK",AL333,"SCOPE:SERVER"),"RT_FALSE")</f>
        <v>RT_FALSE</v>
      </c>
      <c r="AM557" s="1" t="str">
        <f>IF(AM$467,_xll.RtContribute(AM$403,AM$3&amp;"FX"&amp;$C527&amp;"SDF=","ASK",AM333,"SCOPE:SERVER"),"RT_FALSE")</f>
        <v>RT_FALSE</v>
      </c>
      <c r="AN557" s="1" t="str">
        <f>IF(AN$467,_xll.RtContribute(AN$403,AN$3&amp;"FX"&amp;$C527&amp;"SDF=","ASK",AN333,"SCOPE:SERVER"),"RT_FALSE")</f>
        <v>RT_FALSE</v>
      </c>
      <c r="AO557" s="1" t="str">
        <f>IF(AO$467,_xll.RtContribute(AO$403,AO$3&amp;"FX"&amp;$C527&amp;"SDF=","ASK",AO333,"SCOPE:SERVER"),"RT_FALSE")</f>
        <v>RT_FALSE</v>
      </c>
      <c r="AP557" s="1" t="str">
        <f>IF(AP$467,_xll.RtContribute(AP$403,AP$3&amp;"FX"&amp;$C527&amp;"SDF=","ASK",AP333,"SCOPE:SERVER"),"RT_FALSE")</f>
        <v>RT_FALSE</v>
      </c>
    </row>
  </sheetData>
  <conditionalFormatting sqref="E273:M273">
    <cfRule type="expression" dxfId="35" priority="39">
      <formula>PanicDF_Switch=FALSE</formula>
    </cfRule>
  </conditionalFormatting>
  <conditionalFormatting sqref="N273">
    <cfRule type="expression" dxfId="34" priority="38">
      <formula>PanicDF_Switch=FALSE</formula>
    </cfRule>
  </conditionalFormatting>
  <conditionalFormatting sqref="O273">
    <cfRule type="expression" dxfId="33" priority="37">
      <formula>PanicDF_Switch=FALSE</formula>
    </cfRule>
  </conditionalFormatting>
  <conditionalFormatting sqref="P273">
    <cfRule type="expression" dxfId="32" priority="36">
      <formula>PanicDF_Switch=FALSE</formula>
    </cfRule>
  </conditionalFormatting>
  <conditionalFormatting sqref="Q273">
    <cfRule type="expression" dxfId="31" priority="35">
      <formula>PanicDF_Switch=FALSE</formula>
    </cfRule>
  </conditionalFormatting>
  <conditionalFormatting sqref="R273">
    <cfRule type="expression" dxfId="30" priority="34">
      <formula>PanicDF_Switch=FALSE</formula>
    </cfRule>
  </conditionalFormatting>
  <conditionalFormatting sqref="S273">
    <cfRule type="expression" dxfId="29" priority="33">
      <formula>PanicDF_Switch=FALSE</formula>
    </cfRule>
  </conditionalFormatting>
  <conditionalFormatting sqref="T273">
    <cfRule type="expression" dxfId="28" priority="32">
      <formula>PanicDF_Switch=FALSE</formula>
    </cfRule>
  </conditionalFormatting>
  <conditionalFormatting sqref="U273">
    <cfRule type="expression" dxfId="27" priority="31">
      <formula>PanicDF_Switch=FALSE</formula>
    </cfRule>
  </conditionalFormatting>
  <conditionalFormatting sqref="V273">
    <cfRule type="expression" dxfId="26" priority="30">
      <formula>PanicDF_Switch=FALSE</formula>
    </cfRule>
  </conditionalFormatting>
  <conditionalFormatting sqref="W273">
    <cfRule type="expression" dxfId="25" priority="29">
      <formula>PanicDF_Switch=FALSE</formula>
    </cfRule>
  </conditionalFormatting>
  <conditionalFormatting sqref="AA273">
    <cfRule type="expression" dxfId="24" priority="24">
      <formula>PanicDF_Switch=FALSE</formula>
    </cfRule>
  </conditionalFormatting>
  <conditionalFormatting sqref="X273">
    <cfRule type="expression" dxfId="23" priority="27">
      <formula>PanicDF_Switch=FALSE</formula>
    </cfRule>
  </conditionalFormatting>
  <conditionalFormatting sqref="Y273">
    <cfRule type="expression" dxfId="22" priority="26">
      <formula>PanicDF_Switch=FALSE</formula>
    </cfRule>
  </conditionalFormatting>
  <conditionalFormatting sqref="Z273">
    <cfRule type="expression" dxfId="21" priority="25">
      <formula>PanicDF_Switch=FALSE</formula>
    </cfRule>
  </conditionalFormatting>
  <conditionalFormatting sqref="AP273">
    <cfRule type="expression" dxfId="20" priority="9">
      <formula>PanicDF_Switch=FALSE</formula>
    </cfRule>
  </conditionalFormatting>
  <conditionalFormatting sqref="AB273">
    <cfRule type="expression" dxfId="19" priority="23">
      <formula>PanicDF_Switch=FALSE</formula>
    </cfRule>
  </conditionalFormatting>
  <conditionalFormatting sqref="AC273">
    <cfRule type="expression" dxfId="18" priority="22">
      <formula>PanicDF_Switch=FALSE</formula>
    </cfRule>
  </conditionalFormatting>
  <conditionalFormatting sqref="AD273">
    <cfRule type="expression" dxfId="17" priority="21">
      <formula>PanicDF_Switch=FALSE</formula>
    </cfRule>
  </conditionalFormatting>
  <conditionalFormatting sqref="AE273">
    <cfRule type="expression" dxfId="16" priority="20">
      <formula>PanicDF_Switch=FALSE</formula>
    </cfRule>
  </conditionalFormatting>
  <conditionalFormatting sqref="AF273">
    <cfRule type="expression" dxfId="15" priority="19">
      <formula>PanicDF_Switch=FALSE</formula>
    </cfRule>
  </conditionalFormatting>
  <conditionalFormatting sqref="AG273">
    <cfRule type="expression" dxfId="14" priority="18">
      <formula>PanicDF_Switch=FALSE</formula>
    </cfRule>
  </conditionalFormatting>
  <conditionalFormatting sqref="AH273">
    <cfRule type="expression" dxfId="13" priority="17">
      <formula>PanicDF_Switch=FALSE</formula>
    </cfRule>
  </conditionalFormatting>
  <conditionalFormatting sqref="AI273">
    <cfRule type="expression" dxfId="12" priority="16">
      <formula>PanicDF_Switch=FALSE</formula>
    </cfRule>
  </conditionalFormatting>
  <conditionalFormatting sqref="AJ273">
    <cfRule type="expression" dxfId="11" priority="15">
      <formula>PanicDF_Switch=FALSE</formula>
    </cfRule>
  </conditionalFormatting>
  <conditionalFormatting sqref="AK273">
    <cfRule type="expression" dxfId="10" priority="14">
      <formula>PanicDF_Switch=FALSE</formula>
    </cfRule>
  </conditionalFormatting>
  <conditionalFormatting sqref="AL273">
    <cfRule type="expression" dxfId="9" priority="13">
      <formula>PanicDF_Switch=FALSE</formula>
    </cfRule>
  </conditionalFormatting>
  <conditionalFormatting sqref="AM273">
    <cfRule type="expression" dxfId="8" priority="12">
      <formula>PanicDF_Switch=FALSE</formula>
    </cfRule>
  </conditionalFormatting>
  <conditionalFormatting sqref="AN273">
    <cfRule type="expression" dxfId="7" priority="11">
      <formula>PanicDF_Switch=FALSE</formula>
    </cfRule>
  </conditionalFormatting>
  <conditionalFormatting sqref="AO273">
    <cfRule type="expression" dxfId="6" priority="10">
      <formula>PanicDF_Switch=FALSE</formula>
    </cfRule>
  </conditionalFormatting>
  <conditionalFormatting sqref="D490:T490 U469:AP497">
    <cfRule type="expression" dxfId="5" priority="8">
      <formula>LEFT(D469,1)="F"</formula>
    </cfRule>
  </conditionalFormatting>
  <conditionalFormatting sqref="D491:T497 D469:T489">
    <cfRule type="expression" dxfId="4" priority="6">
      <formula>LEFT(D469,1)="F"</formula>
    </cfRule>
  </conditionalFormatting>
  <conditionalFormatting sqref="D499:T519 D521:T527">
    <cfRule type="expression" dxfId="3" priority="3">
      <formula>LEFT(D499,1)="F"</formula>
    </cfRule>
  </conditionalFormatting>
  <conditionalFormatting sqref="D529:T549 D551:T557">
    <cfRule type="expression" dxfId="2" priority="1">
      <formula>LEFT(D529,1)="F"</formula>
    </cfRule>
  </conditionalFormatting>
  <conditionalFormatting sqref="D520:T520 U499:AP527">
    <cfRule type="expression" dxfId="1" priority="4">
      <formula>LEFT(D499,1)="F"</formula>
    </cfRule>
  </conditionalFormatting>
  <conditionalFormatting sqref="D550:T550 U529:AP557">
    <cfRule type="expression" dxfId="0" priority="2">
      <formula>LEFT(D529,1)="F"</formula>
    </cfRule>
  </conditionalFormatting>
  <dataValidations disablePrompts="1" count="3">
    <dataValidation type="list" allowBlank="1" showInputMessage="1" showErrorMessage="1" sqref="D9">
      <formula1>"BBG, Reuters"</formula1>
    </dataValidation>
    <dataValidation type="list" allowBlank="1" showInputMessage="1" showErrorMessage="1" sqref="C335">
      <formula1>"MI,HK"</formula1>
    </dataValidation>
    <dataValidation type="list" allowBlank="1" showInputMessage="1" showErrorMessage="1" sqref="D402:AP402">
      <formula1>Tenors_set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Console</vt:lpstr>
      <vt:lpstr>EUR</vt:lpstr>
      <vt:lpstr>Ccys</vt:lpstr>
      <vt:lpstr>Calendar</vt:lpstr>
      <vt:lpstr>Ccys_Incipit</vt:lpstr>
      <vt:lpstr>Currency</vt:lpstr>
      <vt:lpstr>curveName</vt:lpstr>
      <vt:lpstr>disc_refresh</vt:lpstr>
      <vt:lpstr>doCalc</vt:lpstr>
      <vt:lpstr>EURCurve</vt:lpstr>
      <vt:lpstr>EURFrozenHK</vt:lpstr>
      <vt:lpstr>EURFrozenMI</vt:lpstr>
      <vt:lpstr>exoDisc</vt:lpstr>
      <vt:lpstr>nDepos</vt:lpstr>
      <vt:lpstr>nFut</vt:lpstr>
      <vt:lpstr>nSwap</vt:lpstr>
      <vt:lpstr>PanicDF_Switch</vt:lpstr>
      <vt:lpstr>Ref_HK_Spot</vt:lpstr>
      <vt:lpstr>Ref_MI_Spot</vt:lpstr>
      <vt:lpstr>RT_DF_Switch</vt:lpstr>
      <vt:lpstr>RT_Switch</vt:lpstr>
      <vt:lpstr>Scheduler</vt:lpstr>
      <vt:lpstr>Scheduler_Loop</vt:lpstr>
      <vt:lpstr>Settlement</vt:lpstr>
      <vt:lpstr>Spot_Incipit</vt:lpstr>
      <vt:lpstr>stubRate</vt:lpstr>
      <vt:lpstr>Swap_Incipit</vt:lpstr>
      <vt:lpstr>Swap_Incipit_Reference_HK</vt:lpstr>
      <vt:lpstr>Swap_Incipit_Reference_MI</vt:lpstr>
      <vt:lpstr>Tenors_set</vt:lpstr>
      <vt:lpstr>today</vt:lpstr>
      <vt:lpstr>USDCurve</vt:lpstr>
      <vt:lpstr>USDFrozenHK</vt:lpstr>
      <vt:lpstr>USDFrozenMI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FERRARIO FRANCESCO</dc:creator>
  <cp:lastModifiedBy>FERRARIO FRANCESCO</cp:lastModifiedBy>
  <dcterms:created xsi:type="dcterms:W3CDTF">2016-12-28T13:56:23Z</dcterms:created>
  <dcterms:modified xsi:type="dcterms:W3CDTF">2017-01-19T09:51:04Z</dcterms:modified>
</cp:coreProperties>
</file>