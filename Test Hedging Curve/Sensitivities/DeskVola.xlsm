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60" yWindow="285" windowWidth="13380" windowHeight="9540" activeTab="1"/>
  </bookViews>
  <sheets>
    <sheet name="Curve Configuration" sheetId="1" r:id="rId1"/>
    <sheet name="SensCalc" sheetId="2" r:id="rId2"/>
    <sheet name="Instrument" sheetId="3" r:id="rId3"/>
  </sheets>
  <definedNames>
    <definedName name="calendar">SensCalc!$V$9</definedName>
    <definedName name="daycounter">SensCalc!$F$1</definedName>
    <definedName name="engine">SensCalc!$O$1</definedName>
    <definedName name="evaluationdate">SensCalc!$V$8</definedName>
    <definedName name="hiborindex">SensCalc!$V$4</definedName>
    <definedName name="tenor">SensCalc!$V$2</definedName>
    <definedName name="trigger">'Curve Configuration'!$T$2</definedName>
    <definedName name="yieldcurve">SensCalc!$V$12</definedName>
  </definedNames>
  <calcPr calcId="145621"/>
</workbook>
</file>

<file path=xl/calcChain.xml><?xml version="1.0" encoding="utf-8"?>
<calcChain xmlns="http://schemas.openxmlformats.org/spreadsheetml/2006/main">
  <c r="P20" i="2" l="1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26" i="2"/>
  <c r="P25" i="2"/>
  <c r="P24" i="2"/>
  <c r="P23" i="2"/>
  <c r="P22" i="2"/>
  <c r="P21" i="2"/>
  <c r="M124" i="2"/>
  <c r="E124" i="2"/>
  <c r="M123" i="2"/>
  <c r="E123" i="2"/>
  <c r="M122" i="2"/>
  <c r="E122" i="2"/>
  <c r="E121" i="2"/>
  <c r="M121" i="2" s="1"/>
  <c r="M120" i="2"/>
  <c r="E120" i="2"/>
  <c r="M119" i="2"/>
  <c r="E119" i="2"/>
  <c r="M118" i="2"/>
  <c r="E118" i="2"/>
  <c r="E117" i="2"/>
  <c r="M117" i="2" s="1"/>
  <c r="M116" i="2"/>
  <c r="E116" i="2"/>
  <c r="M115" i="2"/>
  <c r="E115" i="2"/>
  <c r="M114" i="2"/>
  <c r="E114" i="2"/>
  <c r="E113" i="2"/>
  <c r="M113" i="2" s="1"/>
  <c r="M112" i="2"/>
  <c r="E112" i="2"/>
  <c r="M111" i="2"/>
  <c r="E111" i="2"/>
  <c r="M110" i="2"/>
  <c r="E110" i="2"/>
  <c r="E109" i="2"/>
  <c r="M109" i="2" s="1"/>
  <c r="M108" i="2"/>
  <c r="E108" i="2"/>
  <c r="M107" i="2"/>
  <c r="E107" i="2"/>
  <c r="M106" i="2"/>
  <c r="E106" i="2"/>
  <c r="E105" i="2"/>
  <c r="M105" i="2" s="1"/>
  <c r="M104" i="2"/>
  <c r="E104" i="2"/>
  <c r="M103" i="2"/>
  <c r="E103" i="2"/>
  <c r="M102" i="2"/>
  <c r="E102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E153" i="2"/>
  <c r="M153" i="2" s="1"/>
  <c r="E152" i="2"/>
  <c r="M152" i="2" s="1"/>
  <c r="E151" i="2"/>
  <c r="M151" i="2" s="1"/>
  <c r="E150" i="2"/>
  <c r="M150" i="2" s="1"/>
  <c r="M149" i="2"/>
  <c r="E149" i="2"/>
  <c r="E148" i="2"/>
  <c r="M148" i="2" s="1"/>
  <c r="E147" i="2"/>
  <c r="M147" i="2" s="1"/>
  <c r="E146" i="2"/>
  <c r="M146" i="2" s="1"/>
  <c r="E145" i="2"/>
  <c r="M145" i="2" s="1"/>
  <c r="E144" i="2"/>
  <c r="M144" i="2" s="1"/>
  <c r="E143" i="2"/>
  <c r="M143" i="2" s="1"/>
  <c r="E142" i="2"/>
  <c r="M142" i="2" s="1"/>
  <c r="E141" i="2"/>
  <c r="M141" i="2" s="1"/>
  <c r="M140" i="2"/>
  <c r="E140" i="2"/>
  <c r="E139" i="2"/>
  <c r="M139" i="2" s="1"/>
  <c r="E138" i="2"/>
  <c r="M138" i="2" s="1"/>
  <c r="E137" i="2"/>
  <c r="M137" i="2" s="1"/>
  <c r="E136" i="2"/>
  <c r="M136" i="2" s="1"/>
  <c r="E135" i="2"/>
  <c r="M135" i="2" s="1"/>
  <c r="E134" i="2"/>
  <c r="M134" i="2" s="1"/>
  <c r="E133" i="2"/>
  <c r="M133" i="2" s="1"/>
  <c r="E132" i="2"/>
  <c r="M132" i="2" s="1"/>
  <c r="M131" i="2"/>
  <c r="E131" i="2"/>
  <c r="E130" i="2"/>
  <c r="M130" i="2" s="1"/>
  <c r="E129" i="2"/>
  <c r="M129" i="2" s="1"/>
  <c r="E128" i="2"/>
  <c r="M128" i="2" s="1"/>
  <c r="E127" i="2"/>
  <c r="M127" i="2" s="1"/>
  <c r="E126" i="2"/>
  <c r="M126" i="2" s="1"/>
  <c r="A153" i="2"/>
  <c r="E125" i="2"/>
  <c r="M125" i="2" s="1"/>
  <c r="E101" i="2"/>
  <c r="M101" i="2" s="1"/>
  <c r="A101" i="2"/>
  <c r="V12" i="2"/>
  <c r="R4" i="2" a="1"/>
  <c r="G153" i="2"/>
  <c r="G145" i="2"/>
  <c r="G137" i="2"/>
  <c r="G129" i="2"/>
  <c r="G121" i="2"/>
  <c r="G113" i="2"/>
  <c r="G105" i="2"/>
  <c r="G152" i="2"/>
  <c r="G144" i="2"/>
  <c r="G136" i="2"/>
  <c r="G128" i="2"/>
  <c r="G120" i="2"/>
  <c r="G112" i="2"/>
  <c r="G104" i="2"/>
  <c r="G151" i="2"/>
  <c r="G143" i="2"/>
  <c r="G135" i="2"/>
  <c r="G127" i="2"/>
  <c r="G119" i="2"/>
  <c r="G111" i="2"/>
  <c r="G103" i="2"/>
  <c r="G142" i="2"/>
  <c r="G134" i="2"/>
  <c r="G126" i="2"/>
  <c r="G118" i="2"/>
  <c r="G110" i="2"/>
  <c r="G149" i="2"/>
  <c r="G141" i="2"/>
  <c r="G125" i="2"/>
  <c r="G117" i="2"/>
  <c r="G148" i="2"/>
  <c r="G132" i="2"/>
  <c r="G116" i="2"/>
  <c r="G139" i="2"/>
  <c r="G123" i="2"/>
  <c r="G115" i="2"/>
  <c r="G146" i="2"/>
  <c r="G130" i="2"/>
  <c r="G114" i="2"/>
  <c r="G150" i="2"/>
  <c r="G133" i="2"/>
  <c r="G109" i="2"/>
  <c r="G140" i="2"/>
  <c r="G124" i="2"/>
  <c r="G108" i="2"/>
  <c r="G147" i="2"/>
  <c r="G131" i="2"/>
  <c r="G107" i="2"/>
  <c r="G138" i="2"/>
  <c r="G122" i="2"/>
  <c r="G106" i="2"/>
  <c r="G102" i="2"/>
  <c r="F124" i="2"/>
  <c r="F120" i="2"/>
  <c r="F116" i="2"/>
  <c r="F112" i="2"/>
  <c r="F108" i="2"/>
  <c r="F104" i="2"/>
  <c r="N124" i="2"/>
  <c r="N120" i="2"/>
  <c r="N116" i="2"/>
  <c r="N112" i="2"/>
  <c r="N108" i="2"/>
  <c r="N104" i="2"/>
  <c r="F123" i="2"/>
  <c r="F119" i="2"/>
  <c r="F115" i="2"/>
  <c r="F111" i="2"/>
  <c r="F103" i="2"/>
  <c r="N123" i="2"/>
  <c r="N115" i="2"/>
  <c r="J114" i="2"/>
  <c r="N103" i="2"/>
  <c r="J102" i="2"/>
  <c r="F114" i="2"/>
  <c r="F106" i="2"/>
  <c r="F102" i="2"/>
  <c r="J113" i="2"/>
  <c r="N102" i="2"/>
  <c r="J111" i="2"/>
  <c r="K111" i="2" s="1"/>
  <c r="K114" i="2"/>
  <c r="J112" i="2"/>
  <c r="K112" i="2" s="1"/>
  <c r="J107" i="2"/>
  <c r="J117" i="2"/>
  <c r="F107" i="2"/>
  <c r="K107" i="2" s="1"/>
  <c r="J122" i="2"/>
  <c r="N119" i="2"/>
  <c r="J118" i="2"/>
  <c r="N111" i="2"/>
  <c r="J110" i="2"/>
  <c r="N107" i="2"/>
  <c r="J106" i="2"/>
  <c r="F122" i="2"/>
  <c r="F118" i="2"/>
  <c r="N118" i="2" s="1"/>
  <c r="F110" i="2"/>
  <c r="K110" i="2" s="1"/>
  <c r="J108" i="2"/>
  <c r="K108" i="2" s="1"/>
  <c r="J121" i="2"/>
  <c r="N110" i="2"/>
  <c r="N106" i="2"/>
  <c r="J105" i="2"/>
  <c r="J123" i="2"/>
  <c r="K123" i="2" s="1"/>
  <c r="F121" i="2"/>
  <c r="J119" i="2"/>
  <c r="K119" i="2" s="1"/>
  <c r="F117" i="2"/>
  <c r="K117" i="2" s="1"/>
  <c r="J115" i="2"/>
  <c r="K115" i="2" s="1"/>
  <c r="F113" i="2"/>
  <c r="K113" i="2" s="1"/>
  <c r="J103" i="2"/>
  <c r="K103" i="2" s="1"/>
  <c r="K118" i="2"/>
  <c r="J116" i="2"/>
  <c r="K116" i="2" s="1"/>
  <c r="N113" i="2"/>
  <c r="K106" i="2"/>
  <c r="J104" i="2"/>
  <c r="K104" i="2" s="1"/>
  <c r="N114" i="2"/>
  <c r="J109" i="2"/>
  <c r="F109" i="2"/>
  <c r="F105" i="2"/>
  <c r="K105" i="2" s="1"/>
  <c r="J124" i="2"/>
  <c r="K124" i="2" s="1"/>
  <c r="J120" i="2"/>
  <c r="K120" i="2" s="1"/>
  <c r="N117" i="2"/>
  <c r="N105" i="2"/>
  <c r="K102" i="2"/>
  <c r="F153" i="2"/>
  <c r="F149" i="2"/>
  <c r="F145" i="2"/>
  <c r="F141" i="2"/>
  <c r="F137" i="2"/>
  <c r="F133" i="2"/>
  <c r="F129" i="2"/>
  <c r="N137" i="2"/>
  <c r="N129" i="2"/>
  <c r="F148" i="2"/>
  <c r="F140" i="2"/>
  <c r="F147" i="2"/>
  <c r="F139" i="2"/>
  <c r="F142" i="2"/>
  <c r="F138" i="2"/>
  <c r="F134" i="2"/>
  <c r="N142" i="2"/>
  <c r="J133" i="2"/>
  <c r="K133" i="2" s="1"/>
  <c r="N153" i="2"/>
  <c r="J152" i="2"/>
  <c r="N149" i="2"/>
  <c r="N145" i="2"/>
  <c r="J144" i="2"/>
  <c r="N141" i="2"/>
  <c r="J140" i="2"/>
  <c r="K140" i="2" s="1"/>
  <c r="N133" i="2"/>
  <c r="F152" i="2"/>
  <c r="K152" i="2" s="1"/>
  <c r="F144" i="2"/>
  <c r="K144" i="2" s="1"/>
  <c r="J135" i="2"/>
  <c r="F135" i="2"/>
  <c r="F127" i="2"/>
  <c r="F126" i="2"/>
  <c r="N138" i="2"/>
  <c r="F136" i="2"/>
  <c r="F132" i="2"/>
  <c r="F128" i="2"/>
  <c r="J131" i="2"/>
  <c r="F151" i="2"/>
  <c r="F143" i="2"/>
  <c r="F131" i="2"/>
  <c r="K131" i="2" s="1"/>
  <c r="F150" i="2"/>
  <c r="J137" i="2"/>
  <c r="K137" i="2" s="1"/>
  <c r="N126" i="2"/>
  <c r="N152" i="2"/>
  <c r="J151" i="2"/>
  <c r="K151" i="2" s="1"/>
  <c r="N148" i="2"/>
  <c r="J147" i="2"/>
  <c r="K147" i="2" s="1"/>
  <c r="N144" i="2"/>
  <c r="J143" i="2"/>
  <c r="K143" i="2" s="1"/>
  <c r="N140" i="2"/>
  <c r="J139" i="2"/>
  <c r="K139" i="2" s="1"/>
  <c r="N132" i="2"/>
  <c r="N128" i="2"/>
  <c r="J127" i="2"/>
  <c r="K127" i="2" s="1"/>
  <c r="J149" i="2"/>
  <c r="K149" i="2" s="1"/>
  <c r="N131" i="2"/>
  <c r="J126" i="2"/>
  <c r="K126" i="2" s="1"/>
  <c r="J148" i="2"/>
  <c r="K148" i="2" s="1"/>
  <c r="F146" i="2"/>
  <c r="J136" i="2"/>
  <c r="F130" i="2"/>
  <c r="J128" i="2"/>
  <c r="K128" i="2" s="1"/>
  <c r="J153" i="2"/>
  <c r="K153" i="2" s="1"/>
  <c r="J145" i="2"/>
  <c r="K145" i="2" s="1"/>
  <c r="J141" i="2"/>
  <c r="K141" i="2" s="1"/>
  <c r="N134" i="2"/>
  <c r="J129" i="2"/>
  <c r="K129" i="2" s="1"/>
  <c r="N151" i="2"/>
  <c r="J150" i="2"/>
  <c r="K150" i="2" s="1"/>
  <c r="N147" i="2"/>
  <c r="J146" i="2"/>
  <c r="K146" i="2" s="1"/>
  <c r="N143" i="2"/>
  <c r="J142" i="2"/>
  <c r="K142" i="2" s="1"/>
  <c r="N139" i="2"/>
  <c r="J138" i="2"/>
  <c r="K138" i="2" s="1"/>
  <c r="J134" i="2"/>
  <c r="K134" i="2" s="1"/>
  <c r="J130" i="2"/>
  <c r="K130" i="2" s="1"/>
  <c r="J132" i="2"/>
  <c r="K132" i="2" s="1"/>
  <c r="N146" i="2"/>
  <c r="V7" i="2"/>
  <c r="J125" i="2"/>
  <c r="F125" i="2"/>
  <c r="K125" i="2" s="1"/>
  <c r="F101" i="2"/>
  <c r="N101" i="2" s="1"/>
  <c r="N125" i="2"/>
  <c r="O125" i="2" s="1"/>
  <c r="N127" i="2"/>
  <c r="O127" i="2" s="1"/>
  <c r="N150" i="2"/>
  <c r="O150" i="2" s="1"/>
  <c r="N130" i="2"/>
  <c r="O130" i="2" s="1"/>
  <c r="K135" i="2"/>
  <c r="N135" i="2"/>
  <c r="O135" i="2" s="1"/>
  <c r="K136" i="2"/>
  <c r="N136" i="2"/>
  <c r="O136" i="2" s="1"/>
  <c r="O149" i="2"/>
  <c r="O153" i="2"/>
  <c r="O129" i="2"/>
  <c r="O137" i="2"/>
  <c r="O133" i="2"/>
  <c r="O141" i="2"/>
  <c r="O145" i="2"/>
  <c r="O146" i="2"/>
  <c r="O126" i="2"/>
  <c r="O138" i="2"/>
  <c r="O139" i="2"/>
  <c r="O143" i="2"/>
  <c r="O147" i="2"/>
  <c r="O151" i="2"/>
  <c r="O134" i="2"/>
  <c r="O142" i="2"/>
  <c r="O131" i="2"/>
  <c r="O128" i="2"/>
  <c r="O132" i="2"/>
  <c r="O140" i="2"/>
  <c r="O144" i="2"/>
  <c r="O148" i="2"/>
  <c r="O152" i="2"/>
  <c r="K122" i="2"/>
  <c r="N122" i="2"/>
  <c r="O122" i="2" s="1"/>
  <c r="K121" i="2"/>
  <c r="N121" i="2"/>
  <c r="O121" i="2" s="1"/>
  <c r="N109" i="2"/>
  <c r="O109" i="2" s="1"/>
  <c r="K109" i="2"/>
  <c r="O105" i="2"/>
  <c r="O117" i="2"/>
  <c r="O114" i="2"/>
  <c r="O113" i="2"/>
  <c r="O106" i="2"/>
  <c r="O110" i="2"/>
  <c r="O102" i="2"/>
  <c r="O118" i="2"/>
  <c r="O107" i="2"/>
  <c r="O111" i="2"/>
  <c r="O119" i="2"/>
  <c r="O103" i="2"/>
  <c r="O115" i="2"/>
  <c r="O123" i="2"/>
  <c r="O104" i="2"/>
  <c r="O108" i="2"/>
  <c r="O112" i="2"/>
  <c r="O116" i="2"/>
  <c r="O120" i="2"/>
  <c r="O124" i="2"/>
  <c r="R52" i="2" l="1"/>
  <c r="R7" i="2"/>
  <c r="R130" i="2"/>
  <c r="R91" i="2"/>
  <c r="R64" i="2"/>
  <c r="R46" i="2"/>
  <c r="R30" i="2"/>
  <c r="R12" i="2"/>
  <c r="R137" i="2"/>
  <c r="R73" i="2"/>
  <c r="R35" i="2"/>
  <c r="R119" i="2"/>
  <c r="R90" i="2"/>
  <c r="R63" i="2"/>
  <c r="R45" i="2"/>
  <c r="R29" i="2"/>
  <c r="R11" i="2"/>
  <c r="R115" i="2"/>
  <c r="R89" i="2"/>
  <c r="R62" i="2"/>
  <c r="R44" i="2"/>
  <c r="R23" i="2"/>
  <c r="R107" i="2"/>
  <c r="R79" i="2"/>
  <c r="R56" i="2"/>
  <c r="R37" i="2"/>
  <c r="R21" i="2"/>
  <c r="R5" i="2"/>
  <c r="R114" i="2"/>
  <c r="R80" i="2"/>
  <c r="R61" i="2"/>
  <c r="R43" i="2"/>
  <c r="R22" i="2"/>
  <c r="R6" i="2"/>
  <c r="R138" i="2"/>
  <c r="R106" i="2"/>
  <c r="R74" i="2"/>
  <c r="R55" i="2"/>
  <c r="R36" i="2"/>
  <c r="R20" i="2"/>
  <c r="R4" i="2"/>
  <c r="R96" i="2"/>
  <c r="R51" i="2"/>
  <c r="R19" i="2"/>
  <c r="R131" i="2"/>
  <c r="R95" i="2"/>
  <c r="R72" i="2"/>
  <c r="R47" i="2"/>
  <c r="R31" i="2"/>
  <c r="R15" i="2"/>
  <c r="R83" i="2"/>
  <c r="R129" i="2"/>
  <c r="R105" i="2"/>
  <c r="R71" i="2"/>
  <c r="R121" i="2"/>
  <c r="R104" i="2"/>
  <c r="R82" i="2"/>
  <c r="R70" i="2"/>
  <c r="R54" i="2"/>
  <c r="R39" i="2"/>
  <c r="R28" i="2"/>
  <c r="R14" i="2"/>
  <c r="R120" i="2"/>
  <c r="R103" i="2"/>
  <c r="R81" i="2"/>
  <c r="R65" i="2"/>
  <c r="R53" i="2"/>
  <c r="R38" i="2"/>
  <c r="R27" i="2"/>
  <c r="R13" i="2"/>
  <c r="R128" i="2"/>
  <c r="R113" i="2"/>
  <c r="R99" i="2"/>
  <c r="R88" i="2"/>
  <c r="R78" i="2"/>
  <c r="R69" i="2"/>
  <c r="R59" i="2"/>
  <c r="R50" i="2"/>
  <c r="R42" i="2"/>
  <c r="R34" i="2"/>
  <c r="R26" i="2"/>
  <c r="R18" i="2"/>
  <c r="R10" i="2"/>
  <c r="R147" i="2"/>
  <c r="R123" i="2"/>
  <c r="R112" i="2"/>
  <c r="R98" i="2"/>
  <c r="R87" i="2"/>
  <c r="R77" i="2"/>
  <c r="R67" i="2"/>
  <c r="R58" i="2"/>
  <c r="R49" i="2"/>
  <c r="R41" i="2"/>
  <c r="R33" i="2"/>
  <c r="R25" i="2"/>
  <c r="R17" i="2"/>
  <c r="R9" i="2"/>
  <c r="R139" i="2"/>
  <c r="R122" i="2"/>
  <c r="R111" i="2"/>
  <c r="R97" i="2"/>
  <c r="R86" i="2"/>
  <c r="R75" i="2"/>
  <c r="R66" i="2"/>
  <c r="R57" i="2"/>
  <c r="R48" i="2"/>
  <c r="R40" i="2"/>
  <c r="R32" i="2"/>
  <c r="R24" i="2"/>
  <c r="R16" i="2"/>
  <c r="R8" i="2"/>
  <c r="R146" i="2"/>
  <c r="R153" i="2"/>
  <c r="R145" i="2"/>
  <c r="R152" i="2"/>
  <c r="R144" i="2"/>
  <c r="R136" i="2"/>
  <c r="R151" i="2"/>
  <c r="R143" i="2"/>
  <c r="R135" i="2"/>
  <c r="R127" i="2"/>
  <c r="R150" i="2"/>
  <c r="R142" i="2"/>
  <c r="R134" i="2"/>
  <c r="R126" i="2"/>
  <c r="R118" i="2"/>
  <c r="R110" i="2"/>
  <c r="R102" i="2"/>
  <c r="R94" i="2"/>
  <c r="R149" i="2"/>
  <c r="R141" i="2"/>
  <c r="R133" i="2"/>
  <c r="R125" i="2"/>
  <c r="R117" i="2"/>
  <c r="R109" i="2"/>
  <c r="R101" i="2"/>
  <c r="R93" i="2"/>
  <c r="R85" i="2"/>
  <c r="R148" i="2"/>
  <c r="R140" i="2"/>
  <c r="R132" i="2"/>
  <c r="R124" i="2"/>
  <c r="R116" i="2"/>
  <c r="R108" i="2"/>
  <c r="R100" i="2"/>
  <c r="R92" i="2"/>
  <c r="R84" i="2"/>
  <c r="R76" i="2"/>
  <c r="R68" i="2"/>
  <c r="R60" i="2"/>
  <c r="B3" i="3"/>
  <c r="C26" i="2"/>
  <c r="C25" i="2"/>
  <c r="C24" i="2"/>
  <c r="C23" i="2"/>
  <c r="C22" i="2"/>
  <c r="C21" i="2"/>
  <c r="E21" i="2" s="1"/>
  <c r="M21" i="2" s="1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E17" i="2"/>
  <c r="M17" i="2" s="1"/>
  <c r="C5" i="2"/>
  <c r="E5" i="2" s="1"/>
  <c r="M5" i="2" s="1"/>
  <c r="C6" i="2"/>
  <c r="E6" i="2" s="1"/>
  <c r="M6" i="2" s="1"/>
  <c r="C7" i="2"/>
  <c r="E7" i="2" s="1"/>
  <c r="M7" i="2" s="1"/>
  <c r="C8" i="2"/>
  <c r="E8" i="2" s="1"/>
  <c r="M8" i="2" s="1"/>
  <c r="C9" i="2"/>
  <c r="E9" i="2" s="1"/>
  <c r="M9" i="2" s="1"/>
  <c r="C10" i="2"/>
  <c r="E10" i="2" s="1"/>
  <c r="M10" i="2" s="1"/>
  <c r="C11" i="2"/>
  <c r="E11" i="2" s="1"/>
  <c r="M11" i="2" s="1"/>
  <c r="C12" i="2"/>
  <c r="E12" i="2" s="1"/>
  <c r="M12" i="2" s="1"/>
  <c r="C13" i="2"/>
  <c r="E13" i="2" s="1"/>
  <c r="M13" i="2" s="1"/>
  <c r="C14" i="2"/>
  <c r="E14" i="2" s="1"/>
  <c r="M14" i="2" s="1"/>
  <c r="C15" i="2"/>
  <c r="E15" i="2" s="1"/>
  <c r="M15" i="2" s="1"/>
  <c r="C16" i="2"/>
  <c r="E16" i="2" s="1"/>
  <c r="M16" i="2" s="1"/>
  <c r="C17" i="2"/>
  <c r="C18" i="2"/>
  <c r="E18" i="2" s="1"/>
  <c r="M18" i="2" s="1"/>
  <c r="C19" i="2"/>
  <c r="E19" i="2" s="1"/>
  <c r="M19" i="2" s="1"/>
  <c r="C20" i="2"/>
  <c r="E20" i="2" s="1"/>
  <c r="M20" i="2" s="1"/>
  <c r="C4" i="2"/>
  <c r="E72" i="2"/>
  <c r="M72" i="2" s="1"/>
  <c r="E71" i="2"/>
  <c r="M71" i="2" s="1"/>
  <c r="E70" i="2"/>
  <c r="M70" i="2" s="1"/>
  <c r="E69" i="2"/>
  <c r="M69" i="2" s="1"/>
  <c r="E68" i="2"/>
  <c r="M68" i="2" s="1"/>
  <c r="E67" i="2"/>
  <c r="M67" i="2" s="1"/>
  <c r="E66" i="2"/>
  <c r="M66" i="2" s="1"/>
  <c r="E65" i="2"/>
  <c r="M65" i="2" s="1"/>
  <c r="E64" i="2"/>
  <c r="M64" i="2" s="1"/>
  <c r="E63" i="2"/>
  <c r="M63" i="2" s="1"/>
  <c r="E62" i="2"/>
  <c r="M62" i="2" s="1"/>
  <c r="E61" i="2"/>
  <c r="M61" i="2" s="1"/>
  <c r="A72" i="2"/>
  <c r="A71" i="2"/>
  <c r="A70" i="2"/>
  <c r="A69" i="2"/>
  <c r="A68" i="2"/>
  <c r="A67" i="2"/>
  <c r="A66" i="2"/>
  <c r="A65" i="2"/>
  <c r="A64" i="2"/>
  <c r="A63" i="2"/>
  <c r="A62" i="2"/>
  <c r="A6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E73" i="2"/>
  <c r="M73" i="2" s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  <c r="AF6" i="2"/>
  <c r="AF5" i="2"/>
  <c r="AF4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F71" i="2"/>
  <c r="F69" i="2"/>
  <c r="F19" i="2"/>
  <c r="F18" i="2"/>
  <c r="F16" i="2"/>
  <c r="F8" i="2"/>
  <c r="F62" i="2"/>
  <c r="F15" i="2"/>
  <c r="F61" i="2"/>
  <c r="F14" i="2"/>
  <c r="F6" i="2"/>
  <c r="F21" i="2"/>
  <c r="V6" i="2"/>
  <c r="F72" i="2"/>
  <c r="F13" i="2"/>
  <c r="F5" i="2"/>
  <c r="F11" i="2"/>
  <c r="F12" i="2"/>
  <c r="F65" i="2"/>
  <c r="N65" i="2" s="1"/>
  <c r="N72" i="2"/>
  <c r="N71" i="2"/>
  <c r="F63" i="2"/>
  <c r="F10" i="2"/>
  <c r="F70" i="2"/>
  <c r="F20" i="2"/>
  <c r="F7" i="2"/>
  <c r="F67" i="2"/>
  <c r="F66" i="2"/>
  <c r="N66" i="2" s="1"/>
  <c r="F9" i="2"/>
  <c r="F68" i="2"/>
  <c r="F17" i="2"/>
  <c r="V5" i="2"/>
  <c r="F64" i="2"/>
  <c r="N64" i="2" s="1"/>
  <c r="F73" i="2"/>
  <c r="N73" i="2" s="1"/>
  <c r="O101" i="2"/>
  <c r="E3" i="3" l="1"/>
  <c r="V3" i="2"/>
  <c r="N68" i="2"/>
  <c r="N18" i="2"/>
  <c r="N11" i="2"/>
  <c r="N70" i="2"/>
  <c r="O73" i="2"/>
  <c r="O68" i="2"/>
  <c r="N17" i="2"/>
  <c r="N63" i="2"/>
  <c r="O70" i="2"/>
  <c r="N6" i="2"/>
  <c r="N61" i="2"/>
  <c r="O61" i="2" s="1"/>
  <c r="N9" i="2"/>
  <c r="N7" i="2"/>
  <c r="N62" i="2"/>
  <c r="N67" i="2"/>
  <c r="O63" i="2"/>
  <c r="N13" i="2"/>
  <c r="O72" i="2"/>
  <c r="N15" i="2"/>
  <c r="O66" i="2"/>
  <c r="N21" i="2"/>
  <c r="O21" i="2" s="1"/>
  <c r="N19" i="2"/>
  <c r="N10" i="2"/>
  <c r="N8" i="2"/>
  <c r="O62" i="2"/>
  <c r="V8" i="2"/>
  <c r="O71" i="2"/>
  <c r="O64" i="2"/>
  <c r="H17" i="2"/>
  <c r="N69" i="2"/>
  <c r="O69" i="2" s="1"/>
  <c r="H66" i="2"/>
  <c r="N14" i="2"/>
  <c r="H5" i="2"/>
  <c r="N12" i="2"/>
  <c r="N5" i="2"/>
  <c r="H21" i="2"/>
  <c r="I21" i="2" s="1"/>
  <c r="N20" i="2"/>
  <c r="I17" i="2"/>
  <c r="O1" i="2"/>
  <c r="G101" i="2" s="1"/>
  <c r="J101" i="2" s="1"/>
  <c r="K101" i="2" s="1"/>
  <c r="O65" i="2"/>
  <c r="G91" i="2"/>
  <c r="H64" i="2"/>
  <c r="H62" i="2"/>
  <c r="H61" i="2"/>
  <c r="N16" i="2"/>
  <c r="G67" i="2"/>
  <c r="H9" i="2"/>
  <c r="I9" i="2" s="1"/>
  <c r="H16" i="2"/>
  <c r="H18" i="2"/>
  <c r="I18" i="2" s="1"/>
  <c r="H70" i="2"/>
  <c r="H15" i="2"/>
  <c r="H4" i="2"/>
  <c r="H7" i="2"/>
  <c r="I7" i="2" s="1"/>
  <c r="H63" i="2"/>
  <c r="H6" i="2"/>
  <c r="H69" i="2"/>
  <c r="H73" i="2"/>
  <c r="H72" i="2"/>
  <c r="H68" i="2"/>
  <c r="C27" i="2"/>
  <c r="H65" i="2"/>
  <c r="H14" i="2"/>
  <c r="H10" i="2"/>
  <c r="H12" i="2"/>
  <c r="I12" i="2" s="1"/>
  <c r="H19" i="2"/>
  <c r="H20" i="2"/>
  <c r="H8" i="2"/>
  <c r="I8" i="2" s="1"/>
  <c r="H67" i="2"/>
  <c r="H11" i="2"/>
  <c r="I11" i="2" s="1"/>
  <c r="H71" i="2"/>
  <c r="H13" i="2"/>
  <c r="G87" i="2"/>
  <c r="G81" i="2"/>
  <c r="G73" i="2"/>
  <c r="G62" i="2"/>
  <c r="G74" i="2"/>
  <c r="G88" i="2"/>
  <c r="G61" i="2"/>
  <c r="G98" i="2"/>
  <c r="G85" i="2"/>
  <c r="G76" i="2"/>
  <c r="G86" i="2"/>
  <c r="G82" i="2"/>
  <c r="G68" i="2"/>
  <c r="G97" i="2"/>
  <c r="G90" i="2"/>
  <c r="G72" i="2"/>
  <c r="G80" i="2"/>
  <c r="G79" i="2"/>
  <c r="G95" i="2"/>
  <c r="G94" i="2"/>
  <c r="G71" i="2"/>
  <c r="G63" i="2"/>
  <c r="G96" i="2"/>
  <c r="G78" i="2"/>
  <c r="G99" i="2"/>
  <c r="G65" i="2"/>
  <c r="G84" i="2"/>
  <c r="G64" i="2"/>
  <c r="G70" i="2"/>
  <c r="G66" i="2"/>
  <c r="G93" i="2"/>
  <c r="G75" i="2"/>
  <c r="G89" i="2"/>
  <c r="G69" i="2"/>
  <c r="G77" i="2"/>
  <c r="G92" i="2"/>
  <c r="G83" i="2"/>
  <c r="G100" i="2"/>
  <c r="I4" i="2"/>
  <c r="J4" i="2" s="1"/>
  <c r="C28" i="2"/>
  <c r="H27" i="2"/>
  <c r="G27" i="2" s="1"/>
  <c r="I14" i="2"/>
  <c r="J14" i="2"/>
  <c r="I10" i="2"/>
  <c r="J10" i="2"/>
  <c r="I19" i="2"/>
  <c r="J19" i="2"/>
  <c r="I20" i="2"/>
  <c r="J20" i="2" s="1"/>
  <c r="K20" i="2" s="1"/>
  <c r="I13" i="2"/>
  <c r="J13" i="2" s="1"/>
  <c r="H28" i="2"/>
  <c r="G28" i="2" s="1"/>
  <c r="C29" i="2"/>
  <c r="C30" i="2"/>
  <c r="H29" i="2"/>
  <c r="G29" i="2" s="1"/>
  <c r="C31" i="2"/>
  <c r="H30" i="2"/>
  <c r="G30" i="2" s="1"/>
  <c r="H31" i="2"/>
  <c r="G31" i="2" s="1"/>
  <c r="C32" i="2"/>
  <c r="C33" i="2"/>
  <c r="H32" i="2"/>
  <c r="G32" i="2" s="1"/>
  <c r="C34" i="2"/>
  <c r="H33" i="2"/>
  <c r="G33" i="2" s="1"/>
  <c r="H34" i="2"/>
  <c r="G34" i="2" s="1"/>
  <c r="C35" i="2"/>
  <c r="C36" i="2"/>
  <c r="H35" i="2"/>
  <c r="G35" i="2" s="1"/>
  <c r="H101" i="2"/>
  <c r="I101" i="2" s="1"/>
  <c r="H125" i="2"/>
  <c r="I125" i="2" s="1"/>
  <c r="H129" i="2"/>
  <c r="I129" i="2" s="1"/>
  <c r="H149" i="2"/>
  <c r="I149" i="2" s="1"/>
  <c r="H126" i="2"/>
  <c r="I126" i="2" s="1"/>
  <c r="H150" i="2"/>
  <c r="I150" i="2" s="1"/>
  <c r="H131" i="2"/>
  <c r="I131" i="2" s="1"/>
  <c r="H135" i="2"/>
  <c r="I135" i="2" s="1"/>
  <c r="H143" i="2"/>
  <c r="I143" i="2" s="1"/>
  <c r="H147" i="2"/>
  <c r="I147" i="2" s="1"/>
  <c r="H151" i="2"/>
  <c r="I151" i="2" s="1"/>
  <c r="H128" i="2"/>
  <c r="I128" i="2" s="1"/>
  <c r="H132" i="2"/>
  <c r="I132" i="2" s="1"/>
  <c r="H136" i="2"/>
  <c r="I136" i="2" s="1"/>
  <c r="H140" i="2"/>
  <c r="I140" i="2" s="1"/>
  <c r="H144" i="2"/>
  <c r="I144" i="2" s="1"/>
  <c r="H148" i="2"/>
  <c r="I148" i="2" s="1"/>
  <c r="H152" i="2"/>
  <c r="I152" i="2" s="1"/>
  <c r="H141" i="2"/>
  <c r="I141" i="2" s="1"/>
  <c r="H145" i="2"/>
  <c r="I145" i="2" s="1"/>
  <c r="H133" i="2"/>
  <c r="I133" i="2" s="1"/>
  <c r="H153" i="2"/>
  <c r="I153" i="2" s="1"/>
  <c r="H130" i="2"/>
  <c r="I130" i="2" s="1"/>
  <c r="H138" i="2"/>
  <c r="I138" i="2" s="1"/>
  <c r="H142" i="2"/>
  <c r="I142" i="2" s="1"/>
  <c r="H137" i="2"/>
  <c r="I137" i="2" s="1"/>
  <c r="H134" i="2"/>
  <c r="I134" i="2" s="1"/>
  <c r="H146" i="2"/>
  <c r="I146" i="2" s="1"/>
  <c r="H139" i="2"/>
  <c r="I139" i="2" s="1"/>
  <c r="H127" i="2"/>
  <c r="I127" i="2" s="1"/>
  <c r="H112" i="2"/>
  <c r="I112" i="2" s="1"/>
  <c r="H108" i="2"/>
  <c r="I108" i="2" s="1"/>
  <c r="H113" i="2"/>
  <c r="I113" i="2" s="1"/>
  <c r="H110" i="2"/>
  <c r="I110" i="2" s="1"/>
  <c r="H114" i="2"/>
  <c r="I114" i="2" s="1"/>
  <c r="H104" i="2"/>
  <c r="I104" i="2" s="1"/>
  <c r="H116" i="2"/>
  <c r="I116" i="2" s="1"/>
  <c r="H120" i="2"/>
  <c r="I120" i="2" s="1"/>
  <c r="H124" i="2"/>
  <c r="I124" i="2" s="1"/>
  <c r="H105" i="2"/>
  <c r="I105" i="2" s="1"/>
  <c r="H109" i="2"/>
  <c r="I109" i="2" s="1"/>
  <c r="H117" i="2"/>
  <c r="I117" i="2" s="1"/>
  <c r="H121" i="2"/>
  <c r="I121" i="2" s="1"/>
  <c r="H102" i="2"/>
  <c r="I102" i="2" s="1"/>
  <c r="H106" i="2"/>
  <c r="I106" i="2" s="1"/>
  <c r="H118" i="2"/>
  <c r="I118" i="2" s="1"/>
  <c r="H122" i="2"/>
  <c r="I122" i="2" s="1"/>
  <c r="H103" i="2"/>
  <c r="I103" i="2" s="1"/>
  <c r="H107" i="2"/>
  <c r="I107" i="2" s="1"/>
  <c r="H111" i="2"/>
  <c r="I111" i="2" s="1"/>
  <c r="H115" i="2"/>
  <c r="I115" i="2" s="1"/>
  <c r="H119" i="2"/>
  <c r="I119" i="2" s="1"/>
  <c r="H123" i="2"/>
  <c r="I123" i="2" s="1"/>
  <c r="I5" i="2"/>
  <c r="J5" i="2" s="1"/>
  <c r="I6" i="2"/>
  <c r="J6" i="2" s="1"/>
  <c r="E36" i="2" l="1"/>
  <c r="P36" i="2" s="1"/>
  <c r="E35" i="2"/>
  <c r="P35" i="2" s="1"/>
  <c r="E34" i="2"/>
  <c r="P34" i="2" s="1"/>
  <c r="E33" i="2"/>
  <c r="P33" i="2" s="1"/>
  <c r="E32" i="2"/>
  <c r="P32" i="2" s="1"/>
  <c r="E31" i="2"/>
  <c r="P31" i="2" s="1"/>
  <c r="E30" i="2"/>
  <c r="P30" i="2" s="1"/>
  <c r="E29" i="2"/>
  <c r="P29" i="2" s="1"/>
  <c r="E28" i="2"/>
  <c r="P28" i="2" s="1"/>
  <c r="E27" i="2"/>
  <c r="P27" i="2" s="1"/>
  <c r="S3" i="2"/>
  <c r="C3" i="3"/>
  <c r="K13" i="2"/>
  <c r="J7" i="2"/>
  <c r="I65" i="2"/>
  <c r="I32" i="2"/>
  <c r="J67" i="2"/>
  <c r="O10" i="2"/>
  <c r="O18" i="2"/>
  <c r="J70" i="2"/>
  <c r="O6" i="2"/>
  <c r="H23" i="2"/>
  <c r="F28" i="2"/>
  <c r="J32" i="2"/>
  <c r="J28" i="2"/>
  <c r="O11" i="2"/>
  <c r="I69" i="2"/>
  <c r="I73" i="2"/>
  <c r="J72" i="2"/>
  <c r="K10" i="2"/>
  <c r="O17" i="2"/>
  <c r="F33" i="2"/>
  <c r="O20" i="2"/>
  <c r="I16" i="2"/>
  <c r="J16" i="2" s="1"/>
  <c r="J65" i="2"/>
  <c r="J68" i="2"/>
  <c r="H25" i="2"/>
  <c r="I30" i="2"/>
  <c r="O8" i="2"/>
  <c r="F36" i="2"/>
  <c r="J61" i="2"/>
  <c r="J9" i="2"/>
  <c r="K19" i="2"/>
  <c r="I15" i="2"/>
  <c r="J15" i="2" s="1"/>
  <c r="K15" i="2" s="1"/>
  <c r="O7" i="2"/>
  <c r="F35" i="2"/>
  <c r="I67" i="2"/>
  <c r="J18" i="2"/>
  <c r="I28" i="2"/>
  <c r="I72" i="2"/>
  <c r="I34" i="2"/>
  <c r="J73" i="2"/>
  <c r="J66" i="2"/>
  <c r="J62" i="2"/>
  <c r="J69" i="2"/>
  <c r="K14" i="2"/>
  <c r="F27" i="2"/>
  <c r="I71" i="2"/>
  <c r="O12" i="2"/>
  <c r="J11" i="2"/>
  <c r="O67" i="2"/>
  <c r="I66" i="2"/>
  <c r="I35" i="2"/>
  <c r="J64" i="2"/>
  <c r="J33" i="2"/>
  <c r="F32" i="2"/>
  <c r="O15" i="2"/>
  <c r="J30" i="2"/>
  <c r="I63" i="2"/>
  <c r="I64" i="2"/>
  <c r="J8" i="2"/>
  <c r="K8" i="2" s="1"/>
  <c r="J17" i="2"/>
  <c r="J35" i="2"/>
  <c r="F29" i="2"/>
  <c r="O9" i="2"/>
  <c r="I31" i="2"/>
  <c r="O16" i="2"/>
  <c r="J29" i="2"/>
  <c r="F34" i="2"/>
  <c r="K21" i="2"/>
  <c r="I61" i="2"/>
  <c r="I27" i="2"/>
  <c r="I33" i="2"/>
  <c r="I62" i="2"/>
  <c r="O14" i="2"/>
  <c r="H24" i="2"/>
  <c r="H22" i="2"/>
  <c r="F31" i="2"/>
  <c r="I29" i="2"/>
  <c r="J31" i="2"/>
  <c r="J34" i="2"/>
  <c r="F30" i="2"/>
  <c r="J12" i="2"/>
  <c r="K12" i="2" s="1"/>
  <c r="J21" i="2"/>
  <c r="H26" i="2"/>
  <c r="I70" i="2"/>
  <c r="J71" i="2"/>
  <c r="I68" i="2"/>
  <c r="O13" i="2"/>
  <c r="J63" i="2"/>
  <c r="O19" i="2"/>
  <c r="J27" i="2"/>
  <c r="H36" i="2"/>
  <c r="G36" i="2" s="1"/>
  <c r="O5" i="2"/>
  <c r="M28" i="2" l="1"/>
  <c r="M29" i="2"/>
  <c r="M30" i="2"/>
  <c r="M31" i="2"/>
  <c r="M32" i="2"/>
  <c r="M33" i="2"/>
  <c r="M34" i="2"/>
  <c r="M35" i="2"/>
  <c r="M36" i="2"/>
  <c r="M2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37" i="2"/>
  <c r="E26" i="2"/>
  <c r="E25" i="2"/>
  <c r="E24" i="2"/>
  <c r="E23" i="2"/>
  <c r="E22" i="2"/>
  <c r="E4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37" i="2"/>
  <c r="E74" i="2"/>
  <c r="E75" i="2"/>
  <c r="N28" i="2"/>
  <c r="N32" i="2"/>
  <c r="N36" i="2"/>
  <c r="AB4" i="2" a="1"/>
  <c r="AC4" i="2" a="1"/>
  <c r="N29" i="2"/>
  <c r="N33" i="2"/>
  <c r="N30" i="2"/>
  <c r="N34" i="2"/>
  <c r="N35" i="2"/>
  <c r="N31" i="2"/>
  <c r="F25" i="2"/>
  <c r="F24" i="2"/>
  <c r="F23" i="2"/>
  <c r="F22" i="2"/>
  <c r="K5" i="2"/>
  <c r="K67" i="2"/>
  <c r="J91" i="2"/>
  <c r="K69" i="2"/>
  <c r="F98" i="2"/>
  <c r="H99" i="2"/>
  <c r="F75" i="2"/>
  <c r="F60" i="2"/>
  <c r="K71" i="2"/>
  <c r="F40" i="2"/>
  <c r="F93" i="2"/>
  <c r="H57" i="2"/>
  <c r="H83" i="2"/>
  <c r="F91" i="2"/>
  <c r="H53" i="2"/>
  <c r="H58" i="2"/>
  <c r="H56" i="2"/>
  <c r="F76" i="2"/>
  <c r="F84" i="2"/>
  <c r="J76" i="2"/>
  <c r="H76" i="2"/>
  <c r="G57" i="2"/>
  <c r="K6" i="2"/>
  <c r="H46" i="2"/>
  <c r="F59" i="2"/>
  <c r="K66" i="2"/>
  <c r="F100" i="2"/>
  <c r="F81" i="2"/>
  <c r="O30" i="2"/>
  <c r="F4" i="2"/>
  <c r="I22" i="2"/>
  <c r="H79" i="2"/>
  <c r="O32" i="2"/>
  <c r="F37" i="2"/>
  <c r="F90" i="2"/>
  <c r="I24" i="2"/>
  <c r="H93" i="2"/>
  <c r="F45" i="2"/>
  <c r="F95" i="2"/>
  <c r="J75" i="2"/>
  <c r="F56" i="2"/>
  <c r="F41" i="2"/>
  <c r="G56" i="2"/>
  <c r="F51" i="2"/>
  <c r="J83" i="2"/>
  <c r="I25" i="2"/>
  <c r="K17" i="2"/>
  <c r="K27" i="2"/>
  <c r="J98" i="2"/>
  <c r="J87" i="2"/>
  <c r="H45" i="2"/>
  <c r="K34" i="2"/>
  <c r="K68" i="2"/>
  <c r="F26" i="2"/>
  <c r="K65" i="2"/>
  <c r="J78" i="2"/>
  <c r="J86" i="2"/>
  <c r="H59" i="2"/>
  <c r="I36" i="2"/>
  <c r="O29" i="2"/>
  <c r="J92" i="2"/>
  <c r="H87" i="2"/>
  <c r="K64" i="2"/>
  <c r="F47" i="2"/>
  <c r="H100" i="2"/>
  <c r="F58" i="2"/>
  <c r="H89" i="2"/>
  <c r="J88" i="2"/>
  <c r="F94" i="2"/>
  <c r="H91" i="2"/>
  <c r="K18" i="2"/>
  <c r="H74" i="2"/>
  <c r="K33" i="2"/>
  <c r="H47" i="2"/>
  <c r="F87" i="2"/>
  <c r="K29" i="2"/>
  <c r="F48" i="2"/>
  <c r="H95" i="2"/>
  <c r="H82" i="2"/>
  <c r="G45" i="2"/>
  <c r="K9" i="2"/>
  <c r="F82" i="2"/>
  <c r="H49" i="2"/>
  <c r="J85" i="2"/>
  <c r="H75" i="2"/>
  <c r="H77" i="2"/>
  <c r="J74" i="2"/>
  <c r="H96" i="2"/>
  <c r="O34" i="2"/>
  <c r="F38" i="2"/>
  <c r="K32" i="2"/>
  <c r="F97" i="2"/>
  <c r="K61" i="2"/>
  <c r="H44" i="2"/>
  <c r="H39" i="2"/>
  <c r="G39" i="2" s="1"/>
  <c r="J39" i="2" s="1"/>
  <c r="K31" i="2"/>
  <c r="J97" i="2"/>
  <c r="J80" i="2"/>
  <c r="F42" i="2"/>
  <c r="J96" i="2"/>
  <c r="K28" i="2"/>
  <c r="H37" i="2"/>
  <c r="G44" i="2"/>
  <c r="K7" i="2"/>
  <c r="F92" i="2"/>
  <c r="J82" i="2"/>
  <c r="H52" i="2"/>
  <c r="G52" i="2" s="1"/>
  <c r="K30" i="2"/>
  <c r="G49" i="2"/>
  <c r="H88" i="2"/>
  <c r="N27" i="2"/>
  <c r="H51" i="2"/>
  <c r="G37" i="2"/>
  <c r="G51" i="2"/>
  <c r="H85" i="2"/>
  <c r="O33" i="2"/>
  <c r="H41" i="2"/>
  <c r="G41" i="2" s="1"/>
  <c r="F54" i="2"/>
  <c r="J99" i="2"/>
  <c r="O36" i="2"/>
  <c r="I23" i="2"/>
  <c r="J81" i="2"/>
  <c r="J77" i="2"/>
  <c r="F89" i="2"/>
  <c r="F99" i="2"/>
  <c r="K99" i="2" s="1"/>
  <c r="F46" i="2"/>
  <c r="K73" i="2"/>
  <c r="H38" i="2"/>
  <c r="G38" i="2" s="1"/>
  <c r="K11" i="2"/>
  <c r="F57" i="2"/>
  <c r="F44" i="2"/>
  <c r="F52" i="2"/>
  <c r="K63" i="2"/>
  <c r="H50" i="2"/>
  <c r="G50" i="2" s="1"/>
  <c r="J50" i="2" s="1"/>
  <c r="J89" i="2"/>
  <c r="H42" i="2"/>
  <c r="G42" i="2" s="1"/>
  <c r="H94" i="2"/>
  <c r="H48" i="2"/>
  <c r="H84" i="2"/>
  <c r="H97" i="2"/>
  <c r="G53" i="2"/>
  <c r="J84" i="2"/>
  <c r="H54" i="2"/>
  <c r="F39" i="2"/>
  <c r="K39" i="2" s="1"/>
  <c r="F49" i="2"/>
  <c r="J100" i="2"/>
  <c r="K100" i="2" s="1"/>
  <c r="K87" i="2"/>
  <c r="H86" i="2"/>
  <c r="F79" i="2"/>
  <c r="J94" i="2"/>
  <c r="K92" i="2"/>
  <c r="J93" i="2"/>
  <c r="K35" i="2"/>
  <c r="G58" i="2"/>
  <c r="O31" i="2"/>
  <c r="G46" i="2"/>
  <c r="I26" i="2"/>
  <c r="H60" i="2"/>
  <c r="G60" i="2" s="1"/>
  <c r="F88" i="2"/>
  <c r="H40" i="2"/>
  <c r="F83" i="2"/>
  <c r="H98" i="2"/>
  <c r="H81" i="2"/>
  <c r="J46" i="2"/>
  <c r="K46" i="2"/>
  <c r="G48" i="2"/>
  <c r="K16" i="2"/>
  <c r="J79" i="2"/>
  <c r="K79" i="2" s="1"/>
  <c r="H92" i="2"/>
  <c r="F80" i="2"/>
  <c r="F85" i="2"/>
  <c r="G59" i="2"/>
  <c r="H55" i="2"/>
  <c r="G55" i="2" s="1"/>
  <c r="G54" i="2"/>
  <c r="O35" i="2"/>
  <c r="J95" i="2"/>
  <c r="K70" i="2"/>
  <c r="F74" i="2"/>
  <c r="F50" i="2"/>
  <c r="K50" i="2" s="1"/>
  <c r="K72" i="2"/>
  <c r="F55" i="2"/>
  <c r="H78" i="2"/>
  <c r="H43" i="2"/>
  <c r="G43" i="2" s="1"/>
  <c r="F43" i="2"/>
  <c r="G47" i="2"/>
  <c r="F53" i="2"/>
  <c r="K82" i="2"/>
  <c r="J90" i="2"/>
  <c r="H90" i="2"/>
  <c r="F78" i="2"/>
  <c r="K78" i="2" s="1"/>
  <c r="J49" i="2"/>
  <c r="K49" i="2" s="1"/>
  <c r="F86" i="2"/>
  <c r="H80" i="2"/>
  <c r="O28" i="2"/>
  <c r="F77" i="2"/>
  <c r="F96" i="2"/>
  <c r="K62" i="2"/>
  <c r="J36" i="2"/>
  <c r="G40" i="2"/>
  <c r="AC19" i="2" l="1"/>
  <c r="AC78" i="2"/>
  <c r="AC81" i="2"/>
  <c r="AC45" i="2"/>
  <c r="AC90" i="2"/>
  <c r="AC44" i="2"/>
  <c r="AC138" i="2"/>
  <c r="AC77" i="2"/>
  <c r="AC129" i="2"/>
  <c r="AC110" i="2"/>
  <c r="AC59" i="2"/>
  <c r="AC152" i="2"/>
  <c r="AC117" i="2"/>
  <c r="AC134" i="2"/>
  <c r="AC50" i="2"/>
  <c r="AC17" i="2"/>
  <c r="AC119" i="2"/>
  <c r="AC28" i="2"/>
  <c r="AC36" i="2"/>
  <c r="AC83" i="2"/>
  <c r="AC142" i="2"/>
  <c r="AC82" i="2"/>
  <c r="AC109" i="2"/>
  <c r="AC95" i="2"/>
  <c r="AC140" i="2"/>
  <c r="AC40" i="2"/>
  <c r="AC6" i="2"/>
  <c r="AC25" i="2"/>
  <c r="AC39" i="2"/>
  <c r="AC139" i="2"/>
  <c r="AC10" i="2"/>
  <c r="AC126" i="2"/>
  <c r="AC32" i="2"/>
  <c r="AC143" i="2"/>
  <c r="AC130" i="2"/>
  <c r="AC20" i="2"/>
  <c r="AC53" i="2"/>
  <c r="AC61" i="2"/>
  <c r="AC147" i="2"/>
  <c r="AC55" i="2"/>
  <c r="AC87" i="2"/>
  <c r="AC22" i="2"/>
  <c r="AC96" i="2"/>
  <c r="AC69" i="2"/>
  <c r="AC113" i="2"/>
  <c r="AC102" i="2"/>
  <c r="AC51" i="2"/>
  <c r="AC136" i="2"/>
  <c r="AC84" i="2"/>
  <c r="AC57" i="2"/>
  <c r="AC9" i="2"/>
  <c r="AC127" i="2"/>
  <c r="AC114" i="2"/>
  <c r="AC12" i="2"/>
  <c r="AC29" i="2"/>
  <c r="AC62" i="2"/>
  <c r="AC70" i="2"/>
  <c r="AC60" i="2"/>
  <c r="AC104" i="2"/>
  <c r="AC27" i="2"/>
  <c r="AC86" i="2"/>
  <c r="AC97" i="2"/>
  <c r="AC149" i="2"/>
  <c r="AC146" i="2"/>
  <c r="AC31" i="2"/>
  <c r="AC131" i="2"/>
  <c r="AC153" i="2"/>
  <c r="AC13" i="2"/>
  <c r="AC128" i="2"/>
  <c r="AC111" i="2"/>
  <c r="AC65" i="2"/>
  <c r="AC107" i="2"/>
  <c r="AC21" i="2"/>
  <c r="AC54" i="2"/>
  <c r="AC26" i="2"/>
  <c r="AC49" i="2"/>
  <c r="AC124" i="2"/>
  <c r="AC89" i="2"/>
  <c r="AC91" i="2"/>
  <c r="AC150" i="2"/>
  <c r="AC98" i="2"/>
  <c r="AC94" i="2"/>
  <c r="AC43" i="2"/>
  <c r="AC88" i="2"/>
  <c r="AC76" i="2"/>
  <c r="AC37" i="2"/>
  <c r="AC132" i="2"/>
  <c r="AC72" i="2"/>
  <c r="AC5" i="2"/>
  <c r="AC38" i="2"/>
  <c r="AC75" i="2"/>
  <c r="AC141" i="2"/>
  <c r="AC56" i="2"/>
  <c r="AC64" i="2"/>
  <c r="AC101" i="2"/>
  <c r="AC63" i="2"/>
  <c r="AC121" i="2"/>
  <c r="AC85" i="2"/>
  <c r="AC118" i="2"/>
  <c r="AC100" i="2"/>
  <c r="AC15" i="2"/>
  <c r="AC18" i="2"/>
  <c r="AC14" i="2"/>
  <c r="AC120" i="2"/>
  <c r="AC123" i="2"/>
  <c r="AC30" i="2"/>
  <c r="AC47" i="2"/>
  <c r="AC125" i="2"/>
  <c r="AC73" i="2"/>
  <c r="AC135" i="2"/>
  <c r="AC74" i="2"/>
  <c r="AC105" i="2"/>
  <c r="AC52" i="2"/>
  <c r="AC34" i="2"/>
  <c r="AC24" i="2"/>
  <c r="AC99" i="2"/>
  <c r="AC46" i="2"/>
  <c r="AC106" i="2"/>
  <c r="AC79" i="2"/>
  <c r="AC103" i="2"/>
  <c r="AC148" i="2"/>
  <c r="AC112" i="2"/>
  <c r="AC66" i="2"/>
  <c r="AC108" i="2"/>
  <c r="AC71" i="2"/>
  <c r="AC41" i="2"/>
  <c r="AC80" i="2"/>
  <c r="AC35" i="2"/>
  <c r="AC137" i="2"/>
  <c r="AC145" i="2"/>
  <c r="AC67" i="2"/>
  <c r="AC133" i="2"/>
  <c r="AC33" i="2"/>
  <c r="AC151" i="2"/>
  <c r="AC4" i="2"/>
  <c r="AC115" i="2"/>
  <c r="AC16" i="2"/>
  <c r="AC48" i="2"/>
  <c r="AC92" i="2"/>
  <c r="AC7" i="2"/>
  <c r="AC144" i="2"/>
  <c r="AC11" i="2"/>
  <c r="AC68" i="2"/>
  <c r="AC23" i="2"/>
  <c r="AC58" i="2"/>
  <c r="AC93" i="2"/>
  <c r="AC42" i="2"/>
  <c r="AC116" i="2"/>
  <c r="AC8" i="2"/>
  <c r="AC122" i="2"/>
  <c r="AB117" i="2"/>
  <c r="AB111" i="2"/>
  <c r="AB84" i="2"/>
  <c r="AB44" i="2"/>
  <c r="AB33" i="2"/>
  <c r="AB52" i="2"/>
  <c r="AB56" i="2"/>
  <c r="AB5" i="2"/>
  <c r="AB95" i="2"/>
  <c r="AB93" i="2"/>
  <c r="AB144" i="2"/>
  <c r="AB122" i="2"/>
  <c r="AB138" i="2"/>
  <c r="AB16" i="2"/>
  <c r="AB34" i="2"/>
  <c r="AB143" i="2"/>
  <c r="AB65" i="2"/>
  <c r="AB11" i="2"/>
  <c r="AB30" i="2"/>
  <c r="AB112" i="2"/>
  <c r="AB148" i="2"/>
  <c r="AB124" i="2"/>
  <c r="AB57" i="2"/>
  <c r="AB132" i="2"/>
  <c r="AB79" i="2"/>
  <c r="AB85" i="2"/>
  <c r="AB128" i="2"/>
  <c r="AB22" i="2"/>
  <c r="AB24" i="2"/>
  <c r="AB18" i="2"/>
  <c r="AB41" i="2"/>
  <c r="AB64" i="2"/>
  <c r="AB81" i="2"/>
  <c r="AB42" i="2"/>
  <c r="AB28" i="2"/>
  <c r="AB36" i="2"/>
  <c r="AB35" i="2"/>
  <c r="AB94" i="2"/>
  <c r="AB113" i="2"/>
  <c r="AB61" i="2"/>
  <c r="AB69" i="2"/>
  <c r="AB80" i="2"/>
  <c r="AB77" i="2"/>
  <c r="AB96" i="2"/>
  <c r="AB14" i="2"/>
  <c r="AB145" i="2"/>
  <c r="AB118" i="2"/>
  <c r="AB48" i="2"/>
  <c r="AB66" i="2"/>
  <c r="AB87" i="2"/>
  <c r="AB103" i="2"/>
  <c r="AB135" i="2"/>
  <c r="AB4" i="2"/>
  <c r="AB37" i="2"/>
  <c r="AB45" i="2"/>
  <c r="AB99" i="2"/>
  <c r="AB7" i="2"/>
  <c r="AB114" i="2"/>
  <c r="AB125" i="2"/>
  <c r="AB149" i="2"/>
  <c r="AB97" i="2"/>
  <c r="AB6" i="2"/>
  <c r="AB129" i="2"/>
  <c r="AB110" i="2"/>
  <c r="AB25" i="2"/>
  <c r="AB39" i="2"/>
  <c r="AB67" i="2"/>
  <c r="AB75" i="2"/>
  <c r="AB83" i="2"/>
  <c r="AB91" i="2"/>
  <c r="AB147" i="2"/>
  <c r="AB29" i="2"/>
  <c r="AB62" i="2"/>
  <c r="AB70" i="2"/>
  <c r="AB12" i="2"/>
  <c r="AB71" i="2"/>
  <c r="AB119" i="2"/>
  <c r="AB38" i="2"/>
  <c r="AB78" i="2"/>
  <c r="AB130" i="2"/>
  <c r="AB86" i="2"/>
  <c r="AB146" i="2"/>
  <c r="AB31" i="2"/>
  <c r="AB59" i="2"/>
  <c r="AB88" i="2"/>
  <c r="AB92" i="2"/>
  <c r="AB100" i="2"/>
  <c r="AB108" i="2"/>
  <c r="AB116" i="2"/>
  <c r="AB21" i="2"/>
  <c r="AB54" i="2"/>
  <c r="AB63" i="2"/>
  <c r="AB8" i="2"/>
  <c r="AB43" i="2"/>
  <c r="AB151" i="2"/>
  <c r="AB51" i="2"/>
  <c r="AB139" i="2"/>
  <c r="AB109" i="2"/>
  <c r="AB141" i="2"/>
  <c r="AB55" i="2"/>
  <c r="AB10" i="2"/>
  <c r="AB140" i="2"/>
  <c r="AB121" i="2"/>
  <c r="AB107" i="2"/>
  <c r="AB19" i="2"/>
  <c r="AB26" i="2"/>
  <c r="AB27" i="2"/>
  <c r="AB49" i="2"/>
  <c r="AB131" i="2"/>
  <c r="AB73" i="2"/>
  <c r="AB68" i="2"/>
  <c r="AB90" i="2"/>
  <c r="AB126" i="2"/>
  <c r="AB134" i="2"/>
  <c r="AB142" i="2"/>
  <c r="AB150" i="2"/>
  <c r="AB47" i="2"/>
  <c r="AB137" i="2"/>
  <c r="AB40" i="2"/>
  <c r="AB58" i="2"/>
  <c r="AB53" i="2"/>
  <c r="AB106" i="2"/>
  <c r="AB20" i="2"/>
  <c r="AB115" i="2"/>
  <c r="AB32" i="2"/>
  <c r="AB123" i="2"/>
  <c r="AB50" i="2"/>
  <c r="AB60" i="2"/>
  <c r="AB74" i="2"/>
  <c r="AB13" i="2"/>
  <c r="AB127" i="2"/>
  <c r="AB104" i="2"/>
  <c r="AB120" i="2"/>
  <c r="AB152" i="2"/>
  <c r="AB9" i="2"/>
  <c r="AB105" i="2"/>
  <c r="AB17" i="2"/>
  <c r="AB82" i="2"/>
  <c r="AB98" i="2"/>
  <c r="AB76" i="2"/>
  <c r="AB136" i="2"/>
  <c r="AB102" i="2"/>
  <c r="AB15" i="2"/>
  <c r="AB23" i="2"/>
  <c r="AB72" i="2"/>
  <c r="AB89" i="2"/>
  <c r="AB101" i="2"/>
  <c r="AB133" i="2"/>
  <c r="AB46" i="2"/>
  <c r="AB153" i="2"/>
  <c r="M89" i="2"/>
  <c r="M93" i="2"/>
  <c r="M85" i="2"/>
  <c r="M77" i="2"/>
  <c r="M100" i="2"/>
  <c r="M92" i="2"/>
  <c r="M84" i="2"/>
  <c r="M76" i="2"/>
  <c r="M99" i="2"/>
  <c r="M91" i="2"/>
  <c r="M83" i="2"/>
  <c r="M81" i="2"/>
  <c r="M98" i="2"/>
  <c r="M96" i="2"/>
  <c r="M88" i="2"/>
  <c r="M80" i="2"/>
  <c r="M75" i="2"/>
  <c r="M74" i="2"/>
  <c r="M82" i="2"/>
  <c r="M97" i="2"/>
  <c r="M95" i="2"/>
  <c r="M87" i="2"/>
  <c r="M79" i="2"/>
  <c r="M90" i="2"/>
  <c r="M94" i="2"/>
  <c r="M86" i="2"/>
  <c r="M78" i="2"/>
  <c r="M49" i="2"/>
  <c r="M53" i="2"/>
  <c r="M57" i="2"/>
  <c r="M41" i="2"/>
  <c r="M56" i="2"/>
  <c r="M48" i="2"/>
  <c r="M40" i="2"/>
  <c r="M55" i="2"/>
  <c r="M47" i="2"/>
  <c r="M39" i="2"/>
  <c r="M54" i="2"/>
  <c r="M46" i="2"/>
  <c r="M38" i="2"/>
  <c r="M37" i="2"/>
  <c r="M45" i="2"/>
  <c r="M60" i="2"/>
  <c r="M52" i="2"/>
  <c r="M44" i="2"/>
  <c r="M59" i="2"/>
  <c r="M51" i="2"/>
  <c r="M43" i="2"/>
  <c r="M58" i="2"/>
  <c r="M50" i="2"/>
  <c r="M42" i="2"/>
  <c r="M26" i="2"/>
  <c r="M4" i="2"/>
  <c r="M22" i="2"/>
  <c r="M23" i="2"/>
  <c r="M24" i="2"/>
  <c r="M25" i="2"/>
  <c r="AK4" i="2"/>
  <c r="J40" i="2"/>
  <c r="J38" i="2"/>
  <c r="K94" i="2"/>
  <c r="N90" i="2"/>
  <c r="I80" i="2"/>
  <c r="I78" i="2"/>
  <c r="N46" i="2"/>
  <c r="N78" i="2"/>
  <c r="I54" i="2"/>
  <c r="K80" i="2"/>
  <c r="I57" i="2"/>
  <c r="J55" i="2"/>
  <c r="N98" i="2"/>
  <c r="N4" i="2"/>
  <c r="N40" i="2"/>
  <c r="N51" i="2"/>
  <c r="N77" i="2"/>
  <c r="I60" i="2"/>
  <c r="I92" i="2"/>
  <c r="K36" i="2"/>
  <c r="K77" i="2"/>
  <c r="K86" i="2"/>
  <c r="N86" i="2"/>
  <c r="I89" i="2"/>
  <c r="J23" i="2"/>
  <c r="N22" i="2"/>
  <c r="N53" i="2"/>
  <c r="N93" i="2"/>
  <c r="K90" i="2"/>
  <c r="I59" i="2"/>
  <c r="K76" i="2"/>
  <c r="N49" i="2"/>
  <c r="I91" i="2"/>
  <c r="J25" i="2"/>
  <c r="J22" i="2"/>
  <c r="N23" i="2"/>
  <c r="N39" i="2"/>
  <c r="N91" i="2"/>
  <c r="K93" i="2"/>
  <c r="K81" i="2"/>
  <c r="K98" i="2"/>
  <c r="J53" i="2"/>
  <c r="N100" i="2"/>
  <c r="I90" i="2"/>
  <c r="I93" i="2"/>
  <c r="AK5" i="2"/>
  <c r="N45" i="2"/>
  <c r="N87" i="2"/>
  <c r="N76" i="2"/>
  <c r="N80" i="2"/>
  <c r="I53" i="2"/>
  <c r="N59" i="2"/>
  <c r="J26" i="2"/>
  <c r="I94" i="2"/>
  <c r="N50" i="2"/>
  <c r="I48" i="2"/>
  <c r="I87" i="2"/>
  <c r="J41" i="2"/>
  <c r="K83" i="2"/>
  <c r="N79" i="2"/>
  <c r="I82" i="2"/>
  <c r="K4" i="2"/>
  <c r="N56" i="2"/>
  <c r="N88" i="2"/>
  <c r="N37" i="2"/>
  <c r="I38" i="2"/>
  <c r="I76" i="2"/>
  <c r="N44" i="2"/>
  <c r="I74" i="2"/>
  <c r="J44" i="2"/>
  <c r="K75" i="2"/>
  <c r="I58" i="2"/>
  <c r="I40" i="2"/>
  <c r="AK6" i="2"/>
  <c r="N38" i="2"/>
  <c r="I52" i="2"/>
  <c r="I39" i="2"/>
  <c r="I43" i="2"/>
  <c r="I88" i="2"/>
  <c r="K55" i="2"/>
  <c r="N74" i="2"/>
  <c r="K84" i="2"/>
  <c r="N48" i="2"/>
  <c r="J37" i="2"/>
  <c r="I97" i="2"/>
  <c r="J24" i="2"/>
  <c r="I85" i="2"/>
  <c r="I44" i="2"/>
  <c r="I56" i="2"/>
  <c r="J48" i="2"/>
  <c r="K91" i="2"/>
  <c r="K85" i="2"/>
  <c r="N47" i="2"/>
  <c r="I50" i="2"/>
  <c r="I37" i="2"/>
  <c r="I84" i="2"/>
  <c r="N95" i="2"/>
  <c r="I49" i="2"/>
  <c r="J51" i="2"/>
  <c r="N57" i="2"/>
  <c r="J45" i="2"/>
  <c r="I41" i="2"/>
  <c r="N58" i="2"/>
  <c r="N94" i="2"/>
  <c r="J52" i="2"/>
  <c r="I79" i="2"/>
  <c r="I100" i="2"/>
  <c r="N41" i="2"/>
  <c r="N96" i="2"/>
  <c r="J54" i="2"/>
  <c r="N60" i="2"/>
  <c r="I96" i="2"/>
  <c r="J57" i="2"/>
  <c r="I86" i="2"/>
  <c r="N81" i="2"/>
  <c r="J47" i="2"/>
  <c r="J56" i="2"/>
  <c r="K56" i="2" s="1"/>
  <c r="K88" i="2"/>
  <c r="I98" i="2"/>
  <c r="N84" i="2"/>
  <c r="K89" i="2"/>
  <c r="J60" i="2"/>
  <c r="K60" i="2" s="1"/>
  <c r="I95" i="2"/>
  <c r="I47" i="2"/>
  <c r="J43" i="2"/>
  <c r="N54" i="2"/>
  <c r="I51" i="2"/>
  <c r="N24" i="2"/>
  <c r="N43" i="2"/>
  <c r="N26" i="2"/>
  <c r="O27" i="2"/>
  <c r="N55" i="2"/>
  <c r="K95" i="2"/>
  <c r="K96" i="2"/>
  <c r="J59" i="2"/>
  <c r="K59" i="2" s="1"/>
  <c r="N83" i="2"/>
  <c r="K97" i="2"/>
  <c r="I81" i="2"/>
  <c r="N25" i="2"/>
  <c r="I46" i="2"/>
  <c r="N99" i="2"/>
  <c r="I55" i="2"/>
  <c r="K24" i="2"/>
  <c r="N97" i="2"/>
  <c r="K74" i="2"/>
  <c r="N42" i="2"/>
  <c r="N75" i="2"/>
  <c r="I75" i="2"/>
  <c r="K22" i="2"/>
  <c r="K53" i="2"/>
  <c r="N82" i="2"/>
  <c r="I45" i="2"/>
  <c r="I77" i="2"/>
  <c r="J42" i="2"/>
  <c r="I99" i="2"/>
  <c r="N92" i="2"/>
  <c r="I42" i="2"/>
  <c r="J58" i="2"/>
  <c r="N85" i="2"/>
  <c r="N52" i="2"/>
  <c r="N89" i="2"/>
  <c r="I83" i="2"/>
  <c r="K58" i="2"/>
  <c r="K51" i="2"/>
  <c r="O46" i="2"/>
  <c r="O92" i="2"/>
  <c r="O75" i="2"/>
  <c r="K23" i="2"/>
  <c r="O58" i="2"/>
  <c r="O47" i="2"/>
  <c r="O95" i="2"/>
  <c r="K42" i="2"/>
  <c r="K48" i="2"/>
  <c r="O48" i="2"/>
  <c r="O54" i="2"/>
  <c r="O79" i="2"/>
  <c r="O100" i="2"/>
  <c r="O86" i="2"/>
  <c r="O81" i="2"/>
  <c r="O24" i="2"/>
  <c r="K43" i="2"/>
  <c r="K37" i="2"/>
  <c r="O60" i="2"/>
  <c r="O57" i="2"/>
  <c r="O97" i="2"/>
  <c r="O74" i="2"/>
  <c r="O55" i="2"/>
  <c r="O44" i="2"/>
  <c r="O96" i="2"/>
  <c r="O42" i="2"/>
  <c r="K47" i="2"/>
  <c r="AK7" i="2"/>
  <c r="AK8" i="2" s="1"/>
  <c r="O50" i="2"/>
  <c r="O39" i="2"/>
  <c r="O89" i="2"/>
  <c r="O23" i="2"/>
  <c r="O51" i="2"/>
  <c r="O41" i="2"/>
  <c r="O90" i="2"/>
  <c r="K57" i="2"/>
  <c r="K44" i="2"/>
  <c r="O40" i="2"/>
  <c r="O52" i="2"/>
  <c r="O82" i="2"/>
  <c r="K26" i="2"/>
  <c r="K25" i="2"/>
  <c r="O4" i="2"/>
  <c r="O85" i="2"/>
  <c r="K54" i="2"/>
  <c r="K41" i="2"/>
  <c r="O99" i="2"/>
  <c r="O26" i="2"/>
  <c r="O59" i="2"/>
  <c r="O49" i="2"/>
  <c r="O76" i="2"/>
  <c r="AK9" i="2"/>
  <c r="K38" i="2"/>
  <c r="O88" i="2"/>
  <c r="O38" i="2"/>
  <c r="O84" i="2"/>
  <c r="O83" i="2"/>
  <c r="K45" i="2"/>
  <c r="K40" i="2"/>
  <c r="O56" i="2"/>
  <c r="O93" i="2"/>
  <c r="O78" i="2"/>
  <c r="O77" i="2"/>
  <c r="O94" i="2"/>
  <c r="O37" i="2"/>
  <c r="O98" i="2"/>
  <c r="K52" i="2"/>
  <c r="O43" i="2"/>
  <c r="O25" i="2"/>
  <c r="O45" i="2"/>
  <c r="O91" i="2"/>
  <c r="O80" i="2"/>
  <c r="O87" i="2"/>
  <c r="O53" i="2"/>
  <c r="O22" i="2"/>
  <c r="AK10" i="2"/>
  <c r="AK11" i="2" l="1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 s="1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AK1734" i="2"/>
  <c r="AK1735" i="2"/>
  <c r="AK1736" i="2"/>
  <c r="AK1737" i="2"/>
  <c r="AK1738" i="2"/>
  <c r="AK1739" i="2"/>
  <c r="AK1740" i="2"/>
  <c r="AK1741" i="2"/>
  <c r="AK1742" i="2"/>
  <c r="AK1743" i="2"/>
  <c r="AK1744" i="2"/>
  <c r="AK1745" i="2"/>
  <c r="AK1746" i="2"/>
  <c r="AK1747" i="2"/>
  <c r="AK1748" i="2"/>
  <c r="AK1749" i="2"/>
  <c r="AK1750" i="2"/>
  <c r="AK1751" i="2"/>
  <c r="AK1752" i="2"/>
  <c r="AK1753" i="2"/>
  <c r="AK1754" i="2"/>
  <c r="AK1755" i="2"/>
  <c r="AK1756" i="2"/>
  <c r="AK1757" i="2"/>
  <c r="AK1758" i="2"/>
  <c r="AK1759" i="2"/>
  <c r="AK1760" i="2"/>
  <c r="AK1761" i="2"/>
  <c r="AK1762" i="2"/>
  <c r="AK1763" i="2"/>
  <c r="AK1764" i="2"/>
  <c r="AK1765" i="2"/>
  <c r="AK1766" i="2"/>
  <c r="AK1767" i="2"/>
  <c r="AK1768" i="2"/>
  <c r="AK1769" i="2"/>
  <c r="AK1770" i="2"/>
  <c r="AK1771" i="2"/>
  <c r="AK1772" i="2"/>
  <c r="AK1773" i="2"/>
  <c r="AK1774" i="2"/>
  <c r="AK1775" i="2"/>
  <c r="AK1776" i="2"/>
  <c r="AK1777" i="2"/>
  <c r="AK1778" i="2"/>
  <c r="AK1779" i="2"/>
  <c r="AK1780" i="2"/>
  <c r="AK1781" i="2"/>
  <c r="AK1782" i="2"/>
  <c r="AK1783" i="2"/>
  <c r="AK1784" i="2"/>
  <c r="AK1785" i="2"/>
  <c r="AK1786" i="2"/>
  <c r="AK1787" i="2"/>
  <c r="AK1788" i="2"/>
  <c r="AK1789" i="2"/>
  <c r="AK1790" i="2"/>
  <c r="AK1791" i="2"/>
  <c r="AK1792" i="2"/>
  <c r="AK1793" i="2"/>
  <c r="AK1794" i="2"/>
  <c r="AK1795" i="2"/>
  <c r="AK1796" i="2"/>
  <c r="AK1797" i="2"/>
  <c r="AK1798" i="2"/>
  <c r="AK1799" i="2"/>
  <c r="AK1800" i="2"/>
  <c r="AK1801" i="2"/>
  <c r="AK1802" i="2"/>
  <c r="AK1803" i="2"/>
  <c r="AK1804" i="2"/>
  <c r="AK1805" i="2"/>
  <c r="AK1806" i="2"/>
  <c r="AK1807" i="2"/>
  <c r="AK1808" i="2"/>
  <c r="AK1809" i="2"/>
  <c r="AK1810" i="2"/>
  <c r="AK1811" i="2"/>
  <c r="AK1812" i="2"/>
  <c r="AK1813" i="2"/>
  <c r="AK1814" i="2"/>
  <c r="AK1815" i="2"/>
  <c r="AK1816" i="2"/>
  <c r="AK1817" i="2"/>
  <c r="AK1818" i="2"/>
  <c r="AK1819" i="2"/>
  <c r="AK1820" i="2"/>
  <c r="AK1821" i="2"/>
  <c r="AK1822" i="2"/>
  <c r="AK1823" i="2"/>
  <c r="AK1824" i="2"/>
  <c r="AK1825" i="2"/>
  <c r="AK1826" i="2"/>
  <c r="AK1827" i="2"/>
  <c r="AK1828" i="2"/>
  <c r="AK1829" i="2"/>
  <c r="AK1830" i="2"/>
  <c r="AK1831" i="2"/>
  <c r="AK1832" i="2"/>
  <c r="AK1833" i="2"/>
  <c r="AK1834" i="2"/>
  <c r="AK1835" i="2"/>
  <c r="AK1836" i="2"/>
  <c r="AK1837" i="2"/>
  <c r="AK1838" i="2"/>
  <c r="AK1839" i="2"/>
  <c r="AK1840" i="2"/>
  <c r="AK1841" i="2"/>
  <c r="AK1842" i="2"/>
  <c r="AK1843" i="2"/>
  <c r="AK1844" i="2"/>
  <c r="AK1845" i="2"/>
  <c r="AK1846" i="2"/>
  <c r="AK1847" i="2"/>
  <c r="AK1848" i="2"/>
  <c r="AK1849" i="2"/>
  <c r="AK1850" i="2"/>
  <c r="AK1851" i="2"/>
  <c r="AK1852" i="2"/>
  <c r="AK1853" i="2"/>
  <c r="AK1854" i="2"/>
  <c r="AK1855" i="2"/>
  <c r="AK1856" i="2"/>
  <c r="AK1857" i="2"/>
  <c r="AK1858" i="2"/>
  <c r="AK1859" i="2"/>
  <c r="AK1860" i="2"/>
  <c r="AK1861" i="2"/>
  <c r="AK1862" i="2"/>
  <c r="AK1863" i="2"/>
  <c r="AK1864" i="2"/>
  <c r="AK1865" i="2"/>
  <c r="AK1866" i="2"/>
  <c r="AK1867" i="2"/>
  <c r="AK1868" i="2"/>
  <c r="AK1869" i="2"/>
  <c r="AK1870" i="2"/>
  <c r="AK1871" i="2"/>
  <c r="AK1872" i="2"/>
  <c r="AK1873" i="2"/>
  <c r="AK1874" i="2"/>
  <c r="AK1875" i="2"/>
  <c r="AK1876" i="2"/>
  <c r="AK1877" i="2"/>
  <c r="AK1878" i="2"/>
  <c r="AK1879" i="2"/>
  <c r="AK1880" i="2"/>
  <c r="AK1881" i="2"/>
  <c r="AK1882" i="2"/>
  <c r="AK1883" i="2"/>
  <c r="AK1884" i="2"/>
  <c r="AK1885" i="2"/>
  <c r="AK1886" i="2"/>
  <c r="AK1887" i="2"/>
  <c r="AK1888" i="2"/>
  <c r="AK1889" i="2"/>
  <c r="AK1890" i="2"/>
  <c r="AK1891" i="2"/>
  <c r="AK1892" i="2"/>
  <c r="AK1893" i="2"/>
  <c r="AK1894" i="2"/>
  <c r="AK1895" i="2"/>
  <c r="AK1896" i="2"/>
  <c r="AK1897" i="2"/>
  <c r="AK1898" i="2"/>
  <c r="AK1899" i="2"/>
  <c r="AK1900" i="2"/>
  <c r="AK1901" i="2"/>
  <c r="AK1902" i="2"/>
  <c r="AK1903" i="2"/>
  <c r="AK1904" i="2"/>
  <c r="AK1905" i="2"/>
  <c r="AK1906" i="2"/>
  <c r="AK1907" i="2"/>
  <c r="AK1908" i="2"/>
  <c r="AK1909" i="2"/>
  <c r="AK1910" i="2"/>
  <c r="AK1911" i="2"/>
  <c r="AK1912" i="2"/>
  <c r="AK1913" i="2"/>
  <c r="AK1914" i="2"/>
  <c r="AK1915" i="2"/>
  <c r="AK1916" i="2"/>
  <c r="AK1917" i="2"/>
  <c r="AK1918" i="2"/>
  <c r="AK1919" i="2"/>
  <c r="AK1920" i="2"/>
  <c r="AK1921" i="2"/>
  <c r="AK1922" i="2"/>
  <c r="AK1923" i="2"/>
  <c r="AK1924" i="2"/>
  <c r="AK1925" i="2"/>
  <c r="AK1926" i="2"/>
  <c r="AK1927" i="2"/>
  <c r="AK1928" i="2"/>
  <c r="AK1929" i="2"/>
  <c r="AK1930" i="2"/>
  <c r="AK1931" i="2"/>
  <c r="AK1932" i="2"/>
  <c r="AK1933" i="2"/>
  <c r="AK1934" i="2"/>
  <c r="AK1935" i="2"/>
  <c r="AK1936" i="2"/>
  <c r="AK1937" i="2"/>
  <c r="AK1938" i="2"/>
  <c r="AK1939" i="2"/>
  <c r="AK1940" i="2"/>
  <c r="AK1941" i="2"/>
  <c r="AK1942" i="2"/>
  <c r="AK1943" i="2"/>
  <c r="AK1944" i="2"/>
  <c r="AK1945" i="2"/>
  <c r="AK1946" i="2"/>
  <c r="AK1947" i="2"/>
  <c r="AK1948" i="2"/>
  <c r="AK1949" i="2"/>
  <c r="AK1950" i="2"/>
  <c r="AK1951" i="2"/>
  <c r="AK1952" i="2"/>
  <c r="AK1953" i="2"/>
  <c r="AK1954" i="2"/>
  <c r="AK1955" i="2"/>
  <c r="AK1956" i="2"/>
  <c r="AK1957" i="2"/>
  <c r="AK1958" i="2"/>
  <c r="AK1959" i="2"/>
  <c r="AK1960" i="2"/>
  <c r="AK1961" i="2"/>
  <c r="AK1962" i="2"/>
  <c r="AK1963" i="2"/>
  <c r="AK1964" i="2"/>
  <c r="AK1965" i="2"/>
  <c r="AK1966" i="2"/>
  <c r="AK1967" i="2"/>
  <c r="AK1968" i="2"/>
  <c r="AK1969" i="2"/>
  <c r="AK1970" i="2"/>
  <c r="AK1971" i="2"/>
  <c r="AK1972" i="2"/>
  <c r="AK1973" i="2"/>
  <c r="AK1974" i="2"/>
  <c r="AK1975" i="2"/>
  <c r="AK1976" i="2"/>
  <c r="AK1977" i="2"/>
  <c r="AK1978" i="2"/>
  <c r="AK1979" i="2"/>
  <c r="AK1980" i="2"/>
  <c r="AK1981" i="2"/>
  <c r="AK1982" i="2"/>
  <c r="AK1983" i="2"/>
  <c r="AK1984" i="2"/>
  <c r="AK1985" i="2"/>
  <c r="AK1986" i="2"/>
  <c r="AK1987" i="2"/>
  <c r="AK1988" i="2"/>
  <c r="AK1989" i="2"/>
  <c r="AK1990" i="2"/>
  <c r="AK1991" i="2"/>
  <c r="AK1992" i="2"/>
  <c r="AK1993" i="2"/>
  <c r="AK1994" i="2"/>
  <c r="AK1995" i="2"/>
  <c r="AK1996" i="2"/>
  <c r="AK1997" i="2"/>
  <c r="AK1998" i="2"/>
  <c r="AK1999" i="2"/>
  <c r="AK2000" i="2"/>
  <c r="AK2001" i="2"/>
  <c r="AK2002" i="2"/>
  <c r="AK2003" i="2"/>
  <c r="AK2004" i="2"/>
  <c r="AK2005" i="2"/>
  <c r="AK2006" i="2"/>
  <c r="AK2007" i="2"/>
  <c r="AK2008" i="2"/>
  <c r="AK2009" i="2"/>
  <c r="AK2010" i="2"/>
  <c r="AK2011" i="2"/>
  <c r="AK2012" i="2"/>
  <c r="AK2013" i="2"/>
  <c r="AK2014" i="2"/>
  <c r="AK2015" i="2"/>
  <c r="AK2016" i="2"/>
  <c r="AK2017" i="2"/>
  <c r="AK2018" i="2"/>
  <c r="AK2019" i="2"/>
  <c r="AK2020" i="2"/>
  <c r="AK2021" i="2"/>
  <c r="AK2022" i="2"/>
  <c r="AK2023" i="2"/>
  <c r="AK2024" i="2"/>
  <c r="AK2025" i="2"/>
  <c r="AK2026" i="2"/>
  <c r="AK2027" i="2"/>
  <c r="AK2028" i="2"/>
  <c r="AK2029" i="2"/>
  <c r="AK2030" i="2"/>
  <c r="AK2031" i="2"/>
  <c r="AK2032" i="2"/>
  <c r="AK2033" i="2"/>
  <c r="AK2034" i="2"/>
  <c r="AK2035" i="2"/>
  <c r="AK2036" i="2"/>
  <c r="AK2037" i="2"/>
  <c r="AK2038" i="2"/>
  <c r="AK2039" i="2"/>
  <c r="AK2040" i="2"/>
  <c r="AK2041" i="2"/>
  <c r="AK2042" i="2"/>
  <c r="AK2043" i="2"/>
  <c r="AK2044" i="2"/>
  <c r="AK2045" i="2"/>
  <c r="AK2046" i="2"/>
  <c r="AK2047" i="2"/>
  <c r="AK2048" i="2"/>
  <c r="AK2049" i="2"/>
  <c r="AK2050" i="2"/>
  <c r="AK2051" i="2"/>
  <c r="AK2052" i="2"/>
  <c r="AK2053" i="2"/>
  <c r="AK2054" i="2"/>
  <c r="AK2055" i="2"/>
  <c r="AK2056" i="2"/>
  <c r="AK2057" i="2"/>
  <c r="AK2058" i="2"/>
  <c r="AK2059" i="2"/>
  <c r="AK2060" i="2"/>
  <c r="AK2061" i="2"/>
  <c r="AK2062" i="2"/>
  <c r="AK2063" i="2"/>
  <c r="AK2064" i="2"/>
  <c r="AK2065" i="2"/>
  <c r="AK2066" i="2"/>
  <c r="AK2067" i="2"/>
  <c r="AK2068" i="2"/>
  <c r="AK2069" i="2"/>
  <c r="AK2070" i="2"/>
  <c r="AK2071" i="2"/>
  <c r="AK2072" i="2"/>
  <c r="AK2073" i="2"/>
  <c r="AK2074" i="2"/>
  <c r="AK2075" i="2"/>
  <c r="AK2076" i="2"/>
  <c r="AK2077" i="2"/>
  <c r="AK2078" i="2"/>
  <c r="AK2079" i="2"/>
  <c r="AK2080" i="2"/>
  <c r="AK2081" i="2"/>
  <c r="AK2082" i="2"/>
  <c r="AK2083" i="2"/>
  <c r="AK2084" i="2"/>
  <c r="AK2085" i="2"/>
  <c r="AK2086" i="2"/>
  <c r="AK2087" i="2"/>
  <c r="AK2088" i="2"/>
  <c r="AK2089" i="2"/>
  <c r="AK2090" i="2"/>
  <c r="AK2091" i="2"/>
  <c r="AK2092" i="2"/>
  <c r="AK2093" i="2"/>
  <c r="AK2094" i="2"/>
  <c r="AK2095" i="2"/>
  <c r="AK2096" i="2"/>
  <c r="AK2097" i="2"/>
  <c r="AK2098" i="2"/>
  <c r="AK2099" i="2"/>
  <c r="AK2100" i="2"/>
  <c r="AK2101" i="2"/>
  <c r="AK2102" i="2"/>
  <c r="AK2103" i="2"/>
  <c r="AK2104" i="2"/>
  <c r="AK2105" i="2"/>
  <c r="AK2106" i="2"/>
  <c r="AK2107" i="2"/>
  <c r="AK2108" i="2"/>
  <c r="AK2109" i="2"/>
  <c r="AK2110" i="2"/>
  <c r="AK2111" i="2"/>
  <c r="AK2112" i="2"/>
  <c r="AK2113" i="2"/>
  <c r="AK2114" i="2"/>
  <c r="AK2115" i="2"/>
  <c r="AK2116" i="2"/>
  <c r="AK2117" i="2"/>
  <c r="AK2118" i="2"/>
  <c r="AK2119" i="2"/>
  <c r="AK2120" i="2"/>
  <c r="AK2121" i="2"/>
  <c r="AK2122" i="2"/>
  <c r="AK2123" i="2"/>
  <c r="AK2124" i="2"/>
  <c r="AK2125" i="2"/>
  <c r="AK2126" i="2"/>
  <c r="AK2127" i="2"/>
  <c r="AK2128" i="2"/>
  <c r="AK2129" i="2"/>
  <c r="AK2130" i="2"/>
  <c r="AK2131" i="2"/>
  <c r="AK2132" i="2"/>
  <c r="AK2133" i="2"/>
  <c r="AK2134" i="2"/>
  <c r="AK2135" i="2"/>
  <c r="AK2136" i="2"/>
  <c r="AK2137" i="2"/>
  <c r="AK2138" i="2"/>
  <c r="AK2139" i="2"/>
  <c r="AK2140" i="2"/>
  <c r="AK2141" i="2"/>
  <c r="AK2142" i="2"/>
  <c r="AK2143" i="2"/>
  <c r="AK2144" i="2"/>
  <c r="AK2145" i="2"/>
  <c r="AK2146" i="2"/>
  <c r="AK2147" i="2"/>
  <c r="AK2148" i="2"/>
  <c r="AK2149" i="2"/>
  <c r="AK2150" i="2"/>
  <c r="AK2151" i="2"/>
  <c r="AK2152" i="2"/>
  <c r="AK2153" i="2"/>
  <c r="AK2154" i="2"/>
  <c r="AK2155" i="2"/>
  <c r="AK2156" i="2"/>
  <c r="AK2157" i="2"/>
  <c r="AK2158" i="2"/>
  <c r="AK2159" i="2"/>
  <c r="AK2160" i="2"/>
  <c r="AK2161" i="2"/>
  <c r="AK2162" i="2"/>
  <c r="AK2163" i="2"/>
  <c r="AK2164" i="2"/>
  <c r="AK2165" i="2"/>
  <c r="AK2166" i="2"/>
  <c r="AK2167" i="2"/>
  <c r="AK2168" i="2"/>
  <c r="AK2169" i="2"/>
  <c r="AK2170" i="2"/>
  <c r="AK2171" i="2"/>
  <c r="AK2172" i="2"/>
  <c r="AK2173" i="2"/>
  <c r="AK2174" i="2"/>
  <c r="AK2175" i="2"/>
  <c r="AK2176" i="2"/>
  <c r="AK2177" i="2"/>
  <c r="AK2178" i="2"/>
  <c r="AK2179" i="2"/>
  <c r="AK2180" i="2"/>
  <c r="AK2181" i="2"/>
  <c r="AK2182" i="2"/>
  <c r="AK2183" i="2"/>
  <c r="AK2184" i="2"/>
  <c r="AK2185" i="2"/>
  <c r="AK2186" i="2"/>
  <c r="AK2187" i="2"/>
  <c r="AK2188" i="2"/>
  <c r="AK2189" i="2"/>
  <c r="AK2190" i="2"/>
  <c r="AK2191" i="2"/>
  <c r="AK2192" i="2"/>
  <c r="AK2193" i="2"/>
  <c r="AK2194" i="2"/>
  <c r="AK2195" i="2"/>
  <c r="AK2196" i="2"/>
  <c r="AK2197" i="2"/>
  <c r="AK2198" i="2"/>
  <c r="AK2199" i="2"/>
  <c r="AK2200" i="2"/>
  <c r="AK2201" i="2"/>
  <c r="AK2202" i="2"/>
  <c r="AK2203" i="2"/>
  <c r="AK2204" i="2"/>
  <c r="AK2205" i="2"/>
  <c r="AK2206" i="2"/>
  <c r="AK2207" i="2"/>
  <c r="AK2208" i="2"/>
  <c r="AK2209" i="2"/>
  <c r="AK2210" i="2"/>
  <c r="AK2211" i="2"/>
  <c r="AK2212" i="2"/>
  <c r="AK2213" i="2"/>
  <c r="AK2214" i="2"/>
  <c r="AK2215" i="2"/>
  <c r="AK2216" i="2"/>
  <c r="AK2217" i="2"/>
  <c r="AK2218" i="2"/>
  <c r="AK2219" i="2"/>
  <c r="AK2220" i="2"/>
  <c r="AK2221" i="2"/>
  <c r="AK2222" i="2"/>
  <c r="AK2223" i="2"/>
  <c r="AK2224" i="2"/>
  <c r="AK2225" i="2"/>
  <c r="AK2226" i="2"/>
  <c r="AK2227" i="2"/>
  <c r="AK2228" i="2"/>
  <c r="AK2229" i="2"/>
  <c r="AK2230" i="2"/>
  <c r="AK2231" i="2"/>
  <c r="AK2232" i="2"/>
  <c r="AK2233" i="2"/>
  <c r="AK2234" i="2"/>
  <c r="AK2235" i="2"/>
  <c r="AK2236" i="2"/>
  <c r="AK2237" i="2"/>
  <c r="AK2238" i="2"/>
  <c r="AK2239" i="2"/>
  <c r="AK2240" i="2"/>
  <c r="AK2241" i="2"/>
  <c r="AK2242" i="2"/>
  <c r="AK2243" i="2"/>
  <c r="AK2244" i="2"/>
  <c r="AK2245" i="2"/>
  <c r="AK2246" i="2"/>
  <c r="AK2247" i="2"/>
  <c r="AK2248" i="2"/>
  <c r="AK2249" i="2"/>
  <c r="AK2250" i="2"/>
  <c r="AK2251" i="2"/>
  <c r="AK2252" i="2"/>
  <c r="AK2253" i="2"/>
  <c r="AK2254" i="2"/>
  <c r="AK2255" i="2"/>
  <c r="AK2256" i="2"/>
  <c r="AK2257" i="2"/>
  <c r="AK2258" i="2"/>
  <c r="AK2259" i="2"/>
  <c r="AK2260" i="2"/>
  <c r="AK2261" i="2"/>
  <c r="AK2262" i="2"/>
  <c r="AK2263" i="2"/>
  <c r="AK2264" i="2"/>
  <c r="AK2265" i="2"/>
  <c r="AK2266" i="2"/>
  <c r="AK2267" i="2"/>
  <c r="AK2268" i="2"/>
  <c r="AK2269" i="2"/>
  <c r="AK2270" i="2"/>
  <c r="AK2271" i="2"/>
  <c r="AK2272" i="2"/>
  <c r="AK2273" i="2"/>
  <c r="AK2274" i="2"/>
  <c r="AK2275" i="2"/>
  <c r="AK2276" i="2"/>
  <c r="AK2277" i="2"/>
  <c r="AK2278" i="2"/>
  <c r="AK2279" i="2"/>
  <c r="AK2280" i="2"/>
  <c r="AK2281" i="2"/>
  <c r="AK2282" i="2"/>
  <c r="AK2283" i="2"/>
  <c r="AK2284" i="2"/>
  <c r="AK2285" i="2"/>
  <c r="AK2286" i="2"/>
  <c r="AK2287" i="2"/>
  <c r="AK2288" i="2"/>
  <c r="AK2289" i="2"/>
  <c r="AK2290" i="2"/>
  <c r="AK2291" i="2"/>
  <c r="AK2292" i="2"/>
  <c r="AK2293" i="2"/>
  <c r="AK2294" i="2"/>
  <c r="AK2295" i="2"/>
  <c r="AK2296" i="2"/>
  <c r="AK2297" i="2"/>
  <c r="AK2298" i="2"/>
  <c r="AK2299" i="2"/>
  <c r="AK2300" i="2"/>
  <c r="AK2301" i="2"/>
  <c r="AK2302" i="2"/>
  <c r="AK2303" i="2"/>
  <c r="AK2304" i="2"/>
  <c r="AK2305" i="2"/>
  <c r="AK2306" i="2"/>
  <c r="AK2307" i="2"/>
  <c r="AK2308" i="2"/>
  <c r="AK2309" i="2"/>
  <c r="AK2310" i="2"/>
  <c r="AK2311" i="2"/>
  <c r="AK2312" i="2"/>
  <c r="AK2313" i="2"/>
  <c r="AK2314" i="2"/>
  <c r="AK2315" i="2"/>
  <c r="AK2316" i="2"/>
  <c r="AK2317" i="2"/>
  <c r="AK2318" i="2"/>
  <c r="AK2319" i="2"/>
  <c r="AK2320" i="2"/>
  <c r="AK2321" i="2"/>
  <c r="AK2322" i="2"/>
  <c r="AK2323" i="2"/>
  <c r="AK2324" i="2"/>
  <c r="AK2325" i="2"/>
  <c r="AK2326" i="2"/>
  <c r="AK2327" i="2"/>
  <c r="AK2328" i="2"/>
  <c r="AK2329" i="2"/>
  <c r="AK2330" i="2"/>
  <c r="AK2331" i="2"/>
  <c r="AK2332" i="2"/>
  <c r="AK2333" i="2"/>
  <c r="AK2334" i="2"/>
  <c r="AK2335" i="2"/>
  <c r="AK2336" i="2"/>
  <c r="AK2337" i="2"/>
  <c r="AK2338" i="2"/>
  <c r="AK2339" i="2"/>
  <c r="AK2340" i="2"/>
  <c r="AK2341" i="2"/>
  <c r="AK2342" i="2"/>
  <c r="AK2343" i="2"/>
  <c r="AK2344" i="2"/>
  <c r="AK2345" i="2"/>
  <c r="AK2346" i="2"/>
  <c r="AK2347" i="2"/>
  <c r="AK2348" i="2"/>
  <c r="AK2349" i="2"/>
  <c r="AK2350" i="2"/>
  <c r="AK2351" i="2"/>
  <c r="AK2352" i="2"/>
  <c r="AK2353" i="2"/>
  <c r="AK2354" i="2"/>
  <c r="AK2355" i="2"/>
  <c r="AK2356" i="2"/>
  <c r="AK2357" i="2"/>
  <c r="AK2358" i="2"/>
  <c r="AK2359" i="2"/>
  <c r="AK2360" i="2"/>
  <c r="AK2361" i="2"/>
  <c r="AK2362" i="2"/>
  <c r="AK2363" i="2"/>
  <c r="AK2364" i="2"/>
  <c r="AK2365" i="2"/>
  <c r="AK2366" i="2"/>
  <c r="AK2367" i="2"/>
  <c r="AK2368" i="2"/>
  <c r="AK2369" i="2"/>
  <c r="AK2370" i="2"/>
  <c r="AK2371" i="2"/>
  <c r="AK2372" i="2"/>
  <c r="AK2373" i="2"/>
  <c r="AK2374" i="2"/>
  <c r="AK2375" i="2"/>
  <c r="AK2376" i="2"/>
  <c r="AK2377" i="2"/>
  <c r="AK2378" i="2"/>
  <c r="AK2379" i="2"/>
  <c r="AK2380" i="2"/>
  <c r="AK2381" i="2"/>
  <c r="AK2382" i="2"/>
  <c r="AK2383" i="2"/>
  <c r="AK2384" i="2"/>
  <c r="AK2385" i="2"/>
  <c r="AK2386" i="2"/>
  <c r="AK2387" i="2"/>
  <c r="AK2388" i="2"/>
  <c r="AK2389" i="2"/>
  <c r="AK2390" i="2"/>
  <c r="AK2391" i="2"/>
  <c r="AK2392" i="2"/>
  <c r="AK2393" i="2"/>
  <c r="AK2394" i="2"/>
  <c r="AK2395" i="2"/>
  <c r="AK2396" i="2"/>
  <c r="AK2397" i="2"/>
  <c r="AK2398" i="2"/>
  <c r="AK2399" i="2"/>
  <c r="AK2400" i="2"/>
  <c r="AK2401" i="2"/>
  <c r="AK2402" i="2"/>
  <c r="AK2403" i="2"/>
  <c r="AK2404" i="2"/>
  <c r="AK2405" i="2"/>
  <c r="AK2406" i="2"/>
  <c r="AK2407" i="2"/>
  <c r="AK2408" i="2"/>
  <c r="AK2409" i="2"/>
  <c r="AK2410" i="2"/>
  <c r="AK2411" i="2"/>
  <c r="AK2412" i="2"/>
  <c r="AK2413" i="2"/>
  <c r="AK2414" i="2"/>
  <c r="AK2415" i="2"/>
  <c r="AK2416" i="2"/>
  <c r="AK2417" i="2"/>
  <c r="AK2418" i="2"/>
  <c r="AK2419" i="2"/>
  <c r="AK2420" i="2"/>
  <c r="AK2421" i="2"/>
  <c r="AK2422" i="2"/>
  <c r="AK2423" i="2"/>
  <c r="AK2424" i="2"/>
  <c r="AK2425" i="2"/>
  <c r="AK2426" i="2"/>
  <c r="AK2427" i="2"/>
  <c r="AK2428" i="2"/>
  <c r="AK2429" i="2"/>
  <c r="AK2430" i="2"/>
  <c r="AK2431" i="2"/>
  <c r="AK2432" i="2"/>
  <c r="AK2433" i="2"/>
  <c r="AK2434" i="2"/>
  <c r="AK2435" i="2"/>
  <c r="AK2436" i="2"/>
  <c r="AK2437" i="2"/>
  <c r="AK2438" i="2"/>
  <c r="AK2439" i="2"/>
  <c r="AK2440" i="2"/>
  <c r="AK2441" i="2"/>
  <c r="AK2442" i="2"/>
  <c r="AK2443" i="2"/>
  <c r="AK2444" i="2"/>
  <c r="AK2445" i="2"/>
  <c r="AK2446" i="2"/>
  <c r="AK2447" i="2"/>
  <c r="AK2448" i="2"/>
  <c r="AK2449" i="2"/>
  <c r="AK2450" i="2"/>
  <c r="AK2451" i="2"/>
  <c r="AK2452" i="2"/>
  <c r="AK2453" i="2"/>
  <c r="AK2454" i="2"/>
  <c r="AK2455" i="2"/>
  <c r="AK2456" i="2"/>
  <c r="AK2457" i="2"/>
  <c r="AK2458" i="2"/>
  <c r="AK2459" i="2"/>
  <c r="AK2460" i="2"/>
  <c r="AK2461" i="2"/>
  <c r="AK2462" i="2"/>
  <c r="AK2463" i="2"/>
  <c r="AK2464" i="2"/>
  <c r="AK2465" i="2"/>
  <c r="AK2466" i="2"/>
  <c r="AK2467" i="2"/>
  <c r="AK2468" i="2"/>
  <c r="AK2469" i="2"/>
  <c r="AK2470" i="2"/>
  <c r="AK2471" i="2"/>
  <c r="AK2472" i="2"/>
  <c r="AK2473" i="2"/>
  <c r="AK2474" i="2"/>
  <c r="AK2475" i="2"/>
  <c r="AK2476" i="2"/>
  <c r="AK2477" i="2"/>
  <c r="AK2478" i="2"/>
  <c r="AK2479" i="2"/>
  <c r="AK2480" i="2"/>
  <c r="AK2481" i="2"/>
  <c r="AK2482" i="2"/>
  <c r="AK2483" i="2"/>
  <c r="AK2484" i="2"/>
  <c r="AK2485" i="2"/>
  <c r="AK2486" i="2"/>
  <c r="AK2487" i="2"/>
  <c r="AK2488" i="2"/>
  <c r="AK2489" i="2"/>
  <c r="AK2490" i="2"/>
  <c r="AK2491" i="2"/>
  <c r="AK2492" i="2"/>
  <c r="AK2493" i="2"/>
  <c r="AK2494" i="2"/>
  <c r="AK2495" i="2"/>
  <c r="AK2496" i="2"/>
  <c r="AK2497" i="2"/>
  <c r="AK2498" i="2"/>
  <c r="AK2499" i="2"/>
  <c r="AK2500" i="2"/>
  <c r="AK2501" i="2"/>
  <c r="AK2502" i="2"/>
  <c r="AK2503" i="2"/>
  <c r="AK2504" i="2"/>
  <c r="AK2505" i="2"/>
  <c r="AK2506" i="2"/>
  <c r="AK2507" i="2"/>
  <c r="AK2508" i="2"/>
  <c r="AK2509" i="2"/>
  <c r="AK2510" i="2"/>
  <c r="AK2511" i="2"/>
  <c r="AK2512" i="2"/>
  <c r="AK2513" i="2"/>
  <c r="AK2514" i="2"/>
  <c r="AK2515" i="2"/>
  <c r="AK2516" i="2"/>
  <c r="AK2517" i="2"/>
  <c r="AK2518" i="2"/>
  <c r="AK2519" i="2"/>
  <c r="AK2520" i="2"/>
  <c r="AK2521" i="2"/>
  <c r="AK2522" i="2"/>
  <c r="AK2523" i="2"/>
  <c r="AK2524" i="2"/>
  <c r="AK2525" i="2"/>
  <c r="AK2526" i="2"/>
  <c r="AK2527" i="2"/>
  <c r="AK2528" i="2"/>
  <c r="AK2529" i="2"/>
  <c r="AK2530" i="2"/>
  <c r="AK2531" i="2"/>
  <c r="AK2532" i="2"/>
  <c r="AK2533" i="2"/>
  <c r="AK2534" i="2"/>
  <c r="AK2535" i="2"/>
  <c r="AK2536" i="2"/>
  <c r="AK2537" i="2"/>
  <c r="AK2538" i="2"/>
  <c r="AK2539" i="2"/>
  <c r="AK2540" i="2"/>
  <c r="AK2541" i="2"/>
  <c r="AK2542" i="2"/>
  <c r="AK2543" i="2"/>
  <c r="AK2544" i="2"/>
  <c r="AK2545" i="2"/>
  <c r="AK2546" i="2"/>
  <c r="AK2547" i="2"/>
  <c r="AK2548" i="2"/>
  <c r="AK2549" i="2"/>
  <c r="AK2550" i="2"/>
  <c r="AK2551" i="2"/>
  <c r="AK2552" i="2"/>
  <c r="AK2553" i="2"/>
  <c r="AK2554" i="2"/>
  <c r="AK2555" i="2"/>
  <c r="AK2556" i="2"/>
  <c r="AK2557" i="2"/>
  <c r="AK2558" i="2"/>
  <c r="AK2559" i="2"/>
  <c r="AK2560" i="2"/>
  <c r="AK2561" i="2"/>
  <c r="AK2562" i="2"/>
  <c r="AK2563" i="2"/>
  <c r="AK2564" i="2"/>
  <c r="AK2565" i="2"/>
  <c r="AK2566" i="2"/>
  <c r="AK2567" i="2"/>
  <c r="AK2568" i="2"/>
  <c r="AK2569" i="2"/>
  <c r="AK2570" i="2"/>
  <c r="AK2571" i="2"/>
  <c r="AK2572" i="2"/>
  <c r="AK2573" i="2"/>
  <c r="AK2574" i="2"/>
  <c r="AK2575" i="2"/>
  <c r="AK2576" i="2"/>
  <c r="AK2577" i="2"/>
  <c r="AK2578" i="2"/>
  <c r="AK2579" i="2"/>
  <c r="AK2580" i="2"/>
  <c r="AK2581" i="2"/>
  <c r="AK2582" i="2"/>
  <c r="AK2583" i="2"/>
  <c r="AK2584" i="2"/>
  <c r="AK2585" i="2"/>
  <c r="AK2586" i="2"/>
  <c r="AK2587" i="2"/>
  <c r="AK2588" i="2"/>
  <c r="AK2589" i="2"/>
  <c r="AK2590" i="2"/>
  <c r="AK2591" i="2"/>
  <c r="AK2592" i="2"/>
  <c r="AK2593" i="2"/>
  <c r="AK2594" i="2"/>
  <c r="AK2595" i="2"/>
  <c r="AK2596" i="2"/>
  <c r="AK2597" i="2"/>
  <c r="AK2598" i="2"/>
  <c r="AK2599" i="2"/>
  <c r="AK2600" i="2"/>
  <c r="AK2601" i="2"/>
  <c r="AK2602" i="2"/>
  <c r="AK2603" i="2"/>
  <c r="AK2604" i="2"/>
  <c r="AK2605" i="2"/>
  <c r="AK2606" i="2"/>
  <c r="AK2607" i="2"/>
  <c r="AK2608" i="2"/>
  <c r="AK2609" i="2"/>
  <c r="AK2610" i="2"/>
  <c r="AK2611" i="2"/>
  <c r="AK2612" i="2"/>
  <c r="AK2613" i="2"/>
  <c r="AK2614" i="2"/>
  <c r="AK2615" i="2"/>
  <c r="AK2616" i="2"/>
  <c r="AK2617" i="2"/>
  <c r="AK2618" i="2"/>
  <c r="AK2619" i="2"/>
  <c r="AK2620" i="2"/>
  <c r="AK2621" i="2"/>
  <c r="AK2622" i="2"/>
  <c r="AK2623" i="2"/>
  <c r="AK2624" i="2"/>
  <c r="AK2625" i="2"/>
  <c r="AK2626" i="2"/>
  <c r="AK2627" i="2"/>
  <c r="AK2628" i="2"/>
  <c r="AK2629" i="2"/>
  <c r="AK2630" i="2"/>
  <c r="AK2631" i="2"/>
  <c r="AK2632" i="2"/>
  <c r="AK2633" i="2"/>
  <c r="AK2634" i="2"/>
  <c r="AK2635" i="2"/>
  <c r="AK2636" i="2"/>
  <c r="AK2637" i="2"/>
  <c r="AK2638" i="2"/>
  <c r="AK2639" i="2"/>
  <c r="AK2640" i="2"/>
  <c r="AK2641" i="2"/>
  <c r="AK2642" i="2"/>
  <c r="AK2643" i="2"/>
  <c r="AK2644" i="2"/>
  <c r="AK2645" i="2"/>
  <c r="AK2646" i="2"/>
  <c r="AK2647" i="2"/>
  <c r="AK2648" i="2"/>
  <c r="AK2649" i="2"/>
  <c r="AK2650" i="2"/>
  <c r="AK2651" i="2"/>
  <c r="AK2652" i="2"/>
  <c r="AK2653" i="2"/>
  <c r="AK2654" i="2"/>
  <c r="AK2655" i="2"/>
  <c r="AK2656" i="2"/>
  <c r="AK2657" i="2"/>
  <c r="AK2658" i="2"/>
  <c r="AK2659" i="2"/>
  <c r="AK2660" i="2"/>
  <c r="AK2661" i="2"/>
  <c r="AK2662" i="2"/>
  <c r="AK2663" i="2"/>
  <c r="AK2664" i="2"/>
  <c r="AK2665" i="2"/>
  <c r="AK2666" i="2"/>
  <c r="AK2667" i="2"/>
  <c r="AK2668" i="2"/>
  <c r="AK2669" i="2"/>
  <c r="AK2670" i="2"/>
  <c r="AK2671" i="2"/>
  <c r="AK2672" i="2"/>
  <c r="AK2673" i="2"/>
  <c r="AK2674" i="2"/>
  <c r="AK2675" i="2"/>
  <c r="AK2676" i="2"/>
  <c r="AK2677" i="2"/>
  <c r="AK2678" i="2"/>
  <c r="AK2679" i="2"/>
  <c r="AK2680" i="2"/>
  <c r="AK2681" i="2"/>
  <c r="AK2682" i="2"/>
  <c r="AK2683" i="2"/>
  <c r="AK2684" i="2"/>
  <c r="AK2685" i="2"/>
  <c r="AK2686" i="2"/>
  <c r="AK2687" i="2"/>
  <c r="AK2688" i="2"/>
  <c r="AK2689" i="2"/>
  <c r="AK2690" i="2"/>
  <c r="AK2691" i="2"/>
  <c r="AK2692" i="2"/>
  <c r="AK2693" i="2"/>
  <c r="AK2694" i="2"/>
  <c r="AK2695" i="2"/>
  <c r="AK2696" i="2"/>
  <c r="AK2697" i="2"/>
  <c r="AK2698" i="2"/>
  <c r="AK2699" i="2"/>
  <c r="AK2700" i="2"/>
  <c r="AK2701" i="2"/>
  <c r="AK2702" i="2"/>
  <c r="AK2703" i="2"/>
  <c r="AK2704" i="2"/>
  <c r="AK2705" i="2"/>
  <c r="AK2706" i="2"/>
  <c r="AK2707" i="2"/>
  <c r="AK2708" i="2"/>
  <c r="AK2709" i="2"/>
  <c r="AK2710" i="2"/>
  <c r="AK2711" i="2"/>
  <c r="AK2712" i="2"/>
  <c r="AK2713" i="2"/>
  <c r="AK2714" i="2"/>
  <c r="AK2715" i="2"/>
  <c r="AK2716" i="2"/>
  <c r="AK2717" i="2"/>
  <c r="AK2718" i="2"/>
  <c r="AK2719" i="2"/>
  <c r="AK2720" i="2"/>
  <c r="AK2721" i="2"/>
  <c r="AK2722" i="2"/>
  <c r="AK2723" i="2"/>
  <c r="AK2724" i="2"/>
  <c r="AK2725" i="2"/>
  <c r="AK2726" i="2"/>
  <c r="AK2727" i="2"/>
  <c r="AK2728" i="2"/>
  <c r="AK2729" i="2"/>
  <c r="AK2730" i="2"/>
  <c r="AK2731" i="2"/>
  <c r="AK2732" i="2"/>
  <c r="AK2733" i="2"/>
  <c r="AK2734" i="2"/>
  <c r="AK2735" i="2"/>
  <c r="AK2736" i="2"/>
  <c r="AK2737" i="2"/>
  <c r="AK2738" i="2"/>
  <c r="AK2739" i="2"/>
  <c r="AK2740" i="2"/>
  <c r="AK2741" i="2"/>
  <c r="AK2742" i="2"/>
  <c r="AK2743" i="2"/>
  <c r="AK2744" i="2"/>
  <c r="AK2745" i="2"/>
  <c r="AK2746" i="2"/>
  <c r="AK2747" i="2"/>
  <c r="AK2748" i="2"/>
  <c r="AK2749" i="2"/>
  <c r="AK2750" i="2"/>
  <c r="AK2751" i="2"/>
  <c r="AK2752" i="2"/>
  <c r="AK2753" i="2"/>
  <c r="AK2754" i="2"/>
  <c r="AK2755" i="2"/>
  <c r="AK2756" i="2"/>
  <c r="AK2757" i="2"/>
  <c r="AK2758" i="2"/>
  <c r="AK2759" i="2"/>
  <c r="AK2760" i="2"/>
  <c r="AK2761" i="2"/>
  <c r="AK2762" i="2"/>
  <c r="AK2763" i="2"/>
  <c r="AK2764" i="2"/>
  <c r="AK2765" i="2"/>
  <c r="AK2766" i="2"/>
  <c r="AK2767" i="2"/>
  <c r="AK2768" i="2"/>
  <c r="AK2769" i="2"/>
  <c r="AK2770" i="2"/>
  <c r="AK2771" i="2"/>
  <c r="AK2772" i="2"/>
  <c r="AK2773" i="2"/>
  <c r="AK2774" i="2"/>
  <c r="AK2775" i="2"/>
  <c r="AK2776" i="2"/>
  <c r="AK2777" i="2"/>
  <c r="AK2778" i="2"/>
  <c r="AK2779" i="2"/>
  <c r="AK2780" i="2"/>
  <c r="AK2781" i="2"/>
  <c r="AK2782" i="2"/>
  <c r="AK2783" i="2"/>
  <c r="AK2784" i="2"/>
  <c r="AK2785" i="2"/>
  <c r="AK2786" i="2"/>
  <c r="AK2787" i="2"/>
  <c r="AK2788" i="2"/>
  <c r="AK2789" i="2"/>
  <c r="AK2790" i="2"/>
  <c r="AK2791" i="2"/>
  <c r="AK2792" i="2"/>
  <c r="AK2793" i="2"/>
  <c r="AK2794" i="2"/>
  <c r="AK2795" i="2"/>
  <c r="AK2796" i="2"/>
  <c r="AK2797" i="2"/>
  <c r="AK2798" i="2"/>
  <c r="AK2799" i="2"/>
  <c r="AK2800" i="2"/>
  <c r="AK2801" i="2"/>
  <c r="AK2802" i="2"/>
  <c r="AK2803" i="2"/>
  <c r="AK2804" i="2"/>
  <c r="AK2805" i="2"/>
  <c r="AK2806" i="2"/>
  <c r="AK2807" i="2"/>
  <c r="AK2808" i="2"/>
  <c r="AK2809" i="2"/>
  <c r="AK2810" i="2"/>
  <c r="AK2811" i="2"/>
  <c r="AK2812" i="2"/>
  <c r="AK2813" i="2"/>
  <c r="AK2814" i="2"/>
  <c r="AK2815" i="2"/>
  <c r="AK2816" i="2"/>
  <c r="AK2817" i="2"/>
  <c r="AK2818" i="2"/>
  <c r="AK2819" i="2"/>
  <c r="AK2820" i="2"/>
  <c r="AK2821" i="2"/>
  <c r="AK2822" i="2"/>
  <c r="AK2823" i="2"/>
  <c r="AK2824" i="2"/>
  <c r="AK2825" i="2"/>
  <c r="AK2826" i="2"/>
  <c r="AK2827" i="2"/>
  <c r="AK2828" i="2"/>
  <c r="AK2829" i="2"/>
  <c r="AK2830" i="2"/>
  <c r="AK2831" i="2"/>
  <c r="AK2832" i="2"/>
  <c r="AK2833" i="2"/>
  <c r="AK2834" i="2"/>
  <c r="AK2835" i="2"/>
  <c r="AK2836" i="2"/>
  <c r="AK2837" i="2"/>
  <c r="AK2838" i="2"/>
  <c r="AK2839" i="2"/>
  <c r="AK2840" i="2"/>
  <c r="AK2841" i="2"/>
  <c r="AK2842" i="2"/>
  <c r="AK2843" i="2"/>
  <c r="AK2844" i="2"/>
  <c r="AK2845" i="2"/>
  <c r="AK2846" i="2"/>
  <c r="AK2847" i="2"/>
  <c r="AK2848" i="2"/>
  <c r="AK2849" i="2"/>
  <c r="AK2850" i="2"/>
  <c r="AK2851" i="2"/>
  <c r="AK2852" i="2"/>
  <c r="AK2853" i="2"/>
  <c r="AK2854" i="2"/>
  <c r="AK2855" i="2"/>
  <c r="AK2856" i="2"/>
  <c r="AK2857" i="2"/>
  <c r="AK2858" i="2"/>
  <c r="AK2859" i="2"/>
  <c r="AK2860" i="2"/>
  <c r="AK2861" i="2"/>
  <c r="AK2862" i="2"/>
  <c r="AK2863" i="2"/>
  <c r="AK2864" i="2"/>
  <c r="AK2865" i="2"/>
  <c r="AK2866" i="2"/>
  <c r="AK2867" i="2"/>
  <c r="AK2868" i="2"/>
  <c r="AK2869" i="2"/>
  <c r="AK2870" i="2"/>
  <c r="AK2871" i="2"/>
  <c r="AK2872" i="2"/>
  <c r="AK2873" i="2"/>
  <c r="AK2874" i="2"/>
  <c r="AK2875" i="2"/>
  <c r="AK2876" i="2"/>
  <c r="AK2877" i="2"/>
  <c r="AK2878" i="2"/>
  <c r="AK2879" i="2"/>
  <c r="AK2880" i="2"/>
  <c r="AK2881" i="2"/>
  <c r="AK2882" i="2"/>
  <c r="AK2883" i="2"/>
  <c r="AK2884" i="2"/>
  <c r="AK2885" i="2"/>
  <c r="AK2886" i="2"/>
  <c r="AK2887" i="2"/>
  <c r="AK2888" i="2"/>
  <c r="AK2889" i="2"/>
  <c r="AK2890" i="2"/>
  <c r="AK2891" i="2"/>
  <c r="AK2892" i="2"/>
  <c r="AK2893" i="2"/>
  <c r="AK2894" i="2"/>
  <c r="AK2895" i="2"/>
  <c r="AK2896" i="2"/>
  <c r="AK2897" i="2"/>
  <c r="AK2898" i="2"/>
  <c r="AK2899" i="2"/>
  <c r="AK2900" i="2"/>
  <c r="AK2901" i="2"/>
  <c r="AK2902" i="2"/>
  <c r="AK2903" i="2"/>
  <c r="AK2904" i="2"/>
  <c r="AK2905" i="2"/>
  <c r="AK2906" i="2"/>
  <c r="AK2907" i="2"/>
  <c r="AK2908" i="2"/>
  <c r="AK2909" i="2"/>
  <c r="AK2910" i="2"/>
  <c r="AK2911" i="2"/>
  <c r="AK2912" i="2"/>
  <c r="AK2913" i="2"/>
  <c r="AK2914" i="2"/>
  <c r="AK2915" i="2"/>
  <c r="AK2916" i="2"/>
  <c r="AK2917" i="2"/>
  <c r="AK2918" i="2"/>
  <c r="AK2919" i="2"/>
  <c r="AK2920" i="2"/>
  <c r="AK2921" i="2"/>
  <c r="AK2922" i="2"/>
  <c r="AK2923" i="2"/>
  <c r="AK2924" i="2"/>
  <c r="AK2925" i="2"/>
  <c r="AK2926" i="2"/>
  <c r="AK2927" i="2"/>
  <c r="AK2928" i="2"/>
  <c r="AK2929" i="2"/>
  <c r="AK2930" i="2"/>
  <c r="AK2931" i="2"/>
  <c r="AK2932" i="2"/>
  <c r="AK2933" i="2"/>
  <c r="AK2934" i="2"/>
  <c r="AK2935" i="2"/>
  <c r="AK2936" i="2"/>
  <c r="AK2937" i="2"/>
  <c r="AK2938" i="2"/>
  <c r="AK2939" i="2"/>
  <c r="AK2940" i="2"/>
  <c r="AK2941" i="2"/>
  <c r="AK2942" i="2"/>
  <c r="AK2943" i="2"/>
  <c r="AK2944" i="2"/>
  <c r="AK2945" i="2"/>
  <c r="AK2946" i="2"/>
  <c r="AK2947" i="2"/>
  <c r="AK2948" i="2"/>
  <c r="AK2949" i="2"/>
  <c r="AK2950" i="2"/>
  <c r="AK2951" i="2"/>
  <c r="AK2952" i="2"/>
  <c r="AK2953" i="2"/>
  <c r="AK2954" i="2"/>
  <c r="AK2955" i="2"/>
  <c r="AK2956" i="2"/>
  <c r="AK2957" i="2"/>
  <c r="AK2958" i="2"/>
  <c r="AK2959" i="2"/>
  <c r="AK2960" i="2"/>
  <c r="AK2961" i="2"/>
  <c r="AK2962" i="2"/>
  <c r="AK2963" i="2"/>
  <c r="AK2964" i="2"/>
  <c r="AK2965" i="2"/>
  <c r="AK2966" i="2"/>
  <c r="AK2967" i="2"/>
  <c r="AK2968" i="2"/>
  <c r="AK2969" i="2"/>
  <c r="AK2970" i="2"/>
  <c r="AK2971" i="2"/>
  <c r="AK2972" i="2"/>
  <c r="AK2973" i="2"/>
  <c r="AK2974" i="2"/>
  <c r="AK2975" i="2"/>
  <c r="AK2976" i="2"/>
  <c r="AK2977" i="2"/>
  <c r="AK2978" i="2"/>
  <c r="AK2979" i="2"/>
  <c r="AK2980" i="2"/>
  <c r="AK2981" i="2"/>
  <c r="AK2982" i="2"/>
  <c r="AK2983" i="2"/>
  <c r="AK2984" i="2"/>
  <c r="AK2985" i="2"/>
  <c r="AK2986" i="2"/>
  <c r="AK2987" i="2"/>
  <c r="AK2988" i="2"/>
  <c r="AK2989" i="2"/>
  <c r="AK2990" i="2"/>
  <c r="AK2991" i="2"/>
  <c r="AK2992" i="2"/>
  <c r="AK2993" i="2"/>
  <c r="AK2994" i="2"/>
  <c r="AK2995" i="2"/>
  <c r="AK2996" i="2"/>
  <c r="AK2997" i="2"/>
  <c r="AK2998" i="2"/>
  <c r="AK2999" i="2"/>
  <c r="AK3000" i="2"/>
  <c r="AK3001" i="2"/>
  <c r="AK3002" i="2"/>
  <c r="AK3003" i="2"/>
  <c r="AK3004" i="2"/>
  <c r="AK3005" i="2"/>
  <c r="AK3006" i="2"/>
  <c r="AK3007" i="2"/>
  <c r="AK3008" i="2"/>
  <c r="AK3009" i="2"/>
  <c r="AK3010" i="2"/>
  <c r="AK3011" i="2"/>
  <c r="AK3012" i="2"/>
  <c r="AK3013" i="2"/>
  <c r="AK3014" i="2"/>
  <c r="AK3015" i="2"/>
  <c r="AK3016" i="2"/>
  <c r="AK3017" i="2"/>
  <c r="AK3018" i="2"/>
  <c r="AK3019" i="2"/>
  <c r="AK3020" i="2"/>
  <c r="AK3021" i="2"/>
  <c r="AK3022" i="2"/>
  <c r="AK3023" i="2"/>
  <c r="AK3024" i="2"/>
  <c r="AK3025" i="2"/>
  <c r="AK3026" i="2"/>
  <c r="AK3027" i="2"/>
  <c r="AK3028" i="2"/>
  <c r="AK3029" i="2"/>
  <c r="AK3030" i="2"/>
  <c r="AK3031" i="2"/>
  <c r="AK3032" i="2"/>
  <c r="AK3033" i="2"/>
  <c r="AK3034" i="2"/>
  <c r="AK3035" i="2"/>
  <c r="AK3036" i="2"/>
  <c r="AK3037" i="2"/>
  <c r="AK3038" i="2"/>
  <c r="AK3039" i="2"/>
  <c r="AK3040" i="2"/>
  <c r="AK3041" i="2"/>
  <c r="AK3042" i="2"/>
  <c r="AK3043" i="2"/>
  <c r="AK3044" i="2"/>
  <c r="AK3045" i="2"/>
  <c r="AK3046" i="2"/>
  <c r="AK3047" i="2"/>
  <c r="AK3048" i="2"/>
  <c r="AK3049" i="2"/>
  <c r="AK3050" i="2"/>
  <c r="AK3051" i="2"/>
  <c r="AK3052" i="2"/>
  <c r="AK3053" i="2"/>
  <c r="AK3054" i="2"/>
  <c r="AK3055" i="2"/>
  <c r="AK3056" i="2"/>
  <c r="AK3057" i="2"/>
  <c r="AK3058" i="2"/>
  <c r="AK3059" i="2"/>
  <c r="AK3060" i="2"/>
  <c r="AK3061" i="2"/>
  <c r="AK3062" i="2"/>
  <c r="AK3063" i="2"/>
  <c r="AK3064" i="2"/>
  <c r="AK3065" i="2"/>
  <c r="AK3066" i="2"/>
  <c r="AK3067" i="2"/>
  <c r="AK3068" i="2"/>
  <c r="AK3069" i="2"/>
  <c r="AK3070" i="2"/>
  <c r="AK3071" i="2"/>
  <c r="AK3072" i="2"/>
  <c r="AK3073" i="2"/>
  <c r="AK3074" i="2"/>
  <c r="AK3075" i="2"/>
  <c r="AK3076" i="2"/>
  <c r="AK3077" i="2"/>
  <c r="AK3078" i="2"/>
  <c r="AK3079" i="2"/>
  <c r="AK3080" i="2"/>
  <c r="AK3081" i="2"/>
  <c r="AK3082" i="2"/>
  <c r="AK3083" i="2"/>
  <c r="AK3084" i="2"/>
  <c r="AK3085" i="2"/>
  <c r="AK3086" i="2"/>
  <c r="AK3087" i="2"/>
  <c r="AK3088" i="2"/>
  <c r="AK3089" i="2"/>
  <c r="AK3090" i="2"/>
  <c r="AK3091" i="2"/>
  <c r="AK3092" i="2"/>
  <c r="AK3093" i="2"/>
  <c r="AK3094" i="2"/>
  <c r="AK3095" i="2"/>
  <c r="AK3096" i="2"/>
  <c r="AK3097" i="2"/>
  <c r="AK3098" i="2"/>
  <c r="AK3099" i="2"/>
  <c r="AK3100" i="2"/>
  <c r="AK3101" i="2"/>
  <c r="AK3102" i="2"/>
  <c r="AK3103" i="2"/>
  <c r="AK3104" i="2"/>
  <c r="AK3105" i="2"/>
  <c r="AK3106" i="2"/>
  <c r="AK3107" i="2"/>
  <c r="AK3108" i="2"/>
  <c r="AK3109" i="2"/>
  <c r="AK3110" i="2"/>
  <c r="AK3111" i="2"/>
  <c r="AK3112" i="2"/>
  <c r="AK3113" i="2"/>
  <c r="AK3114" i="2"/>
  <c r="AK3115" i="2"/>
  <c r="AK3116" i="2"/>
  <c r="AK3117" i="2"/>
  <c r="AK3118" i="2"/>
  <c r="AK3119" i="2"/>
  <c r="AK3120" i="2"/>
  <c r="AK3121" i="2"/>
  <c r="AK3122" i="2"/>
  <c r="AK3123" i="2"/>
  <c r="AK3124" i="2"/>
  <c r="AK3125" i="2"/>
  <c r="AK3126" i="2"/>
  <c r="AK3127" i="2"/>
  <c r="AK3128" i="2"/>
  <c r="AK3129" i="2"/>
  <c r="AK3130" i="2"/>
  <c r="AK3131" i="2"/>
  <c r="AK3132" i="2"/>
  <c r="AK3133" i="2"/>
  <c r="AK3134" i="2"/>
  <c r="AK3135" i="2"/>
  <c r="AK3136" i="2"/>
  <c r="AK3137" i="2"/>
  <c r="AK3138" i="2"/>
  <c r="AK3139" i="2"/>
  <c r="AK3140" i="2"/>
  <c r="AK3141" i="2"/>
  <c r="AK3142" i="2"/>
  <c r="AK3143" i="2"/>
  <c r="AK3144" i="2"/>
  <c r="AK3145" i="2"/>
  <c r="AK3146" i="2"/>
  <c r="AK3147" i="2"/>
  <c r="AK3148" i="2"/>
  <c r="AK3149" i="2"/>
  <c r="AK3150" i="2"/>
  <c r="AK3151" i="2"/>
  <c r="AK3152" i="2"/>
  <c r="AK3153" i="2"/>
  <c r="AK3154" i="2"/>
  <c r="AK3155" i="2"/>
  <c r="AK3156" i="2"/>
  <c r="AK3157" i="2"/>
  <c r="AK3158" i="2"/>
  <c r="AK3159" i="2"/>
  <c r="AK3160" i="2"/>
  <c r="AK3161" i="2"/>
  <c r="AK3162" i="2"/>
  <c r="AK3163" i="2"/>
  <c r="AK3164" i="2"/>
  <c r="AK3165" i="2"/>
  <c r="AK3166" i="2"/>
  <c r="AK3167" i="2"/>
  <c r="AK3168" i="2"/>
  <c r="AK3169" i="2"/>
  <c r="AK3170" i="2"/>
  <c r="AK3171" i="2"/>
  <c r="AK3172" i="2"/>
  <c r="AK3173" i="2"/>
  <c r="AK3174" i="2"/>
  <c r="AK3175" i="2"/>
  <c r="AK3176" i="2"/>
  <c r="AK3177" i="2"/>
  <c r="AK3178" i="2"/>
  <c r="AK3179" i="2"/>
  <c r="AK3180" i="2"/>
  <c r="AK3181" i="2"/>
  <c r="AK3182" i="2"/>
  <c r="AK3183" i="2"/>
  <c r="AK3184" i="2"/>
  <c r="AK3185" i="2"/>
  <c r="AK3186" i="2"/>
  <c r="AK3187" i="2"/>
  <c r="AK3188" i="2"/>
  <c r="AK3189" i="2"/>
  <c r="AK3190" i="2"/>
  <c r="AK3191" i="2"/>
  <c r="AK3192" i="2"/>
  <c r="AK3193" i="2"/>
  <c r="AK3194" i="2"/>
  <c r="AK3195" i="2"/>
  <c r="AK3196" i="2"/>
  <c r="AK3197" i="2"/>
  <c r="AK3198" i="2"/>
  <c r="AK3199" i="2"/>
  <c r="AK3200" i="2"/>
  <c r="AK3201" i="2"/>
  <c r="AK3202" i="2"/>
  <c r="AK3203" i="2"/>
  <c r="AK3204" i="2"/>
  <c r="AK3205" i="2"/>
  <c r="AK3206" i="2"/>
  <c r="AK3207" i="2"/>
  <c r="AK3208" i="2"/>
  <c r="AK3209" i="2"/>
  <c r="AK3210" i="2"/>
  <c r="AK3211" i="2"/>
  <c r="AK3212" i="2"/>
  <c r="AK3213" i="2"/>
  <c r="AK3214" i="2"/>
  <c r="AK3215" i="2"/>
  <c r="AK3216" i="2"/>
  <c r="AK3217" i="2"/>
  <c r="AK3218" i="2"/>
  <c r="AK3219" i="2"/>
  <c r="AK3220" i="2"/>
  <c r="AK3221" i="2"/>
  <c r="AK3222" i="2"/>
  <c r="AK3223" i="2"/>
  <c r="AK3224" i="2"/>
  <c r="AK3225" i="2"/>
  <c r="AK3226" i="2"/>
  <c r="AK3227" i="2"/>
  <c r="AK3228" i="2"/>
  <c r="AK3229" i="2"/>
  <c r="AK3230" i="2"/>
  <c r="AK3231" i="2"/>
  <c r="AK3232" i="2"/>
  <c r="AK3233" i="2"/>
  <c r="AK3234" i="2"/>
  <c r="AK3235" i="2"/>
  <c r="AK3236" i="2"/>
  <c r="AK3237" i="2"/>
  <c r="AK3238" i="2"/>
  <c r="AK3239" i="2"/>
  <c r="AK3240" i="2"/>
  <c r="AK3241" i="2"/>
  <c r="AK3242" i="2"/>
  <c r="AK3243" i="2"/>
  <c r="AK3244" i="2"/>
  <c r="AK3245" i="2"/>
  <c r="AK3246" i="2"/>
  <c r="AK3247" i="2"/>
  <c r="AK3248" i="2"/>
  <c r="AK3249" i="2"/>
  <c r="AK3250" i="2"/>
  <c r="AK3251" i="2"/>
  <c r="AK3252" i="2"/>
  <c r="AK3253" i="2"/>
  <c r="AK3254" i="2"/>
  <c r="AK3255" i="2"/>
  <c r="AK3256" i="2"/>
  <c r="AK3257" i="2"/>
  <c r="AK3258" i="2"/>
  <c r="AK3259" i="2"/>
  <c r="AK3260" i="2"/>
  <c r="AK3261" i="2"/>
  <c r="AK3262" i="2"/>
  <c r="AK3263" i="2"/>
  <c r="AK3264" i="2"/>
  <c r="AK3265" i="2"/>
  <c r="AK3266" i="2"/>
  <c r="AK3267" i="2"/>
  <c r="AK3268" i="2"/>
  <c r="AK3269" i="2"/>
  <c r="AK3270" i="2"/>
  <c r="AK3271" i="2"/>
  <c r="AK3272" i="2"/>
  <c r="AK3273" i="2"/>
  <c r="AK3274" i="2"/>
  <c r="AK3275" i="2"/>
  <c r="AK3276" i="2"/>
  <c r="AK3277" i="2"/>
  <c r="AK3278" i="2"/>
  <c r="AK3279" i="2"/>
  <c r="AK3280" i="2"/>
  <c r="AK3281" i="2"/>
  <c r="AK3282" i="2"/>
  <c r="AK3283" i="2"/>
  <c r="AK3284" i="2"/>
  <c r="AK3285" i="2"/>
  <c r="AK3286" i="2"/>
  <c r="AK3287" i="2"/>
  <c r="AK3288" i="2"/>
  <c r="AK3289" i="2"/>
  <c r="AK3290" i="2"/>
  <c r="AK3291" i="2"/>
  <c r="AK3292" i="2"/>
  <c r="AK3293" i="2"/>
  <c r="AK3294" i="2"/>
  <c r="AK3295" i="2"/>
  <c r="AK3296" i="2"/>
  <c r="AK3297" i="2"/>
  <c r="AK3298" i="2"/>
  <c r="AK3299" i="2"/>
  <c r="AK3300" i="2"/>
  <c r="AK3301" i="2"/>
  <c r="AK3302" i="2"/>
  <c r="AK3303" i="2"/>
  <c r="AK3304" i="2"/>
  <c r="AK3305" i="2"/>
  <c r="AK3306" i="2"/>
  <c r="AK3307" i="2"/>
  <c r="AK3308" i="2"/>
  <c r="AK3309" i="2"/>
  <c r="AK3310" i="2"/>
  <c r="AK3311" i="2"/>
  <c r="AK3312" i="2"/>
  <c r="AK3313" i="2"/>
  <c r="AK3314" i="2"/>
  <c r="AK3315" i="2"/>
  <c r="AK3316" i="2"/>
  <c r="AK3317" i="2"/>
  <c r="AK3318" i="2"/>
  <c r="AK3319" i="2"/>
  <c r="AK3320" i="2"/>
  <c r="AK3321" i="2"/>
  <c r="AK3322" i="2"/>
  <c r="AK3323" i="2"/>
  <c r="AK3324" i="2"/>
  <c r="AK3325" i="2"/>
  <c r="AK3326" i="2"/>
  <c r="AK3327" i="2"/>
  <c r="AK3328" i="2"/>
  <c r="AK3329" i="2"/>
  <c r="AK3330" i="2"/>
  <c r="AK3331" i="2"/>
  <c r="AK3332" i="2"/>
  <c r="AK3333" i="2"/>
  <c r="AK3334" i="2"/>
  <c r="AK3335" i="2"/>
  <c r="AK3336" i="2"/>
  <c r="AK3337" i="2"/>
  <c r="AK3338" i="2"/>
  <c r="AK3339" i="2"/>
  <c r="AK3340" i="2"/>
  <c r="AK3341" i="2"/>
  <c r="AK3342" i="2"/>
  <c r="AK3343" i="2"/>
  <c r="AK3344" i="2"/>
  <c r="AK3345" i="2"/>
  <c r="AK3346" i="2"/>
  <c r="AK3347" i="2"/>
  <c r="AK3348" i="2"/>
  <c r="AK3349" i="2"/>
  <c r="AK3350" i="2"/>
  <c r="AK3351" i="2"/>
  <c r="AK3352" i="2"/>
  <c r="AK3353" i="2"/>
  <c r="AK3354" i="2"/>
  <c r="AK3355" i="2"/>
  <c r="AK3356" i="2"/>
  <c r="AK3357" i="2"/>
  <c r="AK3358" i="2"/>
  <c r="AK3359" i="2"/>
  <c r="AK3360" i="2"/>
  <c r="AK3361" i="2"/>
  <c r="AK3362" i="2"/>
  <c r="AK3363" i="2"/>
  <c r="AK3364" i="2"/>
  <c r="AK3365" i="2"/>
  <c r="AK3366" i="2"/>
  <c r="AK3367" i="2"/>
  <c r="AK3368" i="2"/>
  <c r="AK3369" i="2"/>
  <c r="AK3370" i="2"/>
  <c r="AK3371" i="2"/>
  <c r="AK3372" i="2"/>
  <c r="AK3373" i="2"/>
  <c r="AK3374" i="2"/>
  <c r="AK3375" i="2"/>
  <c r="AK3376" i="2"/>
  <c r="AK3377" i="2"/>
  <c r="AK3378" i="2"/>
  <c r="AK3379" i="2"/>
  <c r="AK3380" i="2"/>
  <c r="AK3381" i="2"/>
  <c r="AK3382" i="2"/>
  <c r="AK3383" i="2"/>
  <c r="AK3384" i="2"/>
  <c r="AK3385" i="2"/>
  <c r="AK3386" i="2"/>
  <c r="AK3387" i="2"/>
  <c r="AK3388" i="2"/>
  <c r="AK3389" i="2"/>
  <c r="AK3390" i="2"/>
  <c r="AK3391" i="2"/>
  <c r="AK3392" i="2"/>
  <c r="AK3393" i="2"/>
  <c r="AK3394" i="2"/>
  <c r="AK3395" i="2"/>
  <c r="AK3396" i="2"/>
  <c r="AK3397" i="2"/>
  <c r="AK3398" i="2"/>
  <c r="AK3399" i="2"/>
  <c r="AK3400" i="2"/>
  <c r="AK3401" i="2"/>
  <c r="AK3402" i="2"/>
  <c r="AK3403" i="2"/>
  <c r="AK3404" i="2"/>
  <c r="AK3405" i="2"/>
  <c r="AK3406" i="2"/>
  <c r="AK3407" i="2"/>
  <c r="AK3408" i="2"/>
  <c r="AK3409" i="2"/>
  <c r="AK3410" i="2"/>
  <c r="AK3411" i="2"/>
  <c r="AK3412" i="2"/>
  <c r="AK3413" i="2"/>
  <c r="AK3414" i="2"/>
  <c r="AK3415" i="2"/>
  <c r="AK3416" i="2"/>
  <c r="AK3417" i="2"/>
  <c r="AK3418" i="2"/>
  <c r="AK3419" i="2"/>
  <c r="AK3420" i="2"/>
  <c r="AK3421" i="2"/>
  <c r="AK3422" i="2"/>
  <c r="AK3423" i="2"/>
  <c r="AK3424" i="2"/>
  <c r="AK3425" i="2"/>
  <c r="AK3426" i="2"/>
  <c r="AK3427" i="2"/>
  <c r="AK3428" i="2"/>
  <c r="AK3429" i="2"/>
  <c r="AK3430" i="2"/>
  <c r="AK3431" i="2"/>
  <c r="AK3432" i="2"/>
  <c r="AK3433" i="2"/>
  <c r="AK3434" i="2"/>
  <c r="AK3435" i="2"/>
  <c r="AK3436" i="2"/>
  <c r="AK3437" i="2"/>
  <c r="AK3438" i="2"/>
  <c r="AK3439" i="2"/>
  <c r="AK3440" i="2"/>
  <c r="AK3441" i="2"/>
  <c r="AK3442" i="2"/>
  <c r="AK3443" i="2"/>
  <c r="AK3444" i="2"/>
  <c r="AK3445" i="2"/>
  <c r="AK3446" i="2"/>
  <c r="AK3447" i="2"/>
  <c r="AK3448" i="2"/>
  <c r="AK3449" i="2"/>
  <c r="AK3450" i="2"/>
  <c r="AK3451" i="2"/>
  <c r="AK3452" i="2"/>
  <c r="AK3453" i="2"/>
  <c r="AK3454" i="2"/>
  <c r="AK3455" i="2"/>
  <c r="AK3456" i="2"/>
  <c r="AK3457" i="2"/>
  <c r="AK3458" i="2"/>
  <c r="AK3459" i="2"/>
  <c r="AK3460" i="2"/>
  <c r="AK3461" i="2"/>
  <c r="AK3462" i="2"/>
  <c r="AK3463" i="2"/>
  <c r="AK3464" i="2"/>
  <c r="AK3465" i="2"/>
  <c r="AK3466" i="2"/>
  <c r="AK3467" i="2"/>
  <c r="AK3468" i="2"/>
  <c r="AK3469" i="2"/>
  <c r="AK3470" i="2"/>
  <c r="AK3471" i="2"/>
  <c r="AK3472" i="2"/>
  <c r="AK3473" i="2"/>
  <c r="AK3474" i="2"/>
  <c r="AK3475" i="2"/>
  <c r="AK3476" i="2"/>
  <c r="AK3477" i="2"/>
  <c r="AK3478" i="2"/>
  <c r="AK3479" i="2"/>
  <c r="AK3480" i="2"/>
  <c r="AK3481" i="2"/>
  <c r="AK3482" i="2"/>
  <c r="AK3483" i="2"/>
  <c r="AK3484" i="2"/>
  <c r="AK3485" i="2"/>
  <c r="AK3486" i="2"/>
  <c r="AK3487" i="2"/>
  <c r="AK3488" i="2"/>
  <c r="AK3489" i="2"/>
  <c r="AK3490" i="2"/>
  <c r="AK3491" i="2"/>
  <c r="AK3492" i="2"/>
  <c r="AK3493" i="2"/>
  <c r="AK3494" i="2"/>
  <c r="AK3495" i="2"/>
  <c r="AK3496" i="2"/>
  <c r="AK3497" i="2"/>
  <c r="AK3498" i="2"/>
  <c r="AK3499" i="2"/>
  <c r="AK3500" i="2"/>
  <c r="AK3501" i="2"/>
  <c r="AK3502" i="2"/>
  <c r="AK3503" i="2"/>
  <c r="AK3504" i="2"/>
  <c r="AK3505" i="2"/>
  <c r="AK3506" i="2"/>
  <c r="AK3507" i="2"/>
  <c r="AK3508" i="2"/>
  <c r="AK3509" i="2"/>
  <c r="AK3510" i="2"/>
  <c r="AK3511" i="2"/>
  <c r="AK3512" i="2"/>
  <c r="AK3513" i="2"/>
  <c r="AK3514" i="2"/>
  <c r="AK3515" i="2"/>
  <c r="AK3516" i="2"/>
  <c r="AK3517" i="2"/>
  <c r="AK3518" i="2"/>
  <c r="AK3519" i="2"/>
  <c r="AK3520" i="2"/>
  <c r="AK3521" i="2"/>
  <c r="AK3522" i="2"/>
  <c r="AK3523" i="2"/>
  <c r="AK3524" i="2"/>
  <c r="AK3525" i="2"/>
  <c r="AK3526" i="2"/>
  <c r="AK3527" i="2"/>
  <c r="AK3528" i="2"/>
  <c r="AK3529" i="2"/>
  <c r="AK3530" i="2"/>
  <c r="AK3531" i="2"/>
  <c r="AK3532" i="2"/>
  <c r="AK3533" i="2"/>
  <c r="AK3534" i="2"/>
  <c r="AK3535" i="2"/>
  <c r="AK3536" i="2"/>
  <c r="AK3537" i="2"/>
  <c r="AK3538" i="2"/>
  <c r="AK3539" i="2"/>
  <c r="AK3540" i="2"/>
  <c r="AK3541" i="2"/>
  <c r="AK3542" i="2"/>
  <c r="AK3543" i="2"/>
  <c r="AK3544" i="2"/>
  <c r="AK3545" i="2"/>
  <c r="AK3546" i="2"/>
  <c r="AK3547" i="2"/>
  <c r="AK3548" i="2"/>
  <c r="AK3549" i="2"/>
  <c r="AK3550" i="2"/>
  <c r="AK3551" i="2"/>
  <c r="AK3552" i="2"/>
  <c r="AK3553" i="2"/>
  <c r="AK3554" i="2"/>
  <c r="AK3555" i="2"/>
  <c r="AK3556" i="2"/>
  <c r="AK3557" i="2"/>
  <c r="AK3558" i="2"/>
  <c r="AK3559" i="2"/>
  <c r="AK3560" i="2"/>
  <c r="AK3561" i="2"/>
  <c r="AK3562" i="2"/>
  <c r="AK3563" i="2"/>
  <c r="AK3564" i="2"/>
  <c r="AK3565" i="2"/>
  <c r="AK3566" i="2"/>
  <c r="AK3567" i="2"/>
  <c r="AK3568" i="2"/>
  <c r="AK3569" i="2"/>
  <c r="AK3570" i="2"/>
  <c r="AK3571" i="2"/>
  <c r="AK3572" i="2"/>
  <c r="AK3573" i="2"/>
  <c r="AK3574" i="2"/>
  <c r="AK3575" i="2"/>
  <c r="AK3576" i="2"/>
  <c r="AK3577" i="2"/>
  <c r="AK3578" i="2"/>
  <c r="AK3579" i="2"/>
  <c r="AK3580" i="2"/>
  <c r="AK3581" i="2"/>
  <c r="AK3582" i="2"/>
  <c r="AK3583" i="2"/>
  <c r="AK3584" i="2"/>
  <c r="AK3585" i="2"/>
  <c r="AK3586" i="2"/>
  <c r="AK3587" i="2"/>
  <c r="AK3588" i="2"/>
  <c r="AK3589" i="2"/>
  <c r="AK3590" i="2"/>
  <c r="AK3591" i="2"/>
  <c r="AK3592" i="2"/>
  <c r="AK3593" i="2"/>
  <c r="AK3594" i="2"/>
  <c r="AK3595" i="2"/>
  <c r="AK3596" i="2"/>
  <c r="AK3597" i="2"/>
  <c r="AK3598" i="2"/>
  <c r="AK3599" i="2"/>
  <c r="AK3600" i="2"/>
  <c r="AK3601" i="2"/>
  <c r="AK3602" i="2"/>
  <c r="AK3603" i="2"/>
  <c r="AK3604" i="2"/>
  <c r="AK3605" i="2"/>
  <c r="AK3606" i="2"/>
  <c r="AK3607" i="2"/>
  <c r="AK3608" i="2"/>
  <c r="AK3609" i="2"/>
  <c r="AK3610" i="2"/>
  <c r="AK3611" i="2"/>
  <c r="AK3612" i="2"/>
  <c r="AK3613" i="2"/>
  <c r="AK3614" i="2"/>
  <c r="AK3615" i="2"/>
  <c r="AK3616" i="2"/>
  <c r="AK3617" i="2"/>
  <c r="AK3618" i="2"/>
  <c r="AK3619" i="2"/>
  <c r="AK3620" i="2"/>
  <c r="AK3621" i="2"/>
  <c r="AK3622" i="2"/>
  <c r="AK3623" i="2"/>
  <c r="AK3624" i="2"/>
  <c r="AK3625" i="2"/>
  <c r="AK3626" i="2"/>
  <c r="AK3627" i="2"/>
  <c r="AK3628" i="2"/>
  <c r="AK3629" i="2"/>
  <c r="AK3630" i="2"/>
  <c r="AK3631" i="2"/>
  <c r="AK3632" i="2"/>
  <c r="AK3633" i="2"/>
  <c r="AK3634" i="2"/>
  <c r="AK3635" i="2"/>
  <c r="AK3636" i="2"/>
  <c r="AK3637" i="2"/>
  <c r="AK3638" i="2"/>
  <c r="AK3639" i="2"/>
  <c r="AK3640" i="2"/>
  <c r="AK3641" i="2"/>
  <c r="AK3642" i="2"/>
  <c r="AK3643" i="2"/>
  <c r="AK3644" i="2"/>
  <c r="AK3645" i="2"/>
  <c r="AK3646" i="2"/>
  <c r="AK3647" i="2"/>
  <c r="AK3648" i="2"/>
  <c r="AK3649" i="2"/>
  <c r="AK3650" i="2"/>
  <c r="AK3651" i="2"/>
  <c r="AK3652" i="2"/>
  <c r="AK3653" i="2"/>
  <c r="AK3654" i="2"/>
  <c r="AK3655" i="2"/>
  <c r="AK3656" i="2"/>
  <c r="AK3657" i="2"/>
  <c r="AK3658" i="2"/>
  <c r="AK3659" i="2"/>
  <c r="AK3660" i="2"/>
  <c r="AK3661" i="2"/>
  <c r="AK3662" i="2"/>
  <c r="AK3663" i="2"/>
  <c r="AK3664" i="2"/>
  <c r="AK3665" i="2"/>
  <c r="AK3666" i="2"/>
  <c r="AK3667" i="2"/>
  <c r="AK3668" i="2"/>
  <c r="AK3669" i="2"/>
  <c r="AK3670" i="2"/>
  <c r="AK3671" i="2"/>
  <c r="AK3672" i="2"/>
  <c r="AK3673" i="2"/>
  <c r="AK3674" i="2"/>
  <c r="AK3675" i="2"/>
  <c r="AK3676" i="2"/>
  <c r="AK3677" i="2"/>
  <c r="AK3678" i="2"/>
  <c r="AK3679" i="2"/>
  <c r="AK3680" i="2"/>
  <c r="AK3681" i="2"/>
  <c r="AK3682" i="2"/>
  <c r="AK3683" i="2"/>
  <c r="AK3684" i="2"/>
  <c r="AK3685" i="2"/>
  <c r="AK3686" i="2"/>
  <c r="AK3687" i="2"/>
  <c r="AK3688" i="2"/>
  <c r="AK3689" i="2"/>
  <c r="AK3690" i="2"/>
  <c r="AK3691" i="2"/>
  <c r="AK3692" i="2"/>
  <c r="AK3693" i="2"/>
  <c r="AK3694" i="2"/>
  <c r="AK3695" i="2"/>
  <c r="AK3696" i="2"/>
  <c r="AK3697" i="2"/>
  <c r="AK3698" i="2"/>
  <c r="AK3699" i="2"/>
  <c r="AK3700" i="2"/>
  <c r="AK3701" i="2"/>
  <c r="AK3702" i="2"/>
  <c r="AK3703" i="2"/>
  <c r="AK3704" i="2"/>
  <c r="AK3705" i="2"/>
  <c r="AK3706" i="2"/>
  <c r="AK3707" i="2"/>
  <c r="AK3708" i="2"/>
  <c r="AK3709" i="2"/>
  <c r="AK3710" i="2"/>
  <c r="AK3711" i="2"/>
  <c r="AK3712" i="2"/>
  <c r="AK3713" i="2"/>
  <c r="AK3714" i="2"/>
  <c r="AK3715" i="2"/>
  <c r="AK3716" i="2"/>
  <c r="AK3717" i="2"/>
  <c r="AK3718" i="2"/>
  <c r="AK3719" i="2"/>
  <c r="AK3720" i="2"/>
  <c r="AK3721" i="2"/>
  <c r="AK3722" i="2"/>
  <c r="AK3723" i="2"/>
  <c r="AK3724" i="2"/>
  <c r="AK3725" i="2"/>
  <c r="AK3726" i="2"/>
  <c r="AK3727" i="2"/>
  <c r="AK3728" i="2"/>
  <c r="AK3729" i="2"/>
  <c r="AK3730" i="2"/>
  <c r="AK3731" i="2"/>
  <c r="AK3732" i="2"/>
  <c r="AK3733" i="2"/>
  <c r="AK3734" i="2"/>
  <c r="AK3735" i="2"/>
  <c r="AK3736" i="2"/>
  <c r="AK3737" i="2"/>
  <c r="AK3738" i="2"/>
  <c r="AK3739" i="2"/>
  <c r="AK3740" i="2"/>
  <c r="AK3741" i="2"/>
  <c r="AK3742" i="2"/>
  <c r="AK3743" i="2"/>
  <c r="AK3744" i="2"/>
  <c r="AK3745" i="2"/>
  <c r="AK3746" i="2"/>
  <c r="AK3747" i="2"/>
  <c r="AK3748" i="2"/>
  <c r="AK3749" i="2"/>
  <c r="AK3750" i="2"/>
  <c r="AK3751" i="2"/>
  <c r="AK3752" i="2"/>
  <c r="AK3753" i="2"/>
  <c r="AK3754" i="2"/>
  <c r="AK3755" i="2"/>
  <c r="AK3756" i="2"/>
  <c r="AK3757" i="2"/>
  <c r="AK3758" i="2"/>
  <c r="AK3759" i="2"/>
  <c r="AK3760" i="2"/>
  <c r="AK3761" i="2"/>
  <c r="AK3762" i="2"/>
  <c r="AK3763" i="2"/>
  <c r="AK3764" i="2"/>
  <c r="AK3765" i="2"/>
  <c r="AK3766" i="2"/>
  <c r="AK3767" i="2"/>
  <c r="AK3768" i="2"/>
  <c r="AK3769" i="2"/>
  <c r="AK3770" i="2"/>
  <c r="AK3771" i="2"/>
  <c r="AK3772" i="2"/>
  <c r="AK3773" i="2"/>
  <c r="AK3774" i="2"/>
  <c r="AK3775" i="2"/>
  <c r="AK3776" i="2"/>
  <c r="AK3777" i="2"/>
  <c r="AK3778" i="2"/>
  <c r="AK3779" i="2"/>
  <c r="AK3780" i="2"/>
  <c r="AK3781" i="2"/>
  <c r="AK3782" i="2"/>
  <c r="AK3783" i="2"/>
  <c r="AK3784" i="2"/>
  <c r="AK3785" i="2"/>
  <c r="AK3786" i="2"/>
  <c r="AK3787" i="2"/>
  <c r="AK3788" i="2"/>
  <c r="AK3789" i="2"/>
  <c r="AK3790" i="2"/>
  <c r="AK3791" i="2"/>
  <c r="AK3792" i="2"/>
  <c r="AK3793" i="2"/>
  <c r="AK3794" i="2"/>
  <c r="AK3795" i="2"/>
  <c r="AK3796" i="2"/>
  <c r="AK3797" i="2"/>
  <c r="AK3798" i="2"/>
  <c r="AK3799" i="2"/>
  <c r="AK3800" i="2"/>
  <c r="AK3801" i="2"/>
  <c r="AK3802" i="2"/>
  <c r="AK3803" i="2"/>
  <c r="AK3804" i="2"/>
  <c r="AK3805" i="2"/>
  <c r="AK3806" i="2"/>
  <c r="AK3807" i="2"/>
  <c r="AK3808" i="2"/>
  <c r="AK3809" i="2"/>
  <c r="AK3810" i="2"/>
  <c r="AK3811" i="2"/>
  <c r="AK3812" i="2"/>
  <c r="AK3813" i="2"/>
  <c r="AK3814" i="2"/>
  <c r="AK3815" i="2"/>
  <c r="AK3816" i="2"/>
  <c r="AK3817" i="2"/>
  <c r="AK3818" i="2"/>
  <c r="AK3819" i="2"/>
  <c r="AK3820" i="2"/>
  <c r="AK3821" i="2"/>
  <c r="AK3822" i="2"/>
  <c r="AK3823" i="2"/>
  <c r="AK3824" i="2"/>
  <c r="AK3825" i="2"/>
  <c r="AK3826" i="2"/>
  <c r="AK3827" i="2"/>
  <c r="AK3828" i="2"/>
  <c r="AK3829" i="2"/>
  <c r="AK3830" i="2"/>
  <c r="AK3831" i="2"/>
  <c r="AK3832" i="2"/>
  <c r="AK3833" i="2"/>
  <c r="AK3834" i="2"/>
  <c r="AK3835" i="2"/>
  <c r="AK3836" i="2"/>
  <c r="AK3837" i="2"/>
  <c r="AK3838" i="2"/>
  <c r="AK3839" i="2"/>
  <c r="AK3840" i="2"/>
  <c r="AK3841" i="2"/>
  <c r="AK3842" i="2"/>
  <c r="AK3843" i="2"/>
  <c r="AK3844" i="2"/>
  <c r="AK3845" i="2"/>
  <c r="AK3846" i="2"/>
  <c r="AK3847" i="2"/>
  <c r="AK3848" i="2"/>
  <c r="AK3849" i="2"/>
  <c r="AK3850" i="2"/>
  <c r="AK3851" i="2"/>
  <c r="AK3852" i="2"/>
  <c r="AK3853" i="2"/>
  <c r="AK3854" i="2"/>
  <c r="AK3855" i="2"/>
  <c r="AK3856" i="2"/>
  <c r="AK3857" i="2"/>
  <c r="AK3858" i="2"/>
  <c r="AK3859" i="2"/>
  <c r="AK3860" i="2"/>
  <c r="AK3861" i="2"/>
  <c r="AK3862" i="2"/>
  <c r="AK3863" i="2"/>
  <c r="AK3864" i="2"/>
  <c r="AK3865" i="2"/>
  <c r="AK3866" i="2"/>
  <c r="AK3867" i="2"/>
  <c r="AK3868" i="2"/>
  <c r="AK3869" i="2"/>
  <c r="AK3870" i="2"/>
  <c r="AK3871" i="2"/>
  <c r="AK3872" i="2"/>
  <c r="AK3873" i="2"/>
  <c r="AK3874" i="2"/>
  <c r="AK3875" i="2"/>
  <c r="AK3876" i="2"/>
  <c r="AK3877" i="2"/>
  <c r="AK3878" i="2"/>
  <c r="AK3879" i="2"/>
  <c r="AK3880" i="2"/>
  <c r="AK3881" i="2"/>
  <c r="AK3882" i="2"/>
  <c r="AK3883" i="2"/>
  <c r="AK3884" i="2"/>
  <c r="AK3885" i="2"/>
  <c r="AK3886" i="2"/>
  <c r="AK3887" i="2"/>
  <c r="AK3888" i="2"/>
  <c r="AK3889" i="2"/>
  <c r="AK3890" i="2"/>
  <c r="AK3891" i="2"/>
  <c r="AK3892" i="2"/>
  <c r="AK3893" i="2"/>
  <c r="AK3894" i="2"/>
  <c r="AK3895" i="2"/>
  <c r="AK3896" i="2"/>
  <c r="AK3897" i="2"/>
  <c r="AK3898" i="2"/>
  <c r="AK3899" i="2"/>
  <c r="AK3900" i="2"/>
  <c r="AK3901" i="2"/>
  <c r="AK3902" i="2"/>
  <c r="AK3903" i="2"/>
  <c r="AK3904" i="2"/>
  <c r="AK3905" i="2"/>
  <c r="AK3906" i="2"/>
  <c r="AK3907" i="2"/>
  <c r="AK3908" i="2"/>
  <c r="AK3909" i="2"/>
  <c r="AK3910" i="2"/>
  <c r="AK3911" i="2"/>
  <c r="AK3912" i="2"/>
  <c r="AK3913" i="2"/>
  <c r="AK3914" i="2"/>
  <c r="AK3915" i="2"/>
  <c r="AK3916" i="2"/>
  <c r="AK3917" i="2"/>
  <c r="AK3918" i="2"/>
  <c r="AK3919" i="2"/>
  <c r="AK3920" i="2"/>
  <c r="AK3921" i="2"/>
  <c r="AK3922" i="2"/>
  <c r="AK3923" i="2"/>
  <c r="AK3924" i="2"/>
  <c r="AK3925" i="2"/>
  <c r="AK3926" i="2"/>
  <c r="AK3927" i="2"/>
  <c r="AK3928" i="2"/>
  <c r="AK3929" i="2"/>
  <c r="AK3930" i="2"/>
  <c r="AK3931" i="2"/>
  <c r="AK3932" i="2"/>
  <c r="AK3933" i="2"/>
  <c r="AK3934" i="2"/>
  <c r="AK3935" i="2"/>
  <c r="AK3936" i="2"/>
  <c r="AK3937" i="2"/>
  <c r="AK3938" i="2"/>
  <c r="AK3939" i="2"/>
  <c r="AK3940" i="2"/>
  <c r="AK3941" i="2"/>
  <c r="AK3942" i="2"/>
  <c r="AK3943" i="2"/>
  <c r="AK3944" i="2"/>
  <c r="AK3945" i="2"/>
  <c r="AK3946" i="2"/>
  <c r="AK3947" i="2"/>
  <c r="AK3948" i="2"/>
  <c r="AK3949" i="2"/>
  <c r="AK3950" i="2"/>
  <c r="AK3951" i="2"/>
  <c r="AK3952" i="2"/>
  <c r="AK3953" i="2"/>
  <c r="AK3954" i="2"/>
  <c r="AK3955" i="2"/>
  <c r="AK3956" i="2"/>
  <c r="AK3957" i="2"/>
  <c r="AK3958" i="2"/>
  <c r="AK3959" i="2"/>
  <c r="AK3960" i="2"/>
  <c r="AK3961" i="2"/>
  <c r="AK3962" i="2"/>
  <c r="AK3963" i="2"/>
  <c r="AK3964" i="2"/>
  <c r="AK3965" i="2"/>
  <c r="AK3966" i="2"/>
  <c r="AK3967" i="2"/>
  <c r="AK3968" i="2"/>
  <c r="AK3969" i="2"/>
  <c r="AK3970" i="2"/>
  <c r="AK3971" i="2"/>
  <c r="AK3972" i="2"/>
  <c r="AK3973" i="2"/>
  <c r="AK3974" i="2"/>
  <c r="AK3975" i="2"/>
  <c r="AK3976" i="2"/>
  <c r="AK3977" i="2"/>
  <c r="AK3978" i="2"/>
  <c r="AK3979" i="2"/>
  <c r="AK3980" i="2"/>
  <c r="AK3981" i="2"/>
  <c r="AK3982" i="2"/>
  <c r="AK3983" i="2"/>
  <c r="AK3984" i="2"/>
  <c r="AK3985" i="2"/>
  <c r="AK3986" i="2"/>
  <c r="AK3987" i="2"/>
  <c r="AK3988" i="2"/>
  <c r="AK3989" i="2"/>
  <c r="AK3990" i="2"/>
  <c r="AK3991" i="2"/>
  <c r="AK3992" i="2"/>
  <c r="AK3993" i="2"/>
  <c r="AK3994" i="2"/>
  <c r="AK3995" i="2"/>
  <c r="AK3996" i="2"/>
  <c r="AK3997" i="2"/>
  <c r="AK3998" i="2"/>
  <c r="AK3999" i="2"/>
  <c r="AK4000" i="2"/>
  <c r="AK4001" i="2"/>
  <c r="AK4002" i="2"/>
  <c r="AK4003" i="2"/>
  <c r="AK4004" i="2"/>
  <c r="AK4005" i="2"/>
  <c r="AK4006" i="2"/>
  <c r="AK4007" i="2"/>
  <c r="AK4008" i="2"/>
  <c r="AK4009" i="2"/>
  <c r="AK4010" i="2"/>
  <c r="AK4011" i="2"/>
  <c r="AK4012" i="2"/>
  <c r="AK4013" i="2"/>
  <c r="AK4014" i="2"/>
  <c r="AK4015" i="2"/>
  <c r="AK4016" i="2"/>
  <c r="AK4017" i="2"/>
  <c r="AK4018" i="2"/>
  <c r="AK4019" i="2"/>
  <c r="AK4020" i="2"/>
  <c r="AK4021" i="2"/>
  <c r="AK4022" i="2"/>
  <c r="AK4023" i="2"/>
  <c r="AK4024" i="2"/>
  <c r="AK4025" i="2"/>
  <c r="AK4026" i="2"/>
  <c r="AK4027" i="2"/>
  <c r="AK4028" i="2"/>
  <c r="AK4029" i="2"/>
  <c r="AK4030" i="2"/>
  <c r="AK4031" i="2"/>
  <c r="AK4032" i="2"/>
  <c r="AK4033" i="2"/>
  <c r="AK4034" i="2"/>
  <c r="AK4035" i="2"/>
  <c r="AK4036" i="2"/>
  <c r="AK4037" i="2"/>
  <c r="AK4038" i="2"/>
  <c r="AK4039" i="2"/>
  <c r="AK4040" i="2"/>
  <c r="AK4041" i="2"/>
  <c r="AK4042" i="2"/>
  <c r="AK4043" i="2"/>
  <c r="AK4044" i="2"/>
  <c r="AK4045" i="2"/>
  <c r="AK4046" i="2"/>
  <c r="AK4047" i="2"/>
  <c r="AK4048" i="2"/>
  <c r="AK4049" i="2"/>
  <c r="AK4050" i="2"/>
  <c r="AK4051" i="2"/>
  <c r="AK4052" i="2"/>
  <c r="AK4053" i="2"/>
  <c r="AK4054" i="2"/>
  <c r="AK4055" i="2"/>
  <c r="AK4056" i="2"/>
  <c r="AK4057" i="2"/>
  <c r="AK4058" i="2"/>
  <c r="AK4059" i="2"/>
  <c r="AK4060" i="2"/>
  <c r="AK4061" i="2"/>
  <c r="AK4062" i="2"/>
  <c r="AK4063" i="2"/>
  <c r="AK4064" i="2"/>
  <c r="AK4065" i="2"/>
  <c r="AK4066" i="2"/>
  <c r="AK4067" i="2"/>
  <c r="AK4068" i="2"/>
  <c r="AK4069" i="2"/>
  <c r="AK4070" i="2"/>
  <c r="AK4071" i="2"/>
  <c r="AK4072" i="2"/>
  <c r="AK4073" i="2"/>
  <c r="AK4074" i="2"/>
  <c r="AK4075" i="2"/>
  <c r="AK4076" i="2"/>
  <c r="AK4077" i="2"/>
  <c r="AK4078" i="2"/>
  <c r="AK4079" i="2"/>
  <c r="AK4080" i="2"/>
  <c r="AK4081" i="2"/>
  <c r="AK4082" i="2"/>
  <c r="AK4083" i="2"/>
  <c r="AK4084" i="2"/>
  <c r="AK4085" i="2"/>
  <c r="AK4086" i="2"/>
  <c r="AK4087" i="2"/>
  <c r="AK4088" i="2"/>
  <c r="AK4089" i="2"/>
  <c r="AK4090" i="2"/>
  <c r="AK4091" i="2"/>
  <c r="AK4092" i="2"/>
  <c r="AK4093" i="2"/>
  <c r="AK4094" i="2"/>
  <c r="AK4095" i="2"/>
  <c r="AK4096" i="2"/>
  <c r="AK4097" i="2"/>
  <c r="AK4098" i="2"/>
  <c r="AK4099" i="2"/>
  <c r="AK4100" i="2"/>
  <c r="AK4101" i="2"/>
  <c r="AK4102" i="2"/>
  <c r="AK4103" i="2"/>
  <c r="AK4104" i="2"/>
  <c r="AK4105" i="2"/>
  <c r="AK4106" i="2"/>
  <c r="AK4107" i="2"/>
  <c r="AK4108" i="2"/>
  <c r="AK4109" i="2"/>
  <c r="AK4110" i="2"/>
  <c r="AK4111" i="2"/>
  <c r="AK4112" i="2"/>
  <c r="AK4113" i="2"/>
  <c r="AK4114" i="2"/>
  <c r="AK4115" i="2"/>
  <c r="AK4116" i="2"/>
  <c r="AK4117" i="2"/>
  <c r="AK4118" i="2"/>
  <c r="AK4119" i="2"/>
  <c r="AK4120" i="2"/>
  <c r="AK4121" i="2"/>
  <c r="AK4122" i="2"/>
  <c r="AK4123" i="2"/>
  <c r="AK4124" i="2"/>
  <c r="AK4125" i="2"/>
  <c r="AK4126" i="2"/>
  <c r="AK4127" i="2"/>
  <c r="AK4128" i="2"/>
  <c r="AK4129" i="2"/>
  <c r="AK4130" i="2"/>
  <c r="AK4131" i="2"/>
  <c r="AK4132" i="2"/>
  <c r="AK4133" i="2"/>
  <c r="AK4134" i="2"/>
  <c r="AK4135" i="2"/>
  <c r="AK4136" i="2"/>
  <c r="AK4137" i="2"/>
  <c r="AK4138" i="2"/>
  <c r="AK4139" i="2"/>
  <c r="AK4140" i="2"/>
  <c r="AK4141" i="2"/>
  <c r="AK4142" i="2"/>
  <c r="AK4143" i="2"/>
  <c r="AK4144" i="2"/>
  <c r="AK4145" i="2"/>
  <c r="AK4146" i="2"/>
  <c r="AK4147" i="2"/>
  <c r="AK4148" i="2"/>
  <c r="AK4149" i="2"/>
  <c r="AK4150" i="2"/>
  <c r="AK4151" i="2"/>
  <c r="AK4152" i="2"/>
  <c r="AK4153" i="2"/>
  <c r="AK4154" i="2"/>
  <c r="AK4155" i="2"/>
  <c r="AK4156" i="2"/>
  <c r="AK4157" i="2"/>
  <c r="AK4158" i="2"/>
  <c r="AK4159" i="2"/>
  <c r="AK4160" i="2"/>
  <c r="AK4161" i="2"/>
  <c r="AK4162" i="2"/>
  <c r="AK4163" i="2"/>
  <c r="AK4164" i="2"/>
  <c r="AK4165" i="2"/>
  <c r="AK4166" i="2"/>
  <c r="AK4167" i="2"/>
  <c r="AK4168" i="2"/>
  <c r="AK4169" i="2"/>
  <c r="AK4170" i="2"/>
  <c r="AK4171" i="2"/>
  <c r="AK4172" i="2"/>
  <c r="AK4173" i="2"/>
  <c r="AK4174" i="2"/>
  <c r="AK4175" i="2"/>
  <c r="AK4176" i="2"/>
  <c r="AK4177" i="2"/>
  <c r="AK4178" i="2"/>
  <c r="AK4179" i="2"/>
  <c r="AK4180" i="2"/>
  <c r="AK4181" i="2"/>
  <c r="AK4182" i="2"/>
  <c r="AK4183" i="2"/>
  <c r="AK4184" i="2"/>
  <c r="AK4185" i="2"/>
  <c r="AK4186" i="2"/>
  <c r="AK4187" i="2"/>
  <c r="AK4188" i="2"/>
  <c r="AK4189" i="2"/>
  <c r="AK4190" i="2"/>
  <c r="AK4191" i="2"/>
  <c r="AK4192" i="2"/>
  <c r="AK4193" i="2"/>
  <c r="AK4194" i="2"/>
  <c r="AK4195" i="2"/>
  <c r="AK4196" i="2"/>
  <c r="AK4197" i="2"/>
  <c r="AK4198" i="2"/>
  <c r="AK4199" i="2"/>
  <c r="AK4200" i="2"/>
  <c r="AK4201" i="2"/>
  <c r="AK4202" i="2"/>
  <c r="AK4203" i="2"/>
  <c r="AK4204" i="2"/>
  <c r="AK4205" i="2"/>
  <c r="AK4206" i="2"/>
  <c r="AK4207" i="2"/>
  <c r="AK4208" i="2"/>
  <c r="AK4209" i="2"/>
  <c r="AK4210" i="2"/>
  <c r="AK4211" i="2"/>
  <c r="AK4212" i="2"/>
  <c r="AK4213" i="2"/>
  <c r="AK4214" i="2"/>
  <c r="AK4215" i="2"/>
  <c r="AK4216" i="2"/>
  <c r="AK4217" i="2"/>
  <c r="AK4218" i="2"/>
  <c r="AK4219" i="2"/>
  <c r="AK4220" i="2"/>
  <c r="AK4221" i="2"/>
  <c r="AK4222" i="2"/>
  <c r="AK4223" i="2"/>
  <c r="AK4224" i="2"/>
  <c r="AK4225" i="2"/>
  <c r="AK4226" i="2"/>
  <c r="AK4227" i="2"/>
  <c r="AK4228" i="2"/>
  <c r="AK4229" i="2"/>
  <c r="AK4230" i="2"/>
  <c r="AK4231" i="2"/>
  <c r="AK4232" i="2"/>
  <c r="AK4233" i="2"/>
  <c r="AK4234" i="2"/>
  <c r="AK4235" i="2"/>
  <c r="AK4236" i="2"/>
  <c r="AK4237" i="2"/>
  <c r="AK4238" i="2"/>
  <c r="AK4239" i="2"/>
  <c r="AK4240" i="2"/>
  <c r="AK4241" i="2"/>
  <c r="AK4242" i="2"/>
  <c r="AK4243" i="2"/>
  <c r="AK4244" i="2"/>
  <c r="AK4245" i="2"/>
  <c r="AK4246" i="2"/>
  <c r="AK4247" i="2"/>
  <c r="AK4248" i="2"/>
  <c r="AK4249" i="2"/>
  <c r="AK4250" i="2"/>
  <c r="AK4251" i="2"/>
  <c r="AK4252" i="2"/>
  <c r="AK4253" i="2"/>
  <c r="AK4254" i="2"/>
  <c r="AK4255" i="2"/>
  <c r="AK4256" i="2"/>
  <c r="AK4257" i="2"/>
  <c r="AK4258" i="2"/>
  <c r="AK4259" i="2"/>
  <c r="AK4260" i="2"/>
  <c r="AK4261" i="2"/>
  <c r="AK4262" i="2"/>
  <c r="AK4263" i="2"/>
  <c r="AK4264" i="2"/>
  <c r="AK4265" i="2"/>
  <c r="AK4266" i="2"/>
  <c r="AK4267" i="2"/>
  <c r="AK4268" i="2"/>
  <c r="AK4269" i="2"/>
  <c r="AK4270" i="2"/>
  <c r="AK4271" i="2"/>
  <c r="AK4272" i="2"/>
  <c r="AK4273" i="2"/>
  <c r="AK4274" i="2"/>
  <c r="AK4275" i="2"/>
  <c r="AK4276" i="2"/>
  <c r="AK4277" i="2"/>
  <c r="AK4278" i="2"/>
  <c r="AK4279" i="2"/>
  <c r="AK4280" i="2"/>
  <c r="AK4281" i="2"/>
  <c r="AK4282" i="2"/>
  <c r="AK4283" i="2"/>
  <c r="AK4284" i="2"/>
  <c r="AK4285" i="2"/>
  <c r="AK4286" i="2"/>
  <c r="AK4287" i="2"/>
  <c r="AK4288" i="2"/>
  <c r="AK4289" i="2"/>
  <c r="AK4290" i="2"/>
  <c r="AK4291" i="2"/>
  <c r="AK4292" i="2"/>
  <c r="AK4293" i="2"/>
  <c r="AK4294" i="2"/>
  <c r="AK4295" i="2"/>
  <c r="AK4296" i="2"/>
  <c r="AK4297" i="2"/>
  <c r="AK4298" i="2"/>
  <c r="AK4299" i="2"/>
  <c r="AK4300" i="2"/>
  <c r="AK4301" i="2"/>
  <c r="AK4302" i="2"/>
  <c r="AK4303" i="2"/>
  <c r="AK4304" i="2"/>
  <c r="AK4305" i="2"/>
  <c r="AK4306" i="2"/>
  <c r="AK4307" i="2"/>
  <c r="AK4308" i="2"/>
  <c r="AK4309" i="2"/>
  <c r="AK4310" i="2"/>
  <c r="AK4311" i="2"/>
  <c r="AK4312" i="2"/>
  <c r="AK4313" i="2"/>
  <c r="AK4314" i="2"/>
  <c r="AK4315" i="2"/>
  <c r="AK4316" i="2"/>
  <c r="AK4317" i="2"/>
  <c r="AK4318" i="2"/>
  <c r="AK4319" i="2"/>
  <c r="AK4320" i="2"/>
  <c r="AK4321" i="2"/>
  <c r="AK4322" i="2"/>
  <c r="AK4323" i="2"/>
  <c r="AK4324" i="2"/>
  <c r="AK4325" i="2"/>
  <c r="AK4326" i="2"/>
  <c r="AK4327" i="2"/>
  <c r="AK4328" i="2"/>
  <c r="AK4329" i="2"/>
  <c r="AK4330" i="2"/>
  <c r="AK4331" i="2"/>
  <c r="AK4332" i="2"/>
  <c r="AK4333" i="2"/>
  <c r="AK4334" i="2"/>
  <c r="AK4335" i="2"/>
  <c r="AK4336" i="2"/>
  <c r="AK4337" i="2"/>
  <c r="AK4338" i="2"/>
  <c r="AK4339" i="2"/>
  <c r="AK4340" i="2"/>
  <c r="AK4341" i="2"/>
  <c r="AK4342" i="2"/>
  <c r="AK4343" i="2"/>
  <c r="AK4344" i="2"/>
  <c r="AK4345" i="2"/>
  <c r="AK4346" i="2"/>
  <c r="AK4347" i="2"/>
  <c r="AK4348" i="2"/>
  <c r="AK4349" i="2"/>
  <c r="AK4350" i="2"/>
  <c r="AK4351" i="2"/>
  <c r="AK4352" i="2"/>
  <c r="AK4353" i="2"/>
  <c r="AK4354" i="2"/>
  <c r="AK4355" i="2"/>
  <c r="AK4356" i="2"/>
  <c r="AK4357" i="2"/>
  <c r="AK4358" i="2"/>
  <c r="AK4359" i="2"/>
  <c r="AK4360" i="2"/>
  <c r="AK4361" i="2"/>
  <c r="AK4362" i="2"/>
  <c r="AK4363" i="2"/>
  <c r="AK4364" i="2"/>
  <c r="AK4365" i="2"/>
  <c r="AK4366" i="2"/>
  <c r="AK4367" i="2"/>
  <c r="AK4368" i="2"/>
  <c r="AK4369" i="2"/>
  <c r="AK4370" i="2"/>
  <c r="AK4371" i="2"/>
  <c r="AK4372" i="2"/>
  <c r="AK4373" i="2"/>
  <c r="AK4374" i="2"/>
  <c r="AK4375" i="2"/>
  <c r="AK4376" i="2"/>
  <c r="AK4377" i="2"/>
  <c r="AK4378" i="2"/>
  <c r="AK4379" i="2"/>
  <c r="AK4380" i="2"/>
  <c r="AK4381" i="2"/>
  <c r="AK4382" i="2"/>
  <c r="AK4383" i="2"/>
  <c r="AK4384" i="2"/>
  <c r="AK4385" i="2"/>
  <c r="AK4386" i="2"/>
  <c r="AK4387" i="2"/>
  <c r="AK4388" i="2"/>
  <c r="AK4389" i="2"/>
  <c r="AK4390" i="2"/>
  <c r="AK4391" i="2"/>
  <c r="AK4392" i="2"/>
  <c r="AK4393" i="2"/>
  <c r="AK4394" i="2"/>
  <c r="AK4395" i="2"/>
  <c r="AK4396" i="2"/>
  <c r="AK4397" i="2"/>
  <c r="AK4398" i="2"/>
  <c r="AK4399" i="2"/>
  <c r="AK4400" i="2"/>
  <c r="AK4401" i="2"/>
  <c r="AK4402" i="2"/>
  <c r="AK4403" i="2"/>
  <c r="AK4404" i="2"/>
  <c r="AK4405" i="2"/>
  <c r="AK4406" i="2"/>
  <c r="AK4407" i="2"/>
  <c r="AK4408" i="2"/>
  <c r="AK4409" i="2"/>
  <c r="AK4410" i="2"/>
  <c r="AK4411" i="2"/>
  <c r="AK4412" i="2"/>
  <c r="AK4413" i="2"/>
  <c r="AK4414" i="2"/>
  <c r="AK4415" i="2"/>
  <c r="AK4416" i="2"/>
  <c r="AK4417" i="2"/>
  <c r="AK4418" i="2"/>
  <c r="AK4419" i="2"/>
  <c r="AK4420" i="2"/>
  <c r="AK4421" i="2"/>
  <c r="AK4422" i="2"/>
  <c r="AK4423" i="2"/>
  <c r="AK4424" i="2"/>
  <c r="AK4425" i="2"/>
  <c r="AK4426" i="2"/>
  <c r="AK4427" i="2"/>
  <c r="AK4428" i="2"/>
  <c r="AK4429" i="2"/>
  <c r="AK4430" i="2"/>
  <c r="AK4431" i="2"/>
  <c r="AK4432" i="2"/>
  <c r="AK4433" i="2"/>
  <c r="AK4434" i="2"/>
  <c r="AK4435" i="2"/>
  <c r="AK4436" i="2"/>
  <c r="AK4437" i="2"/>
  <c r="AK4438" i="2"/>
  <c r="AK4439" i="2"/>
  <c r="AK4440" i="2"/>
  <c r="AK4441" i="2"/>
  <c r="AK4442" i="2"/>
  <c r="AK4443" i="2"/>
  <c r="AK4444" i="2"/>
  <c r="AK4445" i="2"/>
  <c r="AK4446" i="2"/>
  <c r="AK4447" i="2"/>
  <c r="AK4448" i="2"/>
  <c r="AK4449" i="2"/>
  <c r="AK4450" i="2"/>
  <c r="AK4451" i="2"/>
  <c r="AK4452" i="2"/>
  <c r="AK4453" i="2"/>
  <c r="AK4454" i="2"/>
  <c r="AK4455" i="2"/>
  <c r="AK4456" i="2"/>
  <c r="AK4457" i="2"/>
  <c r="AK4458" i="2"/>
  <c r="AK4459" i="2"/>
  <c r="AK4460" i="2"/>
  <c r="AK4461" i="2"/>
  <c r="AK4462" i="2"/>
  <c r="AK4463" i="2"/>
  <c r="AK4464" i="2"/>
  <c r="AK4465" i="2"/>
  <c r="AK4466" i="2"/>
  <c r="AK4467" i="2"/>
  <c r="AK4468" i="2"/>
  <c r="AK4469" i="2"/>
  <c r="AK4470" i="2"/>
  <c r="AK4471" i="2"/>
  <c r="AK4472" i="2"/>
  <c r="AK4473" i="2"/>
  <c r="AK4474" i="2"/>
  <c r="AK4475" i="2"/>
  <c r="AK4476" i="2"/>
  <c r="AK4477" i="2"/>
  <c r="AK4478" i="2"/>
  <c r="AK4479" i="2"/>
  <c r="AK4480" i="2"/>
  <c r="AK4481" i="2"/>
  <c r="AK4482" i="2"/>
  <c r="AK4483" i="2"/>
  <c r="AK4484" i="2"/>
  <c r="AK4485" i="2"/>
  <c r="AK4486" i="2"/>
  <c r="AK4487" i="2"/>
  <c r="AK4488" i="2"/>
  <c r="AK4489" i="2"/>
  <c r="AK4490" i="2"/>
  <c r="AK4491" i="2"/>
  <c r="AK4492" i="2"/>
  <c r="AK4493" i="2"/>
  <c r="AK4494" i="2"/>
  <c r="AK4495" i="2"/>
  <c r="AK4496" i="2"/>
  <c r="AK4497" i="2"/>
  <c r="AK4498" i="2"/>
  <c r="AK4499" i="2"/>
  <c r="AK4500" i="2"/>
  <c r="AK4501" i="2"/>
  <c r="AK4502" i="2"/>
  <c r="AK4503" i="2"/>
  <c r="AK4504" i="2"/>
  <c r="AK4505" i="2"/>
  <c r="AK4506" i="2"/>
  <c r="AK4507" i="2"/>
  <c r="AK4508" i="2"/>
  <c r="AK4509" i="2"/>
  <c r="AK4510" i="2"/>
  <c r="AK4511" i="2"/>
  <c r="AK4512" i="2"/>
  <c r="AK4513" i="2"/>
  <c r="AK4514" i="2"/>
  <c r="AK4515" i="2"/>
  <c r="AK4516" i="2"/>
  <c r="AK4517" i="2"/>
  <c r="AK4518" i="2"/>
  <c r="AK4519" i="2"/>
  <c r="AK4520" i="2"/>
  <c r="AK4521" i="2"/>
  <c r="AK4522" i="2"/>
  <c r="AK4523" i="2"/>
  <c r="AK4524" i="2"/>
  <c r="AK4525" i="2"/>
  <c r="AK4526" i="2"/>
  <c r="AK4527" i="2"/>
  <c r="AK4528" i="2"/>
  <c r="AK4529" i="2"/>
  <c r="AK4530" i="2"/>
  <c r="AK4531" i="2"/>
  <c r="AK4532" i="2"/>
  <c r="AK4533" i="2"/>
  <c r="AK4534" i="2"/>
  <c r="AK4535" i="2"/>
  <c r="AK4536" i="2"/>
  <c r="AK4537" i="2"/>
  <c r="AK4538" i="2"/>
  <c r="AK4539" i="2"/>
  <c r="AK4540" i="2"/>
  <c r="AK4541" i="2"/>
  <c r="AK4542" i="2"/>
  <c r="AK4543" i="2"/>
  <c r="AK4544" i="2"/>
  <c r="AK4545" i="2"/>
  <c r="AK4546" i="2"/>
  <c r="AK4547" i="2"/>
  <c r="AK4548" i="2"/>
  <c r="AK4549" i="2"/>
  <c r="AK4550" i="2"/>
  <c r="AK4551" i="2"/>
  <c r="AK4552" i="2"/>
  <c r="AK4553" i="2"/>
  <c r="AK4554" i="2"/>
  <c r="AK4555" i="2"/>
  <c r="AK4556" i="2"/>
  <c r="AK4557" i="2"/>
  <c r="AK4558" i="2"/>
  <c r="AK4559" i="2"/>
  <c r="AK4560" i="2"/>
  <c r="AK4561" i="2"/>
  <c r="AK4562" i="2"/>
  <c r="AK4563" i="2"/>
  <c r="AK4564" i="2"/>
  <c r="AK4565" i="2"/>
  <c r="AK4566" i="2"/>
  <c r="AK4567" i="2"/>
  <c r="AK4568" i="2"/>
  <c r="AK4569" i="2"/>
  <c r="AK4570" i="2"/>
  <c r="AK4571" i="2"/>
  <c r="AK4572" i="2"/>
  <c r="AK4573" i="2"/>
  <c r="AK4574" i="2"/>
  <c r="AK4575" i="2"/>
  <c r="AK4576" i="2"/>
  <c r="AK4577" i="2"/>
  <c r="AK4578" i="2"/>
  <c r="AK4579" i="2"/>
  <c r="AK4580" i="2"/>
  <c r="AK4581" i="2"/>
  <c r="AK4582" i="2"/>
  <c r="AK4583" i="2"/>
  <c r="AK4584" i="2"/>
  <c r="AK4585" i="2"/>
  <c r="AK4586" i="2"/>
  <c r="AK4587" i="2"/>
  <c r="AK4588" i="2"/>
  <c r="AK4589" i="2"/>
  <c r="AK4590" i="2"/>
  <c r="AK4591" i="2"/>
  <c r="AK4592" i="2"/>
  <c r="AK4593" i="2"/>
  <c r="AK4594" i="2"/>
  <c r="AK4595" i="2"/>
  <c r="AK4596" i="2"/>
  <c r="AK4597" i="2"/>
  <c r="AK4598" i="2"/>
  <c r="AK4599" i="2"/>
  <c r="AK4600" i="2"/>
  <c r="AK4601" i="2"/>
  <c r="AK4602" i="2"/>
  <c r="AK4603" i="2"/>
  <c r="AK4604" i="2"/>
  <c r="AK4605" i="2"/>
  <c r="AK4606" i="2"/>
  <c r="AK4607" i="2"/>
  <c r="AK4608" i="2"/>
  <c r="AK4609" i="2"/>
  <c r="AK4610" i="2"/>
  <c r="AK4611" i="2"/>
  <c r="AK4612" i="2"/>
  <c r="AK4613" i="2"/>
  <c r="AK4614" i="2"/>
  <c r="AK4615" i="2"/>
  <c r="AK4616" i="2"/>
  <c r="AK4617" i="2"/>
  <c r="AK4618" i="2"/>
  <c r="AK4619" i="2"/>
  <c r="AK4620" i="2"/>
  <c r="AK4621" i="2"/>
  <c r="AK4622" i="2"/>
  <c r="AK4623" i="2"/>
  <c r="AK4624" i="2"/>
  <c r="AK4625" i="2"/>
  <c r="AK4626" i="2"/>
  <c r="AK4627" i="2"/>
  <c r="AK4628" i="2"/>
  <c r="AK4629" i="2"/>
  <c r="AK4630" i="2"/>
  <c r="AK4631" i="2"/>
  <c r="AK4632" i="2"/>
  <c r="AK4633" i="2"/>
  <c r="AK4634" i="2"/>
  <c r="AK4635" i="2"/>
  <c r="AK4636" i="2"/>
  <c r="AK4637" i="2"/>
  <c r="AK4638" i="2"/>
  <c r="AK4639" i="2"/>
  <c r="AK4640" i="2"/>
  <c r="AK4641" i="2"/>
  <c r="AK4642" i="2"/>
  <c r="AK4643" i="2"/>
  <c r="AK4644" i="2"/>
  <c r="AK4645" i="2"/>
  <c r="AK4646" i="2"/>
  <c r="AK4647" i="2"/>
  <c r="AK4648" i="2"/>
  <c r="AK4649" i="2"/>
  <c r="AK4650" i="2"/>
  <c r="AK4651" i="2"/>
  <c r="AK4652" i="2"/>
  <c r="AK4653" i="2"/>
  <c r="AK4654" i="2"/>
  <c r="AK4655" i="2"/>
  <c r="AK4656" i="2"/>
  <c r="AK4657" i="2"/>
  <c r="AK4658" i="2"/>
  <c r="AK4659" i="2"/>
  <c r="AK4660" i="2"/>
  <c r="AK4661" i="2"/>
  <c r="AK4662" i="2"/>
  <c r="AK4663" i="2"/>
  <c r="AK4664" i="2"/>
  <c r="AK4665" i="2"/>
  <c r="AK4666" i="2"/>
  <c r="AK4667" i="2"/>
  <c r="AK4668" i="2"/>
  <c r="AK4669" i="2"/>
  <c r="AK4670" i="2"/>
  <c r="AK4671" i="2"/>
  <c r="AK4672" i="2"/>
  <c r="AK4673" i="2"/>
  <c r="AK4674" i="2"/>
  <c r="AK4675" i="2"/>
  <c r="AK4676" i="2"/>
  <c r="AK4677" i="2"/>
  <c r="AK4678" i="2"/>
  <c r="AK4679" i="2"/>
  <c r="AK4680" i="2"/>
  <c r="AK4681" i="2"/>
  <c r="AK4682" i="2"/>
  <c r="AK4683" i="2"/>
  <c r="AK4684" i="2"/>
  <c r="AK4685" i="2"/>
  <c r="AK4686" i="2"/>
  <c r="AK4687" i="2"/>
  <c r="AK4688" i="2"/>
  <c r="AK4689" i="2"/>
  <c r="AK4690" i="2"/>
  <c r="AK4691" i="2"/>
  <c r="AK4692" i="2"/>
  <c r="AK4693" i="2"/>
  <c r="AK4694" i="2"/>
  <c r="AK4695" i="2"/>
  <c r="AK4696" i="2"/>
  <c r="AK4697" i="2"/>
  <c r="AK4698" i="2"/>
  <c r="AK4699" i="2"/>
  <c r="AK4700" i="2"/>
  <c r="AK4701" i="2"/>
  <c r="AK4702" i="2"/>
  <c r="AK4703" i="2"/>
  <c r="AK4704" i="2"/>
  <c r="AK4705" i="2"/>
  <c r="AK4706" i="2"/>
  <c r="AK4707" i="2"/>
  <c r="AK4708" i="2"/>
  <c r="AK4709" i="2"/>
  <c r="AK4710" i="2"/>
  <c r="AK4711" i="2"/>
  <c r="AK4712" i="2"/>
  <c r="AK4713" i="2"/>
  <c r="AK4714" i="2"/>
  <c r="AK4715" i="2"/>
  <c r="AK4716" i="2"/>
  <c r="AK4717" i="2"/>
  <c r="AK4718" i="2"/>
  <c r="AK4719" i="2"/>
  <c r="AK4720" i="2"/>
  <c r="AK4721" i="2"/>
  <c r="AK4722" i="2"/>
  <c r="AK4723" i="2"/>
  <c r="AK4724" i="2"/>
  <c r="AK4725" i="2"/>
  <c r="AK4726" i="2"/>
  <c r="AK4727" i="2"/>
  <c r="AK4728" i="2"/>
  <c r="AK4729" i="2"/>
  <c r="AK4730" i="2"/>
  <c r="AK4731" i="2"/>
  <c r="AK4732" i="2"/>
  <c r="AK4733" i="2"/>
  <c r="AK4734" i="2"/>
  <c r="AK4735" i="2"/>
  <c r="AK4736" i="2"/>
  <c r="AK4737" i="2"/>
  <c r="AK4738" i="2"/>
  <c r="AK4739" i="2"/>
  <c r="AK4740" i="2"/>
  <c r="AK4741" i="2"/>
  <c r="AK4742" i="2"/>
  <c r="AK4743" i="2"/>
  <c r="AK4744" i="2"/>
  <c r="AK4745" i="2"/>
  <c r="AK4746" i="2"/>
  <c r="AK4747" i="2"/>
  <c r="AK4748" i="2"/>
  <c r="AK4749" i="2"/>
  <c r="AK4750" i="2"/>
  <c r="AK4751" i="2"/>
  <c r="AK4752" i="2"/>
  <c r="AK4753" i="2"/>
  <c r="AK4754" i="2"/>
  <c r="AK4755" i="2"/>
  <c r="AK4756" i="2"/>
  <c r="AK4757" i="2"/>
  <c r="AK4758" i="2"/>
  <c r="AK4759" i="2"/>
  <c r="AK4760" i="2"/>
  <c r="AK4761" i="2"/>
  <c r="AK4762" i="2"/>
  <c r="AK4763" i="2"/>
  <c r="AK4764" i="2"/>
  <c r="AK4765" i="2"/>
  <c r="AK4766" i="2"/>
  <c r="AK4767" i="2"/>
  <c r="AK4768" i="2"/>
  <c r="AK4769" i="2"/>
  <c r="AK4770" i="2"/>
  <c r="AK4771" i="2"/>
  <c r="AK4772" i="2"/>
  <c r="AK4773" i="2"/>
  <c r="AK4774" i="2"/>
  <c r="AK4775" i="2"/>
  <c r="AK4776" i="2"/>
  <c r="AK4777" i="2"/>
  <c r="AK4778" i="2"/>
  <c r="AK4779" i="2"/>
  <c r="AK4780" i="2"/>
  <c r="AK4781" i="2"/>
  <c r="AK4782" i="2"/>
  <c r="AK4783" i="2"/>
  <c r="AK4784" i="2"/>
  <c r="AK4785" i="2"/>
  <c r="AK4786" i="2"/>
  <c r="AK4787" i="2"/>
  <c r="AK4788" i="2"/>
  <c r="AK4789" i="2"/>
  <c r="AK4790" i="2"/>
  <c r="AK4791" i="2"/>
  <c r="AK4792" i="2"/>
  <c r="AK4793" i="2"/>
  <c r="AK4794" i="2"/>
  <c r="AK4795" i="2"/>
  <c r="AK4796" i="2"/>
  <c r="AK4797" i="2"/>
  <c r="AK4798" i="2"/>
  <c r="AK4799" i="2"/>
  <c r="AK4800" i="2"/>
  <c r="AK4801" i="2"/>
  <c r="AK4802" i="2"/>
  <c r="AK4803" i="2"/>
  <c r="AK4804" i="2"/>
  <c r="AK4805" i="2"/>
  <c r="AK4806" i="2"/>
  <c r="AK4807" i="2"/>
  <c r="AK4808" i="2"/>
  <c r="AK4809" i="2"/>
  <c r="AK4810" i="2"/>
  <c r="AK4811" i="2"/>
  <c r="AK4812" i="2"/>
  <c r="AK4813" i="2"/>
  <c r="AK4814" i="2"/>
  <c r="AK4815" i="2"/>
  <c r="AK4816" i="2"/>
  <c r="AK4817" i="2"/>
  <c r="AK4818" i="2"/>
  <c r="AK4819" i="2"/>
  <c r="AK4820" i="2"/>
  <c r="AK4821" i="2"/>
  <c r="AK4822" i="2"/>
  <c r="AK4823" i="2"/>
  <c r="AK4824" i="2"/>
  <c r="AK4825" i="2"/>
  <c r="AK4826" i="2"/>
  <c r="AK4827" i="2"/>
  <c r="AK4828" i="2"/>
  <c r="AK4829" i="2"/>
  <c r="AK4830" i="2"/>
  <c r="AK4831" i="2"/>
  <c r="AK4832" i="2"/>
  <c r="AK4833" i="2"/>
  <c r="AK4834" i="2"/>
  <c r="AK4835" i="2"/>
  <c r="AK4836" i="2"/>
  <c r="AK4837" i="2"/>
  <c r="AK4838" i="2"/>
  <c r="AK4839" i="2"/>
  <c r="AK4840" i="2"/>
  <c r="AK4841" i="2"/>
  <c r="AK4842" i="2"/>
  <c r="AK4843" i="2"/>
  <c r="AK4844" i="2"/>
  <c r="AK4845" i="2"/>
  <c r="AK4846" i="2"/>
  <c r="AK4847" i="2"/>
  <c r="AK4848" i="2"/>
  <c r="AK4849" i="2"/>
  <c r="AK4850" i="2"/>
  <c r="AK4851" i="2"/>
  <c r="AK4852" i="2"/>
  <c r="AK4853" i="2"/>
  <c r="AK4854" i="2"/>
  <c r="AK4855" i="2"/>
  <c r="AK4856" i="2"/>
  <c r="AK4857" i="2"/>
  <c r="AK4858" i="2"/>
  <c r="AK4859" i="2"/>
  <c r="AK4860" i="2"/>
  <c r="AK4861" i="2"/>
  <c r="AK4862" i="2"/>
  <c r="AK4863" i="2"/>
  <c r="AK4864" i="2"/>
  <c r="AK4865" i="2"/>
  <c r="AK4866" i="2"/>
  <c r="AK4867" i="2"/>
  <c r="AK4868" i="2"/>
  <c r="AK4869" i="2"/>
  <c r="AK4870" i="2"/>
  <c r="AK4871" i="2"/>
  <c r="AK4872" i="2"/>
  <c r="AK4873" i="2"/>
  <c r="AK4874" i="2"/>
  <c r="AK4875" i="2"/>
  <c r="AK4876" i="2"/>
  <c r="AK4877" i="2"/>
  <c r="AK4878" i="2"/>
  <c r="AK4879" i="2"/>
  <c r="AK4880" i="2"/>
  <c r="AK4881" i="2"/>
  <c r="AK4882" i="2"/>
  <c r="AK4883" i="2"/>
  <c r="AK4884" i="2"/>
  <c r="AK4885" i="2"/>
  <c r="AK4886" i="2"/>
  <c r="AK4887" i="2"/>
  <c r="AK4888" i="2"/>
  <c r="AK4889" i="2"/>
  <c r="AK4890" i="2"/>
  <c r="AK4891" i="2"/>
  <c r="AK4892" i="2"/>
  <c r="AK4893" i="2"/>
  <c r="AK4894" i="2"/>
  <c r="AK4895" i="2"/>
  <c r="AK4896" i="2"/>
  <c r="AK4897" i="2"/>
  <c r="AK4898" i="2"/>
  <c r="AK4899" i="2"/>
  <c r="AK4900" i="2"/>
  <c r="AK4901" i="2"/>
  <c r="AK4902" i="2"/>
  <c r="AK4903" i="2"/>
  <c r="AK4904" i="2"/>
  <c r="AK4905" i="2"/>
  <c r="AK4906" i="2"/>
  <c r="AK4907" i="2"/>
  <c r="AK4908" i="2"/>
  <c r="AK4909" i="2"/>
  <c r="AK4910" i="2"/>
  <c r="AK4911" i="2"/>
  <c r="AK4912" i="2"/>
  <c r="AK4913" i="2"/>
  <c r="AK4914" i="2"/>
  <c r="AK4915" i="2"/>
  <c r="AK4916" i="2"/>
  <c r="AK4917" i="2"/>
  <c r="AK4918" i="2"/>
  <c r="AK4919" i="2"/>
  <c r="AK4920" i="2"/>
  <c r="AK4921" i="2"/>
  <c r="AK4922" i="2"/>
  <c r="AK4923" i="2"/>
  <c r="AK4924" i="2"/>
  <c r="AK4925" i="2"/>
  <c r="AK4926" i="2"/>
  <c r="AK4927" i="2"/>
  <c r="AK4928" i="2"/>
  <c r="AK4929" i="2"/>
  <c r="AK4930" i="2"/>
  <c r="AK4931" i="2"/>
  <c r="AK4932" i="2"/>
  <c r="AK4933" i="2"/>
  <c r="AK4934" i="2"/>
  <c r="AK4935" i="2"/>
  <c r="AK4936" i="2"/>
  <c r="AK4937" i="2"/>
  <c r="AK4938" i="2"/>
  <c r="AK4939" i="2"/>
  <c r="AK4940" i="2"/>
  <c r="AK4941" i="2"/>
  <c r="AK4942" i="2"/>
  <c r="AK4943" i="2"/>
  <c r="AK4944" i="2"/>
  <c r="AK4945" i="2"/>
  <c r="AK4946" i="2"/>
  <c r="AK4947" i="2"/>
  <c r="AK4948" i="2"/>
  <c r="AK4949" i="2"/>
  <c r="AK4950" i="2"/>
  <c r="AK4951" i="2"/>
  <c r="AK4952" i="2"/>
  <c r="AK4953" i="2"/>
  <c r="AK4954" i="2"/>
  <c r="AK4955" i="2"/>
  <c r="AK4956" i="2"/>
  <c r="AK4957" i="2"/>
  <c r="AK4958" i="2"/>
  <c r="AK4959" i="2"/>
  <c r="AK4960" i="2"/>
  <c r="AK4961" i="2"/>
  <c r="AK4962" i="2"/>
  <c r="AK4963" i="2"/>
  <c r="AK4964" i="2"/>
  <c r="AK4965" i="2"/>
  <c r="AK4966" i="2"/>
  <c r="AK4967" i="2"/>
  <c r="AK4968" i="2"/>
  <c r="AK4969" i="2"/>
  <c r="AK4970" i="2"/>
  <c r="AK4971" i="2"/>
  <c r="AK4972" i="2"/>
  <c r="AK4973" i="2"/>
  <c r="AK4974" i="2"/>
  <c r="AK4975" i="2"/>
  <c r="AK4976" i="2"/>
  <c r="AK4977" i="2"/>
  <c r="AK4978" i="2"/>
  <c r="AK4979" i="2"/>
  <c r="AK4980" i="2"/>
  <c r="AK4981" i="2"/>
  <c r="AK4982" i="2"/>
  <c r="AK4983" i="2"/>
  <c r="AK4984" i="2"/>
  <c r="AK4985" i="2"/>
  <c r="AK4986" i="2"/>
  <c r="AK4987" i="2"/>
  <c r="AK4988" i="2"/>
  <c r="AK4989" i="2"/>
  <c r="AK4990" i="2"/>
  <c r="AK4991" i="2"/>
  <c r="AK4992" i="2"/>
  <c r="AK4993" i="2"/>
  <c r="AK4994" i="2"/>
  <c r="AK4995" i="2"/>
  <c r="AK4996" i="2"/>
  <c r="AK4997" i="2"/>
  <c r="AK4998" i="2"/>
  <c r="AK4999" i="2"/>
  <c r="AK5000" i="2"/>
  <c r="AK5001" i="2"/>
  <c r="AK5002" i="2"/>
  <c r="AK5003" i="2"/>
  <c r="AK5004" i="2"/>
  <c r="AK5005" i="2"/>
  <c r="AK5006" i="2"/>
  <c r="AK5007" i="2"/>
  <c r="AK5008" i="2"/>
  <c r="AK5009" i="2"/>
  <c r="AK5010" i="2"/>
  <c r="AK5011" i="2"/>
  <c r="AK5012" i="2"/>
  <c r="AK5013" i="2"/>
  <c r="AK5014" i="2"/>
  <c r="AK5015" i="2"/>
  <c r="AK5016" i="2"/>
  <c r="AK5017" i="2"/>
  <c r="AK5018" i="2"/>
  <c r="AK5019" i="2"/>
  <c r="AK5020" i="2"/>
  <c r="AK5021" i="2"/>
  <c r="AK5022" i="2"/>
  <c r="AK5023" i="2"/>
  <c r="AK5024" i="2"/>
  <c r="AK5025" i="2"/>
  <c r="AK5026" i="2"/>
  <c r="AK5027" i="2"/>
  <c r="AK5028" i="2"/>
  <c r="AK5029" i="2"/>
  <c r="AK5030" i="2"/>
  <c r="AK5031" i="2"/>
  <c r="AK5032" i="2"/>
  <c r="AK5033" i="2"/>
  <c r="AK5034" i="2"/>
  <c r="AK5035" i="2"/>
  <c r="AK5036" i="2"/>
  <c r="AK5037" i="2"/>
  <c r="AK5038" i="2"/>
  <c r="AK5039" i="2"/>
  <c r="AK5040" i="2"/>
  <c r="AK5041" i="2"/>
  <c r="AK5042" i="2"/>
  <c r="AK5043" i="2"/>
  <c r="AK5044" i="2"/>
  <c r="AK5045" i="2"/>
  <c r="AK5046" i="2"/>
  <c r="AK5047" i="2"/>
  <c r="AK5048" i="2"/>
  <c r="AK5049" i="2"/>
  <c r="AK5050" i="2"/>
  <c r="AK5051" i="2"/>
  <c r="AK5052" i="2"/>
  <c r="AK5053" i="2"/>
  <c r="AK5054" i="2"/>
  <c r="AK5055" i="2"/>
  <c r="AK5056" i="2"/>
  <c r="AK5057" i="2"/>
  <c r="AK5058" i="2"/>
  <c r="AK5059" i="2"/>
  <c r="AK5060" i="2"/>
  <c r="AK5061" i="2"/>
  <c r="AK5062" i="2"/>
  <c r="AK5063" i="2"/>
  <c r="AK5064" i="2"/>
  <c r="AK5065" i="2"/>
  <c r="AK5066" i="2"/>
  <c r="AK5067" i="2"/>
  <c r="AK5068" i="2"/>
  <c r="AK5069" i="2"/>
  <c r="AK5070" i="2"/>
  <c r="AK5071" i="2"/>
  <c r="AK5072" i="2"/>
  <c r="AK5073" i="2"/>
  <c r="AK5074" i="2"/>
  <c r="AK5075" i="2"/>
  <c r="AK5076" i="2"/>
  <c r="AK5077" i="2"/>
  <c r="AK5078" i="2"/>
  <c r="AK5079" i="2"/>
  <c r="AK5080" i="2"/>
  <c r="AK5081" i="2"/>
  <c r="AK5082" i="2"/>
  <c r="AK5083" i="2"/>
  <c r="AK5084" i="2"/>
  <c r="AK5085" i="2"/>
  <c r="AK5086" i="2"/>
  <c r="AK5087" i="2"/>
  <c r="AK5088" i="2"/>
  <c r="AK5089" i="2"/>
  <c r="AK5090" i="2"/>
  <c r="AK5091" i="2"/>
  <c r="AK5092" i="2"/>
  <c r="AK5093" i="2"/>
  <c r="AK5094" i="2"/>
  <c r="AK5095" i="2"/>
  <c r="AK5096" i="2"/>
  <c r="AK5097" i="2"/>
  <c r="AK5098" i="2"/>
  <c r="AK5099" i="2"/>
  <c r="AK5100" i="2"/>
  <c r="AK5101" i="2"/>
  <c r="AK5102" i="2"/>
  <c r="AK5103" i="2"/>
  <c r="AK5104" i="2"/>
  <c r="AK5105" i="2"/>
  <c r="AK5106" i="2"/>
  <c r="AK5107" i="2"/>
  <c r="AK5108" i="2"/>
  <c r="AK5109" i="2"/>
  <c r="AK5110" i="2"/>
  <c r="AK5111" i="2"/>
  <c r="AK5112" i="2"/>
  <c r="AK5113" i="2"/>
  <c r="AK5114" i="2"/>
  <c r="AK5115" i="2"/>
  <c r="AK5116" i="2"/>
  <c r="AK5117" i="2"/>
  <c r="AK5118" i="2"/>
  <c r="AK5119" i="2"/>
  <c r="AK5120" i="2"/>
  <c r="AK5121" i="2"/>
  <c r="AK5122" i="2"/>
  <c r="AK5123" i="2"/>
  <c r="AK5124" i="2"/>
  <c r="AK5125" i="2"/>
  <c r="AK5126" i="2"/>
  <c r="AK5127" i="2"/>
  <c r="AK5128" i="2"/>
  <c r="AK5129" i="2"/>
  <c r="AK5130" i="2"/>
  <c r="AK5131" i="2"/>
  <c r="AK5132" i="2"/>
  <c r="AK5133" i="2"/>
  <c r="AK5134" i="2"/>
  <c r="AK5135" i="2"/>
  <c r="AK5136" i="2"/>
  <c r="AK5137" i="2"/>
  <c r="AK5138" i="2"/>
  <c r="AK5139" i="2"/>
  <c r="AK5140" i="2"/>
  <c r="AK5141" i="2"/>
  <c r="AK5142" i="2"/>
  <c r="AK5143" i="2"/>
  <c r="AK5144" i="2"/>
  <c r="AK5145" i="2"/>
  <c r="AK5146" i="2"/>
  <c r="AK5147" i="2"/>
  <c r="AK5148" i="2"/>
  <c r="AK5149" i="2"/>
  <c r="AK5150" i="2"/>
  <c r="AK5151" i="2"/>
  <c r="AK5152" i="2"/>
  <c r="AK5153" i="2"/>
  <c r="AK5154" i="2"/>
  <c r="AK5155" i="2"/>
  <c r="AK5156" i="2"/>
  <c r="AK5157" i="2"/>
  <c r="AK5158" i="2"/>
  <c r="AK5159" i="2"/>
  <c r="AK5160" i="2"/>
  <c r="AK5161" i="2"/>
  <c r="AK5162" i="2"/>
  <c r="AK5163" i="2"/>
  <c r="AK5164" i="2"/>
  <c r="AK5165" i="2"/>
  <c r="AK5166" i="2"/>
  <c r="AK5167" i="2"/>
  <c r="AK5168" i="2"/>
  <c r="AK5169" i="2"/>
  <c r="AK5170" i="2"/>
  <c r="AK5171" i="2"/>
  <c r="AK5172" i="2"/>
  <c r="AK5173" i="2"/>
  <c r="AK5174" i="2"/>
  <c r="AK5175" i="2"/>
  <c r="AK5176" i="2"/>
  <c r="AK5177" i="2"/>
  <c r="AK5178" i="2"/>
  <c r="AK5179" i="2"/>
  <c r="AK5180" i="2"/>
  <c r="AK5181" i="2"/>
  <c r="AK5182" i="2"/>
  <c r="AK5183" i="2"/>
  <c r="AK5184" i="2"/>
  <c r="AK5185" i="2"/>
  <c r="AK5186" i="2"/>
  <c r="AK5187" i="2"/>
  <c r="AK5188" i="2"/>
  <c r="AK5189" i="2"/>
  <c r="AK5190" i="2"/>
  <c r="AK5191" i="2"/>
  <c r="AK5192" i="2"/>
  <c r="AK5193" i="2"/>
  <c r="AK5194" i="2"/>
  <c r="AK5195" i="2"/>
  <c r="AK5196" i="2"/>
  <c r="AK5197" i="2"/>
  <c r="AK5198" i="2"/>
  <c r="AK5199" i="2"/>
  <c r="AK5200" i="2"/>
  <c r="AK5201" i="2"/>
  <c r="AK5202" i="2"/>
  <c r="AK5203" i="2"/>
  <c r="AK5204" i="2"/>
  <c r="AK5205" i="2"/>
  <c r="AK5206" i="2"/>
  <c r="AK5207" i="2"/>
  <c r="AK5208" i="2"/>
  <c r="AK5209" i="2"/>
  <c r="AK5210" i="2"/>
  <c r="AK5211" i="2"/>
  <c r="AK5212" i="2"/>
  <c r="AK5213" i="2"/>
  <c r="AK5214" i="2"/>
  <c r="AK5215" i="2"/>
  <c r="AK5216" i="2"/>
  <c r="AK5217" i="2"/>
  <c r="AK5218" i="2"/>
  <c r="AK5219" i="2"/>
  <c r="AK5220" i="2"/>
  <c r="AK5221" i="2"/>
  <c r="AK5222" i="2"/>
  <c r="AK5223" i="2"/>
  <c r="AK5224" i="2"/>
  <c r="AK5225" i="2"/>
  <c r="AK5226" i="2"/>
  <c r="AK5227" i="2"/>
  <c r="AK5228" i="2"/>
  <c r="AK5229" i="2"/>
  <c r="AK5230" i="2"/>
  <c r="AK5231" i="2"/>
  <c r="AK5232" i="2"/>
  <c r="AK5233" i="2"/>
  <c r="AK5234" i="2"/>
  <c r="AK5235" i="2"/>
  <c r="AK5236" i="2"/>
  <c r="AK5237" i="2"/>
  <c r="AK5238" i="2"/>
  <c r="AK5239" i="2"/>
  <c r="AK5240" i="2"/>
  <c r="AK5241" i="2"/>
  <c r="AK5242" i="2"/>
  <c r="AK5243" i="2"/>
  <c r="AK5244" i="2"/>
  <c r="AK5245" i="2"/>
  <c r="AK5246" i="2"/>
  <c r="AK5247" i="2"/>
  <c r="AK5248" i="2"/>
  <c r="AK5249" i="2"/>
  <c r="AK5250" i="2"/>
  <c r="AK5251" i="2"/>
  <c r="AK5252" i="2"/>
  <c r="AK5253" i="2"/>
  <c r="AK5254" i="2"/>
  <c r="AK5255" i="2"/>
  <c r="AK5256" i="2"/>
  <c r="AK5257" i="2"/>
  <c r="AK5258" i="2"/>
  <c r="AK5259" i="2"/>
  <c r="AK5260" i="2"/>
  <c r="AK5261" i="2"/>
  <c r="AK5262" i="2"/>
  <c r="AK5263" i="2"/>
  <c r="AK5264" i="2"/>
  <c r="AK5265" i="2"/>
  <c r="AK5266" i="2"/>
  <c r="AK5267" i="2"/>
  <c r="AK5268" i="2"/>
  <c r="AK5269" i="2"/>
  <c r="AK5270" i="2"/>
  <c r="AK5271" i="2"/>
  <c r="AK5272" i="2"/>
  <c r="AK5273" i="2"/>
  <c r="AK5274" i="2"/>
  <c r="AK5275" i="2"/>
  <c r="AK5276" i="2"/>
  <c r="AK5277" i="2"/>
  <c r="AK5278" i="2"/>
  <c r="AK5279" i="2"/>
  <c r="AK5280" i="2"/>
  <c r="AK5281" i="2"/>
  <c r="AK5282" i="2"/>
  <c r="AK5283" i="2"/>
  <c r="AK5284" i="2"/>
  <c r="AK5285" i="2"/>
  <c r="AK5286" i="2"/>
  <c r="AK5287" i="2"/>
  <c r="AK5288" i="2"/>
  <c r="AK5289" i="2"/>
  <c r="AK5290" i="2"/>
  <c r="AK5291" i="2"/>
  <c r="AK5292" i="2"/>
  <c r="AK5293" i="2"/>
  <c r="AK5294" i="2"/>
  <c r="AK5295" i="2"/>
  <c r="AK5296" i="2"/>
  <c r="AK5297" i="2"/>
  <c r="AK5298" i="2"/>
  <c r="AK5299" i="2"/>
  <c r="AK5300" i="2"/>
  <c r="AK5301" i="2"/>
  <c r="AK5302" i="2"/>
  <c r="AK5303" i="2"/>
  <c r="AK5304" i="2"/>
  <c r="AK5305" i="2"/>
  <c r="AK5306" i="2"/>
  <c r="AK5307" i="2"/>
  <c r="AK5308" i="2"/>
  <c r="AK5309" i="2"/>
  <c r="AK5310" i="2"/>
  <c r="AK5311" i="2"/>
  <c r="AK5312" i="2"/>
  <c r="AK5313" i="2"/>
  <c r="AK5314" i="2"/>
  <c r="AK5315" i="2"/>
  <c r="AK5316" i="2"/>
  <c r="AK5317" i="2"/>
  <c r="AK5318" i="2"/>
  <c r="AK5319" i="2"/>
  <c r="AK5320" i="2"/>
  <c r="AK5321" i="2"/>
  <c r="AK5322" i="2"/>
  <c r="AK5323" i="2"/>
  <c r="AK5324" i="2"/>
  <c r="AK5325" i="2"/>
  <c r="AK5326" i="2"/>
  <c r="AK5327" i="2"/>
  <c r="AK5328" i="2"/>
  <c r="AK5329" i="2"/>
  <c r="AK5330" i="2"/>
  <c r="AK5331" i="2"/>
  <c r="AK5332" i="2"/>
  <c r="AK5333" i="2"/>
  <c r="AK5334" i="2"/>
  <c r="AK5335" i="2"/>
  <c r="AK5336" i="2"/>
  <c r="AK5337" i="2"/>
  <c r="AK5338" i="2"/>
  <c r="AK5339" i="2"/>
  <c r="AK5340" i="2"/>
  <c r="AK5341" i="2"/>
  <c r="AK5342" i="2"/>
  <c r="AK5343" i="2"/>
  <c r="AK5344" i="2"/>
  <c r="AK5345" i="2"/>
  <c r="AK5346" i="2"/>
  <c r="AK5347" i="2"/>
  <c r="AK5348" i="2"/>
  <c r="AK5349" i="2"/>
  <c r="AK5350" i="2"/>
  <c r="AK5351" i="2"/>
  <c r="AK5352" i="2"/>
  <c r="AK5353" i="2"/>
  <c r="AK5354" i="2"/>
  <c r="AK5355" i="2"/>
  <c r="AK5356" i="2"/>
  <c r="AK5357" i="2"/>
  <c r="AK5358" i="2"/>
  <c r="AK5359" i="2"/>
  <c r="AK5360" i="2"/>
  <c r="AK5361" i="2"/>
  <c r="AK5362" i="2"/>
  <c r="AK5363" i="2"/>
  <c r="AK5364" i="2"/>
  <c r="AK5365" i="2"/>
  <c r="AK5366" i="2"/>
  <c r="AK5367" i="2"/>
  <c r="AK5368" i="2"/>
  <c r="AK5369" i="2"/>
  <c r="AK5370" i="2"/>
  <c r="AK5371" i="2"/>
  <c r="AK5372" i="2"/>
  <c r="AK5373" i="2"/>
  <c r="AK5374" i="2"/>
  <c r="AK5375" i="2"/>
  <c r="AK5376" i="2"/>
  <c r="AK5377" i="2"/>
  <c r="AK5378" i="2"/>
  <c r="AK5379" i="2"/>
  <c r="AK5380" i="2"/>
  <c r="AK5381" i="2"/>
  <c r="AK5382" i="2"/>
  <c r="AK5383" i="2"/>
  <c r="AK5384" i="2"/>
  <c r="AK5385" i="2"/>
  <c r="AK5386" i="2"/>
  <c r="AK5387" i="2"/>
  <c r="AK5388" i="2"/>
  <c r="AK5389" i="2"/>
  <c r="AK5390" i="2"/>
  <c r="AK5391" i="2"/>
  <c r="AK5392" i="2"/>
  <c r="AK5393" i="2"/>
  <c r="AK5394" i="2"/>
  <c r="AK5395" i="2"/>
  <c r="AK5396" i="2"/>
  <c r="AK5397" i="2"/>
  <c r="AK5398" i="2"/>
  <c r="AK5399" i="2"/>
  <c r="AK5400" i="2"/>
  <c r="AK5401" i="2"/>
  <c r="AK5402" i="2"/>
  <c r="AK5403" i="2"/>
  <c r="AK5404" i="2"/>
  <c r="AK5405" i="2"/>
  <c r="AK5406" i="2"/>
  <c r="AK5407" i="2"/>
  <c r="AK5408" i="2"/>
  <c r="AK5409" i="2"/>
  <c r="AK5410" i="2"/>
  <c r="AK5411" i="2"/>
  <c r="AK5412" i="2"/>
  <c r="AK5413" i="2"/>
  <c r="AK5414" i="2"/>
  <c r="AK5415" i="2"/>
  <c r="AK5416" i="2"/>
  <c r="AK5417" i="2"/>
  <c r="AK5418" i="2"/>
  <c r="AK5419" i="2"/>
  <c r="AK5420" i="2"/>
  <c r="AK5421" i="2"/>
  <c r="AK5422" i="2"/>
  <c r="AK5423" i="2"/>
  <c r="AK5424" i="2"/>
  <c r="AK5425" i="2"/>
  <c r="AK5426" i="2"/>
  <c r="AK5427" i="2"/>
  <c r="AK5428" i="2"/>
  <c r="AK5429" i="2"/>
  <c r="AK5430" i="2"/>
  <c r="AK5431" i="2"/>
  <c r="AK5432" i="2"/>
  <c r="AK5433" i="2"/>
  <c r="AK5434" i="2"/>
  <c r="AK5435" i="2"/>
  <c r="AK5436" i="2"/>
  <c r="AK5437" i="2"/>
  <c r="AK5438" i="2"/>
  <c r="AK5439" i="2"/>
  <c r="AK5440" i="2"/>
  <c r="AK5441" i="2"/>
  <c r="AK5442" i="2"/>
  <c r="AK5443" i="2"/>
  <c r="AK5444" i="2"/>
  <c r="AK5445" i="2"/>
  <c r="AK5446" i="2"/>
  <c r="AK5447" i="2"/>
  <c r="AK5448" i="2"/>
  <c r="AK5449" i="2"/>
  <c r="AK5450" i="2"/>
  <c r="AK5451" i="2"/>
  <c r="AK5452" i="2"/>
  <c r="AK5453" i="2"/>
  <c r="AK5454" i="2"/>
  <c r="AK5455" i="2"/>
  <c r="AK5456" i="2"/>
  <c r="AK5457" i="2"/>
  <c r="AK5458" i="2"/>
  <c r="AK5459" i="2"/>
  <c r="AK5460" i="2"/>
  <c r="AK5461" i="2"/>
  <c r="AK5462" i="2"/>
  <c r="AK5463" i="2"/>
  <c r="AK5464" i="2"/>
  <c r="AK5465" i="2"/>
  <c r="AK5466" i="2"/>
  <c r="AK5467" i="2"/>
  <c r="AK5468" i="2"/>
  <c r="AK5469" i="2"/>
  <c r="AK5470" i="2"/>
  <c r="AK5471" i="2"/>
  <c r="AK5472" i="2"/>
  <c r="AK5473" i="2"/>
  <c r="AK5474" i="2"/>
  <c r="AK5475" i="2"/>
  <c r="AK5476" i="2"/>
  <c r="AK5477" i="2"/>
  <c r="AK5478" i="2"/>
  <c r="AK5479" i="2"/>
  <c r="AK5480" i="2"/>
  <c r="AK5481" i="2"/>
  <c r="AK5482" i="2"/>
  <c r="AK5483" i="2"/>
  <c r="AK5484" i="2"/>
  <c r="AK5485" i="2"/>
  <c r="AK5486" i="2"/>
  <c r="AK5487" i="2"/>
  <c r="AK5488" i="2"/>
  <c r="AK5489" i="2"/>
  <c r="AK5490" i="2"/>
  <c r="AK5491" i="2"/>
  <c r="AK5492" i="2"/>
  <c r="AK5493" i="2"/>
  <c r="AK5494" i="2"/>
  <c r="AK5495" i="2"/>
  <c r="AK5496" i="2"/>
  <c r="AK5497" i="2"/>
  <c r="AK5498" i="2"/>
  <c r="AK5499" i="2"/>
  <c r="AK5500" i="2"/>
  <c r="AK5501" i="2"/>
  <c r="AK5502" i="2"/>
  <c r="AK5503" i="2"/>
  <c r="AK5504" i="2"/>
  <c r="AK5505" i="2"/>
  <c r="AK5506" i="2"/>
  <c r="AK5507" i="2"/>
  <c r="AK5508" i="2"/>
  <c r="AK5509" i="2"/>
  <c r="AK5510" i="2"/>
  <c r="AK5511" i="2"/>
  <c r="AK5512" i="2"/>
  <c r="AK5513" i="2"/>
  <c r="AK5514" i="2"/>
  <c r="AK5515" i="2"/>
  <c r="AK5516" i="2"/>
  <c r="AK5517" i="2"/>
  <c r="AK5518" i="2"/>
  <c r="AK5519" i="2"/>
  <c r="AK5520" i="2"/>
  <c r="AK5521" i="2"/>
  <c r="AK5522" i="2"/>
  <c r="AK5523" i="2"/>
  <c r="AK5524" i="2"/>
  <c r="AK5525" i="2"/>
  <c r="AK5526" i="2"/>
  <c r="AK5527" i="2"/>
  <c r="AK5528" i="2"/>
  <c r="AK5529" i="2"/>
  <c r="AK5530" i="2"/>
  <c r="AK5531" i="2"/>
  <c r="AK5532" i="2"/>
  <c r="AK5533" i="2"/>
  <c r="AK5534" i="2"/>
  <c r="AK5535" i="2"/>
  <c r="AK5536" i="2"/>
  <c r="AK5537" i="2"/>
  <c r="AK5538" i="2"/>
  <c r="AK5539" i="2"/>
  <c r="AK5540" i="2"/>
  <c r="AK5541" i="2"/>
  <c r="AK5542" i="2"/>
  <c r="AK5543" i="2"/>
  <c r="AK5544" i="2"/>
  <c r="AK5545" i="2"/>
  <c r="AK5546" i="2"/>
  <c r="AK5547" i="2"/>
  <c r="AK5548" i="2"/>
  <c r="AK5549" i="2"/>
  <c r="AK5550" i="2"/>
  <c r="AK5551" i="2"/>
  <c r="AK5552" i="2"/>
  <c r="AK5553" i="2"/>
  <c r="AK5554" i="2"/>
  <c r="AK5555" i="2"/>
  <c r="AK5556" i="2"/>
  <c r="AK5557" i="2"/>
  <c r="AK5558" i="2"/>
  <c r="AK5559" i="2"/>
  <c r="AK5560" i="2"/>
  <c r="AK5561" i="2"/>
  <c r="AK5562" i="2"/>
  <c r="AK5563" i="2"/>
  <c r="AK5564" i="2"/>
  <c r="AK5565" i="2"/>
  <c r="AK5566" i="2"/>
  <c r="AK5567" i="2"/>
  <c r="AK5568" i="2"/>
  <c r="AK5569" i="2"/>
  <c r="AK5570" i="2"/>
  <c r="AK5571" i="2"/>
  <c r="AK5572" i="2"/>
  <c r="AK5573" i="2"/>
  <c r="AK5574" i="2"/>
  <c r="AK5575" i="2"/>
  <c r="AK5576" i="2"/>
  <c r="AK5577" i="2"/>
  <c r="AK5578" i="2"/>
  <c r="AK5579" i="2"/>
  <c r="AK5580" i="2"/>
  <c r="AK5581" i="2"/>
  <c r="AK5582" i="2"/>
  <c r="AK5583" i="2"/>
  <c r="AK5584" i="2"/>
  <c r="AK5585" i="2"/>
  <c r="AK5586" i="2"/>
  <c r="AK5587" i="2"/>
  <c r="AK5588" i="2"/>
  <c r="AK5589" i="2"/>
  <c r="AK5590" i="2"/>
  <c r="AK5591" i="2"/>
  <c r="AK5592" i="2"/>
  <c r="AK5593" i="2"/>
  <c r="AK5594" i="2"/>
  <c r="AK5595" i="2"/>
  <c r="AK5596" i="2"/>
  <c r="AK5597" i="2"/>
  <c r="AK5598" i="2"/>
  <c r="AK5599" i="2"/>
  <c r="AK5600" i="2"/>
  <c r="AK5601" i="2"/>
  <c r="AK5602" i="2"/>
  <c r="AK5603" i="2"/>
  <c r="AK5604" i="2"/>
  <c r="AK5605" i="2"/>
  <c r="AK5606" i="2"/>
  <c r="AK5607" i="2"/>
  <c r="AK5608" i="2"/>
  <c r="AK5609" i="2"/>
  <c r="AK5610" i="2"/>
  <c r="AK5611" i="2"/>
  <c r="AK5612" i="2"/>
  <c r="AK5613" i="2"/>
  <c r="AK5614" i="2"/>
  <c r="AK5615" i="2"/>
  <c r="AK5616" i="2"/>
  <c r="AK5617" i="2"/>
  <c r="AK5618" i="2"/>
  <c r="AK5619" i="2"/>
  <c r="AK5620" i="2"/>
  <c r="AK5621" i="2"/>
  <c r="AK5622" i="2"/>
  <c r="AK5623" i="2"/>
  <c r="AK5624" i="2"/>
  <c r="AK5625" i="2"/>
  <c r="AK5626" i="2"/>
  <c r="AK5627" i="2"/>
  <c r="AK5628" i="2"/>
  <c r="AK5629" i="2"/>
  <c r="AK5630" i="2"/>
  <c r="AK5631" i="2"/>
  <c r="AK5632" i="2"/>
  <c r="AK5633" i="2"/>
  <c r="AK5634" i="2"/>
  <c r="AK5635" i="2"/>
  <c r="AK5636" i="2"/>
  <c r="AK5637" i="2"/>
  <c r="AK5638" i="2"/>
  <c r="AK5639" i="2"/>
  <c r="AK5640" i="2"/>
  <c r="AK5641" i="2"/>
  <c r="AK5642" i="2"/>
  <c r="AK5643" i="2"/>
  <c r="AK5644" i="2"/>
  <c r="AK5645" i="2"/>
  <c r="AK5646" i="2"/>
  <c r="AK5647" i="2"/>
  <c r="AK5648" i="2"/>
  <c r="AK5649" i="2"/>
  <c r="AK5650" i="2"/>
  <c r="AK5651" i="2"/>
  <c r="AK5652" i="2"/>
  <c r="AK5653" i="2"/>
  <c r="AK5654" i="2"/>
  <c r="AK5655" i="2"/>
  <c r="AK5656" i="2"/>
  <c r="AK5657" i="2"/>
  <c r="AK5658" i="2"/>
  <c r="AK5659" i="2"/>
  <c r="AK5660" i="2"/>
  <c r="AK5661" i="2"/>
  <c r="AK5662" i="2"/>
  <c r="AK5663" i="2"/>
  <c r="AK5664" i="2"/>
  <c r="AK5665" i="2"/>
  <c r="AK5666" i="2"/>
  <c r="AK5667" i="2"/>
  <c r="AK5668" i="2"/>
  <c r="AK5669" i="2"/>
  <c r="AK5670" i="2"/>
  <c r="AK5671" i="2"/>
  <c r="AK5672" i="2"/>
  <c r="AK5673" i="2"/>
  <c r="AK5674" i="2"/>
  <c r="AK5675" i="2"/>
  <c r="AK5676" i="2"/>
  <c r="AK5677" i="2"/>
  <c r="AK5678" i="2"/>
  <c r="AK5679" i="2"/>
  <c r="AK5680" i="2"/>
  <c r="AK5681" i="2"/>
  <c r="AK5682" i="2"/>
  <c r="AK5683" i="2"/>
  <c r="AK5684" i="2"/>
  <c r="AK5685" i="2"/>
  <c r="AK5686" i="2"/>
  <c r="AK5687" i="2"/>
  <c r="AK5688" i="2"/>
  <c r="AK5689" i="2"/>
  <c r="AK5690" i="2"/>
  <c r="AK5691" i="2"/>
  <c r="AK5692" i="2"/>
  <c r="AK5693" i="2"/>
  <c r="AK5694" i="2"/>
  <c r="AK5695" i="2"/>
  <c r="AK5696" i="2"/>
  <c r="AK5697" i="2"/>
  <c r="AK5698" i="2"/>
  <c r="AK5699" i="2"/>
  <c r="AK5700" i="2"/>
  <c r="AK5701" i="2"/>
  <c r="AK5702" i="2"/>
  <c r="AK5703" i="2"/>
  <c r="AK5704" i="2"/>
  <c r="AK5705" i="2"/>
  <c r="AK5706" i="2"/>
  <c r="AK5707" i="2"/>
  <c r="AK5708" i="2"/>
  <c r="AK5709" i="2"/>
  <c r="AK5710" i="2"/>
  <c r="AK5711" i="2"/>
  <c r="AK5712" i="2"/>
  <c r="AK5713" i="2"/>
  <c r="AK5714" i="2"/>
  <c r="AK5715" i="2"/>
  <c r="AK5716" i="2"/>
  <c r="AK5717" i="2"/>
  <c r="AK5718" i="2"/>
  <c r="AK5719" i="2"/>
  <c r="AK5720" i="2"/>
  <c r="AK5721" i="2"/>
  <c r="AK5722" i="2"/>
  <c r="AK5723" i="2"/>
  <c r="AK5724" i="2"/>
  <c r="AK5725" i="2"/>
  <c r="AK5726" i="2"/>
  <c r="AK5727" i="2"/>
  <c r="AK5728" i="2"/>
  <c r="AK5729" i="2"/>
  <c r="AK5730" i="2"/>
  <c r="AK5731" i="2"/>
  <c r="AK5732" i="2"/>
  <c r="AK5733" i="2"/>
  <c r="AK5734" i="2"/>
  <c r="AK5735" i="2"/>
  <c r="AK5736" i="2"/>
  <c r="AK5737" i="2"/>
  <c r="AK5738" i="2"/>
  <c r="AK5739" i="2"/>
  <c r="AK5740" i="2"/>
  <c r="AK5741" i="2"/>
  <c r="AK5742" i="2"/>
  <c r="AK5743" i="2"/>
  <c r="AK5744" i="2"/>
  <c r="AK5745" i="2"/>
  <c r="AK5746" i="2"/>
  <c r="AK5747" i="2"/>
  <c r="AK5748" i="2"/>
  <c r="AK5749" i="2"/>
  <c r="AK5750" i="2"/>
  <c r="AK5751" i="2"/>
  <c r="AK5752" i="2"/>
  <c r="AK5753" i="2"/>
  <c r="AK5754" i="2"/>
  <c r="AK5755" i="2"/>
  <c r="AK5756" i="2"/>
  <c r="AK5757" i="2"/>
  <c r="AK5758" i="2"/>
  <c r="AK5759" i="2"/>
  <c r="AK5760" i="2"/>
  <c r="AK5761" i="2"/>
  <c r="AK5762" i="2"/>
  <c r="AK5763" i="2"/>
  <c r="AK5764" i="2"/>
  <c r="AK5765" i="2"/>
  <c r="AK5766" i="2"/>
  <c r="AK5767" i="2"/>
  <c r="AK5768" i="2"/>
  <c r="AK5769" i="2"/>
  <c r="AK5770" i="2"/>
  <c r="AK5771" i="2"/>
  <c r="AK5772" i="2"/>
  <c r="AK5773" i="2"/>
  <c r="AK5774" i="2"/>
  <c r="AK5775" i="2"/>
  <c r="AK5776" i="2"/>
  <c r="AK5777" i="2"/>
  <c r="AK5778" i="2"/>
  <c r="AK5779" i="2"/>
  <c r="AK5780" i="2"/>
  <c r="AK5781" i="2"/>
  <c r="AK5782" i="2"/>
  <c r="AK5783" i="2"/>
  <c r="AK5784" i="2"/>
  <c r="AK5785" i="2"/>
  <c r="AK5786" i="2"/>
  <c r="AK5787" i="2"/>
  <c r="AK5788" i="2"/>
  <c r="AK5789" i="2"/>
  <c r="AK5790" i="2"/>
  <c r="AK5791" i="2"/>
  <c r="AK5792" i="2"/>
  <c r="AK5793" i="2"/>
  <c r="AK5794" i="2"/>
  <c r="AK5795" i="2"/>
  <c r="AK5796" i="2"/>
  <c r="AK5797" i="2"/>
  <c r="AK5798" i="2"/>
  <c r="AK5799" i="2"/>
  <c r="AK5800" i="2"/>
  <c r="AK5801" i="2"/>
  <c r="AK5802" i="2"/>
  <c r="AK5803" i="2"/>
  <c r="AK5804" i="2"/>
  <c r="AK5805" i="2"/>
  <c r="AK5806" i="2"/>
  <c r="AK5807" i="2"/>
  <c r="AK5808" i="2"/>
  <c r="AK5809" i="2"/>
  <c r="AK5810" i="2"/>
  <c r="AK5811" i="2"/>
  <c r="AK5812" i="2"/>
  <c r="AK5813" i="2"/>
  <c r="AK5814" i="2"/>
  <c r="AK5815" i="2"/>
  <c r="AK5816" i="2"/>
  <c r="AK5817" i="2"/>
  <c r="AK5818" i="2"/>
  <c r="AK5819" i="2"/>
  <c r="AK5820" i="2"/>
  <c r="AK5821" i="2"/>
  <c r="AK5822" i="2"/>
  <c r="AK5823" i="2"/>
  <c r="AK5824" i="2"/>
  <c r="AK5825" i="2"/>
  <c r="AK5826" i="2"/>
  <c r="AK5827" i="2"/>
  <c r="AK5828" i="2"/>
  <c r="AK5829" i="2"/>
  <c r="AK5830" i="2"/>
  <c r="AK5831" i="2"/>
  <c r="AK5832" i="2"/>
  <c r="AK5833" i="2"/>
  <c r="AK5834" i="2"/>
  <c r="AK5835" i="2"/>
  <c r="AK5836" i="2"/>
  <c r="AK5837" i="2"/>
  <c r="AK5838" i="2"/>
  <c r="AK5839" i="2"/>
  <c r="AK5840" i="2"/>
  <c r="AK5841" i="2"/>
  <c r="AK5842" i="2"/>
  <c r="AK5843" i="2"/>
  <c r="AK5844" i="2"/>
  <c r="AK5845" i="2"/>
  <c r="AK5846" i="2"/>
  <c r="AK5847" i="2"/>
  <c r="AK5848" i="2"/>
  <c r="AK5849" i="2"/>
  <c r="AK5850" i="2"/>
  <c r="AK5851" i="2"/>
  <c r="AK5852" i="2"/>
  <c r="AK5853" i="2"/>
  <c r="AK5854" i="2"/>
  <c r="AK5855" i="2"/>
  <c r="AK5856" i="2"/>
  <c r="AK5857" i="2"/>
  <c r="AK5858" i="2"/>
  <c r="AK5859" i="2"/>
  <c r="AK5860" i="2"/>
  <c r="AK5861" i="2"/>
  <c r="AK5862" i="2"/>
  <c r="AK5863" i="2"/>
  <c r="AK5864" i="2"/>
  <c r="AK5865" i="2"/>
  <c r="AK5866" i="2"/>
  <c r="AK5867" i="2"/>
  <c r="AK5868" i="2"/>
  <c r="AK5869" i="2"/>
  <c r="AK5870" i="2"/>
  <c r="AK5871" i="2"/>
  <c r="AK5872" i="2"/>
  <c r="AK5873" i="2"/>
  <c r="AK5874" i="2"/>
  <c r="AK5875" i="2"/>
  <c r="AK5876" i="2"/>
  <c r="AK5877" i="2"/>
  <c r="AK5878" i="2"/>
  <c r="AK5879" i="2"/>
  <c r="AK5880" i="2"/>
  <c r="AK5881" i="2"/>
  <c r="AK5882" i="2"/>
  <c r="AK5883" i="2"/>
  <c r="AK5884" i="2"/>
  <c r="AK5885" i="2"/>
  <c r="AK5886" i="2"/>
  <c r="AK5887" i="2"/>
  <c r="AK5888" i="2"/>
  <c r="AK5889" i="2"/>
  <c r="AK5890" i="2"/>
  <c r="AK5891" i="2"/>
  <c r="AK5892" i="2"/>
  <c r="AK5893" i="2"/>
  <c r="AK5894" i="2"/>
  <c r="AK5895" i="2"/>
  <c r="AK5896" i="2"/>
  <c r="AK5897" i="2"/>
  <c r="AK5898" i="2"/>
  <c r="AK5899" i="2"/>
  <c r="AK5900" i="2"/>
  <c r="AK5901" i="2"/>
  <c r="AK5902" i="2"/>
  <c r="AK5903" i="2"/>
  <c r="AK5904" i="2"/>
  <c r="AK5905" i="2"/>
  <c r="AK5906" i="2"/>
  <c r="AK5907" i="2"/>
  <c r="AK5908" i="2"/>
  <c r="AK5909" i="2"/>
  <c r="AK5910" i="2"/>
  <c r="AK5911" i="2"/>
  <c r="AK5912" i="2"/>
  <c r="AK5913" i="2"/>
  <c r="AK5914" i="2"/>
  <c r="AK5915" i="2"/>
  <c r="AK5916" i="2"/>
  <c r="AK5917" i="2"/>
  <c r="AK5918" i="2"/>
  <c r="AK5919" i="2"/>
  <c r="AK5920" i="2"/>
  <c r="AK5921" i="2"/>
  <c r="AK5922" i="2"/>
  <c r="AK5923" i="2"/>
  <c r="AK5924" i="2"/>
  <c r="AK5925" i="2"/>
  <c r="AK5926" i="2"/>
  <c r="AK5927" i="2"/>
  <c r="AK5928" i="2"/>
  <c r="AK5929" i="2"/>
  <c r="AK5930" i="2"/>
  <c r="AK5931" i="2"/>
  <c r="AK5932" i="2"/>
  <c r="AK5933" i="2"/>
  <c r="AK5934" i="2"/>
  <c r="AK5935" i="2"/>
  <c r="AK5936" i="2"/>
  <c r="AK5937" i="2"/>
  <c r="AK5938" i="2"/>
  <c r="AK5939" i="2"/>
  <c r="AK5940" i="2"/>
  <c r="AK5941" i="2"/>
  <c r="AK5942" i="2"/>
  <c r="AK5943" i="2"/>
  <c r="AK5944" i="2"/>
  <c r="AK5945" i="2"/>
  <c r="AK5946" i="2"/>
  <c r="AK5947" i="2"/>
  <c r="AK5948" i="2"/>
  <c r="AK5949" i="2"/>
  <c r="AK5950" i="2"/>
  <c r="AK5951" i="2"/>
  <c r="AK5952" i="2"/>
  <c r="AK5953" i="2"/>
  <c r="AK5954" i="2"/>
  <c r="AK5955" i="2"/>
  <c r="AK5956" i="2"/>
  <c r="AK5957" i="2"/>
  <c r="AK5958" i="2"/>
  <c r="AK5959" i="2"/>
  <c r="AK5960" i="2"/>
  <c r="AK5961" i="2"/>
  <c r="AK5962" i="2"/>
  <c r="AK5963" i="2"/>
  <c r="AK5964" i="2"/>
  <c r="AK5965" i="2"/>
  <c r="AK5966" i="2"/>
  <c r="AK5967" i="2"/>
  <c r="AK5968" i="2"/>
  <c r="AK5969" i="2"/>
  <c r="AK5970" i="2"/>
  <c r="AK5971" i="2"/>
  <c r="AK5972" i="2"/>
  <c r="AK5973" i="2"/>
  <c r="AK5974" i="2"/>
  <c r="AK5975" i="2"/>
  <c r="AK5976" i="2"/>
  <c r="AK5977" i="2"/>
  <c r="AK5978" i="2"/>
  <c r="AK5979" i="2"/>
  <c r="AK5980" i="2"/>
  <c r="AK5981" i="2"/>
  <c r="AK5982" i="2"/>
  <c r="AK5983" i="2"/>
  <c r="AK5984" i="2"/>
  <c r="AK5985" i="2"/>
  <c r="AK5986" i="2"/>
  <c r="AK5987" i="2"/>
  <c r="AK5988" i="2"/>
  <c r="AK5989" i="2"/>
  <c r="AK5990" i="2"/>
  <c r="AK5991" i="2"/>
  <c r="AK5992" i="2"/>
  <c r="AK5993" i="2"/>
  <c r="AK5994" i="2"/>
  <c r="AK5995" i="2"/>
  <c r="AK5996" i="2"/>
  <c r="AK5997" i="2"/>
  <c r="AK5998" i="2"/>
  <c r="AK5999" i="2"/>
  <c r="AK6000" i="2"/>
  <c r="AK6001" i="2"/>
  <c r="AK6002" i="2"/>
  <c r="AK6003" i="2"/>
  <c r="AK6004" i="2"/>
  <c r="AK6005" i="2"/>
  <c r="AK6006" i="2"/>
  <c r="AK6007" i="2"/>
  <c r="AK6008" i="2"/>
  <c r="AK6009" i="2"/>
  <c r="AK6010" i="2"/>
  <c r="AK6011" i="2"/>
  <c r="AK6012" i="2"/>
  <c r="AK6013" i="2"/>
  <c r="AK6014" i="2"/>
  <c r="AK6015" i="2"/>
  <c r="AK6016" i="2"/>
  <c r="AK6017" i="2"/>
  <c r="AK6018" i="2"/>
  <c r="AK6019" i="2"/>
  <c r="AK6020" i="2"/>
  <c r="AK6021" i="2"/>
  <c r="AK6022" i="2"/>
  <c r="AK6023" i="2"/>
  <c r="AK6024" i="2"/>
  <c r="AK6025" i="2"/>
  <c r="AK6026" i="2"/>
  <c r="AK6027" i="2"/>
  <c r="AK6028" i="2"/>
  <c r="AK6029" i="2"/>
  <c r="AK6030" i="2"/>
  <c r="AK6031" i="2"/>
  <c r="AK6032" i="2"/>
  <c r="AK6033" i="2"/>
  <c r="AK6034" i="2"/>
  <c r="AK6035" i="2"/>
  <c r="AK6036" i="2"/>
  <c r="AK6037" i="2"/>
  <c r="AK6038" i="2"/>
  <c r="AK6039" i="2"/>
  <c r="AK6040" i="2"/>
  <c r="AK6041" i="2"/>
  <c r="AK6042" i="2"/>
  <c r="AK6043" i="2"/>
  <c r="AK6044" i="2"/>
  <c r="AK6045" i="2"/>
  <c r="AK6046" i="2"/>
  <c r="AK6047" i="2"/>
  <c r="AK6048" i="2"/>
  <c r="AK6049" i="2"/>
  <c r="AK6050" i="2"/>
  <c r="AK6051" i="2"/>
  <c r="AK6052" i="2"/>
  <c r="AK6053" i="2"/>
  <c r="AK6054" i="2"/>
  <c r="AK6055" i="2"/>
  <c r="AK6056" i="2"/>
  <c r="AK6057" i="2"/>
  <c r="AK6058" i="2"/>
  <c r="AK6059" i="2"/>
  <c r="AK6060" i="2"/>
  <c r="AK6061" i="2"/>
  <c r="AK6062" i="2"/>
  <c r="AK6063" i="2"/>
  <c r="AK6064" i="2"/>
  <c r="AK6065" i="2"/>
  <c r="AK6066" i="2"/>
  <c r="AK6067" i="2"/>
  <c r="AK6068" i="2"/>
  <c r="AK6069" i="2"/>
  <c r="AK6070" i="2"/>
  <c r="AK6071" i="2"/>
  <c r="AK6072" i="2"/>
  <c r="AK6073" i="2"/>
  <c r="AK6074" i="2"/>
  <c r="AK6075" i="2"/>
  <c r="AK6076" i="2"/>
  <c r="AK6077" i="2"/>
  <c r="AK6078" i="2"/>
  <c r="AK6079" i="2"/>
  <c r="AK6080" i="2"/>
  <c r="AK6081" i="2"/>
  <c r="AK6082" i="2"/>
  <c r="AK6083" i="2"/>
  <c r="AK6084" i="2"/>
  <c r="AK6085" i="2"/>
  <c r="AK6086" i="2"/>
  <c r="AK6087" i="2"/>
  <c r="AK6088" i="2"/>
  <c r="AK6089" i="2"/>
  <c r="AK6090" i="2"/>
  <c r="AK6091" i="2"/>
  <c r="AK6092" i="2"/>
  <c r="AK6093" i="2"/>
  <c r="AK6094" i="2"/>
  <c r="AK6095" i="2"/>
  <c r="AK6096" i="2"/>
  <c r="AK6097" i="2"/>
  <c r="AK6098" i="2"/>
  <c r="AK6099" i="2"/>
  <c r="AK6100" i="2"/>
  <c r="AK6101" i="2"/>
  <c r="AK6102" i="2"/>
  <c r="AK6103" i="2"/>
  <c r="AK6104" i="2"/>
  <c r="AK6105" i="2"/>
  <c r="AK6106" i="2"/>
  <c r="AK6107" i="2"/>
  <c r="AK6108" i="2"/>
  <c r="AK6109" i="2"/>
  <c r="AK6110" i="2"/>
  <c r="AK6111" i="2"/>
  <c r="AK6112" i="2"/>
  <c r="AK6113" i="2"/>
  <c r="AK6114" i="2"/>
  <c r="AK6115" i="2"/>
  <c r="AK6116" i="2"/>
  <c r="AK6117" i="2"/>
  <c r="AK6118" i="2"/>
  <c r="AK6119" i="2"/>
  <c r="AK6120" i="2"/>
  <c r="AK6121" i="2"/>
  <c r="AK6122" i="2"/>
  <c r="AK6123" i="2"/>
  <c r="AK6124" i="2"/>
  <c r="AK6125" i="2"/>
  <c r="AK6126" i="2"/>
  <c r="AK6127" i="2"/>
  <c r="AK6128" i="2"/>
  <c r="AK6129" i="2"/>
  <c r="AK6130" i="2"/>
  <c r="AK6131" i="2"/>
  <c r="AK6132" i="2"/>
  <c r="AK6133" i="2"/>
  <c r="AK6134" i="2"/>
  <c r="AK6135" i="2"/>
  <c r="AK6136" i="2"/>
  <c r="AK6137" i="2"/>
  <c r="AK6138" i="2"/>
  <c r="AK6139" i="2"/>
  <c r="AK6140" i="2"/>
  <c r="AK6141" i="2"/>
  <c r="AK6142" i="2"/>
  <c r="AK6143" i="2"/>
  <c r="AK6144" i="2"/>
  <c r="AK6145" i="2"/>
  <c r="AK6146" i="2"/>
  <c r="AK6147" i="2"/>
  <c r="AK6148" i="2"/>
  <c r="AK6149" i="2"/>
  <c r="AK6150" i="2"/>
  <c r="AK6151" i="2"/>
  <c r="AK6152" i="2"/>
  <c r="AK6153" i="2"/>
  <c r="AK6154" i="2"/>
  <c r="AK6155" i="2"/>
  <c r="AK6156" i="2"/>
  <c r="AK6157" i="2"/>
  <c r="AK6158" i="2"/>
  <c r="AK6159" i="2"/>
  <c r="AK6160" i="2"/>
  <c r="AK6161" i="2"/>
  <c r="AK6162" i="2"/>
  <c r="AK6163" i="2"/>
  <c r="AK6164" i="2"/>
  <c r="AK6165" i="2"/>
  <c r="AK6166" i="2"/>
  <c r="AK6167" i="2"/>
  <c r="AK6168" i="2"/>
  <c r="AK6169" i="2"/>
  <c r="AK6170" i="2"/>
  <c r="AK6171" i="2"/>
  <c r="AK6172" i="2"/>
  <c r="AK6173" i="2"/>
  <c r="AK6174" i="2"/>
  <c r="AK6175" i="2"/>
  <c r="AK6176" i="2"/>
  <c r="AK6177" i="2"/>
  <c r="AK6178" i="2"/>
  <c r="AK6179" i="2"/>
  <c r="AK6180" i="2"/>
  <c r="AK6181" i="2"/>
  <c r="AK6182" i="2"/>
  <c r="AK6183" i="2"/>
  <c r="AK6184" i="2"/>
  <c r="AK6185" i="2"/>
  <c r="AK6186" i="2"/>
  <c r="AK6187" i="2"/>
  <c r="AK6188" i="2"/>
  <c r="AK6189" i="2"/>
  <c r="AK6190" i="2"/>
  <c r="AK6191" i="2"/>
  <c r="AK6192" i="2"/>
  <c r="AK6193" i="2"/>
  <c r="AK6194" i="2"/>
  <c r="AK6195" i="2"/>
  <c r="AK6196" i="2"/>
  <c r="AK6197" i="2"/>
  <c r="AK6198" i="2"/>
  <c r="AK6199" i="2"/>
  <c r="AK6200" i="2"/>
  <c r="AK6201" i="2"/>
  <c r="AK6202" i="2"/>
  <c r="AK6203" i="2"/>
  <c r="AK6204" i="2"/>
  <c r="AK6205" i="2"/>
  <c r="AK6206" i="2"/>
  <c r="AK6207" i="2"/>
  <c r="AK6208" i="2"/>
  <c r="AK6209" i="2"/>
  <c r="AK6210" i="2"/>
  <c r="AK6211" i="2"/>
  <c r="AK6212" i="2"/>
  <c r="AK6213" i="2"/>
  <c r="AK6214" i="2"/>
  <c r="AK6215" i="2"/>
  <c r="AK6216" i="2"/>
  <c r="AK6217" i="2"/>
  <c r="AK6218" i="2"/>
  <c r="AK6219" i="2"/>
  <c r="AK6220" i="2"/>
  <c r="AK6221" i="2"/>
  <c r="AK6222" i="2"/>
  <c r="AK6223" i="2"/>
  <c r="AK6224" i="2"/>
  <c r="AK6225" i="2"/>
  <c r="AK6226" i="2"/>
  <c r="AK6227" i="2"/>
  <c r="AK6228" i="2"/>
  <c r="AK6229" i="2"/>
  <c r="AK6230" i="2"/>
  <c r="AK6231" i="2"/>
  <c r="AK6232" i="2"/>
  <c r="AK6233" i="2"/>
  <c r="AK6234" i="2"/>
  <c r="AK6235" i="2"/>
  <c r="AK6236" i="2"/>
  <c r="AK6237" i="2"/>
  <c r="AK6238" i="2"/>
  <c r="AK6239" i="2"/>
  <c r="AK6240" i="2"/>
  <c r="AK6241" i="2"/>
  <c r="AK6242" i="2"/>
  <c r="AK6243" i="2"/>
  <c r="AK6244" i="2"/>
  <c r="AK6245" i="2"/>
  <c r="AK6246" i="2"/>
  <c r="AK6247" i="2"/>
  <c r="AK6248" i="2"/>
  <c r="AK6249" i="2"/>
  <c r="AK6250" i="2"/>
  <c r="AK6251" i="2"/>
  <c r="AK6252" i="2"/>
  <c r="AK6253" i="2"/>
  <c r="AK6254" i="2"/>
  <c r="AK6255" i="2"/>
  <c r="AK6256" i="2"/>
  <c r="AK6257" i="2"/>
  <c r="AK6258" i="2"/>
  <c r="AK6259" i="2"/>
  <c r="AK6260" i="2"/>
  <c r="AK6261" i="2"/>
  <c r="AK6262" i="2"/>
  <c r="AK6263" i="2"/>
  <c r="AK6264" i="2"/>
  <c r="AK6265" i="2"/>
  <c r="AK6266" i="2"/>
  <c r="AK6267" i="2"/>
  <c r="AK6268" i="2"/>
  <c r="AK6269" i="2"/>
  <c r="AK6270" i="2"/>
  <c r="AK6271" i="2"/>
  <c r="AK6272" i="2"/>
  <c r="AK6273" i="2"/>
  <c r="AK6274" i="2"/>
  <c r="AK6275" i="2"/>
  <c r="AK6276" i="2"/>
  <c r="AK6277" i="2"/>
  <c r="AK6278" i="2"/>
  <c r="AK6279" i="2"/>
  <c r="AK6280" i="2"/>
  <c r="AK6281" i="2"/>
  <c r="AK6282" i="2"/>
  <c r="AK6283" i="2"/>
  <c r="AK6284" i="2"/>
  <c r="AK6285" i="2"/>
  <c r="AK6286" i="2"/>
  <c r="AK6287" i="2"/>
  <c r="AK6288" i="2"/>
  <c r="AK6289" i="2"/>
  <c r="AK6290" i="2"/>
  <c r="AK6291" i="2"/>
  <c r="AK6292" i="2"/>
  <c r="AK6293" i="2"/>
  <c r="AK6294" i="2"/>
  <c r="AK6295" i="2"/>
  <c r="AK6296" i="2"/>
  <c r="AK6297" i="2"/>
  <c r="AK6298" i="2"/>
  <c r="AK6299" i="2"/>
  <c r="AK6300" i="2"/>
  <c r="AK6301" i="2"/>
  <c r="AK6302" i="2"/>
  <c r="AK6303" i="2"/>
  <c r="AK6304" i="2"/>
  <c r="AK6305" i="2"/>
  <c r="AK6306" i="2"/>
  <c r="AK6307" i="2"/>
  <c r="AK6308" i="2"/>
  <c r="AK6309" i="2"/>
  <c r="AK6310" i="2"/>
  <c r="AK6311" i="2"/>
  <c r="AK6312" i="2"/>
  <c r="AK6313" i="2"/>
  <c r="AK6314" i="2"/>
  <c r="AK6315" i="2"/>
  <c r="AK6316" i="2"/>
  <c r="AK6317" i="2"/>
  <c r="AK6318" i="2"/>
  <c r="AK6319" i="2"/>
  <c r="AK6320" i="2"/>
  <c r="AK6321" i="2"/>
  <c r="AK6322" i="2"/>
  <c r="AK6323" i="2"/>
  <c r="AK6324" i="2"/>
  <c r="AK6325" i="2"/>
  <c r="AK6326" i="2"/>
  <c r="AK6327" i="2"/>
  <c r="AK6328" i="2"/>
  <c r="AK6329" i="2"/>
  <c r="AK6330" i="2"/>
  <c r="AK6331" i="2"/>
  <c r="AK6332" i="2"/>
  <c r="AK6333" i="2"/>
  <c r="AK6334" i="2"/>
  <c r="AK6335" i="2"/>
  <c r="AK6336" i="2"/>
  <c r="AK6337" i="2"/>
  <c r="AK6338" i="2"/>
  <c r="AK6339" i="2"/>
  <c r="AK6340" i="2"/>
  <c r="AK6341" i="2"/>
  <c r="AK6342" i="2"/>
  <c r="AK6343" i="2"/>
  <c r="AK6344" i="2"/>
  <c r="AK6345" i="2"/>
  <c r="AK6346" i="2"/>
  <c r="AK6347" i="2"/>
  <c r="AK6348" i="2"/>
  <c r="AK6349" i="2"/>
  <c r="AK6350" i="2"/>
  <c r="AK6351" i="2"/>
  <c r="AK6352" i="2"/>
  <c r="AK6353" i="2"/>
  <c r="AK6354" i="2"/>
  <c r="AK6355" i="2"/>
  <c r="AK6356" i="2"/>
  <c r="AK6357" i="2"/>
  <c r="AK6358" i="2"/>
  <c r="AK6359" i="2"/>
  <c r="AK6360" i="2"/>
  <c r="AK6361" i="2"/>
  <c r="AK6362" i="2"/>
  <c r="AK6363" i="2"/>
  <c r="AK6364" i="2"/>
  <c r="AK6365" i="2"/>
  <c r="AK6366" i="2"/>
  <c r="AK6367" i="2"/>
  <c r="AK6368" i="2"/>
  <c r="AK6369" i="2"/>
  <c r="AK6370" i="2"/>
  <c r="AK6371" i="2"/>
  <c r="AK6372" i="2"/>
  <c r="AK6373" i="2"/>
  <c r="AK6374" i="2"/>
  <c r="AK6375" i="2"/>
  <c r="AK6376" i="2"/>
  <c r="AK6377" i="2"/>
  <c r="AK6378" i="2"/>
  <c r="AK6379" i="2"/>
  <c r="AK6380" i="2"/>
  <c r="AK6381" i="2"/>
  <c r="AK6382" i="2"/>
  <c r="AK6383" i="2"/>
  <c r="AK6384" i="2"/>
  <c r="AK6385" i="2"/>
  <c r="AK6386" i="2"/>
  <c r="AK6387" i="2"/>
  <c r="AK6388" i="2"/>
  <c r="AK6389" i="2"/>
  <c r="AK6390" i="2"/>
  <c r="AK6391" i="2"/>
  <c r="AK6392" i="2"/>
  <c r="AK6393" i="2"/>
  <c r="AK6394" i="2"/>
  <c r="AK6395" i="2"/>
  <c r="AK6396" i="2"/>
  <c r="AK6397" i="2"/>
  <c r="AK6398" i="2"/>
  <c r="AK6399" i="2"/>
  <c r="AK6400" i="2"/>
  <c r="AK6401" i="2"/>
  <c r="AK6402" i="2"/>
  <c r="AK6403" i="2"/>
  <c r="AK6404" i="2"/>
  <c r="AK6405" i="2"/>
  <c r="AK6406" i="2"/>
  <c r="AK6407" i="2"/>
  <c r="AK6408" i="2"/>
  <c r="AK6409" i="2"/>
  <c r="AK6410" i="2"/>
  <c r="AK6411" i="2"/>
  <c r="AK6412" i="2"/>
  <c r="AK6413" i="2"/>
  <c r="AK6414" i="2"/>
  <c r="AK6415" i="2"/>
  <c r="AK6416" i="2"/>
  <c r="AK6417" i="2"/>
  <c r="AK6418" i="2"/>
  <c r="AK6419" i="2"/>
  <c r="AK6420" i="2"/>
  <c r="AK6421" i="2"/>
  <c r="AK6422" i="2"/>
  <c r="AK6423" i="2"/>
  <c r="AK6424" i="2"/>
  <c r="AK6425" i="2"/>
  <c r="AK6426" i="2"/>
  <c r="AK6427" i="2"/>
  <c r="AK6428" i="2"/>
  <c r="AK6429" i="2"/>
  <c r="AK6430" i="2"/>
  <c r="AK6431" i="2"/>
  <c r="AK6432" i="2"/>
  <c r="AK6433" i="2"/>
  <c r="AK6434" i="2"/>
  <c r="AK6435" i="2"/>
  <c r="AK6436" i="2"/>
  <c r="AK6437" i="2"/>
  <c r="AK6438" i="2"/>
  <c r="AK6439" i="2"/>
  <c r="AK6440" i="2"/>
  <c r="AK6441" i="2"/>
  <c r="AK6442" i="2"/>
  <c r="AK6443" i="2"/>
  <c r="AK6444" i="2"/>
  <c r="AK6445" i="2"/>
  <c r="AK6446" i="2"/>
  <c r="AK6447" i="2"/>
  <c r="AK6448" i="2"/>
  <c r="AK6449" i="2"/>
  <c r="AK6450" i="2"/>
  <c r="AK6451" i="2"/>
  <c r="AK6452" i="2"/>
  <c r="AK6453" i="2"/>
  <c r="AK6454" i="2"/>
  <c r="AK6455" i="2"/>
  <c r="AK6456" i="2"/>
  <c r="AK6457" i="2"/>
  <c r="AK6458" i="2"/>
  <c r="AK6459" i="2"/>
  <c r="AK6460" i="2"/>
  <c r="AK6461" i="2"/>
  <c r="AK6462" i="2"/>
  <c r="AK6463" i="2"/>
  <c r="AK6464" i="2"/>
  <c r="AK6465" i="2"/>
  <c r="AK6466" i="2"/>
  <c r="AK6467" i="2"/>
  <c r="AK6468" i="2"/>
  <c r="AK6469" i="2"/>
  <c r="AK6470" i="2"/>
  <c r="AK6471" i="2"/>
  <c r="AK6472" i="2"/>
  <c r="AK6473" i="2"/>
  <c r="AK6474" i="2"/>
  <c r="AK6475" i="2"/>
  <c r="AK6476" i="2"/>
  <c r="AK6477" i="2"/>
  <c r="AK6478" i="2"/>
  <c r="AK6479" i="2"/>
  <c r="AK6480" i="2"/>
  <c r="AK6481" i="2"/>
  <c r="AK6482" i="2"/>
  <c r="AK6483" i="2"/>
  <c r="AK6484" i="2"/>
  <c r="AK6485" i="2"/>
  <c r="AK6486" i="2"/>
  <c r="AK6487" i="2"/>
  <c r="AK6488" i="2"/>
  <c r="AK6489" i="2"/>
  <c r="AK6490" i="2"/>
  <c r="AK6491" i="2"/>
  <c r="AK6492" i="2"/>
  <c r="AK6493" i="2"/>
  <c r="AK6494" i="2"/>
  <c r="AK6495" i="2"/>
  <c r="AK6496" i="2"/>
  <c r="AK6497" i="2"/>
  <c r="AK6498" i="2"/>
  <c r="AK6499" i="2"/>
  <c r="AK6500" i="2"/>
  <c r="AK6501" i="2"/>
  <c r="AK6502" i="2"/>
  <c r="AK6503" i="2"/>
  <c r="AK6504" i="2"/>
  <c r="AK6505" i="2"/>
  <c r="AK6506" i="2"/>
  <c r="AK6507" i="2"/>
  <c r="AK6508" i="2"/>
  <c r="AK6509" i="2"/>
  <c r="AK6510" i="2"/>
  <c r="AK6511" i="2"/>
  <c r="AK6512" i="2"/>
  <c r="AK6513" i="2"/>
  <c r="AK6514" i="2"/>
  <c r="AK6515" i="2"/>
  <c r="AK6516" i="2"/>
  <c r="AK6517" i="2"/>
  <c r="AK6518" i="2"/>
  <c r="AK6519" i="2"/>
  <c r="AK6520" i="2"/>
  <c r="AK6521" i="2"/>
  <c r="AK6522" i="2"/>
  <c r="AK6523" i="2"/>
  <c r="AK6524" i="2"/>
  <c r="AK6525" i="2"/>
  <c r="AK6526" i="2"/>
  <c r="AK6527" i="2"/>
  <c r="AK6528" i="2"/>
  <c r="AK6529" i="2"/>
  <c r="AK6530" i="2"/>
  <c r="AK6531" i="2"/>
  <c r="AK6532" i="2"/>
  <c r="AK6533" i="2"/>
  <c r="AK6534" i="2"/>
  <c r="AK6535" i="2"/>
  <c r="AK6536" i="2"/>
  <c r="AK6537" i="2"/>
  <c r="AK6538" i="2"/>
  <c r="AK6539" i="2"/>
  <c r="AK6540" i="2"/>
  <c r="AK6541" i="2"/>
  <c r="AK6542" i="2"/>
  <c r="AK6543" i="2"/>
  <c r="AK6544" i="2"/>
  <c r="AK6545" i="2"/>
  <c r="AK6546" i="2"/>
  <c r="AK6547" i="2"/>
  <c r="AK6548" i="2"/>
  <c r="AK6549" i="2"/>
  <c r="AK6550" i="2"/>
  <c r="AK6551" i="2"/>
  <c r="AK6552" i="2"/>
  <c r="AK6553" i="2"/>
  <c r="AK6554" i="2"/>
  <c r="AK6555" i="2"/>
  <c r="AK6556" i="2"/>
  <c r="AK6557" i="2"/>
  <c r="AK6558" i="2"/>
  <c r="AK6559" i="2"/>
  <c r="AK6560" i="2"/>
  <c r="AK6561" i="2"/>
  <c r="AK6562" i="2"/>
  <c r="AK6563" i="2"/>
  <c r="AK6564" i="2"/>
  <c r="AK6565" i="2"/>
  <c r="AK6566" i="2"/>
  <c r="AK6567" i="2"/>
  <c r="AK6568" i="2"/>
  <c r="AK6569" i="2"/>
  <c r="AK6570" i="2"/>
  <c r="AK6571" i="2"/>
  <c r="AK6572" i="2"/>
  <c r="AK6573" i="2"/>
  <c r="AK6574" i="2"/>
  <c r="AK6575" i="2"/>
  <c r="AK6576" i="2"/>
  <c r="AK6577" i="2"/>
  <c r="AK6578" i="2"/>
  <c r="AK6579" i="2"/>
  <c r="AK6580" i="2"/>
  <c r="AK6581" i="2"/>
  <c r="AK6582" i="2"/>
  <c r="AK6583" i="2"/>
  <c r="AK6584" i="2"/>
  <c r="AK6585" i="2"/>
  <c r="AK6586" i="2"/>
  <c r="AK6587" i="2"/>
  <c r="AK6588" i="2"/>
  <c r="AK6589" i="2"/>
  <c r="AK6590" i="2"/>
  <c r="AK6591" i="2"/>
  <c r="AK6592" i="2"/>
  <c r="AK6593" i="2"/>
  <c r="AK6594" i="2"/>
  <c r="AK6595" i="2"/>
  <c r="AK6596" i="2"/>
  <c r="AK6597" i="2"/>
  <c r="AK6598" i="2"/>
  <c r="AK6599" i="2"/>
  <c r="AK6600" i="2"/>
  <c r="AK6601" i="2"/>
  <c r="AK6602" i="2"/>
  <c r="AK6603" i="2"/>
  <c r="AK6604" i="2"/>
  <c r="AK6605" i="2"/>
  <c r="AK6606" i="2"/>
  <c r="AK6607" i="2"/>
  <c r="AK6608" i="2"/>
  <c r="AK6609" i="2"/>
  <c r="AK6610" i="2"/>
  <c r="AK6611" i="2"/>
  <c r="AK6612" i="2"/>
  <c r="AK6613" i="2"/>
  <c r="AK6614" i="2"/>
  <c r="AK6615" i="2"/>
  <c r="AK6616" i="2"/>
  <c r="AK6617" i="2"/>
  <c r="AK6618" i="2"/>
  <c r="AK6619" i="2"/>
  <c r="AK6620" i="2"/>
  <c r="AK6621" i="2"/>
  <c r="AK6622" i="2"/>
  <c r="AK6623" i="2"/>
  <c r="AK6624" i="2"/>
  <c r="AK6625" i="2"/>
  <c r="AK6626" i="2"/>
  <c r="AK6627" i="2"/>
  <c r="AK6628" i="2"/>
  <c r="AK6629" i="2"/>
  <c r="AK6630" i="2"/>
  <c r="AK6631" i="2"/>
  <c r="AK6632" i="2"/>
  <c r="AK6633" i="2"/>
  <c r="AK6634" i="2"/>
  <c r="AK6635" i="2"/>
  <c r="AK6636" i="2"/>
  <c r="AK6637" i="2"/>
  <c r="AK6638" i="2"/>
  <c r="AK6639" i="2"/>
  <c r="AK6640" i="2"/>
  <c r="AK6641" i="2"/>
  <c r="AK6642" i="2"/>
  <c r="AK6643" i="2"/>
  <c r="AK6644" i="2"/>
  <c r="AK6645" i="2"/>
  <c r="AK6646" i="2"/>
  <c r="AK6647" i="2"/>
  <c r="AK6648" i="2"/>
  <c r="AK6649" i="2"/>
  <c r="AK6650" i="2"/>
  <c r="AK6651" i="2"/>
  <c r="AK6652" i="2"/>
  <c r="AK6653" i="2"/>
  <c r="AK6654" i="2"/>
  <c r="AK6655" i="2"/>
  <c r="AK6656" i="2"/>
  <c r="AK6657" i="2"/>
  <c r="AK6658" i="2"/>
  <c r="AK6659" i="2"/>
  <c r="AK6660" i="2"/>
  <c r="AK6661" i="2"/>
  <c r="AK6662" i="2"/>
  <c r="AK6663" i="2"/>
  <c r="AK6664" i="2"/>
  <c r="AK6665" i="2"/>
  <c r="AK6666" i="2"/>
  <c r="AK6667" i="2"/>
  <c r="AK6668" i="2"/>
  <c r="AK6669" i="2"/>
  <c r="AK6670" i="2"/>
  <c r="AK6671" i="2"/>
  <c r="AK6672" i="2"/>
  <c r="AK6673" i="2"/>
  <c r="AK6674" i="2"/>
  <c r="AK6675" i="2"/>
  <c r="AK6676" i="2"/>
  <c r="AK6677" i="2"/>
  <c r="AK6678" i="2"/>
  <c r="AK6679" i="2"/>
  <c r="AK6680" i="2"/>
  <c r="AK6681" i="2"/>
  <c r="AK6682" i="2"/>
  <c r="AK6683" i="2"/>
  <c r="AK6684" i="2"/>
  <c r="AK6685" i="2"/>
  <c r="AK6686" i="2"/>
  <c r="AK6687" i="2"/>
  <c r="AK6688" i="2"/>
  <c r="AK6689" i="2"/>
  <c r="AK6690" i="2"/>
  <c r="AK6691" i="2"/>
  <c r="AK6692" i="2"/>
  <c r="AK6693" i="2"/>
  <c r="AK6694" i="2"/>
  <c r="AK6695" i="2"/>
  <c r="AK6696" i="2"/>
  <c r="AK6697" i="2"/>
  <c r="AK6698" i="2"/>
  <c r="AK6699" i="2"/>
  <c r="AK6700" i="2"/>
  <c r="AK6701" i="2"/>
  <c r="AK6702" i="2"/>
  <c r="AK6703" i="2"/>
  <c r="AK6704" i="2"/>
  <c r="AK6705" i="2"/>
  <c r="AK6706" i="2"/>
  <c r="AK6707" i="2"/>
  <c r="AK6708" i="2"/>
  <c r="AK6709" i="2"/>
  <c r="AK6710" i="2"/>
  <c r="AK6711" i="2"/>
  <c r="AK6712" i="2"/>
  <c r="AK6713" i="2"/>
  <c r="AK6714" i="2"/>
  <c r="AK6715" i="2"/>
  <c r="AK6716" i="2"/>
  <c r="AK6717" i="2"/>
  <c r="AK6718" i="2"/>
  <c r="AK6719" i="2"/>
  <c r="AK6720" i="2"/>
  <c r="AK6721" i="2"/>
  <c r="AK6722" i="2"/>
  <c r="AK6723" i="2"/>
  <c r="AK6724" i="2"/>
  <c r="AK6725" i="2"/>
  <c r="AK6726" i="2"/>
  <c r="AK6727" i="2"/>
  <c r="AK6728" i="2"/>
  <c r="AK6729" i="2"/>
  <c r="AK6730" i="2"/>
  <c r="AK6731" i="2"/>
  <c r="AK6732" i="2"/>
  <c r="AK6733" i="2"/>
  <c r="AK6734" i="2"/>
  <c r="AK6735" i="2"/>
  <c r="AK6736" i="2"/>
  <c r="AK6737" i="2"/>
  <c r="AK6738" i="2"/>
  <c r="AK6739" i="2"/>
  <c r="AK6740" i="2"/>
  <c r="AK6741" i="2"/>
  <c r="AK6742" i="2"/>
  <c r="AK6743" i="2"/>
  <c r="AK6744" i="2"/>
  <c r="AK6745" i="2"/>
  <c r="AK6746" i="2"/>
  <c r="AK6747" i="2"/>
  <c r="AK6748" i="2"/>
  <c r="AK6749" i="2"/>
  <c r="AK6750" i="2"/>
  <c r="AK6751" i="2"/>
  <c r="AK6752" i="2"/>
  <c r="AK6753" i="2"/>
  <c r="AK6754" i="2"/>
  <c r="AK6755" i="2"/>
  <c r="AK6756" i="2"/>
  <c r="AK6757" i="2"/>
  <c r="AK6758" i="2"/>
  <c r="AK6759" i="2"/>
  <c r="AK6760" i="2"/>
  <c r="AK6761" i="2"/>
  <c r="AK6762" i="2"/>
  <c r="AK6763" i="2"/>
  <c r="AK6764" i="2"/>
  <c r="AK6765" i="2"/>
  <c r="AK6766" i="2"/>
  <c r="AK6767" i="2"/>
  <c r="AK6768" i="2"/>
  <c r="AK6769" i="2"/>
  <c r="AK6770" i="2"/>
  <c r="AK6771" i="2"/>
  <c r="AK6772" i="2"/>
  <c r="AK6773" i="2"/>
  <c r="AK6774" i="2"/>
  <c r="AK6775" i="2"/>
  <c r="AK6776" i="2"/>
  <c r="AK6777" i="2"/>
  <c r="AK6778" i="2"/>
  <c r="AK6779" i="2"/>
  <c r="AK6780" i="2"/>
  <c r="AK6781" i="2"/>
  <c r="AK6782" i="2"/>
  <c r="AK6783" i="2"/>
  <c r="AK6784" i="2"/>
  <c r="AK6785" i="2"/>
  <c r="AK6786" i="2"/>
  <c r="AK6787" i="2"/>
  <c r="AK6788" i="2"/>
  <c r="AK6789" i="2"/>
  <c r="AK6790" i="2"/>
  <c r="AK6791" i="2"/>
  <c r="AK6792" i="2"/>
  <c r="AK6793" i="2"/>
  <c r="AK6794" i="2"/>
  <c r="AK6795" i="2"/>
  <c r="AK6796" i="2"/>
  <c r="AK6797" i="2"/>
  <c r="AK6798" i="2"/>
  <c r="AK6799" i="2"/>
  <c r="AK6800" i="2"/>
  <c r="AK6801" i="2"/>
  <c r="AK6802" i="2"/>
  <c r="AK6803" i="2"/>
  <c r="AK6804" i="2"/>
  <c r="AK6805" i="2"/>
  <c r="AK6806" i="2"/>
  <c r="AK6807" i="2"/>
  <c r="AK6808" i="2"/>
  <c r="AK6809" i="2"/>
  <c r="AK6810" i="2"/>
  <c r="AK6811" i="2"/>
  <c r="AK6812" i="2"/>
  <c r="AK6813" i="2"/>
  <c r="AK6814" i="2"/>
  <c r="AK6815" i="2"/>
  <c r="AK6816" i="2"/>
  <c r="AK6817" i="2"/>
  <c r="AK6818" i="2"/>
  <c r="AK6819" i="2"/>
  <c r="AK6820" i="2"/>
  <c r="AK6821" i="2"/>
  <c r="AK6822" i="2"/>
  <c r="AK6823" i="2"/>
  <c r="AK6824" i="2"/>
  <c r="AK6825" i="2"/>
  <c r="AK6826" i="2"/>
  <c r="AK6827" i="2"/>
  <c r="AK6828" i="2"/>
  <c r="AK6829" i="2"/>
  <c r="AK6830" i="2"/>
  <c r="AK6831" i="2"/>
  <c r="AK6832" i="2"/>
  <c r="AK6833" i="2"/>
  <c r="AK6834" i="2"/>
  <c r="AK6835" i="2"/>
  <c r="AK6836" i="2"/>
  <c r="AK6837" i="2"/>
  <c r="AK6838" i="2"/>
  <c r="AK6839" i="2"/>
  <c r="AK6840" i="2"/>
  <c r="AK6841" i="2"/>
  <c r="AK6842" i="2"/>
  <c r="AK6843" i="2"/>
  <c r="AK6844" i="2"/>
  <c r="AK6845" i="2"/>
  <c r="AK6846" i="2"/>
  <c r="AK6847" i="2"/>
  <c r="AK6848" i="2"/>
  <c r="AK6849" i="2"/>
  <c r="AK6850" i="2"/>
  <c r="AK6851" i="2"/>
  <c r="AK6852" i="2"/>
  <c r="AK6853" i="2"/>
  <c r="AK6854" i="2"/>
  <c r="AK6855" i="2"/>
  <c r="AK6856" i="2"/>
  <c r="AK6857" i="2"/>
  <c r="AK6858" i="2"/>
  <c r="AK6859" i="2"/>
  <c r="AK6860" i="2"/>
  <c r="AK6861" i="2"/>
  <c r="AK6862" i="2"/>
  <c r="AK6863" i="2"/>
  <c r="AK6864" i="2"/>
  <c r="AK6865" i="2"/>
  <c r="AK6866" i="2"/>
  <c r="AK6867" i="2"/>
  <c r="AK6868" i="2"/>
  <c r="AK6869" i="2"/>
  <c r="AK6870" i="2"/>
  <c r="AK6871" i="2"/>
  <c r="AK6872" i="2"/>
  <c r="AK6873" i="2"/>
  <c r="AK6874" i="2"/>
  <c r="AK6875" i="2"/>
  <c r="AK6876" i="2"/>
  <c r="AK6877" i="2"/>
  <c r="AK6878" i="2"/>
  <c r="AK6879" i="2"/>
  <c r="AK6880" i="2"/>
  <c r="AK6881" i="2"/>
  <c r="AK6882" i="2"/>
  <c r="AK6883" i="2"/>
  <c r="AK6884" i="2"/>
  <c r="AK6885" i="2"/>
  <c r="AK6886" i="2"/>
  <c r="AK6887" i="2"/>
  <c r="AK6888" i="2"/>
  <c r="AK6889" i="2"/>
  <c r="AK6890" i="2"/>
  <c r="AK6891" i="2"/>
  <c r="AK6892" i="2"/>
  <c r="AK6893" i="2"/>
  <c r="AK6894" i="2"/>
  <c r="AK6895" i="2"/>
  <c r="AK6896" i="2"/>
  <c r="AK6897" i="2"/>
  <c r="AK6898" i="2"/>
  <c r="AK6899" i="2"/>
  <c r="AK6900" i="2"/>
  <c r="AK6901" i="2"/>
  <c r="AK6902" i="2"/>
  <c r="AK6903" i="2"/>
  <c r="AK6904" i="2"/>
  <c r="AK6905" i="2"/>
  <c r="AK6906" i="2"/>
  <c r="AK6907" i="2"/>
  <c r="AK6908" i="2"/>
  <c r="AK6909" i="2"/>
  <c r="AK6910" i="2"/>
  <c r="AK6911" i="2"/>
  <c r="AK6912" i="2"/>
  <c r="AK6913" i="2"/>
  <c r="AK6914" i="2"/>
  <c r="AK6915" i="2"/>
  <c r="AK6916" i="2"/>
  <c r="AK6917" i="2"/>
  <c r="AK6918" i="2"/>
  <c r="AK6919" i="2"/>
  <c r="AK6920" i="2"/>
  <c r="AK6921" i="2"/>
  <c r="AK6922" i="2"/>
  <c r="AK6923" i="2"/>
  <c r="AK6924" i="2"/>
  <c r="AK6925" i="2"/>
  <c r="Q4" i="2" l="1" a="1"/>
  <c r="Q51" i="2"/>
  <c r="Q115" i="2"/>
  <c r="Q28" i="2"/>
  <c r="Q92" i="2"/>
  <c r="Q5" i="2"/>
  <c r="Q69" i="2"/>
  <c r="Q133" i="2"/>
  <c r="Q46" i="2"/>
  <c r="Q110" i="2"/>
  <c r="Q23" i="2"/>
  <c r="Q26" i="2"/>
  <c r="Q9" i="2"/>
  <c r="Q153" i="2"/>
  <c r="Q138" i="2"/>
  <c r="Q143" i="2"/>
  <c r="Q144" i="2"/>
  <c r="Q145" i="2"/>
  <c r="Q146" i="2"/>
  <c r="Q151" i="2"/>
  <c r="Q75" i="2"/>
  <c r="Q147" i="2"/>
  <c r="Q68" i="2"/>
  <c r="Q140" i="2"/>
  <c r="Q61" i="2"/>
  <c r="Q141" i="2"/>
  <c r="Q62" i="2"/>
  <c r="Q134" i="2"/>
  <c r="Q55" i="2"/>
  <c r="Q120" i="2"/>
  <c r="Q121" i="2"/>
  <c r="Q122" i="2"/>
  <c r="Q17" i="2"/>
  <c r="Q41" i="2"/>
  <c r="Q65" i="2"/>
  <c r="Q87" i="2"/>
  <c r="Q11" i="2"/>
  <c r="Q83" i="2"/>
  <c r="Q4" i="2"/>
  <c r="Q76" i="2"/>
  <c r="Q148" i="2"/>
  <c r="Q77" i="2"/>
  <c r="Q149" i="2"/>
  <c r="Q70" i="2"/>
  <c r="Q142" i="2"/>
  <c r="Q63" i="2"/>
  <c r="Q136" i="2"/>
  <c r="Q137" i="2"/>
  <c r="Q16" i="2"/>
  <c r="Q40" i="2"/>
  <c r="Q64" i="2"/>
  <c r="Q82" i="2"/>
  <c r="Q103" i="2"/>
  <c r="Q19" i="2"/>
  <c r="Q91" i="2"/>
  <c r="Q12" i="2"/>
  <c r="Q84" i="2"/>
  <c r="Q13" i="2"/>
  <c r="Q85" i="2"/>
  <c r="Q6" i="2"/>
  <c r="Q78" i="2"/>
  <c r="Q150" i="2"/>
  <c r="Q71" i="2"/>
  <c r="Q152" i="2"/>
  <c r="Q10" i="2"/>
  <c r="Q34" i="2"/>
  <c r="Q58" i="2"/>
  <c r="Q81" i="2"/>
  <c r="Q98" i="2"/>
  <c r="Q119" i="2"/>
  <c r="Q27" i="2"/>
  <c r="Q99" i="2"/>
  <c r="Q20" i="2"/>
  <c r="Q107" i="2"/>
  <c r="Q100" i="2"/>
  <c r="Q45" i="2"/>
  <c r="Q22" i="2"/>
  <c r="Q126" i="2"/>
  <c r="Q72" i="2"/>
  <c r="Q33" i="2"/>
  <c r="Q111" i="2"/>
  <c r="Q113" i="2"/>
  <c r="Q66" i="2"/>
  <c r="Q123" i="2"/>
  <c r="Q108" i="2"/>
  <c r="Q53" i="2"/>
  <c r="Q30" i="2"/>
  <c r="Q7" i="2"/>
  <c r="Q88" i="2"/>
  <c r="Q56" i="2"/>
  <c r="Q127" i="2"/>
  <c r="Q129" i="2"/>
  <c r="Q135" i="2"/>
  <c r="Q131" i="2"/>
  <c r="Q116" i="2"/>
  <c r="Q93" i="2"/>
  <c r="Q38" i="2"/>
  <c r="Q15" i="2"/>
  <c r="Q104" i="2"/>
  <c r="Q74" i="2"/>
  <c r="Q80" i="2"/>
  <c r="Q24" i="2"/>
  <c r="Q139" i="2"/>
  <c r="Q124" i="2"/>
  <c r="Q101" i="2"/>
  <c r="Q54" i="2"/>
  <c r="Q31" i="2"/>
  <c r="Q32" i="2"/>
  <c r="Q90" i="2"/>
  <c r="Q96" i="2"/>
  <c r="Q42" i="2"/>
  <c r="Q35" i="2"/>
  <c r="Q36" i="2"/>
  <c r="Q132" i="2"/>
  <c r="Q109" i="2"/>
  <c r="Q86" i="2"/>
  <c r="Q39" i="2"/>
  <c r="Q50" i="2"/>
  <c r="Q106" i="2"/>
  <c r="Q112" i="2"/>
  <c r="Q114" i="2"/>
  <c r="Q43" i="2"/>
  <c r="Q44" i="2"/>
  <c r="Q21" i="2"/>
  <c r="Q117" i="2"/>
  <c r="Q94" i="2"/>
  <c r="Q47" i="2"/>
  <c r="Q73" i="2"/>
  <c r="Q57" i="2"/>
  <c r="Q128" i="2"/>
  <c r="Q130" i="2"/>
  <c r="Q59" i="2"/>
  <c r="Q52" i="2"/>
  <c r="Q29" i="2"/>
  <c r="Q125" i="2"/>
  <c r="Q102" i="2"/>
  <c r="Q8" i="2"/>
  <c r="Q89" i="2"/>
  <c r="Q79" i="2"/>
  <c r="Q18" i="2"/>
  <c r="Q25" i="2"/>
  <c r="Q67" i="2"/>
  <c r="Q60" i="2"/>
  <c r="Q37" i="2"/>
  <c r="Q14" i="2"/>
  <c r="Q118" i="2"/>
  <c r="Q49" i="2"/>
  <c r="Q105" i="2"/>
  <c r="Q95" i="2"/>
  <c r="Q97" i="2"/>
  <c r="Q48" i="2"/>
  <c r="V4" i="2"/>
  <c r="H3" i="3"/>
  <c r="B5" i="3" a="1"/>
  <c r="AM6" i="2"/>
  <c r="AM42" i="2"/>
  <c r="AL21" i="2"/>
  <c r="AM15" i="2"/>
  <c r="AL13" i="2"/>
  <c r="AM31" i="2"/>
  <c r="AL23" i="2"/>
  <c r="AL17" i="2"/>
  <c r="AL28" i="2"/>
  <c r="AM40" i="2"/>
  <c r="AM22" i="2"/>
  <c r="AH16" i="2"/>
  <c r="AH11" i="2"/>
  <c r="AH4" i="2"/>
  <c r="AL8" i="2"/>
  <c r="AL38" i="2"/>
  <c r="AL45" i="2"/>
  <c r="AM11" i="2"/>
  <c r="AL22" i="2"/>
  <c r="AM25" i="2"/>
  <c r="AM44" i="2"/>
  <c r="AL20" i="2"/>
  <c r="AM10" i="2"/>
  <c r="AL39" i="2"/>
  <c r="AL14" i="2"/>
  <c r="AH21" i="2"/>
  <c r="AH19" i="2"/>
  <c r="AH6" i="2"/>
  <c r="AL7" i="2"/>
  <c r="AL34" i="2"/>
  <c r="AL41" i="2"/>
  <c r="AM20" i="2"/>
  <c r="AL42" i="2"/>
  <c r="AL12" i="2"/>
  <c r="AM39" i="2"/>
  <c r="AM28" i="2"/>
  <c r="AM33" i="2"/>
  <c r="AM9" i="2"/>
  <c r="AH24" i="2"/>
  <c r="AH9" i="2"/>
  <c r="AH29" i="2"/>
  <c r="AM8" i="2"/>
  <c r="AL15" i="2"/>
  <c r="AM37" i="2"/>
  <c r="AM41" i="2"/>
  <c r="AL31" i="2"/>
  <c r="AM35" i="2"/>
  <c r="AL32" i="2"/>
  <c r="AH23" i="2"/>
  <c r="AH20" i="2"/>
  <c r="AL5" i="2"/>
  <c r="AM30" i="2"/>
  <c r="AL36" i="2"/>
  <c r="AL16" i="2"/>
  <c r="AM4" i="2"/>
  <c r="AL11" i="2"/>
  <c r="AM32" i="2"/>
  <c r="AL35" i="2"/>
  <c r="AM13" i="2"/>
  <c r="AM16" i="2"/>
  <c r="AL27" i="2"/>
  <c r="AH18" i="2"/>
  <c r="AH14" i="2"/>
  <c r="AL18" i="2"/>
  <c r="AL24" i="2"/>
  <c r="AH8" i="2"/>
  <c r="AM12" i="2"/>
  <c r="AH22" i="2"/>
  <c r="AM7" i="2"/>
  <c r="AL37" i="2"/>
  <c r="AM27" i="2"/>
  <c r="AM17" i="2"/>
  <c r="AM36" i="2"/>
  <c r="AL40" i="2"/>
  <c r="AH15" i="2"/>
  <c r="AH5" i="2"/>
  <c r="AH12" i="2"/>
  <c r="AL33" i="2"/>
  <c r="AM45" i="2"/>
  <c r="AH10" i="2"/>
  <c r="AL29" i="2"/>
  <c r="AM24" i="2"/>
  <c r="AH28" i="2"/>
  <c r="AM26" i="2"/>
  <c r="AM34" i="2"/>
  <c r="AM38" i="2"/>
  <c r="AL6" i="2"/>
  <c r="AH17" i="2"/>
  <c r="AL26" i="2"/>
  <c r="AM18" i="2"/>
  <c r="AH25" i="2"/>
  <c r="AM21" i="2"/>
  <c r="AL19" i="2"/>
  <c r="AM23" i="2"/>
  <c r="AH26" i="2"/>
  <c r="AM29" i="2"/>
  <c r="AH27" i="2"/>
  <c r="AM43" i="2"/>
  <c r="AL44" i="2"/>
  <c r="AL4" i="2"/>
  <c r="AL43" i="2"/>
  <c r="AL25" i="2"/>
  <c r="AM14" i="2"/>
  <c r="AH13" i="2"/>
  <c r="AM19" i="2"/>
  <c r="AL10" i="2"/>
  <c r="AM5" i="2"/>
  <c r="AL9" i="2"/>
  <c r="AL30" i="2"/>
  <c r="AH7" i="2"/>
  <c r="AM47" i="2"/>
  <c r="AL47" i="2"/>
  <c r="AM48" i="2"/>
  <c r="AL48" i="2"/>
  <c r="AL46" i="2"/>
  <c r="AM46" i="2"/>
  <c r="AL49" i="2"/>
  <c r="AM49" i="2"/>
  <c r="AM50" i="2"/>
  <c r="AL50" i="2"/>
  <c r="AM51" i="2"/>
  <c r="AL51" i="2"/>
  <c r="AL52" i="2"/>
  <c r="AM52" i="2"/>
  <c r="AL53" i="2"/>
  <c r="AM53" i="2"/>
  <c r="AL54" i="2"/>
  <c r="AM54" i="2"/>
  <c r="AL55" i="2"/>
  <c r="AM55" i="2"/>
  <c r="AL56" i="2"/>
  <c r="AM56" i="2"/>
  <c r="AL57" i="2"/>
  <c r="AM57" i="2"/>
  <c r="AM58" i="2"/>
  <c r="AL58" i="2"/>
  <c r="AL59" i="2"/>
  <c r="AM59" i="2"/>
  <c r="AL60" i="2"/>
  <c r="AM60" i="2"/>
  <c r="AL61" i="2"/>
  <c r="AM61" i="2"/>
  <c r="AL62" i="2"/>
  <c r="AM62" i="2"/>
  <c r="AL63" i="2"/>
  <c r="AM63" i="2"/>
  <c r="AM64" i="2"/>
  <c r="AL64" i="2"/>
  <c r="AL65" i="2"/>
  <c r="AM65" i="2"/>
  <c r="AL66" i="2"/>
  <c r="AM66" i="2"/>
  <c r="AM67" i="2"/>
  <c r="AL67" i="2"/>
  <c r="AL68" i="2"/>
  <c r="AM68" i="2"/>
  <c r="AL69" i="2"/>
  <c r="AM69" i="2"/>
  <c r="AL70" i="2"/>
  <c r="AM70" i="2"/>
  <c r="AL71" i="2"/>
  <c r="AM71" i="2"/>
  <c r="AM72" i="2"/>
  <c r="AL72" i="2"/>
  <c r="AL73" i="2"/>
  <c r="AM73" i="2"/>
  <c r="AM74" i="2"/>
  <c r="AL74" i="2"/>
  <c r="AL75" i="2"/>
  <c r="AM75" i="2"/>
  <c r="AL76" i="2"/>
  <c r="AM76" i="2"/>
  <c r="AL77" i="2"/>
  <c r="AM77" i="2"/>
  <c r="AL78" i="2"/>
  <c r="AM78" i="2"/>
  <c r="AL79" i="2"/>
  <c r="AM79" i="2"/>
  <c r="AL80" i="2"/>
  <c r="AM80" i="2"/>
  <c r="AL81" i="2"/>
  <c r="AM81" i="2"/>
  <c r="AM82" i="2"/>
  <c r="AL82" i="2"/>
  <c r="AM83" i="2"/>
  <c r="AL83" i="2"/>
  <c r="AL84" i="2"/>
  <c r="AM84" i="2"/>
  <c r="AL85" i="2"/>
  <c r="AM85" i="2"/>
  <c r="AL86" i="2"/>
  <c r="AM86" i="2"/>
  <c r="AL87" i="2"/>
  <c r="AM87" i="2"/>
  <c r="AL88" i="2"/>
  <c r="AM88" i="2"/>
  <c r="AL89" i="2"/>
  <c r="AM89" i="2"/>
  <c r="AM90" i="2"/>
  <c r="AL90" i="2"/>
  <c r="AL91" i="2"/>
  <c r="AM91" i="2"/>
  <c r="AL92" i="2"/>
  <c r="AM92" i="2"/>
  <c r="AL93" i="2"/>
  <c r="AM93" i="2"/>
  <c r="AL94" i="2"/>
  <c r="AM94" i="2"/>
  <c r="AL95" i="2"/>
  <c r="AM95" i="2"/>
  <c r="AM96" i="2"/>
  <c r="AL96" i="2"/>
  <c r="AL97" i="2"/>
  <c r="AM97" i="2"/>
  <c r="AM98" i="2"/>
  <c r="AL98" i="2"/>
  <c r="AM99" i="2"/>
  <c r="AL99" i="2"/>
  <c r="AL100" i="2"/>
  <c r="AM100" i="2"/>
  <c r="AL101" i="2"/>
  <c r="AM101" i="2"/>
  <c r="AL102" i="2"/>
  <c r="AM102" i="2"/>
  <c r="AL103" i="2"/>
  <c r="AM103" i="2"/>
  <c r="AL104" i="2"/>
  <c r="AM104" i="2"/>
  <c r="AL105" i="2"/>
  <c r="AM105" i="2"/>
  <c r="AM106" i="2"/>
  <c r="AL106" i="2"/>
  <c r="AL107" i="2"/>
  <c r="AM107" i="2"/>
  <c r="AL108" i="2"/>
  <c r="AM108" i="2"/>
  <c r="AL109" i="2"/>
  <c r="AM109" i="2"/>
  <c r="AL110" i="2"/>
  <c r="AM110" i="2"/>
  <c r="AL111" i="2"/>
  <c r="AM111" i="2"/>
  <c r="AM112" i="2"/>
  <c r="AL112" i="2"/>
  <c r="AL113" i="2"/>
  <c r="AM113" i="2"/>
  <c r="AM114" i="2"/>
  <c r="AL114" i="2"/>
  <c r="AL115" i="2"/>
  <c r="AM115" i="2"/>
  <c r="AL116" i="2"/>
  <c r="AM116" i="2"/>
  <c r="AL117" i="2"/>
  <c r="AM117" i="2"/>
  <c r="AL118" i="2"/>
  <c r="AM118" i="2"/>
  <c r="AL119" i="2"/>
  <c r="AM119" i="2"/>
  <c r="AL120" i="2"/>
  <c r="AM120" i="2"/>
  <c r="AL121" i="2"/>
  <c r="AM121" i="2"/>
  <c r="AL122" i="2"/>
  <c r="AM122" i="2"/>
  <c r="AL123" i="2"/>
  <c r="AM123" i="2"/>
  <c r="AM124" i="2"/>
  <c r="AL124" i="2"/>
  <c r="AL125" i="2"/>
  <c r="AM125" i="2"/>
  <c r="AL126" i="2"/>
  <c r="AM126" i="2"/>
  <c r="AM127" i="2"/>
  <c r="AL127" i="2"/>
  <c r="AM128" i="2"/>
  <c r="AL128" i="2"/>
  <c r="AL129" i="2"/>
  <c r="AM129" i="2"/>
  <c r="AM130" i="2"/>
  <c r="AL130" i="2"/>
  <c r="AM131" i="2"/>
  <c r="AL131" i="2"/>
  <c r="AL132" i="2"/>
  <c r="AM132" i="2"/>
  <c r="AM133" i="2"/>
  <c r="AL133" i="2"/>
  <c r="AL134" i="2"/>
  <c r="AM134" i="2"/>
  <c r="AM135" i="2"/>
  <c r="AL135" i="2"/>
  <c r="AM136" i="2"/>
  <c r="AL136" i="2"/>
  <c r="AL137" i="2"/>
  <c r="AM137" i="2"/>
  <c r="AM138" i="2"/>
  <c r="AL138" i="2"/>
  <c r="AM139" i="2"/>
  <c r="AL139" i="2"/>
  <c r="AL140" i="2"/>
  <c r="AM140" i="2"/>
  <c r="AL141" i="2"/>
  <c r="AM141" i="2"/>
  <c r="AL142" i="2"/>
  <c r="AM142" i="2"/>
  <c r="AL143" i="2"/>
  <c r="AM143" i="2"/>
  <c r="AM144" i="2"/>
  <c r="AL144" i="2"/>
  <c r="AL145" i="2"/>
  <c r="AM145" i="2"/>
  <c r="AM146" i="2"/>
  <c r="AL146" i="2"/>
  <c r="AM147" i="2"/>
  <c r="AL147" i="2"/>
  <c r="AL148" i="2"/>
  <c r="AM148" i="2"/>
  <c r="AL149" i="2"/>
  <c r="AM149" i="2"/>
  <c r="AL150" i="2"/>
  <c r="AM150" i="2"/>
  <c r="AL151" i="2"/>
  <c r="AM151" i="2"/>
  <c r="AM152" i="2"/>
  <c r="AL152" i="2"/>
  <c r="AL153" i="2"/>
  <c r="AM153" i="2"/>
  <c r="AM154" i="2"/>
  <c r="AL154" i="2"/>
  <c r="AL155" i="2"/>
  <c r="AM155" i="2"/>
  <c r="AL156" i="2"/>
  <c r="AM156" i="2"/>
  <c r="AL157" i="2"/>
  <c r="AM157" i="2"/>
  <c r="AL158" i="2"/>
  <c r="AM158" i="2"/>
  <c r="AL159" i="2"/>
  <c r="AM159" i="2"/>
  <c r="AL160" i="2"/>
  <c r="AM160" i="2"/>
  <c r="AL161" i="2"/>
  <c r="AM161" i="2"/>
  <c r="AM162" i="2"/>
  <c r="AL162" i="2"/>
  <c r="AM163" i="2"/>
  <c r="AL163" i="2"/>
  <c r="AM164" i="2"/>
  <c r="AL164" i="2"/>
  <c r="AL165" i="2"/>
  <c r="AM165" i="2"/>
  <c r="AL166" i="2"/>
  <c r="AM166" i="2"/>
  <c r="AL167" i="2"/>
  <c r="AM167" i="2"/>
  <c r="AL168" i="2"/>
  <c r="AM168" i="2"/>
  <c r="AL169" i="2"/>
  <c r="AM169" i="2"/>
  <c r="AM170" i="2"/>
  <c r="AL170" i="2"/>
  <c r="AL171" i="2"/>
  <c r="AM171" i="2"/>
  <c r="AL172" i="2"/>
  <c r="AM172" i="2"/>
  <c r="AM173" i="2"/>
  <c r="AL173" i="2"/>
  <c r="AL174" i="2"/>
  <c r="AM174" i="2"/>
  <c r="AM175" i="2"/>
  <c r="AL175" i="2"/>
  <c r="AL176" i="2"/>
  <c r="AM176" i="2"/>
  <c r="AL177" i="2"/>
  <c r="AM177" i="2"/>
  <c r="AM178" i="2"/>
  <c r="AL178" i="2"/>
  <c r="AL179" i="2"/>
  <c r="AM179" i="2"/>
  <c r="AM180" i="2"/>
  <c r="AL180" i="2"/>
  <c r="AL181" i="2"/>
  <c r="AM181" i="2"/>
  <c r="AL182" i="2"/>
  <c r="AM182" i="2"/>
  <c r="AM183" i="2"/>
  <c r="AL183" i="2"/>
  <c r="AL184" i="2"/>
  <c r="AM184" i="2"/>
  <c r="AL185" i="2"/>
  <c r="AM185" i="2"/>
  <c r="AM186" i="2"/>
  <c r="AL186" i="2"/>
  <c r="AL187" i="2"/>
  <c r="AM187" i="2"/>
  <c r="AM188" i="2"/>
  <c r="AL188" i="2"/>
  <c r="AM189" i="2"/>
  <c r="AL189" i="2"/>
  <c r="AL190" i="2"/>
  <c r="AM190" i="2"/>
  <c r="AL191" i="2"/>
  <c r="AM191" i="2"/>
  <c r="AL192" i="2"/>
  <c r="AM192" i="2"/>
  <c r="AL193" i="2"/>
  <c r="AM193" i="2"/>
  <c r="AL194" i="2"/>
  <c r="AM194" i="2"/>
  <c r="AL195" i="2"/>
  <c r="AM195" i="2"/>
  <c r="AM196" i="2"/>
  <c r="AL196" i="2"/>
  <c r="AM197" i="2"/>
  <c r="AL197" i="2"/>
  <c r="AL198" i="2"/>
  <c r="AM198" i="2"/>
  <c r="AL199" i="2"/>
  <c r="AM199" i="2"/>
  <c r="AM200" i="2"/>
  <c r="AL200" i="2"/>
  <c r="AL201" i="2"/>
  <c r="AM201" i="2"/>
  <c r="AL202" i="2"/>
  <c r="AM202" i="2"/>
  <c r="AM203" i="2"/>
  <c r="AL203" i="2"/>
  <c r="AL204" i="2"/>
  <c r="AM204" i="2"/>
  <c r="AM205" i="2"/>
  <c r="AL205" i="2"/>
  <c r="AL206" i="2"/>
  <c r="AM206" i="2"/>
  <c r="AL207" i="2"/>
  <c r="AM207" i="2"/>
  <c r="AL208" i="2"/>
  <c r="AM208" i="2"/>
  <c r="AL209" i="2"/>
  <c r="AM209" i="2"/>
  <c r="AM210" i="2"/>
  <c r="AL210" i="2"/>
  <c r="AL211" i="2"/>
  <c r="AM211" i="2"/>
  <c r="AL212" i="2"/>
  <c r="AM212" i="2"/>
  <c r="AL213" i="2"/>
  <c r="AM213" i="2"/>
  <c r="AL214" i="2"/>
  <c r="AM214" i="2"/>
  <c r="AL215" i="2"/>
  <c r="AM215" i="2"/>
  <c r="AL216" i="2"/>
  <c r="AM216" i="2"/>
  <c r="AL217" i="2"/>
  <c r="AM217" i="2"/>
  <c r="AM218" i="2"/>
  <c r="AL218" i="2"/>
  <c r="AL219" i="2"/>
  <c r="AM219" i="2"/>
  <c r="AL220" i="2"/>
  <c r="AM220" i="2"/>
  <c r="AL221" i="2"/>
  <c r="AM221" i="2"/>
  <c r="AL222" i="2"/>
  <c r="AM222" i="2"/>
  <c r="AL223" i="2"/>
  <c r="AM223" i="2"/>
  <c r="AL224" i="2"/>
  <c r="AM224" i="2"/>
  <c r="AL225" i="2"/>
  <c r="AM225" i="2"/>
  <c r="AL226" i="2"/>
  <c r="AM226" i="2"/>
  <c r="AL227" i="2"/>
  <c r="AM227" i="2"/>
  <c r="AL228" i="2"/>
  <c r="AM228" i="2"/>
  <c r="AL229" i="2"/>
  <c r="AM229" i="2"/>
  <c r="AM230" i="2"/>
  <c r="AL230" i="2"/>
  <c r="AM231" i="2"/>
  <c r="AL231" i="2"/>
  <c r="AM232" i="2"/>
  <c r="AL232" i="2"/>
  <c r="AM233" i="2"/>
  <c r="AL233" i="2"/>
  <c r="AL234" i="2"/>
  <c r="AM234" i="2"/>
  <c r="AM235" i="2"/>
  <c r="AL235" i="2"/>
  <c r="AL236" i="2"/>
  <c r="AM236" i="2"/>
  <c r="AM237" i="2"/>
  <c r="AL237" i="2"/>
  <c r="AM238" i="2"/>
  <c r="AL238" i="2"/>
  <c r="AL239" i="2"/>
  <c r="AM239" i="2"/>
  <c r="AM240" i="2"/>
  <c r="AL240" i="2"/>
  <c r="AM241" i="2"/>
  <c r="AL241" i="2"/>
  <c r="AL242" i="2"/>
  <c r="AM242" i="2"/>
  <c r="AM243" i="2"/>
  <c r="AL243" i="2"/>
  <c r="AM244" i="2"/>
  <c r="AL244" i="2"/>
  <c r="AM245" i="2"/>
  <c r="AL245" i="2"/>
  <c r="AM246" i="2"/>
  <c r="AL246" i="2"/>
  <c r="AM247" i="2"/>
  <c r="AL247" i="2"/>
  <c r="AL248" i="2"/>
  <c r="AM248" i="2"/>
  <c r="AM249" i="2"/>
  <c r="AL249" i="2"/>
  <c r="AL250" i="2"/>
  <c r="AM250" i="2"/>
  <c r="AM251" i="2"/>
  <c r="AL251" i="2"/>
  <c r="AM252" i="2"/>
  <c r="AL252" i="2"/>
  <c r="AM253" i="2"/>
  <c r="AL253" i="2"/>
  <c r="AM254" i="2"/>
  <c r="AL254" i="2"/>
  <c r="AL255" i="2"/>
  <c r="AM255" i="2"/>
  <c r="AM256" i="2"/>
  <c r="AL256" i="2"/>
  <c r="AL257" i="2"/>
  <c r="AM257" i="2"/>
  <c r="AM258" i="2"/>
  <c r="AL258" i="2"/>
  <c r="AL259" i="2"/>
  <c r="AM259" i="2"/>
  <c r="AM260" i="2"/>
  <c r="AL260" i="2"/>
  <c r="AM261" i="2"/>
  <c r="AL261" i="2"/>
  <c r="AM262" i="2"/>
  <c r="AL262" i="2"/>
  <c r="AM263" i="2"/>
  <c r="AL263" i="2"/>
  <c r="AM264" i="2"/>
  <c r="AL264" i="2"/>
  <c r="AL265" i="2"/>
  <c r="AM265" i="2"/>
  <c r="AM266" i="2"/>
  <c r="AL266" i="2"/>
  <c r="AL267" i="2"/>
  <c r="AM267" i="2"/>
  <c r="AL268" i="2"/>
  <c r="AM268" i="2"/>
  <c r="AM269" i="2"/>
  <c r="AL269" i="2"/>
  <c r="AM270" i="2"/>
  <c r="AL270" i="2"/>
  <c r="AL271" i="2"/>
  <c r="AM271" i="2"/>
  <c r="AL272" i="2"/>
  <c r="AM272" i="2"/>
  <c r="AM273" i="2"/>
  <c r="AL273" i="2"/>
  <c r="AL274" i="2"/>
  <c r="AM274" i="2"/>
  <c r="AM275" i="2"/>
  <c r="AL275" i="2"/>
  <c r="AL276" i="2"/>
  <c r="AM276" i="2"/>
  <c r="AL277" i="2"/>
  <c r="AM277" i="2"/>
  <c r="AM278" i="2"/>
  <c r="AL278" i="2"/>
  <c r="AL279" i="2"/>
  <c r="AM279" i="2"/>
  <c r="AL280" i="2"/>
  <c r="AM280" i="2"/>
  <c r="AM281" i="2"/>
  <c r="AL281" i="2"/>
  <c r="AL282" i="2"/>
  <c r="AM282" i="2"/>
  <c r="AM283" i="2"/>
  <c r="AL283" i="2"/>
  <c r="AL284" i="2"/>
  <c r="AM284" i="2"/>
  <c r="AL285" i="2"/>
  <c r="AM285" i="2"/>
  <c r="AM286" i="2"/>
  <c r="AL286" i="2"/>
  <c r="AL287" i="2"/>
  <c r="AM287" i="2"/>
  <c r="AM288" i="2"/>
  <c r="AL288" i="2"/>
  <c r="AL289" i="2"/>
  <c r="AM289" i="2"/>
  <c r="AL290" i="2"/>
  <c r="AM290" i="2"/>
  <c r="AM291" i="2"/>
  <c r="AL291" i="2"/>
  <c r="AL292" i="2"/>
  <c r="AM292" i="2"/>
  <c r="AM293" i="2"/>
  <c r="AL293" i="2"/>
  <c r="AM294" i="2"/>
  <c r="AL294" i="2"/>
  <c r="AM295" i="2"/>
  <c r="AL295" i="2"/>
  <c r="AM296" i="2"/>
  <c r="AL296" i="2"/>
  <c r="AM297" i="2"/>
  <c r="AL297" i="2"/>
  <c r="AL298" i="2"/>
  <c r="AM298" i="2"/>
  <c r="AM299" i="2"/>
  <c r="AL299" i="2"/>
  <c r="AL300" i="2"/>
  <c r="AM300" i="2"/>
  <c r="AL301" i="2"/>
  <c r="AM301" i="2"/>
  <c r="AM302" i="2"/>
  <c r="AL302" i="2"/>
  <c r="AL303" i="2"/>
  <c r="AM303" i="2"/>
  <c r="AM304" i="2"/>
  <c r="AL304" i="2"/>
  <c r="AL305" i="2"/>
  <c r="AM305" i="2"/>
  <c r="AL306" i="2"/>
  <c r="AM306" i="2"/>
  <c r="AM307" i="2"/>
  <c r="AL307" i="2"/>
  <c r="AM308" i="2"/>
  <c r="AL308" i="2"/>
  <c r="AL309" i="2"/>
  <c r="AM309" i="2"/>
  <c r="AM310" i="2"/>
  <c r="AL310" i="2"/>
  <c r="AM311" i="2"/>
  <c r="AL311" i="2"/>
  <c r="AL312" i="2"/>
  <c r="AM312" i="2"/>
  <c r="AM313" i="2"/>
  <c r="AL313" i="2"/>
  <c r="AL314" i="2"/>
  <c r="AM314" i="2"/>
  <c r="AM315" i="2"/>
  <c r="AL315" i="2"/>
  <c r="AM316" i="2"/>
  <c r="AL316" i="2"/>
  <c r="AM317" i="2"/>
  <c r="AL317" i="2"/>
  <c r="AM318" i="2"/>
  <c r="AL318" i="2"/>
  <c r="AM319" i="2"/>
  <c r="AL319" i="2"/>
  <c r="AM320" i="2"/>
  <c r="AL320" i="2"/>
  <c r="AL321" i="2"/>
  <c r="AM321" i="2"/>
  <c r="AL322" i="2"/>
  <c r="AM322" i="2"/>
  <c r="AL323" i="2"/>
  <c r="AM323" i="2"/>
  <c r="AL324" i="2"/>
  <c r="AM324" i="2"/>
  <c r="AM325" i="2"/>
  <c r="AL325" i="2"/>
  <c r="AM326" i="2"/>
  <c r="AL326" i="2"/>
  <c r="AM327" i="2"/>
  <c r="AL327" i="2"/>
  <c r="AL328" i="2"/>
  <c r="AM328" i="2"/>
  <c r="AL329" i="2"/>
  <c r="AM329" i="2"/>
  <c r="AM330" i="2"/>
  <c r="AL330" i="2"/>
  <c r="AL331" i="2"/>
  <c r="AM331" i="2"/>
  <c r="AM332" i="2"/>
  <c r="AL332" i="2"/>
  <c r="AM333" i="2"/>
  <c r="AL333" i="2"/>
  <c r="AM334" i="2"/>
  <c r="AL334" i="2"/>
  <c r="AM335" i="2"/>
  <c r="AL335" i="2"/>
  <c r="AL336" i="2"/>
  <c r="AM336" i="2"/>
  <c r="AL337" i="2"/>
  <c r="AM337" i="2"/>
  <c r="AL338" i="2"/>
  <c r="AM338" i="2"/>
  <c r="AL339" i="2"/>
  <c r="AM339" i="2"/>
  <c r="AL340" i="2"/>
  <c r="AM340" i="2"/>
  <c r="AL341" i="2"/>
  <c r="AM341" i="2"/>
  <c r="AM342" i="2"/>
  <c r="AL342" i="2"/>
  <c r="AL343" i="2"/>
  <c r="AM343" i="2"/>
  <c r="AL344" i="2"/>
  <c r="AM344" i="2"/>
  <c r="AM345" i="2"/>
  <c r="AL345" i="2"/>
  <c r="AL346" i="2"/>
  <c r="AM346" i="2"/>
  <c r="AM347" i="2"/>
  <c r="AL347" i="2"/>
  <c r="AM348" i="2"/>
  <c r="AL348" i="2"/>
  <c r="AL349" i="2"/>
  <c r="AM349" i="2"/>
  <c r="AM350" i="2"/>
  <c r="AL350" i="2"/>
  <c r="AM351" i="2"/>
  <c r="AL351" i="2"/>
  <c r="AL352" i="2"/>
  <c r="AM352" i="2"/>
  <c r="AL353" i="2"/>
  <c r="AM353" i="2"/>
  <c r="AL354" i="2"/>
  <c r="AM354" i="2"/>
  <c r="AM355" i="2"/>
  <c r="AL355" i="2"/>
  <c r="AL356" i="2"/>
  <c r="AM356" i="2"/>
  <c r="AL357" i="2"/>
  <c r="AM357" i="2"/>
  <c r="AL358" i="2"/>
  <c r="AM358" i="2"/>
  <c r="AM359" i="2"/>
  <c r="AL359" i="2"/>
  <c r="AM360" i="2"/>
  <c r="AL360" i="2"/>
  <c r="AM361" i="2"/>
  <c r="AL361" i="2"/>
  <c r="AM362" i="2"/>
  <c r="AL362" i="2"/>
  <c r="AM363" i="2"/>
  <c r="AL363" i="2"/>
  <c r="AL364" i="2"/>
  <c r="AM364" i="2"/>
  <c r="AM365" i="2"/>
  <c r="AL365" i="2"/>
  <c r="AM366" i="2"/>
  <c r="AL366" i="2"/>
  <c r="AL367" i="2"/>
  <c r="AM367" i="2"/>
  <c r="AL368" i="2"/>
  <c r="AM368" i="2"/>
  <c r="AL369" i="2"/>
  <c r="AM369" i="2"/>
  <c r="AM370" i="2"/>
  <c r="AL370" i="2"/>
  <c r="AL371" i="2"/>
  <c r="AM371" i="2"/>
  <c r="AL372" i="2"/>
  <c r="AM372" i="2"/>
  <c r="AL373" i="2"/>
  <c r="AM373" i="2"/>
  <c r="AM374" i="2"/>
  <c r="AL374" i="2"/>
  <c r="AM375" i="2"/>
  <c r="AL375" i="2"/>
  <c r="AM376" i="2"/>
  <c r="AL376" i="2"/>
  <c r="AM377" i="2"/>
  <c r="AL377" i="2"/>
  <c r="AM378" i="2"/>
  <c r="AL378" i="2"/>
  <c r="AM379" i="2"/>
  <c r="AL379" i="2"/>
  <c r="AL380" i="2"/>
  <c r="AM380" i="2"/>
  <c r="AL381" i="2"/>
  <c r="AM381" i="2"/>
  <c r="AM382" i="2"/>
  <c r="AL382" i="2"/>
  <c r="AL383" i="2"/>
  <c r="AM383" i="2"/>
  <c r="AL384" i="2"/>
  <c r="AM384" i="2"/>
  <c r="AM385" i="2"/>
  <c r="AL385" i="2"/>
  <c r="AM386" i="2"/>
  <c r="AL386" i="2"/>
  <c r="AL387" i="2"/>
  <c r="AM387" i="2"/>
  <c r="AL388" i="2"/>
  <c r="AM388" i="2"/>
  <c r="AL389" i="2"/>
  <c r="AM389" i="2"/>
  <c r="AL390" i="2"/>
  <c r="AM390" i="2"/>
  <c r="AL391" i="2"/>
  <c r="AM391" i="2"/>
  <c r="AL392" i="2"/>
  <c r="AM392" i="2"/>
  <c r="AL393" i="2"/>
  <c r="AM393" i="2"/>
  <c r="AM394" i="2"/>
  <c r="AL394" i="2"/>
  <c r="AL395" i="2"/>
  <c r="AM395" i="2"/>
  <c r="AL396" i="2"/>
  <c r="AM396" i="2"/>
  <c r="AM397" i="2"/>
  <c r="AL397" i="2"/>
  <c r="AL398" i="2"/>
  <c r="AM398" i="2"/>
  <c r="AM399" i="2"/>
  <c r="AL399" i="2"/>
  <c r="AL400" i="2"/>
  <c r="AM400" i="2"/>
  <c r="AL401" i="2"/>
  <c r="AM401" i="2"/>
  <c r="AM402" i="2"/>
  <c r="AL402" i="2"/>
  <c r="AL403" i="2"/>
  <c r="AM403" i="2"/>
  <c r="AL404" i="2"/>
  <c r="AM404" i="2"/>
  <c r="AL405" i="2"/>
  <c r="AM405" i="2"/>
  <c r="AL406" i="2"/>
  <c r="AM406" i="2"/>
  <c r="AM407" i="2"/>
  <c r="AL407" i="2"/>
  <c r="AL408" i="2"/>
  <c r="AM408" i="2"/>
  <c r="AL409" i="2"/>
  <c r="AM409" i="2"/>
  <c r="AL410" i="2"/>
  <c r="AM410" i="2"/>
  <c r="AL411" i="2"/>
  <c r="AM411" i="2"/>
  <c r="AM412" i="2"/>
  <c r="AL412" i="2"/>
  <c r="AL413" i="2"/>
  <c r="AM413" i="2"/>
  <c r="AL414" i="2"/>
  <c r="AM414" i="2"/>
  <c r="AM415" i="2"/>
  <c r="AL415" i="2"/>
  <c r="AL416" i="2"/>
  <c r="AM416" i="2"/>
  <c r="AM417" i="2"/>
  <c r="AL417" i="2"/>
  <c r="AL418" i="2"/>
  <c r="AM418" i="2"/>
  <c r="AL419" i="2"/>
  <c r="AM419" i="2"/>
  <c r="AL420" i="2"/>
  <c r="AM420" i="2"/>
  <c r="AM421" i="2"/>
  <c r="AL421" i="2"/>
  <c r="AL422" i="2"/>
  <c r="AM422" i="2"/>
  <c r="AM423" i="2"/>
  <c r="AL423" i="2"/>
  <c r="AL424" i="2"/>
  <c r="AM424" i="2"/>
  <c r="AL425" i="2"/>
  <c r="AM425" i="2"/>
  <c r="AM426" i="2"/>
  <c r="AL426" i="2"/>
  <c r="AL427" i="2"/>
  <c r="AM427" i="2"/>
  <c r="AM428" i="2"/>
  <c r="AL428" i="2"/>
  <c r="AM429" i="2"/>
  <c r="AL429" i="2"/>
  <c r="AL430" i="2"/>
  <c r="AM430" i="2"/>
  <c r="AL431" i="2"/>
  <c r="AM431" i="2"/>
  <c r="AL432" i="2"/>
  <c r="AM432" i="2"/>
  <c r="AL433" i="2"/>
  <c r="AM433" i="2"/>
  <c r="AL434" i="2"/>
  <c r="AM434" i="2"/>
  <c r="AM435" i="2"/>
  <c r="AL435" i="2"/>
  <c r="AL436" i="2"/>
  <c r="AM436" i="2"/>
  <c r="AL437" i="2"/>
  <c r="AM437" i="2"/>
  <c r="AM438" i="2"/>
  <c r="AL438" i="2"/>
  <c r="AL439" i="2"/>
  <c r="AM439" i="2"/>
  <c r="AM440" i="2"/>
  <c r="AL440" i="2"/>
  <c r="AL441" i="2"/>
  <c r="AM441" i="2"/>
  <c r="AL442" i="2"/>
  <c r="AM442" i="2"/>
  <c r="AL443" i="2"/>
  <c r="AM443" i="2"/>
  <c r="AL444" i="2"/>
  <c r="AM444" i="2"/>
  <c r="AL445" i="2"/>
  <c r="AM445" i="2"/>
  <c r="AL446" i="2"/>
  <c r="AM446" i="2"/>
  <c r="AL447" i="2"/>
  <c r="AM447" i="2"/>
  <c r="AL448" i="2"/>
  <c r="AM448" i="2"/>
  <c r="AL449" i="2"/>
  <c r="AM449" i="2"/>
  <c r="AM450" i="2"/>
  <c r="AL450" i="2"/>
  <c r="AL451" i="2"/>
  <c r="AM451" i="2"/>
  <c r="AM452" i="2"/>
  <c r="AL452" i="2"/>
  <c r="AL453" i="2"/>
  <c r="AM453" i="2"/>
  <c r="AL454" i="2"/>
  <c r="AM454" i="2"/>
  <c r="AL455" i="2"/>
  <c r="AM455" i="2"/>
  <c r="AL456" i="2"/>
  <c r="AM456" i="2"/>
  <c r="AL457" i="2"/>
  <c r="AM457" i="2"/>
  <c r="AM458" i="2"/>
  <c r="AL458" i="2"/>
  <c r="AL459" i="2"/>
  <c r="AM459" i="2"/>
  <c r="AL460" i="2"/>
  <c r="AM460" i="2"/>
  <c r="AL461" i="2"/>
  <c r="AM461" i="2"/>
  <c r="AL462" i="2"/>
  <c r="AM462" i="2"/>
  <c r="AL463" i="2"/>
  <c r="AM463" i="2"/>
  <c r="AL464" i="2"/>
  <c r="AM464" i="2"/>
  <c r="AL465" i="2"/>
  <c r="AM465" i="2"/>
  <c r="AM466" i="2"/>
  <c r="AL466" i="2"/>
  <c r="AL467" i="2"/>
  <c r="AM467" i="2"/>
  <c r="AL468" i="2"/>
  <c r="AM468" i="2"/>
  <c r="AL469" i="2"/>
  <c r="AM469" i="2"/>
  <c r="AL470" i="2"/>
  <c r="AM470" i="2"/>
  <c r="AL471" i="2"/>
  <c r="AM471" i="2"/>
  <c r="AL472" i="2"/>
  <c r="AM472" i="2"/>
  <c r="AL473" i="2"/>
  <c r="AM473" i="2"/>
  <c r="AM474" i="2"/>
  <c r="AL474" i="2"/>
  <c r="AL475" i="2"/>
  <c r="AM475" i="2"/>
  <c r="AL476" i="2"/>
  <c r="AM476" i="2"/>
  <c r="AL477" i="2"/>
  <c r="AM477" i="2"/>
  <c r="AL478" i="2"/>
  <c r="AM478" i="2"/>
  <c r="AM479" i="2"/>
  <c r="AL479" i="2"/>
  <c r="AL480" i="2"/>
  <c r="AM480" i="2"/>
  <c r="AL481" i="2"/>
  <c r="AM481" i="2"/>
  <c r="AM482" i="2"/>
  <c r="AL482" i="2"/>
  <c r="AL483" i="2"/>
  <c r="AM483" i="2"/>
  <c r="AM484" i="2"/>
  <c r="AL484" i="2"/>
  <c r="AM485" i="2"/>
  <c r="AL485" i="2"/>
  <c r="AL486" i="2"/>
  <c r="AM486" i="2"/>
  <c r="AM487" i="2"/>
  <c r="AL487" i="2"/>
  <c r="AM488" i="2"/>
  <c r="AL488" i="2"/>
  <c r="AL489" i="2"/>
  <c r="AM489" i="2"/>
  <c r="AM490" i="2"/>
  <c r="AL490" i="2"/>
  <c r="AM491" i="2"/>
  <c r="AL491" i="2"/>
  <c r="AM492" i="2"/>
  <c r="AL492" i="2"/>
  <c r="AM493" i="2"/>
  <c r="AL493" i="2"/>
  <c r="AL494" i="2"/>
  <c r="AM494" i="2"/>
  <c r="AM495" i="2"/>
  <c r="AL495" i="2"/>
  <c r="AL496" i="2"/>
  <c r="AM496" i="2"/>
  <c r="AL497" i="2"/>
  <c r="AM497" i="2"/>
  <c r="AM498" i="2"/>
  <c r="AL498" i="2"/>
  <c r="AM499" i="2"/>
  <c r="AL499" i="2"/>
  <c r="AM500" i="2"/>
  <c r="AL500" i="2"/>
  <c r="AL501" i="2"/>
  <c r="AM501" i="2"/>
  <c r="AL502" i="2"/>
  <c r="AM502" i="2"/>
  <c r="AM503" i="2"/>
  <c r="AL503" i="2"/>
  <c r="AL504" i="2"/>
  <c r="AM504" i="2"/>
  <c r="AL505" i="2"/>
  <c r="AM505" i="2"/>
  <c r="AM506" i="2"/>
  <c r="AL506" i="2"/>
  <c r="AM507" i="2"/>
  <c r="AL507" i="2"/>
  <c r="AM508" i="2"/>
  <c r="AL508" i="2"/>
  <c r="AM509" i="2"/>
  <c r="AL509" i="2"/>
  <c r="AL510" i="2"/>
  <c r="AM510" i="2"/>
  <c r="AM511" i="2"/>
  <c r="AL511" i="2"/>
  <c r="AL512" i="2"/>
  <c r="AM512" i="2"/>
  <c r="AM513" i="2"/>
  <c r="AL513" i="2"/>
  <c r="AM514" i="2"/>
  <c r="AL514" i="2"/>
  <c r="AL515" i="2"/>
  <c r="AM515" i="2"/>
  <c r="AL516" i="2"/>
  <c r="AM516" i="2"/>
  <c r="AM517" i="2"/>
  <c r="AL517" i="2"/>
  <c r="AL518" i="2"/>
  <c r="AM518" i="2"/>
  <c r="AM519" i="2"/>
  <c r="AL519" i="2"/>
  <c r="AM520" i="2"/>
  <c r="AL520" i="2"/>
  <c r="AL521" i="2"/>
  <c r="AM521" i="2"/>
  <c r="AM522" i="2"/>
  <c r="AL522" i="2"/>
  <c r="AM523" i="2"/>
  <c r="AL523" i="2"/>
  <c r="AL524" i="2"/>
  <c r="AM524" i="2"/>
  <c r="AL525" i="2"/>
  <c r="AM525" i="2"/>
  <c r="AL526" i="2"/>
  <c r="AM526" i="2"/>
  <c r="AM527" i="2"/>
  <c r="AL527" i="2"/>
  <c r="AL528" i="2"/>
  <c r="AM528" i="2"/>
  <c r="AL529" i="2"/>
  <c r="AM529" i="2"/>
  <c r="AM530" i="2"/>
  <c r="AL530" i="2"/>
  <c r="AL531" i="2"/>
  <c r="AM531" i="2"/>
  <c r="AM532" i="2"/>
  <c r="AL532" i="2"/>
  <c r="AL533" i="2"/>
  <c r="AM533" i="2"/>
  <c r="AL534" i="2"/>
  <c r="AM534" i="2"/>
  <c r="AM535" i="2"/>
  <c r="AL535" i="2"/>
  <c r="AM536" i="2"/>
  <c r="AL536" i="2"/>
  <c r="AM537" i="2"/>
  <c r="AL537" i="2"/>
  <c r="AM538" i="2"/>
  <c r="AL538" i="2"/>
  <c r="AM539" i="2"/>
  <c r="AL539" i="2"/>
  <c r="AL540" i="2"/>
  <c r="AM540" i="2"/>
  <c r="AM541" i="2"/>
  <c r="AL541" i="2"/>
  <c r="AM542" i="2"/>
  <c r="AL542" i="2"/>
  <c r="AM543" i="2"/>
  <c r="AL543" i="2"/>
  <c r="AL544" i="2"/>
  <c r="AM544" i="2"/>
  <c r="AL545" i="2"/>
  <c r="AM545" i="2"/>
  <c r="AM546" i="2"/>
  <c r="AL546" i="2"/>
  <c r="AL547" i="2"/>
  <c r="AM547" i="2"/>
  <c r="AM548" i="2"/>
  <c r="AL548" i="2"/>
  <c r="AL549" i="2"/>
  <c r="AM549" i="2"/>
  <c r="AL550" i="2"/>
  <c r="AM550" i="2"/>
  <c r="AM551" i="2"/>
  <c r="AL551" i="2"/>
  <c r="AM552" i="2"/>
  <c r="AL552" i="2"/>
  <c r="AL553" i="2"/>
  <c r="AM553" i="2"/>
  <c r="AM554" i="2"/>
  <c r="AL554" i="2"/>
  <c r="AL555" i="2"/>
  <c r="AM555" i="2"/>
  <c r="AM556" i="2"/>
  <c r="AL556" i="2"/>
  <c r="AL557" i="2"/>
  <c r="AM557" i="2"/>
  <c r="AL558" i="2"/>
  <c r="AM558" i="2"/>
  <c r="AM559" i="2"/>
  <c r="AL559" i="2"/>
  <c r="AL560" i="2"/>
  <c r="AM560" i="2"/>
  <c r="AM561" i="2"/>
  <c r="AL561" i="2"/>
  <c r="AM562" i="2"/>
  <c r="AL562" i="2"/>
  <c r="AM563" i="2"/>
  <c r="AL563" i="2"/>
  <c r="AM564" i="2"/>
  <c r="AL564" i="2"/>
  <c r="AL565" i="2"/>
  <c r="AM565" i="2"/>
  <c r="AL566" i="2"/>
  <c r="AM566" i="2"/>
  <c r="AM567" i="2"/>
  <c r="AL567" i="2"/>
  <c r="AM568" i="2"/>
  <c r="AL568" i="2"/>
  <c r="AL569" i="2"/>
  <c r="AM569" i="2"/>
  <c r="AM570" i="2"/>
  <c r="AL570" i="2"/>
  <c r="AM571" i="2"/>
  <c r="AL571" i="2"/>
  <c r="AM572" i="2"/>
  <c r="AL572" i="2"/>
  <c r="AL573" i="2"/>
  <c r="AM573" i="2"/>
  <c r="AM574" i="2"/>
  <c r="AL574" i="2"/>
  <c r="AM575" i="2"/>
  <c r="AL575" i="2"/>
  <c r="AL576" i="2"/>
  <c r="AM576" i="2"/>
  <c r="AL577" i="2"/>
  <c r="AM577" i="2"/>
  <c r="AM578" i="2"/>
  <c r="AL578" i="2"/>
  <c r="AL579" i="2"/>
  <c r="AM579" i="2"/>
  <c r="AM580" i="2"/>
  <c r="AL580" i="2"/>
  <c r="AM581" i="2"/>
  <c r="AL581" i="2"/>
  <c r="AM582" i="2"/>
  <c r="AL582" i="2"/>
  <c r="AM583" i="2"/>
  <c r="AL583" i="2"/>
  <c r="AM584" i="2"/>
  <c r="AL584" i="2"/>
  <c r="AM585" i="2"/>
  <c r="AL585" i="2"/>
  <c r="AM586" i="2"/>
  <c r="AL586" i="2"/>
  <c r="AM587" i="2"/>
  <c r="AL587" i="2"/>
  <c r="AM588" i="2"/>
  <c r="AL588" i="2"/>
  <c r="AM589" i="2"/>
  <c r="AL589" i="2"/>
  <c r="AL590" i="2"/>
  <c r="AM590" i="2"/>
  <c r="AM591" i="2"/>
  <c r="AL591" i="2"/>
  <c r="AL592" i="2"/>
  <c r="AM592" i="2"/>
  <c r="AL593" i="2"/>
  <c r="AM593" i="2"/>
  <c r="AM594" i="2"/>
  <c r="AL594" i="2"/>
  <c r="AM595" i="2"/>
  <c r="AL595" i="2"/>
  <c r="AM596" i="2"/>
  <c r="AL596" i="2"/>
  <c r="AL597" i="2"/>
  <c r="AM597" i="2"/>
  <c r="AL598" i="2"/>
  <c r="AM598" i="2"/>
  <c r="AM599" i="2"/>
  <c r="AL599" i="2"/>
  <c r="AL600" i="2"/>
  <c r="AM600" i="2"/>
  <c r="AM601" i="2"/>
  <c r="AL601" i="2"/>
  <c r="AM602" i="2"/>
  <c r="AL602" i="2"/>
  <c r="AM603" i="2"/>
  <c r="AL603" i="2"/>
  <c r="AM604" i="2"/>
  <c r="AL604" i="2"/>
  <c r="AL605" i="2"/>
  <c r="AM605" i="2"/>
  <c r="AM606" i="2"/>
  <c r="AL606" i="2"/>
  <c r="AL607" i="2"/>
  <c r="AM607" i="2"/>
  <c r="AL608" i="2"/>
  <c r="AM608" i="2"/>
  <c r="AM609" i="2"/>
  <c r="AL609" i="2"/>
  <c r="AM610" i="2"/>
  <c r="AL610" i="2"/>
  <c r="AL611" i="2"/>
  <c r="AM611" i="2"/>
  <c r="AL612" i="2"/>
  <c r="AM612" i="2"/>
  <c r="AM613" i="2"/>
  <c r="AL613" i="2"/>
  <c r="AL614" i="2"/>
  <c r="AM614" i="2"/>
  <c r="AM615" i="2"/>
  <c r="AL615" i="2"/>
  <c r="AM616" i="2"/>
  <c r="AL616" i="2"/>
  <c r="AM617" i="2"/>
  <c r="AL617" i="2"/>
  <c r="AM618" i="2"/>
  <c r="AL618" i="2"/>
  <c r="AL619" i="2"/>
  <c r="AM619" i="2"/>
  <c r="AL620" i="2"/>
  <c r="AM620" i="2"/>
  <c r="AM621" i="2"/>
  <c r="AL621" i="2"/>
  <c r="AL622" i="2"/>
  <c r="AM622" i="2"/>
  <c r="AM623" i="2"/>
  <c r="AL623" i="2"/>
  <c r="AL624" i="2"/>
  <c r="AM624" i="2"/>
  <c r="AM625" i="2"/>
  <c r="AL625" i="2"/>
  <c r="AM626" i="2"/>
  <c r="AL626" i="2"/>
  <c r="AM627" i="2"/>
  <c r="AL627" i="2"/>
  <c r="AL628" i="2"/>
  <c r="AM628" i="2"/>
  <c r="AL629" i="2"/>
  <c r="AM629" i="2"/>
  <c r="AL630" i="2"/>
  <c r="AM630" i="2"/>
  <c r="AM631" i="2"/>
  <c r="AL631" i="2"/>
  <c r="AM632" i="2"/>
  <c r="AL632" i="2"/>
  <c r="AL633" i="2"/>
  <c r="AM633" i="2"/>
  <c r="AM634" i="2"/>
  <c r="AL634" i="2"/>
  <c r="AL635" i="2"/>
  <c r="AM635" i="2"/>
  <c r="AM636" i="2"/>
  <c r="AL636" i="2"/>
  <c r="AM637" i="2"/>
  <c r="AL637" i="2"/>
  <c r="AL638" i="2"/>
  <c r="AM638" i="2"/>
  <c r="AL639" i="2"/>
  <c r="AM639" i="2"/>
  <c r="AM640" i="2"/>
  <c r="AL640" i="2"/>
  <c r="AM641" i="2"/>
  <c r="AL641" i="2"/>
  <c r="AM642" i="2"/>
  <c r="AL642" i="2"/>
  <c r="AM643" i="2"/>
  <c r="AL643" i="2"/>
  <c r="AM644" i="2"/>
  <c r="AL644" i="2"/>
  <c r="AM645" i="2"/>
  <c r="AL645" i="2"/>
  <c r="AM646" i="2"/>
  <c r="AL646" i="2"/>
  <c r="AM647" i="2"/>
  <c r="AL647" i="2"/>
  <c r="AM648" i="2"/>
  <c r="AL648" i="2"/>
  <c r="AM649" i="2"/>
  <c r="AL649" i="2"/>
  <c r="AM650" i="2"/>
  <c r="AL650" i="2"/>
  <c r="AL651" i="2"/>
  <c r="AM651" i="2"/>
  <c r="AM652" i="2"/>
  <c r="AL652" i="2"/>
  <c r="AL653" i="2"/>
  <c r="AM653" i="2"/>
  <c r="AL654" i="2"/>
  <c r="AM654" i="2"/>
  <c r="AM655" i="2"/>
  <c r="AL655" i="2"/>
  <c r="AM656" i="2"/>
  <c r="AL656" i="2"/>
  <c r="AL657" i="2"/>
  <c r="AM657" i="2"/>
  <c r="AL658" i="2"/>
  <c r="AM658" i="2"/>
  <c r="AL659" i="2"/>
  <c r="AM659" i="2"/>
  <c r="AL660" i="2"/>
  <c r="AM660" i="2"/>
  <c r="AM661" i="2"/>
  <c r="AL661" i="2"/>
  <c r="AL662" i="2"/>
  <c r="AM662" i="2"/>
  <c r="AM663" i="2"/>
  <c r="AL663" i="2"/>
  <c r="AL664" i="2"/>
  <c r="AM664" i="2"/>
  <c r="AM665" i="2"/>
  <c r="AL665" i="2"/>
  <c r="AL666" i="2"/>
  <c r="AM666" i="2"/>
  <c r="AL667" i="2"/>
  <c r="AM667" i="2"/>
  <c r="AM668" i="2"/>
  <c r="AL668" i="2"/>
  <c r="AL669" i="2"/>
  <c r="AM669" i="2"/>
  <c r="AM670" i="2"/>
  <c r="AL670" i="2"/>
  <c r="AL671" i="2"/>
  <c r="AM671" i="2"/>
  <c r="AL672" i="2"/>
  <c r="AM672" i="2"/>
  <c r="AM673" i="2"/>
  <c r="AL673" i="2"/>
  <c r="AL674" i="2"/>
  <c r="AM674" i="2"/>
  <c r="AM675" i="2"/>
  <c r="AL675" i="2"/>
  <c r="AM676" i="2"/>
  <c r="AL676" i="2"/>
  <c r="AL677" i="2"/>
  <c r="AM677" i="2"/>
  <c r="AL678" i="2"/>
  <c r="AM678" i="2"/>
  <c r="AM679" i="2"/>
  <c r="AL679" i="2"/>
  <c r="AM680" i="2"/>
  <c r="AL680" i="2"/>
  <c r="AL681" i="2"/>
  <c r="AM681" i="2"/>
  <c r="AL682" i="2"/>
  <c r="AM682" i="2"/>
  <c r="AM683" i="2"/>
  <c r="AL683" i="2"/>
  <c r="AL684" i="2"/>
  <c r="AM684" i="2"/>
  <c r="AL685" i="2"/>
  <c r="AM685" i="2"/>
  <c r="AL686" i="2"/>
  <c r="AM686" i="2"/>
  <c r="AM687" i="2"/>
  <c r="AL687" i="2"/>
  <c r="AL688" i="2"/>
  <c r="AM688" i="2"/>
  <c r="AL689" i="2"/>
  <c r="AM689" i="2"/>
  <c r="AL690" i="2"/>
  <c r="AM690" i="2"/>
  <c r="AL691" i="2"/>
  <c r="AM691" i="2"/>
  <c r="AL692" i="2"/>
  <c r="AM692" i="2"/>
  <c r="AL693" i="2"/>
  <c r="AM693" i="2"/>
  <c r="AM694" i="2"/>
  <c r="AL694" i="2"/>
  <c r="AM695" i="2"/>
  <c r="AL695" i="2"/>
  <c r="AL696" i="2"/>
  <c r="AM696" i="2"/>
  <c r="AL697" i="2"/>
  <c r="AM697" i="2"/>
  <c r="AM698" i="2"/>
  <c r="AL698" i="2"/>
  <c r="AL699" i="2"/>
  <c r="AM699" i="2"/>
  <c r="AL700" i="2"/>
  <c r="AM700" i="2"/>
  <c r="AM701" i="2"/>
  <c r="AL701" i="2"/>
  <c r="AL702" i="2"/>
  <c r="AM702" i="2"/>
  <c r="AM703" i="2"/>
  <c r="AL703" i="2"/>
  <c r="AL704" i="2"/>
  <c r="AM704" i="2"/>
  <c r="AL705" i="2"/>
  <c r="AM705" i="2"/>
  <c r="AL706" i="2"/>
  <c r="AM706" i="2"/>
  <c r="AL707" i="2"/>
  <c r="AM707" i="2"/>
  <c r="AM708" i="2"/>
  <c r="AL708" i="2"/>
  <c r="AL709" i="2"/>
  <c r="AM709" i="2"/>
  <c r="AM710" i="2"/>
  <c r="AL710" i="2"/>
  <c r="AL711" i="2"/>
  <c r="AM711" i="2"/>
  <c r="AM712" i="2"/>
  <c r="AL712" i="2"/>
  <c r="AL713" i="2"/>
  <c r="AM713" i="2"/>
  <c r="AL714" i="2"/>
  <c r="AM714" i="2"/>
  <c r="AL715" i="2"/>
  <c r="AM715" i="2"/>
  <c r="AM716" i="2"/>
  <c r="AL716" i="2"/>
  <c r="AM717" i="2"/>
  <c r="AL717" i="2"/>
  <c r="AM718" i="2"/>
  <c r="AL718" i="2"/>
  <c r="AM719" i="2"/>
  <c r="AL719" i="2"/>
  <c r="AM720" i="2"/>
  <c r="AL720" i="2"/>
  <c r="AM721" i="2"/>
  <c r="AL721" i="2"/>
  <c r="AL722" i="2"/>
  <c r="AM722" i="2"/>
  <c r="AL723" i="2"/>
  <c r="AM723" i="2"/>
  <c r="AL724" i="2"/>
  <c r="AM724" i="2"/>
  <c r="AL725" i="2"/>
  <c r="AM725" i="2"/>
  <c r="AM726" i="2"/>
  <c r="AL726" i="2"/>
  <c r="AL727" i="2"/>
  <c r="AM727" i="2"/>
  <c r="AL728" i="2"/>
  <c r="AM728" i="2"/>
  <c r="AL729" i="2"/>
  <c r="AM729" i="2"/>
  <c r="AL730" i="2"/>
  <c r="AM730" i="2"/>
  <c r="AM731" i="2"/>
  <c r="AL731" i="2"/>
  <c r="AM732" i="2"/>
  <c r="AL732" i="2"/>
  <c r="AL733" i="2"/>
  <c r="AM733" i="2"/>
  <c r="AL734" i="2"/>
  <c r="AM734" i="2"/>
  <c r="AM735" i="2"/>
  <c r="AL735" i="2"/>
  <c r="AM736" i="2"/>
  <c r="AL736" i="2"/>
  <c r="AL737" i="2"/>
  <c r="AM737" i="2"/>
  <c r="AL738" i="2"/>
  <c r="AM738" i="2"/>
  <c r="AL739" i="2"/>
  <c r="AM739" i="2"/>
  <c r="AM740" i="2"/>
  <c r="AL740" i="2"/>
  <c r="AM741" i="2"/>
  <c r="AL741" i="2"/>
  <c r="AM742" i="2"/>
  <c r="AL742" i="2"/>
  <c r="AL743" i="2"/>
  <c r="AM743" i="2"/>
  <c r="AL744" i="2"/>
  <c r="AM744" i="2"/>
  <c r="AL745" i="2"/>
  <c r="AM745" i="2"/>
  <c r="AL746" i="2"/>
  <c r="AM746" i="2"/>
  <c r="AL747" i="2"/>
  <c r="AM747" i="2"/>
  <c r="AM748" i="2"/>
  <c r="AL748" i="2"/>
  <c r="AL749" i="2"/>
  <c r="AM749" i="2"/>
  <c r="AM750" i="2"/>
  <c r="AL750" i="2"/>
  <c r="AL751" i="2"/>
  <c r="AM751" i="2"/>
  <c r="AL752" i="2"/>
  <c r="AM752" i="2"/>
  <c r="AM753" i="2"/>
  <c r="AL753" i="2"/>
  <c r="AL754" i="2"/>
  <c r="AM754" i="2"/>
  <c r="AM755" i="2"/>
  <c r="AL755" i="2"/>
  <c r="AM756" i="2"/>
  <c r="AL756" i="2"/>
  <c r="AL757" i="2"/>
  <c r="AM757" i="2"/>
  <c r="AM758" i="2"/>
  <c r="AL758" i="2"/>
  <c r="AL759" i="2"/>
  <c r="AM759" i="2"/>
  <c r="AL760" i="2"/>
  <c r="AM760" i="2"/>
  <c r="AL761" i="2"/>
  <c r="AM761" i="2"/>
  <c r="AL762" i="2"/>
  <c r="AM762" i="2"/>
  <c r="AL763" i="2"/>
  <c r="AM763" i="2"/>
  <c r="AM764" i="2"/>
  <c r="AL764" i="2"/>
  <c r="AM765" i="2"/>
  <c r="AL765" i="2"/>
  <c r="AM766" i="2"/>
  <c r="AL766" i="2"/>
  <c r="AM767" i="2"/>
  <c r="AL767" i="2"/>
  <c r="AL768" i="2"/>
  <c r="AM768" i="2"/>
  <c r="AM769" i="2"/>
  <c r="AL769" i="2"/>
  <c r="AL770" i="2"/>
  <c r="AM770" i="2"/>
  <c r="AM771" i="2"/>
  <c r="AL771" i="2"/>
  <c r="AL772" i="2"/>
  <c r="AM772" i="2"/>
  <c r="AL773" i="2"/>
  <c r="AM773" i="2"/>
  <c r="AL774" i="2"/>
  <c r="AM774" i="2"/>
  <c r="AL775" i="2"/>
  <c r="AM775" i="2"/>
  <c r="AM776" i="2"/>
  <c r="AL776" i="2"/>
  <c r="AM777" i="2"/>
  <c r="AL777" i="2"/>
  <c r="AM778" i="2"/>
  <c r="AL778" i="2"/>
  <c r="AM779" i="2"/>
  <c r="AL779" i="2"/>
  <c r="AM780" i="2"/>
  <c r="AL780" i="2"/>
  <c r="AL781" i="2"/>
  <c r="AM781" i="2"/>
  <c r="AM782" i="2"/>
  <c r="AL782" i="2"/>
  <c r="AL783" i="2"/>
  <c r="AM783" i="2"/>
  <c r="AL784" i="2"/>
  <c r="AM784" i="2"/>
  <c r="AL785" i="2"/>
  <c r="AM785" i="2"/>
  <c r="AL786" i="2"/>
  <c r="AM786" i="2"/>
  <c r="AM787" i="2"/>
  <c r="AL787" i="2"/>
  <c r="AM788" i="2"/>
  <c r="AL788" i="2"/>
  <c r="AM789" i="2"/>
  <c r="AL789" i="2"/>
  <c r="AM790" i="2"/>
  <c r="AL790" i="2"/>
  <c r="AL791" i="2"/>
  <c r="AM791" i="2"/>
  <c r="AM792" i="2"/>
  <c r="AL792" i="2"/>
  <c r="AL793" i="2"/>
  <c r="AM793" i="2"/>
  <c r="AL794" i="2"/>
  <c r="AM794" i="2"/>
  <c r="AL795" i="2"/>
  <c r="AM795" i="2"/>
  <c r="AL796" i="2"/>
  <c r="AM796" i="2"/>
  <c r="AM797" i="2"/>
  <c r="AL797" i="2"/>
  <c r="AM798" i="2"/>
  <c r="AL798" i="2"/>
  <c r="AM799" i="2"/>
  <c r="AL799" i="2"/>
  <c r="AM800" i="2"/>
  <c r="AL800" i="2"/>
  <c r="AM801" i="2"/>
  <c r="AL801" i="2"/>
  <c r="AL802" i="2"/>
  <c r="AM802" i="2"/>
  <c r="AM803" i="2"/>
  <c r="AL803" i="2"/>
  <c r="AL804" i="2"/>
  <c r="AM804" i="2"/>
  <c r="AL805" i="2"/>
  <c r="AM805" i="2"/>
  <c r="AM806" i="2"/>
  <c r="AL806" i="2"/>
  <c r="AL807" i="2"/>
  <c r="AM807" i="2"/>
  <c r="AL808" i="2"/>
  <c r="AM808" i="2"/>
  <c r="AM809" i="2"/>
  <c r="AL809" i="2"/>
  <c r="AL810" i="2"/>
  <c r="AM810" i="2"/>
  <c r="AM811" i="2"/>
  <c r="AL811" i="2"/>
  <c r="AM812" i="2"/>
  <c r="AL812" i="2"/>
  <c r="AM813" i="2"/>
  <c r="AL813" i="2"/>
  <c r="AL814" i="2"/>
  <c r="AM814" i="2"/>
  <c r="AL815" i="2"/>
  <c r="AM815" i="2"/>
  <c r="AM816" i="2"/>
  <c r="AL816" i="2"/>
  <c r="AL817" i="2"/>
  <c r="AM817" i="2"/>
  <c r="AL818" i="2"/>
  <c r="AM818" i="2"/>
  <c r="AL819" i="2"/>
  <c r="AM819" i="2"/>
  <c r="AL820" i="2"/>
  <c r="AM820" i="2"/>
  <c r="AL821" i="2"/>
  <c r="AM821" i="2"/>
  <c r="AM822" i="2"/>
  <c r="AL822" i="2"/>
  <c r="AL823" i="2"/>
  <c r="AM823" i="2"/>
  <c r="AL824" i="2"/>
  <c r="AM824" i="2"/>
  <c r="AL825" i="2"/>
  <c r="AM825" i="2"/>
  <c r="AM826" i="2"/>
  <c r="AL826" i="2"/>
  <c r="AL827" i="2"/>
  <c r="AM827" i="2"/>
  <c r="AL828" i="2"/>
  <c r="AM828" i="2"/>
  <c r="AL829" i="2"/>
  <c r="AM829" i="2"/>
  <c r="AL830" i="2"/>
  <c r="AM830" i="2"/>
  <c r="AM831" i="2"/>
  <c r="AL831" i="2"/>
  <c r="AL832" i="2"/>
  <c r="AM832" i="2"/>
  <c r="AL833" i="2"/>
  <c r="AM833" i="2"/>
  <c r="AL834" i="2"/>
  <c r="AM834" i="2"/>
  <c r="AL835" i="2"/>
  <c r="AM835" i="2"/>
  <c r="AM836" i="2"/>
  <c r="AL836" i="2"/>
  <c r="AM837" i="2"/>
  <c r="AL837" i="2"/>
  <c r="AM838" i="2"/>
  <c r="AL838" i="2"/>
  <c r="AL839" i="2"/>
  <c r="AM839" i="2"/>
  <c r="AM840" i="2"/>
  <c r="AL840" i="2"/>
  <c r="AM841" i="2"/>
  <c r="AL841" i="2"/>
  <c r="AL842" i="2"/>
  <c r="AM842" i="2"/>
  <c r="AL843" i="2"/>
  <c r="AM843" i="2"/>
  <c r="AM844" i="2"/>
  <c r="AL844" i="2"/>
  <c r="AL845" i="2"/>
  <c r="AM845" i="2"/>
  <c r="AM846" i="2"/>
  <c r="AL846" i="2"/>
  <c r="AL847" i="2"/>
  <c r="AM847" i="2"/>
  <c r="AL848" i="2"/>
  <c r="AM848" i="2"/>
  <c r="AM849" i="2"/>
  <c r="AL849" i="2"/>
  <c r="AL850" i="2"/>
  <c r="AM850" i="2"/>
  <c r="AM851" i="2"/>
  <c r="AL851" i="2"/>
  <c r="AL852" i="2"/>
  <c r="AM852" i="2"/>
  <c r="AL853" i="2"/>
  <c r="AM853" i="2"/>
  <c r="AM854" i="2"/>
  <c r="AL854" i="2"/>
  <c r="AL855" i="2"/>
  <c r="AM855" i="2"/>
  <c r="AL856" i="2"/>
  <c r="AM856" i="2"/>
  <c r="AL857" i="2"/>
  <c r="AM857" i="2"/>
  <c r="AM858" i="2"/>
  <c r="AL858" i="2"/>
  <c r="AL859" i="2"/>
  <c r="AM859" i="2"/>
  <c r="AM860" i="2"/>
  <c r="AL860" i="2"/>
  <c r="AL861" i="2"/>
  <c r="AM861" i="2"/>
  <c r="AM862" i="2"/>
  <c r="AL862" i="2"/>
  <c r="AM863" i="2"/>
  <c r="AL863" i="2"/>
  <c r="AM864" i="2"/>
  <c r="AL864" i="2"/>
  <c r="AM865" i="2"/>
  <c r="AL865" i="2"/>
  <c r="AM866" i="2"/>
  <c r="AL866" i="2"/>
  <c r="AL867" i="2"/>
  <c r="AM867" i="2"/>
  <c r="AM868" i="2"/>
  <c r="AL868" i="2"/>
  <c r="AM869" i="2"/>
  <c r="AL869" i="2"/>
  <c r="AM870" i="2"/>
  <c r="AL870" i="2"/>
  <c r="AL871" i="2"/>
  <c r="AM871" i="2"/>
  <c r="AL872" i="2"/>
  <c r="AM872" i="2"/>
  <c r="AL873" i="2"/>
  <c r="AM873" i="2"/>
  <c r="AL874" i="2"/>
  <c r="AM874" i="2"/>
  <c r="AM875" i="2"/>
  <c r="AL875" i="2"/>
  <c r="AM876" i="2"/>
  <c r="AL876" i="2"/>
  <c r="AL877" i="2"/>
  <c r="AM877" i="2"/>
  <c r="AL878" i="2"/>
  <c r="AM878" i="2"/>
  <c r="AL879" i="2"/>
  <c r="AM879" i="2"/>
  <c r="AL880" i="2"/>
  <c r="AM880" i="2"/>
  <c r="AL881" i="2"/>
  <c r="AM881" i="2"/>
  <c r="AL882" i="2"/>
  <c r="AM882" i="2"/>
  <c r="AM883" i="2"/>
  <c r="AL883" i="2"/>
  <c r="AL884" i="2"/>
  <c r="AM884" i="2"/>
  <c r="AL885" i="2"/>
  <c r="AM885" i="2"/>
  <c r="AM886" i="2"/>
  <c r="AL886" i="2"/>
  <c r="AL887" i="2"/>
  <c r="AM887" i="2"/>
  <c r="AL888" i="2"/>
  <c r="AM888" i="2"/>
  <c r="AM889" i="2"/>
  <c r="AL889" i="2"/>
  <c r="AM890" i="2"/>
  <c r="AL890" i="2"/>
  <c r="AM891" i="2"/>
  <c r="AL891" i="2"/>
  <c r="AM892" i="2"/>
  <c r="AL892" i="2"/>
  <c r="AL893" i="2"/>
  <c r="AM893" i="2"/>
  <c r="AM894" i="2"/>
  <c r="AL894" i="2"/>
  <c r="AM895" i="2"/>
  <c r="AL895" i="2"/>
  <c r="AM896" i="2"/>
  <c r="AL896" i="2"/>
  <c r="AL897" i="2"/>
  <c r="AM897" i="2"/>
  <c r="AL898" i="2"/>
  <c r="AM898" i="2"/>
  <c r="AL899" i="2"/>
  <c r="AM899" i="2"/>
  <c r="AL900" i="2"/>
  <c r="AM900" i="2"/>
  <c r="AM901" i="2"/>
  <c r="AL901" i="2"/>
  <c r="AM902" i="2"/>
  <c r="AL902" i="2"/>
  <c r="AL903" i="2"/>
  <c r="AM903" i="2"/>
  <c r="AM904" i="2"/>
  <c r="AL904" i="2"/>
  <c r="AM905" i="2"/>
  <c r="AL905" i="2"/>
  <c r="AM906" i="2"/>
  <c r="AL906" i="2"/>
  <c r="AM907" i="2"/>
  <c r="AL907" i="2"/>
  <c r="AM908" i="2"/>
  <c r="AL908" i="2"/>
  <c r="AM909" i="2"/>
  <c r="AL909" i="2"/>
  <c r="AL910" i="2"/>
  <c r="AM910" i="2"/>
  <c r="AL911" i="2"/>
  <c r="AM911" i="2"/>
  <c r="AL912" i="2"/>
  <c r="AM912" i="2"/>
  <c r="AM913" i="2"/>
  <c r="AL913" i="2"/>
  <c r="AL914" i="2"/>
  <c r="AM914" i="2"/>
  <c r="AL915" i="2"/>
  <c r="AM915" i="2"/>
  <c r="AM916" i="2"/>
  <c r="AL916" i="2"/>
  <c r="AM917" i="2"/>
  <c r="AL917" i="2"/>
  <c r="AM918" i="2"/>
  <c r="AL918" i="2"/>
  <c r="AL919" i="2"/>
  <c r="AM919" i="2"/>
  <c r="AL920" i="2"/>
  <c r="AM920" i="2"/>
  <c r="AL921" i="2"/>
  <c r="AM921" i="2"/>
  <c r="AL922" i="2"/>
  <c r="AM922" i="2"/>
  <c r="AL923" i="2"/>
  <c r="AM923" i="2"/>
  <c r="AM924" i="2"/>
  <c r="AL924" i="2"/>
  <c r="AM925" i="2"/>
  <c r="AL925" i="2"/>
  <c r="AL926" i="2"/>
  <c r="AM926" i="2"/>
  <c r="AM927" i="2"/>
  <c r="AL927" i="2"/>
  <c r="AM928" i="2"/>
  <c r="AL928" i="2"/>
  <c r="AL929" i="2"/>
  <c r="AM929" i="2"/>
  <c r="AM930" i="2"/>
  <c r="AL930" i="2"/>
  <c r="AM931" i="2"/>
  <c r="AL931" i="2"/>
  <c r="AL932" i="2"/>
  <c r="AM932" i="2"/>
  <c r="AL933" i="2"/>
  <c r="AM933" i="2"/>
  <c r="AM934" i="2"/>
  <c r="AL934" i="2"/>
  <c r="AL935" i="2"/>
  <c r="AM935" i="2"/>
  <c r="AM936" i="2"/>
  <c r="AL936" i="2"/>
  <c r="AL937" i="2"/>
  <c r="AM937" i="2"/>
  <c r="AM938" i="2"/>
  <c r="AL938" i="2"/>
  <c r="AL939" i="2"/>
  <c r="AM939" i="2"/>
  <c r="AM940" i="2"/>
  <c r="AL940" i="2"/>
  <c r="AM941" i="2"/>
  <c r="AL941" i="2"/>
  <c r="AM942" i="2"/>
  <c r="AL942" i="2"/>
  <c r="AL943" i="2"/>
  <c r="AM943" i="2"/>
  <c r="AM944" i="2"/>
  <c r="AL944" i="2"/>
  <c r="AM945" i="2"/>
  <c r="AL945" i="2"/>
  <c r="AL946" i="2"/>
  <c r="AM946" i="2"/>
  <c r="AL947" i="2"/>
  <c r="AM947" i="2"/>
  <c r="AM948" i="2"/>
  <c r="AL948" i="2"/>
  <c r="AL949" i="2"/>
  <c r="AM949" i="2"/>
  <c r="AM950" i="2"/>
  <c r="AL950" i="2"/>
  <c r="AL951" i="2"/>
  <c r="AM951" i="2"/>
  <c r="AM952" i="2"/>
  <c r="AL952" i="2"/>
  <c r="AL953" i="2"/>
  <c r="AM953" i="2"/>
  <c r="AM954" i="2"/>
  <c r="AL954" i="2"/>
  <c r="AL955" i="2"/>
  <c r="AM955" i="2"/>
  <c r="AL956" i="2"/>
  <c r="AM956" i="2"/>
  <c r="AM957" i="2"/>
  <c r="AL957" i="2"/>
  <c r="AM958" i="2"/>
  <c r="AL958" i="2"/>
  <c r="AM959" i="2"/>
  <c r="AL959" i="2"/>
  <c r="AL960" i="2"/>
  <c r="AM960" i="2"/>
  <c r="AL961" i="2"/>
  <c r="AM961" i="2"/>
  <c r="AM962" i="2"/>
  <c r="AL962" i="2"/>
  <c r="AL963" i="2"/>
  <c r="AM963" i="2"/>
  <c r="AL964" i="2"/>
  <c r="AM964" i="2"/>
  <c r="AL965" i="2"/>
  <c r="AM965" i="2"/>
  <c r="AM966" i="2"/>
  <c r="AL966" i="2"/>
  <c r="AL967" i="2"/>
  <c r="AM967" i="2"/>
  <c r="AM968" i="2"/>
  <c r="AL968" i="2"/>
  <c r="AL969" i="2"/>
  <c r="AM969" i="2"/>
  <c r="AL970" i="2"/>
  <c r="AM970" i="2"/>
  <c r="AL971" i="2"/>
  <c r="AM971" i="2"/>
  <c r="AM972" i="2"/>
  <c r="AL972" i="2"/>
  <c r="AL973" i="2"/>
  <c r="AM973" i="2"/>
  <c r="AM974" i="2"/>
  <c r="AL974" i="2"/>
  <c r="AL975" i="2"/>
  <c r="AM975" i="2"/>
  <c r="AL976" i="2"/>
  <c r="AM976" i="2"/>
  <c r="AM977" i="2"/>
  <c r="AL977" i="2"/>
  <c r="AM978" i="2"/>
  <c r="AL978" i="2"/>
  <c r="AM979" i="2"/>
  <c r="AL979" i="2"/>
  <c r="AL980" i="2"/>
  <c r="AM980" i="2"/>
  <c r="AM981" i="2"/>
  <c r="AL981" i="2"/>
  <c r="AM982" i="2"/>
  <c r="AL982" i="2"/>
  <c r="AL983" i="2"/>
  <c r="AM983" i="2"/>
  <c r="AM984" i="2"/>
  <c r="AL984" i="2"/>
  <c r="AL985" i="2"/>
  <c r="AM985" i="2"/>
  <c r="AM986" i="2"/>
  <c r="AL986" i="2"/>
  <c r="AM987" i="2"/>
  <c r="AL987" i="2"/>
  <c r="AL988" i="2"/>
  <c r="AM988" i="2"/>
  <c r="AL989" i="2"/>
  <c r="AM989" i="2"/>
  <c r="AL990" i="2"/>
  <c r="AM990" i="2"/>
  <c r="AM991" i="2"/>
  <c r="AL991" i="2"/>
  <c r="AM992" i="2"/>
  <c r="AL992" i="2"/>
  <c r="AM993" i="2"/>
  <c r="AL993" i="2"/>
  <c r="AL994" i="2"/>
  <c r="AM994" i="2"/>
  <c r="AM995" i="2"/>
  <c r="AL995" i="2"/>
  <c r="AM996" i="2"/>
  <c r="AL996" i="2"/>
  <c r="AL997" i="2"/>
  <c r="AM997" i="2"/>
  <c r="AM998" i="2"/>
  <c r="AL998" i="2"/>
  <c r="AL999" i="2"/>
  <c r="AM999" i="2"/>
  <c r="AM1000" i="2"/>
  <c r="AL1000" i="2"/>
  <c r="AL1001" i="2"/>
  <c r="AM1001" i="2"/>
  <c r="AL1002" i="2"/>
  <c r="AM1002" i="2"/>
  <c r="AL1003" i="2"/>
  <c r="AM1003" i="2"/>
  <c r="AM1004" i="2"/>
  <c r="AL1004" i="2"/>
  <c r="AM1005" i="2"/>
  <c r="AL1005" i="2"/>
  <c r="AM1006" i="2"/>
  <c r="AL1006" i="2"/>
  <c r="AL1007" i="2"/>
  <c r="AM1007" i="2"/>
  <c r="AL1008" i="2"/>
  <c r="AM1008" i="2"/>
  <c r="AM1009" i="2"/>
  <c r="AL1009" i="2"/>
  <c r="AM1010" i="2"/>
  <c r="AL1010" i="2"/>
  <c r="AM1011" i="2"/>
  <c r="AL1011" i="2"/>
  <c r="AL1012" i="2"/>
  <c r="AM1012" i="2"/>
  <c r="AM1013" i="2"/>
  <c r="AL1013" i="2"/>
  <c r="AM1014" i="2"/>
  <c r="AL1014" i="2"/>
  <c r="AL1015" i="2"/>
  <c r="AM1015" i="2"/>
  <c r="AL1016" i="2"/>
  <c r="AM1016" i="2"/>
  <c r="AL1017" i="2"/>
  <c r="AM1017" i="2"/>
  <c r="AM1018" i="2"/>
  <c r="AL1018" i="2"/>
  <c r="AM1019" i="2"/>
  <c r="AL1019" i="2"/>
  <c r="AM1020" i="2"/>
  <c r="AL1020" i="2"/>
  <c r="AL1021" i="2"/>
  <c r="AM1021" i="2"/>
  <c r="AM1022" i="2"/>
  <c r="AL1022" i="2"/>
  <c r="AM1023" i="2"/>
  <c r="AL1023" i="2"/>
  <c r="AL1024" i="2"/>
  <c r="AM1024" i="2"/>
  <c r="AM1025" i="2"/>
  <c r="AL1025" i="2"/>
  <c r="AL1026" i="2"/>
  <c r="AM1026" i="2"/>
  <c r="AL1027" i="2"/>
  <c r="AM1027" i="2"/>
  <c r="AM1028" i="2"/>
  <c r="AL1028" i="2"/>
  <c r="AM1029" i="2"/>
  <c r="AL1029" i="2"/>
  <c r="AM1030" i="2"/>
  <c r="AL1030" i="2"/>
  <c r="AL1031" i="2"/>
  <c r="AM1031" i="2"/>
  <c r="AM1032" i="2"/>
  <c r="AL1032" i="2"/>
  <c r="AL1033" i="2"/>
  <c r="AM1033" i="2"/>
  <c r="AL1034" i="2"/>
  <c r="AM1034" i="2"/>
  <c r="AM1035" i="2"/>
  <c r="AL1035" i="2"/>
  <c r="AM1036" i="2"/>
  <c r="AL1036" i="2"/>
  <c r="AM1037" i="2"/>
  <c r="AL1037" i="2"/>
  <c r="AM1038" i="2"/>
  <c r="AL1038" i="2"/>
  <c r="AL1039" i="2"/>
  <c r="AM1039" i="2"/>
  <c r="AL1040" i="2"/>
  <c r="AM1040" i="2"/>
  <c r="AM1041" i="2"/>
  <c r="AL1041" i="2"/>
  <c r="AM1042" i="2"/>
  <c r="AL1042" i="2"/>
  <c r="AL1043" i="2"/>
  <c r="AM1043" i="2"/>
  <c r="AM1044" i="2"/>
  <c r="AL1044" i="2"/>
  <c r="AM1045" i="2"/>
  <c r="AL1045" i="2"/>
  <c r="AM1046" i="2"/>
  <c r="AL1046" i="2"/>
  <c r="AL1047" i="2"/>
  <c r="AM1047" i="2"/>
  <c r="AM1048" i="2"/>
  <c r="AL1048" i="2"/>
  <c r="AL1049" i="2"/>
  <c r="AM1049" i="2"/>
  <c r="AL1050" i="2"/>
  <c r="AM1050" i="2"/>
  <c r="AM1051" i="2"/>
  <c r="AL1051" i="2"/>
  <c r="AM1052" i="2"/>
  <c r="AL1052" i="2"/>
  <c r="AM1053" i="2"/>
  <c r="AL1053" i="2"/>
  <c r="AL1054" i="2"/>
  <c r="AM1054" i="2"/>
  <c r="AM1055" i="2"/>
  <c r="AL1055" i="2"/>
  <c r="AM1056" i="2"/>
  <c r="AL1056" i="2"/>
  <c r="AM1057" i="2"/>
  <c r="AL1057" i="2"/>
  <c r="AL1058" i="2"/>
  <c r="AM1058" i="2"/>
  <c r="AM1059" i="2"/>
  <c r="AL1059" i="2"/>
  <c r="AL1060" i="2"/>
  <c r="AM1060" i="2"/>
  <c r="AM1061" i="2"/>
  <c r="AL1061" i="2"/>
  <c r="AM1062" i="2"/>
  <c r="AL1062" i="2"/>
  <c r="AL1063" i="2"/>
  <c r="AM1063" i="2"/>
  <c r="AL1064" i="2"/>
  <c r="AM1064" i="2"/>
  <c r="AL1065" i="2"/>
  <c r="AM1065" i="2"/>
  <c r="AL1066" i="2"/>
  <c r="AM1066" i="2"/>
  <c r="AM1067" i="2"/>
  <c r="AL1067" i="2"/>
  <c r="AM1068" i="2"/>
  <c r="AL1068" i="2"/>
  <c r="AM1069" i="2"/>
  <c r="AL1069" i="2"/>
  <c r="AM1070" i="2"/>
  <c r="AL1070" i="2"/>
  <c r="AL1071" i="2"/>
  <c r="AM1071" i="2"/>
  <c r="AL1072" i="2"/>
  <c r="AM1072" i="2"/>
  <c r="AM1073" i="2"/>
  <c r="AL1073" i="2"/>
  <c r="AM1074" i="2"/>
  <c r="AL1074" i="2"/>
  <c r="AL1075" i="2"/>
  <c r="AM1075" i="2"/>
  <c r="AM1076" i="2"/>
  <c r="AL1076" i="2"/>
  <c r="AL1077" i="2"/>
  <c r="AM1077" i="2"/>
  <c r="AL1078" i="2"/>
  <c r="AM1078" i="2"/>
  <c r="AL1079" i="2"/>
  <c r="AM1079" i="2"/>
  <c r="AL1080" i="2"/>
  <c r="AM1080" i="2"/>
  <c r="AL1081" i="2"/>
  <c r="AM1081" i="2"/>
  <c r="AM1082" i="2"/>
  <c r="AL1082" i="2"/>
  <c r="AL1083" i="2"/>
  <c r="AM1083" i="2"/>
  <c r="AL1084" i="2"/>
  <c r="AM1084" i="2"/>
  <c r="AM1085" i="2"/>
  <c r="AL1085" i="2"/>
  <c r="AM1086" i="2"/>
  <c r="AL1086" i="2"/>
  <c r="AM1087" i="2"/>
  <c r="AL1087" i="2"/>
  <c r="AM1088" i="2"/>
  <c r="AL1088" i="2"/>
  <c r="AL1089" i="2"/>
  <c r="AM1089" i="2"/>
  <c r="AL1090" i="2"/>
  <c r="AM1090" i="2"/>
  <c r="AL1091" i="2"/>
  <c r="AM1091" i="2"/>
  <c r="AL1092" i="2"/>
  <c r="AM1092" i="2"/>
  <c r="AM1093" i="2"/>
  <c r="AL1093" i="2"/>
  <c r="AM1094" i="2"/>
  <c r="AL1094" i="2"/>
  <c r="AL1095" i="2"/>
  <c r="AM1095" i="2"/>
  <c r="AM1096" i="2"/>
  <c r="AL1096" i="2"/>
  <c r="AL1097" i="2"/>
  <c r="AM1097" i="2"/>
  <c r="AL1098" i="2"/>
  <c r="AM1098" i="2"/>
  <c r="AL1099" i="2"/>
  <c r="AM1099" i="2"/>
  <c r="AM1100" i="2"/>
  <c r="AL1100" i="2"/>
  <c r="AL1101" i="2"/>
  <c r="AM1101" i="2"/>
  <c r="AM1102" i="2"/>
  <c r="AL1102" i="2"/>
  <c r="AL1103" i="2"/>
  <c r="AM1103" i="2"/>
  <c r="AL1104" i="2"/>
  <c r="AM1104" i="2"/>
  <c r="AM1105" i="2"/>
  <c r="AL1105" i="2"/>
  <c r="AM1106" i="2"/>
  <c r="AL1106" i="2"/>
  <c r="AM1107" i="2"/>
  <c r="AL1107" i="2"/>
  <c r="AL1108" i="2"/>
  <c r="AM1108" i="2"/>
  <c r="AM1109" i="2"/>
  <c r="AL1109" i="2"/>
  <c r="AM1110" i="2"/>
  <c r="AL1110" i="2"/>
  <c r="AL1111" i="2"/>
  <c r="AM1111" i="2"/>
  <c r="AM1112" i="2"/>
  <c r="AL1112" i="2"/>
  <c r="AL1113" i="2"/>
  <c r="AM1113" i="2"/>
  <c r="AL1114" i="2"/>
  <c r="AM1114" i="2"/>
  <c r="AL1115" i="2"/>
  <c r="AM1115" i="2"/>
  <c r="AM1116" i="2"/>
  <c r="AL1116" i="2"/>
  <c r="AL1117" i="2"/>
  <c r="AM1117" i="2"/>
  <c r="AL1118" i="2"/>
  <c r="AM1118" i="2"/>
  <c r="AM1119" i="2"/>
  <c r="AL1119" i="2"/>
  <c r="AL1120" i="2"/>
  <c r="AM1120" i="2"/>
  <c r="AM1121" i="2"/>
  <c r="AL1121" i="2"/>
  <c r="AM1122" i="2"/>
  <c r="AL1122" i="2"/>
  <c r="AL1123" i="2"/>
  <c r="AM1123" i="2"/>
  <c r="AM1124" i="2"/>
  <c r="AL1124" i="2"/>
  <c r="AL1125" i="2"/>
  <c r="AM1125" i="2"/>
  <c r="AL1126" i="2"/>
  <c r="AM1126" i="2"/>
  <c r="AL1127" i="2"/>
  <c r="AM1127" i="2"/>
  <c r="AM1128" i="2"/>
  <c r="AL1128" i="2"/>
  <c r="AM1129" i="2"/>
  <c r="AL1129" i="2"/>
  <c r="AM1130" i="2"/>
  <c r="AL1130" i="2"/>
  <c r="AL1131" i="2"/>
  <c r="AM1131" i="2"/>
  <c r="AL1132" i="2"/>
  <c r="AM1132" i="2"/>
  <c r="AM1133" i="2"/>
  <c r="AL1133" i="2"/>
  <c r="AL1134" i="2"/>
  <c r="AM1134" i="2"/>
  <c r="AL1135" i="2"/>
  <c r="AM1135" i="2"/>
  <c r="AM1136" i="2"/>
  <c r="AL1136" i="2"/>
  <c r="AM1137" i="2"/>
  <c r="AL1137" i="2"/>
  <c r="AM1138" i="2"/>
  <c r="AL1138" i="2"/>
  <c r="AM1139" i="2"/>
  <c r="AL1139" i="2"/>
  <c r="AL1140" i="2"/>
  <c r="AM1140" i="2"/>
  <c r="AM1141" i="2"/>
  <c r="AL1141" i="2"/>
  <c r="AM1142" i="2"/>
  <c r="AL1142" i="2"/>
  <c r="AL1143" i="2"/>
  <c r="AM1143" i="2"/>
  <c r="AL1144" i="2"/>
  <c r="AM1144" i="2"/>
  <c r="AL1145" i="2"/>
  <c r="AM1145" i="2"/>
  <c r="AM1146" i="2"/>
  <c r="AL1146" i="2"/>
  <c r="AL1147" i="2"/>
  <c r="AM1147" i="2"/>
  <c r="AM1148" i="2"/>
  <c r="AL1148" i="2"/>
  <c r="AL1149" i="2"/>
  <c r="AM1149" i="2"/>
  <c r="AL1150" i="2"/>
  <c r="AM1150" i="2"/>
  <c r="AM1151" i="2"/>
  <c r="AL1151" i="2"/>
  <c r="AL1152" i="2"/>
  <c r="AM1152" i="2"/>
  <c r="AL1153" i="2"/>
  <c r="AM1153" i="2"/>
  <c r="AM1154" i="2"/>
  <c r="AL1154" i="2"/>
  <c r="AL1155" i="2"/>
  <c r="AM1155" i="2"/>
  <c r="AM1156" i="2"/>
  <c r="AL1156" i="2"/>
  <c r="AM1157" i="2"/>
  <c r="AL1157" i="2"/>
  <c r="AL1158" i="2"/>
  <c r="AM1158" i="2"/>
  <c r="AL1159" i="2"/>
  <c r="AM1159" i="2"/>
  <c r="AM1160" i="2"/>
  <c r="AL1160" i="2"/>
  <c r="AL1161" i="2"/>
  <c r="AM1161" i="2"/>
  <c r="AM1162" i="2"/>
  <c r="AL1162" i="2"/>
  <c r="AM1163" i="2"/>
  <c r="AL1163" i="2"/>
  <c r="AM1164" i="2"/>
  <c r="AL1164" i="2"/>
  <c r="AM1165" i="2"/>
  <c r="AL1165" i="2"/>
  <c r="AM1166" i="2"/>
  <c r="AL1166" i="2"/>
  <c r="AM1167" i="2"/>
  <c r="AL1167" i="2"/>
  <c r="AL1168" i="2"/>
  <c r="AM1168" i="2"/>
  <c r="AM1169" i="2"/>
  <c r="AL1169" i="2"/>
  <c r="AL1170" i="2"/>
  <c r="AM1170" i="2"/>
  <c r="AM1171" i="2"/>
  <c r="AL1171" i="2"/>
  <c r="AM1172" i="2"/>
  <c r="AL1172" i="2"/>
  <c r="AM1173" i="2"/>
  <c r="AL1173" i="2"/>
  <c r="AL1174" i="2"/>
  <c r="AM1174" i="2"/>
  <c r="AL1175" i="2"/>
  <c r="AM1175" i="2"/>
  <c r="AM1176" i="2"/>
  <c r="AL1176" i="2"/>
  <c r="AL1177" i="2"/>
  <c r="AM1177" i="2"/>
  <c r="AM1178" i="2"/>
  <c r="AL1178" i="2"/>
  <c r="AM1179" i="2"/>
  <c r="AL1179" i="2"/>
  <c r="AL1180" i="2"/>
  <c r="AM1180" i="2"/>
  <c r="AM1181" i="2"/>
  <c r="AL1181" i="2"/>
  <c r="AM1182" i="2"/>
  <c r="AL1182" i="2"/>
  <c r="AL1183" i="2"/>
  <c r="AM1183" i="2"/>
  <c r="AL1184" i="2"/>
  <c r="AM1184" i="2"/>
  <c r="AM1185" i="2"/>
  <c r="AL1185" i="2"/>
  <c r="AM1186" i="2"/>
  <c r="AL1186" i="2"/>
  <c r="AL1187" i="2"/>
  <c r="AM1187" i="2"/>
  <c r="AL1188" i="2"/>
  <c r="AM1188" i="2"/>
  <c r="AM1189" i="2"/>
  <c r="AL1189" i="2"/>
  <c r="AL1190" i="2"/>
  <c r="AM1190" i="2"/>
  <c r="AL1191" i="2"/>
  <c r="AM1191" i="2"/>
  <c r="AM1192" i="2"/>
  <c r="AL1192" i="2"/>
  <c r="AM1193" i="2"/>
  <c r="AL1193" i="2"/>
  <c r="AM1194" i="2"/>
  <c r="AL1194" i="2"/>
  <c r="AM1195" i="2"/>
  <c r="AL1195" i="2"/>
  <c r="AM1196" i="2"/>
  <c r="AL1196" i="2"/>
  <c r="AL1197" i="2"/>
  <c r="AM1197" i="2"/>
  <c r="AL1198" i="2"/>
  <c r="AM1198" i="2"/>
  <c r="AL1199" i="2"/>
  <c r="AM1199" i="2"/>
  <c r="AL1200" i="2"/>
  <c r="AM1200" i="2"/>
  <c r="AM1201" i="2"/>
  <c r="AL1201" i="2"/>
  <c r="AM1202" i="2"/>
  <c r="AL1202" i="2"/>
  <c r="AL1203" i="2"/>
  <c r="AM1203" i="2"/>
  <c r="AM1204" i="2"/>
  <c r="AL1204" i="2"/>
  <c r="AM1205" i="2"/>
  <c r="AL1205" i="2"/>
  <c r="AL1206" i="2"/>
  <c r="AM1206" i="2"/>
  <c r="AL1207" i="2"/>
  <c r="AM1207" i="2"/>
  <c r="AM1208" i="2"/>
  <c r="AL1208" i="2"/>
  <c r="AL1209" i="2"/>
  <c r="AM1209" i="2"/>
  <c r="AL1210" i="2"/>
  <c r="AM1210" i="2"/>
  <c r="AL1211" i="2"/>
  <c r="AM1211" i="2"/>
  <c r="AM1212" i="2"/>
  <c r="AL1212" i="2"/>
  <c r="AM1213" i="2"/>
  <c r="AL1213" i="2"/>
  <c r="AM1214" i="2"/>
  <c r="AL1214" i="2"/>
  <c r="AM1215" i="2"/>
  <c r="AL1215" i="2"/>
  <c r="AL1216" i="2"/>
  <c r="AM1216" i="2"/>
  <c r="AL1217" i="2"/>
  <c r="AM1217" i="2"/>
  <c r="AM1218" i="2"/>
  <c r="AL1218" i="2"/>
  <c r="AL1219" i="2"/>
  <c r="AM1219" i="2"/>
  <c r="AM1220" i="2"/>
  <c r="AL1220" i="2"/>
  <c r="AL1221" i="2"/>
  <c r="AM1221" i="2"/>
  <c r="AM1222" i="2"/>
  <c r="AL1222" i="2"/>
  <c r="AL1223" i="2"/>
  <c r="AM1223" i="2"/>
  <c r="AM1224" i="2"/>
  <c r="AL1224" i="2"/>
  <c r="AM1225" i="2"/>
  <c r="AL1225" i="2"/>
  <c r="AM1226" i="2"/>
  <c r="AL1226" i="2"/>
  <c r="AL1227" i="2"/>
  <c r="AM1227" i="2"/>
  <c r="AL1228" i="2"/>
  <c r="AM1228" i="2"/>
  <c r="AM1229" i="2"/>
  <c r="AL1229" i="2"/>
  <c r="AM1230" i="2"/>
  <c r="AL1230" i="2"/>
  <c r="AM1231" i="2"/>
  <c r="AL1231" i="2"/>
  <c r="AL1232" i="2"/>
  <c r="AM1232" i="2"/>
  <c r="AL1233" i="2"/>
  <c r="AM1233" i="2"/>
  <c r="AL1234" i="2"/>
  <c r="AM1234" i="2"/>
  <c r="AL1235" i="2"/>
  <c r="AM1235" i="2"/>
  <c r="AL1236" i="2"/>
  <c r="AM1236" i="2"/>
  <c r="AL1237" i="2"/>
  <c r="AM1237" i="2"/>
  <c r="AM1238" i="2"/>
  <c r="AL1238" i="2"/>
  <c r="AL1239" i="2"/>
  <c r="AM1239" i="2"/>
  <c r="AM1240" i="2"/>
  <c r="AL1240" i="2"/>
  <c r="AL1241" i="2"/>
  <c r="AM1241" i="2"/>
  <c r="AM1242" i="2"/>
  <c r="AL1242" i="2"/>
  <c r="AL1243" i="2"/>
  <c r="AM1243" i="2"/>
  <c r="AM1244" i="2"/>
  <c r="AL1244" i="2"/>
  <c r="AM1245" i="2"/>
  <c r="AL1245" i="2"/>
  <c r="AM1246" i="2"/>
  <c r="AL1246" i="2"/>
  <c r="AL1247" i="2"/>
  <c r="AM1247" i="2"/>
  <c r="AM1248" i="2"/>
  <c r="AL1248" i="2"/>
  <c r="AL1249" i="2"/>
  <c r="AM1249" i="2"/>
  <c r="AM1250" i="2"/>
  <c r="AL1250" i="2"/>
  <c r="AM1251" i="2"/>
  <c r="AL1251" i="2"/>
  <c r="AL1252" i="2"/>
  <c r="AM1252" i="2"/>
  <c r="AL1253" i="2"/>
  <c r="AM1253" i="2"/>
  <c r="AM1254" i="2"/>
  <c r="AL1254" i="2"/>
  <c r="AL1255" i="2"/>
  <c r="AM1255" i="2"/>
  <c r="AL1256" i="2"/>
  <c r="AM1256" i="2"/>
  <c r="AM1257" i="2"/>
  <c r="AL1257" i="2"/>
  <c r="AM1258" i="2"/>
  <c r="AL1258" i="2"/>
  <c r="AL1259" i="2"/>
  <c r="AM1259" i="2"/>
  <c r="AL1260" i="2"/>
  <c r="AM1260" i="2"/>
  <c r="AL1261" i="2"/>
  <c r="AM1261" i="2"/>
  <c r="AM1262" i="2"/>
  <c r="AL1262" i="2"/>
  <c r="AL1263" i="2"/>
  <c r="AM1263" i="2"/>
  <c r="AL1264" i="2"/>
  <c r="AM1264" i="2"/>
  <c r="AM1265" i="2"/>
  <c r="AL1265" i="2"/>
  <c r="AM1266" i="2"/>
  <c r="AL1266" i="2"/>
  <c r="AM1267" i="2"/>
  <c r="AL1267" i="2"/>
  <c r="AL1268" i="2"/>
  <c r="AM1268" i="2"/>
  <c r="AL1269" i="2"/>
  <c r="AM1269" i="2"/>
  <c r="AL1270" i="2"/>
  <c r="AM1270" i="2"/>
  <c r="AL1271" i="2"/>
  <c r="AM1271" i="2"/>
  <c r="AM1272" i="2"/>
  <c r="AL1272" i="2"/>
  <c r="AL1273" i="2"/>
  <c r="AM1273" i="2"/>
  <c r="AL1274" i="2"/>
  <c r="AM1274" i="2"/>
  <c r="AL1275" i="2"/>
  <c r="AM1275" i="2"/>
  <c r="AL1276" i="2"/>
  <c r="AM1276" i="2"/>
  <c r="AL1277" i="2"/>
  <c r="AM1277" i="2"/>
  <c r="AM1278" i="2"/>
  <c r="AL1278" i="2"/>
  <c r="AL1279" i="2"/>
  <c r="AM1279" i="2"/>
  <c r="AL1280" i="2"/>
  <c r="AM1280" i="2"/>
  <c r="AL1281" i="2"/>
  <c r="AM1281" i="2"/>
  <c r="AM1282" i="2"/>
  <c r="AL1282" i="2"/>
  <c r="AM1283" i="2"/>
  <c r="AL1283" i="2"/>
  <c r="AL1284" i="2"/>
  <c r="AM1284" i="2"/>
  <c r="AL1285" i="2"/>
  <c r="AM1285" i="2"/>
  <c r="AL1286" i="2"/>
  <c r="AM1286" i="2"/>
  <c r="AL1287" i="2"/>
  <c r="AM1287" i="2"/>
  <c r="AM1288" i="2"/>
  <c r="AL1288" i="2"/>
  <c r="AL1289" i="2"/>
  <c r="AM1289" i="2"/>
  <c r="AL1290" i="2"/>
  <c r="AM1290" i="2"/>
  <c r="AL1291" i="2"/>
  <c r="AM1291" i="2"/>
  <c r="AL1292" i="2"/>
  <c r="AM1292" i="2"/>
  <c r="AM1293" i="2"/>
  <c r="AL1293" i="2"/>
  <c r="AM1294" i="2"/>
  <c r="AL1294" i="2"/>
  <c r="AM1295" i="2"/>
  <c r="AL1295" i="2"/>
  <c r="AL1296" i="2"/>
  <c r="AM1296" i="2"/>
  <c r="AL1297" i="2"/>
  <c r="AM1297" i="2"/>
  <c r="AL1298" i="2"/>
  <c r="AM1298" i="2"/>
  <c r="AL1299" i="2"/>
  <c r="AM1299" i="2"/>
  <c r="AL1300" i="2"/>
  <c r="AM1300" i="2"/>
  <c r="AL1301" i="2"/>
  <c r="AM1301" i="2"/>
  <c r="AM1302" i="2"/>
  <c r="AL1302" i="2"/>
  <c r="AL1303" i="2"/>
  <c r="AM1303" i="2"/>
  <c r="AM1304" i="2"/>
  <c r="AL1304" i="2"/>
  <c r="AL1305" i="2"/>
  <c r="AM1305" i="2"/>
  <c r="AM1306" i="2"/>
  <c r="AL1306" i="2"/>
  <c r="AL1307" i="2"/>
  <c r="AM1307" i="2"/>
  <c r="AM1308" i="2"/>
  <c r="AL1308" i="2"/>
  <c r="AM1309" i="2"/>
  <c r="AL1309" i="2"/>
  <c r="AM1310" i="2"/>
  <c r="AL1310" i="2"/>
  <c r="AL1311" i="2"/>
  <c r="AM1311" i="2"/>
  <c r="AM1312" i="2"/>
  <c r="AL1312" i="2"/>
  <c r="AL1313" i="2"/>
  <c r="AM1313" i="2"/>
  <c r="AM1314" i="2"/>
  <c r="AL1314" i="2"/>
  <c r="AL1315" i="2"/>
  <c r="AM1315" i="2"/>
  <c r="AL1316" i="2"/>
  <c r="AM1316" i="2"/>
  <c r="AL1317" i="2"/>
  <c r="AM1317" i="2"/>
  <c r="AM1318" i="2"/>
  <c r="AL1318" i="2"/>
  <c r="AL1319" i="2"/>
  <c r="AM1319" i="2"/>
  <c r="AM1320" i="2"/>
  <c r="AL1320" i="2"/>
  <c r="AM1321" i="2"/>
  <c r="AL1321" i="2"/>
  <c r="AM1322" i="2"/>
  <c r="AL1322" i="2"/>
  <c r="AL1323" i="2"/>
  <c r="AM1323" i="2"/>
  <c r="AL1324" i="2"/>
  <c r="AM1324" i="2"/>
  <c r="AL1325" i="2"/>
  <c r="AM1325" i="2"/>
  <c r="AM1326" i="2"/>
  <c r="AL1326" i="2"/>
  <c r="AM1327" i="2"/>
  <c r="AL1327" i="2"/>
  <c r="AL1328" i="2"/>
  <c r="AM1328" i="2"/>
  <c r="AL1329" i="2"/>
  <c r="AM1329" i="2"/>
  <c r="AM1330" i="2"/>
  <c r="AL1330" i="2"/>
  <c r="AL1331" i="2"/>
  <c r="AM1331" i="2"/>
  <c r="AL1332" i="2"/>
  <c r="AM1332" i="2"/>
  <c r="AL1333" i="2"/>
  <c r="AM1333" i="2"/>
  <c r="AL1334" i="2"/>
  <c r="AM1334" i="2"/>
  <c r="AL1335" i="2"/>
  <c r="AM1335" i="2"/>
  <c r="AL1336" i="2"/>
  <c r="AM1336" i="2"/>
  <c r="AL1337" i="2"/>
  <c r="AM1337" i="2"/>
  <c r="AM1338" i="2"/>
  <c r="AL1338" i="2"/>
  <c r="AL1339" i="2"/>
  <c r="AM1339" i="2"/>
  <c r="AL1340" i="2"/>
  <c r="AM1340" i="2"/>
  <c r="AM1341" i="2"/>
  <c r="AL1341" i="2"/>
  <c r="AM1342" i="2"/>
  <c r="AL1342" i="2"/>
  <c r="AL1343" i="2"/>
  <c r="AM1343" i="2"/>
  <c r="AL1344" i="2"/>
  <c r="AM1344" i="2"/>
  <c r="AL1345" i="2"/>
  <c r="AM1345" i="2"/>
  <c r="AM1346" i="2"/>
  <c r="AL1346" i="2"/>
  <c r="AM1347" i="2"/>
  <c r="AL1347" i="2"/>
  <c r="AL1348" i="2"/>
  <c r="AM1348" i="2"/>
  <c r="AL1349" i="2"/>
  <c r="AM1349" i="2"/>
  <c r="AM1350" i="2"/>
  <c r="AL1350" i="2"/>
  <c r="AL1351" i="2"/>
  <c r="AM1351" i="2"/>
  <c r="AL1352" i="2"/>
  <c r="AM1352" i="2"/>
  <c r="AL1353" i="2"/>
  <c r="AM1353" i="2"/>
  <c r="AL1354" i="2"/>
  <c r="AM1354" i="2"/>
  <c r="AL1355" i="2"/>
  <c r="AM1355" i="2"/>
  <c r="AL1356" i="2"/>
  <c r="AM1356" i="2"/>
  <c r="AM1357" i="2"/>
  <c r="AL1357" i="2"/>
  <c r="AM1358" i="2"/>
  <c r="AL1358" i="2"/>
  <c r="AM1359" i="2"/>
  <c r="AL1359" i="2"/>
  <c r="AL1360" i="2"/>
  <c r="AM1360" i="2"/>
  <c r="AL1361" i="2"/>
  <c r="AM1361" i="2"/>
  <c r="AM1362" i="2"/>
  <c r="AL1362" i="2"/>
  <c r="AL1363" i="2"/>
  <c r="AM1363" i="2"/>
  <c r="AL1364" i="2"/>
  <c r="AM1364" i="2"/>
  <c r="AL1365" i="2"/>
  <c r="AM1365" i="2"/>
  <c r="AM1366" i="2"/>
  <c r="AL1366" i="2"/>
  <c r="AM1367" i="2"/>
  <c r="AL1367" i="2"/>
  <c r="AL1368" i="2"/>
  <c r="AM1368" i="2"/>
  <c r="AL1369" i="2"/>
  <c r="AM1369" i="2"/>
  <c r="AM1370" i="2"/>
  <c r="AL1370" i="2"/>
  <c r="AL1371" i="2"/>
  <c r="AM1371" i="2"/>
  <c r="AM1372" i="2"/>
  <c r="AL1372" i="2"/>
  <c r="AM1373" i="2"/>
  <c r="AL1373" i="2"/>
  <c r="AM1374" i="2"/>
  <c r="AL1374" i="2"/>
  <c r="AL1375" i="2"/>
  <c r="AM1375" i="2"/>
  <c r="AL1376" i="2"/>
  <c r="AM1376" i="2"/>
  <c r="AL1377" i="2"/>
  <c r="AM1377" i="2"/>
  <c r="AM1378" i="2"/>
  <c r="AL1378" i="2"/>
  <c r="AM1379" i="2"/>
  <c r="AL1379" i="2"/>
  <c r="AL1380" i="2"/>
  <c r="AM1380" i="2"/>
  <c r="AL1381" i="2"/>
  <c r="AM1381" i="2"/>
  <c r="AM1382" i="2"/>
  <c r="AL1382" i="2"/>
  <c r="AL1383" i="2"/>
  <c r="AM1383" i="2"/>
  <c r="AM1384" i="2"/>
  <c r="AL1384" i="2"/>
  <c r="AM1385" i="2"/>
  <c r="AL1385" i="2"/>
  <c r="AL1386" i="2"/>
  <c r="AM1386" i="2"/>
  <c r="AL1387" i="2"/>
  <c r="AM1387" i="2"/>
  <c r="AM1388" i="2"/>
  <c r="AL1388" i="2"/>
  <c r="AM1389" i="2"/>
  <c r="AL1389" i="2"/>
  <c r="AM1390" i="2"/>
  <c r="AL1390" i="2"/>
  <c r="AL1391" i="2"/>
  <c r="AM1391" i="2"/>
  <c r="AL1392" i="2"/>
  <c r="AM1392" i="2"/>
  <c r="AM1393" i="2"/>
  <c r="AL1393" i="2"/>
  <c r="AM1394" i="2"/>
  <c r="AL1394" i="2"/>
  <c r="AM1395" i="2"/>
  <c r="AL1395" i="2"/>
  <c r="AL1396" i="2"/>
  <c r="AM1396" i="2"/>
  <c r="AL1397" i="2"/>
  <c r="AM1397" i="2"/>
  <c r="AL1398" i="2"/>
  <c r="AM1398" i="2"/>
  <c r="AL1399" i="2"/>
  <c r="AM1399" i="2"/>
  <c r="AM1400" i="2"/>
  <c r="AL1400" i="2"/>
  <c r="AL1401" i="2"/>
  <c r="AM1401" i="2"/>
  <c r="AM1402" i="2"/>
  <c r="AL1402" i="2"/>
  <c r="AL1403" i="2"/>
  <c r="AM1403" i="2"/>
  <c r="AM1404" i="2"/>
  <c r="AL1404" i="2"/>
  <c r="AM1405" i="2"/>
  <c r="AL1405" i="2"/>
  <c r="AM1406" i="2"/>
  <c r="AL1406" i="2"/>
  <c r="AL1407" i="2"/>
  <c r="AM1407" i="2"/>
  <c r="AM1408" i="2"/>
  <c r="AL1408" i="2"/>
  <c r="AM1409" i="2"/>
  <c r="AL1409" i="2"/>
  <c r="AM1410" i="2"/>
  <c r="AL1410" i="2"/>
  <c r="AM1411" i="2"/>
  <c r="AL1411" i="2"/>
  <c r="AL1412" i="2"/>
  <c r="AM1412" i="2"/>
  <c r="AL1413" i="2"/>
  <c r="AM1413" i="2"/>
  <c r="AM1414" i="2"/>
  <c r="AL1414" i="2"/>
  <c r="AL1415" i="2"/>
  <c r="AM1415" i="2"/>
  <c r="AL1416" i="2"/>
  <c r="AM1416" i="2"/>
  <c r="AL1417" i="2"/>
  <c r="AM1417" i="2"/>
  <c r="AL1418" i="2"/>
  <c r="AM1418" i="2"/>
  <c r="AL1419" i="2"/>
  <c r="AM1419" i="2"/>
  <c r="AL1420" i="2"/>
  <c r="AM1420" i="2"/>
  <c r="AM1421" i="2"/>
  <c r="AL1421" i="2"/>
  <c r="AM1422" i="2"/>
  <c r="AL1422" i="2"/>
  <c r="AL1423" i="2"/>
  <c r="AM1423" i="2"/>
  <c r="AL1424" i="2"/>
  <c r="AM1424" i="2"/>
  <c r="AL1425" i="2"/>
  <c r="AM1425" i="2"/>
  <c r="AM1426" i="2"/>
  <c r="AL1426" i="2"/>
  <c r="AM1427" i="2"/>
  <c r="AL1427" i="2"/>
  <c r="AM1428" i="2"/>
  <c r="AL1428" i="2"/>
  <c r="AL1429" i="2"/>
  <c r="AM1429" i="2"/>
  <c r="AM1430" i="2"/>
  <c r="AL1430" i="2"/>
  <c r="AM1431" i="2"/>
  <c r="AL1431" i="2"/>
  <c r="AM1432" i="2"/>
  <c r="AL1432" i="2"/>
  <c r="AL1433" i="2"/>
  <c r="AM1433" i="2"/>
  <c r="AL1434" i="2"/>
  <c r="AM1434" i="2"/>
  <c r="AL1435" i="2"/>
  <c r="AM1435" i="2"/>
  <c r="AM1436" i="2"/>
  <c r="AL1436" i="2"/>
  <c r="AM1437" i="2"/>
  <c r="AL1437" i="2"/>
  <c r="AM1438" i="2"/>
  <c r="AL1438" i="2"/>
  <c r="AL1439" i="2"/>
  <c r="AM1439" i="2"/>
  <c r="AM1440" i="2"/>
  <c r="AL1440" i="2"/>
  <c r="AM1441" i="2"/>
  <c r="AL1441" i="2"/>
  <c r="AM1442" i="2"/>
  <c r="AL1442" i="2"/>
  <c r="AM1443" i="2"/>
  <c r="AL1443" i="2"/>
  <c r="AL1444" i="2"/>
  <c r="AM1444" i="2"/>
  <c r="AM1445" i="2"/>
  <c r="AL1445" i="2"/>
  <c r="AM1446" i="2"/>
  <c r="AL1446" i="2"/>
  <c r="AL1447" i="2"/>
  <c r="AM1447" i="2"/>
  <c r="AL1448" i="2"/>
  <c r="AM1448" i="2"/>
  <c r="AL1449" i="2"/>
  <c r="AM1449" i="2"/>
  <c r="AL1450" i="2"/>
  <c r="AM1450" i="2"/>
  <c r="AM1451" i="2"/>
  <c r="AL1451" i="2"/>
  <c r="AL1452" i="2"/>
  <c r="AM1452" i="2"/>
  <c r="AM1453" i="2"/>
  <c r="AL1453" i="2"/>
  <c r="AL1454" i="2"/>
  <c r="AM1454" i="2"/>
  <c r="AM1455" i="2"/>
  <c r="AL1455" i="2"/>
  <c r="AM1456" i="2"/>
  <c r="AL1456" i="2"/>
  <c r="AL1457" i="2"/>
  <c r="AM1457" i="2"/>
  <c r="AL1458" i="2"/>
  <c r="AM1458" i="2"/>
  <c r="AM1459" i="2"/>
  <c r="AL1459" i="2"/>
  <c r="AL1460" i="2"/>
  <c r="AM1460" i="2"/>
  <c r="AL1461" i="2"/>
  <c r="AM1461" i="2"/>
  <c r="AM1462" i="2"/>
  <c r="AL1462" i="2"/>
  <c r="AM1463" i="2"/>
  <c r="AL1463" i="2"/>
  <c r="AM1464" i="2"/>
  <c r="AL1464" i="2"/>
  <c r="AL1465" i="2"/>
  <c r="AM1465" i="2"/>
  <c r="AM1466" i="2"/>
  <c r="AL1466" i="2"/>
  <c r="AM1467" i="2"/>
  <c r="AL1467" i="2"/>
  <c r="AL1468" i="2"/>
  <c r="AM1468" i="2"/>
  <c r="AL1469" i="2"/>
  <c r="AM1469" i="2"/>
  <c r="AL1470" i="2"/>
  <c r="AM1470" i="2"/>
  <c r="AL1471" i="2"/>
  <c r="AM1471" i="2"/>
  <c r="AL1472" i="2"/>
  <c r="AM1472" i="2"/>
  <c r="AM1473" i="2"/>
  <c r="AL1473" i="2"/>
  <c r="AL1474" i="2"/>
  <c r="AM1474" i="2"/>
  <c r="AM1475" i="2"/>
  <c r="AL1475" i="2"/>
  <c r="AL1476" i="2"/>
  <c r="AM1476" i="2"/>
  <c r="AM1477" i="2"/>
  <c r="AL1477" i="2"/>
  <c r="AL1478" i="2"/>
  <c r="AM1478" i="2"/>
  <c r="AM1479" i="2"/>
  <c r="AL1479" i="2"/>
  <c r="AL1480" i="2"/>
  <c r="AM1480" i="2"/>
  <c r="AL1481" i="2"/>
  <c r="AM1481" i="2"/>
  <c r="AM1482" i="2"/>
  <c r="AL1482" i="2"/>
  <c r="AL1483" i="2"/>
  <c r="AM1483" i="2"/>
  <c r="AL1484" i="2"/>
  <c r="AM1484" i="2"/>
  <c r="AM1485" i="2"/>
  <c r="AL1485" i="2"/>
  <c r="AM1486" i="2"/>
  <c r="AL1486" i="2"/>
  <c r="AM1487" i="2"/>
  <c r="AL1487" i="2"/>
  <c r="AL1488" i="2"/>
  <c r="AM1488" i="2"/>
  <c r="AL1489" i="2"/>
  <c r="AM1489" i="2"/>
  <c r="AL1490" i="2"/>
  <c r="AM1490" i="2"/>
  <c r="AL1491" i="2"/>
  <c r="AM1491" i="2"/>
  <c r="AM1492" i="2"/>
  <c r="AL1492" i="2"/>
  <c r="AL1493" i="2"/>
  <c r="AM1493" i="2"/>
  <c r="AL1494" i="2"/>
  <c r="AM1494" i="2"/>
  <c r="AL1495" i="2"/>
  <c r="AM1495" i="2"/>
  <c r="AM1496" i="2"/>
  <c r="AL1496" i="2"/>
  <c r="AL1497" i="2"/>
  <c r="AM1497" i="2"/>
  <c r="AL1498" i="2"/>
  <c r="AM1498" i="2"/>
  <c r="AL1499" i="2"/>
  <c r="AM1499" i="2"/>
  <c r="AM1500" i="2"/>
  <c r="AL1500" i="2"/>
  <c r="AL1501" i="2"/>
  <c r="AM1501" i="2"/>
  <c r="AM1502" i="2"/>
  <c r="AL1502" i="2"/>
  <c r="AM1503" i="2"/>
  <c r="AL1503" i="2"/>
  <c r="AL1504" i="2"/>
  <c r="AM1504" i="2"/>
  <c r="AM1505" i="2"/>
  <c r="AL1505" i="2"/>
  <c r="AL1506" i="2"/>
  <c r="AM1506" i="2"/>
  <c r="AL1507" i="2"/>
  <c r="AM1507" i="2"/>
  <c r="AL1508" i="2"/>
  <c r="AM1508" i="2"/>
  <c r="AL1509" i="2"/>
  <c r="AM1509" i="2"/>
  <c r="AM1510" i="2"/>
  <c r="AL1510" i="2"/>
  <c r="AL1511" i="2"/>
  <c r="AM1511" i="2"/>
  <c r="AM1512" i="2"/>
  <c r="AL1512" i="2"/>
  <c r="AM1513" i="2"/>
  <c r="AL1513" i="2"/>
  <c r="AL1514" i="2"/>
  <c r="AM1514" i="2"/>
  <c r="AM1515" i="2"/>
  <c r="AL1515" i="2"/>
  <c r="AL1516" i="2"/>
  <c r="AM1516" i="2"/>
  <c r="AM1517" i="2"/>
  <c r="AL1517" i="2"/>
  <c r="AL1518" i="2"/>
  <c r="AM1518" i="2"/>
  <c r="AM1519" i="2"/>
  <c r="AL1519" i="2"/>
  <c r="AL1520" i="2"/>
  <c r="AM1520" i="2"/>
  <c r="AL1521" i="2"/>
  <c r="AM1521" i="2"/>
  <c r="AM1522" i="2"/>
  <c r="AL1522" i="2"/>
  <c r="AL1523" i="2"/>
  <c r="AM1523" i="2"/>
  <c r="AM1524" i="2"/>
  <c r="AL1524" i="2"/>
  <c r="AL1525" i="2"/>
  <c r="AM1525" i="2"/>
  <c r="AM1526" i="2"/>
  <c r="AL1526" i="2"/>
  <c r="AL1527" i="2"/>
  <c r="AM1527" i="2"/>
  <c r="AL1528" i="2"/>
  <c r="AM1528" i="2"/>
  <c r="AL1529" i="2"/>
  <c r="AM1529" i="2"/>
  <c r="AM1530" i="2"/>
  <c r="AL1530" i="2"/>
  <c r="AL1531" i="2"/>
  <c r="AM1531" i="2"/>
  <c r="AL1532" i="2"/>
  <c r="AM1532" i="2"/>
  <c r="AM1533" i="2"/>
  <c r="AL1533" i="2"/>
  <c r="AM1534" i="2"/>
  <c r="AL1534" i="2"/>
  <c r="AM1535" i="2"/>
  <c r="AL1535" i="2"/>
  <c r="AL1536" i="2"/>
  <c r="AM1536" i="2"/>
  <c r="AM1537" i="2"/>
  <c r="AL1537" i="2"/>
  <c r="AL1538" i="2"/>
  <c r="AM1538" i="2"/>
  <c r="AL1539" i="2"/>
  <c r="AM1539" i="2"/>
  <c r="AL1540" i="2"/>
  <c r="AM1540" i="2"/>
  <c r="AM1541" i="2"/>
  <c r="AL1541" i="2"/>
  <c r="AM1542" i="2"/>
  <c r="AL1542" i="2"/>
  <c r="AM1543" i="2"/>
  <c r="AL1543" i="2"/>
  <c r="AM1544" i="2"/>
  <c r="AL1544" i="2"/>
  <c r="AL1545" i="2"/>
  <c r="AM1545" i="2"/>
  <c r="AM1546" i="2"/>
  <c r="AL1546" i="2"/>
  <c r="AL1547" i="2"/>
  <c r="AM1547" i="2"/>
  <c r="AL1548" i="2"/>
  <c r="AM1548" i="2"/>
  <c r="AM1549" i="2"/>
  <c r="AL1549" i="2"/>
  <c r="AM1550" i="2"/>
  <c r="AL1550" i="2"/>
  <c r="AM1551" i="2"/>
  <c r="AL1551" i="2"/>
  <c r="AL1552" i="2"/>
  <c r="AM1552" i="2"/>
  <c r="AL1553" i="2"/>
  <c r="AM1553" i="2"/>
  <c r="AM1554" i="2"/>
  <c r="AL1554" i="2"/>
  <c r="AM1555" i="2"/>
  <c r="AL1555" i="2"/>
  <c r="AM1556" i="2"/>
  <c r="AL1556" i="2"/>
  <c r="AL1557" i="2"/>
  <c r="AM1557" i="2"/>
  <c r="AL1558" i="2"/>
  <c r="AM1558" i="2"/>
  <c r="AM1559" i="2"/>
  <c r="AL1559" i="2"/>
  <c r="AL1560" i="2"/>
  <c r="AM1560" i="2"/>
  <c r="AM1561" i="2"/>
  <c r="AL1561" i="2"/>
  <c r="AL1562" i="2"/>
  <c r="AM1562" i="2"/>
  <c r="AM1563" i="2"/>
  <c r="AL1563" i="2"/>
  <c r="AM1564" i="2"/>
  <c r="AL1564" i="2"/>
  <c r="AM1565" i="2"/>
  <c r="AL1565" i="2"/>
  <c r="AM1566" i="2"/>
  <c r="AL1566" i="2"/>
  <c r="AM1567" i="2"/>
  <c r="AL1567" i="2"/>
  <c r="AL1568" i="2"/>
  <c r="AM1568" i="2"/>
  <c r="AM1569" i="2"/>
  <c r="AL1569" i="2"/>
  <c r="AL1570" i="2"/>
  <c r="AM1570" i="2"/>
  <c r="AL1571" i="2"/>
  <c r="AM1571" i="2"/>
  <c r="AM1572" i="2"/>
  <c r="AL1572" i="2"/>
  <c r="AM1573" i="2"/>
  <c r="AL1573" i="2"/>
  <c r="AM1574" i="2"/>
  <c r="AL1574" i="2"/>
  <c r="AM1575" i="2"/>
  <c r="AL1575" i="2"/>
  <c r="AM1576" i="2"/>
  <c r="AL1576" i="2"/>
  <c r="AM1577" i="2"/>
  <c r="AL1577" i="2"/>
  <c r="AL1578" i="2"/>
  <c r="AM1578" i="2"/>
  <c r="AL1579" i="2"/>
  <c r="AM1579" i="2"/>
  <c r="AL1580" i="2"/>
  <c r="AM1580" i="2"/>
  <c r="AM1581" i="2"/>
  <c r="AL1581" i="2"/>
  <c r="AL1582" i="2"/>
  <c r="AM1582" i="2"/>
  <c r="AM1583" i="2"/>
  <c r="AL1583" i="2"/>
  <c r="AM1584" i="2"/>
  <c r="AL1584" i="2"/>
  <c r="AL1585" i="2"/>
  <c r="AM1585" i="2"/>
  <c r="AM1586" i="2"/>
  <c r="AL1586" i="2"/>
  <c r="AL1587" i="2"/>
  <c r="AM1587" i="2"/>
  <c r="AL1588" i="2"/>
  <c r="AM1588" i="2"/>
  <c r="AL1589" i="2"/>
  <c r="AM1589" i="2"/>
  <c r="AL1590" i="2"/>
  <c r="AM1590" i="2"/>
  <c r="AM1591" i="2"/>
  <c r="AL1591" i="2"/>
  <c r="AL1592" i="2"/>
  <c r="AM1592" i="2"/>
  <c r="AL1593" i="2"/>
  <c r="AM1593" i="2"/>
  <c r="AL1594" i="2"/>
  <c r="AM1594" i="2"/>
  <c r="AL1595" i="2"/>
  <c r="AM1595" i="2"/>
  <c r="AL1596" i="2"/>
  <c r="AM1596" i="2"/>
  <c r="AL1597" i="2"/>
  <c r="AM1597" i="2"/>
  <c r="AM1598" i="2"/>
  <c r="AL1598" i="2"/>
  <c r="AM1599" i="2"/>
  <c r="AL1599" i="2"/>
  <c r="AL1600" i="2"/>
  <c r="AM1600" i="2"/>
  <c r="AM1601" i="2"/>
  <c r="AL1601" i="2"/>
  <c r="AL1602" i="2"/>
  <c r="AM1602" i="2"/>
  <c r="AM1603" i="2"/>
  <c r="AL1603" i="2"/>
  <c r="AL1604" i="2"/>
  <c r="AM1604" i="2"/>
  <c r="AM1605" i="2"/>
  <c r="AL1605" i="2"/>
  <c r="AM1606" i="2"/>
  <c r="AL1606" i="2"/>
  <c r="AM1607" i="2"/>
  <c r="AL1607" i="2"/>
  <c r="AL1608" i="2"/>
  <c r="AM1608" i="2"/>
  <c r="AL1609" i="2"/>
  <c r="AM1609" i="2"/>
  <c r="AM1610" i="2"/>
  <c r="AL1610" i="2"/>
  <c r="AL1611" i="2"/>
  <c r="AM1611" i="2"/>
  <c r="AM1612" i="2"/>
  <c r="AL1612" i="2"/>
  <c r="AM1613" i="2"/>
  <c r="AL1613" i="2"/>
  <c r="AL1614" i="2"/>
  <c r="AM1614" i="2"/>
  <c r="AM1615" i="2"/>
  <c r="AL1615" i="2"/>
  <c r="AL1616" i="2"/>
  <c r="AM1616" i="2"/>
  <c r="AL1617" i="2"/>
  <c r="AM1617" i="2"/>
  <c r="AM1618" i="2"/>
  <c r="AL1618" i="2"/>
  <c r="AM1619" i="2"/>
  <c r="AL1619" i="2"/>
  <c r="AM1620" i="2"/>
  <c r="AL1620" i="2"/>
  <c r="AM1621" i="2"/>
  <c r="AL1621" i="2"/>
  <c r="AL1622" i="2"/>
  <c r="AM1622" i="2"/>
  <c r="AM1623" i="2"/>
  <c r="AL1623" i="2"/>
  <c r="AL1624" i="2"/>
  <c r="AM1624" i="2"/>
  <c r="AM1625" i="2"/>
  <c r="AL1625" i="2"/>
  <c r="AL1626" i="2"/>
  <c r="AM1626" i="2"/>
  <c r="AL1627" i="2"/>
  <c r="AM1627" i="2"/>
  <c r="AL1628" i="2"/>
  <c r="AM1628" i="2"/>
  <c r="AM1629" i="2"/>
  <c r="AL1629" i="2"/>
  <c r="AM1630" i="2"/>
  <c r="AL1630" i="2"/>
  <c r="AM1631" i="2"/>
  <c r="AL1631" i="2"/>
  <c r="AL1632" i="2"/>
  <c r="AM1632" i="2"/>
  <c r="AM1633" i="2"/>
  <c r="AL1633" i="2"/>
  <c r="AL1634" i="2"/>
  <c r="AM1634" i="2"/>
  <c r="AL1635" i="2"/>
  <c r="AM1635" i="2"/>
  <c r="AL1636" i="2"/>
  <c r="AM1636" i="2"/>
  <c r="AM1637" i="2"/>
  <c r="AL1637" i="2"/>
  <c r="AL1638" i="2"/>
  <c r="AM1638" i="2"/>
  <c r="AM1639" i="2"/>
  <c r="AL1639" i="2"/>
  <c r="AM1640" i="2"/>
  <c r="AL1640" i="2"/>
  <c r="AM1641" i="2"/>
  <c r="AL1641" i="2"/>
  <c r="AL1642" i="2"/>
  <c r="AM1642" i="2"/>
  <c r="AL1643" i="2"/>
  <c r="AM1643" i="2"/>
  <c r="AM1644" i="2"/>
  <c r="AL1644" i="2"/>
  <c r="AM1645" i="2"/>
  <c r="AL1645" i="2"/>
  <c r="AL1646" i="2"/>
  <c r="AM1646" i="2"/>
  <c r="AL1647" i="2"/>
  <c r="AM1647" i="2"/>
  <c r="AL1648" i="2"/>
  <c r="AM1648" i="2"/>
  <c r="AM1649" i="2"/>
  <c r="AL1649" i="2"/>
  <c r="AM1650" i="2"/>
  <c r="AL1650" i="2"/>
  <c r="AL1651" i="2"/>
  <c r="AM1651" i="2"/>
  <c r="AL1652" i="2"/>
  <c r="AM1652" i="2"/>
  <c r="AM1653" i="2"/>
  <c r="AL1653" i="2"/>
  <c r="AM1654" i="2"/>
  <c r="AL1654" i="2"/>
  <c r="AL1655" i="2"/>
  <c r="AM1655" i="2"/>
  <c r="AL1656" i="2"/>
  <c r="AM1656" i="2"/>
  <c r="AM1657" i="2"/>
  <c r="AL1657" i="2"/>
  <c r="AL1658" i="2"/>
  <c r="AM1658" i="2"/>
  <c r="AL1659" i="2"/>
  <c r="AM1659" i="2"/>
  <c r="AL1660" i="2"/>
  <c r="AM1660" i="2"/>
  <c r="AL1661" i="2"/>
  <c r="AM1661" i="2"/>
  <c r="AL1662" i="2"/>
  <c r="AM1662" i="2"/>
  <c r="AM1663" i="2"/>
  <c r="AL1663" i="2"/>
  <c r="AL1664" i="2"/>
  <c r="AM1664" i="2"/>
  <c r="AL1665" i="2"/>
  <c r="AM1665" i="2"/>
  <c r="AL1666" i="2"/>
  <c r="AM1666" i="2"/>
  <c r="AM1667" i="2"/>
  <c r="AL1667" i="2"/>
  <c r="AL1668" i="2"/>
  <c r="AM1668" i="2"/>
  <c r="AL1669" i="2"/>
  <c r="AM1669" i="2"/>
  <c r="AL1670" i="2"/>
  <c r="AM1670" i="2"/>
  <c r="AL1671" i="2"/>
  <c r="AM1671" i="2"/>
  <c r="AL1672" i="2"/>
  <c r="AM1672" i="2"/>
  <c r="AM1673" i="2"/>
  <c r="AL1673" i="2"/>
  <c r="AM1674" i="2"/>
  <c r="AL1674" i="2"/>
  <c r="AM1675" i="2"/>
  <c r="AL1675" i="2"/>
  <c r="AL1676" i="2"/>
  <c r="AM1676" i="2"/>
  <c r="AM1677" i="2"/>
  <c r="AL1677" i="2"/>
  <c r="AM1678" i="2"/>
  <c r="AL1678" i="2"/>
  <c r="AL1679" i="2"/>
  <c r="AM1679" i="2"/>
  <c r="AL1680" i="2"/>
  <c r="AM1680" i="2"/>
  <c r="AM1681" i="2"/>
  <c r="AL1681" i="2"/>
  <c r="AL1682" i="2"/>
  <c r="AM1682" i="2"/>
  <c r="AM1683" i="2"/>
  <c r="AL1683" i="2"/>
  <c r="AM1684" i="2"/>
  <c r="AL1684" i="2"/>
  <c r="AM1685" i="2"/>
  <c r="AL1685" i="2"/>
  <c r="AM1686" i="2"/>
  <c r="AL1686" i="2"/>
  <c r="AM1687" i="2"/>
  <c r="AL1687" i="2"/>
  <c r="AL1688" i="2"/>
  <c r="AM1688" i="2"/>
  <c r="AL1689" i="2"/>
  <c r="AM1689" i="2"/>
  <c r="AL1690" i="2"/>
  <c r="AM1690" i="2"/>
  <c r="AL1691" i="2"/>
  <c r="AM1691" i="2"/>
  <c r="AL1692" i="2"/>
  <c r="AM1692" i="2"/>
  <c r="AL1693" i="2"/>
  <c r="AM1693" i="2"/>
  <c r="AL1694" i="2"/>
  <c r="AM1694" i="2"/>
  <c r="AM1695" i="2"/>
  <c r="AL1695" i="2"/>
  <c r="AL1696" i="2"/>
  <c r="AM1696" i="2"/>
  <c r="AL1697" i="2"/>
  <c r="AM1697" i="2"/>
  <c r="AM1698" i="2"/>
  <c r="AL1698" i="2"/>
  <c r="AM1699" i="2"/>
  <c r="AL1699" i="2"/>
  <c r="AL1700" i="2"/>
  <c r="AM1700" i="2"/>
  <c r="AL1701" i="2"/>
  <c r="AM1701" i="2"/>
  <c r="AL1702" i="2"/>
  <c r="AM1702" i="2"/>
  <c r="AL1703" i="2"/>
  <c r="AM1703" i="2"/>
  <c r="AL1704" i="2"/>
  <c r="AM1704" i="2"/>
  <c r="AM1705" i="2"/>
  <c r="AL1705" i="2"/>
  <c r="AL1706" i="2"/>
  <c r="AM1706" i="2"/>
  <c r="AM1707" i="2"/>
  <c r="AL1707" i="2"/>
  <c r="AL1708" i="2"/>
  <c r="AM1708" i="2"/>
  <c r="AL1709" i="2"/>
  <c r="AM1709" i="2"/>
  <c r="AM1710" i="2"/>
  <c r="AL1710" i="2"/>
  <c r="AL1711" i="2"/>
  <c r="AM1711" i="2"/>
  <c r="AL1712" i="2"/>
  <c r="AM1712" i="2"/>
  <c r="AM1713" i="2"/>
  <c r="AL1713" i="2"/>
  <c r="AM1714" i="2"/>
  <c r="AL1714" i="2"/>
  <c r="AM1715" i="2"/>
  <c r="AL1715" i="2"/>
  <c r="AL1716" i="2"/>
  <c r="AM1716" i="2"/>
  <c r="AM1717" i="2"/>
  <c r="AL1717" i="2"/>
  <c r="AM1718" i="2"/>
  <c r="AL1718" i="2"/>
  <c r="AL1719" i="2"/>
  <c r="AM1719" i="2"/>
  <c r="AM1720" i="2"/>
  <c r="AL1720" i="2"/>
  <c r="AM1721" i="2"/>
  <c r="AL1721" i="2"/>
  <c r="AL1722" i="2"/>
  <c r="AM1722" i="2"/>
  <c r="AL1723" i="2"/>
  <c r="AM1723" i="2"/>
  <c r="AL1724" i="2"/>
  <c r="AM1724" i="2"/>
  <c r="AL1725" i="2"/>
  <c r="AM1725" i="2"/>
  <c r="AL1726" i="2"/>
  <c r="AM1726" i="2"/>
  <c r="AM1727" i="2"/>
  <c r="AL1727" i="2"/>
  <c r="AL1728" i="2"/>
  <c r="AM1728" i="2"/>
  <c r="AM1729" i="2"/>
  <c r="AL1729" i="2"/>
  <c r="AM1730" i="2"/>
  <c r="AL1730" i="2"/>
  <c r="AM1731" i="2"/>
  <c r="AL1731" i="2"/>
  <c r="AL1732" i="2"/>
  <c r="AM1732" i="2"/>
  <c r="AL1733" i="2"/>
  <c r="AM1733" i="2"/>
  <c r="AL1734" i="2"/>
  <c r="AM1734" i="2"/>
  <c r="AM1735" i="2"/>
  <c r="AL1735" i="2"/>
  <c r="AL1736" i="2"/>
  <c r="AM1736" i="2"/>
  <c r="AM1737" i="2"/>
  <c r="AL1737" i="2"/>
  <c r="AL1738" i="2"/>
  <c r="AM1738" i="2"/>
  <c r="AL1739" i="2"/>
  <c r="AM1739" i="2"/>
  <c r="AL1740" i="2"/>
  <c r="AM1740" i="2"/>
  <c r="AM1741" i="2"/>
  <c r="AL1741" i="2"/>
  <c r="AL1742" i="2"/>
  <c r="AM1742" i="2"/>
  <c r="AL1743" i="2"/>
  <c r="AM1743" i="2"/>
  <c r="AM1744" i="2"/>
  <c r="AL1744" i="2"/>
  <c r="AM1745" i="2"/>
  <c r="AL1745" i="2"/>
  <c r="AM1746" i="2"/>
  <c r="AL1746" i="2"/>
  <c r="AM1747" i="2"/>
  <c r="AL1747" i="2"/>
  <c r="AL1748" i="2"/>
  <c r="AM1748" i="2"/>
  <c r="AL1749" i="2"/>
  <c r="AM1749" i="2"/>
  <c r="AM1750" i="2"/>
  <c r="AL1750" i="2"/>
  <c r="AL1751" i="2"/>
  <c r="AM1751" i="2"/>
  <c r="AL1752" i="2"/>
  <c r="AM1752" i="2"/>
  <c r="AL1753" i="2"/>
  <c r="AM1753" i="2"/>
  <c r="AM1754" i="2"/>
  <c r="AL1754" i="2"/>
  <c r="AL1755" i="2"/>
  <c r="AM1755" i="2"/>
  <c r="AL1756" i="2"/>
  <c r="AM1756" i="2"/>
  <c r="AM1757" i="2"/>
  <c r="AL1757" i="2"/>
  <c r="AM1758" i="2"/>
  <c r="AL1758" i="2"/>
  <c r="AL1759" i="2"/>
  <c r="AM1759" i="2"/>
  <c r="AM1760" i="2"/>
  <c r="AL1760" i="2"/>
  <c r="AL1761" i="2"/>
  <c r="AM1761" i="2"/>
  <c r="AM1762" i="2"/>
  <c r="AL1762" i="2"/>
  <c r="AM1763" i="2"/>
  <c r="AL1763" i="2"/>
  <c r="AL1764" i="2"/>
  <c r="AM1764" i="2"/>
  <c r="AM1765" i="2"/>
  <c r="AL1765" i="2"/>
  <c r="AM1766" i="2"/>
  <c r="AL1766" i="2"/>
  <c r="AL1767" i="2"/>
  <c r="AM1767" i="2"/>
  <c r="AL1768" i="2"/>
  <c r="AM1768" i="2"/>
  <c r="AM1769" i="2"/>
  <c r="AL1769" i="2"/>
  <c r="AL1770" i="2"/>
  <c r="AM1770" i="2"/>
  <c r="AM1771" i="2"/>
  <c r="AL1771" i="2"/>
  <c r="AL1772" i="2"/>
  <c r="AM1772" i="2"/>
  <c r="AM1773" i="2"/>
  <c r="AL1773" i="2"/>
  <c r="AM1774" i="2"/>
  <c r="AL1774" i="2"/>
  <c r="AL1775" i="2"/>
  <c r="AM1775" i="2"/>
  <c r="AL1776" i="2"/>
  <c r="AM1776" i="2"/>
  <c r="AL1777" i="2"/>
  <c r="AM1777" i="2"/>
  <c r="AL1778" i="2"/>
  <c r="AM1778" i="2"/>
  <c r="AM1779" i="2"/>
  <c r="AL1779" i="2"/>
  <c r="AL1780" i="2"/>
  <c r="AM1780" i="2"/>
  <c r="AL1781" i="2"/>
  <c r="AM1781" i="2"/>
  <c r="AM1782" i="2"/>
  <c r="AL1782" i="2"/>
  <c r="AL1783" i="2"/>
  <c r="AM1783" i="2"/>
  <c r="AL1784" i="2"/>
  <c r="AM1784" i="2"/>
  <c r="AL1785" i="2"/>
  <c r="AM1785" i="2"/>
  <c r="AL1786" i="2"/>
  <c r="AM1786" i="2"/>
  <c r="AM1787" i="2"/>
  <c r="AL1787" i="2"/>
  <c r="AL1788" i="2"/>
  <c r="AM1788" i="2"/>
  <c r="AM1789" i="2"/>
  <c r="AL1789" i="2"/>
  <c r="AL1790" i="2"/>
  <c r="AM1790" i="2"/>
  <c r="AM1791" i="2"/>
  <c r="AL1791" i="2"/>
  <c r="AL1792" i="2"/>
  <c r="AM1792" i="2"/>
  <c r="AL1793" i="2"/>
  <c r="AM1793" i="2"/>
  <c r="AL1794" i="2"/>
  <c r="AM1794" i="2"/>
  <c r="AL1795" i="2"/>
  <c r="AM1795" i="2"/>
  <c r="AL1796" i="2"/>
  <c r="AM1796" i="2"/>
  <c r="AM1797" i="2"/>
  <c r="AL1797" i="2"/>
  <c r="AM1798" i="2"/>
  <c r="AL1798" i="2"/>
  <c r="AM1799" i="2"/>
  <c r="AL1799" i="2"/>
  <c r="AL1800" i="2"/>
  <c r="AM1800" i="2"/>
  <c r="AM1801" i="2"/>
  <c r="AL1801" i="2"/>
  <c r="AM1802" i="2"/>
  <c r="AL1802" i="2"/>
  <c r="AL1803" i="2"/>
  <c r="AM1803" i="2"/>
  <c r="AL1804" i="2"/>
  <c r="AM1804" i="2"/>
  <c r="AM1805" i="2"/>
  <c r="AL1805" i="2"/>
  <c r="AL1806" i="2"/>
  <c r="AM1806" i="2"/>
  <c r="AL1807" i="2"/>
  <c r="AM1807" i="2"/>
  <c r="AM1808" i="2"/>
  <c r="AL1808" i="2"/>
  <c r="AL1809" i="2"/>
  <c r="AM1809" i="2"/>
  <c r="AM1810" i="2"/>
  <c r="AL1810" i="2"/>
  <c r="AL1811" i="2"/>
  <c r="AM1811" i="2"/>
  <c r="AL1812" i="2"/>
  <c r="AM1812" i="2"/>
  <c r="AL1813" i="2"/>
  <c r="AM1813" i="2"/>
  <c r="AM1814" i="2"/>
  <c r="AL1814" i="2"/>
  <c r="AL1815" i="2"/>
  <c r="AM1815" i="2"/>
  <c r="AL1816" i="2"/>
  <c r="AM1816" i="2"/>
  <c r="AL1817" i="2"/>
  <c r="AM1817" i="2"/>
  <c r="AM1818" i="2"/>
  <c r="AL1818" i="2"/>
  <c r="AM1819" i="2"/>
  <c r="AL1819" i="2"/>
  <c r="AL1820" i="2"/>
  <c r="AM1820" i="2"/>
  <c r="AM1821" i="2"/>
  <c r="AL1821" i="2"/>
  <c r="AM1822" i="2"/>
  <c r="AL1822" i="2"/>
  <c r="AL1823" i="2"/>
  <c r="AM1823" i="2"/>
  <c r="AM1824" i="2"/>
  <c r="AL1824" i="2"/>
  <c r="AL1825" i="2"/>
  <c r="AM1825" i="2"/>
  <c r="AL1826" i="2"/>
  <c r="AM1826" i="2"/>
  <c r="AM1827" i="2"/>
  <c r="AL1827" i="2"/>
  <c r="AL1828" i="2"/>
  <c r="AM1828" i="2"/>
  <c r="AM1829" i="2"/>
  <c r="AL1829" i="2"/>
  <c r="AM1830" i="2"/>
  <c r="AL1830" i="2"/>
  <c r="AL1831" i="2"/>
  <c r="AM1831" i="2"/>
  <c r="AL1832" i="2"/>
  <c r="AM1832" i="2"/>
  <c r="AM1833" i="2"/>
  <c r="AL1833" i="2"/>
  <c r="AL1834" i="2"/>
  <c r="AM1834" i="2"/>
  <c r="AM1835" i="2"/>
  <c r="AL1835" i="2"/>
  <c r="AL1836" i="2"/>
  <c r="AM1836" i="2"/>
  <c r="AM1837" i="2"/>
  <c r="AL1837" i="2"/>
  <c r="AM1838" i="2"/>
  <c r="AL1838" i="2"/>
  <c r="AL1839" i="2"/>
  <c r="AM1839" i="2"/>
  <c r="AL1840" i="2"/>
  <c r="AM1840" i="2"/>
  <c r="AL1841" i="2"/>
  <c r="AM1841" i="2"/>
  <c r="AL1842" i="2"/>
  <c r="AM1842" i="2"/>
  <c r="AL1843" i="2"/>
  <c r="AM1843" i="2"/>
  <c r="AL1844" i="2"/>
  <c r="AM1844" i="2"/>
  <c r="AL1845" i="2"/>
  <c r="AM1845" i="2"/>
  <c r="AM1846" i="2"/>
  <c r="AL1846" i="2"/>
  <c r="AL1847" i="2"/>
  <c r="AM1847" i="2"/>
  <c r="AM1848" i="2"/>
  <c r="AL1848" i="2"/>
  <c r="AL1849" i="2"/>
  <c r="AM1849" i="2"/>
  <c r="AL1850" i="2"/>
  <c r="AM1850" i="2"/>
  <c r="AL1851" i="2"/>
  <c r="AM1851" i="2"/>
  <c r="AL1852" i="2"/>
  <c r="AM1852" i="2"/>
  <c r="AM1853" i="2"/>
  <c r="AL1853" i="2"/>
  <c r="AL1854" i="2"/>
  <c r="AM1854" i="2"/>
  <c r="AM1855" i="2"/>
  <c r="AL1855" i="2"/>
  <c r="AL1856" i="2"/>
  <c r="AM1856" i="2"/>
  <c r="AL1857" i="2"/>
  <c r="AM1857" i="2"/>
  <c r="AL1858" i="2"/>
  <c r="AM1858" i="2"/>
  <c r="AL1859" i="2"/>
  <c r="AM1859" i="2"/>
  <c r="AL1860" i="2"/>
  <c r="AM1860" i="2"/>
  <c r="AM1861" i="2"/>
  <c r="AL1861" i="2"/>
  <c r="AM1862" i="2"/>
  <c r="AL1862" i="2"/>
  <c r="AL1863" i="2"/>
  <c r="AM1863" i="2"/>
  <c r="AL1864" i="2"/>
  <c r="AM1864" i="2"/>
  <c r="AM1865" i="2"/>
  <c r="AL1865" i="2"/>
  <c r="AL1866" i="2"/>
  <c r="AM1866" i="2"/>
  <c r="AL1867" i="2"/>
  <c r="AM1867" i="2"/>
  <c r="AL1868" i="2"/>
  <c r="AM1868" i="2"/>
  <c r="AM1869" i="2"/>
  <c r="AL1869" i="2"/>
  <c r="AL1870" i="2"/>
  <c r="AM1870" i="2"/>
  <c r="AL1871" i="2"/>
  <c r="AM1871" i="2"/>
  <c r="AM1872" i="2"/>
  <c r="AL1872" i="2"/>
  <c r="AL1873" i="2"/>
  <c r="AM1873" i="2"/>
  <c r="AM1874" i="2"/>
  <c r="AL1874" i="2"/>
  <c r="AM1875" i="2"/>
  <c r="AL1875" i="2"/>
  <c r="AL1876" i="2"/>
  <c r="AM1876" i="2"/>
  <c r="AL1877" i="2"/>
  <c r="AM1877" i="2"/>
  <c r="AM1878" i="2"/>
  <c r="AL1878" i="2"/>
  <c r="AM1879" i="2"/>
  <c r="AL1879" i="2"/>
  <c r="AL1880" i="2"/>
  <c r="AM1880" i="2"/>
  <c r="AL1881" i="2"/>
  <c r="AM1881" i="2"/>
  <c r="AM1882" i="2"/>
  <c r="AL1882" i="2"/>
  <c r="AM1883" i="2"/>
  <c r="AL1883" i="2"/>
  <c r="AL1884" i="2"/>
  <c r="AM1884" i="2"/>
  <c r="AM1885" i="2"/>
  <c r="AL1885" i="2"/>
  <c r="AM1886" i="2"/>
  <c r="AL1886" i="2"/>
  <c r="AL1887" i="2"/>
  <c r="AM1887" i="2"/>
  <c r="AM1888" i="2"/>
  <c r="AL1888" i="2"/>
  <c r="AL1889" i="2"/>
  <c r="AM1889" i="2"/>
  <c r="AL1890" i="2"/>
  <c r="AM1890" i="2"/>
  <c r="AM1891" i="2"/>
  <c r="AL1891" i="2"/>
  <c r="AL1892" i="2"/>
  <c r="AM1892" i="2"/>
  <c r="AL1893" i="2"/>
  <c r="AM1893" i="2"/>
  <c r="AM1894" i="2"/>
  <c r="AL1894" i="2"/>
  <c r="AL1895" i="2"/>
  <c r="AM1895" i="2"/>
  <c r="AM1896" i="2"/>
  <c r="AL1896" i="2"/>
  <c r="AM1897" i="2"/>
  <c r="AL1897" i="2"/>
  <c r="AL1898" i="2"/>
  <c r="AM1898" i="2"/>
  <c r="AM1899" i="2"/>
  <c r="AL1899" i="2"/>
  <c r="AL1900" i="2"/>
  <c r="AM1900" i="2"/>
  <c r="AM1901" i="2"/>
  <c r="AL1901" i="2"/>
  <c r="AL1902" i="2"/>
  <c r="AM1902" i="2"/>
  <c r="AL1903" i="2"/>
  <c r="AM1903" i="2"/>
  <c r="AL1904" i="2"/>
  <c r="AM1904" i="2"/>
  <c r="AL1905" i="2"/>
  <c r="AM1905" i="2"/>
  <c r="AL1906" i="2"/>
  <c r="AM1906" i="2"/>
  <c r="AL1907" i="2"/>
  <c r="AM1907" i="2"/>
  <c r="AL1908" i="2"/>
  <c r="AM1908" i="2"/>
  <c r="AL1909" i="2"/>
  <c r="AM1909" i="2"/>
  <c r="AM1910" i="2"/>
  <c r="AL1910" i="2"/>
  <c r="AM1911" i="2"/>
  <c r="AL1911" i="2"/>
  <c r="AM1912" i="2"/>
  <c r="AL1912" i="2"/>
  <c r="AL1913" i="2"/>
  <c r="AM1913" i="2"/>
  <c r="AL1914" i="2"/>
  <c r="AM1914" i="2"/>
  <c r="AL1915" i="2"/>
  <c r="AM1915" i="2"/>
  <c r="AL1916" i="2"/>
  <c r="AM1916" i="2"/>
  <c r="AL1917" i="2"/>
  <c r="AM1917" i="2"/>
  <c r="AL1918" i="2"/>
  <c r="AM1918" i="2"/>
  <c r="AM1919" i="2"/>
  <c r="AL1919" i="2"/>
  <c r="AL1920" i="2"/>
  <c r="AM1920" i="2"/>
  <c r="AL1921" i="2"/>
  <c r="AM1921" i="2"/>
  <c r="AL1922" i="2"/>
  <c r="AM1922" i="2"/>
  <c r="AL1923" i="2"/>
  <c r="AM1923" i="2"/>
  <c r="AL1924" i="2"/>
  <c r="AM1924" i="2"/>
  <c r="AL1925" i="2"/>
  <c r="AM1925" i="2"/>
  <c r="AM1926" i="2"/>
  <c r="AL1926" i="2"/>
  <c r="AL1927" i="2"/>
  <c r="AM1927" i="2"/>
  <c r="AL1928" i="2"/>
  <c r="AM1928" i="2"/>
  <c r="AM1929" i="2"/>
  <c r="AL1929" i="2"/>
  <c r="AM1930" i="2"/>
  <c r="AL1930" i="2"/>
  <c r="AL1931" i="2"/>
  <c r="AM1931" i="2"/>
  <c r="AL1932" i="2"/>
  <c r="AM1932" i="2"/>
  <c r="AM1933" i="2"/>
  <c r="AL1933" i="2"/>
  <c r="AL1934" i="2"/>
  <c r="AM1934" i="2"/>
  <c r="AL1935" i="2"/>
  <c r="AM1935" i="2"/>
  <c r="AL1936" i="2"/>
  <c r="AM1936" i="2"/>
  <c r="AL1937" i="2"/>
  <c r="AM1937" i="2"/>
  <c r="AM1938" i="2"/>
  <c r="AL1938" i="2"/>
  <c r="AL1939" i="2"/>
  <c r="AM1939" i="2"/>
  <c r="AL1940" i="2"/>
  <c r="AM1940" i="2"/>
  <c r="AL1941" i="2"/>
  <c r="AM1941" i="2"/>
  <c r="AM1942" i="2"/>
  <c r="AL1942" i="2"/>
  <c r="AM1943" i="2"/>
  <c r="AL1943" i="2"/>
  <c r="AL1944" i="2"/>
  <c r="AM1944" i="2"/>
  <c r="AL1945" i="2"/>
  <c r="AM1945" i="2"/>
  <c r="AM1946" i="2"/>
  <c r="AL1946" i="2"/>
  <c r="AM1947" i="2"/>
  <c r="AL1947" i="2"/>
  <c r="AL1948" i="2"/>
  <c r="AM1948" i="2"/>
  <c r="AM1949" i="2"/>
  <c r="AL1949" i="2"/>
  <c r="AM1950" i="2"/>
  <c r="AL1950" i="2"/>
  <c r="AM1951" i="2"/>
  <c r="AL1951" i="2"/>
  <c r="AM1952" i="2"/>
  <c r="AL1952" i="2"/>
  <c r="AL1953" i="2"/>
  <c r="AM1953" i="2"/>
  <c r="AL1954" i="2"/>
  <c r="AM1954" i="2"/>
  <c r="AM1955" i="2"/>
  <c r="AL1955" i="2"/>
  <c r="AL1956" i="2"/>
  <c r="AM1956" i="2"/>
  <c r="AL1957" i="2"/>
  <c r="AM1957" i="2"/>
  <c r="AM1958" i="2"/>
  <c r="AL1958" i="2"/>
  <c r="AL1959" i="2"/>
  <c r="AM1959" i="2"/>
  <c r="AM1960" i="2"/>
  <c r="AL1960" i="2"/>
  <c r="AM1961" i="2"/>
  <c r="AL1961" i="2"/>
  <c r="AM1962" i="2"/>
  <c r="AL1962" i="2"/>
  <c r="AM1963" i="2"/>
  <c r="AL1963" i="2"/>
  <c r="AL1964" i="2"/>
  <c r="AM1964" i="2"/>
  <c r="AM1965" i="2"/>
  <c r="AL1965" i="2"/>
  <c r="AL1966" i="2"/>
  <c r="AM1966" i="2"/>
  <c r="AL1967" i="2"/>
  <c r="AM1967" i="2"/>
  <c r="AL1968" i="2"/>
  <c r="AM1968" i="2"/>
  <c r="AL1969" i="2"/>
  <c r="AM1969" i="2"/>
  <c r="AM1970" i="2"/>
  <c r="AL1970" i="2"/>
  <c r="AL1971" i="2"/>
  <c r="AM1971" i="2"/>
  <c r="AL1972" i="2"/>
  <c r="AM1972" i="2"/>
  <c r="AL1973" i="2"/>
  <c r="AM1973" i="2"/>
  <c r="AM1974" i="2"/>
  <c r="AL1974" i="2"/>
  <c r="AL1975" i="2"/>
  <c r="AM1975" i="2"/>
  <c r="AM1976" i="2"/>
  <c r="AL1976" i="2"/>
  <c r="AL1977" i="2"/>
  <c r="AM1977" i="2"/>
  <c r="AL1978" i="2"/>
  <c r="AM1978" i="2"/>
  <c r="AL1979" i="2"/>
  <c r="AM1979" i="2"/>
  <c r="AL1980" i="2"/>
  <c r="AM1980" i="2"/>
  <c r="AL1981" i="2"/>
  <c r="AM1981" i="2"/>
  <c r="AM1982" i="2"/>
  <c r="AL1982" i="2"/>
  <c r="AM1983" i="2"/>
  <c r="AL1983" i="2"/>
  <c r="AM1984" i="2"/>
  <c r="AL1984" i="2"/>
  <c r="AM1985" i="2"/>
  <c r="AL1985" i="2"/>
  <c r="AL1986" i="2"/>
  <c r="AM1986" i="2"/>
  <c r="AL1987" i="2"/>
  <c r="AM1987" i="2"/>
  <c r="AL1988" i="2"/>
  <c r="AM1988" i="2"/>
  <c r="AM1989" i="2"/>
  <c r="AL1989" i="2"/>
  <c r="AL1990" i="2"/>
  <c r="AM1990" i="2"/>
  <c r="AL1991" i="2"/>
  <c r="AM1991" i="2"/>
  <c r="AL1992" i="2"/>
  <c r="AM1992" i="2"/>
  <c r="AM1993" i="2"/>
  <c r="AL1993" i="2"/>
  <c r="AM1994" i="2"/>
  <c r="AL1994" i="2"/>
  <c r="AL1995" i="2"/>
  <c r="AM1995" i="2"/>
  <c r="AL1996" i="2"/>
  <c r="AM1996" i="2"/>
  <c r="AM1997" i="2"/>
  <c r="AL1997" i="2"/>
  <c r="AM1998" i="2"/>
  <c r="AL1998" i="2"/>
  <c r="AL1999" i="2"/>
  <c r="AM1999" i="2"/>
  <c r="AL2000" i="2"/>
  <c r="AM2000" i="2"/>
  <c r="AL2001" i="2"/>
  <c r="AM2001" i="2"/>
  <c r="AM2002" i="2"/>
  <c r="AL2002" i="2"/>
  <c r="AM2003" i="2"/>
  <c r="AL2003" i="2"/>
  <c r="AL2004" i="2"/>
  <c r="AM2004" i="2"/>
  <c r="AL2005" i="2"/>
  <c r="AM2005" i="2"/>
  <c r="AM2006" i="2"/>
  <c r="AL2006" i="2"/>
  <c r="AM2007" i="2"/>
  <c r="AL2007" i="2"/>
  <c r="AL2008" i="2"/>
  <c r="AM2008" i="2"/>
  <c r="AL2009" i="2"/>
  <c r="AM2009" i="2"/>
  <c r="AM2010" i="2"/>
  <c r="AL2010" i="2"/>
  <c r="AM2011" i="2"/>
  <c r="AL2011" i="2"/>
  <c r="AL2012" i="2"/>
  <c r="AM2012" i="2"/>
  <c r="AM2013" i="2"/>
  <c r="AL2013" i="2"/>
  <c r="AM2014" i="2"/>
  <c r="AL2014" i="2"/>
  <c r="AL2015" i="2"/>
  <c r="AM2015" i="2"/>
  <c r="AM2016" i="2"/>
  <c r="AL2016" i="2"/>
  <c r="AM2017" i="2"/>
  <c r="AL2017" i="2"/>
  <c r="AM2018" i="2"/>
  <c r="AL2018" i="2"/>
  <c r="AM2019" i="2"/>
  <c r="AL2019" i="2"/>
  <c r="AL2020" i="2"/>
  <c r="AM2020" i="2"/>
  <c r="AL2021" i="2"/>
  <c r="AM2021" i="2"/>
  <c r="AL2022" i="2"/>
  <c r="AM2022" i="2"/>
  <c r="AM2023" i="2"/>
  <c r="AL2023" i="2"/>
  <c r="AL2024" i="2"/>
  <c r="AM2024" i="2"/>
  <c r="AL2025" i="2"/>
  <c r="AM2025" i="2"/>
  <c r="AL2026" i="2"/>
  <c r="AM2026" i="2"/>
  <c r="AM2027" i="2"/>
  <c r="AL2027" i="2"/>
  <c r="AL2028" i="2"/>
  <c r="AM2028" i="2"/>
  <c r="AL2029" i="2"/>
  <c r="AM2029" i="2"/>
  <c r="AL2030" i="2"/>
  <c r="AM2030" i="2"/>
  <c r="AL2031" i="2"/>
  <c r="AM2031" i="2"/>
  <c r="AL2032" i="2"/>
  <c r="AM2032" i="2"/>
  <c r="AM2033" i="2"/>
  <c r="AL2033" i="2"/>
  <c r="AL2034" i="2"/>
  <c r="AM2034" i="2"/>
  <c r="AL2035" i="2"/>
  <c r="AM2035" i="2"/>
  <c r="AL2036" i="2"/>
  <c r="AM2036" i="2"/>
  <c r="AM2037" i="2"/>
  <c r="AL2037" i="2"/>
  <c r="AM2038" i="2"/>
  <c r="AL2038" i="2"/>
  <c r="AL2039" i="2"/>
  <c r="AM2039" i="2"/>
  <c r="AM2040" i="2"/>
  <c r="AL2040" i="2"/>
  <c r="AL2041" i="2"/>
  <c r="AM2041" i="2"/>
  <c r="AL2042" i="2"/>
  <c r="AM2042" i="2"/>
  <c r="AM2043" i="2"/>
  <c r="AL2043" i="2"/>
  <c r="AL2044" i="2"/>
  <c r="AM2044" i="2"/>
  <c r="AL2045" i="2"/>
  <c r="AM2045" i="2"/>
  <c r="AM2046" i="2"/>
  <c r="AL2046" i="2"/>
  <c r="AL2047" i="2"/>
  <c r="AM2047" i="2"/>
  <c r="AM2048" i="2"/>
  <c r="AL2048" i="2"/>
  <c r="AM2049" i="2"/>
  <c r="AL2049" i="2"/>
  <c r="AL2050" i="2"/>
  <c r="AM2050" i="2"/>
  <c r="AL2051" i="2"/>
  <c r="AM2051" i="2"/>
  <c r="AL2052" i="2"/>
  <c r="AM2052" i="2"/>
  <c r="AM2053" i="2"/>
  <c r="AL2053" i="2"/>
  <c r="AM2054" i="2"/>
  <c r="AL2054" i="2"/>
  <c r="AL2055" i="2"/>
  <c r="AM2055" i="2"/>
  <c r="AL2056" i="2"/>
  <c r="AM2056" i="2"/>
  <c r="AL2057" i="2"/>
  <c r="AM2057" i="2"/>
  <c r="AM2058" i="2"/>
  <c r="AL2058" i="2"/>
  <c r="AM2059" i="2"/>
  <c r="AL2059" i="2"/>
  <c r="AL2060" i="2"/>
  <c r="AM2060" i="2"/>
  <c r="AL2061" i="2"/>
  <c r="AM2061" i="2"/>
  <c r="AL2062" i="2"/>
  <c r="AM2062" i="2"/>
  <c r="AL2063" i="2"/>
  <c r="AM2063" i="2"/>
  <c r="AM2064" i="2"/>
  <c r="AL2064" i="2"/>
  <c r="AM2065" i="2"/>
  <c r="AL2065" i="2"/>
  <c r="AM2066" i="2"/>
  <c r="AL2066" i="2"/>
  <c r="AL2067" i="2"/>
  <c r="AM2067" i="2"/>
  <c r="AL2068" i="2"/>
  <c r="AM2068" i="2"/>
  <c r="AL2069" i="2"/>
  <c r="AM2069" i="2"/>
  <c r="AM2070" i="2"/>
  <c r="AL2070" i="2"/>
  <c r="AM2071" i="2"/>
  <c r="AL2071" i="2"/>
  <c r="AL2072" i="2"/>
  <c r="AM2072" i="2"/>
  <c r="AL2073" i="2"/>
  <c r="AM2073" i="2"/>
  <c r="AM2074" i="2"/>
  <c r="AL2074" i="2"/>
  <c r="AM2075" i="2"/>
  <c r="AL2075" i="2"/>
  <c r="AL2076" i="2"/>
  <c r="AM2076" i="2"/>
  <c r="AM2077" i="2"/>
  <c r="AL2077" i="2"/>
  <c r="AM2078" i="2"/>
  <c r="AL2078" i="2"/>
  <c r="AL2079" i="2"/>
  <c r="AM2079" i="2"/>
  <c r="AM2080" i="2"/>
  <c r="AL2080" i="2"/>
  <c r="AM2081" i="2"/>
  <c r="AL2081" i="2"/>
  <c r="AL2082" i="2"/>
  <c r="AM2082" i="2"/>
  <c r="AM2083" i="2"/>
  <c r="AL2083" i="2"/>
  <c r="AL2084" i="2"/>
  <c r="AM2084" i="2"/>
  <c r="AL2085" i="2"/>
  <c r="AM2085" i="2"/>
  <c r="AL2086" i="2"/>
  <c r="AM2086" i="2"/>
  <c r="AL2087" i="2"/>
  <c r="AM2087" i="2"/>
  <c r="AL2088" i="2"/>
  <c r="AM2088" i="2"/>
  <c r="AL2089" i="2"/>
  <c r="AM2089" i="2"/>
  <c r="AL2090" i="2"/>
  <c r="AM2090" i="2"/>
  <c r="AM2091" i="2"/>
  <c r="AL2091" i="2"/>
  <c r="AL2092" i="2"/>
  <c r="AM2092" i="2"/>
  <c r="AL2093" i="2"/>
  <c r="AM2093" i="2"/>
  <c r="AM2094" i="2"/>
  <c r="AL2094" i="2"/>
  <c r="AL2095" i="2"/>
  <c r="AM2095" i="2"/>
  <c r="AL2096" i="2"/>
  <c r="AM2096" i="2"/>
  <c r="AM2097" i="2"/>
  <c r="AL2097" i="2"/>
  <c r="AL2098" i="2"/>
  <c r="AM2098" i="2"/>
  <c r="AL2099" i="2"/>
  <c r="AM2099" i="2"/>
  <c r="AL2100" i="2"/>
  <c r="AM2100" i="2"/>
  <c r="AL2101" i="2"/>
  <c r="AM2101" i="2"/>
  <c r="AM2102" i="2"/>
  <c r="AL2102" i="2"/>
  <c r="AL2103" i="2"/>
  <c r="AM2103" i="2"/>
  <c r="AM2104" i="2"/>
  <c r="AL2104" i="2"/>
  <c r="AL2105" i="2"/>
  <c r="AM2105" i="2"/>
  <c r="AL2106" i="2"/>
  <c r="AM2106" i="2"/>
  <c r="AM2107" i="2"/>
  <c r="AL2107" i="2"/>
  <c r="AL2108" i="2"/>
  <c r="AM2108" i="2"/>
  <c r="AM2109" i="2"/>
  <c r="AL2109" i="2"/>
  <c r="AL2110" i="2"/>
  <c r="AM2110" i="2"/>
  <c r="AL2111" i="2"/>
  <c r="AM2111" i="2"/>
  <c r="AM2112" i="2"/>
  <c r="AL2112" i="2"/>
  <c r="AM2113" i="2"/>
  <c r="AL2113" i="2"/>
  <c r="AL2114" i="2"/>
  <c r="AM2114" i="2"/>
  <c r="AL2115" i="2"/>
  <c r="AM2115" i="2"/>
  <c r="AL2116" i="2"/>
  <c r="AM2116" i="2"/>
  <c r="AM2117" i="2"/>
  <c r="AL2117" i="2"/>
  <c r="AM2118" i="2"/>
  <c r="AL2118" i="2"/>
  <c r="AL2119" i="2"/>
  <c r="AM2119" i="2"/>
  <c r="AL2120" i="2"/>
  <c r="AM2120" i="2"/>
  <c r="AL2121" i="2"/>
  <c r="AM2121" i="2"/>
  <c r="AL2122" i="2"/>
  <c r="AM2122" i="2"/>
  <c r="AM2123" i="2"/>
  <c r="AL2123" i="2"/>
  <c r="AL2124" i="2"/>
  <c r="AM2124" i="2"/>
  <c r="AL2125" i="2"/>
  <c r="AM2125" i="2"/>
  <c r="AL2126" i="2"/>
  <c r="AM2126" i="2"/>
  <c r="AL2127" i="2"/>
  <c r="AM2127" i="2"/>
  <c r="AL2128" i="2"/>
  <c r="AM2128" i="2"/>
  <c r="AM2129" i="2"/>
  <c r="AL2129" i="2"/>
  <c r="AM2130" i="2"/>
  <c r="AL2130" i="2"/>
  <c r="AL2131" i="2"/>
  <c r="AM2131" i="2"/>
  <c r="AL2132" i="2"/>
  <c r="AM2132" i="2"/>
  <c r="AL2133" i="2"/>
  <c r="AM2133" i="2"/>
  <c r="AM2134" i="2"/>
  <c r="AL2134" i="2"/>
  <c r="AM2135" i="2"/>
  <c r="AL2135" i="2"/>
  <c r="AL2136" i="2"/>
  <c r="AM2136" i="2"/>
  <c r="AM2137" i="2"/>
  <c r="AL2137" i="2"/>
  <c r="AM2138" i="2"/>
  <c r="AL2138" i="2"/>
  <c r="AL2139" i="2"/>
  <c r="AM2139" i="2"/>
  <c r="AL2140" i="2"/>
  <c r="AM2140" i="2"/>
  <c r="AM2141" i="2"/>
  <c r="AL2141" i="2"/>
  <c r="AL2142" i="2"/>
  <c r="AM2142" i="2"/>
  <c r="AM2143" i="2"/>
  <c r="AL2143" i="2"/>
  <c r="AM2144" i="2"/>
  <c r="AL2144" i="2"/>
  <c r="AL2145" i="2"/>
  <c r="AM2145" i="2"/>
  <c r="AL2146" i="2"/>
  <c r="AM2146" i="2"/>
  <c r="AM2147" i="2"/>
  <c r="AL2147" i="2"/>
  <c r="AL2148" i="2"/>
  <c r="AM2148" i="2"/>
  <c r="AL2149" i="2"/>
  <c r="AM2149" i="2"/>
  <c r="AL2150" i="2"/>
  <c r="AM2150" i="2"/>
  <c r="AL2151" i="2"/>
  <c r="AM2151" i="2"/>
  <c r="AL2152" i="2"/>
  <c r="AM2152" i="2"/>
  <c r="AM2153" i="2"/>
  <c r="AL2153" i="2"/>
  <c r="AL2154" i="2"/>
  <c r="AM2154" i="2"/>
  <c r="AL2155" i="2"/>
  <c r="AM2155" i="2"/>
  <c r="AL2156" i="2"/>
  <c r="AM2156" i="2"/>
  <c r="AL2157" i="2"/>
  <c r="AM2157" i="2"/>
  <c r="AL2158" i="2"/>
  <c r="AM2158" i="2"/>
  <c r="AL2159" i="2"/>
  <c r="AM2159" i="2"/>
  <c r="AL2160" i="2"/>
  <c r="AM2160" i="2"/>
  <c r="AL2161" i="2"/>
  <c r="AM2161" i="2"/>
  <c r="AM2162" i="2"/>
  <c r="AL2162" i="2"/>
  <c r="AL2163" i="2"/>
  <c r="AM2163" i="2"/>
  <c r="AL2164" i="2"/>
  <c r="AM2164" i="2"/>
  <c r="AM2165" i="2"/>
  <c r="AL2165" i="2"/>
  <c r="AL2166" i="2"/>
  <c r="AM2166" i="2"/>
  <c r="AL2167" i="2"/>
  <c r="AM2167" i="2"/>
  <c r="AM2168" i="2"/>
  <c r="AL2168" i="2"/>
  <c r="AM2169" i="2"/>
  <c r="AL2169" i="2"/>
  <c r="AM2170" i="2"/>
  <c r="AL2170" i="2"/>
  <c r="AM2171" i="2"/>
  <c r="AL2171" i="2"/>
  <c r="AL2172" i="2"/>
  <c r="AM2172" i="2"/>
  <c r="AL2173" i="2"/>
  <c r="AM2173" i="2"/>
  <c r="AM2174" i="2"/>
  <c r="AL2174" i="2"/>
  <c r="AL2175" i="2"/>
  <c r="AM2175" i="2"/>
  <c r="AM2176" i="2"/>
  <c r="AL2176" i="2"/>
  <c r="AL2177" i="2"/>
  <c r="AM2177" i="2"/>
  <c r="AM2178" i="2"/>
  <c r="AL2178" i="2"/>
  <c r="AL2179" i="2"/>
  <c r="AM2179" i="2"/>
  <c r="AL2180" i="2"/>
  <c r="AM2180" i="2"/>
  <c r="AM2181" i="2"/>
  <c r="AL2181" i="2"/>
  <c r="AL2182" i="2"/>
  <c r="AM2182" i="2"/>
  <c r="AM2183" i="2"/>
  <c r="AL2183" i="2"/>
  <c r="AL2184" i="2"/>
  <c r="AM2184" i="2"/>
  <c r="AL2185" i="2"/>
  <c r="AM2185" i="2"/>
  <c r="AL2186" i="2"/>
  <c r="AM2186" i="2"/>
  <c r="AM2187" i="2"/>
  <c r="AL2187" i="2"/>
  <c r="AL2188" i="2"/>
  <c r="AM2188" i="2"/>
  <c r="AM2189" i="2"/>
  <c r="AL2189" i="2"/>
  <c r="AL2190" i="2"/>
  <c r="AM2190" i="2"/>
  <c r="AM2191" i="2"/>
  <c r="AL2191" i="2"/>
  <c r="AL2192" i="2"/>
  <c r="AM2192" i="2"/>
  <c r="AL2193" i="2"/>
  <c r="AM2193" i="2"/>
  <c r="AM2194" i="2"/>
  <c r="AL2194" i="2"/>
  <c r="AL2195" i="2"/>
  <c r="AM2195" i="2"/>
  <c r="AL2196" i="2"/>
  <c r="AM2196" i="2"/>
  <c r="AM2197" i="2"/>
  <c r="AL2197" i="2"/>
  <c r="AL2198" i="2"/>
  <c r="AM2198" i="2"/>
  <c r="AL2199" i="2"/>
  <c r="AM2199" i="2"/>
  <c r="AL2200" i="2"/>
  <c r="AM2200" i="2"/>
  <c r="AM2201" i="2"/>
  <c r="AL2201" i="2"/>
  <c r="AL2202" i="2"/>
  <c r="AM2202" i="2"/>
  <c r="AM2203" i="2"/>
  <c r="AL2203" i="2"/>
  <c r="AL2204" i="2"/>
  <c r="AM2204" i="2"/>
  <c r="AM2205" i="2"/>
  <c r="AL2205" i="2"/>
  <c r="AL2206" i="2"/>
  <c r="AM2206" i="2"/>
  <c r="AL2207" i="2"/>
  <c r="AM2207" i="2"/>
  <c r="AM2208" i="2"/>
  <c r="AL2208" i="2"/>
  <c r="AL2209" i="2"/>
  <c r="AM2209" i="2"/>
  <c r="AM2210" i="2"/>
  <c r="AL2210" i="2"/>
  <c r="AM2211" i="2"/>
  <c r="AL2211" i="2"/>
  <c r="AL2212" i="2"/>
  <c r="AM2212" i="2"/>
  <c r="AL2213" i="2"/>
  <c r="AM2213" i="2"/>
  <c r="AM2214" i="2"/>
  <c r="AL2214" i="2"/>
  <c r="AL2215" i="2"/>
  <c r="AM2215" i="2"/>
  <c r="AL2216" i="2"/>
  <c r="AM2216" i="2"/>
  <c r="AL2217" i="2"/>
  <c r="AM2217" i="2"/>
  <c r="AL2218" i="2"/>
  <c r="AM2218" i="2"/>
  <c r="AM2219" i="2"/>
  <c r="AL2219" i="2"/>
  <c r="AL2220" i="2"/>
  <c r="AM2220" i="2"/>
  <c r="AL2221" i="2"/>
  <c r="AM2221" i="2"/>
  <c r="AM2222" i="2"/>
  <c r="AL2222" i="2"/>
  <c r="AM2223" i="2"/>
  <c r="AL2223" i="2"/>
  <c r="AL2224" i="2"/>
  <c r="AM2224" i="2"/>
  <c r="AM2225" i="2"/>
  <c r="AL2225" i="2"/>
  <c r="AM2226" i="2"/>
  <c r="AL2226" i="2"/>
  <c r="AL2227" i="2"/>
  <c r="AM2227" i="2"/>
  <c r="AL2228" i="2"/>
  <c r="AM2228" i="2"/>
  <c r="AL2229" i="2"/>
  <c r="AM2229" i="2"/>
  <c r="AL2230" i="2"/>
  <c r="AM2230" i="2"/>
  <c r="AM2231" i="2"/>
  <c r="AL2231" i="2"/>
  <c r="AL2232" i="2"/>
  <c r="AM2232" i="2"/>
  <c r="AM2233" i="2"/>
  <c r="AL2233" i="2"/>
  <c r="AL2234" i="2"/>
  <c r="AM2234" i="2"/>
  <c r="AM2235" i="2"/>
  <c r="AL2235" i="2"/>
  <c r="AL2236" i="2"/>
  <c r="AM2236" i="2"/>
  <c r="AL2237" i="2"/>
  <c r="AM2237" i="2"/>
  <c r="AM2238" i="2"/>
  <c r="AL2238" i="2"/>
  <c r="AL2239" i="2"/>
  <c r="AM2239" i="2"/>
  <c r="AL2240" i="2"/>
  <c r="AM2240" i="2"/>
  <c r="AL2241" i="2"/>
  <c r="AM2241" i="2"/>
  <c r="AM2242" i="2"/>
  <c r="AL2242" i="2"/>
  <c r="AM2243" i="2"/>
  <c r="AL2243" i="2"/>
  <c r="AL2244" i="2"/>
  <c r="AM2244" i="2"/>
  <c r="AL2245" i="2"/>
  <c r="AM2245" i="2"/>
  <c r="AL2246" i="2"/>
  <c r="AM2246" i="2"/>
  <c r="AL2247" i="2"/>
  <c r="AM2247" i="2"/>
  <c r="AL2248" i="2"/>
  <c r="AM2248" i="2"/>
  <c r="AM2249" i="2"/>
  <c r="AL2249" i="2"/>
  <c r="AM2250" i="2"/>
  <c r="AL2250" i="2"/>
  <c r="AM2251" i="2"/>
  <c r="AL2251" i="2"/>
  <c r="AL2252" i="2"/>
  <c r="AM2252" i="2"/>
  <c r="AL2253" i="2"/>
  <c r="AM2253" i="2"/>
  <c r="AM2254" i="2"/>
  <c r="AL2254" i="2"/>
  <c r="AM2255" i="2"/>
  <c r="AL2255" i="2"/>
  <c r="AL2256" i="2"/>
  <c r="AM2256" i="2"/>
  <c r="AL2257" i="2"/>
  <c r="AM2257" i="2"/>
  <c r="AL2258" i="2"/>
  <c r="AM2258" i="2"/>
  <c r="AM2259" i="2"/>
  <c r="AL2259" i="2"/>
  <c r="AL2260" i="2"/>
  <c r="AM2260" i="2"/>
  <c r="AL2261" i="2"/>
  <c r="AM2261" i="2"/>
  <c r="AM2262" i="2"/>
  <c r="AL2262" i="2"/>
  <c r="AM2263" i="2"/>
  <c r="AL2263" i="2"/>
  <c r="AM2264" i="2"/>
  <c r="AL2264" i="2"/>
  <c r="AM2265" i="2"/>
  <c r="AL2265" i="2"/>
  <c r="AM2266" i="2"/>
  <c r="AL2266" i="2"/>
  <c r="AM2267" i="2"/>
  <c r="AL2267" i="2"/>
  <c r="AL2268" i="2"/>
  <c r="AM2268" i="2"/>
  <c r="AM2269" i="2"/>
  <c r="AL2269" i="2"/>
  <c r="AL2270" i="2"/>
  <c r="AM2270" i="2"/>
  <c r="AL2271" i="2"/>
  <c r="AM2271" i="2"/>
  <c r="AM2272" i="2"/>
  <c r="AL2272" i="2"/>
  <c r="AL2273" i="2"/>
  <c r="AM2273" i="2"/>
  <c r="AM2274" i="2"/>
  <c r="AL2274" i="2"/>
  <c r="AL2275" i="2"/>
  <c r="AM2275" i="2"/>
  <c r="AL2276" i="2"/>
  <c r="AM2276" i="2"/>
  <c r="AL2277" i="2"/>
  <c r="AM2277" i="2"/>
  <c r="AM2278" i="2"/>
  <c r="AL2278" i="2"/>
  <c r="AL2279" i="2"/>
  <c r="AM2279" i="2"/>
  <c r="AM2280" i="2"/>
  <c r="AL2280" i="2"/>
  <c r="AL2281" i="2"/>
  <c r="AM2281" i="2"/>
  <c r="AL2282" i="2"/>
  <c r="AM2282" i="2"/>
  <c r="AL2283" i="2"/>
  <c r="AM2283" i="2"/>
  <c r="AL2284" i="2"/>
  <c r="AM2284" i="2"/>
  <c r="AL2285" i="2"/>
  <c r="AM2285" i="2"/>
  <c r="AM2286" i="2"/>
  <c r="AL2286" i="2"/>
  <c r="AM2287" i="2"/>
  <c r="AL2287" i="2"/>
  <c r="AL2288" i="2"/>
  <c r="AM2288" i="2"/>
  <c r="AL2289" i="2"/>
  <c r="AM2289" i="2"/>
  <c r="AL2290" i="2"/>
  <c r="AM2290" i="2"/>
  <c r="AL2291" i="2"/>
  <c r="AM2291" i="2"/>
  <c r="AL2292" i="2"/>
  <c r="AM2292" i="2"/>
  <c r="AM2293" i="2"/>
  <c r="AL2293" i="2"/>
  <c r="AL2294" i="2"/>
  <c r="AM2294" i="2"/>
  <c r="AL2295" i="2"/>
  <c r="AM2295" i="2"/>
  <c r="AM2296" i="2"/>
  <c r="AL2296" i="2"/>
  <c r="AM2297" i="2"/>
  <c r="AL2297" i="2"/>
  <c r="AM2298" i="2"/>
  <c r="AL2298" i="2"/>
  <c r="AM2299" i="2"/>
  <c r="AL2299" i="2"/>
  <c r="AL2300" i="2"/>
  <c r="AM2300" i="2"/>
  <c r="AL2301" i="2"/>
  <c r="AM2301" i="2"/>
  <c r="AL2302" i="2"/>
  <c r="AM2302" i="2"/>
  <c r="AL2303" i="2"/>
  <c r="AM2303" i="2"/>
  <c r="AL2304" i="2"/>
  <c r="AM2304" i="2"/>
  <c r="AL2305" i="2"/>
  <c r="AM2305" i="2"/>
  <c r="AM2306" i="2"/>
  <c r="AL2306" i="2"/>
  <c r="AL2307" i="2"/>
  <c r="AM2307" i="2"/>
  <c r="AL2308" i="2"/>
  <c r="AM2308" i="2"/>
  <c r="AL2309" i="2"/>
  <c r="AM2309" i="2"/>
  <c r="AM2310" i="2"/>
  <c r="AL2310" i="2"/>
  <c r="AM2311" i="2"/>
  <c r="AL2311" i="2"/>
  <c r="AL2312" i="2"/>
  <c r="AM2312" i="2"/>
  <c r="AM2313" i="2"/>
  <c r="AL2313" i="2"/>
  <c r="AM2314" i="2"/>
  <c r="AL2314" i="2"/>
  <c r="AM2315" i="2"/>
  <c r="AL2315" i="2"/>
  <c r="AL2316" i="2"/>
  <c r="AM2316" i="2"/>
  <c r="AM2317" i="2"/>
  <c r="AL2317" i="2"/>
  <c r="AM2318" i="2"/>
  <c r="AL2318" i="2"/>
  <c r="AM2319" i="2"/>
  <c r="AL2319" i="2"/>
  <c r="AL2320" i="2"/>
  <c r="AM2320" i="2"/>
  <c r="AM2321" i="2"/>
  <c r="AL2321" i="2"/>
  <c r="AL2322" i="2"/>
  <c r="AM2322" i="2"/>
  <c r="AM2323" i="2"/>
  <c r="AL2323" i="2"/>
  <c r="AL2324" i="2"/>
  <c r="AM2324" i="2"/>
  <c r="AL2325" i="2"/>
  <c r="AM2325" i="2"/>
  <c r="AL2326" i="2"/>
  <c r="AM2326" i="2"/>
  <c r="AL2327" i="2"/>
  <c r="AM2327" i="2"/>
  <c r="AL2328" i="2"/>
  <c r="AM2328" i="2"/>
  <c r="AL2329" i="2"/>
  <c r="AM2329" i="2"/>
  <c r="AM2330" i="2"/>
  <c r="AL2330" i="2"/>
  <c r="AM2331" i="2"/>
  <c r="AL2331" i="2"/>
  <c r="AL2332" i="2"/>
  <c r="AM2332" i="2"/>
  <c r="AL2333" i="2"/>
  <c r="AM2333" i="2"/>
  <c r="AL2334" i="2"/>
  <c r="AM2334" i="2"/>
  <c r="AM2335" i="2"/>
  <c r="AL2335" i="2"/>
  <c r="AL2336" i="2"/>
  <c r="AM2336" i="2"/>
  <c r="AL2337" i="2"/>
  <c r="AM2337" i="2"/>
  <c r="AL2338" i="2"/>
  <c r="AM2338" i="2"/>
  <c r="AM2339" i="2"/>
  <c r="AL2339" i="2"/>
  <c r="AL2340" i="2"/>
  <c r="AM2340" i="2"/>
  <c r="AM2341" i="2"/>
  <c r="AL2341" i="2"/>
  <c r="AM2342" i="2"/>
  <c r="AL2342" i="2"/>
  <c r="AL2343" i="2"/>
  <c r="AM2343" i="2"/>
  <c r="AL2344" i="2"/>
  <c r="AM2344" i="2"/>
  <c r="AM2345" i="2"/>
  <c r="AL2345" i="2"/>
  <c r="AM2346" i="2"/>
  <c r="AL2346" i="2"/>
  <c r="AL2347" i="2"/>
  <c r="AM2347" i="2"/>
  <c r="AL2348" i="2"/>
  <c r="AM2348" i="2"/>
  <c r="AL2349" i="2"/>
  <c r="AM2349" i="2"/>
  <c r="AL2350" i="2"/>
  <c r="AM2350" i="2"/>
  <c r="AM2351" i="2"/>
  <c r="AL2351" i="2"/>
  <c r="AL2352" i="2"/>
  <c r="AM2352" i="2"/>
  <c r="AL2353" i="2"/>
  <c r="AM2353" i="2"/>
  <c r="AM2354" i="2"/>
  <c r="AL2354" i="2"/>
  <c r="AM2355" i="2"/>
  <c r="AL2355" i="2"/>
  <c r="AL2356" i="2"/>
  <c r="AM2356" i="2"/>
  <c r="AL2357" i="2"/>
  <c r="AM2357" i="2"/>
  <c r="AM2358" i="2"/>
  <c r="AL2358" i="2"/>
  <c r="AL2359" i="2"/>
  <c r="AM2359" i="2"/>
  <c r="AL2360" i="2"/>
  <c r="AM2360" i="2"/>
  <c r="AL2361" i="2"/>
  <c r="AM2361" i="2"/>
  <c r="AM2362" i="2"/>
  <c r="AL2362" i="2"/>
  <c r="AL2363" i="2"/>
  <c r="AM2363" i="2"/>
  <c r="AL2364" i="2"/>
  <c r="AM2364" i="2"/>
  <c r="AL2365" i="2"/>
  <c r="AM2365" i="2"/>
  <c r="AM2366" i="2"/>
  <c r="AL2366" i="2"/>
  <c r="AM2367" i="2"/>
  <c r="AL2367" i="2"/>
  <c r="AL2368" i="2"/>
  <c r="AM2368" i="2"/>
  <c r="AL2369" i="2"/>
  <c r="AM2369" i="2"/>
  <c r="AL2370" i="2"/>
  <c r="AM2370" i="2"/>
  <c r="AM2371" i="2"/>
  <c r="AL2371" i="2"/>
  <c r="AL2372" i="2"/>
  <c r="AM2372" i="2"/>
  <c r="AL2373" i="2"/>
  <c r="AM2373" i="2"/>
  <c r="AM2374" i="2"/>
  <c r="AL2374" i="2"/>
  <c r="AM2375" i="2"/>
  <c r="AL2375" i="2"/>
  <c r="AL2376" i="2"/>
  <c r="AM2376" i="2"/>
  <c r="AL2377" i="2"/>
  <c r="AM2377" i="2"/>
  <c r="AM2378" i="2"/>
  <c r="AL2378" i="2"/>
  <c r="AL2379" i="2"/>
  <c r="AM2379" i="2"/>
  <c r="AL2380" i="2"/>
  <c r="AM2380" i="2"/>
  <c r="AL2381" i="2"/>
  <c r="AM2381" i="2"/>
  <c r="AM2382" i="2"/>
  <c r="AL2382" i="2"/>
  <c r="AM2383" i="2"/>
  <c r="AL2383" i="2"/>
  <c r="AL2384" i="2"/>
  <c r="AM2384" i="2"/>
  <c r="AM2385" i="2"/>
  <c r="AL2385" i="2"/>
  <c r="AM2386" i="2"/>
  <c r="AL2386" i="2"/>
  <c r="AM2387" i="2"/>
  <c r="AL2387" i="2"/>
  <c r="AL2388" i="2"/>
  <c r="AM2388" i="2"/>
  <c r="AL2389" i="2"/>
  <c r="AM2389" i="2"/>
  <c r="AM2390" i="2"/>
  <c r="AL2390" i="2"/>
  <c r="AM2391" i="2"/>
  <c r="AL2391" i="2"/>
  <c r="AL2392" i="2"/>
  <c r="AM2392" i="2"/>
  <c r="AM2393" i="2"/>
  <c r="AL2393" i="2"/>
  <c r="AM2394" i="2"/>
  <c r="AL2394" i="2"/>
  <c r="AM2395" i="2"/>
  <c r="AL2395" i="2"/>
  <c r="AM2396" i="2"/>
  <c r="AL2396" i="2"/>
  <c r="AL2397" i="2"/>
  <c r="AM2397" i="2"/>
  <c r="AM2398" i="2"/>
  <c r="AL2398" i="2"/>
  <c r="AM2399" i="2"/>
  <c r="AL2399" i="2"/>
  <c r="AL2400" i="2"/>
  <c r="AM2400" i="2"/>
  <c r="AL2401" i="2"/>
  <c r="AM2401" i="2"/>
  <c r="AL2402" i="2"/>
  <c r="AM2402" i="2"/>
  <c r="AL2403" i="2"/>
  <c r="AM2403" i="2"/>
  <c r="AL2404" i="2"/>
  <c r="AM2404" i="2"/>
  <c r="AL2405" i="2"/>
  <c r="AM2405" i="2"/>
  <c r="AM2406" i="2"/>
  <c r="AL2406" i="2"/>
  <c r="AL2407" i="2"/>
  <c r="AM2407" i="2"/>
  <c r="AM2408" i="2"/>
  <c r="AL2408" i="2"/>
  <c r="AM2409" i="2"/>
  <c r="AL2409" i="2"/>
  <c r="AM2410" i="2"/>
  <c r="AL2410" i="2"/>
  <c r="AM2411" i="2"/>
  <c r="AL2411" i="2"/>
  <c r="AM2412" i="2"/>
  <c r="AL2412" i="2"/>
  <c r="AL2413" i="2"/>
  <c r="AM2413" i="2"/>
  <c r="AM2414" i="2"/>
  <c r="AL2414" i="2"/>
  <c r="AM2415" i="2"/>
  <c r="AL2415" i="2"/>
  <c r="AL2416" i="2"/>
  <c r="AM2416" i="2"/>
  <c r="AM2417" i="2"/>
  <c r="AL2417" i="2"/>
  <c r="AM2418" i="2"/>
  <c r="AL2418" i="2"/>
  <c r="AM2419" i="2"/>
  <c r="AL2419" i="2"/>
  <c r="AL2420" i="2"/>
  <c r="AM2420" i="2"/>
  <c r="AM2421" i="2"/>
  <c r="AL2421" i="2"/>
  <c r="AL2422" i="2"/>
  <c r="AM2422" i="2"/>
  <c r="AL2423" i="2"/>
  <c r="AM2423" i="2"/>
  <c r="AL2424" i="2"/>
  <c r="AM2424" i="2"/>
  <c r="AL2425" i="2"/>
  <c r="AM2425" i="2"/>
  <c r="AL2426" i="2"/>
  <c r="AM2426" i="2"/>
  <c r="AL2427" i="2"/>
  <c r="AM2427" i="2"/>
  <c r="AL2428" i="2"/>
  <c r="AM2428" i="2"/>
  <c r="AL2429" i="2"/>
  <c r="AM2429" i="2"/>
  <c r="AL2430" i="2"/>
  <c r="AM2430" i="2"/>
  <c r="AL2431" i="2"/>
  <c r="AM2431" i="2"/>
  <c r="AL2432" i="2"/>
  <c r="AM2432" i="2"/>
  <c r="AM2433" i="2"/>
  <c r="AL2433" i="2"/>
  <c r="AL2434" i="2"/>
  <c r="AM2434" i="2"/>
  <c r="AL2435" i="2"/>
  <c r="AM2435" i="2"/>
  <c r="AL2436" i="2"/>
  <c r="AM2436" i="2"/>
  <c r="AL2437" i="2"/>
  <c r="AM2437" i="2"/>
  <c r="AM2438" i="2"/>
  <c r="AL2438" i="2"/>
  <c r="AM2439" i="2"/>
  <c r="AL2439" i="2"/>
  <c r="AM2440" i="2"/>
  <c r="AL2440" i="2"/>
  <c r="AM2441" i="2"/>
  <c r="AL2441" i="2"/>
  <c r="AM2442" i="2"/>
  <c r="AL2442" i="2"/>
  <c r="AL2443" i="2"/>
  <c r="AM2443" i="2"/>
  <c r="AL2444" i="2"/>
  <c r="AM2444" i="2"/>
  <c r="AM2445" i="2"/>
  <c r="AL2445" i="2"/>
  <c r="AL2446" i="2"/>
  <c r="AM2446" i="2"/>
  <c r="AL2447" i="2"/>
  <c r="AM2447" i="2"/>
  <c r="AM2448" i="2"/>
  <c r="AL2448" i="2"/>
  <c r="AM2449" i="2"/>
  <c r="AL2449" i="2"/>
  <c r="AL2450" i="2"/>
  <c r="AM2450" i="2"/>
  <c r="AM2451" i="2"/>
  <c r="AL2451" i="2"/>
  <c r="AL2452" i="2"/>
  <c r="AM2452" i="2"/>
  <c r="AL2453" i="2"/>
  <c r="AM2453" i="2"/>
  <c r="AL2454" i="2"/>
  <c r="AM2454" i="2"/>
  <c r="AL2455" i="2"/>
  <c r="AM2455" i="2"/>
  <c r="AL2456" i="2"/>
  <c r="AM2456" i="2"/>
  <c r="AM2457" i="2"/>
  <c r="AL2457" i="2"/>
  <c r="AM2458" i="2"/>
  <c r="AL2458" i="2"/>
  <c r="AM2459" i="2"/>
  <c r="AL2459" i="2"/>
  <c r="AM2460" i="2"/>
  <c r="AL2460" i="2"/>
  <c r="AL2461" i="2"/>
  <c r="AM2461" i="2"/>
  <c r="AL2462" i="2"/>
  <c r="AM2462" i="2"/>
  <c r="AL2463" i="2"/>
  <c r="AM2463" i="2"/>
  <c r="AL2464" i="2"/>
  <c r="AM2464" i="2"/>
  <c r="AM2465" i="2"/>
  <c r="AL2465" i="2"/>
  <c r="AL2466" i="2"/>
  <c r="AM2466" i="2"/>
  <c r="AL2467" i="2"/>
  <c r="AM2467" i="2"/>
  <c r="AL2468" i="2"/>
  <c r="AM2468" i="2"/>
  <c r="AM2469" i="2"/>
  <c r="AL2469" i="2"/>
  <c r="AM2470" i="2"/>
  <c r="AL2470" i="2"/>
  <c r="AM2471" i="2"/>
  <c r="AL2471" i="2"/>
  <c r="AL2472" i="2"/>
  <c r="AM2472" i="2"/>
  <c r="AM2473" i="2"/>
  <c r="AL2473" i="2"/>
  <c r="AM2474" i="2"/>
  <c r="AL2474" i="2"/>
  <c r="AM2475" i="2"/>
  <c r="AL2475" i="2"/>
  <c r="AL2476" i="2"/>
  <c r="AM2476" i="2"/>
  <c r="AM2477" i="2"/>
  <c r="AL2477" i="2"/>
  <c r="AM2478" i="2"/>
  <c r="AL2478" i="2"/>
  <c r="AL2479" i="2"/>
  <c r="AM2479" i="2"/>
  <c r="AM2480" i="2"/>
  <c r="AL2480" i="2"/>
  <c r="AL2481" i="2"/>
  <c r="AM2481" i="2"/>
  <c r="AM2482" i="2"/>
  <c r="AL2482" i="2"/>
  <c r="AL2483" i="2"/>
  <c r="AM2483" i="2"/>
  <c r="AL2484" i="2"/>
  <c r="AM2484" i="2"/>
  <c r="AL2485" i="2"/>
  <c r="AM2485" i="2"/>
  <c r="AL2486" i="2"/>
  <c r="AM2486" i="2"/>
  <c r="AM2487" i="2"/>
  <c r="AL2487" i="2"/>
  <c r="AL2488" i="2"/>
  <c r="AM2488" i="2"/>
  <c r="AL2489" i="2"/>
  <c r="AM2489" i="2"/>
  <c r="AM2490" i="2"/>
  <c r="AL2490" i="2"/>
  <c r="AL2491" i="2"/>
  <c r="AM2491" i="2"/>
  <c r="AM2492" i="2"/>
  <c r="AL2492" i="2"/>
  <c r="AL2493" i="2"/>
  <c r="AM2493" i="2"/>
  <c r="AM2494" i="2"/>
  <c r="AL2494" i="2"/>
  <c r="AL2495" i="2"/>
  <c r="AM2495" i="2"/>
  <c r="AL2496" i="2"/>
  <c r="AM2496" i="2"/>
  <c r="AM2497" i="2"/>
  <c r="AL2497" i="2"/>
  <c r="AL2498" i="2"/>
  <c r="AM2498" i="2"/>
  <c r="AL2499" i="2"/>
  <c r="AM2499" i="2"/>
  <c r="AL2500" i="2"/>
  <c r="AM2500" i="2"/>
  <c r="AL2501" i="2"/>
  <c r="AM2501" i="2"/>
  <c r="AM2502" i="2"/>
  <c r="AL2502" i="2"/>
  <c r="AL2503" i="2"/>
  <c r="AM2503" i="2"/>
  <c r="AL2504" i="2"/>
  <c r="AM2504" i="2"/>
  <c r="AL2505" i="2"/>
  <c r="AM2505" i="2"/>
  <c r="AM2506" i="2"/>
  <c r="AL2506" i="2"/>
  <c r="AM2507" i="2"/>
  <c r="AL2507" i="2"/>
  <c r="AL2508" i="2"/>
  <c r="AM2508" i="2"/>
  <c r="AL2509" i="2"/>
  <c r="AM2509" i="2"/>
  <c r="AL2510" i="2"/>
  <c r="AM2510" i="2"/>
  <c r="AL2511" i="2"/>
  <c r="AM2511" i="2"/>
  <c r="AM2512" i="2"/>
  <c r="AL2512" i="2"/>
  <c r="AL2513" i="2"/>
  <c r="AM2513" i="2"/>
  <c r="AM2514" i="2"/>
  <c r="AL2514" i="2"/>
  <c r="AL2515" i="2"/>
  <c r="AM2515" i="2"/>
  <c r="AL2516" i="2"/>
  <c r="AM2516" i="2"/>
  <c r="AL2517" i="2"/>
  <c r="AM2517" i="2"/>
  <c r="AL2518" i="2"/>
  <c r="AM2518" i="2"/>
  <c r="AL2519" i="2"/>
  <c r="AM2519" i="2"/>
  <c r="AM2520" i="2"/>
  <c r="AL2520" i="2"/>
  <c r="AM2521" i="2"/>
  <c r="AL2521" i="2"/>
  <c r="AM2522" i="2"/>
  <c r="AL2522" i="2"/>
  <c r="AM2523" i="2"/>
  <c r="AL2523" i="2"/>
  <c r="AM2524" i="2"/>
  <c r="AL2524" i="2"/>
  <c r="AL2525" i="2"/>
  <c r="AM2525" i="2"/>
  <c r="AL2526" i="2"/>
  <c r="AM2526" i="2"/>
  <c r="AM2527" i="2"/>
  <c r="AL2527" i="2"/>
  <c r="AM2528" i="2"/>
  <c r="AL2528" i="2"/>
  <c r="AM2529" i="2"/>
  <c r="AL2529" i="2"/>
  <c r="AL2530" i="2"/>
  <c r="AM2530" i="2"/>
  <c r="AL2531" i="2"/>
  <c r="AM2531" i="2"/>
  <c r="AL2532" i="2"/>
  <c r="AM2532" i="2"/>
  <c r="AL2533" i="2"/>
  <c r="AM2533" i="2"/>
  <c r="AM2534" i="2"/>
  <c r="AL2534" i="2"/>
  <c r="AL2535" i="2"/>
  <c r="AM2535" i="2"/>
  <c r="AL2536" i="2"/>
  <c r="AM2536" i="2"/>
  <c r="AM2537" i="2"/>
  <c r="AL2537" i="2"/>
  <c r="AM2538" i="2"/>
  <c r="AL2538" i="2"/>
  <c r="AM2539" i="2"/>
  <c r="AL2539" i="2"/>
  <c r="AL2540" i="2"/>
  <c r="AM2540" i="2"/>
  <c r="AM2541" i="2"/>
  <c r="AL2541" i="2"/>
  <c r="AM2542" i="2"/>
  <c r="AL2542" i="2"/>
  <c r="AL2543" i="2"/>
  <c r="AM2543" i="2"/>
  <c r="AL2544" i="2"/>
  <c r="AM2544" i="2"/>
  <c r="AM2545" i="2"/>
  <c r="AL2545" i="2"/>
  <c r="AM2546" i="2"/>
  <c r="AL2546" i="2"/>
  <c r="AL2547" i="2"/>
  <c r="AM2547" i="2"/>
  <c r="AL2548" i="2"/>
  <c r="AM2548" i="2"/>
  <c r="AM2549" i="2"/>
  <c r="AL2549" i="2"/>
  <c r="AL2550" i="2"/>
  <c r="AM2550" i="2"/>
  <c r="AM2551" i="2"/>
  <c r="AL2551" i="2"/>
  <c r="AL2552" i="2"/>
  <c r="AM2552" i="2"/>
  <c r="AL2553" i="2"/>
  <c r="AM2553" i="2"/>
  <c r="AL2554" i="2"/>
  <c r="AM2554" i="2"/>
  <c r="AL2555" i="2"/>
  <c r="AM2555" i="2"/>
  <c r="AL2556" i="2"/>
  <c r="AM2556" i="2"/>
  <c r="AL2557" i="2"/>
  <c r="AM2557" i="2"/>
  <c r="AL2558" i="2"/>
  <c r="AM2558" i="2"/>
  <c r="AL2559" i="2"/>
  <c r="AM2559" i="2"/>
  <c r="AL2560" i="2"/>
  <c r="AM2560" i="2"/>
  <c r="AM2561" i="2"/>
  <c r="AL2561" i="2"/>
  <c r="AL2562" i="2"/>
  <c r="AM2562" i="2"/>
  <c r="AL2563" i="2"/>
  <c r="AM2563" i="2"/>
  <c r="AL2564" i="2"/>
  <c r="AM2564" i="2"/>
  <c r="AL2565" i="2"/>
  <c r="AM2565" i="2"/>
  <c r="AM2566" i="2"/>
  <c r="AL2566" i="2"/>
  <c r="AM2567" i="2"/>
  <c r="AL2567" i="2"/>
  <c r="AL2568" i="2"/>
  <c r="AM2568" i="2"/>
  <c r="AM2569" i="2"/>
  <c r="AL2569" i="2"/>
  <c r="AM2570" i="2"/>
  <c r="AL2570" i="2"/>
  <c r="AM2571" i="2"/>
  <c r="AL2571" i="2"/>
  <c r="AM2572" i="2"/>
  <c r="AL2572" i="2"/>
  <c r="AM2573" i="2"/>
  <c r="AL2573" i="2"/>
  <c r="AM2574" i="2"/>
  <c r="AL2574" i="2"/>
  <c r="AM2575" i="2"/>
  <c r="AL2575" i="2"/>
  <c r="AM2576" i="2"/>
  <c r="AL2576" i="2"/>
  <c r="AM2577" i="2"/>
  <c r="AL2577" i="2"/>
  <c r="AL2578" i="2"/>
  <c r="AM2578" i="2"/>
  <c r="AL2579" i="2"/>
  <c r="AM2579" i="2"/>
  <c r="AL2580" i="2"/>
  <c r="AM2580" i="2"/>
  <c r="AL2581" i="2"/>
  <c r="AM2581" i="2"/>
  <c r="AM2582" i="2"/>
  <c r="AL2582" i="2"/>
  <c r="AL2583" i="2"/>
  <c r="AM2583" i="2"/>
  <c r="AL2584" i="2"/>
  <c r="AM2584" i="2"/>
  <c r="AM2585" i="2"/>
  <c r="AL2585" i="2"/>
  <c r="AM2586" i="2"/>
  <c r="AL2586" i="2"/>
  <c r="AM2587" i="2"/>
  <c r="AL2587" i="2"/>
  <c r="AM2588" i="2"/>
  <c r="AL2588" i="2"/>
  <c r="AL2589" i="2"/>
  <c r="AM2589" i="2"/>
  <c r="AL2590" i="2"/>
  <c r="AM2590" i="2"/>
  <c r="AL2591" i="2"/>
  <c r="AM2591" i="2"/>
  <c r="AM2592" i="2"/>
  <c r="AL2592" i="2"/>
  <c r="AL2593" i="2"/>
  <c r="AM2593" i="2"/>
  <c r="AL2594" i="2"/>
  <c r="AM2594" i="2"/>
  <c r="AL2595" i="2"/>
  <c r="AM2595" i="2"/>
  <c r="AM2596" i="2"/>
  <c r="AL2596" i="2"/>
  <c r="AM2597" i="2"/>
  <c r="AL2597" i="2"/>
  <c r="AL2598" i="2"/>
  <c r="AM2598" i="2"/>
  <c r="AL2599" i="2"/>
  <c r="AM2599" i="2"/>
  <c r="AM2600" i="2"/>
  <c r="AL2600" i="2"/>
  <c r="AM2601" i="2"/>
  <c r="AL2601" i="2"/>
  <c r="AM2602" i="2"/>
  <c r="AL2602" i="2"/>
  <c r="AL2603" i="2"/>
  <c r="AM2603" i="2"/>
  <c r="AL2604" i="2"/>
  <c r="AM2604" i="2"/>
  <c r="AM2605" i="2"/>
  <c r="AL2605" i="2"/>
  <c r="AL2606" i="2"/>
  <c r="AM2606" i="2"/>
  <c r="AM2607" i="2"/>
  <c r="AL2607" i="2"/>
  <c r="AL2608" i="2"/>
  <c r="AM2608" i="2"/>
  <c r="AM2609" i="2"/>
  <c r="AL2609" i="2"/>
  <c r="AM2610" i="2"/>
  <c r="AL2610" i="2"/>
  <c r="AL2611" i="2"/>
  <c r="AM2611" i="2"/>
  <c r="AL2612" i="2"/>
  <c r="AM2612" i="2"/>
  <c r="AL2613" i="2"/>
  <c r="AM2613" i="2"/>
  <c r="AM2614" i="2"/>
  <c r="AL2614" i="2"/>
  <c r="AM2615" i="2"/>
  <c r="AL2615" i="2"/>
  <c r="AL2616" i="2"/>
  <c r="AM2616" i="2"/>
  <c r="AL2617" i="2"/>
  <c r="AM2617" i="2"/>
  <c r="AM2618" i="2"/>
  <c r="AL2618" i="2"/>
  <c r="AL2619" i="2"/>
  <c r="AM2619" i="2"/>
  <c r="AM2620" i="2"/>
  <c r="AL2620" i="2"/>
  <c r="AL2621" i="2"/>
  <c r="AM2621" i="2"/>
  <c r="AM2622" i="2"/>
  <c r="AL2622" i="2"/>
  <c r="AL2623" i="2"/>
  <c r="AM2623" i="2"/>
  <c r="AL2624" i="2"/>
  <c r="AM2624" i="2"/>
  <c r="AM2625" i="2"/>
  <c r="AL2625" i="2"/>
  <c r="AL2626" i="2"/>
  <c r="AM2626" i="2"/>
  <c r="AM2627" i="2"/>
  <c r="AL2627" i="2"/>
  <c r="AL2628" i="2"/>
  <c r="AM2628" i="2"/>
  <c r="AL2629" i="2"/>
  <c r="AM2629" i="2"/>
  <c r="AM2630" i="2"/>
  <c r="AL2630" i="2"/>
  <c r="AL2631" i="2"/>
  <c r="AM2631" i="2"/>
  <c r="AL2632" i="2"/>
  <c r="AM2632" i="2"/>
  <c r="AL2633" i="2"/>
  <c r="AM2633" i="2"/>
  <c r="AM2634" i="2"/>
  <c r="AL2634" i="2"/>
  <c r="AL2635" i="2"/>
  <c r="AM2635" i="2"/>
  <c r="AL2636" i="2"/>
  <c r="AM2636" i="2"/>
  <c r="AL2637" i="2"/>
  <c r="AM2637" i="2"/>
  <c r="AL2638" i="2"/>
  <c r="AM2638" i="2"/>
  <c r="AL2639" i="2"/>
  <c r="AM2639" i="2"/>
  <c r="AM2640" i="2"/>
  <c r="AL2640" i="2"/>
  <c r="AL2641" i="2"/>
  <c r="AM2641" i="2"/>
  <c r="AM2642" i="2"/>
  <c r="AL2642" i="2"/>
  <c r="AL2643" i="2"/>
  <c r="AM2643" i="2"/>
  <c r="AL2644" i="2"/>
  <c r="AM2644" i="2"/>
  <c r="AL2645" i="2"/>
  <c r="AM2645" i="2"/>
  <c r="AL2646" i="2"/>
  <c r="AM2646" i="2"/>
  <c r="AL2647" i="2"/>
  <c r="AM2647" i="2"/>
  <c r="AM2648" i="2"/>
  <c r="AL2648" i="2"/>
  <c r="AM2649" i="2"/>
  <c r="AL2649" i="2"/>
  <c r="AM2650" i="2"/>
  <c r="AL2650" i="2"/>
  <c r="AM2651" i="2"/>
  <c r="AL2651" i="2"/>
  <c r="AM2652" i="2"/>
  <c r="AL2652" i="2"/>
  <c r="AL2653" i="2"/>
  <c r="AM2653" i="2"/>
  <c r="AM2654" i="2"/>
  <c r="AL2654" i="2"/>
  <c r="AM2655" i="2"/>
  <c r="AL2655" i="2"/>
  <c r="AL2656" i="2"/>
  <c r="AM2656" i="2"/>
  <c r="AM2657" i="2"/>
  <c r="AL2657" i="2"/>
  <c r="AL2658" i="2"/>
  <c r="AM2658" i="2"/>
  <c r="AM2659" i="2"/>
  <c r="AL2659" i="2"/>
  <c r="AL2660" i="2"/>
  <c r="AM2660" i="2"/>
  <c r="AL2661" i="2"/>
  <c r="AM2661" i="2"/>
  <c r="AL2662" i="2"/>
  <c r="AM2662" i="2"/>
  <c r="AL2663" i="2"/>
  <c r="AM2663" i="2"/>
  <c r="AL2664" i="2"/>
  <c r="AM2664" i="2"/>
  <c r="AM2665" i="2"/>
  <c r="AL2665" i="2"/>
  <c r="AM2666" i="2"/>
  <c r="AL2666" i="2"/>
  <c r="AM2667" i="2"/>
  <c r="AL2667" i="2"/>
  <c r="AL2668" i="2"/>
  <c r="AM2668" i="2"/>
  <c r="AM2669" i="2"/>
  <c r="AL2669" i="2"/>
  <c r="AM2670" i="2"/>
  <c r="AL2670" i="2"/>
  <c r="AL2671" i="2"/>
  <c r="AM2671" i="2"/>
  <c r="AL2672" i="2"/>
  <c r="AM2672" i="2"/>
  <c r="AL2673" i="2"/>
  <c r="AM2673" i="2"/>
  <c r="AM2674" i="2"/>
  <c r="AL2674" i="2"/>
  <c r="AL2675" i="2"/>
  <c r="AM2675" i="2"/>
  <c r="AL2676" i="2"/>
  <c r="AM2676" i="2"/>
  <c r="AM2677" i="2"/>
  <c r="AL2677" i="2"/>
  <c r="AL2678" i="2"/>
  <c r="AM2678" i="2"/>
  <c r="AL2679" i="2"/>
  <c r="AM2679" i="2"/>
  <c r="AL2680" i="2"/>
  <c r="AM2680" i="2"/>
  <c r="AL2681" i="2"/>
  <c r="AM2681" i="2"/>
  <c r="AL2682" i="2"/>
  <c r="AM2682" i="2"/>
  <c r="AL2683" i="2"/>
  <c r="AM2683" i="2"/>
  <c r="AL2684" i="2"/>
  <c r="AM2684" i="2"/>
  <c r="AL2685" i="2"/>
  <c r="AM2685" i="2"/>
  <c r="AL2686" i="2"/>
  <c r="AM2686" i="2"/>
  <c r="AM2687" i="2"/>
  <c r="AL2687" i="2"/>
  <c r="AL2688" i="2"/>
  <c r="AM2688" i="2"/>
  <c r="AM2689" i="2"/>
  <c r="AL2689" i="2"/>
  <c r="AL2690" i="2"/>
  <c r="AM2690" i="2"/>
  <c r="AL2691" i="2"/>
  <c r="AM2691" i="2"/>
  <c r="AL2692" i="2"/>
  <c r="AM2692" i="2"/>
  <c r="AL2693" i="2"/>
  <c r="AM2693" i="2"/>
  <c r="AL2694" i="2"/>
  <c r="AM2694" i="2"/>
  <c r="AM2695" i="2"/>
  <c r="AL2695" i="2"/>
  <c r="AL2696" i="2"/>
  <c r="AM2696" i="2"/>
  <c r="AL2697" i="2"/>
  <c r="AM2697" i="2"/>
  <c r="AM2698" i="2"/>
  <c r="AL2698" i="2"/>
  <c r="AM2699" i="2"/>
  <c r="AL2699" i="2"/>
  <c r="AL2700" i="2"/>
  <c r="AM2700" i="2"/>
  <c r="AM2701" i="2"/>
  <c r="AL2701" i="2"/>
  <c r="AL2702" i="2"/>
  <c r="AM2702" i="2"/>
  <c r="AM2703" i="2"/>
  <c r="AL2703" i="2"/>
  <c r="AM2704" i="2"/>
  <c r="AL2704" i="2"/>
  <c r="AM2705" i="2"/>
  <c r="AL2705" i="2"/>
  <c r="AM2706" i="2"/>
  <c r="AL2706" i="2"/>
  <c r="AM2707" i="2"/>
  <c r="AL2707" i="2"/>
  <c r="AM2708" i="2"/>
  <c r="AL2708" i="2"/>
  <c r="AL2709" i="2"/>
  <c r="AM2709" i="2"/>
  <c r="AM2710" i="2"/>
  <c r="AL2710" i="2"/>
  <c r="AL2711" i="2"/>
  <c r="AM2711" i="2"/>
  <c r="AL2712" i="2"/>
  <c r="AM2712" i="2"/>
  <c r="AL2713" i="2"/>
  <c r="AM2713" i="2"/>
  <c r="AM2714" i="2"/>
  <c r="AL2714" i="2"/>
  <c r="AL2715" i="2"/>
  <c r="AM2715" i="2"/>
  <c r="AM2716" i="2"/>
  <c r="AL2716" i="2"/>
  <c r="AL2717" i="2"/>
  <c r="AM2717" i="2"/>
  <c r="AL2718" i="2"/>
  <c r="AM2718" i="2"/>
  <c r="AM2719" i="2"/>
  <c r="AL2719" i="2"/>
  <c r="AM2720" i="2"/>
  <c r="AL2720" i="2"/>
  <c r="AM2721" i="2"/>
  <c r="AL2721" i="2"/>
  <c r="AL2722" i="2"/>
  <c r="AM2722" i="2"/>
  <c r="AL2723" i="2"/>
  <c r="AM2723" i="2"/>
  <c r="AL2724" i="2"/>
  <c r="AM2724" i="2"/>
  <c r="AL2725" i="2"/>
  <c r="AM2725" i="2"/>
  <c r="AL2726" i="2"/>
  <c r="AM2726" i="2"/>
  <c r="AL2727" i="2"/>
  <c r="AM2727" i="2"/>
  <c r="AL2728" i="2"/>
  <c r="AM2728" i="2"/>
  <c r="AM2729" i="2"/>
  <c r="AL2729" i="2"/>
  <c r="AM2730" i="2"/>
  <c r="AL2730" i="2"/>
  <c r="AM2731" i="2"/>
  <c r="AL2731" i="2"/>
  <c r="AL2732" i="2"/>
  <c r="AM2732" i="2"/>
  <c r="AM2733" i="2"/>
  <c r="AL2733" i="2"/>
  <c r="AL2734" i="2"/>
  <c r="AM2734" i="2"/>
  <c r="AL2735" i="2"/>
  <c r="AM2735" i="2"/>
  <c r="AM2736" i="2"/>
  <c r="AL2736" i="2"/>
  <c r="AL2737" i="2"/>
  <c r="AM2737" i="2"/>
  <c r="AM2738" i="2"/>
  <c r="AL2738" i="2"/>
  <c r="AL2739" i="2"/>
  <c r="AM2739" i="2"/>
  <c r="AL2740" i="2"/>
  <c r="AM2740" i="2"/>
  <c r="AL2741" i="2"/>
  <c r="AM2741" i="2"/>
  <c r="AM2742" i="2"/>
  <c r="AL2742" i="2"/>
  <c r="AM2743" i="2"/>
  <c r="AL2743" i="2"/>
  <c r="AL2744" i="2"/>
  <c r="AM2744" i="2"/>
  <c r="AM2745" i="2"/>
  <c r="AL2745" i="2"/>
  <c r="AM2746" i="2"/>
  <c r="AL2746" i="2"/>
  <c r="AL2747" i="2"/>
  <c r="AM2747" i="2"/>
  <c r="AL2748" i="2"/>
  <c r="AM2748" i="2"/>
  <c r="AL2749" i="2"/>
  <c r="AM2749" i="2"/>
  <c r="AM2750" i="2"/>
  <c r="AL2750" i="2"/>
  <c r="AL2751" i="2"/>
  <c r="AM2751" i="2"/>
  <c r="AM2752" i="2"/>
  <c r="AL2752" i="2"/>
  <c r="AM2753" i="2"/>
  <c r="AL2753" i="2"/>
  <c r="AM2754" i="2"/>
  <c r="AL2754" i="2"/>
  <c r="AM2755" i="2"/>
  <c r="AL2755" i="2"/>
  <c r="AL2756" i="2"/>
  <c r="AM2756" i="2"/>
  <c r="AL2757" i="2"/>
  <c r="AM2757" i="2"/>
  <c r="AM2758" i="2"/>
  <c r="AL2758" i="2"/>
  <c r="AL2759" i="2"/>
  <c r="AM2759" i="2"/>
  <c r="AL2760" i="2"/>
  <c r="AM2760" i="2"/>
  <c r="AL2761" i="2"/>
  <c r="AM2761" i="2"/>
  <c r="AM2762" i="2"/>
  <c r="AL2762" i="2"/>
  <c r="AL2763" i="2"/>
  <c r="AM2763" i="2"/>
  <c r="AM2764" i="2"/>
  <c r="AL2764" i="2"/>
  <c r="AM2765" i="2"/>
  <c r="AL2765" i="2"/>
  <c r="AM2766" i="2"/>
  <c r="AL2766" i="2"/>
  <c r="AM2767" i="2"/>
  <c r="AL2767" i="2"/>
  <c r="AL2768" i="2"/>
  <c r="AM2768" i="2"/>
  <c r="AM2769" i="2"/>
  <c r="AL2769" i="2"/>
  <c r="AM2770" i="2"/>
  <c r="AL2770" i="2"/>
  <c r="AL2771" i="2"/>
  <c r="AM2771" i="2"/>
  <c r="AM2772" i="2"/>
  <c r="AL2772" i="2"/>
  <c r="AL2773" i="2"/>
  <c r="AM2773" i="2"/>
  <c r="AL2774" i="2"/>
  <c r="AM2774" i="2"/>
  <c r="AL2775" i="2"/>
  <c r="AM2775" i="2"/>
  <c r="AM2776" i="2"/>
  <c r="AL2776" i="2"/>
  <c r="AM2777" i="2"/>
  <c r="AL2777" i="2"/>
  <c r="AM2778" i="2"/>
  <c r="AL2778" i="2"/>
  <c r="AM2779" i="2"/>
  <c r="AL2779" i="2"/>
  <c r="AL2780" i="2"/>
  <c r="AM2780" i="2"/>
  <c r="AL2781" i="2"/>
  <c r="AM2781" i="2"/>
  <c r="AL2782" i="2"/>
  <c r="AM2782" i="2"/>
  <c r="AL2783" i="2"/>
  <c r="AM2783" i="2"/>
  <c r="AM2784" i="2"/>
  <c r="AL2784" i="2"/>
  <c r="AL2785" i="2"/>
  <c r="AM2785" i="2"/>
  <c r="AL2786" i="2"/>
  <c r="AM2786" i="2"/>
  <c r="AM2787" i="2"/>
  <c r="AL2787" i="2"/>
  <c r="AL2788" i="2"/>
  <c r="AM2788" i="2"/>
  <c r="AL2789" i="2"/>
  <c r="AM2789" i="2"/>
  <c r="AL2790" i="2"/>
  <c r="AM2790" i="2"/>
  <c r="AM2791" i="2"/>
  <c r="AL2791" i="2"/>
  <c r="AL2792" i="2"/>
  <c r="AM2792" i="2"/>
  <c r="AL2793" i="2"/>
  <c r="AM2793" i="2"/>
  <c r="AM2794" i="2"/>
  <c r="AL2794" i="2"/>
  <c r="AL2795" i="2"/>
  <c r="AM2795" i="2"/>
  <c r="AM2796" i="2"/>
  <c r="AL2796" i="2"/>
  <c r="AM2797" i="2"/>
  <c r="AL2797" i="2"/>
  <c r="AL2798" i="2"/>
  <c r="AM2798" i="2"/>
  <c r="AL2799" i="2"/>
  <c r="AM2799" i="2"/>
  <c r="AL2800" i="2"/>
  <c r="AM2800" i="2"/>
  <c r="AL2801" i="2"/>
  <c r="AM2801" i="2"/>
  <c r="AM2802" i="2"/>
  <c r="AL2802" i="2"/>
  <c r="AL2803" i="2"/>
  <c r="AM2803" i="2"/>
  <c r="AL2804" i="2"/>
  <c r="AM2804" i="2"/>
  <c r="AL2805" i="2"/>
  <c r="AM2805" i="2"/>
  <c r="AM2806" i="2"/>
  <c r="AL2806" i="2"/>
  <c r="AM2807" i="2"/>
  <c r="AL2807" i="2"/>
  <c r="AL2808" i="2"/>
  <c r="AM2808" i="2"/>
  <c r="AM2809" i="2"/>
  <c r="AL2809" i="2"/>
  <c r="AM2810" i="2"/>
  <c r="AL2810" i="2"/>
  <c r="AL2811" i="2"/>
  <c r="AM2811" i="2"/>
  <c r="AL2812" i="2"/>
  <c r="AM2812" i="2"/>
  <c r="AL2813" i="2"/>
  <c r="AM2813" i="2"/>
  <c r="AM2814" i="2"/>
  <c r="AL2814" i="2"/>
  <c r="AM2815" i="2"/>
  <c r="AL2815" i="2"/>
  <c r="AM2816" i="2"/>
  <c r="AL2816" i="2"/>
  <c r="AM2817" i="2"/>
  <c r="AL2817" i="2"/>
  <c r="AL2818" i="2"/>
  <c r="AM2818" i="2"/>
  <c r="AL2819" i="2"/>
  <c r="AM2819" i="2"/>
  <c r="AM2820" i="2"/>
  <c r="AL2820" i="2"/>
  <c r="AL2821" i="2"/>
  <c r="AM2821" i="2"/>
  <c r="AL2822" i="2"/>
  <c r="AM2822" i="2"/>
  <c r="AL2823" i="2"/>
  <c r="AM2823" i="2"/>
  <c r="AM2824" i="2"/>
  <c r="AL2824" i="2"/>
  <c r="AM2825" i="2"/>
  <c r="AL2825" i="2"/>
  <c r="AL2826" i="2"/>
  <c r="AM2826" i="2"/>
  <c r="AL2827" i="2"/>
  <c r="AM2827" i="2"/>
  <c r="AL2828" i="2"/>
  <c r="AM2828" i="2"/>
  <c r="AM2829" i="2"/>
  <c r="AL2829" i="2"/>
  <c r="AM2830" i="2"/>
  <c r="AL2830" i="2"/>
  <c r="AL2831" i="2"/>
  <c r="AM2831" i="2"/>
  <c r="AM2832" i="2"/>
  <c r="AL2832" i="2"/>
  <c r="AM2833" i="2"/>
  <c r="AL2833" i="2"/>
  <c r="AL2834" i="2"/>
  <c r="AM2834" i="2"/>
  <c r="AL2835" i="2"/>
  <c r="AM2835" i="2"/>
  <c r="AL2836" i="2"/>
  <c r="AM2836" i="2"/>
  <c r="AM2837" i="2"/>
  <c r="AL2837" i="2"/>
  <c r="AL2838" i="2"/>
  <c r="AM2838" i="2"/>
  <c r="AL2839" i="2"/>
  <c r="AM2839" i="2"/>
  <c r="AM2840" i="2"/>
  <c r="AL2840" i="2"/>
  <c r="AM2841" i="2"/>
  <c r="AL2841" i="2"/>
  <c r="AL2842" i="2"/>
  <c r="AM2842" i="2"/>
  <c r="AM2843" i="2"/>
  <c r="AL2843" i="2"/>
  <c r="AL2844" i="2"/>
  <c r="AM2844" i="2"/>
  <c r="AM2845" i="2"/>
  <c r="AL2845" i="2"/>
  <c r="AL2846" i="2"/>
  <c r="AM2846" i="2"/>
  <c r="AL2847" i="2"/>
  <c r="AM2847" i="2"/>
  <c r="AL2848" i="2"/>
  <c r="AM2848" i="2"/>
  <c r="AM2849" i="2"/>
  <c r="AL2849" i="2"/>
  <c r="AL2850" i="2"/>
  <c r="AM2850" i="2"/>
  <c r="AL2851" i="2"/>
  <c r="AM2851" i="2"/>
  <c r="AL2852" i="2"/>
  <c r="AM2852" i="2"/>
  <c r="AL2853" i="2"/>
  <c r="AM2853" i="2"/>
  <c r="AL2854" i="2"/>
  <c r="AM2854" i="2"/>
  <c r="AL2855" i="2"/>
  <c r="AM2855" i="2"/>
  <c r="AM2856" i="2"/>
  <c r="AL2856" i="2"/>
  <c r="AL2857" i="2"/>
  <c r="AM2857" i="2"/>
  <c r="AM2858" i="2"/>
  <c r="AL2858" i="2"/>
  <c r="AL2859" i="2"/>
  <c r="AM2859" i="2"/>
  <c r="AL2860" i="2"/>
  <c r="AM2860" i="2"/>
  <c r="AM2861" i="2"/>
  <c r="AL2861" i="2"/>
  <c r="AL2862" i="2"/>
  <c r="AM2862" i="2"/>
  <c r="AM2863" i="2"/>
  <c r="AL2863" i="2"/>
  <c r="AM2864" i="2"/>
  <c r="AL2864" i="2"/>
  <c r="AL2865" i="2"/>
  <c r="AM2865" i="2"/>
  <c r="AL2866" i="2"/>
  <c r="AM2866" i="2"/>
  <c r="AL2867" i="2"/>
  <c r="AM2867" i="2"/>
  <c r="AL2868" i="2"/>
  <c r="AM2868" i="2"/>
  <c r="AL2869" i="2"/>
  <c r="AM2869" i="2"/>
  <c r="AL2870" i="2"/>
  <c r="AM2870" i="2"/>
  <c r="AL2871" i="2"/>
  <c r="AM2871" i="2"/>
  <c r="AM2872" i="2"/>
  <c r="AL2872" i="2"/>
  <c r="AM2873" i="2"/>
  <c r="AL2873" i="2"/>
  <c r="AL2874" i="2"/>
  <c r="AM2874" i="2"/>
  <c r="AL2875" i="2"/>
  <c r="AM2875" i="2"/>
  <c r="AM2876" i="2"/>
  <c r="AL2876" i="2"/>
  <c r="AM2877" i="2"/>
  <c r="AL2877" i="2"/>
  <c r="AM2878" i="2"/>
  <c r="AL2878" i="2"/>
  <c r="AL2879" i="2"/>
  <c r="AM2879" i="2"/>
  <c r="AM2880" i="2"/>
  <c r="AL2880" i="2"/>
  <c r="AM2881" i="2"/>
  <c r="AL2881" i="2"/>
  <c r="AL2882" i="2"/>
  <c r="AM2882" i="2"/>
  <c r="AL2883" i="2"/>
  <c r="AM2883" i="2"/>
  <c r="AM2884" i="2"/>
  <c r="AL2884" i="2"/>
  <c r="AL2885" i="2"/>
  <c r="AM2885" i="2"/>
  <c r="AL2886" i="2"/>
  <c r="AM2886" i="2"/>
  <c r="AM2887" i="2"/>
  <c r="AL2887" i="2"/>
  <c r="AM2888" i="2"/>
  <c r="AL2888" i="2"/>
  <c r="AM2889" i="2"/>
  <c r="AL2889" i="2"/>
  <c r="AL2890" i="2"/>
  <c r="AM2890" i="2"/>
  <c r="AL2891" i="2"/>
  <c r="AM2891" i="2"/>
  <c r="AL2892" i="2"/>
  <c r="AM2892" i="2"/>
  <c r="AM2893" i="2"/>
  <c r="AL2893" i="2"/>
  <c r="AL2894" i="2"/>
  <c r="AM2894" i="2"/>
  <c r="AL2895" i="2"/>
  <c r="AM2895" i="2"/>
  <c r="AM2896" i="2"/>
  <c r="AL2896" i="2"/>
  <c r="AM2897" i="2"/>
  <c r="AL2897" i="2"/>
  <c r="AL2898" i="2"/>
  <c r="AM2898" i="2"/>
  <c r="AL2899" i="2"/>
  <c r="AM2899" i="2"/>
  <c r="AM2900" i="2"/>
  <c r="AL2900" i="2"/>
  <c r="AM2901" i="2"/>
  <c r="AL2901" i="2"/>
  <c r="AL2902" i="2"/>
  <c r="AM2902" i="2"/>
  <c r="AL2903" i="2"/>
  <c r="AM2903" i="2"/>
  <c r="AM2904" i="2"/>
  <c r="AL2904" i="2"/>
  <c r="AM2905" i="2"/>
  <c r="AL2905" i="2"/>
  <c r="AL2906" i="2"/>
  <c r="AM2906" i="2"/>
  <c r="AM2907" i="2"/>
  <c r="AL2907" i="2"/>
  <c r="AL2908" i="2"/>
  <c r="AM2908" i="2"/>
  <c r="AM2909" i="2"/>
  <c r="AL2909" i="2"/>
  <c r="AL2910" i="2"/>
  <c r="AM2910" i="2"/>
  <c r="AL2911" i="2"/>
  <c r="AM2911" i="2"/>
  <c r="AL2912" i="2"/>
  <c r="AM2912" i="2"/>
  <c r="AM2913" i="2"/>
  <c r="AL2913" i="2"/>
  <c r="AL2914" i="2"/>
  <c r="AM2914" i="2"/>
  <c r="AL2915" i="2"/>
  <c r="AM2915" i="2"/>
  <c r="AL2916" i="2"/>
  <c r="AM2916" i="2"/>
  <c r="AL2917" i="2"/>
  <c r="AM2917" i="2"/>
  <c r="AL2918" i="2"/>
  <c r="AM2918" i="2"/>
  <c r="AL2919" i="2"/>
  <c r="AM2919" i="2"/>
  <c r="AM2920" i="2"/>
  <c r="AL2920" i="2"/>
  <c r="AL2921" i="2"/>
  <c r="AM2921" i="2"/>
  <c r="AM2922" i="2"/>
  <c r="AL2922" i="2"/>
  <c r="AM2923" i="2"/>
  <c r="AL2923" i="2"/>
  <c r="AL2924" i="2"/>
  <c r="AM2924" i="2"/>
  <c r="AL2925" i="2"/>
  <c r="AM2925" i="2"/>
  <c r="AL2926" i="2"/>
  <c r="AM2926" i="2"/>
  <c r="AL2927" i="2"/>
  <c r="AM2927" i="2"/>
  <c r="AM2928" i="2"/>
  <c r="AL2928" i="2"/>
  <c r="AM2929" i="2"/>
  <c r="AL2929" i="2"/>
  <c r="AM2930" i="2"/>
  <c r="AL2930" i="2"/>
  <c r="AM2931" i="2"/>
  <c r="AL2931" i="2"/>
  <c r="AL2932" i="2"/>
  <c r="AM2932" i="2"/>
  <c r="AM2933" i="2"/>
  <c r="AL2933" i="2"/>
  <c r="AM2934" i="2"/>
  <c r="AL2934" i="2"/>
  <c r="AL2935" i="2"/>
  <c r="AM2935" i="2"/>
  <c r="AM2936" i="2"/>
  <c r="AL2936" i="2"/>
  <c r="AL2937" i="2"/>
  <c r="AM2937" i="2"/>
  <c r="AL2938" i="2"/>
  <c r="AM2938" i="2"/>
  <c r="AM2939" i="2"/>
  <c r="AL2939" i="2"/>
  <c r="AM2940" i="2"/>
  <c r="AL2940" i="2"/>
  <c r="AM2941" i="2"/>
  <c r="AL2941" i="2"/>
  <c r="AL2942" i="2"/>
  <c r="AM2942" i="2"/>
  <c r="AL2943" i="2"/>
  <c r="AM2943" i="2"/>
  <c r="AM2944" i="2"/>
  <c r="AL2944" i="2"/>
  <c r="AL2945" i="2"/>
  <c r="AM2945" i="2"/>
  <c r="AL2946" i="2"/>
  <c r="AM2946" i="2"/>
  <c r="AM2947" i="2"/>
  <c r="AL2947" i="2"/>
  <c r="AL2948" i="2"/>
  <c r="AM2948" i="2"/>
  <c r="AL2949" i="2"/>
  <c r="AM2949" i="2"/>
  <c r="AM2950" i="2"/>
  <c r="AL2950" i="2"/>
  <c r="AM2951" i="2"/>
  <c r="AL2951" i="2"/>
  <c r="AM2952" i="2"/>
  <c r="AL2952" i="2"/>
  <c r="AM2953" i="2"/>
  <c r="AL2953" i="2"/>
  <c r="AM2954" i="2"/>
  <c r="AL2954" i="2"/>
  <c r="AM2955" i="2"/>
  <c r="AL2955" i="2"/>
  <c r="AL2956" i="2"/>
  <c r="AM2956" i="2"/>
  <c r="AM2957" i="2"/>
  <c r="AL2957" i="2"/>
  <c r="AL2958" i="2"/>
  <c r="AM2958" i="2"/>
  <c r="AM2959" i="2"/>
  <c r="AL2959" i="2"/>
  <c r="AM2960" i="2"/>
  <c r="AL2960" i="2"/>
  <c r="AM2961" i="2"/>
  <c r="AL2961" i="2"/>
  <c r="AM2962" i="2"/>
  <c r="AL2962" i="2"/>
  <c r="AL2963" i="2"/>
  <c r="AM2963" i="2"/>
  <c r="AM2964" i="2"/>
  <c r="AL2964" i="2"/>
  <c r="AM2965" i="2"/>
  <c r="AL2965" i="2"/>
  <c r="AM2966" i="2"/>
  <c r="AL2966" i="2"/>
  <c r="AM2967" i="2"/>
  <c r="AL2967" i="2"/>
  <c r="AM2968" i="2"/>
  <c r="AL2968" i="2"/>
  <c r="AL2969" i="2"/>
  <c r="AM2969" i="2"/>
  <c r="AL2970" i="2"/>
  <c r="AM2970" i="2"/>
  <c r="AM2971" i="2"/>
  <c r="AL2971" i="2"/>
  <c r="AL2972" i="2"/>
  <c r="AM2972" i="2"/>
  <c r="AM2973" i="2"/>
  <c r="AL2973" i="2"/>
  <c r="AL2974" i="2"/>
  <c r="AM2974" i="2"/>
  <c r="AM2975" i="2"/>
  <c r="AL2975" i="2"/>
  <c r="AL2976" i="2"/>
  <c r="AM2976" i="2"/>
  <c r="AM2977" i="2"/>
  <c r="AL2977" i="2"/>
  <c r="AM2978" i="2"/>
  <c r="AL2978" i="2"/>
  <c r="AL2979" i="2"/>
  <c r="AM2979" i="2"/>
  <c r="AL2980" i="2"/>
  <c r="AM2980" i="2"/>
  <c r="AM2981" i="2"/>
  <c r="AL2981" i="2"/>
  <c r="AL2982" i="2"/>
  <c r="AM2982" i="2"/>
  <c r="AL2983" i="2"/>
  <c r="AM2983" i="2"/>
  <c r="AM2984" i="2"/>
  <c r="AL2984" i="2"/>
  <c r="AL2985" i="2"/>
  <c r="AM2985" i="2"/>
  <c r="AL2986" i="2"/>
  <c r="AM2986" i="2"/>
  <c r="AM2987" i="2"/>
  <c r="AL2987" i="2"/>
  <c r="AL2988" i="2"/>
  <c r="AM2988" i="2"/>
  <c r="AL2989" i="2"/>
  <c r="AM2989" i="2"/>
  <c r="AM2990" i="2"/>
  <c r="AL2990" i="2"/>
  <c r="AM2991" i="2"/>
  <c r="AL2991" i="2"/>
  <c r="AL2992" i="2"/>
  <c r="AM2992" i="2"/>
  <c r="AL2993" i="2"/>
  <c r="AM2993" i="2"/>
  <c r="AL2994" i="2"/>
  <c r="AM2994" i="2"/>
  <c r="AM2995" i="2"/>
  <c r="AL2995" i="2"/>
  <c r="AL2996" i="2"/>
  <c r="AM2996" i="2"/>
  <c r="AM2997" i="2"/>
  <c r="AL2997" i="2"/>
  <c r="AM2998" i="2"/>
  <c r="AL2998" i="2"/>
  <c r="AL2999" i="2"/>
  <c r="AM2999" i="2"/>
  <c r="AM3000" i="2"/>
  <c r="AL3000" i="2"/>
  <c r="AL3001" i="2"/>
  <c r="AM3001" i="2"/>
  <c r="AL3002" i="2"/>
  <c r="AM3002" i="2"/>
  <c r="AM3003" i="2"/>
  <c r="AL3003" i="2"/>
  <c r="AL3004" i="2"/>
  <c r="AM3004" i="2"/>
  <c r="AM3005" i="2"/>
  <c r="AL3005" i="2"/>
  <c r="AL3006" i="2"/>
  <c r="AM3006" i="2"/>
  <c r="AM3007" i="2"/>
  <c r="AL3007" i="2"/>
  <c r="AM3008" i="2"/>
  <c r="AL3008" i="2"/>
  <c r="AL3009" i="2"/>
  <c r="AM3009" i="2"/>
  <c r="AM3010" i="2"/>
  <c r="AL3010" i="2"/>
  <c r="AM3011" i="2"/>
  <c r="AL3011" i="2"/>
  <c r="AM3012" i="2"/>
  <c r="AL3012" i="2"/>
  <c r="AM3013" i="2"/>
  <c r="AL3013" i="2"/>
  <c r="AM3014" i="2"/>
  <c r="AL3014" i="2"/>
  <c r="AM3015" i="2"/>
  <c r="AL3015" i="2"/>
  <c r="AM3016" i="2"/>
  <c r="AL3016" i="2"/>
  <c r="AM3017" i="2"/>
  <c r="AL3017" i="2"/>
  <c r="AL3018" i="2"/>
  <c r="AM3018" i="2"/>
  <c r="AM3019" i="2"/>
  <c r="AL3019" i="2"/>
  <c r="AL3020" i="2"/>
  <c r="AM3020" i="2"/>
  <c r="AL3021" i="2"/>
  <c r="AM3021" i="2"/>
  <c r="AL3022" i="2"/>
  <c r="AM3022" i="2"/>
  <c r="AL3023" i="2"/>
  <c r="AM3023" i="2"/>
  <c r="AM3024" i="2"/>
  <c r="AL3024" i="2"/>
  <c r="AL3025" i="2"/>
  <c r="AM3025" i="2"/>
  <c r="AL3026" i="2"/>
  <c r="AM3026" i="2"/>
  <c r="AM3027" i="2"/>
  <c r="AL3027" i="2"/>
  <c r="AM3028" i="2"/>
  <c r="AL3028" i="2"/>
  <c r="AM3029" i="2"/>
  <c r="AL3029" i="2"/>
  <c r="AM3030" i="2"/>
  <c r="AL3030" i="2"/>
  <c r="AM3031" i="2"/>
  <c r="AL3031" i="2"/>
  <c r="AM3032" i="2"/>
  <c r="AL3032" i="2"/>
  <c r="AM3033" i="2"/>
  <c r="AL3033" i="2"/>
  <c r="AL3034" i="2"/>
  <c r="AM3034" i="2"/>
  <c r="AM3035" i="2"/>
  <c r="AL3035" i="2"/>
  <c r="AL3036" i="2"/>
  <c r="AM3036" i="2"/>
  <c r="AM3037" i="2"/>
  <c r="AL3037" i="2"/>
  <c r="AL3038" i="2"/>
  <c r="AM3038" i="2"/>
  <c r="AM3039" i="2"/>
  <c r="AL3039" i="2"/>
  <c r="AM3040" i="2"/>
  <c r="AL3040" i="2"/>
  <c r="AL3041" i="2"/>
  <c r="AM3041" i="2"/>
  <c r="AM3042" i="2"/>
  <c r="AL3042" i="2"/>
  <c r="AM3043" i="2"/>
  <c r="AL3043" i="2"/>
  <c r="AM3044" i="2"/>
  <c r="AL3044" i="2"/>
  <c r="AL3045" i="2"/>
  <c r="AM3045" i="2"/>
  <c r="AL3046" i="2"/>
  <c r="AM3046" i="2"/>
  <c r="AM3047" i="2"/>
  <c r="AL3047" i="2"/>
  <c r="AM3048" i="2"/>
  <c r="AL3048" i="2"/>
  <c r="AL3049" i="2"/>
  <c r="AM3049" i="2"/>
  <c r="AL3050" i="2"/>
  <c r="AM3050" i="2"/>
  <c r="AM3051" i="2"/>
  <c r="AL3051" i="2"/>
  <c r="AM3052" i="2"/>
  <c r="AL3052" i="2"/>
  <c r="AL3053" i="2"/>
  <c r="AM3053" i="2"/>
  <c r="AL3054" i="2"/>
  <c r="AM3054" i="2"/>
  <c r="AM3055" i="2"/>
  <c r="AL3055" i="2"/>
  <c r="AM3056" i="2"/>
  <c r="AL3056" i="2"/>
  <c r="AL3057" i="2"/>
  <c r="AM3057" i="2"/>
  <c r="AL3058" i="2"/>
  <c r="AM3058" i="2"/>
  <c r="AM3059" i="2"/>
  <c r="AL3059" i="2"/>
  <c r="AM3060" i="2"/>
  <c r="AL3060" i="2"/>
  <c r="AM3061" i="2"/>
  <c r="AL3061" i="2"/>
  <c r="AM3062" i="2"/>
  <c r="AL3062" i="2"/>
  <c r="AL3063" i="2"/>
  <c r="AM3063" i="2"/>
  <c r="AM3064" i="2"/>
  <c r="AL3064" i="2"/>
  <c r="AM3065" i="2"/>
  <c r="AL3065" i="2"/>
  <c r="AL3066" i="2"/>
  <c r="AM3066" i="2"/>
  <c r="AM3067" i="2"/>
  <c r="AL3067" i="2"/>
  <c r="AL3068" i="2"/>
  <c r="AM3068" i="2"/>
  <c r="AM3069" i="2"/>
  <c r="AL3069" i="2"/>
  <c r="AL3070" i="2"/>
  <c r="AM3070" i="2"/>
  <c r="AM3071" i="2"/>
  <c r="AL3071" i="2"/>
  <c r="AM3072" i="2"/>
  <c r="AL3072" i="2"/>
  <c r="AL3073" i="2"/>
  <c r="AM3073" i="2"/>
  <c r="AM3074" i="2"/>
  <c r="AL3074" i="2"/>
  <c r="AM3075" i="2"/>
  <c r="AL3075" i="2"/>
  <c r="AL3076" i="2"/>
  <c r="AM3076" i="2"/>
  <c r="AM3077" i="2"/>
  <c r="AL3077" i="2"/>
  <c r="AL3078" i="2"/>
  <c r="AM3078" i="2"/>
  <c r="AM3079" i="2"/>
  <c r="AL3079" i="2"/>
  <c r="AM3080" i="2"/>
  <c r="AL3080" i="2"/>
  <c r="AM3081" i="2"/>
  <c r="AL3081" i="2"/>
  <c r="AM3082" i="2"/>
  <c r="AL3082" i="2"/>
  <c r="AM3083" i="2"/>
  <c r="AL3083" i="2"/>
  <c r="AL3084" i="2"/>
  <c r="AM3084" i="2"/>
  <c r="AL3085" i="2"/>
  <c r="AM3085" i="2"/>
  <c r="AL3086" i="2"/>
  <c r="AM3086" i="2"/>
  <c r="AM3087" i="2"/>
  <c r="AL3087" i="2"/>
  <c r="AM3088" i="2"/>
  <c r="AL3088" i="2"/>
  <c r="AL3089" i="2"/>
  <c r="AM3089" i="2"/>
  <c r="AM3090" i="2"/>
  <c r="AL3090" i="2"/>
  <c r="AM3091" i="2"/>
  <c r="AL3091" i="2"/>
  <c r="AM3092" i="2"/>
  <c r="AL3092" i="2"/>
  <c r="AM3093" i="2"/>
  <c r="AL3093" i="2"/>
  <c r="AM3094" i="2"/>
  <c r="AL3094" i="2"/>
  <c r="AM3095" i="2"/>
  <c r="AL3095" i="2"/>
  <c r="AM3096" i="2"/>
  <c r="AL3096" i="2"/>
  <c r="AL3097" i="2"/>
  <c r="AM3097" i="2"/>
  <c r="AM3098" i="2"/>
  <c r="AL3098" i="2"/>
  <c r="AM3099" i="2"/>
  <c r="AL3099" i="2"/>
  <c r="AM3100" i="2"/>
  <c r="AL3100" i="2"/>
  <c r="AM3101" i="2"/>
  <c r="AL3101" i="2"/>
  <c r="AL3102" i="2"/>
  <c r="AM3102" i="2"/>
  <c r="AM3103" i="2"/>
  <c r="AL3103" i="2"/>
  <c r="AM3104" i="2"/>
  <c r="AL3104" i="2"/>
  <c r="AL3105" i="2"/>
  <c r="AM3105" i="2"/>
  <c r="AM3106" i="2"/>
  <c r="AL3106" i="2"/>
  <c r="AM3107" i="2"/>
  <c r="AL3107" i="2"/>
  <c r="AM3108" i="2"/>
  <c r="AL3108" i="2"/>
  <c r="AL3109" i="2"/>
  <c r="AM3109" i="2"/>
  <c r="AL3110" i="2"/>
  <c r="AM3110" i="2"/>
  <c r="AM3111" i="2"/>
  <c r="AL3111" i="2"/>
  <c r="AM3112" i="2"/>
  <c r="AL3112" i="2"/>
  <c r="AL3113" i="2"/>
  <c r="AM3113" i="2"/>
  <c r="AM3114" i="2"/>
  <c r="AL3114" i="2"/>
  <c r="AM3115" i="2"/>
  <c r="AL3115" i="2"/>
  <c r="AL3116" i="2"/>
  <c r="AM3116" i="2"/>
  <c r="AL3117" i="2"/>
  <c r="AM3117" i="2"/>
  <c r="AM3118" i="2"/>
  <c r="AL3118" i="2"/>
  <c r="AL3119" i="2"/>
  <c r="AM3119" i="2"/>
  <c r="AM3120" i="2"/>
  <c r="AL3120" i="2"/>
  <c r="AL3121" i="2"/>
  <c r="AM3121" i="2"/>
  <c r="AL3122" i="2"/>
  <c r="AM3122" i="2"/>
  <c r="AM3123" i="2"/>
  <c r="AL3123" i="2"/>
  <c r="AL3124" i="2"/>
  <c r="AM3124" i="2"/>
  <c r="AM3125" i="2"/>
  <c r="AL3125" i="2"/>
  <c r="AM3126" i="2"/>
  <c r="AL3126" i="2"/>
  <c r="AM3127" i="2"/>
  <c r="AL3127" i="2"/>
  <c r="AM3128" i="2"/>
  <c r="AL3128" i="2"/>
  <c r="AL3129" i="2"/>
  <c r="AM3129" i="2"/>
  <c r="AL3130" i="2"/>
  <c r="AM3130" i="2"/>
  <c r="AM3131" i="2"/>
  <c r="AL3131" i="2"/>
  <c r="AL3132" i="2"/>
  <c r="AM3132" i="2"/>
  <c r="AM3133" i="2"/>
  <c r="AL3133" i="2"/>
  <c r="AL3134" i="2"/>
  <c r="AM3134" i="2"/>
  <c r="AL3135" i="2"/>
  <c r="AM3135" i="2"/>
  <c r="AM3136" i="2"/>
  <c r="AL3136" i="2"/>
  <c r="AL3137" i="2"/>
  <c r="AM3137" i="2"/>
  <c r="AL3138" i="2"/>
  <c r="AM3138" i="2"/>
  <c r="AM3139" i="2"/>
  <c r="AL3139" i="2"/>
  <c r="AM3140" i="2"/>
  <c r="AL3140" i="2"/>
  <c r="AM3141" i="2"/>
  <c r="AL3141" i="2"/>
  <c r="AM3142" i="2"/>
  <c r="AL3142" i="2"/>
  <c r="AM3143" i="2"/>
  <c r="AL3143" i="2"/>
  <c r="AM3144" i="2"/>
  <c r="AL3144" i="2"/>
  <c r="AL3145" i="2"/>
  <c r="AM3145" i="2"/>
  <c r="AL3146" i="2"/>
  <c r="AM3146" i="2"/>
  <c r="AM3147" i="2"/>
  <c r="AL3147" i="2"/>
  <c r="AL3148" i="2"/>
  <c r="AM3148" i="2"/>
  <c r="AL3149" i="2"/>
  <c r="AM3149" i="2"/>
  <c r="AL3150" i="2"/>
  <c r="AM3150" i="2"/>
  <c r="AL3151" i="2"/>
  <c r="AM3151" i="2"/>
  <c r="AM3152" i="2"/>
  <c r="AL3152" i="2"/>
  <c r="AL3153" i="2"/>
  <c r="AM3153" i="2"/>
  <c r="AL3154" i="2"/>
  <c r="AM3154" i="2"/>
  <c r="AM3155" i="2"/>
  <c r="AL3155" i="2"/>
  <c r="AM3156" i="2"/>
  <c r="AL3156" i="2"/>
  <c r="AM3157" i="2"/>
  <c r="AL3157" i="2"/>
  <c r="AM3158" i="2"/>
  <c r="AL3158" i="2"/>
  <c r="AM3159" i="2"/>
  <c r="AL3159" i="2"/>
  <c r="AM3160" i="2"/>
  <c r="AL3160" i="2"/>
  <c r="AL3161" i="2"/>
  <c r="AM3161" i="2"/>
  <c r="AL3162" i="2"/>
  <c r="AM3162" i="2"/>
  <c r="AM3163" i="2"/>
  <c r="AL3163" i="2"/>
  <c r="AL3164" i="2"/>
  <c r="AM3164" i="2"/>
  <c r="AM3165" i="2"/>
  <c r="AL3165" i="2"/>
  <c r="AL3166" i="2"/>
  <c r="AM3166" i="2"/>
  <c r="AM3167" i="2"/>
  <c r="AL3167" i="2"/>
  <c r="AL3168" i="2"/>
  <c r="AM3168" i="2"/>
  <c r="AL3169" i="2"/>
  <c r="AM3169" i="2"/>
  <c r="AM3170" i="2"/>
  <c r="AL3170" i="2"/>
  <c r="AM3171" i="2"/>
  <c r="AL3171" i="2"/>
  <c r="AL3172" i="2"/>
  <c r="AM3172" i="2"/>
  <c r="AL3173" i="2"/>
  <c r="AM3173" i="2"/>
  <c r="AL3174" i="2"/>
  <c r="AM3174" i="2"/>
  <c r="AL3175" i="2"/>
  <c r="AM3175" i="2"/>
  <c r="AM3176" i="2"/>
  <c r="AL3176" i="2"/>
  <c r="AM3177" i="2"/>
  <c r="AL3177" i="2"/>
  <c r="AL3178" i="2"/>
  <c r="AM3178" i="2"/>
  <c r="AM3179" i="2"/>
  <c r="AL3179" i="2"/>
  <c r="AL3180" i="2"/>
  <c r="AM3180" i="2"/>
  <c r="AL3181" i="2"/>
  <c r="AM3181" i="2"/>
  <c r="AL3182" i="2"/>
  <c r="AM3182" i="2"/>
  <c r="AL3183" i="2"/>
  <c r="AM3183" i="2"/>
  <c r="AM3184" i="2"/>
  <c r="AL3184" i="2"/>
  <c r="AL3185" i="2"/>
  <c r="AM3185" i="2"/>
  <c r="AM3186" i="2"/>
  <c r="AL3186" i="2"/>
  <c r="AM3187" i="2"/>
  <c r="AL3187" i="2"/>
  <c r="AL3188" i="2"/>
  <c r="AM3188" i="2"/>
  <c r="AM3189" i="2"/>
  <c r="AL3189" i="2"/>
  <c r="AM3190" i="2"/>
  <c r="AL3190" i="2"/>
  <c r="AM3191" i="2"/>
  <c r="AL3191" i="2"/>
  <c r="AM3192" i="2"/>
  <c r="AL3192" i="2"/>
  <c r="AL3193" i="2"/>
  <c r="AM3193" i="2"/>
  <c r="AM3194" i="2"/>
  <c r="AL3194" i="2"/>
  <c r="AM3195" i="2"/>
  <c r="AL3195" i="2"/>
  <c r="AL3196" i="2"/>
  <c r="AM3196" i="2"/>
  <c r="AL3197" i="2"/>
  <c r="AM3197" i="2"/>
  <c r="AL3198" i="2"/>
  <c r="AM3198" i="2"/>
  <c r="AM3199" i="2"/>
  <c r="AL3199" i="2"/>
  <c r="AM3200" i="2"/>
  <c r="AL3200" i="2"/>
  <c r="AL3201" i="2"/>
  <c r="AM3201" i="2"/>
  <c r="AM3202" i="2"/>
  <c r="AL3202" i="2"/>
  <c r="AM3203" i="2"/>
  <c r="AL3203" i="2"/>
  <c r="AM3204" i="2"/>
  <c r="AL3204" i="2"/>
  <c r="AL3205" i="2"/>
  <c r="AM3205" i="2"/>
  <c r="AL3206" i="2"/>
  <c r="AM3206" i="2"/>
  <c r="AM3207" i="2"/>
  <c r="AL3207" i="2"/>
  <c r="AM3208" i="2"/>
  <c r="AL3208" i="2"/>
  <c r="AL3209" i="2"/>
  <c r="AM3209" i="2"/>
  <c r="AL3210" i="2"/>
  <c r="AM3210" i="2"/>
  <c r="AM3211" i="2"/>
  <c r="AL3211" i="2"/>
  <c r="AM3212" i="2"/>
  <c r="AL3212" i="2"/>
  <c r="AL3213" i="2"/>
  <c r="AM3213" i="2"/>
  <c r="AL3214" i="2"/>
  <c r="AM3214" i="2"/>
  <c r="AM3215" i="2"/>
  <c r="AL3215" i="2"/>
  <c r="AL3216" i="2"/>
  <c r="AM3216" i="2"/>
  <c r="AL3217" i="2"/>
  <c r="AM3217" i="2"/>
  <c r="AM3218" i="2"/>
  <c r="AL3218" i="2"/>
  <c r="AM3219" i="2"/>
  <c r="AL3219" i="2"/>
  <c r="AL3220" i="2"/>
  <c r="AM3220" i="2"/>
  <c r="AM3221" i="2"/>
  <c r="AL3221" i="2"/>
  <c r="AL3222" i="2"/>
  <c r="AM3222" i="2"/>
  <c r="AM3223" i="2"/>
  <c r="AL3223" i="2"/>
  <c r="AM3224" i="2"/>
  <c r="AL3224" i="2"/>
  <c r="AL3225" i="2"/>
  <c r="AM3225" i="2"/>
  <c r="AM3226" i="2"/>
  <c r="AL3226" i="2"/>
  <c r="AM3227" i="2"/>
  <c r="AL3227" i="2"/>
  <c r="AM3228" i="2"/>
  <c r="AL3228" i="2"/>
  <c r="AL3229" i="2"/>
  <c r="AM3229" i="2"/>
  <c r="AL3230" i="2"/>
  <c r="AM3230" i="2"/>
  <c r="AM3231" i="2"/>
  <c r="AL3231" i="2"/>
  <c r="AM3232" i="2"/>
  <c r="AL3232" i="2"/>
  <c r="AL3233" i="2"/>
  <c r="AM3233" i="2"/>
  <c r="AL3234" i="2"/>
  <c r="AM3234" i="2"/>
  <c r="AM3235" i="2"/>
  <c r="AL3235" i="2"/>
  <c r="AM3236" i="2"/>
  <c r="AL3236" i="2"/>
  <c r="AL3237" i="2"/>
  <c r="AM3237" i="2"/>
  <c r="AM3238" i="2"/>
  <c r="AL3238" i="2"/>
  <c r="AL3239" i="2"/>
  <c r="AM3239" i="2"/>
  <c r="AM3240" i="2"/>
  <c r="AL3240" i="2"/>
  <c r="AL3241" i="2"/>
  <c r="AM3241" i="2"/>
  <c r="AL3242" i="2"/>
  <c r="AM3242" i="2"/>
  <c r="AM3243" i="2"/>
  <c r="AL3243" i="2"/>
  <c r="AM3244" i="2"/>
  <c r="AL3244" i="2"/>
  <c r="AL3245" i="2"/>
  <c r="AM3245" i="2"/>
  <c r="AM3246" i="2"/>
  <c r="AL3246" i="2"/>
  <c r="AL3247" i="2"/>
  <c r="AM3247" i="2"/>
  <c r="AM3248" i="2"/>
  <c r="AL3248" i="2"/>
  <c r="AL3249" i="2"/>
  <c r="AM3249" i="2"/>
  <c r="AM3250" i="2"/>
  <c r="AL3250" i="2"/>
  <c r="AM3251" i="2"/>
  <c r="AL3251" i="2"/>
  <c r="AM3252" i="2"/>
  <c r="AL3252" i="2"/>
  <c r="AL3253" i="2"/>
  <c r="AM3253" i="2"/>
  <c r="AM3254" i="2"/>
  <c r="AL3254" i="2"/>
  <c r="AM3255" i="2"/>
  <c r="AL3255" i="2"/>
  <c r="AM3256" i="2"/>
  <c r="AL3256" i="2"/>
  <c r="AL3257" i="2"/>
  <c r="AM3257" i="2"/>
  <c r="AL3258" i="2"/>
  <c r="AM3258" i="2"/>
  <c r="AM3259" i="2"/>
  <c r="AL3259" i="2"/>
  <c r="AL3260" i="2"/>
  <c r="AM3260" i="2"/>
  <c r="AL3261" i="2"/>
  <c r="AM3261" i="2"/>
  <c r="AL3262" i="2"/>
  <c r="AM3262" i="2"/>
  <c r="AM3263" i="2"/>
  <c r="AL3263" i="2"/>
  <c r="AM3264" i="2"/>
  <c r="AL3264" i="2"/>
  <c r="AL3265" i="2"/>
  <c r="AM3265" i="2"/>
  <c r="AL3266" i="2"/>
  <c r="AM3266" i="2"/>
  <c r="AM3267" i="2"/>
  <c r="AL3267" i="2"/>
  <c r="AM3268" i="2"/>
  <c r="AL3268" i="2"/>
  <c r="AM3269" i="2"/>
  <c r="AL3269" i="2"/>
  <c r="AM3270" i="2"/>
  <c r="AL3270" i="2"/>
  <c r="AL3271" i="2"/>
  <c r="AM3271" i="2"/>
  <c r="AM3272" i="2"/>
  <c r="AL3272" i="2"/>
  <c r="AL3273" i="2"/>
  <c r="AM3273" i="2"/>
  <c r="AL3274" i="2"/>
  <c r="AM3274" i="2"/>
  <c r="AM3275" i="2"/>
  <c r="AL3275" i="2"/>
  <c r="AM3276" i="2"/>
  <c r="AL3276" i="2"/>
  <c r="AL3277" i="2"/>
  <c r="AM3277" i="2"/>
  <c r="AM3278" i="2"/>
  <c r="AL3278" i="2"/>
  <c r="AM3279" i="2"/>
  <c r="AL3279" i="2"/>
  <c r="AM3280" i="2"/>
  <c r="AL3280" i="2"/>
  <c r="AL3281" i="2"/>
  <c r="AM3281" i="2"/>
  <c r="AL3282" i="2"/>
  <c r="AM3282" i="2"/>
  <c r="AM3283" i="2"/>
  <c r="AL3283" i="2"/>
  <c r="AL3284" i="2"/>
  <c r="AM3284" i="2"/>
  <c r="AM3285" i="2"/>
  <c r="AL3285" i="2"/>
  <c r="AL3286" i="2"/>
  <c r="AM3286" i="2"/>
  <c r="AM3287" i="2"/>
  <c r="AL3287" i="2"/>
  <c r="AM3288" i="2"/>
  <c r="AL3288" i="2"/>
  <c r="AM3289" i="2"/>
  <c r="AL3289" i="2"/>
  <c r="AM3290" i="2"/>
  <c r="AL3290" i="2"/>
  <c r="AM3291" i="2"/>
  <c r="AL3291" i="2"/>
  <c r="AL3292" i="2"/>
  <c r="AM3292" i="2"/>
  <c r="AM3293" i="2"/>
  <c r="AL3293" i="2"/>
  <c r="AL3294" i="2"/>
  <c r="AM3294" i="2"/>
  <c r="AM3295" i="2"/>
  <c r="AL3295" i="2"/>
  <c r="AL3296" i="2"/>
  <c r="AM3296" i="2"/>
  <c r="AL3297" i="2"/>
  <c r="AM3297" i="2"/>
  <c r="AL3298" i="2"/>
  <c r="AM3298" i="2"/>
  <c r="AM3299" i="2"/>
  <c r="AL3299" i="2"/>
  <c r="AM3300" i="2"/>
  <c r="AL3300" i="2"/>
  <c r="AL3301" i="2"/>
  <c r="AM3301" i="2"/>
  <c r="AL3302" i="2"/>
  <c r="AM3302" i="2"/>
  <c r="AL3303" i="2"/>
  <c r="AM3303" i="2"/>
  <c r="AM3304" i="2"/>
  <c r="AL3304" i="2"/>
  <c r="AM3305" i="2"/>
  <c r="AL3305" i="2"/>
  <c r="AL3306" i="2"/>
  <c r="AM3306" i="2"/>
  <c r="AM3307" i="2"/>
  <c r="AL3307" i="2"/>
  <c r="AM3308" i="2"/>
  <c r="AL3308" i="2"/>
  <c r="AL3309" i="2"/>
  <c r="AM3309" i="2"/>
  <c r="AL3310" i="2"/>
  <c r="AM3310" i="2"/>
  <c r="AL3311" i="2"/>
  <c r="AM3311" i="2"/>
  <c r="AM3312" i="2"/>
  <c r="AL3312" i="2"/>
  <c r="AL3313" i="2"/>
  <c r="AM3313" i="2"/>
  <c r="AL3314" i="2"/>
  <c r="AM3314" i="2"/>
  <c r="AM3315" i="2"/>
  <c r="AL3315" i="2"/>
  <c r="AM3316" i="2"/>
  <c r="AL3316" i="2"/>
  <c r="AL3317" i="2"/>
  <c r="AM3317" i="2"/>
  <c r="AM3318" i="2"/>
  <c r="AL3318" i="2"/>
  <c r="AM3319" i="2"/>
  <c r="AL3319" i="2"/>
  <c r="AL3320" i="2"/>
  <c r="AM3320" i="2"/>
  <c r="AL3321" i="2"/>
  <c r="AM3321" i="2"/>
  <c r="AL3322" i="2"/>
  <c r="AM3322" i="2"/>
  <c r="AM3323" i="2"/>
  <c r="AL3323" i="2"/>
  <c r="AL3324" i="2"/>
  <c r="AM3324" i="2"/>
  <c r="AM3325" i="2"/>
  <c r="AL3325" i="2"/>
  <c r="AL3326" i="2"/>
  <c r="AM3326" i="2"/>
  <c r="AM3327" i="2"/>
  <c r="AL3327" i="2"/>
  <c r="AM3328" i="2"/>
  <c r="AL3328" i="2"/>
  <c r="AL3329" i="2"/>
  <c r="AM3329" i="2"/>
  <c r="AL3330" i="2"/>
  <c r="AM3330" i="2"/>
  <c r="AM3331" i="2"/>
  <c r="AL3331" i="2"/>
  <c r="AM3332" i="2"/>
  <c r="AL3332" i="2"/>
  <c r="AM3333" i="2"/>
  <c r="AL3333" i="2"/>
  <c r="AM3334" i="2"/>
  <c r="AL3334" i="2"/>
  <c r="AM3335" i="2"/>
  <c r="AL3335" i="2"/>
  <c r="AM3336" i="2"/>
  <c r="AL3336" i="2"/>
  <c r="AL3337" i="2"/>
  <c r="AM3337" i="2"/>
  <c r="AM3338" i="2"/>
  <c r="AL3338" i="2"/>
  <c r="AM3339" i="2"/>
  <c r="AL3339" i="2"/>
  <c r="AM3340" i="2"/>
  <c r="AL3340" i="2"/>
  <c r="AL3341" i="2"/>
  <c r="AM3341" i="2"/>
  <c r="AL3342" i="2"/>
  <c r="AM3342" i="2"/>
  <c r="AM3343" i="2"/>
  <c r="AL3343" i="2"/>
  <c r="AL3344" i="2"/>
  <c r="AM3344" i="2"/>
  <c r="AL3345" i="2"/>
  <c r="AM3345" i="2"/>
  <c r="AL3346" i="2"/>
  <c r="AM3346" i="2"/>
  <c r="AM3347" i="2"/>
  <c r="AL3347" i="2"/>
  <c r="AL3348" i="2"/>
  <c r="AM3348" i="2"/>
  <c r="AM3349" i="2"/>
  <c r="AL3349" i="2"/>
  <c r="AM3350" i="2"/>
  <c r="AL3350" i="2"/>
  <c r="AM3351" i="2"/>
  <c r="AL3351" i="2"/>
  <c r="AM3352" i="2"/>
  <c r="AL3352" i="2"/>
  <c r="AL3353" i="2"/>
  <c r="AM3353" i="2"/>
  <c r="AM3354" i="2"/>
  <c r="AL3354" i="2"/>
  <c r="AM3355" i="2"/>
  <c r="AL3355" i="2"/>
  <c r="AM3356" i="2"/>
  <c r="AL3356" i="2"/>
  <c r="AM3357" i="2"/>
  <c r="AL3357" i="2"/>
  <c r="AL3358" i="2"/>
  <c r="AM3358" i="2"/>
  <c r="AL3359" i="2"/>
  <c r="AM3359" i="2"/>
  <c r="AM3360" i="2"/>
  <c r="AL3360" i="2"/>
  <c r="AL3361" i="2"/>
  <c r="AM3361" i="2"/>
  <c r="AM3362" i="2"/>
  <c r="AL3362" i="2"/>
  <c r="AM3363" i="2"/>
  <c r="AL3363" i="2"/>
  <c r="AM3364" i="2"/>
  <c r="AL3364" i="2"/>
  <c r="AM3365" i="2"/>
  <c r="AL3365" i="2"/>
  <c r="AM3366" i="2"/>
  <c r="AL3366" i="2"/>
  <c r="AL3367" i="2"/>
  <c r="AM3367" i="2"/>
  <c r="AM3368" i="2"/>
  <c r="AL3368" i="2"/>
  <c r="AL3369" i="2"/>
  <c r="AM3369" i="2"/>
  <c r="AL3370" i="2"/>
  <c r="AM3370" i="2"/>
  <c r="AM3371" i="2"/>
  <c r="AL3371" i="2"/>
  <c r="AM3372" i="2"/>
  <c r="AL3372" i="2"/>
  <c r="AL3373" i="2"/>
  <c r="AM3373" i="2"/>
  <c r="AL3374" i="2"/>
  <c r="AM3374" i="2"/>
  <c r="AL3375" i="2"/>
  <c r="AM3375" i="2"/>
  <c r="AM3376" i="2"/>
  <c r="AL3376" i="2"/>
  <c r="AL3377" i="2"/>
  <c r="AM3377" i="2"/>
  <c r="AM3378" i="2"/>
  <c r="AL3378" i="2"/>
  <c r="AM3379" i="2"/>
  <c r="AL3379" i="2"/>
  <c r="AL3380" i="2"/>
  <c r="AM3380" i="2"/>
  <c r="AL3381" i="2"/>
  <c r="AM3381" i="2"/>
  <c r="AM3382" i="2"/>
  <c r="AL3382" i="2"/>
  <c r="AM3383" i="2"/>
  <c r="AL3383" i="2"/>
  <c r="AM3384" i="2"/>
  <c r="AL3384" i="2"/>
  <c r="AL3385" i="2"/>
  <c r="AM3385" i="2"/>
  <c r="AL3386" i="2"/>
  <c r="AM3386" i="2"/>
  <c r="AM3387" i="2"/>
  <c r="AL3387" i="2"/>
  <c r="AL3388" i="2"/>
  <c r="AM3388" i="2"/>
  <c r="AM3389" i="2"/>
  <c r="AL3389" i="2"/>
  <c r="AL3390" i="2"/>
  <c r="AM3390" i="2"/>
  <c r="AM3391" i="2"/>
  <c r="AL3391" i="2"/>
  <c r="AM3392" i="2"/>
  <c r="AL3392" i="2"/>
  <c r="AM3393" i="2"/>
  <c r="AL3393" i="2"/>
  <c r="AL3394" i="2"/>
  <c r="AM3394" i="2"/>
  <c r="AM3395" i="2"/>
  <c r="AL3395" i="2"/>
  <c r="AM3396" i="2"/>
  <c r="AL3396" i="2"/>
  <c r="AM3397" i="2"/>
  <c r="AL3397" i="2"/>
  <c r="AL3398" i="2"/>
  <c r="AM3398" i="2"/>
  <c r="AM3399" i="2"/>
  <c r="AL3399" i="2"/>
  <c r="AM3400" i="2"/>
  <c r="AL3400" i="2"/>
  <c r="AL3401" i="2"/>
  <c r="AM3401" i="2"/>
  <c r="AL3402" i="2"/>
  <c r="AM3402" i="2"/>
  <c r="AM3403" i="2"/>
  <c r="AL3403" i="2"/>
  <c r="AL3404" i="2"/>
  <c r="AM3404" i="2"/>
  <c r="AL3405" i="2"/>
  <c r="AM3405" i="2"/>
  <c r="AL3406" i="2"/>
  <c r="AM3406" i="2"/>
  <c r="AM3407" i="2"/>
  <c r="AL3407" i="2"/>
  <c r="AM3408" i="2"/>
  <c r="AL3408" i="2"/>
  <c r="AL3409" i="2"/>
  <c r="AM3409" i="2"/>
  <c r="AL3410" i="2"/>
  <c r="AM3410" i="2"/>
  <c r="AM3411" i="2"/>
  <c r="AL3411" i="2"/>
  <c r="AM3412" i="2"/>
  <c r="AL3412" i="2"/>
  <c r="AL3413" i="2"/>
  <c r="AM3413" i="2"/>
  <c r="AL3414" i="2"/>
  <c r="AM3414" i="2"/>
  <c r="AM3415" i="2"/>
  <c r="AL3415" i="2"/>
  <c r="AL3416" i="2"/>
  <c r="AM3416" i="2"/>
  <c r="AL3417" i="2"/>
  <c r="AM3417" i="2"/>
  <c r="AM3418" i="2"/>
  <c r="AL3418" i="2"/>
  <c r="AM3419" i="2"/>
  <c r="AL3419" i="2"/>
  <c r="AL3420" i="2"/>
  <c r="AM3420" i="2"/>
  <c r="AL3421" i="2"/>
  <c r="AM3421" i="2"/>
  <c r="AL3422" i="2"/>
  <c r="AM3422" i="2"/>
  <c r="AM3423" i="2"/>
  <c r="AL3423" i="2"/>
  <c r="AM3424" i="2"/>
  <c r="AL3424" i="2"/>
  <c r="AL3425" i="2"/>
  <c r="AM3425" i="2"/>
  <c r="AL3426" i="2"/>
  <c r="AM3426" i="2"/>
  <c r="AM3427" i="2"/>
  <c r="AL3427" i="2"/>
  <c r="AM3428" i="2"/>
  <c r="AL3428" i="2"/>
  <c r="AM3429" i="2"/>
  <c r="AL3429" i="2"/>
  <c r="AM3430" i="2"/>
  <c r="AL3430" i="2"/>
  <c r="AL3431" i="2"/>
  <c r="AM3431" i="2"/>
  <c r="AL3432" i="2"/>
  <c r="AM3432" i="2"/>
  <c r="AL3433" i="2"/>
  <c r="AM3433" i="2"/>
  <c r="AL3434" i="2"/>
  <c r="AM3434" i="2"/>
  <c r="AM3435" i="2"/>
  <c r="AL3435" i="2"/>
  <c r="AM3436" i="2"/>
  <c r="AL3436" i="2"/>
  <c r="AL3437" i="2"/>
  <c r="AM3437" i="2"/>
  <c r="AL3438" i="2"/>
  <c r="AM3438" i="2"/>
  <c r="AL3439" i="2"/>
  <c r="AM3439" i="2"/>
  <c r="AL3440" i="2"/>
  <c r="AM3440" i="2"/>
  <c r="AL3441" i="2"/>
  <c r="AM3441" i="2"/>
  <c r="AM3442" i="2"/>
  <c r="AL3442" i="2"/>
  <c r="AM3443" i="2"/>
  <c r="AL3443" i="2"/>
  <c r="AM3444" i="2"/>
  <c r="AL3444" i="2"/>
  <c r="AL3445" i="2"/>
  <c r="AM3445" i="2"/>
  <c r="AL3446" i="2"/>
  <c r="AM3446" i="2"/>
  <c r="AL3447" i="2"/>
  <c r="AM3447" i="2"/>
  <c r="AL3448" i="2"/>
  <c r="AM3448" i="2"/>
  <c r="AL3449" i="2"/>
  <c r="AM3449" i="2"/>
  <c r="AL3450" i="2"/>
  <c r="AM3450" i="2"/>
  <c r="AM3451" i="2"/>
  <c r="AL3451" i="2"/>
  <c r="AL3452" i="2"/>
  <c r="AM3452" i="2"/>
  <c r="AL3453" i="2"/>
  <c r="AM3453" i="2"/>
  <c r="AL3454" i="2"/>
  <c r="AM3454" i="2"/>
  <c r="AM3455" i="2"/>
  <c r="AL3455" i="2"/>
  <c r="AL3456" i="2"/>
  <c r="AM3456" i="2"/>
  <c r="AM3457" i="2"/>
  <c r="AL3457" i="2"/>
  <c r="AL3458" i="2"/>
  <c r="AM3458" i="2"/>
  <c r="AM3459" i="2"/>
  <c r="AL3459" i="2"/>
  <c r="AM3460" i="2"/>
  <c r="AL3460" i="2"/>
  <c r="AL3461" i="2"/>
  <c r="AM3461" i="2"/>
  <c r="AL3462" i="2"/>
  <c r="AM3462" i="2"/>
  <c r="AL3463" i="2"/>
  <c r="AM3463" i="2"/>
  <c r="AM3464" i="2"/>
  <c r="AL3464" i="2"/>
  <c r="AM3465" i="2"/>
  <c r="AL3465" i="2"/>
  <c r="AM3466" i="2"/>
  <c r="AL3466" i="2"/>
  <c r="AL3467" i="2"/>
  <c r="AM3467" i="2"/>
  <c r="AM3468" i="2"/>
  <c r="AL3468" i="2"/>
  <c r="AL3469" i="2"/>
  <c r="AM3469" i="2"/>
  <c r="AL3470" i="2"/>
  <c r="AM3470" i="2"/>
  <c r="AM3471" i="2"/>
  <c r="AL3471" i="2"/>
  <c r="AM3472" i="2"/>
  <c r="AL3472" i="2"/>
  <c r="AM3473" i="2"/>
  <c r="AL3473" i="2"/>
  <c r="AL3474" i="2"/>
  <c r="AM3474" i="2"/>
  <c r="AL3475" i="2"/>
  <c r="AM3475" i="2"/>
  <c r="AL3476" i="2"/>
  <c r="AM3476" i="2"/>
  <c r="AL3477" i="2"/>
  <c r="AM3477" i="2"/>
  <c r="AL3478" i="2"/>
  <c r="AM3478" i="2"/>
  <c r="AM3479" i="2"/>
  <c r="AL3479" i="2"/>
  <c r="AM3480" i="2"/>
  <c r="AL3480" i="2"/>
  <c r="AL3481" i="2"/>
  <c r="AM3481" i="2"/>
  <c r="AL3482" i="2"/>
  <c r="AM3482" i="2"/>
  <c r="AM3483" i="2"/>
  <c r="AL3483" i="2"/>
  <c r="AL3484" i="2"/>
  <c r="AM3484" i="2"/>
  <c r="AL3485" i="2"/>
  <c r="AM3485" i="2"/>
  <c r="AL3486" i="2"/>
  <c r="AM3486" i="2"/>
  <c r="AM3487" i="2"/>
  <c r="AL3487" i="2"/>
  <c r="AM3488" i="2"/>
  <c r="AL3488" i="2"/>
  <c r="AM3489" i="2"/>
  <c r="AL3489" i="2"/>
  <c r="AL3490" i="2"/>
  <c r="AM3490" i="2"/>
  <c r="AM3491" i="2"/>
  <c r="AL3491" i="2"/>
  <c r="AL3492" i="2"/>
  <c r="AM3492" i="2"/>
  <c r="AL3493" i="2"/>
  <c r="AM3493" i="2"/>
  <c r="AM3494" i="2"/>
  <c r="AL3494" i="2"/>
  <c r="AM3495" i="2"/>
  <c r="AL3495" i="2"/>
  <c r="AL3496" i="2"/>
  <c r="AM3496" i="2"/>
  <c r="AL3497" i="2"/>
  <c r="AM3497" i="2"/>
  <c r="AL3498" i="2"/>
  <c r="AM3498" i="2"/>
  <c r="AL3499" i="2"/>
  <c r="AM3499" i="2"/>
  <c r="AL3500" i="2"/>
  <c r="AM3500" i="2"/>
  <c r="AL3501" i="2"/>
  <c r="AM3501" i="2"/>
  <c r="AL3502" i="2"/>
  <c r="AM3502" i="2"/>
  <c r="AL3503" i="2"/>
  <c r="AM3503" i="2"/>
  <c r="AM3504" i="2"/>
  <c r="AL3504" i="2"/>
  <c r="AM3505" i="2"/>
  <c r="AL3505" i="2"/>
  <c r="AM3506" i="2"/>
  <c r="AL3506" i="2"/>
  <c r="AM3507" i="2"/>
  <c r="AL3507" i="2"/>
  <c r="AM3508" i="2"/>
  <c r="AL3508" i="2"/>
  <c r="AM3509" i="2"/>
  <c r="AL3509" i="2"/>
  <c r="AL3510" i="2"/>
  <c r="AM3510" i="2"/>
  <c r="AM3511" i="2"/>
  <c r="AL3511" i="2"/>
  <c r="AM3512" i="2"/>
  <c r="AL3512" i="2"/>
  <c r="AM3513" i="2"/>
  <c r="AL3513" i="2"/>
  <c r="AM3514" i="2"/>
  <c r="AL3514" i="2"/>
  <c r="AL3515" i="2"/>
  <c r="AM3515" i="2"/>
  <c r="AL3516" i="2"/>
  <c r="AM3516" i="2"/>
  <c r="AL3517" i="2"/>
  <c r="AM3517" i="2"/>
  <c r="AL3518" i="2"/>
  <c r="AM3518" i="2"/>
  <c r="AL3519" i="2"/>
  <c r="AM3519" i="2"/>
  <c r="AL3520" i="2"/>
  <c r="AM3520" i="2"/>
  <c r="AL3521" i="2"/>
  <c r="AM3521" i="2"/>
  <c r="AL3522" i="2"/>
  <c r="AM3522" i="2"/>
  <c r="AM3523" i="2"/>
  <c r="AL3523" i="2"/>
  <c r="AM3524" i="2"/>
  <c r="AL3524" i="2"/>
  <c r="AL3525" i="2"/>
  <c r="AM3525" i="2"/>
  <c r="AL3526" i="2"/>
  <c r="AM3526" i="2"/>
  <c r="AL3527" i="2"/>
  <c r="AM3527" i="2"/>
  <c r="AL3528" i="2"/>
  <c r="AM3528" i="2"/>
  <c r="AL3529" i="2"/>
  <c r="AM3529" i="2"/>
  <c r="AL3530" i="2"/>
  <c r="AM3530" i="2"/>
  <c r="AL3531" i="2"/>
  <c r="AM3531" i="2"/>
  <c r="AM3532" i="2"/>
  <c r="AL3532" i="2"/>
  <c r="AL3533" i="2"/>
  <c r="AM3533" i="2"/>
  <c r="AL3534" i="2"/>
  <c r="AM3534" i="2"/>
  <c r="AL3535" i="2"/>
  <c r="AM3535" i="2"/>
  <c r="AM3536" i="2"/>
  <c r="AL3536" i="2"/>
  <c r="AM3537" i="2"/>
  <c r="AL3537" i="2"/>
  <c r="AM3538" i="2"/>
  <c r="AL3538" i="2"/>
  <c r="AL3539" i="2"/>
  <c r="AM3539" i="2"/>
  <c r="AL3540" i="2"/>
  <c r="AM3540" i="2"/>
  <c r="AL3541" i="2"/>
  <c r="AM3541" i="2"/>
  <c r="AL3542" i="2"/>
  <c r="AM3542" i="2"/>
  <c r="AL3543" i="2"/>
  <c r="AM3543" i="2"/>
  <c r="AL3544" i="2"/>
  <c r="AM3544" i="2"/>
  <c r="AM3545" i="2"/>
  <c r="AL3545" i="2"/>
  <c r="AL3546" i="2"/>
  <c r="AM3546" i="2"/>
  <c r="AL3547" i="2"/>
  <c r="AM3547" i="2"/>
  <c r="AL3548" i="2"/>
  <c r="AM3548" i="2"/>
  <c r="AL3549" i="2"/>
  <c r="AM3549" i="2"/>
  <c r="AL3550" i="2"/>
  <c r="AM3550" i="2"/>
  <c r="AL3551" i="2"/>
  <c r="AM3551" i="2"/>
  <c r="AL3552" i="2"/>
  <c r="AM3552" i="2"/>
  <c r="AM3553" i="2"/>
  <c r="AL3553" i="2"/>
  <c r="AM3554" i="2"/>
  <c r="AL3554" i="2"/>
  <c r="AM3555" i="2"/>
  <c r="AL3555" i="2"/>
  <c r="AM3556" i="2"/>
  <c r="AL3556" i="2"/>
  <c r="AL3557" i="2"/>
  <c r="AM3557" i="2"/>
  <c r="AL3558" i="2"/>
  <c r="AM3558" i="2"/>
  <c r="AM3559" i="2"/>
  <c r="AL3559" i="2"/>
  <c r="AL3560" i="2"/>
  <c r="AM3560" i="2"/>
  <c r="AM3561" i="2"/>
  <c r="AL3561" i="2"/>
  <c r="AL3562" i="2"/>
  <c r="AM3562" i="2"/>
  <c r="AL3563" i="2"/>
  <c r="AM3563" i="2"/>
  <c r="AM3564" i="2"/>
  <c r="AL3564" i="2"/>
  <c r="AL3565" i="2"/>
  <c r="AM3565" i="2"/>
  <c r="AL3566" i="2"/>
  <c r="AM3566" i="2"/>
  <c r="AM3567" i="2"/>
  <c r="AL3567" i="2"/>
  <c r="AM3568" i="2"/>
  <c r="AL3568" i="2"/>
  <c r="AM3569" i="2"/>
  <c r="AL3569" i="2"/>
  <c r="AL3570" i="2"/>
  <c r="AM3570" i="2"/>
  <c r="AL3571" i="2"/>
  <c r="AM3571" i="2"/>
  <c r="AM3572" i="2"/>
  <c r="AL3572" i="2"/>
  <c r="AL3573" i="2"/>
  <c r="AM3573" i="2"/>
  <c r="AL3574" i="2"/>
  <c r="AM3574" i="2"/>
  <c r="AL3575" i="2"/>
  <c r="AM3575" i="2"/>
  <c r="AL3576" i="2"/>
  <c r="AM3576" i="2"/>
  <c r="AM3577" i="2"/>
  <c r="AL3577" i="2"/>
  <c r="AM3578" i="2"/>
  <c r="AL3578" i="2"/>
  <c r="AL3579" i="2"/>
  <c r="AM3579" i="2"/>
  <c r="AL3580" i="2"/>
  <c r="AM3580" i="2"/>
  <c r="AL3581" i="2"/>
  <c r="AM3581" i="2"/>
  <c r="AL3582" i="2"/>
  <c r="AM3582" i="2"/>
  <c r="AL3583" i="2"/>
  <c r="AM3583" i="2"/>
  <c r="AL3584" i="2"/>
  <c r="AM3584" i="2"/>
  <c r="AL3585" i="2"/>
  <c r="AM3585" i="2"/>
  <c r="AL3586" i="2"/>
  <c r="AM3586" i="2"/>
  <c r="AM3587" i="2"/>
  <c r="AL3587" i="2"/>
  <c r="AM3588" i="2"/>
  <c r="AL3588" i="2"/>
  <c r="AL3589" i="2"/>
  <c r="AM3589" i="2"/>
  <c r="AL3590" i="2"/>
  <c r="AM3590" i="2"/>
  <c r="AL3591" i="2"/>
  <c r="AM3591" i="2"/>
  <c r="AM3592" i="2"/>
  <c r="AL3592" i="2"/>
  <c r="AM3593" i="2"/>
  <c r="AL3593" i="2"/>
  <c r="AL3594" i="2"/>
  <c r="AM3594" i="2"/>
  <c r="AL3595" i="2"/>
  <c r="AM3595" i="2"/>
  <c r="AM3596" i="2"/>
  <c r="AL3596" i="2"/>
  <c r="AL3597" i="2"/>
  <c r="AM3597" i="2"/>
  <c r="AL3598" i="2"/>
  <c r="AM3598" i="2"/>
  <c r="AM3599" i="2"/>
  <c r="AL3599" i="2"/>
  <c r="AM3600" i="2"/>
  <c r="AL3600" i="2"/>
  <c r="AM3601" i="2"/>
  <c r="AL3601" i="2"/>
  <c r="AL3602" i="2"/>
  <c r="AM3602" i="2"/>
  <c r="AL3603" i="2"/>
  <c r="AM3603" i="2"/>
  <c r="AL3604" i="2"/>
  <c r="AM3604" i="2"/>
  <c r="AM3605" i="2"/>
  <c r="AL3605" i="2"/>
  <c r="AL3606" i="2"/>
  <c r="AM3606" i="2"/>
  <c r="AL3607" i="2"/>
  <c r="AM3607" i="2"/>
  <c r="AL3608" i="2"/>
  <c r="AM3608" i="2"/>
  <c r="AM3609" i="2"/>
  <c r="AL3609" i="2"/>
  <c r="AL3610" i="2"/>
  <c r="AM3610" i="2"/>
  <c r="AM3611" i="2"/>
  <c r="AL3611" i="2"/>
  <c r="AL3612" i="2"/>
  <c r="AM3612" i="2"/>
  <c r="AM3613" i="2"/>
  <c r="AL3613" i="2"/>
  <c r="AL3614" i="2"/>
  <c r="AM3614" i="2"/>
  <c r="AL3615" i="2"/>
  <c r="AM3615" i="2"/>
  <c r="AM3616" i="2"/>
  <c r="AL3616" i="2"/>
  <c r="AL3617" i="2"/>
  <c r="AM3617" i="2"/>
  <c r="AL3618" i="2"/>
  <c r="AM3618" i="2"/>
  <c r="AM3619" i="2"/>
  <c r="AL3619" i="2"/>
  <c r="AL3620" i="2"/>
  <c r="AM3620" i="2"/>
  <c r="AL3621" i="2"/>
  <c r="AM3621" i="2"/>
  <c r="AL3622" i="2"/>
  <c r="AM3622" i="2"/>
  <c r="AM3623" i="2"/>
  <c r="AL3623" i="2"/>
  <c r="AM3624" i="2"/>
  <c r="AL3624" i="2"/>
  <c r="AM3625" i="2"/>
  <c r="AL3625" i="2"/>
  <c r="AL3626" i="2"/>
  <c r="AM3626" i="2"/>
  <c r="AL3627" i="2"/>
  <c r="AM3627" i="2"/>
  <c r="AM3628" i="2"/>
  <c r="AL3628" i="2"/>
  <c r="AL3629" i="2"/>
  <c r="AM3629" i="2"/>
  <c r="AL3630" i="2"/>
  <c r="AM3630" i="2"/>
  <c r="AM3631" i="2"/>
  <c r="AL3631" i="2"/>
  <c r="AM3632" i="2"/>
  <c r="AL3632" i="2"/>
  <c r="AM3633" i="2"/>
  <c r="AL3633" i="2"/>
  <c r="AL3634" i="2"/>
  <c r="AM3634" i="2"/>
  <c r="AM3635" i="2"/>
  <c r="AL3635" i="2"/>
  <c r="AM3636" i="2"/>
  <c r="AL3636" i="2"/>
  <c r="AL3637" i="2"/>
  <c r="AM3637" i="2"/>
  <c r="AL3638" i="2"/>
  <c r="AM3638" i="2"/>
  <c r="AL3639" i="2"/>
  <c r="AM3639" i="2"/>
  <c r="AM3640" i="2"/>
  <c r="AL3640" i="2"/>
  <c r="AM3641" i="2"/>
  <c r="AL3641" i="2"/>
  <c r="AM3642" i="2"/>
  <c r="AL3642" i="2"/>
  <c r="AL3643" i="2"/>
  <c r="AM3643" i="2"/>
  <c r="AM3644" i="2"/>
  <c r="AL3644" i="2"/>
  <c r="AM3645" i="2"/>
  <c r="AL3645" i="2"/>
  <c r="AL3646" i="2"/>
  <c r="AM3646" i="2"/>
  <c r="AL3647" i="2"/>
  <c r="AM3647" i="2"/>
  <c r="AM3648" i="2"/>
  <c r="AL3648" i="2"/>
  <c r="AM3649" i="2"/>
  <c r="AL3649" i="2"/>
  <c r="AL3650" i="2"/>
  <c r="AM3650" i="2"/>
  <c r="AM3651" i="2"/>
  <c r="AL3651" i="2"/>
  <c r="AM3652" i="2"/>
  <c r="AL3652" i="2"/>
  <c r="AL3653" i="2"/>
  <c r="AM3653" i="2"/>
  <c r="AL3654" i="2"/>
  <c r="AM3654" i="2"/>
  <c r="AM3655" i="2"/>
  <c r="AL3655" i="2"/>
  <c r="AM3656" i="2"/>
  <c r="AL3656" i="2"/>
  <c r="AM3657" i="2"/>
  <c r="AL3657" i="2"/>
  <c r="AL3658" i="2"/>
  <c r="AM3658" i="2"/>
  <c r="AL3659" i="2"/>
  <c r="AM3659" i="2"/>
  <c r="AM3660" i="2"/>
  <c r="AL3660" i="2"/>
  <c r="AL3661" i="2"/>
  <c r="AM3661" i="2"/>
  <c r="AL3662" i="2"/>
  <c r="AM3662" i="2"/>
  <c r="AM3663" i="2"/>
  <c r="AL3663" i="2"/>
  <c r="AM3664" i="2"/>
  <c r="AL3664" i="2"/>
  <c r="AM3665" i="2"/>
  <c r="AL3665" i="2"/>
  <c r="AM3666" i="2"/>
  <c r="AL3666" i="2"/>
  <c r="AM3667" i="2"/>
  <c r="AL3667" i="2"/>
  <c r="AL3668" i="2"/>
  <c r="AM3668" i="2"/>
  <c r="AL3669" i="2"/>
  <c r="AM3669" i="2"/>
  <c r="AL3670" i="2"/>
  <c r="AM3670" i="2"/>
  <c r="AL3671" i="2"/>
  <c r="AM3671" i="2"/>
  <c r="AM3672" i="2"/>
  <c r="AL3672" i="2"/>
  <c r="AL3673" i="2"/>
  <c r="AM3673" i="2"/>
  <c r="AM3674" i="2"/>
  <c r="AL3674" i="2"/>
  <c r="AM3675" i="2"/>
  <c r="AL3675" i="2"/>
  <c r="AM3676" i="2"/>
  <c r="AL3676" i="2"/>
  <c r="AM3677" i="2"/>
  <c r="AL3677" i="2"/>
  <c r="AL3678" i="2"/>
  <c r="AM3678" i="2"/>
  <c r="AL3679" i="2"/>
  <c r="AM3679" i="2"/>
  <c r="AM3680" i="2"/>
  <c r="AL3680" i="2"/>
  <c r="AL3681" i="2"/>
  <c r="AM3681" i="2"/>
  <c r="AL3682" i="2"/>
  <c r="AM3682" i="2"/>
  <c r="AL3683" i="2"/>
  <c r="AM3683" i="2"/>
  <c r="AM3684" i="2"/>
  <c r="AL3684" i="2"/>
  <c r="AM3685" i="2"/>
  <c r="AL3685" i="2"/>
  <c r="AL3686" i="2"/>
  <c r="AM3686" i="2"/>
  <c r="AL3687" i="2"/>
  <c r="AM3687" i="2"/>
  <c r="AM3688" i="2"/>
  <c r="AL3688" i="2"/>
  <c r="AM3689" i="2"/>
  <c r="AL3689" i="2"/>
  <c r="AM3690" i="2"/>
  <c r="AL3690" i="2"/>
  <c r="AM3691" i="2"/>
  <c r="AL3691" i="2"/>
  <c r="AM3692" i="2"/>
  <c r="AL3692" i="2"/>
  <c r="AM3693" i="2"/>
  <c r="AL3693" i="2"/>
  <c r="AL3694" i="2"/>
  <c r="AM3694" i="2"/>
  <c r="AM3695" i="2"/>
  <c r="AL3695" i="2"/>
  <c r="AM3696" i="2"/>
  <c r="AL3696" i="2"/>
  <c r="AM3697" i="2"/>
  <c r="AL3697" i="2"/>
  <c r="AM3698" i="2"/>
  <c r="AL3698" i="2"/>
  <c r="AM3699" i="2"/>
  <c r="AL3699" i="2"/>
  <c r="AL3700" i="2"/>
  <c r="AM3700" i="2"/>
  <c r="AM3701" i="2"/>
  <c r="AL3701" i="2"/>
  <c r="AL3702" i="2"/>
  <c r="AM3702" i="2"/>
  <c r="AL3703" i="2"/>
  <c r="AM3703" i="2"/>
  <c r="AM3704" i="2"/>
  <c r="AL3704" i="2"/>
  <c r="AL3705" i="2"/>
  <c r="AM3705" i="2"/>
  <c r="AM3706" i="2"/>
  <c r="AL3706" i="2"/>
  <c r="AM3707" i="2"/>
  <c r="AL3707" i="2"/>
  <c r="AL3708" i="2"/>
  <c r="AM3708" i="2"/>
  <c r="AL3709" i="2"/>
  <c r="AM3709" i="2"/>
  <c r="AL3710" i="2"/>
  <c r="AM3710" i="2"/>
  <c r="AM3711" i="2"/>
  <c r="AL3711" i="2"/>
  <c r="AM3712" i="2"/>
  <c r="AL3712" i="2"/>
  <c r="AL3713" i="2"/>
  <c r="AM3713" i="2"/>
  <c r="AM3714" i="2"/>
  <c r="AL3714" i="2"/>
  <c r="AL3715" i="2"/>
  <c r="AM3715" i="2"/>
  <c r="AM3716" i="2"/>
  <c r="AL3716" i="2"/>
  <c r="AL3717" i="2"/>
  <c r="AM3717" i="2"/>
  <c r="AL3718" i="2"/>
  <c r="AM3718" i="2"/>
  <c r="AM3719" i="2"/>
  <c r="AL3719" i="2"/>
  <c r="AL3720" i="2"/>
  <c r="AM3720" i="2"/>
  <c r="AM3721" i="2"/>
  <c r="AL3721" i="2"/>
  <c r="AM3722" i="2"/>
  <c r="AL3722" i="2"/>
  <c r="AM3723" i="2"/>
  <c r="AL3723" i="2"/>
  <c r="AM3724" i="2"/>
  <c r="AL3724" i="2"/>
  <c r="AM3725" i="2"/>
  <c r="AL3725" i="2"/>
  <c r="AL3726" i="2"/>
  <c r="AM3726" i="2"/>
  <c r="AM3727" i="2"/>
  <c r="AL3727" i="2"/>
  <c r="AM3728" i="2"/>
  <c r="AL3728" i="2"/>
  <c r="AM3729" i="2"/>
  <c r="AL3729" i="2"/>
  <c r="AM3730" i="2"/>
  <c r="AL3730" i="2"/>
  <c r="AM3731" i="2"/>
  <c r="AL3731" i="2"/>
  <c r="AL3732" i="2"/>
  <c r="AM3732" i="2"/>
  <c r="AM3733" i="2"/>
  <c r="AL3733" i="2"/>
  <c r="AM3734" i="2"/>
  <c r="AL3734" i="2"/>
  <c r="AL3735" i="2"/>
  <c r="AM3735" i="2"/>
  <c r="AM3736" i="2"/>
  <c r="AL3736" i="2"/>
  <c r="AM3737" i="2"/>
  <c r="AL3737" i="2"/>
  <c r="AM3738" i="2"/>
  <c r="AL3738" i="2"/>
  <c r="AL3739" i="2"/>
  <c r="AM3739" i="2"/>
  <c r="AL3740" i="2"/>
  <c r="AM3740" i="2"/>
  <c r="AL3741" i="2"/>
  <c r="AM3741" i="2"/>
  <c r="AL3742" i="2"/>
  <c r="AM3742" i="2"/>
  <c r="AL3743" i="2"/>
  <c r="AM3743" i="2"/>
  <c r="AM3744" i="2"/>
  <c r="AL3744" i="2"/>
  <c r="AL3745" i="2"/>
  <c r="AM3745" i="2"/>
  <c r="AL3746" i="2"/>
  <c r="AM3746" i="2"/>
  <c r="AL3747" i="2"/>
  <c r="AM3747" i="2"/>
  <c r="AL3748" i="2"/>
  <c r="AM3748" i="2"/>
  <c r="AM3749" i="2"/>
  <c r="AL3749" i="2"/>
  <c r="AL3750" i="2"/>
  <c r="AM3750" i="2"/>
  <c r="AL3751" i="2"/>
  <c r="AM3751" i="2"/>
  <c r="AM3752" i="2"/>
  <c r="AL3752" i="2"/>
  <c r="AM3753" i="2"/>
  <c r="AL3753" i="2"/>
  <c r="AL3754" i="2"/>
  <c r="AM3754" i="2"/>
  <c r="AM3755" i="2"/>
  <c r="AL3755" i="2"/>
  <c r="AM3756" i="2"/>
  <c r="AL3756" i="2"/>
  <c r="AL3757" i="2"/>
  <c r="AM3757" i="2"/>
  <c r="AM3758" i="2"/>
  <c r="AL3758" i="2"/>
  <c r="AM3759" i="2"/>
  <c r="AL3759" i="2"/>
  <c r="AM3760" i="2"/>
  <c r="AL3760" i="2"/>
  <c r="AM3761" i="2"/>
  <c r="AL3761" i="2"/>
  <c r="AL3762" i="2"/>
  <c r="AM3762" i="2"/>
  <c r="AL3763" i="2"/>
  <c r="AM3763" i="2"/>
  <c r="AL3764" i="2"/>
  <c r="AM3764" i="2"/>
  <c r="AM3765" i="2"/>
  <c r="AL3765" i="2"/>
  <c r="AL3766" i="2"/>
  <c r="AM3766" i="2"/>
  <c r="AL3767" i="2"/>
  <c r="AM3767" i="2"/>
  <c r="AM3768" i="2"/>
  <c r="AL3768" i="2"/>
  <c r="AM3769" i="2"/>
  <c r="AL3769" i="2"/>
  <c r="AM3770" i="2"/>
  <c r="AL3770" i="2"/>
  <c r="AM3771" i="2"/>
  <c r="AL3771" i="2"/>
  <c r="AL3772" i="2"/>
  <c r="AM3772" i="2"/>
  <c r="AL3773" i="2"/>
  <c r="AM3773" i="2"/>
  <c r="AL3774" i="2"/>
  <c r="AM3774" i="2"/>
  <c r="AL3775" i="2"/>
  <c r="AM3775" i="2"/>
  <c r="AM3776" i="2"/>
  <c r="AL3776" i="2"/>
  <c r="AL3777" i="2"/>
  <c r="AM3777" i="2"/>
  <c r="AL3778" i="2"/>
  <c r="AM3778" i="2"/>
  <c r="AL3779" i="2"/>
  <c r="AM3779" i="2"/>
  <c r="AM3780" i="2"/>
  <c r="AL3780" i="2"/>
  <c r="AM3781" i="2"/>
  <c r="AL3781" i="2"/>
  <c r="AM3782" i="2"/>
  <c r="AL3782" i="2"/>
  <c r="AL3783" i="2"/>
  <c r="AM3783" i="2"/>
  <c r="AM3784" i="2"/>
  <c r="AL3784" i="2"/>
  <c r="AM3785" i="2"/>
  <c r="AL3785" i="2"/>
  <c r="AL3786" i="2"/>
  <c r="AM3786" i="2"/>
  <c r="AM3787" i="2"/>
  <c r="AL3787" i="2"/>
  <c r="AM3788" i="2"/>
  <c r="AL3788" i="2"/>
  <c r="AM3789" i="2"/>
  <c r="AL3789" i="2"/>
  <c r="AL3790" i="2"/>
  <c r="AM3790" i="2"/>
  <c r="AM3791" i="2"/>
  <c r="AL3791" i="2"/>
  <c r="AL3792" i="2"/>
  <c r="AM3792" i="2"/>
  <c r="AM3793" i="2"/>
  <c r="AL3793" i="2"/>
  <c r="AL3794" i="2"/>
  <c r="AM3794" i="2"/>
  <c r="AM3795" i="2"/>
  <c r="AL3795" i="2"/>
  <c r="AL3796" i="2"/>
  <c r="AM3796" i="2"/>
  <c r="AM3797" i="2"/>
  <c r="AL3797" i="2"/>
  <c r="AL3798" i="2"/>
  <c r="AM3798" i="2"/>
  <c r="AL3799" i="2"/>
  <c r="AM3799" i="2"/>
  <c r="AM3800" i="2"/>
  <c r="AL3800" i="2"/>
  <c r="AM3801" i="2"/>
  <c r="AL3801" i="2"/>
  <c r="AM3802" i="2"/>
  <c r="AL3802" i="2"/>
  <c r="AM3803" i="2"/>
  <c r="AL3803" i="2"/>
  <c r="AM3804" i="2"/>
  <c r="AL3804" i="2"/>
  <c r="AL3805" i="2"/>
  <c r="AM3805" i="2"/>
  <c r="AL3806" i="2"/>
  <c r="AM3806" i="2"/>
  <c r="AM3807" i="2"/>
  <c r="AL3807" i="2"/>
  <c r="AM3808" i="2"/>
  <c r="AL3808" i="2"/>
  <c r="AL3809" i="2"/>
  <c r="AM3809" i="2"/>
  <c r="AL3810" i="2"/>
  <c r="AM3810" i="2"/>
  <c r="AL3811" i="2"/>
  <c r="AM3811" i="2"/>
  <c r="AM3812" i="2"/>
  <c r="AL3812" i="2"/>
  <c r="AM3813" i="2"/>
  <c r="AL3813" i="2"/>
  <c r="AL3814" i="2"/>
  <c r="AM3814" i="2"/>
  <c r="AM3815" i="2"/>
  <c r="AL3815" i="2"/>
  <c r="AL3816" i="2"/>
  <c r="AM3816" i="2"/>
  <c r="AM3817" i="2"/>
  <c r="AL3817" i="2"/>
  <c r="AM3818" i="2"/>
  <c r="AL3818" i="2"/>
  <c r="AL3819" i="2"/>
  <c r="AM3819" i="2"/>
  <c r="AM3820" i="2"/>
  <c r="AL3820" i="2"/>
  <c r="AM3821" i="2"/>
  <c r="AL3821" i="2"/>
  <c r="AL3822" i="2"/>
  <c r="AM3822" i="2"/>
  <c r="AL3823" i="2"/>
  <c r="AM3823" i="2"/>
  <c r="AL3824" i="2"/>
  <c r="AM3824" i="2"/>
  <c r="AM3825" i="2"/>
  <c r="AL3825" i="2"/>
  <c r="AL3826" i="2"/>
  <c r="AM3826" i="2"/>
  <c r="AL3827" i="2"/>
  <c r="AM3827" i="2"/>
  <c r="AL3828" i="2"/>
  <c r="AM3828" i="2"/>
  <c r="AM3829" i="2"/>
  <c r="AL3829" i="2"/>
  <c r="AL3830" i="2"/>
  <c r="AM3830" i="2"/>
  <c r="AM3831" i="2"/>
  <c r="AL3831" i="2"/>
  <c r="AL3832" i="2"/>
  <c r="AM3832" i="2"/>
  <c r="AM3833" i="2"/>
  <c r="AL3833" i="2"/>
  <c r="AM3834" i="2"/>
  <c r="AL3834" i="2"/>
  <c r="AL3835" i="2"/>
  <c r="AM3835" i="2"/>
  <c r="AM3836" i="2"/>
  <c r="AL3836" i="2"/>
  <c r="AM3837" i="2"/>
  <c r="AL3837" i="2"/>
  <c r="AL3838" i="2"/>
  <c r="AM3838" i="2"/>
  <c r="AM3839" i="2"/>
  <c r="AL3839" i="2"/>
  <c r="AL3840" i="2"/>
  <c r="AM3840" i="2"/>
  <c r="AL3841" i="2"/>
  <c r="AM3841" i="2"/>
  <c r="AM3842" i="2"/>
  <c r="AL3842" i="2"/>
  <c r="AL3843" i="2"/>
  <c r="AM3843" i="2"/>
  <c r="AL3844" i="2"/>
  <c r="AM3844" i="2"/>
  <c r="AM3845" i="2"/>
  <c r="AL3845" i="2"/>
  <c r="AL3846" i="2"/>
  <c r="AM3846" i="2"/>
  <c r="AL3847" i="2"/>
  <c r="AM3847" i="2"/>
  <c r="AL3848" i="2"/>
  <c r="AM3848" i="2"/>
  <c r="AM3849" i="2"/>
  <c r="AL3849" i="2"/>
  <c r="AM3850" i="2"/>
  <c r="AL3850" i="2"/>
  <c r="AM3851" i="2"/>
  <c r="AL3851" i="2"/>
  <c r="AM3852" i="2"/>
  <c r="AL3852" i="2"/>
  <c r="AM3853" i="2"/>
  <c r="AL3853" i="2"/>
  <c r="AL3854" i="2"/>
  <c r="AM3854" i="2"/>
  <c r="AL3855" i="2"/>
  <c r="AM3855" i="2"/>
  <c r="AM3856" i="2"/>
  <c r="AL3856" i="2"/>
  <c r="AL3857" i="2"/>
  <c r="AM3857" i="2"/>
  <c r="AM3858" i="2"/>
  <c r="AL3858" i="2"/>
  <c r="AM3859" i="2"/>
  <c r="AL3859" i="2"/>
  <c r="AL3860" i="2"/>
  <c r="AM3860" i="2"/>
  <c r="AM3861" i="2"/>
  <c r="AL3861" i="2"/>
  <c r="AM3862" i="2"/>
  <c r="AL3862" i="2"/>
  <c r="AL3863" i="2"/>
  <c r="AM3863" i="2"/>
  <c r="AL3864" i="2"/>
  <c r="AM3864" i="2"/>
  <c r="AM3865" i="2"/>
  <c r="AL3865" i="2"/>
  <c r="AL3866" i="2"/>
  <c r="AM3866" i="2"/>
  <c r="AL3867" i="2"/>
  <c r="AM3867" i="2"/>
  <c r="AL3868" i="2"/>
  <c r="AM3868" i="2"/>
  <c r="AM3869" i="2"/>
  <c r="AL3869" i="2"/>
  <c r="AL3870" i="2"/>
  <c r="AM3870" i="2"/>
  <c r="AM3871" i="2"/>
  <c r="AL3871" i="2"/>
  <c r="AL3872" i="2"/>
  <c r="AM3872" i="2"/>
  <c r="AL3873" i="2"/>
  <c r="AM3873" i="2"/>
  <c r="AM3874" i="2"/>
  <c r="AL3874" i="2"/>
  <c r="AL3875" i="2"/>
  <c r="AM3875" i="2"/>
  <c r="AM3876" i="2"/>
  <c r="AL3876" i="2"/>
  <c r="AM3877" i="2"/>
  <c r="AL3877" i="2"/>
  <c r="AL3878" i="2"/>
  <c r="AM3878" i="2"/>
  <c r="AL3879" i="2"/>
  <c r="AM3879" i="2"/>
  <c r="AM3880" i="2"/>
  <c r="AL3880" i="2"/>
  <c r="AM3881" i="2"/>
  <c r="AL3881" i="2"/>
  <c r="AM3882" i="2"/>
  <c r="AL3882" i="2"/>
  <c r="AM3883" i="2"/>
  <c r="AL3883" i="2"/>
  <c r="AM3884" i="2"/>
  <c r="AL3884" i="2"/>
  <c r="AL3885" i="2"/>
  <c r="AM3885" i="2"/>
  <c r="AL3886" i="2"/>
  <c r="AM3886" i="2"/>
  <c r="AM3887" i="2"/>
  <c r="AL3887" i="2"/>
  <c r="AL3888" i="2"/>
  <c r="AM3888" i="2"/>
  <c r="AL3889" i="2"/>
  <c r="AM3889" i="2"/>
  <c r="AM3890" i="2"/>
  <c r="AL3890" i="2"/>
  <c r="AL3891" i="2"/>
  <c r="AM3891" i="2"/>
  <c r="AL3892" i="2"/>
  <c r="AM3892" i="2"/>
  <c r="AM3893" i="2"/>
  <c r="AL3893" i="2"/>
  <c r="AL3894" i="2"/>
  <c r="AM3894" i="2"/>
  <c r="AL3895" i="2"/>
  <c r="AM3895" i="2"/>
  <c r="AL3896" i="2"/>
  <c r="AM3896" i="2"/>
  <c r="AM3897" i="2"/>
  <c r="AL3897" i="2"/>
  <c r="AL3898" i="2"/>
  <c r="AM3898" i="2"/>
  <c r="AM3899" i="2"/>
  <c r="AL3899" i="2"/>
  <c r="AL3900" i="2"/>
  <c r="AM3900" i="2"/>
  <c r="AM3901" i="2"/>
  <c r="AL3901" i="2"/>
  <c r="AM3902" i="2"/>
  <c r="AL3902" i="2"/>
  <c r="AL3903" i="2"/>
  <c r="AM3903" i="2"/>
  <c r="AM3904" i="2"/>
  <c r="AL3904" i="2"/>
  <c r="AM3905" i="2"/>
  <c r="AL3905" i="2"/>
  <c r="AL3906" i="2"/>
  <c r="AM3906" i="2"/>
  <c r="AL3907" i="2"/>
  <c r="AM3907" i="2"/>
  <c r="AL3908" i="2"/>
  <c r="AM3908" i="2"/>
  <c r="AM3909" i="2"/>
  <c r="AL3909" i="2"/>
  <c r="AM3910" i="2"/>
  <c r="AL3910" i="2"/>
  <c r="AM3911" i="2"/>
  <c r="AL3911" i="2"/>
  <c r="AL3912" i="2"/>
  <c r="AM3912" i="2"/>
  <c r="AM3913" i="2"/>
  <c r="AL3913" i="2"/>
  <c r="AM3914" i="2"/>
  <c r="AL3914" i="2"/>
  <c r="AM3915" i="2"/>
  <c r="AL3915" i="2"/>
  <c r="AM3916" i="2"/>
  <c r="AL3916" i="2"/>
  <c r="AM3917" i="2"/>
  <c r="AL3917" i="2"/>
  <c r="AM3918" i="2"/>
  <c r="AL3918" i="2"/>
  <c r="AM3919" i="2"/>
  <c r="AL3919" i="2"/>
  <c r="AL3920" i="2"/>
  <c r="AM3920" i="2"/>
  <c r="AM3921" i="2"/>
  <c r="AL3921" i="2"/>
  <c r="AL3922" i="2"/>
  <c r="AM3922" i="2"/>
  <c r="AL3923" i="2"/>
  <c r="AM3923" i="2"/>
  <c r="AM3924" i="2"/>
  <c r="AL3924" i="2"/>
  <c r="AM3925" i="2"/>
  <c r="AL3925" i="2"/>
  <c r="AL3926" i="2"/>
  <c r="AM3926" i="2"/>
  <c r="AM3927" i="2"/>
  <c r="AL3927" i="2"/>
  <c r="AM3928" i="2"/>
  <c r="AL3928" i="2"/>
  <c r="AM3929" i="2"/>
  <c r="AL3929" i="2"/>
  <c r="AL3930" i="2"/>
  <c r="AM3930" i="2"/>
  <c r="AM3931" i="2"/>
  <c r="AL3931" i="2"/>
  <c r="AL3932" i="2"/>
  <c r="AM3932" i="2"/>
  <c r="AM3933" i="2"/>
  <c r="AL3933" i="2"/>
  <c r="AL3934" i="2"/>
  <c r="AM3934" i="2"/>
  <c r="AM3935" i="2"/>
  <c r="AL3935" i="2"/>
  <c r="AM3936" i="2"/>
  <c r="AL3936" i="2"/>
  <c r="AL3937" i="2"/>
  <c r="AM3937" i="2"/>
  <c r="AM3938" i="2"/>
  <c r="AL3938" i="2"/>
  <c r="AL3939" i="2"/>
  <c r="AM3939" i="2"/>
  <c r="AL3940" i="2"/>
  <c r="AM3940" i="2"/>
  <c r="AM3941" i="2"/>
  <c r="AL3941" i="2"/>
  <c r="AL3942" i="2"/>
  <c r="AM3942" i="2"/>
  <c r="AL3943" i="2"/>
  <c r="AM3943" i="2"/>
  <c r="AM3944" i="2"/>
  <c r="AL3944" i="2"/>
  <c r="AM3945" i="2"/>
  <c r="AL3945" i="2"/>
  <c r="AM3946" i="2"/>
  <c r="AL3946" i="2"/>
  <c r="AL3947" i="2"/>
  <c r="AM3947" i="2"/>
  <c r="AL3948" i="2"/>
  <c r="AM3948" i="2"/>
  <c r="AM3949" i="2"/>
  <c r="AL3949" i="2"/>
  <c r="AM3950" i="2"/>
  <c r="AL3950" i="2"/>
  <c r="AL3951" i="2"/>
  <c r="AM3951" i="2"/>
  <c r="AL3952" i="2"/>
  <c r="AM3952" i="2"/>
  <c r="AL3953" i="2"/>
  <c r="AM3953" i="2"/>
  <c r="AM3954" i="2"/>
  <c r="AL3954" i="2"/>
  <c r="AL3955" i="2"/>
  <c r="AM3955" i="2"/>
  <c r="AL3956" i="2"/>
  <c r="AM3956" i="2"/>
  <c r="AL3957" i="2"/>
  <c r="AM3957" i="2"/>
  <c r="AL3958" i="2"/>
  <c r="AM3958" i="2"/>
  <c r="AL3959" i="2"/>
  <c r="AM3959" i="2"/>
  <c r="AL3960" i="2"/>
  <c r="AM3960" i="2"/>
  <c r="AM3961" i="2"/>
  <c r="AL3961" i="2"/>
  <c r="AL3962" i="2"/>
  <c r="AM3962" i="2"/>
  <c r="AM3963" i="2"/>
  <c r="AL3963" i="2"/>
  <c r="AL3964" i="2"/>
  <c r="AM3964" i="2"/>
  <c r="AM3965" i="2"/>
  <c r="AL3965" i="2"/>
  <c r="AM3966" i="2"/>
  <c r="AL3966" i="2"/>
  <c r="AL3967" i="2"/>
  <c r="AM3967" i="2"/>
  <c r="AL3968" i="2"/>
  <c r="AM3968" i="2"/>
  <c r="AM3969" i="2"/>
  <c r="AL3969" i="2"/>
  <c r="AL3970" i="2"/>
  <c r="AM3970" i="2"/>
  <c r="AL3971" i="2"/>
  <c r="AM3971" i="2"/>
  <c r="AL3972" i="2"/>
  <c r="AM3972" i="2"/>
  <c r="AM3973" i="2"/>
  <c r="AL3973" i="2"/>
  <c r="AL3974" i="2"/>
  <c r="AM3974" i="2"/>
  <c r="AM3975" i="2"/>
  <c r="AL3975" i="2"/>
  <c r="AL3976" i="2"/>
  <c r="AM3976" i="2"/>
  <c r="AM3977" i="2"/>
  <c r="AL3977" i="2"/>
  <c r="AM3978" i="2"/>
  <c r="AL3978" i="2"/>
  <c r="AM3979" i="2"/>
  <c r="AL3979" i="2"/>
  <c r="AL3980" i="2"/>
  <c r="AM3980" i="2"/>
  <c r="AM3981" i="2"/>
  <c r="AL3981" i="2"/>
  <c r="AL3982" i="2"/>
  <c r="AM3982" i="2"/>
  <c r="AL3983" i="2"/>
  <c r="AM3983" i="2"/>
  <c r="AL3984" i="2"/>
  <c r="AM3984" i="2"/>
  <c r="AM3985" i="2"/>
  <c r="AL3985" i="2"/>
  <c r="AM3986" i="2"/>
  <c r="AL3986" i="2"/>
  <c r="AM3987" i="2"/>
  <c r="AL3987" i="2"/>
  <c r="AM3988" i="2"/>
  <c r="AL3988" i="2"/>
  <c r="AM3989" i="2"/>
  <c r="AL3989" i="2"/>
  <c r="AM3990" i="2"/>
  <c r="AL3990" i="2"/>
  <c r="AM3991" i="2"/>
  <c r="AL3991" i="2"/>
  <c r="AL3992" i="2"/>
  <c r="AM3992" i="2"/>
  <c r="AM3993" i="2"/>
  <c r="AL3993" i="2"/>
  <c r="AM3994" i="2"/>
  <c r="AL3994" i="2"/>
  <c r="AM3995" i="2"/>
  <c r="AL3995" i="2"/>
  <c r="AL3996" i="2"/>
  <c r="AM3996" i="2"/>
  <c r="AM3997" i="2"/>
  <c r="AL3997" i="2"/>
  <c r="AM3998" i="2"/>
  <c r="AL3998" i="2"/>
  <c r="AL3999" i="2"/>
  <c r="AM3999" i="2"/>
  <c r="AL4000" i="2"/>
  <c r="AM4000" i="2"/>
  <c r="AL4001" i="2"/>
  <c r="AM4001" i="2"/>
  <c r="AM4002" i="2"/>
  <c r="AL4002" i="2"/>
  <c r="AM4003" i="2"/>
  <c r="AL4003" i="2"/>
  <c r="AM4004" i="2"/>
  <c r="AL4004" i="2"/>
  <c r="AM4005" i="2"/>
  <c r="AL4005" i="2"/>
  <c r="AL4006" i="2"/>
  <c r="AM4006" i="2"/>
  <c r="AL4007" i="2"/>
  <c r="AM4007" i="2"/>
  <c r="AL4008" i="2"/>
  <c r="AM4008" i="2"/>
  <c r="AL4009" i="2"/>
  <c r="AM4009" i="2"/>
  <c r="AM4010" i="2"/>
  <c r="AL4010" i="2"/>
  <c r="AL4011" i="2"/>
  <c r="AM4011" i="2"/>
  <c r="AM4012" i="2"/>
  <c r="AL4012" i="2"/>
  <c r="AL4013" i="2"/>
  <c r="AM4013" i="2"/>
  <c r="AL4014" i="2"/>
  <c r="AM4014" i="2"/>
  <c r="AL4015" i="2"/>
  <c r="AM4015" i="2"/>
  <c r="AM4016" i="2"/>
  <c r="AL4016" i="2"/>
  <c r="AM4017" i="2"/>
  <c r="AL4017" i="2"/>
  <c r="AM4018" i="2"/>
  <c r="AL4018" i="2"/>
  <c r="AM4019" i="2"/>
  <c r="AL4019" i="2"/>
  <c r="AM4020" i="2"/>
  <c r="AL4020" i="2"/>
  <c r="AL4021" i="2"/>
  <c r="AM4021" i="2"/>
  <c r="AL4022" i="2"/>
  <c r="AM4022" i="2"/>
  <c r="AM4023" i="2"/>
  <c r="AL4023" i="2"/>
  <c r="AM4024" i="2"/>
  <c r="AL4024" i="2"/>
  <c r="AL4025" i="2"/>
  <c r="AM4025" i="2"/>
  <c r="AL4026" i="2"/>
  <c r="AM4026" i="2"/>
  <c r="AM4027" i="2"/>
  <c r="AL4027" i="2"/>
  <c r="AM4028" i="2"/>
  <c r="AL4028" i="2"/>
  <c r="AM4029" i="2"/>
  <c r="AL4029" i="2"/>
  <c r="AL4030" i="2"/>
  <c r="AM4030" i="2"/>
  <c r="AL4031" i="2"/>
  <c r="AM4031" i="2"/>
  <c r="AM4032" i="2"/>
  <c r="AL4032" i="2"/>
  <c r="AM4033" i="2"/>
  <c r="AL4033" i="2"/>
  <c r="AL4034" i="2"/>
  <c r="AM4034" i="2"/>
  <c r="AL4035" i="2"/>
  <c r="AM4035" i="2"/>
  <c r="AM4036" i="2"/>
  <c r="AL4036" i="2"/>
  <c r="AM4037" i="2"/>
  <c r="AL4037" i="2"/>
  <c r="AL4038" i="2"/>
  <c r="AM4038" i="2"/>
  <c r="AM4039" i="2"/>
  <c r="AL4039" i="2"/>
  <c r="AM4040" i="2"/>
  <c r="AL4040" i="2"/>
  <c r="AL4041" i="2"/>
  <c r="AM4041" i="2"/>
  <c r="AM4042" i="2"/>
  <c r="AL4042" i="2"/>
  <c r="AM4043" i="2"/>
  <c r="AL4043" i="2"/>
  <c r="AM4044" i="2"/>
  <c r="AL4044" i="2"/>
  <c r="AL4045" i="2"/>
  <c r="AM4045" i="2"/>
  <c r="AM4046" i="2"/>
  <c r="AL4046" i="2"/>
  <c r="AM4047" i="2"/>
  <c r="AL4047" i="2"/>
  <c r="AM4048" i="2"/>
  <c r="AL4048" i="2"/>
  <c r="AL4049" i="2"/>
  <c r="AM4049" i="2"/>
  <c r="AM4050" i="2"/>
  <c r="AL4050" i="2"/>
  <c r="AL4051" i="2"/>
  <c r="AM4051" i="2"/>
  <c r="AL4052" i="2"/>
  <c r="AM4052" i="2"/>
  <c r="AM4053" i="2"/>
  <c r="AL4053" i="2"/>
  <c r="AL4054" i="2"/>
  <c r="AM4054" i="2"/>
  <c r="AL4055" i="2"/>
  <c r="AM4055" i="2"/>
  <c r="AM4056" i="2"/>
  <c r="AL4056" i="2"/>
  <c r="AM4057" i="2"/>
  <c r="AL4057" i="2"/>
  <c r="AM4058" i="2"/>
  <c r="AL4058" i="2"/>
  <c r="AM4059" i="2"/>
  <c r="AL4059" i="2"/>
  <c r="AM4060" i="2"/>
  <c r="AL4060" i="2"/>
  <c r="AM4061" i="2"/>
  <c r="AL4061" i="2"/>
  <c r="AL4062" i="2"/>
  <c r="AM4062" i="2"/>
  <c r="AL4063" i="2"/>
  <c r="AM4063" i="2"/>
  <c r="AM4064" i="2"/>
  <c r="AL4064" i="2"/>
  <c r="AM4065" i="2"/>
  <c r="AL4065" i="2"/>
  <c r="AM4066" i="2"/>
  <c r="AL4066" i="2"/>
  <c r="AM4067" i="2"/>
  <c r="AL4067" i="2"/>
  <c r="AL4068" i="2"/>
  <c r="AM4068" i="2"/>
  <c r="AM4069" i="2"/>
  <c r="AL4069" i="2"/>
  <c r="AM4070" i="2"/>
  <c r="AL4070" i="2"/>
  <c r="AL4071" i="2"/>
  <c r="AM4071" i="2"/>
  <c r="AL4072" i="2"/>
  <c r="AM4072" i="2"/>
  <c r="AL4073" i="2"/>
  <c r="AM4073" i="2"/>
  <c r="AM4074" i="2"/>
  <c r="AL4074" i="2"/>
  <c r="AL4075" i="2"/>
  <c r="AM4075" i="2"/>
  <c r="AM4076" i="2"/>
  <c r="AL4076" i="2"/>
  <c r="AL4077" i="2"/>
  <c r="AM4077" i="2"/>
  <c r="AL4078" i="2"/>
  <c r="AM4078" i="2"/>
  <c r="AM4079" i="2"/>
  <c r="AL4079" i="2"/>
  <c r="AM4080" i="2"/>
  <c r="AL4080" i="2"/>
  <c r="AL4081" i="2"/>
  <c r="AM4081" i="2"/>
  <c r="AM4082" i="2"/>
  <c r="AL4082" i="2"/>
  <c r="AM4083" i="2"/>
  <c r="AL4083" i="2"/>
  <c r="AM4084" i="2"/>
  <c r="AL4084" i="2"/>
  <c r="AL4085" i="2"/>
  <c r="AM4085" i="2"/>
  <c r="AL4086" i="2"/>
  <c r="AM4086" i="2"/>
  <c r="AM4087" i="2"/>
  <c r="AL4087" i="2"/>
  <c r="AM4088" i="2"/>
  <c r="AL4088" i="2"/>
  <c r="AL4089" i="2"/>
  <c r="AM4089" i="2"/>
  <c r="AM4090" i="2"/>
  <c r="AL4090" i="2"/>
  <c r="AM4091" i="2"/>
  <c r="AL4091" i="2"/>
  <c r="AM4092" i="2"/>
  <c r="AL4092" i="2"/>
  <c r="AL4093" i="2"/>
  <c r="AM4093" i="2"/>
  <c r="AL4094" i="2"/>
  <c r="AM4094" i="2"/>
  <c r="AL4095" i="2"/>
  <c r="AM4095" i="2"/>
  <c r="AM4096" i="2"/>
  <c r="AL4096" i="2"/>
  <c r="AL4097" i="2"/>
  <c r="AM4097" i="2"/>
  <c r="AL4098" i="2"/>
  <c r="AM4098" i="2"/>
  <c r="AL4099" i="2"/>
  <c r="AM4099" i="2"/>
  <c r="AM4100" i="2"/>
  <c r="AL4100" i="2"/>
  <c r="AM4101" i="2"/>
  <c r="AL4101" i="2"/>
  <c r="AM4102" i="2"/>
  <c r="AL4102" i="2"/>
  <c r="AM4103" i="2"/>
  <c r="AL4103" i="2"/>
  <c r="AM4104" i="2"/>
  <c r="AL4104" i="2"/>
  <c r="AL4105" i="2"/>
  <c r="AM4105" i="2"/>
  <c r="AL4106" i="2"/>
  <c r="AM4106" i="2"/>
  <c r="AM4107" i="2"/>
  <c r="AL4107" i="2"/>
  <c r="AM4108" i="2"/>
  <c r="AL4108" i="2"/>
  <c r="AL4109" i="2"/>
  <c r="AM4109" i="2"/>
  <c r="AM4110" i="2"/>
  <c r="AL4110" i="2"/>
  <c r="AM4111" i="2"/>
  <c r="AL4111" i="2"/>
  <c r="AM4112" i="2"/>
  <c r="AL4112" i="2"/>
  <c r="AL4113" i="2"/>
  <c r="AM4113" i="2"/>
  <c r="AM4114" i="2"/>
  <c r="AL4114" i="2"/>
  <c r="AM4115" i="2"/>
  <c r="AL4115" i="2"/>
  <c r="AL4116" i="2"/>
  <c r="AM4116" i="2"/>
  <c r="AL4117" i="2"/>
  <c r="AM4117" i="2"/>
  <c r="AL4118" i="2"/>
  <c r="AM4118" i="2"/>
  <c r="AL4119" i="2"/>
  <c r="AM4119" i="2"/>
  <c r="AM4120" i="2"/>
  <c r="AL4120" i="2"/>
  <c r="AL4121" i="2"/>
  <c r="AM4121" i="2"/>
  <c r="AM4122" i="2"/>
  <c r="AL4122" i="2"/>
  <c r="AM4123" i="2"/>
  <c r="AL4123" i="2"/>
  <c r="AL4124" i="2"/>
  <c r="AM4124" i="2"/>
  <c r="AL4125" i="2"/>
  <c r="AM4125" i="2"/>
  <c r="AM4126" i="2"/>
  <c r="AL4126" i="2"/>
  <c r="AL4127" i="2"/>
  <c r="AM4127" i="2"/>
  <c r="AM4128" i="2"/>
  <c r="AL4128" i="2"/>
  <c r="AM4129" i="2"/>
  <c r="AL4129" i="2"/>
  <c r="AL4130" i="2"/>
  <c r="AM4130" i="2"/>
  <c r="AM4131" i="2"/>
  <c r="AL4131" i="2"/>
  <c r="AM4132" i="2"/>
  <c r="AL4132" i="2"/>
  <c r="AM4133" i="2"/>
  <c r="AL4133" i="2"/>
  <c r="AM4134" i="2"/>
  <c r="AL4134" i="2"/>
  <c r="AL4135" i="2"/>
  <c r="AM4135" i="2"/>
  <c r="AL4136" i="2"/>
  <c r="AM4136" i="2"/>
  <c r="AM4137" i="2"/>
  <c r="AL4137" i="2"/>
  <c r="AM4138" i="2"/>
  <c r="AL4138" i="2"/>
  <c r="AM4139" i="2"/>
  <c r="AL4139" i="2"/>
  <c r="AM4140" i="2"/>
  <c r="AL4140" i="2"/>
  <c r="AL4141" i="2"/>
  <c r="AM4141" i="2"/>
  <c r="AL4142" i="2"/>
  <c r="AM4142" i="2"/>
  <c r="AM4143" i="2"/>
  <c r="AL4143" i="2"/>
  <c r="AM4144" i="2"/>
  <c r="AL4144" i="2"/>
  <c r="AL4145" i="2"/>
  <c r="AM4145" i="2"/>
  <c r="AM4146" i="2"/>
  <c r="AL4146" i="2"/>
  <c r="AM4147" i="2"/>
  <c r="AL4147" i="2"/>
  <c r="AM4148" i="2"/>
  <c r="AL4148" i="2"/>
  <c r="AM4149" i="2"/>
  <c r="AL4149" i="2"/>
  <c r="AM4150" i="2"/>
  <c r="AL4150" i="2"/>
  <c r="AM4151" i="2"/>
  <c r="AL4151" i="2"/>
  <c r="AM4152" i="2"/>
  <c r="AL4152" i="2"/>
  <c r="AL4153" i="2"/>
  <c r="AM4153" i="2"/>
  <c r="AL4154" i="2"/>
  <c r="AM4154" i="2"/>
  <c r="AM4155" i="2"/>
  <c r="AL4155" i="2"/>
  <c r="AM4156" i="2"/>
  <c r="AL4156" i="2"/>
  <c r="AL4157" i="2"/>
  <c r="AM4157" i="2"/>
  <c r="AM4158" i="2"/>
  <c r="AL4158" i="2"/>
  <c r="AL4159" i="2"/>
  <c r="AM4159" i="2"/>
  <c r="AM4160" i="2"/>
  <c r="AL4160" i="2"/>
  <c r="AM4161" i="2"/>
  <c r="AL4161" i="2"/>
  <c r="AL4162" i="2"/>
  <c r="AM4162" i="2"/>
  <c r="AM4163" i="2"/>
  <c r="AL4163" i="2"/>
  <c r="AM4164" i="2"/>
  <c r="AL4164" i="2"/>
  <c r="AM4165" i="2"/>
  <c r="AL4165" i="2"/>
  <c r="AL4166" i="2"/>
  <c r="AM4166" i="2"/>
  <c r="AL4167" i="2"/>
  <c r="AM4167" i="2"/>
  <c r="AM4168" i="2"/>
  <c r="AL4168" i="2"/>
  <c r="AL4169" i="2"/>
  <c r="AM4169" i="2"/>
  <c r="AM4170" i="2"/>
  <c r="AL4170" i="2"/>
  <c r="AM4171" i="2"/>
  <c r="AL4171" i="2"/>
  <c r="AM4172" i="2"/>
  <c r="AL4172" i="2"/>
  <c r="AL4173" i="2"/>
  <c r="AM4173" i="2"/>
  <c r="AM4174" i="2"/>
  <c r="AL4174" i="2"/>
  <c r="AM4175" i="2"/>
  <c r="AL4175" i="2"/>
  <c r="AM4176" i="2"/>
  <c r="AL4176" i="2"/>
  <c r="AL4177" i="2"/>
  <c r="AM4177" i="2"/>
  <c r="AM4178" i="2"/>
  <c r="AL4178" i="2"/>
  <c r="AL4179" i="2"/>
  <c r="AM4179" i="2"/>
  <c r="AL4180" i="2"/>
  <c r="AM4180" i="2"/>
  <c r="AL4181" i="2"/>
  <c r="AM4181" i="2"/>
  <c r="AL4182" i="2"/>
  <c r="AM4182" i="2"/>
  <c r="AM4183" i="2"/>
  <c r="AL4183" i="2"/>
  <c r="AM4184" i="2"/>
  <c r="AL4184" i="2"/>
  <c r="AM4185" i="2"/>
  <c r="AL4185" i="2"/>
  <c r="AM4186" i="2"/>
  <c r="AL4186" i="2"/>
  <c r="AM4187" i="2"/>
  <c r="AL4187" i="2"/>
  <c r="AL4188" i="2"/>
  <c r="AM4188" i="2"/>
  <c r="AL4189" i="2"/>
  <c r="AM4189" i="2"/>
  <c r="AL4190" i="2"/>
  <c r="AM4190" i="2"/>
  <c r="AL4191" i="2"/>
  <c r="AM4191" i="2"/>
  <c r="AM4192" i="2"/>
  <c r="AL4192" i="2"/>
  <c r="AM4193" i="2"/>
  <c r="AL4193" i="2"/>
  <c r="AM4194" i="2"/>
  <c r="AL4194" i="2"/>
  <c r="AM4195" i="2"/>
  <c r="AL4195" i="2"/>
  <c r="AM4196" i="2"/>
  <c r="AL4196" i="2"/>
  <c r="AM4197" i="2"/>
  <c r="AL4197" i="2"/>
  <c r="AL4198" i="2"/>
  <c r="AM4198" i="2"/>
  <c r="AM4199" i="2"/>
  <c r="AL4199" i="2"/>
  <c r="AL4200" i="2"/>
  <c r="AM4200" i="2"/>
  <c r="AM4201" i="2"/>
  <c r="AL4201" i="2"/>
  <c r="AM4202" i="2"/>
  <c r="AL4202" i="2"/>
  <c r="AL4203" i="2"/>
  <c r="AM4203" i="2"/>
  <c r="AM4204" i="2"/>
  <c r="AL4204" i="2"/>
  <c r="AL4205" i="2"/>
  <c r="AM4205" i="2"/>
  <c r="AL4206" i="2"/>
  <c r="AM4206" i="2"/>
  <c r="AM4207" i="2"/>
  <c r="AL4207" i="2"/>
  <c r="AM4208" i="2"/>
  <c r="AL4208" i="2"/>
  <c r="AM4209" i="2"/>
  <c r="AL4209" i="2"/>
  <c r="AM4210" i="2"/>
  <c r="AL4210" i="2"/>
  <c r="AM4211" i="2"/>
  <c r="AL4211" i="2"/>
  <c r="AM4212" i="2"/>
  <c r="AL4212" i="2"/>
  <c r="AM4213" i="2"/>
  <c r="AL4213" i="2"/>
  <c r="AM4214" i="2"/>
  <c r="AL4214" i="2"/>
  <c r="AM4215" i="2"/>
  <c r="AL4215" i="2"/>
  <c r="AM4216" i="2"/>
  <c r="AL4216" i="2"/>
  <c r="AL4217" i="2"/>
  <c r="AM4217" i="2"/>
  <c r="AM4218" i="2"/>
  <c r="AL4218" i="2"/>
  <c r="AM4219" i="2"/>
  <c r="AL4219" i="2"/>
  <c r="AM4220" i="2"/>
  <c r="AL4220" i="2"/>
  <c r="AL4221" i="2"/>
  <c r="AM4221" i="2"/>
  <c r="AM4222" i="2"/>
  <c r="AL4222" i="2"/>
  <c r="AL4223" i="2"/>
  <c r="AM4223" i="2"/>
  <c r="AM4224" i="2"/>
  <c r="AL4224" i="2"/>
  <c r="AL4225" i="2"/>
  <c r="AM4225" i="2"/>
  <c r="AL4226" i="2"/>
  <c r="AM4226" i="2"/>
  <c r="AL4227" i="2"/>
  <c r="AM4227" i="2"/>
  <c r="AM4228" i="2"/>
  <c r="AL4228" i="2"/>
  <c r="AM4229" i="2"/>
  <c r="AL4229" i="2"/>
  <c r="AL4230" i="2"/>
  <c r="AM4230" i="2"/>
  <c r="AL4231" i="2"/>
  <c r="AM4231" i="2"/>
  <c r="AM4232" i="2"/>
  <c r="AL4232" i="2"/>
  <c r="AL4233" i="2"/>
  <c r="AM4233" i="2"/>
  <c r="AL4234" i="2"/>
  <c r="AM4234" i="2"/>
  <c r="AM4235" i="2"/>
  <c r="AL4235" i="2"/>
  <c r="AM4236" i="2"/>
  <c r="AL4236" i="2"/>
  <c r="AL4237" i="2"/>
  <c r="AM4237" i="2"/>
  <c r="AM4238" i="2"/>
  <c r="AL4238" i="2"/>
  <c r="AL4239" i="2"/>
  <c r="AM4239" i="2"/>
  <c r="AM4240" i="2"/>
  <c r="AL4240" i="2"/>
  <c r="AL4241" i="2"/>
  <c r="AM4241" i="2"/>
  <c r="AM4242" i="2"/>
  <c r="AL4242" i="2"/>
  <c r="AM4243" i="2"/>
  <c r="AL4243" i="2"/>
  <c r="AL4244" i="2"/>
  <c r="AM4244" i="2"/>
  <c r="AL4245" i="2"/>
  <c r="AM4245" i="2"/>
  <c r="AL4246" i="2"/>
  <c r="AM4246" i="2"/>
  <c r="AL4247" i="2"/>
  <c r="AM4247" i="2"/>
  <c r="AM4248" i="2"/>
  <c r="AL4248" i="2"/>
  <c r="AL4249" i="2"/>
  <c r="AM4249" i="2"/>
  <c r="AM4250" i="2"/>
  <c r="AL4250" i="2"/>
  <c r="AM4251" i="2"/>
  <c r="AL4251" i="2"/>
  <c r="AL4252" i="2"/>
  <c r="AM4252" i="2"/>
  <c r="AL4253" i="2"/>
  <c r="AM4253" i="2"/>
  <c r="AL4254" i="2"/>
  <c r="AM4254" i="2"/>
  <c r="AL4255" i="2"/>
  <c r="AM4255" i="2"/>
  <c r="AM4256" i="2"/>
  <c r="AL4256" i="2"/>
  <c r="AM4257" i="2"/>
  <c r="AL4257" i="2"/>
  <c r="AL4258" i="2"/>
  <c r="AM4258" i="2"/>
  <c r="AM4259" i="2"/>
  <c r="AL4259" i="2"/>
  <c r="AM4260" i="2"/>
  <c r="AL4260" i="2"/>
  <c r="AM4261" i="2"/>
  <c r="AL4261" i="2"/>
  <c r="AL4262" i="2"/>
  <c r="AM4262" i="2"/>
  <c r="AL4263" i="2"/>
  <c r="AM4263" i="2"/>
  <c r="AL4264" i="2"/>
  <c r="AM4264" i="2"/>
  <c r="AM4265" i="2"/>
  <c r="AL4265" i="2"/>
  <c r="AL4266" i="2"/>
  <c r="AM4266" i="2"/>
  <c r="AM4267" i="2"/>
  <c r="AL4267" i="2"/>
  <c r="AM4268" i="2"/>
  <c r="AL4268" i="2"/>
  <c r="AL4269" i="2"/>
  <c r="AM4269" i="2"/>
  <c r="AL4270" i="2"/>
  <c r="AM4270" i="2"/>
  <c r="AL4271" i="2"/>
  <c r="AM4271" i="2"/>
  <c r="AM4272" i="2"/>
  <c r="AL4272" i="2"/>
  <c r="AM4273" i="2"/>
  <c r="AL4273" i="2"/>
  <c r="AM4274" i="2"/>
  <c r="AL4274" i="2"/>
  <c r="AM4275" i="2"/>
  <c r="AL4275" i="2"/>
  <c r="AM4276" i="2"/>
  <c r="AL4276" i="2"/>
  <c r="AM4277" i="2"/>
  <c r="AL4277" i="2"/>
  <c r="AM4278" i="2"/>
  <c r="AL4278" i="2"/>
  <c r="AM4279" i="2"/>
  <c r="AL4279" i="2"/>
  <c r="AM4280" i="2"/>
  <c r="AL4280" i="2"/>
  <c r="AL4281" i="2"/>
  <c r="AM4281" i="2"/>
  <c r="AL4282" i="2"/>
  <c r="AM4282" i="2"/>
  <c r="AM4283" i="2"/>
  <c r="AL4283" i="2"/>
  <c r="AM4284" i="2"/>
  <c r="AL4284" i="2"/>
  <c r="AL4285" i="2"/>
  <c r="AM4285" i="2"/>
  <c r="AL4286" i="2"/>
  <c r="AM4286" i="2"/>
  <c r="AL4287" i="2"/>
  <c r="AM4287" i="2"/>
  <c r="AM4288" i="2"/>
  <c r="AL4288" i="2"/>
  <c r="AM4289" i="2"/>
  <c r="AL4289" i="2"/>
  <c r="AL4290" i="2"/>
  <c r="AM4290" i="2"/>
  <c r="AM4291" i="2"/>
  <c r="AL4291" i="2"/>
  <c r="AM4292" i="2"/>
  <c r="AL4292" i="2"/>
  <c r="AM4293" i="2"/>
  <c r="AL4293" i="2"/>
  <c r="AL4294" i="2"/>
  <c r="AM4294" i="2"/>
  <c r="AM4295" i="2"/>
  <c r="AL4295" i="2"/>
  <c r="AM4296" i="2"/>
  <c r="AL4296" i="2"/>
  <c r="AL4297" i="2"/>
  <c r="AM4297" i="2"/>
  <c r="AM4298" i="2"/>
  <c r="AL4298" i="2"/>
  <c r="AM4299" i="2"/>
  <c r="AL4299" i="2"/>
  <c r="AM4300" i="2"/>
  <c r="AL4300" i="2"/>
  <c r="AL4301" i="2"/>
  <c r="AM4301" i="2"/>
  <c r="AM4302" i="2"/>
  <c r="AL4302" i="2"/>
  <c r="AL4303" i="2"/>
  <c r="AM4303" i="2"/>
  <c r="AM4304" i="2"/>
  <c r="AL4304" i="2"/>
  <c r="AL4305" i="2"/>
  <c r="AM4305" i="2"/>
  <c r="AM4306" i="2"/>
  <c r="AL4306" i="2"/>
  <c r="AL4307" i="2"/>
  <c r="AM4307" i="2"/>
  <c r="AL4308" i="2"/>
  <c r="AM4308" i="2"/>
  <c r="AL4309" i="2"/>
  <c r="AM4309" i="2"/>
  <c r="AL4310" i="2"/>
  <c r="AM4310" i="2"/>
  <c r="AM4311" i="2"/>
  <c r="AL4311" i="2"/>
  <c r="AM4312" i="2"/>
  <c r="AL4312" i="2"/>
  <c r="AM4313" i="2"/>
  <c r="AL4313" i="2"/>
  <c r="AM4314" i="2"/>
  <c r="AL4314" i="2"/>
  <c r="AM4315" i="2"/>
  <c r="AL4315" i="2"/>
  <c r="AL4316" i="2"/>
  <c r="AM4316" i="2"/>
  <c r="AL4317" i="2"/>
  <c r="AM4317" i="2"/>
  <c r="AL4318" i="2"/>
  <c r="AM4318" i="2"/>
  <c r="AL4319" i="2"/>
  <c r="AM4319" i="2"/>
  <c r="AM4320" i="2"/>
  <c r="AL4320" i="2"/>
  <c r="AL4321" i="2"/>
  <c r="AM4321" i="2"/>
  <c r="AM4322" i="2"/>
  <c r="AL4322" i="2"/>
  <c r="AM4323" i="2"/>
  <c r="AL4323" i="2"/>
  <c r="AL4324" i="2"/>
  <c r="AM4324" i="2"/>
  <c r="AM4325" i="2"/>
  <c r="AL4325" i="2"/>
  <c r="AL4326" i="2"/>
  <c r="AM4326" i="2"/>
  <c r="AL4327" i="2"/>
  <c r="AM4327" i="2"/>
  <c r="AL4328" i="2"/>
  <c r="AM4328" i="2"/>
  <c r="AM4329" i="2"/>
  <c r="AL4329" i="2"/>
  <c r="AM4330" i="2"/>
  <c r="AL4330" i="2"/>
  <c r="AL4331" i="2"/>
  <c r="AM4331" i="2"/>
  <c r="AM4332" i="2"/>
  <c r="AL4332" i="2"/>
  <c r="AL4333" i="2"/>
  <c r="AM4333" i="2"/>
  <c r="AL4334" i="2"/>
  <c r="AM4334" i="2"/>
  <c r="AL4335" i="2"/>
  <c r="AM4335" i="2"/>
  <c r="AM4336" i="2"/>
  <c r="AL4336" i="2"/>
  <c r="AM4337" i="2"/>
  <c r="AL4337" i="2"/>
  <c r="AM4338" i="2"/>
  <c r="AL4338" i="2"/>
  <c r="AM4339" i="2"/>
  <c r="AL4339" i="2"/>
  <c r="AM4340" i="2"/>
  <c r="AL4340" i="2"/>
  <c r="AM4341" i="2"/>
  <c r="AL4341" i="2"/>
  <c r="AM4342" i="2"/>
  <c r="AL4342" i="2"/>
  <c r="AM4343" i="2"/>
  <c r="AL4343" i="2"/>
  <c r="AM4344" i="2"/>
  <c r="AL4344" i="2"/>
  <c r="AM4345" i="2"/>
  <c r="AL4345" i="2"/>
  <c r="AM4346" i="2"/>
  <c r="AL4346" i="2"/>
  <c r="AM4347" i="2"/>
  <c r="AL4347" i="2"/>
  <c r="AM4348" i="2"/>
  <c r="AL4348" i="2"/>
  <c r="AM4349" i="2"/>
  <c r="AL4349" i="2"/>
  <c r="AL4350" i="2"/>
  <c r="AM4350" i="2"/>
  <c r="AL4351" i="2"/>
  <c r="AM4351" i="2"/>
  <c r="AM4352" i="2"/>
  <c r="AL4352" i="2"/>
  <c r="AM4353" i="2"/>
  <c r="AL4353" i="2"/>
  <c r="AL4354" i="2"/>
  <c r="AM4354" i="2"/>
  <c r="AL4355" i="2"/>
  <c r="AM4355" i="2"/>
  <c r="AM4356" i="2"/>
  <c r="AL4356" i="2"/>
  <c r="AM4357" i="2"/>
  <c r="AL4357" i="2"/>
  <c r="AL4358" i="2"/>
  <c r="AM4358" i="2"/>
  <c r="AM4359" i="2"/>
  <c r="AL4359" i="2"/>
  <c r="AM4360" i="2"/>
  <c r="AL4360" i="2"/>
  <c r="AL4361" i="2"/>
  <c r="AM4361" i="2"/>
  <c r="AL4362" i="2"/>
  <c r="AM4362" i="2"/>
  <c r="AL4363" i="2"/>
  <c r="AM4363" i="2"/>
  <c r="AM4364" i="2"/>
  <c r="AL4364" i="2"/>
  <c r="AL4365" i="2"/>
  <c r="AM4365" i="2"/>
  <c r="AM4366" i="2"/>
  <c r="AL4366" i="2"/>
  <c r="AL4367" i="2"/>
  <c r="AM4367" i="2"/>
  <c r="AM4368" i="2"/>
  <c r="AL4368" i="2"/>
  <c r="AM4369" i="2"/>
  <c r="AL4369" i="2"/>
  <c r="AM4370" i="2"/>
  <c r="AL4370" i="2"/>
  <c r="AM4371" i="2"/>
  <c r="AL4371" i="2"/>
  <c r="AL4372" i="2"/>
  <c r="AM4372" i="2"/>
  <c r="AL4373" i="2"/>
  <c r="AM4373" i="2"/>
  <c r="AL4374" i="2"/>
  <c r="AM4374" i="2"/>
  <c r="AL4375" i="2"/>
  <c r="AM4375" i="2"/>
  <c r="AM4376" i="2"/>
  <c r="AL4376" i="2"/>
  <c r="AM4377" i="2"/>
  <c r="AL4377" i="2"/>
  <c r="AM4378" i="2"/>
  <c r="AL4378" i="2"/>
  <c r="AM4379" i="2"/>
  <c r="AL4379" i="2"/>
  <c r="AL4380" i="2"/>
  <c r="AM4380" i="2"/>
  <c r="AL4381" i="2"/>
  <c r="AM4381" i="2"/>
  <c r="AL4382" i="2"/>
  <c r="AM4382" i="2"/>
  <c r="AL4383" i="2"/>
  <c r="AM4383" i="2"/>
  <c r="AM4384" i="2"/>
  <c r="AL4384" i="2"/>
  <c r="AM4385" i="2"/>
  <c r="AL4385" i="2"/>
  <c r="AL4386" i="2"/>
  <c r="AM4386" i="2"/>
  <c r="AM4387" i="2"/>
  <c r="AL4387" i="2"/>
  <c r="AM4388" i="2"/>
  <c r="AL4388" i="2"/>
  <c r="AM4389" i="2"/>
  <c r="AL4389" i="2"/>
  <c r="AL4390" i="2"/>
  <c r="AM4390" i="2"/>
  <c r="AL4391" i="2"/>
  <c r="AM4391" i="2"/>
  <c r="AL4392" i="2"/>
  <c r="AM4392" i="2"/>
  <c r="AM4393" i="2"/>
  <c r="AL4393" i="2"/>
  <c r="AL4394" i="2"/>
  <c r="AM4394" i="2"/>
  <c r="AL4395" i="2"/>
  <c r="AM4395" i="2"/>
  <c r="AM4396" i="2"/>
  <c r="AL4396" i="2"/>
  <c r="AL4397" i="2"/>
  <c r="AM4397" i="2"/>
  <c r="AM4398" i="2"/>
  <c r="AL4398" i="2"/>
  <c r="AL4399" i="2"/>
  <c r="AM4399" i="2"/>
  <c r="AL4400" i="2"/>
  <c r="AM4400" i="2"/>
  <c r="AL4401" i="2"/>
  <c r="AM4401" i="2"/>
  <c r="AM4402" i="2"/>
  <c r="AL4402" i="2"/>
  <c r="AM4403" i="2"/>
  <c r="AL4403" i="2"/>
  <c r="AL4404" i="2"/>
  <c r="AM4404" i="2"/>
  <c r="AM4405" i="2"/>
  <c r="AL4405" i="2"/>
  <c r="AL4406" i="2"/>
  <c r="AM4406" i="2"/>
  <c r="AL4407" i="2"/>
  <c r="AM4407" i="2"/>
  <c r="AM4408" i="2"/>
  <c r="AL4408" i="2"/>
  <c r="AL4409" i="2"/>
  <c r="AM4409" i="2"/>
  <c r="AL4410" i="2"/>
  <c r="AM4410" i="2"/>
  <c r="AM4411" i="2"/>
  <c r="AL4411" i="2"/>
  <c r="AM4412" i="2"/>
  <c r="AL4412" i="2"/>
  <c r="AL4413" i="2"/>
  <c r="AM4413" i="2"/>
  <c r="AL4414" i="2"/>
  <c r="AM4414" i="2"/>
  <c r="AM4415" i="2"/>
  <c r="AL4415" i="2"/>
  <c r="AM4416" i="2"/>
  <c r="AL4416" i="2"/>
  <c r="AM4417" i="2"/>
  <c r="AL4417" i="2"/>
  <c r="AM4418" i="2"/>
  <c r="AL4418" i="2"/>
  <c r="AL4419" i="2"/>
  <c r="AM4419" i="2"/>
  <c r="AM4420" i="2"/>
  <c r="AL4420" i="2"/>
  <c r="AM4421" i="2"/>
  <c r="AL4421" i="2"/>
  <c r="AM4422" i="2"/>
  <c r="AL4422" i="2"/>
  <c r="AL4423" i="2"/>
  <c r="AM4423" i="2"/>
  <c r="AM4424" i="2"/>
  <c r="AL4424" i="2"/>
  <c r="AL4425" i="2"/>
  <c r="AM4425" i="2"/>
  <c r="AL4426" i="2"/>
  <c r="AM4426" i="2"/>
  <c r="AM4427" i="2"/>
  <c r="AL4427" i="2"/>
  <c r="AM4428" i="2"/>
  <c r="AL4428" i="2"/>
  <c r="AL4429" i="2"/>
  <c r="AM4429" i="2"/>
  <c r="AM4430" i="2"/>
  <c r="AL4430" i="2"/>
  <c r="AM4431" i="2"/>
  <c r="AL4431" i="2"/>
  <c r="AM4432" i="2"/>
  <c r="AL4432" i="2"/>
  <c r="AM4433" i="2"/>
  <c r="AL4433" i="2"/>
  <c r="AM4434" i="2"/>
  <c r="AL4434" i="2"/>
  <c r="AL4435" i="2"/>
  <c r="AM4435" i="2"/>
  <c r="AL4436" i="2"/>
  <c r="AM4436" i="2"/>
  <c r="AL4437" i="2"/>
  <c r="AM4437" i="2"/>
  <c r="AL4438" i="2"/>
  <c r="AM4438" i="2"/>
  <c r="AM4439" i="2"/>
  <c r="AL4439" i="2"/>
  <c r="AM4440" i="2"/>
  <c r="AL4440" i="2"/>
  <c r="AM4441" i="2"/>
  <c r="AL4441" i="2"/>
  <c r="AL4442" i="2"/>
  <c r="AM4442" i="2"/>
  <c r="AM4443" i="2"/>
  <c r="AL4443" i="2"/>
  <c r="AM4444" i="2"/>
  <c r="AL4444" i="2"/>
  <c r="AL4445" i="2"/>
  <c r="AM4445" i="2"/>
  <c r="AL4446" i="2"/>
  <c r="AM4446" i="2"/>
  <c r="AM4447" i="2"/>
  <c r="AL4447" i="2"/>
  <c r="AM4448" i="2"/>
  <c r="AL4448" i="2"/>
  <c r="AL4449" i="2"/>
  <c r="AM4449" i="2"/>
  <c r="AL4450" i="2"/>
  <c r="AM4450" i="2"/>
  <c r="AL4451" i="2"/>
  <c r="AM4451" i="2"/>
  <c r="AM4452" i="2"/>
  <c r="AL4452" i="2"/>
  <c r="AM4453" i="2"/>
  <c r="AL4453" i="2"/>
  <c r="AM4454" i="2"/>
  <c r="AL4454" i="2"/>
  <c r="AL4455" i="2"/>
  <c r="AM4455" i="2"/>
  <c r="AM4456" i="2"/>
  <c r="AL4456" i="2"/>
  <c r="AM4457" i="2"/>
  <c r="AL4457" i="2"/>
  <c r="AM4458" i="2"/>
  <c r="AL4458" i="2"/>
  <c r="AL4459" i="2"/>
  <c r="AM4459" i="2"/>
  <c r="AM4460" i="2"/>
  <c r="AL4460" i="2"/>
  <c r="AL4461" i="2"/>
  <c r="AM4461" i="2"/>
  <c r="AM4462" i="2"/>
  <c r="AL4462" i="2"/>
  <c r="AL4463" i="2"/>
  <c r="AM4463" i="2"/>
  <c r="AL4464" i="2"/>
  <c r="AM4464" i="2"/>
  <c r="AL4465" i="2"/>
  <c r="AM4465" i="2"/>
  <c r="AM4466" i="2"/>
  <c r="AL4466" i="2"/>
  <c r="AL4467" i="2"/>
  <c r="AM4467" i="2"/>
  <c r="AL4468" i="2"/>
  <c r="AM4468" i="2"/>
  <c r="AL4469" i="2"/>
  <c r="AM4469" i="2"/>
  <c r="AL4470" i="2"/>
  <c r="AM4470" i="2"/>
  <c r="AM4471" i="2"/>
  <c r="AL4471" i="2"/>
  <c r="AM4472" i="2"/>
  <c r="AL4472" i="2"/>
  <c r="AL4473" i="2"/>
  <c r="AM4473" i="2"/>
  <c r="AL4474" i="2"/>
  <c r="AM4474" i="2"/>
  <c r="AM4475" i="2"/>
  <c r="AL4475" i="2"/>
  <c r="AM4476" i="2"/>
  <c r="AL4476" i="2"/>
  <c r="AL4477" i="2"/>
  <c r="AM4477" i="2"/>
  <c r="AL4478" i="2"/>
  <c r="AM4478" i="2"/>
  <c r="AM4479" i="2"/>
  <c r="AL4479" i="2"/>
  <c r="AM4480" i="2"/>
  <c r="AL4480" i="2"/>
  <c r="AL4481" i="2"/>
  <c r="AM4481" i="2"/>
  <c r="AM4482" i="2"/>
  <c r="AL4482" i="2"/>
  <c r="AM4483" i="2"/>
  <c r="AL4483" i="2"/>
  <c r="AM4484" i="2"/>
  <c r="AL4484" i="2"/>
  <c r="AM4485" i="2"/>
  <c r="AL4485" i="2"/>
  <c r="AM4486" i="2"/>
  <c r="AL4486" i="2"/>
  <c r="AL4487" i="2"/>
  <c r="AM4487" i="2"/>
  <c r="AM4488" i="2"/>
  <c r="AL4488" i="2"/>
  <c r="AL4489" i="2"/>
  <c r="AM4489" i="2"/>
  <c r="AL4490" i="2"/>
  <c r="AM4490" i="2"/>
  <c r="AL4491" i="2"/>
  <c r="AM4491" i="2"/>
  <c r="AM4492" i="2"/>
  <c r="AL4492" i="2"/>
  <c r="AM4493" i="2"/>
  <c r="AL4493" i="2"/>
  <c r="AM4494" i="2"/>
  <c r="AL4494" i="2"/>
  <c r="AL4495" i="2"/>
  <c r="AM4495" i="2"/>
  <c r="AM4496" i="2"/>
  <c r="AL4496" i="2"/>
  <c r="AM4497" i="2"/>
  <c r="AL4497" i="2"/>
  <c r="AM4498" i="2"/>
  <c r="AL4498" i="2"/>
  <c r="AM4499" i="2"/>
  <c r="AL4499" i="2"/>
  <c r="AL4500" i="2"/>
  <c r="AM4500" i="2"/>
  <c r="AL4501" i="2"/>
  <c r="AM4501" i="2"/>
  <c r="AL4502" i="2"/>
  <c r="AM4502" i="2"/>
  <c r="AM4503" i="2"/>
  <c r="AL4503" i="2"/>
  <c r="AM4504" i="2"/>
  <c r="AL4504" i="2"/>
  <c r="AL4505" i="2"/>
  <c r="AM4505" i="2"/>
  <c r="AM4506" i="2"/>
  <c r="AL4506" i="2"/>
  <c r="AL4507" i="2"/>
  <c r="AM4507" i="2"/>
  <c r="AM4508" i="2"/>
  <c r="AL4508" i="2"/>
  <c r="AL4509" i="2"/>
  <c r="AM4509" i="2"/>
  <c r="AL4510" i="2"/>
  <c r="AM4510" i="2"/>
  <c r="AM4511" i="2"/>
  <c r="AL4511" i="2"/>
  <c r="AM4512" i="2"/>
  <c r="AL4512" i="2"/>
  <c r="AL4513" i="2"/>
  <c r="AM4513" i="2"/>
  <c r="AL4514" i="2"/>
  <c r="AM4514" i="2"/>
  <c r="AL4515" i="2"/>
  <c r="AM4515" i="2"/>
  <c r="AM4516" i="2"/>
  <c r="AL4516" i="2"/>
  <c r="AM4517" i="2"/>
  <c r="AL4517" i="2"/>
  <c r="AM4518" i="2"/>
  <c r="AL4518" i="2"/>
  <c r="AL4519" i="2"/>
  <c r="AM4519" i="2"/>
  <c r="AM4520" i="2"/>
  <c r="AL4520" i="2"/>
  <c r="AL4521" i="2"/>
  <c r="AM4521" i="2"/>
  <c r="AM4522" i="2"/>
  <c r="AL4522" i="2"/>
  <c r="AM4523" i="2"/>
  <c r="AL4523" i="2"/>
  <c r="AM4524" i="2"/>
  <c r="AL4524" i="2"/>
  <c r="AL4525" i="2"/>
  <c r="AM4525" i="2"/>
  <c r="AM4526" i="2"/>
  <c r="AL4526" i="2"/>
  <c r="AM4527" i="2"/>
  <c r="AL4527" i="2"/>
  <c r="AL4528" i="2"/>
  <c r="AM4528" i="2"/>
  <c r="AM4529" i="2"/>
  <c r="AL4529" i="2"/>
  <c r="AM4530" i="2"/>
  <c r="AL4530" i="2"/>
  <c r="AM4531" i="2"/>
  <c r="AL4531" i="2"/>
  <c r="AM4532" i="2"/>
  <c r="AL4532" i="2"/>
  <c r="AL4533" i="2"/>
  <c r="AM4533" i="2"/>
  <c r="AL4534" i="2"/>
  <c r="AM4534" i="2"/>
  <c r="AM4535" i="2"/>
  <c r="AL4535" i="2"/>
  <c r="AM4536" i="2"/>
  <c r="AL4536" i="2"/>
  <c r="AL4537" i="2"/>
  <c r="AM4537" i="2"/>
  <c r="AL4538" i="2"/>
  <c r="AM4538" i="2"/>
  <c r="AM4539" i="2"/>
  <c r="AL4539" i="2"/>
  <c r="AM4540" i="2"/>
  <c r="AL4540" i="2"/>
  <c r="AL4541" i="2"/>
  <c r="AM4541" i="2"/>
  <c r="AL4542" i="2"/>
  <c r="AM4542" i="2"/>
  <c r="AM4543" i="2"/>
  <c r="AL4543" i="2"/>
  <c r="AM4544" i="2"/>
  <c r="AL4544" i="2"/>
  <c r="AM4545" i="2"/>
  <c r="AL4545" i="2"/>
  <c r="AM4546" i="2"/>
  <c r="AL4546" i="2"/>
  <c r="AL4547" i="2"/>
  <c r="AM4547" i="2"/>
  <c r="AM4548" i="2"/>
  <c r="AL4548" i="2"/>
  <c r="AM4549" i="2"/>
  <c r="AL4549" i="2"/>
  <c r="AL4550" i="2"/>
  <c r="AM4550" i="2"/>
  <c r="AM4551" i="2"/>
  <c r="AL4551" i="2"/>
  <c r="AM4552" i="2"/>
  <c r="AL4552" i="2"/>
  <c r="AM4553" i="2"/>
  <c r="AL4553" i="2"/>
  <c r="AM4554" i="2"/>
  <c r="AL4554" i="2"/>
  <c r="AM4555" i="2"/>
  <c r="AL4555" i="2"/>
  <c r="AM4556" i="2"/>
  <c r="AL4556" i="2"/>
  <c r="AM4557" i="2"/>
  <c r="AL4557" i="2"/>
  <c r="AM4558" i="2"/>
  <c r="AL4558" i="2"/>
  <c r="AM4559" i="2"/>
  <c r="AL4559" i="2"/>
  <c r="AM4560" i="2"/>
  <c r="AL4560" i="2"/>
  <c r="AM4561" i="2"/>
  <c r="AL4561" i="2"/>
  <c r="AM4562" i="2"/>
  <c r="AL4562" i="2"/>
  <c r="AM4563" i="2"/>
  <c r="AL4563" i="2"/>
  <c r="AM4564" i="2"/>
  <c r="AL4564" i="2"/>
  <c r="AL4565" i="2"/>
  <c r="AM4565" i="2"/>
  <c r="AL4566" i="2"/>
  <c r="AM4566" i="2"/>
  <c r="AL4567" i="2"/>
  <c r="AM4567" i="2"/>
  <c r="AM4568" i="2"/>
  <c r="AL4568" i="2"/>
  <c r="AM4569" i="2"/>
  <c r="AL4569" i="2"/>
  <c r="AM4570" i="2"/>
  <c r="AL4570" i="2"/>
  <c r="AM4571" i="2"/>
  <c r="AL4571" i="2"/>
  <c r="AM4572" i="2"/>
  <c r="AL4572" i="2"/>
  <c r="AL4573" i="2"/>
  <c r="AM4573" i="2"/>
  <c r="AL4574" i="2"/>
  <c r="AM4574" i="2"/>
  <c r="AM4575" i="2"/>
  <c r="AL4575" i="2"/>
  <c r="AM4576" i="2"/>
  <c r="AL4576" i="2"/>
  <c r="AM4577" i="2"/>
  <c r="AL4577" i="2"/>
  <c r="AM4578" i="2"/>
  <c r="AL4578" i="2"/>
  <c r="AL4579" i="2"/>
  <c r="AM4579" i="2"/>
  <c r="AM4580" i="2"/>
  <c r="AL4580" i="2"/>
  <c r="AM4581" i="2"/>
  <c r="AL4581" i="2"/>
  <c r="AM4582" i="2"/>
  <c r="AL4582" i="2"/>
  <c r="AL4583" i="2"/>
  <c r="AM4583" i="2"/>
  <c r="AM4584" i="2"/>
  <c r="AL4584" i="2"/>
  <c r="AL4585" i="2"/>
  <c r="AM4585" i="2"/>
  <c r="AM4586" i="2"/>
  <c r="AL4586" i="2"/>
  <c r="AL4587" i="2"/>
  <c r="AM4587" i="2"/>
  <c r="AM4588" i="2"/>
  <c r="AL4588" i="2"/>
  <c r="AL4589" i="2"/>
  <c r="AM4589" i="2"/>
  <c r="AM4590" i="2"/>
  <c r="AL4590" i="2"/>
  <c r="AL4591" i="2"/>
  <c r="AM4591" i="2"/>
  <c r="AL4592" i="2"/>
  <c r="AM4592" i="2"/>
  <c r="AL4593" i="2"/>
  <c r="AM4593" i="2"/>
  <c r="AM4594" i="2"/>
  <c r="AL4594" i="2"/>
  <c r="AL4595" i="2"/>
  <c r="AM4595" i="2"/>
  <c r="AM4596" i="2"/>
  <c r="AL4596" i="2"/>
  <c r="AL4597" i="2"/>
  <c r="AM4597" i="2"/>
  <c r="AL4598" i="2"/>
  <c r="AM4598" i="2"/>
  <c r="AM4599" i="2"/>
  <c r="AL4599" i="2"/>
  <c r="AM4600" i="2"/>
  <c r="AL4600" i="2"/>
  <c r="AL4601" i="2"/>
  <c r="AM4601" i="2"/>
  <c r="AM4602" i="2"/>
  <c r="AL4602" i="2"/>
  <c r="AM4603" i="2"/>
  <c r="AL4603" i="2"/>
  <c r="AM4604" i="2"/>
  <c r="AL4604" i="2"/>
  <c r="AL4605" i="2"/>
  <c r="AM4605" i="2"/>
  <c r="AM4606" i="2"/>
  <c r="AL4606" i="2"/>
  <c r="AM4607" i="2"/>
  <c r="AL4607" i="2"/>
  <c r="AM4608" i="2"/>
  <c r="AL4608" i="2"/>
  <c r="AL4609" i="2"/>
  <c r="AM4609" i="2"/>
  <c r="AM4610" i="2"/>
  <c r="AL4610" i="2"/>
  <c r="AL4611" i="2"/>
  <c r="AM4611" i="2"/>
  <c r="AL4612" i="2"/>
  <c r="AM4612" i="2"/>
  <c r="AM4613" i="2"/>
  <c r="AL4613" i="2"/>
  <c r="AL4614" i="2"/>
  <c r="AM4614" i="2"/>
  <c r="AL4615" i="2"/>
  <c r="AM4615" i="2"/>
  <c r="AL4616" i="2"/>
  <c r="AM4616" i="2"/>
  <c r="AL4617" i="2"/>
  <c r="AM4617" i="2"/>
  <c r="AL4618" i="2"/>
  <c r="AM4618" i="2"/>
  <c r="AM4619" i="2"/>
  <c r="AL4619" i="2"/>
  <c r="AM4620" i="2"/>
  <c r="AL4620" i="2"/>
  <c r="AL4621" i="2"/>
  <c r="AM4621" i="2"/>
  <c r="AM4622" i="2"/>
  <c r="AL4622" i="2"/>
  <c r="AL4623" i="2"/>
  <c r="AM4623" i="2"/>
  <c r="AM4624" i="2"/>
  <c r="AL4624" i="2"/>
  <c r="AL4625" i="2"/>
  <c r="AM4625" i="2"/>
  <c r="AM4626" i="2"/>
  <c r="AL4626" i="2"/>
  <c r="AM4627" i="2"/>
  <c r="AL4627" i="2"/>
  <c r="AM4628" i="2"/>
  <c r="AL4628" i="2"/>
  <c r="AL4629" i="2"/>
  <c r="AM4629" i="2"/>
  <c r="AL4630" i="2"/>
  <c r="AM4630" i="2"/>
  <c r="AL4631" i="2"/>
  <c r="AM4631" i="2"/>
  <c r="AL4632" i="2"/>
  <c r="AM4632" i="2"/>
  <c r="AL4633" i="2"/>
  <c r="AM4633" i="2"/>
  <c r="AM4634" i="2"/>
  <c r="AL4634" i="2"/>
  <c r="AL4635" i="2"/>
  <c r="AM4635" i="2"/>
  <c r="AM4636" i="2"/>
  <c r="AL4636" i="2"/>
  <c r="AM4637" i="2"/>
  <c r="AL4637" i="2"/>
  <c r="AM4638" i="2"/>
  <c r="AL4638" i="2"/>
  <c r="AL4639" i="2"/>
  <c r="AM4639" i="2"/>
  <c r="AM4640" i="2"/>
  <c r="AL4640" i="2"/>
  <c r="AM4641" i="2"/>
  <c r="AL4641" i="2"/>
  <c r="AL4642" i="2"/>
  <c r="AM4642" i="2"/>
  <c r="AM4643" i="2"/>
  <c r="AL4643" i="2"/>
  <c r="AL4644" i="2"/>
  <c r="AM4644" i="2"/>
  <c r="AM4645" i="2"/>
  <c r="AL4645" i="2"/>
  <c r="AM4646" i="2"/>
  <c r="AL4646" i="2"/>
  <c r="AM4647" i="2"/>
  <c r="AL4647" i="2"/>
  <c r="AM4648" i="2"/>
  <c r="AL4648" i="2"/>
  <c r="AL4649" i="2"/>
  <c r="AM4649" i="2"/>
  <c r="AM4650" i="2"/>
  <c r="AL4650" i="2"/>
  <c r="AM4651" i="2"/>
  <c r="AL4651" i="2"/>
  <c r="AM4652" i="2"/>
  <c r="AL4652" i="2"/>
  <c r="AL4653" i="2"/>
  <c r="AM4653" i="2"/>
  <c r="AM4654" i="2"/>
  <c r="AL4654" i="2"/>
  <c r="AM4655" i="2"/>
  <c r="AL4655" i="2"/>
  <c r="AM4656" i="2"/>
  <c r="AL4656" i="2"/>
  <c r="AL4657" i="2"/>
  <c r="AM4657" i="2"/>
  <c r="AM4658" i="2"/>
  <c r="AL4658" i="2"/>
  <c r="AM4659" i="2"/>
  <c r="AL4659" i="2"/>
  <c r="AM4660" i="2"/>
  <c r="AL4660" i="2"/>
  <c r="AM4661" i="2"/>
  <c r="AL4661" i="2"/>
  <c r="AL4662" i="2"/>
  <c r="AM4662" i="2"/>
  <c r="AM4663" i="2"/>
  <c r="AL4663" i="2"/>
  <c r="AM4664" i="2"/>
  <c r="AL4664" i="2"/>
  <c r="AM4665" i="2"/>
  <c r="AL4665" i="2"/>
  <c r="AL4666" i="2"/>
  <c r="AM4666" i="2"/>
  <c r="AM4667" i="2"/>
  <c r="AL4667" i="2"/>
  <c r="AM4668" i="2"/>
  <c r="AL4668" i="2"/>
  <c r="AL4669" i="2"/>
  <c r="AM4669" i="2"/>
  <c r="AM4670" i="2"/>
  <c r="AL4670" i="2"/>
  <c r="AL4671" i="2"/>
  <c r="AM4671" i="2"/>
  <c r="AM4672" i="2"/>
  <c r="AL4672" i="2"/>
  <c r="AM4673" i="2"/>
  <c r="AL4673" i="2"/>
  <c r="AM4674" i="2"/>
  <c r="AL4674" i="2"/>
  <c r="AM4675" i="2"/>
  <c r="AL4675" i="2"/>
  <c r="AM4676" i="2"/>
  <c r="AL4676" i="2"/>
  <c r="AM4677" i="2"/>
  <c r="AL4677" i="2"/>
  <c r="AL4678" i="2"/>
  <c r="AM4678" i="2"/>
  <c r="AL4679" i="2"/>
  <c r="AM4679" i="2"/>
  <c r="AL4680" i="2"/>
  <c r="AM4680" i="2"/>
  <c r="AL4681" i="2"/>
  <c r="AM4681" i="2"/>
  <c r="AM4682" i="2"/>
  <c r="AL4682" i="2"/>
  <c r="AM4683" i="2"/>
  <c r="AL4683" i="2"/>
  <c r="AM4684" i="2"/>
  <c r="AL4684" i="2"/>
  <c r="AM4685" i="2"/>
  <c r="AL4685" i="2"/>
  <c r="AL4686" i="2"/>
  <c r="AM4686" i="2"/>
  <c r="AL4687" i="2"/>
  <c r="AM4687" i="2"/>
  <c r="AM4688" i="2"/>
  <c r="AL4688" i="2"/>
  <c r="AL4689" i="2"/>
  <c r="AM4689" i="2"/>
  <c r="AM4690" i="2"/>
  <c r="AL4690" i="2"/>
  <c r="AM4691" i="2"/>
  <c r="AL4691" i="2"/>
  <c r="AM4692" i="2"/>
  <c r="AL4692" i="2"/>
  <c r="AM4693" i="2"/>
  <c r="AL4693" i="2"/>
  <c r="AM4694" i="2"/>
  <c r="AL4694" i="2"/>
  <c r="AL4695" i="2"/>
  <c r="AM4695" i="2"/>
  <c r="AM4696" i="2"/>
  <c r="AL4696" i="2"/>
  <c r="AL4697" i="2"/>
  <c r="AM4697" i="2"/>
  <c r="AM4698" i="2"/>
  <c r="AL4698" i="2"/>
  <c r="AM4699" i="2"/>
  <c r="AL4699" i="2"/>
  <c r="AL4700" i="2"/>
  <c r="AM4700" i="2"/>
  <c r="AL4701" i="2"/>
  <c r="AM4701" i="2"/>
  <c r="AL4702" i="2"/>
  <c r="AM4702" i="2"/>
  <c r="AL4703" i="2"/>
  <c r="AM4703" i="2"/>
  <c r="AM4704" i="2"/>
  <c r="AL4704" i="2"/>
  <c r="AL4705" i="2"/>
  <c r="AM4705" i="2"/>
  <c r="AL4706" i="2"/>
  <c r="AM4706" i="2"/>
  <c r="AM4707" i="2"/>
  <c r="AL4707" i="2"/>
  <c r="AM4708" i="2"/>
  <c r="AL4708" i="2"/>
  <c r="AM4709" i="2"/>
  <c r="AL4709" i="2"/>
  <c r="AL4710" i="2"/>
  <c r="AM4710" i="2"/>
  <c r="AL4711" i="2"/>
  <c r="AM4711" i="2"/>
  <c r="AL4712" i="2"/>
  <c r="AM4712" i="2"/>
  <c r="AM4713" i="2"/>
  <c r="AL4713" i="2"/>
  <c r="AM4714" i="2"/>
  <c r="AL4714" i="2"/>
  <c r="AL4715" i="2"/>
  <c r="AM4715" i="2"/>
  <c r="AL4716" i="2"/>
  <c r="AM4716" i="2"/>
  <c r="AM4717" i="2"/>
  <c r="AL4717" i="2"/>
  <c r="AM4718" i="2"/>
  <c r="AL4718" i="2"/>
  <c r="AM4719" i="2"/>
  <c r="AL4719" i="2"/>
  <c r="AM4720" i="2"/>
  <c r="AL4720" i="2"/>
  <c r="AM4721" i="2"/>
  <c r="AL4721" i="2"/>
  <c r="AM4722" i="2"/>
  <c r="AL4722" i="2"/>
  <c r="AM4723" i="2"/>
  <c r="AL4723" i="2"/>
  <c r="AM4724" i="2"/>
  <c r="AL4724" i="2"/>
  <c r="AL4725" i="2"/>
  <c r="AM4725" i="2"/>
  <c r="AM4726" i="2"/>
  <c r="AL4726" i="2"/>
  <c r="AL4727" i="2"/>
  <c r="AM4727" i="2"/>
  <c r="AL4728" i="2"/>
  <c r="AM4728" i="2"/>
  <c r="AL4729" i="2"/>
  <c r="AM4729" i="2"/>
  <c r="AL4730" i="2"/>
  <c r="AM4730" i="2"/>
  <c r="AM4731" i="2"/>
  <c r="AL4731" i="2"/>
  <c r="AL4732" i="2"/>
  <c r="AM4732" i="2"/>
  <c r="AL4733" i="2"/>
  <c r="AM4733" i="2"/>
  <c r="AL4734" i="2"/>
  <c r="AM4734" i="2"/>
  <c r="AL4735" i="2"/>
  <c r="AM4735" i="2"/>
  <c r="AL4736" i="2"/>
  <c r="AM4736" i="2"/>
  <c r="AM4737" i="2"/>
  <c r="AL4737" i="2"/>
  <c r="AM4738" i="2"/>
  <c r="AL4738" i="2"/>
  <c r="AM4739" i="2"/>
  <c r="AL4739" i="2"/>
  <c r="AL4740" i="2"/>
  <c r="AM4740" i="2"/>
  <c r="AM4741" i="2"/>
  <c r="AL4741" i="2"/>
  <c r="AL4742" i="2"/>
  <c r="AM4742" i="2"/>
  <c r="AL4743" i="2"/>
  <c r="AM4743" i="2"/>
  <c r="AL4744" i="2"/>
  <c r="AM4744" i="2"/>
  <c r="AM4745" i="2"/>
  <c r="AL4745" i="2"/>
  <c r="AM4746" i="2"/>
  <c r="AL4746" i="2"/>
  <c r="AL4747" i="2"/>
  <c r="AM4747" i="2"/>
  <c r="AM4748" i="2"/>
  <c r="AL4748" i="2"/>
  <c r="AM4749" i="2"/>
  <c r="AL4749" i="2"/>
  <c r="AM4750" i="2"/>
  <c r="AL4750" i="2"/>
  <c r="AM4751" i="2"/>
  <c r="AL4751" i="2"/>
  <c r="AM4752" i="2"/>
  <c r="AL4752" i="2"/>
  <c r="AL4753" i="2"/>
  <c r="AM4753" i="2"/>
  <c r="AL4754" i="2"/>
  <c r="AM4754" i="2"/>
  <c r="AM4755" i="2"/>
  <c r="AL4755" i="2"/>
  <c r="AM4756" i="2"/>
  <c r="AL4756" i="2"/>
  <c r="AM4757" i="2"/>
  <c r="AL4757" i="2"/>
  <c r="AM4758" i="2"/>
  <c r="AL4758" i="2"/>
  <c r="AL4759" i="2"/>
  <c r="AM4759" i="2"/>
  <c r="AM4760" i="2"/>
  <c r="AL4760" i="2"/>
  <c r="AL4761" i="2"/>
  <c r="AM4761" i="2"/>
  <c r="AM4762" i="2"/>
  <c r="AL4762" i="2"/>
  <c r="AL4763" i="2"/>
  <c r="AM4763" i="2"/>
  <c r="AL4764" i="2"/>
  <c r="AM4764" i="2"/>
  <c r="AL4765" i="2"/>
  <c r="AM4765" i="2"/>
  <c r="AL4766" i="2"/>
  <c r="AM4766" i="2"/>
  <c r="AM4767" i="2"/>
  <c r="AL4767" i="2"/>
  <c r="AM4768" i="2"/>
  <c r="AL4768" i="2"/>
  <c r="AL4769" i="2"/>
  <c r="AM4769" i="2"/>
  <c r="AL4770" i="2"/>
  <c r="AM4770" i="2"/>
  <c r="AM4771" i="2"/>
  <c r="AL4771" i="2"/>
  <c r="AL4772" i="2"/>
  <c r="AM4772" i="2"/>
  <c r="AM4773" i="2"/>
  <c r="AL4773" i="2"/>
  <c r="AL4774" i="2"/>
  <c r="AM4774" i="2"/>
  <c r="AL4775" i="2"/>
  <c r="AM4775" i="2"/>
  <c r="AM4776" i="2"/>
  <c r="AL4776" i="2"/>
  <c r="AL4777" i="2"/>
  <c r="AM4777" i="2"/>
  <c r="AL4778" i="2"/>
  <c r="AM4778" i="2"/>
  <c r="AL4779" i="2"/>
  <c r="AM4779" i="2"/>
  <c r="AL4780" i="2"/>
  <c r="AM4780" i="2"/>
  <c r="AM4781" i="2"/>
  <c r="AL4781" i="2"/>
  <c r="AM4782" i="2"/>
  <c r="AL4782" i="2"/>
  <c r="AL4783" i="2"/>
  <c r="AM4783" i="2"/>
  <c r="AM4784" i="2"/>
  <c r="AL4784" i="2"/>
  <c r="AM4785" i="2"/>
  <c r="AL4785" i="2"/>
  <c r="AM4786" i="2"/>
  <c r="AL4786" i="2"/>
  <c r="AL4787" i="2"/>
  <c r="AM4787" i="2"/>
  <c r="AM4788" i="2"/>
  <c r="AL4788" i="2"/>
  <c r="AL4789" i="2"/>
  <c r="AM4789" i="2"/>
  <c r="AL4790" i="2"/>
  <c r="AM4790" i="2"/>
  <c r="AM4791" i="2"/>
  <c r="AL4791" i="2"/>
  <c r="AM4792" i="2"/>
  <c r="AL4792" i="2"/>
  <c r="AL4793" i="2"/>
  <c r="AM4793" i="2"/>
  <c r="AL4794" i="2"/>
  <c r="AM4794" i="2"/>
  <c r="AM4795" i="2"/>
  <c r="AL4795" i="2"/>
  <c r="AL4796" i="2"/>
  <c r="AM4796" i="2"/>
  <c r="AL4797" i="2"/>
  <c r="AM4797" i="2"/>
  <c r="AM4798" i="2"/>
  <c r="AL4798" i="2"/>
  <c r="AM4799" i="2"/>
  <c r="AL4799" i="2"/>
  <c r="AL4800" i="2"/>
  <c r="AM4800" i="2"/>
  <c r="AM4801" i="2"/>
  <c r="AL4801" i="2"/>
  <c r="AM4802" i="2"/>
  <c r="AL4802" i="2"/>
  <c r="AL4803" i="2"/>
  <c r="AM4803" i="2"/>
  <c r="AL4804" i="2"/>
  <c r="AM4804" i="2"/>
  <c r="AM4805" i="2"/>
  <c r="AL4805" i="2"/>
  <c r="AL4806" i="2"/>
  <c r="AM4806" i="2"/>
  <c r="AL4807" i="2"/>
  <c r="AM4807" i="2"/>
  <c r="AL4808" i="2"/>
  <c r="AM4808" i="2"/>
  <c r="AM4809" i="2"/>
  <c r="AL4809" i="2"/>
  <c r="AM4810" i="2"/>
  <c r="AL4810" i="2"/>
  <c r="AM4811" i="2"/>
  <c r="AL4811" i="2"/>
  <c r="AL4812" i="2"/>
  <c r="AM4812" i="2"/>
  <c r="AM4813" i="2"/>
  <c r="AL4813" i="2"/>
  <c r="AL4814" i="2"/>
  <c r="AM4814" i="2"/>
  <c r="AM4815" i="2"/>
  <c r="AL4815" i="2"/>
  <c r="AM4816" i="2"/>
  <c r="AL4816" i="2"/>
  <c r="AM4817" i="2"/>
  <c r="AL4817" i="2"/>
  <c r="AM4818" i="2"/>
  <c r="AL4818" i="2"/>
  <c r="AM4819" i="2"/>
  <c r="AL4819" i="2"/>
  <c r="AM4820" i="2"/>
  <c r="AL4820" i="2"/>
  <c r="AM4821" i="2"/>
  <c r="AL4821" i="2"/>
  <c r="AL4822" i="2"/>
  <c r="AM4822" i="2"/>
  <c r="AM4823" i="2"/>
  <c r="AL4823" i="2"/>
  <c r="AM4824" i="2"/>
  <c r="AL4824" i="2"/>
  <c r="AL4825" i="2"/>
  <c r="AM4825" i="2"/>
  <c r="AM4826" i="2"/>
  <c r="AL4826" i="2"/>
  <c r="AM4827" i="2"/>
  <c r="AL4827" i="2"/>
  <c r="AL4828" i="2"/>
  <c r="AM4828" i="2"/>
  <c r="AL4829" i="2"/>
  <c r="AM4829" i="2"/>
  <c r="AL4830" i="2"/>
  <c r="AM4830" i="2"/>
  <c r="AM4831" i="2"/>
  <c r="AL4831" i="2"/>
  <c r="AL4832" i="2"/>
  <c r="AM4832" i="2"/>
  <c r="AL4833" i="2"/>
  <c r="AM4833" i="2"/>
  <c r="AL4834" i="2"/>
  <c r="AM4834" i="2"/>
  <c r="AL4835" i="2"/>
  <c r="AM4835" i="2"/>
  <c r="AM4836" i="2"/>
  <c r="AL4836" i="2"/>
  <c r="AM4837" i="2"/>
  <c r="AL4837" i="2"/>
  <c r="AL4838" i="2"/>
  <c r="AM4838" i="2"/>
  <c r="AL4839" i="2"/>
  <c r="AM4839" i="2"/>
  <c r="AL4840" i="2"/>
  <c r="AM4840" i="2"/>
  <c r="AL4841" i="2"/>
  <c r="AM4841" i="2"/>
  <c r="AM4842" i="2"/>
  <c r="AL4842" i="2"/>
  <c r="AL4843" i="2"/>
  <c r="AM4843" i="2"/>
  <c r="AL4844" i="2"/>
  <c r="AM4844" i="2"/>
  <c r="AM4845" i="2"/>
  <c r="AL4845" i="2"/>
  <c r="AL4846" i="2"/>
  <c r="AM4846" i="2"/>
  <c r="AL4847" i="2"/>
  <c r="AM4847" i="2"/>
  <c r="AM4848" i="2"/>
  <c r="AL4848" i="2"/>
  <c r="AM4849" i="2"/>
  <c r="AL4849" i="2"/>
  <c r="AM4850" i="2"/>
  <c r="AL4850" i="2"/>
  <c r="AL4851" i="2"/>
  <c r="AM4851" i="2"/>
  <c r="AM4852" i="2"/>
  <c r="AL4852" i="2"/>
  <c r="AL4853" i="2"/>
  <c r="AM4853" i="2"/>
  <c r="AL4854" i="2"/>
  <c r="AM4854" i="2"/>
  <c r="AM4855" i="2"/>
  <c r="AL4855" i="2"/>
  <c r="AM4856" i="2"/>
  <c r="AL4856" i="2"/>
  <c r="AL4857" i="2"/>
  <c r="AM4857" i="2"/>
  <c r="AL4858" i="2"/>
  <c r="AM4858" i="2"/>
  <c r="AL4859" i="2"/>
  <c r="AM4859" i="2"/>
  <c r="AM4860" i="2"/>
  <c r="AL4860" i="2"/>
  <c r="AL4861" i="2"/>
  <c r="AM4861" i="2"/>
  <c r="AM4862" i="2"/>
  <c r="AL4862" i="2"/>
  <c r="AL4863" i="2"/>
  <c r="AM4863" i="2"/>
  <c r="AM4864" i="2"/>
  <c r="AL4864" i="2"/>
  <c r="AM4865" i="2"/>
  <c r="AL4865" i="2"/>
  <c r="AM4866" i="2"/>
  <c r="AL4866" i="2"/>
  <c r="AM4867" i="2"/>
  <c r="AL4867" i="2"/>
  <c r="AL4868" i="2"/>
  <c r="AM4868" i="2"/>
  <c r="AM4869" i="2"/>
  <c r="AL4869" i="2"/>
  <c r="AL4870" i="2"/>
  <c r="AM4870" i="2"/>
  <c r="AM4871" i="2"/>
  <c r="AL4871" i="2"/>
  <c r="AM4872" i="2"/>
  <c r="AL4872" i="2"/>
  <c r="AM4873" i="2"/>
  <c r="AL4873" i="2"/>
  <c r="AM4874" i="2"/>
  <c r="AL4874" i="2"/>
  <c r="AM4875" i="2"/>
  <c r="AL4875" i="2"/>
  <c r="AM4876" i="2"/>
  <c r="AL4876" i="2"/>
  <c r="AM4877" i="2"/>
  <c r="AL4877" i="2"/>
  <c r="AL4878" i="2"/>
  <c r="AM4878" i="2"/>
  <c r="AM4879" i="2"/>
  <c r="AL4879" i="2"/>
  <c r="AM4880" i="2"/>
  <c r="AL4880" i="2"/>
  <c r="AM4881" i="2"/>
  <c r="AL4881" i="2"/>
  <c r="AL4882" i="2"/>
  <c r="AM4882" i="2"/>
  <c r="AM4883" i="2"/>
  <c r="AL4883" i="2"/>
  <c r="AM4884" i="2"/>
  <c r="AL4884" i="2"/>
  <c r="AM4885" i="2"/>
  <c r="AL4885" i="2"/>
  <c r="AL4886" i="2"/>
  <c r="AM4886" i="2"/>
  <c r="AL4887" i="2"/>
  <c r="AM4887" i="2"/>
  <c r="AM4888" i="2"/>
  <c r="AL4888" i="2"/>
  <c r="AL4889" i="2"/>
  <c r="AM4889" i="2"/>
  <c r="AL4890" i="2"/>
  <c r="AM4890" i="2"/>
  <c r="AL4891" i="2"/>
  <c r="AM4891" i="2"/>
  <c r="AL4892" i="2"/>
  <c r="AM4892" i="2"/>
  <c r="AL4893" i="2"/>
  <c r="AM4893" i="2"/>
  <c r="AL4894" i="2"/>
  <c r="AM4894" i="2"/>
  <c r="AL4895" i="2"/>
  <c r="AM4895" i="2"/>
  <c r="AM4896" i="2"/>
  <c r="AL4896" i="2"/>
  <c r="AL4897" i="2"/>
  <c r="AM4897" i="2"/>
  <c r="AL4898" i="2"/>
  <c r="AM4898" i="2"/>
  <c r="AM4899" i="2"/>
  <c r="AL4899" i="2"/>
  <c r="AL4900" i="2"/>
  <c r="AM4900" i="2"/>
  <c r="AM4901" i="2"/>
  <c r="AL4901" i="2"/>
  <c r="AL4902" i="2"/>
  <c r="AM4902" i="2"/>
  <c r="AL4903" i="2"/>
  <c r="AM4903" i="2"/>
  <c r="AL4904" i="2"/>
  <c r="AM4904" i="2"/>
  <c r="AM4905" i="2"/>
  <c r="AL4905" i="2"/>
  <c r="AL4906" i="2"/>
  <c r="AM4906" i="2"/>
  <c r="AL4907" i="2"/>
  <c r="AM4907" i="2"/>
  <c r="AL4908" i="2"/>
  <c r="AM4908" i="2"/>
  <c r="AM4909" i="2"/>
  <c r="AL4909" i="2"/>
  <c r="AL4910" i="2"/>
  <c r="AM4910" i="2"/>
  <c r="AL4911" i="2"/>
  <c r="AM4911" i="2"/>
  <c r="AM4912" i="2"/>
  <c r="AL4912" i="2"/>
  <c r="AM4913" i="2"/>
  <c r="AL4913" i="2"/>
  <c r="AL4914" i="2"/>
  <c r="AM4914" i="2"/>
  <c r="AM4915" i="2"/>
  <c r="AL4915" i="2"/>
  <c r="AM4916" i="2"/>
  <c r="AL4916" i="2"/>
  <c r="AL4917" i="2"/>
  <c r="AM4917" i="2"/>
  <c r="AL4918" i="2"/>
  <c r="AM4918" i="2"/>
  <c r="AL4919" i="2"/>
  <c r="AM4919" i="2"/>
  <c r="AL4920" i="2"/>
  <c r="AM4920" i="2"/>
  <c r="AL4921" i="2"/>
  <c r="AM4921" i="2"/>
  <c r="AL4922" i="2"/>
  <c r="AM4922" i="2"/>
  <c r="AM4923" i="2"/>
  <c r="AL4923" i="2"/>
  <c r="AM4924" i="2"/>
  <c r="AL4924" i="2"/>
  <c r="AL4925" i="2"/>
  <c r="AM4925" i="2"/>
  <c r="AM4926" i="2"/>
  <c r="AL4926" i="2"/>
  <c r="AL4927" i="2"/>
  <c r="AM4927" i="2"/>
  <c r="AM4928" i="2"/>
  <c r="AL4928" i="2"/>
  <c r="AL4929" i="2"/>
  <c r="AM4929" i="2"/>
  <c r="AM4930" i="2"/>
  <c r="AL4930" i="2"/>
  <c r="AL4931" i="2"/>
  <c r="AM4931" i="2"/>
  <c r="AL4932" i="2"/>
  <c r="AM4932" i="2"/>
  <c r="AM4933" i="2"/>
  <c r="AL4933" i="2"/>
  <c r="AL4934" i="2"/>
  <c r="AM4934" i="2"/>
  <c r="AM4935" i="2"/>
  <c r="AL4935" i="2"/>
  <c r="AL4936" i="2"/>
  <c r="AM4936" i="2"/>
  <c r="AM4937" i="2"/>
  <c r="AL4937" i="2"/>
  <c r="AL4938" i="2"/>
  <c r="AM4938" i="2"/>
  <c r="AL4939" i="2"/>
  <c r="AM4939" i="2"/>
  <c r="AL4940" i="2"/>
  <c r="AM4940" i="2"/>
  <c r="AM4941" i="2"/>
  <c r="AL4941" i="2"/>
  <c r="AL4942" i="2"/>
  <c r="AM4942" i="2"/>
  <c r="AM4943" i="2"/>
  <c r="AL4943" i="2"/>
  <c r="AM4944" i="2"/>
  <c r="AL4944" i="2"/>
  <c r="AM4945" i="2"/>
  <c r="AL4945" i="2"/>
  <c r="AL4946" i="2"/>
  <c r="AM4946" i="2"/>
  <c r="AM4947" i="2"/>
  <c r="AL4947" i="2"/>
  <c r="AL4948" i="2"/>
  <c r="AM4948" i="2"/>
  <c r="AM4949" i="2"/>
  <c r="AL4949" i="2"/>
  <c r="AL4950" i="2"/>
  <c r="AM4950" i="2"/>
  <c r="AM4951" i="2"/>
  <c r="AL4951" i="2"/>
  <c r="AM4952" i="2"/>
  <c r="AL4952" i="2"/>
  <c r="AL4953" i="2"/>
  <c r="AM4953" i="2"/>
  <c r="AM4954" i="2"/>
  <c r="AL4954" i="2"/>
  <c r="AM4955" i="2"/>
  <c r="AL4955" i="2"/>
  <c r="AL4956" i="2"/>
  <c r="AM4956" i="2"/>
  <c r="AL4957" i="2"/>
  <c r="AM4957" i="2"/>
  <c r="AM4958" i="2"/>
  <c r="AL4958" i="2"/>
  <c r="AL4959" i="2"/>
  <c r="AM4959" i="2"/>
  <c r="AL4960" i="2"/>
  <c r="AM4960" i="2"/>
  <c r="AM4961" i="2"/>
  <c r="AL4961" i="2"/>
  <c r="AL4962" i="2"/>
  <c r="AM4962" i="2"/>
  <c r="AM4963" i="2"/>
  <c r="AL4963" i="2"/>
  <c r="AL4964" i="2"/>
  <c r="AM4964" i="2"/>
  <c r="AM4965" i="2"/>
  <c r="AL4965" i="2"/>
  <c r="AL4966" i="2"/>
  <c r="AM4966" i="2"/>
  <c r="AM4967" i="2"/>
  <c r="AL4967" i="2"/>
  <c r="AM4968" i="2"/>
  <c r="AL4968" i="2"/>
  <c r="AM4969" i="2"/>
  <c r="AL4969" i="2"/>
  <c r="AM4970" i="2"/>
  <c r="AL4970" i="2"/>
  <c r="AM4971" i="2"/>
  <c r="AL4971" i="2"/>
  <c r="AL4972" i="2"/>
  <c r="AM4972" i="2"/>
  <c r="AM4973" i="2"/>
  <c r="AL4973" i="2"/>
  <c r="AL4974" i="2"/>
  <c r="AM4974" i="2"/>
  <c r="AM4975" i="2"/>
  <c r="AL4975" i="2"/>
  <c r="AL4976" i="2"/>
  <c r="AM4976" i="2"/>
  <c r="AM4977" i="2"/>
  <c r="AL4977" i="2"/>
  <c r="AM4978" i="2"/>
  <c r="AL4978" i="2"/>
  <c r="AM4979" i="2"/>
  <c r="AL4979" i="2"/>
  <c r="AM4980" i="2"/>
  <c r="AL4980" i="2"/>
  <c r="AL4981" i="2"/>
  <c r="AM4981" i="2"/>
  <c r="AL4982" i="2"/>
  <c r="AM4982" i="2"/>
  <c r="AL4983" i="2"/>
  <c r="AM4983" i="2"/>
  <c r="AL4984" i="2"/>
  <c r="AM4984" i="2"/>
  <c r="AL4985" i="2"/>
  <c r="AM4985" i="2"/>
  <c r="AM4986" i="2"/>
  <c r="AL4986" i="2"/>
  <c r="AL4987" i="2"/>
  <c r="AM4987" i="2"/>
  <c r="AL4988" i="2"/>
  <c r="AM4988" i="2"/>
  <c r="AM4989" i="2"/>
  <c r="AL4989" i="2"/>
  <c r="AL4990" i="2"/>
  <c r="AM4990" i="2"/>
  <c r="AL4991" i="2"/>
  <c r="AM4991" i="2"/>
  <c r="AL4992" i="2"/>
  <c r="AM4992" i="2"/>
  <c r="AM4993" i="2"/>
  <c r="AL4993" i="2"/>
  <c r="AM4994" i="2"/>
  <c r="AL4994" i="2"/>
  <c r="AL4995" i="2"/>
  <c r="AM4995" i="2"/>
  <c r="AL4996" i="2"/>
  <c r="AM4996" i="2"/>
  <c r="AL4997" i="2"/>
  <c r="AM4997" i="2"/>
  <c r="AM4998" i="2"/>
  <c r="AL4998" i="2"/>
  <c r="AM4999" i="2"/>
  <c r="AL4999" i="2"/>
  <c r="AL5000" i="2"/>
  <c r="AM5000" i="2"/>
  <c r="AM5001" i="2"/>
  <c r="AL5001" i="2"/>
  <c r="AM5002" i="2"/>
  <c r="AL5002" i="2"/>
  <c r="AL5003" i="2"/>
  <c r="AM5003" i="2"/>
  <c r="AM5004" i="2"/>
  <c r="AL5004" i="2"/>
  <c r="AM5005" i="2"/>
  <c r="AL5005" i="2"/>
  <c r="AM5006" i="2"/>
  <c r="AL5006" i="2"/>
  <c r="AM5007" i="2"/>
  <c r="AL5007" i="2"/>
  <c r="AL5008" i="2"/>
  <c r="AM5008" i="2"/>
  <c r="AM5009" i="2"/>
  <c r="AL5009" i="2"/>
  <c r="AM5010" i="2"/>
  <c r="AL5010" i="2"/>
  <c r="AL5011" i="2"/>
  <c r="AM5011" i="2"/>
  <c r="AM5012" i="2"/>
  <c r="AL5012" i="2"/>
  <c r="AM5013" i="2"/>
  <c r="AL5013" i="2"/>
  <c r="AM5014" i="2"/>
  <c r="AL5014" i="2"/>
  <c r="AM5015" i="2"/>
  <c r="AL5015" i="2"/>
  <c r="AL5016" i="2"/>
  <c r="AM5016" i="2"/>
  <c r="AL5017" i="2"/>
  <c r="AM5017" i="2"/>
  <c r="AM5018" i="2"/>
  <c r="AL5018" i="2"/>
  <c r="AL5019" i="2"/>
  <c r="AM5019" i="2"/>
  <c r="AL5020" i="2"/>
  <c r="AM5020" i="2"/>
  <c r="AL5021" i="2"/>
  <c r="AM5021" i="2"/>
  <c r="AL5022" i="2"/>
  <c r="AM5022" i="2"/>
  <c r="AL5023" i="2"/>
  <c r="AM5023" i="2"/>
  <c r="AL5024" i="2"/>
  <c r="AM5024" i="2"/>
  <c r="AM5025" i="2"/>
  <c r="AL5025" i="2"/>
  <c r="AL5026" i="2"/>
  <c r="AM5026" i="2"/>
  <c r="AM5027" i="2"/>
  <c r="AL5027" i="2"/>
  <c r="AM5028" i="2"/>
  <c r="AL5028" i="2"/>
  <c r="AM5029" i="2"/>
  <c r="AL5029" i="2"/>
  <c r="AM5030" i="2"/>
  <c r="AL5030" i="2"/>
  <c r="AM5031" i="2"/>
  <c r="AL5031" i="2"/>
  <c r="AM5032" i="2"/>
  <c r="AL5032" i="2"/>
  <c r="AM5033" i="2"/>
  <c r="AL5033" i="2"/>
  <c r="AM5034" i="2"/>
  <c r="AL5034" i="2"/>
  <c r="AL5035" i="2"/>
  <c r="AM5035" i="2"/>
  <c r="AM5036" i="2"/>
  <c r="AL5036" i="2"/>
  <c r="AM5037" i="2"/>
  <c r="AL5037" i="2"/>
  <c r="AM5038" i="2"/>
  <c r="AL5038" i="2"/>
  <c r="AL5039" i="2"/>
  <c r="AM5039" i="2"/>
  <c r="AL5040" i="2"/>
  <c r="AM5040" i="2"/>
  <c r="AM5041" i="2"/>
  <c r="AL5041" i="2"/>
  <c r="AL5042" i="2"/>
  <c r="AM5042" i="2"/>
  <c r="AL5043" i="2"/>
  <c r="AM5043" i="2"/>
  <c r="AM5044" i="2"/>
  <c r="AL5044" i="2"/>
  <c r="AL5045" i="2"/>
  <c r="AM5045" i="2"/>
  <c r="AM5046" i="2"/>
  <c r="AL5046" i="2"/>
  <c r="AL5047" i="2"/>
  <c r="AM5047" i="2"/>
  <c r="AL5048" i="2"/>
  <c r="AM5048" i="2"/>
  <c r="AL5049" i="2"/>
  <c r="AM5049" i="2"/>
  <c r="AL5050" i="2"/>
  <c r="AM5050" i="2"/>
  <c r="AM5051" i="2"/>
  <c r="AL5051" i="2"/>
  <c r="AM5052" i="2"/>
  <c r="AL5052" i="2"/>
  <c r="AL5053" i="2"/>
  <c r="AM5053" i="2"/>
  <c r="AL5054" i="2"/>
  <c r="AM5054" i="2"/>
  <c r="AL5055" i="2"/>
  <c r="AM5055" i="2"/>
  <c r="AL5056" i="2"/>
  <c r="AM5056" i="2"/>
  <c r="AM5057" i="2"/>
  <c r="AL5057" i="2"/>
  <c r="AM5058" i="2"/>
  <c r="AL5058" i="2"/>
  <c r="AL5059" i="2"/>
  <c r="AM5059" i="2"/>
  <c r="AM5060" i="2"/>
  <c r="AL5060" i="2"/>
  <c r="AM5061" i="2"/>
  <c r="AL5061" i="2"/>
  <c r="AM5062" i="2"/>
  <c r="AL5062" i="2"/>
  <c r="AM5063" i="2"/>
  <c r="AL5063" i="2"/>
  <c r="AM5064" i="2"/>
  <c r="AL5064" i="2"/>
  <c r="AM5065" i="2"/>
  <c r="AL5065" i="2"/>
  <c r="AL5066" i="2"/>
  <c r="AM5066" i="2"/>
  <c r="AL5067" i="2"/>
  <c r="AM5067" i="2"/>
  <c r="AM5068" i="2"/>
  <c r="AL5068" i="2"/>
  <c r="AM5069" i="2"/>
  <c r="AL5069" i="2"/>
  <c r="AM5070" i="2"/>
  <c r="AL5070" i="2"/>
  <c r="AM5071" i="2"/>
  <c r="AL5071" i="2"/>
  <c r="AL5072" i="2"/>
  <c r="AM5072" i="2"/>
  <c r="AM5073" i="2"/>
  <c r="AL5073" i="2"/>
  <c r="AL5074" i="2"/>
  <c r="AM5074" i="2"/>
  <c r="AM5075" i="2"/>
  <c r="AL5075" i="2"/>
  <c r="AM5076" i="2"/>
  <c r="AL5076" i="2"/>
  <c r="AM5077" i="2"/>
  <c r="AL5077" i="2"/>
  <c r="AL5078" i="2"/>
  <c r="AM5078" i="2"/>
  <c r="AL5079" i="2"/>
  <c r="AM5079" i="2"/>
  <c r="AL5080" i="2"/>
  <c r="AM5080" i="2"/>
  <c r="AL5081" i="2"/>
  <c r="AM5081" i="2"/>
  <c r="AL5082" i="2"/>
  <c r="AM5082" i="2"/>
  <c r="AL5083" i="2"/>
  <c r="AM5083" i="2"/>
  <c r="AM5084" i="2"/>
  <c r="AL5084" i="2"/>
  <c r="AL5085" i="2"/>
  <c r="AM5085" i="2"/>
  <c r="AL5086" i="2"/>
  <c r="AM5086" i="2"/>
  <c r="AL5087" i="2"/>
  <c r="AM5087" i="2"/>
  <c r="AL5088" i="2"/>
  <c r="AM5088" i="2"/>
  <c r="AM5089" i="2"/>
  <c r="AL5089" i="2"/>
  <c r="AL5090" i="2"/>
  <c r="AM5090" i="2"/>
  <c r="AM5091" i="2"/>
  <c r="AL5091" i="2"/>
  <c r="AM5092" i="2"/>
  <c r="AL5092" i="2"/>
  <c r="AL5093" i="2"/>
  <c r="AM5093" i="2"/>
  <c r="AM5094" i="2"/>
  <c r="AL5094" i="2"/>
  <c r="AM5095" i="2"/>
  <c r="AL5095" i="2"/>
  <c r="AM5096" i="2"/>
  <c r="AL5096" i="2"/>
  <c r="AM5097" i="2"/>
  <c r="AL5097" i="2"/>
  <c r="AL5098" i="2"/>
  <c r="AM5098" i="2"/>
  <c r="AL5099" i="2"/>
  <c r="AM5099" i="2"/>
  <c r="AL5100" i="2"/>
  <c r="AM5100" i="2"/>
  <c r="AM5101" i="2"/>
  <c r="AL5101" i="2"/>
  <c r="AM5102" i="2"/>
  <c r="AL5102" i="2"/>
  <c r="AL5103" i="2"/>
  <c r="AM5103" i="2"/>
  <c r="AL5104" i="2"/>
  <c r="AM5104" i="2"/>
  <c r="AM5105" i="2"/>
  <c r="AL5105" i="2"/>
  <c r="AL5106" i="2"/>
  <c r="AM5106" i="2"/>
  <c r="AL5107" i="2"/>
  <c r="AM5107" i="2"/>
  <c r="AM5108" i="2"/>
  <c r="AL5108" i="2"/>
  <c r="AL5109" i="2"/>
  <c r="AM5109" i="2"/>
  <c r="AL5110" i="2"/>
  <c r="AM5110" i="2"/>
  <c r="AM5111" i="2"/>
  <c r="AL5111" i="2"/>
  <c r="AL5112" i="2"/>
  <c r="AM5112" i="2"/>
  <c r="AL5113" i="2"/>
  <c r="AM5113" i="2"/>
  <c r="AM5114" i="2"/>
  <c r="AL5114" i="2"/>
  <c r="AM5115" i="2"/>
  <c r="AL5115" i="2"/>
  <c r="AM5116" i="2"/>
  <c r="AL5116" i="2"/>
  <c r="AL5117" i="2"/>
  <c r="AM5117" i="2"/>
  <c r="AL5118" i="2"/>
  <c r="AM5118" i="2"/>
  <c r="AL5119" i="2"/>
  <c r="AM5119" i="2"/>
  <c r="AL5120" i="2"/>
  <c r="AM5120" i="2"/>
  <c r="AM5121" i="2"/>
  <c r="AL5121" i="2"/>
  <c r="AM5122" i="2"/>
  <c r="AL5122" i="2"/>
  <c r="AM5123" i="2"/>
  <c r="AL5123" i="2"/>
  <c r="AL5124" i="2"/>
  <c r="AM5124" i="2"/>
  <c r="AM5125" i="2"/>
  <c r="AL5125" i="2"/>
  <c r="AM5126" i="2"/>
  <c r="AL5126" i="2"/>
  <c r="AM5127" i="2"/>
  <c r="AL5127" i="2"/>
  <c r="AL5128" i="2"/>
  <c r="AM5128" i="2"/>
  <c r="AM5129" i="2"/>
  <c r="AL5129" i="2"/>
  <c r="AM5130" i="2"/>
  <c r="AL5130" i="2"/>
  <c r="AL5131" i="2"/>
  <c r="AM5131" i="2"/>
  <c r="AM5132" i="2"/>
  <c r="AL5132" i="2"/>
  <c r="AM5133" i="2"/>
  <c r="AL5133" i="2"/>
  <c r="AM5134" i="2"/>
  <c r="AL5134" i="2"/>
  <c r="AM5135" i="2"/>
  <c r="AL5135" i="2"/>
  <c r="AL5136" i="2"/>
  <c r="AM5136" i="2"/>
  <c r="AM5137" i="2"/>
  <c r="AL5137" i="2"/>
  <c r="AM5138" i="2"/>
  <c r="AL5138" i="2"/>
  <c r="AL5139" i="2"/>
  <c r="AM5139" i="2"/>
  <c r="AM5140" i="2"/>
  <c r="AL5140" i="2"/>
  <c r="AM5141" i="2"/>
  <c r="AL5141" i="2"/>
  <c r="AL5142" i="2"/>
  <c r="AM5142" i="2"/>
  <c r="AL5143" i="2"/>
  <c r="AM5143" i="2"/>
  <c r="AL5144" i="2"/>
  <c r="AM5144" i="2"/>
  <c r="AL5145" i="2"/>
  <c r="AM5145" i="2"/>
  <c r="AL5146" i="2"/>
  <c r="AM5146" i="2"/>
  <c r="AM5147" i="2"/>
  <c r="AL5147" i="2"/>
  <c r="AL5148" i="2"/>
  <c r="AM5148" i="2"/>
  <c r="AL5149" i="2"/>
  <c r="AM5149" i="2"/>
  <c r="AL5150" i="2"/>
  <c r="AM5150" i="2"/>
  <c r="AL5151" i="2"/>
  <c r="AM5151" i="2"/>
  <c r="AM5152" i="2"/>
  <c r="AL5152" i="2"/>
  <c r="AM5153" i="2"/>
  <c r="AL5153" i="2"/>
  <c r="AL5154" i="2"/>
  <c r="AM5154" i="2"/>
  <c r="AM5155" i="2"/>
  <c r="AL5155" i="2"/>
  <c r="AM5156" i="2"/>
  <c r="AL5156" i="2"/>
  <c r="AM5157" i="2"/>
  <c r="AL5157" i="2"/>
  <c r="AM5158" i="2"/>
  <c r="AL5158" i="2"/>
  <c r="AM5159" i="2"/>
  <c r="AL5159" i="2"/>
  <c r="AL5160" i="2"/>
  <c r="AM5160" i="2"/>
  <c r="AM5161" i="2"/>
  <c r="AL5161" i="2"/>
  <c r="AM5162" i="2"/>
  <c r="AL5162" i="2"/>
  <c r="AL5163" i="2"/>
  <c r="AM5163" i="2"/>
  <c r="AM5164" i="2"/>
  <c r="AL5164" i="2"/>
  <c r="AM5165" i="2"/>
  <c r="AL5165" i="2"/>
  <c r="AM5166" i="2"/>
  <c r="AL5166" i="2"/>
  <c r="AL5167" i="2"/>
  <c r="AM5167" i="2"/>
  <c r="AL5168" i="2"/>
  <c r="AM5168" i="2"/>
  <c r="AM5169" i="2"/>
  <c r="AL5169" i="2"/>
  <c r="AL5170" i="2"/>
  <c r="AM5170" i="2"/>
  <c r="AM5171" i="2"/>
  <c r="AL5171" i="2"/>
  <c r="AM5172" i="2"/>
  <c r="AL5172" i="2"/>
  <c r="AL5173" i="2"/>
  <c r="AM5173" i="2"/>
  <c r="AM5174" i="2"/>
  <c r="AL5174" i="2"/>
  <c r="AL5175" i="2"/>
  <c r="AM5175" i="2"/>
  <c r="AM5176" i="2"/>
  <c r="AL5176" i="2"/>
  <c r="AL5177" i="2"/>
  <c r="AM5177" i="2"/>
  <c r="AM5178" i="2"/>
  <c r="AL5178" i="2"/>
  <c r="AM5179" i="2"/>
  <c r="AL5179" i="2"/>
  <c r="AM5180" i="2"/>
  <c r="AL5180" i="2"/>
  <c r="AL5181" i="2"/>
  <c r="AM5181" i="2"/>
  <c r="AL5182" i="2"/>
  <c r="AM5182" i="2"/>
  <c r="AL5183" i="2"/>
  <c r="AM5183" i="2"/>
  <c r="AL5184" i="2"/>
  <c r="AM5184" i="2"/>
  <c r="AM5185" i="2"/>
  <c r="AL5185" i="2"/>
  <c r="AM5186" i="2"/>
  <c r="AL5186" i="2"/>
  <c r="AL5187" i="2"/>
  <c r="AM5187" i="2"/>
  <c r="AM5188" i="2"/>
  <c r="AL5188" i="2"/>
  <c r="AM5189" i="2"/>
  <c r="AL5189" i="2"/>
  <c r="AM5190" i="2"/>
  <c r="AL5190" i="2"/>
  <c r="AM5191" i="2"/>
  <c r="AL5191" i="2"/>
  <c r="AL5192" i="2"/>
  <c r="AM5192" i="2"/>
  <c r="AM5193" i="2"/>
  <c r="AL5193" i="2"/>
  <c r="AL5194" i="2"/>
  <c r="AM5194" i="2"/>
  <c r="AL5195" i="2"/>
  <c r="AM5195" i="2"/>
  <c r="AL5196" i="2"/>
  <c r="AM5196" i="2"/>
  <c r="AM5197" i="2"/>
  <c r="AL5197" i="2"/>
  <c r="AM5198" i="2"/>
  <c r="AL5198" i="2"/>
  <c r="AM5199" i="2"/>
  <c r="AL5199" i="2"/>
  <c r="AL5200" i="2"/>
  <c r="AM5200" i="2"/>
  <c r="AM5201" i="2"/>
  <c r="AL5201" i="2"/>
  <c r="AL5202" i="2"/>
  <c r="AM5202" i="2"/>
  <c r="AM5203" i="2"/>
  <c r="AL5203" i="2"/>
  <c r="AM5204" i="2"/>
  <c r="AL5204" i="2"/>
  <c r="AM5205" i="2"/>
  <c r="AL5205" i="2"/>
  <c r="AM5206" i="2"/>
  <c r="AL5206" i="2"/>
  <c r="AM5207" i="2"/>
  <c r="AL5207" i="2"/>
  <c r="AL5208" i="2"/>
  <c r="AM5208" i="2"/>
  <c r="AL5209" i="2"/>
  <c r="AM5209" i="2"/>
  <c r="AL5210" i="2"/>
  <c r="AM5210" i="2"/>
  <c r="AL5211" i="2"/>
  <c r="AM5211" i="2"/>
  <c r="AM5212" i="2"/>
  <c r="AL5212" i="2"/>
  <c r="AL5213" i="2"/>
  <c r="AM5213" i="2"/>
  <c r="AL5214" i="2"/>
  <c r="AM5214" i="2"/>
  <c r="AL5215" i="2"/>
  <c r="AM5215" i="2"/>
  <c r="AL5216" i="2"/>
  <c r="AM5216" i="2"/>
  <c r="AM5217" i="2"/>
  <c r="AL5217" i="2"/>
  <c r="AL5218" i="2"/>
  <c r="AM5218" i="2"/>
  <c r="AM5219" i="2"/>
  <c r="AL5219" i="2"/>
  <c r="AL5220" i="2"/>
  <c r="AM5220" i="2"/>
  <c r="AM5221" i="2"/>
  <c r="AL5221" i="2"/>
  <c r="AM5222" i="2"/>
  <c r="AL5222" i="2"/>
  <c r="AM5223" i="2"/>
  <c r="AL5223" i="2"/>
  <c r="AM5224" i="2"/>
  <c r="AL5224" i="2"/>
  <c r="AM5225" i="2"/>
  <c r="AL5225" i="2"/>
  <c r="AL5226" i="2"/>
  <c r="AM5226" i="2"/>
  <c r="AL5227" i="2"/>
  <c r="AM5227" i="2"/>
  <c r="AL5228" i="2"/>
  <c r="AM5228" i="2"/>
  <c r="AM5229" i="2"/>
  <c r="AL5229" i="2"/>
  <c r="AM5230" i="2"/>
  <c r="AL5230" i="2"/>
  <c r="AL5231" i="2"/>
  <c r="AM5231" i="2"/>
  <c r="AM5232" i="2"/>
  <c r="AL5232" i="2"/>
  <c r="AM5233" i="2"/>
  <c r="AL5233" i="2"/>
  <c r="AL5234" i="2"/>
  <c r="AM5234" i="2"/>
  <c r="AM5235" i="2"/>
  <c r="AL5235" i="2"/>
  <c r="AM5236" i="2"/>
  <c r="AL5236" i="2"/>
  <c r="AL5237" i="2"/>
  <c r="AM5237" i="2"/>
  <c r="AL5238" i="2"/>
  <c r="AM5238" i="2"/>
  <c r="AL5239" i="2"/>
  <c r="AM5239" i="2"/>
  <c r="AL5240" i="2"/>
  <c r="AM5240" i="2"/>
  <c r="AL5241" i="2"/>
  <c r="AM5241" i="2"/>
  <c r="AM5242" i="2"/>
  <c r="AL5242" i="2"/>
  <c r="AM5243" i="2"/>
  <c r="AL5243" i="2"/>
  <c r="AL5244" i="2"/>
  <c r="AM5244" i="2"/>
  <c r="AL5245" i="2"/>
  <c r="AM5245" i="2"/>
  <c r="AL5246" i="2"/>
  <c r="AM5246" i="2"/>
  <c r="AL5247" i="2"/>
  <c r="AM5247" i="2"/>
  <c r="AL5248" i="2"/>
  <c r="AM5248" i="2"/>
  <c r="AM5249" i="2"/>
  <c r="AL5249" i="2"/>
  <c r="AM5250" i="2"/>
  <c r="AL5250" i="2"/>
  <c r="AM5251" i="2"/>
  <c r="AL5251" i="2"/>
  <c r="AL5252" i="2"/>
  <c r="AM5252" i="2"/>
  <c r="AM5253" i="2"/>
  <c r="AL5253" i="2"/>
  <c r="AM5254" i="2"/>
  <c r="AL5254" i="2"/>
  <c r="AM5255" i="2"/>
  <c r="AL5255" i="2"/>
  <c r="AL5256" i="2"/>
  <c r="AM5256" i="2"/>
  <c r="AL5257" i="2"/>
  <c r="AM5257" i="2"/>
  <c r="AL5258" i="2"/>
  <c r="AM5258" i="2"/>
  <c r="AL5259" i="2"/>
  <c r="AM5259" i="2"/>
  <c r="AM5260" i="2"/>
  <c r="AL5260" i="2"/>
  <c r="AL5261" i="2"/>
  <c r="AM5261" i="2"/>
  <c r="AL5262" i="2"/>
  <c r="AM5262" i="2"/>
  <c r="AL5263" i="2"/>
  <c r="AM5263" i="2"/>
  <c r="AM5264" i="2"/>
  <c r="AL5264" i="2"/>
  <c r="AL5265" i="2"/>
  <c r="AM5265" i="2"/>
  <c r="AM5266" i="2"/>
  <c r="AL5266" i="2"/>
  <c r="AM5267" i="2"/>
  <c r="AL5267" i="2"/>
  <c r="AM5268" i="2"/>
  <c r="AL5268" i="2"/>
  <c r="AM5269" i="2"/>
  <c r="AL5269" i="2"/>
  <c r="AM5270" i="2"/>
  <c r="AL5270" i="2"/>
  <c r="AM5271" i="2"/>
  <c r="AL5271" i="2"/>
  <c r="AL5272" i="2"/>
  <c r="AM5272" i="2"/>
  <c r="AM5273" i="2"/>
  <c r="AL5273" i="2"/>
  <c r="AL5274" i="2"/>
  <c r="AM5274" i="2"/>
  <c r="AM5275" i="2"/>
  <c r="AL5275" i="2"/>
  <c r="AL5276" i="2"/>
  <c r="AM5276" i="2"/>
  <c r="AL5277" i="2"/>
  <c r="AM5277" i="2"/>
  <c r="AL5278" i="2"/>
  <c r="AM5278" i="2"/>
  <c r="AL5279" i="2"/>
  <c r="AM5279" i="2"/>
  <c r="AL5280" i="2"/>
  <c r="AM5280" i="2"/>
  <c r="AL5281" i="2"/>
  <c r="AM5281" i="2"/>
  <c r="AL5282" i="2"/>
  <c r="AM5282" i="2"/>
  <c r="AM5283" i="2"/>
  <c r="AL5283" i="2"/>
  <c r="AM5284" i="2"/>
  <c r="AL5284" i="2"/>
  <c r="AL5285" i="2"/>
  <c r="AM5285" i="2"/>
  <c r="AM5286" i="2"/>
  <c r="AL5286" i="2"/>
  <c r="AM5287" i="2"/>
  <c r="AL5287" i="2"/>
  <c r="AL5288" i="2"/>
  <c r="AM5288" i="2"/>
  <c r="AL5289" i="2"/>
  <c r="AM5289" i="2"/>
  <c r="AM5290" i="2"/>
  <c r="AL5290" i="2"/>
  <c r="AL5291" i="2"/>
  <c r="AM5291" i="2"/>
  <c r="AL5292" i="2"/>
  <c r="AM5292" i="2"/>
  <c r="AL5293" i="2"/>
  <c r="AM5293" i="2"/>
  <c r="AM5294" i="2"/>
  <c r="AL5294" i="2"/>
  <c r="AL5295" i="2"/>
  <c r="AM5295" i="2"/>
  <c r="AL5296" i="2"/>
  <c r="AM5296" i="2"/>
  <c r="AL5297" i="2"/>
  <c r="AM5297" i="2"/>
  <c r="AM5298" i="2"/>
  <c r="AL5298" i="2"/>
  <c r="AL5299" i="2"/>
  <c r="AM5299" i="2"/>
  <c r="AM5300" i="2"/>
  <c r="AL5300" i="2"/>
  <c r="AM5301" i="2"/>
  <c r="AL5301" i="2"/>
  <c r="AM5302" i="2"/>
  <c r="AL5302" i="2"/>
  <c r="AL5303" i="2"/>
  <c r="AM5303" i="2"/>
  <c r="AL5304" i="2"/>
  <c r="AM5304" i="2"/>
  <c r="AM5305" i="2"/>
  <c r="AL5305" i="2"/>
  <c r="AL5306" i="2"/>
  <c r="AM5306" i="2"/>
  <c r="AM5307" i="2"/>
  <c r="AL5307" i="2"/>
  <c r="AM5308" i="2"/>
  <c r="AL5308" i="2"/>
  <c r="AL5309" i="2"/>
  <c r="AM5309" i="2"/>
  <c r="AL5310" i="2"/>
  <c r="AM5310" i="2"/>
  <c r="AL5311" i="2"/>
  <c r="AM5311" i="2"/>
  <c r="AL5312" i="2"/>
  <c r="AM5312" i="2"/>
  <c r="AM5313" i="2"/>
  <c r="AL5313" i="2"/>
  <c r="AL5314" i="2"/>
  <c r="AM5314" i="2"/>
  <c r="AL5315" i="2"/>
  <c r="AM5315" i="2"/>
  <c r="AL5316" i="2"/>
  <c r="AM5316" i="2"/>
  <c r="AL5317" i="2"/>
  <c r="AM5317" i="2"/>
  <c r="AM5318" i="2"/>
  <c r="AL5318" i="2"/>
  <c r="AM5319" i="2"/>
  <c r="AL5319" i="2"/>
  <c r="AM5320" i="2"/>
  <c r="AL5320" i="2"/>
  <c r="AM5321" i="2"/>
  <c r="AL5321" i="2"/>
  <c r="AL5322" i="2"/>
  <c r="AM5322" i="2"/>
  <c r="AL5323" i="2"/>
  <c r="AM5323" i="2"/>
  <c r="AM5324" i="2"/>
  <c r="AL5324" i="2"/>
  <c r="AM5325" i="2"/>
  <c r="AL5325" i="2"/>
  <c r="AM5326" i="2"/>
  <c r="AL5326" i="2"/>
  <c r="AM5327" i="2"/>
  <c r="AL5327" i="2"/>
  <c r="AM5328" i="2"/>
  <c r="AL5328" i="2"/>
  <c r="AM5329" i="2"/>
  <c r="AL5329" i="2"/>
  <c r="AM5330" i="2"/>
  <c r="AL5330" i="2"/>
  <c r="AM5331" i="2"/>
  <c r="AL5331" i="2"/>
  <c r="AM5332" i="2"/>
  <c r="AL5332" i="2"/>
  <c r="AM5333" i="2"/>
  <c r="AL5333" i="2"/>
  <c r="AL5334" i="2"/>
  <c r="AM5334" i="2"/>
  <c r="AM5335" i="2"/>
  <c r="AL5335" i="2"/>
  <c r="AL5336" i="2"/>
  <c r="AM5336" i="2"/>
  <c r="AL5337" i="2"/>
  <c r="AM5337" i="2"/>
  <c r="AM5338" i="2"/>
  <c r="AL5338" i="2"/>
  <c r="AL5339" i="2"/>
  <c r="AM5339" i="2"/>
  <c r="AL5340" i="2"/>
  <c r="AM5340" i="2"/>
  <c r="AL5341" i="2"/>
  <c r="AM5341" i="2"/>
  <c r="AL5342" i="2"/>
  <c r="AM5342" i="2"/>
  <c r="AL5343" i="2"/>
  <c r="AM5343" i="2"/>
  <c r="AM5344" i="2"/>
  <c r="AL5344" i="2"/>
  <c r="AM5345" i="2"/>
  <c r="AL5345" i="2"/>
  <c r="AL5346" i="2"/>
  <c r="AM5346" i="2"/>
  <c r="AL5347" i="2"/>
  <c r="AM5347" i="2"/>
  <c r="AM5348" i="2"/>
  <c r="AL5348" i="2"/>
  <c r="AM5349" i="2"/>
  <c r="AL5349" i="2"/>
  <c r="AM5350" i="2"/>
  <c r="AL5350" i="2"/>
  <c r="AL5351" i="2"/>
  <c r="AM5351" i="2"/>
  <c r="AL5352" i="2"/>
  <c r="AM5352" i="2"/>
  <c r="AM5353" i="2"/>
  <c r="AL5353" i="2"/>
  <c r="AL5354" i="2"/>
  <c r="AM5354" i="2"/>
  <c r="AM5355" i="2"/>
  <c r="AL5355" i="2"/>
  <c r="AL5356" i="2"/>
  <c r="AM5356" i="2"/>
  <c r="AM5357" i="2"/>
  <c r="AL5357" i="2"/>
  <c r="AL5358" i="2"/>
  <c r="AM5358" i="2"/>
  <c r="AL5359" i="2"/>
  <c r="AM5359" i="2"/>
  <c r="AM5360" i="2"/>
  <c r="AL5360" i="2"/>
  <c r="AM5361" i="2"/>
  <c r="AL5361" i="2"/>
  <c r="AM5362" i="2"/>
  <c r="AL5362" i="2"/>
  <c r="AM5363" i="2"/>
  <c r="AL5363" i="2"/>
  <c r="AM5364" i="2"/>
  <c r="AL5364" i="2"/>
  <c r="AL5365" i="2"/>
  <c r="AM5365" i="2"/>
  <c r="AM5366" i="2"/>
  <c r="AL5366" i="2"/>
  <c r="AM5367" i="2"/>
  <c r="AL5367" i="2"/>
  <c r="AM5368" i="2"/>
  <c r="AL5368" i="2"/>
  <c r="AL5369" i="2"/>
  <c r="AM5369" i="2"/>
  <c r="AL5370" i="2"/>
  <c r="AM5370" i="2"/>
  <c r="AL5371" i="2"/>
  <c r="AM5371" i="2"/>
  <c r="AL5372" i="2"/>
  <c r="AM5372" i="2"/>
  <c r="AL5373" i="2"/>
  <c r="AM5373" i="2"/>
  <c r="AL5374" i="2"/>
  <c r="AM5374" i="2"/>
  <c r="AM5375" i="2"/>
  <c r="AL5375" i="2"/>
  <c r="AL5376" i="2"/>
  <c r="AM5376" i="2"/>
  <c r="AM5377" i="2"/>
  <c r="AL5377" i="2"/>
  <c r="AL5378" i="2"/>
  <c r="AM5378" i="2"/>
  <c r="AL5379" i="2"/>
  <c r="AM5379" i="2"/>
  <c r="AL5380" i="2"/>
  <c r="AM5380" i="2"/>
  <c r="AM5381" i="2"/>
  <c r="AL5381" i="2"/>
  <c r="AM5382" i="2"/>
  <c r="AL5382" i="2"/>
  <c r="AL5383" i="2"/>
  <c r="AM5383" i="2"/>
  <c r="AL5384" i="2"/>
  <c r="AM5384" i="2"/>
  <c r="AM5385" i="2"/>
  <c r="AL5385" i="2"/>
  <c r="AM5386" i="2"/>
  <c r="AL5386" i="2"/>
  <c r="AM5387" i="2"/>
  <c r="AL5387" i="2"/>
  <c r="AL5388" i="2"/>
  <c r="AM5388" i="2"/>
  <c r="AM5389" i="2"/>
  <c r="AL5389" i="2"/>
  <c r="AL5390" i="2"/>
  <c r="AM5390" i="2"/>
  <c r="AM5391" i="2"/>
  <c r="AL5391" i="2"/>
  <c r="AL5392" i="2"/>
  <c r="AM5392" i="2"/>
  <c r="AM5393" i="2"/>
  <c r="AL5393" i="2"/>
  <c r="AM5394" i="2"/>
  <c r="AL5394" i="2"/>
  <c r="AL5395" i="2"/>
  <c r="AM5395" i="2"/>
  <c r="AM5396" i="2"/>
  <c r="AL5396" i="2"/>
  <c r="AL5397" i="2"/>
  <c r="AM5397" i="2"/>
  <c r="AM5398" i="2"/>
  <c r="AL5398" i="2"/>
  <c r="AL5399" i="2"/>
  <c r="AM5399" i="2"/>
  <c r="AL5400" i="2"/>
  <c r="AM5400" i="2"/>
  <c r="AL5401" i="2"/>
  <c r="AM5401" i="2"/>
  <c r="AM5402" i="2"/>
  <c r="AL5402" i="2"/>
  <c r="AM5403" i="2"/>
  <c r="AL5403" i="2"/>
  <c r="AL5404" i="2"/>
  <c r="AM5404" i="2"/>
  <c r="AL5405" i="2"/>
  <c r="AM5405" i="2"/>
  <c r="AL5406" i="2"/>
  <c r="AM5406" i="2"/>
  <c r="AM5407" i="2"/>
  <c r="AL5407" i="2"/>
  <c r="AL5408" i="2"/>
  <c r="AM5408" i="2"/>
  <c r="AM5409" i="2"/>
  <c r="AL5409" i="2"/>
  <c r="AL5410" i="2"/>
  <c r="AM5410" i="2"/>
  <c r="AL5411" i="2"/>
  <c r="AM5411" i="2"/>
  <c r="AM5412" i="2"/>
  <c r="AL5412" i="2"/>
  <c r="AM5413" i="2"/>
  <c r="AL5413" i="2"/>
  <c r="AM5414" i="2"/>
  <c r="AL5414" i="2"/>
  <c r="AL5415" i="2"/>
  <c r="AM5415" i="2"/>
  <c r="AM5416" i="2"/>
  <c r="AL5416" i="2"/>
  <c r="AM5417" i="2"/>
  <c r="AL5417" i="2"/>
  <c r="AM5418" i="2"/>
  <c r="AL5418" i="2"/>
  <c r="AM5419" i="2"/>
  <c r="AL5419" i="2"/>
  <c r="AL5420" i="2"/>
  <c r="AM5420" i="2"/>
  <c r="AM5421" i="2"/>
  <c r="AL5421" i="2"/>
  <c r="AM5422" i="2"/>
  <c r="AL5422" i="2"/>
  <c r="AL5423" i="2"/>
  <c r="AM5423" i="2"/>
  <c r="AL5424" i="2"/>
  <c r="AM5424" i="2"/>
  <c r="AM5425" i="2"/>
  <c r="AL5425" i="2"/>
  <c r="AL5426" i="2"/>
  <c r="AM5426" i="2"/>
  <c r="AL5427" i="2"/>
  <c r="AM5427" i="2"/>
  <c r="AM5428" i="2"/>
  <c r="AL5428" i="2"/>
  <c r="AL5429" i="2"/>
  <c r="AM5429" i="2"/>
  <c r="AM5430" i="2"/>
  <c r="AL5430" i="2"/>
  <c r="AL5431" i="2"/>
  <c r="AM5431" i="2"/>
  <c r="AM5432" i="2"/>
  <c r="AL5432" i="2"/>
  <c r="AL5433" i="2"/>
  <c r="AM5433" i="2"/>
  <c r="AM5434" i="2"/>
  <c r="AL5434" i="2"/>
  <c r="AL5435" i="2"/>
  <c r="AM5435" i="2"/>
  <c r="AM5436" i="2"/>
  <c r="AL5436" i="2"/>
  <c r="AL5437" i="2"/>
  <c r="AM5437" i="2"/>
  <c r="AL5438" i="2"/>
  <c r="AM5438" i="2"/>
  <c r="AL5439" i="2"/>
  <c r="AM5439" i="2"/>
  <c r="AM5440" i="2"/>
  <c r="AL5440" i="2"/>
  <c r="AM5441" i="2"/>
  <c r="AL5441" i="2"/>
  <c r="AL5442" i="2"/>
  <c r="AM5442" i="2"/>
  <c r="AM5443" i="2"/>
  <c r="AL5443" i="2"/>
  <c r="AL5444" i="2"/>
  <c r="AM5444" i="2"/>
  <c r="AM5445" i="2"/>
  <c r="AL5445" i="2"/>
  <c r="AM5446" i="2"/>
  <c r="AL5446" i="2"/>
  <c r="AL5447" i="2"/>
  <c r="AM5447" i="2"/>
  <c r="AL5448" i="2"/>
  <c r="AM5448" i="2"/>
  <c r="AM5449" i="2"/>
  <c r="AL5449" i="2"/>
  <c r="AL5450" i="2"/>
  <c r="AM5450" i="2"/>
  <c r="AL5451" i="2"/>
  <c r="AM5451" i="2"/>
  <c r="AL5452" i="2"/>
  <c r="AM5452" i="2"/>
  <c r="AM5453" i="2"/>
  <c r="AL5453" i="2"/>
  <c r="AM5454" i="2"/>
  <c r="AL5454" i="2"/>
  <c r="AM5455" i="2"/>
  <c r="AL5455" i="2"/>
  <c r="AM5456" i="2"/>
  <c r="AL5456" i="2"/>
  <c r="AL5457" i="2"/>
  <c r="AM5457" i="2"/>
  <c r="AM5458" i="2"/>
  <c r="AL5458" i="2"/>
  <c r="AL5459" i="2"/>
  <c r="AM5459" i="2"/>
  <c r="AL5460" i="2"/>
  <c r="AM5460" i="2"/>
  <c r="AL5461" i="2"/>
  <c r="AM5461" i="2"/>
  <c r="AM5462" i="2"/>
  <c r="AL5462" i="2"/>
  <c r="AM5463" i="2"/>
  <c r="AL5463" i="2"/>
  <c r="AL5464" i="2"/>
  <c r="AM5464" i="2"/>
  <c r="AM5465" i="2"/>
  <c r="AL5465" i="2"/>
  <c r="AM5466" i="2"/>
  <c r="AL5466" i="2"/>
  <c r="AM5467" i="2"/>
  <c r="AL5467" i="2"/>
  <c r="AM5468" i="2"/>
  <c r="AL5468" i="2"/>
  <c r="AM5469" i="2"/>
  <c r="AL5469" i="2"/>
  <c r="AM5470" i="2"/>
  <c r="AL5470" i="2"/>
  <c r="AM5471" i="2"/>
  <c r="AL5471" i="2"/>
  <c r="AL5472" i="2"/>
  <c r="AM5472" i="2"/>
  <c r="AL5473" i="2"/>
  <c r="AM5473" i="2"/>
  <c r="AL5474" i="2"/>
  <c r="AM5474" i="2"/>
  <c r="AL5475" i="2"/>
  <c r="AM5475" i="2"/>
  <c r="AL5476" i="2"/>
  <c r="AM5476" i="2"/>
  <c r="AM5477" i="2"/>
  <c r="AL5477" i="2"/>
  <c r="AM5478" i="2"/>
  <c r="AL5478" i="2"/>
  <c r="AL5479" i="2"/>
  <c r="AM5479" i="2"/>
  <c r="AM5480" i="2"/>
  <c r="AL5480" i="2"/>
  <c r="AM5481" i="2"/>
  <c r="AL5481" i="2"/>
  <c r="AL5482" i="2"/>
  <c r="AM5482" i="2"/>
  <c r="AL5483" i="2"/>
  <c r="AM5483" i="2"/>
  <c r="AM5484" i="2"/>
  <c r="AL5484" i="2"/>
  <c r="AM5485" i="2"/>
  <c r="AL5485" i="2"/>
  <c r="AL5486" i="2"/>
  <c r="AM5486" i="2"/>
  <c r="AM5487" i="2"/>
  <c r="AL5487" i="2"/>
  <c r="AM5488" i="2"/>
  <c r="AL5488" i="2"/>
  <c r="AL5489" i="2"/>
  <c r="AM5489" i="2"/>
  <c r="AL5490" i="2"/>
  <c r="AM5490" i="2"/>
  <c r="AM5491" i="2"/>
  <c r="AL5491" i="2"/>
  <c r="AL5492" i="2"/>
  <c r="AM5492" i="2"/>
  <c r="AM5493" i="2"/>
  <c r="AL5493" i="2"/>
  <c r="AM5494" i="2"/>
  <c r="AL5494" i="2"/>
  <c r="AL5495" i="2"/>
  <c r="AM5495" i="2"/>
  <c r="AM5496" i="2"/>
  <c r="AL5496" i="2"/>
  <c r="AM5497" i="2"/>
  <c r="AL5497" i="2"/>
  <c r="AM5498" i="2"/>
  <c r="AL5498" i="2"/>
  <c r="AL5499" i="2"/>
  <c r="AM5499" i="2"/>
  <c r="AM5500" i="2"/>
  <c r="AL5500" i="2"/>
  <c r="AM5501" i="2"/>
  <c r="AL5501" i="2"/>
  <c r="AM5502" i="2"/>
  <c r="AL5502" i="2"/>
  <c r="AL5503" i="2"/>
  <c r="AM5503" i="2"/>
  <c r="AM5504" i="2"/>
  <c r="AL5504" i="2"/>
  <c r="AL5505" i="2"/>
  <c r="AM5505" i="2"/>
  <c r="AM5506" i="2"/>
  <c r="AL5506" i="2"/>
  <c r="AM5507" i="2"/>
  <c r="AL5507" i="2"/>
  <c r="AL5508" i="2"/>
  <c r="AM5508" i="2"/>
  <c r="AM5509" i="2"/>
  <c r="AL5509" i="2"/>
  <c r="AM5510" i="2"/>
  <c r="AL5510" i="2"/>
  <c r="AL5511" i="2"/>
  <c r="AM5511" i="2"/>
  <c r="AM5512" i="2"/>
  <c r="AL5512" i="2"/>
  <c r="AM5513" i="2"/>
  <c r="AL5513" i="2"/>
  <c r="AL5514" i="2"/>
  <c r="AM5514" i="2"/>
  <c r="AL5515" i="2"/>
  <c r="AM5515" i="2"/>
  <c r="AL5516" i="2"/>
  <c r="AM5516" i="2"/>
  <c r="AM5517" i="2"/>
  <c r="AL5517" i="2"/>
  <c r="AM5518" i="2"/>
  <c r="AL5518" i="2"/>
  <c r="AM5519" i="2"/>
  <c r="AL5519" i="2"/>
  <c r="AM5520" i="2"/>
  <c r="AL5520" i="2"/>
  <c r="AL5521" i="2"/>
  <c r="AM5521" i="2"/>
  <c r="AM5522" i="2"/>
  <c r="AL5522" i="2"/>
  <c r="AL5523" i="2"/>
  <c r="AM5523" i="2"/>
  <c r="AL5524" i="2"/>
  <c r="AM5524" i="2"/>
  <c r="AL5525" i="2"/>
  <c r="AM5525" i="2"/>
  <c r="AM5526" i="2"/>
  <c r="AL5526" i="2"/>
  <c r="AL5527" i="2"/>
  <c r="AM5527" i="2"/>
  <c r="AL5528" i="2"/>
  <c r="AM5528" i="2"/>
  <c r="AM5529" i="2"/>
  <c r="AL5529" i="2"/>
  <c r="AM5530" i="2"/>
  <c r="AL5530" i="2"/>
  <c r="AM5531" i="2"/>
  <c r="AL5531" i="2"/>
  <c r="AM5532" i="2"/>
  <c r="AL5532" i="2"/>
  <c r="AM5533" i="2"/>
  <c r="AL5533" i="2"/>
  <c r="AM5534" i="2"/>
  <c r="AL5534" i="2"/>
  <c r="AM5535" i="2"/>
  <c r="AL5535" i="2"/>
  <c r="AM5536" i="2"/>
  <c r="AL5536" i="2"/>
  <c r="AM5537" i="2"/>
  <c r="AL5537" i="2"/>
  <c r="AL5538" i="2"/>
  <c r="AM5538" i="2"/>
  <c r="AL5539" i="2"/>
  <c r="AM5539" i="2"/>
  <c r="AL5540" i="2"/>
  <c r="AM5540" i="2"/>
  <c r="AM5541" i="2"/>
  <c r="AL5541" i="2"/>
  <c r="AM5542" i="2"/>
  <c r="AL5542" i="2"/>
  <c r="AL5543" i="2"/>
  <c r="AM5543" i="2"/>
  <c r="AL5544" i="2"/>
  <c r="AM5544" i="2"/>
  <c r="AM5545" i="2"/>
  <c r="AL5545" i="2"/>
  <c r="AM5546" i="2"/>
  <c r="AL5546" i="2"/>
  <c r="AL5547" i="2"/>
  <c r="AM5547" i="2"/>
  <c r="AM5548" i="2"/>
  <c r="AL5548" i="2"/>
  <c r="AM5549" i="2"/>
  <c r="AL5549" i="2"/>
  <c r="AL5550" i="2"/>
  <c r="AM5550" i="2"/>
  <c r="AM5551" i="2"/>
  <c r="AL5551" i="2"/>
  <c r="AL5552" i="2"/>
  <c r="AM5552" i="2"/>
  <c r="AL5553" i="2"/>
  <c r="AM5553" i="2"/>
  <c r="AL5554" i="2"/>
  <c r="AM5554" i="2"/>
  <c r="AM5555" i="2"/>
  <c r="AL5555" i="2"/>
  <c r="AL5556" i="2"/>
  <c r="AM5556" i="2"/>
  <c r="AM5557" i="2"/>
  <c r="AL5557" i="2"/>
  <c r="AM5558" i="2"/>
  <c r="AL5558" i="2"/>
  <c r="AM5559" i="2"/>
  <c r="AL5559" i="2"/>
  <c r="AM5560" i="2"/>
  <c r="AL5560" i="2"/>
  <c r="AM5561" i="2"/>
  <c r="AL5561" i="2"/>
  <c r="AM5562" i="2"/>
  <c r="AL5562" i="2"/>
  <c r="AL5563" i="2"/>
  <c r="AM5563" i="2"/>
  <c r="AM5564" i="2"/>
  <c r="AL5564" i="2"/>
  <c r="AM5565" i="2"/>
  <c r="AL5565" i="2"/>
  <c r="AM5566" i="2"/>
  <c r="AL5566" i="2"/>
  <c r="AL5567" i="2"/>
  <c r="AM5567" i="2"/>
  <c r="AL5568" i="2"/>
  <c r="AM5568" i="2"/>
  <c r="AL5569" i="2"/>
  <c r="AM5569" i="2"/>
  <c r="AM5570" i="2"/>
  <c r="AL5570" i="2"/>
  <c r="AM5571" i="2"/>
  <c r="AL5571" i="2"/>
  <c r="AL5572" i="2"/>
  <c r="AM5572" i="2"/>
  <c r="AM5573" i="2"/>
  <c r="AL5573" i="2"/>
  <c r="AM5574" i="2"/>
  <c r="AL5574" i="2"/>
  <c r="AM5575" i="2"/>
  <c r="AL5575" i="2"/>
  <c r="AL5576" i="2"/>
  <c r="AM5576" i="2"/>
  <c r="AM5577" i="2"/>
  <c r="AL5577" i="2"/>
  <c r="AL5578" i="2"/>
  <c r="AM5578" i="2"/>
  <c r="AM5579" i="2"/>
  <c r="AL5579" i="2"/>
  <c r="AL5580" i="2"/>
  <c r="AM5580" i="2"/>
  <c r="AM5581" i="2"/>
  <c r="AL5581" i="2"/>
  <c r="AM5582" i="2"/>
  <c r="AL5582" i="2"/>
  <c r="AM5583" i="2"/>
  <c r="AL5583" i="2"/>
  <c r="AL5584" i="2"/>
  <c r="AM5584" i="2"/>
  <c r="AL5585" i="2"/>
  <c r="AM5585" i="2"/>
  <c r="AM5586" i="2"/>
  <c r="AL5586" i="2"/>
  <c r="AL5587" i="2"/>
  <c r="AM5587" i="2"/>
  <c r="AL5588" i="2"/>
  <c r="AM5588" i="2"/>
  <c r="AL5589" i="2"/>
  <c r="AM5589" i="2"/>
  <c r="AM5590" i="2"/>
  <c r="AL5590" i="2"/>
  <c r="AM5591" i="2"/>
  <c r="AL5591" i="2"/>
  <c r="AL5592" i="2"/>
  <c r="AM5592" i="2"/>
  <c r="AM5593" i="2"/>
  <c r="AL5593" i="2"/>
  <c r="AL5594" i="2"/>
  <c r="AM5594" i="2"/>
  <c r="AM5595" i="2"/>
  <c r="AL5595" i="2"/>
  <c r="AM5596" i="2"/>
  <c r="AL5596" i="2"/>
  <c r="AM5597" i="2"/>
  <c r="AL5597" i="2"/>
  <c r="AM5598" i="2"/>
  <c r="AL5598" i="2"/>
  <c r="AM5599" i="2"/>
  <c r="AL5599" i="2"/>
  <c r="AM5600" i="2"/>
  <c r="AL5600" i="2"/>
  <c r="AM5601" i="2"/>
  <c r="AL5601" i="2"/>
  <c r="AM5602" i="2"/>
  <c r="AL5602" i="2"/>
  <c r="AL5603" i="2"/>
  <c r="AM5603" i="2"/>
  <c r="AM5604" i="2"/>
  <c r="AL5604" i="2"/>
  <c r="AM5605" i="2"/>
  <c r="AL5605" i="2"/>
  <c r="AL5606" i="2"/>
  <c r="AM5606" i="2"/>
  <c r="AM5607" i="2"/>
  <c r="AL5607" i="2"/>
  <c r="AM5608" i="2"/>
  <c r="AL5608" i="2"/>
  <c r="AM5609" i="2"/>
  <c r="AL5609" i="2"/>
  <c r="AM5610" i="2"/>
  <c r="AL5610" i="2"/>
  <c r="AL5611" i="2"/>
  <c r="AM5611" i="2"/>
  <c r="AM5612" i="2"/>
  <c r="AL5612" i="2"/>
  <c r="AL5613" i="2"/>
  <c r="AM5613" i="2"/>
  <c r="AM5614" i="2"/>
  <c r="AL5614" i="2"/>
  <c r="AM5615" i="2"/>
  <c r="AL5615" i="2"/>
  <c r="AM5616" i="2"/>
  <c r="AL5616" i="2"/>
  <c r="AL5617" i="2"/>
  <c r="AM5617" i="2"/>
  <c r="AM5618" i="2"/>
  <c r="AL5618" i="2"/>
  <c r="AL5619" i="2"/>
  <c r="AM5619" i="2"/>
  <c r="AM5620" i="2"/>
  <c r="AL5620" i="2"/>
  <c r="AL5621" i="2"/>
  <c r="AM5621" i="2"/>
  <c r="AL5622" i="2"/>
  <c r="AM5622" i="2"/>
  <c r="AM5623" i="2"/>
  <c r="AL5623" i="2"/>
  <c r="AM5624" i="2"/>
  <c r="AL5624" i="2"/>
  <c r="AM5625" i="2"/>
  <c r="AL5625" i="2"/>
  <c r="AL5626" i="2"/>
  <c r="AM5626" i="2"/>
  <c r="AL5627" i="2"/>
  <c r="AM5627" i="2"/>
  <c r="AL5628" i="2"/>
  <c r="AM5628" i="2"/>
  <c r="AL5629" i="2"/>
  <c r="AM5629" i="2"/>
  <c r="AL5630" i="2"/>
  <c r="AM5630" i="2"/>
  <c r="AL5631" i="2"/>
  <c r="AM5631" i="2"/>
  <c r="AM5632" i="2"/>
  <c r="AL5632" i="2"/>
  <c r="AL5633" i="2"/>
  <c r="AM5633" i="2"/>
  <c r="AM5634" i="2"/>
  <c r="AL5634" i="2"/>
  <c r="AM5635" i="2"/>
  <c r="AL5635" i="2"/>
  <c r="AL5636" i="2"/>
  <c r="AM5636" i="2"/>
  <c r="AL5637" i="2"/>
  <c r="AM5637" i="2"/>
  <c r="AL5638" i="2"/>
  <c r="AM5638" i="2"/>
  <c r="AM5639" i="2"/>
  <c r="AL5639" i="2"/>
  <c r="AM5640" i="2"/>
  <c r="AL5640" i="2"/>
  <c r="AM5641" i="2"/>
  <c r="AL5641" i="2"/>
  <c r="AM5642" i="2"/>
  <c r="AL5642" i="2"/>
  <c r="AL5643" i="2"/>
  <c r="AM5643" i="2"/>
  <c r="AM5644" i="2"/>
  <c r="AL5644" i="2"/>
  <c r="AM5645" i="2"/>
  <c r="AL5645" i="2"/>
  <c r="AL5646" i="2"/>
  <c r="AM5646" i="2"/>
  <c r="AL5647" i="2"/>
  <c r="AM5647" i="2"/>
  <c r="AM5648" i="2"/>
  <c r="AL5648" i="2"/>
  <c r="AL5649" i="2"/>
  <c r="AM5649" i="2"/>
  <c r="AM5650" i="2"/>
  <c r="AL5650" i="2"/>
  <c r="AL5651" i="2"/>
  <c r="AM5651" i="2"/>
  <c r="AL5652" i="2"/>
  <c r="AM5652" i="2"/>
  <c r="AM5653" i="2"/>
  <c r="AL5653" i="2"/>
  <c r="AL5654" i="2"/>
  <c r="AM5654" i="2"/>
  <c r="AM5655" i="2"/>
  <c r="AL5655" i="2"/>
  <c r="AM5656" i="2"/>
  <c r="AL5656" i="2"/>
  <c r="AM5657" i="2"/>
  <c r="AL5657" i="2"/>
  <c r="AM5658" i="2"/>
  <c r="AL5658" i="2"/>
  <c r="AL5659" i="2"/>
  <c r="AM5659" i="2"/>
  <c r="AM5660" i="2"/>
  <c r="AL5660" i="2"/>
  <c r="AL5661" i="2"/>
  <c r="AM5661" i="2"/>
  <c r="AM5662" i="2"/>
  <c r="AL5662" i="2"/>
  <c r="AL5663" i="2"/>
  <c r="AM5663" i="2"/>
  <c r="AM5664" i="2"/>
  <c r="AL5664" i="2"/>
  <c r="AL5665" i="2"/>
  <c r="AM5665" i="2"/>
  <c r="AM5666" i="2"/>
  <c r="AL5666" i="2"/>
  <c r="AM5667" i="2"/>
  <c r="AL5667" i="2"/>
  <c r="AL5668" i="2"/>
  <c r="AM5668" i="2"/>
  <c r="AM5669" i="2"/>
  <c r="AL5669" i="2"/>
  <c r="AL5670" i="2"/>
  <c r="AM5670" i="2"/>
  <c r="AL5671" i="2"/>
  <c r="AM5671" i="2"/>
  <c r="AM5672" i="2"/>
  <c r="AL5672" i="2"/>
  <c r="AM5673" i="2"/>
  <c r="AL5673" i="2"/>
  <c r="AL5674" i="2"/>
  <c r="AM5674" i="2"/>
  <c r="AM5675" i="2"/>
  <c r="AL5675" i="2"/>
  <c r="AL5676" i="2"/>
  <c r="AM5676" i="2"/>
  <c r="AM5677" i="2"/>
  <c r="AL5677" i="2"/>
  <c r="AL5678" i="2"/>
  <c r="AM5678" i="2"/>
  <c r="AM5679" i="2"/>
  <c r="AL5679" i="2"/>
  <c r="AL5680" i="2"/>
  <c r="AM5680" i="2"/>
  <c r="AM5681" i="2"/>
  <c r="AL5681" i="2"/>
  <c r="AM5682" i="2"/>
  <c r="AL5682" i="2"/>
  <c r="AL5683" i="2"/>
  <c r="AM5683" i="2"/>
  <c r="AL5684" i="2"/>
  <c r="AM5684" i="2"/>
  <c r="AM5685" i="2"/>
  <c r="AL5685" i="2"/>
  <c r="AM5686" i="2"/>
  <c r="AL5686" i="2"/>
  <c r="AL5687" i="2"/>
  <c r="AM5687" i="2"/>
  <c r="AM5688" i="2"/>
  <c r="AL5688" i="2"/>
  <c r="AM5689" i="2"/>
  <c r="AL5689" i="2"/>
  <c r="AL5690" i="2"/>
  <c r="AM5690" i="2"/>
  <c r="AM5691" i="2"/>
  <c r="AL5691" i="2"/>
  <c r="AL5692" i="2"/>
  <c r="AM5692" i="2"/>
  <c r="AM5693" i="2"/>
  <c r="AL5693" i="2"/>
  <c r="AM5694" i="2"/>
  <c r="AL5694" i="2"/>
  <c r="AL5695" i="2"/>
  <c r="AM5695" i="2"/>
  <c r="AM5696" i="2"/>
  <c r="AL5696" i="2"/>
  <c r="AM5697" i="2"/>
  <c r="AL5697" i="2"/>
  <c r="AM5698" i="2"/>
  <c r="AL5698" i="2"/>
  <c r="AL5699" i="2"/>
  <c r="AM5699" i="2"/>
  <c r="AL5700" i="2"/>
  <c r="AM5700" i="2"/>
  <c r="AM5701" i="2"/>
  <c r="AL5701" i="2"/>
  <c r="AL5702" i="2"/>
  <c r="AM5702" i="2"/>
  <c r="AL5703" i="2"/>
  <c r="AM5703" i="2"/>
  <c r="AL5704" i="2"/>
  <c r="AM5704" i="2"/>
  <c r="AM5705" i="2"/>
  <c r="AL5705" i="2"/>
  <c r="AL5706" i="2"/>
  <c r="AM5706" i="2"/>
  <c r="AM5707" i="2"/>
  <c r="AL5707" i="2"/>
  <c r="AL5708" i="2"/>
  <c r="AM5708" i="2"/>
  <c r="AL5709" i="2"/>
  <c r="AM5709" i="2"/>
  <c r="AM5710" i="2"/>
  <c r="AL5710" i="2"/>
  <c r="AL5711" i="2"/>
  <c r="AM5711" i="2"/>
  <c r="AL5712" i="2"/>
  <c r="AM5712" i="2"/>
  <c r="AM5713" i="2"/>
  <c r="AL5713" i="2"/>
  <c r="AM5714" i="2"/>
  <c r="AL5714" i="2"/>
  <c r="AM5715" i="2"/>
  <c r="AL5715" i="2"/>
  <c r="AM5716" i="2"/>
  <c r="AL5716" i="2"/>
  <c r="AM5717" i="2"/>
  <c r="AL5717" i="2"/>
  <c r="AL5718" i="2"/>
  <c r="AM5718" i="2"/>
  <c r="AL5719" i="2"/>
  <c r="AM5719" i="2"/>
  <c r="AM5720" i="2"/>
  <c r="AL5720" i="2"/>
  <c r="AM5721" i="2"/>
  <c r="AL5721" i="2"/>
  <c r="AL5722" i="2"/>
  <c r="AM5722" i="2"/>
  <c r="AL5723" i="2"/>
  <c r="AM5723" i="2"/>
  <c r="AL5724" i="2"/>
  <c r="AM5724" i="2"/>
  <c r="AM5725" i="2"/>
  <c r="AL5725" i="2"/>
  <c r="AM5726" i="2"/>
  <c r="AL5726" i="2"/>
  <c r="AL5727" i="2"/>
  <c r="AM5727" i="2"/>
  <c r="AL5728" i="2"/>
  <c r="AM5728" i="2"/>
  <c r="AM5729" i="2"/>
  <c r="AL5729" i="2"/>
  <c r="AM5730" i="2"/>
  <c r="AL5730" i="2"/>
  <c r="AL5731" i="2"/>
  <c r="AM5731" i="2"/>
  <c r="AL5732" i="2"/>
  <c r="AM5732" i="2"/>
  <c r="AM5733" i="2"/>
  <c r="AL5733" i="2"/>
  <c r="AM5734" i="2"/>
  <c r="AL5734" i="2"/>
  <c r="AL5735" i="2"/>
  <c r="AM5735" i="2"/>
  <c r="AM5736" i="2"/>
  <c r="AL5736" i="2"/>
  <c r="AM5737" i="2"/>
  <c r="AL5737" i="2"/>
  <c r="AL5738" i="2"/>
  <c r="AM5738" i="2"/>
  <c r="AM5739" i="2"/>
  <c r="AL5739" i="2"/>
  <c r="AM5740" i="2"/>
  <c r="AL5740" i="2"/>
  <c r="AL5741" i="2"/>
  <c r="AM5741" i="2"/>
  <c r="AL5742" i="2"/>
  <c r="AM5742" i="2"/>
  <c r="AL5743" i="2"/>
  <c r="AM5743" i="2"/>
  <c r="AL5744" i="2"/>
  <c r="AM5744" i="2"/>
  <c r="AM5745" i="2"/>
  <c r="AL5745" i="2"/>
  <c r="AM5746" i="2"/>
  <c r="AL5746" i="2"/>
  <c r="AM5747" i="2"/>
  <c r="AL5747" i="2"/>
  <c r="AL5748" i="2"/>
  <c r="AM5748" i="2"/>
  <c r="AL5749" i="2"/>
  <c r="AM5749" i="2"/>
  <c r="AL5750" i="2"/>
  <c r="AM5750" i="2"/>
  <c r="AL5751" i="2"/>
  <c r="AM5751" i="2"/>
  <c r="AL5752" i="2"/>
  <c r="AM5752" i="2"/>
  <c r="AM5753" i="2"/>
  <c r="AL5753" i="2"/>
  <c r="AM5754" i="2"/>
  <c r="AL5754" i="2"/>
  <c r="AL5755" i="2"/>
  <c r="AM5755" i="2"/>
  <c r="AL5756" i="2"/>
  <c r="AM5756" i="2"/>
  <c r="AM5757" i="2"/>
  <c r="AL5757" i="2"/>
  <c r="AL5758" i="2"/>
  <c r="AM5758" i="2"/>
  <c r="AM5759" i="2"/>
  <c r="AL5759" i="2"/>
  <c r="AM5760" i="2"/>
  <c r="AL5760" i="2"/>
  <c r="AM5761" i="2"/>
  <c r="AL5761" i="2"/>
  <c r="AM5762" i="2"/>
  <c r="AL5762" i="2"/>
  <c r="AM5763" i="2"/>
  <c r="AL5763" i="2"/>
  <c r="AL5764" i="2"/>
  <c r="AM5764" i="2"/>
  <c r="AL5765" i="2"/>
  <c r="AM5765" i="2"/>
  <c r="AL5766" i="2"/>
  <c r="AM5766" i="2"/>
  <c r="AM5767" i="2"/>
  <c r="AL5767" i="2"/>
  <c r="AM5768" i="2"/>
  <c r="AL5768" i="2"/>
  <c r="AM5769" i="2"/>
  <c r="AL5769" i="2"/>
  <c r="AM5770" i="2"/>
  <c r="AL5770" i="2"/>
  <c r="AM5771" i="2"/>
  <c r="AL5771" i="2"/>
  <c r="AL5772" i="2"/>
  <c r="AM5772" i="2"/>
  <c r="AL5773" i="2"/>
  <c r="AM5773" i="2"/>
  <c r="AL5774" i="2"/>
  <c r="AM5774" i="2"/>
  <c r="AM5775" i="2"/>
  <c r="AL5775" i="2"/>
  <c r="AL5776" i="2"/>
  <c r="AM5776" i="2"/>
  <c r="AM5777" i="2"/>
  <c r="AL5777" i="2"/>
  <c r="AL5778" i="2"/>
  <c r="AM5778" i="2"/>
  <c r="AL5779" i="2"/>
  <c r="AM5779" i="2"/>
  <c r="AM5780" i="2"/>
  <c r="AL5780" i="2"/>
  <c r="AM5781" i="2"/>
  <c r="AL5781" i="2"/>
  <c r="AM5782" i="2"/>
  <c r="AL5782" i="2"/>
  <c r="AM5783" i="2"/>
  <c r="AL5783" i="2"/>
  <c r="AM5784" i="2"/>
  <c r="AL5784" i="2"/>
  <c r="AM5785" i="2"/>
  <c r="AL5785" i="2"/>
  <c r="AL5786" i="2"/>
  <c r="AM5786" i="2"/>
  <c r="AM5787" i="2"/>
  <c r="AL5787" i="2"/>
  <c r="AM5788" i="2"/>
  <c r="AL5788" i="2"/>
  <c r="AL5789" i="2"/>
  <c r="AM5789" i="2"/>
  <c r="AM5790" i="2"/>
  <c r="AL5790" i="2"/>
  <c r="AM5791" i="2"/>
  <c r="AL5791" i="2"/>
  <c r="AM5792" i="2"/>
  <c r="AL5792" i="2"/>
  <c r="AM5793" i="2"/>
  <c r="AL5793" i="2"/>
  <c r="AM5794" i="2"/>
  <c r="AL5794" i="2"/>
  <c r="AM5795" i="2"/>
  <c r="AL5795" i="2"/>
  <c r="AL5796" i="2"/>
  <c r="AM5796" i="2"/>
  <c r="AM5797" i="2"/>
  <c r="AL5797" i="2"/>
  <c r="AL5798" i="2"/>
  <c r="AM5798" i="2"/>
  <c r="AM5799" i="2"/>
  <c r="AL5799" i="2"/>
  <c r="AL5800" i="2"/>
  <c r="AM5800" i="2"/>
  <c r="AM5801" i="2"/>
  <c r="AL5801" i="2"/>
  <c r="AM5802" i="2"/>
  <c r="AL5802" i="2"/>
  <c r="AM5803" i="2"/>
  <c r="AL5803" i="2"/>
  <c r="AL5804" i="2"/>
  <c r="AM5804" i="2"/>
  <c r="AM5805" i="2"/>
  <c r="AL5805" i="2"/>
  <c r="AM5806" i="2"/>
  <c r="AL5806" i="2"/>
  <c r="AL5807" i="2"/>
  <c r="AM5807" i="2"/>
  <c r="AL5808" i="2"/>
  <c r="AM5808" i="2"/>
  <c r="AM5809" i="2"/>
  <c r="AL5809" i="2"/>
  <c r="AL5810" i="2"/>
  <c r="AM5810" i="2"/>
  <c r="AM5811" i="2"/>
  <c r="AL5811" i="2"/>
  <c r="AL5812" i="2"/>
  <c r="AM5812" i="2"/>
  <c r="AM5813" i="2"/>
  <c r="AL5813" i="2"/>
  <c r="AM5814" i="2"/>
  <c r="AL5814" i="2"/>
  <c r="AL5815" i="2"/>
  <c r="AM5815" i="2"/>
  <c r="AM5816" i="2"/>
  <c r="AL5816" i="2"/>
  <c r="AM5817" i="2"/>
  <c r="AL5817" i="2"/>
  <c r="AM5818" i="2"/>
  <c r="AL5818" i="2"/>
  <c r="AM5819" i="2"/>
  <c r="AL5819" i="2"/>
  <c r="AM5820" i="2"/>
  <c r="AL5820" i="2"/>
  <c r="AM5821" i="2"/>
  <c r="AL5821" i="2"/>
  <c r="AM5822" i="2"/>
  <c r="AL5822" i="2"/>
  <c r="AL5823" i="2"/>
  <c r="AM5823" i="2"/>
  <c r="AL5824" i="2"/>
  <c r="AM5824" i="2"/>
  <c r="AM5825" i="2"/>
  <c r="AL5825" i="2"/>
  <c r="AM5826" i="2"/>
  <c r="AL5826" i="2"/>
  <c r="AM5827" i="2"/>
  <c r="AL5827" i="2"/>
  <c r="AL5828" i="2"/>
  <c r="AM5828" i="2"/>
  <c r="AM5829" i="2"/>
  <c r="AL5829" i="2"/>
  <c r="AM5830" i="2"/>
  <c r="AL5830" i="2"/>
  <c r="AL5831" i="2"/>
  <c r="AM5831" i="2"/>
  <c r="AL5832" i="2"/>
  <c r="AM5832" i="2"/>
  <c r="AM5833" i="2"/>
  <c r="AL5833" i="2"/>
  <c r="AM5834" i="2"/>
  <c r="AL5834" i="2"/>
  <c r="AM5835" i="2"/>
  <c r="AL5835" i="2"/>
  <c r="AM5836" i="2"/>
  <c r="AL5836" i="2"/>
  <c r="AM5837" i="2"/>
  <c r="AL5837" i="2"/>
  <c r="AM5838" i="2"/>
  <c r="AL5838" i="2"/>
  <c r="AL5839" i="2"/>
  <c r="AM5839" i="2"/>
  <c r="AL5840" i="2"/>
  <c r="AM5840" i="2"/>
  <c r="AL5841" i="2"/>
  <c r="AM5841" i="2"/>
  <c r="AM5842" i="2"/>
  <c r="AL5842" i="2"/>
  <c r="AM5843" i="2"/>
  <c r="AL5843" i="2"/>
  <c r="AM5844" i="2"/>
  <c r="AL5844" i="2"/>
  <c r="AL5845" i="2"/>
  <c r="AM5845" i="2"/>
  <c r="AL5846" i="2"/>
  <c r="AM5846" i="2"/>
  <c r="AL5847" i="2"/>
  <c r="AM5847" i="2"/>
  <c r="AL5848" i="2"/>
  <c r="AM5848" i="2"/>
  <c r="AM5849" i="2"/>
  <c r="AL5849" i="2"/>
  <c r="AL5850" i="2"/>
  <c r="AM5850" i="2"/>
  <c r="AM5851" i="2"/>
  <c r="AL5851" i="2"/>
  <c r="AL5852" i="2"/>
  <c r="AM5852" i="2"/>
  <c r="AL5853" i="2"/>
  <c r="AM5853" i="2"/>
  <c r="AL5854" i="2"/>
  <c r="AM5854" i="2"/>
  <c r="AM5855" i="2"/>
  <c r="AL5855" i="2"/>
  <c r="AL5856" i="2"/>
  <c r="AM5856" i="2"/>
  <c r="AM5857" i="2"/>
  <c r="AL5857" i="2"/>
  <c r="AM5858" i="2"/>
  <c r="AL5858" i="2"/>
  <c r="AL5859" i="2"/>
  <c r="AM5859" i="2"/>
  <c r="AM5860" i="2"/>
  <c r="AL5860" i="2"/>
  <c r="AL5861" i="2"/>
  <c r="AM5861" i="2"/>
  <c r="AM5862" i="2"/>
  <c r="AL5862" i="2"/>
  <c r="AL5863" i="2"/>
  <c r="AM5863" i="2"/>
  <c r="AM5864" i="2"/>
  <c r="AL5864" i="2"/>
  <c r="AL5865" i="2"/>
  <c r="AM5865" i="2"/>
  <c r="AL5866" i="2"/>
  <c r="AM5866" i="2"/>
  <c r="AM5867" i="2"/>
  <c r="AL5867" i="2"/>
  <c r="AM5868" i="2"/>
  <c r="AL5868" i="2"/>
  <c r="AL5869" i="2"/>
  <c r="AM5869" i="2"/>
  <c r="AM5870" i="2"/>
  <c r="AL5870" i="2"/>
  <c r="AL5871" i="2"/>
  <c r="AM5871" i="2"/>
  <c r="AL5872" i="2"/>
  <c r="AM5872" i="2"/>
  <c r="AM5873" i="2"/>
  <c r="AL5873" i="2"/>
  <c r="AM5874" i="2"/>
  <c r="AL5874" i="2"/>
  <c r="AM5875" i="2"/>
  <c r="AL5875" i="2"/>
  <c r="AL5876" i="2"/>
  <c r="AM5876" i="2"/>
  <c r="AL5877" i="2"/>
  <c r="AM5877" i="2"/>
  <c r="AL5878" i="2"/>
  <c r="AM5878" i="2"/>
  <c r="AM5879" i="2"/>
  <c r="AL5879" i="2"/>
  <c r="AL5880" i="2"/>
  <c r="AM5880" i="2"/>
  <c r="AM5881" i="2"/>
  <c r="AL5881" i="2"/>
  <c r="AM5882" i="2"/>
  <c r="AL5882" i="2"/>
  <c r="AM5883" i="2"/>
  <c r="AL5883" i="2"/>
  <c r="AM5884" i="2"/>
  <c r="AL5884" i="2"/>
  <c r="AL5885" i="2"/>
  <c r="AM5885" i="2"/>
  <c r="AL5886" i="2"/>
  <c r="AM5886" i="2"/>
  <c r="AM5887" i="2"/>
  <c r="AL5887" i="2"/>
  <c r="AM5888" i="2"/>
  <c r="AL5888" i="2"/>
  <c r="AL5889" i="2"/>
  <c r="AM5889" i="2"/>
  <c r="AL5890" i="2"/>
  <c r="AM5890" i="2"/>
  <c r="AM5891" i="2"/>
  <c r="AL5891" i="2"/>
  <c r="AM5892" i="2"/>
  <c r="AL5892" i="2"/>
  <c r="AL5893" i="2"/>
  <c r="AM5893" i="2"/>
  <c r="AL5894" i="2"/>
  <c r="AM5894" i="2"/>
  <c r="AM5895" i="2"/>
  <c r="AL5895" i="2"/>
  <c r="AM5896" i="2"/>
  <c r="AL5896" i="2"/>
  <c r="AM5897" i="2"/>
  <c r="AL5897" i="2"/>
  <c r="AM5898" i="2"/>
  <c r="AL5898" i="2"/>
  <c r="AM5899" i="2"/>
  <c r="AL5899" i="2"/>
  <c r="AL5900" i="2"/>
  <c r="AM5900" i="2"/>
  <c r="AL5901" i="2"/>
  <c r="AM5901" i="2"/>
  <c r="AL5902" i="2"/>
  <c r="AM5902" i="2"/>
  <c r="AM5903" i="2"/>
  <c r="AL5903" i="2"/>
  <c r="AL5904" i="2"/>
  <c r="AM5904" i="2"/>
  <c r="AM5905" i="2"/>
  <c r="AL5905" i="2"/>
  <c r="AM5906" i="2"/>
  <c r="AL5906" i="2"/>
  <c r="AL5907" i="2"/>
  <c r="AM5907" i="2"/>
  <c r="AM5908" i="2"/>
  <c r="AL5908" i="2"/>
  <c r="AM5909" i="2"/>
  <c r="AL5909" i="2"/>
  <c r="AL5910" i="2"/>
  <c r="AM5910" i="2"/>
  <c r="AM5911" i="2"/>
  <c r="AL5911" i="2"/>
  <c r="AL5912" i="2"/>
  <c r="AM5912" i="2"/>
  <c r="AL5913" i="2"/>
  <c r="AM5913" i="2"/>
  <c r="AM5914" i="2"/>
  <c r="AL5914" i="2"/>
  <c r="AM5915" i="2"/>
  <c r="AL5915" i="2"/>
  <c r="AL5916" i="2"/>
  <c r="AM5916" i="2"/>
  <c r="AL5917" i="2"/>
  <c r="AM5917" i="2"/>
  <c r="AL5918" i="2"/>
  <c r="AM5918" i="2"/>
  <c r="AM5919" i="2"/>
  <c r="AL5919" i="2"/>
  <c r="AL5920" i="2"/>
  <c r="AM5920" i="2"/>
  <c r="AM5921" i="2"/>
  <c r="AL5921" i="2"/>
  <c r="AL5922" i="2"/>
  <c r="AM5922" i="2"/>
  <c r="AL5923" i="2"/>
  <c r="AM5923" i="2"/>
  <c r="AM5924" i="2"/>
  <c r="AL5924" i="2"/>
  <c r="AM5925" i="2"/>
  <c r="AL5925" i="2"/>
  <c r="AL5926" i="2"/>
  <c r="AM5926" i="2"/>
  <c r="AL5927" i="2"/>
  <c r="AM5927" i="2"/>
  <c r="AM5928" i="2"/>
  <c r="AL5928" i="2"/>
  <c r="AL5929" i="2"/>
  <c r="AM5929" i="2"/>
  <c r="AL5930" i="2"/>
  <c r="AM5930" i="2"/>
  <c r="AM5931" i="2"/>
  <c r="AL5931" i="2"/>
  <c r="AL5932" i="2"/>
  <c r="AM5932" i="2"/>
  <c r="AL5933" i="2"/>
  <c r="AM5933" i="2"/>
  <c r="AM5934" i="2"/>
  <c r="AL5934" i="2"/>
  <c r="AM5935" i="2"/>
  <c r="AL5935" i="2"/>
  <c r="AM5936" i="2"/>
  <c r="AL5936" i="2"/>
  <c r="AL5937" i="2"/>
  <c r="AM5937" i="2"/>
  <c r="AL5938" i="2"/>
  <c r="AM5938" i="2"/>
  <c r="AM5939" i="2"/>
  <c r="AL5939" i="2"/>
  <c r="AL5940" i="2"/>
  <c r="AM5940" i="2"/>
  <c r="AL5941" i="2"/>
  <c r="AM5941" i="2"/>
  <c r="AM5942" i="2"/>
  <c r="AL5942" i="2"/>
  <c r="AM5943" i="2"/>
  <c r="AL5943" i="2"/>
  <c r="AL5944" i="2"/>
  <c r="AM5944" i="2"/>
  <c r="AM5945" i="2"/>
  <c r="AL5945" i="2"/>
  <c r="AL5946" i="2"/>
  <c r="AM5946" i="2"/>
  <c r="AM5947" i="2"/>
  <c r="AL5947" i="2"/>
  <c r="AM5948" i="2"/>
  <c r="AL5948" i="2"/>
  <c r="AM5949" i="2"/>
  <c r="AL5949" i="2"/>
  <c r="AL5950" i="2"/>
  <c r="AM5950" i="2"/>
  <c r="AM5951" i="2"/>
  <c r="AL5951" i="2"/>
  <c r="AL5952" i="2"/>
  <c r="AM5952" i="2"/>
  <c r="AM5953" i="2"/>
  <c r="AL5953" i="2"/>
  <c r="AL5954" i="2"/>
  <c r="AM5954" i="2"/>
  <c r="AM5955" i="2"/>
  <c r="AL5955" i="2"/>
  <c r="AM5956" i="2"/>
  <c r="AL5956" i="2"/>
  <c r="AL5957" i="2"/>
  <c r="AM5957" i="2"/>
  <c r="AL5958" i="2"/>
  <c r="AM5958" i="2"/>
  <c r="AM5959" i="2"/>
  <c r="AL5959" i="2"/>
  <c r="AL5960" i="2"/>
  <c r="AM5960" i="2"/>
  <c r="AL5961" i="2"/>
  <c r="AM5961" i="2"/>
  <c r="AM5962" i="2"/>
  <c r="AL5962" i="2"/>
  <c r="AL5963" i="2"/>
  <c r="AM5963" i="2"/>
  <c r="AM5964" i="2"/>
  <c r="AL5964" i="2"/>
  <c r="AL5965" i="2"/>
  <c r="AM5965" i="2"/>
  <c r="AL5966" i="2"/>
  <c r="AM5966" i="2"/>
  <c r="AL5967" i="2"/>
  <c r="AM5967" i="2"/>
  <c r="AL5968" i="2"/>
  <c r="AM5968" i="2"/>
  <c r="AM5969" i="2"/>
  <c r="AL5969" i="2"/>
  <c r="AM5970" i="2"/>
  <c r="AL5970" i="2"/>
  <c r="AL5971" i="2"/>
  <c r="AM5971" i="2"/>
  <c r="AM5972" i="2"/>
  <c r="AL5972" i="2"/>
  <c r="AM5973" i="2"/>
  <c r="AL5973" i="2"/>
  <c r="AL5974" i="2"/>
  <c r="AM5974" i="2"/>
  <c r="AM5975" i="2"/>
  <c r="AL5975" i="2"/>
  <c r="AM5976" i="2"/>
  <c r="AL5976" i="2"/>
  <c r="AM5977" i="2"/>
  <c r="AL5977" i="2"/>
  <c r="AM5978" i="2"/>
  <c r="AL5978" i="2"/>
  <c r="AM5979" i="2"/>
  <c r="AL5979" i="2"/>
  <c r="AM5980" i="2"/>
  <c r="AL5980" i="2"/>
  <c r="AL5981" i="2"/>
  <c r="AM5981" i="2"/>
  <c r="AL5982" i="2"/>
  <c r="AM5982" i="2"/>
  <c r="AM5983" i="2"/>
  <c r="AL5983" i="2"/>
  <c r="AM5984" i="2"/>
  <c r="AL5984" i="2"/>
  <c r="AM5985" i="2"/>
  <c r="AL5985" i="2"/>
  <c r="AM5986" i="2"/>
  <c r="AL5986" i="2"/>
  <c r="AL5987" i="2"/>
  <c r="AM5987" i="2"/>
  <c r="AL5988" i="2"/>
  <c r="AM5988" i="2"/>
  <c r="AM5989" i="2"/>
  <c r="AL5989" i="2"/>
  <c r="AM5990" i="2"/>
  <c r="AL5990" i="2"/>
  <c r="AM5991" i="2"/>
  <c r="AL5991" i="2"/>
  <c r="AL5992" i="2"/>
  <c r="AM5992" i="2"/>
  <c r="AL5993" i="2"/>
  <c r="AM5993" i="2"/>
  <c r="AL5994" i="2"/>
  <c r="AM5994" i="2"/>
  <c r="AM5995" i="2"/>
  <c r="AL5995" i="2"/>
  <c r="AM5996" i="2"/>
  <c r="AL5996" i="2"/>
  <c r="AM5997" i="2"/>
  <c r="AL5997" i="2"/>
  <c r="AL5998" i="2"/>
  <c r="AM5998" i="2"/>
  <c r="AL5999" i="2"/>
  <c r="AM5999" i="2"/>
  <c r="AL6000" i="2"/>
  <c r="AM6000" i="2"/>
  <c r="AM6001" i="2"/>
  <c r="AL6001" i="2"/>
  <c r="AL6002" i="2"/>
  <c r="AM6002" i="2"/>
  <c r="AM6003" i="2"/>
  <c r="AL6003" i="2"/>
  <c r="AL6004" i="2"/>
  <c r="AM6004" i="2"/>
  <c r="AL6005" i="2"/>
  <c r="AM6005" i="2"/>
  <c r="AL6006" i="2"/>
  <c r="AM6006" i="2"/>
  <c r="AM6007" i="2"/>
  <c r="AL6007" i="2"/>
  <c r="AL6008" i="2"/>
  <c r="AM6008" i="2"/>
  <c r="AM6009" i="2"/>
  <c r="AL6009" i="2"/>
  <c r="AM6010" i="2"/>
  <c r="AL6010" i="2"/>
  <c r="AM6011" i="2"/>
  <c r="AL6011" i="2"/>
  <c r="AL6012" i="2"/>
  <c r="AM6012" i="2"/>
  <c r="AL6013" i="2"/>
  <c r="AM6013" i="2"/>
  <c r="AL6014" i="2"/>
  <c r="AM6014" i="2"/>
  <c r="AM6015" i="2"/>
  <c r="AL6015" i="2"/>
  <c r="AL6016" i="2"/>
  <c r="AM6016" i="2"/>
  <c r="AM6017" i="2"/>
  <c r="AL6017" i="2"/>
  <c r="AM6018" i="2"/>
  <c r="AL6018" i="2"/>
  <c r="AL6019" i="2"/>
  <c r="AM6019" i="2"/>
  <c r="AL6020" i="2"/>
  <c r="AM6020" i="2"/>
  <c r="AL6021" i="2"/>
  <c r="AM6021" i="2"/>
  <c r="AL6022" i="2"/>
  <c r="AM6022" i="2"/>
  <c r="AM6023" i="2"/>
  <c r="AL6023" i="2"/>
  <c r="AL6024" i="2"/>
  <c r="AM6024" i="2"/>
  <c r="AM6025" i="2"/>
  <c r="AL6025" i="2"/>
  <c r="AL6026" i="2"/>
  <c r="AM6026" i="2"/>
  <c r="AM6027" i="2"/>
  <c r="AL6027" i="2"/>
  <c r="AM6028" i="2"/>
  <c r="AL6028" i="2"/>
  <c r="AL6029" i="2"/>
  <c r="AM6029" i="2"/>
  <c r="AL6030" i="2"/>
  <c r="AM6030" i="2"/>
  <c r="AM6031" i="2"/>
  <c r="AL6031" i="2"/>
  <c r="AM6032" i="2"/>
  <c r="AL6032" i="2"/>
  <c r="AL6033" i="2"/>
  <c r="AM6033" i="2"/>
  <c r="AL6034" i="2"/>
  <c r="AM6034" i="2"/>
  <c r="AL6035" i="2"/>
  <c r="AM6035" i="2"/>
  <c r="AL6036" i="2"/>
  <c r="AM6036" i="2"/>
  <c r="AM6037" i="2"/>
  <c r="AL6037" i="2"/>
  <c r="AM6038" i="2"/>
  <c r="AL6038" i="2"/>
  <c r="AL6039" i="2"/>
  <c r="AM6039" i="2"/>
  <c r="AL6040" i="2"/>
  <c r="AM6040" i="2"/>
  <c r="AM6041" i="2"/>
  <c r="AL6041" i="2"/>
  <c r="AL6042" i="2"/>
  <c r="AM6042" i="2"/>
  <c r="AM6043" i="2"/>
  <c r="AL6043" i="2"/>
  <c r="AM6044" i="2"/>
  <c r="AL6044" i="2"/>
  <c r="AL6045" i="2"/>
  <c r="AM6045" i="2"/>
  <c r="AL6046" i="2"/>
  <c r="AM6046" i="2"/>
  <c r="AL6047" i="2"/>
  <c r="AM6047" i="2"/>
  <c r="AL6048" i="2"/>
  <c r="AM6048" i="2"/>
  <c r="AM6049" i="2"/>
  <c r="AL6049" i="2"/>
  <c r="AM6050" i="2"/>
  <c r="AL6050" i="2"/>
  <c r="AL6051" i="2"/>
  <c r="AM6051" i="2"/>
  <c r="AM6052" i="2"/>
  <c r="AL6052" i="2"/>
  <c r="AM6053" i="2"/>
  <c r="AL6053" i="2"/>
  <c r="AL6054" i="2"/>
  <c r="AM6054" i="2"/>
  <c r="AL6055" i="2"/>
  <c r="AM6055" i="2"/>
  <c r="AM6056" i="2"/>
  <c r="AL6056" i="2"/>
  <c r="AL6057" i="2"/>
  <c r="AM6057" i="2"/>
  <c r="AL6058" i="2"/>
  <c r="AM6058" i="2"/>
  <c r="AM6059" i="2"/>
  <c r="AL6059" i="2"/>
  <c r="AL6060" i="2"/>
  <c r="AM6060" i="2"/>
  <c r="AL6061" i="2"/>
  <c r="AM6061" i="2"/>
  <c r="AL6062" i="2"/>
  <c r="AM6062" i="2"/>
  <c r="AM6063" i="2"/>
  <c r="AL6063" i="2"/>
  <c r="AL6064" i="2"/>
  <c r="AM6064" i="2"/>
  <c r="AM6065" i="2"/>
  <c r="AL6065" i="2"/>
  <c r="AL6066" i="2"/>
  <c r="AM6066" i="2"/>
  <c r="AM6067" i="2"/>
  <c r="AL6067" i="2"/>
  <c r="AM6068" i="2"/>
  <c r="AL6068" i="2"/>
  <c r="AM6069" i="2"/>
  <c r="AL6069" i="2"/>
  <c r="AL6070" i="2"/>
  <c r="AM6070" i="2"/>
  <c r="AM6071" i="2"/>
  <c r="AL6071" i="2"/>
  <c r="AL6072" i="2"/>
  <c r="AM6072" i="2"/>
  <c r="AL6073" i="2"/>
  <c r="AM6073" i="2"/>
  <c r="AM6074" i="2"/>
  <c r="AL6074" i="2"/>
  <c r="AL6075" i="2"/>
  <c r="AM6075" i="2"/>
  <c r="AM6076" i="2"/>
  <c r="AL6076" i="2"/>
  <c r="AL6077" i="2"/>
  <c r="AM6077" i="2"/>
  <c r="AL6078" i="2"/>
  <c r="AM6078" i="2"/>
  <c r="AM6079" i="2"/>
  <c r="AL6079" i="2"/>
  <c r="AL6080" i="2"/>
  <c r="AM6080" i="2"/>
  <c r="AM6081" i="2"/>
  <c r="AL6081" i="2"/>
  <c r="AL6082" i="2"/>
  <c r="AM6082" i="2"/>
  <c r="AL6083" i="2"/>
  <c r="AM6083" i="2"/>
  <c r="AM6084" i="2"/>
  <c r="AL6084" i="2"/>
  <c r="AM6085" i="2"/>
  <c r="AL6085" i="2"/>
  <c r="AL6086" i="2"/>
  <c r="AM6086" i="2"/>
  <c r="AM6087" i="2"/>
  <c r="AL6087" i="2"/>
  <c r="AL6088" i="2"/>
  <c r="AM6088" i="2"/>
  <c r="AL6089" i="2"/>
  <c r="AM6089" i="2"/>
  <c r="AM6090" i="2"/>
  <c r="AL6090" i="2"/>
  <c r="AM6091" i="2"/>
  <c r="AL6091" i="2"/>
  <c r="AL6092" i="2"/>
  <c r="AM6092" i="2"/>
  <c r="AL6093" i="2"/>
  <c r="AM6093" i="2"/>
  <c r="AM6094" i="2"/>
  <c r="AL6094" i="2"/>
  <c r="AL6095" i="2"/>
  <c r="AM6095" i="2"/>
  <c r="AL6096" i="2"/>
  <c r="AM6096" i="2"/>
  <c r="AM6097" i="2"/>
  <c r="AL6097" i="2"/>
  <c r="AL6098" i="2"/>
  <c r="AM6098" i="2"/>
  <c r="AM6099" i="2"/>
  <c r="AL6099" i="2"/>
  <c r="AL6100" i="2"/>
  <c r="AM6100" i="2"/>
  <c r="AL6101" i="2"/>
  <c r="AM6101" i="2"/>
  <c r="AL6102" i="2"/>
  <c r="AM6102" i="2"/>
  <c r="AL6103" i="2"/>
  <c r="AM6103" i="2"/>
  <c r="AL6104" i="2"/>
  <c r="AM6104" i="2"/>
  <c r="AM6105" i="2"/>
  <c r="AL6105" i="2"/>
  <c r="AL6106" i="2"/>
  <c r="AM6106" i="2"/>
  <c r="AM6107" i="2"/>
  <c r="AL6107" i="2"/>
  <c r="AM6108" i="2"/>
  <c r="AL6108" i="2"/>
  <c r="AM6109" i="2"/>
  <c r="AL6109" i="2"/>
  <c r="AM6110" i="2"/>
  <c r="AL6110" i="2"/>
  <c r="AM6111" i="2"/>
  <c r="AL6111" i="2"/>
  <c r="AL6112" i="2"/>
  <c r="AM6112" i="2"/>
  <c r="AM6113" i="2"/>
  <c r="AL6113" i="2"/>
  <c r="AL6114" i="2"/>
  <c r="AM6114" i="2"/>
  <c r="AM6115" i="2"/>
  <c r="AL6115" i="2"/>
  <c r="AL6116" i="2"/>
  <c r="AM6116" i="2"/>
  <c r="AL6117" i="2"/>
  <c r="AM6117" i="2"/>
  <c r="AL6118" i="2"/>
  <c r="AM6118" i="2"/>
  <c r="AM6119" i="2"/>
  <c r="AL6119" i="2"/>
  <c r="AL6120" i="2"/>
  <c r="AM6120" i="2"/>
  <c r="AM6121" i="2"/>
  <c r="AL6121" i="2"/>
  <c r="AL6122" i="2"/>
  <c r="AM6122" i="2"/>
  <c r="AM6123" i="2"/>
  <c r="AL6123" i="2"/>
  <c r="AM6124" i="2"/>
  <c r="AL6124" i="2"/>
  <c r="AM6125" i="2"/>
  <c r="AL6125" i="2"/>
  <c r="AL6126" i="2"/>
  <c r="AM6126" i="2"/>
  <c r="AM6127" i="2"/>
  <c r="AL6127" i="2"/>
  <c r="AL6128" i="2"/>
  <c r="AM6128" i="2"/>
  <c r="AM6129" i="2"/>
  <c r="AL6129" i="2"/>
  <c r="AM6130" i="2"/>
  <c r="AL6130" i="2"/>
  <c r="AL6131" i="2"/>
  <c r="AM6131" i="2"/>
  <c r="AM6132" i="2"/>
  <c r="AL6132" i="2"/>
  <c r="AM6133" i="2"/>
  <c r="AL6133" i="2"/>
  <c r="AL6134" i="2"/>
  <c r="AM6134" i="2"/>
  <c r="AM6135" i="2"/>
  <c r="AL6135" i="2"/>
  <c r="AL6136" i="2"/>
  <c r="AM6136" i="2"/>
  <c r="AM6137" i="2"/>
  <c r="AL6137" i="2"/>
  <c r="AL6138" i="2"/>
  <c r="AM6138" i="2"/>
  <c r="AM6139" i="2"/>
  <c r="AL6139" i="2"/>
  <c r="AL6140" i="2"/>
  <c r="AM6140" i="2"/>
  <c r="AL6141" i="2"/>
  <c r="AM6141" i="2"/>
  <c r="AL6142" i="2"/>
  <c r="AM6142" i="2"/>
  <c r="AL6143" i="2"/>
  <c r="AM6143" i="2"/>
  <c r="AL6144" i="2"/>
  <c r="AM6144" i="2"/>
  <c r="AL6145" i="2"/>
  <c r="AM6145" i="2"/>
  <c r="AL6146" i="2"/>
  <c r="AM6146" i="2"/>
  <c r="AL6147" i="2"/>
  <c r="AM6147" i="2"/>
  <c r="AM6148" i="2"/>
  <c r="AL6148" i="2"/>
  <c r="AM6149" i="2"/>
  <c r="AL6149" i="2"/>
  <c r="AM6150" i="2"/>
  <c r="AL6150" i="2"/>
  <c r="AL6151" i="2"/>
  <c r="AM6151" i="2"/>
  <c r="AM6152" i="2"/>
  <c r="AL6152" i="2"/>
  <c r="AM6153" i="2"/>
  <c r="AL6153" i="2"/>
  <c r="AL6154" i="2"/>
  <c r="AM6154" i="2"/>
  <c r="AL6155" i="2"/>
  <c r="AM6155" i="2"/>
  <c r="AM6156" i="2"/>
  <c r="AL6156" i="2"/>
  <c r="AL6157" i="2"/>
  <c r="AM6157" i="2"/>
  <c r="AM6158" i="2"/>
  <c r="AL6158" i="2"/>
  <c r="AM6159" i="2"/>
  <c r="AL6159" i="2"/>
  <c r="AL6160" i="2"/>
  <c r="AM6160" i="2"/>
  <c r="AL6161" i="2"/>
  <c r="AM6161" i="2"/>
  <c r="AL6162" i="2"/>
  <c r="AM6162" i="2"/>
  <c r="AM6163" i="2"/>
  <c r="AL6163" i="2"/>
  <c r="AL6164" i="2"/>
  <c r="AM6164" i="2"/>
  <c r="AM6165" i="2"/>
  <c r="AL6165" i="2"/>
  <c r="AM6166" i="2"/>
  <c r="AL6166" i="2"/>
  <c r="AL6167" i="2"/>
  <c r="AM6167" i="2"/>
  <c r="AL6168" i="2"/>
  <c r="AM6168" i="2"/>
  <c r="AM6169" i="2"/>
  <c r="AL6169" i="2"/>
  <c r="AL6170" i="2"/>
  <c r="AM6170" i="2"/>
  <c r="AM6171" i="2"/>
  <c r="AL6171" i="2"/>
  <c r="AL6172" i="2"/>
  <c r="AM6172" i="2"/>
  <c r="AM6173" i="2"/>
  <c r="AL6173" i="2"/>
  <c r="AM6174" i="2"/>
  <c r="AL6174" i="2"/>
  <c r="AM6175" i="2"/>
  <c r="AL6175" i="2"/>
  <c r="AL6176" i="2"/>
  <c r="AM6176" i="2"/>
  <c r="AM6177" i="2"/>
  <c r="AL6177" i="2"/>
  <c r="AL6178" i="2"/>
  <c r="AM6178" i="2"/>
  <c r="AL6179" i="2"/>
  <c r="AM6179" i="2"/>
  <c r="AL6180" i="2"/>
  <c r="AM6180" i="2"/>
  <c r="AM6181" i="2"/>
  <c r="AL6181" i="2"/>
  <c r="AL6182" i="2"/>
  <c r="AM6182" i="2"/>
  <c r="AL6183" i="2"/>
  <c r="AM6183" i="2"/>
  <c r="AM6184" i="2"/>
  <c r="AL6184" i="2"/>
  <c r="AM6185" i="2"/>
  <c r="AL6185" i="2"/>
  <c r="AM6186" i="2"/>
  <c r="AL6186" i="2"/>
  <c r="AL6187" i="2"/>
  <c r="AM6187" i="2"/>
  <c r="AL6188" i="2"/>
  <c r="AM6188" i="2"/>
  <c r="AM6189" i="2"/>
  <c r="AL6189" i="2"/>
  <c r="AM6190" i="2"/>
  <c r="AL6190" i="2"/>
  <c r="AM6191" i="2"/>
  <c r="AL6191" i="2"/>
  <c r="AL6192" i="2"/>
  <c r="AM6192" i="2"/>
  <c r="AM6193" i="2"/>
  <c r="AL6193" i="2"/>
  <c r="AL6194" i="2"/>
  <c r="AM6194" i="2"/>
  <c r="AM6195" i="2"/>
  <c r="AL6195" i="2"/>
  <c r="AL6196" i="2"/>
  <c r="AM6196" i="2"/>
  <c r="AL6197" i="2"/>
  <c r="AM6197" i="2"/>
  <c r="AM6198" i="2"/>
  <c r="AL6198" i="2"/>
  <c r="AM6199" i="2"/>
  <c r="AL6199" i="2"/>
  <c r="AL6200" i="2"/>
  <c r="AM6200" i="2"/>
  <c r="AM6201" i="2"/>
  <c r="AL6201" i="2"/>
  <c r="AL6202" i="2"/>
  <c r="AM6202" i="2"/>
  <c r="AM6203" i="2"/>
  <c r="AL6203" i="2"/>
  <c r="AL6204" i="2"/>
  <c r="AM6204" i="2"/>
  <c r="AM6205" i="2"/>
  <c r="AL6205" i="2"/>
  <c r="AL6206" i="2"/>
  <c r="AM6206" i="2"/>
  <c r="AL6207" i="2"/>
  <c r="AM6207" i="2"/>
  <c r="AM6208" i="2"/>
  <c r="AL6208" i="2"/>
  <c r="AM6209" i="2"/>
  <c r="AL6209" i="2"/>
  <c r="AL6210" i="2"/>
  <c r="AM6210" i="2"/>
  <c r="AL6211" i="2"/>
  <c r="AM6211" i="2"/>
  <c r="AL6212" i="2"/>
  <c r="AM6212" i="2"/>
  <c r="AL6213" i="2"/>
  <c r="AM6213" i="2"/>
  <c r="AM6214" i="2"/>
  <c r="AL6214" i="2"/>
  <c r="AM6215" i="2"/>
  <c r="AL6215" i="2"/>
  <c r="AL6216" i="2"/>
  <c r="AM6216" i="2"/>
  <c r="AM6217" i="2"/>
  <c r="AL6217" i="2"/>
  <c r="AL6218" i="2"/>
  <c r="AM6218" i="2"/>
  <c r="AM6219" i="2"/>
  <c r="AL6219" i="2"/>
  <c r="AM6220" i="2"/>
  <c r="AL6220" i="2"/>
  <c r="AL6221" i="2"/>
  <c r="AM6221" i="2"/>
  <c r="AL6222" i="2"/>
  <c r="AM6222" i="2"/>
  <c r="AM6223" i="2"/>
  <c r="AL6223" i="2"/>
  <c r="AL6224" i="2"/>
  <c r="AM6224" i="2"/>
  <c r="AM6225" i="2"/>
  <c r="AL6225" i="2"/>
  <c r="AL6226" i="2"/>
  <c r="AM6226" i="2"/>
  <c r="AM6227" i="2"/>
  <c r="AL6227" i="2"/>
  <c r="AL6228" i="2"/>
  <c r="AM6228" i="2"/>
  <c r="AL6229" i="2"/>
  <c r="AM6229" i="2"/>
  <c r="AM6230" i="2"/>
  <c r="AL6230" i="2"/>
  <c r="AL6231" i="2"/>
  <c r="AM6231" i="2"/>
  <c r="AM6232" i="2"/>
  <c r="AL6232" i="2"/>
  <c r="AM6233" i="2"/>
  <c r="AL6233" i="2"/>
  <c r="AL6234" i="2"/>
  <c r="AM6234" i="2"/>
  <c r="AM6235" i="2"/>
  <c r="AL6235" i="2"/>
  <c r="AL6236" i="2"/>
  <c r="AM6236" i="2"/>
  <c r="AL6237" i="2"/>
  <c r="AM6237" i="2"/>
  <c r="AM6238" i="2"/>
  <c r="AL6238" i="2"/>
  <c r="AM6239" i="2"/>
  <c r="AL6239" i="2"/>
  <c r="AL6240" i="2"/>
  <c r="AM6240" i="2"/>
  <c r="AL6241" i="2"/>
  <c r="AM6241" i="2"/>
  <c r="AL6242" i="2"/>
  <c r="AM6242" i="2"/>
  <c r="AL6243" i="2"/>
  <c r="AM6243" i="2"/>
  <c r="AL6244" i="2"/>
  <c r="AM6244" i="2"/>
  <c r="AL6245" i="2"/>
  <c r="AM6245" i="2"/>
  <c r="AL6246" i="2"/>
  <c r="AM6246" i="2"/>
  <c r="AL6247" i="2"/>
  <c r="AM6247" i="2"/>
  <c r="AL6248" i="2"/>
  <c r="AM6248" i="2"/>
  <c r="AM6249" i="2"/>
  <c r="AL6249" i="2"/>
  <c r="AM6250" i="2"/>
  <c r="AL6250" i="2"/>
  <c r="AM6251" i="2"/>
  <c r="AL6251" i="2"/>
  <c r="AL6252" i="2"/>
  <c r="AM6252" i="2"/>
  <c r="AM6253" i="2"/>
  <c r="AL6253" i="2"/>
  <c r="AM6254" i="2"/>
  <c r="AL6254" i="2"/>
  <c r="AM6255" i="2"/>
  <c r="AL6255" i="2"/>
  <c r="AL6256" i="2"/>
  <c r="AM6256" i="2"/>
  <c r="AL6257" i="2"/>
  <c r="AM6257" i="2"/>
  <c r="AM6258" i="2"/>
  <c r="AL6258" i="2"/>
  <c r="AM6259" i="2"/>
  <c r="AL6259" i="2"/>
  <c r="AM6260" i="2"/>
  <c r="AL6260" i="2"/>
  <c r="AM6261" i="2"/>
  <c r="AL6261" i="2"/>
  <c r="AL6262" i="2"/>
  <c r="AM6262" i="2"/>
  <c r="AM6263" i="2"/>
  <c r="AL6263" i="2"/>
  <c r="AL6264" i="2"/>
  <c r="AM6264" i="2"/>
  <c r="AL6265" i="2"/>
  <c r="AM6265" i="2"/>
  <c r="AL6266" i="2"/>
  <c r="AM6266" i="2"/>
  <c r="AM6267" i="2"/>
  <c r="AL6267" i="2"/>
  <c r="AM6268" i="2"/>
  <c r="AL6268" i="2"/>
  <c r="AM6269" i="2"/>
  <c r="AL6269" i="2"/>
  <c r="AL6270" i="2"/>
  <c r="AM6270" i="2"/>
  <c r="AM6271" i="2"/>
  <c r="AL6271" i="2"/>
  <c r="AL6272" i="2"/>
  <c r="AM6272" i="2"/>
  <c r="AM6273" i="2"/>
  <c r="AL6273" i="2"/>
  <c r="AL6274" i="2"/>
  <c r="AM6274" i="2"/>
  <c r="AL6275" i="2"/>
  <c r="AM6275" i="2"/>
  <c r="AL6276" i="2"/>
  <c r="AM6276" i="2"/>
  <c r="AL6277" i="2"/>
  <c r="AM6277" i="2"/>
  <c r="AM6278" i="2"/>
  <c r="AL6278" i="2"/>
  <c r="AM6279" i="2"/>
  <c r="AL6279" i="2"/>
  <c r="AL6280" i="2"/>
  <c r="AM6280" i="2"/>
  <c r="AL6281" i="2"/>
  <c r="AM6281" i="2"/>
  <c r="AL6282" i="2"/>
  <c r="AM6282" i="2"/>
  <c r="AM6283" i="2"/>
  <c r="AL6283" i="2"/>
  <c r="AL6284" i="2"/>
  <c r="AM6284" i="2"/>
  <c r="AM6285" i="2"/>
  <c r="AL6285" i="2"/>
  <c r="AL6286" i="2"/>
  <c r="AM6286" i="2"/>
  <c r="AM6287" i="2"/>
  <c r="AL6287" i="2"/>
  <c r="AL6288" i="2"/>
  <c r="AM6288" i="2"/>
  <c r="AL6289" i="2"/>
  <c r="AM6289" i="2"/>
  <c r="AL6290" i="2"/>
  <c r="AM6290" i="2"/>
  <c r="AM6291" i="2"/>
  <c r="AL6291" i="2"/>
  <c r="AM6292" i="2"/>
  <c r="AL6292" i="2"/>
  <c r="AM6293" i="2"/>
  <c r="AL6293" i="2"/>
  <c r="AL6294" i="2"/>
  <c r="AM6294" i="2"/>
  <c r="AL6295" i="2"/>
  <c r="AM6295" i="2"/>
  <c r="AL6296" i="2"/>
  <c r="AM6296" i="2"/>
  <c r="AM6297" i="2"/>
  <c r="AL6297" i="2"/>
  <c r="AM6298" i="2"/>
  <c r="AL6298" i="2"/>
  <c r="AM6299" i="2"/>
  <c r="AL6299" i="2"/>
  <c r="AL6300" i="2"/>
  <c r="AM6300" i="2"/>
  <c r="AL6301" i="2"/>
  <c r="AM6301" i="2"/>
  <c r="AM6302" i="2"/>
  <c r="AL6302" i="2"/>
  <c r="AM6303" i="2"/>
  <c r="AL6303" i="2"/>
  <c r="AL6304" i="2"/>
  <c r="AM6304" i="2"/>
  <c r="AM6305" i="2"/>
  <c r="AL6305" i="2"/>
  <c r="AL6306" i="2"/>
  <c r="AM6306" i="2"/>
  <c r="AM6307" i="2"/>
  <c r="AL6307" i="2"/>
  <c r="AL6308" i="2"/>
  <c r="AM6308" i="2"/>
  <c r="AL6309" i="2"/>
  <c r="AM6309" i="2"/>
  <c r="AM6310" i="2"/>
  <c r="AL6310" i="2"/>
  <c r="AM6311" i="2"/>
  <c r="AL6311" i="2"/>
  <c r="AM6312" i="2"/>
  <c r="AL6312" i="2"/>
  <c r="AM6313" i="2"/>
  <c r="AL6313" i="2"/>
  <c r="AM6314" i="2"/>
  <c r="AL6314" i="2"/>
  <c r="AL6315" i="2"/>
  <c r="AM6315" i="2"/>
  <c r="AL6316" i="2"/>
  <c r="AM6316" i="2"/>
  <c r="AM6317" i="2"/>
  <c r="AL6317" i="2"/>
  <c r="AM6318" i="2"/>
  <c r="AL6318" i="2"/>
  <c r="AM6319" i="2"/>
  <c r="AL6319" i="2"/>
  <c r="AL6320" i="2"/>
  <c r="AM6320" i="2"/>
  <c r="AM6321" i="2"/>
  <c r="AL6321" i="2"/>
  <c r="AL6322" i="2"/>
  <c r="AM6322" i="2"/>
  <c r="AM6323" i="2"/>
  <c r="AL6323" i="2"/>
  <c r="AL6324" i="2"/>
  <c r="AM6324" i="2"/>
  <c r="AM6325" i="2"/>
  <c r="AL6325" i="2"/>
  <c r="AL6326" i="2"/>
  <c r="AM6326" i="2"/>
  <c r="AL6327" i="2"/>
  <c r="AM6327" i="2"/>
  <c r="AL6328" i="2"/>
  <c r="AM6328" i="2"/>
  <c r="AL6329" i="2"/>
  <c r="AM6329" i="2"/>
  <c r="AL6330" i="2"/>
  <c r="AM6330" i="2"/>
  <c r="AM6331" i="2"/>
  <c r="AL6331" i="2"/>
  <c r="AL6332" i="2"/>
  <c r="AM6332" i="2"/>
  <c r="AL6333" i="2"/>
  <c r="AM6333" i="2"/>
  <c r="AL6334" i="2"/>
  <c r="AM6334" i="2"/>
  <c r="AM6335" i="2"/>
  <c r="AL6335" i="2"/>
  <c r="AL6336" i="2"/>
  <c r="AM6336" i="2"/>
  <c r="AM6337" i="2"/>
  <c r="AL6337" i="2"/>
  <c r="AM6338" i="2"/>
  <c r="AL6338" i="2"/>
  <c r="AL6339" i="2"/>
  <c r="AM6339" i="2"/>
  <c r="AM6340" i="2"/>
  <c r="AL6340" i="2"/>
  <c r="AL6341" i="2"/>
  <c r="AM6341" i="2"/>
  <c r="AL6342" i="2"/>
  <c r="AM6342" i="2"/>
  <c r="AM6343" i="2"/>
  <c r="AL6343" i="2"/>
  <c r="AL6344" i="2"/>
  <c r="AM6344" i="2"/>
  <c r="AM6345" i="2"/>
  <c r="AL6345" i="2"/>
  <c r="AL6346" i="2"/>
  <c r="AM6346" i="2"/>
  <c r="AM6347" i="2"/>
  <c r="AL6347" i="2"/>
  <c r="AL6348" i="2"/>
  <c r="AM6348" i="2"/>
  <c r="AL6349" i="2"/>
  <c r="AM6349" i="2"/>
  <c r="AL6350" i="2"/>
  <c r="AM6350" i="2"/>
  <c r="AM6351" i="2"/>
  <c r="AL6351" i="2"/>
  <c r="AL6352" i="2"/>
  <c r="AM6352" i="2"/>
  <c r="AM6353" i="2"/>
  <c r="AL6353" i="2"/>
  <c r="AL6354" i="2"/>
  <c r="AM6354" i="2"/>
  <c r="AM6355" i="2"/>
  <c r="AL6355" i="2"/>
  <c r="AL6356" i="2"/>
  <c r="AM6356" i="2"/>
  <c r="AL6357" i="2"/>
  <c r="AM6357" i="2"/>
  <c r="AL6358" i="2"/>
  <c r="AM6358" i="2"/>
  <c r="AM6359" i="2"/>
  <c r="AL6359" i="2"/>
  <c r="AM6360" i="2"/>
  <c r="AL6360" i="2"/>
  <c r="AM6361" i="2"/>
  <c r="AL6361" i="2"/>
  <c r="AM6362" i="2"/>
  <c r="AL6362" i="2"/>
  <c r="AM6363" i="2"/>
  <c r="AL6363" i="2"/>
  <c r="AL6364" i="2"/>
  <c r="AM6364" i="2"/>
  <c r="AM6365" i="2"/>
  <c r="AL6365" i="2"/>
  <c r="AM6366" i="2"/>
  <c r="AL6366" i="2"/>
  <c r="AL6367" i="2"/>
  <c r="AM6367" i="2"/>
  <c r="AM6368" i="2"/>
  <c r="AL6368" i="2"/>
  <c r="AL6369" i="2"/>
  <c r="AM6369" i="2"/>
  <c r="AL6370" i="2"/>
  <c r="AM6370" i="2"/>
  <c r="AM6371" i="2"/>
  <c r="AL6371" i="2"/>
  <c r="AM6372" i="2"/>
  <c r="AL6372" i="2"/>
  <c r="AL6373" i="2"/>
  <c r="AM6373" i="2"/>
  <c r="AL6374" i="2"/>
  <c r="AM6374" i="2"/>
  <c r="AM6375" i="2"/>
  <c r="AL6375" i="2"/>
  <c r="AM6376" i="2"/>
  <c r="AL6376" i="2"/>
  <c r="AM6377" i="2"/>
  <c r="AL6377" i="2"/>
  <c r="AL6378" i="2"/>
  <c r="AM6378" i="2"/>
  <c r="AL6379" i="2"/>
  <c r="AM6379" i="2"/>
  <c r="AM6380" i="2"/>
  <c r="AL6380" i="2"/>
  <c r="AM6381" i="2"/>
  <c r="AL6381" i="2"/>
  <c r="AL6382" i="2"/>
  <c r="AM6382" i="2"/>
  <c r="AM6383" i="2"/>
  <c r="AL6383" i="2"/>
  <c r="AL6384" i="2"/>
  <c r="AM6384" i="2"/>
  <c r="AM6385" i="2"/>
  <c r="AL6385" i="2"/>
  <c r="AL6386" i="2"/>
  <c r="AM6386" i="2"/>
  <c r="AM6387" i="2"/>
  <c r="AL6387" i="2"/>
  <c r="AM6388" i="2"/>
  <c r="AL6388" i="2"/>
  <c r="AM6389" i="2"/>
  <c r="AL6389" i="2"/>
  <c r="AM6390" i="2"/>
  <c r="AL6390" i="2"/>
  <c r="AL6391" i="2"/>
  <c r="AM6391" i="2"/>
  <c r="AL6392" i="2"/>
  <c r="AM6392" i="2"/>
  <c r="AM6393" i="2"/>
  <c r="AL6393" i="2"/>
  <c r="AL6394" i="2"/>
  <c r="AM6394" i="2"/>
  <c r="AM6395" i="2"/>
  <c r="AL6395" i="2"/>
  <c r="AM6396" i="2"/>
  <c r="AL6396" i="2"/>
  <c r="AL6397" i="2"/>
  <c r="AM6397" i="2"/>
  <c r="AM6398" i="2"/>
  <c r="AL6398" i="2"/>
  <c r="AM6399" i="2"/>
  <c r="AL6399" i="2"/>
  <c r="AM6400" i="2"/>
  <c r="AL6400" i="2"/>
  <c r="AL6401" i="2"/>
  <c r="AM6401" i="2"/>
  <c r="AL6402" i="2"/>
  <c r="AM6402" i="2"/>
  <c r="AL6403" i="2"/>
  <c r="AM6403" i="2"/>
  <c r="AL6404" i="2"/>
  <c r="AM6404" i="2"/>
  <c r="AL6405" i="2"/>
  <c r="AM6405" i="2"/>
  <c r="AL6406" i="2"/>
  <c r="AM6406" i="2"/>
  <c r="AL6407" i="2"/>
  <c r="AM6407" i="2"/>
  <c r="AL6408" i="2"/>
  <c r="AM6408" i="2"/>
  <c r="AM6409" i="2"/>
  <c r="AL6409" i="2"/>
  <c r="AL6410" i="2"/>
  <c r="AM6410" i="2"/>
  <c r="AM6411" i="2"/>
  <c r="AL6411" i="2"/>
  <c r="AL6412" i="2"/>
  <c r="AM6412" i="2"/>
  <c r="AL6413" i="2"/>
  <c r="AM6413" i="2"/>
  <c r="AM6414" i="2"/>
  <c r="AL6414" i="2"/>
  <c r="AL6415" i="2"/>
  <c r="AM6415" i="2"/>
  <c r="AL6416" i="2"/>
  <c r="AM6416" i="2"/>
  <c r="AL6417" i="2"/>
  <c r="AM6417" i="2"/>
  <c r="AL6418" i="2"/>
  <c r="AM6418" i="2"/>
  <c r="AM6419" i="2"/>
  <c r="AL6419" i="2"/>
  <c r="AL6420" i="2"/>
  <c r="AM6420" i="2"/>
  <c r="AM6421" i="2"/>
  <c r="AL6421" i="2"/>
  <c r="AL6422" i="2"/>
  <c r="AM6422" i="2"/>
  <c r="AM6423" i="2"/>
  <c r="AL6423" i="2"/>
  <c r="AM6424" i="2"/>
  <c r="AL6424" i="2"/>
  <c r="AM6425" i="2"/>
  <c r="AL6425" i="2"/>
  <c r="AM6426" i="2"/>
  <c r="AL6426" i="2"/>
  <c r="AM6427" i="2"/>
  <c r="AL6427" i="2"/>
  <c r="AM6428" i="2"/>
  <c r="AL6428" i="2"/>
  <c r="AL6429" i="2"/>
  <c r="AM6429" i="2"/>
  <c r="AM6430" i="2"/>
  <c r="AL6430" i="2"/>
  <c r="AL6431" i="2"/>
  <c r="AM6431" i="2"/>
  <c r="AL6432" i="2"/>
  <c r="AM6432" i="2"/>
  <c r="AL6433" i="2"/>
  <c r="AM6433" i="2"/>
  <c r="AM6434" i="2"/>
  <c r="AL6434" i="2"/>
  <c r="AL6435" i="2"/>
  <c r="AM6435" i="2"/>
  <c r="AM6436" i="2"/>
  <c r="AL6436" i="2"/>
  <c r="AL6437" i="2"/>
  <c r="AM6437" i="2"/>
  <c r="AL6438" i="2"/>
  <c r="AM6438" i="2"/>
  <c r="AM6439" i="2"/>
  <c r="AL6439" i="2"/>
  <c r="AL6440" i="2"/>
  <c r="AM6440" i="2"/>
  <c r="AL6441" i="2"/>
  <c r="AM6441" i="2"/>
  <c r="AM6442" i="2"/>
  <c r="AL6442" i="2"/>
  <c r="AM6443" i="2"/>
  <c r="AL6443" i="2"/>
  <c r="AM6444" i="2"/>
  <c r="AL6444" i="2"/>
  <c r="AL6445" i="2"/>
  <c r="AM6445" i="2"/>
  <c r="AL6446" i="2"/>
  <c r="AM6446" i="2"/>
  <c r="AM6447" i="2"/>
  <c r="AL6447" i="2"/>
  <c r="AM6448" i="2"/>
  <c r="AL6448" i="2"/>
  <c r="AM6449" i="2"/>
  <c r="AL6449" i="2"/>
  <c r="AL6450" i="2"/>
  <c r="AM6450" i="2"/>
  <c r="AM6451" i="2"/>
  <c r="AL6451" i="2"/>
  <c r="AM6452" i="2"/>
  <c r="AL6452" i="2"/>
  <c r="AL6453" i="2"/>
  <c r="AM6453" i="2"/>
  <c r="AL6454" i="2"/>
  <c r="AM6454" i="2"/>
  <c r="AL6455" i="2"/>
  <c r="AM6455" i="2"/>
  <c r="AM6456" i="2"/>
  <c r="AL6456" i="2"/>
  <c r="AM6457" i="2"/>
  <c r="AL6457" i="2"/>
  <c r="AL6458" i="2"/>
  <c r="AM6458" i="2"/>
  <c r="AM6459" i="2"/>
  <c r="AL6459" i="2"/>
  <c r="AM6460" i="2"/>
  <c r="AL6460" i="2"/>
  <c r="AL6461" i="2"/>
  <c r="AM6461" i="2"/>
  <c r="AL6462" i="2"/>
  <c r="AM6462" i="2"/>
  <c r="AL6463" i="2"/>
  <c r="AM6463" i="2"/>
  <c r="AM6464" i="2"/>
  <c r="AL6464" i="2"/>
  <c r="AL6465" i="2"/>
  <c r="AM6465" i="2"/>
  <c r="AL6466" i="2"/>
  <c r="AM6466" i="2"/>
  <c r="AM6467" i="2"/>
  <c r="AL6467" i="2"/>
  <c r="AM6468" i="2"/>
  <c r="AL6468" i="2"/>
  <c r="AM6469" i="2"/>
  <c r="AL6469" i="2"/>
  <c r="AL6470" i="2"/>
  <c r="AM6470" i="2"/>
  <c r="AM6471" i="2"/>
  <c r="AL6471" i="2"/>
  <c r="AM6472" i="2"/>
  <c r="AL6472" i="2"/>
  <c r="AM6473" i="2"/>
  <c r="AL6473" i="2"/>
  <c r="AM6474" i="2"/>
  <c r="AL6474" i="2"/>
  <c r="AM6475" i="2"/>
  <c r="AL6475" i="2"/>
  <c r="AL6476" i="2"/>
  <c r="AM6476" i="2"/>
  <c r="AM6477" i="2"/>
  <c r="AL6477" i="2"/>
  <c r="AM6478" i="2"/>
  <c r="AL6478" i="2"/>
  <c r="AL6479" i="2"/>
  <c r="AM6479" i="2"/>
  <c r="AM6480" i="2"/>
  <c r="AL6480" i="2"/>
  <c r="AM6481" i="2"/>
  <c r="AL6481" i="2"/>
  <c r="AL6482" i="2"/>
  <c r="AM6482" i="2"/>
  <c r="AM6483" i="2"/>
  <c r="AL6483" i="2"/>
  <c r="AL6484" i="2"/>
  <c r="AM6484" i="2"/>
  <c r="AL6485" i="2"/>
  <c r="AM6485" i="2"/>
  <c r="AL6486" i="2"/>
  <c r="AM6486" i="2"/>
  <c r="AM6487" i="2"/>
  <c r="AL6487" i="2"/>
  <c r="AM6488" i="2"/>
  <c r="AL6488" i="2"/>
  <c r="AM6489" i="2"/>
  <c r="AL6489" i="2"/>
  <c r="AL6490" i="2"/>
  <c r="AM6490" i="2"/>
  <c r="AM6491" i="2"/>
  <c r="AL6491" i="2"/>
  <c r="AM6492" i="2"/>
  <c r="AL6492" i="2"/>
  <c r="AL6493" i="2"/>
  <c r="AM6493" i="2"/>
  <c r="AL6494" i="2"/>
  <c r="AM6494" i="2"/>
  <c r="AM6495" i="2"/>
  <c r="AL6495" i="2"/>
  <c r="AM6496" i="2"/>
  <c r="AL6496" i="2"/>
  <c r="AM6497" i="2"/>
  <c r="AL6497" i="2"/>
  <c r="AM6498" i="2"/>
  <c r="AL6498" i="2"/>
  <c r="AM6499" i="2"/>
  <c r="AL6499" i="2"/>
  <c r="AL6500" i="2"/>
  <c r="AM6500" i="2"/>
  <c r="AL6501" i="2"/>
  <c r="AM6501" i="2"/>
  <c r="AL6502" i="2"/>
  <c r="AM6502" i="2"/>
  <c r="AL6503" i="2"/>
  <c r="AM6503" i="2"/>
  <c r="AM6504" i="2"/>
  <c r="AL6504" i="2"/>
  <c r="AL6505" i="2"/>
  <c r="AM6505" i="2"/>
  <c r="AM6506" i="2"/>
  <c r="AL6506" i="2"/>
  <c r="AM6507" i="2"/>
  <c r="AL6507" i="2"/>
  <c r="AL6508" i="2"/>
  <c r="AM6508" i="2"/>
  <c r="AL6509" i="2"/>
  <c r="AM6509" i="2"/>
  <c r="AL6510" i="2"/>
  <c r="AM6510" i="2"/>
  <c r="AM6511" i="2"/>
  <c r="AL6511" i="2"/>
  <c r="AM6512" i="2"/>
  <c r="AL6512" i="2"/>
  <c r="AM6513" i="2"/>
  <c r="AL6513" i="2"/>
  <c r="AL6514" i="2"/>
  <c r="AM6514" i="2"/>
  <c r="AM6515" i="2"/>
  <c r="AL6515" i="2"/>
  <c r="AL6516" i="2"/>
  <c r="AM6516" i="2"/>
  <c r="AL6517" i="2"/>
  <c r="AM6517" i="2"/>
  <c r="AL6518" i="2"/>
  <c r="AM6518" i="2"/>
  <c r="AL6519" i="2"/>
  <c r="AM6519" i="2"/>
  <c r="AM6520" i="2"/>
  <c r="AL6520" i="2"/>
  <c r="AL6521" i="2"/>
  <c r="AM6521" i="2"/>
  <c r="AL6522" i="2"/>
  <c r="AM6522" i="2"/>
  <c r="AL6523" i="2"/>
  <c r="AM6523" i="2"/>
  <c r="AM6524" i="2"/>
  <c r="AL6524" i="2"/>
  <c r="AL6525" i="2"/>
  <c r="AM6525" i="2"/>
  <c r="AL6526" i="2"/>
  <c r="AM6526" i="2"/>
  <c r="AM6527" i="2"/>
  <c r="AL6527" i="2"/>
  <c r="AM6528" i="2"/>
  <c r="AL6528" i="2"/>
  <c r="AL6529" i="2"/>
  <c r="AM6529" i="2"/>
  <c r="AL6530" i="2"/>
  <c r="AM6530" i="2"/>
  <c r="AM6531" i="2"/>
  <c r="AL6531" i="2"/>
  <c r="AM6532" i="2"/>
  <c r="AL6532" i="2"/>
  <c r="AL6533" i="2"/>
  <c r="AM6533" i="2"/>
  <c r="AM6534" i="2"/>
  <c r="AL6534" i="2"/>
  <c r="AL6535" i="2"/>
  <c r="AM6535" i="2"/>
  <c r="AM6536" i="2"/>
  <c r="AL6536" i="2"/>
  <c r="AM6537" i="2"/>
  <c r="AL6537" i="2"/>
  <c r="AM6538" i="2"/>
  <c r="AL6538" i="2"/>
  <c r="AM6539" i="2"/>
  <c r="AL6539" i="2"/>
  <c r="AM6540" i="2"/>
  <c r="AL6540" i="2"/>
  <c r="AM6541" i="2"/>
  <c r="AL6541" i="2"/>
  <c r="AM6542" i="2"/>
  <c r="AL6542" i="2"/>
  <c r="AL6543" i="2"/>
  <c r="AM6543" i="2"/>
  <c r="AM6544" i="2"/>
  <c r="AL6544" i="2"/>
  <c r="AL6545" i="2"/>
  <c r="AM6545" i="2"/>
  <c r="AM6546" i="2"/>
  <c r="AL6546" i="2"/>
  <c r="AM6547" i="2"/>
  <c r="AL6547" i="2"/>
  <c r="AL6548" i="2"/>
  <c r="AM6548" i="2"/>
  <c r="AL6549" i="2"/>
  <c r="AM6549" i="2"/>
  <c r="AL6550" i="2"/>
  <c r="AM6550" i="2"/>
  <c r="AM6551" i="2"/>
  <c r="AL6551" i="2"/>
  <c r="AM6552" i="2"/>
  <c r="AL6552" i="2"/>
  <c r="AM6553" i="2"/>
  <c r="AL6553" i="2"/>
  <c r="AL6554" i="2"/>
  <c r="AM6554" i="2"/>
  <c r="AL6555" i="2"/>
  <c r="AM6555" i="2"/>
  <c r="AL6556" i="2"/>
  <c r="AM6556" i="2"/>
  <c r="AL6557" i="2"/>
  <c r="AM6557" i="2"/>
  <c r="AL6558" i="2"/>
  <c r="AM6558" i="2"/>
  <c r="AL6559" i="2"/>
  <c r="AM6559" i="2"/>
  <c r="AL6560" i="2"/>
  <c r="AM6560" i="2"/>
  <c r="AM6561" i="2"/>
  <c r="AL6561" i="2"/>
  <c r="AL6562" i="2"/>
  <c r="AM6562" i="2"/>
  <c r="AM6563" i="2"/>
  <c r="AL6563" i="2"/>
  <c r="AL6564" i="2"/>
  <c r="AM6564" i="2"/>
  <c r="AL6565" i="2"/>
  <c r="AM6565" i="2"/>
  <c r="AM6566" i="2"/>
  <c r="AL6566" i="2"/>
  <c r="AM6567" i="2"/>
  <c r="AL6567" i="2"/>
  <c r="AM6568" i="2"/>
  <c r="AL6568" i="2"/>
  <c r="AL6569" i="2"/>
  <c r="AM6569" i="2"/>
  <c r="AL6570" i="2"/>
  <c r="AM6570" i="2"/>
  <c r="AM6571" i="2"/>
  <c r="AL6571" i="2"/>
  <c r="AL6572" i="2"/>
  <c r="AM6572" i="2"/>
  <c r="AL6573" i="2"/>
  <c r="AM6573" i="2"/>
  <c r="AM6574" i="2"/>
  <c r="AL6574" i="2"/>
  <c r="AL6575" i="2"/>
  <c r="AM6575" i="2"/>
  <c r="AL6576" i="2"/>
  <c r="AM6576" i="2"/>
  <c r="AM6577" i="2"/>
  <c r="AL6577" i="2"/>
  <c r="AL6578" i="2"/>
  <c r="AM6578" i="2"/>
  <c r="AL6579" i="2"/>
  <c r="AM6579" i="2"/>
  <c r="AM6580" i="2"/>
  <c r="AL6580" i="2"/>
  <c r="AL6581" i="2"/>
  <c r="AM6581" i="2"/>
  <c r="AL6582" i="2"/>
  <c r="AM6582" i="2"/>
  <c r="AM6583" i="2"/>
  <c r="AL6583" i="2"/>
  <c r="AM6584" i="2"/>
  <c r="AL6584" i="2"/>
  <c r="AL6585" i="2"/>
  <c r="AM6585" i="2"/>
  <c r="AL6586" i="2"/>
  <c r="AM6586" i="2"/>
  <c r="AM6587" i="2"/>
  <c r="AL6587" i="2"/>
  <c r="AM6588" i="2"/>
  <c r="AL6588" i="2"/>
  <c r="AL6589" i="2"/>
  <c r="AM6589" i="2"/>
  <c r="AL6590" i="2"/>
  <c r="AM6590" i="2"/>
  <c r="AL6591" i="2"/>
  <c r="AM6591" i="2"/>
  <c r="AM6592" i="2"/>
  <c r="AL6592" i="2"/>
  <c r="AL6593" i="2"/>
  <c r="AM6593" i="2"/>
  <c r="AL6594" i="2"/>
  <c r="AM6594" i="2"/>
  <c r="AM6595" i="2"/>
  <c r="AL6595" i="2"/>
  <c r="AL6596" i="2"/>
  <c r="AM6596" i="2"/>
  <c r="AL6597" i="2"/>
  <c r="AM6597" i="2"/>
  <c r="AL6598" i="2"/>
  <c r="AM6598" i="2"/>
  <c r="AL6599" i="2"/>
  <c r="AM6599" i="2"/>
  <c r="AM6600" i="2"/>
  <c r="AL6600" i="2"/>
  <c r="AM6601" i="2"/>
  <c r="AL6601" i="2"/>
  <c r="AM6602" i="2"/>
  <c r="AL6602" i="2"/>
  <c r="AM6603" i="2"/>
  <c r="AL6603" i="2"/>
  <c r="AL6604" i="2"/>
  <c r="AM6604" i="2"/>
  <c r="AL6605" i="2"/>
  <c r="AM6605" i="2"/>
  <c r="AL6606" i="2"/>
  <c r="AM6606" i="2"/>
  <c r="AL6607" i="2"/>
  <c r="AM6607" i="2"/>
  <c r="AM6608" i="2"/>
  <c r="AL6608" i="2"/>
  <c r="AL6609" i="2"/>
  <c r="AM6609" i="2"/>
  <c r="AM6610" i="2"/>
  <c r="AL6610" i="2"/>
  <c r="AM6611" i="2"/>
  <c r="AL6611" i="2"/>
  <c r="AM6612" i="2"/>
  <c r="AL6612" i="2"/>
  <c r="AL6613" i="2"/>
  <c r="AM6613" i="2"/>
  <c r="AM6614" i="2"/>
  <c r="AL6614" i="2"/>
  <c r="AM6615" i="2"/>
  <c r="AL6615" i="2"/>
  <c r="AL6616" i="2"/>
  <c r="AM6616" i="2"/>
  <c r="AL6617" i="2"/>
  <c r="AM6617" i="2"/>
  <c r="AL6618" i="2"/>
  <c r="AM6618" i="2"/>
  <c r="AM6619" i="2"/>
  <c r="AL6619" i="2"/>
  <c r="AM6620" i="2"/>
  <c r="AL6620" i="2"/>
  <c r="AL6621" i="2"/>
  <c r="AM6621" i="2"/>
  <c r="AM6622" i="2"/>
  <c r="AL6622" i="2"/>
  <c r="AM6623" i="2"/>
  <c r="AL6623" i="2"/>
  <c r="AM6624" i="2"/>
  <c r="AL6624" i="2"/>
  <c r="AL6625" i="2"/>
  <c r="AM6625" i="2"/>
  <c r="AM6626" i="2"/>
  <c r="AL6626" i="2"/>
  <c r="AM6627" i="2"/>
  <c r="AL6627" i="2"/>
  <c r="AL6628" i="2"/>
  <c r="AM6628" i="2"/>
  <c r="AL6629" i="2"/>
  <c r="AM6629" i="2"/>
  <c r="AL6630" i="2"/>
  <c r="AM6630" i="2"/>
  <c r="AM6631" i="2"/>
  <c r="AL6631" i="2"/>
  <c r="AM6632" i="2"/>
  <c r="AL6632" i="2"/>
  <c r="AM6633" i="2"/>
  <c r="AL6633" i="2"/>
  <c r="AL6634" i="2"/>
  <c r="AM6634" i="2"/>
  <c r="AM6635" i="2"/>
  <c r="AL6635" i="2"/>
  <c r="AM6636" i="2"/>
  <c r="AL6636" i="2"/>
  <c r="AL6637" i="2"/>
  <c r="AM6637" i="2"/>
  <c r="AM6638" i="2"/>
  <c r="AL6638" i="2"/>
  <c r="AL6639" i="2"/>
  <c r="AM6639" i="2"/>
  <c r="AL6640" i="2"/>
  <c r="AM6640" i="2"/>
  <c r="AM6641" i="2"/>
  <c r="AL6641" i="2"/>
  <c r="AM6642" i="2"/>
  <c r="AL6642" i="2"/>
  <c r="AM6643" i="2"/>
  <c r="AL6643" i="2"/>
  <c r="AL6644" i="2"/>
  <c r="AM6644" i="2"/>
  <c r="AL6645" i="2"/>
  <c r="AM6645" i="2"/>
  <c r="AL6646" i="2"/>
  <c r="AM6646" i="2"/>
  <c r="AL6647" i="2"/>
  <c r="AM6647" i="2"/>
  <c r="AM6648" i="2"/>
  <c r="AL6648" i="2"/>
  <c r="AL6649" i="2"/>
  <c r="AM6649" i="2"/>
  <c r="AM6650" i="2"/>
  <c r="AL6650" i="2"/>
  <c r="AM6651" i="2"/>
  <c r="AL6651" i="2"/>
  <c r="AM6652" i="2"/>
  <c r="AL6652" i="2"/>
  <c r="AL6653" i="2"/>
  <c r="AM6653" i="2"/>
  <c r="AL6654" i="2"/>
  <c r="AM6654" i="2"/>
  <c r="AL6655" i="2"/>
  <c r="AM6655" i="2"/>
  <c r="AL6656" i="2"/>
  <c r="AM6656" i="2"/>
  <c r="AL6657" i="2"/>
  <c r="AM6657" i="2"/>
  <c r="AM6658" i="2"/>
  <c r="AL6658" i="2"/>
  <c r="AM6659" i="2"/>
  <c r="AL6659" i="2"/>
  <c r="AM6660" i="2"/>
  <c r="AL6660" i="2"/>
  <c r="AL6661" i="2"/>
  <c r="AM6661" i="2"/>
  <c r="AM6662" i="2"/>
  <c r="AL6662" i="2"/>
  <c r="AM6663" i="2"/>
  <c r="AL6663" i="2"/>
  <c r="AM6664" i="2"/>
  <c r="AL6664" i="2"/>
  <c r="AM6665" i="2"/>
  <c r="AL6665" i="2"/>
  <c r="AM6666" i="2"/>
  <c r="AL6666" i="2"/>
  <c r="AL6667" i="2"/>
  <c r="AM6667" i="2"/>
  <c r="AM6668" i="2"/>
  <c r="AL6668" i="2"/>
  <c r="AL6669" i="2"/>
  <c r="AM6669" i="2"/>
  <c r="AM6670" i="2"/>
  <c r="AL6670" i="2"/>
  <c r="AL6671" i="2"/>
  <c r="AM6671" i="2"/>
  <c r="AM6672" i="2"/>
  <c r="AL6672" i="2"/>
  <c r="AL6673" i="2"/>
  <c r="AM6673" i="2"/>
  <c r="AM6674" i="2"/>
  <c r="AL6674" i="2"/>
  <c r="AL6675" i="2"/>
  <c r="AM6675" i="2"/>
  <c r="AL6676" i="2"/>
  <c r="AM6676" i="2"/>
  <c r="AL6677" i="2"/>
  <c r="AM6677" i="2"/>
  <c r="AL6678" i="2"/>
  <c r="AM6678" i="2"/>
  <c r="AM6679" i="2"/>
  <c r="AL6679" i="2"/>
  <c r="AM6680" i="2"/>
  <c r="AL6680" i="2"/>
  <c r="AL6681" i="2"/>
  <c r="AM6681" i="2"/>
  <c r="AL6682" i="2"/>
  <c r="AM6682" i="2"/>
  <c r="AM6683" i="2"/>
  <c r="AL6683" i="2"/>
  <c r="AM6684" i="2"/>
  <c r="AL6684" i="2"/>
  <c r="AL6685" i="2"/>
  <c r="AM6685" i="2"/>
  <c r="AM6686" i="2"/>
  <c r="AL6686" i="2"/>
  <c r="AM6687" i="2"/>
  <c r="AL6687" i="2"/>
  <c r="AM6688" i="2"/>
  <c r="AL6688" i="2"/>
  <c r="AL6689" i="2"/>
  <c r="AM6689" i="2"/>
  <c r="AL6690" i="2"/>
  <c r="AM6690" i="2"/>
  <c r="AL6691" i="2"/>
  <c r="AM6691" i="2"/>
  <c r="AM6692" i="2"/>
  <c r="AL6692" i="2"/>
  <c r="AM6693" i="2"/>
  <c r="AL6693" i="2"/>
  <c r="AM6694" i="2"/>
  <c r="AL6694" i="2"/>
  <c r="AM6695" i="2"/>
  <c r="AL6695" i="2"/>
  <c r="AM6696" i="2"/>
  <c r="AL6696" i="2"/>
  <c r="AM6697" i="2"/>
  <c r="AL6697" i="2"/>
  <c r="AM6698" i="2"/>
  <c r="AL6698" i="2"/>
  <c r="AL6699" i="2"/>
  <c r="AM6699" i="2"/>
  <c r="AL6700" i="2"/>
  <c r="AM6700" i="2"/>
  <c r="AL6701" i="2"/>
  <c r="AM6701" i="2"/>
  <c r="AM6702" i="2"/>
  <c r="AL6702" i="2"/>
  <c r="AL6703" i="2"/>
  <c r="AM6703" i="2"/>
  <c r="AL6704" i="2"/>
  <c r="AM6704" i="2"/>
  <c r="AM6705" i="2"/>
  <c r="AL6705" i="2"/>
  <c r="AM6706" i="2"/>
  <c r="AL6706" i="2"/>
  <c r="AL6707" i="2"/>
  <c r="AM6707" i="2"/>
  <c r="AM6708" i="2"/>
  <c r="AL6708" i="2"/>
  <c r="AL6709" i="2"/>
  <c r="AM6709" i="2"/>
  <c r="AL6710" i="2"/>
  <c r="AM6710" i="2"/>
  <c r="AM6711" i="2"/>
  <c r="AL6711" i="2"/>
  <c r="AL6712" i="2"/>
  <c r="AM6712" i="2"/>
  <c r="AM6713" i="2"/>
  <c r="AL6713" i="2"/>
  <c r="AM6714" i="2"/>
  <c r="AL6714" i="2"/>
  <c r="AL6715" i="2"/>
  <c r="AM6715" i="2"/>
  <c r="AM6716" i="2"/>
  <c r="AL6716" i="2"/>
  <c r="AL6717" i="2"/>
  <c r="AM6717" i="2"/>
  <c r="AL6718" i="2"/>
  <c r="AM6718" i="2"/>
  <c r="AL6719" i="2"/>
  <c r="AM6719" i="2"/>
  <c r="AM6720" i="2"/>
  <c r="AL6720" i="2"/>
  <c r="AM6721" i="2"/>
  <c r="AL6721" i="2"/>
  <c r="AL6722" i="2"/>
  <c r="AM6722" i="2"/>
  <c r="AL6723" i="2"/>
  <c r="AM6723" i="2"/>
  <c r="AM6724" i="2"/>
  <c r="AL6724" i="2"/>
  <c r="AL6725" i="2"/>
  <c r="AM6725" i="2"/>
  <c r="AM6726" i="2"/>
  <c r="AL6726" i="2"/>
  <c r="AL6727" i="2"/>
  <c r="AM6727" i="2"/>
  <c r="AM6728" i="2"/>
  <c r="AL6728" i="2"/>
  <c r="AL6729" i="2"/>
  <c r="AM6729" i="2"/>
  <c r="AL6730" i="2"/>
  <c r="AM6730" i="2"/>
  <c r="AM6731" i="2"/>
  <c r="AL6731" i="2"/>
  <c r="AM6732" i="2"/>
  <c r="AL6732" i="2"/>
  <c r="AM6733" i="2"/>
  <c r="AL6733" i="2"/>
  <c r="AM6734" i="2"/>
  <c r="AL6734" i="2"/>
  <c r="AM6735" i="2"/>
  <c r="AL6735" i="2"/>
  <c r="AM6736" i="2"/>
  <c r="AL6736" i="2"/>
  <c r="AM6737" i="2"/>
  <c r="AL6737" i="2"/>
  <c r="AM6738" i="2"/>
  <c r="AL6738" i="2"/>
  <c r="AL6739" i="2"/>
  <c r="AM6739" i="2"/>
  <c r="AM6740" i="2"/>
  <c r="AL6740" i="2"/>
  <c r="AL6741" i="2"/>
  <c r="AM6741" i="2"/>
  <c r="AL6742" i="2"/>
  <c r="AM6742" i="2"/>
  <c r="AM6743" i="2"/>
  <c r="AL6743" i="2"/>
  <c r="AM6744" i="2"/>
  <c r="AL6744" i="2"/>
  <c r="AM6745" i="2"/>
  <c r="AL6745" i="2"/>
  <c r="AM6746" i="2"/>
  <c r="AL6746" i="2"/>
  <c r="AM6747" i="2"/>
  <c r="AL6747" i="2"/>
  <c r="AL6748" i="2"/>
  <c r="AM6748" i="2"/>
  <c r="AL6749" i="2"/>
  <c r="AM6749" i="2"/>
  <c r="AM6750" i="2"/>
  <c r="AL6750" i="2"/>
  <c r="AM6751" i="2"/>
  <c r="AL6751" i="2"/>
  <c r="AL6752" i="2"/>
  <c r="AM6752" i="2"/>
  <c r="AL6753" i="2"/>
  <c r="AM6753" i="2"/>
  <c r="AL6754" i="2"/>
  <c r="AM6754" i="2"/>
  <c r="AL6755" i="2"/>
  <c r="AM6755" i="2"/>
  <c r="AM6756" i="2"/>
  <c r="AL6756" i="2"/>
  <c r="AL6757" i="2"/>
  <c r="AM6757" i="2"/>
  <c r="AL6758" i="2"/>
  <c r="AM6758" i="2"/>
  <c r="AL6759" i="2"/>
  <c r="AM6759" i="2"/>
  <c r="AM6760" i="2"/>
  <c r="AL6760" i="2"/>
  <c r="AM6761" i="2"/>
  <c r="AL6761" i="2"/>
  <c r="AM6762" i="2"/>
  <c r="AL6762" i="2"/>
  <c r="AL6763" i="2"/>
  <c r="AM6763" i="2"/>
  <c r="AL6764" i="2"/>
  <c r="AM6764" i="2"/>
  <c r="AM6765" i="2"/>
  <c r="AL6765" i="2"/>
  <c r="AM6766" i="2"/>
  <c r="AL6766" i="2"/>
  <c r="AL6767" i="2"/>
  <c r="AM6767" i="2"/>
  <c r="AL6768" i="2"/>
  <c r="AM6768" i="2"/>
  <c r="AL6769" i="2"/>
  <c r="AM6769" i="2"/>
  <c r="AL6770" i="2"/>
  <c r="AM6770" i="2"/>
  <c r="AL6771" i="2"/>
  <c r="AM6771" i="2"/>
  <c r="AL6772" i="2"/>
  <c r="AM6772" i="2"/>
  <c r="AM6773" i="2"/>
  <c r="AL6773" i="2"/>
  <c r="AL6774" i="2"/>
  <c r="AM6774" i="2"/>
  <c r="AL6775" i="2"/>
  <c r="AM6775" i="2"/>
  <c r="AM6776" i="2"/>
  <c r="AL6776" i="2"/>
  <c r="AL6777" i="2"/>
  <c r="AM6777" i="2"/>
  <c r="AM6778" i="2"/>
  <c r="AL6778" i="2"/>
  <c r="AL6779" i="2"/>
  <c r="AM6779" i="2"/>
  <c r="AM6780" i="2"/>
  <c r="AL6780" i="2"/>
  <c r="AM6781" i="2"/>
  <c r="AL6781" i="2"/>
  <c r="AL6782" i="2"/>
  <c r="AM6782" i="2"/>
  <c r="AL6783" i="2"/>
  <c r="AM6783" i="2"/>
  <c r="AL6784" i="2"/>
  <c r="AM6784" i="2"/>
  <c r="AM6785" i="2"/>
  <c r="AL6785" i="2"/>
  <c r="AM6786" i="2"/>
  <c r="AL6786" i="2"/>
  <c r="AM6787" i="2"/>
  <c r="AL6787" i="2"/>
  <c r="AL6788" i="2"/>
  <c r="AM6788" i="2"/>
  <c r="AL6789" i="2"/>
  <c r="AM6789" i="2"/>
  <c r="AL6790" i="2"/>
  <c r="AM6790" i="2"/>
  <c r="AL6791" i="2"/>
  <c r="AM6791" i="2"/>
  <c r="AL6792" i="2"/>
  <c r="AM6792" i="2"/>
  <c r="AL6793" i="2"/>
  <c r="AM6793" i="2"/>
  <c r="AM6794" i="2"/>
  <c r="AL6794" i="2"/>
  <c r="AL6795" i="2"/>
  <c r="AM6795" i="2"/>
  <c r="AL6796" i="2"/>
  <c r="AM6796" i="2"/>
  <c r="AL6797" i="2"/>
  <c r="AM6797" i="2"/>
  <c r="AM6798" i="2"/>
  <c r="AL6798" i="2"/>
  <c r="AM6799" i="2"/>
  <c r="AL6799" i="2"/>
  <c r="AM6800" i="2"/>
  <c r="AL6800" i="2"/>
  <c r="AL6801" i="2"/>
  <c r="AM6801" i="2"/>
  <c r="AM6802" i="2"/>
  <c r="AL6802" i="2"/>
  <c r="AL6803" i="2"/>
  <c r="AM6803" i="2"/>
  <c r="AL6804" i="2"/>
  <c r="AM6804" i="2"/>
  <c r="AM6805" i="2"/>
  <c r="AL6805" i="2"/>
  <c r="AM6806" i="2"/>
  <c r="AL6806" i="2"/>
  <c r="AM6807" i="2"/>
  <c r="AL6807" i="2"/>
  <c r="AM6808" i="2"/>
  <c r="AL6808" i="2"/>
  <c r="AM6809" i="2"/>
  <c r="AL6809" i="2"/>
  <c r="AL6810" i="2"/>
  <c r="AM6810" i="2"/>
  <c r="AM6811" i="2"/>
  <c r="AL6811" i="2"/>
  <c r="AL6812" i="2"/>
  <c r="AM6812" i="2"/>
  <c r="AL6813" i="2"/>
  <c r="AM6813" i="2"/>
  <c r="AL6814" i="2"/>
  <c r="AM6814" i="2"/>
  <c r="AL6815" i="2"/>
  <c r="AM6815" i="2"/>
  <c r="AM6816" i="2"/>
  <c r="AL6816" i="2"/>
  <c r="AL6817" i="2"/>
  <c r="AM6817" i="2"/>
  <c r="AM6818" i="2"/>
  <c r="AL6818" i="2"/>
  <c r="AL6819" i="2"/>
  <c r="AM6819" i="2"/>
  <c r="AM6820" i="2"/>
  <c r="AL6820" i="2"/>
  <c r="AM6821" i="2"/>
  <c r="AL6821" i="2"/>
  <c r="AM6822" i="2"/>
  <c r="AL6822" i="2"/>
  <c r="AL6823" i="2"/>
  <c r="AM6823" i="2"/>
  <c r="AM6824" i="2"/>
  <c r="AL6824" i="2"/>
  <c r="AM6825" i="2"/>
  <c r="AL6825" i="2"/>
  <c r="AM6826" i="2"/>
  <c r="AL6826" i="2"/>
  <c r="AM6827" i="2"/>
  <c r="AL6827" i="2"/>
  <c r="AL6828" i="2"/>
  <c r="AM6828" i="2"/>
  <c r="AM6829" i="2"/>
  <c r="AL6829" i="2"/>
  <c r="AM6830" i="2"/>
  <c r="AL6830" i="2"/>
  <c r="AL6831" i="2"/>
  <c r="AM6831" i="2"/>
  <c r="AM6832" i="2"/>
  <c r="AL6832" i="2"/>
  <c r="AM6833" i="2"/>
  <c r="AL6833" i="2"/>
  <c r="AM6834" i="2"/>
  <c r="AL6834" i="2"/>
  <c r="AL6835" i="2"/>
  <c r="AM6835" i="2"/>
  <c r="AL6836" i="2"/>
  <c r="AM6836" i="2"/>
  <c r="AM6837" i="2"/>
  <c r="AL6837" i="2"/>
  <c r="AL6838" i="2"/>
  <c r="AM6838" i="2"/>
  <c r="AL6839" i="2"/>
  <c r="AM6839" i="2"/>
  <c r="AM6840" i="2"/>
  <c r="AL6840" i="2"/>
  <c r="AL6841" i="2"/>
  <c r="AM6841" i="2"/>
  <c r="AL6842" i="2"/>
  <c r="AM6842" i="2"/>
  <c r="AL6843" i="2"/>
  <c r="AM6843" i="2"/>
  <c r="AM6844" i="2"/>
  <c r="AL6844" i="2"/>
  <c r="AM6845" i="2"/>
  <c r="AL6845" i="2"/>
  <c r="AL6846" i="2"/>
  <c r="AM6846" i="2"/>
  <c r="AL6847" i="2"/>
  <c r="AM6847" i="2"/>
  <c r="AM6848" i="2"/>
  <c r="AL6848" i="2"/>
  <c r="AL6849" i="2"/>
  <c r="AM6849" i="2"/>
  <c r="AM6850" i="2"/>
  <c r="AL6850" i="2"/>
  <c r="AL6851" i="2"/>
  <c r="AM6851" i="2"/>
  <c r="AM6852" i="2"/>
  <c r="AL6852" i="2"/>
  <c r="AL6853" i="2"/>
  <c r="AM6853" i="2"/>
  <c r="AL6854" i="2"/>
  <c r="AM6854" i="2"/>
  <c r="AL6855" i="2"/>
  <c r="AM6855" i="2"/>
  <c r="AM6856" i="2"/>
  <c r="AL6856" i="2"/>
  <c r="AM6857" i="2"/>
  <c r="AL6857" i="2"/>
  <c r="AM6858" i="2"/>
  <c r="AL6858" i="2"/>
  <c r="AM6859" i="2"/>
  <c r="AL6859" i="2"/>
  <c r="AM6860" i="2"/>
  <c r="AL6860" i="2"/>
  <c r="AM6861" i="2"/>
  <c r="AL6861" i="2"/>
  <c r="AL6862" i="2"/>
  <c r="AM6862" i="2"/>
  <c r="AM6863" i="2"/>
  <c r="AL6863" i="2"/>
  <c r="AM6864" i="2"/>
  <c r="AL6864" i="2"/>
  <c r="AM6865" i="2"/>
  <c r="AL6865" i="2"/>
  <c r="AL6866" i="2"/>
  <c r="AM6866" i="2"/>
  <c r="AL6867" i="2"/>
  <c r="AM6867" i="2"/>
  <c r="AM6868" i="2"/>
  <c r="AL6868" i="2"/>
  <c r="AM6869" i="2"/>
  <c r="AL6869" i="2"/>
  <c r="AL6870" i="2"/>
  <c r="AM6870" i="2"/>
  <c r="AM6871" i="2"/>
  <c r="AL6871" i="2"/>
  <c r="AM6872" i="2"/>
  <c r="AL6872" i="2"/>
  <c r="AM6873" i="2"/>
  <c r="AL6873" i="2"/>
  <c r="AM6874" i="2"/>
  <c r="AL6874" i="2"/>
  <c r="AL6875" i="2"/>
  <c r="AM6875" i="2"/>
  <c r="AL6876" i="2"/>
  <c r="AM6876" i="2"/>
  <c r="AL6877" i="2"/>
  <c r="AM6877" i="2"/>
  <c r="AL6878" i="2"/>
  <c r="AM6878" i="2"/>
  <c r="AL6879" i="2"/>
  <c r="AM6879" i="2"/>
  <c r="AM6880" i="2"/>
  <c r="AL6880" i="2"/>
  <c r="AL6881" i="2"/>
  <c r="AM6881" i="2"/>
  <c r="AL6882" i="2"/>
  <c r="AM6882" i="2"/>
  <c r="AL6883" i="2"/>
  <c r="AM6883" i="2"/>
  <c r="AL6884" i="2"/>
  <c r="AM6884" i="2"/>
  <c r="AL6885" i="2"/>
  <c r="AM6885" i="2"/>
  <c r="AM6886" i="2"/>
  <c r="AL6886" i="2"/>
  <c r="AM6887" i="2"/>
  <c r="AL6887" i="2"/>
  <c r="AL6888" i="2"/>
  <c r="AM6888" i="2"/>
  <c r="AM6889" i="2"/>
  <c r="AL6889" i="2"/>
  <c r="AM6890" i="2"/>
  <c r="AL6890" i="2"/>
  <c r="AL6891" i="2"/>
  <c r="AM6891" i="2"/>
  <c r="AM6892" i="2"/>
  <c r="AL6892" i="2"/>
  <c r="AL6893" i="2"/>
  <c r="AM6893" i="2"/>
  <c r="AL6894" i="2"/>
  <c r="AM6894" i="2"/>
  <c r="AL6895" i="2"/>
  <c r="AM6895" i="2"/>
  <c r="AL6896" i="2"/>
  <c r="AM6896" i="2"/>
  <c r="AM6897" i="2"/>
  <c r="AL6897" i="2"/>
  <c r="AM6898" i="2"/>
  <c r="AL6898" i="2"/>
  <c r="AM6899" i="2"/>
  <c r="AL6899" i="2"/>
  <c r="AM6900" i="2"/>
  <c r="AL6900" i="2"/>
  <c r="AM6901" i="2"/>
  <c r="AL6901" i="2"/>
  <c r="AL6902" i="2"/>
  <c r="AM6902" i="2"/>
  <c r="AM6903" i="2"/>
  <c r="AL6903" i="2"/>
  <c r="AL6904" i="2"/>
  <c r="AM6904" i="2"/>
  <c r="AM6905" i="2"/>
  <c r="AL6905" i="2"/>
  <c r="AL6906" i="2"/>
  <c r="AM6906" i="2"/>
  <c r="AM6907" i="2"/>
  <c r="AL6907" i="2"/>
  <c r="AM6908" i="2"/>
  <c r="AL6908" i="2"/>
  <c r="AM6909" i="2"/>
  <c r="AL6909" i="2"/>
  <c r="AM6910" i="2"/>
  <c r="AL6910" i="2"/>
  <c r="AL6911" i="2"/>
  <c r="AM6911" i="2"/>
  <c r="AM6912" i="2"/>
  <c r="AL6912" i="2"/>
  <c r="AL6913" i="2"/>
  <c r="AM6913" i="2"/>
  <c r="AM6914" i="2"/>
  <c r="AL6914" i="2"/>
  <c r="AL6915" i="2"/>
  <c r="AM6915" i="2"/>
  <c r="AM6916" i="2"/>
  <c r="AL6916" i="2"/>
  <c r="AM6917" i="2"/>
  <c r="AL6917" i="2"/>
  <c r="AM6918" i="2"/>
  <c r="AL6918" i="2"/>
  <c r="AL6919" i="2"/>
  <c r="AM6919" i="2"/>
  <c r="AM6920" i="2"/>
  <c r="AL6920" i="2"/>
  <c r="AM6921" i="2"/>
  <c r="AL6921" i="2"/>
  <c r="AL6922" i="2"/>
  <c r="AM6922" i="2"/>
  <c r="AL6923" i="2"/>
  <c r="AM6923" i="2"/>
  <c r="AM6924" i="2"/>
  <c r="AL6924" i="2"/>
  <c r="AL6925" i="2"/>
  <c r="AM6925" i="2"/>
  <c r="AI7" i="2"/>
  <c r="N10" i="3"/>
  <c r="D27" i="3"/>
  <c r="B14" i="3"/>
  <c r="U18" i="3"/>
  <c r="D12" i="3"/>
  <c r="P30" i="3"/>
  <c r="B27" i="3"/>
  <c r="N9" i="3"/>
  <c r="L5" i="3"/>
  <c r="J25" i="3"/>
  <c r="J19" i="3"/>
  <c r="I12" i="3"/>
  <c r="B13" i="3"/>
  <c r="C9" i="3"/>
  <c r="B16" i="3"/>
  <c r="U6" i="3"/>
  <c r="E25" i="3"/>
  <c r="C19" i="3"/>
  <c r="J17" i="3"/>
  <c r="N7" i="3"/>
  <c r="C21" i="3"/>
  <c r="F11" i="3"/>
  <c r="E6" i="3"/>
  <c r="AI19" i="2"/>
  <c r="R7" i="3"/>
  <c r="T17" i="3"/>
  <c r="N27" i="3"/>
  <c r="Q16" i="3"/>
  <c r="K15" i="3"/>
  <c r="M19" i="3"/>
  <c r="C8" i="3"/>
  <c r="M30" i="3"/>
  <c r="F20" i="3"/>
  <c r="U11" i="3"/>
  <c r="P5" i="3"/>
  <c r="J5" i="3"/>
  <c r="R11" i="3"/>
  <c r="Q8" i="3"/>
  <c r="S29" i="3"/>
  <c r="E30" i="3"/>
  <c r="M10" i="3"/>
  <c r="U14" i="3"/>
  <c r="AI15" i="2"/>
  <c r="J26" i="3"/>
  <c r="J10" i="3"/>
  <c r="H21" i="3"/>
  <c r="AI12" i="2"/>
  <c r="F25" i="3"/>
  <c r="F29" i="3"/>
  <c r="R28" i="3"/>
  <c r="H20" i="3"/>
  <c r="Q13" i="3"/>
  <c r="I19" i="3"/>
  <c r="D16" i="3"/>
  <c r="AI18" i="2"/>
  <c r="B6" i="3"/>
  <c r="I26" i="3"/>
  <c r="T8" i="3"/>
  <c r="O30" i="3"/>
  <c r="E8" i="3"/>
  <c r="I29" i="3"/>
  <c r="K16" i="3"/>
  <c r="T23" i="3"/>
  <c r="B21" i="3"/>
  <c r="R17" i="3"/>
  <c r="U20" i="3"/>
  <c r="O29" i="3"/>
  <c r="H6" i="3"/>
  <c r="G15" i="3"/>
  <c r="S27" i="3"/>
  <c r="O11" i="3"/>
  <c r="L14" i="3"/>
  <c r="B12" i="3"/>
  <c r="AI14" i="2"/>
  <c r="D21" i="3"/>
  <c r="I25" i="3"/>
  <c r="C14" i="3"/>
  <c r="O19" i="3"/>
  <c r="Q21" i="3"/>
  <c r="M20" i="3"/>
  <c r="R27" i="3"/>
  <c r="H30" i="3"/>
  <c r="Q26" i="3"/>
  <c r="N15" i="3"/>
  <c r="L17" i="3"/>
  <c r="K13" i="3"/>
  <c r="I5" i="3"/>
  <c r="K18" i="3"/>
  <c r="G13" i="3"/>
  <c r="P27" i="3"/>
  <c r="U15" i="3"/>
  <c r="S25" i="3"/>
  <c r="H24" i="3"/>
  <c r="D9" i="3"/>
  <c r="T19" i="3"/>
  <c r="U25" i="3"/>
  <c r="P20" i="3"/>
  <c r="AI11" i="2"/>
  <c r="S24" i="3"/>
  <c r="F16" i="3"/>
  <c r="O20" i="3"/>
  <c r="G7" i="3"/>
  <c r="F12" i="3"/>
  <c r="C11" i="3"/>
  <c r="C20" i="3"/>
  <c r="B26" i="3"/>
  <c r="L31" i="3"/>
  <c r="E24" i="3"/>
  <c r="N11" i="3"/>
  <c r="B9" i="3"/>
  <c r="P24" i="3"/>
  <c r="B31" i="3"/>
  <c r="P21" i="3"/>
  <c r="L8" i="3"/>
  <c r="B23" i="3"/>
  <c r="S26" i="3"/>
  <c r="U26" i="3"/>
  <c r="R30" i="3"/>
  <c r="S13" i="3"/>
  <c r="Q31" i="3"/>
  <c r="Q18" i="3"/>
  <c r="M5" i="3"/>
  <c r="S8" i="3"/>
  <c r="J29" i="3"/>
  <c r="J20" i="3"/>
  <c r="F28" i="3"/>
  <c r="J15" i="3"/>
  <c r="H25" i="3"/>
  <c r="J6" i="3"/>
  <c r="J12" i="3"/>
  <c r="AI24" i="2"/>
  <c r="O31" i="3"/>
  <c r="U17" i="3"/>
  <c r="R23" i="3"/>
  <c r="T20" i="3"/>
  <c r="K21" i="3"/>
  <c r="L22" i="3"/>
  <c r="C24" i="3"/>
  <c r="C26" i="3"/>
  <c r="C30" i="3"/>
  <c r="U9" i="3"/>
  <c r="K17" i="3"/>
  <c r="N30" i="3"/>
  <c r="M12" i="3"/>
  <c r="J21" i="3"/>
  <c r="G24" i="3"/>
  <c r="H19" i="3"/>
  <c r="T9" i="3"/>
  <c r="K23" i="3"/>
  <c r="D20" i="3"/>
  <c r="P28" i="3"/>
  <c r="E16" i="3"/>
  <c r="P11" i="3"/>
  <c r="J11" i="3"/>
  <c r="H18" i="3"/>
  <c r="U12" i="3"/>
  <c r="F31" i="3"/>
  <c r="M6" i="3"/>
  <c r="O15" i="3"/>
  <c r="D14" i="3"/>
  <c r="E29" i="3"/>
  <c r="T5" i="3"/>
  <c r="L16" i="3"/>
  <c r="M9" i="3"/>
  <c r="B28" i="3"/>
  <c r="J18" i="3"/>
  <c r="B17" i="3"/>
  <c r="K28" i="3"/>
  <c r="K24" i="3"/>
  <c r="D18" i="3"/>
  <c r="P23" i="3"/>
  <c r="O8" i="3"/>
  <c r="U5" i="3"/>
  <c r="H13" i="3"/>
  <c r="AI21" i="2"/>
  <c r="M16" i="3"/>
  <c r="Q9" i="3"/>
  <c r="F8" i="3"/>
  <c r="S31" i="3"/>
  <c r="K19" i="3"/>
  <c r="O27" i="3"/>
  <c r="U19" i="3"/>
  <c r="D15" i="3"/>
  <c r="B22" i="3"/>
  <c r="L7" i="3"/>
  <c r="I6" i="3"/>
  <c r="H26" i="3"/>
  <c r="K6" i="3"/>
  <c r="I7" i="3"/>
  <c r="P31" i="3"/>
  <c r="C18" i="3"/>
  <c r="Q20" i="3"/>
  <c r="T14" i="3"/>
  <c r="H31" i="3"/>
  <c r="K25" i="3"/>
  <c r="C16" i="3"/>
  <c r="F22" i="3"/>
  <c r="B15" i="3"/>
  <c r="D22" i="3"/>
  <c r="S11" i="3"/>
  <c r="T12" i="3"/>
  <c r="T15" i="3"/>
  <c r="C31" i="3"/>
  <c r="S12" i="3"/>
  <c r="S16" i="3"/>
  <c r="R20" i="3"/>
  <c r="O17" i="3"/>
  <c r="G16" i="3"/>
  <c r="E23" i="3"/>
  <c r="T30" i="3"/>
  <c r="O18" i="3"/>
  <c r="R24" i="3"/>
  <c r="F27" i="3"/>
  <c r="M7" i="3"/>
  <c r="R5" i="3"/>
  <c r="Q5" i="3"/>
  <c r="D25" i="3"/>
  <c r="P16" i="3"/>
  <c r="D17" i="3"/>
  <c r="G17" i="3"/>
  <c r="G30" i="3"/>
  <c r="P17" i="3"/>
  <c r="K8" i="3"/>
  <c r="AI13" i="2"/>
  <c r="Q23" i="3"/>
  <c r="L9" i="3"/>
  <c r="M25" i="3"/>
  <c r="C17" i="3"/>
  <c r="D24" i="3"/>
  <c r="M28" i="3"/>
  <c r="B8" i="3"/>
  <c r="P25" i="3"/>
  <c r="M29" i="3"/>
  <c r="T18" i="3"/>
  <c r="D23" i="3"/>
  <c r="N26" i="3"/>
  <c r="B7" i="3"/>
  <c r="P9" i="3"/>
  <c r="K5" i="3"/>
  <c r="Q6" i="3"/>
  <c r="P8" i="3"/>
  <c r="E26" i="3"/>
  <c r="F19" i="3"/>
  <c r="H27" i="3"/>
  <c r="N16" i="3"/>
  <c r="AI26" i="2"/>
  <c r="I14" i="3"/>
  <c r="E31" i="3"/>
  <c r="AI6" i="2"/>
  <c r="AI5" i="2"/>
  <c r="U16" i="3"/>
  <c r="D10" i="3"/>
  <c r="G5" i="3"/>
  <c r="L11" i="3"/>
  <c r="R21" i="3"/>
  <c r="O16" i="3"/>
  <c r="AI9" i="2"/>
  <c r="C25" i="3"/>
  <c r="G22" i="3"/>
  <c r="D8" i="3"/>
  <c r="G8" i="3"/>
  <c r="O10" i="3"/>
  <c r="S28" i="3"/>
  <c r="N23" i="3"/>
  <c r="H8" i="3"/>
  <c r="H11" i="3"/>
  <c r="S6" i="3"/>
  <c r="R25" i="3"/>
  <c r="I8" i="3"/>
  <c r="N28" i="3"/>
  <c r="I31" i="3"/>
  <c r="E18" i="3"/>
  <c r="Q28" i="3"/>
  <c r="L25" i="3"/>
  <c r="K9" i="3"/>
  <c r="T6" i="3"/>
  <c r="R15" i="3"/>
  <c r="L21" i="3"/>
  <c r="K14" i="3"/>
  <c r="J7" i="3"/>
  <c r="O24" i="3"/>
  <c r="K11" i="3"/>
  <c r="G12" i="3"/>
  <c r="N5" i="3"/>
  <c r="N8" i="3"/>
  <c r="AI22" i="2"/>
  <c r="K29" i="3"/>
  <c r="I18" i="3"/>
  <c r="I21" i="3"/>
  <c r="J30" i="3"/>
  <c r="H17" i="3"/>
  <c r="O6" i="3"/>
  <c r="Q10" i="3"/>
  <c r="G26" i="3"/>
  <c r="H5" i="3"/>
  <c r="AI17" i="2"/>
  <c r="U28" i="3"/>
  <c r="I17" i="3"/>
  <c r="D31" i="3"/>
  <c r="R14" i="3"/>
  <c r="T27" i="3"/>
  <c r="K26" i="3"/>
  <c r="G23" i="3"/>
  <c r="G6" i="3"/>
  <c r="AI23" i="2"/>
  <c r="P29" i="3"/>
  <c r="H15" i="3"/>
  <c r="M24" i="3"/>
  <c r="Q17" i="3"/>
  <c r="T7" i="3"/>
  <c r="H12" i="3"/>
  <c r="J13" i="3"/>
  <c r="I28" i="3"/>
  <c r="AI4" i="2"/>
  <c r="U22" i="3"/>
  <c r="E19" i="3"/>
  <c r="B24" i="3"/>
  <c r="R6" i="3"/>
  <c r="C15" i="3"/>
  <c r="B30" i="3"/>
  <c r="L23" i="3"/>
  <c r="G29" i="3"/>
  <c r="N18" i="3"/>
  <c r="Q11" i="3"/>
  <c r="M13" i="3"/>
  <c r="P19" i="3"/>
  <c r="R18" i="3"/>
  <c r="T25" i="3"/>
  <c r="T10" i="3"/>
  <c r="Q29" i="3"/>
  <c r="D26" i="3"/>
  <c r="M8" i="3"/>
  <c r="J28" i="3"/>
  <c r="AI20" i="2"/>
  <c r="U21" i="3"/>
  <c r="C6" i="3"/>
  <c r="O25" i="3"/>
  <c r="P7" i="3"/>
  <c r="K10" i="3"/>
  <c r="H10" i="3"/>
  <c r="L15" i="3"/>
  <c r="L13" i="3"/>
  <c r="T16" i="3"/>
  <c r="N31" i="3"/>
  <c r="H29" i="3"/>
  <c r="R10" i="3"/>
  <c r="AI27" i="2"/>
  <c r="S20" i="3"/>
  <c r="N22" i="3"/>
  <c r="S30" i="3"/>
  <c r="R31" i="3"/>
  <c r="P22" i="3"/>
  <c r="M31" i="3"/>
  <c r="E12" i="3"/>
  <c r="Q19" i="3"/>
  <c r="E21" i="3"/>
  <c r="F6" i="3"/>
  <c r="S5" i="3"/>
  <c r="L29" i="3"/>
  <c r="U30" i="3"/>
  <c r="Q22" i="3"/>
  <c r="S21" i="3"/>
  <c r="C23" i="3"/>
  <c r="N21" i="3"/>
  <c r="L27" i="3"/>
  <c r="AI29" i="2"/>
  <c r="I23" i="3"/>
  <c r="P12" i="3"/>
  <c r="K27" i="3"/>
  <c r="R13" i="3"/>
  <c r="N25" i="3"/>
  <c r="S17" i="3"/>
  <c r="S10" i="3"/>
  <c r="C10" i="3"/>
  <c r="N20" i="3"/>
  <c r="P10" i="3"/>
  <c r="AI10" i="2"/>
  <c r="L26" i="3"/>
  <c r="T29" i="3"/>
  <c r="I11" i="3"/>
  <c r="H23" i="3"/>
  <c r="E20" i="3"/>
  <c r="S7" i="3"/>
  <c r="M23" i="3"/>
  <c r="M15" i="3"/>
  <c r="E14" i="3"/>
  <c r="B18" i="3"/>
  <c r="M11" i="3"/>
  <c r="H7" i="3"/>
  <c r="C12" i="3"/>
  <c r="E15" i="3"/>
  <c r="D7" i="3"/>
  <c r="N19" i="3"/>
  <c r="L28" i="3"/>
  <c r="U8" i="3"/>
  <c r="M18" i="3"/>
  <c r="F23" i="3"/>
  <c r="K7" i="3"/>
  <c r="I15" i="3"/>
  <c r="D6" i="3"/>
  <c r="T11" i="3"/>
  <c r="G31" i="3"/>
  <c r="S19" i="3"/>
  <c r="D5" i="3"/>
  <c r="S15" i="3"/>
  <c r="M26" i="3"/>
  <c r="G20" i="3"/>
  <c r="M21" i="3"/>
  <c r="B25" i="3"/>
  <c r="F13" i="3"/>
  <c r="D28" i="3"/>
  <c r="L10" i="3"/>
  <c r="Q7" i="3"/>
  <c r="D11" i="3"/>
  <c r="G9" i="3"/>
  <c r="Q27" i="3"/>
  <c r="J27" i="3"/>
  <c r="P26" i="3"/>
  <c r="I24" i="3"/>
  <c r="J16" i="3"/>
  <c r="B19" i="3"/>
  <c r="K31" i="3"/>
  <c r="F30" i="3"/>
  <c r="L6" i="3"/>
  <c r="B10" i="3"/>
  <c r="S23" i="3"/>
  <c r="K20" i="3"/>
  <c r="D13" i="3"/>
  <c r="G25" i="3"/>
  <c r="N17" i="3"/>
  <c r="J14" i="3"/>
  <c r="U10" i="3"/>
  <c r="P14" i="3"/>
  <c r="C29" i="3"/>
  <c r="Q12" i="3"/>
  <c r="J31" i="3"/>
  <c r="B5" i="3"/>
  <c r="D30" i="3"/>
  <c r="U27" i="3"/>
  <c r="O21" i="3"/>
  <c r="O14" i="3"/>
  <c r="T21" i="3"/>
  <c r="O9" i="3"/>
  <c r="R9" i="3"/>
  <c r="I16" i="3"/>
  <c r="O7" i="3"/>
  <c r="L20" i="3"/>
  <c r="G19" i="3"/>
  <c r="C28" i="3"/>
  <c r="P13" i="3"/>
  <c r="T13" i="3"/>
  <c r="AI8" i="2"/>
  <c r="F17" i="3"/>
  <c r="I13" i="3"/>
  <c r="U23" i="3"/>
  <c r="M17" i="3"/>
  <c r="T22" i="3"/>
  <c r="T24" i="3"/>
  <c r="R8" i="3"/>
  <c r="K30" i="3"/>
  <c r="P18" i="3"/>
  <c r="O26" i="3"/>
  <c r="D19" i="3"/>
  <c r="L30" i="3"/>
  <c r="Q24" i="3"/>
  <c r="I20" i="3"/>
  <c r="I30" i="3"/>
  <c r="F15" i="3"/>
  <c r="R16" i="3"/>
  <c r="D29" i="3"/>
  <c r="E11" i="3"/>
  <c r="S14" i="3"/>
  <c r="K12" i="3"/>
  <c r="H22" i="3"/>
  <c r="L18" i="3"/>
  <c r="E7" i="3"/>
  <c r="O12" i="3"/>
  <c r="S22" i="3"/>
  <c r="E28" i="3"/>
  <c r="T31" i="3"/>
  <c r="N24" i="3"/>
  <c r="J9" i="3"/>
  <c r="S9" i="3"/>
  <c r="M14" i="3"/>
  <c r="E13" i="3"/>
  <c r="C5" i="3"/>
  <c r="G10" i="3"/>
  <c r="AI25" i="2"/>
  <c r="E22" i="3"/>
  <c r="K22" i="3"/>
  <c r="P6" i="3"/>
  <c r="E9" i="3"/>
  <c r="R29" i="3"/>
  <c r="F7" i="3"/>
  <c r="L12" i="3"/>
  <c r="N6" i="3"/>
  <c r="B29" i="3"/>
  <c r="E27" i="3"/>
  <c r="F10" i="3"/>
  <c r="H16" i="3"/>
  <c r="E5" i="3"/>
  <c r="N29" i="3"/>
  <c r="M22" i="3"/>
  <c r="R12" i="3"/>
  <c r="F9" i="3"/>
  <c r="O13" i="3"/>
  <c r="G11" i="3"/>
  <c r="O5" i="3"/>
  <c r="I9" i="3"/>
  <c r="J8" i="3"/>
  <c r="F26" i="3"/>
  <c r="E10" i="3"/>
  <c r="U31" i="3"/>
  <c r="T28" i="3"/>
  <c r="J23" i="3"/>
  <c r="O28" i="3"/>
  <c r="G14" i="3"/>
  <c r="B20" i="3"/>
  <c r="G18" i="3"/>
  <c r="R26" i="3"/>
  <c r="G27" i="3"/>
  <c r="C27" i="3"/>
  <c r="O22" i="3"/>
  <c r="C13" i="3"/>
  <c r="Q14" i="3"/>
  <c r="G28" i="3"/>
  <c r="U7" i="3"/>
  <c r="N14" i="3"/>
  <c r="R19" i="3"/>
  <c r="Q30" i="3"/>
  <c r="C7" i="3"/>
  <c r="F24" i="3"/>
  <c r="C22" i="3"/>
  <c r="S18" i="3"/>
  <c r="U29" i="3"/>
  <c r="Q25" i="3"/>
  <c r="B11" i="3"/>
  <c r="I10" i="3"/>
  <c r="T26" i="3"/>
  <c r="U13" i="3"/>
  <c r="F18" i="3"/>
  <c r="J22" i="3"/>
  <c r="M27" i="3"/>
  <c r="I22" i="3"/>
  <c r="J24" i="3"/>
  <c r="G21" i="3"/>
  <c r="N13" i="3"/>
  <c r="N12" i="3"/>
  <c r="AI28" i="2"/>
  <c r="H14" i="3"/>
  <c r="R22" i="3"/>
  <c r="AI16" i="2"/>
  <c r="E17" i="3"/>
  <c r="H28" i="3"/>
  <c r="F21" i="3"/>
  <c r="L19" i="3"/>
  <c r="F14" i="3"/>
  <c r="O23" i="3"/>
  <c r="I27" i="3"/>
  <c r="H9" i="3"/>
  <c r="L24" i="3"/>
  <c r="Q15" i="3"/>
  <c r="P15" i="3"/>
  <c r="F5" i="3"/>
  <c r="U24" i="3"/>
</calcChain>
</file>

<file path=xl/comments1.xml><?xml version="1.0" encoding="utf-8"?>
<comments xmlns="http://schemas.openxmlformats.org/spreadsheetml/2006/main">
  <authors>
    <author>FONDI STEFANO</author>
  </authors>
  <commentList>
    <comment ref="N23" authorId="0">
      <text>
        <r>
          <rPr>
            <b/>
            <sz val="9"/>
            <color indexed="81"/>
            <rFont val="Tahoma"/>
            <family val="2"/>
          </rPr>
          <t>FONDI STEFANO: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<sst xmlns="http://schemas.openxmlformats.org/spreadsheetml/2006/main" count="1105" uniqueCount="302">
  <si>
    <t>O/N</t>
  </si>
  <si>
    <t>0x6 o/n</t>
  </si>
  <si>
    <t>T/N</t>
  </si>
  <si>
    <t>0x6 t/n</t>
  </si>
  <si>
    <t>S/N</t>
  </si>
  <si>
    <t>0x6 s/n</t>
  </si>
  <si>
    <t>1W</t>
  </si>
  <si>
    <t>0x6 over 1w</t>
  </si>
  <si>
    <t>2W</t>
  </si>
  <si>
    <t>0x6 over 2w</t>
  </si>
  <si>
    <t>3W</t>
  </si>
  <si>
    <t>0x6 over 3w</t>
  </si>
  <si>
    <t>1M</t>
  </si>
  <si>
    <t>1x7</t>
  </si>
  <si>
    <t>2M</t>
  </si>
  <si>
    <t>2x8</t>
  </si>
  <si>
    <t>3M</t>
  </si>
  <si>
    <t>3x9</t>
  </si>
  <si>
    <t>4M</t>
  </si>
  <si>
    <t>4x10</t>
  </si>
  <si>
    <t>5M</t>
  </si>
  <si>
    <t>5x11</t>
  </si>
  <si>
    <t>6M</t>
  </si>
  <si>
    <t>6x12</t>
  </si>
  <si>
    <t>7M</t>
  </si>
  <si>
    <t>7x13</t>
  </si>
  <si>
    <t>8M</t>
  </si>
  <si>
    <t>8x14</t>
  </si>
  <si>
    <t>9M</t>
  </si>
  <si>
    <t>9x15</t>
  </si>
  <si>
    <t>10M</t>
  </si>
  <si>
    <t>10x16</t>
  </si>
  <si>
    <t>11M</t>
  </si>
  <si>
    <t>11x17</t>
  </si>
  <si>
    <t>1Y</t>
  </si>
  <si>
    <t>12x18</t>
  </si>
  <si>
    <t>13M</t>
  </si>
  <si>
    <t>13x19</t>
  </si>
  <si>
    <t>14M</t>
  </si>
  <si>
    <t>14x20</t>
  </si>
  <si>
    <t>15M</t>
  </si>
  <si>
    <t>15x21</t>
  </si>
  <si>
    <t>16M</t>
  </si>
  <si>
    <t>16x22</t>
  </si>
  <si>
    <t>17M</t>
  </si>
  <si>
    <t>17x23</t>
  </si>
  <si>
    <t>18M</t>
  </si>
  <si>
    <t>18x24</t>
  </si>
  <si>
    <t>19M</t>
  </si>
  <si>
    <t>19x25</t>
  </si>
  <si>
    <t>20M</t>
  </si>
  <si>
    <t>20x26</t>
  </si>
  <si>
    <t>21M</t>
  </si>
  <si>
    <t>21x27</t>
  </si>
  <si>
    <t>22M</t>
  </si>
  <si>
    <t>22x28</t>
  </si>
  <si>
    <t>23M</t>
  </si>
  <si>
    <t>23x29</t>
  </si>
  <si>
    <t>2Y</t>
  </si>
  <si>
    <t>24x30</t>
  </si>
  <si>
    <t>3y</t>
  </si>
  <si>
    <t>4y</t>
  </si>
  <si>
    <t>Paolo</t>
  </si>
  <si>
    <t>fra</t>
  </si>
  <si>
    <t>swap</t>
  </si>
  <si>
    <t>3m</t>
  </si>
  <si>
    <t>6m</t>
  </si>
  <si>
    <t>9m</t>
  </si>
  <si>
    <t>1y</t>
  </si>
  <si>
    <t>18m</t>
  </si>
  <si>
    <t>2y</t>
  </si>
  <si>
    <t>depo</t>
  </si>
  <si>
    <t>Luca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</si>
  <si>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</si>
  <si>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</si>
  <si>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</si>
  <si>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</si>
  <si>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</si>
  <si>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</si>
  <si>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</si>
  <si>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</si>
  <si>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</si>
  <si>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</si>
  <si>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</si>
  <si>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</si>
  <si>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Marco</t>
  </si>
  <si>
    <t>Y</t>
  </si>
  <si>
    <t>FRA</t>
  </si>
  <si>
    <t>SWP</t>
  </si>
  <si>
    <t>0D</t>
  </si>
  <si>
    <t>1D</t>
  </si>
  <si>
    <t>2D</t>
  </si>
  <si>
    <t>TARGET</t>
  </si>
  <si>
    <t>Actual/360</t>
  </si>
  <si>
    <t>Start</t>
  </si>
  <si>
    <t>End</t>
  </si>
  <si>
    <t>30/360 (Bond Basis)</t>
  </si>
  <si>
    <t>setValue</t>
  </si>
  <si>
    <t>Modified Following</t>
  </si>
  <si>
    <t>Ratehelper</t>
  </si>
  <si>
    <t>Select</t>
  </si>
  <si>
    <t>ZeroYield</t>
  </si>
  <si>
    <t>tenor</t>
  </si>
  <si>
    <t>ID</t>
  </si>
  <si>
    <t>rate</t>
  </si>
  <si>
    <t>fwd start</t>
  </si>
  <si>
    <t>daycount</t>
  </si>
  <si>
    <t>spread</t>
  </si>
  <si>
    <t>obj</t>
  </si>
  <si>
    <t>shift</t>
  </si>
  <si>
    <t>Payment Date</t>
  </si>
  <si>
    <t>Amount</t>
  </si>
  <si>
    <t>Nominal</t>
  </si>
  <si>
    <t>Accrual Start Date</t>
  </si>
  <si>
    <t>Accrual End Date</t>
  </si>
  <si>
    <t>Accrual Days</t>
  </si>
  <si>
    <t>Index</t>
  </si>
  <si>
    <t>Fixing Days</t>
  </si>
  <si>
    <t>Fixing Dates</t>
  </si>
  <si>
    <t>Day Counter</t>
  </si>
  <si>
    <t>Accrual Period</t>
  </si>
  <si>
    <t>Effective Rate</t>
  </si>
  <si>
    <t>Floor</t>
  </si>
  <si>
    <t>Gearing</t>
  </si>
  <si>
    <t>Index Fixing</t>
  </si>
  <si>
    <t>Conv. Adj.</t>
  </si>
  <si>
    <t>Spread</t>
  </si>
  <si>
    <t>Cap</t>
  </si>
  <si>
    <t>Call Digital Payoff</t>
  </si>
  <si>
    <t>Put Digital Payoff</t>
  </si>
  <si>
    <t>#N/A</t>
  </si>
  <si>
    <t>y</t>
  </si>
  <si>
    <t>trigger</t>
  </si>
  <si>
    <t>IMM</t>
  </si>
  <si>
    <t>IMM 1</t>
  </si>
  <si>
    <t>IMM 2</t>
  </si>
  <si>
    <t>IMM 3</t>
  </si>
  <si>
    <t>IMM 4</t>
  </si>
  <si>
    <t>IMM 5</t>
  </si>
  <si>
    <t>IMM 6</t>
  </si>
  <si>
    <t>IMM 7</t>
  </si>
  <si>
    <t>IMM 8</t>
  </si>
  <si>
    <t>futures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</si>
  <si>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</si>
  <si>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</si>
  <si>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</si>
  <si>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</si>
  <si>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</si>
  <si>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</si>
  <si>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</si>
  <si>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</si>
  <si>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</si>
  <si>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</si>
  <si>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</si>
  <si>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</si>
  <si>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</si>
  <si>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</si>
  <si>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</si>
  <si>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</si>
  <si>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</si>
  <si>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</si>
  <si>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</si>
  <si>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</si>
  <si>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</si>
  <si>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</si>
  <si>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</si>
  <si>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</si>
  <si>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50y</t>
  </si>
  <si>
    <t>60y</t>
  </si>
  <si>
    <t>Tommaso</t>
  </si>
  <si>
    <t>DeskVola</t>
  </si>
  <si>
    <t>Instrument</t>
  </si>
  <si>
    <t>Linear</t>
  </si>
  <si>
    <t>Quote Name</t>
  </si>
  <si>
    <t>Quote Obj</t>
  </si>
  <si>
    <t>Composite Name</t>
  </si>
  <si>
    <t>Composite Quote Obj</t>
  </si>
  <si>
    <t>Calculate</t>
  </si>
  <si>
    <t>Quote bump</t>
  </si>
  <si>
    <t>Value</t>
  </si>
  <si>
    <t>Fixing Date</t>
  </si>
  <si>
    <t>Value Date</t>
  </si>
  <si>
    <t>Fwd</t>
  </si>
  <si>
    <t>Calendar</t>
  </si>
  <si>
    <t>Traits</t>
  </si>
  <si>
    <t>Interp</t>
  </si>
  <si>
    <t>Curve</t>
  </si>
  <si>
    <t>Tenor</t>
  </si>
  <si>
    <t>Eval Date</t>
  </si>
  <si>
    <t>RH Selected</t>
  </si>
  <si>
    <t>FUT</t>
  </si>
  <si>
    <t>Index Curve</t>
  </si>
  <si>
    <t>Fix Date</t>
  </si>
  <si>
    <t>Euribor6M Actual/360</t>
  </si>
  <si>
    <t>Deal Maturity</t>
  </si>
  <si>
    <t>Rate/Price</t>
  </si>
  <si>
    <t>Type</t>
  </si>
  <si>
    <t>Original</t>
  </si>
  <si>
    <t>Bumped</t>
  </si>
  <si>
    <t>DealFixDate</t>
  </si>
  <si>
    <t>Diff</t>
  </si>
  <si>
    <t>Maturity</t>
  </si>
  <si>
    <t>Instruments</t>
  </si>
  <si>
    <t>M</t>
  </si>
  <si>
    <t>DEPO</t>
  </si>
  <si>
    <t>ON</t>
  </si>
  <si>
    <t>TN</t>
  </si>
  <si>
    <t>SN</t>
  </si>
  <si>
    <t>Future Index</t>
  </si>
  <si>
    <t>Fra/Swap Index</t>
  </si>
  <si>
    <t>Sens</t>
  </si>
  <si>
    <t>45y</t>
  </si>
  <si>
    <t>Tommaso Improved</t>
  </si>
  <si>
    <t>OIS</t>
  </si>
  <si>
    <t>OIS Index</t>
  </si>
  <si>
    <t>ONDEPO</t>
  </si>
  <si>
    <t>TNDEPO</t>
  </si>
  <si>
    <t>SNDEPO</t>
  </si>
  <si>
    <t>1YSWP</t>
  </si>
  <si>
    <t>2YSWP</t>
  </si>
  <si>
    <t>3YSWP</t>
  </si>
  <si>
    <t>4YSWP</t>
  </si>
  <si>
    <t>5YSWP</t>
  </si>
  <si>
    <t>6YSWP</t>
  </si>
  <si>
    <t>7YSWP</t>
  </si>
  <si>
    <t>8YSWP</t>
  </si>
  <si>
    <t>9YSWP</t>
  </si>
  <si>
    <t>10YSWP</t>
  </si>
  <si>
    <t>11YSWP</t>
  </si>
  <si>
    <t>12YSWP</t>
  </si>
  <si>
    <t>13YSWP</t>
  </si>
  <si>
    <t>14YSWP</t>
  </si>
  <si>
    <t>15YSWP</t>
  </si>
  <si>
    <t>16YSWP</t>
  </si>
  <si>
    <t>17YSWP</t>
  </si>
  <si>
    <t>18YSWP</t>
  </si>
  <si>
    <t>19YSWP</t>
  </si>
  <si>
    <t>20YSWP</t>
  </si>
  <si>
    <t>21YSWP</t>
  </si>
  <si>
    <t>22YSWP</t>
  </si>
  <si>
    <t>23YSWP</t>
  </si>
  <si>
    <t>24YSWP</t>
  </si>
  <si>
    <t>25YSWP</t>
  </si>
  <si>
    <t>26YSWP</t>
  </si>
  <si>
    <t>27YSWP</t>
  </si>
  <si>
    <t>28YSWP</t>
  </si>
  <si>
    <t>29YSWP</t>
  </si>
  <si>
    <t>30YSWP</t>
  </si>
  <si>
    <t>2YOIS</t>
  </si>
  <si>
    <t>3YOIS</t>
  </si>
  <si>
    <t>4YOIS</t>
  </si>
  <si>
    <t>5YOIS</t>
  </si>
  <si>
    <t>6YOIS</t>
  </si>
  <si>
    <t>7YOIS</t>
  </si>
  <si>
    <t>8YOIS</t>
  </si>
  <si>
    <t>9YOIS</t>
  </si>
  <si>
    <t>10YOIS</t>
  </si>
  <si>
    <t>11YOIS</t>
  </si>
  <si>
    <t>12YOIS</t>
  </si>
  <si>
    <t>13YOIS</t>
  </si>
  <si>
    <t>14YOIS</t>
  </si>
  <si>
    <t>15YOIS</t>
  </si>
  <si>
    <t>16YOIS</t>
  </si>
  <si>
    <t>17YOIS</t>
  </si>
  <si>
    <t>18YOIS</t>
  </si>
  <si>
    <t>19YOIS</t>
  </si>
  <si>
    <t>20YOIS</t>
  </si>
  <si>
    <t>21YOIS</t>
  </si>
  <si>
    <t>22YOIS</t>
  </si>
  <si>
    <t>23YOIS</t>
  </si>
  <si>
    <t>24YOIS</t>
  </si>
  <si>
    <t>25YOIS</t>
  </si>
  <si>
    <t>26YOIS</t>
  </si>
  <si>
    <t>27YOIS</t>
  </si>
  <si>
    <t>28YOIS</t>
  </si>
  <si>
    <t>29YOIS</t>
  </si>
  <si>
    <t>30YOIS</t>
  </si>
  <si>
    <t>1MOIS</t>
  </si>
  <si>
    <t>2MOIS</t>
  </si>
  <si>
    <t>3MOIS</t>
  </si>
  <si>
    <t>4MOIS</t>
  </si>
  <si>
    <t>5MOIS</t>
  </si>
  <si>
    <t>6MOIS</t>
  </si>
  <si>
    <t>7MOIS</t>
  </si>
  <si>
    <t>8MOIS</t>
  </si>
  <si>
    <t>9MOIS</t>
  </si>
  <si>
    <t>10MOIS</t>
  </si>
  <si>
    <t>11MOIS</t>
  </si>
  <si>
    <t>12MOIS</t>
  </si>
  <si>
    <t>13MOIS</t>
  </si>
  <si>
    <t>14MOIS</t>
  </si>
  <si>
    <t>15MOIS</t>
  </si>
  <si>
    <t>16MOIS</t>
  </si>
  <si>
    <t>17MOIS</t>
  </si>
  <si>
    <t>18MOIS</t>
  </si>
  <si>
    <t>19MOIS</t>
  </si>
  <si>
    <t>20MOIS</t>
  </si>
  <si>
    <t>21MOIS</t>
  </si>
  <si>
    <t>22MOIS</t>
  </si>
  <si>
    <t>23MOIS</t>
  </si>
  <si>
    <t>SwapDesk</t>
  </si>
  <si>
    <t>DeskVol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</si>
</sst>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000%"/>
    <numFmt numFmtId="166" formatCode="0.0000"/>
    <numFmt numFmtId="167" formatCode="ddd\,\ dd\-mmm\-yyyy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ourier New"/>
      <family val="3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0" fillId="4" borderId="1" xfId="0" applyFill="1" applyBorder="1"/>
    <xf numFmtId="22" fontId="0" fillId="2" borderId="6" xfId="0" applyNumberFormat="1" applyFill="1" applyBorder="1"/>
    <xf numFmtId="0" fontId="0" fillId="3" borderId="0" xfId="0" applyFill="1"/>
    <xf numFmtId="0" fontId="0" fillId="4" borderId="6" xfId="0" applyFill="1" applyBorder="1"/>
    <xf numFmtId="0" fontId="4" fillId="3" borderId="0" xfId="0" applyFont="1" applyFill="1"/>
    <xf numFmtId="0" fontId="4" fillId="4" borderId="6" xfId="0" applyFont="1" applyFill="1" applyBorder="1"/>
    <xf numFmtId="0" fontId="4" fillId="2" borderId="6" xfId="0" applyFont="1" applyFill="1" applyBorder="1"/>
    <xf numFmtId="15" fontId="4" fillId="4" borderId="6" xfId="0" applyNumberFormat="1" applyFont="1" applyFill="1" applyBorder="1"/>
    <xf numFmtId="0" fontId="4" fillId="0" borderId="6" xfId="0" applyFont="1" applyBorder="1"/>
    <xf numFmtId="165" fontId="4" fillId="2" borderId="6" xfId="0" applyNumberFormat="1" applyFont="1" applyFill="1" applyBorder="1"/>
    <xf numFmtId="15" fontId="4" fillId="0" borderId="6" xfId="0" applyNumberFormat="1" applyFont="1" applyBorder="1"/>
    <xf numFmtId="0" fontId="4" fillId="0" borderId="7" xfId="0" applyFont="1" applyBorder="1"/>
    <xf numFmtId="15" fontId="4" fillId="0" borderId="7" xfId="0" applyNumberFormat="1" applyFont="1" applyBorder="1"/>
    <xf numFmtId="165" fontId="4" fillId="2" borderId="7" xfId="0" applyNumberFormat="1" applyFont="1" applyFill="1" applyBorder="1"/>
    <xf numFmtId="0" fontId="4" fillId="0" borderId="3" xfId="0" applyFont="1" applyBorder="1"/>
    <xf numFmtId="165" fontId="4" fillId="0" borderId="7" xfId="0" applyNumberFormat="1" applyFont="1" applyBorder="1"/>
    <xf numFmtId="0" fontId="4" fillId="0" borderId="8" xfId="0" applyFont="1" applyBorder="1"/>
    <xf numFmtId="15" fontId="4" fillId="0" borderId="8" xfId="0" applyNumberFormat="1" applyFont="1" applyBorder="1"/>
    <xf numFmtId="165" fontId="4" fillId="2" borderId="8" xfId="0" applyNumberFormat="1" applyFont="1" applyFill="1" applyBorder="1"/>
    <xf numFmtId="165" fontId="4" fillId="0" borderId="8" xfId="0" applyNumberFormat="1" applyFont="1" applyBorder="1"/>
    <xf numFmtId="0" fontId="4" fillId="0" borderId="8" xfId="0" quotePrefix="1" applyFont="1" applyBorder="1"/>
    <xf numFmtId="0" fontId="4" fillId="0" borderId="9" xfId="0" applyFont="1" applyBorder="1"/>
    <xf numFmtId="15" fontId="4" fillId="0" borderId="9" xfId="0" applyNumberFormat="1" applyFont="1" applyBorder="1"/>
    <xf numFmtId="165" fontId="4" fillId="2" borderId="9" xfId="0" applyNumberFormat="1" applyFont="1" applyFill="1" applyBorder="1"/>
    <xf numFmtId="0" fontId="4" fillId="0" borderId="9" xfId="0" quotePrefix="1" applyFont="1" applyBorder="1"/>
    <xf numFmtId="0" fontId="4" fillId="0" borderId="7" xfId="0" quotePrefix="1" applyFont="1" applyBorder="1"/>
    <xf numFmtId="0" fontId="4" fillId="3" borderId="0" xfId="0" applyFont="1" applyFill="1" applyBorder="1"/>
    <xf numFmtId="165" fontId="4" fillId="0" borderId="9" xfId="0" applyNumberFormat="1" applyFont="1" applyBorder="1"/>
    <xf numFmtId="0" fontId="4" fillId="3" borderId="0" xfId="0" applyFont="1" applyFill="1" applyAlignment="1">
      <alignment horizontal="right"/>
    </xf>
    <xf numFmtId="0" fontId="4" fillId="4" borderId="6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165" fontId="4" fillId="0" borderId="6" xfId="0" applyNumberFormat="1" applyFont="1" applyBorder="1"/>
    <xf numFmtId="0" fontId="4" fillId="4" borderId="6" xfId="0" applyFont="1" applyFill="1" applyBorder="1" applyAlignment="1">
      <alignment horizontal="center" vertical="center" wrapText="1"/>
    </xf>
    <xf numFmtId="167" fontId="4" fillId="0" borderId="8" xfId="0" applyNumberFormat="1" applyFont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0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167" fontId="4" fillId="0" borderId="9" xfId="0" applyNumberFormat="1" applyFont="1" applyBorder="1" applyAlignment="1">
      <alignment horizontal="center" vertical="center" wrapText="1"/>
    </xf>
    <xf numFmtId="164" fontId="4" fillId="0" borderId="9" xfId="0" applyNumberFormat="1" applyFont="1" applyBorder="1" applyAlignment="1">
      <alignment horizontal="center" vertical="center" wrapText="1"/>
    </xf>
    <xf numFmtId="3" fontId="4" fillId="0" borderId="9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166" fontId="4" fillId="0" borderId="9" xfId="0" applyNumberFormat="1" applyFont="1" applyBorder="1" applyAlignment="1">
      <alignment horizontal="center" vertical="center" wrapText="1"/>
    </xf>
    <xf numFmtId="165" fontId="4" fillId="0" borderId="9" xfId="0" applyNumberFormat="1" applyFont="1" applyBorder="1" applyAlignment="1">
      <alignment horizontal="center" vertical="center" wrapText="1"/>
    </xf>
    <xf numFmtId="9" fontId="4" fillId="0" borderId="9" xfId="0" applyNumberFormat="1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0" xfId="0" applyNumberFormat="1" applyFont="1" applyFill="1" applyAlignment="1">
      <alignment horizontal="center" vertical="center" wrapText="1"/>
    </xf>
    <xf numFmtId="0" fontId="4" fillId="3" borderId="0" xfId="0" applyNumberFormat="1" applyFont="1" applyFill="1"/>
    <xf numFmtId="167" fontId="4" fillId="3" borderId="0" xfId="0" applyNumberFormat="1" applyFont="1" applyFill="1"/>
    <xf numFmtId="164" fontId="4" fillId="3" borderId="0" xfId="0" applyNumberFormat="1" applyFont="1" applyFill="1"/>
    <xf numFmtId="3" fontId="4" fillId="3" borderId="0" xfId="0" applyNumberFormat="1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9" fontId="4" fillId="3" borderId="0" xfId="0" applyNumberFormat="1" applyFont="1" applyFill="1"/>
    <xf numFmtId="0" fontId="4" fillId="6" borderId="6" xfId="0" applyFont="1" applyFill="1" applyBorder="1"/>
    <xf numFmtId="166" fontId="4" fillId="2" borderId="8" xfId="0" applyNumberFormat="1" applyFont="1" applyFill="1" applyBorder="1"/>
    <xf numFmtId="15" fontId="4" fillId="0" borderId="7" xfId="0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15" fontId="4" fillId="0" borderId="8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5" fontId="4" fillId="0" borderId="9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10" xfId="0" applyFont="1" applyBorder="1"/>
    <xf numFmtId="0" fontId="4" fillId="0" borderId="10" xfId="0" applyFont="1" applyBorder="1" applyAlignment="1">
      <alignment horizontal="right"/>
    </xf>
    <xf numFmtId="15" fontId="4" fillId="0" borderId="10" xfId="0" applyNumberFormat="1" applyFont="1" applyBorder="1"/>
    <xf numFmtId="166" fontId="4" fillId="2" borderId="10" xfId="0" applyNumberFormat="1" applyFont="1" applyFill="1" applyBorder="1"/>
    <xf numFmtId="165" fontId="4" fillId="0" borderId="10" xfId="0" applyNumberFormat="1" applyFont="1" applyBorder="1"/>
    <xf numFmtId="165" fontId="4" fillId="2" borderId="10" xfId="0" applyNumberFormat="1" applyFont="1" applyFill="1" applyBorder="1"/>
    <xf numFmtId="0" fontId="4" fillId="0" borderId="10" xfId="0" quotePrefix="1" applyFont="1" applyBorder="1"/>
    <xf numFmtId="0" fontId="4" fillId="0" borderId="11" xfId="0" applyFont="1" applyBorder="1"/>
    <xf numFmtId="14" fontId="4" fillId="6" borderId="6" xfId="0" applyNumberFormat="1" applyFont="1" applyFill="1" applyBorder="1"/>
    <xf numFmtId="15" fontId="4" fillId="5" borderId="7" xfId="0" applyNumberFormat="1" applyFont="1" applyFill="1" applyBorder="1" applyAlignment="1">
      <alignment horizontal="center" vertical="center"/>
    </xf>
    <xf numFmtId="15" fontId="4" fillId="5" borderId="8" xfId="0" applyNumberFormat="1" applyFont="1" applyFill="1" applyBorder="1" applyAlignment="1">
      <alignment horizontal="center" vertical="center"/>
    </xf>
    <xf numFmtId="15" fontId="4" fillId="5" borderId="9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4" fillId="0" borderId="8" xfId="0" applyFont="1" applyFill="1" applyBorder="1"/>
    <xf numFmtId="0" fontId="4" fillId="0" borderId="12" xfId="0" applyFont="1" applyBorder="1"/>
    <xf numFmtId="0" fontId="4" fillId="0" borderId="12" xfId="0" applyFont="1" applyBorder="1" applyAlignment="1">
      <alignment horizontal="right"/>
    </xf>
    <xf numFmtId="15" fontId="4" fillId="0" borderId="12" xfId="0" applyNumberFormat="1" applyFont="1" applyBorder="1"/>
    <xf numFmtId="165" fontId="4" fillId="2" borderId="12" xfId="0" applyNumberFormat="1" applyFont="1" applyFill="1" applyBorder="1"/>
    <xf numFmtId="165" fontId="4" fillId="0" borderId="12" xfId="0" applyNumberFormat="1" applyFont="1" applyBorder="1"/>
    <xf numFmtId="0" fontId="4" fillId="0" borderId="13" xfId="0" applyFont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12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4" fillId="5" borderId="14" xfId="0" applyFont="1" applyFill="1" applyBorder="1"/>
    <xf numFmtId="0" fontId="4" fillId="5" borderId="3" xfId="0" applyFont="1" applyFill="1" applyBorder="1"/>
    <xf numFmtId="0" fontId="4" fillId="5" borderId="13" xfId="0" applyFont="1" applyFill="1" applyBorder="1"/>
    <xf numFmtId="0" fontId="4" fillId="4" borderId="7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4" fillId="5" borderId="2" xfId="0" applyFont="1" applyFill="1" applyBorder="1"/>
    <xf numFmtId="0" fontId="4" fillId="0" borderId="1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657002969178351E-2"/>
          <c:y val="2.8211001596828367E-2"/>
          <c:w val="0.88510873849333893"/>
          <c:h val="0.86042086522401484"/>
        </c:manualLayout>
      </c:layout>
      <c:scatterChart>
        <c:scatterStyle val="smoothMarker"/>
        <c:varyColors val="0"/>
        <c:ser>
          <c:idx val="0"/>
          <c:order val="0"/>
          <c:tx>
            <c:v>CurveFwd</c:v>
          </c:tx>
          <c:marker>
            <c:symbol val="none"/>
          </c:marker>
          <c:xVal>
            <c:numRef>
              <c:f>SensCalc!$AL$4:$AL$799</c:f>
              <c:numCache>
                <c:formatCode>d\-mmm\-yy</c:formatCode>
                <c:ptCount val="796"/>
                <c:pt idx="0">
                  <c:v>42551</c:v>
                </c:pt>
                <c:pt idx="1">
                  <c:v>42552</c:v>
                </c:pt>
                <c:pt idx="2">
                  <c:v>42555</c:v>
                </c:pt>
                <c:pt idx="3">
                  <c:v>42556</c:v>
                </c:pt>
                <c:pt idx="4">
                  <c:v>42557</c:v>
                </c:pt>
                <c:pt idx="5">
                  <c:v>42558</c:v>
                </c:pt>
                <c:pt idx="6">
                  <c:v>42559</c:v>
                </c:pt>
                <c:pt idx="7">
                  <c:v>42562</c:v>
                </c:pt>
                <c:pt idx="8">
                  <c:v>42563</c:v>
                </c:pt>
                <c:pt idx="9">
                  <c:v>42564</c:v>
                </c:pt>
                <c:pt idx="10">
                  <c:v>42565</c:v>
                </c:pt>
                <c:pt idx="11">
                  <c:v>42566</c:v>
                </c:pt>
                <c:pt idx="12">
                  <c:v>42569</c:v>
                </c:pt>
                <c:pt idx="13">
                  <c:v>42570</c:v>
                </c:pt>
                <c:pt idx="14">
                  <c:v>42571</c:v>
                </c:pt>
                <c:pt idx="15">
                  <c:v>42572</c:v>
                </c:pt>
                <c:pt idx="16">
                  <c:v>42573</c:v>
                </c:pt>
                <c:pt idx="17">
                  <c:v>42576</c:v>
                </c:pt>
                <c:pt idx="18">
                  <c:v>42577</c:v>
                </c:pt>
                <c:pt idx="19">
                  <c:v>42578</c:v>
                </c:pt>
                <c:pt idx="20">
                  <c:v>42579</c:v>
                </c:pt>
                <c:pt idx="21">
                  <c:v>42580</c:v>
                </c:pt>
                <c:pt idx="22">
                  <c:v>42583</c:v>
                </c:pt>
                <c:pt idx="23">
                  <c:v>42584</c:v>
                </c:pt>
                <c:pt idx="24">
                  <c:v>42585</c:v>
                </c:pt>
                <c:pt idx="25">
                  <c:v>42586</c:v>
                </c:pt>
                <c:pt idx="26">
                  <c:v>42587</c:v>
                </c:pt>
                <c:pt idx="27">
                  <c:v>42590</c:v>
                </c:pt>
                <c:pt idx="28">
                  <c:v>42591</c:v>
                </c:pt>
                <c:pt idx="29">
                  <c:v>42592</c:v>
                </c:pt>
                <c:pt idx="30">
                  <c:v>42593</c:v>
                </c:pt>
                <c:pt idx="31">
                  <c:v>42594</c:v>
                </c:pt>
                <c:pt idx="32">
                  <c:v>42597</c:v>
                </c:pt>
                <c:pt idx="33">
                  <c:v>42598</c:v>
                </c:pt>
                <c:pt idx="34">
                  <c:v>42599</c:v>
                </c:pt>
                <c:pt idx="35">
                  <c:v>42600</c:v>
                </c:pt>
                <c:pt idx="36">
                  <c:v>42601</c:v>
                </c:pt>
                <c:pt idx="37">
                  <c:v>42604</c:v>
                </c:pt>
                <c:pt idx="38">
                  <c:v>42605</c:v>
                </c:pt>
                <c:pt idx="39">
                  <c:v>42606</c:v>
                </c:pt>
                <c:pt idx="40">
                  <c:v>42607</c:v>
                </c:pt>
                <c:pt idx="41">
                  <c:v>42608</c:v>
                </c:pt>
                <c:pt idx="42">
                  <c:v>42611</c:v>
                </c:pt>
                <c:pt idx="43">
                  <c:v>42612</c:v>
                </c:pt>
                <c:pt idx="44">
                  <c:v>42613</c:v>
                </c:pt>
                <c:pt idx="45">
                  <c:v>42614</c:v>
                </c:pt>
                <c:pt idx="46">
                  <c:v>42615</c:v>
                </c:pt>
                <c:pt idx="47">
                  <c:v>42618</c:v>
                </c:pt>
                <c:pt idx="48">
                  <c:v>42619</c:v>
                </c:pt>
                <c:pt idx="49">
                  <c:v>42620</c:v>
                </c:pt>
                <c:pt idx="50">
                  <c:v>42621</c:v>
                </c:pt>
                <c:pt idx="51">
                  <c:v>42622</c:v>
                </c:pt>
                <c:pt idx="52">
                  <c:v>42625</c:v>
                </c:pt>
                <c:pt idx="53">
                  <c:v>42626</c:v>
                </c:pt>
                <c:pt idx="54">
                  <c:v>42627</c:v>
                </c:pt>
                <c:pt idx="55">
                  <c:v>42628</c:v>
                </c:pt>
                <c:pt idx="56">
                  <c:v>42629</c:v>
                </c:pt>
                <c:pt idx="57">
                  <c:v>42632</c:v>
                </c:pt>
                <c:pt idx="58">
                  <c:v>42633</c:v>
                </c:pt>
                <c:pt idx="59">
                  <c:v>42634</c:v>
                </c:pt>
                <c:pt idx="60">
                  <c:v>42635</c:v>
                </c:pt>
                <c:pt idx="61">
                  <c:v>42636</c:v>
                </c:pt>
                <c:pt idx="62">
                  <c:v>42639</c:v>
                </c:pt>
                <c:pt idx="63">
                  <c:v>42640</c:v>
                </c:pt>
                <c:pt idx="64">
                  <c:v>42641</c:v>
                </c:pt>
                <c:pt idx="65">
                  <c:v>42642</c:v>
                </c:pt>
                <c:pt idx="66">
                  <c:v>42643</c:v>
                </c:pt>
                <c:pt idx="67">
                  <c:v>42646</c:v>
                </c:pt>
                <c:pt idx="68">
                  <c:v>42647</c:v>
                </c:pt>
                <c:pt idx="69">
                  <c:v>42648</c:v>
                </c:pt>
                <c:pt idx="70">
                  <c:v>42649</c:v>
                </c:pt>
                <c:pt idx="71">
                  <c:v>42650</c:v>
                </c:pt>
                <c:pt idx="72">
                  <c:v>42653</c:v>
                </c:pt>
                <c:pt idx="73">
                  <c:v>42654</c:v>
                </c:pt>
                <c:pt idx="74">
                  <c:v>42655</c:v>
                </c:pt>
                <c:pt idx="75">
                  <c:v>42656</c:v>
                </c:pt>
                <c:pt idx="76">
                  <c:v>42657</c:v>
                </c:pt>
                <c:pt idx="77">
                  <c:v>42660</c:v>
                </c:pt>
                <c:pt idx="78">
                  <c:v>42661</c:v>
                </c:pt>
                <c:pt idx="79">
                  <c:v>42662</c:v>
                </c:pt>
                <c:pt idx="80">
                  <c:v>42663</c:v>
                </c:pt>
                <c:pt idx="81">
                  <c:v>42664</c:v>
                </c:pt>
                <c:pt idx="82">
                  <c:v>42667</c:v>
                </c:pt>
                <c:pt idx="83">
                  <c:v>42668</c:v>
                </c:pt>
                <c:pt idx="84">
                  <c:v>42669</c:v>
                </c:pt>
                <c:pt idx="85">
                  <c:v>42670</c:v>
                </c:pt>
                <c:pt idx="86">
                  <c:v>42671</c:v>
                </c:pt>
                <c:pt idx="87">
                  <c:v>42674</c:v>
                </c:pt>
                <c:pt idx="88">
                  <c:v>42675</c:v>
                </c:pt>
                <c:pt idx="89">
                  <c:v>42676</c:v>
                </c:pt>
                <c:pt idx="90">
                  <c:v>42677</c:v>
                </c:pt>
                <c:pt idx="91">
                  <c:v>42678</c:v>
                </c:pt>
                <c:pt idx="92">
                  <c:v>42681</c:v>
                </c:pt>
                <c:pt idx="93">
                  <c:v>42682</c:v>
                </c:pt>
                <c:pt idx="94">
                  <c:v>42683</c:v>
                </c:pt>
                <c:pt idx="95">
                  <c:v>42684</c:v>
                </c:pt>
                <c:pt idx="96">
                  <c:v>42685</c:v>
                </c:pt>
                <c:pt idx="97">
                  <c:v>42688</c:v>
                </c:pt>
                <c:pt idx="98">
                  <c:v>42689</c:v>
                </c:pt>
                <c:pt idx="99">
                  <c:v>42690</c:v>
                </c:pt>
                <c:pt idx="100">
                  <c:v>42691</c:v>
                </c:pt>
                <c:pt idx="101">
                  <c:v>42692</c:v>
                </c:pt>
                <c:pt idx="102">
                  <c:v>42695</c:v>
                </c:pt>
                <c:pt idx="103">
                  <c:v>42696</c:v>
                </c:pt>
                <c:pt idx="104">
                  <c:v>42697</c:v>
                </c:pt>
                <c:pt idx="105">
                  <c:v>42698</c:v>
                </c:pt>
                <c:pt idx="106">
                  <c:v>42699</c:v>
                </c:pt>
                <c:pt idx="107">
                  <c:v>42702</c:v>
                </c:pt>
                <c:pt idx="108">
                  <c:v>42703</c:v>
                </c:pt>
                <c:pt idx="109">
                  <c:v>42704</c:v>
                </c:pt>
                <c:pt idx="110">
                  <c:v>42705</c:v>
                </c:pt>
                <c:pt idx="111">
                  <c:v>42706</c:v>
                </c:pt>
                <c:pt idx="112">
                  <c:v>42709</c:v>
                </c:pt>
                <c:pt idx="113">
                  <c:v>42710</c:v>
                </c:pt>
                <c:pt idx="114">
                  <c:v>42711</c:v>
                </c:pt>
                <c:pt idx="115">
                  <c:v>42712</c:v>
                </c:pt>
                <c:pt idx="116">
                  <c:v>42713</c:v>
                </c:pt>
                <c:pt idx="117">
                  <c:v>42716</c:v>
                </c:pt>
                <c:pt idx="118">
                  <c:v>42717</c:v>
                </c:pt>
                <c:pt idx="119">
                  <c:v>42718</c:v>
                </c:pt>
                <c:pt idx="120">
                  <c:v>42719</c:v>
                </c:pt>
                <c:pt idx="121">
                  <c:v>42720</c:v>
                </c:pt>
                <c:pt idx="122">
                  <c:v>42723</c:v>
                </c:pt>
                <c:pt idx="123">
                  <c:v>42724</c:v>
                </c:pt>
                <c:pt idx="124">
                  <c:v>42725</c:v>
                </c:pt>
                <c:pt idx="125">
                  <c:v>42726</c:v>
                </c:pt>
                <c:pt idx="126">
                  <c:v>42727</c:v>
                </c:pt>
                <c:pt idx="127">
                  <c:v>42731</c:v>
                </c:pt>
                <c:pt idx="128">
                  <c:v>42732</c:v>
                </c:pt>
                <c:pt idx="129">
                  <c:v>42733</c:v>
                </c:pt>
                <c:pt idx="130">
                  <c:v>42734</c:v>
                </c:pt>
                <c:pt idx="131">
                  <c:v>42737</c:v>
                </c:pt>
                <c:pt idx="132">
                  <c:v>42738</c:v>
                </c:pt>
                <c:pt idx="133">
                  <c:v>42739</c:v>
                </c:pt>
                <c:pt idx="134">
                  <c:v>42740</c:v>
                </c:pt>
                <c:pt idx="135">
                  <c:v>42741</c:v>
                </c:pt>
                <c:pt idx="136">
                  <c:v>42744</c:v>
                </c:pt>
                <c:pt idx="137">
                  <c:v>42745</c:v>
                </c:pt>
                <c:pt idx="138">
                  <c:v>42746</c:v>
                </c:pt>
                <c:pt idx="139">
                  <c:v>42747</c:v>
                </c:pt>
                <c:pt idx="140">
                  <c:v>42748</c:v>
                </c:pt>
                <c:pt idx="141">
                  <c:v>42751</c:v>
                </c:pt>
                <c:pt idx="142">
                  <c:v>42752</c:v>
                </c:pt>
                <c:pt idx="143">
                  <c:v>42753</c:v>
                </c:pt>
                <c:pt idx="144">
                  <c:v>42754</c:v>
                </c:pt>
                <c:pt idx="145">
                  <c:v>42755</c:v>
                </c:pt>
                <c:pt idx="146">
                  <c:v>42758</c:v>
                </c:pt>
                <c:pt idx="147">
                  <c:v>42759</c:v>
                </c:pt>
                <c:pt idx="148">
                  <c:v>42760</c:v>
                </c:pt>
                <c:pt idx="149">
                  <c:v>42761</c:v>
                </c:pt>
                <c:pt idx="150">
                  <c:v>42762</c:v>
                </c:pt>
                <c:pt idx="151">
                  <c:v>42765</c:v>
                </c:pt>
                <c:pt idx="152">
                  <c:v>42766</c:v>
                </c:pt>
                <c:pt idx="153">
                  <c:v>42767</c:v>
                </c:pt>
                <c:pt idx="154">
                  <c:v>42768</c:v>
                </c:pt>
                <c:pt idx="155">
                  <c:v>42769</c:v>
                </c:pt>
                <c:pt idx="156">
                  <c:v>42772</c:v>
                </c:pt>
                <c:pt idx="157">
                  <c:v>42773</c:v>
                </c:pt>
                <c:pt idx="158">
                  <c:v>42774</c:v>
                </c:pt>
                <c:pt idx="159">
                  <c:v>42775</c:v>
                </c:pt>
                <c:pt idx="160">
                  <c:v>42776</c:v>
                </c:pt>
                <c:pt idx="161">
                  <c:v>42779</c:v>
                </c:pt>
                <c:pt idx="162">
                  <c:v>42780</c:v>
                </c:pt>
                <c:pt idx="163">
                  <c:v>42781</c:v>
                </c:pt>
                <c:pt idx="164">
                  <c:v>42782</c:v>
                </c:pt>
                <c:pt idx="165">
                  <c:v>42783</c:v>
                </c:pt>
                <c:pt idx="166">
                  <c:v>42786</c:v>
                </c:pt>
                <c:pt idx="167">
                  <c:v>42787</c:v>
                </c:pt>
                <c:pt idx="168">
                  <c:v>42788</c:v>
                </c:pt>
                <c:pt idx="169">
                  <c:v>42789</c:v>
                </c:pt>
                <c:pt idx="170">
                  <c:v>42790</c:v>
                </c:pt>
                <c:pt idx="171">
                  <c:v>42793</c:v>
                </c:pt>
                <c:pt idx="172">
                  <c:v>42794</c:v>
                </c:pt>
                <c:pt idx="173">
                  <c:v>42795</c:v>
                </c:pt>
                <c:pt idx="174">
                  <c:v>42796</c:v>
                </c:pt>
                <c:pt idx="175">
                  <c:v>42797</c:v>
                </c:pt>
                <c:pt idx="176">
                  <c:v>42800</c:v>
                </c:pt>
                <c:pt idx="177">
                  <c:v>42801</c:v>
                </c:pt>
                <c:pt idx="178">
                  <c:v>42802</c:v>
                </c:pt>
                <c:pt idx="179">
                  <c:v>42803</c:v>
                </c:pt>
                <c:pt idx="180">
                  <c:v>42804</c:v>
                </c:pt>
                <c:pt idx="181">
                  <c:v>42807</c:v>
                </c:pt>
                <c:pt idx="182">
                  <c:v>42808</c:v>
                </c:pt>
                <c:pt idx="183">
                  <c:v>42809</c:v>
                </c:pt>
                <c:pt idx="184">
                  <c:v>42810</c:v>
                </c:pt>
                <c:pt idx="185">
                  <c:v>42811</c:v>
                </c:pt>
                <c:pt idx="186">
                  <c:v>42814</c:v>
                </c:pt>
                <c:pt idx="187">
                  <c:v>42815</c:v>
                </c:pt>
                <c:pt idx="188">
                  <c:v>42816</c:v>
                </c:pt>
                <c:pt idx="189">
                  <c:v>42817</c:v>
                </c:pt>
                <c:pt idx="190">
                  <c:v>42818</c:v>
                </c:pt>
                <c:pt idx="191">
                  <c:v>42821</c:v>
                </c:pt>
                <c:pt idx="192">
                  <c:v>42822</c:v>
                </c:pt>
                <c:pt idx="193">
                  <c:v>42823</c:v>
                </c:pt>
                <c:pt idx="194">
                  <c:v>42824</c:v>
                </c:pt>
                <c:pt idx="195">
                  <c:v>42825</c:v>
                </c:pt>
                <c:pt idx="196">
                  <c:v>42828</c:v>
                </c:pt>
                <c:pt idx="197">
                  <c:v>42829</c:v>
                </c:pt>
                <c:pt idx="198">
                  <c:v>42830</c:v>
                </c:pt>
                <c:pt idx="199">
                  <c:v>42831</c:v>
                </c:pt>
                <c:pt idx="200">
                  <c:v>42832</c:v>
                </c:pt>
                <c:pt idx="201">
                  <c:v>42835</c:v>
                </c:pt>
                <c:pt idx="202">
                  <c:v>42836</c:v>
                </c:pt>
                <c:pt idx="203">
                  <c:v>42837</c:v>
                </c:pt>
                <c:pt idx="204">
                  <c:v>42838</c:v>
                </c:pt>
                <c:pt idx="205">
                  <c:v>42843</c:v>
                </c:pt>
                <c:pt idx="206">
                  <c:v>42844</c:v>
                </c:pt>
                <c:pt idx="207">
                  <c:v>42845</c:v>
                </c:pt>
                <c:pt idx="208">
                  <c:v>42846</c:v>
                </c:pt>
                <c:pt idx="209">
                  <c:v>42849</c:v>
                </c:pt>
                <c:pt idx="210">
                  <c:v>42850</c:v>
                </c:pt>
                <c:pt idx="211">
                  <c:v>42851</c:v>
                </c:pt>
                <c:pt idx="212">
                  <c:v>42852</c:v>
                </c:pt>
                <c:pt idx="213">
                  <c:v>42853</c:v>
                </c:pt>
                <c:pt idx="214">
                  <c:v>42857</c:v>
                </c:pt>
                <c:pt idx="215">
                  <c:v>42858</c:v>
                </c:pt>
                <c:pt idx="216">
                  <c:v>42859</c:v>
                </c:pt>
                <c:pt idx="217">
                  <c:v>42860</c:v>
                </c:pt>
                <c:pt idx="218">
                  <c:v>42863</c:v>
                </c:pt>
                <c:pt idx="219">
                  <c:v>42864</c:v>
                </c:pt>
                <c:pt idx="220">
                  <c:v>42865</c:v>
                </c:pt>
                <c:pt idx="221">
                  <c:v>42866</c:v>
                </c:pt>
                <c:pt idx="222">
                  <c:v>42867</c:v>
                </c:pt>
                <c:pt idx="223">
                  <c:v>42870</c:v>
                </c:pt>
                <c:pt idx="224">
                  <c:v>42871</c:v>
                </c:pt>
                <c:pt idx="225">
                  <c:v>42872</c:v>
                </c:pt>
                <c:pt idx="226">
                  <c:v>42873</c:v>
                </c:pt>
                <c:pt idx="227">
                  <c:v>42874</c:v>
                </c:pt>
                <c:pt idx="228">
                  <c:v>42877</c:v>
                </c:pt>
                <c:pt idx="229">
                  <c:v>42878</c:v>
                </c:pt>
                <c:pt idx="230">
                  <c:v>42879</c:v>
                </c:pt>
                <c:pt idx="231">
                  <c:v>42880</c:v>
                </c:pt>
                <c:pt idx="232">
                  <c:v>42881</c:v>
                </c:pt>
                <c:pt idx="233">
                  <c:v>42884</c:v>
                </c:pt>
                <c:pt idx="234">
                  <c:v>42885</c:v>
                </c:pt>
                <c:pt idx="235">
                  <c:v>42886</c:v>
                </c:pt>
                <c:pt idx="236">
                  <c:v>42887</c:v>
                </c:pt>
                <c:pt idx="237">
                  <c:v>42888</c:v>
                </c:pt>
                <c:pt idx="238">
                  <c:v>42891</c:v>
                </c:pt>
                <c:pt idx="239">
                  <c:v>42892</c:v>
                </c:pt>
                <c:pt idx="240">
                  <c:v>42893</c:v>
                </c:pt>
                <c:pt idx="241">
                  <c:v>42894</c:v>
                </c:pt>
                <c:pt idx="242">
                  <c:v>42895</c:v>
                </c:pt>
                <c:pt idx="243">
                  <c:v>42898</c:v>
                </c:pt>
                <c:pt idx="244">
                  <c:v>42899</c:v>
                </c:pt>
                <c:pt idx="245">
                  <c:v>42900</c:v>
                </c:pt>
                <c:pt idx="246">
                  <c:v>42901</c:v>
                </c:pt>
                <c:pt idx="247">
                  <c:v>42902</c:v>
                </c:pt>
                <c:pt idx="248">
                  <c:v>42905</c:v>
                </c:pt>
                <c:pt idx="249">
                  <c:v>42906</c:v>
                </c:pt>
                <c:pt idx="250">
                  <c:v>42907</c:v>
                </c:pt>
                <c:pt idx="251">
                  <c:v>42908</c:v>
                </c:pt>
                <c:pt idx="252">
                  <c:v>42909</c:v>
                </c:pt>
                <c:pt idx="253">
                  <c:v>42912</c:v>
                </c:pt>
                <c:pt idx="254">
                  <c:v>42913</c:v>
                </c:pt>
                <c:pt idx="255">
                  <c:v>42914</c:v>
                </c:pt>
                <c:pt idx="256">
                  <c:v>42915</c:v>
                </c:pt>
                <c:pt idx="257">
                  <c:v>42916</c:v>
                </c:pt>
                <c:pt idx="258">
                  <c:v>42919</c:v>
                </c:pt>
                <c:pt idx="259">
                  <c:v>42920</c:v>
                </c:pt>
                <c:pt idx="260">
                  <c:v>42921</c:v>
                </c:pt>
                <c:pt idx="261">
                  <c:v>42922</c:v>
                </c:pt>
                <c:pt idx="262">
                  <c:v>42923</c:v>
                </c:pt>
                <c:pt idx="263">
                  <c:v>42926</c:v>
                </c:pt>
                <c:pt idx="264">
                  <c:v>42927</c:v>
                </c:pt>
                <c:pt idx="265">
                  <c:v>42928</c:v>
                </c:pt>
                <c:pt idx="266">
                  <c:v>42929</c:v>
                </c:pt>
                <c:pt idx="267">
                  <c:v>42930</c:v>
                </c:pt>
                <c:pt idx="268">
                  <c:v>42933</c:v>
                </c:pt>
                <c:pt idx="269">
                  <c:v>42934</c:v>
                </c:pt>
                <c:pt idx="270">
                  <c:v>42935</c:v>
                </c:pt>
                <c:pt idx="271">
                  <c:v>42936</c:v>
                </c:pt>
                <c:pt idx="272">
                  <c:v>42937</c:v>
                </c:pt>
                <c:pt idx="273">
                  <c:v>42940</c:v>
                </c:pt>
                <c:pt idx="274">
                  <c:v>42941</c:v>
                </c:pt>
                <c:pt idx="275">
                  <c:v>42942</c:v>
                </c:pt>
                <c:pt idx="276">
                  <c:v>42943</c:v>
                </c:pt>
                <c:pt idx="277">
                  <c:v>42944</c:v>
                </c:pt>
                <c:pt idx="278">
                  <c:v>42947</c:v>
                </c:pt>
                <c:pt idx="279">
                  <c:v>42948</c:v>
                </c:pt>
                <c:pt idx="280">
                  <c:v>42949</c:v>
                </c:pt>
                <c:pt idx="281">
                  <c:v>42950</c:v>
                </c:pt>
                <c:pt idx="282">
                  <c:v>42951</c:v>
                </c:pt>
                <c:pt idx="283">
                  <c:v>42954</c:v>
                </c:pt>
                <c:pt idx="284">
                  <c:v>42955</c:v>
                </c:pt>
                <c:pt idx="285">
                  <c:v>42956</c:v>
                </c:pt>
                <c:pt idx="286">
                  <c:v>42957</c:v>
                </c:pt>
                <c:pt idx="287">
                  <c:v>42958</c:v>
                </c:pt>
                <c:pt idx="288">
                  <c:v>42961</c:v>
                </c:pt>
                <c:pt idx="289">
                  <c:v>42962</c:v>
                </c:pt>
                <c:pt idx="290">
                  <c:v>42963</c:v>
                </c:pt>
                <c:pt idx="291">
                  <c:v>42964</c:v>
                </c:pt>
                <c:pt idx="292">
                  <c:v>42965</c:v>
                </c:pt>
                <c:pt idx="293">
                  <c:v>42968</c:v>
                </c:pt>
                <c:pt idx="294">
                  <c:v>42969</c:v>
                </c:pt>
                <c:pt idx="295">
                  <c:v>42970</c:v>
                </c:pt>
                <c:pt idx="296">
                  <c:v>42971</c:v>
                </c:pt>
                <c:pt idx="297">
                  <c:v>42972</c:v>
                </c:pt>
                <c:pt idx="298">
                  <c:v>42975</c:v>
                </c:pt>
                <c:pt idx="299">
                  <c:v>42976</c:v>
                </c:pt>
                <c:pt idx="300">
                  <c:v>42977</c:v>
                </c:pt>
                <c:pt idx="301">
                  <c:v>42978</c:v>
                </c:pt>
                <c:pt idx="302">
                  <c:v>42979</c:v>
                </c:pt>
                <c:pt idx="303">
                  <c:v>42982</c:v>
                </c:pt>
                <c:pt idx="304">
                  <c:v>42983</c:v>
                </c:pt>
                <c:pt idx="305">
                  <c:v>42984</c:v>
                </c:pt>
                <c:pt idx="306">
                  <c:v>42985</c:v>
                </c:pt>
                <c:pt idx="307">
                  <c:v>42986</c:v>
                </c:pt>
                <c:pt idx="308">
                  <c:v>42989</c:v>
                </c:pt>
                <c:pt idx="309">
                  <c:v>42990</c:v>
                </c:pt>
                <c:pt idx="310">
                  <c:v>42991</c:v>
                </c:pt>
                <c:pt idx="311">
                  <c:v>42992</c:v>
                </c:pt>
                <c:pt idx="312">
                  <c:v>42993</c:v>
                </c:pt>
                <c:pt idx="313">
                  <c:v>42996</c:v>
                </c:pt>
                <c:pt idx="314">
                  <c:v>42997</c:v>
                </c:pt>
                <c:pt idx="315">
                  <c:v>42998</c:v>
                </c:pt>
                <c:pt idx="316">
                  <c:v>42999</c:v>
                </c:pt>
                <c:pt idx="317">
                  <c:v>43000</c:v>
                </c:pt>
                <c:pt idx="318">
                  <c:v>43003</c:v>
                </c:pt>
                <c:pt idx="319">
                  <c:v>43004</c:v>
                </c:pt>
                <c:pt idx="320">
                  <c:v>43005</c:v>
                </c:pt>
                <c:pt idx="321">
                  <c:v>43006</c:v>
                </c:pt>
                <c:pt idx="322">
                  <c:v>43007</c:v>
                </c:pt>
                <c:pt idx="323">
                  <c:v>43010</c:v>
                </c:pt>
                <c:pt idx="324">
                  <c:v>43011</c:v>
                </c:pt>
                <c:pt idx="325">
                  <c:v>43012</c:v>
                </c:pt>
                <c:pt idx="326">
                  <c:v>43013</c:v>
                </c:pt>
                <c:pt idx="327">
                  <c:v>43014</c:v>
                </c:pt>
                <c:pt idx="328">
                  <c:v>43017</c:v>
                </c:pt>
                <c:pt idx="329">
                  <c:v>43018</c:v>
                </c:pt>
                <c:pt idx="330">
                  <c:v>43019</c:v>
                </c:pt>
                <c:pt idx="331">
                  <c:v>43020</c:v>
                </c:pt>
                <c:pt idx="332">
                  <c:v>43021</c:v>
                </c:pt>
                <c:pt idx="333">
                  <c:v>43024</c:v>
                </c:pt>
                <c:pt idx="334">
                  <c:v>43025</c:v>
                </c:pt>
                <c:pt idx="335">
                  <c:v>43026</c:v>
                </c:pt>
                <c:pt idx="336">
                  <c:v>43027</c:v>
                </c:pt>
                <c:pt idx="337">
                  <c:v>43028</c:v>
                </c:pt>
                <c:pt idx="338">
                  <c:v>43031</c:v>
                </c:pt>
                <c:pt idx="339">
                  <c:v>43032</c:v>
                </c:pt>
                <c:pt idx="340">
                  <c:v>43033</c:v>
                </c:pt>
                <c:pt idx="341">
                  <c:v>43034</c:v>
                </c:pt>
                <c:pt idx="342">
                  <c:v>43035</c:v>
                </c:pt>
                <c:pt idx="343">
                  <c:v>43038</c:v>
                </c:pt>
                <c:pt idx="344">
                  <c:v>43039</c:v>
                </c:pt>
                <c:pt idx="345">
                  <c:v>43040</c:v>
                </c:pt>
                <c:pt idx="346">
                  <c:v>43041</c:v>
                </c:pt>
                <c:pt idx="347">
                  <c:v>43042</c:v>
                </c:pt>
                <c:pt idx="348">
                  <c:v>43045</c:v>
                </c:pt>
                <c:pt idx="349">
                  <c:v>43046</c:v>
                </c:pt>
                <c:pt idx="350">
                  <c:v>43047</c:v>
                </c:pt>
                <c:pt idx="351">
                  <c:v>43048</c:v>
                </c:pt>
                <c:pt idx="352">
                  <c:v>43049</c:v>
                </c:pt>
                <c:pt idx="353">
                  <c:v>43052</c:v>
                </c:pt>
                <c:pt idx="354">
                  <c:v>43053</c:v>
                </c:pt>
                <c:pt idx="355">
                  <c:v>43054</c:v>
                </c:pt>
                <c:pt idx="356">
                  <c:v>43055</c:v>
                </c:pt>
                <c:pt idx="357">
                  <c:v>43056</c:v>
                </c:pt>
                <c:pt idx="358">
                  <c:v>43059</c:v>
                </c:pt>
                <c:pt idx="359">
                  <c:v>43060</c:v>
                </c:pt>
                <c:pt idx="360">
                  <c:v>43061</c:v>
                </c:pt>
                <c:pt idx="361">
                  <c:v>43062</c:v>
                </c:pt>
                <c:pt idx="362">
                  <c:v>43063</c:v>
                </c:pt>
                <c:pt idx="363">
                  <c:v>43066</c:v>
                </c:pt>
                <c:pt idx="364">
                  <c:v>43067</c:v>
                </c:pt>
                <c:pt idx="365">
                  <c:v>43068</c:v>
                </c:pt>
                <c:pt idx="366">
                  <c:v>43069</c:v>
                </c:pt>
                <c:pt idx="367">
                  <c:v>43070</c:v>
                </c:pt>
                <c:pt idx="368">
                  <c:v>43073</c:v>
                </c:pt>
                <c:pt idx="369">
                  <c:v>43074</c:v>
                </c:pt>
                <c:pt idx="370">
                  <c:v>43075</c:v>
                </c:pt>
                <c:pt idx="371">
                  <c:v>43076</c:v>
                </c:pt>
                <c:pt idx="372">
                  <c:v>43077</c:v>
                </c:pt>
                <c:pt idx="373">
                  <c:v>43080</c:v>
                </c:pt>
                <c:pt idx="374">
                  <c:v>43081</c:v>
                </c:pt>
                <c:pt idx="375">
                  <c:v>43082</c:v>
                </c:pt>
                <c:pt idx="376">
                  <c:v>43083</c:v>
                </c:pt>
                <c:pt idx="377">
                  <c:v>43084</c:v>
                </c:pt>
                <c:pt idx="378">
                  <c:v>43087</c:v>
                </c:pt>
                <c:pt idx="379">
                  <c:v>43088</c:v>
                </c:pt>
                <c:pt idx="380">
                  <c:v>43089</c:v>
                </c:pt>
                <c:pt idx="381">
                  <c:v>43090</c:v>
                </c:pt>
                <c:pt idx="382">
                  <c:v>43091</c:v>
                </c:pt>
                <c:pt idx="383">
                  <c:v>43096</c:v>
                </c:pt>
                <c:pt idx="384">
                  <c:v>43097</c:v>
                </c:pt>
                <c:pt idx="385">
                  <c:v>43098</c:v>
                </c:pt>
                <c:pt idx="386">
                  <c:v>43102</c:v>
                </c:pt>
                <c:pt idx="387">
                  <c:v>43103</c:v>
                </c:pt>
                <c:pt idx="388">
                  <c:v>43104</c:v>
                </c:pt>
                <c:pt idx="389">
                  <c:v>43105</c:v>
                </c:pt>
                <c:pt idx="390">
                  <c:v>43108</c:v>
                </c:pt>
                <c:pt idx="391">
                  <c:v>43109</c:v>
                </c:pt>
                <c:pt idx="392">
                  <c:v>43110</c:v>
                </c:pt>
                <c:pt idx="393">
                  <c:v>43111</c:v>
                </c:pt>
                <c:pt idx="394">
                  <c:v>43112</c:v>
                </c:pt>
                <c:pt idx="395">
                  <c:v>43115</c:v>
                </c:pt>
                <c:pt idx="396">
                  <c:v>43116</c:v>
                </c:pt>
                <c:pt idx="397">
                  <c:v>43117</c:v>
                </c:pt>
                <c:pt idx="398">
                  <c:v>43118</c:v>
                </c:pt>
                <c:pt idx="399">
                  <c:v>43119</c:v>
                </c:pt>
                <c:pt idx="400">
                  <c:v>43122</c:v>
                </c:pt>
                <c:pt idx="401">
                  <c:v>43123</c:v>
                </c:pt>
                <c:pt idx="402">
                  <c:v>43124</c:v>
                </c:pt>
                <c:pt idx="403">
                  <c:v>43125</c:v>
                </c:pt>
                <c:pt idx="404">
                  <c:v>43126</c:v>
                </c:pt>
                <c:pt idx="405">
                  <c:v>43129</c:v>
                </c:pt>
                <c:pt idx="406">
                  <c:v>43130</c:v>
                </c:pt>
                <c:pt idx="407">
                  <c:v>43131</c:v>
                </c:pt>
                <c:pt idx="408">
                  <c:v>43132</c:v>
                </c:pt>
                <c:pt idx="409">
                  <c:v>43133</c:v>
                </c:pt>
                <c:pt idx="410">
                  <c:v>43136</c:v>
                </c:pt>
                <c:pt idx="411">
                  <c:v>43137</c:v>
                </c:pt>
                <c:pt idx="412">
                  <c:v>43138</c:v>
                </c:pt>
                <c:pt idx="413">
                  <c:v>43139</c:v>
                </c:pt>
                <c:pt idx="414">
                  <c:v>43140</c:v>
                </c:pt>
                <c:pt idx="415">
                  <c:v>43143</c:v>
                </c:pt>
                <c:pt idx="416">
                  <c:v>43144</c:v>
                </c:pt>
                <c:pt idx="417">
                  <c:v>43145</c:v>
                </c:pt>
                <c:pt idx="418">
                  <c:v>43146</c:v>
                </c:pt>
                <c:pt idx="419">
                  <c:v>43147</c:v>
                </c:pt>
                <c:pt idx="420">
                  <c:v>43150</c:v>
                </c:pt>
                <c:pt idx="421">
                  <c:v>43151</c:v>
                </c:pt>
                <c:pt idx="422">
                  <c:v>43152</c:v>
                </c:pt>
                <c:pt idx="423">
                  <c:v>43153</c:v>
                </c:pt>
                <c:pt idx="424">
                  <c:v>43154</c:v>
                </c:pt>
                <c:pt idx="425">
                  <c:v>43157</c:v>
                </c:pt>
                <c:pt idx="426">
                  <c:v>43158</c:v>
                </c:pt>
                <c:pt idx="427">
                  <c:v>43159</c:v>
                </c:pt>
                <c:pt idx="428">
                  <c:v>43160</c:v>
                </c:pt>
                <c:pt idx="429">
                  <c:v>43161</c:v>
                </c:pt>
                <c:pt idx="430">
                  <c:v>43164</c:v>
                </c:pt>
                <c:pt idx="431">
                  <c:v>43165</c:v>
                </c:pt>
                <c:pt idx="432">
                  <c:v>43166</c:v>
                </c:pt>
                <c:pt idx="433">
                  <c:v>43167</c:v>
                </c:pt>
                <c:pt idx="434">
                  <c:v>43168</c:v>
                </c:pt>
                <c:pt idx="435">
                  <c:v>43171</c:v>
                </c:pt>
                <c:pt idx="436">
                  <c:v>43172</c:v>
                </c:pt>
                <c:pt idx="437">
                  <c:v>43173</c:v>
                </c:pt>
                <c:pt idx="438">
                  <c:v>43174</c:v>
                </c:pt>
                <c:pt idx="439">
                  <c:v>43175</c:v>
                </c:pt>
                <c:pt idx="440">
                  <c:v>43178</c:v>
                </c:pt>
                <c:pt idx="441">
                  <c:v>43179</c:v>
                </c:pt>
                <c:pt idx="442">
                  <c:v>43180</c:v>
                </c:pt>
                <c:pt idx="443">
                  <c:v>43181</c:v>
                </c:pt>
                <c:pt idx="444">
                  <c:v>43182</c:v>
                </c:pt>
                <c:pt idx="445">
                  <c:v>43185</c:v>
                </c:pt>
                <c:pt idx="446">
                  <c:v>43186</c:v>
                </c:pt>
                <c:pt idx="447">
                  <c:v>43187</c:v>
                </c:pt>
                <c:pt idx="448">
                  <c:v>43188</c:v>
                </c:pt>
                <c:pt idx="449">
                  <c:v>43193</c:v>
                </c:pt>
                <c:pt idx="450">
                  <c:v>43194</c:v>
                </c:pt>
                <c:pt idx="451">
                  <c:v>43195</c:v>
                </c:pt>
                <c:pt idx="452">
                  <c:v>43196</c:v>
                </c:pt>
                <c:pt idx="453">
                  <c:v>43199</c:v>
                </c:pt>
                <c:pt idx="454">
                  <c:v>43200</c:v>
                </c:pt>
                <c:pt idx="455">
                  <c:v>43201</c:v>
                </c:pt>
                <c:pt idx="456">
                  <c:v>43202</c:v>
                </c:pt>
                <c:pt idx="457">
                  <c:v>43203</c:v>
                </c:pt>
                <c:pt idx="458">
                  <c:v>43206</c:v>
                </c:pt>
                <c:pt idx="459">
                  <c:v>43207</c:v>
                </c:pt>
                <c:pt idx="460">
                  <c:v>43208</c:v>
                </c:pt>
                <c:pt idx="461">
                  <c:v>43209</c:v>
                </c:pt>
                <c:pt idx="462">
                  <c:v>43210</c:v>
                </c:pt>
                <c:pt idx="463">
                  <c:v>43213</c:v>
                </c:pt>
                <c:pt idx="464">
                  <c:v>43214</c:v>
                </c:pt>
                <c:pt idx="465">
                  <c:v>43215</c:v>
                </c:pt>
                <c:pt idx="466">
                  <c:v>43216</c:v>
                </c:pt>
                <c:pt idx="467">
                  <c:v>43217</c:v>
                </c:pt>
                <c:pt idx="468">
                  <c:v>43220</c:v>
                </c:pt>
                <c:pt idx="469">
                  <c:v>43222</c:v>
                </c:pt>
                <c:pt idx="470">
                  <c:v>43223</c:v>
                </c:pt>
                <c:pt idx="471">
                  <c:v>43224</c:v>
                </c:pt>
                <c:pt idx="472">
                  <c:v>43227</c:v>
                </c:pt>
                <c:pt idx="473">
                  <c:v>43228</c:v>
                </c:pt>
                <c:pt idx="474">
                  <c:v>43229</c:v>
                </c:pt>
                <c:pt idx="475">
                  <c:v>43230</c:v>
                </c:pt>
                <c:pt idx="476">
                  <c:v>43231</c:v>
                </c:pt>
                <c:pt idx="477">
                  <c:v>43234</c:v>
                </c:pt>
                <c:pt idx="478">
                  <c:v>43235</c:v>
                </c:pt>
                <c:pt idx="479">
                  <c:v>43236</c:v>
                </c:pt>
                <c:pt idx="480">
                  <c:v>43237</c:v>
                </c:pt>
                <c:pt idx="481">
                  <c:v>43238</c:v>
                </c:pt>
                <c:pt idx="482">
                  <c:v>43241</c:v>
                </c:pt>
                <c:pt idx="483">
                  <c:v>43242</c:v>
                </c:pt>
                <c:pt idx="484">
                  <c:v>43243</c:v>
                </c:pt>
                <c:pt idx="485">
                  <c:v>43244</c:v>
                </c:pt>
                <c:pt idx="486">
                  <c:v>43245</c:v>
                </c:pt>
                <c:pt idx="487">
                  <c:v>43248</c:v>
                </c:pt>
                <c:pt idx="488">
                  <c:v>43249</c:v>
                </c:pt>
                <c:pt idx="489">
                  <c:v>43250</c:v>
                </c:pt>
                <c:pt idx="490">
                  <c:v>43251</c:v>
                </c:pt>
                <c:pt idx="491">
                  <c:v>43252</c:v>
                </c:pt>
                <c:pt idx="492">
                  <c:v>43255</c:v>
                </c:pt>
                <c:pt idx="493">
                  <c:v>43256</c:v>
                </c:pt>
                <c:pt idx="494">
                  <c:v>43257</c:v>
                </c:pt>
                <c:pt idx="495">
                  <c:v>43258</c:v>
                </c:pt>
                <c:pt idx="496">
                  <c:v>43259</c:v>
                </c:pt>
                <c:pt idx="497">
                  <c:v>43262</c:v>
                </c:pt>
                <c:pt idx="498">
                  <c:v>43263</c:v>
                </c:pt>
                <c:pt idx="499">
                  <c:v>43264</c:v>
                </c:pt>
                <c:pt idx="500">
                  <c:v>43265</c:v>
                </c:pt>
                <c:pt idx="501">
                  <c:v>43266</c:v>
                </c:pt>
                <c:pt idx="502">
                  <c:v>43269</c:v>
                </c:pt>
                <c:pt idx="503">
                  <c:v>43270</c:v>
                </c:pt>
                <c:pt idx="504">
                  <c:v>43271</c:v>
                </c:pt>
                <c:pt idx="505">
                  <c:v>43272</c:v>
                </c:pt>
                <c:pt idx="506">
                  <c:v>43273</c:v>
                </c:pt>
                <c:pt idx="507">
                  <c:v>43276</c:v>
                </c:pt>
                <c:pt idx="508">
                  <c:v>43277</c:v>
                </c:pt>
                <c:pt idx="509">
                  <c:v>43278</c:v>
                </c:pt>
                <c:pt idx="510">
                  <c:v>43279</c:v>
                </c:pt>
                <c:pt idx="511">
                  <c:v>43280</c:v>
                </c:pt>
                <c:pt idx="512">
                  <c:v>43283</c:v>
                </c:pt>
                <c:pt idx="513">
                  <c:v>43284</c:v>
                </c:pt>
                <c:pt idx="514">
                  <c:v>43285</c:v>
                </c:pt>
                <c:pt idx="515">
                  <c:v>43286</c:v>
                </c:pt>
                <c:pt idx="516">
                  <c:v>43287</c:v>
                </c:pt>
                <c:pt idx="517">
                  <c:v>43290</c:v>
                </c:pt>
                <c:pt idx="518">
                  <c:v>43291</c:v>
                </c:pt>
                <c:pt idx="519">
                  <c:v>43292</c:v>
                </c:pt>
                <c:pt idx="520">
                  <c:v>43293</c:v>
                </c:pt>
                <c:pt idx="521">
                  <c:v>43294</c:v>
                </c:pt>
                <c:pt idx="522">
                  <c:v>43297</c:v>
                </c:pt>
                <c:pt idx="523">
                  <c:v>43298</c:v>
                </c:pt>
                <c:pt idx="524">
                  <c:v>43299</c:v>
                </c:pt>
                <c:pt idx="525">
                  <c:v>43300</c:v>
                </c:pt>
                <c:pt idx="526">
                  <c:v>43301</c:v>
                </c:pt>
                <c:pt idx="527">
                  <c:v>43304</c:v>
                </c:pt>
                <c:pt idx="528">
                  <c:v>43305</c:v>
                </c:pt>
                <c:pt idx="529">
                  <c:v>43306</c:v>
                </c:pt>
                <c:pt idx="530">
                  <c:v>43307</c:v>
                </c:pt>
                <c:pt idx="531">
                  <c:v>43308</c:v>
                </c:pt>
                <c:pt idx="532">
                  <c:v>43311</c:v>
                </c:pt>
                <c:pt idx="533">
                  <c:v>43312</c:v>
                </c:pt>
                <c:pt idx="534">
                  <c:v>43313</c:v>
                </c:pt>
                <c:pt idx="535">
                  <c:v>43314</c:v>
                </c:pt>
                <c:pt idx="536">
                  <c:v>43315</c:v>
                </c:pt>
                <c:pt idx="537">
                  <c:v>43318</c:v>
                </c:pt>
                <c:pt idx="538">
                  <c:v>43319</c:v>
                </c:pt>
                <c:pt idx="539">
                  <c:v>43320</c:v>
                </c:pt>
                <c:pt idx="540">
                  <c:v>43321</c:v>
                </c:pt>
                <c:pt idx="541">
                  <c:v>43322</c:v>
                </c:pt>
                <c:pt idx="542">
                  <c:v>43325</c:v>
                </c:pt>
                <c:pt idx="543">
                  <c:v>43326</c:v>
                </c:pt>
                <c:pt idx="544">
                  <c:v>43327</c:v>
                </c:pt>
                <c:pt idx="545">
                  <c:v>43328</c:v>
                </c:pt>
                <c:pt idx="546">
                  <c:v>43329</c:v>
                </c:pt>
                <c:pt idx="547">
                  <c:v>43332</c:v>
                </c:pt>
                <c:pt idx="548">
                  <c:v>43333</c:v>
                </c:pt>
                <c:pt idx="549">
                  <c:v>43334</c:v>
                </c:pt>
                <c:pt idx="550">
                  <c:v>43335</c:v>
                </c:pt>
                <c:pt idx="551">
                  <c:v>43336</c:v>
                </c:pt>
                <c:pt idx="552">
                  <c:v>43339</c:v>
                </c:pt>
                <c:pt idx="553">
                  <c:v>43340</c:v>
                </c:pt>
                <c:pt idx="554">
                  <c:v>43341</c:v>
                </c:pt>
                <c:pt idx="555">
                  <c:v>43342</c:v>
                </c:pt>
                <c:pt idx="556">
                  <c:v>43343</c:v>
                </c:pt>
                <c:pt idx="557">
                  <c:v>43346</c:v>
                </c:pt>
                <c:pt idx="558">
                  <c:v>43347</c:v>
                </c:pt>
                <c:pt idx="559">
                  <c:v>43348</c:v>
                </c:pt>
                <c:pt idx="560">
                  <c:v>43349</c:v>
                </c:pt>
                <c:pt idx="561">
                  <c:v>43350</c:v>
                </c:pt>
                <c:pt idx="562">
                  <c:v>43353</c:v>
                </c:pt>
                <c:pt idx="563">
                  <c:v>43354</c:v>
                </c:pt>
                <c:pt idx="564">
                  <c:v>43355</c:v>
                </c:pt>
                <c:pt idx="565">
                  <c:v>43356</c:v>
                </c:pt>
                <c:pt idx="566">
                  <c:v>43357</c:v>
                </c:pt>
                <c:pt idx="567">
                  <c:v>43360</c:v>
                </c:pt>
                <c:pt idx="568">
                  <c:v>43361</c:v>
                </c:pt>
                <c:pt idx="569">
                  <c:v>43362</c:v>
                </c:pt>
                <c:pt idx="570">
                  <c:v>43363</c:v>
                </c:pt>
                <c:pt idx="571">
                  <c:v>43364</c:v>
                </c:pt>
                <c:pt idx="572">
                  <c:v>43367</c:v>
                </c:pt>
                <c:pt idx="573">
                  <c:v>43368</c:v>
                </c:pt>
                <c:pt idx="574">
                  <c:v>43369</c:v>
                </c:pt>
                <c:pt idx="575">
                  <c:v>43370</c:v>
                </c:pt>
                <c:pt idx="576">
                  <c:v>43371</c:v>
                </c:pt>
                <c:pt idx="577">
                  <c:v>43374</c:v>
                </c:pt>
                <c:pt idx="578">
                  <c:v>43375</c:v>
                </c:pt>
                <c:pt idx="579">
                  <c:v>43376</c:v>
                </c:pt>
                <c:pt idx="580">
                  <c:v>43377</c:v>
                </c:pt>
                <c:pt idx="581">
                  <c:v>43378</c:v>
                </c:pt>
                <c:pt idx="582">
                  <c:v>43381</c:v>
                </c:pt>
                <c:pt idx="583">
                  <c:v>43382</c:v>
                </c:pt>
                <c:pt idx="584">
                  <c:v>43383</c:v>
                </c:pt>
                <c:pt idx="585">
                  <c:v>43384</c:v>
                </c:pt>
                <c:pt idx="586">
                  <c:v>43385</c:v>
                </c:pt>
                <c:pt idx="587">
                  <c:v>43388</c:v>
                </c:pt>
                <c:pt idx="588">
                  <c:v>43389</c:v>
                </c:pt>
                <c:pt idx="589">
                  <c:v>43390</c:v>
                </c:pt>
                <c:pt idx="590">
                  <c:v>43391</c:v>
                </c:pt>
                <c:pt idx="591">
                  <c:v>43392</c:v>
                </c:pt>
                <c:pt idx="592">
                  <c:v>43395</c:v>
                </c:pt>
                <c:pt idx="593">
                  <c:v>43396</c:v>
                </c:pt>
                <c:pt idx="594">
                  <c:v>43397</c:v>
                </c:pt>
                <c:pt idx="595">
                  <c:v>43398</c:v>
                </c:pt>
                <c:pt idx="596">
                  <c:v>43399</c:v>
                </c:pt>
                <c:pt idx="597">
                  <c:v>43402</c:v>
                </c:pt>
                <c:pt idx="598">
                  <c:v>43403</c:v>
                </c:pt>
                <c:pt idx="599">
                  <c:v>43404</c:v>
                </c:pt>
                <c:pt idx="600">
                  <c:v>43405</c:v>
                </c:pt>
                <c:pt idx="601">
                  <c:v>43406</c:v>
                </c:pt>
                <c:pt idx="602">
                  <c:v>43409</c:v>
                </c:pt>
                <c:pt idx="603">
                  <c:v>43410</c:v>
                </c:pt>
                <c:pt idx="604">
                  <c:v>43411</c:v>
                </c:pt>
                <c:pt idx="605">
                  <c:v>43412</c:v>
                </c:pt>
                <c:pt idx="606">
                  <c:v>43413</c:v>
                </c:pt>
                <c:pt idx="607">
                  <c:v>43416</c:v>
                </c:pt>
                <c:pt idx="608">
                  <c:v>43417</c:v>
                </c:pt>
                <c:pt idx="609">
                  <c:v>43418</c:v>
                </c:pt>
                <c:pt idx="610">
                  <c:v>43419</c:v>
                </c:pt>
                <c:pt idx="611">
                  <c:v>43420</c:v>
                </c:pt>
                <c:pt idx="612">
                  <c:v>43423</c:v>
                </c:pt>
                <c:pt idx="613">
                  <c:v>43424</c:v>
                </c:pt>
                <c:pt idx="614">
                  <c:v>43425</c:v>
                </c:pt>
                <c:pt idx="615">
                  <c:v>43426</c:v>
                </c:pt>
                <c:pt idx="616">
                  <c:v>43427</c:v>
                </c:pt>
                <c:pt idx="617">
                  <c:v>43430</c:v>
                </c:pt>
                <c:pt idx="618">
                  <c:v>43431</c:v>
                </c:pt>
                <c:pt idx="619">
                  <c:v>43432</c:v>
                </c:pt>
                <c:pt idx="620">
                  <c:v>43433</c:v>
                </c:pt>
                <c:pt idx="621">
                  <c:v>43434</c:v>
                </c:pt>
                <c:pt idx="622">
                  <c:v>43437</c:v>
                </c:pt>
                <c:pt idx="623">
                  <c:v>43438</c:v>
                </c:pt>
                <c:pt idx="624">
                  <c:v>43439</c:v>
                </c:pt>
                <c:pt idx="625">
                  <c:v>43440</c:v>
                </c:pt>
                <c:pt idx="626">
                  <c:v>43441</c:v>
                </c:pt>
                <c:pt idx="627">
                  <c:v>43444</c:v>
                </c:pt>
                <c:pt idx="628">
                  <c:v>43445</c:v>
                </c:pt>
                <c:pt idx="629">
                  <c:v>43446</c:v>
                </c:pt>
                <c:pt idx="630">
                  <c:v>43447</c:v>
                </c:pt>
                <c:pt idx="631">
                  <c:v>43448</c:v>
                </c:pt>
                <c:pt idx="632">
                  <c:v>43451</c:v>
                </c:pt>
                <c:pt idx="633">
                  <c:v>43452</c:v>
                </c:pt>
                <c:pt idx="634">
                  <c:v>43453</c:v>
                </c:pt>
                <c:pt idx="635">
                  <c:v>43454</c:v>
                </c:pt>
                <c:pt idx="636">
                  <c:v>43455</c:v>
                </c:pt>
                <c:pt idx="637">
                  <c:v>43458</c:v>
                </c:pt>
                <c:pt idx="638">
                  <c:v>43461</c:v>
                </c:pt>
                <c:pt idx="639">
                  <c:v>43462</c:v>
                </c:pt>
                <c:pt idx="640">
                  <c:v>43465</c:v>
                </c:pt>
                <c:pt idx="641">
                  <c:v>43467</c:v>
                </c:pt>
                <c:pt idx="642">
                  <c:v>43468</c:v>
                </c:pt>
                <c:pt idx="643">
                  <c:v>43469</c:v>
                </c:pt>
                <c:pt idx="644">
                  <c:v>43472</c:v>
                </c:pt>
                <c:pt idx="645">
                  <c:v>43473</c:v>
                </c:pt>
                <c:pt idx="646">
                  <c:v>43474</c:v>
                </c:pt>
                <c:pt idx="647">
                  <c:v>43475</c:v>
                </c:pt>
                <c:pt idx="648">
                  <c:v>43476</c:v>
                </c:pt>
                <c:pt idx="649">
                  <c:v>43479</c:v>
                </c:pt>
                <c:pt idx="650">
                  <c:v>43480</c:v>
                </c:pt>
                <c:pt idx="651">
                  <c:v>43481</c:v>
                </c:pt>
                <c:pt idx="652">
                  <c:v>43482</c:v>
                </c:pt>
                <c:pt idx="653">
                  <c:v>43483</c:v>
                </c:pt>
                <c:pt idx="654">
                  <c:v>43486</c:v>
                </c:pt>
                <c:pt idx="655">
                  <c:v>43487</c:v>
                </c:pt>
                <c:pt idx="656">
                  <c:v>43488</c:v>
                </c:pt>
                <c:pt idx="657">
                  <c:v>43489</c:v>
                </c:pt>
                <c:pt idx="658">
                  <c:v>43490</c:v>
                </c:pt>
                <c:pt idx="659">
                  <c:v>43493</c:v>
                </c:pt>
                <c:pt idx="660">
                  <c:v>43494</c:v>
                </c:pt>
                <c:pt idx="661">
                  <c:v>43495</c:v>
                </c:pt>
                <c:pt idx="662">
                  <c:v>43496</c:v>
                </c:pt>
                <c:pt idx="663">
                  <c:v>43497</c:v>
                </c:pt>
                <c:pt idx="664">
                  <c:v>43500</c:v>
                </c:pt>
                <c:pt idx="665">
                  <c:v>43501</c:v>
                </c:pt>
                <c:pt idx="666">
                  <c:v>43502</c:v>
                </c:pt>
                <c:pt idx="667">
                  <c:v>43503</c:v>
                </c:pt>
                <c:pt idx="668">
                  <c:v>43504</c:v>
                </c:pt>
                <c:pt idx="669">
                  <c:v>43507</c:v>
                </c:pt>
                <c:pt idx="670">
                  <c:v>43508</c:v>
                </c:pt>
                <c:pt idx="671">
                  <c:v>43509</c:v>
                </c:pt>
                <c:pt idx="672">
                  <c:v>43510</c:v>
                </c:pt>
                <c:pt idx="673">
                  <c:v>43511</c:v>
                </c:pt>
                <c:pt idx="674">
                  <c:v>43514</c:v>
                </c:pt>
                <c:pt idx="675">
                  <c:v>43515</c:v>
                </c:pt>
                <c:pt idx="676">
                  <c:v>43516</c:v>
                </c:pt>
                <c:pt idx="677">
                  <c:v>43517</c:v>
                </c:pt>
                <c:pt idx="678">
                  <c:v>43518</c:v>
                </c:pt>
                <c:pt idx="679">
                  <c:v>43521</c:v>
                </c:pt>
                <c:pt idx="680">
                  <c:v>43522</c:v>
                </c:pt>
                <c:pt idx="681">
                  <c:v>43523</c:v>
                </c:pt>
                <c:pt idx="682">
                  <c:v>43524</c:v>
                </c:pt>
                <c:pt idx="683">
                  <c:v>43525</c:v>
                </c:pt>
                <c:pt idx="684">
                  <c:v>43528</c:v>
                </c:pt>
                <c:pt idx="685">
                  <c:v>43529</c:v>
                </c:pt>
                <c:pt idx="686">
                  <c:v>43530</c:v>
                </c:pt>
                <c:pt idx="687">
                  <c:v>43531</c:v>
                </c:pt>
                <c:pt idx="688">
                  <c:v>43532</c:v>
                </c:pt>
                <c:pt idx="689">
                  <c:v>43535</c:v>
                </c:pt>
                <c:pt idx="690">
                  <c:v>43536</c:v>
                </c:pt>
                <c:pt idx="691">
                  <c:v>43537</c:v>
                </c:pt>
                <c:pt idx="692">
                  <c:v>43538</c:v>
                </c:pt>
                <c:pt idx="693">
                  <c:v>43539</c:v>
                </c:pt>
                <c:pt idx="694">
                  <c:v>43542</c:v>
                </c:pt>
                <c:pt idx="695">
                  <c:v>43543</c:v>
                </c:pt>
                <c:pt idx="696">
                  <c:v>43544</c:v>
                </c:pt>
                <c:pt idx="697">
                  <c:v>43545</c:v>
                </c:pt>
                <c:pt idx="698">
                  <c:v>43546</c:v>
                </c:pt>
                <c:pt idx="699">
                  <c:v>43549</c:v>
                </c:pt>
                <c:pt idx="700">
                  <c:v>43550</c:v>
                </c:pt>
                <c:pt idx="701">
                  <c:v>43551</c:v>
                </c:pt>
                <c:pt idx="702">
                  <c:v>43552</c:v>
                </c:pt>
                <c:pt idx="703">
                  <c:v>43553</c:v>
                </c:pt>
                <c:pt idx="704">
                  <c:v>43556</c:v>
                </c:pt>
                <c:pt idx="705">
                  <c:v>43557</c:v>
                </c:pt>
                <c:pt idx="706">
                  <c:v>43558</c:v>
                </c:pt>
                <c:pt idx="707">
                  <c:v>43559</c:v>
                </c:pt>
                <c:pt idx="708">
                  <c:v>43560</c:v>
                </c:pt>
                <c:pt idx="709">
                  <c:v>43563</c:v>
                </c:pt>
                <c:pt idx="710">
                  <c:v>43564</c:v>
                </c:pt>
                <c:pt idx="711">
                  <c:v>43565</c:v>
                </c:pt>
                <c:pt idx="712">
                  <c:v>43566</c:v>
                </c:pt>
                <c:pt idx="713">
                  <c:v>43567</c:v>
                </c:pt>
                <c:pt idx="714">
                  <c:v>43570</c:v>
                </c:pt>
                <c:pt idx="715">
                  <c:v>43571</c:v>
                </c:pt>
                <c:pt idx="716">
                  <c:v>43572</c:v>
                </c:pt>
                <c:pt idx="717">
                  <c:v>43573</c:v>
                </c:pt>
                <c:pt idx="718">
                  <c:v>43578</c:v>
                </c:pt>
                <c:pt idx="719">
                  <c:v>43579</c:v>
                </c:pt>
                <c:pt idx="720">
                  <c:v>43580</c:v>
                </c:pt>
                <c:pt idx="721">
                  <c:v>43581</c:v>
                </c:pt>
                <c:pt idx="722">
                  <c:v>43584</c:v>
                </c:pt>
                <c:pt idx="723">
                  <c:v>43585</c:v>
                </c:pt>
                <c:pt idx="724">
                  <c:v>43587</c:v>
                </c:pt>
                <c:pt idx="725">
                  <c:v>43588</c:v>
                </c:pt>
                <c:pt idx="726">
                  <c:v>43591</c:v>
                </c:pt>
                <c:pt idx="727">
                  <c:v>43592</c:v>
                </c:pt>
                <c:pt idx="728">
                  <c:v>43593</c:v>
                </c:pt>
                <c:pt idx="729">
                  <c:v>43594</c:v>
                </c:pt>
                <c:pt idx="730">
                  <c:v>43595</c:v>
                </c:pt>
                <c:pt idx="731">
                  <c:v>43598</c:v>
                </c:pt>
                <c:pt idx="732">
                  <c:v>43599</c:v>
                </c:pt>
                <c:pt idx="733">
                  <c:v>43600</c:v>
                </c:pt>
                <c:pt idx="734">
                  <c:v>43601</c:v>
                </c:pt>
                <c:pt idx="735">
                  <c:v>43602</c:v>
                </c:pt>
                <c:pt idx="736">
                  <c:v>43605</c:v>
                </c:pt>
                <c:pt idx="737">
                  <c:v>43606</c:v>
                </c:pt>
                <c:pt idx="738">
                  <c:v>43607</c:v>
                </c:pt>
                <c:pt idx="739">
                  <c:v>43608</c:v>
                </c:pt>
                <c:pt idx="740">
                  <c:v>43609</c:v>
                </c:pt>
                <c:pt idx="741">
                  <c:v>43612</c:v>
                </c:pt>
                <c:pt idx="742">
                  <c:v>43613</c:v>
                </c:pt>
                <c:pt idx="743">
                  <c:v>43614</c:v>
                </c:pt>
                <c:pt idx="744">
                  <c:v>43615</c:v>
                </c:pt>
                <c:pt idx="745">
                  <c:v>43616</c:v>
                </c:pt>
                <c:pt idx="746">
                  <c:v>43619</c:v>
                </c:pt>
                <c:pt idx="747">
                  <c:v>43620</c:v>
                </c:pt>
                <c:pt idx="748">
                  <c:v>43621</c:v>
                </c:pt>
                <c:pt idx="749">
                  <c:v>43622</c:v>
                </c:pt>
                <c:pt idx="750">
                  <c:v>43623</c:v>
                </c:pt>
                <c:pt idx="751">
                  <c:v>43626</c:v>
                </c:pt>
                <c:pt idx="752">
                  <c:v>43627</c:v>
                </c:pt>
                <c:pt idx="753">
                  <c:v>43628</c:v>
                </c:pt>
                <c:pt idx="754">
                  <c:v>43629</c:v>
                </c:pt>
                <c:pt idx="755">
                  <c:v>43630</c:v>
                </c:pt>
                <c:pt idx="756">
                  <c:v>43633</c:v>
                </c:pt>
                <c:pt idx="757">
                  <c:v>43634</c:v>
                </c:pt>
                <c:pt idx="758">
                  <c:v>43635</c:v>
                </c:pt>
                <c:pt idx="759">
                  <c:v>43636</c:v>
                </c:pt>
                <c:pt idx="760">
                  <c:v>43637</c:v>
                </c:pt>
                <c:pt idx="761">
                  <c:v>43640</c:v>
                </c:pt>
                <c:pt idx="762">
                  <c:v>43641</c:v>
                </c:pt>
                <c:pt idx="763">
                  <c:v>43642</c:v>
                </c:pt>
                <c:pt idx="764">
                  <c:v>43643</c:v>
                </c:pt>
                <c:pt idx="765">
                  <c:v>43644</c:v>
                </c:pt>
                <c:pt idx="766">
                  <c:v>43647</c:v>
                </c:pt>
                <c:pt idx="767">
                  <c:v>43648</c:v>
                </c:pt>
                <c:pt idx="768">
                  <c:v>43649</c:v>
                </c:pt>
                <c:pt idx="769">
                  <c:v>43650</c:v>
                </c:pt>
                <c:pt idx="770">
                  <c:v>43651</c:v>
                </c:pt>
                <c:pt idx="771">
                  <c:v>43654</c:v>
                </c:pt>
                <c:pt idx="772">
                  <c:v>43655</c:v>
                </c:pt>
                <c:pt idx="773">
                  <c:v>43656</c:v>
                </c:pt>
                <c:pt idx="774">
                  <c:v>43657</c:v>
                </c:pt>
                <c:pt idx="775">
                  <c:v>43658</c:v>
                </c:pt>
                <c:pt idx="776">
                  <c:v>43661</c:v>
                </c:pt>
                <c:pt idx="777">
                  <c:v>43662</c:v>
                </c:pt>
                <c:pt idx="778">
                  <c:v>43663</c:v>
                </c:pt>
                <c:pt idx="779">
                  <c:v>43664</c:v>
                </c:pt>
                <c:pt idx="780">
                  <c:v>43665</c:v>
                </c:pt>
                <c:pt idx="781">
                  <c:v>43668</c:v>
                </c:pt>
                <c:pt idx="782">
                  <c:v>43669</c:v>
                </c:pt>
                <c:pt idx="783">
                  <c:v>43670</c:v>
                </c:pt>
                <c:pt idx="784">
                  <c:v>43671</c:v>
                </c:pt>
                <c:pt idx="785">
                  <c:v>43672</c:v>
                </c:pt>
                <c:pt idx="786">
                  <c:v>43675</c:v>
                </c:pt>
                <c:pt idx="787">
                  <c:v>43676</c:v>
                </c:pt>
                <c:pt idx="788">
                  <c:v>43677</c:v>
                </c:pt>
                <c:pt idx="789">
                  <c:v>43678</c:v>
                </c:pt>
                <c:pt idx="790">
                  <c:v>43679</c:v>
                </c:pt>
                <c:pt idx="791">
                  <c:v>43682</c:v>
                </c:pt>
                <c:pt idx="792">
                  <c:v>43683</c:v>
                </c:pt>
                <c:pt idx="793">
                  <c:v>43684</c:v>
                </c:pt>
                <c:pt idx="794">
                  <c:v>43685</c:v>
                </c:pt>
                <c:pt idx="795">
                  <c:v>43686</c:v>
                </c:pt>
              </c:numCache>
            </c:numRef>
          </c:xVal>
          <c:yVal>
            <c:numRef>
              <c:f>SensCalc!$AM$4:$AM$799</c:f>
              <c:numCache>
                <c:formatCode>0.0000%</c:formatCode>
                <c:ptCount val="796"/>
                <c:pt idx="0">
                  <c:v>-1.7599999999999998E-3</c:v>
                </c:pt>
                <c:pt idx="1">
                  <c:v>-1.7011258429322977E-3</c:v>
                </c:pt>
                <c:pt idx="2">
                  <c:v>-1.7100852245457627E-3</c:v>
                </c:pt>
                <c:pt idx="3">
                  <c:v>-1.7137076035349194E-3</c:v>
                </c:pt>
                <c:pt idx="4">
                  <c:v>-1.7173494735915316E-3</c:v>
                </c:pt>
                <c:pt idx="5">
                  <c:v>-1.7245905597956979E-3</c:v>
                </c:pt>
                <c:pt idx="6">
                  <c:v>-1.7264810343948118E-3</c:v>
                </c:pt>
                <c:pt idx="7">
                  <c:v>-1.7358511860451537E-3</c:v>
                </c:pt>
                <c:pt idx="8">
                  <c:v>-1.739610000194871E-3</c:v>
                </c:pt>
                <c:pt idx="9">
                  <c:v>-1.7433883046376634E-3</c:v>
                </c:pt>
                <c:pt idx="10">
                  <c:v>-1.7507541007853328E-3</c:v>
                </c:pt>
                <c:pt idx="11">
                  <c:v>-1.752786100487521E-3</c:v>
                </c:pt>
                <c:pt idx="12">
                  <c:v>-1.7625721772524699E-3</c:v>
                </c:pt>
                <c:pt idx="13">
                  <c:v>-1.7664674210528073E-3</c:v>
                </c:pt>
                <c:pt idx="14">
                  <c:v>-1.7703821543416463E-3</c:v>
                </c:pt>
                <c:pt idx="15">
                  <c:v>-1.7778623675848075E-3</c:v>
                </c:pt>
                <c:pt idx="16">
                  <c:v>-1.7800410026466782E-3</c:v>
                </c:pt>
                <c:pt idx="17">
                  <c:v>-1.7902481589942639E-3</c:v>
                </c:pt>
                <c:pt idx="18">
                  <c:v>-1.7942798267337034E-3</c:v>
                </c:pt>
                <c:pt idx="19">
                  <c:v>-1.7983309831303528E-3</c:v>
                </c:pt>
                <c:pt idx="20">
                  <c:v>-1.805915320453438E-3</c:v>
                </c:pt>
                <c:pt idx="21">
                  <c:v>-1.8099999999981479E-3</c:v>
                </c:pt>
                <c:pt idx="22">
                  <c:v>-1.8170124396788003E-3</c:v>
                </c:pt>
                <c:pt idx="23">
                  <c:v>-1.8200016564952652E-3</c:v>
                </c:pt>
                <c:pt idx="24">
                  <c:v>-1.8229816878011171E-3</c:v>
                </c:pt>
                <c:pt idx="25">
                  <c:v>-1.8279182499847031E-3</c:v>
                </c:pt>
                <c:pt idx="26">
                  <c:v>-1.8298926008133733E-3</c:v>
                </c:pt>
                <c:pt idx="27">
                  <c:v>-1.8377440631284941E-3</c:v>
                </c:pt>
                <c:pt idx="28">
                  <c:v>-1.8406689822460546E-3</c:v>
                </c:pt>
                <c:pt idx="29">
                  <c:v>-1.843584716143422E-3</c:v>
                </c:pt>
                <c:pt idx="30">
                  <c:v>-1.8484094337744756E-3</c:v>
                </c:pt>
                <c:pt idx="31">
                  <c:v>-1.8503434811871899E-3</c:v>
                </c:pt>
                <c:pt idx="32">
                  <c:v>-1.858025608768818E-3</c:v>
                </c:pt>
                <c:pt idx="33">
                  <c:v>-1.860886232206077E-3</c:v>
                </c:pt>
                <c:pt idx="34">
                  <c:v>-1.8637376707090012E-3</c:v>
                </c:pt>
                <c:pt idx="35">
                  <c:v>-1.8684553866677963E-3</c:v>
                </c:pt>
                <c:pt idx="36">
                  <c:v>-1.8703467253131537E-3</c:v>
                </c:pt>
                <c:pt idx="37">
                  <c:v>-1.8778570906037876E-3</c:v>
                </c:pt>
                <c:pt idx="38">
                  <c:v>-1.8806534203374247E-3</c:v>
                </c:pt>
                <c:pt idx="39">
                  <c:v>-1.8834405654149825E-3</c:v>
                </c:pt>
                <c:pt idx="40">
                  <c:v>-1.888056122506066E-3</c:v>
                </c:pt>
                <c:pt idx="41">
                  <c:v>-1.8899023470022713E-3</c:v>
                </c:pt>
                <c:pt idx="42">
                  <c:v>-1.8963333527385567E-3</c:v>
                </c:pt>
                <c:pt idx="43">
                  <c:v>-1.8981675961853126E-3</c:v>
                </c:pt>
                <c:pt idx="44">
                  <c:v>-1.9000000000089143E-3</c:v>
                </c:pt>
                <c:pt idx="45">
                  <c:v>-1.9023979813945291E-3</c:v>
                </c:pt>
                <c:pt idx="46">
                  <c:v>-1.9047912888923476E-3</c:v>
                </c:pt>
                <c:pt idx="47">
                  <c:v>-1.9121691450610166E-3</c:v>
                </c:pt>
                <c:pt idx="48">
                  <c:v>-1.914317780352345E-3</c:v>
                </c:pt>
                <c:pt idx="49">
                  <c:v>-1.9166877186679943E-3</c:v>
                </c:pt>
                <c:pt idx="50">
                  <c:v>-1.9190529831972026E-3</c:v>
                </c:pt>
                <c:pt idx="51">
                  <c:v>-1.9214135739574149E-3</c:v>
                </c:pt>
                <c:pt idx="52">
                  <c:v>-1.9286546056921214E-3</c:v>
                </c:pt>
                <c:pt idx="53">
                  <c:v>-1.9308091996337881E-3</c:v>
                </c:pt>
                <c:pt idx="54">
                  <c:v>-1.933146421795011E-3</c:v>
                </c:pt>
                <c:pt idx="55">
                  <c:v>-1.9354789702861639E-3</c:v>
                </c:pt>
                <c:pt idx="56">
                  <c:v>-1.9378068451240294E-3</c:v>
                </c:pt>
                <c:pt idx="57">
                  <c:v>-1.9449123135461489E-3</c:v>
                </c:pt>
                <c:pt idx="58">
                  <c:v>-1.9470716082641258E-3</c:v>
                </c:pt>
                <c:pt idx="59">
                  <c:v>-1.9493761150791154E-3</c:v>
                </c:pt>
                <c:pt idx="60">
                  <c:v>-1.9516759483375354E-3</c:v>
                </c:pt>
                <c:pt idx="61">
                  <c:v>-1.9539711080574932E-3</c:v>
                </c:pt>
                <c:pt idx="62">
                  <c:v>-1.9609422742429992E-3</c:v>
                </c:pt>
                <c:pt idx="63">
                  <c:v>-1.9631050118638338E-3</c:v>
                </c:pt>
                <c:pt idx="64">
                  <c:v>-1.9653768041284179E-3</c:v>
                </c:pt>
                <c:pt idx="65">
                  <c:v>-1.9676439229503744E-3</c:v>
                </c:pt>
                <c:pt idx="66">
                  <c:v>-1.9700000000936763E-3</c:v>
                </c:pt>
                <c:pt idx="67">
                  <c:v>-1.9762573990175264E-3</c:v>
                </c:pt>
                <c:pt idx="68">
                  <c:v>-1.9782956772999467E-3</c:v>
                </c:pt>
                <c:pt idx="69">
                  <c:v>-1.9803101950257684E-3</c:v>
                </c:pt>
                <c:pt idx="70">
                  <c:v>-1.98230095226746E-3</c:v>
                </c:pt>
                <c:pt idx="71">
                  <c:v>-1.9842679490981504E-3</c:v>
                </c:pt>
                <c:pt idx="72">
                  <c:v>-1.9900263778234346E-3</c:v>
                </c:pt>
                <c:pt idx="73">
                  <c:v>-1.991898333707364E-3</c:v>
                </c:pt>
                <c:pt idx="74">
                  <c:v>-1.9937465295257299E-3</c:v>
                </c:pt>
                <c:pt idx="75">
                  <c:v>-1.995570965344853E-3</c:v>
                </c:pt>
                <c:pt idx="76">
                  <c:v>-2.0026923936381394E-3</c:v>
                </c:pt>
                <c:pt idx="77">
                  <c:v>-2.0039781065049724E-3</c:v>
                </c:pt>
                <c:pt idx="78">
                  <c:v>-2.0043367467297854E-3</c:v>
                </c:pt>
                <c:pt idx="79">
                  <c:v>-2.006018623907094E-3</c:v>
                </c:pt>
                <c:pt idx="80">
                  <c:v>-2.0076767415276634E-3</c:v>
                </c:pt>
                <c:pt idx="81">
                  <c:v>-2.0093110996523235E-3</c:v>
                </c:pt>
                <c:pt idx="82">
                  <c:v>-2.0140716176314829E-3</c:v>
                </c:pt>
                <c:pt idx="83">
                  <c:v>-2.015610938350725E-3</c:v>
                </c:pt>
                <c:pt idx="84">
                  <c:v>-2.017126499859983E-3</c:v>
                </c:pt>
                <c:pt idx="85">
                  <c:v>-2.0186183022130599E-3</c:v>
                </c:pt>
                <c:pt idx="86">
                  <c:v>-2.0200863454641984E-3</c:v>
                </c:pt>
                <c:pt idx="87">
                  <c:v>-2.0200000001004484E-3</c:v>
                </c:pt>
                <c:pt idx="88">
                  <c:v>-2.0247526338080545E-3</c:v>
                </c:pt>
                <c:pt idx="89">
                  <c:v>-2.0258594084773835E-3</c:v>
                </c:pt>
                <c:pt idx="90">
                  <c:v>-2.0278696690175135E-3</c:v>
                </c:pt>
                <c:pt idx="91">
                  <c:v>-2.0298716951149026E-3</c:v>
                </c:pt>
                <c:pt idx="92">
                  <c:v>-2.036748160164234E-3</c:v>
                </c:pt>
                <c:pt idx="93">
                  <c:v>-2.0377974555754359E-3</c:v>
                </c:pt>
                <c:pt idx="94">
                  <c:v>-2.03975830983164E-3</c:v>
                </c:pt>
                <c:pt idx="95">
                  <c:v>-2.0417109297926096E-3</c:v>
                </c:pt>
                <c:pt idx="96">
                  <c:v>-2.0436553154837386E-3</c:v>
                </c:pt>
                <c:pt idx="97">
                  <c:v>-2.050370338386585E-3</c:v>
                </c:pt>
                <c:pt idx="98">
                  <c:v>-2.0513505160241656E-3</c:v>
                </c:pt>
                <c:pt idx="99">
                  <c:v>-2.0532537307233751E-3</c:v>
                </c:pt>
                <c:pt idx="100">
                  <c:v>-2.0551487112951718E-3</c:v>
                </c:pt>
                <c:pt idx="101">
                  <c:v>-2.0570354577638447E-3</c:v>
                </c:pt>
                <c:pt idx="102">
                  <c:v>-2.0635912602427801E-3</c:v>
                </c:pt>
                <c:pt idx="103">
                  <c:v>-2.0645001030714662E-3</c:v>
                </c:pt>
                <c:pt idx="104">
                  <c:v>-2.0663456793727536E-3</c:v>
                </c:pt>
                <c:pt idx="105">
                  <c:v>-2.0681830217098127E-3</c:v>
                </c:pt>
                <c:pt idx="106">
                  <c:v>-2.0700121301058289E-3</c:v>
                </c:pt>
                <c:pt idx="107">
                  <c:v>-2.076410933786597E-3</c:v>
                </c:pt>
                <c:pt idx="108">
                  <c:v>-2.0772462247275044E-3</c:v>
                </c:pt>
                <c:pt idx="109">
                  <c:v>-2.0800000000852615E-3</c:v>
                </c:pt>
                <c:pt idx="110">
                  <c:v>-2.0817644040308468E-3</c:v>
                </c:pt>
                <c:pt idx="111">
                  <c:v>-2.0835220673099454E-3</c:v>
                </c:pt>
                <c:pt idx="112">
                  <c:v>-2.0887546133349856E-3</c:v>
                </c:pt>
                <c:pt idx="113">
                  <c:v>-2.0904853141312887E-3</c:v>
                </c:pt>
                <c:pt idx="114">
                  <c:v>-2.0922092743511428E-3</c:v>
                </c:pt>
                <c:pt idx="115">
                  <c:v>-2.093926494012775E-3</c:v>
                </c:pt>
                <c:pt idx="116">
                  <c:v>-2.0956369731333154E-3</c:v>
                </c:pt>
                <c:pt idx="117">
                  <c:v>-2.1007279674227484E-3</c:v>
                </c:pt>
                <c:pt idx="118">
                  <c:v>-2.1024114845532853E-3</c:v>
                </c:pt>
                <c:pt idx="119">
                  <c:v>-2.104088261229254E-3</c:v>
                </c:pt>
                <c:pt idx="120">
                  <c:v>-2.1057582974684428E-3</c:v>
                </c:pt>
                <c:pt idx="121">
                  <c:v>-2.1074215932873216E-3</c:v>
                </c:pt>
                <c:pt idx="122">
                  <c:v>-2.1123710383938303E-3</c:v>
                </c:pt>
                <c:pt idx="123">
                  <c:v>-2.1140073727023223E-3</c:v>
                </c:pt>
                <c:pt idx="124">
                  <c:v>-2.1156369666754916E-3</c:v>
                </c:pt>
                <c:pt idx="125">
                  <c:v>-2.1172598203293689E-3</c:v>
                </c:pt>
                <c:pt idx="126">
                  <c:v>-2.1188759336808641E-3</c:v>
                </c:pt>
                <c:pt idx="127">
                  <c:v>-2.1252729843933083E-3</c:v>
                </c:pt>
                <c:pt idx="128">
                  <c:v>-2.1268553964799478E-3</c:v>
                </c:pt>
                <c:pt idx="129">
                  <c:v>-2.1284310683621489E-3</c:v>
                </c:pt>
                <c:pt idx="130">
                  <c:v>-2.1300000000572601E-3</c:v>
                </c:pt>
                <c:pt idx="131">
                  <c:v>-2.134212172819055E-3</c:v>
                </c:pt>
                <c:pt idx="132">
                  <c:v>-2.1347669074915651E-3</c:v>
                </c:pt>
                <c:pt idx="133">
                  <c:v>-2.1361416637149006E-3</c:v>
                </c:pt>
                <c:pt idx="134">
                  <c:v>-2.1375077952359572E-3</c:v>
                </c:pt>
                <c:pt idx="135">
                  <c:v>-2.1388653020730638E-3</c:v>
                </c:pt>
                <c:pt idx="136">
                  <c:v>-2.1437403708922313E-3</c:v>
                </c:pt>
                <c:pt idx="137">
                  <c:v>-2.1442090829277864E-3</c:v>
                </c:pt>
                <c:pt idx="138">
                  <c:v>-2.1455234666048224E-3</c:v>
                </c:pt>
                <c:pt idx="139">
                  <c:v>-2.1468292257025758E-3</c:v>
                </c:pt>
                <c:pt idx="140">
                  <c:v>-2.1481263602367243E-3</c:v>
                </c:pt>
                <c:pt idx="141">
                  <c:v>-2.1528482868029284E-3</c:v>
                </c:pt>
                <c:pt idx="142">
                  <c:v>-2.1532286530799804E-3</c:v>
                </c:pt>
                <c:pt idx="143">
                  <c:v>-2.1544826650498252E-3</c:v>
                </c:pt>
                <c:pt idx="144">
                  <c:v>-2.1557280525565372E-3</c:v>
                </c:pt>
                <c:pt idx="145">
                  <c:v>-2.1569648156160156E-3</c:v>
                </c:pt>
                <c:pt idx="146">
                  <c:v>-2.1615359263632014E-3</c:v>
                </c:pt>
                <c:pt idx="147">
                  <c:v>-2.1618256237028815E-3</c:v>
                </c:pt>
                <c:pt idx="148">
                  <c:v>-2.163019264765558E-3</c:v>
                </c:pt>
                <c:pt idx="149">
                  <c:v>-2.1642042814768352E-3</c:v>
                </c:pt>
                <c:pt idx="150">
                  <c:v>-2.1653806738506256E-3</c:v>
                </c:pt>
                <c:pt idx="151">
                  <c:v>-2.1698032951152097E-3</c:v>
                </c:pt>
                <c:pt idx="152">
                  <c:v>-2.1700000002824876E-3</c:v>
                </c:pt>
                <c:pt idx="153">
                  <c:v>-2.1714270151235878E-3</c:v>
                </c:pt>
                <c:pt idx="154">
                  <c:v>-2.1728500900707517E-3</c:v>
                </c:pt>
                <c:pt idx="155">
                  <c:v>-2.1742692251325918E-3</c:v>
                </c:pt>
                <c:pt idx="156">
                  <c:v>-2.1789832556882308E-3</c:v>
                </c:pt>
                <c:pt idx="157">
                  <c:v>-2.179906366698286E-3</c:v>
                </c:pt>
                <c:pt idx="158">
                  <c:v>-2.1813058024604758E-3</c:v>
                </c:pt>
                <c:pt idx="159">
                  <c:v>-2.182701298387909E-3</c:v>
                </c:pt>
                <c:pt idx="160">
                  <c:v>-2.1840928544889764E-3</c:v>
                </c:pt>
                <c:pt idx="161">
                  <c:v>-2.1887318023559423E-3</c:v>
                </c:pt>
                <c:pt idx="162">
                  <c:v>-2.189619680791669E-3</c:v>
                </c:pt>
                <c:pt idx="163">
                  <c:v>-2.19099153788302E-3</c:v>
                </c:pt>
                <c:pt idx="164">
                  <c:v>-2.1923594551974688E-3</c:v>
                </c:pt>
                <c:pt idx="165">
                  <c:v>-2.1937234327423015E-3</c:v>
                </c:pt>
                <c:pt idx="166">
                  <c:v>-2.1982883604640983E-3</c:v>
                </c:pt>
                <c:pt idx="167">
                  <c:v>-2.1991399453937417E-3</c:v>
                </c:pt>
                <c:pt idx="168">
                  <c:v>-2.2004842242137135E-3</c:v>
                </c:pt>
                <c:pt idx="169">
                  <c:v>-2.2018245633135332E-3</c:v>
                </c:pt>
                <c:pt idx="170">
                  <c:v>-2.2031609627000456E-3</c:v>
                </c:pt>
                <c:pt idx="171">
                  <c:v>-2.2076529327981625E-3</c:v>
                </c:pt>
                <c:pt idx="172">
                  <c:v>-2.2100000000137834E-3</c:v>
                </c:pt>
                <c:pt idx="173">
                  <c:v>-2.2109845792356309E-3</c:v>
                </c:pt>
                <c:pt idx="174">
                  <c:v>-2.2110739646113448E-3</c:v>
                </c:pt>
                <c:pt idx="175">
                  <c:v>-2.2124924397003633E-3</c:v>
                </c:pt>
                <c:pt idx="176">
                  <c:v>-2.2158589326091694E-3</c:v>
                </c:pt>
                <c:pt idx="177">
                  <c:v>-2.2168240947708835E-3</c:v>
                </c:pt>
                <c:pt idx="178">
                  <c:v>-2.2177860207719105E-3</c:v>
                </c:pt>
                <c:pt idx="179">
                  <c:v>-2.2178371210791075E-3</c:v>
                </c:pt>
                <c:pt idx="180">
                  <c:v>-2.2192408394392758E-3</c:v>
                </c:pt>
                <c:pt idx="181">
                  <c:v>-2.2225471085465919E-3</c:v>
                </c:pt>
                <c:pt idx="182">
                  <c:v>-2.2234896176879771E-3</c:v>
                </c:pt>
                <c:pt idx="183">
                  <c:v>-2.2244288907027781E-3</c:v>
                </c:pt>
                <c:pt idx="184">
                  <c:v>-2.224443412710051E-3</c:v>
                </c:pt>
                <c:pt idx="185">
                  <c:v>-2.2258315259190871E-3</c:v>
                </c:pt>
                <c:pt idx="186">
                  <c:v>-2.2290767140361553E-3</c:v>
                </c:pt>
                <c:pt idx="187">
                  <c:v>-2.2299965703870273E-3</c:v>
                </c:pt>
                <c:pt idx="188">
                  <c:v>-2.230913190643898E-3</c:v>
                </c:pt>
                <c:pt idx="189">
                  <c:v>-2.2308928411125671E-3</c:v>
                </c:pt>
                <c:pt idx="190">
                  <c:v>-2.2322645007430558E-3</c:v>
                </c:pt>
                <c:pt idx="191">
                  <c:v>-2.2354477506685436E-3</c:v>
                </c:pt>
                <c:pt idx="192">
                  <c:v>-2.2363449544532885E-3</c:v>
                </c:pt>
                <c:pt idx="193">
                  <c:v>-2.2372389221748767E-3</c:v>
                </c:pt>
                <c:pt idx="194">
                  <c:v>-2.2386156552367167E-3</c:v>
                </c:pt>
                <c:pt idx="195">
                  <c:v>-2.2400000001448124E-3</c:v>
                </c:pt>
                <c:pt idx="196">
                  <c:v>-2.2438514501860094E-3</c:v>
                </c:pt>
                <c:pt idx="197">
                  <c:v>-2.2448582231821275E-3</c:v>
                </c:pt>
                <c:pt idx="198">
                  <c:v>-2.2458590138385946E-3</c:v>
                </c:pt>
                <c:pt idx="199">
                  <c:v>-2.2468538221650206E-3</c:v>
                </c:pt>
                <c:pt idx="200">
                  <c:v>-2.2494954162403016E-3</c:v>
                </c:pt>
                <c:pt idx="201">
                  <c:v>-2.2507732323443809E-3</c:v>
                </c:pt>
                <c:pt idx="202">
                  <c:v>-2.2517381291522988E-3</c:v>
                </c:pt>
                <c:pt idx="203">
                  <c:v>-2.2526970436834663E-3</c:v>
                </c:pt>
                <c:pt idx="204">
                  <c:v>-2.2536499759466195E-3</c:v>
                </c:pt>
                <c:pt idx="205">
                  <c:v>-2.2583249035437875E-3</c:v>
                </c:pt>
                <c:pt idx="206">
                  <c:v>-2.259241942379257E-3</c:v>
                </c:pt>
                <c:pt idx="207">
                  <c:v>-2.2601529990063365E-3</c:v>
                </c:pt>
                <c:pt idx="208">
                  <c:v>-2.2628389394766975E-3</c:v>
                </c:pt>
                <c:pt idx="209">
                  <c:v>-2.263737403596526E-3</c:v>
                </c:pt>
                <c:pt idx="210">
                  <c:v>-2.2646185493052731E-3</c:v>
                </c:pt>
                <c:pt idx="211">
                  <c:v>-2.2654937128549902E-3</c:v>
                </c:pt>
                <c:pt idx="212">
                  <c:v>-2.2663628942531022E-3</c:v>
                </c:pt>
                <c:pt idx="213">
                  <c:v>-2.2700000001456052E-3</c:v>
                </c:pt>
                <c:pt idx="214">
                  <c:v>-2.2729688691689987E-3</c:v>
                </c:pt>
                <c:pt idx="215">
                  <c:v>-2.2739790918912131E-3</c:v>
                </c:pt>
                <c:pt idx="216">
                  <c:v>-2.2761291107233832E-3</c:v>
                </c:pt>
                <c:pt idx="217">
                  <c:v>-2.2765613004020967E-3</c:v>
                </c:pt>
                <c:pt idx="218">
                  <c:v>-2.2789705942185498E-3</c:v>
                </c:pt>
                <c:pt idx="219">
                  <c:v>-2.2799569724695841E-3</c:v>
                </c:pt>
                <c:pt idx="220">
                  <c:v>-2.280939376664317E-3</c:v>
                </c:pt>
                <c:pt idx="221">
                  <c:v>-2.2831008647499419E-3</c:v>
                </c:pt>
                <c:pt idx="222">
                  <c:v>-2.2834858491892216E-3</c:v>
                </c:pt>
                <c:pt idx="223">
                  <c:v>-2.2857917869861318E-3</c:v>
                </c:pt>
                <c:pt idx="224">
                  <c:v>-2.286750346961657E-3</c:v>
                </c:pt>
                <c:pt idx="225">
                  <c:v>-2.2877049329223689E-3</c:v>
                </c:pt>
                <c:pt idx="226">
                  <c:v>-2.2898799861647036E-3</c:v>
                </c:pt>
                <c:pt idx="227">
                  <c:v>-2.2902167235165256E-3</c:v>
                </c:pt>
                <c:pt idx="228">
                  <c:v>-2.2924182526892407E-3</c:v>
                </c:pt>
                <c:pt idx="229">
                  <c:v>-2.2933489946757664E-3</c:v>
                </c:pt>
                <c:pt idx="230">
                  <c:v>-2.2942757626872303E-3</c:v>
                </c:pt>
                <c:pt idx="231">
                  <c:v>-2.296466476995078E-3</c:v>
                </c:pt>
                <c:pt idx="232">
                  <c:v>-2.296753925396237E-3</c:v>
                </c:pt>
                <c:pt idx="233">
                  <c:v>-2.2988499933080317E-3</c:v>
                </c:pt>
                <c:pt idx="234">
                  <c:v>-2.2997529175838136E-3</c:v>
                </c:pt>
                <c:pt idx="235">
                  <c:v>-2.3000000003612392E-3</c:v>
                </c:pt>
                <c:pt idx="236">
                  <c:v>-2.3010628991804718E-3</c:v>
                </c:pt>
                <c:pt idx="237">
                  <c:v>-2.3032972390026408E-3</c:v>
                </c:pt>
                <c:pt idx="238">
                  <c:v>-2.3052861314905647E-3</c:v>
                </c:pt>
                <c:pt idx="239">
                  <c:v>-2.3063348488487649E-3</c:v>
                </c:pt>
                <c:pt idx="240">
                  <c:v>-2.307380729928212E-3</c:v>
                </c:pt>
                <c:pt idx="241">
                  <c:v>-2.3084237747334926E-3</c:v>
                </c:pt>
                <c:pt idx="242">
                  <c:v>-2.3106696040659349E-3</c:v>
                </c:pt>
                <c:pt idx="243">
                  <c:v>-2.3125675913035905E-3</c:v>
                </c:pt>
                <c:pt idx="244">
                  <c:v>-2.3135964548057449E-3</c:v>
                </c:pt>
                <c:pt idx="245">
                  <c:v>-2.3146224820610336E-3</c:v>
                </c:pt>
                <c:pt idx="246">
                  <c:v>-2.315645673072951E-3</c:v>
                </c:pt>
                <c:pt idx="247">
                  <c:v>-2.3179044956147116E-3</c:v>
                </c:pt>
                <c:pt idx="248">
                  <c:v>-2.3197100747819133E-3</c:v>
                </c:pt>
                <c:pt idx="249">
                  <c:v>-2.3207190846464268E-3</c:v>
                </c:pt>
                <c:pt idx="250">
                  <c:v>-2.3217252582942143E-3</c:v>
                </c:pt>
                <c:pt idx="251">
                  <c:v>-2.3227285957298626E-3</c:v>
                </c:pt>
                <c:pt idx="252">
                  <c:v>-2.326278471586033E-3</c:v>
                </c:pt>
                <c:pt idx="253">
                  <c:v>-2.3273571499439543E-3</c:v>
                </c:pt>
                <c:pt idx="254">
                  <c:v>-2.3277027398812965E-3</c:v>
                </c:pt>
                <c:pt idx="255">
                  <c:v>-2.3286890601358378E-3</c:v>
                </c:pt>
                <c:pt idx="256">
                  <c:v>-2.3296725442085975E-3</c:v>
                </c:pt>
                <c:pt idx="257">
                  <c:v>-2.3300000000601078E-3</c:v>
                </c:pt>
                <c:pt idx="258">
                  <c:v>-2.3328191669741427E-3</c:v>
                </c:pt>
                <c:pt idx="259">
                  <c:v>-2.3334865686393804E-3</c:v>
                </c:pt>
                <c:pt idx="260">
                  <c:v>-2.3341499850494485E-3</c:v>
                </c:pt>
                <c:pt idx="261">
                  <c:v>-2.3356530078037199E-3</c:v>
                </c:pt>
                <c:pt idx="262">
                  <c:v>-2.3358889275598978E-3</c:v>
                </c:pt>
                <c:pt idx="263">
                  <c:v>-2.3374072884047511E-3</c:v>
                </c:pt>
                <c:pt idx="264">
                  <c:v>-2.3380467933650424E-3</c:v>
                </c:pt>
                <c:pt idx="265">
                  <c:v>-2.338682313097968E-3</c:v>
                </c:pt>
                <c:pt idx="266">
                  <c:v>-2.3402062280299517E-3</c:v>
                </c:pt>
                <c:pt idx="267">
                  <c:v>-2.340390139896596E-3</c:v>
                </c:pt>
                <c:pt idx="268">
                  <c:v>-2.3418001334807076E-3</c:v>
                </c:pt>
                <c:pt idx="269">
                  <c:v>-2.3424117419276387E-3</c:v>
                </c:pt>
                <c:pt idx="270">
                  <c:v>-2.3430193651741392E-3</c:v>
                </c:pt>
                <c:pt idx="271">
                  <c:v>-2.3445662743711237E-3</c:v>
                </c:pt>
                <c:pt idx="272">
                  <c:v>-2.3446971332697882E-3</c:v>
                </c:pt>
                <c:pt idx="273">
                  <c:v>-2.3459977035190024E-3</c:v>
                </c:pt>
                <c:pt idx="274">
                  <c:v>-2.3465814156363395E-3</c:v>
                </c:pt>
                <c:pt idx="275">
                  <c:v>-2.3471611425777915E-3</c:v>
                </c:pt>
                <c:pt idx="276">
                  <c:v>-2.3487331481350064E-3</c:v>
                </c:pt>
                <c:pt idx="277">
                  <c:v>-2.3488099089711972E-3</c:v>
                </c:pt>
                <c:pt idx="278">
                  <c:v>-2.3499999997777595E-3</c:v>
                </c:pt>
                <c:pt idx="279">
                  <c:v>-2.3507114113595776E-3</c:v>
                </c:pt>
                <c:pt idx="280">
                  <c:v>-2.3514201154386954E-3</c:v>
                </c:pt>
                <c:pt idx="281">
                  <c:v>-2.3525423482264893E-3</c:v>
                </c:pt>
                <c:pt idx="282">
                  <c:v>-2.3530378372692536E-3</c:v>
                </c:pt>
                <c:pt idx="283">
                  <c:v>-2.354923023384576E-3</c:v>
                </c:pt>
                <c:pt idx="284">
                  <c:v>-2.3556154825050547E-3</c:v>
                </c:pt>
                <c:pt idx="285">
                  <c:v>-2.3563052341417311E-3</c:v>
                </c:pt>
                <c:pt idx="286">
                  <c:v>-2.3574384582099538E-3</c:v>
                </c:pt>
                <c:pt idx="287">
                  <c:v>-2.3579002067538155E-3</c:v>
                </c:pt>
                <c:pt idx="288">
                  <c:v>-2.3597133801821157E-3</c:v>
                </c:pt>
                <c:pt idx="289">
                  <c:v>-2.3603868869809252E-3</c:v>
                </c:pt>
                <c:pt idx="290">
                  <c:v>-2.3610576863165689E-3</c:v>
                </c:pt>
                <c:pt idx="291">
                  <c:v>-2.3622033296686398E-3</c:v>
                </c:pt>
                <c:pt idx="292">
                  <c:v>-2.3626306277816757E-3</c:v>
                </c:pt>
                <c:pt idx="293">
                  <c:v>-2.3643710711452495E-3</c:v>
                </c:pt>
                <c:pt idx="294">
                  <c:v>-2.3650256257607585E-3</c:v>
                </c:pt>
                <c:pt idx="295">
                  <c:v>-2.3656774729317819E-3</c:v>
                </c:pt>
                <c:pt idx="296">
                  <c:v>-2.3668369635723089E-3</c:v>
                </c:pt>
                <c:pt idx="297">
                  <c:v>-2.3672291013157407E-3</c:v>
                </c:pt>
                <c:pt idx="298">
                  <c:v>-2.3688960972238714E-3</c:v>
                </c:pt>
                <c:pt idx="299">
                  <c:v>-2.3692688233456494E-3</c:v>
                </c:pt>
                <c:pt idx="300">
                  <c:v>-2.3696368172358082E-3</c:v>
                </c:pt>
                <c:pt idx="301">
                  <c:v>-2.3700000002899809E-3</c:v>
                </c:pt>
                <c:pt idx="302">
                  <c:v>-2.3707052471985878E-3</c:v>
                </c:pt>
                <c:pt idx="303">
                  <c:v>-2.3721772616796294E-3</c:v>
                </c:pt>
                <c:pt idx="304">
                  <c:v>-2.373515097780189E-3</c:v>
                </c:pt>
                <c:pt idx="305">
                  <c:v>-2.3742147761679029E-3</c:v>
                </c:pt>
                <c:pt idx="306">
                  <c:v>-2.3749133408544412E-3</c:v>
                </c:pt>
                <c:pt idx="307">
                  <c:v>-2.3756107918424542E-3</c:v>
                </c:pt>
                <c:pt idx="308">
                  <c:v>-2.377054109107061E-3</c:v>
                </c:pt>
                <c:pt idx="309">
                  <c:v>-2.3783894588202898E-3</c:v>
                </c:pt>
                <c:pt idx="310">
                  <c:v>-2.379081341327157E-3</c:v>
                </c:pt>
                <c:pt idx="311">
                  <c:v>-2.3797721101421225E-3</c:v>
                </c:pt>
                <c:pt idx="312">
                  <c:v>-2.3804617652658498E-3</c:v>
                </c:pt>
                <c:pt idx="313">
                  <c:v>-2.3818766855634786E-3</c:v>
                </c:pt>
                <c:pt idx="314">
                  <c:v>-2.3832092488693499E-3</c:v>
                </c:pt>
                <c:pt idx="315">
                  <c:v>-2.3838933355536658E-3</c:v>
                </c:pt>
                <c:pt idx="316">
                  <c:v>-2.3845763085529261E-3</c:v>
                </c:pt>
                <c:pt idx="317">
                  <c:v>-2.3852581678695593E-3</c:v>
                </c:pt>
                <c:pt idx="318">
                  <c:v>-2.386644991445488E-3</c:v>
                </c:pt>
                <c:pt idx="319">
                  <c:v>-2.3879744683250616E-3</c:v>
                </c:pt>
                <c:pt idx="320">
                  <c:v>-2.38865075924181E-3</c:v>
                </c:pt>
                <c:pt idx="321">
                  <c:v>-2.3893259364825567E-3</c:v>
                </c:pt>
                <c:pt idx="322">
                  <c:v>-2.3900000000479631E-3</c:v>
                </c:pt>
                <c:pt idx="323">
                  <c:v>-2.3903250194816216E-3</c:v>
                </c:pt>
                <c:pt idx="324">
                  <c:v>-2.3903228437670821E-3</c:v>
                </c:pt>
                <c:pt idx="325">
                  <c:v>-2.3903807454509693E-3</c:v>
                </c:pt>
                <c:pt idx="326">
                  <c:v>-2.3904340700987435E-3</c:v>
                </c:pt>
                <c:pt idx="327">
                  <c:v>-2.3904828177104052E-3</c:v>
                </c:pt>
                <c:pt idx="328">
                  <c:v>-2.3906015983317878E-3</c:v>
                </c:pt>
                <c:pt idx="329">
                  <c:v>-2.3906320378022927E-3</c:v>
                </c:pt>
                <c:pt idx="330">
                  <c:v>-2.3906579002382217E-3</c:v>
                </c:pt>
                <c:pt idx="331">
                  <c:v>-2.3906791856393556E-3</c:v>
                </c:pt>
                <c:pt idx="332">
                  <c:v>-2.3906958940067926E-3</c:v>
                </c:pt>
                <c:pt idx="333">
                  <c:v>-2.3907185569018697E-3</c:v>
                </c:pt>
                <c:pt idx="334">
                  <c:v>-2.3907169571321025E-3</c:v>
                </c:pt>
                <c:pt idx="335">
                  <c:v>-2.3907107803281986E-3</c:v>
                </c:pt>
                <c:pt idx="336">
                  <c:v>-2.3907000264905983E-3</c:v>
                </c:pt>
                <c:pt idx="337">
                  <c:v>-2.3906846956179826E-3</c:v>
                </c:pt>
                <c:pt idx="338">
                  <c:v>-2.3906112407955384E-3</c:v>
                </c:pt>
                <c:pt idx="339">
                  <c:v>-2.3905776017850602E-3</c:v>
                </c:pt>
                <c:pt idx="340">
                  <c:v>-2.3905393857400065E-3</c:v>
                </c:pt>
                <c:pt idx="341">
                  <c:v>-2.3904965926588397E-3</c:v>
                </c:pt>
                <c:pt idx="342">
                  <c:v>-2.3904492225424391E-3</c:v>
                </c:pt>
                <c:pt idx="343">
                  <c:v>-2.3902796499763405E-3</c:v>
                </c:pt>
                <c:pt idx="344">
                  <c:v>-2.3900000001952485E-3</c:v>
                </c:pt>
                <c:pt idx="345">
                  <c:v>-2.3900221893797618E-3</c:v>
                </c:pt>
                <c:pt idx="346">
                  <c:v>-2.3900998043336831E-3</c:v>
                </c:pt>
                <c:pt idx="347">
                  <c:v>-2.390143993502692E-3</c:v>
                </c:pt>
                <c:pt idx="348">
                  <c:v>-2.3902456224559783E-3</c:v>
                </c:pt>
                <c:pt idx="349">
                  <c:v>-2.3902826641842593E-3</c:v>
                </c:pt>
                <c:pt idx="350">
                  <c:v>-2.3903078103571381E-3</c:v>
                </c:pt>
                <c:pt idx="351">
                  <c:v>-2.3903291479312767E-3</c:v>
                </c:pt>
                <c:pt idx="352">
                  <c:v>-2.3903466769057916E-3</c:v>
                </c:pt>
                <c:pt idx="353">
                  <c:v>-2.3903993475631277E-3</c:v>
                </c:pt>
                <c:pt idx="354">
                  <c:v>-2.390378706822632E-3</c:v>
                </c:pt>
                <c:pt idx="355">
                  <c:v>-2.3903771928056538E-3</c:v>
                </c:pt>
                <c:pt idx="356">
                  <c:v>-2.3903718701903773E-3</c:v>
                </c:pt>
                <c:pt idx="357">
                  <c:v>-2.3903627389765809E-3</c:v>
                </c:pt>
                <c:pt idx="358">
                  <c:v>-2.3903674779717659E-3</c:v>
                </c:pt>
                <c:pt idx="359">
                  <c:v>-2.3902881281368648E-3</c:v>
                </c:pt>
                <c:pt idx="360">
                  <c:v>-2.3902599539300296E-3</c:v>
                </c:pt>
                <c:pt idx="361">
                  <c:v>-2.3902279711246754E-3</c:v>
                </c:pt>
                <c:pt idx="362">
                  <c:v>-2.3901921797196976E-3</c:v>
                </c:pt>
                <c:pt idx="363">
                  <c:v>-2.3901500136739879E-3</c:v>
                </c:pt>
                <c:pt idx="364">
                  <c:v>-2.3900109281026673E-3</c:v>
                </c:pt>
                <c:pt idx="365">
                  <c:v>-2.3899560936978051E-3</c:v>
                </c:pt>
                <c:pt idx="366">
                  <c:v>-2.3899999999696725E-3</c:v>
                </c:pt>
                <c:pt idx="367">
                  <c:v>-2.3897162271051251E-3</c:v>
                </c:pt>
                <c:pt idx="368">
                  <c:v>-2.3888387423093111E-3</c:v>
                </c:pt>
                <c:pt idx="369">
                  <c:v>-2.3885375253041262E-3</c:v>
                </c:pt>
                <c:pt idx="370">
                  <c:v>-2.3882319472584021E-3</c:v>
                </c:pt>
                <c:pt idx="371">
                  <c:v>-2.38792200817104E-3</c:v>
                </c:pt>
                <c:pt idx="372">
                  <c:v>-2.3876077080391849E-3</c:v>
                </c:pt>
                <c:pt idx="373">
                  <c:v>-2.3866386413569011E-3</c:v>
                </c:pt>
                <c:pt idx="374">
                  <c:v>-2.3863068970277511E-3</c:v>
                </c:pt>
                <c:pt idx="375">
                  <c:v>-2.3859707916431281E-3</c:v>
                </c:pt>
                <c:pt idx="376">
                  <c:v>-2.3856303252008364E-3</c:v>
                </c:pt>
                <c:pt idx="377">
                  <c:v>-2.3852854976999975E-3</c:v>
                </c:pt>
                <c:pt idx="378">
                  <c:v>-2.3842248488178679E-3</c:v>
                </c:pt>
                <c:pt idx="379">
                  <c:v>-2.383862577056048E-3</c:v>
                </c:pt>
                <c:pt idx="380">
                  <c:v>-2.3834959442236027E-3</c:v>
                </c:pt>
                <c:pt idx="381">
                  <c:v>-2.383124950317238E-3</c:v>
                </c:pt>
                <c:pt idx="382">
                  <c:v>-2.3827495953351965E-3</c:v>
                </c:pt>
                <c:pt idx="383">
                  <c:v>-2.3808074041971709E-3</c:v>
                </c:pt>
                <c:pt idx="384">
                  <c:v>-2.3804058827061702E-3</c:v>
                </c:pt>
                <c:pt idx="385">
                  <c:v>-2.3800000001210461E-3</c:v>
                </c:pt>
                <c:pt idx="386">
                  <c:v>-2.3720168442443669E-3</c:v>
                </c:pt>
                <c:pt idx="387">
                  <c:v>-2.3693765451617945E-3</c:v>
                </c:pt>
                <c:pt idx="388">
                  <c:v>-2.3667261089531664E-3</c:v>
                </c:pt>
                <c:pt idx="389">
                  <c:v>-2.3640655355771892E-3</c:v>
                </c:pt>
                <c:pt idx="390">
                  <c:v>-2.353662050585873E-3</c:v>
                </c:pt>
                <c:pt idx="391">
                  <c:v>-2.3533218695891735E-3</c:v>
                </c:pt>
                <c:pt idx="392">
                  <c:v>-2.3506106097647881E-3</c:v>
                </c:pt>
                <c:pt idx="393">
                  <c:v>-2.3478892125279463E-3</c:v>
                </c:pt>
                <c:pt idx="394">
                  <c:v>-2.345157677835147E-3</c:v>
                </c:pt>
                <c:pt idx="395">
                  <c:v>-2.3346256339810585E-3</c:v>
                </c:pt>
                <c:pt idx="396">
                  <c:v>-2.3341301636747615E-3</c:v>
                </c:pt>
                <c:pt idx="397">
                  <c:v>-2.331347941076597E-3</c:v>
                </c:pt>
                <c:pt idx="398">
                  <c:v>-2.3285555807696389E-3</c:v>
                </c:pt>
                <c:pt idx="399">
                  <c:v>-2.3257530827119318E-3</c:v>
                </c:pt>
                <c:pt idx="400">
                  <c:v>-2.3150952053996431E-3</c:v>
                </c:pt>
                <c:pt idx="401">
                  <c:v>-2.3144417121093272E-3</c:v>
                </c:pt>
                <c:pt idx="402">
                  <c:v>-2.3115885246499934E-3</c:v>
                </c:pt>
                <c:pt idx="403">
                  <c:v>-2.3087251991793451E-3</c:v>
                </c:pt>
                <c:pt idx="404">
                  <c:v>-2.3058517356545436E-3</c:v>
                </c:pt>
                <c:pt idx="405">
                  <c:v>-2.2950707501937836E-3</c:v>
                </c:pt>
                <c:pt idx="406">
                  <c:v>-2.2942565001274448E-3</c:v>
                </c:pt>
                <c:pt idx="407">
                  <c:v>-2.2913323456667748E-3</c:v>
                </c:pt>
                <c:pt idx="408">
                  <c:v>-2.2887179629504928E-3</c:v>
                </c:pt>
                <c:pt idx="409">
                  <c:v>-2.2860945402281194E-3</c:v>
                </c:pt>
                <c:pt idx="410">
                  <c:v>-2.2761539297597379E-3</c:v>
                </c:pt>
                <c:pt idx="411">
                  <c:v>-2.2755104485611532E-3</c:v>
                </c:pt>
                <c:pt idx="412">
                  <c:v>-2.2728418252695253E-3</c:v>
                </c:pt>
                <c:pt idx="413">
                  <c:v>-2.2701641617549626E-3</c:v>
                </c:pt>
                <c:pt idx="414">
                  <c:v>-2.2674774579821339E-3</c:v>
                </c:pt>
                <c:pt idx="415">
                  <c:v>-2.2574296021208025E-3</c:v>
                </c:pt>
                <c:pt idx="416">
                  <c:v>-2.25664023956246E-3</c:v>
                </c:pt>
                <c:pt idx="417">
                  <c:v>-2.2539083339409589E-3</c:v>
                </c:pt>
                <c:pt idx="418">
                  <c:v>-2.2511673878383861E-3</c:v>
                </c:pt>
                <c:pt idx="419">
                  <c:v>-2.2484174012183081E-3</c:v>
                </c:pt>
                <c:pt idx="420">
                  <c:v>-2.2382647304302989E-3</c:v>
                </c:pt>
                <c:pt idx="421">
                  <c:v>-2.2373270487984647E-3</c:v>
                </c:pt>
                <c:pt idx="422">
                  <c:v>-2.2345318590202634E-3</c:v>
                </c:pt>
                <c:pt idx="423">
                  <c:v>-2.2317276284966724E-3</c:v>
                </c:pt>
                <c:pt idx="424">
                  <c:v>-2.2289143571888278E-3</c:v>
                </c:pt>
                <c:pt idx="425">
                  <c:v>-2.2186593018723244E-3</c:v>
                </c:pt>
                <c:pt idx="426">
                  <c:v>-2.2175708633528682E-3</c:v>
                </c:pt>
                <c:pt idx="427">
                  <c:v>-2.2095533146520405E-3</c:v>
                </c:pt>
                <c:pt idx="428">
                  <c:v>-2.2042632173198272E-3</c:v>
                </c:pt>
                <c:pt idx="429">
                  <c:v>-2.2039871911173179E-3</c:v>
                </c:pt>
                <c:pt idx="430">
                  <c:v>-2.1997762410178642E-3</c:v>
                </c:pt>
                <c:pt idx="431">
                  <c:v>-2.1978028537301543E-3</c:v>
                </c:pt>
                <c:pt idx="432">
                  <c:v>-2.1958234755461875E-3</c:v>
                </c:pt>
                <c:pt idx="433">
                  <c:v>-2.190598895456575E-3</c:v>
                </c:pt>
                <c:pt idx="434">
                  <c:v>-2.1902277236556969E-3</c:v>
                </c:pt>
                <c:pt idx="435">
                  <c:v>-2.1858367205499548E-3</c:v>
                </c:pt>
                <c:pt idx="436">
                  <c:v>-2.1838213966070097E-3</c:v>
                </c:pt>
                <c:pt idx="437">
                  <c:v>-2.181800081638997E-3</c:v>
                </c:pt>
                <c:pt idx="438">
                  <c:v>-2.1766441768849222E-3</c:v>
                </c:pt>
                <c:pt idx="439">
                  <c:v>-2.1761762876362045E-3</c:v>
                </c:pt>
                <c:pt idx="440">
                  <c:v>-2.1716036407808297E-3</c:v>
                </c:pt>
                <c:pt idx="441">
                  <c:v>-2.1695463792744626E-3</c:v>
                </c:pt>
                <c:pt idx="442">
                  <c:v>-2.1674831266124805E-3</c:v>
                </c:pt>
                <c:pt idx="443">
                  <c:v>-2.1623990553191444E-3</c:v>
                </c:pt>
                <c:pt idx="444">
                  <c:v>-2.1618328767296336E-3</c:v>
                </c:pt>
                <c:pt idx="445">
                  <c:v>-2.1570769952995307E-3</c:v>
                </c:pt>
                <c:pt idx="446">
                  <c:v>-2.1549777953030918E-3</c:v>
                </c:pt>
                <c:pt idx="447">
                  <c:v>-2.1528726040165799E-3</c:v>
                </c:pt>
                <c:pt idx="448">
                  <c:v>-2.152229602113425E-3</c:v>
                </c:pt>
                <c:pt idx="449">
                  <c:v>-2.1380368621111583E-3</c:v>
                </c:pt>
                <c:pt idx="450">
                  <c:v>-2.1351737079244142E-3</c:v>
                </c:pt>
                <c:pt idx="451">
                  <c:v>-2.1323023515916043E-3</c:v>
                </c:pt>
                <c:pt idx="452">
                  <c:v>-2.1266992660200434E-3</c:v>
                </c:pt>
                <c:pt idx="453">
                  <c:v>-2.1207349040855191E-3</c:v>
                </c:pt>
                <c:pt idx="454">
                  <c:v>-2.1178225364837924E-3</c:v>
                </c:pt>
                <c:pt idx="455">
                  <c:v>-2.1149019665195608E-3</c:v>
                </c:pt>
                <c:pt idx="456">
                  <c:v>-2.1119731941563508E-3</c:v>
                </c:pt>
                <c:pt idx="457">
                  <c:v>-2.1064923018029045E-3</c:v>
                </c:pt>
                <c:pt idx="458">
                  <c:v>-2.1001760799733322E-3</c:v>
                </c:pt>
                <c:pt idx="459">
                  <c:v>-2.0972062950611369E-3</c:v>
                </c:pt>
                <c:pt idx="460">
                  <c:v>-2.0942283075285006E-3</c:v>
                </c:pt>
                <c:pt idx="461">
                  <c:v>-2.0912421173376393E-3</c:v>
                </c:pt>
                <c:pt idx="462">
                  <c:v>-2.0858877647788737E-3</c:v>
                </c:pt>
                <c:pt idx="463">
                  <c:v>-2.0792153292428193E-3</c:v>
                </c:pt>
                <c:pt idx="464">
                  <c:v>-2.0761881251984424E-3</c:v>
                </c:pt>
                <c:pt idx="465">
                  <c:v>-2.0731527182697921E-3</c:v>
                </c:pt>
                <c:pt idx="466">
                  <c:v>-2.0701091084197399E-3</c:v>
                </c:pt>
                <c:pt idx="467">
                  <c:v>-2.0648856423089793E-3</c:v>
                </c:pt>
                <c:pt idx="468">
                  <c:v>-2.0568036494696433E-3</c:v>
                </c:pt>
                <c:pt idx="469">
                  <c:v>-2.0511449969719811E-3</c:v>
                </c:pt>
                <c:pt idx="470">
                  <c:v>-2.0463054935670661E-3</c:v>
                </c:pt>
                <c:pt idx="471">
                  <c:v>-2.0444656822246267E-3</c:v>
                </c:pt>
                <c:pt idx="472">
                  <c:v>-2.0368683728353965E-3</c:v>
                </c:pt>
                <c:pt idx="473">
                  <c:v>-2.0339907632519519E-3</c:v>
                </c:pt>
                <c:pt idx="474">
                  <c:v>-2.0311057253401205E-3</c:v>
                </c:pt>
                <c:pt idx="475">
                  <c:v>-2.0263896876086948E-3</c:v>
                </c:pt>
                <c:pt idx="476">
                  <c:v>-2.0244109018524733E-3</c:v>
                </c:pt>
                <c:pt idx="477">
                  <c:v>-2.0165691097030337E-3</c:v>
                </c:pt>
                <c:pt idx="478">
                  <c:v>-2.0136395011277381E-3</c:v>
                </c:pt>
                <c:pt idx="479">
                  <c:v>-2.0107024639927184E-3</c:v>
                </c:pt>
                <c:pt idx="480">
                  <c:v>-2.0061138070788741E-3</c:v>
                </c:pt>
                <c:pt idx="481">
                  <c:v>-2.0039940975021733E-3</c:v>
                </c:pt>
                <c:pt idx="482">
                  <c:v>-1.9959058487366227E-3</c:v>
                </c:pt>
                <c:pt idx="483">
                  <c:v>-1.9929242395331759E-3</c:v>
                </c:pt>
                <c:pt idx="484">
                  <c:v>-1.9899352015334548E-3</c:v>
                </c:pt>
                <c:pt idx="485">
                  <c:v>-1.9854778406541884E-3</c:v>
                </c:pt>
                <c:pt idx="486">
                  <c:v>-1.9832152577720359E-3</c:v>
                </c:pt>
                <c:pt idx="487">
                  <c:v>-1.9748785783943097E-3</c:v>
                </c:pt>
                <c:pt idx="488">
                  <c:v>-1.9718449668977389E-3</c:v>
                </c:pt>
                <c:pt idx="489">
                  <c:v>-1.9688039263648688E-3</c:v>
                </c:pt>
                <c:pt idx="490">
                  <c:v>-1.9663982181066715E-3</c:v>
                </c:pt>
                <c:pt idx="491">
                  <c:v>-1.9623664108288988E-3</c:v>
                </c:pt>
                <c:pt idx="492">
                  <c:v>-1.9552607709222747E-3</c:v>
                </c:pt>
                <c:pt idx="493">
                  <c:v>-1.9524598365912465E-3</c:v>
                </c:pt>
                <c:pt idx="494">
                  <c:v>-1.9496522731898109E-3</c:v>
                </c:pt>
                <c:pt idx="495">
                  <c:v>-1.9468380806891385E-3</c:v>
                </c:pt>
                <c:pt idx="496">
                  <c:v>-1.9429310320507607E-3</c:v>
                </c:pt>
                <c:pt idx="497">
                  <c:v>-1.9355150191266662E-3</c:v>
                </c:pt>
                <c:pt idx="498">
                  <c:v>-1.9326676807023926E-3</c:v>
                </c:pt>
                <c:pt idx="499">
                  <c:v>-1.9298137130080895E-3</c:v>
                </c:pt>
                <c:pt idx="500">
                  <c:v>-1.9269531160133993E-3</c:v>
                </c:pt>
                <c:pt idx="501">
                  <c:v>-1.9231743387462855E-3</c:v>
                </c:pt>
                <c:pt idx="502">
                  <c:v>-1.9154444344602923E-3</c:v>
                </c:pt>
                <c:pt idx="503">
                  <c:v>-1.9125506905323165E-3</c:v>
                </c:pt>
                <c:pt idx="504">
                  <c:v>-1.9096503171298848E-3</c:v>
                </c:pt>
                <c:pt idx="505">
                  <c:v>-1.9067433142243866E-3</c:v>
                </c:pt>
                <c:pt idx="506">
                  <c:v>-1.9030963211233059E-3</c:v>
                </c:pt>
                <c:pt idx="507">
                  <c:v>-1.8943930893793677E-3</c:v>
                </c:pt>
                <c:pt idx="508">
                  <c:v>-1.8917936620589239E-3</c:v>
                </c:pt>
                <c:pt idx="509">
                  <c:v>-1.889162075562316E-3</c:v>
                </c:pt>
                <c:pt idx="510">
                  <c:v>-1.8862086653038844E-3</c:v>
                </c:pt>
                <c:pt idx="511">
                  <c:v>-1.8826969692293505E-3</c:v>
                </c:pt>
                <c:pt idx="512">
                  <c:v>-1.8813473829945462E-3</c:v>
                </c:pt>
                <c:pt idx="513">
                  <c:v>-1.8808055784059609E-3</c:v>
                </c:pt>
                <c:pt idx="514">
                  <c:v>-1.8802637736666265E-3</c:v>
                </c:pt>
                <c:pt idx="515">
                  <c:v>-1.8791703514140212E-3</c:v>
                </c:pt>
                <c:pt idx="516">
                  <c:v>-1.8789043564062045E-3</c:v>
                </c:pt>
                <c:pt idx="517">
                  <c:v>-1.8775547477195807E-3</c:v>
                </c:pt>
                <c:pt idx="518">
                  <c:v>-1.8770129420798796E-3</c:v>
                </c:pt>
                <c:pt idx="519">
                  <c:v>-1.8764711362896467E-3</c:v>
                </c:pt>
                <c:pt idx="520">
                  <c:v>-1.8753777515072064E-3</c:v>
                </c:pt>
                <c:pt idx="521">
                  <c:v>-1.8751117361846524E-3</c:v>
                </c:pt>
                <c:pt idx="522">
                  <c:v>-1.8737621050857192E-3</c:v>
                </c:pt>
                <c:pt idx="523">
                  <c:v>-1.8732202983942506E-3</c:v>
                </c:pt>
                <c:pt idx="524">
                  <c:v>-1.8726784915526849E-3</c:v>
                </c:pt>
                <c:pt idx="525">
                  <c:v>-1.8715851441618255E-3</c:v>
                </c:pt>
                <c:pt idx="526">
                  <c:v>-1.8713191085640458E-3</c:v>
                </c:pt>
                <c:pt idx="527">
                  <c:v>-1.8699694550927441E-3</c:v>
                </c:pt>
                <c:pt idx="528">
                  <c:v>-1.8694276473499426E-3</c:v>
                </c:pt>
                <c:pt idx="529">
                  <c:v>-1.8688858394570441E-3</c:v>
                </c:pt>
                <c:pt idx="530">
                  <c:v>-1.8677925293774493E-3</c:v>
                </c:pt>
                <c:pt idx="531">
                  <c:v>-1.8675264735439527E-3</c:v>
                </c:pt>
                <c:pt idx="532">
                  <c:v>-1.8661767977404386E-3</c:v>
                </c:pt>
                <c:pt idx="533">
                  <c:v>-1.8656349889469559E-3</c:v>
                </c:pt>
                <c:pt idx="534">
                  <c:v>-1.8650931800027243E-3</c:v>
                </c:pt>
                <c:pt idx="535">
                  <c:v>-1.8639999071536474E-3</c:v>
                </c:pt>
                <c:pt idx="536">
                  <c:v>-1.8637338311250215E-3</c:v>
                </c:pt>
                <c:pt idx="537">
                  <c:v>-1.8623841330296714E-3</c:v>
                </c:pt>
                <c:pt idx="538">
                  <c:v>-1.8618423231848559E-3</c:v>
                </c:pt>
                <c:pt idx="539">
                  <c:v>-1.8613005131892912E-3</c:v>
                </c:pt>
                <c:pt idx="540">
                  <c:v>-1.8602072774921393E-3</c:v>
                </c:pt>
                <c:pt idx="541">
                  <c:v>-1.859941181308116E-3</c:v>
                </c:pt>
                <c:pt idx="542">
                  <c:v>-1.8585914609597911E-3</c:v>
                </c:pt>
                <c:pt idx="543">
                  <c:v>-1.858049650063208E-3</c:v>
                </c:pt>
                <c:pt idx="544">
                  <c:v>-1.857507839016745E-3</c:v>
                </c:pt>
                <c:pt idx="545">
                  <c:v>-1.856414640390346E-3</c:v>
                </c:pt>
                <c:pt idx="546">
                  <c:v>-1.856148524091292E-3</c:v>
                </c:pt>
                <c:pt idx="547">
                  <c:v>-1.8547987815307973E-3</c:v>
                </c:pt>
                <c:pt idx="548">
                  <c:v>-1.8542569695833156E-3</c:v>
                </c:pt>
                <c:pt idx="549">
                  <c:v>-1.8537151574848679E-3</c:v>
                </c:pt>
                <c:pt idx="550">
                  <c:v>-1.8526219958510614E-3</c:v>
                </c:pt>
                <c:pt idx="551">
                  <c:v>-1.8523558594760617E-3</c:v>
                </c:pt>
                <c:pt idx="552">
                  <c:v>-1.8510060947429074E-3</c:v>
                </c:pt>
                <c:pt idx="553">
                  <c:v>-1.8504642817434413E-3</c:v>
                </c:pt>
                <c:pt idx="554">
                  <c:v>-1.8501981311615304E-3</c:v>
                </c:pt>
                <c:pt idx="555">
                  <c:v>-1.8499319777721911E-3</c:v>
                </c:pt>
                <c:pt idx="556">
                  <c:v>-1.8496658215765883E-3</c:v>
                </c:pt>
                <c:pt idx="557">
                  <c:v>-1.8477647014023936E-3</c:v>
                </c:pt>
                <c:pt idx="558">
                  <c:v>-1.8474985337754298E-3</c:v>
                </c:pt>
                <c:pt idx="559">
                  <c:v>-1.8469567114558225E-3</c:v>
                </c:pt>
                <c:pt idx="560">
                  <c:v>-1.8464148889887086E-3</c:v>
                </c:pt>
                <c:pt idx="561">
                  <c:v>-1.8458730663736471E-3</c:v>
                </c:pt>
                <c:pt idx="562">
                  <c:v>-1.8439719620354279E-3</c:v>
                </c:pt>
                <c:pt idx="563">
                  <c:v>-1.8437057744359079E-3</c:v>
                </c:pt>
                <c:pt idx="564">
                  <c:v>-1.8431639510822107E-3</c:v>
                </c:pt>
                <c:pt idx="565">
                  <c:v>-1.8426221275803444E-3</c:v>
                </c:pt>
                <c:pt idx="566">
                  <c:v>-1.8420803039311928E-3</c:v>
                </c:pt>
                <c:pt idx="567">
                  <c:v>-1.8401792153903281E-3</c:v>
                </c:pt>
                <c:pt idx="568">
                  <c:v>-1.8399130078568732E-3</c:v>
                </c:pt>
                <c:pt idx="569">
                  <c:v>-1.8393711834693068E-3</c:v>
                </c:pt>
                <c:pt idx="570">
                  <c:v>-1.8388293589331299E-3</c:v>
                </c:pt>
                <c:pt idx="571">
                  <c:v>-1.8382875342501091E-3</c:v>
                </c:pt>
                <c:pt idx="572">
                  <c:v>-1.8363864614651176E-3</c:v>
                </c:pt>
                <c:pt idx="573">
                  <c:v>-1.8361202340387672E-3</c:v>
                </c:pt>
                <c:pt idx="574">
                  <c:v>-1.8355784086168899E-3</c:v>
                </c:pt>
                <c:pt idx="575">
                  <c:v>-1.8350365830466231E-3</c:v>
                </c:pt>
                <c:pt idx="576">
                  <c:v>-1.8342191702397309E-3</c:v>
                </c:pt>
                <c:pt idx="577">
                  <c:v>-1.8325937002608946E-3</c:v>
                </c:pt>
                <c:pt idx="578">
                  <c:v>-1.8320518766375641E-3</c:v>
                </c:pt>
                <c:pt idx="579">
                  <c:v>-1.8315100528657809E-3</c:v>
                </c:pt>
                <c:pt idx="580">
                  <c:v>-1.8309682289451058E-3</c:v>
                </c:pt>
                <c:pt idx="581">
                  <c:v>-1.830426404875978E-3</c:v>
                </c:pt>
                <c:pt idx="582">
                  <c:v>-1.8288009317774395E-3</c:v>
                </c:pt>
                <c:pt idx="583">
                  <c:v>-1.8282591071145011E-3</c:v>
                </c:pt>
                <c:pt idx="584">
                  <c:v>-1.8277172823028902E-3</c:v>
                </c:pt>
                <c:pt idx="585">
                  <c:v>-1.8271754573419485E-3</c:v>
                </c:pt>
                <c:pt idx="586">
                  <c:v>-1.8266336322332126E-3</c:v>
                </c:pt>
                <c:pt idx="587">
                  <c:v>-1.8250081560149719E-3</c:v>
                </c:pt>
                <c:pt idx="588">
                  <c:v>-1.8244663303119862E-3</c:v>
                </c:pt>
                <c:pt idx="589">
                  <c:v>-1.8239245044603283E-3</c:v>
                </c:pt>
                <c:pt idx="590">
                  <c:v>-1.8233826784602176E-3</c:v>
                </c:pt>
                <c:pt idx="591">
                  <c:v>-1.8217387562552958E-3</c:v>
                </c:pt>
                <c:pt idx="592">
                  <c:v>-1.8209398528826876E-3</c:v>
                </c:pt>
                <c:pt idx="593">
                  <c:v>-1.8206735462302391E-3</c:v>
                </c:pt>
                <c:pt idx="594">
                  <c:v>-1.8201317193387537E-3</c:v>
                </c:pt>
                <c:pt idx="595">
                  <c:v>-1.8195898922988155E-3</c:v>
                </c:pt>
                <c:pt idx="596">
                  <c:v>-1.819048065110205E-3</c:v>
                </c:pt>
                <c:pt idx="597">
                  <c:v>-1.81742258265234E-3</c:v>
                </c:pt>
                <c:pt idx="598">
                  <c:v>-1.8168807548694795E-3</c:v>
                </c:pt>
                <c:pt idx="599">
                  <c:v>-1.816614425766309E-3</c:v>
                </c:pt>
                <c:pt idx="600">
                  <c:v>-1.815797098858181E-3</c:v>
                </c:pt>
                <c:pt idx="601">
                  <c:v>-1.8155307641371488E-3</c:v>
                </c:pt>
                <c:pt idx="602">
                  <c:v>-1.8136297850526149E-3</c:v>
                </c:pt>
                <c:pt idx="603">
                  <c:v>-1.8133634391058818E-3</c:v>
                </c:pt>
                <c:pt idx="604">
                  <c:v>-1.8128216074785816E-3</c:v>
                </c:pt>
                <c:pt idx="605">
                  <c:v>-1.8122797757033336E-3</c:v>
                </c:pt>
                <c:pt idx="606">
                  <c:v>-1.8117379437807999E-3</c:v>
                </c:pt>
                <c:pt idx="607">
                  <c:v>-1.8098369801727793E-3</c:v>
                </c:pt>
                <c:pt idx="608">
                  <c:v>-1.80957061461229E-3</c:v>
                </c:pt>
                <c:pt idx="609">
                  <c:v>-1.8090287819508999E-3</c:v>
                </c:pt>
                <c:pt idx="610">
                  <c:v>-1.8084869491420035E-3</c:v>
                </c:pt>
                <c:pt idx="611">
                  <c:v>-1.807945116185159E-3</c:v>
                </c:pt>
                <c:pt idx="612">
                  <c:v>-1.8060441680141509E-3</c:v>
                </c:pt>
                <c:pt idx="613">
                  <c:v>-1.8057777828800684E-3</c:v>
                </c:pt>
                <c:pt idx="614">
                  <c:v>-1.8052359491843677E-3</c:v>
                </c:pt>
                <c:pt idx="615">
                  <c:v>-1.8046941153411604E-3</c:v>
                </c:pt>
                <c:pt idx="616">
                  <c:v>-1.8041522813502262E-3</c:v>
                </c:pt>
                <c:pt idx="617">
                  <c:v>-1.8022513485762902E-3</c:v>
                </c:pt>
                <c:pt idx="618">
                  <c:v>-1.801984943908555E-3</c:v>
                </c:pt>
                <c:pt idx="619">
                  <c:v>-1.8014431091787641E-3</c:v>
                </c:pt>
                <c:pt idx="620">
                  <c:v>-1.8009012743012461E-3</c:v>
                </c:pt>
                <c:pt idx="621">
                  <c:v>-1.8000840199144759E-3</c:v>
                </c:pt>
                <c:pt idx="622">
                  <c:v>-1.7984585218585385E-3</c:v>
                </c:pt>
                <c:pt idx="623">
                  <c:v>-1.7979166888765403E-3</c:v>
                </c:pt>
                <c:pt idx="624">
                  <c:v>-1.7973748557454305E-3</c:v>
                </c:pt>
                <c:pt idx="625">
                  <c:v>-1.7968330224658682E-3</c:v>
                </c:pt>
                <c:pt idx="626">
                  <c:v>-1.796291189037414E-3</c:v>
                </c:pt>
                <c:pt idx="627">
                  <c:v>-1.7946656878619939E-3</c:v>
                </c:pt>
                <c:pt idx="628">
                  <c:v>-1.7941238538392898E-3</c:v>
                </c:pt>
                <c:pt idx="629">
                  <c:v>-1.7935820196685721E-3</c:v>
                </c:pt>
                <c:pt idx="630">
                  <c:v>-1.7930401853491821E-3</c:v>
                </c:pt>
                <c:pt idx="631">
                  <c:v>-1.7924983508813394E-3</c:v>
                </c:pt>
                <c:pt idx="632">
                  <c:v>-1.7908728465862171E-3</c:v>
                </c:pt>
                <c:pt idx="633">
                  <c:v>-1.7903310115236853E-3</c:v>
                </c:pt>
                <c:pt idx="634">
                  <c:v>-1.7897891763129204E-3</c:v>
                </c:pt>
                <c:pt idx="635">
                  <c:v>-1.7892473409534834E-3</c:v>
                </c:pt>
                <c:pt idx="636">
                  <c:v>-1.7887055054453739E-3</c:v>
                </c:pt>
                <c:pt idx="637">
                  <c:v>-1.7870799980305493E-3</c:v>
                </c:pt>
                <c:pt idx="638">
                  <c:v>-1.7854544892785525E-3</c:v>
                </c:pt>
                <c:pt idx="639">
                  <c:v>-1.7849126527306155E-3</c:v>
                </c:pt>
                <c:pt idx="640">
                  <c:v>-1.7841131642372797E-3</c:v>
                </c:pt>
                <c:pt idx="641">
                  <c:v>-1.762700013829182E-3</c:v>
                </c:pt>
                <c:pt idx="642">
                  <c:v>-1.7571909430775519E-3</c:v>
                </c:pt>
                <c:pt idx="643">
                  <c:v>-1.7516728584207194E-3</c:v>
                </c:pt>
                <c:pt idx="644">
                  <c:v>-1.7300503239300361E-3</c:v>
                </c:pt>
                <c:pt idx="645">
                  <c:v>-1.7295103792342845E-3</c:v>
                </c:pt>
                <c:pt idx="646">
                  <c:v>-1.7239472239215152E-3</c:v>
                </c:pt>
                <c:pt idx="647">
                  <c:v>-1.7183750542515298E-3</c:v>
                </c:pt>
                <c:pt idx="648">
                  <c:v>-1.7127938701485871E-3</c:v>
                </c:pt>
                <c:pt idx="649">
                  <c:v>-1.6911132971241629E-3</c:v>
                </c:pt>
                <c:pt idx="650">
                  <c:v>-1.690378987885591E-3</c:v>
                </c:pt>
                <c:pt idx="651">
                  <c:v>-1.6847527304762354E-3</c:v>
                </c:pt>
                <c:pt idx="652">
                  <c:v>-1.6791174581766088E-3</c:v>
                </c:pt>
                <c:pt idx="653">
                  <c:v>-1.6734731709103087E-3</c:v>
                </c:pt>
                <c:pt idx="654">
                  <c:v>-1.6517369728895261E-3</c:v>
                </c:pt>
                <c:pt idx="655">
                  <c:v>-1.6508058706410367E-3</c:v>
                </c:pt>
                <c:pt idx="656">
                  <c:v>-1.6451165073869322E-3</c:v>
                </c:pt>
                <c:pt idx="657">
                  <c:v>-1.6394181287042032E-3</c:v>
                </c:pt>
                <c:pt idx="658">
                  <c:v>-1.6337107345155632E-3</c:v>
                </c:pt>
                <c:pt idx="659">
                  <c:v>-1.6119213249987541E-3</c:v>
                </c:pt>
                <c:pt idx="660">
                  <c:v>-1.6107910011413748E-3</c:v>
                </c:pt>
                <c:pt idx="661">
                  <c:v>-1.6050385282543919E-3</c:v>
                </c:pt>
                <c:pt idx="662">
                  <c:v>-1.5992770393929224E-3</c:v>
                </c:pt>
                <c:pt idx="663">
                  <c:v>-1.5935065344801218E-3</c:v>
                </c:pt>
                <c:pt idx="664">
                  <c:v>-1.5716663269330596E-3</c:v>
                </c:pt>
                <c:pt idx="665">
                  <c:v>-1.5703343527358798E-3</c:v>
                </c:pt>
                <c:pt idx="666">
                  <c:v>-1.564518766383062E-3</c:v>
                </c:pt>
                <c:pt idx="667">
                  <c:v>-1.5586941635054798E-3</c:v>
                </c:pt>
                <c:pt idx="668">
                  <c:v>-1.5528605440249636E-3</c:v>
                </c:pt>
                <c:pt idx="669">
                  <c:v>-1.5309719518780678E-3</c:v>
                </c:pt>
                <c:pt idx="670">
                  <c:v>-1.5294358984759427E-3</c:v>
                </c:pt>
                <c:pt idx="671">
                  <c:v>-1.523557194784366E-3</c:v>
                </c:pt>
                <c:pt idx="672">
                  <c:v>-1.5176694740111222E-3</c:v>
                </c:pt>
                <c:pt idx="673">
                  <c:v>-1.5117727360769379E-3</c:v>
                </c:pt>
                <c:pt idx="674">
                  <c:v>-1.4898381727295258E-3</c:v>
                </c:pt>
                <c:pt idx="675">
                  <c:v>-1.4880956111201495E-3</c:v>
                </c:pt>
                <c:pt idx="676">
                  <c:v>-1.4821537861738304E-3</c:v>
                </c:pt>
                <c:pt idx="677">
                  <c:v>-1.4762029435834213E-3</c:v>
                </c:pt>
                <c:pt idx="678">
                  <c:v>-1.4702430832681027E-3</c:v>
                </c:pt>
                <c:pt idx="679">
                  <c:v>-1.4482649620871538E-3</c:v>
                </c:pt>
                <c:pt idx="680">
                  <c:v>-1.4463134631327369E-3</c:v>
                </c:pt>
                <c:pt idx="681">
                  <c:v>-1.4403085129741778E-3</c:v>
                </c:pt>
                <c:pt idx="682">
                  <c:v>-1.4263637852997713E-3</c:v>
                </c:pt>
                <c:pt idx="683">
                  <c:v>-1.4126178798338309E-3</c:v>
                </c:pt>
                <c:pt idx="684">
                  <c:v>-1.3985515335430544E-3</c:v>
                </c:pt>
                <c:pt idx="685">
                  <c:v>-1.392555900430458E-3</c:v>
                </c:pt>
                <c:pt idx="686">
                  <c:v>-1.3865513954908928E-3</c:v>
                </c:pt>
                <c:pt idx="687">
                  <c:v>-1.3730798823958204E-3</c:v>
                </c:pt>
                <c:pt idx="688">
                  <c:v>-1.3707932447125199E-3</c:v>
                </c:pt>
                <c:pt idx="689">
                  <c:v>-1.3563957905375565E-3</c:v>
                </c:pt>
                <c:pt idx="690">
                  <c:v>-1.3503380529212464E-3</c:v>
                </c:pt>
                <c:pt idx="691">
                  <c:v>-1.3442714429047307E-3</c:v>
                </c:pt>
                <c:pt idx="692">
                  <c:v>-1.3310298649550677E-3</c:v>
                </c:pt>
                <c:pt idx="693">
                  <c:v>-1.3285362252341336E-3</c:v>
                </c:pt>
                <c:pt idx="694">
                  <c:v>-1.3138053039283332E-3</c:v>
                </c:pt>
                <c:pt idx="695">
                  <c:v>-1.307685457773928E-3</c:v>
                </c:pt>
                <c:pt idx="696">
                  <c:v>-1.3015567386399978E-3</c:v>
                </c:pt>
                <c:pt idx="697">
                  <c:v>-1.2885497610588331E-3</c:v>
                </c:pt>
                <c:pt idx="698">
                  <c:v>-1.2858467932512416E-3</c:v>
                </c:pt>
                <c:pt idx="699">
                  <c:v>-1.2707800453452521E-3</c:v>
                </c:pt>
                <c:pt idx="700">
                  <c:v>-1.2645980865762302E-3</c:v>
                </c:pt>
                <c:pt idx="701">
                  <c:v>-1.2584072542409785E-3</c:v>
                </c:pt>
                <c:pt idx="702">
                  <c:v>-1.2456395424091076E-3</c:v>
                </c:pt>
                <c:pt idx="703">
                  <c:v>-1.2427249203249709E-3</c:v>
                </c:pt>
                <c:pt idx="704">
                  <c:v>-1.2305514341646028E-3</c:v>
                </c:pt>
                <c:pt idx="705">
                  <c:v>-1.2242850912079428E-3</c:v>
                </c:pt>
                <c:pt idx="706">
                  <c:v>-1.218009825660529E-3</c:v>
                </c:pt>
                <c:pt idx="707">
                  <c:v>-1.2117256374382756E-3</c:v>
                </c:pt>
                <c:pt idx="708">
                  <c:v>-1.1991705777299752E-3</c:v>
                </c:pt>
                <c:pt idx="709">
                  <c:v>-1.1864996560818067E-3</c:v>
                </c:pt>
                <c:pt idx="710">
                  <c:v>-1.1801708531978617E-3</c:v>
                </c:pt>
                <c:pt idx="711">
                  <c:v>-1.1738331271232058E-3</c:v>
                </c:pt>
                <c:pt idx="712">
                  <c:v>-1.1674864777733163E-3</c:v>
                </c:pt>
                <c:pt idx="713">
                  <c:v>-1.1551837364522741E-3</c:v>
                </c:pt>
                <c:pt idx="714">
                  <c:v>-1.1420106458835792E-3</c:v>
                </c:pt>
                <c:pt idx="715">
                  <c:v>-1.1356193788558313E-3</c:v>
                </c:pt>
                <c:pt idx="716">
                  <c:v>-1.1292191880326106E-3</c:v>
                </c:pt>
                <c:pt idx="717">
                  <c:v>-1.1228100733265548E-3</c:v>
                </c:pt>
                <c:pt idx="718">
                  <c:v>-1.0906306385028604E-3</c:v>
                </c:pt>
                <c:pt idx="719">
                  <c:v>-1.0841679786669446E-3</c:v>
                </c:pt>
                <c:pt idx="720">
                  <c:v>-1.0776963943355694E-3</c:v>
                </c:pt>
                <c:pt idx="721">
                  <c:v>-1.0659124403492324E-3</c:v>
                </c:pt>
                <c:pt idx="722">
                  <c:v>-1.0517208102977524E-3</c:v>
                </c:pt>
                <c:pt idx="723">
                  <c:v>-1.0426385750848509E-3</c:v>
                </c:pt>
                <c:pt idx="724">
                  <c:v>-1.0246357173490201E-3</c:v>
                </c:pt>
                <c:pt idx="725">
                  <c:v>-1.0206279260525448E-3</c:v>
                </c:pt>
                <c:pt idx="726">
                  <c:v>-1.003496657066102E-3</c:v>
                </c:pt>
                <c:pt idx="727">
                  <c:v>-9.9694193467667427E-4</c:v>
                </c:pt>
                <c:pt idx="728">
                  <c:v>-9.9037833508240592E-4</c:v>
                </c:pt>
                <c:pt idx="729">
                  <c:v>-9.791441998540846E-4</c:v>
                </c:pt>
                <c:pt idx="730">
                  <c:v>-9.7491079412981004E-4</c:v>
                </c:pt>
                <c:pt idx="731">
                  <c:v>-9.5742717590986746E-4</c:v>
                </c:pt>
                <c:pt idx="732">
                  <c:v>-9.5081031120827417E-4</c:v>
                </c:pt>
                <c:pt idx="733">
                  <c:v>-9.4418456867386422E-4</c:v>
                </c:pt>
                <c:pt idx="734">
                  <c:v>-9.3322236148559107E-4</c:v>
                </c:pt>
                <c:pt idx="735">
                  <c:v>-9.2876101412431007E-4</c:v>
                </c:pt>
                <c:pt idx="736">
                  <c:v>-9.1092268536685993E-4</c:v>
                </c:pt>
                <c:pt idx="737">
                  <c:v>-9.042436739446709E-4</c:v>
                </c:pt>
                <c:pt idx="738">
                  <c:v>-8.9755578405734484E-4</c:v>
                </c:pt>
                <c:pt idx="739">
                  <c:v>-8.8687017164865774E-4</c:v>
                </c:pt>
                <c:pt idx="740">
                  <c:v>-8.8217855529026056E-4</c:v>
                </c:pt>
                <c:pt idx="741">
                  <c:v>-8.639831544551232E-4</c:v>
                </c:pt>
                <c:pt idx="742">
                  <c:v>-8.5724199186263696E-4</c:v>
                </c:pt>
                <c:pt idx="743">
                  <c:v>-8.5049195016617684E-4</c:v>
                </c:pt>
                <c:pt idx="744">
                  <c:v>-8.4556781910950134E-4</c:v>
                </c:pt>
                <c:pt idx="745">
                  <c:v>-8.4059250842181163E-4</c:v>
                </c:pt>
                <c:pt idx="746">
                  <c:v>-8.1834254894901299E-4</c:v>
                </c:pt>
                <c:pt idx="747">
                  <c:v>-8.1151391136662847E-4</c:v>
                </c:pt>
                <c:pt idx="748">
                  <c:v>-8.0467634558224104E-4</c:v>
                </c:pt>
                <c:pt idx="749">
                  <c:v>-7.9782985150237361E-4</c:v>
                </c:pt>
                <c:pt idx="750">
                  <c:v>-7.8771547670631681E-4</c:v>
                </c:pt>
                <c:pt idx="751">
                  <c:v>-7.7035459036817102E-4</c:v>
                </c:pt>
                <c:pt idx="752">
                  <c:v>-7.6346345341333306E-4</c:v>
                </c:pt>
                <c:pt idx="753">
                  <c:v>-7.565633876034627E-4</c:v>
                </c:pt>
                <c:pt idx="754">
                  <c:v>-7.4965439284355401E-4</c:v>
                </c:pt>
                <c:pt idx="755">
                  <c:v>-7.3983479402125205E-4</c:v>
                </c:pt>
                <c:pt idx="756">
                  <c:v>-7.2192912242984323E-4</c:v>
                </c:pt>
                <c:pt idx="757">
                  <c:v>-7.1497548151125184E-4</c:v>
                </c:pt>
                <c:pt idx="758">
                  <c:v>-7.0801291107848332E-4</c:v>
                </c:pt>
                <c:pt idx="759">
                  <c:v>-7.0104141103522106E-4</c:v>
                </c:pt>
                <c:pt idx="760">
                  <c:v>-6.9152130663513597E-4</c:v>
                </c:pt>
                <c:pt idx="761">
                  <c:v>-6.7306611287000202E-4</c:v>
                </c:pt>
                <c:pt idx="762">
                  <c:v>-6.6371926670262061E-4</c:v>
                </c:pt>
                <c:pt idx="763">
                  <c:v>-6.5788549039100621E-4</c:v>
                </c:pt>
                <c:pt idx="764">
                  <c:v>-6.5199087368798293E-4</c:v>
                </c:pt>
                <c:pt idx="765">
                  <c:v>-6.416885117773467E-4</c:v>
                </c:pt>
                <c:pt idx="766">
                  <c:v>-6.3625958153431866E-4</c:v>
                </c:pt>
                <c:pt idx="767">
                  <c:v>-6.3517423967789273E-4</c:v>
                </c:pt>
                <c:pt idx="768">
                  <c:v>-6.3300242951596481E-4</c:v>
                </c:pt>
                <c:pt idx="769">
                  <c:v>-6.2865770403031443E-4</c:v>
                </c:pt>
                <c:pt idx="770">
                  <c:v>-6.2757234649185741E-4</c:v>
                </c:pt>
                <c:pt idx="771">
                  <c:v>-6.2214334253286939E-4</c:v>
                </c:pt>
                <c:pt idx="772">
                  <c:v>-6.1997151790164613E-4</c:v>
                </c:pt>
                <c:pt idx="773">
                  <c:v>-6.1779969085865635E-4</c:v>
                </c:pt>
                <c:pt idx="774">
                  <c:v>-6.1345498407341665E-4</c:v>
                </c:pt>
                <c:pt idx="775">
                  <c:v>-6.1236959181724991E-4</c:v>
                </c:pt>
                <c:pt idx="776">
                  <c:v>-6.0694051947003495E-4</c:v>
                </c:pt>
                <c:pt idx="777">
                  <c:v>-6.0476867795709822E-4</c:v>
                </c:pt>
                <c:pt idx="778">
                  <c:v>-6.0259683403326395E-4</c:v>
                </c:pt>
                <c:pt idx="779">
                  <c:v>-5.9825214466432866E-4</c:v>
                </c:pt>
                <c:pt idx="780">
                  <c:v>-5.9716671833195132E-4</c:v>
                </c:pt>
                <c:pt idx="781">
                  <c:v>-5.9173757823781316E-4</c:v>
                </c:pt>
                <c:pt idx="782">
                  <c:v>-5.8956571984446627E-4</c:v>
                </c:pt>
                <c:pt idx="783">
                  <c:v>-5.873938590391358E-4</c:v>
                </c:pt>
                <c:pt idx="784">
                  <c:v>-5.8304918580176133E-4</c:v>
                </c:pt>
                <c:pt idx="785">
                  <c:v>-5.819637260361778E-4</c:v>
                </c:pt>
                <c:pt idx="786">
                  <c:v>-5.7653451883707288E-4</c:v>
                </c:pt>
                <c:pt idx="787">
                  <c:v>-5.7436264356179546E-4</c:v>
                </c:pt>
                <c:pt idx="788">
                  <c:v>-5.7219076587496879E-4</c:v>
                </c:pt>
                <c:pt idx="789">
                  <c:v>-5.6784610748528499E-4</c:v>
                </c:pt>
                <c:pt idx="790">
                  <c:v>-5.6676061492798497E-4</c:v>
                </c:pt>
                <c:pt idx="791">
                  <c:v>-5.6133134126564203E-4</c:v>
                </c:pt>
                <c:pt idx="792">
                  <c:v>-5.5915944910886841E-4</c:v>
                </c:pt>
                <c:pt idx="793">
                  <c:v>-5.5698755454032826E-4</c:v>
                </c:pt>
                <c:pt idx="794">
                  <c:v>-5.526429097136101E-4</c:v>
                </c:pt>
                <c:pt idx="795">
                  <c:v>-5.5155738500586035E-4</c:v>
                </c:pt>
              </c:numCache>
            </c:numRef>
          </c:yVal>
          <c:smooth val="1"/>
        </c:ser>
        <c:ser>
          <c:idx val="1"/>
          <c:order val="1"/>
          <c:tx>
            <c:v>DealFwd</c:v>
          </c:tx>
          <c:spPr>
            <a:ln>
              <a:noFill/>
            </a:ln>
          </c:spPr>
          <c:marker>
            <c:symbol val="square"/>
            <c:size val="6"/>
          </c:marker>
          <c:xVal>
            <c:numRef>
              <c:f>Instrument!$E$35:$E$60</c:f>
              <c:numCache>
                <c:formatCode>ddd\,\ dd\-mmm\-yyyy</c:formatCode>
                <c:ptCount val="26"/>
                <c:pt idx="0">
                  <c:v>42734</c:v>
                </c:pt>
                <c:pt idx="1">
                  <c:v>42916</c:v>
                </c:pt>
                <c:pt idx="2">
                  <c:v>43098</c:v>
                </c:pt>
                <c:pt idx="3">
                  <c:v>43280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xVal>
          <c:yVal>
            <c:numRef>
              <c:f>Instrument!$M$35:$M$60</c:f>
              <c:numCache>
                <c:formatCode>0.0000%</c:formatCode>
                <c:ptCount val="26"/>
                <c:pt idx="0">
                  <c:v>-2.129982042532562E-3</c:v>
                </c:pt>
                <c:pt idx="1">
                  <c:v>-2.2989598282336125E-3</c:v>
                </c:pt>
                <c:pt idx="2">
                  <c:v>-2.4109881343963497E-3</c:v>
                </c:pt>
                <c:pt idx="3">
                  <c:v>-1.9006217877524465E-3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76768"/>
        <c:axId val="741218560"/>
      </c:scatterChart>
      <c:valAx>
        <c:axId val="505776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41218560"/>
        <c:crosses val="autoZero"/>
        <c:crossBetween val="midCat"/>
      </c:valAx>
      <c:valAx>
        <c:axId val="74121856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577676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83435572074061215"/>
          <c:y val="0.53710276600040374"/>
          <c:w val="0.11829069535569034"/>
          <c:h val="0.1355846777894022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19049</xdr:colOff>
      <xdr:row>12</xdr:row>
      <xdr:rowOff>66675</xdr:rowOff>
    </xdr:from>
    <xdr:to>
      <xdr:col>26</xdr:col>
      <xdr:colOff>828674</xdr:colOff>
      <xdr:row>45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4</xdr:row>
          <xdr:rowOff>104775</xdr:rowOff>
        </xdr:from>
        <xdr:to>
          <xdr:col>19</xdr:col>
          <xdr:colOff>571500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Deal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75"/>
  <sheetViews>
    <sheetView showGridLines="0" topLeftCell="S1" workbookViewId="0">
      <selection activeCell="T2" sqref="T2"/>
    </sheetView>
  </sheetViews>
  <sheetFormatPr defaultRowHeight="15" x14ac:dyDescent="0.25"/>
  <cols>
    <col min="1" max="1" width="0" style="6" hidden="1" customWidth="1"/>
    <col min="2" max="2" width="13.85546875" style="6" hidden="1" customWidth="1"/>
    <col min="3" max="3" width="11.7109375" style="6" hidden="1" customWidth="1"/>
    <col min="4" max="5" width="0" style="6" hidden="1" customWidth="1"/>
    <col min="6" max="6" width="11.7109375" style="6" hidden="1" customWidth="1"/>
    <col min="7" max="7" width="0" style="6" hidden="1" customWidth="1"/>
    <col min="8" max="8" width="10.7109375" style="6" hidden="1" customWidth="1"/>
    <col min="9" max="9" width="11.7109375" style="6" hidden="1" customWidth="1"/>
    <col min="10" max="11" width="0" style="6" hidden="1" customWidth="1"/>
    <col min="12" max="12" width="10.85546875" style="6" hidden="1" customWidth="1"/>
    <col min="13" max="13" width="0" style="6" hidden="1" customWidth="1"/>
    <col min="14" max="14" width="10.7109375" style="6" hidden="1" customWidth="1"/>
    <col min="15" max="15" width="11.7109375" style="6" hidden="1" customWidth="1"/>
    <col min="16" max="16" width="0" style="6" hidden="1" customWidth="1"/>
    <col min="17" max="17" width="18.85546875" style="6" hidden="1" customWidth="1"/>
    <col min="18" max="18" width="11.7109375" style="6" hidden="1" customWidth="1"/>
    <col min="19" max="19" width="9.140625" style="6"/>
    <col min="20" max="20" width="20.7109375" style="6" customWidth="1"/>
    <col min="21" max="21" width="2.7109375" style="6" customWidth="1"/>
    <col min="22" max="22" width="20.7109375" style="6" customWidth="1"/>
    <col min="23" max="16384" width="9.140625" style="6"/>
  </cols>
  <sheetData>
    <row r="2" spans="2:22" ht="15.75" thickBot="1" x14ac:dyDescent="0.3">
      <c r="S2" s="7" t="s">
        <v>132</v>
      </c>
      <c r="T2" s="5"/>
    </row>
    <row r="3" spans="2:22" ht="15.75" thickBot="1" x14ac:dyDescent="0.3">
      <c r="B3" s="4" t="s">
        <v>170</v>
      </c>
      <c r="E3" s="4" t="s">
        <v>62</v>
      </c>
      <c r="H3" s="4" t="s">
        <v>169</v>
      </c>
      <c r="K3" s="4" t="s">
        <v>72</v>
      </c>
      <c r="N3" s="4" t="s">
        <v>85</v>
      </c>
      <c r="Q3" s="4" t="s">
        <v>212</v>
      </c>
    </row>
    <row r="4" spans="2:22" ht="15.75" thickBot="1" x14ac:dyDescent="0.3"/>
    <row r="5" spans="2:22" ht="15.75" thickBot="1" x14ac:dyDescent="0.3">
      <c r="B5" s="4" t="s">
        <v>201</v>
      </c>
      <c r="C5" s="4" t="s">
        <v>202</v>
      </c>
      <c r="E5" s="4" t="s">
        <v>201</v>
      </c>
      <c r="F5" s="4" t="s">
        <v>202</v>
      </c>
      <c r="H5" s="4" t="s">
        <v>201</v>
      </c>
      <c r="I5" s="4" t="s">
        <v>202</v>
      </c>
      <c r="K5" s="4" t="s">
        <v>201</v>
      </c>
      <c r="L5" s="4" t="s">
        <v>171</v>
      </c>
      <c r="N5" s="4" t="s">
        <v>201</v>
      </c>
      <c r="O5" s="4" t="s">
        <v>202</v>
      </c>
      <c r="Q5" s="4" t="s">
        <v>201</v>
      </c>
      <c r="R5" s="4" t="s">
        <v>202</v>
      </c>
      <c r="T5" s="4" t="s">
        <v>300</v>
      </c>
      <c r="V5" s="4" t="s">
        <v>301</v>
      </c>
    </row>
    <row r="6" spans="2:22" x14ac:dyDescent="0.25">
      <c r="B6" s="2" t="s">
        <v>134</v>
      </c>
      <c r="C6" s="2" t="s">
        <v>142</v>
      </c>
      <c r="E6" s="2" t="s">
        <v>0</v>
      </c>
      <c r="F6" s="2" t="s">
        <v>71</v>
      </c>
      <c r="H6" s="2" t="s">
        <v>1</v>
      </c>
      <c r="I6" s="2" t="s">
        <v>63</v>
      </c>
      <c r="K6" s="2" t="s">
        <v>65</v>
      </c>
      <c r="L6" s="2" t="s">
        <v>71</v>
      </c>
      <c r="N6" s="2" t="s">
        <v>65</v>
      </c>
      <c r="O6" s="2" t="s">
        <v>71</v>
      </c>
      <c r="Q6" s="2" t="s">
        <v>1</v>
      </c>
      <c r="R6" s="2" t="s">
        <v>63</v>
      </c>
      <c r="T6" s="2" t="s">
        <v>215</v>
      </c>
      <c r="V6" s="2" t="s">
        <v>218</v>
      </c>
    </row>
    <row r="7" spans="2:22" x14ac:dyDescent="0.25">
      <c r="B7" s="3" t="s">
        <v>135</v>
      </c>
      <c r="C7" s="3" t="s">
        <v>142</v>
      </c>
      <c r="E7" s="85" t="s">
        <v>2</v>
      </c>
      <c r="F7" s="3" t="s">
        <v>71</v>
      </c>
      <c r="H7" s="85" t="s">
        <v>3</v>
      </c>
      <c r="I7" s="3" t="s">
        <v>63</v>
      </c>
      <c r="K7" s="3" t="s">
        <v>66</v>
      </c>
      <c r="L7" s="3" t="s">
        <v>71</v>
      </c>
      <c r="N7" s="3" t="s">
        <v>66</v>
      </c>
      <c r="O7" s="3" t="s">
        <v>71</v>
      </c>
      <c r="Q7" s="85" t="s">
        <v>13</v>
      </c>
      <c r="R7" s="3" t="s">
        <v>63</v>
      </c>
      <c r="T7" s="3" t="s">
        <v>216</v>
      </c>
      <c r="V7" s="3" t="s">
        <v>219</v>
      </c>
    </row>
    <row r="8" spans="2:22" ht="15.75" thickBot="1" x14ac:dyDescent="0.3">
      <c r="B8" s="3" t="s">
        <v>136</v>
      </c>
      <c r="C8" s="3" t="s">
        <v>142</v>
      </c>
      <c r="E8" s="85" t="s">
        <v>4</v>
      </c>
      <c r="F8" s="3" t="s">
        <v>71</v>
      </c>
      <c r="H8" s="85" t="s">
        <v>5</v>
      </c>
      <c r="I8" s="3" t="s">
        <v>63</v>
      </c>
      <c r="K8" s="1" t="s">
        <v>67</v>
      </c>
      <c r="L8" s="1" t="s">
        <v>71</v>
      </c>
      <c r="N8" s="1" t="s">
        <v>67</v>
      </c>
      <c r="O8" s="1" t="s">
        <v>71</v>
      </c>
      <c r="Q8" s="85" t="s">
        <v>15</v>
      </c>
      <c r="R8" s="3" t="s">
        <v>63</v>
      </c>
      <c r="T8" s="3" t="s">
        <v>217</v>
      </c>
      <c r="V8" s="3" t="s">
        <v>220</v>
      </c>
    </row>
    <row r="9" spans="2:22" x14ac:dyDescent="0.25">
      <c r="B9" s="3" t="s">
        <v>137</v>
      </c>
      <c r="C9" s="3" t="s">
        <v>142</v>
      </c>
      <c r="E9" s="85" t="s">
        <v>6</v>
      </c>
      <c r="F9" s="3" t="s">
        <v>71</v>
      </c>
      <c r="H9" s="85" t="s">
        <v>7</v>
      </c>
      <c r="I9" s="3" t="s">
        <v>63</v>
      </c>
      <c r="K9" s="3" t="s">
        <v>68</v>
      </c>
      <c r="L9" s="3" t="s">
        <v>64</v>
      </c>
      <c r="N9" s="3" t="s">
        <v>68</v>
      </c>
      <c r="O9" s="3" t="s">
        <v>64</v>
      </c>
      <c r="Q9" s="85" t="s">
        <v>17</v>
      </c>
      <c r="R9" s="3" t="s">
        <v>63</v>
      </c>
      <c r="T9" s="3" t="s">
        <v>277</v>
      </c>
      <c r="V9" s="3" t="s">
        <v>221</v>
      </c>
    </row>
    <row r="10" spans="2:22" x14ac:dyDescent="0.25">
      <c r="B10" s="3" t="s">
        <v>138</v>
      </c>
      <c r="C10" s="3" t="s">
        <v>142</v>
      </c>
      <c r="E10" s="85" t="s">
        <v>8</v>
      </c>
      <c r="F10" s="3" t="s">
        <v>71</v>
      </c>
      <c r="H10" s="85" t="s">
        <v>9</v>
      </c>
      <c r="I10" s="3" t="s">
        <v>63</v>
      </c>
      <c r="K10" s="3" t="s">
        <v>69</v>
      </c>
      <c r="L10" s="3" t="s">
        <v>64</v>
      </c>
      <c r="N10" s="3" t="s">
        <v>69</v>
      </c>
      <c r="O10" s="3" t="s">
        <v>64</v>
      </c>
      <c r="Q10" s="85" t="s">
        <v>19</v>
      </c>
      <c r="R10" s="3" t="s">
        <v>63</v>
      </c>
      <c r="T10" s="3" t="s">
        <v>278</v>
      </c>
      <c r="V10" s="3" t="s">
        <v>222</v>
      </c>
    </row>
    <row r="11" spans="2:22" x14ac:dyDescent="0.25">
      <c r="B11" s="3" t="s">
        <v>139</v>
      </c>
      <c r="C11" s="3" t="s">
        <v>142</v>
      </c>
      <c r="E11" s="85" t="s">
        <v>10</v>
      </c>
      <c r="F11" s="3" t="s">
        <v>71</v>
      </c>
      <c r="H11" s="85" t="s">
        <v>11</v>
      </c>
      <c r="I11" s="3" t="s">
        <v>63</v>
      </c>
      <c r="K11" s="3" t="s">
        <v>70</v>
      </c>
      <c r="L11" s="3" t="s">
        <v>64</v>
      </c>
      <c r="N11" s="3" t="s">
        <v>70</v>
      </c>
      <c r="O11" s="3" t="s">
        <v>64</v>
      </c>
      <c r="Q11" s="85" t="s">
        <v>21</v>
      </c>
      <c r="R11" s="3" t="s">
        <v>63</v>
      </c>
      <c r="T11" s="3" t="s">
        <v>279</v>
      </c>
      <c r="V11" s="3" t="s">
        <v>223</v>
      </c>
    </row>
    <row r="12" spans="2:22" x14ac:dyDescent="0.25">
      <c r="B12" s="3" t="s">
        <v>140</v>
      </c>
      <c r="C12" s="3" t="s">
        <v>142</v>
      </c>
      <c r="E12" s="85" t="s">
        <v>12</v>
      </c>
      <c r="F12" s="3" t="s">
        <v>71</v>
      </c>
      <c r="H12" s="85" t="s">
        <v>13</v>
      </c>
      <c r="I12" s="3" t="s">
        <v>63</v>
      </c>
      <c r="K12" s="3" t="s">
        <v>60</v>
      </c>
      <c r="L12" s="3" t="s">
        <v>64</v>
      </c>
      <c r="N12" s="85" t="s">
        <v>60</v>
      </c>
      <c r="O12" s="85" t="s">
        <v>64</v>
      </c>
      <c r="Q12" s="85" t="s">
        <v>23</v>
      </c>
      <c r="R12" s="3" t="s">
        <v>63</v>
      </c>
      <c r="T12" s="3" t="s">
        <v>280</v>
      </c>
      <c r="V12" s="3" t="s">
        <v>224</v>
      </c>
    </row>
    <row r="13" spans="2:22" ht="15.75" thickBot="1" x14ac:dyDescent="0.3">
      <c r="B13" s="1" t="s">
        <v>141</v>
      </c>
      <c r="C13" s="1" t="s">
        <v>142</v>
      </c>
      <c r="E13" s="85" t="s">
        <v>14</v>
      </c>
      <c r="F13" s="3" t="s">
        <v>71</v>
      </c>
      <c r="H13" s="85" t="s">
        <v>15</v>
      </c>
      <c r="I13" s="3" t="s">
        <v>63</v>
      </c>
      <c r="K13" s="3" t="s">
        <v>61</v>
      </c>
      <c r="L13" s="3" t="s">
        <v>64</v>
      </c>
      <c r="N13" s="85" t="s">
        <v>61</v>
      </c>
      <c r="O13" s="85" t="s">
        <v>64</v>
      </c>
      <c r="Q13" s="85" t="s">
        <v>25</v>
      </c>
      <c r="R13" s="3" t="s">
        <v>63</v>
      </c>
      <c r="T13" s="3" t="s">
        <v>281</v>
      </c>
      <c r="V13" s="3" t="s">
        <v>225</v>
      </c>
    </row>
    <row r="14" spans="2:22" x14ac:dyDescent="0.25">
      <c r="B14" s="2" t="s">
        <v>70</v>
      </c>
      <c r="C14" s="2" t="s">
        <v>64</v>
      </c>
      <c r="E14" s="85" t="s">
        <v>16</v>
      </c>
      <c r="F14" s="3" t="s">
        <v>71</v>
      </c>
      <c r="H14" s="85" t="s">
        <v>17</v>
      </c>
      <c r="I14" s="3" t="s">
        <v>63</v>
      </c>
      <c r="K14" s="3" t="s">
        <v>73</v>
      </c>
      <c r="L14" s="3" t="s">
        <v>64</v>
      </c>
      <c r="N14" s="85" t="s">
        <v>73</v>
      </c>
      <c r="O14" s="85" t="s">
        <v>64</v>
      </c>
      <c r="Q14" s="85" t="s">
        <v>27</v>
      </c>
      <c r="R14" s="3" t="s">
        <v>63</v>
      </c>
      <c r="T14" s="3" t="s">
        <v>282</v>
      </c>
      <c r="V14" s="3" t="s">
        <v>226</v>
      </c>
    </row>
    <row r="15" spans="2:22" x14ac:dyDescent="0.25">
      <c r="B15" s="85" t="s">
        <v>60</v>
      </c>
      <c r="C15" s="85" t="s">
        <v>64</v>
      </c>
      <c r="E15" s="85" t="s">
        <v>18</v>
      </c>
      <c r="F15" s="3" t="s">
        <v>71</v>
      </c>
      <c r="H15" s="85" t="s">
        <v>19</v>
      </c>
      <c r="I15" s="3" t="s">
        <v>63</v>
      </c>
      <c r="K15" s="3" t="s">
        <v>74</v>
      </c>
      <c r="L15" s="3" t="s">
        <v>64</v>
      </c>
      <c r="N15" s="85" t="s">
        <v>74</v>
      </c>
      <c r="O15" s="85" t="s">
        <v>64</v>
      </c>
      <c r="Q15" s="85" t="s">
        <v>29</v>
      </c>
      <c r="R15" s="3" t="s">
        <v>63</v>
      </c>
      <c r="T15" s="3" t="s">
        <v>283</v>
      </c>
      <c r="V15" s="3" t="s">
        <v>227</v>
      </c>
    </row>
    <row r="16" spans="2:22" x14ac:dyDescent="0.25">
      <c r="B16" s="85" t="s">
        <v>61</v>
      </c>
      <c r="C16" s="85" t="s">
        <v>64</v>
      </c>
      <c r="E16" s="85" t="s">
        <v>20</v>
      </c>
      <c r="F16" s="3" t="s">
        <v>71</v>
      </c>
      <c r="H16" s="85" t="s">
        <v>21</v>
      </c>
      <c r="I16" s="3" t="s">
        <v>63</v>
      </c>
      <c r="K16" s="3" t="s">
        <v>75</v>
      </c>
      <c r="L16" s="3" t="s">
        <v>64</v>
      </c>
      <c r="N16" s="85" t="s">
        <v>75</v>
      </c>
      <c r="O16" s="85" t="s">
        <v>64</v>
      </c>
      <c r="Q16" s="85" t="s">
        <v>31</v>
      </c>
      <c r="R16" s="3" t="s">
        <v>63</v>
      </c>
      <c r="T16" s="3" t="s">
        <v>284</v>
      </c>
      <c r="V16" s="3" t="s">
        <v>228</v>
      </c>
    </row>
    <row r="17" spans="2:22" x14ac:dyDescent="0.25">
      <c r="B17" s="85" t="s">
        <v>73</v>
      </c>
      <c r="C17" s="85" t="s">
        <v>64</v>
      </c>
      <c r="E17" s="85" t="s">
        <v>22</v>
      </c>
      <c r="F17" s="3" t="s">
        <v>71</v>
      </c>
      <c r="H17" s="85" t="s">
        <v>23</v>
      </c>
      <c r="I17" s="3" t="s">
        <v>63</v>
      </c>
      <c r="K17" s="3" t="s">
        <v>76</v>
      </c>
      <c r="L17" s="3" t="s">
        <v>64</v>
      </c>
      <c r="N17" s="85" t="s">
        <v>76</v>
      </c>
      <c r="O17" s="85" t="s">
        <v>64</v>
      </c>
      <c r="Q17" s="85" t="s">
        <v>33</v>
      </c>
      <c r="R17" s="3" t="s">
        <v>63</v>
      </c>
      <c r="T17" s="3" t="s">
        <v>285</v>
      </c>
      <c r="V17" s="3" t="s">
        <v>229</v>
      </c>
    </row>
    <row r="18" spans="2:22" x14ac:dyDescent="0.25">
      <c r="B18" s="85" t="s">
        <v>74</v>
      </c>
      <c r="C18" s="85" t="s">
        <v>64</v>
      </c>
      <c r="E18" s="85" t="s">
        <v>24</v>
      </c>
      <c r="F18" s="3" t="s">
        <v>71</v>
      </c>
      <c r="H18" s="85" t="s">
        <v>25</v>
      </c>
      <c r="I18" s="3" t="s">
        <v>63</v>
      </c>
      <c r="K18" s="3" t="s">
        <v>77</v>
      </c>
      <c r="L18" s="3" t="s">
        <v>64</v>
      </c>
      <c r="N18" s="85" t="s">
        <v>77</v>
      </c>
      <c r="O18" s="85" t="s">
        <v>64</v>
      </c>
      <c r="Q18" s="85" t="s">
        <v>35</v>
      </c>
      <c r="R18" s="3" t="s">
        <v>63</v>
      </c>
      <c r="T18" s="3" t="s">
        <v>286</v>
      </c>
      <c r="V18" s="3" t="s">
        <v>230</v>
      </c>
    </row>
    <row r="19" spans="2:22" x14ac:dyDescent="0.25">
      <c r="B19" s="85" t="s">
        <v>75</v>
      </c>
      <c r="C19" s="85" t="s">
        <v>64</v>
      </c>
      <c r="E19" s="85" t="s">
        <v>26</v>
      </c>
      <c r="F19" s="3" t="s">
        <v>71</v>
      </c>
      <c r="H19" s="85" t="s">
        <v>27</v>
      </c>
      <c r="I19" s="3" t="s">
        <v>63</v>
      </c>
      <c r="K19" s="3" t="s">
        <v>78</v>
      </c>
      <c r="L19" s="3" t="s">
        <v>64</v>
      </c>
      <c r="N19" s="85" t="s">
        <v>78</v>
      </c>
      <c r="O19" s="85" t="s">
        <v>64</v>
      </c>
      <c r="Q19" s="85" t="s">
        <v>37</v>
      </c>
      <c r="R19" s="3" t="s">
        <v>63</v>
      </c>
      <c r="T19" s="3" t="s">
        <v>287</v>
      </c>
      <c r="V19" s="3" t="s">
        <v>231</v>
      </c>
    </row>
    <row r="20" spans="2:22" x14ac:dyDescent="0.25">
      <c r="B20" s="85" t="s">
        <v>76</v>
      </c>
      <c r="C20" s="85" t="s">
        <v>64</v>
      </c>
      <c r="E20" s="85" t="s">
        <v>28</v>
      </c>
      <c r="F20" s="3" t="s">
        <v>71</v>
      </c>
      <c r="H20" s="85" t="s">
        <v>29</v>
      </c>
      <c r="I20" s="3" t="s">
        <v>63</v>
      </c>
      <c r="K20" s="3" t="s">
        <v>79</v>
      </c>
      <c r="L20" s="3" t="s">
        <v>64</v>
      </c>
      <c r="N20" s="85" t="s">
        <v>79</v>
      </c>
      <c r="O20" s="85" t="s">
        <v>64</v>
      </c>
      <c r="Q20" s="85" t="s">
        <v>39</v>
      </c>
      <c r="R20" s="3" t="s">
        <v>63</v>
      </c>
      <c r="T20" s="3" t="s">
        <v>288</v>
      </c>
      <c r="V20" s="3" t="s">
        <v>232</v>
      </c>
    </row>
    <row r="21" spans="2:22" x14ac:dyDescent="0.25">
      <c r="B21" s="85" t="s">
        <v>77</v>
      </c>
      <c r="C21" s="85" t="s">
        <v>64</v>
      </c>
      <c r="E21" s="85" t="s">
        <v>30</v>
      </c>
      <c r="F21" s="3" t="s">
        <v>71</v>
      </c>
      <c r="H21" s="85" t="s">
        <v>31</v>
      </c>
      <c r="I21" s="3" t="s">
        <v>63</v>
      </c>
      <c r="K21" s="3" t="s">
        <v>80</v>
      </c>
      <c r="L21" s="3" t="s">
        <v>64</v>
      </c>
      <c r="N21" s="85" t="s">
        <v>80</v>
      </c>
      <c r="O21" s="85" t="s">
        <v>64</v>
      </c>
      <c r="Q21" s="85" t="s">
        <v>41</v>
      </c>
      <c r="R21" s="3" t="s">
        <v>63</v>
      </c>
      <c r="T21" s="3" t="s">
        <v>289</v>
      </c>
      <c r="V21" s="3" t="s">
        <v>233</v>
      </c>
    </row>
    <row r="22" spans="2:22" ht="15.75" thickBot="1" x14ac:dyDescent="0.3">
      <c r="B22" s="85" t="s">
        <v>78</v>
      </c>
      <c r="C22" s="85" t="s">
        <v>64</v>
      </c>
      <c r="E22" s="83" t="s">
        <v>32</v>
      </c>
      <c r="F22" s="1" t="s">
        <v>71</v>
      </c>
      <c r="H22" s="85" t="s">
        <v>33</v>
      </c>
      <c r="I22" s="3" t="s">
        <v>63</v>
      </c>
      <c r="K22" s="3" t="s">
        <v>81</v>
      </c>
      <c r="L22" s="3" t="s">
        <v>64</v>
      </c>
      <c r="N22" s="85" t="s">
        <v>143</v>
      </c>
      <c r="O22" s="85" t="s">
        <v>64</v>
      </c>
      <c r="Q22" s="85" t="s">
        <v>43</v>
      </c>
      <c r="R22" s="3" t="s">
        <v>63</v>
      </c>
      <c r="T22" s="3" t="s">
        <v>290</v>
      </c>
      <c r="V22" s="3" t="s">
        <v>234</v>
      </c>
    </row>
    <row r="23" spans="2:22" ht="15.75" thickBot="1" x14ac:dyDescent="0.3">
      <c r="B23" s="85" t="s">
        <v>79</v>
      </c>
      <c r="C23" s="85" t="s">
        <v>64</v>
      </c>
      <c r="E23" s="84" t="s">
        <v>34</v>
      </c>
      <c r="F23" s="84" t="s">
        <v>64</v>
      </c>
      <c r="H23" s="85" t="s">
        <v>35</v>
      </c>
      <c r="I23" s="3" t="s">
        <v>63</v>
      </c>
      <c r="K23" s="3" t="s">
        <v>82</v>
      </c>
      <c r="L23" s="3" t="s">
        <v>64</v>
      </c>
      <c r="N23" s="85" t="s">
        <v>144</v>
      </c>
      <c r="O23" s="85" t="s">
        <v>64</v>
      </c>
      <c r="Q23" s="85" t="s">
        <v>45</v>
      </c>
      <c r="R23" s="3" t="s">
        <v>63</v>
      </c>
      <c r="T23" s="3" t="s">
        <v>291</v>
      </c>
      <c r="V23" s="3" t="s">
        <v>235</v>
      </c>
    </row>
    <row r="24" spans="2:22" x14ac:dyDescent="0.25">
      <c r="B24" s="85" t="s">
        <v>80</v>
      </c>
      <c r="C24" s="85" t="s">
        <v>64</v>
      </c>
      <c r="E24" s="85" t="s">
        <v>36</v>
      </c>
      <c r="F24" s="85" t="s">
        <v>64</v>
      </c>
      <c r="H24" s="85" t="s">
        <v>37</v>
      </c>
      <c r="I24" s="3" t="s">
        <v>63</v>
      </c>
      <c r="K24" s="3" t="s">
        <v>83</v>
      </c>
      <c r="L24" s="3" t="s">
        <v>64</v>
      </c>
      <c r="N24" s="85" t="s">
        <v>81</v>
      </c>
      <c r="O24" s="85" t="s">
        <v>64</v>
      </c>
      <c r="Q24" s="84" t="s">
        <v>70</v>
      </c>
      <c r="R24" s="2" t="s">
        <v>64</v>
      </c>
      <c r="T24" s="3" t="s">
        <v>292</v>
      </c>
      <c r="V24" s="3" t="s">
        <v>236</v>
      </c>
    </row>
    <row r="25" spans="2:22" x14ac:dyDescent="0.25">
      <c r="B25" s="85" t="s">
        <v>143</v>
      </c>
      <c r="C25" s="85" t="s">
        <v>64</v>
      </c>
      <c r="E25" s="85" t="s">
        <v>38</v>
      </c>
      <c r="F25" s="85" t="s">
        <v>64</v>
      </c>
      <c r="H25" s="85" t="s">
        <v>39</v>
      </c>
      <c r="I25" s="3" t="s">
        <v>63</v>
      </c>
      <c r="K25" s="3" t="s">
        <v>84</v>
      </c>
      <c r="L25" s="3" t="s">
        <v>64</v>
      </c>
      <c r="N25" s="85" t="s">
        <v>145</v>
      </c>
      <c r="O25" s="85" t="s">
        <v>64</v>
      </c>
      <c r="Q25" s="85" t="s">
        <v>60</v>
      </c>
      <c r="R25" s="85" t="s">
        <v>64</v>
      </c>
      <c r="T25" s="3" t="s">
        <v>293</v>
      </c>
      <c r="V25" s="3" t="s">
        <v>237</v>
      </c>
    </row>
    <row r="26" spans="2:22" x14ac:dyDescent="0.25">
      <c r="B26" s="85" t="s">
        <v>144</v>
      </c>
      <c r="C26" s="85" t="s">
        <v>64</v>
      </c>
      <c r="E26" s="85" t="s">
        <v>40</v>
      </c>
      <c r="F26" s="85" t="s">
        <v>64</v>
      </c>
      <c r="H26" s="85" t="s">
        <v>41</v>
      </c>
      <c r="I26" s="3" t="s">
        <v>63</v>
      </c>
      <c r="K26" s="3" t="s">
        <v>166</v>
      </c>
      <c r="L26" s="3" t="s">
        <v>64</v>
      </c>
      <c r="N26" s="85" t="s">
        <v>146</v>
      </c>
      <c r="O26" s="85" t="s">
        <v>64</v>
      </c>
      <c r="Q26" s="85" t="s">
        <v>61</v>
      </c>
      <c r="R26" s="85" t="s">
        <v>64</v>
      </c>
      <c r="T26" s="3" t="s">
        <v>294</v>
      </c>
      <c r="V26" s="3" t="s">
        <v>238</v>
      </c>
    </row>
    <row r="27" spans="2:22" x14ac:dyDescent="0.25">
      <c r="B27" s="85" t="s">
        <v>81</v>
      </c>
      <c r="C27" s="85" t="s">
        <v>64</v>
      </c>
      <c r="E27" s="85" t="s">
        <v>42</v>
      </c>
      <c r="F27" s="85" t="s">
        <v>64</v>
      </c>
      <c r="H27" s="85" t="s">
        <v>43</v>
      </c>
      <c r="I27" s="3" t="s">
        <v>63</v>
      </c>
      <c r="K27" s="3" t="s">
        <v>167</v>
      </c>
      <c r="L27" s="3" t="s">
        <v>64</v>
      </c>
      <c r="N27" s="85" t="s">
        <v>147</v>
      </c>
      <c r="O27" s="85" t="s">
        <v>64</v>
      </c>
      <c r="Q27" s="85" t="s">
        <v>73</v>
      </c>
      <c r="R27" s="85" t="s">
        <v>64</v>
      </c>
      <c r="T27" s="3" t="s">
        <v>295</v>
      </c>
      <c r="V27" s="3" t="s">
        <v>239</v>
      </c>
    </row>
    <row r="28" spans="2:22" ht="15.75" thickBot="1" x14ac:dyDescent="0.3">
      <c r="B28" s="85" t="s">
        <v>145</v>
      </c>
      <c r="C28" s="85" t="s">
        <v>64</v>
      </c>
      <c r="E28" s="85" t="s">
        <v>44</v>
      </c>
      <c r="F28" s="85" t="s">
        <v>64</v>
      </c>
      <c r="H28" s="85" t="s">
        <v>45</v>
      </c>
      <c r="I28" s="3" t="s">
        <v>63</v>
      </c>
      <c r="K28" s="1" t="s">
        <v>168</v>
      </c>
      <c r="L28" s="1" t="s">
        <v>64</v>
      </c>
      <c r="N28" s="85" t="s">
        <v>148</v>
      </c>
      <c r="O28" s="85" t="s">
        <v>64</v>
      </c>
      <c r="Q28" s="85" t="s">
        <v>74</v>
      </c>
      <c r="R28" s="85" t="s">
        <v>64</v>
      </c>
      <c r="T28" s="3" t="s">
        <v>296</v>
      </c>
      <c r="V28" s="3" t="s">
        <v>240</v>
      </c>
    </row>
    <row r="29" spans="2:22" x14ac:dyDescent="0.25">
      <c r="B29" s="85" t="s">
        <v>146</v>
      </c>
      <c r="C29" s="85" t="s">
        <v>64</v>
      </c>
      <c r="E29" s="85" t="s">
        <v>46</v>
      </c>
      <c r="F29" s="85" t="s">
        <v>64</v>
      </c>
      <c r="H29" s="85" t="s">
        <v>47</v>
      </c>
      <c r="I29" s="3" t="s">
        <v>63</v>
      </c>
      <c r="N29" s="85" t="s">
        <v>82</v>
      </c>
      <c r="O29" s="85" t="s">
        <v>64</v>
      </c>
      <c r="Q29" s="85" t="s">
        <v>75</v>
      </c>
      <c r="R29" s="85" t="s">
        <v>64</v>
      </c>
      <c r="T29" s="3" t="s">
        <v>297</v>
      </c>
      <c r="V29" s="3" t="s">
        <v>241</v>
      </c>
    </row>
    <row r="30" spans="2:22" x14ac:dyDescent="0.25">
      <c r="B30" s="85" t="s">
        <v>147</v>
      </c>
      <c r="C30" s="85" t="s">
        <v>64</v>
      </c>
      <c r="E30" s="85" t="s">
        <v>48</v>
      </c>
      <c r="F30" s="85" t="s">
        <v>64</v>
      </c>
      <c r="H30" s="85" t="s">
        <v>49</v>
      </c>
      <c r="I30" s="3" t="s">
        <v>63</v>
      </c>
      <c r="N30" s="85" t="s">
        <v>149</v>
      </c>
      <c r="O30" s="85" t="s">
        <v>64</v>
      </c>
      <c r="Q30" s="85" t="s">
        <v>76</v>
      </c>
      <c r="R30" s="85" t="s">
        <v>64</v>
      </c>
      <c r="T30" s="3" t="s">
        <v>298</v>
      </c>
      <c r="V30" s="3" t="s">
        <v>242</v>
      </c>
    </row>
    <row r="31" spans="2:22" x14ac:dyDescent="0.25">
      <c r="B31" s="85" t="s">
        <v>148</v>
      </c>
      <c r="C31" s="85" t="s">
        <v>64</v>
      </c>
      <c r="E31" s="85" t="s">
        <v>50</v>
      </c>
      <c r="F31" s="85" t="s">
        <v>64</v>
      </c>
      <c r="H31" s="85" t="s">
        <v>51</v>
      </c>
      <c r="I31" s="3" t="s">
        <v>63</v>
      </c>
      <c r="N31" s="85" t="s">
        <v>150</v>
      </c>
      <c r="O31" s="85" t="s">
        <v>64</v>
      </c>
      <c r="Q31" s="85" t="s">
        <v>77</v>
      </c>
      <c r="R31" s="85" t="s">
        <v>64</v>
      </c>
      <c r="T31" s="3" t="s">
        <v>299</v>
      </c>
      <c r="V31" s="3" t="s">
        <v>243</v>
      </c>
    </row>
    <row r="32" spans="2:22" x14ac:dyDescent="0.25">
      <c r="B32" s="85" t="s">
        <v>82</v>
      </c>
      <c r="C32" s="85" t="s">
        <v>64</v>
      </c>
      <c r="E32" s="85" t="s">
        <v>52</v>
      </c>
      <c r="F32" s="85" t="s">
        <v>64</v>
      </c>
      <c r="H32" s="85" t="s">
        <v>53</v>
      </c>
      <c r="I32" s="3" t="s">
        <v>63</v>
      </c>
      <c r="N32" s="85" t="s">
        <v>151</v>
      </c>
      <c r="O32" s="85" t="s">
        <v>64</v>
      </c>
      <c r="Q32" s="85" t="s">
        <v>78</v>
      </c>
      <c r="R32" s="85" t="s">
        <v>64</v>
      </c>
      <c r="T32" s="3" t="s">
        <v>248</v>
      </c>
      <c r="V32" s="3" t="s">
        <v>244</v>
      </c>
    </row>
    <row r="33" spans="2:22" x14ac:dyDescent="0.25">
      <c r="B33" s="85" t="s">
        <v>149</v>
      </c>
      <c r="C33" s="85" t="s">
        <v>64</v>
      </c>
      <c r="E33" s="85" t="s">
        <v>54</v>
      </c>
      <c r="F33" s="85" t="s">
        <v>64</v>
      </c>
      <c r="H33" s="85" t="s">
        <v>55</v>
      </c>
      <c r="I33" s="3" t="s">
        <v>63</v>
      </c>
      <c r="N33" s="85" t="s">
        <v>152</v>
      </c>
      <c r="O33" s="85" t="s">
        <v>64</v>
      </c>
      <c r="Q33" s="85" t="s">
        <v>79</v>
      </c>
      <c r="R33" s="85" t="s">
        <v>64</v>
      </c>
      <c r="T33" s="3" t="s">
        <v>249</v>
      </c>
      <c r="V33" s="3" t="s">
        <v>245</v>
      </c>
    </row>
    <row r="34" spans="2:22" x14ac:dyDescent="0.25">
      <c r="B34" s="85" t="s">
        <v>150</v>
      </c>
      <c r="C34" s="85" t="s">
        <v>64</v>
      </c>
      <c r="E34" s="85" t="s">
        <v>56</v>
      </c>
      <c r="F34" s="85" t="s">
        <v>64</v>
      </c>
      <c r="H34" s="85" t="s">
        <v>57</v>
      </c>
      <c r="I34" s="3" t="s">
        <v>63</v>
      </c>
      <c r="N34" s="85" t="s">
        <v>83</v>
      </c>
      <c r="O34" s="85" t="s">
        <v>64</v>
      </c>
      <c r="Q34" s="85" t="s">
        <v>80</v>
      </c>
      <c r="R34" s="85" t="s">
        <v>64</v>
      </c>
      <c r="T34" s="3" t="s">
        <v>250</v>
      </c>
      <c r="V34" s="3" t="s">
        <v>246</v>
      </c>
    </row>
    <row r="35" spans="2:22" ht="15.75" thickBot="1" x14ac:dyDescent="0.3">
      <c r="B35" s="85" t="s">
        <v>151</v>
      </c>
      <c r="C35" s="85" t="s">
        <v>64</v>
      </c>
      <c r="E35" s="85" t="s">
        <v>58</v>
      </c>
      <c r="F35" s="85" t="s">
        <v>64</v>
      </c>
      <c r="H35" s="83" t="s">
        <v>59</v>
      </c>
      <c r="I35" s="1" t="s">
        <v>63</v>
      </c>
      <c r="N35" s="85" t="s">
        <v>153</v>
      </c>
      <c r="O35" s="85" t="s">
        <v>64</v>
      </c>
      <c r="Q35" s="85" t="s">
        <v>143</v>
      </c>
      <c r="R35" s="85" t="s">
        <v>64</v>
      </c>
      <c r="T35" s="3" t="s">
        <v>251</v>
      </c>
      <c r="V35" s="1" t="s">
        <v>247</v>
      </c>
    </row>
    <row r="36" spans="2:22" x14ac:dyDescent="0.25">
      <c r="B36" s="85" t="s">
        <v>152</v>
      </c>
      <c r="C36" s="85" t="s">
        <v>64</v>
      </c>
      <c r="E36" s="85" t="s">
        <v>60</v>
      </c>
      <c r="F36" s="85" t="s">
        <v>64</v>
      </c>
      <c r="H36" s="85" t="s">
        <v>60</v>
      </c>
      <c r="I36" s="85" t="s">
        <v>64</v>
      </c>
      <c r="N36" s="85" t="s">
        <v>154</v>
      </c>
      <c r="O36" s="85" t="s">
        <v>64</v>
      </c>
      <c r="Q36" s="85" t="s">
        <v>144</v>
      </c>
      <c r="R36" s="85" t="s">
        <v>64</v>
      </c>
      <c r="T36" s="3" t="s">
        <v>252</v>
      </c>
    </row>
    <row r="37" spans="2:22" x14ac:dyDescent="0.25">
      <c r="B37" s="85" t="s">
        <v>83</v>
      </c>
      <c r="C37" s="85" t="s">
        <v>64</v>
      </c>
      <c r="E37" s="85" t="s">
        <v>61</v>
      </c>
      <c r="F37" s="85" t="s">
        <v>64</v>
      </c>
      <c r="H37" s="85" t="s">
        <v>61</v>
      </c>
      <c r="I37" s="85" t="s">
        <v>64</v>
      </c>
      <c r="N37" s="85" t="s">
        <v>155</v>
      </c>
      <c r="O37" s="85" t="s">
        <v>64</v>
      </c>
      <c r="Q37" s="85" t="s">
        <v>81</v>
      </c>
      <c r="R37" s="85" t="s">
        <v>64</v>
      </c>
      <c r="T37" s="3" t="s">
        <v>253</v>
      </c>
    </row>
    <row r="38" spans="2:22" x14ac:dyDescent="0.25">
      <c r="B38" s="85" t="s">
        <v>153</v>
      </c>
      <c r="C38" s="85" t="s">
        <v>64</v>
      </c>
      <c r="E38" s="85" t="s">
        <v>73</v>
      </c>
      <c r="F38" s="85" t="s">
        <v>64</v>
      </c>
      <c r="H38" s="85" t="s">
        <v>73</v>
      </c>
      <c r="I38" s="85" t="s">
        <v>64</v>
      </c>
      <c r="N38" s="85" t="s">
        <v>156</v>
      </c>
      <c r="O38" s="85" t="s">
        <v>64</v>
      </c>
      <c r="Q38" s="85" t="s">
        <v>145</v>
      </c>
      <c r="R38" s="85" t="s">
        <v>64</v>
      </c>
      <c r="T38" s="3" t="s">
        <v>254</v>
      </c>
    </row>
    <row r="39" spans="2:22" x14ac:dyDescent="0.25">
      <c r="B39" s="85" t="s">
        <v>154</v>
      </c>
      <c r="C39" s="85" t="s">
        <v>64</v>
      </c>
      <c r="E39" s="85" t="s">
        <v>74</v>
      </c>
      <c r="F39" s="85" t="s">
        <v>64</v>
      </c>
      <c r="H39" s="85" t="s">
        <v>74</v>
      </c>
      <c r="I39" s="85" t="s">
        <v>64</v>
      </c>
      <c r="N39" s="85" t="s">
        <v>84</v>
      </c>
      <c r="O39" s="85" t="s">
        <v>64</v>
      </c>
      <c r="Q39" s="85" t="s">
        <v>146</v>
      </c>
      <c r="R39" s="85" t="s">
        <v>64</v>
      </c>
      <c r="T39" s="3" t="s">
        <v>255</v>
      </c>
    </row>
    <row r="40" spans="2:22" x14ac:dyDescent="0.25">
      <c r="B40" s="85" t="s">
        <v>155</v>
      </c>
      <c r="C40" s="85" t="s">
        <v>64</v>
      </c>
      <c r="E40" s="85" t="s">
        <v>75</v>
      </c>
      <c r="F40" s="85" t="s">
        <v>64</v>
      </c>
      <c r="H40" s="85" t="s">
        <v>75</v>
      </c>
      <c r="I40" s="85" t="s">
        <v>64</v>
      </c>
      <c r="N40" s="85" t="s">
        <v>157</v>
      </c>
      <c r="O40" s="85" t="s">
        <v>64</v>
      </c>
      <c r="Q40" s="85" t="s">
        <v>147</v>
      </c>
      <c r="R40" s="85" t="s">
        <v>64</v>
      </c>
      <c r="T40" s="3" t="s">
        <v>256</v>
      </c>
    </row>
    <row r="41" spans="2:22" x14ac:dyDescent="0.25">
      <c r="B41" s="85" t="s">
        <v>156</v>
      </c>
      <c r="C41" s="85" t="s">
        <v>64</v>
      </c>
      <c r="E41" s="85" t="s">
        <v>76</v>
      </c>
      <c r="F41" s="85" t="s">
        <v>64</v>
      </c>
      <c r="H41" s="85" t="s">
        <v>76</v>
      </c>
      <c r="I41" s="85" t="s">
        <v>64</v>
      </c>
      <c r="N41" s="85" t="s">
        <v>158</v>
      </c>
      <c r="O41" s="85" t="s">
        <v>64</v>
      </c>
      <c r="Q41" s="85" t="s">
        <v>148</v>
      </c>
      <c r="R41" s="85" t="s">
        <v>64</v>
      </c>
      <c r="T41" s="3" t="s">
        <v>257</v>
      </c>
    </row>
    <row r="42" spans="2:22" x14ac:dyDescent="0.25">
      <c r="B42" s="85" t="s">
        <v>84</v>
      </c>
      <c r="C42" s="85" t="s">
        <v>64</v>
      </c>
      <c r="E42" s="85" t="s">
        <v>77</v>
      </c>
      <c r="F42" s="85" t="s">
        <v>64</v>
      </c>
      <c r="H42" s="85" t="s">
        <v>77</v>
      </c>
      <c r="I42" s="85" t="s">
        <v>64</v>
      </c>
      <c r="N42" s="85" t="s">
        <v>159</v>
      </c>
      <c r="O42" s="85" t="s">
        <v>64</v>
      </c>
      <c r="Q42" s="85" t="s">
        <v>82</v>
      </c>
      <c r="R42" s="85" t="s">
        <v>64</v>
      </c>
      <c r="T42" s="3" t="s">
        <v>258</v>
      </c>
    </row>
    <row r="43" spans="2:22" x14ac:dyDescent="0.25">
      <c r="B43" s="85" t="s">
        <v>161</v>
      </c>
      <c r="C43" s="85" t="s">
        <v>64</v>
      </c>
      <c r="E43" s="85" t="s">
        <v>78</v>
      </c>
      <c r="F43" s="85" t="s">
        <v>64</v>
      </c>
      <c r="H43" s="85" t="s">
        <v>78</v>
      </c>
      <c r="I43" s="85" t="s">
        <v>64</v>
      </c>
      <c r="N43" s="85" t="s">
        <v>160</v>
      </c>
      <c r="O43" s="85" t="s">
        <v>64</v>
      </c>
      <c r="Q43" s="85" t="s">
        <v>149</v>
      </c>
      <c r="R43" s="85" t="s">
        <v>64</v>
      </c>
      <c r="T43" s="3" t="s">
        <v>259</v>
      </c>
    </row>
    <row r="44" spans="2:22" x14ac:dyDescent="0.25">
      <c r="B44" s="85" t="s">
        <v>166</v>
      </c>
      <c r="C44" s="85" t="s">
        <v>64</v>
      </c>
      <c r="E44" s="85" t="s">
        <v>79</v>
      </c>
      <c r="F44" s="85" t="s">
        <v>64</v>
      </c>
      <c r="H44" s="85" t="s">
        <v>79</v>
      </c>
      <c r="I44" s="85" t="s">
        <v>64</v>
      </c>
      <c r="N44" s="85" t="s">
        <v>161</v>
      </c>
      <c r="O44" s="85" t="s">
        <v>64</v>
      </c>
      <c r="Q44" s="85" t="s">
        <v>150</v>
      </c>
      <c r="R44" s="85" t="s">
        <v>64</v>
      </c>
      <c r="T44" s="3" t="s">
        <v>260</v>
      </c>
    </row>
    <row r="45" spans="2:22" x14ac:dyDescent="0.25">
      <c r="B45" s="85" t="s">
        <v>211</v>
      </c>
      <c r="C45" s="85" t="s">
        <v>64</v>
      </c>
      <c r="E45" s="85" t="s">
        <v>80</v>
      </c>
      <c r="F45" s="85" t="s">
        <v>64</v>
      </c>
      <c r="H45" s="85" t="s">
        <v>80</v>
      </c>
      <c r="I45" s="85" t="s">
        <v>64</v>
      </c>
      <c r="N45" s="85" t="s">
        <v>162</v>
      </c>
      <c r="O45" s="85" t="s">
        <v>64</v>
      </c>
      <c r="Q45" s="85" t="s">
        <v>151</v>
      </c>
      <c r="R45" s="85" t="s">
        <v>64</v>
      </c>
      <c r="T45" s="3" t="s">
        <v>261</v>
      </c>
    </row>
    <row r="46" spans="2:22" x14ac:dyDescent="0.25">
      <c r="B46" s="85" t="s">
        <v>167</v>
      </c>
      <c r="C46" s="85" t="s">
        <v>64</v>
      </c>
      <c r="E46" s="85" t="s">
        <v>143</v>
      </c>
      <c r="F46" s="85" t="s">
        <v>64</v>
      </c>
      <c r="H46" s="85" t="s">
        <v>143</v>
      </c>
      <c r="I46" s="85" t="s">
        <v>64</v>
      </c>
      <c r="N46" s="85" t="s">
        <v>163</v>
      </c>
      <c r="O46" s="85" t="s">
        <v>64</v>
      </c>
      <c r="Q46" s="85" t="s">
        <v>152</v>
      </c>
      <c r="R46" s="85" t="s">
        <v>64</v>
      </c>
      <c r="T46" s="3" t="s">
        <v>262</v>
      </c>
    </row>
    <row r="47" spans="2:22" ht="15.75" thickBot="1" x14ac:dyDescent="0.3">
      <c r="B47" s="83" t="s">
        <v>168</v>
      </c>
      <c r="C47" s="83" t="s">
        <v>64</v>
      </c>
      <c r="E47" s="85" t="s">
        <v>144</v>
      </c>
      <c r="F47" s="85" t="s">
        <v>64</v>
      </c>
      <c r="H47" s="85" t="s">
        <v>144</v>
      </c>
      <c r="I47" s="85" t="s">
        <v>64</v>
      </c>
      <c r="N47" s="85" t="s">
        <v>164</v>
      </c>
      <c r="O47" s="85" t="s">
        <v>64</v>
      </c>
      <c r="Q47" s="85" t="s">
        <v>83</v>
      </c>
      <c r="R47" s="85" t="s">
        <v>64</v>
      </c>
      <c r="T47" s="3" t="s">
        <v>263</v>
      </c>
    </row>
    <row r="48" spans="2:22" x14ac:dyDescent="0.25">
      <c r="E48" s="85" t="s">
        <v>81</v>
      </c>
      <c r="F48" s="85" t="s">
        <v>64</v>
      </c>
      <c r="H48" s="85" t="s">
        <v>81</v>
      </c>
      <c r="I48" s="85" t="s">
        <v>64</v>
      </c>
      <c r="N48" s="85" t="s">
        <v>165</v>
      </c>
      <c r="O48" s="85" t="s">
        <v>64</v>
      </c>
      <c r="Q48" s="85" t="s">
        <v>153</v>
      </c>
      <c r="R48" s="85" t="s">
        <v>64</v>
      </c>
      <c r="T48" s="3" t="s">
        <v>264</v>
      </c>
    </row>
    <row r="49" spans="5:20" x14ac:dyDescent="0.25">
      <c r="E49" s="85" t="s">
        <v>145</v>
      </c>
      <c r="F49" s="85" t="s">
        <v>64</v>
      </c>
      <c r="H49" s="85" t="s">
        <v>145</v>
      </c>
      <c r="I49" s="85" t="s">
        <v>64</v>
      </c>
      <c r="N49" s="85" t="s">
        <v>166</v>
      </c>
      <c r="O49" s="85" t="s">
        <v>64</v>
      </c>
      <c r="Q49" s="85" t="s">
        <v>154</v>
      </c>
      <c r="R49" s="85" t="s">
        <v>64</v>
      </c>
      <c r="T49" s="3" t="s">
        <v>265</v>
      </c>
    </row>
    <row r="50" spans="5:20" x14ac:dyDescent="0.25">
      <c r="E50" s="85" t="s">
        <v>146</v>
      </c>
      <c r="F50" s="85" t="s">
        <v>64</v>
      </c>
      <c r="H50" s="85" t="s">
        <v>146</v>
      </c>
      <c r="I50" s="85" t="s">
        <v>64</v>
      </c>
      <c r="N50" s="85" t="s">
        <v>167</v>
      </c>
      <c r="O50" s="85" t="s">
        <v>64</v>
      </c>
      <c r="Q50" s="85" t="s">
        <v>155</v>
      </c>
      <c r="R50" s="85" t="s">
        <v>64</v>
      </c>
      <c r="T50" s="3" t="s">
        <v>266</v>
      </c>
    </row>
    <row r="51" spans="5:20" ht="15.75" thickBot="1" x14ac:dyDescent="0.3">
      <c r="E51" s="85" t="s">
        <v>147</v>
      </c>
      <c r="F51" s="85" t="s">
        <v>64</v>
      </c>
      <c r="H51" s="85" t="s">
        <v>147</v>
      </c>
      <c r="I51" s="85" t="s">
        <v>64</v>
      </c>
      <c r="N51" s="83" t="s">
        <v>168</v>
      </c>
      <c r="O51" s="83" t="s">
        <v>64</v>
      </c>
      <c r="Q51" s="85" t="s">
        <v>156</v>
      </c>
      <c r="R51" s="85" t="s">
        <v>64</v>
      </c>
      <c r="T51" s="3" t="s">
        <v>267</v>
      </c>
    </row>
    <row r="52" spans="5:20" x14ac:dyDescent="0.25">
      <c r="E52" s="85" t="s">
        <v>148</v>
      </c>
      <c r="F52" s="85" t="s">
        <v>64</v>
      </c>
      <c r="H52" s="85" t="s">
        <v>148</v>
      </c>
      <c r="I52" s="85" t="s">
        <v>64</v>
      </c>
      <c r="Q52" s="85" t="s">
        <v>84</v>
      </c>
      <c r="R52" s="85" t="s">
        <v>64</v>
      </c>
      <c r="T52" s="3" t="s">
        <v>268</v>
      </c>
    </row>
    <row r="53" spans="5:20" x14ac:dyDescent="0.25">
      <c r="E53" s="85" t="s">
        <v>82</v>
      </c>
      <c r="F53" s="85" t="s">
        <v>64</v>
      </c>
      <c r="H53" s="85" t="s">
        <v>82</v>
      </c>
      <c r="I53" s="85" t="s">
        <v>64</v>
      </c>
      <c r="Q53" s="85" t="s">
        <v>157</v>
      </c>
      <c r="R53" s="85" t="s">
        <v>64</v>
      </c>
      <c r="T53" s="3" t="s">
        <v>269</v>
      </c>
    </row>
    <row r="54" spans="5:20" x14ac:dyDescent="0.25">
      <c r="E54" s="85" t="s">
        <v>149</v>
      </c>
      <c r="F54" s="85" t="s">
        <v>64</v>
      </c>
      <c r="H54" s="85" t="s">
        <v>149</v>
      </c>
      <c r="I54" s="85" t="s">
        <v>64</v>
      </c>
      <c r="Q54" s="85" t="s">
        <v>158</v>
      </c>
      <c r="R54" s="85" t="s">
        <v>64</v>
      </c>
      <c r="T54" s="3" t="s">
        <v>270</v>
      </c>
    </row>
    <row r="55" spans="5:20" x14ac:dyDescent="0.25">
      <c r="E55" s="85" t="s">
        <v>150</v>
      </c>
      <c r="F55" s="85" t="s">
        <v>64</v>
      </c>
      <c r="H55" s="85" t="s">
        <v>150</v>
      </c>
      <c r="I55" s="85" t="s">
        <v>64</v>
      </c>
      <c r="Q55" s="85" t="s">
        <v>159</v>
      </c>
      <c r="R55" s="85" t="s">
        <v>64</v>
      </c>
      <c r="T55" s="3" t="s">
        <v>271</v>
      </c>
    </row>
    <row r="56" spans="5:20" x14ac:dyDescent="0.25">
      <c r="E56" s="85" t="s">
        <v>151</v>
      </c>
      <c r="F56" s="85" t="s">
        <v>64</v>
      </c>
      <c r="H56" s="85" t="s">
        <v>151</v>
      </c>
      <c r="I56" s="85" t="s">
        <v>64</v>
      </c>
      <c r="Q56" s="85" t="s">
        <v>160</v>
      </c>
      <c r="R56" s="85" t="s">
        <v>64</v>
      </c>
      <c r="T56" s="3" t="s">
        <v>272</v>
      </c>
    </row>
    <row r="57" spans="5:20" x14ac:dyDescent="0.25">
      <c r="E57" s="85" t="s">
        <v>152</v>
      </c>
      <c r="F57" s="85" t="s">
        <v>64</v>
      </c>
      <c r="H57" s="85" t="s">
        <v>152</v>
      </c>
      <c r="I57" s="85" t="s">
        <v>64</v>
      </c>
      <c r="Q57" s="85" t="s">
        <v>161</v>
      </c>
      <c r="R57" s="85" t="s">
        <v>64</v>
      </c>
      <c r="T57" s="3" t="s">
        <v>273</v>
      </c>
    </row>
    <row r="58" spans="5:20" x14ac:dyDescent="0.25">
      <c r="E58" s="85" t="s">
        <v>83</v>
      </c>
      <c r="F58" s="85" t="s">
        <v>64</v>
      </c>
      <c r="H58" s="85" t="s">
        <v>83</v>
      </c>
      <c r="I58" s="85" t="s">
        <v>64</v>
      </c>
      <c r="Q58" s="85" t="s">
        <v>162</v>
      </c>
      <c r="R58" s="85" t="s">
        <v>64</v>
      </c>
      <c r="T58" s="3" t="s">
        <v>274</v>
      </c>
    </row>
    <row r="59" spans="5:20" x14ac:dyDescent="0.25">
      <c r="E59" s="85" t="s">
        <v>153</v>
      </c>
      <c r="F59" s="85" t="s">
        <v>64</v>
      </c>
      <c r="H59" s="85" t="s">
        <v>153</v>
      </c>
      <c r="I59" s="85" t="s">
        <v>64</v>
      </c>
      <c r="Q59" s="85" t="s">
        <v>163</v>
      </c>
      <c r="R59" s="85" t="s">
        <v>64</v>
      </c>
      <c r="T59" s="3" t="s">
        <v>275</v>
      </c>
    </row>
    <row r="60" spans="5:20" ht="15.75" thickBot="1" x14ac:dyDescent="0.3">
      <c r="E60" s="85" t="s">
        <v>154</v>
      </c>
      <c r="F60" s="85" t="s">
        <v>64</v>
      </c>
      <c r="H60" s="85" t="s">
        <v>154</v>
      </c>
      <c r="I60" s="85" t="s">
        <v>64</v>
      </c>
      <c r="Q60" s="85" t="s">
        <v>164</v>
      </c>
      <c r="R60" s="85" t="s">
        <v>64</v>
      </c>
      <c r="T60" s="1" t="s">
        <v>276</v>
      </c>
    </row>
    <row r="61" spans="5:20" x14ac:dyDescent="0.25">
      <c r="E61" s="85" t="s">
        <v>155</v>
      </c>
      <c r="F61" s="85" t="s">
        <v>64</v>
      </c>
      <c r="H61" s="85" t="s">
        <v>155</v>
      </c>
      <c r="I61" s="85" t="s">
        <v>64</v>
      </c>
      <c r="Q61" s="85" t="s">
        <v>165</v>
      </c>
      <c r="R61" s="85" t="s">
        <v>64</v>
      </c>
    </row>
    <row r="62" spans="5:20" x14ac:dyDescent="0.25">
      <c r="E62" s="85" t="s">
        <v>156</v>
      </c>
      <c r="F62" s="85" t="s">
        <v>64</v>
      </c>
      <c r="H62" s="85" t="s">
        <v>156</v>
      </c>
      <c r="I62" s="85" t="s">
        <v>64</v>
      </c>
      <c r="Q62" s="85" t="s">
        <v>166</v>
      </c>
      <c r="R62" s="85" t="s">
        <v>64</v>
      </c>
    </row>
    <row r="63" spans="5:20" x14ac:dyDescent="0.25">
      <c r="E63" s="85" t="s">
        <v>84</v>
      </c>
      <c r="F63" s="85" t="s">
        <v>64</v>
      </c>
      <c r="H63" s="85" t="s">
        <v>84</v>
      </c>
      <c r="I63" s="85" t="s">
        <v>64</v>
      </c>
      <c r="Q63" s="85" t="s">
        <v>167</v>
      </c>
      <c r="R63" s="85" t="s">
        <v>64</v>
      </c>
    </row>
    <row r="64" spans="5:20" ht="15.75" thickBot="1" x14ac:dyDescent="0.3">
      <c r="E64" s="85" t="s">
        <v>157</v>
      </c>
      <c r="F64" s="85" t="s">
        <v>64</v>
      </c>
      <c r="H64" s="85" t="s">
        <v>157</v>
      </c>
      <c r="I64" s="85" t="s">
        <v>64</v>
      </c>
      <c r="Q64" s="83" t="s">
        <v>168</v>
      </c>
      <c r="R64" s="83" t="s">
        <v>64</v>
      </c>
    </row>
    <row r="65" spans="5:9" x14ac:dyDescent="0.25">
      <c r="E65" s="85" t="s">
        <v>158</v>
      </c>
      <c r="F65" s="85" t="s">
        <v>64</v>
      </c>
      <c r="H65" s="85" t="s">
        <v>158</v>
      </c>
      <c r="I65" s="85" t="s">
        <v>64</v>
      </c>
    </row>
    <row r="66" spans="5:9" x14ac:dyDescent="0.25">
      <c r="E66" s="85" t="s">
        <v>159</v>
      </c>
      <c r="F66" s="85" t="s">
        <v>64</v>
      </c>
      <c r="H66" s="85" t="s">
        <v>159</v>
      </c>
      <c r="I66" s="85" t="s">
        <v>64</v>
      </c>
    </row>
    <row r="67" spans="5:9" x14ac:dyDescent="0.25">
      <c r="E67" s="85" t="s">
        <v>160</v>
      </c>
      <c r="F67" s="85" t="s">
        <v>64</v>
      </c>
      <c r="H67" s="85" t="s">
        <v>160</v>
      </c>
      <c r="I67" s="85" t="s">
        <v>64</v>
      </c>
    </row>
    <row r="68" spans="5:9" x14ac:dyDescent="0.25">
      <c r="E68" s="85" t="s">
        <v>161</v>
      </c>
      <c r="F68" s="85" t="s">
        <v>64</v>
      </c>
      <c r="H68" s="85" t="s">
        <v>161</v>
      </c>
      <c r="I68" s="85" t="s">
        <v>64</v>
      </c>
    </row>
    <row r="69" spans="5:9" x14ac:dyDescent="0.25">
      <c r="E69" s="85" t="s">
        <v>162</v>
      </c>
      <c r="F69" s="85" t="s">
        <v>64</v>
      </c>
      <c r="H69" s="85" t="s">
        <v>162</v>
      </c>
      <c r="I69" s="85" t="s">
        <v>64</v>
      </c>
    </row>
    <row r="70" spans="5:9" x14ac:dyDescent="0.25">
      <c r="E70" s="85" t="s">
        <v>163</v>
      </c>
      <c r="F70" s="85" t="s">
        <v>64</v>
      </c>
      <c r="H70" s="85" t="s">
        <v>163</v>
      </c>
      <c r="I70" s="85" t="s">
        <v>64</v>
      </c>
    </row>
    <row r="71" spans="5:9" x14ac:dyDescent="0.25">
      <c r="E71" s="85" t="s">
        <v>164</v>
      </c>
      <c r="F71" s="85" t="s">
        <v>64</v>
      </c>
      <c r="H71" s="85" t="s">
        <v>164</v>
      </c>
      <c r="I71" s="85" t="s">
        <v>64</v>
      </c>
    </row>
    <row r="72" spans="5:9" x14ac:dyDescent="0.25">
      <c r="E72" s="85" t="s">
        <v>165</v>
      </c>
      <c r="F72" s="85" t="s">
        <v>64</v>
      </c>
      <c r="H72" s="85" t="s">
        <v>165</v>
      </c>
      <c r="I72" s="85" t="s">
        <v>64</v>
      </c>
    </row>
    <row r="73" spans="5:9" x14ac:dyDescent="0.25">
      <c r="E73" s="85" t="s">
        <v>166</v>
      </c>
      <c r="F73" s="85" t="s">
        <v>64</v>
      </c>
      <c r="H73" s="85" t="s">
        <v>166</v>
      </c>
      <c r="I73" s="85" t="s">
        <v>64</v>
      </c>
    </row>
    <row r="74" spans="5:9" x14ac:dyDescent="0.25">
      <c r="E74" s="85" t="s">
        <v>167</v>
      </c>
      <c r="F74" s="85" t="s">
        <v>64</v>
      </c>
      <c r="H74" s="85" t="s">
        <v>167</v>
      </c>
      <c r="I74" s="85" t="s">
        <v>64</v>
      </c>
    </row>
    <row r="75" spans="5:9" ht="15.75" thickBot="1" x14ac:dyDescent="0.3">
      <c r="E75" s="83" t="s">
        <v>168</v>
      </c>
      <c r="F75" s="83" t="s">
        <v>64</v>
      </c>
      <c r="H75" s="83" t="s">
        <v>168</v>
      </c>
      <c r="I75" s="83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6925"/>
  <sheetViews>
    <sheetView showGridLines="0" tabSelected="1" zoomScaleNormal="100" workbookViewId="0">
      <selection activeCell="Z2" sqref="Z2"/>
    </sheetView>
  </sheetViews>
  <sheetFormatPr defaultRowHeight="13.5" outlineLevelCol="1" x14ac:dyDescent="0.25"/>
  <cols>
    <col min="1" max="1" width="4.42578125" style="8" bestFit="1" customWidth="1"/>
    <col min="2" max="2" width="3.28515625" style="8" bestFit="1" customWidth="1"/>
    <col min="3" max="3" width="6.7109375" style="8" bestFit="1" customWidth="1"/>
    <col min="4" max="4" width="5.5703125" style="8" bestFit="1" customWidth="1"/>
    <col min="5" max="5" width="14.85546875" style="32" bestFit="1" customWidth="1"/>
    <col min="6" max="6" width="20.7109375" style="8" hidden="1" customWidth="1" outlineLevel="1"/>
    <col min="7" max="7" width="22" style="8" hidden="1" customWidth="1" outlineLevel="1"/>
    <col min="8" max="8" width="11.28515625" style="8" bestFit="1" customWidth="1" collapsed="1"/>
    <col min="9" max="9" width="11.28515625" style="8" bestFit="1" customWidth="1"/>
    <col min="10" max="10" width="12.42578125" style="8" bestFit="1" customWidth="1"/>
    <col min="11" max="11" width="10.140625" style="8" hidden="1" customWidth="1" outlineLevel="1"/>
    <col min="12" max="12" width="12.42578125" style="8" bestFit="1" customWidth="1" collapsed="1"/>
    <col min="13" max="13" width="17.28515625" style="8" hidden="1" customWidth="1" outlineLevel="1"/>
    <col min="14" max="14" width="23.140625" style="8" hidden="1" customWidth="1" outlineLevel="1"/>
    <col min="15" max="15" width="17.28515625" style="8" hidden="1" customWidth="1" outlineLevel="1"/>
    <col min="16" max="16" width="7.85546875" style="8" bestFit="1" customWidth="1" collapsed="1"/>
    <col min="17" max="17" width="17.28515625" style="30" hidden="1" customWidth="1" outlineLevel="1"/>
    <col min="18" max="18" width="11.28515625" style="8" bestFit="1" customWidth="1" collapsed="1"/>
    <col min="19" max="19" width="9" style="8" bestFit="1" customWidth="1"/>
    <col min="20" max="20" width="9.140625" style="8"/>
    <col min="21" max="21" width="17.28515625" style="8" bestFit="1" customWidth="1"/>
    <col min="22" max="22" width="19.5703125" style="8" bestFit="1" customWidth="1"/>
    <col min="23" max="23" width="15" style="8" customWidth="1"/>
    <col min="24" max="24" width="11.85546875" style="8" customWidth="1"/>
    <col min="25" max="25" width="16" style="8" bestFit="1" customWidth="1"/>
    <col min="26" max="26" width="18.42578125" style="8" bestFit="1" customWidth="1"/>
    <col min="27" max="27" width="13" style="8" customWidth="1"/>
    <col min="28" max="28" width="13.7109375" style="8" bestFit="1" customWidth="1"/>
    <col min="29" max="29" width="11.7109375" style="8" customWidth="1"/>
    <col min="30" max="30" width="2.7109375" style="8" customWidth="1"/>
    <col min="31" max="35" width="13" style="8" customWidth="1"/>
    <col min="36" max="36" width="2.7109375" style="8" customWidth="1"/>
    <col min="37" max="37" width="13.7109375" style="8" bestFit="1" customWidth="1"/>
    <col min="38" max="38" width="12.42578125" style="8" bestFit="1" customWidth="1"/>
    <col min="39" max="39" width="10.140625" style="8" bestFit="1" customWidth="1"/>
    <col min="40" max="40" width="2.7109375" style="8" customWidth="1"/>
    <col min="41" max="41" width="13.7109375" style="8" bestFit="1" customWidth="1"/>
    <col min="42" max="42" width="11.28515625" style="8" bestFit="1" customWidth="1"/>
    <col min="43" max="45" width="10.140625" style="8" bestFit="1" customWidth="1"/>
    <col min="46" max="16384" width="9.140625" style="8"/>
  </cols>
  <sheetData>
    <row r="1" spans="1:39" x14ac:dyDescent="0.25">
      <c r="E1" s="8"/>
      <c r="F1" s="8" t="s">
        <v>93</v>
      </c>
      <c r="G1" s="32" t="s">
        <v>98</v>
      </c>
      <c r="N1" s="8" t="s">
        <v>96</v>
      </c>
      <c r="O1" s="8" t="str">
        <f>_xll.qlDiscountingSwapEngine(,"euronmx",,,,,trigger)</f>
        <v>obj_0045d#0012</v>
      </c>
      <c r="Q1" s="8"/>
    </row>
    <row r="2" spans="1:39" x14ac:dyDescent="0.25">
      <c r="Q2" s="8"/>
      <c r="R2" s="9" t="s">
        <v>177</v>
      </c>
      <c r="S2" s="9" t="s">
        <v>109</v>
      </c>
      <c r="U2" s="9" t="s">
        <v>187</v>
      </c>
      <c r="V2" s="10" t="s">
        <v>22</v>
      </c>
      <c r="Y2" s="9" t="s">
        <v>186</v>
      </c>
      <c r="Z2" s="62" t="s">
        <v>300</v>
      </c>
    </row>
    <row r="3" spans="1:39" ht="14.25" thickBot="1" x14ac:dyDescent="0.3">
      <c r="A3" s="11"/>
      <c r="B3" s="9"/>
      <c r="C3" s="9"/>
      <c r="D3" s="9" t="s">
        <v>196</v>
      </c>
      <c r="E3" s="33" t="s">
        <v>173</v>
      </c>
      <c r="F3" s="9" t="s">
        <v>174</v>
      </c>
      <c r="G3" s="9" t="s">
        <v>192</v>
      </c>
      <c r="H3" s="9" t="s">
        <v>94</v>
      </c>
      <c r="I3" s="9" t="s">
        <v>95</v>
      </c>
      <c r="J3" s="9" t="s">
        <v>195</v>
      </c>
      <c r="K3" s="9" t="s">
        <v>97</v>
      </c>
      <c r="L3" s="9" t="s">
        <v>178</v>
      </c>
      <c r="M3" s="9" t="s">
        <v>175</v>
      </c>
      <c r="N3" s="9" t="s">
        <v>176</v>
      </c>
      <c r="O3" s="9" t="s">
        <v>99</v>
      </c>
      <c r="P3" s="9" t="s">
        <v>100</v>
      </c>
      <c r="Q3" s="9" t="s">
        <v>189</v>
      </c>
      <c r="R3" s="15" t="b">
        <v>0</v>
      </c>
      <c r="S3" s="13">
        <f>1/10000</f>
        <v>1E-4</v>
      </c>
      <c r="U3" s="9" t="s">
        <v>191</v>
      </c>
      <c r="V3" s="10" t="str">
        <f>"EURIBOR"&amp;tenor&amp;"MX"</f>
        <v>EURIBOR6MMX</v>
      </c>
      <c r="AB3" s="9" t="s">
        <v>202</v>
      </c>
      <c r="AC3" s="101" t="s">
        <v>210</v>
      </c>
      <c r="AE3" s="70" t="s">
        <v>199</v>
      </c>
      <c r="AF3" s="70" t="s">
        <v>179</v>
      </c>
      <c r="AG3" s="70" t="s">
        <v>197</v>
      </c>
      <c r="AH3" s="70" t="s">
        <v>198</v>
      </c>
      <c r="AI3" s="70" t="s">
        <v>200</v>
      </c>
      <c r="AK3" s="9" t="s">
        <v>180</v>
      </c>
      <c r="AL3" s="9" t="s">
        <v>181</v>
      </c>
      <c r="AM3" s="9" t="s">
        <v>182</v>
      </c>
    </row>
    <row r="4" spans="1:39" ht="14.25" customHeight="1" x14ac:dyDescent="0.25">
      <c r="A4" s="15" t="s">
        <v>205</v>
      </c>
      <c r="B4" s="15"/>
      <c r="C4" s="15" t="str">
        <f>A4</f>
        <v>ON</v>
      </c>
      <c r="D4" s="15" t="s">
        <v>204</v>
      </c>
      <c r="E4" s="34" t="str">
        <f>B4&amp;C4&amp;D4</f>
        <v>ONDEPO</v>
      </c>
      <c r="F4" s="15" t="str">
        <f>_xll.qlSimpleQuote(E4,trigger)</f>
        <v>ONDEPO#0012</v>
      </c>
      <c r="G4" s="15"/>
      <c r="H4" s="16">
        <f>_xll.qlCalendarAdvance(calendar,evaluationdate,"0D")</f>
        <v>42549</v>
      </c>
      <c r="I4" s="16">
        <f>_xll.qlCalendarAdvance(calendar,H4,"1D")</f>
        <v>42550</v>
      </c>
      <c r="J4" s="17">
        <f>_xll.qlYieldTSForwardRate("eur"&amp;tenor&amp;"MX",H4,I4,daycounter)</f>
        <v>-1.3760736399959228E-3</v>
      </c>
      <c r="K4" s="19" t="e">
        <f>_xll.qlSimpleQuoteSetValue(F4,J4)</f>
        <v>#N/A</v>
      </c>
      <c r="L4" s="17">
        <v>0</v>
      </c>
      <c r="M4" s="15" t="str">
        <f>"C_"&amp;E4</f>
        <v>C_ONDEPO</v>
      </c>
      <c r="N4" s="15" t="str">
        <f>_xll.qlCompositeQuote(M4,F4,L4,"+",,trigger)</f>
        <v>C_ONDEPO#0012</v>
      </c>
      <c r="O4" s="15" t="str">
        <f>_xll.qlDepositRateHelper2(,N4,"1D",0,calendar,"f",FALSE,+daycounter,,trigger)</f>
        <v>obj_00541#0014</v>
      </c>
      <c r="P4" s="15" t="b">
        <f>IF($Z$2="SwapDesk",NOT(ISNA(VLOOKUP(E4,'Curve Configuration'!$T$6:$T$60,1,0))),NOT(ISNA(VLOOKUP(E4,'Curve Configuration'!$V$6:$V$35,1,0))))</f>
        <v>1</v>
      </c>
      <c r="Q4" s="18" t="str">
        <f t="array" ref="Q4:Q153">_xll.ohFilter(O4:O153,P4:P153)</f>
        <v>obj_00541#0014</v>
      </c>
      <c r="R4" s="93" t="str">
        <f t="array" ref="R4:R153">IF($R$3,_xll.qlBucketAnalysis(E4:E153,Instrument!C3,1,S3),"--")</f>
        <v>--</v>
      </c>
      <c r="U4" s="9" t="s">
        <v>116</v>
      </c>
      <c r="V4" s="14" t="str">
        <f>_xll.qlEuribor("H_Euribor"&amp;tenor,tenor,yieldcurve,,trigger)</f>
        <v>H_Euribor6M#0035</v>
      </c>
      <c r="AB4" s="98" t="str">
        <f t="array" ref="AB4:AB153">_xll.ohFilter($E$4:$E$153,$P$4:$P$153)</f>
        <v>ONDEPO</v>
      </c>
      <c r="AC4" s="102" t="str">
        <f t="array" ref="AC4:AC153">_xll.ohFilter($R$4:$R$153,$P$4:$P$153)</f>
        <v>--</v>
      </c>
      <c r="AE4" s="64">
        <f>IFERROR(Instrument!J35,"--")</f>
        <v>42732</v>
      </c>
      <c r="AF4" s="80">
        <f>IFERROR(Instrument!E35,"--")</f>
        <v>42734</v>
      </c>
      <c r="AG4" s="65">
        <f>IFERROR(Instrument!P35,"--")</f>
        <v>-2.129982042532562E-3</v>
      </c>
      <c r="AH4" s="65">
        <f>IFERROR(_xll.qlIndexFixing(hiborindex,AE4,TRUE),"--")</f>
        <v>-2.1300000000572601E-3</v>
      </c>
      <c r="AI4" s="65">
        <f>IFERROR(AG4-AH4,"--")</f>
        <v>1.7957524698145044E-8</v>
      </c>
      <c r="AK4" s="16">
        <f>evaluationdate</f>
        <v>42549</v>
      </c>
      <c r="AL4" s="16">
        <f>_xll.qlInterestRateIndexValueDate(hiborindex,AK4)</f>
        <v>42551</v>
      </c>
      <c r="AM4" s="19">
        <f>_xll.qlIndexFixing(hiborindex,AK4)</f>
        <v>-1.7599999999999998E-3</v>
      </c>
    </row>
    <row r="5" spans="1:39" ht="14.25" customHeight="1" x14ac:dyDescent="0.25">
      <c r="A5" s="20" t="s">
        <v>206</v>
      </c>
      <c r="B5" s="20"/>
      <c r="C5" s="20" t="str">
        <f t="shared" ref="C5:C20" si="0">A5</f>
        <v>TN</v>
      </c>
      <c r="D5" s="20" t="s">
        <v>204</v>
      </c>
      <c r="E5" s="35" t="str">
        <f t="shared" ref="E5:E20" si="1">B5&amp;C5&amp;D5</f>
        <v>TNDEPO</v>
      </c>
      <c r="F5" s="20" t="str">
        <f>_xll.qlSimpleQuote(E5,trigger)</f>
        <v>TNDEPO#0012</v>
      </c>
      <c r="G5" s="20"/>
      <c r="H5" s="21">
        <f>_xll.qlCalendarAdvance(calendar,evaluationdate,"1D")</f>
        <v>42550</v>
      </c>
      <c r="I5" s="21">
        <f>_xll.qlCalendarAdvance(calendar,H5,"1D")</f>
        <v>42551</v>
      </c>
      <c r="J5" s="22">
        <f>_xll.qlYieldTSForwardRate("eur"&amp;tenor&amp;"MX",H5,I5,daycounter)</f>
        <v>-1.3760736400358908E-3</v>
      </c>
      <c r="K5" s="23" t="e">
        <f>_xll.qlSimpleQuoteSetValue(F5,J5)</f>
        <v>#N/A</v>
      </c>
      <c r="L5" s="22">
        <v>0</v>
      </c>
      <c r="M5" s="20" t="str">
        <f t="shared" ref="M5:M20" si="2">"C_"&amp;E5</f>
        <v>C_TNDEPO</v>
      </c>
      <c r="N5" s="20" t="str">
        <f>_xll.qlCompositeQuote(M5,F5,L5,"+",,trigger)</f>
        <v>C_TNDEPO#0012</v>
      </c>
      <c r="O5" s="20" t="str">
        <f>_xll.qlDepositRateHelper2(,N5,"1D",1,calendar,"f",FALSE,+daycounter,,trigger)</f>
        <v>obj_004ac#0014</v>
      </c>
      <c r="P5" s="20" t="b">
        <f>IF($Z$2="SwapDesk",NOT(ISNA(VLOOKUP(E5,'Curve Configuration'!$T$6:$T$60,1,0))),NOT(ISNA(VLOOKUP(E5,'Curve Configuration'!$V$6:$V$35,1,0))))</f>
        <v>1</v>
      </c>
      <c r="Q5" s="18" t="str">
        <v>obj_004ac#0014</v>
      </c>
      <c r="R5" s="94" t="str">
        <v>--</v>
      </c>
      <c r="U5" s="9" t="s">
        <v>208</v>
      </c>
      <c r="V5" s="14" t="str">
        <f>_xll.qlEuribor(,"3M","_EUR"&amp;tenor&amp;"MX",,trigger)</f>
        <v>obj_00437#0014</v>
      </c>
      <c r="Y5" s="9" t="s">
        <v>194</v>
      </c>
      <c r="Z5" s="62" t="s">
        <v>58</v>
      </c>
      <c r="AB5" s="99" t="str">
        <v>TNDEPO</v>
      </c>
      <c r="AC5" s="103" t="str">
        <v>--</v>
      </c>
      <c r="AE5" s="66">
        <f>IFERROR(Instrument!J36,"--")</f>
        <v>42914</v>
      </c>
      <c r="AF5" s="81">
        <f>IFERROR(Instrument!E36,"--")</f>
        <v>42916</v>
      </c>
      <c r="AG5" s="67">
        <f>IFERROR(Instrument!P36,"--")</f>
        <v>-2.2989598282336129E-3</v>
      </c>
      <c r="AH5" s="67">
        <f>IFERROR(_xll.qlIndexFixing(hiborindex,AE5,TRUE),"--")</f>
        <v>-2.3300000000601078E-3</v>
      </c>
      <c r="AI5" s="67">
        <f t="shared" ref="AI5:AI29" si="3">IFERROR(AG5-AH5,"--")</f>
        <v>3.1040171826494847E-5</v>
      </c>
      <c r="AK5" s="21">
        <f>_xll.qlCalendarAdvance(calendar,AK4,"1D")</f>
        <v>42550</v>
      </c>
      <c r="AL5" s="21">
        <f>_xll.qlInterestRateIndexValueDate(hiborindex,AK5)</f>
        <v>42552</v>
      </c>
      <c r="AM5" s="23">
        <f>_xll.qlIndexFixing(hiborindex,AK5)</f>
        <v>-1.7011258429322977E-3</v>
      </c>
    </row>
    <row r="6" spans="1:39" ht="14.25" customHeight="1" x14ac:dyDescent="0.25">
      <c r="A6" s="87" t="s">
        <v>207</v>
      </c>
      <c r="B6" s="87"/>
      <c r="C6" s="87" t="str">
        <f t="shared" si="0"/>
        <v>SN</v>
      </c>
      <c r="D6" s="87" t="s">
        <v>204</v>
      </c>
      <c r="E6" s="88" t="str">
        <f t="shared" si="1"/>
        <v>SNDEPO</v>
      </c>
      <c r="F6" s="87" t="str">
        <f>_xll.qlSimpleQuote(E6,trigger)</f>
        <v>SNDEPO#0012</v>
      </c>
      <c r="G6" s="87"/>
      <c r="H6" s="89">
        <f>_xll.qlCalendarAdvance(calendar,evaluationdate,"2D")</f>
        <v>42551</v>
      </c>
      <c r="I6" s="89">
        <f>_xll.qlCalendarAdvance(calendar,H6,"1D")</f>
        <v>42552</v>
      </c>
      <c r="J6" s="90">
        <f>_xll.qlYieldTSForwardRate("eur"&amp;tenor&amp;"MX",H6,I6,daycounter)</f>
        <v>-1.3760736399959228E-3</v>
      </c>
      <c r="K6" s="91" t="e">
        <f>_xll.qlSimpleQuoteSetValue(F6,J6)</f>
        <v>#N/A</v>
      </c>
      <c r="L6" s="90">
        <v>0</v>
      </c>
      <c r="M6" s="87" t="str">
        <f t="shared" si="2"/>
        <v>C_SNDEPO</v>
      </c>
      <c r="N6" s="87" t="str">
        <f>_xll.qlCompositeQuote(M6,F6,L6,"+",,trigger)</f>
        <v>C_SNDEPO#0012</v>
      </c>
      <c r="O6" s="87" t="str">
        <f>_xll.qlDepositRateHelper2(,N6,"1D",2,calendar,"f",FALSE,+daycounter,,trigger)</f>
        <v>obj_0048b#0014</v>
      </c>
      <c r="P6" s="87" t="b">
        <f>IF($Z$2="SwapDesk",NOT(ISNA(VLOOKUP(E6,'Curve Configuration'!$T$6:$T$60,1,0))),NOT(ISNA(VLOOKUP(E6,'Curve Configuration'!$V$6:$V$35,1,0))))</f>
        <v>1</v>
      </c>
      <c r="Q6" s="18" t="str">
        <v>obj_0048b#0014</v>
      </c>
      <c r="R6" s="95" t="str">
        <v>--</v>
      </c>
      <c r="U6" s="9" t="s">
        <v>209</v>
      </c>
      <c r="V6" s="14" t="str">
        <f>_xll.qlEuribor(,"6M","_EUR"&amp;tenor&amp;"MX",,trigger)</f>
        <v>obj_00420#0016</v>
      </c>
      <c r="Y6" s="9" t="s">
        <v>94</v>
      </c>
      <c r="Z6" s="79" t="s">
        <v>22</v>
      </c>
      <c r="AB6" s="99" t="str">
        <v>SNDEPO</v>
      </c>
      <c r="AC6" s="103" t="str">
        <v>--</v>
      </c>
      <c r="AE6" s="66">
        <f>IFERROR(Instrument!J37,"--")</f>
        <v>43096</v>
      </c>
      <c r="AF6" s="81">
        <f>IFERROR(Instrument!E37,"--")</f>
        <v>43098</v>
      </c>
      <c r="AG6" s="67">
        <f>IFERROR(Instrument!P37,"--")</f>
        <v>-2.4109881343963497E-3</v>
      </c>
      <c r="AH6" s="67">
        <f>IFERROR(_xll.qlIndexFixing(hiborindex,AE6,TRUE),"--")</f>
        <v>-2.3800000001210461E-3</v>
      </c>
      <c r="AI6" s="67">
        <f t="shared" si="3"/>
        <v>-3.0988134275303572E-5</v>
      </c>
      <c r="AK6" s="21">
        <f>_xll.qlCalendarAdvance(calendar,AK5,"1D")</f>
        <v>42551</v>
      </c>
      <c r="AL6" s="21">
        <f>_xll.qlInterestRateIndexValueDate(hiborindex,AK6)</f>
        <v>42555</v>
      </c>
      <c r="AM6" s="23">
        <f>_xll.qlIndexFixing(hiborindex,AK6)</f>
        <v>-1.7100852245457627E-3</v>
      </c>
    </row>
    <row r="7" spans="1:39" ht="14.25" customHeight="1" x14ac:dyDescent="0.25">
      <c r="A7" s="20" t="s">
        <v>6</v>
      </c>
      <c r="B7" s="20"/>
      <c r="C7" s="20" t="str">
        <f t="shared" si="0"/>
        <v>1W</v>
      </c>
      <c r="D7" s="20" t="s">
        <v>204</v>
      </c>
      <c r="E7" s="35" t="str">
        <f t="shared" si="1"/>
        <v>1WDEPO</v>
      </c>
      <c r="F7" s="20" t="str">
        <f>_xll.qlSimpleQuote(E7,trigger)</f>
        <v>1WDEPO#0012</v>
      </c>
      <c r="G7" s="20"/>
      <c r="H7" s="21">
        <f>_xll.qlCalendarAdvance(calendar,evaluationdate,"2D")</f>
        <v>42551</v>
      </c>
      <c r="I7" s="21">
        <f>_xll.qlCalendarAdvance(calendar,H7,A7)</f>
        <v>42558</v>
      </c>
      <c r="J7" s="22">
        <f>_xll.qlYieldTSForwardRate("eur"&amp;tenor&amp;"MX",H7,I7,daycounter)</f>
        <v>-1.376057859995759E-3</v>
      </c>
      <c r="K7" s="23" t="e">
        <f>_xll.qlSimpleQuoteSetValue(F7,J7)</f>
        <v>#N/A</v>
      </c>
      <c r="L7" s="22">
        <v>0</v>
      </c>
      <c r="M7" s="20" t="str">
        <f t="shared" si="2"/>
        <v>C_1WDEPO</v>
      </c>
      <c r="N7" s="20" t="str">
        <f>_xll.qlCompositeQuote(M7,F7,L7,"+",,trigger)</f>
        <v>C_1WDEPO#0012</v>
      </c>
      <c r="O7" s="20" t="str">
        <f>_xll.qlDepositRateHelper2(,N7,A7,2,calendar,"mf",TRUE,+daycounter,,trigger)</f>
        <v>obj_00495#0014</v>
      </c>
      <c r="P7" s="20" t="b">
        <f>IF($Z$2="SwapDesk",NOT(ISNA(VLOOKUP(E7,'Curve Configuration'!$T$6:$T$60,1,0))),NOT(ISNA(VLOOKUP(E7,'Curve Configuration'!$V$6:$V$35,1,0))))</f>
        <v>0</v>
      </c>
      <c r="Q7" s="18" t="str">
        <v>obj_0060e#0007</v>
      </c>
      <c r="R7" s="94" t="str">
        <v>--</v>
      </c>
      <c r="U7" s="9" t="s">
        <v>214</v>
      </c>
      <c r="V7" s="14" t="str">
        <f>_xll.qlEonia(,"_EUR"&amp;tenor&amp;"MX",,trigger)</f>
        <v>obj_00564#0020</v>
      </c>
      <c r="AB7" s="99" t="str">
        <v>1MOIS</v>
      </c>
      <c r="AC7" s="103" t="str">
        <v>--</v>
      </c>
      <c r="AE7" s="66">
        <f>IFERROR(Instrument!J38,"--")</f>
        <v>43278</v>
      </c>
      <c r="AF7" s="81">
        <f>IFERROR(Instrument!E38,"--")</f>
        <v>43280</v>
      </c>
      <c r="AG7" s="67">
        <f>IFERROR(Instrument!P38,"--")</f>
        <v>-1.9006217877524463E-3</v>
      </c>
      <c r="AH7" s="67">
        <f>IFERROR(_xll.qlIndexFixing(hiborindex,AE7,TRUE),"--")</f>
        <v>-1.8826969692293505E-3</v>
      </c>
      <c r="AI7" s="67">
        <f t="shared" si="3"/>
        <v>-1.7924818523095765E-5</v>
      </c>
      <c r="AK7" s="21">
        <f>_xll.qlCalendarAdvance(calendar,AK6,"1D")</f>
        <v>42552</v>
      </c>
      <c r="AL7" s="21">
        <f>_xll.qlInterestRateIndexValueDate(hiborindex,AK7)</f>
        <v>42556</v>
      </c>
      <c r="AM7" s="23">
        <f>_xll.qlIndexFixing(hiborindex,AK7)</f>
        <v>-1.7137076035349194E-3</v>
      </c>
    </row>
    <row r="8" spans="1:39" ht="14.25" customHeight="1" x14ac:dyDescent="0.25">
      <c r="A8" s="20" t="s">
        <v>8</v>
      </c>
      <c r="B8" s="20"/>
      <c r="C8" s="20" t="str">
        <f t="shared" si="0"/>
        <v>2W</v>
      </c>
      <c r="D8" s="20" t="s">
        <v>204</v>
      </c>
      <c r="E8" s="35" t="str">
        <f t="shared" si="1"/>
        <v>2WDEPO</v>
      </c>
      <c r="F8" s="20" t="str">
        <f>_xll.qlSimpleQuote(E8,trigger)</f>
        <v>2WDEPO#0012</v>
      </c>
      <c r="G8" s="20"/>
      <c r="H8" s="21">
        <f>_xll.qlCalendarAdvance(calendar,evaluationdate,"2D")</f>
        <v>42551</v>
      </c>
      <c r="I8" s="21">
        <f>_xll.qlCalendarAdvance(calendar,H8,A8)</f>
        <v>42565</v>
      </c>
      <c r="J8" s="22">
        <f>_xll.qlYieldTSForwardRate("eur"&amp;tenor&amp;"MX",H8,I8,daycounter)</f>
        <v>-1.3760394500022294E-3</v>
      </c>
      <c r="K8" s="23" t="e">
        <f>_xll.qlSimpleQuoteSetValue(F8,J8)</f>
        <v>#N/A</v>
      </c>
      <c r="L8" s="22">
        <v>0</v>
      </c>
      <c r="M8" s="20" t="str">
        <f t="shared" si="2"/>
        <v>C_2WDEPO</v>
      </c>
      <c r="N8" s="20" t="str">
        <f>_xll.qlCompositeQuote(M8,F8,L8,"+",,trigger)</f>
        <v>C_2WDEPO#0012</v>
      </c>
      <c r="O8" s="20" t="str">
        <f>_xll.qlDepositRateHelper2(,N8,A8,2,calendar,"mf",TRUE,+daycounter,,trigger)</f>
        <v>obj_00491#0014</v>
      </c>
      <c r="P8" s="20" t="b">
        <f>IF($Z$2="SwapDesk",NOT(ISNA(VLOOKUP(E8,'Curve Configuration'!$T$6:$T$60,1,0))),NOT(ISNA(VLOOKUP(E8,'Curve Configuration'!$V$6:$V$35,1,0))))</f>
        <v>0</v>
      </c>
      <c r="Q8" s="18" t="str">
        <v>obj_005fe#0007</v>
      </c>
      <c r="R8" s="94" t="str">
        <v>--</v>
      </c>
      <c r="U8" s="9" t="s">
        <v>188</v>
      </c>
      <c r="V8" s="14">
        <f>_xll.qlSettingsEvaluationDate(trigger)</f>
        <v>42549</v>
      </c>
      <c r="AB8" s="99" t="str">
        <v>2MOIS</v>
      </c>
      <c r="AC8" s="103" t="str">
        <v>--</v>
      </c>
      <c r="AE8" s="66" t="str">
        <f>IFERROR(Instrument!J39,"--")</f>
        <v>--</v>
      </c>
      <c r="AF8" s="81" t="str">
        <f>IFERROR(Instrument!E39,"--")</f>
        <v>--</v>
      </c>
      <c r="AG8" s="67" t="str">
        <f>IFERROR(Instrument!P39,"--")</f>
        <v>--</v>
      </c>
      <c r="AH8" s="67" t="str">
        <f>IFERROR(_xll.qlIndexFixing(hiborindex,AE8,TRUE),"--")</f>
        <v>--</v>
      </c>
      <c r="AI8" s="67" t="str">
        <f t="shared" si="3"/>
        <v>--</v>
      </c>
      <c r="AK8" s="21">
        <f>_xll.qlCalendarAdvance(calendar,AK7,"1D")</f>
        <v>42555</v>
      </c>
      <c r="AL8" s="21">
        <f>_xll.qlInterestRateIndexValueDate(hiborindex,AK8)</f>
        <v>42557</v>
      </c>
      <c r="AM8" s="23">
        <f>_xll.qlIndexFixing(hiborindex,AK8)</f>
        <v>-1.7173494735915316E-3</v>
      </c>
    </row>
    <row r="9" spans="1:39" ht="14.25" customHeight="1" x14ac:dyDescent="0.25">
      <c r="A9" s="20" t="s">
        <v>10</v>
      </c>
      <c r="B9" s="20"/>
      <c r="C9" s="20" t="str">
        <f t="shared" si="0"/>
        <v>3W</v>
      </c>
      <c r="D9" s="20" t="s">
        <v>204</v>
      </c>
      <c r="E9" s="35" t="str">
        <f t="shared" si="1"/>
        <v>3WDEPO</v>
      </c>
      <c r="F9" s="20" t="str">
        <f>_xll.qlSimpleQuote(E9,trigger)</f>
        <v>3WDEPO#0012</v>
      </c>
      <c r="G9" s="20"/>
      <c r="H9" s="21">
        <f>_xll.qlCalendarAdvance(calendar,evaluationdate,"2D")</f>
        <v>42551</v>
      </c>
      <c r="I9" s="21">
        <f>_xll.qlCalendarAdvance(calendar,H9,A9)</f>
        <v>42572</v>
      </c>
      <c r="J9" s="22">
        <f>_xll.qlYieldTSForwardRate("eur"&amp;tenor&amp;"MX",H9,I9,daycounter)</f>
        <v>-1.376021040010603E-3</v>
      </c>
      <c r="K9" s="23" t="e">
        <f>_xll.qlSimpleQuoteSetValue(F9,J9)</f>
        <v>#N/A</v>
      </c>
      <c r="L9" s="22">
        <v>0</v>
      </c>
      <c r="M9" s="20" t="str">
        <f t="shared" si="2"/>
        <v>C_3WDEPO</v>
      </c>
      <c r="N9" s="20" t="str">
        <f>_xll.qlCompositeQuote(M9,F9,L9,"+",,trigger)</f>
        <v>C_3WDEPO#0012</v>
      </c>
      <c r="O9" s="20" t="str">
        <f>_xll.qlDepositRateHelper2(,N9,A9,2,calendar,"mf",TRUE,+daycounter,,trigger)</f>
        <v>obj_0049f#0014</v>
      </c>
      <c r="P9" s="20" t="b">
        <f>IF($Z$2="SwapDesk",NOT(ISNA(VLOOKUP(E9,'Curve Configuration'!$T$6:$T$60,1,0))),NOT(ISNA(VLOOKUP(E9,'Curve Configuration'!$V$6:$V$35,1,0))))</f>
        <v>0</v>
      </c>
      <c r="Q9" s="18" t="str">
        <v>obj_005e6#0007</v>
      </c>
      <c r="R9" s="94" t="str">
        <v>--</v>
      </c>
      <c r="U9" s="9" t="s">
        <v>183</v>
      </c>
      <c r="V9" s="12" t="s">
        <v>92</v>
      </c>
      <c r="AB9" s="99" t="str">
        <v>3MOIS</v>
      </c>
      <c r="AC9" s="103" t="str">
        <v>--</v>
      </c>
      <c r="AE9" s="66" t="str">
        <f>IFERROR(Instrument!J40,"--")</f>
        <v>--</v>
      </c>
      <c r="AF9" s="81" t="str">
        <f>IFERROR(Instrument!E40,"--")</f>
        <v>--</v>
      </c>
      <c r="AG9" s="67" t="str">
        <f>IFERROR(Instrument!P40,"--")</f>
        <v>--</v>
      </c>
      <c r="AH9" s="67" t="str">
        <f>IFERROR(_xll.qlIndexFixing(hiborindex,AE9,TRUE),"--")</f>
        <v>--</v>
      </c>
      <c r="AI9" s="67" t="str">
        <f t="shared" si="3"/>
        <v>--</v>
      </c>
      <c r="AK9" s="21">
        <f>_xll.qlCalendarAdvance(calendar,AK8,"1D")</f>
        <v>42556</v>
      </c>
      <c r="AL9" s="21">
        <f>_xll.qlInterestRateIndexValueDate(hiborindex,AK9)</f>
        <v>42558</v>
      </c>
      <c r="AM9" s="23">
        <f>_xll.qlIndexFixing(hiborindex,AK9)</f>
        <v>-1.7245905597956979E-3</v>
      </c>
    </row>
    <row r="10" spans="1:39" ht="14.25" customHeight="1" x14ac:dyDescent="0.25">
      <c r="A10" s="20" t="s">
        <v>12</v>
      </c>
      <c r="B10" s="20"/>
      <c r="C10" s="20" t="str">
        <f t="shared" si="0"/>
        <v>1M</v>
      </c>
      <c r="D10" s="20" t="s">
        <v>204</v>
      </c>
      <c r="E10" s="35" t="str">
        <f t="shared" si="1"/>
        <v>1MDEPO</v>
      </c>
      <c r="F10" s="20" t="str">
        <f>_xll.qlSimpleQuote(E10,trigger)</f>
        <v>1MDEPO#0012</v>
      </c>
      <c r="G10" s="20"/>
      <c r="H10" s="21">
        <f>_xll.qlCalendarAdvance(calendar,evaluationdate,"2D")</f>
        <v>42551</v>
      </c>
      <c r="I10" s="21">
        <f>_xll.qlCalendarAdvance(calendar,H10,A10)</f>
        <v>42583</v>
      </c>
      <c r="J10" s="22">
        <f>_xll.qlYieldTSForwardRate("eur"&amp;tenor&amp;"MX",H10,I10,daycounter)</f>
        <v>-1.3772502125478092E-3</v>
      </c>
      <c r="K10" s="23" t="e">
        <f>_xll.qlSimpleQuoteSetValue(F10,J10)</f>
        <v>#N/A</v>
      </c>
      <c r="L10" s="22">
        <v>0</v>
      </c>
      <c r="M10" s="20" t="str">
        <f t="shared" si="2"/>
        <v>C_1MDEPO</v>
      </c>
      <c r="N10" s="20" t="str">
        <f>_xll.qlCompositeQuote(M10,F10,L10,"+",,trigger)</f>
        <v>C_1MDEPO#0012</v>
      </c>
      <c r="O10" s="20" t="str">
        <f>_xll.qlDepositRateHelper2(,N10,A10,2,calendar,"mf",TRUE,+daycounter,,trigger)</f>
        <v>obj_00489#0014</v>
      </c>
      <c r="P10" s="20" t="b">
        <f>IF($Z$2="SwapDesk",NOT(ISNA(VLOOKUP(E10,'Curve Configuration'!$T$6:$T$60,1,0))),NOT(ISNA(VLOOKUP(E10,'Curve Configuration'!$V$6:$V$35,1,0))))</f>
        <v>0</v>
      </c>
      <c r="Q10" s="18" t="str">
        <v>obj_00626#0007</v>
      </c>
      <c r="R10" s="94" t="str">
        <v>--</v>
      </c>
      <c r="U10" s="9" t="s">
        <v>184</v>
      </c>
      <c r="V10" s="12" t="s">
        <v>101</v>
      </c>
      <c r="AB10" s="99" t="str">
        <v>4MOIS</v>
      </c>
      <c r="AC10" s="103" t="str">
        <v>--</v>
      </c>
      <c r="AE10" s="66" t="str">
        <f>IFERROR(Instrument!J41,"--")</f>
        <v>--</v>
      </c>
      <c r="AF10" s="81" t="str">
        <f>IFERROR(Instrument!E41,"--")</f>
        <v>--</v>
      </c>
      <c r="AG10" s="67" t="str">
        <f>IFERROR(Instrument!P41,"--")</f>
        <v>--</v>
      </c>
      <c r="AH10" s="67" t="str">
        <f>IFERROR(_xll.qlIndexFixing(hiborindex,AE10,TRUE),"--")</f>
        <v>--</v>
      </c>
      <c r="AI10" s="67" t="str">
        <f t="shared" si="3"/>
        <v>--</v>
      </c>
      <c r="AK10" s="21">
        <f>_xll.qlCalendarAdvance(calendar,AK9,"1D")</f>
        <v>42557</v>
      </c>
      <c r="AL10" s="21">
        <f>_xll.qlInterestRateIndexValueDate(hiborindex,AK10)</f>
        <v>42559</v>
      </c>
      <c r="AM10" s="23">
        <f>_xll.qlIndexFixing(hiborindex,AK10)</f>
        <v>-1.7264810343948118E-3</v>
      </c>
    </row>
    <row r="11" spans="1:39" ht="14.25" customHeight="1" x14ac:dyDescent="0.25">
      <c r="A11" s="20" t="s">
        <v>14</v>
      </c>
      <c r="B11" s="20"/>
      <c r="C11" s="20" t="str">
        <f t="shared" si="0"/>
        <v>2M</v>
      </c>
      <c r="D11" s="20" t="s">
        <v>204</v>
      </c>
      <c r="E11" s="35" t="str">
        <f t="shared" si="1"/>
        <v>2MDEPO</v>
      </c>
      <c r="F11" s="20" t="str">
        <f>_xll.qlSimpleQuote(E11,trigger)</f>
        <v>2MDEPO#0012</v>
      </c>
      <c r="G11" s="20"/>
      <c r="H11" s="21">
        <f>_xll.qlCalendarAdvance(calendar,evaluationdate,"2D")</f>
        <v>42551</v>
      </c>
      <c r="I11" s="21">
        <f>_xll.qlCalendarAdvance(calendar,H11,A11)</f>
        <v>42612</v>
      </c>
      <c r="J11" s="22">
        <f>_xll.qlYieldTSForwardRate("eur"&amp;tenor&amp;"MX",H11,I11,daycounter)</f>
        <v>-1.4424740342340021E-3</v>
      </c>
      <c r="K11" s="23" t="e">
        <f>_xll.qlSimpleQuoteSetValue(F11,J11)</f>
        <v>#N/A</v>
      </c>
      <c r="L11" s="22">
        <v>0</v>
      </c>
      <c r="M11" s="20" t="str">
        <f t="shared" si="2"/>
        <v>C_2MDEPO</v>
      </c>
      <c r="N11" s="20" t="str">
        <f>_xll.qlCompositeQuote(M11,F11,L11,"+",,trigger)</f>
        <v>C_2MDEPO#0012</v>
      </c>
      <c r="O11" s="20" t="str">
        <f>_xll.qlDepositRateHelper2(,N11,A11,2,calendar,"mf",TRUE,+daycounter,,trigger)</f>
        <v>obj_0048d#0014</v>
      </c>
      <c r="P11" s="20" t="b">
        <f>IF($Z$2="SwapDesk",NOT(ISNA(VLOOKUP(E11,'Curve Configuration'!$T$6:$T$60,1,0))),NOT(ISNA(VLOOKUP(E11,'Curve Configuration'!$V$6:$V$35,1,0))))</f>
        <v>0</v>
      </c>
      <c r="Q11" s="18" t="str">
        <v>obj_00613#0007</v>
      </c>
      <c r="R11" s="94" t="str">
        <v>--</v>
      </c>
      <c r="U11" s="9" t="s">
        <v>185</v>
      </c>
      <c r="V11" s="12" t="s">
        <v>172</v>
      </c>
      <c r="AB11" s="99" t="str">
        <v>5MOIS</v>
      </c>
      <c r="AC11" s="103" t="str">
        <v>--</v>
      </c>
      <c r="AE11" s="66" t="str">
        <f>IFERROR(Instrument!J42,"--")</f>
        <v>--</v>
      </c>
      <c r="AF11" s="81" t="str">
        <f>IFERROR(Instrument!E42,"--")</f>
        <v>--</v>
      </c>
      <c r="AG11" s="67" t="str">
        <f>IFERROR(Instrument!P42,"--")</f>
        <v>--</v>
      </c>
      <c r="AH11" s="67" t="str">
        <f>IFERROR(_xll.qlIndexFixing(hiborindex,AE11,TRUE),"--")</f>
        <v>--</v>
      </c>
      <c r="AI11" s="67" t="str">
        <f t="shared" si="3"/>
        <v>--</v>
      </c>
      <c r="AK11" s="21">
        <f>_xll.qlCalendarAdvance(calendar,AK10,"1D")</f>
        <v>42558</v>
      </c>
      <c r="AL11" s="21">
        <f>_xll.qlInterestRateIndexValueDate(hiborindex,AK11)</f>
        <v>42562</v>
      </c>
      <c r="AM11" s="23">
        <f>_xll.qlIndexFixing(hiborindex,AK11)</f>
        <v>-1.7358511860451537E-3</v>
      </c>
    </row>
    <row r="12" spans="1:39" ht="14.25" customHeight="1" x14ac:dyDescent="0.25">
      <c r="A12" s="20" t="s">
        <v>16</v>
      </c>
      <c r="B12" s="20"/>
      <c r="C12" s="20" t="str">
        <f t="shared" si="0"/>
        <v>3M</v>
      </c>
      <c r="D12" s="20" t="s">
        <v>204</v>
      </c>
      <c r="E12" s="35" t="str">
        <f t="shared" si="1"/>
        <v>3MDEPO</v>
      </c>
      <c r="F12" s="20" t="str">
        <f>_xll.qlSimpleQuote(E12,trigger)</f>
        <v>3MDEPO#0012</v>
      </c>
      <c r="G12" s="20"/>
      <c r="H12" s="21">
        <f>_xll.qlCalendarAdvance(calendar,evaluationdate,"2D")</f>
        <v>42551</v>
      </c>
      <c r="I12" s="21">
        <f>_xll.qlCalendarAdvance(calendar,H12,A12)</f>
        <v>42643</v>
      </c>
      <c r="J12" s="22">
        <f>_xll.qlYieldTSForwardRate("eur"&amp;tenor&amp;"MX",H12,I12,daycounter)</f>
        <v>-1.4770000000717484E-3</v>
      </c>
      <c r="K12" s="23" t="e">
        <f>_xll.qlSimpleQuoteSetValue(F12,J12)</f>
        <v>#N/A</v>
      </c>
      <c r="L12" s="22">
        <v>0</v>
      </c>
      <c r="M12" s="20" t="str">
        <f t="shared" si="2"/>
        <v>C_3MDEPO</v>
      </c>
      <c r="N12" s="20" t="str">
        <f>_xll.qlCompositeQuote(M12,F12,L12,"+",,trigger)</f>
        <v>C_3MDEPO#0012</v>
      </c>
      <c r="O12" s="20" t="str">
        <f>_xll.qlDepositRateHelper2(,N12,A12,2,calendar,"mf",TRUE,+daycounter,,trigger)</f>
        <v>obj_00499#0014</v>
      </c>
      <c r="P12" s="20" t="b">
        <f>IF($Z$2="SwapDesk",NOT(ISNA(VLOOKUP(E12,'Curve Configuration'!$T$6:$T$60,1,0))),NOT(ISNA(VLOOKUP(E12,'Curve Configuration'!$V$6:$V$35,1,0))))</f>
        <v>0</v>
      </c>
      <c r="Q12" s="18" t="str">
        <v>obj_00607#0007</v>
      </c>
      <c r="R12" s="94" t="str">
        <v>--</v>
      </c>
      <c r="U12" s="9" t="s">
        <v>186</v>
      </c>
      <c r="V12" s="10" t="str">
        <f>_xll.qlPiecewiseYieldCurve(,0,calendar,_xll.ohPack(Q4:Q153),,,,,V10,V11,,tenor)</f>
        <v>obj_00559#0035</v>
      </c>
      <c r="AB12" s="99" t="str">
        <v>6MOIS</v>
      </c>
      <c r="AC12" s="103" t="str">
        <v>--</v>
      </c>
      <c r="AE12" s="66" t="str">
        <f>IFERROR(Instrument!J43,"--")</f>
        <v>--</v>
      </c>
      <c r="AF12" s="81" t="str">
        <f>IFERROR(Instrument!E43,"--")</f>
        <v>--</v>
      </c>
      <c r="AG12" s="67" t="str">
        <f>IFERROR(Instrument!P43,"--")</f>
        <v>--</v>
      </c>
      <c r="AH12" s="67" t="str">
        <f>IFERROR(_xll.qlIndexFixing(hiborindex,AE12,TRUE),"--")</f>
        <v>--</v>
      </c>
      <c r="AI12" s="67" t="str">
        <f t="shared" si="3"/>
        <v>--</v>
      </c>
      <c r="AK12" s="21">
        <f>_xll.qlCalendarAdvance(calendar,AK11,"1D")</f>
        <v>42559</v>
      </c>
      <c r="AL12" s="21">
        <f>_xll.qlInterestRateIndexValueDate(hiborindex,AK12)</f>
        <v>42563</v>
      </c>
      <c r="AM12" s="23">
        <f>_xll.qlIndexFixing(hiborindex,AK12)</f>
        <v>-1.739610000194871E-3</v>
      </c>
    </row>
    <row r="13" spans="1:39" ht="14.25" customHeight="1" x14ac:dyDescent="0.25">
      <c r="A13" s="20" t="s">
        <v>18</v>
      </c>
      <c r="B13" s="20"/>
      <c r="C13" s="20" t="str">
        <f t="shared" si="0"/>
        <v>4M</v>
      </c>
      <c r="D13" s="20" t="s">
        <v>204</v>
      </c>
      <c r="E13" s="35" t="str">
        <f t="shared" si="1"/>
        <v>4MDEPO</v>
      </c>
      <c r="F13" s="20" t="str">
        <f>_xll.qlSimpleQuote(E13,trigger)</f>
        <v>4MDEPO#0012</v>
      </c>
      <c r="G13" s="20"/>
      <c r="H13" s="21">
        <f>_xll.qlCalendarAdvance(calendar,evaluationdate,"2D")</f>
        <v>42551</v>
      </c>
      <c r="I13" s="21">
        <f>_xll.qlCalendarAdvance(calendar,H13,A13)</f>
        <v>42674</v>
      </c>
      <c r="J13" s="22">
        <f>_xll.qlYieldTSForwardRate("eur"&amp;tenor&amp;"MX",H13,I13,daycounter)</f>
        <v>-1.5900000000665991E-3</v>
      </c>
      <c r="K13" s="23" t="e">
        <f>_xll.qlSimpleQuoteSetValue(F13,J13)</f>
        <v>#N/A</v>
      </c>
      <c r="L13" s="22">
        <v>0</v>
      </c>
      <c r="M13" s="20" t="str">
        <f t="shared" si="2"/>
        <v>C_4MDEPO</v>
      </c>
      <c r="N13" s="20" t="str">
        <f>_xll.qlCompositeQuote(M13,F13,L13,"+",,trigger)</f>
        <v>C_4MDEPO#0012</v>
      </c>
      <c r="O13" s="20" t="str">
        <f>_xll.qlDepositRateHelper2(,N13,A13,2,calendar,"mf",TRUE,+daycounter,,trigger)</f>
        <v>obj_004aa#0014</v>
      </c>
      <c r="P13" s="20" t="b">
        <f>IF($Z$2="SwapDesk",NOT(ISNA(VLOOKUP(E13,'Curve Configuration'!$T$6:$T$60,1,0))),NOT(ISNA(VLOOKUP(E13,'Curve Configuration'!$V$6:$V$35,1,0))))</f>
        <v>0</v>
      </c>
      <c r="Q13" s="18" t="str">
        <v>obj_005e4#0007</v>
      </c>
      <c r="R13" s="94" t="str">
        <v>--</v>
      </c>
      <c r="AB13" s="99" t="str">
        <v>7MOIS</v>
      </c>
      <c r="AC13" s="103" t="str">
        <v>--</v>
      </c>
      <c r="AE13" s="66" t="str">
        <f>IFERROR(Instrument!J44,"--")</f>
        <v>--</v>
      </c>
      <c r="AF13" s="81" t="str">
        <f>IFERROR(Instrument!E44,"--")</f>
        <v>--</v>
      </c>
      <c r="AG13" s="67" t="str">
        <f>IFERROR(Instrument!P44,"--")</f>
        <v>--</v>
      </c>
      <c r="AH13" s="67" t="str">
        <f>IFERROR(_xll.qlIndexFixing(hiborindex,AE13,TRUE),"--")</f>
        <v>--</v>
      </c>
      <c r="AI13" s="67" t="str">
        <f t="shared" si="3"/>
        <v>--</v>
      </c>
      <c r="AK13" s="21">
        <f>_xll.qlCalendarAdvance(calendar,AK12,"1D")</f>
        <v>42562</v>
      </c>
      <c r="AL13" s="21">
        <f>_xll.qlInterestRateIndexValueDate(hiborindex,AK13)</f>
        <v>42564</v>
      </c>
      <c r="AM13" s="23">
        <f>_xll.qlIndexFixing(hiborindex,AK13)</f>
        <v>-1.7433883046376634E-3</v>
      </c>
    </row>
    <row r="14" spans="1:39" ht="14.25" customHeight="1" x14ac:dyDescent="0.25">
      <c r="A14" s="20" t="s">
        <v>20</v>
      </c>
      <c r="B14" s="20"/>
      <c r="C14" s="20" t="str">
        <f t="shared" si="0"/>
        <v>5M</v>
      </c>
      <c r="D14" s="20" t="s">
        <v>204</v>
      </c>
      <c r="E14" s="35" t="str">
        <f t="shared" si="1"/>
        <v>5MDEPO</v>
      </c>
      <c r="F14" s="20" t="str">
        <f>_xll.qlSimpleQuote(E14,trigger)</f>
        <v>5MDEPO#0012</v>
      </c>
      <c r="G14" s="20"/>
      <c r="H14" s="21">
        <f>_xll.qlCalendarAdvance(calendar,evaluationdate,"2D")</f>
        <v>42551</v>
      </c>
      <c r="I14" s="21">
        <f>_xll.qlCalendarAdvance(calendar,H14,A14)</f>
        <v>42704</v>
      </c>
      <c r="J14" s="22">
        <f>_xll.qlYieldTSForwardRate("eur"&amp;tenor&amp;"MX",H14,I14,daycounter)</f>
        <v>-1.6460000000519687E-3</v>
      </c>
      <c r="K14" s="23" t="e">
        <f>_xll.qlSimpleQuoteSetValue(F14,J14)</f>
        <v>#N/A</v>
      </c>
      <c r="L14" s="22">
        <v>0</v>
      </c>
      <c r="M14" s="20" t="str">
        <f t="shared" si="2"/>
        <v>C_5MDEPO</v>
      </c>
      <c r="N14" s="20" t="str">
        <f>_xll.qlCompositeQuote(M14,F14,L14,"+",,trigger)</f>
        <v>C_5MDEPO#0012</v>
      </c>
      <c r="O14" s="20" t="str">
        <f>_xll.qlDepositRateHelper2(,N14,A14,2,calendar,"mf",TRUE,+daycounter,,trigger)</f>
        <v>obj_004a4#0014</v>
      </c>
      <c r="P14" s="20" t="b">
        <f>IF($Z$2="SwapDesk",NOT(ISNA(VLOOKUP(E14,'Curve Configuration'!$T$6:$T$60,1,0))),NOT(ISNA(VLOOKUP(E14,'Curve Configuration'!$V$6:$V$35,1,0))))</f>
        <v>0</v>
      </c>
      <c r="Q14" s="18" t="str">
        <v>obj_0062c#0007</v>
      </c>
      <c r="R14" s="94" t="str">
        <v>--</v>
      </c>
      <c r="AB14" s="99" t="str">
        <v>8MOIS</v>
      </c>
      <c r="AC14" s="103" t="str">
        <v>--</v>
      </c>
      <c r="AE14" s="66" t="str">
        <f>IFERROR(Instrument!J45,"--")</f>
        <v>--</v>
      </c>
      <c r="AF14" s="81" t="str">
        <f>IFERROR(Instrument!E45,"--")</f>
        <v>--</v>
      </c>
      <c r="AG14" s="67" t="str">
        <f>IFERROR(Instrument!P45,"--")</f>
        <v>--</v>
      </c>
      <c r="AH14" s="67" t="str">
        <f>IFERROR(_xll.qlIndexFixing(hiborindex,AE14,TRUE),"--")</f>
        <v>--</v>
      </c>
      <c r="AI14" s="67" t="str">
        <f t="shared" si="3"/>
        <v>--</v>
      </c>
      <c r="AK14" s="21">
        <f>_xll.qlCalendarAdvance(calendar,AK13,"1D")</f>
        <v>42563</v>
      </c>
      <c r="AL14" s="21">
        <f>_xll.qlInterestRateIndexValueDate(hiborindex,AK14)</f>
        <v>42565</v>
      </c>
      <c r="AM14" s="23">
        <f>_xll.qlIndexFixing(hiborindex,AK14)</f>
        <v>-1.7507541007853328E-3</v>
      </c>
    </row>
    <row r="15" spans="1:39" ht="14.25" customHeight="1" x14ac:dyDescent="0.25">
      <c r="A15" s="20" t="s">
        <v>22</v>
      </c>
      <c r="B15" s="20"/>
      <c r="C15" s="20" t="str">
        <f t="shared" si="0"/>
        <v>6M</v>
      </c>
      <c r="D15" s="20" t="s">
        <v>204</v>
      </c>
      <c r="E15" s="35" t="str">
        <f t="shared" si="1"/>
        <v>6MDEPO</v>
      </c>
      <c r="F15" s="20" t="str">
        <f>_xll.qlSimpleQuote(E15,trigger)</f>
        <v>6MDEPO#0012</v>
      </c>
      <c r="G15" s="20"/>
      <c r="H15" s="21">
        <f>_xll.qlCalendarAdvance(calendar,evaluationdate,"2D")</f>
        <v>42551</v>
      </c>
      <c r="I15" s="21">
        <f>_xll.qlCalendarAdvance(calendar,H15,A15)</f>
        <v>42734</v>
      </c>
      <c r="J15" s="22">
        <f>_xll.qlYieldTSForwardRate("eur"&amp;tenor&amp;"MX",H15,I15,daycounter)</f>
        <v>-1.6940000000310032E-3</v>
      </c>
      <c r="K15" s="23" t="e">
        <f>_xll.qlSimpleQuoteSetValue(F15,J15)</f>
        <v>#N/A</v>
      </c>
      <c r="L15" s="22">
        <v>0</v>
      </c>
      <c r="M15" s="20" t="str">
        <f t="shared" si="2"/>
        <v>C_6MDEPO</v>
      </c>
      <c r="N15" s="20" t="str">
        <f>_xll.qlCompositeQuote(M15,F15,L15,"+",,trigger)</f>
        <v>C_6MDEPO#0012</v>
      </c>
      <c r="O15" s="20" t="str">
        <f>_xll.qlDepositRateHelper2(,N15,A15,2,calendar,"mf",TRUE,+daycounter,,trigger)</f>
        <v>obj_0049c#0014</v>
      </c>
      <c r="P15" s="20" t="b">
        <f>IF($Z$2="SwapDesk",NOT(ISNA(VLOOKUP(E15,'Curve Configuration'!$T$6:$T$60,1,0))),NOT(ISNA(VLOOKUP(E15,'Curve Configuration'!$V$6:$V$35,1,0))))</f>
        <v>0</v>
      </c>
      <c r="Q15" s="18" t="str">
        <v>obj_00611#0007</v>
      </c>
      <c r="R15" s="94" t="str">
        <v>--</v>
      </c>
      <c r="AB15" s="99" t="str">
        <v>9MOIS</v>
      </c>
      <c r="AC15" s="103" t="str">
        <v>--</v>
      </c>
      <c r="AE15" s="66" t="str">
        <f>IFERROR(Instrument!J46,"--")</f>
        <v>--</v>
      </c>
      <c r="AF15" s="81" t="str">
        <f>IFERROR(Instrument!E46,"--")</f>
        <v>--</v>
      </c>
      <c r="AG15" s="67" t="str">
        <f>IFERROR(Instrument!P46,"--")</f>
        <v>--</v>
      </c>
      <c r="AH15" s="67" t="str">
        <f>IFERROR(_xll.qlIndexFixing(hiborindex,AE15,TRUE),"--")</f>
        <v>--</v>
      </c>
      <c r="AI15" s="67" t="str">
        <f t="shared" si="3"/>
        <v>--</v>
      </c>
      <c r="AK15" s="21">
        <f>_xll.qlCalendarAdvance(calendar,AK14,"1D")</f>
        <v>42564</v>
      </c>
      <c r="AL15" s="21">
        <f>_xll.qlInterestRateIndexValueDate(hiborindex,AK15)</f>
        <v>42566</v>
      </c>
      <c r="AM15" s="23">
        <f>_xll.qlIndexFixing(hiborindex,AK15)</f>
        <v>-1.752786100487521E-3</v>
      </c>
    </row>
    <row r="16" spans="1:39" ht="14.25" customHeight="1" x14ac:dyDescent="0.25">
      <c r="A16" s="20" t="s">
        <v>24</v>
      </c>
      <c r="B16" s="20"/>
      <c r="C16" s="20" t="str">
        <f t="shared" si="0"/>
        <v>7M</v>
      </c>
      <c r="D16" s="20" t="s">
        <v>204</v>
      </c>
      <c r="E16" s="35" t="str">
        <f t="shared" si="1"/>
        <v>7MDEPO</v>
      </c>
      <c r="F16" s="20" t="str">
        <f>_xll.qlSimpleQuote(E16,trigger)</f>
        <v>7MDEPO#0012</v>
      </c>
      <c r="G16" s="20"/>
      <c r="H16" s="21">
        <f>_xll.qlCalendarAdvance(calendar,evaluationdate,"2D")</f>
        <v>42551</v>
      </c>
      <c r="I16" s="21">
        <f>_xll.qlCalendarAdvance(calendar,H16,A16)</f>
        <v>42765</v>
      </c>
      <c r="J16" s="22">
        <f>_xll.qlYieldTSForwardRate("eur"&amp;tenor&amp;"MX",H16,I16,daycounter)</f>
        <v>-1.7498636106690279E-3</v>
      </c>
      <c r="K16" s="23" t="e">
        <f>_xll.qlSimpleQuoteSetValue(F16,J16)</f>
        <v>#N/A</v>
      </c>
      <c r="L16" s="22">
        <v>0</v>
      </c>
      <c r="M16" s="20" t="str">
        <f t="shared" si="2"/>
        <v>C_7MDEPO</v>
      </c>
      <c r="N16" s="20" t="str">
        <f>_xll.qlCompositeQuote(M16,F16,L16,"+",,trigger)</f>
        <v>C_7MDEPO#0012</v>
      </c>
      <c r="O16" s="20" t="str">
        <f>_xll.qlDepositRateHelper2(,N16,A16,2,calendar,"mf",TRUE,+daycounter,,trigger)</f>
        <v>obj_004a0#0014</v>
      </c>
      <c r="P16" s="20" t="b">
        <f>IF($Z$2="SwapDesk",NOT(ISNA(VLOOKUP(E16,'Curve Configuration'!$T$6:$T$60,1,0))),NOT(ISNA(VLOOKUP(E16,'Curve Configuration'!$V$6:$V$35,1,0))))</f>
        <v>0</v>
      </c>
      <c r="Q16" s="18" t="str">
        <v>obj_00604#0007</v>
      </c>
      <c r="R16" s="94" t="str">
        <v>--</v>
      </c>
      <c r="AB16" s="99" t="str">
        <v>10MOIS</v>
      </c>
      <c r="AC16" s="103" t="str">
        <v>--</v>
      </c>
      <c r="AE16" s="66" t="str">
        <f>IFERROR(Instrument!J47,"--")</f>
        <v>--</v>
      </c>
      <c r="AF16" s="81" t="str">
        <f>IFERROR(Instrument!E47,"--")</f>
        <v>--</v>
      </c>
      <c r="AG16" s="67" t="str">
        <f>IFERROR(Instrument!P47,"--")</f>
        <v>--</v>
      </c>
      <c r="AH16" s="67" t="str">
        <f>IFERROR(_xll.qlIndexFixing(hiborindex,AE16,TRUE),"--")</f>
        <v>--</v>
      </c>
      <c r="AI16" s="67" t="str">
        <f t="shared" si="3"/>
        <v>--</v>
      </c>
      <c r="AK16" s="21">
        <f>_xll.qlCalendarAdvance(calendar,AK15,"1D")</f>
        <v>42565</v>
      </c>
      <c r="AL16" s="21">
        <f>_xll.qlInterestRateIndexValueDate(hiborindex,AK16)</f>
        <v>42569</v>
      </c>
      <c r="AM16" s="23">
        <f>_xll.qlIndexFixing(hiborindex,AK16)</f>
        <v>-1.7625721772524699E-3</v>
      </c>
    </row>
    <row r="17" spans="1:39" ht="14.25" customHeight="1" x14ac:dyDescent="0.25">
      <c r="A17" s="20" t="s">
        <v>26</v>
      </c>
      <c r="B17" s="20"/>
      <c r="C17" s="20" t="str">
        <f t="shared" si="0"/>
        <v>8M</v>
      </c>
      <c r="D17" s="20" t="s">
        <v>204</v>
      </c>
      <c r="E17" s="35" t="str">
        <f t="shared" si="1"/>
        <v>8MDEPO</v>
      </c>
      <c r="F17" s="20" t="str">
        <f>_xll.qlSimpleQuote(E17,trigger)</f>
        <v>8MDEPO#0012</v>
      </c>
      <c r="G17" s="20"/>
      <c r="H17" s="21">
        <f>_xll.qlCalendarAdvance(calendar,evaluationdate,"2D")</f>
        <v>42551</v>
      </c>
      <c r="I17" s="21">
        <f>_xll.qlCalendarAdvance(calendar,H17,A17)</f>
        <v>42794</v>
      </c>
      <c r="J17" s="22">
        <f>_xll.qlYieldTSForwardRate("eur"&amp;tenor&amp;"MX",H17,I17,daycounter)</f>
        <v>-1.7833023699412411E-3</v>
      </c>
      <c r="K17" s="23" t="e">
        <f>_xll.qlSimpleQuoteSetValue(F17,J17)</f>
        <v>#N/A</v>
      </c>
      <c r="L17" s="22">
        <v>0</v>
      </c>
      <c r="M17" s="20" t="str">
        <f t="shared" si="2"/>
        <v>C_8MDEPO</v>
      </c>
      <c r="N17" s="20" t="str">
        <f>_xll.qlCompositeQuote(M17,F17,L17,"+",,trigger)</f>
        <v>C_8MDEPO#0012</v>
      </c>
      <c r="O17" s="20" t="str">
        <f>_xll.qlDepositRateHelper2(,N17,A17,2,calendar,"mf",TRUE,+daycounter,,trigger)</f>
        <v>obj_0048e#0014</v>
      </c>
      <c r="P17" s="20" t="b">
        <f>IF($Z$2="SwapDesk",NOT(ISNA(VLOOKUP(E17,'Curve Configuration'!$T$6:$T$60,1,0))),NOT(ISNA(VLOOKUP(E17,'Curve Configuration'!$V$6:$V$35,1,0))))</f>
        <v>0</v>
      </c>
      <c r="Q17" s="18" t="str">
        <v>obj_005e1#0007</v>
      </c>
      <c r="R17" s="94" t="str">
        <v>--</v>
      </c>
      <c r="AB17" s="99" t="str">
        <v>11MOIS</v>
      </c>
      <c r="AC17" s="103" t="str">
        <v>--</v>
      </c>
      <c r="AE17" s="66" t="str">
        <f>IFERROR(Instrument!J48,"--")</f>
        <v>--</v>
      </c>
      <c r="AF17" s="81" t="str">
        <f>IFERROR(Instrument!E48,"--")</f>
        <v>--</v>
      </c>
      <c r="AG17" s="67" t="str">
        <f>IFERROR(Instrument!P48,"--")</f>
        <v>--</v>
      </c>
      <c r="AH17" s="67" t="str">
        <f>IFERROR(_xll.qlIndexFixing(hiborindex,AE17,TRUE),"--")</f>
        <v>--</v>
      </c>
      <c r="AI17" s="67" t="str">
        <f t="shared" si="3"/>
        <v>--</v>
      </c>
      <c r="AK17" s="21">
        <f>_xll.qlCalendarAdvance(calendar,AK16,"1D")</f>
        <v>42566</v>
      </c>
      <c r="AL17" s="21">
        <f>_xll.qlInterestRateIndexValueDate(hiborindex,AK17)</f>
        <v>42570</v>
      </c>
      <c r="AM17" s="23">
        <f>_xll.qlIndexFixing(hiborindex,AK17)</f>
        <v>-1.7664674210528073E-3</v>
      </c>
    </row>
    <row r="18" spans="1:39" ht="14.25" customHeight="1" x14ac:dyDescent="0.25">
      <c r="A18" s="20" t="s">
        <v>28</v>
      </c>
      <c r="B18" s="20"/>
      <c r="C18" s="20" t="str">
        <f t="shared" si="0"/>
        <v>9M</v>
      </c>
      <c r="D18" s="20" t="s">
        <v>204</v>
      </c>
      <c r="E18" s="35" t="str">
        <f t="shared" si="1"/>
        <v>9MDEPO</v>
      </c>
      <c r="F18" s="20" t="str">
        <f>_xll.qlSimpleQuote(E18,trigger)</f>
        <v>9MDEPO#0012</v>
      </c>
      <c r="G18" s="20"/>
      <c r="H18" s="21">
        <f>_xll.qlCalendarAdvance(calendar,evaluationdate,"2D")</f>
        <v>42551</v>
      </c>
      <c r="I18" s="21">
        <f>_xll.qlCalendarAdvance(calendar,H18,A18)</f>
        <v>42824</v>
      </c>
      <c r="J18" s="22">
        <f>_xll.qlYieldTSForwardRate("eur"&amp;tenor&amp;"MX",H18,I18,daycounter)</f>
        <v>-1.8030806500797297E-3</v>
      </c>
      <c r="K18" s="23" t="e">
        <f>_xll.qlSimpleQuoteSetValue(F18,J18)</f>
        <v>#N/A</v>
      </c>
      <c r="L18" s="22">
        <v>0</v>
      </c>
      <c r="M18" s="20" t="str">
        <f t="shared" si="2"/>
        <v>C_9MDEPO</v>
      </c>
      <c r="N18" s="20" t="str">
        <f>_xll.qlCompositeQuote(M18,F18,L18,"+",,trigger)</f>
        <v>C_9MDEPO#0012</v>
      </c>
      <c r="O18" s="20" t="str">
        <f>_xll.qlDepositRateHelper2(,N18,A18,2,calendar,"mf",TRUE,+daycounter,,trigger)</f>
        <v>obj_0048a#0014</v>
      </c>
      <c r="P18" s="20" t="b">
        <f>IF($Z$2="SwapDesk",NOT(ISNA(VLOOKUP(E18,'Curve Configuration'!$T$6:$T$60,1,0))),NOT(ISNA(VLOOKUP(E18,'Curve Configuration'!$V$6:$V$35,1,0))))</f>
        <v>0</v>
      </c>
      <c r="Q18" s="18" t="str">
        <v>obj_0061a#0007</v>
      </c>
      <c r="R18" s="94" t="str">
        <v>--</v>
      </c>
      <c r="AB18" s="99" t="str">
        <v>12MOIS</v>
      </c>
      <c r="AC18" s="103" t="str">
        <v>--</v>
      </c>
      <c r="AE18" s="66" t="str">
        <f>IFERROR(Instrument!J49,"--")</f>
        <v>--</v>
      </c>
      <c r="AF18" s="81" t="str">
        <f>IFERROR(Instrument!E49,"--")</f>
        <v>--</v>
      </c>
      <c r="AG18" s="67" t="str">
        <f>IFERROR(Instrument!P49,"--")</f>
        <v>--</v>
      </c>
      <c r="AH18" s="67" t="str">
        <f>IFERROR(_xll.qlIndexFixing(hiborindex,AE18,TRUE),"--")</f>
        <v>--</v>
      </c>
      <c r="AI18" s="67" t="str">
        <f t="shared" si="3"/>
        <v>--</v>
      </c>
      <c r="AK18" s="21">
        <f>_xll.qlCalendarAdvance(calendar,AK17,"1D")</f>
        <v>42569</v>
      </c>
      <c r="AL18" s="21">
        <f>_xll.qlInterestRateIndexValueDate(hiborindex,AK18)</f>
        <v>42571</v>
      </c>
      <c r="AM18" s="23">
        <f>_xll.qlIndexFixing(hiborindex,AK18)</f>
        <v>-1.7703821543416463E-3</v>
      </c>
    </row>
    <row r="19" spans="1:39" ht="14.25" customHeight="1" x14ac:dyDescent="0.25">
      <c r="A19" s="20" t="s">
        <v>30</v>
      </c>
      <c r="B19" s="20"/>
      <c r="C19" s="20" t="str">
        <f t="shared" si="0"/>
        <v>10M</v>
      </c>
      <c r="D19" s="20" t="s">
        <v>204</v>
      </c>
      <c r="E19" s="35" t="str">
        <f t="shared" si="1"/>
        <v>10MDEPO</v>
      </c>
      <c r="F19" s="20" t="str">
        <f>_xll.qlSimpleQuote(E19,trigger)</f>
        <v>10MDEPO#0012</v>
      </c>
      <c r="G19" s="20"/>
      <c r="H19" s="21">
        <f>_xll.qlCalendarAdvance(calendar,evaluationdate,"2D")</f>
        <v>42551</v>
      </c>
      <c r="I19" s="21">
        <f>_xll.qlCalendarAdvance(calendar,H19,A19)</f>
        <v>42857</v>
      </c>
      <c r="J19" s="22">
        <f>_xll.qlYieldTSForwardRate("eur"&amp;tenor&amp;"MX",H19,I19,daycounter)</f>
        <v>-1.849140627066896E-3</v>
      </c>
      <c r="K19" s="23" t="e">
        <f>_xll.qlSimpleQuoteSetValue(F19,J19)</f>
        <v>#N/A</v>
      </c>
      <c r="L19" s="22">
        <v>0</v>
      </c>
      <c r="M19" s="20" t="str">
        <f t="shared" si="2"/>
        <v>C_10MDEPO</v>
      </c>
      <c r="N19" s="20" t="str">
        <f>_xll.qlCompositeQuote(M19,F19,L19,"+",,trigger)</f>
        <v>C_10MDEPO#0012</v>
      </c>
      <c r="O19" s="20" t="str">
        <f>_xll.qlDepositRateHelper2(,N19,A19,2,calendar,"mf",TRUE,+daycounter,,trigger)</f>
        <v>obj_004ab#0014</v>
      </c>
      <c r="P19" s="20" t="b">
        <f>IF($Z$2="SwapDesk",NOT(ISNA(VLOOKUP(E19,'Curve Configuration'!$T$6:$T$60,1,0))),NOT(ISNA(VLOOKUP(E19,'Curve Configuration'!$V$6:$V$35,1,0))))</f>
        <v>0</v>
      </c>
      <c r="Q19" s="18" t="str">
        <v>obj_0061d#0007</v>
      </c>
      <c r="R19" s="94" t="str">
        <v>--</v>
      </c>
      <c r="AB19" s="99" t="str">
        <v>13MOIS</v>
      </c>
      <c r="AC19" s="103" t="str">
        <v>--</v>
      </c>
      <c r="AE19" s="66" t="str">
        <f>IFERROR(Instrument!J50,"--")</f>
        <v>--</v>
      </c>
      <c r="AF19" s="81" t="str">
        <f>IFERROR(Instrument!E50,"--")</f>
        <v>--</v>
      </c>
      <c r="AG19" s="67" t="str">
        <f>IFERROR(Instrument!P50,"--")</f>
        <v>--</v>
      </c>
      <c r="AH19" s="67" t="str">
        <f>IFERROR(_xll.qlIndexFixing(hiborindex,AE19,TRUE),"--")</f>
        <v>--</v>
      </c>
      <c r="AI19" s="67" t="str">
        <f t="shared" si="3"/>
        <v>--</v>
      </c>
      <c r="AK19" s="21">
        <f>_xll.qlCalendarAdvance(calendar,AK18,"1D")</f>
        <v>42570</v>
      </c>
      <c r="AL19" s="21">
        <f>_xll.qlInterestRateIndexValueDate(hiborindex,AK19)</f>
        <v>42572</v>
      </c>
      <c r="AM19" s="23">
        <f>_xll.qlIndexFixing(hiborindex,AK19)</f>
        <v>-1.7778623675848075E-3</v>
      </c>
    </row>
    <row r="20" spans="1:39" ht="14.25" customHeight="1" x14ac:dyDescent="0.25">
      <c r="A20" s="20" t="s">
        <v>32</v>
      </c>
      <c r="B20" s="20"/>
      <c r="C20" s="20" t="str">
        <f t="shared" si="0"/>
        <v>11M</v>
      </c>
      <c r="D20" s="20" t="s">
        <v>204</v>
      </c>
      <c r="E20" s="35" t="str">
        <f t="shared" si="1"/>
        <v>11MDEPO</v>
      </c>
      <c r="F20" s="20" t="str">
        <f>_xll.qlSimpleQuote(E20,trigger)</f>
        <v>11MDEPO#0012</v>
      </c>
      <c r="G20" s="20"/>
      <c r="H20" s="21">
        <f>_xll.qlCalendarAdvance(calendar,evaluationdate,"2D")</f>
        <v>42551</v>
      </c>
      <c r="I20" s="21">
        <f>_xll.qlCalendarAdvance(calendar,H20,A20)</f>
        <v>42885</v>
      </c>
      <c r="J20" s="22">
        <f>_xll.qlYieldTSForwardRate("eur"&amp;tenor&amp;"MX",H20,I20,daycounter)</f>
        <v>-1.8799498372768417E-3</v>
      </c>
      <c r="K20" s="23" t="e">
        <f>_xll.qlSimpleQuoteSetValue(F20,J20)</f>
        <v>#N/A</v>
      </c>
      <c r="L20" s="22">
        <v>0</v>
      </c>
      <c r="M20" s="20" t="str">
        <f t="shared" si="2"/>
        <v>C_11MDEPO</v>
      </c>
      <c r="N20" s="20" t="str">
        <f>_xll.qlCompositeQuote(M20,F20,L20,"+",,trigger)</f>
        <v>C_11MDEPO#0012</v>
      </c>
      <c r="O20" s="20" t="str">
        <f>_xll.qlDepositRateHelper2(,N20,A20,2,calendar,"mf",TRUE,+daycounter,,trigger)</f>
        <v>obj_00490#0014</v>
      </c>
      <c r="P20" s="20" t="b">
        <f>IF($Z$2="SwapDesk",NOT(ISNA(VLOOKUP(E20,'Curve Configuration'!$T$6:$T$60,1,0))),NOT(ISNA(VLOOKUP(E20,'Curve Configuration'!$V$6:$V$35,1,0))))</f>
        <v>0</v>
      </c>
      <c r="Q20" s="18" t="str">
        <v>obj_005fc#0007</v>
      </c>
      <c r="R20" s="96" t="str">
        <v>--</v>
      </c>
      <c r="AB20" s="99" t="str">
        <v>14MOIS</v>
      </c>
      <c r="AC20" s="103" t="str">
        <v>--</v>
      </c>
      <c r="AE20" s="66" t="str">
        <f>IFERROR(Instrument!J51,"--")</f>
        <v>--</v>
      </c>
      <c r="AF20" s="81" t="str">
        <f>IFERROR(Instrument!E51,"--")</f>
        <v>--</v>
      </c>
      <c r="AG20" s="67" t="str">
        <f>IFERROR(Instrument!P51,"--")</f>
        <v>--</v>
      </c>
      <c r="AH20" s="67" t="str">
        <f>IFERROR(_xll.qlIndexFixing(hiborindex,AE20,TRUE),"--")</f>
        <v>--</v>
      </c>
      <c r="AI20" s="67" t="str">
        <f t="shared" si="3"/>
        <v>--</v>
      </c>
      <c r="AK20" s="21">
        <f>_xll.qlCalendarAdvance(calendar,AK19,"1D")</f>
        <v>42571</v>
      </c>
      <c r="AL20" s="21">
        <f>_xll.qlInterestRateIndexValueDate(hiborindex,AK20)</f>
        <v>42573</v>
      </c>
      <c r="AM20" s="23">
        <f>_xll.qlIndexFixing(hiborindex,AK20)</f>
        <v>-1.7800410026466782E-3</v>
      </c>
    </row>
    <row r="21" spans="1:39" ht="14.25" customHeight="1" x14ac:dyDescent="0.25">
      <c r="A21" s="15" t="s">
        <v>89</v>
      </c>
      <c r="B21" s="15">
        <v>0</v>
      </c>
      <c r="C21" s="15" t="str">
        <f>"X"&amp;B21+SUBSTITUTE(6,"M","")&amp;"_ON"</f>
        <v>X6_ON</v>
      </c>
      <c r="D21" s="15" t="s">
        <v>87</v>
      </c>
      <c r="E21" s="34" t="str">
        <f>B21&amp;C21&amp;D21</f>
        <v>0X6_ONFRA</v>
      </c>
      <c r="F21" s="15" t="e">
        <f>_xll.qlSimpleQuote(E21,trigger,,,,)</f>
        <v>#NUM!</v>
      </c>
      <c r="G21" s="15"/>
      <c r="H21" s="16">
        <f>_xll.qlCalendarAdvance(calendar,evaluationdate,A21)</f>
        <v>42549</v>
      </c>
      <c r="I21" s="16">
        <f>_xll.qlCalendarAdvance(calendar,H21,"6M")</f>
        <v>42732</v>
      </c>
      <c r="J21" s="17">
        <f>_xll.qlYieldTSForwardRate("eur"&amp;tenor&amp;"MX",H21,I21,daycounter)</f>
        <v>-1.6872074900312927E-3</v>
      </c>
      <c r="K21" s="19" t="e">
        <f>_xll.qlSimpleQuoteSetValue(F21,J21)</f>
        <v>#VALUE!</v>
      </c>
      <c r="L21" s="17">
        <v>0</v>
      </c>
      <c r="M21" s="15" t="str">
        <f>"C_"&amp;E21</f>
        <v>C_0X6_ONFRA</v>
      </c>
      <c r="N21" s="15" t="e">
        <f>_xll.qlCompositeQuote(M21,F21,L21,"+",,trigger,)</f>
        <v>#NUM!</v>
      </c>
      <c r="O21" s="15" t="e">
        <f>_xll.qlFraRateHelper(,N21,A21,$V$6,,,,trigger)</f>
        <v>#NUM!</v>
      </c>
      <c r="P21" s="15" t="b">
        <f>IF($Z$2="SwapDesk",NOT(ISNA(VLOOKUP(E21,'Curve Configuration'!$T$6:$T$60,1,0))),NOT(ISNA(VLOOKUP(E21,'Curve Configuration'!$V$6:$V$35,1,0))))</f>
        <v>0</v>
      </c>
      <c r="Q21" s="18" t="str">
        <v>obj_005de#0007</v>
      </c>
      <c r="R21" s="93" t="str">
        <v>--</v>
      </c>
      <c r="AB21" s="99" t="str">
        <v>15MOIS</v>
      </c>
      <c r="AC21" s="103" t="str">
        <v>--</v>
      </c>
      <c r="AE21" s="66" t="str">
        <f>IFERROR(Instrument!J52,"--")</f>
        <v>--</v>
      </c>
      <c r="AF21" s="81" t="str">
        <f>IFERROR(Instrument!E52,"--")</f>
        <v>--</v>
      </c>
      <c r="AG21" s="67" t="str">
        <f>IFERROR(Instrument!P52,"--")</f>
        <v>--</v>
      </c>
      <c r="AH21" s="67" t="str">
        <f>IFERROR(_xll.qlIndexFixing(hiborindex,AE21,TRUE),"--")</f>
        <v>--</v>
      </c>
      <c r="AI21" s="67" t="str">
        <f t="shared" si="3"/>
        <v>--</v>
      </c>
      <c r="AK21" s="21">
        <f>_xll.qlCalendarAdvance(calendar,AK20,"1D")</f>
        <v>42572</v>
      </c>
      <c r="AL21" s="21">
        <f>_xll.qlInterestRateIndexValueDate(hiborindex,AK21)</f>
        <v>42576</v>
      </c>
      <c r="AM21" s="23">
        <f>_xll.qlIndexFixing(hiborindex,AK21)</f>
        <v>-1.7902481589942639E-3</v>
      </c>
    </row>
    <row r="22" spans="1:39" x14ac:dyDescent="0.25">
      <c r="A22" s="20" t="s">
        <v>90</v>
      </c>
      <c r="B22" s="20">
        <v>0</v>
      </c>
      <c r="C22" s="20" t="str">
        <f t="shared" ref="C22:C26" si="4">"X"&amp;B22+SUBSTITUTE(6,"M","")&amp;"_ON"</f>
        <v>X6_ON</v>
      </c>
      <c r="D22" s="20" t="s">
        <v>87</v>
      </c>
      <c r="E22" s="35" t="str">
        <f t="shared" ref="E22:E75" si="5">B22&amp;C22&amp;D22</f>
        <v>0X6_ONFRA</v>
      </c>
      <c r="F22" s="20" t="e">
        <f>_xll.qlSimpleQuote(E22,trigger)</f>
        <v>#NUM!</v>
      </c>
      <c r="G22" s="20"/>
      <c r="H22" s="21">
        <f>_xll.qlCalendarAdvance(calendar,evaluationdate,A22)</f>
        <v>42550</v>
      </c>
      <c r="I22" s="21">
        <f>_xll.qlCalendarAdvance(calendar,H22,"6M")</f>
        <v>42733</v>
      </c>
      <c r="J22" s="22">
        <f>_xll.qlYieldTSForwardRate("eur"&amp;tenor&amp;"MX",H22,I22,daycounter)</f>
        <v>-1.6905852617054584E-3</v>
      </c>
      <c r="K22" s="23" t="e">
        <f>_xll.qlSimpleQuoteSetValue(F22,J22)</f>
        <v>#VALUE!</v>
      </c>
      <c r="L22" s="22">
        <v>0</v>
      </c>
      <c r="M22" s="20" t="str">
        <f t="shared" ref="M22:M100" si="6">"C_"&amp;E22</f>
        <v>C_0X6_ONFRA</v>
      </c>
      <c r="N22" s="20" t="e">
        <f>_xll.qlCompositeQuote(M22,F22,L22,"+",,trigger)</f>
        <v>#NUM!</v>
      </c>
      <c r="O22" s="20" t="e">
        <f>_xll.qlFraRateHelper(,N22,A22,"Euribor"&amp;tenor&amp;"MX",,,,trigger)</f>
        <v>#NUM!</v>
      </c>
      <c r="P22" s="20" t="b">
        <f>IF($Z$2="SwapDesk",NOT(ISNA(VLOOKUP(E22,'Curve Configuration'!$T$6:$T$60,1,0))),NOT(ISNA(VLOOKUP(E22,'Curve Configuration'!$V$6:$V$35,1,0))))</f>
        <v>0</v>
      </c>
      <c r="Q22" s="18" t="str">
        <v>obj_00624#0007</v>
      </c>
      <c r="R22" s="94" t="str">
        <v>--</v>
      </c>
      <c r="AB22" s="99" t="str">
        <v>16MOIS</v>
      </c>
      <c r="AC22" s="103" t="str">
        <v>--</v>
      </c>
      <c r="AE22" s="66" t="str">
        <f>IFERROR(Instrument!J53,"--")</f>
        <v>--</v>
      </c>
      <c r="AF22" s="81" t="str">
        <f>IFERROR(Instrument!E53,"--")</f>
        <v>--</v>
      </c>
      <c r="AG22" s="67" t="str">
        <f>IFERROR(Instrument!P53,"--")</f>
        <v>--</v>
      </c>
      <c r="AH22" s="67" t="str">
        <f>IFERROR(_xll.qlIndexFixing(hiborindex,AE22,TRUE),"--")</f>
        <v>--</v>
      </c>
      <c r="AI22" s="67" t="str">
        <f t="shared" si="3"/>
        <v>--</v>
      </c>
      <c r="AK22" s="21">
        <f>_xll.qlCalendarAdvance(calendar,AK21,"1D")</f>
        <v>42573</v>
      </c>
      <c r="AL22" s="21">
        <f>_xll.qlInterestRateIndexValueDate(hiborindex,AK22)</f>
        <v>42577</v>
      </c>
      <c r="AM22" s="23">
        <f>_xll.qlIndexFixing(hiborindex,AK22)</f>
        <v>-1.7942798267337034E-3</v>
      </c>
    </row>
    <row r="23" spans="1:39" x14ac:dyDescent="0.25">
      <c r="A23" s="20" t="s">
        <v>91</v>
      </c>
      <c r="B23" s="20">
        <v>0</v>
      </c>
      <c r="C23" s="20" t="str">
        <f t="shared" si="4"/>
        <v>X6_ON</v>
      </c>
      <c r="D23" s="20" t="s">
        <v>87</v>
      </c>
      <c r="E23" s="35" t="str">
        <f t="shared" si="5"/>
        <v>0X6_ONFRA</v>
      </c>
      <c r="F23" s="20" t="e">
        <f>_xll.qlSimpleQuote(E23,trigger)</f>
        <v>#NUM!</v>
      </c>
      <c r="G23" s="20"/>
      <c r="H23" s="21">
        <f>_xll.qlCalendarAdvance(calendar,evaluationdate,A23)</f>
        <v>42551</v>
      </c>
      <c r="I23" s="21">
        <f>_xll.qlCalendarAdvance(calendar,H23,"6M")</f>
        <v>42734</v>
      </c>
      <c r="J23" s="22">
        <f>_xll.qlYieldTSForwardRate("eur"&amp;tenor&amp;"MX",H23,I23,daycounter)</f>
        <v>-1.6940000000310032E-3</v>
      </c>
      <c r="K23" s="23" t="e">
        <f>_xll.qlSimpleQuoteSetValue(F23,J23)</f>
        <v>#VALUE!</v>
      </c>
      <c r="L23" s="22">
        <v>0</v>
      </c>
      <c r="M23" s="20" t="str">
        <f t="shared" si="6"/>
        <v>C_0X6_ONFRA</v>
      </c>
      <c r="N23" s="24" t="e">
        <f>_xll.qlCompositeQuote(M23,F23,L23,"+",,trigger)</f>
        <v>#NUM!</v>
      </c>
      <c r="O23" s="24" t="e">
        <f>_xll.qlFraRateHelper(,N23,A23,"Euribor"&amp;tenor&amp;"MX",,,,trigger)</f>
        <v>#NUM!</v>
      </c>
      <c r="P23" s="20" t="b">
        <f>IF($Z$2="SwapDesk",NOT(ISNA(VLOOKUP(E23,'Curve Configuration'!$T$6:$T$60,1,0))),NOT(ISNA(VLOOKUP(E23,'Curve Configuration'!$V$6:$V$35,1,0))))</f>
        <v>0</v>
      </c>
      <c r="Q23" s="18" t="str">
        <v>obj_0060c#0007</v>
      </c>
      <c r="R23" s="94" t="str">
        <v>--</v>
      </c>
      <c r="AB23" s="99" t="str">
        <v>17MOIS</v>
      </c>
      <c r="AC23" s="103" t="str">
        <v>--</v>
      </c>
      <c r="AE23" s="66" t="str">
        <f>IFERROR(Instrument!J54,"--")</f>
        <v>--</v>
      </c>
      <c r="AF23" s="81" t="str">
        <f>IFERROR(Instrument!E54,"--")</f>
        <v>--</v>
      </c>
      <c r="AG23" s="67" t="str">
        <f>IFERROR(Instrument!P54,"--")</f>
        <v>--</v>
      </c>
      <c r="AH23" s="67" t="str">
        <f>IFERROR(_xll.qlIndexFixing(hiborindex,AE23,TRUE),"--")</f>
        <v>--</v>
      </c>
      <c r="AI23" s="67" t="str">
        <f t="shared" si="3"/>
        <v>--</v>
      </c>
      <c r="AK23" s="21">
        <f>_xll.qlCalendarAdvance(calendar,AK22,"1D")</f>
        <v>42576</v>
      </c>
      <c r="AL23" s="21">
        <f>_xll.qlInterestRateIndexValueDate(hiborindex,AK23)</f>
        <v>42578</v>
      </c>
      <c r="AM23" s="23">
        <f>_xll.qlIndexFixing(hiborindex,AK23)</f>
        <v>-1.7983309831303528E-3</v>
      </c>
    </row>
    <row r="24" spans="1:39" x14ac:dyDescent="0.25">
      <c r="A24" s="20" t="s">
        <v>6</v>
      </c>
      <c r="B24" s="20">
        <v>0</v>
      </c>
      <c r="C24" s="20" t="str">
        <f t="shared" si="4"/>
        <v>X6_ON</v>
      </c>
      <c r="D24" s="20" t="s">
        <v>87</v>
      </c>
      <c r="E24" s="35" t="str">
        <f t="shared" si="5"/>
        <v>0X6_ONFRA</v>
      </c>
      <c r="F24" s="20" t="e">
        <f>_xll.qlSimpleQuote(E24,trigger)</f>
        <v>#NUM!</v>
      </c>
      <c r="G24" s="20"/>
      <c r="H24" s="21">
        <f>_xll.qlCalendarAdvance(calendar,evaluationdate,A24)</f>
        <v>42556</v>
      </c>
      <c r="I24" s="21">
        <f>_xll.qlCalendarAdvance(calendar,H24,"6M")</f>
        <v>42740</v>
      </c>
      <c r="J24" s="22">
        <f>_xll.qlYieldTSForwardRate("eur"&amp;tenor&amp;"MX",H24,I24,daycounter)</f>
        <v>-1.7136686964169571E-3</v>
      </c>
      <c r="K24" s="23" t="e">
        <f>_xll.qlSimpleQuoteSetValue(F24,J24)</f>
        <v>#VALUE!</v>
      </c>
      <c r="L24" s="22">
        <v>0</v>
      </c>
      <c r="M24" s="20" t="str">
        <f t="shared" si="6"/>
        <v>C_0X6_ONFRA</v>
      </c>
      <c r="N24" s="24" t="e">
        <f>_xll.qlCompositeQuote(M24,F24,L24,"+",,trigger)</f>
        <v>#NUM!</v>
      </c>
      <c r="O24" s="20" t="e">
        <f>_xll.qlFraRateHelper(,N24,A24,"Euribor"&amp;tenor&amp;"MX",,,,trigger)</f>
        <v>#NUM!</v>
      </c>
      <c r="P24" s="20" t="b">
        <f>IF($Z$2="SwapDesk",NOT(ISNA(VLOOKUP(E24,'Curve Configuration'!$T$6:$T$60,1,0))),NOT(ISNA(VLOOKUP(E24,'Curve Configuration'!$V$6:$V$35,1,0))))</f>
        <v>0</v>
      </c>
      <c r="Q24" s="18" t="str">
        <v>obj_00601#0007</v>
      </c>
      <c r="R24" s="94" t="str">
        <v>--</v>
      </c>
      <c r="AB24" s="99" t="str">
        <v>18MOIS</v>
      </c>
      <c r="AC24" s="103" t="str">
        <v>--</v>
      </c>
      <c r="AE24" s="66" t="str">
        <f>IFERROR(Instrument!J55,"--")</f>
        <v>--</v>
      </c>
      <c r="AF24" s="81" t="str">
        <f>IFERROR(Instrument!E55,"--")</f>
        <v>--</v>
      </c>
      <c r="AG24" s="67" t="str">
        <f>IFERROR(Instrument!P55,"--")</f>
        <v>--</v>
      </c>
      <c r="AH24" s="67" t="str">
        <f>IFERROR(_xll.qlIndexFixing(hiborindex,AE24,TRUE),"--")</f>
        <v>--</v>
      </c>
      <c r="AI24" s="67" t="str">
        <f t="shared" si="3"/>
        <v>--</v>
      </c>
      <c r="AK24" s="21">
        <f>_xll.qlCalendarAdvance(calendar,AK23,"1D")</f>
        <v>42577</v>
      </c>
      <c r="AL24" s="21">
        <f>_xll.qlInterestRateIndexValueDate(hiborindex,AK24)</f>
        <v>42579</v>
      </c>
      <c r="AM24" s="23">
        <f>_xll.qlIndexFixing(hiborindex,AK24)</f>
        <v>-1.805915320453438E-3</v>
      </c>
    </row>
    <row r="25" spans="1:39" x14ac:dyDescent="0.25">
      <c r="A25" s="20" t="s">
        <v>8</v>
      </c>
      <c r="B25" s="20">
        <v>0</v>
      </c>
      <c r="C25" s="20" t="str">
        <f t="shared" si="4"/>
        <v>X6_ON</v>
      </c>
      <c r="D25" s="20" t="s">
        <v>87</v>
      </c>
      <c r="E25" s="35" t="str">
        <f t="shared" si="5"/>
        <v>0X6_ONFRA</v>
      </c>
      <c r="F25" s="20" t="str">
        <f>_xll.qlSimpleQuote(E25,trigger)</f>
        <v>0X6_ONFRA#0012</v>
      </c>
      <c r="G25" s="20"/>
      <c r="H25" s="21">
        <f>_xll.qlCalendarAdvance(calendar,evaluationdate,A25)</f>
        <v>42563</v>
      </c>
      <c r="I25" s="21">
        <f>_xll.qlCalendarAdvance(calendar,H25,"6M")</f>
        <v>42747</v>
      </c>
      <c r="J25" s="22">
        <f>_xll.qlYieldTSForwardRate("eur"&amp;tenor&amp;"MX",H25,I25,daycounter)</f>
        <v>-1.740435949073727E-3</v>
      </c>
      <c r="K25" s="23" t="e">
        <f>_xll.qlSimpleQuoteSetValue(F25,J25)</f>
        <v>#N/A</v>
      </c>
      <c r="L25" s="22">
        <v>0</v>
      </c>
      <c r="M25" s="20" t="str">
        <f t="shared" si="6"/>
        <v>C_0X6_ONFRA</v>
      </c>
      <c r="N25" s="24" t="str">
        <f>_xll.qlCompositeQuote(M25,F25,L25,"+",,trigger)</f>
        <v>C_0X6_ONFRA#0012</v>
      </c>
      <c r="O25" s="20" t="e">
        <f>_xll.qlFraRateHelper(,N25,A25,"Euribor"&amp;tenor&amp;"MX",,,,trigger)</f>
        <v>#NUM!</v>
      </c>
      <c r="P25" s="20" t="b">
        <f>IF($Z$2="SwapDesk",NOT(ISNA(VLOOKUP(E25,'Curve Configuration'!$T$6:$T$60,1,0))),NOT(ISNA(VLOOKUP(E25,'Curve Configuration'!$V$6:$V$35,1,0))))</f>
        <v>0</v>
      </c>
      <c r="Q25" s="18" t="str">
        <v>obj_005db#0007</v>
      </c>
      <c r="R25" s="94" t="str">
        <v>--</v>
      </c>
      <c r="AB25" s="99" t="str">
        <v>19MOIS</v>
      </c>
      <c r="AC25" s="103" t="str">
        <v>--</v>
      </c>
      <c r="AE25" s="66" t="str">
        <f>IFERROR(Instrument!J56,"--")</f>
        <v>--</v>
      </c>
      <c r="AF25" s="81" t="str">
        <f>IFERROR(Instrument!E56,"--")</f>
        <v>--</v>
      </c>
      <c r="AG25" s="67" t="str">
        <f>IFERROR(Instrument!P56,"--")</f>
        <v>--</v>
      </c>
      <c r="AH25" s="67" t="str">
        <f>IFERROR(_xll.qlIndexFixing(hiborindex,AE25,TRUE),"--")</f>
        <v>--</v>
      </c>
      <c r="AI25" s="67" t="str">
        <f t="shared" si="3"/>
        <v>--</v>
      </c>
      <c r="AK25" s="21">
        <f>_xll.qlCalendarAdvance(calendar,AK24,"1D")</f>
        <v>42578</v>
      </c>
      <c r="AL25" s="21">
        <f>_xll.qlInterestRateIndexValueDate(hiborindex,AK25)</f>
        <v>42580</v>
      </c>
      <c r="AM25" s="23">
        <f>_xll.qlIndexFixing(hiborindex,AK25)</f>
        <v>-1.8099999999981479E-3</v>
      </c>
    </row>
    <row r="26" spans="1:39" x14ac:dyDescent="0.25">
      <c r="A26" s="25" t="s">
        <v>10</v>
      </c>
      <c r="B26" s="25">
        <v>0</v>
      </c>
      <c r="C26" s="25" t="str">
        <f t="shared" si="4"/>
        <v>X6_ON</v>
      </c>
      <c r="D26" s="25" t="s">
        <v>87</v>
      </c>
      <c r="E26" s="36" t="str">
        <f t="shared" si="5"/>
        <v>0X6_ONFRA</v>
      </c>
      <c r="F26" s="25" t="e">
        <f>_xll.qlSimpleQuote(E26,trigger)</f>
        <v>#NUM!</v>
      </c>
      <c r="G26" s="25"/>
      <c r="H26" s="26">
        <f>_xll.qlCalendarAdvance(calendar,evaluationdate,A26)</f>
        <v>42570</v>
      </c>
      <c r="I26" s="26">
        <f>_xll.qlCalendarAdvance(calendar,H26,"6M")</f>
        <v>42754</v>
      </c>
      <c r="J26" s="27">
        <f>_xll.qlYieldTSForwardRate("eur"&amp;tenor&amp;"MX",H26,I26,daycounter)</f>
        <v>-1.7681934688133965E-3</v>
      </c>
      <c r="K26" s="31" t="e">
        <f>_xll.qlSimpleQuoteSetValue(F26,J26)</f>
        <v>#VALUE!</v>
      </c>
      <c r="L26" s="27">
        <v>0</v>
      </c>
      <c r="M26" s="25" t="str">
        <f t="shared" si="6"/>
        <v>C_0X6_ONFRA</v>
      </c>
      <c r="N26" s="28" t="e">
        <f>_xll.qlCompositeQuote(M26,F26,L26,"+",,trigger)</f>
        <v>#NUM!</v>
      </c>
      <c r="O26" s="25" t="e">
        <f>_xll.qlFraRateHelper(,N26,A26,"Euribor"&amp;tenor&amp;"MX",,,,trigger)</f>
        <v>#NUM!</v>
      </c>
      <c r="P26" s="25" t="b">
        <f>IF($Z$2="SwapDesk",NOT(ISNA(VLOOKUP(E26,'Curve Configuration'!$T$6:$T$60,1,0))),NOT(ISNA(VLOOKUP(E26,'Curve Configuration'!$V$6:$V$35,1,0))))</f>
        <v>0</v>
      </c>
      <c r="Q26" s="18" t="str">
        <v>obj_0062a#0007</v>
      </c>
      <c r="R26" s="94" t="str">
        <v>--</v>
      </c>
      <c r="AB26" s="99" t="str">
        <v>20MOIS</v>
      </c>
      <c r="AC26" s="103" t="str">
        <v>--</v>
      </c>
      <c r="AE26" s="66" t="str">
        <f>IFERROR(Instrument!J57,"--")</f>
        <v>--</v>
      </c>
      <c r="AF26" s="81" t="str">
        <f>IFERROR(Instrument!E57,"--")</f>
        <v>--</v>
      </c>
      <c r="AG26" s="67" t="str">
        <f>IFERROR(Instrument!P57,"--")</f>
        <v>--</v>
      </c>
      <c r="AH26" s="67" t="str">
        <f>IFERROR(_xll.qlIndexFixing(hiborindex,AE26,TRUE),"--")</f>
        <v>--</v>
      </c>
      <c r="AI26" s="67" t="str">
        <f t="shared" si="3"/>
        <v>--</v>
      </c>
      <c r="AK26" s="21">
        <f>_xll.qlCalendarAdvance(calendar,AK25,"1D")</f>
        <v>42579</v>
      </c>
      <c r="AL26" s="21">
        <f>_xll.qlInterestRateIndexValueDate(hiborindex,AK26)</f>
        <v>42583</v>
      </c>
      <c r="AM26" s="23">
        <f>_xll.qlIndexFixing(hiborindex,AK26)</f>
        <v>-1.8170124396788003E-3</v>
      </c>
    </row>
    <row r="27" spans="1:39" x14ac:dyDescent="0.25">
      <c r="A27" s="20" t="s">
        <v>133</v>
      </c>
      <c r="B27" s="20">
        <v>1</v>
      </c>
      <c r="C27" s="20" t="str">
        <f>_xll.qlIMMNextCode(evaluationdate,TRUE,trigger)</f>
        <v>U6</v>
      </c>
      <c r="D27" s="20" t="s">
        <v>190</v>
      </c>
      <c r="E27" s="35" t="str">
        <f>C27&amp;"_"&amp;A27&amp;B27&amp;"_"&amp;D27</f>
        <v>U6_IMM1_FUT</v>
      </c>
      <c r="F27" s="20" t="str">
        <f>_xll.qlSimpleQuote(E27,trigger)</f>
        <v>U6_IMM1_FUT#0014</v>
      </c>
      <c r="G27" s="21">
        <f>_xll.qlInterestRateIndexFixingDate($V$3,H27)</f>
        <v>42632</v>
      </c>
      <c r="H27" s="21">
        <f>_xll.qlIMMdate(C27)</f>
        <v>42634</v>
      </c>
      <c r="I27" s="21">
        <f>_xll.qlCalendarAdvance(calendar,H27,"3M")</f>
        <v>42725</v>
      </c>
      <c r="J27" s="63">
        <f>(1-_xll.qlIndexFixing($V$5,G27,TRUE,trigger))*100</f>
        <v>100.18755861588448</v>
      </c>
      <c r="K27" s="23" t="e">
        <f>_xll.qlSimpleQuoteSetValue(F27,J27)</f>
        <v>#N/A</v>
      </c>
      <c r="L27" s="22">
        <v>0</v>
      </c>
      <c r="M27" s="20" t="str">
        <f t="shared" si="6"/>
        <v>C_U6_IMM1_FUT</v>
      </c>
      <c r="N27" s="24" t="str">
        <f>_xll.qlCompositeQuote(M27,F27,L27*100,"-",,trigger)</f>
        <v>C_U6_IMM1_FUT#0014</v>
      </c>
      <c r="O27" s="20" t="str">
        <f>_xll.qlFuturesRateHelper(,N27,A27,H27,$V$5,0,,trigger)</f>
        <v>obj_00517#0014</v>
      </c>
      <c r="P27" s="20" t="b">
        <f>IF($Z$2="SwapDesk",NOT(ISNA(VLOOKUP(E27,'Curve Configuration'!$T$6:$T$60,1,0))),NOT(ISNA(VLOOKUP(E27,'Curve Configuration'!$V$6:$V$35,1,0))))</f>
        <v>0</v>
      </c>
      <c r="Q27" s="18" t="str">
        <v>obj_00628#0007</v>
      </c>
      <c r="R27" s="93" t="str">
        <v>--</v>
      </c>
      <c r="AB27" s="99" t="str">
        <v>21MOIS</v>
      </c>
      <c r="AC27" s="103" t="str">
        <v>--</v>
      </c>
      <c r="AE27" s="66" t="str">
        <f>IFERROR(Instrument!J58,"--")</f>
        <v>--</v>
      </c>
      <c r="AF27" s="81" t="str">
        <f>IFERROR(Instrument!E58,"--")</f>
        <v>--</v>
      </c>
      <c r="AG27" s="67" t="str">
        <f>IFERROR(Instrument!P58,"--")</f>
        <v>--</v>
      </c>
      <c r="AH27" s="67" t="str">
        <f>IFERROR(_xll.qlIndexFixing(hiborindex,AE27,TRUE),"--")</f>
        <v>--</v>
      </c>
      <c r="AI27" s="67" t="str">
        <f t="shared" si="3"/>
        <v>--</v>
      </c>
      <c r="AK27" s="21">
        <f>_xll.qlCalendarAdvance(calendar,AK26,"1D")</f>
        <v>42580</v>
      </c>
      <c r="AL27" s="21">
        <f>_xll.qlInterestRateIndexValueDate(hiborindex,AK27)</f>
        <v>42584</v>
      </c>
      <c r="AM27" s="23">
        <f>_xll.qlIndexFixing(hiborindex,AK27)</f>
        <v>-1.8200016564952652E-3</v>
      </c>
    </row>
    <row r="28" spans="1:39" x14ac:dyDescent="0.25">
      <c r="A28" s="20" t="s">
        <v>133</v>
      </c>
      <c r="B28" s="20">
        <v>2</v>
      </c>
      <c r="C28" s="20" t="str">
        <f>_xll.qlIMMNextCode(C27,TRUE,trigger)</f>
        <v>Z6</v>
      </c>
      <c r="D28" s="20" t="s">
        <v>190</v>
      </c>
      <c r="E28" s="35" t="str">
        <f t="shared" ref="E28:E36" si="7">C28&amp;"_"&amp;A28&amp;B28&amp;"_"&amp;D28</f>
        <v>Z6_IMM2_FUT</v>
      </c>
      <c r="F28" s="20" t="str">
        <f>_xll.qlSimpleQuote(E28,trigger)</f>
        <v>Z6_IMM2_FUT#0014</v>
      </c>
      <c r="G28" s="21">
        <f>_xll.qlInterestRateIndexFixingDate($V$3,H28)</f>
        <v>42723</v>
      </c>
      <c r="H28" s="21">
        <f>_xll.qlIMMdate(C28)</f>
        <v>42725</v>
      </c>
      <c r="I28" s="21">
        <f>_xll.qlCalendarAdvance(calendar,H28,"3M")</f>
        <v>42815</v>
      </c>
      <c r="J28" s="63">
        <f>(1-_xll.qlIndexFixing($V$5,G28,TRUE,trigger))*100</f>
        <v>100.20246354737164</v>
      </c>
      <c r="K28" s="23" t="e">
        <f>_xll.qlSimpleQuoteSetValue(F28,J28)</f>
        <v>#N/A</v>
      </c>
      <c r="L28" s="22">
        <v>0</v>
      </c>
      <c r="M28" s="20" t="str">
        <f t="shared" si="6"/>
        <v>C_Z6_IMM2_FUT</v>
      </c>
      <c r="N28" s="24" t="str">
        <f>_xll.qlCompositeQuote(M28,F28,L28*100,"-",,trigger)</f>
        <v>C_Z6_IMM2_FUT#0014</v>
      </c>
      <c r="O28" s="20" t="str">
        <f>_xll.qlFuturesRateHelper(,N28,A28,H28,$V$5,0,,trigger)</f>
        <v>obj_004e9#0014</v>
      </c>
      <c r="P28" s="20" t="b">
        <f>IF($Z$2="SwapDesk",NOT(ISNA(VLOOKUP(E28,'Curve Configuration'!$T$6:$T$60,1,0))),NOT(ISNA(VLOOKUP(E28,'Curve Configuration'!$V$6:$V$35,1,0))))</f>
        <v>0</v>
      </c>
      <c r="Q28" s="18" t="str">
        <v>obj_005fb#0007</v>
      </c>
      <c r="R28" s="94" t="str">
        <v>--</v>
      </c>
      <c r="AB28" s="99" t="str">
        <v>22MOIS</v>
      </c>
      <c r="AC28" s="103" t="str">
        <v>--</v>
      </c>
      <c r="AE28" s="66" t="str">
        <f>IFERROR(Instrument!J59,"--")</f>
        <v>--</v>
      </c>
      <c r="AF28" s="81" t="str">
        <f>IFERROR(Instrument!E59,"--")</f>
        <v>--</v>
      </c>
      <c r="AG28" s="67" t="str">
        <f>IFERROR(Instrument!P59,"--")</f>
        <v>--</v>
      </c>
      <c r="AH28" s="67" t="str">
        <f>IFERROR(_xll.qlIndexFixing(hiborindex,AE28,TRUE),"--")</f>
        <v>--</v>
      </c>
      <c r="AI28" s="67" t="str">
        <f t="shared" si="3"/>
        <v>--</v>
      </c>
      <c r="AK28" s="21">
        <f>_xll.qlCalendarAdvance(calendar,AK27,"1D")</f>
        <v>42583</v>
      </c>
      <c r="AL28" s="21">
        <f>_xll.qlInterestRateIndexValueDate(hiborindex,AK28)</f>
        <v>42585</v>
      </c>
      <c r="AM28" s="23">
        <f>_xll.qlIndexFixing(hiborindex,AK28)</f>
        <v>-1.8229816878011171E-3</v>
      </c>
    </row>
    <row r="29" spans="1:39" x14ac:dyDescent="0.25">
      <c r="A29" s="20" t="s">
        <v>133</v>
      </c>
      <c r="B29" s="20">
        <v>3</v>
      </c>
      <c r="C29" s="20" t="str">
        <f>_xll.qlIMMNextCode(C28,TRUE,trigger)</f>
        <v>H7</v>
      </c>
      <c r="D29" s="20" t="s">
        <v>190</v>
      </c>
      <c r="E29" s="35" t="str">
        <f t="shared" si="7"/>
        <v>H7_IMM3_FUT</v>
      </c>
      <c r="F29" s="20" t="str">
        <f>_xll.qlSimpleQuote(E29,trigger)</f>
        <v>H7_IMM3_FUT#0014</v>
      </c>
      <c r="G29" s="21">
        <f>_xll.qlInterestRateIndexFixingDate($V$3,H29)</f>
        <v>42807</v>
      </c>
      <c r="H29" s="21">
        <f>_xll.qlIMMdate(C29)</f>
        <v>42809</v>
      </c>
      <c r="I29" s="21">
        <f>_xll.qlCalendarAdvance(calendar,H29,"3M")</f>
        <v>42901</v>
      </c>
      <c r="J29" s="63">
        <f>(1-_xll.qlIndexFixing($V$5,G29,TRUE,trigger))*100</f>
        <v>100.21871687411846</v>
      </c>
      <c r="K29" s="23" t="e">
        <f>_xll.qlSimpleQuoteSetValue(F29,J29)</f>
        <v>#N/A</v>
      </c>
      <c r="L29" s="22">
        <v>0</v>
      </c>
      <c r="M29" s="20" t="str">
        <f t="shared" si="6"/>
        <v>C_H7_IMM3_FUT</v>
      </c>
      <c r="N29" s="24" t="str">
        <f>_xll.qlCompositeQuote(M29,F29,L29*100,"-",,trigger)</f>
        <v>C_H7_IMM3_FUT#0014</v>
      </c>
      <c r="O29" s="20" t="str">
        <f>_xll.qlFuturesRateHelper(,N29,A29,H29,$V$5,0,,trigger)</f>
        <v>obj_004c3#0014</v>
      </c>
      <c r="P29" s="20" t="b">
        <f>IF($Z$2="SwapDesk",NOT(ISNA(VLOOKUP(E29,'Curve Configuration'!$T$6:$T$60,1,0))),NOT(ISNA(VLOOKUP(E29,'Curve Configuration'!$V$6:$V$35,1,0))))</f>
        <v>0</v>
      </c>
      <c r="Q29" s="18" t="str">
        <v>obj_005d8#0007</v>
      </c>
      <c r="R29" s="94" t="str">
        <v>--</v>
      </c>
      <c r="AB29" s="99" t="str">
        <v>23MOIS</v>
      </c>
      <c r="AC29" s="103" t="str">
        <v>--</v>
      </c>
      <c r="AE29" s="68" t="str">
        <f>IFERROR(Instrument!J60,"--")</f>
        <v>--</v>
      </c>
      <c r="AF29" s="82" t="str">
        <f>IFERROR(Instrument!E60,"--")</f>
        <v>--</v>
      </c>
      <c r="AG29" s="69" t="str">
        <f>IFERROR(Instrument!P60,"--")</f>
        <v>--</v>
      </c>
      <c r="AH29" s="69" t="str">
        <f>IFERROR(_xll.qlIndexFixing(hiborindex,AE29,TRUE),"--")</f>
        <v>--</v>
      </c>
      <c r="AI29" s="69" t="str">
        <f t="shared" si="3"/>
        <v>--</v>
      </c>
      <c r="AK29" s="21">
        <f>_xll.qlCalendarAdvance(calendar,AK28,"1D")</f>
        <v>42584</v>
      </c>
      <c r="AL29" s="21">
        <f>_xll.qlInterestRateIndexValueDate(hiborindex,AK29)</f>
        <v>42586</v>
      </c>
      <c r="AM29" s="23">
        <f>_xll.qlIndexFixing(hiborindex,AK29)</f>
        <v>-1.8279182499847031E-3</v>
      </c>
    </row>
    <row r="30" spans="1:39" x14ac:dyDescent="0.25">
      <c r="A30" s="20" t="s">
        <v>133</v>
      </c>
      <c r="B30" s="20">
        <v>4</v>
      </c>
      <c r="C30" s="20" t="str">
        <f>_xll.qlIMMNextCode(C29,TRUE,trigger)</f>
        <v>M7</v>
      </c>
      <c r="D30" s="20" t="s">
        <v>190</v>
      </c>
      <c r="E30" s="35" t="str">
        <f t="shared" si="7"/>
        <v>M7_IMM4_FUT</v>
      </c>
      <c r="F30" s="20" t="str">
        <f>_xll.qlSimpleQuote(E30,trigger)</f>
        <v>M7_IMM4_FUT#0014</v>
      </c>
      <c r="G30" s="21">
        <f>_xll.qlInterestRateIndexFixingDate($V$3,H30)</f>
        <v>42905</v>
      </c>
      <c r="H30" s="21">
        <f>_xll.qlIMMdate(C30)</f>
        <v>42907</v>
      </c>
      <c r="I30" s="21">
        <f>_xll.qlCalendarAdvance(calendar,H30,"3M")</f>
        <v>42999</v>
      </c>
      <c r="J30" s="63">
        <f>(1-_xll.qlIndexFixing($V$5,G30,TRUE,trigger))*100</f>
        <v>100.2254937971263</v>
      </c>
      <c r="K30" s="23" t="e">
        <f>_xll.qlSimpleQuoteSetValue(F30,J30)</f>
        <v>#N/A</v>
      </c>
      <c r="L30" s="22">
        <v>0</v>
      </c>
      <c r="M30" s="20" t="str">
        <f t="shared" si="6"/>
        <v>C_M7_IMM4_FUT</v>
      </c>
      <c r="N30" s="24" t="str">
        <f>_xll.qlCompositeQuote(M30,F30,L30*100,"-",,trigger)</f>
        <v>C_M7_IMM4_FUT#0014</v>
      </c>
      <c r="O30" s="20" t="str">
        <f>_xll.qlFuturesRateHelper(,N30,A30,H30,$V$5,0,,trigger)</f>
        <v>obj_004b8#0014</v>
      </c>
      <c r="P30" s="20" t="b">
        <f>IF($Z$2="SwapDesk",NOT(ISNA(VLOOKUP(E30,'Curve Configuration'!$T$6:$T$60,1,0))),NOT(ISNA(VLOOKUP(E30,'Curve Configuration'!$V$6:$V$35,1,0))))</f>
        <v>0</v>
      </c>
      <c r="Q30" s="18" t="str">
        <v>obj_00563#0039</v>
      </c>
      <c r="R30" s="94" t="str">
        <v>--</v>
      </c>
      <c r="AB30" s="99" t="str">
        <v>2YOIS</v>
      </c>
      <c r="AC30" s="103" t="str">
        <v>--</v>
      </c>
      <c r="AK30" s="21">
        <f>_xll.qlCalendarAdvance(calendar,AK29,"1D")</f>
        <v>42585</v>
      </c>
      <c r="AL30" s="21">
        <f>_xll.qlInterestRateIndexValueDate(hiborindex,AK30)</f>
        <v>42587</v>
      </c>
      <c r="AM30" s="23">
        <f>_xll.qlIndexFixing(hiborindex,AK30)</f>
        <v>-1.8298926008133733E-3</v>
      </c>
    </row>
    <row r="31" spans="1:39" x14ac:dyDescent="0.25">
      <c r="A31" s="20" t="s">
        <v>133</v>
      </c>
      <c r="B31" s="20">
        <v>5</v>
      </c>
      <c r="C31" s="20" t="str">
        <f>_xll.qlIMMNextCode(C30,TRUE,trigger)</f>
        <v>U7</v>
      </c>
      <c r="D31" s="20" t="s">
        <v>190</v>
      </c>
      <c r="E31" s="35" t="str">
        <f t="shared" si="7"/>
        <v>U7_IMM5_FUT</v>
      </c>
      <c r="F31" s="20" t="str">
        <f>_xll.qlSimpleQuote(E31,trigger)</f>
        <v>U7_IMM5_FUT#0014</v>
      </c>
      <c r="G31" s="21">
        <f>_xll.qlInterestRateIndexFixingDate($V$3,H31)</f>
        <v>42996</v>
      </c>
      <c r="H31" s="21">
        <f>_xll.qlIMMdate(C31)</f>
        <v>42998</v>
      </c>
      <c r="I31" s="21">
        <f>_xll.qlCalendarAdvance(calendar,H31,"3M")</f>
        <v>43089</v>
      </c>
      <c r="J31" s="63">
        <f>(1-_xll.qlIndexFixing($V$5,G31,TRUE,trigger))*100</f>
        <v>100.23882570738142</v>
      </c>
      <c r="K31" s="23" t="e">
        <f>_xll.qlSimpleQuoteSetValue(F31,J31)</f>
        <v>#N/A</v>
      </c>
      <c r="L31" s="22">
        <v>0</v>
      </c>
      <c r="M31" s="20" t="str">
        <f t="shared" si="6"/>
        <v>C_U7_IMM5_FUT</v>
      </c>
      <c r="N31" s="24" t="str">
        <f>_xll.qlCompositeQuote(M31,F31,L31*100,"-",,trigger)</f>
        <v>C_U7_IMM5_FUT#0014</v>
      </c>
      <c r="O31" s="20" t="str">
        <f>_xll.qlFuturesRateHelper(,N31,A31,H31,$V$5,0,,trigger)</f>
        <v>obj_004dc#0014</v>
      </c>
      <c r="P31" s="20" t="b">
        <f>IF($Z$2="SwapDesk",NOT(ISNA(VLOOKUP(E31,'Curve Configuration'!$T$6:$T$60,1,0))),NOT(ISNA(VLOOKUP(E31,'Curve Configuration'!$V$6:$V$35,1,0))))</f>
        <v>0</v>
      </c>
      <c r="Q31" s="18" t="str">
        <v>obj_005c8#0009</v>
      </c>
      <c r="R31" s="94" t="str">
        <v>--</v>
      </c>
      <c r="AB31" s="99" t="str">
        <v>3YOIS</v>
      </c>
      <c r="AC31" s="103" t="str">
        <v>--</v>
      </c>
      <c r="AK31" s="21">
        <f>_xll.qlCalendarAdvance(calendar,AK30,"1D")</f>
        <v>42586</v>
      </c>
      <c r="AL31" s="21">
        <f>_xll.qlInterestRateIndexValueDate(hiborindex,AK31)</f>
        <v>42590</v>
      </c>
      <c r="AM31" s="23">
        <f>_xll.qlIndexFixing(hiborindex,AK31)</f>
        <v>-1.8377440631284941E-3</v>
      </c>
    </row>
    <row r="32" spans="1:39" x14ac:dyDescent="0.25">
      <c r="A32" s="20" t="s">
        <v>133</v>
      </c>
      <c r="B32" s="20">
        <v>6</v>
      </c>
      <c r="C32" s="20" t="str">
        <f>_xll.qlIMMNextCode(C31,TRUE,trigger)</f>
        <v>Z7</v>
      </c>
      <c r="D32" s="20" t="s">
        <v>190</v>
      </c>
      <c r="E32" s="35" t="str">
        <f t="shared" si="7"/>
        <v>Z7_IMM6_FUT</v>
      </c>
      <c r="F32" s="20" t="str">
        <f>_xll.qlSimpleQuote(E32,trigger)</f>
        <v>Z7_IMM6_FUT#0014</v>
      </c>
      <c r="G32" s="21">
        <f>_xll.qlInterestRateIndexFixingDate($V$3,H32)</f>
        <v>43087</v>
      </c>
      <c r="H32" s="21">
        <f>_xll.qlIMMdate(C32)</f>
        <v>43089</v>
      </c>
      <c r="I32" s="21">
        <f>_xll.qlCalendarAdvance(calendar,H32,"3M")</f>
        <v>43179</v>
      </c>
      <c r="J32" s="63">
        <f>(1-_xll.qlIndexFixing($V$5,G32,TRUE,trigger))*100</f>
        <v>100.23819261070494</v>
      </c>
      <c r="K32" s="23" t="e">
        <f>_xll.qlSimpleQuoteSetValue(F32,J32)</f>
        <v>#N/A</v>
      </c>
      <c r="L32" s="22">
        <v>0</v>
      </c>
      <c r="M32" s="20" t="str">
        <f t="shared" si="6"/>
        <v>C_Z7_IMM6_FUT</v>
      </c>
      <c r="N32" s="24" t="str">
        <f>_xll.qlCompositeQuote(M32,F32,L32*100,"-",,trigger)</f>
        <v>C_Z7_IMM6_FUT#0014</v>
      </c>
      <c r="O32" s="20" t="str">
        <f>_xll.qlFuturesRateHelper(,N32,A32,H32,$V$5,0,,trigger)</f>
        <v>obj_004ba#0014</v>
      </c>
      <c r="P32" s="20" t="b">
        <f>IF($Z$2="SwapDesk",NOT(ISNA(VLOOKUP(E32,'Curve Configuration'!$T$6:$T$60,1,0))),NOT(ISNA(VLOOKUP(E32,'Curve Configuration'!$V$6:$V$35,1,0))))</f>
        <v>0</v>
      </c>
      <c r="Q32" s="18" t="str">
        <v>obj_005cc#0009</v>
      </c>
      <c r="R32" s="94" t="str">
        <v>--</v>
      </c>
      <c r="AB32" s="99" t="str">
        <v>4YOIS</v>
      </c>
      <c r="AC32" s="103" t="str">
        <v>--</v>
      </c>
      <c r="AK32" s="21">
        <f>_xll.qlCalendarAdvance(calendar,AK31,"1D")</f>
        <v>42587</v>
      </c>
      <c r="AL32" s="21">
        <f>_xll.qlInterestRateIndexValueDate(hiborindex,AK32)</f>
        <v>42591</v>
      </c>
      <c r="AM32" s="23">
        <f>_xll.qlIndexFixing(hiborindex,AK32)</f>
        <v>-1.8406689822460546E-3</v>
      </c>
    </row>
    <row r="33" spans="1:39" x14ac:dyDescent="0.25">
      <c r="A33" s="20" t="s">
        <v>133</v>
      </c>
      <c r="B33" s="20">
        <v>7</v>
      </c>
      <c r="C33" s="20" t="str">
        <f>_xll.qlIMMNextCode(C32,TRUE,trigger)</f>
        <v>H8</v>
      </c>
      <c r="D33" s="20" t="s">
        <v>190</v>
      </c>
      <c r="E33" s="35" t="str">
        <f t="shared" si="7"/>
        <v>H8_IMM7_FUT</v>
      </c>
      <c r="F33" s="20" t="str">
        <f>_xll.qlSimpleQuote(E33,trigger)</f>
        <v>H8_IMM7_FUT#0014</v>
      </c>
      <c r="G33" s="21">
        <f>_xll.qlInterestRateIndexFixingDate($V$3,H33)</f>
        <v>43178</v>
      </c>
      <c r="H33" s="21">
        <f>_xll.qlIMMdate(C33)</f>
        <v>43180</v>
      </c>
      <c r="I33" s="21">
        <f>_xll.qlCalendarAdvance(calendar,H33,"3M")</f>
        <v>43272</v>
      </c>
      <c r="J33" s="63">
        <f>(1-_xll.qlIndexFixing($V$5,G33,TRUE,trigger))*100</f>
        <v>100.23979423759768</v>
      </c>
      <c r="K33" s="23" t="e">
        <f>_xll.qlSimpleQuoteSetValue(F33,J33)</f>
        <v>#N/A</v>
      </c>
      <c r="L33" s="22">
        <v>0</v>
      </c>
      <c r="M33" s="20" t="str">
        <f t="shared" si="6"/>
        <v>C_H8_IMM7_FUT</v>
      </c>
      <c r="N33" s="24" t="str">
        <f>_xll.qlCompositeQuote(M33,F33,L33*100,"-",,trigger)</f>
        <v>C_H8_IMM7_FUT#0014</v>
      </c>
      <c r="O33" s="20" t="str">
        <f>_xll.qlFuturesRateHelper(,N33,A33,H33,$V$5,0,,trigger)</f>
        <v>obj_004d0#0014</v>
      </c>
      <c r="P33" s="20" t="b">
        <f>IF($Z$2="SwapDesk",NOT(ISNA(VLOOKUP(E33,'Curve Configuration'!$T$6:$T$60,1,0))),NOT(ISNA(VLOOKUP(E33,'Curve Configuration'!$V$6:$V$35,1,0))))</f>
        <v>0</v>
      </c>
      <c r="Q33" s="18" t="str">
        <v>obj_005ab#0009</v>
      </c>
      <c r="R33" s="94" t="str">
        <v>--</v>
      </c>
      <c r="AB33" s="99" t="str">
        <v>5YOIS</v>
      </c>
      <c r="AC33" s="103" t="str">
        <v>--</v>
      </c>
      <c r="AK33" s="21">
        <f>_xll.qlCalendarAdvance(calendar,AK32,"1D")</f>
        <v>42590</v>
      </c>
      <c r="AL33" s="21">
        <f>_xll.qlInterestRateIndexValueDate(hiborindex,AK33)</f>
        <v>42592</v>
      </c>
      <c r="AM33" s="23">
        <f>_xll.qlIndexFixing(hiborindex,AK33)</f>
        <v>-1.843584716143422E-3</v>
      </c>
    </row>
    <row r="34" spans="1:39" x14ac:dyDescent="0.25">
      <c r="A34" s="20" t="s">
        <v>133</v>
      </c>
      <c r="B34" s="20">
        <v>8</v>
      </c>
      <c r="C34" s="20" t="str">
        <f>_xll.qlIMMNextCode(C33,TRUE,trigger)</f>
        <v>M8</v>
      </c>
      <c r="D34" s="20" t="s">
        <v>190</v>
      </c>
      <c r="E34" s="35" t="str">
        <f t="shared" si="7"/>
        <v>M8_IMM8_FUT</v>
      </c>
      <c r="F34" s="20" t="str">
        <f>_xll.qlSimpleQuote(E34,trigger)</f>
        <v>M8_IMM8_FUT#0014</v>
      </c>
      <c r="G34" s="21">
        <f>_xll.qlInterestRateIndexFixingDate($V$3,H34)</f>
        <v>43269</v>
      </c>
      <c r="H34" s="21">
        <f>_xll.qlIMMdate(C34)</f>
        <v>43271</v>
      </c>
      <c r="I34" s="21">
        <f>_xll.qlCalendarAdvance(calendar,H34,"3M")</f>
        <v>43363</v>
      </c>
      <c r="J34" s="63">
        <f>(1-_xll.qlIndexFixing($V$5,G34,TRUE,trigger))*100</f>
        <v>100.21348702745712</v>
      </c>
      <c r="K34" s="23" t="e">
        <f>_xll.qlSimpleQuoteSetValue(F34,J34)</f>
        <v>#N/A</v>
      </c>
      <c r="L34" s="22">
        <v>0</v>
      </c>
      <c r="M34" s="20" t="str">
        <f t="shared" si="6"/>
        <v>C_M8_IMM8_FUT</v>
      </c>
      <c r="N34" s="24" t="str">
        <f>_xll.qlCompositeQuote(M34,F34,L34*100,"-",,trigger)</f>
        <v>C_M8_IMM8_FUT#0014</v>
      </c>
      <c r="O34" s="20" t="str">
        <f>_xll.qlFuturesRateHelper(,N34,A34,H34,$V$5,0,,trigger)</f>
        <v>obj_004ca#0014</v>
      </c>
      <c r="P34" s="20" t="b">
        <f>IF($Z$2="SwapDesk",NOT(ISNA(VLOOKUP(E34,'Curve Configuration'!$T$6:$T$60,1,0))),NOT(ISNA(VLOOKUP(E34,'Curve Configuration'!$V$6:$V$35,1,0))))</f>
        <v>0</v>
      </c>
      <c r="Q34" s="18" t="str">
        <v>obj_00570#0009</v>
      </c>
      <c r="R34" s="94" t="str">
        <v>--</v>
      </c>
      <c r="AB34" s="99" t="str">
        <v>6YOIS</v>
      </c>
      <c r="AC34" s="103" t="str">
        <v>--</v>
      </c>
      <c r="AK34" s="21">
        <f>_xll.qlCalendarAdvance(calendar,AK33,"1D")</f>
        <v>42591</v>
      </c>
      <c r="AL34" s="21">
        <f>_xll.qlInterestRateIndexValueDate(hiborindex,AK34)</f>
        <v>42593</v>
      </c>
      <c r="AM34" s="23">
        <f>_xll.qlIndexFixing(hiborindex,AK34)</f>
        <v>-1.8484094337744756E-3</v>
      </c>
    </row>
    <row r="35" spans="1:39" x14ac:dyDescent="0.25">
      <c r="A35" s="71" t="s">
        <v>133</v>
      </c>
      <c r="B35" s="71">
        <v>9</v>
      </c>
      <c r="C35" s="71" t="str">
        <f>_xll.qlIMMNextCode(C34,TRUE,trigger)</f>
        <v>U8</v>
      </c>
      <c r="D35" s="71" t="s">
        <v>190</v>
      </c>
      <c r="E35" s="72" t="str">
        <f t="shared" si="7"/>
        <v>U8_IMM9_FUT</v>
      </c>
      <c r="F35" s="71" t="str">
        <f>_xll.qlSimpleQuote(E35,trigger)</f>
        <v>U8_IMM9_FUT#0014</v>
      </c>
      <c r="G35" s="73">
        <f>_xll.qlInterestRateIndexFixingDate($V$3,H35)</f>
        <v>43360</v>
      </c>
      <c r="H35" s="73">
        <f>_xll.qlIMMdate(C35)</f>
        <v>43362</v>
      </c>
      <c r="I35" s="73">
        <f>_xll.qlCalendarAdvance(calendar,H35,"3M")</f>
        <v>43453</v>
      </c>
      <c r="J35" s="74">
        <f>(1-_xll.qlIndexFixing($V$5,G35,TRUE,trigger))*100</f>
        <v>100.21002482279782</v>
      </c>
      <c r="K35" s="75" t="e">
        <f>_xll.qlSimpleQuoteSetValue(F35,J35)</f>
        <v>#N/A</v>
      </c>
      <c r="L35" s="76">
        <v>0</v>
      </c>
      <c r="M35" s="71" t="str">
        <f t="shared" si="6"/>
        <v>C_U8_IMM9_FUT</v>
      </c>
      <c r="N35" s="77" t="str">
        <f>_xll.qlCompositeQuote(M35,F35,L35*100,"-",,trigger)</f>
        <v>C_U8_IMM9_FUT#0014</v>
      </c>
      <c r="O35" s="71" t="str">
        <f>_xll.qlFuturesRateHelper(,N35,A35,H35,$V$5,0,,trigger)</f>
        <v>obj_004e1#0014</v>
      </c>
      <c r="P35" s="71" t="b">
        <f>IF($Z$2="SwapDesk",NOT(ISNA(VLOOKUP(E35,'Curve Configuration'!$T$6:$T$60,1,0))),NOT(ISNA(VLOOKUP(E35,'Curve Configuration'!$V$6:$V$35,1,0))))</f>
        <v>0</v>
      </c>
      <c r="Q35" s="78" t="str">
        <v>obj_005d0#0009</v>
      </c>
      <c r="R35" s="97" t="str">
        <v>--</v>
      </c>
      <c r="AB35" s="99" t="str">
        <v>7YOIS</v>
      </c>
      <c r="AC35" s="103" t="str">
        <v>--</v>
      </c>
      <c r="AK35" s="21">
        <f>_xll.qlCalendarAdvance(calendar,AK34,"1D")</f>
        <v>42592</v>
      </c>
      <c r="AL35" s="21">
        <f>_xll.qlInterestRateIndexValueDate(hiborindex,AK35)</f>
        <v>42594</v>
      </c>
      <c r="AM35" s="23">
        <f>_xll.qlIndexFixing(hiborindex,AK35)</f>
        <v>-1.8503434811871899E-3</v>
      </c>
    </row>
    <row r="36" spans="1:39" x14ac:dyDescent="0.25">
      <c r="A36" s="20" t="s">
        <v>133</v>
      </c>
      <c r="B36" s="20">
        <v>10</v>
      </c>
      <c r="C36" s="20" t="str">
        <f>_xll.qlIMMNextCode(C35,TRUE,trigger)</f>
        <v>Z8</v>
      </c>
      <c r="D36" s="20" t="s">
        <v>190</v>
      </c>
      <c r="E36" s="35" t="str">
        <f t="shared" si="7"/>
        <v>Z8_IMM10_FUT</v>
      </c>
      <c r="F36" s="20" t="str">
        <f>_xll.qlSimpleQuote(E36,trigger)</f>
        <v>Z8_IMM10_FUT#0014</v>
      </c>
      <c r="G36" s="21">
        <f>_xll.qlInterestRateIndexFixingDate($V$3,H36)</f>
        <v>43451</v>
      </c>
      <c r="H36" s="21">
        <f>_xll.qlIMMdate(C36)</f>
        <v>43453</v>
      </c>
      <c r="I36" s="21">
        <f>_xll.qlCalendarAdvance(calendar,H36,"3M")</f>
        <v>43543</v>
      </c>
      <c r="J36" s="63">
        <f>(1-_xll.qlIndexFixing($V$5,G36,TRUE,trigger))*100</f>
        <v>100.18385180662013</v>
      </c>
      <c r="K36" s="23" t="e">
        <f>_xll.qlSimpleQuoteSetValue(F36,J36)</f>
        <v>#N/A</v>
      </c>
      <c r="L36" s="22">
        <v>0</v>
      </c>
      <c r="M36" s="20" t="str">
        <f t="shared" si="6"/>
        <v>C_Z8_IMM10_FUT</v>
      </c>
      <c r="N36" s="24" t="str">
        <f>_xll.qlCompositeQuote(M36,F36,L36*100,"-",,trigger)</f>
        <v>C_Z8_IMM10_FUT#0014</v>
      </c>
      <c r="O36" s="20" t="str">
        <f>_xll.qlFuturesRateHelper(,N36,A36,H36,$V$5,0,,trigger)</f>
        <v>obj_004d2#0014</v>
      </c>
      <c r="P36" s="20" t="b">
        <f>IF($Z$2="SwapDesk",NOT(ISNA(VLOOKUP(E36,'Curve Configuration'!$T$6:$T$60,1,0))),NOT(ISNA(VLOOKUP(E36,'Curve Configuration'!$V$6:$V$35,1,0))))</f>
        <v>0</v>
      </c>
      <c r="Q36" s="18" t="str">
        <v>obj_005af#0009</v>
      </c>
      <c r="R36" s="96" t="str">
        <v>--</v>
      </c>
      <c r="AB36" s="99" t="str">
        <v>8YOIS</v>
      </c>
      <c r="AC36" s="103" t="str">
        <v>--</v>
      </c>
      <c r="AK36" s="21">
        <f>_xll.qlCalendarAdvance(calendar,AK35,"1D")</f>
        <v>42593</v>
      </c>
      <c r="AL36" s="21">
        <f>_xll.qlInterestRateIndexValueDate(hiborindex,AK36)</f>
        <v>42597</v>
      </c>
      <c r="AM36" s="23">
        <f>_xll.qlIndexFixing(hiborindex,AK36)</f>
        <v>-1.858025608768818E-3</v>
      </c>
    </row>
    <row r="37" spans="1:39" x14ac:dyDescent="0.25">
      <c r="A37" s="15" t="str">
        <f>B37&amp;"M"</f>
        <v>1M</v>
      </c>
      <c r="B37" s="15">
        <v>1</v>
      </c>
      <c r="C37" s="15" t="str">
        <f>"X"&amp;B37+6</f>
        <v>X7</v>
      </c>
      <c r="D37" s="15" t="s">
        <v>87</v>
      </c>
      <c r="E37" s="34" t="str">
        <f t="shared" si="5"/>
        <v>1X7FRA</v>
      </c>
      <c r="F37" s="15" t="str">
        <f>_xll.qlSimpleQuote(E37,trigger)</f>
        <v>1X7FRA#0012</v>
      </c>
      <c r="G37" s="16">
        <f>_xll.qlInterestRateIndexFixingDate($V$3,H37)</f>
        <v>42579</v>
      </c>
      <c r="H37" s="16">
        <f>_xll.qlCalendarAdvance(calendar,_xll.qlCalendarAdvance(calendar,evaluationdate,"2D"),A37)</f>
        <v>42583</v>
      </c>
      <c r="I37" s="16">
        <f>_xll.qlCalendarAdvance(calendar,H37,"6M")</f>
        <v>42767</v>
      </c>
      <c r="J37" s="17">
        <f>_xll.qlIndexFixing($V$6,G37,TRUE,trigger)</f>
        <v>-1.8181894966913105E-3</v>
      </c>
      <c r="K37" s="19" t="e">
        <f>_xll.qlSimpleQuoteSetValue(F37,J37)</f>
        <v>#N/A</v>
      </c>
      <c r="L37" s="17">
        <v>0</v>
      </c>
      <c r="M37" s="15" t="str">
        <f t="shared" si="6"/>
        <v>C_1X7FRA</v>
      </c>
      <c r="N37" s="29" t="str">
        <f>_xll.qlCompositeQuote(M37,F37,L37,"+",,trigger)</f>
        <v>C_1X7FRA#0012</v>
      </c>
      <c r="O37" s="15" t="str">
        <f>_xll.qlFraRateHelper(,N37,A37,$V$6,,,,trigger)</f>
        <v>obj_00551#0014</v>
      </c>
      <c r="P37" s="15" t="b">
        <f>IF($Z$2="SwapDesk",NOT(ISNA(VLOOKUP(E37,'Curve Configuration'!$T$6:$T$60,1,0))),NOT(ISNA(VLOOKUP(E37,'Curve Configuration'!$V$6:$V$35,1,0))))</f>
        <v>0</v>
      </c>
      <c r="Q37" s="18" t="str">
        <v>obj_005a9#0009</v>
      </c>
      <c r="R37" s="93" t="str">
        <v>--</v>
      </c>
      <c r="AB37" s="99" t="str">
        <v>9YOIS</v>
      </c>
      <c r="AC37" s="103" t="str">
        <v>--</v>
      </c>
      <c r="AK37" s="21">
        <f>_xll.qlCalendarAdvance(calendar,AK36,"1D")</f>
        <v>42594</v>
      </c>
      <c r="AL37" s="21">
        <f>_xll.qlInterestRateIndexValueDate(hiborindex,AK37)</f>
        <v>42598</v>
      </c>
      <c r="AM37" s="23">
        <f>_xll.qlIndexFixing(hiborindex,AK37)</f>
        <v>-1.860886232206077E-3</v>
      </c>
    </row>
    <row r="38" spans="1:39" x14ac:dyDescent="0.25">
      <c r="A38" s="20" t="str">
        <f t="shared" ref="A38:A60" si="8">B38&amp;"M"</f>
        <v>2M</v>
      </c>
      <c r="B38" s="20">
        <v>2</v>
      </c>
      <c r="C38" s="20" t="str">
        <f t="shared" ref="C38:C60" si="9">"X"&amp;B38+6</f>
        <v>X8</v>
      </c>
      <c r="D38" s="20" t="s">
        <v>87</v>
      </c>
      <c r="E38" s="35" t="str">
        <f t="shared" si="5"/>
        <v>2X8FRA</v>
      </c>
      <c r="F38" s="20" t="str">
        <f>_xll.qlSimpleQuote(E38,trigger)</f>
        <v>2X8FRA#0012</v>
      </c>
      <c r="G38" s="21">
        <f>_xll.qlInterestRateIndexFixingDate($V$3,H38)</f>
        <v>42608</v>
      </c>
      <c r="H38" s="21">
        <f>_xll.qlCalendarAdvance(calendar,_xll.qlCalendarAdvance(calendar,evaluationdate,"2D"),A38)</f>
        <v>42612</v>
      </c>
      <c r="I38" s="21">
        <f>_xll.qlCalendarAdvance(calendar,H38,"6M")</f>
        <v>42794</v>
      </c>
      <c r="J38" s="22">
        <f>_xll.qlIndexFixing($V$6,G38,TRUE,trigger)</f>
        <v>-1.8979999505492578E-3</v>
      </c>
      <c r="K38" s="23" t="e">
        <f>_xll.qlSimpleQuoteSetValue(F38,J38)</f>
        <v>#N/A</v>
      </c>
      <c r="L38" s="22">
        <v>0</v>
      </c>
      <c r="M38" s="20" t="str">
        <f t="shared" si="6"/>
        <v>C_2X8FRA</v>
      </c>
      <c r="N38" s="24" t="str">
        <f>_xll.qlCompositeQuote(M38,F38,L38,"+",,trigger)</f>
        <v>C_2X8FRA#0012</v>
      </c>
      <c r="O38" s="20" t="str">
        <f>_xll.qlFraRateHelper(,N38,A38,$V$6,,,,trigger)</f>
        <v>obj_00548#0014</v>
      </c>
      <c r="P38" s="20" t="b">
        <f>IF($Z$2="SwapDesk",NOT(ISNA(VLOOKUP(E38,'Curve Configuration'!$T$6:$T$60,1,0))),NOT(ISNA(VLOOKUP(E38,'Curve Configuration'!$V$6:$V$35,1,0))))</f>
        <v>0</v>
      </c>
      <c r="Q38" s="18" t="str">
        <v>obj_00587#0009</v>
      </c>
      <c r="R38" s="94" t="str">
        <v>--</v>
      </c>
      <c r="AB38" s="99" t="str">
        <v>10YOIS</v>
      </c>
      <c r="AC38" s="103" t="str">
        <v>--</v>
      </c>
      <c r="AK38" s="21">
        <f>_xll.qlCalendarAdvance(calendar,AK37,"1D")</f>
        <v>42597</v>
      </c>
      <c r="AL38" s="21">
        <f>_xll.qlInterestRateIndexValueDate(hiborindex,AK38)</f>
        <v>42599</v>
      </c>
      <c r="AM38" s="23">
        <f>_xll.qlIndexFixing(hiborindex,AK38)</f>
        <v>-1.8637376707090012E-3</v>
      </c>
    </row>
    <row r="39" spans="1:39" x14ac:dyDescent="0.25">
      <c r="A39" s="20" t="str">
        <f t="shared" si="8"/>
        <v>3M</v>
      </c>
      <c r="B39" s="20">
        <v>3</v>
      </c>
      <c r="C39" s="20" t="str">
        <f t="shared" si="9"/>
        <v>X9</v>
      </c>
      <c r="D39" s="20" t="s">
        <v>87</v>
      </c>
      <c r="E39" s="35" t="str">
        <f t="shared" si="5"/>
        <v>3X9FRA</v>
      </c>
      <c r="F39" s="20" t="str">
        <f>_xll.qlSimpleQuote(E39,trigger)</f>
        <v>3X9FRA#0012</v>
      </c>
      <c r="G39" s="21">
        <f>_xll.qlInterestRateIndexFixingDate($V$3,H39)</f>
        <v>42641</v>
      </c>
      <c r="H39" s="21">
        <f>_xll.qlCalendarAdvance(calendar,_xll.qlCalendarAdvance(calendar,evaluationdate,"2D"),A39)</f>
        <v>42643</v>
      </c>
      <c r="I39" s="21">
        <f>_xll.qlCalendarAdvance(calendar,H39,"6M")</f>
        <v>42824</v>
      </c>
      <c r="J39" s="22">
        <f>_xll.qlIndexFixing($V$6,G39,TRUE,trigger)</f>
        <v>-1.9700000000936763E-3</v>
      </c>
      <c r="K39" s="23" t="e">
        <f>_xll.qlSimpleQuoteSetValue(F39,J39)</f>
        <v>#N/A</v>
      </c>
      <c r="L39" s="22">
        <v>0</v>
      </c>
      <c r="M39" s="20" t="str">
        <f t="shared" si="6"/>
        <v>C_3X9FRA</v>
      </c>
      <c r="N39" s="20" t="str">
        <f>_xll.qlCompositeQuote(M39,F39,L39,"+",,trigger)</f>
        <v>C_3X9FRA#0012</v>
      </c>
      <c r="O39" s="20" t="str">
        <f>_xll.qlFraRateHelper(,N39,A39,$V$6,,,,trigger)</f>
        <v>obj_00539#0014</v>
      </c>
      <c r="P39" s="20" t="b">
        <f>IF($Z$2="SwapDesk",NOT(ISNA(VLOOKUP(E39,'Curve Configuration'!$T$6:$T$60,1,0))),NOT(ISNA(VLOOKUP(E39,'Curve Configuration'!$V$6:$V$35,1,0))))</f>
        <v>0</v>
      </c>
      <c r="Q39" s="18" t="str">
        <v>obj_005b7#0009</v>
      </c>
      <c r="R39" s="94" t="str">
        <v>--</v>
      </c>
      <c r="AB39" s="99" t="str">
        <v>11YOIS</v>
      </c>
      <c r="AC39" s="103" t="str">
        <v>--</v>
      </c>
      <c r="AK39" s="21">
        <f>_xll.qlCalendarAdvance(calendar,AK38,"1D")</f>
        <v>42598</v>
      </c>
      <c r="AL39" s="21">
        <f>_xll.qlInterestRateIndexValueDate(hiborindex,AK39)</f>
        <v>42600</v>
      </c>
      <c r="AM39" s="23">
        <f>_xll.qlIndexFixing(hiborindex,AK39)</f>
        <v>-1.8684553866677963E-3</v>
      </c>
    </row>
    <row r="40" spans="1:39" x14ac:dyDescent="0.25">
      <c r="A40" s="20" t="str">
        <f t="shared" si="8"/>
        <v>4M</v>
      </c>
      <c r="B40" s="20">
        <v>4</v>
      </c>
      <c r="C40" s="20" t="str">
        <f t="shared" si="9"/>
        <v>X10</v>
      </c>
      <c r="D40" s="20" t="s">
        <v>87</v>
      </c>
      <c r="E40" s="35" t="str">
        <f t="shared" si="5"/>
        <v>4X10FRA</v>
      </c>
      <c r="F40" s="20" t="str">
        <f>_xll.qlSimpleQuote(E40,trigger)</f>
        <v>4X10FRA#0012</v>
      </c>
      <c r="G40" s="21">
        <f>_xll.qlInterestRateIndexFixingDate($V$3,H40)</f>
        <v>42670</v>
      </c>
      <c r="H40" s="21">
        <f>_xll.qlCalendarAdvance(calendar,_xll.qlCalendarAdvance(calendar,evaluationdate,"2D"),A40)</f>
        <v>42674</v>
      </c>
      <c r="I40" s="21">
        <f>_xll.qlCalendarAdvance(calendar,H40,"6M")</f>
        <v>42857</v>
      </c>
      <c r="J40" s="22">
        <f>_xll.qlIndexFixing($V$6,G40,TRUE,trigger)</f>
        <v>-2.0200000001004484E-3</v>
      </c>
      <c r="K40" s="23" t="e">
        <f>_xll.qlSimpleQuoteSetValue(F40,J40)</f>
        <v>#N/A</v>
      </c>
      <c r="L40" s="22">
        <v>0</v>
      </c>
      <c r="M40" s="20" t="str">
        <f t="shared" si="6"/>
        <v>C_4X10FRA</v>
      </c>
      <c r="N40" s="20" t="str">
        <f>_xll.qlCompositeQuote(M40,F40,L40,"+",,trigger)</f>
        <v>C_4X10FRA#0012</v>
      </c>
      <c r="O40" s="20" t="str">
        <f>_xll.qlFraRateHelper(,N40,A40,$V$6,,,,trigger)</f>
        <v>obj_0053e#0014</v>
      </c>
      <c r="P40" s="20" t="b">
        <f>IF($Z$2="SwapDesk",NOT(ISNA(VLOOKUP(E40,'Curve Configuration'!$T$6:$T$60,1,0))),NOT(ISNA(VLOOKUP(E40,'Curve Configuration'!$V$6:$V$35,1,0))))</f>
        <v>0</v>
      </c>
      <c r="Q40" s="18" t="str">
        <v>obj_005ad#0009</v>
      </c>
      <c r="R40" s="94" t="str">
        <v>--</v>
      </c>
      <c r="AB40" s="99" t="str">
        <v>12YOIS</v>
      </c>
      <c r="AC40" s="103" t="str">
        <v>--</v>
      </c>
      <c r="AK40" s="21">
        <f>_xll.qlCalendarAdvance(calendar,AK39,"1D")</f>
        <v>42599</v>
      </c>
      <c r="AL40" s="21">
        <f>_xll.qlInterestRateIndexValueDate(hiborindex,AK40)</f>
        <v>42601</v>
      </c>
      <c r="AM40" s="23">
        <f>_xll.qlIndexFixing(hiborindex,AK40)</f>
        <v>-1.8703467253131537E-3</v>
      </c>
    </row>
    <row r="41" spans="1:39" x14ac:dyDescent="0.25">
      <c r="A41" s="20" t="str">
        <f t="shared" si="8"/>
        <v>5M</v>
      </c>
      <c r="B41" s="20">
        <v>5</v>
      </c>
      <c r="C41" s="20" t="str">
        <f t="shared" si="9"/>
        <v>X11</v>
      </c>
      <c r="D41" s="20" t="s">
        <v>87</v>
      </c>
      <c r="E41" s="35" t="str">
        <f t="shared" si="5"/>
        <v>5X11FRA</v>
      </c>
      <c r="F41" s="20" t="str">
        <f>_xll.qlSimpleQuote(E41,trigger)</f>
        <v>5X11FRA#0012</v>
      </c>
      <c r="G41" s="21">
        <f>_xll.qlInterestRateIndexFixingDate($V$3,H41)</f>
        <v>42702</v>
      </c>
      <c r="H41" s="21">
        <f>_xll.qlCalendarAdvance(calendar,_xll.qlCalendarAdvance(calendar,evaluationdate,"2D"),A41)</f>
        <v>42704</v>
      </c>
      <c r="I41" s="21">
        <f>_xll.qlCalendarAdvance(calendar,H41,"6M")</f>
        <v>42885</v>
      </c>
      <c r="J41" s="22">
        <f>_xll.qlIndexFixing($V$6,G41,TRUE,trigger)</f>
        <v>-2.0800000000857008E-3</v>
      </c>
      <c r="K41" s="23" t="e">
        <f>_xll.qlSimpleQuoteSetValue(F41,J41)</f>
        <v>#N/A</v>
      </c>
      <c r="L41" s="22">
        <v>0</v>
      </c>
      <c r="M41" s="20" t="str">
        <f t="shared" si="6"/>
        <v>C_5X11FRA</v>
      </c>
      <c r="N41" s="20" t="str">
        <f>_xll.qlCompositeQuote(M41,F41,L41,"+",,trigger)</f>
        <v>C_5X11FRA#0012</v>
      </c>
      <c r="O41" s="20" t="str">
        <f>_xll.qlFraRateHelper(,N41,A41,$V$6,,,,trigger)</f>
        <v>obj_0053c#0014</v>
      </c>
      <c r="P41" s="20" t="b">
        <f>IF($Z$2="SwapDesk",NOT(ISNA(VLOOKUP(E41,'Curve Configuration'!$T$6:$T$60,1,0))),NOT(ISNA(VLOOKUP(E41,'Curve Configuration'!$V$6:$V$35,1,0))))</f>
        <v>0</v>
      </c>
      <c r="Q41" s="18" t="str">
        <v>obj_00592#0009</v>
      </c>
      <c r="R41" s="94" t="str">
        <v>--</v>
      </c>
      <c r="AB41" s="99" t="str">
        <v>13YOIS</v>
      </c>
      <c r="AC41" s="103" t="str">
        <v>--</v>
      </c>
      <c r="AK41" s="21">
        <f>_xll.qlCalendarAdvance(calendar,AK40,"1D")</f>
        <v>42600</v>
      </c>
      <c r="AL41" s="21">
        <f>_xll.qlInterestRateIndexValueDate(hiborindex,AK41)</f>
        <v>42604</v>
      </c>
      <c r="AM41" s="23">
        <f>_xll.qlIndexFixing(hiborindex,AK41)</f>
        <v>-1.8778570906037876E-3</v>
      </c>
    </row>
    <row r="42" spans="1:39" x14ac:dyDescent="0.25">
      <c r="A42" s="20" t="str">
        <f t="shared" si="8"/>
        <v>6M</v>
      </c>
      <c r="B42" s="20">
        <v>6</v>
      </c>
      <c r="C42" s="20" t="str">
        <f t="shared" si="9"/>
        <v>X12</v>
      </c>
      <c r="D42" s="20" t="s">
        <v>87</v>
      </c>
      <c r="E42" s="35" t="str">
        <f t="shared" si="5"/>
        <v>6X12FRA</v>
      </c>
      <c r="F42" s="20" t="str">
        <f>_xll.qlSimpleQuote(E42,trigger)</f>
        <v>6X12FRA#0012</v>
      </c>
      <c r="G42" s="21">
        <f>_xll.qlInterestRateIndexFixingDate($V$3,H42)</f>
        <v>42732</v>
      </c>
      <c r="H42" s="21">
        <f>_xll.qlCalendarAdvance(calendar,_xll.qlCalendarAdvance(calendar,evaluationdate,"2D"),A42)</f>
        <v>42734</v>
      </c>
      <c r="I42" s="21">
        <f>_xll.qlCalendarAdvance(calendar,H42,"6M")</f>
        <v>42916</v>
      </c>
      <c r="J42" s="22">
        <f>_xll.qlIndexFixing($V$6,G42,TRUE,trigger)</f>
        <v>-2.1300000000570407E-3</v>
      </c>
      <c r="K42" s="23" t="e">
        <f>_xll.qlSimpleQuoteSetValue(F42,J42)</f>
        <v>#N/A</v>
      </c>
      <c r="L42" s="22">
        <v>0</v>
      </c>
      <c r="M42" s="20" t="str">
        <f t="shared" si="6"/>
        <v>C_6X12FRA</v>
      </c>
      <c r="N42" s="20" t="str">
        <f>_xll.qlCompositeQuote(M42,F42,L42,"+",,trigger)</f>
        <v>C_6X12FRA#0012</v>
      </c>
      <c r="O42" s="20" t="str">
        <f>_xll.qlFraRateHelper(,N42,A42,$V$6,,,,trigger)</f>
        <v>obj_00537#0014</v>
      </c>
      <c r="P42" s="20" t="b">
        <f>IF($Z$2="SwapDesk",NOT(ISNA(VLOOKUP(E42,'Curve Configuration'!$T$6:$T$60,1,0))),NOT(ISNA(VLOOKUP(E42,'Curve Configuration'!$V$6:$V$35,1,0))))</f>
        <v>0</v>
      </c>
      <c r="Q42" s="18" t="str">
        <v>obj_0056c#0009</v>
      </c>
      <c r="R42" s="94" t="str">
        <v>--</v>
      </c>
      <c r="AB42" s="99" t="str">
        <v>14YOIS</v>
      </c>
      <c r="AC42" s="103" t="str">
        <v>--</v>
      </c>
      <c r="AK42" s="21">
        <f>_xll.qlCalendarAdvance(calendar,AK41,"1D")</f>
        <v>42601</v>
      </c>
      <c r="AL42" s="21">
        <f>_xll.qlInterestRateIndexValueDate(hiborindex,AK42)</f>
        <v>42605</v>
      </c>
      <c r="AM42" s="23">
        <f>_xll.qlIndexFixing(hiborindex,AK42)</f>
        <v>-1.8806534203374247E-3</v>
      </c>
    </row>
    <row r="43" spans="1:39" x14ac:dyDescent="0.25">
      <c r="A43" s="20" t="str">
        <f t="shared" si="8"/>
        <v>7M</v>
      </c>
      <c r="B43" s="20">
        <v>7</v>
      </c>
      <c r="C43" s="20" t="str">
        <f t="shared" si="9"/>
        <v>X13</v>
      </c>
      <c r="D43" s="20" t="s">
        <v>87</v>
      </c>
      <c r="E43" s="35" t="str">
        <f t="shared" si="5"/>
        <v>7X13FRA</v>
      </c>
      <c r="F43" s="20" t="str">
        <f>_xll.qlSimpleQuote(E43,trigger)</f>
        <v>7X13FRA#0012</v>
      </c>
      <c r="G43" s="21">
        <f>_xll.qlInterestRateIndexFixingDate($V$3,H43)</f>
        <v>42761</v>
      </c>
      <c r="H43" s="21">
        <f>_xll.qlCalendarAdvance(calendar,_xll.qlCalendarAdvance(calendar,evaluationdate,"2D"),A43)</f>
        <v>42765</v>
      </c>
      <c r="I43" s="21">
        <f>_xll.qlCalendarAdvance(calendar,H43,"6M")</f>
        <v>42947</v>
      </c>
      <c r="J43" s="22">
        <f>_xll.qlIndexFixing($V$6,G43,TRUE,trigger)</f>
        <v>-2.1693723396902375E-3</v>
      </c>
      <c r="K43" s="23" t="e">
        <f>_xll.qlSimpleQuoteSetValue(F43,J43)</f>
        <v>#N/A</v>
      </c>
      <c r="L43" s="22">
        <v>0</v>
      </c>
      <c r="M43" s="20" t="str">
        <f t="shared" si="6"/>
        <v>C_7X13FRA</v>
      </c>
      <c r="N43" s="20" t="str">
        <f>_xll.qlCompositeQuote(M43,F43,L43,"+",,trigger)</f>
        <v>C_7X13FRA#0012</v>
      </c>
      <c r="O43" s="20" t="str">
        <f>_xll.qlFraRateHelper(,N43,A43,$V$6,,,,trigger)</f>
        <v>obj_00553#0014</v>
      </c>
      <c r="P43" s="20" t="b">
        <f>IF($Z$2="SwapDesk",NOT(ISNA(VLOOKUP(E43,'Curve Configuration'!$T$6:$T$60,1,0))),NOT(ISNA(VLOOKUP(E43,'Curve Configuration'!$V$6:$V$35,1,0))))</f>
        <v>0</v>
      </c>
      <c r="Q43" s="18" t="str">
        <v>obj_005c7#0009</v>
      </c>
      <c r="R43" s="94" t="str">
        <v>--</v>
      </c>
      <c r="AB43" s="99" t="str">
        <v>15YOIS</v>
      </c>
      <c r="AC43" s="103" t="str">
        <v>--</v>
      </c>
      <c r="AK43" s="21">
        <f>_xll.qlCalendarAdvance(calendar,AK42,"1D")</f>
        <v>42604</v>
      </c>
      <c r="AL43" s="21">
        <f>_xll.qlInterestRateIndexValueDate(hiborindex,AK43)</f>
        <v>42606</v>
      </c>
      <c r="AM43" s="23">
        <f>_xll.qlIndexFixing(hiborindex,AK43)</f>
        <v>-1.8834405654149825E-3</v>
      </c>
    </row>
    <row r="44" spans="1:39" x14ac:dyDescent="0.25">
      <c r="A44" s="20" t="str">
        <f t="shared" si="8"/>
        <v>8M</v>
      </c>
      <c r="B44" s="20">
        <v>8</v>
      </c>
      <c r="C44" s="20" t="str">
        <f t="shared" si="9"/>
        <v>X14</v>
      </c>
      <c r="D44" s="20" t="s">
        <v>87</v>
      </c>
      <c r="E44" s="35" t="str">
        <f t="shared" si="5"/>
        <v>8X14FRA</v>
      </c>
      <c r="F44" s="20" t="str">
        <f>_xll.qlSimpleQuote(E44,trigger)</f>
        <v>8X14FRA#0012</v>
      </c>
      <c r="G44" s="21">
        <f>_xll.qlInterestRateIndexFixingDate($V$3,H44)</f>
        <v>42790</v>
      </c>
      <c r="H44" s="21">
        <f>_xll.qlCalendarAdvance(calendar,_xll.qlCalendarAdvance(calendar,evaluationdate,"2D"),A44)</f>
        <v>42794</v>
      </c>
      <c r="I44" s="21">
        <f>_xll.qlCalendarAdvance(calendar,H44,"6M")</f>
        <v>42975</v>
      </c>
      <c r="J44" s="22">
        <f>_xll.qlIndexFixing($V$6,G44,TRUE,trigger)</f>
        <v>-2.2100000000137834E-3</v>
      </c>
      <c r="K44" s="23" t="e">
        <f>_xll.qlSimpleQuoteSetValue(F44,J44)</f>
        <v>#N/A</v>
      </c>
      <c r="L44" s="22">
        <v>0</v>
      </c>
      <c r="M44" s="20" t="str">
        <f t="shared" si="6"/>
        <v>C_8X14FRA</v>
      </c>
      <c r="N44" s="20" t="str">
        <f>_xll.qlCompositeQuote(M44,F44,L44,"+",,trigger)</f>
        <v>C_8X14FRA#0012</v>
      </c>
      <c r="O44" s="20" t="str">
        <f>_xll.qlFraRateHelper(,N44,A44,$V$6,,,,trigger)</f>
        <v>obj_00535#0014</v>
      </c>
      <c r="P44" s="20" t="b">
        <f>IF($Z$2="SwapDesk",NOT(ISNA(VLOOKUP(E44,'Curve Configuration'!$T$6:$T$60,1,0))),NOT(ISNA(VLOOKUP(E44,'Curve Configuration'!$V$6:$V$35,1,0))))</f>
        <v>0</v>
      </c>
      <c r="Q44" s="18" t="str">
        <v>obj_005c3#0009</v>
      </c>
      <c r="R44" s="94" t="str">
        <v>--</v>
      </c>
      <c r="AB44" s="99" t="str">
        <v>16YOIS</v>
      </c>
      <c r="AC44" s="103" t="str">
        <v>--</v>
      </c>
      <c r="AK44" s="21">
        <f>_xll.qlCalendarAdvance(calendar,AK43,"1D")</f>
        <v>42605</v>
      </c>
      <c r="AL44" s="21">
        <f>_xll.qlInterestRateIndexValueDate(hiborindex,AK44)</f>
        <v>42607</v>
      </c>
      <c r="AM44" s="23">
        <f>_xll.qlIndexFixing(hiborindex,AK44)</f>
        <v>-1.888056122506066E-3</v>
      </c>
    </row>
    <row r="45" spans="1:39" x14ac:dyDescent="0.25">
      <c r="A45" s="20" t="str">
        <f t="shared" si="8"/>
        <v>9M</v>
      </c>
      <c r="B45" s="20">
        <v>9</v>
      </c>
      <c r="C45" s="20" t="str">
        <f t="shared" si="9"/>
        <v>X15</v>
      </c>
      <c r="D45" s="20" t="s">
        <v>87</v>
      </c>
      <c r="E45" s="35" t="str">
        <f t="shared" si="5"/>
        <v>9X15FRA</v>
      </c>
      <c r="F45" s="20" t="str">
        <f>_xll.qlSimpleQuote(E45,trigger)</f>
        <v>9X15FRA#0012</v>
      </c>
      <c r="G45" s="21">
        <f>_xll.qlInterestRateIndexFixingDate($V$3,H45)</f>
        <v>42822</v>
      </c>
      <c r="H45" s="21">
        <f>_xll.qlCalendarAdvance(calendar,_xll.qlCalendarAdvance(calendar,evaluationdate,"2D"),A45)</f>
        <v>42824</v>
      </c>
      <c r="I45" s="21">
        <f>_xll.qlCalendarAdvance(calendar,H45,"6M")</f>
        <v>43010</v>
      </c>
      <c r="J45" s="22">
        <f>_xll.qlIndexFixing($V$6,G45,TRUE,trigger)</f>
        <v>-2.2389515371465433E-3</v>
      </c>
      <c r="K45" s="23" t="e">
        <f>_xll.qlSimpleQuoteSetValue(F45,J45)</f>
        <v>#N/A</v>
      </c>
      <c r="L45" s="22">
        <v>0</v>
      </c>
      <c r="M45" s="20" t="str">
        <f t="shared" si="6"/>
        <v>C_9X15FRA</v>
      </c>
      <c r="N45" s="20" t="str">
        <f>_xll.qlCompositeQuote(M45,F45,L45,"+",,trigger)</f>
        <v>C_9X15FRA#0012</v>
      </c>
      <c r="O45" s="20" t="str">
        <f>_xll.qlFraRateHelper(,N45,A45,$V$6,,,,trigger)</f>
        <v>obj_00554#0014</v>
      </c>
      <c r="P45" s="20" t="b">
        <f>IF($Z$2="SwapDesk",NOT(ISNA(VLOOKUP(E45,'Curve Configuration'!$T$6:$T$60,1,0))),NOT(ISNA(VLOOKUP(E45,'Curve Configuration'!$V$6:$V$35,1,0))))</f>
        <v>0</v>
      </c>
      <c r="Q45" s="18" t="str">
        <v>obj_005a6#0009</v>
      </c>
      <c r="R45" s="94" t="str">
        <v>--</v>
      </c>
      <c r="AB45" s="99" t="str">
        <v>17YOIS</v>
      </c>
      <c r="AC45" s="103" t="str">
        <v>--</v>
      </c>
      <c r="AK45" s="21">
        <f>_xll.qlCalendarAdvance(calendar,AK44,"1D")</f>
        <v>42606</v>
      </c>
      <c r="AL45" s="21">
        <f>_xll.qlInterestRateIndexValueDate(hiborindex,AK45)</f>
        <v>42608</v>
      </c>
      <c r="AM45" s="23">
        <f>_xll.qlIndexFixing(hiborindex,AK45)</f>
        <v>-1.8899023470022713E-3</v>
      </c>
    </row>
    <row r="46" spans="1:39" x14ac:dyDescent="0.25">
      <c r="A46" s="20" t="str">
        <f t="shared" si="8"/>
        <v>10M</v>
      </c>
      <c r="B46" s="20">
        <v>10</v>
      </c>
      <c r="C46" s="20" t="str">
        <f t="shared" si="9"/>
        <v>X16</v>
      </c>
      <c r="D46" s="20" t="s">
        <v>87</v>
      </c>
      <c r="E46" s="35" t="str">
        <f t="shared" si="5"/>
        <v>10X16FRA</v>
      </c>
      <c r="F46" s="20" t="str">
        <f>_xll.qlSimpleQuote(E46,trigger)</f>
        <v>10X16FRA#0012</v>
      </c>
      <c r="G46" s="21">
        <f>_xll.qlInterestRateIndexFixingDate($V$3,H46)</f>
        <v>42852</v>
      </c>
      <c r="H46" s="21">
        <f>_xll.qlCalendarAdvance(calendar,_xll.qlCalendarAdvance(calendar,evaluationdate,"2D"),A46)</f>
        <v>42857</v>
      </c>
      <c r="I46" s="21">
        <f>_xll.qlCalendarAdvance(calendar,H46,"6M")</f>
        <v>43041</v>
      </c>
      <c r="J46" s="22">
        <f>_xll.qlIndexFixing($V$6,G46,TRUE,trigger)</f>
        <v>-2.2724944572744474E-3</v>
      </c>
      <c r="K46" s="23" t="e">
        <f>_xll.qlSimpleQuoteSetValue(F46,J46)</f>
        <v>#N/A</v>
      </c>
      <c r="L46" s="22">
        <v>0</v>
      </c>
      <c r="M46" s="20" t="str">
        <f t="shared" si="6"/>
        <v>C_10X16FRA</v>
      </c>
      <c r="N46" s="20" t="str">
        <f>_xll.qlCompositeQuote(M46,F46,L46,"+",,trigger)</f>
        <v>C_10X16FRA#0012</v>
      </c>
      <c r="O46" s="20" t="str">
        <f>_xll.qlFraRateHelper(,N46,A46,$V$6,,,,trigger)</f>
        <v>obj_00524#0014</v>
      </c>
      <c r="P46" s="20" t="b">
        <f>IF($Z$2="SwapDesk",NOT(ISNA(VLOOKUP(E46,'Curve Configuration'!$T$6:$T$60,1,0))),NOT(ISNA(VLOOKUP(E46,'Curve Configuration'!$V$6:$V$35,1,0))))</f>
        <v>0</v>
      </c>
      <c r="Q46" s="18" t="str">
        <v>obj_00584#0009</v>
      </c>
      <c r="R46" s="94" t="str">
        <v>--</v>
      </c>
      <c r="AB46" s="99" t="str">
        <v>18YOIS</v>
      </c>
      <c r="AC46" s="103" t="str">
        <v>--</v>
      </c>
      <c r="AK46" s="21">
        <f>_xll.qlCalendarAdvance(calendar,AK45,"1D")</f>
        <v>42607</v>
      </c>
      <c r="AL46" s="21">
        <f>_xll.qlInterestRateIndexValueDate(hiborindex,AK46)</f>
        <v>42611</v>
      </c>
      <c r="AM46" s="23">
        <f>_xll.qlIndexFixing(hiborindex,AK46)</f>
        <v>-1.8963333527385567E-3</v>
      </c>
    </row>
    <row r="47" spans="1:39" x14ac:dyDescent="0.25">
      <c r="A47" s="20" t="str">
        <f t="shared" si="8"/>
        <v>11M</v>
      </c>
      <c r="B47" s="20">
        <v>11</v>
      </c>
      <c r="C47" s="20" t="str">
        <f t="shared" si="9"/>
        <v>X17</v>
      </c>
      <c r="D47" s="20" t="s">
        <v>87</v>
      </c>
      <c r="E47" s="35" t="str">
        <f t="shared" si="5"/>
        <v>11X17FRA</v>
      </c>
      <c r="F47" s="20" t="str">
        <f>_xll.qlSimpleQuote(E47,trigger)</f>
        <v>11X17FRA#0012</v>
      </c>
      <c r="G47" s="21">
        <f>_xll.qlInterestRateIndexFixingDate($V$3,H47)</f>
        <v>42881</v>
      </c>
      <c r="H47" s="21">
        <f>_xll.qlCalendarAdvance(calendar,_xll.qlCalendarAdvance(calendar,evaluationdate,"2D"),A47)</f>
        <v>42885</v>
      </c>
      <c r="I47" s="21">
        <f>_xll.qlCalendarAdvance(calendar,H47,"6M")</f>
        <v>43069</v>
      </c>
      <c r="J47" s="22">
        <f>_xll.qlIndexFixing($V$6,G47,TRUE,trigger)</f>
        <v>-2.2996261805405625E-3</v>
      </c>
      <c r="K47" s="23" t="e">
        <f>_xll.qlSimpleQuoteSetValue(F47,J47)</f>
        <v>#N/A</v>
      </c>
      <c r="L47" s="22">
        <v>0</v>
      </c>
      <c r="M47" s="20" t="str">
        <f t="shared" si="6"/>
        <v>C_11X17FRA</v>
      </c>
      <c r="N47" s="20" t="str">
        <f>_xll.qlCompositeQuote(M47,F47,L47,"+",,trigger)</f>
        <v>C_11X17FRA#0012</v>
      </c>
      <c r="O47" s="20" t="str">
        <f>_xll.qlFraRateHelper(,N47,A47,$V$6,,,,trigger)</f>
        <v>obj_00528#0014</v>
      </c>
      <c r="P47" s="20" t="b">
        <f>IF($Z$2="SwapDesk",NOT(ISNA(VLOOKUP(E47,'Curve Configuration'!$T$6:$T$60,1,0))),NOT(ISNA(VLOOKUP(E47,'Curve Configuration'!$V$6:$V$35,1,0))))</f>
        <v>0</v>
      </c>
      <c r="Q47" s="18" t="str">
        <v>obj_005b2#0009</v>
      </c>
      <c r="R47" s="94" t="str">
        <v>--</v>
      </c>
      <c r="AB47" s="99" t="str">
        <v>19YOIS</v>
      </c>
      <c r="AC47" s="103" t="str">
        <v>--</v>
      </c>
      <c r="AK47" s="21">
        <f>_xll.qlCalendarAdvance(calendar,AK46,"1D")</f>
        <v>42608</v>
      </c>
      <c r="AL47" s="21">
        <f>_xll.qlInterestRateIndexValueDate(hiborindex,AK47)</f>
        <v>42612</v>
      </c>
      <c r="AM47" s="23">
        <f>_xll.qlIndexFixing(hiborindex,AK47)</f>
        <v>-1.8981675961853126E-3</v>
      </c>
    </row>
    <row r="48" spans="1:39" x14ac:dyDescent="0.25">
      <c r="A48" s="20" t="str">
        <f t="shared" si="8"/>
        <v>12M</v>
      </c>
      <c r="B48" s="20">
        <v>12</v>
      </c>
      <c r="C48" s="20" t="str">
        <f t="shared" si="9"/>
        <v>X18</v>
      </c>
      <c r="D48" s="20" t="s">
        <v>87</v>
      </c>
      <c r="E48" s="35" t="str">
        <f t="shared" si="5"/>
        <v>12X18FRA</v>
      </c>
      <c r="F48" s="20" t="str">
        <f>_xll.qlSimpleQuote(E48,trigger)</f>
        <v>12X18FRA#0012</v>
      </c>
      <c r="G48" s="21">
        <f>_xll.qlInterestRateIndexFixingDate($V$3,H48)</f>
        <v>42914</v>
      </c>
      <c r="H48" s="21">
        <f>_xll.qlCalendarAdvance(calendar,_xll.qlCalendarAdvance(calendar,evaluationdate,"2D"),A48)</f>
        <v>42916</v>
      </c>
      <c r="I48" s="21">
        <f>_xll.qlCalendarAdvance(calendar,H48,"6M")</f>
        <v>43102</v>
      </c>
      <c r="J48" s="22">
        <f>_xll.qlIndexFixing($V$6,G48,TRUE,trigger)</f>
        <v>-2.3300000000798719E-3</v>
      </c>
      <c r="K48" s="23" t="e">
        <f>_xll.qlSimpleQuoteSetValue(F48,J48)</f>
        <v>#N/A</v>
      </c>
      <c r="L48" s="22">
        <v>0</v>
      </c>
      <c r="M48" s="20" t="str">
        <f t="shared" si="6"/>
        <v>C_12X18FRA</v>
      </c>
      <c r="N48" s="20" t="str">
        <f>_xll.qlCompositeQuote(M48,F48,L48,"+",,trigger)</f>
        <v>C_12X18FRA#0012</v>
      </c>
      <c r="O48" s="20" t="str">
        <f>_xll.qlFraRateHelper(,N48,A48,$V$6,,,,trigger)</f>
        <v>obj_0052a#0014</v>
      </c>
      <c r="P48" s="20" t="b">
        <f>IF($Z$2="SwapDesk",NOT(ISNA(VLOOKUP(E48,'Curve Configuration'!$T$6:$T$60,1,0))),NOT(ISNA(VLOOKUP(E48,'Curve Configuration'!$V$6:$V$35,1,0))))</f>
        <v>0</v>
      </c>
      <c r="Q48" s="18" t="str">
        <v>obj_005c0#0009</v>
      </c>
      <c r="R48" s="94" t="str">
        <v>--</v>
      </c>
      <c r="AB48" s="99" t="str">
        <v>20YOIS</v>
      </c>
      <c r="AC48" s="103" t="str">
        <v>--</v>
      </c>
      <c r="AK48" s="21">
        <f>_xll.qlCalendarAdvance(calendar,AK47,"1D")</f>
        <v>42611</v>
      </c>
      <c r="AL48" s="21">
        <f>_xll.qlInterestRateIndexValueDate(hiborindex,AK48)</f>
        <v>42613</v>
      </c>
      <c r="AM48" s="23">
        <f>_xll.qlIndexFixing(hiborindex,AK48)</f>
        <v>-1.9000000000089143E-3</v>
      </c>
    </row>
    <row r="49" spans="1:39" x14ac:dyDescent="0.25">
      <c r="A49" s="20" t="str">
        <f t="shared" si="8"/>
        <v>13M</v>
      </c>
      <c r="B49" s="20">
        <v>13</v>
      </c>
      <c r="C49" s="20" t="str">
        <f t="shared" si="9"/>
        <v>X19</v>
      </c>
      <c r="D49" s="20" t="s">
        <v>87</v>
      </c>
      <c r="E49" s="35" t="str">
        <f t="shared" si="5"/>
        <v>13X19FRA</v>
      </c>
      <c r="F49" s="20" t="str">
        <f>_xll.qlSimpleQuote(E49,trigger)</f>
        <v>13X19FRA#0012</v>
      </c>
      <c r="G49" s="21">
        <f>_xll.qlInterestRateIndexFixingDate($V$3,H49)</f>
        <v>42943</v>
      </c>
      <c r="H49" s="21">
        <f>_xll.qlCalendarAdvance(calendar,_xll.qlCalendarAdvance(calendar,evaluationdate,"2D"),A49)</f>
        <v>42947</v>
      </c>
      <c r="I49" s="21">
        <f>_xll.qlCalendarAdvance(calendar,H49,"6M")</f>
        <v>43131</v>
      </c>
      <c r="J49" s="22">
        <f>_xll.qlIndexFixing($V$6,G49,TRUE,trigger)</f>
        <v>-2.3500000000453714E-3</v>
      </c>
      <c r="K49" s="23" t="e">
        <f>_xll.qlSimpleQuoteSetValue(F49,J49)</f>
        <v>#N/A</v>
      </c>
      <c r="L49" s="22">
        <v>0</v>
      </c>
      <c r="M49" s="20" t="str">
        <f t="shared" si="6"/>
        <v>C_13X19FRA</v>
      </c>
      <c r="N49" s="20" t="str">
        <f>_xll.qlCompositeQuote(M49,F49,L49,"+",,trigger)</f>
        <v>C_13X19FRA#0012</v>
      </c>
      <c r="O49" s="20" t="str">
        <f>_xll.qlFraRateHelper(,N49,A49,$V$6,,,,trigger)</f>
        <v>obj_00545#0014</v>
      </c>
      <c r="P49" s="20" t="b">
        <f>IF($Z$2="SwapDesk",NOT(ISNA(VLOOKUP(E49,'Curve Configuration'!$T$6:$T$60,1,0))),NOT(ISNA(VLOOKUP(E49,'Curve Configuration'!$V$6:$V$35,1,0))))</f>
        <v>0</v>
      </c>
      <c r="Q49" s="18" t="str">
        <v>obj_005a3#0009</v>
      </c>
      <c r="R49" s="94" t="str">
        <v>--</v>
      </c>
      <c r="AB49" s="99" t="str">
        <v>21YOIS</v>
      </c>
      <c r="AC49" s="103" t="str">
        <v>--</v>
      </c>
      <c r="AK49" s="21">
        <f>_xll.qlCalendarAdvance(calendar,AK48,"1D")</f>
        <v>42612</v>
      </c>
      <c r="AL49" s="21">
        <f>_xll.qlInterestRateIndexValueDate(hiborindex,AK49)</f>
        <v>42614</v>
      </c>
      <c r="AM49" s="23">
        <f>_xll.qlIndexFixing(hiborindex,AK49)</f>
        <v>-1.9023979813945291E-3</v>
      </c>
    </row>
    <row r="50" spans="1:39" x14ac:dyDescent="0.25">
      <c r="A50" s="20" t="str">
        <f t="shared" si="8"/>
        <v>14M</v>
      </c>
      <c r="B50" s="20">
        <v>14</v>
      </c>
      <c r="C50" s="20" t="str">
        <f t="shared" si="9"/>
        <v>X20</v>
      </c>
      <c r="D50" s="20" t="s">
        <v>87</v>
      </c>
      <c r="E50" s="35" t="str">
        <f t="shared" si="5"/>
        <v>14X20FRA</v>
      </c>
      <c r="F50" s="20" t="str">
        <f>_xll.qlSimpleQuote(E50,trigger)</f>
        <v>14X20FRA#0012</v>
      </c>
      <c r="G50" s="21">
        <f>_xll.qlInterestRateIndexFixingDate($V$3,H50)</f>
        <v>42975</v>
      </c>
      <c r="H50" s="21">
        <f>_xll.qlCalendarAdvance(calendar,_xll.qlCalendarAdvance(calendar,evaluationdate,"2D"),A50)</f>
        <v>42977</v>
      </c>
      <c r="I50" s="21">
        <f>_xll.qlCalendarAdvance(calendar,H50,"6M")</f>
        <v>43159</v>
      </c>
      <c r="J50" s="22">
        <f>_xll.qlIndexFixing($V$6,G50,TRUE,trigger)</f>
        <v>-2.3690114191374447E-3</v>
      </c>
      <c r="K50" s="23" t="e">
        <f>_xll.qlSimpleQuoteSetValue(F50,J50)</f>
        <v>#N/A</v>
      </c>
      <c r="L50" s="22">
        <v>0</v>
      </c>
      <c r="M50" s="20" t="str">
        <f t="shared" si="6"/>
        <v>C_14X20FRA</v>
      </c>
      <c r="N50" s="20" t="str">
        <f>_xll.qlCompositeQuote(M50,F50,L50,"+",,trigger)</f>
        <v>C_14X20FRA#0012</v>
      </c>
      <c r="O50" s="20" t="str">
        <f>_xll.qlFraRateHelper(,N50,A50,$V$6,,,,trigger)</f>
        <v>obj_00538#0014</v>
      </c>
      <c r="P50" s="20" t="b">
        <f>IF($Z$2="SwapDesk",NOT(ISNA(VLOOKUP(E50,'Curve Configuration'!$T$6:$T$60,1,0))),NOT(ISNA(VLOOKUP(E50,'Curve Configuration'!$V$6:$V$35,1,0))))</f>
        <v>0</v>
      </c>
      <c r="Q50" s="18" t="str">
        <v>obj_00581#0009</v>
      </c>
      <c r="R50" s="94" t="str">
        <v>--</v>
      </c>
      <c r="AB50" s="99" t="str">
        <v>22YOIS</v>
      </c>
      <c r="AC50" s="103" t="str">
        <v>--</v>
      </c>
      <c r="AK50" s="21">
        <f>_xll.qlCalendarAdvance(calendar,AK49,"1D")</f>
        <v>42613</v>
      </c>
      <c r="AL50" s="21">
        <f>_xll.qlInterestRateIndexValueDate(hiborindex,AK50)</f>
        <v>42615</v>
      </c>
      <c r="AM50" s="23">
        <f>_xll.qlIndexFixing(hiborindex,AK50)</f>
        <v>-1.9047912888923476E-3</v>
      </c>
    </row>
    <row r="51" spans="1:39" x14ac:dyDescent="0.25">
      <c r="A51" s="20" t="str">
        <f t="shared" si="8"/>
        <v>15M</v>
      </c>
      <c r="B51" s="20">
        <v>15</v>
      </c>
      <c r="C51" s="20" t="str">
        <f t="shared" si="9"/>
        <v>X21</v>
      </c>
      <c r="D51" s="20" t="s">
        <v>87</v>
      </c>
      <c r="E51" s="35" t="str">
        <f t="shared" si="5"/>
        <v>15X21FRA</v>
      </c>
      <c r="F51" s="20" t="str">
        <f>_xll.qlSimpleQuote(E51,trigger)</f>
        <v>15X21FRA#0012</v>
      </c>
      <c r="G51" s="21">
        <f>_xll.qlInterestRateIndexFixingDate($V$3,H51)</f>
        <v>43006</v>
      </c>
      <c r="H51" s="21">
        <f>_xll.qlCalendarAdvance(calendar,_xll.qlCalendarAdvance(calendar,evaluationdate,"2D"),A51)</f>
        <v>43010</v>
      </c>
      <c r="I51" s="21">
        <f>_xll.qlCalendarAdvance(calendar,H51,"6M")</f>
        <v>43193</v>
      </c>
      <c r="J51" s="22">
        <f>_xll.qlIndexFixing($V$6,G51,TRUE,trigger)</f>
        <v>-2.3910285461923894E-3</v>
      </c>
      <c r="K51" s="23" t="e">
        <f>_xll.qlSimpleQuoteSetValue(F51,J51)</f>
        <v>#N/A</v>
      </c>
      <c r="L51" s="22">
        <v>0</v>
      </c>
      <c r="M51" s="20" t="str">
        <f t="shared" si="6"/>
        <v>C_15X21FRA</v>
      </c>
      <c r="N51" s="20" t="str">
        <f>_xll.qlCompositeQuote(M51,F51,L51,"+",,trigger)</f>
        <v>C_15X21FRA#0012</v>
      </c>
      <c r="O51" s="20" t="str">
        <f>_xll.qlFraRateHelper(,N51,A51,$V$6,,,,trigger)</f>
        <v>obj_0053b#0014</v>
      </c>
      <c r="P51" s="20" t="b">
        <f>IF($Z$2="SwapDesk",NOT(ISNA(VLOOKUP(E51,'Curve Configuration'!$T$6:$T$60,1,0))),NOT(ISNA(VLOOKUP(E51,'Curve Configuration'!$V$6:$V$35,1,0))))</f>
        <v>0</v>
      </c>
      <c r="Q51" s="18" t="str">
        <v>obj_005ca#0009</v>
      </c>
      <c r="R51" s="94" t="str">
        <v>--</v>
      </c>
      <c r="AB51" s="99" t="str">
        <v>23YOIS</v>
      </c>
      <c r="AC51" s="103" t="str">
        <v>--</v>
      </c>
      <c r="AK51" s="21">
        <f>_xll.qlCalendarAdvance(calendar,AK50,"1D")</f>
        <v>42614</v>
      </c>
      <c r="AL51" s="21">
        <f>_xll.qlInterestRateIndexValueDate(hiborindex,AK51)</f>
        <v>42618</v>
      </c>
      <c r="AM51" s="23">
        <f>_xll.qlIndexFixing(hiborindex,AK51)</f>
        <v>-1.9121691450610166E-3</v>
      </c>
    </row>
    <row r="52" spans="1:39" x14ac:dyDescent="0.25">
      <c r="A52" s="20" t="str">
        <f t="shared" si="8"/>
        <v>16M</v>
      </c>
      <c r="B52" s="20">
        <v>16</v>
      </c>
      <c r="C52" s="20" t="str">
        <f t="shared" si="9"/>
        <v>X22</v>
      </c>
      <c r="D52" s="20" t="s">
        <v>87</v>
      </c>
      <c r="E52" s="35" t="str">
        <f t="shared" si="5"/>
        <v>16X22FRA</v>
      </c>
      <c r="F52" s="20" t="str">
        <f>_xll.qlSimpleQuote(E52,trigger)</f>
        <v>16X22FRA#0012</v>
      </c>
      <c r="G52" s="21">
        <f>_xll.qlInterestRateIndexFixingDate($V$3,H52)</f>
        <v>43034</v>
      </c>
      <c r="H52" s="21">
        <f>_xll.qlCalendarAdvance(calendar,_xll.qlCalendarAdvance(calendar,evaluationdate,"2D"),A52)</f>
        <v>43038</v>
      </c>
      <c r="I52" s="21">
        <f>_xll.qlCalendarAdvance(calendar,H52,"6M")</f>
        <v>43220</v>
      </c>
      <c r="J52" s="22">
        <f>_xll.qlIndexFixing($V$6,G52,TRUE,trigger)</f>
        <v>-2.3901191115680591E-3</v>
      </c>
      <c r="K52" s="23" t="e">
        <f>_xll.qlSimpleQuoteSetValue(F52,J52)</f>
        <v>#N/A</v>
      </c>
      <c r="L52" s="22">
        <v>0</v>
      </c>
      <c r="M52" s="20" t="str">
        <f t="shared" si="6"/>
        <v>C_16X22FRA</v>
      </c>
      <c r="N52" s="20" t="str">
        <f>_xll.qlCompositeQuote(M52,F52,L52,"+",,trigger)</f>
        <v>C_16X22FRA#0012</v>
      </c>
      <c r="O52" s="20" t="str">
        <f>_xll.qlFraRateHelper(,N52,A52,$V$6,,,,trigger)</f>
        <v>obj_0053f#0014</v>
      </c>
      <c r="P52" s="20" t="b">
        <f>IF($Z$2="SwapDesk",NOT(ISNA(VLOOKUP(E52,'Curve Configuration'!$T$6:$T$60,1,0))),NOT(ISNA(VLOOKUP(E52,'Curve Configuration'!$V$6:$V$35,1,0))))</f>
        <v>0</v>
      </c>
      <c r="Q52" s="18" t="str">
        <v>obj_005bd#0009</v>
      </c>
      <c r="R52" s="94" t="str">
        <v>--</v>
      </c>
      <c r="AB52" s="99" t="str">
        <v>24YOIS</v>
      </c>
      <c r="AC52" s="103" t="str">
        <v>--</v>
      </c>
      <c r="AK52" s="21">
        <f>_xll.qlCalendarAdvance(calendar,AK51,"1D")</f>
        <v>42615</v>
      </c>
      <c r="AL52" s="21">
        <f>_xll.qlInterestRateIndexValueDate(hiborindex,AK52)</f>
        <v>42619</v>
      </c>
      <c r="AM52" s="23">
        <f>_xll.qlIndexFixing(hiborindex,AK52)</f>
        <v>-1.914317780352345E-3</v>
      </c>
    </row>
    <row r="53" spans="1:39" x14ac:dyDescent="0.25">
      <c r="A53" s="20" t="str">
        <f t="shared" si="8"/>
        <v>17M</v>
      </c>
      <c r="B53" s="20">
        <v>17</v>
      </c>
      <c r="C53" s="20" t="str">
        <f t="shared" si="9"/>
        <v>X23</v>
      </c>
      <c r="D53" s="20" t="s">
        <v>87</v>
      </c>
      <c r="E53" s="35" t="str">
        <f t="shared" si="5"/>
        <v>17X23FRA</v>
      </c>
      <c r="F53" s="20" t="str">
        <f>_xll.qlSimpleQuote(E53,trigger)</f>
        <v>17X23FRA#0012</v>
      </c>
      <c r="G53" s="21">
        <f>_xll.qlInterestRateIndexFixingDate($V$3,H53)</f>
        <v>43067</v>
      </c>
      <c r="H53" s="21">
        <f>_xll.qlCalendarAdvance(calendar,_xll.qlCalendarAdvance(calendar,evaluationdate,"2D"),A53)</f>
        <v>43069</v>
      </c>
      <c r="I53" s="21">
        <f>_xll.qlCalendarAdvance(calendar,H53,"6M")</f>
        <v>43250</v>
      </c>
      <c r="J53" s="22">
        <f>_xll.qlIndexFixing($V$6,G53,TRUE,trigger)</f>
        <v>-2.3900000000291852E-3</v>
      </c>
      <c r="K53" s="23" t="e">
        <f>_xll.qlSimpleQuoteSetValue(F53,J53)</f>
        <v>#N/A</v>
      </c>
      <c r="L53" s="22">
        <v>0</v>
      </c>
      <c r="M53" s="20" t="str">
        <f t="shared" si="6"/>
        <v>C_17X23FRA</v>
      </c>
      <c r="N53" s="20" t="str">
        <f>_xll.qlCompositeQuote(M53,F53,L53,"+",,trigger)</f>
        <v>C_17X23FRA#0012</v>
      </c>
      <c r="O53" s="20" t="str">
        <f>_xll.qlFraRateHelper(,N53,A53,$V$6,,,,trigger)</f>
        <v>obj_00558#0013</v>
      </c>
      <c r="P53" s="20" t="b">
        <f>IF($Z$2="SwapDesk",NOT(ISNA(VLOOKUP(E53,'Curve Configuration'!$T$6:$T$60,1,0))),NOT(ISNA(VLOOKUP(E53,'Curve Configuration'!$V$6:$V$35,1,0))))</f>
        <v>0</v>
      </c>
      <c r="Q53" s="18" t="str">
        <v>obj_005a0#0009</v>
      </c>
      <c r="R53" s="94" t="str">
        <v>--</v>
      </c>
      <c r="AB53" s="99" t="str">
        <v>25YOIS</v>
      </c>
      <c r="AC53" s="103" t="str">
        <v>--</v>
      </c>
      <c r="AK53" s="21">
        <f>_xll.qlCalendarAdvance(calendar,AK52,"1D")</f>
        <v>42618</v>
      </c>
      <c r="AL53" s="21">
        <f>_xll.qlInterestRateIndexValueDate(hiborindex,AK53)</f>
        <v>42620</v>
      </c>
      <c r="AM53" s="23">
        <f>_xll.qlIndexFixing(hiborindex,AK53)</f>
        <v>-1.9166877186679943E-3</v>
      </c>
    </row>
    <row r="54" spans="1:39" x14ac:dyDescent="0.25">
      <c r="A54" s="20" t="str">
        <f t="shared" si="8"/>
        <v>18M</v>
      </c>
      <c r="B54" s="20">
        <v>18</v>
      </c>
      <c r="C54" s="20" t="str">
        <f t="shared" si="9"/>
        <v>X24</v>
      </c>
      <c r="D54" s="20" t="s">
        <v>87</v>
      </c>
      <c r="E54" s="35" t="str">
        <f t="shared" si="5"/>
        <v>18X24FRA</v>
      </c>
      <c r="F54" s="20" t="str">
        <f>_xll.qlSimpleQuote(E54,trigger)</f>
        <v>18X24FRA#0012</v>
      </c>
      <c r="G54" s="21">
        <f>_xll.qlInterestRateIndexFixingDate($V$3,H54)</f>
        <v>43097</v>
      </c>
      <c r="H54" s="21">
        <f>_xll.qlCalendarAdvance(calendar,_xll.qlCalendarAdvance(calendar,evaluationdate,"2D"),A54)</f>
        <v>43102</v>
      </c>
      <c r="I54" s="21">
        <f>_xll.qlCalendarAdvance(calendar,H54,"6M")</f>
        <v>43283</v>
      </c>
      <c r="J54" s="22">
        <f>_xll.qlIndexFixing($V$6,G54,TRUE,trigger)</f>
        <v>-2.3748567029594045E-3</v>
      </c>
      <c r="K54" s="23" t="e">
        <f>_xll.qlSimpleQuoteSetValue(F54,J54)</f>
        <v>#N/A</v>
      </c>
      <c r="L54" s="22">
        <v>0</v>
      </c>
      <c r="M54" s="20" t="str">
        <f t="shared" si="6"/>
        <v>C_18X24FRA</v>
      </c>
      <c r="N54" s="20" t="str">
        <f>_xll.qlCompositeQuote(M54,F54,L54,"+",,trigger)</f>
        <v>C_18X24FRA#0012</v>
      </c>
      <c r="O54" s="20" t="str">
        <f>_xll.qlFraRateHelper(,N54,A54,$V$6,,,,trigger)</f>
        <v>obj_0052b#0014</v>
      </c>
      <c r="P54" s="20" t="b">
        <f>IF($Z$2="SwapDesk",NOT(ISNA(VLOOKUP(E54,'Curve Configuration'!$T$6:$T$60,1,0))),NOT(ISNA(VLOOKUP(E54,'Curve Configuration'!$V$6:$V$35,1,0))))</f>
        <v>0</v>
      </c>
      <c r="Q54" s="18" t="str">
        <v>obj_0057e#0009</v>
      </c>
      <c r="R54" s="94" t="str">
        <v>--</v>
      </c>
      <c r="AB54" s="99" t="str">
        <v>26YOIS</v>
      </c>
      <c r="AC54" s="103" t="str">
        <v>--</v>
      </c>
      <c r="AK54" s="21">
        <f>_xll.qlCalendarAdvance(calendar,AK53,"1D")</f>
        <v>42619</v>
      </c>
      <c r="AL54" s="21">
        <f>_xll.qlInterestRateIndexValueDate(hiborindex,AK54)</f>
        <v>42621</v>
      </c>
      <c r="AM54" s="23">
        <f>_xll.qlIndexFixing(hiborindex,AK54)</f>
        <v>-1.9190529831972026E-3</v>
      </c>
    </row>
    <row r="55" spans="1:39" x14ac:dyDescent="0.25">
      <c r="A55" s="20" t="str">
        <f t="shared" si="8"/>
        <v>19M</v>
      </c>
      <c r="B55" s="20">
        <v>19</v>
      </c>
      <c r="C55" s="20" t="str">
        <f t="shared" si="9"/>
        <v>X25</v>
      </c>
      <c r="D55" s="20" t="s">
        <v>87</v>
      </c>
      <c r="E55" s="35" t="str">
        <f t="shared" si="5"/>
        <v>19X25FRA</v>
      </c>
      <c r="F55" s="20" t="str">
        <f>_xll.qlSimpleQuote(E55,trigger)</f>
        <v>19X25FRA#0012</v>
      </c>
      <c r="G55" s="21">
        <f>_xll.qlInterestRateIndexFixingDate($V$3,H55)</f>
        <v>43126</v>
      </c>
      <c r="H55" s="21">
        <f>_xll.qlCalendarAdvance(calendar,_xll.qlCalendarAdvance(calendar,evaluationdate,"2D"),A55)</f>
        <v>43130</v>
      </c>
      <c r="I55" s="21">
        <f>_xll.qlCalendarAdvance(calendar,H55,"6M")</f>
        <v>43311</v>
      </c>
      <c r="J55" s="22">
        <f>_xll.qlIndexFixing($V$6,G55,TRUE,trigger)</f>
        <v>-2.3288646837117764E-3</v>
      </c>
      <c r="K55" s="23" t="e">
        <f>_xll.qlSimpleQuoteSetValue(F55,J55)</f>
        <v>#N/A</v>
      </c>
      <c r="L55" s="22">
        <v>0</v>
      </c>
      <c r="M55" s="20" t="str">
        <f t="shared" si="6"/>
        <v>C_19X25FRA</v>
      </c>
      <c r="N55" s="20" t="str">
        <f>_xll.qlCompositeQuote(M55,F55,L55,"+",,trigger)</f>
        <v>C_19X25FRA#0012</v>
      </c>
      <c r="O55" s="20" t="str">
        <f>_xll.qlFraRateHelper(,N55,A55,$V$6,,,,trigger)</f>
        <v>obj_00534#0014</v>
      </c>
      <c r="P55" s="20" t="b">
        <f>IF($Z$2="SwapDesk",NOT(ISNA(VLOOKUP(E55,'Curve Configuration'!$T$6:$T$60,1,0))),NOT(ISNA(VLOOKUP(E55,'Curve Configuration'!$V$6:$V$35,1,0))))</f>
        <v>0</v>
      </c>
      <c r="Q55" s="18" t="str">
        <v>obj_005ce#0009</v>
      </c>
      <c r="R55" s="94" t="str">
        <v>--</v>
      </c>
      <c r="AB55" s="99" t="str">
        <v>27YOIS</v>
      </c>
      <c r="AC55" s="103" t="str">
        <v>--</v>
      </c>
      <c r="AK55" s="21">
        <f>_xll.qlCalendarAdvance(calendar,AK54,"1D")</f>
        <v>42620</v>
      </c>
      <c r="AL55" s="21">
        <f>_xll.qlInterestRateIndexValueDate(hiborindex,AK55)</f>
        <v>42622</v>
      </c>
      <c r="AM55" s="23">
        <f>_xll.qlIndexFixing(hiborindex,AK55)</f>
        <v>-1.9214135739574149E-3</v>
      </c>
    </row>
    <row r="56" spans="1:39" x14ac:dyDescent="0.25">
      <c r="A56" s="20" t="str">
        <f t="shared" si="8"/>
        <v>20M</v>
      </c>
      <c r="B56" s="20">
        <v>20</v>
      </c>
      <c r="C56" s="20" t="str">
        <f t="shared" si="9"/>
        <v>X26</v>
      </c>
      <c r="D56" s="20" t="s">
        <v>87</v>
      </c>
      <c r="E56" s="35" t="str">
        <f t="shared" si="5"/>
        <v>20X26FRA</v>
      </c>
      <c r="F56" s="20" t="str">
        <f>_xll.qlSimpleQuote(E56,trigger)</f>
        <v>20X26FRA#0012</v>
      </c>
      <c r="G56" s="21">
        <f>_xll.qlInterestRateIndexFixingDate($V$3,H56)</f>
        <v>43157</v>
      </c>
      <c r="H56" s="21">
        <f>_xll.qlCalendarAdvance(calendar,_xll.qlCalendarAdvance(calendar,evaluationdate,"2D"),A56)</f>
        <v>43159</v>
      </c>
      <c r="I56" s="21">
        <f>_xll.qlCalendarAdvance(calendar,H56,"6M")</f>
        <v>43340</v>
      </c>
      <c r="J56" s="22">
        <f>_xll.qlIndexFixing($V$6,G56,TRUE,trigger)</f>
        <v>-2.2807934271170866E-3</v>
      </c>
      <c r="K56" s="23" t="e">
        <f>_xll.qlSimpleQuoteSetValue(F56,J56)</f>
        <v>#N/A</v>
      </c>
      <c r="L56" s="22">
        <v>0</v>
      </c>
      <c r="M56" s="20" t="str">
        <f t="shared" si="6"/>
        <v>C_20X26FRA</v>
      </c>
      <c r="N56" s="20" t="str">
        <f>_xll.qlCompositeQuote(M56,F56,L56,"+",,trigger)</f>
        <v>C_20X26FRA#0012</v>
      </c>
      <c r="O56" s="20" t="str">
        <f>_xll.qlFraRateHelper(,N56,A56,$V$6,,,,trigger)</f>
        <v>obj_0054c#0014</v>
      </c>
      <c r="P56" s="20" t="b">
        <f>IF($Z$2="SwapDesk",NOT(ISNA(VLOOKUP(E56,'Curve Configuration'!$T$6:$T$60,1,0))),NOT(ISNA(VLOOKUP(E56,'Curve Configuration'!$V$6:$V$35,1,0))))</f>
        <v>0</v>
      </c>
      <c r="Q56" s="18" t="str">
        <v>obj_005ba#0009</v>
      </c>
      <c r="R56" s="94" t="str">
        <v>--</v>
      </c>
      <c r="AB56" s="99" t="str">
        <v>28YOIS</v>
      </c>
      <c r="AC56" s="103" t="str">
        <v>--</v>
      </c>
      <c r="AK56" s="21">
        <f>_xll.qlCalendarAdvance(calendar,AK55,"1D")</f>
        <v>42621</v>
      </c>
      <c r="AL56" s="21">
        <f>_xll.qlInterestRateIndexValueDate(hiborindex,AK56)</f>
        <v>42625</v>
      </c>
      <c r="AM56" s="23">
        <f>_xll.qlIndexFixing(hiborindex,AK56)</f>
        <v>-1.9286546056921214E-3</v>
      </c>
    </row>
    <row r="57" spans="1:39" x14ac:dyDescent="0.25">
      <c r="A57" s="20" t="str">
        <f t="shared" si="8"/>
        <v>21M</v>
      </c>
      <c r="B57" s="20">
        <v>21</v>
      </c>
      <c r="C57" s="20" t="str">
        <f t="shared" si="9"/>
        <v>X27</v>
      </c>
      <c r="D57" s="20" t="s">
        <v>87</v>
      </c>
      <c r="E57" s="35" t="str">
        <f t="shared" si="5"/>
        <v>21X27FRA</v>
      </c>
      <c r="F57" s="20" t="str">
        <f>_xll.qlSimpleQuote(E57,trigger)</f>
        <v>21X27FRA#0012</v>
      </c>
      <c r="G57" s="21">
        <f>_xll.qlInterestRateIndexFixingDate($V$3,H57)</f>
        <v>43187</v>
      </c>
      <c r="H57" s="21">
        <f>_xll.qlCalendarAdvance(calendar,_xll.qlCalendarAdvance(calendar,evaluationdate,"2D"),A57)</f>
        <v>43193</v>
      </c>
      <c r="I57" s="21">
        <f>_xll.qlCalendarAdvance(calendar,H57,"6M")</f>
        <v>43376</v>
      </c>
      <c r="J57" s="22">
        <f>_xll.qlIndexFixing($V$6,G57,TRUE,trigger)</f>
        <v>-2.2513032997470294E-3</v>
      </c>
      <c r="K57" s="23" t="e">
        <f>_xll.qlSimpleQuoteSetValue(F57,J57)</f>
        <v>#N/A</v>
      </c>
      <c r="L57" s="22">
        <v>0</v>
      </c>
      <c r="M57" s="20" t="str">
        <f t="shared" si="6"/>
        <v>C_21X27FRA</v>
      </c>
      <c r="N57" s="20" t="str">
        <f>_xll.qlCompositeQuote(M57,F57,L57,"+",,trigger)</f>
        <v>C_21X27FRA#0012</v>
      </c>
      <c r="O57" s="20" t="str">
        <f>_xll.qlFraRateHelper(,N57,A57,$V$6,,,,trigger)</f>
        <v>obj_00531#0014</v>
      </c>
      <c r="P57" s="20" t="b">
        <f>IF($Z$2="SwapDesk",NOT(ISNA(VLOOKUP(E57,'Curve Configuration'!$T$6:$T$60,1,0))),NOT(ISNA(VLOOKUP(E57,'Curve Configuration'!$V$6:$V$35,1,0))))</f>
        <v>0</v>
      </c>
      <c r="Q57" s="18" t="str">
        <v>obj_0059d#0009</v>
      </c>
      <c r="R57" s="94" t="str">
        <v>--</v>
      </c>
      <c r="AB57" s="99" t="str">
        <v>29YOIS</v>
      </c>
      <c r="AC57" s="103" t="str">
        <v>--</v>
      </c>
      <c r="AK57" s="21">
        <f>_xll.qlCalendarAdvance(calendar,AK56,"1D")</f>
        <v>42622</v>
      </c>
      <c r="AL57" s="21">
        <f>_xll.qlInterestRateIndexValueDate(hiborindex,AK57)</f>
        <v>42626</v>
      </c>
      <c r="AM57" s="23">
        <f>_xll.qlIndexFixing(hiborindex,AK57)</f>
        <v>-1.9308091996337881E-3</v>
      </c>
    </row>
    <row r="58" spans="1:39" x14ac:dyDescent="0.25">
      <c r="A58" s="20" t="str">
        <f t="shared" si="8"/>
        <v>22M</v>
      </c>
      <c r="B58" s="20">
        <v>22</v>
      </c>
      <c r="C58" s="20" t="str">
        <f t="shared" si="9"/>
        <v>X28</v>
      </c>
      <c r="D58" s="20" t="s">
        <v>87</v>
      </c>
      <c r="E58" s="35" t="str">
        <f t="shared" si="5"/>
        <v>22X28FRA</v>
      </c>
      <c r="F58" s="20" t="str">
        <f>_xll.qlSimpleQuote(E58,trigger)</f>
        <v>22X28FRA#0012</v>
      </c>
      <c r="G58" s="21">
        <f>_xll.qlInterestRateIndexFixingDate($V$3,H58)</f>
        <v>43216</v>
      </c>
      <c r="H58" s="21">
        <f>_xll.qlCalendarAdvance(calendar,_xll.qlCalendarAdvance(calendar,evaluationdate,"2D"),A58)</f>
        <v>43220</v>
      </c>
      <c r="I58" s="21">
        <f>_xll.qlCalendarAdvance(calendar,H58,"6M")</f>
        <v>43403</v>
      </c>
      <c r="J58" s="22">
        <f>_xll.qlIndexFixing($V$6,G58,TRUE,trigger)</f>
        <v>-2.2031680490410049E-3</v>
      </c>
      <c r="K58" s="23" t="e">
        <f>_xll.qlSimpleQuoteSetValue(F58,J58)</f>
        <v>#N/A</v>
      </c>
      <c r="L58" s="22">
        <v>0</v>
      </c>
      <c r="M58" s="20" t="str">
        <f t="shared" si="6"/>
        <v>C_22X28FRA</v>
      </c>
      <c r="N58" s="20" t="str">
        <f>_xll.qlCompositeQuote(M58,F58,L58,"+",,trigger)</f>
        <v>C_22X28FRA#0012</v>
      </c>
      <c r="O58" s="20" t="str">
        <f>_xll.qlFraRateHelper(,N58,A58,$V$6,,,,trigger)</f>
        <v>obj_00527#0014</v>
      </c>
      <c r="P58" s="20" t="b">
        <f>IF($Z$2="SwapDesk",NOT(ISNA(VLOOKUP(E58,'Curve Configuration'!$T$6:$T$60,1,0))),NOT(ISNA(VLOOKUP(E58,'Curve Configuration'!$V$6:$V$35,1,0))))</f>
        <v>0</v>
      </c>
      <c r="Q58" s="18" t="str">
        <v>obj_0054b#0011</v>
      </c>
      <c r="R58" s="94" t="str">
        <v>--</v>
      </c>
      <c r="AB58" s="99" t="str">
        <v>30YOIS</v>
      </c>
      <c r="AC58" s="103" t="str">
        <v>--</v>
      </c>
      <c r="AK58" s="21">
        <f>_xll.qlCalendarAdvance(calendar,AK57,"1D")</f>
        <v>42625</v>
      </c>
      <c r="AL58" s="21">
        <f>_xll.qlInterestRateIndexValueDate(hiborindex,AK58)</f>
        <v>42627</v>
      </c>
      <c r="AM58" s="23">
        <f>_xll.qlIndexFixing(hiborindex,AK58)</f>
        <v>-1.933146421795011E-3</v>
      </c>
    </row>
    <row r="59" spans="1:39" x14ac:dyDescent="0.25">
      <c r="A59" s="20" t="str">
        <f t="shared" si="8"/>
        <v>23M</v>
      </c>
      <c r="B59" s="20">
        <v>23</v>
      </c>
      <c r="C59" s="20" t="str">
        <f t="shared" si="9"/>
        <v>X29</v>
      </c>
      <c r="D59" s="20" t="s">
        <v>87</v>
      </c>
      <c r="E59" s="35" t="str">
        <f t="shared" si="5"/>
        <v>23X29FRA</v>
      </c>
      <c r="F59" s="20" t="str">
        <f>_xll.qlSimpleQuote(E59,trigger)</f>
        <v>23X29FRA#0012</v>
      </c>
      <c r="G59" s="21">
        <f>_xll.qlInterestRateIndexFixingDate($V$3,H59)</f>
        <v>43248</v>
      </c>
      <c r="H59" s="21">
        <f>_xll.qlCalendarAdvance(calendar,_xll.qlCalendarAdvance(calendar,evaluationdate,"2D"),A59)</f>
        <v>43250</v>
      </c>
      <c r="I59" s="21">
        <f>_xll.qlCalendarAdvance(calendar,H59,"6M")</f>
        <v>43434</v>
      </c>
      <c r="J59" s="22">
        <f>_xll.qlIndexFixing($V$6,G59,TRUE,trigger)</f>
        <v>-2.1540062005334531E-3</v>
      </c>
      <c r="K59" s="23" t="e">
        <f>_xll.qlSimpleQuoteSetValue(F59,J59)</f>
        <v>#N/A</v>
      </c>
      <c r="L59" s="22">
        <v>0</v>
      </c>
      <c r="M59" s="20" t="str">
        <f t="shared" si="6"/>
        <v>C_23X29FRA</v>
      </c>
      <c r="N59" s="20" t="str">
        <f>_xll.qlCompositeQuote(M59,F59,L59,"+",,trigger)</f>
        <v>C_23X29FRA#0012</v>
      </c>
      <c r="O59" s="20" t="str">
        <f>_xll.qlFraRateHelper(,N59,A59,$V$6,,,,trigger)</f>
        <v>obj_00544#0014</v>
      </c>
      <c r="P59" s="20" t="b">
        <f>IF($Z$2="SwapDesk",NOT(ISNA(VLOOKUP(E59,'Curve Configuration'!$T$6:$T$60,1,0))),NOT(ISNA(VLOOKUP(E59,'Curve Configuration'!$V$6:$V$35,1,0))))</f>
        <v>0</v>
      </c>
      <c r="Q59" s="18" t="e">
        <v>#N/A</v>
      </c>
      <c r="R59" s="94" t="str">
        <v>--</v>
      </c>
      <c r="AB59" s="99" t="e">
        <v>#N/A</v>
      </c>
      <c r="AC59" s="103" t="e">
        <v>#N/A</v>
      </c>
      <c r="AK59" s="21">
        <f>_xll.qlCalendarAdvance(calendar,AK58,"1D")</f>
        <v>42626</v>
      </c>
      <c r="AL59" s="21">
        <f>_xll.qlInterestRateIndexValueDate(hiborindex,AK59)</f>
        <v>42628</v>
      </c>
      <c r="AM59" s="23">
        <f>_xll.qlIndexFixing(hiborindex,AK59)</f>
        <v>-1.9354789702861639E-3</v>
      </c>
    </row>
    <row r="60" spans="1:39" x14ac:dyDescent="0.25">
      <c r="A60" s="25" t="str">
        <f t="shared" si="8"/>
        <v>24M</v>
      </c>
      <c r="B60" s="25">
        <v>24</v>
      </c>
      <c r="C60" s="25" t="str">
        <f t="shared" si="9"/>
        <v>X30</v>
      </c>
      <c r="D60" s="25" t="s">
        <v>87</v>
      </c>
      <c r="E60" s="36" t="str">
        <f t="shared" si="5"/>
        <v>24X30FRA</v>
      </c>
      <c r="F60" s="25" t="str">
        <f>_xll.qlSimpleQuote(E60,trigger)</f>
        <v>24X30FRA#0012</v>
      </c>
      <c r="G60" s="26">
        <f>_xll.qlInterestRateIndexFixingDate($V$3,H60)</f>
        <v>43279</v>
      </c>
      <c r="H60" s="26">
        <f>_xll.qlCalendarAdvance(calendar,_xll.qlCalendarAdvance(calendar,evaluationdate,"2D"),A60)</f>
        <v>43283</v>
      </c>
      <c r="I60" s="26">
        <f>_xll.qlCalendarAdvance(calendar,H60,"6M")</f>
        <v>43467</v>
      </c>
      <c r="J60" s="27">
        <f>_xll.qlIndexFixing($V$6,G60,TRUE,trigger)</f>
        <v>-2.1077437080863556E-3</v>
      </c>
      <c r="K60" s="31" t="e">
        <f>_xll.qlSimpleQuoteSetValue(F60,J60)</f>
        <v>#N/A</v>
      </c>
      <c r="L60" s="27">
        <v>0</v>
      </c>
      <c r="M60" s="25" t="str">
        <f t="shared" si="6"/>
        <v>C_24X30FRA</v>
      </c>
      <c r="N60" s="25" t="str">
        <f>_xll.qlCompositeQuote(M60,F60,L60,"+",,trigger)</f>
        <v>C_24X30FRA#0012</v>
      </c>
      <c r="O60" s="25" t="str">
        <f>_xll.qlFraRateHelper(,N60,A60,$V$6,,,,trigger)</f>
        <v>obj_00530#0014</v>
      </c>
      <c r="P60" s="25" t="b">
        <f>IF($Z$2="SwapDesk",NOT(ISNA(VLOOKUP(E60,'Curve Configuration'!$T$6:$T$60,1,0))),NOT(ISNA(VLOOKUP(E60,'Curve Configuration'!$V$6:$V$35,1,0))))</f>
        <v>0</v>
      </c>
      <c r="Q60" s="18" t="e">
        <v>#N/A</v>
      </c>
      <c r="R60" s="96" t="str">
        <v>--</v>
      </c>
      <c r="AB60" s="99" t="e">
        <v>#N/A</v>
      </c>
      <c r="AC60" s="103" t="e">
        <v>#N/A</v>
      </c>
      <c r="AK60" s="21">
        <f>_xll.qlCalendarAdvance(calendar,AK59,"1D")</f>
        <v>42627</v>
      </c>
      <c r="AL60" s="21">
        <f>_xll.qlInterestRateIndexValueDate(hiborindex,AK60)</f>
        <v>42629</v>
      </c>
      <c r="AM60" s="23">
        <f>_xll.qlIndexFixing(hiborindex,AK60)</f>
        <v>-1.9378068451240294E-3</v>
      </c>
    </row>
    <row r="61" spans="1:39" x14ac:dyDescent="0.25">
      <c r="A61" s="15" t="str">
        <f t="shared" ref="A61:A72" si="10">B61&amp;C61</f>
        <v>1Y</v>
      </c>
      <c r="B61" s="15">
        <v>1</v>
      </c>
      <c r="C61" s="15" t="s">
        <v>86</v>
      </c>
      <c r="D61" s="15" t="s">
        <v>88</v>
      </c>
      <c r="E61" s="34" t="str">
        <f t="shared" si="5"/>
        <v>1YSWP</v>
      </c>
      <c r="F61" s="15" t="str">
        <f>_xll.qlSimpleQuote(E61,trigger)</f>
        <v>1YSWP#0012</v>
      </c>
      <c r="G61" s="15" t="str">
        <f>_xll.qlMakeVanillaSwap(,2,A61,$V$6,,"0D",$N$1,,$O$1,,trigger)</f>
        <v>obj_00468#0014</v>
      </c>
      <c r="H61" s="16">
        <f>_xll.qlCalendarAdvance(calendar,evaluationdate,"2D")</f>
        <v>42551</v>
      </c>
      <c r="I61" s="16">
        <f>_xll.qlCalendarAdvance(calendar,H61,A61)</f>
        <v>42916</v>
      </c>
      <c r="J61" s="17">
        <f>_xll.qlVanillaSwapFairRate(G61)</f>
        <v>-1.9693346727356151E-3</v>
      </c>
      <c r="K61" s="19" t="e">
        <f>_xll.qlSimpleQuoteSetValue(F61,J61)</f>
        <v>#N/A</v>
      </c>
      <c r="L61" s="17">
        <v>0</v>
      </c>
      <c r="M61" s="15" t="str">
        <f t="shared" si="6"/>
        <v>C_1YSWP</v>
      </c>
      <c r="N61" s="15" t="str">
        <f>_xll.qlCompositeQuote(M61,F61,L61,"+",,trigger)</f>
        <v>C_1YSWP#0012</v>
      </c>
      <c r="O61" s="15" t="str">
        <f>_xll.qlSwapRateHelper2(,N61,2,A61,calendar,"Annual",$G$1,$N$1,$V$6,0,"0D","euronmx",,,,trigger)</f>
        <v>obj_00447#0014</v>
      </c>
      <c r="P61" s="20" t="b">
        <f>IF($Z$2="SwapDesk",NOT(ISNA(VLOOKUP(E61,'Curve Configuration'!$T$6:$T$60,1,0))),NOT(ISNA(VLOOKUP(E61,'Curve Configuration'!$V$6:$V$35,1,0))))</f>
        <v>0</v>
      </c>
      <c r="Q61" s="18" t="e">
        <v>#N/A</v>
      </c>
      <c r="R61" s="94" t="str">
        <v>--</v>
      </c>
      <c r="AB61" s="99" t="e">
        <v>#N/A</v>
      </c>
      <c r="AC61" s="103" t="e">
        <v>#N/A</v>
      </c>
      <c r="AK61" s="21">
        <f>_xll.qlCalendarAdvance(calendar,AK60,"1D")</f>
        <v>42628</v>
      </c>
      <c r="AL61" s="21">
        <f>_xll.qlInterestRateIndexValueDate(hiborindex,AK61)</f>
        <v>42632</v>
      </c>
      <c r="AM61" s="23">
        <f>_xll.qlIndexFixing(hiborindex,AK61)</f>
        <v>-1.9449123135461489E-3</v>
      </c>
    </row>
    <row r="62" spans="1:39" x14ac:dyDescent="0.25">
      <c r="A62" s="71" t="str">
        <f t="shared" si="10"/>
        <v>13M</v>
      </c>
      <c r="B62" s="71">
        <v>13</v>
      </c>
      <c r="C62" s="71" t="s">
        <v>203</v>
      </c>
      <c r="D62" s="71" t="s">
        <v>88</v>
      </c>
      <c r="E62" s="72" t="str">
        <f t="shared" si="5"/>
        <v>13MSWP</v>
      </c>
      <c r="F62" s="71" t="str">
        <f>_xll.qlSimpleQuote(E62,trigger)</f>
        <v>13MSWP#0012</v>
      </c>
      <c r="G62" s="71" t="str">
        <f>_xll.qlMakeVanillaSwap(,2,A62,$V$6,,"0D",$N$1,,$O$1,,trigger)</f>
        <v>obj_00465#0014</v>
      </c>
      <c r="H62" s="73">
        <f>_xll.qlCalendarAdvance(calendar,evaluationdate,"2D")</f>
        <v>42551</v>
      </c>
      <c r="I62" s="73">
        <f>_xll.qlCalendarAdvance(calendar,H62,A62)</f>
        <v>42947</v>
      </c>
      <c r="J62" s="76">
        <f>_xll.qlVanillaSwapFairRate(G62)</f>
        <v>-1.9940564704732421E-3</v>
      </c>
      <c r="K62" s="75" t="e">
        <f>_xll.qlSimpleQuoteSetValue(F62,J62)</f>
        <v>#N/A</v>
      </c>
      <c r="L62" s="76">
        <v>0</v>
      </c>
      <c r="M62" s="71" t="str">
        <f t="shared" si="6"/>
        <v>C_13MSWP</v>
      </c>
      <c r="N62" s="71" t="str">
        <f>_xll.qlCompositeQuote(M62,F62,L62,"+",,trigger)</f>
        <v>C_13MSWP#0012</v>
      </c>
      <c r="O62" s="71" t="str">
        <f>_xll.qlSwapRateHelper2(,N62,2,A62,calendar,"Annual",$G$1,$N$1,$V$6,0,"0D","euronmx",,,,trigger)</f>
        <v>obj_00454#0014</v>
      </c>
      <c r="P62" s="20" t="b">
        <f>IF($Z$2="SwapDesk",NOT(ISNA(VLOOKUP(E62,'Curve Configuration'!$T$6:$T$60,1,0))),NOT(ISNA(VLOOKUP(E62,'Curve Configuration'!$V$6:$V$35,1,0))))</f>
        <v>0</v>
      </c>
      <c r="Q62" s="18" t="e">
        <v>#N/A</v>
      </c>
      <c r="R62" s="97" t="str">
        <v>--</v>
      </c>
      <c r="AB62" s="99" t="e">
        <v>#N/A</v>
      </c>
      <c r="AC62" s="103" t="e">
        <v>#N/A</v>
      </c>
      <c r="AK62" s="21">
        <f>_xll.qlCalendarAdvance(calendar,AK61,"1D")</f>
        <v>42629</v>
      </c>
      <c r="AL62" s="21">
        <f>_xll.qlInterestRateIndexValueDate(hiborindex,AK62)</f>
        <v>42633</v>
      </c>
      <c r="AM62" s="23">
        <f>_xll.qlIndexFixing(hiborindex,AK62)</f>
        <v>-1.9470716082641258E-3</v>
      </c>
    </row>
    <row r="63" spans="1:39" x14ac:dyDescent="0.25">
      <c r="A63" s="20" t="str">
        <f t="shared" si="10"/>
        <v>14M</v>
      </c>
      <c r="B63" s="20">
        <v>14</v>
      </c>
      <c r="C63" s="20" t="s">
        <v>203</v>
      </c>
      <c r="D63" s="20" t="s">
        <v>88</v>
      </c>
      <c r="E63" s="35" t="str">
        <f t="shared" si="5"/>
        <v>14MSWP</v>
      </c>
      <c r="F63" s="20" t="str">
        <f>_xll.qlSimpleQuote(E63,trigger)</f>
        <v>14MSWP#0012</v>
      </c>
      <c r="G63" s="20" t="str">
        <f>_xll.qlMakeVanillaSwap(,2,A63,$V$6,,"0D",$N$1,,$O$1,,trigger)</f>
        <v>obj_00477#0014</v>
      </c>
      <c r="H63" s="21">
        <f>_xll.qlCalendarAdvance(calendar,evaluationdate,"2D")</f>
        <v>42551</v>
      </c>
      <c r="I63" s="21">
        <f>_xll.qlCalendarAdvance(calendar,H63,A63)</f>
        <v>42977</v>
      </c>
      <c r="J63" s="22">
        <f>_xll.qlVanillaSwapFairRate(G63)</f>
        <v>-2.0391571758765097E-3</v>
      </c>
      <c r="K63" s="23" t="e">
        <f>_xll.qlSimpleQuoteSetValue(F63,J63)</f>
        <v>#N/A</v>
      </c>
      <c r="L63" s="22">
        <v>0</v>
      </c>
      <c r="M63" s="20" t="str">
        <f t="shared" si="6"/>
        <v>C_14MSWP</v>
      </c>
      <c r="N63" s="20" t="str">
        <f>_xll.qlCompositeQuote(M63,F63,L63,"+",,trigger)</f>
        <v>C_14MSWP#0012</v>
      </c>
      <c r="O63" s="20" t="str">
        <f>_xll.qlSwapRateHelper2(,N63,2,A63,calendar,"Annual",$G$1,$N$1,$V$6,0,"0D","euronmx",,,,trigger)</f>
        <v>obj_0044c#0014</v>
      </c>
      <c r="P63" s="20" t="b">
        <f>IF($Z$2="SwapDesk",NOT(ISNA(VLOOKUP(E63,'Curve Configuration'!$T$6:$T$60,1,0))),NOT(ISNA(VLOOKUP(E63,'Curve Configuration'!$V$6:$V$35,1,0))))</f>
        <v>0</v>
      </c>
      <c r="Q63" s="18" t="e">
        <v>#N/A</v>
      </c>
      <c r="R63" s="94" t="str">
        <v>--</v>
      </c>
      <c r="AB63" s="99" t="e">
        <v>#N/A</v>
      </c>
      <c r="AC63" s="103" t="e">
        <v>#N/A</v>
      </c>
      <c r="AK63" s="21">
        <f>_xll.qlCalendarAdvance(calendar,AK62,"1D")</f>
        <v>42632</v>
      </c>
      <c r="AL63" s="21">
        <f>_xll.qlInterestRateIndexValueDate(hiborindex,AK63)</f>
        <v>42634</v>
      </c>
      <c r="AM63" s="23">
        <f>_xll.qlIndexFixing(hiborindex,AK63)</f>
        <v>-1.9493761150791154E-3</v>
      </c>
    </row>
    <row r="64" spans="1:39" x14ac:dyDescent="0.25">
      <c r="A64" s="20" t="str">
        <f t="shared" si="10"/>
        <v>15M</v>
      </c>
      <c r="B64" s="20">
        <v>15</v>
      </c>
      <c r="C64" s="20" t="s">
        <v>203</v>
      </c>
      <c r="D64" s="20" t="s">
        <v>88</v>
      </c>
      <c r="E64" s="35" t="str">
        <f t="shared" si="5"/>
        <v>15MSWP</v>
      </c>
      <c r="F64" s="20" t="str">
        <f>_xll.qlSimpleQuote(E64,trigger)</f>
        <v>15MSWP#0012</v>
      </c>
      <c r="G64" s="20" t="str">
        <f>_xll.qlMakeVanillaSwap(,2,A64,$V$6,,"0D",$N$1,,$O$1,,trigger)</f>
        <v>obj_0047d#0014</v>
      </c>
      <c r="H64" s="21">
        <f>_xll.qlCalendarAdvance(calendar,evaluationdate,"2D")</f>
        <v>42551</v>
      </c>
      <c r="I64" s="21">
        <f>_xll.qlCalendarAdvance(calendar,H64,A64)</f>
        <v>43010</v>
      </c>
      <c r="J64" s="22">
        <f>_xll.qlVanillaSwapFairRate(G64)</f>
        <v>-2.0653550039718806E-3</v>
      </c>
      <c r="K64" s="23" t="e">
        <f>_xll.qlSimpleQuoteSetValue(F64,J64)</f>
        <v>#N/A</v>
      </c>
      <c r="L64" s="22">
        <v>0</v>
      </c>
      <c r="M64" s="20" t="str">
        <f t="shared" si="6"/>
        <v>C_15MSWP</v>
      </c>
      <c r="N64" s="20" t="str">
        <f>_xll.qlCompositeQuote(M64,F64,L64,"+",,trigger)</f>
        <v>C_15MSWP#0012</v>
      </c>
      <c r="O64" s="20" t="str">
        <f>_xll.qlSwapRateHelper2(,N64,2,A64,calendar,"Annual",$G$1,$N$1,$V$6,0,"0D","euronmx",,,,trigger)</f>
        <v>obj_00456#0014</v>
      </c>
      <c r="P64" s="20" t="b">
        <f>IF($Z$2="SwapDesk",NOT(ISNA(VLOOKUP(E64,'Curve Configuration'!$T$6:$T$60,1,0))),NOT(ISNA(VLOOKUP(E64,'Curve Configuration'!$V$6:$V$35,1,0))))</f>
        <v>0</v>
      </c>
      <c r="Q64" s="18" t="e">
        <v>#N/A</v>
      </c>
      <c r="R64" s="94" t="str">
        <v>--</v>
      </c>
      <c r="AB64" s="99" t="e">
        <v>#N/A</v>
      </c>
      <c r="AC64" s="103" t="e">
        <v>#N/A</v>
      </c>
      <c r="AK64" s="21">
        <f>_xll.qlCalendarAdvance(calendar,AK63,"1D")</f>
        <v>42633</v>
      </c>
      <c r="AL64" s="21">
        <f>_xll.qlInterestRateIndexValueDate(hiborindex,AK64)</f>
        <v>42635</v>
      </c>
      <c r="AM64" s="23">
        <f>_xll.qlIndexFixing(hiborindex,AK64)</f>
        <v>-1.9516759483375354E-3</v>
      </c>
    </row>
    <row r="65" spans="1:39" x14ac:dyDescent="0.25">
      <c r="A65" s="20" t="str">
        <f t="shared" si="10"/>
        <v>16M</v>
      </c>
      <c r="B65" s="20">
        <v>16</v>
      </c>
      <c r="C65" s="20" t="s">
        <v>203</v>
      </c>
      <c r="D65" s="20" t="s">
        <v>88</v>
      </c>
      <c r="E65" s="35" t="str">
        <f t="shared" si="5"/>
        <v>16MSWP</v>
      </c>
      <c r="F65" s="20" t="str">
        <f>_xll.qlSimpleQuote(E65,trigger)</f>
        <v>16MSWP#0012</v>
      </c>
      <c r="G65" s="20" t="str">
        <f>_xll.qlMakeVanillaSwap(,2,A65,$V$6,,"0D",$N$1,,$O$1,,trigger)</f>
        <v>obj_0047b#0014</v>
      </c>
      <c r="H65" s="21">
        <f>_xll.qlCalendarAdvance(calendar,evaluationdate,"2D")</f>
        <v>42551</v>
      </c>
      <c r="I65" s="21">
        <f>_xll.qlCalendarAdvance(calendar,H65,A65)</f>
        <v>43038</v>
      </c>
      <c r="J65" s="22">
        <f>_xll.qlVanillaSwapFairRate(G65)</f>
        <v>-2.077252571119825E-3</v>
      </c>
      <c r="K65" s="23" t="e">
        <f>_xll.qlSimpleQuoteSetValue(F65,J65)</f>
        <v>#N/A</v>
      </c>
      <c r="L65" s="22">
        <v>0</v>
      </c>
      <c r="M65" s="20" t="str">
        <f t="shared" si="6"/>
        <v>C_16MSWP</v>
      </c>
      <c r="N65" s="20" t="str">
        <f>_xll.qlCompositeQuote(M65,F65,L65,"+",,trigger)</f>
        <v>C_16MSWP#0012</v>
      </c>
      <c r="O65" s="20" t="str">
        <f>_xll.qlSwapRateHelper2(,N65,2,A65,calendar,"Annual",$G$1,$N$1,$V$6,0,"0D","euronmx",,,,trigger)</f>
        <v>obj_0045e#0014</v>
      </c>
      <c r="P65" s="20" t="b">
        <f>IF($Z$2="SwapDesk",NOT(ISNA(VLOOKUP(E65,'Curve Configuration'!$T$6:$T$60,1,0))),NOT(ISNA(VLOOKUP(E65,'Curve Configuration'!$V$6:$V$35,1,0))))</f>
        <v>0</v>
      </c>
      <c r="Q65" s="18" t="e">
        <v>#N/A</v>
      </c>
      <c r="R65" s="94" t="str">
        <v>--</v>
      </c>
      <c r="AB65" s="99" t="e">
        <v>#N/A</v>
      </c>
      <c r="AC65" s="103" t="e">
        <v>#N/A</v>
      </c>
      <c r="AK65" s="21">
        <f>_xll.qlCalendarAdvance(calendar,AK64,"1D")</f>
        <v>42634</v>
      </c>
      <c r="AL65" s="21">
        <f>_xll.qlInterestRateIndexValueDate(hiborindex,AK65)</f>
        <v>42636</v>
      </c>
      <c r="AM65" s="23">
        <f>_xll.qlIndexFixing(hiborindex,AK65)</f>
        <v>-1.9539711080574932E-3</v>
      </c>
    </row>
    <row r="66" spans="1:39" x14ac:dyDescent="0.25">
      <c r="A66" s="20" t="str">
        <f t="shared" si="10"/>
        <v>17M</v>
      </c>
      <c r="B66" s="20">
        <v>17</v>
      </c>
      <c r="C66" s="20" t="s">
        <v>203</v>
      </c>
      <c r="D66" s="20" t="s">
        <v>88</v>
      </c>
      <c r="E66" s="35" t="str">
        <f t="shared" si="5"/>
        <v>17MSWP</v>
      </c>
      <c r="F66" s="20" t="str">
        <f>_xll.qlSimpleQuote(E66,trigger)</f>
        <v>17MSWP#0012</v>
      </c>
      <c r="G66" s="20" t="str">
        <f>_xll.qlMakeVanillaSwap(,2,A66,$V$6,,"0D",$N$1,,$O$1,,trigger)</f>
        <v>obj_0047f#0014</v>
      </c>
      <c r="H66" s="21">
        <f>_xll.qlCalendarAdvance(calendar,evaluationdate,"2D")</f>
        <v>42551</v>
      </c>
      <c r="I66" s="21">
        <f>_xll.qlCalendarAdvance(calendar,H66,A66)</f>
        <v>43069</v>
      </c>
      <c r="J66" s="22">
        <f>_xll.qlVanillaSwapFairRate(G66)</f>
        <v>-2.0940578066456932E-3</v>
      </c>
      <c r="K66" s="23" t="e">
        <f>_xll.qlSimpleQuoteSetValue(F66,J66)</f>
        <v>#N/A</v>
      </c>
      <c r="L66" s="22">
        <v>0</v>
      </c>
      <c r="M66" s="20" t="str">
        <f t="shared" si="6"/>
        <v>C_17MSWP</v>
      </c>
      <c r="N66" s="20" t="str">
        <f>_xll.qlCompositeQuote(M66,F66,L66,"+",,trigger)</f>
        <v>C_17MSWP#0012</v>
      </c>
      <c r="O66" s="20" t="str">
        <f>_xll.qlSwapRateHelper2(,N66,2,A66,calendar,"Annual",$G$1,$N$1,$V$6,0,"0D","euronmx",,,,trigger)</f>
        <v>obj_00450#0014</v>
      </c>
      <c r="P66" s="20" t="b">
        <f>IF($Z$2="SwapDesk",NOT(ISNA(VLOOKUP(E66,'Curve Configuration'!$T$6:$T$60,1,0))),NOT(ISNA(VLOOKUP(E66,'Curve Configuration'!$V$6:$V$35,1,0))))</f>
        <v>0</v>
      </c>
      <c r="Q66" s="18" t="e">
        <v>#N/A</v>
      </c>
      <c r="R66" s="94" t="str">
        <v>--</v>
      </c>
      <c r="AB66" s="99" t="e">
        <v>#N/A</v>
      </c>
      <c r="AC66" s="103" t="e">
        <v>#N/A</v>
      </c>
      <c r="AK66" s="21">
        <f>_xll.qlCalendarAdvance(calendar,AK65,"1D")</f>
        <v>42635</v>
      </c>
      <c r="AL66" s="21">
        <f>_xll.qlInterestRateIndexValueDate(hiborindex,AK66)</f>
        <v>42639</v>
      </c>
      <c r="AM66" s="23">
        <f>_xll.qlIndexFixing(hiborindex,AK66)</f>
        <v>-1.9609422742429992E-3</v>
      </c>
    </row>
    <row r="67" spans="1:39" x14ac:dyDescent="0.25">
      <c r="A67" s="20" t="str">
        <f t="shared" si="10"/>
        <v>18M</v>
      </c>
      <c r="B67" s="20">
        <v>18</v>
      </c>
      <c r="C67" s="20" t="s">
        <v>203</v>
      </c>
      <c r="D67" s="20" t="s">
        <v>88</v>
      </c>
      <c r="E67" s="35" t="str">
        <f t="shared" si="5"/>
        <v>18MSWP</v>
      </c>
      <c r="F67" s="20" t="str">
        <f>_xll.qlSimpleQuote(E67,trigger,,,,)</f>
        <v>18MSWP#0012</v>
      </c>
      <c r="G67" s="20" t="str">
        <f>_xll.qlMakeVanillaSwap(,2,A67,$V$6,,"0D",$N$1,,$O$1,,trigger)</f>
        <v>obj_00461#0014</v>
      </c>
      <c r="H67" s="21">
        <f>_xll.qlCalendarAdvance(calendar,evaluationdate,"2D")</f>
        <v>42551</v>
      </c>
      <c r="I67" s="21">
        <f>_xll.qlCalendarAdvance(calendar,H67,A67)</f>
        <v>43102</v>
      </c>
      <c r="J67" s="22">
        <f>_xll.qlVanillaSwapFairRate(G67)</f>
        <v>-2.1021514371053454E-3</v>
      </c>
      <c r="K67" s="23" t="e">
        <f>_xll.qlSimpleQuoteSetValue(F67,J67)</f>
        <v>#N/A</v>
      </c>
      <c r="L67" s="22">
        <v>0</v>
      </c>
      <c r="M67" s="20" t="str">
        <f t="shared" si="6"/>
        <v>C_18MSWP</v>
      </c>
      <c r="N67" s="20" t="str">
        <f>_xll.qlCompositeQuote(M67,F67,L67,"+",,trigger,)</f>
        <v>C_18MSWP#0012</v>
      </c>
      <c r="O67" s="20" t="str">
        <f>_xll.qlSwapRateHelper2(,N67,2,A67,calendar,"Annual",$G$1,$N$1,$V$6,0,"0D","euronmx",,,,trigger)</f>
        <v>obj_0049a#0014</v>
      </c>
      <c r="P67" s="20" t="b">
        <f>IF($Z$2="SwapDesk",NOT(ISNA(VLOOKUP(E67,'Curve Configuration'!$T$6:$T$60,1,0))),NOT(ISNA(VLOOKUP(E67,'Curve Configuration'!$V$6:$V$35,1,0))))</f>
        <v>0</v>
      </c>
      <c r="Q67" s="18" t="e">
        <v>#N/A</v>
      </c>
      <c r="R67" s="94" t="str">
        <v>--</v>
      </c>
      <c r="AB67" s="99" t="e">
        <v>#N/A</v>
      </c>
      <c r="AC67" s="103" t="e">
        <v>#N/A</v>
      </c>
      <c r="AK67" s="21">
        <f>_xll.qlCalendarAdvance(calendar,AK66,"1D")</f>
        <v>42636</v>
      </c>
      <c r="AL67" s="21">
        <f>_xll.qlInterestRateIndexValueDate(hiborindex,AK67)</f>
        <v>42640</v>
      </c>
      <c r="AM67" s="23">
        <f>_xll.qlIndexFixing(hiborindex,AK67)</f>
        <v>-1.9631050118638338E-3</v>
      </c>
    </row>
    <row r="68" spans="1:39" x14ac:dyDescent="0.25">
      <c r="A68" s="20" t="str">
        <f t="shared" si="10"/>
        <v>19M</v>
      </c>
      <c r="B68" s="20">
        <v>19</v>
      </c>
      <c r="C68" s="20" t="s">
        <v>203</v>
      </c>
      <c r="D68" s="20" t="s">
        <v>88</v>
      </c>
      <c r="E68" s="35" t="str">
        <f t="shared" si="5"/>
        <v>19MSWP</v>
      </c>
      <c r="F68" s="20" t="str">
        <f>_xll.qlSimpleQuote(E68,trigger)</f>
        <v>19MSWP#0012</v>
      </c>
      <c r="G68" s="20" t="str">
        <f>_xll.qlMakeVanillaSwap(,2,A68,$V$6,,"0D",$N$1,,$O$1,,trigger)</f>
        <v>obj_0046e#0014</v>
      </c>
      <c r="H68" s="21">
        <f>_xll.qlCalendarAdvance(calendar,evaluationdate,"2D")</f>
        <v>42551</v>
      </c>
      <c r="I68" s="21">
        <f>_xll.qlCalendarAdvance(calendar,H68,A68)</f>
        <v>43130</v>
      </c>
      <c r="J68" s="22">
        <f>_xll.qlVanillaSwapFairRate(G68)</f>
        <v>-2.1221007606497598E-3</v>
      </c>
      <c r="K68" s="23" t="e">
        <f>_xll.qlSimpleQuoteSetValue(F68,J68)</f>
        <v>#N/A</v>
      </c>
      <c r="L68" s="22">
        <v>0</v>
      </c>
      <c r="M68" s="20" t="str">
        <f t="shared" si="6"/>
        <v>C_19MSWP</v>
      </c>
      <c r="N68" s="20" t="str">
        <f>_xll.qlCompositeQuote(M68,F68,L68,"+",,trigger)</f>
        <v>C_19MSWP#0012</v>
      </c>
      <c r="O68" s="20" t="str">
        <f>_xll.qlSwapRateHelper2(,N68,2,A68,calendar,"Annual",$G$1,$N$1,$V$6,0,"0D","euronmx",,,,trigger)</f>
        <v>obj_00441#0014</v>
      </c>
      <c r="P68" s="20" t="b">
        <f>IF($Z$2="SwapDesk",NOT(ISNA(VLOOKUP(E68,'Curve Configuration'!$T$6:$T$60,1,0))),NOT(ISNA(VLOOKUP(E68,'Curve Configuration'!$V$6:$V$35,1,0))))</f>
        <v>0</v>
      </c>
      <c r="Q68" s="18" t="e">
        <v>#N/A</v>
      </c>
      <c r="R68" s="94" t="str">
        <v>--</v>
      </c>
      <c r="AB68" s="99" t="e">
        <v>#N/A</v>
      </c>
      <c r="AC68" s="103" t="e">
        <v>#N/A</v>
      </c>
      <c r="AK68" s="21">
        <f>_xll.qlCalendarAdvance(calendar,AK67,"1D")</f>
        <v>42639</v>
      </c>
      <c r="AL68" s="21">
        <f>_xll.qlInterestRateIndexValueDate(hiborindex,AK68)</f>
        <v>42641</v>
      </c>
      <c r="AM68" s="23">
        <f>_xll.qlIndexFixing(hiborindex,AK68)</f>
        <v>-1.9653768041284179E-3</v>
      </c>
    </row>
    <row r="69" spans="1:39" x14ac:dyDescent="0.25">
      <c r="A69" s="20" t="str">
        <f t="shared" si="10"/>
        <v>20M</v>
      </c>
      <c r="B69" s="20">
        <v>20</v>
      </c>
      <c r="C69" s="20" t="s">
        <v>203</v>
      </c>
      <c r="D69" s="20" t="s">
        <v>88</v>
      </c>
      <c r="E69" s="35" t="str">
        <f t="shared" si="5"/>
        <v>20MSWP</v>
      </c>
      <c r="F69" s="20" t="str">
        <f>_xll.qlSimpleQuote(E69,trigger)</f>
        <v>20MSWP#0012</v>
      </c>
      <c r="G69" s="20" t="str">
        <f>_xll.qlMakeVanillaSwap(,2,A69,$V$6,,"0D",$N$1,,$O$1,,trigger)</f>
        <v>obj_00483#0014</v>
      </c>
      <c r="H69" s="21">
        <f>_xll.qlCalendarAdvance(calendar,evaluationdate,"2D")</f>
        <v>42551</v>
      </c>
      <c r="I69" s="21">
        <f>_xll.qlCalendarAdvance(calendar,H69,A69)</f>
        <v>43159</v>
      </c>
      <c r="J69" s="22">
        <f>_xll.qlVanillaSwapFairRate(G69)</f>
        <v>-2.1524748141174598E-3</v>
      </c>
      <c r="K69" s="23" t="e">
        <f>_xll.qlSimpleQuoteSetValue(F69,J69)</f>
        <v>#N/A</v>
      </c>
      <c r="L69" s="22">
        <v>0</v>
      </c>
      <c r="M69" s="20" t="str">
        <f t="shared" si="6"/>
        <v>C_20MSWP</v>
      </c>
      <c r="N69" s="20" t="str">
        <f>_xll.qlCompositeQuote(M69,F69,L69,"+",,trigger)</f>
        <v>C_20MSWP#0012</v>
      </c>
      <c r="O69" s="20" t="str">
        <f>_xll.qlSwapRateHelper2(,N69,2,A69,calendar,"Annual",$G$1,$N$1,$V$6,0,"0D","euronmx",,,,trigger)</f>
        <v>obj_00458#0014</v>
      </c>
      <c r="P69" s="20" t="b">
        <f>IF($Z$2="SwapDesk",NOT(ISNA(VLOOKUP(E69,'Curve Configuration'!$T$6:$T$60,1,0))),NOT(ISNA(VLOOKUP(E69,'Curve Configuration'!$V$6:$V$35,1,0))))</f>
        <v>0</v>
      </c>
      <c r="Q69" s="18" t="e">
        <v>#N/A</v>
      </c>
      <c r="R69" s="94" t="str">
        <v>--</v>
      </c>
      <c r="AB69" s="99" t="e">
        <v>#N/A</v>
      </c>
      <c r="AC69" s="103" t="e">
        <v>#N/A</v>
      </c>
      <c r="AK69" s="21">
        <f>_xll.qlCalendarAdvance(calendar,AK68,"1D")</f>
        <v>42640</v>
      </c>
      <c r="AL69" s="21">
        <f>_xll.qlInterestRateIndexValueDate(hiborindex,AK69)</f>
        <v>42642</v>
      </c>
      <c r="AM69" s="23">
        <f>_xll.qlIndexFixing(hiborindex,AK69)</f>
        <v>-1.9676439229503744E-3</v>
      </c>
    </row>
    <row r="70" spans="1:39" x14ac:dyDescent="0.25">
      <c r="A70" s="20" t="str">
        <f t="shared" si="10"/>
        <v>21M</v>
      </c>
      <c r="B70" s="20">
        <v>21</v>
      </c>
      <c r="C70" s="20" t="s">
        <v>203</v>
      </c>
      <c r="D70" s="20" t="s">
        <v>88</v>
      </c>
      <c r="E70" s="35" t="str">
        <f t="shared" si="5"/>
        <v>21MSWP</v>
      </c>
      <c r="F70" s="20" t="str">
        <f>_xll.qlSimpleQuote(E70,trigger)</f>
        <v>21MSWP#0012</v>
      </c>
      <c r="G70" s="20" t="str">
        <f>_xll.qlMakeVanillaSwap(,2,A70,$V$6,,"0D",$N$1,,$O$1,,trigger)</f>
        <v>obj_0047e#0014</v>
      </c>
      <c r="H70" s="21">
        <f>_xll.qlCalendarAdvance(calendar,evaluationdate,"2D")</f>
        <v>42551</v>
      </c>
      <c r="I70" s="21">
        <f>_xll.qlCalendarAdvance(calendar,H70,A70)</f>
        <v>43193</v>
      </c>
      <c r="J70" s="22">
        <f>_xll.qlVanillaSwapFairRate(G70)</f>
        <v>-2.1615249317436577E-3</v>
      </c>
      <c r="K70" s="23" t="e">
        <f>_xll.qlSimpleQuoteSetValue(F70,J70)</f>
        <v>#N/A</v>
      </c>
      <c r="L70" s="22">
        <v>0</v>
      </c>
      <c r="M70" s="20" t="str">
        <f t="shared" si="6"/>
        <v>C_21MSWP</v>
      </c>
      <c r="N70" s="20" t="str">
        <f>_xll.qlCompositeQuote(M70,F70,L70,"+",,trigger)</f>
        <v>C_21MSWP#0012</v>
      </c>
      <c r="O70" s="20" t="str">
        <f>_xll.qlSwapRateHelper2(,N70,2,A70,calendar,"Annual",$G$1,$N$1,$V$6,0,"0D","euronmx",,,,trigger)</f>
        <v>obj_00444#0014</v>
      </c>
      <c r="P70" s="20" t="b">
        <f>IF($Z$2="SwapDesk",NOT(ISNA(VLOOKUP(E70,'Curve Configuration'!$T$6:$T$60,1,0))),NOT(ISNA(VLOOKUP(E70,'Curve Configuration'!$V$6:$V$35,1,0))))</f>
        <v>0</v>
      </c>
      <c r="Q70" s="18" t="e">
        <v>#N/A</v>
      </c>
      <c r="R70" s="94" t="str">
        <v>--</v>
      </c>
      <c r="AB70" s="99" t="e">
        <v>#N/A</v>
      </c>
      <c r="AC70" s="103" t="e">
        <v>#N/A</v>
      </c>
      <c r="AK70" s="21">
        <f>_xll.qlCalendarAdvance(calendar,AK69,"1D")</f>
        <v>42641</v>
      </c>
      <c r="AL70" s="21">
        <f>_xll.qlInterestRateIndexValueDate(hiborindex,AK70)</f>
        <v>42643</v>
      </c>
      <c r="AM70" s="23">
        <f>_xll.qlIndexFixing(hiborindex,AK70)</f>
        <v>-1.9700000000936763E-3</v>
      </c>
    </row>
    <row r="71" spans="1:39" x14ac:dyDescent="0.25">
      <c r="A71" s="20" t="str">
        <f t="shared" si="10"/>
        <v>22M</v>
      </c>
      <c r="B71" s="20">
        <v>22</v>
      </c>
      <c r="C71" s="20" t="s">
        <v>203</v>
      </c>
      <c r="D71" s="20" t="s">
        <v>88</v>
      </c>
      <c r="E71" s="35" t="str">
        <f t="shared" si="5"/>
        <v>22MSWP</v>
      </c>
      <c r="F71" s="20" t="str">
        <f>_xll.qlSimpleQuote(E71,trigger)</f>
        <v>22MSWP#0012</v>
      </c>
      <c r="G71" s="20" t="str">
        <f>_xll.qlMakeVanillaSwap(,2,A71,$V$6,,"0D",$N$1,,$O$1,,trigger)</f>
        <v>obj_00476#0014</v>
      </c>
      <c r="H71" s="21">
        <f>_xll.qlCalendarAdvance(calendar,evaluationdate,"2D")</f>
        <v>42551</v>
      </c>
      <c r="I71" s="21">
        <f>_xll.qlCalendarAdvance(calendar,H71,A71)</f>
        <v>43220</v>
      </c>
      <c r="J71" s="22">
        <f>_xll.qlVanillaSwapFairRate(G71)</f>
        <v>-2.16907983982803E-3</v>
      </c>
      <c r="K71" s="23" t="e">
        <f>_xll.qlSimpleQuoteSetValue(F71,J71)</f>
        <v>#N/A</v>
      </c>
      <c r="L71" s="22">
        <v>0</v>
      </c>
      <c r="M71" s="20" t="str">
        <f t="shared" si="6"/>
        <v>C_22MSWP</v>
      </c>
      <c r="N71" s="20" t="str">
        <f>_xll.qlCompositeQuote(M71,F71,L71,"+",,trigger)</f>
        <v>C_22MSWP#0012</v>
      </c>
      <c r="O71" s="20" t="str">
        <f>_xll.qlSwapRateHelper2(,N71,2,A71,calendar,"Annual",$G$1,$N$1,$V$6,0,"0D","euronmx",,,,trigger)</f>
        <v>obj_00455#0014</v>
      </c>
      <c r="P71" s="20" t="b">
        <f>IF($Z$2="SwapDesk",NOT(ISNA(VLOOKUP(E71,'Curve Configuration'!$T$6:$T$60,1,0))),NOT(ISNA(VLOOKUP(E71,'Curve Configuration'!$V$6:$V$35,1,0))))</f>
        <v>0</v>
      </c>
      <c r="Q71" s="18" t="e">
        <v>#N/A</v>
      </c>
      <c r="R71" s="94" t="str">
        <v>--</v>
      </c>
      <c r="AB71" s="99" t="e">
        <v>#N/A</v>
      </c>
      <c r="AC71" s="103" t="e">
        <v>#N/A</v>
      </c>
      <c r="AK71" s="21">
        <f>_xll.qlCalendarAdvance(calendar,AK70,"1D")</f>
        <v>42642</v>
      </c>
      <c r="AL71" s="21">
        <f>_xll.qlInterestRateIndexValueDate(hiborindex,AK71)</f>
        <v>42646</v>
      </c>
      <c r="AM71" s="23">
        <f>_xll.qlIndexFixing(hiborindex,AK71)</f>
        <v>-1.9762573990175264E-3</v>
      </c>
    </row>
    <row r="72" spans="1:39" x14ac:dyDescent="0.25">
      <c r="A72" s="87" t="str">
        <f t="shared" si="10"/>
        <v>23M</v>
      </c>
      <c r="B72" s="87">
        <v>23</v>
      </c>
      <c r="C72" s="87" t="s">
        <v>203</v>
      </c>
      <c r="D72" s="87" t="s">
        <v>88</v>
      </c>
      <c r="E72" s="88" t="str">
        <f t="shared" si="5"/>
        <v>23MSWP</v>
      </c>
      <c r="F72" s="87" t="str">
        <f>_xll.qlSimpleQuote(E72,trigger)</f>
        <v>23MSWP#0012</v>
      </c>
      <c r="G72" s="87" t="str">
        <f>_xll.qlMakeVanillaSwap(,2,A72,$V$6,,"0D",$N$1,,$O$1,,trigger)</f>
        <v>obj_00471#0014</v>
      </c>
      <c r="H72" s="89">
        <f>_xll.qlCalendarAdvance(calendar,evaluationdate,"2D")</f>
        <v>42551</v>
      </c>
      <c r="I72" s="89">
        <f>_xll.qlCalendarAdvance(calendar,H72,A72)</f>
        <v>43250</v>
      </c>
      <c r="J72" s="90">
        <f>_xll.qlVanillaSwapFairRate(G72)</f>
        <v>-2.1738143310523197E-3</v>
      </c>
      <c r="K72" s="91" t="e">
        <f>_xll.qlSimpleQuoteSetValue(F72,J72)</f>
        <v>#N/A</v>
      </c>
      <c r="L72" s="90">
        <v>0</v>
      </c>
      <c r="M72" s="87" t="str">
        <f t="shared" si="6"/>
        <v>C_23MSWP</v>
      </c>
      <c r="N72" s="87" t="str">
        <f>_xll.qlCompositeQuote(M72,F72,L72,"+",,trigger)</f>
        <v>C_23MSWP#0012</v>
      </c>
      <c r="O72" s="87" t="str">
        <f>_xll.qlSwapRateHelper2(,N72,2,A72,calendar,"Annual",$G$1,$N$1,$V$6,0,"0D","euronmx",,,,trigger)</f>
        <v>obj_0044e#0014</v>
      </c>
      <c r="P72" s="87" t="b">
        <f>IF($Z$2="SwapDesk",NOT(ISNA(VLOOKUP(E72,'Curve Configuration'!$T$6:$T$60,1,0))),NOT(ISNA(VLOOKUP(E72,'Curve Configuration'!$V$6:$V$35,1,0))))</f>
        <v>0</v>
      </c>
      <c r="Q72" s="18" t="e">
        <v>#N/A</v>
      </c>
      <c r="R72" s="95" t="str">
        <v>--</v>
      </c>
      <c r="AB72" s="99" t="e">
        <v>#N/A</v>
      </c>
      <c r="AC72" s="103" t="e">
        <v>#N/A</v>
      </c>
      <c r="AK72" s="21">
        <f>_xll.qlCalendarAdvance(calendar,AK71,"1D")</f>
        <v>42643</v>
      </c>
      <c r="AL72" s="21">
        <f>_xll.qlInterestRateIndexValueDate(hiborindex,AK72)</f>
        <v>42647</v>
      </c>
      <c r="AM72" s="23">
        <f>_xll.qlIndexFixing(hiborindex,AK72)</f>
        <v>-1.9782956772999467E-3</v>
      </c>
    </row>
    <row r="73" spans="1:39" x14ac:dyDescent="0.25">
      <c r="A73" s="20" t="str">
        <f t="shared" ref="A73:A100" si="11">B73&amp;C73</f>
        <v>2Y</v>
      </c>
      <c r="B73" s="86">
        <v>2</v>
      </c>
      <c r="C73" s="20" t="s">
        <v>86</v>
      </c>
      <c r="D73" s="20" t="s">
        <v>88</v>
      </c>
      <c r="E73" s="35" t="str">
        <f t="shared" ref="E73" si="12">B73&amp;C73&amp;D73</f>
        <v>2YSWP</v>
      </c>
      <c r="F73" s="20" t="str">
        <f>_xll.qlSimpleQuote(E73,trigger)</f>
        <v>2YSWP#0012</v>
      </c>
      <c r="G73" s="20" t="str">
        <f>_xll.qlMakeVanillaSwap(,2,A73,$V$6,,"0D",$N$1,,$O$1,,trigger)</f>
        <v>obj_00464#0014</v>
      </c>
      <c r="H73" s="21">
        <f>_xll.qlCalendarAdvance(calendar,evaluationdate,"2D")</f>
        <v>42551</v>
      </c>
      <c r="I73" s="21">
        <f>_xll.qlCalendarAdvance(calendar,H73,A73)</f>
        <v>43283</v>
      </c>
      <c r="J73" s="22">
        <f>_xll.qlVanillaSwapFairRate(G73)</f>
        <v>-2.1772047290332087E-3</v>
      </c>
      <c r="K73" s="23" t="e">
        <f>_xll.qlSimpleQuoteSetValue(F73,J73)</f>
        <v>#N/A</v>
      </c>
      <c r="L73" s="22">
        <v>0</v>
      </c>
      <c r="M73" s="20" t="str">
        <f t="shared" ref="M73" si="13">"C_"&amp;E73</f>
        <v>C_2YSWP</v>
      </c>
      <c r="N73" s="20" t="str">
        <f>_xll.qlCompositeQuote(M73,F73,L73,"+",,trigger)</f>
        <v>C_2YSWP#0012</v>
      </c>
      <c r="O73" s="20" t="str">
        <f>_xll.qlSwapRateHelper2(,N73,2,A73,calendar,"Annual",$G$1,$N$1,$V$6,0,"0D","euronmx",,,,trigger)</f>
        <v>obj_00440#0014</v>
      </c>
      <c r="P73" s="20" t="b">
        <f>IF($Z$2="SwapDesk",NOT(ISNA(VLOOKUP(E73,'Curve Configuration'!$T$6:$T$60,1,0))),NOT(ISNA(VLOOKUP(E73,'Curve Configuration'!$V$6:$V$35,1,0))))</f>
        <v>0</v>
      </c>
      <c r="Q73" s="18" t="e">
        <v>#N/A</v>
      </c>
      <c r="R73" s="94" t="str">
        <v>--</v>
      </c>
      <c r="AB73" s="99" t="e">
        <v>#N/A</v>
      </c>
      <c r="AC73" s="103" t="e">
        <v>#N/A</v>
      </c>
      <c r="AK73" s="21">
        <f>_xll.qlCalendarAdvance(calendar,AK72,"1D")</f>
        <v>42646</v>
      </c>
      <c r="AL73" s="21">
        <f>_xll.qlInterestRateIndexValueDate(hiborindex,AK73)</f>
        <v>42648</v>
      </c>
      <c r="AM73" s="23">
        <f>_xll.qlIndexFixing(hiborindex,AK73)</f>
        <v>-1.9803101950257684E-3</v>
      </c>
    </row>
    <row r="74" spans="1:39" x14ac:dyDescent="0.25">
      <c r="A74" s="20" t="str">
        <f t="shared" si="11"/>
        <v>3Y</v>
      </c>
      <c r="B74" s="20">
        <v>3</v>
      </c>
      <c r="C74" s="20" t="s">
        <v>86</v>
      </c>
      <c r="D74" s="20" t="s">
        <v>88</v>
      </c>
      <c r="E74" s="35" t="str">
        <f t="shared" si="5"/>
        <v>3YSWP</v>
      </c>
      <c r="F74" s="20" t="str">
        <f>_xll.qlSimpleQuote(E74,trigger)</f>
        <v>3YSWP#0012</v>
      </c>
      <c r="G74" s="20" t="str">
        <f>_xll.qlMakeVanillaSwap(,2,A74,$V$6,,"0D",$N$1,,$O$1,,trigger)</f>
        <v>obj_00466#0014</v>
      </c>
      <c r="H74" s="21">
        <f>_xll.qlCalendarAdvance(calendar,evaluationdate,"2D")</f>
        <v>42551</v>
      </c>
      <c r="I74" s="21">
        <f>_xll.qlCalendarAdvance(calendar,H74,A74)</f>
        <v>43647</v>
      </c>
      <c r="J74" s="22">
        <f>_xll.qlVanillaSwapFairRate(G74)</f>
        <v>-2.0700000000000007E-3</v>
      </c>
      <c r="K74" s="23" t="e">
        <f>_xll.qlSimpleQuoteSetValue(F74,J74)</f>
        <v>#N/A</v>
      </c>
      <c r="L74" s="22">
        <v>0</v>
      </c>
      <c r="M74" s="20" t="str">
        <f t="shared" si="6"/>
        <v>C_3YSWP</v>
      </c>
      <c r="N74" s="20" t="str">
        <f>_xll.qlCompositeQuote(M74,F74,L74,"+",,trigger)</f>
        <v>C_3YSWP#0012</v>
      </c>
      <c r="O74" s="20" t="str">
        <f>_xll.qlSwapRateHelper2(,N74,2,A74,calendar,"Annual",$G$1,$N$1,$V$6,0,"0D","euronmx",,,,trigger)</f>
        <v>obj_00533#0014</v>
      </c>
      <c r="P74" s="20" t="b">
        <f>IF($Z$2="SwapDesk",NOT(ISNA(VLOOKUP(E74,'Curve Configuration'!$T$6:$T$60,1,0))),NOT(ISNA(VLOOKUP(E74,'Curve Configuration'!$V$6:$V$35,1,0))))</f>
        <v>0</v>
      </c>
      <c r="Q74" s="18" t="e">
        <v>#N/A</v>
      </c>
      <c r="R74" s="94" t="str">
        <v>--</v>
      </c>
      <c r="AB74" s="99" t="e">
        <v>#N/A</v>
      </c>
      <c r="AC74" s="103" t="e">
        <v>#N/A</v>
      </c>
      <c r="AK74" s="21">
        <f>_xll.qlCalendarAdvance(calendar,AK73,"1D")</f>
        <v>42647</v>
      </c>
      <c r="AL74" s="21">
        <f>_xll.qlInterestRateIndexValueDate(hiborindex,AK74)</f>
        <v>42649</v>
      </c>
      <c r="AM74" s="23">
        <f>_xll.qlIndexFixing(hiborindex,AK74)</f>
        <v>-1.98230095226746E-3</v>
      </c>
    </row>
    <row r="75" spans="1:39" x14ac:dyDescent="0.25">
      <c r="A75" s="20" t="str">
        <f t="shared" si="11"/>
        <v>4Y</v>
      </c>
      <c r="B75" s="20">
        <v>4</v>
      </c>
      <c r="C75" s="20" t="s">
        <v>86</v>
      </c>
      <c r="D75" s="20" t="s">
        <v>88</v>
      </c>
      <c r="E75" s="35" t="str">
        <f t="shared" si="5"/>
        <v>4YSWP</v>
      </c>
      <c r="F75" s="20" t="str">
        <f>_xll.qlSimpleQuote(E75,trigger)</f>
        <v>4YSWP#0012</v>
      </c>
      <c r="G75" s="20" t="str">
        <f>_xll.qlMakeVanillaSwap(,2,A75,$V$6,,"0D",$N$1,,$O$1,,trigger)</f>
        <v>obj_00481#0014</v>
      </c>
      <c r="H75" s="21">
        <f>_xll.qlCalendarAdvance(calendar,evaluationdate,"2D")</f>
        <v>42551</v>
      </c>
      <c r="I75" s="21">
        <f>_xll.qlCalendarAdvance(calendar,H75,A75)</f>
        <v>44012</v>
      </c>
      <c r="J75" s="22">
        <f>_xll.qlVanillaSwapFairRate(G75)</f>
        <v>-1.6599999993470174E-3</v>
      </c>
      <c r="K75" s="23" t="e">
        <f>_xll.qlSimpleQuoteSetValue(F75,J75)</f>
        <v>#N/A</v>
      </c>
      <c r="L75" s="22">
        <v>0</v>
      </c>
      <c r="M75" s="20" t="str">
        <f t="shared" si="6"/>
        <v>C_4YSWP</v>
      </c>
      <c r="N75" s="20" t="str">
        <f>_xll.qlCompositeQuote(M75,F75,L75,"+",,trigger)</f>
        <v>C_4YSWP#0012</v>
      </c>
      <c r="O75" s="20" t="str">
        <f>_xll.qlSwapRateHelper2(,N75,2,A75,calendar,"Annual",$G$1,$N$1,$V$6,0,"0D","euronmx",,,,trigger)</f>
        <v>obj_00526#0014</v>
      </c>
      <c r="P75" s="20" t="b">
        <f>IF($Z$2="SwapDesk",NOT(ISNA(VLOOKUP(E75,'Curve Configuration'!$T$6:$T$60,1,0))),NOT(ISNA(VLOOKUP(E75,'Curve Configuration'!$V$6:$V$35,1,0))))</f>
        <v>0</v>
      </c>
      <c r="Q75" s="18" t="e">
        <v>#N/A</v>
      </c>
      <c r="R75" s="94" t="str">
        <v>--</v>
      </c>
      <c r="AB75" s="99" t="e">
        <v>#N/A</v>
      </c>
      <c r="AC75" s="103" t="e">
        <v>#N/A</v>
      </c>
      <c r="AK75" s="21">
        <f>_xll.qlCalendarAdvance(calendar,AK74,"1D")</f>
        <v>42648</v>
      </c>
      <c r="AL75" s="21">
        <f>_xll.qlInterestRateIndexValueDate(hiborindex,AK75)</f>
        <v>42650</v>
      </c>
      <c r="AM75" s="23">
        <f>_xll.qlIndexFixing(hiborindex,AK75)</f>
        <v>-1.9842679490981504E-3</v>
      </c>
    </row>
    <row r="76" spans="1:39" x14ac:dyDescent="0.25">
      <c r="A76" s="20" t="str">
        <f t="shared" si="11"/>
        <v>5Y</v>
      </c>
      <c r="B76" s="20">
        <v>5</v>
      </c>
      <c r="C76" s="20" t="s">
        <v>86</v>
      </c>
      <c r="D76" s="20" t="s">
        <v>88</v>
      </c>
      <c r="E76" s="35" t="str">
        <f t="shared" ref="E76:E100" si="14">B76&amp;C76&amp;D76</f>
        <v>5YSWP</v>
      </c>
      <c r="F76" s="20" t="str">
        <f>_xll.qlSimpleQuote(E76,trigger)</f>
        <v>5YSWP#0012</v>
      </c>
      <c r="G76" s="20" t="str">
        <f>_xll.qlMakeVanillaSwap(,2,A76,$V$6,,"0D",$N$1,,$O$1,,trigger)</f>
        <v>obj_0046b#0014</v>
      </c>
      <c r="H76" s="21">
        <f>_xll.qlCalendarAdvance(calendar,evaluationdate,"2D")</f>
        <v>42551</v>
      </c>
      <c r="I76" s="21">
        <f>_xll.qlCalendarAdvance(calendar,H76,A76)</f>
        <v>44377</v>
      </c>
      <c r="J76" s="22">
        <f>_xll.qlVanillaSwapFairRate(G76)</f>
        <v>-9.599999992035373E-4</v>
      </c>
      <c r="K76" s="23" t="e">
        <f>_xll.qlSimpleQuoteSetValue(F76,J76)</f>
        <v>#N/A</v>
      </c>
      <c r="L76" s="22">
        <v>0</v>
      </c>
      <c r="M76" s="20" t="str">
        <f t="shared" si="6"/>
        <v>C_5YSWP</v>
      </c>
      <c r="N76" s="20" t="str">
        <f>_xll.qlCompositeQuote(M76,F76,L76,"+",,trigger)</f>
        <v>C_5YSWP#0012</v>
      </c>
      <c r="O76" s="20" t="str">
        <f>_xll.qlSwapRateHelper2(,N76,2,A76,calendar,"Annual",$G$1,$N$1,$V$6,0,"0D","euronmx",,,,trigger)</f>
        <v>obj_00546#0014</v>
      </c>
      <c r="P76" s="20" t="b">
        <f>IF($Z$2="SwapDesk",NOT(ISNA(VLOOKUP(E76,'Curve Configuration'!$T$6:$T$60,1,0))),NOT(ISNA(VLOOKUP(E76,'Curve Configuration'!$V$6:$V$35,1,0))))</f>
        <v>0</v>
      </c>
      <c r="Q76" s="18" t="e">
        <v>#N/A</v>
      </c>
      <c r="R76" s="94" t="str">
        <v>--</v>
      </c>
      <c r="AB76" s="99" t="e">
        <v>#N/A</v>
      </c>
      <c r="AC76" s="103" t="e">
        <v>#N/A</v>
      </c>
      <c r="AK76" s="21">
        <f>_xll.qlCalendarAdvance(calendar,AK75,"1D")</f>
        <v>42649</v>
      </c>
      <c r="AL76" s="21">
        <f>_xll.qlInterestRateIndexValueDate(hiborindex,AK76)</f>
        <v>42653</v>
      </c>
      <c r="AM76" s="23">
        <f>_xll.qlIndexFixing(hiborindex,AK76)</f>
        <v>-1.9900263778234346E-3</v>
      </c>
    </row>
    <row r="77" spans="1:39" x14ac:dyDescent="0.25">
      <c r="A77" s="20" t="str">
        <f t="shared" si="11"/>
        <v>6Y</v>
      </c>
      <c r="B77" s="20">
        <v>6</v>
      </c>
      <c r="C77" s="20" t="s">
        <v>86</v>
      </c>
      <c r="D77" s="20" t="s">
        <v>88</v>
      </c>
      <c r="E77" s="35" t="str">
        <f t="shared" si="14"/>
        <v>6YSWP</v>
      </c>
      <c r="F77" s="20" t="str">
        <f>_xll.qlSimpleQuote(E77,trigger)</f>
        <v>6YSWP#0012</v>
      </c>
      <c r="G77" s="20" t="str">
        <f>_xll.qlMakeVanillaSwap(,2,A77,$V$6,,"0D",$N$1,,$O$1,,trigger)</f>
        <v>obj_00484#0014</v>
      </c>
      <c r="H77" s="21">
        <f>_xll.qlCalendarAdvance(calendar,evaluationdate,"2D")</f>
        <v>42551</v>
      </c>
      <c r="I77" s="21">
        <f>_xll.qlCalendarAdvance(calendar,H77,A77)</f>
        <v>44742</v>
      </c>
      <c r="J77" s="22">
        <f>_xll.qlVanillaSwapFairRate(G77)</f>
        <v>-1.0999999901051312E-4</v>
      </c>
      <c r="K77" s="23" t="e">
        <f>_xll.qlSimpleQuoteSetValue(F77,J77)</f>
        <v>#N/A</v>
      </c>
      <c r="L77" s="22">
        <v>0</v>
      </c>
      <c r="M77" s="20" t="str">
        <f t="shared" si="6"/>
        <v>C_6YSWP</v>
      </c>
      <c r="N77" s="20" t="str">
        <f>_xll.qlCompositeQuote(M77,F77,L77,"+",,trigger)</f>
        <v>C_6YSWP#0012</v>
      </c>
      <c r="O77" s="20" t="str">
        <f>_xll.qlSwapRateHelper2(,N77,2,A77,calendar,"Annual",$G$1,$N$1,$V$6,0,"0D","euronmx",,,,trigger)</f>
        <v>obj_0054f#0014</v>
      </c>
      <c r="P77" s="20" t="b">
        <f>IF($Z$2="SwapDesk",NOT(ISNA(VLOOKUP(E77,'Curve Configuration'!$T$6:$T$60,1,0))),NOT(ISNA(VLOOKUP(E77,'Curve Configuration'!$V$6:$V$35,1,0))))</f>
        <v>0</v>
      </c>
      <c r="Q77" s="18" t="e">
        <v>#N/A</v>
      </c>
      <c r="R77" s="94" t="str">
        <v>--</v>
      </c>
      <c r="AB77" s="99" t="e">
        <v>#N/A</v>
      </c>
      <c r="AC77" s="103" t="e">
        <v>#N/A</v>
      </c>
      <c r="AK77" s="21">
        <f>_xll.qlCalendarAdvance(calendar,AK76,"1D")</f>
        <v>42650</v>
      </c>
      <c r="AL77" s="21">
        <f>_xll.qlInterestRateIndexValueDate(hiborindex,AK77)</f>
        <v>42654</v>
      </c>
      <c r="AM77" s="23">
        <f>_xll.qlIndexFixing(hiborindex,AK77)</f>
        <v>-1.991898333707364E-3</v>
      </c>
    </row>
    <row r="78" spans="1:39" x14ac:dyDescent="0.25">
      <c r="A78" s="20" t="str">
        <f t="shared" si="11"/>
        <v>7Y</v>
      </c>
      <c r="B78" s="20">
        <v>7</v>
      </c>
      <c r="C78" s="20" t="s">
        <v>86</v>
      </c>
      <c r="D78" s="20" t="s">
        <v>88</v>
      </c>
      <c r="E78" s="35" t="str">
        <f t="shared" si="14"/>
        <v>7YSWP</v>
      </c>
      <c r="F78" s="20" t="str">
        <f>_xll.qlSimpleQuote(E78,trigger)</f>
        <v>7YSWP#0012</v>
      </c>
      <c r="G78" s="20" t="str">
        <f>_xll.qlMakeVanillaSwap(,2,A78,$V$6,,"0D",$N$1,,$O$1,,trigger)</f>
        <v>obj_00479#0014</v>
      </c>
      <c r="H78" s="21">
        <f>_xll.qlCalendarAdvance(calendar,evaluationdate,"2D")</f>
        <v>42551</v>
      </c>
      <c r="I78" s="21">
        <f>_xll.qlCalendarAdvance(calendar,H78,A78)</f>
        <v>45107</v>
      </c>
      <c r="J78" s="22">
        <f>_xll.qlVanillaSwapFairRate(G78)</f>
        <v>8.7000000006097369E-4</v>
      </c>
      <c r="K78" s="23" t="e">
        <f>_xll.qlSimpleQuoteSetValue(F78,J78)</f>
        <v>#N/A</v>
      </c>
      <c r="L78" s="22">
        <v>0</v>
      </c>
      <c r="M78" s="20" t="str">
        <f t="shared" si="6"/>
        <v>C_7YSWP</v>
      </c>
      <c r="N78" s="20" t="str">
        <f>_xll.qlCompositeQuote(M78,F78,L78,"+",,trigger)</f>
        <v>C_7YSWP#0012</v>
      </c>
      <c r="O78" s="20" t="str">
        <f>_xll.qlSwapRateHelper2(,N78,2,A78,calendar,"Annual",$G$1,$N$1,$V$6,0,"0D","euronmx",,,,trigger)</f>
        <v>obj_0054e#0014</v>
      </c>
      <c r="P78" s="20" t="b">
        <f>IF($Z$2="SwapDesk",NOT(ISNA(VLOOKUP(E78,'Curve Configuration'!$T$6:$T$60,1,0))),NOT(ISNA(VLOOKUP(E78,'Curve Configuration'!$V$6:$V$35,1,0))))</f>
        <v>0</v>
      </c>
      <c r="Q78" s="18" t="e">
        <v>#N/A</v>
      </c>
      <c r="R78" s="94" t="str">
        <v>--</v>
      </c>
      <c r="AB78" s="99" t="e">
        <v>#N/A</v>
      </c>
      <c r="AC78" s="103" t="e">
        <v>#N/A</v>
      </c>
      <c r="AK78" s="21">
        <f>_xll.qlCalendarAdvance(calendar,AK77,"1D")</f>
        <v>42653</v>
      </c>
      <c r="AL78" s="21">
        <f>_xll.qlInterestRateIndexValueDate(hiborindex,AK78)</f>
        <v>42655</v>
      </c>
      <c r="AM78" s="23">
        <f>_xll.qlIndexFixing(hiborindex,AK78)</f>
        <v>-1.9937465295257299E-3</v>
      </c>
    </row>
    <row r="79" spans="1:39" x14ac:dyDescent="0.25">
      <c r="A79" s="20" t="str">
        <f t="shared" si="11"/>
        <v>8Y</v>
      </c>
      <c r="B79" s="20">
        <v>8</v>
      </c>
      <c r="C79" s="20" t="s">
        <v>86</v>
      </c>
      <c r="D79" s="20" t="s">
        <v>88</v>
      </c>
      <c r="E79" s="35" t="str">
        <f t="shared" si="14"/>
        <v>8YSWP</v>
      </c>
      <c r="F79" s="20" t="str">
        <f>_xll.qlSimpleQuote(E79,trigger)</f>
        <v>8YSWP#0012</v>
      </c>
      <c r="G79" s="20" t="str">
        <f>_xll.qlMakeVanillaSwap(,2,A79,$V$6,,"0D",$N$1,,$O$1,,trigger)</f>
        <v>obj_00473#0014</v>
      </c>
      <c r="H79" s="21">
        <f>_xll.qlCalendarAdvance(calendar,evaluationdate,"2D")</f>
        <v>42551</v>
      </c>
      <c r="I79" s="21">
        <f>_xll.qlCalendarAdvance(calendar,H79,A79)</f>
        <v>45474</v>
      </c>
      <c r="J79" s="22">
        <f>_xll.qlVanillaSwapFairRate(G79)</f>
        <v>1.8899999994998772E-3</v>
      </c>
      <c r="K79" s="23" t="e">
        <f>_xll.qlSimpleQuoteSetValue(F79,J79)</f>
        <v>#N/A</v>
      </c>
      <c r="L79" s="22">
        <v>0</v>
      </c>
      <c r="M79" s="20" t="str">
        <f t="shared" si="6"/>
        <v>C_8YSWP</v>
      </c>
      <c r="N79" s="20" t="str">
        <f>_xll.qlCompositeQuote(M79,F79,L79,"+",,trigger)</f>
        <v>C_8YSWP#0012</v>
      </c>
      <c r="O79" s="20" t="str">
        <f>_xll.qlSwapRateHelper2(,N79,2,A79,calendar,"Annual",$G$1,$N$1,$V$6,0,"0D","euronmx",,,,trigger)</f>
        <v>obj_0052c#0014</v>
      </c>
      <c r="P79" s="20" t="b">
        <f>IF($Z$2="SwapDesk",NOT(ISNA(VLOOKUP(E79,'Curve Configuration'!$T$6:$T$60,1,0))),NOT(ISNA(VLOOKUP(E79,'Curve Configuration'!$V$6:$V$35,1,0))))</f>
        <v>0</v>
      </c>
      <c r="Q79" s="18" t="e">
        <v>#N/A</v>
      </c>
      <c r="R79" s="94" t="str">
        <v>--</v>
      </c>
      <c r="AB79" s="99" t="e">
        <v>#N/A</v>
      </c>
      <c r="AC79" s="103" t="e">
        <v>#N/A</v>
      </c>
      <c r="AK79" s="21">
        <f>_xll.qlCalendarAdvance(calendar,AK78,"1D")</f>
        <v>42654</v>
      </c>
      <c r="AL79" s="21">
        <f>_xll.qlInterestRateIndexValueDate(hiborindex,AK79)</f>
        <v>42656</v>
      </c>
      <c r="AM79" s="23">
        <f>_xll.qlIndexFixing(hiborindex,AK79)</f>
        <v>-1.995570965344853E-3</v>
      </c>
    </row>
    <row r="80" spans="1:39" x14ac:dyDescent="0.25">
      <c r="A80" s="20" t="str">
        <f t="shared" si="11"/>
        <v>9Y</v>
      </c>
      <c r="B80" s="20">
        <v>9</v>
      </c>
      <c r="C80" s="20" t="s">
        <v>86</v>
      </c>
      <c r="D80" s="20" t="s">
        <v>88</v>
      </c>
      <c r="E80" s="35" t="str">
        <f t="shared" si="14"/>
        <v>9YSWP</v>
      </c>
      <c r="F80" s="20" t="str">
        <f>_xll.qlSimpleQuote(E80,trigger)</f>
        <v>9YSWP#0012</v>
      </c>
      <c r="G80" s="20" t="str">
        <f>_xll.qlMakeVanillaSwap(,2,A80,$V$6,,"0D",$N$1,,$O$1,,trigger)</f>
        <v>obj_00472#0014</v>
      </c>
      <c r="H80" s="21">
        <f>_xll.qlCalendarAdvance(calendar,evaluationdate,"2D")</f>
        <v>42551</v>
      </c>
      <c r="I80" s="21">
        <f>_xll.qlCalendarAdvance(calendar,H80,A80)</f>
        <v>45838</v>
      </c>
      <c r="J80" s="22">
        <f>_xll.qlVanillaSwapFairRate(G80)</f>
        <v>2.8999999991401863E-3</v>
      </c>
      <c r="K80" s="23" t="e">
        <f>_xll.qlSimpleQuoteSetValue(F80,J80)</f>
        <v>#N/A</v>
      </c>
      <c r="L80" s="22">
        <v>0</v>
      </c>
      <c r="M80" s="20" t="str">
        <f t="shared" si="6"/>
        <v>C_9YSWP</v>
      </c>
      <c r="N80" s="20" t="str">
        <f>_xll.qlCompositeQuote(M80,F80,L80,"+",,trigger)</f>
        <v>C_9YSWP#0012</v>
      </c>
      <c r="O80" s="20" t="str">
        <f>_xll.qlSwapRateHelper2(,N80,2,A80,calendar,"Annual",$G$1,$N$1,$V$6,0,"0D","euronmx",,,,trigger)</f>
        <v>obj_00556#0013</v>
      </c>
      <c r="P80" s="20" t="b">
        <f>IF($Z$2="SwapDesk",NOT(ISNA(VLOOKUP(E80,'Curve Configuration'!$T$6:$T$60,1,0))),NOT(ISNA(VLOOKUP(E80,'Curve Configuration'!$V$6:$V$35,1,0))))</f>
        <v>0</v>
      </c>
      <c r="Q80" s="18" t="e">
        <v>#N/A</v>
      </c>
      <c r="R80" s="94" t="str">
        <v>--</v>
      </c>
      <c r="AB80" s="99" t="e">
        <v>#N/A</v>
      </c>
      <c r="AC80" s="103" t="e">
        <v>#N/A</v>
      </c>
      <c r="AK80" s="21">
        <f>_xll.qlCalendarAdvance(calendar,AK79,"1D")</f>
        <v>42655</v>
      </c>
      <c r="AL80" s="21">
        <f>_xll.qlInterestRateIndexValueDate(hiborindex,AK80)</f>
        <v>42657</v>
      </c>
      <c r="AM80" s="23">
        <f>_xll.qlIndexFixing(hiborindex,AK80)</f>
        <v>-2.0026923936381394E-3</v>
      </c>
    </row>
    <row r="81" spans="1:39" x14ac:dyDescent="0.25">
      <c r="A81" s="20" t="str">
        <f t="shared" si="11"/>
        <v>10Y</v>
      </c>
      <c r="B81" s="20">
        <v>10</v>
      </c>
      <c r="C81" s="20" t="s">
        <v>86</v>
      </c>
      <c r="D81" s="20" t="s">
        <v>88</v>
      </c>
      <c r="E81" s="35" t="str">
        <f t="shared" si="14"/>
        <v>10YSWP</v>
      </c>
      <c r="F81" s="20" t="str">
        <f>_xll.qlSimpleQuote(E81,trigger)</f>
        <v>10YSWP#0012</v>
      </c>
      <c r="G81" s="20" t="str">
        <f>_xll.qlMakeVanillaSwap(,2,A81,$V$6,,"0D",$N$1,,$O$1,,trigger)</f>
        <v>obj_00463#0014</v>
      </c>
      <c r="H81" s="21">
        <f>_xll.qlCalendarAdvance(calendar,evaluationdate,"2D")</f>
        <v>42551</v>
      </c>
      <c r="I81" s="21">
        <f>_xll.qlCalendarAdvance(calendar,H81,A81)</f>
        <v>46203</v>
      </c>
      <c r="J81" s="22">
        <f>_xll.qlVanillaSwapFairRate(G81)</f>
        <v>3.810000000025163E-3</v>
      </c>
      <c r="K81" s="23" t="e">
        <f>_xll.qlSimpleQuoteSetValue(F81,J81)</f>
        <v>#N/A</v>
      </c>
      <c r="L81" s="22">
        <v>0</v>
      </c>
      <c r="M81" s="20" t="str">
        <f t="shared" si="6"/>
        <v>C_10YSWP</v>
      </c>
      <c r="N81" s="20" t="str">
        <f>_xll.qlCompositeQuote(M81,F81,L81,"+",,trigger)</f>
        <v>C_10YSWP#0012</v>
      </c>
      <c r="O81" s="20" t="str">
        <f>_xll.qlSwapRateHelper2(,N81,2,A81,calendar,"Annual",$G$1,$N$1,$V$6,0,"0D","euronmx",,,,trigger)</f>
        <v>obj_0052f#0014</v>
      </c>
      <c r="P81" s="20" t="b">
        <f>IF($Z$2="SwapDesk",NOT(ISNA(VLOOKUP(E81,'Curve Configuration'!$T$6:$T$60,1,0))),NOT(ISNA(VLOOKUP(E81,'Curve Configuration'!$V$6:$V$35,1,0))))</f>
        <v>0</v>
      </c>
      <c r="Q81" s="18" t="e">
        <v>#N/A</v>
      </c>
      <c r="R81" s="94" t="str">
        <v>--</v>
      </c>
      <c r="AB81" s="99" t="e">
        <v>#N/A</v>
      </c>
      <c r="AC81" s="103" t="e">
        <v>#N/A</v>
      </c>
      <c r="AK81" s="21">
        <f>_xll.qlCalendarAdvance(calendar,AK80,"1D")</f>
        <v>42656</v>
      </c>
      <c r="AL81" s="21">
        <f>_xll.qlInterestRateIndexValueDate(hiborindex,AK81)</f>
        <v>42660</v>
      </c>
      <c r="AM81" s="23">
        <f>_xll.qlIndexFixing(hiborindex,AK81)</f>
        <v>-2.0039781065049724E-3</v>
      </c>
    </row>
    <row r="82" spans="1:39" x14ac:dyDescent="0.25">
      <c r="A82" s="20" t="str">
        <f t="shared" si="11"/>
        <v>11Y</v>
      </c>
      <c r="B82" s="20">
        <v>11</v>
      </c>
      <c r="C82" s="20" t="s">
        <v>86</v>
      </c>
      <c r="D82" s="20" t="s">
        <v>88</v>
      </c>
      <c r="E82" s="35" t="str">
        <f t="shared" si="14"/>
        <v>11YSWP</v>
      </c>
      <c r="F82" s="20" t="str">
        <f>_xll.qlSimpleQuote(E82,trigger)</f>
        <v>11YSWP#0012</v>
      </c>
      <c r="G82" s="20" t="str">
        <f>_xll.qlMakeVanillaSwap(,2,A82,$V$6,,"0D",$N$1,,$O$1,,trigger)</f>
        <v>obj_0046d#0014</v>
      </c>
      <c r="H82" s="21">
        <f>_xll.qlCalendarAdvance(calendar,evaluationdate,"2D")</f>
        <v>42551</v>
      </c>
      <c r="I82" s="21">
        <f>_xll.qlCalendarAdvance(calendar,H82,A82)</f>
        <v>46568</v>
      </c>
      <c r="J82" s="22">
        <f>_xll.qlVanillaSwapFairRate(G82)</f>
        <v>4.627120450038969E-3</v>
      </c>
      <c r="K82" s="23" t="e">
        <f>_xll.qlSimpleQuoteSetValue(F82,J82)</f>
        <v>#N/A</v>
      </c>
      <c r="L82" s="22">
        <v>0</v>
      </c>
      <c r="M82" s="20" t="str">
        <f t="shared" si="6"/>
        <v>C_11YSWP</v>
      </c>
      <c r="N82" s="20" t="str">
        <f>_xll.qlCompositeQuote(M82,F82,L82,"+",,trigger)</f>
        <v>C_11YSWP#0012</v>
      </c>
      <c r="O82" s="20" t="str">
        <f>_xll.qlSwapRateHelper2(,N82,2,A82,calendar,"Annual",$G$1,$N$1,$V$6,0,"0D","euronmx",,,,trigger)</f>
        <v>obj_00540#0014</v>
      </c>
      <c r="P82" s="20" t="b">
        <f>IF($Z$2="SwapDesk",NOT(ISNA(VLOOKUP(E82,'Curve Configuration'!$T$6:$T$60,1,0))),NOT(ISNA(VLOOKUP(E82,'Curve Configuration'!$V$6:$V$35,1,0))))</f>
        <v>0</v>
      </c>
      <c r="Q82" s="18" t="e">
        <v>#N/A</v>
      </c>
      <c r="R82" s="94" t="str">
        <v>--</v>
      </c>
      <c r="AB82" s="99" t="e">
        <v>#N/A</v>
      </c>
      <c r="AC82" s="103" t="e">
        <v>#N/A</v>
      </c>
      <c r="AK82" s="21">
        <f>_xll.qlCalendarAdvance(calendar,AK81,"1D")</f>
        <v>42657</v>
      </c>
      <c r="AL82" s="21">
        <f>_xll.qlInterestRateIndexValueDate(hiborindex,AK82)</f>
        <v>42661</v>
      </c>
      <c r="AM82" s="23">
        <f>_xll.qlIndexFixing(hiborindex,AK82)</f>
        <v>-2.0043367467297854E-3</v>
      </c>
    </row>
    <row r="83" spans="1:39" x14ac:dyDescent="0.25">
      <c r="A83" s="20" t="str">
        <f t="shared" si="11"/>
        <v>12Y</v>
      </c>
      <c r="B83" s="20">
        <v>12</v>
      </c>
      <c r="C83" s="20" t="s">
        <v>86</v>
      </c>
      <c r="D83" s="20" t="s">
        <v>88</v>
      </c>
      <c r="E83" s="35" t="str">
        <f t="shared" si="14"/>
        <v>12YSWP</v>
      </c>
      <c r="F83" s="20" t="str">
        <f>_xll.qlSimpleQuote(E83,trigger)</f>
        <v>12YSWP#0012</v>
      </c>
      <c r="G83" s="20" t="str">
        <f>_xll.qlMakeVanillaSwap(,2,A83,$V$6,,"0D",$N$1,,$O$1,,trigger)</f>
        <v>obj_00487#0014</v>
      </c>
      <c r="H83" s="21">
        <f>_xll.qlCalendarAdvance(calendar,evaluationdate,"2D")</f>
        <v>42551</v>
      </c>
      <c r="I83" s="21">
        <f>_xll.qlCalendarAdvance(calendar,H83,A83)</f>
        <v>46934</v>
      </c>
      <c r="J83" s="22">
        <f>_xll.qlVanillaSwapFairRate(G83)</f>
        <v>5.3500000000515037E-3</v>
      </c>
      <c r="K83" s="23" t="e">
        <f>_xll.qlSimpleQuoteSetValue(F83,J83)</f>
        <v>#N/A</v>
      </c>
      <c r="L83" s="22">
        <v>0</v>
      </c>
      <c r="M83" s="20" t="str">
        <f t="shared" si="6"/>
        <v>C_12YSWP</v>
      </c>
      <c r="N83" s="20" t="str">
        <f>_xll.qlCompositeQuote(M83,F83,L83,"+",,trigger)</f>
        <v>C_12YSWP#0012</v>
      </c>
      <c r="O83" s="20" t="str">
        <f>_xll.qlSwapRateHelper2(,N83,2,A83,calendar,"Annual",$G$1,$N$1,$V$6,0,"0D","euronmx",,,,trigger)</f>
        <v>obj_0054a#0014</v>
      </c>
      <c r="P83" s="20" t="b">
        <f>IF($Z$2="SwapDesk",NOT(ISNA(VLOOKUP(E83,'Curve Configuration'!$T$6:$T$60,1,0))),NOT(ISNA(VLOOKUP(E83,'Curve Configuration'!$V$6:$V$35,1,0))))</f>
        <v>0</v>
      </c>
      <c r="Q83" s="18" t="e">
        <v>#N/A</v>
      </c>
      <c r="R83" s="94" t="str">
        <v>--</v>
      </c>
      <c r="AB83" s="99" t="e">
        <v>#N/A</v>
      </c>
      <c r="AC83" s="103" t="e">
        <v>#N/A</v>
      </c>
      <c r="AK83" s="21">
        <f>_xll.qlCalendarAdvance(calendar,AK82,"1D")</f>
        <v>42660</v>
      </c>
      <c r="AL83" s="21">
        <f>_xll.qlInterestRateIndexValueDate(hiborindex,AK83)</f>
        <v>42662</v>
      </c>
      <c r="AM83" s="23">
        <f>_xll.qlIndexFixing(hiborindex,AK83)</f>
        <v>-2.006018623907094E-3</v>
      </c>
    </row>
    <row r="84" spans="1:39" x14ac:dyDescent="0.25">
      <c r="A84" s="20" t="str">
        <f t="shared" si="11"/>
        <v>13Y</v>
      </c>
      <c r="B84" s="20">
        <v>13</v>
      </c>
      <c r="C84" s="20" t="s">
        <v>86</v>
      </c>
      <c r="D84" s="20" t="s">
        <v>88</v>
      </c>
      <c r="E84" s="35" t="str">
        <f t="shared" si="14"/>
        <v>13YSWP</v>
      </c>
      <c r="F84" s="20" t="str">
        <f>_xll.qlSimpleQuote(E84,trigger)</f>
        <v>13YSWP#0012</v>
      </c>
      <c r="G84" s="20" t="str">
        <f>_xll.qlMakeVanillaSwap(,2,A84,$V$6,,"0D",$N$1,,$O$1,,trigger)</f>
        <v>obj_0047c#0014</v>
      </c>
      <c r="H84" s="21">
        <f>_xll.qlCalendarAdvance(calendar,evaluationdate,"2D")</f>
        <v>42551</v>
      </c>
      <c r="I84" s="21">
        <f>_xll.qlCalendarAdvance(calendar,H84,A84)</f>
        <v>47301</v>
      </c>
      <c r="J84" s="22">
        <f>_xll.qlVanillaSwapFairRate(G84)</f>
        <v>5.9624610000631913E-3</v>
      </c>
      <c r="K84" s="23" t="e">
        <f>_xll.qlSimpleQuoteSetValue(F84,J84)</f>
        <v>#N/A</v>
      </c>
      <c r="L84" s="22">
        <v>0</v>
      </c>
      <c r="M84" s="20" t="str">
        <f t="shared" si="6"/>
        <v>C_13YSWP</v>
      </c>
      <c r="N84" s="20" t="str">
        <f>_xll.qlCompositeQuote(M84,F84,L84,"+",,trigger)</f>
        <v>C_13YSWP#0012</v>
      </c>
      <c r="O84" s="20" t="str">
        <f>_xll.qlSwapRateHelper2(,N84,2,A84,calendar,"Annual",$G$1,$N$1,$V$6,0,"0D","euronmx",,,,trigger)</f>
        <v>obj_00549#0014</v>
      </c>
      <c r="P84" s="20" t="b">
        <f>IF($Z$2="SwapDesk",NOT(ISNA(VLOOKUP(E84,'Curve Configuration'!$T$6:$T$60,1,0))),NOT(ISNA(VLOOKUP(E84,'Curve Configuration'!$V$6:$V$35,1,0))))</f>
        <v>0</v>
      </c>
      <c r="Q84" s="18" t="e">
        <v>#N/A</v>
      </c>
      <c r="R84" s="94" t="str">
        <v>--</v>
      </c>
      <c r="AB84" s="99" t="e">
        <v>#N/A</v>
      </c>
      <c r="AC84" s="103" t="e">
        <v>#N/A</v>
      </c>
      <c r="AK84" s="21">
        <f>_xll.qlCalendarAdvance(calendar,AK83,"1D")</f>
        <v>42661</v>
      </c>
      <c r="AL84" s="21">
        <f>_xll.qlInterestRateIndexValueDate(hiborindex,AK84)</f>
        <v>42663</v>
      </c>
      <c r="AM84" s="23">
        <f>_xll.qlIndexFixing(hiborindex,AK84)</f>
        <v>-2.0076767415276634E-3</v>
      </c>
    </row>
    <row r="85" spans="1:39" x14ac:dyDescent="0.25">
      <c r="A85" s="20" t="str">
        <f t="shared" si="11"/>
        <v>14Y</v>
      </c>
      <c r="B85" s="20">
        <v>14</v>
      </c>
      <c r="C85" s="20" t="s">
        <v>86</v>
      </c>
      <c r="D85" s="20" t="s">
        <v>88</v>
      </c>
      <c r="E85" s="35" t="str">
        <f t="shared" si="14"/>
        <v>14YSWP</v>
      </c>
      <c r="F85" s="20" t="str">
        <f>_xll.qlSimpleQuote(E85,trigger)</f>
        <v>14YSWP#0012</v>
      </c>
      <c r="G85" s="20" t="str">
        <f>_xll.qlMakeVanillaSwap(,2,A85,$V$6,,"0D",$N$1,,$O$1,,trigger)</f>
        <v>obj_0046a#0014</v>
      </c>
      <c r="H85" s="21">
        <f>_xll.qlCalendarAdvance(calendar,evaluationdate,"2D")</f>
        <v>42551</v>
      </c>
      <c r="I85" s="21">
        <f>_xll.qlCalendarAdvance(calendar,H85,A85)</f>
        <v>47665</v>
      </c>
      <c r="J85" s="22">
        <f>_xll.qlVanillaSwapFairRate(G85)</f>
        <v>6.475219889932271E-3</v>
      </c>
      <c r="K85" s="23" t="e">
        <f>_xll.qlSimpleQuoteSetValue(F85,J85)</f>
        <v>#N/A</v>
      </c>
      <c r="L85" s="22">
        <v>0</v>
      </c>
      <c r="M85" s="20" t="str">
        <f t="shared" si="6"/>
        <v>C_14YSWP</v>
      </c>
      <c r="N85" s="20" t="str">
        <f>_xll.qlCompositeQuote(M85,F85,L85,"+",,trigger)</f>
        <v>C_14YSWP#0012</v>
      </c>
      <c r="O85" s="20" t="str">
        <f>_xll.qlSwapRateHelper2(,N85,2,A85,calendar,"Annual",$G$1,$N$1,$V$6,0,"0D","euronmx",,,,trigger)</f>
        <v>obj_00542#0014</v>
      </c>
      <c r="P85" s="20" t="b">
        <f>IF($Z$2="SwapDesk",NOT(ISNA(VLOOKUP(E85,'Curve Configuration'!$T$6:$T$60,1,0))),NOT(ISNA(VLOOKUP(E85,'Curve Configuration'!$V$6:$V$35,1,0))))</f>
        <v>0</v>
      </c>
      <c r="Q85" s="18" t="e">
        <v>#N/A</v>
      </c>
      <c r="R85" s="94" t="str">
        <v>--</v>
      </c>
      <c r="AB85" s="99" t="e">
        <v>#N/A</v>
      </c>
      <c r="AC85" s="103" t="e">
        <v>#N/A</v>
      </c>
      <c r="AK85" s="21">
        <f>_xll.qlCalendarAdvance(calendar,AK84,"1D")</f>
        <v>42662</v>
      </c>
      <c r="AL85" s="21">
        <f>_xll.qlInterestRateIndexValueDate(hiborindex,AK85)</f>
        <v>42664</v>
      </c>
      <c r="AM85" s="23">
        <f>_xll.qlIndexFixing(hiborindex,AK85)</f>
        <v>-2.0093110996523235E-3</v>
      </c>
    </row>
    <row r="86" spans="1:39" x14ac:dyDescent="0.25">
      <c r="A86" s="20" t="str">
        <f t="shared" si="11"/>
        <v>15Y</v>
      </c>
      <c r="B86" s="20">
        <v>15</v>
      </c>
      <c r="C86" s="20" t="s">
        <v>86</v>
      </c>
      <c r="D86" s="20" t="s">
        <v>88</v>
      </c>
      <c r="E86" s="35" t="str">
        <f t="shared" si="14"/>
        <v>15YSWP</v>
      </c>
      <c r="F86" s="20" t="str">
        <f>_xll.qlSimpleQuote(E86,trigger)</f>
        <v>15YSWP#0012</v>
      </c>
      <c r="G86" s="20" t="str">
        <f>_xll.qlMakeVanillaSwap(,2,A86,$V$6,,"0D",$N$1,,$O$1,,trigger)</f>
        <v>obj_0046c#0014</v>
      </c>
      <c r="H86" s="21">
        <f>_xll.qlCalendarAdvance(calendar,evaluationdate,"2D")</f>
        <v>42551</v>
      </c>
      <c r="I86" s="21">
        <f>_xll.qlCalendarAdvance(calendar,H86,A86)</f>
        <v>48029</v>
      </c>
      <c r="J86" s="22">
        <f>_xll.qlVanillaSwapFairRate(G86)</f>
        <v>6.899999999934116E-3</v>
      </c>
      <c r="K86" s="23" t="e">
        <f>_xll.qlSimpleQuoteSetValue(F86,J86)</f>
        <v>#N/A</v>
      </c>
      <c r="L86" s="22">
        <v>0</v>
      </c>
      <c r="M86" s="20" t="str">
        <f t="shared" si="6"/>
        <v>C_15YSWP</v>
      </c>
      <c r="N86" s="20" t="str">
        <f>_xll.qlCompositeQuote(M86,F86,L86,"+",,trigger)</f>
        <v>C_15YSWP#0012</v>
      </c>
      <c r="O86" s="20" t="str">
        <f>_xll.qlSwapRateHelper2(,N86,2,A86,calendar,"Annual",$G$1,$N$1,$V$6,0,"0D","euronmx",,,,trigger)</f>
        <v>obj_0052e#0014</v>
      </c>
      <c r="P86" s="20" t="b">
        <f>IF($Z$2="SwapDesk",NOT(ISNA(VLOOKUP(E86,'Curve Configuration'!$T$6:$T$60,1,0))),NOT(ISNA(VLOOKUP(E86,'Curve Configuration'!$V$6:$V$35,1,0))))</f>
        <v>0</v>
      </c>
      <c r="Q86" s="18" t="e">
        <v>#N/A</v>
      </c>
      <c r="R86" s="94" t="str">
        <v>--</v>
      </c>
      <c r="AB86" s="99" t="e">
        <v>#N/A</v>
      </c>
      <c r="AC86" s="103" t="e">
        <v>#N/A</v>
      </c>
      <c r="AK86" s="21">
        <f>_xll.qlCalendarAdvance(calendar,AK85,"1D")</f>
        <v>42663</v>
      </c>
      <c r="AL86" s="21">
        <f>_xll.qlInterestRateIndexValueDate(hiborindex,AK86)</f>
        <v>42667</v>
      </c>
      <c r="AM86" s="23">
        <f>_xll.qlIndexFixing(hiborindex,AK86)</f>
        <v>-2.0140716176314829E-3</v>
      </c>
    </row>
    <row r="87" spans="1:39" x14ac:dyDescent="0.25">
      <c r="A87" s="20" t="str">
        <f t="shared" si="11"/>
        <v>16Y</v>
      </c>
      <c r="B87" s="20">
        <v>16</v>
      </c>
      <c r="C87" s="20" t="s">
        <v>86</v>
      </c>
      <c r="D87" s="20" t="s">
        <v>88</v>
      </c>
      <c r="E87" s="35" t="str">
        <f t="shared" si="14"/>
        <v>16YSWP</v>
      </c>
      <c r="F87" s="20" t="str">
        <f>_xll.qlSimpleQuote(E87,trigger)</f>
        <v>16YSWP#0012</v>
      </c>
      <c r="G87" s="20" t="str">
        <f>_xll.qlMakeVanillaSwap(,2,A87,$V$6,,"0D",$N$1,,$O$1,,trigger)</f>
        <v>obj_00462#0014</v>
      </c>
      <c r="H87" s="21">
        <f>_xll.qlCalendarAdvance(calendar,evaluationdate,"2D")</f>
        <v>42551</v>
      </c>
      <c r="I87" s="21">
        <f>_xll.qlCalendarAdvance(calendar,H87,A87)</f>
        <v>48395</v>
      </c>
      <c r="J87" s="22">
        <f>_xll.qlVanillaSwapFairRate(G87)</f>
        <v>7.2416835899370181E-3</v>
      </c>
      <c r="K87" s="23" t="e">
        <f>_xll.qlSimpleQuoteSetValue(F87,J87)</f>
        <v>#N/A</v>
      </c>
      <c r="L87" s="22">
        <v>0</v>
      </c>
      <c r="M87" s="20" t="str">
        <f t="shared" si="6"/>
        <v>C_16YSWP</v>
      </c>
      <c r="N87" s="20" t="str">
        <f>_xll.qlCompositeQuote(M87,F87,L87,"+",,trigger)</f>
        <v>C_16YSWP#0012</v>
      </c>
      <c r="O87" s="20" t="str">
        <f>_xll.qlSwapRateHelper2(,N87,2,A87,calendar,"Annual",$G$1,$N$1,$V$6,0,"0D","euronmx",,,,trigger)</f>
        <v>obj_00557#0013</v>
      </c>
      <c r="P87" s="20" t="b">
        <f>IF($Z$2="SwapDesk",NOT(ISNA(VLOOKUP(E87,'Curve Configuration'!$T$6:$T$60,1,0))),NOT(ISNA(VLOOKUP(E87,'Curve Configuration'!$V$6:$V$35,1,0))))</f>
        <v>0</v>
      </c>
      <c r="Q87" s="18" t="e">
        <v>#N/A</v>
      </c>
      <c r="R87" s="94" t="str">
        <v>--</v>
      </c>
      <c r="AB87" s="99" t="e">
        <v>#N/A</v>
      </c>
      <c r="AC87" s="103" t="e">
        <v>#N/A</v>
      </c>
      <c r="AK87" s="21">
        <f>_xll.qlCalendarAdvance(calendar,AK86,"1D")</f>
        <v>42664</v>
      </c>
      <c r="AL87" s="21">
        <f>_xll.qlInterestRateIndexValueDate(hiborindex,AK87)</f>
        <v>42668</v>
      </c>
      <c r="AM87" s="23">
        <f>_xll.qlIndexFixing(hiborindex,AK87)</f>
        <v>-2.015610938350725E-3</v>
      </c>
    </row>
    <row r="88" spans="1:39" x14ac:dyDescent="0.25">
      <c r="A88" s="20" t="str">
        <f t="shared" si="11"/>
        <v>17Y</v>
      </c>
      <c r="B88" s="20">
        <v>17</v>
      </c>
      <c r="C88" s="20" t="s">
        <v>86</v>
      </c>
      <c r="D88" s="20" t="s">
        <v>88</v>
      </c>
      <c r="E88" s="35" t="str">
        <f t="shared" si="14"/>
        <v>17YSWP</v>
      </c>
      <c r="F88" s="20" t="str">
        <f>_xll.qlSimpleQuote(E88,trigger)</f>
        <v>17YSWP#0012</v>
      </c>
      <c r="G88" s="20" t="str">
        <f>_xll.qlMakeVanillaSwap(,2,A88,$V$6,,"0D",$N$1,,$O$1,,trigger)</f>
        <v>obj_00467#0014</v>
      </c>
      <c r="H88" s="21">
        <f>_xll.qlCalendarAdvance(calendar,evaluationdate,"2D")</f>
        <v>42551</v>
      </c>
      <c r="I88" s="21">
        <f>_xll.qlCalendarAdvance(calendar,H88,A88)</f>
        <v>48760</v>
      </c>
      <c r="J88" s="22">
        <f>_xll.qlVanillaSwapFairRate(G88)</f>
        <v>7.509310179938904E-3</v>
      </c>
      <c r="K88" s="23" t="e">
        <f>_xll.qlSimpleQuoteSetValue(F88,J88)</f>
        <v>#N/A</v>
      </c>
      <c r="L88" s="22">
        <v>0</v>
      </c>
      <c r="M88" s="20" t="str">
        <f t="shared" si="6"/>
        <v>C_17YSWP</v>
      </c>
      <c r="N88" s="20" t="str">
        <f>_xll.qlCompositeQuote(M88,F88,L88,"+",,trigger)</f>
        <v>C_17YSWP#0012</v>
      </c>
      <c r="O88" s="20" t="str">
        <f>_xll.qlSwapRateHelper2(,N88,2,A88,calendar,"Annual",$G$1,$N$1,$V$6,0,"0D","euronmx",,,,trigger)</f>
        <v>obj_00547#0014</v>
      </c>
      <c r="P88" s="20" t="b">
        <f>IF($Z$2="SwapDesk",NOT(ISNA(VLOOKUP(E88,'Curve Configuration'!$T$6:$T$60,1,0))),NOT(ISNA(VLOOKUP(E88,'Curve Configuration'!$V$6:$V$35,1,0))))</f>
        <v>0</v>
      </c>
      <c r="Q88" s="18" t="e">
        <v>#N/A</v>
      </c>
      <c r="R88" s="94" t="str">
        <v>--</v>
      </c>
      <c r="AB88" s="99" t="e">
        <v>#N/A</v>
      </c>
      <c r="AC88" s="103" t="e">
        <v>#N/A</v>
      </c>
      <c r="AK88" s="21">
        <f>_xll.qlCalendarAdvance(calendar,AK87,"1D")</f>
        <v>42667</v>
      </c>
      <c r="AL88" s="21">
        <f>_xll.qlInterestRateIndexValueDate(hiborindex,AK88)</f>
        <v>42669</v>
      </c>
      <c r="AM88" s="23">
        <f>_xll.qlIndexFixing(hiborindex,AK88)</f>
        <v>-2.017126499859983E-3</v>
      </c>
    </row>
    <row r="89" spans="1:39" x14ac:dyDescent="0.25">
      <c r="A89" s="20" t="str">
        <f t="shared" si="11"/>
        <v>18Y</v>
      </c>
      <c r="B89" s="20">
        <v>18</v>
      </c>
      <c r="C89" s="20" t="s">
        <v>86</v>
      </c>
      <c r="D89" s="20" t="s">
        <v>88</v>
      </c>
      <c r="E89" s="35" t="str">
        <f t="shared" si="14"/>
        <v>18YSWP</v>
      </c>
      <c r="F89" s="20" t="str">
        <f>_xll.qlSimpleQuote(E89,trigger)</f>
        <v>18YSWP#0012</v>
      </c>
      <c r="G89" s="20" t="str">
        <f>_xll.qlMakeVanillaSwap(,2,A89,$V$6,,"0D",$N$1,,$O$1,,trigger)</f>
        <v>obj_00482#0014</v>
      </c>
      <c r="H89" s="21">
        <f>_xll.qlCalendarAdvance(calendar,evaluationdate,"2D")</f>
        <v>42551</v>
      </c>
      <c r="I89" s="21">
        <f>_xll.qlCalendarAdvance(calendar,H89,A89)</f>
        <v>49125</v>
      </c>
      <c r="J89" s="22">
        <f>_xll.qlVanillaSwapFairRate(G89)</f>
        <v>7.7159820599424379E-3</v>
      </c>
      <c r="K89" s="23" t="e">
        <f>_xll.qlSimpleQuoteSetValue(F89,J89)</f>
        <v>#N/A</v>
      </c>
      <c r="L89" s="22">
        <v>0</v>
      </c>
      <c r="M89" s="20" t="str">
        <f t="shared" si="6"/>
        <v>C_18YSWP</v>
      </c>
      <c r="N89" s="20" t="str">
        <f>_xll.qlCompositeQuote(M89,F89,L89,"+",,trigger)</f>
        <v>C_18YSWP#0012</v>
      </c>
      <c r="O89" s="20" t="str">
        <f>_xll.qlSwapRateHelper2(,N89,2,A89,calendar,"Annual",$G$1,$N$1,$V$6,0,"0D","euronmx",,,,trigger)</f>
        <v>obj_0053a#0014</v>
      </c>
      <c r="P89" s="20" t="b">
        <f>IF($Z$2="SwapDesk",NOT(ISNA(VLOOKUP(E89,'Curve Configuration'!$T$6:$T$60,1,0))),NOT(ISNA(VLOOKUP(E89,'Curve Configuration'!$V$6:$V$35,1,0))))</f>
        <v>0</v>
      </c>
      <c r="Q89" s="18" t="e">
        <v>#N/A</v>
      </c>
      <c r="R89" s="94" t="str">
        <v>--</v>
      </c>
      <c r="AB89" s="99" t="e">
        <v>#N/A</v>
      </c>
      <c r="AC89" s="103" t="e">
        <v>#N/A</v>
      </c>
      <c r="AK89" s="21">
        <f>_xll.qlCalendarAdvance(calendar,AK88,"1D")</f>
        <v>42668</v>
      </c>
      <c r="AL89" s="21">
        <f>_xll.qlInterestRateIndexValueDate(hiborindex,AK89)</f>
        <v>42670</v>
      </c>
      <c r="AM89" s="23">
        <f>_xll.qlIndexFixing(hiborindex,AK89)</f>
        <v>-2.0186183022130599E-3</v>
      </c>
    </row>
    <row r="90" spans="1:39" x14ac:dyDescent="0.25">
      <c r="A90" s="20" t="str">
        <f t="shared" si="11"/>
        <v>19Y</v>
      </c>
      <c r="B90" s="20">
        <v>19</v>
      </c>
      <c r="C90" s="20" t="s">
        <v>86</v>
      </c>
      <c r="D90" s="20" t="s">
        <v>88</v>
      </c>
      <c r="E90" s="35" t="str">
        <f t="shared" si="14"/>
        <v>19YSWP</v>
      </c>
      <c r="F90" s="20" t="str">
        <f>_xll.qlSimpleQuote(E90,trigger)</f>
        <v>19YSWP#0012</v>
      </c>
      <c r="G90" s="20" t="str">
        <f>_xll.qlMakeVanillaSwap(,2,A90,$V$6,,"0D",$N$1,,$O$1,,trigger)</f>
        <v>obj_00470#0014</v>
      </c>
      <c r="H90" s="21">
        <f>_xll.qlCalendarAdvance(calendar,evaluationdate,"2D")</f>
        <v>42551</v>
      </c>
      <c r="I90" s="21">
        <f>_xll.qlCalendarAdvance(calendar,H90,A90)</f>
        <v>49492</v>
      </c>
      <c r="J90" s="22">
        <f>_xll.qlVanillaSwapFairRate(G90)</f>
        <v>7.8719597699426404E-3</v>
      </c>
      <c r="K90" s="23" t="e">
        <f>_xll.qlSimpleQuoteSetValue(F90,J90)</f>
        <v>#N/A</v>
      </c>
      <c r="L90" s="22">
        <v>0</v>
      </c>
      <c r="M90" s="20" t="str">
        <f t="shared" si="6"/>
        <v>C_19YSWP</v>
      </c>
      <c r="N90" s="20" t="str">
        <f>_xll.qlCompositeQuote(M90,F90,L90,"+",,trigger)</f>
        <v>C_19YSWP#0012</v>
      </c>
      <c r="O90" s="20" t="str">
        <f>_xll.qlSwapRateHelper2(,N90,2,A90,calendar,"Annual",$G$1,$N$1,$V$6,0,"0D","euronmx",,,,trigger)</f>
        <v>obj_0053d#0014</v>
      </c>
      <c r="P90" s="20" t="b">
        <f>IF($Z$2="SwapDesk",NOT(ISNA(VLOOKUP(E90,'Curve Configuration'!$T$6:$T$60,1,0))),NOT(ISNA(VLOOKUP(E90,'Curve Configuration'!$V$6:$V$35,1,0))))</f>
        <v>0</v>
      </c>
      <c r="Q90" s="18" t="e">
        <v>#N/A</v>
      </c>
      <c r="R90" s="94" t="str">
        <v>--</v>
      </c>
      <c r="AB90" s="99" t="e">
        <v>#N/A</v>
      </c>
      <c r="AC90" s="103" t="e">
        <v>#N/A</v>
      </c>
      <c r="AK90" s="21">
        <f>_xll.qlCalendarAdvance(calendar,AK89,"1D")</f>
        <v>42669</v>
      </c>
      <c r="AL90" s="21">
        <f>_xll.qlInterestRateIndexValueDate(hiborindex,AK90)</f>
        <v>42671</v>
      </c>
      <c r="AM90" s="23">
        <f>_xll.qlIndexFixing(hiborindex,AK90)</f>
        <v>-2.0200863454641984E-3</v>
      </c>
    </row>
    <row r="91" spans="1:39" x14ac:dyDescent="0.25">
      <c r="A91" s="20" t="str">
        <f t="shared" si="11"/>
        <v>20Y</v>
      </c>
      <c r="B91" s="20">
        <v>20</v>
      </c>
      <c r="C91" s="20" t="s">
        <v>86</v>
      </c>
      <c r="D91" s="20" t="s">
        <v>88</v>
      </c>
      <c r="E91" s="35" t="str">
        <f t="shared" si="14"/>
        <v>20YSWP</v>
      </c>
      <c r="F91" s="20" t="str">
        <f>_xll.qlSimpleQuote(E91,trigger)</f>
        <v>20YSWP#0012</v>
      </c>
      <c r="G91" s="20" t="str">
        <f>_xll.qlMakeVanillaSwap(,2,A91,$V$6,,"0D",$N$1,,$O$1,,trigger)</f>
        <v>obj_0045f#0014</v>
      </c>
      <c r="H91" s="21">
        <f>_xll.qlCalendarAdvance(calendar,evaluationdate,"2D")</f>
        <v>42551</v>
      </c>
      <c r="I91" s="21">
        <f>_xll.qlCalendarAdvance(calendar,H91,A91)</f>
        <v>49856</v>
      </c>
      <c r="J91" s="22">
        <f>_xll.qlVanillaSwapFairRate(G91)</f>
        <v>7.9899999999390337E-3</v>
      </c>
      <c r="K91" s="23" t="e">
        <f>_xll.qlSimpleQuoteSetValue(F91,J91)</f>
        <v>#N/A</v>
      </c>
      <c r="L91" s="22">
        <v>0</v>
      </c>
      <c r="M91" s="20" t="str">
        <f t="shared" si="6"/>
        <v>C_20YSWP</v>
      </c>
      <c r="N91" s="20" t="str">
        <f>_xll.qlCompositeQuote(M91,F91,L91,"+",,trigger)</f>
        <v>C_20YSWP#0012</v>
      </c>
      <c r="O91" s="20" t="str">
        <f>_xll.qlSwapRateHelper2(,N91,2,A91,calendar,"Annual",$G$1,$N$1,$V$6,0,"0D","euronmx",,,,trigger)</f>
        <v>obj_00555#0013</v>
      </c>
      <c r="P91" s="20" t="b">
        <f>IF($Z$2="SwapDesk",NOT(ISNA(VLOOKUP(E91,'Curve Configuration'!$T$6:$T$60,1,0))),NOT(ISNA(VLOOKUP(E91,'Curve Configuration'!$V$6:$V$35,1,0))))</f>
        <v>0</v>
      </c>
      <c r="Q91" s="18" t="e">
        <v>#N/A</v>
      </c>
      <c r="R91" s="94" t="str">
        <v>--</v>
      </c>
      <c r="AB91" s="99" t="e">
        <v>#N/A</v>
      </c>
      <c r="AC91" s="103" t="e">
        <v>#N/A</v>
      </c>
      <c r="AK91" s="21">
        <f>_xll.qlCalendarAdvance(calendar,AK90,"1D")</f>
        <v>42670</v>
      </c>
      <c r="AL91" s="21">
        <f>_xll.qlInterestRateIndexValueDate(hiborindex,AK91)</f>
        <v>42674</v>
      </c>
      <c r="AM91" s="23">
        <f>_xll.qlIndexFixing(hiborindex,AK91)</f>
        <v>-2.0200000001004484E-3</v>
      </c>
    </row>
    <row r="92" spans="1:39" x14ac:dyDescent="0.25">
      <c r="A92" s="20" t="str">
        <f t="shared" si="11"/>
        <v>21Y</v>
      </c>
      <c r="B92" s="20">
        <v>21</v>
      </c>
      <c r="C92" s="20" t="s">
        <v>86</v>
      </c>
      <c r="D92" s="20" t="s">
        <v>88</v>
      </c>
      <c r="E92" s="35" t="str">
        <f t="shared" si="14"/>
        <v>21YSWP</v>
      </c>
      <c r="F92" s="20" t="str">
        <f>_xll.qlSimpleQuote(E92,trigger)</f>
        <v>21YSWP#0012</v>
      </c>
      <c r="G92" s="20" t="str">
        <f>_xll.qlMakeVanillaSwap(,2,A92,$V$6,,"0D",$N$1,,$O$1,,trigger)</f>
        <v>obj_00486#0014</v>
      </c>
      <c r="H92" s="21">
        <f>_xll.qlCalendarAdvance(calendar,evaluationdate,"2D")</f>
        <v>42551</v>
      </c>
      <c r="I92" s="21">
        <f>_xll.qlCalendarAdvance(calendar,H92,A92)</f>
        <v>50221</v>
      </c>
      <c r="J92" s="22">
        <f>_xll.qlVanillaSwapFairRate(G92)</f>
        <v>8.0747212799271838E-3</v>
      </c>
      <c r="K92" s="23" t="e">
        <f>_xll.qlSimpleQuoteSetValue(F92,J92)</f>
        <v>#N/A</v>
      </c>
      <c r="L92" s="22">
        <v>0</v>
      </c>
      <c r="M92" s="20" t="str">
        <f t="shared" si="6"/>
        <v>C_21YSWP</v>
      </c>
      <c r="N92" s="20" t="str">
        <f>_xll.qlCompositeQuote(M92,F92,L92,"+",,trigger)</f>
        <v>C_21YSWP#0012</v>
      </c>
      <c r="O92" s="20" t="str">
        <f>_xll.qlSwapRateHelper2(,N92,2,A92,calendar,"Annual",$G$1,$N$1,$V$6,0,"0D","euronmx",,,,trigger)</f>
        <v>obj_00525#0014</v>
      </c>
      <c r="P92" s="20" t="b">
        <f>IF($Z$2="SwapDesk",NOT(ISNA(VLOOKUP(E92,'Curve Configuration'!$T$6:$T$60,1,0))),NOT(ISNA(VLOOKUP(E92,'Curve Configuration'!$V$6:$V$35,1,0))))</f>
        <v>0</v>
      </c>
      <c r="Q92" s="18" t="e">
        <v>#N/A</v>
      </c>
      <c r="R92" s="94" t="str">
        <v>--</v>
      </c>
      <c r="AB92" s="99" t="e">
        <v>#N/A</v>
      </c>
      <c r="AC92" s="103" t="e">
        <v>#N/A</v>
      </c>
      <c r="AK92" s="21">
        <f>_xll.qlCalendarAdvance(calendar,AK91,"1D")</f>
        <v>42671</v>
      </c>
      <c r="AL92" s="21">
        <f>_xll.qlInterestRateIndexValueDate(hiborindex,AK92)</f>
        <v>42675</v>
      </c>
      <c r="AM92" s="23">
        <f>_xll.qlIndexFixing(hiborindex,AK92)</f>
        <v>-2.0247526338080545E-3</v>
      </c>
    </row>
    <row r="93" spans="1:39" x14ac:dyDescent="0.25">
      <c r="A93" s="20" t="str">
        <f t="shared" si="11"/>
        <v>22Y</v>
      </c>
      <c r="B93" s="20">
        <v>22</v>
      </c>
      <c r="C93" s="20" t="s">
        <v>86</v>
      </c>
      <c r="D93" s="20" t="s">
        <v>88</v>
      </c>
      <c r="E93" s="35" t="str">
        <f t="shared" si="14"/>
        <v>22YSWP</v>
      </c>
      <c r="F93" s="20" t="str">
        <f>_xll.qlSimpleQuote(E93,trigger)</f>
        <v>22YSWP#0012</v>
      </c>
      <c r="G93" s="20" t="str">
        <f>_xll.qlMakeVanillaSwap(,2,A93,$V$6,,"0D",$N$1,,$O$1,,trigger)</f>
        <v>obj_00480#0014</v>
      </c>
      <c r="H93" s="21">
        <f>_xll.qlCalendarAdvance(calendar,evaluationdate,"2D")</f>
        <v>42551</v>
      </c>
      <c r="I93" s="21">
        <f>_xll.qlCalendarAdvance(calendar,H93,A93)</f>
        <v>50586</v>
      </c>
      <c r="J93" s="22">
        <f>_xll.qlVanillaSwapFairRate(G93)</f>
        <v>8.1328759499030134E-3</v>
      </c>
      <c r="K93" s="23" t="e">
        <f>_xll.qlSimpleQuoteSetValue(F93,J93)</f>
        <v>#N/A</v>
      </c>
      <c r="L93" s="22">
        <v>0</v>
      </c>
      <c r="M93" s="20" t="str">
        <f t="shared" si="6"/>
        <v>C_22YSWP</v>
      </c>
      <c r="N93" s="20" t="str">
        <f>_xll.qlCompositeQuote(M93,F93,L93,"+",,trigger)</f>
        <v>C_22YSWP#0012</v>
      </c>
      <c r="O93" s="20" t="str">
        <f>_xll.qlSwapRateHelper2(,N93,2,A93,calendar,"Annual",$G$1,$N$1,$V$6,0,"0D","euronmx",,,,trigger)</f>
        <v>obj_0054d#0014</v>
      </c>
      <c r="P93" s="20" t="b">
        <f>IF($Z$2="SwapDesk",NOT(ISNA(VLOOKUP(E93,'Curve Configuration'!$T$6:$T$60,1,0))),NOT(ISNA(VLOOKUP(E93,'Curve Configuration'!$V$6:$V$35,1,0))))</f>
        <v>0</v>
      </c>
      <c r="Q93" s="18" t="e">
        <v>#N/A</v>
      </c>
      <c r="R93" s="94" t="str">
        <v>--</v>
      </c>
      <c r="AB93" s="99" t="e">
        <v>#N/A</v>
      </c>
      <c r="AC93" s="103" t="e">
        <v>#N/A</v>
      </c>
      <c r="AK93" s="21">
        <f>_xll.qlCalendarAdvance(calendar,AK92,"1D")</f>
        <v>42674</v>
      </c>
      <c r="AL93" s="21">
        <f>_xll.qlInterestRateIndexValueDate(hiborindex,AK93)</f>
        <v>42676</v>
      </c>
      <c r="AM93" s="23">
        <f>_xll.qlIndexFixing(hiborindex,AK93)</f>
        <v>-2.0258594084773835E-3</v>
      </c>
    </row>
    <row r="94" spans="1:39" x14ac:dyDescent="0.25">
      <c r="A94" s="20" t="str">
        <f t="shared" si="11"/>
        <v>23Y</v>
      </c>
      <c r="B94" s="20">
        <v>23</v>
      </c>
      <c r="C94" s="20" t="s">
        <v>86</v>
      </c>
      <c r="D94" s="20" t="s">
        <v>88</v>
      </c>
      <c r="E94" s="35" t="str">
        <f t="shared" si="14"/>
        <v>23YSWP</v>
      </c>
      <c r="F94" s="20" t="str">
        <f>_xll.qlSimpleQuote(E94,trigger)</f>
        <v>23YSWP#0012</v>
      </c>
      <c r="G94" s="20" t="str">
        <f>_xll.qlMakeVanillaSwap(,2,A94,$V$6,,"0D",$N$1,,$O$1,,trigger)</f>
        <v>obj_00475#0014</v>
      </c>
      <c r="H94" s="21">
        <f>_xll.qlCalendarAdvance(calendar,evaluationdate,"2D")</f>
        <v>42551</v>
      </c>
      <c r="I94" s="21">
        <f>_xll.qlCalendarAdvance(calendar,H94,A94)</f>
        <v>50951</v>
      </c>
      <c r="J94" s="22">
        <f>_xll.qlVanillaSwapFairRate(G94)</f>
        <v>8.1696186399515033E-3</v>
      </c>
      <c r="K94" s="23" t="e">
        <f>_xll.qlSimpleQuoteSetValue(F94,J94)</f>
        <v>#N/A</v>
      </c>
      <c r="L94" s="22">
        <v>0</v>
      </c>
      <c r="M94" s="20" t="str">
        <f t="shared" si="6"/>
        <v>C_23YSWP</v>
      </c>
      <c r="N94" s="20" t="str">
        <f>_xll.qlCompositeQuote(M94,F94,L94,"+",,trigger)</f>
        <v>C_23YSWP#0012</v>
      </c>
      <c r="O94" s="20" t="str">
        <f>_xll.qlSwapRateHelper2(,N94,2,A94,calendar,"Annual",$G$1,$N$1,$V$6,0,"0D","euronmx",,,,trigger)</f>
        <v>obj_00550#0014</v>
      </c>
      <c r="P94" s="20" t="b">
        <f>IF($Z$2="SwapDesk",NOT(ISNA(VLOOKUP(E94,'Curve Configuration'!$T$6:$T$60,1,0))),NOT(ISNA(VLOOKUP(E94,'Curve Configuration'!$V$6:$V$35,1,0))))</f>
        <v>0</v>
      </c>
      <c r="Q94" s="18" t="e">
        <v>#N/A</v>
      </c>
      <c r="R94" s="94" t="str">
        <v>--</v>
      </c>
      <c r="AB94" s="99" t="e">
        <v>#N/A</v>
      </c>
      <c r="AC94" s="103" t="e">
        <v>#N/A</v>
      </c>
      <c r="AK94" s="21">
        <f>_xll.qlCalendarAdvance(calendar,AK93,"1D")</f>
        <v>42675</v>
      </c>
      <c r="AL94" s="21">
        <f>_xll.qlInterestRateIndexValueDate(hiborindex,AK94)</f>
        <v>42677</v>
      </c>
      <c r="AM94" s="23">
        <f>_xll.qlIndexFixing(hiborindex,AK94)</f>
        <v>-2.0278696690175135E-3</v>
      </c>
    </row>
    <row r="95" spans="1:39" x14ac:dyDescent="0.25">
      <c r="A95" s="20" t="str">
        <f t="shared" si="11"/>
        <v>24Y</v>
      </c>
      <c r="B95" s="20">
        <v>24</v>
      </c>
      <c r="C95" s="20" t="s">
        <v>86</v>
      </c>
      <c r="D95" s="20" t="s">
        <v>88</v>
      </c>
      <c r="E95" s="35" t="str">
        <f t="shared" si="14"/>
        <v>24YSWP</v>
      </c>
      <c r="F95" s="20" t="str">
        <f>_xll.qlSimpleQuote(E95,trigger)</f>
        <v>24YSWP#0012</v>
      </c>
      <c r="G95" s="20" t="str">
        <f>_xll.qlMakeVanillaSwap(,2,A95,$V$6,,"0D",$N$1,,$O$1,,trigger)</f>
        <v>obj_00474#0014</v>
      </c>
      <c r="H95" s="21">
        <f>_xll.qlCalendarAdvance(calendar,evaluationdate,"2D")</f>
        <v>42551</v>
      </c>
      <c r="I95" s="21">
        <f>_xll.qlCalendarAdvance(calendar,H95,A95)</f>
        <v>51319</v>
      </c>
      <c r="J95" s="22">
        <f>_xll.qlVanillaSwapFairRate(G95)</f>
        <v>8.1908928104302645E-3</v>
      </c>
      <c r="K95" s="23" t="e">
        <f>_xll.qlSimpleQuoteSetValue(F95,J95)</f>
        <v>#N/A</v>
      </c>
      <c r="L95" s="22">
        <v>0</v>
      </c>
      <c r="M95" s="20" t="str">
        <f t="shared" si="6"/>
        <v>C_24YSWP</v>
      </c>
      <c r="N95" s="20" t="str">
        <f>_xll.qlCompositeQuote(M95,F95,L95,"+",,trigger)</f>
        <v>C_24YSWP#0012</v>
      </c>
      <c r="O95" s="20" t="str">
        <f>_xll.qlSwapRateHelper2(,N95,2,A95,calendar,"Annual",$G$1,$N$1,$V$6,0,"0D","euronmx",,,,trigger)</f>
        <v>obj_00529#0014</v>
      </c>
      <c r="P95" s="20" t="b">
        <f>IF($Z$2="SwapDesk",NOT(ISNA(VLOOKUP(E95,'Curve Configuration'!$T$6:$T$60,1,0))),NOT(ISNA(VLOOKUP(E95,'Curve Configuration'!$V$6:$V$35,1,0))))</f>
        <v>0</v>
      </c>
      <c r="Q95" s="18" t="e">
        <v>#N/A</v>
      </c>
      <c r="R95" s="94" t="str">
        <v>--</v>
      </c>
      <c r="AB95" s="99" t="e">
        <v>#N/A</v>
      </c>
      <c r="AC95" s="103" t="e">
        <v>#N/A</v>
      </c>
      <c r="AK95" s="21">
        <f>_xll.qlCalendarAdvance(calendar,AK94,"1D")</f>
        <v>42676</v>
      </c>
      <c r="AL95" s="21">
        <f>_xll.qlInterestRateIndexValueDate(hiborindex,AK95)</f>
        <v>42678</v>
      </c>
      <c r="AM95" s="23">
        <f>_xll.qlIndexFixing(hiborindex,AK95)</f>
        <v>-2.0298716951149026E-3</v>
      </c>
    </row>
    <row r="96" spans="1:39" x14ac:dyDescent="0.25">
      <c r="A96" s="20" t="str">
        <f t="shared" si="11"/>
        <v>25Y</v>
      </c>
      <c r="B96" s="20">
        <v>25</v>
      </c>
      <c r="C96" s="20" t="s">
        <v>86</v>
      </c>
      <c r="D96" s="20" t="s">
        <v>88</v>
      </c>
      <c r="E96" s="35" t="str">
        <f t="shared" si="14"/>
        <v>25YSWP</v>
      </c>
      <c r="F96" s="20" t="str">
        <f>_xll.qlSimpleQuote(E96,trigger)</f>
        <v>25YSWP#0012</v>
      </c>
      <c r="G96" s="20" t="str">
        <f>_xll.qlMakeVanillaSwap(,2,A96,$V$6,,"0D",$N$1,,$O$1,,trigger)</f>
        <v>obj_00478#0014</v>
      </c>
      <c r="H96" s="21">
        <f>_xll.qlCalendarAdvance(calendar,evaluationdate,"2D")</f>
        <v>42551</v>
      </c>
      <c r="I96" s="21">
        <f>_xll.qlCalendarAdvance(calendar,H96,A96)</f>
        <v>51683</v>
      </c>
      <c r="J96" s="22">
        <f>_xll.qlVanillaSwapFairRate(G96)</f>
        <v>8.2000000001572031E-3</v>
      </c>
      <c r="K96" s="23" t="e">
        <f>_xll.qlSimpleQuoteSetValue(F96,J96)</f>
        <v>#N/A</v>
      </c>
      <c r="L96" s="22">
        <v>0</v>
      </c>
      <c r="M96" s="20" t="str">
        <f t="shared" si="6"/>
        <v>C_25YSWP</v>
      </c>
      <c r="N96" s="20" t="str">
        <f>_xll.qlCompositeQuote(M96,F96,L96,"+",,trigger)</f>
        <v>C_25YSWP#0012</v>
      </c>
      <c r="O96" s="20" t="str">
        <f>_xll.qlSwapRateHelper2(,N96,2,A96,calendar,"Annual",$G$1,$N$1,$V$6,0,"0D","euronmx",,,,trigger)</f>
        <v>obj_00536#0014</v>
      </c>
      <c r="P96" s="20" t="b">
        <f>IF($Z$2="SwapDesk",NOT(ISNA(VLOOKUP(E96,'Curve Configuration'!$T$6:$T$60,1,0))),NOT(ISNA(VLOOKUP(E96,'Curve Configuration'!$V$6:$V$35,1,0))))</f>
        <v>0</v>
      </c>
      <c r="Q96" s="18" t="e">
        <v>#N/A</v>
      </c>
      <c r="R96" s="94" t="str">
        <v>--</v>
      </c>
      <c r="AB96" s="99" t="e">
        <v>#N/A</v>
      </c>
      <c r="AC96" s="103" t="e">
        <v>#N/A</v>
      </c>
      <c r="AK96" s="21">
        <f>_xll.qlCalendarAdvance(calendar,AK95,"1D")</f>
        <v>42677</v>
      </c>
      <c r="AL96" s="21">
        <f>_xll.qlInterestRateIndexValueDate(hiborindex,AK96)</f>
        <v>42681</v>
      </c>
      <c r="AM96" s="23">
        <f>_xll.qlIndexFixing(hiborindex,AK96)</f>
        <v>-2.036748160164234E-3</v>
      </c>
    </row>
    <row r="97" spans="1:39" x14ac:dyDescent="0.25">
      <c r="A97" s="20" t="str">
        <f t="shared" si="11"/>
        <v>26Y</v>
      </c>
      <c r="B97" s="20">
        <v>26</v>
      </c>
      <c r="C97" s="20" t="s">
        <v>86</v>
      </c>
      <c r="D97" s="20" t="s">
        <v>88</v>
      </c>
      <c r="E97" s="35" t="str">
        <f t="shared" si="14"/>
        <v>26YSWP</v>
      </c>
      <c r="F97" s="20" t="str">
        <f>_xll.qlSimpleQuote(E97,trigger)</f>
        <v>26YSWP#0012</v>
      </c>
      <c r="G97" s="20" t="str">
        <f>_xll.qlMakeVanillaSwap(,2,A97,$V$6,,"0D",$N$1,,$O$1,,trigger)</f>
        <v>obj_0046f#0014</v>
      </c>
      <c r="H97" s="21">
        <f>_xll.qlCalendarAdvance(calendar,evaluationdate,"2D")</f>
        <v>42551</v>
      </c>
      <c r="I97" s="21">
        <f>_xll.qlCalendarAdvance(calendar,H97,A97)</f>
        <v>52047</v>
      </c>
      <c r="J97" s="22">
        <f>_xll.qlVanillaSwapFairRate(G97)</f>
        <v>8.1984327600989389E-3</v>
      </c>
      <c r="K97" s="23" t="e">
        <f>_xll.qlSimpleQuoteSetValue(F97,J97)</f>
        <v>#N/A</v>
      </c>
      <c r="L97" s="22">
        <v>0</v>
      </c>
      <c r="M97" s="20" t="str">
        <f t="shared" si="6"/>
        <v>C_26YSWP</v>
      </c>
      <c r="N97" s="20" t="str">
        <f>_xll.qlCompositeQuote(M97,F97,L97,"+",,trigger)</f>
        <v>C_26YSWP#0012</v>
      </c>
      <c r="O97" s="20" t="str">
        <f>_xll.qlSwapRateHelper2(,N97,2,A97,calendar,"Annual",$G$1,$N$1,$V$6,0,"0D","euronmx",,,,trigger)</f>
        <v>obj_00532#0014</v>
      </c>
      <c r="P97" s="20" t="b">
        <f>IF($Z$2="SwapDesk",NOT(ISNA(VLOOKUP(E97,'Curve Configuration'!$T$6:$T$60,1,0))),NOT(ISNA(VLOOKUP(E97,'Curve Configuration'!$V$6:$V$35,1,0))))</f>
        <v>0</v>
      </c>
      <c r="Q97" s="18" t="e">
        <v>#N/A</v>
      </c>
      <c r="R97" s="94" t="str">
        <v>--</v>
      </c>
      <c r="AB97" s="99" t="e">
        <v>#N/A</v>
      </c>
      <c r="AC97" s="103" t="e">
        <v>#N/A</v>
      </c>
      <c r="AK97" s="21">
        <f>_xll.qlCalendarAdvance(calendar,AK96,"1D")</f>
        <v>42678</v>
      </c>
      <c r="AL97" s="21">
        <f>_xll.qlInterestRateIndexValueDate(hiborindex,AK97)</f>
        <v>42682</v>
      </c>
      <c r="AM97" s="23">
        <f>_xll.qlIndexFixing(hiborindex,AK97)</f>
        <v>-2.0377974555754359E-3</v>
      </c>
    </row>
    <row r="98" spans="1:39" x14ac:dyDescent="0.25">
      <c r="A98" s="20" t="str">
        <f t="shared" si="11"/>
        <v>27Y</v>
      </c>
      <c r="B98" s="20">
        <v>27</v>
      </c>
      <c r="C98" s="20" t="s">
        <v>86</v>
      </c>
      <c r="D98" s="20" t="s">
        <v>88</v>
      </c>
      <c r="E98" s="35" t="str">
        <f t="shared" si="14"/>
        <v>27YSWP</v>
      </c>
      <c r="F98" s="20" t="str">
        <f>_xll.qlSimpleQuote(E98,trigger)</f>
        <v>27YSWP#0012</v>
      </c>
      <c r="G98" s="20" t="str">
        <f>_xll.qlMakeVanillaSwap(,2,A98,$V$6,,"0D",$N$1,,$O$1,,trigger)</f>
        <v>obj_00469#0014</v>
      </c>
      <c r="H98" s="21">
        <f>_xll.qlCalendarAdvance(calendar,evaluationdate,"2D")</f>
        <v>42551</v>
      </c>
      <c r="I98" s="21">
        <f>_xll.qlCalendarAdvance(calendar,H98,A98)</f>
        <v>52412</v>
      </c>
      <c r="J98" s="22">
        <f>_xll.qlVanillaSwapFairRate(G98)</f>
        <v>8.1859620899834978E-3</v>
      </c>
      <c r="K98" s="23" t="e">
        <f>_xll.qlSimpleQuoteSetValue(F98,J98)</f>
        <v>#N/A</v>
      </c>
      <c r="L98" s="22">
        <v>0</v>
      </c>
      <c r="M98" s="20" t="str">
        <f t="shared" si="6"/>
        <v>C_27YSWP</v>
      </c>
      <c r="N98" s="20" t="str">
        <f>_xll.qlCompositeQuote(M98,F98,L98,"+",,trigger)</f>
        <v>C_27YSWP#0012</v>
      </c>
      <c r="O98" s="20" t="str">
        <f>_xll.qlSwapRateHelper2(,N98,2,A98,calendar,"Annual",$G$1,$N$1,$V$6,0,"0D","euronmx",,,,trigger)</f>
        <v>obj_00552#0014</v>
      </c>
      <c r="P98" s="20" t="b">
        <f>IF($Z$2="SwapDesk",NOT(ISNA(VLOOKUP(E98,'Curve Configuration'!$T$6:$T$60,1,0))),NOT(ISNA(VLOOKUP(E98,'Curve Configuration'!$V$6:$V$35,1,0))))</f>
        <v>0</v>
      </c>
      <c r="Q98" s="18" t="e">
        <v>#N/A</v>
      </c>
      <c r="R98" s="94" t="str">
        <v>--</v>
      </c>
      <c r="AB98" s="99" t="e">
        <v>#N/A</v>
      </c>
      <c r="AC98" s="103" t="e">
        <v>#N/A</v>
      </c>
      <c r="AK98" s="21">
        <f>_xll.qlCalendarAdvance(calendar,AK97,"1D")</f>
        <v>42681</v>
      </c>
      <c r="AL98" s="21">
        <f>_xll.qlInterestRateIndexValueDate(hiborindex,AK98)</f>
        <v>42683</v>
      </c>
      <c r="AM98" s="23">
        <f>_xll.qlIndexFixing(hiborindex,AK98)</f>
        <v>-2.03975830983164E-3</v>
      </c>
    </row>
    <row r="99" spans="1:39" x14ac:dyDescent="0.25">
      <c r="A99" s="20" t="str">
        <f t="shared" si="11"/>
        <v>28Y</v>
      </c>
      <c r="B99" s="20">
        <v>28</v>
      </c>
      <c r="C99" s="20" t="s">
        <v>86</v>
      </c>
      <c r="D99" s="20" t="s">
        <v>88</v>
      </c>
      <c r="E99" s="35" t="str">
        <f t="shared" si="14"/>
        <v>28YSWP</v>
      </c>
      <c r="F99" s="20" t="str">
        <f>_xll.qlSimpleQuote(E99,trigger)</f>
        <v>28YSWP#0012</v>
      </c>
      <c r="G99" s="20" t="str">
        <f>_xll.qlMakeVanillaSwap(,2,A99,$V$6,,"0D",$N$1,,$O$1,,trigger)</f>
        <v>obj_0047a#0014</v>
      </c>
      <c r="H99" s="21">
        <f>_xll.qlCalendarAdvance(calendar,evaluationdate,"2D")</f>
        <v>42551</v>
      </c>
      <c r="I99" s="21">
        <f>_xll.qlCalendarAdvance(calendar,H99,A99)</f>
        <v>52778</v>
      </c>
      <c r="J99" s="22">
        <f>_xll.qlVanillaSwapFairRate(G99)</f>
        <v>8.1668736399012135E-3</v>
      </c>
      <c r="K99" s="23" t="e">
        <f>_xll.qlSimpleQuoteSetValue(F99,J99)</f>
        <v>#N/A</v>
      </c>
      <c r="L99" s="22">
        <v>0</v>
      </c>
      <c r="M99" s="20" t="str">
        <f t="shared" si="6"/>
        <v>C_28YSWP</v>
      </c>
      <c r="N99" s="20" t="str">
        <f>_xll.qlCompositeQuote(M99,F99,L99,"+",,trigger)</f>
        <v>C_28YSWP#0012</v>
      </c>
      <c r="O99" s="20" t="str">
        <f>_xll.qlSwapRateHelper2(,N99,2,A99,calendar,"Annual",$G$1,$N$1,$V$6,0,"0D","euronmx",,,,trigger)</f>
        <v>obj_00543#0014</v>
      </c>
      <c r="P99" s="20" t="b">
        <f>IF($Z$2="SwapDesk",NOT(ISNA(VLOOKUP(E99,'Curve Configuration'!$T$6:$T$60,1,0))),NOT(ISNA(VLOOKUP(E99,'Curve Configuration'!$V$6:$V$35,1,0))))</f>
        <v>0</v>
      </c>
      <c r="Q99" s="18" t="e">
        <v>#N/A</v>
      </c>
      <c r="R99" s="94" t="str">
        <v>--</v>
      </c>
      <c r="AB99" s="99" t="e">
        <v>#N/A</v>
      </c>
      <c r="AC99" s="103" t="e">
        <v>#N/A</v>
      </c>
      <c r="AK99" s="21">
        <f>_xll.qlCalendarAdvance(calendar,AK98,"1D")</f>
        <v>42682</v>
      </c>
      <c r="AL99" s="21">
        <f>_xll.qlInterestRateIndexValueDate(hiborindex,AK99)</f>
        <v>42684</v>
      </c>
      <c r="AM99" s="23">
        <f>_xll.qlIndexFixing(hiborindex,AK99)</f>
        <v>-2.0417109297926096E-3</v>
      </c>
    </row>
    <row r="100" spans="1:39" x14ac:dyDescent="0.25">
      <c r="A100" s="20" t="str">
        <f t="shared" si="11"/>
        <v>29Y</v>
      </c>
      <c r="B100" s="20">
        <v>29</v>
      </c>
      <c r="C100" s="20" t="s">
        <v>86</v>
      </c>
      <c r="D100" s="20" t="s">
        <v>88</v>
      </c>
      <c r="E100" s="35" t="str">
        <f t="shared" si="14"/>
        <v>29YSWP</v>
      </c>
      <c r="F100" s="20" t="str">
        <f>_xll.qlSimpleQuote(E100,trigger)</f>
        <v>29YSWP#0012</v>
      </c>
      <c r="G100" s="20" t="str">
        <f>_xll.qlMakeVanillaSwap(,2,A100,$V$6,,"0D",$N$1,,$O$1,,trigger)</f>
        <v>obj_00488#0014</v>
      </c>
      <c r="H100" s="21">
        <f>_xll.qlCalendarAdvance(calendar,evaluationdate,"2D")</f>
        <v>42551</v>
      </c>
      <c r="I100" s="21">
        <f>_xll.qlCalendarAdvance(calendar,H100,A100)</f>
        <v>53143</v>
      </c>
      <c r="J100" s="22">
        <f>_xll.qlVanillaSwapFairRate(G100)</f>
        <v>8.1434387198499117E-3</v>
      </c>
      <c r="K100" s="23" t="e">
        <f>_xll.qlSimpleQuoteSetValue(F100,J100)</f>
        <v>#N/A</v>
      </c>
      <c r="L100" s="22">
        <v>0</v>
      </c>
      <c r="M100" s="20" t="str">
        <f t="shared" si="6"/>
        <v>C_29YSWP</v>
      </c>
      <c r="N100" s="20" t="str">
        <f>_xll.qlCompositeQuote(M100,F100,L100,"+",,trigger)</f>
        <v>C_29YSWP#0012</v>
      </c>
      <c r="O100" s="20" t="str">
        <f>_xll.qlSwapRateHelper2(,N100,2,A100,calendar,"Annual",$G$1,$N$1,$V$6,0,"0D","euronmx",,,,trigger)</f>
        <v>obj_0052d#0014</v>
      </c>
      <c r="P100" s="20" t="b">
        <f>IF($Z$2="SwapDesk",NOT(ISNA(VLOOKUP(E100,'Curve Configuration'!$T$6:$T$60,1,0))),NOT(ISNA(VLOOKUP(E100,'Curve Configuration'!$V$6:$V$35,1,0))))</f>
        <v>0</v>
      </c>
      <c r="Q100" s="18" t="e">
        <v>#N/A</v>
      </c>
      <c r="R100" s="94" t="str">
        <v>--</v>
      </c>
      <c r="AB100" s="99" t="e">
        <v>#N/A</v>
      </c>
      <c r="AC100" s="103" t="e">
        <v>#N/A</v>
      </c>
      <c r="AK100" s="21">
        <f>_xll.qlCalendarAdvance(calendar,AK99,"1D")</f>
        <v>42683</v>
      </c>
      <c r="AL100" s="21">
        <f>_xll.qlInterestRateIndexValueDate(hiborindex,AK100)</f>
        <v>42685</v>
      </c>
      <c r="AM100" s="23">
        <f>_xll.qlIndexFixing(hiborindex,AK100)</f>
        <v>-2.0436553154837386E-3</v>
      </c>
    </row>
    <row r="101" spans="1:39" x14ac:dyDescent="0.25">
      <c r="A101" s="20" t="str">
        <f t="shared" ref="A101:A153" si="15">B101&amp;C101</f>
        <v>30Y</v>
      </c>
      <c r="B101" s="20">
        <v>30</v>
      </c>
      <c r="C101" s="20" t="s">
        <v>86</v>
      </c>
      <c r="D101" s="20" t="s">
        <v>88</v>
      </c>
      <c r="E101" s="35" t="str">
        <f t="shared" ref="E101:E124" si="16">B101&amp;C101&amp;D101</f>
        <v>30YSWP</v>
      </c>
      <c r="F101" s="20" t="str">
        <f>_xll.qlSimpleQuote(E101,trigger)</f>
        <v>30YSWP#0022</v>
      </c>
      <c r="G101" s="20" t="str">
        <f>_xll.qlMakeVanillaSwap(,2,A101,$V$6,,"0D",$N$1,,$O$1,,trigger)</f>
        <v>obj_0055d#0013</v>
      </c>
      <c r="H101" s="21">
        <f>_xll.qlCalendarAdvance(calendar,evaluationdate,"2D")</f>
        <v>42551</v>
      </c>
      <c r="I101" s="21">
        <f>_xll.qlCalendarAdvance(calendar,H101,A101)</f>
        <v>53510</v>
      </c>
      <c r="J101" s="22">
        <f>_xll.qlVanillaSwapFairRate(G101)</f>
        <v>8.1199999998365149E-3</v>
      </c>
      <c r="K101" s="23" t="e">
        <f>_xll.qlSimpleQuoteSetValue(F101,J101)</f>
        <v>#N/A</v>
      </c>
      <c r="L101" s="22">
        <v>0</v>
      </c>
      <c r="M101" s="20" t="str">
        <f t="shared" ref="M101:M124" si="17">"C_"&amp;E101</f>
        <v>C_30YSWP</v>
      </c>
      <c r="N101" s="20" t="str">
        <f>_xll.qlCompositeQuote(M101,F101,L101,"+",,trigger)</f>
        <v>C_30YSWP#0011</v>
      </c>
      <c r="O101" s="20" t="str">
        <f>_xll.qlSwapRateHelper2(,N101,2,A101,calendar,"Annual",$G$1,$N$1,$V$6,0,"0D","euronmx",,,,trigger)</f>
        <v>obj_0055f#0023</v>
      </c>
      <c r="P101" s="20" t="b">
        <f>IF($Z$2="SwapDesk",NOT(ISNA(VLOOKUP(E101,'Curve Configuration'!$T$6:$T$60,1,0))),NOT(ISNA(VLOOKUP(E101,'Curve Configuration'!$V$6:$V$35,1,0))))</f>
        <v>0</v>
      </c>
      <c r="Q101" s="18" t="e">
        <v>#N/A</v>
      </c>
      <c r="R101" s="94" t="str">
        <v>--</v>
      </c>
      <c r="AB101" s="99" t="e">
        <v>#N/A</v>
      </c>
      <c r="AC101" s="103" t="e">
        <v>#N/A</v>
      </c>
      <c r="AK101" s="21">
        <f>_xll.qlCalendarAdvance(calendar,AK100,"1D")</f>
        <v>42684</v>
      </c>
      <c r="AL101" s="21">
        <f>_xll.qlInterestRateIndexValueDate(hiborindex,AK101)</f>
        <v>42688</v>
      </c>
      <c r="AM101" s="23">
        <f>_xll.qlIndexFixing(hiborindex,AK101)</f>
        <v>-2.050370338386585E-3</v>
      </c>
    </row>
    <row r="102" spans="1:39" x14ac:dyDescent="0.25">
      <c r="A102" s="15" t="str">
        <f t="shared" si="15"/>
        <v>1M</v>
      </c>
      <c r="B102" s="15">
        <v>1</v>
      </c>
      <c r="C102" s="15" t="s">
        <v>203</v>
      </c>
      <c r="D102" s="15" t="s">
        <v>213</v>
      </c>
      <c r="E102" s="34" t="str">
        <f t="shared" si="16"/>
        <v>1MOIS</v>
      </c>
      <c r="F102" s="15" t="str">
        <f>_xll.qlSimpleQuote(E102,trigger)</f>
        <v>1MOIS#0007</v>
      </c>
      <c r="G102" s="15" t="str">
        <f>_xll.qlMakeOIS(,2,A102,$V$7,,"0D","Actual/360",0,,trigger)</f>
        <v>obj_005f1#0016</v>
      </c>
      <c r="H102" s="16">
        <f>_xll.qlCalendarAdvance(calendar,evaluationdate,"2D")</f>
        <v>42551</v>
      </c>
      <c r="I102" s="16">
        <f>_xll.qlCalendarAdvance(calendar,H102,A102)</f>
        <v>42583</v>
      </c>
      <c r="J102" s="17">
        <f>_xll.qlOvernightIndexedSwapFairRate(G102)</f>
        <v>-1.3760000000162913E-3</v>
      </c>
      <c r="K102" s="19">
        <f>_xll.qlSimpleQuoteSetValue(F102,J102)</f>
        <v>0</v>
      </c>
      <c r="L102" s="17">
        <v>0</v>
      </c>
      <c r="M102" s="15" t="str">
        <f t="shared" si="17"/>
        <v>C_1MOIS</v>
      </c>
      <c r="N102" s="15" t="str">
        <f>_xll.qlCompositeQuote(M102,F102,L102,"+",,trigger)</f>
        <v>C_1MOIS#0007</v>
      </c>
      <c r="O102" s="15" t="str">
        <f>_xll.qlOISRateHelper(,2,A102,N102,$V$7,,,trigger)</f>
        <v>obj_0060e#0007</v>
      </c>
      <c r="P102" s="15" t="b">
        <f>IF($Z$2="SwapDesk",NOT(ISNA(VLOOKUP(E102,'Curve Configuration'!$T$6:$T$60,1,0))),NOT(ISNA(VLOOKUP(E102,'Curve Configuration'!$V$6:$V$35,1,0))))</f>
        <v>1</v>
      </c>
      <c r="Q102" s="105" t="e">
        <v>#N/A</v>
      </c>
      <c r="R102" s="93" t="str">
        <v>--</v>
      </c>
      <c r="AB102" s="99" t="e">
        <v>#N/A</v>
      </c>
      <c r="AC102" s="103" t="e">
        <v>#N/A</v>
      </c>
      <c r="AK102" s="21">
        <f>_xll.qlCalendarAdvance(calendar,AK101,"1D")</f>
        <v>42685</v>
      </c>
      <c r="AL102" s="21">
        <f>_xll.qlInterestRateIndexValueDate(hiborindex,AK102)</f>
        <v>42689</v>
      </c>
      <c r="AM102" s="23">
        <f>_xll.qlIndexFixing(hiborindex,AK102)</f>
        <v>-2.0513505160241656E-3</v>
      </c>
    </row>
    <row r="103" spans="1:39" x14ac:dyDescent="0.25">
      <c r="A103" s="20" t="str">
        <f t="shared" si="15"/>
        <v>2M</v>
      </c>
      <c r="B103" s="20">
        <v>2</v>
      </c>
      <c r="C103" s="20" t="s">
        <v>203</v>
      </c>
      <c r="D103" s="20" t="s">
        <v>213</v>
      </c>
      <c r="E103" s="35" t="str">
        <f t="shared" si="16"/>
        <v>2MOIS</v>
      </c>
      <c r="F103" s="20" t="str">
        <f>_xll.qlSimpleQuote(E103,trigger)</f>
        <v>2MOIS#0007</v>
      </c>
      <c r="G103" s="20" t="str">
        <f>_xll.qlMakeOIS(,2,A103,$V$7,,"0D","Actual/360",0,,trigger)</f>
        <v>obj_005e7#0008</v>
      </c>
      <c r="H103" s="21">
        <f>_xll.qlCalendarAdvance(calendar,evaluationdate,"2D")</f>
        <v>42551</v>
      </c>
      <c r="I103" s="21">
        <f>_xll.qlCalendarAdvance(calendar,H103,A103)</f>
        <v>42612</v>
      </c>
      <c r="J103" s="22">
        <f>_xll.qlOvernightIndexedSwapFairRate(G103)</f>
        <v>-1.4440000000494023E-3</v>
      </c>
      <c r="K103" s="23">
        <f>_xll.qlSimpleQuoteSetValue(F103,J103)</f>
        <v>2.035999999950318E-3</v>
      </c>
      <c r="L103" s="22">
        <v>0</v>
      </c>
      <c r="M103" s="20" t="str">
        <f t="shared" si="17"/>
        <v>C_2MOIS</v>
      </c>
      <c r="N103" s="20" t="str">
        <f>_xll.qlCompositeQuote(M103,F103,L103,"+",,trigger)</f>
        <v>C_2MOIS#0007</v>
      </c>
      <c r="O103" s="20" t="str">
        <f>_xll.qlOISRateHelper(,2,A103,N103,$V$7,,,trigger)</f>
        <v>obj_005fe#0007</v>
      </c>
      <c r="P103" s="20" t="b">
        <f>IF($Z$2="SwapDesk",NOT(ISNA(VLOOKUP(E103,'Curve Configuration'!$T$6:$T$60,1,0))),NOT(ISNA(VLOOKUP(E103,'Curve Configuration'!$V$6:$V$35,1,0))))</f>
        <v>1</v>
      </c>
      <c r="Q103" s="18" t="e">
        <v>#N/A</v>
      </c>
      <c r="R103" s="94" t="str">
        <v>--</v>
      </c>
      <c r="AB103" s="99" t="e">
        <v>#N/A</v>
      </c>
      <c r="AC103" s="103" t="e">
        <v>#N/A</v>
      </c>
      <c r="AK103" s="21">
        <f>_xll.qlCalendarAdvance(calendar,AK102,"1D")</f>
        <v>42688</v>
      </c>
      <c r="AL103" s="21">
        <f>_xll.qlInterestRateIndexValueDate(hiborindex,AK103)</f>
        <v>42690</v>
      </c>
      <c r="AM103" s="23">
        <f>_xll.qlIndexFixing(hiborindex,AK103)</f>
        <v>-2.0532537307233751E-3</v>
      </c>
    </row>
    <row r="104" spans="1:39" x14ac:dyDescent="0.25">
      <c r="A104" s="20" t="str">
        <f t="shared" si="15"/>
        <v>3M</v>
      </c>
      <c r="B104" s="20">
        <v>3</v>
      </c>
      <c r="C104" s="20" t="s">
        <v>203</v>
      </c>
      <c r="D104" s="20" t="s">
        <v>213</v>
      </c>
      <c r="E104" s="35" t="str">
        <f t="shared" si="16"/>
        <v>3MOIS</v>
      </c>
      <c r="F104" s="20" t="str">
        <f>_xll.qlSimpleQuote(E104,trigger)</f>
        <v>3MOIS#0007</v>
      </c>
      <c r="G104" s="20" t="str">
        <f>_xll.qlMakeOIS(,2,A104,$V$7,,"0D","Actual/360",0,,trigger)</f>
        <v>obj_0061b#0008</v>
      </c>
      <c r="H104" s="21">
        <f>_xll.qlCalendarAdvance(calendar,evaluationdate,"2D")</f>
        <v>42551</v>
      </c>
      <c r="I104" s="21">
        <f>_xll.qlCalendarAdvance(calendar,H104,A104)</f>
        <v>42643</v>
      </c>
      <c r="J104" s="22">
        <f>_xll.qlOvernightIndexedSwapFairRate(G104)</f>
        <v>-1.4770000000717484E-3</v>
      </c>
      <c r="K104" s="23">
        <f>_xll.qlSimpleQuoteSetValue(F104,J104)</f>
        <v>2.074166799928146E-3</v>
      </c>
      <c r="L104" s="22">
        <v>0</v>
      </c>
      <c r="M104" s="20" t="str">
        <f t="shared" si="17"/>
        <v>C_3MOIS</v>
      </c>
      <c r="N104" s="20" t="str">
        <f>_xll.qlCompositeQuote(M104,F104,L104,"+",,trigger)</f>
        <v>C_3MOIS#0007</v>
      </c>
      <c r="O104" s="20" t="str">
        <f>_xll.qlOISRateHelper(,2,A104,N104,$V$7,,,trigger)</f>
        <v>obj_005e6#0007</v>
      </c>
      <c r="P104" s="20" t="b">
        <f>IF($Z$2="SwapDesk",NOT(ISNA(VLOOKUP(E104,'Curve Configuration'!$T$6:$T$60,1,0))),NOT(ISNA(VLOOKUP(E104,'Curve Configuration'!$V$6:$V$35,1,0))))</f>
        <v>1</v>
      </c>
      <c r="Q104" s="18" t="e">
        <v>#N/A</v>
      </c>
      <c r="R104" s="94" t="str">
        <v>--</v>
      </c>
      <c r="AB104" s="99" t="e">
        <v>#N/A</v>
      </c>
      <c r="AC104" s="103" t="e">
        <v>#N/A</v>
      </c>
      <c r="AK104" s="21">
        <f>_xll.qlCalendarAdvance(calendar,AK103,"1D")</f>
        <v>42689</v>
      </c>
      <c r="AL104" s="21">
        <f>_xll.qlInterestRateIndexValueDate(hiborindex,AK104)</f>
        <v>42691</v>
      </c>
      <c r="AM104" s="23">
        <f>_xll.qlIndexFixing(hiborindex,AK104)</f>
        <v>-2.0551487112951718E-3</v>
      </c>
    </row>
    <row r="105" spans="1:39" x14ac:dyDescent="0.25">
      <c r="A105" s="20" t="str">
        <f t="shared" si="15"/>
        <v>4M</v>
      </c>
      <c r="B105" s="20">
        <v>4</v>
      </c>
      <c r="C105" s="20" t="s">
        <v>203</v>
      </c>
      <c r="D105" s="20" t="s">
        <v>213</v>
      </c>
      <c r="E105" s="35" t="str">
        <f t="shared" si="16"/>
        <v>4MOIS</v>
      </c>
      <c r="F105" s="20" t="str">
        <f>_xll.qlSimpleQuote(E105,trigger)</f>
        <v>4MOIS#0007</v>
      </c>
      <c r="G105" s="20" t="str">
        <f>_xll.qlMakeOIS(,2,A105,$V$7,,"0D","Actual/360",0,,trigger)</f>
        <v>obj_00614#0008</v>
      </c>
      <c r="H105" s="21">
        <f>_xll.qlCalendarAdvance(calendar,evaluationdate,"2D")</f>
        <v>42551</v>
      </c>
      <c r="I105" s="21">
        <f>_xll.qlCalendarAdvance(calendar,H105,A105)</f>
        <v>42674</v>
      </c>
      <c r="J105" s="22">
        <f>_xll.qlOvernightIndexedSwapFairRate(G105)</f>
        <v>-1.5900000000665991E-3</v>
      </c>
      <c r="K105" s="23">
        <f>_xll.qlSimpleQuoteSetValue(F105,J105)</f>
        <v>2.1138417799366604E-3</v>
      </c>
      <c r="L105" s="22">
        <v>0</v>
      </c>
      <c r="M105" s="20" t="str">
        <f t="shared" si="17"/>
        <v>C_4MOIS</v>
      </c>
      <c r="N105" s="20" t="str">
        <f>_xll.qlCompositeQuote(M105,F105,L105,"+",,trigger)</f>
        <v>C_4MOIS#0007</v>
      </c>
      <c r="O105" s="20" t="str">
        <f>_xll.qlOISRateHelper(,2,A105,N105,$V$7,,,trigger)</f>
        <v>obj_00626#0007</v>
      </c>
      <c r="P105" s="20" t="b">
        <f>IF($Z$2="SwapDesk",NOT(ISNA(VLOOKUP(E105,'Curve Configuration'!$T$6:$T$60,1,0))),NOT(ISNA(VLOOKUP(E105,'Curve Configuration'!$V$6:$V$35,1,0))))</f>
        <v>1</v>
      </c>
      <c r="Q105" s="18" t="e">
        <v>#N/A</v>
      </c>
      <c r="R105" s="94" t="str">
        <v>--</v>
      </c>
      <c r="AB105" s="99" t="e">
        <v>#N/A</v>
      </c>
      <c r="AC105" s="103" t="e">
        <v>#N/A</v>
      </c>
      <c r="AK105" s="21">
        <f>_xll.qlCalendarAdvance(calendar,AK104,"1D")</f>
        <v>42690</v>
      </c>
      <c r="AL105" s="21">
        <f>_xll.qlInterestRateIndexValueDate(hiborindex,AK105)</f>
        <v>42692</v>
      </c>
      <c r="AM105" s="23">
        <f>_xll.qlIndexFixing(hiborindex,AK105)</f>
        <v>-2.0570354577638447E-3</v>
      </c>
    </row>
    <row r="106" spans="1:39" x14ac:dyDescent="0.25">
      <c r="A106" s="20" t="str">
        <f t="shared" si="15"/>
        <v>5M</v>
      </c>
      <c r="B106" s="20">
        <v>5</v>
      </c>
      <c r="C106" s="20" t="s">
        <v>203</v>
      </c>
      <c r="D106" s="20" t="s">
        <v>213</v>
      </c>
      <c r="E106" s="35" t="str">
        <f t="shared" si="16"/>
        <v>5MOIS</v>
      </c>
      <c r="F106" s="20" t="str">
        <f>_xll.qlSimpleQuote(E106,trigger)</f>
        <v>5MOIS#0007</v>
      </c>
      <c r="G106" s="20" t="str">
        <f>_xll.qlMakeOIS(,2,A106,$V$7,,"0D","Actual/360",0,,trigger)</f>
        <v>obj_00608#0008</v>
      </c>
      <c r="H106" s="21">
        <f>_xll.qlCalendarAdvance(calendar,evaluationdate,"2D")</f>
        <v>42551</v>
      </c>
      <c r="I106" s="21">
        <f>_xll.qlCalendarAdvance(calendar,H106,A106)</f>
        <v>42704</v>
      </c>
      <c r="J106" s="22">
        <f>_xll.qlOvernightIndexedSwapFairRate(G106)</f>
        <v>-1.6460000000519685E-3</v>
      </c>
      <c r="K106" s="23">
        <f>_xll.qlSimpleQuoteSetValue(F106,J106)</f>
        <v>2.1519415899553269E-3</v>
      </c>
      <c r="L106" s="22">
        <v>0</v>
      </c>
      <c r="M106" s="20" t="str">
        <f t="shared" si="17"/>
        <v>C_5MOIS</v>
      </c>
      <c r="N106" s="20" t="str">
        <f>_xll.qlCompositeQuote(M106,F106,L106,"+",,trigger)</f>
        <v>C_5MOIS#0007</v>
      </c>
      <c r="O106" s="20" t="str">
        <f>_xll.qlOISRateHelper(,2,A106,N106,$V$7,,,trigger)</f>
        <v>obj_00613#0007</v>
      </c>
      <c r="P106" s="20" t="b">
        <f>IF($Z$2="SwapDesk",NOT(ISNA(VLOOKUP(E106,'Curve Configuration'!$T$6:$T$60,1,0))),NOT(ISNA(VLOOKUP(E106,'Curve Configuration'!$V$6:$V$35,1,0))))</f>
        <v>1</v>
      </c>
      <c r="Q106" s="18" t="e">
        <v>#N/A</v>
      </c>
      <c r="R106" s="94" t="str">
        <v>--</v>
      </c>
      <c r="AB106" s="99" t="e">
        <v>#N/A</v>
      </c>
      <c r="AC106" s="103" t="e">
        <v>#N/A</v>
      </c>
      <c r="AK106" s="21">
        <f>_xll.qlCalendarAdvance(calendar,AK105,"1D")</f>
        <v>42691</v>
      </c>
      <c r="AL106" s="21">
        <f>_xll.qlInterestRateIndexValueDate(hiborindex,AK106)</f>
        <v>42695</v>
      </c>
      <c r="AM106" s="23">
        <f>_xll.qlIndexFixing(hiborindex,AK106)</f>
        <v>-2.0635912602427801E-3</v>
      </c>
    </row>
    <row r="107" spans="1:39" x14ac:dyDescent="0.25">
      <c r="A107" s="20" t="str">
        <f t="shared" si="15"/>
        <v>6M</v>
      </c>
      <c r="B107" s="20">
        <v>6</v>
      </c>
      <c r="C107" s="20" t="s">
        <v>203</v>
      </c>
      <c r="D107" s="20" t="s">
        <v>213</v>
      </c>
      <c r="E107" s="35" t="str">
        <f t="shared" si="16"/>
        <v>6MOIS</v>
      </c>
      <c r="F107" s="20" t="str">
        <f>_xll.qlSimpleQuote(E107,trigger)</f>
        <v>6MOIS#0007</v>
      </c>
      <c r="G107" s="20" t="str">
        <f>_xll.qlMakeOIS(,2,A107,$V$7,,"0D","Actual/360",0,,trigger)</f>
        <v>obj_005fa#0008</v>
      </c>
      <c r="H107" s="21">
        <f>_xll.qlCalendarAdvance(calendar,evaluationdate,"2D")</f>
        <v>42551</v>
      </c>
      <c r="I107" s="21">
        <f>_xll.qlCalendarAdvance(calendar,H107,A107)</f>
        <v>42734</v>
      </c>
      <c r="J107" s="22">
        <f>_xll.qlOvernightIndexedSwapFairRate(G107)</f>
        <v>-1.694000000031003E-3</v>
      </c>
      <c r="K107" s="23">
        <f>_xll.qlSimpleQuoteSetValue(F107,J107)</f>
        <v>2.1905702999811391E-3</v>
      </c>
      <c r="L107" s="22">
        <v>0</v>
      </c>
      <c r="M107" s="20" t="str">
        <f t="shared" si="17"/>
        <v>C_6MOIS</v>
      </c>
      <c r="N107" s="20" t="str">
        <f>_xll.qlCompositeQuote(M107,F107,L107,"+",,trigger)</f>
        <v>C_6MOIS#0007</v>
      </c>
      <c r="O107" s="20" t="str">
        <f>_xll.qlOISRateHelper(,2,A107,N107,$V$7,,,trigger)</f>
        <v>obj_00607#0007</v>
      </c>
      <c r="P107" s="20" t="b">
        <f>IF($Z$2="SwapDesk",NOT(ISNA(VLOOKUP(E107,'Curve Configuration'!$T$6:$T$60,1,0))),NOT(ISNA(VLOOKUP(E107,'Curve Configuration'!$V$6:$V$35,1,0))))</f>
        <v>1</v>
      </c>
      <c r="Q107" s="18" t="e">
        <v>#N/A</v>
      </c>
      <c r="R107" s="94" t="str">
        <v>--</v>
      </c>
      <c r="AB107" s="99" t="e">
        <v>#N/A</v>
      </c>
      <c r="AC107" s="103" t="e">
        <v>#N/A</v>
      </c>
      <c r="AK107" s="21">
        <f>_xll.qlCalendarAdvance(calendar,AK106,"1D")</f>
        <v>42692</v>
      </c>
      <c r="AL107" s="21">
        <f>_xll.qlInterestRateIndexValueDate(hiborindex,AK107)</f>
        <v>42696</v>
      </c>
      <c r="AM107" s="23">
        <f>_xll.qlIndexFixing(hiborindex,AK107)</f>
        <v>-2.0645001030714662E-3</v>
      </c>
    </row>
    <row r="108" spans="1:39" x14ac:dyDescent="0.25">
      <c r="A108" s="20" t="str">
        <f t="shared" si="15"/>
        <v>7M</v>
      </c>
      <c r="B108" s="20">
        <v>7</v>
      </c>
      <c r="C108" s="20" t="s">
        <v>203</v>
      </c>
      <c r="D108" s="20" t="s">
        <v>213</v>
      </c>
      <c r="E108" s="35" t="str">
        <f t="shared" si="16"/>
        <v>7MOIS</v>
      </c>
      <c r="F108" s="20" t="str">
        <f>_xll.qlSimpleQuote(E108,trigger)</f>
        <v>7MOIS#0007</v>
      </c>
      <c r="G108" s="20" t="str">
        <f>_xll.qlMakeOIS(,2,A108,$V$7,,"0D","Actual/360",0,,trigger)</f>
        <v>obj_005f9#0008</v>
      </c>
      <c r="H108" s="21">
        <f>_xll.qlCalendarAdvance(calendar,evaluationdate,"2D")</f>
        <v>42551</v>
      </c>
      <c r="I108" s="21">
        <f>_xll.qlCalendarAdvance(calendar,H108,A108)</f>
        <v>42765</v>
      </c>
      <c r="J108" s="22">
        <f>_xll.qlOvernightIndexedSwapFairRate(G108)</f>
        <v>-1.7512868981988273E-3</v>
      </c>
      <c r="K108" s="23">
        <f>_xll.qlSimpleQuoteSetValue(F108,J108)</f>
        <v>2.2337326618083117E-3</v>
      </c>
      <c r="L108" s="22">
        <v>0</v>
      </c>
      <c r="M108" s="20" t="str">
        <f t="shared" si="17"/>
        <v>C_7MOIS</v>
      </c>
      <c r="N108" s="20" t="str">
        <f>_xll.qlCompositeQuote(M108,F108,L108,"+",,trigger)</f>
        <v>C_7MOIS#0007</v>
      </c>
      <c r="O108" s="20" t="str">
        <f>_xll.qlOISRateHelper(,2,A108,N108,$V$7,,,trigger)</f>
        <v>obj_005e4#0007</v>
      </c>
      <c r="P108" s="20" t="b">
        <f>IF($Z$2="SwapDesk",NOT(ISNA(VLOOKUP(E108,'Curve Configuration'!$T$6:$T$60,1,0))),NOT(ISNA(VLOOKUP(E108,'Curve Configuration'!$V$6:$V$35,1,0))))</f>
        <v>1</v>
      </c>
      <c r="Q108" s="18" t="e">
        <v>#N/A</v>
      </c>
      <c r="R108" s="94" t="str">
        <v>--</v>
      </c>
      <c r="AB108" s="99" t="e">
        <v>#N/A</v>
      </c>
      <c r="AC108" s="103" t="e">
        <v>#N/A</v>
      </c>
      <c r="AK108" s="21">
        <f>_xll.qlCalendarAdvance(calendar,AK107,"1D")</f>
        <v>42695</v>
      </c>
      <c r="AL108" s="21">
        <f>_xll.qlInterestRateIndexValueDate(hiborindex,AK108)</f>
        <v>42697</v>
      </c>
      <c r="AM108" s="23">
        <f>_xll.qlIndexFixing(hiborindex,AK108)</f>
        <v>-2.0663456793727536E-3</v>
      </c>
    </row>
    <row r="109" spans="1:39" x14ac:dyDescent="0.25">
      <c r="A109" s="20" t="str">
        <f t="shared" si="15"/>
        <v>8M</v>
      </c>
      <c r="B109" s="20">
        <v>8</v>
      </c>
      <c r="C109" s="20" t="s">
        <v>203</v>
      </c>
      <c r="D109" s="20" t="s">
        <v>213</v>
      </c>
      <c r="E109" s="35" t="str">
        <f t="shared" si="16"/>
        <v>8MOIS</v>
      </c>
      <c r="F109" s="20" t="str">
        <f>_xll.qlSimpleQuote(E109,trigger)</f>
        <v>8MOIS#0007</v>
      </c>
      <c r="G109" s="20" t="str">
        <f>_xll.qlMakeOIS(,2,A109,$V$7,,"0D","Actual/360",0,,trigger)</f>
        <v>obj_0061e#0008</v>
      </c>
      <c r="H109" s="21">
        <f>_xll.qlCalendarAdvance(calendar,evaluationdate,"2D")</f>
        <v>42551</v>
      </c>
      <c r="I109" s="21">
        <f>_xll.qlCalendarAdvance(calendar,H109,A109)</f>
        <v>42794</v>
      </c>
      <c r="J109" s="22">
        <f>_xll.qlOvernightIndexedSwapFairRate(G109)</f>
        <v>-1.7833023699412411E-3</v>
      </c>
      <c r="K109" s="23">
        <f>_xll.qlSimpleQuoteSetValue(F109,J109)</f>
        <v>2.2766976301252587E-3</v>
      </c>
      <c r="L109" s="22">
        <v>0</v>
      </c>
      <c r="M109" s="20" t="str">
        <f t="shared" si="17"/>
        <v>C_8MOIS</v>
      </c>
      <c r="N109" s="20" t="str">
        <f>_xll.qlCompositeQuote(M109,F109,L109,"+",,trigger)</f>
        <v>C_8MOIS#0007</v>
      </c>
      <c r="O109" s="20" t="str">
        <f>_xll.qlOISRateHelper(,2,A109,N109,$V$7,,,trigger)</f>
        <v>obj_0062c#0007</v>
      </c>
      <c r="P109" s="20" t="b">
        <f>IF($Z$2="SwapDesk",NOT(ISNA(VLOOKUP(E109,'Curve Configuration'!$T$6:$T$60,1,0))),NOT(ISNA(VLOOKUP(E109,'Curve Configuration'!$V$6:$V$35,1,0))))</f>
        <v>1</v>
      </c>
      <c r="Q109" s="18" t="e">
        <v>#N/A</v>
      </c>
      <c r="R109" s="94" t="str">
        <v>--</v>
      </c>
      <c r="AB109" s="99" t="e">
        <v>#N/A</v>
      </c>
      <c r="AC109" s="103" t="e">
        <v>#N/A</v>
      </c>
      <c r="AK109" s="21">
        <f>_xll.qlCalendarAdvance(calendar,AK108,"1D")</f>
        <v>42696</v>
      </c>
      <c r="AL109" s="21">
        <f>_xll.qlInterestRateIndexValueDate(hiborindex,AK109)</f>
        <v>42698</v>
      </c>
      <c r="AM109" s="23">
        <f>_xll.qlIndexFixing(hiborindex,AK109)</f>
        <v>-2.0681830217098127E-3</v>
      </c>
    </row>
    <row r="110" spans="1:39" x14ac:dyDescent="0.25">
      <c r="A110" s="20" t="str">
        <f t="shared" si="15"/>
        <v>9M</v>
      </c>
      <c r="B110" s="20">
        <v>9</v>
      </c>
      <c r="C110" s="20" t="s">
        <v>203</v>
      </c>
      <c r="D110" s="20" t="s">
        <v>213</v>
      </c>
      <c r="E110" s="35" t="str">
        <f t="shared" si="16"/>
        <v>9MOIS</v>
      </c>
      <c r="F110" s="20" t="str">
        <f>_xll.qlSimpleQuote(E110,trigger)</f>
        <v>9MOIS#0007</v>
      </c>
      <c r="G110" s="20" t="str">
        <f>_xll.qlMakeOIS(,2,A110,$V$7,,"0D","Actual/360",0,,trigger)</f>
        <v>obj_00605#0008</v>
      </c>
      <c r="H110" s="21">
        <f>_xll.qlCalendarAdvance(calendar,evaluationdate,"2D")</f>
        <v>42551</v>
      </c>
      <c r="I110" s="21">
        <f>_xll.qlCalendarAdvance(calendar,H110,A110)</f>
        <v>42824</v>
      </c>
      <c r="J110" s="22">
        <f>_xll.qlOvernightIndexedSwapFairRate(G110)</f>
        <v>-1.803973237623268E-3</v>
      </c>
      <c r="K110" s="23">
        <f>_xll.qlSimpleQuoteSetValue(F110,J110)</f>
        <v>2.3360267624598979E-3</v>
      </c>
      <c r="L110" s="22">
        <v>0</v>
      </c>
      <c r="M110" s="20" t="str">
        <f t="shared" si="17"/>
        <v>C_9MOIS</v>
      </c>
      <c r="N110" s="20" t="str">
        <f>_xll.qlCompositeQuote(M110,F110,L110,"+",,trigger)</f>
        <v>C_9MOIS#0007</v>
      </c>
      <c r="O110" s="20" t="str">
        <f>_xll.qlOISRateHelper(,2,A110,N110,$V$7,,,trigger)</f>
        <v>obj_00611#0007</v>
      </c>
      <c r="P110" s="20" t="b">
        <f>IF($Z$2="SwapDesk",NOT(ISNA(VLOOKUP(E110,'Curve Configuration'!$T$6:$T$60,1,0))),NOT(ISNA(VLOOKUP(E110,'Curve Configuration'!$V$6:$V$35,1,0))))</f>
        <v>1</v>
      </c>
      <c r="Q110" s="18" t="e">
        <v>#N/A</v>
      </c>
      <c r="R110" s="94" t="str">
        <v>--</v>
      </c>
      <c r="AB110" s="99" t="e">
        <v>#N/A</v>
      </c>
      <c r="AC110" s="103" t="e">
        <v>#N/A</v>
      </c>
      <c r="AK110" s="21">
        <f>_xll.qlCalendarAdvance(calendar,AK109,"1D")</f>
        <v>42697</v>
      </c>
      <c r="AL110" s="21">
        <f>_xll.qlInterestRateIndexValueDate(hiborindex,AK110)</f>
        <v>42699</v>
      </c>
      <c r="AM110" s="23">
        <f>_xll.qlIndexFixing(hiborindex,AK110)</f>
        <v>-2.0700121301058289E-3</v>
      </c>
    </row>
    <row r="111" spans="1:39" x14ac:dyDescent="0.25">
      <c r="A111" s="20" t="str">
        <f t="shared" si="15"/>
        <v>10M</v>
      </c>
      <c r="B111" s="20">
        <v>10</v>
      </c>
      <c r="C111" s="20" t="s">
        <v>203</v>
      </c>
      <c r="D111" s="20" t="s">
        <v>213</v>
      </c>
      <c r="E111" s="35" t="str">
        <f t="shared" si="16"/>
        <v>10MOIS</v>
      </c>
      <c r="F111" s="20" t="str">
        <f>_xll.qlSimpleQuote(E111,trigger)</f>
        <v>10MOIS#0007</v>
      </c>
      <c r="G111" s="20" t="str">
        <f>_xll.qlMakeOIS(,2,A111,$V$7,,"0D","Actual/360",0,,trigger)</f>
        <v>obj_005e2#0008</v>
      </c>
      <c r="H111" s="21">
        <f>_xll.qlCalendarAdvance(calendar,evaluationdate,"2D")</f>
        <v>42551</v>
      </c>
      <c r="I111" s="21">
        <f>_xll.qlCalendarAdvance(calendar,H111,A111)</f>
        <v>42857</v>
      </c>
      <c r="J111" s="22">
        <f>_xll.qlOvernightIndexedSwapFairRate(G111)</f>
        <v>-1.8442171248052135E-3</v>
      </c>
      <c r="K111" s="23">
        <f>_xll.qlSimpleQuoteSetValue(F111,J111)</f>
        <v>2.3557828752949588E-3</v>
      </c>
      <c r="L111" s="22">
        <v>0</v>
      </c>
      <c r="M111" s="20" t="str">
        <f t="shared" si="17"/>
        <v>C_10MOIS</v>
      </c>
      <c r="N111" s="20" t="str">
        <f>_xll.qlCompositeQuote(M111,F111,L111,"+",,trigger)</f>
        <v>C_10MOIS#0007</v>
      </c>
      <c r="O111" s="20" t="str">
        <f>_xll.qlOISRateHelper(,2,A111,N111,$V$7,,,trigger)</f>
        <v>obj_00604#0007</v>
      </c>
      <c r="P111" s="20" t="b">
        <f>IF($Z$2="SwapDesk",NOT(ISNA(VLOOKUP(E111,'Curve Configuration'!$T$6:$T$60,1,0))),NOT(ISNA(VLOOKUP(E111,'Curve Configuration'!$V$6:$V$35,1,0))))</f>
        <v>1</v>
      </c>
      <c r="Q111" s="18" t="e">
        <v>#N/A</v>
      </c>
      <c r="R111" s="94" t="str">
        <v>--</v>
      </c>
      <c r="AB111" s="99" t="e">
        <v>#N/A</v>
      </c>
      <c r="AC111" s="103" t="e">
        <v>#N/A</v>
      </c>
      <c r="AK111" s="21">
        <f>_xll.qlCalendarAdvance(calendar,AK110,"1D")</f>
        <v>42698</v>
      </c>
      <c r="AL111" s="21">
        <f>_xll.qlInterestRateIndexValueDate(hiborindex,AK111)</f>
        <v>42702</v>
      </c>
      <c r="AM111" s="23">
        <f>_xll.qlIndexFixing(hiborindex,AK111)</f>
        <v>-2.076410933786597E-3</v>
      </c>
    </row>
    <row r="112" spans="1:39" x14ac:dyDescent="0.25">
      <c r="A112" s="20" t="str">
        <f t="shared" si="15"/>
        <v>11M</v>
      </c>
      <c r="B112" s="20">
        <v>11</v>
      </c>
      <c r="C112" s="20" t="s">
        <v>203</v>
      </c>
      <c r="D112" s="20" t="s">
        <v>213</v>
      </c>
      <c r="E112" s="35" t="str">
        <f t="shared" si="16"/>
        <v>11MOIS</v>
      </c>
      <c r="F112" s="20" t="str">
        <f>_xll.qlSimpleQuote(E112,trigger)</f>
        <v>11MOIS#0007</v>
      </c>
      <c r="G112" s="20" t="str">
        <f>_xll.qlMakeOIS(,2,A112,$V$7,,"0D","Actual/360",0,,trigger)</f>
        <v>obj_005f8#0008</v>
      </c>
      <c r="H112" s="21">
        <f>_xll.qlCalendarAdvance(calendar,evaluationdate,"2D")</f>
        <v>42551</v>
      </c>
      <c r="I112" s="21">
        <f>_xll.qlCalendarAdvance(calendar,H112,A112)</f>
        <v>42885</v>
      </c>
      <c r="J112" s="22">
        <f>_xll.qlOvernightIndexedSwapFairRate(G112)</f>
        <v>-1.8809945623150393E-3</v>
      </c>
      <c r="K112" s="23">
        <f>_xll.qlSimpleQuoteSetValue(F112,J112)</f>
        <v>2.3890054378079622E-3</v>
      </c>
      <c r="L112" s="22">
        <v>0</v>
      </c>
      <c r="M112" s="20" t="str">
        <f t="shared" si="17"/>
        <v>C_11MOIS</v>
      </c>
      <c r="N112" s="20" t="str">
        <f>_xll.qlCompositeQuote(M112,F112,L112,"+",,trigger)</f>
        <v>C_11MOIS#0007</v>
      </c>
      <c r="O112" s="20" t="str">
        <f>_xll.qlOISRateHelper(,2,A112,N112,$V$7,,,trigger)</f>
        <v>obj_005e1#0007</v>
      </c>
      <c r="P112" s="20" t="b">
        <f>IF($Z$2="SwapDesk",NOT(ISNA(VLOOKUP(E112,'Curve Configuration'!$T$6:$T$60,1,0))),NOT(ISNA(VLOOKUP(E112,'Curve Configuration'!$V$6:$V$35,1,0))))</f>
        <v>1</v>
      </c>
      <c r="Q112" s="18" t="e">
        <v>#N/A</v>
      </c>
      <c r="R112" s="94" t="str">
        <v>--</v>
      </c>
      <c r="AB112" s="99" t="e">
        <v>#N/A</v>
      </c>
      <c r="AC112" s="103" t="e">
        <v>#N/A</v>
      </c>
      <c r="AK112" s="21">
        <f>_xll.qlCalendarAdvance(calendar,AK111,"1D")</f>
        <v>42699</v>
      </c>
      <c r="AL112" s="21">
        <f>_xll.qlInterestRateIndexValueDate(hiborindex,AK112)</f>
        <v>42703</v>
      </c>
      <c r="AM112" s="23">
        <f>_xll.qlIndexFixing(hiborindex,AK112)</f>
        <v>-2.0772462247275044E-3</v>
      </c>
    </row>
    <row r="113" spans="1:39" x14ac:dyDescent="0.25">
      <c r="A113" s="20" t="str">
        <f t="shared" si="15"/>
        <v>12M</v>
      </c>
      <c r="B113" s="20">
        <v>12</v>
      </c>
      <c r="C113" s="20" t="s">
        <v>203</v>
      </c>
      <c r="D113" s="20" t="s">
        <v>213</v>
      </c>
      <c r="E113" s="35" t="str">
        <f t="shared" si="16"/>
        <v>12MOIS</v>
      </c>
      <c r="F113" s="20" t="str">
        <f>_xll.qlSimpleQuote(E113,trigger)</f>
        <v>12MOIS#0007</v>
      </c>
      <c r="G113" s="20" t="str">
        <f>_xll.qlMakeOIS(,2,A113,$V$7,,"0D","Actual/360",0,,trigger)</f>
        <v>obj_005f6#0008</v>
      </c>
      <c r="H113" s="21">
        <f>_xll.qlCalendarAdvance(calendar,evaluationdate,"2D")</f>
        <v>42551</v>
      </c>
      <c r="I113" s="21">
        <f>_xll.qlCalendarAdvance(calendar,H113,A113)</f>
        <v>42916</v>
      </c>
      <c r="J113" s="22">
        <f>_xll.qlOvernightIndexedSwapFairRate(G113)</f>
        <v>-1.910488163093266E-3</v>
      </c>
      <c r="K113" s="23">
        <f>_xll.qlSimpleQuoteSetValue(F113,J113)</f>
        <v>2.4195118370512274E-3</v>
      </c>
      <c r="L113" s="22">
        <v>0</v>
      </c>
      <c r="M113" s="20" t="str">
        <f t="shared" si="17"/>
        <v>C_12MOIS</v>
      </c>
      <c r="N113" s="20" t="str">
        <f>_xll.qlCompositeQuote(M113,F113,L113,"+",,trigger)</f>
        <v>C_12MOIS#0007</v>
      </c>
      <c r="O113" s="20" t="str">
        <f>_xll.qlOISRateHelper(,2,A113,N113,$V$7,,,trigger)</f>
        <v>obj_0061a#0007</v>
      </c>
      <c r="P113" s="20" t="b">
        <f>IF($Z$2="SwapDesk",NOT(ISNA(VLOOKUP(E113,'Curve Configuration'!$T$6:$T$60,1,0))),NOT(ISNA(VLOOKUP(E113,'Curve Configuration'!$V$6:$V$35,1,0))))</f>
        <v>1</v>
      </c>
      <c r="Q113" s="18" t="e">
        <v>#N/A</v>
      </c>
      <c r="R113" s="94" t="str">
        <v>--</v>
      </c>
      <c r="AB113" s="99" t="e">
        <v>#N/A</v>
      </c>
      <c r="AC113" s="103" t="e">
        <v>#N/A</v>
      </c>
      <c r="AK113" s="21">
        <f>_xll.qlCalendarAdvance(calendar,AK112,"1D")</f>
        <v>42702</v>
      </c>
      <c r="AL113" s="21">
        <f>_xll.qlInterestRateIndexValueDate(hiborindex,AK113)</f>
        <v>42704</v>
      </c>
      <c r="AM113" s="23">
        <f>_xll.qlIndexFixing(hiborindex,AK113)</f>
        <v>-2.0800000000852615E-3</v>
      </c>
    </row>
    <row r="114" spans="1:39" x14ac:dyDescent="0.25">
      <c r="A114" s="20" t="str">
        <f t="shared" si="15"/>
        <v>13M</v>
      </c>
      <c r="B114" s="20">
        <v>13</v>
      </c>
      <c r="C114" s="20" t="s">
        <v>203</v>
      </c>
      <c r="D114" s="20" t="s">
        <v>213</v>
      </c>
      <c r="E114" s="35" t="str">
        <f t="shared" si="16"/>
        <v>13MOIS</v>
      </c>
      <c r="F114" s="20" t="str">
        <f>_xll.qlSimpleQuote(E114,trigger)</f>
        <v>13MOIS#0007</v>
      </c>
      <c r="G114" s="20" t="str">
        <f>_xll.qlMakeOIS(,2,A114,$V$7,,"0D","Actual/360",0,,trigger)</f>
        <v>obj_005ef#0008</v>
      </c>
      <c r="H114" s="21">
        <f>_xll.qlCalendarAdvance(calendar,evaluationdate,"2D")</f>
        <v>42551</v>
      </c>
      <c r="I114" s="21">
        <f>_xll.qlCalendarAdvance(calendar,H114,A114)</f>
        <v>42947</v>
      </c>
      <c r="J114" s="22">
        <f>_xll.qlOvernightIndexedSwapFairRate(G114)</f>
        <v>-1.9419190178009285E-3</v>
      </c>
      <c r="K114" s="23">
        <f>_xll.qlSimpleQuoteSetValue(F114,J114)</f>
        <v>2.4463063416007231E-3</v>
      </c>
      <c r="L114" s="22">
        <v>0</v>
      </c>
      <c r="M114" s="20" t="str">
        <f t="shared" si="17"/>
        <v>C_13MOIS</v>
      </c>
      <c r="N114" s="20" t="str">
        <f>_xll.qlCompositeQuote(M114,F114,L114,"+",,trigger)</f>
        <v>C_13MOIS#0007</v>
      </c>
      <c r="O114" s="20" t="str">
        <f>_xll.qlOISRateHelper(,2,A114,N114,$V$7,,,trigger)</f>
        <v>obj_0061d#0007</v>
      </c>
      <c r="P114" s="20" t="b">
        <f>IF($Z$2="SwapDesk",NOT(ISNA(VLOOKUP(E114,'Curve Configuration'!$T$6:$T$60,1,0))),NOT(ISNA(VLOOKUP(E114,'Curve Configuration'!$V$6:$V$35,1,0))))</f>
        <v>1</v>
      </c>
      <c r="Q114" s="18" t="e">
        <v>#N/A</v>
      </c>
      <c r="R114" s="94" t="str">
        <v>--</v>
      </c>
      <c r="AB114" s="99" t="e">
        <v>#N/A</v>
      </c>
      <c r="AC114" s="103" t="e">
        <v>#N/A</v>
      </c>
      <c r="AK114" s="21">
        <f>_xll.qlCalendarAdvance(calendar,AK113,"1D")</f>
        <v>42703</v>
      </c>
      <c r="AL114" s="21">
        <f>_xll.qlInterestRateIndexValueDate(hiborindex,AK114)</f>
        <v>42705</v>
      </c>
      <c r="AM114" s="23">
        <f>_xll.qlIndexFixing(hiborindex,AK114)</f>
        <v>-2.0817644040308468E-3</v>
      </c>
    </row>
    <row r="115" spans="1:39" x14ac:dyDescent="0.25">
      <c r="A115" s="20" t="str">
        <f t="shared" si="15"/>
        <v>14M</v>
      </c>
      <c r="B115" s="20">
        <v>14</v>
      </c>
      <c r="C115" s="20" t="s">
        <v>203</v>
      </c>
      <c r="D115" s="20" t="s">
        <v>213</v>
      </c>
      <c r="E115" s="35" t="str">
        <f t="shared" si="16"/>
        <v>14MOIS</v>
      </c>
      <c r="F115" s="20" t="str">
        <f>_xll.qlSimpleQuote(E115,trigger)</f>
        <v>14MOIS#0007</v>
      </c>
      <c r="G115" s="20" t="str">
        <f>_xll.qlMakeOIS(,2,A115,$V$7,,"0D","Actual/360",0,,trigger)</f>
        <v>obj_005df#0008</v>
      </c>
      <c r="H115" s="21">
        <f>_xll.qlCalendarAdvance(calendar,evaluationdate,"2D")</f>
        <v>42551</v>
      </c>
      <c r="I115" s="21">
        <f>_xll.qlCalendarAdvance(calendar,H115,A115)</f>
        <v>42977</v>
      </c>
      <c r="J115" s="22">
        <f>_xll.qlOvernightIndexedSwapFairRate(G115)</f>
        <v>-1.9666207603590241E-3</v>
      </c>
      <c r="K115" s="23">
        <f>_xll.qlSimpleQuoteSetValue(F115,J115)</f>
        <v>2.4756766696196766E-3</v>
      </c>
      <c r="L115" s="22">
        <v>0</v>
      </c>
      <c r="M115" s="20" t="str">
        <f t="shared" si="17"/>
        <v>C_14MOIS</v>
      </c>
      <c r="N115" s="20" t="str">
        <f>_xll.qlCompositeQuote(M115,F115,L115,"+",,trigger)</f>
        <v>C_14MOIS#0007</v>
      </c>
      <c r="O115" s="20" t="str">
        <f>_xll.qlOISRateHelper(,2,A115,N115,$V$7,,,trigger)</f>
        <v>obj_005fc#0007</v>
      </c>
      <c r="P115" s="20" t="b">
        <f>IF($Z$2="SwapDesk",NOT(ISNA(VLOOKUP(E115,'Curve Configuration'!$T$6:$T$60,1,0))),NOT(ISNA(VLOOKUP(E115,'Curve Configuration'!$V$6:$V$35,1,0))))</f>
        <v>1</v>
      </c>
      <c r="Q115" s="18" t="e">
        <v>#N/A</v>
      </c>
      <c r="R115" s="94" t="str">
        <v>--</v>
      </c>
      <c r="AB115" s="99" t="e">
        <v>#N/A</v>
      </c>
      <c r="AC115" s="103" t="e">
        <v>#N/A</v>
      </c>
      <c r="AK115" s="21">
        <f>_xll.qlCalendarAdvance(calendar,AK114,"1D")</f>
        <v>42704</v>
      </c>
      <c r="AL115" s="21">
        <f>_xll.qlInterestRateIndexValueDate(hiborindex,AK115)</f>
        <v>42706</v>
      </c>
      <c r="AM115" s="23">
        <f>_xll.qlIndexFixing(hiborindex,AK115)</f>
        <v>-2.0835220673099454E-3</v>
      </c>
    </row>
    <row r="116" spans="1:39" x14ac:dyDescent="0.25">
      <c r="A116" s="20" t="str">
        <f t="shared" si="15"/>
        <v>15M</v>
      </c>
      <c r="B116" s="20">
        <v>15</v>
      </c>
      <c r="C116" s="20" t="s">
        <v>203</v>
      </c>
      <c r="D116" s="20" t="s">
        <v>213</v>
      </c>
      <c r="E116" s="35" t="str">
        <f t="shared" si="16"/>
        <v>15MOIS</v>
      </c>
      <c r="F116" s="20" t="str">
        <f>_xll.qlSimpleQuote(E116,trigger)</f>
        <v>15MOIS#0007</v>
      </c>
      <c r="G116" s="20" t="str">
        <f>_xll.qlMakeOIS(,2,A116,$V$7,,"0D","Actual/360",0,,trigger)</f>
        <v>obj_00618#0008</v>
      </c>
      <c r="H116" s="21">
        <f>_xll.qlCalendarAdvance(calendar,evaluationdate,"2D")</f>
        <v>42551</v>
      </c>
      <c r="I116" s="21">
        <f>_xll.qlCalendarAdvance(calendar,H116,A116)</f>
        <v>43010</v>
      </c>
      <c r="J116" s="22">
        <f>_xll.qlOvernightIndexedSwapFairRate(G116)</f>
        <v>-1.9776226958182468E-3</v>
      </c>
      <c r="K116" s="23">
        <f>_xll.qlSimpleQuoteSetValue(F116,J116)</f>
        <v>2.5123773046517349E-3</v>
      </c>
      <c r="L116" s="22">
        <v>0</v>
      </c>
      <c r="M116" s="20" t="str">
        <f t="shared" si="17"/>
        <v>C_15MOIS</v>
      </c>
      <c r="N116" s="20" t="str">
        <f>_xll.qlCompositeQuote(M116,F116,L116,"+",,trigger)</f>
        <v>C_15MOIS#0007</v>
      </c>
      <c r="O116" s="20" t="str">
        <f>_xll.qlOISRateHelper(,2,A116,N116,$V$7,,,trigger)</f>
        <v>obj_005de#0007</v>
      </c>
      <c r="P116" s="20" t="b">
        <f>IF($Z$2="SwapDesk",NOT(ISNA(VLOOKUP(E116,'Curve Configuration'!$T$6:$T$60,1,0))),NOT(ISNA(VLOOKUP(E116,'Curve Configuration'!$V$6:$V$35,1,0))))</f>
        <v>1</v>
      </c>
      <c r="Q116" s="18" t="e">
        <v>#N/A</v>
      </c>
      <c r="R116" s="94" t="str">
        <v>--</v>
      </c>
      <c r="AB116" s="99" t="e">
        <v>#N/A</v>
      </c>
      <c r="AC116" s="103" t="e">
        <v>#N/A</v>
      </c>
      <c r="AK116" s="21">
        <f>_xll.qlCalendarAdvance(calendar,AK115,"1D")</f>
        <v>42705</v>
      </c>
      <c r="AL116" s="21">
        <f>_xll.qlInterestRateIndexValueDate(hiborindex,AK116)</f>
        <v>42709</v>
      </c>
      <c r="AM116" s="23">
        <f>_xll.qlIndexFixing(hiborindex,AK116)</f>
        <v>-2.0887546133349856E-3</v>
      </c>
    </row>
    <row r="117" spans="1:39" x14ac:dyDescent="0.25">
      <c r="A117" s="20" t="str">
        <f t="shared" si="15"/>
        <v>16M</v>
      </c>
      <c r="B117" s="20">
        <v>16</v>
      </c>
      <c r="C117" s="20" t="s">
        <v>203</v>
      </c>
      <c r="D117" s="20" t="s">
        <v>213</v>
      </c>
      <c r="E117" s="35" t="str">
        <f t="shared" si="16"/>
        <v>16MOIS</v>
      </c>
      <c r="F117" s="20" t="str">
        <f>_xll.qlSimpleQuote(E117,trigger)</f>
        <v>16MOIS#0007</v>
      </c>
      <c r="G117" s="20" t="str">
        <f>_xll.qlMakeOIS(,2,A117,$V$7,,"0D","Actual/360",0,,trigger)</f>
        <v>obj_005f5#0008</v>
      </c>
      <c r="H117" s="21">
        <f>_xll.qlCalendarAdvance(calendar,evaluationdate,"2D")</f>
        <v>42551</v>
      </c>
      <c r="I117" s="21">
        <f>_xll.qlCalendarAdvance(calendar,H117,A117)</f>
        <v>43038</v>
      </c>
      <c r="J117" s="22">
        <f>_xll.qlOvernightIndexedSwapFairRate(G117)</f>
        <v>-2.0062650445663173E-3</v>
      </c>
      <c r="K117" s="23">
        <f>_xll.qlSimpleQuoteSetValue(F117,J117)</f>
        <v>2.5341918954336147E-3</v>
      </c>
      <c r="L117" s="22">
        <v>0</v>
      </c>
      <c r="M117" s="20" t="str">
        <f t="shared" si="17"/>
        <v>C_16MOIS</v>
      </c>
      <c r="N117" s="20" t="str">
        <f>_xll.qlCompositeQuote(M117,F117,L117,"+",,trigger)</f>
        <v>C_16MOIS#0007</v>
      </c>
      <c r="O117" s="20" t="str">
        <f>_xll.qlOISRateHelper(,2,A117,N117,$V$7,,,trigger)</f>
        <v>obj_00624#0007</v>
      </c>
      <c r="P117" s="20" t="b">
        <f>IF($Z$2="SwapDesk",NOT(ISNA(VLOOKUP(E117,'Curve Configuration'!$T$6:$T$60,1,0))),NOT(ISNA(VLOOKUP(E117,'Curve Configuration'!$V$6:$V$35,1,0))))</f>
        <v>1</v>
      </c>
      <c r="Q117" s="18" t="e">
        <v>#N/A</v>
      </c>
      <c r="R117" s="94" t="str">
        <v>--</v>
      </c>
      <c r="AB117" s="99" t="e">
        <v>#N/A</v>
      </c>
      <c r="AC117" s="103" t="e">
        <v>#N/A</v>
      </c>
      <c r="AK117" s="21">
        <f>_xll.qlCalendarAdvance(calendar,AK116,"1D")</f>
        <v>42706</v>
      </c>
      <c r="AL117" s="21">
        <f>_xll.qlInterestRateIndexValueDate(hiborindex,AK117)</f>
        <v>42710</v>
      </c>
      <c r="AM117" s="23">
        <f>_xll.qlIndexFixing(hiborindex,AK117)</f>
        <v>-2.0904853141312887E-3</v>
      </c>
    </row>
    <row r="118" spans="1:39" x14ac:dyDescent="0.25">
      <c r="A118" s="20" t="str">
        <f t="shared" si="15"/>
        <v>17M</v>
      </c>
      <c r="B118" s="20">
        <v>17</v>
      </c>
      <c r="C118" s="20" t="s">
        <v>203</v>
      </c>
      <c r="D118" s="20" t="s">
        <v>213</v>
      </c>
      <c r="E118" s="35" t="str">
        <f t="shared" si="16"/>
        <v>17MOIS</v>
      </c>
      <c r="F118" s="20" t="str">
        <f>_xll.qlSimpleQuote(E118,trigger)</f>
        <v>17MOIS#0007</v>
      </c>
      <c r="G118" s="20" t="str">
        <f>_xll.qlMakeOIS(,2,A118,$V$7,,"0D","Actual/360",0,,trigger)</f>
        <v>obj_00602#0008</v>
      </c>
      <c r="H118" s="21">
        <f>_xll.qlCalendarAdvance(calendar,evaluationdate,"2D")</f>
        <v>42551</v>
      </c>
      <c r="I118" s="21">
        <f>_xll.qlCalendarAdvance(calendar,H118,A118)</f>
        <v>43069</v>
      </c>
      <c r="J118" s="22">
        <f>_xll.qlOvernightIndexedSwapFairRate(G118)</f>
        <v>-2.028929413900172E-3</v>
      </c>
      <c r="K118" s="23">
        <f>_xll.qlSimpleQuoteSetValue(F118,J118)</f>
        <v>2.5574767361156458E-3</v>
      </c>
      <c r="L118" s="22">
        <v>0</v>
      </c>
      <c r="M118" s="20" t="str">
        <f t="shared" si="17"/>
        <v>C_17MOIS</v>
      </c>
      <c r="N118" s="20" t="str">
        <f>_xll.qlCompositeQuote(M118,F118,L118,"+",,trigger)</f>
        <v>C_17MOIS#0007</v>
      </c>
      <c r="O118" s="20" t="str">
        <f>_xll.qlOISRateHelper(,2,A118,N118,$V$7,,,trigger)</f>
        <v>obj_0060c#0007</v>
      </c>
      <c r="P118" s="20" t="b">
        <f>IF($Z$2="SwapDesk",NOT(ISNA(VLOOKUP(E118,'Curve Configuration'!$T$6:$T$60,1,0))),NOT(ISNA(VLOOKUP(E118,'Curve Configuration'!$V$6:$V$35,1,0))))</f>
        <v>1</v>
      </c>
      <c r="Q118" s="18" t="e">
        <v>#N/A</v>
      </c>
      <c r="R118" s="94" t="str">
        <v>--</v>
      </c>
      <c r="AB118" s="99" t="e">
        <v>#N/A</v>
      </c>
      <c r="AC118" s="103" t="e">
        <v>#N/A</v>
      </c>
      <c r="AK118" s="21">
        <f>_xll.qlCalendarAdvance(calendar,AK117,"1D")</f>
        <v>42709</v>
      </c>
      <c r="AL118" s="21">
        <f>_xll.qlInterestRateIndexValueDate(hiborindex,AK118)</f>
        <v>42711</v>
      </c>
      <c r="AM118" s="23">
        <f>_xll.qlIndexFixing(hiborindex,AK118)</f>
        <v>-2.0922092743511428E-3</v>
      </c>
    </row>
    <row r="119" spans="1:39" x14ac:dyDescent="0.25">
      <c r="A119" s="20" t="str">
        <f t="shared" si="15"/>
        <v>18M</v>
      </c>
      <c r="B119" s="20">
        <v>18</v>
      </c>
      <c r="C119" s="20" t="s">
        <v>203</v>
      </c>
      <c r="D119" s="20" t="s">
        <v>213</v>
      </c>
      <c r="E119" s="35" t="str">
        <f t="shared" si="16"/>
        <v>18MOIS</v>
      </c>
      <c r="F119" s="20" t="str">
        <f>_xll.qlSimpleQuote(E119,trigger)</f>
        <v>18MOIS#0007</v>
      </c>
      <c r="G119" s="20" t="str">
        <f>_xll.qlMakeOIS(,2,A119,$V$7,,"0D","Actual/360",0,,trigger)</f>
        <v>obj_005dc#0008</v>
      </c>
      <c r="H119" s="21">
        <f>_xll.qlCalendarAdvance(calendar,evaluationdate,"2D")</f>
        <v>42551</v>
      </c>
      <c r="I119" s="21">
        <f>_xll.qlCalendarAdvance(calendar,H119,A119)</f>
        <v>43102</v>
      </c>
      <c r="J119" s="22">
        <f>_xll.qlOvernightIndexedSwapFairRate(G119)</f>
        <v>-2.0501137415339277E-3</v>
      </c>
      <c r="K119" s="23">
        <f>_xll.qlSimpleQuoteSetValue(F119,J119)</f>
        <v>2.5798862584659617E-3</v>
      </c>
      <c r="L119" s="22">
        <v>0</v>
      </c>
      <c r="M119" s="20" t="str">
        <f t="shared" si="17"/>
        <v>C_18MOIS</v>
      </c>
      <c r="N119" s="20" t="str">
        <f>_xll.qlCompositeQuote(M119,F119,L119,"+",,trigger)</f>
        <v>C_18MOIS#0007</v>
      </c>
      <c r="O119" s="20" t="str">
        <f>_xll.qlOISRateHelper(,2,A119,N119,$V$7,,,trigger)</f>
        <v>obj_00601#0007</v>
      </c>
      <c r="P119" s="20" t="b">
        <f>IF($Z$2="SwapDesk",NOT(ISNA(VLOOKUP(E119,'Curve Configuration'!$T$6:$T$60,1,0))),NOT(ISNA(VLOOKUP(E119,'Curve Configuration'!$V$6:$V$35,1,0))))</f>
        <v>1</v>
      </c>
      <c r="Q119" s="18" t="e">
        <v>#N/A</v>
      </c>
      <c r="R119" s="94" t="str">
        <v>--</v>
      </c>
      <c r="AB119" s="99" t="e">
        <v>#N/A</v>
      </c>
      <c r="AC119" s="103" t="e">
        <v>#N/A</v>
      </c>
      <c r="AK119" s="21">
        <f>_xll.qlCalendarAdvance(calendar,AK118,"1D")</f>
        <v>42710</v>
      </c>
      <c r="AL119" s="21">
        <f>_xll.qlInterestRateIndexValueDate(hiborindex,AK119)</f>
        <v>42712</v>
      </c>
      <c r="AM119" s="23">
        <f>_xll.qlIndexFixing(hiborindex,AK119)</f>
        <v>-2.093926494012775E-3</v>
      </c>
    </row>
    <row r="120" spans="1:39" x14ac:dyDescent="0.25">
      <c r="A120" s="20" t="str">
        <f t="shared" si="15"/>
        <v>19M</v>
      </c>
      <c r="B120" s="20">
        <v>19</v>
      </c>
      <c r="C120" s="20" t="s">
        <v>203</v>
      </c>
      <c r="D120" s="20" t="s">
        <v>213</v>
      </c>
      <c r="E120" s="35" t="str">
        <f t="shared" si="16"/>
        <v>19MOIS</v>
      </c>
      <c r="F120" s="20" t="str">
        <f>_xll.qlSimpleQuote(E120,trigger)</f>
        <v>19MOIS#0007</v>
      </c>
      <c r="G120" s="20" t="str">
        <f>_xll.qlMakeOIS(,2,A120,$V$7,,"0D","Actual/360",0,,trigger)</f>
        <v>obj_00622#0008</v>
      </c>
      <c r="H120" s="21">
        <f>_xll.qlCalendarAdvance(calendar,evaluationdate,"2D")</f>
        <v>42551</v>
      </c>
      <c r="I120" s="21">
        <f>_xll.qlCalendarAdvance(calendar,H120,A120)</f>
        <v>43130</v>
      </c>
      <c r="J120" s="22">
        <f>_xll.qlOvernightIndexedSwapFairRate(G120)</f>
        <v>-2.071349245551188E-3</v>
      </c>
      <c r="K120" s="23">
        <f>_xll.qlSimpleQuoteSetValue(F120,J120)</f>
        <v>2.6017372944376867E-3</v>
      </c>
      <c r="L120" s="22">
        <v>0</v>
      </c>
      <c r="M120" s="20" t="str">
        <f t="shared" si="17"/>
        <v>C_19MOIS</v>
      </c>
      <c r="N120" s="20" t="str">
        <f>_xll.qlCompositeQuote(M120,F120,L120,"+",,trigger)</f>
        <v>C_19MOIS#0007</v>
      </c>
      <c r="O120" s="20" t="str">
        <f>_xll.qlOISRateHelper(,2,A120,N120,$V$7,,,trigger)</f>
        <v>obj_005db#0007</v>
      </c>
      <c r="P120" s="20" t="b">
        <f>IF($Z$2="SwapDesk",NOT(ISNA(VLOOKUP(E120,'Curve Configuration'!$T$6:$T$60,1,0))),NOT(ISNA(VLOOKUP(E120,'Curve Configuration'!$V$6:$V$35,1,0))))</f>
        <v>1</v>
      </c>
      <c r="Q120" s="18" t="e">
        <v>#N/A</v>
      </c>
      <c r="R120" s="94" t="str">
        <v>--</v>
      </c>
      <c r="AB120" s="99" t="e">
        <v>#N/A</v>
      </c>
      <c r="AC120" s="103" t="e">
        <v>#N/A</v>
      </c>
      <c r="AK120" s="21">
        <f>_xll.qlCalendarAdvance(calendar,AK119,"1D")</f>
        <v>42711</v>
      </c>
      <c r="AL120" s="21">
        <f>_xll.qlInterestRateIndexValueDate(hiborindex,AK120)</f>
        <v>42713</v>
      </c>
      <c r="AM120" s="23">
        <f>_xll.qlIndexFixing(hiborindex,AK120)</f>
        <v>-2.0956369731333154E-3</v>
      </c>
    </row>
    <row r="121" spans="1:39" x14ac:dyDescent="0.25">
      <c r="A121" s="20" t="str">
        <f t="shared" si="15"/>
        <v>20M</v>
      </c>
      <c r="B121" s="20">
        <v>20</v>
      </c>
      <c r="C121" s="20" t="s">
        <v>203</v>
      </c>
      <c r="D121" s="20" t="s">
        <v>213</v>
      </c>
      <c r="E121" s="35" t="str">
        <f t="shared" si="16"/>
        <v>20MOIS</v>
      </c>
      <c r="F121" s="20" t="str">
        <f>_xll.qlSimpleQuote(E121,trigger)</f>
        <v>20MOIS#0007</v>
      </c>
      <c r="G121" s="20" t="str">
        <f>_xll.qlMakeOIS(,2,A121,$V$7,,"0D","Actual/360",0,,trigger)</f>
        <v>obj_0060f#0008</v>
      </c>
      <c r="H121" s="21">
        <f>_xll.qlCalendarAdvance(calendar,evaluationdate,"2D")</f>
        <v>42551</v>
      </c>
      <c r="I121" s="21">
        <f>_xll.qlCalendarAdvance(calendar,H121,A121)</f>
        <v>43159</v>
      </c>
      <c r="J121" s="22">
        <f>_xll.qlOvernightIndexedSwapFairRate(G121)</f>
        <v>-2.0865771206797367E-3</v>
      </c>
      <c r="K121" s="23">
        <f>_xll.qlSimpleQuoteSetValue(F121,J121)</f>
        <v>2.6259892293113711E-3</v>
      </c>
      <c r="L121" s="22">
        <v>0</v>
      </c>
      <c r="M121" s="20" t="str">
        <f t="shared" si="17"/>
        <v>C_20MOIS</v>
      </c>
      <c r="N121" s="20" t="str">
        <f>_xll.qlCompositeQuote(M121,F121,L121,"+",,trigger)</f>
        <v>C_20MOIS#0007</v>
      </c>
      <c r="O121" s="20" t="str">
        <f>_xll.qlOISRateHelper(,2,A121,N121,$V$7,,,trigger)</f>
        <v>obj_0062a#0007</v>
      </c>
      <c r="P121" s="20" t="b">
        <f>IF($Z$2="SwapDesk",NOT(ISNA(VLOOKUP(E121,'Curve Configuration'!$T$6:$T$60,1,0))),NOT(ISNA(VLOOKUP(E121,'Curve Configuration'!$V$6:$V$35,1,0))))</f>
        <v>1</v>
      </c>
      <c r="Q121" s="18" t="e">
        <v>#N/A</v>
      </c>
      <c r="R121" s="94" t="str">
        <v>--</v>
      </c>
      <c r="AB121" s="99" t="e">
        <v>#N/A</v>
      </c>
      <c r="AC121" s="103" t="e">
        <v>#N/A</v>
      </c>
      <c r="AK121" s="21">
        <f>_xll.qlCalendarAdvance(calendar,AK120,"1D")</f>
        <v>42712</v>
      </c>
      <c r="AL121" s="21">
        <f>_xll.qlInterestRateIndexValueDate(hiborindex,AK121)</f>
        <v>42716</v>
      </c>
      <c r="AM121" s="23">
        <f>_xll.qlIndexFixing(hiborindex,AK121)</f>
        <v>-2.1007279674227484E-3</v>
      </c>
    </row>
    <row r="122" spans="1:39" x14ac:dyDescent="0.25">
      <c r="A122" s="20" t="str">
        <f t="shared" si="15"/>
        <v>21M</v>
      </c>
      <c r="B122" s="20">
        <v>21</v>
      </c>
      <c r="C122" s="20" t="s">
        <v>203</v>
      </c>
      <c r="D122" s="20" t="s">
        <v>213</v>
      </c>
      <c r="E122" s="35" t="str">
        <f t="shared" si="16"/>
        <v>21MOIS</v>
      </c>
      <c r="F122" s="20" t="str">
        <f>_xll.qlSimpleQuote(E122,trigger)</f>
        <v>21MOIS#0007</v>
      </c>
      <c r="G122" s="20" t="str">
        <f>_xll.qlMakeOIS(,2,A122,$V$7,,"0D","Actual/360",0,,trigger)</f>
        <v>obj_005ff#0008</v>
      </c>
      <c r="H122" s="21">
        <f>_xll.qlCalendarAdvance(calendar,evaluationdate,"2D")</f>
        <v>42551</v>
      </c>
      <c r="I122" s="21">
        <f>_xll.qlCalendarAdvance(calendar,H122,A122)</f>
        <v>43193</v>
      </c>
      <c r="J122" s="22">
        <f>_xll.qlOvernightIndexedSwapFairRate(G122)</f>
        <v>-2.0945911084095273E-3</v>
      </c>
      <c r="K122" s="23">
        <f>_xll.qlSimpleQuoteSetValue(F122,J122)</f>
        <v>2.6554088915987689E-3</v>
      </c>
      <c r="L122" s="22">
        <v>0</v>
      </c>
      <c r="M122" s="20" t="str">
        <f t="shared" si="17"/>
        <v>C_21MOIS</v>
      </c>
      <c r="N122" s="20" t="str">
        <f>_xll.qlCompositeQuote(M122,F122,L122,"+",,trigger)</f>
        <v>C_21MOIS#0007</v>
      </c>
      <c r="O122" s="20" t="str">
        <f>_xll.qlOISRateHelper(,2,A122,N122,$V$7,,,trigger)</f>
        <v>obj_00628#0007</v>
      </c>
      <c r="P122" s="20" t="b">
        <f>IF($Z$2="SwapDesk",NOT(ISNA(VLOOKUP(E122,'Curve Configuration'!$T$6:$T$60,1,0))),NOT(ISNA(VLOOKUP(E122,'Curve Configuration'!$V$6:$V$35,1,0))))</f>
        <v>1</v>
      </c>
      <c r="Q122" s="18" t="e">
        <v>#N/A</v>
      </c>
      <c r="R122" s="94" t="str">
        <v>--</v>
      </c>
      <c r="AB122" s="99" t="e">
        <v>#N/A</v>
      </c>
      <c r="AC122" s="103" t="e">
        <v>#N/A</v>
      </c>
      <c r="AK122" s="21">
        <f>_xll.qlCalendarAdvance(calendar,AK121,"1D")</f>
        <v>42713</v>
      </c>
      <c r="AL122" s="21">
        <f>_xll.qlInterestRateIndexValueDate(hiborindex,AK122)</f>
        <v>42717</v>
      </c>
      <c r="AM122" s="23">
        <f>_xll.qlIndexFixing(hiborindex,AK122)</f>
        <v>-2.1024114845532853E-3</v>
      </c>
    </row>
    <row r="123" spans="1:39" x14ac:dyDescent="0.25">
      <c r="A123" s="20" t="str">
        <f t="shared" si="15"/>
        <v>22M</v>
      </c>
      <c r="B123" s="20">
        <v>22</v>
      </c>
      <c r="C123" s="20" t="s">
        <v>203</v>
      </c>
      <c r="D123" s="20" t="s">
        <v>213</v>
      </c>
      <c r="E123" s="35" t="str">
        <f t="shared" si="16"/>
        <v>22MOIS</v>
      </c>
      <c r="F123" s="20" t="str">
        <f>_xll.qlSimpleQuote(E123,trigger)</f>
        <v>22MOIS#0007</v>
      </c>
      <c r="G123" s="20" t="str">
        <f>_xll.qlMakeOIS(,2,A123,$V$7,,"0D","Actual/360",0,,trigger)</f>
        <v>obj_005d9#0008</v>
      </c>
      <c r="H123" s="21">
        <f>_xll.qlCalendarAdvance(calendar,evaluationdate,"2D")</f>
        <v>42551</v>
      </c>
      <c r="I123" s="21">
        <f>_xll.qlCalendarAdvance(calendar,H123,A123)</f>
        <v>43220</v>
      </c>
      <c r="J123" s="22">
        <f>_xll.qlOvernightIndexedSwapFairRate(G123)</f>
        <v>-2.1097855596159641E-3</v>
      </c>
      <c r="K123" s="23">
        <f>_xll.qlSimpleQuoteSetValue(F123,J123)</f>
        <v>2.6761000303985264E-3</v>
      </c>
      <c r="L123" s="22">
        <v>0</v>
      </c>
      <c r="M123" s="20" t="str">
        <f t="shared" si="17"/>
        <v>C_22MOIS</v>
      </c>
      <c r="N123" s="20" t="str">
        <f>_xll.qlCompositeQuote(M123,F123,L123,"+",,trigger)</f>
        <v>C_22MOIS#0007</v>
      </c>
      <c r="O123" s="20" t="str">
        <f>_xll.qlOISRateHelper(,2,A123,N123,$V$7,,,trigger)</f>
        <v>obj_005fb#0007</v>
      </c>
      <c r="P123" s="20" t="b">
        <f>IF($Z$2="SwapDesk",NOT(ISNA(VLOOKUP(E123,'Curve Configuration'!$T$6:$T$60,1,0))),NOT(ISNA(VLOOKUP(E123,'Curve Configuration'!$V$6:$V$35,1,0))))</f>
        <v>1</v>
      </c>
      <c r="Q123" s="18" t="e">
        <v>#N/A</v>
      </c>
      <c r="R123" s="94" t="str">
        <v>--</v>
      </c>
      <c r="AB123" s="99" t="e">
        <v>#N/A</v>
      </c>
      <c r="AC123" s="103" t="e">
        <v>#N/A</v>
      </c>
      <c r="AK123" s="21">
        <f>_xll.qlCalendarAdvance(calendar,AK122,"1D")</f>
        <v>42716</v>
      </c>
      <c r="AL123" s="21">
        <f>_xll.qlInterestRateIndexValueDate(hiborindex,AK123)</f>
        <v>42718</v>
      </c>
      <c r="AM123" s="23">
        <f>_xll.qlIndexFixing(hiborindex,AK123)</f>
        <v>-2.104088261229254E-3</v>
      </c>
    </row>
    <row r="124" spans="1:39" x14ac:dyDescent="0.25">
      <c r="A124" s="20" t="str">
        <f t="shared" si="15"/>
        <v>23M</v>
      </c>
      <c r="B124" s="20">
        <v>23</v>
      </c>
      <c r="C124" s="20" t="s">
        <v>203</v>
      </c>
      <c r="D124" s="20" t="s">
        <v>213</v>
      </c>
      <c r="E124" s="35" t="str">
        <f t="shared" si="16"/>
        <v>23MOIS</v>
      </c>
      <c r="F124" s="20" t="str">
        <f>_xll.qlSimpleQuote(E124,trigger)</f>
        <v>23MOIS#0007</v>
      </c>
      <c r="G124" s="20" t="str">
        <f>_xll.qlMakeOIS(,2,A124,$V$7,,"0D","Actual/360",0,,trigger)</f>
        <v>obj_00621#0008</v>
      </c>
      <c r="H124" s="21">
        <f>_xll.qlCalendarAdvance(calendar,evaluationdate,"2D")</f>
        <v>42551</v>
      </c>
      <c r="I124" s="21">
        <f>_xll.qlCalendarAdvance(calendar,H124,A124)</f>
        <v>43250</v>
      </c>
      <c r="J124" s="22">
        <f>_xll.qlOvernightIndexedSwapFairRate(G124)</f>
        <v>-2.1224239785916908E-3</v>
      </c>
      <c r="K124" s="23">
        <f>_xll.qlSimpleQuoteSetValue(F124,J124)</f>
        <v>2.6933335914153529E-3</v>
      </c>
      <c r="L124" s="22">
        <v>0</v>
      </c>
      <c r="M124" s="20" t="str">
        <f t="shared" si="17"/>
        <v>C_23MOIS</v>
      </c>
      <c r="N124" s="20" t="str">
        <f>_xll.qlCompositeQuote(M124,F124,L124,"+",,trigger)</f>
        <v>C_23MOIS#0007</v>
      </c>
      <c r="O124" s="20" t="str">
        <f>_xll.qlOISRateHelper(,2,A124,N124,$V$7,,,trigger)</f>
        <v>obj_005d8#0007</v>
      </c>
      <c r="P124" s="20" t="b">
        <f>IF($Z$2="SwapDesk",NOT(ISNA(VLOOKUP(E124,'Curve Configuration'!$T$6:$T$60,1,0))),NOT(ISNA(VLOOKUP(E124,'Curve Configuration'!$V$6:$V$35,1,0))))</f>
        <v>1</v>
      </c>
      <c r="Q124" s="18" t="e">
        <v>#N/A</v>
      </c>
      <c r="R124" s="94" t="str">
        <v>--</v>
      </c>
      <c r="AB124" s="99" t="e">
        <v>#N/A</v>
      </c>
      <c r="AC124" s="103" t="e">
        <v>#N/A</v>
      </c>
      <c r="AK124" s="21">
        <f>_xll.qlCalendarAdvance(calendar,AK123,"1D")</f>
        <v>42717</v>
      </c>
      <c r="AL124" s="21">
        <f>_xll.qlInterestRateIndexValueDate(hiborindex,AK124)</f>
        <v>42719</v>
      </c>
      <c r="AM124" s="23">
        <f>_xll.qlIndexFixing(hiborindex,AK124)</f>
        <v>-2.1057582974684428E-3</v>
      </c>
    </row>
    <row r="125" spans="1:39" x14ac:dyDescent="0.25">
      <c r="A125" s="20" t="str">
        <f t="shared" si="15"/>
        <v>2Y</v>
      </c>
      <c r="B125" s="20">
        <v>2</v>
      </c>
      <c r="C125" s="20" t="s">
        <v>86</v>
      </c>
      <c r="D125" s="20" t="s">
        <v>213</v>
      </c>
      <c r="E125" s="35" t="str">
        <f t="shared" ref="E125" si="18">B125&amp;C125&amp;D125</f>
        <v>2YOIS</v>
      </c>
      <c r="F125" s="20" t="str">
        <f>_xll.qlSimpleQuote(E125,trigger)</f>
        <v>2YOIS#0014</v>
      </c>
      <c r="G125" s="20" t="str">
        <f>_xll.qlMakeOIS(,2,A125,$V$7,,"0D","Actual/360",0,,trigger)</f>
        <v>obj_00561#0018</v>
      </c>
      <c r="H125" s="21">
        <f>_xll.qlCalendarAdvance(calendar,evaluationdate,"2D")</f>
        <v>42551</v>
      </c>
      <c r="I125" s="21">
        <f>_xll.qlCalendarAdvance(calendar,H125,A125)</f>
        <v>43283</v>
      </c>
      <c r="J125" s="22">
        <f>_xll.qlOvernightIndexedSwapFairRate(G125)</f>
        <v>-2.1320032249850882E-3</v>
      </c>
      <c r="K125" s="23">
        <f>_xll.qlSimpleQuoteSetValue(F125,J125)</f>
        <v>2.7079967753995786E-3</v>
      </c>
      <c r="L125" s="22">
        <v>0</v>
      </c>
      <c r="M125" s="20" t="str">
        <f>"C_"&amp;E125</f>
        <v>C_2YOIS</v>
      </c>
      <c r="N125" s="20" t="str">
        <f>_xll.qlCompositeQuote(M125,F125,L125,"+",,trigger)</f>
        <v>C_2YOIS#0016</v>
      </c>
      <c r="O125" s="20" t="str">
        <f>_xll.qlOISRateHelper(,2,A125,N125,$V$7,,,trigger)</f>
        <v>obj_00563#0039</v>
      </c>
      <c r="P125" s="20" t="b">
        <f>IF($Z$2="SwapDesk",NOT(ISNA(VLOOKUP(E125,'Curve Configuration'!$T$6:$T$60,1,0))),NOT(ISNA(VLOOKUP(E125,'Curve Configuration'!$V$6:$V$35,1,0))))</f>
        <v>1</v>
      </c>
      <c r="Q125" s="18" t="e">
        <v>#N/A</v>
      </c>
      <c r="R125" s="94" t="str">
        <v>--</v>
      </c>
      <c r="AB125" s="99" t="e">
        <v>#N/A</v>
      </c>
      <c r="AC125" s="103" t="e">
        <v>#N/A</v>
      </c>
      <c r="AK125" s="21">
        <f>_xll.qlCalendarAdvance(calendar,AK124,"1D")</f>
        <v>42718</v>
      </c>
      <c r="AL125" s="21">
        <f>_xll.qlInterestRateIndexValueDate(hiborindex,AK125)</f>
        <v>42720</v>
      </c>
      <c r="AM125" s="23">
        <f>_xll.qlIndexFixing(hiborindex,AK125)</f>
        <v>-2.1074215932873216E-3</v>
      </c>
    </row>
    <row r="126" spans="1:39" x14ac:dyDescent="0.25">
      <c r="A126" s="20" t="str">
        <f t="shared" si="15"/>
        <v>3Y</v>
      </c>
      <c r="B126" s="20">
        <v>3</v>
      </c>
      <c r="C126" s="20" t="s">
        <v>86</v>
      </c>
      <c r="D126" s="20" t="s">
        <v>213</v>
      </c>
      <c r="E126" s="35" t="str">
        <f t="shared" ref="E126:E153" si="19">B126&amp;C126&amp;D126</f>
        <v>3YOIS</v>
      </c>
      <c r="F126" s="20" t="str">
        <f>_xll.qlSimpleQuote(E126,trigger)</f>
        <v>3YOIS#0008</v>
      </c>
      <c r="G126" s="20" t="str">
        <f>_xll.qlMakeOIS(,2,A126,$V$7,,"0D","Actual/360",0,,trigger)</f>
        <v>obj_005b0#0010</v>
      </c>
      <c r="H126" s="21">
        <f>_xll.qlCalendarAdvance(calendar,evaluationdate,"2D")</f>
        <v>42551</v>
      </c>
      <c r="I126" s="21">
        <f>_xll.qlCalendarAdvance(calendar,H126,A126)</f>
        <v>43647</v>
      </c>
      <c r="J126" s="22">
        <f>_xll.qlOvernightIndexedSwapFairRate(G126)</f>
        <v>-2.0323472059637507E-3</v>
      </c>
      <c r="K126" s="23">
        <f>_xll.qlSimpleQuoteSetValue(F126,J126)</f>
        <v>2.9076527940362301E-3</v>
      </c>
      <c r="L126" s="22">
        <v>0</v>
      </c>
      <c r="M126" s="20" t="str">
        <f t="shared" ref="M126:M153" si="20">"C_"&amp;E126</f>
        <v>C_3YOIS</v>
      </c>
      <c r="N126" s="20" t="str">
        <f>_xll.qlCompositeQuote(M126,F126,L126,"+",,trigger)</f>
        <v>C_3YOIS#0008</v>
      </c>
      <c r="O126" s="20" t="str">
        <f>_xll.qlOISRateHelper(,2,A126,N126,$V$7,,,trigger)</f>
        <v>obj_005c8#0009</v>
      </c>
      <c r="P126" s="20" t="b">
        <f>IF($Z$2="SwapDesk",NOT(ISNA(VLOOKUP(E126,'Curve Configuration'!$T$6:$T$60,1,0))),NOT(ISNA(VLOOKUP(E126,'Curve Configuration'!$V$6:$V$35,1,0))))</f>
        <v>1</v>
      </c>
      <c r="Q126" s="18" t="e">
        <v>#N/A</v>
      </c>
      <c r="R126" s="94" t="str">
        <v>--</v>
      </c>
      <c r="AB126" s="99" t="e">
        <v>#N/A</v>
      </c>
      <c r="AC126" s="103" t="e">
        <v>#N/A</v>
      </c>
      <c r="AK126" s="21">
        <f>_xll.qlCalendarAdvance(calendar,AK125,"1D")</f>
        <v>42719</v>
      </c>
      <c r="AL126" s="21">
        <f>_xll.qlInterestRateIndexValueDate(hiborindex,AK126)</f>
        <v>42723</v>
      </c>
      <c r="AM126" s="23">
        <f>_xll.qlIndexFixing(hiborindex,AK126)</f>
        <v>-2.1123710383938303E-3</v>
      </c>
    </row>
    <row r="127" spans="1:39" x14ac:dyDescent="0.25">
      <c r="A127" s="20" t="str">
        <f t="shared" si="15"/>
        <v>4Y</v>
      </c>
      <c r="B127" s="20">
        <v>4</v>
      </c>
      <c r="C127" s="20" t="s">
        <v>86</v>
      </c>
      <c r="D127" s="20" t="s">
        <v>213</v>
      </c>
      <c r="E127" s="35" t="str">
        <f t="shared" si="19"/>
        <v>4YOIS</v>
      </c>
      <c r="F127" s="20" t="str">
        <f>_xll.qlSimpleQuote(E127,trigger)</f>
        <v>4YOIS#0008</v>
      </c>
      <c r="G127" s="20" t="str">
        <f>_xll.qlMakeOIS(,2,A127,$V$7,,"0D","Actual/360",0,,trigger)</f>
        <v>obj_005ac#0010</v>
      </c>
      <c r="H127" s="21">
        <f>_xll.qlCalendarAdvance(calendar,evaluationdate,"2D")</f>
        <v>42551</v>
      </c>
      <c r="I127" s="21">
        <f>_xll.qlCalendarAdvance(calendar,H127,A127)</f>
        <v>44012</v>
      </c>
      <c r="J127" s="22">
        <f>_xll.qlOvernightIndexedSwapFairRate(G127)</f>
        <v>-1.631525098688159E-3</v>
      </c>
      <c r="K127" s="23">
        <f>_xll.qlSimpleQuoteSetValue(F127,J127)</f>
        <v>3.0884749018241769E-3</v>
      </c>
      <c r="L127" s="22">
        <v>0</v>
      </c>
      <c r="M127" s="20" t="str">
        <f t="shared" si="20"/>
        <v>C_4YOIS</v>
      </c>
      <c r="N127" s="20" t="str">
        <f>_xll.qlCompositeQuote(M127,F127,L127,"+",,trigger)</f>
        <v>C_4YOIS#0008</v>
      </c>
      <c r="O127" s="20" t="str">
        <f>_xll.qlOISRateHelper(,2,A127,N127,$V$7,,,trigger)</f>
        <v>obj_005cc#0009</v>
      </c>
      <c r="P127" s="20" t="b">
        <f>IF($Z$2="SwapDesk",NOT(ISNA(VLOOKUP(E127,'Curve Configuration'!$T$6:$T$60,1,0))),NOT(ISNA(VLOOKUP(E127,'Curve Configuration'!$V$6:$V$35,1,0))))</f>
        <v>1</v>
      </c>
      <c r="Q127" s="18" t="e">
        <v>#N/A</v>
      </c>
      <c r="R127" s="94" t="str">
        <v>--</v>
      </c>
      <c r="AB127" s="99" t="e">
        <v>#N/A</v>
      </c>
      <c r="AC127" s="103" t="e">
        <v>#N/A</v>
      </c>
      <c r="AK127" s="21">
        <f>_xll.qlCalendarAdvance(calendar,AK126,"1D")</f>
        <v>42720</v>
      </c>
      <c r="AL127" s="21">
        <f>_xll.qlInterestRateIndexValueDate(hiborindex,AK127)</f>
        <v>42724</v>
      </c>
      <c r="AM127" s="23">
        <f>_xll.qlIndexFixing(hiborindex,AK127)</f>
        <v>-2.1140073727023223E-3</v>
      </c>
    </row>
    <row r="128" spans="1:39" x14ac:dyDescent="0.25">
      <c r="A128" s="20" t="str">
        <f t="shared" si="15"/>
        <v>5Y</v>
      </c>
      <c r="B128" s="20">
        <v>5</v>
      </c>
      <c r="C128" s="20" t="s">
        <v>86</v>
      </c>
      <c r="D128" s="20" t="s">
        <v>213</v>
      </c>
      <c r="E128" s="35" t="str">
        <f t="shared" si="19"/>
        <v>5YOIS</v>
      </c>
      <c r="F128" s="20" t="str">
        <f>_xll.qlSimpleQuote(E128,trigger)</f>
        <v>5YOIS#0008</v>
      </c>
      <c r="G128" s="20" t="str">
        <f>_xll.qlMakeOIS(,2,A128,$V$7,,"0D","Actual/360",0,,trigger)</f>
        <v>obj_00571#0010</v>
      </c>
      <c r="H128" s="21">
        <f>_xll.qlCalendarAdvance(calendar,evaluationdate,"2D")</f>
        <v>42551</v>
      </c>
      <c r="I128" s="21">
        <f>_xll.qlCalendarAdvance(calendar,H128,A128)</f>
        <v>44377</v>
      </c>
      <c r="J128" s="22">
        <f>_xll.qlOvernightIndexedSwapFairRate(G128)</f>
        <v>-9.4728823607716727E-4</v>
      </c>
      <c r="K128" s="23">
        <f>_xll.qlSimpleQuoteSetValue(F128,J128)</f>
        <v>3.1827117639227727E-3</v>
      </c>
      <c r="L128" s="22">
        <v>0</v>
      </c>
      <c r="M128" s="20" t="str">
        <f t="shared" si="20"/>
        <v>C_5YOIS</v>
      </c>
      <c r="N128" s="20" t="str">
        <f>_xll.qlCompositeQuote(M128,F128,L128,"+",,trigger)</f>
        <v>C_5YOIS#0008</v>
      </c>
      <c r="O128" s="20" t="str">
        <f>_xll.qlOISRateHelper(,2,A128,N128,$V$7,,,trigger)</f>
        <v>obj_005ab#0009</v>
      </c>
      <c r="P128" s="20" t="b">
        <f>IF($Z$2="SwapDesk",NOT(ISNA(VLOOKUP(E128,'Curve Configuration'!$T$6:$T$60,1,0))),NOT(ISNA(VLOOKUP(E128,'Curve Configuration'!$V$6:$V$35,1,0))))</f>
        <v>1</v>
      </c>
      <c r="Q128" s="18" t="e">
        <v>#N/A</v>
      </c>
      <c r="R128" s="94" t="str">
        <v>--</v>
      </c>
      <c r="AB128" s="99" t="e">
        <v>#N/A</v>
      </c>
      <c r="AC128" s="103" t="e">
        <v>#N/A</v>
      </c>
      <c r="AK128" s="21">
        <f>_xll.qlCalendarAdvance(calendar,AK127,"1D")</f>
        <v>42723</v>
      </c>
      <c r="AL128" s="21">
        <f>_xll.qlInterestRateIndexValueDate(hiborindex,AK128)</f>
        <v>42725</v>
      </c>
      <c r="AM128" s="23">
        <f>_xll.qlIndexFixing(hiborindex,AK128)</f>
        <v>-2.1156369666754916E-3</v>
      </c>
    </row>
    <row r="129" spans="1:39" x14ac:dyDescent="0.25">
      <c r="A129" s="20" t="str">
        <f t="shared" si="15"/>
        <v>6Y</v>
      </c>
      <c r="B129" s="20">
        <v>6</v>
      </c>
      <c r="C129" s="20" t="s">
        <v>86</v>
      </c>
      <c r="D129" s="20" t="s">
        <v>213</v>
      </c>
      <c r="E129" s="35" t="str">
        <f t="shared" si="19"/>
        <v>6YOIS</v>
      </c>
      <c r="F129" s="20" t="str">
        <f>_xll.qlSimpleQuote(E129,trigger)</f>
        <v>6YOIS#0008</v>
      </c>
      <c r="G129" s="20" t="str">
        <f>_xll.qlMakeOIS(,2,A129,$V$7,,"0D","Actual/360",0,,trigger)</f>
        <v>obj_005b8#0010</v>
      </c>
      <c r="H129" s="21">
        <f>_xll.qlCalendarAdvance(calendar,evaluationdate,"2D")</f>
        <v>42551</v>
      </c>
      <c r="I129" s="21">
        <f>_xll.qlCalendarAdvance(calendar,H129,A129)</f>
        <v>44742</v>
      </c>
      <c r="J129" s="22">
        <f>_xll.qlOvernightIndexedSwapFairRate(G129)</f>
        <v>-1.0622391492113227E-4</v>
      </c>
      <c r="K129" s="23">
        <f>_xll.qlSimpleQuoteSetValue(F129,J129)</f>
        <v>3.2037760850788495E-3</v>
      </c>
      <c r="L129" s="22">
        <v>0</v>
      </c>
      <c r="M129" s="20" t="str">
        <f t="shared" si="20"/>
        <v>C_6YOIS</v>
      </c>
      <c r="N129" s="20" t="str">
        <f>_xll.qlCompositeQuote(M129,F129,L129,"+",,trigger)</f>
        <v>C_6YOIS#0008</v>
      </c>
      <c r="O129" s="20" t="str">
        <f>_xll.qlOISRateHelper(,2,A129,N129,$V$7,,,trigger)</f>
        <v>obj_00570#0009</v>
      </c>
      <c r="P129" s="20" t="b">
        <f>IF($Z$2="SwapDesk",NOT(ISNA(VLOOKUP(E129,'Curve Configuration'!$T$6:$T$60,1,0))),NOT(ISNA(VLOOKUP(E129,'Curve Configuration'!$V$6:$V$35,1,0))))</f>
        <v>1</v>
      </c>
      <c r="Q129" s="18" t="e">
        <v>#N/A</v>
      </c>
      <c r="R129" s="94" t="str">
        <v>--</v>
      </c>
      <c r="AB129" s="99" t="e">
        <v>#N/A</v>
      </c>
      <c r="AC129" s="103" t="e">
        <v>#N/A</v>
      </c>
      <c r="AK129" s="21">
        <f>_xll.qlCalendarAdvance(calendar,AK128,"1D")</f>
        <v>42724</v>
      </c>
      <c r="AL129" s="21">
        <f>_xll.qlInterestRateIndexValueDate(hiborindex,AK129)</f>
        <v>42726</v>
      </c>
      <c r="AM129" s="23">
        <f>_xll.qlIndexFixing(hiborindex,AK129)</f>
        <v>-2.1172598203293689E-3</v>
      </c>
    </row>
    <row r="130" spans="1:39" x14ac:dyDescent="0.25">
      <c r="A130" s="20" t="str">
        <f t="shared" si="15"/>
        <v>7Y</v>
      </c>
      <c r="B130" s="20">
        <v>7</v>
      </c>
      <c r="C130" s="20" t="s">
        <v>86</v>
      </c>
      <c r="D130" s="20" t="s">
        <v>213</v>
      </c>
      <c r="E130" s="35" t="str">
        <f t="shared" si="19"/>
        <v>7YOIS</v>
      </c>
      <c r="F130" s="20" t="str">
        <f>_xll.qlSimpleQuote(E130,trigger)</f>
        <v>7YOIS#0008</v>
      </c>
      <c r="G130" s="20" t="str">
        <f>_xll.qlMakeOIS(,2,A130,$V$7,,"0D","Actual/360",0,,trigger)</f>
        <v>obj_005c6#0010</v>
      </c>
      <c r="H130" s="21">
        <f>_xll.qlCalendarAdvance(calendar,evaluationdate,"2D")</f>
        <v>42551</v>
      </c>
      <c r="I130" s="21">
        <f>_xll.qlCalendarAdvance(calendar,H130,A130)</f>
        <v>45107</v>
      </c>
      <c r="J130" s="22">
        <f>_xll.qlOvernightIndexedSwapFairRate(G130)</f>
        <v>8.5209942198035727E-4</v>
      </c>
      <c r="K130" s="23">
        <f>_xll.qlSimpleQuoteSetValue(F130,J130)</f>
        <v>3.1420994219803575E-3</v>
      </c>
      <c r="L130" s="22">
        <v>0</v>
      </c>
      <c r="M130" s="20" t="str">
        <f t="shared" si="20"/>
        <v>C_7YOIS</v>
      </c>
      <c r="N130" s="20" t="str">
        <f>_xll.qlCompositeQuote(M130,F130,L130,"+",,trigger)</f>
        <v>C_7YOIS#0008</v>
      </c>
      <c r="O130" s="20" t="str">
        <f>_xll.qlOISRateHelper(,2,A130,N130,$V$7,,,trigger)</f>
        <v>obj_005d0#0009</v>
      </c>
      <c r="P130" s="20" t="b">
        <f>IF($Z$2="SwapDesk",NOT(ISNA(VLOOKUP(E130,'Curve Configuration'!$T$6:$T$60,1,0))),NOT(ISNA(VLOOKUP(E130,'Curve Configuration'!$V$6:$V$35,1,0))))</f>
        <v>1</v>
      </c>
      <c r="Q130" s="18" t="e">
        <v>#N/A</v>
      </c>
      <c r="R130" s="94" t="str">
        <v>--</v>
      </c>
      <c r="AB130" s="99" t="e">
        <v>#N/A</v>
      </c>
      <c r="AC130" s="103" t="e">
        <v>#N/A</v>
      </c>
      <c r="AK130" s="21">
        <f>_xll.qlCalendarAdvance(calendar,AK129,"1D")</f>
        <v>42725</v>
      </c>
      <c r="AL130" s="21">
        <f>_xll.qlInterestRateIndexValueDate(hiborindex,AK130)</f>
        <v>42727</v>
      </c>
      <c r="AM130" s="23">
        <f>_xll.qlIndexFixing(hiborindex,AK130)</f>
        <v>-2.1188759336808641E-3</v>
      </c>
    </row>
    <row r="131" spans="1:39" x14ac:dyDescent="0.25">
      <c r="A131" s="20" t="str">
        <f t="shared" si="15"/>
        <v>8Y</v>
      </c>
      <c r="B131" s="20">
        <v>8</v>
      </c>
      <c r="C131" s="20" t="s">
        <v>86</v>
      </c>
      <c r="D131" s="20" t="s">
        <v>213</v>
      </c>
      <c r="E131" s="35" t="str">
        <f t="shared" si="19"/>
        <v>8YOIS</v>
      </c>
      <c r="F131" s="20" t="str">
        <f>_xll.qlSimpleQuote(E131,trigger)</f>
        <v>8YOIS#0008</v>
      </c>
      <c r="G131" s="20" t="str">
        <f>_xll.qlMakeOIS(,2,A131,$V$7,,"0D","Actual/360",0,,trigger)</f>
        <v>obj_00595#0010</v>
      </c>
      <c r="H131" s="21">
        <f>_xll.qlCalendarAdvance(calendar,evaluationdate,"2D")</f>
        <v>42551</v>
      </c>
      <c r="I131" s="21">
        <f>_xll.qlCalendarAdvance(calendar,H131,A131)</f>
        <v>45474</v>
      </c>
      <c r="J131" s="22">
        <f>_xll.qlOvernightIndexedSwapFairRate(G131)</f>
        <v>1.8487583366156423E-3</v>
      </c>
      <c r="K131" s="23">
        <f>_xll.qlSimpleQuoteSetValue(F131,J131)</f>
        <v>3.0587583366155822E-3</v>
      </c>
      <c r="L131" s="22">
        <v>0</v>
      </c>
      <c r="M131" s="20" t="str">
        <f t="shared" si="20"/>
        <v>C_8YOIS</v>
      </c>
      <c r="N131" s="20" t="str">
        <f>_xll.qlCompositeQuote(M131,F131,L131,"+",,trigger)</f>
        <v>C_8YOIS#0008</v>
      </c>
      <c r="O131" s="20" t="str">
        <f>_xll.qlOISRateHelper(,2,A131,N131,$V$7,,,trigger)</f>
        <v>obj_005af#0009</v>
      </c>
      <c r="P131" s="20" t="b">
        <f>IF($Z$2="SwapDesk",NOT(ISNA(VLOOKUP(E131,'Curve Configuration'!$T$6:$T$60,1,0))),NOT(ISNA(VLOOKUP(E131,'Curve Configuration'!$V$6:$V$35,1,0))))</f>
        <v>1</v>
      </c>
      <c r="Q131" s="18" t="e">
        <v>#N/A</v>
      </c>
      <c r="R131" s="94" t="str">
        <v>--</v>
      </c>
      <c r="AB131" s="99" t="e">
        <v>#N/A</v>
      </c>
      <c r="AC131" s="103" t="e">
        <v>#N/A</v>
      </c>
      <c r="AK131" s="21">
        <f>_xll.qlCalendarAdvance(calendar,AK130,"1D")</f>
        <v>42726</v>
      </c>
      <c r="AL131" s="21">
        <f>_xll.qlInterestRateIndexValueDate(hiborindex,AK131)</f>
        <v>42731</v>
      </c>
      <c r="AM131" s="23">
        <f>_xll.qlIndexFixing(hiborindex,AK131)</f>
        <v>-2.1252729843933083E-3</v>
      </c>
    </row>
    <row r="132" spans="1:39" x14ac:dyDescent="0.25">
      <c r="A132" s="20" t="str">
        <f t="shared" si="15"/>
        <v>9Y</v>
      </c>
      <c r="B132" s="20">
        <v>9</v>
      </c>
      <c r="C132" s="20" t="s">
        <v>86</v>
      </c>
      <c r="D132" s="20" t="s">
        <v>213</v>
      </c>
      <c r="E132" s="35" t="str">
        <f t="shared" si="19"/>
        <v>9YOIS</v>
      </c>
      <c r="F132" s="20" t="str">
        <f>_xll.qlSimpleQuote(E132,trigger)</f>
        <v>9YOIS#0008</v>
      </c>
      <c r="G132" s="20" t="str">
        <f>_xll.qlMakeOIS(,2,A132,$V$7,,"0D","Actual/360",0,,trigger)</f>
        <v>obj_0056e#0010</v>
      </c>
      <c r="H132" s="21">
        <f>_xll.qlCalendarAdvance(calendar,evaluationdate,"2D")</f>
        <v>42551</v>
      </c>
      <c r="I132" s="21">
        <f>_xll.qlCalendarAdvance(calendar,H132,A132)</f>
        <v>45838</v>
      </c>
      <c r="J132" s="22">
        <f>_xll.qlOvernightIndexedSwapFairRate(G132)</f>
        <v>2.8360651225782531E-3</v>
      </c>
      <c r="K132" s="23">
        <f>_xll.qlSimpleQuoteSetValue(F132,J132)</f>
        <v>2.9660651225782682E-3</v>
      </c>
      <c r="L132" s="22">
        <v>0</v>
      </c>
      <c r="M132" s="20" t="str">
        <f t="shared" si="20"/>
        <v>C_9YOIS</v>
      </c>
      <c r="N132" s="20" t="str">
        <f>_xll.qlCompositeQuote(M132,F132,L132,"+",,trigger)</f>
        <v>C_9YOIS#0008</v>
      </c>
      <c r="O132" s="20" t="str">
        <f>_xll.qlOISRateHelper(,2,A132,N132,$V$7,,,trigger)</f>
        <v>obj_005a9#0009</v>
      </c>
      <c r="P132" s="20" t="b">
        <f>IF($Z$2="SwapDesk",NOT(ISNA(VLOOKUP(E132,'Curve Configuration'!$T$6:$T$60,1,0))),NOT(ISNA(VLOOKUP(E132,'Curve Configuration'!$V$6:$V$35,1,0))))</f>
        <v>1</v>
      </c>
      <c r="Q132" s="18" t="e">
        <v>#N/A</v>
      </c>
      <c r="R132" s="94" t="str">
        <v>--</v>
      </c>
      <c r="AB132" s="99" t="e">
        <v>#N/A</v>
      </c>
      <c r="AC132" s="103" t="e">
        <v>#N/A</v>
      </c>
      <c r="AK132" s="21">
        <f>_xll.qlCalendarAdvance(calendar,AK131,"1D")</f>
        <v>42727</v>
      </c>
      <c r="AL132" s="21">
        <f>_xll.qlInterestRateIndexValueDate(hiborindex,AK132)</f>
        <v>42732</v>
      </c>
      <c r="AM132" s="23">
        <f>_xll.qlIndexFixing(hiborindex,AK132)</f>
        <v>-2.1268553964799478E-3</v>
      </c>
    </row>
    <row r="133" spans="1:39" x14ac:dyDescent="0.25">
      <c r="A133" s="20" t="str">
        <f t="shared" si="15"/>
        <v>10Y</v>
      </c>
      <c r="B133" s="20">
        <v>10</v>
      </c>
      <c r="C133" s="20" t="s">
        <v>86</v>
      </c>
      <c r="D133" s="20" t="s">
        <v>213</v>
      </c>
      <c r="E133" s="35" t="str">
        <f t="shared" si="19"/>
        <v>10YOIS</v>
      </c>
      <c r="F133" s="20" t="str">
        <f>_xll.qlSimpleQuote(E133,trigger)</f>
        <v>10YOIS#0008</v>
      </c>
      <c r="G133" s="20" t="str">
        <f>_xll.qlMakeOIS(,2,A133,$V$7,,"0D","Actual/360",0,,trigger)</f>
        <v>obj_0057b#0010</v>
      </c>
      <c r="H133" s="21">
        <f>_xll.qlCalendarAdvance(calendar,evaluationdate,"2D")</f>
        <v>42551</v>
      </c>
      <c r="I133" s="21">
        <f>_xll.qlCalendarAdvance(calendar,H133,A133)</f>
        <v>46203</v>
      </c>
      <c r="J133" s="22">
        <f>_xll.qlOvernightIndexedSwapFairRate(G133)</f>
        <v>3.725853922637184E-3</v>
      </c>
      <c r="K133" s="23">
        <f>_xll.qlSimpleQuoteSetValue(F133,J133)</f>
        <v>2.8558539226372719E-3</v>
      </c>
      <c r="L133" s="22">
        <v>0</v>
      </c>
      <c r="M133" s="20" t="str">
        <f t="shared" si="20"/>
        <v>C_10YOIS</v>
      </c>
      <c r="N133" s="20" t="str">
        <f>_xll.qlCompositeQuote(M133,F133,L133,"+",,trigger)</f>
        <v>C_10YOIS#0008</v>
      </c>
      <c r="O133" s="20" t="str">
        <f>_xll.qlOISRateHelper(,2,A133,N133,$V$7,,,trigger)</f>
        <v>obj_00587#0009</v>
      </c>
      <c r="P133" s="20" t="b">
        <f>IF($Z$2="SwapDesk",NOT(ISNA(VLOOKUP(E133,'Curve Configuration'!$T$6:$T$60,1,0))),NOT(ISNA(VLOOKUP(E133,'Curve Configuration'!$V$6:$V$35,1,0))))</f>
        <v>1</v>
      </c>
      <c r="Q133" s="18" t="e">
        <v>#N/A</v>
      </c>
      <c r="R133" s="94" t="str">
        <v>--</v>
      </c>
      <c r="AB133" s="99" t="e">
        <v>#N/A</v>
      </c>
      <c r="AC133" s="103" t="e">
        <v>#N/A</v>
      </c>
      <c r="AK133" s="21">
        <f>_xll.qlCalendarAdvance(calendar,AK132,"1D")</f>
        <v>42731</v>
      </c>
      <c r="AL133" s="21">
        <f>_xll.qlInterestRateIndexValueDate(hiborindex,AK133)</f>
        <v>42733</v>
      </c>
      <c r="AM133" s="23">
        <f>_xll.qlIndexFixing(hiborindex,AK133)</f>
        <v>-2.1284310683621489E-3</v>
      </c>
    </row>
    <row r="134" spans="1:39" x14ac:dyDescent="0.25">
      <c r="A134" s="20" t="str">
        <f t="shared" si="15"/>
        <v>11Y</v>
      </c>
      <c r="B134" s="20">
        <v>11</v>
      </c>
      <c r="C134" s="20" t="s">
        <v>86</v>
      </c>
      <c r="D134" s="20" t="s">
        <v>213</v>
      </c>
      <c r="E134" s="35" t="str">
        <f t="shared" si="19"/>
        <v>11YOIS</v>
      </c>
      <c r="F134" s="20" t="str">
        <f>_xll.qlSimpleQuote(E134,trigger)</f>
        <v>11YOIS#0008</v>
      </c>
      <c r="G134" s="20" t="str">
        <f>_xll.qlMakeOIS(,2,A134,$V$7,,"0D","Actual/360",0,,trigger)</f>
        <v>obj_005c5#0010</v>
      </c>
      <c r="H134" s="21">
        <f>_xll.qlCalendarAdvance(calendar,evaluationdate,"2D")</f>
        <v>42551</v>
      </c>
      <c r="I134" s="21">
        <f>_xll.qlCalendarAdvance(calendar,H134,A134)</f>
        <v>46568</v>
      </c>
      <c r="J134" s="22">
        <f>_xll.qlOvernightIndexedSwapFairRate(G134)</f>
        <v>4.5251332021817546E-3</v>
      </c>
      <c r="K134" s="23">
        <f>_xll.qlSimpleQuoteSetValue(F134,J134)</f>
        <v>2.7451332021818002E-3</v>
      </c>
      <c r="L134" s="22">
        <v>0</v>
      </c>
      <c r="M134" s="20" t="str">
        <f t="shared" si="20"/>
        <v>C_11YOIS</v>
      </c>
      <c r="N134" s="20" t="str">
        <f>_xll.qlCompositeQuote(M134,F134,L134,"+",,trigger)</f>
        <v>C_11YOIS#0008</v>
      </c>
      <c r="O134" s="20" t="str">
        <f>_xll.qlOISRateHelper(,2,A134,N134,$V$7,,,trigger)</f>
        <v>obj_005b7#0009</v>
      </c>
      <c r="P134" s="20" t="b">
        <f>IF($Z$2="SwapDesk",NOT(ISNA(VLOOKUP(E134,'Curve Configuration'!$T$6:$T$60,1,0))),NOT(ISNA(VLOOKUP(E134,'Curve Configuration'!$V$6:$V$35,1,0))))</f>
        <v>1</v>
      </c>
      <c r="Q134" s="18" t="e">
        <v>#N/A</v>
      </c>
      <c r="R134" s="94" t="str">
        <v>--</v>
      </c>
      <c r="AB134" s="99" t="e">
        <v>#N/A</v>
      </c>
      <c r="AC134" s="103" t="e">
        <v>#N/A</v>
      </c>
      <c r="AK134" s="21">
        <f>_xll.qlCalendarAdvance(calendar,AK133,"1D")</f>
        <v>42732</v>
      </c>
      <c r="AL134" s="21">
        <f>_xll.qlInterestRateIndexValueDate(hiborindex,AK134)</f>
        <v>42734</v>
      </c>
      <c r="AM134" s="23">
        <f>_xll.qlIndexFixing(hiborindex,AK134)</f>
        <v>-2.1300000000572601E-3</v>
      </c>
    </row>
    <row r="135" spans="1:39" x14ac:dyDescent="0.25">
      <c r="A135" s="20" t="str">
        <f t="shared" si="15"/>
        <v>12Y</v>
      </c>
      <c r="B135" s="20">
        <v>12</v>
      </c>
      <c r="C135" s="20" t="s">
        <v>86</v>
      </c>
      <c r="D135" s="20" t="s">
        <v>213</v>
      </c>
      <c r="E135" s="35" t="str">
        <f t="shared" si="19"/>
        <v>12YOIS</v>
      </c>
      <c r="F135" s="20" t="str">
        <f>_xll.qlSimpleQuote(E135,trigger)</f>
        <v>12YOIS#0008</v>
      </c>
      <c r="G135" s="20" t="str">
        <f>_xll.qlMakeOIS(,2,A135,$V$7,,"0D","Actual/360",0,,trigger)</f>
        <v>obj_0058a#0010</v>
      </c>
      <c r="H135" s="21">
        <f>_xll.qlCalendarAdvance(calendar,evaluationdate,"2D")</f>
        <v>42551</v>
      </c>
      <c r="I135" s="21">
        <f>_xll.qlCalendarAdvance(calendar,H135,A135)</f>
        <v>46934</v>
      </c>
      <c r="J135" s="22">
        <f>_xll.qlOvernightIndexedSwapFairRate(G135)</f>
        <v>5.2314216608069647E-3</v>
      </c>
      <c r="K135" s="23">
        <f>_xll.qlSimpleQuoteSetValue(F135,J135)</f>
        <v>2.6514216608070542E-3</v>
      </c>
      <c r="L135" s="22">
        <v>0</v>
      </c>
      <c r="M135" s="20" t="str">
        <f t="shared" si="20"/>
        <v>C_12YOIS</v>
      </c>
      <c r="N135" s="20" t="str">
        <f>_xll.qlCompositeQuote(M135,F135,L135,"+",,trigger)</f>
        <v>C_12YOIS#0008</v>
      </c>
      <c r="O135" s="20" t="str">
        <f>_xll.qlOISRateHelper(,2,A135,N135,$V$7,,,trigger)</f>
        <v>obj_005ad#0009</v>
      </c>
      <c r="P135" s="20" t="b">
        <f>IF($Z$2="SwapDesk",NOT(ISNA(VLOOKUP(E135,'Curve Configuration'!$T$6:$T$60,1,0))),NOT(ISNA(VLOOKUP(E135,'Curve Configuration'!$V$6:$V$35,1,0))))</f>
        <v>1</v>
      </c>
      <c r="Q135" s="18" t="e">
        <v>#N/A</v>
      </c>
      <c r="R135" s="94" t="str">
        <v>--</v>
      </c>
      <c r="AB135" s="99" t="e">
        <v>#N/A</v>
      </c>
      <c r="AC135" s="103" t="e">
        <v>#N/A</v>
      </c>
      <c r="AK135" s="21">
        <f>_xll.qlCalendarAdvance(calendar,AK134,"1D")</f>
        <v>42733</v>
      </c>
      <c r="AL135" s="21">
        <f>_xll.qlInterestRateIndexValueDate(hiborindex,AK135)</f>
        <v>42737</v>
      </c>
      <c r="AM135" s="23">
        <f>_xll.qlIndexFixing(hiborindex,AK135)</f>
        <v>-2.134212172819055E-3</v>
      </c>
    </row>
    <row r="136" spans="1:39" x14ac:dyDescent="0.25">
      <c r="A136" s="20" t="str">
        <f t="shared" si="15"/>
        <v>13Y</v>
      </c>
      <c r="B136" s="20">
        <v>13</v>
      </c>
      <c r="C136" s="20" t="s">
        <v>86</v>
      </c>
      <c r="D136" s="20" t="s">
        <v>213</v>
      </c>
      <c r="E136" s="35" t="str">
        <f t="shared" si="19"/>
        <v>13YOIS</v>
      </c>
      <c r="F136" s="20" t="str">
        <f>_xll.qlSimpleQuote(E136,trigger)</f>
        <v>13YOIS#0008</v>
      </c>
      <c r="G136" s="20" t="str">
        <f>_xll.qlMakeOIS(,2,A136,$V$7,,"0D","Actual/360",0,,trigger)</f>
        <v>obj_0056d#0010</v>
      </c>
      <c r="H136" s="21">
        <f>_xll.qlCalendarAdvance(calendar,evaluationdate,"2D")</f>
        <v>42551</v>
      </c>
      <c r="I136" s="21">
        <f>_xll.qlCalendarAdvance(calendar,H136,A136)</f>
        <v>47301</v>
      </c>
      <c r="J136" s="22">
        <f>_xll.qlOvernightIndexedSwapFairRate(G136)</f>
        <v>5.8311753820610547E-3</v>
      </c>
      <c r="K136" s="23">
        <f>_xll.qlSimpleQuoteSetValue(F136,J136)</f>
        <v>2.5578872020611126E-3</v>
      </c>
      <c r="L136" s="22">
        <v>0</v>
      </c>
      <c r="M136" s="20" t="str">
        <f t="shared" si="20"/>
        <v>C_13YOIS</v>
      </c>
      <c r="N136" s="20" t="str">
        <f>_xll.qlCompositeQuote(M136,F136,L136,"+",,trigger)</f>
        <v>C_13YOIS#0008</v>
      </c>
      <c r="O136" s="20" t="str">
        <f>_xll.qlOISRateHelper(,2,A136,N136,$V$7,,,trigger)</f>
        <v>obj_00592#0009</v>
      </c>
      <c r="P136" s="20" t="b">
        <f>IF($Z$2="SwapDesk",NOT(ISNA(VLOOKUP(E136,'Curve Configuration'!$T$6:$T$60,1,0))),NOT(ISNA(VLOOKUP(E136,'Curve Configuration'!$V$6:$V$35,1,0))))</f>
        <v>1</v>
      </c>
      <c r="Q136" s="18" t="e">
        <v>#N/A</v>
      </c>
      <c r="R136" s="94" t="str">
        <v>--</v>
      </c>
      <c r="AB136" s="99" t="e">
        <v>#N/A</v>
      </c>
      <c r="AC136" s="103" t="e">
        <v>#N/A</v>
      </c>
      <c r="AK136" s="21">
        <f>_xll.qlCalendarAdvance(calendar,AK135,"1D")</f>
        <v>42734</v>
      </c>
      <c r="AL136" s="21">
        <f>_xll.qlInterestRateIndexValueDate(hiborindex,AK136)</f>
        <v>42738</v>
      </c>
      <c r="AM136" s="23">
        <f>_xll.qlIndexFixing(hiborindex,AK136)</f>
        <v>-2.1347669074915651E-3</v>
      </c>
    </row>
    <row r="137" spans="1:39" x14ac:dyDescent="0.25">
      <c r="A137" s="20" t="str">
        <f t="shared" si="15"/>
        <v>14Y</v>
      </c>
      <c r="B137" s="20">
        <v>14</v>
      </c>
      <c r="C137" s="20" t="s">
        <v>86</v>
      </c>
      <c r="D137" s="20" t="s">
        <v>213</v>
      </c>
      <c r="E137" s="35" t="str">
        <f t="shared" si="19"/>
        <v>14YOIS</v>
      </c>
      <c r="F137" s="20" t="str">
        <f>_xll.qlSimpleQuote(E137,trigger)</f>
        <v>14YOIS#0008</v>
      </c>
      <c r="G137" s="20" t="str">
        <f>_xll.qlMakeOIS(,2,A137,$V$7,,"0D","Actual/360",0,,trigger)</f>
        <v>obj_0059a#0010</v>
      </c>
      <c r="H137" s="21">
        <f>_xll.qlCalendarAdvance(calendar,evaluationdate,"2D")</f>
        <v>42551</v>
      </c>
      <c r="I137" s="21">
        <f>_xll.qlCalendarAdvance(calendar,H137,A137)</f>
        <v>47665</v>
      </c>
      <c r="J137" s="22">
        <f>_xll.qlOvernightIndexedSwapFairRate(G137)</f>
        <v>6.3338013695832598E-3</v>
      </c>
      <c r="K137" s="23">
        <f>_xll.qlSimpleQuoteSetValue(F137,J137)</f>
        <v>2.4627997395833367E-3</v>
      </c>
      <c r="L137" s="22">
        <v>0</v>
      </c>
      <c r="M137" s="20" t="str">
        <f t="shared" si="20"/>
        <v>C_14YOIS</v>
      </c>
      <c r="N137" s="20" t="str">
        <f>_xll.qlCompositeQuote(M137,F137,L137,"+",,trigger)</f>
        <v>C_14YOIS#0008</v>
      </c>
      <c r="O137" s="20" t="str">
        <f>_xll.qlOISRateHelper(,2,A137,N137,$V$7,,,trigger)</f>
        <v>obj_0056c#0009</v>
      </c>
      <c r="P137" s="20" t="b">
        <f>IF($Z$2="SwapDesk",NOT(ISNA(VLOOKUP(E137,'Curve Configuration'!$T$6:$T$60,1,0))),NOT(ISNA(VLOOKUP(E137,'Curve Configuration'!$V$6:$V$35,1,0))))</f>
        <v>1</v>
      </c>
      <c r="Q137" s="18" t="e">
        <v>#N/A</v>
      </c>
      <c r="R137" s="94" t="str">
        <v>--</v>
      </c>
      <c r="AB137" s="99" t="e">
        <v>#N/A</v>
      </c>
      <c r="AC137" s="103" t="e">
        <v>#N/A</v>
      </c>
      <c r="AK137" s="21">
        <f>_xll.qlCalendarAdvance(calendar,AK136,"1D")</f>
        <v>42737</v>
      </c>
      <c r="AL137" s="21">
        <f>_xll.qlInterestRateIndexValueDate(hiborindex,AK137)</f>
        <v>42739</v>
      </c>
      <c r="AM137" s="23">
        <f>_xll.qlIndexFixing(hiborindex,AK137)</f>
        <v>-2.1361416637149006E-3</v>
      </c>
    </row>
    <row r="138" spans="1:39" x14ac:dyDescent="0.25">
      <c r="A138" s="20" t="str">
        <f t="shared" si="15"/>
        <v>15Y</v>
      </c>
      <c r="B138" s="20">
        <v>15</v>
      </c>
      <c r="C138" s="20" t="s">
        <v>86</v>
      </c>
      <c r="D138" s="20" t="s">
        <v>213</v>
      </c>
      <c r="E138" s="35" t="str">
        <f t="shared" si="19"/>
        <v>15YOIS</v>
      </c>
      <c r="F138" s="20" t="str">
        <f>_xll.qlSimpleQuote(E138,trigger)</f>
        <v>15YOIS#0008</v>
      </c>
      <c r="G138" s="20" t="str">
        <f>_xll.qlMakeOIS(,2,A138,$V$7,,"0D","Actual/360",0,,trigger)</f>
        <v>obj_005c4#0010</v>
      </c>
      <c r="H138" s="21">
        <f>_xll.qlCalendarAdvance(calendar,evaluationdate,"2D")</f>
        <v>42551</v>
      </c>
      <c r="I138" s="21">
        <f>_xll.qlCalendarAdvance(calendar,H138,A138)</f>
        <v>48029</v>
      </c>
      <c r="J138" s="22">
        <f>_xll.qlOvernightIndexedSwapFairRate(G138)</f>
        <v>6.7507588428613345E-3</v>
      </c>
      <c r="K138" s="23">
        <f>_xll.qlSimpleQuoteSetValue(F138,J138)</f>
        <v>2.3707588428614765E-3</v>
      </c>
      <c r="L138" s="22">
        <v>0</v>
      </c>
      <c r="M138" s="20" t="str">
        <f t="shared" si="20"/>
        <v>C_15YOIS</v>
      </c>
      <c r="N138" s="20" t="str">
        <f>_xll.qlCompositeQuote(M138,F138,L138,"+",,trigger)</f>
        <v>C_15YOIS#0008</v>
      </c>
      <c r="O138" s="20" t="str">
        <f>_xll.qlOISRateHelper(,2,A138,N138,$V$7,,,trigger)</f>
        <v>obj_005c7#0009</v>
      </c>
      <c r="P138" s="20" t="b">
        <f>IF($Z$2="SwapDesk",NOT(ISNA(VLOOKUP(E138,'Curve Configuration'!$T$6:$T$60,1,0))),NOT(ISNA(VLOOKUP(E138,'Curve Configuration'!$V$6:$V$35,1,0))))</f>
        <v>1</v>
      </c>
      <c r="Q138" s="18" t="e">
        <v>#N/A</v>
      </c>
      <c r="R138" s="94" t="str">
        <v>--</v>
      </c>
      <c r="AB138" s="99" t="e">
        <v>#N/A</v>
      </c>
      <c r="AC138" s="103" t="e">
        <v>#N/A</v>
      </c>
      <c r="AK138" s="21">
        <f>_xll.qlCalendarAdvance(calendar,AK137,"1D")</f>
        <v>42738</v>
      </c>
      <c r="AL138" s="21">
        <f>_xll.qlInterestRateIndexValueDate(hiborindex,AK138)</f>
        <v>42740</v>
      </c>
      <c r="AM138" s="23">
        <f>_xll.qlIndexFixing(hiborindex,AK138)</f>
        <v>-2.1375077952359572E-3</v>
      </c>
    </row>
    <row r="139" spans="1:39" x14ac:dyDescent="0.25">
      <c r="A139" s="20" t="str">
        <f t="shared" si="15"/>
        <v>16Y</v>
      </c>
      <c r="B139" s="20">
        <v>16</v>
      </c>
      <c r="C139" s="20" t="s">
        <v>86</v>
      </c>
      <c r="D139" s="20" t="s">
        <v>213</v>
      </c>
      <c r="E139" s="35" t="str">
        <f t="shared" si="19"/>
        <v>16YOIS</v>
      </c>
      <c r="F139" s="20" t="str">
        <f>_xll.qlSimpleQuote(E139,trigger)</f>
        <v>16YOIS#0008</v>
      </c>
      <c r="G139" s="20" t="str">
        <f>_xll.qlMakeOIS(,2,A139,$V$7,,"0D","Actual/360",0,,trigger)</f>
        <v>obj_005a7#0010</v>
      </c>
      <c r="H139" s="21">
        <f>_xll.qlCalendarAdvance(calendar,evaluationdate,"2D")</f>
        <v>42551</v>
      </c>
      <c r="I139" s="21">
        <f>_xll.qlCalendarAdvance(calendar,H139,A139)</f>
        <v>48395</v>
      </c>
      <c r="J139" s="22">
        <f>_xll.qlOvernightIndexedSwapFairRate(G139)</f>
        <v>7.0855371830355098E-3</v>
      </c>
      <c r="K139" s="23">
        <f>_xll.qlSimpleQuoteSetValue(F139,J139)</f>
        <v>2.2870476930357559E-3</v>
      </c>
      <c r="L139" s="22">
        <v>0</v>
      </c>
      <c r="M139" s="20" t="str">
        <f t="shared" si="20"/>
        <v>C_16YOIS</v>
      </c>
      <c r="N139" s="20" t="str">
        <f>_xll.qlCompositeQuote(M139,F139,L139,"+",,trigger)</f>
        <v>C_16YOIS#0008</v>
      </c>
      <c r="O139" s="20" t="str">
        <f>_xll.qlOISRateHelper(,2,A139,N139,$V$7,,,trigger)</f>
        <v>obj_005c3#0009</v>
      </c>
      <c r="P139" s="20" t="b">
        <f>IF($Z$2="SwapDesk",NOT(ISNA(VLOOKUP(E139,'Curve Configuration'!$T$6:$T$60,1,0))),NOT(ISNA(VLOOKUP(E139,'Curve Configuration'!$V$6:$V$35,1,0))))</f>
        <v>1</v>
      </c>
      <c r="Q139" s="18" t="e">
        <v>#N/A</v>
      </c>
      <c r="R139" s="94" t="str">
        <v>--</v>
      </c>
      <c r="AB139" s="99" t="e">
        <v>#N/A</v>
      </c>
      <c r="AC139" s="103" t="e">
        <v>#N/A</v>
      </c>
      <c r="AK139" s="21">
        <f>_xll.qlCalendarAdvance(calendar,AK138,"1D")</f>
        <v>42739</v>
      </c>
      <c r="AL139" s="21">
        <f>_xll.qlInterestRateIndexValueDate(hiborindex,AK139)</f>
        <v>42741</v>
      </c>
      <c r="AM139" s="23">
        <f>_xll.qlIndexFixing(hiborindex,AK139)</f>
        <v>-2.1388653020730638E-3</v>
      </c>
    </row>
    <row r="140" spans="1:39" x14ac:dyDescent="0.25">
      <c r="A140" s="20" t="str">
        <f t="shared" si="15"/>
        <v>17Y</v>
      </c>
      <c r="B140" s="20">
        <v>17</v>
      </c>
      <c r="C140" s="20" t="s">
        <v>86</v>
      </c>
      <c r="D140" s="20" t="s">
        <v>213</v>
      </c>
      <c r="E140" s="35" t="str">
        <f t="shared" si="19"/>
        <v>17YOIS</v>
      </c>
      <c r="F140" s="20" t="str">
        <f>_xll.qlSimpleQuote(E140,trigger)</f>
        <v>17YOIS#0008</v>
      </c>
      <c r="G140" s="20" t="str">
        <f>_xll.qlMakeOIS(,2,A140,$V$7,,"0D","Actual/360",0,,trigger)</f>
        <v>obj_00585#0010</v>
      </c>
      <c r="H140" s="21">
        <f>_xll.qlCalendarAdvance(calendar,evaluationdate,"2D")</f>
        <v>42551</v>
      </c>
      <c r="I140" s="21">
        <f>_xll.qlCalendarAdvance(calendar,H140,A140)</f>
        <v>48760</v>
      </c>
      <c r="J140" s="22">
        <f>_xll.qlOvernightIndexedSwapFairRate(G140)</f>
        <v>7.3492746812166649E-3</v>
      </c>
      <c r="K140" s="23">
        <f>_xll.qlSimpleQuoteSetValue(F140,J140)</f>
        <v>2.2117215012168534E-3</v>
      </c>
      <c r="L140" s="22">
        <v>0</v>
      </c>
      <c r="M140" s="20" t="str">
        <f t="shared" si="20"/>
        <v>C_17YOIS</v>
      </c>
      <c r="N140" s="20" t="str">
        <f>_xll.qlCompositeQuote(M140,F140,L140,"+",,trigger)</f>
        <v>C_17YOIS#0008</v>
      </c>
      <c r="O140" s="20" t="str">
        <f>_xll.qlOISRateHelper(,2,A140,N140,$V$7,,,trigger)</f>
        <v>obj_005a6#0009</v>
      </c>
      <c r="P140" s="20" t="b">
        <f>IF($Z$2="SwapDesk",NOT(ISNA(VLOOKUP(E140,'Curve Configuration'!$T$6:$T$60,1,0))),NOT(ISNA(VLOOKUP(E140,'Curve Configuration'!$V$6:$V$35,1,0))))</f>
        <v>1</v>
      </c>
      <c r="Q140" s="18" t="e">
        <v>#N/A</v>
      </c>
      <c r="R140" s="94" t="str">
        <v>--</v>
      </c>
      <c r="AB140" s="99" t="e">
        <v>#N/A</v>
      </c>
      <c r="AC140" s="103" t="e">
        <v>#N/A</v>
      </c>
      <c r="AK140" s="21">
        <f>_xll.qlCalendarAdvance(calendar,AK139,"1D")</f>
        <v>42740</v>
      </c>
      <c r="AL140" s="21">
        <f>_xll.qlInterestRateIndexValueDate(hiborindex,AK140)</f>
        <v>42744</v>
      </c>
      <c r="AM140" s="23">
        <f>_xll.qlIndexFixing(hiborindex,AK140)</f>
        <v>-2.1437403708922313E-3</v>
      </c>
    </row>
    <row r="141" spans="1:39" x14ac:dyDescent="0.25">
      <c r="A141" s="20" t="str">
        <f t="shared" si="15"/>
        <v>18Y</v>
      </c>
      <c r="B141" s="20">
        <v>18</v>
      </c>
      <c r="C141" s="20" t="s">
        <v>86</v>
      </c>
      <c r="D141" s="20" t="s">
        <v>213</v>
      </c>
      <c r="E141" s="35" t="str">
        <f t="shared" si="19"/>
        <v>18YOIS</v>
      </c>
      <c r="F141" s="20" t="str">
        <f>_xll.qlSimpleQuote(E141,trigger)</f>
        <v>18YOIS#0008</v>
      </c>
      <c r="G141" s="20" t="str">
        <f>_xll.qlMakeOIS(,2,A141,$V$7,,"0D","Actual/360",0,,trigger)</f>
        <v>obj_005b5#0010</v>
      </c>
      <c r="H141" s="21">
        <f>_xll.qlCalendarAdvance(calendar,evaluationdate,"2D")</f>
        <v>42551</v>
      </c>
      <c r="I141" s="21">
        <f>_xll.qlCalendarAdvance(calendar,H141,A141)</f>
        <v>49125</v>
      </c>
      <c r="J141" s="22">
        <f>_xll.qlOvernightIndexedSwapFairRate(G141)</f>
        <v>7.5535647600727439E-3</v>
      </c>
      <c r="K141" s="23">
        <f>_xll.qlSimpleQuoteSetValue(F141,J141)</f>
        <v>2.1435929000730419E-3</v>
      </c>
      <c r="L141" s="22">
        <v>0</v>
      </c>
      <c r="M141" s="20" t="str">
        <f t="shared" si="20"/>
        <v>C_18YOIS</v>
      </c>
      <c r="N141" s="20" t="str">
        <f>_xll.qlCompositeQuote(M141,F141,L141,"+",,trigger)</f>
        <v>C_18YOIS#0008</v>
      </c>
      <c r="O141" s="20" t="str">
        <f>_xll.qlOISRateHelper(,2,A141,N141,$V$7,,,trigger)</f>
        <v>obj_00584#0009</v>
      </c>
      <c r="P141" s="20" t="b">
        <f>IF($Z$2="SwapDesk",NOT(ISNA(VLOOKUP(E141,'Curve Configuration'!$T$6:$T$60,1,0))),NOT(ISNA(VLOOKUP(E141,'Curve Configuration'!$V$6:$V$35,1,0))))</f>
        <v>1</v>
      </c>
      <c r="Q141" s="18" t="e">
        <v>#N/A</v>
      </c>
      <c r="R141" s="94" t="str">
        <v>--</v>
      </c>
      <c r="AB141" s="99" t="e">
        <v>#N/A</v>
      </c>
      <c r="AC141" s="103" t="e">
        <v>#N/A</v>
      </c>
      <c r="AK141" s="21">
        <f>_xll.qlCalendarAdvance(calendar,AK140,"1D")</f>
        <v>42741</v>
      </c>
      <c r="AL141" s="21">
        <f>_xll.qlInterestRateIndexValueDate(hiborindex,AK141)</f>
        <v>42745</v>
      </c>
      <c r="AM141" s="23">
        <f>_xll.qlIndexFixing(hiborindex,AK141)</f>
        <v>-2.1442090829277864E-3</v>
      </c>
    </row>
    <row r="142" spans="1:39" x14ac:dyDescent="0.25">
      <c r="A142" s="20" t="str">
        <f t="shared" si="15"/>
        <v>19Y</v>
      </c>
      <c r="B142" s="20">
        <v>19</v>
      </c>
      <c r="C142" s="20" t="s">
        <v>86</v>
      </c>
      <c r="D142" s="20" t="s">
        <v>213</v>
      </c>
      <c r="E142" s="35" t="str">
        <f t="shared" si="19"/>
        <v>19YOIS</v>
      </c>
      <c r="F142" s="20" t="str">
        <f>_xll.qlSimpleQuote(E142,trigger)</f>
        <v>19YOIS#0008</v>
      </c>
      <c r="G142" s="20" t="str">
        <f>_xll.qlMakeOIS(,2,A142,$V$7,,"0D","Actual/360",0,,trigger)</f>
        <v>obj_005c1#0010</v>
      </c>
      <c r="H142" s="21">
        <f>_xll.qlCalendarAdvance(calendar,evaluationdate,"2D")</f>
        <v>42551</v>
      </c>
      <c r="I142" s="21">
        <f>_xll.qlCalendarAdvance(calendar,H142,A142)</f>
        <v>49492</v>
      </c>
      <c r="J142" s="22">
        <f>_xll.qlOvernightIndexedSwapFairRate(G142)</f>
        <v>7.7083265518373065E-3</v>
      </c>
      <c r="K142" s="23">
        <f>_xll.qlSimpleQuoteSetValue(F142,J142)</f>
        <v>2.0818790018375978E-3</v>
      </c>
      <c r="L142" s="22">
        <v>0</v>
      </c>
      <c r="M142" s="20" t="str">
        <f t="shared" si="20"/>
        <v>C_19YOIS</v>
      </c>
      <c r="N142" s="20" t="str">
        <f>_xll.qlCompositeQuote(M142,F142,L142,"+",,trigger)</f>
        <v>C_19YOIS#0008</v>
      </c>
      <c r="O142" s="20" t="str">
        <f>_xll.qlOISRateHelper(,2,A142,N142,$V$7,,,trigger)</f>
        <v>obj_005b2#0009</v>
      </c>
      <c r="P142" s="20" t="b">
        <f>IF($Z$2="SwapDesk",NOT(ISNA(VLOOKUP(E142,'Curve Configuration'!$T$6:$T$60,1,0))),NOT(ISNA(VLOOKUP(E142,'Curve Configuration'!$V$6:$V$35,1,0))))</f>
        <v>1</v>
      </c>
      <c r="Q142" s="18" t="e">
        <v>#N/A</v>
      </c>
      <c r="R142" s="94" t="str">
        <v>--</v>
      </c>
      <c r="AB142" s="99" t="e">
        <v>#N/A</v>
      </c>
      <c r="AC142" s="103" t="e">
        <v>#N/A</v>
      </c>
      <c r="AK142" s="21">
        <f>_xll.qlCalendarAdvance(calendar,AK141,"1D")</f>
        <v>42744</v>
      </c>
      <c r="AL142" s="21">
        <f>_xll.qlInterestRateIndexValueDate(hiborindex,AK142)</f>
        <v>42746</v>
      </c>
      <c r="AM142" s="23">
        <f>_xll.qlIndexFixing(hiborindex,AK142)</f>
        <v>-2.1455234666048224E-3</v>
      </c>
    </row>
    <row r="143" spans="1:39" x14ac:dyDescent="0.25">
      <c r="A143" s="20" t="str">
        <f t="shared" si="15"/>
        <v>20Y</v>
      </c>
      <c r="B143" s="20">
        <v>20</v>
      </c>
      <c r="C143" s="20" t="s">
        <v>86</v>
      </c>
      <c r="D143" s="20" t="s">
        <v>213</v>
      </c>
      <c r="E143" s="35" t="str">
        <f t="shared" si="19"/>
        <v>20YOIS</v>
      </c>
      <c r="F143" s="20" t="str">
        <f>_xll.qlSimpleQuote(E143,trigger)</f>
        <v>20YOIS#0008</v>
      </c>
      <c r="G143" s="20" t="str">
        <f>_xll.qlMakeOIS(,2,A143,$V$7,,"0D","Actual/360",0,,trigger)</f>
        <v>obj_005a4#0010</v>
      </c>
      <c r="H143" s="21">
        <f>_xll.qlCalendarAdvance(calendar,evaluationdate,"2D")</f>
        <v>42551</v>
      </c>
      <c r="I143" s="21">
        <f>_xll.qlCalendarAdvance(calendar,H143,A143)</f>
        <v>49856</v>
      </c>
      <c r="J143" s="22">
        <f>_xll.qlOvernightIndexedSwapFairRate(G143)</f>
        <v>7.8250753188143837E-3</v>
      </c>
      <c r="K143" s="23">
        <f>_xll.qlSimpleQuoteSetValue(F143,J143)</f>
        <v>2.0250753188147839E-3</v>
      </c>
      <c r="L143" s="22">
        <v>0</v>
      </c>
      <c r="M143" s="20" t="str">
        <f t="shared" si="20"/>
        <v>C_20YOIS</v>
      </c>
      <c r="N143" s="20" t="str">
        <f>_xll.qlCompositeQuote(M143,F143,L143,"+",,trigger)</f>
        <v>C_20YOIS#0008</v>
      </c>
      <c r="O143" s="20" t="str">
        <f>_xll.qlOISRateHelper(,2,A143,N143,$V$7,,,trigger)</f>
        <v>obj_005c0#0009</v>
      </c>
      <c r="P143" s="20" t="b">
        <f>IF($Z$2="SwapDesk",NOT(ISNA(VLOOKUP(E143,'Curve Configuration'!$T$6:$T$60,1,0))),NOT(ISNA(VLOOKUP(E143,'Curve Configuration'!$V$6:$V$35,1,0))))</f>
        <v>1</v>
      </c>
      <c r="Q143" s="18" t="e">
        <v>#N/A</v>
      </c>
      <c r="R143" s="94" t="str">
        <v>--</v>
      </c>
      <c r="AB143" s="99" t="e">
        <v>#N/A</v>
      </c>
      <c r="AC143" s="103" t="e">
        <v>#N/A</v>
      </c>
      <c r="AK143" s="21">
        <f>_xll.qlCalendarAdvance(calendar,AK142,"1D")</f>
        <v>42745</v>
      </c>
      <c r="AL143" s="21">
        <f>_xll.qlInterestRateIndexValueDate(hiborindex,AK143)</f>
        <v>42747</v>
      </c>
      <c r="AM143" s="23">
        <f>_xll.qlIndexFixing(hiborindex,AK143)</f>
        <v>-2.1468292257025758E-3</v>
      </c>
    </row>
    <row r="144" spans="1:39" x14ac:dyDescent="0.25">
      <c r="A144" s="20" t="str">
        <f t="shared" si="15"/>
        <v>21Y</v>
      </c>
      <c r="B144" s="20">
        <v>21</v>
      </c>
      <c r="C144" s="20" t="s">
        <v>86</v>
      </c>
      <c r="D144" s="20" t="s">
        <v>213</v>
      </c>
      <c r="E144" s="35" t="str">
        <f t="shared" si="19"/>
        <v>21YOIS</v>
      </c>
      <c r="F144" s="20" t="str">
        <f>_xll.qlSimpleQuote(E144,trigger)</f>
        <v>21YOIS#0008</v>
      </c>
      <c r="G144" s="20" t="str">
        <f>_xll.qlMakeOIS(,2,A144,$V$7,,"0D","Actual/360",0,,trigger)</f>
        <v>obj_00582#0010</v>
      </c>
      <c r="H144" s="21">
        <f>_xll.qlCalendarAdvance(calendar,evaluationdate,"2D")</f>
        <v>42551</v>
      </c>
      <c r="I144" s="21">
        <f>_xll.qlCalendarAdvance(calendar,H144,A144)</f>
        <v>50221</v>
      </c>
      <c r="J144" s="22">
        <f>_xll.qlOvernightIndexedSwapFairRate(G144)</f>
        <v>7.9101972797518544E-3</v>
      </c>
      <c r="K144" s="23">
        <f>_xll.qlSimpleQuoteSetValue(F144,J144)</f>
        <v>1.9723395897523399E-3</v>
      </c>
      <c r="L144" s="22">
        <v>0</v>
      </c>
      <c r="M144" s="20" t="str">
        <f t="shared" si="20"/>
        <v>C_21YOIS</v>
      </c>
      <c r="N144" s="20" t="str">
        <f>_xll.qlCompositeQuote(M144,F144,L144,"+",,trigger)</f>
        <v>C_21YOIS#0008</v>
      </c>
      <c r="O144" s="20" t="str">
        <f>_xll.qlOISRateHelper(,2,A144,N144,$V$7,,,trigger)</f>
        <v>obj_005a3#0009</v>
      </c>
      <c r="P144" s="20" t="b">
        <f>IF($Z$2="SwapDesk",NOT(ISNA(VLOOKUP(E144,'Curve Configuration'!$T$6:$T$60,1,0))),NOT(ISNA(VLOOKUP(E144,'Curve Configuration'!$V$6:$V$35,1,0))))</f>
        <v>1</v>
      </c>
      <c r="Q144" s="18" t="e">
        <v>#N/A</v>
      </c>
      <c r="R144" s="94" t="str">
        <v>--</v>
      </c>
      <c r="AB144" s="99" t="e">
        <v>#N/A</v>
      </c>
      <c r="AC144" s="103" t="e">
        <v>#N/A</v>
      </c>
      <c r="AK144" s="21">
        <f>_xll.qlCalendarAdvance(calendar,AK143,"1D")</f>
        <v>42746</v>
      </c>
      <c r="AL144" s="21">
        <f>_xll.qlInterestRateIndexValueDate(hiborindex,AK144)</f>
        <v>42748</v>
      </c>
      <c r="AM144" s="23">
        <f>_xll.qlIndexFixing(hiborindex,AK144)</f>
        <v>-2.1481263602367243E-3</v>
      </c>
    </row>
    <row r="145" spans="1:39" x14ac:dyDescent="0.25">
      <c r="A145" s="20" t="str">
        <f t="shared" si="15"/>
        <v>22Y</v>
      </c>
      <c r="B145" s="20">
        <v>22</v>
      </c>
      <c r="C145" s="20" t="s">
        <v>86</v>
      </c>
      <c r="D145" s="20" t="s">
        <v>213</v>
      </c>
      <c r="E145" s="35" t="str">
        <f t="shared" si="19"/>
        <v>22YOIS</v>
      </c>
      <c r="F145" s="20" t="str">
        <f>_xll.qlSimpleQuote(E145,trigger)</f>
        <v>22YOIS#0008</v>
      </c>
      <c r="G145" s="20" t="str">
        <f>_xll.qlMakeOIS(,2,A145,$V$7,,"0D","Actual/360",0,,trigger)</f>
        <v>obj_005b4#0010</v>
      </c>
      <c r="H145" s="21">
        <f>_xll.qlCalendarAdvance(calendar,evaluationdate,"2D")</f>
        <v>42551</v>
      </c>
      <c r="I145" s="21">
        <f>_xll.qlCalendarAdvance(calendar,H145,A145)</f>
        <v>50586</v>
      </c>
      <c r="J145" s="22">
        <f>_xll.qlOvernightIndexedSwapFairRate(G145)</f>
        <v>7.96929478092929E-3</v>
      </c>
      <c r="K145" s="23">
        <f>_xll.qlSimpleQuoteSetValue(F145,J145)</f>
        <v>1.9027790509298812E-3</v>
      </c>
      <c r="L145" s="22">
        <v>0</v>
      </c>
      <c r="M145" s="20" t="str">
        <f t="shared" si="20"/>
        <v>C_22YOIS</v>
      </c>
      <c r="N145" s="20" t="str">
        <f>_xll.qlCompositeQuote(M145,F145,L145,"+",,trigger)</f>
        <v>C_22YOIS#0008</v>
      </c>
      <c r="O145" s="20" t="str">
        <f>_xll.qlOISRateHelper(,2,A145,N145,$V$7,,,trigger)</f>
        <v>obj_00581#0009</v>
      </c>
      <c r="P145" s="20" t="b">
        <f>IF($Z$2="SwapDesk",NOT(ISNA(VLOOKUP(E145,'Curve Configuration'!$T$6:$T$60,1,0))),NOT(ISNA(VLOOKUP(E145,'Curve Configuration'!$V$6:$V$35,1,0))))</f>
        <v>1</v>
      </c>
      <c r="Q145" s="18" t="e">
        <v>#N/A</v>
      </c>
      <c r="R145" s="94" t="str">
        <v>--</v>
      </c>
      <c r="AB145" s="99" t="e">
        <v>#N/A</v>
      </c>
      <c r="AC145" s="103" t="e">
        <v>#N/A</v>
      </c>
      <c r="AK145" s="21">
        <f>_xll.qlCalendarAdvance(calendar,AK144,"1D")</f>
        <v>42747</v>
      </c>
      <c r="AL145" s="21">
        <f>_xll.qlInterestRateIndexValueDate(hiborindex,AK145)</f>
        <v>42751</v>
      </c>
      <c r="AM145" s="23">
        <f>_xll.qlIndexFixing(hiborindex,AK145)</f>
        <v>-2.1528482868029284E-3</v>
      </c>
    </row>
    <row r="146" spans="1:39" x14ac:dyDescent="0.25">
      <c r="A146" s="20" t="str">
        <f t="shared" si="15"/>
        <v>23Y</v>
      </c>
      <c r="B146" s="20">
        <v>23</v>
      </c>
      <c r="C146" s="20" t="s">
        <v>86</v>
      </c>
      <c r="D146" s="20" t="s">
        <v>213</v>
      </c>
      <c r="E146" s="35" t="str">
        <f t="shared" si="19"/>
        <v>23YOIS</v>
      </c>
      <c r="F146" s="20" t="str">
        <f>_xll.qlSimpleQuote(E146,trigger)</f>
        <v>23YOIS#0008</v>
      </c>
      <c r="G146" s="20" t="str">
        <f>_xll.qlMakeOIS(,2,A146,$V$7,,"0D","Actual/360",0,,trigger)</f>
        <v>obj_005be#0010</v>
      </c>
      <c r="H146" s="21">
        <f>_xll.qlCalendarAdvance(calendar,evaluationdate,"2D")</f>
        <v>42551</v>
      </c>
      <c r="I146" s="21">
        <f>_xll.qlCalendarAdvance(calendar,H146,A146)</f>
        <v>50951</v>
      </c>
      <c r="J146" s="22">
        <f>_xll.qlOvernightIndexedSwapFairRate(G146)</f>
        <v>8.0074227920530969E-3</v>
      </c>
      <c r="K146" s="23">
        <f>_xll.qlSimpleQuoteSetValue(F146,J146)</f>
        <v>1.8571380320537099E-3</v>
      </c>
      <c r="L146" s="22">
        <v>0</v>
      </c>
      <c r="M146" s="20" t="str">
        <f t="shared" si="20"/>
        <v>C_23YOIS</v>
      </c>
      <c r="N146" s="20" t="str">
        <f>_xll.qlCompositeQuote(M146,F146,L146,"+",,trigger)</f>
        <v>C_23YOIS#0008</v>
      </c>
      <c r="O146" s="20" t="str">
        <f>_xll.qlOISRateHelper(,2,A146,N146,$V$7,,,trigger)</f>
        <v>obj_005ca#0009</v>
      </c>
      <c r="P146" s="20" t="b">
        <f>IF($Z$2="SwapDesk",NOT(ISNA(VLOOKUP(E146,'Curve Configuration'!$T$6:$T$60,1,0))),NOT(ISNA(VLOOKUP(E146,'Curve Configuration'!$V$6:$V$35,1,0))))</f>
        <v>1</v>
      </c>
      <c r="Q146" s="18" t="e">
        <v>#N/A</v>
      </c>
      <c r="R146" s="94" t="str">
        <v>--</v>
      </c>
      <c r="AB146" s="99" t="e">
        <v>#N/A</v>
      </c>
      <c r="AC146" s="103" t="e">
        <v>#N/A</v>
      </c>
      <c r="AK146" s="21">
        <f>_xll.qlCalendarAdvance(calendar,AK145,"1D")</f>
        <v>42748</v>
      </c>
      <c r="AL146" s="21">
        <f>_xll.qlInterestRateIndexValueDate(hiborindex,AK146)</f>
        <v>42752</v>
      </c>
      <c r="AM146" s="23">
        <f>_xll.qlIndexFixing(hiborindex,AK146)</f>
        <v>-2.1532286530799804E-3</v>
      </c>
    </row>
    <row r="147" spans="1:39" x14ac:dyDescent="0.25">
      <c r="A147" s="20" t="str">
        <f t="shared" si="15"/>
        <v>24Y</v>
      </c>
      <c r="B147" s="20">
        <v>24</v>
      </c>
      <c r="C147" s="20" t="s">
        <v>86</v>
      </c>
      <c r="D147" s="20" t="s">
        <v>213</v>
      </c>
      <c r="E147" s="35" t="str">
        <f t="shared" si="19"/>
        <v>24YOIS</v>
      </c>
      <c r="F147" s="20" t="str">
        <f>_xll.qlSimpleQuote(E147,trigger)</f>
        <v>24YOIS#0008</v>
      </c>
      <c r="G147" s="20" t="str">
        <f>_xll.qlMakeOIS(,2,A147,$V$7,,"0D","Actual/360",0,,trigger)</f>
        <v>obj_005a1#0010</v>
      </c>
      <c r="H147" s="21">
        <f>_xll.qlCalendarAdvance(calendar,evaluationdate,"2D")</f>
        <v>42551</v>
      </c>
      <c r="I147" s="21">
        <f>_xll.qlCalendarAdvance(calendar,H147,A147)</f>
        <v>51319</v>
      </c>
      <c r="J147" s="22">
        <f>_xll.qlOvernightIndexedSwapFairRate(G147)</f>
        <v>8.0295417926444842E-3</v>
      </c>
      <c r="K147" s="23">
        <f>_xll.qlSimpleQuoteSetValue(F147,J147)</f>
        <v>1.8161255926452133E-3</v>
      </c>
      <c r="L147" s="22">
        <v>0</v>
      </c>
      <c r="M147" s="20" t="str">
        <f t="shared" si="20"/>
        <v>C_24YOIS</v>
      </c>
      <c r="N147" s="20" t="str">
        <f>_xll.qlCompositeQuote(M147,F147,L147,"+",,trigger)</f>
        <v>C_24YOIS#0008</v>
      </c>
      <c r="O147" s="20" t="str">
        <f>_xll.qlOISRateHelper(,2,A147,N147,$V$7,,,trigger)</f>
        <v>obj_005bd#0009</v>
      </c>
      <c r="P147" s="20" t="b">
        <f>IF($Z$2="SwapDesk",NOT(ISNA(VLOOKUP(E147,'Curve Configuration'!$T$6:$T$60,1,0))),NOT(ISNA(VLOOKUP(E147,'Curve Configuration'!$V$6:$V$35,1,0))))</f>
        <v>1</v>
      </c>
      <c r="Q147" s="18" t="e">
        <v>#N/A</v>
      </c>
      <c r="R147" s="94" t="str">
        <v>--</v>
      </c>
      <c r="AB147" s="99" t="e">
        <v>#N/A</v>
      </c>
      <c r="AC147" s="103" t="e">
        <v>#N/A</v>
      </c>
      <c r="AK147" s="21">
        <f>_xll.qlCalendarAdvance(calendar,AK146,"1D")</f>
        <v>42751</v>
      </c>
      <c r="AL147" s="21">
        <f>_xll.qlInterestRateIndexValueDate(hiborindex,AK147)</f>
        <v>42753</v>
      </c>
      <c r="AM147" s="23">
        <f>_xll.qlIndexFixing(hiborindex,AK147)</f>
        <v>-2.1544826650498252E-3</v>
      </c>
    </row>
    <row r="148" spans="1:39" x14ac:dyDescent="0.25">
      <c r="A148" s="20" t="str">
        <f t="shared" si="15"/>
        <v>25Y</v>
      </c>
      <c r="B148" s="20">
        <v>25</v>
      </c>
      <c r="C148" s="20" t="s">
        <v>86</v>
      </c>
      <c r="D148" s="20" t="s">
        <v>213</v>
      </c>
      <c r="E148" s="35" t="str">
        <f t="shared" si="19"/>
        <v>25YOIS</v>
      </c>
      <c r="F148" s="20" t="str">
        <f>_xll.qlSimpleQuote(E148,trigger)</f>
        <v>25YOIS#0008</v>
      </c>
      <c r="G148" s="20" t="str">
        <f>_xll.qlMakeOIS(,2,A148,$V$7,,"0D","Actual/360",0,,trigger)</f>
        <v>obj_0057f#0010</v>
      </c>
      <c r="H148" s="21">
        <f>_xll.qlCalendarAdvance(calendar,evaluationdate,"2D")</f>
        <v>42551</v>
      </c>
      <c r="I148" s="21">
        <f>_xll.qlCalendarAdvance(calendar,H148,A148)</f>
        <v>51683</v>
      </c>
      <c r="J148" s="22">
        <f>_xll.qlOvernightIndexedSwapFairRate(G148)</f>
        <v>8.040540256588017E-3</v>
      </c>
      <c r="K148" s="23">
        <f>_xll.qlSimpleQuoteSetValue(F148,J148)</f>
        <v>1.8005402565888489E-3</v>
      </c>
      <c r="L148" s="22">
        <v>0</v>
      </c>
      <c r="M148" s="20" t="str">
        <f t="shared" si="20"/>
        <v>C_25YOIS</v>
      </c>
      <c r="N148" s="20" t="str">
        <f>_xll.qlCompositeQuote(M148,F148,L148,"+",,trigger)</f>
        <v>C_25YOIS#0008</v>
      </c>
      <c r="O148" s="20" t="str">
        <f>_xll.qlOISRateHelper(,2,A148,N148,$V$7,,,trigger)</f>
        <v>obj_005a0#0009</v>
      </c>
      <c r="P148" s="20" t="b">
        <f>IF($Z$2="SwapDesk",NOT(ISNA(VLOOKUP(E148,'Curve Configuration'!$T$6:$T$60,1,0))),NOT(ISNA(VLOOKUP(E148,'Curve Configuration'!$V$6:$V$35,1,0))))</f>
        <v>1</v>
      </c>
      <c r="Q148" s="18" t="e">
        <v>#N/A</v>
      </c>
      <c r="R148" s="94" t="str">
        <v>--</v>
      </c>
      <c r="AB148" s="99" t="e">
        <v>#N/A</v>
      </c>
      <c r="AC148" s="103" t="e">
        <v>#N/A</v>
      </c>
      <c r="AK148" s="21">
        <f>_xll.qlCalendarAdvance(calendar,AK147,"1D")</f>
        <v>42752</v>
      </c>
      <c r="AL148" s="21">
        <f>_xll.qlInterestRateIndexValueDate(hiborindex,AK148)</f>
        <v>42754</v>
      </c>
      <c r="AM148" s="23">
        <f>_xll.qlIndexFixing(hiborindex,AK148)</f>
        <v>-2.1557280525565372E-3</v>
      </c>
    </row>
    <row r="149" spans="1:39" x14ac:dyDescent="0.25">
      <c r="A149" s="20" t="str">
        <f t="shared" si="15"/>
        <v>26Y</v>
      </c>
      <c r="B149" s="20">
        <v>26</v>
      </c>
      <c r="C149" s="20" t="s">
        <v>86</v>
      </c>
      <c r="D149" s="20" t="s">
        <v>213</v>
      </c>
      <c r="E149" s="35" t="str">
        <f t="shared" si="19"/>
        <v>26YOIS</v>
      </c>
      <c r="F149" s="20" t="str">
        <f>_xll.qlSimpleQuote(E149,trigger)</f>
        <v>26YOIS#0008</v>
      </c>
      <c r="G149" s="20" t="str">
        <f>_xll.qlMakeOIS(,2,A149,$V$7,,"0D","Actual/360",0,,trigger)</f>
        <v>obj_00579#0010</v>
      </c>
      <c r="H149" s="21">
        <f>_xll.qlCalendarAdvance(calendar,evaluationdate,"2D")</f>
        <v>42551</v>
      </c>
      <c r="I149" s="21">
        <f>_xll.qlCalendarAdvance(calendar,H149,A149)</f>
        <v>52047</v>
      </c>
      <c r="J149" s="22">
        <f>_xll.qlOvernightIndexedSwapFairRate(G149)</f>
        <v>8.041037162511231E-3</v>
      </c>
      <c r="K149" s="23">
        <f>_xll.qlSimpleQuoteSetValue(F149,J149)</f>
        <v>1.7666809425122927E-3</v>
      </c>
      <c r="L149" s="22">
        <v>0</v>
      </c>
      <c r="M149" s="20" t="str">
        <f t="shared" si="20"/>
        <v>C_26YOIS</v>
      </c>
      <c r="N149" s="20" t="str">
        <f>_xll.qlCompositeQuote(M149,F149,L149,"+",,trigger)</f>
        <v>C_26YOIS#0008</v>
      </c>
      <c r="O149" s="20" t="str">
        <f>_xll.qlOISRateHelper(,2,A149,N149,$V$7,,,trigger)</f>
        <v>obj_0057e#0009</v>
      </c>
      <c r="P149" s="20" t="b">
        <f>IF($Z$2="SwapDesk",NOT(ISNA(VLOOKUP(E149,'Curve Configuration'!$T$6:$T$60,1,0))),NOT(ISNA(VLOOKUP(E149,'Curve Configuration'!$V$6:$V$35,1,0))))</f>
        <v>1</v>
      </c>
      <c r="Q149" s="18" t="e">
        <v>#N/A</v>
      </c>
      <c r="R149" s="94" t="str">
        <v>--</v>
      </c>
      <c r="AB149" s="99" t="e">
        <v>#N/A</v>
      </c>
      <c r="AC149" s="103" t="e">
        <v>#N/A</v>
      </c>
      <c r="AK149" s="21">
        <f>_xll.qlCalendarAdvance(calendar,AK148,"1D")</f>
        <v>42753</v>
      </c>
      <c r="AL149" s="21">
        <f>_xll.qlInterestRateIndexValueDate(hiborindex,AK149)</f>
        <v>42755</v>
      </c>
      <c r="AM149" s="23">
        <f>_xll.qlIndexFixing(hiborindex,AK149)</f>
        <v>-2.1569648156160156E-3</v>
      </c>
    </row>
    <row r="150" spans="1:39" x14ac:dyDescent="0.25">
      <c r="A150" s="20" t="str">
        <f t="shared" si="15"/>
        <v>27Y</v>
      </c>
      <c r="B150" s="20">
        <v>27</v>
      </c>
      <c r="C150" s="20" t="s">
        <v>86</v>
      </c>
      <c r="D150" s="20" t="s">
        <v>213</v>
      </c>
      <c r="E150" s="35" t="str">
        <f t="shared" si="19"/>
        <v>27YOIS</v>
      </c>
      <c r="F150" s="20" t="str">
        <f>_xll.qlSimpleQuote(E150,trigger)</f>
        <v>27YOIS#0008</v>
      </c>
      <c r="G150" s="20" t="str">
        <f>_xll.qlMakeOIS(,2,A150,$V$7,,"0D","Actual/360",0,,trigger)</f>
        <v>obj_005bb#0010</v>
      </c>
      <c r="H150" s="21">
        <f>_xll.qlCalendarAdvance(calendar,evaluationdate,"2D")</f>
        <v>42551</v>
      </c>
      <c r="I150" s="21">
        <f>_xll.qlCalendarAdvance(calendar,H150,A150)</f>
        <v>52412</v>
      </c>
      <c r="J150" s="22">
        <f>_xll.qlOvernightIndexedSwapFairRate(G150)</f>
        <v>8.0307865133274325E-3</v>
      </c>
      <c r="K150" s="23">
        <f>_xll.qlSimpleQuoteSetValue(F150,J150)</f>
        <v>1.7319631333286255E-3</v>
      </c>
      <c r="L150" s="22">
        <v>0</v>
      </c>
      <c r="M150" s="20" t="str">
        <f t="shared" si="20"/>
        <v>C_27YOIS</v>
      </c>
      <c r="N150" s="20" t="str">
        <f>_xll.qlCompositeQuote(M150,F150,L150,"+",,trigger)</f>
        <v>C_27YOIS#0008</v>
      </c>
      <c r="O150" s="20" t="str">
        <f>_xll.qlOISRateHelper(,2,A150,N150,$V$7,,,trigger)</f>
        <v>obj_005ce#0009</v>
      </c>
      <c r="P150" s="20" t="b">
        <f>IF($Z$2="SwapDesk",NOT(ISNA(VLOOKUP(E150,'Curve Configuration'!$T$6:$T$60,1,0))),NOT(ISNA(VLOOKUP(E150,'Curve Configuration'!$V$6:$V$35,1,0))))</f>
        <v>1</v>
      </c>
      <c r="Q150" s="18" t="e">
        <v>#N/A</v>
      </c>
      <c r="R150" s="94" t="str">
        <v>--</v>
      </c>
      <c r="AB150" s="99" t="e">
        <v>#N/A</v>
      </c>
      <c r="AC150" s="103" t="e">
        <v>#N/A</v>
      </c>
      <c r="AK150" s="21">
        <f>_xll.qlCalendarAdvance(calendar,AK149,"1D")</f>
        <v>42754</v>
      </c>
      <c r="AL150" s="21">
        <f>_xll.qlInterestRateIndexValueDate(hiborindex,AK150)</f>
        <v>42758</v>
      </c>
      <c r="AM150" s="23">
        <f>_xll.qlIndexFixing(hiborindex,AK150)</f>
        <v>-2.1615359263632014E-3</v>
      </c>
    </row>
    <row r="151" spans="1:39" x14ac:dyDescent="0.25">
      <c r="A151" s="20" t="str">
        <f t="shared" si="15"/>
        <v>28Y</v>
      </c>
      <c r="B151" s="20">
        <v>28</v>
      </c>
      <c r="C151" s="20" t="s">
        <v>86</v>
      </c>
      <c r="D151" s="20" t="s">
        <v>213</v>
      </c>
      <c r="E151" s="35" t="str">
        <f t="shared" si="19"/>
        <v>28YOIS</v>
      </c>
      <c r="F151" s="20" t="str">
        <f>_xll.qlSimpleQuote(E151,trigger)</f>
        <v>28YOIS#0008</v>
      </c>
      <c r="G151" s="20" t="str">
        <f>_xll.qlMakeOIS(,2,A151,$V$7,,"0D","Actual/360",0,,trigger)</f>
        <v>obj_0059e#0010</v>
      </c>
      <c r="H151" s="21">
        <f>_xll.qlCalendarAdvance(calendar,evaluationdate,"2D")</f>
        <v>42551</v>
      </c>
      <c r="I151" s="21">
        <f>_xll.qlCalendarAdvance(calendar,H151,A151)</f>
        <v>52778</v>
      </c>
      <c r="J151" s="22">
        <f>_xll.qlOvernightIndexedSwapFairRate(G151)</f>
        <v>8.0132526315234778E-3</v>
      </c>
      <c r="K151" s="23">
        <f>_xll.qlSimpleQuoteSetValue(F151,J151)</f>
        <v>1.6970001615249052E-3</v>
      </c>
      <c r="L151" s="22">
        <v>0</v>
      </c>
      <c r="M151" s="20" t="str">
        <f t="shared" si="20"/>
        <v>C_28YOIS</v>
      </c>
      <c r="N151" s="20" t="str">
        <f>_xll.qlCompositeQuote(M151,F151,L151,"+",,trigger)</f>
        <v>C_28YOIS#0008</v>
      </c>
      <c r="O151" s="20" t="str">
        <f>_xll.qlOISRateHelper(,2,A151,N151,$V$7,,,trigger)</f>
        <v>obj_005ba#0009</v>
      </c>
      <c r="P151" s="20" t="b">
        <f>IF($Z$2="SwapDesk",NOT(ISNA(VLOOKUP(E151,'Curve Configuration'!$T$6:$T$60,1,0))),NOT(ISNA(VLOOKUP(E151,'Curve Configuration'!$V$6:$V$35,1,0))))</f>
        <v>1</v>
      </c>
      <c r="Q151" s="18" t="e">
        <v>#N/A</v>
      </c>
      <c r="R151" s="94" t="str">
        <v>--</v>
      </c>
      <c r="AB151" s="99" t="e">
        <v>#N/A</v>
      </c>
      <c r="AC151" s="103" t="e">
        <v>#N/A</v>
      </c>
      <c r="AK151" s="21">
        <f>_xll.qlCalendarAdvance(calendar,AK150,"1D")</f>
        <v>42755</v>
      </c>
      <c r="AL151" s="21">
        <f>_xll.qlInterestRateIndexValueDate(hiborindex,AK151)</f>
        <v>42759</v>
      </c>
      <c r="AM151" s="23">
        <f>_xll.qlIndexFixing(hiborindex,AK151)</f>
        <v>-2.1618256237028815E-3</v>
      </c>
    </row>
    <row r="152" spans="1:39" x14ac:dyDescent="0.25">
      <c r="A152" s="20" t="str">
        <f t="shared" si="15"/>
        <v>29Y</v>
      </c>
      <c r="B152" s="20">
        <v>29</v>
      </c>
      <c r="C152" s="20" t="s">
        <v>86</v>
      </c>
      <c r="D152" s="20" t="s">
        <v>213</v>
      </c>
      <c r="E152" s="35" t="str">
        <f t="shared" si="19"/>
        <v>29YOIS</v>
      </c>
      <c r="F152" s="20" t="str">
        <f>_xll.qlSimpleQuote(E152,trigger)</f>
        <v>29YOIS#0008</v>
      </c>
      <c r="G152" s="20" t="str">
        <f>_xll.qlMakeOIS(,2,A152,$V$7,,"0D","Actual/360",0,,trigger)</f>
        <v>obj_0057c#0010</v>
      </c>
      <c r="H152" s="21">
        <f>_xll.qlCalendarAdvance(calendar,evaluationdate,"2D")</f>
        <v>42551</v>
      </c>
      <c r="I152" s="21">
        <f>_xll.qlCalendarAdvance(calendar,H152,A152)</f>
        <v>53143</v>
      </c>
      <c r="J152" s="22">
        <f>_xll.qlOvernightIndexedSwapFairRate(G152)</f>
        <v>7.9921052940042925E-3</v>
      </c>
      <c r="K152" s="23">
        <f>_xll.qlSimpleQuoteSetValue(F152,J152)</f>
        <v>1.6629869140059586E-3</v>
      </c>
      <c r="L152" s="22">
        <v>0</v>
      </c>
      <c r="M152" s="20" t="str">
        <f t="shared" si="20"/>
        <v>C_29YOIS</v>
      </c>
      <c r="N152" s="20" t="str">
        <f>_xll.qlCompositeQuote(M152,F152,L152,"+",,trigger)</f>
        <v>C_29YOIS#0008</v>
      </c>
      <c r="O152" s="20" t="str">
        <f>_xll.qlOISRateHelper(,2,A152,N152,$V$7,,,trigger)</f>
        <v>obj_0059d#0009</v>
      </c>
      <c r="P152" s="20" t="b">
        <f>IF($Z$2="SwapDesk",NOT(ISNA(VLOOKUP(E152,'Curve Configuration'!$T$6:$T$60,1,0))),NOT(ISNA(VLOOKUP(E152,'Curve Configuration'!$V$6:$V$35,1,0))))</f>
        <v>1</v>
      </c>
      <c r="Q152" s="18" t="e">
        <v>#N/A</v>
      </c>
      <c r="R152" s="94" t="str">
        <v>--</v>
      </c>
      <c r="AB152" s="99" t="e">
        <v>#N/A</v>
      </c>
      <c r="AC152" s="103" t="e">
        <v>#N/A</v>
      </c>
      <c r="AK152" s="21">
        <f>_xll.qlCalendarAdvance(calendar,AK151,"1D")</f>
        <v>42758</v>
      </c>
      <c r="AL152" s="21">
        <f>_xll.qlInterestRateIndexValueDate(hiborindex,AK152)</f>
        <v>42760</v>
      </c>
      <c r="AM152" s="23">
        <f>_xll.qlIndexFixing(hiborindex,AK152)</f>
        <v>-2.163019264765558E-3</v>
      </c>
    </row>
    <row r="153" spans="1:39" ht="14.25" thickBot="1" x14ac:dyDescent="0.3">
      <c r="A153" s="25" t="str">
        <f t="shared" si="15"/>
        <v>30Y</v>
      </c>
      <c r="B153" s="25">
        <v>30</v>
      </c>
      <c r="C153" s="25" t="s">
        <v>86</v>
      </c>
      <c r="D153" s="25" t="s">
        <v>213</v>
      </c>
      <c r="E153" s="36" t="str">
        <f t="shared" si="19"/>
        <v>30YOIS</v>
      </c>
      <c r="F153" s="25" t="str">
        <f>_xll.qlSimpleQuote(E153,trigger)</f>
        <v>30YOIS#0011</v>
      </c>
      <c r="G153" s="25" t="str">
        <f>_xll.qlMakeOIS(,2,A153,$V$7,,"0D","Actual/360",0,,trigger)</f>
        <v>obj_00485#0013</v>
      </c>
      <c r="H153" s="26">
        <f>_xll.qlCalendarAdvance(calendar,evaluationdate,"2D")</f>
        <v>42551</v>
      </c>
      <c r="I153" s="26">
        <f>_xll.qlCalendarAdvance(calendar,H153,A153)</f>
        <v>53510</v>
      </c>
      <c r="J153" s="27">
        <f>_xll.qlOvernightIndexedSwapFairRate(G153)</f>
        <v>7.970828787785442E-3</v>
      </c>
      <c r="K153" s="31">
        <f>_xll.qlSimpleQuoteSetValue(F153,J153)</f>
        <v>1.6308287877872573E-3</v>
      </c>
      <c r="L153" s="27">
        <v>0</v>
      </c>
      <c r="M153" s="25" t="str">
        <f t="shared" si="20"/>
        <v>C_30YOIS</v>
      </c>
      <c r="N153" s="25" t="str">
        <f>_xll.qlCompositeQuote(M153,F153,L153,"+",,trigger)</f>
        <v>C_30YOIS#0011</v>
      </c>
      <c r="O153" s="25" t="str">
        <f>_xll.qlOISRateHelper(,2,A153,N153,$V$7,,,trigger)</f>
        <v>obj_0054b#0011</v>
      </c>
      <c r="P153" s="25" t="b">
        <f>IF($Z$2="SwapDesk",NOT(ISNA(VLOOKUP(E153,'Curve Configuration'!$T$6:$T$60,1,0))),NOT(ISNA(VLOOKUP(E153,'Curve Configuration'!$V$6:$V$35,1,0))))</f>
        <v>1</v>
      </c>
      <c r="Q153" s="92" t="e">
        <v>#N/A</v>
      </c>
      <c r="R153" s="96" t="str">
        <v>--</v>
      </c>
      <c r="AB153" s="100" t="e">
        <v>#N/A</v>
      </c>
      <c r="AC153" s="104" t="e">
        <v>#N/A</v>
      </c>
      <c r="AK153" s="21">
        <f>_xll.qlCalendarAdvance(calendar,AK152,"1D")</f>
        <v>42759</v>
      </c>
      <c r="AL153" s="21">
        <f>_xll.qlInterestRateIndexValueDate(hiborindex,AK153)</f>
        <v>42761</v>
      </c>
      <c r="AM153" s="23">
        <f>_xll.qlIndexFixing(hiborindex,AK153)</f>
        <v>-2.1642042814768352E-3</v>
      </c>
    </row>
    <row r="154" spans="1:39" x14ac:dyDescent="0.25">
      <c r="AK154" s="21">
        <f>_xll.qlCalendarAdvance(calendar,AK153,"1D")</f>
        <v>42760</v>
      </c>
      <c r="AL154" s="21">
        <f>_xll.qlInterestRateIndexValueDate(hiborindex,AK154)</f>
        <v>42762</v>
      </c>
      <c r="AM154" s="23">
        <f>_xll.qlIndexFixing(hiborindex,AK154)</f>
        <v>-2.1653806738506256E-3</v>
      </c>
    </row>
    <row r="155" spans="1:39" x14ac:dyDescent="0.25">
      <c r="AK155" s="21">
        <f>_xll.qlCalendarAdvance(calendar,AK154,"1D")</f>
        <v>42761</v>
      </c>
      <c r="AL155" s="21">
        <f>_xll.qlInterestRateIndexValueDate(hiborindex,AK155)</f>
        <v>42765</v>
      </c>
      <c r="AM155" s="23">
        <f>_xll.qlIndexFixing(hiborindex,AK155)</f>
        <v>-2.1698032951152097E-3</v>
      </c>
    </row>
    <row r="156" spans="1:39" x14ac:dyDescent="0.25">
      <c r="AK156" s="21">
        <f>_xll.qlCalendarAdvance(calendar,AK155,"1D")</f>
        <v>42762</v>
      </c>
      <c r="AL156" s="21">
        <f>_xll.qlInterestRateIndexValueDate(hiborindex,AK156)</f>
        <v>42766</v>
      </c>
      <c r="AM156" s="23">
        <f>_xll.qlIndexFixing(hiborindex,AK156)</f>
        <v>-2.1700000002824876E-3</v>
      </c>
    </row>
    <row r="157" spans="1:39" x14ac:dyDescent="0.25">
      <c r="AK157" s="21">
        <f>_xll.qlCalendarAdvance(calendar,AK156,"1D")</f>
        <v>42765</v>
      </c>
      <c r="AL157" s="21">
        <f>_xll.qlInterestRateIndexValueDate(hiborindex,AK157)</f>
        <v>42767</v>
      </c>
      <c r="AM157" s="23">
        <f>_xll.qlIndexFixing(hiborindex,AK157)</f>
        <v>-2.1714270151235878E-3</v>
      </c>
    </row>
    <row r="158" spans="1:39" x14ac:dyDescent="0.25">
      <c r="AK158" s="21">
        <f>_xll.qlCalendarAdvance(calendar,AK157,"1D")</f>
        <v>42766</v>
      </c>
      <c r="AL158" s="21">
        <f>_xll.qlInterestRateIndexValueDate(hiborindex,AK158)</f>
        <v>42768</v>
      </c>
      <c r="AM158" s="23">
        <f>_xll.qlIndexFixing(hiborindex,AK158)</f>
        <v>-2.1728500900707517E-3</v>
      </c>
    </row>
    <row r="159" spans="1:39" x14ac:dyDescent="0.25">
      <c r="AK159" s="21">
        <f>_xll.qlCalendarAdvance(calendar,AK158,"1D")</f>
        <v>42767</v>
      </c>
      <c r="AL159" s="21">
        <f>_xll.qlInterestRateIndexValueDate(hiborindex,AK159)</f>
        <v>42769</v>
      </c>
      <c r="AM159" s="23">
        <f>_xll.qlIndexFixing(hiborindex,AK159)</f>
        <v>-2.1742692251325918E-3</v>
      </c>
    </row>
    <row r="160" spans="1:39" x14ac:dyDescent="0.25">
      <c r="AK160" s="21">
        <f>_xll.qlCalendarAdvance(calendar,AK159,"1D")</f>
        <v>42768</v>
      </c>
      <c r="AL160" s="21">
        <f>_xll.qlInterestRateIndexValueDate(hiborindex,AK160)</f>
        <v>42772</v>
      </c>
      <c r="AM160" s="23">
        <f>_xll.qlIndexFixing(hiborindex,AK160)</f>
        <v>-2.1789832556882308E-3</v>
      </c>
    </row>
    <row r="161" spans="37:39" x14ac:dyDescent="0.25">
      <c r="AK161" s="21">
        <f>_xll.qlCalendarAdvance(calendar,AK160,"1D")</f>
        <v>42769</v>
      </c>
      <c r="AL161" s="21">
        <f>_xll.qlInterestRateIndexValueDate(hiborindex,AK161)</f>
        <v>42773</v>
      </c>
      <c r="AM161" s="23">
        <f>_xll.qlIndexFixing(hiborindex,AK161)</f>
        <v>-2.179906366698286E-3</v>
      </c>
    </row>
    <row r="162" spans="37:39" x14ac:dyDescent="0.25">
      <c r="AK162" s="21">
        <f>_xll.qlCalendarAdvance(calendar,AK161,"1D")</f>
        <v>42772</v>
      </c>
      <c r="AL162" s="21">
        <f>_xll.qlInterestRateIndexValueDate(hiborindex,AK162)</f>
        <v>42774</v>
      </c>
      <c r="AM162" s="23">
        <f>_xll.qlIndexFixing(hiborindex,AK162)</f>
        <v>-2.1813058024604758E-3</v>
      </c>
    </row>
    <row r="163" spans="37:39" x14ac:dyDescent="0.25">
      <c r="AK163" s="21">
        <f>_xll.qlCalendarAdvance(calendar,AK162,"1D")</f>
        <v>42773</v>
      </c>
      <c r="AL163" s="21">
        <f>_xll.qlInterestRateIndexValueDate(hiborindex,AK163)</f>
        <v>42775</v>
      </c>
      <c r="AM163" s="23">
        <f>_xll.qlIndexFixing(hiborindex,AK163)</f>
        <v>-2.182701298387909E-3</v>
      </c>
    </row>
    <row r="164" spans="37:39" x14ac:dyDescent="0.25">
      <c r="AK164" s="21">
        <f>_xll.qlCalendarAdvance(calendar,AK163,"1D")</f>
        <v>42774</v>
      </c>
      <c r="AL164" s="21">
        <f>_xll.qlInterestRateIndexValueDate(hiborindex,AK164)</f>
        <v>42776</v>
      </c>
      <c r="AM164" s="23">
        <f>_xll.qlIndexFixing(hiborindex,AK164)</f>
        <v>-2.1840928544889764E-3</v>
      </c>
    </row>
    <row r="165" spans="37:39" x14ac:dyDescent="0.25">
      <c r="AK165" s="21">
        <f>_xll.qlCalendarAdvance(calendar,AK164,"1D")</f>
        <v>42775</v>
      </c>
      <c r="AL165" s="21">
        <f>_xll.qlInterestRateIndexValueDate(hiborindex,AK165)</f>
        <v>42779</v>
      </c>
      <c r="AM165" s="23">
        <f>_xll.qlIndexFixing(hiborindex,AK165)</f>
        <v>-2.1887318023559423E-3</v>
      </c>
    </row>
    <row r="166" spans="37:39" x14ac:dyDescent="0.25">
      <c r="AK166" s="21">
        <f>_xll.qlCalendarAdvance(calendar,AK165,"1D")</f>
        <v>42776</v>
      </c>
      <c r="AL166" s="21">
        <f>_xll.qlInterestRateIndexValueDate(hiborindex,AK166)</f>
        <v>42780</v>
      </c>
      <c r="AM166" s="23">
        <f>_xll.qlIndexFixing(hiborindex,AK166)</f>
        <v>-2.189619680791669E-3</v>
      </c>
    </row>
    <row r="167" spans="37:39" x14ac:dyDescent="0.25">
      <c r="AK167" s="21">
        <f>_xll.qlCalendarAdvance(calendar,AK166,"1D")</f>
        <v>42779</v>
      </c>
      <c r="AL167" s="21">
        <f>_xll.qlInterestRateIndexValueDate(hiborindex,AK167)</f>
        <v>42781</v>
      </c>
      <c r="AM167" s="23">
        <f>_xll.qlIndexFixing(hiborindex,AK167)</f>
        <v>-2.19099153788302E-3</v>
      </c>
    </row>
    <row r="168" spans="37:39" x14ac:dyDescent="0.25">
      <c r="AK168" s="21">
        <f>_xll.qlCalendarAdvance(calendar,AK167,"1D")</f>
        <v>42780</v>
      </c>
      <c r="AL168" s="21">
        <f>_xll.qlInterestRateIndexValueDate(hiborindex,AK168)</f>
        <v>42782</v>
      </c>
      <c r="AM168" s="23">
        <f>_xll.qlIndexFixing(hiborindex,AK168)</f>
        <v>-2.1923594551974688E-3</v>
      </c>
    </row>
    <row r="169" spans="37:39" x14ac:dyDescent="0.25">
      <c r="AK169" s="21">
        <f>_xll.qlCalendarAdvance(calendar,AK168,"1D")</f>
        <v>42781</v>
      </c>
      <c r="AL169" s="21">
        <f>_xll.qlInterestRateIndexValueDate(hiborindex,AK169)</f>
        <v>42783</v>
      </c>
      <c r="AM169" s="23">
        <f>_xll.qlIndexFixing(hiborindex,AK169)</f>
        <v>-2.1937234327423015E-3</v>
      </c>
    </row>
    <row r="170" spans="37:39" x14ac:dyDescent="0.25">
      <c r="AK170" s="21">
        <f>_xll.qlCalendarAdvance(calendar,AK169,"1D")</f>
        <v>42782</v>
      </c>
      <c r="AL170" s="21">
        <f>_xll.qlInterestRateIndexValueDate(hiborindex,AK170)</f>
        <v>42786</v>
      </c>
      <c r="AM170" s="23">
        <f>_xll.qlIndexFixing(hiborindex,AK170)</f>
        <v>-2.1982883604640983E-3</v>
      </c>
    </row>
    <row r="171" spans="37:39" x14ac:dyDescent="0.25">
      <c r="AK171" s="21">
        <f>_xll.qlCalendarAdvance(calendar,AK170,"1D")</f>
        <v>42783</v>
      </c>
      <c r="AL171" s="21">
        <f>_xll.qlInterestRateIndexValueDate(hiborindex,AK171)</f>
        <v>42787</v>
      </c>
      <c r="AM171" s="23">
        <f>_xll.qlIndexFixing(hiborindex,AK171)</f>
        <v>-2.1991399453937417E-3</v>
      </c>
    </row>
    <row r="172" spans="37:39" x14ac:dyDescent="0.25">
      <c r="AK172" s="21">
        <f>_xll.qlCalendarAdvance(calendar,AK171,"1D")</f>
        <v>42786</v>
      </c>
      <c r="AL172" s="21">
        <f>_xll.qlInterestRateIndexValueDate(hiborindex,AK172)</f>
        <v>42788</v>
      </c>
      <c r="AM172" s="23">
        <f>_xll.qlIndexFixing(hiborindex,AK172)</f>
        <v>-2.2004842242137135E-3</v>
      </c>
    </row>
    <row r="173" spans="37:39" x14ac:dyDescent="0.25">
      <c r="AK173" s="21">
        <f>_xll.qlCalendarAdvance(calendar,AK172,"1D")</f>
        <v>42787</v>
      </c>
      <c r="AL173" s="21">
        <f>_xll.qlInterestRateIndexValueDate(hiborindex,AK173)</f>
        <v>42789</v>
      </c>
      <c r="AM173" s="23">
        <f>_xll.qlIndexFixing(hiborindex,AK173)</f>
        <v>-2.2018245633135332E-3</v>
      </c>
    </row>
    <row r="174" spans="37:39" x14ac:dyDescent="0.25">
      <c r="AK174" s="21">
        <f>_xll.qlCalendarAdvance(calendar,AK173,"1D")</f>
        <v>42788</v>
      </c>
      <c r="AL174" s="21">
        <f>_xll.qlInterestRateIndexValueDate(hiborindex,AK174)</f>
        <v>42790</v>
      </c>
      <c r="AM174" s="23">
        <f>_xll.qlIndexFixing(hiborindex,AK174)</f>
        <v>-2.2031609627000456E-3</v>
      </c>
    </row>
    <row r="175" spans="37:39" x14ac:dyDescent="0.25">
      <c r="AK175" s="21">
        <f>_xll.qlCalendarAdvance(calendar,AK174,"1D")</f>
        <v>42789</v>
      </c>
      <c r="AL175" s="21">
        <f>_xll.qlInterestRateIndexValueDate(hiborindex,AK175)</f>
        <v>42793</v>
      </c>
      <c r="AM175" s="23">
        <f>_xll.qlIndexFixing(hiborindex,AK175)</f>
        <v>-2.2076529327981625E-3</v>
      </c>
    </row>
    <row r="176" spans="37:39" x14ac:dyDescent="0.25">
      <c r="AK176" s="21">
        <f>_xll.qlCalendarAdvance(calendar,AK175,"1D")</f>
        <v>42790</v>
      </c>
      <c r="AL176" s="21">
        <f>_xll.qlInterestRateIndexValueDate(hiborindex,AK176)</f>
        <v>42794</v>
      </c>
      <c r="AM176" s="23">
        <f>_xll.qlIndexFixing(hiborindex,AK176)</f>
        <v>-2.2100000000137834E-3</v>
      </c>
    </row>
    <row r="177" spans="37:39" x14ac:dyDescent="0.25">
      <c r="AK177" s="21">
        <f>_xll.qlCalendarAdvance(calendar,AK176,"1D")</f>
        <v>42793</v>
      </c>
      <c r="AL177" s="21">
        <f>_xll.qlInterestRateIndexValueDate(hiborindex,AK177)</f>
        <v>42795</v>
      </c>
      <c r="AM177" s="23">
        <f>_xll.qlIndexFixing(hiborindex,AK177)</f>
        <v>-2.2109845792356309E-3</v>
      </c>
    </row>
    <row r="178" spans="37:39" x14ac:dyDescent="0.25">
      <c r="AK178" s="21">
        <f>_xll.qlCalendarAdvance(calendar,AK177,"1D")</f>
        <v>42794</v>
      </c>
      <c r="AL178" s="21">
        <f>_xll.qlInterestRateIndexValueDate(hiborindex,AK178)</f>
        <v>42796</v>
      </c>
      <c r="AM178" s="23">
        <f>_xll.qlIndexFixing(hiborindex,AK178)</f>
        <v>-2.2110739646113448E-3</v>
      </c>
    </row>
    <row r="179" spans="37:39" x14ac:dyDescent="0.25">
      <c r="AK179" s="21">
        <f>_xll.qlCalendarAdvance(calendar,AK178,"1D")</f>
        <v>42795</v>
      </c>
      <c r="AL179" s="21">
        <f>_xll.qlInterestRateIndexValueDate(hiborindex,AK179)</f>
        <v>42797</v>
      </c>
      <c r="AM179" s="23">
        <f>_xll.qlIndexFixing(hiborindex,AK179)</f>
        <v>-2.2124924397003633E-3</v>
      </c>
    </row>
    <row r="180" spans="37:39" x14ac:dyDescent="0.25">
      <c r="AK180" s="21">
        <f>_xll.qlCalendarAdvance(calendar,AK179,"1D")</f>
        <v>42796</v>
      </c>
      <c r="AL180" s="21">
        <f>_xll.qlInterestRateIndexValueDate(hiborindex,AK180)</f>
        <v>42800</v>
      </c>
      <c r="AM180" s="23">
        <f>_xll.qlIndexFixing(hiborindex,AK180)</f>
        <v>-2.2158589326091694E-3</v>
      </c>
    </row>
    <row r="181" spans="37:39" x14ac:dyDescent="0.25">
      <c r="AK181" s="21">
        <f>_xll.qlCalendarAdvance(calendar,AK180,"1D")</f>
        <v>42797</v>
      </c>
      <c r="AL181" s="21">
        <f>_xll.qlInterestRateIndexValueDate(hiborindex,AK181)</f>
        <v>42801</v>
      </c>
      <c r="AM181" s="23">
        <f>_xll.qlIndexFixing(hiborindex,AK181)</f>
        <v>-2.2168240947708835E-3</v>
      </c>
    </row>
    <row r="182" spans="37:39" x14ac:dyDescent="0.25">
      <c r="AK182" s="21">
        <f>_xll.qlCalendarAdvance(calendar,AK181,"1D")</f>
        <v>42800</v>
      </c>
      <c r="AL182" s="21">
        <f>_xll.qlInterestRateIndexValueDate(hiborindex,AK182)</f>
        <v>42802</v>
      </c>
      <c r="AM182" s="23">
        <f>_xll.qlIndexFixing(hiborindex,AK182)</f>
        <v>-2.2177860207719105E-3</v>
      </c>
    </row>
    <row r="183" spans="37:39" x14ac:dyDescent="0.25">
      <c r="AK183" s="21">
        <f>_xll.qlCalendarAdvance(calendar,AK182,"1D")</f>
        <v>42801</v>
      </c>
      <c r="AL183" s="21">
        <f>_xll.qlInterestRateIndexValueDate(hiborindex,AK183)</f>
        <v>42803</v>
      </c>
      <c r="AM183" s="23">
        <f>_xll.qlIndexFixing(hiborindex,AK183)</f>
        <v>-2.2178371210791075E-3</v>
      </c>
    </row>
    <row r="184" spans="37:39" x14ac:dyDescent="0.25">
      <c r="AK184" s="21">
        <f>_xll.qlCalendarAdvance(calendar,AK183,"1D")</f>
        <v>42802</v>
      </c>
      <c r="AL184" s="21">
        <f>_xll.qlInterestRateIndexValueDate(hiborindex,AK184)</f>
        <v>42804</v>
      </c>
      <c r="AM184" s="23">
        <f>_xll.qlIndexFixing(hiborindex,AK184)</f>
        <v>-2.2192408394392758E-3</v>
      </c>
    </row>
    <row r="185" spans="37:39" x14ac:dyDescent="0.25">
      <c r="AK185" s="21">
        <f>_xll.qlCalendarAdvance(calendar,AK184,"1D")</f>
        <v>42803</v>
      </c>
      <c r="AL185" s="21">
        <f>_xll.qlInterestRateIndexValueDate(hiborindex,AK185)</f>
        <v>42807</v>
      </c>
      <c r="AM185" s="23">
        <f>_xll.qlIndexFixing(hiborindex,AK185)</f>
        <v>-2.2225471085465919E-3</v>
      </c>
    </row>
    <row r="186" spans="37:39" x14ac:dyDescent="0.25">
      <c r="AK186" s="21">
        <f>_xll.qlCalendarAdvance(calendar,AK185,"1D")</f>
        <v>42804</v>
      </c>
      <c r="AL186" s="21">
        <f>_xll.qlInterestRateIndexValueDate(hiborindex,AK186)</f>
        <v>42808</v>
      </c>
      <c r="AM186" s="23">
        <f>_xll.qlIndexFixing(hiborindex,AK186)</f>
        <v>-2.2234896176879771E-3</v>
      </c>
    </row>
    <row r="187" spans="37:39" x14ac:dyDescent="0.25">
      <c r="AK187" s="21">
        <f>_xll.qlCalendarAdvance(calendar,AK186,"1D")</f>
        <v>42807</v>
      </c>
      <c r="AL187" s="21">
        <f>_xll.qlInterestRateIndexValueDate(hiborindex,AK187)</f>
        <v>42809</v>
      </c>
      <c r="AM187" s="23">
        <f>_xll.qlIndexFixing(hiborindex,AK187)</f>
        <v>-2.2244288907027781E-3</v>
      </c>
    </row>
    <row r="188" spans="37:39" x14ac:dyDescent="0.25">
      <c r="AK188" s="21">
        <f>_xll.qlCalendarAdvance(calendar,AK187,"1D")</f>
        <v>42808</v>
      </c>
      <c r="AL188" s="21">
        <f>_xll.qlInterestRateIndexValueDate(hiborindex,AK188)</f>
        <v>42810</v>
      </c>
      <c r="AM188" s="23">
        <f>_xll.qlIndexFixing(hiborindex,AK188)</f>
        <v>-2.224443412710051E-3</v>
      </c>
    </row>
    <row r="189" spans="37:39" x14ac:dyDescent="0.25">
      <c r="AK189" s="21">
        <f>_xll.qlCalendarAdvance(calendar,AK188,"1D")</f>
        <v>42809</v>
      </c>
      <c r="AL189" s="21">
        <f>_xll.qlInterestRateIndexValueDate(hiborindex,AK189)</f>
        <v>42811</v>
      </c>
      <c r="AM189" s="23">
        <f>_xll.qlIndexFixing(hiborindex,AK189)</f>
        <v>-2.2258315259190871E-3</v>
      </c>
    </row>
    <row r="190" spans="37:39" x14ac:dyDescent="0.25">
      <c r="AK190" s="21">
        <f>_xll.qlCalendarAdvance(calendar,AK189,"1D")</f>
        <v>42810</v>
      </c>
      <c r="AL190" s="21">
        <f>_xll.qlInterestRateIndexValueDate(hiborindex,AK190)</f>
        <v>42814</v>
      </c>
      <c r="AM190" s="23">
        <f>_xll.qlIndexFixing(hiborindex,AK190)</f>
        <v>-2.2290767140361553E-3</v>
      </c>
    </row>
    <row r="191" spans="37:39" x14ac:dyDescent="0.25">
      <c r="AK191" s="21">
        <f>_xll.qlCalendarAdvance(calendar,AK190,"1D")</f>
        <v>42811</v>
      </c>
      <c r="AL191" s="21">
        <f>_xll.qlInterestRateIndexValueDate(hiborindex,AK191)</f>
        <v>42815</v>
      </c>
      <c r="AM191" s="23">
        <f>_xll.qlIndexFixing(hiborindex,AK191)</f>
        <v>-2.2299965703870273E-3</v>
      </c>
    </row>
    <row r="192" spans="37:39" x14ac:dyDescent="0.25">
      <c r="AK192" s="21">
        <f>_xll.qlCalendarAdvance(calendar,AK191,"1D")</f>
        <v>42814</v>
      </c>
      <c r="AL192" s="21">
        <f>_xll.qlInterestRateIndexValueDate(hiborindex,AK192)</f>
        <v>42816</v>
      </c>
      <c r="AM192" s="23">
        <f>_xll.qlIndexFixing(hiborindex,AK192)</f>
        <v>-2.230913190643898E-3</v>
      </c>
    </row>
    <row r="193" spans="37:39" x14ac:dyDescent="0.25">
      <c r="AK193" s="21">
        <f>_xll.qlCalendarAdvance(calendar,AK192,"1D")</f>
        <v>42815</v>
      </c>
      <c r="AL193" s="21">
        <f>_xll.qlInterestRateIndexValueDate(hiborindex,AK193)</f>
        <v>42817</v>
      </c>
      <c r="AM193" s="23">
        <f>_xll.qlIndexFixing(hiborindex,AK193)</f>
        <v>-2.2308928411125671E-3</v>
      </c>
    </row>
    <row r="194" spans="37:39" x14ac:dyDescent="0.25">
      <c r="AK194" s="21">
        <f>_xll.qlCalendarAdvance(calendar,AK193,"1D")</f>
        <v>42816</v>
      </c>
      <c r="AL194" s="21">
        <f>_xll.qlInterestRateIndexValueDate(hiborindex,AK194)</f>
        <v>42818</v>
      </c>
      <c r="AM194" s="23">
        <f>_xll.qlIndexFixing(hiborindex,AK194)</f>
        <v>-2.2322645007430558E-3</v>
      </c>
    </row>
    <row r="195" spans="37:39" x14ac:dyDescent="0.25">
      <c r="AK195" s="21">
        <f>_xll.qlCalendarAdvance(calendar,AK194,"1D")</f>
        <v>42817</v>
      </c>
      <c r="AL195" s="21">
        <f>_xll.qlInterestRateIndexValueDate(hiborindex,AK195)</f>
        <v>42821</v>
      </c>
      <c r="AM195" s="23">
        <f>_xll.qlIndexFixing(hiborindex,AK195)</f>
        <v>-2.2354477506685436E-3</v>
      </c>
    </row>
    <row r="196" spans="37:39" x14ac:dyDescent="0.25">
      <c r="AK196" s="21">
        <f>_xll.qlCalendarAdvance(calendar,AK195,"1D")</f>
        <v>42818</v>
      </c>
      <c r="AL196" s="21">
        <f>_xll.qlInterestRateIndexValueDate(hiborindex,AK196)</f>
        <v>42822</v>
      </c>
      <c r="AM196" s="23">
        <f>_xll.qlIndexFixing(hiborindex,AK196)</f>
        <v>-2.2363449544532885E-3</v>
      </c>
    </row>
    <row r="197" spans="37:39" x14ac:dyDescent="0.25">
      <c r="AK197" s="21">
        <f>_xll.qlCalendarAdvance(calendar,AK196,"1D")</f>
        <v>42821</v>
      </c>
      <c r="AL197" s="21">
        <f>_xll.qlInterestRateIndexValueDate(hiborindex,AK197)</f>
        <v>42823</v>
      </c>
      <c r="AM197" s="23">
        <f>_xll.qlIndexFixing(hiborindex,AK197)</f>
        <v>-2.2372389221748767E-3</v>
      </c>
    </row>
    <row r="198" spans="37:39" x14ac:dyDescent="0.25">
      <c r="AK198" s="21">
        <f>_xll.qlCalendarAdvance(calendar,AK197,"1D")</f>
        <v>42822</v>
      </c>
      <c r="AL198" s="21">
        <f>_xll.qlInterestRateIndexValueDate(hiborindex,AK198)</f>
        <v>42824</v>
      </c>
      <c r="AM198" s="23">
        <f>_xll.qlIndexFixing(hiborindex,AK198)</f>
        <v>-2.2386156552367167E-3</v>
      </c>
    </row>
    <row r="199" spans="37:39" x14ac:dyDescent="0.25">
      <c r="AK199" s="21">
        <f>_xll.qlCalendarAdvance(calendar,AK198,"1D")</f>
        <v>42823</v>
      </c>
      <c r="AL199" s="21">
        <f>_xll.qlInterestRateIndexValueDate(hiborindex,AK199)</f>
        <v>42825</v>
      </c>
      <c r="AM199" s="23">
        <f>_xll.qlIndexFixing(hiborindex,AK199)</f>
        <v>-2.2400000001448124E-3</v>
      </c>
    </row>
    <row r="200" spans="37:39" x14ac:dyDescent="0.25">
      <c r="AK200" s="21">
        <f>_xll.qlCalendarAdvance(calendar,AK199,"1D")</f>
        <v>42824</v>
      </c>
      <c r="AL200" s="21">
        <f>_xll.qlInterestRateIndexValueDate(hiborindex,AK200)</f>
        <v>42828</v>
      </c>
      <c r="AM200" s="23">
        <f>_xll.qlIndexFixing(hiborindex,AK200)</f>
        <v>-2.2438514501860094E-3</v>
      </c>
    </row>
    <row r="201" spans="37:39" x14ac:dyDescent="0.25">
      <c r="AK201" s="21">
        <f>_xll.qlCalendarAdvance(calendar,AK200,"1D")</f>
        <v>42825</v>
      </c>
      <c r="AL201" s="21">
        <f>_xll.qlInterestRateIndexValueDate(hiborindex,AK201)</f>
        <v>42829</v>
      </c>
      <c r="AM201" s="23">
        <f>_xll.qlIndexFixing(hiborindex,AK201)</f>
        <v>-2.2448582231821275E-3</v>
      </c>
    </row>
    <row r="202" spans="37:39" x14ac:dyDescent="0.25">
      <c r="AK202" s="21">
        <f>_xll.qlCalendarAdvance(calendar,AK201,"1D")</f>
        <v>42828</v>
      </c>
      <c r="AL202" s="21">
        <f>_xll.qlInterestRateIndexValueDate(hiborindex,AK202)</f>
        <v>42830</v>
      </c>
      <c r="AM202" s="23">
        <f>_xll.qlIndexFixing(hiborindex,AK202)</f>
        <v>-2.2458590138385946E-3</v>
      </c>
    </row>
    <row r="203" spans="37:39" x14ac:dyDescent="0.25">
      <c r="AK203" s="21">
        <f>_xll.qlCalendarAdvance(calendar,AK202,"1D")</f>
        <v>42829</v>
      </c>
      <c r="AL203" s="21">
        <f>_xll.qlInterestRateIndexValueDate(hiborindex,AK203)</f>
        <v>42831</v>
      </c>
      <c r="AM203" s="23">
        <f>_xll.qlIndexFixing(hiborindex,AK203)</f>
        <v>-2.2468538221650206E-3</v>
      </c>
    </row>
    <row r="204" spans="37:39" x14ac:dyDescent="0.25">
      <c r="AK204" s="21">
        <f>_xll.qlCalendarAdvance(calendar,AK203,"1D")</f>
        <v>42830</v>
      </c>
      <c r="AL204" s="21">
        <f>_xll.qlInterestRateIndexValueDate(hiborindex,AK204)</f>
        <v>42832</v>
      </c>
      <c r="AM204" s="23">
        <f>_xll.qlIndexFixing(hiborindex,AK204)</f>
        <v>-2.2494954162403016E-3</v>
      </c>
    </row>
    <row r="205" spans="37:39" x14ac:dyDescent="0.25">
      <c r="AK205" s="21">
        <f>_xll.qlCalendarAdvance(calendar,AK204,"1D")</f>
        <v>42831</v>
      </c>
      <c r="AL205" s="21">
        <f>_xll.qlInterestRateIndexValueDate(hiborindex,AK205)</f>
        <v>42835</v>
      </c>
      <c r="AM205" s="23">
        <f>_xll.qlIndexFixing(hiborindex,AK205)</f>
        <v>-2.2507732323443809E-3</v>
      </c>
    </row>
    <row r="206" spans="37:39" x14ac:dyDescent="0.25">
      <c r="AK206" s="21">
        <f>_xll.qlCalendarAdvance(calendar,AK205,"1D")</f>
        <v>42832</v>
      </c>
      <c r="AL206" s="21">
        <f>_xll.qlInterestRateIndexValueDate(hiborindex,AK206)</f>
        <v>42836</v>
      </c>
      <c r="AM206" s="23">
        <f>_xll.qlIndexFixing(hiborindex,AK206)</f>
        <v>-2.2517381291522988E-3</v>
      </c>
    </row>
    <row r="207" spans="37:39" x14ac:dyDescent="0.25">
      <c r="AK207" s="21">
        <f>_xll.qlCalendarAdvance(calendar,AK206,"1D")</f>
        <v>42835</v>
      </c>
      <c r="AL207" s="21">
        <f>_xll.qlInterestRateIndexValueDate(hiborindex,AK207)</f>
        <v>42837</v>
      </c>
      <c r="AM207" s="23">
        <f>_xll.qlIndexFixing(hiborindex,AK207)</f>
        <v>-2.2526970436834663E-3</v>
      </c>
    </row>
    <row r="208" spans="37:39" x14ac:dyDescent="0.25">
      <c r="AK208" s="21">
        <f>_xll.qlCalendarAdvance(calendar,AK207,"1D")</f>
        <v>42836</v>
      </c>
      <c r="AL208" s="21">
        <f>_xll.qlInterestRateIndexValueDate(hiborindex,AK208)</f>
        <v>42838</v>
      </c>
      <c r="AM208" s="23">
        <f>_xll.qlIndexFixing(hiborindex,AK208)</f>
        <v>-2.2536499759466195E-3</v>
      </c>
    </row>
    <row r="209" spans="37:39" x14ac:dyDescent="0.25">
      <c r="AK209" s="21">
        <f>_xll.qlCalendarAdvance(calendar,AK208,"1D")</f>
        <v>42837</v>
      </c>
      <c r="AL209" s="21">
        <f>_xll.qlInterestRateIndexValueDate(hiborindex,AK209)</f>
        <v>42843</v>
      </c>
      <c r="AM209" s="23">
        <f>_xll.qlIndexFixing(hiborindex,AK209)</f>
        <v>-2.2583249035437875E-3</v>
      </c>
    </row>
    <row r="210" spans="37:39" x14ac:dyDescent="0.25">
      <c r="AK210" s="21">
        <f>_xll.qlCalendarAdvance(calendar,AK209,"1D")</f>
        <v>42838</v>
      </c>
      <c r="AL210" s="21">
        <f>_xll.qlInterestRateIndexValueDate(hiborindex,AK210)</f>
        <v>42844</v>
      </c>
      <c r="AM210" s="23">
        <f>_xll.qlIndexFixing(hiborindex,AK210)</f>
        <v>-2.259241942379257E-3</v>
      </c>
    </row>
    <row r="211" spans="37:39" x14ac:dyDescent="0.25">
      <c r="AK211" s="21">
        <f>_xll.qlCalendarAdvance(calendar,AK210,"1D")</f>
        <v>42843</v>
      </c>
      <c r="AL211" s="21">
        <f>_xll.qlInterestRateIndexValueDate(hiborindex,AK211)</f>
        <v>42845</v>
      </c>
      <c r="AM211" s="23">
        <f>_xll.qlIndexFixing(hiborindex,AK211)</f>
        <v>-2.2601529990063365E-3</v>
      </c>
    </row>
    <row r="212" spans="37:39" x14ac:dyDescent="0.25">
      <c r="AK212" s="21">
        <f>_xll.qlCalendarAdvance(calendar,AK211,"1D")</f>
        <v>42844</v>
      </c>
      <c r="AL212" s="21">
        <f>_xll.qlInterestRateIndexValueDate(hiborindex,AK212)</f>
        <v>42846</v>
      </c>
      <c r="AM212" s="23">
        <f>_xll.qlIndexFixing(hiborindex,AK212)</f>
        <v>-2.2628389394766975E-3</v>
      </c>
    </row>
    <row r="213" spans="37:39" x14ac:dyDescent="0.25">
      <c r="AK213" s="21">
        <f>_xll.qlCalendarAdvance(calendar,AK212,"1D")</f>
        <v>42845</v>
      </c>
      <c r="AL213" s="21">
        <f>_xll.qlInterestRateIndexValueDate(hiborindex,AK213)</f>
        <v>42849</v>
      </c>
      <c r="AM213" s="23">
        <f>_xll.qlIndexFixing(hiborindex,AK213)</f>
        <v>-2.263737403596526E-3</v>
      </c>
    </row>
    <row r="214" spans="37:39" x14ac:dyDescent="0.25">
      <c r="AK214" s="21">
        <f>_xll.qlCalendarAdvance(calendar,AK213,"1D")</f>
        <v>42846</v>
      </c>
      <c r="AL214" s="21">
        <f>_xll.qlInterestRateIndexValueDate(hiborindex,AK214)</f>
        <v>42850</v>
      </c>
      <c r="AM214" s="23">
        <f>_xll.qlIndexFixing(hiborindex,AK214)</f>
        <v>-2.2646185493052731E-3</v>
      </c>
    </row>
    <row r="215" spans="37:39" x14ac:dyDescent="0.25">
      <c r="AK215" s="21">
        <f>_xll.qlCalendarAdvance(calendar,AK214,"1D")</f>
        <v>42849</v>
      </c>
      <c r="AL215" s="21">
        <f>_xll.qlInterestRateIndexValueDate(hiborindex,AK215)</f>
        <v>42851</v>
      </c>
      <c r="AM215" s="23">
        <f>_xll.qlIndexFixing(hiborindex,AK215)</f>
        <v>-2.2654937128549902E-3</v>
      </c>
    </row>
    <row r="216" spans="37:39" x14ac:dyDescent="0.25">
      <c r="AK216" s="21">
        <f>_xll.qlCalendarAdvance(calendar,AK215,"1D")</f>
        <v>42850</v>
      </c>
      <c r="AL216" s="21">
        <f>_xll.qlInterestRateIndexValueDate(hiborindex,AK216)</f>
        <v>42852</v>
      </c>
      <c r="AM216" s="23">
        <f>_xll.qlIndexFixing(hiborindex,AK216)</f>
        <v>-2.2663628942531022E-3</v>
      </c>
    </row>
    <row r="217" spans="37:39" x14ac:dyDescent="0.25">
      <c r="AK217" s="21">
        <f>_xll.qlCalendarAdvance(calendar,AK216,"1D")</f>
        <v>42851</v>
      </c>
      <c r="AL217" s="21">
        <f>_xll.qlInterestRateIndexValueDate(hiborindex,AK217)</f>
        <v>42853</v>
      </c>
      <c r="AM217" s="23">
        <f>_xll.qlIndexFixing(hiborindex,AK217)</f>
        <v>-2.2700000001456052E-3</v>
      </c>
    </row>
    <row r="218" spans="37:39" x14ac:dyDescent="0.25">
      <c r="AK218" s="21">
        <f>_xll.qlCalendarAdvance(calendar,AK217,"1D")</f>
        <v>42852</v>
      </c>
      <c r="AL218" s="21">
        <f>_xll.qlInterestRateIndexValueDate(hiborindex,AK218)</f>
        <v>42857</v>
      </c>
      <c r="AM218" s="23">
        <f>_xll.qlIndexFixing(hiborindex,AK218)</f>
        <v>-2.2729688691689987E-3</v>
      </c>
    </row>
    <row r="219" spans="37:39" x14ac:dyDescent="0.25">
      <c r="AK219" s="21">
        <f>_xll.qlCalendarAdvance(calendar,AK218,"1D")</f>
        <v>42853</v>
      </c>
      <c r="AL219" s="21">
        <f>_xll.qlInterestRateIndexValueDate(hiborindex,AK219)</f>
        <v>42858</v>
      </c>
      <c r="AM219" s="23">
        <f>_xll.qlIndexFixing(hiborindex,AK219)</f>
        <v>-2.2739790918912131E-3</v>
      </c>
    </row>
    <row r="220" spans="37:39" x14ac:dyDescent="0.25">
      <c r="AK220" s="21">
        <f>_xll.qlCalendarAdvance(calendar,AK219,"1D")</f>
        <v>42857</v>
      </c>
      <c r="AL220" s="21">
        <f>_xll.qlInterestRateIndexValueDate(hiborindex,AK220)</f>
        <v>42859</v>
      </c>
      <c r="AM220" s="23">
        <f>_xll.qlIndexFixing(hiborindex,AK220)</f>
        <v>-2.2761291107233832E-3</v>
      </c>
    </row>
    <row r="221" spans="37:39" x14ac:dyDescent="0.25">
      <c r="AK221" s="21">
        <f>_xll.qlCalendarAdvance(calendar,AK220,"1D")</f>
        <v>42858</v>
      </c>
      <c r="AL221" s="21">
        <f>_xll.qlInterestRateIndexValueDate(hiborindex,AK221)</f>
        <v>42860</v>
      </c>
      <c r="AM221" s="23">
        <f>_xll.qlIndexFixing(hiborindex,AK221)</f>
        <v>-2.2765613004020967E-3</v>
      </c>
    </row>
    <row r="222" spans="37:39" x14ac:dyDescent="0.25">
      <c r="AK222" s="21">
        <f>_xll.qlCalendarAdvance(calendar,AK221,"1D")</f>
        <v>42859</v>
      </c>
      <c r="AL222" s="21">
        <f>_xll.qlInterestRateIndexValueDate(hiborindex,AK222)</f>
        <v>42863</v>
      </c>
      <c r="AM222" s="23">
        <f>_xll.qlIndexFixing(hiborindex,AK222)</f>
        <v>-2.2789705942185498E-3</v>
      </c>
    </row>
    <row r="223" spans="37:39" x14ac:dyDescent="0.25">
      <c r="AK223" s="21">
        <f>_xll.qlCalendarAdvance(calendar,AK222,"1D")</f>
        <v>42860</v>
      </c>
      <c r="AL223" s="21">
        <f>_xll.qlInterestRateIndexValueDate(hiborindex,AK223)</f>
        <v>42864</v>
      </c>
      <c r="AM223" s="23">
        <f>_xll.qlIndexFixing(hiborindex,AK223)</f>
        <v>-2.2799569724695841E-3</v>
      </c>
    </row>
    <row r="224" spans="37:39" x14ac:dyDescent="0.25">
      <c r="AK224" s="21">
        <f>_xll.qlCalendarAdvance(calendar,AK223,"1D")</f>
        <v>42863</v>
      </c>
      <c r="AL224" s="21">
        <f>_xll.qlInterestRateIndexValueDate(hiborindex,AK224)</f>
        <v>42865</v>
      </c>
      <c r="AM224" s="23">
        <f>_xll.qlIndexFixing(hiborindex,AK224)</f>
        <v>-2.280939376664317E-3</v>
      </c>
    </row>
    <row r="225" spans="37:39" x14ac:dyDescent="0.25">
      <c r="AK225" s="21">
        <f>_xll.qlCalendarAdvance(calendar,AK224,"1D")</f>
        <v>42864</v>
      </c>
      <c r="AL225" s="21">
        <f>_xll.qlInterestRateIndexValueDate(hiborindex,AK225)</f>
        <v>42866</v>
      </c>
      <c r="AM225" s="23">
        <f>_xll.qlIndexFixing(hiborindex,AK225)</f>
        <v>-2.2831008647499419E-3</v>
      </c>
    </row>
    <row r="226" spans="37:39" x14ac:dyDescent="0.25">
      <c r="AK226" s="21">
        <f>_xll.qlCalendarAdvance(calendar,AK225,"1D")</f>
        <v>42865</v>
      </c>
      <c r="AL226" s="21">
        <f>_xll.qlInterestRateIndexValueDate(hiborindex,AK226)</f>
        <v>42867</v>
      </c>
      <c r="AM226" s="23">
        <f>_xll.qlIndexFixing(hiborindex,AK226)</f>
        <v>-2.2834858491892216E-3</v>
      </c>
    </row>
    <row r="227" spans="37:39" x14ac:dyDescent="0.25">
      <c r="AK227" s="21">
        <f>_xll.qlCalendarAdvance(calendar,AK226,"1D")</f>
        <v>42866</v>
      </c>
      <c r="AL227" s="21">
        <f>_xll.qlInterestRateIndexValueDate(hiborindex,AK227)</f>
        <v>42870</v>
      </c>
      <c r="AM227" s="23">
        <f>_xll.qlIndexFixing(hiborindex,AK227)</f>
        <v>-2.2857917869861318E-3</v>
      </c>
    </row>
    <row r="228" spans="37:39" x14ac:dyDescent="0.25">
      <c r="AK228" s="21">
        <f>_xll.qlCalendarAdvance(calendar,AK227,"1D")</f>
        <v>42867</v>
      </c>
      <c r="AL228" s="21">
        <f>_xll.qlInterestRateIndexValueDate(hiborindex,AK228)</f>
        <v>42871</v>
      </c>
      <c r="AM228" s="23">
        <f>_xll.qlIndexFixing(hiborindex,AK228)</f>
        <v>-2.286750346961657E-3</v>
      </c>
    </row>
    <row r="229" spans="37:39" x14ac:dyDescent="0.25">
      <c r="AK229" s="21">
        <f>_xll.qlCalendarAdvance(calendar,AK228,"1D")</f>
        <v>42870</v>
      </c>
      <c r="AL229" s="21">
        <f>_xll.qlInterestRateIndexValueDate(hiborindex,AK229)</f>
        <v>42872</v>
      </c>
      <c r="AM229" s="23">
        <f>_xll.qlIndexFixing(hiborindex,AK229)</f>
        <v>-2.2877049329223689E-3</v>
      </c>
    </row>
    <row r="230" spans="37:39" x14ac:dyDescent="0.25">
      <c r="AK230" s="21">
        <f>_xll.qlCalendarAdvance(calendar,AK229,"1D")</f>
        <v>42871</v>
      </c>
      <c r="AL230" s="21">
        <f>_xll.qlInterestRateIndexValueDate(hiborindex,AK230)</f>
        <v>42873</v>
      </c>
      <c r="AM230" s="23">
        <f>_xll.qlIndexFixing(hiborindex,AK230)</f>
        <v>-2.2898799861647036E-3</v>
      </c>
    </row>
    <row r="231" spans="37:39" x14ac:dyDescent="0.25">
      <c r="AK231" s="21">
        <f>_xll.qlCalendarAdvance(calendar,AK230,"1D")</f>
        <v>42872</v>
      </c>
      <c r="AL231" s="21">
        <f>_xll.qlInterestRateIndexValueDate(hiborindex,AK231)</f>
        <v>42874</v>
      </c>
      <c r="AM231" s="23">
        <f>_xll.qlIndexFixing(hiborindex,AK231)</f>
        <v>-2.2902167235165256E-3</v>
      </c>
    </row>
    <row r="232" spans="37:39" x14ac:dyDescent="0.25">
      <c r="AK232" s="21">
        <f>_xll.qlCalendarAdvance(calendar,AK231,"1D")</f>
        <v>42873</v>
      </c>
      <c r="AL232" s="21">
        <f>_xll.qlInterestRateIndexValueDate(hiborindex,AK232)</f>
        <v>42877</v>
      </c>
      <c r="AM232" s="23">
        <f>_xll.qlIndexFixing(hiborindex,AK232)</f>
        <v>-2.2924182526892407E-3</v>
      </c>
    </row>
    <row r="233" spans="37:39" x14ac:dyDescent="0.25">
      <c r="AK233" s="21">
        <f>_xll.qlCalendarAdvance(calendar,AK232,"1D")</f>
        <v>42874</v>
      </c>
      <c r="AL233" s="21">
        <f>_xll.qlInterestRateIndexValueDate(hiborindex,AK233)</f>
        <v>42878</v>
      </c>
      <c r="AM233" s="23">
        <f>_xll.qlIndexFixing(hiborindex,AK233)</f>
        <v>-2.2933489946757664E-3</v>
      </c>
    </row>
    <row r="234" spans="37:39" x14ac:dyDescent="0.25">
      <c r="AK234" s="21">
        <f>_xll.qlCalendarAdvance(calendar,AK233,"1D")</f>
        <v>42877</v>
      </c>
      <c r="AL234" s="21">
        <f>_xll.qlInterestRateIndexValueDate(hiborindex,AK234)</f>
        <v>42879</v>
      </c>
      <c r="AM234" s="23">
        <f>_xll.qlIndexFixing(hiborindex,AK234)</f>
        <v>-2.2942757626872303E-3</v>
      </c>
    </row>
    <row r="235" spans="37:39" x14ac:dyDescent="0.25">
      <c r="AK235" s="21">
        <f>_xll.qlCalendarAdvance(calendar,AK234,"1D")</f>
        <v>42878</v>
      </c>
      <c r="AL235" s="21">
        <f>_xll.qlInterestRateIndexValueDate(hiborindex,AK235)</f>
        <v>42880</v>
      </c>
      <c r="AM235" s="23">
        <f>_xll.qlIndexFixing(hiborindex,AK235)</f>
        <v>-2.296466476995078E-3</v>
      </c>
    </row>
    <row r="236" spans="37:39" x14ac:dyDescent="0.25">
      <c r="AK236" s="21">
        <f>_xll.qlCalendarAdvance(calendar,AK235,"1D")</f>
        <v>42879</v>
      </c>
      <c r="AL236" s="21">
        <f>_xll.qlInterestRateIndexValueDate(hiborindex,AK236)</f>
        <v>42881</v>
      </c>
      <c r="AM236" s="23">
        <f>_xll.qlIndexFixing(hiborindex,AK236)</f>
        <v>-2.296753925396237E-3</v>
      </c>
    </row>
    <row r="237" spans="37:39" x14ac:dyDescent="0.25">
      <c r="AK237" s="21">
        <f>_xll.qlCalendarAdvance(calendar,AK236,"1D")</f>
        <v>42880</v>
      </c>
      <c r="AL237" s="21">
        <f>_xll.qlInterestRateIndexValueDate(hiborindex,AK237)</f>
        <v>42884</v>
      </c>
      <c r="AM237" s="23">
        <f>_xll.qlIndexFixing(hiborindex,AK237)</f>
        <v>-2.2988499933080317E-3</v>
      </c>
    </row>
    <row r="238" spans="37:39" x14ac:dyDescent="0.25">
      <c r="AK238" s="21">
        <f>_xll.qlCalendarAdvance(calendar,AK237,"1D")</f>
        <v>42881</v>
      </c>
      <c r="AL238" s="21">
        <f>_xll.qlInterestRateIndexValueDate(hiborindex,AK238)</f>
        <v>42885</v>
      </c>
      <c r="AM238" s="23">
        <f>_xll.qlIndexFixing(hiborindex,AK238)</f>
        <v>-2.2997529175838136E-3</v>
      </c>
    </row>
    <row r="239" spans="37:39" x14ac:dyDescent="0.25">
      <c r="AK239" s="21">
        <f>_xll.qlCalendarAdvance(calendar,AK238,"1D")</f>
        <v>42884</v>
      </c>
      <c r="AL239" s="21">
        <f>_xll.qlInterestRateIndexValueDate(hiborindex,AK239)</f>
        <v>42886</v>
      </c>
      <c r="AM239" s="23">
        <f>_xll.qlIndexFixing(hiborindex,AK239)</f>
        <v>-2.3000000003612392E-3</v>
      </c>
    </row>
    <row r="240" spans="37:39" x14ac:dyDescent="0.25">
      <c r="AK240" s="21">
        <f>_xll.qlCalendarAdvance(calendar,AK239,"1D")</f>
        <v>42885</v>
      </c>
      <c r="AL240" s="21">
        <f>_xll.qlInterestRateIndexValueDate(hiborindex,AK240)</f>
        <v>42887</v>
      </c>
      <c r="AM240" s="23">
        <f>_xll.qlIndexFixing(hiborindex,AK240)</f>
        <v>-2.3010628991804718E-3</v>
      </c>
    </row>
    <row r="241" spans="37:39" x14ac:dyDescent="0.25">
      <c r="AK241" s="21">
        <f>_xll.qlCalendarAdvance(calendar,AK240,"1D")</f>
        <v>42886</v>
      </c>
      <c r="AL241" s="21">
        <f>_xll.qlInterestRateIndexValueDate(hiborindex,AK241)</f>
        <v>42888</v>
      </c>
      <c r="AM241" s="23">
        <f>_xll.qlIndexFixing(hiborindex,AK241)</f>
        <v>-2.3032972390026408E-3</v>
      </c>
    </row>
    <row r="242" spans="37:39" x14ac:dyDescent="0.25">
      <c r="AK242" s="21">
        <f>_xll.qlCalendarAdvance(calendar,AK241,"1D")</f>
        <v>42887</v>
      </c>
      <c r="AL242" s="21">
        <f>_xll.qlInterestRateIndexValueDate(hiborindex,AK242)</f>
        <v>42891</v>
      </c>
      <c r="AM242" s="23">
        <f>_xll.qlIndexFixing(hiborindex,AK242)</f>
        <v>-2.3052861314905647E-3</v>
      </c>
    </row>
    <row r="243" spans="37:39" x14ac:dyDescent="0.25">
      <c r="AK243" s="21">
        <f>_xll.qlCalendarAdvance(calendar,AK242,"1D")</f>
        <v>42888</v>
      </c>
      <c r="AL243" s="21">
        <f>_xll.qlInterestRateIndexValueDate(hiborindex,AK243)</f>
        <v>42892</v>
      </c>
      <c r="AM243" s="23">
        <f>_xll.qlIndexFixing(hiborindex,AK243)</f>
        <v>-2.3063348488487649E-3</v>
      </c>
    </row>
    <row r="244" spans="37:39" x14ac:dyDescent="0.25">
      <c r="AK244" s="21">
        <f>_xll.qlCalendarAdvance(calendar,AK243,"1D")</f>
        <v>42891</v>
      </c>
      <c r="AL244" s="21">
        <f>_xll.qlInterestRateIndexValueDate(hiborindex,AK244)</f>
        <v>42893</v>
      </c>
      <c r="AM244" s="23">
        <f>_xll.qlIndexFixing(hiborindex,AK244)</f>
        <v>-2.307380729928212E-3</v>
      </c>
    </row>
    <row r="245" spans="37:39" x14ac:dyDescent="0.25">
      <c r="AK245" s="21">
        <f>_xll.qlCalendarAdvance(calendar,AK244,"1D")</f>
        <v>42892</v>
      </c>
      <c r="AL245" s="21">
        <f>_xll.qlInterestRateIndexValueDate(hiborindex,AK245)</f>
        <v>42894</v>
      </c>
      <c r="AM245" s="23">
        <f>_xll.qlIndexFixing(hiborindex,AK245)</f>
        <v>-2.3084237747334926E-3</v>
      </c>
    </row>
    <row r="246" spans="37:39" x14ac:dyDescent="0.25">
      <c r="AK246" s="21">
        <f>_xll.qlCalendarAdvance(calendar,AK245,"1D")</f>
        <v>42893</v>
      </c>
      <c r="AL246" s="21">
        <f>_xll.qlInterestRateIndexValueDate(hiborindex,AK246)</f>
        <v>42895</v>
      </c>
      <c r="AM246" s="23">
        <f>_xll.qlIndexFixing(hiborindex,AK246)</f>
        <v>-2.3106696040659349E-3</v>
      </c>
    </row>
    <row r="247" spans="37:39" x14ac:dyDescent="0.25">
      <c r="AK247" s="21">
        <f>_xll.qlCalendarAdvance(calendar,AK246,"1D")</f>
        <v>42894</v>
      </c>
      <c r="AL247" s="21">
        <f>_xll.qlInterestRateIndexValueDate(hiborindex,AK247)</f>
        <v>42898</v>
      </c>
      <c r="AM247" s="23">
        <f>_xll.qlIndexFixing(hiborindex,AK247)</f>
        <v>-2.3125675913035905E-3</v>
      </c>
    </row>
    <row r="248" spans="37:39" x14ac:dyDescent="0.25">
      <c r="AK248" s="21">
        <f>_xll.qlCalendarAdvance(calendar,AK247,"1D")</f>
        <v>42895</v>
      </c>
      <c r="AL248" s="21">
        <f>_xll.qlInterestRateIndexValueDate(hiborindex,AK248)</f>
        <v>42899</v>
      </c>
      <c r="AM248" s="23">
        <f>_xll.qlIndexFixing(hiborindex,AK248)</f>
        <v>-2.3135964548057449E-3</v>
      </c>
    </row>
    <row r="249" spans="37:39" x14ac:dyDescent="0.25">
      <c r="AK249" s="21">
        <f>_xll.qlCalendarAdvance(calendar,AK248,"1D")</f>
        <v>42898</v>
      </c>
      <c r="AL249" s="21">
        <f>_xll.qlInterestRateIndexValueDate(hiborindex,AK249)</f>
        <v>42900</v>
      </c>
      <c r="AM249" s="23">
        <f>_xll.qlIndexFixing(hiborindex,AK249)</f>
        <v>-2.3146224820610336E-3</v>
      </c>
    </row>
    <row r="250" spans="37:39" x14ac:dyDescent="0.25">
      <c r="AK250" s="21">
        <f>_xll.qlCalendarAdvance(calendar,AK249,"1D")</f>
        <v>42899</v>
      </c>
      <c r="AL250" s="21">
        <f>_xll.qlInterestRateIndexValueDate(hiborindex,AK250)</f>
        <v>42901</v>
      </c>
      <c r="AM250" s="23">
        <f>_xll.qlIndexFixing(hiborindex,AK250)</f>
        <v>-2.315645673072951E-3</v>
      </c>
    </row>
    <row r="251" spans="37:39" x14ac:dyDescent="0.25">
      <c r="AK251" s="21">
        <f>_xll.qlCalendarAdvance(calendar,AK250,"1D")</f>
        <v>42900</v>
      </c>
      <c r="AL251" s="21">
        <f>_xll.qlInterestRateIndexValueDate(hiborindex,AK251)</f>
        <v>42902</v>
      </c>
      <c r="AM251" s="23">
        <f>_xll.qlIndexFixing(hiborindex,AK251)</f>
        <v>-2.3179044956147116E-3</v>
      </c>
    </row>
    <row r="252" spans="37:39" x14ac:dyDescent="0.25">
      <c r="AK252" s="21">
        <f>_xll.qlCalendarAdvance(calendar,AK251,"1D")</f>
        <v>42901</v>
      </c>
      <c r="AL252" s="21">
        <f>_xll.qlInterestRateIndexValueDate(hiborindex,AK252)</f>
        <v>42905</v>
      </c>
      <c r="AM252" s="23">
        <f>_xll.qlIndexFixing(hiborindex,AK252)</f>
        <v>-2.3197100747819133E-3</v>
      </c>
    </row>
    <row r="253" spans="37:39" x14ac:dyDescent="0.25">
      <c r="AK253" s="21">
        <f>_xll.qlCalendarAdvance(calendar,AK252,"1D")</f>
        <v>42902</v>
      </c>
      <c r="AL253" s="21">
        <f>_xll.qlInterestRateIndexValueDate(hiborindex,AK253)</f>
        <v>42906</v>
      </c>
      <c r="AM253" s="23">
        <f>_xll.qlIndexFixing(hiborindex,AK253)</f>
        <v>-2.3207190846464268E-3</v>
      </c>
    </row>
    <row r="254" spans="37:39" x14ac:dyDescent="0.25">
      <c r="AK254" s="21">
        <f>_xll.qlCalendarAdvance(calendar,AK253,"1D")</f>
        <v>42905</v>
      </c>
      <c r="AL254" s="21">
        <f>_xll.qlInterestRateIndexValueDate(hiborindex,AK254)</f>
        <v>42907</v>
      </c>
      <c r="AM254" s="23">
        <f>_xll.qlIndexFixing(hiborindex,AK254)</f>
        <v>-2.3217252582942143E-3</v>
      </c>
    </row>
    <row r="255" spans="37:39" x14ac:dyDescent="0.25">
      <c r="AK255" s="21">
        <f>_xll.qlCalendarAdvance(calendar,AK254,"1D")</f>
        <v>42906</v>
      </c>
      <c r="AL255" s="21">
        <f>_xll.qlInterestRateIndexValueDate(hiborindex,AK255)</f>
        <v>42908</v>
      </c>
      <c r="AM255" s="23">
        <f>_xll.qlIndexFixing(hiborindex,AK255)</f>
        <v>-2.3227285957298626E-3</v>
      </c>
    </row>
    <row r="256" spans="37:39" x14ac:dyDescent="0.25">
      <c r="AK256" s="21">
        <f>_xll.qlCalendarAdvance(calendar,AK255,"1D")</f>
        <v>42907</v>
      </c>
      <c r="AL256" s="21">
        <f>_xll.qlInterestRateIndexValueDate(hiborindex,AK256)</f>
        <v>42909</v>
      </c>
      <c r="AM256" s="23">
        <f>_xll.qlIndexFixing(hiborindex,AK256)</f>
        <v>-2.326278471586033E-3</v>
      </c>
    </row>
    <row r="257" spans="37:39" x14ac:dyDescent="0.25">
      <c r="AK257" s="21">
        <f>_xll.qlCalendarAdvance(calendar,AK256,"1D")</f>
        <v>42908</v>
      </c>
      <c r="AL257" s="21">
        <f>_xll.qlInterestRateIndexValueDate(hiborindex,AK257)</f>
        <v>42912</v>
      </c>
      <c r="AM257" s="23">
        <f>_xll.qlIndexFixing(hiborindex,AK257)</f>
        <v>-2.3273571499439543E-3</v>
      </c>
    </row>
    <row r="258" spans="37:39" x14ac:dyDescent="0.25">
      <c r="AK258" s="21">
        <f>_xll.qlCalendarAdvance(calendar,AK257,"1D")</f>
        <v>42909</v>
      </c>
      <c r="AL258" s="21">
        <f>_xll.qlInterestRateIndexValueDate(hiborindex,AK258)</f>
        <v>42913</v>
      </c>
      <c r="AM258" s="23">
        <f>_xll.qlIndexFixing(hiborindex,AK258)</f>
        <v>-2.3277027398812965E-3</v>
      </c>
    </row>
    <row r="259" spans="37:39" x14ac:dyDescent="0.25">
      <c r="AK259" s="21">
        <f>_xll.qlCalendarAdvance(calendar,AK258,"1D")</f>
        <v>42912</v>
      </c>
      <c r="AL259" s="21">
        <f>_xll.qlInterestRateIndexValueDate(hiborindex,AK259)</f>
        <v>42914</v>
      </c>
      <c r="AM259" s="23">
        <f>_xll.qlIndexFixing(hiborindex,AK259)</f>
        <v>-2.3286890601358378E-3</v>
      </c>
    </row>
    <row r="260" spans="37:39" x14ac:dyDescent="0.25">
      <c r="AK260" s="21">
        <f>_xll.qlCalendarAdvance(calendar,AK259,"1D")</f>
        <v>42913</v>
      </c>
      <c r="AL260" s="21">
        <f>_xll.qlInterestRateIndexValueDate(hiborindex,AK260)</f>
        <v>42915</v>
      </c>
      <c r="AM260" s="23">
        <f>_xll.qlIndexFixing(hiborindex,AK260)</f>
        <v>-2.3296725442085975E-3</v>
      </c>
    </row>
    <row r="261" spans="37:39" x14ac:dyDescent="0.25">
      <c r="AK261" s="21">
        <f>_xll.qlCalendarAdvance(calendar,AK260,"1D")</f>
        <v>42914</v>
      </c>
      <c r="AL261" s="21">
        <f>_xll.qlInterestRateIndexValueDate(hiborindex,AK261)</f>
        <v>42916</v>
      </c>
      <c r="AM261" s="23">
        <f>_xll.qlIndexFixing(hiborindex,AK261)</f>
        <v>-2.3300000000601078E-3</v>
      </c>
    </row>
    <row r="262" spans="37:39" x14ac:dyDescent="0.25">
      <c r="AK262" s="21">
        <f>_xll.qlCalendarAdvance(calendar,AK261,"1D")</f>
        <v>42915</v>
      </c>
      <c r="AL262" s="21">
        <f>_xll.qlInterestRateIndexValueDate(hiborindex,AK262)</f>
        <v>42919</v>
      </c>
      <c r="AM262" s="23">
        <f>_xll.qlIndexFixing(hiborindex,AK262)</f>
        <v>-2.3328191669741427E-3</v>
      </c>
    </row>
    <row r="263" spans="37:39" x14ac:dyDescent="0.25">
      <c r="AK263" s="21">
        <f>_xll.qlCalendarAdvance(calendar,AK262,"1D")</f>
        <v>42916</v>
      </c>
      <c r="AL263" s="21">
        <f>_xll.qlInterestRateIndexValueDate(hiborindex,AK263)</f>
        <v>42920</v>
      </c>
      <c r="AM263" s="23">
        <f>_xll.qlIndexFixing(hiborindex,AK263)</f>
        <v>-2.3334865686393804E-3</v>
      </c>
    </row>
    <row r="264" spans="37:39" x14ac:dyDescent="0.25">
      <c r="AK264" s="21">
        <f>_xll.qlCalendarAdvance(calendar,AK263,"1D")</f>
        <v>42919</v>
      </c>
      <c r="AL264" s="21">
        <f>_xll.qlInterestRateIndexValueDate(hiborindex,AK264)</f>
        <v>42921</v>
      </c>
      <c r="AM264" s="23">
        <f>_xll.qlIndexFixing(hiborindex,AK264)</f>
        <v>-2.3341499850494485E-3</v>
      </c>
    </row>
    <row r="265" spans="37:39" x14ac:dyDescent="0.25">
      <c r="AK265" s="21">
        <f>_xll.qlCalendarAdvance(calendar,AK264,"1D")</f>
        <v>42920</v>
      </c>
      <c r="AL265" s="21">
        <f>_xll.qlInterestRateIndexValueDate(hiborindex,AK265)</f>
        <v>42922</v>
      </c>
      <c r="AM265" s="23">
        <f>_xll.qlIndexFixing(hiborindex,AK265)</f>
        <v>-2.3356530078037199E-3</v>
      </c>
    </row>
    <row r="266" spans="37:39" x14ac:dyDescent="0.25">
      <c r="AK266" s="21">
        <f>_xll.qlCalendarAdvance(calendar,AK265,"1D")</f>
        <v>42921</v>
      </c>
      <c r="AL266" s="21">
        <f>_xll.qlInterestRateIndexValueDate(hiborindex,AK266)</f>
        <v>42923</v>
      </c>
      <c r="AM266" s="23">
        <f>_xll.qlIndexFixing(hiborindex,AK266)</f>
        <v>-2.3358889275598978E-3</v>
      </c>
    </row>
    <row r="267" spans="37:39" x14ac:dyDescent="0.25">
      <c r="AK267" s="21">
        <f>_xll.qlCalendarAdvance(calendar,AK266,"1D")</f>
        <v>42922</v>
      </c>
      <c r="AL267" s="21">
        <f>_xll.qlInterestRateIndexValueDate(hiborindex,AK267)</f>
        <v>42926</v>
      </c>
      <c r="AM267" s="23">
        <f>_xll.qlIndexFixing(hiborindex,AK267)</f>
        <v>-2.3374072884047511E-3</v>
      </c>
    </row>
    <row r="268" spans="37:39" x14ac:dyDescent="0.25">
      <c r="AK268" s="21">
        <f>_xll.qlCalendarAdvance(calendar,AK267,"1D")</f>
        <v>42923</v>
      </c>
      <c r="AL268" s="21">
        <f>_xll.qlInterestRateIndexValueDate(hiborindex,AK268)</f>
        <v>42927</v>
      </c>
      <c r="AM268" s="23">
        <f>_xll.qlIndexFixing(hiborindex,AK268)</f>
        <v>-2.3380467933650424E-3</v>
      </c>
    </row>
    <row r="269" spans="37:39" x14ac:dyDescent="0.25">
      <c r="AK269" s="21">
        <f>_xll.qlCalendarAdvance(calendar,AK268,"1D")</f>
        <v>42926</v>
      </c>
      <c r="AL269" s="21">
        <f>_xll.qlInterestRateIndexValueDate(hiborindex,AK269)</f>
        <v>42928</v>
      </c>
      <c r="AM269" s="23">
        <f>_xll.qlIndexFixing(hiborindex,AK269)</f>
        <v>-2.338682313097968E-3</v>
      </c>
    </row>
    <row r="270" spans="37:39" x14ac:dyDescent="0.25">
      <c r="AK270" s="21">
        <f>_xll.qlCalendarAdvance(calendar,AK269,"1D")</f>
        <v>42927</v>
      </c>
      <c r="AL270" s="21">
        <f>_xll.qlInterestRateIndexValueDate(hiborindex,AK270)</f>
        <v>42929</v>
      </c>
      <c r="AM270" s="23">
        <f>_xll.qlIndexFixing(hiborindex,AK270)</f>
        <v>-2.3402062280299517E-3</v>
      </c>
    </row>
    <row r="271" spans="37:39" x14ac:dyDescent="0.25">
      <c r="AK271" s="21">
        <f>_xll.qlCalendarAdvance(calendar,AK270,"1D")</f>
        <v>42928</v>
      </c>
      <c r="AL271" s="21">
        <f>_xll.qlInterestRateIndexValueDate(hiborindex,AK271)</f>
        <v>42930</v>
      </c>
      <c r="AM271" s="23">
        <f>_xll.qlIndexFixing(hiborindex,AK271)</f>
        <v>-2.340390139896596E-3</v>
      </c>
    </row>
    <row r="272" spans="37:39" x14ac:dyDescent="0.25">
      <c r="AK272" s="21">
        <f>_xll.qlCalendarAdvance(calendar,AK271,"1D")</f>
        <v>42929</v>
      </c>
      <c r="AL272" s="21">
        <f>_xll.qlInterestRateIndexValueDate(hiborindex,AK272)</f>
        <v>42933</v>
      </c>
      <c r="AM272" s="23">
        <f>_xll.qlIndexFixing(hiborindex,AK272)</f>
        <v>-2.3418001334807076E-3</v>
      </c>
    </row>
    <row r="273" spans="37:39" x14ac:dyDescent="0.25">
      <c r="AK273" s="21">
        <f>_xll.qlCalendarAdvance(calendar,AK272,"1D")</f>
        <v>42930</v>
      </c>
      <c r="AL273" s="21">
        <f>_xll.qlInterestRateIndexValueDate(hiborindex,AK273)</f>
        <v>42934</v>
      </c>
      <c r="AM273" s="23">
        <f>_xll.qlIndexFixing(hiborindex,AK273)</f>
        <v>-2.3424117419276387E-3</v>
      </c>
    </row>
    <row r="274" spans="37:39" x14ac:dyDescent="0.25">
      <c r="AK274" s="21">
        <f>_xll.qlCalendarAdvance(calendar,AK273,"1D")</f>
        <v>42933</v>
      </c>
      <c r="AL274" s="21">
        <f>_xll.qlInterestRateIndexValueDate(hiborindex,AK274)</f>
        <v>42935</v>
      </c>
      <c r="AM274" s="23">
        <f>_xll.qlIndexFixing(hiborindex,AK274)</f>
        <v>-2.3430193651741392E-3</v>
      </c>
    </row>
    <row r="275" spans="37:39" x14ac:dyDescent="0.25">
      <c r="AK275" s="21">
        <f>_xll.qlCalendarAdvance(calendar,AK274,"1D")</f>
        <v>42934</v>
      </c>
      <c r="AL275" s="21">
        <f>_xll.qlInterestRateIndexValueDate(hiborindex,AK275)</f>
        <v>42936</v>
      </c>
      <c r="AM275" s="23">
        <f>_xll.qlIndexFixing(hiborindex,AK275)</f>
        <v>-2.3445662743711237E-3</v>
      </c>
    </row>
    <row r="276" spans="37:39" x14ac:dyDescent="0.25">
      <c r="AK276" s="21">
        <f>_xll.qlCalendarAdvance(calendar,AK275,"1D")</f>
        <v>42935</v>
      </c>
      <c r="AL276" s="21">
        <f>_xll.qlInterestRateIndexValueDate(hiborindex,AK276)</f>
        <v>42937</v>
      </c>
      <c r="AM276" s="23">
        <f>_xll.qlIndexFixing(hiborindex,AK276)</f>
        <v>-2.3446971332697882E-3</v>
      </c>
    </row>
    <row r="277" spans="37:39" x14ac:dyDescent="0.25">
      <c r="AK277" s="21">
        <f>_xll.qlCalendarAdvance(calendar,AK276,"1D")</f>
        <v>42936</v>
      </c>
      <c r="AL277" s="21">
        <f>_xll.qlInterestRateIndexValueDate(hiborindex,AK277)</f>
        <v>42940</v>
      </c>
      <c r="AM277" s="23">
        <f>_xll.qlIndexFixing(hiborindex,AK277)</f>
        <v>-2.3459977035190024E-3</v>
      </c>
    </row>
    <row r="278" spans="37:39" x14ac:dyDescent="0.25">
      <c r="AK278" s="21">
        <f>_xll.qlCalendarAdvance(calendar,AK277,"1D")</f>
        <v>42937</v>
      </c>
      <c r="AL278" s="21">
        <f>_xll.qlInterestRateIndexValueDate(hiborindex,AK278)</f>
        <v>42941</v>
      </c>
      <c r="AM278" s="23">
        <f>_xll.qlIndexFixing(hiborindex,AK278)</f>
        <v>-2.3465814156363395E-3</v>
      </c>
    </row>
    <row r="279" spans="37:39" x14ac:dyDescent="0.25">
      <c r="AK279" s="21">
        <f>_xll.qlCalendarAdvance(calendar,AK278,"1D")</f>
        <v>42940</v>
      </c>
      <c r="AL279" s="21">
        <f>_xll.qlInterestRateIndexValueDate(hiborindex,AK279)</f>
        <v>42942</v>
      </c>
      <c r="AM279" s="23">
        <f>_xll.qlIndexFixing(hiborindex,AK279)</f>
        <v>-2.3471611425777915E-3</v>
      </c>
    </row>
    <row r="280" spans="37:39" x14ac:dyDescent="0.25">
      <c r="AK280" s="21">
        <f>_xll.qlCalendarAdvance(calendar,AK279,"1D")</f>
        <v>42941</v>
      </c>
      <c r="AL280" s="21">
        <f>_xll.qlInterestRateIndexValueDate(hiborindex,AK280)</f>
        <v>42943</v>
      </c>
      <c r="AM280" s="23">
        <f>_xll.qlIndexFixing(hiborindex,AK280)</f>
        <v>-2.3487331481350064E-3</v>
      </c>
    </row>
    <row r="281" spans="37:39" x14ac:dyDescent="0.25">
      <c r="AK281" s="21">
        <f>_xll.qlCalendarAdvance(calendar,AK280,"1D")</f>
        <v>42942</v>
      </c>
      <c r="AL281" s="21">
        <f>_xll.qlInterestRateIndexValueDate(hiborindex,AK281)</f>
        <v>42944</v>
      </c>
      <c r="AM281" s="23">
        <f>_xll.qlIndexFixing(hiborindex,AK281)</f>
        <v>-2.3488099089711972E-3</v>
      </c>
    </row>
    <row r="282" spans="37:39" x14ac:dyDescent="0.25">
      <c r="AK282" s="21">
        <f>_xll.qlCalendarAdvance(calendar,AK281,"1D")</f>
        <v>42943</v>
      </c>
      <c r="AL282" s="21">
        <f>_xll.qlInterestRateIndexValueDate(hiborindex,AK282)</f>
        <v>42947</v>
      </c>
      <c r="AM282" s="23">
        <f>_xll.qlIndexFixing(hiborindex,AK282)</f>
        <v>-2.3499999997777595E-3</v>
      </c>
    </row>
    <row r="283" spans="37:39" x14ac:dyDescent="0.25">
      <c r="AK283" s="21">
        <f>_xll.qlCalendarAdvance(calendar,AK282,"1D")</f>
        <v>42944</v>
      </c>
      <c r="AL283" s="21">
        <f>_xll.qlInterestRateIndexValueDate(hiborindex,AK283)</f>
        <v>42948</v>
      </c>
      <c r="AM283" s="23">
        <f>_xll.qlIndexFixing(hiborindex,AK283)</f>
        <v>-2.3507114113595776E-3</v>
      </c>
    </row>
    <row r="284" spans="37:39" x14ac:dyDescent="0.25">
      <c r="AK284" s="21">
        <f>_xll.qlCalendarAdvance(calendar,AK283,"1D")</f>
        <v>42947</v>
      </c>
      <c r="AL284" s="21">
        <f>_xll.qlInterestRateIndexValueDate(hiborindex,AK284)</f>
        <v>42949</v>
      </c>
      <c r="AM284" s="23">
        <f>_xll.qlIndexFixing(hiborindex,AK284)</f>
        <v>-2.3514201154386954E-3</v>
      </c>
    </row>
    <row r="285" spans="37:39" x14ac:dyDescent="0.25">
      <c r="AK285" s="21">
        <f>_xll.qlCalendarAdvance(calendar,AK284,"1D")</f>
        <v>42948</v>
      </c>
      <c r="AL285" s="21">
        <f>_xll.qlInterestRateIndexValueDate(hiborindex,AK285)</f>
        <v>42950</v>
      </c>
      <c r="AM285" s="23">
        <f>_xll.qlIndexFixing(hiborindex,AK285)</f>
        <v>-2.3525423482264893E-3</v>
      </c>
    </row>
    <row r="286" spans="37:39" x14ac:dyDescent="0.25">
      <c r="AK286" s="21">
        <f>_xll.qlCalendarAdvance(calendar,AK285,"1D")</f>
        <v>42949</v>
      </c>
      <c r="AL286" s="21">
        <f>_xll.qlInterestRateIndexValueDate(hiborindex,AK286)</f>
        <v>42951</v>
      </c>
      <c r="AM286" s="23">
        <f>_xll.qlIndexFixing(hiborindex,AK286)</f>
        <v>-2.3530378372692536E-3</v>
      </c>
    </row>
    <row r="287" spans="37:39" x14ac:dyDescent="0.25">
      <c r="AK287" s="21">
        <f>_xll.qlCalendarAdvance(calendar,AK286,"1D")</f>
        <v>42950</v>
      </c>
      <c r="AL287" s="21">
        <f>_xll.qlInterestRateIndexValueDate(hiborindex,AK287)</f>
        <v>42954</v>
      </c>
      <c r="AM287" s="23">
        <f>_xll.qlIndexFixing(hiborindex,AK287)</f>
        <v>-2.354923023384576E-3</v>
      </c>
    </row>
    <row r="288" spans="37:39" x14ac:dyDescent="0.25">
      <c r="AK288" s="21">
        <f>_xll.qlCalendarAdvance(calendar,AK287,"1D")</f>
        <v>42951</v>
      </c>
      <c r="AL288" s="21">
        <f>_xll.qlInterestRateIndexValueDate(hiborindex,AK288)</f>
        <v>42955</v>
      </c>
      <c r="AM288" s="23">
        <f>_xll.qlIndexFixing(hiborindex,AK288)</f>
        <v>-2.3556154825050547E-3</v>
      </c>
    </row>
    <row r="289" spans="37:39" x14ac:dyDescent="0.25">
      <c r="AK289" s="21">
        <f>_xll.qlCalendarAdvance(calendar,AK288,"1D")</f>
        <v>42954</v>
      </c>
      <c r="AL289" s="21">
        <f>_xll.qlInterestRateIndexValueDate(hiborindex,AK289)</f>
        <v>42956</v>
      </c>
      <c r="AM289" s="23">
        <f>_xll.qlIndexFixing(hiborindex,AK289)</f>
        <v>-2.3563052341417311E-3</v>
      </c>
    </row>
    <row r="290" spans="37:39" x14ac:dyDescent="0.25">
      <c r="AK290" s="21">
        <f>_xll.qlCalendarAdvance(calendar,AK289,"1D")</f>
        <v>42955</v>
      </c>
      <c r="AL290" s="21">
        <f>_xll.qlInterestRateIndexValueDate(hiborindex,AK290)</f>
        <v>42957</v>
      </c>
      <c r="AM290" s="23">
        <f>_xll.qlIndexFixing(hiborindex,AK290)</f>
        <v>-2.3574384582099538E-3</v>
      </c>
    </row>
    <row r="291" spans="37:39" x14ac:dyDescent="0.25">
      <c r="AK291" s="21">
        <f>_xll.qlCalendarAdvance(calendar,AK290,"1D")</f>
        <v>42956</v>
      </c>
      <c r="AL291" s="21">
        <f>_xll.qlInterestRateIndexValueDate(hiborindex,AK291)</f>
        <v>42958</v>
      </c>
      <c r="AM291" s="23">
        <f>_xll.qlIndexFixing(hiborindex,AK291)</f>
        <v>-2.3579002067538155E-3</v>
      </c>
    </row>
    <row r="292" spans="37:39" x14ac:dyDescent="0.25">
      <c r="AK292" s="21">
        <f>_xll.qlCalendarAdvance(calendar,AK291,"1D")</f>
        <v>42957</v>
      </c>
      <c r="AL292" s="21">
        <f>_xll.qlInterestRateIndexValueDate(hiborindex,AK292)</f>
        <v>42961</v>
      </c>
      <c r="AM292" s="23">
        <f>_xll.qlIndexFixing(hiborindex,AK292)</f>
        <v>-2.3597133801821157E-3</v>
      </c>
    </row>
    <row r="293" spans="37:39" x14ac:dyDescent="0.25">
      <c r="AK293" s="21">
        <f>_xll.qlCalendarAdvance(calendar,AK292,"1D")</f>
        <v>42958</v>
      </c>
      <c r="AL293" s="21">
        <f>_xll.qlInterestRateIndexValueDate(hiborindex,AK293)</f>
        <v>42962</v>
      </c>
      <c r="AM293" s="23">
        <f>_xll.qlIndexFixing(hiborindex,AK293)</f>
        <v>-2.3603868869809252E-3</v>
      </c>
    </row>
    <row r="294" spans="37:39" x14ac:dyDescent="0.25">
      <c r="AK294" s="21">
        <f>_xll.qlCalendarAdvance(calendar,AK293,"1D")</f>
        <v>42961</v>
      </c>
      <c r="AL294" s="21">
        <f>_xll.qlInterestRateIndexValueDate(hiborindex,AK294)</f>
        <v>42963</v>
      </c>
      <c r="AM294" s="23">
        <f>_xll.qlIndexFixing(hiborindex,AK294)</f>
        <v>-2.3610576863165689E-3</v>
      </c>
    </row>
    <row r="295" spans="37:39" x14ac:dyDescent="0.25">
      <c r="AK295" s="21">
        <f>_xll.qlCalendarAdvance(calendar,AK294,"1D")</f>
        <v>42962</v>
      </c>
      <c r="AL295" s="21">
        <f>_xll.qlInterestRateIndexValueDate(hiborindex,AK295)</f>
        <v>42964</v>
      </c>
      <c r="AM295" s="23">
        <f>_xll.qlIndexFixing(hiborindex,AK295)</f>
        <v>-2.3622033296686398E-3</v>
      </c>
    </row>
    <row r="296" spans="37:39" x14ac:dyDescent="0.25">
      <c r="AK296" s="21">
        <f>_xll.qlCalendarAdvance(calendar,AK295,"1D")</f>
        <v>42963</v>
      </c>
      <c r="AL296" s="21">
        <f>_xll.qlInterestRateIndexValueDate(hiborindex,AK296)</f>
        <v>42965</v>
      </c>
      <c r="AM296" s="23">
        <f>_xll.qlIndexFixing(hiborindex,AK296)</f>
        <v>-2.3626306277816757E-3</v>
      </c>
    </row>
    <row r="297" spans="37:39" x14ac:dyDescent="0.25">
      <c r="AK297" s="21">
        <f>_xll.qlCalendarAdvance(calendar,AK296,"1D")</f>
        <v>42964</v>
      </c>
      <c r="AL297" s="21">
        <f>_xll.qlInterestRateIndexValueDate(hiborindex,AK297)</f>
        <v>42968</v>
      </c>
      <c r="AM297" s="23">
        <f>_xll.qlIndexFixing(hiborindex,AK297)</f>
        <v>-2.3643710711452495E-3</v>
      </c>
    </row>
    <row r="298" spans="37:39" x14ac:dyDescent="0.25">
      <c r="AK298" s="21">
        <f>_xll.qlCalendarAdvance(calendar,AK297,"1D")</f>
        <v>42965</v>
      </c>
      <c r="AL298" s="21">
        <f>_xll.qlInterestRateIndexValueDate(hiborindex,AK298)</f>
        <v>42969</v>
      </c>
      <c r="AM298" s="23">
        <f>_xll.qlIndexFixing(hiborindex,AK298)</f>
        <v>-2.3650256257607585E-3</v>
      </c>
    </row>
    <row r="299" spans="37:39" x14ac:dyDescent="0.25">
      <c r="AK299" s="21">
        <f>_xll.qlCalendarAdvance(calendar,AK298,"1D")</f>
        <v>42968</v>
      </c>
      <c r="AL299" s="21">
        <f>_xll.qlInterestRateIndexValueDate(hiborindex,AK299)</f>
        <v>42970</v>
      </c>
      <c r="AM299" s="23">
        <f>_xll.qlIndexFixing(hiborindex,AK299)</f>
        <v>-2.3656774729317819E-3</v>
      </c>
    </row>
    <row r="300" spans="37:39" x14ac:dyDescent="0.25">
      <c r="AK300" s="21">
        <f>_xll.qlCalendarAdvance(calendar,AK299,"1D")</f>
        <v>42969</v>
      </c>
      <c r="AL300" s="21">
        <f>_xll.qlInterestRateIndexValueDate(hiborindex,AK300)</f>
        <v>42971</v>
      </c>
      <c r="AM300" s="23">
        <f>_xll.qlIndexFixing(hiborindex,AK300)</f>
        <v>-2.3668369635723089E-3</v>
      </c>
    </row>
    <row r="301" spans="37:39" x14ac:dyDescent="0.25">
      <c r="AK301" s="21">
        <f>_xll.qlCalendarAdvance(calendar,AK300,"1D")</f>
        <v>42970</v>
      </c>
      <c r="AL301" s="21">
        <f>_xll.qlInterestRateIndexValueDate(hiborindex,AK301)</f>
        <v>42972</v>
      </c>
      <c r="AM301" s="23">
        <f>_xll.qlIndexFixing(hiborindex,AK301)</f>
        <v>-2.3672291013157407E-3</v>
      </c>
    </row>
    <row r="302" spans="37:39" x14ac:dyDescent="0.25">
      <c r="AK302" s="21">
        <f>_xll.qlCalendarAdvance(calendar,AK301,"1D")</f>
        <v>42971</v>
      </c>
      <c r="AL302" s="21">
        <f>_xll.qlInterestRateIndexValueDate(hiborindex,AK302)</f>
        <v>42975</v>
      </c>
      <c r="AM302" s="23">
        <f>_xll.qlIndexFixing(hiborindex,AK302)</f>
        <v>-2.3688960972238714E-3</v>
      </c>
    </row>
    <row r="303" spans="37:39" x14ac:dyDescent="0.25">
      <c r="AK303" s="21">
        <f>_xll.qlCalendarAdvance(calendar,AK302,"1D")</f>
        <v>42972</v>
      </c>
      <c r="AL303" s="21">
        <f>_xll.qlInterestRateIndexValueDate(hiborindex,AK303)</f>
        <v>42976</v>
      </c>
      <c r="AM303" s="23">
        <f>_xll.qlIndexFixing(hiborindex,AK303)</f>
        <v>-2.3692688233456494E-3</v>
      </c>
    </row>
    <row r="304" spans="37:39" x14ac:dyDescent="0.25">
      <c r="AK304" s="21">
        <f>_xll.qlCalendarAdvance(calendar,AK303,"1D")</f>
        <v>42975</v>
      </c>
      <c r="AL304" s="21">
        <f>_xll.qlInterestRateIndexValueDate(hiborindex,AK304)</f>
        <v>42977</v>
      </c>
      <c r="AM304" s="23">
        <f>_xll.qlIndexFixing(hiborindex,AK304)</f>
        <v>-2.3696368172358082E-3</v>
      </c>
    </row>
    <row r="305" spans="37:39" x14ac:dyDescent="0.25">
      <c r="AK305" s="21">
        <f>_xll.qlCalendarAdvance(calendar,AK304,"1D")</f>
        <v>42976</v>
      </c>
      <c r="AL305" s="21">
        <f>_xll.qlInterestRateIndexValueDate(hiborindex,AK305)</f>
        <v>42978</v>
      </c>
      <c r="AM305" s="23">
        <f>_xll.qlIndexFixing(hiborindex,AK305)</f>
        <v>-2.3700000002899809E-3</v>
      </c>
    </row>
    <row r="306" spans="37:39" x14ac:dyDescent="0.25">
      <c r="AK306" s="21">
        <f>_xll.qlCalendarAdvance(calendar,AK305,"1D")</f>
        <v>42977</v>
      </c>
      <c r="AL306" s="21">
        <f>_xll.qlInterestRateIndexValueDate(hiborindex,AK306)</f>
        <v>42979</v>
      </c>
      <c r="AM306" s="23">
        <f>_xll.qlIndexFixing(hiborindex,AK306)</f>
        <v>-2.3707052471985878E-3</v>
      </c>
    </row>
    <row r="307" spans="37:39" x14ac:dyDescent="0.25">
      <c r="AK307" s="21">
        <f>_xll.qlCalendarAdvance(calendar,AK306,"1D")</f>
        <v>42978</v>
      </c>
      <c r="AL307" s="21">
        <f>_xll.qlInterestRateIndexValueDate(hiborindex,AK307)</f>
        <v>42982</v>
      </c>
      <c r="AM307" s="23">
        <f>_xll.qlIndexFixing(hiborindex,AK307)</f>
        <v>-2.3721772616796294E-3</v>
      </c>
    </row>
    <row r="308" spans="37:39" x14ac:dyDescent="0.25">
      <c r="AK308" s="21">
        <f>_xll.qlCalendarAdvance(calendar,AK307,"1D")</f>
        <v>42979</v>
      </c>
      <c r="AL308" s="21">
        <f>_xll.qlInterestRateIndexValueDate(hiborindex,AK308)</f>
        <v>42983</v>
      </c>
      <c r="AM308" s="23">
        <f>_xll.qlIndexFixing(hiborindex,AK308)</f>
        <v>-2.373515097780189E-3</v>
      </c>
    </row>
    <row r="309" spans="37:39" x14ac:dyDescent="0.25">
      <c r="AK309" s="21">
        <f>_xll.qlCalendarAdvance(calendar,AK308,"1D")</f>
        <v>42982</v>
      </c>
      <c r="AL309" s="21">
        <f>_xll.qlInterestRateIndexValueDate(hiborindex,AK309)</f>
        <v>42984</v>
      </c>
      <c r="AM309" s="23">
        <f>_xll.qlIndexFixing(hiborindex,AK309)</f>
        <v>-2.3742147761679029E-3</v>
      </c>
    </row>
    <row r="310" spans="37:39" x14ac:dyDescent="0.25">
      <c r="AK310" s="21">
        <f>_xll.qlCalendarAdvance(calendar,AK309,"1D")</f>
        <v>42983</v>
      </c>
      <c r="AL310" s="21">
        <f>_xll.qlInterestRateIndexValueDate(hiborindex,AK310)</f>
        <v>42985</v>
      </c>
      <c r="AM310" s="23">
        <f>_xll.qlIndexFixing(hiborindex,AK310)</f>
        <v>-2.3749133408544412E-3</v>
      </c>
    </row>
    <row r="311" spans="37:39" x14ac:dyDescent="0.25">
      <c r="AK311" s="21">
        <f>_xll.qlCalendarAdvance(calendar,AK310,"1D")</f>
        <v>42984</v>
      </c>
      <c r="AL311" s="21">
        <f>_xll.qlInterestRateIndexValueDate(hiborindex,AK311)</f>
        <v>42986</v>
      </c>
      <c r="AM311" s="23">
        <f>_xll.qlIndexFixing(hiborindex,AK311)</f>
        <v>-2.3756107918424542E-3</v>
      </c>
    </row>
    <row r="312" spans="37:39" x14ac:dyDescent="0.25">
      <c r="AK312" s="21">
        <f>_xll.qlCalendarAdvance(calendar,AK311,"1D")</f>
        <v>42985</v>
      </c>
      <c r="AL312" s="21">
        <f>_xll.qlInterestRateIndexValueDate(hiborindex,AK312)</f>
        <v>42989</v>
      </c>
      <c r="AM312" s="23">
        <f>_xll.qlIndexFixing(hiborindex,AK312)</f>
        <v>-2.377054109107061E-3</v>
      </c>
    </row>
    <row r="313" spans="37:39" x14ac:dyDescent="0.25">
      <c r="AK313" s="21">
        <f>_xll.qlCalendarAdvance(calendar,AK312,"1D")</f>
        <v>42986</v>
      </c>
      <c r="AL313" s="21">
        <f>_xll.qlInterestRateIndexValueDate(hiborindex,AK313)</f>
        <v>42990</v>
      </c>
      <c r="AM313" s="23">
        <f>_xll.qlIndexFixing(hiborindex,AK313)</f>
        <v>-2.3783894588202898E-3</v>
      </c>
    </row>
    <row r="314" spans="37:39" x14ac:dyDescent="0.25">
      <c r="AK314" s="21">
        <f>_xll.qlCalendarAdvance(calendar,AK313,"1D")</f>
        <v>42989</v>
      </c>
      <c r="AL314" s="21">
        <f>_xll.qlInterestRateIndexValueDate(hiborindex,AK314)</f>
        <v>42991</v>
      </c>
      <c r="AM314" s="23">
        <f>_xll.qlIndexFixing(hiborindex,AK314)</f>
        <v>-2.379081341327157E-3</v>
      </c>
    </row>
    <row r="315" spans="37:39" x14ac:dyDescent="0.25">
      <c r="AK315" s="21">
        <f>_xll.qlCalendarAdvance(calendar,AK314,"1D")</f>
        <v>42990</v>
      </c>
      <c r="AL315" s="21">
        <f>_xll.qlInterestRateIndexValueDate(hiborindex,AK315)</f>
        <v>42992</v>
      </c>
      <c r="AM315" s="23">
        <f>_xll.qlIndexFixing(hiborindex,AK315)</f>
        <v>-2.3797721101421225E-3</v>
      </c>
    </row>
    <row r="316" spans="37:39" x14ac:dyDescent="0.25">
      <c r="AK316" s="21">
        <f>_xll.qlCalendarAdvance(calendar,AK315,"1D")</f>
        <v>42991</v>
      </c>
      <c r="AL316" s="21">
        <f>_xll.qlInterestRateIndexValueDate(hiborindex,AK316)</f>
        <v>42993</v>
      </c>
      <c r="AM316" s="23">
        <f>_xll.qlIndexFixing(hiborindex,AK316)</f>
        <v>-2.3804617652658498E-3</v>
      </c>
    </row>
    <row r="317" spans="37:39" x14ac:dyDescent="0.25">
      <c r="AK317" s="21">
        <f>_xll.qlCalendarAdvance(calendar,AK316,"1D")</f>
        <v>42992</v>
      </c>
      <c r="AL317" s="21">
        <f>_xll.qlInterestRateIndexValueDate(hiborindex,AK317)</f>
        <v>42996</v>
      </c>
      <c r="AM317" s="23">
        <f>_xll.qlIndexFixing(hiborindex,AK317)</f>
        <v>-2.3818766855634786E-3</v>
      </c>
    </row>
    <row r="318" spans="37:39" x14ac:dyDescent="0.25">
      <c r="AK318" s="21">
        <f>_xll.qlCalendarAdvance(calendar,AK317,"1D")</f>
        <v>42993</v>
      </c>
      <c r="AL318" s="21">
        <f>_xll.qlInterestRateIndexValueDate(hiborindex,AK318)</f>
        <v>42997</v>
      </c>
      <c r="AM318" s="23">
        <f>_xll.qlIndexFixing(hiborindex,AK318)</f>
        <v>-2.3832092488693499E-3</v>
      </c>
    </row>
    <row r="319" spans="37:39" x14ac:dyDescent="0.25">
      <c r="AK319" s="21">
        <f>_xll.qlCalendarAdvance(calendar,AK318,"1D")</f>
        <v>42996</v>
      </c>
      <c r="AL319" s="21">
        <f>_xll.qlInterestRateIndexValueDate(hiborindex,AK319)</f>
        <v>42998</v>
      </c>
      <c r="AM319" s="23">
        <f>_xll.qlIndexFixing(hiborindex,AK319)</f>
        <v>-2.3838933355536658E-3</v>
      </c>
    </row>
    <row r="320" spans="37:39" x14ac:dyDescent="0.25">
      <c r="AK320" s="21">
        <f>_xll.qlCalendarAdvance(calendar,AK319,"1D")</f>
        <v>42997</v>
      </c>
      <c r="AL320" s="21">
        <f>_xll.qlInterestRateIndexValueDate(hiborindex,AK320)</f>
        <v>42999</v>
      </c>
      <c r="AM320" s="23">
        <f>_xll.qlIndexFixing(hiborindex,AK320)</f>
        <v>-2.3845763085529261E-3</v>
      </c>
    </row>
    <row r="321" spans="37:39" x14ac:dyDescent="0.25">
      <c r="AK321" s="21">
        <f>_xll.qlCalendarAdvance(calendar,AK320,"1D")</f>
        <v>42998</v>
      </c>
      <c r="AL321" s="21">
        <f>_xll.qlInterestRateIndexValueDate(hiborindex,AK321)</f>
        <v>43000</v>
      </c>
      <c r="AM321" s="23">
        <f>_xll.qlIndexFixing(hiborindex,AK321)</f>
        <v>-2.3852581678695593E-3</v>
      </c>
    </row>
    <row r="322" spans="37:39" x14ac:dyDescent="0.25">
      <c r="AK322" s="21">
        <f>_xll.qlCalendarAdvance(calendar,AK321,"1D")</f>
        <v>42999</v>
      </c>
      <c r="AL322" s="21">
        <f>_xll.qlInterestRateIndexValueDate(hiborindex,AK322)</f>
        <v>43003</v>
      </c>
      <c r="AM322" s="23">
        <f>_xll.qlIndexFixing(hiborindex,AK322)</f>
        <v>-2.386644991445488E-3</v>
      </c>
    </row>
    <row r="323" spans="37:39" x14ac:dyDescent="0.25">
      <c r="AK323" s="21">
        <f>_xll.qlCalendarAdvance(calendar,AK322,"1D")</f>
        <v>43000</v>
      </c>
      <c r="AL323" s="21">
        <f>_xll.qlInterestRateIndexValueDate(hiborindex,AK323)</f>
        <v>43004</v>
      </c>
      <c r="AM323" s="23">
        <f>_xll.qlIndexFixing(hiborindex,AK323)</f>
        <v>-2.3879744683250616E-3</v>
      </c>
    </row>
    <row r="324" spans="37:39" x14ac:dyDescent="0.25">
      <c r="AK324" s="21">
        <f>_xll.qlCalendarAdvance(calendar,AK323,"1D")</f>
        <v>43003</v>
      </c>
      <c r="AL324" s="21">
        <f>_xll.qlInterestRateIndexValueDate(hiborindex,AK324)</f>
        <v>43005</v>
      </c>
      <c r="AM324" s="23">
        <f>_xll.qlIndexFixing(hiborindex,AK324)</f>
        <v>-2.38865075924181E-3</v>
      </c>
    </row>
    <row r="325" spans="37:39" x14ac:dyDescent="0.25">
      <c r="AK325" s="21">
        <f>_xll.qlCalendarAdvance(calendar,AK324,"1D")</f>
        <v>43004</v>
      </c>
      <c r="AL325" s="21">
        <f>_xll.qlInterestRateIndexValueDate(hiborindex,AK325)</f>
        <v>43006</v>
      </c>
      <c r="AM325" s="23">
        <f>_xll.qlIndexFixing(hiborindex,AK325)</f>
        <v>-2.3893259364825567E-3</v>
      </c>
    </row>
    <row r="326" spans="37:39" x14ac:dyDescent="0.25">
      <c r="AK326" s="21">
        <f>_xll.qlCalendarAdvance(calendar,AK325,"1D")</f>
        <v>43005</v>
      </c>
      <c r="AL326" s="21">
        <f>_xll.qlInterestRateIndexValueDate(hiborindex,AK326)</f>
        <v>43007</v>
      </c>
      <c r="AM326" s="23">
        <f>_xll.qlIndexFixing(hiborindex,AK326)</f>
        <v>-2.3900000000479631E-3</v>
      </c>
    </row>
    <row r="327" spans="37:39" x14ac:dyDescent="0.25">
      <c r="AK327" s="21">
        <f>_xll.qlCalendarAdvance(calendar,AK326,"1D")</f>
        <v>43006</v>
      </c>
      <c r="AL327" s="21">
        <f>_xll.qlInterestRateIndexValueDate(hiborindex,AK327)</f>
        <v>43010</v>
      </c>
      <c r="AM327" s="23">
        <f>_xll.qlIndexFixing(hiborindex,AK327)</f>
        <v>-2.3903250194816216E-3</v>
      </c>
    </row>
    <row r="328" spans="37:39" x14ac:dyDescent="0.25">
      <c r="AK328" s="21">
        <f>_xll.qlCalendarAdvance(calendar,AK327,"1D")</f>
        <v>43007</v>
      </c>
      <c r="AL328" s="21">
        <f>_xll.qlInterestRateIndexValueDate(hiborindex,AK328)</f>
        <v>43011</v>
      </c>
      <c r="AM328" s="23">
        <f>_xll.qlIndexFixing(hiborindex,AK328)</f>
        <v>-2.3903228437670821E-3</v>
      </c>
    </row>
    <row r="329" spans="37:39" x14ac:dyDescent="0.25">
      <c r="AK329" s="21">
        <f>_xll.qlCalendarAdvance(calendar,AK328,"1D")</f>
        <v>43010</v>
      </c>
      <c r="AL329" s="21">
        <f>_xll.qlInterestRateIndexValueDate(hiborindex,AK329)</f>
        <v>43012</v>
      </c>
      <c r="AM329" s="23">
        <f>_xll.qlIndexFixing(hiborindex,AK329)</f>
        <v>-2.3903807454509693E-3</v>
      </c>
    </row>
    <row r="330" spans="37:39" x14ac:dyDescent="0.25">
      <c r="AK330" s="21">
        <f>_xll.qlCalendarAdvance(calendar,AK329,"1D")</f>
        <v>43011</v>
      </c>
      <c r="AL330" s="21">
        <f>_xll.qlInterestRateIndexValueDate(hiborindex,AK330)</f>
        <v>43013</v>
      </c>
      <c r="AM330" s="23">
        <f>_xll.qlIndexFixing(hiborindex,AK330)</f>
        <v>-2.3904340700987435E-3</v>
      </c>
    </row>
    <row r="331" spans="37:39" x14ac:dyDescent="0.25">
      <c r="AK331" s="21">
        <f>_xll.qlCalendarAdvance(calendar,AK330,"1D")</f>
        <v>43012</v>
      </c>
      <c r="AL331" s="21">
        <f>_xll.qlInterestRateIndexValueDate(hiborindex,AK331)</f>
        <v>43014</v>
      </c>
      <c r="AM331" s="23">
        <f>_xll.qlIndexFixing(hiborindex,AK331)</f>
        <v>-2.3904828177104052E-3</v>
      </c>
    </row>
    <row r="332" spans="37:39" x14ac:dyDescent="0.25">
      <c r="AK332" s="21">
        <f>_xll.qlCalendarAdvance(calendar,AK331,"1D")</f>
        <v>43013</v>
      </c>
      <c r="AL332" s="21">
        <f>_xll.qlInterestRateIndexValueDate(hiborindex,AK332)</f>
        <v>43017</v>
      </c>
      <c r="AM332" s="23">
        <f>_xll.qlIndexFixing(hiborindex,AK332)</f>
        <v>-2.3906015983317878E-3</v>
      </c>
    </row>
    <row r="333" spans="37:39" x14ac:dyDescent="0.25">
      <c r="AK333" s="21">
        <f>_xll.qlCalendarAdvance(calendar,AK332,"1D")</f>
        <v>43014</v>
      </c>
      <c r="AL333" s="21">
        <f>_xll.qlInterestRateIndexValueDate(hiborindex,AK333)</f>
        <v>43018</v>
      </c>
      <c r="AM333" s="23">
        <f>_xll.qlIndexFixing(hiborindex,AK333)</f>
        <v>-2.3906320378022927E-3</v>
      </c>
    </row>
    <row r="334" spans="37:39" x14ac:dyDescent="0.25">
      <c r="AK334" s="21">
        <f>_xll.qlCalendarAdvance(calendar,AK333,"1D")</f>
        <v>43017</v>
      </c>
      <c r="AL334" s="21">
        <f>_xll.qlInterestRateIndexValueDate(hiborindex,AK334)</f>
        <v>43019</v>
      </c>
      <c r="AM334" s="23">
        <f>_xll.qlIndexFixing(hiborindex,AK334)</f>
        <v>-2.3906579002382217E-3</v>
      </c>
    </row>
    <row r="335" spans="37:39" x14ac:dyDescent="0.25">
      <c r="AK335" s="21">
        <f>_xll.qlCalendarAdvance(calendar,AK334,"1D")</f>
        <v>43018</v>
      </c>
      <c r="AL335" s="21">
        <f>_xll.qlInterestRateIndexValueDate(hiborindex,AK335)</f>
        <v>43020</v>
      </c>
      <c r="AM335" s="23">
        <f>_xll.qlIndexFixing(hiborindex,AK335)</f>
        <v>-2.3906791856393556E-3</v>
      </c>
    </row>
    <row r="336" spans="37:39" x14ac:dyDescent="0.25">
      <c r="AK336" s="21">
        <f>_xll.qlCalendarAdvance(calendar,AK335,"1D")</f>
        <v>43019</v>
      </c>
      <c r="AL336" s="21">
        <f>_xll.qlInterestRateIndexValueDate(hiborindex,AK336)</f>
        <v>43021</v>
      </c>
      <c r="AM336" s="23">
        <f>_xll.qlIndexFixing(hiborindex,AK336)</f>
        <v>-2.3906958940067926E-3</v>
      </c>
    </row>
    <row r="337" spans="37:39" x14ac:dyDescent="0.25">
      <c r="AK337" s="21">
        <f>_xll.qlCalendarAdvance(calendar,AK336,"1D")</f>
        <v>43020</v>
      </c>
      <c r="AL337" s="21">
        <f>_xll.qlInterestRateIndexValueDate(hiborindex,AK337)</f>
        <v>43024</v>
      </c>
      <c r="AM337" s="23">
        <f>_xll.qlIndexFixing(hiborindex,AK337)</f>
        <v>-2.3907185569018697E-3</v>
      </c>
    </row>
    <row r="338" spans="37:39" x14ac:dyDescent="0.25">
      <c r="AK338" s="21">
        <f>_xll.qlCalendarAdvance(calendar,AK337,"1D")</f>
        <v>43021</v>
      </c>
      <c r="AL338" s="21">
        <f>_xll.qlInterestRateIndexValueDate(hiborindex,AK338)</f>
        <v>43025</v>
      </c>
      <c r="AM338" s="23">
        <f>_xll.qlIndexFixing(hiborindex,AK338)</f>
        <v>-2.3907169571321025E-3</v>
      </c>
    </row>
    <row r="339" spans="37:39" x14ac:dyDescent="0.25">
      <c r="AK339" s="21">
        <f>_xll.qlCalendarAdvance(calendar,AK338,"1D")</f>
        <v>43024</v>
      </c>
      <c r="AL339" s="21">
        <f>_xll.qlInterestRateIndexValueDate(hiborindex,AK339)</f>
        <v>43026</v>
      </c>
      <c r="AM339" s="23">
        <f>_xll.qlIndexFixing(hiborindex,AK339)</f>
        <v>-2.3907107803281986E-3</v>
      </c>
    </row>
    <row r="340" spans="37:39" x14ac:dyDescent="0.25">
      <c r="AK340" s="21">
        <f>_xll.qlCalendarAdvance(calendar,AK339,"1D")</f>
        <v>43025</v>
      </c>
      <c r="AL340" s="21">
        <f>_xll.qlInterestRateIndexValueDate(hiborindex,AK340)</f>
        <v>43027</v>
      </c>
      <c r="AM340" s="23">
        <f>_xll.qlIndexFixing(hiborindex,AK340)</f>
        <v>-2.3907000264905983E-3</v>
      </c>
    </row>
    <row r="341" spans="37:39" x14ac:dyDescent="0.25">
      <c r="AK341" s="21">
        <f>_xll.qlCalendarAdvance(calendar,AK340,"1D")</f>
        <v>43026</v>
      </c>
      <c r="AL341" s="21">
        <f>_xll.qlInterestRateIndexValueDate(hiborindex,AK341)</f>
        <v>43028</v>
      </c>
      <c r="AM341" s="23">
        <f>_xll.qlIndexFixing(hiborindex,AK341)</f>
        <v>-2.3906846956179826E-3</v>
      </c>
    </row>
    <row r="342" spans="37:39" x14ac:dyDescent="0.25">
      <c r="AK342" s="21">
        <f>_xll.qlCalendarAdvance(calendar,AK341,"1D")</f>
        <v>43027</v>
      </c>
      <c r="AL342" s="21">
        <f>_xll.qlInterestRateIndexValueDate(hiborindex,AK342)</f>
        <v>43031</v>
      </c>
      <c r="AM342" s="23">
        <f>_xll.qlIndexFixing(hiborindex,AK342)</f>
        <v>-2.3906112407955384E-3</v>
      </c>
    </row>
    <row r="343" spans="37:39" x14ac:dyDescent="0.25">
      <c r="AK343" s="21">
        <f>_xll.qlCalendarAdvance(calendar,AK342,"1D")</f>
        <v>43028</v>
      </c>
      <c r="AL343" s="21">
        <f>_xll.qlInterestRateIndexValueDate(hiborindex,AK343)</f>
        <v>43032</v>
      </c>
      <c r="AM343" s="23">
        <f>_xll.qlIndexFixing(hiborindex,AK343)</f>
        <v>-2.3905776017850602E-3</v>
      </c>
    </row>
    <row r="344" spans="37:39" x14ac:dyDescent="0.25">
      <c r="AK344" s="21">
        <f>_xll.qlCalendarAdvance(calendar,AK343,"1D")</f>
        <v>43031</v>
      </c>
      <c r="AL344" s="21">
        <f>_xll.qlInterestRateIndexValueDate(hiborindex,AK344)</f>
        <v>43033</v>
      </c>
      <c r="AM344" s="23">
        <f>_xll.qlIndexFixing(hiborindex,AK344)</f>
        <v>-2.3905393857400065E-3</v>
      </c>
    </row>
    <row r="345" spans="37:39" x14ac:dyDescent="0.25">
      <c r="AK345" s="21">
        <f>_xll.qlCalendarAdvance(calendar,AK344,"1D")</f>
        <v>43032</v>
      </c>
      <c r="AL345" s="21">
        <f>_xll.qlInterestRateIndexValueDate(hiborindex,AK345)</f>
        <v>43034</v>
      </c>
      <c r="AM345" s="23">
        <f>_xll.qlIndexFixing(hiborindex,AK345)</f>
        <v>-2.3904965926588397E-3</v>
      </c>
    </row>
    <row r="346" spans="37:39" x14ac:dyDescent="0.25">
      <c r="AK346" s="21">
        <f>_xll.qlCalendarAdvance(calendar,AK345,"1D")</f>
        <v>43033</v>
      </c>
      <c r="AL346" s="21">
        <f>_xll.qlInterestRateIndexValueDate(hiborindex,AK346)</f>
        <v>43035</v>
      </c>
      <c r="AM346" s="23">
        <f>_xll.qlIndexFixing(hiborindex,AK346)</f>
        <v>-2.3904492225424391E-3</v>
      </c>
    </row>
    <row r="347" spans="37:39" x14ac:dyDescent="0.25">
      <c r="AK347" s="21">
        <f>_xll.qlCalendarAdvance(calendar,AK346,"1D")</f>
        <v>43034</v>
      </c>
      <c r="AL347" s="21">
        <f>_xll.qlInterestRateIndexValueDate(hiborindex,AK347)</f>
        <v>43038</v>
      </c>
      <c r="AM347" s="23">
        <f>_xll.qlIndexFixing(hiborindex,AK347)</f>
        <v>-2.3902796499763405E-3</v>
      </c>
    </row>
    <row r="348" spans="37:39" x14ac:dyDescent="0.25">
      <c r="AK348" s="21">
        <f>_xll.qlCalendarAdvance(calendar,AK347,"1D")</f>
        <v>43035</v>
      </c>
      <c r="AL348" s="21">
        <f>_xll.qlInterestRateIndexValueDate(hiborindex,AK348)</f>
        <v>43039</v>
      </c>
      <c r="AM348" s="23">
        <f>_xll.qlIndexFixing(hiborindex,AK348)</f>
        <v>-2.3900000001952485E-3</v>
      </c>
    </row>
    <row r="349" spans="37:39" x14ac:dyDescent="0.25">
      <c r="AK349" s="21">
        <f>_xll.qlCalendarAdvance(calendar,AK348,"1D")</f>
        <v>43038</v>
      </c>
      <c r="AL349" s="21">
        <f>_xll.qlInterestRateIndexValueDate(hiborindex,AK349)</f>
        <v>43040</v>
      </c>
      <c r="AM349" s="23">
        <f>_xll.qlIndexFixing(hiborindex,AK349)</f>
        <v>-2.3900221893797618E-3</v>
      </c>
    </row>
    <row r="350" spans="37:39" x14ac:dyDescent="0.25">
      <c r="AK350" s="21">
        <f>_xll.qlCalendarAdvance(calendar,AK349,"1D")</f>
        <v>43039</v>
      </c>
      <c r="AL350" s="21">
        <f>_xll.qlInterestRateIndexValueDate(hiborindex,AK350)</f>
        <v>43041</v>
      </c>
      <c r="AM350" s="23">
        <f>_xll.qlIndexFixing(hiborindex,AK350)</f>
        <v>-2.3900998043336831E-3</v>
      </c>
    </row>
    <row r="351" spans="37:39" x14ac:dyDescent="0.25">
      <c r="AK351" s="21">
        <f>_xll.qlCalendarAdvance(calendar,AK350,"1D")</f>
        <v>43040</v>
      </c>
      <c r="AL351" s="21">
        <f>_xll.qlInterestRateIndexValueDate(hiborindex,AK351)</f>
        <v>43042</v>
      </c>
      <c r="AM351" s="23">
        <f>_xll.qlIndexFixing(hiborindex,AK351)</f>
        <v>-2.390143993502692E-3</v>
      </c>
    </row>
    <row r="352" spans="37:39" x14ac:dyDescent="0.25">
      <c r="AK352" s="21">
        <f>_xll.qlCalendarAdvance(calendar,AK351,"1D")</f>
        <v>43041</v>
      </c>
      <c r="AL352" s="21">
        <f>_xll.qlInterestRateIndexValueDate(hiborindex,AK352)</f>
        <v>43045</v>
      </c>
      <c r="AM352" s="23">
        <f>_xll.qlIndexFixing(hiborindex,AK352)</f>
        <v>-2.3902456224559783E-3</v>
      </c>
    </row>
    <row r="353" spans="37:39" x14ac:dyDescent="0.25">
      <c r="AK353" s="21">
        <f>_xll.qlCalendarAdvance(calendar,AK352,"1D")</f>
        <v>43042</v>
      </c>
      <c r="AL353" s="21">
        <f>_xll.qlInterestRateIndexValueDate(hiborindex,AK353)</f>
        <v>43046</v>
      </c>
      <c r="AM353" s="23">
        <f>_xll.qlIndexFixing(hiborindex,AK353)</f>
        <v>-2.3902826641842593E-3</v>
      </c>
    </row>
    <row r="354" spans="37:39" x14ac:dyDescent="0.25">
      <c r="AK354" s="21">
        <f>_xll.qlCalendarAdvance(calendar,AK353,"1D")</f>
        <v>43045</v>
      </c>
      <c r="AL354" s="21">
        <f>_xll.qlInterestRateIndexValueDate(hiborindex,AK354)</f>
        <v>43047</v>
      </c>
      <c r="AM354" s="23">
        <f>_xll.qlIndexFixing(hiborindex,AK354)</f>
        <v>-2.3903078103571381E-3</v>
      </c>
    </row>
    <row r="355" spans="37:39" x14ac:dyDescent="0.25">
      <c r="AK355" s="21">
        <f>_xll.qlCalendarAdvance(calendar,AK354,"1D")</f>
        <v>43046</v>
      </c>
      <c r="AL355" s="21">
        <f>_xll.qlInterestRateIndexValueDate(hiborindex,AK355)</f>
        <v>43048</v>
      </c>
      <c r="AM355" s="23">
        <f>_xll.qlIndexFixing(hiborindex,AK355)</f>
        <v>-2.3903291479312767E-3</v>
      </c>
    </row>
    <row r="356" spans="37:39" x14ac:dyDescent="0.25">
      <c r="AK356" s="21">
        <f>_xll.qlCalendarAdvance(calendar,AK355,"1D")</f>
        <v>43047</v>
      </c>
      <c r="AL356" s="21">
        <f>_xll.qlInterestRateIndexValueDate(hiborindex,AK356)</f>
        <v>43049</v>
      </c>
      <c r="AM356" s="23">
        <f>_xll.qlIndexFixing(hiborindex,AK356)</f>
        <v>-2.3903466769057916E-3</v>
      </c>
    </row>
    <row r="357" spans="37:39" x14ac:dyDescent="0.25">
      <c r="AK357" s="21">
        <f>_xll.qlCalendarAdvance(calendar,AK356,"1D")</f>
        <v>43048</v>
      </c>
      <c r="AL357" s="21">
        <f>_xll.qlInterestRateIndexValueDate(hiborindex,AK357)</f>
        <v>43052</v>
      </c>
      <c r="AM357" s="23">
        <f>_xll.qlIndexFixing(hiborindex,AK357)</f>
        <v>-2.3903993475631277E-3</v>
      </c>
    </row>
    <row r="358" spans="37:39" x14ac:dyDescent="0.25">
      <c r="AK358" s="21">
        <f>_xll.qlCalendarAdvance(calendar,AK357,"1D")</f>
        <v>43049</v>
      </c>
      <c r="AL358" s="21">
        <f>_xll.qlInterestRateIndexValueDate(hiborindex,AK358)</f>
        <v>43053</v>
      </c>
      <c r="AM358" s="23">
        <f>_xll.qlIndexFixing(hiborindex,AK358)</f>
        <v>-2.390378706822632E-3</v>
      </c>
    </row>
    <row r="359" spans="37:39" x14ac:dyDescent="0.25">
      <c r="AK359" s="21">
        <f>_xll.qlCalendarAdvance(calendar,AK358,"1D")</f>
        <v>43052</v>
      </c>
      <c r="AL359" s="21">
        <f>_xll.qlInterestRateIndexValueDate(hiborindex,AK359)</f>
        <v>43054</v>
      </c>
      <c r="AM359" s="23">
        <f>_xll.qlIndexFixing(hiborindex,AK359)</f>
        <v>-2.3903771928056538E-3</v>
      </c>
    </row>
    <row r="360" spans="37:39" x14ac:dyDescent="0.25">
      <c r="AK360" s="21">
        <f>_xll.qlCalendarAdvance(calendar,AK359,"1D")</f>
        <v>43053</v>
      </c>
      <c r="AL360" s="21">
        <f>_xll.qlInterestRateIndexValueDate(hiborindex,AK360)</f>
        <v>43055</v>
      </c>
      <c r="AM360" s="23">
        <f>_xll.qlIndexFixing(hiborindex,AK360)</f>
        <v>-2.3903718701903773E-3</v>
      </c>
    </row>
    <row r="361" spans="37:39" x14ac:dyDescent="0.25">
      <c r="AK361" s="21">
        <f>_xll.qlCalendarAdvance(calendar,AK360,"1D")</f>
        <v>43054</v>
      </c>
      <c r="AL361" s="21">
        <f>_xll.qlInterestRateIndexValueDate(hiborindex,AK361)</f>
        <v>43056</v>
      </c>
      <c r="AM361" s="23">
        <f>_xll.qlIndexFixing(hiborindex,AK361)</f>
        <v>-2.3903627389765809E-3</v>
      </c>
    </row>
    <row r="362" spans="37:39" x14ac:dyDescent="0.25">
      <c r="AK362" s="21">
        <f>_xll.qlCalendarAdvance(calendar,AK361,"1D")</f>
        <v>43055</v>
      </c>
      <c r="AL362" s="21">
        <f>_xll.qlInterestRateIndexValueDate(hiborindex,AK362)</f>
        <v>43059</v>
      </c>
      <c r="AM362" s="23">
        <f>_xll.qlIndexFixing(hiborindex,AK362)</f>
        <v>-2.3903674779717659E-3</v>
      </c>
    </row>
    <row r="363" spans="37:39" x14ac:dyDescent="0.25">
      <c r="AK363" s="21">
        <f>_xll.qlCalendarAdvance(calendar,AK362,"1D")</f>
        <v>43056</v>
      </c>
      <c r="AL363" s="21">
        <f>_xll.qlInterestRateIndexValueDate(hiborindex,AK363)</f>
        <v>43060</v>
      </c>
      <c r="AM363" s="23">
        <f>_xll.qlIndexFixing(hiborindex,AK363)</f>
        <v>-2.3902881281368648E-3</v>
      </c>
    </row>
    <row r="364" spans="37:39" x14ac:dyDescent="0.25">
      <c r="AK364" s="21">
        <f>_xll.qlCalendarAdvance(calendar,AK363,"1D")</f>
        <v>43059</v>
      </c>
      <c r="AL364" s="21">
        <f>_xll.qlInterestRateIndexValueDate(hiborindex,AK364)</f>
        <v>43061</v>
      </c>
      <c r="AM364" s="23">
        <f>_xll.qlIndexFixing(hiborindex,AK364)</f>
        <v>-2.3902599539300296E-3</v>
      </c>
    </row>
    <row r="365" spans="37:39" x14ac:dyDescent="0.25">
      <c r="AK365" s="21">
        <f>_xll.qlCalendarAdvance(calendar,AK364,"1D")</f>
        <v>43060</v>
      </c>
      <c r="AL365" s="21">
        <f>_xll.qlInterestRateIndexValueDate(hiborindex,AK365)</f>
        <v>43062</v>
      </c>
      <c r="AM365" s="23">
        <f>_xll.qlIndexFixing(hiborindex,AK365)</f>
        <v>-2.3902279711246754E-3</v>
      </c>
    </row>
    <row r="366" spans="37:39" x14ac:dyDescent="0.25">
      <c r="AK366" s="21">
        <f>_xll.qlCalendarAdvance(calendar,AK365,"1D")</f>
        <v>43061</v>
      </c>
      <c r="AL366" s="21">
        <f>_xll.qlInterestRateIndexValueDate(hiborindex,AK366)</f>
        <v>43063</v>
      </c>
      <c r="AM366" s="23">
        <f>_xll.qlIndexFixing(hiborindex,AK366)</f>
        <v>-2.3901921797196976E-3</v>
      </c>
    </row>
    <row r="367" spans="37:39" x14ac:dyDescent="0.25">
      <c r="AK367" s="21">
        <f>_xll.qlCalendarAdvance(calendar,AK366,"1D")</f>
        <v>43062</v>
      </c>
      <c r="AL367" s="21">
        <f>_xll.qlInterestRateIndexValueDate(hiborindex,AK367)</f>
        <v>43066</v>
      </c>
      <c r="AM367" s="23">
        <f>_xll.qlIndexFixing(hiborindex,AK367)</f>
        <v>-2.3901500136739879E-3</v>
      </c>
    </row>
    <row r="368" spans="37:39" x14ac:dyDescent="0.25">
      <c r="AK368" s="21">
        <f>_xll.qlCalendarAdvance(calendar,AK367,"1D")</f>
        <v>43063</v>
      </c>
      <c r="AL368" s="21">
        <f>_xll.qlInterestRateIndexValueDate(hiborindex,AK368)</f>
        <v>43067</v>
      </c>
      <c r="AM368" s="23">
        <f>_xll.qlIndexFixing(hiborindex,AK368)</f>
        <v>-2.3900109281026673E-3</v>
      </c>
    </row>
    <row r="369" spans="37:39" x14ac:dyDescent="0.25">
      <c r="AK369" s="21">
        <f>_xll.qlCalendarAdvance(calendar,AK368,"1D")</f>
        <v>43066</v>
      </c>
      <c r="AL369" s="21">
        <f>_xll.qlInterestRateIndexValueDate(hiborindex,AK369)</f>
        <v>43068</v>
      </c>
      <c r="AM369" s="23">
        <f>_xll.qlIndexFixing(hiborindex,AK369)</f>
        <v>-2.3899560936978051E-3</v>
      </c>
    </row>
    <row r="370" spans="37:39" x14ac:dyDescent="0.25">
      <c r="AK370" s="21">
        <f>_xll.qlCalendarAdvance(calendar,AK369,"1D")</f>
        <v>43067</v>
      </c>
      <c r="AL370" s="21">
        <f>_xll.qlInterestRateIndexValueDate(hiborindex,AK370)</f>
        <v>43069</v>
      </c>
      <c r="AM370" s="23">
        <f>_xll.qlIndexFixing(hiborindex,AK370)</f>
        <v>-2.3899999999696725E-3</v>
      </c>
    </row>
    <row r="371" spans="37:39" x14ac:dyDescent="0.25">
      <c r="AK371" s="21">
        <f>_xll.qlCalendarAdvance(calendar,AK370,"1D")</f>
        <v>43068</v>
      </c>
      <c r="AL371" s="21">
        <f>_xll.qlInterestRateIndexValueDate(hiborindex,AK371)</f>
        <v>43070</v>
      </c>
      <c r="AM371" s="23">
        <f>_xll.qlIndexFixing(hiborindex,AK371)</f>
        <v>-2.3897162271051251E-3</v>
      </c>
    </row>
    <row r="372" spans="37:39" x14ac:dyDescent="0.25">
      <c r="AK372" s="21">
        <f>_xll.qlCalendarAdvance(calendar,AK371,"1D")</f>
        <v>43069</v>
      </c>
      <c r="AL372" s="21">
        <f>_xll.qlInterestRateIndexValueDate(hiborindex,AK372)</f>
        <v>43073</v>
      </c>
      <c r="AM372" s="23">
        <f>_xll.qlIndexFixing(hiborindex,AK372)</f>
        <v>-2.3888387423093111E-3</v>
      </c>
    </row>
    <row r="373" spans="37:39" x14ac:dyDescent="0.25">
      <c r="AK373" s="21">
        <f>_xll.qlCalendarAdvance(calendar,AK372,"1D")</f>
        <v>43070</v>
      </c>
      <c r="AL373" s="21">
        <f>_xll.qlInterestRateIndexValueDate(hiborindex,AK373)</f>
        <v>43074</v>
      </c>
      <c r="AM373" s="23">
        <f>_xll.qlIndexFixing(hiborindex,AK373)</f>
        <v>-2.3885375253041262E-3</v>
      </c>
    </row>
    <row r="374" spans="37:39" x14ac:dyDescent="0.25">
      <c r="AK374" s="21">
        <f>_xll.qlCalendarAdvance(calendar,AK373,"1D")</f>
        <v>43073</v>
      </c>
      <c r="AL374" s="21">
        <f>_xll.qlInterestRateIndexValueDate(hiborindex,AK374)</f>
        <v>43075</v>
      </c>
      <c r="AM374" s="23">
        <f>_xll.qlIndexFixing(hiborindex,AK374)</f>
        <v>-2.3882319472584021E-3</v>
      </c>
    </row>
    <row r="375" spans="37:39" x14ac:dyDescent="0.25">
      <c r="AK375" s="21">
        <f>_xll.qlCalendarAdvance(calendar,AK374,"1D")</f>
        <v>43074</v>
      </c>
      <c r="AL375" s="21">
        <f>_xll.qlInterestRateIndexValueDate(hiborindex,AK375)</f>
        <v>43076</v>
      </c>
      <c r="AM375" s="23">
        <f>_xll.qlIndexFixing(hiborindex,AK375)</f>
        <v>-2.38792200817104E-3</v>
      </c>
    </row>
    <row r="376" spans="37:39" x14ac:dyDescent="0.25">
      <c r="AK376" s="21">
        <f>_xll.qlCalendarAdvance(calendar,AK375,"1D")</f>
        <v>43075</v>
      </c>
      <c r="AL376" s="21">
        <f>_xll.qlInterestRateIndexValueDate(hiborindex,AK376)</f>
        <v>43077</v>
      </c>
      <c r="AM376" s="23">
        <f>_xll.qlIndexFixing(hiborindex,AK376)</f>
        <v>-2.3876077080391849E-3</v>
      </c>
    </row>
    <row r="377" spans="37:39" x14ac:dyDescent="0.25">
      <c r="AK377" s="21">
        <f>_xll.qlCalendarAdvance(calendar,AK376,"1D")</f>
        <v>43076</v>
      </c>
      <c r="AL377" s="21">
        <f>_xll.qlInterestRateIndexValueDate(hiborindex,AK377)</f>
        <v>43080</v>
      </c>
      <c r="AM377" s="23">
        <f>_xll.qlIndexFixing(hiborindex,AK377)</f>
        <v>-2.3866386413569011E-3</v>
      </c>
    </row>
    <row r="378" spans="37:39" x14ac:dyDescent="0.25">
      <c r="AK378" s="21">
        <f>_xll.qlCalendarAdvance(calendar,AK377,"1D")</f>
        <v>43077</v>
      </c>
      <c r="AL378" s="21">
        <f>_xll.qlInterestRateIndexValueDate(hiborindex,AK378)</f>
        <v>43081</v>
      </c>
      <c r="AM378" s="23">
        <f>_xll.qlIndexFixing(hiborindex,AK378)</f>
        <v>-2.3863068970277511E-3</v>
      </c>
    </row>
    <row r="379" spans="37:39" x14ac:dyDescent="0.25">
      <c r="AK379" s="21">
        <f>_xll.qlCalendarAdvance(calendar,AK378,"1D")</f>
        <v>43080</v>
      </c>
      <c r="AL379" s="21">
        <f>_xll.qlInterestRateIndexValueDate(hiborindex,AK379)</f>
        <v>43082</v>
      </c>
      <c r="AM379" s="23">
        <f>_xll.qlIndexFixing(hiborindex,AK379)</f>
        <v>-2.3859707916431281E-3</v>
      </c>
    </row>
    <row r="380" spans="37:39" x14ac:dyDescent="0.25">
      <c r="AK380" s="21">
        <f>_xll.qlCalendarAdvance(calendar,AK379,"1D")</f>
        <v>43081</v>
      </c>
      <c r="AL380" s="21">
        <f>_xll.qlInterestRateIndexValueDate(hiborindex,AK380)</f>
        <v>43083</v>
      </c>
      <c r="AM380" s="23">
        <f>_xll.qlIndexFixing(hiborindex,AK380)</f>
        <v>-2.3856303252008364E-3</v>
      </c>
    </row>
    <row r="381" spans="37:39" x14ac:dyDescent="0.25">
      <c r="AK381" s="21">
        <f>_xll.qlCalendarAdvance(calendar,AK380,"1D")</f>
        <v>43082</v>
      </c>
      <c r="AL381" s="21">
        <f>_xll.qlInterestRateIndexValueDate(hiborindex,AK381)</f>
        <v>43084</v>
      </c>
      <c r="AM381" s="23">
        <f>_xll.qlIndexFixing(hiborindex,AK381)</f>
        <v>-2.3852854976999975E-3</v>
      </c>
    </row>
    <row r="382" spans="37:39" x14ac:dyDescent="0.25">
      <c r="AK382" s="21">
        <f>_xll.qlCalendarAdvance(calendar,AK381,"1D")</f>
        <v>43083</v>
      </c>
      <c r="AL382" s="21">
        <f>_xll.qlInterestRateIndexValueDate(hiborindex,AK382)</f>
        <v>43087</v>
      </c>
      <c r="AM382" s="23">
        <f>_xll.qlIndexFixing(hiborindex,AK382)</f>
        <v>-2.3842248488178679E-3</v>
      </c>
    </row>
    <row r="383" spans="37:39" x14ac:dyDescent="0.25">
      <c r="AK383" s="21">
        <f>_xll.qlCalendarAdvance(calendar,AK382,"1D")</f>
        <v>43084</v>
      </c>
      <c r="AL383" s="21">
        <f>_xll.qlInterestRateIndexValueDate(hiborindex,AK383)</f>
        <v>43088</v>
      </c>
      <c r="AM383" s="23">
        <f>_xll.qlIndexFixing(hiborindex,AK383)</f>
        <v>-2.383862577056048E-3</v>
      </c>
    </row>
    <row r="384" spans="37:39" x14ac:dyDescent="0.25">
      <c r="AK384" s="21">
        <f>_xll.qlCalendarAdvance(calendar,AK383,"1D")</f>
        <v>43087</v>
      </c>
      <c r="AL384" s="21">
        <f>_xll.qlInterestRateIndexValueDate(hiborindex,AK384)</f>
        <v>43089</v>
      </c>
      <c r="AM384" s="23">
        <f>_xll.qlIndexFixing(hiborindex,AK384)</f>
        <v>-2.3834959442236027E-3</v>
      </c>
    </row>
    <row r="385" spans="37:39" x14ac:dyDescent="0.25">
      <c r="AK385" s="21">
        <f>_xll.qlCalendarAdvance(calendar,AK384,"1D")</f>
        <v>43088</v>
      </c>
      <c r="AL385" s="21">
        <f>_xll.qlInterestRateIndexValueDate(hiborindex,AK385)</f>
        <v>43090</v>
      </c>
      <c r="AM385" s="23">
        <f>_xll.qlIndexFixing(hiborindex,AK385)</f>
        <v>-2.383124950317238E-3</v>
      </c>
    </row>
    <row r="386" spans="37:39" x14ac:dyDescent="0.25">
      <c r="AK386" s="21">
        <f>_xll.qlCalendarAdvance(calendar,AK385,"1D")</f>
        <v>43089</v>
      </c>
      <c r="AL386" s="21">
        <f>_xll.qlInterestRateIndexValueDate(hiborindex,AK386)</f>
        <v>43091</v>
      </c>
      <c r="AM386" s="23">
        <f>_xll.qlIndexFixing(hiborindex,AK386)</f>
        <v>-2.3827495953351965E-3</v>
      </c>
    </row>
    <row r="387" spans="37:39" x14ac:dyDescent="0.25">
      <c r="AK387" s="21">
        <f>_xll.qlCalendarAdvance(calendar,AK386,"1D")</f>
        <v>43090</v>
      </c>
      <c r="AL387" s="21">
        <f>_xll.qlInterestRateIndexValueDate(hiborindex,AK387)</f>
        <v>43096</v>
      </c>
      <c r="AM387" s="23">
        <f>_xll.qlIndexFixing(hiborindex,AK387)</f>
        <v>-2.3808074041971709E-3</v>
      </c>
    </row>
    <row r="388" spans="37:39" x14ac:dyDescent="0.25">
      <c r="AK388" s="21">
        <f>_xll.qlCalendarAdvance(calendar,AK387,"1D")</f>
        <v>43091</v>
      </c>
      <c r="AL388" s="21">
        <f>_xll.qlInterestRateIndexValueDate(hiborindex,AK388)</f>
        <v>43097</v>
      </c>
      <c r="AM388" s="23">
        <f>_xll.qlIndexFixing(hiborindex,AK388)</f>
        <v>-2.3804058827061702E-3</v>
      </c>
    </row>
    <row r="389" spans="37:39" x14ac:dyDescent="0.25">
      <c r="AK389" s="21">
        <f>_xll.qlCalendarAdvance(calendar,AK388,"1D")</f>
        <v>43096</v>
      </c>
      <c r="AL389" s="21">
        <f>_xll.qlInterestRateIndexValueDate(hiborindex,AK389)</f>
        <v>43098</v>
      </c>
      <c r="AM389" s="23">
        <f>_xll.qlIndexFixing(hiborindex,AK389)</f>
        <v>-2.3800000001210461E-3</v>
      </c>
    </row>
    <row r="390" spans="37:39" x14ac:dyDescent="0.25">
      <c r="AK390" s="21">
        <f>_xll.qlCalendarAdvance(calendar,AK389,"1D")</f>
        <v>43097</v>
      </c>
      <c r="AL390" s="21">
        <f>_xll.qlInterestRateIndexValueDate(hiborindex,AK390)</f>
        <v>43102</v>
      </c>
      <c r="AM390" s="23">
        <f>_xll.qlIndexFixing(hiborindex,AK390)</f>
        <v>-2.3720168442443669E-3</v>
      </c>
    </row>
    <row r="391" spans="37:39" x14ac:dyDescent="0.25">
      <c r="AK391" s="21">
        <f>_xll.qlCalendarAdvance(calendar,AK390,"1D")</f>
        <v>43098</v>
      </c>
      <c r="AL391" s="21">
        <f>_xll.qlInterestRateIndexValueDate(hiborindex,AK391)</f>
        <v>43103</v>
      </c>
      <c r="AM391" s="23">
        <f>_xll.qlIndexFixing(hiborindex,AK391)</f>
        <v>-2.3693765451617945E-3</v>
      </c>
    </row>
    <row r="392" spans="37:39" x14ac:dyDescent="0.25">
      <c r="AK392" s="21">
        <f>_xll.qlCalendarAdvance(calendar,AK391,"1D")</f>
        <v>43102</v>
      </c>
      <c r="AL392" s="21">
        <f>_xll.qlInterestRateIndexValueDate(hiborindex,AK392)</f>
        <v>43104</v>
      </c>
      <c r="AM392" s="23">
        <f>_xll.qlIndexFixing(hiborindex,AK392)</f>
        <v>-2.3667261089531664E-3</v>
      </c>
    </row>
    <row r="393" spans="37:39" x14ac:dyDescent="0.25">
      <c r="AK393" s="21">
        <f>_xll.qlCalendarAdvance(calendar,AK392,"1D")</f>
        <v>43103</v>
      </c>
      <c r="AL393" s="21">
        <f>_xll.qlInterestRateIndexValueDate(hiborindex,AK393)</f>
        <v>43105</v>
      </c>
      <c r="AM393" s="23">
        <f>_xll.qlIndexFixing(hiborindex,AK393)</f>
        <v>-2.3640655355771892E-3</v>
      </c>
    </row>
    <row r="394" spans="37:39" x14ac:dyDescent="0.25">
      <c r="AK394" s="21">
        <f>_xll.qlCalendarAdvance(calendar,AK393,"1D")</f>
        <v>43104</v>
      </c>
      <c r="AL394" s="21">
        <f>_xll.qlInterestRateIndexValueDate(hiborindex,AK394)</f>
        <v>43108</v>
      </c>
      <c r="AM394" s="23">
        <f>_xll.qlIndexFixing(hiborindex,AK394)</f>
        <v>-2.353662050585873E-3</v>
      </c>
    </row>
    <row r="395" spans="37:39" x14ac:dyDescent="0.25">
      <c r="AK395" s="21">
        <f>_xll.qlCalendarAdvance(calendar,AK394,"1D")</f>
        <v>43105</v>
      </c>
      <c r="AL395" s="21">
        <f>_xll.qlInterestRateIndexValueDate(hiborindex,AK395)</f>
        <v>43109</v>
      </c>
      <c r="AM395" s="23">
        <f>_xll.qlIndexFixing(hiborindex,AK395)</f>
        <v>-2.3533218695891735E-3</v>
      </c>
    </row>
    <row r="396" spans="37:39" x14ac:dyDescent="0.25">
      <c r="AK396" s="21">
        <f>_xll.qlCalendarAdvance(calendar,AK395,"1D")</f>
        <v>43108</v>
      </c>
      <c r="AL396" s="21">
        <f>_xll.qlInterestRateIndexValueDate(hiborindex,AK396)</f>
        <v>43110</v>
      </c>
      <c r="AM396" s="23">
        <f>_xll.qlIndexFixing(hiborindex,AK396)</f>
        <v>-2.3506106097647881E-3</v>
      </c>
    </row>
    <row r="397" spans="37:39" x14ac:dyDescent="0.25">
      <c r="AK397" s="21">
        <f>_xll.qlCalendarAdvance(calendar,AK396,"1D")</f>
        <v>43109</v>
      </c>
      <c r="AL397" s="21">
        <f>_xll.qlInterestRateIndexValueDate(hiborindex,AK397)</f>
        <v>43111</v>
      </c>
      <c r="AM397" s="23">
        <f>_xll.qlIndexFixing(hiborindex,AK397)</f>
        <v>-2.3478892125279463E-3</v>
      </c>
    </row>
    <row r="398" spans="37:39" x14ac:dyDescent="0.25">
      <c r="AK398" s="21">
        <f>_xll.qlCalendarAdvance(calendar,AK397,"1D")</f>
        <v>43110</v>
      </c>
      <c r="AL398" s="21">
        <f>_xll.qlInterestRateIndexValueDate(hiborindex,AK398)</f>
        <v>43112</v>
      </c>
      <c r="AM398" s="23">
        <f>_xll.qlIndexFixing(hiborindex,AK398)</f>
        <v>-2.345157677835147E-3</v>
      </c>
    </row>
    <row r="399" spans="37:39" x14ac:dyDescent="0.25">
      <c r="AK399" s="21">
        <f>_xll.qlCalendarAdvance(calendar,AK398,"1D")</f>
        <v>43111</v>
      </c>
      <c r="AL399" s="21">
        <f>_xll.qlInterestRateIndexValueDate(hiborindex,AK399)</f>
        <v>43115</v>
      </c>
      <c r="AM399" s="23">
        <f>_xll.qlIndexFixing(hiborindex,AK399)</f>
        <v>-2.3346256339810585E-3</v>
      </c>
    </row>
    <row r="400" spans="37:39" x14ac:dyDescent="0.25">
      <c r="AK400" s="21">
        <f>_xll.qlCalendarAdvance(calendar,AK399,"1D")</f>
        <v>43112</v>
      </c>
      <c r="AL400" s="21">
        <f>_xll.qlInterestRateIndexValueDate(hiborindex,AK400)</f>
        <v>43116</v>
      </c>
      <c r="AM400" s="23">
        <f>_xll.qlIndexFixing(hiborindex,AK400)</f>
        <v>-2.3341301636747615E-3</v>
      </c>
    </row>
    <row r="401" spans="37:39" x14ac:dyDescent="0.25">
      <c r="AK401" s="21">
        <f>_xll.qlCalendarAdvance(calendar,AK400,"1D")</f>
        <v>43115</v>
      </c>
      <c r="AL401" s="21">
        <f>_xll.qlInterestRateIndexValueDate(hiborindex,AK401)</f>
        <v>43117</v>
      </c>
      <c r="AM401" s="23">
        <f>_xll.qlIndexFixing(hiborindex,AK401)</f>
        <v>-2.331347941076597E-3</v>
      </c>
    </row>
    <row r="402" spans="37:39" x14ac:dyDescent="0.25">
      <c r="AK402" s="21">
        <f>_xll.qlCalendarAdvance(calendar,AK401,"1D")</f>
        <v>43116</v>
      </c>
      <c r="AL402" s="21">
        <f>_xll.qlInterestRateIndexValueDate(hiborindex,AK402)</f>
        <v>43118</v>
      </c>
      <c r="AM402" s="23">
        <f>_xll.qlIndexFixing(hiborindex,AK402)</f>
        <v>-2.3285555807696389E-3</v>
      </c>
    </row>
    <row r="403" spans="37:39" x14ac:dyDescent="0.25">
      <c r="AK403" s="21">
        <f>_xll.qlCalendarAdvance(calendar,AK402,"1D")</f>
        <v>43117</v>
      </c>
      <c r="AL403" s="21">
        <f>_xll.qlInterestRateIndexValueDate(hiborindex,AK403)</f>
        <v>43119</v>
      </c>
      <c r="AM403" s="23">
        <f>_xll.qlIndexFixing(hiborindex,AK403)</f>
        <v>-2.3257530827119318E-3</v>
      </c>
    </row>
    <row r="404" spans="37:39" x14ac:dyDescent="0.25">
      <c r="AK404" s="21">
        <f>_xll.qlCalendarAdvance(calendar,AK403,"1D")</f>
        <v>43118</v>
      </c>
      <c r="AL404" s="21">
        <f>_xll.qlInterestRateIndexValueDate(hiborindex,AK404)</f>
        <v>43122</v>
      </c>
      <c r="AM404" s="23">
        <f>_xll.qlIndexFixing(hiborindex,AK404)</f>
        <v>-2.3150952053996431E-3</v>
      </c>
    </row>
    <row r="405" spans="37:39" x14ac:dyDescent="0.25">
      <c r="AK405" s="21">
        <f>_xll.qlCalendarAdvance(calendar,AK404,"1D")</f>
        <v>43119</v>
      </c>
      <c r="AL405" s="21">
        <f>_xll.qlInterestRateIndexValueDate(hiborindex,AK405)</f>
        <v>43123</v>
      </c>
      <c r="AM405" s="23">
        <f>_xll.qlIndexFixing(hiborindex,AK405)</f>
        <v>-2.3144417121093272E-3</v>
      </c>
    </row>
    <row r="406" spans="37:39" x14ac:dyDescent="0.25">
      <c r="AK406" s="21">
        <f>_xll.qlCalendarAdvance(calendar,AK405,"1D")</f>
        <v>43122</v>
      </c>
      <c r="AL406" s="21">
        <f>_xll.qlInterestRateIndexValueDate(hiborindex,AK406)</f>
        <v>43124</v>
      </c>
      <c r="AM406" s="23">
        <f>_xll.qlIndexFixing(hiborindex,AK406)</f>
        <v>-2.3115885246499934E-3</v>
      </c>
    </row>
    <row r="407" spans="37:39" x14ac:dyDescent="0.25">
      <c r="AK407" s="21">
        <f>_xll.qlCalendarAdvance(calendar,AK406,"1D")</f>
        <v>43123</v>
      </c>
      <c r="AL407" s="21">
        <f>_xll.qlInterestRateIndexValueDate(hiborindex,AK407)</f>
        <v>43125</v>
      </c>
      <c r="AM407" s="23">
        <f>_xll.qlIndexFixing(hiborindex,AK407)</f>
        <v>-2.3087251991793451E-3</v>
      </c>
    </row>
    <row r="408" spans="37:39" x14ac:dyDescent="0.25">
      <c r="AK408" s="21">
        <f>_xll.qlCalendarAdvance(calendar,AK407,"1D")</f>
        <v>43124</v>
      </c>
      <c r="AL408" s="21">
        <f>_xll.qlInterestRateIndexValueDate(hiborindex,AK408)</f>
        <v>43126</v>
      </c>
      <c r="AM408" s="23">
        <f>_xll.qlIndexFixing(hiborindex,AK408)</f>
        <v>-2.3058517356545436E-3</v>
      </c>
    </row>
    <row r="409" spans="37:39" x14ac:dyDescent="0.25">
      <c r="AK409" s="21">
        <f>_xll.qlCalendarAdvance(calendar,AK408,"1D")</f>
        <v>43125</v>
      </c>
      <c r="AL409" s="21">
        <f>_xll.qlInterestRateIndexValueDate(hiborindex,AK409)</f>
        <v>43129</v>
      </c>
      <c r="AM409" s="23">
        <f>_xll.qlIndexFixing(hiborindex,AK409)</f>
        <v>-2.2950707501937836E-3</v>
      </c>
    </row>
    <row r="410" spans="37:39" x14ac:dyDescent="0.25">
      <c r="AK410" s="21">
        <f>_xll.qlCalendarAdvance(calendar,AK409,"1D")</f>
        <v>43126</v>
      </c>
      <c r="AL410" s="21">
        <f>_xll.qlInterestRateIndexValueDate(hiborindex,AK410)</f>
        <v>43130</v>
      </c>
      <c r="AM410" s="23">
        <f>_xll.qlIndexFixing(hiborindex,AK410)</f>
        <v>-2.2942565001274448E-3</v>
      </c>
    </row>
    <row r="411" spans="37:39" x14ac:dyDescent="0.25">
      <c r="AK411" s="21">
        <f>_xll.qlCalendarAdvance(calendar,AK410,"1D")</f>
        <v>43129</v>
      </c>
      <c r="AL411" s="21">
        <f>_xll.qlInterestRateIndexValueDate(hiborindex,AK411)</f>
        <v>43131</v>
      </c>
      <c r="AM411" s="23">
        <f>_xll.qlIndexFixing(hiborindex,AK411)</f>
        <v>-2.2913323456667748E-3</v>
      </c>
    </row>
    <row r="412" spans="37:39" x14ac:dyDescent="0.25">
      <c r="AK412" s="21">
        <f>_xll.qlCalendarAdvance(calendar,AK411,"1D")</f>
        <v>43130</v>
      </c>
      <c r="AL412" s="21">
        <f>_xll.qlInterestRateIndexValueDate(hiborindex,AK412)</f>
        <v>43132</v>
      </c>
      <c r="AM412" s="23">
        <f>_xll.qlIndexFixing(hiborindex,AK412)</f>
        <v>-2.2887179629504928E-3</v>
      </c>
    </row>
    <row r="413" spans="37:39" x14ac:dyDescent="0.25">
      <c r="AK413" s="21">
        <f>_xll.qlCalendarAdvance(calendar,AK412,"1D")</f>
        <v>43131</v>
      </c>
      <c r="AL413" s="21">
        <f>_xll.qlInterestRateIndexValueDate(hiborindex,AK413)</f>
        <v>43133</v>
      </c>
      <c r="AM413" s="23">
        <f>_xll.qlIndexFixing(hiborindex,AK413)</f>
        <v>-2.2860945402281194E-3</v>
      </c>
    </row>
    <row r="414" spans="37:39" x14ac:dyDescent="0.25">
      <c r="AK414" s="21">
        <f>_xll.qlCalendarAdvance(calendar,AK413,"1D")</f>
        <v>43132</v>
      </c>
      <c r="AL414" s="21">
        <f>_xll.qlInterestRateIndexValueDate(hiborindex,AK414)</f>
        <v>43136</v>
      </c>
      <c r="AM414" s="23">
        <f>_xll.qlIndexFixing(hiborindex,AK414)</f>
        <v>-2.2761539297597379E-3</v>
      </c>
    </row>
    <row r="415" spans="37:39" x14ac:dyDescent="0.25">
      <c r="AK415" s="21">
        <f>_xll.qlCalendarAdvance(calendar,AK414,"1D")</f>
        <v>43133</v>
      </c>
      <c r="AL415" s="21">
        <f>_xll.qlInterestRateIndexValueDate(hiborindex,AK415)</f>
        <v>43137</v>
      </c>
      <c r="AM415" s="23">
        <f>_xll.qlIndexFixing(hiborindex,AK415)</f>
        <v>-2.2755104485611532E-3</v>
      </c>
    </row>
    <row r="416" spans="37:39" x14ac:dyDescent="0.25">
      <c r="AK416" s="21">
        <f>_xll.qlCalendarAdvance(calendar,AK415,"1D")</f>
        <v>43136</v>
      </c>
      <c r="AL416" s="21">
        <f>_xll.qlInterestRateIndexValueDate(hiborindex,AK416)</f>
        <v>43138</v>
      </c>
      <c r="AM416" s="23">
        <f>_xll.qlIndexFixing(hiborindex,AK416)</f>
        <v>-2.2728418252695253E-3</v>
      </c>
    </row>
    <row r="417" spans="37:39" x14ac:dyDescent="0.25">
      <c r="AK417" s="21">
        <f>_xll.qlCalendarAdvance(calendar,AK416,"1D")</f>
        <v>43137</v>
      </c>
      <c r="AL417" s="21">
        <f>_xll.qlInterestRateIndexValueDate(hiborindex,AK417)</f>
        <v>43139</v>
      </c>
      <c r="AM417" s="23">
        <f>_xll.qlIndexFixing(hiborindex,AK417)</f>
        <v>-2.2701641617549626E-3</v>
      </c>
    </row>
    <row r="418" spans="37:39" x14ac:dyDescent="0.25">
      <c r="AK418" s="21">
        <f>_xll.qlCalendarAdvance(calendar,AK417,"1D")</f>
        <v>43138</v>
      </c>
      <c r="AL418" s="21">
        <f>_xll.qlInterestRateIndexValueDate(hiborindex,AK418)</f>
        <v>43140</v>
      </c>
      <c r="AM418" s="23">
        <f>_xll.qlIndexFixing(hiborindex,AK418)</f>
        <v>-2.2674774579821339E-3</v>
      </c>
    </row>
    <row r="419" spans="37:39" x14ac:dyDescent="0.25">
      <c r="AK419" s="21">
        <f>_xll.qlCalendarAdvance(calendar,AK418,"1D")</f>
        <v>43139</v>
      </c>
      <c r="AL419" s="21">
        <f>_xll.qlInterestRateIndexValueDate(hiborindex,AK419)</f>
        <v>43143</v>
      </c>
      <c r="AM419" s="23">
        <f>_xll.qlIndexFixing(hiborindex,AK419)</f>
        <v>-2.2574296021208025E-3</v>
      </c>
    </row>
    <row r="420" spans="37:39" x14ac:dyDescent="0.25">
      <c r="AK420" s="21">
        <f>_xll.qlCalendarAdvance(calendar,AK419,"1D")</f>
        <v>43140</v>
      </c>
      <c r="AL420" s="21">
        <f>_xll.qlInterestRateIndexValueDate(hiborindex,AK420)</f>
        <v>43144</v>
      </c>
      <c r="AM420" s="23">
        <f>_xll.qlIndexFixing(hiborindex,AK420)</f>
        <v>-2.25664023956246E-3</v>
      </c>
    </row>
    <row r="421" spans="37:39" x14ac:dyDescent="0.25">
      <c r="AK421" s="21">
        <f>_xll.qlCalendarAdvance(calendar,AK420,"1D")</f>
        <v>43143</v>
      </c>
      <c r="AL421" s="21">
        <f>_xll.qlInterestRateIndexValueDate(hiborindex,AK421)</f>
        <v>43145</v>
      </c>
      <c r="AM421" s="23">
        <f>_xll.qlIndexFixing(hiborindex,AK421)</f>
        <v>-2.2539083339409589E-3</v>
      </c>
    </row>
    <row r="422" spans="37:39" x14ac:dyDescent="0.25">
      <c r="AK422" s="21">
        <f>_xll.qlCalendarAdvance(calendar,AK421,"1D")</f>
        <v>43144</v>
      </c>
      <c r="AL422" s="21">
        <f>_xll.qlInterestRateIndexValueDate(hiborindex,AK422)</f>
        <v>43146</v>
      </c>
      <c r="AM422" s="23">
        <f>_xll.qlIndexFixing(hiborindex,AK422)</f>
        <v>-2.2511673878383861E-3</v>
      </c>
    </row>
    <row r="423" spans="37:39" x14ac:dyDescent="0.25">
      <c r="AK423" s="21">
        <f>_xll.qlCalendarAdvance(calendar,AK422,"1D")</f>
        <v>43145</v>
      </c>
      <c r="AL423" s="21">
        <f>_xll.qlInterestRateIndexValueDate(hiborindex,AK423)</f>
        <v>43147</v>
      </c>
      <c r="AM423" s="23">
        <f>_xll.qlIndexFixing(hiborindex,AK423)</f>
        <v>-2.2484174012183081E-3</v>
      </c>
    </row>
    <row r="424" spans="37:39" x14ac:dyDescent="0.25">
      <c r="AK424" s="21">
        <f>_xll.qlCalendarAdvance(calendar,AK423,"1D")</f>
        <v>43146</v>
      </c>
      <c r="AL424" s="21">
        <f>_xll.qlInterestRateIndexValueDate(hiborindex,AK424)</f>
        <v>43150</v>
      </c>
      <c r="AM424" s="23">
        <f>_xll.qlIndexFixing(hiborindex,AK424)</f>
        <v>-2.2382647304302989E-3</v>
      </c>
    </row>
    <row r="425" spans="37:39" x14ac:dyDescent="0.25">
      <c r="AK425" s="21">
        <f>_xll.qlCalendarAdvance(calendar,AK424,"1D")</f>
        <v>43147</v>
      </c>
      <c r="AL425" s="21">
        <f>_xll.qlInterestRateIndexValueDate(hiborindex,AK425)</f>
        <v>43151</v>
      </c>
      <c r="AM425" s="23">
        <f>_xll.qlIndexFixing(hiborindex,AK425)</f>
        <v>-2.2373270487984647E-3</v>
      </c>
    </row>
    <row r="426" spans="37:39" x14ac:dyDescent="0.25">
      <c r="AK426" s="21">
        <f>_xll.qlCalendarAdvance(calendar,AK425,"1D")</f>
        <v>43150</v>
      </c>
      <c r="AL426" s="21">
        <f>_xll.qlInterestRateIndexValueDate(hiborindex,AK426)</f>
        <v>43152</v>
      </c>
      <c r="AM426" s="23">
        <f>_xll.qlIndexFixing(hiborindex,AK426)</f>
        <v>-2.2345318590202634E-3</v>
      </c>
    </row>
    <row r="427" spans="37:39" x14ac:dyDescent="0.25">
      <c r="AK427" s="21">
        <f>_xll.qlCalendarAdvance(calendar,AK426,"1D")</f>
        <v>43151</v>
      </c>
      <c r="AL427" s="21">
        <f>_xll.qlInterestRateIndexValueDate(hiborindex,AK427)</f>
        <v>43153</v>
      </c>
      <c r="AM427" s="23">
        <f>_xll.qlIndexFixing(hiborindex,AK427)</f>
        <v>-2.2317276284966724E-3</v>
      </c>
    </row>
    <row r="428" spans="37:39" x14ac:dyDescent="0.25">
      <c r="AK428" s="21">
        <f>_xll.qlCalendarAdvance(calendar,AK427,"1D")</f>
        <v>43152</v>
      </c>
      <c r="AL428" s="21">
        <f>_xll.qlInterestRateIndexValueDate(hiborindex,AK428)</f>
        <v>43154</v>
      </c>
      <c r="AM428" s="23">
        <f>_xll.qlIndexFixing(hiborindex,AK428)</f>
        <v>-2.2289143571888278E-3</v>
      </c>
    </row>
    <row r="429" spans="37:39" x14ac:dyDescent="0.25">
      <c r="AK429" s="21">
        <f>_xll.qlCalendarAdvance(calendar,AK428,"1D")</f>
        <v>43153</v>
      </c>
      <c r="AL429" s="21">
        <f>_xll.qlInterestRateIndexValueDate(hiborindex,AK429)</f>
        <v>43157</v>
      </c>
      <c r="AM429" s="23">
        <f>_xll.qlIndexFixing(hiborindex,AK429)</f>
        <v>-2.2186593018723244E-3</v>
      </c>
    </row>
    <row r="430" spans="37:39" x14ac:dyDescent="0.25">
      <c r="AK430" s="21">
        <f>_xll.qlCalendarAdvance(calendar,AK429,"1D")</f>
        <v>43154</v>
      </c>
      <c r="AL430" s="21">
        <f>_xll.qlInterestRateIndexValueDate(hiborindex,AK430)</f>
        <v>43158</v>
      </c>
      <c r="AM430" s="23">
        <f>_xll.qlIndexFixing(hiborindex,AK430)</f>
        <v>-2.2175708633528682E-3</v>
      </c>
    </row>
    <row r="431" spans="37:39" x14ac:dyDescent="0.25">
      <c r="AK431" s="21">
        <f>_xll.qlCalendarAdvance(calendar,AK430,"1D")</f>
        <v>43157</v>
      </c>
      <c r="AL431" s="21">
        <f>_xll.qlInterestRateIndexValueDate(hiborindex,AK431)</f>
        <v>43159</v>
      </c>
      <c r="AM431" s="23">
        <f>_xll.qlIndexFixing(hiborindex,AK431)</f>
        <v>-2.2095533146520405E-3</v>
      </c>
    </row>
    <row r="432" spans="37:39" x14ac:dyDescent="0.25">
      <c r="AK432" s="21">
        <f>_xll.qlCalendarAdvance(calendar,AK431,"1D")</f>
        <v>43158</v>
      </c>
      <c r="AL432" s="21">
        <f>_xll.qlInterestRateIndexValueDate(hiborindex,AK432)</f>
        <v>43160</v>
      </c>
      <c r="AM432" s="23">
        <f>_xll.qlIndexFixing(hiborindex,AK432)</f>
        <v>-2.2042632173198272E-3</v>
      </c>
    </row>
    <row r="433" spans="37:39" x14ac:dyDescent="0.25">
      <c r="AK433" s="21">
        <f>_xll.qlCalendarAdvance(calendar,AK432,"1D")</f>
        <v>43159</v>
      </c>
      <c r="AL433" s="21">
        <f>_xll.qlInterestRateIndexValueDate(hiborindex,AK433)</f>
        <v>43161</v>
      </c>
      <c r="AM433" s="23">
        <f>_xll.qlIndexFixing(hiborindex,AK433)</f>
        <v>-2.2039871911173179E-3</v>
      </c>
    </row>
    <row r="434" spans="37:39" x14ac:dyDescent="0.25">
      <c r="AK434" s="21">
        <f>_xll.qlCalendarAdvance(calendar,AK433,"1D")</f>
        <v>43160</v>
      </c>
      <c r="AL434" s="21">
        <f>_xll.qlInterestRateIndexValueDate(hiborindex,AK434)</f>
        <v>43164</v>
      </c>
      <c r="AM434" s="23">
        <f>_xll.qlIndexFixing(hiborindex,AK434)</f>
        <v>-2.1997762410178642E-3</v>
      </c>
    </row>
    <row r="435" spans="37:39" x14ac:dyDescent="0.25">
      <c r="AK435" s="21">
        <f>_xll.qlCalendarAdvance(calendar,AK434,"1D")</f>
        <v>43161</v>
      </c>
      <c r="AL435" s="21">
        <f>_xll.qlInterestRateIndexValueDate(hiborindex,AK435)</f>
        <v>43165</v>
      </c>
      <c r="AM435" s="23">
        <f>_xll.qlIndexFixing(hiborindex,AK435)</f>
        <v>-2.1978028537301543E-3</v>
      </c>
    </row>
    <row r="436" spans="37:39" x14ac:dyDescent="0.25">
      <c r="AK436" s="21">
        <f>_xll.qlCalendarAdvance(calendar,AK435,"1D")</f>
        <v>43164</v>
      </c>
      <c r="AL436" s="21">
        <f>_xll.qlInterestRateIndexValueDate(hiborindex,AK436)</f>
        <v>43166</v>
      </c>
      <c r="AM436" s="23">
        <f>_xll.qlIndexFixing(hiborindex,AK436)</f>
        <v>-2.1958234755461875E-3</v>
      </c>
    </row>
    <row r="437" spans="37:39" x14ac:dyDescent="0.25">
      <c r="AK437" s="21">
        <f>_xll.qlCalendarAdvance(calendar,AK436,"1D")</f>
        <v>43165</v>
      </c>
      <c r="AL437" s="21">
        <f>_xll.qlInterestRateIndexValueDate(hiborindex,AK437)</f>
        <v>43167</v>
      </c>
      <c r="AM437" s="23">
        <f>_xll.qlIndexFixing(hiborindex,AK437)</f>
        <v>-2.190598895456575E-3</v>
      </c>
    </row>
    <row r="438" spans="37:39" x14ac:dyDescent="0.25">
      <c r="AK438" s="21">
        <f>_xll.qlCalendarAdvance(calendar,AK437,"1D")</f>
        <v>43166</v>
      </c>
      <c r="AL438" s="21">
        <f>_xll.qlInterestRateIndexValueDate(hiborindex,AK438)</f>
        <v>43168</v>
      </c>
      <c r="AM438" s="23">
        <f>_xll.qlIndexFixing(hiborindex,AK438)</f>
        <v>-2.1902277236556969E-3</v>
      </c>
    </row>
    <row r="439" spans="37:39" x14ac:dyDescent="0.25">
      <c r="AK439" s="21">
        <f>_xll.qlCalendarAdvance(calendar,AK438,"1D")</f>
        <v>43167</v>
      </c>
      <c r="AL439" s="21">
        <f>_xll.qlInterestRateIndexValueDate(hiborindex,AK439)</f>
        <v>43171</v>
      </c>
      <c r="AM439" s="23">
        <f>_xll.qlIndexFixing(hiborindex,AK439)</f>
        <v>-2.1858367205499548E-3</v>
      </c>
    </row>
    <row r="440" spans="37:39" x14ac:dyDescent="0.25">
      <c r="AK440" s="21">
        <f>_xll.qlCalendarAdvance(calendar,AK439,"1D")</f>
        <v>43168</v>
      </c>
      <c r="AL440" s="21">
        <f>_xll.qlInterestRateIndexValueDate(hiborindex,AK440)</f>
        <v>43172</v>
      </c>
      <c r="AM440" s="23">
        <f>_xll.qlIndexFixing(hiborindex,AK440)</f>
        <v>-2.1838213966070097E-3</v>
      </c>
    </row>
    <row r="441" spans="37:39" x14ac:dyDescent="0.25">
      <c r="AK441" s="21">
        <f>_xll.qlCalendarAdvance(calendar,AK440,"1D")</f>
        <v>43171</v>
      </c>
      <c r="AL441" s="21">
        <f>_xll.qlInterestRateIndexValueDate(hiborindex,AK441)</f>
        <v>43173</v>
      </c>
      <c r="AM441" s="23">
        <f>_xll.qlIndexFixing(hiborindex,AK441)</f>
        <v>-2.181800081638997E-3</v>
      </c>
    </row>
    <row r="442" spans="37:39" x14ac:dyDescent="0.25">
      <c r="AK442" s="21">
        <f>_xll.qlCalendarAdvance(calendar,AK441,"1D")</f>
        <v>43172</v>
      </c>
      <c r="AL442" s="21">
        <f>_xll.qlInterestRateIndexValueDate(hiborindex,AK442)</f>
        <v>43174</v>
      </c>
      <c r="AM442" s="23">
        <f>_xll.qlIndexFixing(hiborindex,AK442)</f>
        <v>-2.1766441768849222E-3</v>
      </c>
    </row>
    <row r="443" spans="37:39" x14ac:dyDescent="0.25">
      <c r="AK443" s="21">
        <f>_xll.qlCalendarAdvance(calendar,AK442,"1D")</f>
        <v>43173</v>
      </c>
      <c r="AL443" s="21">
        <f>_xll.qlInterestRateIndexValueDate(hiborindex,AK443)</f>
        <v>43175</v>
      </c>
      <c r="AM443" s="23">
        <f>_xll.qlIndexFixing(hiborindex,AK443)</f>
        <v>-2.1761762876362045E-3</v>
      </c>
    </row>
    <row r="444" spans="37:39" x14ac:dyDescent="0.25">
      <c r="AK444" s="21">
        <f>_xll.qlCalendarAdvance(calendar,AK443,"1D")</f>
        <v>43174</v>
      </c>
      <c r="AL444" s="21">
        <f>_xll.qlInterestRateIndexValueDate(hiborindex,AK444)</f>
        <v>43178</v>
      </c>
      <c r="AM444" s="23">
        <f>_xll.qlIndexFixing(hiborindex,AK444)</f>
        <v>-2.1716036407808297E-3</v>
      </c>
    </row>
    <row r="445" spans="37:39" x14ac:dyDescent="0.25">
      <c r="AK445" s="21">
        <f>_xll.qlCalendarAdvance(calendar,AK444,"1D")</f>
        <v>43175</v>
      </c>
      <c r="AL445" s="21">
        <f>_xll.qlInterestRateIndexValueDate(hiborindex,AK445)</f>
        <v>43179</v>
      </c>
      <c r="AM445" s="23">
        <f>_xll.qlIndexFixing(hiborindex,AK445)</f>
        <v>-2.1695463792744626E-3</v>
      </c>
    </row>
    <row r="446" spans="37:39" x14ac:dyDescent="0.25">
      <c r="AK446" s="21">
        <f>_xll.qlCalendarAdvance(calendar,AK445,"1D")</f>
        <v>43178</v>
      </c>
      <c r="AL446" s="21">
        <f>_xll.qlInterestRateIndexValueDate(hiborindex,AK446)</f>
        <v>43180</v>
      </c>
      <c r="AM446" s="23">
        <f>_xll.qlIndexFixing(hiborindex,AK446)</f>
        <v>-2.1674831266124805E-3</v>
      </c>
    </row>
    <row r="447" spans="37:39" x14ac:dyDescent="0.25">
      <c r="AK447" s="21">
        <f>_xll.qlCalendarAdvance(calendar,AK446,"1D")</f>
        <v>43179</v>
      </c>
      <c r="AL447" s="21">
        <f>_xll.qlInterestRateIndexValueDate(hiborindex,AK447)</f>
        <v>43181</v>
      </c>
      <c r="AM447" s="23">
        <f>_xll.qlIndexFixing(hiborindex,AK447)</f>
        <v>-2.1623990553191444E-3</v>
      </c>
    </row>
    <row r="448" spans="37:39" x14ac:dyDescent="0.25">
      <c r="AK448" s="21">
        <f>_xll.qlCalendarAdvance(calendar,AK447,"1D")</f>
        <v>43180</v>
      </c>
      <c r="AL448" s="21">
        <f>_xll.qlInterestRateIndexValueDate(hiborindex,AK448)</f>
        <v>43182</v>
      </c>
      <c r="AM448" s="23">
        <f>_xll.qlIndexFixing(hiborindex,AK448)</f>
        <v>-2.1618328767296336E-3</v>
      </c>
    </row>
    <row r="449" spans="37:39" x14ac:dyDescent="0.25">
      <c r="AK449" s="21">
        <f>_xll.qlCalendarAdvance(calendar,AK448,"1D")</f>
        <v>43181</v>
      </c>
      <c r="AL449" s="21">
        <f>_xll.qlInterestRateIndexValueDate(hiborindex,AK449)</f>
        <v>43185</v>
      </c>
      <c r="AM449" s="23">
        <f>_xll.qlIndexFixing(hiborindex,AK449)</f>
        <v>-2.1570769952995307E-3</v>
      </c>
    </row>
    <row r="450" spans="37:39" x14ac:dyDescent="0.25">
      <c r="AK450" s="21">
        <f>_xll.qlCalendarAdvance(calendar,AK449,"1D")</f>
        <v>43182</v>
      </c>
      <c r="AL450" s="21">
        <f>_xll.qlInterestRateIndexValueDate(hiborindex,AK450)</f>
        <v>43186</v>
      </c>
      <c r="AM450" s="23">
        <f>_xll.qlIndexFixing(hiborindex,AK450)</f>
        <v>-2.1549777953030918E-3</v>
      </c>
    </row>
    <row r="451" spans="37:39" x14ac:dyDescent="0.25">
      <c r="AK451" s="21">
        <f>_xll.qlCalendarAdvance(calendar,AK450,"1D")</f>
        <v>43185</v>
      </c>
      <c r="AL451" s="21">
        <f>_xll.qlInterestRateIndexValueDate(hiborindex,AK451)</f>
        <v>43187</v>
      </c>
      <c r="AM451" s="23">
        <f>_xll.qlIndexFixing(hiborindex,AK451)</f>
        <v>-2.1528726040165799E-3</v>
      </c>
    </row>
    <row r="452" spans="37:39" x14ac:dyDescent="0.25">
      <c r="AK452" s="21">
        <f>_xll.qlCalendarAdvance(calendar,AK451,"1D")</f>
        <v>43186</v>
      </c>
      <c r="AL452" s="21">
        <f>_xll.qlInterestRateIndexValueDate(hiborindex,AK452)</f>
        <v>43188</v>
      </c>
      <c r="AM452" s="23">
        <f>_xll.qlIndexFixing(hiborindex,AK452)</f>
        <v>-2.152229602113425E-3</v>
      </c>
    </row>
    <row r="453" spans="37:39" x14ac:dyDescent="0.25">
      <c r="AK453" s="21">
        <f>_xll.qlCalendarAdvance(calendar,AK452,"1D")</f>
        <v>43187</v>
      </c>
      <c r="AL453" s="21">
        <f>_xll.qlInterestRateIndexValueDate(hiborindex,AK453)</f>
        <v>43193</v>
      </c>
      <c r="AM453" s="23">
        <f>_xll.qlIndexFixing(hiborindex,AK453)</f>
        <v>-2.1380368621111583E-3</v>
      </c>
    </row>
    <row r="454" spans="37:39" x14ac:dyDescent="0.25">
      <c r="AK454" s="21">
        <f>_xll.qlCalendarAdvance(calendar,AK453,"1D")</f>
        <v>43188</v>
      </c>
      <c r="AL454" s="21">
        <f>_xll.qlInterestRateIndexValueDate(hiborindex,AK454)</f>
        <v>43194</v>
      </c>
      <c r="AM454" s="23">
        <f>_xll.qlIndexFixing(hiborindex,AK454)</f>
        <v>-2.1351737079244142E-3</v>
      </c>
    </row>
    <row r="455" spans="37:39" x14ac:dyDescent="0.25">
      <c r="AK455" s="21">
        <f>_xll.qlCalendarAdvance(calendar,AK454,"1D")</f>
        <v>43193</v>
      </c>
      <c r="AL455" s="21">
        <f>_xll.qlInterestRateIndexValueDate(hiborindex,AK455)</f>
        <v>43195</v>
      </c>
      <c r="AM455" s="23">
        <f>_xll.qlIndexFixing(hiborindex,AK455)</f>
        <v>-2.1323023515916043E-3</v>
      </c>
    </row>
    <row r="456" spans="37:39" x14ac:dyDescent="0.25">
      <c r="AK456" s="21">
        <f>_xll.qlCalendarAdvance(calendar,AK455,"1D")</f>
        <v>43194</v>
      </c>
      <c r="AL456" s="21">
        <f>_xll.qlInterestRateIndexValueDate(hiborindex,AK456)</f>
        <v>43196</v>
      </c>
      <c r="AM456" s="23">
        <f>_xll.qlIndexFixing(hiborindex,AK456)</f>
        <v>-2.1266992660200434E-3</v>
      </c>
    </row>
    <row r="457" spans="37:39" x14ac:dyDescent="0.25">
      <c r="AK457" s="21">
        <f>_xll.qlCalendarAdvance(calendar,AK456,"1D")</f>
        <v>43195</v>
      </c>
      <c r="AL457" s="21">
        <f>_xll.qlInterestRateIndexValueDate(hiborindex,AK457)</f>
        <v>43199</v>
      </c>
      <c r="AM457" s="23">
        <f>_xll.qlIndexFixing(hiborindex,AK457)</f>
        <v>-2.1207349040855191E-3</v>
      </c>
    </row>
    <row r="458" spans="37:39" x14ac:dyDescent="0.25">
      <c r="AK458" s="21">
        <f>_xll.qlCalendarAdvance(calendar,AK457,"1D")</f>
        <v>43196</v>
      </c>
      <c r="AL458" s="21">
        <f>_xll.qlInterestRateIndexValueDate(hiborindex,AK458)</f>
        <v>43200</v>
      </c>
      <c r="AM458" s="23">
        <f>_xll.qlIndexFixing(hiborindex,AK458)</f>
        <v>-2.1178225364837924E-3</v>
      </c>
    </row>
    <row r="459" spans="37:39" x14ac:dyDescent="0.25">
      <c r="AK459" s="21">
        <f>_xll.qlCalendarAdvance(calendar,AK458,"1D")</f>
        <v>43199</v>
      </c>
      <c r="AL459" s="21">
        <f>_xll.qlInterestRateIndexValueDate(hiborindex,AK459)</f>
        <v>43201</v>
      </c>
      <c r="AM459" s="23">
        <f>_xll.qlIndexFixing(hiborindex,AK459)</f>
        <v>-2.1149019665195608E-3</v>
      </c>
    </row>
    <row r="460" spans="37:39" x14ac:dyDescent="0.25">
      <c r="AK460" s="21">
        <f>_xll.qlCalendarAdvance(calendar,AK459,"1D")</f>
        <v>43200</v>
      </c>
      <c r="AL460" s="21">
        <f>_xll.qlInterestRateIndexValueDate(hiborindex,AK460)</f>
        <v>43202</v>
      </c>
      <c r="AM460" s="23">
        <f>_xll.qlIndexFixing(hiborindex,AK460)</f>
        <v>-2.1119731941563508E-3</v>
      </c>
    </row>
    <row r="461" spans="37:39" x14ac:dyDescent="0.25">
      <c r="AK461" s="21">
        <f>_xll.qlCalendarAdvance(calendar,AK460,"1D")</f>
        <v>43201</v>
      </c>
      <c r="AL461" s="21">
        <f>_xll.qlInterestRateIndexValueDate(hiborindex,AK461)</f>
        <v>43203</v>
      </c>
      <c r="AM461" s="23">
        <f>_xll.qlIndexFixing(hiborindex,AK461)</f>
        <v>-2.1064923018029045E-3</v>
      </c>
    </row>
    <row r="462" spans="37:39" x14ac:dyDescent="0.25">
      <c r="AK462" s="21">
        <f>_xll.qlCalendarAdvance(calendar,AK461,"1D")</f>
        <v>43202</v>
      </c>
      <c r="AL462" s="21">
        <f>_xll.qlInterestRateIndexValueDate(hiborindex,AK462)</f>
        <v>43206</v>
      </c>
      <c r="AM462" s="23">
        <f>_xll.qlIndexFixing(hiborindex,AK462)</f>
        <v>-2.1001760799733322E-3</v>
      </c>
    </row>
    <row r="463" spans="37:39" x14ac:dyDescent="0.25">
      <c r="AK463" s="21">
        <f>_xll.qlCalendarAdvance(calendar,AK462,"1D")</f>
        <v>43203</v>
      </c>
      <c r="AL463" s="21">
        <f>_xll.qlInterestRateIndexValueDate(hiborindex,AK463)</f>
        <v>43207</v>
      </c>
      <c r="AM463" s="23">
        <f>_xll.qlIndexFixing(hiborindex,AK463)</f>
        <v>-2.0972062950611369E-3</v>
      </c>
    </row>
    <row r="464" spans="37:39" x14ac:dyDescent="0.25">
      <c r="AK464" s="21">
        <f>_xll.qlCalendarAdvance(calendar,AK463,"1D")</f>
        <v>43206</v>
      </c>
      <c r="AL464" s="21">
        <f>_xll.qlInterestRateIndexValueDate(hiborindex,AK464)</f>
        <v>43208</v>
      </c>
      <c r="AM464" s="23">
        <f>_xll.qlIndexFixing(hiborindex,AK464)</f>
        <v>-2.0942283075285006E-3</v>
      </c>
    </row>
    <row r="465" spans="37:39" x14ac:dyDescent="0.25">
      <c r="AK465" s="21">
        <f>_xll.qlCalendarAdvance(calendar,AK464,"1D")</f>
        <v>43207</v>
      </c>
      <c r="AL465" s="21">
        <f>_xll.qlInterestRateIndexValueDate(hiborindex,AK465)</f>
        <v>43209</v>
      </c>
      <c r="AM465" s="23">
        <f>_xll.qlIndexFixing(hiborindex,AK465)</f>
        <v>-2.0912421173376393E-3</v>
      </c>
    </row>
    <row r="466" spans="37:39" x14ac:dyDescent="0.25">
      <c r="AK466" s="21">
        <f>_xll.qlCalendarAdvance(calendar,AK465,"1D")</f>
        <v>43208</v>
      </c>
      <c r="AL466" s="21">
        <f>_xll.qlInterestRateIndexValueDate(hiborindex,AK466)</f>
        <v>43210</v>
      </c>
      <c r="AM466" s="23">
        <f>_xll.qlIndexFixing(hiborindex,AK466)</f>
        <v>-2.0858877647788737E-3</v>
      </c>
    </row>
    <row r="467" spans="37:39" x14ac:dyDescent="0.25">
      <c r="AK467" s="21">
        <f>_xll.qlCalendarAdvance(calendar,AK466,"1D")</f>
        <v>43209</v>
      </c>
      <c r="AL467" s="21">
        <f>_xll.qlInterestRateIndexValueDate(hiborindex,AK467)</f>
        <v>43213</v>
      </c>
      <c r="AM467" s="23">
        <f>_xll.qlIndexFixing(hiborindex,AK467)</f>
        <v>-2.0792153292428193E-3</v>
      </c>
    </row>
    <row r="468" spans="37:39" x14ac:dyDescent="0.25">
      <c r="AK468" s="21">
        <f>_xll.qlCalendarAdvance(calendar,AK467,"1D")</f>
        <v>43210</v>
      </c>
      <c r="AL468" s="21">
        <f>_xll.qlInterestRateIndexValueDate(hiborindex,AK468)</f>
        <v>43214</v>
      </c>
      <c r="AM468" s="23">
        <f>_xll.qlIndexFixing(hiborindex,AK468)</f>
        <v>-2.0761881251984424E-3</v>
      </c>
    </row>
    <row r="469" spans="37:39" x14ac:dyDescent="0.25">
      <c r="AK469" s="21">
        <f>_xll.qlCalendarAdvance(calendar,AK468,"1D")</f>
        <v>43213</v>
      </c>
      <c r="AL469" s="21">
        <f>_xll.qlInterestRateIndexValueDate(hiborindex,AK469)</f>
        <v>43215</v>
      </c>
      <c r="AM469" s="23">
        <f>_xll.qlIndexFixing(hiborindex,AK469)</f>
        <v>-2.0731527182697921E-3</v>
      </c>
    </row>
    <row r="470" spans="37:39" x14ac:dyDescent="0.25">
      <c r="AK470" s="21">
        <f>_xll.qlCalendarAdvance(calendar,AK469,"1D")</f>
        <v>43214</v>
      </c>
      <c r="AL470" s="21">
        <f>_xll.qlInterestRateIndexValueDate(hiborindex,AK470)</f>
        <v>43216</v>
      </c>
      <c r="AM470" s="23">
        <f>_xll.qlIndexFixing(hiborindex,AK470)</f>
        <v>-2.0701091084197399E-3</v>
      </c>
    </row>
    <row r="471" spans="37:39" x14ac:dyDescent="0.25">
      <c r="AK471" s="21">
        <f>_xll.qlCalendarAdvance(calendar,AK470,"1D")</f>
        <v>43215</v>
      </c>
      <c r="AL471" s="21">
        <f>_xll.qlInterestRateIndexValueDate(hiborindex,AK471)</f>
        <v>43217</v>
      </c>
      <c r="AM471" s="23">
        <f>_xll.qlIndexFixing(hiborindex,AK471)</f>
        <v>-2.0648856423089793E-3</v>
      </c>
    </row>
    <row r="472" spans="37:39" x14ac:dyDescent="0.25">
      <c r="AK472" s="21">
        <f>_xll.qlCalendarAdvance(calendar,AK471,"1D")</f>
        <v>43216</v>
      </c>
      <c r="AL472" s="21">
        <f>_xll.qlInterestRateIndexValueDate(hiborindex,AK472)</f>
        <v>43220</v>
      </c>
      <c r="AM472" s="23">
        <f>_xll.qlIndexFixing(hiborindex,AK472)</f>
        <v>-2.0568036494696433E-3</v>
      </c>
    </row>
    <row r="473" spans="37:39" x14ac:dyDescent="0.25">
      <c r="AK473" s="21">
        <f>_xll.qlCalendarAdvance(calendar,AK472,"1D")</f>
        <v>43217</v>
      </c>
      <c r="AL473" s="21">
        <f>_xll.qlInterestRateIndexValueDate(hiborindex,AK473)</f>
        <v>43222</v>
      </c>
      <c r="AM473" s="23">
        <f>_xll.qlIndexFixing(hiborindex,AK473)</f>
        <v>-2.0511449969719811E-3</v>
      </c>
    </row>
    <row r="474" spans="37:39" x14ac:dyDescent="0.25">
      <c r="AK474" s="21">
        <f>_xll.qlCalendarAdvance(calendar,AK473,"1D")</f>
        <v>43220</v>
      </c>
      <c r="AL474" s="21">
        <f>_xll.qlInterestRateIndexValueDate(hiborindex,AK474)</f>
        <v>43223</v>
      </c>
      <c r="AM474" s="23">
        <f>_xll.qlIndexFixing(hiborindex,AK474)</f>
        <v>-2.0463054935670661E-3</v>
      </c>
    </row>
    <row r="475" spans="37:39" x14ac:dyDescent="0.25">
      <c r="AK475" s="21">
        <f>_xll.qlCalendarAdvance(calendar,AK474,"1D")</f>
        <v>43222</v>
      </c>
      <c r="AL475" s="21">
        <f>_xll.qlInterestRateIndexValueDate(hiborindex,AK475)</f>
        <v>43224</v>
      </c>
      <c r="AM475" s="23">
        <f>_xll.qlIndexFixing(hiborindex,AK475)</f>
        <v>-2.0444656822246267E-3</v>
      </c>
    </row>
    <row r="476" spans="37:39" x14ac:dyDescent="0.25">
      <c r="AK476" s="21">
        <f>_xll.qlCalendarAdvance(calendar,AK475,"1D")</f>
        <v>43223</v>
      </c>
      <c r="AL476" s="21">
        <f>_xll.qlInterestRateIndexValueDate(hiborindex,AK476)</f>
        <v>43227</v>
      </c>
      <c r="AM476" s="23">
        <f>_xll.qlIndexFixing(hiborindex,AK476)</f>
        <v>-2.0368683728353965E-3</v>
      </c>
    </row>
    <row r="477" spans="37:39" x14ac:dyDescent="0.25">
      <c r="AK477" s="21">
        <f>_xll.qlCalendarAdvance(calendar,AK476,"1D")</f>
        <v>43224</v>
      </c>
      <c r="AL477" s="21">
        <f>_xll.qlInterestRateIndexValueDate(hiborindex,AK477)</f>
        <v>43228</v>
      </c>
      <c r="AM477" s="23">
        <f>_xll.qlIndexFixing(hiborindex,AK477)</f>
        <v>-2.0339907632519519E-3</v>
      </c>
    </row>
    <row r="478" spans="37:39" x14ac:dyDescent="0.25">
      <c r="AK478" s="21">
        <f>_xll.qlCalendarAdvance(calendar,AK477,"1D")</f>
        <v>43227</v>
      </c>
      <c r="AL478" s="21">
        <f>_xll.qlInterestRateIndexValueDate(hiborindex,AK478)</f>
        <v>43229</v>
      </c>
      <c r="AM478" s="23">
        <f>_xll.qlIndexFixing(hiborindex,AK478)</f>
        <v>-2.0311057253401205E-3</v>
      </c>
    </row>
    <row r="479" spans="37:39" x14ac:dyDescent="0.25">
      <c r="AK479" s="21">
        <f>_xll.qlCalendarAdvance(calendar,AK478,"1D")</f>
        <v>43228</v>
      </c>
      <c r="AL479" s="21">
        <f>_xll.qlInterestRateIndexValueDate(hiborindex,AK479)</f>
        <v>43230</v>
      </c>
      <c r="AM479" s="23">
        <f>_xll.qlIndexFixing(hiborindex,AK479)</f>
        <v>-2.0263896876086948E-3</v>
      </c>
    </row>
    <row r="480" spans="37:39" x14ac:dyDescent="0.25">
      <c r="AK480" s="21">
        <f>_xll.qlCalendarAdvance(calendar,AK479,"1D")</f>
        <v>43229</v>
      </c>
      <c r="AL480" s="21">
        <f>_xll.qlInterestRateIndexValueDate(hiborindex,AK480)</f>
        <v>43231</v>
      </c>
      <c r="AM480" s="23">
        <f>_xll.qlIndexFixing(hiborindex,AK480)</f>
        <v>-2.0244109018524733E-3</v>
      </c>
    </row>
    <row r="481" spans="37:39" x14ac:dyDescent="0.25">
      <c r="AK481" s="21">
        <f>_xll.qlCalendarAdvance(calendar,AK480,"1D")</f>
        <v>43230</v>
      </c>
      <c r="AL481" s="21">
        <f>_xll.qlInterestRateIndexValueDate(hiborindex,AK481)</f>
        <v>43234</v>
      </c>
      <c r="AM481" s="23">
        <f>_xll.qlIndexFixing(hiborindex,AK481)</f>
        <v>-2.0165691097030337E-3</v>
      </c>
    </row>
    <row r="482" spans="37:39" x14ac:dyDescent="0.25">
      <c r="AK482" s="21">
        <f>_xll.qlCalendarAdvance(calendar,AK481,"1D")</f>
        <v>43231</v>
      </c>
      <c r="AL482" s="21">
        <f>_xll.qlInterestRateIndexValueDate(hiborindex,AK482)</f>
        <v>43235</v>
      </c>
      <c r="AM482" s="23">
        <f>_xll.qlIndexFixing(hiborindex,AK482)</f>
        <v>-2.0136395011277381E-3</v>
      </c>
    </row>
    <row r="483" spans="37:39" x14ac:dyDescent="0.25">
      <c r="AK483" s="21">
        <f>_xll.qlCalendarAdvance(calendar,AK482,"1D")</f>
        <v>43234</v>
      </c>
      <c r="AL483" s="21">
        <f>_xll.qlInterestRateIndexValueDate(hiborindex,AK483)</f>
        <v>43236</v>
      </c>
      <c r="AM483" s="23">
        <f>_xll.qlIndexFixing(hiborindex,AK483)</f>
        <v>-2.0107024639927184E-3</v>
      </c>
    </row>
    <row r="484" spans="37:39" x14ac:dyDescent="0.25">
      <c r="AK484" s="21">
        <f>_xll.qlCalendarAdvance(calendar,AK483,"1D")</f>
        <v>43235</v>
      </c>
      <c r="AL484" s="21">
        <f>_xll.qlInterestRateIndexValueDate(hiborindex,AK484)</f>
        <v>43237</v>
      </c>
      <c r="AM484" s="23">
        <f>_xll.qlIndexFixing(hiborindex,AK484)</f>
        <v>-2.0061138070788741E-3</v>
      </c>
    </row>
    <row r="485" spans="37:39" x14ac:dyDescent="0.25">
      <c r="AK485" s="21">
        <f>_xll.qlCalendarAdvance(calendar,AK484,"1D")</f>
        <v>43236</v>
      </c>
      <c r="AL485" s="21">
        <f>_xll.qlInterestRateIndexValueDate(hiborindex,AK485)</f>
        <v>43238</v>
      </c>
      <c r="AM485" s="23">
        <f>_xll.qlIndexFixing(hiborindex,AK485)</f>
        <v>-2.0039940975021733E-3</v>
      </c>
    </row>
    <row r="486" spans="37:39" x14ac:dyDescent="0.25">
      <c r="AK486" s="21">
        <f>_xll.qlCalendarAdvance(calendar,AK485,"1D")</f>
        <v>43237</v>
      </c>
      <c r="AL486" s="21">
        <f>_xll.qlInterestRateIndexValueDate(hiborindex,AK486)</f>
        <v>43241</v>
      </c>
      <c r="AM486" s="23">
        <f>_xll.qlIndexFixing(hiborindex,AK486)</f>
        <v>-1.9959058487366227E-3</v>
      </c>
    </row>
    <row r="487" spans="37:39" x14ac:dyDescent="0.25">
      <c r="AK487" s="21">
        <f>_xll.qlCalendarAdvance(calendar,AK486,"1D")</f>
        <v>43238</v>
      </c>
      <c r="AL487" s="21">
        <f>_xll.qlInterestRateIndexValueDate(hiborindex,AK487)</f>
        <v>43242</v>
      </c>
      <c r="AM487" s="23">
        <f>_xll.qlIndexFixing(hiborindex,AK487)</f>
        <v>-1.9929242395331759E-3</v>
      </c>
    </row>
    <row r="488" spans="37:39" x14ac:dyDescent="0.25">
      <c r="AK488" s="21">
        <f>_xll.qlCalendarAdvance(calendar,AK487,"1D")</f>
        <v>43241</v>
      </c>
      <c r="AL488" s="21">
        <f>_xll.qlInterestRateIndexValueDate(hiborindex,AK488)</f>
        <v>43243</v>
      </c>
      <c r="AM488" s="23">
        <f>_xll.qlIndexFixing(hiborindex,AK488)</f>
        <v>-1.9899352015334548E-3</v>
      </c>
    </row>
    <row r="489" spans="37:39" x14ac:dyDescent="0.25">
      <c r="AK489" s="21">
        <f>_xll.qlCalendarAdvance(calendar,AK488,"1D")</f>
        <v>43242</v>
      </c>
      <c r="AL489" s="21">
        <f>_xll.qlInterestRateIndexValueDate(hiborindex,AK489)</f>
        <v>43244</v>
      </c>
      <c r="AM489" s="23">
        <f>_xll.qlIndexFixing(hiborindex,AK489)</f>
        <v>-1.9854778406541884E-3</v>
      </c>
    </row>
    <row r="490" spans="37:39" x14ac:dyDescent="0.25">
      <c r="AK490" s="21">
        <f>_xll.qlCalendarAdvance(calendar,AK489,"1D")</f>
        <v>43243</v>
      </c>
      <c r="AL490" s="21">
        <f>_xll.qlInterestRateIndexValueDate(hiborindex,AK490)</f>
        <v>43245</v>
      </c>
      <c r="AM490" s="23">
        <f>_xll.qlIndexFixing(hiborindex,AK490)</f>
        <v>-1.9832152577720359E-3</v>
      </c>
    </row>
    <row r="491" spans="37:39" x14ac:dyDescent="0.25">
      <c r="AK491" s="21">
        <f>_xll.qlCalendarAdvance(calendar,AK490,"1D")</f>
        <v>43244</v>
      </c>
      <c r="AL491" s="21">
        <f>_xll.qlInterestRateIndexValueDate(hiborindex,AK491)</f>
        <v>43248</v>
      </c>
      <c r="AM491" s="23">
        <f>_xll.qlIndexFixing(hiborindex,AK491)</f>
        <v>-1.9748785783943097E-3</v>
      </c>
    </row>
    <row r="492" spans="37:39" x14ac:dyDescent="0.25">
      <c r="AK492" s="21">
        <f>_xll.qlCalendarAdvance(calendar,AK491,"1D")</f>
        <v>43245</v>
      </c>
      <c r="AL492" s="21">
        <f>_xll.qlInterestRateIndexValueDate(hiborindex,AK492)</f>
        <v>43249</v>
      </c>
      <c r="AM492" s="23">
        <f>_xll.qlIndexFixing(hiborindex,AK492)</f>
        <v>-1.9718449668977389E-3</v>
      </c>
    </row>
    <row r="493" spans="37:39" x14ac:dyDescent="0.25">
      <c r="AK493" s="21">
        <f>_xll.qlCalendarAdvance(calendar,AK492,"1D")</f>
        <v>43248</v>
      </c>
      <c r="AL493" s="21">
        <f>_xll.qlInterestRateIndexValueDate(hiborindex,AK493)</f>
        <v>43250</v>
      </c>
      <c r="AM493" s="23">
        <f>_xll.qlIndexFixing(hiborindex,AK493)</f>
        <v>-1.9688039263648688E-3</v>
      </c>
    </row>
    <row r="494" spans="37:39" x14ac:dyDescent="0.25">
      <c r="AK494" s="21">
        <f>_xll.qlCalendarAdvance(calendar,AK493,"1D")</f>
        <v>43249</v>
      </c>
      <c r="AL494" s="21">
        <f>_xll.qlInterestRateIndexValueDate(hiborindex,AK494)</f>
        <v>43251</v>
      </c>
      <c r="AM494" s="23">
        <f>_xll.qlIndexFixing(hiborindex,AK494)</f>
        <v>-1.9663982181066715E-3</v>
      </c>
    </row>
    <row r="495" spans="37:39" x14ac:dyDescent="0.25">
      <c r="AK495" s="21">
        <f>_xll.qlCalendarAdvance(calendar,AK494,"1D")</f>
        <v>43250</v>
      </c>
      <c r="AL495" s="21">
        <f>_xll.qlInterestRateIndexValueDate(hiborindex,AK495)</f>
        <v>43252</v>
      </c>
      <c r="AM495" s="23">
        <f>_xll.qlIndexFixing(hiborindex,AK495)</f>
        <v>-1.9623664108288988E-3</v>
      </c>
    </row>
    <row r="496" spans="37:39" x14ac:dyDescent="0.25">
      <c r="AK496" s="21">
        <f>_xll.qlCalendarAdvance(calendar,AK495,"1D")</f>
        <v>43251</v>
      </c>
      <c r="AL496" s="21">
        <f>_xll.qlInterestRateIndexValueDate(hiborindex,AK496)</f>
        <v>43255</v>
      </c>
      <c r="AM496" s="23">
        <f>_xll.qlIndexFixing(hiborindex,AK496)</f>
        <v>-1.9552607709222747E-3</v>
      </c>
    </row>
    <row r="497" spans="37:39" x14ac:dyDescent="0.25">
      <c r="AK497" s="21">
        <f>_xll.qlCalendarAdvance(calendar,AK496,"1D")</f>
        <v>43252</v>
      </c>
      <c r="AL497" s="21">
        <f>_xll.qlInterestRateIndexValueDate(hiborindex,AK497)</f>
        <v>43256</v>
      </c>
      <c r="AM497" s="23">
        <f>_xll.qlIndexFixing(hiborindex,AK497)</f>
        <v>-1.9524598365912465E-3</v>
      </c>
    </row>
    <row r="498" spans="37:39" x14ac:dyDescent="0.25">
      <c r="AK498" s="21">
        <f>_xll.qlCalendarAdvance(calendar,AK497,"1D")</f>
        <v>43255</v>
      </c>
      <c r="AL498" s="21">
        <f>_xll.qlInterestRateIndexValueDate(hiborindex,AK498)</f>
        <v>43257</v>
      </c>
      <c r="AM498" s="23">
        <f>_xll.qlIndexFixing(hiborindex,AK498)</f>
        <v>-1.9496522731898109E-3</v>
      </c>
    </row>
    <row r="499" spans="37:39" x14ac:dyDescent="0.25">
      <c r="AK499" s="21">
        <f>_xll.qlCalendarAdvance(calendar,AK498,"1D")</f>
        <v>43256</v>
      </c>
      <c r="AL499" s="21">
        <f>_xll.qlInterestRateIndexValueDate(hiborindex,AK499)</f>
        <v>43258</v>
      </c>
      <c r="AM499" s="23">
        <f>_xll.qlIndexFixing(hiborindex,AK499)</f>
        <v>-1.9468380806891385E-3</v>
      </c>
    </row>
    <row r="500" spans="37:39" x14ac:dyDescent="0.25">
      <c r="AK500" s="21">
        <f>_xll.qlCalendarAdvance(calendar,AK499,"1D")</f>
        <v>43257</v>
      </c>
      <c r="AL500" s="21">
        <f>_xll.qlInterestRateIndexValueDate(hiborindex,AK500)</f>
        <v>43259</v>
      </c>
      <c r="AM500" s="23">
        <f>_xll.qlIndexFixing(hiborindex,AK500)</f>
        <v>-1.9429310320507607E-3</v>
      </c>
    </row>
    <row r="501" spans="37:39" x14ac:dyDescent="0.25">
      <c r="AK501" s="21">
        <f>_xll.qlCalendarAdvance(calendar,AK500,"1D")</f>
        <v>43258</v>
      </c>
      <c r="AL501" s="21">
        <f>_xll.qlInterestRateIndexValueDate(hiborindex,AK501)</f>
        <v>43262</v>
      </c>
      <c r="AM501" s="23">
        <f>_xll.qlIndexFixing(hiborindex,AK501)</f>
        <v>-1.9355150191266662E-3</v>
      </c>
    </row>
    <row r="502" spans="37:39" x14ac:dyDescent="0.25">
      <c r="AK502" s="21">
        <f>_xll.qlCalendarAdvance(calendar,AK501,"1D")</f>
        <v>43259</v>
      </c>
      <c r="AL502" s="21">
        <f>_xll.qlInterestRateIndexValueDate(hiborindex,AK502)</f>
        <v>43263</v>
      </c>
      <c r="AM502" s="23">
        <f>_xll.qlIndexFixing(hiborindex,AK502)</f>
        <v>-1.9326676807023926E-3</v>
      </c>
    </row>
    <row r="503" spans="37:39" x14ac:dyDescent="0.25">
      <c r="AK503" s="21">
        <f>_xll.qlCalendarAdvance(calendar,AK502,"1D")</f>
        <v>43262</v>
      </c>
      <c r="AL503" s="21">
        <f>_xll.qlInterestRateIndexValueDate(hiborindex,AK503)</f>
        <v>43264</v>
      </c>
      <c r="AM503" s="23">
        <f>_xll.qlIndexFixing(hiborindex,AK503)</f>
        <v>-1.9298137130080895E-3</v>
      </c>
    </row>
    <row r="504" spans="37:39" x14ac:dyDescent="0.25">
      <c r="AK504" s="21">
        <f>_xll.qlCalendarAdvance(calendar,AK503,"1D")</f>
        <v>43263</v>
      </c>
      <c r="AL504" s="21">
        <f>_xll.qlInterestRateIndexValueDate(hiborindex,AK504)</f>
        <v>43265</v>
      </c>
      <c r="AM504" s="23">
        <f>_xll.qlIndexFixing(hiborindex,AK504)</f>
        <v>-1.9269531160133993E-3</v>
      </c>
    </row>
    <row r="505" spans="37:39" x14ac:dyDescent="0.25">
      <c r="AK505" s="21">
        <f>_xll.qlCalendarAdvance(calendar,AK504,"1D")</f>
        <v>43264</v>
      </c>
      <c r="AL505" s="21">
        <f>_xll.qlInterestRateIndexValueDate(hiborindex,AK505)</f>
        <v>43266</v>
      </c>
      <c r="AM505" s="23">
        <f>_xll.qlIndexFixing(hiborindex,AK505)</f>
        <v>-1.9231743387462855E-3</v>
      </c>
    </row>
    <row r="506" spans="37:39" x14ac:dyDescent="0.25">
      <c r="AK506" s="21">
        <f>_xll.qlCalendarAdvance(calendar,AK505,"1D")</f>
        <v>43265</v>
      </c>
      <c r="AL506" s="21">
        <f>_xll.qlInterestRateIndexValueDate(hiborindex,AK506)</f>
        <v>43269</v>
      </c>
      <c r="AM506" s="23">
        <f>_xll.qlIndexFixing(hiborindex,AK506)</f>
        <v>-1.9154444344602923E-3</v>
      </c>
    </row>
    <row r="507" spans="37:39" x14ac:dyDescent="0.25">
      <c r="AK507" s="21">
        <f>_xll.qlCalendarAdvance(calendar,AK506,"1D")</f>
        <v>43266</v>
      </c>
      <c r="AL507" s="21">
        <f>_xll.qlInterestRateIndexValueDate(hiborindex,AK507)</f>
        <v>43270</v>
      </c>
      <c r="AM507" s="23">
        <f>_xll.qlIndexFixing(hiborindex,AK507)</f>
        <v>-1.9125506905323165E-3</v>
      </c>
    </row>
    <row r="508" spans="37:39" x14ac:dyDescent="0.25">
      <c r="AK508" s="21">
        <f>_xll.qlCalendarAdvance(calendar,AK507,"1D")</f>
        <v>43269</v>
      </c>
      <c r="AL508" s="21">
        <f>_xll.qlInterestRateIndexValueDate(hiborindex,AK508)</f>
        <v>43271</v>
      </c>
      <c r="AM508" s="23">
        <f>_xll.qlIndexFixing(hiborindex,AK508)</f>
        <v>-1.9096503171298848E-3</v>
      </c>
    </row>
    <row r="509" spans="37:39" x14ac:dyDescent="0.25">
      <c r="AK509" s="21">
        <f>_xll.qlCalendarAdvance(calendar,AK508,"1D")</f>
        <v>43270</v>
      </c>
      <c r="AL509" s="21">
        <f>_xll.qlInterestRateIndexValueDate(hiborindex,AK509)</f>
        <v>43272</v>
      </c>
      <c r="AM509" s="23">
        <f>_xll.qlIndexFixing(hiborindex,AK509)</f>
        <v>-1.9067433142243866E-3</v>
      </c>
    </row>
    <row r="510" spans="37:39" x14ac:dyDescent="0.25">
      <c r="AK510" s="21">
        <f>_xll.qlCalendarAdvance(calendar,AK509,"1D")</f>
        <v>43271</v>
      </c>
      <c r="AL510" s="21">
        <f>_xll.qlInterestRateIndexValueDate(hiborindex,AK510)</f>
        <v>43273</v>
      </c>
      <c r="AM510" s="23">
        <f>_xll.qlIndexFixing(hiborindex,AK510)</f>
        <v>-1.9030963211233059E-3</v>
      </c>
    </row>
    <row r="511" spans="37:39" x14ac:dyDescent="0.25">
      <c r="AK511" s="21">
        <f>_xll.qlCalendarAdvance(calendar,AK510,"1D")</f>
        <v>43272</v>
      </c>
      <c r="AL511" s="21">
        <f>_xll.qlInterestRateIndexValueDate(hiborindex,AK511)</f>
        <v>43276</v>
      </c>
      <c r="AM511" s="23">
        <f>_xll.qlIndexFixing(hiborindex,AK511)</f>
        <v>-1.8943930893793677E-3</v>
      </c>
    </row>
    <row r="512" spans="37:39" x14ac:dyDescent="0.25">
      <c r="AK512" s="21">
        <f>_xll.qlCalendarAdvance(calendar,AK511,"1D")</f>
        <v>43273</v>
      </c>
      <c r="AL512" s="21">
        <f>_xll.qlInterestRateIndexValueDate(hiborindex,AK512)</f>
        <v>43277</v>
      </c>
      <c r="AM512" s="23">
        <f>_xll.qlIndexFixing(hiborindex,AK512)</f>
        <v>-1.8917936620589239E-3</v>
      </c>
    </row>
    <row r="513" spans="37:39" x14ac:dyDescent="0.25">
      <c r="AK513" s="21">
        <f>_xll.qlCalendarAdvance(calendar,AK512,"1D")</f>
        <v>43276</v>
      </c>
      <c r="AL513" s="21">
        <f>_xll.qlInterestRateIndexValueDate(hiborindex,AK513)</f>
        <v>43278</v>
      </c>
      <c r="AM513" s="23">
        <f>_xll.qlIndexFixing(hiborindex,AK513)</f>
        <v>-1.889162075562316E-3</v>
      </c>
    </row>
    <row r="514" spans="37:39" x14ac:dyDescent="0.25">
      <c r="AK514" s="21">
        <f>_xll.qlCalendarAdvance(calendar,AK513,"1D")</f>
        <v>43277</v>
      </c>
      <c r="AL514" s="21">
        <f>_xll.qlInterestRateIndexValueDate(hiborindex,AK514)</f>
        <v>43279</v>
      </c>
      <c r="AM514" s="23">
        <f>_xll.qlIndexFixing(hiborindex,AK514)</f>
        <v>-1.8862086653038844E-3</v>
      </c>
    </row>
    <row r="515" spans="37:39" x14ac:dyDescent="0.25">
      <c r="AK515" s="21">
        <f>_xll.qlCalendarAdvance(calendar,AK514,"1D")</f>
        <v>43278</v>
      </c>
      <c r="AL515" s="21">
        <f>_xll.qlInterestRateIndexValueDate(hiborindex,AK515)</f>
        <v>43280</v>
      </c>
      <c r="AM515" s="23">
        <f>_xll.qlIndexFixing(hiborindex,AK515)</f>
        <v>-1.8826969692293505E-3</v>
      </c>
    </row>
    <row r="516" spans="37:39" x14ac:dyDescent="0.25">
      <c r="AK516" s="21">
        <f>_xll.qlCalendarAdvance(calendar,AK515,"1D")</f>
        <v>43279</v>
      </c>
      <c r="AL516" s="21">
        <f>_xll.qlInterestRateIndexValueDate(hiborindex,AK516)</f>
        <v>43283</v>
      </c>
      <c r="AM516" s="23">
        <f>_xll.qlIndexFixing(hiborindex,AK516)</f>
        <v>-1.8813473829945462E-3</v>
      </c>
    </row>
    <row r="517" spans="37:39" x14ac:dyDescent="0.25">
      <c r="AK517" s="21">
        <f>_xll.qlCalendarAdvance(calendar,AK516,"1D")</f>
        <v>43280</v>
      </c>
      <c r="AL517" s="21">
        <f>_xll.qlInterestRateIndexValueDate(hiborindex,AK517)</f>
        <v>43284</v>
      </c>
      <c r="AM517" s="23">
        <f>_xll.qlIndexFixing(hiborindex,AK517)</f>
        <v>-1.8808055784059609E-3</v>
      </c>
    </row>
    <row r="518" spans="37:39" x14ac:dyDescent="0.25">
      <c r="AK518" s="21">
        <f>_xll.qlCalendarAdvance(calendar,AK517,"1D")</f>
        <v>43283</v>
      </c>
      <c r="AL518" s="21">
        <f>_xll.qlInterestRateIndexValueDate(hiborindex,AK518)</f>
        <v>43285</v>
      </c>
      <c r="AM518" s="23">
        <f>_xll.qlIndexFixing(hiborindex,AK518)</f>
        <v>-1.8802637736666265E-3</v>
      </c>
    </row>
    <row r="519" spans="37:39" x14ac:dyDescent="0.25">
      <c r="AK519" s="21">
        <f>_xll.qlCalendarAdvance(calendar,AK518,"1D")</f>
        <v>43284</v>
      </c>
      <c r="AL519" s="21">
        <f>_xll.qlInterestRateIndexValueDate(hiborindex,AK519)</f>
        <v>43286</v>
      </c>
      <c r="AM519" s="23">
        <f>_xll.qlIndexFixing(hiborindex,AK519)</f>
        <v>-1.8791703514140212E-3</v>
      </c>
    </row>
    <row r="520" spans="37:39" x14ac:dyDescent="0.25">
      <c r="AK520" s="21">
        <f>_xll.qlCalendarAdvance(calendar,AK519,"1D")</f>
        <v>43285</v>
      </c>
      <c r="AL520" s="21">
        <f>_xll.qlInterestRateIndexValueDate(hiborindex,AK520)</f>
        <v>43287</v>
      </c>
      <c r="AM520" s="23">
        <f>_xll.qlIndexFixing(hiborindex,AK520)</f>
        <v>-1.8789043564062045E-3</v>
      </c>
    </row>
    <row r="521" spans="37:39" x14ac:dyDescent="0.25">
      <c r="AK521" s="21">
        <f>_xll.qlCalendarAdvance(calendar,AK520,"1D")</f>
        <v>43286</v>
      </c>
      <c r="AL521" s="21">
        <f>_xll.qlInterestRateIndexValueDate(hiborindex,AK521)</f>
        <v>43290</v>
      </c>
      <c r="AM521" s="23">
        <f>_xll.qlIndexFixing(hiborindex,AK521)</f>
        <v>-1.8775547477195807E-3</v>
      </c>
    </row>
    <row r="522" spans="37:39" x14ac:dyDescent="0.25">
      <c r="AK522" s="21">
        <f>_xll.qlCalendarAdvance(calendar,AK521,"1D")</f>
        <v>43287</v>
      </c>
      <c r="AL522" s="21">
        <f>_xll.qlInterestRateIndexValueDate(hiborindex,AK522)</f>
        <v>43291</v>
      </c>
      <c r="AM522" s="23">
        <f>_xll.qlIndexFixing(hiborindex,AK522)</f>
        <v>-1.8770129420798796E-3</v>
      </c>
    </row>
    <row r="523" spans="37:39" x14ac:dyDescent="0.25">
      <c r="AK523" s="21">
        <f>_xll.qlCalendarAdvance(calendar,AK522,"1D")</f>
        <v>43290</v>
      </c>
      <c r="AL523" s="21">
        <f>_xll.qlInterestRateIndexValueDate(hiborindex,AK523)</f>
        <v>43292</v>
      </c>
      <c r="AM523" s="23">
        <f>_xll.qlIndexFixing(hiborindex,AK523)</f>
        <v>-1.8764711362896467E-3</v>
      </c>
    </row>
    <row r="524" spans="37:39" x14ac:dyDescent="0.25">
      <c r="AK524" s="21">
        <f>_xll.qlCalendarAdvance(calendar,AK523,"1D")</f>
        <v>43291</v>
      </c>
      <c r="AL524" s="21">
        <f>_xll.qlInterestRateIndexValueDate(hiborindex,AK524)</f>
        <v>43293</v>
      </c>
      <c r="AM524" s="23">
        <f>_xll.qlIndexFixing(hiborindex,AK524)</f>
        <v>-1.8753777515072064E-3</v>
      </c>
    </row>
    <row r="525" spans="37:39" x14ac:dyDescent="0.25">
      <c r="AK525" s="21">
        <f>_xll.qlCalendarAdvance(calendar,AK524,"1D")</f>
        <v>43292</v>
      </c>
      <c r="AL525" s="21">
        <f>_xll.qlInterestRateIndexValueDate(hiborindex,AK525)</f>
        <v>43294</v>
      </c>
      <c r="AM525" s="23">
        <f>_xll.qlIndexFixing(hiborindex,AK525)</f>
        <v>-1.8751117361846524E-3</v>
      </c>
    </row>
    <row r="526" spans="37:39" x14ac:dyDescent="0.25">
      <c r="AK526" s="21">
        <f>_xll.qlCalendarAdvance(calendar,AK525,"1D")</f>
        <v>43293</v>
      </c>
      <c r="AL526" s="21">
        <f>_xll.qlInterestRateIndexValueDate(hiborindex,AK526)</f>
        <v>43297</v>
      </c>
      <c r="AM526" s="23">
        <f>_xll.qlIndexFixing(hiborindex,AK526)</f>
        <v>-1.8737621050857192E-3</v>
      </c>
    </row>
    <row r="527" spans="37:39" x14ac:dyDescent="0.25">
      <c r="AK527" s="21">
        <f>_xll.qlCalendarAdvance(calendar,AK526,"1D")</f>
        <v>43294</v>
      </c>
      <c r="AL527" s="21">
        <f>_xll.qlInterestRateIndexValueDate(hiborindex,AK527)</f>
        <v>43298</v>
      </c>
      <c r="AM527" s="23">
        <f>_xll.qlIndexFixing(hiborindex,AK527)</f>
        <v>-1.8732202983942506E-3</v>
      </c>
    </row>
    <row r="528" spans="37:39" x14ac:dyDescent="0.25">
      <c r="AK528" s="21">
        <f>_xll.qlCalendarAdvance(calendar,AK527,"1D")</f>
        <v>43297</v>
      </c>
      <c r="AL528" s="21">
        <f>_xll.qlInterestRateIndexValueDate(hiborindex,AK528)</f>
        <v>43299</v>
      </c>
      <c r="AM528" s="23">
        <f>_xll.qlIndexFixing(hiborindex,AK528)</f>
        <v>-1.8726784915526849E-3</v>
      </c>
    </row>
    <row r="529" spans="37:39" x14ac:dyDescent="0.25">
      <c r="AK529" s="21">
        <f>_xll.qlCalendarAdvance(calendar,AK528,"1D")</f>
        <v>43298</v>
      </c>
      <c r="AL529" s="21">
        <f>_xll.qlInterestRateIndexValueDate(hiborindex,AK529)</f>
        <v>43300</v>
      </c>
      <c r="AM529" s="23">
        <f>_xll.qlIndexFixing(hiborindex,AK529)</f>
        <v>-1.8715851441618255E-3</v>
      </c>
    </row>
    <row r="530" spans="37:39" x14ac:dyDescent="0.25">
      <c r="AK530" s="21">
        <f>_xll.qlCalendarAdvance(calendar,AK529,"1D")</f>
        <v>43299</v>
      </c>
      <c r="AL530" s="21">
        <f>_xll.qlInterestRateIndexValueDate(hiborindex,AK530)</f>
        <v>43301</v>
      </c>
      <c r="AM530" s="23">
        <f>_xll.qlIndexFixing(hiborindex,AK530)</f>
        <v>-1.8713191085640458E-3</v>
      </c>
    </row>
    <row r="531" spans="37:39" x14ac:dyDescent="0.25">
      <c r="AK531" s="21">
        <f>_xll.qlCalendarAdvance(calendar,AK530,"1D")</f>
        <v>43300</v>
      </c>
      <c r="AL531" s="21">
        <f>_xll.qlInterestRateIndexValueDate(hiborindex,AK531)</f>
        <v>43304</v>
      </c>
      <c r="AM531" s="23">
        <f>_xll.qlIndexFixing(hiborindex,AK531)</f>
        <v>-1.8699694550927441E-3</v>
      </c>
    </row>
    <row r="532" spans="37:39" x14ac:dyDescent="0.25">
      <c r="AK532" s="21">
        <f>_xll.qlCalendarAdvance(calendar,AK531,"1D")</f>
        <v>43301</v>
      </c>
      <c r="AL532" s="21">
        <f>_xll.qlInterestRateIndexValueDate(hiborindex,AK532)</f>
        <v>43305</v>
      </c>
      <c r="AM532" s="23">
        <f>_xll.qlIndexFixing(hiborindex,AK532)</f>
        <v>-1.8694276473499426E-3</v>
      </c>
    </row>
    <row r="533" spans="37:39" x14ac:dyDescent="0.25">
      <c r="AK533" s="21">
        <f>_xll.qlCalendarAdvance(calendar,AK532,"1D")</f>
        <v>43304</v>
      </c>
      <c r="AL533" s="21">
        <f>_xll.qlInterestRateIndexValueDate(hiborindex,AK533)</f>
        <v>43306</v>
      </c>
      <c r="AM533" s="23">
        <f>_xll.qlIndexFixing(hiborindex,AK533)</f>
        <v>-1.8688858394570441E-3</v>
      </c>
    </row>
    <row r="534" spans="37:39" x14ac:dyDescent="0.25">
      <c r="AK534" s="21">
        <f>_xll.qlCalendarAdvance(calendar,AK533,"1D")</f>
        <v>43305</v>
      </c>
      <c r="AL534" s="21">
        <f>_xll.qlInterestRateIndexValueDate(hiborindex,AK534)</f>
        <v>43307</v>
      </c>
      <c r="AM534" s="23">
        <f>_xll.qlIndexFixing(hiborindex,AK534)</f>
        <v>-1.8677925293774493E-3</v>
      </c>
    </row>
    <row r="535" spans="37:39" x14ac:dyDescent="0.25">
      <c r="AK535" s="21">
        <f>_xll.qlCalendarAdvance(calendar,AK534,"1D")</f>
        <v>43306</v>
      </c>
      <c r="AL535" s="21">
        <f>_xll.qlInterestRateIndexValueDate(hiborindex,AK535)</f>
        <v>43308</v>
      </c>
      <c r="AM535" s="23">
        <f>_xll.qlIndexFixing(hiborindex,AK535)</f>
        <v>-1.8675264735439527E-3</v>
      </c>
    </row>
    <row r="536" spans="37:39" x14ac:dyDescent="0.25">
      <c r="AK536" s="21">
        <f>_xll.qlCalendarAdvance(calendar,AK535,"1D")</f>
        <v>43307</v>
      </c>
      <c r="AL536" s="21">
        <f>_xll.qlInterestRateIndexValueDate(hiborindex,AK536)</f>
        <v>43311</v>
      </c>
      <c r="AM536" s="23">
        <f>_xll.qlIndexFixing(hiborindex,AK536)</f>
        <v>-1.8661767977404386E-3</v>
      </c>
    </row>
    <row r="537" spans="37:39" x14ac:dyDescent="0.25">
      <c r="AK537" s="21">
        <f>_xll.qlCalendarAdvance(calendar,AK536,"1D")</f>
        <v>43308</v>
      </c>
      <c r="AL537" s="21">
        <f>_xll.qlInterestRateIndexValueDate(hiborindex,AK537)</f>
        <v>43312</v>
      </c>
      <c r="AM537" s="23">
        <f>_xll.qlIndexFixing(hiborindex,AK537)</f>
        <v>-1.8656349889469559E-3</v>
      </c>
    </row>
    <row r="538" spans="37:39" x14ac:dyDescent="0.25">
      <c r="AK538" s="21">
        <f>_xll.qlCalendarAdvance(calendar,AK537,"1D")</f>
        <v>43311</v>
      </c>
      <c r="AL538" s="21">
        <f>_xll.qlInterestRateIndexValueDate(hiborindex,AK538)</f>
        <v>43313</v>
      </c>
      <c r="AM538" s="23">
        <f>_xll.qlIndexFixing(hiborindex,AK538)</f>
        <v>-1.8650931800027243E-3</v>
      </c>
    </row>
    <row r="539" spans="37:39" x14ac:dyDescent="0.25">
      <c r="AK539" s="21">
        <f>_xll.qlCalendarAdvance(calendar,AK538,"1D")</f>
        <v>43312</v>
      </c>
      <c r="AL539" s="21">
        <f>_xll.qlInterestRateIndexValueDate(hiborindex,AK539)</f>
        <v>43314</v>
      </c>
      <c r="AM539" s="23">
        <f>_xll.qlIndexFixing(hiborindex,AK539)</f>
        <v>-1.8639999071536474E-3</v>
      </c>
    </row>
    <row r="540" spans="37:39" x14ac:dyDescent="0.25">
      <c r="AK540" s="21">
        <f>_xll.qlCalendarAdvance(calendar,AK539,"1D")</f>
        <v>43313</v>
      </c>
      <c r="AL540" s="21">
        <f>_xll.qlInterestRateIndexValueDate(hiborindex,AK540)</f>
        <v>43315</v>
      </c>
      <c r="AM540" s="23">
        <f>_xll.qlIndexFixing(hiborindex,AK540)</f>
        <v>-1.8637338311250215E-3</v>
      </c>
    </row>
    <row r="541" spans="37:39" x14ac:dyDescent="0.25">
      <c r="AK541" s="21">
        <f>_xll.qlCalendarAdvance(calendar,AK540,"1D")</f>
        <v>43314</v>
      </c>
      <c r="AL541" s="21">
        <f>_xll.qlInterestRateIndexValueDate(hiborindex,AK541)</f>
        <v>43318</v>
      </c>
      <c r="AM541" s="23">
        <f>_xll.qlIndexFixing(hiborindex,AK541)</f>
        <v>-1.8623841330296714E-3</v>
      </c>
    </row>
    <row r="542" spans="37:39" x14ac:dyDescent="0.25">
      <c r="AK542" s="21">
        <f>_xll.qlCalendarAdvance(calendar,AK541,"1D")</f>
        <v>43315</v>
      </c>
      <c r="AL542" s="21">
        <f>_xll.qlInterestRateIndexValueDate(hiborindex,AK542)</f>
        <v>43319</v>
      </c>
      <c r="AM542" s="23">
        <f>_xll.qlIndexFixing(hiborindex,AK542)</f>
        <v>-1.8618423231848559E-3</v>
      </c>
    </row>
    <row r="543" spans="37:39" x14ac:dyDescent="0.25">
      <c r="AK543" s="21">
        <f>_xll.qlCalendarAdvance(calendar,AK542,"1D")</f>
        <v>43318</v>
      </c>
      <c r="AL543" s="21">
        <f>_xll.qlInterestRateIndexValueDate(hiborindex,AK543)</f>
        <v>43320</v>
      </c>
      <c r="AM543" s="23">
        <f>_xll.qlIndexFixing(hiborindex,AK543)</f>
        <v>-1.8613005131892912E-3</v>
      </c>
    </row>
    <row r="544" spans="37:39" x14ac:dyDescent="0.25">
      <c r="AK544" s="21">
        <f>_xll.qlCalendarAdvance(calendar,AK543,"1D")</f>
        <v>43319</v>
      </c>
      <c r="AL544" s="21">
        <f>_xll.qlInterestRateIndexValueDate(hiborindex,AK544)</f>
        <v>43321</v>
      </c>
      <c r="AM544" s="23">
        <f>_xll.qlIndexFixing(hiborindex,AK544)</f>
        <v>-1.8602072774921393E-3</v>
      </c>
    </row>
    <row r="545" spans="37:39" x14ac:dyDescent="0.25">
      <c r="AK545" s="21">
        <f>_xll.qlCalendarAdvance(calendar,AK544,"1D")</f>
        <v>43320</v>
      </c>
      <c r="AL545" s="21">
        <f>_xll.qlInterestRateIndexValueDate(hiborindex,AK545)</f>
        <v>43322</v>
      </c>
      <c r="AM545" s="23">
        <f>_xll.qlIndexFixing(hiborindex,AK545)</f>
        <v>-1.859941181308116E-3</v>
      </c>
    </row>
    <row r="546" spans="37:39" x14ac:dyDescent="0.25">
      <c r="AK546" s="21">
        <f>_xll.qlCalendarAdvance(calendar,AK545,"1D")</f>
        <v>43321</v>
      </c>
      <c r="AL546" s="21">
        <f>_xll.qlInterestRateIndexValueDate(hiborindex,AK546)</f>
        <v>43325</v>
      </c>
      <c r="AM546" s="23">
        <f>_xll.qlIndexFixing(hiborindex,AK546)</f>
        <v>-1.8585914609597911E-3</v>
      </c>
    </row>
    <row r="547" spans="37:39" x14ac:dyDescent="0.25">
      <c r="AK547" s="21">
        <f>_xll.qlCalendarAdvance(calendar,AK546,"1D")</f>
        <v>43322</v>
      </c>
      <c r="AL547" s="21">
        <f>_xll.qlInterestRateIndexValueDate(hiborindex,AK547)</f>
        <v>43326</v>
      </c>
      <c r="AM547" s="23">
        <f>_xll.qlIndexFixing(hiborindex,AK547)</f>
        <v>-1.858049650063208E-3</v>
      </c>
    </row>
    <row r="548" spans="37:39" x14ac:dyDescent="0.25">
      <c r="AK548" s="21">
        <f>_xll.qlCalendarAdvance(calendar,AK547,"1D")</f>
        <v>43325</v>
      </c>
      <c r="AL548" s="21">
        <f>_xll.qlInterestRateIndexValueDate(hiborindex,AK548)</f>
        <v>43327</v>
      </c>
      <c r="AM548" s="23">
        <f>_xll.qlIndexFixing(hiborindex,AK548)</f>
        <v>-1.857507839016745E-3</v>
      </c>
    </row>
    <row r="549" spans="37:39" x14ac:dyDescent="0.25">
      <c r="AK549" s="21">
        <f>_xll.qlCalendarAdvance(calendar,AK548,"1D")</f>
        <v>43326</v>
      </c>
      <c r="AL549" s="21">
        <f>_xll.qlInterestRateIndexValueDate(hiborindex,AK549)</f>
        <v>43328</v>
      </c>
      <c r="AM549" s="23">
        <f>_xll.qlIndexFixing(hiborindex,AK549)</f>
        <v>-1.856414640390346E-3</v>
      </c>
    </row>
    <row r="550" spans="37:39" x14ac:dyDescent="0.25">
      <c r="AK550" s="21">
        <f>_xll.qlCalendarAdvance(calendar,AK549,"1D")</f>
        <v>43327</v>
      </c>
      <c r="AL550" s="21">
        <f>_xll.qlInterestRateIndexValueDate(hiborindex,AK550)</f>
        <v>43329</v>
      </c>
      <c r="AM550" s="23">
        <f>_xll.qlIndexFixing(hiborindex,AK550)</f>
        <v>-1.856148524091292E-3</v>
      </c>
    </row>
    <row r="551" spans="37:39" x14ac:dyDescent="0.25">
      <c r="AK551" s="21">
        <f>_xll.qlCalendarAdvance(calendar,AK550,"1D")</f>
        <v>43328</v>
      </c>
      <c r="AL551" s="21">
        <f>_xll.qlInterestRateIndexValueDate(hiborindex,AK551)</f>
        <v>43332</v>
      </c>
      <c r="AM551" s="23">
        <f>_xll.qlIndexFixing(hiborindex,AK551)</f>
        <v>-1.8547987815307973E-3</v>
      </c>
    </row>
    <row r="552" spans="37:39" x14ac:dyDescent="0.25">
      <c r="AK552" s="21">
        <f>_xll.qlCalendarAdvance(calendar,AK551,"1D")</f>
        <v>43329</v>
      </c>
      <c r="AL552" s="21">
        <f>_xll.qlInterestRateIndexValueDate(hiborindex,AK552)</f>
        <v>43333</v>
      </c>
      <c r="AM552" s="23">
        <f>_xll.qlIndexFixing(hiborindex,AK552)</f>
        <v>-1.8542569695833156E-3</v>
      </c>
    </row>
    <row r="553" spans="37:39" x14ac:dyDescent="0.25">
      <c r="AK553" s="21">
        <f>_xll.qlCalendarAdvance(calendar,AK552,"1D")</f>
        <v>43332</v>
      </c>
      <c r="AL553" s="21">
        <f>_xll.qlInterestRateIndexValueDate(hiborindex,AK553)</f>
        <v>43334</v>
      </c>
      <c r="AM553" s="23">
        <f>_xll.qlIndexFixing(hiborindex,AK553)</f>
        <v>-1.8537151574848679E-3</v>
      </c>
    </row>
    <row r="554" spans="37:39" x14ac:dyDescent="0.25">
      <c r="AK554" s="21">
        <f>_xll.qlCalendarAdvance(calendar,AK553,"1D")</f>
        <v>43333</v>
      </c>
      <c r="AL554" s="21">
        <f>_xll.qlInterestRateIndexValueDate(hiborindex,AK554)</f>
        <v>43335</v>
      </c>
      <c r="AM554" s="23">
        <f>_xll.qlIndexFixing(hiborindex,AK554)</f>
        <v>-1.8526219958510614E-3</v>
      </c>
    </row>
    <row r="555" spans="37:39" x14ac:dyDescent="0.25">
      <c r="AK555" s="21">
        <f>_xll.qlCalendarAdvance(calendar,AK554,"1D")</f>
        <v>43334</v>
      </c>
      <c r="AL555" s="21">
        <f>_xll.qlInterestRateIndexValueDate(hiborindex,AK555)</f>
        <v>43336</v>
      </c>
      <c r="AM555" s="23">
        <f>_xll.qlIndexFixing(hiborindex,AK555)</f>
        <v>-1.8523558594760617E-3</v>
      </c>
    </row>
    <row r="556" spans="37:39" x14ac:dyDescent="0.25">
      <c r="AK556" s="21">
        <f>_xll.qlCalendarAdvance(calendar,AK555,"1D")</f>
        <v>43335</v>
      </c>
      <c r="AL556" s="21">
        <f>_xll.qlInterestRateIndexValueDate(hiborindex,AK556)</f>
        <v>43339</v>
      </c>
      <c r="AM556" s="23">
        <f>_xll.qlIndexFixing(hiborindex,AK556)</f>
        <v>-1.8510060947429074E-3</v>
      </c>
    </row>
    <row r="557" spans="37:39" x14ac:dyDescent="0.25">
      <c r="AK557" s="21">
        <f>_xll.qlCalendarAdvance(calendar,AK556,"1D")</f>
        <v>43336</v>
      </c>
      <c r="AL557" s="21">
        <f>_xll.qlInterestRateIndexValueDate(hiborindex,AK557)</f>
        <v>43340</v>
      </c>
      <c r="AM557" s="23">
        <f>_xll.qlIndexFixing(hiborindex,AK557)</f>
        <v>-1.8504642817434413E-3</v>
      </c>
    </row>
    <row r="558" spans="37:39" x14ac:dyDescent="0.25">
      <c r="AK558" s="21">
        <f>_xll.qlCalendarAdvance(calendar,AK557,"1D")</f>
        <v>43339</v>
      </c>
      <c r="AL558" s="21">
        <f>_xll.qlInterestRateIndexValueDate(hiborindex,AK558)</f>
        <v>43341</v>
      </c>
      <c r="AM558" s="23">
        <f>_xll.qlIndexFixing(hiborindex,AK558)</f>
        <v>-1.8501981311615304E-3</v>
      </c>
    </row>
    <row r="559" spans="37:39" x14ac:dyDescent="0.25">
      <c r="AK559" s="21">
        <f>_xll.qlCalendarAdvance(calendar,AK558,"1D")</f>
        <v>43340</v>
      </c>
      <c r="AL559" s="21">
        <f>_xll.qlInterestRateIndexValueDate(hiborindex,AK559)</f>
        <v>43342</v>
      </c>
      <c r="AM559" s="23">
        <f>_xll.qlIndexFixing(hiborindex,AK559)</f>
        <v>-1.8499319777721911E-3</v>
      </c>
    </row>
    <row r="560" spans="37:39" x14ac:dyDescent="0.25">
      <c r="AK560" s="21">
        <f>_xll.qlCalendarAdvance(calendar,AK559,"1D")</f>
        <v>43341</v>
      </c>
      <c r="AL560" s="21">
        <f>_xll.qlInterestRateIndexValueDate(hiborindex,AK560)</f>
        <v>43343</v>
      </c>
      <c r="AM560" s="23">
        <f>_xll.qlIndexFixing(hiborindex,AK560)</f>
        <v>-1.8496658215765883E-3</v>
      </c>
    </row>
    <row r="561" spans="37:39" x14ac:dyDescent="0.25">
      <c r="AK561" s="21">
        <f>_xll.qlCalendarAdvance(calendar,AK560,"1D")</f>
        <v>43342</v>
      </c>
      <c r="AL561" s="21">
        <f>_xll.qlInterestRateIndexValueDate(hiborindex,AK561)</f>
        <v>43346</v>
      </c>
      <c r="AM561" s="23">
        <f>_xll.qlIndexFixing(hiborindex,AK561)</f>
        <v>-1.8477647014023936E-3</v>
      </c>
    </row>
    <row r="562" spans="37:39" x14ac:dyDescent="0.25">
      <c r="AK562" s="21">
        <f>_xll.qlCalendarAdvance(calendar,AK561,"1D")</f>
        <v>43343</v>
      </c>
      <c r="AL562" s="21">
        <f>_xll.qlInterestRateIndexValueDate(hiborindex,AK562)</f>
        <v>43347</v>
      </c>
      <c r="AM562" s="23">
        <f>_xll.qlIndexFixing(hiborindex,AK562)</f>
        <v>-1.8474985337754298E-3</v>
      </c>
    </row>
    <row r="563" spans="37:39" x14ac:dyDescent="0.25">
      <c r="AK563" s="21">
        <f>_xll.qlCalendarAdvance(calendar,AK562,"1D")</f>
        <v>43346</v>
      </c>
      <c r="AL563" s="21">
        <f>_xll.qlInterestRateIndexValueDate(hiborindex,AK563)</f>
        <v>43348</v>
      </c>
      <c r="AM563" s="23">
        <f>_xll.qlIndexFixing(hiborindex,AK563)</f>
        <v>-1.8469567114558225E-3</v>
      </c>
    </row>
    <row r="564" spans="37:39" x14ac:dyDescent="0.25">
      <c r="AK564" s="21">
        <f>_xll.qlCalendarAdvance(calendar,AK563,"1D")</f>
        <v>43347</v>
      </c>
      <c r="AL564" s="21">
        <f>_xll.qlInterestRateIndexValueDate(hiborindex,AK564)</f>
        <v>43349</v>
      </c>
      <c r="AM564" s="23">
        <f>_xll.qlIndexFixing(hiborindex,AK564)</f>
        <v>-1.8464148889887086E-3</v>
      </c>
    </row>
    <row r="565" spans="37:39" x14ac:dyDescent="0.25">
      <c r="AK565" s="21">
        <f>_xll.qlCalendarAdvance(calendar,AK564,"1D")</f>
        <v>43348</v>
      </c>
      <c r="AL565" s="21">
        <f>_xll.qlInterestRateIndexValueDate(hiborindex,AK565)</f>
        <v>43350</v>
      </c>
      <c r="AM565" s="23">
        <f>_xll.qlIndexFixing(hiborindex,AK565)</f>
        <v>-1.8458730663736471E-3</v>
      </c>
    </row>
    <row r="566" spans="37:39" x14ac:dyDescent="0.25">
      <c r="AK566" s="21">
        <f>_xll.qlCalendarAdvance(calendar,AK565,"1D")</f>
        <v>43349</v>
      </c>
      <c r="AL566" s="21">
        <f>_xll.qlInterestRateIndexValueDate(hiborindex,AK566)</f>
        <v>43353</v>
      </c>
      <c r="AM566" s="23">
        <f>_xll.qlIndexFixing(hiborindex,AK566)</f>
        <v>-1.8439719620354279E-3</v>
      </c>
    </row>
    <row r="567" spans="37:39" x14ac:dyDescent="0.25">
      <c r="AK567" s="21">
        <f>_xll.qlCalendarAdvance(calendar,AK566,"1D")</f>
        <v>43350</v>
      </c>
      <c r="AL567" s="21">
        <f>_xll.qlInterestRateIndexValueDate(hiborindex,AK567)</f>
        <v>43354</v>
      </c>
      <c r="AM567" s="23">
        <f>_xll.qlIndexFixing(hiborindex,AK567)</f>
        <v>-1.8437057744359079E-3</v>
      </c>
    </row>
    <row r="568" spans="37:39" x14ac:dyDescent="0.25">
      <c r="AK568" s="21">
        <f>_xll.qlCalendarAdvance(calendar,AK567,"1D")</f>
        <v>43353</v>
      </c>
      <c r="AL568" s="21">
        <f>_xll.qlInterestRateIndexValueDate(hiborindex,AK568)</f>
        <v>43355</v>
      </c>
      <c r="AM568" s="23">
        <f>_xll.qlIndexFixing(hiborindex,AK568)</f>
        <v>-1.8431639510822107E-3</v>
      </c>
    </row>
    <row r="569" spans="37:39" x14ac:dyDescent="0.25">
      <c r="AK569" s="21">
        <f>_xll.qlCalendarAdvance(calendar,AK568,"1D")</f>
        <v>43354</v>
      </c>
      <c r="AL569" s="21">
        <f>_xll.qlInterestRateIndexValueDate(hiborindex,AK569)</f>
        <v>43356</v>
      </c>
      <c r="AM569" s="23">
        <f>_xll.qlIndexFixing(hiborindex,AK569)</f>
        <v>-1.8426221275803444E-3</v>
      </c>
    </row>
    <row r="570" spans="37:39" x14ac:dyDescent="0.25">
      <c r="AK570" s="21">
        <f>_xll.qlCalendarAdvance(calendar,AK569,"1D")</f>
        <v>43355</v>
      </c>
      <c r="AL570" s="21">
        <f>_xll.qlInterestRateIndexValueDate(hiborindex,AK570)</f>
        <v>43357</v>
      </c>
      <c r="AM570" s="23">
        <f>_xll.qlIndexFixing(hiborindex,AK570)</f>
        <v>-1.8420803039311928E-3</v>
      </c>
    </row>
    <row r="571" spans="37:39" x14ac:dyDescent="0.25">
      <c r="AK571" s="21">
        <f>_xll.qlCalendarAdvance(calendar,AK570,"1D")</f>
        <v>43356</v>
      </c>
      <c r="AL571" s="21">
        <f>_xll.qlInterestRateIndexValueDate(hiborindex,AK571)</f>
        <v>43360</v>
      </c>
      <c r="AM571" s="23">
        <f>_xll.qlIndexFixing(hiborindex,AK571)</f>
        <v>-1.8401792153903281E-3</v>
      </c>
    </row>
    <row r="572" spans="37:39" x14ac:dyDescent="0.25">
      <c r="AK572" s="21">
        <f>_xll.qlCalendarAdvance(calendar,AK571,"1D")</f>
        <v>43357</v>
      </c>
      <c r="AL572" s="21">
        <f>_xll.qlInterestRateIndexValueDate(hiborindex,AK572)</f>
        <v>43361</v>
      </c>
      <c r="AM572" s="23">
        <f>_xll.qlIndexFixing(hiborindex,AK572)</f>
        <v>-1.8399130078568732E-3</v>
      </c>
    </row>
    <row r="573" spans="37:39" x14ac:dyDescent="0.25">
      <c r="AK573" s="21">
        <f>_xll.qlCalendarAdvance(calendar,AK572,"1D")</f>
        <v>43360</v>
      </c>
      <c r="AL573" s="21">
        <f>_xll.qlInterestRateIndexValueDate(hiborindex,AK573)</f>
        <v>43362</v>
      </c>
      <c r="AM573" s="23">
        <f>_xll.qlIndexFixing(hiborindex,AK573)</f>
        <v>-1.8393711834693068E-3</v>
      </c>
    </row>
    <row r="574" spans="37:39" x14ac:dyDescent="0.25">
      <c r="AK574" s="21">
        <f>_xll.qlCalendarAdvance(calendar,AK573,"1D")</f>
        <v>43361</v>
      </c>
      <c r="AL574" s="21">
        <f>_xll.qlInterestRateIndexValueDate(hiborindex,AK574)</f>
        <v>43363</v>
      </c>
      <c r="AM574" s="23">
        <f>_xll.qlIndexFixing(hiborindex,AK574)</f>
        <v>-1.8388293589331299E-3</v>
      </c>
    </row>
    <row r="575" spans="37:39" x14ac:dyDescent="0.25">
      <c r="AK575" s="21">
        <f>_xll.qlCalendarAdvance(calendar,AK574,"1D")</f>
        <v>43362</v>
      </c>
      <c r="AL575" s="21">
        <f>_xll.qlInterestRateIndexValueDate(hiborindex,AK575)</f>
        <v>43364</v>
      </c>
      <c r="AM575" s="23">
        <f>_xll.qlIndexFixing(hiborindex,AK575)</f>
        <v>-1.8382875342501091E-3</v>
      </c>
    </row>
    <row r="576" spans="37:39" x14ac:dyDescent="0.25">
      <c r="AK576" s="21">
        <f>_xll.qlCalendarAdvance(calendar,AK575,"1D")</f>
        <v>43363</v>
      </c>
      <c r="AL576" s="21">
        <f>_xll.qlInterestRateIndexValueDate(hiborindex,AK576)</f>
        <v>43367</v>
      </c>
      <c r="AM576" s="23">
        <f>_xll.qlIndexFixing(hiborindex,AK576)</f>
        <v>-1.8363864614651176E-3</v>
      </c>
    </row>
    <row r="577" spans="37:39" x14ac:dyDescent="0.25">
      <c r="AK577" s="21">
        <f>_xll.qlCalendarAdvance(calendar,AK576,"1D")</f>
        <v>43364</v>
      </c>
      <c r="AL577" s="21">
        <f>_xll.qlInterestRateIndexValueDate(hiborindex,AK577)</f>
        <v>43368</v>
      </c>
      <c r="AM577" s="23">
        <f>_xll.qlIndexFixing(hiborindex,AK577)</f>
        <v>-1.8361202340387672E-3</v>
      </c>
    </row>
    <row r="578" spans="37:39" x14ac:dyDescent="0.25">
      <c r="AK578" s="21">
        <f>_xll.qlCalendarAdvance(calendar,AK577,"1D")</f>
        <v>43367</v>
      </c>
      <c r="AL578" s="21">
        <f>_xll.qlInterestRateIndexValueDate(hiborindex,AK578)</f>
        <v>43369</v>
      </c>
      <c r="AM578" s="23">
        <f>_xll.qlIndexFixing(hiborindex,AK578)</f>
        <v>-1.8355784086168899E-3</v>
      </c>
    </row>
    <row r="579" spans="37:39" x14ac:dyDescent="0.25">
      <c r="AK579" s="21">
        <f>_xll.qlCalendarAdvance(calendar,AK578,"1D")</f>
        <v>43368</v>
      </c>
      <c r="AL579" s="21">
        <f>_xll.qlInterestRateIndexValueDate(hiborindex,AK579)</f>
        <v>43370</v>
      </c>
      <c r="AM579" s="23">
        <f>_xll.qlIndexFixing(hiborindex,AK579)</f>
        <v>-1.8350365830466231E-3</v>
      </c>
    </row>
    <row r="580" spans="37:39" x14ac:dyDescent="0.25">
      <c r="AK580" s="21">
        <f>_xll.qlCalendarAdvance(calendar,AK579,"1D")</f>
        <v>43369</v>
      </c>
      <c r="AL580" s="21">
        <f>_xll.qlInterestRateIndexValueDate(hiborindex,AK580)</f>
        <v>43371</v>
      </c>
      <c r="AM580" s="23">
        <f>_xll.qlIndexFixing(hiborindex,AK580)</f>
        <v>-1.8342191702397309E-3</v>
      </c>
    </row>
    <row r="581" spans="37:39" x14ac:dyDescent="0.25">
      <c r="AK581" s="21">
        <f>_xll.qlCalendarAdvance(calendar,AK580,"1D")</f>
        <v>43370</v>
      </c>
      <c r="AL581" s="21">
        <f>_xll.qlInterestRateIndexValueDate(hiborindex,AK581)</f>
        <v>43374</v>
      </c>
      <c r="AM581" s="23">
        <f>_xll.qlIndexFixing(hiborindex,AK581)</f>
        <v>-1.8325937002608946E-3</v>
      </c>
    </row>
    <row r="582" spans="37:39" x14ac:dyDescent="0.25">
      <c r="AK582" s="21">
        <f>_xll.qlCalendarAdvance(calendar,AK581,"1D")</f>
        <v>43371</v>
      </c>
      <c r="AL582" s="21">
        <f>_xll.qlInterestRateIndexValueDate(hiborindex,AK582)</f>
        <v>43375</v>
      </c>
      <c r="AM582" s="23">
        <f>_xll.qlIndexFixing(hiborindex,AK582)</f>
        <v>-1.8320518766375641E-3</v>
      </c>
    </row>
    <row r="583" spans="37:39" x14ac:dyDescent="0.25">
      <c r="AK583" s="21">
        <f>_xll.qlCalendarAdvance(calendar,AK582,"1D")</f>
        <v>43374</v>
      </c>
      <c r="AL583" s="21">
        <f>_xll.qlInterestRateIndexValueDate(hiborindex,AK583)</f>
        <v>43376</v>
      </c>
      <c r="AM583" s="23">
        <f>_xll.qlIndexFixing(hiborindex,AK583)</f>
        <v>-1.8315100528657809E-3</v>
      </c>
    </row>
    <row r="584" spans="37:39" x14ac:dyDescent="0.25">
      <c r="AK584" s="21">
        <f>_xll.qlCalendarAdvance(calendar,AK583,"1D")</f>
        <v>43375</v>
      </c>
      <c r="AL584" s="21">
        <f>_xll.qlInterestRateIndexValueDate(hiborindex,AK584)</f>
        <v>43377</v>
      </c>
      <c r="AM584" s="23">
        <f>_xll.qlIndexFixing(hiborindex,AK584)</f>
        <v>-1.8309682289451058E-3</v>
      </c>
    </row>
    <row r="585" spans="37:39" x14ac:dyDescent="0.25">
      <c r="AK585" s="21">
        <f>_xll.qlCalendarAdvance(calendar,AK584,"1D")</f>
        <v>43376</v>
      </c>
      <c r="AL585" s="21">
        <f>_xll.qlInterestRateIndexValueDate(hiborindex,AK585)</f>
        <v>43378</v>
      </c>
      <c r="AM585" s="23">
        <f>_xll.qlIndexFixing(hiborindex,AK585)</f>
        <v>-1.830426404875978E-3</v>
      </c>
    </row>
    <row r="586" spans="37:39" x14ac:dyDescent="0.25">
      <c r="AK586" s="21">
        <f>_xll.qlCalendarAdvance(calendar,AK585,"1D")</f>
        <v>43377</v>
      </c>
      <c r="AL586" s="21">
        <f>_xll.qlInterestRateIndexValueDate(hiborindex,AK586)</f>
        <v>43381</v>
      </c>
      <c r="AM586" s="23">
        <f>_xll.qlIndexFixing(hiborindex,AK586)</f>
        <v>-1.8288009317774395E-3</v>
      </c>
    </row>
    <row r="587" spans="37:39" x14ac:dyDescent="0.25">
      <c r="AK587" s="21">
        <f>_xll.qlCalendarAdvance(calendar,AK586,"1D")</f>
        <v>43378</v>
      </c>
      <c r="AL587" s="21">
        <f>_xll.qlInterestRateIndexValueDate(hiborindex,AK587)</f>
        <v>43382</v>
      </c>
      <c r="AM587" s="23">
        <f>_xll.qlIndexFixing(hiborindex,AK587)</f>
        <v>-1.8282591071145011E-3</v>
      </c>
    </row>
    <row r="588" spans="37:39" x14ac:dyDescent="0.25">
      <c r="AK588" s="21">
        <f>_xll.qlCalendarAdvance(calendar,AK587,"1D")</f>
        <v>43381</v>
      </c>
      <c r="AL588" s="21">
        <f>_xll.qlInterestRateIndexValueDate(hiborindex,AK588)</f>
        <v>43383</v>
      </c>
      <c r="AM588" s="23">
        <f>_xll.qlIndexFixing(hiborindex,AK588)</f>
        <v>-1.8277172823028902E-3</v>
      </c>
    </row>
    <row r="589" spans="37:39" x14ac:dyDescent="0.25">
      <c r="AK589" s="21">
        <f>_xll.qlCalendarAdvance(calendar,AK588,"1D")</f>
        <v>43382</v>
      </c>
      <c r="AL589" s="21">
        <f>_xll.qlInterestRateIndexValueDate(hiborindex,AK589)</f>
        <v>43384</v>
      </c>
      <c r="AM589" s="23">
        <f>_xll.qlIndexFixing(hiborindex,AK589)</f>
        <v>-1.8271754573419485E-3</v>
      </c>
    </row>
    <row r="590" spans="37:39" x14ac:dyDescent="0.25">
      <c r="AK590" s="21">
        <f>_xll.qlCalendarAdvance(calendar,AK589,"1D")</f>
        <v>43383</v>
      </c>
      <c r="AL590" s="21">
        <f>_xll.qlInterestRateIndexValueDate(hiborindex,AK590)</f>
        <v>43385</v>
      </c>
      <c r="AM590" s="23">
        <f>_xll.qlIndexFixing(hiborindex,AK590)</f>
        <v>-1.8266336322332126E-3</v>
      </c>
    </row>
    <row r="591" spans="37:39" x14ac:dyDescent="0.25">
      <c r="AK591" s="21">
        <f>_xll.qlCalendarAdvance(calendar,AK590,"1D")</f>
        <v>43384</v>
      </c>
      <c r="AL591" s="21">
        <f>_xll.qlInterestRateIndexValueDate(hiborindex,AK591)</f>
        <v>43388</v>
      </c>
      <c r="AM591" s="23">
        <f>_xll.qlIndexFixing(hiborindex,AK591)</f>
        <v>-1.8250081560149719E-3</v>
      </c>
    </row>
    <row r="592" spans="37:39" x14ac:dyDescent="0.25">
      <c r="AK592" s="21">
        <f>_xll.qlCalendarAdvance(calendar,AK591,"1D")</f>
        <v>43385</v>
      </c>
      <c r="AL592" s="21">
        <f>_xll.qlInterestRateIndexValueDate(hiborindex,AK592)</f>
        <v>43389</v>
      </c>
      <c r="AM592" s="23">
        <f>_xll.qlIndexFixing(hiborindex,AK592)</f>
        <v>-1.8244663303119862E-3</v>
      </c>
    </row>
    <row r="593" spans="37:39" x14ac:dyDescent="0.25">
      <c r="AK593" s="21">
        <f>_xll.qlCalendarAdvance(calendar,AK592,"1D")</f>
        <v>43388</v>
      </c>
      <c r="AL593" s="21">
        <f>_xll.qlInterestRateIndexValueDate(hiborindex,AK593)</f>
        <v>43390</v>
      </c>
      <c r="AM593" s="23">
        <f>_xll.qlIndexFixing(hiborindex,AK593)</f>
        <v>-1.8239245044603283E-3</v>
      </c>
    </row>
    <row r="594" spans="37:39" x14ac:dyDescent="0.25">
      <c r="AK594" s="21">
        <f>_xll.qlCalendarAdvance(calendar,AK593,"1D")</f>
        <v>43389</v>
      </c>
      <c r="AL594" s="21">
        <f>_xll.qlInterestRateIndexValueDate(hiborindex,AK594)</f>
        <v>43391</v>
      </c>
      <c r="AM594" s="23">
        <f>_xll.qlIndexFixing(hiborindex,AK594)</f>
        <v>-1.8233826784602176E-3</v>
      </c>
    </row>
    <row r="595" spans="37:39" x14ac:dyDescent="0.25">
      <c r="AK595" s="21">
        <f>_xll.qlCalendarAdvance(calendar,AK594,"1D")</f>
        <v>43390</v>
      </c>
      <c r="AL595" s="21">
        <f>_xll.qlInterestRateIndexValueDate(hiborindex,AK595)</f>
        <v>43392</v>
      </c>
      <c r="AM595" s="23">
        <f>_xll.qlIndexFixing(hiborindex,AK595)</f>
        <v>-1.8217387562552958E-3</v>
      </c>
    </row>
    <row r="596" spans="37:39" x14ac:dyDescent="0.25">
      <c r="AK596" s="21">
        <f>_xll.qlCalendarAdvance(calendar,AK595,"1D")</f>
        <v>43391</v>
      </c>
      <c r="AL596" s="21">
        <f>_xll.qlInterestRateIndexValueDate(hiborindex,AK596)</f>
        <v>43395</v>
      </c>
      <c r="AM596" s="23">
        <f>_xll.qlIndexFixing(hiborindex,AK596)</f>
        <v>-1.8209398528826876E-3</v>
      </c>
    </row>
    <row r="597" spans="37:39" x14ac:dyDescent="0.25">
      <c r="AK597" s="21">
        <f>_xll.qlCalendarAdvance(calendar,AK596,"1D")</f>
        <v>43392</v>
      </c>
      <c r="AL597" s="21">
        <f>_xll.qlInterestRateIndexValueDate(hiborindex,AK597)</f>
        <v>43396</v>
      </c>
      <c r="AM597" s="23">
        <f>_xll.qlIndexFixing(hiborindex,AK597)</f>
        <v>-1.8206735462302391E-3</v>
      </c>
    </row>
    <row r="598" spans="37:39" x14ac:dyDescent="0.25">
      <c r="AK598" s="21">
        <f>_xll.qlCalendarAdvance(calendar,AK597,"1D")</f>
        <v>43395</v>
      </c>
      <c r="AL598" s="21">
        <f>_xll.qlInterestRateIndexValueDate(hiborindex,AK598)</f>
        <v>43397</v>
      </c>
      <c r="AM598" s="23">
        <f>_xll.qlIndexFixing(hiborindex,AK598)</f>
        <v>-1.8201317193387537E-3</v>
      </c>
    </row>
    <row r="599" spans="37:39" x14ac:dyDescent="0.25">
      <c r="AK599" s="21">
        <f>_xll.qlCalendarAdvance(calendar,AK598,"1D")</f>
        <v>43396</v>
      </c>
      <c r="AL599" s="21">
        <f>_xll.qlInterestRateIndexValueDate(hiborindex,AK599)</f>
        <v>43398</v>
      </c>
      <c r="AM599" s="23">
        <f>_xll.qlIndexFixing(hiborindex,AK599)</f>
        <v>-1.8195898922988155E-3</v>
      </c>
    </row>
    <row r="600" spans="37:39" x14ac:dyDescent="0.25">
      <c r="AK600" s="21">
        <f>_xll.qlCalendarAdvance(calendar,AK599,"1D")</f>
        <v>43397</v>
      </c>
      <c r="AL600" s="21">
        <f>_xll.qlInterestRateIndexValueDate(hiborindex,AK600)</f>
        <v>43399</v>
      </c>
      <c r="AM600" s="23">
        <f>_xll.qlIndexFixing(hiborindex,AK600)</f>
        <v>-1.819048065110205E-3</v>
      </c>
    </row>
    <row r="601" spans="37:39" x14ac:dyDescent="0.25">
      <c r="AK601" s="21">
        <f>_xll.qlCalendarAdvance(calendar,AK600,"1D")</f>
        <v>43398</v>
      </c>
      <c r="AL601" s="21">
        <f>_xll.qlInterestRateIndexValueDate(hiborindex,AK601)</f>
        <v>43402</v>
      </c>
      <c r="AM601" s="23">
        <f>_xll.qlIndexFixing(hiborindex,AK601)</f>
        <v>-1.81742258265234E-3</v>
      </c>
    </row>
    <row r="602" spans="37:39" x14ac:dyDescent="0.25">
      <c r="AK602" s="21">
        <f>_xll.qlCalendarAdvance(calendar,AK601,"1D")</f>
        <v>43399</v>
      </c>
      <c r="AL602" s="21">
        <f>_xll.qlInterestRateIndexValueDate(hiborindex,AK602)</f>
        <v>43403</v>
      </c>
      <c r="AM602" s="23">
        <f>_xll.qlIndexFixing(hiborindex,AK602)</f>
        <v>-1.8168807548694795E-3</v>
      </c>
    </row>
    <row r="603" spans="37:39" x14ac:dyDescent="0.25">
      <c r="AK603" s="21">
        <f>_xll.qlCalendarAdvance(calendar,AK602,"1D")</f>
        <v>43402</v>
      </c>
      <c r="AL603" s="21">
        <f>_xll.qlInterestRateIndexValueDate(hiborindex,AK603)</f>
        <v>43404</v>
      </c>
      <c r="AM603" s="23">
        <f>_xll.qlIndexFixing(hiborindex,AK603)</f>
        <v>-1.816614425766309E-3</v>
      </c>
    </row>
    <row r="604" spans="37:39" x14ac:dyDescent="0.25">
      <c r="AK604" s="21">
        <f>_xll.qlCalendarAdvance(calendar,AK603,"1D")</f>
        <v>43403</v>
      </c>
      <c r="AL604" s="21">
        <f>_xll.qlInterestRateIndexValueDate(hiborindex,AK604)</f>
        <v>43405</v>
      </c>
      <c r="AM604" s="23">
        <f>_xll.qlIndexFixing(hiborindex,AK604)</f>
        <v>-1.815797098858181E-3</v>
      </c>
    </row>
    <row r="605" spans="37:39" x14ac:dyDescent="0.25">
      <c r="AK605" s="21">
        <f>_xll.qlCalendarAdvance(calendar,AK604,"1D")</f>
        <v>43404</v>
      </c>
      <c r="AL605" s="21">
        <f>_xll.qlInterestRateIndexValueDate(hiborindex,AK605)</f>
        <v>43406</v>
      </c>
      <c r="AM605" s="23">
        <f>_xll.qlIndexFixing(hiborindex,AK605)</f>
        <v>-1.8155307641371488E-3</v>
      </c>
    </row>
    <row r="606" spans="37:39" x14ac:dyDescent="0.25">
      <c r="AK606" s="21">
        <f>_xll.qlCalendarAdvance(calendar,AK605,"1D")</f>
        <v>43405</v>
      </c>
      <c r="AL606" s="21">
        <f>_xll.qlInterestRateIndexValueDate(hiborindex,AK606)</f>
        <v>43409</v>
      </c>
      <c r="AM606" s="23">
        <f>_xll.qlIndexFixing(hiborindex,AK606)</f>
        <v>-1.8136297850526149E-3</v>
      </c>
    </row>
    <row r="607" spans="37:39" x14ac:dyDescent="0.25">
      <c r="AK607" s="21">
        <f>_xll.qlCalendarAdvance(calendar,AK606,"1D")</f>
        <v>43406</v>
      </c>
      <c r="AL607" s="21">
        <f>_xll.qlInterestRateIndexValueDate(hiborindex,AK607)</f>
        <v>43410</v>
      </c>
      <c r="AM607" s="23">
        <f>_xll.qlIndexFixing(hiborindex,AK607)</f>
        <v>-1.8133634391058818E-3</v>
      </c>
    </row>
    <row r="608" spans="37:39" x14ac:dyDescent="0.25">
      <c r="AK608" s="21">
        <f>_xll.qlCalendarAdvance(calendar,AK607,"1D")</f>
        <v>43409</v>
      </c>
      <c r="AL608" s="21">
        <f>_xll.qlInterestRateIndexValueDate(hiborindex,AK608)</f>
        <v>43411</v>
      </c>
      <c r="AM608" s="23">
        <f>_xll.qlIndexFixing(hiborindex,AK608)</f>
        <v>-1.8128216074785816E-3</v>
      </c>
    </row>
    <row r="609" spans="37:39" x14ac:dyDescent="0.25">
      <c r="AK609" s="21">
        <f>_xll.qlCalendarAdvance(calendar,AK608,"1D")</f>
        <v>43410</v>
      </c>
      <c r="AL609" s="21">
        <f>_xll.qlInterestRateIndexValueDate(hiborindex,AK609)</f>
        <v>43412</v>
      </c>
      <c r="AM609" s="23">
        <f>_xll.qlIndexFixing(hiborindex,AK609)</f>
        <v>-1.8122797757033336E-3</v>
      </c>
    </row>
    <row r="610" spans="37:39" x14ac:dyDescent="0.25">
      <c r="AK610" s="21">
        <f>_xll.qlCalendarAdvance(calendar,AK609,"1D")</f>
        <v>43411</v>
      </c>
      <c r="AL610" s="21">
        <f>_xll.qlInterestRateIndexValueDate(hiborindex,AK610)</f>
        <v>43413</v>
      </c>
      <c r="AM610" s="23">
        <f>_xll.qlIndexFixing(hiborindex,AK610)</f>
        <v>-1.8117379437807999E-3</v>
      </c>
    </row>
    <row r="611" spans="37:39" x14ac:dyDescent="0.25">
      <c r="AK611" s="21">
        <f>_xll.qlCalendarAdvance(calendar,AK610,"1D")</f>
        <v>43412</v>
      </c>
      <c r="AL611" s="21">
        <f>_xll.qlInterestRateIndexValueDate(hiborindex,AK611)</f>
        <v>43416</v>
      </c>
      <c r="AM611" s="23">
        <f>_xll.qlIndexFixing(hiborindex,AK611)</f>
        <v>-1.8098369801727793E-3</v>
      </c>
    </row>
    <row r="612" spans="37:39" x14ac:dyDescent="0.25">
      <c r="AK612" s="21">
        <f>_xll.qlCalendarAdvance(calendar,AK611,"1D")</f>
        <v>43413</v>
      </c>
      <c r="AL612" s="21">
        <f>_xll.qlInterestRateIndexValueDate(hiborindex,AK612)</f>
        <v>43417</v>
      </c>
      <c r="AM612" s="23">
        <f>_xll.qlIndexFixing(hiborindex,AK612)</f>
        <v>-1.80957061461229E-3</v>
      </c>
    </row>
    <row r="613" spans="37:39" x14ac:dyDescent="0.25">
      <c r="AK613" s="21">
        <f>_xll.qlCalendarAdvance(calendar,AK612,"1D")</f>
        <v>43416</v>
      </c>
      <c r="AL613" s="21">
        <f>_xll.qlInterestRateIndexValueDate(hiborindex,AK613)</f>
        <v>43418</v>
      </c>
      <c r="AM613" s="23">
        <f>_xll.qlIndexFixing(hiborindex,AK613)</f>
        <v>-1.8090287819508999E-3</v>
      </c>
    </row>
    <row r="614" spans="37:39" x14ac:dyDescent="0.25">
      <c r="AK614" s="21">
        <f>_xll.qlCalendarAdvance(calendar,AK613,"1D")</f>
        <v>43417</v>
      </c>
      <c r="AL614" s="21">
        <f>_xll.qlInterestRateIndexValueDate(hiborindex,AK614)</f>
        <v>43419</v>
      </c>
      <c r="AM614" s="23">
        <f>_xll.qlIndexFixing(hiborindex,AK614)</f>
        <v>-1.8084869491420035E-3</v>
      </c>
    </row>
    <row r="615" spans="37:39" x14ac:dyDescent="0.25">
      <c r="AK615" s="21">
        <f>_xll.qlCalendarAdvance(calendar,AK614,"1D")</f>
        <v>43418</v>
      </c>
      <c r="AL615" s="21">
        <f>_xll.qlInterestRateIndexValueDate(hiborindex,AK615)</f>
        <v>43420</v>
      </c>
      <c r="AM615" s="23">
        <f>_xll.qlIndexFixing(hiborindex,AK615)</f>
        <v>-1.807945116185159E-3</v>
      </c>
    </row>
    <row r="616" spans="37:39" x14ac:dyDescent="0.25">
      <c r="AK616" s="21">
        <f>_xll.qlCalendarAdvance(calendar,AK615,"1D")</f>
        <v>43419</v>
      </c>
      <c r="AL616" s="21">
        <f>_xll.qlInterestRateIndexValueDate(hiborindex,AK616)</f>
        <v>43423</v>
      </c>
      <c r="AM616" s="23">
        <f>_xll.qlIndexFixing(hiborindex,AK616)</f>
        <v>-1.8060441680141509E-3</v>
      </c>
    </row>
    <row r="617" spans="37:39" x14ac:dyDescent="0.25">
      <c r="AK617" s="21">
        <f>_xll.qlCalendarAdvance(calendar,AK616,"1D")</f>
        <v>43420</v>
      </c>
      <c r="AL617" s="21">
        <f>_xll.qlInterestRateIndexValueDate(hiborindex,AK617)</f>
        <v>43424</v>
      </c>
      <c r="AM617" s="23">
        <f>_xll.qlIndexFixing(hiborindex,AK617)</f>
        <v>-1.8057777828800684E-3</v>
      </c>
    </row>
    <row r="618" spans="37:39" x14ac:dyDescent="0.25">
      <c r="AK618" s="21">
        <f>_xll.qlCalendarAdvance(calendar,AK617,"1D")</f>
        <v>43423</v>
      </c>
      <c r="AL618" s="21">
        <f>_xll.qlInterestRateIndexValueDate(hiborindex,AK618)</f>
        <v>43425</v>
      </c>
      <c r="AM618" s="23">
        <f>_xll.qlIndexFixing(hiborindex,AK618)</f>
        <v>-1.8052359491843677E-3</v>
      </c>
    </row>
    <row r="619" spans="37:39" x14ac:dyDescent="0.25">
      <c r="AK619" s="21">
        <f>_xll.qlCalendarAdvance(calendar,AK618,"1D")</f>
        <v>43424</v>
      </c>
      <c r="AL619" s="21">
        <f>_xll.qlInterestRateIndexValueDate(hiborindex,AK619)</f>
        <v>43426</v>
      </c>
      <c r="AM619" s="23">
        <f>_xll.qlIndexFixing(hiborindex,AK619)</f>
        <v>-1.8046941153411604E-3</v>
      </c>
    </row>
    <row r="620" spans="37:39" x14ac:dyDescent="0.25">
      <c r="AK620" s="21">
        <f>_xll.qlCalendarAdvance(calendar,AK619,"1D")</f>
        <v>43425</v>
      </c>
      <c r="AL620" s="21">
        <f>_xll.qlInterestRateIndexValueDate(hiborindex,AK620)</f>
        <v>43427</v>
      </c>
      <c r="AM620" s="23">
        <f>_xll.qlIndexFixing(hiborindex,AK620)</f>
        <v>-1.8041522813502262E-3</v>
      </c>
    </row>
    <row r="621" spans="37:39" x14ac:dyDescent="0.25">
      <c r="AK621" s="21">
        <f>_xll.qlCalendarAdvance(calendar,AK620,"1D")</f>
        <v>43426</v>
      </c>
      <c r="AL621" s="21">
        <f>_xll.qlInterestRateIndexValueDate(hiborindex,AK621)</f>
        <v>43430</v>
      </c>
      <c r="AM621" s="23">
        <f>_xll.qlIndexFixing(hiborindex,AK621)</f>
        <v>-1.8022513485762902E-3</v>
      </c>
    </row>
    <row r="622" spans="37:39" x14ac:dyDescent="0.25">
      <c r="AK622" s="21">
        <f>_xll.qlCalendarAdvance(calendar,AK621,"1D")</f>
        <v>43427</v>
      </c>
      <c r="AL622" s="21">
        <f>_xll.qlInterestRateIndexValueDate(hiborindex,AK622)</f>
        <v>43431</v>
      </c>
      <c r="AM622" s="23">
        <f>_xll.qlIndexFixing(hiborindex,AK622)</f>
        <v>-1.801984943908555E-3</v>
      </c>
    </row>
    <row r="623" spans="37:39" x14ac:dyDescent="0.25">
      <c r="AK623" s="21">
        <f>_xll.qlCalendarAdvance(calendar,AK622,"1D")</f>
        <v>43430</v>
      </c>
      <c r="AL623" s="21">
        <f>_xll.qlInterestRateIndexValueDate(hiborindex,AK623)</f>
        <v>43432</v>
      </c>
      <c r="AM623" s="23">
        <f>_xll.qlIndexFixing(hiborindex,AK623)</f>
        <v>-1.8014431091787641E-3</v>
      </c>
    </row>
    <row r="624" spans="37:39" x14ac:dyDescent="0.25">
      <c r="AK624" s="21">
        <f>_xll.qlCalendarAdvance(calendar,AK623,"1D")</f>
        <v>43431</v>
      </c>
      <c r="AL624" s="21">
        <f>_xll.qlInterestRateIndexValueDate(hiborindex,AK624)</f>
        <v>43433</v>
      </c>
      <c r="AM624" s="23">
        <f>_xll.qlIndexFixing(hiborindex,AK624)</f>
        <v>-1.8009012743012461E-3</v>
      </c>
    </row>
    <row r="625" spans="37:39" x14ac:dyDescent="0.25">
      <c r="AK625" s="21">
        <f>_xll.qlCalendarAdvance(calendar,AK624,"1D")</f>
        <v>43432</v>
      </c>
      <c r="AL625" s="21">
        <f>_xll.qlInterestRateIndexValueDate(hiborindex,AK625)</f>
        <v>43434</v>
      </c>
      <c r="AM625" s="23">
        <f>_xll.qlIndexFixing(hiborindex,AK625)</f>
        <v>-1.8000840199144759E-3</v>
      </c>
    </row>
    <row r="626" spans="37:39" x14ac:dyDescent="0.25">
      <c r="AK626" s="21">
        <f>_xll.qlCalendarAdvance(calendar,AK625,"1D")</f>
        <v>43433</v>
      </c>
      <c r="AL626" s="21">
        <f>_xll.qlInterestRateIndexValueDate(hiborindex,AK626)</f>
        <v>43437</v>
      </c>
      <c r="AM626" s="23">
        <f>_xll.qlIndexFixing(hiborindex,AK626)</f>
        <v>-1.7984585218585385E-3</v>
      </c>
    </row>
    <row r="627" spans="37:39" x14ac:dyDescent="0.25">
      <c r="AK627" s="21">
        <f>_xll.qlCalendarAdvance(calendar,AK626,"1D")</f>
        <v>43434</v>
      </c>
      <c r="AL627" s="21">
        <f>_xll.qlInterestRateIndexValueDate(hiborindex,AK627)</f>
        <v>43438</v>
      </c>
      <c r="AM627" s="23">
        <f>_xll.qlIndexFixing(hiborindex,AK627)</f>
        <v>-1.7979166888765403E-3</v>
      </c>
    </row>
    <row r="628" spans="37:39" x14ac:dyDescent="0.25">
      <c r="AK628" s="21">
        <f>_xll.qlCalendarAdvance(calendar,AK627,"1D")</f>
        <v>43437</v>
      </c>
      <c r="AL628" s="21">
        <f>_xll.qlInterestRateIndexValueDate(hiborindex,AK628)</f>
        <v>43439</v>
      </c>
      <c r="AM628" s="23">
        <f>_xll.qlIndexFixing(hiborindex,AK628)</f>
        <v>-1.7973748557454305E-3</v>
      </c>
    </row>
    <row r="629" spans="37:39" x14ac:dyDescent="0.25">
      <c r="AK629" s="21">
        <f>_xll.qlCalendarAdvance(calendar,AK628,"1D")</f>
        <v>43438</v>
      </c>
      <c r="AL629" s="21">
        <f>_xll.qlInterestRateIndexValueDate(hiborindex,AK629)</f>
        <v>43440</v>
      </c>
      <c r="AM629" s="23">
        <f>_xll.qlIndexFixing(hiborindex,AK629)</f>
        <v>-1.7968330224658682E-3</v>
      </c>
    </row>
    <row r="630" spans="37:39" x14ac:dyDescent="0.25">
      <c r="AK630" s="21">
        <f>_xll.qlCalendarAdvance(calendar,AK629,"1D")</f>
        <v>43439</v>
      </c>
      <c r="AL630" s="21">
        <f>_xll.qlInterestRateIndexValueDate(hiborindex,AK630)</f>
        <v>43441</v>
      </c>
      <c r="AM630" s="23">
        <f>_xll.qlIndexFixing(hiborindex,AK630)</f>
        <v>-1.796291189037414E-3</v>
      </c>
    </row>
    <row r="631" spans="37:39" x14ac:dyDescent="0.25">
      <c r="AK631" s="21">
        <f>_xll.qlCalendarAdvance(calendar,AK630,"1D")</f>
        <v>43440</v>
      </c>
      <c r="AL631" s="21">
        <f>_xll.qlInterestRateIndexValueDate(hiborindex,AK631)</f>
        <v>43444</v>
      </c>
      <c r="AM631" s="23">
        <f>_xll.qlIndexFixing(hiborindex,AK631)</f>
        <v>-1.7946656878619939E-3</v>
      </c>
    </row>
    <row r="632" spans="37:39" x14ac:dyDescent="0.25">
      <c r="AK632" s="21">
        <f>_xll.qlCalendarAdvance(calendar,AK631,"1D")</f>
        <v>43441</v>
      </c>
      <c r="AL632" s="21">
        <f>_xll.qlInterestRateIndexValueDate(hiborindex,AK632)</f>
        <v>43445</v>
      </c>
      <c r="AM632" s="23">
        <f>_xll.qlIndexFixing(hiborindex,AK632)</f>
        <v>-1.7941238538392898E-3</v>
      </c>
    </row>
    <row r="633" spans="37:39" x14ac:dyDescent="0.25">
      <c r="AK633" s="21">
        <f>_xll.qlCalendarAdvance(calendar,AK632,"1D")</f>
        <v>43444</v>
      </c>
      <c r="AL633" s="21">
        <f>_xll.qlInterestRateIndexValueDate(hiborindex,AK633)</f>
        <v>43446</v>
      </c>
      <c r="AM633" s="23">
        <f>_xll.qlIndexFixing(hiborindex,AK633)</f>
        <v>-1.7935820196685721E-3</v>
      </c>
    </row>
    <row r="634" spans="37:39" x14ac:dyDescent="0.25">
      <c r="AK634" s="21">
        <f>_xll.qlCalendarAdvance(calendar,AK633,"1D")</f>
        <v>43445</v>
      </c>
      <c r="AL634" s="21">
        <f>_xll.qlInterestRateIndexValueDate(hiborindex,AK634)</f>
        <v>43447</v>
      </c>
      <c r="AM634" s="23">
        <f>_xll.qlIndexFixing(hiborindex,AK634)</f>
        <v>-1.7930401853491821E-3</v>
      </c>
    </row>
    <row r="635" spans="37:39" x14ac:dyDescent="0.25">
      <c r="AK635" s="21">
        <f>_xll.qlCalendarAdvance(calendar,AK634,"1D")</f>
        <v>43446</v>
      </c>
      <c r="AL635" s="21">
        <f>_xll.qlInterestRateIndexValueDate(hiborindex,AK635)</f>
        <v>43448</v>
      </c>
      <c r="AM635" s="23">
        <f>_xll.qlIndexFixing(hiborindex,AK635)</f>
        <v>-1.7924983508813394E-3</v>
      </c>
    </row>
    <row r="636" spans="37:39" x14ac:dyDescent="0.25">
      <c r="AK636" s="21">
        <f>_xll.qlCalendarAdvance(calendar,AK635,"1D")</f>
        <v>43447</v>
      </c>
      <c r="AL636" s="21">
        <f>_xll.qlInterestRateIndexValueDate(hiborindex,AK636)</f>
        <v>43451</v>
      </c>
      <c r="AM636" s="23">
        <f>_xll.qlIndexFixing(hiborindex,AK636)</f>
        <v>-1.7908728465862171E-3</v>
      </c>
    </row>
    <row r="637" spans="37:39" x14ac:dyDescent="0.25">
      <c r="AK637" s="21">
        <f>_xll.qlCalendarAdvance(calendar,AK636,"1D")</f>
        <v>43448</v>
      </c>
      <c r="AL637" s="21">
        <f>_xll.qlInterestRateIndexValueDate(hiborindex,AK637)</f>
        <v>43452</v>
      </c>
      <c r="AM637" s="23">
        <f>_xll.qlIndexFixing(hiborindex,AK637)</f>
        <v>-1.7903310115236853E-3</v>
      </c>
    </row>
    <row r="638" spans="37:39" x14ac:dyDescent="0.25">
      <c r="AK638" s="21">
        <f>_xll.qlCalendarAdvance(calendar,AK637,"1D")</f>
        <v>43451</v>
      </c>
      <c r="AL638" s="21">
        <f>_xll.qlInterestRateIndexValueDate(hiborindex,AK638)</f>
        <v>43453</v>
      </c>
      <c r="AM638" s="23">
        <f>_xll.qlIndexFixing(hiborindex,AK638)</f>
        <v>-1.7897891763129204E-3</v>
      </c>
    </row>
    <row r="639" spans="37:39" x14ac:dyDescent="0.25">
      <c r="AK639" s="21">
        <f>_xll.qlCalendarAdvance(calendar,AK638,"1D")</f>
        <v>43452</v>
      </c>
      <c r="AL639" s="21">
        <f>_xll.qlInterestRateIndexValueDate(hiborindex,AK639)</f>
        <v>43454</v>
      </c>
      <c r="AM639" s="23">
        <f>_xll.qlIndexFixing(hiborindex,AK639)</f>
        <v>-1.7892473409534834E-3</v>
      </c>
    </row>
    <row r="640" spans="37:39" x14ac:dyDescent="0.25">
      <c r="AK640" s="21">
        <f>_xll.qlCalendarAdvance(calendar,AK639,"1D")</f>
        <v>43453</v>
      </c>
      <c r="AL640" s="21">
        <f>_xll.qlInterestRateIndexValueDate(hiborindex,AK640)</f>
        <v>43455</v>
      </c>
      <c r="AM640" s="23">
        <f>_xll.qlIndexFixing(hiborindex,AK640)</f>
        <v>-1.7887055054453739E-3</v>
      </c>
    </row>
    <row r="641" spans="37:39" x14ac:dyDescent="0.25">
      <c r="AK641" s="21">
        <f>_xll.qlCalendarAdvance(calendar,AK640,"1D")</f>
        <v>43454</v>
      </c>
      <c r="AL641" s="21">
        <f>_xll.qlInterestRateIndexValueDate(hiborindex,AK641)</f>
        <v>43458</v>
      </c>
      <c r="AM641" s="23">
        <f>_xll.qlIndexFixing(hiborindex,AK641)</f>
        <v>-1.7870799980305493E-3</v>
      </c>
    </row>
    <row r="642" spans="37:39" x14ac:dyDescent="0.25">
      <c r="AK642" s="21">
        <f>_xll.qlCalendarAdvance(calendar,AK641,"1D")</f>
        <v>43455</v>
      </c>
      <c r="AL642" s="21">
        <f>_xll.qlInterestRateIndexValueDate(hiborindex,AK642)</f>
        <v>43461</v>
      </c>
      <c r="AM642" s="23">
        <f>_xll.qlIndexFixing(hiborindex,AK642)</f>
        <v>-1.7854544892785525E-3</v>
      </c>
    </row>
    <row r="643" spans="37:39" x14ac:dyDescent="0.25">
      <c r="AK643" s="21">
        <f>_xll.qlCalendarAdvance(calendar,AK642,"1D")</f>
        <v>43458</v>
      </c>
      <c r="AL643" s="21">
        <f>_xll.qlInterestRateIndexValueDate(hiborindex,AK643)</f>
        <v>43462</v>
      </c>
      <c r="AM643" s="23">
        <f>_xll.qlIndexFixing(hiborindex,AK643)</f>
        <v>-1.7849126527306155E-3</v>
      </c>
    </row>
    <row r="644" spans="37:39" x14ac:dyDescent="0.25">
      <c r="AK644" s="21">
        <f>_xll.qlCalendarAdvance(calendar,AK643,"1D")</f>
        <v>43461</v>
      </c>
      <c r="AL644" s="21">
        <f>_xll.qlInterestRateIndexValueDate(hiborindex,AK644)</f>
        <v>43465</v>
      </c>
      <c r="AM644" s="23">
        <f>_xll.qlIndexFixing(hiborindex,AK644)</f>
        <v>-1.7841131642372797E-3</v>
      </c>
    </row>
    <row r="645" spans="37:39" x14ac:dyDescent="0.25">
      <c r="AK645" s="21">
        <f>_xll.qlCalendarAdvance(calendar,AK644,"1D")</f>
        <v>43462</v>
      </c>
      <c r="AL645" s="21">
        <f>_xll.qlInterestRateIndexValueDate(hiborindex,AK645)</f>
        <v>43467</v>
      </c>
      <c r="AM645" s="23">
        <f>_xll.qlIndexFixing(hiborindex,AK645)</f>
        <v>-1.762700013829182E-3</v>
      </c>
    </row>
    <row r="646" spans="37:39" x14ac:dyDescent="0.25">
      <c r="AK646" s="21">
        <f>_xll.qlCalendarAdvance(calendar,AK645,"1D")</f>
        <v>43465</v>
      </c>
      <c r="AL646" s="21">
        <f>_xll.qlInterestRateIndexValueDate(hiborindex,AK646)</f>
        <v>43468</v>
      </c>
      <c r="AM646" s="23">
        <f>_xll.qlIndexFixing(hiborindex,AK646)</f>
        <v>-1.7571909430775519E-3</v>
      </c>
    </row>
    <row r="647" spans="37:39" x14ac:dyDescent="0.25">
      <c r="AK647" s="21">
        <f>_xll.qlCalendarAdvance(calendar,AK646,"1D")</f>
        <v>43467</v>
      </c>
      <c r="AL647" s="21">
        <f>_xll.qlInterestRateIndexValueDate(hiborindex,AK647)</f>
        <v>43469</v>
      </c>
      <c r="AM647" s="23">
        <f>_xll.qlIndexFixing(hiborindex,AK647)</f>
        <v>-1.7516728584207194E-3</v>
      </c>
    </row>
    <row r="648" spans="37:39" x14ac:dyDescent="0.25">
      <c r="AK648" s="21">
        <f>_xll.qlCalendarAdvance(calendar,AK647,"1D")</f>
        <v>43468</v>
      </c>
      <c r="AL648" s="21">
        <f>_xll.qlInterestRateIndexValueDate(hiborindex,AK648)</f>
        <v>43472</v>
      </c>
      <c r="AM648" s="23">
        <f>_xll.qlIndexFixing(hiborindex,AK648)</f>
        <v>-1.7300503239300361E-3</v>
      </c>
    </row>
    <row r="649" spans="37:39" x14ac:dyDescent="0.25">
      <c r="AK649" s="21">
        <f>_xll.qlCalendarAdvance(calendar,AK648,"1D")</f>
        <v>43469</v>
      </c>
      <c r="AL649" s="21">
        <f>_xll.qlInterestRateIndexValueDate(hiborindex,AK649)</f>
        <v>43473</v>
      </c>
      <c r="AM649" s="23">
        <f>_xll.qlIndexFixing(hiborindex,AK649)</f>
        <v>-1.7295103792342845E-3</v>
      </c>
    </row>
    <row r="650" spans="37:39" x14ac:dyDescent="0.25">
      <c r="AK650" s="21">
        <f>_xll.qlCalendarAdvance(calendar,AK649,"1D")</f>
        <v>43472</v>
      </c>
      <c r="AL650" s="21">
        <f>_xll.qlInterestRateIndexValueDate(hiborindex,AK650)</f>
        <v>43474</v>
      </c>
      <c r="AM650" s="23">
        <f>_xll.qlIndexFixing(hiborindex,AK650)</f>
        <v>-1.7239472239215152E-3</v>
      </c>
    </row>
    <row r="651" spans="37:39" x14ac:dyDescent="0.25">
      <c r="AK651" s="21">
        <f>_xll.qlCalendarAdvance(calendar,AK650,"1D")</f>
        <v>43473</v>
      </c>
      <c r="AL651" s="21">
        <f>_xll.qlInterestRateIndexValueDate(hiborindex,AK651)</f>
        <v>43475</v>
      </c>
      <c r="AM651" s="23">
        <f>_xll.qlIndexFixing(hiborindex,AK651)</f>
        <v>-1.7183750542515298E-3</v>
      </c>
    </row>
    <row r="652" spans="37:39" x14ac:dyDescent="0.25">
      <c r="AK652" s="21">
        <f>_xll.qlCalendarAdvance(calendar,AK651,"1D")</f>
        <v>43474</v>
      </c>
      <c r="AL652" s="21">
        <f>_xll.qlInterestRateIndexValueDate(hiborindex,AK652)</f>
        <v>43476</v>
      </c>
      <c r="AM652" s="23">
        <f>_xll.qlIndexFixing(hiborindex,AK652)</f>
        <v>-1.7127938701485871E-3</v>
      </c>
    </row>
    <row r="653" spans="37:39" x14ac:dyDescent="0.25">
      <c r="AK653" s="21">
        <f>_xll.qlCalendarAdvance(calendar,AK652,"1D")</f>
        <v>43475</v>
      </c>
      <c r="AL653" s="21">
        <f>_xll.qlInterestRateIndexValueDate(hiborindex,AK653)</f>
        <v>43479</v>
      </c>
      <c r="AM653" s="23">
        <f>_xll.qlIndexFixing(hiborindex,AK653)</f>
        <v>-1.6911132971241629E-3</v>
      </c>
    </row>
    <row r="654" spans="37:39" x14ac:dyDescent="0.25">
      <c r="AK654" s="21">
        <f>_xll.qlCalendarAdvance(calendar,AK653,"1D")</f>
        <v>43476</v>
      </c>
      <c r="AL654" s="21">
        <f>_xll.qlInterestRateIndexValueDate(hiborindex,AK654)</f>
        <v>43480</v>
      </c>
      <c r="AM654" s="23">
        <f>_xll.qlIndexFixing(hiborindex,AK654)</f>
        <v>-1.690378987885591E-3</v>
      </c>
    </row>
    <row r="655" spans="37:39" x14ac:dyDescent="0.25">
      <c r="AK655" s="21">
        <f>_xll.qlCalendarAdvance(calendar,AK654,"1D")</f>
        <v>43479</v>
      </c>
      <c r="AL655" s="21">
        <f>_xll.qlInterestRateIndexValueDate(hiborindex,AK655)</f>
        <v>43481</v>
      </c>
      <c r="AM655" s="23">
        <f>_xll.qlIndexFixing(hiborindex,AK655)</f>
        <v>-1.6847527304762354E-3</v>
      </c>
    </row>
    <row r="656" spans="37:39" x14ac:dyDescent="0.25">
      <c r="AK656" s="21">
        <f>_xll.qlCalendarAdvance(calendar,AK655,"1D")</f>
        <v>43480</v>
      </c>
      <c r="AL656" s="21">
        <f>_xll.qlInterestRateIndexValueDate(hiborindex,AK656)</f>
        <v>43482</v>
      </c>
      <c r="AM656" s="23">
        <f>_xll.qlIndexFixing(hiborindex,AK656)</f>
        <v>-1.6791174581766088E-3</v>
      </c>
    </row>
    <row r="657" spans="37:39" x14ac:dyDescent="0.25">
      <c r="AK657" s="21">
        <f>_xll.qlCalendarAdvance(calendar,AK656,"1D")</f>
        <v>43481</v>
      </c>
      <c r="AL657" s="21">
        <f>_xll.qlInterestRateIndexValueDate(hiborindex,AK657)</f>
        <v>43483</v>
      </c>
      <c r="AM657" s="23">
        <f>_xll.qlIndexFixing(hiborindex,AK657)</f>
        <v>-1.6734731709103087E-3</v>
      </c>
    </row>
    <row r="658" spans="37:39" x14ac:dyDescent="0.25">
      <c r="AK658" s="21">
        <f>_xll.qlCalendarAdvance(calendar,AK657,"1D")</f>
        <v>43482</v>
      </c>
      <c r="AL658" s="21">
        <f>_xll.qlInterestRateIndexValueDate(hiborindex,AK658)</f>
        <v>43486</v>
      </c>
      <c r="AM658" s="23">
        <f>_xll.qlIndexFixing(hiborindex,AK658)</f>
        <v>-1.6517369728895261E-3</v>
      </c>
    </row>
    <row r="659" spans="37:39" x14ac:dyDescent="0.25">
      <c r="AK659" s="21">
        <f>_xll.qlCalendarAdvance(calendar,AK658,"1D")</f>
        <v>43483</v>
      </c>
      <c r="AL659" s="21">
        <f>_xll.qlInterestRateIndexValueDate(hiborindex,AK659)</f>
        <v>43487</v>
      </c>
      <c r="AM659" s="23">
        <f>_xll.qlIndexFixing(hiborindex,AK659)</f>
        <v>-1.6508058706410367E-3</v>
      </c>
    </row>
    <row r="660" spans="37:39" x14ac:dyDescent="0.25">
      <c r="AK660" s="21">
        <f>_xll.qlCalendarAdvance(calendar,AK659,"1D")</f>
        <v>43486</v>
      </c>
      <c r="AL660" s="21">
        <f>_xll.qlInterestRateIndexValueDate(hiborindex,AK660)</f>
        <v>43488</v>
      </c>
      <c r="AM660" s="23">
        <f>_xll.qlIndexFixing(hiborindex,AK660)</f>
        <v>-1.6451165073869322E-3</v>
      </c>
    </row>
    <row r="661" spans="37:39" x14ac:dyDescent="0.25">
      <c r="AK661" s="21">
        <f>_xll.qlCalendarAdvance(calendar,AK660,"1D")</f>
        <v>43487</v>
      </c>
      <c r="AL661" s="21">
        <f>_xll.qlInterestRateIndexValueDate(hiborindex,AK661)</f>
        <v>43489</v>
      </c>
      <c r="AM661" s="23">
        <f>_xll.qlIndexFixing(hiborindex,AK661)</f>
        <v>-1.6394181287042032E-3</v>
      </c>
    </row>
    <row r="662" spans="37:39" x14ac:dyDescent="0.25">
      <c r="AK662" s="21">
        <f>_xll.qlCalendarAdvance(calendar,AK661,"1D")</f>
        <v>43488</v>
      </c>
      <c r="AL662" s="21">
        <f>_xll.qlInterestRateIndexValueDate(hiborindex,AK662)</f>
        <v>43490</v>
      </c>
      <c r="AM662" s="23">
        <f>_xll.qlIndexFixing(hiborindex,AK662)</f>
        <v>-1.6337107345155632E-3</v>
      </c>
    </row>
    <row r="663" spans="37:39" x14ac:dyDescent="0.25">
      <c r="AK663" s="21">
        <f>_xll.qlCalendarAdvance(calendar,AK662,"1D")</f>
        <v>43489</v>
      </c>
      <c r="AL663" s="21">
        <f>_xll.qlInterestRateIndexValueDate(hiborindex,AK663)</f>
        <v>43493</v>
      </c>
      <c r="AM663" s="23">
        <f>_xll.qlIndexFixing(hiborindex,AK663)</f>
        <v>-1.6119213249987541E-3</v>
      </c>
    </row>
    <row r="664" spans="37:39" x14ac:dyDescent="0.25">
      <c r="AK664" s="21">
        <f>_xll.qlCalendarAdvance(calendar,AK663,"1D")</f>
        <v>43490</v>
      </c>
      <c r="AL664" s="21">
        <f>_xll.qlInterestRateIndexValueDate(hiborindex,AK664)</f>
        <v>43494</v>
      </c>
      <c r="AM664" s="23">
        <f>_xll.qlIndexFixing(hiborindex,AK664)</f>
        <v>-1.6107910011413748E-3</v>
      </c>
    </row>
    <row r="665" spans="37:39" x14ac:dyDescent="0.25">
      <c r="AK665" s="21">
        <f>_xll.qlCalendarAdvance(calendar,AK664,"1D")</f>
        <v>43493</v>
      </c>
      <c r="AL665" s="21">
        <f>_xll.qlInterestRateIndexValueDate(hiborindex,AK665)</f>
        <v>43495</v>
      </c>
      <c r="AM665" s="23">
        <f>_xll.qlIndexFixing(hiborindex,AK665)</f>
        <v>-1.6050385282543919E-3</v>
      </c>
    </row>
    <row r="666" spans="37:39" x14ac:dyDescent="0.25">
      <c r="AK666" s="21">
        <f>_xll.qlCalendarAdvance(calendar,AK665,"1D")</f>
        <v>43494</v>
      </c>
      <c r="AL666" s="21">
        <f>_xll.qlInterestRateIndexValueDate(hiborindex,AK666)</f>
        <v>43496</v>
      </c>
      <c r="AM666" s="23">
        <f>_xll.qlIndexFixing(hiborindex,AK666)</f>
        <v>-1.5992770393929224E-3</v>
      </c>
    </row>
    <row r="667" spans="37:39" x14ac:dyDescent="0.25">
      <c r="AK667" s="21">
        <f>_xll.qlCalendarAdvance(calendar,AK666,"1D")</f>
        <v>43495</v>
      </c>
      <c r="AL667" s="21">
        <f>_xll.qlInterestRateIndexValueDate(hiborindex,AK667)</f>
        <v>43497</v>
      </c>
      <c r="AM667" s="23">
        <f>_xll.qlIndexFixing(hiborindex,AK667)</f>
        <v>-1.5935065344801218E-3</v>
      </c>
    </row>
    <row r="668" spans="37:39" x14ac:dyDescent="0.25">
      <c r="AK668" s="21">
        <f>_xll.qlCalendarAdvance(calendar,AK667,"1D")</f>
        <v>43496</v>
      </c>
      <c r="AL668" s="21">
        <f>_xll.qlInterestRateIndexValueDate(hiborindex,AK668)</f>
        <v>43500</v>
      </c>
      <c r="AM668" s="23">
        <f>_xll.qlIndexFixing(hiborindex,AK668)</f>
        <v>-1.5716663269330596E-3</v>
      </c>
    </row>
    <row r="669" spans="37:39" x14ac:dyDescent="0.25">
      <c r="AK669" s="21">
        <f>_xll.qlCalendarAdvance(calendar,AK668,"1D")</f>
        <v>43497</v>
      </c>
      <c r="AL669" s="21">
        <f>_xll.qlInterestRateIndexValueDate(hiborindex,AK669)</f>
        <v>43501</v>
      </c>
      <c r="AM669" s="23">
        <f>_xll.qlIndexFixing(hiborindex,AK669)</f>
        <v>-1.5703343527358798E-3</v>
      </c>
    </row>
    <row r="670" spans="37:39" x14ac:dyDescent="0.25">
      <c r="AK670" s="21">
        <f>_xll.qlCalendarAdvance(calendar,AK669,"1D")</f>
        <v>43500</v>
      </c>
      <c r="AL670" s="21">
        <f>_xll.qlInterestRateIndexValueDate(hiborindex,AK670)</f>
        <v>43502</v>
      </c>
      <c r="AM670" s="23">
        <f>_xll.qlIndexFixing(hiborindex,AK670)</f>
        <v>-1.564518766383062E-3</v>
      </c>
    </row>
    <row r="671" spans="37:39" x14ac:dyDescent="0.25">
      <c r="AK671" s="21">
        <f>_xll.qlCalendarAdvance(calendar,AK670,"1D")</f>
        <v>43501</v>
      </c>
      <c r="AL671" s="21">
        <f>_xll.qlInterestRateIndexValueDate(hiborindex,AK671)</f>
        <v>43503</v>
      </c>
      <c r="AM671" s="23">
        <f>_xll.qlIndexFixing(hiborindex,AK671)</f>
        <v>-1.5586941635054798E-3</v>
      </c>
    </row>
    <row r="672" spans="37:39" x14ac:dyDescent="0.25">
      <c r="AK672" s="21">
        <f>_xll.qlCalendarAdvance(calendar,AK671,"1D")</f>
        <v>43502</v>
      </c>
      <c r="AL672" s="21">
        <f>_xll.qlInterestRateIndexValueDate(hiborindex,AK672)</f>
        <v>43504</v>
      </c>
      <c r="AM672" s="23">
        <f>_xll.qlIndexFixing(hiborindex,AK672)</f>
        <v>-1.5528605440249636E-3</v>
      </c>
    </row>
    <row r="673" spans="37:39" x14ac:dyDescent="0.25">
      <c r="AK673" s="21">
        <f>_xll.qlCalendarAdvance(calendar,AK672,"1D")</f>
        <v>43503</v>
      </c>
      <c r="AL673" s="21">
        <f>_xll.qlInterestRateIndexValueDate(hiborindex,AK673)</f>
        <v>43507</v>
      </c>
      <c r="AM673" s="23">
        <f>_xll.qlIndexFixing(hiborindex,AK673)</f>
        <v>-1.5309719518780678E-3</v>
      </c>
    </row>
    <row r="674" spans="37:39" x14ac:dyDescent="0.25">
      <c r="AK674" s="21">
        <f>_xll.qlCalendarAdvance(calendar,AK673,"1D")</f>
        <v>43504</v>
      </c>
      <c r="AL674" s="21">
        <f>_xll.qlInterestRateIndexValueDate(hiborindex,AK674)</f>
        <v>43508</v>
      </c>
      <c r="AM674" s="23">
        <f>_xll.qlIndexFixing(hiborindex,AK674)</f>
        <v>-1.5294358984759427E-3</v>
      </c>
    </row>
    <row r="675" spans="37:39" x14ac:dyDescent="0.25">
      <c r="AK675" s="21">
        <f>_xll.qlCalendarAdvance(calendar,AK674,"1D")</f>
        <v>43507</v>
      </c>
      <c r="AL675" s="21">
        <f>_xll.qlInterestRateIndexValueDate(hiborindex,AK675)</f>
        <v>43509</v>
      </c>
      <c r="AM675" s="23">
        <f>_xll.qlIndexFixing(hiborindex,AK675)</f>
        <v>-1.523557194784366E-3</v>
      </c>
    </row>
    <row r="676" spans="37:39" x14ac:dyDescent="0.25">
      <c r="AK676" s="21">
        <f>_xll.qlCalendarAdvance(calendar,AK675,"1D")</f>
        <v>43508</v>
      </c>
      <c r="AL676" s="21">
        <f>_xll.qlInterestRateIndexValueDate(hiborindex,AK676)</f>
        <v>43510</v>
      </c>
      <c r="AM676" s="23">
        <f>_xll.qlIndexFixing(hiborindex,AK676)</f>
        <v>-1.5176694740111222E-3</v>
      </c>
    </row>
    <row r="677" spans="37:39" x14ac:dyDescent="0.25">
      <c r="AK677" s="21">
        <f>_xll.qlCalendarAdvance(calendar,AK676,"1D")</f>
        <v>43509</v>
      </c>
      <c r="AL677" s="21">
        <f>_xll.qlInterestRateIndexValueDate(hiborindex,AK677)</f>
        <v>43511</v>
      </c>
      <c r="AM677" s="23">
        <f>_xll.qlIndexFixing(hiborindex,AK677)</f>
        <v>-1.5117727360769379E-3</v>
      </c>
    </row>
    <row r="678" spans="37:39" x14ac:dyDescent="0.25">
      <c r="AK678" s="21">
        <f>_xll.qlCalendarAdvance(calendar,AK677,"1D")</f>
        <v>43510</v>
      </c>
      <c r="AL678" s="21">
        <f>_xll.qlInterestRateIndexValueDate(hiborindex,AK678)</f>
        <v>43514</v>
      </c>
      <c r="AM678" s="23">
        <f>_xll.qlIndexFixing(hiborindex,AK678)</f>
        <v>-1.4898381727295258E-3</v>
      </c>
    </row>
    <row r="679" spans="37:39" x14ac:dyDescent="0.25">
      <c r="AK679" s="21">
        <f>_xll.qlCalendarAdvance(calendar,AK678,"1D")</f>
        <v>43511</v>
      </c>
      <c r="AL679" s="21">
        <f>_xll.qlInterestRateIndexValueDate(hiborindex,AK679)</f>
        <v>43515</v>
      </c>
      <c r="AM679" s="23">
        <f>_xll.qlIndexFixing(hiborindex,AK679)</f>
        <v>-1.4880956111201495E-3</v>
      </c>
    </row>
    <row r="680" spans="37:39" x14ac:dyDescent="0.25">
      <c r="AK680" s="21">
        <f>_xll.qlCalendarAdvance(calendar,AK679,"1D")</f>
        <v>43514</v>
      </c>
      <c r="AL680" s="21">
        <f>_xll.qlInterestRateIndexValueDate(hiborindex,AK680)</f>
        <v>43516</v>
      </c>
      <c r="AM680" s="23">
        <f>_xll.qlIndexFixing(hiborindex,AK680)</f>
        <v>-1.4821537861738304E-3</v>
      </c>
    </row>
    <row r="681" spans="37:39" x14ac:dyDescent="0.25">
      <c r="AK681" s="21">
        <f>_xll.qlCalendarAdvance(calendar,AK680,"1D")</f>
        <v>43515</v>
      </c>
      <c r="AL681" s="21">
        <f>_xll.qlInterestRateIndexValueDate(hiborindex,AK681)</f>
        <v>43517</v>
      </c>
      <c r="AM681" s="23">
        <f>_xll.qlIndexFixing(hiborindex,AK681)</f>
        <v>-1.4762029435834213E-3</v>
      </c>
    </row>
    <row r="682" spans="37:39" x14ac:dyDescent="0.25">
      <c r="AK682" s="21">
        <f>_xll.qlCalendarAdvance(calendar,AK681,"1D")</f>
        <v>43516</v>
      </c>
      <c r="AL682" s="21">
        <f>_xll.qlInterestRateIndexValueDate(hiborindex,AK682)</f>
        <v>43518</v>
      </c>
      <c r="AM682" s="23">
        <f>_xll.qlIndexFixing(hiborindex,AK682)</f>
        <v>-1.4702430832681027E-3</v>
      </c>
    </row>
    <row r="683" spans="37:39" x14ac:dyDescent="0.25">
      <c r="AK683" s="21">
        <f>_xll.qlCalendarAdvance(calendar,AK682,"1D")</f>
        <v>43517</v>
      </c>
      <c r="AL683" s="21">
        <f>_xll.qlInterestRateIndexValueDate(hiborindex,AK683)</f>
        <v>43521</v>
      </c>
      <c r="AM683" s="23">
        <f>_xll.qlIndexFixing(hiborindex,AK683)</f>
        <v>-1.4482649620871538E-3</v>
      </c>
    </row>
    <row r="684" spans="37:39" x14ac:dyDescent="0.25">
      <c r="AK684" s="21">
        <f>_xll.qlCalendarAdvance(calendar,AK683,"1D")</f>
        <v>43518</v>
      </c>
      <c r="AL684" s="21">
        <f>_xll.qlInterestRateIndexValueDate(hiborindex,AK684)</f>
        <v>43522</v>
      </c>
      <c r="AM684" s="23">
        <f>_xll.qlIndexFixing(hiborindex,AK684)</f>
        <v>-1.4463134631327369E-3</v>
      </c>
    </row>
    <row r="685" spans="37:39" x14ac:dyDescent="0.25">
      <c r="AK685" s="21">
        <f>_xll.qlCalendarAdvance(calendar,AK684,"1D")</f>
        <v>43521</v>
      </c>
      <c r="AL685" s="21">
        <f>_xll.qlInterestRateIndexValueDate(hiborindex,AK685)</f>
        <v>43523</v>
      </c>
      <c r="AM685" s="23">
        <f>_xll.qlIndexFixing(hiborindex,AK685)</f>
        <v>-1.4403085129741778E-3</v>
      </c>
    </row>
    <row r="686" spans="37:39" x14ac:dyDescent="0.25">
      <c r="AK686" s="21">
        <f>_xll.qlCalendarAdvance(calendar,AK685,"1D")</f>
        <v>43522</v>
      </c>
      <c r="AL686" s="21">
        <f>_xll.qlInterestRateIndexValueDate(hiborindex,AK686)</f>
        <v>43524</v>
      </c>
      <c r="AM686" s="23">
        <f>_xll.qlIndexFixing(hiborindex,AK686)</f>
        <v>-1.4263637852997713E-3</v>
      </c>
    </row>
    <row r="687" spans="37:39" x14ac:dyDescent="0.25">
      <c r="AK687" s="21">
        <f>_xll.qlCalendarAdvance(calendar,AK686,"1D")</f>
        <v>43523</v>
      </c>
      <c r="AL687" s="21">
        <f>_xll.qlInterestRateIndexValueDate(hiborindex,AK687)</f>
        <v>43525</v>
      </c>
      <c r="AM687" s="23">
        <f>_xll.qlIndexFixing(hiborindex,AK687)</f>
        <v>-1.4126178798338309E-3</v>
      </c>
    </row>
    <row r="688" spans="37:39" x14ac:dyDescent="0.25">
      <c r="AK688" s="21">
        <f>_xll.qlCalendarAdvance(calendar,AK687,"1D")</f>
        <v>43524</v>
      </c>
      <c r="AL688" s="21">
        <f>_xll.qlInterestRateIndexValueDate(hiborindex,AK688)</f>
        <v>43528</v>
      </c>
      <c r="AM688" s="23">
        <f>_xll.qlIndexFixing(hiborindex,AK688)</f>
        <v>-1.3985515335430544E-3</v>
      </c>
    </row>
    <row r="689" spans="37:39" x14ac:dyDescent="0.25">
      <c r="AK689" s="21">
        <f>_xll.qlCalendarAdvance(calendar,AK688,"1D")</f>
        <v>43525</v>
      </c>
      <c r="AL689" s="21">
        <f>_xll.qlInterestRateIndexValueDate(hiborindex,AK689)</f>
        <v>43529</v>
      </c>
      <c r="AM689" s="23">
        <f>_xll.qlIndexFixing(hiborindex,AK689)</f>
        <v>-1.392555900430458E-3</v>
      </c>
    </row>
    <row r="690" spans="37:39" x14ac:dyDescent="0.25">
      <c r="AK690" s="21">
        <f>_xll.qlCalendarAdvance(calendar,AK689,"1D")</f>
        <v>43528</v>
      </c>
      <c r="AL690" s="21">
        <f>_xll.qlInterestRateIndexValueDate(hiborindex,AK690)</f>
        <v>43530</v>
      </c>
      <c r="AM690" s="23">
        <f>_xll.qlIndexFixing(hiborindex,AK690)</f>
        <v>-1.3865513954908928E-3</v>
      </c>
    </row>
    <row r="691" spans="37:39" x14ac:dyDescent="0.25">
      <c r="AK691" s="21">
        <f>_xll.qlCalendarAdvance(calendar,AK690,"1D")</f>
        <v>43529</v>
      </c>
      <c r="AL691" s="21">
        <f>_xll.qlInterestRateIndexValueDate(hiborindex,AK691)</f>
        <v>43531</v>
      </c>
      <c r="AM691" s="23">
        <f>_xll.qlIndexFixing(hiborindex,AK691)</f>
        <v>-1.3730798823958204E-3</v>
      </c>
    </row>
    <row r="692" spans="37:39" x14ac:dyDescent="0.25">
      <c r="AK692" s="21">
        <f>_xll.qlCalendarAdvance(calendar,AK691,"1D")</f>
        <v>43530</v>
      </c>
      <c r="AL692" s="21">
        <f>_xll.qlInterestRateIndexValueDate(hiborindex,AK692)</f>
        <v>43532</v>
      </c>
      <c r="AM692" s="23">
        <f>_xll.qlIndexFixing(hiborindex,AK692)</f>
        <v>-1.3707932447125199E-3</v>
      </c>
    </row>
    <row r="693" spans="37:39" x14ac:dyDescent="0.25">
      <c r="AK693" s="21">
        <f>_xll.qlCalendarAdvance(calendar,AK692,"1D")</f>
        <v>43531</v>
      </c>
      <c r="AL693" s="21">
        <f>_xll.qlInterestRateIndexValueDate(hiborindex,AK693)</f>
        <v>43535</v>
      </c>
      <c r="AM693" s="23">
        <f>_xll.qlIndexFixing(hiborindex,AK693)</f>
        <v>-1.3563957905375565E-3</v>
      </c>
    </row>
    <row r="694" spans="37:39" x14ac:dyDescent="0.25">
      <c r="AK694" s="21">
        <f>_xll.qlCalendarAdvance(calendar,AK693,"1D")</f>
        <v>43532</v>
      </c>
      <c r="AL694" s="21">
        <f>_xll.qlInterestRateIndexValueDate(hiborindex,AK694)</f>
        <v>43536</v>
      </c>
      <c r="AM694" s="23">
        <f>_xll.qlIndexFixing(hiborindex,AK694)</f>
        <v>-1.3503380529212464E-3</v>
      </c>
    </row>
    <row r="695" spans="37:39" x14ac:dyDescent="0.25">
      <c r="AK695" s="21">
        <f>_xll.qlCalendarAdvance(calendar,AK694,"1D")</f>
        <v>43535</v>
      </c>
      <c r="AL695" s="21">
        <f>_xll.qlInterestRateIndexValueDate(hiborindex,AK695)</f>
        <v>43537</v>
      </c>
      <c r="AM695" s="23">
        <f>_xll.qlIndexFixing(hiborindex,AK695)</f>
        <v>-1.3442714429047307E-3</v>
      </c>
    </row>
    <row r="696" spans="37:39" x14ac:dyDescent="0.25">
      <c r="AK696" s="21">
        <f>_xll.qlCalendarAdvance(calendar,AK695,"1D")</f>
        <v>43536</v>
      </c>
      <c r="AL696" s="21">
        <f>_xll.qlInterestRateIndexValueDate(hiborindex,AK696)</f>
        <v>43538</v>
      </c>
      <c r="AM696" s="23">
        <f>_xll.qlIndexFixing(hiborindex,AK696)</f>
        <v>-1.3310298649550677E-3</v>
      </c>
    </row>
    <row r="697" spans="37:39" x14ac:dyDescent="0.25">
      <c r="AK697" s="21">
        <f>_xll.qlCalendarAdvance(calendar,AK696,"1D")</f>
        <v>43537</v>
      </c>
      <c r="AL697" s="21">
        <f>_xll.qlInterestRateIndexValueDate(hiborindex,AK697)</f>
        <v>43539</v>
      </c>
      <c r="AM697" s="23">
        <f>_xll.qlIndexFixing(hiborindex,AK697)</f>
        <v>-1.3285362252341336E-3</v>
      </c>
    </row>
    <row r="698" spans="37:39" x14ac:dyDescent="0.25">
      <c r="AK698" s="21">
        <f>_xll.qlCalendarAdvance(calendar,AK697,"1D")</f>
        <v>43538</v>
      </c>
      <c r="AL698" s="21">
        <f>_xll.qlInterestRateIndexValueDate(hiborindex,AK698)</f>
        <v>43542</v>
      </c>
      <c r="AM698" s="23">
        <f>_xll.qlIndexFixing(hiborindex,AK698)</f>
        <v>-1.3138053039283332E-3</v>
      </c>
    </row>
    <row r="699" spans="37:39" x14ac:dyDescent="0.25">
      <c r="AK699" s="21">
        <f>_xll.qlCalendarAdvance(calendar,AK698,"1D")</f>
        <v>43539</v>
      </c>
      <c r="AL699" s="21">
        <f>_xll.qlInterestRateIndexValueDate(hiborindex,AK699)</f>
        <v>43543</v>
      </c>
      <c r="AM699" s="23">
        <f>_xll.qlIndexFixing(hiborindex,AK699)</f>
        <v>-1.307685457773928E-3</v>
      </c>
    </row>
    <row r="700" spans="37:39" x14ac:dyDescent="0.25">
      <c r="AK700" s="21">
        <f>_xll.qlCalendarAdvance(calendar,AK699,"1D")</f>
        <v>43542</v>
      </c>
      <c r="AL700" s="21">
        <f>_xll.qlInterestRateIndexValueDate(hiborindex,AK700)</f>
        <v>43544</v>
      </c>
      <c r="AM700" s="23">
        <f>_xll.qlIndexFixing(hiborindex,AK700)</f>
        <v>-1.3015567386399978E-3</v>
      </c>
    </row>
    <row r="701" spans="37:39" x14ac:dyDescent="0.25">
      <c r="AK701" s="21">
        <f>_xll.qlCalendarAdvance(calendar,AK700,"1D")</f>
        <v>43543</v>
      </c>
      <c r="AL701" s="21">
        <f>_xll.qlInterestRateIndexValueDate(hiborindex,AK701)</f>
        <v>43545</v>
      </c>
      <c r="AM701" s="23">
        <f>_xll.qlIndexFixing(hiborindex,AK701)</f>
        <v>-1.2885497610588331E-3</v>
      </c>
    </row>
    <row r="702" spans="37:39" x14ac:dyDescent="0.25">
      <c r="AK702" s="21">
        <f>_xll.qlCalendarAdvance(calendar,AK701,"1D")</f>
        <v>43544</v>
      </c>
      <c r="AL702" s="21">
        <f>_xll.qlInterestRateIndexValueDate(hiborindex,AK702)</f>
        <v>43546</v>
      </c>
      <c r="AM702" s="23">
        <f>_xll.qlIndexFixing(hiborindex,AK702)</f>
        <v>-1.2858467932512416E-3</v>
      </c>
    </row>
    <row r="703" spans="37:39" x14ac:dyDescent="0.25">
      <c r="AK703" s="21">
        <f>_xll.qlCalendarAdvance(calendar,AK702,"1D")</f>
        <v>43545</v>
      </c>
      <c r="AL703" s="21">
        <f>_xll.qlInterestRateIndexValueDate(hiborindex,AK703)</f>
        <v>43549</v>
      </c>
      <c r="AM703" s="23">
        <f>_xll.qlIndexFixing(hiborindex,AK703)</f>
        <v>-1.2707800453452521E-3</v>
      </c>
    </row>
    <row r="704" spans="37:39" x14ac:dyDescent="0.25">
      <c r="AK704" s="21">
        <f>_xll.qlCalendarAdvance(calendar,AK703,"1D")</f>
        <v>43546</v>
      </c>
      <c r="AL704" s="21">
        <f>_xll.qlInterestRateIndexValueDate(hiborindex,AK704)</f>
        <v>43550</v>
      </c>
      <c r="AM704" s="23">
        <f>_xll.qlIndexFixing(hiborindex,AK704)</f>
        <v>-1.2645980865762302E-3</v>
      </c>
    </row>
    <row r="705" spans="37:39" x14ac:dyDescent="0.25">
      <c r="AK705" s="21">
        <f>_xll.qlCalendarAdvance(calendar,AK704,"1D")</f>
        <v>43549</v>
      </c>
      <c r="AL705" s="21">
        <f>_xll.qlInterestRateIndexValueDate(hiborindex,AK705)</f>
        <v>43551</v>
      </c>
      <c r="AM705" s="23">
        <f>_xll.qlIndexFixing(hiborindex,AK705)</f>
        <v>-1.2584072542409785E-3</v>
      </c>
    </row>
    <row r="706" spans="37:39" x14ac:dyDescent="0.25">
      <c r="AK706" s="21">
        <f>_xll.qlCalendarAdvance(calendar,AK705,"1D")</f>
        <v>43550</v>
      </c>
      <c r="AL706" s="21">
        <f>_xll.qlInterestRateIndexValueDate(hiborindex,AK706)</f>
        <v>43552</v>
      </c>
      <c r="AM706" s="23">
        <f>_xll.qlIndexFixing(hiborindex,AK706)</f>
        <v>-1.2456395424091076E-3</v>
      </c>
    </row>
    <row r="707" spans="37:39" x14ac:dyDescent="0.25">
      <c r="AK707" s="21">
        <f>_xll.qlCalendarAdvance(calendar,AK706,"1D")</f>
        <v>43551</v>
      </c>
      <c r="AL707" s="21">
        <f>_xll.qlInterestRateIndexValueDate(hiborindex,AK707)</f>
        <v>43553</v>
      </c>
      <c r="AM707" s="23">
        <f>_xll.qlIndexFixing(hiborindex,AK707)</f>
        <v>-1.2427249203249709E-3</v>
      </c>
    </row>
    <row r="708" spans="37:39" x14ac:dyDescent="0.25">
      <c r="AK708" s="21">
        <f>_xll.qlCalendarAdvance(calendar,AK707,"1D")</f>
        <v>43552</v>
      </c>
      <c r="AL708" s="21">
        <f>_xll.qlInterestRateIndexValueDate(hiborindex,AK708)</f>
        <v>43556</v>
      </c>
      <c r="AM708" s="23">
        <f>_xll.qlIndexFixing(hiborindex,AK708)</f>
        <v>-1.2305514341646028E-3</v>
      </c>
    </row>
    <row r="709" spans="37:39" x14ac:dyDescent="0.25">
      <c r="AK709" s="21">
        <f>_xll.qlCalendarAdvance(calendar,AK708,"1D")</f>
        <v>43553</v>
      </c>
      <c r="AL709" s="21">
        <f>_xll.qlInterestRateIndexValueDate(hiborindex,AK709)</f>
        <v>43557</v>
      </c>
      <c r="AM709" s="23">
        <f>_xll.qlIndexFixing(hiborindex,AK709)</f>
        <v>-1.2242850912079428E-3</v>
      </c>
    </row>
    <row r="710" spans="37:39" x14ac:dyDescent="0.25">
      <c r="AK710" s="21">
        <f>_xll.qlCalendarAdvance(calendar,AK709,"1D")</f>
        <v>43556</v>
      </c>
      <c r="AL710" s="21">
        <f>_xll.qlInterestRateIndexValueDate(hiborindex,AK710)</f>
        <v>43558</v>
      </c>
      <c r="AM710" s="23">
        <f>_xll.qlIndexFixing(hiborindex,AK710)</f>
        <v>-1.218009825660529E-3</v>
      </c>
    </row>
    <row r="711" spans="37:39" x14ac:dyDescent="0.25">
      <c r="AK711" s="21">
        <f>_xll.qlCalendarAdvance(calendar,AK710,"1D")</f>
        <v>43557</v>
      </c>
      <c r="AL711" s="21">
        <f>_xll.qlInterestRateIndexValueDate(hiborindex,AK711)</f>
        <v>43559</v>
      </c>
      <c r="AM711" s="23">
        <f>_xll.qlIndexFixing(hiborindex,AK711)</f>
        <v>-1.2117256374382756E-3</v>
      </c>
    </row>
    <row r="712" spans="37:39" x14ac:dyDescent="0.25">
      <c r="AK712" s="21">
        <f>_xll.qlCalendarAdvance(calendar,AK711,"1D")</f>
        <v>43558</v>
      </c>
      <c r="AL712" s="21">
        <f>_xll.qlInterestRateIndexValueDate(hiborindex,AK712)</f>
        <v>43560</v>
      </c>
      <c r="AM712" s="23">
        <f>_xll.qlIndexFixing(hiborindex,AK712)</f>
        <v>-1.1991705777299752E-3</v>
      </c>
    </row>
    <row r="713" spans="37:39" x14ac:dyDescent="0.25">
      <c r="AK713" s="21">
        <f>_xll.qlCalendarAdvance(calendar,AK712,"1D")</f>
        <v>43559</v>
      </c>
      <c r="AL713" s="21">
        <f>_xll.qlInterestRateIndexValueDate(hiborindex,AK713)</f>
        <v>43563</v>
      </c>
      <c r="AM713" s="23">
        <f>_xll.qlIndexFixing(hiborindex,AK713)</f>
        <v>-1.1864996560818067E-3</v>
      </c>
    </row>
    <row r="714" spans="37:39" x14ac:dyDescent="0.25">
      <c r="AK714" s="21">
        <f>_xll.qlCalendarAdvance(calendar,AK713,"1D")</f>
        <v>43560</v>
      </c>
      <c r="AL714" s="21">
        <f>_xll.qlInterestRateIndexValueDate(hiborindex,AK714)</f>
        <v>43564</v>
      </c>
      <c r="AM714" s="23">
        <f>_xll.qlIndexFixing(hiborindex,AK714)</f>
        <v>-1.1801708531978617E-3</v>
      </c>
    </row>
    <row r="715" spans="37:39" x14ac:dyDescent="0.25">
      <c r="AK715" s="21">
        <f>_xll.qlCalendarAdvance(calendar,AK714,"1D")</f>
        <v>43563</v>
      </c>
      <c r="AL715" s="21">
        <f>_xll.qlInterestRateIndexValueDate(hiborindex,AK715)</f>
        <v>43565</v>
      </c>
      <c r="AM715" s="23">
        <f>_xll.qlIndexFixing(hiborindex,AK715)</f>
        <v>-1.1738331271232058E-3</v>
      </c>
    </row>
    <row r="716" spans="37:39" x14ac:dyDescent="0.25">
      <c r="AK716" s="21">
        <f>_xll.qlCalendarAdvance(calendar,AK715,"1D")</f>
        <v>43564</v>
      </c>
      <c r="AL716" s="21">
        <f>_xll.qlInterestRateIndexValueDate(hiborindex,AK716)</f>
        <v>43566</v>
      </c>
      <c r="AM716" s="23">
        <f>_xll.qlIndexFixing(hiborindex,AK716)</f>
        <v>-1.1674864777733163E-3</v>
      </c>
    </row>
    <row r="717" spans="37:39" x14ac:dyDescent="0.25">
      <c r="AK717" s="21">
        <f>_xll.qlCalendarAdvance(calendar,AK716,"1D")</f>
        <v>43565</v>
      </c>
      <c r="AL717" s="21">
        <f>_xll.qlInterestRateIndexValueDate(hiborindex,AK717)</f>
        <v>43567</v>
      </c>
      <c r="AM717" s="23">
        <f>_xll.qlIndexFixing(hiborindex,AK717)</f>
        <v>-1.1551837364522741E-3</v>
      </c>
    </row>
    <row r="718" spans="37:39" x14ac:dyDescent="0.25">
      <c r="AK718" s="21">
        <f>_xll.qlCalendarAdvance(calendar,AK717,"1D")</f>
        <v>43566</v>
      </c>
      <c r="AL718" s="21">
        <f>_xll.qlInterestRateIndexValueDate(hiborindex,AK718)</f>
        <v>43570</v>
      </c>
      <c r="AM718" s="23">
        <f>_xll.qlIndexFixing(hiborindex,AK718)</f>
        <v>-1.1420106458835792E-3</v>
      </c>
    </row>
    <row r="719" spans="37:39" x14ac:dyDescent="0.25">
      <c r="AK719" s="21">
        <f>_xll.qlCalendarAdvance(calendar,AK718,"1D")</f>
        <v>43567</v>
      </c>
      <c r="AL719" s="21">
        <f>_xll.qlInterestRateIndexValueDate(hiborindex,AK719)</f>
        <v>43571</v>
      </c>
      <c r="AM719" s="23">
        <f>_xll.qlIndexFixing(hiborindex,AK719)</f>
        <v>-1.1356193788558313E-3</v>
      </c>
    </row>
    <row r="720" spans="37:39" x14ac:dyDescent="0.25">
      <c r="AK720" s="21">
        <f>_xll.qlCalendarAdvance(calendar,AK719,"1D")</f>
        <v>43570</v>
      </c>
      <c r="AL720" s="21">
        <f>_xll.qlInterestRateIndexValueDate(hiborindex,AK720)</f>
        <v>43572</v>
      </c>
      <c r="AM720" s="23">
        <f>_xll.qlIndexFixing(hiborindex,AK720)</f>
        <v>-1.1292191880326106E-3</v>
      </c>
    </row>
    <row r="721" spans="37:39" x14ac:dyDescent="0.25">
      <c r="AK721" s="21">
        <f>_xll.qlCalendarAdvance(calendar,AK720,"1D")</f>
        <v>43571</v>
      </c>
      <c r="AL721" s="21">
        <f>_xll.qlInterestRateIndexValueDate(hiborindex,AK721)</f>
        <v>43573</v>
      </c>
      <c r="AM721" s="23">
        <f>_xll.qlIndexFixing(hiborindex,AK721)</f>
        <v>-1.1228100733265548E-3</v>
      </c>
    </row>
    <row r="722" spans="37:39" x14ac:dyDescent="0.25">
      <c r="AK722" s="21">
        <f>_xll.qlCalendarAdvance(calendar,AK721,"1D")</f>
        <v>43572</v>
      </c>
      <c r="AL722" s="21">
        <f>_xll.qlInterestRateIndexValueDate(hiborindex,AK722)</f>
        <v>43578</v>
      </c>
      <c r="AM722" s="23">
        <f>_xll.qlIndexFixing(hiborindex,AK722)</f>
        <v>-1.0906306385028604E-3</v>
      </c>
    </row>
    <row r="723" spans="37:39" x14ac:dyDescent="0.25">
      <c r="AK723" s="21">
        <f>_xll.qlCalendarAdvance(calendar,AK722,"1D")</f>
        <v>43573</v>
      </c>
      <c r="AL723" s="21">
        <f>_xll.qlInterestRateIndexValueDate(hiborindex,AK723)</f>
        <v>43579</v>
      </c>
      <c r="AM723" s="23">
        <f>_xll.qlIndexFixing(hiborindex,AK723)</f>
        <v>-1.0841679786669446E-3</v>
      </c>
    </row>
    <row r="724" spans="37:39" x14ac:dyDescent="0.25">
      <c r="AK724" s="21">
        <f>_xll.qlCalendarAdvance(calendar,AK723,"1D")</f>
        <v>43578</v>
      </c>
      <c r="AL724" s="21">
        <f>_xll.qlInterestRateIndexValueDate(hiborindex,AK724)</f>
        <v>43580</v>
      </c>
      <c r="AM724" s="23">
        <f>_xll.qlIndexFixing(hiborindex,AK724)</f>
        <v>-1.0776963943355694E-3</v>
      </c>
    </row>
    <row r="725" spans="37:39" x14ac:dyDescent="0.25">
      <c r="AK725" s="21">
        <f>_xll.qlCalendarAdvance(calendar,AK724,"1D")</f>
        <v>43579</v>
      </c>
      <c r="AL725" s="21">
        <f>_xll.qlInterestRateIndexValueDate(hiborindex,AK725)</f>
        <v>43581</v>
      </c>
      <c r="AM725" s="23">
        <f>_xll.qlIndexFixing(hiborindex,AK725)</f>
        <v>-1.0659124403492324E-3</v>
      </c>
    </row>
    <row r="726" spans="37:39" x14ac:dyDescent="0.25">
      <c r="AK726" s="21">
        <f>_xll.qlCalendarAdvance(calendar,AK725,"1D")</f>
        <v>43580</v>
      </c>
      <c r="AL726" s="21">
        <f>_xll.qlInterestRateIndexValueDate(hiborindex,AK726)</f>
        <v>43584</v>
      </c>
      <c r="AM726" s="23">
        <f>_xll.qlIndexFixing(hiborindex,AK726)</f>
        <v>-1.0517208102977524E-3</v>
      </c>
    </row>
    <row r="727" spans="37:39" x14ac:dyDescent="0.25">
      <c r="AK727" s="21">
        <f>_xll.qlCalendarAdvance(calendar,AK726,"1D")</f>
        <v>43581</v>
      </c>
      <c r="AL727" s="21">
        <f>_xll.qlInterestRateIndexValueDate(hiborindex,AK727)</f>
        <v>43585</v>
      </c>
      <c r="AM727" s="23">
        <f>_xll.qlIndexFixing(hiborindex,AK727)</f>
        <v>-1.0426385750848509E-3</v>
      </c>
    </row>
    <row r="728" spans="37:39" x14ac:dyDescent="0.25">
      <c r="AK728" s="21">
        <f>_xll.qlCalendarAdvance(calendar,AK727,"1D")</f>
        <v>43584</v>
      </c>
      <c r="AL728" s="21">
        <f>_xll.qlInterestRateIndexValueDate(hiborindex,AK728)</f>
        <v>43587</v>
      </c>
      <c r="AM728" s="23">
        <f>_xll.qlIndexFixing(hiborindex,AK728)</f>
        <v>-1.0246357173490201E-3</v>
      </c>
    </row>
    <row r="729" spans="37:39" x14ac:dyDescent="0.25">
      <c r="AK729" s="21">
        <f>_xll.qlCalendarAdvance(calendar,AK728,"1D")</f>
        <v>43585</v>
      </c>
      <c r="AL729" s="21">
        <f>_xll.qlInterestRateIndexValueDate(hiborindex,AK729)</f>
        <v>43588</v>
      </c>
      <c r="AM729" s="23">
        <f>_xll.qlIndexFixing(hiborindex,AK729)</f>
        <v>-1.0206279260525448E-3</v>
      </c>
    </row>
    <row r="730" spans="37:39" x14ac:dyDescent="0.25">
      <c r="AK730" s="21">
        <f>_xll.qlCalendarAdvance(calendar,AK729,"1D")</f>
        <v>43587</v>
      </c>
      <c r="AL730" s="21">
        <f>_xll.qlInterestRateIndexValueDate(hiborindex,AK730)</f>
        <v>43591</v>
      </c>
      <c r="AM730" s="23">
        <f>_xll.qlIndexFixing(hiborindex,AK730)</f>
        <v>-1.003496657066102E-3</v>
      </c>
    </row>
    <row r="731" spans="37:39" x14ac:dyDescent="0.25">
      <c r="AK731" s="21">
        <f>_xll.qlCalendarAdvance(calendar,AK730,"1D")</f>
        <v>43588</v>
      </c>
      <c r="AL731" s="21">
        <f>_xll.qlInterestRateIndexValueDate(hiborindex,AK731)</f>
        <v>43592</v>
      </c>
      <c r="AM731" s="23">
        <f>_xll.qlIndexFixing(hiborindex,AK731)</f>
        <v>-9.9694193467667427E-4</v>
      </c>
    </row>
    <row r="732" spans="37:39" x14ac:dyDescent="0.25">
      <c r="AK732" s="21">
        <f>_xll.qlCalendarAdvance(calendar,AK731,"1D")</f>
        <v>43591</v>
      </c>
      <c r="AL732" s="21">
        <f>_xll.qlInterestRateIndexValueDate(hiborindex,AK732)</f>
        <v>43593</v>
      </c>
      <c r="AM732" s="23">
        <f>_xll.qlIndexFixing(hiborindex,AK732)</f>
        <v>-9.9037833508240592E-4</v>
      </c>
    </row>
    <row r="733" spans="37:39" x14ac:dyDescent="0.25">
      <c r="AK733" s="21">
        <f>_xll.qlCalendarAdvance(calendar,AK732,"1D")</f>
        <v>43592</v>
      </c>
      <c r="AL733" s="21">
        <f>_xll.qlInterestRateIndexValueDate(hiborindex,AK733)</f>
        <v>43594</v>
      </c>
      <c r="AM733" s="23">
        <f>_xll.qlIndexFixing(hiborindex,AK733)</f>
        <v>-9.791441998540846E-4</v>
      </c>
    </row>
    <row r="734" spans="37:39" x14ac:dyDescent="0.25">
      <c r="AK734" s="21">
        <f>_xll.qlCalendarAdvance(calendar,AK733,"1D")</f>
        <v>43593</v>
      </c>
      <c r="AL734" s="21">
        <f>_xll.qlInterestRateIndexValueDate(hiborindex,AK734)</f>
        <v>43595</v>
      </c>
      <c r="AM734" s="23">
        <f>_xll.qlIndexFixing(hiborindex,AK734)</f>
        <v>-9.7491079412981004E-4</v>
      </c>
    </row>
    <row r="735" spans="37:39" x14ac:dyDescent="0.25">
      <c r="AK735" s="21">
        <f>_xll.qlCalendarAdvance(calendar,AK734,"1D")</f>
        <v>43594</v>
      </c>
      <c r="AL735" s="21">
        <f>_xll.qlInterestRateIndexValueDate(hiborindex,AK735)</f>
        <v>43598</v>
      </c>
      <c r="AM735" s="23">
        <f>_xll.qlIndexFixing(hiborindex,AK735)</f>
        <v>-9.5742717590986746E-4</v>
      </c>
    </row>
    <row r="736" spans="37:39" x14ac:dyDescent="0.25">
      <c r="AK736" s="21">
        <f>_xll.qlCalendarAdvance(calendar,AK735,"1D")</f>
        <v>43595</v>
      </c>
      <c r="AL736" s="21">
        <f>_xll.qlInterestRateIndexValueDate(hiborindex,AK736)</f>
        <v>43599</v>
      </c>
      <c r="AM736" s="23">
        <f>_xll.qlIndexFixing(hiborindex,AK736)</f>
        <v>-9.5081031120827417E-4</v>
      </c>
    </row>
    <row r="737" spans="37:39" x14ac:dyDescent="0.25">
      <c r="AK737" s="21">
        <f>_xll.qlCalendarAdvance(calendar,AK736,"1D")</f>
        <v>43598</v>
      </c>
      <c r="AL737" s="21">
        <f>_xll.qlInterestRateIndexValueDate(hiborindex,AK737)</f>
        <v>43600</v>
      </c>
      <c r="AM737" s="23">
        <f>_xll.qlIndexFixing(hiborindex,AK737)</f>
        <v>-9.4418456867386422E-4</v>
      </c>
    </row>
    <row r="738" spans="37:39" x14ac:dyDescent="0.25">
      <c r="AK738" s="21">
        <f>_xll.qlCalendarAdvance(calendar,AK737,"1D")</f>
        <v>43599</v>
      </c>
      <c r="AL738" s="21">
        <f>_xll.qlInterestRateIndexValueDate(hiborindex,AK738)</f>
        <v>43601</v>
      </c>
      <c r="AM738" s="23">
        <f>_xll.qlIndexFixing(hiborindex,AK738)</f>
        <v>-9.3322236148559107E-4</v>
      </c>
    </row>
    <row r="739" spans="37:39" x14ac:dyDescent="0.25">
      <c r="AK739" s="21">
        <f>_xll.qlCalendarAdvance(calendar,AK738,"1D")</f>
        <v>43600</v>
      </c>
      <c r="AL739" s="21">
        <f>_xll.qlInterestRateIndexValueDate(hiborindex,AK739)</f>
        <v>43602</v>
      </c>
      <c r="AM739" s="23">
        <f>_xll.qlIndexFixing(hiborindex,AK739)</f>
        <v>-9.2876101412431007E-4</v>
      </c>
    </row>
    <row r="740" spans="37:39" x14ac:dyDescent="0.25">
      <c r="AK740" s="21">
        <f>_xll.qlCalendarAdvance(calendar,AK739,"1D")</f>
        <v>43601</v>
      </c>
      <c r="AL740" s="21">
        <f>_xll.qlInterestRateIndexValueDate(hiborindex,AK740)</f>
        <v>43605</v>
      </c>
      <c r="AM740" s="23">
        <f>_xll.qlIndexFixing(hiborindex,AK740)</f>
        <v>-9.1092268536685993E-4</v>
      </c>
    </row>
    <row r="741" spans="37:39" x14ac:dyDescent="0.25">
      <c r="AK741" s="21">
        <f>_xll.qlCalendarAdvance(calendar,AK740,"1D")</f>
        <v>43602</v>
      </c>
      <c r="AL741" s="21">
        <f>_xll.qlInterestRateIndexValueDate(hiborindex,AK741)</f>
        <v>43606</v>
      </c>
      <c r="AM741" s="23">
        <f>_xll.qlIndexFixing(hiborindex,AK741)</f>
        <v>-9.042436739446709E-4</v>
      </c>
    </row>
    <row r="742" spans="37:39" x14ac:dyDescent="0.25">
      <c r="AK742" s="21">
        <f>_xll.qlCalendarAdvance(calendar,AK741,"1D")</f>
        <v>43605</v>
      </c>
      <c r="AL742" s="21">
        <f>_xll.qlInterestRateIndexValueDate(hiborindex,AK742)</f>
        <v>43607</v>
      </c>
      <c r="AM742" s="23">
        <f>_xll.qlIndexFixing(hiborindex,AK742)</f>
        <v>-8.9755578405734484E-4</v>
      </c>
    </row>
    <row r="743" spans="37:39" x14ac:dyDescent="0.25">
      <c r="AK743" s="21">
        <f>_xll.qlCalendarAdvance(calendar,AK742,"1D")</f>
        <v>43606</v>
      </c>
      <c r="AL743" s="21">
        <f>_xll.qlInterestRateIndexValueDate(hiborindex,AK743)</f>
        <v>43608</v>
      </c>
      <c r="AM743" s="23">
        <f>_xll.qlIndexFixing(hiborindex,AK743)</f>
        <v>-8.8687017164865774E-4</v>
      </c>
    </row>
    <row r="744" spans="37:39" x14ac:dyDescent="0.25">
      <c r="AK744" s="21">
        <f>_xll.qlCalendarAdvance(calendar,AK743,"1D")</f>
        <v>43607</v>
      </c>
      <c r="AL744" s="21">
        <f>_xll.qlInterestRateIndexValueDate(hiborindex,AK744)</f>
        <v>43609</v>
      </c>
      <c r="AM744" s="23">
        <f>_xll.qlIndexFixing(hiborindex,AK744)</f>
        <v>-8.8217855529026056E-4</v>
      </c>
    </row>
    <row r="745" spans="37:39" x14ac:dyDescent="0.25">
      <c r="AK745" s="21">
        <f>_xll.qlCalendarAdvance(calendar,AK744,"1D")</f>
        <v>43608</v>
      </c>
      <c r="AL745" s="21">
        <f>_xll.qlInterestRateIndexValueDate(hiborindex,AK745)</f>
        <v>43612</v>
      </c>
      <c r="AM745" s="23">
        <f>_xll.qlIndexFixing(hiborindex,AK745)</f>
        <v>-8.639831544551232E-4</v>
      </c>
    </row>
    <row r="746" spans="37:39" x14ac:dyDescent="0.25">
      <c r="AK746" s="21">
        <f>_xll.qlCalendarAdvance(calendar,AK745,"1D")</f>
        <v>43609</v>
      </c>
      <c r="AL746" s="21">
        <f>_xll.qlInterestRateIndexValueDate(hiborindex,AK746)</f>
        <v>43613</v>
      </c>
      <c r="AM746" s="23">
        <f>_xll.qlIndexFixing(hiborindex,AK746)</f>
        <v>-8.5724199186263696E-4</v>
      </c>
    </row>
    <row r="747" spans="37:39" x14ac:dyDescent="0.25">
      <c r="AK747" s="21">
        <f>_xll.qlCalendarAdvance(calendar,AK746,"1D")</f>
        <v>43612</v>
      </c>
      <c r="AL747" s="21">
        <f>_xll.qlInterestRateIndexValueDate(hiborindex,AK747)</f>
        <v>43614</v>
      </c>
      <c r="AM747" s="23">
        <f>_xll.qlIndexFixing(hiborindex,AK747)</f>
        <v>-8.5049195016617684E-4</v>
      </c>
    </row>
    <row r="748" spans="37:39" x14ac:dyDescent="0.25">
      <c r="AK748" s="21">
        <f>_xll.qlCalendarAdvance(calendar,AK747,"1D")</f>
        <v>43613</v>
      </c>
      <c r="AL748" s="21">
        <f>_xll.qlInterestRateIndexValueDate(hiborindex,AK748)</f>
        <v>43615</v>
      </c>
      <c r="AM748" s="23">
        <f>_xll.qlIndexFixing(hiborindex,AK748)</f>
        <v>-8.4556781910950134E-4</v>
      </c>
    </row>
    <row r="749" spans="37:39" x14ac:dyDescent="0.25">
      <c r="AK749" s="21">
        <f>_xll.qlCalendarAdvance(calendar,AK748,"1D")</f>
        <v>43614</v>
      </c>
      <c r="AL749" s="21">
        <f>_xll.qlInterestRateIndexValueDate(hiborindex,AK749)</f>
        <v>43616</v>
      </c>
      <c r="AM749" s="23">
        <f>_xll.qlIndexFixing(hiborindex,AK749)</f>
        <v>-8.4059250842181163E-4</v>
      </c>
    </row>
    <row r="750" spans="37:39" x14ac:dyDescent="0.25">
      <c r="AK750" s="21">
        <f>_xll.qlCalendarAdvance(calendar,AK749,"1D")</f>
        <v>43615</v>
      </c>
      <c r="AL750" s="21">
        <f>_xll.qlInterestRateIndexValueDate(hiborindex,AK750)</f>
        <v>43619</v>
      </c>
      <c r="AM750" s="23">
        <f>_xll.qlIndexFixing(hiborindex,AK750)</f>
        <v>-8.1834254894901299E-4</v>
      </c>
    </row>
    <row r="751" spans="37:39" x14ac:dyDescent="0.25">
      <c r="AK751" s="21">
        <f>_xll.qlCalendarAdvance(calendar,AK750,"1D")</f>
        <v>43616</v>
      </c>
      <c r="AL751" s="21">
        <f>_xll.qlInterestRateIndexValueDate(hiborindex,AK751)</f>
        <v>43620</v>
      </c>
      <c r="AM751" s="23">
        <f>_xll.qlIndexFixing(hiborindex,AK751)</f>
        <v>-8.1151391136662847E-4</v>
      </c>
    </row>
    <row r="752" spans="37:39" x14ac:dyDescent="0.25">
      <c r="AK752" s="21">
        <f>_xll.qlCalendarAdvance(calendar,AK751,"1D")</f>
        <v>43619</v>
      </c>
      <c r="AL752" s="21">
        <f>_xll.qlInterestRateIndexValueDate(hiborindex,AK752)</f>
        <v>43621</v>
      </c>
      <c r="AM752" s="23">
        <f>_xll.qlIndexFixing(hiborindex,AK752)</f>
        <v>-8.0467634558224104E-4</v>
      </c>
    </row>
    <row r="753" spans="37:39" x14ac:dyDescent="0.25">
      <c r="AK753" s="21">
        <f>_xll.qlCalendarAdvance(calendar,AK752,"1D")</f>
        <v>43620</v>
      </c>
      <c r="AL753" s="21">
        <f>_xll.qlInterestRateIndexValueDate(hiborindex,AK753)</f>
        <v>43622</v>
      </c>
      <c r="AM753" s="23">
        <f>_xll.qlIndexFixing(hiborindex,AK753)</f>
        <v>-7.9782985150237361E-4</v>
      </c>
    </row>
    <row r="754" spans="37:39" x14ac:dyDescent="0.25">
      <c r="AK754" s="21">
        <f>_xll.qlCalendarAdvance(calendar,AK753,"1D")</f>
        <v>43621</v>
      </c>
      <c r="AL754" s="21">
        <f>_xll.qlInterestRateIndexValueDate(hiborindex,AK754)</f>
        <v>43623</v>
      </c>
      <c r="AM754" s="23">
        <f>_xll.qlIndexFixing(hiborindex,AK754)</f>
        <v>-7.8771547670631681E-4</v>
      </c>
    </row>
    <row r="755" spans="37:39" x14ac:dyDescent="0.25">
      <c r="AK755" s="21">
        <f>_xll.qlCalendarAdvance(calendar,AK754,"1D")</f>
        <v>43622</v>
      </c>
      <c r="AL755" s="21">
        <f>_xll.qlInterestRateIndexValueDate(hiborindex,AK755)</f>
        <v>43626</v>
      </c>
      <c r="AM755" s="23">
        <f>_xll.qlIndexFixing(hiborindex,AK755)</f>
        <v>-7.7035459036817102E-4</v>
      </c>
    </row>
    <row r="756" spans="37:39" x14ac:dyDescent="0.25">
      <c r="AK756" s="21">
        <f>_xll.qlCalendarAdvance(calendar,AK755,"1D")</f>
        <v>43623</v>
      </c>
      <c r="AL756" s="21">
        <f>_xll.qlInterestRateIndexValueDate(hiborindex,AK756)</f>
        <v>43627</v>
      </c>
      <c r="AM756" s="23">
        <f>_xll.qlIndexFixing(hiborindex,AK756)</f>
        <v>-7.6346345341333306E-4</v>
      </c>
    </row>
    <row r="757" spans="37:39" x14ac:dyDescent="0.25">
      <c r="AK757" s="21">
        <f>_xll.qlCalendarAdvance(calendar,AK756,"1D")</f>
        <v>43626</v>
      </c>
      <c r="AL757" s="21">
        <f>_xll.qlInterestRateIndexValueDate(hiborindex,AK757)</f>
        <v>43628</v>
      </c>
      <c r="AM757" s="23">
        <f>_xll.qlIndexFixing(hiborindex,AK757)</f>
        <v>-7.565633876034627E-4</v>
      </c>
    </row>
    <row r="758" spans="37:39" x14ac:dyDescent="0.25">
      <c r="AK758" s="21">
        <f>_xll.qlCalendarAdvance(calendar,AK757,"1D")</f>
        <v>43627</v>
      </c>
      <c r="AL758" s="21">
        <f>_xll.qlInterestRateIndexValueDate(hiborindex,AK758)</f>
        <v>43629</v>
      </c>
      <c r="AM758" s="23">
        <f>_xll.qlIndexFixing(hiborindex,AK758)</f>
        <v>-7.4965439284355401E-4</v>
      </c>
    </row>
    <row r="759" spans="37:39" x14ac:dyDescent="0.25">
      <c r="AK759" s="21">
        <f>_xll.qlCalendarAdvance(calendar,AK758,"1D")</f>
        <v>43628</v>
      </c>
      <c r="AL759" s="21">
        <f>_xll.qlInterestRateIndexValueDate(hiborindex,AK759)</f>
        <v>43630</v>
      </c>
      <c r="AM759" s="23">
        <f>_xll.qlIndexFixing(hiborindex,AK759)</f>
        <v>-7.3983479402125205E-4</v>
      </c>
    </row>
    <row r="760" spans="37:39" x14ac:dyDescent="0.25">
      <c r="AK760" s="21">
        <f>_xll.qlCalendarAdvance(calendar,AK759,"1D")</f>
        <v>43629</v>
      </c>
      <c r="AL760" s="21">
        <f>_xll.qlInterestRateIndexValueDate(hiborindex,AK760)</f>
        <v>43633</v>
      </c>
      <c r="AM760" s="23">
        <f>_xll.qlIndexFixing(hiborindex,AK760)</f>
        <v>-7.2192912242984323E-4</v>
      </c>
    </row>
    <row r="761" spans="37:39" x14ac:dyDescent="0.25">
      <c r="AK761" s="21">
        <f>_xll.qlCalendarAdvance(calendar,AK760,"1D")</f>
        <v>43630</v>
      </c>
      <c r="AL761" s="21">
        <f>_xll.qlInterestRateIndexValueDate(hiborindex,AK761)</f>
        <v>43634</v>
      </c>
      <c r="AM761" s="23">
        <f>_xll.qlIndexFixing(hiborindex,AK761)</f>
        <v>-7.1497548151125184E-4</v>
      </c>
    </row>
    <row r="762" spans="37:39" x14ac:dyDescent="0.25">
      <c r="AK762" s="21">
        <f>_xll.qlCalendarAdvance(calendar,AK761,"1D")</f>
        <v>43633</v>
      </c>
      <c r="AL762" s="21">
        <f>_xll.qlInterestRateIndexValueDate(hiborindex,AK762)</f>
        <v>43635</v>
      </c>
      <c r="AM762" s="23">
        <f>_xll.qlIndexFixing(hiborindex,AK762)</f>
        <v>-7.0801291107848332E-4</v>
      </c>
    </row>
    <row r="763" spans="37:39" x14ac:dyDescent="0.25">
      <c r="AK763" s="21">
        <f>_xll.qlCalendarAdvance(calendar,AK762,"1D")</f>
        <v>43634</v>
      </c>
      <c r="AL763" s="21">
        <f>_xll.qlInterestRateIndexValueDate(hiborindex,AK763)</f>
        <v>43636</v>
      </c>
      <c r="AM763" s="23">
        <f>_xll.qlIndexFixing(hiborindex,AK763)</f>
        <v>-7.0104141103522106E-4</v>
      </c>
    </row>
    <row r="764" spans="37:39" x14ac:dyDescent="0.25">
      <c r="AK764" s="21">
        <f>_xll.qlCalendarAdvance(calendar,AK763,"1D")</f>
        <v>43635</v>
      </c>
      <c r="AL764" s="21">
        <f>_xll.qlInterestRateIndexValueDate(hiborindex,AK764)</f>
        <v>43637</v>
      </c>
      <c r="AM764" s="23">
        <f>_xll.qlIndexFixing(hiborindex,AK764)</f>
        <v>-6.9152130663513597E-4</v>
      </c>
    </row>
    <row r="765" spans="37:39" x14ac:dyDescent="0.25">
      <c r="AK765" s="21">
        <f>_xll.qlCalendarAdvance(calendar,AK764,"1D")</f>
        <v>43636</v>
      </c>
      <c r="AL765" s="21">
        <f>_xll.qlInterestRateIndexValueDate(hiborindex,AK765)</f>
        <v>43640</v>
      </c>
      <c r="AM765" s="23">
        <f>_xll.qlIndexFixing(hiborindex,AK765)</f>
        <v>-6.7306611287000202E-4</v>
      </c>
    </row>
    <row r="766" spans="37:39" x14ac:dyDescent="0.25">
      <c r="AK766" s="21">
        <f>_xll.qlCalendarAdvance(calendar,AK765,"1D")</f>
        <v>43637</v>
      </c>
      <c r="AL766" s="21">
        <f>_xll.qlInterestRateIndexValueDate(hiborindex,AK766)</f>
        <v>43641</v>
      </c>
      <c r="AM766" s="23">
        <f>_xll.qlIndexFixing(hiborindex,AK766)</f>
        <v>-6.6371926670262061E-4</v>
      </c>
    </row>
    <row r="767" spans="37:39" x14ac:dyDescent="0.25">
      <c r="AK767" s="21">
        <f>_xll.qlCalendarAdvance(calendar,AK766,"1D")</f>
        <v>43640</v>
      </c>
      <c r="AL767" s="21">
        <f>_xll.qlInterestRateIndexValueDate(hiborindex,AK767)</f>
        <v>43642</v>
      </c>
      <c r="AM767" s="23">
        <f>_xll.qlIndexFixing(hiborindex,AK767)</f>
        <v>-6.5788549039100621E-4</v>
      </c>
    </row>
    <row r="768" spans="37:39" x14ac:dyDescent="0.25">
      <c r="AK768" s="21">
        <f>_xll.qlCalendarAdvance(calendar,AK767,"1D")</f>
        <v>43641</v>
      </c>
      <c r="AL768" s="21">
        <f>_xll.qlInterestRateIndexValueDate(hiborindex,AK768)</f>
        <v>43643</v>
      </c>
      <c r="AM768" s="23">
        <f>_xll.qlIndexFixing(hiborindex,AK768)</f>
        <v>-6.5199087368798293E-4</v>
      </c>
    </row>
    <row r="769" spans="37:39" x14ac:dyDescent="0.25">
      <c r="AK769" s="21">
        <f>_xll.qlCalendarAdvance(calendar,AK768,"1D")</f>
        <v>43642</v>
      </c>
      <c r="AL769" s="21">
        <f>_xll.qlInterestRateIndexValueDate(hiborindex,AK769)</f>
        <v>43644</v>
      </c>
      <c r="AM769" s="23">
        <f>_xll.qlIndexFixing(hiborindex,AK769)</f>
        <v>-6.416885117773467E-4</v>
      </c>
    </row>
    <row r="770" spans="37:39" x14ac:dyDescent="0.25">
      <c r="AK770" s="21">
        <f>_xll.qlCalendarAdvance(calendar,AK769,"1D")</f>
        <v>43643</v>
      </c>
      <c r="AL770" s="21">
        <f>_xll.qlInterestRateIndexValueDate(hiborindex,AK770)</f>
        <v>43647</v>
      </c>
      <c r="AM770" s="23">
        <f>_xll.qlIndexFixing(hiborindex,AK770)</f>
        <v>-6.3625958153431866E-4</v>
      </c>
    </row>
    <row r="771" spans="37:39" x14ac:dyDescent="0.25">
      <c r="AK771" s="21">
        <f>_xll.qlCalendarAdvance(calendar,AK770,"1D")</f>
        <v>43644</v>
      </c>
      <c r="AL771" s="21">
        <f>_xll.qlInterestRateIndexValueDate(hiborindex,AK771)</f>
        <v>43648</v>
      </c>
      <c r="AM771" s="23">
        <f>_xll.qlIndexFixing(hiborindex,AK771)</f>
        <v>-6.3517423967789273E-4</v>
      </c>
    </row>
    <row r="772" spans="37:39" x14ac:dyDescent="0.25">
      <c r="AK772" s="21">
        <f>_xll.qlCalendarAdvance(calendar,AK771,"1D")</f>
        <v>43647</v>
      </c>
      <c r="AL772" s="21">
        <f>_xll.qlInterestRateIndexValueDate(hiborindex,AK772)</f>
        <v>43649</v>
      </c>
      <c r="AM772" s="23">
        <f>_xll.qlIndexFixing(hiborindex,AK772)</f>
        <v>-6.3300242951596481E-4</v>
      </c>
    </row>
    <row r="773" spans="37:39" x14ac:dyDescent="0.25">
      <c r="AK773" s="21">
        <f>_xll.qlCalendarAdvance(calendar,AK772,"1D")</f>
        <v>43648</v>
      </c>
      <c r="AL773" s="21">
        <f>_xll.qlInterestRateIndexValueDate(hiborindex,AK773)</f>
        <v>43650</v>
      </c>
      <c r="AM773" s="23">
        <f>_xll.qlIndexFixing(hiborindex,AK773)</f>
        <v>-6.2865770403031443E-4</v>
      </c>
    </row>
    <row r="774" spans="37:39" x14ac:dyDescent="0.25">
      <c r="AK774" s="21">
        <f>_xll.qlCalendarAdvance(calendar,AK773,"1D")</f>
        <v>43649</v>
      </c>
      <c r="AL774" s="21">
        <f>_xll.qlInterestRateIndexValueDate(hiborindex,AK774)</f>
        <v>43651</v>
      </c>
      <c r="AM774" s="23">
        <f>_xll.qlIndexFixing(hiborindex,AK774)</f>
        <v>-6.2757234649185741E-4</v>
      </c>
    </row>
    <row r="775" spans="37:39" x14ac:dyDescent="0.25">
      <c r="AK775" s="21">
        <f>_xll.qlCalendarAdvance(calendar,AK774,"1D")</f>
        <v>43650</v>
      </c>
      <c r="AL775" s="21">
        <f>_xll.qlInterestRateIndexValueDate(hiborindex,AK775)</f>
        <v>43654</v>
      </c>
      <c r="AM775" s="23">
        <f>_xll.qlIndexFixing(hiborindex,AK775)</f>
        <v>-6.2214334253286939E-4</v>
      </c>
    </row>
    <row r="776" spans="37:39" x14ac:dyDescent="0.25">
      <c r="AK776" s="21">
        <f>_xll.qlCalendarAdvance(calendar,AK775,"1D")</f>
        <v>43651</v>
      </c>
      <c r="AL776" s="21">
        <f>_xll.qlInterestRateIndexValueDate(hiborindex,AK776)</f>
        <v>43655</v>
      </c>
      <c r="AM776" s="23">
        <f>_xll.qlIndexFixing(hiborindex,AK776)</f>
        <v>-6.1997151790164613E-4</v>
      </c>
    </row>
    <row r="777" spans="37:39" x14ac:dyDescent="0.25">
      <c r="AK777" s="21">
        <f>_xll.qlCalendarAdvance(calendar,AK776,"1D")</f>
        <v>43654</v>
      </c>
      <c r="AL777" s="21">
        <f>_xll.qlInterestRateIndexValueDate(hiborindex,AK777)</f>
        <v>43656</v>
      </c>
      <c r="AM777" s="23">
        <f>_xll.qlIndexFixing(hiborindex,AK777)</f>
        <v>-6.1779969085865635E-4</v>
      </c>
    </row>
    <row r="778" spans="37:39" x14ac:dyDescent="0.25">
      <c r="AK778" s="21">
        <f>_xll.qlCalendarAdvance(calendar,AK777,"1D")</f>
        <v>43655</v>
      </c>
      <c r="AL778" s="21">
        <f>_xll.qlInterestRateIndexValueDate(hiborindex,AK778)</f>
        <v>43657</v>
      </c>
      <c r="AM778" s="23">
        <f>_xll.qlIndexFixing(hiborindex,AK778)</f>
        <v>-6.1345498407341665E-4</v>
      </c>
    </row>
    <row r="779" spans="37:39" x14ac:dyDescent="0.25">
      <c r="AK779" s="21">
        <f>_xll.qlCalendarAdvance(calendar,AK778,"1D")</f>
        <v>43656</v>
      </c>
      <c r="AL779" s="21">
        <f>_xll.qlInterestRateIndexValueDate(hiborindex,AK779)</f>
        <v>43658</v>
      </c>
      <c r="AM779" s="23">
        <f>_xll.qlIndexFixing(hiborindex,AK779)</f>
        <v>-6.1236959181724991E-4</v>
      </c>
    </row>
    <row r="780" spans="37:39" x14ac:dyDescent="0.25">
      <c r="AK780" s="21">
        <f>_xll.qlCalendarAdvance(calendar,AK779,"1D")</f>
        <v>43657</v>
      </c>
      <c r="AL780" s="21">
        <f>_xll.qlInterestRateIndexValueDate(hiborindex,AK780)</f>
        <v>43661</v>
      </c>
      <c r="AM780" s="23">
        <f>_xll.qlIndexFixing(hiborindex,AK780)</f>
        <v>-6.0694051947003495E-4</v>
      </c>
    </row>
    <row r="781" spans="37:39" x14ac:dyDescent="0.25">
      <c r="AK781" s="21">
        <f>_xll.qlCalendarAdvance(calendar,AK780,"1D")</f>
        <v>43658</v>
      </c>
      <c r="AL781" s="21">
        <f>_xll.qlInterestRateIndexValueDate(hiborindex,AK781)</f>
        <v>43662</v>
      </c>
      <c r="AM781" s="23">
        <f>_xll.qlIndexFixing(hiborindex,AK781)</f>
        <v>-6.0476867795709822E-4</v>
      </c>
    </row>
    <row r="782" spans="37:39" x14ac:dyDescent="0.25">
      <c r="AK782" s="21">
        <f>_xll.qlCalendarAdvance(calendar,AK781,"1D")</f>
        <v>43661</v>
      </c>
      <c r="AL782" s="21">
        <f>_xll.qlInterestRateIndexValueDate(hiborindex,AK782)</f>
        <v>43663</v>
      </c>
      <c r="AM782" s="23">
        <f>_xll.qlIndexFixing(hiborindex,AK782)</f>
        <v>-6.0259683403326395E-4</v>
      </c>
    </row>
    <row r="783" spans="37:39" x14ac:dyDescent="0.25">
      <c r="AK783" s="21">
        <f>_xll.qlCalendarAdvance(calendar,AK782,"1D")</f>
        <v>43662</v>
      </c>
      <c r="AL783" s="21">
        <f>_xll.qlInterestRateIndexValueDate(hiborindex,AK783)</f>
        <v>43664</v>
      </c>
      <c r="AM783" s="23">
        <f>_xll.qlIndexFixing(hiborindex,AK783)</f>
        <v>-5.9825214466432866E-4</v>
      </c>
    </row>
    <row r="784" spans="37:39" x14ac:dyDescent="0.25">
      <c r="AK784" s="21">
        <f>_xll.qlCalendarAdvance(calendar,AK783,"1D")</f>
        <v>43663</v>
      </c>
      <c r="AL784" s="21">
        <f>_xll.qlInterestRateIndexValueDate(hiborindex,AK784)</f>
        <v>43665</v>
      </c>
      <c r="AM784" s="23">
        <f>_xll.qlIndexFixing(hiborindex,AK784)</f>
        <v>-5.9716671833195132E-4</v>
      </c>
    </row>
    <row r="785" spans="37:39" x14ac:dyDescent="0.25">
      <c r="AK785" s="21">
        <f>_xll.qlCalendarAdvance(calendar,AK784,"1D")</f>
        <v>43664</v>
      </c>
      <c r="AL785" s="21">
        <f>_xll.qlInterestRateIndexValueDate(hiborindex,AK785)</f>
        <v>43668</v>
      </c>
      <c r="AM785" s="23">
        <f>_xll.qlIndexFixing(hiborindex,AK785)</f>
        <v>-5.9173757823781316E-4</v>
      </c>
    </row>
    <row r="786" spans="37:39" x14ac:dyDescent="0.25">
      <c r="AK786" s="21">
        <f>_xll.qlCalendarAdvance(calendar,AK785,"1D")</f>
        <v>43665</v>
      </c>
      <c r="AL786" s="21">
        <f>_xll.qlInterestRateIndexValueDate(hiborindex,AK786)</f>
        <v>43669</v>
      </c>
      <c r="AM786" s="23">
        <f>_xll.qlIndexFixing(hiborindex,AK786)</f>
        <v>-5.8956571984446627E-4</v>
      </c>
    </row>
    <row r="787" spans="37:39" x14ac:dyDescent="0.25">
      <c r="AK787" s="21">
        <f>_xll.qlCalendarAdvance(calendar,AK786,"1D")</f>
        <v>43668</v>
      </c>
      <c r="AL787" s="21">
        <f>_xll.qlInterestRateIndexValueDate(hiborindex,AK787)</f>
        <v>43670</v>
      </c>
      <c r="AM787" s="23">
        <f>_xll.qlIndexFixing(hiborindex,AK787)</f>
        <v>-5.873938590391358E-4</v>
      </c>
    </row>
    <row r="788" spans="37:39" x14ac:dyDescent="0.25">
      <c r="AK788" s="21">
        <f>_xll.qlCalendarAdvance(calendar,AK787,"1D")</f>
        <v>43669</v>
      </c>
      <c r="AL788" s="21">
        <f>_xll.qlInterestRateIndexValueDate(hiborindex,AK788)</f>
        <v>43671</v>
      </c>
      <c r="AM788" s="23">
        <f>_xll.qlIndexFixing(hiborindex,AK788)</f>
        <v>-5.8304918580176133E-4</v>
      </c>
    </row>
    <row r="789" spans="37:39" x14ac:dyDescent="0.25">
      <c r="AK789" s="21">
        <f>_xll.qlCalendarAdvance(calendar,AK788,"1D")</f>
        <v>43670</v>
      </c>
      <c r="AL789" s="21">
        <f>_xll.qlInterestRateIndexValueDate(hiborindex,AK789)</f>
        <v>43672</v>
      </c>
      <c r="AM789" s="23">
        <f>_xll.qlIndexFixing(hiborindex,AK789)</f>
        <v>-5.819637260361778E-4</v>
      </c>
    </row>
    <row r="790" spans="37:39" x14ac:dyDescent="0.25">
      <c r="AK790" s="21">
        <f>_xll.qlCalendarAdvance(calendar,AK789,"1D")</f>
        <v>43671</v>
      </c>
      <c r="AL790" s="21">
        <f>_xll.qlInterestRateIndexValueDate(hiborindex,AK790)</f>
        <v>43675</v>
      </c>
      <c r="AM790" s="23">
        <f>_xll.qlIndexFixing(hiborindex,AK790)</f>
        <v>-5.7653451883707288E-4</v>
      </c>
    </row>
    <row r="791" spans="37:39" x14ac:dyDescent="0.25">
      <c r="AK791" s="21">
        <f>_xll.qlCalendarAdvance(calendar,AK790,"1D")</f>
        <v>43672</v>
      </c>
      <c r="AL791" s="21">
        <f>_xll.qlInterestRateIndexValueDate(hiborindex,AK791)</f>
        <v>43676</v>
      </c>
      <c r="AM791" s="23">
        <f>_xll.qlIndexFixing(hiborindex,AK791)</f>
        <v>-5.7436264356179546E-4</v>
      </c>
    </row>
    <row r="792" spans="37:39" x14ac:dyDescent="0.25">
      <c r="AK792" s="21">
        <f>_xll.qlCalendarAdvance(calendar,AK791,"1D")</f>
        <v>43675</v>
      </c>
      <c r="AL792" s="21">
        <f>_xll.qlInterestRateIndexValueDate(hiborindex,AK792)</f>
        <v>43677</v>
      </c>
      <c r="AM792" s="23">
        <f>_xll.qlIndexFixing(hiborindex,AK792)</f>
        <v>-5.7219076587496879E-4</v>
      </c>
    </row>
    <row r="793" spans="37:39" x14ac:dyDescent="0.25">
      <c r="AK793" s="21">
        <f>_xll.qlCalendarAdvance(calendar,AK792,"1D")</f>
        <v>43676</v>
      </c>
      <c r="AL793" s="21">
        <f>_xll.qlInterestRateIndexValueDate(hiborindex,AK793)</f>
        <v>43678</v>
      </c>
      <c r="AM793" s="23">
        <f>_xll.qlIndexFixing(hiborindex,AK793)</f>
        <v>-5.6784610748528499E-4</v>
      </c>
    </row>
    <row r="794" spans="37:39" x14ac:dyDescent="0.25">
      <c r="AK794" s="21">
        <f>_xll.qlCalendarAdvance(calendar,AK793,"1D")</f>
        <v>43677</v>
      </c>
      <c r="AL794" s="21">
        <f>_xll.qlInterestRateIndexValueDate(hiborindex,AK794)</f>
        <v>43679</v>
      </c>
      <c r="AM794" s="23">
        <f>_xll.qlIndexFixing(hiborindex,AK794)</f>
        <v>-5.6676061492798497E-4</v>
      </c>
    </row>
    <row r="795" spans="37:39" x14ac:dyDescent="0.25">
      <c r="AK795" s="21">
        <f>_xll.qlCalendarAdvance(calendar,AK794,"1D")</f>
        <v>43678</v>
      </c>
      <c r="AL795" s="21">
        <f>_xll.qlInterestRateIndexValueDate(hiborindex,AK795)</f>
        <v>43682</v>
      </c>
      <c r="AM795" s="23">
        <f>_xll.qlIndexFixing(hiborindex,AK795)</f>
        <v>-5.6133134126564203E-4</v>
      </c>
    </row>
    <row r="796" spans="37:39" x14ac:dyDescent="0.25">
      <c r="AK796" s="21">
        <f>_xll.qlCalendarAdvance(calendar,AK795,"1D")</f>
        <v>43679</v>
      </c>
      <c r="AL796" s="21">
        <f>_xll.qlInterestRateIndexValueDate(hiborindex,AK796)</f>
        <v>43683</v>
      </c>
      <c r="AM796" s="23">
        <f>_xll.qlIndexFixing(hiborindex,AK796)</f>
        <v>-5.5915944910886841E-4</v>
      </c>
    </row>
    <row r="797" spans="37:39" x14ac:dyDescent="0.25">
      <c r="AK797" s="21">
        <f>_xll.qlCalendarAdvance(calendar,AK796,"1D")</f>
        <v>43682</v>
      </c>
      <c r="AL797" s="21">
        <f>_xll.qlInterestRateIndexValueDate(hiborindex,AK797)</f>
        <v>43684</v>
      </c>
      <c r="AM797" s="23">
        <f>_xll.qlIndexFixing(hiborindex,AK797)</f>
        <v>-5.5698755454032826E-4</v>
      </c>
    </row>
    <row r="798" spans="37:39" x14ac:dyDescent="0.25">
      <c r="AK798" s="21">
        <f>_xll.qlCalendarAdvance(calendar,AK797,"1D")</f>
        <v>43683</v>
      </c>
      <c r="AL798" s="21">
        <f>_xll.qlInterestRateIndexValueDate(hiborindex,AK798)</f>
        <v>43685</v>
      </c>
      <c r="AM798" s="23">
        <f>_xll.qlIndexFixing(hiborindex,AK798)</f>
        <v>-5.526429097136101E-4</v>
      </c>
    </row>
    <row r="799" spans="37:39" x14ac:dyDescent="0.25">
      <c r="AK799" s="21">
        <f>_xll.qlCalendarAdvance(calendar,AK798,"1D")</f>
        <v>43684</v>
      </c>
      <c r="AL799" s="21">
        <f>_xll.qlInterestRateIndexValueDate(hiborindex,AK799)</f>
        <v>43686</v>
      </c>
      <c r="AM799" s="23">
        <f>_xll.qlIndexFixing(hiborindex,AK799)</f>
        <v>-5.5155738500586035E-4</v>
      </c>
    </row>
    <row r="800" spans="37:39" x14ac:dyDescent="0.25">
      <c r="AK800" s="21">
        <f>_xll.qlCalendarAdvance(calendar,AK799,"1D")</f>
        <v>43685</v>
      </c>
      <c r="AL800" s="21">
        <f>_xll.qlInterestRateIndexValueDate(hiborindex,AK800)</f>
        <v>43689</v>
      </c>
      <c r="AM800" s="23">
        <f>_xll.qlIndexFixing(hiborindex,AK800)</f>
        <v>-5.4612804552286889E-4</v>
      </c>
    </row>
    <row r="801" spans="37:39" x14ac:dyDescent="0.25">
      <c r="AK801" s="21">
        <f>_xll.qlCalendarAdvance(calendar,AK800,"1D")</f>
        <v>43686</v>
      </c>
      <c r="AL801" s="21">
        <f>_xll.qlInterestRateIndexValueDate(hiborindex,AK801)</f>
        <v>43690</v>
      </c>
      <c r="AM801" s="23">
        <f>_xll.qlIndexFixing(hiborindex,AK801)</f>
        <v>-5.4395613648394736E-4</v>
      </c>
    </row>
    <row r="802" spans="37:39" x14ac:dyDescent="0.25">
      <c r="AK802" s="21">
        <f>_xll.qlCalendarAdvance(calendar,AK801,"1D")</f>
        <v>43689</v>
      </c>
      <c r="AL802" s="21">
        <f>_xll.qlInterestRateIndexValueDate(hiborindex,AK802)</f>
        <v>43691</v>
      </c>
      <c r="AM802" s="23">
        <f>_xll.qlIndexFixing(hiborindex,AK802)</f>
        <v>-5.4178422503412828E-4</v>
      </c>
    </row>
    <row r="803" spans="37:39" x14ac:dyDescent="0.25">
      <c r="AK803" s="21">
        <f>_xll.qlCalendarAdvance(calendar,AK802,"1D")</f>
        <v>43690</v>
      </c>
      <c r="AL803" s="21">
        <f>_xll.qlInterestRateIndexValueDate(hiborindex,AK803)</f>
        <v>43692</v>
      </c>
      <c r="AM803" s="23">
        <f>_xll.qlIndexFixing(hiborindex,AK803)</f>
        <v>-5.3743959248673677E-4</v>
      </c>
    </row>
    <row r="804" spans="37:39" x14ac:dyDescent="0.25">
      <c r="AK804" s="21">
        <f>_xll.qlCalendarAdvance(calendar,AK803,"1D")</f>
        <v>43691</v>
      </c>
      <c r="AL804" s="21">
        <f>_xll.qlInterestRateIndexValueDate(hiborindex,AK804)</f>
        <v>43693</v>
      </c>
      <c r="AM804" s="23">
        <f>_xll.qlIndexFixing(hiborindex,AK804)</f>
        <v>-5.3635403627110044E-4</v>
      </c>
    </row>
    <row r="805" spans="37:39" x14ac:dyDescent="0.25">
      <c r="AK805" s="21">
        <f>_xll.qlCalendarAdvance(calendar,AK804,"1D")</f>
        <v>43692</v>
      </c>
      <c r="AL805" s="21">
        <f>_xll.qlInterestRateIndexValueDate(hiborindex,AK805)</f>
        <v>43696</v>
      </c>
      <c r="AM805" s="23">
        <f>_xll.qlIndexFixing(hiborindex,AK805)</f>
        <v>-5.3092463160766743E-4</v>
      </c>
    </row>
    <row r="806" spans="37:39" x14ac:dyDescent="0.25">
      <c r="AK806" s="21">
        <f>_xll.qlCalendarAdvance(calendar,AK805,"1D")</f>
        <v>43693</v>
      </c>
      <c r="AL806" s="21">
        <f>_xll.qlInterestRateIndexValueDate(hiborindex,AK806)</f>
        <v>43697</v>
      </c>
      <c r="AM806" s="23">
        <f>_xll.qlIndexFixing(hiborindex,AK806)</f>
        <v>-5.2875270568724969E-4</v>
      </c>
    </row>
    <row r="807" spans="37:39" x14ac:dyDescent="0.25">
      <c r="AK807" s="21">
        <f>_xll.qlCalendarAdvance(calendar,AK806,"1D")</f>
        <v>43696</v>
      </c>
      <c r="AL807" s="21">
        <f>_xll.qlInterestRateIndexValueDate(hiborindex,AK807)</f>
        <v>43698</v>
      </c>
      <c r="AM807" s="23">
        <f>_xll.qlIndexFixing(hiborindex,AK807)</f>
        <v>-5.2658077735528281E-4</v>
      </c>
    </row>
    <row r="808" spans="37:39" x14ac:dyDescent="0.25">
      <c r="AK808" s="21">
        <f>_xll.qlCalendarAdvance(calendar,AK807,"1D")</f>
        <v>43697</v>
      </c>
      <c r="AL808" s="21">
        <f>_xll.qlInterestRateIndexValueDate(hiborindex,AK808)</f>
        <v>43699</v>
      </c>
      <c r="AM808" s="23">
        <f>_xll.qlIndexFixing(hiborindex,AK808)</f>
        <v>-5.2223615580208654E-4</v>
      </c>
    </row>
    <row r="809" spans="37:39" x14ac:dyDescent="0.25">
      <c r="AK809" s="21">
        <f>_xll.qlCalendarAdvance(calendar,AK808,"1D")</f>
        <v>43698</v>
      </c>
      <c r="AL809" s="21">
        <f>_xll.qlInterestRateIndexValueDate(hiborindex,AK809)</f>
        <v>43700</v>
      </c>
      <c r="AM809" s="23">
        <f>_xll.qlIndexFixing(hiborindex,AK809)</f>
        <v>-5.2115056872068042E-4</v>
      </c>
    </row>
    <row r="810" spans="37:39" x14ac:dyDescent="0.25">
      <c r="AK810" s="21">
        <f>_xll.qlCalendarAdvance(calendar,AK809,"1D")</f>
        <v>43699</v>
      </c>
      <c r="AL810" s="21">
        <f>_xll.qlInterestRateIndexValueDate(hiborindex,AK810)</f>
        <v>43703</v>
      </c>
      <c r="AM810" s="23">
        <f>_xll.qlIndexFixing(hiborindex,AK810)</f>
        <v>-5.1572109951982035E-4</v>
      </c>
    </row>
    <row r="811" spans="37:39" x14ac:dyDescent="0.25">
      <c r="AK811" s="21">
        <f>_xll.qlCalendarAdvance(calendar,AK810,"1D")</f>
        <v>43700</v>
      </c>
      <c r="AL811" s="21">
        <f>_xll.qlInterestRateIndexValueDate(hiborindex,AK811)</f>
        <v>43704</v>
      </c>
      <c r="AM811" s="23">
        <f>_xll.qlIndexFixing(hiborindex,AK811)</f>
        <v>-5.1354915671703754E-4</v>
      </c>
    </row>
    <row r="812" spans="37:39" x14ac:dyDescent="0.25">
      <c r="AK812" s="21">
        <f>_xll.qlCalendarAdvance(calendar,AK811,"1D")</f>
        <v>43703</v>
      </c>
      <c r="AL812" s="21">
        <f>_xll.qlInterestRateIndexValueDate(hiborindex,AK812)</f>
        <v>43705</v>
      </c>
      <c r="AM812" s="23">
        <f>_xll.qlIndexFixing(hiborindex,AK812)</f>
        <v>-5.1137721150335718E-4</v>
      </c>
    </row>
    <row r="813" spans="37:39" x14ac:dyDescent="0.25">
      <c r="AK813" s="21">
        <f>_xll.qlCalendarAdvance(calendar,AK812,"1D")</f>
        <v>43704</v>
      </c>
      <c r="AL813" s="21">
        <f>_xll.qlInterestRateIndexValueDate(hiborindex,AK813)</f>
        <v>43706</v>
      </c>
      <c r="AM813" s="23">
        <f>_xll.qlIndexFixing(hiborindex,AK813)</f>
        <v>-5.1029159968612385E-4</v>
      </c>
    </row>
    <row r="814" spans="37:39" x14ac:dyDescent="0.25">
      <c r="AK814" s="21">
        <f>_xll.qlCalendarAdvance(calendar,AK813,"1D")</f>
        <v>43705</v>
      </c>
      <c r="AL814" s="21">
        <f>_xll.qlInterestRateIndexValueDate(hiborindex,AK814)</f>
        <v>43707</v>
      </c>
      <c r="AM814" s="23">
        <f>_xll.qlIndexFixing(hiborindex,AK814)</f>
        <v>-5.0920598419054936E-4</v>
      </c>
    </row>
    <row r="815" spans="37:39" x14ac:dyDescent="0.25">
      <c r="AK815" s="21">
        <f>_xll.qlCalendarAdvance(calendar,AK814,"1D")</f>
        <v>43706</v>
      </c>
      <c r="AL815" s="21">
        <f>_xll.qlInterestRateIndexValueDate(hiborindex,AK815)</f>
        <v>43710</v>
      </c>
      <c r="AM815" s="23">
        <f>_xll.qlIndexFixing(hiborindex,AK815)</f>
        <v>-5.0269010852580962E-4</v>
      </c>
    </row>
    <row r="816" spans="37:39" x14ac:dyDescent="0.25">
      <c r="AK816" s="21">
        <f>_xll.qlCalendarAdvance(calendar,AK815,"1D")</f>
        <v>43707</v>
      </c>
      <c r="AL816" s="21">
        <f>_xll.qlInterestRateIndexValueDate(hiborindex,AK816)</f>
        <v>43711</v>
      </c>
      <c r="AM816" s="23">
        <f>_xll.qlIndexFixing(hiborindex,AK816)</f>
        <v>-5.0051814519991419E-4</v>
      </c>
    </row>
    <row r="817" spans="37:39" x14ac:dyDescent="0.25">
      <c r="AK817" s="21">
        <f>_xll.qlCalendarAdvance(calendar,AK816,"1D")</f>
        <v>43710</v>
      </c>
      <c r="AL817" s="21">
        <f>_xll.qlInterestRateIndexValueDate(hiborindex,AK817)</f>
        <v>43712</v>
      </c>
      <c r="AM817" s="23">
        <f>_xll.qlIndexFixing(hiborindex,AK817)</f>
        <v>-4.9834617948845458E-4</v>
      </c>
    </row>
    <row r="818" spans="37:39" x14ac:dyDescent="0.25">
      <c r="AK818" s="21">
        <f>_xll.qlCalendarAdvance(calendar,AK817,"1D")</f>
        <v>43711</v>
      </c>
      <c r="AL818" s="21">
        <f>_xll.qlInterestRateIndexValueDate(hiborindex,AK818)</f>
        <v>43713</v>
      </c>
      <c r="AM818" s="23">
        <f>_xll.qlIndexFixing(hiborindex,AK818)</f>
        <v>-4.9617421139143067E-4</v>
      </c>
    </row>
    <row r="819" spans="37:39" x14ac:dyDescent="0.25">
      <c r="AK819" s="21">
        <f>_xll.qlCalendarAdvance(calendar,AK818,"1D")</f>
        <v>43712</v>
      </c>
      <c r="AL819" s="21">
        <f>_xll.qlInterestRateIndexValueDate(hiborindex,AK819)</f>
        <v>43714</v>
      </c>
      <c r="AM819" s="23">
        <f>_xll.qlIndexFixing(hiborindex,AK819)</f>
        <v>-4.9400224090884247E-4</v>
      </c>
    </row>
    <row r="820" spans="37:39" x14ac:dyDescent="0.25">
      <c r="AK820" s="21">
        <f>_xll.qlCalendarAdvance(calendar,AK819,"1D")</f>
        <v>43713</v>
      </c>
      <c r="AL820" s="21">
        <f>_xll.qlInterestRateIndexValueDate(hiborindex,AK820)</f>
        <v>43717</v>
      </c>
      <c r="AM820" s="23">
        <f>_xll.qlIndexFixing(hiborindex,AK820)</f>
        <v>-4.8748631514791181E-4</v>
      </c>
    </row>
    <row r="821" spans="37:39" x14ac:dyDescent="0.25">
      <c r="AK821" s="21">
        <f>_xll.qlCalendarAdvance(calendar,AK820,"1D")</f>
        <v>43714</v>
      </c>
      <c r="AL821" s="21">
        <f>_xll.qlInterestRateIndexValueDate(hiborindex,AK821)</f>
        <v>43718</v>
      </c>
      <c r="AM821" s="23">
        <f>_xll.qlIndexFixing(hiborindex,AK821)</f>
        <v>-4.8531433512284688E-4</v>
      </c>
    </row>
    <row r="822" spans="37:39" x14ac:dyDescent="0.25">
      <c r="AK822" s="21">
        <f>_xll.qlCalendarAdvance(calendar,AK821,"1D")</f>
        <v>43717</v>
      </c>
      <c r="AL822" s="21">
        <f>_xll.qlInterestRateIndexValueDate(hiborindex,AK822)</f>
        <v>43719</v>
      </c>
      <c r="AM822" s="23">
        <f>_xll.qlIndexFixing(hiborindex,AK822)</f>
        <v>-4.8314235271265692E-4</v>
      </c>
    </row>
    <row r="823" spans="37:39" x14ac:dyDescent="0.25">
      <c r="AK823" s="21">
        <f>_xll.qlCalendarAdvance(calendar,AK822,"1D")</f>
        <v>43718</v>
      </c>
      <c r="AL823" s="21">
        <f>_xll.qlInterestRateIndexValueDate(hiborindex,AK823)</f>
        <v>43720</v>
      </c>
      <c r="AM823" s="23">
        <f>_xll.qlIndexFixing(hiborindex,AK823)</f>
        <v>-4.8097036791690267E-4</v>
      </c>
    </row>
    <row r="824" spans="37:39" x14ac:dyDescent="0.25">
      <c r="AK824" s="21">
        <f>_xll.qlCalendarAdvance(calendar,AK823,"1D")</f>
        <v>43719</v>
      </c>
      <c r="AL824" s="21">
        <f>_xll.qlInterestRateIndexValueDate(hiborindex,AK824)</f>
        <v>43721</v>
      </c>
      <c r="AM824" s="23">
        <f>_xll.qlIndexFixing(hiborindex,AK824)</f>
        <v>-4.7879838073580378E-4</v>
      </c>
    </row>
    <row r="825" spans="37:39" x14ac:dyDescent="0.25">
      <c r="AK825" s="21">
        <f>_xll.qlCalendarAdvance(calendar,AK824,"1D")</f>
        <v>43720</v>
      </c>
      <c r="AL825" s="21">
        <f>_xll.qlInterestRateIndexValueDate(hiborindex,AK825)</f>
        <v>43724</v>
      </c>
      <c r="AM825" s="23">
        <f>_xll.qlIndexFixing(hiborindex,AK825)</f>
        <v>-4.722824048784626E-4</v>
      </c>
    </row>
    <row r="826" spans="37:39" x14ac:dyDescent="0.25">
      <c r="AK826" s="21">
        <f>_xll.qlCalendarAdvance(calendar,AK825,"1D")</f>
        <v>43721</v>
      </c>
      <c r="AL826" s="21">
        <f>_xll.qlInterestRateIndexValueDate(hiborindex,AK826)</f>
        <v>43725</v>
      </c>
      <c r="AM826" s="23">
        <f>_xll.qlIndexFixing(hiborindex,AK826)</f>
        <v>-4.7011040815444778E-4</v>
      </c>
    </row>
    <row r="827" spans="37:39" x14ac:dyDescent="0.25">
      <c r="AK827" s="21">
        <f>_xll.qlCalendarAdvance(calendar,AK826,"1D")</f>
        <v>43724</v>
      </c>
      <c r="AL827" s="21">
        <f>_xll.qlInterestRateIndexValueDate(hiborindex,AK827)</f>
        <v>43726</v>
      </c>
      <c r="AM827" s="23">
        <f>_xll.qlIndexFixing(hiborindex,AK827)</f>
        <v>-4.6793840904508827E-4</v>
      </c>
    </row>
    <row r="828" spans="37:39" x14ac:dyDescent="0.25">
      <c r="AK828" s="21">
        <f>_xll.qlCalendarAdvance(calendar,AK827,"1D")</f>
        <v>43725</v>
      </c>
      <c r="AL828" s="21">
        <f>_xll.qlInterestRateIndexValueDate(hiborindex,AK828)</f>
        <v>43727</v>
      </c>
      <c r="AM828" s="23">
        <f>_xll.qlIndexFixing(hiborindex,AK828)</f>
        <v>-4.6576640755082333E-4</v>
      </c>
    </row>
    <row r="829" spans="37:39" x14ac:dyDescent="0.25">
      <c r="AK829" s="21">
        <f>_xll.qlCalendarAdvance(calendar,AK828,"1D")</f>
        <v>43726</v>
      </c>
      <c r="AL829" s="21">
        <f>_xll.qlInterestRateIndexValueDate(hiborindex,AK829)</f>
        <v>43728</v>
      </c>
      <c r="AM829" s="23">
        <f>_xll.qlIndexFixing(hiborindex,AK829)</f>
        <v>-4.6359440367033528E-4</v>
      </c>
    </row>
    <row r="830" spans="37:39" x14ac:dyDescent="0.25">
      <c r="AK830" s="21">
        <f>_xll.qlCalendarAdvance(calendar,AK829,"1D")</f>
        <v>43727</v>
      </c>
      <c r="AL830" s="21">
        <f>_xll.qlInterestRateIndexValueDate(hiborindex,AK830)</f>
        <v>43731</v>
      </c>
      <c r="AM830" s="23">
        <f>_xll.qlIndexFixing(hiborindex,AK830)</f>
        <v>-4.5707837771570515E-4</v>
      </c>
    </row>
    <row r="831" spans="37:39" x14ac:dyDescent="0.25">
      <c r="AK831" s="21">
        <f>_xll.qlCalendarAdvance(calendar,AK830,"1D")</f>
        <v>43728</v>
      </c>
      <c r="AL831" s="21">
        <f>_xll.qlInterestRateIndexValueDate(hiborindex,AK831)</f>
        <v>43732</v>
      </c>
      <c r="AM831" s="23">
        <f>_xll.qlIndexFixing(hiborindex,AK831)</f>
        <v>-4.5490636429339925E-4</v>
      </c>
    </row>
    <row r="832" spans="37:39" x14ac:dyDescent="0.25">
      <c r="AK832" s="21">
        <f>_xll.qlCalendarAdvance(calendar,AK831,"1D")</f>
        <v>43731</v>
      </c>
      <c r="AL832" s="21">
        <f>_xll.qlInterestRateIndexValueDate(hiborindex,AK832)</f>
        <v>43733</v>
      </c>
      <c r="AM832" s="23">
        <f>_xll.qlIndexFixing(hiborindex,AK832)</f>
        <v>-4.5273434848552905E-4</v>
      </c>
    </row>
    <row r="833" spans="37:39" x14ac:dyDescent="0.25">
      <c r="AK833" s="21">
        <f>_xll.qlCalendarAdvance(calendar,AK832,"1D")</f>
        <v>43732</v>
      </c>
      <c r="AL833" s="21">
        <f>_xll.qlInterestRateIndexValueDate(hiborindex,AK833)</f>
        <v>43734</v>
      </c>
      <c r="AM833" s="23">
        <f>_xll.qlIndexFixing(hiborindex,AK833)</f>
        <v>-4.5056233029143575E-4</v>
      </c>
    </row>
    <row r="834" spans="37:39" x14ac:dyDescent="0.25">
      <c r="AK834" s="21">
        <f>_xll.qlCalendarAdvance(calendar,AK833,"1D")</f>
        <v>43733</v>
      </c>
      <c r="AL834" s="21">
        <f>_xll.qlInterestRateIndexValueDate(hiborindex,AK834)</f>
        <v>43735</v>
      </c>
      <c r="AM834" s="23">
        <f>_xll.qlIndexFixing(hiborindex,AK834)</f>
        <v>-4.4839030971243702E-4</v>
      </c>
    </row>
    <row r="835" spans="37:39" x14ac:dyDescent="0.25">
      <c r="AK835" s="21">
        <f>_xll.qlCalendarAdvance(calendar,AK834,"1D")</f>
        <v>43734</v>
      </c>
      <c r="AL835" s="21">
        <f>_xll.qlInterestRateIndexValueDate(hiborindex,AK835)</f>
        <v>43738</v>
      </c>
      <c r="AM835" s="23">
        <f>_xll.qlIndexFixing(hiborindex,AK835)</f>
        <v>-4.4078794902484677E-4</v>
      </c>
    </row>
    <row r="836" spans="37:39" x14ac:dyDescent="0.25">
      <c r="AK836" s="21">
        <f>_xll.qlCalendarAdvance(calendar,AK835,"1D")</f>
        <v>43735</v>
      </c>
      <c r="AL836" s="21">
        <f>_xll.qlInterestRateIndexValueDate(hiborindex,AK836)</f>
        <v>43739</v>
      </c>
      <c r="AM836" s="23">
        <f>_xll.qlIndexFixing(hiborindex,AK836)</f>
        <v>-4.3861592036365519E-4</v>
      </c>
    </row>
    <row r="837" spans="37:39" x14ac:dyDescent="0.25">
      <c r="AK837" s="21">
        <f>_xll.qlCalendarAdvance(calendar,AK836,"1D")</f>
        <v>43738</v>
      </c>
      <c r="AL837" s="21">
        <f>_xll.qlInterestRateIndexValueDate(hiborindex,AK837)</f>
        <v>43740</v>
      </c>
      <c r="AM837" s="23">
        <f>_xll.qlIndexFixing(hiborindex,AK837)</f>
        <v>-4.3644388930350828E-4</v>
      </c>
    </row>
    <row r="838" spans="37:39" x14ac:dyDescent="0.25">
      <c r="AK838" s="21">
        <f>_xll.qlCalendarAdvance(calendar,AK837,"1D")</f>
        <v>43739</v>
      </c>
      <c r="AL838" s="21">
        <f>_xll.qlInterestRateIndexValueDate(hiborindex,AK838)</f>
        <v>43741</v>
      </c>
      <c r="AM838" s="23">
        <f>_xll.qlIndexFixing(hiborindex,AK838)</f>
        <v>-4.3427185584506123E-4</v>
      </c>
    </row>
    <row r="839" spans="37:39" x14ac:dyDescent="0.25">
      <c r="AK839" s="21">
        <f>_xll.qlCalendarAdvance(calendar,AK838,"1D")</f>
        <v>43740</v>
      </c>
      <c r="AL839" s="21">
        <f>_xll.qlInterestRateIndexValueDate(hiborindex,AK839)</f>
        <v>43742</v>
      </c>
      <c r="AM839" s="23">
        <f>_xll.qlIndexFixing(hiborindex,AK839)</f>
        <v>-4.2992726825559756E-4</v>
      </c>
    </row>
    <row r="840" spans="37:39" x14ac:dyDescent="0.25">
      <c r="AK840" s="21">
        <f>_xll.qlCalendarAdvance(calendar,AK839,"1D")</f>
        <v>43741</v>
      </c>
      <c r="AL840" s="21">
        <f>_xll.qlInterestRateIndexValueDate(hiborindex,AK840)</f>
        <v>43745</v>
      </c>
      <c r="AM840" s="23">
        <f>_xll.qlIndexFixing(hiborindex,AK840)</f>
        <v>-4.2558369802281158E-4</v>
      </c>
    </row>
    <row r="841" spans="37:39" x14ac:dyDescent="0.25">
      <c r="AK841" s="21">
        <f>_xll.qlCalendarAdvance(calendar,AK840,"1D")</f>
        <v>43742</v>
      </c>
      <c r="AL841" s="21">
        <f>_xll.qlInterestRateIndexValueDate(hiborindex,AK841)</f>
        <v>43746</v>
      </c>
      <c r="AM841" s="23">
        <f>_xll.qlIndexFixing(hiborindex,AK841)</f>
        <v>-4.2341165257046137E-4</v>
      </c>
    </row>
    <row r="842" spans="37:39" x14ac:dyDescent="0.25">
      <c r="AK842" s="21">
        <f>_xll.qlCalendarAdvance(calendar,AK841,"1D")</f>
        <v>43745</v>
      </c>
      <c r="AL842" s="21">
        <f>_xll.qlInterestRateIndexValueDate(hiborindex,AK842)</f>
        <v>43747</v>
      </c>
      <c r="AM842" s="23">
        <f>_xll.qlIndexFixing(hiborindex,AK842)</f>
        <v>-4.2123960471915584E-4</v>
      </c>
    </row>
    <row r="843" spans="37:39" x14ac:dyDescent="0.25">
      <c r="AK843" s="21">
        <f>_xll.qlCalendarAdvance(calendar,AK842,"1D")</f>
        <v>43746</v>
      </c>
      <c r="AL843" s="21">
        <f>_xll.qlInterestRateIndexValueDate(hiborindex,AK843)</f>
        <v>43748</v>
      </c>
      <c r="AM843" s="23">
        <f>_xll.qlIndexFixing(hiborindex,AK843)</f>
        <v>-4.1472249117746249E-4</v>
      </c>
    </row>
    <row r="844" spans="37:39" x14ac:dyDescent="0.25">
      <c r="AK844" s="21">
        <f>_xll.qlCalendarAdvance(calendar,AK843,"1D")</f>
        <v>43747</v>
      </c>
      <c r="AL844" s="21">
        <f>_xll.qlInterestRateIndexValueDate(hiborindex,AK844)</f>
        <v>43749</v>
      </c>
      <c r="AM844" s="23">
        <f>_xll.qlIndexFixing(hiborindex,AK844)</f>
        <v>-4.1363670540191824E-4</v>
      </c>
    </row>
    <row r="845" spans="37:39" x14ac:dyDescent="0.25">
      <c r="AK845" s="21">
        <f>_xll.qlCalendarAdvance(calendar,AK844,"1D")</f>
        <v>43748</v>
      </c>
      <c r="AL845" s="21">
        <f>_xll.qlInterestRateIndexValueDate(hiborindex,AK845)</f>
        <v>43752</v>
      </c>
      <c r="AM845" s="23">
        <f>_xll.qlIndexFixing(hiborindex,AK845)</f>
        <v>-4.1037932948332121E-4</v>
      </c>
    </row>
    <row r="846" spans="37:39" x14ac:dyDescent="0.25">
      <c r="AK846" s="21">
        <f>_xll.qlCalendarAdvance(calendar,AK845,"1D")</f>
        <v>43749</v>
      </c>
      <c r="AL846" s="21">
        <f>_xll.qlInterestRateIndexValueDate(hiborindex,AK846)</f>
        <v>43753</v>
      </c>
      <c r="AM846" s="23">
        <f>_xll.qlIndexFixing(hiborindex,AK846)</f>
        <v>-4.0820726723981242E-4</v>
      </c>
    </row>
    <row r="847" spans="37:39" x14ac:dyDescent="0.25">
      <c r="AK847" s="21">
        <f>_xll.qlCalendarAdvance(calendar,AK846,"1D")</f>
        <v>43752</v>
      </c>
      <c r="AL847" s="21">
        <f>_xll.qlInterestRateIndexValueDate(hiborindex,AK847)</f>
        <v>43754</v>
      </c>
      <c r="AM847" s="23">
        <f>_xll.qlIndexFixing(hiborindex,AK847)</f>
        <v>-4.0603520259778508E-4</v>
      </c>
    </row>
    <row r="848" spans="37:39" x14ac:dyDescent="0.25">
      <c r="AK848" s="21">
        <f>_xll.qlCalendarAdvance(calendar,AK847,"1D")</f>
        <v>43753</v>
      </c>
      <c r="AL848" s="21">
        <f>_xll.qlInterestRateIndexValueDate(hiborindex,AK848)</f>
        <v>43755</v>
      </c>
      <c r="AM848" s="23">
        <f>_xll.qlIndexFixing(hiborindex,AK848)</f>
        <v>-4.0386313555636552E-4</v>
      </c>
    </row>
    <row r="849" spans="37:39" x14ac:dyDescent="0.25">
      <c r="AK849" s="21">
        <f>_xll.qlCalendarAdvance(calendar,AK848,"1D")</f>
        <v>43754</v>
      </c>
      <c r="AL849" s="21">
        <f>_xll.qlInterestRateIndexValueDate(hiborindex,AK849)</f>
        <v>43756</v>
      </c>
      <c r="AM849" s="23">
        <f>_xll.qlIndexFixing(hiborindex,AK849)</f>
        <v>-3.9951855087254394E-4</v>
      </c>
    </row>
    <row r="850" spans="37:39" x14ac:dyDescent="0.25">
      <c r="AK850" s="21">
        <f>_xll.qlCalendarAdvance(calendar,AK849,"1D")</f>
        <v>43755</v>
      </c>
      <c r="AL850" s="21">
        <f>_xll.qlInterestRateIndexValueDate(hiborindex,AK850)</f>
        <v>43759</v>
      </c>
      <c r="AM850" s="23">
        <f>_xll.qlIndexFixing(hiborindex,AK850)</f>
        <v>-3.9517484340550205E-4</v>
      </c>
    </row>
    <row r="851" spans="37:39" x14ac:dyDescent="0.25">
      <c r="AK851" s="21">
        <f>_xll.qlCalendarAdvance(calendar,AK850,"1D")</f>
        <v>43756</v>
      </c>
      <c r="AL851" s="21">
        <f>_xll.qlInterestRateIndexValueDate(hiborindex,AK851)</f>
        <v>43760</v>
      </c>
      <c r="AM851" s="23">
        <f>_xll.qlIndexFixing(hiborindex,AK851)</f>
        <v>-3.9300276437083463E-4</v>
      </c>
    </row>
    <row r="852" spans="37:39" x14ac:dyDescent="0.25">
      <c r="AK852" s="21">
        <f>_xll.qlCalendarAdvance(calendar,AK851,"1D")</f>
        <v>43759</v>
      </c>
      <c r="AL852" s="21">
        <f>_xll.qlInterestRateIndexValueDate(hiborindex,AK852)</f>
        <v>43761</v>
      </c>
      <c r="AM852" s="23">
        <f>_xll.qlIndexFixing(hiborindex,AK852)</f>
        <v>-3.9083068293743024E-4</v>
      </c>
    </row>
    <row r="853" spans="37:39" x14ac:dyDescent="0.25">
      <c r="AK853" s="21">
        <f>_xll.qlCalendarAdvance(calendar,AK852,"1D")</f>
        <v>43760</v>
      </c>
      <c r="AL853" s="21">
        <f>_xll.qlInterestRateIndexValueDate(hiborindex,AK853)</f>
        <v>43762</v>
      </c>
      <c r="AM853" s="23">
        <f>_xll.qlIndexFixing(hiborindex,AK853)</f>
        <v>-3.886585991048521E-4</v>
      </c>
    </row>
    <row r="854" spans="37:39" x14ac:dyDescent="0.25">
      <c r="AK854" s="21">
        <f>_xll.qlCalendarAdvance(calendar,AK853,"1D")</f>
        <v>43761</v>
      </c>
      <c r="AL854" s="21">
        <f>_xll.qlInterestRateIndexValueDate(hiborindex,AK854)</f>
        <v>43763</v>
      </c>
      <c r="AM854" s="23">
        <f>_xll.qlIndexFixing(hiborindex,AK854)</f>
        <v>-3.8431401394661689E-4</v>
      </c>
    </row>
    <row r="855" spans="37:39" x14ac:dyDescent="0.25">
      <c r="AK855" s="21">
        <f>_xll.qlCalendarAdvance(calendar,AK854,"1D")</f>
        <v>43762</v>
      </c>
      <c r="AL855" s="21">
        <f>_xll.qlInterestRateIndexValueDate(hiborindex,AK855)</f>
        <v>43766</v>
      </c>
      <c r="AM855" s="23">
        <f>_xll.qlIndexFixing(hiborindex,AK855)</f>
        <v>-3.7997023978826209E-4</v>
      </c>
    </row>
    <row r="856" spans="37:39" x14ac:dyDescent="0.25">
      <c r="AK856" s="21">
        <f>_xll.qlCalendarAdvance(calendar,AK855,"1D")</f>
        <v>43763</v>
      </c>
      <c r="AL856" s="21">
        <f>_xll.qlInterestRateIndexValueDate(hiborindex,AK856)</f>
        <v>43767</v>
      </c>
      <c r="AM856" s="23">
        <f>_xll.qlIndexFixing(hiborindex,AK856)</f>
        <v>-3.7779814396199921E-4</v>
      </c>
    </row>
    <row r="857" spans="37:39" x14ac:dyDescent="0.25">
      <c r="AK857" s="21">
        <f>_xll.qlCalendarAdvance(calendar,AK856,"1D")</f>
        <v>43766</v>
      </c>
      <c r="AL857" s="21">
        <f>_xll.qlInterestRateIndexValueDate(hiborindex,AK857)</f>
        <v>43768</v>
      </c>
      <c r="AM857" s="23">
        <f>_xll.qlIndexFixing(hiborindex,AK857)</f>
        <v>-3.7562604573721778E-4</v>
      </c>
    </row>
    <row r="858" spans="37:39" x14ac:dyDescent="0.25">
      <c r="AK858" s="21">
        <f>_xll.qlCalendarAdvance(calendar,AK857,"1D")</f>
        <v>43767</v>
      </c>
      <c r="AL858" s="21">
        <f>_xll.qlInterestRateIndexValueDate(hiborindex,AK858)</f>
        <v>43769</v>
      </c>
      <c r="AM858" s="23">
        <f>_xll.qlIndexFixing(hiborindex,AK858)</f>
        <v>-3.745401905711573E-4</v>
      </c>
    </row>
    <row r="859" spans="37:39" x14ac:dyDescent="0.25">
      <c r="AK859" s="21">
        <f>_xll.qlCalendarAdvance(calendar,AK858,"1D")</f>
        <v>43768</v>
      </c>
      <c r="AL859" s="21">
        <f>_xll.qlInterestRateIndexValueDate(hiborindex,AK859)</f>
        <v>43770</v>
      </c>
      <c r="AM859" s="23">
        <f>_xll.qlIndexFixing(hiborindex,AK859)</f>
        <v>-3.6910935819638808E-4</v>
      </c>
    </row>
    <row r="860" spans="37:39" x14ac:dyDescent="0.25">
      <c r="AK860" s="21">
        <f>_xll.qlCalendarAdvance(calendar,AK859,"1D")</f>
        <v>43769</v>
      </c>
      <c r="AL860" s="21">
        <f>_xll.qlInterestRateIndexValueDate(hiborindex,AK860)</f>
        <v>43773</v>
      </c>
      <c r="AM860" s="23">
        <f>_xll.qlIndexFixing(hiborindex,AK860)</f>
        <v>-3.6585175995091973E-4</v>
      </c>
    </row>
    <row r="861" spans="37:39" x14ac:dyDescent="0.25">
      <c r="AK861" s="21">
        <f>_xll.qlCalendarAdvance(calendar,AK860,"1D")</f>
        <v>43770</v>
      </c>
      <c r="AL861" s="21">
        <f>_xll.qlInterestRateIndexValueDate(hiborindex,AK861)</f>
        <v>43774</v>
      </c>
      <c r="AM861" s="23">
        <f>_xll.qlIndexFixing(hiborindex,AK861)</f>
        <v>-3.6367964633183988E-4</v>
      </c>
    </row>
    <row r="862" spans="37:39" x14ac:dyDescent="0.25">
      <c r="AK862" s="21">
        <f>_xll.qlCalendarAdvance(calendar,AK861,"1D")</f>
        <v>43773</v>
      </c>
      <c r="AL862" s="21">
        <f>_xll.qlInterestRateIndexValueDate(hiborindex,AK862)</f>
        <v>43775</v>
      </c>
      <c r="AM862" s="23">
        <f>_xll.qlIndexFixing(hiborindex,AK862)</f>
        <v>-3.6150753032697608E-4</v>
      </c>
    </row>
    <row r="863" spans="37:39" x14ac:dyDescent="0.25">
      <c r="AK863" s="21">
        <f>_xll.qlCalendarAdvance(calendar,AK862,"1D")</f>
        <v>43774</v>
      </c>
      <c r="AL863" s="21">
        <f>_xll.qlInterestRateIndexValueDate(hiborindex,AK863)</f>
        <v>43776</v>
      </c>
      <c r="AM863" s="23">
        <f>_xll.qlIndexFixing(hiborindex,AK863)</f>
        <v>-3.5933541193632849E-4</v>
      </c>
    </row>
    <row r="864" spans="37:39" x14ac:dyDescent="0.25">
      <c r="AK864" s="21">
        <f>_xll.qlCalendarAdvance(calendar,AK863,"1D")</f>
        <v>43775</v>
      </c>
      <c r="AL864" s="21">
        <f>_xll.qlInterestRateIndexValueDate(hiborindex,AK864)</f>
        <v>43777</v>
      </c>
      <c r="AM864" s="23">
        <f>_xll.qlIndexFixing(hiborindex,AK864)</f>
        <v>-3.5716329115989694E-4</v>
      </c>
    </row>
    <row r="865" spans="37:39" x14ac:dyDescent="0.25">
      <c r="AK865" s="21">
        <f>_xll.qlCalendarAdvance(calendar,AK864,"1D")</f>
        <v>43776</v>
      </c>
      <c r="AL865" s="21">
        <f>_xll.qlInterestRateIndexValueDate(hiborindex,AK865)</f>
        <v>43780</v>
      </c>
      <c r="AM865" s="23">
        <f>_xll.qlIndexFixing(hiborindex,AK865)</f>
        <v>-3.5064691451699721E-4</v>
      </c>
    </row>
    <row r="866" spans="37:39" x14ac:dyDescent="0.25">
      <c r="AK866" s="21">
        <f>_xll.qlCalendarAdvance(calendar,AK865,"1D")</f>
        <v>43777</v>
      </c>
      <c r="AL866" s="21">
        <f>_xll.qlInterestRateIndexValueDate(hiborindex,AK866)</f>
        <v>43781</v>
      </c>
      <c r="AM866" s="23">
        <f>_xll.qlIndexFixing(hiborindex,AK866)</f>
        <v>-3.4847478419764978E-4</v>
      </c>
    </row>
    <row r="867" spans="37:39" x14ac:dyDescent="0.25">
      <c r="AK867" s="21">
        <f>_xll.qlCalendarAdvance(calendar,AK866,"1D")</f>
        <v>43780</v>
      </c>
      <c r="AL867" s="21">
        <f>_xll.qlInterestRateIndexValueDate(hiborindex,AK867)</f>
        <v>43782</v>
      </c>
      <c r="AM867" s="23">
        <f>_xll.qlIndexFixing(hiborindex,AK867)</f>
        <v>-3.4630265149251845E-4</v>
      </c>
    </row>
    <row r="868" spans="37:39" x14ac:dyDescent="0.25">
      <c r="AK868" s="21">
        <f>_xll.qlCalendarAdvance(calendar,AK867,"1D")</f>
        <v>43781</v>
      </c>
      <c r="AL868" s="21">
        <f>_xll.qlInterestRateIndexValueDate(hiborindex,AK868)</f>
        <v>43783</v>
      </c>
      <c r="AM868" s="23">
        <f>_xll.qlIndexFixing(hiborindex,AK868)</f>
        <v>-3.4413051640182289E-4</v>
      </c>
    </row>
    <row r="869" spans="37:39" x14ac:dyDescent="0.25">
      <c r="AK869" s="21">
        <f>_xll.qlCalendarAdvance(calendar,AK868,"1D")</f>
        <v>43782</v>
      </c>
      <c r="AL869" s="21">
        <f>_xll.qlInterestRateIndexValueDate(hiborindex,AK869)</f>
        <v>43784</v>
      </c>
      <c r="AM869" s="23">
        <f>_xll.qlIndexFixing(hiborindex,AK869)</f>
        <v>-3.4195837892578269E-4</v>
      </c>
    </row>
    <row r="870" spans="37:39" x14ac:dyDescent="0.25">
      <c r="AK870" s="21">
        <f>_xll.qlCalendarAdvance(calendar,AK869,"1D")</f>
        <v>43783</v>
      </c>
      <c r="AL870" s="21">
        <f>_xll.qlInterestRateIndexValueDate(hiborindex,AK870)</f>
        <v>43787</v>
      </c>
      <c r="AM870" s="23">
        <f>_xll.qlIndexFixing(hiborindex,AK870)</f>
        <v>-3.3544195218251948E-4</v>
      </c>
    </row>
    <row r="871" spans="37:39" x14ac:dyDescent="0.25">
      <c r="AK871" s="21">
        <f>_xll.qlCalendarAdvance(calendar,AK870,"1D")</f>
        <v>43784</v>
      </c>
      <c r="AL871" s="21">
        <f>_xll.qlInterestRateIndexValueDate(hiborindex,AK871)</f>
        <v>43788</v>
      </c>
      <c r="AM871" s="23">
        <f>_xll.qlIndexFixing(hiborindex,AK871)</f>
        <v>-3.3326980516334374E-4</v>
      </c>
    </row>
    <row r="872" spans="37:39" x14ac:dyDescent="0.25">
      <c r="AK872" s="21">
        <f>_xll.qlCalendarAdvance(calendar,AK871,"1D")</f>
        <v>43787</v>
      </c>
      <c r="AL872" s="21">
        <f>_xll.qlInterestRateIndexValueDate(hiborindex,AK872)</f>
        <v>43789</v>
      </c>
      <c r="AM872" s="23">
        <f>_xll.qlIndexFixing(hiborindex,AK872)</f>
        <v>-3.3109765575816449E-4</v>
      </c>
    </row>
    <row r="873" spans="37:39" x14ac:dyDescent="0.25">
      <c r="AK873" s="21">
        <f>_xll.qlCalendarAdvance(calendar,AK872,"1D")</f>
        <v>43788</v>
      </c>
      <c r="AL873" s="21">
        <f>_xll.qlInterestRateIndexValueDate(hiborindex,AK873)</f>
        <v>43790</v>
      </c>
      <c r="AM873" s="23">
        <f>_xll.qlIndexFixing(hiborindex,AK873)</f>
        <v>-3.28925503967421E-4</v>
      </c>
    </row>
    <row r="874" spans="37:39" x14ac:dyDescent="0.25">
      <c r="AK874" s="21">
        <f>_xll.qlCalendarAdvance(calendar,AK873,"1D")</f>
        <v>43789</v>
      </c>
      <c r="AL874" s="21">
        <f>_xll.qlInterestRateIndexValueDate(hiborindex,AK874)</f>
        <v>43791</v>
      </c>
      <c r="AM874" s="23">
        <f>_xll.qlIndexFixing(hiborindex,AK874)</f>
        <v>-3.2675334979089362E-4</v>
      </c>
    </row>
    <row r="875" spans="37:39" x14ac:dyDescent="0.25">
      <c r="AK875" s="21">
        <f>_xll.qlCalendarAdvance(calendar,AK874,"1D")</f>
        <v>43790</v>
      </c>
      <c r="AL875" s="21">
        <f>_xll.qlInterestRateIndexValueDate(hiborindex,AK875)</f>
        <v>43794</v>
      </c>
      <c r="AM875" s="23">
        <f>_xll.qlIndexFixing(hiborindex,AK875)</f>
        <v>-3.202368729477062E-4</v>
      </c>
    </row>
    <row r="876" spans="37:39" x14ac:dyDescent="0.25">
      <c r="AK876" s="21">
        <f>_xll.qlCalendarAdvance(calendar,AK875,"1D")</f>
        <v>43791</v>
      </c>
      <c r="AL876" s="21">
        <f>_xll.qlInterestRateIndexValueDate(hiborindex,AK876)</f>
        <v>43795</v>
      </c>
      <c r="AM876" s="23">
        <f>_xll.qlIndexFixing(hiborindex,AK876)</f>
        <v>-3.1806470922848248E-4</v>
      </c>
    </row>
    <row r="877" spans="37:39" x14ac:dyDescent="0.25">
      <c r="AK877" s="21">
        <f>_xll.qlCalendarAdvance(calendar,AK876,"1D")</f>
        <v>43794</v>
      </c>
      <c r="AL877" s="21">
        <f>_xll.qlInterestRateIndexValueDate(hiborindex,AK877)</f>
        <v>43796</v>
      </c>
      <c r="AM877" s="23">
        <f>_xll.qlIndexFixing(hiborindex,AK877)</f>
        <v>-3.1589254312303571E-4</v>
      </c>
    </row>
    <row r="878" spans="37:39" x14ac:dyDescent="0.25">
      <c r="AK878" s="21">
        <f>_xll.qlCalendarAdvance(calendar,AK877,"1D")</f>
        <v>43795</v>
      </c>
      <c r="AL878" s="21">
        <f>_xll.qlInterestRateIndexValueDate(hiborindex,AK878)</f>
        <v>43797</v>
      </c>
      <c r="AM878" s="23">
        <f>_xll.qlIndexFixing(hiborindex,AK878)</f>
        <v>-3.1372037463246391E-4</v>
      </c>
    </row>
    <row r="879" spans="37:39" x14ac:dyDescent="0.25">
      <c r="AK879" s="21">
        <f>_xll.qlCalendarAdvance(calendar,AK878,"1D")</f>
        <v>43796</v>
      </c>
      <c r="AL879" s="21">
        <f>_xll.qlInterestRateIndexValueDate(hiborindex,AK879)</f>
        <v>43798</v>
      </c>
      <c r="AM879" s="23">
        <f>_xll.qlIndexFixing(hiborindex,AK879)</f>
        <v>-3.1154820375588855E-4</v>
      </c>
    </row>
    <row r="880" spans="37:39" x14ac:dyDescent="0.25">
      <c r="AK880" s="21">
        <f>_xll.qlCalendarAdvance(calendar,AK879,"1D")</f>
        <v>43797</v>
      </c>
      <c r="AL880" s="21">
        <f>_xll.qlInterestRateIndexValueDate(hiborindex,AK880)</f>
        <v>43801</v>
      </c>
      <c r="AM880" s="23">
        <f>_xll.qlIndexFixing(hiborindex,AK880)</f>
        <v>-3.039454585836678E-4</v>
      </c>
    </row>
    <row r="881" spans="37:39" x14ac:dyDescent="0.25">
      <c r="AK881" s="21">
        <f>_xll.qlCalendarAdvance(calendar,AK880,"1D")</f>
        <v>43798</v>
      </c>
      <c r="AL881" s="21">
        <f>_xll.qlInterestRateIndexValueDate(hiborindex,AK881)</f>
        <v>43802</v>
      </c>
      <c r="AM881" s="23">
        <f>_xll.qlIndexFixing(hiborindex,AK881)</f>
        <v>-3.0177327879833568E-4</v>
      </c>
    </row>
    <row r="882" spans="37:39" x14ac:dyDescent="0.25">
      <c r="AK882" s="21">
        <f>_xll.qlCalendarAdvance(calendar,AK881,"1D")</f>
        <v>43801</v>
      </c>
      <c r="AL882" s="21">
        <f>_xll.qlInterestRateIndexValueDate(hiborindex,AK882)</f>
        <v>43803</v>
      </c>
      <c r="AM882" s="23">
        <f>_xll.qlIndexFixing(hiborindex,AK882)</f>
        <v>-2.9960109661470347E-4</v>
      </c>
    </row>
    <row r="883" spans="37:39" x14ac:dyDescent="0.25">
      <c r="AK883" s="21">
        <f>_xll.qlCalendarAdvance(calendar,AK882,"1D")</f>
        <v>43802</v>
      </c>
      <c r="AL883" s="21">
        <f>_xll.qlInterestRateIndexValueDate(hiborindex,AK883)</f>
        <v>43804</v>
      </c>
      <c r="AM883" s="23">
        <f>_xll.qlIndexFixing(hiborindex,AK883)</f>
        <v>-2.9742891203211593E-4</v>
      </c>
    </row>
    <row r="884" spans="37:39" x14ac:dyDescent="0.25">
      <c r="AK884" s="21">
        <f>_xll.qlCalendarAdvance(calendar,AK883,"1D")</f>
        <v>43803</v>
      </c>
      <c r="AL884" s="21">
        <f>_xll.qlInterestRateIndexValueDate(hiborindex,AK884)</f>
        <v>43805</v>
      </c>
      <c r="AM884" s="23">
        <f>_xll.qlIndexFixing(hiborindex,AK884)</f>
        <v>-2.9308429705111996E-4</v>
      </c>
    </row>
    <row r="885" spans="37:39" x14ac:dyDescent="0.25">
      <c r="AK885" s="21">
        <f>_xll.qlCalendarAdvance(calendar,AK884,"1D")</f>
        <v>43804</v>
      </c>
      <c r="AL885" s="21">
        <f>_xll.qlInterestRateIndexValueDate(hiborindex,AK885)</f>
        <v>43808</v>
      </c>
      <c r="AM885" s="23">
        <f>_xll.qlIndexFixing(hiborindex,AK885)</f>
        <v>-2.8874014971264891E-4</v>
      </c>
    </row>
    <row r="886" spans="37:39" x14ac:dyDescent="0.25">
      <c r="AK886" s="21">
        <f>_xll.qlCalendarAdvance(calendar,AK885,"1D")</f>
        <v>43805</v>
      </c>
      <c r="AL886" s="21">
        <f>_xll.qlInterestRateIndexValueDate(hiborindex,AK886)</f>
        <v>43809</v>
      </c>
      <c r="AM886" s="23">
        <f>_xll.qlIndexFixing(hiborindex,AK886)</f>
        <v>-2.8656795313528462E-4</v>
      </c>
    </row>
    <row r="887" spans="37:39" x14ac:dyDescent="0.25">
      <c r="AK887" s="21">
        <f>_xll.qlCalendarAdvance(calendar,AK886,"1D")</f>
        <v>43808</v>
      </c>
      <c r="AL887" s="21">
        <f>_xll.qlInterestRateIndexValueDate(hiborindex,AK887)</f>
        <v>43810</v>
      </c>
      <c r="AM887" s="23">
        <f>_xll.qlIndexFixing(hiborindex,AK887)</f>
        <v>-2.8439575415962012E-4</v>
      </c>
    </row>
    <row r="888" spans="37:39" x14ac:dyDescent="0.25">
      <c r="AK888" s="21">
        <f>_xll.qlCalendarAdvance(calendar,AK887,"1D")</f>
        <v>43809</v>
      </c>
      <c r="AL888" s="21">
        <f>_xll.qlInterestRateIndexValueDate(hiborindex,AK888)</f>
        <v>43811</v>
      </c>
      <c r="AM888" s="23">
        <f>_xll.qlIndexFixing(hiborindex,AK888)</f>
        <v>-2.822235527841267E-4</v>
      </c>
    </row>
    <row r="889" spans="37:39" x14ac:dyDescent="0.25">
      <c r="AK889" s="21">
        <f>_xll.qlCalendarAdvance(calendar,AK888,"1D")</f>
        <v>43810</v>
      </c>
      <c r="AL889" s="21">
        <f>_xll.qlInterestRateIndexValueDate(hiborindex,AK889)</f>
        <v>43812</v>
      </c>
      <c r="AM889" s="23">
        <f>_xll.qlIndexFixing(hiborindex,AK889)</f>
        <v>-2.7787892833671703E-4</v>
      </c>
    </row>
    <row r="890" spans="37:39" x14ac:dyDescent="0.25">
      <c r="AK890" s="21">
        <f>_xll.qlCalendarAdvance(calendar,AK889,"1D")</f>
        <v>43811</v>
      </c>
      <c r="AL890" s="21">
        <f>_xll.qlInterestRateIndexValueDate(hiborindex,AK890)</f>
        <v>43815</v>
      </c>
      <c r="AM890" s="23">
        <f>_xll.qlIndexFixing(hiborindex,AK890)</f>
        <v>-2.7353472329565712E-4</v>
      </c>
    </row>
    <row r="891" spans="37:39" x14ac:dyDescent="0.25">
      <c r="AK891" s="21">
        <f>_xll.qlCalendarAdvance(calendar,AK890,"1D")</f>
        <v>43812</v>
      </c>
      <c r="AL891" s="21">
        <f>_xll.qlInterestRateIndexValueDate(hiborindex,AK891)</f>
        <v>43816</v>
      </c>
      <c r="AM891" s="23">
        <f>_xll.qlIndexFixing(hiborindex,AK891)</f>
        <v>-2.7136250992626054E-4</v>
      </c>
    </row>
    <row r="892" spans="37:39" x14ac:dyDescent="0.25">
      <c r="AK892" s="21">
        <f>_xll.qlCalendarAdvance(calendar,AK891,"1D")</f>
        <v>43815</v>
      </c>
      <c r="AL892" s="21">
        <f>_xll.qlInterestRateIndexValueDate(hiborindex,AK892)</f>
        <v>43817</v>
      </c>
      <c r="AM892" s="23">
        <f>_xll.qlIndexFixing(hiborindex,AK892)</f>
        <v>-2.6919029415812704E-4</v>
      </c>
    </row>
    <row r="893" spans="37:39" x14ac:dyDescent="0.25">
      <c r="AK893" s="21">
        <f>_xll.qlCalendarAdvance(calendar,AK892,"1D")</f>
        <v>43816</v>
      </c>
      <c r="AL893" s="21">
        <f>_xll.qlInterestRateIndexValueDate(hiborindex,AK893)</f>
        <v>43818</v>
      </c>
      <c r="AM893" s="23">
        <f>_xll.qlIndexFixing(hiborindex,AK893)</f>
        <v>-2.6701807599060134E-4</v>
      </c>
    </row>
    <row r="894" spans="37:39" x14ac:dyDescent="0.25">
      <c r="AK894" s="21">
        <f>_xll.qlCalendarAdvance(calendar,AK893,"1D")</f>
        <v>43817</v>
      </c>
      <c r="AL894" s="21">
        <f>_xll.qlInterestRateIndexValueDate(hiborindex,AK894)</f>
        <v>43819</v>
      </c>
      <c r="AM894" s="23">
        <f>_xll.qlIndexFixing(hiborindex,AK894)</f>
        <v>-2.6267344079153099E-4</v>
      </c>
    </row>
    <row r="895" spans="37:39" x14ac:dyDescent="0.25">
      <c r="AK895" s="21">
        <f>_xll.qlCalendarAdvance(calendar,AK894,"1D")</f>
        <v>43818</v>
      </c>
      <c r="AL895" s="21">
        <f>_xll.qlInterestRateIndexValueDate(hiborindex,AK895)</f>
        <v>43822</v>
      </c>
      <c r="AM895" s="23">
        <f>_xll.qlIndexFixing(hiborindex,AK895)</f>
        <v>-2.5832917933203713E-4</v>
      </c>
    </row>
    <row r="896" spans="37:39" x14ac:dyDescent="0.25">
      <c r="AK896" s="21">
        <f>_xll.qlCalendarAdvance(calendar,AK895,"1D")</f>
        <v>43819</v>
      </c>
      <c r="AL896" s="21">
        <f>_xll.qlInterestRateIndexValueDate(hiborindex,AK896)</f>
        <v>43823</v>
      </c>
      <c r="AM896" s="23">
        <f>_xll.qlIndexFixing(hiborindex,AK896)</f>
        <v>-2.5615694917060833E-4</v>
      </c>
    </row>
    <row r="897" spans="37:39" x14ac:dyDescent="0.25">
      <c r="AK897" s="21">
        <f>_xll.qlCalendarAdvance(calendar,AK896,"1D")</f>
        <v>43822</v>
      </c>
      <c r="AL897" s="21">
        <f>_xll.qlInterestRateIndexValueDate(hiborindex,AK897)</f>
        <v>43826</v>
      </c>
      <c r="AM897" s="23">
        <f>_xll.qlIndexFixing(hiborindex,AK897)</f>
        <v>-2.474678344144817E-4</v>
      </c>
    </row>
    <row r="898" spans="37:39" x14ac:dyDescent="0.25">
      <c r="AK898" s="21">
        <f>_xll.qlCalendarAdvance(calendar,AK897,"1D")</f>
        <v>43823</v>
      </c>
      <c r="AL898" s="21">
        <f>_xll.qlInterestRateIndexValueDate(hiborindex,AK898)</f>
        <v>43829</v>
      </c>
      <c r="AM898" s="23">
        <f>_xll.qlIndexFixing(hiborindex,AK898)</f>
        <v>-2.4312351782178901E-4</v>
      </c>
    </row>
    <row r="899" spans="37:39" x14ac:dyDescent="0.25">
      <c r="AK899" s="21">
        <f>_xll.qlCalendarAdvance(calendar,AK898,"1D")</f>
        <v>43826</v>
      </c>
      <c r="AL899" s="21">
        <f>_xll.qlInterestRateIndexValueDate(hiborindex,AK899)</f>
        <v>43830</v>
      </c>
      <c r="AM899" s="23">
        <f>_xll.qlIndexFixing(hiborindex,AK899)</f>
        <v>-2.4203747601202975E-4</v>
      </c>
    </row>
    <row r="900" spans="37:39" x14ac:dyDescent="0.25">
      <c r="AK900" s="21">
        <f>_xll.qlCalendarAdvance(calendar,AK899,"1D")</f>
        <v>43829</v>
      </c>
      <c r="AL900" s="21">
        <f>_xll.qlInterestRateIndexValueDate(hiborindex,AK900)</f>
        <v>43832</v>
      </c>
      <c r="AM900" s="23">
        <f>_xll.qlIndexFixing(hiborindex,AK900)</f>
        <v>-2.250332405846172E-4</v>
      </c>
    </row>
    <row r="901" spans="37:39" x14ac:dyDescent="0.25">
      <c r="AK901" s="21">
        <f>_xll.qlCalendarAdvance(calendar,AK900,"1D")</f>
        <v>43830</v>
      </c>
      <c r="AL901" s="21">
        <f>_xll.qlInterestRateIndexValueDate(hiborindex,AK901)</f>
        <v>43833</v>
      </c>
      <c r="AM901" s="23">
        <f>_xll.qlIndexFixing(hiborindex,AK901)</f>
        <v>-2.1651810576494635E-4</v>
      </c>
    </row>
    <row r="902" spans="37:39" x14ac:dyDescent="0.25">
      <c r="AK902" s="21">
        <f>_xll.qlCalendarAdvance(calendar,AK901,"1D")</f>
        <v>43832</v>
      </c>
      <c r="AL902" s="21">
        <f>_xll.qlInterestRateIndexValueDate(hiborindex,AK902)</f>
        <v>43836</v>
      </c>
      <c r="AM902" s="23">
        <f>_xll.qlIndexFixing(hiborindex,AK902)</f>
        <v>-1.9092063154314663E-4</v>
      </c>
    </row>
    <row r="903" spans="37:39" x14ac:dyDescent="0.25">
      <c r="AK903" s="21">
        <f>_xll.qlCalendarAdvance(calendar,AK902,"1D")</f>
        <v>43833</v>
      </c>
      <c r="AL903" s="21">
        <f>_xll.qlInterestRateIndexValueDate(hiborindex,AK903)</f>
        <v>43837</v>
      </c>
      <c r="AM903" s="23">
        <f>_xll.qlIndexFixing(hiborindex,AK903)</f>
        <v>-1.8237078317451738E-4</v>
      </c>
    </row>
    <row r="904" spans="37:39" x14ac:dyDescent="0.25">
      <c r="AK904" s="21">
        <f>_xll.qlCalendarAdvance(calendar,AK903,"1D")</f>
        <v>43836</v>
      </c>
      <c r="AL904" s="21">
        <f>_xll.qlInterestRateIndexValueDate(hiborindex,AK904)</f>
        <v>43838</v>
      </c>
      <c r="AM904" s="23">
        <f>_xll.qlIndexFixing(hiborindex,AK904)</f>
        <v>-1.738122561382135E-4</v>
      </c>
    </row>
    <row r="905" spans="37:39" x14ac:dyDescent="0.25">
      <c r="AK905" s="21">
        <f>_xll.qlCalendarAdvance(calendar,AK904,"1D")</f>
        <v>43837</v>
      </c>
      <c r="AL905" s="21">
        <f>_xll.qlInterestRateIndexValueDate(hiborindex,AK905)</f>
        <v>43839</v>
      </c>
      <c r="AM905" s="23">
        <f>_xll.qlIndexFixing(hiborindex,AK905)</f>
        <v>-1.6524505032201707E-4</v>
      </c>
    </row>
    <row r="906" spans="37:39" x14ac:dyDescent="0.25">
      <c r="AK906" s="21">
        <f>_xll.qlCalendarAdvance(calendar,AK905,"1D")</f>
        <v>43838</v>
      </c>
      <c r="AL906" s="21">
        <f>_xll.qlInterestRateIndexValueDate(hiborindex,AK906)</f>
        <v>43840</v>
      </c>
      <c r="AM906" s="23">
        <f>_xll.qlIndexFixing(hiborindex,AK906)</f>
        <v>-1.5666916561349057E-4</v>
      </c>
    </row>
    <row r="907" spans="37:39" x14ac:dyDescent="0.25">
      <c r="AK907" s="21">
        <f>_xll.qlCalendarAdvance(calendar,AK906,"1D")</f>
        <v>43839</v>
      </c>
      <c r="AL907" s="21">
        <f>_xll.qlInterestRateIndexValueDate(hiborindex,AK907)</f>
        <v>43843</v>
      </c>
      <c r="AM907" s="23">
        <f>_xll.qlIndexFixing(hiborindex,AK907)</f>
        <v>-1.3088943700691999E-4</v>
      </c>
    </row>
    <row r="908" spans="37:39" x14ac:dyDescent="0.25">
      <c r="AK908" s="21">
        <f>_xll.qlCalendarAdvance(calendar,AK907,"1D")</f>
        <v>43840</v>
      </c>
      <c r="AL908" s="21">
        <f>_xll.qlInterestRateIndexValueDate(hiborindex,AK908)</f>
        <v>43844</v>
      </c>
      <c r="AM908" s="23">
        <f>_xll.qlIndexFixing(hiborindex,AK908)</f>
        <v>-1.2227883560206261E-4</v>
      </c>
    </row>
    <row r="909" spans="37:39" x14ac:dyDescent="0.25">
      <c r="AK909" s="21">
        <f>_xll.qlCalendarAdvance(calendar,AK908,"1D")</f>
        <v>43843</v>
      </c>
      <c r="AL909" s="21">
        <f>_xll.qlInterestRateIndexValueDate(hiborindex,AK909)</f>
        <v>43845</v>
      </c>
      <c r="AM909" s="23">
        <f>_xll.qlIndexFixing(hiborindex,AK909)</f>
        <v>-1.1365955474049142E-4</v>
      </c>
    </row>
    <row r="910" spans="37:39" x14ac:dyDescent="0.25">
      <c r="AK910" s="21">
        <f>_xll.qlCalendarAdvance(calendar,AK909,"1D")</f>
        <v>43844</v>
      </c>
      <c r="AL910" s="21">
        <f>_xll.qlInterestRateIndexValueDate(hiborindex,AK910)</f>
        <v>43846</v>
      </c>
      <c r="AM910" s="23">
        <f>_xll.qlIndexFixing(hiborindex,AK910)</f>
        <v>-1.0503159430954932E-4</v>
      </c>
    </row>
    <row r="911" spans="37:39" x14ac:dyDescent="0.25">
      <c r="AK911" s="21">
        <f>_xll.qlCalendarAdvance(calendar,AK910,"1D")</f>
        <v>43845</v>
      </c>
      <c r="AL911" s="21">
        <f>_xll.qlInterestRateIndexValueDate(hiborindex,AK911)</f>
        <v>43847</v>
      </c>
      <c r="AM911" s="23">
        <f>_xll.qlIndexFixing(hiborindex,AK911)</f>
        <v>-9.6394954195700737E-5</v>
      </c>
    </row>
    <row r="912" spans="37:39" x14ac:dyDescent="0.25">
      <c r="AK912" s="21">
        <f>_xll.qlCalendarAdvance(calendar,AK911,"1D")</f>
        <v>43846</v>
      </c>
      <c r="AL912" s="21">
        <f>_xll.qlInterestRateIndexValueDate(hiborindex,AK912)</f>
        <v>43850</v>
      </c>
      <c r="AM912" s="23">
        <f>_xll.qlIndexFixing(hiborindex,AK912)</f>
        <v>-7.0432954623337037E-5</v>
      </c>
    </row>
    <row r="913" spans="37:39" x14ac:dyDescent="0.25">
      <c r="AK913" s="21">
        <f>_xll.qlCalendarAdvance(calendar,AK912,"1D")</f>
        <v>43847</v>
      </c>
      <c r="AL913" s="21">
        <f>_xll.qlInterestRateIndexValueDate(hiborindex,AK913)</f>
        <v>43851</v>
      </c>
      <c r="AM913" s="23">
        <f>_xll.qlIndexFixing(hiborindex,AK913)</f>
        <v>-6.1761594643605034E-5</v>
      </c>
    </row>
    <row r="914" spans="37:39" x14ac:dyDescent="0.25">
      <c r="AK914" s="21">
        <f>_xll.qlCalendarAdvance(calendar,AK913,"1D")</f>
        <v>43850</v>
      </c>
      <c r="AL914" s="21">
        <f>_xll.qlInterestRateIndexValueDate(hiborindex,AK914)</f>
        <v>43852</v>
      </c>
      <c r="AM914" s="23">
        <f>_xll.qlIndexFixing(hiborindex,AK914)</f>
        <v>-5.308155441262997E-5</v>
      </c>
    </row>
    <row r="915" spans="37:39" x14ac:dyDescent="0.25">
      <c r="AK915" s="21">
        <f>_xll.qlCalendarAdvance(calendar,AK914,"1D")</f>
        <v>43851</v>
      </c>
      <c r="AL915" s="21">
        <f>_xll.qlInterestRateIndexValueDate(hiborindex,AK915)</f>
        <v>43853</v>
      </c>
      <c r="AM915" s="23">
        <f>_xll.qlIndexFixing(hiborindex,AK915)</f>
        <v>-4.4392833817535103E-5</v>
      </c>
    </row>
    <row r="916" spans="37:39" x14ac:dyDescent="0.25">
      <c r="AK916" s="21">
        <f>_xll.qlCalendarAdvance(calendar,AK915,"1D")</f>
        <v>43852</v>
      </c>
      <c r="AL916" s="21">
        <f>_xll.qlInterestRateIndexValueDate(hiborindex,AK916)</f>
        <v>43854</v>
      </c>
      <c r="AM916" s="23">
        <f>_xll.qlIndexFixing(hiborindex,AK916)</f>
        <v>-3.5695432742808435E-5</v>
      </c>
    </row>
    <row r="917" spans="37:39" x14ac:dyDescent="0.25">
      <c r="AK917" s="21">
        <f>_xll.qlCalendarAdvance(calendar,AK916,"1D")</f>
        <v>43853</v>
      </c>
      <c r="AL917" s="21">
        <f>_xll.qlInterestRateIndexValueDate(hiborindex,AK917)</f>
        <v>43857</v>
      </c>
      <c r="AM917" s="23">
        <f>_xll.qlIndexFixing(hiborindex,AK917)</f>
        <v>-9.5511455050428854E-6</v>
      </c>
    </row>
    <row r="918" spans="37:39" x14ac:dyDescent="0.25">
      <c r="AK918" s="21">
        <f>_xll.qlCalendarAdvance(calendar,AK917,"1D")</f>
        <v>43854</v>
      </c>
      <c r="AL918" s="21">
        <f>_xll.qlInterestRateIndexValueDate(hiborindex,AK918)</f>
        <v>43858</v>
      </c>
      <c r="AM918" s="23">
        <f>_xll.qlIndexFixing(hiborindex,AK918)</f>
        <v>-8.1902137313941044E-7</v>
      </c>
    </row>
    <row r="919" spans="37:39" x14ac:dyDescent="0.25">
      <c r="AK919" s="21">
        <f>_xll.qlCalendarAdvance(calendar,AK918,"1D")</f>
        <v>43857</v>
      </c>
      <c r="AL919" s="21">
        <f>_xll.qlInterestRateIndexValueDate(hiborindex,AK919)</f>
        <v>43859</v>
      </c>
      <c r="AM919" s="23">
        <f>_xll.qlIndexFixing(hiborindex,AK919)</f>
        <v>7.9217838100265177E-6</v>
      </c>
    </row>
    <row r="920" spans="37:39" x14ac:dyDescent="0.25">
      <c r="AK920" s="21">
        <f>_xll.qlCalendarAdvance(calendar,AK919,"1D")</f>
        <v>43858</v>
      </c>
      <c r="AL920" s="21">
        <f>_xll.qlInterestRateIndexValueDate(hiborindex,AK920)</f>
        <v>43860</v>
      </c>
      <c r="AM920" s="23">
        <f>_xll.qlIndexFixing(hiborindex,AK920)</f>
        <v>1.6671270159088477E-5</v>
      </c>
    </row>
    <row r="921" spans="37:39" x14ac:dyDescent="0.25">
      <c r="AK921" s="21">
        <f>_xll.qlCalendarAdvance(calendar,AK920,"1D")</f>
        <v>43859</v>
      </c>
      <c r="AL921" s="21">
        <f>_xll.qlInterestRateIndexValueDate(hiborindex,AK921)</f>
        <v>43861</v>
      </c>
      <c r="AM921" s="23">
        <f>_xll.qlIndexFixing(hiborindex,AK921)</f>
        <v>2.5429437788021231E-5</v>
      </c>
    </row>
    <row r="922" spans="37:39" x14ac:dyDescent="0.25">
      <c r="AK922" s="21">
        <f>_xll.qlCalendarAdvance(calendar,AK921,"1D")</f>
        <v>43860</v>
      </c>
      <c r="AL922" s="21">
        <f>_xll.qlInterestRateIndexValueDate(hiborindex,AK922)</f>
        <v>43864</v>
      </c>
      <c r="AM922" s="23">
        <f>_xll.qlIndexFixing(hiborindex,AK922)</f>
        <v>5.1756029507846589E-5</v>
      </c>
    </row>
    <row r="923" spans="37:39" x14ac:dyDescent="0.25">
      <c r="AK923" s="21">
        <f>_xll.qlCalendarAdvance(calendar,AK922,"1D")</f>
        <v>43861</v>
      </c>
      <c r="AL923" s="21">
        <f>_xll.qlInterestRateIndexValueDate(hiborindex,AK923)</f>
        <v>43865</v>
      </c>
      <c r="AM923" s="23">
        <f>_xll.qlIndexFixing(hiborindex,AK923)</f>
        <v>6.0548923409186433E-5</v>
      </c>
    </row>
    <row r="924" spans="37:39" x14ac:dyDescent="0.25">
      <c r="AK924" s="21">
        <f>_xll.qlCalendarAdvance(calendar,AK923,"1D")</f>
        <v>43864</v>
      </c>
      <c r="AL924" s="21">
        <f>_xll.qlInterestRateIndexValueDate(hiborindex,AK924)</f>
        <v>43866</v>
      </c>
      <c r="AM924" s="23">
        <f>_xll.qlIndexFixing(hiborindex,AK924)</f>
        <v>6.9350499167517831E-5</v>
      </c>
    </row>
    <row r="925" spans="37:39" x14ac:dyDescent="0.25">
      <c r="AK925" s="21">
        <f>_xll.qlCalendarAdvance(calendar,AK924,"1D")</f>
        <v>43865</v>
      </c>
      <c r="AL925" s="21">
        <f>_xll.qlInterestRateIndexValueDate(hiborindex,AK925)</f>
        <v>43867</v>
      </c>
      <c r="AM925" s="23">
        <f>_xll.qlIndexFixing(hiborindex,AK925)</f>
        <v>7.8160756897474381E-5</v>
      </c>
    </row>
    <row r="926" spans="37:39" x14ac:dyDescent="0.25">
      <c r="AK926" s="21">
        <f>_xll.qlCalendarAdvance(calendar,AK925,"1D")</f>
        <v>43866</v>
      </c>
      <c r="AL926" s="21">
        <f>_xll.qlInterestRateIndexValueDate(hiborindex,AK926)</f>
        <v>43868</v>
      </c>
      <c r="AM926" s="23">
        <f>_xll.qlIndexFixing(hiborindex,AK926)</f>
        <v>8.6979696714568059E-5</v>
      </c>
    </row>
    <row r="927" spans="37:39" x14ac:dyDescent="0.25">
      <c r="AK927" s="21">
        <f>_xll.qlCalendarAdvance(calendar,AK926,"1D")</f>
        <v>43867</v>
      </c>
      <c r="AL927" s="21">
        <f>_xll.qlInterestRateIndexValueDate(hiborindex,AK927)</f>
        <v>43871</v>
      </c>
      <c r="AM927" s="23">
        <f>_xll.qlIndexFixing(hiborindex,AK927)</f>
        <v>1.1348860985081923E-4</v>
      </c>
    </row>
    <row r="928" spans="37:39" x14ac:dyDescent="0.25">
      <c r="AK928" s="21">
        <f>_xll.qlCalendarAdvance(calendar,AK927,"1D")</f>
        <v>43868</v>
      </c>
      <c r="AL928" s="21">
        <f>_xll.qlInterestRateIndexValueDate(hiborindex,AK928)</f>
        <v>43872</v>
      </c>
      <c r="AM928" s="23">
        <f>_xll.qlIndexFixing(hiborindex,AK928)</f>
        <v>1.2234227917773033E-4</v>
      </c>
    </row>
    <row r="929" spans="37:39" x14ac:dyDescent="0.25">
      <c r="AK929" s="21">
        <f>_xll.qlCalendarAdvance(calendar,AK928,"1D")</f>
        <v>43871</v>
      </c>
      <c r="AL929" s="21">
        <f>_xll.qlInterestRateIndexValueDate(hiborindex,AK929)</f>
        <v>43873</v>
      </c>
      <c r="AM929" s="23">
        <f>_xll.qlIndexFixing(hiborindex,AK929)</f>
        <v>1.3120463117241303E-4</v>
      </c>
    </row>
    <row r="930" spans="37:39" x14ac:dyDescent="0.25">
      <c r="AK930" s="21">
        <f>_xll.qlCalendarAdvance(calendar,AK929,"1D")</f>
        <v>43872</v>
      </c>
      <c r="AL930" s="21">
        <f>_xll.qlInterestRateIndexValueDate(hiborindex,AK930)</f>
        <v>43874</v>
      </c>
      <c r="AM930" s="23">
        <f>_xll.qlIndexFixing(hiborindex,AK930)</f>
        <v>1.4007566595037929E-4</v>
      </c>
    </row>
    <row r="931" spans="37:39" x14ac:dyDescent="0.25">
      <c r="AK931" s="21">
        <f>_xll.qlCalendarAdvance(calendar,AK930,"1D")</f>
        <v>43873</v>
      </c>
      <c r="AL931" s="21">
        <f>_xll.qlInterestRateIndexValueDate(hiborindex,AK931)</f>
        <v>43875</v>
      </c>
      <c r="AM931" s="23">
        <f>_xll.qlIndexFixing(hiborindex,AK931)</f>
        <v>1.4895538362933716E-4</v>
      </c>
    </row>
    <row r="932" spans="37:39" x14ac:dyDescent="0.25">
      <c r="AK932" s="21">
        <f>_xll.qlCalendarAdvance(calendar,AK931,"1D")</f>
        <v>43874</v>
      </c>
      <c r="AL932" s="21">
        <f>_xll.qlInterestRateIndexValueDate(hiborindex,AK932)</f>
        <v>43878</v>
      </c>
      <c r="AM932" s="23">
        <f>_xll.qlIndexFixing(hiborindex,AK932)</f>
        <v>1.7564663523474697E-4</v>
      </c>
    </row>
    <row r="933" spans="37:39" x14ac:dyDescent="0.25">
      <c r="AK933" s="21">
        <f>_xll.qlCalendarAdvance(calendar,AK932,"1D")</f>
        <v>43875</v>
      </c>
      <c r="AL933" s="21">
        <f>_xll.qlInterestRateIndexValueDate(hiborindex,AK933)</f>
        <v>43879</v>
      </c>
      <c r="AM933" s="23">
        <f>_xll.qlIndexFixing(hiborindex,AK933)</f>
        <v>1.8456108568157547E-4</v>
      </c>
    </row>
    <row r="934" spans="37:39" x14ac:dyDescent="0.25">
      <c r="AK934" s="21">
        <f>_xll.qlCalendarAdvance(calendar,AK933,"1D")</f>
        <v>43878</v>
      </c>
      <c r="AL934" s="21">
        <f>_xll.qlInterestRateIndexValueDate(hiborindex,AK934)</f>
        <v>43880</v>
      </c>
      <c r="AM934" s="23">
        <f>_xll.qlIndexFixing(hiborindex,AK934)</f>
        <v>1.9348421961354367E-4</v>
      </c>
    </row>
    <row r="935" spans="37:39" x14ac:dyDescent="0.25">
      <c r="AK935" s="21">
        <f>_xll.qlCalendarAdvance(calendar,AK934,"1D")</f>
        <v>43879</v>
      </c>
      <c r="AL935" s="21">
        <f>_xll.qlInterestRateIndexValueDate(hiborindex,AK935)</f>
        <v>43881</v>
      </c>
      <c r="AM935" s="23">
        <f>_xll.qlIndexFixing(hiborindex,AK935)</f>
        <v>2.0241603714660279E-4</v>
      </c>
    </row>
    <row r="936" spans="37:39" x14ac:dyDescent="0.25">
      <c r="AK936" s="21">
        <f>_xll.qlCalendarAdvance(calendar,AK935,"1D")</f>
        <v>43880</v>
      </c>
      <c r="AL936" s="21">
        <f>_xll.qlInterestRateIndexValueDate(hiborindex,AK936)</f>
        <v>43882</v>
      </c>
      <c r="AM936" s="23">
        <f>_xll.qlIndexFixing(hiborindex,AK936)</f>
        <v>2.1135653839890012E-4</v>
      </c>
    </row>
    <row r="937" spans="37:39" x14ac:dyDescent="0.25">
      <c r="AK937" s="21">
        <f>_xll.qlCalendarAdvance(calendar,AK936,"1D")</f>
        <v>43881</v>
      </c>
      <c r="AL937" s="21">
        <f>_xll.qlInterestRateIndexValueDate(hiborindex,AK937)</f>
        <v>43885</v>
      </c>
      <c r="AM937" s="23">
        <f>_xll.qlIndexFixing(hiborindex,AK937)</f>
        <v>2.3823014564215264E-4</v>
      </c>
    </row>
    <row r="938" spans="37:39" x14ac:dyDescent="0.25">
      <c r="AK938" s="21">
        <f>_xll.qlCalendarAdvance(calendar,AK937,"1D")</f>
        <v>43882</v>
      </c>
      <c r="AL938" s="21">
        <f>_xll.qlInterestRateIndexValueDate(hiborindex,AK938)</f>
        <v>43886</v>
      </c>
      <c r="AM938" s="23">
        <f>_xll.qlIndexFixing(hiborindex,AK938)</f>
        <v>2.4720538294453021E-4</v>
      </c>
    </row>
    <row r="939" spans="37:39" x14ac:dyDescent="0.25">
      <c r="AK939" s="21">
        <f>_xll.qlCalendarAdvance(calendar,AK938,"1D")</f>
        <v>43885</v>
      </c>
      <c r="AL939" s="21">
        <f>_xll.qlInterestRateIndexValueDate(hiborindex,AK939)</f>
        <v>43887</v>
      </c>
      <c r="AM939" s="23">
        <f>_xll.qlIndexFixing(hiborindex,AK939)</f>
        <v>2.5618930455336856E-4</v>
      </c>
    </row>
    <row r="940" spans="37:39" x14ac:dyDescent="0.25">
      <c r="AK940" s="21">
        <f>_xll.qlCalendarAdvance(calendar,AK939,"1D")</f>
        <v>43886</v>
      </c>
      <c r="AL940" s="21">
        <f>_xll.qlInterestRateIndexValueDate(hiborindex,AK940)</f>
        <v>43888</v>
      </c>
      <c r="AM940" s="23">
        <f>_xll.qlIndexFixing(hiborindex,AK940)</f>
        <v>2.6518191058725411E-4</v>
      </c>
    </row>
    <row r="941" spans="37:39" x14ac:dyDescent="0.25">
      <c r="AK941" s="21">
        <f>_xll.qlCalendarAdvance(calendar,AK940,"1D")</f>
        <v>43887</v>
      </c>
      <c r="AL941" s="21">
        <f>_xll.qlInterestRateIndexValueDate(hiborindex,AK941)</f>
        <v>43889</v>
      </c>
      <c r="AM941" s="23">
        <f>_xll.qlIndexFixing(hiborindex,AK941)</f>
        <v>2.9135378063878956E-4</v>
      </c>
    </row>
    <row r="942" spans="37:39" x14ac:dyDescent="0.25">
      <c r="AK942" s="21">
        <f>_xll.qlCalendarAdvance(calendar,AK941,"1D")</f>
        <v>43888</v>
      </c>
      <c r="AL942" s="21">
        <f>_xll.qlInterestRateIndexValueDate(hiborindex,AK942)</f>
        <v>43892</v>
      </c>
      <c r="AM942" s="23">
        <f>_xll.qlIndexFixing(hiborindex,AK942)</f>
        <v>3.1255632576892401E-4</v>
      </c>
    </row>
    <row r="943" spans="37:39" x14ac:dyDescent="0.25">
      <c r="AK943" s="21">
        <f>_xll.qlCalendarAdvance(calendar,AK942,"1D")</f>
        <v>43889</v>
      </c>
      <c r="AL943" s="21">
        <f>_xll.qlInterestRateIndexValueDate(hiborindex,AK943)</f>
        <v>43893</v>
      </c>
      <c r="AM943" s="23">
        <f>_xll.qlIndexFixing(hiborindex,AK943)</f>
        <v>3.2153492266098402E-4</v>
      </c>
    </row>
    <row r="944" spans="37:39" x14ac:dyDescent="0.25">
      <c r="AK944" s="21">
        <f>_xll.qlCalendarAdvance(calendar,AK943,"1D")</f>
        <v>43892</v>
      </c>
      <c r="AL944" s="21">
        <f>_xll.qlInterestRateIndexValueDate(hiborindex,AK944)</f>
        <v>43894</v>
      </c>
      <c r="AM944" s="23">
        <f>_xll.qlIndexFixing(hiborindex,AK944)</f>
        <v>3.3052211072038678E-4</v>
      </c>
    </row>
    <row r="945" spans="37:39" x14ac:dyDescent="0.25">
      <c r="AK945" s="21">
        <f>_xll.qlCalendarAdvance(calendar,AK944,"1D")</f>
        <v>43893</v>
      </c>
      <c r="AL945" s="21">
        <f>_xll.qlInterestRateIndexValueDate(hiborindex,AK945)</f>
        <v>43895</v>
      </c>
      <c r="AM945" s="23">
        <f>_xll.qlIndexFixing(hiborindex,AK945)</f>
        <v>3.5050345665435967E-4</v>
      </c>
    </row>
    <row r="946" spans="37:39" x14ac:dyDescent="0.25">
      <c r="AK946" s="21">
        <f>_xll.qlCalendarAdvance(calendar,AK945,"1D")</f>
        <v>43894</v>
      </c>
      <c r="AL946" s="21">
        <f>_xll.qlInterestRateIndexValueDate(hiborindex,AK946)</f>
        <v>43896</v>
      </c>
      <c r="AM946" s="23">
        <f>_xll.qlIndexFixing(hiborindex,AK946)</f>
        <v>3.5400620716732819E-4</v>
      </c>
    </row>
    <row r="947" spans="37:39" x14ac:dyDescent="0.25">
      <c r="AK947" s="21">
        <f>_xll.qlCalendarAdvance(calendar,AK946,"1D")</f>
        <v>43895</v>
      </c>
      <c r="AL947" s="21">
        <f>_xll.qlInterestRateIndexValueDate(hiborindex,AK947)</f>
        <v>43899</v>
      </c>
      <c r="AM947" s="23">
        <f>_xll.qlIndexFixing(hiborindex,AK947)</f>
        <v>3.755869226803068E-4</v>
      </c>
    </row>
    <row r="948" spans="37:39" x14ac:dyDescent="0.25">
      <c r="AK948" s="21">
        <f>_xll.qlCalendarAdvance(calendar,AK947,"1D")</f>
        <v>43896</v>
      </c>
      <c r="AL948" s="21">
        <f>_xll.qlInterestRateIndexValueDate(hiborindex,AK948)</f>
        <v>43900</v>
      </c>
      <c r="AM948" s="23">
        <f>_xll.qlIndexFixing(hiborindex,AK948)</f>
        <v>3.8462566023221025E-4</v>
      </c>
    </row>
    <row r="949" spans="37:39" x14ac:dyDescent="0.25">
      <c r="AK949" s="21">
        <f>_xll.qlCalendarAdvance(calendar,AK948,"1D")</f>
        <v>43899</v>
      </c>
      <c r="AL949" s="21">
        <f>_xll.qlInterestRateIndexValueDate(hiborindex,AK949)</f>
        <v>43901</v>
      </c>
      <c r="AM949" s="23">
        <f>_xll.qlIndexFixing(hiborindex,AK949)</f>
        <v>3.9367298978122754E-4</v>
      </c>
    </row>
    <row r="950" spans="37:39" x14ac:dyDescent="0.25">
      <c r="AK950" s="21">
        <f>_xll.qlCalendarAdvance(calendar,AK949,"1D")</f>
        <v>43900</v>
      </c>
      <c r="AL950" s="21">
        <f>_xll.qlInterestRateIndexValueDate(hiborindex,AK950)</f>
        <v>43902</v>
      </c>
      <c r="AM950" s="23">
        <f>_xll.qlIndexFixing(hiborindex,AK950)</f>
        <v>4.1331723768641082E-4</v>
      </c>
    </row>
    <row r="951" spans="37:39" x14ac:dyDescent="0.25">
      <c r="AK951" s="21">
        <f>_xll.qlCalendarAdvance(calendar,AK950,"1D")</f>
        <v>43901</v>
      </c>
      <c r="AL951" s="21">
        <f>_xll.qlInterestRateIndexValueDate(hiborindex,AK951)</f>
        <v>43903</v>
      </c>
      <c r="AM951" s="23">
        <f>_xll.qlIndexFixing(hiborindex,AK951)</f>
        <v>4.1707735346953139E-4</v>
      </c>
    </row>
    <row r="952" spans="37:39" x14ac:dyDescent="0.25">
      <c r="AK952" s="21">
        <f>_xll.qlCalendarAdvance(calendar,AK951,"1D")</f>
        <v>43902</v>
      </c>
      <c r="AL952" s="21">
        <f>_xll.qlInterestRateIndexValueDate(hiborindex,AK952)</f>
        <v>43906</v>
      </c>
      <c r="AM952" s="23">
        <f>_xll.qlIndexFixing(hiborindex,AK952)</f>
        <v>4.3903852163839225E-4</v>
      </c>
    </row>
    <row r="953" spans="37:39" x14ac:dyDescent="0.25">
      <c r="AK953" s="21">
        <f>_xll.qlCalendarAdvance(calendar,AK952,"1D")</f>
        <v>43903</v>
      </c>
      <c r="AL953" s="21">
        <f>_xll.qlInterestRateIndexValueDate(hiborindex,AK953)</f>
        <v>43907</v>
      </c>
      <c r="AM953" s="23">
        <f>_xll.qlIndexFixing(hiborindex,AK953)</f>
        <v>4.4813740566592179E-4</v>
      </c>
    </row>
    <row r="954" spans="37:39" x14ac:dyDescent="0.25">
      <c r="AK954" s="21">
        <f>_xll.qlCalendarAdvance(calendar,AK953,"1D")</f>
        <v>43906</v>
      </c>
      <c r="AL954" s="21">
        <f>_xll.qlInterestRateIndexValueDate(hiborindex,AK954)</f>
        <v>43908</v>
      </c>
      <c r="AM954" s="23">
        <f>_xll.qlIndexFixing(hiborindex,AK954)</f>
        <v>4.5724488252424611E-4</v>
      </c>
    </row>
    <row r="955" spans="37:39" x14ac:dyDescent="0.25">
      <c r="AK955" s="21">
        <f>_xll.qlCalendarAdvance(calendar,AK954,"1D")</f>
        <v>43907</v>
      </c>
      <c r="AL955" s="21">
        <f>_xll.qlInterestRateIndexValueDate(hiborindex,AK955)</f>
        <v>43909</v>
      </c>
      <c r="AM955" s="23">
        <f>_xll.qlIndexFixing(hiborindex,AK955)</f>
        <v>4.7654753266394617E-4</v>
      </c>
    </row>
    <row r="956" spans="37:39" x14ac:dyDescent="0.25">
      <c r="AK956" s="21">
        <f>_xll.qlCalendarAdvance(calendar,AK955,"1D")</f>
        <v>43908</v>
      </c>
      <c r="AL956" s="21">
        <f>_xll.qlInterestRateIndexValueDate(hiborindex,AK956)</f>
        <v>43910</v>
      </c>
      <c r="AM956" s="23">
        <f>_xll.qlIndexFixing(hiborindex,AK956)</f>
        <v>4.8056726012223841E-4</v>
      </c>
    </row>
    <row r="957" spans="37:39" x14ac:dyDescent="0.25">
      <c r="AK957" s="21">
        <f>_xll.qlCalendarAdvance(calendar,AK956,"1D")</f>
        <v>43909</v>
      </c>
      <c r="AL957" s="21">
        <f>_xll.qlInterestRateIndexValueDate(hiborindex,AK957)</f>
        <v>43913</v>
      </c>
      <c r="AM957" s="23">
        <f>_xll.qlIndexFixing(hiborindex,AK957)</f>
        <v>5.0291116346357079E-4</v>
      </c>
    </row>
    <row r="958" spans="37:39" x14ac:dyDescent="0.25">
      <c r="AK958" s="21">
        <f>_xll.qlCalendarAdvance(calendar,AK957,"1D")</f>
        <v>43910</v>
      </c>
      <c r="AL958" s="21">
        <f>_xll.qlInterestRateIndexValueDate(hiborindex,AK958)</f>
        <v>43914</v>
      </c>
      <c r="AM958" s="23">
        <f>_xll.qlIndexFixing(hiborindex,AK958)</f>
        <v>5.1207019982117393E-4</v>
      </c>
    </row>
    <row r="959" spans="37:39" x14ac:dyDescent="0.25">
      <c r="AK959" s="21">
        <f>_xll.qlCalendarAdvance(calendar,AK958,"1D")</f>
        <v>43913</v>
      </c>
      <c r="AL959" s="21">
        <f>_xll.qlInterestRateIndexValueDate(hiborindex,AK959)</f>
        <v>43915</v>
      </c>
      <c r="AM959" s="23">
        <f>_xll.qlIndexFixing(hiborindex,AK959)</f>
        <v>5.2123782984803135E-4</v>
      </c>
    </row>
    <row r="960" spans="37:39" x14ac:dyDescent="0.25">
      <c r="AK960" s="21">
        <f>_xll.qlCalendarAdvance(calendar,AK959,"1D")</f>
        <v>43914</v>
      </c>
      <c r="AL960" s="21">
        <f>_xll.qlInterestRateIndexValueDate(hiborindex,AK960)</f>
        <v>43916</v>
      </c>
      <c r="AM960" s="23">
        <f>_xll.qlIndexFixing(hiborindex,AK960)</f>
        <v>5.4019438226453461E-4</v>
      </c>
    </row>
    <row r="961" spans="37:39" x14ac:dyDescent="0.25">
      <c r="AK961" s="21">
        <f>_xll.qlCalendarAdvance(calendar,AK960,"1D")</f>
        <v>43915</v>
      </c>
      <c r="AL961" s="21">
        <f>_xll.qlInterestRateIndexValueDate(hiborindex,AK961)</f>
        <v>43917</v>
      </c>
      <c r="AM961" s="23">
        <f>_xll.qlIndexFixing(hiborindex,AK961)</f>
        <v>5.4447596796975014E-4</v>
      </c>
    </row>
    <row r="962" spans="37:39" x14ac:dyDescent="0.25">
      <c r="AK962" s="21">
        <f>_xll.qlCalendarAdvance(calendar,AK961,"1D")</f>
        <v>43916</v>
      </c>
      <c r="AL962" s="21">
        <f>_xll.qlInterestRateIndexValueDate(hiborindex,AK962)</f>
        <v>43920</v>
      </c>
      <c r="AM962" s="23">
        <f>_xll.qlIndexFixing(hiborindex,AK962)</f>
        <v>5.6720488924949281E-4</v>
      </c>
    </row>
    <row r="963" spans="37:39" x14ac:dyDescent="0.25">
      <c r="AK963" s="21">
        <f>_xll.qlCalendarAdvance(calendar,AK962,"1D")</f>
        <v>43917</v>
      </c>
      <c r="AL963" s="21">
        <f>_xll.qlInterestRateIndexValueDate(hiborindex,AK963)</f>
        <v>43921</v>
      </c>
      <c r="AM963" s="23">
        <f>_xll.qlIndexFixing(hiborindex,AK963)</f>
        <v>5.7163338105812353E-4</v>
      </c>
    </row>
    <row r="964" spans="37:39" x14ac:dyDescent="0.25">
      <c r="AK964" s="21">
        <f>_xll.qlCalendarAdvance(calendar,AK963,"1D")</f>
        <v>43920</v>
      </c>
      <c r="AL964" s="21">
        <f>_xll.qlInterestRateIndexValueDate(hiborindex,AK964)</f>
        <v>43922</v>
      </c>
      <c r="AM964" s="23">
        <f>_xll.qlIndexFixing(hiborindex,AK964)</f>
        <v>5.8089108484158606E-4</v>
      </c>
    </row>
    <row r="965" spans="37:39" x14ac:dyDescent="0.25">
      <c r="AK965" s="21">
        <f>_xll.qlCalendarAdvance(calendar,AK964,"1D")</f>
        <v>43921</v>
      </c>
      <c r="AL965" s="21">
        <f>_xll.qlInterestRateIndexValueDate(hiborindex,AK965)</f>
        <v>43923</v>
      </c>
      <c r="AM965" s="23">
        <f>_xll.qlIndexFixing(hiborindex,AK965)</f>
        <v>5.901574299981301E-4</v>
      </c>
    </row>
    <row r="966" spans="37:39" x14ac:dyDescent="0.25">
      <c r="AK966" s="21">
        <f>_xll.qlCalendarAdvance(calendar,AK965,"1D")</f>
        <v>43922</v>
      </c>
      <c r="AL966" s="21">
        <f>_xll.qlInterestRateIndexValueDate(hiborindex,AK966)</f>
        <v>43924</v>
      </c>
      <c r="AM966" s="23">
        <f>_xll.qlIndexFixing(hiborindex,AK966)</f>
        <v>6.0880351812901429E-4</v>
      </c>
    </row>
    <row r="967" spans="37:39" x14ac:dyDescent="0.25">
      <c r="AK967" s="21">
        <f>_xll.qlCalendarAdvance(calendar,AK966,"1D")</f>
        <v>43923</v>
      </c>
      <c r="AL967" s="21">
        <f>_xll.qlInterestRateIndexValueDate(hiborindex,AK967)</f>
        <v>43927</v>
      </c>
      <c r="AM967" s="23">
        <f>_xll.qlIndexFixing(hiborindex,AK967)</f>
        <v>6.2730922679513762E-4</v>
      </c>
    </row>
    <row r="968" spans="37:39" x14ac:dyDescent="0.25">
      <c r="AK968" s="21">
        <f>_xll.qlCalendarAdvance(calendar,AK967,"1D")</f>
        <v>43924</v>
      </c>
      <c r="AL968" s="21">
        <f>_xll.qlInterestRateIndexValueDate(hiborindex,AK968)</f>
        <v>43928</v>
      </c>
      <c r="AM968" s="23">
        <f>_xll.qlIndexFixing(hiborindex,AK968)</f>
        <v>6.3661878064644596E-4</v>
      </c>
    </row>
    <row r="969" spans="37:39" x14ac:dyDescent="0.25">
      <c r="AK969" s="21">
        <f>_xll.qlCalendarAdvance(calendar,AK968,"1D")</f>
        <v>43927</v>
      </c>
      <c r="AL969" s="21">
        <f>_xll.qlInterestRateIndexValueDate(hiborindex,AK969)</f>
        <v>43929</v>
      </c>
      <c r="AM969" s="23">
        <f>_xll.qlIndexFixing(hiborindex,AK969)</f>
        <v>6.4593697660336464E-4</v>
      </c>
    </row>
    <row r="970" spans="37:39" x14ac:dyDescent="0.25">
      <c r="AK970" s="21">
        <f>_xll.qlCalendarAdvance(calendar,AK969,"1D")</f>
        <v>43928</v>
      </c>
      <c r="AL970" s="21">
        <f>_xll.qlInterestRateIndexValueDate(hiborindex,AK970)</f>
        <v>43930</v>
      </c>
      <c r="AM970" s="23">
        <f>_xll.qlIndexFixing(hiborindex,AK970)</f>
        <v>6.5526381478732659E-4</v>
      </c>
    </row>
    <row r="971" spans="37:39" x14ac:dyDescent="0.25">
      <c r="AK971" s="21">
        <f>_xll.qlCalendarAdvance(calendar,AK970,"1D")</f>
        <v>43929</v>
      </c>
      <c r="AL971" s="21">
        <f>_xll.qlInterestRateIndexValueDate(hiborindex,AK971)</f>
        <v>43935</v>
      </c>
      <c r="AM971" s="23">
        <f>_xll.qlIndexFixing(hiborindex,AK971)</f>
        <v>7.0202764340967659E-4</v>
      </c>
    </row>
    <row r="972" spans="37:39" x14ac:dyDescent="0.25">
      <c r="AK972" s="21">
        <f>_xll.qlCalendarAdvance(calendar,AK971,"1D")</f>
        <v>43930</v>
      </c>
      <c r="AL972" s="21">
        <f>_xll.qlInterestRateIndexValueDate(hiborindex,AK972)</f>
        <v>43936</v>
      </c>
      <c r="AM972" s="23">
        <f>_xll.qlIndexFixing(hiborindex,AK972)</f>
        <v>7.114063375343821E-4</v>
      </c>
    </row>
    <row r="973" spans="37:39" x14ac:dyDescent="0.25">
      <c r="AK973" s="21">
        <f>_xll.qlCalendarAdvance(calendar,AK972,"1D")</f>
        <v>43935</v>
      </c>
      <c r="AL973" s="21">
        <f>_xll.qlInterestRateIndexValueDate(hiborindex,AK973)</f>
        <v>43937</v>
      </c>
      <c r="AM973" s="23">
        <f>_xll.qlIndexFixing(hiborindex,AK973)</f>
        <v>7.2079367474577126E-4</v>
      </c>
    </row>
    <row r="974" spans="37:39" x14ac:dyDescent="0.25">
      <c r="AK974" s="21">
        <f>_xll.qlCalendarAdvance(calendar,AK973,"1D")</f>
        <v>43936</v>
      </c>
      <c r="AL974" s="21">
        <f>_xll.qlInterestRateIndexValueDate(hiborindex,AK974)</f>
        <v>43938</v>
      </c>
      <c r="AM974" s="23">
        <f>_xll.qlIndexFixing(hiborindex,AK974)</f>
        <v>7.3871531119870139E-4</v>
      </c>
    </row>
    <row r="975" spans="37:39" x14ac:dyDescent="0.25">
      <c r="AK975" s="21">
        <f>_xll.qlCalendarAdvance(calendar,AK974,"1D")</f>
        <v>43937</v>
      </c>
      <c r="AL975" s="21">
        <f>_xll.qlInterestRateIndexValueDate(hiborindex,AK975)</f>
        <v>43941</v>
      </c>
      <c r="AM975" s="23">
        <f>_xll.qlIndexFixing(hiborindex,AK975)</f>
        <v>7.5842945693137568E-4</v>
      </c>
    </row>
    <row r="976" spans="37:39" x14ac:dyDescent="0.25">
      <c r="AK976" s="21">
        <f>_xll.qlCalendarAdvance(calendar,AK975,"1D")</f>
        <v>43938</v>
      </c>
      <c r="AL976" s="21">
        <f>_xll.qlInterestRateIndexValueDate(hiborindex,AK976)</f>
        <v>43942</v>
      </c>
      <c r="AM976" s="23">
        <f>_xll.qlIndexFixing(hiborindex,AK976)</f>
        <v>7.6786001142999994E-4</v>
      </c>
    </row>
    <row r="977" spans="37:39" x14ac:dyDescent="0.25">
      <c r="AK977" s="21">
        <f>_xll.qlCalendarAdvance(calendar,AK976,"1D")</f>
        <v>43941</v>
      </c>
      <c r="AL977" s="21">
        <f>_xll.qlInterestRateIndexValueDate(hiborindex,AK977)</f>
        <v>43943</v>
      </c>
      <c r="AM977" s="23">
        <f>_xll.qlIndexFixing(hiborindex,AK977)</f>
        <v>7.7729920975700957E-4</v>
      </c>
    </row>
    <row r="978" spans="37:39" x14ac:dyDescent="0.25">
      <c r="AK978" s="21">
        <f>_xll.qlCalendarAdvance(calendar,AK977,"1D")</f>
        <v>43942</v>
      </c>
      <c r="AL978" s="21">
        <f>_xll.qlInterestRateIndexValueDate(hiborindex,AK978)</f>
        <v>43944</v>
      </c>
      <c r="AM978" s="23">
        <f>_xll.qlIndexFixing(hiborindex,AK978)</f>
        <v>7.8674705203645823E-4</v>
      </c>
    </row>
    <row r="979" spans="37:39" x14ac:dyDescent="0.25">
      <c r="AK979" s="21">
        <f>_xll.qlCalendarAdvance(calendar,AK978,"1D")</f>
        <v>43943</v>
      </c>
      <c r="AL979" s="21">
        <f>_xll.qlInterestRateIndexValueDate(hiborindex,AK979)</f>
        <v>43945</v>
      </c>
      <c r="AM979" s="23">
        <f>_xll.qlIndexFixing(hiborindex,AK979)</f>
        <v>8.0429963769372299E-4</v>
      </c>
    </row>
    <row r="980" spans="37:39" x14ac:dyDescent="0.25">
      <c r="AK980" s="21">
        <f>_xll.qlCalendarAdvance(calendar,AK979,"1D")</f>
        <v>43944</v>
      </c>
      <c r="AL980" s="21">
        <f>_xll.qlInterestRateIndexValueDate(hiborindex,AK980)</f>
        <v>43948</v>
      </c>
      <c r="AM980" s="23">
        <f>_xll.qlIndexFixing(hiborindex,AK980)</f>
        <v>8.2462486316015602E-4</v>
      </c>
    </row>
    <row r="981" spans="37:39" x14ac:dyDescent="0.25">
      <c r="AK981" s="21">
        <f>_xll.qlCalendarAdvance(calendar,AK980,"1D")</f>
        <v>43945</v>
      </c>
      <c r="AL981" s="21">
        <f>_xll.qlInterestRateIndexValueDate(hiborindex,AK981)</f>
        <v>43949</v>
      </c>
      <c r="AM981" s="23">
        <f>_xll.qlIndexFixing(hiborindex,AK981)</f>
        <v>8.3411592706391703E-4</v>
      </c>
    </row>
    <row r="982" spans="37:39" x14ac:dyDescent="0.25">
      <c r="AK982" s="21">
        <f>_xll.qlCalendarAdvance(calendar,AK981,"1D")</f>
        <v>43948</v>
      </c>
      <c r="AL982" s="21">
        <f>_xll.qlInterestRateIndexValueDate(hiborindex,AK982)</f>
        <v>43950</v>
      </c>
      <c r="AM982" s="23">
        <f>_xll.qlIndexFixing(hiborindex,AK982)</f>
        <v>8.4361563566662386E-4</v>
      </c>
    </row>
    <row r="983" spans="37:39" x14ac:dyDescent="0.25">
      <c r="AK983" s="21">
        <f>_xll.qlCalendarAdvance(calendar,AK982,"1D")</f>
        <v>43949</v>
      </c>
      <c r="AL983" s="21">
        <f>_xll.qlInterestRateIndexValueDate(hiborindex,AK983)</f>
        <v>43951</v>
      </c>
      <c r="AM983" s="23">
        <f>_xll.qlIndexFixing(hiborindex,AK983)</f>
        <v>8.5312398909233019E-4</v>
      </c>
    </row>
    <row r="984" spans="37:39" x14ac:dyDescent="0.25">
      <c r="AK984" s="21">
        <f>_xll.qlCalendarAdvance(calendar,AK983,"1D")</f>
        <v>43950</v>
      </c>
      <c r="AL984" s="21">
        <f>_xll.qlInterestRateIndexValueDate(hiborindex,AK984)</f>
        <v>43955</v>
      </c>
      <c r="AM984" s="23">
        <f>_xll.qlIndexFixing(hiborindex,AK984)</f>
        <v>8.9499123482241481E-4</v>
      </c>
    </row>
    <row r="985" spans="37:39" x14ac:dyDescent="0.25">
      <c r="AK985" s="21">
        <f>_xll.qlCalendarAdvance(calendar,AK984,"1D")</f>
        <v>43951</v>
      </c>
      <c r="AL985" s="21">
        <f>_xll.qlInterestRateIndexValueDate(hiborindex,AK985)</f>
        <v>43956</v>
      </c>
      <c r="AM985" s="23">
        <f>_xll.qlIndexFixing(hiborindex,AK985)</f>
        <v>9.0451131025647913E-4</v>
      </c>
    </row>
    <row r="986" spans="37:39" x14ac:dyDescent="0.25">
      <c r="AK986" s="21">
        <f>_xll.qlCalendarAdvance(calendar,AK985,"1D")</f>
        <v>43955</v>
      </c>
      <c r="AL986" s="21">
        <f>_xll.qlInterestRateIndexValueDate(hiborindex,AK986)</f>
        <v>43957</v>
      </c>
      <c r="AM986" s="23">
        <f>_xll.qlIndexFixing(hiborindex,AK986)</f>
        <v>9.1403998451306705E-4</v>
      </c>
    </row>
    <row r="987" spans="37:39" x14ac:dyDescent="0.25">
      <c r="AK987" s="21">
        <f>_xll.qlCalendarAdvance(calendar,AK986,"1D")</f>
        <v>43956</v>
      </c>
      <c r="AL987" s="21">
        <f>_xll.qlInterestRateIndexValueDate(hiborindex,AK987)</f>
        <v>43958</v>
      </c>
      <c r="AM987" s="23">
        <f>_xll.qlIndexFixing(hiborindex,AK987)</f>
        <v>9.3082543886714036E-4</v>
      </c>
    </row>
    <row r="988" spans="37:39" x14ac:dyDescent="0.25">
      <c r="AK988" s="21">
        <f>_xll.qlCalendarAdvance(calendar,AK987,"1D")</f>
        <v>43957</v>
      </c>
      <c r="AL988" s="21">
        <f>_xll.qlInterestRateIndexValueDate(hiborindex,AK988)</f>
        <v>43959</v>
      </c>
      <c r="AM988" s="23">
        <f>_xll.qlIndexFixing(hiborindex,AK988)</f>
        <v>9.3672536159383464E-4</v>
      </c>
    </row>
    <row r="989" spans="37:39" x14ac:dyDescent="0.25">
      <c r="AK989" s="21">
        <f>_xll.qlCalendarAdvance(calendar,AK988,"1D")</f>
        <v>43958</v>
      </c>
      <c r="AL989" s="21">
        <f>_xll.qlInterestRateIndexValueDate(hiborindex,AK989)</f>
        <v>43962</v>
      </c>
      <c r="AM989" s="23">
        <f>_xll.qlIndexFixing(hiborindex,AK989)</f>
        <v>9.6181234252426171E-4</v>
      </c>
    </row>
    <row r="990" spans="37:39" x14ac:dyDescent="0.25">
      <c r="AK990" s="21">
        <f>_xll.qlCalendarAdvance(calendar,AK989,"1D")</f>
        <v>43959</v>
      </c>
      <c r="AL990" s="21">
        <f>_xll.qlInterestRateIndexValueDate(hiborindex,AK990)</f>
        <v>43963</v>
      </c>
      <c r="AM990" s="23">
        <f>_xll.qlIndexFixing(hiborindex,AK990)</f>
        <v>9.7139261234997114E-4</v>
      </c>
    </row>
    <row r="991" spans="37:39" x14ac:dyDescent="0.25">
      <c r="AK991" s="21">
        <f>_xll.qlCalendarAdvance(calendar,AK990,"1D")</f>
        <v>43962</v>
      </c>
      <c r="AL991" s="21">
        <f>_xll.qlInterestRateIndexValueDate(hiborindex,AK991)</f>
        <v>43964</v>
      </c>
      <c r="AM991" s="23">
        <f>_xll.qlIndexFixing(hiborindex,AK991)</f>
        <v>9.8098148187750092E-4</v>
      </c>
    </row>
    <row r="992" spans="37:39" x14ac:dyDescent="0.25">
      <c r="AK992" s="21">
        <f>_xll.qlCalendarAdvance(calendar,AK991,"1D")</f>
        <v>43963</v>
      </c>
      <c r="AL992" s="21">
        <f>_xll.qlInterestRateIndexValueDate(hiborindex,AK992)</f>
        <v>43965</v>
      </c>
      <c r="AM992" s="23">
        <f>_xll.qlIndexFixing(hiborindex,AK992)</f>
        <v>9.9738933243453585E-4</v>
      </c>
    </row>
    <row r="993" spans="37:39" x14ac:dyDescent="0.25">
      <c r="AK993" s="21">
        <f>_xll.qlCalendarAdvance(calendar,AK992,"1D")</f>
        <v>43964</v>
      </c>
      <c r="AL993" s="21">
        <f>_xll.qlInterestRateIndexValueDate(hiborindex,AK993)</f>
        <v>43966</v>
      </c>
      <c r="AM993" s="23">
        <f>_xll.qlIndexFixing(hiborindex,AK993)</f>
        <v>1.0035668442055772E-3</v>
      </c>
    </row>
    <row r="994" spans="37:39" x14ac:dyDescent="0.25">
      <c r="AK994" s="21">
        <f>_xll.qlCalendarAdvance(calendar,AK993,"1D")</f>
        <v>43965</v>
      </c>
      <c r="AL994" s="21">
        <f>_xll.qlInterestRateIndexValueDate(hiborindex,AK994)</f>
        <v>43969</v>
      </c>
      <c r="AM994" s="23">
        <f>_xll.qlIndexFixing(hiborindex,AK994)</f>
        <v>1.0290548294432801E-3</v>
      </c>
    </row>
    <row r="995" spans="37:39" x14ac:dyDescent="0.25">
      <c r="AK995" s="21">
        <f>_xll.qlCalendarAdvance(calendar,AK994,"1D")</f>
        <v>43966</v>
      </c>
      <c r="AL995" s="21">
        <f>_xll.qlInterestRateIndexValueDate(hiborindex,AK995)</f>
        <v>43970</v>
      </c>
      <c r="AM995" s="23">
        <f>_xll.qlIndexFixing(hiborindex,AK995)</f>
        <v>1.0386952998261375E-3</v>
      </c>
    </row>
    <row r="996" spans="37:39" x14ac:dyDescent="0.25">
      <c r="AK996" s="21">
        <f>_xll.qlCalendarAdvance(calendar,AK995,"1D")</f>
        <v>43969</v>
      </c>
      <c r="AL996" s="21">
        <f>_xll.qlInterestRateIndexValueDate(hiborindex,AK996)</f>
        <v>43971</v>
      </c>
      <c r="AM996" s="23">
        <f>_xll.qlIndexFixing(hiborindex,AK996)</f>
        <v>1.0483443707940217E-3</v>
      </c>
    </row>
    <row r="997" spans="37:39" x14ac:dyDescent="0.25">
      <c r="AK997" s="21">
        <f>_xll.qlCalendarAdvance(calendar,AK996,"1D")</f>
        <v>43970</v>
      </c>
      <c r="AL997" s="21">
        <f>_xll.qlInterestRateIndexValueDate(hiborindex,AK997)</f>
        <v>43972</v>
      </c>
      <c r="AM997" s="23">
        <f>_xll.qlIndexFixing(hiborindex,AK997)</f>
        <v>1.0643701157405756E-3</v>
      </c>
    </row>
    <row r="998" spans="37:39" x14ac:dyDescent="0.25">
      <c r="AK998" s="21">
        <f>_xll.qlCalendarAdvance(calendar,AK997,"1D")</f>
        <v>43971</v>
      </c>
      <c r="AL998" s="21">
        <f>_xll.qlInterestRateIndexValueDate(hiborindex,AK998)</f>
        <v>43973</v>
      </c>
      <c r="AM998" s="23">
        <f>_xll.qlIndexFixing(hiborindex,AK998)</f>
        <v>1.0708274645152742E-3</v>
      </c>
    </row>
    <row r="999" spans="37:39" x14ac:dyDescent="0.25">
      <c r="AK999" s="21">
        <f>_xll.qlCalendarAdvance(calendar,AK998,"1D")</f>
        <v>43972</v>
      </c>
      <c r="AL999" s="21">
        <f>_xll.qlInterestRateIndexValueDate(hiborindex,AK999)</f>
        <v>43976</v>
      </c>
      <c r="AM999" s="23">
        <f>_xll.qlIndexFixing(hiborindex,AK999)</f>
        <v>1.0967187388474678E-3</v>
      </c>
    </row>
    <row r="1000" spans="37:39" x14ac:dyDescent="0.25">
      <c r="AK1000" s="21">
        <f>_xll.qlCalendarAdvance(calendar,AK999,"1D")</f>
        <v>43973</v>
      </c>
      <c r="AL1000" s="21">
        <f>_xll.qlInterestRateIndexValueDate(hiborindex,AK1000)</f>
        <v>43977</v>
      </c>
      <c r="AM1000" s="23">
        <f>_xll.qlIndexFixing(hiborindex,AK1000)</f>
        <v>1.1064194159903374E-3</v>
      </c>
    </row>
    <row r="1001" spans="37:39" x14ac:dyDescent="0.25">
      <c r="AK1001" s="21">
        <f>_xll.qlCalendarAdvance(calendar,AK1000,"1D")</f>
        <v>43976</v>
      </c>
      <c r="AL1001" s="21">
        <f>_xll.qlInterestRateIndexValueDate(hiborindex,AK1001)</f>
        <v>43978</v>
      </c>
      <c r="AM1001" s="23">
        <f>_xll.qlIndexFixing(hiborindex,AK1001)</f>
        <v>1.116128694607957E-3</v>
      </c>
    </row>
    <row r="1002" spans="37:39" x14ac:dyDescent="0.25">
      <c r="AK1002" s="21">
        <f>_xll.qlCalendarAdvance(calendar,AK1001,"1D")</f>
        <v>43977</v>
      </c>
      <c r="AL1002" s="21">
        <f>_xll.qlInterestRateIndexValueDate(hiborindex,AK1002)</f>
        <v>43979</v>
      </c>
      <c r="AM1002" s="23">
        <f>_xll.qlIndexFixing(hiborindex,AK1002)</f>
        <v>1.1317678318858364E-3</v>
      </c>
    </row>
    <row r="1003" spans="37:39" x14ac:dyDescent="0.25">
      <c r="AK1003" s="21">
        <f>_xll.qlCalendarAdvance(calendar,AK1002,"1D")</f>
        <v>43978</v>
      </c>
      <c r="AL1003" s="21">
        <f>_xll.qlInterestRateIndexValueDate(hiborindex,AK1003)</f>
        <v>43980</v>
      </c>
      <c r="AM1003" s="23">
        <f>_xll.qlIndexFixing(hiborindex,AK1003)</f>
        <v>1.1385072658033318E-3</v>
      </c>
    </row>
    <row r="1004" spans="37:39" x14ac:dyDescent="0.25">
      <c r="AK1004" s="21">
        <f>_xll.qlCalendarAdvance(calendar,AK1003,"1D")</f>
        <v>43979</v>
      </c>
      <c r="AL1004" s="21">
        <f>_xll.qlInterestRateIndexValueDate(hiborindex,AK1004)</f>
        <v>43983</v>
      </c>
      <c r="AM1004" s="23">
        <f>_xll.qlIndexFixing(hiborindex,AK1004)</f>
        <v>1.1619565177500846E-3</v>
      </c>
    </row>
    <row r="1005" spans="37:39" x14ac:dyDescent="0.25">
      <c r="AK1005" s="21">
        <f>_xll.qlCalendarAdvance(calendar,AK1004,"1D")</f>
        <v>43980</v>
      </c>
      <c r="AL1005" s="21">
        <f>_xll.qlInterestRateIndexValueDate(hiborindex,AK1005)</f>
        <v>43984</v>
      </c>
      <c r="AM1005" s="23">
        <f>_xll.qlIndexFixing(hiborindex,AK1005)</f>
        <v>1.1717502210642084E-3</v>
      </c>
    </row>
    <row r="1006" spans="37:39" x14ac:dyDescent="0.25">
      <c r="AK1006" s="21">
        <f>_xll.qlCalendarAdvance(calendar,AK1005,"1D")</f>
        <v>43983</v>
      </c>
      <c r="AL1006" s="21">
        <f>_xll.qlInterestRateIndexValueDate(hiborindex,AK1006)</f>
        <v>43985</v>
      </c>
      <c r="AM1006" s="23">
        <f>_xll.qlIndexFixing(hiborindex,AK1006)</f>
        <v>1.18155257351089E-3</v>
      </c>
    </row>
    <row r="1007" spans="37:39" x14ac:dyDescent="0.25">
      <c r="AK1007" s="21">
        <f>_xll.qlCalendarAdvance(calendar,AK1006,"1D")</f>
        <v>43984</v>
      </c>
      <c r="AL1007" s="21">
        <f>_xll.qlInterestRateIndexValueDate(hiborindex,AK1007)</f>
        <v>43986</v>
      </c>
      <c r="AM1007" s="23">
        <f>_xll.qlIndexFixing(hiborindex,AK1007)</f>
        <v>1.191363575219425E-3</v>
      </c>
    </row>
    <row r="1008" spans="37:39" x14ac:dyDescent="0.25">
      <c r="AK1008" s="21">
        <f>_xll.qlCalendarAdvance(calendar,AK1007,"1D")</f>
        <v>43985</v>
      </c>
      <c r="AL1008" s="21">
        <f>_xll.qlInterestRateIndexValueDate(hiborindex,AK1008)</f>
        <v>43987</v>
      </c>
      <c r="AM1008" s="23">
        <f>_xll.qlIndexFixing(hiborindex,AK1008)</f>
        <v>1.2066062916197785E-3</v>
      </c>
    </row>
    <row r="1009" spans="37:39" x14ac:dyDescent="0.25">
      <c r="AK1009" s="21">
        <f>_xll.qlCalendarAdvance(calendar,AK1008,"1D")</f>
        <v>43986</v>
      </c>
      <c r="AL1009" s="21">
        <f>_xll.qlInterestRateIndexValueDate(hiborindex,AK1009)</f>
        <v>43990</v>
      </c>
      <c r="AM1009" s="23">
        <f>_xll.qlIndexFixing(hiborindex,AK1009)</f>
        <v>1.2306940772374754E-3</v>
      </c>
    </row>
    <row r="1010" spans="37:39" x14ac:dyDescent="0.25">
      <c r="AK1010" s="21">
        <f>_xll.qlCalendarAdvance(calendar,AK1009,"1D")</f>
        <v>43987</v>
      </c>
      <c r="AL1010" s="21">
        <f>_xll.qlInterestRateIndexValueDate(hiborindex,AK1010)</f>
        <v>43991</v>
      </c>
      <c r="AM1010" s="23">
        <f>_xll.qlIndexFixing(hiborindex,AK1010)</f>
        <v>1.2405483271846617E-3</v>
      </c>
    </row>
    <row r="1011" spans="37:39" x14ac:dyDescent="0.25">
      <c r="AK1011" s="21">
        <f>_xll.qlCalendarAdvance(calendar,AK1010,"1D")</f>
        <v>43990</v>
      </c>
      <c r="AL1011" s="21">
        <f>_xll.qlInterestRateIndexValueDate(hiborindex,AK1011)</f>
        <v>43992</v>
      </c>
      <c r="AM1011" s="23">
        <f>_xll.qlIndexFixing(hiborindex,AK1011)</f>
        <v>1.2504112271677268E-3</v>
      </c>
    </row>
    <row r="1012" spans="37:39" x14ac:dyDescent="0.25">
      <c r="AK1012" s="21">
        <f>_xll.qlCalendarAdvance(calendar,AK1011,"1D")</f>
        <v>43991</v>
      </c>
      <c r="AL1012" s="21">
        <f>_xll.qlInterestRateIndexValueDate(hiborindex,AK1012)</f>
        <v>43993</v>
      </c>
      <c r="AM1012" s="23">
        <f>_xll.qlIndexFixing(hiborindex,AK1012)</f>
        <v>1.2602827773150927E-3</v>
      </c>
    </row>
    <row r="1013" spans="37:39" x14ac:dyDescent="0.25">
      <c r="AK1013" s="21">
        <f>_xll.qlCalendarAdvance(calendar,AK1012,"1D")</f>
        <v>43992</v>
      </c>
      <c r="AL1013" s="21">
        <f>_xll.qlInterestRateIndexValueDate(hiborindex,AK1013)</f>
        <v>43994</v>
      </c>
      <c r="AM1013" s="23">
        <f>_xll.qlIndexFixing(hiborindex,AK1013)</f>
        <v>1.2751245857877216E-3</v>
      </c>
    </row>
    <row r="1014" spans="37:39" x14ac:dyDescent="0.25">
      <c r="AK1014" s="21">
        <f>_xll.qlCalendarAdvance(calendar,AK1013,"1D")</f>
        <v>43993</v>
      </c>
      <c r="AL1014" s="21">
        <f>_xll.qlInterestRateIndexValueDate(hiborindex,AK1014)</f>
        <v>43997</v>
      </c>
      <c r="AM1014" s="23">
        <f>_xll.qlIndexFixing(hiborindex,AK1014)</f>
        <v>1.299855482153129E-3</v>
      </c>
    </row>
    <row r="1015" spans="37:39" x14ac:dyDescent="0.25">
      <c r="AK1015" s="21">
        <f>_xll.qlCalendarAdvance(calendar,AK1014,"1D")</f>
        <v>43994</v>
      </c>
      <c r="AL1015" s="21">
        <f>_xll.qlInterestRateIndexValueDate(hiborindex,AK1015)</f>
        <v>43998</v>
      </c>
      <c r="AM1015" s="23">
        <f>_xll.qlIndexFixing(hiborindex,AK1015)</f>
        <v>1.3097702850732244E-3</v>
      </c>
    </row>
    <row r="1016" spans="37:39" x14ac:dyDescent="0.25">
      <c r="AK1016" s="21">
        <f>_xll.qlCalendarAdvance(calendar,AK1015,"1D")</f>
        <v>43997</v>
      </c>
      <c r="AL1016" s="21">
        <f>_xll.qlInterestRateIndexValueDate(hiborindex,AK1016)</f>
        <v>43999</v>
      </c>
      <c r="AM1016" s="23">
        <f>_xll.qlIndexFixing(hiborindex,AK1016)</f>
        <v>1.3196937389386351E-3</v>
      </c>
    </row>
    <row r="1017" spans="37:39" x14ac:dyDescent="0.25">
      <c r="AK1017" s="21">
        <f>_xll.qlCalendarAdvance(calendar,AK1016,"1D")</f>
        <v>43998</v>
      </c>
      <c r="AL1017" s="21">
        <f>_xll.qlInterestRateIndexValueDate(hiborindex,AK1017)</f>
        <v>44000</v>
      </c>
      <c r="AM1017" s="23">
        <f>_xll.qlIndexFixing(hiborindex,AK1017)</f>
        <v>1.3296258438786565E-3</v>
      </c>
    </row>
    <row r="1018" spans="37:39" x14ac:dyDescent="0.25">
      <c r="AK1018" s="21">
        <f>_xll.qlCalendarAdvance(calendar,AK1017,"1D")</f>
        <v>43999</v>
      </c>
      <c r="AL1018" s="21">
        <f>_xll.qlInterestRateIndexValueDate(hiborindex,AK1018)</f>
        <v>44001</v>
      </c>
      <c r="AM1018" s="23">
        <f>_xll.qlIndexFixing(hiborindex,AK1018)</f>
        <v>1.3440621923994586E-3</v>
      </c>
    </row>
    <row r="1019" spans="37:39" x14ac:dyDescent="0.25">
      <c r="AK1019" s="21">
        <f>_xll.qlCalendarAdvance(calendar,AK1018,"1D")</f>
        <v>44000</v>
      </c>
      <c r="AL1019" s="21">
        <f>_xll.qlInterestRateIndexValueDate(hiborindex,AK1019)</f>
        <v>44004</v>
      </c>
      <c r="AM1019" s="23">
        <f>_xll.qlIndexFixing(hiborindex,AK1019)</f>
        <v>1.3694407770013363E-3</v>
      </c>
    </row>
    <row r="1020" spans="37:39" x14ac:dyDescent="0.25">
      <c r="AK1020" s="21">
        <f>_xll.qlCalendarAdvance(calendar,AK1019,"1D")</f>
        <v>44001</v>
      </c>
      <c r="AL1020" s="21">
        <f>_xll.qlInterestRateIndexValueDate(hiborindex,AK1020)</f>
        <v>44005</v>
      </c>
      <c r="AM1020" s="23">
        <f>_xll.qlIndexFixing(hiborindex,AK1020)</f>
        <v>1.3794161392756844E-3</v>
      </c>
    </row>
    <row r="1021" spans="37:39" x14ac:dyDescent="0.25">
      <c r="AK1021" s="21">
        <f>_xll.qlCalendarAdvance(calendar,AK1020,"1D")</f>
        <v>44004</v>
      </c>
      <c r="AL1021" s="21">
        <f>_xll.qlInterestRateIndexValueDate(hiborindex,AK1021)</f>
        <v>44006</v>
      </c>
      <c r="AM1021" s="23">
        <f>_xll.qlIndexFixing(hiborindex,AK1021)</f>
        <v>1.3894001534095889E-3</v>
      </c>
    </row>
    <row r="1022" spans="37:39" x14ac:dyDescent="0.25">
      <c r="AK1022" s="21">
        <f>_xll.qlCalendarAdvance(calendar,AK1021,"1D")</f>
        <v>44005</v>
      </c>
      <c r="AL1022" s="21">
        <f>_xll.qlInterestRateIndexValueDate(hiborindex,AK1022)</f>
        <v>44007</v>
      </c>
      <c r="AM1022" s="23">
        <f>_xll.qlIndexFixing(hiborindex,AK1022)</f>
        <v>1.4055288962962072E-3</v>
      </c>
    </row>
    <row r="1023" spans="37:39" x14ac:dyDescent="0.25">
      <c r="AK1023" s="21">
        <f>_xll.qlCalendarAdvance(calendar,AK1022,"1D")</f>
        <v>44006</v>
      </c>
      <c r="AL1023" s="21">
        <f>_xll.qlInterestRateIndexValueDate(hiborindex,AK1023)</f>
        <v>44008</v>
      </c>
      <c r="AM1023" s="23">
        <f>_xll.qlIndexFixing(hiborindex,AK1023)</f>
        <v>1.4134191558182051E-3</v>
      </c>
    </row>
    <row r="1024" spans="37:39" x14ac:dyDescent="0.25">
      <c r="AK1024" s="21">
        <f>_xll.qlCalendarAdvance(calendar,AK1023,"1D")</f>
        <v>44007</v>
      </c>
      <c r="AL1024" s="21">
        <f>_xll.qlInterestRateIndexValueDate(hiborindex,AK1024)</f>
        <v>44011</v>
      </c>
      <c r="AM1024" s="23">
        <f>_xll.qlIndexFixing(hiborindex,AK1024)</f>
        <v>1.439450006563762E-3</v>
      </c>
    </row>
    <row r="1025" spans="37:39" x14ac:dyDescent="0.25">
      <c r="AK1025" s="21">
        <f>_xll.qlCalendarAdvance(calendar,AK1024,"1D")</f>
        <v>44008</v>
      </c>
      <c r="AL1025" s="21">
        <f>_xll.qlInterestRateIndexValueDate(hiborindex,AK1025)</f>
        <v>44012</v>
      </c>
      <c r="AM1025" s="23">
        <f>_xll.qlIndexFixing(hiborindex,AK1025)</f>
        <v>1.4513629619310852E-3</v>
      </c>
    </row>
    <row r="1026" spans="37:39" x14ac:dyDescent="0.25">
      <c r="AK1026" s="21">
        <f>_xll.qlCalendarAdvance(calendar,AK1025,"1D")</f>
        <v>44011</v>
      </c>
      <c r="AL1026" s="21">
        <f>_xll.qlInterestRateIndexValueDate(hiborindex,AK1026)</f>
        <v>44013</v>
      </c>
      <c r="AM1026" s="23">
        <f>_xll.qlIndexFixing(hiborindex,AK1026)</f>
        <v>1.4607424270725792E-3</v>
      </c>
    </row>
    <row r="1027" spans="37:39" x14ac:dyDescent="0.25">
      <c r="AK1027" s="21">
        <f>_xll.qlCalendarAdvance(calendar,AK1026,"1D")</f>
        <v>44012</v>
      </c>
      <c r="AL1027" s="21">
        <f>_xll.qlInterestRateIndexValueDate(hiborindex,AK1027)</f>
        <v>44014</v>
      </c>
      <c r="AM1027" s="23">
        <f>_xll.qlIndexFixing(hiborindex,AK1027)</f>
        <v>1.4626136001977084E-3</v>
      </c>
    </row>
    <row r="1028" spans="37:39" x14ac:dyDescent="0.25">
      <c r="AK1028" s="21">
        <f>_xll.qlCalendarAdvance(calendar,AK1027,"1D")</f>
        <v>44013</v>
      </c>
      <c r="AL1028" s="21">
        <f>_xll.qlInterestRateIndexValueDate(hiborindex,AK1028)</f>
        <v>44015</v>
      </c>
      <c r="AM1028" s="23">
        <f>_xll.qlIndexFixing(hiborindex,AK1028)</f>
        <v>1.4644847599215433E-3</v>
      </c>
    </row>
    <row r="1029" spans="37:39" x14ac:dyDescent="0.25">
      <c r="AK1029" s="21">
        <f>_xll.qlCalendarAdvance(calendar,AK1028,"1D")</f>
        <v>44014</v>
      </c>
      <c r="AL1029" s="21">
        <f>_xll.qlInterestRateIndexValueDate(hiborindex,AK1029)</f>
        <v>44018</v>
      </c>
      <c r="AM1029" s="23">
        <f>_xll.qlIndexFixing(hiborindex,AK1029)</f>
        <v>1.47385242140969E-3</v>
      </c>
    </row>
    <row r="1030" spans="37:39" x14ac:dyDescent="0.25">
      <c r="AK1030" s="21">
        <f>_xll.qlCalendarAdvance(calendar,AK1029,"1D")</f>
        <v>44015</v>
      </c>
      <c r="AL1030" s="21">
        <f>_xll.qlInterestRateIndexValueDate(hiborindex,AK1030)</f>
        <v>44019</v>
      </c>
      <c r="AM1030" s="23">
        <f>_xll.qlIndexFixing(hiborindex,AK1030)</f>
        <v>1.4776006897701654E-3</v>
      </c>
    </row>
    <row r="1031" spans="37:39" x14ac:dyDescent="0.25">
      <c r="AK1031" s="21">
        <f>_xll.qlCalendarAdvance(calendar,AK1030,"1D")</f>
        <v>44018</v>
      </c>
      <c r="AL1031" s="21">
        <f>_xll.qlInterestRateIndexValueDate(hiborindex,AK1031)</f>
        <v>44020</v>
      </c>
      <c r="AM1031" s="23">
        <f>_xll.qlIndexFixing(hiborindex,AK1031)</f>
        <v>1.4813489653057708E-3</v>
      </c>
    </row>
    <row r="1032" spans="37:39" x14ac:dyDescent="0.25">
      <c r="AK1032" s="21">
        <f>_xll.qlCalendarAdvance(calendar,AK1031,"1D")</f>
        <v>44019</v>
      </c>
      <c r="AL1032" s="21">
        <f>_xll.qlInterestRateIndexValueDate(hiborindex,AK1032)</f>
        <v>44021</v>
      </c>
      <c r="AM1032" s="23">
        <f>_xll.qlIndexFixing(hiborindex,AK1032)</f>
        <v>1.4888516937518951E-3</v>
      </c>
    </row>
    <row r="1033" spans="37:39" x14ac:dyDescent="0.25">
      <c r="AK1033" s="21">
        <f>_xll.qlCalendarAdvance(calendar,AK1032,"1D")</f>
        <v>44020</v>
      </c>
      <c r="AL1033" s="21">
        <f>_xll.qlInterestRateIndexValueDate(hiborindex,AK1033)</f>
        <v>44022</v>
      </c>
      <c r="AM1033" s="23">
        <f>_xll.qlIndexFixing(hiborindex,AK1033)</f>
        <v>1.490722771210813E-3</v>
      </c>
    </row>
    <row r="1034" spans="37:39" x14ac:dyDescent="0.25">
      <c r="AK1034" s="21">
        <f>_xll.qlCalendarAdvance(calendar,AK1033,"1D")</f>
        <v>44021</v>
      </c>
      <c r="AL1034" s="21">
        <f>_xll.qlInterestRateIndexValueDate(hiborindex,AK1034)</f>
        <v>44025</v>
      </c>
      <c r="AM1034" s="23">
        <f>_xll.qlIndexFixing(hiborindex,AK1034)</f>
        <v>1.5000904506177E-3</v>
      </c>
    </row>
    <row r="1035" spans="37:39" x14ac:dyDescent="0.25">
      <c r="AK1035" s="21">
        <f>_xll.qlCalendarAdvance(calendar,AK1034,"1D")</f>
        <v>44022</v>
      </c>
      <c r="AL1035" s="21">
        <f>_xll.qlInterestRateIndexValueDate(hiborindex,AK1035)</f>
        <v>44026</v>
      </c>
      <c r="AM1035" s="23">
        <f>_xll.qlIndexFixing(hiborindex,AK1035)</f>
        <v>1.5038387692066924E-3</v>
      </c>
    </row>
    <row r="1036" spans="37:39" x14ac:dyDescent="0.25">
      <c r="AK1036" s="21">
        <f>_xll.qlCalendarAdvance(calendar,AK1035,"1D")</f>
        <v>44025</v>
      </c>
      <c r="AL1036" s="21">
        <f>_xll.qlInterestRateIndexValueDate(hiborindex,AK1036)</f>
        <v>44027</v>
      </c>
      <c r="AM1036" s="23">
        <f>_xll.qlIndexFixing(hiborindex,AK1036)</f>
        <v>1.5075870949712495E-3</v>
      </c>
    </row>
    <row r="1037" spans="37:39" x14ac:dyDescent="0.25">
      <c r="AK1037" s="21">
        <f>_xll.qlCalendarAdvance(calendar,AK1036,"1D")</f>
        <v>44026</v>
      </c>
      <c r="AL1037" s="21">
        <f>_xll.qlInterestRateIndexValueDate(hiborindex,AK1037)</f>
        <v>44028</v>
      </c>
      <c r="AM1037" s="23">
        <f>_xll.qlIndexFixing(hiborindex,AK1037)</f>
        <v>1.5150901427292999E-3</v>
      </c>
    </row>
    <row r="1038" spans="37:39" x14ac:dyDescent="0.25">
      <c r="AK1038" s="21">
        <f>_xll.qlCalendarAdvance(calendar,AK1037,"1D")</f>
        <v>44027</v>
      </c>
      <c r="AL1038" s="21">
        <f>_xll.qlInterestRateIndexValueDate(hiborindex,AK1038)</f>
        <v>44029</v>
      </c>
      <c r="AM1038" s="23">
        <f>_xll.qlIndexFixing(hiborindex,AK1038)</f>
        <v>1.5169611360118969E-3</v>
      </c>
    </row>
    <row r="1039" spans="37:39" x14ac:dyDescent="0.25">
      <c r="AK1039" s="21">
        <f>_xll.qlCalendarAdvance(calendar,AK1038,"1D")</f>
        <v>44028</v>
      </c>
      <c r="AL1039" s="21">
        <f>_xll.qlInterestRateIndexValueDate(hiborindex,AK1039)</f>
        <v>44032</v>
      </c>
      <c r="AM1039" s="23">
        <f>_xll.qlIndexFixing(hiborindex,AK1039)</f>
        <v>1.5263288314275013E-3</v>
      </c>
    </row>
    <row r="1040" spans="37:39" x14ac:dyDescent="0.25">
      <c r="AK1040" s="21">
        <f>_xll.qlCalendarAdvance(calendar,AK1039,"1D")</f>
        <v>44029</v>
      </c>
      <c r="AL1040" s="21">
        <f>_xll.qlInterestRateIndexValueDate(hiborindex,AK1040)</f>
        <v>44033</v>
      </c>
      <c r="AM1040" s="23">
        <f>_xll.qlIndexFixing(hiborindex,AK1040)</f>
        <v>1.5300772002454451E-3</v>
      </c>
    </row>
    <row r="1041" spans="37:39" x14ac:dyDescent="0.25">
      <c r="AK1041" s="21">
        <f>_xll.qlCalendarAdvance(calendar,AK1040,"1D")</f>
        <v>44032</v>
      </c>
      <c r="AL1041" s="21">
        <f>_xll.qlInterestRateIndexValueDate(hiborindex,AK1041)</f>
        <v>44034</v>
      </c>
      <c r="AM1041" s="23">
        <f>_xll.qlIndexFixing(hiborindex,AK1041)</f>
        <v>1.5338255762389536E-3</v>
      </c>
    </row>
    <row r="1042" spans="37:39" x14ac:dyDescent="0.25">
      <c r="AK1042" s="21">
        <f>_xll.qlCalendarAdvance(calendar,AK1041,"1D")</f>
        <v>44033</v>
      </c>
      <c r="AL1042" s="21">
        <f>_xll.qlInterestRateIndexValueDate(hiborindex,AK1042)</f>
        <v>44035</v>
      </c>
      <c r="AM1042" s="23">
        <f>_xll.qlIndexFixing(hiborindex,AK1042)</f>
        <v>1.5413289471367985E-3</v>
      </c>
    </row>
    <row r="1043" spans="37:39" x14ac:dyDescent="0.25">
      <c r="AK1043" s="21">
        <f>_xll.qlCalendarAdvance(calendar,AK1042,"1D")</f>
        <v>44034</v>
      </c>
      <c r="AL1043" s="21">
        <f>_xll.qlInterestRateIndexValueDate(hiborindex,AK1043)</f>
        <v>44036</v>
      </c>
      <c r="AM1043" s="23">
        <f>_xll.qlIndexFixing(hiborindex,AK1043)</f>
        <v>1.5431998543299803E-3</v>
      </c>
    </row>
    <row r="1044" spans="37:39" x14ac:dyDescent="0.25">
      <c r="AK1044" s="21">
        <f>_xll.qlCalendarAdvance(calendar,AK1043,"1D")</f>
        <v>44035</v>
      </c>
      <c r="AL1044" s="21">
        <f>_xll.qlInterestRateIndexValueDate(hiborindex,AK1044)</f>
        <v>44039</v>
      </c>
      <c r="AM1044" s="23">
        <f>_xll.qlIndexFixing(hiborindex,AK1044)</f>
        <v>1.5525675638430037E-3</v>
      </c>
    </row>
    <row r="1045" spans="37:39" x14ac:dyDescent="0.25">
      <c r="AK1045" s="21">
        <f>_xll.qlCalendarAdvance(calendar,AK1044,"1D")</f>
        <v>44036</v>
      </c>
      <c r="AL1045" s="21">
        <f>_xll.qlInterestRateIndexValueDate(hiborindex,AK1045)</f>
        <v>44040</v>
      </c>
      <c r="AM1045" s="23">
        <f>_xll.qlIndexFixing(hiborindex,AK1045)</f>
        <v>1.5563159828912022E-3</v>
      </c>
    </row>
    <row r="1046" spans="37:39" x14ac:dyDescent="0.25">
      <c r="AK1046" s="21">
        <f>_xll.qlCalendarAdvance(calendar,AK1045,"1D")</f>
        <v>44039</v>
      </c>
      <c r="AL1046" s="21">
        <f>_xll.qlInterestRateIndexValueDate(hiborindex,AK1046)</f>
        <v>44041</v>
      </c>
      <c r="AM1046" s="23">
        <f>_xll.qlIndexFixing(hiborindex,AK1046)</f>
        <v>1.5600644091149653E-3</v>
      </c>
    </row>
    <row r="1047" spans="37:39" x14ac:dyDescent="0.25">
      <c r="AK1047" s="21">
        <f>_xll.qlCalendarAdvance(calendar,AK1046,"1D")</f>
        <v>44040</v>
      </c>
      <c r="AL1047" s="21">
        <f>_xll.qlInterestRateIndexValueDate(hiborindex,AK1047)</f>
        <v>44042</v>
      </c>
      <c r="AM1047" s="23">
        <f>_xll.qlIndexFixing(hiborindex,AK1047)</f>
        <v>1.5619352374178338E-3</v>
      </c>
    </row>
    <row r="1048" spans="37:39" x14ac:dyDescent="0.25">
      <c r="AK1048" s="21">
        <f>_xll.qlCalendarAdvance(calendar,AK1047,"1D")</f>
        <v>44041</v>
      </c>
      <c r="AL1048" s="21">
        <f>_xll.qlInterestRateIndexValueDate(hiborindex,AK1048)</f>
        <v>44043</v>
      </c>
      <c r="AM1048" s="23">
        <f>_xll.qlIndexFixing(hiborindex,AK1048)</f>
        <v>1.563806051258102E-3</v>
      </c>
    </row>
    <row r="1049" spans="37:39" x14ac:dyDescent="0.25">
      <c r="AK1049" s="21">
        <f>_xll.qlCalendarAdvance(calendar,AK1048,"1D")</f>
        <v>44042</v>
      </c>
      <c r="AL1049" s="21">
        <f>_xll.qlInterestRateIndexValueDate(hiborindex,AK1049)</f>
        <v>44046</v>
      </c>
      <c r="AM1049" s="23">
        <f>_xll.qlIndexFixing(hiborindex,AK1049)</f>
        <v>1.5788066478698546E-3</v>
      </c>
    </row>
    <row r="1050" spans="37:39" x14ac:dyDescent="0.25">
      <c r="AK1050" s="21">
        <f>_xll.qlCalendarAdvance(calendar,AK1049,"1D")</f>
        <v>44043</v>
      </c>
      <c r="AL1050" s="21">
        <f>_xll.qlInterestRateIndexValueDate(hiborindex,AK1050)</f>
        <v>44047</v>
      </c>
      <c r="AM1050" s="23">
        <f>_xll.qlIndexFixing(hiborindex,AK1050)</f>
        <v>1.5825551171487426E-3</v>
      </c>
    </row>
    <row r="1051" spans="37:39" x14ac:dyDescent="0.25">
      <c r="AK1051" s="21">
        <f>_xll.qlCalendarAdvance(calendar,AK1050,"1D")</f>
        <v>44046</v>
      </c>
      <c r="AL1051" s="21">
        <f>_xll.qlInterestRateIndexValueDate(hiborindex,AK1051)</f>
        <v>44048</v>
      </c>
      <c r="AM1051" s="23">
        <f>_xll.qlIndexFixing(hiborindex,AK1051)</f>
        <v>1.5863035936031947E-3</v>
      </c>
    </row>
    <row r="1052" spans="37:39" x14ac:dyDescent="0.25">
      <c r="AK1052" s="21">
        <f>_xll.qlCalendarAdvance(calendar,AK1051,"1D")</f>
        <v>44047</v>
      </c>
      <c r="AL1052" s="21">
        <f>_xll.qlInterestRateIndexValueDate(hiborindex,AK1052)</f>
        <v>44049</v>
      </c>
      <c r="AM1052" s="23">
        <f>_xll.qlIndexFixing(hiborindex,AK1052)</f>
        <v>1.5938076222566896E-3</v>
      </c>
    </row>
    <row r="1053" spans="37:39" x14ac:dyDescent="0.25">
      <c r="AK1053" s="21">
        <f>_xll.qlCalendarAdvance(calendar,AK1052,"1D")</f>
        <v>44048</v>
      </c>
      <c r="AL1053" s="21">
        <f>_xll.qlInterestRateIndexValueDate(hiborindex,AK1053)</f>
        <v>44050</v>
      </c>
      <c r="AM1053" s="23">
        <f>_xll.qlIndexFixing(hiborindex,AK1053)</f>
        <v>1.5956783515361575E-3</v>
      </c>
    </row>
    <row r="1054" spans="37:39" x14ac:dyDescent="0.25">
      <c r="AK1054" s="21">
        <f>_xll.qlCalendarAdvance(calendar,AK1053,"1D")</f>
        <v>44049</v>
      </c>
      <c r="AL1054" s="21">
        <f>_xll.qlInterestRateIndexValueDate(hiborindex,AK1054)</f>
        <v>44053</v>
      </c>
      <c r="AM1054" s="23">
        <f>_xll.qlIndexFixing(hiborindex,AK1054)</f>
        <v>1.605046083512399E-3</v>
      </c>
    </row>
    <row r="1055" spans="37:39" x14ac:dyDescent="0.25">
      <c r="AK1055" s="21">
        <f>_xll.qlCalendarAdvance(calendar,AK1054,"1D")</f>
        <v>44050</v>
      </c>
      <c r="AL1055" s="21">
        <f>_xll.qlInterestRateIndexValueDate(hiborindex,AK1055)</f>
        <v>44054</v>
      </c>
      <c r="AM1055" s="23">
        <f>_xll.qlIndexFixing(hiborindex,AK1055)</f>
        <v>1.6087946030224102E-3</v>
      </c>
    </row>
    <row r="1056" spans="37:39" x14ac:dyDescent="0.25">
      <c r="AK1056" s="21">
        <f>_xll.qlCalendarAdvance(calendar,AK1055,"1D")</f>
        <v>44053</v>
      </c>
      <c r="AL1056" s="21">
        <f>_xll.qlInterestRateIndexValueDate(hiborindex,AK1056)</f>
        <v>44055</v>
      </c>
      <c r="AM1056" s="23">
        <f>_xll.qlIndexFixing(hiborindex,AK1056)</f>
        <v>1.6125431297075517E-3</v>
      </c>
    </row>
    <row r="1057" spans="37:39" x14ac:dyDescent="0.25">
      <c r="AK1057" s="21">
        <f>_xll.qlCalendarAdvance(calendar,AK1056,"1D")</f>
        <v>44054</v>
      </c>
      <c r="AL1057" s="21">
        <f>_xll.qlInterestRateIndexValueDate(hiborindex,AK1057)</f>
        <v>44056</v>
      </c>
      <c r="AM1057" s="23">
        <f>_xll.qlIndexFixing(hiborindex,AK1057)</f>
        <v>1.6200474929789666E-3</v>
      </c>
    </row>
    <row r="1058" spans="37:39" x14ac:dyDescent="0.25">
      <c r="AK1058" s="21">
        <f>_xll.qlCalendarAdvance(calendar,AK1057,"1D")</f>
        <v>44055</v>
      </c>
      <c r="AL1058" s="21">
        <f>_xll.qlInterestRateIndexValueDate(hiborindex,AK1058)</f>
        <v>44057</v>
      </c>
      <c r="AM1058" s="23">
        <f>_xll.qlIndexFixing(hiborindex,AK1058)</f>
        <v>1.6219181304328928E-3</v>
      </c>
    </row>
    <row r="1059" spans="37:39" x14ac:dyDescent="0.25">
      <c r="AK1059" s="21">
        <f>_xll.qlCalendarAdvance(calendar,AK1058,"1D")</f>
        <v>44056</v>
      </c>
      <c r="AL1059" s="21">
        <f>_xll.qlInterestRateIndexValueDate(hiborindex,AK1059)</f>
        <v>44060</v>
      </c>
      <c r="AM1059" s="23">
        <f>_xll.qlIndexFixing(hiborindex,AK1059)</f>
        <v>1.6312858707749804E-3</v>
      </c>
    </row>
    <row r="1060" spans="37:39" x14ac:dyDescent="0.25">
      <c r="AK1060" s="21">
        <f>_xll.qlCalendarAdvance(calendar,AK1059,"1D")</f>
        <v>44057</v>
      </c>
      <c r="AL1060" s="21">
        <f>_xll.qlInterestRateIndexValueDate(hiborindex,AK1060)</f>
        <v>44061</v>
      </c>
      <c r="AM1060" s="23">
        <f>_xll.qlIndexFixing(hiborindex,AK1060)</f>
        <v>1.6350344405169843E-3</v>
      </c>
    </row>
    <row r="1061" spans="37:39" x14ac:dyDescent="0.25">
      <c r="AK1061" s="21">
        <f>_xll.qlCalendarAdvance(calendar,AK1060,"1D")</f>
        <v>44060</v>
      </c>
      <c r="AL1061" s="21">
        <f>_xll.qlInterestRateIndexValueDate(hiborindex,AK1061)</f>
        <v>44062</v>
      </c>
      <c r="AM1061" s="23">
        <f>_xll.qlIndexFixing(hiborindex,AK1061)</f>
        <v>1.6387830174341182E-3</v>
      </c>
    </row>
    <row r="1062" spans="37:39" x14ac:dyDescent="0.25">
      <c r="AK1062" s="21">
        <f>_xll.qlCalendarAdvance(calendar,AK1061,"1D")</f>
        <v>44061</v>
      </c>
      <c r="AL1062" s="21">
        <f>_xll.qlInterestRateIndexValueDate(hiborindex,AK1062)</f>
        <v>44063</v>
      </c>
      <c r="AM1062" s="23">
        <f>_xll.qlIndexFixing(hiborindex,AK1062)</f>
        <v>1.6462877191498174E-3</v>
      </c>
    </row>
    <row r="1063" spans="37:39" x14ac:dyDescent="0.25">
      <c r="AK1063" s="21">
        <f>_xll.qlCalendarAdvance(calendar,AK1062,"1D")</f>
        <v>44062</v>
      </c>
      <c r="AL1063" s="21">
        <f>_xll.qlInterestRateIndexValueDate(hiborindex,AK1063)</f>
        <v>44064</v>
      </c>
      <c r="AM1063" s="23">
        <f>_xll.qlIndexFixing(hiborindex,AK1063)</f>
        <v>1.6481582628660716E-3</v>
      </c>
    </row>
    <row r="1064" spans="37:39" x14ac:dyDescent="0.25">
      <c r="AK1064" s="21">
        <f>_xll.qlCalendarAdvance(calendar,AK1063,"1D")</f>
        <v>44063</v>
      </c>
      <c r="AL1064" s="21">
        <f>_xll.qlInterestRateIndexValueDate(hiborindex,AK1064)</f>
        <v>44067</v>
      </c>
      <c r="AM1064" s="23">
        <f>_xll.qlIndexFixing(hiborindex,AK1064)</f>
        <v>1.6575260096628127E-3</v>
      </c>
    </row>
    <row r="1065" spans="37:39" x14ac:dyDescent="0.25">
      <c r="AK1065" s="21">
        <f>_xll.qlCalendarAdvance(calendar,AK1064,"1D")</f>
        <v>44064</v>
      </c>
      <c r="AL1065" s="21">
        <f>_xll.qlInterestRateIndexValueDate(hiborindex,AK1065)</f>
        <v>44068</v>
      </c>
      <c r="AM1065" s="23">
        <f>_xll.qlIndexFixing(hiborindex,AK1065)</f>
        <v>1.6612746296372435E-3</v>
      </c>
    </row>
    <row r="1066" spans="37:39" x14ac:dyDescent="0.25">
      <c r="AK1066" s="21">
        <f>_xll.qlCalendarAdvance(calendar,AK1065,"1D")</f>
        <v>44067</v>
      </c>
      <c r="AL1066" s="21">
        <f>_xll.qlInterestRateIndexValueDate(hiborindex,AK1066)</f>
        <v>44069</v>
      </c>
      <c r="AM1066" s="23">
        <f>_xll.qlIndexFixing(hiborindex,AK1066)</f>
        <v>1.6650232567872387E-3</v>
      </c>
    </row>
    <row r="1067" spans="37:39" x14ac:dyDescent="0.25">
      <c r="AK1067" s="21">
        <f>_xll.qlCalendarAdvance(calendar,AK1066,"1D")</f>
        <v>44068</v>
      </c>
      <c r="AL1067" s="21">
        <f>_xll.qlInterestRateIndexValueDate(hiborindex,AK1067)</f>
        <v>44070</v>
      </c>
      <c r="AM1067" s="23">
        <f>_xll.qlIndexFixing(hiborindex,AK1067)</f>
        <v>1.66689371506074E-3</v>
      </c>
    </row>
    <row r="1068" spans="37:39" x14ac:dyDescent="0.25">
      <c r="AK1068" s="21">
        <f>_xll.qlCalendarAdvance(calendar,AK1067,"1D")</f>
        <v>44069</v>
      </c>
      <c r="AL1068" s="21">
        <f>_xll.qlInterestRateIndexValueDate(hiborindex,AK1068)</f>
        <v>44071</v>
      </c>
      <c r="AM1068" s="23">
        <f>_xll.qlIndexFixing(hiborindex,AK1068)</f>
        <v>1.6687641577814653E-3</v>
      </c>
    </row>
    <row r="1069" spans="37:39" x14ac:dyDescent="0.25">
      <c r="AK1069" s="21">
        <f>_xll.qlCalendarAdvance(calendar,AK1068,"1D")</f>
        <v>44070</v>
      </c>
      <c r="AL1069" s="21">
        <f>_xll.qlInterestRateIndexValueDate(hiborindex,AK1069)</f>
        <v>44074</v>
      </c>
      <c r="AM1069" s="23">
        <f>_xll.qlIndexFixing(hiborindex,AK1069)</f>
        <v>1.6743753923295867E-3</v>
      </c>
    </row>
    <row r="1070" spans="37:39" x14ac:dyDescent="0.25">
      <c r="AK1070" s="21">
        <f>_xll.qlCalendarAdvance(calendar,AK1069,"1D")</f>
        <v>44071</v>
      </c>
      <c r="AL1070" s="21">
        <f>_xll.qlInterestRateIndexValueDate(hiborindex,AK1070)</f>
        <v>44075</v>
      </c>
      <c r="AM1070" s="23">
        <f>_xll.qlIndexFixing(hiborindex,AK1070)</f>
        <v>1.681880384693355E-3</v>
      </c>
    </row>
    <row r="1071" spans="37:39" x14ac:dyDescent="0.25">
      <c r="AK1071" s="21">
        <f>_xll.qlCalendarAdvance(calendar,AK1070,"1D")</f>
        <v>44074</v>
      </c>
      <c r="AL1071" s="21">
        <f>_xll.qlInterestRateIndexValueDate(hiborindex,AK1071)</f>
        <v>44076</v>
      </c>
      <c r="AM1071" s="23">
        <f>_xll.qlIndexFixing(hiborindex,AK1071)</f>
        <v>1.6856289987366188E-3</v>
      </c>
    </row>
    <row r="1072" spans="37:39" x14ac:dyDescent="0.25">
      <c r="AK1072" s="21">
        <f>_xll.qlCalendarAdvance(calendar,AK1071,"1D")</f>
        <v>44075</v>
      </c>
      <c r="AL1072" s="21">
        <f>_xll.qlInterestRateIndexValueDate(hiborindex,AK1072)</f>
        <v>44077</v>
      </c>
      <c r="AM1072" s="23">
        <f>_xll.qlIndexFixing(hiborindex,AK1072)</f>
        <v>1.6893776198389869E-3</v>
      </c>
    </row>
    <row r="1073" spans="37:39" x14ac:dyDescent="0.25">
      <c r="AK1073" s="21">
        <f>_xll.qlCalendarAdvance(calendar,AK1072,"1D")</f>
        <v>44076</v>
      </c>
      <c r="AL1073" s="21">
        <f>_xll.qlInterestRateIndexValueDate(hiborindex,AK1073)</f>
        <v>44078</v>
      </c>
      <c r="AM1073" s="23">
        <f>_xll.qlIndexFixing(hiborindex,AK1073)</f>
        <v>1.6931262480009016E-3</v>
      </c>
    </row>
    <row r="1074" spans="37:39" x14ac:dyDescent="0.25">
      <c r="AK1074" s="21">
        <f>_xll.qlCalendarAdvance(calendar,AK1073,"1D")</f>
        <v>44077</v>
      </c>
      <c r="AL1074" s="21">
        <f>_xll.qlInterestRateIndexValueDate(hiborindex,AK1074)</f>
        <v>44081</v>
      </c>
      <c r="AM1074" s="23">
        <f>_xll.qlIndexFixing(hiborindex,AK1074)</f>
        <v>1.7062505444470205E-3</v>
      </c>
    </row>
    <row r="1075" spans="37:39" x14ac:dyDescent="0.25">
      <c r="AK1075" s="21">
        <f>_xll.qlCalendarAdvance(calendar,AK1074,"1D")</f>
        <v>44078</v>
      </c>
      <c r="AL1075" s="21">
        <f>_xll.qlInterestRateIndexValueDate(hiborindex,AK1075)</f>
        <v>44082</v>
      </c>
      <c r="AM1075" s="23">
        <f>_xll.qlIndexFixing(hiborindex,AK1075)</f>
        <v>1.7081208312373986E-3</v>
      </c>
    </row>
    <row r="1076" spans="37:39" x14ac:dyDescent="0.25">
      <c r="AK1076" s="21">
        <f>_xll.qlCalendarAdvance(calendar,AK1075,"1D")</f>
        <v>44081</v>
      </c>
      <c r="AL1076" s="21">
        <f>_xll.qlInterestRateIndexValueDate(hiborindex,AK1076)</f>
        <v>44083</v>
      </c>
      <c r="AM1076" s="23">
        <f>_xll.qlIndexFixing(hiborindex,AK1076)</f>
        <v>1.7118694946948367E-3</v>
      </c>
    </row>
    <row r="1077" spans="37:39" x14ac:dyDescent="0.25">
      <c r="AK1077" s="21">
        <f>_xll.qlCalendarAdvance(calendar,AK1076,"1D")</f>
        <v>44082</v>
      </c>
      <c r="AL1077" s="21">
        <f>_xll.qlInterestRateIndexValueDate(hiborindex,AK1077)</f>
        <v>44084</v>
      </c>
      <c r="AM1077" s="23">
        <f>_xll.qlIndexFixing(hiborindex,AK1077)</f>
        <v>1.7156181652113794E-3</v>
      </c>
    </row>
    <row r="1078" spans="37:39" x14ac:dyDescent="0.25">
      <c r="AK1078" s="21">
        <f>_xll.qlCalendarAdvance(calendar,AK1077,"1D")</f>
        <v>44083</v>
      </c>
      <c r="AL1078" s="21">
        <f>_xll.qlInterestRateIndexValueDate(hiborindex,AK1078)</f>
        <v>44085</v>
      </c>
      <c r="AM1078" s="23">
        <f>_xll.qlIndexFixing(hiborindex,AK1078)</f>
        <v>1.719366842786585E-3</v>
      </c>
    </row>
    <row r="1079" spans="37:39" x14ac:dyDescent="0.25">
      <c r="AK1079" s="21">
        <f>_xll.qlCalendarAdvance(calendar,AK1078,"1D")</f>
        <v>44084</v>
      </c>
      <c r="AL1079" s="21">
        <f>_xll.qlInterestRateIndexValueDate(hiborindex,AK1079)</f>
        <v>44088</v>
      </c>
      <c r="AM1079" s="23">
        <f>_xll.qlIndexFixing(hiborindex,AK1079)</f>
        <v>1.7324914374571788E-3</v>
      </c>
    </row>
    <row r="1080" spans="37:39" x14ac:dyDescent="0.25">
      <c r="AK1080" s="21">
        <f>_xll.qlCalendarAdvance(calendar,AK1079,"1D")</f>
        <v>44085</v>
      </c>
      <c r="AL1080" s="21">
        <f>_xll.qlInterestRateIndexValueDate(hiborindex,AK1080)</f>
        <v>44089</v>
      </c>
      <c r="AM1080" s="23">
        <f>_xll.qlIndexFixing(hiborindex,AK1080)</f>
        <v>1.7343616236824297E-3</v>
      </c>
    </row>
    <row r="1081" spans="37:39" x14ac:dyDescent="0.25">
      <c r="AK1081" s="21">
        <f>_xll.qlCalendarAdvance(calendar,AK1080,"1D")</f>
        <v>44088</v>
      </c>
      <c r="AL1081" s="21">
        <f>_xll.qlInterestRateIndexValueDate(hiborindex,AK1081)</f>
        <v>44090</v>
      </c>
      <c r="AM1081" s="23">
        <f>_xll.qlIndexFixing(hiborindex,AK1081)</f>
        <v>1.7381103365540422E-3</v>
      </c>
    </row>
    <row r="1082" spans="37:39" x14ac:dyDescent="0.25">
      <c r="AK1082" s="21">
        <f>_xll.qlCalendarAdvance(calendar,AK1081,"1D")</f>
        <v>44089</v>
      </c>
      <c r="AL1082" s="21">
        <f>_xll.qlInterestRateIndexValueDate(hiborindex,AK1082)</f>
        <v>44091</v>
      </c>
      <c r="AM1082" s="23">
        <f>_xll.qlIndexFixing(hiborindex,AK1082)</f>
        <v>1.7418590564856425E-3</v>
      </c>
    </row>
    <row r="1083" spans="37:39" x14ac:dyDescent="0.25">
      <c r="AK1083" s="21">
        <f>_xll.qlCalendarAdvance(calendar,AK1082,"1D")</f>
        <v>44090</v>
      </c>
      <c r="AL1083" s="21">
        <f>_xll.qlInterestRateIndexValueDate(hiborindex,AK1083)</f>
        <v>44092</v>
      </c>
      <c r="AM1083" s="23">
        <f>_xll.qlIndexFixing(hiborindex,AK1083)</f>
        <v>1.7456077834759058E-3</v>
      </c>
    </row>
    <row r="1084" spans="37:39" x14ac:dyDescent="0.25">
      <c r="AK1084" s="21">
        <f>_xll.qlCalendarAdvance(calendar,AK1083,"1D")</f>
        <v>44091</v>
      </c>
      <c r="AL1084" s="21">
        <f>_xll.qlInterestRateIndexValueDate(hiborindex,AK1084)</f>
        <v>44095</v>
      </c>
      <c r="AM1084" s="23">
        <f>_xll.qlIndexFixing(hiborindex,AK1084)</f>
        <v>1.7587326782844968E-3</v>
      </c>
    </row>
    <row r="1085" spans="37:39" x14ac:dyDescent="0.25">
      <c r="AK1085" s="21">
        <f>_xll.qlCalendarAdvance(calendar,AK1084,"1D")</f>
        <v>44092</v>
      </c>
      <c r="AL1085" s="21">
        <f>_xll.qlInterestRateIndexValueDate(hiborindex,AK1085)</f>
        <v>44096</v>
      </c>
      <c r="AM1085" s="23">
        <f>_xll.qlIndexFixing(hiborindex,AK1085)</f>
        <v>1.7606027620319811E-3</v>
      </c>
    </row>
    <row r="1086" spans="37:39" x14ac:dyDescent="0.25">
      <c r="AK1086" s="21">
        <f>_xll.qlCalendarAdvance(calendar,AK1085,"1D")</f>
        <v>44095</v>
      </c>
      <c r="AL1086" s="21">
        <f>_xll.qlInterestRateIndexValueDate(hiborindex,AK1086)</f>
        <v>44097</v>
      </c>
      <c r="AM1086" s="23">
        <f>_xll.qlIndexFixing(hiborindex,AK1086)</f>
        <v>1.7643515243195346E-3</v>
      </c>
    </row>
    <row r="1087" spans="37:39" x14ac:dyDescent="0.25">
      <c r="AK1087" s="21">
        <f>_xll.qlCalendarAdvance(calendar,AK1086,"1D")</f>
        <v>44096</v>
      </c>
      <c r="AL1087" s="21">
        <f>_xll.qlInterestRateIndexValueDate(hiborindex,AK1087)</f>
        <v>44098</v>
      </c>
      <c r="AM1087" s="23">
        <f>_xll.qlIndexFixing(hiborindex,AK1087)</f>
        <v>1.7681002936661926E-3</v>
      </c>
    </row>
    <row r="1088" spans="37:39" x14ac:dyDescent="0.25">
      <c r="AK1088" s="21">
        <f>_xll.qlCalendarAdvance(calendar,AK1087,"1D")</f>
        <v>44097</v>
      </c>
      <c r="AL1088" s="21">
        <f>_xll.qlInterestRateIndexValueDate(hiborindex,AK1088)</f>
        <v>44099</v>
      </c>
      <c r="AM1088" s="23">
        <f>_xll.qlIndexFixing(hiborindex,AK1088)</f>
        <v>1.7718490700723969E-3</v>
      </c>
    </row>
    <row r="1089" spans="37:39" x14ac:dyDescent="0.25">
      <c r="AK1089" s="21">
        <f>_xll.qlCalendarAdvance(calendar,AK1088,"1D")</f>
        <v>44098</v>
      </c>
      <c r="AL1089" s="21">
        <f>_xll.qlInterestRateIndexValueDate(hiborindex,AK1089)</f>
        <v>44102</v>
      </c>
      <c r="AM1089" s="23">
        <f>_xll.qlIndexFixing(hiborindex,AK1089)</f>
        <v>1.7849742669346841E-3</v>
      </c>
    </row>
    <row r="1090" spans="37:39" x14ac:dyDescent="0.25">
      <c r="AK1090" s="21">
        <f>_xll.qlCalendarAdvance(calendar,AK1089,"1D")</f>
        <v>44099</v>
      </c>
      <c r="AL1090" s="21">
        <f>_xll.qlInterestRateIndexValueDate(hiborindex,AK1090)</f>
        <v>44103</v>
      </c>
      <c r="AM1090" s="23">
        <f>_xll.qlIndexFixing(hiborindex,AK1090)</f>
        <v>1.7868442462922361E-3</v>
      </c>
    </row>
    <row r="1091" spans="37:39" x14ac:dyDescent="0.25">
      <c r="AK1091" s="21">
        <f>_xll.qlCalendarAdvance(calendar,AK1090,"1D")</f>
        <v>44102</v>
      </c>
      <c r="AL1091" s="21">
        <f>_xll.qlInterestRateIndexValueDate(hiborindex,AK1091)</f>
        <v>44104</v>
      </c>
      <c r="AM1091" s="23">
        <f>_xll.qlIndexFixing(hiborindex,AK1091)</f>
        <v>1.7924719275773551E-3</v>
      </c>
    </row>
    <row r="1092" spans="37:39" x14ac:dyDescent="0.25">
      <c r="AK1092" s="21">
        <f>_xll.qlCalendarAdvance(calendar,AK1091,"1D")</f>
        <v>44103</v>
      </c>
      <c r="AL1092" s="21">
        <f>_xll.qlInterestRateIndexValueDate(hiborindex,AK1092)</f>
        <v>44105</v>
      </c>
      <c r="AM1092" s="23">
        <f>_xll.qlIndexFixing(hiborindex,AK1092)</f>
        <v>1.7962207685473155E-3</v>
      </c>
    </row>
    <row r="1093" spans="37:39" x14ac:dyDescent="0.25">
      <c r="AK1093" s="21">
        <f>_xll.qlCalendarAdvance(calendar,AK1092,"1D")</f>
        <v>44104</v>
      </c>
      <c r="AL1093" s="21">
        <f>_xll.qlInterestRateIndexValueDate(hiborindex,AK1093)</f>
        <v>44106</v>
      </c>
      <c r="AM1093" s="23">
        <f>_xll.qlIndexFixing(hiborindex,AK1093)</f>
        <v>1.8074854782997611E-3</v>
      </c>
    </row>
    <row r="1094" spans="37:39" x14ac:dyDescent="0.25">
      <c r="AK1094" s="21">
        <f>_xll.qlCalendarAdvance(calendar,AK1093,"1D")</f>
        <v>44105</v>
      </c>
      <c r="AL1094" s="21">
        <f>_xll.qlInterestRateIndexValueDate(hiborindex,AK1094)</f>
        <v>44109</v>
      </c>
      <c r="AM1094" s="23">
        <f>_xll.qlIndexFixing(hiborindex,AK1094)</f>
        <v>1.8130952050593363E-3</v>
      </c>
    </row>
    <row r="1095" spans="37:39" x14ac:dyDescent="0.25">
      <c r="AK1095" s="21">
        <f>_xll.qlCalendarAdvance(calendar,AK1094,"1D")</f>
        <v>44106</v>
      </c>
      <c r="AL1095" s="21">
        <f>_xll.qlInterestRateIndexValueDate(hiborindex,AK1095)</f>
        <v>44110</v>
      </c>
      <c r="AM1095" s="23">
        <f>_xll.qlIndexFixing(hiborindex,AK1095)</f>
        <v>1.8149650798737029E-3</v>
      </c>
    </row>
    <row r="1096" spans="37:39" x14ac:dyDescent="0.25">
      <c r="AK1096" s="21">
        <f>_xll.qlCalendarAdvance(calendar,AK1095,"1D")</f>
        <v>44109</v>
      </c>
      <c r="AL1096" s="21">
        <f>_xll.qlInterestRateIndexValueDate(hiborindex,AK1096)</f>
        <v>44111</v>
      </c>
      <c r="AM1096" s="23">
        <f>_xll.qlIndexFixing(hiborindex,AK1096)</f>
        <v>1.8187139634346489E-3</v>
      </c>
    </row>
    <row r="1097" spans="37:39" x14ac:dyDescent="0.25">
      <c r="AK1097" s="21">
        <f>_xll.qlCalendarAdvance(calendar,AK1096,"1D")</f>
        <v>44110</v>
      </c>
      <c r="AL1097" s="21">
        <f>_xll.qlInterestRateIndexValueDate(hiborindex,AK1097)</f>
        <v>44112</v>
      </c>
      <c r="AM1097" s="23">
        <f>_xll.qlIndexFixing(hiborindex,AK1097)</f>
        <v>1.8224628540940925E-3</v>
      </c>
    </row>
    <row r="1098" spans="37:39" x14ac:dyDescent="0.25">
      <c r="AK1098" s="21">
        <f>_xll.qlCalendarAdvance(calendar,AK1097,"1D")</f>
        <v>44111</v>
      </c>
      <c r="AL1098" s="21">
        <f>_xll.qlInterestRateIndexValueDate(hiborindex,AK1098)</f>
        <v>44113</v>
      </c>
      <c r="AM1098" s="23">
        <f>_xll.qlIndexFixing(hiborindex,AK1098)</f>
        <v>1.826211751852473E-3</v>
      </c>
    </row>
    <row r="1099" spans="37:39" x14ac:dyDescent="0.25">
      <c r="AK1099" s="21">
        <f>_xll.qlCalendarAdvance(calendar,AK1098,"1D")</f>
        <v>44112</v>
      </c>
      <c r="AL1099" s="21">
        <f>_xll.qlInterestRateIndexValueDate(hiborindex,AK1099)</f>
        <v>44116</v>
      </c>
      <c r="AM1099" s="23">
        <f>_xll.qlIndexFixing(hiborindex,AK1099)</f>
        <v>1.8374584877194784E-3</v>
      </c>
    </row>
    <row r="1100" spans="37:39" x14ac:dyDescent="0.25">
      <c r="AK1100" s="21">
        <f>_xll.qlCalendarAdvance(calendar,AK1099,"1D")</f>
        <v>44113</v>
      </c>
      <c r="AL1100" s="21">
        <f>_xll.qlInterestRateIndexValueDate(hiborindex,AK1100)</f>
        <v>44117</v>
      </c>
      <c r="AM1100" s="23">
        <f>_xll.qlIndexFixing(hiborindex,AK1100)</f>
        <v>1.8412074138722885E-3</v>
      </c>
    </row>
    <row r="1101" spans="37:39" x14ac:dyDescent="0.25">
      <c r="AK1101" s="21">
        <f>_xll.qlCalendarAdvance(calendar,AK1100,"1D")</f>
        <v>44116</v>
      </c>
      <c r="AL1101" s="21">
        <f>_xll.qlInterestRateIndexValueDate(hiborindex,AK1101)</f>
        <v>44118</v>
      </c>
      <c r="AM1101" s="23">
        <f>_xll.qlIndexFixing(hiborindex,AK1101)</f>
        <v>1.8449563471235962E-3</v>
      </c>
    </row>
    <row r="1102" spans="37:39" x14ac:dyDescent="0.25">
      <c r="AK1102" s="21">
        <f>_xll.qlCalendarAdvance(calendar,AK1101,"1D")</f>
        <v>44117</v>
      </c>
      <c r="AL1102" s="21">
        <f>_xll.qlInterestRateIndexValueDate(hiborindex,AK1102)</f>
        <v>44119</v>
      </c>
      <c r="AM1102" s="23">
        <f>_xll.qlIndexFixing(hiborindex,AK1102)</f>
        <v>1.84870528747428E-3</v>
      </c>
    </row>
    <row r="1103" spans="37:39" x14ac:dyDescent="0.25">
      <c r="AK1103" s="21">
        <f>_xll.qlCalendarAdvance(calendar,AK1102,"1D")</f>
        <v>44118</v>
      </c>
      <c r="AL1103" s="21">
        <f>_xll.qlInterestRateIndexValueDate(hiborindex,AK1103)</f>
        <v>44120</v>
      </c>
      <c r="AM1103" s="23">
        <f>_xll.qlIndexFixing(hiborindex,AK1103)</f>
        <v>1.8524542349239006E-3</v>
      </c>
    </row>
    <row r="1104" spans="37:39" x14ac:dyDescent="0.25">
      <c r="AK1104" s="21">
        <f>_xll.qlCalendarAdvance(calendar,AK1103,"1D")</f>
        <v>44119</v>
      </c>
      <c r="AL1104" s="21">
        <f>_xll.qlInterestRateIndexValueDate(hiborindex,AK1104)</f>
        <v>44123</v>
      </c>
      <c r="AM1104" s="23">
        <f>_xll.qlIndexFixing(hiborindex,AK1104)</f>
        <v>1.863701119863748E-3</v>
      </c>
    </row>
    <row r="1105" spans="37:39" x14ac:dyDescent="0.25">
      <c r="AK1105" s="21">
        <f>_xll.qlCalendarAdvance(calendar,AK1104,"1D")</f>
        <v>44120</v>
      </c>
      <c r="AL1105" s="21">
        <f>_xll.qlInterestRateIndexValueDate(hiborindex,AK1105)</f>
        <v>44124</v>
      </c>
      <c r="AM1105" s="23">
        <f>_xll.qlIndexFixing(hiborindex,AK1105)</f>
        <v>1.8674500957077983E-3</v>
      </c>
    </row>
    <row r="1106" spans="37:39" x14ac:dyDescent="0.25">
      <c r="AK1106" s="21">
        <f>_xll.qlCalendarAdvance(calendar,AK1105,"1D")</f>
        <v>44123</v>
      </c>
      <c r="AL1106" s="21">
        <f>_xll.qlInterestRateIndexValueDate(hiborindex,AK1106)</f>
        <v>44125</v>
      </c>
      <c r="AM1106" s="23">
        <f>_xll.qlIndexFixing(hiborindex,AK1106)</f>
        <v>1.8711990786507854E-3</v>
      </c>
    </row>
    <row r="1107" spans="37:39" x14ac:dyDescent="0.25">
      <c r="AK1107" s="21">
        <f>_xll.qlCalendarAdvance(calendar,AK1106,"1D")</f>
        <v>44124</v>
      </c>
      <c r="AL1107" s="21">
        <f>_xll.qlInterestRateIndexValueDate(hiborindex,AK1107)</f>
        <v>44126</v>
      </c>
      <c r="AM1107" s="23">
        <f>_xll.qlIndexFixing(hiborindex,AK1107)</f>
        <v>1.8749480686927093E-3</v>
      </c>
    </row>
    <row r="1108" spans="37:39" x14ac:dyDescent="0.25">
      <c r="AK1108" s="21">
        <f>_xll.qlCalendarAdvance(calendar,AK1107,"1D")</f>
        <v>44125</v>
      </c>
      <c r="AL1108" s="21">
        <f>_xll.qlInterestRateIndexValueDate(hiborindex,AK1108)</f>
        <v>44127</v>
      </c>
      <c r="AM1108" s="23">
        <f>_xll.qlIndexFixing(hiborindex,AK1108)</f>
        <v>1.8786970658335701E-3</v>
      </c>
    </row>
    <row r="1109" spans="37:39" x14ac:dyDescent="0.25">
      <c r="AK1109" s="21">
        <f>_xll.qlCalendarAdvance(calendar,AK1108,"1D")</f>
        <v>44126</v>
      </c>
      <c r="AL1109" s="21">
        <f>_xll.qlInterestRateIndexValueDate(hiborindex,AK1109)</f>
        <v>44130</v>
      </c>
      <c r="AM1109" s="23">
        <f>_xll.qlIndexFixing(hiborindex,AK1109)</f>
        <v>1.8899440998484554E-3</v>
      </c>
    </row>
    <row r="1110" spans="37:39" x14ac:dyDescent="0.25">
      <c r="AK1110" s="21">
        <f>_xll.qlCalendarAdvance(calendar,AK1109,"1D")</f>
        <v>44127</v>
      </c>
      <c r="AL1110" s="21">
        <f>_xll.qlInterestRateIndexValueDate(hiborindex,AK1110)</f>
        <v>44131</v>
      </c>
      <c r="AM1110" s="23">
        <f>_xll.qlIndexFixing(hiborindex,AK1110)</f>
        <v>1.8936931253846242E-3</v>
      </c>
    </row>
    <row r="1111" spans="37:39" x14ac:dyDescent="0.25">
      <c r="AK1111" s="21">
        <f>_xll.qlCalendarAdvance(calendar,AK1110,"1D")</f>
        <v>44130</v>
      </c>
      <c r="AL1111" s="21">
        <f>_xll.qlInterestRateIndexValueDate(hiborindex,AK1111)</f>
        <v>44132</v>
      </c>
      <c r="AM1111" s="23">
        <f>_xll.qlIndexFixing(hiborindex,AK1111)</f>
        <v>1.8974421580201693E-3</v>
      </c>
    </row>
    <row r="1112" spans="37:39" x14ac:dyDescent="0.25">
      <c r="AK1112" s="21">
        <f>_xll.qlCalendarAdvance(calendar,AK1111,"1D")</f>
        <v>44131</v>
      </c>
      <c r="AL1112" s="21">
        <f>_xll.qlInterestRateIndexValueDate(hiborindex,AK1112)</f>
        <v>44133</v>
      </c>
      <c r="AM1112" s="23">
        <f>_xll.qlIndexFixing(hiborindex,AK1112)</f>
        <v>1.9011911977537723E-3</v>
      </c>
    </row>
    <row r="1113" spans="37:39" x14ac:dyDescent="0.25">
      <c r="AK1113" s="21">
        <f>_xll.qlCalendarAdvance(calendar,AK1112,"1D")</f>
        <v>44132</v>
      </c>
      <c r="AL1113" s="21">
        <f>_xll.qlInterestRateIndexValueDate(hiborindex,AK1113)</f>
        <v>44134</v>
      </c>
      <c r="AM1113" s="23">
        <f>_xll.qlIndexFixing(hiborindex,AK1113)</f>
        <v>1.9049402445867516E-3</v>
      </c>
    </row>
    <row r="1114" spans="37:39" x14ac:dyDescent="0.25">
      <c r="AK1114" s="21">
        <f>_xll.qlCalendarAdvance(calendar,AK1113,"1D")</f>
        <v>44133</v>
      </c>
      <c r="AL1114" s="21">
        <f>_xll.qlInterestRateIndexValueDate(hiborindex,AK1114)</f>
        <v>44137</v>
      </c>
      <c r="AM1114" s="23">
        <f>_xll.qlIndexFixing(hiborindex,AK1114)</f>
        <v>1.9161874276788712E-3</v>
      </c>
    </row>
    <row r="1115" spans="37:39" x14ac:dyDescent="0.25">
      <c r="AK1115" s="21">
        <f>_xll.qlCalendarAdvance(calendar,AK1114,"1D")</f>
        <v>44134</v>
      </c>
      <c r="AL1115" s="21">
        <f>_xll.qlInterestRateIndexValueDate(hiborindex,AK1115)</f>
        <v>44138</v>
      </c>
      <c r="AM1115" s="23">
        <f>_xll.qlIndexFixing(hiborindex,AK1115)</f>
        <v>1.9180568563967096E-3</v>
      </c>
    </row>
    <row r="1116" spans="37:39" x14ac:dyDescent="0.25">
      <c r="AK1116" s="21">
        <f>_xll.qlCalendarAdvance(calendar,AK1115,"1D")</f>
        <v>44137</v>
      </c>
      <c r="AL1116" s="21">
        <f>_xll.qlInterestRateIndexValueDate(hiborindex,AK1116)</f>
        <v>44139</v>
      </c>
      <c r="AM1116" s="23">
        <f>_xll.qlIndexFixing(hiborindex,AK1116)</f>
        <v>1.921805915190508E-3</v>
      </c>
    </row>
    <row r="1117" spans="37:39" x14ac:dyDescent="0.25">
      <c r="AK1117" s="21">
        <f>_xll.qlCalendarAdvance(calendar,AK1116,"1D")</f>
        <v>44138</v>
      </c>
      <c r="AL1117" s="21">
        <f>_xll.qlInterestRateIndexValueDate(hiborindex,AK1117)</f>
        <v>44140</v>
      </c>
      <c r="AM1117" s="23">
        <f>_xll.qlIndexFixing(hiborindex,AK1117)</f>
        <v>1.9255549810438526E-3</v>
      </c>
    </row>
    <row r="1118" spans="37:39" x14ac:dyDescent="0.25">
      <c r="AK1118" s="21">
        <f>_xll.qlCalendarAdvance(calendar,AK1117,"1D")</f>
        <v>44139</v>
      </c>
      <c r="AL1118" s="21">
        <f>_xll.qlInterestRateIndexValueDate(hiborindex,AK1118)</f>
        <v>44141</v>
      </c>
      <c r="AM1118" s="23">
        <f>_xll.qlIndexFixing(hiborindex,AK1118)</f>
        <v>1.9293040539571852E-3</v>
      </c>
    </row>
    <row r="1119" spans="37:39" x14ac:dyDescent="0.25">
      <c r="AK1119" s="21">
        <f>_xll.qlCalendarAdvance(calendar,AK1118,"1D")</f>
        <v>44140</v>
      </c>
      <c r="AL1119" s="21">
        <f>_xll.qlInterestRateIndexValueDate(hiborindex,AK1119)</f>
        <v>44144</v>
      </c>
      <c r="AM1119" s="23">
        <f>_xll.qlIndexFixing(hiborindex,AK1119)</f>
        <v>1.942431103358948E-3</v>
      </c>
    </row>
    <row r="1120" spans="37:39" x14ac:dyDescent="0.25">
      <c r="AK1120" s="21">
        <f>_xll.qlCalendarAdvance(calendar,AK1119,"1D")</f>
        <v>44141</v>
      </c>
      <c r="AL1120" s="21">
        <f>_xll.qlInterestRateIndexValueDate(hiborindex,AK1120)</f>
        <v>44145</v>
      </c>
      <c r="AM1120" s="23">
        <f>_xll.qlIndexFixing(hiborindex,AK1120)</f>
        <v>1.944300416210837E-3</v>
      </c>
    </row>
    <row r="1121" spans="37:39" x14ac:dyDescent="0.25">
      <c r="AK1121" s="21">
        <f>_xll.qlCalendarAdvance(calendar,AK1120,"1D")</f>
        <v>44144</v>
      </c>
      <c r="AL1121" s="21">
        <f>_xll.qlInterestRateIndexValueDate(hiborindex,AK1121)</f>
        <v>44146</v>
      </c>
      <c r="AM1121" s="23">
        <f>_xll.qlIndexFixing(hiborindex,AK1121)</f>
        <v>1.948049524424551E-3</v>
      </c>
    </row>
    <row r="1122" spans="37:39" x14ac:dyDescent="0.25">
      <c r="AK1122" s="21">
        <f>_xll.qlCalendarAdvance(calendar,AK1121,"1D")</f>
        <v>44145</v>
      </c>
      <c r="AL1122" s="21">
        <f>_xll.qlInterestRateIndexValueDate(hiborindex,AK1122)</f>
        <v>44147</v>
      </c>
      <c r="AM1122" s="23">
        <f>_xll.qlIndexFixing(hiborindex,AK1122)</f>
        <v>1.951798639698253E-3</v>
      </c>
    </row>
    <row r="1123" spans="37:39" x14ac:dyDescent="0.25">
      <c r="AK1123" s="21">
        <f>_xll.qlCalendarAdvance(calendar,AK1122,"1D")</f>
        <v>44146</v>
      </c>
      <c r="AL1123" s="21">
        <f>_xll.qlInterestRateIndexValueDate(hiborindex,AK1123)</f>
        <v>44148</v>
      </c>
      <c r="AM1123" s="23">
        <f>_xll.qlIndexFixing(hiborindex,AK1123)</f>
        <v>1.9555477620323844E-3</v>
      </c>
    </row>
    <row r="1124" spans="37:39" x14ac:dyDescent="0.25">
      <c r="AK1124" s="21">
        <f>_xll.qlCalendarAdvance(calendar,AK1123,"1D")</f>
        <v>44147</v>
      </c>
      <c r="AL1124" s="21">
        <f>_xll.qlInterestRateIndexValueDate(hiborindex,AK1124)</f>
        <v>44151</v>
      </c>
      <c r="AM1124" s="23">
        <f>_xll.qlIndexFixing(hiborindex,AK1124)</f>
        <v>1.9686751268939567E-3</v>
      </c>
    </row>
    <row r="1125" spans="37:39" x14ac:dyDescent="0.25">
      <c r="AK1125" s="21">
        <f>_xll.qlCalendarAdvance(calendar,AK1124,"1D")</f>
        <v>44148</v>
      </c>
      <c r="AL1125" s="21">
        <f>_xll.qlInterestRateIndexValueDate(hiborindex,AK1125)</f>
        <v>44152</v>
      </c>
      <c r="AM1125" s="23">
        <f>_xll.qlIndexFixing(hiborindex,AK1125)</f>
        <v>1.9705443219670236E-3</v>
      </c>
    </row>
    <row r="1126" spans="37:39" x14ac:dyDescent="0.25">
      <c r="AK1126" s="21">
        <f>_xll.qlCalendarAdvance(calendar,AK1125,"1D")</f>
        <v>44151</v>
      </c>
      <c r="AL1126" s="21">
        <f>_xll.qlInterestRateIndexValueDate(hiborindex,AK1126)</f>
        <v>44153</v>
      </c>
      <c r="AM1126" s="23">
        <f>_xll.qlIndexFixing(hiborindex,AK1126)</f>
        <v>1.9742934796015367E-3</v>
      </c>
    </row>
    <row r="1127" spans="37:39" x14ac:dyDescent="0.25">
      <c r="AK1127" s="21">
        <f>_xll.qlCalendarAdvance(calendar,AK1126,"1D")</f>
        <v>44152</v>
      </c>
      <c r="AL1127" s="21">
        <f>_xll.qlInterestRateIndexValueDate(hiborindex,AK1127)</f>
        <v>44154</v>
      </c>
      <c r="AM1127" s="23">
        <f>_xll.qlIndexFixing(hiborindex,AK1127)</f>
        <v>1.9780426442960377E-3</v>
      </c>
    </row>
    <row r="1128" spans="37:39" x14ac:dyDescent="0.25">
      <c r="AK1128" s="21">
        <f>_xll.qlCalendarAdvance(calendar,AK1127,"1D")</f>
        <v>44153</v>
      </c>
      <c r="AL1128" s="21">
        <f>_xll.qlInterestRateIndexValueDate(hiborindex,AK1128)</f>
        <v>44155</v>
      </c>
      <c r="AM1128" s="23">
        <f>_xll.qlIndexFixing(hiborindex,AK1128)</f>
        <v>1.9817918160500848E-3</v>
      </c>
    </row>
    <row r="1129" spans="37:39" x14ac:dyDescent="0.25">
      <c r="AK1129" s="21">
        <f>_xll.qlCalendarAdvance(calendar,AK1128,"1D")</f>
        <v>44154</v>
      </c>
      <c r="AL1129" s="21">
        <f>_xll.qlInterestRateIndexValueDate(hiborindex,AK1129)</f>
        <v>44158</v>
      </c>
      <c r="AM1129" s="23">
        <f>_xll.qlIndexFixing(hiborindex,AK1129)</f>
        <v>1.994919498288289E-3</v>
      </c>
    </row>
    <row r="1130" spans="37:39" x14ac:dyDescent="0.25">
      <c r="AK1130" s="21">
        <f>_xll.qlCalendarAdvance(calendar,AK1129,"1D")</f>
        <v>44155</v>
      </c>
      <c r="AL1130" s="21">
        <f>_xll.qlInterestRateIndexValueDate(hiborindex,AK1130)</f>
        <v>44159</v>
      </c>
      <c r="AM1130" s="23">
        <f>_xll.qlIndexFixing(hiborindex,AK1130)</f>
        <v>1.9967885736692447E-3</v>
      </c>
    </row>
    <row r="1131" spans="37:39" x14ac:dyDescent="0.25">
      <c r="AK1131" s="21">
        <f>_xll.qlCalendarAdvance(calendar,AK1130,"1D")</f>
        <v>44158</v>
      </c>
      <c r="AL1131" s="21">
        <f>_xll.qlInterestRateIndexValueDate(hiborindex,AK1131)</f>
        <v>44160</v>
      </c>
      <c r="AM1131" s="23">
        <f>_xll.qlIndexFixing(hiborindex,AK1131)</f>
        <v>2.0005377807249983E-3</v>
      </c>
    </row>
    <row r="1132" spans="37:39" x14ac:dyDescent="0.25">
      <c r="AK1132" s="21">
        <f>_xll.qlCalendarAdvance(calendar,AK1131,"1D")</f>
        <v>44159</v>
      </c>
      <c r="AL1132" s="21">
        <f>_xll.qlInterestRateIndexValueDate(hiborindex,AK1132)</f>
        <v>44161</v>
      </c>
      <c r="AM1132" s="23">
        <f>_xll.qlIndexFixing(hiborindex,AK1132)</f>
        <v>2.0042869948407398E-3</v>
      </c>
    </row>
    <row r="1133" spans="37:39" x14ac:dyDescent="0.25">
      <c r="AK1133" s="21">
        <f>_xll.qlCalendarAdvance(calendar,AK1132,"1D")</f>
        <v>44160</v>
      </c>
      <c r="AL1133" s="21">
        <f>_xll.qlInterestRateIndexValueDate(hiborindex,AK1133)</f>
        <v>44162</v>
      </c>
      <c r="AM1133" s="23">
        <f>_xll.qlIndexFixing(hiborindex,AK1133)</f>
        <v>2.0080362160164694E-3</v>
      </c>
    </row>
    <row r="1134" spans="37:39" x14ac:dyDescent="0.25">
      <c r="AK1134" s="21">
        <f>_xll.qlCalendarAdvance(calendar,AK1133,"1D")</f>
        <v>44161</v>
      </c>
      <c r="AL1134" s="21">
        <f>_xll.qlInterestRateIndexValueDate(hiborindex,AK1134)</f>
        <v>44165</v>
      </c>
      <c r="AM1134" s="23">
        <f>_xll.qlIndexFixing(hiborindex,AK1134)</f>
        <v>2.0211642175463371E-3</v>
      </c>
    </row>
    <row r="1135" spans="37:39" x14ac:dyDescent="0.25">
      <c r="AK1135" s="21">
        <f>_xll.qlCalendarAdvance(calendar,AK1134,"1D")</f>
        <v>44162</v>
      </c>
      <c r="AL1135" s="21">
        <f>_xll.qlInterestRateIndexValueDate(hiborindex,AK1135)</f>
        <v>44166</v>
      </c>
      <c r="AM1135" s="23">
        <f>_xll.qlIndexFixing(hiborindex,AK1135)</f>
        <v>2.0249134915514438E-3</v>
      </c>
    </row>
    <row r="1136" spans="37:39" x14ac:dyDescent="0.25">
      <c r="AK1136" s="21">
        <f>_xll.qlCalendarAdvance(calendar,AK1135,"1D")</f>
        <v>44165</v>
      </c>
      <c r="AL1136" s="21">
        <f>_xll.qlInterestRateIndexValueDate(hiborindex,AK1136)</f>
        <v>44167</v>
      </c>
      <c r="AM1136" s="23">
        <f>_xll.qlIndexFixing(hiborindex,AK1136)</f>
        <v>2.0286627726568045E-3</v>
      </c>
    </row>
    <row r="1137" spans="37:39" x14ac:dyDescent="0.25">
      <c r="AK1137" s="21">
        <f>_xll.qlCalendarAdvance(calendar,AK1136,"1D")</f>
        <v>44166</v>
      </c>
      <c r="AL1137" s="21">
        <f>_xll.qlInterestRateIndexValueDate(hiborindex,AK1137)</f>
        <v>44168</v>
      </c>
      <c r="AM1137" s="23">
        <f>_xll.qlIndexFixing(hiborindex,AK1137)</f>
        <v>2.0324120608611025E-3</v>
      </c>
    </row>
    <row r="1138" spans="37:39" x14ac:dyDescent="0.25">
      <c r="AK1138" s="21">
        <f>_xll.qlCalendarAdvance(calendar,AK1137,"1D")</f>
        <v>44167</v>
      </c>
      <c r="AL1138" s="21">
        <f>_xll.qlInterestRateIndexValueDate(hiborindex,AK1138)</f>
        <v>44169</v>
      </c>
      <c r="AM1138" s="23">
        <f>_xll.qlIndexFixing(hiborindex,AK1138)</f>
        <v>2.0361613561647764E-3</v>
      </c>
    </row>
    <row r="1139" spans="37:39" x14ac:dyDescent="0.25">
      <c r="AK1139" s="21">
        <f>_xll.qlCalendarAdvance(calendar,AK1138,"1D")</f>
        <v>44168</v>
      </c>
      <c r="AL1139" s="21">
        <f>_xll.qlInterestRateIndexValueDate(hiborindex,AK1139)</f>
        <v>44172</v>
      </c>
      <c r="AM1139" s="23">
        <f>_xll.qlIndexFixing(hiborindex,AK1139)</f>
        <v>2.0474092846724931E-3</v>
      </c>
    </row>
    <row r="1140" spans="37:39" x14ac:dyDescent="0.25">
      <c r="AK1140" s="21">
        <f>_xll.qlCalendarAdvance(calendar,AK1139,"1D")</f>
        <v>44169</v>
      </c>
      <c r="AL1140" s="21">
        <f>_xll.qlInterestRateIndexValueDate(hiborindex,AK1140)</f>
        <v>44173</v>
      </c>
      <c r="AM1140" s="23">
        <f>_xll.qlIndexFixing(hiborindex,AK1140)</f>
        <v>2.0511586083736713E-3</v>
      </c>
    </row>
    <row r="1141" spans="37:39" x14ac:dyDescent="0.25">
      <c r="AK1141" s="21">
        <f>_xll.qlCalendarAdvance(calendar,AK1140,"1D")</f>
        <v>44172</v>
      </c>
      <c r="AL1141" s="21">
        <f>_xll.qlInterestRateIndexValueDate(hiborindex,AK1141)</f>
        <v>44174</v>
      </c>
      <c r="AM1141" s="23">
        <f>_xll.qlIndexFixing(hiborindex,AK1141)</f>
        <v>2.0549079391751035E-3</v>
      </c>
    </row>
    <row r="1142" spans="37:39" x14ac:dyDescent="0.25">
      <c r="AK1142" s="21">
        <f>_xll.qlCalendarAdvance(calendar,AK1141,"1D")</f>
        <v>44173</v>
      </c>
      <c r="AL1142" s="21">
        <f>_xll.qlInterestRateIndexValueDate(hiborindex,AK1142)</f>
        <v>44175</v>
      </c>
      <c r="AM1142" s="23">
        <f>_xll.qlIndexFixing(hiborindex,AK1142)</f>
        <v>2.0586572770745944E-3</v>
      </c>
    </row>
    <row r="1143" spans="37:39" x14ac:dyDescent="0.25">
      <c r="AK1143" s="21">
        <f>_xll.qlCalendarAdvance(calendar,AK1142,"1D")</f>
        <v>44174</v>
      </c>
      <c r="AL1143" s="21">
        <f>_xll.qlInterestRateIndexValueDate(hiborindex,AK1143)</f>
        <v>44176</v>
      </c>
      <c r="AM1143" s="23">
        <f>_xll.qlIndexFixing(hiborindex,AK1143)</f>
        <v>2.062406622074779E-3</v>
      </c>
    </row>
    <row r="1144" spans="37:39" x14ac:dyDescent="0.25">
      <c r="AK1144" s="21">
        <f>_xll.qlCalendarAdvance(calendar,AK1143,"1D")</f>
        <v>44175</v>
      </c>
      <c r="AL1144" s="21">
        <f>_xll.qlInterestRateIndexValueDate(hiborindex,AK1144)</f>
        <v>44179</v>
      </c>
      <c r="AM1144" s="23">
        <f>_xll.qlIndexFixing(hiborindex,AK1144)</f>
        <v>2.0736546996720276E-3</v>
      </c>
    </row>
    <row r="1145" spans="37:39" x14ac:dyDescent="0.25">
      <c r="AK1145" s="21">
        <f>_xll.qlCalendarAdvance(calendar,AK1144,"1D")</f>
        <v>44176</v>
      </c>
      <c r="AL1145" s="21">
        <f>_xll.qlInterestRateIndexValueDate(hiborindex,AK1145)</f>
        <v>44180</v>
      </c>
      <c r="AM1145" s="23">
        <f>_xll.qlIndexFixing(hiborindex,AK1145)</f>
        <v>2.0774040730692773E-3</v>
      </c>
    </row>
    <row r="1146" spans="37:39" x14ac:dyDescent="0.25">
      <c r="AK1146" s="21">
        <f>_xll.qlCalendarAdvance(calendar,AK1145,"1D")</f>
        <v>44179</v>
      </c>
      <c r="AL1146" s="21">
        <f>_xll.qlInterestRateIndexValueDate(hiborindex,AK1146)</f>
        <v>44181</v>
      </c>
      <c r="AM1146" s="23">
        <f>_xll.qlIndexFixing(hiborindex,AK1146)</f>
        <v>2.081153453566781E-3</v>
      </c>
    </row>
    <row r="1147" spans="37:39" x14ac:dyDescent="0.25">
      <c r="AK1147" s="21">
        <f>_xll.qlCalendarAdvance(calendar,AK1146,"1D")</f>
        <v>44180</v>
      </c>
      <c r="AL1147" s="21">
        <f>_xll.qlInterestRateIndexValueDate(hiborindex,AK1147)</f>
        <v>44182</v>
      </c>
      <c r="AM1147" s="23">
        <f>_xll.qlIndexFixing(hiborindex,AK1147)</f>
        <v>2.0849028411641002E-3</v>
      </c>
    </row>
    <row r="1148" spans="37:39" x14ac:dyDescent="0.25">
      <c r="AK1148" s="21">
        <f>_xll.qlCalendarAdvance(calendar,AK1147,"1D")</f>
        <v>44181</v>
      </c>
      <c r="AL1148" s="21">
        <f>_xll.qlInterestRateIndexValueDate(hiborindex,AK1148)</f>
        <v>44183</v>
      </c>
      <c r="AM1148" s="23">
        <f>_xll.qlIndexFixing(hiborindex,AK1148)</f>
        <v>2.0886522358607952E-3</v>
      </c>
    </row>
    <row r="1149" spans="37:39" x14ac:dyDescent="0.25">
      <c r="AK1149" s="21">
        <f>_xll.qlCalendarAdvance(calendar,AK1148,"1D")</f>
        <v>44182</v>
      </c>
      <c r="AL1149" s="21">
        <f>_xll.qlInterestRateIndexValueDate(hiborindex,AK1149)</f>
        <v>44186</v>
      </c>
      <c r="AM1149" s="23">
        <f>_xll.qlIndexFixing(hiborindex,AK1149)</f>
        <v>2.0999004625484544E-3</v>
      </c>
    </row>
    <row r="1150" spans="37:39" x14ac:dyDescent="0.25">
      <c r="AK1150" s="21">
        <f>_xll.qlCalendarAdvance(calendar,AK1149,"1D")</f>
        <v>44183</v>
      </c>
      <c r="AL1150" s="21">
        <f>_xll.qlInterestRateIndexValueDate(hiborindex,AK1150)</f>
        <v>44187</v>
      </c>
      <c r="AM1150" s="23">
        <f>_xll.qlIndexFixing(hiborindex,AK1150)</f>
        <v>2.103649885643532E-3</v>
      </c>
    </row>
    <row r="1151" spans="37:39" x14ac:dyDescent="0.25">
      <c r="AK1151" s="21">
        <f>_xll.qlCalendarAdvance(calendar,AK1150,"1D")</f>
        <v>44186</v>
      </c>
      <c r="AL1151" s="21">
        <f>_xll.qlInterestRateIndexValueDate(hiborindex,AK1151)</f>
        <v>44188</v>
      </c>
      <c r="AM1151" s="23">
        <f>_xll.qlIndexFixing(hiborindex,AK1151)</f>
        <v>2.1073993158379858E-3</v>
      </c>
    </row>
    <row r="1152" spans="37:39" x14ac:dyDescent="0.25">
      <c r="AK1152" s="21">
        <f>_xll.qlCalendarAdvance(calendar,AK1151,"1D")</f>
        <v>44187</v>
      </c>
      <c r="AL1152" s="21">
        <f>_xll.qlInterestRateIndexValueDate(hiborindex,AK1152)</f>
        <v>44189</v>
      </c>
      <c r="AM1152" s="23">
        <f>_xll.qlIndexFixing(hiborindex,AK1152)</f>
        <v>2.111148753132694E-3</v>
      </c>
    </row>
    <row r="1153" spans="37:39" x14ac:dyDescent="0.25">
      <c r="AK1153" s="21">
        <f>_xll.qlCalendarAdvance(calendar,AK1152,"1D")</f>
        <v>44188</v>
      </c>
      <c r="AL1153" s="21">
        <f>_xll.qlInterestRateIndexValueDate(hiborindex,AK1153)</f>
        <v>44193</v>
      </c>
      <c r="AM1153" s="23">
        <f>_xll.qlIndexFixing(hiborindex,AK1153)</f>
        <v>2.126146573307044E-3</v>
      </c>
    </row>
    <row r="1154" spans="37:39" x14ac:dyDescent="0.25">
      <c r="AK1154" s="21">
        <f>_xll.qlCalendarAdvance(calendar,AK1153,"1D")</f>
        <v>44189</v>
      </c>
      <c r="AL1154" s="21">
        <f>_xll.qlInterestRateIndexValueDate(hiborindex,AK1154)</f>
        <v>44194</v>
      </c>
      <c r="AM1154" s="23">
        <f>_xll.qlIndexFixing(hiborindex,AK1154)</f>
        <v>2.1298960461003892E-3</v>
      </c>
    </row>
    <row r="1155" spans="37:39" x14ac:dyDescent="0.25">
      <c r="AK1155" s="21">
        <f>_xll.qlCalendarAdvance(calendar,AK1154,"1D")</f>
        <v>44193</v>
      </c>
      <c r="AL1155" s="21">
        <f>_xll.qlInterestRateIndexValueDate(hiborindex,AK1155)</f>
        <v>44195</v>
      </c>
      <c r="AM1155" s="23">
        <f>_xll.qlIndexFixing(hiborindex,AK1155)</f>
        <v>2.1336455259931102E-3</v>
      </c>
    </row>
    <row r="1156" spans="37:39" x14ac:dyDescent="0.25">
      <c r="AK1156" s="21">
        <f>_xll.qlCalendarAdvance(calendar,AK1155,"1D")</f>
        <v>44194</v>
      </c>
      <c r="AL1156" s="21">
        <f>_xll.qlInterestRateIndexValueDate(hiborindex,AK1156)</f>
        <v>44196</v>
      </c>
      <c r="AM1156" s="23">
        <f>_xll.qlIndexFixing(hiborindex,AK1156)</f>
        <v>2.1355139369384855E-3</v>
      </c>
    </row>
    <row r="1157" spans="37:39" x14ac:dyDescent="0.25">
      <c r="AK1157" s="21">
        <f>_xll.qlCalendarAdvance(calendar,AK1156,"1D")</f>
        <v>44195</v>
      </c>
      <c r="AL1157" s="21">
        <f>_xll.qlInterestRateIndexValueDate(hiborindex,AK1157)</f>
        <v>44200</v>
      </c>
      <c r="AM1157" s="23">
        <f>_xll.qlIndexFixing(hiborindex,AK1157)</f>
        <v>2.1743089599292041E-3</v>
      </c>
    </row>
    <row r="1158" spans="37:39" x14ac:dyDescent="0.25">
      <c r="AK1158" s="21">
        <f>_xll.qlCalendarAdvance(calendar,AK1157,"1D")</f>
        <v>44196</v>
      </c>
      <c r="AL1158" s="21">
        <f>_xll.qlInterestRateIndexValueDate(hiborindex,AK1158)</f>
        <v>44201</v>
      </c>
      <c r="AM1158" s="23">
        <f>_xll.qlIndexFixing(hiborindex,AK1158)</f>
        <v>2.1762982485265337E-3</v>
      </c>
    </row>
    <row r="1159" spans="37:39" x14ac:dyDescent="0.25">
      <c r="AK1159" s="21">
        <f>_xll.qlCalendarAdvance(calendar,AK1158,"1D")</f>
        <v>44200</v>
      </c>
      <c r="AL1159" s="21">
        <f>_xll.qlInterestRateIndexValueDate(hiborindex,AK1159)</f>
        <v>44202</v>
      </c>
      <c r="AM1159" s="23">
        <f>_xll.qlIndexFixing(hiborindex,AK1159)</f>
        <v>2.1844696380058492E-3</v>
      </c>
    </row>
    <row r="1160" spans="37:39" x14ac:dyDescent="0.25">
      <c r="AK1160" s="21">
        <f>_xll.qlCalendarAdvance(calendar,AK1159,"1D")</f>
        <v>44201</v>
      </c>
      <c r="AL1160" s="21">
        <f>_xll.qlInterestRateIndexValueDate(hiborindex,AK1160)</f>
        <v>44203</v>
      </c>
      <c r="AM1160" s="23">
        <f>_xll.qlIndexFixing(hiborindex,AK1160)</f>
        <v>2.1926458700115442E-3</v>
      </c>
    </row>
    <row r="1161" spans="37:39" x14ac:dyDescent="0.25">
      <c r="AK1161" s="21">
        <f>_xll.qlCalendarAdvance(calendar,AK1160,"1D")</f>
        <v>44202</v>
      </c>
      <c r="AL1161" s="21">
        <f>_xll.qlInterestRateIndexValueDate(hiborindex,AK1161)</f>
        <v>44204</v>
      </c>
      <c r="AM1161" s="23">
        <f>_xll.qlIndexFixing(hiborindex,AK1161)</f>
        <v>2.2008269446027987E-3</v>
      </c>
    </row>
    <row r="1162" spans="37:39" x14ac:dyDescent="0.25">
      <c r="AK1162" s="21">
        <f>_xll.qlCalendarAdvance(calendar,AK1161,"1D")</f>
        <v>44203</v>
      </c>
      <c r="AL1162" s="21">
        <f>_xll.qlInterestRateIndexValueDate(hiborindex,AK1162)</f>
        <v>44207</v>
      </c>
      <c r="AM1162" s="23">
        <f>_xll.qlIndexFixing(hiborindex,AK1162)</f>
        <v>2.2314400433273798E-3</v>
      </c>
    </row>
    <row r="1163" spans="37:39" x14ac:dyDescent="0.25">
      <c r="AK1163" s="21">
        <f>_xll.qlCalendarAdvance(calendar,AK1162,"1D")</f>
        <v>44204</v>
      </c>
      <c r="AL1163" s="21">
        <f>_xll.qlInterestRateIndexValueDate(hiborindex,AK1163)</f>
        <v>44208</v>
      </c>
      <c r="AM1163" s="23">
        <f>_xll.qlIndexFixing(hiborindex,AK1163)</f>
        <v>2.2335996700065482E-3</v>
      </c>
    </row>
    <row r="1164" spans="37:39" x14ac:dyDescent="0.25">
      <c r="AK1164" s="21">
        <f>_xll.qlCalendarAdvance(calendar,AK1163,"1D")</f>
        <v>44207</v>
      </c>
      <c r="AL1164" s="21">
        <f>_xll.qlInterestRateIndexValueDate(hiborindex,AK1164)</f>
        <v>44209</v>
      </c>
      <c r="AM1164" s="23">
        <f>_xll.qlIndexFixing(hiborindex,AK1164)</f>
        <v>2.2418049584159356E-3</v>
      </c>
    </row>
    <row r="1165" spans="37:39" x14ac:dyDescent="0.25">
      <c r="AK1165" s="21">
        <f>_xll.qlCalendarAdvance(calendar,AK1164,"1D")</f>
        <v>44208</v>
      </c>
      <c r="AL1165" s="21">
        <f>_xll.qlInterestRateIndexValueDate(hiborindex,AK1165)</f>
        <v>44210</v>
      </c>
      <c r="AM1165" s="23">
        <f>_xll.qlIndexFixing(hiborindex,AK1165)</f>
        <v>2.2500150897663985E-3</v>
      </c>
    </row>
    <row r="1166" spans="37:39" x14ac:dyDescent="0.25">
      <c r="AK1166" s="21">
        <f>_xll.qlCalendarAdvance(calendar,AK1165,"1D")</f>
        <v>44209</v>
      </c>
      <c r="AL1166" s="21">
        <f>_xll.qlInterestRateIndexValueDate(hiborindex,AK1166)</f>
        <v>44211</v>
      </c>
      <c r="AM1166" s="23">
        <f>_xll.qlIndexFixing(hiborindex,AK1166)</f>
        <v>2.2582300641197663E-3</v>
      </c>
    </row>
    <row r="1167" spans="37:39" x14ac:dyDescent="0.25">
      <c r="AK1167" s="21">
        <f>_xll.qlCalendarAdvance(calendar,AK1166,"1D")</f>
        <v>44210</v>
      </c>
      <c r="AL1167" s="21">
        <f>_xll.qlInterestRateIndexValueDate(hiborindex,AK1167)</f>
        <v>44214</v>
      </c>
      <c r="AM1167" s="23">
        <f>_xll.qlIndexFixing(hiborindex,AK1167)</f>
        <v>2.2888071336621867E-3</v>
      </c>
    </row>
    <row r="1168" spans="37:39" x14ac:dyDescent="0.25">
      <c r="AK1168" s="21">
        <f>_xll.qlCalendarAdvance(calendar,AK1167,"1D")</f>
        <v>44211</v>
      </c>
      <c r="AL1168" s="21">
        <f>_xll.qlInterestRateIndexValueDate(hiborindex,AK1168)</f>
        <v>44215</v>
      </c>
      <c r="AM1168" s="23">
        <f>_xll.qlIndexFixing(hiborindex,AK1168)</f>
        <v>2.2911383927436604E-3</v>
      </c>
    </row>
    <row r="1169" spans="37:39" x14ac:dyDescent="0.25">
      <c r="AK1169" s="21">
        <f>_xll.qlCalendarAdvance(calendar,AK1168,"1D")</f>
        <v>44214</v>
      </c>
      <c r="AL1169" s="21">
        <f>_xll.qlInterestRateIndexValueDate(hiborindex,AK1169)</f>
        <v>44216</v>
      </c>
      <c r="AM1169" s="23">
        <f>_xll.qlIndexFixing(hiborindex,AK1169)</f>
        <v>2.2993775830018894E-3</v>
      </c>
    </row>
    <row r="1170" spans="37:39" x14ac:dyDescent="0.25">
      <c r="AK1170" s="21">
        <f>_xll.qlCalendarAdvance(calendar,AK1169,"1D")</f>
        <v>44215</v>
      </c>
      <c r="AL1170" s="21">
        <f>_xll.qlInterestRateIndexValueDate(hiborindex,AK1170)</f>
        <v>44217</v>
      </c>
      <c r="AM1170" s="23">
        <f>_xll.qlIndexFixing(hiborindex,AK1170)</f>
        <v>2.3076216166194236E-3</v>
      </c>
    </row>
    <row r="1171" spans="37:39" x14ac:dyDescent="0.25">
      <c r="AK1171" s="21">
        <f>_xll.qlCalendarAdvance(calendar,AK1170,"1D")</f>
        <v>44216</v>
      </c>
      <c r="AL1171" s="21">
        <f>_xll.qlInterestRateIndexValueDate(hiborindex,AK1171)</f>
        <v>44218</v>
      </c>
      <c r="AM1171" s="23">
        <f>_xll.qlIndexFixing(hiborindex,AK1171)</f>
        <v>2.3158704936580912E-3</v>
      </c>
    </row>
    <row r="1172" spans="37:39" x14ac:dyDescent="0.25">
      <c r="AK1172" s="21">
        <f>_xll.qlCalendarAdvance(calendar,AK1171,"1D")</f>
        <v>44217</v>
      </c>
      <c r="AL1172" s="21">
        <f>_xll.qlInterestRateIndexValueDate(hiborindex,AK1172)</f>
        <v>44221</v>
      </c>
      <c r="AM1172" s="23">
        <f>_xll.qlIndexFixing(hiborindex,AK1172)</f>
        <v>2.3464102513485029E-3</v>
      </c>
    </row>
    <row r="1173" spans="37:39" x14ac:dyDescent="0.25">
      <c r="AK1173" s="21">
        <f>_xll.qlCalendarAdvance(calendar,AK1172,"1D")</f>
        <v>44218</v>
      </c>
      <c r="AL1173" s="21">
        <f>_xll.qlInterestRateIndexValueDate(hiborindex,AK1173)</f>
        <v>44222</v>
      </c>
      <c r="AM1173" s="23">
        <f>_xll.qlIndexFixing(hiborindex,AK1173)</f>
        <v>2.3489144372121E-3</v>
      </c>
    </row>
    <row r="1174" spans="37:39" x14ac:dyDescent="0.25">
      <c r="AK1174" s="21">
        <f>_xll.qlCalendarAdvance(calendar,AK1173,"1D")</f>
        <v>44221</v>
      </c>
      <c r="AL1174" s="21">
        <f>_xll.qlInterestRateIndexValueDate(hiborindex,AK1174)</f>
        <v>44223</v>
      </c>
      <c r="AM1174" s="23">
        <f>_xll.qlIndexFixing(hiborindex,AK1174)</f>
        <v>2.3571875322511903E-3</v>
      </c>
    </row>
    <row r="1175" spans="37:39" x14ac:dyDescent="0.25">
      <c r="AK1175" s="21">
        <f>_xll.qlCalendarAdvance(calendar,AK1174,"1D")</f>
        <v>44222</v>
      </c>
      <c r="AL1175" s="21">
        <f>_xll.qlInterestRateIndexValueDate(hiborindex,AK1175)</f>
        <v>44224</v>
      </c>
      <c r="AM1175" s="23">
        <f>_xll.qlIndexFixing(hiborindex,AK1175)</f>
        <v>2.3654654710704645E-3</v>
      </c>
    </row>
    <row r="1176" spans="37:39" x14ac:dyDescent="0.25">
      <c r="AK1176" s="21">
        <f>_xll.qlCalendarAdvance(calendar,AK1175,"1D")</f>
        <v>44223</v>
      </c>
      <c r="AL1176" s="21">
        <f>_xll.qlInterestRateIndexValueDate(hiborindex,AK1176)</f>
        <v>44225</v>
      </c>
      <c r="AM1176" s="23">
        <f>_xll.qlIndexFixing(hiborindex,AK1176)</f>
        <v>2.3794322979480828E-3</v>
      </c>
    </row>
    <row r="1177" spans="37:39" x14ac:dyDescent="0.25">
      <c r="AK1177" s="21">
        <f>_xll.qlCalendarAdvance(calendar,AK1176,"1D")</f>
        <v>44224</v>
      </c>
      <c r="AL1177" s="21">
        <f>_xll.qlInterestRateIndexValueDate(hiborindex,AK1177)</f>
        <v>44228</v>
      </c>
      <c r="AM1177" s="23">
        <f>_xll.qlIndexFixing(hiborindex,AK1177)</f>
        <v>2.4042494168872923E-3</v>
      </c>
    </row>
    <row r="1178" spans="37:39" x14ac:dyDescent="0.25">
      <c r="AK1178" s="21">
        <f>_xll.qlCalendarAdvance(calendar,AK1177,"1D")</f>
        <v>44225</v>
      </c>
      <c r="AL1178" s="21">
        <f>_xll.qlInterestRateIndexValueDate(hiborindex,AK1178)</f>
        <v>44229</v>
      </c>
      <c r="AM1178" s="23">
        <f>_xll.qlIndexFixing(hiborindex,AK1178)</f>
        <v>2.4069278239748659E-3</v>
      </c>
    </row>
    <row r="1179" spans="37:39" x14ac:dyDescent="0.25">
      <c r="AK1179" s="21">
        <f>_xll.qlCalendarAdvance(calendar,AK1178,"1D")</f>
        <v>44228</v>
      </c>
      <c r="AL1179" s="21">
        <f>_xll.qlInterestRateIndexValueDate(hiborindex,AK1179)</f>
        <v>44230</v>
      </c>
      <c r="AM1179" s="23">
        <f>_xll.qlIndexFixing(hiborindex,AK1179)</f>
        <v>2.4152348267392027E-3</v>
      </c>
    </row>
    <row r="1180" spans="37:39" x14ac:dyDescent="0.25">
      <c r="AK1180" s="21">
        <f>_xll.qlCalendarAdvance(calendar,AK1179,"1D")</f>
        <v>44229</v>
      </c>
      <c r="AL1180" s="21">
        <f>_xll.qlInterestRateIndexValueDate(hiborindex,AK1180)</f>
        <v>44231</v>
      </c>
      <c r="AM1180" s="23">
        <f>_xll.qlIndexFixing(hiborindex,AK1180)</f>
        <v>2.4235466737050435E-3</v>
      </c>
    </row>
    <row r="1181" spans="37:39" x14ac:dyDescent="0.25">
      <c r="AK1181" s="21">
        <f>_xll.qlCalendarAdvance(calendar,AK1180,"1D")</f>
        <v>44230</v>
      </c>
      <c r="AL1181" s="21">
        <f>_xll.qlInterestRateIndexValueDate(hiborindex,AK1181)</f>
        <v>44232</v>
      </c>
      <c r="AM1181" s="23">
        <f>_xll.qlIndexFixing(hiborindex,AK1181)</f>
        <v>2.4318633649328923E-3</v>
      </c>
    </row>
    <row r="1182" spans="37:39" x14ac:dyDescent="0.25">
      <c r="AK1182" s="21">
        <f>_xll.qlCalendarAdvance(calendar,AK1181,"1D")</f>
        <v>44231</v>
      </c>
      <c r="AL1182" s="21">
        <f>_xll.qlInterestRateIndexValueDate(hiborindex,AK1182)</f>
        <v>44235</v>
      </c>
      <c r="AM1182" s="23">
        <f>_xll.qlIndexFixing(hiborindex,AK1182)</f>
        <v>2.4623246508603328E-3</v>
      </c>
    </row>
    <row r="1183" spans="37:39" x14ac:dyDescent="0.25">
      <c r="AK1183" s="21">
        <f>_xll.qlCalendarAdvance(calendar,AK1182,"1D")</f>
        <v>44232</v>
      </c>
      <c r="AL1183" s="21">
        <f>_xll.qlInterestRateIndexValueDate(hiborindex,AK1183)</f>
        <v>44236</v>
      </c>
      <c r="AM1183" s="23">
        <f>_xll.qlIndexFixing(hiborindex,AK1183)</f>
        <v>2.4651785736762178E-3</v>
      </c>
    </row>
    <row r="1184" spans="37:39" x14ac:dyDescent="0.25">
      <c r="AK1184" s="21">
        <f>_xll.qlCalendarAdvance(calendar,AK1183,"1D")</f>
        <v>44235</v>
      </c>
      <c r="AL1184" s="21">
        <f>_xll.qlInterestRateIndexValueDate(hiborindex,AK1184)</f>
        <v>44237</v>
      </c>
      <c r="AM1184" s="23">
        <f>_xll.qlIndexFixing(hiborindex,AK1184)</f>
        <v>2.4735194871216685E-3</v>
      </c>
    </row>
    <row r="1185" spans="37:39" x14ac:dyDescent="0.25">
      <c r="AK1185" s="21">
        <f>_xll.qlCalendarAdvance(calendar,AK1184,"1D")</f>
        <v>44236</v>
      </c>
      <c r="AL1185" s="21">
        <f>_xll.qlInterestRateIndexValueDate(hiborindex,AK1185)</f>
        <v>44238</v>
      </c>
      <c r="AM1185" s="23">
        <f>_xll.qlIndexFixing(hiborindex,AK1185)</f>
        <v>2.4818652451930353E-3</v>
      </c>
    </row>
    <row r="1186" spans="37:39" x14ac:dyDescent="0.25">
      <c r="AK1186" s="21">
        <f>_xll.qlCalendarAdvance(calendar,AK1185,"1D")</f>
        <v>44237</v>
      </c>
      <c r="AL1186" s="21">
        <f>_xll.qlInterestRateIndexValueDate(hiborindex,AK1186)</f>
        <v>44239</v>
      </c>
      <c r="AM1186" s="23">
        <f>_xll.qlIndexFixing(hiborindex,AK1186)</f>
        <v>2.4902158479494971E-3</v>
      </c>
    </row>
    <row r="1187" spans="37:39" x14ac:dyDescent="0.25">
      <c r="AK1187" s="21">
        <f>_xll.qlCalendarAdvance(calendar,AK1186,"1D")</f>
        <v>44238</v>
      </c>
      <c r="AL1187" s="21">
        <f>_xll.qlInterestRateIndexValueDate(hiborindex,AK1187)</f>
        <v>44242</v>
      </c>
      <c r="AM1187" s="23">
        <f>_xll.qlIndexFixing(hiborindex,AK1187)</f>
        <v>2.5206359739381227E-3</v>
      </c>
    </row>
    <row r="1188" spans="37:39" x14ac:dyDescent="0.25">
      <c r="AK1188" s="21">
        <f>_xll.qlCalendarAdvance(calendar,AK1187,"1D")</f>
        <v>44239</v>
      </c>
      <c r="AL1188" s="21">
        <f>_xll.qlInterestRateIndexValueDate(hiborindex,AK1188)</f>
        <v>44243</v>
      </c>
      <c r="AM1188" s="23">
        <f>_xll.qlIndexFixing(hiborindex,AK1188)</f>
        <v>2.523666707046976E-3</v>
      </c>
    </row>
    <row r="1189" spans="37:39" x14ac:dyDescent="0.25">
      <c r="AK1189" s="21">
        <f>_xll.qlCalendarAdvance(calendar,AK1188,"1D")</f>
        <v>44242</v>
      </c>
      <c r="AL1189" s="21">
        <f>_xll.qlInterestRateIndexValueDate(hiborindex,AK1189)</f>
        <v>44244</v>
      </c>
      <c r="AM1189" s="23">
        <f>_xll.qlIndexFixing(hiborindex,AK1189)</f>
        <v>2.5320415341435411E-3</v>
      </c>
    </row>
    <row r="1190" spans="37:39" x14ac:dyDescent="0.25">
      <c r="AK1190" s="21">
        <f>_xll.qlCalendarAdvance(calendar,AK1189,"1D")</f>
        <v>44243</v>
      </c>
      <c r="AL1190" s="21">
        <f>_xll.qlInterestRateIndexValueDate(hiborindex,AK1190)</f>
        <v>44245</v>
      </c>
      <c r="AM1190" s="23">
        <f>_xll.qlIndexFixing(hiborindex,AK1190)</f>
        <v>2.5404212062895503E-3</v>
      </c>
    </row>
    <row r="1191" spans="37:39" x14ac:dyDescent="0.25">
      <c r="AK1191" s="21">
        <f>_xll.qlCalendarAdvance(calendar,AK1190,"1D")</f>
        <v>44244</v>
      </c>
      <c r="AL1191" s="21">
        <f>_xll.qlInterestRateIndexValueDate(hiborindex,AK1191)</f>
        <v>44246</v>
      </c>
      <c r="AM1191" s="23">
        <f>_xll.qlIndexFixing(hiborindex,AK1191)</f>
        <v>2.548805723546833E-3</v>
      </c>
    </row>
    <row r="1192" spans="37:39" x14ac:dyDescent="0.25">
      <c r="AK1192" s="21">
        <f>_xll.qlCalendarAdvance(calendar,AK1191,"1D")</f>
        <v>44245</v>
      </c>
      <c r="AL1192" s="21">
        <f>_xll.qlInterestRateIndexValueDate(hiborindex,AK1192)</f>
        <v>44249</v>
      </c>
      <c r="AM1192" s="23">
        <f>_xll.qlIndexFixing(hiborindex,AK1192)</f>
        <v>2.5791834068732925E-3</v>
      </c>
    </row>
    <row r="1193" spans="37:39" x14ac:dyDescent="0.25">
      <c r="AK1193" s="21">
        <f>_xll.qlCalendarAdvance(calendar,AK1192,"1D")</f>
        <v>44246</v>
      </c>
      <c r="AL1193" s="21">
        <f>_xll.qlInterestRateIndexValueDate(hiborindex,AK1193)</f>
        <v>44250</v>
      </c>
      <c r="AM1193" s="23">
        <f>_xll.qlIndexFixing(hiborindex,AK1193)</f>
        <v>2.5823922449045222E-3</v>
      </c>
    </row>
    <row r="1194" spans="37:39" x14ac:dyDescent="0.25">
      <c r="AK1194" s="21">
        <f>_xll.qlCalendarAdvance(calendar,AK1193,"1D")</f>
        <v>44249</v>
      </c>
      <c r="AL1194" s="21">
        <f>_xll.qlInterestRateIndexValueDate(hiborindex,AK1194)</f>
        <v>44251</v>
      </c>
      <c r="AM1194" s="23">
        <f>_xll.qlIndexFixing(hiborindex,AK1194)</f>
        <v>2.5908009886314752E-3</v>
      </c>
    </row>
    <row r="1195" spans="37:39" x14ac:dyDescent="0.25">
      <c r="AK1195" s="21">
        <f>_xll.qlCalendarAdvance(calendar,AK1194,"1D")</f>
        <v>44250</v>
      </c>
      <c r="AL1195" s="21">
        <f>_xll.qlInterestRateIndexValueDate(hiborindex,AK1195)</f>
        <v>44252</v>
      </c>
      <c r="AM1195" s="23">
        <f>_xll.qlIndexFixing(hiborindex,AK1195)</f>
        <v>2.5992145778344924E-3</v>
      </c>
    </row>
    <row r="1196" spans="37:39" x14ac:dyDescent="0.25">
      <c r="AK1196" s="21">
        <f>_xll.qlCalendarAdvance(calendar,AK1195,"1D")</f>
        <v>44251</v>
      </c>
      <c r="AL1196" s="21">
        <f>_xll.qlInterestRateIndexValueDate(hiborindex,AK1196)</f>
        <v>44253</v>
      </c>
      <c r="AM1196" s="23">
        <f>_xll.qlIndexFixing(hiborindex,AK1196)</f>
        <v>2.6328940777956447E-3</v>
      </c>
    </row>
    <row r="1197" spans="37:39" x14ac:dyDescent="0.25">
      <c r="AK1197" s="21">
        <f>_xll.qlCalendarAdvance(calendar,AK1196,"1D")</f>
        <v>44252</v>
      </c>
      <c r="AL1197" s="21">
        <f>_xll.qlInterestRateIndexValueDate(hiborindex,AK1197)</f>
        <v>44256</v>
      </c>
      <c r="AM1197" s="23">
        <f>_xll.qlIndexFixing(hiborindex,AK1197)</f>
        <v>2.6479773856161789E-3</v>
      </c>
    </row>
    <row r="1198" spans="37:39" x14ac:dyDescent="0.25">
      <c r="AK1198" s="21">
        <f>_xll.qlCalendarAdvance(calendar,AK1197,"1D")</f>
        <v>44253</v>
      </c>
      <c r="AL1198" s="21">
        <f>_xll.qlInterestRateIndexValueDate(hiborindex,AK1198)</f>
        <v>44257</v>
      </c>
      <c r="AM1198" s="23">
        <f>_xll.qlIndexFixing(hiborindex,AK1198)</f>
        <v>2.6563532209801571E-3</v>
      </c>
    </row>
    <row r="1199" spans="37:39" x14ac:dyDescent="0.25">
      <c r="AK1199" s="21">
        <f>_xll.qlCalendarAdvance(calendar,AK1198,"1D")</f>
        <v>44256</v>
      </c>
      <c r="AL1199" s="21">
        <f>_xll.qlInterestRateIndexValueDate(hiborindex,AK1199)</f>
        <v>44258</v>
      </c>
      <c r="AM1199" s="23">
        <f>_xll.qlIndexFixing(hiborindex,AK1199)</f>
        <v>2.6647338239626098E-3</v>
      </c>
    </row>
    <row r="1200" spans="37:39" x14ac:dyDescent="0.25">
      <c r="AK1200" s="21">
        <f>_xll.qlCalendarAdvance(calendar,AK1199,"1D")</f>
        <v>44257</v>
      </c>
      <c r="AL1200" s="21">
        <f>_xll.qlInterestRateIndexValueDate(hiborindex,AK1200)</f>
        <v>44259</v>
      </c>
      <c r="AM1200" s="23">
        <f>_xll.qlIndexFixing(hiborindex,AK1200)</f>
        <v>2.6828936941499541E-3</v>
      </c>
    </row>
    <row r="1201" spans="37:39" x14ac:dyDescent="0.25">
      <c r="AK1201" s="21">
        <f>_xll.qlCalendarAdvance(calendar,AK1200,"1D")</f>
        <v>44258</v>
      </c>
      <c r="AL1201" s="21">
        <f>_xll.qlInterestRateIndexValueDate(hiborindex,AK1201)</f>
        <v>44260</v>
      </c>
      <c r="AM1201" s="23">
        <f>_xll.qlIndexFixing(hiborindex,AK1201)</f>
        <v>2.6863901249293671E-3</v>
      </c>
    </row>
    <row r="1202" spans="37:39" x14ac:dyDescent="0.25">
      <c r="AK1202" s="21">
        <f>_xll.qlCalendarAdvance(calendar,AK1201,"1D")</f>
        <v>44259</v>
      </c>
      <c r="AL1202" s="21">
        <f>_xll.qlInterestRateIndexValueDate(hiborindex,AK1202)</f>
        <v>44263</v>
      </c>
      <c r="AM1202" s="23">
        <f>_xll.qlIndexFixing(hiborindex,AK1202)</f>
        <v>2.7067083552872297E-3</v>
      </c>
    </row>
    <row r="1203" spans="37:39" x14ac:dyDescent="0.25">
      <c r="AK1203" s="21">
        <f>_xll.qlCalendarAdvance(calendar,AK1202,"1D")</f>
        <v>44260</v>
      </c>
      <c r="AL1203" s="21">
        <f>_xll.qlInterestRateIndexValueDate(hiborindex,AK1203)</f>
        <v>44264</v>
      </c>
      <c r="AM1203" s="23">
        <f>_xll.qlIndexFixing(hiborindex,AK1203)</f>
        <v>2.7151175652612401E-3</v>
      </c>
    </row>
    <row r="1204" spans="37:39" x14ac:dyDescent="0.25">
      <c r="AK1204" s="21">
        <f>_xll.qlCalendarAdvance(calendar,AK1203,"1D")</f>
        <v>44263</v>
      </c>
      <c r="AL1204" s="21">
        <f>_xll.qlInterestRateIndexValueDate(hiborindex,AK1204)</f>
        <v>44265</v>
      </c>
      <c r="AM1204" s="23">
        <f>_xll.qlIndexFixing(hiborindex,AK1204)</f>
        <v>2.723531543281209E-3</v>
      </c>
    </row>
    <row r="1205" spans="37:39" x14ac:dyDescent="0.25">
      <c r="AK1205" s="21">
        <f>_xll.qlCalendarAdvance(calendar,AK1204,"1D")</f>
        <v>44264</v>
      </c>
      <c r="AL1205" s="21">
        <f>_xll.qlInterestRateIndexValueDate(hiborindex,AK1205)</f>
        <v>44266</v>
      </c>
      <c r="AM1205" s="23">
        <f>_xll.qlIndexFixing(hiborindex,AK1205)</f>
        <v>2.7414412040899045E-3</v>
      </c>
    </row>
    <row r="1206" spans="37:39" x14ac:dyDescent="0.25">
      <c r="AK1206" s="21">
        <f>_xll.qlCalendarAdvance(calendar,AK1205,"1D")</f>
        <v>44265</v>
      </c>
      <c r="AL1206" s="21">
        <f>_xll.qlInterestRateIndexValueDate(hiborindex,AK1206)</f>
        <v>44267</v>
      </c>
      <c r="AM1206" s="23">
        <f>_xll.qlIndexFixing(hiborindex,AK1206)</f>
        <v>2.7451118560355668E-3</v>
      </c>
    </row>
    <row r="1207" spans="37:39" x14ac:dyDescent="0.25">
      <c r="AK1207" s="21">
        <f>_xll.qlCalendarAdvance(calendar,AK1206,"1D")</f>
        <v>44266</v>
      </c>
      <c r="AL1207" s="21">
        <f>_xll.qlInterestRateIndexValueDate(hiborindex,AK1207)</f>
        <v>44270</v>
      </c>
      <c r="AM1207" s="23">
        <f>_xll.qlIndexFixing(hiborindex,AK1207)</f>
        <v>2.7656729562017621E-3</v>
      </c>
    </row>
    <row r="1208" spans="37:39" x14ac:dyDescent="0.25">
      <c r="AK1208" s="21">
        <f>_xll.qlCalendarAdvance(calendar,AK1207,"1D")</f>
        <v>44267</v>
      </c>
      <c r="AL1208" s="21">
        <f>_xll.qlInterestRateIndexValueDate(hiborindex,AK1208)</f>
        <v>44271</v>
      </c>
      <c r="AM1208" s="23">
        <f>_xll.qlIndexFixing(hiborindex,AK1208)</f>
        <v>2.7741155437790628E-3</v>
      </c>
    </row>
    <row r="1209" spans="37:39" x14ac:dyDescent="0.25">
      <c r="AK1209" s="21">
        <f>_xll.qlCalendarAdvance(calendar,AK1208,"1D")</f>
        <v>44270</v>
      </c>
      <c r="AL1209" s="21">
        <f>_xll.qlInterestRateIndexValueDate(hiborindex,AK1209)</f>
        <v>44272</v>
      </c>
      <c r="AM1209" s="23">
        <f>_xll.qlIndexFixing(hiborindex,AK1209)</f>
        <v>2.78256289983024E-3</v>
      </c>
    </row>
    <row r="1210" spans="37:39" x14ac:dyDescent="0.25">
      <c r="AK1210" s="21">
        <f>_xll.qlCalendarAdvance(calendar,AK1209,"1D")</f>
        <v>44271</v>
      </c>
      <c r="AL1210" s="21">
        <f>_xll.qlInterestRateIndexValueDate(hiborindex,AK1210)</f>
        <v>44273</v>
      </c>
      <c r="AM1210" s="23">
        <f>_xll.qlIndexFixing(hiborindex,AK1210)</f>
        <v>2.8002198676250448E-3</v>
      </c>
    </row>
    <row r="1211" spans="37:39" x14ac:dyDescent="0.25">
      <c r="AK1211" s="21">
        <f>_xll.qlCalendarAdvance(calendar,AK1210,"1D")</f>
        <v>44272</v>
      </c>
      <c r="AL1211" s="21">
        <f>_xll.qlInterestRateIndexValueDate(hiborindex,AK1211)</f>
        <v>44274</v>
      </c>
      <c r="AM1211" s="23">
        <f>_xll.qlIndexFixing(hiborindex,AK1211)</f>
        <v>2.8040659803068029E-3</v>
      </c>
    </row>
    <row r="1212" spans="37:39" x14ac:dyDescent="0.25">
      <c r="AK1212" s="21">
        <f>_xll.qlCalendarAdvance(calendar,AK1211,"1D")</f>
        <v>44273</v>
      </c>
      <c r="AL1212" s="21">
        <f>_xll.qlInterestRateIndexValueDate(hiborindex,AK1212)</f>
        <v>44277</v>
      </c>
      <c r="AM1212" s="23">
        <f>_xll.qlIndexFixing(hiborindex,AK1212)</f>
        <v>2.824871209347336E-3</v>
      </c>
    </row>
    <row r="1213" spans="37:39" x14ac:dyDescent="0.25">
      <c r="AK1213" s="21">
        <f>_xll.qlCalendarAdvance(calendar,AK1212,"1D")</f>
        <v>44274</v>
      </c>
      <c r="AL1213" s="21">
        <f>_xll.qlInterestRateIndexValueDate(hiborindex,AK1213)</f>
        <v>44278</v>
      </c>
      <c r="AM1213" s="23">
        <f>_xll.qlIndexFixing(hiborindex,AK1213)</f>
        <v>2.8333471775329141E-3</v>
      </c>
    </row>
    <row r="1214" spans="37:39" x14ac:dyDescent="0.25">
      <c r="AK1214" s="21">
        <f>_xll.qlCalendarAdvance(calendar,AK1213,"1D")</f>
        <v>44277</v>
      </c>
      <c r="AL1214" s="21">
        <f>_xll.qlInterestRateIndexValueDate(hiborindex,AK1214)</f>
        <v>44279</v>
      </c>
      <c r="AM1214" s="23">
        <f>_xll.qlIndexFixing(hiborindex,AK1214)</f>
        <v>2.8418279146228942E-3</v>
      </c>
    </row>
    <row r="1215" spans="37:39" x14ac:dyDescent="0.25">
      <c r="AK1215" s="21">
        <f>_xll.qlCalendarAdvance(calendar,AK1214,"1D")</f>
        <v>44278</v>
      </c>
      <c r="AL1215" s="21">
        <f>_xll.qlInterestRateIndexValueDate(hiborindex,AK1215)</f>
        <v>44280</v>
      </c>
      <c r="AM1215" s="23">
        <f>_xll.qlIndexFixing(hiborindex,AK1215)</f>
        <v>2.8592297056792824E-3</v>
      </c>
    </row>
    <row r="1216" spans="37:39" x14ac:dyDescent="0.25">
      <c r="AK1216" s="21">
        <f>_xll.qlCalendarAdvance(calendar,AK1215,"1D")</f>
        <v>44279</v>
      </c>
      <c r="AL1216" s="21">
        <f>_xll.qlInterestRateIndexValueDate(hiborindex,AK1216)</f>
        <v>44281</v>
      </c>
      <c r="AM1216" s="23">
        <f>_xll.qlIndexFixing(hiborindex,AK1216)</f>
        <v>2.8632525187278022E-3</v>
      </c>
    </row>
    <row r="1217" spans="37:39" x14ac:dyDescent="0.25">
      <c r="AK1217" s="21">
        <f>_xll.qlCalendarAdvance(calendar,AK1216,"1D")</f>
        <v>44280</v>
      </c>
      <c r="AL1217" s="21">
        <f>_xll.qlInterestRateIndexValueDate(hiborindex,AK1217)</f>
        <v>44284</v>
      </c>
      <c r="AM1217" s="23">
        <f>_xll.qlIndexFixing(hiborindex,AK1217)</f>
        <v>2.8843031357949226E-3</v>
      </c>
    </row>
    <row r="1218" spans="37:39" x14ac:dyDescent="0.25">
      <c r="AK1218" s="21">
        <f>_xll.qlCalendarAdvance(calendar,AK1217,"1D")</f>
        <v>44281</v>
      </c>
      <c r="AL1218" s="21">
        <f>_xll.qlInterestRateIndexValueDate(hiborindex,AK1218)</f>
        <v>44285</v>
      </c>
      <c r="AM1218" s="23">
        <f>_xll.qlIndexFixing(hiborindex,AK1218)</f>
        <v>2.8928124876063644E-3</v>
      </c>
    </row>
    <row r="1219" spans="37:39" x14ac:dyDescent="0.25">
      <c r="AK1219" s="21">
        <f>_xll.qlCalendarAdvance(calendar,AK1218,"1D")</f>
        <v>44284</v>
      </c>
      <c r="AL1219" s="21">
        <f>_xll.qlInterestRateIndexValueDate(hiborindex,AK1219)</f>
        <v>44286</v>
      </c>
      <c r="AM1219" s="23">
        <f>_xll.qlIndexFixing(hiborindex,AK1219)</f>
        <v>2.8969602783037876E-3</v>
      </c>
    </row>
    <row r="1220" spans="37:39" x14ac:dyDescent="0.25">
      <c r="AK1220" s="21">
        <f>_xll.qlCalendarAdvance(calendar,AK1219,"1D")</f>
        <v>44285</v>
      </c>
      <c r="AL1220" s="21">
        <f>_xll.qlInterestRateIndexValueDate(hiborindex,AK1220)</f>
        <v>44287</v>
      </c>
      <c r="AM1220" s="23">
        <f>_xll.qlIndexFixing(hiborindex,AK1220)</f>
        <v>2.9055003769058525E-3</v>
      </c>
    </row>
    <row r="1221" spans="37:39" x14ac:dyDescent="0.25">
      <c r="AK1221" s="21">
        <f>_xll.qlCalendarAdvance(calendar,AK1220,"1D")</f>
        <v>44286</v>
      </c>
      <c r="AL1221" s="21">
        <f>_xll.qlInterestRateIndexValueDate(hiborindex,AK1221)</f>
        <v>44292</v>
      </c>
      <c r="AM1221" s="23">
        <f>_xll.qlIndexFixing(hiborindex,AK1221)</f>
        <v>2.9482727999684748E-3</v>
      </c>
    </row>
    <row r="1222" spans="37:39" x14ac:dyDescent="0.25">
      <c r="AK1222" s="21">
        <f>_xll.qlCalendarAdvance(calendar,AK1221,"1D")</f>
        <v>44287</v>
      </c>
      <c r="AL1222" s="21">
        <f>_xll.qlInterestRateIndexValueDate(hiborindex,AK1222)</f>
        <v>44293</v>
      </c>
      <c r="AM1222" s="23">
        <f>_xll.qlIndexFixing(hiborindex,AK1222)</f>
        <v>2.9568416710264328E-3</v>
      </c>
    </row>
    <row r="1223" spans="37:39" x14ac:dyDescent="0.25">
      <c r="AK1223" s="21">
        <f>_xll.qlCalendarAdvance(calendar,AK1222,"1D")</f>
        <v>44292</v>
      </c>
      <c r="AL1223" s="21">
        <f>_xll.qlInterestRateIndexValueDate(hiborindex,AK1223)</f>
        <v>44294</v>
      </c>
      <c r="AM1223" s="23">
        <f>_xll.qlIndexFixing(hiborindex,AK1223)</f>
        <v>2.9654153377114559E-3</v>
      </c>
    </row>
    <row r="1224" spans="37:39" x14ac:dyDescent="0.25">
      <c r="AK1224" s="21">
        <f>_xll.qlCalendarAdvance(calendar,AK1223,"1D")</f>
        <v>44293</v>
      </c>
      <c r="AL1224" s="21">
        <f>_xll.qlInterestRateIndexValueDate(hiborindex,AK1224)</f>
        <v>44295</v>
      </c>
      <c r="AM1224" s="23">
        <f>_xll.qlIndexFixing(hiborindex,AK1224)</f>
        <v>2.9823229223732363E-3</v>
      </c>
    </row>
    <row r="1225" spans="37:39" x14ac:dyDescent="0.25">
      <c r="AK1225" s="21">
        <f>_xll.qlCalendarAdvance(calendar,AK1224,"1D")</f>
        <v>44294</v>
      </c>
      <c r="AL1225" s="21">
        <f>_xll.qlInterestRateIndexValueDate(hiborindex,AK1225)</f>
        <v>44298</v>
      </c>
      <c r="AM1225" s="23">
        <f>_xll.qlIndexFixing(hiborindex,AK1225)</f>
        <v>2.9997579619688501E-3</v>
      </c>
    </row>
    <row r="1226" spans="37:39" x14ac:dyDescent="0.25">
      <c r="AK1226" s="21">
        <f>_xll.qlCalendarAdvance(calendar,AK1225,"1D")</f>
        <v>44295</v>
      </c>
      <c r="AL1226" s="21">
        <f>_xll.qlInterestRateIndexValueDate(hiborindex,AK1226)</f>
        <v>44299</v>
      </c>
      <c r="AM1226" s="23">
        <f>_xll.qlIndexFixing(hiborindex,AK1226)</f>
        <v>3.0083556077239687E-3</v>
      </c>
    </row>
    <row r="1227" spans="37:39" x14ac:dyDescent="0.25">
      <c r="AK1227" s="21">
        <f>_xll.qlCalendarAdvance(calendar,AK1226,"1D")</f>
        <v>44298</v>
      </c>
      <c r="AL1227" s="21">
        <f>_xll.qlInterestRateIndexValueDate(hiborindex,AK1227)</f>
        <v>44300</v>
      </c>
      <c r="AM1227" s="23">
        <f>_xll.qlIndexFixing(hiborindex,AK1227)</f>
        <v>3.0169580494804975E-3</v>
      </c>
    </row>
    <row r="1228" spans="37:39" x14ac:dyDescent="0.25">
      <c r="AK1228" s="21">
        <f>_xll.qlCalendarAdvance(calendar,AK1227,"1D")</f>
        <v>44299</v>
      </c>
      <c r="AL1228" s="21">
        <f>_xll.qlInterestRateIndexValueDate(hiborindex,AK1228)</f>
        <v>44301</v>
      </c>
      <c r="AM1228" s="23">
        <f>_xll.qlIndexFixing(hiborindex,AK1228)</f>
        <v>3.0255652873004638E-3</v>
      </c>
    </row>
    <row r="1229" spans="37:39" x14ac:dyDescent="0.25">
      <c r="AK1229" s="21">
        <f>_xll.qlCalendarAdvance(calendar,AK1228,"1D")</f>
        <v>44300</v>
      </c>
      <c r="AL1229" s="21">
        <f>_xll.qlInterestRateIndexValueDate(hiborindex,AK1229)</f>
        <v>44302</v>
      </c>
      <c r="AM1229" s="23">
        <f>_xll.qlIndexFixing(hiborindex,AK1229)</f>
        <v>3.0422068299827939E-3</v>
      </c>
    </row>
    <row r="1230" spans="37:39" x14ac:dyDescent="0.25">
      <c r="AK1230" s="21">
        <f>_xll.qlCalendarAdvance(calendar,AK1229,"1D")</f>
        <v>44301</v>
      </c>
      <c r="AL1230" s="21">
        <f>_xll.qlInterestRateIndexValueDate(hiborindex,AK1230)</f>
        <v>44305</v>
      </c>
      <c r="AM1230" s="23">
        <f>_xll.qlIndexFixing(hiborindex,AK1230)</f>
        <v>3.0600422004696515E-3</v>
      </c>
    </row>
    <row r="1231" spans="37:39" x14ac:dyDescent="0.25">
      <c r="AK1231" s="21">
        <f>_xll.qlCalendarAdvance(calendar,AK1230,"1D")</f>
        <v>44302</v>
      </c>
      <c r="AL1231" s="21">
        <f>_xll.qlInterestRateIndexValueDate(hiborindex,AK1231)</f>
        <v>44306</v>
      </c>
      <c r="AM1231" s="23">
        <f>_xll.qlIndexFixing(hiborindex,AK1231)</f>
        <v>3.0686734195476901E-3</v>
      </c>
    </row>
    <row r="1232" spans="37:39" x14ac:dyDescent="0.25">
      <c r="AK1232" s="21">
        <f>_xll.qlCalendarAdvance(calendar,AK1231,"1D")</f>
        <v>44305</v>
      </c>
      <c r="AL1232" s="21">
        <f>_xll.qlInterestRateIndexValueDate(hiborindex,AK1232)</f>
        <v>44307</v>
      </c>
      <c r="AM1232" s="23">
        <f>_xll.qlIndexFixing(hiborindex,AK1232)</f>
        <v>3.0773094350643846E-3</v>
      </c>
    </row>
    <row r="1233" spans="37:39" x14ac:dyDescent="0.25">
      <c r="AK1233" s="21">
        <f>_xll.qlCalendarAdvance(calendar,AK1232,"1D")</f>
        <v>44306</v>
      </c>
      <c r="AL1233" s="21">
        <f>_xll.qlInterestRateIndexValueDate(hiborindex,AK1233)</f>
        <v>44308</v>
      </c>
      <c r="AM1233" s="23">
        <f>_xll.qlIndexFixing(hiborindex,AK1233)</f>
        <v>3.0859502470835091E-3</v>
      </c>
    </row>
    <row r="1234" spans="37:39" x14ac:dyDescent="0.25">
      <c r="AK1234" s="21">
        <f>_xll.qlCalendarAdvance(calendar,AK1233,"1D")</f>
        <v>44307</v>
      </c>
      <c r="AL1234" s="21">
        <f>_xll.qlInterestRateIndexValueDate(hiborindex,AK1234)</f>
        <v>44309</v>
      </c>
      <c r="AM1234" s="23">
        <f>_xll.qlIndexFixing(hiborindex,AK1234)</f>
        <v>3.1023232365123593E-3</v>
      </c>
    </row>
    <row r="1235" spans="37:39" x14ac:dyDescent="0.25">
      <c r="AK1235" s="21">
        <f>_xll.qlCalendarAdvance(calendar,AK1234,"1D")</f>
        <v>44308</v>
      </c>
      <c r="AL1235" s="21">
        <f>_xll.qlInterestRateIndexValueDate(hiborindex,AK1235)</f>
        <v>44312</v>
      </c>
      <c r="AM1235" s="23">
        <f>_xll.qlIndexFixing(hiborindex,AK1235)</f>
        <v>3.1205614614379516E-3</v>
      </c>
    </row>
    <row r="1236" spans="37:39" x14ac:dyDescent="0.25">
      <c r="AK1236" s="21">
        <f>_xll.qlCalendarAdvance(calendar,AK1235,"1D")</f>
        <v>44309</v>
      </c>
      <c r="AL1236" s="21">
        <f>_xll.qlInterestRateIndexValueDate(hiborindex,AK1236)</f>
        <v>44313</v>
      </c>
      <c r="AM1236" s="23">
        <f>_xll.qlIndexFixing(hiborindex,AK1236)</f>
        <v>3.1292262569105507E-3</v>
      </c>
    </row>
    <row r="1237" spans="37:39" x14ac:dyDescent="0.25">
      <c r="AK1237" s="21">
        <f>_xll.qlCalendarAdvance(calendar,AK1236,"1D")</f>
        <v>44312</v>
      </c>
      <c r="AL1237" s="21">
        <f>_xll.qlInterestRateIndexValueDate(hiborindex,AK1237)</f>
        <v>44314</v>
      </c>
      <c r="AM1237" s="23">
        <f>_xll.qlIndexFixing(hiborindex,AK1237)</f>
        <v>3.1378958492621098E-3</v>
      </c>
    </row>
    <row r="1238" spans="37:39" x14ac:dyDescent="0.25">
      <c r="AK1238" s="21">
        <f>_xll.qlCalendarAdvance(calendar,AK1237,"1D")</f>
        <v>44313</v>
      </c>
      <c r="AL1238" s="21">
        <f>_xll.qlInterestRateIndexValueDate(hiborindex,AK1238)</f>
        <v>44315</v>
      </c>
      <c r="AM1238" s="23">
        <f>_xll.qlIndexFixing(hiborindex,AK1238)</f>
        <v>3.1465702385564021E-3</v>
      </c>
    </row>
    <row r="1239" spans="37:39" x14ac:dyDescent="0.25">
      <c r="AK1239" s="21">
        <f>_xll.qlCalendarAdvance(calendar,AK1238,"1D")</f>
        <v>44314</v>
      </c>
      <c r="AL1239" s="21">
        <f>_xll.qlInterestRateIndexValueDate(hiborindex,AK1239)</f>
        <v>44316</v>
      </c>
      <c r="AM1239" s="23">
        <f>_xll.qlIndexFixing(hiborindex,AK1239)</f>
        <v>3.1515153121375195E-3</v>
      </c>
    </row>
    <row r="1240" spans="37:39" x14ac:dyDescent="0.25">
      <c r="AK1240" s="21">
        <f>_xll.qlCalendarAdvance(calendar,AK1239,"1D")</f>
        <v>44315</v>
      </c>
      <c r="AL1240" s="21">
        <f>_xll.qlInterestRateIndexValueDate(hiborindex,AK1240)</f>
        <v>44319</v>
      </c>
      <c r="AM1240" s="23">
        <f>_xll.qlIndexFixing(hiborindex,AK1240)</f>
        <v>3.1849686109245001E-3</v>
      </c>
    </row>
    <row r="1241" spans="37:39" x14ac:dyDescent="0.25">
      <c r="AK1241" s="21">
        <f>_xll.qlCalendarAdvance(calendar,AK1240,"1D")</f>
        <v>44316</v>
      </c>
      <c r="AL1241" s="21">
        <f>_xll.qlInterestRateIndexValueDate(hiborindex,AK1241)</f>
        <v>44320</v>
      </c>
      <c r="AM1241" s="23">
        <f>_xll.qlIndexFixing(hiborindex,AK1241)</f>
        <v>3.1936449265352503E-3</v>
      </c>
    </row>
    <row r="1242" spans="37:39" x14ac:dyDescent="0.25">
      <c r="AK1242" s="21">
        <f>_xll.qlCalendarAdvance(calendar,AK1241,"1D")</f>
        <v>44319</v>
      </c>
      <c r="AL1242" s="21">
        <f>_xll.qlInterestRateIndexValueDate(hiborindex,AK1242)</f>
        <v>44321</v>
      </c>
      <c r="AM1242" s="23">
        <f>_xll.qlIndexFixing(hiborindex,AK1242)</f>
        <v>3.2023260136683075E-3</v>
      </c>
    </row>
    <row r="1243" spans="37:39" x14ac:dyDescent="0.25">
      <c r="AK1243" s="21">
        <f>_xll.qlCalendarAdvance(calendar,AK1242,"1D")</f>
        <v>44320</v>
      </c>
      <c r="AL1243" s="21">
        <f>_xll.qlInterestRateIndexValueDate(hiborindex,AK1243)</f>
        <v>44322</v>
      </c>
      <c r="AM1243" s="23">
        <f>_xll.qlIndexFixing(hiborindex,AK1243)</f>
        <v>3.2181445809731008E-3</v>
      </c>
    </row>
    <row r="1244" spans="37:39" x14ac:dyDescent="0.25">
      <c r="AK1244" s="21">
        <f>_xll.qlCalendarAdvance(calendar,AK1243,"1D")</f>
        <v>44321</v>
      </c>
      <c r="AL1244" s="21">
        <f>_xll.qlInterestRateIndexValueDate(hiborindex,AK1244)</f>
        <v>44323</v>
      </c>
      <c r="AM1244" s="23">
        <f>_xll.qlIndexFixing(hiborindex,AK1244)</f>
        <v>3.2232536320160564E-3</v>
      </c>
    </row>
    <row r="1245" spans="37:39" x14ac:dyDescent="0.25">
      <c r="AK1245" s="21">
        <f>_xll.qlCalendarAdvance(calendar,AK1244,"1D")</f>
        <v>44322</v>
      </c>
      <c r="AL1245" s="21">
        <f>_xll.qlInterestRateIndexValueDate(hiborindex,AK1245)</f>
        <v>44326</v>
      </c>
      <c r="AM1245" s="23">
        <f>_xll.qlIndexFixing(hiborindex,AK1245)</f>
        <v>3.2458030243690591E-3</v>
      </c>
    </row>
    <row r="1246" spans="37:39" x14ac:dyDescent="0.25">
      <c r="AK1246" s="21">
        <f>_xll.qlCalendarAdvance(calendar,AK1245,"1D")</f>
        <v>44323</v>
      </c>
      <c r="AL1246" s="21">
        <f>_xll.qlInterestRateIndexValueDate(hiborindex,AK1246)</f>
        <v>44327</v>
      </c>
      <c r="AM1246" s="23">
        <f>_xll.qlIndexFixing(hiborindex,AK1246)</f>
        <v>3.254512741958383E-3</v>
      </c>
    </row>
    <row r="1247" spans="37:39" x14ac:dyDescent="0.25">
      <c r="AK1247" s="21">
        <f>_xll.qlCalendarAdvance(calendar,AK1246,"1D")</f>
        <v>44326</v>
      </c>
      <c r="AL1247" s="21">
        <f>_xll.qlInterestRateIndexValueDate(hiborindex,AK1247)</f>
        <v>44328</v>
      </c>
      <c r="AM1247" s="23">
        <f>_xll.qlIndexFixing(hiborindex,AK1247)</f>
        <v>3.2632272315122699E-3</v>
      </c>
    </row>
    <row r="1248" spans="37:39" x14ac:dyDescent="0.25">
      <c r="AK1248" s="21">
        <f>_xll.qlCalendarAdvance(calendar,AK1247,"1D")</f>
        <v>44327</v>
      </c>
      <c r="AL1248" s="21">
        <f>_xll.qlInterestRateIndexValueDate(hiborindex,AK1248)</f>
        <v>44329</v>
      </c>
      <c r="AM1248" s="23">
        <f>_xll.qlIndexFixing(hiborindex,AK1248)</f>
        <v>3.278773233434592E-3</v>
      </c>
    </row>
    <row r="1249" spans="37:39" x14ac:dyDescent="0.25">
      <c r="AK1249" s="21">
        <f>_xll.qlCalendarAdvance(calendar,AK1248,"1D")</f>
        <v>44328</v>
      </c>
      <c r="AL1249" s="21">
        <f>_xll.qlInterestRateIndexValueDate(hiborindex,AK1249)</f>
        <v>44330</v>
      </c>
      <c r="AM1249" s="23">
        <f>_xll.qlIndexFixing(hiborindex,AK1249)</f>
        <v>3.2840676640407238E-3</v>
      </c>
    </row>
    <row r="1250" spans="37:39" x14ac:dyDescent="0.25">
      <c r="AK1250" s="21">
        <f>_xll.qlCalendarAdvance(calendar,AK1249,"1D")</f>
        <v>44329</v>
      </c>
      <c r="AL1250" s="21">
        <f>_xll.qlInterestRateIndexValueDate(hiborindex,AK1250)</f>
        <v>44333</v>
      </c>
      <c r="AM1250" s="23">
        <f>_xll.qlIndexFixing(hiborindex,AK1250)</f>
        <v>3.3068712609575081E-3</v>
      </c>
    </row>
    <row r="1251" spans="37:39" x14ac:dyDescent="0.25">
      <c r="AK1251" s="21">
        <f>_xll.qlCalendarAdvance(calendar,AK1250,"1D")</f>
        <v>44330</v>
      </c>
      <c r="AL1251" s="21">
        <f>_xll.qlInterestRateIndexValueDate(hiborindex,AK1251)</f>
        <v>44334</v>
      </c>
      <c r="AM1251" s="23">
        <f>_xll.qlIndexFixing(hiborindex,AK1251)</f>
        <v>3.3156143836255356E-3</v>
      </c>
    </row>
    <row r="1252" spans="37:39" x14ac:dyDescent="0.25">
      <c r="AK1252" s="21">
        <f>_xll.qlCalendarAdvance(calendar,AK1251,"1D")</f>
        <v>44333</v>
      </c>
      <c r="AL1252" s="21">
        <f>_xll.qlInterestRateIndexValueDate(hiborindex,AK1252)</f>
        <v>44335</v>
      </c>
      <c r="AM1252" s="23">
        <f>_xll.qlIndexFixing(hiborindex,AK1252)</f>
        <v>3.3243622787021182E-3</v>
      </c>
    </row>
    <row r="1253" spans="37:39" x14ac:dyDescent="0.25">
      <c r="AK1253" s="21">
        <f>_xll.qlCalendarAdvance(calendar,AK1252,"1D")</f>
        <v>44334</v>
      </c>
      <c r="AL1253" s="21">
        <f>_xll.qlInterestRateIndexValueDate(hiborindex,AK1253)</f>
        <v>44336</v>
      </c>
      <c r="AM1253" s="23">
        <f>_xll.qlIndexFixing(hiborindex,AK1253)</f>
        <v>3.3396332307731023E-3</v>
      </c>
    </row>
    <row r="1254" spans="37:39" x14ac:dyDescent="0.25">
      <c r="AK1254" s="21">
        <f>_xll.qlCalendarAdvance(calendar,AK1253,"1D")</f>
        <v>44335</v>
      </c>
      <c r="AL1254" s="21">
        <f>_xll.qlInterestRateIndexValueDate(hiborindex,AK1254)</f>
        <v>44337</v>
      </c>
      <c r="AM1254" s="23">
        <f>_xll.qlIndexFixing(hiborindex,AK1254)</f>
        <v>3.3451142810873359E-3</v>
      </c>
    </row>
    <row r="1255" spans="37:39" x14ac:dyDescent="0.25">
      <c r="AK1255" s="21">
        <f>_xll.qlCalendarAdvance(calendar,AK1254,"1D")</f>
        <v>44336</v>
      </c>
      <c r="AL1255" s="21">
        <f>_xll.qlInterestRateIndexValueDate(hiborindex,AK1255)</f>
        <v>44340</v>
      </c>
      <c r="AM1255" s="23">
        <f>_xll.qlIndexFixing(hiborindex,AK1255)</f>
        <v>3.3681733424298487E-3</v>
      </c>
    </row>
    <row r="1256" spans="37:39" x14ac:dyDescent="0.25">
      <c r="AK1256" s="21">
        <f>_xll.qlCalendarAdvance(calendar,AK1255,"1D")</f>
        <v>44337</v>
      </c>
      <c r="AL1256" s="21">
        <f>_xll.qlInterestRateIndexValueDate(hiborindex,AK1256)</f>
        <v>44341</v>
      </c>
      <c r="AM1256" s="23">
        <f>_xll.qlIndexFixing(hiborindex,AK1256)</f>
        <v>3.3769498732901756E-3</v>
      </c>
    </row>
    <row r="1257" spans="37:39" x14ac:dyDescent="0.25">
      <c r="AK1257" s="21">
        <f>_xll.qlCalendarAdvance(calendar,AK1256,"1D")</f>
        <v>44340</v>
      </c>
      <c r="AL1257" s="21">
        <f>_xll.qlInterestRateIndexValueDate(hiborindex,AK1257)</f>
        <v>44342</v>
      </c>
      <c r="AM1257" s="23">
        <f>_xll.qlIndexFixing(hiborindex,AK1257)</f>
        <v>3.3857311770034851E-3</v>
      </c>
    </row>
    <row r="1258" spans="37:39" x14ac:dyDescent="0.25">
      <c r="AK1258" s="21">
        <f>_xll.qlCalendarAdvance(calendar,AK1257,"1D")</f>
        <v>44341</v>
      </c>
      <c r="AL1258" s="21">
        <f>_xll.qlInterestRateIndexValueDate(hiborindex,AK1258)</f>
        <v>44343</v>
      </c>
      <c r="AM1258" s="23">
        <f>_xll.qlIndexFixing(hiborindex,AK1258)</f>
        <v>3.400724594655171E-3</v>
      </c>
    </row>
    <row r="1259" spans="37:39" x14ac:dyDescent="0.25">
      <c r="AK1259" s="21">
        <f>_xll.qlCalendarAdvance(calendar,AK1258,"1D")</f>
        <v>44342</v>
      </c>
      <c r="AL1259" s="21">
        <f>_xll.qlInterestRateIndexValueDate(hiborindex,AK1259)</f>
        <v>44344</v>
      </c>
      <c r="AM1259" s="23">
        <f>_xll.qlIndexFixing(hiborindex,AK1259)</f>
        <v>3.4063935048876982E-3</v>
      </c>
    </row>
    <row r="1260" spans="37:39" x14ac:dyDescent="0.25">
      <c r="AK1260" s="21">
        <f>_xll.qlCalendarAdvance(calendar,AK1259,"1D")</f>
        <v>44343</v>
      </c>
      <c r="AL1260" s="21">
        <f>_xll.qlInterestRateIndexValueDate(hiborindex,AK1260)</f>
        <v>44347</v>
      </c>
      <c r="AM1260" s="23">
        <f>_xll.qlIndexFixing(hiborindex,AK1260)</f>
        <v>3.426683860247518E-3</v>
      </c>
    </row>
    <row r="1261" spans="37:39" x14ac:dyDescent="0.25">
      <c r="AK1261" s="21">
        <f>_xll.qlCalendarAdvance(calendar,AK1260,"1D")</f>
        <v>44344</v>
      </c>
      <c r="AL1261" s="21">
        <f>_xll.qlInterestRateIndexValueDate(hiborindex,AK1261)</f>
        <v>44348</v>
      </c>
      <c r="AM1261" s="23">
        <f>_xll.qlIndexFixing(hiborindex,AK1261)</f>
        <v>3.4355165842017291E-3</v>
      </c>
    </row>
    <row r="1262" spans="37:39" x14ac:dyDescent="0.25">
      <c r="AK1262" s="21">
        <f>_xll.qlCalendarAdvance(calendar,AK1261,"1D")</f>
        <v>44347</v>
      </c>
      <c r="AL1262" s="21">
        <f>_xll.qlInterestRateIndexValueDate(hiborindex,AK1262)</f>
        <v>44349</v>
      </c>
      <c r="AM1262" s="23">
        <f>_xll.qlIndexFixing(hiborindex,AK1262)</f>
        <v>3.4443541072608792E-3</v>
      </c>
    </row>
    <row r="1263" spans="37:39" x14ac:dyDescent="0.25">
      <c r="AK1263" s="21">
        <f>_xll.qlCalendarAdvance(calendar,AK1262,"1D")</f>
        <v>44348</v>
      </c>
      <c r="AL1263" s="21">
        <f>_xll.qlInterestRateIndexValueDate(hiborindex,AK1263)</f>
        <v>44350</v>
      </c>
      <c r="AM1263" s="23">
        <f>_xll.qlIndexFixing(hiborindex,AK1263)</f>
        <v>3.4531964294887414E-3</v>
      </c>
    </row>
    <row r="1264" spans="37:39" x14ac:dyDescent="0.25">
      <c r="AK1264" s="21">
        <f>_xll.qlCalendarAdvance(calendar,AK1263,"1D")</f>
        <v>44349</v>
      </c>
      <c r="AL1264" s="21">
        <f>_xll.qlInterestRateIndexValueDate(hiborindex,AK1264)</f>
        <v>44351</v>
      </c>
      <c r="AM1264" s="23">
        <f>_xll.qlIndexFixing(hiborindex,AK1264)</f>
        <v>3.4679053572600335E-3</v>
      </c>
    </row>
    <row r="1265" spans="37:39" x14ac:dyDescent="0.25">
      <c r="AK1265" s="21">
        <f>_xll.qlCalendarAdvance(calendar,AK1264,"1D")</f>
        <v>44350</v>
      </c>
      <c r="AL1265" s="21">
        <f>_xll.qlInterestRateIndexValueDate(hiborindex,AK1265)</f>
        <v>44354</v>
      </c>
      <c r="AM1265" s="23">
        <f>_xll.qlIndexFixing(hiborindex,AK1265)</f>
        <v>3.4886137113741586E-3</v>
      </c>
    </row>
    <row r="1266" spans="37:39" x14ac:dyDescent="0.25">
      <c r="AK1266" s="21">
        <f>_xll.qlCalendarAdvance(calendar,AK1265,"1D")</f>
        <v>44351</v>
      </c>
      <c r="AL1266" s="21">
        <f>_xll.qlInterestRateIndexValueDate(hiborindex,AK1266)</f>
        <v>44355</v>
      </c>
      <c r="AM1266" s="23">
        <f>_xll.qlIndexFixing(hiborindex,AK1266)</f>
        <v>3.4974800304104956E-3</v>
      </c>
    </row>
    <row r="1267" spans="37:39" x14ac:dyDescent="0.25">
      <c r="AK1267" s="21">
        <f>_xll.qlCalendarAdvance(calendar,AK1266,"1D")</f>
        <v>44354</v>
      </c>
      <c r="AL1267" s="21">
        <f>_xll.qlInterestRateIndexValueDate(hiborindex,AK1267)</f>
        <v>44356</v>
      </c>
      <c r="AM1267" s="23">
        <f>_xll.qlIndexFixing(hiborindex,AK1267)</f>
        <v>3.5063511490016851E-3</v>
      </c>
    </row>
    <row r="1268" spans="37:39" x14ac:dyDescent="0.25">
      <c r="AK1268" s="21">
        <f>_xll.qlCalendarAdvance(calendar,AK1267,"1D")</f>
        <v>44355</v>
      </c>
      <c r="AL1268" s="21">
        <f>_xll.qlInterestRateIndexValueDate(hiborindex,AK1268)</f>
        <v>44357</v>
      </c>
      <c r="AM1268" s="23">
        <f>_xll.qlIndexFixing(hiborindex,AK1268)</f>
        <v>3.5152270672123738E-3</v>
      </c>
    </row>
    <row r="1269" spans="37:39" x14ac:dyDescent="0.25">
      <c r="AK1269" s="21">
        <f>_xll.qlCalendarAdvance(calendar,AK1268,"1D")</f>
        <v>44356</v>
      </c>
      <c r="AL1269" s="21">
        <f>_xll.qlInterestRateIndexValueDate(hiborindex,AK1269)</f>
        <v>44358</v>
      </c>
      <c r="AM1269" s="23">
        <f>_xll.qlIndexFixing(hiborindex,AK1269)</f>
        <v>3.5296498601037974E-3</v>
      </c>
    </row>
    <row r="1270" spans="37:39" x14ac:dyDescent="0.25">
      <c r="AK1270" s="21">
        <f>_xll.qlCalendarAdvance(calendar,AK1269,"1D")</f>
        <v>44357</v>
      </c>
      <c r="AL1270" s="21">
        <f>_xll.qlInterestRateIndexValueDate(hiborindex,AK1270)</f>
        <v>44361</v>
      </c>
      <c r="AM1270" s="23">
        <f>_xll.qlIndexFixing(hiborindex,AK1270)</f>
        <v>3.5507787375382758E-3</v>
      </c>
    </row>
    <row r="1271" spans="37:39" x14ac:dyDescent="0.25">
      <c r="AK1271" s="21">
        <f>_xll.qlCalendarAdvance(calendar,AK1270,"1D")</f>
        <v>44358</v>
      </c>
      <c r="AL1271" s="21">
        <f>_xll.qlInterestRateIndexValueDate(hiborindex,AK1271)</f>
        <v>44362</v>
      </c>
      <c r="AM1271" s="23">
        <f>_xll.qlIndexFixing(hiborindex,AK1271)</f>
        <v>3.5596786548135586E-3</v>
      </c>
    </row>
    <row r="1272" spans="37:39" x14ac:dyDescent="0.25">
      <c r="AK1272" s="21">
        <f>_xll.qlCalendarAdvance(calendar,AK1271,"1D")</f>
        <v>44361</v>
      </c>
      <c r="AL1272" s="21">
        <f>_xll.qlInterestRateIndexValueDate(hiborindex,AK1272)</f>
        <v>44363</v>
      </c>
      <c r="AM1272" s="23">
        <f>_xll.qlIndexFixing(hiborindex,AK1272)</f>
        <v>3.5685833720957901E-3</v>
      </c>
    </row>
    <row r="1273" spans="37:39" x14ac:dyDescent="0.25">
      <c r="AK1273" s="21">
        <f>_xll.qlCalendarAdvance(calendar,AK1272,"1D")</f>
        <v>44362</v>
      </c>
      <c r="AL1273" s="21">
        <f>_xll.qlInterestRateIndexValueDate(hiborindex,AK1273)</f>
        <v>44364</v>
      </c>
      <c r="AM1273" s="23">
        <f>_xll.qlIndexFixing(hiborindex,AK1273)</f>
        <v>3.5774928894487454E-3</v>
      </c>
    </row>
    <row r="1274" spans="37:39" x14ac:dyDescent="0.25">
      <c r="AK1274" s="21">
        <f>_xll.qlCalendarAdvance(calendar,AK1273,"1D")</f>
        <v>44363</v>
      </c>
      <c r="AL1274" s="21">
        <f>_xll.qlInterestRateIndexValueDate(hiborindex,AK1274)</f>
        <v>44365</v>
      </c>
      <c r="AM1274" s="23">
        <f>_xll.qlIndexFixing(hiborindex,AK1274)</f>
        <v>3.5916270354022697E-3</v>
      </c>
    </row>
    <row r="1275" spans="37:39" x14ac:dyDescent="0.25">
      <c r="AK1275" s="21">
        <f>_xll.qlCalendarAdvance(calendar,AK1274,"1D")</f>
        <v>44364</v>
      </c>
      <c r="AL1275" s="21">
        <f>_xll.qlInterestRateIndexValueDate(hiborindex,AK1275)</f>
        <v>44368</v>
      </c>
      <c r="AM1275" s="23">
        <f>_xll.qlIndexFixing(hiborindex,AK1275)</f>
        <v>3.6131789608729852E-3</v>
      </c>
    </row>
    <row r="1276" spans="37:39" x14ac:dyDescent="0.25">
      <c r="AK1276" s="21">
        <f>_xll.qlCalendarAdvance(calendar,AK1275,"1D")</f>
        <v>44365</v>
      </c>
      <c r="AL1276" s="21">
        <f>_xll.qlInterestRateIndexValueDate(hiborindex,AK1276)</f>
        <v>44369</v>
      </c>
      <c r="AM1276" s="23">
        <f>_xll.qlIndexFixing(hiborindex,AK1276)</f>
        <v>3.6221124795553891E-3</v>
      </c>
    </row>
    <row r="1277" spans="37:39" x14ac:dyDescent="0.25">
      <c r="AK1277" s="21">
        <f>_xll.qlCalendarAdvance(calendar,AK1276,"1D")</f>
        <v>44368</v>
      </c>
      <c r="AL1277" s="21">
        <f>_xll.qlInterestRateIndexValueDate(hiborindex,AK1277)</f>
        <v>44370</v>
      </c>
      <c r="AM1277" s="23">
        <f>_xll.qlIndexFixing(hiborindex,AK1277)</f>
        <v>3.6310507986990234E-3</v>
      </c>
    </row>
    <row r="1278" spans="37:39" x14ac:dyDescent="0.25">
      <c r="AK1278" s="21">
        <f>_xll.qlCalendarAdvance(calendar,AK1277,"1D")</f>
        <v>44369</v>
      </c>
      <c r="AL1278" s="21">
        <f>_xll.qlInterestRateIndexValueDate(hiborindex,AK1278)</f>
        <v>44371</v>
      </c>
      <c r="AM1278" s="23">
        <f>_xll.qlIndexFixing(hiborindex,AK1278)</f>
        <v>3.6399939183672258E-3</v>
      </c>
    </row>
    <row r="1279" spans="37:39" x14ac:dyDescent="0.25">
      <c r="AK1279" s="21">
        <f>_xll.qlCalendarAdvance(calendar,AK1278,"1D")</f>
        <v>44370</v>
      </c>
      <c r="AL1279" s="21">
        <f>_xll.qlInterestRateIndexValueDate(hiborindex,AK1279)</f>
        <v>44372</v>
      </c>
      <c r="AM1279" s="23">
        <f>_xll.qlIndexFixing(hiborindex,AK1279)</f>
        <v>3.6538369052221231E-3</v>
      </c>
    </row>
    <row r="1280" spans="37:39" x14ac:dyDescent="0.25">
      <c r="AK1280" s="21">
        <f>_xll.qlCalendarAdvance(calendar,AK1279,"1D")</f>
        <v>44371</v>
      </c>
      <c r="AL1280" s="21">
        <f>_xll.qlInterestRateIndexValueDate(hiborindex,AK1280)</f>
        <v>44375</v>
      </c>
      <c r="AM1280" s="23">
        <f>_xll.qlIndexFixing(hiborindex,AK1280)</f>
        <v>3.6758144035948319E-3</v>
      </c>
    </row>
    <row r="1281" spans="37:39" x14ac:dyDescent="0.25">
      <c r="AK1281" s="21">
        <f>_xll.qlCalendarAdvance(calendar,AK1280,"1D")</f>
        <v>44372</v>
      </c>
      <c r="AL1281" s="21">
        <f>_xll.qlInterestRateIndexValueDate(hiborindex,AK1281)</f>
        <v>44376</v>
      </c>
      <c r="AM1281" s="23">
        <f>_xll.qlIndexFixing(hiborindex,AK1281)</f>
        <v>3.6847815268656373E-3</v>
      </c>
    </row>
    <row r="1282" spans="37:39" x14ac:dyDescent="0.25">
      <c r="AK1282" s="21">
        <f>_xll.qlCalendarAdvance(calendar,AK1281,"1D")</f>
        <v>44375</v>
      </c>
      <c r="AL1282" s="21">
        <f>_xll.qlInterestRateIndexValueDate(hiborindex,AK1282)</f>
        <v>44377</v>
      </c>
      <c r="AM1282" s="23">
        <f>_xll.qlIndexFixing(hiborindex,AK1282)</f>
        <v>3.6960842027960296E-3</v>
      </c>
    </row>
    <row r="1283" spans="37:39" x14ac:dyDescent="0.25">
      <c r="AK1283" s="21">
        <f>_xll.qlCalendarAdvance(calendar,AK1282,"1D")</f>
        <v>44376</v>
      </c>
      <c r="AL1283" s="21">
        <f>_xll.qlInterestRateIndexValueDate(hiborindex,AK1283)</f>
        <v>44378</v>
      </c>
      <c r="AM1283" s="23">
        <f>_xll.qlIndexFixing(hiborindex,AK1283)</f>
        <v>3.7053695988616352E-3</v>
      </c>
    </row>
    <row r="1284" spans="37:39" x14ac:dyDescent="0.25">
      <c r="AK1284" s="21">
        <f>_xll.qlCalendarAdvance(calendar,AK1283,"1D")</f>
        <v>44377</v>
      </c>
      <c r="AL1284" s="21">
        <f>_xll.qlInterestRateIndexValueDate(hiborindex,AK1284)</f>
        <v>44379</v>
      </c>
      <c r="AM1284" s="23">
        <f>_xll.qlIndexFixing(hiborindex,AK1284)</f>
        <v>3.7076623931660605E-3</v>
      </c>
    </row>
    <row r="1285" spans="37:39" x14ac:dyDescent="0.25">
      <c r="AK1285" s="21">
        <f>_xll.qlCalendarAdvance(calendar,AK1284,"1D")</f>
        <v>44378</v>
      </c>
      <c r="AL1285" s="21">
        <f>_xll.qlInterestRateIndexValueDate(hiborindex,AK1285)</f>
        <v>44382</v>
      </c>
      <c r="AM1285" s="23">
        <f>_xll.qlIndexFixing(hiborindex,AK1285)</f>
        <v>3.719202490612296E-3</v>
      </c>
    </row>
    <row r="1286" spans="37:39" x14ac:dyDescent="0.25">
      <c r="AK1286" s="21">
        <f>_xll.qlCalendarAdvance(calendar,AK1285,"1D")</f>
        <v>44379</v>
      </c>
      <c r="AL1286" s="21">
        <f>_xll.qlInterestRateIndexValueDate(hiborindex,AK1286)</f>
        <v>44383</v>
      </c>
      <c r="AM1286" s="23">
        <f>_xll.qlIndexFixing(hiborindex,AK1286)</f>
        <v>3.7238261808938125E-3</v>
      </c>
    </row>
    <row r="1287" spans="37:39" x14ac:dyDescent="0.25">
      <c r="AK1287" s="21">
        <f>_xll.qlCalendarAdvance(calendar,AK1286,"1D")</f>
        <v>44382</v>
      </c>
      <c r="AL1287" s="21">
        <f>_xll.qlInterestRateIndexValueDate(hiborindex,AK1287)</f>
        <v>44384</v>
      </c>
      <c r="AM1287" s="23">
        <f>_xll.qlIndexFixing(hiborindex,AK1287)</f>
        <v>3.728449882080953E-3</v>
      </c>
    </row>
    <row r="1288" spans="37:39" x14ac:dyDescent="0.25">
      <c r="AK1288" s="21">
        <f>_xll.qlCalendarAdvance(calendar,AK1287,"1D")</f>
        <v>44383</v>
      </c>
      <c r="AL1288" s="21">
        <f>_xll.qlInterestRateIndexValueDate(hiborindex,AK1288)</f>
        <v>44385</v>
      </c>
      <c r="AM1288" s="23">
        <f>_xll.qlIndexFixing(hiborindex,AK1288)</f>
        <v>3.737736099368485E-3</v>
      </c>
    </row>
    <row r="1289" spans="37:39" x14ac:dyDescent="0.25">
      <c r="AK1289" s="21">
        <f>_xll.qlCalendarAdvance(calendar,AK1288,"1D")</f>
        <v>44384</v>
      </c>
      <c r="AL1289" s="21">
        <f>_xll.qlInterestRateIndexValueDate(hiborindex,AK1289)</f>
        <v>44386</v>
      </c>
      <c r="AM1289" s="23">
        <f>_xll.qlIndexFixing(hiborindex,AK1289)</f>
        <v>3.740028597781529E-3</v>
      </c>
    </row>
    <row r="1290" spans="37:39" x14ac:dyDescent="0.25">
      <c r="AK1290" s="21">
        <f>_xll.qlCalendarAdvance(calendar,AK1289,"1D")</f>
        <v>44385</v>
      </c>
      <c r="AL1290" s="21">
        <f>_xll.qlInterestRateIndexValueDate(hiborindex,AK1290)</f>
        <v>44389</v>
      </c>
      <c r="AM1290" s="23">
        <f>_xll.qlIndexFixing(hiborindex,AK1290)</f>
        <v>3.7515685516097074E-3</v>
      </c>
    </row>
    <row r="1291" spans="37:39" x14ac:dyDescent="0.25">
      <c r="AK1291" s="21">
        <f>_xll.qlCalendarAdvance(calendar,AK1290,"1D")</f>
        <v>44386</v>
      </c>
      <c r="AL1291" s="21">
        <f>_xll.qlInterestRateIndexValueDate(hiborindex,AK1291)</f>
        <v>44390</v>
      </c>
      <c r="AM1291" s="23">
        <f>_xll.qlIndexFixing(hiborindex,AK1291)</f>
        <v>3.7561923182340686E-3</v>
      </c>
    </row>
    <row r="1292" spans="37:39" x14ac:dyDescent="0.25">
      <c r="AK1292" s="21">
        <f>_xll.qlCalendarAdvance(calendar,AK1291,"1D")</f>
        <v>44389</v>
      </c>
      <c r="AL1292" s="21">
        <f>_xll.qlInterestRateIndexValueDate(hiborindex,AK1292)</f>
        <v>44391</v>
      </c>
      <c r="AM1292" s="23">
        <f>_xll.qlIndexFixing(hiborindex,AK1292)</f>
        <v>3.7608160957644885E-3</v>
      </c>
    </row>
    <row r="1293" spans="37:39" x14ac:dyDescent="0.25">
      <c r="AK1293" s="21">
        <f>_xll.qlCalendarAdvance(calendar,AK1292,"1D")</f>
        <v>44390</v>
      </c>
      <c r="AL1293" s="21">
        <f>_xll.qlInterestRateIndexValueDate(hiborindex,AK1293)</f>
        <v>44392</v>
      </c>
      <c r="AM1293" s="23">
        <f>_xll.qlIndexFixing(hiborindex,AK1293)</f>
        <v>3.7701031400961061E-3</v>
      </c>
    </row>
    <row r="1294" spans="37:39" x14ac:dyDescent="0.25">
      <c r="AK1294" s="21">
        <f>_xll.qlCalendarAdvance(calendar,AK1293,"1D")</f>
        <v>44391</v>
      </c>
      <c r="AL1294" s="21">
        <f>_xll.qlInterestRateIndexValueDate(hiborindex,AK1294)</f>
        <v>44393</v>
      </c>
      <c r="AM1294" s="23">
        <f>_xll.qlIndexFixing(hiborindex,AK1294)</f>
        <v>3.7723953397081661E-3</v>
      </c>
    </row>
    <row r="1295" spans="37:39" x14ac:dyDescent="0.25">
      <c r="AK1295" s="21">
        <f>_xll.qlCalendarAdvance(calendar,AK1294,"1D")</f>
        <v>44392</v>
      </c>
      <c r="AL1295" s="21">
        <f>_xll.qlInterestRateIndexValueDate(hiborindex,AK1295)</f>
        <v>44396</v>
      </c>
      <c r="AM1295" s="23">
        <f>_xll.qlIndexFixing(hiborindex,AK1295)</f>
        <v>3.7839351470113783E-3</v>
      </c>
    </row>
    <row r="1296" spans="37:39" x14ac:dyDescent="0.25">
      <c r="AK1296" s="21">
        <f>_xll.qlCalendarAdvance(calendar,AK1295,"1D")</f>
        <v>44393</v>
      </c>
      <c r="AL1296" s="21">
        <f>_xll.qlInterestRateIndexValueDate(hiborindex,AK1296)</f>
        <v>44397</v>
      </c>
      <c r="AM1296" s="23">
        <f>_xll.qlIndexFixing(hiborindex,AK1296)</f>
        <v>3.788558989979888E-3</v>
      </c>
    </row>
    <row r="1297" spans="37:39" x14ac:dyDescent="0.25">
      <c r="AK1297" s="21">
        <f>_xll.qlCalendarAdvance(calendar,AK1296,"1D")</f>
        <v>44396</v>
      </c>
      <c r="AL1297" s="21">
        <f>_xll.qlInterestRateIndexValueDate(hiborindex,AK1297)</f>
        <v>44398</v>
      </c>
      <c r="AM1297" s="23">
        <f>_xll.qlIndexFixing(hiborindex,AK1297)</f>
        <v>3.7931828438553254E-3</v>
      </c>
    </row>
    <row r="1298" spans="37:39" x14ac:dyDescent="0.25">
      <c r="AK1298" s="21">
        <f>_xll.qlCalendarAdvance(calendar,AK1297,"1D")</f>
        <v>44397</v>
      </c>
      <c r="AL1298" s="21">
        <f>_xll.qlInterestRateIndexValueDate(hiborindex,AK1298)</f>
        <v>44399</v>
      </c>
      <c r="AM1298" s="23">
        <f>_xll.qlIndexFixing(hiborindex,AK1298)</f>
        <v>3.8024707210535234E-3</v>
      </c>
    </row>
    <row r="1299" spans="37:39" x14ac:dyDescent="0.25">
      <c r="AK1299" s="21">
        <f>_xll.qlCalendarAdvance(calendar,AK1298,"1D")</f>
        <v>44398</v>
      </c>
      <c r="AL1299" s="21">
        <f>_xll.qlInterestRateIndexValueDate(hiborindex,AK1299)</f>
        <v>44400</v>
      </c>
      <c r="AM1299" s="23">
        <f>_xll.qlIndexFixing(hiborindex,AK1299)</f>
        <v>3.8047626189554777E-3</v>
      </c>
    </row>
    <row r="1300" spans="37:39" x14ac:dyDescent="0.25">
      <c r="AK1300" s="21">
        <f>_xll.qlCalendarAdvance(calendar,AK1299,"1D")</f>
        <v>44399</v>
      </c>
      <c r="AL1300" s="21">
        <f>_xll.qlInterestRateIndexValueDate(hiborindex,AK1300)</f>
        <v>44403</v>
      </c>
      <c r="AM1300" s="23">
        <f>_xll.qlIndexFixing(hiborindex,AK1300)</f>
        <v>3.8163022768268671E-3</v>
      </c>
    </row>
    <row r="1301" spans="37:39" x14ac:dyDescent="0.25">
      <c r="AK1301" s="21">
        <f>_xll.qlCalendarAdvance(calendar,AK1300,"1D")</f>
        <v>44400</v>
      </c>
      <c r="AL1301" s="21">
        <f>_xll.qlInterestRateIndexValueDate(hiborindex,AK1301)</f>
        <v>44404</v>
      </c>
      <c r="AM1301" s="23">
        <f>_xll.qlIndexFixing(hiborindex,AK1301)</f>
        <v>3.8209261961412626E-3</v>
      </c>
    </row>
    <row r="1302" spans="37:39" x14ac:dyDescent="0.25">
      <c r="AK1302" s="21">
        <f>_xll.qlCalendarAdvance(calendar,AK1301,"1D")</f>
        <v>44403</v>
      </c>
      <c r="AL1302" s="21">
        <f>_xll.qlInterestRateIndexValueDate(hiborindex,AK1302)</f>
        <v>44405</v>
      </c>
      <c r="AM1302" s="23">
        <f>_xll.qlIndexFixing(hiborindex,AK1302)</f>
        <v>3.8255501263617171E-3</v>
      </c>
    </row>
    <row r="1303" spans="37:39" x14ac:dyDescent="0.25">
      <c r="AK1303" s="21">
        <f>_xll.qlCalendarAdvance(calendar,AK1302,"1D")</f>
        <v>44404</v>
      </c>
      <c r="AL1303" s="21">
        <f>_xll.qlInterestRateIndexValueDate(hiborindex,AK1303)</f>
        <v>44406</v>
      </c>
      <c r="AM1303" s="23">
        <f>_xll.qlIndexFixing(hiborindex,AK1303)</f>
        <v>3.834838842250192E-3</v>
      </c>
    </row>
    <row r="1304" spans="37:39" x14ac:dyDescent="0.25">
      <c r="AK1304" s="21">
        <f>_xll.qlCalendarAdvance(calendar,AK1303,"1D")</f>
        <v>44405</v>
      </c>
      <c r="AL1304" s="21">
        <f>_xll.qlInterestRateIndexValueDate(hiborindex,AK1304)</f>
        <v>44407</v>
      </c>
      <c r="AM1304" s="23">
        <f>_xll.qlIndexFixing(hiborindex,AK1304)</f>
        <v>3.8371304355325378E-3</v>
      </c>
    </row>
    <row r="1305" spans="37:39" x14ac:dyDescent="0.25">
      <c r="AK1305" s="21">
        <f>_xll.qlCalendarAdvance(calendar,AK1304,"1D")</f>
        <v>44406</v>
      </c>
      <c r="AL1305" s="21">
        <f>_xll.qlInterestRateIndexValueDate(hiborindex,AK1305)</f>
        <v>44410</v>
      </c>
      <c r="AM1305" s="23">
        <f>_xll.qlIndexFixing(hiborindex,AK1305)</f>
        <v>3.8486699410648618E-3</v>
      </c>
    </row>
    <row r="1306" spans="37:39" x14ac:dyDescent="0.25">
      <c r="AK1306" s="21">
        <f>_xll.qlCalendarAdvance(calendar,AK1305,"1D")</f>
        <v>44407</v>
      </c>
      <c r="AL1306" s="21">
        <f>_xll.qlInterestRateIndexValueDate(hiborindex,AK1306)</f>
        <v>44411</v>
      </c>
      <c r="AM1306" s="23">
        <f>_xll.qlIndexFixing(hiborindex,AK1306)</f>
        <v>3.8532939367255784E-3</v>
      </c>
    </row>
    <row r="1307" spans="37:39" x14ac:dyDescent="0.25">
      <c r="AK1307" s="21">
        <f>_xll.qlCalendarAdvance(calendar,AK1306,"1D")</f>
        <v>44410</v>
      </c>
      <c r="AL1307" s="21">
        <f>_xll.qlInterestRateIndexValueDate(hiborindex,AK1307)</f>
        <v>44412</v>
      </c>
      <c r="AM1307" s="23">
        <f>_xll.qlIndexFixing(hiborindex,AK1307)</f>
        <v>3.8579179432932224E-3</v>
      </c>
    </row>
    <row r="1308" spans="37:39" x14ac:dyDescent="0.25">
      <c r="AK1308" s="21">
        <f>_xll.qlCalendarAdvance(calendar,AK1307,"1D")</f>
        <v>44411</v>
      </c>
      <c r="AL1308" s="21">
        <f>_xll.qlInterestRateIndexValueDate(hiborindex,AK1308)</f>
        <v>44413</v>
      </c>
      <c r="AM1308" s="23">
        <f>_xll.qlIndexFixing(hiborindex,AK1308)</f>
        <v>3.8672075036942774E-3</v>
      </c>
    </row>
    <row r="1309" spans="37:39" x14ac:dyDescent="0.25">
      <c r="AK1309" s="21">
        <f>_xll.qlCalendarAdvance(calendar,AK1308,"1D")</f>
        <v>44412</v>
      </c>
      <c r="AL1309" s="21">
        <f>_xll.qlInterestRateIndexValueDate(hiborindex,AK1309)</f>
        <v>44414</v>
      </c>
      <c r="AM1309" s="23">
        <f>_xll.qlIndexFixing(hiborindex,AK1309)</f>
        <v>3.8694987894471234E-3</v>
      </c>
    </row>
    <row r="1310" spans="37:39" x14ac:dyDescent="0.25">
      <c r="AK1310" s="21">
        <f>_xll.qlCalendarAdvance(calendar,AK1309,"1D")</f>
        <v>44413</v>
      </c>
      <c r="AL1310" s="21">
        <f>_xll.qlInterestRateIndexValueDate(hiborindex,AK1310)</f>
        <v>44417</v>
      </c>
      <c r="AM1310" s="23">
        <f>_xll.qlIndexFixing(hiborindex,AK1310)</f>
        <v>3.8810381397340514E-3</v>
      </c>
    </row>
    <row r="1311" spans="37:39" x14ac:dyDescent="0.25">
      <c r="AK1311" s="21">
        <f>_xll.qlCalendarAdvance(calendar,AK1310,"1D")</f>
        <v>44414</v>
      </c>
      <c r="AL1311" s="21">
        <f>_xll.qlInterestRateIndexValueDate(hiborindex,AK1311)</f>
        <v>44418</v>
      </c>
      <c r="AM1311" s="23">
        <f>_xll.qlIndexFixing(hiborindex,AK1311)</f>
        <v>3.8856622117423921E-3</v>
      </c>
    </row>
    <row r="1312" spans="37:39" x14ac:dyDescent="0.25">
      <c r="AK1312" s="21">
        <f>_xll.qlCalendarAdvance(calendar,AK1311,"1D")</f>
        <v>44417</v>
      </c>
      <c r="AL1312" s="21">
        <f>_xll.qlInterestRateIndexValueDate(hiborindex,AK1312)</f>
        <v>44419</v>
      </c>
      <c r="AM1312" s="23">
        <f>_xll.qlIndexFixing(hiborindex,AK1312)</f>
        <v>3.8902862946580941E-3</v>
      </c>
    </row>
    <row r="1313" spans="37:39" x14ac:dyDescent="0.25">
      <c r="AK1313" s="21">
        <f>_xll.qlCalendarAdvance(calendar,AK1312,"1D")</f>
        <v>44418</v>
      </c>
      <c r="AL1313" s="21">
        <f>_xll.qlInterestRateIndexValueDate(hiborindex,AK1313)</f>
        <v>44420</v>
      </c>
      <c r="AM1313" s="23">
        <f>_xll.qlIndexFixing(hiborindex,AK1313)</f>
        <v>3.8995767053952341E-3</v>
      </c>
    </row>
    <row r="1314" spans="37:39" x14ac:dyDescent="0.25">
      <c r="AK1314" s="21">
        <f>_xll.qlCalendarAdvance(calendar,AK1313,"1D")</f>
        <v>44419</v>
      </c>
      <c r="AL1314" s="21">
        <f>_xll.qlInterestRateIndexValueDate(hiborindex,AK1314)</f>
        <v>44421</v>
      </c>
      <c r="AM1314" s="23">
        <f>_xll.qlIndexFixing(hiborindex,AK1314)</f>
        <v>3.9018676807087409E-3</v>
      </c>
    </row>
    <row r="1315" spans="37:39" x14ac:dyDescent="0.25">
      <c r="AK1315" s="21">
        <f>_xll.qlCalendarAdvance(calendar,AK1314,"1D")</f>
        <v>44420</v>
      </c>
      <c r="AL1315" s="21">
        <f>_xll.qlInterestRateIndexValueDate(hiborindex,AK1315)</f>
        <v>44424</v>
      </c>
      <c r="AM1315" s="23">
        <f>_xll.qlIndexFixing(hiborindex,AK1315)</f>
        <v>3.9134068728426908E-3</v>
      </c>
    </row>
    <row r="1316" spans="37:39" x14ac:dyDescent="0.25">
      <c r="AK1316" s="21">
        <f>_xll.qlCalendarAdvance(calendar,AK1315,"1D")</f>
        <v>44421</v>
      </c>
      <c r="AL1316" s="21">
        <f>_xll.qlInterestRateIndexValueDate(hiborindex,AK1316)</f>
        <v>44425</v>
      </c>
      <c r="AM1316" s="23">
        <f>_xll.qlIndexFixing(hiborindex,AK1316)</f>
        <v>3.9180310212008273E-3</v>
      </c>
    </row>
    <row r="1317" spans="37:39" x14ac:dyDescent="0.25">
      <c r="AK1317" s="21">
        <f>_xll.qlCalendarAdvance(calendar,AK1316,"1D")</f>
        <v>44424</v>
      </c>
      <c r="AL1317" s="21">
        <f>_xll.qlInterestRateIndexValueDate(hiborindex,AK1317)</f>
        <v>44426</v>
      </c>
      <c r="AM1317" s="23">
        <f>_xll.qlIndexFixing(hiborindex,AK1317)</f>
        <v>3.9226551804658911E-3</v>
      </c>
    </row>
    <row r="1318" spans="37:39" x14ac:dyDescent="0.25">
      <c r="AK1318" s="21">
        <f>_xll.qlCalendarAdvance(calendar,AK1317,"1D")</f>
        <v>44425</v>
      </c>
      <c r="AL1318" s="21">
        <f>_xll.qlInterestRateIndexValueDate(hiborindex,AK1318)</f>
        <v>44427</v>
      </c>
      <c r="AM1318" s="23">
        <f>_xll.qlIndexFixing(hiborindex,AK1318)</f>
        <v>3.9319464473625172E-3</v>
      </c>
    </row>
    <row r="1319" spans="37:39" x14ac:dyDescent="0.25">
      <c r="AK1319" s="21">
        <f>_xll.qlCalendarAdvance(calendar,AK1318,"1D")</f>
        <v>44426</v>
      </c>
      <c r="AL1319" s="21">
        <f>_xll.qlInterestRateIndexValueDate(hiborindex,AK1319)</f>
        <v>44428</v>
      </c>
      <c r="AM1319" s="23">
        <f>_xll.qlIndexFixing(hiborindex,AK1319)</f>
        <v>3.9342371093268958E-3</v>
      </c>
    </row>
    <row r="1320" spans="37:39" x14ac:dyDescent="0.25">
      <c r="AK1320" s="21">
        <f>_xll.qlCalendarAdvance(calendar,AK1319,"1D")</f>
        <v>44427</v>
      </c>
      <c r="AL1320" s="21">
        <f>_xll.qlInterestRateIndexValueDate(hiborindex,AK1320)</f>
        <v>44431</v>
      </c>
      <c r="AM1320" s="23">
        <f>_xll.qlIndexFixing(hiborindex,AK1320)</f>
        <v>3.9457761404003361E-3</v>
      </c>
    </row>
    <row r="1321" spans="37:39" x14ac:dyDescent="0.25">
      <c r="AK1321" s="21">
        <f>_xll.qlCalendarAdvance(calendar,AK1320,"1D")</f>
        <v>44428</v>
      </c>
      <c r="AL1321" s="21">
        <f>_xll.qlInterestRateIndexValueDate(hiborindex,AK1321)</f>
        <v>44432</v>
      </c>
      <c r="AM1321" s="23">
        <f>_xll.qlIndexFixing(hiborindex,AK1321)</f>
        <v>3.9504003651087034E-3</v>
      </c>
    </row>
    <row r="1322" spans="37:39" x14ac:dyDescent="0.25">
      <c r="AK1322" s="21">
        <f>_xll.qlCalendarAdvance(calendar,AK1321,"1D")</f>
        <v>44431</v>
      </c>
      <c r="AL1322" s="21">
        <f>_xll.qlInterestRateIndexValueDate(hiborindex,AK1322)</f>
        <v>44433</v>
      </c>
      <c r="AM1322" s="23">
        <f>_xll.qlIndexFixing(hiborindex,AK1322)</f>
        <v>3.9550246007248662E-3</v>
      </c>
    </row>
    <row r="1323" spans="37:39" x14ac:dyDescent="0.25">
      <c r="AK1323" s="21">
        <f>_xll.qlCalendarAdvance(calendar,AK1322,"1D")</f>
        <v>44432</v>
      </c>
      <c r="AL1323" s="21">
        <f>_xll.qlInterestRateIndexValueDate(hiborindex,AK1323)</f>
        <v>44434</v>
      </c>
      <c r="AM1323" s="23">
        <f>_xll.qlIndexFixing(hiborindex,AK1323)</f>
        <v>3.9643167296042926E-3</v>
      </c>
    </row>
    <row r="1324" spans="37:39" x14ac:dyDescent="0.25">
      <c r="AK1324" s="21">
        <f>_xll.qlCalendarAdvance(calendar,AK1323,"1D")</f>
        <v>44433</v>
      </c>
      <c r="AL1324" s="21">
        <f>_xll.qlInterestRateIndexValueDate(hiborindex,AK1324)</f>
        <v>44435</v>
      </c>
      <c r="AM1324" s="23">
        <f>_xll.qlIndexFixing(hiborindex,AK1324)</f>
        <v>3.9666070753102299E-3</v>
      </c>
    </row>
    <row r="1325" spans="37:39" x14ac:dyDescent="0.25">
      <c r="AK1325" s="21">
        <f>_xll.qlCalendarAdvance(calendar,AK1324,"1D")</f>
        <v>44434</v>
      </c>
      <c r="AL1325" s="21">
        <f>_xll.qlInterestRateIndexValueDate(hiborindex,AK1325)</f>
        <v>44438</v>
      </c>
      <c r="AM1325" s="23">
        <f>_xll.qlIndexFixing(hiborindex,AK1325)</f>
        <v>3.9734778242611563E-3</v>
      </c>
    </row>
    <row r="1326" spans="37:39" x14ac:dyDescent="0.25">
      <c r="AK1326" s="21">
        <f>_xll.qlCalendarAdvance(calendar,AK1325,"1D")</f>
        <v>44435</v>
      </c>
      <c r="AL1326" s="21">
        <f>_xll.qlInterestRateIndexValueDate(hiborindex,AK1326)</f>
        <v>44439</v>
      </c>
      <c r="AM1326" s="23">
        <f>_xll.qlIndexFixing(hiborindex,AK1326)</f>
        <v>3.9757679777104151E-3</v>
      </c>
    </row>
    <row r="1327" spans="37:39" x14ac:dyDescent="0.25">
      <c r="AK1327" s="21">
        <f>_xll.qlCalendarAdvance(calendar,AK1326,"1D")</f>
        <v>44438</v>
      </c>
      <c r="AL1327" s="21">
        <f>_xll.qlInterestRateIndexValueDate(hiborindex,AK1327)</f>
        <v>44440</v>
      </c>
      <c r="AM1327" s="23">
        <f>_xll.qlIndexFixing(hiborindex,AK1327)</f>
        <v>3.9803921201742708E-3</v>
      </c>
    </row>
    <row r="1328" spans="37:39" x14ac:dyDescent="0.25">
      <c r="AK1328" s="21">
        <f>_xll.qlCalendarAdvance(calendar,AK1327,"1D")</f>
        <v>44439</v>
      </c>
      <c r="AL1328" s="21">
        <f>_xll.qlInterestRateIndexValueDate(hiborindex,AK1328)</f>
        <v>44441</v>
      </c>
      <c r="AM1328" s="23">
        <f>_xll.qlIndexFixing(hiborindex,AK1328)</f>
        <v>3.9850162733676645E-3</v>
      </c>
    </row>
    <row r="1329" spans="37:39" x14ac:dyDescent="0.25">
      <c r="AK1329" s="21">
        <f>_xll.qlCalendarAdvance(calendar,AK1328,"1D")</f>
        <v>44440</v>
      </c>
      <c r="AL1329" s="21">
        <f>_xll.qlInterestRateIndexValueDate(hiborindex,AK1329)</f>
        <v>44442</v>
      </c>
      <c r="AM1329" s="23">
        <f>_xll.qlIndexFixing(hiborindex,AK1329)</f>
        <v>3.9896404372897149E-3</v>
      </c>
    </row>
    <row r="1330" spans="37:39" x14ac:dyDescent="0.25">
      <c r="AK1330" s="21">
        <f>_xll.qlCalendarAdvance(calendar,AK1329,"1D")</f>
        <v>44441</v>
      </c>
      <c r="AL1330" s="21">
        <f>_xll.qlInterestRateIndexValueDate(hiborindex,AK1330)</f>
        <v>44445</v>
      </c>
      <c r="AM1330" s="23">
        <f>_xll.qlIndexFixing(hiborindex,AK1330)</f>
        <v>4.0058473676400502E-3</v>
      </c>
    </row>
    <row r="1331" spans="37:39" x14ac:dyDescent="0.25">
      <c r="AK1331" s="21">
        <f>_xll.qlCalendarAdvance(calendar,AK1330,"1D")</f>
        <v>44442</v>
      </c>
      <c r="AL1331" s="21">
        <f>_xll.qlInterestRateIndexValueDate(hiborindex,AK1331)</f>
        <v>44446</v>
      </c>
      <c r="AM1331" s="23">
        <f>_xll.qlIndexFixing(hiborindex,AK1331)</f>
        <v>4.0081372002733016E-3</v>
      </c>
    </row>
    <row r="1332" spans="37:39" x14ac:dyDescent="0.25">
      <c r="AK1332" s="21">
        <f>_xll.qlCalendarAdvance(calendar,AK1331,"1D")</f>
        <v>44445</v>
      </c>
      <c r="AL1332" s="21">
        <f>_xll.qlInterestRateIndexValueDate(hiborindex,AK1332)</f>
        <v>44447</v>
      </c>
      <c r="AM1332" s="23">
        <f>_xll.qlIndexFixing(hiborindex,AK1332)</f>
        <v>4.012761417843045E-3</v>
      </c>
    </row>
    <row r="1333" spans="37:39" x14ac:dyDescent="0.25">
      <c r="AK1333" s="21">
        <f>_xll.qlCalendarAdvance(calendar,AK1332,"1D")</f>
        <v>44446</v>
      </c>
      <c r="AL1333" s="21">
        <f>_xll.qlInterestRateIndexValueDate(hiborindex,AK1333)</f>
        <v>44448</v>
      </c>
      <c r="AM1333" s="23">
        <f>_xll.qlIndexFixing(hiborindex,AK1333)</f>
        <v>4.0173856461418857E-3</v>
      </c>
    </row>
    <row r="1334" spans="37:39" x14ac:dyDescent="0.25">
      <c r="AK1334" s="21">
        <f>_xll.qlCalendarAdvance(calendar,AK1333,"1D")</f>
        <v>44447</v>
      </c>
      <c r="AL1334" s="21">
        <f>_xll.qlInterestRateIndexValueDate(hiborindex,AK1334)</f>
        <v>44449</v>
      </c>
      <c r="AM1334" s="23">
        <f>_xll.qlIndexFixing(hiborindex,AK1334)</f>
        <v>4.0220098851702661E-3</v>
      </c>
    </row>
    <row r="1335" spans="37:39" x14ac:dyDescent="0.25">
      <c r="AK1335" s="21">
        <f>_xll.qlCalendarAdvance(calendar,AK1334,"1D")</f>
        <v>44448</v>
      </c>
      <c r="AL1335" s="21">
        <f>_xll.qlInterestRateIndexValueDate(hiborindex,AK1335)</f>
        <v>44452</v>
      </c>
      <c r="AM1335" s="23">
        <f>_xll.qlIndexFixing(hiborindex,AK1335)</f>
        <v>4.0382174396721097E-3</v>
      </c>
    </row>
    <row r="1336" spans="37:39" x14ac:dyDescent="0.25">
      <c r="AK1336" s="21">
        <f>_xll.qlCalendarAdvance(calendar,AK1335,"1D")</f>
        <v>44449</v>
      </c>
      <c r="AL1336" s="21">
        <f>_xll.qlInterestRateIndexValueDate(hiborindex,AK1336)</f>
        <v>44453</v>
      </c>
      <c r="AM1336" s="23">
        <f>_xll.qlIndexFixing(hiborindex,AK1336)</f>
        <v>4.0405069485796143E-3</v>
      </c>
    </row>
    <row r="1337" spans="37:39" x14ac:dyDescent="0.25">
      <c r="AK1337" s="21">
        <f>_xll.qlCalendarAdvance(calendar,AK1336,"1D")</f>
        <v>44452</v>
      </c>
      <c r="AL1337" s="21">
        <f>_xll.qlInterestRateIndexValueDate(hiborindex,AK1337)</f>
        <v>44454</v>
      </c>
      <c r="AM1337" s="23">
        <f>_xll.qlIndexFixing(hiborindex,AK1337)</f>
        <v>4.0451312412561292E-3</v>
      </c>
    </row>
    <row r="1338" spans="37:39" x14ac:dyDescent="0.25">
      <c r="AK1338" s="21">
        <f>_xll.qlCalendarAdvance(calendar,AK1337,"1D")</f>
        <v>44453</v>
      </c>
      <c r="AL1338" s="21">
        <f>_xll.qlInterestRateIndexValueDate(hiborindex,AK1338)</f>
        <v>44455</v>
      </c>
      <c r="AM1338" s="23">
        <f>_xll.qlIndexFixing(hiborindex,AK1338)</f>
        <v>4.0497555446617423E-3</v>
      </c>
    </row>
    <row r="1339" spans="37:39" x14ac:dyDescent="0.25">
      <c r="AK1339" s="21">
        <f>_xll.qlCalendarAdvance(calendar,AK1338,"1D")</f>
        <v>44454</v>
      </c>
      <c r="AL1339" s="21">
        <f>_xll.qlInterestRateIndexValueDate(hiborindex,AK1339)</f>
        <v>44456</v>
      </c>
      <c r="AM1339" s="23">
        <f>_xll.qlIndexFixing(hiborindex,AK1339)</f>
        <v>4.0543798587973348E-3</v>
      </c>
    </row>
    <row r="1340" spans="37:39" x14ac:dyDescent="0.25">
      <c r="AK1340" s="21">
        <f>_xll.qlCalendarAdvance(calendar,AK1339,"1D")</f>
        <v>44455</v>
      </c>
      <c r="AL1340" s="21">
        <f>_xll.qlInterestRateIndexValueDate(hiborindex,AK1340)</f>
        <v>44459</v>
      </c>
      <c r="AM1340" s="23">
        <f>_xll.qlIndexFixing(hiborindex,AK1340)</f>
        <v>4.0705880403656795E-3</v>
      </c>
    </row>
    <row r="1341" spans="37:39" x14ac:dyDescent="0.25">
      <c r="AK1341" s="21">
        <f>_xll.qlCalendarAdvance(calendar,AK1340,"1D")</f>
        <v>44456</v>
      </c>
      <c r="AL1341" s="21">
        <f>_xll.qlInterestRateIndexValueDate(hiborindex,AK1341)</f>
        <v>44460</v>
      </c>
      <c r="AM1341" s="23">
        <f>_xll.qlIndexFixing(hiborindex,AK1341)</f>
        <v>4.0728772226373026E-3</v>
      </c>
    </row>
    <row r="1342" spans="37:39" x14ac:dyDescent="0.25">
      <c r="AK1342" s="21">
        <f>_xll.qlCalendarAdvance(calendar,AK1341,"1D")</f>
        <v>44459</v>
      </c>
      <c r="AL1342" s="21">
        <f>_xll.qlInterestRateIndexValueDate(hiborindex,AK1342)</f>
        <v>44461</v>
      </c>
      <c r="AM1342" s="23">
        <f>_xll.qlIndexFixing(hiborindex,AK1342)</f>
        <v>4.0775015904214729E-3</v>
      </c>
    </row>
    <row r="1343" spans="37:39" x14ac:dyDescent="0.25">
      <c r="AK1343" s="21">
        <f>_xll.qlCalendarAdvance(calendar,AK1342,"1D")</f>
        <v>44460</v>
      </c>
      <c r="AL1343" s="21">
        <f>_xll.qlInterestRateIndexValueDate(hiborindex,AK1343)</f>
        <v>44462</v>
      </c>
      <c r="AM1343" s="23">
        <f>_xll.qlIndexFixing(hiborindex,AK1343)</f>
        <v>4.0821259689351819E-3</v>
      </c>
    </row>
    <row r="1344" spans="37:39" x14ac:dyDescent="0.25">
      <c r="AK1344" s="21">
        <f>_xll.qlCalendarAdvance(calendar,AK1343,"1D")</f>
        <v>44461</v>
      </c>
      <c r="AL1344" s="21">
        <f>_xll.qlInterestRateIndexValueDate(hiborindex,AK1344)</f>
        <v>44463</v>
      </c>
      <c r="AM1344" s="23">
        <f>_xll.qlIndexFixing(hiborindex,AK1344)</f>
        <v>4.0867503581797551E-3</v>
      </c>
    </row>
    <row r="1345" spans="37:39" x14ac:dyDescent="0.25">
      <c r="AK1345" s="21">
        <f>_xll.qlCalendarAdvance(calendar,AK1344,"1D")</f>
        <v>44462</v>
      </c>
      <c r="AL1345" s="21">
        <f>_xll.qlInterestRateIndexValueDate(hiborindex,AK1345)</f>
        <v>44466</v>
      </c>
      <c r="AM1345" s="23">
        <f>_xll.qlIndexFixing(hiborindex,AK1345)</f>
        <v>4.1029591697291038E-3</v>
      </c>
    </row>
    <row r="1346" spans="37:39" x14ac:dyDescent="0.25">
      <c r="AK1346" s="21">
        <f>_xll.qlCalendarAdvance(calendar,AK1345,"1D")</f>
        <v>44463</v>
      </c>
      <c r="AL1346" s="21">
        <f>_xll.qlInterestRateIndexValueDate(hiborindex,AK1346)</f>
        <v>44467</v>
      </c>
      <c r="AM1346" s="23">
        <f>_xll.qlIndexFixing(hiborindex,AK1346)</f>
        <v>4.1052480224538761E-3</v>
      </c>
    </row>
    <row r="1347" spans="37:39" x14ac:dyDescent="0.25">
      <c r="AK1347" s="21">
        <f>_xll.qlCalendarAdvance(calendar,AK1346,"1D")</f>
        <v>44466</v>
      </c>
      <c r="AL1347" s="21">
        <f>_xll.qlInterestRateIndexValueDate(hiborindex,AK1347)</f>
        <v>44468</v>
      </c>
      <c r="AM1347" s="23">
        <f>_xll.qlIndexFixing(hiborindex,AK1347)</f>
        <v>4.1098724653479092E-3</v>
      </c>
    </row>
    <row r="1348" spans="37:39" x14ac:dyDescent="0.25">
      <c r="AK1348" s="21">
        <f>_xll.qlCalendarAdvance(calendar,AK1347,"1D")</f>
        <v>44467</v>
      </c>
      <c r="AL1348" s="21">
        <f>_xll.qlInterestRateIndexValueDate(hiborindex,AK1348)</f>
        <v>44469</v>
      </c>
      <c r="AM1348" s="23">
        <f>_xll.qlIndexFixing(hiborindex,AK1348)</f>
        <v>4.1168326727251941E-3</v>
      </c>
    </row>
    <row r="1349" spans="37:39" x14ac:dyDescent="0.25">
      <c r="AK1349" s="21">
        <f>_xll.qlCalendarAdvance(calendar,AK1348,"1D")</f>
        <v>44468</v>
      </c>
      <c r="AL1349" s="21">
        <f>_xll.qlInterestRateIndexValueDate(hiborindex,AK1349)</f>
        <v>44470</v>
      </c>
      <c r="AM1349" s="23">
        <f>_xll.qlIndexFixing(hiborindex,AK1349)</f>
        <v>4.1214571953023813E-3</v>
      </c>
    </row>
    <row r="1350" spans="37:39" x14ac:dyDescent="0.25">
      <c r="AK1350" s="21">
        <f>_xll.qlCalendarAdvance(calendar,AK1349,"1D")</f>
        <v>44469</v>
      </c>
      <c r="AL1350" s="21">
        <f>_xll.qlInterestRateIndexValueDate(hiborindex,AK1350)</f>
        <v>44473</v>
      </c>
      <c r="AM1350" s="23">
        <f>_xll.qlIndexFixing(hiborindex,AK1350)</f>
        <v>4.135330827771168E-3</v>
      </c>
    </row>
    <row r="1351" spans="37:39" x14ac:dyDescent="0.25">
      <c r="AK1351" s="21">
        <f>_xll.qlCalendarAdvance(calendar,AK1350,"1D")</f>
        <v>44470</v>
      </c>
      <c r="AL1351" s="21">
        <f>_xll.qlInterestRateIndexValueDate(hiborindex,AK1351)</f>
        <v>44474</v>
      </c>
      <c r="AM1351" s="23">
        <f>_xll.qlIndexFixing(hiborindex,AK1351)</f>
        <v>4.1399553935063593E-3</v>
      </c>
    </row>
    <row r="1352" spans="37:39" x14ac:dyDescent="0.25">
      <c r="AK1352" s="21">
        <f>_xll.qlCalendarAdvance(calendar,AK1351,"1D")</f>
        <v>44473</v>
      </c>
      <c r="AL1352" s="21">
        <f>_xll.qlInterestRateIndexValueDate(hiborindex,AK1352)</f>
        <v>44475</v>
      </c>
      <c r="AM1352" s="23">
        <f>_xll.qlIndexFixing(hiborindex,AK1352)</f>
        <v>4.144579970031162E-3</v>
      </c>
    </row>
    <row r="1353" spans="37:39" x14ac:dyDescent="0.25">
      <c r="AK1353" s="21">
        <f>_xll.qlCalendarAdvance(calendar,AK1352,"1D")</f>
        <v>44474</v>
      </c>
      <c r="AL1353" s="21">
        <f>_xll.qlInterestRateIndexValueDate(hiborindex,AK1353)</f>
        <v>44476</v>
      </c>
      <c r="AM1353" s="23">
        <f>_xll.qlIndexFixing(hiborindex,AK1353)</f>
        <v>4.1492045573464538E-3</v>
      </c>
    </row>
    <row r="1354" spans="37:39" x14ac:dyDescent="0.25">
      <c r="AK1354" s="21">
        <f>_xll.qlCalendarAdvance(calendar,AK1353,"1D")</f>
        <v>44475</v>
      </c>
      <c r="AL1354" s="21">
        <f>_xll.qlInterestRateIndexValueDate(hiborindex,AK1354)</f>
        <v>44477</v>
      </c>
      <c r="AM1354" s="23">
        <f>_xll.qlIndexFixing(hiborindex,AK1354)</f>
        <v>4.1538291554500386E-3</v>
      </c>
    </row>
    <row r="1355" spans="37:39" x14ac:dyDescent="0.25">
      <c r="AK1355" s="21">
        <f>_xll.qlCalendarAdvance(calendar,AK1354,"1D")</f>
        <v>44476</v>
      </c>
      <c r="AL1355" s="21">
        <f>_xll.qlInterestRateIndexValueDate(hiborindex,AK1355)</f>
        <v>44480</v>
      </c>
      <c r="AM1355" s="23">
        <f>_xll.qlIndexFixing(hiborindex,AK1355)</f>
        <v>4.167703014500655E-3</v>
      </c>
    </row>
    <row r="1356" spans="37:39" x14ac:dyDescent="0.25">
      <c r="AK1356" s="21">
        <f>_xll.qlCalendarAdvance(calendar,AK1355,"1D")</f>
        <v>44477</v>
      </c>
      <c r="AL1356" s="21">
        <f>_xll.qlInterestRateIndexValueDate(hiborindex,AK1356)</f>
        <v>44481</v>
      </c>
      <c r="AM1356" s="23">
        <f>_xll.qlIndexFixing(hiborindex,AK1356)</f>
        <v>4.1723276557631235E-3</v>
      </c>
    </row>
    <row r="1357" spans="37:39" x14ac:dyDescent="0.25">
      <c r="AK1357" s="21">
        <f>_xll.qlCalendarAdvance(calendar,AK1356,"1D")</f>
        <v>44480</v>
      </c>
      <c r="AL1357" s="21">
        <f>_xll.qlInterestRateIndexValueDate(hiborindex,AK1357)</f>
        <v>44482</v>
      </c>
      <c r="AM1357" s="23">
        <f>_xll.qlIndexFixing(hiborindex,AK1357)</f>
        <v>4.1769523078160811E-3</v>
      </c>
    </row>
    <row r="1358" spans="37:39" x14ac:dyDescent="0.25">
      <c r="AK1358" s="21">
        <f>_xll.qlCalendarAdvance(calendar,AK1357,"1D")</f>
        <v>44481</v>
      </c>
      <c r="AL1358" s="21">
        <f>_xll.qlInterestRateIndexValueDate(hiborindex,AK1358)</f>
        <v>44483</v>
      </c>
      <c r="AM1358" s="23">
        <f>_xll.qlIndexFixing(hiborindex,AK1358)</f>
        <v>4.1815769706582103E-3</v>
      </c>
    </row>
    <row r="1359" spans="37:39" x14ac:dyDescent="0.25">
      <c r="AK1359" s="21">
        <f>_xll.qlCalendarAdvance(calendar,AK1358,"1D")</f>
        <v>44482</v>
      </c>
      <c r="AL1359" s="21">
        <f>_xll.qlInterestRateIndexValueDate(hiborindex,AK1359)</f>
        <v>44484</v>
      </c>
      <c r="AM1359" s="23">
        <f>_xll.qlIndexFixing(hiborindex,AK1359)</f>
        <v>4.1955487442068042E-3</v>
      </c>
    </row>
    <row r="1360" spans="37:39" x14ac:dyDescent="0.25">
      <c r="AK1360" s="21">
        <f>_xll.qlCalendarAdvance(calendar,AK1359,"1D")</f>
        <v>44483</v>
      </c>
      <c r="AL1360" s="21">
        <f>_xll.qlInterestRateIndexValueDate(hiborindex,AK1360)</f>
        <v>44487</v>
      </c>
      <c r="AM1360" s="23">
        <f>_xll.qlIndexFixing(hiborindex,AK1360)</f>
        <v>4.2024125975853137E-3</v>
      </c>
    </row>
    <row r="1361" spans="37:39" x14ac:dyDescent="0.25">
      <c r="AK1361" s="21">
        <f>_xll.qlCalendarAdvance(calendar,AK1360,"1D")</f>
        <v>44484</v>
      </c>
      <c r="AL1361" s="21">
        <f>_xll.qlInterestRateIndexValueDate(hiborindex,AK1361)</f>
        <v>44488</v>
      </c>
      <c r="AM1361" s="23">
        <f>_xll.qlIndexFixing(hiborindex,AK1361)</f>
        <v>4.2047004467169738E-3</v>
      </c>
    </row>
    <row r="1362" spans="37:39" x14ac:dyDescent="0.25">
      <c r="AK1362" s="21">
        <f>_xll.qlCalendarAdvance(calendar,AK1361,"1D")</f>
        <v>44487</v>
      </c>
      <c r="AL1362" s="21">
        <f>_xll.qlInterestRateIndexValueDate(hiborindex,AK1362)</f>
        <v>44489</v>
      </c>
      <c r="AM1362" s="23">
        <f>_xll.qlIndexFixing(hiborindex,AK1362)</f>
        <v>4.209325174298526E-3</v>
      </c>
    </row>
    <row r="1363" spans="37:39" x14ac:dyDescent="0.25">
      <c r="AK1363" s="21">
        <f>_xll.qlCalendarAdvance(calendar,AK1362,"1D")</f>
        <v>44488</v>
      </c>
      <c r="AL1363" s="21">
        <f>_xll.qlInterestRateIndexValueDate(hiborindex,AK1363)</f>
        <v>44490</v>
      </c>
      <c r="AM1363" s="23">
        <f>_xll.qlIndexFixing(hiborindex,AK1363)</f>
        <v>4.2139499126701277E-3</v>
      </c>
    </row>
    <row r="1364" spans="37:39" x14ac:dyDescent="0.25">
      <c r="AK1364" s="21">
        <f>_xll.qlCalendarAdvance(calendar,AK1363,"1D")</f>
        <v>44489</v>
      </c>
      <c r="AL1364" s="21">
        <f>_xll.qlInterestRateIndexValueDate(hiborindex,AK1364)</f>
        <v>44491</v>
      </c>
      <c r="AM1364" s="23">
        <f>_xll.qlIndexFixing(hiborindex,AK1364)</f>
        <v>4.2185746618317796E-3</v>
      </c>
    </row>
    <row r="1365" spans="37:39" x14ac:dyDescent="0.25">
      <c r="AK1365" s="21">
        <f>_xll.qlCalendarAdvance(calendar,AK1364,"1D")</f>
        <v>44490</v>
      </c>
      <c r="AL1365" s="21">
        <f>_xll.qlInterestRateIndexValueDate(hiborindex,AK1365)</f>
        <v>44494</v>
      </c>
      <c r="AM1365" s="23">
        <f>_xll.qlIndexFixing(hiborindex,AK1365)</f>
        <v>4.2324489740557204E-3</v>
      </c>
    </row>
    <row r="1366" spans="37:39" x14ac:dyDescent="0.25">
      <c r="AK1366" s="21">
        <f>_xll.qlCalendarAdvance(calendar,AK1365,"1D")</f>
        <v>44491</v>
      </c>
      <c r="AL1366" s="21">
        <f>_xll.qlInterestRateIndexValueDate(hiborindex,AK1366)</f>
        <v>44495</v>
      </c>
      <c r="AM1366" s="23">
        <f>_xll.qlIndexFixing(hiborindex,AK1366)</f>
        <v>4.2370737663766948E-3</v>
      </c>
    </row>
    <row r="1367" spans="37:39" x14ac:dyDescent="0.25">
      <c r="AK1367" s="21">
        <f>_xll.qlCalendarAdvance(calendar,AK1366,"1D")</f>
        <v>44494</v>
      </c>
      <c r="AL1367" s="21">
        <f>_xll.qlInterestRateIndexValueDate(hiborindex,AK1367)</f>
        <v>44496</v>
      </c>
      <c r="AM1367" s="23">
        <f>_xll.qlIndexFixing(hiborindex,AK1367)</f>
        <v>4.2416985694885972E-3</v>
      </c>
    </row>
    <row r="1368" spans="37:39" x14ac:dyDescent="0.25">
      <c r="AK1368" s="21">
        <f>_xll.qlCalendarAdvance(calendar,AK1367,"1D")</f>
        <v>44495</v>
      </c>
      <c r="AL1368" s="21">
        <f>_xll.qlInterestRateIndexValueDate(hiborindex,AK1368)</f>
        <v>44497</v>
      </c>
      <c r="AM1368" s="23">
        <f>_xll.qlIndexFixing(hiborindex,AK1368)</f>
        <v>4.246323383390112E-3</v>
      </c>
    </row>
    <row r="1369" spans="37:39" x14ac:dyDescent="0.25">
      <c r="AK1369" s="21">
        <f>_xll.qlCalendarAdvance(calendar,AK1368,"1D")</f>
        <v>44496</v>
      </c>
      <c r="AL1369" s="21">
        <f>_xll.qlInterestRateIndexValueDate(hiborindex,AK1369)</f>
        <v>44498</v>
      </c>
      <c r="AM1369" s="23">
        <f>_xll.qlIndexFixing(hiborindex,AK1369)</f>
        <v>4.250948208082115E-3</v>
      </c>
    </row>
    <row r="1370" spans="37:39" x14ac:dyDescent="0.25">
      <c r="AK1370" s="21">
        <f>_xll.qlCalendarAdvance(calendar,AK1369,"1D")</f>
        <v>44497</v>
      </c>
      <c r="AL1370" s="21">
        <f>_xll.qlInterestRateIndexValueDate(hiborindex,AK1370)</f>
        <v>44501</v>
      </c>
      <c r="AM1370" s="23">
        <f>_xll.qlIndexFixing(hiborindex,AK1370)</f>
        <v>4.2648227468988654E-3</v>
      </c>
    </row>
    <row r="1371" spans="37:39" x14ac:dyDescent="0.25">
      <c r="AK1371" s="21">
        <f>_xll.qlCalendarAdvance(calendar,AK1370,"1D")</f>
        <v>44498</v>
      </c>
      <c r="AL1371" s="21">
        <f>_xll.qlInterestRateIndexValueDate(hiborindex,AK1371)</f>
        <v>44502</v>
      </c>
      <c r="AM1371" s="23">
        <f>_xll.qlIndexFixing(hiborindex,AK1371)</f>
        <v>4.2671099082384183E-3</v>
      </c>
    </row>
    <row r="1372" spans="37:39" x14ac:dyDescent="0.25">
      <c r="AK1372" s="21">
        <f>_xll.qlCalendarAdvance(calendar,AK1371,"1D")</f>
        <v>44501</v>
      </c>
      <c r="AL1372" s="21">
        <f>_xll.qlInterestRateIndexValueDate(hiborindex,AK1372)</f>
        <v>44503</v>
      </c>
      <c r="AM1372" s="23">
        <f>_xll.qlIndexFixing(hiborindex,AK1372)</f>
        <v>4.2717347266963412E-3</v>
      </c>
    </row>
    <row r="1373" spans="37:39" x14ac:dyDescent="0.25">
      <c r="AK1373" s="21">
        <f>_xll.qlCalendarAdvance(calendar,AK1372,"1D")</f>
        <v>44502</v>
      </c>
      <c r="AL1373" s="21">
        <f>_xll.qlInterestRateIndexValueDate(hiborindex,AK1373)</f>
        <v>44504</v>
      </c>
      <c r="AM1373" s="23">
        <f>_xll.qlIndexFixing(hiborindex,AK1373)</f>
        <v>4.2763595558851274E-3</v>
      </c>
    </row>
    <row r="1374" spans="37:39" x14ac:dyDescent="0.25">
      <c r="AK1374" s="21">
        <f>_xll.qlCalendarAdvance(calendar,AK1373,"1D")</f>
        <v>44503</v>
      </c>
      <c r="AL1374" s="21">
        <f>_xll.qlInterestRateIndexValueDate(hiborindex,AK1374)</f>
        <v>44505</v>
      </c>
      <c r="AM1374" s="23">
        <f>_xll.qlIndexFixing(hiborindex,AK1374)</f>
        <v>4.2809843958052192E-3</v>
      </c>
    </row>
    <row r="1375" spans="37:39" x14ac:dyDescent="0.25">
      <c r="AK1375" s="21">
        <f>_xll.qlCalendarAdvance(calendar,AK1374,"1D")</f>
        <v>44504</v>
      </c>
      <c r="AL1375" s="21">
        <f>_xll.qlInterestRateIndexValueDate(hiborindex,AK1375)</f>
        <v>44508</v>
      </c>
      <c r="AM1375" s="23">
        <f>_xll.qlIndexFixing(hiborindex,AK1375)</f>
        <v>4.2971970484636931E-3</v>
      </c>
    </row>
    <row r="1376" spans="37:39" x14ac:dyDescent="0.25">
      <c r="AK1376" s="21">
        <f>_xll.qlCalendarAdvance(calendar,AK1375,"1D")</f>
        <v>44505</v>
      </c>
      <c r="AL1376" s="21">
        <f>_xll.qlInterestRateIndexValueDate(hiborindex,AK1376)</f>
        <v>44509</v>
      </c>
      <c r="AM1376" s="23">
        <f>_xll.qlIndexFixing(hiborindex,AK1376)</f>
        <v>4.2994838627937815E-3</v>
      </c>
    </row>
    <row r="1377" spans="37:39" x14ac:dyDescent="0.25">
      <c r="AK1377" s="21">
        <f>_xll.qlCalendarAdvance(calendar,AK1376,"1D")</f>
        <v>44508</v>
      </c>
      <c r="AL1377" s="21">
        <f>_xll.qlInterestRateIndexValueDate(hiborindex,AK1377)</f>
        <v>44510</v>
      </c>
      <c r="AM1377" s="23">
        <f>_xll.qlIndexFixing(hiborindex,AK1377)</f>
        <v>4.3041087563686336E-3</v>
      </c>
    </row>
    <row r="1378" spans="37:39" x14ac:dyDescent="0.25">
      <c r="AK1378" s="21">
        <f>_xll.qlCalendarAdvance(calendar,AK1377,"1D")</f>
        <v>44509</v>
      </c>
      <c r="AL1378" s="21">
        <f>_xll.qlInterestRateIndexValueDate(hiborindex,AK1378)</f>
        <v>44511</v>
      </c>
      <c r="AM1378" s="23">
        <f>_xll.qlIndexFixing(hiborindex,AK1378)</f>
        <v>4.3087336606743498E-3</v>
      </c>
    </row>
    <row r="1379" spans="37:39" x14ac:dyDescent="0.25">
      <c r="AK1379" s="21">
        <f>_xll.qlCalendarAdvance(calendar,AK1378,"1D")</f>
        <v>44510</v>
      </c>
      <c r="AL1379" s="21">
        <f>_xll.qlInterestRateIndexValueDate(hiborindex,AK1379)</f>
        <v>44512</v>
      </c>
      <c r="AM1379" s="23">
        <f>_xll.qlIndexFixing(hiborindex,AK1379)</f>
        <v>4.3133585757109284E-3</v>
      </c>
    </row>
    <row r="1380" spans="37:39" x14ac:dyDescent="0.25">
      <c r="AK1380" s="21">
        <f>_xll.qlCalendarAdvance(calendar,AK1379,"1D")</f>
        <v>44511</v>
      </c>
      <c r="AL1380" s="21">
        <f>_xll.qlInterestRateIndexValueDate(hiborindex,AK1380)</f>
        <v>44515</v>
      </c>
      <c r="AM1380" s="23">
        <f>_xll.qlIndexFixing(hiborindex,AK1380)</f>
        <v>4.3295718787585468E-3</v>
      </c>
    </row>
    <row r="1381" spans="37:39" x14ac:dyDescent="0.25">
      <c r="AK1381" s="21">
        <f>_xll.qlCalendarAdvance(calendar,AK1380,"1D")</f>
        <v>44512</v>
      </c>
      <c r="AL1381" s="21">
        <f>_xll.qlInterestRateIndexValueDate(hiborindex,AK1381)</f>
        <v>44516</v>
      </c>
      <c r="AM1381" s="23">
        <f>_xll.qlIndexFixing(hiborindex,AK1381)</f>
        <v>4.331858343169858E-3</v>
      </c>
    </row>
    <row r="1382" spans="37:39" x14ac:dyDescent="0.25">
      <c r="AK1382" s="21">
        <f>_xll.qlCalendarAdvance(calendar,AK1381,"1D")</f>
        <v>44515</v>
      </c>
      <c r="AL1382" s="21">
        <f>_xll.qlInterestRateIndexValueDate(hiborindex,AK1382)</f>
        <v>44517</v>
      </c>
      <c r="AM1382" s="23">
        <f>_xll.qlIndexFixing(hiborindex,AK1382)</f>
        <v>4.3364833118625223E-3</v>
      </c>
    </row>
    <row r="1383" spans="37:39" x14ac:dyDescent="0.25">
      <c r="AK1383" s="21">
        <f>_xll.qlCalendarAdvance(calendar,AK1382,"1D")</f>
        <v>44516</v>
      </c>
      <c r="AL1383" s="21">
        <f>_xll.qlInterestRateIndexValueDate(hiborindex,AK1383)</f>
        <v>44518</v>
      </c>
      <c r="AM1383" s="23">
        <f>_xll.qlIndexFixing(hiborindex,AK1383)</f>
        <v>4.3411082912860506E-3</v>
      </c>
    </row>
    <row r="1384" spans="37:39" x14ac:dyDescent="0.25">
      <c r="AK1384" s="21">
        <f>_xll.qlCalendarAdvance(calendar,AK1383,"1D")</f>
        <v>44517</v>
      </c>
      <c r="AL1384" s="21">
        <f>_xll.qlInterestRateIndexValueDate(hiborindex,AK1384)</f>
        <v>44519</v>
      </c>
      <c r="AM1384" s="23">
        <f>_xll.qlIndexFixing(hiborindex,AK1384)</f>
        <v>4.3457332814408845E-3</v>
      </c>
    </row>
    <row r="1385" spans="37:39" x14ac:dyDescent="0.25">
      <c r="AK1385" s="21">
        <f>_xll.qlCalendarAdvance(calendar,AK1384,"1D")</f>
        <v>44518</v>
      </c>
      <c r="AL1385" s="21">
        <f>_xll.qlInterestRateIndexValueDate(hiborindex,AK1385)</f>
        <v>44522</v>
      </c>
      <c r="AM1385" s="23">
        <f>_xll.qlIndexFixing(hiborindex,AK1385)</f>
        <v>4.3619472377930905E-3</v>
      </c>
    </row>
    <row r="1386" spans="37:39" x14ac:dyDescent="0.25">
      <c r="AK1386" s="21">
        <f>_xll.qlCalendarAdvance(calendar,AK1385,"1D")</f>
        <v>44519</v>
      </c>
      <c r="AL1386" s="21">
        <f>_xll.qlInterestRateIndexValueDate(hiborindex,AK1386)</f>
        <v>44523</v>
      </c>
      <c r="AM1386" s="23">
        <f>_xll.qlIndexFixing(hiborindex,AK1386)</f>
        <v>4.3642333493737135E-3</v>
      </c>
    </row>
    <row r="1387" spans="37:39" x14ac:dyDescent="0.25">
      <c r="AK1387" s="21">
        <f>_xll.qlCalendarAdvance(calendar,AK1386,"1D")</f>
        <v>44522</v>
      </c>
      <c r="AL1387" s="21">
        <f>_xll.qlInterestRateIndexValueDate(hiborindex,AK1387)</f>
        <v>44524</v>
      </c>
      <c r="AM1387" s="23">
        <f>_xll.qlIndexFixing(hiborindex,AK1387)</f>
        <v>4.3688583931855152E-3</v>
      </c>
    </row>
    <row r="1388" spans="37:39" x14ac:dyDescent="0.25">
      <c r="AK1388" s="21">
        <f>_xll.qlCalendarAdvance(calendar,AK1387,"1D")</f>
        <v>44523</v>
      </c>
      <c r="AL1388" s="21">
        <f>_xll.qlInterestRateIndexValueDate(hiborindex,AK1388)</f>
        <v>44525</v>
      </c>
      <c r="AM1388" s="23">
        <f>_xll.qlIndexFixing(hiborindex,AK1388)</f>
        <v>4.373483447728181E-3</v>
      </c>
    </row>
    <row r="1389" spans="37:39" x14ac:dyDescent="0.25">
      <c r="AK1389" s="21">
        <f>_xll.qlCalendarAdvance(calendar,AK1388,"1D")</f>
        <v>44524</v>
      </c>
      <c r="AL1389" s="21">
        <f>_xll.qlInterestRateIndexValueDate(hiborindex,AK1389)</f>
        <v>44526</v>
      </c>
      <c r="AM1389" s="23">
        <f>_xll.qlIndexFixing(hiborindex,AK1389)</f>
        <v>4.3781085130025939E-3</v>
      </c>
    </row>
    <row r="1390" spans="37:39" x14ac:dyDescent="0.25">
      <c r="AK1390" s="21">
        <f>_xll.qlCalendarAdvance(calendar,AK1389,"1D")</f>
        <v>44525</v>
      </c>
      <c r="AL1390" s="21">
        <f>_xll.qlInterestRateIndexValueDate(hiborindex,AK1390)</f>
        <v>44529</v>
      </c>
      <c r="AM1390" s="23">
        <f>_xll.qlIndexFixing(hiborindex,AK1390)</f>
        <v>4.3943231255756682E-3</v>
      </c>
    </row>
    <row r="1391" spans="37:39" x14ac:dyDescent="0.25">
      <c r="AK1391" s="21">
        <f>_xll.qlCalendarAdvance(calendar,AK1390,"1D")</f>
        <v>44526</v>
      </c>
      <c r="AL1391" s="21">
        <f>_xll.qlInterestRateIndexValueDate(hiborindex,AK1391)</f>
        <v>44530</v>
      </c>
      <c r="AM1391" s="23">
        <f>_xll.qlIndexFixing(hiborindex,AK1391)</f>
        <v>4.39894829556421E-3</v>
      </c>
    </row>
    <row r="1392" spans="37:39" x14ac:dyDescent="0.25">
      <c r="AK1392" s="21">
        <f>_xll.qlCalendarAdvance(calendar,AK1391,"1D")</f>
        <v>44529</v>
      </c>
      <c r="AL1392" s="21">
        <f>_xll.qlInterestRateIndexValueDate(hiborindex,AK1392)</f>
        <v>44531</v>
      </c>
      <c r="AM1392" s="23">
        <f>_xll.qlIndexFixing(hiborindex,AK1392)</f>
        <v>4.403573476345438E-3</v>
      </c>
    </row>
    <row r="1393" spans="37:39" x14ac:dyDescent="0.25">
      <c r="AK1393" s="21">
        <f>_xll.qlCalendarAdvance(calendar,AK1392,"1D")</f>
        <v>44530</v>
      </c>
      <c r="AL1393" s="21">
        <f>_xll.qlInterestRateIndexValueDate(hiborindex,AK1393)</f>
        <v>44532</v>
      </c>
      <c r="AM1393" s="23">
        <f>_xll.qlIndexFixing(hiborindex,AK1393)</f>
        <v>4.4081986679167153E-3</v>
      </c>
    </row>
    <row r="1394" spans="37:39" x14ac:dyDescent="0.25">
      <c r="AK1394" s="21">
        <f>_xll.qlCalendarAdvance(calendar,AK1393,"1D")</f>
        <v>44531</v>
      </c>
      <c r="AL1394" s="21">
        <f>_xll.qlInterestRateIndexValueDate(hiborindex,AK1394)</f>
        <v>44533</v>
      </c>
      <c r="AM1394" s="23">
        <f>_xll.qlIndexFixing(hiborindex,AK1394)</f>
        <v>4.4128238702793605E-3</v>
      </c>
    </row>
    <row r="1395" spans="37:39" x14ac:dyDescent="0.25">
      <c r="AK1395" s="21">
        <f>_xll.qlCalendarAdvance(calendar,AK1394,"1D")</f>
        <v>44532</v>
      </c>
      <c r="AL1395" s="21">
        <f>_xll.qlInterestRateIndexValueDate(hiborindex,AK1395)</f>
        <v>44536</v>
      </c>
      <c r="AM1395" s="23">
        <f>_xll.qlIndexFixing(hiborindex,AK1395)</f>
        <v>4.4266995421133075E-3</v>
      </c>
    </row>
    <row r="1396" spans="37:39" x14ac:dyDescent="0.25">
      <c r="AK1396" s="21">
        <f>_xll.qlCalendarAdvance(calendar,AK1395,"1D")</f>
        <v>44533</v>
      </c>
      <c r="AL1396" s="21">
        <f>_xll.qlInterestRateIndexValueDate(hiborindex,AK1396)</f>
        <v>44537</v>
      </c>
      <c r="AM1396" s="23">
        <f>_xll.qlIndexFixing(hiborindex,AK1396)</f>
        <v>4.431324787640546E-3</v>
      </c>
    </row>
    <row r="1397" spans="37:39" x14ac:dyDescent="0.25">
      <c r="AK1397" s="21">
        <f>_xll.qlCalendarAdvance(calendar,AK1396,"1D")</f>
        <v>44536</v>
      </c>
      <c r="AL1397" s="21">
        <f>_xll.qlInterestRateIndexValueDate(hiborindex,AK1397)</f>
        <v>44538</v>
      </c>
      <c r="AM1397" s="23">
        <f>_xll.qlIndexFixing(hiborindex,AK1397)</f>
        <v>4.4359500439582738E-3</v>
      </c>
    </row>
    <row r="1398" spans="37:39" x14ac:dyDescent="0.25">
      <c r="AK1398" s="21">
        <f>_xll.qlCalendarAdvance(calendar,AK1397,"1D")</f>
        <v>44537</v>
      </c>
      <c r="AL1398" s="21">
        <f>_xll.qlInterestRateIndexValueDate(hiborindex,AK1398)</f>
        <v>44539</v>
      </c>
      <c r="AM1398" s="23">
        <f>_xll.qlIndexFixing(hiborindex,AK1398)</f>
        <v>4.4405753110678082E-3</v>
      </c>
    </row>
    <row r="1399" spans="37:39" x14ac:dyDescent="0.25">
      <c r="AK1399" s="21">
        <f>_xll.qlCalendarAdvance(calendar,AK1398,"1D")</f>
        <v>44538</v>
      </c>
      <c r="AL1399" s="21">
        <f>_xll.qlInterestRateIndexValueDate(hiborindex,AK1399)</f>
        <v>44540</v>
      </c>
      <c r="AM1399" s="23">
        <f>_xll.qlIndexFixing(hiborindex,AK1399)</f>
        <v>4.4452005889682716E-3</v>
      </c>
    </row>
    <row r="1400" spans="37:39" x14ac:dyDescent="0.25">
      <c r="AK1400" s="21">
        <f>_xll.qlCalendarAdvance(calendar,AK1399,"1D")</f>
        <v>44539</v>
      </c>
      <c r="AL1400" s="21">
        <f>_xll.qlInterestRateIndexValueDate(hiborindex,AK1400)</f>
        <v>44543</v>
      </c>
      <c r="AM1400" s="23">
        <f>_xll.qlIndexFixing(hiborindex,AK1400)</f>
        <v>4.4590764874169889E-3</v>
      </c>
    </row>
    <row r="1401" spans="37:39" x14ac:dyDescent="0.25">
      <c r="AK1401" s="21">
        <f>_xll.qlCalendarAdvance(calendar,AK1400,"1D")</f>
        <v>44540</v>
      </c>
      <c r="AL1401" s="21">
        <f>_xll.qlInterestRateIndexValueDate(hiborindex,AK1401)</f>
        <v>44544</v>
      </c>
      <c r="AM1401" s="23">
        <f>_xll.qlIndexFixing(hiborindex,AK1401)</f>
        <v>4.4637018084824846E-3</v>
      </c>
    </row>
    <row r="1402" spans="37:39" x14ac:dyDescent="0.25">
      <c r="AK1402" s="21">
        <f>_xll.qlCalendarAdvance(calendar,AK1401,"1D")</f>
        <v>44543</v>
      </c>
      <c r="AL1402" s="21">
        <f>_xll.qlInterestRateIndexValueDate(hiborindex,AK1402)</f>
        <v>44545</v>
      </c>
      <c r="AM1402" s="23">
        <f>_xll.qlIndexFixing(hiborindex,AK1402)</f>
        <v>4.4683271403393472E-3</v>
      </c>
    </row>
    <row r="1403" spans="37:39" x14ac:dyDescent="0.25">
      <c r="AK1403" s="21">
        <f>_xll.qlCalendarAdvance(calendar,AK1402,"1D")</f>
        <v>44544</v>
      </c>
      <c r="AL1403" s="21">
        <f>_xll.qlInterestRateIndexValueDate(hiborindex,AK1403)</f>
        <v>44546</v>
      </c>
      <c r="AM1403" s="23">
        <f>_xll.qlIndexFixing(hiborindex,AK1403)</f>
        <v>4.4729524829875784E-3</v>
      </c>
    </row>
    <row r="1404" spans="37:39" x14ac:dyDescent="0.25">
      <c r="AK1404" s="21">
        <f>_xll.qlCalendarAdvance(calendar,AK1403,"1D")</f>
        <v>44545</v>
      </c>
      <c r="AL1404" s="21">
        <f>_xll.qlInterestRateIndexValueDate(hiborindex,AK1404)</f>
        <v>44547</v>
      </c>
      <c r="AM1404" s="23">
        <f>_xll.qlIndexFixing(hiborindex,AK1404)</f>
        <v>4.4775778364271766E-3</v>
      </c>
    </row>
    <row r="1405" spans="37:39" x14ac:dyDescent="0.25">
      <c r="AK1405" s="21">
        <f>_xll.qlCalendarAdvance(calendar,AK1404,"1D")</f>
        <v>44546</v>
      </c>
      <c r="AL1405" s="21">
        <f>_xll.qlInterestRateIndexValueDate(hiborindex,AK1405)</f>
        <v>44550</v>
      </c>
      <c r="AM1405" s="23">
        <f>_xll.qlIndexFixing(hiborindex,AK1405)</f>
        <v>4.4914539614941797E-3</v>
      </c>
    </row>
    <row r="1406" spans="37:39" x14ac:dyDescent="0.25">
      <c r="AK1406" s="21">
        <f>_xll.qlCalendarAdvance(calendar,AK1405,"1D")</f>
        <v>44547</v>
      </c>
      <c r="AL1406" s="21">
        <f>_xll.qlInterestRateIndexValueDate(hiborindex,AK1406)</f>
        <v>44551</v>
      </c>
      <c r="AM1406" s="23">
        <f>_xll.qlIndexFixing(hiborindex,AK1406)</f>
        <v>4.4960793580988102E-3</v>
      </c>
    </row>
    <row r="1407" spans="37:39" x14ac:dyDescent="0.25">
      <c r="AK1407" s="21">
        <f>_xll.qlCalendarAdvance(calendar,AK1406,"1D")</f>
        <v>44550</v>
      </c>
      <c r="AL1407" s="21">
        <f>_xll.qlInterestRateIndexValueDate(hiborindex,AK1407)</f>
        <v>44552</v>
      </c>
      <c r="AM1407" s="23">
        <f>_xll.qlIndexFixing(hiborindex,AK1407)</f>
        <v>4.500704765496126E-3</v>
      </c>
    </row>
    <row r="1408" spans="37:39" x14ac:dyDescent="0.25">
      <c r="AK1408" s="21">
        <f>_xll.qlCalendarAdvance(calendar,AK1407,"1D")</f>
        <v>44551</v>
      </c>
      <c r="AL1408" s="21">
        <f>_xll.qlInterestRateIndexValueDate(hiborindex,AK1408)</f>
        <v>44553</v>
      </c>
      <c r="AM1408" s="23">
        <f>_xll.qlIndexFixing(hiborindex,AK1408)</f>
        <v>4.5053301836843708E-3</v>
      </c>
    </row>
    <row r="1409" spans="37:39" x14ac:dyDescent="0.25">
      <c r="AK1409" s="21">
        <f>_xll.qlCalendarAdvance(calendar,AK1408,"1D")</f>
        <v>44552</v>
      </c>
      <c r="AL1409" s="21">
        <f>_xll.qlInterestRateIndexValueDate(hiborindex,AK1409)</f>
        <v>44554</v>
      </c>
      <c r="AM1409" s="23">
        <f>_xll.qlIndexFixing(hiborindex,AK1409)</f>
        <v>4.5099556126644222E-3</v>
      </c>
    </row>
    <row r="1410" spans="37:39" x14ac:dyDescent="0.25">
      <c r="AK1410" s="21">
        <f>_xll.qlCalendarAdvance(calendar,AK1409,"1D")</f>
        <v>44553</v>
      </c>
      <c r="AL1410" s="21">
        <f>_xll.qlInterestRateIndexValueDate(hiborindex,AK1410)</f>
        <v>44557</v>
      </c>
      <c r="AM1410" s="23">
        <f>_xll.qlIndexFixing(hiborindex,AK1410)</f>
        <v>4.523831964353223E-3</v>
      </c>
    </row>
    <row r="1411" spans="37:39" x14ac:dyDescent="0.25">
      <c r="AK1411" s="21">
        <f>_xll.qlCalendarAdvance(calendar,AK1410,"1D")</f>
        <v>44554</v>
      </c>
      <c r="AL1411" s="21">
        <f>_xll.qlInterestRateIndexValueDate(hiborindex,AK1411)</f>
        <v>44558</v>
      </c>
      <c r="AM1411" s="23">
        <f>_xll.qlIndexFixing(hiborindex,AK1411)</f>
        <v>4.5284574364996243E-3</v>
      </c>
    </row>
    <row r="1412" spans="37:39" x14ac:dyDescent="0.25">
      <c r="AK1412" s="21">
        <f>_xll.qlCalendarAdvance(calendar,AK1411,"1D")</f>
        <v>44557</v>
      </c>
      <c r="AL1412" s="21">
        <f>_xll.qlInterestRateIndexValueDate(hiborindex,AK1412)</f>
        <v>44559</v>
      </c>
      <c r="AM1412" s="23">
        <f>_xll.qlIndexFixing(hiborindex,AK1412)</f>
        <v>4.5330829194373933E-3</v>
      </c>
    </row>
    <row r="1413" spans="37:39" x14ac:dyDescent="0.25">
      <c r="AK1413" s="21">
        <f>_xll.qlCalendarAdvance(calendar,AK1412,"1D")</f>
        <v>44558</v>
      </c>
      <c r="AL1413" s="21">
        <f>_xll.qlInterestRateIndexValueDate(hiborindex,AK1413)</f>
        <v>44560</v>
      </c>
      <c r="AM1413" s="23">
        <f>_xll.qlIndexFixing(hiborindex,AK1413)</f>
        <v>4.5377084131669691E-3</v>
      </c>
    </row>
    <row r="1414" spans="37:39" x14ac:dyDescent="0.25">
      <c r="AK1414" s="21">
        <f>_xll.qlCalendarAdvance(calendar,AK1413,"1D")</f>
        <v>44559</v>
      </c>
      <c r="AL1414" s="21">
        <f>_xll.qlInterestRateIndexValueDate(hiborindex,AK1414)</f>
        <v>44561</v>
      </c>
      <c r="AM1414" s="23">
        <f>_xll.qlIndexFixing(hiborindex,AK1414)</f>
        <v>4.5399925585873193E-3</v>
      </c>
    </row>
    <row r="1415" spans="37:39" x14ac:dyDescent="0.25">
      <c r="AK1415" s="21">
        <f>_xll.qlCalendarAdvance(calendar,AK1414,"1D")</f>
        <v>44560</v>
      </c>
      <c r="AL1415" s="21">
        <f>_xll.qlInterestRateIndexValueDate(hiborindex,AK1415)</f>
        <v>44564</v>
      </c>
      <c r="AM1415" s="23">
        <f>_xll.qlIndexFixing(hiborindex,AK1415)</f>
        <v>4.5722245979063552E-3</v>
      </c>
    </row>
    <row r="1416" spans="37:39" x14ac:dyDescent="0.25">
      <c r="AK1416" s="21">
        <f>_xll.qlCalendarAdvance(calendar,AK1415,"1D")</f>
        <v>44561</v>
      </c>
      <c r="AL1416" s="21">
        <f>_xll.qlInterestRateIndexValueDate(hiborindex,AK1416)</f>
        <v>44565</v>
      </c>
      <c r="AM1416" s="23">
        <f>_xll.qlIndexFixing(hiborindex,AK1416)</f>
        <v>4.5745968221926128E-3</v>
      </c>
    </row>
    <row r="1417" spans="37:39" x14ac:dyDescent="0.25">
      <c r="AK1417" s="21">
        <f>_xll.qlCalendarAdvance(calendar,AK1416,"1D")</f>
        <v>44564</v>
      </c>
      <c r="AL1417" s="21">
        <f>_xll.qlInterestRateIndexValueDate(hiborindex,AK1417)</f>
        <v>44566</v>
      </c>
      <c r="AM1417" s="23">
        <f>_xll.qlIndexFixing(hiborindex,AK1417)</f>
        <v>4.5832571436064257E-3</v>
      </c>
    </row>
    <row r="1418" spans="37:39" x14ac:dyDescent="0.25">
      <c r="AK1418" s="21">
        <f>_xll.qlCalendarAdvance(calendar,AK1417,"1D")</f>
        <v>44565</v>
      </c>
      <c r="AL1418" s="21">
        <f>_xll.qlInterestRateIndexValueDate(hiborindex,AK1418)</f>
        <v>44567</v>
      </c>
      <c r="AM1418" s="23">
        <f>_xll.qlIndexFixing(hiborindex,AK1418)</f>
        <v>4.5919211673214663E-3</v>
      </c>
    </row>
    <row r="1419" spans="37:39" x14ac:dyDescent="0.25">
      <c r="AK1419" s="21">
        <f>_xll.qlCalendarAdvance(calendar,AK1418,"1D")</f>
        <v>44566</v>
      </c>
      <c r="AL1419" s="21">
        <f>_xll.qlInterestRateIndexValueDate(hiborindex,AK1419)</f>
        <v>44568</v>
      </c>
      <c r="AM1419" s="23">
        <f>_xll.qlIndexFixing(hiborindex,AK1419)</f>
        <v>4.6005888933858723E-3</v>
      </c>
    </row>
    <row r="1420" spans="37:39" x14ac:dyDescent="0.25">
      <c r="AK1420" s="21">
        <f>_xll.qlCalendarAdvance(calendar,AK1419,"1D")</f>
        <v>44567</v>
      </c>
      <c r="AL1420" s="21">
        <f>_xll.qlInterestRateIndexValueDate(hiborindex,AK1420)</f>
        <v>44571</v>
      </c>
      <c r="AM1420" s="23">
        <f>_xll.qlIndexFixing(hiborindex,AK1420)</f>
        <v>4.6327696867551798E-3</v>
      </c>
    </row>
    <row r="1421" spans="37:39" x14ac:dyDescent="0.25">
      <c r="AK1421" s="21">
        <f>_xll.qlCalendarAdvance(calendar,AK1420,"1D")</f>
        <v>44568</v>
      </c>
      <c r="AL1421" s="21">
        <f>_xll.qlInterestRateIndexValueDate(hiborindex,AK1421)</f>
        <v>44572</v>
      </c>
      <c r="AM1421" s="23">
        <f>_xll.qlIndexFixing(hiborindex,AK1421)</f>
        <v>4.6352968220902133E-3</v>
      </c>
    </row>
    <row r="1422" spans="37:39" x14ac:dyDescent="0.25">
      <c r="AK1422" s="21">
        <f>_xll.qlCalendarAdvance(calendar,AK1421,"1D")</f>
        <v>44571</v>
      </c>
      <c r="AL1422" s="21">
        <f>_xll.qlInterestRateIndexValueDate(hiborindex,AK1422)</f>
        <v>44573</v>
      </c>
      <c r="AM1422" s="23">
        <f>_xll.qlIndexFixing(hiborindex,AK1422)</f>
        <v>4.643983060618668E-3</v>
      </c>
    </row>
    <row r="1423" spans="37:39" x14ac:dyDescent="0.25">
      <c r="AK1423" s="21">
        <f>_xll.qlCalendarAdvance(calendar,AK1422,"1D")</f>
        <v>44572</v>
      </c>
      <c r="AL1423" s="21">
        <f>_xll.qlInterestRateIndexValueDate(hiborindex,AK1423)</f>
        <v>44574</v>
      </c>
      <c r="AM1423" s="23">
        <f>_xll.qlIndexFixing(hiborindex,AK1423)</f>
        <v>4.652673001784435E-3</v>
      </c>
    </row>
    <row r="1424" spans="37:39" x14ac:dyDescent="0.25">
      <c r="AK1424" s="21">
        <f>_xll.qlCalendarAdvance(calendar,AK1423,"1D")</f>
        <v>44573</v>
      </c>
      <c r="AL1424" s="21">
        <f>_xll.qlInterestRateIndexValueDate(hiborindex,AK1424)</f>
        <v>44575</v>
      </c>
      <c r="AM1424" s="23">
        <f>_xll.qlIndexFixing(hiborindex,AK1424)</f>
        <v>4.6613666456352121E-3</v>
      </c>
    </row>
    <row r="1425" spans="37:39" x14ac:dyDescent="0.25">
      <c r="AK1425" s="21">
        <f>_xll.qlCalendarAdvance(calendar,AK1424,"1D")</f>
        <v>44574</v>
      </c>
      <c r="AL1425" s="21">
        <f>_xll.qlInterestRateIndexValueDate(hiborindex,AK1425)</f>
        <v>44578</v>
      </c>
      <c r="AM1425" s="23">
        <f>_xll.qlIndexFixing(hiborindex,AK1425)</f>
        <v>4.6934952185691894E-3</v>
      </c>
    </row>
    <row r="1426" spans="37:39" x14ac:dyDescent="0.25">
      <c r="AK1426" s="21">
        <f>_xll.qlCalendarAdvance(calendar,AK1425,"1D")</f>
        <v>44575</v>
      </c>
      <c r="AL1426" s="21">
        <f>_xll.qlInterestRateIndexValueDate(hiborindex,AK1426)</f>
        <v>44579</v>
      </c>
      <c r="AM1426" s="23">
        <f>_xll.qlIndexFixing(hiborindex,AK1426)</f>
        <v>4.6961782488507383E-3</v>
      </c>
    </row>
    <row r="1427" spans="37:39" x14ac:dyDescent="0.25">
      <c r="AK1427" s="21">
        <f>_xll.qlCalendarAdvance(calendar,AK1426,"1D")</f>
        <v>44578</v>
      </c>
      <c r="AL1427" s="21">
        <f>_xll.qlInterestRateIndexValueDate(hiborindex,AK1427)</f>
        <v>44580</v>
      </c>
      <c r="AM1427" s="23">
        <f>_xll.qlIndexFixing(hiborindex,AK1427)</f>
        <v>4.7048904068490785E-3</v>
      </c>
    </row>
    <row r="1428" spans="37:39" x14ac:dyDescent="0.25">
      <c r="AK1428" s="21">
        <f>_xll.qlCalendarAdvance(calendar,AK1427,"1D")</f>
        <v>44579</v>
      </c>
      <c r="AL1428" s="21">
        <f>_xll.qlInterestRateIndexValueDate(hiborindex,AK1428)</f>
        <v>44581</v>
      </c>
      <c r="AM1428" s="23">
        <f>_xll.qlIndexFixing(hiborindex,AK1428)</f>
        <v>4.7136062678212578E-3</v>
      </c>
    </row>
    <row r="1429" spans="37:39" x14ac:dyDescent="0.25">
      <c r="AK1429" s="21">
        <f>_xll.qlCalendarAdvance(calendar,AK1428,"1D")</f>
        <v>44580</v>
      </c>
      <c r="AL1429" s="21">
        <f>_xll.qlInterestRateIndexValueDate(hiborindex,AK1429)</f>
        <v>44582</v>
      </c>
      <c r="AM1429" s="23">
        <f>_xll.qlIndexFixing(hiborindex,AK1429)</f>
        <v>4.7223258318158561E-3</v>
      </c>
    </row>
    <row r="1430" spans="37:39" x14ac:dyDescent="0.25">
      <c r="AK1430" s="21">
        <f>_xll.qlCalendarAdvance(calendar,AK1429,"1D")</f>
        <v>44581</v>
      </c>
      <c r="AL1430" s="21">
        <f>_xll.qlInterestRateIndexValueDate(hiborindex,AK1430)</f>
        <v>44585</v>
      </c>
      <c r="AM1430" s="23">
        <f>_xll.qlIndexFixing(hiborindex,AK1430)</f>
        <v>4.7544012098147733E-3</v>
      </c>
    </row>
    <row r="1431" spans="37:39" x14ac:dyDescent="0.25">
      <c r="AK1431" s="21">
        <f>_xll.qlCalendarAdvance(calendar,AK1430,"1D")</f>
        <v>44582</v>
      </c>
      <c r="AL1431" s="21">
        <f>_xll.qlInterestRateIndexValueDate(hiborindex,AK1431)</f>
        <v>44586</v>
      </c>
      <c r="AM1431" s="23">
        <f>_xll.qlIndexFixing(hiborindex,AK1431)</f>
        <v>4.7572411189820887E-3</v>
      </c>
    </row>
    <row r="1432" spans="37:39" x14ac:dyDescent="0.25">
      <c r="AK1432" s="21">
        <f>_xll.qlCalendarAdvance(calendar,AK1431,"1D")</f>
        <v>44585</v>
      </c>
      <c r="AL1432" s="21">
        <f>_xll.qlInterestRateIndexValueDate(hiborindex,AK1432)</f>
        <v>44587</v>
      </c>
      <c r="AM1432" s="23">
        <f>_xll.qlIndexFixing(hiborindex,AK1432)</f>
        <v>4.765979198812182E-3</v>
      </c>
    </row>
    <row r="1433" spans="37:39" x14ac:dyDescent="0.25">
      <c r="AK1433" s="21">
        <f>_xll.qlCalendarAdvance(calendar,AK1432,"1D")</f>
        <v>44586</v>
      </c>
      <c r="AL1433" s="21">
        <f>_xll.qlInterestRateIndexValueDate(hiborindex,AK1433)</f>
        <v>44588</v>
      </c>
      <c r="AM1433" s="23">
        <f>_xll.qlIndexFixing(hiborindex,AK1433)</f>
        <v>4.7747209819544072E-3</v>
      </c>
    </row>
    <row r="1434" spans="37:39" x14ac:dyDescent="0.25">
      <c r="AK1434" s="21">
        <f>_xll.qlCalendarAdvance(calendar,AK1433,"1D")</f>
        <v>44587</v>
      </c>
      <c r="AL1434" s="21">
        <f>_xll.qlInterestRateIndexValueDate(hiborindex,AK1434)</f>
        <v>44589</v>
      </c>
      <c r="AM1434" s="23">
        <f>_xll.qlIndexFixing(hiborindex,AK1434)</f>
        <v>4.7834664684569027E-3</v>
      </c>
    </row>
    <row r="1435" spans="37:39" x14ac:dyDescent="0.25">
      <c r="AK1435" s="21">
        <f>_xll.qlCalendarAdvance(calendar,AK1434,"1D")</f>
        <v>44588</v>
      </c>
      <c r="AL1435" s="21">
        <f>_xll.qlInterestRateIndexValueDate(hiborindex,AK1435)</f>
        <v>44592</v>
      </c>
      <c r="AM1435" s="23">
        <f>_xll.qlIndexFixing(hiborindex,AK1435)</f>
        <v>4.7980971755654071E-3</v>
      </c>
    </row>
    <row r="1436" spans="37:39" x14ac:dyDescent="0.25">
      <c r="AK1436" s="21">
        <f>_xll.qlCalendarAdvance(calendar,AK1435,"1D")</f>
        <v>44589</v>
      </c>
      <c r="AL1436" s="21">
        <f>_xll.qlInterestRateIndexValueDate(hiborindex,AK1436)</f>
        <v>44593</v>
      </c>
      <c r="AM1436" s="23">
        <f>_xll.qlIndexFixing(hiborindex,AK1436)</f>
        <v>4.81848544904207E-3</v>
      </c>
    </row>
    <row r="1437" spans="37:39" x14ac:dyDescent="0.25">
      <c r="AK1437" s="21">
        <f>_xll.qlCalendarAdvance(calendar,AK1436,"1D")</f>
        <v>44592</v>
      </c>
      <c r="AL1437" s="21">
        <f>_xll.qlInterestRateIndexValueDate(hiborindex,AK1437)</f>
        <v>44594</v>
      </c>
      <c r="AM1437" s="23">
        <f>_xll.qlIndexFixing(hiborindex,AK1437)</f>
        <v>4.8272494530737326E-3</v>
      </c>
    </row>
    <row r="1438" spans="37:39" x14ac:dyDescent="0.25">
      <c r="AK1438" s="21">
        <f>_xll.qlCalendarAdvance(calendar,AK1437,"1D")</f>
        <v>44593</v>
      </c>
      <c r="AL1438" s="21">
        <f>_xll.qlInterestRateIndexValueDate(hiborindex,AK1438)</f>
        <v>44595</v>
      </c>
      <c r="AM1438" s="23">
        <f>_xll.qlIndexFixing(hiborindex,AK1438)</f>
        <v>4.8360171607567037E-3</v>
      </c>
    </row>
    <row r="1439" spans="37:39" x14ac:dyDescent="0.25">
      <c r="AK1439" s="21">
        <f>_xll.qlCalendarAdvance(calendar,AK1438,"1D")</f>
        <v>44594</v>
      </c>
      <c r="AL1439" s="21">
        <f>_xll.qlInterestRateIndexValueDate(hiborindex,AK1439)</f>
        <v>44596</v>
      </c>
      <c r="AM1439" s="23">
        <f>_xll.qlIndexFixing(hiborindex,AK1439)</f>
        <v>4.8447885721391217E-3</v>
      </c>
    </row>
    <row r="1440" spans="37:39" x14ac:dyDescent="0.25">
      <c r="AK1440" s="21">
        <f>_xll.qlCalendarAdvance(calendar,AK1439,"1D")</f>
        <v>44595</v>
      </c>
      <c r="AL1440" s="21">
        <f>_xll.qlInterestRateIndexValueDate(hiborindex,AK1440)</f>
        <v>44599</v>
      </c>
      <c r="AM1440" s="23">
        <f>_xll.qlIndexFixing(hiborindex,AK1440)</f>
        <v>4.8767546367148099E-3</v>
      </c>
    </row>
    <row r="1441" spans="37:39" x14ac:dyDescent="0.25">
      <c r="AK1441" s="21">
        <f>_xll.qlCalendarAdvance(calendar,AK1440,"1D")</f>
        <v>44596</v>
      </c>
      <c r="AL1441" s="21">
        <f>_xll.qlInterestRateIndexValueDate(hiborindex,AK1441)</f>
        <v>44600</v>
      </c>
      <c r="AM1441" s="23">
        <f>_xll.qlIndexFixing(hiborindex,AK1441)</f>
        <v>4.879911255637949E-3</v>
      </c>
    </row>
    <row r="1442" spans="37:39" x14ac:dyDescent="0.25">
      <c r="AK1442" s="21">
        <f>_xll.qlCalendarAdvance(calendar,AK1441,"1D")</f>
        <v>44599</v>
      </c>
      <c r="AL1442" s="21">
        <f>_xll.qlInterestRateIndexValueDate(hiborindex,AK1442)</f>
        <v>44601</v>
      </c>
      <c r="AM1442" s="23">
        <f>_xll.qlIndexFixing(hiborindex,AK1442)</f>
        <v>4.8887011862480652E-3</v>
      </c>
    </row>
    <row r="1443" spans="37:39" x14ac:dyDescent="0.25">
      <c r="AK1443" s="21">
        <f>_xll.qlCalendarAdvance(calendar,AK1442,"1D")</f>
        <v>44600</v>
      </c>
      <c r="AL1443" s="21">
        <f>_xll.qlInterestRateIndexValueDate(hiborindex,AK1443)</f>
        <v>44602</v>
      </c>
      <c r="AM1443" s="23">
        <f>_xll.qlIndexFixing(hiborindex,AK1443)</f>
        <v>4.8974948208495486E-3</v>
      </c>
    </row>
    <row r="1444" spans="37:39" x14ac:dyDescent="0.25">
      <c r="AK1444" s="21">
        <f>_xll.qlCalendarAdvance(calendar,AK1443,"1D")</f>
        <v>44601</v>
      </c>
      <c r="AL1444" s="21">
        <f>_xll.qlInterestRateIndexValueDate(hiborindex,AK1444)</f>
        <v>44603</v>
      </c>
      <c r="AM1444" s="23">
        <f>_xll.qlIndexFixing(hiborindex,AK1444)</f>
        <v>4.9062921594905384E-3</v>
      </c>
    </row>
    <row r="1445" spans="37:39" x14ac:dyDescent="0.25">
      <c r="AK1445" s="21">
        <f>_xll.qlCalendarAdvance(calendar,AK1444,"1D")</f>
        <v>44602</v>
      </c>
      <c r="AL1445" s="21">
        <f>_xll.qlInterestRateIndexValueDate(hiborindex,AK1445)</f>
        <v>44606</v>
      </c>
      <c r="AM1445" s="23">
        <f>_xll.qlIndexFixing(hiborindex,AK1445)</f>
        <v>4.9382021055493141E-3</v>
      </c>
    </row>
    <row r="1446" spans="37:39" x14ac:dyDescent="0.25">
      <c r="AK1446" s="21">
        <f>_xll.qlCalendarAdvance(calendar,AK1445,"1D")</f>
        <v>44603</v>
      </c>
      <c r="AL1446" s="21">
        <f>_xll.qlInterestRateIndexValueDate(hiborindex,AK1446)</f>
        <v>44607</v>
      </c>
      <c r="AM1446" s="23">
        <f>_xll.qlIndexFixing(hiborindex,AK1446)</f>
        <v>4.9415185554286655E-3</v>
      </c>
    </row>
    <row r="1447" spans="37:39" x14ac:dyDescent="0.25">
      <c r="AK1447" s="21">
        <f>_xll.qlCalendarAdvance(calendar,AK1446,"1D")</f>
        <v>44606</v>
      </c>
      <c r="AL1447" s="21">
        <f>_xll.qlInterestRateIndexValueDate(hiborindex,AK1447)</f>
        <v>44608</v>
      </c>
      <c r="AM1447" s="23">
        <f>_xll.qlIndexFixing(hiborindex,AK1447)</f>
        <v>4.9503344149998589E-3</v>
      </c>
    </row>
    <row r="1448" spans="37:39" x14ac:dyDescent="0.25">
      <c r="AK1448" s="21">
        <f>_xll.qlCalendarAdvance(calendar,AK1447,"1D")</f>
        <v>44607</v>
      </c>
      <c r="AL1448" s="21">
        <f>_xll.qlInterestRateIndexValueDate(hiborindex,AK1448)</f>
        <v>44609</v>
      </c>
      <c r="AM1448" s="23">
        <f>_xll.qlIndexFixing(hiborindex,AK1448)</f>
        <v>4.9591539789042467E-3</v>
      </c>
    </row>
    <row r="1449" spans="37:39" x14ac:dyDescent="0.25">
      <c r="AK1449" s="21">
        <f>_xll.qlCalendarAdvance(calendar,AK1448,"1D")</f>
        <v>44608</v>
      </c>
      <c r="AL1449" s="21">
        <f>_xll.qlInterestRateIndexValueDate(hiborindex,AK1449)</f>
        <v>44610</v>
      </c>
      <c r="AM1449" s="23">
        <f>_xll.qlIndexFixing(hiborindex,AK1449)</f>
        <v>4.9679772471890827E-3</v>
      </c>
    </row>
    <row r="1450" spans="37:39" x14ac:dyDescent="0.25">
      <c r="AK1450" s="21">
        <f>_xll.qlCalendarAdvance(calendar,AK1449,"1D")</f>
        <v>44609</v>
      </c>
      <c r="AL1450" s="21">
        <f>_xll.qlInterestRateIndexValueDate(hiborindex,AK1450)</f>
        <v>44613</v>
      </c>
      <c r="AM1450" s="23">
        <f>_xll.qlIndexFixing(hiborindex,AK1450)</f>
        <v>4.9998301001741782E-3</v>
      </c>
    </row>
    <row r="1451" spans="37:39" x14ac:dyDescent="0.25">
      <c r="AK1451" s="21">
        <f>_xll.qlCalendarAdvance(calendar,AK1450,"1D")</f>
        <v>44610</v>
      </c>
      <c r="AL1451" s="21">
        <f>_xll.qlInterestRateIndexValueDate(hiborindex,AK1451)</f>
        <v>44614</v>
      </c>
      <c r="AM1451" s="23">
        <f>_xll.qlIndexFixing(hiborindex,AK1451)</f>
        <v>5.0033073651186474E-3</v>
      </c>
    </row>
    <row r="1452" spans="37:39" x14ac:dyDescent="0.25">
      <c r="AK1452" s="21">
        <f>_xll.qlCalendarAdvance(calendar,AK1451,"1D")</f>
        <v>44613</v>
      </c>
      <c r="AL1452" s="21">
        <f>_xll.qlInterestRateIndexValueDate(hiborindex,AK1452)</f>
        <v>44615</v>
      </c>
      <c r="AM1452" s="23">
        <f>_xll.qlIndexFixing(hiborindex,AK1452)</f>
        <v>5.0121491560432595E-3</v>
      </c>
    </row>
    <row r="1453" spans="37:39" x14ac:dyDescent="0.25">
      <c r="AK1453" s="21">
        <f>_xll.qlCalendarAdvance(calendar,AK1452,"1D")</f>
        <v>44614</v>
      </c>
      <c r="AL1453" s="21">
        <f>_xll.qlInterestRateIndexValueDate(hiborindex,AK1453)</f>
        <v>44616</v>
      </c>
      <c r="AM1453" s="23">
        <f>_xll.qlIndexFixing(hiborindex,AK1453)</f>
        <v>5.0209946516415662E-3</v>
      </c>
    </row>
    <row r="1454" spans="37:39" x14ac:dyDescent="0.25">
      <c r="AK1454" s="21">
        <f>_xll.qlCalendarAdvance(calendar,AK1453,"1D")</f>
        <v>44615</v>
      </c>
      <c r="AL1454" s="21">
        <f>_xll.qlInterestRateIndexValueDate(hiborindex,AK1454)</f>
        <v>44617</v>
      </c>
      <c r="AM1454" s="23">
        <f>_xll.qlIndexFixing(hiborindex,AK1454)</f>
        <v>5.0298438519634728E-3</v>
      </c>
    </row>
    <row r="1455" spans="37:39" x14ac:dyDescent="0.25">
      <c r="AK1455" s="21">
        <f>_xll.qlCalendarAdvance(calendar,AK1454,"1D")</f>
        <v>44616</v>
      </c>
      <c r="AL1455" s="21">
        <f>_xll.qlInterestRateIndexValueDate(hiborindex,AK1455)</f>
        <v>44620</v>
      </c>
      <c r="AM1455" s="23">
        <f>_xll.qlIndexFixing(hiborindex,AK1455)</f>
        <v>5.0720060557394604E-3</v>
      </c>
    </row>
    <row r="1456" spans="37:39" x14ac:dyDescent="0.25">
      <c r="AK1456" s="21">
        <f>_xll.qlCalendarAdvance(calendar,AK1455,"1D")</f>
        <v>44617</v>
      </c>
      <c r="AL1456" s="21">
        <f>_xll.qlInterestRateIndexValueDate(hiborindex,AK1456)</f>
        <v>44621</v>
      </c>
      <c r="AM1456" s="23">
        <f>_xll.qlIndexFixing(hiborindex,AK1456)</f>
        <v>5.0808122455998257E-3</v>
      </c>
    </row>
    <row r="1457" spans="37:39" x14ac:dyDescent="0.25">
      <c r="AK1457" s="21">
        <f>_xll.qlCalendarAdvance(calendar,AK1456,"1D")</f>
        <v>44620</v>
      </c>
      <c r="AL1457" s="21">
        <f>_xll.qlInterestRateIndexValueDate(hiborindex,AK1457)</f>
        <v>44622</v>
      </c>
      <c r="AM1457" s="23">
        <f>_xll.qlIndexFixing(hiborindex,AK1457)</f>
        <v>5.0896220809749509E-3</v>
      </c>
    </row>
    <row r="1458" spans="37:39" x14ac:dyDescent="0.25">
      <c r="AK1458" s="21">
        <f>_xll.qlCalendarAdvance(calendar,AK1457,"1D")</f>
        <v>44621</v>
      </c>
      <c r="AL1458" s="21">
        <f>_xll.qlInterestRateIndexValueDate(hiborindex,AK1458)</f>
        <v>44623</v>
      </c>
      <c r="AM1458" s="23">
        <f>_xll.qlIndexFixing(hiborindex,AK1458)</f>
        <v>5.1085833063464264E-3</v>
      </c>
    </row>
    <row r="1459" spans="37:39" x14ac:dyDescent="0.25">
      <c r="AK1459" s="21">
        <f>_xll.qlCalendarAdvance(calendar,AK1458,"1D")</f>
        <v>44622</v>
      </c>
      <c r="AL1459" s="21">
        <f>_xll.qlInterestRateIndexValueDate(hiborindex,AK1459)</f>
        <v>44624</v>
      </c>
      <c r="AM1459" s="23">
        <f>_xll.qlIndexFixing(hiborindex,AK1459)</f>
        <v>5.1123204991034548E-3</v>
      </c>
    </row>
    <row r="1460" spans="37:39" x14ac:dyDescent="0.25">
      <c r="AK1460" s="21">
        <f>_xll.qlCalendarAdvance(calendar,AK1459,"1D")</f>
        <v>44623</v>
      </c>
      <c r="AL1460" s="21">
        <f>_xll.qlInterestRateIndexValueDate(hiborindex,AK1460)</f>
        <v>44627</v>
      </c>
      <c r="AM1460" s="23">
        <f>_xll.qlIndexFixing(hiborindex,AK1460)</f>
        <v>5.1337259422784319E-3</v>
      </c>
    </row>
    <row r="1461" spans="37:39" x14ac:dyDescent="0.25">
      <c r="AK1461" s="21">
        <f>_xll.qlCalendarAdvance(calendar,AK1460,"1D")</f>
        <v>44624</v>
      </c>
      <c r="AL1461" s="21">
        <f>_xll.qlInterestRateIndexValueDate(hiborindex,AK1461)</f>
        <v>44628</v>
      </c>
      <c r="AM1461" s="23">
        <f>_xll.qlIndexFixing(hiborindex,AK1461)</f>
        <v>5.1425576517656439E-3</v>
      </c>
    </row>
    <row r="1462" spans="37:39" x14ac:dyDescent="0.25">
      <c r="AK1462" s="21">
        <f>_xll.qlCalendarAdvance(calendar,AK1461,"1D")</f>
        <v>44627</v>
      </c>
      <c r="AL1462" s="21">
        <f>_xll.qlInterestRateIndexValueDate(hiborindex,AK1462)</f>
        <v>44629</v>
      </c>
      <c r="AM1462" s="23">
        <f>_xll.qlIndexFixing(hiborindex,AK1462)</f>
        <v>5.1513930071095159E-3</v>
      </c>
    </row>
    <row r="1463" spans="37:39" x14ac:dyDescent="0.25">
      <c r="AK1463" s="21">
        <f>_xll.qlCalendarAdvance(calendar,AK1462,"1D")</f>
        <v>44628</v>
      </c>
      <c r="AL1463" s="21">
        <f>_xll.qlInterestRateIndexValueDate(hiborindex,AK1463)</f>
        <v>44630</v>
      </c>
      <c r="AM1463" s="23">
        <f>_xll.qlIndexFixing(hiborindex,AK1463)</f>
        <v>5.1701155527899209E-3</v>
      </c>
    </row>
    <row r="1464" spans="37:39" x14ac:dyDescent="0.25">
      <c r="AK1464" s="21">
        <f>_xll.qlCalendarAdvance(calendar,AK1463,"1D")</f>
        <v>44629</v>
      </c>
      <c r="AL1464" s="21">
        <f>_xll.qlInterestRateIndexValueDate(hiborindex,AK1464)</f>
        <v>44631</v>
      </c>
      <c r="AM1464" s="23">
        <f>_xll.qlIndexFixing(hiborindex,AK1464)</f>
        <v>5.1740095126060967E-3</v>
      </c>
    </row>
    <row r="1465" spans="37:39" x14ac:dyDescent="0.25">
      <c r="AK1465" s="21">
        <f>_xll.qlCalendarAdvance(calendar,AK1464,"1D")</f>
        <v>44630</v>
      </c>
      <c r="AL1465" s="21">
        <f>_xll.qlInterestRateIndexValueDate(hiborindex,AK1465)</f>
        <v>44634</v>
      </c>
      <c r="AM1465" s="23">
        <f>_xll.qlIndexFixing(hiborindex,AK1465)</f>
        <v>5.1956244733869748E-3</v>
      </c>
    </row>
    <row r="1466" spans="37:39" x14ac:dyDescent="0.25">
      <c r="AK1466" s="21">
        <f>_xll.qlCalendarAdvance(calendar,AK1465,"1D")</f>
        <v>44631</v>
      </c>
      <c r="AL1466" s="21">
        <f>_xll.qlInterestRateIndexValueDate(hiborindex,AK1466)</f>
        <v>44635</v>
      </c>
      <c r="AM1466" s="23">
        <f>_xll.qlIndexFixing(hiborindex,AK1466)</f>
        <v>5.2044817048965087E-3</v>
      </c>
    </row>
    <row r="1467" spans="37:39" x14ac:dyDescent="0.25">
      <c r="AK1467" s="21">
        <f>_xll.qlCalendarAdvance(calendar,AK1466,"1D")</f>
        <v>44634</v>
      </c>
      <c r="AL1467" s="21">
        <f>_xll.qlInterestRateIndexValueDate(hiborindex,AK1467)</f>
        <v>44636</v>
      </c>
      <c r="AM1467" s="23">
        <f>_xll.qlIndexFixing(hiborindex,AK1467)</f>
        <v>5.2133425826054718E-3</v>
      </c>
    </row>
    <row r="1468" spans="37:39" x14ac:dyDescent="0.25">
      <c r="AK1468" s="21">
        <f>_xll.qlCalendarAdvance(calendar,AK1467,"1D")</f>
        <v>44635</v>
      </c>
      <c r="AL1468" s="21">
        <f>_xll.qlInterestRateIndexValueDate(hiborindex,AK1468)</f>
        <v>44637</v>
      </c>
      <c r="AM1468" s="23">
        <f>_xll.qlIndexFixing(hiborindex,AK1468)</f>
        <v>5.2318245611675382E-3</v>
      </c>
    </row>
    <row r="1469" spans="37:39" x14ac:dyDescent="0.25">
      <c r="AK1469" s="21">
        <f>_xll.qlCalendarAdvance(calendar,AK1468,"1D")</f>
        <v>44636</v>
      </c>
      <c r="AL1469" s="21">
        <f>_xll.qlInterestRateIndexValueDate(hiborindex,AK1469)</f>
        <v>44638</v>
      </c>
      <c r="AM1469" s="23">
        <f>_xll.qlIndexFixing(hiborindex,AK1469)</f>
        <v>5.2358762302183283E-3</v>
      </c>
    </row>
    <row r="1470" spans="37:39" x14ac:dyDescent="0.25">
      <c r="AK1470" s="21">
        <f>_xll.qlCalendarAdvance(calendar,AK1469,"1D")</f>
        <v>44637</v>
      </c>
      <c r="AL1470" s="21">
        <f>_xll.qlInterestRateIndexValueDate(hiborindex,AK1470)</f>
        <v>44641</v>
      </c>
      <c r="AM1470" s="23">
        <f>_xll.qlIndexFixing(hiborindex,AK1470)</f>
        <v>5.2577016658538348E-3</v>
      </c>
    </row>
    <row r="1471" spans="37:39" x14ac:dyDescent="0.25">
      <c r="AK1471" s="21">
        <f>_xll.qlCalendarAdvance(calendar,AK1470,"1D")</f>
        <v>44638</v>
      </c>
      <c r="AL1471" s="21">
        <f>_xll.qlInterestRateIndexValueDate(hiborindex,AK1471)</f>
        <v>44642</v>
      </c>
      <c r="AM1471" s="23">
        <f>_xll.qlIndexFixing(hiborindex,AK1471)</f>
        <v>5.2665844217876815E-3</v>
      </c>
    </row>
    <row r="1472" spans="37:39" x14ac:dyDescent="0.25">
      <c r="AK1472" s="21">
        <f>_xll.qlCalendarAdvance(calendar,AK1471,"1D")</f>
        <v>44641</v>
      </c>
      <c r="AL1472" s="21">
        <f>_xll.qlInterestRateIndexValueDate(hiborindex,AK1472)</f>
        <v>44643</v>
      </c>
      <c r="AM1472" s="23">
        <f>_xll.qlIndexFixing(hiborindex,AK1472)</f>
        <v>5.2754708242645958E-3</v>
      </c>
    </row>
    <row r="1473" spans="37:39" x14ac:dyDescent="0.25">
      <c r="AK1473" s="21">
        <f>_xll.qlCalendarAdvance(calendar,AK1472,"1D")</f>
        <v>44642</v>
      </c>
      <c r="AL1473" s="21">
        <f>_xll.qlInterestRateIndexValueDate(hiborindex,AK1473)</f>
        <v>44644</v>
      </c>
      <c r="AM1473" s="23">
        <f>_xll.qlIndexFixing(hiborindex,AK1473)</f>
        <v>5.2937103482155667E-3</v>
      </c>
    </row>
    <row r="1474" spans="37:39" x14ac:dyDescent="0.25">
      <c r="AK1474" s="21">
        <f>_xll.qlCalendarAdvance(calendar,AK1473,"1D")</f>
        <v>44643</v>
      </c>
      <c r="AL1474" s="21">
        <f>_xll.qlInterestRateIndexValueDate(hiborindex,AK1474)</f>
        <v>44645</v>
      </c>
      <c r="AM1474" s="23">
        <f>_xll.qlIndexFixing(hiborindex,AK1474)</f>
        <v>5.29792066872024E-3</v>
      </c>
    </row>
    <row r="1475" spans="37:39" x14ac:dyDescent="0.25">
      <c r="AK1475" s="21">
        <f>_xll.qlCalendarAdvance(calendar,AK1474,"1D")</f>
        <v>44644</v>
      </c>
      <c r="AL1475" s="21">
        <f>_xll.qlInterestRateIndexValueDate(hiborindex,AK1475)</f>
        <v>44648</v>
      </c>
      <c r="AM1475" s="23">
        <f>_xll.qlIndexFixing(hiborindex,AK1475)</f>
        <v>5.3199575365155431E-3</v>
      </c>
    </row>
    <row r="1476" spans="37:39" x14ac:dyDescent="0.25">
      <c r="AK1476" s="21">
        <f>_xll.qlCalendarAdvance(calendar,AK1475,"1D")</f>
        <v>44645</v>
      </c>
      <c r="AL1476" s="21">
        <f>_xll.qlInterestRateIndexValueDate(hiborindex,AK1476)</f>
        <v>44649</v>
      </c>
      <c r="AM1476" s="23">
        <f>_xll.qlIndexFixing(hiborindex,AK1476)</f>
        <v>5.3288658192830801E-3</v>
      </c>
    </row>
    <row r="1477" spans="37:39" x14ac:dyDescent="0.25">
      <c r="AK1477" s="21">
        <f>_xll.qlCalendarAdvance(calendar,AK1476,"1D")</f>
        <v>44648</v>
      </c>
      <c r="AL1477" s="21">
        <f>_xll.qlInterestRateIndexValueDate(hiborindex,AK1477)</f>
        <v>44650</v>
      </c>
      <c r="AM1477" s="23">
        <f>_xll.qlIndexFixing(hiborindex,AK1477)</f>
        <v>5.3377777489386265E-3</v>
      </c>
    </row>
    <row r="1478" spans="37:39" x14ac:dyDescent="0.25">
      <c r="AK1478" s="21">
        <f>_xll.qlCalendarAdvance(calendar,AK1477,"1D")</f>
        <v>44649</v>
      </c>
      <c r="AL1478" s="21">
        <f>_xll.qlInterestRateIndexValueDate(hiborindex,AK1478)</f>
        <v>44651</v>
      </c>
      <c r="AM1478" s="23">
        <f>_xll.qlIndexFixing(hiborindex,AK1478)</f>
        <v>5.3421233392743697E-3</v>
      </c>
    </row>
    <row r="1479" spans="37:39" x14ac:dyDescent="0.25">
      <c r="AK1479" s="21">
        <f>_xll.qlCalendarAdvance(calendar,AK1478,"1D")</f>
        <v>44650</v>
      </c>
      <c r="AL1479" s="21">
        <f>_xll.qlInterestRateIndexValueDate(hiborindex,AK1479)</f>
        <v>44652</v>
      </c>
      <c r="AM1479" s="23">
        <f>_xll.qlIndexFixing(hiborindex,AK1479)</f>
        <v>5.3601428449407485E-3</v>
      </c>
    </row>
    <row r="1480" spans="37:39" x14ac:dyDescent="0.25">
      <c r="AK1480" s="21">
        <f>_xll.qlCalendarAdvance(calendar,AK1479,"1D")</f>
        <v>44651</v>
      </c>
      <c r="AL1480" s="21">
        <f>_xll.qlInterestRateIndexValueDate(hiborindex,AK1480)</f>
        <v>44655</v>
      </c>
      <c r="AM1480" s="23">
        <f>_xll.qlIndexFixing(hiborindex,AK1480)</f>
        <v>5.3779009236658683E-3</v>
      </c>
    </row>
    <row r="1481" spans="37:39" x14ac:dyDescent="0.25">
      <c r="AK1481" s="21">
        <f>_xll.qlCalendarAdvance(calendar,AK1480,"1D")</f>
        <v>44652</v>
      </c>
      <c r="AL1481" s="21">
        <f>_xll.qlInterestRateIndexValueDate(hiborindex,AK1481)</f>
        <v>44656</v>
      </c>
      <c r="AM1481" s="23">
        <f>_xll.qlIndexFixing(hiborindex,AK1481)</f>
        <v>5.386854486609605E-3</v>
      </c>
    </row>
    <row r="1482" spans="37:39" x14ac:dyDescent="0.25">
      <c r="AK1482" s="21">
        <f>_xll.qlCalendarAdvance(calendar,AK1481,"1D")</f>
        <v>44655</v>
      </c>
      <c r="AL1482" s="21">
        <f>_xll.qlInterestRateIndexValueDate(hiborindex,AK1482)</f>
        <v>44657</v>
      </c>
      <c r="AM1482" s="23">
        <f>_xll.qlIndexFixing(hiborindex,AK1482)</f>
        <v>5.395811716391103E-3</v>
      </c>
    </row>
    <row r="1483" spans="37:39" x14ac:dyDescent="0.25">
      <c r="AK1483" s="21">
        <f>_xll.qlCalendarAdvance(calendar,AK1482,"1D")</f>
        <v>44656</v>
      </c>
      <c r="AL1483" s="21">
        <f>_xll.qlInterestRateIndexValueDate(hiborindex,AK1483)</f>
        <v>44658</v>
      </c>
      <c r="AM1483" s="23">
        <f>_xll.qlIndexFixing(hiborindex,AK1483)</f>
        <v>5.404772613059724E-3</v>
      </c>
    </row>
    <row r="1484" spans="37:39" x14ac:dyDescent="0.25">
      <c r="AK1484" s="21">
        <f>_xll.qlCalendarAdvance(calendar,AK1483,"1D")</f>
        <v>44657</v>
      </c>
      <c r="AL1484" s="21">
        <f>_xll.qlInterestRateIndexValueDate(hiborindex,AK1484)</f>
        <v>44659</v>
      </c>
      <c r="AM1484" s="23">
        <f>_xll.qlIndexFixing(hiborindex,AK1484)</f>
        <v>5.422542775756733E-3</v>
      </c>
    </row>
    <row r="1485" spans="37:39" x14ac:dyDescent="0.25">
      <c r="AK1485" s="21">
        <f>_xll.qlCalendarAdvance(calendar,AK1484,"1D")</f>
        <v>44658</v>
      </c>
      <c r="AL1485" s="21">
        <f>_xll.qlInterestRateIndexValueDate(hiborindex,AK1485)</f>
        <v>44662</v>
      </c>
      <c r="AM1485" s="23">
        <f>_xll.qlIndexFixing(hiborindex,AK1485)</f>
        <v>5.4406528695982908E-3</v>
      </c>
    </row>
    <row r="1486" spans="37:39" x14ac:dyDescent="0.25">
      <c r="AK1486" s="21">
        <f>_xll.qlCalendarAdvance(calendar,AK1485,"1D")</f>
        <v>44659</v>
      </c>
      <c r="AL1486" s="21">
        <f>_xll.qlInterestRateIndexValueDate(hiborindex,AK1486)</f>
        <v>44663</v>
      </c>
      <c r="AM1486" s="23">
        <f>_xll.qlIndexFixing(hiborindex,AK1486)</f>
        <v>5.4496321014472805E-3</v>
      </c>
    </row>
    <row r="1487" spans="37:39" x14ac:dyDescent="0.25">
      <c r="AK1487" s="21">
        <f>_xll.qlCalendarAdvance(calendar,AK1486,"1D")</f>
        <v>44662</v>
      </c>
      <c r="AL1487" s="21">
        <f>_xll.qlInterestRateIndexValueDate(hiborindex,AK1487)</f>
        <v>44664</v>
      </c>
      <c r="AM1487" s="23">
        <f>_xll.qlIndexFixing(hiborindex,AK1487)</f>
        <v>5.4586150004812947E-3</v>
      </c>
    </row>
    <row r="1488" spans="37:39" x14ac:dyDescent="0.25">
      <c r="AK1488" s="21">
        <f>_xll.qlCalendarAdvance(calendar,AK1487,"1D")</f>
        <v>44663</v>
      </c>
      <c r="AL1488" s="21">
        <f>_xll.qlInterestRateIndexValueDate(hiborindex,AK1488)</f>
        <v>44665</v>
      </c>
      <c r="AM1488" s="23">
        <f>_xll.qlIndexFixing(hiborindex,AK1488)</f>
        <v>5.4676015667501311E-3</v>
      </c>
    </row>
    <row r="1489" spans="37:39" x14ac:dyDescent="0.25">
      <c r="AK1489" s="21">
        <f>_xll.qlCalendarAdvance(calendar,AK1488,"1D")</f>
        <v>44664</v>
      </c>
      <c r="AL1489" s="21">
        <f>_xll.qlInterestRateIndexValueDate(hiborindex,AK1489)</f>
        <v>44670</v>
      </c>
      <c r="AM1489" s="23">
        <f>_xll.qlIndexFixing(hiborindex,AK1489)</f>
        <v>5.5125894083573245E-3</v>
      </c>
    </row>
    <row r="1490" spans="37:39" x14ac:dyDescent="0.25">
      <c r="AK1490" s="21">
        <f>_xll.qlCalendarAdvance(calendar,AK1489,"1D")</f>
        <v>44665</v>
      </c>
      <c r="AL1490" s="21">
        <f>_xll.qlInterestRateIndexValueDate(hiborindex,AK1490)</f>
        <v>44671</v>
      </c>
      <c r="AM1490" s="23">
        <f>_xll.qlIndexFixing(hiborindex,AK1490)</f>
        <v>5.5215979790803763E-3</v>
      </c>
    </row>
    <row r="1491" spans="37:39" x14ac:dyDescent="0.25">
      <c r="AK1491" s="21">
        <f>_xll.qlCalendarAdvance(calendar,AK1490,"1D")</f>
        <v>44670</v>
      </c>
      <c r="AL1491" s="21">
        <f>_xll.qlInterestRateIndexValueDate(hiborindex,AK1491)</f>
        <v>44672</v>
      </c>
      <c r="AM1491" s="23">
        <f>_xll.qlIndexFixing(hiborindex,AK1491)</f>
        <v>5.5306102173863867E-3</v>
      </c>
    </row>
    <row r="1492" spans="37:39" x14ac:dyDescent="0.25">
      <c r="AK1492" s="21">
        <f>_xll.qlCalendarAdvance(calendar,AK1491,"1D")</f>
        <v>44671</v>
      </c>
      <c r="AL1492" s="21">
        <f>_xll.qlInterestRateIndexValueDate(hiborindex,AK1492)</f>
        <v>44673</v>
      </c>
      <c r="AM1492" s="23">
        <f>_xll.qlIndexFixing(hiborindex,AK1492)</f>
        <v>5.5478759689289291E-3</v>
      </c>
    </row>
    <row r="1493" spans="37:39" x14ac:dyDescent="0.25">
      <c r="AK1493" s="21">
        <f>_xll.qlCalendarAdvance(calendar,AK1492,"1D")</f>
        <v>44672</v>
      </c>
      <c r="AL1493" s="21">
        <f>_xll.qlInterestRateIndexValueDate(hiborindex,AK1493)</f>
        <v>44676</v>
      </c>
      <c r="AM1493" s="23">
        <f>_xll.qlIndexFixing(hiborindex,AK1493)</f>
        <v>5.5666958474446743E-3</v>
      </c>
    </row>
    <row r="1494" spans="37:39" x14ac:dyDescent="0.25">
      <c r="AK1494" s="21">
        <f>_xll.qlCalendarAdvance(calendar,AK1493,"1D")</f>
        <v>44673</v>
      </c>
      <c r="AL1494" s="21">
        <f>_xll.qlInterestRateIndexValueDate(hiborindex,AK1494)</f>
        <v>44677</v>
      </c>
      <c r="AM1494" s="23">
        <f>_xll.qlIndexFixing(hiborindex,AK1494)</f>
        <v>5.5757264244172258E-3</v>
      </c>
    </row>
    <row r="1495" spans="37:39" x14ac:dyDescent="0.25">
      <c r="AK1495" s="21">
        <f>_xll.qlCalendarAdvance(calendar,AK1494,"1D")</f>
        <v>44676</v>
      </c>
      <c r="AL1495" s="21">
        <f>_xll.qlInterestRateIndexValueDate(hiborindex,AK1495)</f>
        <v>44678</v>
      </c>
      <c r="AM1495" s="23">
        <f>_xll.qlIndexFixing(hiborindex,AK1495)</f>
        <v>5.5847606692723878E-3</v>
      </c>
    </row>
    <row r="1496" spans="37:39" x14ac:dyDescent="0.25">
      <c r="AK1496" s="21">
        <f>_xll.qlCalendarAdvance(calendar,AK1495,"1D")</f>
        <v>44677</v>
      </c>
      <c r="AL1496" s="21">
        <f>_xll.qlInterestRateIndexValueDate(hiborindex,AK1496)</f>
        <v>44679</v>
      </c>
      <c r="AM1496" s="23">
        <f>_xll.qlIndexFixing(hiborindex,AK1496)</f>
        <v>5.593798582060828E-3</v>
      </c>
    </row>
    <row r="1497" spans="37:39" x14ac:dyDescent="0.25">
      <c r="AK1497" s="21">
        <f>_xll.qlCalendarAdvance(calendar,AK1496,"1D")</f>
        <v>44678</v>
      </c>
      <c r="AL1497" s="21">
        <f>_xll.qlInterestRateIndexValueDate(hiborindex,AK1497)</f>
        <v>44680</v>
      </c>
      <c r="AM1497" s="23">
        <f>_xll.qlIndexFixing(hiborindex,AK1497)</f>
        <v>5.6108092652825958E-3</v>
      </c>
    </row>
    <row r="1498" spans="37:39" x14ac:dyDescent="0.25">
      <c r="AK1498" s="21">
        <f>_xll.qlCalendarAdvance(calendar,AK1497,"1D")</f>
        <v>44679</v>
      </c>
      <c r="AL1498" s="21">
        <f>_xll.qlInterestRateIndexValueDate(hiborindex,AK1498)</f>
        <v>44683</v>
      </c>
      <c r="AM1498" s="23">
        <f>_xll.qlIndexFixing(hiborindex,AK1498)</f>
        <v>5.6339176554631243E-3</v>
      </c>
    </row>
    <row r="1499" spans="37:39" x14ac:dyDescent="0.25">
      <c r="AK1499" s="21">
        <f>_xll.qlCalendarAdvance(calendar,AK1498,"1D")</f>
        <v>44680</v>
      </c>
      <c r="AL1499" s="21">
        <f>_xll.qlInterestRateIndexValueDate(hiborindex,AK1499)</f>
        <v>44684</v>
      </c>
      <c r="AM1499" s="23">
        <f>_xll.qlIndexFixing(hiborindex,AK1499)</f>
        <v>5.6429536087830526E-3</v>
      </c>
    </row>
    <row r="1500" spans="37:39" x14ac:dyDescent="0.25">
      <c r="AK1500" s="21">
        <f>_xll.qlCalendarAdvance(calendar,AK1499,"1D")</f>
        <v>44683</v>
      </c>
      <c r="AL1500" s="21">
        <f>_xll.qlInterestRateIndexValueDate(hiborindex,AK1500)</f>
        <v>44685</v>
      </c>
      <c r="AM1500" s="23">
        <f>_xll.qlIndexFixing(hiborindex,AK1500)</f>
        <v>5.6519932107291643E-3</v>
      </c>
    </row>
    <row r="1501" spans="37:39" x14ac:dyDescent="0.25">
      <c r="AK1501" s="21">
        <f>_xll.qlCalendarAdvance(calendar,AK1500,"1D")</f>
        <v>44684</v>
      </c>
      <c r="AL1501" s="21">
        <f>_xll.qlInterestRateIndexValueDate(hiborindex,AK1501)</f>
        <v>44686</v>
      </c>
      <c r="AM1501" s="23">
        <f>_xll.qlIndexFixing(hiborindex,AK1501)</f>
        <v>5.6687383660027823E-3</v>
      </c>
    </row>
    <row r="1502" spans="37:39" x14ac:dyDescent="0.25">
      <c r="AK1502" s="21">
        <f>_xll.qlCalendarAdvance(calendar,AK1501,"1D")</f>
        <v>44685</v>
      </c>
      <c r="AL1502" s="21">
        <f>_xll.qlInterestRateIndexValueDate(hiborindex,AK1502)</f>
        <v>44687</v>
      </c>
      <c r="AM1502" s="23">
        <f>_xll.qlIndexFixing(hiborindex,AK1502)</f>
        <v>5.6739203842270762E-3</v>
      </c>
    </row>
    <row r="1503" spans="37:39" x14ac:dyDescent="0.25">
      <c r="AK1503" s="21">
        <f>_xll.qlCalendarAdvance(calendar,AK1502,"1D")</f>
        <v>44686</v>
      </c>
      <c r="AL1503" s="21">
        <f>_xll.qlInterestRateIndexValueDate(hiborindex,AK1503)</f>
        <v>44690</v>
      </c>
      <c r="AM1503" s="23">
        <f>_xll.qlIndexFixing(hiborindex,AK1503)</f>
        <v>5.6972459516075984E-3</v>
      </c>
    </row>
    <row r="1504" spans="37:39" x14ac:dyDescent="0.25">
      <c r="AK1504" s="21">
        <f>_xll.qlCalendarAdvance(calendar,AK1503,"1D")</f>
        <v>44687</v>
      </c>
      <c r="AL1504" s="21">
        <f>_xll.qlInterestRateIndexValueDate(hiborindex,AK1504)</f>
        <v>44691</v>
      </c>
      <c r="AM1504" s="23">
        <f>_xll.qlIndexFixing(hiborindex,AK1504)</f>
        <v>5.7063074463634487E-3</v>
      </c>
    </row>
    <row r="1505" spans="37:39" x14ac:dyDescent="0.25">
      <c r="AK1505" s="21">
        <f>_xll.qlCalendarAdvance(calendar,AK1504,"1D")</f>
        <v>44690</v>
      </c>
      <c r="AL1505" s="21">
        <f>_xll.qlInterestRateIndexValueDate(hiborindex,AK1505)</f>
        <v>44692</v>
      </c>
      <c r="AM1505" s="23">
        <f>_xll.qlIndexFixing(hiborindex,AK1505)</f>
        <v>5.7153725900960725E-3</v>
      </c>
    </row>
    <row r="1506" spans="37:39" x14ac:dyDescent="0.25">
      <c r="AK1506" s="21">
        <f>_xll.qlCalendarAdvance(calendar,AK1505,"1D")</f>
        <v>44691</v>
      </c>
      <c r="AL1506" s="21">
        <f>_xll.qlInterestRateIndexValueDate(hiborindex,AK1506)</f>
        <v>44693</v>
      </c>
      <c r="AM1506" s="23">
        <f>_xll.qlIndexFixing(hiborindex,AK1506)</f>
        <v>5.73186207646534E-3</v>
      </c>
    </row>
    <row r="1507" spans="37:39" x14ac:dyDescent="0.25">
      <c r="AK1507" s="21">
        <f>_xll.qlCalendarAdvance(calendar,AK1506,"1D")</f>
        <v>44692</v>
      </c>
      <c r="AL1507" s="21">
        <f>_xll.qlInterestRateIndexValueDate(hiborindex,AK1507)</f>
        <v>44694</v>
      </c>
      <c r="AM1507" s="23">
        <f>_xll.qlIndexFixing(hiborindex,AK1507)</f>
        <v>5.737209342883378E-3</v>
      </c>
    </row>
    <row r="1508" spans="37:39" x14ac:dyDescent="0.25">
      <c r="AK1508" s="21">
        <f>_xll.qlCalendarAdvance(calendar,AK1507,"1D")</f>
        <v>44693</v>
      </c>
      <c r="AL1508" s="21">
        <f>_xll.qlInterestRateIndexValueDate(hiborindex,AK1508)</f>
        <v>44697</v>
      </c>
      <c r="AM1508" s="23">
        <f>_xll.qlIndexFixing(hiborindex,AK1508)</f>
        <v>5.7607530451737228E-3</v>
      </c>
    </row>
    <row r="1509" spans="37:39" x14ac:dyDescent="0.25">
      <c r="AK1509" s="21">
        <f>_xll.qlCalendarAdvance(calendar,AK1508,"1D")</f>
        <v>44694</v>
      </c>
      <c r="AL1509" s="21">
        <f>_xll.qlInterestRateIndexValueDate(hiborindex,AK1509)</f>
        <v>44698</v>
      </c>
      <c r="AM1509" s="23">
        <f>_xll.qlIndexFixing(hiborindex,AK1509)</f>
        <v>5.7698400838230961E-3</v>
      </c>
    </row>
    <row r="1510" spans="37:39" x14ac:dyDescent="0.25">
      <c r="AK1510" s="21">
        <f>_xll.qlCalendarAdvance(calendar,AK1509,"1D")</f>
        <v>44697</v>
      </c>
      <c r="AL1510" s="21">
        <f>_xll.qlInterestRateIndexValueDate(hiborindex,AK1510)</f>
        <v>44699</v>
      </c>
      <c r="AM1510" s="23">
        <f>_xll.qlIndexFixing(hiborindex,AK1510)</f>
        <v>5.7789307718020032E-3</v>
      </c>
    </row>
    <row r="1511" spans="37:39" x14ac:dyDescent="0.25">
      <c r="AK1511" s="21">
        <f>_xll.qlCalendarAdvance(calendar,AK1510,"1D")</f>
        <v>44698</v>
      </c>
      <c r="AL1511" s="21">
        <f>_xll.qlInterestRateIndexValueDate(hiborindex,AK1511)</f>
        <v>44700</v>
      </c>
      <c r="AM1511" s="23">
        <f>_xll.qlIndexFixing(hiborindex,AK1511)</f>
        <v>5.7951627012412053E-3</v>
      </c>
    </row>
    <row r="1512" spans="37:39" x14ac:dyDescent="0.25">
      <c r="AK1512" s="21">
        <f>_xll.qlCalendarAdvance(calendar,AK1511,"1D")</f>
        <v>44699</v>
      </c>
      <c r="AL1512" s="21">
        <f>_xll.qlInterestRateIndexValueDate(hiborindex,AK1512)</f>
        <v>44701</v>
      </c>
      <c r="AM1512" s="23">
        <f>_xll.qlIndexFixing(hiborindex,AK1512)</f>
        <v>5.8006761584196067E-3</v>
      </c>
    </row>
    <row r="1513" spans="37:39" x14ac:dyDescent="0.25">
      <c r="AK1513" s="21">
        <f>_xll.qlCalendarAdvance(calendar,AK1512,"1D")</f>
        <v>44700</v>
      </c>
      <c r="AL1513" s="21">
        <f>_xll.qlInterestRateIndexValueDate(hiborindex,AK1513)</f>
        <v>44704</v>
      </c>
      <c r="AM1513" s="23">
        <f>_xll.qlIndexFixing(hiborindex,AK1513)</f>
        <v>5.8244389533890226E-3</v>
      </c>
    </row>
    <row r="1514" spans="37:39" x14ac:dyDescent="0.25">
      <c r="AK1514" s="21">
        <f>_xll.qlCalendarAdvance(calendar,AK1513,"1D")</f>
        <v>44701</v>
      </c>
      <c r="AL1514" s="21">
        <f>_xll.qlInterestRateIndexValueDate(hiborindex,AK1514)</f>
        <v>44705</v>
      </c>
      <c r="AM1514" s="23">
        <f>_xll.qlIndexFixing(hiborindex,AK1514)</f>
        <v>5.8335515383982055E-3</v>
      </c>
    </row>
    <row r="1515" spans="37:39" x14ac:dyDescent="0.25">
      <c r="AK1515" s="21">
        <f>_xll.qlCalendarAdvance(calendar,AK1514,"1D")</f>
        <v>44704</v>
      </c>
      <c r="AL1515" s="21">
        <f>_xll.qlInterestRateIndexValueDate(hiborindex,AK1515)</f>
        <v>44706</v>
      </c>
      <c r="AM1515" s="23">
        <f>_xll.qlIndexFixing(hiborindex,AK1515)</f>
        <v>5.8426677730883808E-3</v>
      </c>
    </row>
    <row r="1516" spans="37:39" x14ac:dyDescent="0.25">
      <c r="AK1516" s="21">
        <f>_xll.qlCalendarAdvance(calendar,AK1515,"1D")</f>
        <v>44705</v>
      </c>
      <c r="AL1516" s="21">
        <f>_xll.qlInterestRateIndexValueDate(hiborindex,AK1516)</f>
        <v>44707</v>
      </c>
      <c r="AM1516" s="23">
        <f>_xll.qlIndexFixing(hiborindex,AK1516)</f>
        <v>5.858640257503306E-3</v>
      </c>
    </row>
    <row r="1517" spans="37:39" x14ac:dyDescent="0.25">
      <c r="AK1517" s="21">
        <f>_xll.qlCalendarAdvance(calendar,AK1516,"1D")</f>
        <v>44706</v>
      </c>
      <c r="AL1517" s="21">
        <f>_xll.qlInterestRateIndexValueDate(hiborindex,AK1517)</f>
        <v>44708</v>
      </c>
      <c r="AM1517" s="23">
        <f>_xll.qlIndexFixing(hiborindex,AK1517)</f>
        <v>5.8643208480535572E-3</v>
      </c>
    </row>
    <row r="1518" spans="37:39" x14ac:dyDescent="0.25">
      <c r="AK1518" s="21">
        <f>_xll.qlCalendarAdvance(calendar,AK1517,"1D")</f>
        <v>44707</v>
      </c>
      <c r="AL1518" s="21">
        <f>_xll.qlInterestRateIndexValueDate(hiborindex,AK1518)</f>
        <v>44711</v>
      </c>
      <c r="AM1518" s="23">
        <f>_xll.qlIndexFixing(hiborindex,AK1518)</f>
        <v>5.8883036935305456E-3</v>
      </c>
    </row>
    <row r="1519" spans="37:39" x14ac:dyDescent="0.25">
      <c r="AK1519" s="21">
        <f>_xll.qlCalendarAdvance(calendar,AK1518,"1D")</f>
        <v>44708</v>
      </c>
      <c r="AL1519" s="21">
        <f>_xll.qlInterestRateIndexValueDate(hiborindex,AK1519)</f>
        <v>44712</v>
      </c>
      <c r="AM1519" s="23">
        <f>_xll.qlIndexFixing(hiborindex,AK1519)</f>
        <v>5.8941077430854777E-3</v>
      </c>
    </row>
    <row r="1520" spans="37:39" x14ac:dyDescent="0.25">
      <c r="AK1520" s="21">
        <f>_xll.qlCalendarAdvance(calendar,AK1519,"1D")</f>
        <v>44711</v>
      </c>
      <c r="AL1520" s="21">
        <f>_xll.qlInterestRateIndexValueDate(hiborindex,AK1520)</f>
        <v>44713</v>
      </c>
      <c r="AM1520" s="23">
        <f>_xll.qlIndexFixing(hiborindex,AK1520)</f>
        <v>5.9032703955028184E-3</v>
      </c>
    </row>
    <row r="1521" spans="37:39" x14ac:dyDescent="0.25">
      <c r="AK1521" s="21">
        <f>_xll.qlCalendarAdvance(calendar,AK1520,"1D")</f>
        <v>44712</v>
      </c>
      <c r="AL1521" s="21">
        <f>_xll.qlInterestRateIndexValueDate(hiborindex,AK1521)</f>
        <v>44714</v>
      </c>
      <c r="AM1521" s="23">
        <f>_xll.qlIndexFixing(hiborindex,AK1521)</f>
        <v>5.9124367176159624E-3</v>
      </c>
    </row>
    <row r="1522" spans="37:39" x14ac:dyDescent="0.25">
      <c r="AK1522" s="21">
        <f>_xll.qlCalendarAdvance(calendar,AK1521,"1D")</f>
        <v>44713</v>
      </c>
      <c r="AL1522" s="21">
        <f>_xll.qlInterestRateIndexValueDate(hiborindex,AK1522)</f>
        <v>44715</v>
      </c>
      <c r="AM1522" s="23">
        <f>_xll.qlIndexFixing(hiborindex,AK1522)</f>
        <v>5.9281434290514162E-3</v>
      </c>
    </row>
    <row r="1523" spans="37:39" x14ac:dyDescent="0.25">
      <c r="AK1523" s="21">
        <f>_xll.qlCalendarAdvance(calendar,AK1522,"1D")</f>
        <v>44714</v>
      </c>
      <c r="AL1523" s="21">
        <f>_xll.qlInterestRateIndexValueDate(hiborindex,AK1523)</f>
        <v>44718</v>
      </c>
      <c r="AM1523" s="23">
        <f>_xll.qlIndexFixing(hiborindex,AK1523)</f>
        <v>5.9491387040495874E-3</v>
      </c>
    </row>
    <row r="1524" spans="37:39" x14ac:dyDescent="0.25">
      <c r="AK1524" s="21">
        <f>_xll.qlCalendarAdvance(calendar,AK1523,"1D")</f>
        <v>44715</v>
      </c>
      <c r="AL1524" s="21">
        <f>_xll.qlInterestRateIndexValueDate(hiborindex,AK1524)</f>
        <v>44719</v>
      </c>
      <c r="AM1524" s="23">
        <f>_xll.qlIndexFixing(hiborindex,AK1524)</f>
        <v>5.9583233754066049E-3</v>
      </c>
    </row>
    <row r="1525" spans="37:39" x14ac:dyDescent="0.25">
      <c r="AK1525" s="21">
        <f>_xll.qlCalendarAdvance(calendar,AK1524,"1D")</f>
        <v>44718</v>
      </c>
      <c r="AL1525" s="21">
        <f>_xll.qlInterestRateIndexValueDate(hiborindex,AK1525)</f>
        <v>44720</v>
      </c>
      <c r="AM1525" s="23">
        <f>_xll.qlIndexFixing(hiborindex,AK1525)</f>
        <v>5.9675117167651923E-3</v>
      </c>
    </row>
    <row r="1526" spans="37:39" x14ac:dyDescent="0.25">
      <c r="AK1526" s="21">
        <f>_xll.qlCalendarAdvance(calendar,AK1525,"1D")</f>
        <v>44719</v>
      </c>
      <c r="AL1526" s="21">
        <f>_xll.qlInterestRateIndexValueDate(hiborindex,AK1526)</f>
        <v>44721</v>
      </c>
      <c r="AM1526" s="23">
        <f>_xll.qlIndexFixing(hiborindex,AK1526)</f>
        <v>5.9767037281751468E-3</v>
      </c>
    </row>
    <row r="1527" spans="37:39" x14ac:dyDescent="0.25">
      <c r="AK1527" s="21">
        <f>_xll.qlCalendarAdvance(calendar,AK1526,"1D")</f>
        <v>44720</v>
      </c>
      <c r="AL1527" s="21">
        <f>_xll.qlInterestRateIndexValueDate(hiborindex,AK1527)</f>
        <v>44722</v>
      </c>
      <c r="AM1527" s="23">
        <f>_xll.qlIndexFixing(hiborindex,AK1527)</f>
        <v>5.9921439187277676E-3</v>
      </c>
    </row>
    <row r="1528" spans="37:39" x14ac:dyDescent="0.25">
      <c r="AK1528" s="21">
        <f>_xll.qlCalendarAdvance(calendar,AK1527,"1D")</f>
        <v>44721</v>
      </c>
      <c r="AL1528" s="21">
        <f>_xll.qlInterestRateIndexValueDate(hiborindex,AK1528)</f>
        <v>44725</v>
      </c>
      <c r="AM1528" s="23">
        <f>_xll.qlIndexFixing(hiborindex,AK1528)</f>
        <v>6.0135084753560053E-3</v>
      </c>
    </row>
    <row r="1529" spans="37:39" x14ac:dyDescent="0.25">
      <c r="AK1529" s="21">
        <f>_xll.qlCalendarAdvance(calendar,AK1528,"1D")</f>
        <v>44722</v>
      </c>
      <c r="AL1529" s="21">
        <f>_xll.qlInterestRateIndexValueDate(hiborindex,AK1529)</f>
        <v>44726</v>
      </c>
      <c r="AM1529" s="23">
        <f>_xll.qlIndexFixing(hiborindex,AK1529)</f>
        <v>6.022718837790703E-3</v>
      </c>
    </row>
    <row r="1530" spans="37:39" x14ac:dyDescent="0.25">
      <c r="AK1530" s="21">
        <f>_xll.qlCalendarAdvance(calendar,AK1529,"1D")</f>
        <v>44725</v>
      </c>
      <c r="AL1530" s="21">
        <f>_xll.qlInterestRateIndexValueDate(hiborindex,AK1530)</f>
        <v>44727</v>
      </c>
      <c r="AM1530" s="23">
        <f>_xll.qlIndexFixing(hiborindex,AK1530)</f>
        <v>6.0319328705829706E-3</v>
      </c>
    </row>
    <row r="1531" spans="37:39" x14ac:dyDescent="0.25">
      <c r="AK1531" s="21">
        <f>_xll.qlCalendarAdvance(calendar,AK1530,"1D")</f>
        <v>44726</v>
      </c>
      <c r="AL1531" s="21">
        <f>_xll.qlInterestRateIndexValueDate(hiborindex,AK1531)</f>
        <v>44728</v>
      </c>
      <c r="AM1531" s="23">
        <f>_xll.qlIndexFixing(hiborindex,AK1531)</f>
        <v>6.0411505737839148E-3</v>
      </c>
    </row>
    <row r="1532" spans="37:39" x14ac:dyDescent="0.25">
      <c r="AK1532" s="21">
        <f>_xll.qlCalendarAdvance(calendar,AK1531,"1D")</f>
        <v>44727</v>
      </c>
      <c r="AL1532" s="21">
        <f>_xll.qlInterestRateIndexValueDate(hiborindex,AK1532)</f>
        <v>44729</v>
      </c>
      <c r="AM1532" s="23">
        <f>_xll.qlIndexFixing(hiborindex,AK1532)</f>
        <v>6.0563223344464517E-3</v>
      </c>
    </row>
    <row r="1533" spans="37:39" x14ac:dyDescent="0.25">
      <c r="AK1533" s="21">
        <f>_xll.qlCalendarAdvance(calendar,AK1532,"1D")</f>
        <v>44728</v>
      </c>
      <c r="AL1533" s="21">
        <f>_xll.qlInterestRateIndexValueDate(hiborindex,AK1533)</f>
        <v>44732</v>
      </c>
      <c r="AM1533" s="23">
        <f>_xll.qlIndexFixing(hiborindex,AK1533)</f>
        <v>6.0780580916970257E-3</v>
      </c>
    </row>
    <row r="1534" spans="37:39" x14ac:dyDescent="0.25">
      <c r="AK1534" s="21">
        <f>_xll.qlCalendarAdvance(calendar,AK1533,"1D")</f>
        <v>44729</v>
      </c>
      <c r="AL1534" s="21">
        <f>_xll.qlInterestRateIndexValueDate(hiborindex,AK1534)</f>
        <v>44733</v>
      </c>
      <c r="AM1534" s="23">
        <f>_xll.qlIndexFixing(hiborindex,AK1534)</f>
        <v>6.0872941477079518E-3</v>
      </c>
    </row>
    <row r="1535" spans="37:39" x14ac:dyDescent="0.25">
      <c r="AK1535" s="21">
        <f>_xll.qlCalendarAdvance(calendar,AK1534,"1D")</f>
        <v>44732</v>
      </c>
      <c r="AL1535" s="21">
        <f>_xll.qlInterestRateIndexValueDate(hiborindex,AK1535)</f>
        <v>44734</v>
      </c>
      <c r="AM1535" s="23">
        <f>_xll.qlIndexFixing(hiborindex,AK1535)</f>
        <v>6.0965338744337575E-3</v>
      </c>
    </row>
    <row r="1536" spans="37:39" x14ac:dyDescent="0.25">
      <c r="AK1536" s="21">
        <f>_xll.qlCalendarAdvance(calendar,AK1535,"1D")</f>
        <v>44733</v>
      </c>
      <c r="AL1536" s="21">
        <f>_xll.qlInterestRateIndexValueDate(hiborindex,AK1536)</f>
        <v>44735</v>
      </c>
      <c r="AM1536" s="23">
        <f>_xll.qlIndexFixing(hiborindex,AK1536)</f>
        <v>6.1057772719259867E-3</v>
      </c>
    </row>
    <row r="1537" spans="37:39" x14ac:dyDescent="0.25">
      <c r="AK1537" s="21">
        <f>_xll.qlCalendarAdvance(calendar,AK1536,"1D")</f>
        <v>44734</v>
      </c>
      <c r="AL1537" s="21">
        <f>_xll.qlInterestRateIndexValueDate(hiborindex,AK1537)</f>
        <v>44736</v>
      </c>
      <c r="AM1537" s="23">
        <f>_xll.qlIndexFixing(hiborindex,AK1537)</f>
        <v>6.1235039433060381E-3</v>
      </c>
    </row>
    <row r="1538" spans="37:39" x14ac:dyDescent="0.25">
      <c r="AK1538" s="21">
        <f>_xll.qlCalendarAdvance(calendar,AK1537,"1D")</f>
        <v>44735</v>
      </c>
      <c r="AL1538" s="21">
        <f>_xll.qlInterestRateIndexValueDate(hiborindex,AK1538)</f>
        <v>44739</v>
      </c>
      <c r="AM1538" s="23">
        <f>_xll.qlIndexFixing(hiborindex,AK1538)</f>
        <v>6.1427875705838868E-3</v>
      </c>
    </row>
    <row r="1539" spans="37:39" x14ac:dyDescent="0.25">
      <c r="AK1539" s="21">
        <f>_xll.qlCalendarAdvance(calendar,AK1538,"1D")</f>
        <v>44736</v>
      </c>
      <c r="AL1539" s="21">
        <f>_xll.qlInterestRateIndexValueDate(hiborindex,AK1539)</f>
        <v>44740</v>
      </c>
      <c r="AM1539" s="23">
        <f>_xll.qlIndexFixing(hiborindex,AK1539)</f>
        <v>6.1520493226765779E-3</v>
      </c>
    </row>
    <row r="1540" spans="37:39" x14ac:dyDescent="0.25">
      <c r="AK1540" s="21">
        <f>_xll.qlCalendarAdvance(calendar,AK1539,"1D")</f>
        <v>44739</v>
      </c>
      <c r="AL1540" s="21">
        <f>_xll.qlInterestRateIndexValueDate(hiborindex,AK1540)</f>
        <v>44741</v>
      </c>
      <c r="AM1540" s="23">
        <f>_xll.qlIndexFixing(hiborindex,AK1540)</f>
        <v>6.1613147458436431E-3</v>
      </c>
    </row>
    <row r="1541" spans="37:39" x14ac:dyDescent="0.25">
      <c r="AK1541" s="21">
        <f>_xll.qlCalendarAdvance(calendar,AK1540,"1D")</f>
        <v>44740</v>
      </c>
      <c r="AL1541" s="21">
        <f>_xll.qlInterestRateIndexValueDate(hiborindex,AK1541)</f>
        <v>44742</v>
      </c>
      <c r="AM1541" s="23">
        <f>_xll.qlIndexFixing(hiborindex,AK1541)</f>
        <v>6.1705838401348769E-3</v>
      </c>
    </row>
    <row r="1542" spans="37:39" x14ac:dyDescent="0.25">
      <c r="AK1542" s="21">
        <f>_xll.qlCalendarAdvance(calendar,AK1541,"1D")</f>
        <v>44741</v>
      </c>
      <c r="AL1542" s="21">
        <f>_xll.qlInterestRateIndexValueDate(hiborindex,AK1542)</f>
        <v>44743</v>
      </c>
      <c r="AM1542" s="23">
        <f>_xll.qlIndexFixing(hiborindex,AK1542)</f>
        <v>6.1812763742565358E-3</v>
      </c>
    </row>
    <row r="1543" spans="37:39" x14ac:dyDescent="0.25">
      <c r="AK1543" s="21">
        <f>_xll.qlCalendarAdvance(calendar,AK1542,"1D")</f>
        <v>44742</v>
      </c>
      <c r="AL1543" s="21">
        <f>_xll.qlInterestRateIndexValueDate(hiborindex,AK1543)</f>
        <v>44746</v>
      </c>
      <c r="AM1543" s="23">
        <f>_xll.qlIndexFixing(hiborindex,AK1543)</f>
        <v>6.194456812844841E-3</v>
      </c>
    </row>
    <row r="1544" spans="37:39" x14ac:dyDescent="0.25">
      <c r="AK1544" s="21">
        <f>_xll.qlCalendarAdvance(calendar,AK1543,"1D")</f>
        <v>44743</v>
      </c>
      <c r="AL1544" s="21">
        <f>_xll.qlInterestRateIndexValueDate(hiborindex,AK1544)</f>
        <v>44747</v>
      </c>
      <c r="AM1544" s="23">
        <f>_xll.qlIndexFixing(hiborindex,AK1544)</f>
        <v>6.1997502174686008E-3</v>
      </c>
    </row>
    <row r="1545" spans="37:39" x14ac:dyDescent="0.25">
      <c r="AK1545" s="21">
        <f>_xll.qlCalendarAdvance(calendar,AK1544,"1D")</f>
        <v>44746</v>
      </c>
      <c r="AL1545" s="21">
        <f>_xll.qlInterestRateIndexValueDate(hiborindex,AK1545)</f>
        <v>44748</v>
      </c>
      <c r="AM1545" s="23">
        <f>_xll.qlIndexFixing(hiborindex,AK1545)</f>
        <v>6.205043636367898E-3</v>
      </c>
    </row>
    <row r="1546" spans="37:39" x14ac:dyDescent="0.25">
      <c r="AK1546" s="21">
        <f>_xll.qlCalendarAdvance(calendar,AK1545,"1D")</f>
        <v>44747</v>
      </c>
      <c r="AL1546" s="21">
        <f>_xll.qlInterestRateIndexValueDate(hiborindex,AK1546)</f>
        <v>44749</v>
      </c>
      <c r="AM1546" s="23">
        <f>_xll.qlIndexFixing(hiborindex,AK1546)</f>
        <v>6.2157377216039717E-3</v>
      </c>
    </row>
    <row r="1547" spans="37:39" x14ac:dyDescent="0.25">
      <c r="AK1547" s="21">
        <f>_xll.qlCalendarAdvance(calendar,AK1546,"1D")</f>
        <v>44748</v>
      </c>
      <c r="AL1547" s="21">
        <f>_xll.qlInterestRateIndexValueDate(hiborindex,AK1547)</f>
        <v>44750</v>
      </c>
      <c r="AM1547" s="23">
        <f>_xll.qlIndexFixing(hiborindex,AK1547)</f>
        <v>6.2183308937063062E-3</v>
      </c>
    </row>
    <row r="1548" spans="37:39" x14ac:dyDescent="0.25">
      <c r="AK1548" s="21">
        <f>_xll.qlCalendarAdvance(calendar,AK1547,"1D")</f>
        <v>44749</v>
      </c>
      <c r="AL1548" s="21">
        <f>_xll.qlInterestRateIndexValueDate(hiborindex,AK1548)</f>
        <v>44753</v>
      </c>
      <c r="AM1548" s="23">
        <f>_xll.qlIndexFixing(hiborindex,AK1548)</f>
        <v>6.2315109450083042E-3</v>
      </c>
    </row>
    <row r="1549" spans="37:39" x14ac:dyDescent="0.25">
      <c r="AK1549" s="21">
        <f>_xll.qlCalendarAdvance(calendar,AK1548,"1D")</f>
        <v>44750</v>
      </c>
      <c r="AL1549" s="21">
        <f>_xll.qlInterestRateIndexValueDate(hiborindex,AK1549)</f>
        <v>44754</v>
      </c>
      <c r="AM1549" s="23">
        <f>_xll.qlIndexFixing(hiborindex,AK1549)</f>
        <v>6.2368044495656038E-3</v>
      </c>
    </row>
    <row r="1550" spans="37:39" x14ac:dyDescent="0.25">
      <c r="AK1550" s="21">
        <f>_xll.qlCalendarAdvance(calendar,AK1549,"1D")</f>
        <v>44753</v>
      </c>
      <c r="AL1550" s="21">
        <f>_xll.qlInterestRateIndexValueDate(hiborindex,AK1550)</f>
        <v>44755</v>
      </c>
      <c r="AM1550" s="23">
        <f>_xll.qlIndexFixing(hiborindex,AK1550)</f>
        <v>6.2420979683993098E-3</v>
      </c>
    </row>
    <row r="1551" spans="37:39" x14ac:dyDescent="0.25">
      <c r="AK1551" s="21">
        <f>_xll.qlCalendarAdvance(calendar,AK1550,"1D")</f>
        <v>44754</v>
      </c>
      <c r="AL1551" s="21">
        <f>_xll.qlInterestRateIndexValueDate(hiborindex,AK1551)</f>
        <v>44756</v>
      </c>
      <c r="AM1551" s="23">
        <f>_xll.qlIndexFixing(hiborindex,AK1551)</f>
        <v>6.2527935348420608E-3</v>
      </c>
    </row>
    <row r="1552" spans="37:39" x14ac:dyDescent="0.25">
      <c r="AK1552" s="21">
        <f>_xll.qlCalendarAdvance(calendar,AK1551,"1D")</f>
        <v>44755</v>
      </c>
      <c r="AL1552" s="21">
        <f>_xll.qlInterestRateIndexValueDate(hiborindex,AK1552)</f>
        <v>44757</v>
      </c>
      <c r="AM1552" s="23">
        <f>_xll.qlIndexFixing(hiborindex,AK1552)</f>
        <v>6.2553861165108565E-3</v>
      </c>
    </row>
    <row r="1553" spans="37:39" x14ac:dyDescent="0.25">
      <c r="AK1553" s="21">
        <f>_xll.qlCalendarAdvance(calendar,AK1552,"1D")</f>
        <v>44756</v>
      </c>
      <c r="AL1553" s="21">
        <f>_xll.qlInterestRateIndexValueDate(hiborindex,AK1553)</f>
        <v>44760</v>
      </c>
      <c r="AM1553" s="23">
        <f>_xll.qlIndexFixing(hiborindex,AK1553)</f>
        <v>6.2685657767169731E-3</v>
      </c>
    </row>
    <row r="1554" spans="37:39" x14ac:dyDescent="0.25">
      <c r="AK1554" s="21">
        <f>_xll.qlCalendarAdvance(calendar,AK1553,"1D")</f>
        <v>44757</v>
      </c>
      <c r="AL1554" s="21">
        <f>_xll.qlInterestRateIndexValueDate(hiborindex,AK1554)</f>
        <v>44761</v>
      </c>
      <c r="AM1554" s="23">
        <f>_xll.qlIndexFixing(hiborindex,AK1554)</f>
        <v>6.2738593812104188E-3</v>
      </c>
    </row>
    <row r="1555" spans="37:39" x14ac:dyDescent="0.25">
      <c r="AK1555" s="21">
        <f>_xll.qlCalendarAdvance(calendar,AK1554,"1D")</f>
        <v>44760</v>
      </c>
      <c r="AL1555" s="21">
        <f>_xll.qlInterestRateIndexValueDate(hiborindex,AK1555)</f>
        <v>44762</v>
      </c>
      <c r="AM1555" s="23">
        <f>_xll.qlIndexFixing(hiborindex,AK1555)</f>
        <v>6.2791529999807055E-3</v>
      </c>
    </row>
    <row r="1556" spans="37:39" x14ac:dyDescent="0.25">
      <c r="AK1556" s="21">
        <f>_xll.qlCalendarAdvance(calendar,AK1555,"1D")</f>
        <v>44761</v>
      </c>
      <c r="AL1556" s="21">
        <f>_xll.qlInterestRateIndexValueDate(hiborindex,AK1556)</f>
        <v>44763</v>
      </c>
      <c r="AM1556" s="23">
        <f>_xll.qlIndexFixing(hiborindex,AK1556)</f>
        <v>6.2898500552615597E-3</v>
      </c>
    </row>
    <row r="1557" spans="37:39" x14ac:dyDescent="0.25">
      <c r="AK1557" s="21">
        <f>_xll.qlCalendarAdvance(calendar,AK1556,"1D")</f>
        <v>44762</v>
      </c>
      <c r="AL1557" s="21">
        <f>_xll.qlInterestRateIndexValueDate(hiborindex,AK1557)</f>
        <v>44764</v>
      </c>
      <c r="AM1557" s="23">
        <f>_xll.qlIndexFixing(hiborindex,AK1557)</f>
        <v>6.2924420426827173E-3</v>
      </c>
    </row>
    <row r="1558" spans="37:39" x14ac:dyDescent="0.25">
      <c r="AK1558" s="21">
        <f>_xll.qlCalendarAdvance(calendar,AK1557,"1D")</f>
        <v>44763</v>
      </c>
      <c r="AL1558" s="21">
        <f>_xll.qlInterestRateIndexValueDate(hiborindex,AK1558)</f>
        <v>44767</v>
      </c>
      <c r="AM1558" s="23">
        <f>_xll.qlIndexFixing(hiborindex,AK1558)</f>
        <v>6.3056213079838788E-3</v>
      </c>
    </row>
    <row r="1559" spans="37:39" x14ac:dyDescent="0.25">
      <c r="AK1559" s="21">
        <f>_xll.qlCalendarAdvance(calendar,AK1558,"1D")</f>
        <v>44764</v>
      </c>
      <c r="AL1559" s="21">
        <f>_xll.qlInterestRateIndexValueDate(hiborindex,AK1559)</f>
        <v>44768</v>
      </c>
      <c r="AM1559" s="23">
        <f>_xll.qlIndexFixing(hiborindex,AK1559)</f>
        <v>6.3109150124152089E-3</v>
      </c>
    </row>
    <row r="1560" spans="37:39" x14ac:dyDescent="0.25">
      <c r="AK1560" s="21">
        <f>_xll.qlCalendarAdvance(calendar,AK1559,"1D")</f>
        <v>44767</v>
      </c>
      <c r="AL1560" s="21">
        <f>_xll.qlInterestRateIndexValueDate(hiborindex,AK1560)</f>
        <v>44769</v>
      </c>
      <c r="AM1560" s="23">
        <f>_xll.qlIndexFixing(hiborindex,AK1560)</f>
        <v>6.3162087311238136E-3</v>
      </c>
    </row>
    <row r="1561" spans="37:39" x14ac:dyDescent="0.25">
      <c r="AK1561" s="21">
        <f>_xll.qlCalendarAdvance(calendar,AK1560,"1D")</f>
        <v>44768</v>
      </c>
      <c r="AL1561" s="21">
        <f>_xll.qlInterestRateIndexValueDate(hiborindex,AK1561)</f>
        <v>44770</v>
      </c>
      <c r="AM1561" s="23">
        <f>_xll.qlIndexFixing(hiborindex,AK1561)</f>
        <v>6.3269072828749323E-3</v>
      </c>
    </row>
    <row r="1562" spans="37:39" x14ac:dyDescent="0.25">
      <c r="AK1562" s="21">
        <f>_xll.qlCalendarAdvance(calendar,AK1561,"1D")</f>
        <v>44769</v>
      </c>
      <c r="AL1562" s="21">
        <f>_xll.qlInterestRateIndexValueDate(hiborindex,AK1562)</f>
        <v>44771</v>
      </c>
      <c r="AM1562" s="23">
        <f>_xll.qlIndexFixing(hiborindex,AK1562)</f>
        <v>6.3322012302655011E-3</v>
      </c>
    </row>
    <row r="1563" spans="37:39" x14ac:dyDescent="0.25">
      <c r="AK1563" s="21">
        <f>_xll.qlCalendarAdvance(calendar,AK1562,"1D")</f>
        <v>44770</v>
      </c>
      <c r="AL1563" s="21">
        <f>_xll.qlInterestRateIndexValueDate(hiborindex,AK1563)</f>
        <v>44774</v>
      </c>
      <c r="AM1563" s="23">
        <f>_xll.qlIndexFixing(hiborindex,AK1563)</f>
        <v>6.3426775388220544E-3</v>
      </c>
    </row>
    <row r="1564" spans="37:39" x14ac:dyDescent="0.25">
      <c r="AK1564" s="21">
        <f>_xll.qlCalendarAdvance(calendar,AK1563,"1D")</f>
        <v>44771</v>
      </c>
      <c r="AL1564" s="21">
        <f>_xll.qlInterestRateIndexValueDate(hiborindex,AK1564)</f>
        <v>44775</v>
      </c>
      <c r="AM1564" s="23">
        <f>_xll.qlIndexFixing(hiborindex,AK1564)</f>
        <v>6.3479713431934407E-3</v>
      </c>
    </row>
    <row r="1565" spans="37:39" x14ac:dyDescent="0.25">
      <c r="AK1565" s="21">
        <f>_xll.qlCalendarAdvance(calendar,AK1564,"1D")</f>
        <v>44774</v>
      </c>
      <c r="AL1565" s="21">
        <f>_xll.qlInterestRateIndexValueDate(hiborindex,AK1565)</f>
        <v>44776</v>
      </c>
      <c r="AM1565" s="23">
        <f>_xll.qlIndexFixing(hiborindex,AK1565)</f>
        <v>6.3532651618421025E-3</v>
      </c>
    </row>
    <row r="1566" spans="37:39" x14ac:dyDescent="0.25">
      <c r="AK1566" s="21">
        <f>_xll.qlCalendarAdvance(calendar,AK1565,"1D")</f>
        <v>44775</v>
      </c>
      <c r="AL1566" s="21">
        <f>_xll.qlInterestRateIndexValueDate(hiborindex,AK1566)</f>
        <v>44777</v>
      </c>
      <c r="AM1566" s="23">
        <f>_xll.qlIndexFixing(hiborindex,AK1566)</f>
        <v>6.3639652176967904E-3</v>
      </c>
    </row>
    <row r="1567" spans="37:39" x14ac:dyDescent="0.25">
      <c r="AK1567" s="21">
        <f>_xll.qlCalendarAdvance(calendar,AK1566,"1D")</f>
        <v>44776</v>
      </c>
      <c r="AL1567" s="21">
        <f>_xll.qlInterestRateIndexValueDate(hiborindex,AK1567)</f>
        <v>44778</v>
      </c>
      <c r="AM1567" s="23">
        <f>_xll.qlIndexFixing(hiborindex,AK1567)</f>
        <v>6.3665560051836762E-3</v>
      </c>
    </row>
    <row r="1568" spans="37:39" x14ac:dyDescent="0.25">
      <c r="AK1568" s="21">
        <f>_xll.qlCalendarAdvance(calendar,AK1567,"1D")</f>
        <v>44777</v>
      </c>
      <c r="AL1568" s="21">
        <f>_xll.qlInterestRateIndexValueDate(hiborindex,AK1568)</f>
        <v>44781</v>
      </c>
      <c r="AM1568" s="23">
        <f>_xll.qlIndexFixing(hiborindex,AK1568)</f>
        <v>6.3797344692454027E-3</v>
      </c>
    </row>
    <row r="1569" spans="37:39" x14ac:dyDescent="0.25">
      <c r="AK1569" s="21">
        <f>_xll.qlCalendarAdvance(calendar,AK1568,"1D")</f>
        <v>44778</v>
      </c>
      <c r="AL1569" s="21">
        <f>_xll.qlInterestRateIndexValueDate(hiborindex,AK1569)</f>
        <v>44782</v>
      </c>
      <c r="AM1569" s="23">
        <f>_xll.qlIndexFixing(hiborindex,AK1569)</f>
        <v>6.3850283735585834E-3</v>
      </c>
    </row>
    <row r="1570" spans="37:39" x14ac:dyDescent="0.25">
      <c r="AK1570" s="21">
        <f>_xll.qlCalendarAdvance(calendar,AK1569,"1D")</f>
        <v>44781</v>
      </c>
      <c r="AL1570" s="21">
        <f>_xll.qlInterestRateIndexValueDate(hiborindex,AK1570)</f>
        <v>44783</v>
      </c>
      <c r="AM1570" s="23">
        <f>_xll.qlIndexFixing(hiborindex,AK1570)</f>
        <v>6.3903222921490388E-3</v>
      </c>
    </row>
    <row r="1571" spans="37:39" x14ac:dyDescent="0.25">
      <c r="AK1571" s="21">
        <f>_xll.qlCalendarAdvance(calendar,AK1570,"1D")</f>
        <v>44782</v>
      </c>
      <c r="AL1571" s="21">
        <f>_xll.qlInterestRateIndexValueDate(hiborindex,AK1571)</f>
        <v>44784</v>
      </c>
      <c r="AM1571" s="23">
        <f>_xll.qlIndexFixing(hiborindex,AK1571)</f>
        <v>6.4010238597404555E-3</v>
      </c>
    </row>
    <row r="1572" spans="37:39" x14ac:dyDescent="0.25">
      <c r="AK1572" s="21">
        <f>_xll.qlCalendarAdvance(calendar,AK1571,"1D")</f>
        <v>44783</v>
      </c>
      <c r="AL1572" s="21">
        <f>_xll.qlInterestRateIndexValueDate(hiborindex,AK1572)</f>
        <v>44785</v>
      </c>
      <c r="AM1572" s="23">
        <f>_xll.qlIndexFixing(hiborindex,AK1572)</f>
        <v>6.4036140415399965E-3</v>
      </c>
    </row>
    <row r="1573" spans="37:39" x14ac:dyDescent="0.25">
      <c r="AK1573" s="21">
        <f>_xll.qlCalendarAdvance(calendar,AK1572,"1D")</f>
        <v>44784</v>
      </c>
      <c r="AL1573" s="21">
        <f>_xll.qlInterestRateIndexValueDate(hiborindex,AK1573)</f>
        <v>44788</v>
      </c>
      <c r="AM1573" s="23">
        <f>_xll.qlIndexFixing(hiborindex,AK1573)</f>
        <v>6.4167920992669568E-3</v>
      </c>
    </row>
    <row r="1574" spans="37:39" x14ac:dyDescent="0.25">
      <c r="AK1574" s="21">
        <f>_xll.qlCalendarAdvance(calendar,AK1573,"1D")</f>
        <v>44785</v>
      </c>
      <c r="AL1574" s="21">
        <f>_xll.qlInterestRateIndexValueDate(hiborindex,AK1574)</f>
        <v>44789</v>
      </c>
      <c r="AM1574" s="23">
        <f>_xll.qlIndexFixing(hiborindex,AK1574)</f>
        <v>6.4220861035236693E-3</v>
      </c>
    </row>
    <row r="1575" spans="37:39" x14ac:dyDescent="0.25">
      <c r="AK1575" s="21">
        <f>_xll.qlCalendarAdvance(calendar,AK1574,"1D")</f>
        <v>44788</v>
      </c>
      <c r="AL1575" s="21">
        <f>_xll.qlInterestRateIndexValueDate(hiborindex,AK1575)</f>
        <v>44790</v>
      </c>
      <c r="AM1575" s="23">
        <f>_xll.qlIndexFixing(hiborindex,AK1575)</f>
        <v>6.427380122058091E-3</v>
      </c>
    </row>
    <row r="1576" spans="37:39" x14ac:dyDescent="0.25">
      <c r="AK1576" s="21">
        <f>_xll.qlCalendarAdvance(calendar,AK1575,"1D")</f>
        <v>44789</v>
      </c>
      <c r="AL1576" s="21">
        <f>_xll.qlInterestRateIndexValueDate(hiborindex,AK1576)</f>
        <v>44791</v>
      </c>
      <c r="AM1576" s="23">
        <f>_xll.qlIndexFixing(hiborindex,AK1576)</f>
        <v>6.4380832090188229E-3</v>
      </c>
    </row>
    <row r="1577" spans="37:39" x14ac:dyDescent="0.25">
      <c r="AK1577" s="21">
        <f>_xll.qlCalendarAdvance(calendar,AK1576,"1D")</f>
        <v>44790</v>
      </c>
      <c r="AL1577" s="21">
        <f>_xll.qlInterestRateIndexValueDate(hiborindex,AK1577)</f>
        <v>44792</v>
      </c>
      <c r="AM1577" s="23">
        <f>_xll.qlIndexFixing(hiborindex,AK1577)</f>
        <v>6.4406727813167731E-3</v>
      </c>
    </row>
    <row r="1578" spans="37:39" x14ac:dyDescent="0.25">
      <c r="AK1578" s="21">
        <f>_xll.qlCalendarAdvance(calendar,AK1577,"1D")</f>
        <v>44791</v>
      </c>
      <c r="AL1578" s="21">
        <f>_xll.qlInterestRateIndexValueDate(hiborindex,AK1578)</f>
        <v>44795</v>
      </c>
      <c r="AM1578" s="23">
        <f>_xll.qlIndexFixing(hiborindex,AK1578)</f>
        <v>6.4538504288993151E-3</v>
      </c>
    </row>
    <row r="1579" spans="37:39" x14ac:dyDescent="0.25">
      <c r="AK1579" s="21">
        <f>_xll.qlCalendarAdvance(calendar,AK1578,"1D")</f>
        <v>44792</v>
      </c>
      <c r="AL1579" s="21">
        <f>_xll.qlInterestRateIndexValueDate(hiborindex,AK1579)</f>
        <v>44796</v>
      </c>
      <c r="AM1579" s="23">
        <f>_xll.qlIndexFixing(hiborindex,AK1579)</f>
        <v>6.4591445331012966E-3</v>
      </c>
    </row>
    <row r="1580" spans="37:39" x14ac:dyDescent="0.25">
      <c r="AK1580" s="21">
        <f>_xll.qlCalendarAdvance(calendar,AK1579,"1D")</f>
        <v>44795</v>
      </c>
      <c r="AL1580" s="21">
        <f>_xll.qlInterestRateIndexValueDate(hiborindex,AK1580)</f>
        <v>44797</v>
      </c>
      <c r="AM1580" s="23">
        <f>_xll.qlIndexFixing(hiborindex,AK1580)</f>
        <v>6.4644386515818565E-3</v>
      </c>
    </row>
    <row r="1581" spans="37:39" x14ac:dyDescent="0.25">
      <c r="AK1581" s="21">
        <f>_xll.qlCalendarAdvance(calendar,AK1580,"1D")</f>
        <v>44796</v>
      </c>
      <c r="AL1581" s="21">
        <f>_xll.qlInterestRateIndexValueDate(hiborindex,AK1581)</f>
        <v>44798</v>
      </c>
      <c r="AM1581" s="23">
        <f>_xll.qlIndexFixing(hiborindex,AK1581)</f>
        <v>6.4751432655460722E-3</v>
      </c>
    </row>
    <row r="1582" spans="37:39" x14ac:dyDescent="0.25">
      <c r="AK1582" s="21">
        <f>_xll.qlCalendarAdvance(calendar,AK1581,"1D")</f>
        <v>44797</v>
      </c>
      <c r="AL1582" s="21">
        <f>_xll.qlInterestRateIndexValueDate(hiborindex,AK1582)</f>
        <v>44799</v>
      </c>
      <c r="AM1582" s="23">
        <f>_xll.qlIndexFixing(hiborindex,AK1582)</f>
        <v>6.4777322245282666E-3</v>
      </c>
    </row>
    <row r="1583" spans="37:39" x14ac:dyDescent="0.25">
      <c r="AK1583" s="21">
        <f>_xll.qlCalendarAdvance(calendar,AK1582,"1D")</f>
        <v>44798</v>
      </c>
      <c r="AL1583" s="21">
        <f>_xll.qlInterestRateIndexValueDate(hiborindex,AK1583)</f>
        <v>44802</v>
      </c>
      <c r="AM1583" s="23">
        <f>_xll.qlIndexFixing(hiborindex,AK1583)</f>
        <v>6.488203957493931E-3</v>
      </c>
    </row>
    <row r="1584" spans="37:39" x14ac:dyDescent="0.25">
      <c r="AK1584" s="21">
        <f>_xll.qlCalendarAdvance(calendar,AK1583,"1D")</f>
        <v>44799</v>
      </c>
      <c r="AL1584" s="21">
        <f>_xll.qlInterestRateIndexValueDate(hiborindex,AK1584)</f>
        <v>44803</v>
      </c>
      <c r="AM1584" s="23">
        <f>_xll.qlIndexFixing(hiborindex,AK1584)</f>
        <v>6.4907925556962828E-3</v>
      </c>
    </row>
    <row r="1585" spans="37:39" x14ac:dyDescent="0.25">
      <c r="AK1585" s="21">
        <f>_xll.qlCalendarAdvance(calendar,AK1584,"1D")</f>
        <v>44802</v>
      </c>
      <c r="AL1585" s="21">
        <f>_xll.qlInterestRateIndexValueDate(hiborindex,AK1585)</f>
        <v>44804</v>
      </c>
      <c r="AM1585" s="23">
        <f>_xll.qlIndexFixing(hiborindex,AK1585)</f>
        <v>6.4933810628363007E-3</v>
      </c>
    </row>
    <row r="1586" spans="37:39" x14ac:dyDescent="0.25">
      <c r="AK1586" s="21">
        <f>_xll.qlCalendarAdvance(calendar,AK1585,"1D")</f>
        <v>44803</v>
      </c>
      <c r="AL1586" s="21">
        <f>_xll.qlInterestRateIndexValueDate(hiborindex,AK1586)</f>
        <v>44805</v>
      </c>
      <c r="AM1586" s="23">
        <f>_xll.qlIndexFixing(hiborindex,AK1586)</f>
        <v>6.4986749880054763E-3</v>
      </c>
    </row>
    <row r="1587" spans="37:39" x14ac:dyDescent="0.25">
      <c r="AK1587" s="21">
        <f>_xll.qlCalendarAdvance(calendar,AK1586,"1D")</f>
        <v>44804</v>
      </c>
      <c r="AL1587" s="21">
        <f>_xll.qlInterestRateIndexValueDate(hiborindex,AK1587)</f>
        <v>44806</v>
      </c>
      <c r="AM1587" s="23">
        <f>_xll.qlIndexFixing(hiborindex,AK1587)</f>
        <v>6.50396892721955E-3</v>
      </c>
    </row>
    <row r="1588" spans="37:39" x14ac:dyDescent="0.25">
      <c r="AK1588" s="21">
        <f>_xll.qlCalendarAdvance(calendar,AK1587,"1D")</f>
        <v>44805</v>
      </c>
      <c r="AL1588" s="21">
        <f>_xll.qlInterestRateIndexValueDate(hiborindex,AK1588)</f>
        <v>44809</v>
      </c>
      <c r="AM1588" s="23">
        <f>_xll.qlIndexFixing(hiborindex,AK1588)</f>
        <v>6.5225568484124016E-3</v>
      </c>
    </row>
    <row r="1589" spans="37:39" x14ac:dyDescent="0.25">
      <c r="AK1589" s="21">
        <f>_xll.qlCalendarAdvance(calendar,AK1588,"1D")</f>
        <v>44806</v>
      </c>
      <c r="AL1589" s="21">
        <f>_xll.qlInterestRateIndexValueDate(hiborindex,AK1589)</f>
        <v>44810</v>
      </c>
      <c r="AM1589" s="23">
        <f>_xll.qlIndexFixing(hiborindex,AK1589)</f>
        <v>6.5251448245234973E-3</v>
      </c>
    </row>
    <row r="1590" spans="37:39" x14ac:dyDescent="0.25">
      <c r="AK1590" s="21">
        <f>_xll.qlCalendarAdvance(calendar,AK1589,"1D")</f>
        <v>44809</v>
      </c>
      <c r="AL1590" s="21">
        <f>_xll.qlInterestRateIndexValueDate(hiborindex,AK1590)</f>
        <v>44811</v>
      </c>
      <c r="AM1590" s="23">
        <f>_xll.qlIndexFixing(hiborindex,AK1590)</f>
        <v>6.5304388339620595E-3</v>
      </c>
    </row>
    <row r="1591" spans="37:39" x14ac:dyDescent="0.25">
      <c r="AK1591" s="21">
        <f>_xll.qlCalendarAdvance(calendar,AK1590,"1D")</f>
        <v>44810</v>
      </c>
      <c r="AL1591" s="21">
        <f>_xll.qlInterestRateIndexValueDate(hiborindex,AK1591)</f>
        <v>44812</v>
      </c>
      <c r="AM1591" s="23">
        <f>_xll.qlIndexFixing(hiborindex,AK1591)</f>
        <v>6.5357328574459621E-3</v>
      </c>
    </row>
    <row r="1592" spans="37:39" x14ac:dyDescent="0.25">
      <c r="AK1592" s="21">
        <f>_xll.qlCalendarAdvance(calendar,AK1591,"1D")</f>
        <v>44811</v>
      </c>
      <c r="AL1592" s="21">
        <f>_xll.qlInterestRateIndexValueDate(hiborindex,AK1592)</f>
        <v>44813</v>
      </c>
      <c r="AM1592" s="23">
        <f>_xll.qlIndexFixing(hiborindex,AK1592)</f>
        <v>6.5410268949743205E-3</v>
      </c>
    </row>
    <row r="1593" spans="37:39" x14ac:dyDescent="0.25">
      <c r="AK1593" s="21">
        <f>_xll.qlCalendarAdvance(calendar,AK1592,"1D")</f>
        <v>44812</v>
      </c>
      <c r="AL1593" s="21">
        <f>_xll.qlInterestRateIndexValueDate(hiborindex,AK1593)</f>
        <v>44816</v>
      </c>
      <c r="AM1593" s="23">
        <f>_xll.qlIndexFixing(hiborindex,AK1593)</f>
        <v>6.5596158325039646E-3</v>
      </c>
    </row>
    <row r="1594" spans="37:39" x14ac:dyDescent="0.25">
      <c r="AK1594" s="21">
        <f>_xll.qlCalendarAdvance(calendar,AK1593,"1D")</f>
        <v>44813</v>
      </c>
      <c r="AL1594" s="21">
        <f>_xll.qlInterestRateIndexValueDate(hiborindex,AK1594)</f>
        <v>44817</v>
      </c>
      <c r="AM1594" s="23">
        <f>_xll.qlIndexFixing(hiborindex,AK1594)</f>
        <v>6.5622031855402654E-3</v>
      </c>
    </row>
    <row r="1595" spans="37:39" x14ac:dyDescent="0.25">
      <c r="AK1595" s="21">
        <f>_xll.qlCalendarAdvance(calendar,AK1594,"1D")</f>
        <v>44816</v>
      </c>
      <c r="AL1595" s="21">
        <f>_xll.qlInterestRateIndexValueDate(hiborindex,AK1595)</f>
        <v>44818</v>
      </c>
      <c r="AM1595" s="23">
        <f>_xll.qlIndexFixing(hiborindex,AK1595)</f>
        <v>6.5674972932948791E-3</v>
      </c>
    </row>
    <row r="1596" spans="37:39" x14ac:dyDescent="0.25">
      <c r="AK1596" s="21">
        <f>_xll.qlCalendarAdvance(calendar,AK1595,"1D")</f>
        <v>44817</v>
      </c>
      <c r="AL1596" s="21">
        <f>_xll.qlInterestRateIndexValueDate(hiborindex,AK1596)</f>
        <v>44819</v>
      </c>
      <c r="AM1596" s="23">
        <f>_xll.qlIndexFixing(hiborindex,AK1596)</f>
        <v>6.5727914150948323E-3</v>
      </c>
    </row>
    <row r="1597" spans="37:39" x14ac:dyDescent="0.25">
      <c r="AK1597" s="21">
        <f>_xll.qlCalendarAdvance(calendar,AK1596,"1D")</f>
        <v>44818</v>
      </c>
      <c r="AL1597" s="21">
        <f>_xll.qlInterestRateIndexValueDate(hiborindex,AK1597)</f>
        <v>44820</v>
      </c>
      <c r="AM1597" s="23">
        <f>_xll.qlIndexFixing(hiborindex,AK1597)</f>
        <v>6.578085550940126E-3</v>
      </c>
    </row>
    <row r="1598" spans="37:39" x14ac:dyDescent="0.25">
      <c r="AK1598" s="21">
        <f>_xll.qlCalendarAdvance(calendar,AK1597,"1D")</f>
        <v>44819</v>
      </c>
      <c r="AL1598" s="21">
        <f>_xll.qlInterestRateIndexValueDate(hiborindex,AK1598)</f>
        <v>44823</v>
      </c>
      <c r="AM1598" s="23">
        <f>_xll.qlIndexFixing(hiborindex,AK1598)</f>
        <v>6.5966755086283328E-3</v>
      </c>
    </row>
    <row r="1599" spans="37:39" x14ac:dyDescent="0.25">
      <c r="AK1599" s="21">
        <f>_xll.qlCalendarAdvance(calendar,AK1598,"1D")</f>
        <v>44820</v>
      </c>
      <c r="AL1599" s="21">
        <f>_xll.qlInterestRateIndexValueDate(hiborindex,AK1599)</f>
        <v>44824</v>
      </c>
      <c r="AM1599" s="23">
        <f>_xll.qlIndexFixing(hiborindex,AK1599)</f>
        <v>6.5992622347751341E-3</v>
      </c>
    </row>
    <row r="1600" spans="37:39" x14ac:dyDescent="0.25">
      <c r="AK1600" s="21">
        <f>_xll.qlCalendarAdvance(calendar,AK1599,"1D")</f>
        <v>44823</v>
      </c>
      <c r="AL1600" s="21">
        <f>_xll.qlInterestRateIndexValueDate(hiborindex,AK1600)</f>
        <v>44825</v>
      </c>
      <c r="AM1600" s="23">
        <f>_xll.qlIndexFixing(hiborindex,AK1600)</f>
        <v>6.6045564408475661E-3</v>
      </c>
    </row>
    <row r="1601" spans="37:39" x14ac:dyDescent="0.25">
      <c r="AK1601" s="21">
        <f>_xll.qlCalendarAdvance(calendar,AK1600,"1D")</f>
        <v>44824</v>
      </c>
      <c r="AL1601" s="21">
        <f>_xll.qlInterestRateIndexValueDate(hiborindex,AK1601)</f>
        <v>44826</v>
      </c>
      <c r="AM1601" s="23">
        <f>_xll.qlIndexFixing(hiborindex,AK1601)</f>
        <v>6.6098506609657791E-3</v>
      </c>
    </row>
    <row r="1602" spans="37:39" x14ac:dyDescent="0.25">
      <c r="AK1602" s="21">
        <f>_xll.qlCalendarAdvance(calendar,AK1601,"1D")</f>
        <v>44825</v>
      </c>
      <c r="AL1602" s="21">
        <f>_xll.qlInterestRateIndexValueDate(hiborindex,AK1602)</f>
        <v>44827</v>
      </c>
      <c r="AM1602" s="23">
        <f>_xll.qlIndexFixing(hiborindex,AK1602)</f>
        <v>6.6151448951293325E-3</v>
      </c>
    </row>
    <row r="1603" spans="37:39" x14ac:dyDescent="0.25">
      <c r="AK1603" s="21">
        <f>_xll.qlCalendarAdvance(calendar,AK1602,"1D")</f>
        <v>44826</v>
      </c>
      <c r="AL1603" s="21">
        <f>_xll.qlInterestRateIndexValueDate(hiborindex,AK1603)</f>
        <v>44830</v>
      </c>
      <c r="AM1603" s="23">
        <f>_xll.qlIndexFixing(hiborindex,AK1603)</f>
        <v>6.6337358767969258E-3</v>
      </c>
    </row>
    <row r="1604" spans="37:39" x14ac:dyDescent="0.25">
      <c r="AK1604" s="21">
        <f>_xll.qlCalendarAdvance(calendar,AK1603,"1D")</f>
        <v>44827</v>
      </c>
      <c r="AL1604" s="21">
        <f>_xll.qlInterestRateIndexValueDate(hiborindex,AK1604)</f>
        <v>44831</v>
      </c>
      <c r="AM1604" s="23">
        <f>_xll.qlIndexFixing(hiborindex,AK1604)</f>
        <v>6.6363219722409125E-3</v>
      </c>
    </row>
    <row r="1605" spans="37:39" x14ac:dyDescent="0.25">
      <c r="AK1605" s="21">
        <f>_xll.qlCalendarAdvance(calendar,AK1604,"1D")</f>
        <v>44830</v>
      </c>
      <c r="AL1605" s="21">
        <f>_xll.qlInterestRateIndexValueDate(hiborindex,AK1605)</f>
        <v>44832</v>
      </c>
      <c r="AM1605" s="23">
        <f>_xll.qlIndexFixing(hiborindex,AK1605)</f>
        <v>6.6416162766333702E-3</v>
      </c>
    </row>
    <row r="1606" spans="37:39" x14ac:dyDescent="0.25">
      <c r="AK1606" s="21">
        <f>_xll.qlCalendarAdvance(calendar,AK1605,"1D")</f>
        <v>44831</v>
      </c>
      <c r="AL1606" s="21">
        <f>_xll.qlInterestRateIndexValueDate(hiborindex,AK1606)</f>
        <v>44833</v>
      </c>
      <c r="AM1606" s="23">
        <f>_xll.qlIndexFixing(hiborindex,AK1606)</f>
        <v>6.6469105950711684E-3</v>
      </c>
    </row>
    <row r="1607" spans="37:39" x14ac:dyDescent="0.25">
      <c r="AK1607" s="21">
        <f>_xll.qlCalendarAdvance(calendar,AK1606,"1D")</f>
        <v>44832</v>
      </c>
      <c r="AL1607" s="21">
        <f>_xll.qlInterestRateIndexValueDate(hiborindex,AK1607)</f>
        <v>44834</v>
      </c>
      <c r="AM1607" s="23">
        <f>_xll.qlIndexFixing(hiborindex,AK1607)</f>
        <v>6.6549135407552324E-3</v>
      </c>
    </row>
    <row r="1608" spans="37:39" x14ac:dyDescent="0.25">
      <c r="AK1608" s="21">
        <f>_xll.qlCalendarAdvance(calendar,AK1607,"1D")</f>
        <v>44833</v>
      </c>
      <c r="AL1608" s="21">
        <f>_xll.qlInterestRateIndexValueDate(hiborindex,AK1608)</f>
        <v>44837</v>
      </c>
      <c r="AM1608" s="23">
        <f>_xll.qlIndexFixing(hiborindex,AK1608)</f>
        <v>6.6707969370237968E-3</v>
      </c>
    </row>
    <row r="1609" spans="37:39" x14ac:dyDescent="0.25">
      <c r="AK1609" s="21">
        <f>_xll.qlCalendarAdvance(calendar,AK1608,"1D")</f>
        <v>44834</v>
      </c>
      <c r="AL1609" s="21">
        <f>_xll.qlInterestRateIndexValueDate(hiborindex,AK1609)</f>
        <v>44838</v>
      </c>
      <c r="AM1609" s="23">
        <f>_xll.qlIndexFixing(hiborindex,AK1609)</f>
        <v>6.6760914306940927E-3</v>
      </c>
    </row>
    <row r="1610" spans="37:39" x14ac:dyDescent="0.25">
      <c r="AK1610" s="21">
        <f>_xll.qlCalendarAdvance(calendar,AK1609,"1D")</f>
        <v>44837</v>
      </c>
      <c r="AL1610" s="21">
        <f>_xll.qlInterestRateIndexValueDate(hiborindex,AK1610)</f>
        <v>44839</v>
      </c>
      <c r="AM1610" s="23">
        <f>_xll.qlIndexFixing(hiborindex,AK1610)</f>
        <v>6.6813859384889139E-3</v>
      </c>
    </row>
    <row r="1611" spans="37:39" x14ac:dyDescent="0.25">
      <c r="AK1611" s="21">
        <f>_xll.qlCalendarAdvance(calendar,AK1610,"1D")</f>
        <v>44838</v>
      </c>
      <c r="AL1611" s="21">
        <f>_xll.qlInterestRateIndexValueDate(hiborindex,AK1611)</f>
        <v>44840</v>
      </c>
      <c r="AM1611" s="23">
        <f>_xll.qlIndexFixing(hiborindex,AK1611)</f>
        <v>6.686680460406943E-3</v>
      </c>
    </row>
    <row r="1612" spans="37:39" x14ac:dyDescent="0.25">
      <c r="AK1612" s="21">
        <f>_xll.qlCalendarAdvance(calendar,AK1611,"1D")</f>
        <v>44839</v>
      </c>
      <c r="AL1612" s="21">
        <f>_xll.qlInterestRateIndexValueDate(hiborindex,AK1612)</f>
        <v>44841</v>
      </c>
      <c r="AM1612" s="23">
        <f>_xll.qlIndexFixing(hiborindex,AK1612)</f>
        <v>6.7028134154705418E-3</v>
      </c>
    </row>
    <row r="1613" spans="37:39" x14ac:dyDescent="0.25">
      <c r="AK1613" s="21">
        <f>_xll.qlCalendarAdvance(calendar,AK1612,"1D")</f>
        <v>44840</v>
      </c>
      <c r="AL1613" s="21">
        <f>_xll.qlInterestRateIndexValueDate(hiborindex,AK1613)</f>
        <v>44844</v>
      </c>
      <c r="AM1613" s="23">
        <f>_xll.qlIndexFixing(hiborindex,AK1613)</f>
        <v>6.7105684565094866E-3</v>
      </c>
    </row>
    <row r="1614" spans="37:39" x14ac:dyDescent="0.25">
      <c r="AK1614" s="21">
        <f>_xll.qlCalendarAdvance(calendar,AK1613,"1D")</f>
        <v>44841</v>
      </c>
      <c r="AL1614" s="21">
        <f>_xll.qlInterestRateIndexValueDate(hiborindex,AK1614)</f>
        <v>44845</v>
      </c>
      <c r="AM1614" s="23">
        <f>_xll.qlIndexFixing(hiborindex,AK1614)</f>
        <v>6.7131532818597069E-3</v>
      </c>
    </row>
    <row r="1615" spans="37:39" x14ac:dyDescent="0.25">
      <c r="AK1615" s="21">
        <f>_xll.qlCalendarAdvance(calendar,AK1614,"1D")</f>
        <v>44844</v>
      </c>
      <c r="AL1615" s="21">
        <f>_xll.qlInterestRateIndexValueDate(hiborindex,AK1615)</f>
        <v>44846</v>
      </c>
      <c r="AM1615" s="23">
        <f>_xll.qlIndexFixing(hiborindex,AK1615)</f>
        <v>6.7184478885231333E-3</v>
      </c>
    </row>
    <row r="1616" spans="37:39" x14ac:dyDescent="0.25">
      <c r="AK1616" s="21">
        <f>_xll.qlCalendarAdvance(calendar,AK1615,"1D")</f>
        <v>44845</v>
      </c>
      <c r="AL1616" s="21">
        <f>_xll.qlInterestRateIndexValueDate(hiborindex,AK1616)</f>
        <v>44847</v>
      </c>
      <c r="AM1616" s="23">
        <f>_xll.qlIndexFixing(hiborindex,AK1616)</f>
        <v>6.7237425093102082E-3</v>
      </c>
    </row>
    <row r="1617" spans="37:39" x14ac:dyDescent="0.25">
      <c r="AK1617" s="21">
        <f>_xll.qlCalendarAdvance(calendar,AK1616,"1D")</f>
        <v>44846</v>
      </c>
      <c r="AL1617" s="21">
        <f>_xll.qlInterestRateIndexValueDate(hiborindex,AK1617)</f>
        <v>44848</v>
      </c>
      <c r="AM1617" s="23">
        <f>_xll.qlIndexFixing(hiborindex,AK1617)</f>
        <v>6.7290371442218083E-3</v>
      </c>
    </row>
    <row r="1618" spans="37:39" x14ac:dyDescent="0.25">
      <c r="AK1618" s="21">
        <f>_xll.qlCalendarAdvance(calendar,AK1617,"1D")</f>
        <v>44847</v>
      </c>
      <c r="AL1618" s="21">
        <f>_xll.qlInterestRateIndexValueDate(hiborindex,AK1618)</f>
        <v>44851</v>
      </c>
      <c r="AM1618" s="23">
        <f>_xll.qlIndexFixing(hiborindex,AK1618)</f>
        <v>6.744921133702445E-3</v>
      </c>
    </row>
    <row r="1619" spans="37:39" x14ac:dyDescent="0.25">
      <c r="AK1619" s="21">
        <f>_xll.qlCalendarAdvance(calendar,AK1618,"1D")</f>
        <v>44848</v>
      </c>
      <c r="AL1619" s="21">
        <f>_xll.qlInterestRateIndexValueDate(hiborindex,AK1619)</f>
        <v>44852</v>
      </c>
      <c r="AM1619" s="23">
        <f>_xll.qlIndexFixing(hiborindex,AK1619)</f>
        <v>6.7502158251112696E-3</v>
      </c>
    </row>
    <row r="1620" spans="37:39" x14ac:dyDescent="0.25">
      <c r="AK1620" s="21">
        <f>_xll.qlCalendarAdvance(calendar,AK1619,"1D")</f>
        <v>44851</v>
      </c>
      <c r="AL1620" s="21">
        <f>_xll.qlInterestRateIndexValueDate(hiborindex,AK1620)</f>
        <v>44853</v>
      </c>
      <c r="AM1620" s="23">
        <f>_xll.qlIndexFixing(hiborindex,AK1620)</f>
        <v>6.7555105306446204E-3</v>
      </c>
    </row>
    <row r="1621" spans="37:39" x14ac:dyDescent="0.25">
      <c r="AK1621" s="21">
        <f>_xll.qlCalendarAdvance(calendar,AK1620,"1D")</f>
        <v>44852</v>
      </c>
      <c r="AL1621" s="21">
        <f>_xll.qlInterestRateIndexValueDate(hiborindex,AK1621)</f>
        <v>44854</v>
      </c>
      <c r="AM1621" s="23">
        <f>_xll.qlIndexFixing(hiborindex,AK1621)</f>
        <v>6.7608052503029354E-3</v>
      </c>
    </row>
    <row r="1622" spans="37:39" x14ac:dyDescent="0.25">
      <c r="AK1622" s="21">
        <f>_xll.qlCalendarAdvance(calendar,AK1621,"1D")</f>
        <v>44853</v>
      </c>
      <c r="AL1622" s="21">
        <f>_xll.qlInterestRateIndexValueDate(hiborindex,AK1622)</f>
        <v>44855</v>
      </c>
      <c r="AM1622" s="23">
        <f>_xll.qlIndexFixing(hiborindex,AK1622)</f>
        <v>6.7660999840853369E-3</v>
      </c>
    </row>
    <row r="1623" spans="37:39" x14ac:dyDescent="0.25">
      <c r="AK1623" s="21">
        <f>_xll.qlCalendarAdvance(calendar,AK1622,"1D")</f>
        <v>44854</v>
      </c>
      <c r="AL1623" s="21">
        <f>_xll.qlInterestRateIndexValueDate(hiborindex,AK1623)</f>
        <v>44858</v>
      </c>
      <c r="AM1623" s="23">
        <f>_xll.qlIndexFixing(hiborindex,AK1623)</f>
        <v>6.7819842701801357E-3</v>
      </c>
    </row>
    <row r="1624" spans="37:39" x14ac:dyDescent="0.25">
      <c r="AK1624" s="21">
        <f>_xll.qlCalendarAdvance(calendar,AK1623,"1D")</f>
        <v>44855</v>
      </c>
      <c r="AL1624" s="21">
        <f>_xll.qlInterestRateIndexValueDate(hiborindex,AK1624)</f>
        <v>44859</v>
      </c>
      <c r="AM1624" s="23">
        <f>_xll.qlIndexFixing(hiborindex,AK1624)</f>
        <v>6.7872790604610799E-3</v>
      </c>
    </row>
    <row r="1625" spans="37:39" x14ac:dyDescent="0.25">
      <c r="AK1625" s="21">
        <f>_xll.qlCalendarAdvance(calendar,AK1624,"1D")</f>
        <v>44858</v>
      </c>
      <c r="AL1625" s="21">
        <f>_xll.qlInterestRateIndexValueDate(hiborindex,AK1625)</f>
        <v>44860</v>
      </c>
      <c r="AM1625" s="23">
        <f>_xll.qlIndexFixing(hiborindex,AK1625)</f>
        <v>6.7925738648665496E-3</v>
      </c>
    </row>
    <row r="1626" spans="37:39" x14ac:dyDescent="0.25">
      <c r="AK1626" s="21">
        <f>_xll.qlCalendarAdvance(calendar,AK1625,"1D")</f>
        <v>44859</v>
      </c>
      <c r="AL1626" s="21">
        <f>_xll.qlInterestRateIndexValueDate(hiborindex,AK1626)</f>
        <v>44861</v>
      </c>
      <c r="AM1626" s="23">
        <f>_xll.qlIndexFixing(hiborindex,AK1626)</f>
        <v>6.7978686833969843E-3</v>
      </c>
    </row>
    <row r="1627" spans="37:39" x14ac:dyDescent="0.25">
      <c r="AK1627" s="21">
        <f>_xll.qlCalendarAdvance(calendar,AK1626,"1D")</f>
        <v>44860</v>
      </c>
      <c r="AL1627" s="21">
        <f>_xll.qlInterestRateIndexValueDate(hiborindex,AK1627)</f>
        <v>44862</v>
      </c>
      <c r="AM1627" s="23">
        <f>_xll.qlIndexFixing(hiborindex,AK1627)</f>
        <v>6.8031635160523832E-3</v>
      </c>
    </row>
    <row r="1628" spans="37:39" x14ac:dyDescent="0.25">
      <c r="AK1628" s="21">
        <f>_xll.qlCalendarAdvance(calendar,AK1627,"1D")</f>
        <v>44861</v>
      </c>
      <c r="AL1628" s="21">
        <f>_xll.qlInterestRateIndexValueDate(hiborindex,AK1628)</f>
        <v>44865</v>
      </c>
      <c r="AM1628" s="23">
        <f>_xll.qlIndexFixing(hiborindex,AK1628)</f>
        <v>6.8109127201423942E-3</v>
      </c>
    </row>
    <row r="1629" spans="37:39" x14ac:dyDescent="0.25">
      <c r="AK1629" s="21">
        <f>_xll.qlCalendarAdvance(calendar,AK1628,"1D")</f>
        <v>44862</v>
      </c>
      <c r="AL1629" s="21">
        <f>_xll.qlInterestRateIndexValueDate(hiborindex,AK1629)</f>
        <v>44866</v>
      </c>
      <c r="AM1629" s="23">
        <f>_xll.qlIndexFixing(hiborindex,AK1629)</f>
        <v>6.8243429879218734E-3</v>
      </c>
    </row>
    <row r="1630" spans="37:39" x14ac:dyDescent="0.25">
      <c r="AK1630" s="21">
        <f>_xll.qlCalendarAdvance(calendar,AK1629,"1D")</f>
        <v>44865</v>
      </c>
      <c r="AL1630" s="21">
        <f>_xll.qlInterestRateIndexValueDate(hiborindex,AK1630)</f>
        <v>44867</v>
      </c>
      <c r="AM1630" s="23">
        <f>_xll.qlIndexFixing(hiborindex,AK1630)</f>
        <v>6.8269257794963635E-3</v>
      </c>
    </row>
    <row r="1631" spans="37:39" x14ac:dyDescent="0.25">
      <c r="AK1631" s="21">
        <f>_xll.qlCalendarAdvance(calendar,AK1630,"1D")</f>
        <v>44866</v>
      </c>
      <c r="AL1631" s="21">
        <f>_xll.qlInterestRateIndexValueDate(hiborindex,AK1631)</f>
        <v>44868</v>
      </c>
      <c r="AM1631" s="23">
        <f>_xll.qlIndexFixing(hiborindex,AK1631)</f>
        <v>6.8322205895616737E-3</v>
      </c>
    </row>
    <row r="1632" spans="37:39" x14ac:dyDescent="0.25">
      <c r="AK1632" s="21">
        <f>_xll.qlCalendarAdvance(calendar,AK1631,"1D")</f>
        <v>44867</v>
      </c>
      <c r="AL1632" s="21">
        <f>_xll.qlInterestRateIndexValueDate(hiborindex,AK1632)</f>
        <v>44869</v>
      </c>
      <c r="AM1632" s="23">
        <f>_xll.qlIndexFixing(hiborindex,AK1632)</f>
        <v>6.837515413674531E-3</v>
      </c>
    </row>
    <row r="1633" spans="37:39" x14ac:dyDescent="0.25">
      <c r="AK1633" s="21">
        <f>_xll.qlCalendarAdvance(calendar,AK1632,"1D")</f>
        <v>44868</v>
      </c>
      <c r="AL1633" s="21">
        <f>_xll.qlInterestRateIndexValueDate(hiborindex,AK1633)</f>
        <v>44872</v>
      </c>
      <c r="AM1633" s="23">
        <f>_xll.qlIndexFixing(hiborindex,AK1633)</f>
        <v>6.8561126194768137E-3</v>
      </c>
    </row>
    <row r="1634" spans="37:39" x14ac:dyDescent="0.25">
      <c r="AK1634" s="21">
        <f>_xll.qlCalendarAdvance(calendar,AK1633,"1D")</f>
        <v>44869</v>
      </c>
      <c r="AL1634" s="21">
        <f>_xll.qlInterestRateIndexValueDate(hiborindex,AK1634)</f>
        <v>44873</v>
      </c>
      <c r="AM1634" s="23">
        <f>_xll.qlIndexFixing(hiborindex,AK1634)</f>
        <v>6.8586948505970219E-3</v>
      </c>
    </row>
    <row r="1635" spans="37:39" x14ac:dyDescent="0.25">
      <c r="AK1635" s="21">
        <f>_xll.qlCalendarAdvance(calendar,AK1634,"1D")</f>
        <v>44872</v>
      </c>
      <c r="AL1635" s="21">
        <f>_xll.qlInterestRateIndexValueDate(hiborindex,AK1635)</f>
        <v>44874</v>
      </c>
      <c r="AM1635" s="23">
        <f>_xll.qlIndexFixing(hiborindex,AK1635)</f>
        <v>6.8639897449458507E-3</v>
      </c>
    </row>
    <row r="1636" spans="37:39" x14ac:dyDescent="0.25">
      <c r="AK1636" s="21">
        <f>_xll.qlCalendarAdvance(calendar,AK1635,"1D")</f>
        <v>44873</v>
      </c>
      <c r="AL1636" s="21">
        <f>_xll.qlInterestRateIndexValueDate(hiborindex,AK1636)</f>
        <v>44875</v>
      </c>
      <c r="AM1636" s="23">
        <f>_xll.qlIndexFixing(hiborindex,AK1636)</f>
        <v>6.8692846533422273E-3</v>
      </c>
    </row>
    <row r="1637" spans="37:39" x14ac:dyDescent="0.25">
      <c r="AK1637" s="21">
        <f>_xll.qlCalendarAdvance(calendar,AK1636,"1D")</f>
        <v>44874</v>
      </c>
      <c r="AL1637" s="21">
        <f>_xll.qlInterestRateIndexValueDate(hiborindex,AK1637)</f>
        <v>44876</v>
      </c>
      <c r="AM1637" s="23">
        <f>_xll.qlIndexFixing(hiborindex,AK1637)</f>
        <v>6.8745795757861518E-3</v>
      </c>
    </row>
    <row r="1638" spans="37:39" x14ac:dyDescent="0.25">
      <c r="AK1638" s="21">
        <f>_xll.qlCalendarAdvance(calendar,AK1637,"1D")</f>
        <v>44875</v>
      </c>
      <c r="AL1638" s="21">
        <f>_xll.qlInterestRateIndexValueDate(hiborindex,AK1638)</f>
        <v>44879</v>
      </c>
      <c r="AM1638" s="23">
        <f>_xll.qlIndexFixing(hiborindex,AK1638)</f>
        <v>6.8931778323221542E-3</v>
      </c>
    </row>
    <row r="1639" spans="37:39" x14ac:dyDescent="0.25">
      <c r="AK1639" s="21">
        <f>_xll.qlCalendarAdvance(calendar,AK1638,"1D")</f>
        <v>44876</v>
      </c>
      <c r="AL1639" s="21">
        <f>_xll.qlInterestRateIndexValueDate(hiborindex,AK1639)</f>
        <v>44880</v>
      </c>
      <c r="AM1639" s="23">
        <f>_xll.qlIndexFixing(hiborindex,AK1639)</f>
        <v>6.8957594060360021E-3</v>
      </c>
    </row>
    <row r="1640" spans="37:39" x14ac:dyDescent="0.25">
      <c r="AK1640" s="21">
        <f>_xll.qlCalendarAdvance(calendar,AK1639,"1D")</f>
        <v>44879</v>
      </c>
      <c r="AL1640" s="21">
        <f>_xll.qlInterestRateIndexValueDate(hiborindex,AK1640)</f>
        <v>44881</v>
      </c>
      <c r="AM1640" s="23">
        <f>_xll.qlIndexFixing(hiborindex,AK1640)</f>
        <v>6.901054398717665E-3</v>
      </c>
    </row>
    <row r="1641" spans="37:39" x14ac:dyDescent="0.25">
      <c r="AK1641" s="21">
        <f>_xll.qlCalendarAdvance(calendar,AK1640,"1D")</f>
        <v>44880</v>
      </c>
      <c r="AL1641" s="21">
        <f>_xll.qlInterestRateIndexValueDate(hiborindex,AK1641)</f>
        <v>44882</v>
      </c>
      <c r="AM1641" s="23">
        <f>_xll.qlIndexFixing(hiborindex,AK1641)</f>
        <v>6.9063494054464342E-3</v>
      </c>
    </row>
    <row r="1642" spans="37:39" x14ac:dyDescent="0.25">
      <c r="AK1642" s="21">
        <f>_xll.qlCalendarAdvance(calendar,AK1641,"1D")</f>
        <v>44881</v>
      </c>
      <c r="AL1642" s="21">
        <f>_xll.qlInterestRateIndexValueDate(hiborindex,AK1642)</f>
        <v>44883</v>
      </c>
      <c r="AM1642" s="23">
        <f>_xll.qlIndexFixing(hiborindex,AK1642)</f>
        <v>6.9116444262236334E-3</v>
      </c>
    </row>
    <row r="1643" spans="37:39" x14ac:dyDescent="0.25">
      <c r="AK1643" s="21">
        <f>_xll.qlCalendarAdvance(calendar,AK1642,"1D")</f>
        <v>44882</v>
      </c>
      <c r="AL1643" s="21">
        <f>_xll.qlInterestRateIndexValueDate(hiborindex,AK1643)</f>
        <v>44886</v>
      </c>
      <c r="AM1643" s="23">
        <f>_xll.qlIndexFixing(hiborindex,AK1643)</f>
        <v>6.9302437373153719E-3</v>
      </c>
    </row>
    <row r="1644" spans="37:39" x14ac:dyDescent="0.25">
      <c r="AK1644" s="21">
        <f>_xll.qlCalendarAdvance(calendar,AK1643,"1D")</f>
        <v>44883</v>
      </c>
      <c r="AL1644" s="21">
        <f>_xll.qlInterestRateIndexValueDate(hiborindex,AK1644)</f>
        <v>44887</v>
      </c>
      <c r="AM1644" s="23">
        <f>_xll.qlIndexFixing(hiborindex,AK1644)</f>
        <v>6.9328246498079095E-3</v>
      </c>
    </row>
    <row r="1645" spans="37:39" x14ac:dyDescent="0.25">
      <c r="AK1645" s="21">
        <f>_xll.qlCalendarAdvance(calendar,AK1644,"1D")</f>
        <v>44886</v>
      </c>
      <c r="AL1645" s="21">
        <f>_xll.qlInterestRateIndexValueDate(hiborindex,AK1645)</f>
        <v>44888</v>
      </c>
      <c r="AM1645" s="23">
        <f>_xll.qlIndexFixing(hiborindex,AK1645)</f>
        <v>6.9381197408237309E-3</v>
      </c>
    </row>
    <row r="1646" spans="37:39" x14ac:dyDescent="0.25">
      <c r="AK1646" s="21">
        <f>_xll.qlCalendarAdvance(calendar,AK1645,"1D")</f>
        <v>44887</v>
      </c>
      <c r="AL1646" s="21">
        <f>_xll.qlInterestRateIndexValueDate(hiborindex,AK1646)</f>
        <v>44889</v>
      </c>
      <c r="AM1646" s="23">
        <f>_xll.qlIndexFixing(hiborindex,AK1646)</f>
        <v>6.9434148458875416E-3</v>
      </c>
    </row>
    <row r="1647" spans="37:39" x14ac:dyDescent="0.25">
      <c r="AK1647" s="21">
        <f>_xll.qlCalendarAdvance(calendar,AK1646,"1D")</f>
        <v>44888</v>
      </c>
      <c r="AL1647" s="21">
        <f>_xll.qlInterestRateIndexValueDate(hiborindex,AK1647)</f>
        <v>44890</v>
      </c>
      <c r="AM1647" s="23">
        <f>_xll.qlIndexFixing(hiborindex,AK1647)</f>
        <v>6.9487099649993417E-3</v>
      </c>
    </row>
    <row r="1648" spans="37:39" x14ac:dyDescent="0.25">
      <c r="AK1648" s="21">
        <f>_xll.qlCalendarAdvance(calendar,AK1647,"1D")</f>
        <v>44889</v>
      </c>
      <c r="AL1648" s="21">
        <f>_xll.qlInterestRateIndexValueDate(hiborindex,AK1648)</f>
        <v>44893</v>
      </c>
      <c r="AM1648" s="23">
        <f>_xll.qlIndexFixing(hiborindex,AK1648)</f>
        <v>6.967310334469643E-3</v>
      </c>
    </row>
    <row r="1649" spans="37:39" x14ac:dyDescent="0.25">
      <c r="AK1649" s="21">
        <f>_xll.qlCalendarAdvance(calendar,AK1648,"1D")</f>
        <v>44890</v>
      </c>
      <c r="AL1649" s="21">
        <f>_xll.qlInterestRateIndexValueDate(hiborindex,AK1649)</f>
        <v>44894</v>
      </c>
      <c r="AM1649" s="23">
        <f>_xll.qlIndexFixing(hiborindex,AK1649)</f>
        <v>6.9698905819259921E-3</v>
      </c>
    </row>
    <row r="1650" spans="37:39" x14ac:dyDescent="0.25">
      <c r="AK1650" s="21">
        <f>_xll.qlCalendarAdvance(calendar,AK1649,"1D")</f>
        <v>44893</v>
      </c>
      <c r="AL1650" s="21">
        <f>_xll.qlInterestRateIndexValueDate(hiborindex,AK1650)</f>
        <v>44895</v>
      </c>
      <c r="AM1650" s="23">
        <f>_xll.qlIndexFixing(hiborindex,AK1650)</f>
        <v>6.9779009179334675E-3</v>
      </c>
    </row>
    <row r="1651" spans="37:39" x14ac:dyDescent="0.25">
      <c r="AK1651" s="21">
        <f>_xll.qlCalendarAdvance(calendar,AK1650,"1D")</f>
        <v>44894</v>
      </c>
      <c r="AL1651" s="21">
        <f>_xll.qlInterestRateIndexValueDate(hiborindex,AK1651)</f>
        <v>44896</v>
      </c>
      <c r="AM1651" s="23">
        <f>_xll.qlIndexFixing(hiborindex,AK1651)</f>
        <v>6.9831962308539259E-3</v>
      </c>
    </row>
    <row r="1652" spans="37:39" x14ac:dyDescent="0.25">
      <c r="AK1652" s="21">
        <f>_xll.qlCalendarAdvance(calendar,AK1651,"1D")</f>
        <v>44895</v>
      </c>
      <c r="AL1652" s="21">
        <f>_xll.qlInterestRateIndexValueDate(hiborindex,AK1652)</f>
        <v>44897</v>
      </c>
      <c r="AM1652" s="23">
        <f>_xll.qlIndexFixing(hiborindex,AK1652)</f>
        <v>6.9884915579011058E-3</v>
      </c>
    </row>
    <row r="1653" spans="37:39" x14ac:dyDescent="0.25">
      <c r="AK1653" s="21">
        <f>_xll.qlCalendarAdvance(calendar,AK1652,"1D")</f>
        <v>44896</v>
      </c>
      <c r="AL1653" s="21">
        <f>_xll.qlInterestRateIndexValueDate(hiborindex,AK1653)</f>
        <v>44900</v>
      </c>
      <c r="AM1653" s="23">
        <f>_xll.qlIndexFixing(hiborindex,AK1653)</f>
        <v>7.0043776237985831E-3</v>
      </c>
    </row>
    <row r="1654" spans="37:39" x14ac:dyDescent="0.25">
      <c r="AK1654" s="21">
        <f>_xll.qlCalendarAdvance(calendar,AK1653,"1D")</f>
        <v>44897</v>
      </c>
      <c r="AL1654" s="21">
        <f>_xll.qlInterestRateIndexValueDate(hiborindex,AK1654)</f>
        <v>44901</v>
      </c>
      <c r="AM1654" s="23">
        <f>_xll.qlIndexFixing(hiborindex,AK1654)</f>
        <v>7.0096730073504537E-3</v>
      </c>
    </row>
    <row r="1655" spans="37:39" x14ac:dyDescent="0.25">
      <c r="AK1655" s="21">
        <f>_xll.qlCalendarAdvance(calendar,AK1654,"1D")</f>
        <v>44900</v>
      </c>
      <c r="AL1655" s="21">
        <f>_xll.qlInterestRateIndexValueDate(hiborindex,AK1655)</f>
        <v>44902</v>
      </c>
      <c r="AM1655" s="23">
        <f>_xll.qlIndexFixing(hiborindex,AK1655)</f>
        <v>7.014968405028168E-3</v>
      </c>
    </row>
    <row r="1656" spans="37:39" x14ac:dyDescent="0.25">
      <c r="AK1656" s="21">
        <f>_xll.qlCalendarAdvance(calendar,AK1655,"1D")</f>
        <v>44901</v>
      </c>
      <c r="AL1656" s="21">
        <f>_xll.qlInterestRateIndexValueDate(hiborindex,AK1656)</f>
        <v>44903</v>
      </c>
      <c r="AM1656" s="23">
        <f>_xll.qlIndexFixing(hiborindex,AK1656)</f>
        <v>7.0202638168326038E-3</v>
      </c>
    </row>
    <row r="1657" spans="37:39" x14ac:dyDescent="0.25">
      <c r="AK1657" s="21">
        <f>_xll.qlCalendarAdvance(calendar,AK1656,"1D")</f>
        <v>44902</v>
      </c>
      <c r="AL1657" s="21">
        <f>_xll.qlInterestRateIndexValueDate(hiborindex,AK1657)</f>
        <v>44904</v>
      </c>
      <c r="AM1657" s="23">
        <f>_xll.qlIndexFixing(hiborindex,AK1657)</f>
        <v>7.025559242763762E-3</v>
      </c>
    </row>
    <row r="1658" spans="37:39" x14ac:dyDescent="0.25">
      <c r="AK1658" s="21">
        <f>_xll.qlCalendarAdvance(calendar,AK1657,"1D")</f>
        <v>44903</v>
      </c>
      <c r="AL1658" s="21">
        <f>_xll.qlInterestRateIndexValueDate(hiborindex,AK1658)</f>
        <v>44907</v>
      </c>
      <c r="AM1658" s="23">
        <f>_xll.qlIndexFixing(hiborindex,AK1658)</f>
        <v>7.0414456053144907E-3</v>
      </c>
    </row>
    <row r="1659" spans="37:39" x14ac:dyDescent="0.25">
      <c r="AK1659" s="21">
        <f>_xll.qlCalendarAdvance(calendar,AK1658,"1D")</f>
        <v>44904</v>
      </c>
      <c r="AL1659" s="21">
        <f>_xll.qlInterestRateIndexValueDate(hiborindex,AK1659)</f>
        <v>44908</v>
      </c>
      <c r="AM1659" s="23">
        <f>_xll.qlIndexFixing(hiborindex,AK1659)</f>
        <v>7.0467410877512182E-3</v>
      </c>
    </row>
    <row r="1660" spans="37:39" x14ac:dyDescent="0.25">
      <c r="AK1660" s="21">
        <f>_xll.qlCalendarAdvance(calendar,AK1659,"1D")</f>
        <v>44907</v>
      </c>
      <c r="AL1660" s="21">
        <f>_xll.qlInterestRateIndexValueDate(hiborindex,AK1660)</f>
        <v>44909</v>
      </c>
      <c r="AM1660" s="23">
        <f>_xll.qlIndexFixing(hiborindex,AK1660)</f>
        <v>7.0520365843146663E-3</v>
      </c>
    </row>
    <row r="1661" spans="37:39" x14ac:dyDescent="0.25">
      <c r="AK1661" s="21">
        <f>_xll.qlCalendarAdvance(calendar,AK1660,"1D")</f>
        <v>44908</v>
      </c>
      <c r="AL1661" s="21">
        <f>_xll.qlInterestRateIndexValueDate(hiborindex,AK1661)</f>
        <v>44910</v>
      </c>
      <c r="AM1661" s="23">
        <f>_xll.qlIndexFixing(hiborindex,AK1661)</f>
        <v>7.0573320950043979E-3</v>
      </c>
    </row>
    <row r="1662" spans="37:39" x14ac:dyDescent="0.25">
      <c r="AK1662" s="21">
        <f>_xll.qlCalendarAdvance(calendar,AK1661,"1D")</f>
        <v>44909</v>
      </c>
      <c r="AL1662" s="21">
        <f>_xll.qlInterestRateIndexValueDate(hiborindex,AK1662)</f>
        <v>44911</v>
      </c>
      <c r="AM1662" s="23">
        <f>_xll.qlIndexFixing(hiborindex,AK1662)</f>
        <v>7.062627619820851E-3</v>
      </c>
    </row>
    <row r="1663" spans="37:39" x14ac:dyDescent="0.25">
      <c r="AK1663" s="21">
        <f>_xll.qlCalendarAdvance(calendar,AK1662,"1D")</f>
        <v>44910</v>
      </c>
      <c r="AL1663" s="21">
        <f>_xll.qlInterestRateIndexValueDate(hiborindex,AK1663)</f>
        <v>44914</v>
      </c>
      <c r="AM1663" s="23">
        <f>_xll.qlIndexFixing(hiborindex,AK1663)</f>
        <v>7.0785142790301021E-3</v>
      </c>
    </row>
    <row r="1664" spans="37:39" x14ac:dyDescent="0.25">
      <c r="AK1664" s="21">
        <f>_xll.qlCalendarAdvance(calendar,AK1663,"1D")</f>
        <v>44911</v>
      </c>
      <c r="AL1664" s="21">
        <f>_xll.qlInterestRateIndexValueDate(hiborindex,AK1664)</f>
        <v>44915</v>
      </c>
      <c r="AM1664" s="23">
        <f>_xll.qlIndexFixing(hiborindex,AK1664)</f>
        <v>7.0838098603538818E-3</v>
      </c>
    </row>
    <row r="1665" spans="37:39" x14ac:dyDescent="0.25">
      <c r="AK1665" s="21">
        <f>_xll.qlCalendarAdvance(calendar,AK1664,"1D")</f>
        <v>44914</v>
      </c>
      <c r="AL1665" s="21">
        <f>_xll.qlInterestRateIndexValueDate(hiborindex,AK1665)</f>
        <v>44916</v>
      </c>
      <c r="AM1665" s="23">
        <f>_xll.qlIndexFixing(hiborindex,AK1665)</f>
        <v>7.0891054558039441E-3</v>
      </c>
    </row>
    <row r="1666" spans="37:39" x14ac:dyDescent="0.25">
      <c r="AK1666" s="21">
        <f>_xll.qlCalendarAdvance(calendar,AK1665,"1D")</f>
        <v>44915</v>
      </c>
      <c r="AL1666" s="21">
        <f>_xll.qlInterestRateIndexValueDate(hiborindex,AK1666)</f>
        <v>44917</v>
      </c>
      <c r="AM1666" s="23">
        <f>_xll.qlIndexFixing(hiborindex,AK1666)</f>
        <v>7.0944010653811668E-3</v>
      </c>
    </row>
    <row r="1667" spans="37:39" x14ac:dyDescent="0.25">
      <c r="AK1667" s="21">
        <f>_xll.qlCalendarAdvance(calendar,AK1666,"1D")</f>
        <v>44916</v>
      </c>
      <c r="AL1667" s="21">
        <f>_xll.qlInterestRateIndexValueDate(hiborindex,AK1667)</f>
        <v>44918</v>
      </c>
      <c r="AM1667" s="23">
        <f>_xll.qlIndexFixing(hiborindex,AK1667)</f>
        <v>7.0996966890851118E-3</v>
      </c>
    </row>
    <row r="1668" spans="37:39" x14ac:dyDescent="0.25">
      <c r="AK1668" s="21">
        <f>_xll.qlCalendarAdvance(calendar,AK1667,"1D")</f>
        <v>44917</v>
      </c>
      <c r="AL1668" s="21">
        <f>_xll.qlInterestRateIndexValueDate(hiborindex,AK1668)</f>
        <v>44922</v>
      </c>
      <c r="AM1668" s="23">
        <f>_xll.qlIndexFixing(hiborindex,AK1668)</f>
        <v>7.1208793251711835E-3</v>
      </c>
    </row>
    <row r="1669" spans="37:39" x14ac:dyDescent="0.25">
      <c r="AK1669" s="21">
        <f>_xll.qlCalendarAdvance(calendar,AK1668,"1D")</f>
        <v>44918</v>
      </c>
      <c r="AL1669" s="21">
        <f>_xll.qlInterestRateIndexValueDate(hiborindex,AK1669)</f>
        <v>44923</v>
      </c>
      <c r="AM1669" s="23">
        <f>_xll.qlIndexFixing(hiborindex,AK1669)</f>
        <v>7.1261750195104941E-3</v>
      </c>
    </row>
    <row r="1670" spans="37:39" x14ac:dyDescent="0.25">
      <c r="AK1670" s="21">
        <f>_xll.qlCalendarAdvance(calendar,AK1669,"1D")</f>
        <v>44922</v>
      </c>
      <c r="AL1670" s="21">
        <f>_xll.qlInterestRateIndexValueDate(hiborindex,AK1670)</f>
        <v>44924</v>
      </c>
      <c r="AM1670" s="23">
        <f>_xll.qlIndexFixing(hiborindex,AK1670)</f>
        <v>7.1314707279765263E-3</v>
      </c>
    </row>
    <row r="1671" spans="37:39" x14ac:dyDescent="0.25">
      <c r="AK1671" s="21">
        <f>_xll.qlCalendarAdvance(calendar,AK1670,"1D")</f>
        <v>44923</v>
      </c>
      <c r="AL1671" s="21">
        <f>_xll.qlInterestRateIndexValueDate(hiborindex,AK1671)</f>
        <v>44925</v>
      </c>
      <c r="AM1671" s="23">
        <f>_xll.qlIndexFixing(hiborindex,AK1671)</f>
        <v>7.1367664505701586E-3</v>
      </c>
    </row>
    <row r="1672" spans="37:39" x14ac:dyDescent="0.25">
      <c r="AK1672" s="21">
        <f>_xll.qlCalendarAdvance(calendar,AK1671,"1D")</f>
        <v>44924</v>
      </c>
      <c r="AL1672" s="21">
        <f>_xll.qlInterestRateIndexValueDate(hiborindex,AK1672)</f>
        <v>44928</v>
      </c>
      <c r="AM1672" s="23">
        <f>_xll.qlIndexFixing(hiborindex,AK1672)</f>
        <v>7.1579862608584077E-3</v>
      </c>
    </row>
    <row r="1673" spans="37:39" x14ac:dyDescent="0.25">
      <c r="AK1673" s="21">
        <f>_xll.qlCalendarAdvance(calendar,AK1672,"1D")</f>
        <v>44925</v>
      </c>
      <c r="AL1673" s="21">
        <f>_xll.qlInterestRateIndexValueDate(hiborindex,AK1673)</f>
        <v>44929</v>
      </c>
      <c r="AM1673" s="23">
        <f>_xll.qlIndexFixing(hiborindex,AK1673)</f>
        <v>7.1605924883107056E-3</v>
      </c>
    </row>
    <row r="1674" spans="37:39" x14ac:dyDescent="0.25">
      <c r="AK1674" s="21">
        <f>_xll.qlCalendarAdvance(calendar,AK1673,"1D")</f>
        <v>44928</v>
      </c>
      <c r="AL1674" s="21">
        <f>_xll.qlInterestRateIndexValueDate(hiborindex,AK1674)</f>
        <v>44930</v>
      </c>
      <c r="AM1674" s="23">
        <f>_xll.qlIndexFixing(hiborindex,AK1674)</f>
        <v>7.1676782898487121E-3</v>
      </c>
    </row>
    <row r="1675" spans="37:39" x14ac:dyDescent="0.25">
      <c r="AK1675" s="21">
        <f>_xll.qlCalendarAdvance(calendar,AK1674,"1D")</f>
        <v>44929</v>
      </c>
      <c r="AL1675" s="21">
        <f>_xll.qlInterestRateIndexValueDate(hiborindex,AK1675)</f>
        <v>44931</v>
      </c>
      <c r="AM1675" s="23">
        <f>_xll.qlIndexFixing(hiborindex,AK1675)</f>
        <v>7.1747655123393563E-3</v>
      </c>
    </row>
    <row r="1676" spans="37:39" x14ac:dyDescent="0.25">
      <c r="AK1676" s="21">
        <f>_xll.qlCalendarAdvance(calendar,AK1675,"1D")</f>
        <v>44930</v>
      </c>
      <c r="AL1676" s="21">
        <f>_xll.qlInterestRateIndexValueDate(hiborindex,AK1676)</f>
        <v>44932</v>
      </c>
      <c r="AM1676" s="23">
        <f>_xll.qlIndexFixing(hiborindex,AK1676)</f>
        <v>7.1818541557985361E-3</v>
      </c>
    </row>
    <row r="1677" spans="37:39" x14ac:dyDescent="0.25">
      <c r="AK1677" s="21">
        <f>_xll.qlCalendarAdvance(calendar,AK1676,"1D")</f>
        <v>44931</v>
      </c>
      <c r="AL1677" s="21">
        <f>_xll.qlInterestRateIndexValueDate(hiborindex,AK1677)</f>
        <v>44935</v>
      </c>
      <c r="AM1677" s="23">
        <f>_xll.qlIndexFixing(hiborindex,AK1677)</f>
        <v>7.2075486199675168E-3</v>
      </c>
    </row>
    <row r="1678" spans="37:39" x14ac:dyDescent="0.25">
      <c r="AK1678" s="21">
        <f>_xll.qlCalendarAdvance(calendar,AK1677,"1D")</f>
        <v>44932</v>
      </c>
      <c r="AL1678" s="21">
        <f>_xll.qlInterestRateIndexValueDate(hiborindex,AK1678)</f>
        <v>44936</v>
      </c>
      <c r="AM1678" s="23">
        <f>_xll.qlIndexFixing(hiborindex,AK1678)</f>
        <v>7.21022293961519E-3</v>
      </c>
    </row>
    <row r="1679" spans="37:39" x14ac:dyDescent="0.25">
      <c r="AK1679" s="21">
        <f>_xll.qlCalendarAdvance(calendar,AK1678,"1D")</f>
        <v>44935</v>
      </c>
      <c r="AL1679" s="21">
        <f>_xll.qlInterestRateIndexValueDate(hiborindex,AK1679)</f>
        <v>44937</v>
      </c>
      <c r="AM1679" s="23">
        <f>_xll.qlIndexFixing(hiborindex,AK1679)</f>
        <v>7.2173186881387521E-3</v>
      </c>
    </row>
    <row r="1680" spans="37:39" x14ac:dyDescent="0.25">
      <c r="AK1680" s="21">
        <f>_xll.qlCalendarAdvance(calendar,AK1679,"1D")</f>
        <v>44936</v>
      </c>
      <c r="AL1680" s="21">
        <f>_xll.qlInterestRateIndexValueDate(hiborindex,AK1680)</f>
        <v>44938</v>
      </c>
      <c r="AM1680" s="23">
        <f>_xll.qlIndexFixing(hiborindex,AK1680)</f>
        <v>7.2244158577209443E-3</v>
      </c>
    </row>
    <row r="1681" spans="37:39" x14ac:dyDescent="0.25">
      <c r="AK1681" s="21">
        <f>_xll.qlCalendarAdvance(calendar,AK1680,"1D")</f>
        <v>44937</v>
      </c>
      <c r="AL1681" s="21">
        <f>_xll.qlInterestRateIndexValueDate(hiborindex,AK1681)</f>
        <v>44939</v>
      </c>
      <c r="AM1681" s="23">
        <f>_xll.qlIndexFixing(hiborindex,AK1681)</f>
        <v>7.2315144483758986E-3</v>
      </c>
    </row>
    <row r="1682" spans="37:39" x14ac:dyDescent="0.25">
      <c r="AK1682" s="21">
        <f>_xll.qlCalendarAdvance(calendar,AK1681,"1D")</f>
        <v>44938</v>
      </c>
      <c r="AL1682" s="21">
        <f>_xll.qlInterestRateIndexValueDate(hiborindex,AK1682)</f>
        <v>44942</v>
      </c>
      <c r="AM1682" s="23">
        <f>_xll.qlIndexFixing(hiborindex,AK1682)</f>
        <v>7.25718023903703E-3</v>
      </c>
    </row>
    <row r="1683" spans="37:39" x14ac:dyDescent="0.25">
      <c r="AK1683" s="21">
        <f>_xll.qlCalendarAdvance(calendar,AK1682,"1D")</f>
        <v>44939</v>
      </c>
      <c r="AL1683" s="21">
        <f>_xll.qlInterestRateIndexValueDate(hiborindex,AK1683)</f>
        <v>44943</v>
      </c>
      <c r="AM1683" s="23">
        <f>_xll.qlIndexFixing(hiborindex,AK1683)</f>
        <v>7.2599230220227679E-3</v>
      </c>
    </row>
    <row r="1684" spans="37:39" x14ac:dyDescent="0.25">
      <c r="AK1684" s="21">
        <f>_xll.qlCalendarAdvance(calendar,AK1683,"1D")</f>
        <v>44942</v>
      </c>
      <c r="AL1684" s="21">
        <f>_xll.qlInterestRateIndexValueDate(hiborindex,AK1684)</f>
        <v>44944</v>
      </c>
      <c r="AM1684" s="23">
        <f>_xll.qlIndexFixing(hiborindex,AK1684)</f>
        <v>7.2670287182667673E-3</v>
      </c>
    </row>
    <row r="1685" spans="37:39" x14ac:dyDescent="0.25">
      <c r="AK1685" s="21">
        <f>_xll.qlCalendarAdvance(calendar,AK1684,"1D")</f>
        <v>44943</v>
      </c>
      <c r="AL1685" s="21">
        <f>_xll.qlInterestRateIndexValueDate(hiborindex,AK1685)</f>
        <v>44945</v>
      </c>
      <c r="AM1685" s="23">
        <f>_xll.qlIndexFixing(hiborindex,AK1685)</f>
        <v>7.274135835673181E-3</v>
      </c>
    </row>
    <row r="1686" spans="37:39" x14ac:dyDescent="0.25">
      <c r="AK1686" s="21">
        <f>_xll.qlCalendarAdvance(calendar,AK1685,"1D")</f>
        <v>44944</v>
      </c>
      <c r="AL1686" s="21">
        <f>_xll.qlInterestRateIndexValueDate(hiborindex,AK1686)</f>
        <v>44946</v>
      </c>
      <c r="AM1686" s="23">
        <f>_xll.qlIndexFixing(hiborindex,AK1686)</f>
        <v>7.2812443742579086E-3</v>
      </c>
    </row>
    <row r="1687" spans="37:39" x14ac:dyDescent="0.25">
      <c r="AK1687" s="21">
        <f>_xll.qlCalendarAdvance(calendar,AK1686,"1D")</f>
        <v>44945</v>
      </c>
      <c r="AL1687" s="21">
        <f>_xll.qlInterestRateIndexValueDate(hiborindex,AK1687)</f>
        <v>44949</v>
      </c>
      <c r="AM1687" s="23">
        <f>_xll.qlIndexFixing(hiborindex,AK1687)</f>
        <v>7.3068811231991049E-3</v>
      </c>
    </row>
    <row r="1688" spans="37:39" x14ac:dyDescent="0.25">
      <c r="AK1688" s="21">
        <f>_xll.qlCalendarAdvance(calendar,AK1687,"1D")</f>
        <v>44946</v>
      </c>
      <c r="AL1688" s="21">
        <f>_xll.qlInterestRateIndexValueDate(hiborindex,AK1688)</f>
        <v>44950</v>
      </c>
      <c r="AM1688" s="23">
        <f>_xll.qlIndexFixing(hiborindex,AK1688)</f>
        <v>7.3096927406740781E-3</v>
      </c>
    </row>
    <row r="1689" spans="37:39" x14ac:dyDescent="0.25">
      <c r="AK1689" s="21">
        <f>_xll.qlCalendarAdvance(calendar,AK1688,"1D")</f>
        <v>44949</v>
      </c>
      <c r="AL1689" s="21">
        <f>_xll.qlInterestRateIndexValueDate(hiborindex,AK1689)</f>
        <v>44951</v>
      </c>
      <c r="AM1689" s="23">
        <f>_xll.qlIndexFixing(hiborindex,AK1689)</f>
        <v>7.3168083853725136E-3</v>
      </c>
    </row>
    <row r="1690" spans="37:39" x14ac:dyDescent="0.25">
      <c r="AK1690" s="21">
        <f>_xll.qlCalendarAdvance(calendar,AK1689,"1D")</f>
        <v>44950</v>
      </c>
      <c r="AL1690" s="21">
        <f>_xll.qlInterestRateIndexValueDate(hiborindex,AK1690)</f>
        <v>44952</v>
      </c>
      <c r="AM1690" s="23">
        <f>_xll.qlIndexFixing(hiborindex,AK1690)</f>
        <v>7.3239254513389144E-3</v>
      </c>
    </row>
    <row r="1691" spans="37:39" x14ac:dyDescent="0.25">
      <c r="AK1691" s="21">
        <f>_xll.qlCalendarAdvance(calendar,AK1690,"1D")</f>
        <v>44951</v>
      </c>
      <c r="AL1691" s="21">
        <f>_xll.qlInterestRateIndexValueDate(hiborindex,AK1691)</f>
        <v>44953</v>
      </c>
      <c r="AM1691" s="23">
        <f>_xll.qlIndexFixing(hiborindex,AK1691)</f>
        <v>7.3310439385882963E-3</v>
      </c>
    </row>
    <row r="1692" spans="37:39" x14ac:dyDescent="0.25">
      <c r="AK1692" s="21">
        <f>_xll.qlCalendarAdvance(calendar,AK1691,"1D")</f>
        <v>44952</v>
      </c>
      <c r="AL1692" s="21">
        <f>_xll.qlInterestRateIndexValueDate(hiborindex,AK1692)</f>
        <v>44956</v>
      </c>
      <c r="AM1692" s="23">
        <f>_xll.qlIndexFixing(hiborindex,AK1692)</f>
        <v>7.3566512775946856E-3</v>
      </c>
    </row>
    <row r="1693" spans="37:39" x14ac:dyDescent="0.25">
      <c r="AK1693" s="21">
        <f>_xll.qlCalendarAdvance(calendar,AK1692,"1D")</f>
        <v>44953</v>
      </c>
      <c r="AL1693" s="21">
        <f>_xll.qlInterestRateIndexValueDate(hiborindex,AK1693)</f>
        <v>44957</v>
      </c>
      <c r="AM1693" s="23">
        <f>_xll.qlIndexFixing(hiborindex,AK1693)</f>
        <v>7.3595321007146183E-3</v>
      </c>
    </row>
    <row r="1694" spans="37:39" x14ac:dyDescent="0.25">
      <c r="AK1694" s="21">
        <f>_xll.qlCalendarAdvance(calendar,AK1693,"1D")</f>
        <v>44956</v>
      </c>
      <c r="AL1694" s="21">
        <f>_xll.qlInterestRateIndexValueDate(hiborindex,AK1694)</f>
        <v>44958</v>
      </c>
      <c r="AM1694" s="23">
        <f>_xll.qlIndexFixing(hiborindex,AK1694)</f>
        <v>7.3666576946041385E-3</v>
      </c>
    </row>
    <row r="1695" spans="37:39" x14ac:dyDescent="0.25">
      <c r="AK1695" s="21">
        <f>_xll.qlCalendarAdvance(calendar,AK1694,"1D")</f>
        <v>44957</v>
      </c>
      <c r="AL1695" s="21">
        <f>_xll.qlInterestRateIndexValueDate(hiborindex,AK1695)</f>
        <v>44959</v>
      </c>
      <c r="AM1695" s="23">
        <f>_xll.qlIndexFixing(hiborindex,AK1695)</f>
        <v>7.3737847098662912E-3</v>
      </c>
    </row>
    <row r="1696" spans="37:39" x14ac:dyDescent="0.25">
      <c r="AK1696" s="21">
        <f>_xll.qlCalendarAdvance(calendar,AK1695,"1D")</f>
        <v>44958</v>
      </c>
      <c r="AL1696" s="21">
        <f>_xll.qlInterestRateIndexValueDate(hiborindex,AK1696)</f>
        <v>44960</v>
      </c>
      <c r="AM1696" s="23">
        <f>_xll.qlIndexFixing(hiborindex,AK1696)</f>
        <v>7.3809131465165335E-3</v>
      </c>
    </row>
    <row r="1697" spans="37:39" x14ac:dyDescent="0.25">
      <c r="AK1697" s="21">
        <f>_xll.qlCalendarAdvance(calendar,AK1696,"1D")</f>
        <v>44959</v>
      </c>
      <c r="AL1697" s="21">
        <f>_xll.qlInterestRateIndexValueDate(hiborindex,AK1697)</f>
        <v>44963</v>
      </c>
      <c r="AM1697" s="23">
        <f>_xll.qlIndexFixing(hiborindex,AK1697)</f>
        <v>7.4064907073704243E-3</v>
      </c>
    </row>
    <row r="1698" spans="37:39" x14ac:dyDescent="0.25">
      <c r="AK1698" s="21">
        <f>_xll.qlCalendarAdvance(calendar,AK1697,"1D")</f>
        <v>44960</v>
      </c>
      <c r="AL1698" s="21">
        <f>_xll.qlInterestRateIndexValueDate(hiborindex,AK1698)</f>
        <v>44964</v>
      </c>
      <c r="AM1698" s="23">
        <f>_xll.qlIndexFixing(hiborindex,AK1698)</f>
        <v>7.4094411072996016E-3</v>
      </c>
    </row>
    <row r="1699" spans="37:39" x14ac:dyDescent="0.25">
      <c r="AK1699" s="21">
        <f>_xll.qlCalendarAdvance(calendar,AK1698,"1D")</f>
        <v>44963</v>
      </c>
      <c r="AL1699" s="21">
        <f>_xll.qlInterestRateIndexValueDate(hiborindex,AK1699)</f>
        <v>44965</v>
      </c>
      <c r="AM1699" s="23">
        <f>_xll.qlIndexFixing(hiborindex,AK1699)</f>
        <v>7.4165766511164128E-3</v>
      </c>
    </row>
    <row r="1700" spans="37:39" x14ac:dyDescent="0.25">
      <c r="AK1700" s="21">
        <f>_xll.qlCalendarAdvance(calendar,AK1699,"1D")</f>
        <v>44964</v>
      </c>
      <c r="AL1700" s="21">
        <f>_xll.qlInterestRateIndexValueDate(hiborindex,AK1700)</f>
        <v>44966</v>
      </c>
      <c r="AM1700" s="23">
        <f>_xll.qlIndexFixing(hiborindex,AK1700)</f>
        <v>7.4237136164114073E-3</v>
      </c>
    </row>
    <row r="1701" spans="37:39" x14ac:dyDescent="0.25">
      <c r="AK1701" s="21">
        <f>_xll.qlCalendarAdvance(calendar,AK1700,"1D")</f>
        <v>44965</v>
      </c>
      <c r="AL1701" s="21">
        <f>_xll.qlInterestRateIndexValueDate(hiborindex,AK1701)</f>
        <v>44967</v>
      </c>
      <c r="AM1701" s="23">
        <f>_xll.qlIndexFixing(hiborindex,AK1701)</f>
        <v>7.4308520032000426E-3</v>
      </c>
    </row>
    <row r="1702" spans="37:39" x14ac:dyDescent="0.25">
      <c r="AK1702" s="21">
        <f>_xll.qlCalendarAdvance(calendar,AK1701,"1D")</f>
        <v>44966</v>
      </c>
      <c r="AL1702" s="21">
        <f>_xll.qlInterestRateIndexValueDate(hiborindex,AK1702)</f>
        <v>44970</v>
      </c>
      <c r="AM1702" s="23">
        <f>_xll.qlIndexFixing(hiborindex,AK1702)</f>
        <v>7.4563994176808784E-3</v>
      </c>
    </row>
    <row r="1703" spans="37:39" x14ac:dyDescent="0.25">
      <c r="AK1703" s="21">
        <f>_xll.qlCalendarAdvance(calendar,AK1702,"1D")</f>
        <v>44967</v>
      </c>
      <c r="AL1703" s="21">
        <f>_xll.qlInterestRateIndexValueDate(hiborindex,AK1703)</f>
        <v>44971</v>
      </c>
      <c r="AM1703" s="23">
        <f>_xll.qlIndexFixing(hiborindex,AK1703)</f>
        <v>7.4594197655904245E-3</v>
      </c>
    </row>
    <row r="1704" spans="37:39" x14ac:dyDescent="0.25">
      <c r="AK1704" s="21">
        <f>_xll.qlCalendarAdvance(calendar,AK1703,"1D")</f>
        <v>44970</v>
      </c>
      <c r="AL1704" s="21">
        <f>_xll.qlInterestRateIndexValueDate(hiborindex,AK1704)</f>
        <v>44972</v>
      </c>
      <c r="AM1704" s="23">
        <f>_xll.qlIndexFixing(hiborindex,AK1704)</f>
        <v>7.4665652600720582E-3</v>
      </c>
    </row>
    <row r="1705" spans="37:39" x14ac:dyDescent="0.25">
      <c r="AK1705" s="21">
        <f>_xll.qlCalendarAdvance(calendar,AK1704,"1D")</f>
        <v>44971</v>
      </c>
      <c r="AL1705" s="21">
        <f>_xll.qlInterestRateIndexValueDate(hiborindex,AK1705)</f>
        <v>44973</v>
      </c>
      <c r="AM1705" s="23">
        <f>_xll.qlIndexFixing(hiborindex,AK1705)</f>
        <v>7.4737121761383092E-3</v>
      </c>
    </row>
    <row r="1706" spans="37:39" x14ac:dyDescent="0.25">
      <c r="AK1706" s="21">
        <f>_xll.qlCalendarAdvance(calendar,AK1705,"1D")</f>
        <v>44972</v>
      </c>
      <c r="AL1706" s="21">
        <f>_xll.qlInterestRateIndexValueDate(hiborindex,AK1706)</f>
        <v>44974</v>
      </c>
      <c r="AM1706" s="23">
        <f>_xll.qlIndexFixing(hiborindex,AK1706)</f>
        <v>7.4808605138028698E-3</v>
      </c>
    </row>
    <row r="1707" spans="37:39" x14ac:dyDescent="0.25">
      <c r="AK1707" s="21">
        <f>_xll.qlCalendarAdvance(calendar,AK1706,"1D")</f>
        <v>44973</v>
      </c>
      <c r="AL1707" s="21">
        <f>_xll.qlInterestRateIndexValueDate(hiborindex,AK1707)</f>
        <v>44977</v>
      </c>
      <c r="AM1707" s="23">
        <f>_xll.qlIndexFixing(hiborindex,AK1707)</f>
        <v>7.5063774136876335E-3</v>
      </c>
    </row>
    <row r="1708" spans="37:39" x14ac:dyDescent="0.25">
      <c r="AK1708" s="21">
        <f>_xll.qlCalendarAdvance(calendar,AK1707,"1D")</f>
        <v>44974</v>
      </c>
      <c r="AL1708" s="21">
        <f>_xll.qlInterestRateIndexValueDate(hiborindex,AK1708)</f>
        <v>44978</v>
      </c>
      <c r="AM1708" s="23">
        <f>_xll.qlIndexFixing(hiborindex,AK1708)</f>
        <v>7.509468080754666E-3</v>
      </c>
    </row>
    <row r="1709" spans="37:39" x14ac:dyDescent="0.25">
      <c r="AK1709" s="21">
        <f>_xll.qlCalendarAdvance(calendar,AK1708,"1D")</f>
        <v>44977</v>
      </c>
      <c r="AL1709" s="21">
        <f>_xll.qlInterestRateIndexValueDate(hiborindex,AK1709)</f>
        <v>44979</v>
      </c>
      <c r="AM1709" s="23">
        <f>_xll.qlIndexFixing(hiborindex,AK1709)</f>
        <v>7.5166235266408621E-3</v>
      </c>
    </row>
    <row r="1710" spans="37:39" x14ac:dyDescent="0.25">
      <c r="AK1710" s="21">
        <f>_xll.qlCalendarAdvance(calendar,AK1709,"1D")</f>
        <v>44978</v>
      </c>
      <c r="AL1710" s="21">
        <f>_xll.qlInterestRateIndexValueDate(hiborindex,AK1710)</f>
        <v>44980</v>
      </c>
      <c r="AM1710" s="23">
        <f>_xll.qlIndexFixing(hiborindex,AK1710)</f>
        <v>7.523780394216785E-3</v>
      </c>
    </row>
    <row r="1711" spans="37:39" x14ac:dyDescent="0.25">
      <c r="AK1711" s="21">
        <f>_xll.qlCalendarAdvance(calendar,AK1710,"1D")</f>
        <v>44979</v>
      </c>
      <c r="AL1711" s="21">
        <f>_xll.qlInterestRateIndexValueDate(hiborindex,AK1711)</f>
        <v>44981</v>
      </c>
      <c r="AM1711" s="23">
        <f>_xll.qlIndexFixing(hiborindex,AK1711)</f>
        <v>7.5309386834974505E-3</v>
      </c>
    </row>
    <row r="1712" spans="37:39" x14ac:dyDescent="0.25">
      <c r="AK1712" s="21">
        <f>_xll.qlCalendarAdvance(calendar,AK1711,"1D")</f>
        <v>44980</v>
      </c>
      <c r="AL1712" s="21">
        <f>_xll.qlInterestRateIndexValueDate(hiborindex,AK1712)</f>
        <v>44984</v>
      </c>
      <c r="AM1712" s="23">
        <f>_xll.qlIndexFixing(hiborindex,AK1712)</f>
        <v>7.5564247005593032E-3</v>
      </c>
    </row>
    <row r="1713" spans="37:39" x14ac:dyDescent="0.25">
      <c r="AK1713" s="21">
        <f>_xll.qlCalendarAdvance(calendar,AK1712,"1D")</f>
        <v>44981</v>
      </c>
      <c r="AL1713" s="21">
        <f>_xll.qlInterestRateIndexValueDate(hiborindex,AK1713)</f>
        <v>44985</v>
      </c>
      <c r="AM1713" s="23">
        <f>_xll.qlIndexFixing(hiborindex,AK1713)</f>
        <v>7.571531141075648E-3</v>
      </c>
    </row>
    <row r="1714" spans="37:39" x14ac:dyDescent="0.25">
      <c r="AK1714" s="21">
        <f>_xll.qlCalendarAdvance(calendar,AK1713,"1D")</f>
        <v>44984</v>
      </c>
      <c r="AL1714" s="21">
        <f>_xll.qlInterestRateIndexValueDate(hiborindex,AK1714)</f>
        <v>44986</v>
      </c>
      <c r="AM1714" s="23">
        <f>_xll.qlIndexFixing(hiborindex,AK1714)</f>
        <v>7.578670683667992E-3</v>
      </c>
    </row>
    <row r="1715" spans="37:39" x14ac:dyDescent="0.25">
      <c r="AK1715" s="21">
        <f>_xll.qlCalendarAdvance(calendar,AK1714,"1D")</f>
        <v>44985</v>
      </c>
      <c r="AL1715" s="21">
        <f>_xll.qlInterestRateIndexValueDate(hiborindex,AK1715)</f>
        <v>44987</v>
      </c>
      <c r="AM1715" s="23">
        <f>_xll.qlIndexFixing(hiborindex,AK1715)</f>
        <v>7.5936817083367371E-3</v>
      </c>
    </row>
    <row r="1716" spans="37:39" x14ac:dyDescent="0.25">
      <c r="AK1716" s="21">
        <f>_xll.qlCalendarAdvance(calendar,AK1715,"1D")</f>
        <v>44986</v>
      </c>
      <c r="AL1716" s="21">
        <f>_xll.qlInterestRateIndexValueDate(hiborindex,AK1716)</f>
        <v>44988</v>
      </c>
      <c r="AM1716" s="23">
        <f>_xll.qlIndexFixing(hiborindex,AK1716)</f>
        <v>7.5968863176827149E-3</v>
      </c>
    </row>
    <row r="1717" spans="37:39" x14ac:dyDescent="0.25">
      <c r="AK1717" s="21">
        <f>_xll.qlCalendarAdvance(calendar,AK1716,"1D")</f>
        <v>44987</v>
      </c>
      <c r="AL1717" s="21">
        <f>_xll.qlInterestRateIndexValueDate(hiborindex,AK1717)</f>
        <v>44991</v>
      </c>
      <c r="AM1717" s="23">
        <f>_xll.qlIndexFixing(hiborindex,AK1717)</f>
        <v>7.6143893873910178E-3</v>
      </c>
    </row>
    <row r="1718" spans="37:39" x14ac:dyDescent="0.25">
      <c r="AK1718" s="21">
        <f>_xll.qlCalendarAdvance(calendar,AK1717,"1D")</f>
        <v>44988</v>
      </c>
      <c r="AL1718" s="21">
        <f>_xll.qlInterestRateIndexValueDate(hiborindex,AK1718)</f>
        <v>44992</v>
      </c>
      <c r="AM1718" s="23">
        <f>_xll.qlIndexFixing(hiborindex,AK1718)</f>
        <v>7.6215373263938853E-3</v>
      </c>
    </row>
    <row r="1719" spans="37:39" x14ac:dyDescent="0.25">
      <c r="AK1719" s="21">
        <f>_xll.qlCalendarAdvance(calendar,AK1718,"1D")</f>
        <v>44991</v>
      </c>
      <c r="AL1719" s="21">
        <f>_xll.qlInterestRateIndexValueDate(hiborindex,AK1719)</f>
        <v>44993</v>
      </c>
      <c r="AM1719" s="23">
        <f>_xll.qlIndexFixing(hiborindex,AK1719)</f>
        <v>7.6286866648507838E-3</v>
      </c>
    </row>
    <row r="1720" spans="37:39" x14ac:dyDescent="0.25">
      <c r="AK1720" s="21">
        <f>_xll.qlCalendarAdvance(calendar,AK1719,"1D")</f>
        <v>44992</v>
      </c>
      <c r="AL1720" s="21">
        <f>_xll.qlInterestRateIndexValueDate(hiborindex,AK1720)</f>
        <v>44994</v>
      </c>
      <c r="AM1720" s="23">
        <f>_xll.qlIndexFixing(hiborindex,AK1720)</f>
        <v>7.643589613026117E-3</v>
      </c>
    </row>
    <row r="1721" spans="37:39" x14ac:dyDescent="0.25">
      <c r="AK1721" s="21">
        <f>_xll.qlCalendarAdvance(calendar,AK1720,"1D")</f>
        <v>44993</v>
      </c>
      <c r="AL1721" s="21">
        <f>_xll.qlInterestRateIndexValueDate(hiborindex,AK1721)</f>
        <v>44995</v>
      </c>
      <c r="AM1721" s="23">
        <f>_xll.qlIndexFixing(hiborindex,AK1721)</f>
        <v>7.646862579669002E-3</v>
      </c>
    </row>
    <row r="1722" spans="37:39" x14ac:dyDescent="0.25">
      <c r="AK1722" s="21">
        <f>_xll.qlCalendarAdvance(calendar,AK1721,"1D")</f>
        <v>44994</v>
      </c>
      <c r="AL1722" s="21">
        <f>_xll.qlInterestRateIndexValueDate(hiborindex,AK1722)</f>
        <v>44998</v>
      </c>
      <c r="AM1722" s="23">
        <f>_xll.qlIndexFixing(hiborindex,AK1722)</f>
        <v>7.6644543494822689E-3</v>
      </c>
    </row>
    <row r="1723" spans="37:39" x14ac:dyDescent="0.25">
      <c r="AK1723" s="21">
        <f>_xll.qlCalendarAdvance(calendar,AK1722,"1D")</f>
        <v>44995</v>
      </c>
      <c r="AL1723" s="21">
        <f>_xll.qlInterestRateIndexValueDate(hiborindex,AK1723)</f>
        <v>44999</v>
      </c>
      <c r="AM1723" s="23">
        <f>_xll.qlIndexFixing(hiborindex,AK1723)</f>
        <v>7.6716120849830973E-3</v>
      </c>
    </row>
    <row r="1724" spans="37:39" x14ac:dyDescent="0.25">
      <c r="AK1724" s="21">
        <f>_xll.qlCalendarAdvance(calendar,AK1723,"1D")</f>
        <v>44998</v>
      </c>
      <c r="AL1724" s="21">
        <f>_xll.qlInterestRateIndexValueDate(hiborindex,AK1724)</f>
        <v>45000</v>
      </c>
      <c r="AM1724" s="23">
        <f>_xll.qlIndexFixing(hiborindex,AK1724)</f>
        <v>7.6787712200448279E-3</v>
      </c>
    </row>
    <row r="1725" spans="37:39" x14ac:dyDescent="0.25">
      <c r="AK1725" s="21">
        <f>_xll.qlCalendarAdvance(calendar,AK1724,"1D")</f>
        <v>44999</v>
      </c>
      <c r="AL1725" s="21">
        <f>_xll.qlInterestRateIndexValueDate(hiborindex,AK1725)</f>
        <v>45001</v>
      </c>
      <c r="AM1725" s="23">
        <f>_xll.qlIndexFixing(hiborindex,AK1725)</f>
        <v>7.6935653796247078E-3</v>
      </c>
    </row>
    <row r="1726" spans="37:39" x14ac:dyDescent="0.25">
      <c r="AK1726" s="21">
        <f>_xll.qlCalendarAdvance(calendar,AK1725,"1D")</f>
        <v>45000</v>
      </c>
      <c r="AL1726" s="21">
        <f>_xll.qlInterestRateIndexValueDate(hiborindex,AK1726)</f>
        <v>45002</v>
      </c>
      <c r="AM1726" s="23">
        <f>_xll.qlIndexFixing(hiborindex,AK1726)</f>
        <v>7.6969070587741611E-3</v>
      </c>
    </row>
    <row r="1727" spans="37:39" x14ac:dyDescent="0.25">
      <c r="AK1727" s="21">
        <f>_xll.qlCalendarAdvance(calendar,AK1726,"1D")</f>
        <v>45001</v>
      </c>
      <c r="AL1727" s="21">
        <f>_xll.qlInterestRateIndexValueDate(hiborindex,AK1727)</f>
        <v>45005</v>
      </c>
      <c r="AM1727" s="23">
        <f>_xll.qlIndexFixing(hiborindex,AK1727)</f>
        <v>7.7145878892839878E-3</v>
      </c>
    </row>
    <row r="1728" spans="37:39" x14ac:dyDescent="0.25">
      <c r="AK1728" s="21">
        <f>_xll.qlCalendarAdvance(calendar,AK1727,"1D")</f>
        <v>45002</v>
      </c>
      <c r="AL1728" s="21">
        <f>_xll.qlInterestRateIndexValueDate(hiborindex,AK1728)</f>
        <v>45006</v>
      </c>
      <c r="AM1728" s="23">
        <f>_xll.qlIndexFixing(hiborindex,AK1728)</f>
        <v>7.7217554220243576E-3</v>
      </c>
    </row>
    <row r="1729" spans="37:39" x14ac:dyDescent="0.25">
      <c r="AK1729" s="21">
        <f>_xll.qlCalendarAdvance(calendar,AK1728,"1D")</f>
        <v>45005</v>
      </c>
      <c r="AL1729" s="21">
        <f>_xll.qlInterestRateIndexValueDate(hiborindex,AK1729)</f>
        <v>45007</v>
      </c>
      <c r="AM1729" s="23">
        <f>_xll.qlIndexFixing(hiborindex,AK1729)</f>
        <v>7.7289243544303278E-3</v>
      </c>
    </row>
    <row r="1730" spans="37:39" x14ac:dyDescent="0.25">
      <c r="AK1730" s="21">
        <f>_xll.qlCalendarAdvance(calendar,AK1729,"1D")</f>
        <v>45006</v>
      </c>
      <c r="AL1730" s="21">
        <f>_xll.qlInterestRateIndexValueDate(hiborindex,AK1730)</f>
        <v>45008</v>
      </c>
      <c r="AM1730" s="23">
        <f>_xll.qlIndexFixing(hiborindex,AK1730)</f>
        <v>7.743609013302997E-3</v>
      </c>
    </row>
    <row r="1731" spans="37:39" x14ac:dyDescent="0.25">
      <c r="AK1731" s="21">
        <f>_xll.qlCalendarAdvance(calendar,AK1730,"1D")</f>
        <v>45007</v>
      </c>
      <c r="AL1731" s="21">
        <f>_xll.qlInterestRateIndexValueDate(hiborindex,AK1731)</f>
        <v>45009</v>
      </c>
      <c r="AM1731" s="23">
        <f>_xll.qlIndexFixing(hiborindex,AK1731)</f>
        <v>7.7470197601754573E-3</v>
      </c>
    </row>
    <row r="1732" spans="37:39" x14ac:dyDescent="0.25">
      <c r="AK1732" s="21">
        <f>_xll.qlCalendarAdvance(calendar,AK1731,"1D")</f>
        <v>45008</v>
      </c>
      <c r="AL1732" s="21">
        <f>_xll.qlInterestRateIndexValueDate(hiborindex,AK1732)</f>
        <v>45012</v>
      </c>
      <c r="AM1732" s="23">
        <f>_xll.qlIndexFixing(hiborindex,AK1732)</f>
        <v>7.764790011982459E-3</v>
      </c>
    </row>
    <row r="1733" spans="37:39" x14ac:dyDescent="0.25">
      <c r="AK1733" s="21">
        <f>_xll.qlCalendarAdvance(calendar,AK1732,"1D")</f>
        <v>45009</v>
      </c>
      <c r="AL1733" s="21">
        <f>_xll.qlInterestRateIndexValueDate(hiborindex,AK1733)</f>
        <v>45013</v>
      </c>
      <c r="AM1733" s="23">
        <f>_xll.qlIndexFixing(hiborindex,AK1733)</f>
        <v>7.7719673427030815E-3</v>
      </c>
    </row>
    <row r="1734" spans="37:39" x14ac:dyDescent="0.25">
      <c r="AK1734" s="21">
        <f>_xll.qlCalendarAdvance(calendar,AK1733,"1D")</f>
        <v>45012</v>
      </c>
      <c r="AL1734" s="21">
        <f>_xll.qlInterestRateIndexValueDate(hiborindex,AK1734)</f>
        <v>45014</v>
      </c>
      <c r="AM1734" s="23">
        <f>_xll.qlIndexFixing(hiborindex,AK1734)</f>
        <v>7.7791460731957427E-3</v>
      </c>
    </row>
    <row r="1735" spans="37:39" x14ac:dyDescent="0.25">
      <c r="AK1735" s="21">
        <f>_xll.qlCalendarAdvance(calendar,AK1734,"1D")</f>
        <v>45013</v>
      </c>
      <c r="AL1735" s="21">
        <f>_xll.qlInterestRateIndexValueDate(hiborindex,AK1735)</f>
        <v>45015</v>
      </c>
      <c r="AM1735" s="23">
        <f>_xll.qlIndexFixing(hiborindex,AK1735)</f>
        <v>7.7826155591059496E-3</v>
      </c>
    </row>
    <row r="1736" spans="37:39" x14ac:dyDescent="0.25">
      <c r="AK1736" s="21">
        <f>_xll.qlCalendarAdvance(calendar,AK1735,"1D")</f>
        <v>45014</v>
      </c>
      <c r="AL1736" s="21">
        <f>_xll.qlInterestRateIndexValueDate(hiborindex,AK1736)</f>
        <v>45016</v>
      </c>
      <c r="AM1736" s="23">
        <f>_xll.qlIndexFixing(hiborindex,AK1736)</f>
        <v>7.786094840216101E-3</v>
      </c>
    </row>
    <row r="1737" spans="37:39" x14ac:dyDescent="0.25">
      <c r="AK1737" s="21">
        <f>_xll.qlCalendarAdvance(calendar,AK1736,"1D")</f>
        <v>45015</v>
      </c>
      <c r="AL1737" s="21">
        <f>_xll.qlInterestRateIndexValueDate(hiborindex,AK1737)</f>
        <v>45019</v>
      </c>
      <c r="AM1737" s="23">
        <f>_xll.qlIndexFixing(hiborindex,AK1737)</f>
        <v>7.8113851012652389E-3</v>
      </c>
    </row>
    <row r="1738" spans="37:39" x14ac:dyDescent="0.25">
      <c r="AK1738" s="21">
        <f>_xll.qlCalendarAdvance(calendar,AK1737,"1D")</f>
        <v>45016</v>
      </c>
      <c r="AL1738" s="21">
        <f>_xll.qlInterestRateIndexValueDate(hiborindex,AK1738)</f>
        <v>45020</v>
      </c>
      <c r="AM1738" s="23">
        <f>_xll.qlIndexFixing(hiborindex,AK1738)</f>
        <v>7.8185810049117427E-3</v>
      </c>
    </row>
    <row r="1739" spans="37:39" x14ac:dyDescent="0.25">
      <c r="AK1739" s="21">
        <f>_xll.qlCalendarAdvance(calendar,AK1738,"1D")</f>
        <v>45019</v>
      </c>
      <c r="AL1739" s="21">
        <f>_xll.qlInterestRateIndexValueDate(hiborindex,AK1739)</f>
        <v>45021</v>
      </c>
      <c r="AM1739" s="23">
        <f>_xll.qlIndexFixing(hiborindex,AK1739)</f>
        <v>7.8257783158321055E-3</v>
      </c>
    </row>
    <row r="1740" spans="37:39" x14ac:dyDescent="0.25">
      <c r="AK1740" s="21">
        <f>_xll.qlCalendarAdvance(calendar,AK1739,"1D")</f>
        <v>45020</v>
      </c>
      <c r="AL1740" s="21">
        <f>_xll.qlInterestRateIndexValueDate(hiborindex,AK1740)</f>
        <v>45022</v>
      </c>
      <c r="AM1740" s="23">
        <f>_xll.qlIndexFixing(hiborindex,AK1740)</f>
        <v>7.8329770340411792E-3</v>
      </c>
    </row>
    <row r="1741" spans="37:39" x14ac:dyDescent="0.25">
      <c r="AK1741" s="21">
        <f>_xll.qlCalendarAdvance(calendar,AK1740,"1D")</f>
        <v>45021</v>
      </c>
      <c r="AL1741" s="21">
        <f>_xll.qlInterestRateIndexValueDate(hiborindex,AK1741)</f>
        <v>45027</v>
      </c>
      <c r="AM1741" s="23">
        <f>_xll.qlIndexFixing(hiborindex,AK1741)</f>
        <v>7.8689917349431485E-3</v>
      </c>
    </row>
    <row r="1742" spans="37:39" x14ac:dyDescent="0.25">
      <c r="AK1742" s="21">
        <f>_xll.qlCalendarAdvance(calendar,AK1741,"1D")</f>
        <v>45022</v>
      </c>
      <c r="AL1742" s="21">
        <f>_xll.qlInterestRateIndexValueDate(hiborindex,AK1742)</f>
        <v>45028</v>
      </c>
      <c r="AM1742" s="23">
        <f>_xll.qlIndexFixing(hiborindex,AK1742)</f>
        <v>7.8761988972011806E-3</v>
      </c>
    </row>
    <row r="1743" spans="37:39" x14ac:dyDescent="0.25">
      <c r="AK1743" s="21">
        <f>_xll.qlCalendarAdvance(calendar,AK1742,"1D")</f>
        <v>45027</v>
      </c>
      <c r="AL1743" s="21">
        <f>_xll.qlInterestRateIndexValueDate(hiborindex,AK1743)</f>
        <v>45029</v>
      </c>
      <c r="AM1743" s="23">
        <f>_xll.qlIndexFixing(hiborindex,AK1743)</f>
        <v>7.8834074668549421E-3</v>
      </c>
    </row>
    <row r="1744" spans="37:39" x14ac:dyDescent="0.25">
      <c r="AK1744" s="21">
        <f>_xll.qlCalendarAdvance(calendar,AK1743,"1D")</f>
        <v>45028</v>
      </c>
      <c r="AL1744" s="21">
        <f>_xll.qlInterestRateIndexValueDate(hiborindex,AK1744)</f>
        <v>45030</v>
      </c>
      <c r="AM1744" s="23">
        <f>_xll.qlIndexFixing(hiborindex,AK1744)</f>
        <v>7.8977672500316412E-3</v>
      </c>
    </row>
    <row r="1745" spans="37:39" x14ac:dyDescent="0.25">
      <c r="AK1745" s="21">
        <f>_xll.qlCalendarAdvance(calendar,AK1744,"1D")</f>
        <v>45029</v>
      </c>
      <c r="AL1745" s="21">
        <f>_xll.qlInterestRateIndexValueDate(hiborindex,AK1745)</f>
        <v>45033</v>
      </c>
      <c r="AM1745" s="23">
        <f>_xll.qlIndexFixing(hiborindex,AK1745)</f>
        <v>7.9122558197221374E-3</v>
      </c>
    </row>
    <row r="1746" spans="37:39" x14ac:dyDescent="0.25">
      <c r="AK1746" s="21">
        <f>_xll.qlCalendarAdvance(calendar,AK1745,"1D")</f>
        <v>45030</v>
      </c>
      <c r="AL1746" s="21">
        <f>_xll.qlInterestRateIndexValueDate(hiborindex,AK1746)</f>
        <v>45034</v>
      </c>
      <c r="AM1746" s="23">
        <f>_xll.qlIndexFixing(hiborindex,AK1746)</f>
        <v>7.9194714265786326E-3</v>
      </c>
    </row>
    <row r="1747" spans="37:39" x14ac:dyDescent="0.25">
      <c r="AK1747" s="21">
        <f>_xll.qlCalendarAdvance(calendar,AK1746,"1D")</f>
        <v>45033</v>
      </c>
      <c r="AL1747" s="21">
        <f>_xll.qlInterestRateIndexValueDate(hiborindex,AK1747)</f>
        <v>45035</v>
      </c>
      <c r="AM1747" s="23">
        <f>_xll.qlIndexFixing(hiborindex,AK1747)</f>
        <v>7.9266884409208409E-3</v>
      </c>
    </row>
    <row r="1748" spans="37:39" x14ac:dyDescent="0.25">
      <c r="AK1748" s="21">
        <f>_xll.qlCalendarAdvance(calendar,AK1747,"1D")</f>
        <v>45034</v>
      </c>
      <c r="AL1748" s="21">
        <f>_xll.qlInterestRateIndexValueDate(hiborindex,AK1748)</f>
        <v>45036</v>
      </c>
      <c r="AM1748" s="23">
        <f>_xll.qlIndexFixing(hiborindex,AK1748)</f>
        <v>7.933906862764923E-3</v>
      </c>
    </row>
    <row r="1749" spans="37:39" x14ac:dyDescent="0.25">
      <c r="AK1749" s="21">
        <f>_xll.qlCalendarAdvance(calendar,AK1748,"1D")</f>
        <v>45035</v>
      </c>
      <c r="AL1749" s="21">
        <f>_xll.qlInterestRateIndexValueDate(hiborindex,AK1749)</f>
        <v>45037</v>
      </c>
      <c r="AM1749" s="23">
        <f>_xll.qlIndexFixing(hiborindex,AK1749)</f>
        <v>7.9481528925288251E-3</v>
      </c>
    </row>
    <row r="1750" spans="37:39" x14ac:dyDescent="0.25">
      <c r="AK1750" s="21">
        <f>_xll.qlCalendarAdvance(calendar,AK1749,"1D")</f>
        <v>45036</v>
      </c>
      <c r="AL1750" s="21">
        <f>_xll.qlInterestRateIndexValueDate(hiborindex,AK1750)</f>
        <v>45040</v>
      </c>
      <c r="AM1750" s="23">
        <f>_xll.qlIndexFixing(hiborindex,AK1750)</f>
        <v>7.9627946254605241E-3</v>
      </c>
    </row>
    <row r="1751" spans="37:39" x14ac:dyDescent="0.25">
      <c r="AK1751" s="21">
        <f>_xll.qlCalendarAdvance(calendar,AK1750,"1D")</f>
        <v>45037</v>
      </c>
      <c r="AL1751" s="21">
        <f>_xll.qlInterestRateIndexValueDate(hiborindex,AK1751)</f>
        <v>45041</v>
      </c>
      <c r="AM1751" s="23">
        <f>_xll.qlIndexFixing(hiborindex,AK1751)</f>
        <v>7.9700200850406841E-3</v>
      </c>
    </row>
    <row r="1752" spans="37:39" x14ac:dyDescent="0.25">
      <c r="AK1752" s="21">
        <f>_xll.qlCalendarAdvance(calendar,AK1751,"1D")</f>
        <v>45040</v>
      </c>
      <c r="AL1752" s="21">
        <f>_xll.qlInterestRateIndexValueDate(hiborindex,AK1752)</f>
        <v>45042</v>
      </c>
      <c r="AM1752" s="23">
        <f>_xll.qlIndexFixing(hiborindex,AK1752)</f>
        <v>7.977246952213574E-3</v>
      </c>
    </row>
    <row r="1753" spans="37:39" x14ac:dyDescent="0.25">
      <c r="AK1753" s="21">
        <f>_xll.qlCalendarAdvance(calendar,AK1752,"1D")</f>
        <v>45041</v>
      </c>
      <c r="AL1753" s="21">
        <f>_xll.qlInterestRateIndexValueDate(hiborindex,AK1753)</f>
        <v>45043</v>
      </c>
      <c r="AM1753" s="23">
        <f>_xll.qlIndexFixing(hiborindex,AK1753)</f>
        <v>7.9844752269949207E-3</v>
      </c>
    </row>
    <row r="1754" spans="37:39" x14ac:dyDescent="0.25">
      <c r="AK1754" s="21">
        <f>_xll.qlCalendarAdvance(calendar,AK1753,"1D")</f>
        <v>45042</v>
      </c>
      <c r="AL1754" s="21">
        <f>_xll.qlInterestRateIndexValueDate(hiborindex,AK1754)</f>
        <v>45044</v>
      </c>
      <c r="AM1754" s="23">
        <f>_xll.qlIndexFixing(hiborindex,AK1754)</f>
        <v>8.0020484900562711E-3</v>
      </c>
    </row>
    <row r="1755" spans="37:39" x14ac:dyDescent="0.25">
      <c r="AK1755" s="21">
        <f>_xll.qlCalendarAdvance(calendar,AK1754,"1D")</f>
        <v>45043</v>
      </c>
      <c r="AL1755" s="21">
        <f>_xll.qlInterestRateIndexValueDate(hiborindex,AK1755)</f>
        <v>45048</v>
      </c>
      <c r="AM1755" s="23">
        <f>_xll.qlIndexFixing(hiborindex,AK1755)</f>
        <v>8.0240558827152208E-3</v>
      </c>
    </row>
    <row r="1756" spans="37:39" x14ac:dyDescent="0.25">
      <c r="AK1756" s="21">
        <f>_xll.qlCalendarAdvance(calendar,AK1755,"1D")</f>
        <v>45044</v>
      </c>
      <c r="AL1756" s="21">
        <f>_xll.qlInterestRateIndexValueDate(hiborindex,AK1756)</f>
        <v>45049</v>
      </c>
      <c r="AM1756" s="23">
        <f>_xll.qlIndexFixing(hiborindex,AK1756)</f>
        <v>8.0312836147993626E-3</v>
      </c>
    </row>
    <row r="1757" spans="37:39" x14ac:dyDescent="0.25">
      <c r="AK1757" s="21">
        <f>_xll.qlCalendarAdvance(calendar,AK1756,"1D")</f>
        <v>45048</v>
      </c>
      <c r="AL1757" s="21">
        <f>_xll.qlInterestRateIndexValueDate(hiborindex,AK1757)</f>
        <v>45050</v>
      </c>
      <c r="AM1757" s="23">
        <f>_xll.qlIndexFixing(hiborindex,AK1757)</f>
        <v>8.0452963144648296E-3</v>
      </c>
    </row>
    <row r="1758" spans="37:39" x14ac:dyDescent="0.25">
      <c r="AK1758" s="21">
        <f>_xll.qlCalendarAdvance(calendar,AK1757,"1D")</f>
        <v>45049</v>
      </c>
      <c r="AL1758" s="21">
        <f>_xll.qlInterestRateIndexValueDate(hiborindex,AK1758)</f>
        <v>45051</v>
      </c>
      <c r="AM1758" s="23">
        <f>_xll.qlIndexFixing(hiborindex,AK1758)</f>
        <v>8.04912892760732E-3</v>
      </c>
    </row>
    <row r="1759" spans="37:39" x14ac:dyDescent="0.25">
      <c r="AK1759" s="21">
        <f>_xll.qlCalendarAdvance(calendar,AK1758,"1D")</f>
        <v>45050</v>
      </c>
      <c r="AL1759" s="21">
        <f>_xll.qlInterestRateIndexValueDate(hiborindex,AK1759)</f>
        <v>45054</v>
      </c>
      <c r="AM1759" s="23">
        <f>_xll.qlIndexFixing(hiborindex,AK1759)</f>
        <v>8.067443280319898E-3</v>
      </c>
    </row>
    <row r="1760" spans="37:39" x14ac:dyDescent="0.25">
      <c r="AK1760" s="21">
        <f>_xll.qlCalendarAdvance(calendar,AK1759,"1D")</f>
        <v>45051</v>
      </c>
      <c r="AL1760" s="21">
        <f>_xll.qlInterestRateIndexValueDate(hiborindex,AK1760)</f>
        <v>45055</v>
      </c>
      <c r="AM1760" s="23">
        <f>_xll.qlIndexFixing(hiborindex,AK1760)</f>
        <v>8.0746794145504092E-3</v>
      </c>
    </row>
    <row r="1761" spans="37:39" x14ac:dyDescent="0.25">
      <c r="AK1761" s="21">
        <f>_xll.qlCalendarAdvance(calendar,AK1760,"1D")</f>
        <v>45054</v>
      </c>
      <c r="AL1761" s="21">
        <f>_xll.qlInterestRateIndexValueDate(hiborindex,AK1761)</f>
        <v>45056</v>
      </c>
      <c r="AM1761" s="23">
        <f>_xll.qlIndexFixing(hiborindex,AK1761)</f>
        <v>8.0819169491920112E-3</v>
      </c>
    </row>
    <row r="1762" spans="37:39" x14ac:dyDescent="0.25">
      <c r="AK1762" s="21">
        <f>_xll.qlCalendarAdvance(calendar,AK1761,"1D")</f>
        <v>45055</v>
      </c>
      <c r="AL1762" s="21">
        <f>_xll.qlInterestRateIndexValueDate(hiborindex,AK1762)</f>
        <v>45057</v>
      </c>
      <c r="AM1762" s="23">
        <f>_xll.qlIndexFixing(hiborindex,AK1762)</f>
        <v>8.0958151630599971E-3</v>
      </c>
    </row>
    <row r="1763" spans="37:39" x14ac:dyDescent="0.25">
      <c r="AK1763" s="21">
        <f>_xll.qlCalendarAdvance(calendar,AK1762,"1D")</f>
        <v>45056</v>
      </c>
      <c r="AL1763" s="21">
        <f>_xll.qlInterestRateIndexValueDate(hiborindex,AK1763)</f>
        <v>45058</v>
      </c>
      <c r="AM1763" s="23">
        <f>_xll.qlIndexFixing(hiborindex,AK1763)</f>
        <v>8.0997193306351963E-3</v>
      </c>
    </row>
    <row r="1764" spans="37:39" x14ac:dyDescent="0.25">
      <c r="AK1764" s="21">
        <f>_xll.qlCalendarAdvance(calendar,AK1763,"1D")</f>
        <v>45057</v>
      </c>
      <c r="AL1764" s="21">
        <f>_xll.qlInterestRateIndexValueDate(hiborindex,AK1764)</f>
        <v>45061</v>
      </c>
      <c r="AM1764" s="23">
        <f>_xll.qlIndexFixing(hiborindex,AK1764)</f>
        <v>8.1181256291037885E-3</v>
      </c>
    </row>
    <row r="1765" spans="37:39" x14ac:dyDescent="0.25">
      <c r="AK1765" s="21">
        <f>_xll.qlCalendarAdvance(calendar,AK1764,"1D")</f>
        <v>45058</v>
      </c>
      <c r="AL1765" s="21">
        <f>_xll.qlInterestRateIndexValueDate(hiborindex,AK1765)</f>
        <v>45062</v>
      </c>
      <c r="AM1765" s="23">
        <f>_xll.qlIndexFixing(hiborindex,AK1765)</f>
        <v>8.1253715665334219E-3</v>
      </c>
    </row>
    <row r="1766" spans="37:39" x14ac:dyDescent="0.25">
      <c r="AK1766" s="21">
        <f>_xll.qlCalendarAdvance(calendar,AK1765,"1D")</f>
        <v>45061</v>
      </c>
      <c r="AL1766" s="21">
        <f>_xll.qlInterestRateIndexValueDate(hiborindex,AK1766)</f>
        <v>45063</v>
      </c>
      <c r="AM1766" s="23">
        <f>_xll.qlIndexFixing(hiborindex,AK1766)</f>
        <v>8.1326189044818864E-3</v>
      </c>
    </row>
    <row r="1767" spans="37:39" x14ac:dyDescent="0.25">
      <c r="AK1767" s="21">
        <f>_xll.qlCalendarAdvance(calendar,AK1766,"1D")</f>
        <v>45062</v>
      </c>
      <c r="AL1767" s="21">
        <f>_xll.qlInterestRateIndexValueDate(hiborindex,AK1767)</f>
        <v>45064</v>
      </c>
      <c r="AM1767" s="23">
        <f>_xll.qlIndexFixing(hiborindex,AK1767)</f>
        <v>8.1464019203514662E-3</v>
      </c>
    </row>
    <row r="1768" spans="37:39" x14ac:dyDescent="0.25">
      <c r="AK1768" s="21">
        <f>_xll.qlCalendarAdvance(calendar,AK1767,"1D")</f>
        <v>45063</v>
      </c>
      <c r="AL1768" s="21">
        <f>_xll.qlInterestRateIndexValueDate(hiborindex,AK1768)</f>
        <v>45065</v>
      </c>
      <c r="AM1768" s="23">
        <f>_xll.qlIndexFixing(hiborindex,AK1768)</f>
        <v>8.1503779976318195E-3</v>
      </c>
    </row>
    <row r="1769" spans="37:39" x14ac:dyDescent="0.25">
      <c r="AK1769" s="21">
        <f>_xll.qlCalendarAdvance(calendar,AK1768,"1D")</f>
        <v>45064</v>
      </c>
      <c r="AL1769" s="21">
        <f>_xll.qlInterestRateIndexValueDate(hiborindex,AK1769)</f>
        <v>45068</v>
      </c>
      <c r="AM1769" s="23">
        <f>_xll.qlIndexFixing(hiborindex,AK1769)</f>
        <v>8.1688766025306038E-3</v>
      </c>
    </row>
    <row r="1770" spans="37:39" x14ac:dyDescent="0.25">
      <c r="AK1770" s="21">
        <f>_xll.qlCalendarAdvance(calendar,AK1769,"1D")</f>
        <v>45065</v>
      </c>
      <c r="AL1770" s="21">
        <f>_xll.qlInterestRateIndexValueDate(hiborindex,AK1770)</f>
        <v>45069</v>
      </c>
      <c r="AM1770" s="23">
        <f>_xll.qlIndexFixing(hiborindex,AK1770)</f>
        <v>8.1761323439091937E-3</v>
      </c>
    </row>
    <row r="1771" spans="37:39" x14ac:dyDescent="0.25">
      <c r="AK1771" s="21">
        <f>_xll.qlCalendarAdvance(calendar,AK1770,"1D")</f>
        <v>45068</v>
      </c>
      <c r="AL1771" s="21">
        <f>_xll.qlInterestRateIndexValueDate(hiborindex,AK1771)</f>
        <v>45070</v>
      </c>
      <c r="AM1771" s="23">
        <f>_xll.qlIndexFixing(hiborindex,AK1771)</f>
        <v>8.1833894859130521E-3</v>
      </c>
    </row>
    <row r="1772" spans="37:39" x14ac:dyDescent="0.25">
      <c r="AK1772" s="21">
        <f>_xll.qlCalendarAdvance(calendar,AK1771,"1D")</f>
        <v>45069</v>
      </c>
      <c r="AL1772" s="21">
        <f>_xll.qlInterestRateIndexValueDate(hiborindex,AK1772)</f>
        <v>45071</v>
      </c>
      <c r="AM1772" s="23">
        <f>_xll.qlIndexFixing(hiborindex,AK1772)</f>
        <v>8.1970565915733297E-3</v>
      </c>
    </row>
    <row r="1773" spans="37:39" x14ac:dyDescent="0.25">
      <c r="AK1773" s="21">
        <f>_xll.qlCalendarAdvance(calendar,AK1772,"1D")</f>
        <v>45070</v>
      </c>
      <c r="AL1773" s="21">
        <f>_xll.qlInterestRateIndexValueDate(hiborindex,AK1773)</f>
        <v>45072</v>
      </c>
      <c r="AM1773" s="23">
        <f>_xll.qlIndexFixing(hiborindex,AK1773)</f>
        <v>8.2011049338384049E-3</v>
      </c>
    </row>
    <row r="1774" spans="37:39" x14ac:dyDescent="0.25">
      <c r="AK1774" s="21">
        <f>_xll.qlCalendarAdvance(calendar,AK1773,"1D")</f>
        <v>45071</v>
      </c>
      <c r="AL1774" s="21">
        <f>_xll.qlInterestRateIndexValueDate(hiborindex,AK1774)</f>
        <v>45075</v>
      </c>
      <c r="AM1774" s="23">
        <f>_xll.qlIndexFixing(hiborindex,AK1774)</f>
        <v>8.2196962058504932E-3</v>
      </c>
    </row>
    <row r="1775" spans="37:39" x14ac:dyDescent="0.25">
      <c r="AK1775" s="21">
        <f>_xll.qlCalendarAdvance(calendar,AK1774,"1D")</f>
        <v>45072</v>
      </c>
      <c r="AL1775" s="21">
        <f>_xll.qlInterestRateIndexValueDate(hiborindex,AK1775)</f>
        <v>45076</v>
      </c>
      <c r="AM1775" s="23">
        <f>_xll.qlIndexFixing(hiborindex,AK1775)</f>
        <v>8.2269617519287429E-3</v>
      </c>
    </row>
    <row r="1776" spans="37:39" x14ac:dyDescent="0.25">
      <c r="AK1776" s="21">
        <f>_xll.qlCalendarAdvance(calendar,AK1775,"1D")</f>
        <v>45075</v>
      </c>
      <c r="AL1776" s="21">
        <f>_xll.qlInterestRateIndexValueDate(hiborindex,AK1776)</f>
        <v>45077</v>
      </c>
      <c r="AM1776" s="23">
        <f>_xll.qlIndexFixing(hiborindex,AK1776)</f>
        <v>8.2310742055798237E-3</v>
      </c>
    </row>
    <row r="1777" spans="37:39" x14ac:dyDescent="0.25">
      <c r="AK1777" s="21">
        <f>_xll.qlCalendarAdvance(calendar,AK1776,"1D")</f>
        <v>45076</v>
      </c>
      <c r="AL1777" s="21">
        <f>_xll.qlInterestRateIndexValueDate(hiborindex,AK1777)</f>
        <v>45078</v>
      </c>
      <c r="AM1777" s="23">
        <f>_xll.qlIndexFixing(hiborindex,AK1777)</f>
        <v>8.2383517562835303E-3</v>
      </c>
    </row>
    <row r="1778" spans="37:39" x14ac:dyDescent="0.25">
      <c r="AK1778" s="21">
        <f>_xll.qlCalendarAdvance(calendar,AK1777,"1D")</f>
        <v>45077</v>
      </c>
      <c r="AL1778" s="21">
        <f>_xll.qlInterestRateIndexValueDate(hiborindex,AK1778)</f>
        <v>45079</v>
      </c>
      <c r="AM1778" s="23">
        <f>_xll.qlIndexFixing(hiborindex,AK1778)</f>
        <v>8.2519001445035094E-3</v>
      </c>
    </row>
    <row r="1779" spans="37:39" x14ac:dyDescent="0.25">
      <c r="AK1779" s="21">
        <f>_xll.qlCalendarAdvance(calendar,AK1778,"1D")</f>
        <v>45078</v>
      </c>
      <c r="AL1779" s="21">
        <f>_xll.qlInterestRateIndexValueDate(hiborindex,AK1779)</f>
        <v>45082</v>
      </c>
      <c r="AM1779" s="23">
        <f>_xll.qlIndexFixing(hiborindex,AK1779)</f>
        <v>8.2674760408487612E-3</v>
      </c>
    </row>
    <row r="1780" spans="37:39" x14ac:dyDescent="0.25">
      <c r="AK1780" s="21">
        <f>_xll.qlCalendarAdvance(calendar,AK1779,"1D")</f>
        <v>45079</v>
      </c>
      <c r="AL1780" s="21">
        <f>_xll.qlInterestRateIndexValueDate(hiborindex,AK1780)</f>
        <v>45083</v>
      </c>
      <c r="AM1780" s="23">
        <f>_xll.qlIndexFixing(hiborindex,AK1780)</f>
        <v>8.2747606325038955E-3</v>
      </c>
    </row>
    <row r="1781" spans="37:39" x14ac:dyDescent="0.25">
      <c r="AK1781" s="21">
        <f>_xll.qlCalendarAdvance(calendar,AK1780,"1D")</f>
        <v>45082</v>
      </c>
      <c r="AL1781" s="21">
        <f>_xll.qlInterestRateIndexValueDate(hiborindex,AK1781)</f>
        <v>45084</v>
      </c>
      <c r="AM1781" s="23">
        <f>_xll.qlIndexFixing(hiborindex,AK1781)</f>
        <v>8.2820466323956163E-3</v>
      </c>
    </row>
    <row r="1782" spans="37:39" x14ac:dyDescent="0.25">
      <c r="AK1782" s="21">
        <f>_xll.qlCalendarAdvance(calendar,AK1781,"1D")</f>
        <v>45083</v>
      </c>
      <c r="AL1782" s="21">
        <f>_xll.qlInterestRateIndexValueDate(hiborindex,AK1782)</f>
        <v>45085</v>
      </c>
      <c r="AM1782" s="23">
        <f>_xll.qlIndexFixing(hiborindex,AK1782)</f>
        <v>8.2893340405387761E-3</v>
      </c>
    </row>
    <row r="1783" spans="37:39" x14ac:dyDescent="0.25">
      <c r="AK1783" s="21">
        <f>_xll.qlCalendarAdvance(calendar,AK1782,"1D")</f>
        <v>45084</v>
      </c>
      <c r="AL1783" s="21">
        <f>_xll.qlInterestRateIndexValueDate(hiborindex,AK1783)</f>
        <v>45086</v>
      </c>
      <c r="AM1783" s="23">
        <f>_xll.qlIndexFixing(hiborindex,AK1783)</f>
        <v>8.3027636348826043E-3</v>
      </c>
    </row>
    <row r="1784" spans="37:39" x14ac:dyDescent="0.25">
      <c r="AK1784" s="21">
        <f>_xll.qlCalendarAdvance(calendar,AK1783,"1D")</f>
        <v>45085</v>
      </c>
      <c r="AL1784" s="21">
        <f>_xll.qlInterestRateIndexValueDate(hiborindex,AK1784)</f>
        <v>45089</v>
      </c>
      <c r="AM1784" s="23">
        <f>_xll.qlIndexFixing(hiborindex,AK1784)</f>
        <v>8.3184977559368142E-3</v>
      </c>
    </row>
    <row r="1785" spans="37:39" x14ac:dyDescent="0.25">
      <c r="AK1785" s="21">
        <f>_xll.qlCalendarAdvance(calendar,AK1784,"1D")</f>
        <v>45086</v>
      </c>
      <c r="AL1785" s="21">
        <f>_xll.qlInterestRateIndexValueDate(hiborindex,AK1785)</f>
        <v>45090</v>
      </c>
      <c r="AM1785" s="23">
        <f>_xll.qlIndexFixing(hiborindex,AK1785)</f>
        <v>8.325792205569553E-3</v>
      </c>
    </row>
    <row r="1786" spans="37:39" x14ac:dyDescent="0.25">
      <c r="AK1786" s="21">
        <f>_xll.qlCalendarAdvance(calendar,AK1785,"1D")</f>
        <v>45089</v>
      </c>
      <c r="AL1786" s="21">
        <f>_xll.qlInterestRateIndexValueDate(hiborindex,AK1786)</f>
        <v>45091</v>
      </c>
      <c r="AM1786" s="23">
        <f>_xll.qlIndexFixing(hiborindex,AK1786)</f>
        <v>8.333088063546332E-3</v>
      </c>
    </row>
    <row r="1787" spans="37:39" x14ac:dyDescent="0.25">
      <c r="AK1787" s="21">
        <f>_xll.qlCalendarAdvance(calendar,AK1786,"1D")</f>
        <v>45090</v>
      </c>
      <c r="AL1787" s="21">
        <f>_xll.qlInterestRateIndexValueDate(hiborindex,AK1787)</f>
        <v>45092</v>
      </c>
      <c r="AM1787" s="23">
        <f>_xll.qlIndexFixing(hiborindex,AK1787)</f>
        <v>8.3403853298828802E-3</v>
      </c>
    </row>
    <row r="1788" spans="37:39" x14ac:dyDescent="0.25">
      <c r="AK1788" s="21">
        <f>_xll.qlCalendarAdvance(calendar,AK1787,"1D")</f>
        <v>45091</v>
      </c>
      <c r="AL1788" s="21">
        <f>_xll.qlInterestRateIndexValueDate(hiborindex,AK1788)</f>
        <v>45093</v>
      </c>
      <c r="AM1788" s="23">
        <f>_xll.qlIndexFixing(hiborindex,AK1788)</f>
        <v>8.3536954102389378E-3</v>
      </c>
    </row>
    <row r="1789" spans="37:39" x14ac:dyDescent="0.25">
      <c r="AK1789" s="21">
        <f>_xll.qlCalendarAdvance(calendar,AK1788,"1D")</f>
        <v>45092</v>
      </c>
      <c r="AL1789" s="21">
        <f>_xll.qlInterestRateIndexValueDate(hiborindex,AK1789)</f>
        <v>45096</v>
      </c>
      <c r="AM1789" s="23">
        <f>_xll.qlIndexFixing(hiborindex,AK1789)</f>
        <v>8.3695884791316379E-3</v>
      </c>
    </row>
    <row r="1790" spans="37:39" x14ac:dyDescent="0.25">
      <c r="AK1790" s="21">
        <f>_xll.qlCalendarAdvance(calendar,AK1789,"1D")</f>
        <v>45093</v>
      </c>
      <c r="AL1790" s="21">
        <f>_xll.qlInterestRateIndexValueDate(hiborindex,AK1790)</f>
        <v>45097</v>
      </c>
      <c r="AM1790" s="23">
        <f>_xll.qlIndexFixing(hiborindex,AK1790)</f>
        <v>8.3768927874967852E-3</v>
      </c>
    </row>
    <row r="1791" spans="37:39" x14ac:dyDescent="0.25">
      <c r="AK1791" s="21">
        <f>_xll.qlCalendarAdvance(calendar,AK1790,"1D")</f>
        <v>45096</v>
      </c>
      <c r="AL1791" s="21">
        <f>_xll.qlInterestRateIndexValueDate(hiborindex,AK1791)</f>
        <v>45098</v>
      </c>
      <c r="AM1791" s="23">
        <f>_xll.qlIndexFixing(hiborindex,AK1791)</f>
        <v>8.3841985043138657E-3</v>
      </c>
    </row>
    <row r="1792" spans="37:39" x14ac:dyDescent="0.25">
      <c r="AK1792" s="21">
        <f>_xll.qlCalendarAdvance(calendar,AK1791,"1D")</f>
        <v>45097</v>
      </c>
      <c r="AL1792" s="21">
        <f>_xll.qlInterestRateIndexValueDate(hiborindex,AK1792)</f>
        <v>45099</v>
      </c>
      <c r="AM1792" s="23">
        <f>_xll.qlIndexFixing(hiborindex,AK1792)</f>
        <v>8.391505629598171E-3</v>
      </c>
    </row>
    <row r="1793" spans="37:39" x14ac:dyDescent="0.25">
      <c r="AK1793" s="21">
        <f>_xll.qlCalendarAdvance(calendar,AK1792,"1D")</f>
        <v>45098</v>
      </c>
      <c r="AL1793" s="21">
        <f>_xll.qlInterestRateIndexValueDate(hiborindex,AK1793)</f>
        <v>45100</v>
      </c>
      <c r="AM1793" s="23">
        <f>_xll.qlIndexFixing(hiborindex,AK1793)</f>
        <v>8.410574488198333E-3</v>
      </c>
    </row>
    <row r="1794" spans="37:39" x14ac:dyDescent="0.25">
      <c r="AK1794" s="21">
        <f>_xll.qlCalendarAdvance(calendar,AK1793,"1D")</f>
        <v>45099</v>
      </c>
      <c r="AL1794" s="21">
        <f>_xll.qlInterestRateIndexValueDate(hiborindex,AK1794)</f>
        <v>45103</v>
      </c>
      <c r="AM1794" s="23">
        <f>_xll.qlIndexFixing(hiborindex,AK1794)</f>
        <v>8.4236610233248341E-3</v>
      </c>
    </row>
    <row r="1795" spans="37:39" x14ac:dyDescent="0.25">
      <c r="AK1795" s="21">
        <f>_xll.qlCalendarAdvance(calendar,AK1794,"1D")</f>
        <v>45100</v>
      </c>
      <c r="AL1795" s="21">
        <f>_xll.qlInterestRateIndexValueDate(hiborindex,AK1795)</f>
        <v>45104</v>
      </c>
      <c r="AM1795" s="23">
        <f>_xll.qlIndexFixing(hiborindex,AK1795)</f>
        <v>8.4280623835714212E-3</v>
      </c>
    </row>
    <row r="1796" spans="37:39" x14ac:dyDescent="0.25">
      <c r="AK1796" s="21">
        <f>_xll.qlCalendarAdvance(calendar,AK1795,"1D")</f>
        <v>45103</v>
      </c>
      <c r="AL1796" s="21">
        <f>_xll.qlInterestRateIndexValueDate(hiborindex,AK1796)</f>
        <v>45105</v>
      </c>
      <c r="AM1796" s="23">
        <f>_xll.qlIndexFixing(hiborindex,AK1796)</f>
        <v>8.4353779599844834E-3</v>
      </c>
    </row>
    <row r="1797" spans="37:39" x14ac:dyDescent="0.25">
      <c r="AK1797" s="21">
        <f>_xll.qlCalendarAdvance(calendar,AK1796,"1D")</f>
        <v>45104</v>
      </c>
      <c r="AL1797" s="21">
        <f>_xll.qlInterestRateIndexValueDate(hiborindex,AK1797)</f>
        <v>45106</v>
      </c>
      <c r="AM1797" s="23">
        <f>_xll.qlIndexFixing(hiborindex,AK1797)</f>
        <v>8.4426949449730969E-3</v>
      </c>
    </row>
    <row r="1798" spans="37:39" x14ac:dyDescent="0.25">
      <c r="AK1798" s="21">
        <f>_xll.qlCalendarAdvance(calendar,AK1797,"1D")</f>
        <v>45105</v>
      </c>
      <c r="AL1798" s="21">
        <f>_xll.qlInterestRateIndexValueDate(hiborindex,AK1798)</f>
        <v>45107</v>
      </c>
      <c r="AM1798" s="23">
        <f>_xll.qlIndexFixing(hiborindex,AK1798)</f>
        <v>8.4471382926148923E-3</v>
      </c>
    </row>
    <row r="1799" spans="37:39" x14ac:dyDescent="0.25">
      <c r="AK1799" s="21">
        <f>_xll.qlCalendarAdvance(calendar,AK1798,"1D")</f>
        <v>45106</v>
      </c>
      <c r="AL1799" s="21">
        <f>_xll.qlInterestRateIndexValueDate(hiborindex,AK1799)</f>
        <v>45110</v>
      </c>
      <c r="AM1799" s="23">
        <f>_xll.qlIndexFixing(hiborindex,AK1799)</f>
        <v>8.4695455136964207E-3</v>
      </c>
    </row>
    <row r="1800" spans="37:39" x14ac:dyDescent="0.25">
      <c r="AK1800" s="21">
        <f>_xll.qlCalendarAdvance(calendar,AK1799,"1D")</f>
        <v>45107</v>
      </c>
      <c r="AL1800" s="21">
        <f>_xll.qlInterestRateIndexValueDate(hiborindex,AK1800)</f>
        <v>45111</v>
      </c>
      <c r="AM1800" s="23">
        <f>_xll.qlIndexFixing(hiborindex,AK1800)</f>
        <v>8.4750978763126206E-3</v>
      </c>
    </row>
    <row r="1801" spans="37:39" x14ac:dyDescent="0.25">
      <c r="AK1801" s="21">
        <f>_xll.qlCalendarAdvance(calendar,AK1800,"1D")</f>
        <v>45110</v>
      </c>
      <c r="AL1801" s="21">
        <f>_xll.qlInterestRateIndexValueDate(hiborindex,AK1801)</f>
        <v>45112</v>
      </c>
      <c r="AM1801" s="23">
        <f>_xll.qlIndexFixing(hiborindex,AK1801)</f>
        <v>8.4806502546184454E-3</v>
      </c>
    </row>
    <row r="1802" spans="37:39" x14ac:dyDescent="0.25">
      <c r="AK1802" s="21">
        <f>_xll.qlCalendarAdvance(calendar,AK1801,"1D")</f>
        <v>45111</v>
      </c>
      <c r="AL1802" s="21">
        <f>_xll.qlInterestRateIndexValueDate(hiborindex,AK1802)</f>
        <v>45113</v>
      </c>
      <c r="AM1802" s="23">
        <f>_xll.qlIndexFixing(hiborindex,AK1802)</f>
        <v>8.4919550775619159E-3</v>
      </c>
    </row>
    <row r="1803" spans="37:39" x14ac:dyDescent="0.25">
      <c r="AK1803" s="21">
        <f>_xll.qlCalendarAdvance(calendar,AK1802,"1D")</f>
        <v>45112</v>
      </c>
      <c r="AL1803" s="21">
        <f>_xll.qlInterestRateIndexValueDate(hiborindex,AK1803)</f>
        <v>45114</v>
      </c>
      <c r="AM1803" s="23">
        <f>_xll.qlIndexFixing(hiborindex,AK1803)</f>
        <v>8.4946313432252389E-3</v>
      </c>
    </row>
    <row r="1804" spans="37:39" x14ac:dyDescent="0.25">
      <c r="AK1804" s="21">
        <f>_xll.qlCalendarAdvance(calendar,AK1803,"1D")</f>
        <v>45113</v>
      </c>
      <c r="AL1804" s="21">
        <f>_xll.qlInterestRateIndexValueDate(hiborindex,AK1804)</f>
        <v>45117</v>
      </c>
      <c r="AM1804" s="23">
        <f>_xll.qlIndexFixing(hiborindex,AK1804)</f>
        <v>8.508412381482363E-3</v>
      </c>
    </row>
    <row r="1805" spans="37:39" x14ac:dyDescent="0.25">
      <c r="AK1805" s="21">
        <f>_xll.qlCalendarAdvance(calendar,AK1804,"1D")</f>
        <v>45114</v>
      </c>
      <c r="AL1805" s="21">
        <f>_xll.qlInterestRateIndexValueDate(hiborindex,AK1805)</f>
        <v>45118</v>
      </c>
      <c r="AM1805" s="23">
        <f>_xll.qlIndexFixing(hiborindex,AK1805)</f>
        <v>8.5139648539224524E-3</v>
      </c>
    </row>
    <row r="1806" spans="37:39" x14ac:dyDescent="0.25">
      <c r="AK1806" s="21">
        <f>_xll.qlCalendarAdvance(calendar,AK1805,"1D")</f>
        <v>45117</v>
      </c>
      <c r="AL1806" s="21">
        <f>_xll.qlInterestRateIndexValueDate(hiborindex,AK1806)</f>
        <v>45119</v>
      </c>
      <c r="AM1806" s="23">
        <f>_xll.qlIndexFixing(hiborindex,AK1806)</f>
        <v>8.5195173420521651E-3</v>
      </c>
    </row>
    <row r="1807" spans="37:39" x14ac:dyDescent="0.25">
      <c r="AK1807" s="21">
        <f>_xll.qlCalendarAdvance(calendar,AK1806,"1D")</f>
        <v>45118</v>
      </c>
      <c r="AL1807" s="21">
        <f>_xll.qlInterestRateIndexValueDate(hiborindex,AK1807)</f>
        <v>45120</v>
      </c>
      <c r="AM1807" s="23">
        <f>_xll.qlIndexFixing(hiborindex,AK1807)</f>
        <v>8.5308242185189523E-3</v>
      </c>
    </row>
    <row r="1808" spans="37:39" x14ac:dyDescent="0.25">
      <c r="AK1808" s="21">
        <f>_xll.qlCalendarAdvance(calendar,AK1807,"1D")</f>
        <v>45119</v>
      </c>
      <c r="AL1808" s="21">
        <f>_xll.qlInterestRateIndexValueDate(hiborindex,AK1808)</f>
        <v>45121</v>
      </c>
      <c r="AM1808" s="23">
        <f>_xll.qlIndexFixing(hiborindex,AK1808)</f>
        <v>8.5334996224465717E-3</v>
      </c>
    </row>
    <row r="1809" spans="37:39" x14ac:dyDescent="0.25">
      <c r="AK1809" s="21">
        <f>_xll.qlCalendarAdvance(calendar,AK1808,"1D")</f>
        <v>45120</v>
      </c>
      <c r="AL1809" s="21">
        <f>_xll.qlInterestRateIndexValueDate(hiborindex,AK1809)</f>
        <v>45124</v>
      </c>
      <c r="AM1809" s="23">
        <f>_xll.qlIndexFixing(hiborindex,AK1809)</f>
        <v>8.5472800180411753E-3</v>
      </c>
    </row>
    <row r="1810" spans="37:39" x14ac:dyDescent="0.25">
      <c r="AK1810" s="21">
        <f>_xll.qlCalendarAdvance(calendar,AK1809,"1D")</f>
        <v>45121</v>
      </c>
      <c r="AL1810" s="21">
        <f>_xll.qlInterestRateIndexValueDate(hiborindex,AK1810)</f>
        <v>45125</v>
      </c>
      <c r="AM1810" s="23">
        <f>_xll.qlIndexFixing(hiborindex,AK1810)</f>
        <v>8.5528326003077616E-3</v>
      </c>
    </row>
    <row r="1811" spans="37:39" x14ac:dyDescent="0.25">
      <c r="AK1811" s="21">
        <f>_xll.qlCalendarAdvance(calendar,AK1810,"1D")</f>
        <v>45124</v>
      </c>
      <c r="AL1811" s="21">
        <f>_xll.qlInterestRateIndexValueDate(hiborindex,AK1811)</f>
        <v>45126</v>
      </c>
      <c r="AM1811" s="23">
        <f>_xll.qlIndexFixing(hiborindex,AK1811)</f>
        <v>8.5583851982635357E-3</v>
      </c>
    </row>
    <row r="1812" spans="37:39" x14ac:dyDescent="0.25">
      <c r="AK1812" s="21">
        <f>_xll.qlCalendarAdvance(calendar,AK1811,"1D")</f>
        <v>45125</v>
      </c>
      <c r="AL1812" s="21">
        <f>_xll.qlInterestRateIndexValueDate(hiborindex,AK1812)</f>
        <v>45127</v>
      </c>
      <c r="AM1812" s="23">
        <f>_xll.qlIndexFixing(hiborindex,AK1812)</f>
        <v>8.5696941366513023E-3</v>
      </c>
    </row>
    <row r="1813" spans="37:39" x14ac:dyDescent="0.25">
      <c r="AK1813" s="21">
        <f>_xll.qlCalendarAdvance(calendar,AK1812,"1D")</f>
        <v>45126</v>
      </c>
      <c r="AL1813" s="21">
        <f>_xll.qlInterestRateIndexValueDate(hiborindex,AK1813)</f>
        <v>45128</v>
      </c>
      <c r="AM1813" s="23">
        <f>_xll.qlIndexFixing(hiborindex,AK1813)</f>
        <v>8.572368674647857E-3</v>
      </c>
    </row>
    <row r="1814" spans="37:39" x14ac:dyDescent="0.25">
      <c r="AK1814" s="21">
        <f>_xll.qlCalendarAdvance(calendar,AK1813,"1D")</f>
        <v>45127</v>
      </c>
      <c r="AL1814" s="21">
        <f>_xll.qlInterestRateIndexValueDate(hiborindex,AK1814)</f>
        <v>45131</v>
      </c>
      <c r="AM1814" s="23">
        <f>_xll.qlIndexFixing(hiborindex,AK1814)</f>
        <v>8.5861484233893687E-3</v>
      </c>
    </row>
    <row r="1815" spans="37:39" x14ac:dyDescent="0.25">
      <c r="AK1815" s="21">
        <f>_xll.qlCalendarAdvance(calendar,AK1814,"1D")</f>
        <v>45128</v>
      </c>
      <c r="AL1815" s="21">
        <f>_xll.qlInterestRateIndexValueDate(hiborindex,AK1815)</f>
        <v>45132</v>
      </c>
      <c r="AM1815" s="23">
        <f>_xll.qlIndexFixing(hiborindex,AK1815)</f>
        <v>8.591701115483753E-3</v>
      </c>
    </row>
    <row r="1816" spans="37:39" x14ac:dyDescent="0.25">
      <c r="AK1816" s="21">
        <f>_xll.qlCalendarAdvance(calendar,AK1815,"1D")</f>
        <v>45131</v>
      </c>
      <c r="AL1816" s="21">
        <f>_xll.qlInterestRateIndexValueDate(hiborindex,AK1816)</f>
        <v>45133</v>
      </c>
      <c r="AM1816" s="23">
        <f>_xll.qlIndexFixing(hiborindex,AK1816)</f>
        <v>8.5972538232686312E-3</v>
      </c>
    </row>
    <row r="1817" spans="37:39" x14ac:dyDescent="0.25">
      <c r="AK1817" s="21">
        <f>_xll.qlCalendarAdvance(calendar,AK1816,"1D")</f>
        <v>45132</v>
      </c>
      <c r="AL1817" s="21">
        <f>_xll.qlInterestRateIndexValueDate(hiborindex,AK1817)</f>
        <v>45134</v>
      </c>
      <c r="AM1817" s="23">
        <f>_xll.qlIndexFixing(hiborindex,AK1817)</f>
        <v>8.6085648319744381E-3</v>
      </c>
    </row>
    <row r="1818" spans="37:39" x14ac:dyDescent="0.25">
      <c r="AK1818" s="21">
        <f>_xll.qlCalendarAdvance(calendar,AK1817,"1D")</f>
        <v>45133</v>
      </c>
      <c r="AL1818" s="21">
        <f>_xll.qlInterestRateIndexValueDate(hiborindex,AK1818)</f>
        <v>45135</v>
      </c>
      <c r="AM1818" s="23">
        <f>_xll.qlIndexFixing(hiborindex,AK1818)</f>
        <v>8.6112384998442131E-3</v>
      </c>
    </row>
    <row r="1819" spans="37:39" x14ac:dyDescent="0.25">
      <c r="AK1819" s="21">
        <f>_xll.qlCalendarAdvance(calendar,AK1818,"1D")</f>
        <v>45134</v>
      </c>
      <c r="AL1819" s="21">
        <f>_xll.qlInterestRateIndexValueDate(hiborindex,AK1819)</f>
        <v>45138</v>
      </c>
      <c r="AM1819" s="23">
        <f>_xll.qlIndexFixing(hiborindex,AK1819)</f>
        <v>8.6250175975417127E-3</v>
      </c>
    </row>
    <row r="1820" spans="37:39" x14ac:dyDescent="0.25">
      <c r="AK1820" s="21">
        <f>_xll.qlCalendarAdvance(calendar,AK1819,"1D")</f>
        <v>45135</v>
      </c>
      <c r="AL1820" s="21">
        <f>_xll.qlInterestRateIndexValueDate(hiborindex,AK1820)</f>
        <v>45139</v>
      </c>
      <c r="AM1820" s="23">
        <f>_xll.qlIndexFixing(hiborindex,AK1820)</f>
        <v>8.6305703994660685E-3</v>
      </c>
    </row>
    <row r="1821" spans="37:39" x14ac:dyDescent="0.25">
      <c r="AK1821" s="21">
        <f>_xll.qlCalendarAdvance(calendar,AK1820,"1D")</f>
        <v>45138</v>
      </c>
      <c r="AL1821" s="21">
        <f>_xll.qlInterestRateIndexValueDate(hiborindex,AK1821)</f>
        <v>45140</v>
      </c>
      <c r="AM1821" s="23">
        <f>_xll.qlIndexFixing(hiborindex,AK1821)</f>
        <v>8.6361232170817856E-3</v>
      </c>
    </row>
    <row r="1822" spans="37:39" x14ac:dyDescent="0.25">
      <c r="AK1822" s="21">
        <f>_xll.qlCalendarAdvance(calendar,AK1821,"1D")</f>
        <v>45139</v>
      </c>
      <c r="AL1822" s="21">
        <f>_xll.qlInterestRateIndexValueDate(hiborindex,AK1822)</f>
        <v>45141</v>
      </c>
      <c r="AM1822" s="23">
        <f>_xll.qlIndexFixing(hiborindex,AK1822)</f>
        <v>8.6474363045042583E-3</v>
      </c>
    </row>
    <row r="1823" spans="37:39" x14ac:dyDescent="0.25">
      <c r="AK1823" s="21">
        <f>_xll.qlCalendarAdvance(calendar,AK1822,"1D")</f>
        <v>45140</v>
      </c>
      <c r="AL1823" s="21">
        <f>_xll.qlInterestRateIndexValueDate(hiborindex,AK1823)</f>
        <v>45142</v>
      </c>
      <c r="AM1823" s="23">
        <f>_xll.qlIndexFixing(hiborindex,AK1823)</f>
        <v>8.6501090980511987E-3</v>
      </c>
    </row>
    <row r="1824" spans="37:39" x14ac:dyDescent="0.25">
      <c r="AK1824" s="21">
        <f>_xll.qlCalendarAdvance(calendar,AK1823,"1D")</f>
        <v>45141</v>
      </c>
      <c r="AL1824" s="21">
        <f>_xll.qlInterestRateIndexValueDate(hiborindex,AK1824)</f>
        <v>45145</v>
      </c>
      <c r="AM1824" s="23">
        <f>_xll.qlIndexFixing(hiborindex,AK1824)</f>
        <v>8.6638875405129784E-3</v>
      </c>
    </row>
    <row r="1825" spans="37:39" x14ac:dyDescent="0.25">
      <c r="AK1825" s="21">
        <f>_xll.qlCalendarAdvance(calendar,AK1824,"1D")</f>
        <v>45142</v>
      </c>
      <c r="AL1825" s="21">
        <f>_xll.qlInterestRateIndexValueDate(hiborindex,AK1825)</f>
        <v>45146</v>
      </c>
      <c r="AM1825" s="23">
        <f>_xll.qlIndexFixing(hiborindex,AK1825)</f>
        <v>8.6694404522703467E-3</v>
      </c>
    </row>
    <row r="1826" spans="37:39" x14ac:dyDescent="0.25">
      <c r="AK1826" s="21">
        <f>_xll.qlCalendarAdvance(calendar,AK1825,"1D")</f>
        <v>45145</v>
      </c>
      <c r="AL1826" s="21">
        <f>_xll.qlInterestRateIndexValueDate(hiborindex,AK1826)</f>
        <v>45147</v>
      </c>
      <c r="AM1826" s="23">
        <f>_xll.qlIndexFixing(hiborindex,AK1826)</f>
        <v>8.6749933797182072E-3</v>
      </c>
    </row>
    <row r="1827" spans="37:39" x14ac:dyDescent="0.25">
      <c r="AK1827" s="21">
        <f>_xll.qlCalendarAdvance(calendar,AK1826,"1D")</f>
        <v>45146</v>
      </c>
      <c r="AL1827" s="21">
        <f>_xll.qlInterestRateIndexValueDate(hiborindex,AK1827)</f>
        <v>45148</v>
      </c>
      <c r="AM1827" s="23">
        <f>_xll.qlIndexFixing(hiborindex,AK1827)</f>
        <v>8.6863085542558081E-3</v>
      </c>
    </row>
    <row r="1828" spans="37:39" x14ac:dyDescent="0.25">
      <c r="AK1828" s="21">
        <f>_xll.qlCalendarAdvance(calendar,AK1827,"1D")</f>
        <v>45147</v>
      </c>
      <c r="AL1828" s="21">
        <f>_xll.qlInterestRateIndexValueDate(hiborindex,AK1828)</f>
        <v>45149</v>
      </c>
      <c r="AM1828" s="23">
        <f>_xll.qlIndexFixing(hiborindex,AK1828)</f>
        <v>8.688980469283937E-3</v>
      </c>
    </row>
    <row r="1829" spans="37:39" x14ac:dyDescent="0.25">
      <c r="AK1829" s="21">
        <f>_xll.qlCalendarAdvance(calendar,AK1828,"1D")</f>
        <v>45148</v>
      </c>
      <c r="AL1829" s="21">
        <f>_xll.qlInterestRateIndexValueDate(hiborindex,AK1829)</f>
        <v>45152</v>
      </c>
      <c r="AM1829" s="23">
        <f>_xll.qlIndexFixing(hiborindex,AK1829)</f>
        <v>8.7027582523183707E-3</v>
      </c>
    </row>
    <row r="1830" spans="37:39" x14ac:dyDescent="0.25">
      <c r="AK1830" s="21">
        <f>_xll.qlCalendarAdvance(calendar,AK1829,"1D")</f>
        <v>45149</v>
      </c>
      <c r="AL1830" s="21">
        <f>_xll.qlInterestRateIndexValueDate(hiborindex,AK1830)</f>
        <v>45153</v>
      </c>
      <c r="AM1830" s="23">
        <f>_xll.qlIndexFixing(hiborindex,AK1830)</f>
        <v>8.7083112739109233E-3</v>
      </c>
    </row>
    <row r="1831" spans="37:39" x14ac:dyDescent="0.25">
      <c r="AK1831" s="21">
        <f>_xll.qlCalendarAdvance(calendar,AK1830,"1D")</f>
        <v>45152</v>
      </c>
      <c r="AL1831" s="21">
        <f>_xll.qlInterestRateIndexValueDate(hiborindex,AK1831)</f>
        <v>45154</v>
      </c>
      <c r="AM1831" s="23">
        <f>_xll.qlIndexFixing(hiborindex,AK1831)</f>
        <v>8.7138643111939681E-3</v>
      </c>
    </row>
    <row r="1832" spans="37:39" x14ac:dyDescent="0.25">
      <c r="AK1832" s="21">
        <f>_xll.qlCalendarAdvance(calendar,AK1831,"1D")</f>
        <v>45153</v>
      </c>
      <c r="AL1832" s="21">
        <f>_xll.qlInterestRateIndexValueDate(hiborindex,AK1832)</f>
        <v>45155</v>
      </c>
      <c r="AM1832" s="23">
        <f>_xll.qlIndexFixing(hiborindex,AK1832)</f>
        <v>8.7251815812449864E-3</v>
      </c>
    </row>
    <row r="1833" spans="37:39" x14ac:dyDescent="0.25">
      <c r="AK1833" s="21">
        <f>_xll.qlCalendarAdvance(calendar,AK1832,"1D")</f>
        <v>45154</v>
      </c>
      <c r="AL1833" s="21">
        <f>_xll.qlInterestRateIndexValueDate(hiborindex,AK1833)</f>
        <v>45156</v>
      </c>
      <c r="AM1833" s="23">
        <f>_xll.qlIndexFixing(hiborindex,AK1833)</f>
        <v>8.7278526135584119E-3</v>
      </c>
    </row>
    <row r="1834" spans="37:39" x14ac:dyDescent="0.25">
      <c r="AK1834" s="21">
        <f>_xll.qlCalendarAdvance(calendar,AK1833,"1D")</f>
        <v>45155</v>
      </c>
      <c r="AL1834" s="21">
        <f>_xll.qlInterestRateIndexValueDate(hiborindex,AK1834)</f>
        <v>45159</v>
      </c>
      <c r="AM1834" s="23">
        <f>_xll.qlIndexFixing(hiborindex,AK1834)</f>
        <v>8.7416297329739635E-3</v>
      </c>
    </row>
    <row r="1835" spans="37:39" x14ac:dyDescent="0.25">
      <c r="AK1835" s="21">
        <f>_xll.qlCalendarAdvance(calendar,AK1834,"1D")</f>
        <v>45156</v>
      </c>
      <c r="AL1835" s="21">
        <f>_xll.qlInterestRateIndexValueDate(hiborindex,AK1835)</f>
        <v>45160</v>
      </c>
      <c r="AM1835" s="23">
        <f>_xll.qlIndexFixing(hiborindex,AK1835)</f>
        <v>8.747182864403005E-3</v>
      </c>
    </row>
    <row r="1836" spans="37:39" x14ac:dyDescent="0.25">
      <c r="AK1836" s="21">
        <f>_xll.qlCalendarAdvance(calendar,AK1835,"1D")</f>
        <v>45159</v>
      </c>
      <c r="AL1836" s="21">
        <f>_xll.qlInterestRateIndexValueDate(hiborindex,AK1836)</f>
        <v>45161</v>
      </c>
      <c r="AM1836" s="23">
        <f>_xll.qlIndexFixing(hiborindex,AK1836)</f>
        <v>8.752736011523406E-3</v>
      </c>
    </row>
    <row r="1837" spans="37:39" x14ac:dyDescent="0.25">
      <c r="AK1837" s="21">
        <f>_xll.qlCalendarAdvance(calendar,AK1836,"1D")</f>
        <v>45160</v>
      </c>
      <c r="AL1837" s="21">
        <f>_xll.qlInterestRateIndexValueDate(hiborindex,AK1837)</f>
        <v>45162</v>
      </c>
      <c r="AM1837" s="23">
        <f>_xll.qlIndexFixing(hiborindex,AK1837)</f>
        <v>8.7640553854872651E-3</v>
      </c>
    </row>
    <row r="1838" spans="37:39" x14ac:dyDescent="0.25">
      <c r="AK1838" s="21">
        <f>_xll.qlCalendarAdvance(calendar,AK1837,"1D")</f>
        <v>45161</v>
      </c>
      <c r="AL1838" s="21">
        <f>_xll.qlInterestRateIndexValueDate(hiborindex,AK1838)</f>
        <v>45163</v>
      </c>
      <c r="AM1838" s="23">
        <f>_xll.qlIndexFixing(hiborindex,AK1838)</f>
        <v>8.7667255308893181E-3</v>
      </c>
    </row>
    <row r="1839" spans="37:39" x14ac:dyDescent="0.25">
      <c r="AK1839" s="21">
        <f>_xll.qlCalendarAdvance(calendar,AK1838,"1D")</f>
        <v>45162</v>
      </c>
      <c r="AL1839" s="21">
        <f>_xll.qlInterestRateIndexValueDate(hiborindex,AK1839)</f>
        <v>45166</v>
      </c>
      <c r="AM1839" s="23">
        <f>_xll.qlIndexFixing(hiborindex,AK1839)</f>
        <v>8.7805019824940943E-3</v>
      </c>
    </row>
    <row r="1840" spans="37:39" x14ac:dyDescent="0.25">
      <c r="AK1840" s="21">
        <f>_xll.qlCalendarAdvance(calendar,AK1839,"1D")</f>
        <v>45163</v>
      </c>
      <c r="AL1840" s="21">
        <f>_xll.qlInterestRateIndexValueDate(hiborindex,AK1840)</f>
        <v>45167</v>
      </c>
      <c r="AM1840" s="23">
        <f>_xll.qlIndexFixing(hiborindex,AK1840)</f>
        <v>8.7860552237622302E-3</v>
      </c>
    </row>
    <row r="1841" spans="37:39" x14ac:dyDescent="0.25">
      <c r="AK1841" s="21">
        <f>_xll.qlCalendarAdvance(calendar,AK1840,"1D")</f>
        <v>45166</v>
      </c>
      <c r="AL1841" s="21">
        <f>_xll.qlInterestRateIndexValueDate(hiborindex,AK1841)</f>
        <v>45168</v>
      </c>
      <c r="AM1841" s="23">
        <f>_xll.qlIndexFixing(hiborindex,AK1841)</f>
        <v>8.7887247287019438E-3</v>
      </c>
    </row>
    <row r="1842" spans="37:39" x14ac:dyDescent="0.25">
      <c r="AK1842" s="21">
        <f>_xll.qlCalendarAdvance(calendar,AK1841,"1D")</f>
        <v>45167</v>
      </c>
      <c r="AL1842" s="21">
        <f>_xll.qlInterestRateIndexValueDate(hiborindex,AK1842)</f>
        <v>45169</v>
      </c>
      <c r="AM1842" s="23">
        <f>_xll.qlIndexFixing(hiborindex,AK1842)</f>
        <v>8.7913941040161456E-3</v>
      </c>
    </row>
    <row r="1843" spans="37:39" x14ac:dyDescent="0.25">
      <c r="AK1843" s="21">
        <f>_xll.qlCalendarAdvance(calendar,AK1842,"1D")</f>
        <v>45168</v>
      </c>
      <c r="AL1843" s="21">
        <f>_xll.qlInterestRateIndexValueDate(hiborindex,AK1843)</f>
        <v>45170</v>
      </c>
      <c r="AM1843" s="23">
        <f>_xll.qlIndexFixing(hiborindex,AK1843)</f>
        <v>8.7969471059614474E-3</v>
      </c>
    </row>
    <row r="1844" spans="37:39" x14ac:dyDescent="0.25">
      <c r="AK1844" s="21">
        <f>_xll.qlCalendarAdvance(calendar,AK1843,"1D")</f>
        <v>45169</v>
      </c>
      <c r="AL1844" s="21">
        <f>_xll.qlInterestRateIndexValueDate(hiborindex,AK1844)</f>
        <v>45173</v>
      </c>
      <c r="AM1844" s="23">
        <f>_xll.qlIndexFixing(hiborindex,AK1844)</f>
        <v>8.8136062049202248E-3</v>
      </c>
    </row>
    <row r="1845" spans="37:39" x14ac:dyDescent="0.25">
      <c r="AK1845" s="21">
        <f>_xll.qlCalendarAdvance(calendar,AK1844,"1D")</f>
        <v>45170</v>
      </c>
      <c r="AL1845" s="21">
        <f>_xll.qlInterestRateIndexValueDate(hiborindex,AK1845)</f>
        <v>45174</v>
      </c>
      <c r="AM1845" s="23">
        <f>_xll.qlIndexFixing(hiborindex,AK1845)</f>
        <v>8.8191592689472933E-3</v>
      </c>
    </row>
    <row r="1846" spans="37:39" x14ac:dyDescent="0.25">
      <c r="AK1846" s="21">
        <f>_xll.qlCalendarAdvance(calendar,AK1845,"1D")</f>
        <v>45173</v>
      </c>
      <c r="AL1846" s="21">
        <f>_xll.qlInterestRateIndexValueDate(hiborindex,AK1846)</f>
        <v>45175</v>
      </c>
      <c r="AM1846" s="23">
        <f>_xll.qlIndexFixing(hiborindex,AK1846)</f>
        <v>8.8247123484946968E-3</v>
      </c>
    </row>
    <row r="1847" spans="37:39" x14ac:dyDescent="0.25">
      <c r="AK1847" s="21">
        <f>_xll.qlCalendarAdvance(calendar,AK1846,"1D")</f>
        <v>45174</v>
      </c>
      <c r="AL1847" s="21">
        <f>_xll.qlInterestRateIndexValueDate(hiborindex,AK1847)</f>
        <v>45176</v>
      </c>
      <c r="AM1847" s="23">
        <f>_xll.qlIndexFixing(hiborindex,AK1847)</f>
        <v>8.8302654435624302E-3</v>
      </c>
    </row>
    <row r="1848" spans="37:39" x14ac:dyDescent="0.25">
      <c r="AK1848" s="21">
        <f>_xll.qlCalendarAdvance(calendar,AK1847,"1D")</f>
        <v>45175</v>
      </c>
      <c r="AL1848" s="21">
        <f>_xll.qlInterestRateIndexValueDate(hiborindex,AK1848)</f>
        <v>45177</v>
      </c>
      <c r="AM1848" s="23">
        <f>_xll.qlIndexFixing(hiborindex,AK1848)</f>
        <v>8.8358185541504968E-3</v>
      </c>
    </row>
    <row r="1849" spans="37:39" x14ac:dyDescent="0.25">
      <c r="AK1849" s="21">
        <f>_xll.qlCalendarAdvance(calendar,AK1848,"1D")</f>
        <v>45176</v>
      </c>
      <c r="AL1849" s="21">
        <f>_xll.qlInterestRateIndexValueDate(hiborindex,AK1849)</f>
        <v>45180</v>
      </c>
      <c r="AM1849" s="23">
        <f>_xll.qlIndexFixing(hiborindex,AK1849)</f>
        <v>8.8524779790388874E-3</v>
      </c>
    </row>
    <row r="1850" spans="37:39" x14ac:dyDescent="0.25">
      <c r="AK1850" s="21">
        <f>_xll.qlCalendarAdvance(calendar,AK1849,"1D")</f>
        <v>45177</v>
      </c>
      <c r="AL1850" s="21">
        <f>_xll.qlInterestRateIndexValueDate(hiborindex,AK1850)</f>
        <v>45181</v>
      </c>
      <c r="AM1850" s="23">
        <f>_xll.qlIndexFixing(hiborindex,AK1850)</f>
        <v>8.8580311517096021E-3</v>
      </c>
    </row>
    <row r="1851" spans="37:39" x14ac:dyDescent="0.25">
      <c r="AK1851" s="21">
        <f>_xll.qlCalendarAdvance(calendar,AK1850,"1D")</f>
        <v>45180</v>
      </c>
      <c r="AL1851" s="21">
        <f>_xll.qlInterestRateIndexValueDate(hiborindex,AK1851)</f>
        <v>45182</v>
      </c>
      <c r="AM1851" s="23">
        <f>_xll.qlIndexFixing(hiborindex,AK1851)</f>
        <v>8.8635843399015261E-3</v>
      </c>
    </row>
    <row r="1852" spans="37:39" x14ac:dyDescent="0.25">
      <c r="AK1852" s="21">
        <f>_xll.qlCalendarAdvance(calendar,AK1851,"1D")</f>
        <v>45181</v>
      </c>
      <c r="AL1852" s="21">
        <f>_xll.qlInterestRateIndexValueDate(hiborindex,AK1852)</f>
        <v>45183</v>
      </c>
      <c r="AM1852" s="23">
        <f>_xll.qlIndexFixing(hiborindex,AK1852)</f>
        <v>8.8691375436137816E-3</v>
      </c>
    </row>
    <row r="1853" spans="37:39" x14ac:dyDescent="0.25">
      <c r="AK1853" s="21">
        <f>_xll.qlCalendarAdvance(calendar,AK1852,"1D")</f>
        <v>45182</v>
      </c>
      <c r="AL1853" s="21">
        <f>_xll.qlInterestRateIndexValueDate(hiborindex,AK1853)</f>
        <v>45184</v>
      </c>
      <c r="AM1853" s="23">
        <f>_xll.qlIndexFixing(hiborindex,AK1853)</f>
        <v>8.8746907628463705E-3</v>
      </c>
    </row>
    <row r="1854" spans="37:39" x14ac:dyDescent="0.25">
      <c r="AK1854" s="21">
        <f>_xll.qlCalendarAdvance(calendar,AK1853,"1D")</f>
        <v>45183</v>
      </c>
      <c r="AL1854" s="21">
        <f>_xll.qlInterestRateIndexValueDate(hiborindex,AK1854)</f>
        <v>45187</v>
      </c>
      <c r="AM1854" s="23">
        <f>_xll.qlIndexFixing(hiborindex,AK1854)</f>
        <v>8.8913505136714015E-3</v>
      </c>
    </row>
    <row r="1855" spans="37:39" x14ac:dyDescent="0.25">
      <c r="AK1855" s="21">
        <f>_xll.qlCalendarAdvance(calendar,AK1854,"1D")</f>
        <v>45184</v>
      </c>
      <c r="AL1855" s="21">
        <f>_xll.qlInterestRateIndexValueDate(hiborindex,AK1855)</f>
        <v>45188</v>
      </c>
      <c r="AM1855" s="23">
        <f>_xll.qlIndexFixing(hiborindex,AK1855)</f>
        <v>8.8969037949879551E-3</v>
      </c>
    </row>
    <row r="1856" spans="37:39" x14ac:dyDescent="0.25">
      <c r="AK1856" s="21">
        <f>_xll.qlCalendarAdvance(calendar,AK1855,"1D")</f>
        <v>45187</v>
      </c>
      <c r="AL1856" s="21">
        <f>_xll.qlInterestRateIndexValueDate(hiborindex,AK1856)</f>
        <v>45189</v>
      </c>
      <c r="AM1856" s="23">
        <f>_xll.qlIndexFixing(hiborindex,AK1856)</f>
        <v>8.9024570918257179E-3</v>
      </c>
    </row>
    <row r="1857" spans="37:39" x14ac:dyDescent="0.25">
      <c r="AK1857" s="21">
        <f>_xll.qlCalendarAdvance(calendar,AK1856,"1D")</f>
        <v>45188</v>
      </c>
      <c r="AL1857" s="21">
        <f>_xll.qlInterestRateIndexValueDate(hiborindex,AK1857)</f>
        <v>45190</v>
      </c>
      <c r="AM1857" s="23">
        <f>_xll.qlIndexFixing(hiborindex,AK1857)</f>
        <v>8.9080104041846919E-3</v>
      </c>
    </row>
    <row r="1858" spans="37:39" x14ac:dyDescent="0.25">
      <c r="AK1858" s="21">
        <f>_xll.qlCalendarAdvance(calendar,AK1857,"1D")</f>
        <v>45189</v>
      </c>
      <c r="AL1858" s="21">
        <f>_xll.qlInterestRateIndexValueDate(hiborindex,AK1858)</f>
        <v>45191</v>
      </c>
      <c r="AM1858" s="23">
        <f>_xll.qlIndexFixing(hiborindex,AK1858)</f>
        <v>8.9135637320644379E-3</v>
      </c>
    </row>
    <row r="1859" spans="37:39" x14ac:dyDescent="0.25">
      <c r="AK1859" s="21">
        <f>_xll.qlCalendarAdvance(calendar,AK1858,"1D")</f>
        <v>45190</v>
      </c>
      <c r="AL1859" s="21">
        <f>_xll.qlInterestRateIndexValueDate(hiborindex,AK1859)</f>
        <v>45194</v>
      </c>
      <c r="AM1859" s="23">
        <f>_xll.qlIndexFixing(hiborindex,AK1859)</f>
        <v>8.9302238088313796E-3</v>
      </c>
    </row>
    <row r="1860" spans="37:39" x14ac:dyDescent="0.25">
      <c r="AK1860" s="21">
        <f>_xll.qlCalendarAdvance(calendar,AK1859,"1D")</f>
        <v>45191</v>
      </c>
      <c r="AL1860" s="21">
        <f>_xll.qlInterestRateIndexValueDate(hiborindex,AK1860)</f>
        <v>45195</v>
      </c>
      <c r="AM1860" s="23">
        <f>_xll.qlIndexFixing(hiborindex,AK1860)</f>
        <v>8.9357771987964071E-3</v>
      </c>
    </row>
    <row r="1861" spans="37:39" x14ac:dyDescent="0.25">
      <c r="AK1861" s="21">
        <f>_xll.qlCalendarAdvance(calendar,AK1860,"1D")</f>
        <v>45194</v>
      </c>
      <c r="AL1861" s="21">
        <f>_xll.qlInterestRateIndexValueDate(hiborindex,AK1861)</f>
        <v>45196</v>
      </c>
      <c r="AM1861" s="23">
        <f>_xll.qlIndexFixing(hiborindex,AK1861)</f>
        <v>8.9413306042826456E-3</v>
      </c>
    </row>
    <row r="1862" spans="37:39" x14ac:dyDescent="0.25">
      <c r="AK1862" s="21">
        <f>_xll.qlCalendarAdvance(calendar,AK1861,"1D")</f>
        <v>45195</v>
      </c>
      <c r="AL1862" s="21">
        <f>_xll.qlInterestRateIndexValueDate(hiborindex,AK1862)</f>
        <v>45197</v>
      </c>
      <c r="AM1862" s="23">
        <f>_xll.qlIndexFixing(hiborindex,AK1862)</f>
        <v>8.9468840252900951E-3</v>
      </c>
    </row>
    <row r="1863" spans="37:39" x14ac:dyDescent="0.25">
      <c r="AK1863" s="21">
        <f>_xll.qlCalendarAdvance(calendar,AK1862,"1D")</f>
        <v>45196</v>
      </c>
      <c r="AL1863" s="21">
        <f>_xll.qlInterestRateIndexValueDate(hiborindex,AK1863)</f>
        <v>45198</v>
      </c>
      <c r="AM1863" s="23">
        <f>_xll.qlIndexFixing(hiborindex,AK1863)</f>
        <v>8.9495496648946665E-3</v>
      </c>
    </row>
    <row r="1864" spans="37:39" x14ac:dyDescent="0.25">
      <c r="AK1864" s="21">
        <f>_xll.qlCalendarAdvance(calendar,AK1863,"1D")</f>
        <v>45197</v>
      </c>
      <c r="AL1864" s="21">
        <f>_xll.qlInterestRateIndexValueDate(hiborindex,AK1864)</f>
        <v>45201</v>
      </c>
      <c r="AM1864" s="23">
        <f>_xll.qlIndexFixing(hiborindex,AK1864)</f>
        <v>8.9719862421436033E-3</v>
      </c>
    </row>
    <row r="1865" spans="37:39" x14ac:dyDescent="0.25">
      <c r="AK1865" s="21">
        <f>_xll.qlCalendarAdvance(calendar,AK1864,"1D")</f>
        <v>45198</v>
      </c>
      <c r="AL1865" s="21">
        <f>_xll.qlInterestRateIndexValueDate(hiborindex,AK1865)</f>
        <v>45202</v>
      </c>
      <c r="AM1865" s="23">
        <f>_xll.qlIndexFixing(hiborindex,AK1865)</f>
        <v>8.9775398866544301E-3</v>
      </c>
    </row>
    <row r="1866" spans="37:39" x14ac:dyDescent="0.25">
      <c r="AK1866" s="21">
        <f>_xll.qlCalendarAdvance(calendar,AK1865,"1D")</f>
        <v>45201</v>
      </c>
      <c r="AL1866" s="21">
        <f>_xll.qlInterestRateIndexValueDate(hiborindex,AK1866)</f>
        <v>45203</v>
      </c>
      <c r="AM1866" s="23">
        <f>_xll.qlIndexFixing(hiborindex,AK1866)</f>
        <v>8.9830935467728815E-3</v>
      </c>
    </row>
    <row r="1867" spans="37:39" x14ac:dyDescent="0.25">
      <c r="AK1867" s="21">
        <f>_xll.qlCalendarAdvance(calendar,AK1866,"1D")</f>
        <v>45202</v>
      </c>
      <c r="AL1867" s="21">
        <f>_xll.qlInterestRateIndexValueDate(hiborindex,AK1867)</f>
        <v>45204</v>
      </c>
      <c r="AM1867" s="23">
        <f>_xll.qlIndexFixing(hiborindex,AK1867)</f>
        <v>8.9886472224985203E-3</v>
      </c>
    </row>
    <row r="1868" spans="37:39" x14ac:dyDescent="0.25">
      <c r="AK1868" s="21">
        <f>_xll.qlCalendarAdvance(calendar,AK1867,"1D")</f>
        <v>45203</v>
      </c>
      <c r="AL1868" s="21">
        <f>_xll.qlInterestRateIndexValueDate(hiborindex,AK1868)</f>
        <v>45205</v>
      </c>
      <c r="AM1868" s="23">
        <f>_xll.qlIndexFixing(hiborindex,AK1868)</f>
        <v>8.9999792699261075E-3</v>
      </c>
    </row>
    <row r="1869" spans="37:39" x14ac:dyDescent="0.25">
      <c r="AK1869" s="21">
        <f>_xll.qlCalendarAdvance(calendar,AK1868,"1D")</f>
        <v>45204</v>
      </c>
      <c r="AL1869" s="21">
        <f>_xll.qlInterestRateIndexValueDate(hiborindex,AK1869)</f>
        <v>45208</v>
      </c>
      <c r="AM1869" s="23">
        <f>_xll.qlIndexFixing(hiborindex,AK1869)</f>
        <v>9.0108620814764485E-3</v>
      </c>
    </row>
    <row r="1870" spans="37:39" x14ac:dyDescent="0.25">
      <c r="AK1870" s="21">
        <f>_xll.qlCalendarAdvance(calendar,AK1869,"1D")</f>
        <v>45205</v>
      </c>
      <c r="AL1870" s="21">
        <f>_xll.qlInterestRateIndexValueDate(hiborindex,AK1870)</f>
        <v>45209</v>
      </c>
      <c r="AM1870" s="23">
        <f>_xll.qlIndexFixing(hiborindex,AK1870)</f>
        <v>9.0164158352393359E-3</v>
      </c>
    </row>
    <row r="1871" spans="37:39" x14ac:dyDescent="0.25">
      <c r="AK1871" s="21">
        <f>_xll.qlCalendarAdvance(calendar,AK1870,"1D")</f>
        <v>45208</v>
      </c>
      <c r="AL1871" s="21">
        <f>_xll.qlInterestRateIndexValueDate(hiborindex,AK1871)</f>
        <v>45210</v>
      </c>
      <c r="AM1871" s="23">
        <f>_xll.qlIndexFixing(hiborindex,AK1871)</f>
        <v>9.0219696046102849E-3</v>
      </c>
    </row>
    <row r="1872" spans="37:39" x14ac:dyDescent="0.25">
      <c r="AK1872" s="21">
        <f>_xll.qlCalendarAdvance(calendar,AK1871,"1D")</f>
        <v>45209</v>
      </c>
      <c r="AL1872" s="21">
        <f>_xll.qlInterestRateIndexValueDate(hiborindex,AK1872)</f>
        <v>45211</v>
      </c>
      <c r="AM1872" s="23">
        <f>_xll.qlIndexFixing(hiborindex,AK1872)</f>
        <v>9.0275233895892957E-3</v>
      </c>
    </row>
    <row r="1873" spans="37:39" x14ac:dyDescent="0.25">
      <c r="AK1873" s="21">
        <f>_xll.qlCalendarAdvance(calendar,AK1872,"1D")</f>
        <v>45210</v>
      </c>
      <c r="AL1873" s="21">
        <f>_xll.qlInterestRateIndexValueDate(hiborindex,AK1873)</f>
        <v>45212</v>
      </c>
      <c r="AM1873" s="23">
        <f>_xll.qlIndexFixing(hiborindex,AK1873)</f>
        <v>9.0388575990849717E-3</v>
      </c>
    </row>
    <row r="1874" spans="37:39" x14ac:dyDescent="0.25">
      <c r="AK1874" s="21">
        <f>_xll.qlCalendarAdvance(calendar,AK1873,"1D")</f>
        <v>45211</v>
      </c>
      <c r="AL1874" s="21">
        <f>_xll.qlInterestRateIndexValueDate(hiborindex,AK1874)</f>
        <v>45215</v>
      </c>
      <c r="AM1874" s="23">
        <f>_xll.qlIndexFixing(hiborindex,AK1874)</f>
        <v>9.0497386855811456E-3</v>
      </c>
    </row>
    <row r="1875" spans="37:39" x14ac:dyDescent="0.25">
      <c r="AK1875" s="21">
        <f>_xll.qlCalendarAdvance(calendar,AK1874,"1D")</f>
        <v>45212</v>
      </c>
      <c r="AL1875" s="21">
        <f>_xll.qlInterestRateIndexValueDate(hiborindex,AK1875)</f>
        <v>45216</v>
      </c>
      <c r="AM1875" s="23">
        <f>_xll.qlIndexFixing(hiborindex,AK1875)</f>
        <v>9.0552925485987146E-3</v>
      </c>
    </row>
    <row r="1876" spans="37:39" x14ac:dyDescent="0.25">
      <c r="AK1876" s="21">
        <f>_xll.qlCalendarAdvance(calendar,AK1875,"1D")</f>
        <v>45215</v>
      </c>
      <c r="AL1876" s="21">
        <f>_xll.qlInterestRateIndexValueDate(hiborindex,AK1876)</f>
        <v>45217</v>
      </c>
      <c r="AM1876" s="23">
        <f>_xll.qlIndexFixing(hiborindex,AK1876)</f>
        <v>9.0608464272243453E-3</v>
      </c>
    </row>
    <row r="1877" spans="37:39" x14ac:dyDescent="0.25">
      <c r="AK1877" s="21">
        <f>_xll.qlCalendarAdvance(calendar,AK1876,"1D")</f>
        <v>45216</v>
      </c>
      <c r="AL1877" s="21">
        <f>_xll.qlInterestRateIndexValueDate(hiborindex,AK1877)</f>
        <v>45218</v>
      </c>
      <c r="AM1877" s="23">
        <f>_xll.qlIndexFixing(hiborindex,AK1877)</f>
        <v>9.0664003214580378E-3</v>
      </c>
    </row>
    <row r="1878" spans="37:39" x14ac:dyDescent="0.25">
      <c r="AK1878" s="21">
        <f>_xll.qlCalendarAdvance(calendar,AK1877,"1D")</f>
        <v>45217</v>
      </c>
      <c r="AL1878" s="21">
        <f>_xll.qlInterestRateIndexValueDate(hiborindex,AK1878)</f>
        <v>45219</v>
      </c>
      <c r="AM1878" s="23">
        <f>_xll.qlIndexFixing(hiborindex,AK1878)</f>
        <v>9.0777367014225462E-3</v>
      </c>
    </row>
    <row r="1879" spans="37:39" x14ac:dyDescent="0.25">
      <c r="AK1879" s="21">
        <f>_xll.qlCalendarAdvance(calendar,AK1878,"1D")</f>
        <v>45218</v>
      </c>
      <c r="AL1879" s="21">
        <f>_xll.qlInterestRateIndexValueDate(hiborindex,AK1879)</f>
        <v>45222</v>
      </c>
      <c r="AM1879" s="23">
        <f>_xll.qlIndexFixing(hiborindex,AK1879)</f>
        <v>9.0886160544729842E-3</v>
      </c>
    </row>
    <row r="1880" spans="37:39" x14ac:dyDescent="0.25">
      <c r="AK1880" s="21">
        <f>_xll.qlCalendarAdvance(calendar,AK1879,"1D")</f>
        <v>45219</v>
      </c>
      <c r="AL1880" s="21">
        <f>_xll.qlInterestRateIndexValueDate(hiborindex,AK1880)</f>
        <v>45223</v>
      </c>
      <c r="AM1880" s="23">
        <f>_xll.qlIndexFixing(hiborindex,AK1880)</f>
        <v>9.0941700267469817E-3</v>
      </c>
    </row>
    <row r="1881" spans="37:39" x14ac:dyDescent="0.25">
      <c r="AK1881" s="21">
        <f>_xll.qlCalendarAdvance(calendar,AK1880,"1D")</f>
        <v>45222</v>
      </c>
      <c r="AL1881" s="21">
        <f>_xll.qlInterestRateIndexValueDate(hiborindex,AK1881)</f>
        <v>45224</v>
      </c>
      <c r="AM1881" s="23">
        <f>_xll.qlIndexFixing(hiborindex,AK1881)</f>
        <v>9.0997240146294782E-3</v>
      </c>
    </row>
    <row r="1882" spans="37:39" x14ac:dyDescent="0.25">
      <c r="AK1882" s="21">
        <f>_xll.qlCalendarAdvance(calendar,AK1881,"1D")</f>
        <v>45223</v>
      </c>
      <c r="AL1882" s="21">
        <f>_xll.qlInterestRateIndexValueDate(hiborindex,AK1882)</f>
        <v>45225</v>
      </c>
      <c r="AM1882" s="23">
        <f>_xll.qlIndexFixing(hiborindex,AK1882)</f>
        <v>9.1052780181204735E-3</v>
      </c>
    </row>
    <row r="1883" spans="37:39" x14ac:dyDescent="0.25">
      <c r="AK1883" s="21">
        <f>_xll.qlCalendarAdvance(calendar,AK1882,"1D")</f>
        <v>45224</v>
      </c>
      <c r="AL1883" s="21">
        <f>_xll.qlInterestRateIndexValueDate(hiborindex,AK1883)</f>
        <v>45226</v>
      </c>
      <c r="AM1883" s="23">
        <f>_xll.qlIndexFixing(hiborindex,AK1883)</f>
        <v>9.1166165769556839E-3</v>
      </c>
    </row>
    <row r="1884" spans="37:39" x14ac:dyDescent="0.25">
      <c r="AK1884" s="21">
        <f>_xll.qlCalendarAdvance(calendar,AK1883,"1D")</f>
        <v>45225</v>
      </c>
      <c r="AL1884" s="21">
        <f>_xll.qlInterestRateIndexValueDate(hiborindex,AK1884)</f>
        <v>45229</v>
      </c>
      <c r="AM1884" s="23">
        <f>_xll.qlIndexFixing(hiborindex,AK1884)</f>
        <v>9.1274941881668136E-3</v>
      </c>
    </row>
    <row r="1885" spans="37:39" x14ac:dyDescent="0.25">
      <c r="AK1885" s="21">
        <f>_xll.qlCalendarAdvance(calendar,AK1884,"1D")</f>
        <v>45226</v>
      </c>
      <c r="AL1885" s="21">
        <f>_xll.qlInterestRateIndexValueDate(hiborindex,AK1885)</f>
        <v>45230</v>
      </c>
      <c r="AM1885" s="23">
        <f>_xll.qlIndexFixing(hiborindex,AK1885)</f>
        <v>9.1301556263128393E-3</v>
      </c>
    </row>
    <row r="1886" spans="37:39" x14ac:dyDescent="0.25">
      <c r="AK1886" s="21">
        <f>_xll.qlCalendarAdvance(calendar,AK1885,"1D")</f>
        <v>45229</v>
      </c>
      <c r="AL1886" s="21">
        <f>_xll.qlInterestRateIndexValueDate(hiborindex,AK1886)</f>
        <v>45231</v>
      </c>
      <c r="AM1886" s="23">
        <f>_xll.qlIndexFixing(hiborindex,AK1886)</f>
        <v>9.1386023668405345E-3</v>
      </c>
    </row>
    <row r="1887" spans="37:39" x14ac:dyDescent="0.25">
      <c r="AK1887" s="21">
        <f>_xll.qlCalendarAdvance(calendar,AK1886,"1D")</f>
        <v>45230</v>
      </c>
      <c r="AL1887" s="21">
        <f>_xll.qlInterestRateIndexValueDate(hiborindex,AK1887)</f>
        <v>45232</v>
      </c>
      <c r="AM1887" s="23">
        <f>_xll.qlIndexFixing(hiborindex,AK1887)</f>
        <v>9.1412635393554008E-3</v>
      </c>
    </row>
    <row r="1888" spans="37:39" x14ac:dyDescent="0.25">
      <c r="AK1888" s="21">
        <f>_xll.qlCalendarAdvance(calendar,AK1887,"1D")</f>
        <v>45231</v>
      </c>
      <c r="AL1888" s="21">
        <f>_xll.qlInterestRateIndexValueDate(hiborindex,AK1888)</f>
        <v>45233</v>
      </c>
      <c r="AM1888" s="23">
        <f>_xll.qlIndexFixing(hiborindex,AK1888)</f>
        <v>9.1468175191615712E-3</v>
      </c>
    </row>
    <row r="1889" spans="37:39" x14ac:dyDescent="0.25">
      <c r="AK1889" s="21">
        <f>_xll.qlCalendarAdvance(calendar,AK1888,"1D")</f>
        <v>45232</v>
      </c>
      <c r="AL1889" s="21">
        <f>_xll.qlInterestRateIndexValueDate(hiborindex,AK1889)</f>
        <v>45236</v>
      </c>
      <c r="AM1889" s="23">
        <f>_xll.qlIndexFixing(hiborindex,AK1889)</f>
        <v>9.1634795517174499E-3</v>
      </c>
    </row>
    <row r="1890" spans="37:39" x14ac:dyDescent="0.25">
      <c r="AK1890" s="21">
        <f>_xll.qlCalendarAdvance(calendar,AK1889,"1D")</f>
        <v>45233</v>
      </c>
      <c r="AL1890" s="21">
        <f>_xll.qlInterestRateIndexValueDate(hiborindex,AK1890)</f>
        <v>45237</v>
      </c>
      <c r="AM1890" s="23">
        <f>_xll.qlIndexFixing(hiborindex,AK1890)</f>
        <v>9.1690335936154919E-3</v>
      </c>
    </row>
    <row r="1891" spans="37:39" x14ac:dyDescent="0.25">
      <c r="AK1891" s="21">
        <f>_xll.qlCalendarAdvance(calendar,AK1890,"1D")</f>
        <v>45236</v>
      </c>
      <c r="AL1891" s="21">
        <f>_xll.qlInterestRateIndexValueDate(hiborindex,AK1891)</f>
        <v>45238</v>
      </c>
      <c r="AM1891" s="23">
        <f>_xll.qlIndexFixing(hiborindex,AK1891)</f>
        <v>9.1745876510365004E-3</v>
      </c>
    </row>
    <row r="1892" spans="37:39" x14ac:dyDescent="0.25">
      <c r="AK1892" s="21">
        <f>_xll.qlCalendarAdvance(calendar,AK1891,"1D")</f>
        <v>45237</v>
      </c>
      <c r="AL1892" s="21">
        <f>_xll.qlInterestRateIndexValueDate(hiborindex,AK1892)</f>
        <v>45239</v>
      </c>
      <c r="AM1892" s="23">
        <f>_xll.qlIndexFixing(hiborindex,AK1892)</f>
        <v>9.1801417239804756E-3</v>
      </c>
    </row>
    <row r="1893" spans="37:39" x14ac:dyDescent="0.25">
      <c r="AK1893" s="21">
        <f>_xll.qlCalendarAdvance(calendar,AK1892,"1D")</f>
        <v>45238</v>
      </c>
      <c r="AL1893" s="21">
        <f>_xll.qlInterestRateIndexValueDate(hiborindex,AK1893)</f>
        <v>45240</v>
      </c>
      <c r="AM1893" s="23">
        <f>_xll.qlIndexFixing(hiborindex,AK1893)</f>
        <v>9.1856958124482985E-3</v>
      </c>
    </row>
    <row r="1894" spans="37:39" x14ac:dyDescent="0.25">
      <c r="AK1894" s="21">
        <f>_xll.qlCalendarAdvance(calendar,AK1893,"1D")</f>
        <v>45239</v>
      </c>
      <c r="AL1894" s="21">
        <f>_xll.qlInterestRateIndexValueDate(hiborindex,AK1894)</f>
        <v>45243</v>
      </c>
      <c r="AM1894" s="23">
        <f>_xll.qlIndexFixing(hiborindex,AK1894)</f>
        <v>9.2023581709908871E-3</v>
      </c>
    </row>
    <row r="1895" spans="37:39" x14ac:dyDescent="0.25">
      <c r="AK1895" s="21">
        <f>_xll.qlCalendarAdvance(calendar,AK1894,"1D")</f>
        <v>45240</v>
      </c>
      <c r="AL1895" s="21">
        <f>_xll.qlInterestRateIndexValueDate(hiborindex,AK1895)</f>
        <v>45244</v>
      </c>
      <c r="AM1895" s="23">
        <f>_xll.qlIndexFixing(hiborindex,AK1895)</f>
        <v>9.2079123215523355E-3</v>
      </c>
    </row>
    <row r="1896" spans="37:39" x14ac:dyDescent="0.25">
      <c r="AK1896" s="21">
        <f>_xll.qlCalendarAdvance(calendar,AK1895,"1D")</f>
        <v>45243</v>
      </c>
      <c r="AL1896" s="21">
        <f>_xll.qlInterestRateIndexValueDate(hiborindex,AK1896)</f>
        <v>45245</v>
      </c>
      <c r="AM1896" s="23">
        <f>_xll.qlIndexFixing(hiborindex,AK1896)</f>
        <v>9.2134664876367522E-3</v>
      </c>
    </row>
    <row r="1897" spans="37:39" x14ac:dyDescent="0.25">
      <c r="AK1897" s="21">
        <f>_xll.qlCalendarAdvance(calendar,AK1896,"1D")</f>
        <v>45244</v>
      </c>
      <c r="AL1897" s="21">
        <f>_xll.qlInterestRateIndexValueDate(hiborindex,AK1897)</f>
        <v>45246</v>
      </c>
      <c r="AM1897" s="23">
        <f>_xll.qlIndexFixing(hiborindex,AK1897)</f>
        <v>9.2190206692445761E-3</v>
      </c>
    </row>
    <row r="1898" spans="37:39" x14ac:dyDescent="0.25">
      <c r="AK1898" s="21">
        <f>_xll.qlCalendarAdvance(calendar,AK1897,"1D")</f>
        <v>45245</v>
      </c>
      <c r="AL1898" s="21">
        <f>_xll.qlInterestRateIndexValueDate(hiborindex,AK1898)</f>
        <v>45247</v>
      </c>
      <c r="AM1898" s="23">
        <f>_xll.qlIndexFixing(hiborindex,AK1898)</f>
        <v>9.2245748663762443E-3</v>
      </c>
    </row>
    <row r="1899" spans="37:39" x14ac:dyDescent="0.25">
      <c r="AK1899" s="21">
        <f>_xll.qlCalendarAdvance(calendar,AK1898,"1D")</f>
        <v>45246</v>
      </c>
      <c r="AL1899" s="21">
        <f>_xll.qlInterestRateIndexValueDate(hiborindex,AK1899)</f>
        <v>45250</v>
      </c>
      <c r="AM1899" s="23">
        <f>_xll.qlIndexFixing(hiborindex,AK1899)</f>
        <v>9.2412375509121313E-3</v>
      </c>
    </row>
    <row r="1900" spans="37:39" x14ac:dyDescent="0.25">
      <c r="AK1900" s="21">
        <f>_xll.qlCalendarAdvance(calendar,AK1899,"1D")</f>
        <v>45247</v>
      </c>
      <c r="AL1900" s="21">
        <f>_xll.qlInterestRateIndexValueDate(hiborindex,AK1900)</f>
        <v>45251</v>
      </c>
      <c r="AM1900" s="23">
        <f>_xll.qlIndexFixing(hiborindex,AK1900)</f>
        <v>9.2467918101383061E-3</v>
      </c>
    </row>
    <row r="1901" spans="37:39" x14ac:dyDescent="0.25">
      <c r="AK1901" s="21">
        <f>_xll.qlCalendarAdvance(calendar,AK1900,"1D")</f>
        <v>45250</v>
      </c>
      <c r="AL1901" s="21">
        <f>_xll.qlInterestRateIndexValueDate(hiborindex,AK1901)</f>
        <v>45252</v>
      </c>
      <c r="AM1901" s="23">
        <f>_xll.qlIndexFixing(hiborindex,AK1901)</f>
        <v>9.2523460848878882E-3</v>
      </c>
    </row>
    <row r="1902" spans="37:39" x14ac:dyDescent="0.25">
      <c r="AK1902" s="21">
        <f>_xll.qlCalendarAdvance(calendar,AK1901,"1D")</f>
        <v>45251</v>
      </c>
      <c r="AL1902" s="21">
        <f>_xll.qlInterestRateIndexValueDate(hiborindex,AK1902)</f>
        <v>45253</v>
      </c>
      <c r="AM1902" s="23">
        <f>_xll.qlIndexFixing(hiborindex,AK1902)</f>
        <v>9.2579003751617536E-3</v>
      </c>
    </row>
    <row r="1903" spans="37:39" x14ac:dyDescent="0.25">
      <c r="AK1903" s="21">
        <f>_xll.qlCalendarAdvance(calendar,AK1902,"1D")</f>
        <v>45252</v>
      </c>
      <c r="AL1903" s="21">
        <f>_xll.qlInterestRateIndexValueDate(hiborindex,AK1903)</f>
        <v>45254</v>
      </c>
      <c r="AM1903" s="23">
        <f>_xll.qlIndexFixing(hiborindex,AK1903)</f>
        <v>9.2634546809594667E-3</v>
      </c>
    </row>
    <row r="1904" spans="37:39" x14ac:dyDescent="0.25">
      <c r="AK1904" s="21">
        <f>_xll.qlCalendarAdvance(calendar,AK1903,"1D")</f>
        <v>45253</v>
      </c>
      <c r="AL1904" s="21">
        <f>_xll.qlInterestRateIndexValueDate(hiborindex,AK1904)</f>
        <v>45257</v>
      </c>
      <c r="AM1904" s="23">
        <f>_xll.qlIndexFixing(hiborindex,AK1904)</f>
        <v>9.2801176914952405E-3</v>
      </c>
    </row>
    <row r="1905" spans="37:39" x14ac:dyDescent="0.25">
      <c r="AK1905" s="21">
        <f>_xll.qlCalendarAdvance(calendar,AK1904,"1D")</f>
        <v>45254</v>
      </c>
      <c r="AL1905" s="21">
        <f>_xll.qlInterestRateIndexValueDate(hiborindex,AK1905)</f>
        <v>45258</v>
      </c>
      <c r="AM1905" s="23">
        <f>_xll.qlIndexFixing(hiborindex,AK1905)</f>
        <v>9.2856720593887752E-3</v>
      </c>
    </row>
    <row r="1906" spans="37:39" x14ac:dyDescent="0.25">
      <c r="AK1906" s="21">
        <f>_xll.qlCalendarAdvance(calendar,AK1905,"1D")</f>
        <v>45257</v>
      </c>
      <c r="AL1906" s="21">
        <f>_xll.qlInterestRateIndexValueDate(hiborindex,AK1906)</f>
        <v>45259</v>
      </c>
      <c r="AM1906" s="23">
        <f>_xll.qlIndexFixing(hiborindex,AK1906)</f>
        <v>9.291226442806156E-3</v>
      </c>
    </row>
    <row r="1907" spans="37:39" x14ac:dyDescent="0.25">
      <c r="AK1907" s="21">
        <f>_xll.qlCalendarAdvance(calendar,AK1906,"1D")</f>
        <v>45258</v>
      </c>
      <c r="AL1907" s="21">
        <f>_xll.qlInterestRateIndexValueDate(hiborindex,AK1907)</f>
        <v>45260</v>
      </c>
      <c r="AM1907" s="23">
        <f>_xll.qlIndexFixing(hiborindex,AK1907)</f>
        <v>9.2996779738591575E-3</v>
      </c>
    </row>
    <row r="1908" spans="37:39" x14ac:dyDescent="0.25">
      <c r="AK1908" s="21">
        <f>_xll.qlCalendarAdvance(calendar,AK1907,"1D")</f>
        <v>45259</v>
      </c>
      <c r="AL1908" s="21">
        <f>_xll.qlInterestRateIndexValueDate(hiborindex,AK1908)</f>
        <v>45261</v>
      </c>
      <c r="AM1908" s="23">
        <f>_xll.qlIndexFixing(hiborindex,AK1908)</f>
        <v>9.3110275530849593E-3</v>
      </c>
    </row>
    <row r="1909" spans="37:39" x14ac:dyDescent="0.25">
      <c r="AK1909" s="21">
        <f>_xll.qlCalendarAdvance(calendar,AK1908,"1D")</f>
        <v>45260</v>
      </c>
      <c r="AL1909" s="21">
        <f>_xll.qlInterestRateIndexValueDate(hiborindex,AK1909)</f>
        <v>45264</v>
      </c>
      <c r="AM1909" s="23">
        <f>_xll.qlIndexFixing(hiborindex,AK1909)</f>
        <v>9.3218963291922027E-3</v>
      </c>
    </row>
    <row r="1910" spans="37:39" x14ac:dyDescent="0.25">
      <c r="AK1910" s="21">
        <f>_xll.qlCalendarAdvance(calendar,AK1909,"1D")</f>
        <v>45261</v>
      </c>
      <c r="AL1910" s="21">
        <f>_xll.qlInterestRateIndexValueDate(hiborindex,AK1910)</f>
        <v>45265</v>
      </c>
      <c r="AM1910" s="23">
        <f>_xll.qlIndexFixing(hiborindex,AK1910)</f>
        <v>9.3274509570506394E-3</v>
      </c>
    </row>
    <row r="1911" spans="37:39" x14ac:dyDescent="0.25">
      <c r="AK1911" s="21">
        <f>_xll.qlCalendarAdvance(calendar,AK1910,"1D")</f>
        <v>45264</v>
      </c>
      <c r="AL1911" s="21">
        <f>_xll.qlInterestRateIndexValueDate(hiborindex,AK1911)</f>
        <v>45266</v>
      </c>
      <c r="AM1911" s="23">
        <f>_xll.qlIndexFixing(hiborindex,AK1911)</f>
        <v>9.3330056005193236E-3</v>
      </c>
    </row>
    <row r="1912" spans="37:39" x14ac:dyDescent="0.25">
      <c r="AK1912" s="21">
        <f>_xll.qlCalendarAdvance(calendar,AK1911,"1D")</f>
        <v>45265</v>
      </c>
      <c r="AL1912" s="21">
        <f>_xll.qlInterestRateIndexValueDate(hiborindex,AK1912)</f>
        <v>45267</v>
      </c>
      <c r="AM1912" s="23">
        <f>_xll.qlIndexFixing(hiborindex,AK1912)</f>
        <v>9.3385602595978147E-3</v>
      </c>
    </row>
    <row r="1913" spans="37:39" x14ac:dyDescent="0.25">
      <c r="AK1913" s="21">
        <f>_xll.qlCalendarAdvance(calendar,AK1912,"1D")</f>
        <v>45266</v>
      </c>
      <c r="AL1913" s="21">
        <f>_xll.qlInterestRateIndexValueDate(hiborindex,AK1913)</f>
        <v>45268</v>
      </c>
      <c r="AM1913" s="23">
        <f>_xll.qlIndexFixing(hiborindex,AK1913)</f>
        <v>9.3499120681112095E-3</v>
      </c>
    </row>
    <row r="1914" spans="37:39" x14ac:dyDescent="0.25">
      <c r="AK1914" s="21">
        <f>_xll.qlCalendarAdvance(calendar,AK1913,"1D")</f>
        <v>45267</v>
      </c>
      <c r="AL1914" s="21">
        <f>_xll.qlInterestRateIndexValueDate(hiborindex,AK1914)</f>
        <v>45271</v>
      </c>
      <c r="AM1914" s="23">
        <f>_xll.qlIndexFixing(hiborindex,AK1914)</f>
        <v>9.3607790520142346E-3</v>
      </c>
    </row>
    <row r="1915" spans="37:39" x14ac:dyDescent="0.25">
      <c r="AK1915" s="21">
        <f>_xll.qlCalendarAdvance(calendar,AK1914,"1D")</f>
        <v>45268</v>
      </c>
      <c r="AL1915" s="21">
        <f>_xll.qlInterestRateIndexValueDate(hiborindex,AK1915)</f>
        <v>45272</v>
      </c>
      <c r="AM1915" s="23">
        <f>_xll.qlIndexFixing(hiborindex,AK1915)</f>
        <v>9.3663337891443897E-3</v>
      </c>
    </row>
    <row r="1916" spans="37:39" x14ac:dyDescent="0.25">
      <c r="AK1916" s="21">
        <f>_xll.qlCalendarAdvance(calendar,AK1915,"1D")</f>
        <v>45271</v>
      </c>
      <c r="AL1916" s="21">
        <f>_xll.qlInterestRateIndexValueDate(hiborindex,AK1916)</f>
        <v>45273</v>
      </c>
      <c r="AM1916" s="23">
        <f>_xll.qlIndexFixing(hiborindex,AK1916)</f>
        <v>9.3718885418847906E-3</v>
      </c>
    </row>
    <row r="1917" spans="37:39" x14ac:dyDescent="0.25">
      <c r="AK1917" s="21">
        <f>_xll.qlCalendarAdvance(calendar,AK1916,"1D")</f>
        <v>45272</v>
      </c>
      <c r="AL1917" s="21">
        <f>_xll.qlInterestRateIndexValueDate(hiborindex,AK1917)</f>
        <v>45274</v>
      </c>
      <c r="AM1917" s="23">
        <f>_xll.qlIndexFixing(hiborindex,AK1917)</f>
        <v>9.3774433102354372E-3</v>
      </c>
    </row>
    <row r="1918" spans="37:39" x14ac:dyDescent="0.25">
      <c r="AK1918" s="21">
        <f>_xll.qlCalendarAdvance(calendar,AK1917,"1D")</f>
        <v>45273</v>
      </c>
      <c r="AL1918" s="21">
        <f>_xll.qlInterestRateIndexValueDate(hiborindex,AK1918)</f>
        <v>45275</v>
      </c>
      <c r="AM1918" s="23">
        <f>_xll.qlIndexFixing(hiborindex,AK1918)</f>
        <v>9.3887973564397466E-3</v>
      </c>
    </row>
    <row r="1919" spans="37:39" x14ac:dyDescent="0.25">
      <c r="AK1919" s="21">
        <f>_xll.qlCalendarAdvance(calendar,AK1918,"1D")</f>
        <v>45274</v>
      </c>
      <c r="AL1919" s="21">
        <f>_xll.qlInterestRateIndexValueDate(hiborindex,AK1919)</f>
        <v>45278</v>
      </c>
      <c r="AM1919" s="23">
        <f>_xll.qlIndexFixing(hiborindex,AK1919)</f>
        <v>9.3996625397435325E-3</v>
      </c>
    </row>
    <row r="1920" spans="37:39" x14ac:dyDescent="0.25">
      <c r="AK1920" s="21">
        <f>_xll.qlCalendarAdvance(calendar,AK1919,"1D")</f>
        <v>45275</v>
      </c>
      <c r="AL1920" s="21">
        <f>_xll.qlInterestRateIndexValueDate(hiborindex,AK1920)</f>
        <v>45279</v>
      </c>
      <c r="AM1920" s="23">
        <f>_xll.qlIndexFixing(hiborindex,AK1920)</f>
        <v>9.4052173861471512E-3</v>
      </c>
    </row>
    <row r="1921" spans="37:39" x14ac:dyDescent="0.25">
      <c r="AK1921" s="21">
        <f>_xll.qlCalendarAdvance(calendar,AK1920,"1D")</f>
        <v>45278</v>
      </c>
      <c r="AL1921" s="21">
        <f>_xll.qlInterestRateIndexValueDate(hiborindex,AK1921)</f>
        <v>45280</v>
      </c>
      <c r="AM1921" s="23">
        <f>_xll.qlIndexFixing(hiborindex,AK1921)</f>
        <v>9.4107722481614527E-3</v>
      </c>
    </row>
    <row r="1922" spans="37:39" x14ac:dyDescent="0.25">
      <c r="AK1922" s="21">
        <f>_xll.qlCalendarAdvance(calendar,AK1921,"1D")</f>
        <v>45279</v>
      </c>
      <c r="AL1922" s="21">
        <f>_xll.qlInterestRateIndexValueDate(hiborindex,AK1922)</f>
        <v>45281</v>
      </c>
      <c r="AM1922" s="23">
        <f>_xll.qlIndexFixing(hiborindex,AK1922)</f>
        <v>9.4163271257864372E-3</v>
      </c>
    </row>
    <row r="1923" spans="37:39" x14ac:dyDescent="0.25">
      <c r="AK1923" s="21">
        <f>_xll.qlCalendarAdvance(calendar,AK1922,"1D")</f>
        <v>45280</v>
      </c>
      <c r="AL1923" s="21">
        <f>_xll.qlInterestRateIndexValueDate(hiborindex,AK1923)</f>
        <v>45282</v>
      </c>
      <c r="AM1923" s="23">
        <f>_xll.qlIndexFixing(hiborindex,AK1923)</f>
        <v>9.4276834180869896E-3</v>
      </c>
    </row>
    <row r="1924" spans="37:39" x14ac:dyDescent="0.25">
      <c r="AK1924" s="21">
        <f>_xll.qlCalendarAdvance(calendar,AK1923,"1D")</f>
        <v>45281</v>
      </c>
      <c r="AL1924" s="21">
        <f>_xll.qlInterestRateIndexValueDate(hiborindex,AK1924)</f>
        <v>45287</v>
      </c>
      <c r="AM1924" s="23">
        <f>_xll.qlIndexFixing(hiborindex,AK1924)</f>
        <v>9.4496567193645981E-3</v>
      </c>
    </row>
    <row r="1925" spans="37:39" x14ac:dyDescent="0.25">
      <c r="AK1925" s="21">
        <f>_xll.qlCalendarAdvance(calendar,AK1924,"1D")</f>
        <v>45282</v>
      </c>
      <c r="AL1925" s="21">
        <f>_xll.qlInterestRateIndexValueDate(hiborindex,AK1925)</f>
        <v>45288</v>
      </c>
      <c r="AM1925" s="23">
        <f>_xll.qlIndexFixing(hiborindex,AK1925)</f>
        <v>9.4552117062665416E-3</v>
      </c>
    </row>
    <row r="1926" spans="37:39" x14ac:dyDescent="0.25">
      <c r="AK1926" s="21">
        <f>_xll.qlCalendarAdvance(calendar,AK1925,"1D")</f>
        <v>45287</v>
      </c>
      <c r="AL1926" s="21">
        <f>_xll.qlInterestRateIndexValueDate(hiborindex,AK1926)</f>
        <v>45289</v>
      </c>
      <c r="AM1926" s="23">
        <f>_xll.qlIndexFixing(hiborindex,AK1926)</f>
        <v>9.4578651642321897E-3</v>
      </c>
    </row>
    <row r="1927" spans="37:39" x14ac:dyDescent="0.25">
      <c r="AK1927" s="21">
        <f>_xll.qlCalendarAdvance(calendar,AK1926,"1D")</f>
        <v>45288</v>
      </c>
      <c r="AL1927" s="21">
        <f>_xll.qlInterestRateIndexValueDate(hiborindex,AK1927)</f>
        <v>45293</v>
      </c>
      <c r="AM1927" s="23">
        <f>_xll.qlIndexFixing(hiborindex,AK1927)</f>
        <v>9.4779307306599482E-3</v>
      </c>
    </row>
    <row r="1928" spans="37:39" x14ac:dyDescent="0.25">
      <c r="AK1928" s="21">
        <f>_xll.qlCalendarAdvance(calendar,AK1927,"1D")</f>
        <v>45289</v>
      </c>
      <c r="AL1928" s="21">
        <f>_xll.qlInterestRateIndexValueDate(hiborindex,AK1928)</f>
        <v>45294</v>
      </c>
      <c r="AM1928" s="23">
        <f>_xll.qlIndexFixing(hiborindex,AK1928)</f>
        <v>9.4829462337268772E-3</v>
      </c>
    </row>
    <row r="1929" spans="37:39" x14ac:dyDescent="0.25">
      <c r="AK1929" s="21">
        <f>_xll.qlCalendarAdvance(calendar,AK1928,"1D")</f>
        <v>45293</v>
      </c>
      <c r="AL1929" s="21">
        <f>_xll.qlInterestRateIndexValueDate(hiborindex,AK1929)</f>
        <v>45295</v>
      </c>
      <c r="AM1929" s="23">
        <f>_xll.qlIndexFixing(hiborindex,AK1929)</f>
        <v>9.4879613813713022E-3</v>
      </c>
    </row>
    <row r="1930" spans="37:39" x14ac:dyDescent="0.25">
      <c r="AK1930" s="21">
        <f>_xll.qlCalendarAdvance(calendar,AK1929,"1D")</f>
        <v>45294</v>
      </c>
      <c r="AL1930" s="21">
        <f>_xll.qlInterestRateIndexValueDate(hiborindex,AK1930)</f>
        <v>45296</v>
      </c>
      <c r="AM1930" s="23">
        <f>_xll.qlIndexFixing(hiborindex,AK1930)</f>
        <v>9.4929761735914643E-3</v>
      </c>
    </row>
    <row r="1931" spans="37:39" x14ac:dyDescent="0.25">
      <c r="AK1931" s="21">
        <f>_xll.qlCalendarAdvance(calendar,AK1930,"1D")</f>
        <v>45295</v>
      </c>
      <c r="AL1931" s="21">
        <f>_xll.qlInterestRateIndexValueDate(hiborindex,AK1931)</f>
        <v>45299</v>
      </c>
      <c r="AM1931" s="23">
        <f>_xll.qlIndexFixing(hiborindex,AK1931)</f>
        <v>9.5080184176778368E-3</v>
      </c>
    </row>
    <row r="1932" spans="37:39" x14ac:dyDescent="0.25">
      <c r="AK1932" s="21">
        <f>_xll.qlCalendarAdvance(calendar,AK1931,"1D")</f>
        <v>45296</v>
      </c>
      <c r="AL1932" s="21">
        <f>_xll.qlInterestRateIndexValueDate(hiborindex,AK1932)</f>
        <v>45300</v>
      </c>
      <c r="AM1932" s="23">
        <f>_xll.qlIndexFixing(hiborindex,AK1932)</f>
        <v>9.513031788172404E-3</v>
      </c>
    </row>
    <row r="1933" spans="37:39" x14ac:dyDescent="0.25">
      <c r="AK1933" s="21">
        <f>_xll.qlCalendarAdvance(calendar,AK1932,"1D")</f>
        <v>45299</v>
      </c>
      <c r="AL1933" s="21">
        <f>_xll.qlInterestRateIndexValueDate(hiborindex,AK1933)</f>
        <v>45301</v>
      </c>
      <c r="AM1933" s="23">
        <f>_xll.qlIndexFixing(hiborindex,AK1933)</f>
        <v>9.5180448032290959E-3</v>
      </c>
    </row>
    <row r="1934" spans="37:39" x14ac:dyDescent="0.25">
      <c r="AK1934" s="21">
        <f>_xll.qlCalendarAdvance(calendar,AK1933,"1D")</f>
        <v>45300</v>
      </c>
      <c r="AL1934" s="21">
        <f>_xll.qlInterestRateIndexValueDate(hiborindex,AK1934)</f>
        <v>45302</v>
      </c>
      <c r="AM1934" s="23">
        <f>_xll.qlIndexFixing(hiborindex,AK1934)</f>
        <v>9.5230574628448368E-3</v>
      </c>
    </row>
    <row r="1935" spans="37:39" x14ac:dyDescent="0.25">
      <c r="AK1935" s="21">
        <f>_xll.qlCalendarAdvance(calendar,AK1934,"1D")</f>
        <v>45301</v>
      </c>
      <c r="AL1935" s="21">
        <f>_xll.qlInterestRateIndexValueDate(hiborindex,AK1935)</f>
        <v>45303</v>
      </c>
      <c r="AM1935" s="23">
        <f>_xll.qlIndexFixing(hiborindex,AK1935)</f>
        <v>9.5280697670165511E-3</v>
      </c>
    </row>
    <row r="1936" spans="37:39" x14ac:dyDescent="0.25">
      <c r="AK1936" s="21">
        <f>_xll.qlCalendarAdvance(calendar,AK1935,"1D")</f>
        <v>45302</v>
      </c>
      <c r="AL1936" s="21">
        <f>_xll.qlInterestRateIndexValueDate(hiborindex,AK1936)</f>
        <v>45306</v>
      </c>
      <c r="AM1936" s="23">
        <f>_xll.qlIndexFixing(hiborindex,AK1936)</f>
        <v>9.5431045468416242E-3</v>
      </c>
    </row>
    <row r="1937" spans="37:39" x14ac:dyDescent="0.25">
      <c r="AK1937" s="21">
        <f>_xll.qlCalendarAdvance(calendar,AK1936,"1D")</f>
        <v>45303</v>
      </c>
      <c r="AL1937" s="21">
        <f>_xll.qlInterestRateIndexValueDate(hiborindex,AK1937)</f>
        <v>45307</v>
      </c>
      <c r="AM1937" s="23">
        <f>_xll.qlIndexFixing(hiborindex,AK1937)</f>
        <v>9.5481154292113221E-3</v>
      </c>
    </row>
    <row r="1938" spans="37:39" x14ac:dyDescent="0.25">
      <c r="AK1938" s="21">
        <f>_xll.qlCalendarAdvance(calendar,AK1937,"1D")</f>
        <v>45306</v>
      </c>
      <c r="AL1938" s="21">
        <f>_xll.qlInterestRateIndexValueDate(hiborindex,AK1938)</f>
        <v>45308</v>
      </c>
      <c r="AM1938" s="23">
        <f>_xll.qlIndexFixing(hiborindex,AK1938)</f>
        <v>9.5531259561229386E-3</v>
      </c>
    </row>
    <row r="1939" spans="37:39" x14ac:dyDescent="0.25">
      <c r="AK1939" s="21">
        <f>_xll.qlCalendarAdvance(calendar,AK1938,"1D")</f>
        <v>45307</v>
      </c>
      <c r="AL1939" s="21">
        <f>_xll.qlInterestRateIndexValueDate(hiborindex,AK1939)</f>
        <v>45309</v>
      </c>
      <c r="AM1939" s="23">
        <f>_xll.qlIndexFixing(hiborindex,AK1939)</f>
        <v>9.5581361275742793E-3</v>
      </c>
    </row>
    <row r="1940" spans="37:39" x14ac:dyDescent="0.25">
      <c r="AK1940" s="21">
        <f>_xll.qlCalendarAdvance(calendar,AK1939,"1D")</f>
        <v>45308</v>
      </c>
      <c r="AL1940" s="21">
        <f>_xll.qlInterestRateIndexValueDate(hiborindex,AK1940)</f>
        <v>45310</v>
      </c>
      <c r="AM1940" s="23">
        <f>_xll.qlIndexFixing(hiborindex,AK1940)</f>
        <v>9.5631459435627075E-3</v>
      </c>
    </row>
    <row r="1941" spans="37:39" x14ac:dyDescent="0.25">
      <c r="AK1941" s="21">
        <f>_xll.qlCalendarAdvance(calendar,AK1940,"1D")</f>
        <v>45309</v>
      </c>
      <c r="AL1941" s="21">
        <f>_xll.qlInterestRateIndexValueDate(hiborindex,AK1941)</f>
        <v>45313</v>
      </c>
      <c r="AM1941" s="23">
        <f>_xll.qlIndexFixing(hiborindex,AK1941)</f>
        <v>9.5781732587224139E-3</v>
      </c>
    </row>
    <row r="1942" spans="37:39" x14ac:dyDescent="0.25">
      <c r="AK1942" s="21">
        <f>_xll.qlCalendarAdvance(calendar,AK1941,"1D")</f>
        <v>45310</v>
      </c>
      <c r="AL1942" s="21">
        <f>_xll.qlInterestRateIndexValueDate(hiborindex,AK1942)</f>
        <v>45314</v>
      </c>
      <c r="AM1942" s="23">
        <f>_xll.qlIndexFixing(hiborindex,AK1942)</f>
        <v>9.5831816528310857E-3</v>
      </c>
    </row>
    <row r="1943" spans="37:39" x14ac:dyDescent="0.25">
      <c r="AK1943" s="21">
        <f>_xll.qlCalendarAdvance(calendar,AK1942,"1D")</f>
        <v>45313</v>
      </c>
      <c r="AL1943" s="21">
        <f>_xll.qlInterestRateIndexValueDate(hiborindex,AK1943)</f>
        <v>45315</v>
      </c>
      <c r="AM1943" s="23">
        <f>_xll.qlIndexFixing(hiborindex,AK1943)</f>
        <v>9.5881896914632291E-3</v>
      </c>
    </row>
    <row r="1944" spans="37:39" x14ac:dyDescent="0.25">
      <c r="AK1944" s="21">
        <f>_xll.qlCalendarAdvance(calendar,AK1943,"1D")</f>
        <v>45314</v>
      </c>
      <c r="AL1944" s="21">
        <f>_xll.qlInterestRateIndexValueDate(hiborindex,AK1944)</f>
        <v>45316</v>
      </c>
      <c r="AM1944" s="23">
        <f>_xll.qlIndexFixing(hiborindex,AK1944)</f>
        <v>9.5931973746162108E-3</v>
      </c>
    </row>
    <row r="1945" spans="37:39" x14ac:dyDescent="0.25">
      <c r="AK1945" s="21">
        <f>_xll.qlCalendarAdvance(calendar,AK1944,"1D")</f>
        <v>45315</v>
      </c>
      <c r="AL1945" s="21">
        <f>_xll.qlInterestRateIndexValueDate(hiborindex,AK1945)</f>
        <v>45317</v>
      </c>
      <c r="AM1945" s="23">
        <f>_xll.qlIndexFixing(hiborindex,AK1945)</f>
        <v>9.5982047022860773E-3</v>
      </c>
    </row>
    <row r="1946" spans="37:39" x14ac:dyDescent="0.25">
      <c r="AK1946" s="21">
        <f>_xll.qlCalendarAdvance(calendar,AK1945,"1D")</f>
        <v>45316</v>
      </c>
      <c r="AL1946" s="21">
        <f>_xll.qlInterestRateIndexValueDate(hiborindex,AK1946)</f>
        <v>45320</v>
      </c>
      <c r="AM1946" s="23">
        <f>_xll.qlIndexFixing(hiborindex,AK1946)</f>
        <v>9.613224552375902E-3</v>
      </c>
    </row>
    <row r="1947" spans="37:39" x14ac:dyDescent="0.25">
      <c r="AK1947" s="21">
        <f>_xll.qlCalendarAdvance(calendar,AK1946,"1D")</f>
        <v>45317</v>
      </c>
      <c r="AL1947" s="21">
        <f>_xll.qlInterestRateIndexValueDate(hiborindex,AK1947)</f>
        <v>45321</v>
      </c>
      <c r="AM1947" s="23">
        <f>_xll.qlIndexFixing(hiborindex,AK1947)</f>
        <v>9.618230458089589E-3</v>
      </c>
    </row>
    <row r="1948" spans="37:39" x14ac:dyDescent="0.25">
      <c r="AK1948" s="21">
        <f>_xll.qlCalendarAdvance(calendar,AK1947,"1D")</f>
        <v>45320</v>
      </c>
      <c r="AL1948" s="21">
        <f>_xll.qlInterestRateIndexValueDate(hiborindex,AK1948)</f>
        <v>45322</v>
      </c>
      <c r="AM1948" s="23">
        <f>_xll.qlIndexFixing(hiborindex,AK1948)</f>
        <v>9.6232360083074227E-3</v>
      </c>
    </row>
    <row r="1949" spans="37:39" x14ac:dyDescent="0.25">
      <c r="AK1949" s="21">
        <f>_xll.qlCalendarAdvance(calendar,AK1948,"1D")</f>
        <v>45321</v>
      </c>
      <c r="AL1949" s="21">
        <f>_xll.qlInterestRateIndexValueDate(hiborindex,AK1949)</f>
        <v>45323</v>
      </c>
      <c r="AM1949" s="23">
        <f>_xll.qlIndexFixing(hiborindex,AK1949)</f>
        <v>9.628241203026331E-3</v>
      </c>
    </row>
    <row r="1950" spans="37:39" x14ac:dyDescent="0.25">
      <c r="AK1950" s="21">
        <f>_xll.qlCalendarAdvance(calendar,AK1949,"1D")</f>
        <v>45322</v>
      </c>
      <c r="AL1950" s="21">
        <f>_xll.qlInterestRateIndexValueDate(hiborindex,AK1950)</f>
        <v>45324</v>
      </c>
      <c r="AM1950" s="23">
        <f>_xll.qlIndexFixing(hiborindex,AK1950)</f>
        <v>9.6332460422432365E-3</v>
      </c>
    </row>
    <row r="1951" spans="37:39" x14ac:dyDescent="0.25">
      <c r="AK1951" s="21">
        <f>_xll.qlCalendarAdvance(calendar,AK1950,"1D")</f>
        <v>45323</v>
      </c>
      <c r="AL1951" s="21">
        <f>_xll.qlInterestRateIndexValueDate(hiborindex,AK1951)</f>
        <v>45327</v>
      </c>
      <c r="AM1951" s="23">
        <f>_xll.qlIndexFixing(hiborindex,AK1951)</f>
        <v>9.648258426858668E-3</v>
      </c>
    </row>
    <row r="1952" spans="37:39" x14ac:dyDescent="0.25">
      <c r="AK1952" s="21">
        <f>_xll.qlCalendarAdvance(calendar,AK1951,"1D")</f>
        <v>45324</v>
      </c>
      <c r="AL1952" s="21">
        <f>_xll.qlInterestRateIndexValueDate(hiborindex,AK1952)</f>
        <v>45328</v>
      </c>
      <c r="AM1952" s="23">
        <f>_xll.qlIndexFixing(hiborindex,AK1952)</f>
        <v>9.6532618440425336E-3</v>
      </c>
    </row>
    <row r="1953" spans="37:39" x14ac:dyDescent="0.25">
      <c r="AK1953" s="21">
        <f>_xll.qlCalendarAdvance(calendar,AK1952,"1D")</f>
        <v>45327</v>
      </c>
      <c r="AL1953" s="21">
        <f>_xll.qlInterestRateIndexValueDate(hiborindex,AK1953)</f>
        <v>45329</v>
      </c>
      <c r="AM1953" s="23">
        <f>_xll.qlIndexFixing(hiborindex,AK1953)</f>
        <v>9.658264905711221E-3</v>
      </c>
    </row>
    <row r="1954" spans="37:39" x14ac:dyDescent="0.25">
      <c r="AK1954" s="21">
        <f>_xll.qlCalendarAdvance(calendar,AK1953,"1D")</f>
        <v>45328</v>
      </c>
      <c r="AL1954" s="21">
        <f>_xll.qlInterestRateIndexValueDate(hiborindex,AK1954)</f>
        <v>45330</v>
      </c>
      <c r="AM1954" s="23">
        <f>_xll.qlIndexFixing(hiborindex,AK1954)</f>
        <v>9.6632676118616565E-3</v>
      </c>
    </row>
    <row r="1955" spans="37:39" x14ac:dyDescent="0.25">
      <c r="AK1955" s="21">
        <f>_xll.qlCalendarAdvance(calendar,AK1954,"1D")</f>
        <v>45329</v>
      </c>
      <c r="AL1955" s="21">
        <f>_xll.qlInterestRateIndexValueDate(hiborindex,AK1955)</f>
        <v>45331</v>
      </c>
      <c r="AM1955" s="23">
        <f>_xll.qlIndexFixing(hiborindex,AK1955)</f>
        <v>9.6682699624916438E-3</v>
      </c>
    </row>
    <row r="1956" spans="37:39" x14ac:dyDescent="0.25">
      <c r="AK1956" s="21">
        <f>_xll.qlCalendarAdvance(calendar,AK1955,"1D")</f>
        <v>45330</v>
      </c>
      <c r="AL1956" s="21">
        <f>_xll.qlInterestRateIndexValueDate(hiborindex,AK1956)</f>
        <v>45334</v>
      </c>
      <c r="AM1956" s="23">
        <f>_xll.qlIndexFixing(hiborindex,AK1956)</f>
        <v>9.6832748812286113E-3</v>
      </c>
    </row>
    <row r="1957" spans="37:39" x14ac:dyDescent="0.25">
      <c r="AK1957" s="21">
        <f>_xll.qlCalendarAdvance(calendar,AK1956,"1D")</f>
        <v>45331</v>
      </c>
      <c r="AL1957" s="21">
        <f>_xll.qlInterestRateIndexValueDate(hiborindex,AK1957)</f>
        <v>45335</v>
      </c>
      <c r="AM1957" s="23">
        <f>_xll.qlIndexFixing(hiborindex,AK1957)</f>
        <v>9.6882758097478171E-3</v>
      </c>
    </row>
    <row r="1958" spans="37:39" x14ac:dyDescent="0.25">
      <c r="AK1958" s="21">
        <f>_xll.qlCalendarAdvance(calendar,AK1957,"1D")</f>
        <v>45334</v>
      </c>
      <c r="AL1958" s="21">
        <f>_xll.qlInterestRateIndexValueDate(hiborindex,AK1958)</f>
        <v>45336</v>
      </c>
      <c r="AM1958" s="23">
        <f>_xll.qlIndexFixing(hiborindex,AK1958)</f>
        <v>9.69327638273252E-3</v>
      </c>
    </row>
    <row r="1959" spans="37:39" x14ac:dyDescent="0.25">
      <c r="AK1959" s="21">
        <f>_xll.qlCalendarAdvance(calendar,AK1958,"1D")</f>
        <v>45335</v>
      </c>
      <c r="AL1959" s="21">
        <f>_xll.qlInterestRateIndexValueDate(hiborindex,AK1959)</f>
        <v>45337</v>
      </c>
      <c r="AM1959" s="23">
        <f>_xll.qlIndexFixing(hiborindex,AK1959)</f>
        <v>9.6982766001800849E-3</v>
      </c>
    </row>
    <row r="1960" spans="37:39" x14ac:dyDescent="0.25">
      <c r="AK1960" s="21">
        <f>_xll.qlCalendarAdvance(calendar,AK1959,"1D")</f>
        <v>45336</v>
      </c>
      <c r="AL1960" s="21">
        <f>_xll.qlInterestRateIndexValueDate(hiborindex,AK1960)</f>
        <v>45338</v>
      </c>
      <c r="AM1960" s="23">
        <f>_xll.qlIndexFixing(hiborindex,AK1960)</f>
        <v>9.703276462087438E-3</v>
      </c>
    </row>
    <row r="1961" spans="37:39" x14ac:dyDescent="0.25">
      <c r="AK1961" s="21">
        <f>_xll.qlCalendarAdvance(calendar,AK1960,"1D")</f>
        <v>45337</v>
      </c>
      <c r="AL1961" s="21">
        <f>_xll.qlInterestRateIndexValueDate(hiborindex,AK1961)</f>
        <v>45341</v>
      </c>
      <c r="AM1961" s="23">
        <f>_xll.qlIndexFixing(hiborindex,AK1961)</f>
        <v>9.7182739145423077E-3</v>
      </c>
    </row>
    <row r="1962" spans="37:39" x14ac:dyDescent="0.25">
      <c r="AK1962" s="21">
        <f>_xll.qlCalendarAdvance(calendar,AK1961,"1D")</f>
        <v>45338</v>
      </c>
      <c r="AL1962" s="21">
        <f>_xll.qlInterestRateIndexValueDate(hiborindex,AK1962)</f>
        <v>45342</v>
      </c>
      <c r="AM1962" s="23">
        <f>_xll.qlIndexFixing(hiborindex,AK1962)</f>
        <v>9.723272354262456E-3</v>
      </c>
    </row>
    <row r="1963" spans="37:39" x14ac:dyDescent="0.25">
      <c r="AK1963" s="21">
        <f>_xll.qlCalendarAdvance(calendar,AK1962,"1D")</f>
        <v>45341</v>
      </c>
      <c r="AL1963" s="21">
        <f>_xll.qlInterestRateIndexValueDate(hiborindex,AK1963)</f>
        <v>45343</v>
      </c>
      <c r="AM1963" s="23">
        <f>_xll.qlIndexFixing(hiborindex,AK1963)</f>
        <v>9.7282704384287783E-3</v>
      </c>
    </row>
    <row r="1964" spans="37:39" x14ac:dyDescent="0.25">
      <c r="AK1964" s="21">
        <f>_xll.qlCalendarAdvance(calendar,AK1963,"1D")</f>
        <v>45342</v>
      </c>
      <c r="AL1964" s="21">
        <f>_xll.qlInterestRateIndexValueDate(hiborindex,AK1964)</f>
        <v>45344</v>
      </c>
      <c r="AM1964" s="23">
        <f>_xll.qlIndexFixing(hiborindex,AK1964)</f>
        <v>9.7332681670390751E-3</v>
      </c>
    </row>
    <row r="1965" spans="37:39" x14ac:dyDescent="0.25">
      <c r="AK1965" s="21">
        <f>_xll.qlCalendarAdvance(calendar,AK1964,"1D")</f>
        <v>45343</v>
      </c>
      <c r="AL1965" s="21">
        <f>_xll.qlInterestRateIndexValueDate(hiborindex,AK1965)</f>
        <v>45345</v>
      </c>
      <c r="AM1965" s="23">
        <f>_xll.qlIndexFixing(hiborindex,AK1965)</f>
        <v>9.7382655400893945E-3</v>
      </c>
    </row>
    <row r="1966" spans="37:39" x14ac:dyDescent="0.25">
      <c r="AK1966" s="21">
        <f>_xll.qlCalendarAdvance(calendar,AK1965,"1D")</f>
        <v>45344</v>
      </c>
      <c r="AL1966" s="21">
        <f>_xll.qlInterestRateIndexValueDate(hiborindex,AK1966)</f>
        <v>45348</v>
      </c>
      <c r="AM1966" s="23">
        <f>_xll.qlIndexFixing(hiborindex,AK1966)</f>
        <v>9.7532555258589716E-3</v>
      </c>
    </row>
    <row r="1967" spans="37:39" x14ac:dyDescent="0.25">
      <c r="AK1967" s="21">
        <f>_xll.qlCalendarAdvance(calendar,AK1966,"1D")</f>
        <v>45345</v>
      </c>
      <c r="AL1967" s="21">
        <f>_xll.qlInterestRateIndexValueDate(hiborindex,AK1967)</f>
        <v>45349</v>
      </c>
      <c r="AM1967" s="23">
        <f>_xll.qlIndexFixing(hiborindex,AK1967)</f>
        <v>9.7582514766452258E-3</v>
      </c>
    </row>
    <row r="1968" spans="37:39" x14ac:dyDescent="0.25">
      <c r="AK1968" s="21">
        <f>_xll.qlCalendarAdvance(calendar,AK1967,"1D")</f>
        <v>45348</v>
      </c>
      <c r="AL1968" s="21">
        <f>_xll.qlInterestRateIndexValueDate(hiborindex,AK1968)</f>
        <v>45350</v>
      </c>
      <c r="AM1968" s="23">
        <f>_xll.qlIndexFixing(hiborindex,AK1968)</f>
        <v>9.7632470718587681E-3</v>
      </c>
    </row>
    <row r="1969" spans="37:39" x14ac:dyDescent="0.25">
      <c r="AK1969" s="21">
        <f>_xll.qlCalendarAdvance(calendar,AK1968,"1D")</f>
        <v>45349</v>
      </c>
      <c r="AL1969" s="21">
        <f>_xll.qlInterestRateIndexValueDate(hiborindex,AK1969)</f>
        <v>45351</v>
      </c>
      <c r="AM1969" s="23">
        <f>_xll.qlIndexFixing(hiborindex,AK1969)</f>
        <v>9.7707808526321192E-3</v>
      </c>
    </row>
    <row r="1970" spans="37:39" x14ac:dyDescent="0.25">
      <c r="AK1970" s="21">
        <f>_xll.qlCalendarAdvance(calendar,AK1969,"1D")</f>
        <v>45350</v>
      </c>
      <c r="AL1970" s="21">
        <f>_xll.qlInterestRateIndexValueDate(hiborindex,AK1970)</f>
        <v>45352</v>
      </c>
      <c r="AM1970" s="23">
        <f>_xll.qlIndexFixing(hiborindex,AK1970)</f>
        <v>9.7808726285461937E-3</v>
      </c>
    </row>
    <row r="1971" spans="37:39" x14ac:dyDescent="0.25">
      <c r="AK1971" s="21">
        <f>_xll.qlCalendarAdvance(calendar,AK1970,"1D")</f>
        <v>45351</v>
      </c>
      <c r="AL1971" s="21">
        <f>_xll.qlInterestRateIndexValueDate(hiborindex,AK1971)</f>
        <v>45355</v>
      </c>
      <c r="AM1971" s="23">
        <f>_xll.qlIndexFixing(hiborindex,AK1971)</f>
        <v>9.7933232369639776E-3</v>
      </c>
    </row>
    <row r="1972" spans="37:39" x14ac:dyDescent="0.25">
      <c r="AK1972" s="21">
        <f>_xll.qlCalendarAdvance(calendar,AK1971,"1D")</f>
        <v>45352</v>
      </c>
      <c r="AL1972" s="21">
        <f>_xll.qlInterestRateIndexValueDate(hiborindex,AK1972)</f>
        <v>45356</v>
      </c>
      <c r="AM1972" s="23">
        <f>_xll.qlIndexFixing(hiborindex,AK1972)</f>
        <v>9.7983223661945538E-3</v>
      </c>
    </row>
    <row r="1973" spans="37:39" x14ac:dyDescent="0.25">
      <c r="AK1973" s="21">
        <f>_xll.qlCalendarAdvance(calendar,AK1972,"1D")</f>
        <v>45355</v>
      </c>
      <c r="AL1973" s="21">
        <f>_xll.qlInterestRateIndexValueDate(hiborindex,AK1973)</f>
        <v>45357</v>
      </c>
      <c r="AM1973" s="23">
        <f>_xll.qlIndexFixing(hiborindex,AK1973)</f>
        <v>9.803321143979301E-3</v>
      </c>
    </row>
    <row r="1974" spans="37:39" x14ac:dyDescent="0.25">
      <c r="AK1974" s="21">
        <f>_xll.qlCalendarAdvance(calendar,AK1973,"1D")</f>
        <v>45356</v>
      </c>
      <c r="AL1974" s="21">
        <f>_xll.qlInterestRateIndexValueDate(hiborindex,AK1974)</f>
        <v>45358</v>
      </c>
      <c r="AM1974" s="23">
        <f>_xll.qlIndexFixing(hiborindex,AK1974)</f>
        <v>9.8134543163252968E-3</v>
      </c>
    </row>
    <row r="1975" spans="37:39" x14ac:dyDescent="0.25">
      <c r="AK1975" s="21">
        <f>_xll.qlCalendarAdvance(calendar,AK1974,"1D")</f>
        <v>45357</v>
      </c>
      <c r="AL1975" s="21">
        <f>_xll.qlInterestRateIndexValueDate(hiborindex,AK1975)</f>
        <v>45359</v>
      </c>
      <c r="AM1975" s="23">
        <f>_xll.qlIndexFixing(hiborindex,AK1975)</f>
        <v>9.815886066252992E-3</v>
      </c>
    </row>
    <row r="1976" spans="37:39" x14ac:dyDescent="0.25">
      <c r="AK1976" s="21">
        <f>_xll.qlCalendarAdvance(calendar,AK1975,"1D")</f>
        <v>45358</v>
      </c>
      <c r="AL1976" s="21">
        <f>_xll.qlInterestRateIndexValueDate(hiborindex,AK1976)</f>
        <v>45362</v>
      </c>
      <c r="AM1976" s="23">
        <f>_xll.qlIndexFixing(hiborindex,AK1976)</f>
        <v>9.8283097611274114E-3</v>
      </c>
    </row>
    <row r="1977" spans="37:39" x14ac:dyDescent="0.25">
      <c r="AK1977" s="21">
        <f>_xll.qlCalendarAdvance(calendar,AK1976,"1D")</f>
        <v>45359</v>
      </c>
      <c r="AL1977" s="21">
        <f>_xll.qlInterestRateIndexValueDate(hiborindex,AK1977)</f>
        <v>45363</v>
      </c>
      <c r="AM1977" s="23">
        <f>_xll.qlIndexFixing(hiborindex,AK1977)</f>
        <v>9.8333064301824469E-3</v>
      </c>
    </row>
    <row r="1978" spans="37:39" x14ac:dyDescent="0.25">
      <c r="AK1978" s="21">
        <f>_xll.qlCalendarAdvance(calendar,AK1977,"1D")</f>
        <v>45362</v>
      </c>
      <c r="AL1978" s="21">
        <f>_xll.qlInterestRateIndexValueDate(hiborindex,AK1978)</f>
        <v>45364</v>
      </c>
      <c r="AM1978" s="23">
        <f>_xll.qlIndexFixing(hiborindex,AK1978)</f>
        <v>9.8383027477725368E-3</v>
      </c>
    </row>
    <row r="1979" spans="37:39" x14ac:dyDescent="0.25">
      <c r="AK1979" s="21">
        <f>_xll.qlCalendarAdvance(calendar,AK1978,"1D")</f>
        <v>45363</v>
      </c>
      <c r="AL1979" s="21">
        <f>_xll.qlInterestRateIndexValueDate(hiborindex,AK1979)</f>
        <v>45365</v>
      </c>
      <c r="AM1979" s="23">
        <f>_xll.qlIndexFixing(hiborindex,AK1979)</f>
        <v>9.8484724989902992E-3</v>
      </c>
    </row>
    <row r="1980" spans="37:39" x14ac:dyDescent="0.25">
      <c r="AK1980" s="21">
        <f>_xll.qlCalendarAdvance(calendar,AK1979,"1D")</f>
        <v>45364</v>
      </c>
      <c r="AL1980" s="21">
        <f>_xll.qlInterestRateIndexValueDate(hiborindex,AK1980)</f>
        <v>45366</v>
      </c>
      <c r="AM1980" s="23">
        <f>_xll.qlIndexFixing(hiborindex,AK1980)</f>
        <v>9.8508823827455072E-3</v>
      </c>
    </row>
    <row r="1981" spans="37:39" x14ac:dyDescent="0.25">
      <c r="AK1981" s="21">
        <f>_xll.qlCalendarAdvance(calendar,AK1980,"1D")</f>
        <v>45365</v>
      </c>
      <c r="AL1981" s="21">
        <f>_xll.qlInterestRateIndexValueDate(hiborindex,AK1981)</f>
        <v>45369</v>
      </c>
      <c r="AM1981" s="23">
        <f>_xll.qlIndexFixing(hiborindex,AK1981)</f>
        <v>9.8632790636589002E-3</v>
      </c>
    </row>
    <row r="1982" spans="37:39" x14ac:dyDescent="0.25">
      <c r="AK1982" s="21">
        <f>_xll.qlCalendarAdvance(calendar,AK1981,"1D")</f>
        <v>45366</v>
      </c>
      <c r="AL1982" s="21">
        <f>_xll.qlInterestRateIndexValueDate(hiborindex,AK1982)</f>
        <v>45370</v>
      </c>
      <c r="AM1982" s="23">
        <f>_xll.qlIndexFixing(hiborindex,AK1982)</f>
        <v>9.8682732724041534E-3</v>
      </c>
    </row>
    <row r="1983" spans="37:39" x14ac:dyDescent="0.25">
      <c r="AK1983" s="21">
        <f>_xll.qlCalendarAdvance(calendar,AK1982,"1D")</f>
        <v>45369</v>
      </c>
      <c r="AL1983" s="21">
        <f>_xll.qlInterestRateIndexValueDate(hiborindex,AK1983)</f>
        <v>45371</v>
      </c>
      <c r="AM1983" s="23">
        <f>_xll.qlIndexFixing(hiborindex,AK1983)</f>
        <v>9.873267129665346E-3</v>
      </c>
    </row>
    <row r="1984" spans="37:39" x14ac:dyDescent="0.25">
      <c r="AK1984" s="21">
        <f>_xll.qlCalendarAdvance(calendar,AK1983,"1D")</f>
        <v>45370</v>
      </c>
      <c r="AL1984" s="21">
        <f>_xll.qlInterestRateIndexValueDate(hiborindex,AK1984)</f>
        <v>45372</v>
      </c>
      <c r="AM1984" s="23">
        <f>_xll.qlIndexFixing(hiborindex,AK1984)</f>
        <v>9.8834736586155478E-3</v>
      </c>
    </row>
    <row r="1985" spans="37:39" x14ac:dyDescent="0.25">
      <c r="AK1985" s="21">
        <f>_xll.qlCalendarAdvance(calendar,AK1984,"1D")</f>
        <v>45371</v>
      </c>
      <c r="AL1985" s="21">
        <f>_xll.qlInterestRateIndexValueDate(hiborindex,AK1985)</f>
        <v>45373</v>
      </c>
      <c r="AM1985" s="23">
        <f>_xll.qlIndexFixing(hiborindex,AK1985)</f>
        <v>9.8858615770817879E-3</v>
      </c>
    </row>
    <row r="1986" spans="37:39" x14ac:dyDescent="0.25">
      <c r="AK1986" s="21">
        <f>_xll.qlCalendarAdvance(calendar,AK1985,"1D")</f>
        <v>45372</v>
      </c>
      <c r="AL1986" s="21">
        <f>_xll.qlInterestRateIndexValueDate(hiborindex,AK1986)</f>
        <v>45376</v>
      </c>
      <c r="AM1986" s="23">
        <f>_xll.qlIndexFixing(hiborindex,AK1986)</f>
        <v>9.8982311436178905E-3</v>
      </c>
    </row>
    <row r="1987" spans="37:39" x14ac:dyDescent="0.25">
      <c r="AK1987" s="21">
        <f>_xll.qlCalendarAdvance(calendar,AK1986,"1D")</f>
        <v>45373</v>
      </c>
      <c r="AL1987" s="21">
        <f>_xll.qlInterestRateIndexValueDate(hiborindex,AK1987)</f>
        <v>45377</v>
      </c>
      <c r="AM1987" s="23">
        <f>_xll.qlIndexFixing(hiborindex,AK1987)</f>
        <v>9.9032228919191199E-3</v>
      </c>
    </row>
    <row r="1988" spans="37:39" x14ac:dyDescent="0.25">
      <c r="AK1988" s="21">
        <f>_xll.qlCalendarAdvance(calendar,AK1987,"1D")</f>
        <v>45376</v>
      </c>
      <c r="AL1988" s="21">
        <f>_xll.qlInterestRateIndexValueDate(hiborindex,AK1988)</f>
        <v>45378</v>
      </c>
      <c r="AM1988" s="23">
        <f>_xll.qlIndexFixing(hiborindex,AK1988)</f>
        <v>9.9082142887167417E-3</v>
      </c>
    </row>
    <row r="1989" spans="37:39" x14ac:dyDescent="0.25">
      <c r="AK1989" s="21">
        <f>_xll.qlCalendarAdvance(calendar,AK1988,"1D")</f>
        <v>45377</v>
      </c>
      <c r="AL1989" s="21">
        <f>_xll.qlInterestRateIndexValueDate(hiborindex,AK1989)</f>
        <v>45379</v>
      </c>
      <c r="AM1989" s="23">
        <f>_xll.qlIndexFixing(hiborindex,AK1989)</f>
        <v>9.9184577942598613E-3</v>
      </c>
    </row>
    <row r="1990" spans="37:39" x14ac:dyDescent="0.25">
      <c r="AK1990" s="21">
        <f>_xll.qlCalendarAdvance(calendar,AK1989,"1D")</f>
        <v>45378</v>
      </c>
      <c r="AL1990" s="21">
        <f>_xll.qlInterestRateIndexValueDate(hiborindex,AK1990)</f>
        <v>45384</v>
      </c>
      <c r="AM1990" s="23">
        <f>_xll.qlIndexFixing(hiborindex,AK1990)</f>
        <v>9.9355190856984382E-3</v>
      </c>
    </row>
    <row r="1991" spans="37:39" x14ac:dyDescent="0.25">
      <c r="AK1991" s="21">
        <f>_xll.qlCalendarAdvance(calendar,AK1990,"1D")</f>
        <v>45379</v>
      </c>
      <c r="AL1991" s="21">
        <f>_xll.qlInterestRateIndexValueDate(hiborindex,AK1991)</f>
        <v>45385</v>
      </c>
      <c r="AM1991" s="23">
        <f>_xll.qlIndexFixing(hiborindex,AK1991)</f>
        <v>9.9405051429249883E-3</v>
      </c>
    </row>
    <row r="1992" spans="37:39" x14ac:dyDescent="0.25">
      <c r="AK1992" s="21">
        <f>_xll.qlCalendarAdvance(calendar,AK1991,"1D")</f>
        <v>45384</v>
      </c>
      <c r="AL1992" s="21">
        <f>_xll.qlInterestRateIndexValueDate(hiborindex,AK1992)</f>
        <v>45386</v>
      </c>
      <c r="AM1992" s="23">
        <f>_xll.qlIndexFixing(hiborindex,AK1992)</f>
        <v>9.9454908465642158E-3</v>
      </c>
    </row>
    <row r="1993" spans="37:39" x14ac:dyDescent="0.25">
      <c r="AK1993" s="21">
        <f>_xll.qlCalendarAdvance(calendar,AK1992,"1D")</f>
        <v>45385</v>
      </c>
      <c r="AL1993" s="21">
        <f>_xll.qlInterestRateIndexValueDate(hiborindex,AK1993)</f>
        <v>45387</v>
      </c>
      <c r="AM1993" s="23">
        <f>_xll.qlIndexFixing(hiborindex,AK1993)</f>
        <v>9.9557685955221735E-3</v>
      </c>
    </row>
    <row r="1994" spans="37:39" x14ac:dyDescent="0.25">
      <c r="AK1994" s="21">
        <f>_xll.qlCalendarAdvance(calendar,AK1993,"1D")</f>
        <v>45386</v>
      </c>
      <c r="AL1994" s="21">
        <f>_xll.qlInterestRateIndexValueDate(hiborindex,AK1994)</f>
        <v>45390</v>
      </c>
      <c r="AM1994" s="23">
        <f>_xll.qlIndexFixing(hiborindex,AK1994)</f>
        <v>9.9654301251919791E-3</v>
      </c>
    </row>
    <row r="1995" spans="37:39" x14ac:dyDescent="0.25">
      <c r="AK1995" s="21">
        <f>_xll.qlCalendarAdvance(calendar,AK1994,"1D")</f>
        <v>45387</v>
      </c>
      <c r="AL1995" s="21">
        <f>_xll.qlInterestRateIndexValueDate(hiborindex,AK1995)</f>
        <v>45391</v>
      </c>
      <c r="AM1995" s="23">
        <f>_xll.qlIndexFixing(hiborindex,AK1995)</f>
        <v>9.9704140608530938E-3</v>
      </c>
    </row>
    <row r="1996" spans="37:39" x14ac:dyDescent="0.25">
      <c r="AK1996" s="21">
        <f>_xll.qlCalendarAdvance(calendar,AK1995,"1D")</f>
        <v>45390</v>
      </c>
      <c r="AL1996" s="21">
        <f>_xll.qlInterestRateIndexValueDate(hiborindex,AK1996)</f>
        <v>45392</v>
      </c>
      <c r="AM1996" s="23">
        <f>_xll.qlIndexFixing(hiborindex,AK1996)</f>
        <v>9.9753976429102845E-3</v>
      </c>
    </row>
    <row r="1997" spans="37:39" x14ac:dyDescent="0.25">
      <c r="AK1997" s="21">
        <f>_xll.qlCalendarAdvance(calendar,AK1996,"1D")</f>
        <v>45391</v>
      </c>
      <c r="AL1997" s="21">
        <f>_xll.qlInterestRateIndexValueDate(hiborindex,AK1997)</f>
        <v>45393</v>
      </c>
      <c r="AM1997" s="23">
        <f>_xll.qlIndexFixing(hiborindex,AK1997)</f>
        <v>9.9803808713609336E-3</v>
      </c>
    </row>
    <row r="1998" spans="37:39" x14ac:dyDescent="0.25">
      <c r="AK1998" s="21">
        <f>_xll.qlCalendarAdvance(calendar,AK1997,"1D")</f>
        <v>45392</v>
      </c>
      <c r="AL1998" s="21">
        <f>_xll.qlInterestRateIndexValueDate(hiborindex,AK1998)</f>
        <v>45394</v>
      </c>
      <c r="AM1998" s="23">
        <f>_xll.qlIndexFixing(hiborindex,AK1998)</f>
        <v>9.9906964177454045E-3</v>
      </c>
    </row>
    <row r="1999" spans="37:39" x14ac:dyDescent="0.25">
      <c r="AK1999" s="21">
        <f>_xll.qlCalendarAdvance(calendar,AK1998,"1D")</f>
        <v>45393</v>
      </c>
      <c r="AL1999" s="21">
        <f>_xll.qlInterestRateIndexValueDate(hiborindex,AK1999)</f>
        <v>45397</v>
      </c>
      <c r="AM1999" s="23">
        <f>_xll.qlIndexFixing(hiborindex,AK1999)</f>
        <v>1.0000310249043496E-2</v>
      </c>
    </row>
    <row r="2000" spans="37:39" x14ac:dyDescent="0.25">
      <c r="AK2000" s="21">
        <f>_xll.qlCalendarAdvance(calendar,AK1999,"1D")</f>
        <v>45394</v>
      </c>
      <c r="AL2000" s="21">
        <f>_xll.qlInterestRateIndexValueDate(hiborindex,AK2000)</f>
        <v>45398</v>
      </c>
      <c r="AM2000" s="23">
        <f>_xll.qlIndexFixing(hiborindex,AK2000)</f>
        <v>1.0005291709420369E-2</v>
      </c>
    </row>
    <row r="2001" spans="37:39" x14ac:dyDescent="0.25">
      <c r="AK2001" s="21">
        <f>_xll.qlCalendarAdvance(calendar,AK2000,"1D")</f>
        <v>45397</v>
      </c>
      <c r="AL2001" s="21">
        <f>_xll.qlInterestRateIndexValueDate(hiborindex,AK2001)</f>
        <v>45399</v>
      </c>
      <c r="AM2001" s="23">
        <f>_xll.qlIndexFixing(hiborindex,AK2001)</f>
        <v>1.0010272816174101E-2</v>
      </c>
    </row>
    <row r="2002" spans="37:39" x14ac:dyDescent="0.25">
      <c r="AK2002" s="21">
        <f>_xll.qlCalendarAdvance(calendar,AK2001,"1D")</f>
        <v>45398</v>
      </c>
      <c r="AL2002" s="21">
        <f>_xll.qlInterestRateIndexValueDate(hiborindex,AK2002)</f>
        <v>45400</v>
      </c>
      <c r="AM2002" s="23">
        <f>_xll.qlIndexFixing(hiborindex,AK2002)</f>
        <v>1.0015253569302071E-2</v>
      </c>
    </row>
    <row r="2003" spans="37:39" x14ac:dyDescent="0.25">
      <c r="AK2003" s="21">
        <f>_xll.qlCalendarAdvance(calendar,AK2002,"1D")</f>
        <v>45399</v>
      </c>
      <c r="AL2003" s="21">
        <f>_xll.qlInterestRateIndexValueDate(hiborindex,AK2003)</f>
        <v>45401</v>
      </c>
      <c r="AM2003" s="23">
        <f>_xll.qlIndexFixing(hiborindex,AK2003)</f>
        <v>1.0025607114051517E-2</v>
      </c>
    </row>
    <row r="2004" spans="37:39" x14ac:dyDescent="0.25">
      <c r="AK2004" s="21">
        <f>_xll.qlCalendarAdvance(calendar,AK2003,"1D")</f>
        <v>45400</v>
      </c>
      <c r="AL2004" s="21">
        <f>_xll.qlInterestRateIndexValueDate(hiborindex,AK2004)</f>
        <v>45404</v>
      </c>
      <c r="AM2004" s="23">
        <f>_xll.qlIndexFixing(hiborindex,AK2004)</f>
        <v>1.003517304550347E-2</v>
      </c>
    </row>
    <row r="2005" spans="37:39" x14ac:dyDescent="0.25">
      <c r="AK2005" s="21">
        <f>_xll.qlCalendarAdvance(calendar,AK2004,"1D")</f>
        <v>45401</v>
      </c>
      <c r="AL2005" s="21">
        <f>_xll.qlInterestRateIndexValueDate(hiborindex,AK2005)</f>
        <v>45405</v>
      </c>
      <c r="AM2005" s="23">
        <f>_xll.qlIndexFixing(hiborindex,AK2005)</f>
        <v>1.0040152030462003E-2</v>
      </c>
    </row>
    <row r="2006" spans="37:39" x14ac:dyDescent="0.25">
      <c r="AK2006" s="21">
        <f>_xll.qlCalendarAdvance(calendar,AK2005,"1D")</f>
        <v>45404</v>
      </c>
      <c r="AL2006" s="21">
        <f>_xll.qlInterestRateIndexValueDate(hiborindex,AK2006)</f>
        <v>45406</v>
      </c>
      <c r="AM2006" s="23">
        <f>_xll.qlIndexFixing(hiborindex,AK2006)</f>
        <v>1.0045130661778612E-2</v>
      </c>
    </row>
    <row r="2007" spans="37:39" x14ac:dyDescent="0.25">
      <c r="AK2007" s="21">
        <f>_xll.qlCalendarAdvance(calendar,AK2006,"1D")</f>
        <v>45405</v>
      </c>
      <c r="AL2007" s="21">
        <f>_xll.qlInterestRateIndexValueDate(hiborindex,AK2007)</f>
        <v>45407</v>
      </c>
      <c r="AM2007" s="23">
        <f>_xll.qlIndexFixing(hiborindex,AK2007)</f>
        <v>1.0050108939450238E-2</v>
      </c>
    </row>
    <row r="2008" spans="37:39" x14ac:dyDescent="0.25">
      <c r="AK2008" s="21">
        <f>_xll.qlCalendarAdvance(calendar,AK2007,"1D")</f>
        <v>45406</v>
      </c>
      <c r="AL2008" s="21">
        <f>_xll.qlInterestRateIndexValueDate(hiborindex,AK2008)</f>
        <v>45408</v>
      </c>
      <c r="AM2008" s="23">
        <f>_xll.qlIndexFixing(hiborindex,AK2008)</f>
        <v>1.0060500683499863E-2</v>
      </c>
    </row>
    <row r="2009" spans="37:39" x14ac:dyDescent="0.25">
      <c r="AK2009" s="21">
        <f>_xll.qlCalendarAdvance(calendar,AK2008,"1D")</f>
        <v>45407</v>
      </c>
      <c r="AL2009" s="21">
        <f>_xll.qlInterestRateIndexValueDate(hiborindex,AK2009)</f>
        <v>45411</v>
      </c>
      <c r="AM2009" s="23">
        <f>_xll.qlIndexFixing(hiborindex,AK2009)</f>
        <v>1.0070018513633634E-2</v>
      </c>
    </row>
    <row r="2010" spans="37:39" x14ac:dyDescent="0.25">
      <c r="AK2010" s="21">
        <f>_xll.qlCalendarAdvance(calendar,AK2009,"1D")</f>
        <v>45408</v>
      </c>
      <c r="AL2010" s="21">
        <f>_xll.qlInterestRateIndexValueDate(hiborindex,AK2010)</f>
        <v>45412</v>
      </c>
      <c r="AM2010" s="23">
        <f>_xll.qlIndexFixing(hiborindex,AK2010)</f>
        <v>1.0077712615990062E-2</v>
      </c>
    </row>
    <row r="2011" spans="37:39" x14ac:dyDescent="0.25">
      <c r="AK2011" s="21">
        <f>_xll.qlCalendarAdvance(calendar,AK2010,"1D")</f>
        <v>45411</v>
      </c>
      <c r="AL2011" s="21">
        <f>_xll.qlInterestRateIndexValueDate(hiborindex,AK2011)</f>
        <v>45414</v>
      </c>
      <c r="AM2011" s="23">
        <f>_xll.qlIndexFixing(hiborindex,AK2011)</f>
        <v>1.0093123079841924E-2</v>
      </c>
    </row>
    <row r="2012" spans="37:39" x14ac:dyDescent="0.25">
      <c r="AK2012" s="21">
        <f>_xll.qlCalendarAdvance(calendar,AK2011,"1D")</f>
        <v>45412</v>
      </c>
      <c r="AL2012" s="21">
        <f>_xll.qlInterestRateIndexValueDate(hiborindex,AK2012)</f>
        <v>45415</v>
      </c>
      <c r="AM2012" s="23">
        <f>_xll.qlIndexFixing(hiborindex,AK2012)</f>
        <v>1.0095377125153239E-2</v>
      </c>
    </row>
    <row r="2013" spans="37:39" x14ac:dyDescent="0.25">
      <c r="AK2013" s="21">
        <f>_xll.qlCalendarAdvance(calendar,AK2012,"1D")</f>
        <v>45414</v>
      </c>
      <c r="AL2013" s="21">
        <f>_xll.qlInterestRateIndexValueDate(hiborindex,AK2013)</f>
        <v>45418</v>
      </c>
      <c r="AM2013" s="23">
        <f>_xll.qlIndexFixing(hiborindex,AK2013)</f>
        <v>1.0107581896714072E-2</v>
      </c>
    </row>
    <row r="2014" spans="37:39" x14ac:dyDescent="0.25">
      <c r="AK2014" s="21">
        <f>_xll.qlCalendarAdvance(calendar,AK2013,"1D")</f>
        <v>45415</v>
      </c>
      <c r="AL2014" s="21">
        <f>_xll.qlInterestRateIndexValueDate(hiborindex,AK2014)</f>
        <v>45419</v>
      </c>
      <c r="AM2014" s="23">
        <f>_xll.qlIndexFixing(hiborindex,AK2014)</f>
        <v>1.011255887953038E-2</v>
      </c>
    </row>
    <row r="2015" spans="37:39" x14ac:dyDescent="0.25">
      <c r="AK2015" s="21">
        <f>_xll.qlCalendarAdvance(calendar,AK2014,"1D")</f>
        <v>45418</v>
      </c>
      <c r="AL2015" s="21">
        <f>_xll.qlInterestRateIndexValueDate(hiborindex,AK2015)</f>
        <v>45420</v>
      </c>
      <c r="AM2015" s="23">
        <f>_xll.qlIndexFixing(hiborindex,AK2015)</f>
        <v>1.0117535510728824E-2</v>
      </c>
    </row>
    <row r="2016" spans="37:39" x14ac:dyDescent="0.25">
      <c r="AK2016" s="21">
        <f>_xll.qlCalendarAdvance(calendar,AK2015,"1D")</f>
        <v>45419</v>
      </c>
      <c r="AL2016" s="21">
        <f>_xll.qlInterestRateIndexValueDate(hiborindex,AK2016)</f>
        <v>45421</v>
      </c>
      <c r="AM2016" s="23">
        <f>_xll.qlIndexFixing(hiborindex,AK2016)</f>
        <v>1.0128005051852126E-2</v>
      </c>
    </row>
    <row r="2017" spans="37:39" x14ac:dyDescent="0.25">
      <c r="AK2017" s="21">
        <f>_xll.qlCalendarAdvance(calendar,AK2016,"1D")</f>
        <v>45420</v>
      </c>
      <c r="AL2017" s="21">
        <f>_xll.qlInterestRateIndexValueDate(hiborindex,AK2017)</f>
        <v>45422</v>
      </c>
      <c r="AM2017" s="23">
        <f>_xll.qlIndexFixing(hiborindex,AK2017)</f>
        <v>1.0130236438071863E-2</v>
      </c>
    </row>
    <row r="2018" spans="37:39" x14ac:dyDescent="0.25">
      <c r="AK2018" s="21">
        <f>_xll.qlCalendarAdvance(calendar,AK2017,"1D")</f>
        <v>45421</v>
      </c>
      <c r="AL2018" s="21">
        <f>_xll.qlInterestRateIndexValueDate(hiborindex,AK2018)</f>
        <v>45425</v>
      </c>
      <c r="AM2018" s="23">
        <f>_xll.qlIndexFixing(hiborindex,AK2018)</f>
        <v>1.0142413392357051E-2</v>
      </c>
    </row>
    <row r="2019" spans="37:39" x14ac:dyDescent="0.25">
      <c r="AK2019" s="21">
        <f>_xll.qlCalendarAdvance(calendar,AK2018,"1D")</f>
        <v>45422</v>
      </c>
      <c r="AL2019" s="21">
        <f>_xll.qlInterestRateIndexValueDate(hiborindex,AK2019)</f>
        <v>45426</v>
      </c>
      <c r="AM2019" s="23">
        <f>_xll.qlIndexFixing(hiborindex,AK2019)</f>
        <v>1.0147387913790088E-2</v>
      </c>
    </row>
    <row r="2020" spans="37:39" x14ac:dyDescent="0.25">
      <c r="AK2020" s="21">
        <f>_xll.qlCalendarAdvance(calendar,AK2019,"1D")</f>
        <v>45425</v>
      </c>
      <c r="AL2020" s="21">
        <f>_xll.qlInterestRateIndexValueDate(hiborindex,AK2020)</f>
        <v>45427</v>
      </c>
      <c r="AM2020" s="23">
        <f>_xll.qlIndexFixing(hiborindex,AK2020)</f>
        <v>1.015236208358658E-2</v>
      </c>
    </row>
    <row r="2021" spans="37:39" x14ac:dyDescent="0.25">
      <c r="AK2021" s="21">
        <f>_xll.qlCalendarAdvance(calendar,AK2020,"1D")</f>
        <v>45426</v>
      </c>
      <c r="AL2021" s="21">
        <f>_xll.qlInterestRateIndexValueDate(hiborindex,AK2021)</f>
        <v>45428</v>
      </c>
      <c r="AM2021" s="23">
        <f>_xll.qlIndexFixing(hiborindex,AK2021)</f>
        <v>1.016286999330257E-2</v>
      </c>
    </row>
    <row r="2022" spans="37:39" x14ac:dyDescent="0.25">
      <c r="AK2022" s="21">
        <f>_xll.qlCalendarAdvance(calendar,AK2021,"1D")</f>
        <v>45427</v>
      </c>
      <c r="AL2022" s="21">
        <f>_xll.qlInterestRateIndexValueDate(hiborindex,AK2022)</f>
        <v>45429</v>
      </c>
      <c r="AM2022" s="23">
        <f>_xll.qlIndexFixing(hiborindex,AK2022)</f>
        <v>1.0165078621318536E-2</v>
      </c>
    </row>
    <row r="2023" spans="37:39" x14ac:dyDescent="0.25">
      <c r="AK2023" s="21">
        <f>_xll.qlCalendarAdvance(calendar,AK2022,"1D")</f>
        <v>45428</v>
      </c>
      <c r="AL2023" s="21">
        <f>_xll.qlInterestRateIndexValueDate(hiborindex,AK2023)</f>
        <v>45432</v>
      </c>
      <c r="AM2023" s="23">
        <f>_xll.qlIndexFixing(hiborindex,AK2023)</f>
        <v>1.0177227657916149E-2</v>
      </c>
    </row>
    <row r="2024" spans="37:39" x14ac:dyDescent="0.25">
      <c r="AK2024" s="21">
        <f>_xll.qlCalendarAdvance(calendar,AK2023,"1D")</f>
        <v>45429</v>
      </c>
      <c r="AL2024" s="21">
        <f>_xll.qlInterestRateIndexValueDate(hiborindex,AK2024)</f>
        <v>45433</v>
      </c>
      <c r="AM2024" s="23">
        <f>_xll.qlIndexFixing(hiborindex,AK2024)</f>
        <v>1.0182199717832543E-2</v>
      </c>
    </row>
    <row r="2025" spans="37:39" x14ac:dyDescent="0.25">
      <c r="AK2025" s="21">
        <f>_xll.qlCalendarAdvance(calendar,AK2024,"1D")</f>
        <v>45432</v>
      </c>
      <c r="AL2025" s="21">
        <f>_xll.qlInterestRateIndexValueDate(hiborindex,AK2025)</f>
        <v>45434</v>
      </c>
      <c r="AM2025" s="23">
        <f>_xll.qlIndexFixing(hiborindex,AK2025)</f>
        <v>1.0187171426092843E-2</v>
      </c>
    </row>
    <row r="2026" spans="37:39" x14ac:dyDescent="0.25">
      <c r="AK2026" s="21">
        <f>_xll.qlCalendarAdvance(calendar,AK2025,"1D")</f>
        <v>45433</v>
      </c>
      <c r="AL2026" s="21">
        <f>_xll.qlInterestRateIndexValueDate(hiborindex,AK2026)</f>
        <v>45435</v>
      </c>
      <c r="AM2026" s="23">
        <f>_xll.qlIndexFixing(hiborindex,AK2026)</f>
        <v>1.0197717903255943E-2</v>
      </c>
    </row>
    <row r="2027" spans="37:39" x14ac:dyDescent="0.25">
      <c r="AK2027" s="21">
        <f>_xll.qlCalendarAdvance(calendar,AK2026,"1D")</f>
        <v>45434</v>
      </c>
      <c r="AL2027" s="21">
        <f>_xll.qlInterestRateIndexValueDate(hiborindex,AK2027)</f>
        <v>45436</v>
      </c>
      <c r="AM2027" s="23">
        <f>_xll.qlIndexFixing(hiborindex,AK2027)</f>
        <v>1.0199903673955627E-2</v>
      </c>
    </row>
    <row r="2028" spans="37:39" x14ac:dyDescent="0.25">
      <c r="AK2028" s="21">
        <f>_xll.qlCalendarAdvance(calendar,AK2027,"1D")</f>
        <v>45435</v>
      </c>
      <c r="AL2028" s="21">
        <f>_xll.qlInterestRateIndexValueDate(hiborindex,AK2028)</f>
        <v>45439</v>
      </c>
      <c r="AM2028" s="23">
        <f>_xll.qlIndexFixing(hiborindex,AK2028)</f>
        <v>1.0212024692454724E-2</v>
      </c>
    </row>
    <row r="2029" spans="37:39" x14ac:dyDescent="0.25">
      <c r="AK2029" s="21">
        <f>_xll.qlCalendarAdvance(calendar,AK2028,"1D")</f>
        <v>45436</v>
      </c>
      <c r="AL2029" s="21">
        <f>_xll.qlInterestRateIndexValueDate(hiborindex,AK2029)</f>
        <v>45440</v>
      </c>
      <c r="AM2029" s="23">
        <f>_xll.qlIndexFixing(hiborindex,AK2029)</f>
        <v>1.0216994290720234E-2</v>
      </c>
    </row>
    <row r="2030" spans="37:39" x14ac:dyDescent="0.25">
      <c r="AK2030" s="21">
        <f>_xll.qlCalendarAdvance(calendar,AK2029,"1D")</f>
        <v>45439</v>
      </c>
      <c r="AL2030" s="21">
        <f>_xll.qlInterestRateIndexValueDate(hiborindex,AK2030)</f>
        <v>45441</v>
      </c>
      <c r="AM2030" s="23">
        <f>_xll.qlIndexFixing(hiborindex,AK2030)</f>
        <v>1.0221963537310535E-2</v>
      </c>
    </row>
    <row r="2031" spans="37:39" x14ac:dyDescent="0.25">
      <c r="AK2031" s="21">
        <f>_xll.qlCalendarAdvance(calendar,AK2030,"1D")</f>
        <v>45440</v>
      </c>
      <c r="AL2031" s="21">
        <f>_xll.qlInterestRateIndexValueDate(hiborindex,AK2031)</f>
        <v>45442</v>
      </c>
      <c r="AM2031" s="23">
        <f>_xll.qlIndexFixing(hiborindex,AK2031)</f>
        <v>1.0224125840467254E-2</v>
      </c>
    </row>
    <row r="2032" spans="37:39" x14ac:dyDescent="0.25">
      <c r="AK2032" s="21">
        <f>_xll.qlCalendarAdvance(calendar,AK2031,"1D")</f>
        <v>45441</v>
      </c>
      <c r="AL2032" s="21">
        <f>_xll.qlInterestRateIndexValueDate(hiborindex,AK2032)</f>
        <v>45443</v>
      </c>
      <c r="AM2032" s="23">
        <f>_xll.qlIndexFixing(hiborindex,AK2032)</f>
        <v>1.0226282838223678E-2</v>
      </c>
    </row>
    <row r="2033" spans="37:39" x14ac:dyDescent="0.25">
      <c r="AK2033" s="21">
        <f>_xll.qlCalendarAdvance(calendar,AK2032,"1D")</f>
        <v>45442</v>
      </c>
      <c r="AL2033" s="21">
        <f>_xll.qlInterestRateIndexValueDate(hiborindex,AK2033)</f>
        <v>45446</v>
      </c>
      <c r="AM2033" s="23">
        <f>_xll.qlIndexFixing(hiborindex,AK2033)</f>
        <v>1.0243985896530333E-2</v>
      </c>
    </row>
    <row r="2034" spans="37:39" x14ac:dyDescent="0.25">
      <c r="AK2034" s="21">
        <f>_xll.qlCalendarAdvance(calendar,AK2033,"1D")</f>
        <v>45443</v>
      </c>
      <c r="AL2034" s="21">
        <f>_xll.qlInterestRateIndexValueDate(hiborindex,AK2034)</f>
        <v>45447</v>
      </c>
      <c r="AM2034" s="23">
        <f>_xll.qlIndexFixing(hiborindex,AK2034)</f>
        <v>1.0248950026167523E-2</v>
      </c>
    </row>
    <row r="2035" spans="37:39" x14ac:dyDescent="0.25">
      <c r="AK2035" s="21">
        <f>_xll.qlCalendarAdvance(calendar,AK2034,"1D")</f>
        <v>45446</v>
      </c>
      <c r="AL2035" s="21">
        <f>_xll.qlInterestRateIndexValueDate(hiborindex,AK2035)</f>
        <v>45448</v>
      </c>
      <c r="AM2035" s="23">
        <f>_xll.qlIndexFixing(hiborindex,AK2035)</f>
        <v>1.0253913802047905E-2</v>
      </c>
    </row>
    <row r="2036" spans="37:39" x14ac:dyDescent="0.25">
      <c r="AK2036" s="21">
        <f>_xll.qlCalendarAdvance(calendar,AK2035,"1D")</f>
        <v>45447</v>
      </c>
      <c r="AL2036" s="21">
        <f>_xll.qlInterestRateIndexValueDate(hiborindex,AK2036)</f>
        <v>45449</v>
      </c>
      <c r="AM2036" s="23">
        <f>_xll.qlIndexFixing(hiborindex,AK2036)</f>
        <v>1.0258877224169299E-2</v>
      </c>
    </row>
    <row r="2037" spans="37:39" x14ac:dyDescent="0.25">
      <c r="AK2037" s="21">
        <f>_xll.qlCalendarAdvance(calendar,AK2036,"1D")</f>
        <v>45448</v>
      </c>
      <c r="AL2037" s="21">
        <f>_xll.qlInterestRateIndexValueDate(hiborindex,AK2037)</f>
        <v>45450</v>
      </c>
      <c r="AM2037" s="23">
        <f>_xll.qlIndexFixing(hiborindex,AK2037)</f>
        <v>1.0269502383653586E-2</v>
      </c>
    </row>
    <row r="2038" spans="37:39" x14ac:dyDescent="0.25">
      <c r="AK2038" s="21">
        <f>_xll.qlCalendarAdvance(calendar,AK2037,"1D")</f>
        <v>45449</v>
      </c>
      <c r="AL2038" s="21">
        <f>_xll.qlInterestRateIndexValueDate(hiborindex,AK2038)</f>
        <v>45453</v>
      </c>
      <c r="AM2038" s="23">
        <f>_xll.qlIndexFixing(hiborindex,AK2038)</f>
        <v>1.0278727375003394E-2</v>
      </c>
    </row>
    <row r="2039" spans="37:39" x14ac:dyDescent="0.25">
      <c r="AK2039" s="21">
        <f>_xll.qlCalendarAdvance(calendar,AK2038,"1D")</f>
        <v>45450</v>
      </c>
      <c r="AL2039" s="21">
        <f>_xll.qlInterestRateIndexValueDate(hiborindex,AK2039)</f>
        <v>45454</v>
      </c>
      <c r="AM2039" s="23">
        <f>_xll.qlIndexFixing(hiborindex,AK2039)</f>
        <v>1.0283689028285723E-2</v>
      </c>
    </row>
    <row r="2040" spans="37:39" x14ac:dyDescent="0.25">
      <c r="AK2040" s="21">
        <f>_xll.qlCalendarAdvance(calendar,AK2039,"1D")</f>
        <v>45453</v>
      </c>
      <c r="AL2040" s="21">
        <f>_xll.qlInterestRateIndexValueDate(hiborindex,AK2040)</f>
        <v>45455</v>
      </c>
      <c r="AM2040" s="23">
        <f>_xll.qlIndexFixing(hiborindex,AK2040)</f>
        <v>1.0288650327792465E-2</v>
      </c>
    </row>
    <row r="2041" spans="37:39" x14ac:dyDescent="0.25">
      <c r="AK2041" s="21">
        <f>_xll.qlCalendarAdvance(calendar,AK2040,"1D")</f>
        <v>45454</v>
      </c>
      <c r="AL2041" s="21">
        <f>_xll.qlInterestRateIndexValueDate(hiborindex,AK2041)</f>
        <v>45456</v>
      </c>
      <c r="AM2041" s="23">
        <f>_xll.qlIndexFixing(hiborindex,AK2041)</f>
        <v>1.0293611273520561E-2</v>
      </c>
    </row>
    <row r="2042" spans="37:39" x14ac:dyDescent="0.25">
      <c r="AK2042" s="21">
        <f>_xll.qlCalendarAdvance(calendar,AK2041,"1D")</f>
        <v>45455</v>
      </c>
      <c r="AL2042" s="21">
        <f>_xll.qlInterestRateIndexValueDate(hiborindex,AK2042)</f>
        <v>45457</v>
      </c>
      <c r="AM2042" s="23">
        <f>_xll.qlIndexFixing(hiborindex,AK2042)</f>
        <v>1.0304276038841787E-2</v>
      </c>
    </row>
    <row r="2043" spans="37:39" x14ac:dyDescent="0.25">
      <c r="AK2043" s="21">
        <f>_xll.qlCalendarAdvance(calendar,AK2042,"1D")</f>
        <v>45456</v>
      </c>
      <c r="AL2043" s="21">
        <f>_xll.qlInterestRateIndexValueDate(hiborindex,AK2043)</f>
        <v>45460</v>
      </c>
      <c r="AM2043" s="23">
        <f>_xll.qlIndexFixing(hiborindex,AK2043)</f>
        <v>1.0313451518591888E-2</v>
      </c>
    </row>
    <row r="2044" spans="37:39" x14ac:dyDescent="0.25">
      <c r="AK2044" s="21">
        <f>_xll.qlCalendarAdvance(calendar,AK2043,"1D")</f>
        <v>45457</v>
      </c>
      <c r="AL2044" s="21">
        <f>_xll.qlInterestRateIndexValueDate(hiborindex,AK2044)</f>
        <v>45461</v>
      </c>
      <c r="AM2044" s="23">
        <f>_xll.qlIndexFixing(hiborindex,AK2044)</f>
        <v>1.0318410695386132E-2</v>
      </c>
    </row>
    <row r="2045" spans="37:39" x14ac:dyDescent="0.25">
      <c r="AK2045" s="21">
        <f>_xll.qlCalendarAdvance(calendar,AK2044,"1D")</f>
        <v>45460</v>
      </c>
      <c r="AL2045" s="21">
        <f>_xll.qlInterestRateIndexValueDate(hiborindex,AK2045)</f>
        <v>45462</v>
      </c>
      <c r="AM2045" s="23">
        <f>_xll.qlIndexFixing(hiborindex,AK2045)</f>
        <v>1.0323369518385132E-2</v>
      </c>
    </row>
    <row r="2046" spans="37:39" x14ac:dyDescent="0.25">
      <c r="AK2046" s="21">
        <f>_xll.qlCalendarAdvance(calendar,AK2045,"1D")</f>
        <v>45461</v>
      </c>
      <c r="AL2046" s="21">
        <f>_xll.qlInterestRateIndexValueDate(hiborindex,AK2046)</f>
        <v>45463</v>
      </c>
      <c r="AM2046" s="23">
        <f>_xll.qlIndexFixing(hiborindex,AK2046)</f>
        <v>1.0328327987586703E-2</v>
      </c>
    </row>
    <row r="2047" spans="37:39" x14ac:dyDescent="0.25">
      <c r="AK2047" s="21">
        <f>_xll.qlCalendarAdvance(calendar,AK2046,"1D")</f>
        <v>45462</v>
      </c>
      <c r="AL2047" s="21">
        <f>_xll.qlInterestRateIndexValueDate(hiborindex,AK2047)</f>
        <v>45464</v>
      </c>
      <c r="AM2047" s="23">
        <f>_xll.qlIndexFixing(hiborindex,AK2047)</f>
        <v>1.0339032559674647E-2</v>
      </c>
    </row>
    <row r="2048" spans="37:39" x14ac:dyDescent="0.25">
      <c r="AK2048" s="21">
        <f>_xll.qlCalendarAdvance(calendar,AK2047,"1D")</f>
        <v>45463</v>
      </c>
      <c r="AL2048" s="21">
        <f>_xll.qlInterestRateIndexValueDate(hiborindex,AK2048)</f>
        <v>45467</v>
      </c>
      <c r="AM2048" s="23">
        <f>_xll.qlIndexFixing(hiborindex,AK2048)</f>
        <v>1.0348158326361044E-2</v>
      </c>
    </row>
    <row r="2049" spans="37:39" x14ac:dyDescent="0.25">
      <c r="AK2049" s="21">
        <f>_xll.qlCalendarAdvance(calendar,AK2048,"1D")</f>
        <v>45464</v>
      </c>
      <c r="AL2049" s="21">
        <f>_xll.qlInterestRateIndexValueDate(hiborindex,AK2049)</f>
        <v>45468</v>
      </c>
      <c r="AM2049" s="23">
        <f>_xll.qlIndexFixing(hiborindex,AK2049)</f>
        <v>1.0358885735386051E-2</v>
      </c>
    </row>
    <row r="2050" spans="37:39" x14ac:dyDescent="0.25">
      <c r="AK2050" s="21">
        <f>_xll.qlCalendarAdvance(calendar,AK2049,"1D")</f>
        <v>45467</v>
      </c>
      <c r="AL2050" s="21">
        <f>_xll.qlInterestRateIndexValueDate(hiborindex,AK2050)</f>
        <v>45469</v>
      </c>
      <c r="AM2050" s="23">
        <f>_xll.qlIndexFixing(hiborindex,AK2050)</f>
        <v>1.0360959650580145E-2</v>
      </c>
    </row>
    <row r="2051" spans="37:39" x14ac:dyDescent="0.25">
      <c r="AK2051" s="21">
        <f>_xll.qlCalendarAdvance(calendar,AK2050,"1D")</f>
        <v>45468</v>
      </c>
      <c r="AL2051" s="21">
        <f>_xll.qlInterestRateIndexValueDate(hiborindex,AK2051)</f>
        <v>45470</v>
      </c>
      <c r="AM2051" s="23">
        <f>_xll.qlIndexFixing(hiborindex,AK2051)</f>
        <v>1.0363027365432953E-2</v>
      </c>
    </row>
    <row r="2052" spans="37:39" x14ac:dyDescent="0.25">
      <c r="AK2052" s="21">
        <f>_xll.qlCalendarAdvance(calendar,AK2051,"1D")</f>
        <v>45469</v>
      </c>
      <c r="AL2052" s="21">
        <f>_xll.qlInterestRateIndexValueDate(hiborindex,AK2052)</f>
        <v>45471</v>
      </c>
      <c r="AM2052" s="23">
        <f>_xll.qlIndexFixing(hiborindex,AK2052)</f>
        <v>1.0376666662489912E-2</v>
      </c>
    </row>
    <row r="2053" spans="37:39" x14ac:dyDescent="0.25">
      <c r="AK2053" s="21">
        <f>_xll.qlCalendarAdvance(calendar,AK2052,"1D")</f>
        <v>45470</v>
      </c>
      <c r="AL2053" s="21">
        <f>_xll.qlInterestRateIndexValueDate(hiborindex,AK2053)</f>
        <v>45474</v>
      </c>
      <c r="AM2053" s="23">
        <f>_xll.qlIndexFixing(hiborindex,AK2053)</f>
        <v>1.0390244621070117E-2</v>
      </c>
    </row>
    <row r="2054" spans="37:39" x14ac:dyDescent="0.25">
      <c r="AK2054" s="21">
        <f>_xll.qlCalendarAdvance(calendar,AK2053,"1D")</f>
        <v>45471</v>
      </c>
      <c r="AL2054" s="21">
        <f>_xll.qlInterestRateIndexValueDate(hiborindex,AK2054)</f>
        <v>45475</v>
      </c>
      <c r="AM2054" s="23">
        <f>_xll.qlIndexFixing(hiborindex,AK2054)</f>
        <v>1.0392840328553346E-2</v>
      </c>
    </row>
    <row r="2055" spans="37:39" x14ac:dyDescent="0.25">
      <c r="AK2055" s="21">
        <f>_xll.qlCalendarAdvance(calendar,AK2054,"1D")</f>
        <v>45474</v>
      </c>
      <c r="AL2055" s="21">
        <f>_xll.qlInterestRateIndexValueDate(hiborindex,AK2055)</f>
        <v>45476</v>
      </c>
      <c r="AM2055" s="23">
        <f>_xll.qlIndexFixing(hiborindex,AK2055)</f>
        <v>1.0398331100895363E-2</v>
      </c>
    </row>
    <row r="2056" spans="37:39" x14ac:dyDescent="0.25">
      <c r="AK2056" s="21">
        <f>_xll.qlCalendarAdvance(calendar,AK2055,"1D")</f>
        <v>45475</v>
      </c>
      <c r="AL2056" s="21">
        <f>_xll.qlInterestRateIndexValueDate(hiborindex,AK2056)</f>
        <v>45477</v>
      </c>
      <c r="AM2056" s="23">
        <f>_xll.qlIndexFixing(hiborindex,AK2056)</f>
        <v>1.0409613147735277E-2</v>
      </c>
    </row>
    <row r="2057" spans="37:39" x14ac:dyDescent="0.25">
      <c r="AK2057" s="21">
        <f>_xll.qlCalendarAdvance(calendar,AK2056,"1D")</f>
        <v>45476</v>
      </c>
      <c r="AL2057" s="21">
        <f>_xll.qlInterestRateIndexValueDate(hiborindex,AK2057)</f>
        <v>45478</v>
      </c>
      <c r="AM2057" s="23">
        <f>_xll.qlIndexFixing(hiborindex,AK2057)</f>
        <v>1.0412208404635631E-2</v>
      </c>
    </row>
    <row r="2058" spans="37:39" x14ac:dyDescent="0.25">
      <c r="AK2058" s="21">
        <f>_xll.qlCalendarAdvance(calendar,AK2057,"1D")</f>
        <v>45477</v>
      </c>
      <c r="AL2058" s="21">
        <f>_xll.qlInterestRateIndexValueDate(hiborindex,AK2058)</f>
        <v>45481</v>
      </c>
      <c r="AM2058" s="23">
        <f>_xll.qlIndexFixing(hiborindex,AK2058)</f>
        <v>1.0425785192525438E-2</v>
      </c>
    </row>
    <row r="2059" spans="37:39" x14ac:dyDescent="0.25">
      <c r="AK2059" s="21">
        <f>_xll.qlCalendarAdvance(calendar,AK2058,"1D")</f>
        <v>45478</v>
      </c>
      <c r="AL2059" s="21">
        <f>_xll.qlInterestRateIndexValueDate(hiborindex,AK2059)</f>
        <v>45482</v>
      </c>
      <c r="AM2059" s="23">
        <f>_xll.qlIndexFixing(hiborindex,AK2059)</f>
        <v>1.0431276056835191E-2</v>
      </c>
    </row>
    <row r="2060" spans="37:39" x14ac:dyDescent="0.25">
      <c r="AK2060" s="21">
        <f>_xll.qlCalendarAdvance(calendar,AK2059,"1D")</f>
        <v>45481</v>
      </c>
      <c r="AL2060" s="21">
        <f>_xll.qlInterestRateIndexValueDate(hiborindex,AK2060)</f>
        <v>45483</v>
      </c>
      <c r="AM2060" s="23">
        <f>_xll.qlIndexFixing(hiborindex,AK2060)</f>
        <v>1.0436766936473552E-2</v>
      </c>
    </row>
    <row r="2061" spans="37:39" x14ac:dyDescent="0.25">
      <c r="AK2061" s="21">
        <f>_xll.qlCalendarAdvance(calendar,AK2060,"1D")</f>
        <v>45482</v>
      </c>
      <c r="AL2061" s="21">
        <f>_xll.qlInterestRateIndexValueDate(hiborindex,AK2061)</f>
        <v>45484</v>
      </c>
      <c r="AM2061" s="23">
        <f>_xll.qlIndexFixing(hiborindex,AK2061)</f>
        <v>1.0448051418898277E-2</v>
      </c>
    </row>
    <row r="2062" spans="37:39" x14ac:dyDescent="0.25">
      <c r="AK2062" s="21">
        <f>_xll.qlCalendarAdvance(calendar,AK2061,"1D")</f>
        <v>45483</v>
      </c>
      <c r="AL2062" s="21">
        <f>_xll.qlInterestRateIndexValueDate(hiborindex,AK2062)</f>
        <v>45485</v>
      </c>
      <c r="AM2062" s="23">
        <f>_xll.qlIndexFixing(hiborindex,AK2062)</f>
        <v>1.0450645619227785E-2</v>
      </c>
    </row>
    <row r="2063" spans="37:39" x14ac:dyDescent="0.25">
      <c r="AK2063" s="21">
        <f>_xll.qlCalendarAdvance(calendar,AK2062,"1D")</f>
        <v>45484</v>
      </c>
      <c r="AL2063" s="21">
        <f>_xll.qlInterestRateIndexValueDate(hiborindex,AK2063)</f>
        <v>45488</v>
      </c>
      <c r="AM2063" s="23">
        <f>_xll.qlIndexFixing(hiborindex,AK2063)</f>
        <v>1.0464221564587093E-2</v>
      </c>
    </row>
    <row r="2064" spans="37:39" x14ac:dyDescent="0.25">
      <c r="AK2064" s="21">
        <f>_xll.qlCalendarAdvance(calendar,AK2063,"1D")</f>
        <v>45485</v>
      </c>
      <c r="AL2064" s="21">
        <f>_xll.qlInterestRateIndexValueDate(hiborindex,AK2064)</f>
        <v>45489</v>
      </c>
      <c r="AM2064" s="23">
        <f>_xll.qlIndexFixing(hiborindex,AK2064)</f>
        <v>1.0469712536194931E-2</v>
      </c>
    </row>
    <row r="2065" spans="37:39" x14ac:dyDescent="0.25">
      <c r="AK2065" s="21">
        <f>_xll.qlCalendarAdvance(calendar,AK2064,"1D")</f>
        <v>45488</v>
      </c>
      <c r="AL2065" s="21">
        <f>_xll.qlInterestRateIndexValueDate(hiborindex,AK2065)</f>
        <v>45490</v>
      </c>
      <c r="AM2065" s="23">
        <f>_xll.qlIndexFixing(hiborindex,AK2065)</f>
        <v>1.0475203523131376E-2</v>
      </c>
    </row>
    <row r="2066" spans="37:39" x14ac:dyDescent="0.25">
      <c r="AK2066" s="21">
        <f>_xll.qlCalendarAdvance(calendar,AK2065,"1D")</f>
        <v>45489</v>
      </c>
      <c r="AL2066" s="21">
        <f>_xll.qlInterestRateIndexValueDate(hiborindex,AK2066)</f>
        <v>45491</v>
      </c>
      <c r="AM2066" s="23">
        <f>_xll.qlIndexFixing(hiborindex,AK2066)</f>
        <v>1.0486490449353261E-2</v>
      </c>
    </row>
    <row r="2067" spans="37:39" x14ac:dyDescent="0.25">
      <c r="AK2067" s="21">
        <f>_xll.qlCalendarAdvance(calendar,AK2066,"1D")</f>
        <v>45490</v>
      </c>
      <c r="AL2067" s="21">
        <f>_xll.qlInterestRateIndexValueDate(hiborindex,AK2067)</f>
        <v>45492</v>
      </c>
      <c r="AM2067" s="23">
        <f>_xll.qlIndexFixing(hiborindex,AK2067)</f>
        <v>1.0489083589008713E-2</v>
      </c>
    </row>
    <row r="2068" spans="37:39" x14ac:dyDescent="0.25">
      <c r="AK2068" s="21">
        <f>_xll.qlCalendarAdvance(calendar,AK2067,"1D")</f>
        <v>45491</v>
      </c>
      <c r="AL2068" s="21">
        <f>_xll.qlInterestRateIndexValueDate(hiborindex,AK2068)</f>
        <v>45495</v>
      </c>
      <c r="AM2068" s="23">
        <f>_xll.qlIndexFixing(hiborindex,AK2068)</f>
        <v>1.0502658687739677E-2</v>
      </c>
    </row>
    <row r="2069" spans="37:39" x14ac:dyDescent="0.25">
      <c r="AK2069" s="21">
        <f>_xll.qlCalendarAdvance(calendar,AK2068,"1D")</f>
        <v>45492</v>
      </c>
      <c r="AL2069" s="21">
        <f>_xll.qlInterestRateIndexValueDate(hiborindex,AK2069)</f>
        <v>45496</v>
      </c>
      <c r="AM2069" s="23">
        <f>_xll.qlIndexFixing(hiborindex,AK2069)</f>
        <v>1.0508149766646902E-2</v>
      </c>
    </row>
    <row r="2070" spans="37:39" x14ac:dyDescent="0.25">
      <c r="AK2070" s="21">
        <f>_xll.qlCalendarAdvance(calendar,AK2069,"1D")</f>
        <v>45495</v>
      </c>
      <c r="AL2070" s="21">
        <f>_xll.qlInterestRateIndexValueDate(hiborindex,AK2070)</f>
        <v>45497</v>
      </c>
      <c r="AM2070" s="23">
        <f>_xll.qlIndexFixing(hiborindex,AK2070)</f>
        <v>1.0513640860883168E-2</v>
      </c>
    </row>
    <row r="2071" spans="37:39" x14ac:dyDescent="0.25">
      <c r="AK2071" s="21">
        <f>_xll.qlCalendarAdvance(calendar,AK2070,"1D")</f>
        <v>45496</v>
      </c>
      <c r="AL2071" s="21">
        <f>_xll.qlInterestRateIndexValueDate(hiborindex,AK2071)</f>
        <v>45498</v>
      </c>
      <c r="AM2071" s="23">
        <f>_xll.qlIndexFixing(hiborindex,AK2071)</f>
        <v>1.0524930239114411E-2</v>
      </c>
    </row>
    <row r="2072" spans="37:39" x14ac:dyDescent="0.25">
      <c r="AK2072" s="21">
        <f>_xll.qlCalendarAdvance(calendar,AK2071,"1D")</f>
        <v>45497</v>
      </c>
      <c r="AL2072" s="21">
        <f>_xll.qlInterestRateIndexValueDate(hiborindex,AK2072)</f>
        <v>45499</v>
      </c>
      <c r="AM2072" s="23">
        <f>_xll.qlIndexFixing(hiborindex,AK2072)</f>
        <v>1.0527522313993542E-2</v>
      </c>
    </row>
    <row r="2073" spans="37:39" x14ac:dyDescent="0.25">
      <c r="AK2073" s="21">
        <f>_xll.qlCalendarAdvance(calendar,AK2072,"1D")</f>
        <v>45498</v>
      </c>
      <c r="AL2073" s="21">
        <f>_xll.qlInterestRateIndexValueDate(hiborindex,AK2073)</f>
        <v>45502</v>
      </c>
      <c r="AM2073" s="23">
        <f>_xll.qlIndexFixing(hiborindex,AK2073)</f>
        <v>1.054109656199579E-2</v>
      </c>
    </row>
    <row r="2074" spans="37:39" x14ac:dyDescent="0.25">
      <c r="AK2074" s="21">
        <f>_xll.qlCalendarAdvance(calendar,AK2073,"1D")</f>
        <v>45499</v>
      </c>
      <c r="AL2074" s="21">
        <f>_xll.qlInterestRateIndexValueDate(hiborindex,AK2074)</f>
        <v>45503</v>
      </c>
      <c r="AM2074" s="23">
        <f>_xll.qlIndexFixing(hiborindex,AK2074)</f>
        <v>1.0546587748205442E-2</v>
      </c>
    </row>
    <row r="2075" spans="37:39" x14ac:dyDescent="0.25">
      <c r="AK2075" s="21">
        <f>_xll.qlCalendarAdvance(calendar,AK2074,"1D")</f>
        <v>45502</v>
      </c>
      <c r="AL2075" s="21">
        <f>_xll.qlInterestRateIndexValueDate(hiborindex,AK2075)</f>
        <v>45504</v>
      </c>
      <c r="AM2075" s="23">
        <f>_xll.qlIndexFixing(hiborindex,AK2075)</f>
        <v>1.0552078949743702E-2</v>
      </c>
    </row>
    <row r="2076" spans="37:39" x14ac:dyDescent="0.25">
      <c r="AK2076" s="21">
        <f>_xll.qlCalendarAdvance(calendar,AK2075,"1D")</f>
        <v>45503</v>
      </c>
      <c r="AL2076" s="21">
        <f>_xll.qlInterestRateIndexValueDate(hiborindex,AK2076)</f>
        <v>45505</v>
      </c>
      <c r="AM2076" s="23">
        <f>_xll.qlIndexFixing(hiborindex,AK2076)</f>
        <v>1.0563370788197628E-2</v>
      </c>
    </row>
    <row r="2077" spans="37:39" x14ac:dyDescent="0.25">
      <c r="AK2077" s="21">
        <f>_xll.qlCalendarAdvance(calendar,AK2076,"1D")</f>
        <v>45504</v>
      </c>
      <c r="AL2077" s="21">
        <f>_xll.qlInterestRateIndexValueDate(hiborindex,AK2077)</f>
        <v>45506</v>
      </c>
      <c r="AM2077" s="23">
        <f>_xll.qlIndexFixing(hiborindex,AK2077)</f>
        <v>1.0565961794196096E-2</v>
      </c>
    </row>
    <row r="2078" spans="37:39" x14ac:dyDescent="0.25">
      <c r="AK2078" s="21">
        <f>_xll.qlCalendarAdvance(calendar,AK2077,"1D")</f>
        <v>45505</v>
      </c>
      <c r="AL2078" s="21">
        <f>_xll.qlInterestRateIndexValueDate(hiborindex,AK2078)</f>
        <v>45509</v>
      </c>
      <c r="AM2078" s="23">
        <f>_xll.qlIndexFixing(hiborindex,AK2078)</f>
        <v>1.0579535187371937E-2</v>
      </c>
    </row>
    <row r="2079" spans="37:39" x14ac:dyDescent="0.25">
      <c r="AK2079" s="21">
        <f>_xll.qlCalendarAdvance(calendar,AK2078,"1D")</f>
        <v>45506</v>
      </c>
      <c r="AL2079" s="21">
        <f>_xll.qlInterestRateIndexValueDate(hiborindex,AK2079)</f>
        <v>45510</v>
      </c>
      <c r="AM2079" s="23">
        <f>_xll.qlIndexFixing(hiborindex,AK2079)</f>
        <v>1.058502648088532E-2</v>
      </c>
    </row>
    <row r="2080" spans="37:39" x14ac:dyDescent="0.25">
      <c r="AK2080" s="21">
        <f>_xll.qlCalendarAdvance(calendar,AK2079,"1D")</f>
        <v>45509</v>
      </c>
      <c r="AL2080" s="21">
        <f>_xll.qlInterestRateIndexValueDate(hiborindex,AK2080)</f>
        <v>45511</v>
      </c>
      <c r="AM2080" s="23">
        <f>_xll.qlIndexFixing(hiborindex,AK2080)</f>
        <v>1.0590517789727746E-2</v>
      </c>
    </row>
    <row r="2081" spans="37:39" x14ac:dyDescent="0.25">
      <c r="AK2081" s="21">
        <f>_xll.qlCalendarAdvance(calendar,AK2080,"1D")</f>
        <v>45510</v>
      </c>
      <c r="AL2081" s="21">
        <f>_xll.qlInterestRateIndexValueDate(hiborindex,AK2081)</f>
        <v>45512</v>
      </c>
      <c r="AM2081" s="23">
        <f>_xll.qlIndexFixing(hiborindex,AK2081)</f>
        <v>1.0601812096617095E-2</v>
      </c>
    </row>
    <row r="2082" spans="37:39" x14ac:dyDescent="0.25">
      <c r="AK2082" s="21">
        <f>_xll.qlCalendarAdvance(calendar,AK2081,"1D")</f>
        <v>45511</v>
      </c>
      <c r="AL2082" s="21">
        <f>_xll.qlInterestRateIndexValueDate(hiborindex,AK2082)</f>
        <v>45513</v>
      </c>
      <c r="AM2082" s="23">
        <f>_xll.qlIndexFixing(hiborindex,AK2082)</f>
        <v>1.0604402029631933E-2</v>
      </c>
    </row>
    <row r="2083" spans="37:39" x14ac:dyDescent="0.25">
      <c r="AK2083" s="21">
        <f>_xll.qlCalendarAdvance(calendar,AK2082,"1D")</f>
        <v>45512</v>
      </c>
      <c r="AL2083" s="21">
        <f>_xll.qlInterestRateIndexValueDate(hiborindex,AK2083)</f>
        <v>45516</v>
      </c>
      <c r="AM2083" s="23">
        <f>_xll.qlIndexFixing(hiborindex,AK2083)</f>
        <v>1.0617974563882023E-2</v>
      </c>
    </row>
    <row r="2084" spans="37:39" x14ac:dyDescent="0.25">
      <c r="AK2084" s="21">
        <f>_xll.qlCalendarAdvance(calendar,AK2083,"1D")</f>
        <v>45513</v>
      </c>
      <c r="AL2084" s="21">
        <f>_xll.qlInterestRateIndexValueDate(hiborindex,AK2084)</f>
        <v>45517</v>
      </c>
      <c r="AM2084" s="23">
        <f>_xll.qlIndexFixing(hiborindex,AK2084)</f>
        <v>1.0623465964701742E-2</v>
      </c>
    </row>
    <row r="2085" spans="37:39" x14ac:dyDescent="0.25">
      <c r="AK2085" s="21">
        <f>_xll.qlCalendarAdvance(calendar,AK2084,"1D")</f>
        <v>45516</v>
      </c>
      <c r="AL2085" s="21">
        <f>_xll.qlInterestRateIndexValueDate(hiborindex,AK2085)</f>
        <v>45518</v>
      </c>
      <c r="AM2085" s="23">
        <f>_xll.qlIndexFixing(hiborindex,AK2085)</f>
        <v>1.0628957380850505E-2</v>
      </c>
    </row>
    <row r="2086" spans="37:39" x14ac:dyDescent="0.25">
      <c r="AK2086" s="21">
        <f>_xll.qlCalendarAdvance(calendar,AK2085,"1D")</f>
        <v>45517</v>
      </c>
      <c r="AL2086" s="21">
        <f>_xll.qlInterestRateIndexValueDate(hiborindex,AK2086)</f>
        <v>45519</v>
      </c>
      <c r="AM2086" s="23">
        <f>_xll.qlIndexFixing(hiborindex,AK2086)</f>
        <v>1.0640254164388284E-2</v>
      </c>
    </row>
    <row r="2087" spans="37:39" x14ac:dyDescent="0.25">
      <c r="AK2087" s="21">
        <f>_xll.qlCalendarAdvance(calendar,AK2086,"1D")</f>
        <v>45518</v>
      </c>
      <c r="AL2087" s="21">
        <f>_xll.qlInterestRateIndexValueDate(hiborindex,AK2087)</f>
        <v>45520</v>
      </c>
      <c r="AM2087" s="23">
        <f>_xll.qlIndexFixing(hiborindex,AK2087)</f>
        <v>1.0642843020315741E-2</v>
      </c>
    </row>
    <row r="2088" spans="37:39" x14ac:dyDescent="0.25">
      <c r="AK2088" s="21">
        <f>_xll.qlCalendarAdvance(calendar,AK2087,"1D")</f>
        <v>45519</v>
      </c>
      <c r="AL2088" s="21">
        <f>_xll.qlInterestRateIndexValueDate(hiborindex,AK2088)</f>
        <v>45523</v>
      </c>
      <c r="AM2088" s="23">
        <f>_xll.qlIndexFixing(hiborindex,AK2088)</f>
        <v>1.0656414691541251E-2</v>
      </c>
    </row>
    <row r="2089" spans="37:39" x14ac:dyDescent="0.25">
      <c r="AK2089" s="21">
        <f>_xll.qlCalendarAdvance(calendar,AK2088,"1D")</f>
        <v>45520</v>
      </c>
      <c r="AL2089" s="21">
        <f>_xll.qlInterestRateIndexValueDate(hiborindex,AK2089)</f>
        <v>45524</v>
      </c>
      <c r="AM2089" s="23">
        <f>_xll.qlIndexFixing(hiborindex,AK2089)</f>
        <v>1.0661906199668612E-2</v>
      </c>
    </row>
    <row r="2090" spans="37:39" x14ac:dyDescent="0.25">
      <c r="AK2090" s="21">
        <f>_xll.qlCalendarAdvance(calendar,AK2089,"1D")</f>
        <v>45523</v>
      </c>
      <c r="AL2090" s="21">
        <f>_xll.qlInterestRateIndexValueDate(hiborindex,AK2090)</f>
        <v>45525</v>
      </c>
      <c r="AM2090" s="23">
        <f>_xll.qlIndexFixing(hiborindex,AK2090)</f>
        <v>1.066739772312632E-2</v>
      </c>
    </row>
    <row r="2091" spans="37:39" x14ac:dyDescent="0.25">
      <c r="AK2091" s="21">
        <f>_xll.qlCalendarAdvance(calendar,AK2090,"1D")</f>
        <v>45524</v>
      </c>
      <c r="AL2091" s="21">
        <f>_xll.qlInterestRateIndexValueDate(hiborindex,AK2091)</f>
        <v>45526</v>
      </c>
      <c r="AM2091" s="23">
        <f>_xll.qlIndexFixing(hiborindex,AK2091)</f>
        <v>1.0678696991526236E-2</v>
      </c>
    </row>
    <row r="2092" spans="37:39" x14ac:dyDescent="0.25">
      <c r="AK2092" s="21">
        <f>_xll.qlCalendarAdvance(calendar,AK2091,"1D")</f>
        <v>45525</v>
      </c>
      <c r="AL2092" s="21">
        <f>_xll.qlInterestRateIndexValueDate(hiborindex,AK2092)</f>
        <v>45527</v>
      </c>
      <c r="AM2092" s="23">
        <f>_xll.qlIndexFixing(hiborindex,AK2092)</f>
        <v>1.0681284766262645E-2</v>
      </c>
    </row>
    <row r="2093" spans="37:39" x14ac:dyDescent="0.25">
      <c r="AK2093" s="21">
        <f>_xll.qlCalendarAdvance(calendar,AK2092,"1D")</f>
        <v>45526</v>
      </c>
      <c r="AL2093" s="21">
        <f>_xll.qlInterestRateIndexValueDate(hiborindex,AK2093)</f>
        <v>45530</v>
      </c>
      <c r="AM2093" s="23">
        <f>_xll.qlIndexFixing(hiborindex,AK2093)</f>
        <v>1.0694855570363523E-2</v>
      </c>
    </row>
    <row r="2094" spans="37:39" x14ac:dyDescent="0.25">
      <c r="AK2094" s="21">
        <f>_xll.qlCalendarAdvance(calendar,AK2093,"1D")</f>
        <v>45527</v>
      </c>
      <c r="AL2094" s="21">
        <f>_xll.qlInterestRateIndexValueDate(hiborindex,AK2094)</f>
        <v>45531</v>
      </c>
      <c r="AM2094" s="23">
        <f>_xll.qlIndexFixing(hiborindex,AK2094)</f>
        <v>1.0700347185801132E-2</v>
      </c>
    </row>
    <row r="2095" spans="37:39" x14ac:dyDescent="0.25">
      <c r="AK2095" s="21">
        <f>_xll.qlCalendarAdvance(calendar,AK2094,"1D")</f>
        <v>45530</v>
      </c>
      <c r="AL2095" s="21">
        <f>_xll.qlInterestRateIndexValueDate(hiborindex,AK2095)</f>
        <v>45532</v>
      </c>
      <c r="AM2095" s="23">
        <f>_xll.qlIndexFixing(hiborindex,AK2095)</f>
        <v>1.0705838816569523E-2</v>
      </c>
    </row>
    <row r="2096" spans="37:39" x14ac:dyDescent="0.25">
      <c r="AK2096" s="21">
        <f>_xll.qlCalendarAdvance(calendar,AK2095,"1D")</f>
        <v>45531</v>
      </c>
      <c r="AL2096" s="21">
        <f>_xll.qlInterestRateIndexValueDate(hiborindex,AK2096)</f>
        <v>45533</v>
      </c>
      <c r="AM2096" s="23">
        <f>_xll.qlIndexFixing(hiborindex,AK2096)</f>
        <v>1.07084256599114E-2</v>
      </c>
    </row>
    <row r="2097" spans="37:39" x14ac:dyDescent="0.25">
      <c r="AK2097" s="21">
        <f>_xll.qlCalendarAdvance(calendar,AK2096,"1D")</f>
        <v>45532</v>
      </c>
      <c r="AL2097" s="21">
        <f>_xll.qlInterestRateIndexValueDate(hiborindex,AK2097)</f>
        <v>45534</v>
      </c>
      <c r="AM2097" s="23">
        <f>_xll.qlIndexFixing(hiborindex,AK2097)</f>
        <v>1.0711012347305962E-2</v>
      </c>
    </row>
    <row r="2098" spans="37:39" x14ac:dyDescent="0.25">
      <c r="AK2098" s="21">
        <f>_xll.qlCalendarAdvance(calendar,AK2097,"1D")</f>
        <v>45533</v>
      </c>
      <c r="AL2098" s="21">
        <f>_xll.qlInterestRateIndexValueDate(hiborindex,AK2098)</f>
        <v>45537</v>
      </c>
      <c r="AM2098" s="23">
        <f>_xll.qlIndexFixing(hiborindex,AK2098)</f>
        <v>1.0727486399149087E-2</v>
      </c>
    </row>
    <row r="2099" spans="37:39" x14ac:dyDescent="0.25">
      <c r="AK2099" s="21">
        <f>_xll.qlCalendarAdvance(calendar,AK2098,"1D")</f>
        <v>45534</v>
      </c>
      <c r="AL2099" s="21">
        <f>_xll.qlInterestRateIndexValueDate(hiborindex,AK2099)</f>
        <v>45538</v>
      </c>
      <c r="AM2099" s="23">
        <f>_xll.qlIndexFixing(hiborindex,AK2099)</f>
        <v>1.0730072463964428E-2</v>
      </c>
    </row>
    <row r="2100" spans="37:39" x14ac:dyDescent="0.25">
      <c r="AK2100" s="21">
        <f>_xll.qlCalendarAdvance(calendar,AK2099,"1D")</f>
        <v>45537</v>
      </c>
      <c r="AL2100" s="21">
        <f>_xll.qlInterestRateIndexValueDate(hiborindex,AK2100)</f>
        <v>45539</v>
      </c>
      <c r="AM2100" s="23">
        <f>_xll.qlIndexFixing(hiborindex,AK2100)</f>
        <v>1.0735563689211757E-2</v>
      </c>
    </row>
    <row r="2101" spans="37:39" x14ac:dyDescent="0.25">
      <c r="AK2101" s="21">
        <f>_xll.qlCalendarAdvance(calendar,AK2100,"1D")</f>
        <v>45538</v>
      </c>
      <c r="AL2101" s="21">
        <f>_xll.qlInterestRateIndexValueDate(hiborindex,AK2101)</f>
        <v>45540</v>
      </c>
      <c r="AM2101" s="23">
        <f>_xll.qlIndexFixing(hiborindex,AK2101)</f>
        <v>1.0741054929538738E-2</v>
      </c>
    </row>
    <row r="2102" spans="37:39" x14ac:dyDescent="0.25">
      <c r="AK2102" s="21">
        <f>_xll.qlCalendarAdvance(calendar,AK2101,"1D")</f>
        <v>45539</v>
      </c>
      <c r="AL2102" s="21">
        <f>_xll.qlInterestRateIndexValueDate(hiborindex,AK2102)</f>
        <v>45541</v>
      </c>
      <c r="AM2102" s="23">
        <f>_xll.qlIndexFixing(hiborindex,AK2102)</f>
        <v>1.0746546184944484E-2</v>
      </c>
    </row>
    <row r="2103" spans="37:39" x14ac:dyDescent="0.25">
      <c r="AK2103" s="21">
        <f>_xll.qlCalendarAdvance(calendar,AK2102,"1D")</f>
        <v>45540</v>
      </c>
      <c r="AL2103" s="21">
        <f>_xll.qlInterestRateIndexValueDate(hiborindex,AK2103)</f>
        <v>45544</v>
      </c>
      <c r="AM2103" s="23">
        <f>_xll.qlIndexFixing(hiborindex,AK2103)</f>
        <v>1.0765926384154275E-2</v>
      </c>
    </row>
    <row r="2104" spans="37:39" x14ac:dyDescent="0.25">
      <c r="AK2104" s="21">
        <f>_xll.qlCalendarAdvance(calendar,AK2103,"1D")</f>
        <v>45541</v>
      </c>
      <c r="AL2104" s="21">
        <f>_xll.qlInterestRateIndexValueDate(hiborindex,AK2104)</f>
        <v>45545</v>
      </c>
      <c r="AM2104" s="23">
        <f>_xll.qlIndexFixing(hiborindex,AK2104)</f>
        <v>1.076851135736088E-2</v>
      </c>
    </row>
    <row r="2105" spans="37:39" x14ac:dyDescent="0.25">
      <c r="AK2105" s="21">
        <f>_xll.qlCalendarAdvance(calendar,AK2104,"1D")</f>
        <v>45544</v>
      </c>
      <c r="AL2105" s="21">
        <f>_xll.qlInterestRateIndexValueDate(hiborindex,AK2105)</f>
        <v>45546</v>
      </c>
      <c r="AM2105" s="23">
        <f>_xll.qlIndexFixing(hiborindex,AK2105)</f>
        <v>1.0774002688163553E-2</v>
      </c>
    </row>
    <row r="2106" spans="37:39" x14ac:dyDescent="0.25">
      <c r="AK2106" s="21">
        <f>_xll.qlCalendarAdvance(calendar,AK2105,"1D")</f>
        <v>45545</v>
      </c>
      <c r="AL2106" s="21">
        <f>_xll.qlInterestRateIndexValueDate(hiborindex,AK2106)</f>
        <v>45547</v>
      </c>
      <c r="AM2106" s="23">
        <f>_xll.qlIndexFixing(hiborindex,AK2106)</f>
        <v>1.0779494034045876E-2</v>
      </c>
    </row>
    <row r="2107" spans="37:39" x14ac:dyDescent="0.25">
      <c r="AK2107" s="21">
        <f>_xll.qlCalendarAdvance(calendar,AK2106,"1D")</f>
        <v>45546</v>
      </c>
      <c r="AL2107" s="21">
        <f>_xll.qlInterestRateIndexValueDate(hiborindex,AK2107)</f>
        <v>45548</v>
      </c>
      <c r="AM2107" s="23">
        <f>_xll.qlIndexFixing(hiborindex,AK2107)</f>
        <v>1.0784985395007407E-2</v>
      </c>
    </row>
    <row r="2108" spans="37:39" x14ac:dyDescent="0.25">
      <c r="AK2108" s="21">
        <f>_xll.qlCalendarAdvance(calendar,AK2107,"1D")</f>
        <v>45547</v>
      </c>
      <c r="AL2108" s="21">
        <f>_xll.qlInterestRateIndexValueDate(hiborindex,AK2108)</f>
        <v>45551</v>
      </c>
      <c r="AM2108" s="23">
        <f>_xll.qlIndexFixing(hiborindex,AK2108)</f>
        <v>1.0804367112155018E-2</v>
      </c>
    </row>
    <row r="2109" spans="37:39" x14ac:dyDescent="0.25">
      <c r="AK2109" s="21">
        <f>_xll.qlCalendarAdvance(calendar,AK2108,"1D")</f>
        <v>45548</v>
      </c>
      <c r="AL2109" s="21">
        <f>_xll.qlInterestRateIndexValueDate(hiborindex,AK2109)</f>
        <v>45552</v>
      </c>
      <c r="AM2109" s="23">
        <f>_xll.qlIndexFixing(hiborindex,AK2109)</f>
        <v>1.0806950989650036E-2</v>
      </c>
    </row>
    <row r="2110" spans="37:39" x14ac:dyDescent="0.25">
      <c r="AK2110" s="21">
        <f>_xll.qlCalendarAdvance(calendar,AK2109,"1D")</f>
        <v>45551</v>
      </c>
      <c r="AL2110" s="21">
        <f>_xll.qlInterestRateIndexValueDate(hiborindex,AK2110)</f>
        <v>45553</v>
      </c>
      <c r="AM2110" s="23">
        <f>_xll.qlIndexFixing(hiborindex,AK2110)</f>
        <v>1.081244242600982E-2</v>
      </c>
    </row>
    <row r="2111" spans="37:39" x14ac:dyDescent="0.25">
      <c r="AK2111" s="21">
        <f>_xll.qlCalendarAdvance(calendar,AK2110,"1D")</f>
        <v>45552</v>
      </c>
      <c r="AL2111" s="21">
        <f>_xll.qlInterestRateIndexValueDate(hiborindex,AK2111)</f>
        <v>45554</v>
      </c>
      <c r="AM2111" s="23">
        <f>_xll.qlIndexFixing(hiborindex,AK2111)</f>
        <v>1.0817933877449252E-2</v>
      </c>
    </row>
    <row r="2112" spans="37:39" x14ac:dyDescent="0.25">
      <c r="AK2112" s="21">
        <f>_xll.qlCalendarAdvance(calendar,AK2111,"1D")</f>
        <v>45553</v>
      </c>
      <c r="AL2112" s="21">
        <f>_xll.qlInterestRateIndexValueDate(hiborindex,AK2112)</f>
        <v>45555</v>
      </c>
      <c r="AM2112" s="23">
        <f>_xll.qlIndexFixing(hiborindex,AK2112)</f>
        <v>1.0823425343968776E-2</v>
      </c>
    </row>
    <row r="2113" spans="37:39" x14ac:dyDescent="0.25">
      <c r="AK2113" s="21">
        <f>_xll.qlCalendarAdvance(calendar,AK2112,"1D")</f>
        <v>45554</v>
      </c>
      <c r="AL2113" s="21">
        <f>_xll.qlInterestRateIndexValueDate(hiborindex,AK2113)</f>
        <v>45558</v>
      </c>
      <c r="AM2113" s="23">
        <f>_xll.qlIndexFixing(hiborindex,AK2113)</f>
        <v>1.0842808583166252E-2</v>
      </c>
    </row>
    <row r="2114" spans="37:39" x14ac:dyDescent="0.25">
      <c r="AK2114" s="21">
        <f>_xll.qlCalendarAdvance(calendar,AK2113,"1D")</f>
        <v>45555</v>
      </c>
      <c r="AL2114" s="21">
        <f>_xll.qlInterestRateIndexValueDate(hiborindex,AK2114)</f>
        <v>45559</v>
      </c>
      <c r="AM2114" s="23">
        <f>_xll.qlIndexFixing(hiborindex,AK2114)</f>
        <v>1.0845391360845145E-2</v>
      </c>
    </row>
    <row r="2115" spans="37:39" x14ac:dyDescent="0.25">
      <c r="AK2115" s="21">
        <f>_xll.qlCalendarAdvance(calendar,AK2114,"1D")</f>
        <v>45558</v>
      </c>
      <c r="AL2115" s="21">
        <f>_xll.qlInterestRateIndexValueDate(hiborindex,AK2115)</f>
        <v>45560</v>
      </c>
      <c r="AM2115" s="23">
        <f>_xll.qlIndexFixing(hiborindex,AK2115)</f>
        <v>1.0850882902764689E-2</v>
      </c>
    </row>
    <row r="2116" spans="37:39" x14ac:dyDescent="0.25">
      <c r="AK2116" s="21">
        <f>_xll.qlCalendarAdvance(calendar,AK2115,"1D")</f>
        <v>45559</v>
      </c>
      <c r="AL2116" s="21">
        <f>_xll.qlInterestRateIndexValueDate(hiborindex,AK2116)</f>
        <v>45561</v>
      </c>
      <c r="AM2116" s="23">
        <f>_xll.qlIndexFixing(hiborindex,AK2116)</f>
        <v>1.0856374459763439E-2</v>
      </c>
    </row>
    <row r="2117" spans="37:39" x14ac:dyDescent="0.25">
      <c r="AK2117" s="21">
        <f>_xll.qlCalendarAdvance(calendar,AK2116,"1D")</f>
        <v>45560</v>
      </c>
      <c r="AL2117" s="21">
        <f>_xll.qlInterestRateIndexValueDate(hiborindex,AK2117)</f>
        <v>45562</v>
      </c>
      <c r="AM2117" s="23">
        <f>_xll.qlIndexFixing(hiborindex,AK2117)</f>
        <v>1.0861866031842724E-2</v>
      </c>
    </row>
    <row r="2118" spans="37:39" x14ac:dyDescent="0.25">
      <c r="AK2118" s="21">
        <f>_xll.qlCalendarAdvance(calendar,AK2117,"1D")</f>
        <v>45561</v>
      </c>
      <c r="AL2118" s="21">
        <f>_xll.qlInterestRateIndexValueDate(hiborindex,AK2118)</f>
        <v>45565</v>
      </c>
      <c r="AM2118" s="23">
        <f>_xll.qlIndexFixing(hiborindex,AK2118)</f>
        <v>1.0881250797201586E-2</v>
      </c>
    </row>
    <row r="2119" spans="37:39" x14ac:dyDescent="0.25">
      <c r="AK2119" s="21">
        <f>_xll.qlCalendarAdvance(calendar,AK2118,"1D")</f>
        <v>45562</v>
      </c>
      <c r="AL2119" s="21">
        <f>_xll.qlInterestRateIndexValueDate(hiborindex,AK2119)</f>
        <v>45566</v>
      </c>
      <c r="AM2119" s="23">
        <f>_xll.qlIndexFixing(hiborindex,AK2119)</f>
        <v>1.0886742602719622E-2</v>
      </c>
    </row>
    <row r="2120" spans="37:39" x14ac:dyDescent="0.25">
      <c r="AK2120" s="21">
        <f>_xll.qlCalendarAdvance(calendar,AK2119,"1D")</f>
        <v>45565</v>
      </c>
      <c r="AL2120" s="21">
        <f>_xll.qlInterestRateIndexValueDate(hiborindex,AK2120)</f>
        <v>45567</v>
      </c>
      <c r="AM2120" s="23">
        <f>_xll.qlIndexFixing(hiborindex,AK2120)</f>
        <v>1.0892234423401792E-2</v>
      </c>
    </row>
    <row r="2121" spans="37:39" x14ac:dyDescent="0.25">
      <c r="AK2121" s="21">
        <f>_xll.qlCalendarAdvance(calendar,AK2120,"1D")</f>
        <v>45566</v>
      </c>
      <c r="AL2121" s="21">
        <f>_xll.qlInterestRateIndexValueDate(hiborindex,AK2121)</f>
        <v>45568</v>
      </c>
      <c r="AM2121" s="23">
        <f>_xll.qlIndexFixing(hiborindex,AK2121)</f>
        <v>1.0897726259248093E-2</v>
      </c>
    </row>
    <row r="2122" spans="37:39" x14ac:dyDescent="0.25">
      <c r="AK2122" s="21">
        <f>_xll.qlCalendarAdvance(calendar,AK2121,"1D")</f>
        <v>45567</v>
      </c>
      <c r="AL2122" s="21">
        <f>_xll.qlInterestRateIndexValueDate(hiborindex,AK2122)</f>
        <v>45569</v>
      </c>
      <c r="AM2122" s="23">
        <f>_xll.qlIndexFixing(hiborindex,AK2122)</f>
        <v>1.0903218110258531E-2</v>
      </c>
    </row>
    <row r="2123" spans="37:39" x14ac:dyDescent="0.25">
      <c r="AK2123" s="21">
        <f>_xll.qlCalendarAdvance(calendar,AK2122,"1D")</f>
        <v>45568</v>
      </c>
      <c r="AL2123" s="21">
        <f>_xll.qlInterestRateIndexValueDate(hiborindex,AK2123)</f>
        <v>45572</v>
      </c>
      <c r="AM2123" s="23">
        <f>_xll.qlIndexFixing(hiborindex,AK2123)</f>
        <v>1.091969375427552E-2</v>
      </c>
    </row>
    <row r="2124" spans="37:39" x14ac:dyDescent="0.25">
      <c r="AK2124" s="21">
        <f>_xll.qlCalendarAdvance(calendar,AK2123,"1D")</f>
        <v>45569</v>
      </c>
      <c r="AL2124" s="21">
        <f>_xll.qlInterestRateIndexValueDate(hiborindex,AK2124)</f>
        <v>45573</v>
      </c>
      <c r="AM2124" s="23">
        <f>_xll.qlIndexFixing(hiborindex,AK2124)</f>
        <v>1.092518566594337E-2</v>
      </c>
    </row>
    <row r="2125" spans="37:39" x14ac:dyDescent="0.25">
      <c r="AK2125" s="21">
        <f>_xll.qlCalendarAdvance(calendar,AK2124,"1D")</f>
        <v>45572</v>
      </c>
      <c r="AL2125" s="21">
        <f>_xll.qlInterestRateIndexValueDate(hiborindex,AK2125)</f>
        <v>45574</v>
      </c>
      <c r="AM2125" s="23">
        <f>_xll.qlIndexFixing(hiborindex,AK2125)</f>
        <v>1.0930677592775353E-2</v>
      </c>
    </row>
    <row r="2126" spans="37:39" x14ac:dyDescent="0.25">
      <c r="AK2126" s="21">
        <f>_xll.qlCalendarAdvance(calendar,AK2125,"1D")</f>
        <v>45573</v>
      </c>
      <c r="AL2126" s="21">
        <f>_xll.qlInterestRateIndexValueDate(hiborindex,AK2126)</f>
        <v>45575</v>
      </c>
      <c r="AM2126" s="23">
        <f>_xll.qlIndexFixing(hiborindex,AK2126)</f>
        <v>1.0936169534772349E-2</v>
      </c>
    </row>
    <row r="2127" spans="37:39" x14ac:dyDescent="0.25">
      <c r="AK2127" s="21">
        <f>_xll.qlCalendarAdvance(calendar,AK2126,"1D")</f>
        <v>45574</v>
      </c>
      <c r="AL2127" s="21">
        <f>_xll.qlInterestRateIndexValueDate(hiborindex,AK2127)</f>
        <v>45576</v>
      </c>
      <c r="AM2127" s="23">
        <f>_xll.qlIndexFixing(hiborindex,AK2127)</f>
        <v>1.0941661491933038E-2</v>
      </c>
    </row>
    <row r="2128" spans="37:39" x14ac:dyDescent="0.25">
      <c r="AK2128" s="21">
        <f>_xll.qlCalendarAdvance(calendar,AK2127,"1D")</f>
        <v>45575</v>
      </c>
      <c r="AL2128" s="21">
        <f>_xll.qlInterestRateIndexValueDate(hiborindex,AK2128)</f>
        <v>45579</v>
      </c>
      <c r="AM2128" s="23">
        <f>_xll.qlIndexFixing(hiborindex,AK2128)</f>
        <v>1.0958137454402985E-2</v>
      </c>
    </row>
    <row r="2129" spans="37:39" x14ac:dyDescent="0.25">
      <c r="AK2129" s="21">
        <f>_xll.qlCalendarAdvance(calendar,AK2128,"1D")</f>
        <v>45576</v>
      </c>
      <c r="AL2129" s="21">
        <f>_xll.qlInterestRateIndexValueDate(hiborindex,AK2129)</f>
        <v>45580</v>
      </c>
      <c r="AM2129" s="23">
        <f>_xll.qlIndexFixing(hiborindex,AK2129)</f>
        <v>1.0963629472222406E-2</v>
      </c>
    </row>
    <row r="2130" spans="37:39" x14ac:dyDescent="0.25">
      <c r="AK2130" s="21">
        <f>_xll.qlCalendarAdvance(calendar,AK2129,"1D")</f>
        <v>45579</v>
      </c>
      <c r="AL2130" s="21">
        <f>_xll.qlInterestRateIndexValueDate(hiborindex,AK2130)</f>
        <v>45581</v>
      </c>
      <c r="AM2130" s="23">
        <f>_xll.qlIndexFixing(hiborindex,AK2130)</f>
        <v>1.0969121505206399E-2</v>
      </c>
    </row>
    <row r="2131" spans="37:39" x14ac:dyDescent="0.25">
      <c r="AK2131" s="21">
        <f>_xll.qlCalendarAdvance(calendar,AK2130,"1D")</f>
        <v>45580</v>
      </c>
      <c r="AL2131" s="21">
        <f>_xll.qlInterestRateIndexValueDate(hiborindex,AK2131)</f>
        <v>45582</v>
      </c>
      <c r="AM2131" s="23">
        <f>_xll.qlIndexFixing(hiborindex,AK2131)</f>
        <v>1.0974613553355404E-2</v>
      </c>
    </row>
    <row r="2132" spans="37:39" x14ac:dyDescent="0.25">
      <c r="AK2132" s="21">
        <f>_xll.qlCalendarAdvance(calendar,AK2131,"1D")</f>
        <v>45581</v>
      </c>
      <c r="AL2132" s="21">
        <f>_xll.qlInterestRateIndexValueDate(hiborindex,AK2132)</f>
        <v>45583</v>
      </c>
      <c r="AM2132" s="23">
        <f>_xll.qlIndexFixing(hiborindex,AK2132)</f>
        <v>1.0991759710002413E-2</v>
      </c>
    </row>
    <row r="2133" spans="37:39" x14ac:dyDescent="0.25">
      <c r="AK2133" s="21">
        <f>_xll.qlCalendarAdvance(calendar,AK2132,"1D")</f>
        <v>45582</v>
      </c>
      <c r="AL2133" s="21">
        <f>_xll.qlInterestRateIndexValueDate(hiborindex,AK2133)</f>
        <v>45586</v>
      </c>
      <c r="AM2133" s="23">
        <f>_xll.qlIndexFixing(hiborindex,AK2133)</f>
        <v>1.099949568380987E-2</v>
      </c>
    </row>
    <row r="2134" spans="37:39" x14ac:dyDescent="0.25">
      <c r="AK2134" s="21">
        <f>_xll.qlCalendarAdvance(calendar,AK2133,"1D")</f>
        <v>45583</v>
      </c>
      <c r="AL2134" s="21">
        <f>_xll.qlInterestRateIndexValueDate(hiborindex,AK2134)</f>
        <v>45587</v>
      </c>
      <c r="AM2134" s="23">
        <f>_xll.qlIndexFixing(hiborindex,AK2134)</f>
        <v>1.1002074021571223E-2</v>
      </c>
    </row>
    <row r="2135" spans="37:39" x14ac:dyDescent="0.25">
      <c r="AK2135" s="21">
        <f>_xll.qlCalendarAdvance(calendar,AK2134,"1D")</f>
        <v>45586</v>
      </c>
      <c r="AL2135" s="21">
        <f>_xll.qlInterestRateIndexValueDate(hiborindex,AK2135)</f>
        <v>45588</v>
      </c>
      <c r="AM2135" s="23">
        <f>_xll.qlIndexFixing(hiborindex,AK2135)</f>
        <v>1.1007566160709421E-2</v>
      </c>
    </row>
    <row r="2136" spans="37:39" x14ac:dyDescent="0.25">
      <c r="AK2136" s="21">
        <f>_xll.qlCalendarAdvance(calendar,AK2135,"1D")</f>
        <v>45587</v>
      </c>
      <c r="AL2136" s="21">
        <f>_xll.qlInterestRateIndexValueDate(hiborindex,AK2136)</f>
        <v>45589</v>
      </c>
      <c r="AM2136" s="23">
        <f>_xll.qlIndexFixing(hiborindex,AK2136)</f>
        <v>1.1013058315012194E-2</v>
      </c>
    </row>
    <row r="2137" spans="37:39" x14ac:dyDescent="0.25">
      <c r="AK2137" s="21">
        <f>_xll.qlCalendarAdvance(calendar,AK2136,"1D")</f>
        <v>45588</v>
      </c>
      <c r="AL2137" s="21">
        <f>_xll.qlInterestRateIndexValueDate(hiborindex,AK2137)</f>
        <v>45590</v>
      </c>
      <c r="AM2137" s="23">
        <f>_xll.qlIndexFixing(hiborindex,AK2137)</f>
        <v>1.1018550484479979E-2</v>
      </c>
    </row>
    <row r="2138" spans="37:39" x14ac:dyDescent="0.25">
      <c r="AK2138" s="21">
        <f>_xll.qlCalendarAdvance(calendar,AK2137,"1D")</f>
        <v>45589</v>
      </c>
      <c r="AL2138" s="21">
        <f>_xll.qlInterestRateIndexValueDate(hiborindex,AK2138)</f>
        <v>45593</v>
      </c>
      <c r="AM2138" s="23">
        <f>_xll.qlIndexFixing(hiborindex,AK2138)</f>
        <v>1.1035027083875163E-2</v>
      </c>
    </row>
    <row r="2139" spans="37:39" x14ac:dyDescent="0.25">
      <c r="AK2139" s="21">
        <f>_xll.qlCalendarAdvance(calendar,AK2138,"1D")</f>
        <v>45590</v>
      </c>
      <c r="AL2139" s="21">
        <f>_xll.qlInterestRateIndexValueDate(hiborindex,AK2139)</f>
        <v>45594</v>
      </c>
      <c r="AM2139" s="23">
        <f>_xll.qlIndexFixing(hiborindex,AK2139)</f>
        <v>1.1040519314003875E-2</v>
      </c>
    </row>
    <row r="2140" spans="37:39" x14ac:dyDescent="0.25">
      <c r="AK2140" s="21">
        <f>_xll.qlCalendarAdvance(calendar,AK2139,"1D")</f>
        <v>45593</v>
      </c>
      <c r="AL2140" s="21">
        <f>_xll.qlInterestRateIndexValueDate(hiborindex,AK2140)</f>
        <v>45595</v>
      </c>
      <c r="AM2140" s="23">
        <f>_xll.qlIndexFixing(hiborindex,AK2140)</f>
        <v>1.1046011559298038E-2</v>
      </c>
    </row>
    <row r="2141" spans="37:39" x14ac:dyDescent="0.25">
      <c r="AK2141" s="21">
        <f>_xll.qlCalendarAdvance(calendar,AK2140,"1D")</f>
        <v>45594</v>
      </c>
      <c r="AL2141" s="21">
        <f>_xll.qlInterestRateIndexValueDate(hiborindex,AK2141)</f>
        <v>45596</v>
      </c>
      <c r="AM2141" s="23">
        <f>_xll.qlIndexFixing(hiborindex,AK2141)</f>
        <v>1.1048588455491171E-2</v>
      </c>
    </row>
    <row r="2142" spans="37:39" x14ac:dyDescent="0.25">
      <c r="AK2142" s="21">
        <f>_xll.qlCalendarAdvance(calendar,AK2141,"1D")</f>
        <v>45595</v>
      </c>
      <c r="AL2142" s="21">
        <f>_xll.qlInterestRateIndexValueDate(hiborindex,AK2142)</f>
        <v>45597</v>
      </c>
      <c r="AM2142" s="23">
        <f>_xll.qlIndexFixing(hiborindex,AK2142)</f>
        <v>1.1056996095381839E-2</v>
      </c>
    </row>
    <row r="2143" spans="37:39" x14ac:dyDescent="0.25">
      <c r="AK2143" s="21">
        <f>_xll.qlCalendarAdvance(calendar,AK2142,"1D")</f>
        <v>45596</v>
      </c>
      <c r="AL2143" s="21">
        <f>_xll.qlInterestRateIndexValueDate(hiborindex,AK2143)</f>
        <v>45600</v>
      </c>
      <c r="AM2143" s="23">
        <f>_xll.qlIndexFixing(hiborindex,AK2143)</f>
        <v>1.1073473013248427E-2</v>
      </c>
    </row>
    <row r="2144" spans="37:39" x14ac:dyDescent="0.25">
      <c r="AK2144" s="21">
        <f>_xll.qlCalendarAdvance(calendar,AK2143,"1D")</f>
        <v>45597</v>
      </c>
      <c r="AL2144" s="21">
        <f>_xll.qlInterestRateIndexValueDate(hiborindex,AK2144)</f>
        <v>45601</v>
      </c>
      <c r="AM2144" s="23">
        <f>_xll.qlIndexFixing(hiborindex,AK2144)</f>
        <v>1.1076049105851214E-2</v>
      </c>
    </row>
    <row r="2145" spans="37:39" x14ac:dyDescent="0.25">
      <c r="AK2145" s="21">
        <f>_xll.qlCalendarAdvance(calendar,AK2144,"1D")</f>
        <v>45600</v>
      </c>
      <c r="AL2145" s="21">
        <f>_xll.qlInterestRateIndexValueDate(hiborindex,AK2145)</f>
        <v>45602</v>
      </c>
      <c r="AM2145" s="23">
        <f>_xll.qlIndexFixing(hiborindex,AK2145)</f>
        <v>1.1081541281168179E-2</v>
      </c>
    </row>
    <row r="2146" spans="37:39" x14ac:dyDescent="0.25">
      <c r="AK2146" s="21">
        <f>_xll.qlCalendarAdvance(calendar,AK2145,"1D")</f>
        <v>45601</v>
      </c>
      <c r="AL2146" s="21">
        <f>_xll.qlInterestRateIndexValueDate(hiborindex,AK2146)</f>
        <v>45603</v>
      </c>
      <c r="AM2146" s="23">
        <f>_xll.qlIndexFixing(hiborindex,AK2146)</f>
        <v>1.1087033471567444E-2</v>
      </c>
    </row>
    <row r="2147" spans="37:39" x14ac:dyDescent="0.25">
      <c r="AK2147" s="21">
        <f>_xll.qlCalendarAdvance(calendar,AK2146,"1D")</f>
        <v>45602</v>
      </c>
      <c r="AL2147" s="21">
        <f>_xll.qlInterestRateIndexValueDate(hiborindex,AK2147)</f>
        <v>45604</v>
      </c>
      <c r="AM2147" s="23">
        <f>_xll.qlIndexFixing(hiborindex,AK2147)</f>
        <v>1.1092525677048127E-2</v>
      </c>
    </row>
    <row r="2148" spans="37:39" x14ac:dyDescent="0.25">
      <c r="AK2148" s="21">
        <f>_xll.qlCalendarAdvance(calendar,AK2147,"1D")</f>
        <v>45603</v>
      </c>
      <c r="AL2148" s="21">
        <f>_xll.qlInterestRateIndexValueDate(hiborindex,AK2148)</f>
        <v>45607</v>
      </c>
      <c r="AM2148" s="23">
        <f>_xll.qlIndexFixing(hiborindex,AK2148)</f>
        <v>1.1111919685732757E-2</v>
      </c>
    </row>
    <row r="2149" spans="37:39" x14ac:dyDescent="0.25">
      <c r="AK2149" s="21">
        <f>_xll.qlCalendarAdvance(calendar,AK2148,"1D")</f>
        <v>45604</v>
      </c>
      <c r="AL2149" s="21">
        <f>_xll.qlInterestRateIndexValueDate(hiborindex,AK2149)</f>
        <v>45608</v>
      </c>
      <c r="AM2149" s="23">
        <f>_xll.qlIndexFixing(hiborindex,AK2149)</f>
        <v>1.1114494649790323E-2</v>
      </c>
    </row>
    <row r="2150" spans="37:39" x14ac:dyDescent="0.25">
      <c r="AK2150" s="21">
        <f>_xll.qlCalendarAdvance(calendar,AK2149,"1D")</f>
        <v>45607</v>
      </c>
      <c r="AL2150" s="21">
        <f>_xll.qlInterestRateIndexValueDate(hiborindex,AK2150)</f>
        <v>45609</v>
      </c>
      <c r="AM2150" s="23">
        <f>_xll.qlIndexFixing(hiborindex,AK2150)</f>
        <v>1.1119986930680739E-2</v>
      </c>
    </row>
    <row r="2151" spans="37:39" x14ac:dyDescent="0.25">
      <c r="AK2151" s="21">
        <f>_xll.qlCalendarAdvance(calendar,AK2150,"1D")</f>
        <v>45608</v>
      </c>
      <c r="AL2151" s="21">
        <f>_xll.qlInterestRateIndexValueDate(hiborindex,AK2151)</f>
        <v>45610</v>
      </c>
      <c r="AM2151" s="23">
        <f>_xll.qlIndexFixing(hiborindex,AK2151)</f>
        <v>1.1125479226653455E-2</v>
      </c>
    </row>
    <row r="2152" spans="37:39" x14ac:dyDescent="0.25">
      <c r="AK2152" s="21">
        <f>_xll.qlCalendarAdvance(calendar,AK2151,"1D")</f>
        <v>45609</v>
      </c>
      <c r="AL2152" s="21">
        <f>_xll.qlInterestRateIndexValueDate(hiborindex,AK2152)</f>
        <v>45611</v>
      </c>
      <c r="AM2152" s="23">
        <f>_xll.qlIndexFixing(hiborindex,AK2152)</f>
        <v>1.1130971537708471E-2</v>
      </c>
    </row>
    <row r="2153" spans="37:39" x14ac:dyDescent="0.25">
      <c r="AK2153" s="21">
        <f>_xll.qlCalendarAdvance(calendar,AK2152,"1D")</f>
        <v>45610</v>
      </c>
      <c r="AL2153" s="21">
        <f>_xll.qlInterestRateIndexValueDate(hiborindex,AK2153)</f>
        <v>45614</v>
      </c>
      <c r="AM2153" s="23">
        <f>_xll.qlIndexFixing(hiborindex,AK2153)</f>
        <v>1.115036710134177E-2</v>
      </c>
    </row>
    <row r="2154" spans="37:39" x14ac:dyDescent="0.25">
      <c r="AK2154" s="21">
        <f>_xll.qlCalendarAdvance(calendar,AK2153,"1D")</f>
        <v>45611</v>
      </c>
      <c r="AL2154" s="21">
        <f>_xll.qlInterestRateIndexValueDate(hiborindex,AK2154)</f>
        <v>45615</v>
      </c>
      <c r="AM2154" s="23">
        <f>_xll.qlIndexFixing(hiborindex,AK2154)</f>
        <v>1.115294093274977E-2</v>
      </c>
    </row>
    <row r="2155" spans="37:39" x14ac:dyDescent="0.25">
      <c r="AK2155" s="21">
        <f>_xll.qlCalendarAdvance(calendar,AK2154,"1D")</f>
        <v>45614</v>
      </c>
      <c r="AL2155" s="21">
        <f>_xll.qlInterestRateIndexValueDate(hiborindex,AK2155)</f>
        <v>45616</v>
      </c>
      <c r="AM2155" s="23">
        <f>_xll.qlIndexFixing(hiborindex,AK2155)</f>
        <v>1.1158433319215403E-2</v>
      </c>
    </row>
    <row r="2156" spans="37:39" x14ac:dyDescent="0.25">
      <c r="AK2156" s="21">
        <f>_xll.qlCalendarAdvance(calendar,AK2155,"1D")</f>
        <v>45615</v>
      </c>
      <c r="AL2156" s="21">
        <f>_xll.qlInterestRateIndexValueDate(hiborindex,AK2156)</f>
        <v>45617</v>
      </c>
      <c r="AM2156" s="23">
        <f>_xll.qlIndexFixing(hiborindex,AK2156)</f>
        <v>1.1163925720764219E-2</v>
      </c>
    </row>
    <row r="2157" spans="37:39" x14ac:dyDescent="0.25">
      <c r="AK2157" s="21">
        <f>_xll.qlCalendarAdvance(calendar,AK2156,"1D")</f>
        <v>45616</v>
      </c>
      <c r="AL2157" s="21">
        <f>_xll.qlInterestRateIndexValueDate(hiborindex,AK2157)</f>
        <v>45618</v>
      </c>
      <c r="AM2157" s="23">
        <f>_xll.qlIndexFixing(hiborindex,AK2157)</f>
        <v>1.1169418137394454E-2</v>
      </c>
    </row>
    <row r="2158" spans="37:39" x14ac:dyDescent="0.25">
      <c r="AK2158" s="21">
        <f>_xll.qlCalendarAdvance(calendar,AK2157,"1D")</f>
        <v>45617</v>
      </c>
      <c r="AL2158" s="21">
        <f>_xll.qlInterestRateIndexValueDate(hiborindex,AK2158)</f>
        <v>45621</v>
      </c>
      <c r="AM2158" s="23">
        <f>_xll.qlIndexFixing(hiborindex,AK2158)</f>
        <v>1.118881526008996E-2</v>
      </c>
    </row>
    <row r="2159" spans="37:39" x14ac:dyDescent="0.25">
      <c r="AK2159" s="21">
        <f>_xll.qlCalendarAdvance(calendar,AK2158,"1D")</f>
        <v>45618</v>
      </c>
      <c r="AL2159" s="21">
        <f>_xll.qlInterestRateIndexValueDate(hiborindex,AK2159)</f>
        <v>45622</v>
      </c>
      <c r="AM2159" s="23">
        <f>_xll.qlIndexFixing(hiborindex,AK2159)</f>
        <v>1.1191387954743245E-2</v>
      </c>
    </row>
    <row r="2160" spans="37:39" x14ac:dyDescent="0.25">
      <c r="AK2160" s="21">
        <f>_xll.qlCalendarAdvance(calendar,AK2159,"1D")</f>
        <v>45621</v>
      </c>
      <c r="AL2160" s="21">
        <f>_xll.qlInterestRateIndexValueDate(hiborindex,AK2160)</f>
        <v>45623</v>
      </c>
      <c r="AM2160" s="23">
        <f>_xll.qlIndexFixing(hiborindex,AK2160)</f>
        <v>1.1196880446786744E-2</v>
      </c>
    </row>
    <row r="2161" spans="37:39" x14ac:dyDescent="0.25">
      <c r="AK2161" s="21">
        <f>_xll.qlCalendarAdvance(calendar,AK2160,"1D")</f>
        <v>45622</v>
      </c>
      <c r="AL2161" s="21">
        <f>_xll.qlInterestRateIndexValueDate(hiborindex,AK2161)</f>
        <v>45624</v>
      </c>
      <c r="AM2161" s="23">
        <f>_xll.qlIndexFixing(hiborindex,AK2161)</f>
        <v>1.1202372953912985E-2</v>
      </c>
    </row>
    <row r="2162" spans="37:39" x14ac:dyDescent="0.25">
      <c r="AK2162" s="21">
        <f>_xll.qlCalendarAdvance(calendar,AK2161,"1D")</f>
        <v>45623</v>
      </c>
      <c r="AL2162" s="21">
        <f>_xll.qlInterestRateIndexValueDate(hiborindex,AK2162)</f>
        <v>45625</v>
      </c>
      <c r="AM2162" s="23">
        <f>_xll.qlIndexFixing(hiborindex,AK2162)</f>
        <v>1.1210785970177693E-2</v>
      </c>
    </row>
    <row r="2163" spans="37:39" x14ac:dyDescent="0.25">
      <c r="AK2163" s="21">
        <f>_xll.qlCalendarAdvance(calendar,AK2162,"1D")</f>
        <v>45624</v>
      </c>
      <c r="AL2163" s="21">
        <f>_xll.qlInterestRateIndexValueDate(hiborindex,AK2163)</f>
        <v>45628</v>
      </c>
      <c r="AM2163" s="23">
        <f>_xll.qlIndexFixing(hiborindex,AK2163)</f>
        <v>1.1227264161992259E-2</v>
      </c>
    </row>
    <row r="2164" spans="37:39" x14ac:dyDescent="0.25">
      <c r="AK2164" s="21">
        <f>_xll.qlCalendarAdvance(calendar,AK2163,"1D")</f>
        <v>45625</v>
      </c>
      <c r="AL2164" s="21">
        <f>_xll.qlInterestRateIndexValueDate(hiborindex,AK2164)</f>
        <v>45629</v>
      </c>
      <c r="AM2164" s="23">
        <f>_xll.qlIndexFixing(hiborindex,AK2164)</f>
        <v>1.1232756922930213E-2</v>
      </c>
    </row>
    <row r="2165" spans="37:39" x14ac:dyDescent="0.25">
      <c r="AK2165" s="21">
        <f>_xll.qlCalendarAdvance(calendar,AK2164,"1D")</f>
        <v>45628</v>
      </c>
      <c r="AL2165" s="21">
        <f>_xll.qlInterestRateIndexValueDate(hiborindex,AK2165)</f>
        <v>45630</v>
      </c>
      <c r="AM2165" s="23">
        <f>_xll.qlIndexFixing(hiborindex,AK2165)</f>
        <v>1.1238249699035377E-2</v>
      </c>
    </row>
    <row r="2166" spans="37:39" x14ac:dyDescent="0.25">
      <c r="AK2166" s="21">
        <f>_xll.qlCalendarAdvance(calendar,AK2165,"1D")</f>
        <v>45629</v>
      </c>
      <c r="AL2166" s="21">
        <f>_xll.qlInterestRateIndexValueDate(hiborindex,AK2166)</f>
        <v>45631</v>
      </c>
      <c r="AM2166" s="23">
        <f>_xll.qlIndexFixing(hiborindex,AK2166)</f>
        <v>1.1243742490306869E-2</v>
      </c>
    </row>
    <row r="2167" spans="37:39" x14ac:dyDescent="0.25">
      <c r="AK2167" s="21">
        <f>_xll.qlCalendarAdvance(calendar,AK2166,"1D")</f>
        <v>45630</v>
      </c>
      <c r="AL2167" s="21">
        <f>_xll.qlInterestRateIndexValueDate(hiborindex,AK2167)</f>
        <v>45632</v>
      </c>
      <c r="AM2167" s="23">
        <f>_xll.qlIndexFixing(hiborindex,AK2167)</f>
        <v>1.1249235296745569E-2</v>
      </c>
    </row>
    <row r="2168" spans="37:39" x14ac:dyDescent="0.25">
      <c r="AK2168" s="21">
        <f>_xll.qlCalendarAdvance(calendar,AK2167,"1D")</f>
        <v>45631</v>
      </c>
      <c r="AL2168" s="21">
        <f>_xll.qlInterestRateIndexValueDate(hiborindex,AK2168)</f>
        <v>45635</v>
      </c>
      <c r="AM2168" s="23">
        <f>_xll.qlIndexFixing(hiborindex,AK2168)</f>
        <v>1.1265713807062283E-2</v>
      </c>
    </row>
    <row r="2169" spans="37:39" x14ac:dyDescent="0.25">
      <c r="AK2169" s="21">
        <f>_xll.qlCalendarAdvance(calendar,AK2168,"1D")</f>
        <v>45632</v>
      </c>
      <c r="AL2169" s="21">
        <f>_xll.qlInterestRateIndexValueDate(hiborindex,AK2169)</f>
        <v>45636</v>
      </c>
      <c r="AM2169" s="23">
        <f>_xll.qlIndexFixing(hiborindex,AK2169)</f>
        <v>1.1271206674168938E-2</v>
      </c>
    </row>
    <row r="2170" spans="37:39" x14ac:dyDescent="0.25">
      <c r="AK2170" s="21">
        <f>_xll.qlCalendarAdvance(calendar,AK2169,"1D")</f>
        <v>45635</v>
      </c>
      <c r="AL2170" s="21">
        <f>_xll.qlInterestRateIndexValueDate(hiborindex,AK2170)</f>
        <v>45637</v>
      </c>
      <c r="AM2170" s="23">
        <f>_xll.qlIndexFixing(hiborindex,AK2170)</f>
        <v>1.1276699556441923E-2</v>
      </c>
    </row>
    <row r="2171" spans="37:39" x14ac:dyDescent="0.25">
      <c r="AK2171" s="21">
        <f>_xll.qlCalendarAdvance(calendar,AK2170,"1D")</f>
        <v>45636</v>
      </c>
      <c r="AL2171" s="21">
        <f>_xll.qlInterestRateIndexValueDate(hiborindex,AK2171)</f>
        <v>45638</v>
      </c>
      <c r="AM2171" s="23">
        <f>_xll.qlIndexFixing(hiborindex,AK2171)</f>
        <v>1.1282192453882555E-2</v>
      </c>
    </row>
    <row r="2172" spans="37:39" x14ac:dyDescent="0.25">
      <c r="AK2172" s="21">
        <f>_xll.qlCalendarAdvance(calendar,AK2171,"1D")</f>
        <v>45637</v>
      </c>
      <c r="AL2172" s="21">
        <f>_xll.qlInterestRateIndexValueDate(hiborindex,AK2172)</f>
        <v>45639</v>
      </c>
      <c r="AM2172" s="23">
        <f>_xll.qlIndexFixing(hiborindex,AK2172)</f>
        <v>1.1287685366489516E-2</v>
      </c>
    </row>
    <row r="2173" spans="37:39" x14ac:dyDescent="0.25">
      <c r="AK2173" s="21">
        <f>_xll.qlCalendarAdvance(calendar,AK2172,"1D")</f>
        <v>45638</v>
      </c>
      <c r="AL2173" s="21">
        <f>_xll.qlInterestRateIndexValueDate(hiborindex,AK2173)</f>
        <v>45642</v>
      </c>
      <c r="AM2173" s="23">
        <f>_xll.qlIndexFixing(hiborindex,AK2173)</f>
        <v>1.1304164195314966E-2</v>
      </c>
    </row>
    <row r="2174" spans="37:39" x14ac:dyDescent="0.25">
      <c r="AK2174" s="21">
        <f>_xll.qlCalendarAdvance(calendar,AK2173,"1D")</f>
        <v>45639</v>
      </c>
      <c r="AL2174" s="21">
        <f>_xll.qlInterestRateIndexValueDate(hiborindex,AK2174)</f>
        <v>45643</v>
      </c>
      <c r="AM2174" s="23">
        <f>_xll.qlIndexFixing(hiborindex,AK2174)</f>
        <v>1.130965716859164E-2</v>
      </c>
    </row>
    <row r="2175" spans="37:39" x14ac:dyDescent="0.25">
      <c r="AK2175" s="21">
        <f>_xll.qlCalendarAdvance(calendar,AK2174,"1D")</f>
        <v>45642</v>
      </c>
      <c r="AL2175" s="21">
        <f>_xll.qlInterestRateIndexValueDate(hiborindex,AK2175)</f>
        <v>45644</v>
      </c>
      <c r="AM2175" s="23">
        <f>_xll.qlIndexFixing(hiborindex,AK2175)</f>
        <v>1.1315150157035081E-2</v>
      </c>
    </row>
    <row r="2176" spans="37:39" x14ac:dyDescent="0.25">
      <c r="AK2176" s="21">
        <f>_xll.qlCalendarAdvance(calendar,AK2175,"1D")</f>
        <v>45643</v>
      </c>
      <c r="AL2176" s="21">
        <f>_xll.qlInterestRateIndexValueDate(hiborindex,AK2176)</f>
        <v>45645</v>
      </c>
      <c r="AM2176" s="23">
        <f>_xll.qlIndexFixing(hiborindex,AK2176)</f>
        <v>1.132064316064617E-2</v>
      </c>
    </row>
    <row r="2177" spans="37:39" x14ac:dyDescent="0.25">
      <c r="AK2177" s="21">
        <f>_xll.qlCalendarAdvance(calendar,AK2176,"1D")</f>
        <v>45644</v>
      </c>
      <c r="AL2177" s="21">
        <f>_xll.qlInterestRateIndexValueDate(hiborindex,AK2177)</f>
        <v>45646</v>
      </c>
      <c r="AM2177" s="23">
        <f>_xll.qlIndexFixing(hiborindex,AK2177)</f>
        <v>1.1326136179424906E-2</v>
      </c>
    </row>
    <row r="2178" spans="37:39" x14ac:dyDescent="0.25">
      <c r="AK2178" s="21">
        <f>_xll.qlCalendarAdvance(calendar,AK2177,"1D")</f>
        <v>45645</v>
      </c>
      <c r="AL2178" s="21">
        <f>_xll.qlInterestRateIndexValueDate(hiborindex,AK2178)</f>
        <v>45649</v>
      </c>
      <c r="AM2178" s="23">
        <f>_xll.qlIndexFixing(hiborindex,AK2178)</f>
        <v>1.1342615326764801E-2</v>
      </c>
    </row>
    <row r="2179" spans="37:39" x14ac:dyDescent="0.25">
      <c r="AK2179" s="21">
        <f>_xll.qlCalendarAdvance(calendar,AK2178,"1D")</f>
        <v>45646</v>
      </c>
      <c r="AL2179" s="21">
        <f>_xll.qlInterestRateIndexValueDate(hiborindex,AK2179)</f>
        <v>45650</v>
      </c>
      <c r="AM2179" s="23">
        <f>_xll.qlIndexFixing(hiborindex,AK2179)</f>
        <v>1.1348108406213248E-2</v>
      </c>
    </row>
    <row r="2180" spans="37:39" x14ac:dyDescent="0.25">
      <c r="AK2180" s="21">
        <f>_xll.qlCalendarAdvance(calendar,AK2179,"1D")</f>
        <v>45649</v>
      </c>
      <c r="AL2180" s="21">
        <f>_xll.qlInterestRateIndexValueDate(hiborindex,AK2180)</f>
        <v>45653</v>
      </c>
      <c r="AM2180" s="23">
        <f>_xll.qlIndexFixing(hiborindex,AK2180)</f>
        <v>1.1364587735564913E-2</v>
      </c>
    </row>
    <row r="2181" spans="37:39" x14ac:dyDescent="0.25">
      <c r="AK2181" s="21">
        <f>_xll.qlCalendarAdvance(calendar,AK2180,"1D")</f>
        <v>45650</v>
      </c>
      <c r="AL2181" s="21">
        <f>_xll.qlInterestRateIndexValueDate(hiborindex,AK2181)</f>
        <v>45656</v>
      </c>
      <c r="AM2181" s="23">
        <f>_xll.qlIndexFixing(hiborindex,AK2181)</f>
        <v>1.1381067201425843E-2</v>
      </c>
    </row>
    <row r="2182" spans="37:39" x14ac:dyDescent="0.25">
      <c r="AK2182" s="21">
        <f>_xll.qlCalendarAdvance(calendar,AK2181,"1D")</f>
        <v>45653</v>
      </c>
      <c r="AL2182" s="21">
        <f>_xll.qlInterestRateIndexValueDate(hiborindex,AK2182)</f>
        <v>45657</v>
      </c>
      <c r="AM2182" s="23">
        <f>_xll.qlIndexFixing(hiborindex,AK2182)</f>
        <v>1.1383634150724931E-2</v>
      </c>
    </row>
    <row r="2183" spans="37:39" x14ac:dyDescent="0.25">
      <c r="AK2183" s="21">
        <f>_xll.qlCalendarAdvance(calendar,AK2182,"1D")</f>
        <v>45656</v>
      </c>
      <c r="AL2183" s="21">
        <f>_xll.qlInterestRateIndexValueDate(hiborindex,AK2183)</f>
        <v>45659</v>
      </c>
      <c r="AM2183" s="23">
        <f>_xll.qlIndexFixing(hiborindex,AK2183)</f>
        <v>1.138577143064836E-2</v>
      </c>
    </row>
    <row r="2184" spans="37:39" x14ac:dyDescent="0.25">
      <c r="AK2184" s="21">
        <f>_xll.qlCalendarAdvance(calendar,AK2183,"1D")</f>
        <v>45657</v>
      </c>
      <c r="AL2184" s="21">
        <f>_xll.qlInterestRateIndexValueDate(hiborindex,AK2184)</f>
        <v>45660</v>
      </c>
      <c r="AM2184" s="23">
        <f>_xll.qlIndexFixing(hiborindex,AK2184)</f>
        <v>1.1386836038302548E-2</v>
      </c>
    </row>
    <row r="2185" spans="37:39" x14ac:dyDescent="0.25">
      <c r="AK2185" s="21">
        <f>_xll.qlCalendarAdvance(calendar,AK2184,"1D")</f>
        <v>45659</v>
      </c>
      <c r="AL2185" s="21">
        <f>_xll.qlInterestRateIndexValueDate(hiborindex,AK2185)</f>
        <v>45663</v>
      </c>
      <c r="AM2185" s="23">
        <f>_xll.qlIndexFixing(hiborindex,AK2185)</f>
        <v>1.1388671294189214E-2</v>
      </c>
    </row>
    <row r="2186" spans="37:39" x14ac:dyDescent="0.25">
      <c r="AK2186" s="21">
        <f>_xll.qlCalendarAdvance(calendar,AK2185,"1D")</f>
        <v>45660</v>
      </c>
      <c r="AL2186" s="21">
        <f>_xll.qlInterestRateIndexValueDate(hiborindex,AK2186)</f>
        <v>45664</v>
      </c>
      <c r="AM2186" s="23">
        <f>_xll.qlIndexFixing(hiborindex,AK2186)</f>
        <v>1.1391067586775053E-2</v>
      </c>
    </row>
    <row r="2187" spans="37:39" x14ac:dyDescent="0.25">
      <c r="AK2187" s="21">
        <f>_xll.qlCalendarAdvance(calendar,AK2186,"1D")</f>
        <v>45663</v>
      </c>
      <c r="AL2187" s="21">
        <f>_xll.qlInterestRateIndexValueDate(hiborindex,AK2187)</f>
        <v>45665</v>
      </c>
      <c r="AM2187" s="23">
        <f>_xll.qlIndexFixing(hiborindex,AK2187)</f>
        <v>1.1392118753335699E-2</v>
      </c>
    </row>
    <row r="2188" spans="37:39" x14ac:dyDescent="0.25">
      <c r="AK2188" s="21">
        <f>_xll.qlCalendarAdvance(calendar,AK2187,"1D")</f>
        <v>45664</v>
      </c>
      <c r="AL2188" s="21">
        <f>_xll.qlInterestRateIndexValueDate(hiborindex,AK2188)</f>
        <v>45666</v>
      </c>
      <c r="AM2188" s="23">
        <f>_xll.qlIndexFixing(hiborindex,AK2188)</f>
        <v>1.1393167231663946E-2</v>
      </c>
    </row>
    <row r="2189" spans="37:39" x14ac:dyDescent="0.25">
      <c r="AK2189" s="21">
        <f>_xll.qlCalendarAdvance(calendar,AK2188,"1D")</f>
        <v>45665</v>
      </c>
      <c r="AL2189" s="21">
        <f>_xll.qlInterestRateIndexValueDate(hiborindex,AK2189)</f>
        <v>45667</v>
      </c>
      <c r="AM2189" s="23">
        <f>_xll.qlIndexFixing(hiborindex,AK2189)</f>
        <v>1.1394213021756703E-2</v>
      </c>
    </row>
    <row r="2190" spans="37:39" x14ac:dyDescent="0.25">
      <c r="AK2190" s="21">
        <f>_xll.qlCalendarAdvance(calendar,AK2189,"1D")</f>
        <v>45666</v>
      </c>
      <c r="AL2190" s="21">
        <f>_xll.qlInterestRateIndexValueDate(hiborindex,AK2190)</f>
        <v>45670</v>
      </c>
      <c r="AM2190" s="23">
        <f>_xll.qlIndexFixing(hiborindex,AK2190)</f>
        <v>1.1396144385179637E-2</v>
      </c>
    </row>
    <row r="2191" spans="37:39" x14ac:dyDescent="0.25">
      <c r="AK2191" s="21">
        <f>_xll.qlCalendarAdvance(calendar,AK2190,"1D")</f>
        <v>45667</v>
      </c>
      <c r="AL2191" s="21">
        <f>_xll.qlInterestRateIndexValueDate(hiborindex,AK2191)</f>
        <v>45671</v>
      </c>
      <c r="AM2191" s="23">
        <f>_xll.qlIndexFixing(hiborindex,AK2191)</f>
        <v>1.1398369299684494E-2</v>
      </c>
    </row>
    <row r="2192" spans="37:39" x14ac:dyDescent="0.25">
      <c r="AK2192" s="21">
        <f>_xll.qlCalendarAdvance(calendar,AK2191,"1D")</f>
        <v>45670</v>
      </c>
      <c r="AL2192" s="21">
        <f>_xll.qlInterestRateIndexValueDate(hiborindex,AK2192)</f>
        <v>45672</v>
      </c>
      <c r="AM2192" s="23">
        <f>_xll.qlIndexFixing(hiborindex,AK2192)</f>
        <v>1.1399401648534877E-2</v>
      </c>
    </row>
    <row r="2193" spans="37:39" x14ac:dyDescent="0.25">
      <c r="AK2193" s="21">
        <f>_xll.qlCalendarAdvance(calendar,AK2192,"1D")</f>
        <v>45671</v>
      </c>
      <c r="AL2193" s="21">
        <f>_xll.qlInterestRateIndexValueDate(hiborindex,AK2193)</f>
        <v>45673</v>
      </c>
      <c r="AM2193" s="23">
        <f>_xll.qlIndexFixing(hiborindex,AK2193)</f>
        <v>1.1400431309124154E-2</v>
      </c>
    </row>
    <row r="2194" spans="37:39" x14ac:dyDescent="0.25">
      <c r="AK2194" s="21">
        <f>_xll.qlCalendarAdvance(calendar,AK2193,"1D")</f>
        <v>45672</v>
      </c>
      <c r="AL2194" s="21">
        <f>_xll.qlInterestRateIndexValueDate(hiborindex,AK2194)</f>
        <v>45674</v>
      </c>
      <c r="AM2194" s="23">
        <f>_xll.qlIndexFixing(hiborindex,AK2194)</f>
        <v>1.140145828144835E-2</v>
      </c>
    </row>
    <row r="2195" spans="37:39" x14ac:dyDescent="0.25">
      <c r="AK2195" s="21">
        <f>_xll.qlCalendarAdvance(calendar,AK2194,"1D")</f>
        <v>45673</v>
      </c>
      <c r="AL2195" s="21">
        <f>_xll.qlInterestRateIndexValueDate(hiborindex,AK2195)</f>
        <v>45677</v>
      </c>
      <c r="AM2195" s="23">
        <f>_xll.qlIndexFixing(hiborindex,AK2195)</f>
        <v>1.1403486472922253E-2</v>
      </c>
    </row>
    <row r="2196" spans="37:39" x14ac:dyDescent="0.25">
      <c r="AK2196" s="21">
        <f>_xll.qlCalendarAdvance(calendar,AK2195,"1D")</f>
        <v>45674</v>
      </c>
      <c r="AL2196" s="21">
        <f>_xll.qlInterestRateIndexValueDate(hiborindex,AK2196)</f>
        <v>45678</v>
      </c>
      <c r="AM2196" s="23">
        <f>_xll.qlIndexFixing(hiborindex,AK2196)</f>
        <v>1.140553928801087E-2</v>
      </c>
    </row>
    <row r="2197" spans="37:39" x14ac:dyDescent="0.25">
      <c r="AK2197" s="21">
        <f>_xll.qlCalendarAdvance(calendar,AK2196,"1D")</f>
        <v>45677</v>
      </c>
      <c r="AL2197" s="21">
        <f>_xll.qlInterestRateIndexValueDate(hiborindex,AK2197)</f>
        <v>45679</v>
      </c>
      <c r="AM2197" s="23">
        <f>_xll.qlIndexFixing(hiborindex,AK2197)</f>
        <v>1.1406552818946954E-2</v>
      </c>
    </row>
    <row r="2198" spans="37:39" x14ac:dyDescent="0.25">
      <c r="AK2198" s="21">
        <f>_xll.qlCalendarAdvance(calendar,AK2197,"1D")</f>
        <v>45678</v>
      </c>
      <c r="AL2198" s="21">
        <f>_xll.qlInterestRateIndexValueDate(hiborindex,AK2198)</f>
        <v>45680</v>
      </c>
      <c r="AM2198" s="23">
        <f>_xll.qlIndexFixing(hiborindex,AK2198)</f>
        <v>1.1407563661593227E-2</v>
      </c>
    </row>
    <row r="2199" spans="37:39" x14ac:dyDescent="0.25">
      <c r="AK2199" s="21">
        <f>_xll.qlCalendarAdvance(calendar,AK2198,"1D")</f>
        <v>45679</v>
      </c>
      <c r="AL2199" s="21">
        <f>_xll.qlInterestRateIndexValueDate(hiborindex,AK2199)</f>
        <v>45681</v>
      </c>
      <c r="AM2199" s="23">
        <f>_xll.qlIndexFixing(hiborindex,AK2199)</f>
        <v>1.1408571815946154E-2</v>
      </c>
    </row>
    <row r="2200" spans="37:39" x14ac:dyDescent="0.25">
      <c r="AK2200" s="21">
        <f>_xll.qlCalendarAdvance(calendar,AK2199,"1D")</f>
        <v>45680</v>
      </c>
      <c r="AL2200" s="21">
        <f>_xll.qlInterestRateIndexValueDate(hiborindex,AK2200)</f>
        <v>45684</v>
      </c>
      <c r="AM2200" s="23">
        <f>_xll.qlIndexFixing(hiborindex,AK2200)</f>
        <v>1.141069755596503E-2</v>
      </c>
    </row>
    <row r="2201" spans="37:39" x14ac:dyDescent="0.25">
      <c r="AK2201" s="21">
        <f>_xll.qlCalendarAdvance(calendar,AK2200,"1D")</f>
        <v>45681</v>
      </c>
      <c r="AL2201" s="21">
        <f>_xll.qlInterestRateIndexValueDate(hiborindex,AK2201)</f>
        <v>45685</v>
      </c>
      <c r="AM2201" s="23">
        <f>_xll.qlIndexFixing(hiborindex,AK2201)</f>
        <v>1.141257755033653E-2</v>
      </c>
    </row>
    <row r="2202" spans="37:39" x14ac:dyDescent="0.25">
      <c r="AK2202" s="21">
        <f>_xll.qlCalendarAdvance(calendar,AK2201,"1D")</f>
        <v>45684</v>
      </c>
      <c r="AL2202" s="21">
        <f>_xll.qlInterestRateIndexValueDate(hiborindex,AK2202)</f>
        <v>45686</v>
      </c>
      <c r="AM2202" s="23">
        <f>_xll.qlIndexFixing(hiborindex,AK2202)</f>
        <v>1.1413572263158697E-2</v>
      </c>
    </row>
    <row r="2203" spans="37:39" x14ac:dyDescent="0.25">
      <c r="AK2203" s="21">
        <f>_xll.qlCalendarAdvance(calendar,AK2202,"1D")</f>
        <v>45685</v>
      </c>
      <c r="AL2203" s="21">
        <f>_xll.qlInterestRateIndexValueDate(hiborindex,AK2203)</f>
        <v>45687</v>
      </c>
      <c r="AM2203" s="23">
        <f>_xll.qlIndexFixing(hiborindex,AK2203)</f>
        <v>1.1414564287662786E-2</v>
      </c>
    </row>
    <row r="2204" spans="37:39" x14ac:dyDescent="0.25">
      <c r="AK2204" s="21">
        <f>_xll.qlCalendarAdvance(calendar,AK2203,"1D")</f>
        <v>45686</v>
      </c>
      <c r="AL2204" s="21">
        <f>_xll.qlInterestRateIndexValueDate(hiborindex,AK2204)</f>
        <v>45688</v>
      </c>
      <c r="AM2204" s="23">
        <f>_xll.qlIndexFixing(hiborindex,AK2204)</f>
        <v>1.1415553623844825E-2</v>
      </c>
    </row>
    <row r="2205" spans="37:39" x14ac:dyDescent="0.25">
      <c r="AK2205" s="21">
        <f>_xll.qlCalendarAdvance(calendar,AK2204,"1D")</f>
        <v>45687</v>
      </c>
      <c r="AL2205" s="21">
        <f>_xll.qlInterestRateIndexValueDate(hiborindex,AK2205)</f>
        <v>45691</v>
      </c>
      <c r="AM2205" s="23">
        <f>_xll.qlIndexFixing(hiborindex,AK2205)</f>
        <v>1.1417777632884058E-2</v>
      </c>
    </row>
    <row r="2206" spans="37:39" x14ac:dyDescent="0.25">
      <c r="AK2206" s="21">
        <f>_xll.qlCalendarAdvance(calendar,AK2205,"1D")</f>
        <v>45688</v>
      </c>
      <c r="AL2206" s="21">
        <f>_xll.qlInterestRateIndexValueDate(hiborindex,AK2206)</f>
        <v>45692</v>
      </c>
      <c r="AM2206" s="23">
        <f>_xll.qlIndexFixing(hiborindex,AK2206)</f>
        <v>1.141948408527165E-2</v>
      </c>
    </row>
    <row r="2207" spans="37:39" x14ac:dyDescent="0.25">
      <c r="AK2207" s="21">
        <f>_xll.qlCalendarAdvance(calendar,AK2206,"1D")</f>
        <v>45691</v>
      </c>
      <c r="AL2207" s="21">
        <f>_xll.qlInterestRateIndexValueDate(hiborindex,AK2207)</f>
        <v>45693</v>
      </c>
      <c r="AM2207" s="23">
        <f>_xll.qlIndexFixing(hiborindex,AK2207)</f>
        <v>1.1420459979782928E-2</v>
      </c>
    </row>
    <row r="2208" spans="37:39" x14ac:dyDescent="0.25">
      <c r="AK2208" s="21">
        <f>_xll.qlCalendarAdvance(calendar,AK2207,"1D")</f>
        <v>45692</v>
      </c>
      <c r="AL2208" s="21">
        <f>_xll.qlInterestRateIndexValueDate(hiborindex,AK2208)</f>
        <v>45694</v>
      </c>
      <c r="AM2208" s="23">
        <f>_xll.qlIndexFixing(hiborindex,AK2208)</f>
        <v>1.1421433185948749E-2</v>
      </c>
    </row>
    <row r="2209" spans="37:39" x14ac:dyDescent="0.25">
      <c r="AK2209" s="21">
        <f>_xll.qlCalendarAdvance(calendar,AK2208,"1D")</f>
        <v>45693</v>
      </c>
      <c r="AL2209" s="21">
        <f>_xll.qlInterestRateIndexValueDate(hiborindex,AK2209)</f>
        <v>45695</v>
      </c>
      <c r="AM2209" s="23">
        <f>_xll.qlIndexFixing(hiborindex,AK2209)</f>
        <v>1.1422403703764695E-2</v>
      </c>
    </row>
    <row r="2210" spans="37:39" x14ac:dyDescent="0.25">
      <c r="AK2210" s="21">
        <f>_xll.qlCalendarAdvance(calendar,AK2209,"1D")</f>
        <v>45694</v>
      </c>
      <c r="AL2210" s="21">
        <f>_xll.qlInterestRateIndexValueDate(hiborindex,AK2210)</f>
        <v>45698</v>
      </c>
      <c r="AM2210" s="23">
        <f>_xll.qlIndexFixing(hiborindex,AK2210)</f>
        <v>1.1424726702279574E-2</v>
      </c>
    </row>
    <row r="2211" spans="37:39" x14ac:dyDescent="0.25">
      <c r="AK2211" s="21">
        <f>_xll.qlCalendarAdvance(calendar,AK2210,"1D")</f>
        <v>45695</v>
      </c>
      <c r="AL2211" s="21">
        <f>_xll.qlInterestRateIndexValueDate(hiborindex,AK2211)</f>
        <v>45699</v>
      </c>
      <c r="AM2211" s="23">
        <f>_xll.qlIndexFixing(hiborindex,AK2211)</f>
        <v>1.142625889145113E-2</v>
      </c>
    </row>
    <row r="2212" spans="37:39" x14ac:dyDescent="0.25">
      <c r="AK2212" s="21">
        <f>_xll.qlCalendarAdvance(calendar,AK2211,"1D")</f>
        <v>45698</v>
      </c>
      <c r="AL2212" s="21">
        <f>_xll.qlInterestRateIndexValueDate(hiborindex,AK2212)</f>
        <v>45700</v>
      </c>
      <c r="AM2212" s="23">
        <f>_xll.qlIndexFixing(hiborindex,AK2212)</f>
        <v>1.1427215967458968E-2</v>
      </c>
    </row>
    <row r="2213" spans="37:39" x14ac:dyDescent="0.25">
      <c r="AK2213" s="21">
        <f>_xll.qlCalendarAdvance(calendar,AK2212,"1D")</f>
        <v>45699</v>
      </c>
      <c r="AL2213" s="21">
        <f>_xll.qlInterestRateIndexValueDate(hiborindex,AK2213)</f>
        <v>45701</v>
      </c>
      <c r="AM2213" s="23">
        <f>_xll.qlIndexFixing(hiborindex,AK2213)</f>
        <v>1.1428170355093966E-2</v>
      </c>
    </row>
    <row r="2214" spans="37:39" x14ac:dyDescent="0.25">
      <c r="AK2214" s="21">
        <f>_xll.qlCalendarAdvance(calendar,AK2213,"1D")</f>
        <v>45700</v>
      </c>
      <c r="AL2214" s="21">
        <f>_xll.qlInterestRateIndexValueDate(hiborindex,AK2214)</f>
        <v>45702</v>
      </c>
      <c r="AM2214" s="23">
        <f>_xll.qlIndexFixing(hiborindex,AK2214)</f>
        <v>1.1429122054352151E-2</v>
      </c>
    </row>
    <row r="2215" spans="37:39" x14ac:dyDescent="0.25">
      <c r="AK2215" s="21">
        <f>_xll.qlCalendarAdvance(calendar,AK2214,"1D")</f>
        <v>45701</v>
      </c>
      <c r="AL2215" s="21">
        <f>_xll.qlInterestRateIndexValueDate(hiborindex,AK2215)</f>
        <v>45705</v>
      </c>
      <c r="AM2215" s="23">
        <f>_xll.qlIndexFixing(hiborindex,AK2215)</f>
        <v>1.1431544762779491E-2</v>
      </c>
    </row>
    <row r="2216" spans="37:39" x14ac:dyDescent="0.25">
      <c r="AK2216" s="21">
        <f>_xll.qlCalendarAdvance(calendar,AK2215,"1D")</f>
        <v>45702</v>
      </c>
      <c r="AL2216" s="21">
        <f>_xll.qlInterestRateIndexValueDate(hiborindex,AK2216)</f>
        <v>45706</v>
      </c>
      <c r="AM2216" s="23">
        <f>_xll.qlIndexFixing(hiborindex,AK2216)</f>
        <v>1.1432901967536815E-2</v>
      </c>
    </row>
    <row r="2217" spans="37:39" x14ac:dyDescent="0.25">
      <c r="AK2217" s="21">
        <f>_xll.qlCalendarAdvance(calendar,AK2216,"1D")</f>
        <v>45705</v>
      </c>
      <c r="AL2217" s="21">
        <f>_xll.qlInterestRateIndexValueDate(hiborindex,AK2217)</f>
        <v>45707</v>
      </c>
      <c r="AM2217" s="23">
        <f>_xll.qlIndexFixing(hiborindex,AK2217)</f>
        <v>1.1433840224852193E-2</v>
      </c>
    </row>
    <row r="2218" spans="37:39" x14ac:dyDescent="0.25">
      <c r="AK2218" s="21">
        <f>_xll.qlCalendarAdvance(calendar,AK2217,"1D")</f>
        <v>45706</v>
      </c>
      <c r="AL2218" s="21">
        <f>_xll.qlInterestRateIndexValueDate(hiborindex,AK2218)</f>
        <v>45708</v>
      </c>
      <c r="AM2218" s="23">
        <f>_xll.qlIndexFixing(hiborindex,AK2218)</f>
        <v>1.1434775793768233E-2</v>
      </c>
    </row>
    <row r="2219" spans="37:39" x14ac:dyDescent="0.25">
      <c r="AK2219" s="21">
        <f>_xll.qlCalendarAdvance(calendar,AK2218,"1D")</f>
        <v>45707</v>
      </c>
      <c r="AL2219" s="21">
        <f>_xll.qlInterestRateIndexValueDate(hiborindex,AK2219)</f>
        <v>45709</v>
      </c>
      <c r="AM2219" s="23">
        <f>_xll.qlIndexFixing(hiborindex,AK2219)</f>
        <v>1.1435708674280077E-2</v>
      </c>
    </row>
    <row r="2220" spans="37:39" x14ac:dyDescent="0.25">
      <c r="AK2220" s="21">
        <f>_xll.qlCalendarAdvance(calendar,AK2219,"1D")</f>
        <v>45708</v>
      </c>
      <c r="AL2220" s="21">
        <f>_xll.qlInterestRateIndexValueDate(hiborindex,AK2220)</f>
        <v>45712</v>
      </c>
      <c r="AM2220" s="23">
        <f>_xll.qlIndexFixing(hiborindex,AK2220)</f>
        <v>1.1438231813035875E-2</v>
      </c>
    </row>
    <row r="2221" spans="37:39" x14ac:dyDescent="0.25">
      <c r="AK2221" s="21">
        <f>_xll.qlCalendarAdvance(calendar,AK2220,"1D")</f>
        <v>45709</v>
      </c>
      <c r="AL2221" s="21">
        <f>_xll.qlInterestRateIndexValueDate(hiborindex,AK2221)</f>
        <v>45713</v>
      </c>
      <c r="AM2221" s="23">
        <f>_xll.qlIndexFixing(hiborindex,AK2221)</f>
        <v>1.1439413312216165E-2</v>
      </c>
    </row>
    <row r="2222" spans="37:39" x14ac:dyDescent="0.25">
      <c r="AK2222" s="21">
        <f>_xll.qlCalendarAdvance(calendar,AK2221,"1D")</f>
        <v>45712</v>
      </c>
      <c r="AL2222" s="21">
        <f>_xll.qlInterestRateIndexValueDate(hiborindex,AK2222)</f>
        <v>45714</v>
      </c>
      <c r="AM2222" s="23">
        <f>_xll.qlIndexFixing(hiborindex,AK2222)</f>
        <v>1.1440332750653596E-2</v>
      </c>
    </row>
    <row r="2223" spans="37:39" x14ac:dyDescent="0.25">
      <c r="AK2223" s="21">
        <f>_xll.qlCalendarAdvance(calendar,AK2222,"1D")</f>
        <v>45713</v>
      </c>
      <c r="AL2223" s="21">
        <f>_xll.qlInterestRateIndexValueDate(hiborindex,AK2223)</f>
        <v>45715</v>
      </c>
      <c r="AM2223" s="23">
        <f>_xll.qlIndexFixing(hiborindex,AK2223)</f>
        <v>1.1441249500665189E-2</v>
      </c>
    </row>
    <row r="2224" spans="37:39" x14ac:dyDescent="0.25">
      <c r="AK2224" s="21">
        <f>_xll.qlCalendarAdvance(calendar,AK2223,"1D")</f>
        <v>45714</v>
      </c>
      <c r="AL2224" s="21">
        <f>_xll.qlInterestRateIndexValueDate(hiborindex,AK2224)</f>
        <v>45716</v>
      </c>
      <c r="AM2224" s="23">
        <f>_xll.qlIndexFixing(hiborindex,AK2224)</f>
        <v>1.1441994163175881E-2</v>
      </c>
    </row>
    <row r="2225" spans="37:39" x14ac:dyDescent="0.25">
      <c r="AK2225" s="21">
        <f>_xll.qlCalendarAdvance(calendar,AK2224,"1D")</f>
        <v>45715</v>
      </c>
      <c r="AL2225" s="21">
        <f>_xll.qlInterestRateIndexValueDate(hiborindex,AK2225)</f>
        <v>45719</v>
      </c>
      <c r="AM2225" s="23">
        <f>_xll.qlIndexFixing(hiborindex,AK2225)</f>
        <v>1.1444675155621382E-2</v>
      </c>
    </row>
    <row r="2226" spans="37:39" x14ac:dyDescent="0.25">
      <c r="AK2226" s="21">
        <f>_xll.qlCalendarAdvance(calendar,AK2225,"1D")</f>
        <v>45716</v>
      </c>
      <c r="AL2226" s="21">
        <f>_xll.qlInterestRateIndexValueDate(hiborindex,AK2226)</f>
        <v>45720</v>
      </c>
      <c r="AM2226" s="23">
        <f>_xll.qlIndexFixing(hiborindex,AK2226)</f>
        <v>1.1445645455225525E-2</v>
      </c>
    </row>
    <row r="2227" spans="37:39" x14ac:dyDescent="0.25">
      <c r="AK2227" s="21">
        <f>_xll.qlCalendarAdvance(calendar,AK2226,"1D")</f>
        <v>45719</v>
      </c>
      <c r="AL2227" s="21">
        <f>_xll.qlInterestRateIndexValueDate(hiborindex,AK2227)</f>
        <v>45721</v>
      </c>
      <c r="AM2227" s="23">
        <f>_xll.qlIndexFixing(hiborindex,AK2227)</f>
        <v>1.1446613110040931E-2</v>
      </c>
    </row>
    <row r="2228" spans="37:39" x14ac:dyDescent="0.25">
      <c r="AK2228" s="21">
        <f>_xll.qlCalendarAdvance(calendar,AK2227,"1D")</f>
        <v>45720</v>
      </c>
      <c r="AL2228" s="21">
        <f>_xll.qlInterestRateIndexValueDate(hiborindex,AK2228)</f>
        <v>45722</v>
      </c>
      <c r="AM2228" s="23">
        <f>_xll.qlIndexFixing(hiborindex,AK2228)</f>
        <v>1.1447713789176351E-2</v>
      </c>
    </row>
    <row r="2229" spans="37:39" x14ac:dyDescent="0.25">
      <c r="AK2229" s="21">
        <f>_xll.qlCalendarAdvance(calendar,AK2228,"1D")</f>
        <v>45721</v>
      </c>
      <c r="AL2229" s="21">
        <f>_xll.qlInterestRateIndexValueDate(hiborindex,AK2229)</f>
        <v>45723</v>
      </c>
      <c r="AM2229" s="23">
        <f>_xll.qlIndexFixing(hiborindex,AK2229)</f>
        <v>1.1448616067412166E-2</v>
      </c>
    </row>
    <row r="2230" spans="37:39" x14ac:dyDescent="0.25">
      <c r="AK2230" s="21">
        <f>_xll.qlCalendarAdvance(calendar,AK2229,"1D")</f>
        <v>45722</v>
      </c>
      <c r="AL2230" s="21">
        <f>_xll.qlInterestRateIndexValueDate(hiborindex,AK2230)</f>
        <v>45726</v>
      </c>
      <c r="AM2230" s="23">
        <f>_xll.qlIndexFixing(hiborindex,AK2230)</f>
        <v>1.1451411712159635E-2</v>
      </c>
    </row>
    <row r="2231" spans="37:39" x14ac:dyDescent="0.25">
      <c r="AK2231" s="21">
        <f>_xll.qlCalendarAdvance(calendar,AK2230,"1D")</f>
        <v>45723</v>
      </c>
      <c r="AL2231" s="21">
        <f>_xll.qlInterestRateIndexValueDate(hiborindex,AK2231)</f>
        <v>45727</v>
      </c>
      <c r="AM2231" s="23">
        <f>_xll.qlIndexFixing(hiborindex,AK2231)</f>
        <v>1.1452363498163993E-2</v>
      </c>
    </row>
    <row r="2232" spans="37:39" x14ac:dyDescent="0.25">
      <c r="AK2232" s="21">
        <f>_xll.qlCalendarAdvance(calendar,AK2231,"1D")</f>
        <v>45726</v>
      </c>
      <c r="AL2232" s="21">
        <f>_xll.qlInterestRateIndexValueDate(hiborindex,AK2232)</f>
        <v>45728</v>
      </c>
      <c r="AM2232" s="23">
        <f>_xll.qlIndexFixing(hiborindex,AK2232)</f>
        <v>1.1453312639353116E-2</v>
      </c>
    </row>
    <row r="2233" spans="37:39" x14ac:dyDescent="0.25">
      <c r="AK2233" s="21">
        <f>_xll.qlCalendarAdvance(calendar,AK2232,"1D")</f>
        <v>45727</v>
      </c>
      <c r="AL2233" s="21">
        <f>_xll.qlInterestRateIndexValueDate(hiborindex,AK2233)</f>
        <v>45729</v>
      </c>
      <c r="AM2233" s="23">
        <f>_xll.qlIndexFixing(hiborindex,AK2233)</f>
        <v>1.1454700278913196E-2</v>
      </c>
    </row>
    <row r="2234" spans="37:39" x14ac:dyDescent="0.25">
      <c r="AK2234" s="21">
        <f>_xll.qlCalendarAdvance(calendar,AK2233,"1D")</f>
        <v>45728</v>
      </c>
      <c r="AL2234" s="21">
        <f>_xll.qlInterestRateIndexValueDate(hiborindex,AK2234)</f>
        <v>45730</v>
      </c>
      <c r="AM2234" s="23">
        <f>_xll.qlIndexFixing(hiborindex,AK2234)</f>
        <v>1.1455432225655399E-2</v>
      </c>
    </row>
    <row r="2235" spans="37:39" x14ac:dyDescent="0.25">
      <c r="AK2235" s="21">
        <f>_xll.qlCalendarAdvance(calendar,AK2234,"1D")</f>
        <v>45729</v>
      </c>
      <c r="AL2235" s="21">
        <f>_xll.qlInterestRateIndexValueDate(hiborindex,AK2235)</f>
        <v>45733</v>
      </c>
      <c r="AM2235" s="23">
        <f>_xll.qlIndexFixing(hiborindex,AK2235)</f>
        <v>1.1458018672934635E-2</v>
      </c>
    </row>
    <row r="2236" spans="37:39" x14ac:dyDescent="0.25">
      <c r="AK2236" s="21">
        <f>_xll.qlCalendarAdvance(calendar,AK2235,"1D")</f>
        <v>45730</v>
      </c>
      <c r="AL2236" s="21">
        <f>_xll.qlInterestRateIndexValueDate(hiborindex,AK2236)</f>
        <v>45734</v>
      </c>
      <c r="AM2236" s="23">
        <f>_xll.qlIndexFixing(hiborindex,AK2236)</f>
        <v>1.1458951945151535E-2</v>
      </c>
    </row>
    <row r="2237" spans="37:39" x14ac:dyDescent="0.25">
      <c r="AK2237" s="21">
        <f>_xll.qlCalendarAdvance(calendar,AK2236,"1D")</f>
        <v>45733</v>
      </c>
      <c r="AL2237" s="21">
        <f>_xll.qlInterestRateIndexValueDate(hiborindex,AK2237)</f>
        <v>45735</v>
      </c>
      <c r="AM2237" s="23">
        <f>_xll.qlIndexFixing(hiborindex,AK2237)</f>
        <v>1.1459882572526262E-2</v>
      </c>
    </row>
    <row r="2238" spans="37:39" x14ac:dyDescent="0.25">
      <c r="AK2238" s="21">
        <f>_xll.qlCalendarAdvance(calendar,AK2237,"1D")</f>
        <v>45734</v>
      </c>
      <c r="AL2238" s="21">
        <f>_xll.qlInterestRateIndexValueDate(hiborindex,AK2238)</f>
        <v>45736</v>
      </c>
      <c r="AM2238" s="23">
        <f>_xll.qlIndexFixing(hiborindex,AK2238)</f>
        <v>1.1461558560301158E-2</v>
      </c>
    </row>
    <row r="2239" spans="37:39" x14ac:dyDescent="0.25">
      <c r="AK2239" s="21">
        <f>_xll.qlCalendarAdvance(calendar,AK2238,"1D")</f>
        <v>45735</v>
      </c>
      <c r="AL2239" s="21">
        <f>_xll.qlInterestRateIndexValueDate(hiborindex,AK2239)</f>
        <v>45737</v>
      </c>
      <c r="AM2239" s="23">
        <f>_xll.qlIndexFixing(hiborindex,AK2239)</f>
        <v>1.1462119485104292E-2</v>
      </c>
    </row>
    <row r="2240" spans="37:39" x14ac:dyDescent="0.25">
      <c r="AK2240" s="21">
        <f>_xll.qlCalendarAdvance(calendar,AK2239,"1D")</f>
        <v>45736</v>
      </c>
      <c r="AL2240" s="21">
        <f>_xll.qlInterestRateIndexValueDate(hiborindex,AK2240)</f>
        <v>45740</v>
      </c>
      <c r="AM2240" s="23">
        <f>_xll.qlIndexFixing(hiborindex,AK2240)</f>
        <v>1.1464496036641344E-2</v>
      </c>
    </row>
    <row r="2241" spans="37:39" x14ac:dyDescent="0.25">
      <c r="AK2241" s="21">
        <f>_xll.qlCalendarAdvance(calendar,AK2240,"1D")</f>
        <v>45737</v>
      </c>
      <c r="AL2241" s="21">
        <f>_xll.qlInterestRateIndexValueDate(hiborindex,AK2241)</f>
        <v>45741</v>
      </c>
      <c r="AM2241" s="23">
        <f>_xll.qlIndexFixing(hiborindex,AK2241)</f>
        <v>1.1465410794885713E-2</v>
      </c>
    </row>
    <row r="2242" spans="37:39" x14ac:dyDescent="0.25">
      <c r="AK2242" s="21">
        <f>_xll.qlCalendarAdvance(calendar,AK2241,"1D")</f>
        <v>45740</v>
      </c>
      <c r="AL2242" s="21">
        <f>_xll.qlInterestRateIndexValueDate(hiborindex,AK2242)</f>
        <v>45742</v>
      </c>
      <c r="AM2242" s="23">
        <f>_xll.qlIndexFixing(hiborindex,AK2242)</f>
        <v>1.146632290826315E-2</v>
      </c>
    </row>
    <row r="2243" spans="37:39" x14ac:dyDescent="0.25">
      <c r="AK2243" s="21">
        <f>_xll.qlCalendarAdvance(calendar,AK2242,"1D")</f>
        <v>45741</v>
      </c>
      <c r="AL2243" s="21">
        <f>_xll.qlInterestRateIndexValueDate(hiborindex,AK2243)</f>
        <v>45743</v>
      </c>
      <c r="AM2243" s="23">
        <f>_xll.qlIndexFixing(hiborindex,AK2243)</f>
        <v>1.1468288631984761E-2</v>
      </c>
    </row>
    <row r="2244" spans="37:39" x14ac:dyDescent="0.25">
      <c r="AK2244" s="21">
        <f>_xll.qlCalendarAdvance(calendar,AK2243,"1D")</f>
        <v>45742</v>
      </c>
      <c r="AL2244" s="21">
        <f>_xll.qlInterestRateIndexValueDate(hiborindex,AK2244)</f>
        <v>45744</v>
      </c>
      <c r="AM2244" s="23">
        <f>_xll.qlIndexFixing(hiborindex,AK2244)</f>
        <v>1.1468677844437522E-2</v>
      </c>
    </row>
    <row r="2245" spans="37:39" x14ac:dyDescent="0.25">
      <c r="AK2245" s="21">
        <f>_xll.qlCalendarAdvance(calendar,AK2244,"1D")</f>
        <v>45743</v>
      </c>
      <c r="AL2245" s="21">
        <f>_xll.qlInterestRateIndexValueDate(hiborindex,AK2245)</f>
        <v>45747</v>
      </c>
      <c r="AM2245" s="23">
        <f>_xll.qlIndexFixing(hiborindex,AK2245)</f>
        <v>1.1470261262799101E-2</v>
      </c>
    </row>
    <row r="2246" spans="37:39" x14ac:dyDescent="0.25">
      <c r="AK2246" s="21">
        <f>_xll.qlCalendarAdvance(calendar,AK2245,"1D")</f>
        <v>45744</v>
      </c>
      <c r="AL2246" s="21">
        <f>_xll.qlInterestRateIndexValueDate(hiborindex,AK2246)</f>
        <v>45748</v>
      </c>
      <c r="AM2246" s="23">
        <f>_xll.qlIndexFixing(hiborindex,AK2246)</f>
        <v>1.1471135015582451E-2</v>
      </c>
    </row>
    <row r="2247" spans="37:39" x14ac:dyDescent="0.25">
      <c r="AK2247" s="21">
        <f>_xll.qlCalendarAdvance(calendar,AK2246,"1D")</f>
        <v>45747</v>
      </c>
      <c r="AL2247" s="21">
        <f>_xll.qlInterestRateIndexValueDate(hiborindex,AK2247)</f>
        <v>45749</v>
      </c>
      <c r="AM2247" s="23">
        <f>_xll.qlIndexFixing(hiborindex,AK2247)</f>
        <v>1.1472006109080113E-2</v>
      </c>
    </row>
    <row r="2248" spans="37:39" x14ac:dyDescent="0.25">
      <c r="AK2248" s="21">
        <f>_xll.qlCalendarAdvance(calendar,AK2247,"1D")</f>
        <v>45748</v>
      </c>
      <c r="AL2248" s="21">
        <f>_xll.qlInterestRateIndexValueDate(hiborindex,AK2248)</f>
        <v>45750</v>
      </c>
      <c r="AM2248" s="23">
        <f>_xll.qlIndexFixing(hiborindex,AK2248)</f>
        <v>1.1472874543288155E-2</v>
      </c>
    </row>
    <row r="2249" spans="37:39" x14ac:dyDescent="0.25">
      <c r="AK2249" s="21">
        <f>_xll.qlCalendarAdvance(calendar,AK2248,"1D")</f>
        <v>45749</v>
      </c>
      <c r="AL2249" s="21">
        <f>_xll.qlInterestRateIndexValueDate(hiborindex,AK2249)</f>
        <v>45751</v>
      </c>
      <c r="AM2249" s="23">
        <f>_xll.qlIndexFixing(hiborindex,AK2249)</f>
        <v>1.1475107302359261E-2</v>
      </c>
    </row>
    <row r="2250" spans="37:39" x14ac:dyDescent="0.25">
      <c r="AK2250" s="21">
        <f>_xll.qlCalendarAdvance(calendar,AK2249,"1D")</f>
        <v>45750</v>
      </c>
      <c r="AL2250" s="21">
        <f>_xll.qlInterestRateIndexValueDate(hiborindex,AK2250)</f>
        <v>45754</v>
      </c>
      <c r="AM2250" s="23">
        <f>_xll.qlIndexFixing(hiborindex,AK2250)</f>
        <v>1.1476321687156867E-2</v>
      </c>
    </row>
    <row r="2251" spans="37:39" x14ac:dyDescent="0.25">
      <c r="AK2251" s="21">
        <f>_xll.qlCalendarAdvance(calendar,AK2250,"1D")</f>
        <v>45751</v>
      </c>
      <c r="AL2251" s="21">
        <f>_xll.qlInterestRateIndexValueDate(hiborindex,AK2251)</f>
        <v>45755</v>
      </c>
      <c r="AM2251" s="23">
        <f>_xll.qlIndexFixing(hiborindex,AK2251)</f>
        <v>1.1477176824865272E-2</v>
      </c>
    </row>
    <row r="2252" spans="37:39" x14ac:dyDescent="0.25">
      <c r="AK2252" s="21">
        <f>_xll.qlCalendarAdvance(calendar,AK2251,"1D")</f>
        <v>45754</v>
      </c>
      <c r="AL2252" s="21">
        <f>_xll.qlInterestRateIndexValueDate(hiborindex,AK2252)</f>
        <v>45756</v>
      </c>
      <c r="AM2252" s="23">
        <f>_xll.qlIndexFixing(hiborindex,AK2252)</f>
        <v>1.1478029303263963E-2</v>
      </c>
    </row>
    <row r="2253" spans="37:39" x14ac:dyDescent="0.25">
      <c r="AK2253" s="21">
        <f>_xll.qlCalendarAdvance(calendar,AK2252,"1D")</f>
        <v>45755</v>
      </c>
      <c r="AL2253" s="21">
        <f>_xll.qlInterestRateIndexValueDate(hiborindex,AK2253)</f>
        <v>45757</v>
      </c>
      <c r="AM2253" s="23">
        <f>_xll.qlIndexFixing(hiborindex,AK2253)</f>
        <v>1.1478879122348138E-2</v>
      </c>
    </row>
    <row r="2254" spans="37:39" x14ac:dyDescent="0.25">
      <c r="AK2254" s="21">
        <f>_xll.qlCalendarAdvance(calendar,AK2253,"1D")</f>
        <v>45756</v>
      </c>
      <c r="AL2254" s="21">
        <f>_xll.qlInterestRateIndexValueDate(hiborindex,AK2254)</f>
        <v>45758</v>
      </c>
      <c r="AM2254" s="23">
        <f>_xll.qlIndexFixing(hiborindex,AK2254)</f>
        <v>1.1481407857598743E-2</v>
      </c>
    </row>
    <row r="2255" spans="37:39" x14ac:dyDescent="0.25">
      <c r="AK2255" s="21">
        <f>_xll.qlCalendarAdvance(calendar,AK2254,"1D")</f>
        <v>45757</v>
      </c>
      <c r="AL2255" s="21">
        <f>_xll.qlInterestRateIndexValueDate(hiborindex,AK2255)</f>
        <v>45761</v>
      </c>
      <c r="AM2255" s="23">
        <f>_xll.qlIndexFixing(hiborindex,AK2255)</f>
        <v>1.1482251805481566E-2</v>
      </c>
    </row>
    <row r="2256" spans="37:39" x14ac:dyDescent="0.25">
      <c r="AK2256" s="21">
        <f>_xll.qlCalendarAdvance(calendar,AK2255,"1D")</f>
        <v>45758</v>
      </c>
      <c r="AL2256" s="21">
        <f>_xll.qlInterestRateIndexValueDate(hiborindex,AK2256)</f>
        <v>45762</v>
      </c>
      <c r="AM2256" s="23">
        <f>_xll.qlIndexFixing(hiborindex,AK2256)</f>
        <v>1.1483088327946415E-2</v>
      </c>
    </row>
    <row r="2257" spans="37:39" x14ac:dyDescent="0.25">
      <c r="AK2257" s="21">
        <f>_xll.qlCalendarAdvance(calendar,AK2256,"1D")</f>
        <v>45761</v>
      </c>
      <c r="AL2257" s="21">
        <f>_xll.qlInterestRateIndexValueDate(hiborindex,AK2257)</f>
        <v>45763</v>
      </c>
      <c r="AM2257" s="23">
        <f>_xll.qlIndexFixing(hiborindex,AK2257)</f>
        <v>1.1483922191077529E-2</v>
      </c>
    </row>
    <row r="2258" spans="37:39" x14ac:dyDescent="0.25">
      <c r="AK2258" s="21">
        <f>_xll.qlCalendarAdvance(calendar,AK2257,"1D")</f>
        <v>45762</v>
      </c>
      <c r="AL2258" s="21">
        <f>_xll.qlInterestRateIndexValueDate(hiborindex,AK2258)</f>
        <v>45764</v>
      </c>
      <c r="AM2258" s="23">
        <f>_xll.qlIndexFixing(hiborindex,AK2258)</f>
        <v>1.1484753394870536E-2</v>
      </c>
    </row>
    <row r="2259" spans="37:39" x14ac:dyDescent="0.25">
      <c r="AK2259" s="21">
        <f>_xll.qlCalendarAdvance(calendar,AK2258,"1D")</f>
        <v>45763</v>
      </c>
      <c r="AL2259" s="21">
        <f>_xll.qlInterestRateIndexValueDate(hiborindex,AK2259)</f>
        <v>45769</v>
      </c>
      <c r="AM2259" s="23">
        <f>_xll.qlIndexFixing(hiborindex,AK2259)</f>
        <v>1.1488869523657857E-2</v>
      </c>
    </row>
    <row r="2260" spans="37:39" x14ac:dyDescent="0.25">
      <c r="AK2260" s="21">
        <f>_xll.qlCalendarAdvance(calendar,AK2259,"1D")</f>
        <v>45764</v>
      </c>
      <c r="AL2260" s="21">
        <f>_xll.qlInterestRateIndexValueDate(hiborindex,AK2260)</f>
        <v>45770</v>
      </c>
      <c r="AM2260" s="23">
        <f>_xll.qlIndexFixing(hiborindex,AK2260)</f>
        <v>1.1489684771356715E-2</v>
      </c>
    </row>
    <row r="2261" spans="37:39" x14ac:dyDescent="0.25">
      <c r="AK2261" s="21">
        <f>_xll.qlCalendarAdvance(calendar,AK2260,"1D")</f>
        <v>45769</v>
      </c>
      <c r="AL2261" s="21">
        <f>_xll.qlInterestRateIndexValueDate(hiborindex,AK2261)</f>
        <v>45771</v>
      </c>
      <c r="AM2261" s="23">
        <f>_xll.qlIndexFixing(hiborindex,AK2261)</f>
        <v>1.1490497359694315E-2</v>
      </c>
    </row>
    <row r="2262" spans="37:39" x14ac:dyDescent="0.25">
      <c r="AK2262" s="21">
        <f>_xll.qlCalendarAdvance(calendar,AK2261,"1D")</f>
        <v>45770</v>
      </c>
      <c r="AL2262" s="21">
        <f>_xll.qlInterestRateIndexValueDate(hiborindex,AK2262)</f>
        <v>45772</v>
      </c>
      <c r="AM2262" s="23">
        <f>_xll.qlIndexFixing(hiborindex,AK2262)</f>
        <v>1.1493622255079218E-2</v>
      </c>
    </row>
    <row r="2263" spans="37:39" x14ac:dyDescent="0.25">
      <c r="AK2263" s="21">
        <f>_xll.qlCalendarAdvance(calendar,AK2262,"1D")</f>
        <v>45771</v>
      </c>
      <c r="AL2263" s="21">
        <f>_xll.qlInterestRateIndexValueDate(hiborindex,AK2263)</f>
        <v>45775</v>
      </c>
      <c r="AM2263" s="23">
        <f>_xll.qlIndexFixing(hiborindex,AK2263)</f>
        <v>1.1493721119372757E-2</v>
      </c>
    </row>
    <row r="2264" spans="37:39" x14ac:dyDescent="0.25">
      <c r="AK2264" s="21">
        <f>_xll.qlCalendarAdvance(calendar,AK2263,"1D")</f>
        <v>45772</v>
      </c>
      <c r="AL2264" s="21">
        <f>_xll.qlInterestRateIndexValueDate(hiborindex,AK2264)</f>
        <v>45776</v>
      </c>
      <c r="AM2264" s="23">
        <f>_xll.qlIndexFixing(hiborindex,AK2264)</f>
        <v>1.1494520410858213E-2</v>
      </c>
    </row>
    <row r="2265" spans="37:39" x14ac:dyDescent="0.25">
      <c r="AK2265" s="21">
        <f>_xll.qlCalendarAdvance(calendar,AK2264,"1D")</f>
        <v>45775</v>
      </c>
      <c r="AL2265" s="21">
        <f>_xll.qlInterestRateIndexValueDate(hiborindex,AK2265)</f>
        <v>45777</v>
      </c>
      <c r="AM2265" s="23">
        <f>_xll.qlIndexFixing(hiborindex,AK2265)</f>
        <v>1.1496580581753369E-2</v>
      </c>
    </row>
    <row r="2266" spans="37:39" x14ac:dyDescent="0.25">
      <c r="AK2266" s="21">
        <f>_xll.qlCalendarAdvance(calendar,AK2265,"1D")</f>
        <v>45776</v>
      </c>
      <c r="AL2266" s="21">
        <f>_xll.qlInterestRateIndexValueDate(hiborindex,AK2266)</f>
        <v>45779</v>
      </c>
      <c r="AM2266" s="23">
        <f>_xll.qlIndexFixing(hiborindex,AK2266)</f>
        <v>1.1499536094905278E-2</v>
      </c>
    </row>
    <row r="2267" spans="37:39" x14ac:dyDescent="0.25">
      <c r="AK2267" s="21">
        <f>_xll.qlCalendarAdvance(calendar,AK2266,"1D")</f>
        <v>45777</v>
      </c>
      <c r="AL2267" s="21">
        <f>_xll.qlInterestRateIndexValueDate(hiborindex,AK2267)</f>
        <v>45782</v>
      </c>
      <c r="AM2267" s="23">
        <f>_xll.qlIndexFixing(hiborindex,AK2267)</f>
        <v>1.1500638610565916E-2</v>
      </c>
    </row>
    <row r="2268" spans="37:39" x14ac:dyDescent="0.25">
      <c r="AK2268" s="21">
        <f>_xll.qlCalendarAdvance(calendar,AK2267,"1D")</f>
        <v>45779</v>
      </c>
      <c r="AL2268" s="21">
        <f>_xll.qlInterestRateIndexValueDate(hiborindex,AK2268)</f>
        <v>45783</v>
      </c>
      <c r="AM2268" s="23">
        <f>_xll.qlIndexFixing(hiborindex,AK2268)</f>
        <v>1.1501442281311086E-2</v>
      </c>
    </row>
    <row r="2269" spans="37:39" x14ac:dyDescent="0.25">
      <c r="AK2269" s="21">
        <f>_xll.qlCalendarAdvance(calendar,AK2268,"1D")</f>
        <v>45782</v>
      </c>
      <c r="AL2269" s="21">
        <f>_xll.qlInterestRateIndexValueDate(hiborindex,AK2269)</f>
        <v>45784</v>
      </c>
      <c r="AM2269" s="23">
        <f>_xll.qlIndexFixing(hiborindex,AK2269)</f>
        <v>1.1502243307043351E-2</v>
      </c>
    </row>
    <row r="2270" spans="37:39" x14ac:dyDescent="0.25">
      <c r="AK2270" s="21">
        <f>_xll.qlCalendarAdvance(calendar,AK2269,"1D")</f>
        <v>45783</v>
      </c>
      <c r="AL2270" s="21">
        <f>_xll.qlInterestRateIndexValueDate(hiborindex,AK2270)</f>
        <v>45785</v>
      </c>
      <c r="AM2270" s="23">
        <f>_xll.qlIndexFixing(hiborindex,AK2270)</f>
        <v>1.1505976585601601E-2</v>
      </c>
    </row>
    <row r="2271" spans="37:39" x14ac:dyDescent="0.25">
      <c r="AK2271" s="21">
        <f>_xll.qlCalendarAdvance(calendar,AK2270,"1D")</f>
        <v>45784</v>
      </c>
      <c r="AL2271" s="21">
        <f>_xll.qlInterestRateIndexValueDate(hiborindex,AK2271)</f>
        <v>45786</v>
      </c>
      <c r="AM2271" s="23">
        <f>_xll.qlIndexFixing(hiborindex,AK2271)</f>
        <v>1.1505321027223535E-2</v>
      </c>
    </row>
    <row r="2272" spans="37:39" x14ac:dyDescent="0.25">
      <c r="AK2272" s="21">
        <f>_xll.qlCalendarAdvance(calendar,AK2271,"1D")</f>
        <v>45785</v>
      </c>
      <c r="AL2272" s="21">
        <f>_xll.qlInterestRateIndexValueDate(hiborindex,AK2272)</f>
        <v>45789</v>
      </c>
      <c r="AM2272" s="23">
        <f>_xll.qlIndexFixing(hiborindex,AK2272)</f>
        <v>1.1506208760392081E-2</v>
      </c>
    </row>
    <row r="2273" spans="37:39" x14ac:dyDescent="0.25">
      <c r="AK2273" s="21">
        <f>_xll.qlCalendarAdvance(calendar,AK2272,"1D")</f>
        <v>45786</v>
      </c>
      <c r="AL2273" s="21">
        <f>_xll.qlInterestRateIndexValueDate(hiborindex,AK2273)</f>
        <v>45790</v>
      </c>
      <c r="AM2273" s="23">
        <f>_xll.qlIndexFixing(hiborindex,AK2273)</f>
        <v>1.1506993915977412E-2</v>
      </c>
    </row>
    <row r="2274" spans="37:39" x14ac:dyDescent="0.25">
      <c r="AK2274" s="21">
        <f>_xll.qlCalendarAdvance(calendar,AK2273,"1D")</f>
        <v>45789</v>
      </c>
      <c r="AL2274" s="21">
        <f>_xll.qlInterestRateIndexValueDate(hiborindex,AK2274)</f>
        <v>45791</v>
      </c>
      <c r="AM2274" s="23">
        <f>_xll.qlIndexFixing(hiborindex,AK2274)</f>
        <v>1.1507776426526813E-2</v>
      </c>
    </row>
    <row r="2275" spans="37:39" x14ac:dyDescent="0.25">
      <c r="AK2275" s="21">
        <f>_xll.qlCalendarAdvance(calendar,AK2274,"1D")</f>
        <v>45790</v>
      </c>
      <c r="AL2275" s="21">
        <f>_xll.qlInterestRateIndexValueDate(hiborindex,AK2275)</f>
        <v>45792</v>
      </c>
      <c r="AM2275" s="23">
        <f>_xll.qlIndexFixing(hiborindex,AK2275)</f>
        <v>1.1511809153540333E-2</v>
      </c>
    </row>
    <row r="2276" spans="37:39" x14ac:dyDescent="0.25">
      <c r="AK2276" s="21">
        <f>_xll.qlCalendarAdvance(calendar,AK2275,"1D")</f>
        <v>45791</v>
      </c>
      <c r="AL2276" s="21">
        <f>_xll.qlInterestRateIndexValueDate(hiborindex,AK2276)</f>
        <v>45793</v>
      </c>
      <c r="AM2276" s="23">
        <f>_xll.qlIndexFixing(hiborindex,AK2276)</f>
        <v>1.1510977050890254E-2</v>
      </c>
    </row>
    <row r="2277" spans="37:39" x14ac:dyDescent="0.25">
      <c r="AK2277" s="21">
        <f>_xll.qlCalendarAdvance(calendar,AK2276,"1D")</f>
        <v>45792</v>
      </c>
      <c r="AL2277" s="21">
        <f>_xll.qlInterestRateIndexValueDate(hiborindex,AK2277)</f>
        <v>45796</v>
      </c>
      <c r="AM2277" s="23">
        <f>_xll.qlIndexFixing(hiborindex,AK2277)</f>
        <v>1.1511649303628874E-2</v>
      </c>
    </row>
    <row r="2278" spans="37:39" x14ac:dyDescent="0.25">
      <c r="AK2278" s="21">
        <f>_xll.qlCalendarAdvance(calendar,AK2277,"1D")</f>
        <v>45793</v>
      </c>
      <c r="AL2278" s="21">
        <f>_xll.qlInterestRateIndexValueDate(hiborindex,AK2278)</f>
        <v>45797</v>
      </c>
      <c r="AM2278" s="23">
        <f>_xll.qlIndexFixing(hiborindex,AK2278)</f>
        <v>1.1512415943898404E-2</v>
      </c>
    </row>
    <row r="2279" spans="37:39" x14ac:dyDescent="0.25">
      <c r="AK2279" s="21">
        <f>_xll.qlCalendarAdvance(calendar,AK2278,"1D")</f>
        <v>45796</v>
      </c>
      <c r="AL2279" s="21">
        <f>_xll.qlInterestRateIndexValueDate(hiborindex,AK2279)</f>
        <v>45798</v>
      </c>
      <c r="AM2279" s="23">
        <f>_xll.qlIndexFixing(hiborindex,AK2279)</f>
        <v>1.1513179939110279E-2</v>
      </c>
    </row>
    <row r="2280" spans="37:39" x14ac:dyDescent="0.25">
      <c r="AK2280" s="21">
        <f>_xll.qlCalendarAdvance(calendar,AK2279,"1D")</f>
        <v>45797</v>
      </c>
      <c r="AL2280" s="21">
        <f>_xll.qlInterestRateIndexValueDate(hiborindex,AK2280)</f>
        <v>45799</v>
      </c>
      <c r="AM2280" s="23">
        <f>_xll.qlIndexFixing(hiborindex,AK2280)</f>
        <v>1.1517513501846304E-2</v>
      </c>
    </row>
    <row r="2281" spans="37:39" x14ac:dyDescent="0.25">
      <c r="AK2281" s="21">
        <f>_xll.qlCalendarAdvance(calendar,AK2280,"1D")</f>
        <v>45798</v>
      </c>
      <c r="AL2281" s="21">
        <f>_xll.qlInterestRateIndexValueDate(hiborindex,AK2281)</f>
        <v>45800</v>
      </c>
      <c r="AM2281" s="23">
        <f>_xll.qlIndexFixing(hiborindex,AK2281)</f>
        <v>1.1516504164787628E-2</v>
      </c>
    </row>
    <row r="2282" spans="37:39" x14ac:dyDescent="0.25">
      <c r="AK2282" s="21">
        <f>_xll.qlCalendarAdvance(calendar,AK2281,"1D")</f>
        <v>45799</v>
      </c>
      <c r="AL2282" s="21">
        <f>_xll.qlInterestRateIndexValueDate(hiborindex,AK2282)</f>
        <v>45803</v>
      </c>
      <c r="AM2282" s="23">
        <f>_xll.qlIndexFixing(hiborindex,AK2282)</f>
        <v>1.1516960239200198E-2</v>
      </c>
    </row>
    <row r="2283" spans="37:39" x14ac:dyDescent="0.25">
      <c r="AK2283" s="21">
        <f>_xll.qlCalendarAdvance(calendar,AK2282,"1D")</f>
        <v>45800</v>
      </c>
      <c r="AL2283" s="21">
        <f>_xll.qlInterestRateIndexValueDate(hiborindex,AK2283)</f>
        <v>45804</v>
      </c>
      <c r="AM2283" s="23">
        <f>_xll.qlIndexFixing(hiborindex,AK2283)</f>
        <v>1.1517708364002741E-2</v>
      </c>
    </row>
    <row r="2284" spans="37:39" x14ac:dyDescent="0.25">
      <c r="AK2284" s="21">
        <f>_xll.qlCalendarAdvance(calendar,AK2283,"1D")</f>
        <v>45803</v>
      </c>
      <c r="AL2284" s="21">
        <f>_xll.qlInterestRateIndexValueDate(hiborindex,AK2284)</f>
        <v>45805</v>
      </c>
      <c r="AM2284" s="23">
        <f>_xll.qlIndexFixing(hiborindex,AK2284)</f>
        <v>1.1518453843726779E-2</v>
      </c>
    </row>
    <row r="2285" spans="37:39" x14ac:dyDescent="0.25">
      <c r="AK2285" s="21">
        <f>_xll.qlCalendarAdvance(calendar,AK2284,"1D")</f>
        <v>45804</v>
      </c>
      <c r="AL2285" s="21">
        <f>_xll.qlInterestRateIndexValueDate(hiborindex,AK2285)</f>
        <v>45806</v>
      </c>
      <c r="AM2285" s="23">
        <f>_xll.qlIndexFixing(hiborindex,AK2285)</f>
        <v>1.1517262529514245E-2</v>
      </c>
    </row>
    <row r="2286" spans="37:39" x14ac:dyDescent="0.25">
      <c r="AK2286" s="21">
        <f>_xll.qlCalendarAdvance(calendar,AK2285,"1D")</f>
        <v>45805</v>
      </c>
      <c r="AL2286" s="21">
        <f>_xll.qlInterestRateIndexValueDate(hiborindex,AK2286)</f>
        <v>45807</v>
      </c>
      <c r="AM2286" s="23">
        <f>_xll.qlIndexFixing(hiborindex,AK2286)</f>
        <v>1.151603002961646E-2</v>
      </c>
    </row>
    <row r="2287" spans="37:39" x14ac:dyDescent="0.25">
      <c r="AK2287" s="21">
        <f>_xll.qlCalendarAdvance(calendar,AK2286,"1D")</f>
        <v>45806</v>
      </c>
      <c r="AL2287" s="21">
        <f>_xll.qlInterestRateIndexValueDate(hiborindex,AK2287)</f>
        <v>45810</v>
      </c>
      <c r="AM2287" s="23">
        <f>_xll.qlIndexFixing(hiborindex,AK2287)</f>
        <v>1.1520113969666219E-2</v>
      </c>
    </row>
    <row r="2288" spans="37:39" x14ac:dyDescent="0.25">
      <c r="AK2288" s="21">
        <f>_xll.qlCalendarAdvance(calendar,AK2287,"1D")</f>
        <v>45807</v>
      </c>
      <c r="AL2288" s="21">
        <f>_xll.qlInterestRateIndexValueDate(hiborindex,AK2288)</f>
        <v>45811</v>
      </c>
      <c r="AM2288" s="23">
        <f>_xll.qlIndexFixing(hiborindex,AK2288)</f>
        <v>1.1520820181002624E-2</v>
      </c>
    </row>
    <row r="2289" spans="37:39" x14ac:dyDescent="0.25">
      <c r="AK2289" s="21">
        <f>_xll.qlCalendarAdvance(calendar,AK2288,"1D")</f>
        <v>45810</v>
      </c>
      <c r="AL2289" s="21">
        <f>_xll.qlInterestRateIndexValueDate(hiborindex,AK2289)</f>
        <v>45812</v>
      </c>
      <c r="AM2289" s="23">
        <f>_xll.qlIndexFixing(hiborindex,AK2289)</f>
        <v>1.1521523732853282E-2</v>
      </c>
    </row>
    <row r="2290" spans="37:39" x14ac:dyDescent="0.25">
      <c r="AK2290" s="21">
        <f>_xll.qlCalendarAdvance(calendar,AK2289,"1D")</f>
        <v>45811</v>
      </c>
      <c r="AL2290" s="21">
        <f>_xll.qlInterestRateIndexValueDate(hiborindex,AK2290)</f>
        <v>45813</v>
      </c>
      <c r="AM2290" s="23">
        <f>_xll.qlIndexFixing(hiborindex,AK2290)</f>
        <v>1.1522224625214262E-2</v>
      </c>
    </row>
    <row r="2291" spans="37:39" x14ac:dyDescent="0.25">
      <c r="AK2291" s="21">
        <f>_xll.qlCalendarAdvance(calendar,AK2290,"1D")</f>
        <v>45812</v>
      </c>
      <c r="AL2291" s="21">
        <f>_xll.qlInterestRateIndexValueDate(hiborindex,AK2291)</f>
        <v>45814</v>
      </c>
      <c r="AM2291" s="23">
        <f>_xll.qlIndexFixing(hiborindex,AK2291)</f>
        <v>1.15271716589323E-2</v>
      </c>
    </row>
    <row r="2292" spans="37:39" x14ac:dyDescent="0.25">
      <c r="AK2292" s="21">
        <f>_xll.qlCalendarAdvance(calendar,AK2291,"1D")</f>
        <v>45813</v>
      </c>
      <c r="AL2292" s="21">
        <f>_xll.qlInterestRateIndexValueDate(hiborindex,AK2292)</f>
        <v>45817</v>
      </c>
      <c r="AM2292" s="23">
        <f>_xll.qlIndexFixing(hiborindex,AK2292)</f>
        <v>1.1525001599712047E-2</v>
      </c>
    </row>
    <row r="2293" spans="37:39" x14ac:dyDescent="0.25">
      <c r="AK2293" s="21">
        <f>_xll.qlCalendarAdvance(calendar,AK2292,"1D")</f>
        <v>45814</v>
      </c>
      <c r="AL2293" s="21">
        <f>_xll.qlInterestRateIndexValueDate(hiborindex,AK2293)</f>
        <v>45818</v>
      </c>
      <c r="AM2293" s="23">
        <f>_xll.qlIndexFixing(hiborindex,AK2293)</f>
        <v>1.1525689194585326E-2</v>
      </c>
    </row>
    <row r="2294" spans="37:39" x14ac:dyDescent="0.25">
      <c r="AK2294" s="21">
        <f>_xll.qlCalendarAdvance(calendar,AK2293,"1D")</f>
        <v>45817</v>
      </c>
      <c r="AL2294" s="21">
        <f>_xll.qlInterestRateIndexValueDate(hiborindex,AK2294)</f>
        <v>45819</v>
      </c>
      <c r="AM2294" s="23">
        <f>_xll.qlIndexFixing(hiborindex,AK2294)</f>
        <v>1.1526374129953202E-2</v>
      </c>
    </row>
    <row r="2295" spans="37:39" x14ac:dyDescent="0.25">
      <c r="AK2295" s="21">
        <f>_xll.qlCalendarAdvance(calendar,AK2294,"1D")</f>
        <v>45818</v>
      </c>
      <c r="AL2295" s="21">
        <f>_xll.qlInterestRateIndexValueDate(hiborindex,AK2295)</f>
        <v>45820</v>
      </c>
      <c r="AM2295" s="23">
        <f>_xll.qlIndexFixing(hiborindex,AK2295)</f>
        <v>1.1527056405812182E-2</v>
      </c>
    </row>
    <row r="2296" spans="37:39" x14ac:dyDescent="0.25">
      <c r="AK2296" s="21">
        <f>_xll.qlCalendarAdvance(calendar,AK2295,"1D")</f>
        <v>45819</v>
      </c>
      <c r="AL2296" s="21">
        <f>_xll.qlInterestRateIndexValueDate(hiborindex,AK2296)</f>
        <v>45821</v>
      </c>
      <c r="AM2296" s="23">
        <f>_xll.qlIndexFixing(hiborindex,AK2296)</f>
        <v>1.1532312037071878E-2</v>
      </c>
    </row>
    <row r="2297" spans="37:39" x14ac:dyDescent="0.25">
      <c r="AK2297" s="21">
        <f>_xll.qlCalendarAdvance(calendar,AK2296,"1D")</f>
        <v>45820</v>
      </c>
      <c r="AL2297" s="21">
        <f>_xll.qlInterestRateIndexValueDate(hiborindex,AK2297)</f>
        <v>45824</v>
      </c>
      <c r="AM2297" s="23">
        <f>_xll.qlIndexFixing(hiborindex,AK2297)</f>
        <v>1.1529758914107145E-2</v>
      </c>
    </row>
    <row r="2298" spans="37:39" x14ac:dyDescent="0.25">
      <c r="AK2298" s="21">
        <f>_xll.qlCalendarAdvance(calendar,AK2297,"1D")</f>
        <v>45821</v>
      </c>
      <c r="AL2298" s="21">
        <f>_xll.qlInterestRateIndexValueDate(hiborindex,AK2298)</f>
        <v>45825</v>
      </c>
      <c r="AM2298" s="23">
        <f>_xll.qlIndexFixing(hiborindex,AK2298)</f>
        <v>1.1530427892381451E-2</v>
      </c>
    </row>
    <row r="2299" spans="37:39" x14ac:dyDescent="0.25">
      <c r="AK2299" s="21">
        <f>_xll.qlCalendarAdvance(calendar,AK2298,"1D")</f>
        <v>45824</v>
      </c>
      <c r="AL2299" s="21">
        <f>_xll.qlInterestRateIndexValueDate(hiborindex,AK2299)</f>
        <v>45826</v>
      </c>
      <c r="AM2299" s="23">
        <f>_xll.qlIndexFixing(hiborindex,AK2299)</f>
        <v>1.1531094211131573E-2</v>
      </c>
    </row>
    <row r="2300" spans="37:39" x14ac:dyDescent="0.25">
      <c r="AK2300" s="21">
        <f>_xll.qlCalendarAdvance(calendar,AK2299,"1D")</f>
        <v>45825</v>
      </c>
      <c r="AL2300" s="21">
        <f>_xll.qlInterestRateIndexValueDate(hiborindex,AK2300)</f>
        <v>45827</v>
      </c>
      <c r="AM2300" s="23">
        <f>_xll.qlIndexFixing(hiborindex,AK2300)</f>
        <v>1.1531757870353139E-2</v>
      </c>
    </row>
    <row r="2301" spans="37:39" x14ac:dyDescent="0.25">
      <c r="AK2301" s="21">
        <f>_xll.qlCalendarAdvance(calendar,AK2300,"1D")</f>
        <v>45826</v>
      </c>
      <c r="AL2301" s="21">
        <f>_xll.qlInterestRateIndexValueDate(hiborindex,AK2301)</f>
        <v>45828</v>
      </c>
      <c r="AM2301" s="23">
        <f>_xll.qlIndexFixing(hiborindex,AK2301)</f>
        <v>1.1537323501226672E-2</v>
      </c>
    </row>
    <row r="2302" spans="37:39" x14ac:dyDescent="0.25">
      <c r="AK2302" s="21">
        <f>_xll.qlCalendarAdvance(calendar,AK2301,"1D")</f>
        <v>45827</v>
      </c>
      <c r="AL2302" s="21">
        <f>_xll.qlInterestRateIndexValueDate(hiborindex,AK2302)</f>
        <v>45831</v>
      </c>
      <c r="AM2302" s="23">
        <f>_xll.qlIndexFixing(hiborindex,AK2302)</f>
        <v>1.1534385911911063E-2</v>
      </c>
    </row>
    <row r="2303" spans="37:39" x14ac:dyDescent="0.25">
      <c r="AK2303" s="21">
        <f>_xll.qlCalendarAdvance(calendar,AK2302,"1D")</f>
        <v>45828</v>
      </c>
      <c r="AL2303" s="21">
        <f>_xll.qlInterestRateIndexValueDate(hiborindex,AK2303)</f>
        <v>45832</v>
      </c>
      <c r="AM2303" s="23">
        <f>_xll.qlIndexFixing(hiborindex,AK2303)</f>
        <v>1.1535036273454919E-2</v>
      </c>
    </row>
    <row r="2304" spans="37:39" x14ac:dyDescent="0.25">
      <c r="AK2304" s="21">
        <f>_xll.qlCalendarAdvance(calendar,AK2303,"1D")</f>
        <v>45831</v>
      </c>
      <c r="AL2304" s="21">
        <f>_xll.qlInterestRateIndexValueDate(hiborindex,AK2304)</f>
        <v>45833</v>
      </c>
      <c r="AM2304" s="23">
        <f>_xll.qlIndexFixing(hiborindex,AK2304)</f>
        <v>1.1545970094270136E-2</v>
      </c>
    </row>
    <row r="2305" spans="37:39" x14ac:dyDescent="0.25">
      <c r="AK2305" s="21">
        <f>_xll.qlCalendarAdvance(calendar,AK2304,"1D")</f>
        <v>45832</v>
      </c>
      <c r="AL2305" s="21">
        <f>_xll.qlInterestRateIndexValueDate(hiborindex,AK2305)</f>
        <v>45834</v>
      </c>
      <c r="AM2305" s="23">
        <f>_xll.qlIndexFixing(hiborindex,AK2305)</f>
        <v>1.1544111910318608E-2</v>
      </c>
    </row>
    <row r="2306" spans="37:39" x14ac:dyDescent="0.25">
      <c r="AK2306" s="21">
        <f>_xll.qlCalendarAdvance(calendar,AK2305,"1D")</f>
        <v>45833</v>
      </c>
      <c r="AL2306" s="21">
        <f>_xll.qlInterestRateIndexValueDate(hiborindex,AK2306)</f>
        <v>45835</v>
      </c>
      <c r="AM2306" s="23">
        <f>_xll.qlIndexFixing(hiborindex,AK2306)</f>
        <v>1.154220605040677E-2</v>
      </c>
    </row>
    <row r="2307" spans="37:39" x14ac:dyDescent="0.25">
      <c r="AK2307" s="21">
        <f>_xll.qlCalendarAdvance(calendar,AK2306,"1D")</f>
        <v>45834</v>
      </c>
      <c r="AL2307" s="21">
        <f>_xll.qlInterestRateIndexValueDate(hiborindex,AK2307)</f>
        <v>45838</v>
      </c>
      <c r="AM2307" s="23">
        <f>_xll.qlIndexFixing(hiborindex,AK2307)</f>
        <v>1.1541570766252555E-2</v>
      </c>
    </row>
    <row r="2308" spans="37:39" x14ac:dyDescent="0.25">
      <c r="AK2308" s="21">
        <f>_xll.qlCalendarAdvance(calendar,AK2307,"1D")</f>
        <v>45835</v>
      </c>
      <c r="AL2308" s="21">
        <f>_xll.qlInterestRateIndexValueDate(hiborindex,AK2308)</f>
        <v>45839</v>
      </c>
      <c r="AM2308" s="23">
        <f>_xll.qlIndexFixing(hiborindex,AK2308)</f>
        <v>1.154926649922307E-2</v>
      </c>
    </row>
    <row r="2309" spans="37:39" x14ac:dyDescent="0.25">
      <c r="AK2309" s="21">
        <f>_xll.qlCalendarAdvance(calendar,AK2308,"1D")</f>
        <v>45838</v>
      </c>
      <c r="AL2309" s="21">
        <f>_xll.qlInterestRateIndexValueDate(hiborindex,AK2309)</f>
        <v>45840</v>
      </c>
      <c r="AM2309" s="23">
        <f>_xll.qlIndexFixing(hiborindex,AK2309)</f>
        <v>1.1551585229482974E-2</v>
      </c>
    </row>
    <row r="2310" spans="37:39" x14ac:dyDescent="0.25">
      <c r="AK2310" s="21">
        <f>_xll.qlCalendarAdvance(calendar,AK2309,"1D")</f>
        <v>45839</v>
      </c>
      <c r="AL2310" s="21">
        <f>_xll.qlInterestRateIndexValueDate(hiborindex,AK2310)</f>
        <v>45841</v>
      </c>
      <c r="AM2310" s="23">
        <f>_xll.qlIndexFixing(hiborindex,AK2310)</f>
        <v>1.1561970329546751E-2</v>
      </c>
    </row>
    <row r="2311" spans="37:39" x14ac:dyDescent="0.25">
      <c r="AK2311" s="21">
        <f>_xll.qlCalendarAdvance(calendar,AK2310,"1D")</f>
        <v>45840</v>
      </c>
      <c r="AL2311" s="21">
        <f>_xll.qlInterestRateIndexValueDate(hiborindex,AK2311)</f>
        <v>45842</v>
      </c>
      <c r="AM2311" s="23">
        <f>_xll.qlIndexFixing(hiborindex,AK2311)</f>
        <v>1.1564288751318741E-2</v>
      </c>
    </row>
    <row r="2312" spans="37:39" x14ac:dyDescent="0.25">
      <c r="AK2312" s="21">
        <f>_xll.qlCalendarAdvance(calendar,AK2311,"1D")</f>
        <v>45841</v>
      </c>
      <c r="AL2312" s="21">
        <f>_xll.qlInterestRateIndexValueDate(hiborindex,AK2312)</f>
        <v>45845</v>
      </c>
      <c r="AM2312" s="23">
        <f>_xll.qlIndexFixing(hiborindex,AK2312)</f>
        <v>1.1576621610502205E-2</v>
      </c>
    </row>
    <row r="2313" spans="37:39" x14ac:dyDescent="0.25">
      <c r="AK2313" s="21">
        <f>_xll.qlCalendarAdvance(calendar,AK2312,"1D")</f>
        <v>45842</v>
      </c>
      <c r="AL2313" s="21">
        <f>_xll.qlInterestRateIndexValueDate(hiborindex,AK2313)</f>
        <v>45846</v>
      </c>
      <c r="AM2313" s="23">
        <f>_xll.qlIndexFixing(hiborindex,AK2313)</f>
        <v>1.1581628924925305E-2</v>
      </c>
    </row>
    <row r="2314" spans="37:39" x14ac:dyDescent="0.25">
      <c r="AK2314" s="21">
        <f>_xll.qlCalendarAdvance(calendar,AK2313,"1D")</f>
        <v>45845</v>
      </c>
      <c r="AL2314" s="21">
        <f>_xll.qlInterestRateIndexValueDate(hiborindex,AK2314)</f>
        <v>45847</v>
      </c>
      <c r="AM2314" s="23">
        <f>_xll.qlIndexFixing(hiborindex,AK2314)</f>
        <v>1.1586636252088214E-2</v>
      </c>
    </row>
    <row r="2315" spans="37:39" x14ac:dyDescent="0.25">
      <c r="AK2315" s="21">
        <f>_xll.qlCalendarAdvance(calendar,AK2314,"1D")</f>
        <v>45846</v>
      </c>
      <c r="AL2315" s="21">
        <f>_xll.qlInterestRateIndexValueDate(hiborindex,AK2315)</f>
        <v>45848</v>
      </c>
      <c r="AM2315" s="23">
        <f>_xll.qlIndexFixing(hiborindex,AK2315)</f>
        <v>1.1597023778724902E-2</v>
      </c>
    </row>
    <row r="2316" spans="37:39" x14ac:dyDescent="0.25">
      <c r="AK2316" s="21">
        <f>_xll.qlCalendarAdvance(calendar,AK2315,"1D")</f>
        <v>45847</v>
      </c>
      <c r="AL2316" s="21">
        <f>_xll.qlInterestRateIndexValueDate(hiborindex,AK2316)</f>
        <v>45849</v>
      </c>
      <c r="AM2316" s="23">
        <f>_xll.qlIndexFixing(hiborindex,AK2316)</f>
        <v>1.1599341121204101E-2</v>
      </c>
    </row>
    <row r="2317" spans="37:39" x14ac:dyDescent="0.25">
      <c r="AK2317" s="21">
        <f>_xll.qlCalendarAdvance(calendar,AK2316,"1D")</f>
        <v>45848</v>
      </c>
      <c r="AL2317" s="21">
        <f>_xll.qlInterestRateIndexValueDate(hiborindex,AK2317)</f>
        <v>45852</v>
      </c>
      <c r="AM2317" s="23">
        <f>_xll.qlIndexFixing(hiborindex,AK2317)</f>
        <v>1.1611673079001201E-2</v>
      </c>
    </row>
    <row r="2318" spans="37:39" x14ac:dyDescent="0.25">
      <c r="AK2318" s="21">
        <f>_xll.qlCalendarAdvance(calendar,AK2317,"1D")</f>
        <v>45849</v>
      </c>
      <c r="AL2318" s="21">
        <f>_xll.qlInterestRateIndexValueDate(hiborindex,AK2318)</f>
        <v>45853</v>
      </c>
      <c r="AM2318" s="23">
        <f>_xll.qlIndexFixing(hiborindex,AK2318)</f>
        <v>1.1616680482603834E-2</v>
      </c>
    </row>
    <row r="2319" spans="37:39" x14ac:dyDescent="0.25">
      <c r="AK2319" s="21">
        <f>_xll.qlCalendarAdvance(calendar,AK2318,"1D")</f>
        <v>45852</v>
      </c>
      <c r="AL2319" s="21">
        <f>_xll.qlInterestRateIndexValueDate(hiborindex,AK2319)</f>
        <v>45854</v>
      </c>
      <c r="AM2319" s="23">
        <f>_xll.qlIndexFixing(hiborindex,AK2319)</f>
        <v>1.1621687898945843E-2</v>
      </c>
    </row>
    <row r="2320" spans="37:39" x14ac:dyDescent="0.25">
      <c r="AK2320" s="21">
        <f>_xll.qlCalendarAdvance(calendar,AK2319,"1D")</f>
        <v>45853</v>
      </c>
      <c r="AL2320" s="21">
        <f>_xll.qlInterestRateIndexValueDate(hiborindex,AK2320)</f>
        <v>45855</v>
      </c>
      <c r="AM2320" s="23">
        <f>_xll.qlIndexFixing(hiborindex,AK2320)</f>
        <v>1.1632077858984907E-2</v>
      </c>
    </row>
    <row r="2321" spans="37:39" x14ac:dyDescent="0.25">
      <c r="AK2321" s="21">
        <f>_xll.qlCalendarAdvance(calendar,AK2320,"1D")</f>
        <v>45854</v>
      </c>
      <c r="AL2321" s="21">
        <f>_xll.qlInterestRateIndexValueDate(hiborindex,AK2321)</f>
        <v>45856</v>
      </c>
      <c r="AM2321" s="23">
        <f>_xll.qlIndexFixing(hiborindex,AK2321)</f>
        <v>1.163439411875862E-2</v>
      </c>
    </row>
    <row r="2322" spans="37:39" x14ac:dyDescent="0.25">
      <c r="AK2322" s="21">
        <f>_xll.qlCalendarAdvance(calendar,AK2321,"1D")</f>
        <v>45855</v>
      </c>
      <c r="AL2322" s="21">
        <f>_xll.qlInterestRateIndexValueDate(hiborindex,AK2322)</f>
        <v>45859</v>
      </c>
      <c r="AM2322" s="23">
        <f>_xll.qlIndexFixing(hiborindex,AK2322)</f>
        <v>1.1646725171759973E-2</v>
      </c>
    </row>
    <row r="2323" spans="37:39" x14ac:dyDescent="0.25">
      <c r="AK2323" s="21">
        <f>_xll.qlCalendarAdvance(calendar,AK2322,"1D")</f>
        <v>45856</v>
      </c>
      <c r="AL2323" s="21">
        <f>_xll.qlInterestRateIndexValueDate(hiborindex,AK2323)</f>
        <v>45860</v>
      </c>
      <c r="AM2323" s="23">
        <f>_xll.qlIndexFixing(hiborindex,AK2323)</f>
        <v>1.1651732664543443E-2</v>
      </c>
    </row>
    <row r="2324" spans="37:39" x14ac:dyDescent="0.25">
      <c r="AK2324" s="21">
        <f>_xll.qlCalendarAdvance(calendar,AK2323,"1D")</f>
        <v>45859</v>
      </c>
      <c r="AL2324" s="21">
        <f>_xll.qlInterestRateIndexValueDate(hiborindex,AK2324)</f>
        <v>45861</v>
      </c>
      <c r="AM2324" s="23">
        <f>_xll.qlIndexFixing(hiborindex,AK2324)</f>
        <v>1.1656740170067155E-2</v>
      </c>
    </row>
    <row r="2325" spans="37:39" x14ac:dyDescent="0.25">
      <c r="AK2325" s="21">
        <f>_xll.qlCalendarAdvance(calendar,AK2324,"1D")</f>
        <v>45860</v>
      </c>
      <c r="AL2325" s="21">
        <f>_xll.qlInterestRateIndexValueDate(hiborindex,AK2325)</f>
        <v>45862</v>
      </c>
      <c r="AM2325" s="23">
        <f>_xll.qlIndexFixing(hiborindex,AK2325)</f>
        <v>1.166713257033751E-2</v>
      </c>
    </row>
    <row r="2326" spans="37:39" x14ac:dyDescent="0.25">
      <c r="AK2326" s="21">
        <f>_xll.qlCalendarAdvance(calendar,AK2325,"1D")</f>
        <v>45861</v>
      </c>
      <c r="AL2326" s="21">
        <f>_xll.qlInterestRateIndexValueDate(hiborindex,AK2326)</f>
        <v>45863</v>
      </c>
      <c r="AM2326" s="23">
        <f>_xll.qlIndexFixing(hiborindex,AK2326)</f>
        <v>1.1669447743993536E-2</v>
      </c>
    </row>
    <row r="2327" spans="37:39" x14ac:dyDescent="0.25">
      <c r="AK2327" s="21">
        <f>_xll.qlCalendarAdvance(calendar,AK2326,"1D")</f>
        <v>45862</v>
      </c>
      <c r="AL2327" s="21">
        <f>_xll.qlInterestRateIndexValueDate(hiborindex,AK2327)</f>
        <v>45866</v>
      </c>
      <c r="AM2327" s="23">
        <f>_xll.qlIndexFixing(hiborindex,AK2327)</f>
        <v>1.1681777888790681E-2</v>
      </c>
    </row>
    <row r="2328" spans="37:39" x14ac:dyDescent="0.25">
      <c r="AK2328" s="21">
        <f>_xll.qlCalendarAdvance(calendar,AK2327,"1D")</f>
        <v>45863</v>
      </c>
      <c r="AL2328" s="21">
        <f>_xll.qlInterestRateIndexValueDate(hiborindex,AK2328)</f>
        <v>45867</v>
      </c>
      <c r="AM2328" s="23">
        <f>_xll.qlIndexFixing(hiborindex,AK2328)</f>
        <v>1.1686785470756291E-2</v>
      </c>
    </row>
    <row r="2329" spans="37:39" x14ac:dyDescent="0.25">
      <c r="AK2329" s="21">
        <f>_xll.qlCalendarAdvance(calendar,AK2328,"1D")</f>
        <v>45866</v>
      </c>
      <c r="AL2329" s="21">
        <f>_xll.qlInterestRateIndexValueDate(hiborindex,AK2329)</f>
        <v>45868</v>
      </c>
      <c r="AM2329" s="23">
        <f>_xll.qlIndexFixing(hiborindex,AK2329)</f>
        <v>1.1691793065463014E-2</v>
      </c>
    </row>
    <row r="2330" spans="37:39" x14ac:dyDescent="0.25">
      <c r="AK2330" s="21">
        <f>_xll.qlCalendarAdvance(calendar,AK2329,"1D")</f>
        <v>45867</v>
      </c>
      <c r="AL2330" s="21">
        <f>_xll.qlInterestRateIndexValueDate(hiborindex,AK2330)</f>
        <v>45869</v>
      </c>
      <c r="AM2330" s="23">
        <f>_xll.qlIndexFixing(hiborindex,AK2330)</f>
        <v>1.1694107307249624E-2</v>
      </c>
    </row>
    <row r="2331" spans="37:39" x14ac:dyDescent="0.25">
      <c r="AK2331" s="21">
        <f>_xll.qlCalendarAdvance(calendar,AK2330,"1D")</f>
        <v>45868</v>
      </c>
      <c r="AL2331" s="21">
        <f>_xll.qlInterestRateIndexValueDate(hiborindex,AK2331)</f>
        <v>45870</v>
      </c>
      <c r="AM2331" s="23">
        <f>_xll.qlIndexFixing(hiborindex,AK2331)</f>
        <v>1.1704501996919647E-2</v>
      </c>
    </row>
    <row r="2332" spans="37:39" x14ac:dyDescent="0.25">
      <c r="AK2332" s="21">
        <f>_xll.qlCalendarAdvance(calendar,AK2331,"1D")</f>
        <v>45869</v>
      </c>
      <c r="AL2332" s="21">
        <f>_xll.qlInterestRateIndexValueDate(hiborindex,AK2332)</f>
        <v>45873</v>
      </c>
      <c r="AM2332" s="23">
        <f>_xll.qlIndexFixing(hiborindex,AK2332)</f>
        <v>1.1716831230103321E-2</v>
      </c>
    </row>
    <row r="2333" spans="37:39" x14ac:dyDescent="0.25">
      <c r="AK2333" s="21">
        <f>_xll.qlCalendarAdvance(calendar,AK2332,"1D")</f>
        <v>45870</v>
      </c>
      <c r="AL2333" s="21">
        <f>_xll.qlInterestRateIndexValueDate(hiborindex,AK2333)</f>
        <v>45874</v>
      </c>
      <c r="AM2333" s="23">
        <f>_xll.qlIndexFixing(hiborindex,AK2333)</f>
        <v>1.1721838901253244E-2</v>
      </c>
    </row>
    <row r="2334" spans="37:39" x14ac:dyDescent="0.25">
      <c r="AK2334" s="21">
        <f>_xll.qlCalendarAdvance(calendar,AK2333,"1D")</f>
        <v>45873</v>
      </c>
      <c r="AL2334" s="21">
        <f>_xll.qlInterestRateIndexValueDate(hiborindex,AK2334)</f>
        <v>45875</v>
      </c>
      <c r="AM2334" s="23">
        <f>_xll.qlIndexFixing(hiborindex,AK2334)</f>
        <v>1.1726846585143844E-2</v>
      </c>
    </row>
    <row r="2335" spans="37:39" x14ac:dyDescent="0.25">
      <c r="AK2335" s="21">
        <f>_xll.qlCalendarAdvance(calendar,AK2334,"1D")</f>
        <v>45874</v>
      </c>
      <c r="AL2335" s="21">
        <f>_xll.qlInterestRateIndexValueDate(hiborindex,AK2335)</f>
        <v>45876</v>
      </c>
      <c r="AM2335" s="23">
        <f>_xll.qlIndexFixing(hiborindex,AK2335)</f>
        <v>1.1737243886366492E-2</v>
      </c>
    </row>
    <row r="2336" spans="37:39" x14ac:dyDescent="0.25">
      <c r="AK2336" s="21">
        <f>_xll.qlCalendarAdvance(calendar,AK2335,"1D")</f>
        <v>45875</v>
      </c>
      <c r="AL2336" s="21">
        <f>_xll.qlInterestRateIndexValueDate(hiborindex,AK2336)</f>
        <v>45877</v>
      </c>
      <c r="AM2336" s="23">
        <f>_xll.qlIndexFixing(hiborindex,AK2336)</f>
        <v>1.1739556877549052E-2</v>
      </c>
    </row>
    <row r="2337" spans="37:39" x14ac:dyDescent="0.25">
      <c r="AK2337" s="21">
        <f>_xll.qlCalendarAdvance(calendar,AK2336,"1D")</f>
        <v>45876</v>
      </c>
      <c r="AL2337" s="21">
        <f>_xll.qlInterestRateIndexValueDate(hiborindex,AK2337)</f>
        <v>45880</v>
      </c>
      <c r="AM2337" s="23">
        <f>_xll.qlIndexFixing(hiborindex,AK2337)</f>
        <v>1.1751885195709622E-2</v>
      </c>
    </row>
    <row r="2338" spans="37:39" x14ac:dyDescent="0.25">
      <c r="AK2338" s="21">
        <f>_xll.qlCalendarAdvance(calendar,AK2337,"1D")</f>
        <v>45877</v>
      </c>
      <c r="AL2338" s="21">
        <f>_xll.qlInterestRateIndexValueDate(hiborindex,AK2338)</f>
        <v>45881</v>
      </c>
      <c r="AM2338" s="23">
        <f>_xll.qlIndexFixing(hiborindex,AK2338)</f>
        <v>1.1756892956045593E-2</v>
      </c>
    </row>
    <row r="2339" spans="37:39" x14ac:dyDescent="0.25">
      <c r="AK2339" s="21">
        <f>_xll.qlCalendarAdvance(calendar,AK2338,"1D")</f>
        <v>45880</v>
      </c>
      <c r="AL2339" s="21">
        <f>_xll.qlInterestRateIndexValueDate(hiborindex,AK2339)</f>
        <v>45882</v>
      </c>
      <c r="AM2339" s="23">
        <f>_xll.qlIndexFixing(hiborindex,AK2339)</f>
        <v>1.1761900729121809E-2</v>
      </c>
    </row>
    <row r="2340" spans="37:39" x14ac:dyDescent="0.25">
      <c r="AK2340" s="21">
        <f>_xll.qlCalendarAdvance(calendar,AK2339,"1D")</f>
        <v>45881</v>
      </c>
      <c r="AL2340" s="21">
        <f>_xll.qlInterestRateIndexValueDate(hiborindex,AK2340)</f>
        <v>45883</v>
      </c>
      <c r="AM2340" s="23">
        <f>_xll.qlIndexFixing(hiborindex,AK2340)</f>
        <v>1.1772300491065221E-2</v>
      </c>
    </row>
    <row r="2341" spans="37:39" x14ac:dyDescent="0.25">
      <c r="AK2341" s="21">
        <f>_xll.qlCalendarAdvance(calendar,AK2340,"1D")</f>
        <v>45882</v>
      </c>
      <c r="AL2341" s="21">
        <f>_xll.qlInterestRateIndexValueDate(hiborindex,AK2341)</f>
        <v>45884</v>
      </c>
      <c r="AM2341" s="23">
        <f>_xll.qlIndexFixing(hiborindex,AK2341)</f>
        <v>1.1774612385892122E-2</v>
      </c>
    </row>
    <row r="2342" spans="37:39" x14ac:dyDescent="0.25">
      <c r="AK2342" s="21">
        <f>_xll.qlCalendarAdvance(calendar,AK2341,"1D")</f>
        <v>45883</v>
      </c>
      <c r="AL2342" s="21">
        <f>_xll.qlInterestRateIndexValueDate(hiborindex,AK2342)</f>
        <v>45887</v>
      </c>
      <c r="AM2342" s="23">
        <f>_xll.qlIndexFixing(hiborindex,AK2342)</f>
        <v>1.1786939785620008E-2</v>
      </c>
    </row>
    <row r="2343" spans="37:39" x14ac:dyDescent="0.25">
      <c r="AK2343" s="21">
        <f>_xll.qlCalendarAdvance(calendar,AK2342,"1D")</f>
        <v>45884</v>
      </c>
      <c r="AL2343" s="21">
        <f>_xll.qlInterestRateIndexValueDate(hiborindex,AK2343)</f>
        <v>45888</v>
      </c>
      <c r="AM2343" s="23">
        <f>_xll.qlIndexFixing(hiborindex,AK2343)</f>
        <v>1.1791947635143333E-2</v>
      </c>
    </row>
    <row r="2344" spans="37:39" x14ac:dyDescent="0.25">
      <c r="AK2344" s="21">
        <f>_xll.qlCalendarAdvance(calendar,AK2343,"1D")</f>
        <v>45887</v>
      </c>
      <c r="AL2344" s="21">
        <f>_xll.qlInterestRateIndexValueDate(hiborindex,AK2344)</f>
        <v>45889</v>
      </c>
      <c r="AM2344" s="23">
        <f>_xll.qlIndexFixing(hiborindex,AK2344)</f>
        <v>1.1796955497407337E-2</v>
      </c>
    </row>
    <row r="2345" spans="37:39" x14ac:dyDescent="0.25">
      <c r="AK2345" s="21">
        <f>_xll.qlCalendarAdvance(calendar,AK2344,"1D")</f>
        <v>45888</v>
      </c>
      <c r="AL2345" s="21">
        <f>_xll.qlInterestRateIndexValueDate(hiborindex,AK2345)</f>
        <v>45890</v>
      </c>
      <c r="AM2345" s="23">
        <f>_xll.qlIndexFixing(hiborindex,AK2345)</f>
        <v>1.18073577269021E-2</v>
      </c>
    </row>
    <row r="2346" spans="37:39" x14ac:dyDescent="0.25">
      <c r="AK2346" s="21">
        <f>_xll.qlCalendarAdvance(calendar,AK2345,"1D")</f>
        <v>45889</v>
      </c>
      <c r="AL2346" s="21">
        <f>_xll.qlInterestRateIndexValueDate(hiborindex,AK2346)</f>
        <v>45891</v>
      </c>
      <c r="AM2346" s="23">
        <f>_xll.qlIndexFixing(hiborindex,AK2346)</f>
        <v>1.1809668521960524E-2</v>
      </c>
    </row>
    <row r="2347" spans="37:39" x14ac:dyDescent="0.25">
      <c r="AK2347" s="21">
        <f>_xll.qlCalendarAdvance(calendar,AK2346,"1D")</f>
        <v>45890</v>
      </c>
      <c r="AL2347" s="21">
        <f>_xll.qlInterestRateIndexValueDate(hiborindex,AK2347)</f>
        <v>45894</v>
      </c>
      <c r="AM2347" s="23">
        <f>_xll.qlIndexFixing(hiborindex,AK2347)</f>
        <v>1.1821994999847514E-2</v>
      </c>
    </row>
    <row r="2348" spans="37:39" x14ac:dyDescent="0.25">
      <c r="AK2348" s="21">
        <f>_xll.qlCalendarAdvance(calendar,AK2347,"1D")</f>
        <v>45891</v>
      </c>
      <c r="AL2348" s="21">
        <f>_xll.qlInterestRateIndexValueDate(hiborindex,AK2348)</f>
        <v>45895</v>
      </c>
      <c r="AM2348" s="23">
        <f>_xll.qlIndexFixing(hiborindex,AK2348)</f>
        <v>1.1827002938559062E-2</v>
      </c>
    </row>
    <row r="2349" spans="37:39" x14ac:dyDescent="0.25">
      <c r="AK2349" s="21">
        <f>_xll.qlCalendarAdvance(calendar,AK2348,"1D")</f>
        <v>45894</v>
      </c>
      <c r="AL2349" s="21">
        <f>_xll.qlInterestRateIndexValueDate(hiborindex,AK2349)</f>
        <v>45896</v>
      </c>
      <c r="AM2349" s="23">
        <f>_xll.qlIndexFixing(hiborindex,AK2349)</f>
        <v>1.1832010890012156E-2</v>
      </c>
    </row>
    <row r="2350" spans="37:39" x14ac:dyDescent="0.25">
      <c r="AK2350" s="21">
        <f>_xll.qlCalendarAdvance(calendar,AK2349,"1D")</f>
        <v>45895</v>
      </c>
      <c r="AL2350" s="21">
        <f>_xll.qlInterestRateIndexValueDate(hiborindex,AK2350)</f>
        <v>45897</v>
      </c>
      <c r="AM2350" s="23">
        <f>_xll.qlIndexFixing(hiborindex,AK2350)</f>
        <v>1.1834320741797823E-2</v>
      </c>
    </row>
    <row r="2351" spans="37:39" x14ac:dyDescent="0.25">
      <c r="AK2351" s="21">
        <f>_xll.qlCalendarAdvance(calendar,AK2350,"1D")</f>
        <v>45896</v>
      </c>
      <c r="AL2351" s="21">
        <f>_xll.qlInterestRateIndexValueDate(hiborindex,AK2351)</f>
        <v>45898</v>
      </c>
      <c r="AM2351" s="23">
        <f>_xll.qlIndexFixing(hiborindex,AK2351)</f>
        <v>1.1836630436866169E-2</v>
      </c>
    </row>
    <row r="2352" spans="37:39" x14ac:dyDescent="0.25">
      <c r="AK2352" s="21">
        <f>_xll.qlCalendarAdvance(calendar,AK2351,"1D")</f>
        <v>45897</v>
      </c>
      <c r="AL2352" s="21">
        <f>_xll.qlInterestRateIndexValueDate(hiborindex,AK2352)</f>
        <v>45901</v>
      </c>
      <c r="AM2352" s="23">
        <f>_xll.qlIndexFixing(hiborindex,AK2352)</f>
        <v>1.1851653420290464E-2</v>
      </c>
    </row>
    <row r="2353" spans="37:39" x14ac:dyDescent="0.25">
      <c r="AK2353" s="21">
        <f>_xll.qlCalendarAdvance(calendar,AK2352,"1D")</f>
        <v>45898</v>
      </c>
      <c r="AL2353" s="21">
        <f>_xll.qlInterestRateIndexValueDate(hiborindex,AK2353)</f>
        <v>45902</v>
      </c>
      <c r="AM2353" s="23">
        <f>_xll.qlIndexFixing(hiborindex,AK2353)</f>
        <v>1.1853962484615579E-2</v>
      </c>
    </row>
    <row r="2354" spans="37:39" x14ac:dyDescent="0.25">
      <c r="AK2354" s="21">
        <f>_xll.qlCalendarAdvance(calendar,AK2353,"1D")</f>
        <v>45901</v>
      </c>
      <c r="AL2354" s="21">
        <f>_xll.qlInterestRateIndexValueDate(hiborindex,AK2354)</f>
        <v>45903</v>
      </c>
      <c r="AM2354" s="23">
        <f>_xll.qlIndexFixing(hiborindex,AK2354)</f>
        <v>1.185897001282866E-2</v>
      </c>
    </row>
    <row r="2355" spans="37:39" x14ac:dyDescent="0.25">
      <c r="AK2355" s="21">
        <f>_xll.qlCalendarAdvance(calendar,AK2354,"1D")</f>
        <v>45902</v>
      </c>
      <c r="AL2355" s="21">
        <f>_xll.qlInterestRateIndexValueDate(hiborindex,AK2355)</f>
        <v>45904</v>
      </c>
      <c r="AM2355" s="23">
        <f>_xll.qlIndexFixing(hiborindex,AK2355)</f>
        <v>1.1863977553574035E-2</v>
      </c>
    </row>
    <row r="2356" spans="37:39" x14ac:dyDescent="0.25">
      <c r="AK2356" s="21">
        <f>_xll.qlCalendarAdvance(calendar,AK2355,"1D")</f>
        <v>45903</v>
      </c>
      <c r="AL2356" s="21">
        <f>_xll.qlInterestRateIndexValueDate(hiborindex,AK2356)</f>
        <v>45905</v>
      </c>
      <c r="AM2356" s="23">
        <f>_xll.qlIndexFixing(hiborindex,AK2356)</f>
        <v>1.1868985106852149E-2</v>
      </c>
    </row>
    <row r="2357" spans="37:39" x14ac:dyDescent="0.25">
      <c r="AK2357" s="21">
        <f>_xll.qlCalendarAdvance(calendar,AK2356,"1D")</f>
        <v>45904</v>
      </c>
      <c r="AL2357" s="21">
        <f>_xll.qlInterestRateIndexValueDate(hiborindex,AK2357)</f>
        <v>45908</v>
      </c>
      <c r="AM2357" s="23">
        <f>_xll.qlIndexFixing(hiborindex,AK2357)</f>
        <v>1.1886707489359893E-2</v>
      </c>
    </row>
    <row r="2358" spans="37:39" x14ac:dyDescent="0.25">
      <c r="AK2358" s="21">
        <f>_xll.qlCalendarAdvance(calendar,AK2357,"1D")</f>
        <v>45905</v>
      </c>
      <c r="AL2358" s="21">
        <f>_xll.qlInterestRateIndexValueDate(hiborindex,AK2358)</f>
        <v>45909</v>
      </c>
      <c r="AM2358" s="23">
        <f>_xll.qlIndexFixing(hiborindex,AK2358)</f>
        <v>1.1889015445291974E-2</v>
      </c>
    </row>
    <row r="2359" spans="37:39" x14ac:dyDescent="0.25">
      <c r="AK2359" s="21">
        <f>_xll.qlCalendarAdvance(calendar,AK2358,"1D")</f>
        <v>45908</v>
      </c>
      <c r="AL2359" s="21">
        <f>_xll.qlInterestRateIndexValueDate(hiborindex,AK2359)</f>
        <v>45910</v>
      </c>
      <c r="AM2359" s="23">
        <f>_xll.qlIndexFixing(hiborindex,AK2359)</f>
        <v>1.1894023061233773E-2</v>
      </c>
    </row>
    <row r="2360" spans="37:39" x14ac:dyDescent="0.25">
      <c r="AK2360" s="21">
        <f>_xll.qlCalendarAdvance(calendar,AK2359,"1D")</f>
        <v>45909</v>
      </c>
      <c r="AL2360" s="21">
        <f>_xll.qlInterestRateIndexValueDate(hiborindex,AK2360)</f>
        <v>45911</v>
      </c>
      <c r="AM2360" s="23">
        <f>_xll.qlIndexFixing(hiborindex,AK2360)</f>
        <v>1.1899030689708752E-2</v>
      </c>
    </row>
    <row r="2361" spans="37:39" x14ac:dyDescent="0.25">
      <c r="AK2361" s="21">
        <f>_xll.qlCalendarAdvance(calendar,AK2360,"1D")</f>
        <v>45910</v>
      </c>
      <c r="AL2361" s="21">
        <f>_xll.qlInterestRateIndexValueDate(hiborindex,AK2361)</f>
        <v>45912</v>
      </c>
      <c r="AM2361" s="23">
        <f>_xll.qlIndexFixing(hiborindex,AK2361)</f>
        <v>1.1904038330716469E-2</v>
      </c>
    </row>
    <row r="2362" spans="37:39" x14ac:dyDescent="0.25">
      <c r="AK2362" s="21">
        <f>_xll.qlCalendarAdvance(calendar,AK2361,"1D")</f>
        <v>45911</v>
      </c>
      <c r="AL2362" s="21">
        <f>_xll.qlInterestRateIndexValueDate(hiborindex,AK2362)</f>
        <v>45915</v>
      </c>
      <c r="AM2362" s="23">
        <f>_xll.qlIndexFixing(hiborindex,AK2362)</f>
        <v>1.1921762175950302E-2</v>
      </c>
    </row>
    <row r="2363" spans="37:39" x14ac:dyDescent="0.25">
      <c r="AK2363" s="21">
        <f>_xll.qlCalendarAdvance(calendar,AK2362,"1D")</f>
        <v>45912</v>
      </c>
      <c r="AL2363" s="21">
        <f>_xll.qlInterestRateIndexValueDate(hiborindex,AK2363)</f>
        <v>45916</v>
      </c>
      <c r="AM2363" s="23">
        <f>_xll.qlIndexFixing(hiborindex,AK2363)</f>
        <v>1.1924069020076028E-2</v>
      </c>
    </row>
    <row r="2364" spans="37:39" x14ac:dyDescent="0.25">
      <c r="AK2364" s="21">
        <f>_xll.qlCalendarAdvance(calendar,AK2363,"1D")</f>
        <v>45915</v>
      </c>
      <c r="AL2364" s="21">
        <f>_xll.qlInterestRateIndexValueDate(hiborindex,AK2364)</f>
        <v>45917</v>
      </c>
      <c r="AM2364" s="23">
        <f>_xll.qlIndexFixing(hiborindex,AK2364)</f>
        <v>1.1929076723748756E-2</v>
      </c>
    </row>
    <row r="2365" spans="37:39" x14ac:dyDescent="0.25">
      <c r="AK2365" s="21">
        <f>_xll.qlCalendarAdvance(calendar,AK2364,"1D")</f>
        <v>45916</v>
      </c>
      <c r="AL2365" s="21">
        <f>_xll.qlInterestRateIndexValueDate(hiborindex,AK2365)</f>
        <v>45918</v>
      </c>
      <c r="AM2365" s="23">
        <f>_xll.qlIndexFixing(hiborindex,AK2365)</f>
        <v>1.193408443995422E-2</v>
      </c>
    </row>
    <row r="2366" spans="37:39" x14ac:dyDescent="0.25">
      <c r="AK2366" s="21">
        <f>_xll.qlCalendarAdvance(calendar,AK2365,"1D")</f>
        <v>45917</v>
      </c>
      <c r="AL2366" s="21">
        <f>_xll.qlInterestRateIndexValueDate(hiborindex,AK2366)</f>
        <v>45919</v>
      </c>
      <c r="AM2366" s="23">
        <f>_xll.qlIndexFixing(hiborindex,AK2366)</f>
        <v>1.1939092168693304E-2</v>
      </c>
    </row>
    <row r="2367" spans="37:39" x14ac:dyDescent="0.25">
      <c r="AK2367" s="21">
        <f>_xll.qlCalendarAdvance(calendar,AK2366,"1D")</f>
        <v>45918</v>
      </c>
      <c r="AL2367" s="21">
        <f>_xll.qlInterestRateIndexValueDate(hiborindex,AK2367)</f>
        <v>45922</v>
      </c>
      <c r="AM2367" s="23">
        <f>_xll.qlIndexFixing(hiborindex,AK2367)</f>
        <v>1.1956817480072671E-2</v>
      </c>
    </row>
    <row r="2368" spans="37:39" x14ac:dyDescent="0.25">
      <c r="AK2368" s="21">
        <f>_xll.qlCalendarAdvance(calendar,AK2367,"1D")</f>
        <v>45919</v>
      </c>
      <c r="AL2368" s="21">
        <f>_xll.qlInterestRateIndexValueDate(hiborindex,AK2368)</f>
        <v>45923</v>
      </c>
      <c r="AM2368" s="23">
        <f>_xll.qlIndexFixing(hiborindex,AK2368)</f>
        <v>1.1959123208979665E-2</v>
      </c>
    </row>
    <row r="2369" spans="37:39" x14ac:dyDescent="0.25">
      <c r="AK2369" s="21">
        <f>_xll.qlCalendarAdvance(calendar,AK2368,"1D")</f>
        <v>45922</v>
      </c>
      <c r="AL2369" s="21">
        <f>_xll.qlInterestRateIndexValueDate(hiborindex,AK2369)</f>
        <v>45924</v>
      </c>
      <c r="AM2369" s="23">
        <f>_xll.qlIndexFixing(hiborindex,AK2369)</f>
        <v>1.1964131000383762E-2</v>
      </c>
    </row>
    <row r="2370" spans="37:39" x14ac:dyDescent="0.25">
      <c r="AK2370" s="21">
        <f>_xll.qlCalendarAdvance(calendar,AK2369,"1D")</f>
        <v>45923</v>
      </c>
      <c r="AL2370" s="21">
        <f>_xll.qlInterestRateIndexValueDate(hiborindex,AK2370)</f>
        <v>45925</v>
      </c>
      <c r="AM2370" s="23">
        <f>_xll.qlIndexFixing(hiborindex,AK2370)</f>
        <v>1.1969138804322363E-2</v>
      </c>
    </row>
    <row r="2371" spans="37:39" x14ac:dyDescent="0.25">
      <c r="AK2371" s="21">
        <f>_xll.qlCalendarAdvance(calendar,AK2370,"1D")</f>
        <v>45924</v>
      </c>
      <c r="AL2371" s="21">
        <f>_xll.qlInterestRateIndexValueDate(hiborindex,AK2371)</f>
        <v>45926</v>
      </c>
      <c r="AM2371" s="23">
        <f>_xll.qlIndexFixing(hiborindex,AK2371)</f>
        <v>1.1974146620793259E-2</v>
      </c>
    </row>
    <row r="2372" spans="37:39" x14ac:dyDescent="0.25">
      <c r="AK2372" s="21">
        <f>_xll.qlCalendarAdvance(calendar,AK2371,"1D")</f>
        <v>45925</v>
      </c>
      <c r="AL2372" s="21">
        <f>_xll.qlInterestRateIndexValueDate(hiborindex,AK2372)</f>
        <v>45929</v>
      </c>
      <c r="AM2372" s="23">
        <f>_xll.qlIndexFixing(hiborindex,AK2372)</f>
        <v>1.1991873401736221E-2</v>
      </c>
    </row>
    <row r="2373" spans="37:39" x14ac:dyDescent="0.25">
      <c r="AK2373" s="21">
        <f>_xll.qlCalendarAdvance(calendar,AK2372,"1D")</f>
        <v>45926</v>
      </c>
      <c r="AL2373" s="21">
        <f>_xll.qlInterestRateIndexValueDate(hiborindex,AK2373)</f>
        <v>45930</v>
      </c>
      <c r="AM2373" s="23">
        <f>_xll.qlIndexFixing(hiborindex,AK2373)</f>
        <v>1.1996881440957785E-2</v>
      </c>
    </row>
    <row r="2374" spans="37:39" x14ac:dyDescent="0.25">
      <c r="AK2374" s="21">
        <f>_xll.qlCalendarAdvance(calendar,AK2373,"1D")</f>
        <v>45929</v>
      </c>
      <c r="AL2374" s="21">
        <f>_xll.qlInterestRateIndexValueDate(hiborindex,AK2374)</f>
        <v>45931</v>
      </c>
      <c r="AM2374" s="23">
        <f>_xll.qlIndexFixing(hiborindex,AK2374)</f>
        <v>1.2001889492782452E-2</v>
      </c>
    </row>
    <row r="2375" spans="37:39" x14ac:dyDescent="0.25">
      <c r="AK2375" s="21">
        <f>_xll.qlCalendarAdvance(calendar,AK2374,"1D")</f>
        <v>45930</v>
      </c>
      <c r="AL2375" s="21">
        <f>_xll.qlInterestRateIndexValueDate(hiborindex,AK2375)</f>
        <v>45932</v>
      </c>
      <c r="AM2375" s="23">
        <f>_xll.qlIndexFixing(hiborindex,AK2375)</f>
        <v>1.2006897557209788E-2</v>
      </c>
    </row>
    <row r="2376" spans="37:39" x14ac:dyDescent="0.25">
      <c r="AK2376" s="21">
        <f>_xll.qlCalendarAdvance(calendar,AK2375,"1D")</f>
        <v>45931</v>
      </c>
      <c r="AL2376" s="21">
        <f>_xll.qlInterestRateIndexValueDate(hiborindex,AK2376)</f>
        <v>45933</v>
      </c>
      <c r="AM2376" s="23">
        <f>_xll.qlIndexFixing(hiborindex,AK2376)</f>
        <v>1.2022723165547436E-2</v>
      </c>
    </row>
    <row r="2377" spans="37:39" x14ac:dyDescent="0.25">
      <c r="AK2377" s="21">
        <f>_xll.qlCalendarAdvance(calendar,AK2376,"1D")</f>
        <v>45932</v>
      </c>
      <c r="AL2377" s="21">
        <f>_xll.qlInterestRateIndexValueDate(hiborindex,AK2377)</f>
        <v>45936</v>
      </c>
      <c r="AM2377" s="23">
        <f>_xll.qlIndexFixing(hiborindex,AK2377)</f>
        <v>1.2029634581472028E-2</v>
      </c>
    </row>
    <row r="2378" spans="37:39" x14ac:dyDescent="0.25">
      <c r="AK2378" s="21">
        <f>_xll.qlCalendarAdvance(calendar,AK2377,"1D")</f>
        <v>45933</v>
      </c>
      <c r="AL2378" s="21">
        <f>_xll.qlInterestRateIndexValueDate(hiborindex,AK2378)</f>
        <v>45937</v>
      </c>
      <c r="AM2378" s="23">
        <f>_xll.qlIndexFixing(hiborindex,AK2378)</f>
        <v>1.2031938068397871E-2</v>
      </c>
    </row>
    <row r="2379" spans="37:39" x14ac:dyDescent="0.25">
      <c r="AK2379" s="21">
        <f>_xll.qlCalendarAdvance(calendar,AK2378,"1D")</f>
        <v>45936</v>
      </c>
      <c r="AL2379" s="21">
        <f>_xll.qlInterestRateIndexValueDate(hiborindex,AK2379)</f>
        <v>45938</v>
      </c>
      <c r="AM2379" s="23">
        <f>_xll.qlIndexFixing(hiborindex,AK2379)</f>
        <v>1.2036946208445157E-2</v>
      </c>
    </row>
    <row r="2380" spans="37:39" x14ac:dyDescent="0.25">
      <c r="AK2380" s="21">
        <f>_xll.qlCalendarAdvance(calendar,AK2379,"1D")</f>
        <v>45937</v>
      </c>
      <c r="AL2380" s="21">
        <f>_xll.qlInterestRateIndexValueDate(hiborindex,AK2380)</f>
        <v>45939</v>
      </c>
      <c r="AM2380" s="23">
        <f>_xll.qlIndexFixing(hiborindex,AK2380)</f>
        <v>1.2041954361095985E-2</v>
      </c>
    </row>
    <row r="2381" spans="37:39" x14ac:dyDescent="0.25">
      <c r="AK2381" s="21">
        <f>_xll.qlCalendarAdvance(calendar,AK2380,"1D")</f>
        <v>45938</v>
      </c>
      <c r="AL2381" s="21">
        <f>_xll.qlInterestRateIndexValueDate(hiborindex,AK2381)</f>
        <v>45940</v>
      </c>
      <c r="AM2381" s="23">
        <f>_xll.qlIndexFixing(hiborindex,AK2381)</f>
        <v>1.2046962526350798E-2</v>
      </c>
    </row>
    <row r="2382" spans="37:39" x14ac:dyDescent="0.25">
      <c r="AK2382" s="21">
        <f>_xll.qlCalendarAdvance(calendar,AK2381,"1D")</f>
        <v>45939</v>
      </c>
      <c r="AL2382" s="21">
        <f>_xll.qlInterestRateIndexValueDate(hiborindex,AK2382)</f>
        <v>45943</v>
      </c>
      <c r="AM2382" s="23">
        <f>_xll.qlIndexFixing(hiborindex,AK2382)</f>
        <v>1.2061987097734747E-2</v>
      </c>
    </row>
    <row r="2383" spans="37:39" x14ac:dyDescent="0.25">
      <c r="AK2383" s="21">
        <f>_xll.qlCalendarAdvance(calendar,AK2382,"1D")</f>
        <v>45940</v>
      </c>
      <c r="AL2383" s="21">
        <f>_xll.qlInterestRateIndexValueDate(hiborindex,AK2383)</f>
        <v>45944</v>
      </c>
      <c r="AM2383" s="23">
        <f>_xll.qlIndexFixing(hiborindex,AK2383)</f>
        <v>1.2066995313403299E-2</v>
      </c>
    </row>
    <row r="2384" spans="37:39" x14ac:dyDescent="0.25">
      <c r="AK2384" s="21">
        <f>_xll.qlCalendarAdvance(calendar,AK2383,"1D")</f>
        <v>45943</v>
      </c>
      <c r="AL2384" s="21">
        <f>_xll.qlInterestRateIndexValueDate(hiborindex,AK2384)</f>
        <v>45945</v>
      </c>
      <c r="AM2384" s="23">
        <f>_xll.qlIndexFixing(hiborindex,AK2384)</f>
        <v>1.2072003541675395E-2</v>
      </c>
    </row>
    <row r="2385" spans="37:39" x14ac:dyDescent="0.25">
      <c r="AK2385" s="21">
        <f>_xll.qlCalendarAdvance(calendar,AK2384,"1D")</f>
        <v>45944</v>
      </c>
      <c r="AL2385" s="21">
        <f>_xll.qlInterestRateIndexValueDate(hiborindex,AK2385)</f>
        <v>45946</v>
      </c>
      <c r="AM2385" s="23">
        <f>_xll.qlIndexFixing(hiborindex,AK2385)</f>
        <v>1.2077011782551036E-2</v>
      </c>
    </row>
    <row r="2386" spans="37:39" x14ac:dyDescent="0.25">
      <c r="AK2386" s="21">
        <f>_xll.qlCalendarAdvance(calendar,AK2385,"1D")</f>
        <v>45945</v>
      </c>
      <c r="AL2386" s="21">
        <f>_xll.qlInterestRateIndexValueDate(hiborindex,AK2386)</f>
        <v>45947</v>
      </c>
      <c r="AM2386" s="23">
        <f>_xll.qlIndexFixing(hiborindex,AK2386)</f>
        <v>1.2082020036030221E-2</v>
      </c>
    </row>
    <row r="2387" spans="37:39" x14ac:dyDescent="0.25">
      <c r="AK2387" s="21">
        <f>_xll.qlCalendarAdvance(calendar,AK2386,"1D")</f>
        <v>45946</v>
      </c>
      <c r="AL2387" s="21">
        <f>_xll.qlInterestRateIndexValueDate(hiborindex,AK2387)</f>
        <v>45950</v>
      </c>
      <c r="AM2387" s="23">
        <f>_xll.qlIndexFixing(hiborindex,AK2387)</f>
        <v>1.2097044872090804E-2</v>
      </c>
    </row>
    <row r="2388" spans="37:39" x14ac:dyDescent="0.25">
      <c r="AK2388" s="21">
        <f>_xll.qlCalendarAdvance(calendar,AK2387,"1D")</f>
        <v>45947</v>
      </c>
      <c r="AL2388" s="21">
        <f>_xll.qlInterestRateIndexValueDate(hiborindex,AK2388)</f>
        <v>45951</v>
      </c>
      <c r="AM2388" s="23">
        <f>_xll.qlIndexFixing(hiborindex,AK2388)</f>
        <v>1.2102053175985046E-2</v>
      </c>
    </row>
    <row r="2389" spans="37:39" x14ac:dyDescent="0.25">
      <c r="AK2389" s="21">
        <f>_xll.qlCalendarAdvance(calendar,AK2388,"1D")</f>
        <v>45950</v>
      </c>
      <c r="AL2389" s="21">
        <f>_xll.qlInterestRateIndexValueDate(hiborindex,AK2389)</f>
        <v>45952</v>
      </c>
      <c r="AM2389" s="23">
        <f>_xll.qlIndexFixing(hiborindex,AK2389)</f>
        <v>1.2107061492483272E-2</v>
      </c>
    </row>
    <row r="2390" spans="37:39" x14ac:dyDescent="0.25">
      <c r="AK2390" s="21">
        <f>_xll.qlCalendarAdvance(calendar,AK2389,"1D")</f>
        <v>45951</v>
      </c>
      <c r="AL2390" s="21">
        <f>_xll.qlInterestRateIndexValueDate(hiborindex,AK2390)</f>
        <v>45953</v>
      </c>
      <c r="AM2390" s="23">
        <f>_xll.qlIndexFixing(hiborindex,AK2390)</f>
        <v>1.2112069821585482E-2</v>
      </c>
    </row>
    <row r="2391" spans="37:39" x14ac:dyDescent="0.25">
      <c r="AK2391" s="21">
        <f>_xll.qlCalendarAdvance(calendar,AK2390,"1D")</f>
        <v>45952</v>
      </c>
      <c r="AL2391" s="21">
        <f>_xll.qlInterestRateIndexValueDate(hiborindex,AK2391)</f>
        <v>45954</v>
      </c>
      <c r="AM2391" s="23">
        <f>_xll.qlIndexFixing(hiborindex,AK2391)</f>
        <v>1.2117078163291236E-2</v>
      </c>
    </row>
    <row r="2392" spans="37:39" x14ac:dyDescent="0.25">
      <c r="AK2392" s="21">
        <f>_xll.qlCalendarAdvance(calendar,AK2391,"1D")</f>
        <v>45953</v>
      </c>
      <c r="AL2392" s="21">
        <f>_xll.qlInterestRateIndexValueDate(hiborindex,AK2392)</f>
        <v>45957</v>
      </c>
      <c r="AM2392" s="23">
        <f>_xll.qlIndexFixing(hiborindex,AK2392)</f>
        <v>1.2132103264032402E-2</v>
      </c>
    </row>
    <row r="2393" spans="37:39" x14ac:dyDescent="0.25">
      <c r="AK2393" s="21">
        <f>_xll.qlCalendarAdvance(calendar,AK2392,"1D")</f>
        <v>45954</v>
      </c>
      <c r="AL2393" s="21">
        <f>_xll.qlInterestRateIndexValueDate(hiborindex,AK2393)</f>
        <v>45958</v>
      </c>
      <c r="AM2393" s="23">
        <f>_xll.qlIndexFixing(hiborindex,AK2393)</f>
        <v>1.2137111656154531E-2</v>
      </c>
    </row>
    <row r="2394" spans="37:39" x14ac:dyDescent="0.25">
      <c r="AK2394" s="21">
        <f>_xll.qlCalendarAdvance(calendar,AK2393,"1D")</f>
        <v>45957</v>
      </c>
      <c r="AL2394" s="21">
        <f>_xll.qlInterestRateIndexValueDate(hiborindex,AK2394)</f>
        <v>45959</v>
      </c>
      <c r="AM2394" s="23">
        <f>_xll.qlIndexFixing(hiborindex,AK2394)</f>
        <v>1.2142120060880644E-2</v>
      </c>
    </row>
    <row r="2395" spans="37:39" x14ac:dyDescent="0.25">
      <c r="AK2395" s="21">
        <f>_xll.qlCalendarAdvance(calendar,AK2394,"1D")</f>
        <v>45958</v>
      </c>
      <c r="AL2395" s="21">
        <f>_xll.qlInterestRateIndexValueDate(hiborindex,AK2395)</f>
        <v>45960</v>
      </c>
      <c r="AM2395" s="23">
        <f>_xll.qlIndexFixing(hiborindex,AK2395)</f>
        <v>1.2147128478210301E-2</v>
      </c>
    </row>
    <row r="2396" spans="37:39" x14ac:dyDescent="0.25">
      <c r="AK2396" s="21">
        <f>_xll.qlCalendarAdvance(calendar,AK2395,"1D")</f>
        <v>45959</v>
      </c>
      <c r="AL2396" s="21">
        <f>_xll.qlInterestRateIndexValueDate(hiborindex,AK2396)</f>
        <v>45961</v>
      </c>
      <c r="AM2396" s="23">
        <f>_xll.qlIndexFixing(hiborindex,AK2396)</f>
        <v>1.2149428093522679E-2</v>
      </c>
    </row>
    <row r="2397" spans="37:39" x14ac:dyDescent="0.25">
      <c r="AK2397" s="21">
        <f>_xll.qlCalendarAdvance(calendar,AK2396,"1D")</f>
        <v>45960</v>
      </c>
      <c r="AL2397" s="21">
        <f>_xll.qlInterestRateIndexValueDate(hiborindex,AK2397)</f>
        <v>45964</v>
      </c>
      <c r="AM2397" s="23">
        <f>_xll.qlIndexFixing(hiborindex,AK2397)</f>
        <v>1.2167162273571404E-2</v>
      </c>
    </row>
    <row r="2398" spans="37:39" x14ac:dyDescent="0.25">
      <c r="AK2398" s="21">
        <f>_xll.qlCalendarAdvance(calendar,AK2397,"1D")</f>
        <v>45961</v>
      </c>
      <c r="AL2398" s="21">
        <f>_xll.qlInterestRateIndexValueDate(hiborindex,AK2398)</f>
        <v>45965</v>
      </c>
      <c r="AM2398" s="23">
        <f>_xll.qlIndexFixing(hiborindex,AK2398)</f>
        <v>1.2169461239496599E-2</v>
      </c>
    </row>
    <row r="2399" spans="37:39" x14ac:dyDescent="0.25">
      <c r="AK2399" s="21">
        <f>_xll.qlCalendarAdvance(calendar,AK2398,"1D")</f>
        <v>45964</v>
      </c>
      <c r="AL2399" s="21">
        <f>_xll.qlInterestRateIndexValueDate(hiborindex,AK2399)</f>
        <v>45966</v>
      </c>
      <c r="AM2399" s="23">
        <f>_xll.qlIndexFixing(hiborindex,AK2399)</f>
        <v>1.2174469557326449E-2</v>
      </c>
    </row>
    <row r="2400" spans="37:39" x14ac:dyDescent="0.25">
      <c r="AK2400" s="21">
        <f>_xll.qlCalendarAdvance(calendar,AK2399,"1D")</f>
        <v>45965</v>
      </c>
      <c r="AL2400" s="21">
        <f>_xll.qlInterestRateIndexValueDate(hiborindex,AK2400)</f>
        <v>45967</v>
      </c>
      <c r="AM2400" s="23">
        <f>_xll.qlIndexFixing(hiborindex,AK2400)</f>
        <v>1.2179477887690802E-2</v>
      </c>
    </row>
    <row r="2401" spans="37:39" x14ac:dyDescent="0.25">
      <c r="AK2401" s="21">
        <f>_xll.qlCalendarAdvance(calendar,AK2400,"1D")</f>
        <v>45966</v>
      </c>
      <c r="AL2401" s="21">
        <f>_xll.qlInterestRateIndexValueDate(hiborindex,AK2401)</f>
        <v>45968</v>
      </c>
      <c r="AM2401" s="23">
        <f>_xll.qlIndexFixing(hiborindex,AK2401)</f>
        <v>1.2184486230590102E-2</v>
      </c>
    </row>
    <row r="2402" spans="37:39" x14ac:dyDescent="0.25">
      <c r="AK2402" s="21">
        <f>_xll.qlCalendarAdvance(calendar,AK2401,"1D")</f>
        <v>45967</v>
      </c>
      <c r="AL2402" s="21">
        <f>_xll.qlInterestRateIndexValueDate(hiborindex,AK2402)</f>
        <v>45971</v>
      </c>
      <c r="AM2402" s="23">
        <f>_xll.qlIndexFixing(hiborindex,AK2402)</f>
        <v>1.2202221900717469E-2</v>
      </c>
    </row>
    <row r="2403" spans="37:39" x14ac:dyDescent="0.25">
      <c r="AK2403" s="21">
        <f>_xll.qlCalendarAdvance(calendar,AK2402,"1D")</f>
        <v>45968</v>
      </c>
      <c r="AL2403" s="21">
        <f>_xll.qlInterestRateIndexValueDate(hiborindex,AK2403)</f>
        <v>45972</v>
      </c>
      <c r="AM2403" s="23">
        <f>_xll.qlIndexFixing(hiborindex,AK2403)</f>
        <v>1.220451972753322E-2</v>
      </c>
    </row>
    <row r="2404" spans="37:39" x14ac:dyDescent="0.25">
      <c r="AK2404" s="21">
        <f>_xll.qlCalendarAdvance(calendar,AK2403,"1D")</f>
        <v>45971</v>
      </c>
      <c r="AL2404" s="21">
        <f>_xll.qlInterestRateIndexValueDate(hiborindex,AK2404)</f>
        <v>45973</v>
      </c>
      <c r="AM2404" s="23">
        <f>_xll.qlIndexFixing(hiborindex,AK2404)</f>
        <v>1.2209528133105481E-2</v>
      </c>
    </row>
    <row r="2405" spans="37:39" x14ac:dyDescent="0.25">
      <c r="AK2405" s="21">
        <f>_xll.qlCalendarAdvance(calendar,AK2404,"1D")</f>
        <v>45972</v>
      </c>
      <c r="AL2405" s="21">
        <f>_xll.qlInterestRateIndexValueDate(hiborindex,AK2405)</f>
        <v>45974</v>
      </c>
      <c r="AM2405" s="23">
        <f>_xll.qlIndexFixing(hiborindex,AK2405)</f>
        <v>1.2214536551213127E-2</v>
      </c>
    </row>
    <row r="2406" spans="37:39" x14ac:dyDescent="0.25">
      <c r="AK2406" s="21">
        <f>_xll.qlCalendarAdvance(calendar,AK2405,"1D")</f>
        <v>45973</v>
      </c>
      <c r="AL2406" s="21">
        <f>_xll.qlInterestRateIndexValueDate(hiborindex,AK2406)</f>
        <v>45975</v>
      </c>
      <c r="AM2406" s="23">
        <f>_xll.qlIndexFixing(hiborindex,AK2406)</f>
        <v>1.2219544981855278E-2</v>
      </c>
    </row>
    <row r="2407" spans="37:39" x14ac:dyDescent="0.25">
      <c r="AK2407" s="21">
        <f>_xll.qlCalendarAdvance(calendar,AK2406,"1D")</f>
        <v>45974</v>
      </c>
      <c r="AL2407" s="21">
        <f>_xll.qlInterestRateIndexValueDate(hiborindex,AK2407)</f>
        <v>45978</v>
      </c>
      <c r="AM2407" s="23">
        <f>_xll.qlIndexFixing(hiborindex,AK2407)</f>
        <v>1.2237282145481579E-2</v>
      </c>
    </row>
    <row r="2408" spans="37:39" x14ac:dyDescent="0.25">
      <c r="AK2408" s="21">
        <f>_xll.qlCalendarAdvance(calendar,AK2407,"1D")</f>
        <v>45975</v>
      </c>
      <c r="AL2408" s="21">
        <f>_xll.qlInterestRateIndexValueDate(hiborindex,AK2408)</f>
        <v>45979</v>
      </c>
      <c r="AM2408" s="23">
        <f>_xll.qlIndexFixing(hiborindex,AK2408)</f>
        <v>1.2239578829774219E-2</v>
      </c>
    </row>
    <row r="2409" spans="37:39" x14ac:dyDescent="0.25">
      <c r="AK2409" s="21">
        <f>_xll.qlCalendarAdvance(calendar,AK2408,"1D")</f>
        <v>45978</v>
      </c>
      <c r="AL2409" s="21">
        <f>_xll.qlInterestRateIndexValueDate(hiborindex,AK2409)</f>
        <v>45980</v>
      </c>
      <c r="AM2409" s="23">
        <f>_xll.qlIndexFixing(hiborindex,AK2409)</f>
        <v>1.2244587323091097E-2</v>
      </c>
    </row>
    <row r="2410" spans="37:39" x14ac:dyDescent="0.25">
      <c r="AK2410" s="21">
        <f>_xll.qlCalendarAdvance(calendar,AK2409,"1D")</f>
        <v>45979</v>
      </c>
      <c r="AL2410" s="21">
        <f>_xll.qlInterestRateIndexValueDate(hiborindex,AK2410)</f>
        <v>45981</v>
      </c>
      <c r="AM2410" s="23">
        <f>_xll.qlIndexFixing(hiborindex,AK2410)</f>
        <v>1.2249595828943362E-2</v>
      </c>
    </row>
    <row r="2411" spans="37:39" x14ac:dyDescent="0.25">
      <c r="AK2411" s="21">
        <f>_xll.qlCalendarAdvance(calendar,AK2410,"1D")</f>
        <v>45980</v>
      </c>
      <c r="AL2411" s="21">
        <f>_xll.qlInterestRateIndexValueDate(hiborindex,AK2411)</f>
        <v>45982</v>
      </c>
      <c r="AM2411" s="23">
        <f>_xll.qlIndexFixing(hiborindex,AK2411)</f>
        <v>1.2254604347330573E-2</v>
      </c>
    </row>
    <row r="2412" spans="37:39" x14ac:dyDescent="0.25">
      <c r="AK2412" s="21">
        <f>_xll.qlCalendarAdvance(calendar,AK2411,"1D")</f>
        <v>45981</v>
      </c>
      <c r="AL2412" s="21">
        <f>_xll.qlInterestRateIndexValueDate(hiborindex,AK2412)</f>
        <v>45985</v>
      </c>
      <c r="AM2412" s="23">
        <f>_xll.qlIndexFixing(hiborindex,AK2412)</f>
        <v>1.2272343007875592E-2</v>
      </c>
    </row>
    <row r="2413" spans="37:39" x14ac:dyDescent="0.25">
      <c r="AK2413" s="21">
        <f>_xll.qlCalendarAdvance(calendar,AK2412,"1D")</f>
        <v>45982</v>
      </c>
      <c r="AL2413" s="21">
        <f>_xll.qlInterestRateIndexValueDate(hiborindex,AK2413)</f>
        <v>45986</v>
      </c>
      <c r="AM2413" s="23">
        <f>_xll.qlIndexFixing(hiborindex,AK2413)</f>
        <v>1.2274638546231079E-2</v>
      </c>
    </row>
    <row r="2414" spans="37:39" x14ac:dyDescent="0.25">
      <c r="AK2414" s="21">
        <f>_xll.qlCalendarAdvance(calendar,AK2413,"1D")</f>
        <v>45985</v>
      </c>
      <c r="AL2414" s="21">
        <f>_xll.qlInterestRateIndexValueDate(hiborindex,AK2414)</f>
        <v>45987</v>
      </c>
      <c r="AM2414" s="23">
        <f>_xll.qlIndexFixing(hiborindex,AK2414)</f>
        <v>1.2279647127293901E-2</v>
      </c>
    </row>
    <row r="2415" spans="37:39" x14ac:dyDescent="0.25">
      <c r="AK2415" s="21">
        <f>_xll.qlCalendarAdvance(calendar,AK2414,"1D")</f>
        <v>45986</v>
      </c>
      <c r="AL2415" s="21">
        <f>_xll.qlInterestRateIndexValueDate(hiborindex,AK2415)</f>
        <v>45988</v>
      </c>
      <c r="AM2415" s="23">
        <f>_xll.qlIndexFixing(hiborindex,AK2415)</f>
        <v>1.2284655720892551E-2</v>
      </c>
    </row>
    <row r="2416" spans="37:39" x14ac:dyDescent="0.25">
      <c r="AK2416" s="21">
        <f>_xll.qlCalendarAdvance(calendar,AK2415,"1D")</f>
        <v>45987</v>
      </c>
      <c r="AL2416" s="21">
        <f>_xll.qlInterestRateIndexValueDate(hiborindex,AK2416)</f>
        <v>45989</v>
      </c>
      <c r="AM2416" s="23">
        <f>_xll.qlIndexFixing(hiborindex,AK2416)</f>
        <v>1.2292378063693049E-2</v>
      </c>
    </row>
    <row r="2417" spans="37:39" x14ac:dyDescent="0.25">
      <c r="AK2417" s="21">
        <f>_xll.qlCalendarAdvance(calendar,AK2416,"1D")</f>
        <v>45988</v>
      </c>
      <c r="AL2417" s="21">
        <f>_xll.qlInterestRateIndexValueDate(hiborindex,AK2417)</f>
        <v>45992</v>
      </c>
      <c r="AM2417" s="23">
        <f>_xll.qlIndexFixing(hiborindex,AK2417)</f>
        <v>1.2307404487909611E-2</v>
      </c>
    </row>
    <row r="2418" spans="37:39" x14ac:dyDescent="0.25">
      <c r="AK2418" s="21">
        <f>_xll.qlCalendarAdvance(calendar,AK2417,"1D")</f>
        <v>45989</v>
      </c>
      <c r="AL2418" s="21">
        <f>_xll.qlInterestRateIndexValueDate(hiborindex,AK2418)</f>
        <v>45993</v>
      </c>
      <c r="AM2418" s="23">
        <f>_xll.qlIndexFixing(hiborindex,AK2418)</f>
        <v>1.2312413321191377E-2</v>
      </c>
    </row>
    <row r="2419" spans="37:39" x14ac:dyDescent="0.25">
      <c r="AK2419" s="21">
        <f>_xll.qlCalendarAdvance(calendar,AK2418,"1D")</f>
        <v>45992</v>
      </c>
      <c r="AL2419" s="21">
        <f>_xll.qlInterestRateIndexValueDate(hiborindex,AK2419)</f>
        <v>45994</v>
      </c>
      <c r="AM2419" s="23">
        <f>_xll.qlIndexFixing(hiborindex,AK2419)</f>
        <v>1.2317422167078882E-2</v>
      </c>
    </row>
    <row r="2420" spans="37:39" x14ac:dyDescent="0.25">
      <c r="AK2420" s="21">
        <f>_xll.qlCalendarAdvance(calendar,AK2419,"1D")</f>
        <v>45993</v>
      </c>
      <c r="AL2420" s="21">
        <f>_xll.qlInterestRateIndexValueDate(hiborindex,AK2420)</f>
        <v>45995</v>
      </c>
      <c r="AM2420" s="23">
        <f>_xll.qlIndexFixing(hiborindex,AK2420)</f>
        <v>1.2322431025571689E-2</v>
      </c>
    </row>
    <row r="2421" spans="37:39" x14ac:dyDescent="0.25">
      <c r="AK2421" s="21">
        <f>_xll.qlCalendarAdvance(calendar,AK2420,"1D")</f>
        <v>45994</v>
      </c>
      <c r="AL2421" s="21">
        <f>_xll.qlInterestRateIndexValueDate(hiborindex,AK2421)</f>
        <v>45996</v>
      </c>
      <c r="AM2421" s="23">
        <f>_xll.qlIndexFixing(hiborindex,AK2421)</f>
        <v>1.2327439896669359E-2</v>
      </c>
    </row>
    <row r="2422" spans="37:39" x14ac:dyDescent="0.25">
      <c r="AK2422" s="21">
        <f>_xll.qlCalendarAdvance(calendar,AK2421,"1D")</f>
        <v>45995</v>
      </c>
      <c r="AL2422" s="21">
        <f>_xll.qlInterestRateIndexValueDate(hiborindex,AK2422)</f>
        <v>45999</v>
      </c>
      <c r="AM2422" s="23">
        <f>_xll.qlIndexFixing(hiborindex,AK2422)</f>
        <v>1.2342466585594175E-2</v>
      </c>
    </row>
    <row r="2423" spans="37:39" x14ac:dyDescent="0.25">
      <c r="AK2423" s="21">
        <f>_xll.qlCalendarAdvance(calendar,AK2422,"1D")</f>
        <v>45996</v>
      </c>
      <c r="AL2423" s="21">
        <f>_xll.qlInterestRateIndexValueDate(hiborindex,AK2423)</f>
        <v>46000</v>
      </c>
      <c r="AM2423" s="23">
        <f>_xll.qlIndexFixing(hiborindex,AK2423)</f>
        <v>1.234747550711349E-2</v>
      </c>
    </row>
    <row r="2424" spans="37:39" x14ac:dyDescent="0.25">
      <c r="AK2424" s="21">
        <f>_xll.qlCalendarAdvance(calendar,AK2423,"1D")</f>
        <v>45999</v>
      </c>
      <c r="AL2424" s="21">
        <f>_xll.qlInterestRateIndexValueDate(hiborindex,AK2424)</f>
        <v>46001</v>
      </c>
      <c r="AM2424" s="23">
        <f>_xll.qlIndexFixing(hiborindex,AK2424)</f>
        <v>1.2352484441237667E-2</v>
      </c>
    </row>
    <row r="2425" spans="37:39" x14ac:dyDescent="0.25">
      <c r="AK2425" s="21">
        <f>_xll.qlCalendarAdvance(calendar,AK2424,"1D")</f>
        <v>46000</v>
      </c>
      <c r="AL2425" s="21">
        <f>_xll.qlInterestRateIndexValueDate(hiborindex,AK2425)</f>
        <v>46002</v>
      </c>
      <c r="AM2425" s="23">
        <f>_xll.qlIndexFixing(hiborindex,AK2425)</f>
        <v>1.2357493387967584E-2</v>
      </c>
    </row>
    <row r="2426" spans="37:39" x14ac:dyDescent="0.25">
      <c r="AK2426" s="21">
        <f>_xll.qlCalendarAdvance(calendar,AK2425,"1D")</f>
        <v>46001</v>
      </c>
      <c r="AL2426" s="21">
        <f>_xll.qlInterestRateIndexValueDate(hiborindex,AK2426)</f>
        <v>46003</v>
      </c>
      <c r="AM2426" s="23">
        <f>_xll.qlIndexFixing(hiborindex,AK2426)</f>
        <v>1.2362502347302363E-2</v>
      </c>
    </row>
    <row r="2427" spans="37:39" x14ac:dyDescent="0.25">
      <c r="AK2427" s="21">
        <f>_xll.qlCalendarAdvance(calendar,AK2426,"1D")</f>
        <v>46002</v>
      </c>
      <c r="AL2427" s="21">
        <f>_xll.qlInterestRateIndexValueDate(hiborindex,AK2427)</f>
        <v>46006</v>
      </c>
      <c r="AM2427" s="23">
        <f>_xll.qlIndexFixing(hiborindex,AK2427)</f>
        <v>1.2377529300941145E-2</v>
      </c>
    </row>
    <row r="2428" spans="37:39" x14ac:dyDescent="0.25">
      <c r="AK2428" s="21">
        <f>_xll.qlCalendarAdvance(calendar,AK2427,"1D")</f>
        <v>46003</v>
      </c>
      <c r="AL2428" s="21">
        <f>_xll.qlInterestRateIndexValueDate(hiborindex,AK2428)</f>
        <v>46007</v>
      </c>
      <c r="AM2428" s="23">
        <f>_xll.qlIndexFixing(hiborindex,AK2428)</f>
        <v>1.2382538310698448E-2</v>
      </c>
    </row>
    <row r="2429" spans="37:39" x14ac:dyDescent="0.25">
      <c r="AK2429" s="21">
        <f>_xll.qlCalendarAdvance(calendar,AK2428,"1D")</f>
        <v>46006</v>
      </c>
      <c r="AL2429" s="21">
        <f>_xll.qlInterestRateIndexValueDate(hiborindex,AK2429)</f>
        <v>46008</v>
      </c>
      <c r="AM2429" s="23">
        <f>_xll.qlIndexFixing(hiborindex,AK2429)</f>
        <v>1.238754733306149E-2</v>
      </c>
    </row>
    <row r="2430" spans="37:39" x14ac:dyDescent="0.25">
      <c r="AK2430" s="21">
        <f>_xll.qlCalendarAdvance(calendar,AK2429,"1D")</f>
        <v>46007</v>
      </c>
      <c r="AL2430" s="21">
        <f>_xll.qlInterestRateIndexValueDate(hiborindex,AK2430)</f>
        <v>46009</v>
      </c>
      <c r="AM2430" s="23">
        <f>_xll.qlIndexFixing(hiborindex,AK2430)</f>
        <v>1.2392556368029835E-2</v>
      </c>
    </row>
    <row r="2431" spans="37:39" x14ac:dyDescent="0.25">
      <c r="AK2431" s="21">
        <f>_xll.qlCalendarAdvance(calendar,AK2430,"1D")</f>
        <v>46008</v>
      </c>
      <c r="AL2431" s="21">
        <f>_xll.qlInterestRateIndexValueDate(hiborindex,AK2431)</f>
        <v>46010</v>
      </c>
      <c r="AM2431" s="23">
        <f>_xll.qlIndexFixing(hiborindex,AK2431)</f>
        <v>1.2397565415604361E-2</v>
      </c>
    </row>
    <row r="2432" spans="37:39" x14ac:dyDescent="0.25">
      <c r="AK2432" s="21">
        <f>_xll.qlCalendarAdvance(calendar,AK2431,"1D")</f>
        <v>46009</v>
      </c>
      <c r="AL2432" s="21">
        <f>_xll.qlInterestRateIndexValueDate(hiborindex,AK2432)</f>
        <v>46013</v>
      </c>
      <c r="AM2432" s="23">
        <f>_xll.qlIndexFixing(hiborindex,AK2432)</f>
        <v>1.2412592633961061E-2</v>
      </c>
    </row>
    <row r="2433" spans="37:39" x14ac:dyDescent="0.25">
      <c r="AK2433" s="21">
        <f>_xll.qlCalendarAdvance(calendar,AK2432,"1D")</f>
        <v>46010</v>
      </c>
      <c r="AL2433" s="21">
        <f>_xll.qlInterestRateIndexValueDate(hiborindex,AK2433)</f>
        <v>46014</v>
      </c>
      <c r="AM2433" s="23">
        <f>_xll.qlIndexFixing(hiborindex,AK2433)</f>
        <v>1.2417601731958107E-2</v>
      </c>
    </row>
    <row r="2434" spans="37:39" x14ac:dyDescent="0.25">
      <c r="AK2434" s="21">
        <f>_xll.qlCalendarAdvance(calendar,AK2433,"1D")</f>
        <v>46013</v>
      </c>
      <c r="AL2434" s="21">
        <f>_xll.qlInterestRateIndexValueDate(hiborindex,AK2434)</f>
        <v>46015</v>
      </c>
      <c r="AM2434" s="23">
        <f>_xll.qlIndexFixing(hiborindex,AK2434)</f>
        <v>1.2422610842561336E-2</v>
      </c>
    </row>
    <row r="2435" spans="37:39" x14ac:dyDescent="0.25">
      <c r="AK2435" s="21">
        <f>_xll.qlCalendarAdvance(calendar,AK2434,"1D")</f>
        <v>46014</v>
      </c>
      <c r="AL2435" s="21">
        <f>_xll.qlInterestRateIndexValueDate(hiborindex,AK2435)</f>
        <v>46020</v>
      </c>
      <c r="AM2435" s="23">
        <f>_xll.qlIndexFixing(hiborindex,AK2435)</f>
        <v>1.2447656584664462E-2</v>
      </c>
    </row>
    <row r="2436" spans="37:39" x14ac:dyDescent="0.25">
      <c r="AK2436" s="21">
        <f>_xll.qlCalendarAdvance(calendar,AK2435,"1D")</f>
        <v>46015</v>
      </c>
      <c r="AL2436" s="21">
        <f>_xll.qlInterestRateIndexValueDate(hiborindex,AK2436)</f>
        <v>46021</v>
      </c>
      <c r="AM2436" s="23">
        <f>_xll.qlIndexFixing(hiborindex,AK2436)</f>
        <v>1.2452665770903011E-2</v>
      </c>
    </row>
    <row r="2437" spans="37:39" x14ac:dyDescent="0.25">
      <c r="AK2437" s="21">
        <f>_xll.qlCalendarAdvance(calendar,AK2436,"1D")</f>
        <v>46020</v>
      </c>
      <c r="AL2437" s="21">
        <f>_xll.qlInterestRateIndexValueDate(hiborindex,AK2437)</f>
        <v>46022</v>
      </c>
      <c r="AM2437" s="23">
        <f>_xll.qlIndexFixing(hiborindex,AK2437)</f>
        <v>1.2454955361943293E-2</v>
      </c>
    </row>
    <row r="2438" spans="37:39" x14ac:dyDescent="0.25">
      <c r="AK2438" s="21">
        <f>_xll.qlCalendarAdvance(calendar,AK2437,"1D")</f>
        <v>46021</v>
      </c>
      <c r="AL2438" s="21">
        <f>_xll.qlInterestRateIndexValueDate(hiborindex,AK2438)</f>
        <v>46024</v>
      </c>
      <c r="AM2438" s="23">
        <f>_xll.qlIndexFixing(hiborindex,AK2438)</f>
        <v>1.2455203283796507E-2</v>
      </c>
    </row>
    <row r="2439" spans="37:39" x14ac:dyDescent="0.25">
      <c r="AK2439" s="21">
        <f>_xll.qlCalendarAdvance(calendar,AK2438,"1D")</f>
        <v>46022</v>
      </c>
      <c r="AL2439" s="21">
        <f>_xll.qlInterestRateIndexValueDate(hiborindex,AK2439)</f>
        <v>46027</v>
      </c>
      <c r="AM2439" s="23">
        <f>_xll.qlIndexFixing(hiborindex,AK2439)</f>
        <v>1.2453538719657174E-2</v>
      </c>
    </row>
    <row r="2440" spans="37:39" x14ac:dyDescent="0.25">
      <c r="AK2440" s="21">
        <f>_xll.qlCalendarAdvance(calendar,AK2439,"1D")</f>
        <v>46024</v>
      </c>
      <c r="AL2440" s="21">
        <f>_xll.qlInterestRateIndexValueDate(hiborindex,AK2440)</f>
        <v>46028</v>
      </c>
      <c r="AM2440" s="23">
        <f>_xll.qlIndexFixing(hiborindex,AK2440)</f>
        <v>1.2455667059320568E-2</v>
      </c>
    </row>
    <row r="2441" spans="37:39" x14ac:dyDescent="0.25">
      <c r="AK2441" s="21">
        <f>_xll.qlCalendarAdvance(calendar,AK2440,"1D")</f>
        <v>46027</v>
      </c>
      <c r="AL2441" s="21">
        <f>_xll.qlInterestRateIndexValueDate(hiborindex,AK2441)</f>
        <v>46029</v>
      </c>
      <c r="AM2441" s="23">
        <f>_xll.qlIndexFixing(hiborindex,AK2441)</f>
        <v>1.245577632232805E-2</v>
      </c>
    </row>
    <row r="2442" spans="37:39" x14ac:dyDescent="0.25">
      <c r="AK2442" s="21">
        <f>_xll.qlCalendarAdvance(calendar,AK2441,"1D")</f>
        <v>46028</v>
      </c>
      <c r="AL2442" s="21">
        <f>_xll.qlInterestRateIndexValueDate(hiborindex,AK2442)</f>
        <v>46030</v>
      </c>
      <c r="AM2442" s="23">
        <f>_xll.qlIndexFixing(hiborindex,AK2442)</f>
        <v>1.2455882912985234E-2</v>
      </c>
    </row>
    <row r="2443" spans="37:39" x14ac:dyDescent="0.25">
      <c r="AK2443" s="21">
        <f>_xll.qlCalendarAdvance(calendar,AK2442,"1D")</f>
        <v>46029</v>
      </c>
      <c r="AL2443" s="21">
        <f>_xll.qlInterestRateIndexValueDate(hiborindex,AK2443)</f>
        <v>46031</v>
      </c>
      <c r="AM2443" s="23">
        <f>_xll.qlIndexFixing(hiborindex,AK2443)</f>
        <v>1.245598683129168E-2</v>
      </c>
    </row>
    <row r="2444" spans="37:39" x14ac:dyDescent="0.25">
      <c r="AK2444" s="21">
        <f>_xll.qlCalendarAdvance(calendar,AK2443,"1D")</f>
        <v>46030</v>
      </c>
      <c r="AL2444" s="21">
        <f>_xll.qlInterestRateIndexValueDate(hiborindex,AK2444)</f>
        <v>46034</v>
      </c>
      <c r="AM2444" s="23">
        <f>_xll.qlIndexFixing(hiborindex,AK2444)</f>
        <v>1.245443623215578E-2</v>
      </c>
    </row>
    <row r="2445" spans="37:39" x14ac:dyDescent="0.25">
      <c r="AK2445" s="21">
        <f>_xll.qlCalendarAdvance(calendar,AK2444,"1D")</f>
        <v>46031</v>
      </c>
      <c r="AL2445" s="21">
        <f>_xll.qlInterestRateIndexValueDate(hiborindex,AK2445)</f>
        <v>46035</v>
      </c>
      <c r="AM2445" s="23">
        <f>_xll.qlIndexFixing(hiborindex,AK2445)</f>
        <v>1.2456375780999923E-2</v>
      </c>
    </row>
    <row r="2446" spans="37:39" x14ac:dyDescent="0.25">
      <c r="AK2446" s="21">
        <f>_xll.qlCalendarAdvance(calendar,AK2445,"1D")</f>
        <v>46034</v>
      </c>
      <c r="AL2446" s="21">
        <f>_xll.qlInterestRateIndexValueDate(hiborindex,AK2446)</f>
        <v>46036</v>
      </c>
      <c r="AM2446" s="23">
        <f>_xll.qlIndexFixing(hiborindex,AK2446)</f>
        <v>1.2456466337545611E-2</v>
      </c>
    </row>
    <row r="2447" spans="37:39" x14ac:dyDescent="0.25">
      <c r="AK2447" s="21">
        <f>_xll.qlCalendarAdvance(calendar,AK2446,"1D")</f>
        <v>46035</v>
      </c>
      <c r="AL2447" s="21">
        <f>_xll.qlInterestRateIndexValueDate(hiborindex,AK2447)</f>
        <v>46037</v>
      </c>
      <c r="AM2447" s="23">
        <f>_xll.qlIndexFixing(hiborindex,AK2447)</f>
        <v>1.2456554221738792E-2</v>
      </c>
    </row>
    <row r="2448" spans="37:39" x14ac:dyDescent="0.25">
      <c r="AK2448" s="21">
        <f>_xll.qlCalendarAdvance(calendar,AK2447,"1D")</f>
        <v>46036</v>
      </c>
      <c r="AL2448" s="21">
        <f>_xll.qlInterestRateIndexValueDate(hiborindex,AK2448)</f>
        <v>46038</v>
      </c>
      <c r="AM2448" s="23">
        <f>_xll.qlIndexFixing(hiborindex,AK2448)</f>
        <v>1.2456639433577704E-2</v>
      </c>
    </row>
    <row r="2449" spans="37:39" x14ac:dyDescent="0.25">
      <c r="AK2449" s="21">
        <f>_xll.qlCalendarAdvance(calendar,AK2448,"1D")</f>
        <v>46037</v>
      </c>
      <c r="AL2449" s="21">
        <f>_xll.qlInterestRateIndexValueDate(hiborindex,AK2449)</f>
        <v>46041</v>
      </c>
      <c r="AM2449" s="23">
        <f>_xll.qlIndexFixing(hiborindex,AK2449)</f>
        <v>1.2455203514639922E-2</v>
      </c>
    </row>
    <row r="2450" spans="37:39" x14ac:dyDescent="0.25">
      <c r="AK2450" s="21">
        <f>_xll.qlCalendarAdvance(calendar,AK2449,"1D")</f>
        <v>46038</v>
      </c>
      <c r="AL2450" s="21">
        <f>_xll.qlInterestRateIndexValueDate(hiborindex,AK2450)</f>
        <v>46042</v>
      </c>
      <c r="AM2450" s="23">
        <f>_xll.qlIndexFixing(hiborindex,AK2450)</f>
        <v>1.2456953557393281E-2</v>
      </c>
    </row>
    <row r="2451" spans="37:39" x14ac:dyDescent="0.25">
      <c r="AK2451" s="21">
        <f>_xll.qlCalendarAdvance(calendar,AK2450,"1D")</f>
        <v>46041</v>
      </c>
      <c r="AL2451" s="21">
        <f>_xll.qlInterestRateIndexValueDate(hiborindex,AK2451)</f>
        <v>46043</v>
      </c>
      <c r="AM2451" s="23">
        <f>_xll.qlIndexFixing(hiborindex,AK2451)</f>
        <v>1.2457025407460394E-2</v>
      </c>
    </row>
    <row r="2452" spans="37:39" x14ac:dyDescent="0.25">
      <c r="AK2452" s="21">
        <f>_xll.qlCalendarAdvance(calendar,AK2451,"1D")</f>
        <v>46042</v>
      </c>
      <c r="AL2452" s="21">
        <f>_xll.qlInterestRateIndexValueDate(hiborindex,AK2452)</f>
        <v>46044</v>
      </c>
      <c r="AM2452" s="23">
        <f>_xll.qlIndexFixing(hiborindex,AK2452)</f>
        <v>1.2457094585171908E-2</v>
      </c>
    </row>
    <row r="2453" spans="37:39" x14ac:dyDescent="0.25">
      <c r="AK2453" s="21">
        <f>_xll.qlCalendarAdvance(calendar,AK2452,"1D")</f>
        <v>46043</v>
      </c>
      <c r="AL2453" s="21">
        <f>_xll.qlInterestRateIndexValueDate(hiborindex,AK2453)</f>
        <v>46045</v>
      </c>
      <c r="AM2453" s="23">
        <f>_xll.qlIndexFixing(hiborindex,AK2453)</f>
        <v>1.2457161090527386E-2</v>
      </c>
    </row>
    <row r="2454" spans="37:39" x14ac:dyDescent="0.25">
      <c r="AK2454" s="21">
        <f>_xll.qlCalendarAdvance(calendar,AK2453,"1D")</f>
        <v>46044</v>
      </c>
      <c r="AL2454" s="21">
        <f>_xll.qlInterestRateIndexValueDate(hiborindex,AK2454)</f>
        <v>46048</v>
      </c>
      <c r="AM2454" s="23">
        <f>_xll.qlIndexFixing(hiborindex,AK2454)</f>
        <v>1.245584056695939E-2</v>
      </c>
    </row>
    <row r="2455" spans="37:39" x14ac:dyDescent="0.25">
      <c r="AK2455" s="21">
        <f>_xll.qlCalendarAdvance(calendar,AK2454,"1D")</f>
        <v>46045</v>
      </c>
      <c r="AL2455" s="21">
        <f>_xll.qlInterestRateIndexValueDate(hiborindex,AK2455)</f>
        <v>46049</v>
      </c>
      <c r="AM2455" s="23">
        <f>_xll.qlIndexFixing(hiborindex,AK2455)</f>
        <v>1.2457400388388469E-2</v>
      </c>
    </row>
    <row r="2456" spans="37:39" x14ac:dyDescent="0.25">
      <c r="AK2456" s="21">
        <f>_xll.qlCalendarAdvance(calendar,AK2455,"1D")</f>
        <v>46048</v>
      </c>
      <c r="AL2456" s="21">
        <f>_xll.qlInterestRateIndexValueDate(hiborindex,AK2456)</f>
        <v>46050</v>
      </c>
      <c r="AM2456" s="23">
        <f>_xll.qlIndexFixing(hiborindex,AK2456)</f>
        <v>1.2457453531961989E-2</v>
      </c>
    </row>
    <row r="2457" spans="37:39" x14ac:dyDescent="0.25">
      <c r="AK2457" s="21">
        <f>_xll.qlCalendarAdvance(calendar,AK2456,"1D")</f>
        <v>46049</v>
      </c>
      <c r="AL2457" s="21">
        <f>_xll.qlInterestRateIndexValueDate(hiborindex,AK2457)</f>
        <v>46051</v>
      </c>
      <c r="AM2457" s="23">
        <f>_xll.qlIndexFixing(hiborindex,AK2457)</f>
        <v>1.2457504003178587E-2</v>
      </c>
    </row>
    <row r="2458" spans="37:39" x14ac:dyDescent="0.25">
      <c r="AK2458" s="21">
        <f>_xll.qlCalendarAdvance(calendar,AK2457,"1D")</f>
        <v>46050</v>
      </c>
      <c r="AL2458" s="21">
        <f>_xll.qlInterestRateIndexValueDate(hiborindex,AK2458)</f>
        <v>46052</v>
      </c>
      <c r="AM2458" s="23">
        <f>_xll.qlIndexFixing(hiborindex,AK2458)</f>
        <v>1.245614612612066E-2</v>
      </c>
    </row>
    <row r="2459" spans="37:39" x14ac:dyDescent="0.25">
      <c r="AK2459" s="21">
        <f>_xll.qlCalendarAdvance(calendar,AK2458,"1D")</f>
        <v>46051</v>
      </c>
      <c r="AL2459" s="21">
        <f>_xll.qlInterestRateIndexValueDate(hiborindex,AK2459)</f>
        <v>46055</v>
      </c>
      <c r="AM2459" s="23">
        <f>_xll.qlIndexFixing(hiborindex,AK2459)</f>
        <v>1.2456347388989448E-2</v>
      </c>
    </row>
    <row r="2460" spans="37:39" x14ac:dyDescent="0.25">
      <c r="AK2460" s="21">
        <f>_xll.qlCalendarAdvance(calendar,AK2459,"1D")</f>
        <v>46052</v>
      </c>
      <c r="AL2460" s="21">
        <f>_xll.qlInterestRateIndexValueDate(hiborindex,AK2460)</f>
        <v>46056</v>
      </c>
      <c r="AM2460" s="23">
        <f>_xll.qlIndexFixing(hiborindex,AK2460)</f>
        <v>1.2457716273897601E-2</v>
      </c>
    </row>
    <row r="2461" spans="37:39" x14ac:dyDescent="0.25">
      <c r="AK2461" s="21">
        <f>_xll.qlCalendarAdvance(calendar,AK2460,"1D")</f>
        <v>46055</v>
      </c>
      <c r="AL2461" s="21">
        <f>_xll.qlInterestRateIndexValueDate(hiborindex,AK2461)</f>
        <v>46057</v>
      </c>
      <c r="AM2461" s="23">
        <f>_xll.qlIndexFixing(hiborindex,AK2461)</f>
        <v>1.245775071096737E-2</v>
      </c>
    </row>
    <row r="2462" spans="37:39" x14ac:dyDescent="0.25">
      <c r="AK2462" s="21">
        <f>_xll.qlCalendarAdvance(calendar,AK2461,"1D")</f>
        <v>46056</v>
      </c>
      <c r="AL2462" s="21">
        <f>_xll.qlInterestRateIndexValueDate(hiborindex,AK2462)</f>
        <v>46058</v>
      </c>
      <c r="AM2462" s="23">
        <f>_xll.qlIndexFixing(hiborindex,AK2462)</f>
        <v>1.2457782475679337E-2</v>
      </c>
    </row>
    <row r="2463" spans="37:39" x14ac:dyDescent="0.25">
      <c r="AK2463" s="21">
        <f>_xll.qlCalendarAdvance(calendar,AK2462,"1D")</f>
        <v>46057</v>
      </c>
      <c r="AL2463" s="21">
        <f>_xll.qlInterestRateIndexValueDate(hiborindex,AK2463)</f>
        <v>46059</v>
      </c>
      <c r="AM2463" s="23">
        <f>_xll.qlIndexFixing(hiborindex,AK2463)</f>
        <v>1.2457811568032615E-2</v>
      </c>
    </row>
    <row r="2464" spans="37:39" x14ac:dyDescent="0.25">
      <c r="AK2464" s="21">
        <f>_xll.qlCalendarAdvance(calendar,AK2463,"1D")</f>
        <v>46058</v>
      </c>
      <c r="AL2464" s="21">
        <f>_xll.qlInterestRateIndexValueDate(hiborindex,AK2464)</f>
        <v>46062</v>
      </c>
      <c r="AM2464" s="23">
        <f>_xll.qlIndexFixing(hiborindex,AK2464)</f>
        <v>1.2456723980629959E-2</v>
      </c>
    </row>
    <row r="2465" spans="37:39" x14ac:dyDescent="0.25">
      <c r="AK2465" s="21">
        <f>_xll.qlCalendarAdvance(calendar,AK2464,"1D")</f>
        <v>46059</v>
      </c>
      <c r="AL2465" s="21">
        <f>_xll.qlInterestRateIndexValueDate(hiborindex,AK2465)</f>
        <v>46063</v>
      </c>
      <c r="AM2465" s="23">
        <f>_xll.qlIndexFixing(hiborindex,AK2465)</f>
        <v>1.2457901213858405E-2</v>
      </c>
    </row>
    <row r="2466" spans="37:39" x14ac:dyDescent="0.25">
      <c r="AK2466" s="21">
        <f>_xll.qlCalendarAdvance(calendar,AK2465,"1D")</f>
        <v>46062</v>
      </c>
      <c r="AL2466" s="21">
        <f>_xll.qlInterestRateIndexValueDate(hiborindex,AK2466)</f>
        <v>46064</v>
      </c>
      <c r="AM2466" s="23">
        <f>_xll.qlIndexFixing(hiborindex,AK2466)</f>
        <v>1.2457916944417802E-2</v>
      </c>
    </row>
    <row r="2467" spans="37:39" x14ac:dyDescent="0.25">
      <c r="AK2467" s="21">
        <f>_xll.qlCalendarAdvance(calendar,AK2466,"1D")</f>
        <v>46063</v>
      </c>
      <c r="AL2467" s="21">
        <f>_xll.qlInterestRateIndexValueDate(hiborindex,AK2467)</f>
        <v>46065</v>
      </c>
      <c r="AM2467" s="23">
        <f>_xll.qlIndexFixing(hiborindex,AK2467)</f>
        <v>1.245793000261851E-2</v>
      </c>
    </row>
    <row r="2468" spans="37:39" x14ac:dyDescent="0.25">
      <c r="AK2468" s="21">
        <f>_xll.qlCalendarAdvance(calendar,AK2467,"1D")</f>
        <v>46064</v>
      </c>
      <c r="AL2468" s="21">
        <f>_xll.qlInterestRateIndexValueDate(hiborindex,AK2468)</f>
        <v>46066</v>
      </c>
      <c r="AM2468" s="23">
        <f>_xll.qlIndexFixing(hiborindex,AK2468)</f>
        <v>1.2457940388460089E-2</v>
      </c>
    </row>
    <row r="2469" spans="37:39" x14ac:dyDescent="0.25">
      <c r="AK2469" s="21">
        <f>_xll.qlCalendarAdvance(calendar,AK2468,"1D")</f>
        <v>46065</v>
      </c>
      <c r="AL2469" s="21">
        <f>_xll.qlInterestRateIndexValueDate(hiborindex,AK2469)</f>
        <v>46069</v>
      </c>
      <c r="AM2469" s="23">
        <f>_xll.qlIndexFixing(hiborindex,AK2469)</f>
        <v>1.2456970341808008E-2</v>
      </c>
    </row>
    <row r="2470" spans="37:39" x14ac:dyDescent="0.25">
      <c r="AK2470" s="21">
        <f>_xll.qlCalendarAdvance(calendar,AK2469,"1D")</f>
        <v>46066</v>
      </c>
      <c r="AL2470" s="21">
        <f>_xll.qlInterestRateIndexValueDate(hiborindex,AK2470)</f>
        <v>46070</v>
      </c>
      <c r="AM2470" s="23">
        <f>_xll.qlIndexFixing(hiborindex,AK2470)</f>
        <v>1.2457955208235109E-2</v>
      </c>
    </row>
    <row r="2471" spans="37:39" x14ac:dyDescent="0.25">
      <c r="AK2471" s="21">
        <f>_xll.qlCalendarAdvance(calendar,AK2470,"1D")</f>
        <v>46069</v>
      </c>
      <c r="AL2471" s="21">
        <f>_xll.qlInterestRateIndexValueDate(hiborindex,AK2471)</f>
        <v>46071</v>
      </c>
      <c r="AM2471" s="23">
        <f>_xll.qlIndexFixing(hiborindex,AK2471)</f>
        <v>1.2457952232280599E-2</v>
      </c>
    </row>
    <row r="2472" spans="37:39" x14ac:dyDescent="0.25">
      <c r="AK2472" s="21">
        <f>_xll.qlCalendarAdvance(calendar,AK2471,"1D")</f>
        <v>46070</v>
      </c>
      <c r="AL2472" s="21">
        <f>_xll.qlInterestRateIndexValueDate(hiborindex,AK2472)</f>
        <v>46072</v>
      </c>
      <c r="AM2472" s="23">
        <f>_xll.qlIndexFixing(hiborindex,AK2472)</f>
        <v>1.24579465839674E-2</v>
      </c>
    </row>
    <row r="2473" spans="37:39" x14ac:dyDescent="0.25">
      <c r="AK2473" s="21">
        <f>_xll.qlCalendarAdvance(calendar,AK2472,"1D")</f>
        <v>46071</v>
      </c>
      <c r="AL2473" s="21">
        <f>_xll.qlInterestRateIndexValueDate(hiborindex,AK2473)</f>
        <v>46073</v>
      </c>
      <c r="AM2473" s="23">
        <f>_xll.qlIndexFixing(hiborindex,AK2473)</f>
        <v>1.2457938263295073E-2</v>
      </c>
    </row>
    <row r="2474" spans="37:39" x14ac:dyDescent="0.25">
      <c r="AK2474" s="21">
        <f>_xll.qlCalendarAdvance(calendar,AK2473,"1D")</f>
        <v>46072</v>
      </c>
      <c r="AL2474" s="21">
        <f>_xll.qlInterestRateIndexValueDate(hiborindex,AK2474)</f>
        <v>46076</v>
      </c>
      <c r="AM2474" s="23">
        <f>_xll.qlIndexFixing(hiborindex,AK2474)</f>
        <v>1.2457086472473972E-2</v>
      </c>
    </row>
    <row r="2475" spans="37:39" x14ac:dyDescent="0.25">
      <c r="AK2475" s="21">
        <f>_xll.qlCalendarAdvance(calendar,AK2474,"1D")</f>
        <v>46073</v>
      </c>
      <c r="AL2475" s="21">
        <f>_xll.qlInterestRateIndexValueDate(hiborindex,AK2475)</f>
        <v>46077</v>
      </c>
      <c r="AM2475" s="23">
        <f>_xll.qlIndexFixing(hiborindex,AK2475)</f>
        <v>1.2457878257015789E-2</v>
      </c>
    </row>
    <row r="2476" spans="37:39" x14ac:dyDescent="0.25">
      <c r="AK2476" s="21">
        <f>_xll.qlCalendarAdvance(calendar,AK2475,"1D")</f>
        <v>46076</v>
      </c>
      <c r="AL2476" s="21">
        <f>_xll.qlInterestRateIndexValueDate(hiborindex,AK2476)</f>
        <v>46078</v>
      </c>
      <c r="AM2476" s="23">
        <f>_xll.qlIndexFixing(hiborindex,AK2476)</f>
        <v>1.2457856574548698E-2</v>
      </c>
    </row>
    <row r="2477" spans="37:39" x14ac:dyDescent="0.25">
      <c r="AK2477" s="21">
        <f>_xll.qlCalendarAdvance(calendar,AK2476,"1D")</f>
        <v>46077</v>
      </c>
      <c r="AL2477" s="21">
        <f>_xll.qlInterestRateIndexValueDate(hiborindex,AK2477)</f>
        <v>46079</v>
      </c>
      <c r="AM2477" s="23">
        <f>_xll.qlIndexFixing(hiborindex,AK2477)</f>
        <v>1.245783221972336E-2</v>
      </c>
    </row>
    <row r="2478" spans="37:39" x14ac:dyDescent="0.25">
      <c r="AK2478" s="21">
        <f>_xll.qlCalendarAdvance(calendar,AK2477,"1D")</f>
        <v>46078</v>
      </c>
      <c r="AL2478" s="21">
        <f>_xll.qlInterestRateIndexValueDate(hiborindex,AK2478)</f>
        <v>46080</v>
      </c>
      <c r="AM2478" s="23">
        <f>_xll.qlIndexFixing(hiborindex,AK2478)</f>
        <v>1.2455168373867483E-2</v>
      </c>
    </row>
    <row r="2479" spans="37:39" x14ac:dyDescent="0.25">
      <c r="AK2479" s="21">
        <f>_xll.qlCalendarAdvance(calendar,AK2478,"1D")</f>
        <v>46079</v>
      </c>
      <c r="AL2479" s="21">
        <f>_xll.qlInterestRateIndexValueDate(hiborindex,AK2479)</f>
        <v>46083</v>
      </c>
      <c r="AM2479" s="23">
        <f>_xll.qlIndexFixing(hiborindex,AK2479)</f>
        <v>1.245590233975336E-2</v>
      </c>
    </row>
    <row r="2480" spans="37:39" x14ac:dyDescent="0.25">
      <c r="AK2480" s="21">
        <f>_xll.qlCalendarAdvance(calendar,AK2479,"1D")</f>
        <v>46080</v>
      </c>
      <c r="AL2480" s="21">
        <f>_xll.qlInterestRateIndexValueDate(hiborindex,AK2480)</f>
        <v>46084</v>
      </c>
      <c r="AM2480" s="23">
        <f>_xll.qlIndexFixing(hiborindex,AK2480)</f>
        <v>1.2455939024483833E-2</v>
      </c>
    </row>
    <row r="2481" spans="37:39" x14ac:dyDescent="0.25">
      <c r="AK2481" s="21">
        <f>_xll.qlCalendarAdvance(calendar,AK2480,"1D")</f>
        <v>46083</v>
      </c>
      <c r="AL2481" s="21">
        <f>_xll.qlInterestRateIndexValueDate(hiborindex,AK2481)</f>
        <v>46085</v>
      </c>
      <c r="AM2481" s="23">
        <f>_xll.qlIndexFixing(hiborindex,AK2481)</f>
        <v>1.24559730801582E-2</v>
      </c>
    </row>
    <row r="2482" spans="37:39" x14ac:dyDescent="0.25">
      <c r="AK2482" s="21">
        <f>_xll.qlCalendarAdvance(calendar,AK2481,"1D")</f>
        <v>46084</v>
      </c>
      <c r="AL2482" s="21">
        <f>_xll.qlInterestRateIndexValueDate(hiborindex,AK2482)</f>
        <v>46086</v>
      </c>
      <c r="AM2482" s="23">
        <f>_xll.qlIndexFixing(hiborindex,AK2482)</f>
        <v>1.2455110936774566E-2</v>
      </c>
    </row>
    <row r="2483" spans="37:39" x14ac:dyDescent="0.25">
      <c r="AK2483" s="21">
        <f>_xll.qlCalendarAdvance(calendar,AK2482,"1D")</f>
        <v>46085</v>
      </c>
      <c r="AL2483" s="21">
        <f>_xll.qlInterestRateIndexValueDate(hiborindex,AK2483)</f>
        <v>46087</v>
      </c>
      <c r="AM2483" s="23">
        <f>_xll.qlIndexFixing(hiborindex,AK2483)</f>
        <v>1.2455595039901447E-2</v>
      </c>
    </row>
    <row r="2484" spans="37:39" x14ac:dyDescent="0.25">
      <c r="AK2484" s="21">
        <f>_xll.qlCalendarAdvance(calendar,AK2483,"1D")</f>
        <v>46086</v>
      </c>
      <c r="AL2484" s="21">
        <f>_xll.qlInterestRateIndexValueDate(hiborindex,AK2484)</f>
        <v>46090</v>
      </c>
      <c r="AM2484" s="23">
        <f>_xll.qlIndexFixing(hiborindex,AK2484)</f>
        <v>1.2456103922687185E-2</v>
      </c>
    </row>
    <row r="2485" spans="37:39" x14ac:dyDescent="0.25">
      <c r="AK2485" s="21">
        <f>_xll.qlCalendarAdvance(calendar,AK2484,"1D")</f>
        <v>46087</v>
      </c>
      <c r="AL2485" s="21">
        <f>_xll.qlInterestRateIndexValueDate(hiborindex,AK2485)</f>
        <v>46091</v>
      </c>
      <c r="AM2485" s="23">
        <f>_xll.qlIndexFixing(hiborindex,AK2485)</f>
        <v>1.2456122204024063E-2</v>
      </c>
    </row>
    <row r="2486" spans="37:39" x14ac:dyDescent="0.25">
      <c r="AK2486" s="21">
        <f>_xll.qlCalendarAdvance(calendar,AK2485,"1D")</f>
        <v>46090</v>
      </c>
      <c r="AL2486" s="21">
        <f>_xll.qlInterestRateIndexValueDate(hiborindex,AK2486)</f>
        <v>46092</v>
      </c>
      <c r="AM2486" s="23">
        <f>_xll.qlIndexFixing(hiborindex,AK2486)</f>
        <v>1.2456137856303102E-2</v>
      </c>
    </row>
    <row r="2487" spans="37:39" x14ac:dyDescent="0.25">
      <c r="AK2487" s="21">
        <f>_xll.qlCalendarAdvance(calendar,AK2486,"1D")</f>
        <v>46091</v>
      </c>
      <c r="AL2487" s="21">
        <f>_xll.qlInterestRateIndexValueDate(hiborindex,AK2487)</f>
        <v>46093</v>
      </c>
      <c r="AM2487" s="23">
        <f>_xll.qlIndexFixing(hiborindex,AK2487)</f>
        <v>1.2455596420373265E-2</v>
      </c>
    </row>
    <row r="2488" spans="37:39" x14ac:dyDescent="0.25">
      <c r="AK2488" s="21">
        <f>_xll.qlCalendarAdvance(calendar,AK2487,"1D")</f>
        <v>46092</v>
      </c>
      <c r="AL2488" s="21">
        <f>_xll.qlInterestRateIndexValueDate(hiborindex,AK2488)</f>
        <v>46094</v>
      </c>
      <c r="AM2488" s="23">
        <f>_xll.qlIndexFixing(hiborindex,AK2488)</f>
        <v>1.2455893574194948E-2</v>
      </c>
    </row>
    <row r="2489" spans="37:39" x14ac:dyDescent="0.25">
      <c r="AK2489" s="21">
        <f>_xll.qlCalendarAdvance(calendar,AK2488,"1D")</f>
        <v>46093</v>
      </c>
      <c r="AL2489" s="21">
        <f>_xll.qlInterestRateIndexValueDate(hiborindex,AK2489)</f>
        <v>46097</v>
      </c>
      <c r="AM2489" s="23">
        <f>_xll.qlIndexFixing(hiborindex,AK2489)</f>
        <v>1.2456176681849793E-2</v>
      </c>
    </row>
    <row r="2490" spans="37:39" x14ac:dyDescent="0.25">
      <c r="AK2490" s="21">
        <f>_xll.qlCalendarAdvance(calendar,AK2489,"1D")</f>
        <v>46094</v>
      </c>
      <c r="AL2490" s="21">
        <f>_xll.qlInterestRateIndexValueDate(hiborindex,AK2490)</f>
        <v>46098</v>
      </c>
      <c r="AM2490" s="23">
        <f>_xll.qlIndexFixing(hiborindex,AK2490)</f>
        <v>1.2456176559788736E-2</v>
      </c>
    </row>
    <row r="2491" spans="37:39" x14ac:dyDescent="0.25">
      <c r="AK2491" s="21">
        <f>_xll.qlCalendarAdvance(calendar,AK2490,"1D")</f>
        <v>46097</v>
      </c>
      <c r="AL2491" s="21">
        <f>_xll.qlInterestRateIndexValueDate(hiborindex,AK2491)</f>
        <v>46099</v>
      </c>
      <c r="AM2491" s="23">
        <f>_xll.qlIndexFixing(hiborindex,AK2491)</f>
        <v>1.2456173808670272E-2</v>
      </c>
    </row>
    <row r="2492" spans="37:39" x14ac:dyDescent="0.25">
      <c r="AK2492" s="21">
        <f>_xll.qlCalendarAdvance(calendar,AK2491,"1D")</f>
        <v>46098</v>
      </c>
      <c r="AL2492" s="21">
        <f>_xll.qlInterestRateIndexValueDate(hiborindex,AK2492)</f>
        <v>46100</v>
      </c>
      <c r="AM2492" s="23">
        <f>_xll.qlIndexFixing(hiborindex,AK2492)</f>
        <v>1.2455954456754022E-2</v>
      </c>
    </row>
    <row r="2493" spans="37:39" x14ac:dyDescent="0.25">
      <c r="AK2493" s="21">
        <f>_xll.qlCalendarAdvance(calendar,AK2492,"1D")</f>
        <v>46099</v>
      </c>
      <c r="AL2493" s="21">
        <f>_xll.qlInterestRateIndexValueDate(hiborindex,AK2493)</f>
        <v>46101</v>
      </c>
      <c r="AM2493" s="23">
        <f>_xll.qlIndexFixing(hiborindex,AK2493)</f>
        <v>1.2456063976688362E-2</v>
      </c>
    </row>
    <row r="2494" spans="37:39" x14ac:dyDescent="0.25">
      <c r="AK2494" s="21">
        <f>_xll.qlCalendarAdvance(calendar,AK2493,"1D")</f>
        <v>46100</v>
      </c>
      <c r="AL2494" s="21">
        <f>_xll.qlInterestRateIndexValueDate(hiborindex,AK2494)</f>
        <v>46104</v>
      </c>
      <c r="AM2494" s="23">
        <f>_xll.qlIndexFixing(hiborindex,AK2494)</f>
        <v>1.2456120617226849E-2</v>
      </c>
    </row>
    <row r="2495" spans="37:39" x14ac:dyDescent="0.25">
      <c r="AK2495" s="21">
        <f>_xll.qlCalendarAdvance(calendar,AK2494,"1D")</f>
        <v>46101</v>
      </c>
      <c r="AL2495" s="21">
        <f>_xll.qlInterestRateIndexValueDate(hiborindex,AK2495)</f>
        <v>46105</v>
      </c>
      <c r="AM2495" s="23">
        <f>_xll.qlIndexFixing(hiborindex,AK2495)</f>
        <v>1.2456102091767856E-2</v>
      </c>
    </row>
    <row r="2496" spans="37:39" x14ac:dyDescent="0.25">
      <c r="AK2496" s="21">
        <f>_xll.qlCalendarAdvance(calendar,AK2495,"1D")</f>
        <v>46104</v>
      </c>
      <c r="AL2496" s="21">
        <f>_xll.qlInterestRateIndexValueDate(hiborindex,AK2496)</f>
        <v>46106</v>
      </c>
      <c r="AM2496" s="23">
        <f>_xll.qlIndexFixing(hiborindex,AK2496)</f>
        <v>1.2456080937252326E-2</v>
      </c>
    </row>
    <row r="2497" spans="37:39" x14ac:dyDescent="0.25">
      <c r="AK2497" s="21">
        <f>_xll.qlCalendarAdvance(calendar,AK2496,"1D")</f>
        <v>46105</v>
      </c>
      <c r="AL2497" s="21">
        <f>_xll.qlInterestRateIndexValueDate(hiborindex,AK2497)</f>
        <v>46107</v>
      </c>
      <c r="AM2497" s="23">
        <f>_xll.qlIndexFixing(hiborindex,AK2497)</f>
        <v>1.2456185045847648E-2</v>
      </c>
    </row>
    <row r="2498" spans="37:39" x14ac:dyDescent="0.25">
      <c r="AK2498" s="21">
        <f>_xll.qlCalendarAdvance(calendar,AK2497,"1D")</f>
        <v>46106</v>
      </c>
      <c r="AL2498" s="21">
        <f>_xll.qlInterestRateIndexValueDate(hiborindex,AK2498)</f>
        <v>46108</v>
      </c>
      <c r="AM2498" s="23">
        <f>_xll.qlIndexFixing(hiborindex,AK2498)</f>
        <v>1.2456106247349712E-2</v>
      </c>
    </row>
    <row r="2499" spans="37:39" x14ac:dyDescent="0.25">
      <c r="AK2499" s="21">
        <f>_xll.qlCalendarAdvance(calendar,AK2498,"1D")</f>
        <v>46107</v>
      </c>
      <c r="AL2499" s="21">
        <f>_xll.qlInterestRateIndexValueDate(hiborindex,AK2499)</f>
        <v>46111</v>
      </c>
      <c r="AM2499" s="23">
        <f>_xll.qlIndexFixing(hiborindex,AK2499)</f>
        <v>1.2455935728829214E-2</v>
      </c>
    </row>
    <row r="2500" spans="37:39" x14ac:dyDescent="0.25">
      <c r="AK2500" s="21">
        <f>_xll.qlCalendarAdvance(calendar,AK2499,"1D")</f>
        <v>46108</v>
      </c>
      <c r="AL2500" s="21">
        <f>_xll.qlInterestRateIndexValueDate(hiborindex,AK2500)</f>
        <v>46112</v>
      </c>
      <c r="AM2500" s="23">
        <f>_xll.qlIndexFixing(hiborindex,AK2500)</f>
        <v>1.245574990653559E-2</v>
      </c>
    </row>
    <row r="2501" spans="37:39" x14ac:dyDescent="0.25">
      <c r="AK2501" s="21">
        <f>_xll.qlCalendarAdvance(calendar,AK2500,"1D")</f>
        <v>46111</v>
      </c>
      <c r="AL2501" s="21">
        <f>_xll.qlInterestRateIndexValueDate(hiborindex,AK2501)</f>
        <v>46113</v>
      </c>
      <c r="AM2501" s="23">
        <f>_xll.qlIndexFixing(hiborindex,AK2501)</f>
        <v>1.2455685403545974E-2</v>
      </c>
    </row>
    <row r="2502" spans="37:39" x14ac:dyDescent="0.25">
      <c r="AK2502" s="21">
        <f>_xll.qlCalendarAdvance(calendar,AK2501,"1D")</f>
        <v>46112</v>
      </c>
      <c r="AL2502" s="21">
        <f>_xll.qlInterestRateIndexValueDate(hiborindex,AK2502)</f>
        <v>46114</v>
      </c>
      <c r="AM2502" s="23">
        <f>_xll.qlIndexFixing(hiborindex,AK2502)</f>
        <v>1.2455618257226868E-2</v>
      </c>
    </row>
    <row r="2503" spans="37:39" x14ac:dyDescent="0.25">
      <c r="AK2503" s="21">
        <f>_xll.qlCalendarAdvance(calendar,AK2502,"1D")</f>
        <v>46113</v>
      </c>
      <c r="AL2503" s="21">
        <f>_xll.qlInterestRateIndexValueDate(hiborindex,AK2503)</f>
        <v>46119</v>
      </c>
      <c r="AM2503" s="23">
        <f>_xll.qlIndexFixing(hiborindex,AK2503)</f>
        <v>1.2455242875696855E-2</v>
      </c>
    </row>
    <row r="2504" spans="37:39" x14ac:dyDescent="0.25">
      <c r="AK2504" s="21">
        <f>_xll.qlCalendarAdvance(calendar,AK2503,"1D")</f>
        <v>46114</v>
      </c>
      <c r="AL2504" s="21">
        <f>_xll.qlInterestRateIndexValueDate(hiborindex,AK2504)</f>
        <v>46120</v>
      </c>
      <c r="AM2504" s="23">
        <f>_xll.qlIndexFixing(hiborindex,AK2504)</f>
        <v>1.2455159869406053E-2</v>
      </c>
    </row>
    <row r="2505" spans="37:39" x14ac:dyDescent="0.25">
      <c r="AK2505" s="21">
        <f>_xll.qlCalendarAdvance(calendar,AK2504,"1D")</f>
        <v>46119</v>
      </c>
      <c r="AL2505" s="21">
        <f>_xll.qlInterestRateIndexValueDate(hiborindex,AK2505)</f>
        <v>46121</v>
      </c>
      <c r="AM2505" s="23">
        <f>_xll.qlIndexFixing(hiborindex,AK2505)</f>
        <v>1.2455074219787945E-2</v>
      </c>
    </row>
    <row r="2506" spans="37:39" x14ac:dyDescent="0.25">
      <c r="AK2506" s="21">
        <f>_xll.qlCalendarAdvance(calendar,AK2505,"1D")</f>
        <v>46120</v>
      </c>
      <c r="AL2506" s="21">
        <f>_xll.qlInterestRateIndexValueDate(hiborindex,AK2506)</f>
        <v>46122</v>
      </c>
      <c r="AM2506" s="23">
        <f>_xll.qlIndexFixing(hiborindex,AK2506)</f>
        <v>1.2455806393164121E-2</v>
      </c>
    </row>
    <row r="2507" spans="37:39" x14ac:dyDescent="0.25">
      <c r="AK2507" s="21">
        <f>_xll.qlCalendarAdvance(calendar,AK2506,"1D")</f>
        <v>46121</v>
      </c>
      <c r="AL2507" s="21">
        <f>_xll.qlInterestRateIndexValueDate(hiborindex,AK2507)</f>
        <v>46125</v>
      </c>
      <c r="AM2507" s="23">
        <f>_xll.qlIndexFixing(hiborindex,AK2507)</f>
        <v>1.245470518804726E-2</v>
      </c>
    </row>
    <row r="2508" spans="37:39" x14ac:dyDescent="0.25">
      <c r="AK2508" s="21">
        <f>_xll.qlCalendarAdvance(calendar,AK2507,"1D")</f>
        <v>46122</v>
      </c>
      <c r="AL2508" s="21">
        <f>_xll.qlInterestRateIndexValueDate(hiborindex,AK2508)</f>
        <v>46126</v>
      </c>
      <c r="AM2508" s="23">
        <f>_xll.qlIndexFixing(hiborindex,AK2508)</f>
        <v>1.245460632179699E-2</v>
      </c>
    </row>
    <row r="2509" spans="37:39" x14ac:dyDescent="0.25">
      <c r="AK2509" s="21">
        <f>_xll.qlCalendarAdvance(calendar,AK2508,"1D")</f>
        <v>46125</v>
      </c>
      <c r="AL2509" s="21">
        <f>_xll.qlInterestRateIndexValueDate(hiborindex,AK2509)</f>
        <v>46127</v>
      </c>
      <c r="AM2509" s="23">
        <f>_xll.qlIndexFixing(hiborindex,AK2509)</f>
        <v>1.2454504812221601E-2</v>
      </c>
    </row>
    <row r="2510" spans="37:39" x14ac:dyDescent="0.25">
      <c r="AK2510" s="21">
        <f>_xll.qlCalendarAdvance(calendar,AK2509,"1D")</f>
        <v>46126</v>
      </c>
      <c r="AL2510" s="21">
        <f>_xll.qlInterestRateIndexValueDate(hiborindex,AK2510)</f>
        <v>46128</v>
      </c>
      <c r="AM2510" s="23">
        <f>_xll.qlIndexFixing(hiborindex,AK2510)</f>
        <v>1.2454400659321088E-2</v>
      </c>
    </row>
    <row r="2511" spans="37:39" x14ac:dyDescent="0.25">
      <c r="AK2511" s="21">
        <f>_xll.qlCalendarAdvance(calendar,AK2510,"1D")</f>
        <v>46127</v>
      </c>
      <c r="AL2511" s="21">
        <f>_xll.qlInterestRateIndexValueDate(hiborindex,AK2511)</f>
        <v>46129</v>
      </c>
      <c r="AM2511" s="23">
        <f>_xll.qlIndexFixing(hiborindex,AK2511)</f>
        <v>1.2455464268377242E-2</v>
      </c>
    </row>
    <row r="2512" spans="37:39" x14ac:dyDescent="0.25">
      <c r="AK2512" s="21">
        <f>_xll.qlCalendarAdvance(calendar,AK2511,"1D")</f>
        <v>46128</v>
      </c>
      <c r="AL2512" s="21">
        <f>_xll.qlInterestRateIndexValueDate(hiborindex,AK2512)</f>
        <v>46132</v>
      </c>
      <c r="AM2512" s="23">
        <f>_xll.qlIndexFixing(hiborindex,AK2512)</f>
        <v>1.2453957614479183E-2</v>
      </c>
    </row>
    <row r="2513" spans="37:39" x14ac:dyDescent="0.25">
      <c r="AK2513" s="21">
        <f>_xll.qlCalendarAdvance(calendar,AK2512,"1D")</f>
        <v>46129</v>
      </c>
      <c r="AL2513" s="21">
        <f>_xll.qlInterestRateIndexValueDate(hiborindex,AK2513)</f>
        <v>46133</v>
      </c>
      <c r="AM2513" s="23">
        <f>_xll.qlIndexFixing(hiborindex,AK2513)</f>
        <v>1.2453840244960926E-2</v>
      </c>
    </row>
    <row r="2514" spans="37:39" x14ac:dyDescent="0.25">
      <c r="AK2514" s="21">
        <f>_xll.qlCalendarAdvance(calendar,AK2513,"1D")</f>
        <v>46132</v>
      </c>
      <c r="AL2514" s="21">
        <f>_xll.qlInterestRateIndexValueDate(hiborindex,AK2514)</f>
        <v>46134</v>
      </c>
      <c r="AM2514" s="23">
        <f>_xll.qlIndexFixing(hiborindex,AK2514)</f>
        <v>1.2453720232120167E-2</v>
      </c>
    </row>
    <row r="2515" spans="37:39" x14ac:dyDescent="0.25">
      <c r="AK2515" s="21">
        <f>_xll.qlCalendarAdvance(calendar,AK2514,"1D")</f>
        <v>46133</v>
      </c>
      <c r="AL2515" s="21">
        <f>_xll.qlInterestRateIndexValueDate(hiborindex,AK2515)</f>
        <v>46135</v>
      </c>
      <c r="AM2515" s="23">
        <f>_xll.qlIndexFixing(hiborindex,AK2515)</f>
        <v>1.2453597575958219E-2</v>
      </c>
    </row>
    <row r="2516" spans="37:39" x14ac:dyDescent="0.25">
      <c r="AK2516" s="21">
        <f>_xll.qlCalendarAdvance(calendar,AK2515,"1D")</f>
        <v>46134</v>
      </c>
      <c r="AL2516" s="21">
        <f>_xll.qlInterestRateIndexValueDate(hiborindex,AK2516)</f>
        <v>46136</v>
      </c>
      <c r="AM2516" s="23">
        <f>_xll.qlIndexFixing(hiborindex,AK2516)</f>
        <v>1.2454994011874099E-2</v>
      </c>
    </row>
    <row r="2517" spans="37:39" x14ac:dyDescent="0.25">
      <c r="AK2517" s="21">
        <f>_xll.qlCalendarAdvance(calendar,AK2516,"1D")</f>
        <v>46135</v>
      </c>
      <c r="AL2517" s="21">
        <f>_xll.qlInterestRateIndexValueDate(hiborindex,AK2517)</f>
        <v>46139</v>
      </c>
      <c r="AM2517" s="23">
        <f>_xll.qlIndexFixing(hiborindex,AK2517)</f>
        <v>1.2453080518102016E-2</v>
      </c>
    </row>
    <row r="2518" spans="37:39" x14ac:dyDescent="0.25">
      <c r="AK2518" s="21">
        <f>_xll.qlCalendarAdvance(calendar,AK2517,"1D")</f>
        <v>46136</v>
      </c>
      <c r="AL2518" s="21">
        <f>_xll.qlInterestRateIndexValueDate(hiborindex,AK2518)</f>
        <v>46140</v>
      </c>
      <c r="AM2518" s="23">
        <f>_xll.qlIndexFixing(hiborindex,AK2518)</f>
        <v>1.245294464533892E-2</v>
      </c>
    </row>
    <row r="2519" spans="37:39" x14ac:dyDescent="0.25">
      <c r="AK2519" s="21">
        <f>_xll.qlCalendarAdvance(calendar,AK2518,"1D")</f>
        <v>46139</v>
      </c>
      <c r="AL2519" s="21">
        <f>_xll.qlInterestRateIndexValueDate(hiborindex,AK2519)</f>
        <v>46141</v>
      </c>
      <c r="AM2519" s="23">
        <f>_xll.qlIndexFixing(hiborindex,AK2519)</f>
        <v>1.2452806129256819E-2</v>
      </c>
    </row>
    <row r="2520" spans="37:39" x14ac:dyDescent="0.25">
      <c r="AK2520" s="21">
        <f>_xll.qlCalendarAdvance(calendar,AK2519,"1D")</f>
        <v>46140</v>
      </c>
      <c r="AL2520" s="21">
        <f>_xll.qlInterestRateIndexValueDate(hiborindex,AK2520)</f>
        <v>46142</v>
      </c>
      <c r="AM2520" s="23">
        <f>_xll.qlIndexFixing(hiborindex,AK2520)</f>
        <v>1.2452664969857022E-2</v>
      </c>
    </row>
    <row r="2521" spans="37:39" x14ac:dyDescent="0.25">
      <c r="AK2521" s="21">
        <f>_xll.qlCalendarAdvance(calendar,AK2520,"1D")</f>
        <v>46141</v>
      </c>
      <c r="AL2521" s="21">
        <f>_xll.qlInterestRateIndexValueDate(hiborindex,AK2521)</f>
        <v>46146</v>
      </c>
      <c r="AM2521" s="23">
        <f>_xll.qlIndexFixing(hiborindex,AK2521)</f>
        <v>1.2453078932376335E-2</v>
      </c>
    </row>
    <row r="2522" spans="37:39" x14ac:dyDescent="0.25">
      <c r="AK2522" s="21">
        <f>_xll.qlCalendarAdvance(calendar,AK2521,"1D")</f>
        <v>46142</v>
      </c>
      <c r="AL2522" s="21">
        <f>_xll.qlInterestRateIndexValueDate(hiborindex,AK2522)</f>
        <v>46147</v>
      </c>
      <c r="AM2522" s="23">
        <f>_xll.qlIndexFixing(hiborindex,AK2522)</f>
        <v>1.2452949986734345E-2</v>
      </c>
    </row>
    <row r="2523" spans="37:39" x14ac:dyDescent="0.25">
      <c r="AK2523" s="21">
        <f>_xll.qlCalendarAdvance(calendar,AK2522,"1D")</f>
        <v>46146</v>
      </c>
      <c r="AL2523" s="21">
        <f>_xll.qlInterestRateIndexValueDate(hiborindex,AK2523)</f>
        <v>46148</v>
      </c>
      <c r="AM2523" s="23">
        <f>_xll.qlIndexFixing(hiborindex,AK2523)</f>
        <v>1.2452818412048417E-2</v>
      </c>
    </row>
    <row r="2524" spans="37:39" x14ac:dyDescent="0.25">
      <c r="AK2524" s="21">
        <f>_xll.qlCalendarAdvance(calendar,AK2523,"1D")</f>
        <v>46147</v>
      </c>
      <c r="AL2524" s="21">
        <f>_xll.qlInterestRateIndexValueDate(hiborindex,AK2524)</f>
        <v>46149</v>
      </c>
      <c r="AM2524" s="23">
        <f>_xll.qlIndexFixing(hiborindex,AK2524)</f>
        <v>1.2454892186581553E-2</v>
      </c>
    </row>
    <row r="2525" spans="37:39" x14ac:dyDescent="0.25">
      <c r="AK2525" s="21">
        <f>_xll.qlCalendarAdvance(calendar,AK2524,"1D")</f>
        <v>46148</v>
      </c>
      <c r="AL2525" s="21">
        <f>_xll.qlInterestRateIndexValueDate(hiborindex,AK2525)</f>
        <v>46150</v>
      </c>
      <c r="AM2525" s="23">
        <f>_xll.qlIndexFixing(hiborindex,AK2525)</f>
        <v>1.2453669104117836E-2</v>
      </c>
    </row>
    <row r="2526" spans="37:39" x14ac:dyDescent="0.25">
      <c r="AK2526" s="21">
        <f>_xll.qlCalendarAdvance(calendar,AK2525,"1D")</f>
        <v>46149</v>
      </c>
      <c r="AL2526" s="21">
        <f>_xll.qlInterestRateIndexValueDate(hiborindex,AK2526)</f>
        <v>46153</v>
      </c>
      <c r="AM2526" s="23">
        <f>_xll.qlIndexFixing(hiborindex,AK2526)</f>
        <v>1.2452121102977496E-2</v>
      </c>
    </row>
    <row r="2527" spans="37:39" x14ac:dyDescent="0.25">
      <c r="AK2527" s="21">
        <f>_xll.qlCalendarAdvance(calendar,AK2526,"1D")</f>
        <v>46150</v>
      </c>
      <c r="AL2527" s="21">
        <f>_xll.qlInterestRateIndexValueDate(hiborindex,AK2527)</f>
        <v>46154</v>
      </c>
      <c r="AM2527" s="23">
        <f>_xll.qlIndexFixing(hiborindex,AK2527)</f>
        <v>1.2451973754039662E-2</v>
      </c>
    </row>
    <row r="2528" spans="37:39" x14ac:dyDescent="0.25">
      <c r="AK2528" s="21">
        <f>_xll.qlCalendarAdvance(calendar,AK2527,"1D")</f>
        <v>46153</v>
      </c>
      <c r="AL2528" s="21">
        <f>_xll.qlInterestRateIndexValueDate(hiborindex,AK2528)</f>
        <v>46155</v>
      </c>
      <c r="AM2528" s="23">
        <f>_xll.qlIndexFixing(hiborindex,AK2528)</f>
        <v>1.2451823776060932E-2</v>
      </c>
    </row>
    <row r="2529" spans="37:39" x14ac:dyDescent="0.25">
      <c r="AK2529" s="21">
        <f>_xll.qlCalendarAdvance(calendar,AK2528,"1D")</f>
        <v>46154</v>
      </c>
      <c r="AL2529" s="21">
        <f>_xll.qlInterestRateIndexValueDate(hiborindex,AK2529)</f>
        <v>46156</v>
      </c>
      <c r="AM2529" s="23">
        <f>_xll.qlIndexFixing(hiborindex,AK2529)</f>
        <v>1.245423064479418E-2</v>
      </c>
    </row>
    <row r="2530" spans="37:39" x14ac:dyDescent="0.25">
      <c r="AK2530" s="21">
        <f>_xll.qlCalendarAdvance(calendar,AK2529,"1D")</f>
        <v>46155</v>
      </c>
      <c r="AL2530" s="21">
        <f>_xll.qlInterestRateIndexValueDate(hiborindex,AK2530)</f>
        <v>46157</v>
      </c>
      <c r="AM2530" s="23">
        <f>_xll.qlIndexFixing(hiborindex,AK2530)</f>
        <v>1.2452814453123968E-2</v>
      </c>
    </row>
    <row r="2531" spans="37:39" x14ac:dyDescent="0.25">
      <c r="AK2531" s="21">
        <f>_xll.qlCalendarAdvance(calendar,AK2530,"1D")</f>
        <v>46156</v>
      </c>
      <c r="AL2531" s="21">
        <f>_xll.qlInterestRateIndexValueDate(hiborindex,AK2531)</f>
        <v>46160</v>
      </c>
      <c r="AM2531" s="23">
        <f>_xll.qlIndexFixing(hiborindex,AK2531)</f>
        <v>1.245103445058986E-2</v>
      </c>
    </row>
    <row r="2532" spans="37:39" x14ac:dyDescent="0.25">
      <c r="AK2532" s="21">
        <f>_xll.qlCalendarAdvance(calendar,AK2531,"1D")</f>
        <v>46157</v>
      </c>
      <c r="AL2532" s="21">
        <f>_xll.qlInterestRateIndexValueDate(hiborindex,AK2532)</f>
        <v>46161</v>
      </c>
      <c r="AM2532" s="23">
        <f>_xll.qlIndexFixing(hiborindex,AK2532)</f>
        <v>1.2450868698383986E-2</v>
      </c>
    </row>
    <row r="2533" spans="37:39" x14ac:dyDescent="0.25">
      <c r="AK2533" s="21">
        <f>_xll.qlCalendarAdvance(calendar,AK2532,"1D")</f>
        <v>46160</v>
      </c>
      <c r="AL2533" s="21">
        <f>_xll.qlInterestRateIndexValueDate(hiborindex,AK2533)</f>
        <v>46162</v>
      </c>
      <c r="AM2533" s="23">
        <f>_xll.qlIndexFixing(hiborindex,AK2533)</f>
        <v>1.2450700317142427E-2</v>
      </c>
    </row>
    <row r="2534" spans="37:39" x14ac:dyDescent="0.25">
      <c r="AK2534" s="21">
        <f>_xll.qlCalendarAdvance(calendar,AK2533,"1D")</f>
        <v>46161</v>
      </c>
      <c r="AL2534" s="21">
        <f>_xll.qlInterestRateIndexValueDate(hiborindex,AK2534)</f>
        <v>46163</v>
      </c>
      <c r="AM2534" s="23">
        <f>_xll.qlIndexFixing(hiborindex,AK2534)</f>
        <v>1.2453441656057902E-2</v>
      </c>
    </row>
    <row r="2535" spans="37:39" x14ac:dyDescent="0.25">
      <c r="AK2535" s="21">
        <f>_xll.qlCalendarAdvance(calendar,AK2534,"1D")</f>
        <v>46162</v>
      </c>
      <c r="AL2535" s="21">
        <f>_xll.qlInterestRateIndexValueDate(hiborindex,AK2535)</f>
        <v>46164</v>
      </c>
      <c r="AM2535" s="23">
        <f>_xll.qlIndexFixing(hiborindex,AK2535)</f>
        <v>1.2451831670934934E-2</v>
      </c>
    </row>
    <row r="2536" spans="37:39" x14ac:dyDescent="0.25">
      <c r="AK2536" s="21">
        <f>_xll.qlCalendarAdvance(calendar,AK2535,"1D")</f>
        <v>46163</v>
      </c>
      <c r="AL2536" s="21">
        <f>_xll.qlInterestRateIndexValueDate(hiborindex,AK2536)</f>
        <v>46167</v>
      </c>
      <c r="AM2536" s="23">
        <f>_xll.qlIndexFixing(hiborindex,AK2536)</f>
        <v>1.2449818975425429E-2</v>
      </c>
    </row>
    <row r="2537" spans="37:39" x14ac:dyDescent="0.25">
      <c r="AK2537" s="21">
        <f>_xll.qlCalendarAdvance(calendar,AK2536,"1D")</f>
        <v>46164</v>
      </c>
      <c r="AL2537" s="21">
        <f>_xll.qlInterestRateIndexValueDate(hiborindex,AK2537)</f>
        <v>46168</v>
      </c>
      <c r="AM2537" s="23">
        <f>_xll.qlIndexFixing(hiborindex,AK2537)</f>
        <v>1.2449634819984966E-2</v>
      </c>
    </row>
    <row r="2538" spans="37:39" x14ac:dyDescent="0.25">
      <c r="AK2538" s="21">
        <f>_xll.qlCalendarAdvance(calendar,AK2537,"1D")</f>
        <v>46167</v>
      </c>
      <c r="AL2538" s="21">
        <f>_xll.qlInterestRateIndexValueDate(hiborindex,AK2538)</f>
        <v>46169</v>
      </c>
      <c r="AM2538" s="23">
        <f>_xll.qlIndexFixing(hiborindex,AK2538)</f>
        <v>1.2449448035513164E-2</v>
      </c>
    </row>
    <row r="2539" spans="37:39" x14ac:dyDescent="0.25">
      <c r="AK2539" s="21">
        <f>_xll.qlCalendarAdvance(calendar,AK2538,"1D")</f>
        <v>46168</v>
      </c>
      <c r="AL2539" s="21">
        <f>_xll.qlInterestRateIndexValueDate(hiborindex,AK2539)</f>
        <v>46170</v>
      </c>
      <c r="AM2539" s="23">
        <f>_xll.qlIndexFixing(hiborindex,AK2539)</f>
        <v>1.2452525220526138E-2</v>
      </c>
    </row>
    <row r="2540" spans="37:39" x14ac:dyDescent="0.25">
      <c r="AK2540" s="21">
        <f>_xll.qlCalendarAdvance(calendar,AK2539,"1D")</f>
        <v>46169</v>
      </c>
      <c r="AL2540" s="21">
        <f>_xll.qlInterestRateIndexValueDate(hiborindex,AK2540)</f>
        <v>46171</v>
      </c>
      <c r="AM2540" s="23">
        <f>_xll.qlIndexFixing(hiborindex,AK2540)</f>
        <v>1.2450720757743875E-2</v>
      </c>
    </row>
    <row r="2541" spans="37:39" x14ac:dyDescent="0.25">
      <c r="AK2541" s="21">
        <f>_xll.qlCalendarAdvance(calendar,AK2540,"1D")</f>
        <v>46170</v>
      </c>
      <c r="AL2541" s="21">
        <f>_xll.qlInterestRateIndexValueDate(hiborindex,AK2541)</f>
        <v>46174</v>
      </c>
      <c r="AM2541" s="23">
        <f>_xll.qlIndexFixing(hiborindex,AK2541)</f>
        <v>1.2446752200998012E-2</v>
      </c>
    </row>
    <row r="2542" spans="37:39" x14ac:dyDescent="0.25">
      <c r="AK2542" s="21">
        <f>_xll.qlCalendarAdvance(calendar,AK2541,"1D")</f>
        <v>46171</v>
      </c>
      <c r="AL2542" s="21">
        <f>_xll.qlInterestRateIndexValueDate(hiborindex,AK2542)</f>
        <v>46175</v>
      </c>
      <c r="AM2542" s="23">
        <f>_xll.qlIndexFixing(hiborindex,AK2542)</f>
        <v>1.2446523812482917E-2</v>
      </c>
    </row>
    <row r="2543" spans="37:39" x14ac:dyDescent="0.25">
      <c r="AK2543" s="21">
        <f>_xll.qlCalendarAdvance(calendar,AK2542,"1D")</f>
        <v>46174</v>
      </c>
      <c r="AL2543" s="21">
        <f>_xll.qlInterestRateIndexValueDate(hiborindex,AK2543)</f>
        <v>46176</v>
      </c>
      <c r="AM2543" s="23">
        <f>_xll.qlIndexFixing(hiborindex,AK2543)</f>
        <v>1.2446292780674587E-2</v>
      </c>
    </row>
    <row r="2544" spans="37:39" x14ac:dyDescent="0.25">
      <c r="AK2544" s="21">
        <f>_xll.qlCalendarAdvance(calendar,AK2543,"1D")</f>
        <v>46175</v>
      </c>
      <c r="AL2544" s="21">
        <f>_xll.qlInterestRateIndexValueDate(hiborindex,AK2544)</f>
        <v>46177</v>
      </c>
      <c r="AM2544" s="23">
        <f>_xll.qlIndexFixing(hiborindex,AK2544)</f>
        <v>1.2446059105574335E-2</v>
      </c>
    </row>
    <row r="2545" spans="37:39" x14ac:dyDescent="0.25">
      <c r="AK2545" s="21">
        <f>_xll.qlCalendarAdvance(calendar,AK2544,"1D")</f>
        <v>46176</v>
      </c>
      <c r="AL2545" s="21">
        <f>_xll.qlInterestRateIndexValueDate(hiborindex,AK2545)</f>
        <v>46178</v>
      </c>
      <c r="AM2545" s="23">
        <f>_xll.qlIndexFixing(hiborindex,AK2545)</f>
        <v>1.244948171376813E-2</v>
      </c>
    </row>
    <row r="2546" spans="37:39" x14ac:dyDescent="0.25">
      <c r="AK2546" s="21">
        <f>_xll.qlCalendarAdvance(calendar,AK2545,"1D")</f>
        <v>46177</v>
      </c>
      <c r="AL2546" s="21">
        <f>_xll.qlInterestRateIndexValueDate(hiborindex,AK2546)</f>
        <v>46181</v>
      </c>
      <c r="AM2546" s="23">
        <f>_xll.qlIndexFixing(hiborindex,AK2546)</f>
        <v>1.2445097972272863E-2</v>
      </c>
    </row>
    <row r="2547" spans="37:39" x14ac:dyDescent="0.25">
      <c r="AK2547" s="21">
        <f>_xll.qlCalendarAdvance(calendar,AK2546,"1D")</f>
        <v>46178</v>
      </c>
      <c r="AL2547" s="21">
        <f>_xll.qlInterestRateIndexValueDate(hiborindex,AK2547)</f>
        <v>46182</v>
      </c>
      <c r="AM2547" s="23">
        <f>_xll.qlIndexFixing(hiborindex,AK2547)</f>
        <v>1.2444851080726967E-2</v>
      </c>
    </row>
    <row r="2548" spans="37:39" x14ac:dyDescent="0.25">
      <c r="AK2548" s="21">
        <f>_xll.qlCalendarAdvance(calendar,AK2547,"1D")</f>
        <v>46181</v>
      </c>
      <c r="AL2548" s="21">
        <f>_xll.qlInterestRateIndexValueDate(hiborindex,AK2548)</f>
        <v>46183</v>
      </c>
      <c r="AM2548" s="23">
        <f>_xll.qlIndexFixing(hiborindex,AK2548)</f>
        <v>1.2444601545894825E-2</v>
      </c>
    </row>
    <row r="2549" spans="37:39" x14ac:dyDescent="0.25">
      <c r="AK2549" s="21">
        <f>_xll.qlCalendarAdvance(calendar,AK2548,"1D")</f>
        <v>46182</v>
      </c>
      <c r="AL2549" s="21">
        <f>_xll.qlInterestRateIndexValueDate(hiborindex,AK2549)</f>
        <v>46184</v>
      </c>
      <c r="AM2549" s="23">
        <f>_xll.qlIndexFixing(hiborindex,AK2549)</f>
        <v>1.2444349367777748E-2</v>
      </c>
    </row>
    <row r="2550" spans="37:39" x14ac:dyDescent="0.25">
      <c r="AK2550" s="21">
        <f>_xll.qlCalendarAdvance(calendar,AK2549,"1D")</f>
        <v>46183</v>
      </c>
      <c r="AL2550" s="21">
        <f>_xll.qlInterestRateIndexValueDate(hiborindex,AK2550)</f>
        <v>46185</v>
      </c>
      <c r="AM2550" s="23">
        <f>_xll.qlIndexFixing(hiborindex,AK2550)</f>
        <v>1.2448114539251829E-2</v>
      </c>
    </row>
    <row r="2551" spans="37:39" x14ac:dyDescent="0.25">
      <c r="AK2551" s="21">
        <f>_xll.qlCalendarAdvance(calendar,AK2550,"1D")</f>
        <v>46184</v>
      </c>
      <c r="AL2551" s="21">
        <f>_xll.qlInterestRateIndexValueDate(hiborindex,AK2551)</f>
        <v>46188</v>
      </c>
      <c r="AM2551" s="23">
        <f>_xll.qlIndexFixing(hiborindex,AK2551)</f>
        <v>1.2443314222477561E-2</v>
      </c>
    </row>
    <row r="2552" spans="37:39" x14ac:dyDescent="0.25">
      <c r="AK2552" s="21">
        <f>_xll.qlCalendarAdvance(calendar,AK2551,"1D")</f>
        <v>46185</v>
      </c>
      <c r="AL2552" s="21">
        <f>_xll.qlInterestRateIndexValueDate(hiborindex,AK2552)</f>
        <v>46189</v>
      </c>
      <c r="AM2552" s="23">
        <f>_xll.qlIndexFixing(hiborindex,AK2552)</f>
        <v>1.2443048827949787E-2</v>
      </c>
    </row>
    <row r="2553" spans="37:39" x14ac:dyDescent="0.25">
      <c r="AK2553" s="21">
        <f>_xll.qlCalendarAdvance(calendar,AK2552,"1D")</f>
        <v>46188</v>
      </c>
      <c r="AL2553" s="21">
        <f>_xll.qlInterestRateIndexValueDate(hiborindex,AK2553)</f>
        <v>46190</v>
      </c>
      <c r="AM2553" s="23">
        <f>_xll.qlIndexFixing(hiborindex,AK2553)</f>
        <v>1.2442780790142754E-2</v>
      </c>
    </row>
    <row r="2554" spans="37:39" x14ac:dyDescent="0.25">
      <c r="AK2554" s="21">
        <f>_xll.qlCalendarAdvance(calendar,AK2553,"1D")</f>
        <v>46189</v>
      </c>
      <c r="AL2554" s="21">
        <f>_xll.qlInterestRateIndexValueDate(hiborindex,AK2554)</f>
        <v>46191</v>
      </c>
      <c r="AM2554" s="23">
        <f>_xll.qlIndexFixing(hiborindex,AK2554)</f>
        <v>1.2442510109058214E-2</v>
      </c>
    </row>
    <row r="2555" spans="37:39" x14ac:dyDescent="0.25">
      <c r="AK2555" s="21">
        <f>_xll.qlCalendarAdvance(calendar,AK2554,"1D")</f>
        <v>46190</v>
      </c>
      <c r="AL2555" s="21">
        <f>_xll.qlInterestRateIndexValueDate(hiborindex,AK2555)</f>
        <v>46192</v>
      </c>
      <c r="AM2555" s="23">
        <f>_xll.qlIndexFixing(hiborindex,AK2555)</f>
        <v>1.2446619234462433E-2</v>
      </c>
    </row>
    <row r="2556" spans="37:39" x14ac:dyDescent="0.25">
      <c r="AK2556" s="21">
        <f>_xll.qlCalendarAdvance(calendar,AK2555,"1D")</f>
        <v>46191</v>
      </c>
      <c r="AL2556" s="21">
        <f>_xll.qlInterestRateIndexValueDate(hiborindex,AK2556)</f>
        <v>46195</v>
      </c>
      <c r="AM2556" s="23">
        <f>_xll.qlIndexFixing(hiborindex,AK2556)</f>
        <v>1.2441400951962427E-2</v>
      </c>
    </row>
    <row r="2557" spans="37:39" x14ac:dyDescent="0.25">
      <c r="AK2557" s="21">
        <f>_xll.qlCalendarAdvance(calendar,AK2556,"1D")</f>
        <v>46192</v>
      </c>
      <c r="AL2557" s="21">
        <f>_xll.qlInterestRateIndexValueDate(hiborindex,AK2557)</f>
        <v>46196</v>
      </c>
      <c r="AM2557" s="23">
        <f>_xll.qlIndexFixing(hiborindex,AK2557)</f>
        <v>1.2441117054504753E-2</v>
      </c>
    </row>
    <row r="2558" spans="37:39" x14ac:dyDescent="0.25">
      <c r="AK2558" s="21">
        <f>_xll.qlCalendarAdvance(calendar,AK2557,"1D")</f>
        <v>46195</v>
      </c>
      <c r="AL2558" s="21">
        <f>_xll.qlInterestRateIndexValueDate(hiborindex,AK2558)</f>
        <v>46197</v>
      </c>
      <c r="AM2558" s="23">
        <f>_xll.qlIndexFixing(hiborindex,AK2558)</f>
        <v>1.2440830513775685E-2</v>
      </c>
    </row>
    <row r="2559" spans="37:39" x14ac:dyDescent="0.25">
      <c r="AK2559" s="21">
        <f>_xll.qlCalendarAdvance(calendar,AK2558,"1D")</f>
        <v>46196</v>
      </c>
      <c r="AL2559" s="21">
        <f>_xll.qlInterestRateIndexValueDate(hiborindex,AK2559)</f>
        <v>46198</v>
      </c>
      <c r="AM2559" s="23">
        <f>_xll.qlIndexFixing(hiborindex,AK2559)</f>
        <v>1.2447585014428601E-2</v>
      </c>
    </row>
    <row r="2560" spans="37:39" x14ac:dyDescent="0.25">
      <c r="AK2560" s="21">
        <f>_xll.qlCalendarAdvance(calendar,AK2559,"1D")</f>
        <v>46197</v>
      </c>
      <c r="AL2560" s="21">
        <f>_xll.qlInterestRateIndexValueDate(hiborindex,AK2560)</f>
        <v>46199</v>
      </c>
      <c r="AM2560" s="23">
        <f>_xll.qlIndexFixing(hiborindex,AK2560)</f>
        <v>1.2444995799694195E-2</v>
      </c>
    </row>
    <row r="2561" spans="37:39" x14ac:dyDescent="0.25">
      <c r="AK2561" s="21">
        <f>_xll.qlCalendarAdvance(calendar,AK2560,"1D")</f>
        <v>46198</v>
      </c>
      <c r="AL2561" s="21">
        <f>_xll.qlInterestRateIndexValueDate(hiborindex,AK2561)</f>
        <v>46202</v>
      </c>
      <c r="AM2561" s="23">
        <f>_xll.qlIndexFixing(hiborindex,AK2561)</f>
        <v>1.2439358161103116E-2</v>
      </c>
    </row>
    <row r="2562" spans="37:39" x14ac:dyDescent="0.25">
      <c r="AK2562" s="21">
        <f>_xll.qlCalendarAdvance(calendar,AK2561,"1D")</f>
        <v>46199</v>
      </c>
      <c r="AL2562" s="21">
        <f>_xll.qlInterestRateIndexValueDate(hiborindex,AK2562)</f>
        <v>46203</v>
      </c>
      <c r="AM2562" s="23">
        <f>_xll.qlIndexFixing(hiborindex,AK2562)</f>
        <v>1.244153309619269E-2</v>
      </c>
    </row>
    <row r="2563" spans="37:39" x14ac:dyDescent="0.25">
      <c r="AK2563" s="21">
        <f>_xll.qlCalendarAdvance(calendar,AK2562,"1D")</f>
        <v>46202</v>
      </c>
      <c r="AL2563" s="21">
        <f>_xll.qlInterestRateIndexValueDate(hiborindex,AK2563)</f>
        <v>46204</v>
      </c>
      <c r="AM2563" s="23">
        <f>_xll.qlIndexFixing(hiborindex,AK2563)</f>
        <v>1.24534923379675E-2</v>
      </c>
    </row>
    <row r="2564" spans="37:39" x14ac:dyDescent="0.25">
      <c r="AK2564" s="21">
        <f>_xll.qlCalendarAdvance(calendar,AK2563,"1D")</f>
        <v>46203</v>
      </c>
      <c r="AL2564" s="21">
        <f>_xll.qlInterestRateIndexValueDate(hiborindex,AK2564)</f>
        <v>46205</v>
      </c>
      <c r="AM2564" s="23">
        <f>_xll.qlIndexFixing(hiborindex,AK2564)</f>
        <v>1.2455540454610918E-2</v>
      </c>
    </row>
    <row r="2565" spans="37:39" x14ac:dyDescent="0.25">
      <c r="AK2565" s="21">
        <f>_xll.qlCalendarAdvance(calendar,AK2564,"1D")</f>
        <v>46204</v>
      </c>
      <c r="AL2565" s="21">
        <f>_xll.qlInterestRateIndexValueDate(hiborindex,AK2565)</f>
        <v>46206</v>
      </c>
      <c r="AM2565" s="23">
        <f>_xll.qlIndexFixing(hiborindex,AK2565)</f>
        <v>1.2457588422734514E-2</v>
      </c>
    </row>
    <row r="2566" spans="37:39" x14ac:dyDescent="0.25">
      <c r="AK2566" s="21">
        <f>_xll.qlCalendarAdvance(calendar,AK2565,"1D")</f>
        <v>46205</v>
      </c>
      <c r="AL2566" s="21">
        <f>_xll.qlInterestRateIndexValueDate(hiborindex,AK2566)</f>
        <v>46209</v>
      </c>
      <c r="AM2566" s="23">
        <f>_xll.qlIndexFixing(hiborindex,AK2566)</f>
        <v>1.2468687877774713E-2</v>
      </c>
    </row>
    <row r="2567" spans="37:39" x14ac:dyDescent="0.25">
      <c r="AK2567" s="21">
        <f>_xll.qlCalendarAdvance(calendar,AK2566,"1D")</f>
        <v>46206</v>
      </c>
      <c r="AL2567" s="21">
        <f>_xll.qlInterestRateIndexValueDate(hiborindex,AK2567)</f>
        <v>46210</v>
      </c>
      <c r="AM2567" s="23">
        <f>_xll.qlIndexFixing(hiborindex,AK2567)</f>
        <v>1.247321371111455E-2</v>
      </c>
    </row>
    <row r="2568" spans="37:39" x14ac:dyDescent="0.25">
      <c r="AK2568" s="21">
        <f>_xll.qlCalendarAdvance(calendar,AK2567,"1D")</f>
        <v>46209</v>
      </c>
      <c r="AL2568" s="21">
        <f>_xll.qlInterestRateIndexValueDate(hiborindex,AK2568)</f>
        <v>46211</v>
      </c>
      <c r="AM2568" s="23">
        <f>_xll.qlIndexFixing(hiborindex,AK2568)</f>
        <v>1.2477739554857804E-2</v>
      </c>
    </row>
    <row r="2569" spans="37:39" x14ac:dyDescent="0.25">
      <c r="AK2569" s="21">
        <f>_xll.qlCalendarAdvance(calendar,AK2568,"1D")</f>
        <v>46210</v>
      </c>
      <c r="AL2569" s="21">
        <f>_xll.qlInterestRateIndexValueDate(hiborindex,AK2569)</f>
        <v>46212</v>
      </c>
      <c r="AM2569" s="23">
        <f>_xll.qlIndexFixing(hiborindex,AK2569)</f>
        <v>1.2487223476047438E-2</v>
      </c>
    </row>
    <row r="2570" spans="37:39" x14ac:dyDescent="0.25">
      <c r="AK2570" s="21">
        <f>_xll.qlCalendarAdvance(calendar,AK2569,"1D")</f>
        <v>46211</v>
      </c>
      <c r="AL2570" s="21">
        <f>_xll.qlInterestRateIndexValueDate(hiborindex,AK2570)</f>
        <v>46213</v>
      </c>
      <c r="AM2570" s="23">
        <f>_xll.qlIndexFixing(hiborindex,AK2570)</f>
        <v>1.2489270386733817E-2</v>
      </c>
    </row>
    <row r="2571" spans="37:39" x14ac:dyDescent="0.25">
      <c r="AK2571" s="21">
        <f>_xll.qlCalendarAdvance(calendar,AK2570,"1D")</f>
        <v>46212</v>
      </c>
      <c r="AL2571" s="21">
        <f>_xll.qlInterestRateIndexValueDate(hiborindex,AK2571)</f>
        <v>46216</v>
      </c>
      <c r="AM2571" s="23">
        <f>_xll.qlIndexFixing(hiborindex,AK2571)</f>
        <v>1.2500368929616638E-2</v>
      </c>
    </row>
    <row r="2572" spans="37:39" x14ac:dyDescent="0.25">
      <c r="AK2572" s="21">
        <f>_xll.qlCalendarAdvance(calendar,AK2571,"1D")</f>
        <v>46213</v>
      </c>
      <c r="AL2572" s="21">
        <f>_xll.qlInterestRateIndexValueDate(hiborindex,AK2572)</f>
        <v>46217</v>
      </c>
      <c r="AM2572" s="23">
        <f>_xll.qlIndexFixing(hiborindex,AK2572)</f>
        <v>1.2504894835777354E-2</v>
      </c>
    </row>
    <row r="2573" spans="37:39" x14ac:dyDescent="0.25">
      <c r="AK2573" s="21">
        <f>_xll.qlCalendarAdvance(calendar,AK2572,"1D")</f>
        <v>46216</v>
      </c>
      <c r="AL2573" s="21">
        <f>_xll.qlInterestRateIndexValueDate(hiborindex,AK2573)</f>
        <v>46218</v>
      </c>
      <c r="AM2573" s="23">
        <f>_xll.qlIndexFixing(hiborindex,AK2573)</f>
        <v>1.2509420752341488E-2</v>
      </c>
    </row>
    <row r="2574" spans="37:39" x14ac:dyDescent="0.25">
      <c r="AK2574" s="21">
        <f>_xll.qlCalendarAdvance(calendar,AK2573,"1D")</f>
        <v>46217</v>
      </c>
      <c r="AL2574" s="21">
        <f>_xll.qlInterestRateIndexValueDate(hiborindex,AK2574)</f>
        <v>46219</v>
      </c>
      <c r="AM2574" s="23">
        <f>_xll.qlIndexFixing(hiborindex,AK2574)</f>
        <v>1.2518907012804647E-2</v>
      </c>
    </row>
    <row r="2575" spans="37:39" x14ac:dyDescent="0.25">
      <c r="AK2575" s="21">
        <f>_xll.qlCalendarAdvance(calendar,AK2574,"1D")</f>
        <v>46218</v>
      </c>
      <c r="AL2575" s="21">
        <f>_xll.qlInterestRateIndexValueDate(hiborindex,AK2575)</f>
        <v>46220</v>
      </c>
      <c r="AM2575" s="23">
        <f>_xll.qlIndexFixing(hiborindex,AK2575)</f>
        <v>1.2520952863265837E-2</v>
      </c>
    </row>
    <row r="2576" spans="37:39" x14ac:dyDescent="0.25">
      <c r="AK2576" s="21">
        <f>_xll.qlCalendarAdvance(calendar,AK2575,"1D")</f>
        <v>46219</v>
      </c>
      <c r="AL2576" s="21">
        <f>_xll.qlInterestRateIndexValueDate(hiborindex,AK2576)</f>
        <v>46223</v>
      </c>
      <c r="AM2576" s="23">
        <f>_xll.qlIndexFixing(hiborindex,AK2576)</f>
        <v>1.2532050491206894E-2</v>
      </c>
    </row>
    <row r="2577" spans="37:39" x14ac:dyDescent="0.25">
      <c r="AK2577" s="21">
        <f>_xll.qlCalendarAdvance(calendar,AK2576,"1D")</f>
        <v>46220</v>
      </c>
      <c r="AL2577" s="21">
        <f>_xll.qlInterestRateIndexValueDate(hiborindex,AK2577)</f>
        <v>46224</v>
      </c>
      <c r="AM2577" s="23">
        <f>_xll.qlIndexFixing(hiborindex,AK2577)</f>
        <v>1.2536576470189794E-2</v>
      </c>
    </row>
    <row r="2578" spans="37:39" x14ac:dyDescent="0.25">
      <c r="AK2578" s="21">
        <f>_xll.qlCalendarAdvance(calendar,AK2577,"1D")</f>
        <v>46223</v>
      </c>
      <c r="AL2578" s="21">
        <f>_xll.qlInterestRateIndexValueDate(hiborindex,AK2578)</f>
        <v>46225</v>
      </c>
      <c r="AM2578" s="23">
        <f>_xll.qlIndexFixing(hiborindex,AK2578)</f>
        <v>1.2541102459575241E-2</v>
      </c>
    </row>
    <row r="2579" spans="37:39" x14ac:dyDescent="0.25">
      <c r="AK2579" s="21">
        <f>_xll.qlCalendarAdvance(calendar,AK2578,"1D")</f>
        <v>46224</v>
      </c>
      <c r="AL2579" s="21">
        <f>_xll.qlInterestRateIndexValueDate(hiborindex,AK2579)</f>
        <v>46226</v>
      </c>
      <c r="AM2579" s="23">
        <f>_xll.qlIndexFixing(hiborindex,AK2579)</f>
        <v>1.2550591064890711E-2</v>
      </c>
    </row>
    <row r="2580" spans="37:39" x14ac:dyDescent="0.25">
      <c r="AK2580" s="21">
        <f>_xll.qlCalendarAdvance(calendar,AK2579,"1D")</f>
        <v>46225</v>
      </c>
      <c r="AL2580" s="21">
        <f>_xll.qlInterestRateIndexValueDate(hiborindex,AK2580)</f>
        <v>46227</v>
      </c>
      <c r="AM2580" s="23">
        <f>_xll.qlIndexFixing(hiborindex,AK2580)</f>
        <v>1.2552635852339651E-2</v>
      </c>
    </row>
    <row r="2581" spans="37:39" x14ac:dyDescent="0.25">
      <c r="AK2581" s="21">
        <f>_xll.qlCalendarAdvance(calendar,AK2580,"1D")</f>
        <v>46226</v>
      </c>
      <c r="AL2581" s="21">
        <f>_xll.qlInterestRateIndexValueDate(hiborindex,AK2581)</f>
        <v>46230</v>
      </c>
      <c r="AM2581" s="23">
        <f>_xll.qlIndexFixing(hiborindex,AK2581)</f>
        <v>1.2563732562553736E-2</v>
      </c>
    </row>
    <row r="2582" spans="37:39" x14ac:dyDescent="0.25">
      <c r="AK2582" s="21">
        <f>_xll.qlCalendarAdvance(calendar,AK2581,"1D")</f>
        <v>46227</v>
      </c>
      <c r="AL2582" s="21">
        <f>_xll.qlInterestRateIndexValueDate(hiborindex,AK2582)</f>
        <v>46231</v>
      </c>
      <c r="AM2582" s="23">
        <f>_xll.qlIndexFixing(hiborindex,AK2582)</f>
        <v>1.2568258614359252E-2</v>
      </c>
    </row>
    <row r="2583" spans="37:39" x14ac:dyDescent="0.25">
      <c r="AK2583" s="21">
        <f>_xll.qlCalendarAdvance(calendar,AK2582,"1D")</f>
        <v>46230</v>
      </c>
      <c r="AL2583" s="21">
        <f>_xll.qlInterestRateIndexValueDate(hiborindex,AK2583)</f>
        <v>46232</v>
      </c>
      <c r="AM2583" s="23">
        <f>_xll.qlIndexFixing(hiborindex,AK2583)</f>
        <v>1.2572784676568185E-2</v>
      </c>
    </row>
    <row r="2584" spans="37:39" x14ac:dyDescent="0.25">
      <c r="AK2584" s="21">
        <f>_xll.qlCalendarAdvance(calendar,AK2583,"1D")</f>
        <v>46231</v>
      </c>
      <c r="AL2584" s="21">
        <f>_xll.qlInterestRateIndexValueDate(hiborindex,AK2584)</f>
        <v>46233</v>
      </c>
      <c r="AM2584" s="23">
        <f>_xll.qlIndexFixing(hiborindex,AK2584)</f>
        <v>1.2574828555611466E-2</v>
      </c>
    </row>
    <row r="2585" spans="37:39" x14ac:dyDescent="0.25">
      <c r="AK2585" s="21">
        <f>_xll.qlCalendarAdvance(calendar,AK2584,"1D")</f>
        <v>46232</v>
      </c>
      <c r="AL2585" s="21">
        <f>_xll.qlInterestRateIndexValueDate(hiborindex,AK2585)</f>
        <v>46234</v>
      </c>
      <c r="AM2585" s="23">
        <f>_xll.qlIndexFixing(hiborindex,AK2585)</f>
        <v>1.2576872284743646E-2</v>
      </c>
    </row>
    <row r="2586" spans="37:39" x14ac:dyDescent="0.25">
      <c r="AK2586" s="21">
        <f>_xll.qlCalendarAdvance(calendar,AK2585,"1D")</f>
        <v>46233</v>
      </c>
      <c r="AL2586" s="21">
        <f>_xll.qlInterestRateIndexValueDate(hiborindex,AK2586)</f>
        <v>46237</v>
      </c>
      <c r="AM2586" s="23">
        <f>_xll.qlIndexFixing(hiborindex,AK2586)</f>
        <v>1.2595415143664546E-2</v>
      </c>
    </row>
    <row r="2587" spans="37:39" x14ac:dyDescent="0.25">
      <c r="AK2587" s="21">
        <f>_xll.qlCalendarAdvance(calendar,AK2586,"1D")</f>
        <v>46234</v>
      </c>
      <c r="AL2587" s="21">
        <f>_xll.qlInterestRateIndexValueDate(hiborindex,AK2587)</f>
        <v>46238</v>
      </c>
      <c r="AM2587" s="23">
        <f>_xll.qlIndexFixing(hiborindex,AK2587)</f>
        <v>1.2599941268294418E-2</v>
      </c>
    </row>
    <row r="2588" spans="37:39" x14ac:dyDescent="0.25">
      <c r="AK2588" s="21">
        <f>_xll.qlCalendarAdvance(calendar,AK2587,"1D")</f>
        <v>46237</v>
      </c>
      <c r="AL2588" s="21">
        <f>_xll.qlInterestRateIndexValueDate(hiborindex,AK2588)</f>
        <v>46239</v>
      </c>
      <c r="AM2588" s="23">
        <f>_xll.qlIndexFixing(hiborindex,AK2588)</f>
        <v>1.2604467403327706E-2</v>
      </c>
    </row>
    <row r="2589" spans="37:39" x14ac:dyDescent="0.25">
      <c r="AK2589" s="21">
        <f>_xll.qlCalendarAdvance(calendar,AK2588,"1D")</f>
        <v>46238</v>
      </c>
      <c r="AL2589" s="21">
        <f>_xll.qlInterestRateIndexValueDate(hiborindex,AK2589)</f>
        <v>46240</v>
      </c>
      <c r="AM2589" s="23">
        <f>_xll.qlIndexFixing(hiborindex,AK2589)</f>
        <v>1.2613960715084645E-2</v>
      </c>
    </row>
    <row r="2590" spans="37:39" x14ac:dyDescent="0.25">
      <c r="AK2590" s="21">
        <f>_xll.qlCalendarAdvance(calendar,AK2589,"1D")</f>
        <v>46239</v>
      </c>
      <c r="AL2590" s="21">
        <f>_xll.qlInterestRateIndexValueDate(hiborindex,AK2590)</f>
        <v>46241</v>
      </c>
      <c r="AM2590" s="23">
        <f>_xll.qlIndexFixing(hiborindex,AK2590)</f>
        <v>1.2616003368145064E-2</v>
      </c>
    </row>
    <row r="2591" spans="37:39" x14ac:dyDescent="0.25">
      <c r="AK2591" s="21">
        <f>_xll.qlCalendarAdvance(calendar,AK2590,"1D")</f>
        <v>46240</v>
      </c>
      <c r="AL2591" s="21">
        <f>_xll.qlInterestRateIndexValueDate(hiborindex,AK2591)</f>
        <v>46244</v>
      </c>
      <c r="AM2591" s="23">
        <f>_xll.qlIndexFixing(hiborindex,AK2591)</f>
        <v>1.262709823454845E-2</v>
      </c>
    </row>
    <row r="2592" spans="37:39" x14ac:dyDescent="0.25">
      <c r="AK2592" s="21">
        <f>_xll.qlCalendarAdvance(calendar,AK2591,"1D")</f>
        <v>46241</v>
      </c>
      <c r="AL2592" s="21">
        <f>_xll.qlInterestRateIndexValueDate(hiborindex,AK2592)</f>
        <v>46245</v>
      </c>
      <c r="AM2592" s="23">
        <f>_xll.qlIndexFixing(hiborindex,AK2592)</f>
        <v>1.2631624432003545E-2</v>
      </c>
    </row>
    <row r="2593" spans="37:39" x14ac:dyDescent="0.25">
      <c r="AK2593" s="21">
        <f>_xll.qlCalendarAdvance(calendar,AK2592,"1D")</f>
        <v>46244</v>
      </c>
      <c r="AL2593" s="21">
        <f>_xll.qlInterestRateIndexValueDate(hiborindex,AK2593)</f>
        <v>46246</v>
      </c>
      <c r="AM2593" s="23">
        <f>_xll.qlIndexFixing(hiborindex,AK2593)</f>
        <v>1.2636150639862058E-2</v>
      </c>
    </row>
    <row r="2594" spans="37:39" x14ac:dyDescent="0.25">
      <c r="AK2594" s="21">
        <f>_xll.qlCalendarAdvance(calendar,AK2593,"1D")</f>
        <v>46245</v>
      </c>
      <c r="AL2594" s="21">
        <f>_xll.qlInterestRateIndexValueDate(hiborindex,AK2594)</f>
        <v>46247</v>
      </c>
      <c r="AM2594" s="23">
        <f>_xll.qlIndexFixing(hiborindex,AK2594)</f>
        <v>1.2645646313208846E-2</v>
      </c>
    </row>
    <row r="2595" spans="37:39" x14ac:dyDescent="0.25">
      <c r="AK2595" s="21">
        <f>_xll.qlCalendarAdvance(calendar,AK2594,"1D")</f>
        <v>46246</v>
      </c>
      <c r="AL2595" s="21">
        <f>_xll.qlInterestRateIndexValueDate(hiborindex,AK2595)</f>
        <v>46248</v>
      </c>
      <c r="AM2595" s="23">
        <f>_xll.qlIndexFixing(hiborindex,AK2595)</f>
        <v>1.2647687894892649E-2</v>
      </c>
    </row>
    <row r="2596" spans="37:39" x14ac:dyDescent="0.25">
      <c r="AK2596" s="21">
        <f>_xll.qlCalendarAdvance(calendar,AK2595,"1D")</f>
        <v>46247</v>
      </c>
      <c r="AL2596" s="21">
        <f>_xll.qlInterestRateIndexValueDate(hiborindex,AK2596)</f>
        <v>46251</v>
      </c>
      <c r="AM2596" s="23">
        <f>_xll.qlIndexFixing(hiborindex,AK2596)</f>
        <v>1.2658781835212832E-2</v>
      </c>
    </row>
    <row r="2597" spans="37:39" x14ac:dyDescent="0.25">
      <c r="AK2597" s="21">
        <f>_xll.qlCalendarAdvance(calendar,AK2596,"1D")</f>
        <v>46248</v>
      </c>
      <c r="AL2597" s="21">
        <f>_xll.qlInterestRateIndexValueDate(hiborindex,AK2597)</f>
        <v>46252</v>
      </c>
      <c r="AM2597" s="23">
        <f>_xll.qlIndexFixing(hiborindex,AK2597)</f>
        <v>1.2663308105494455E-2</v>
      </c>
    </row>
    <row r="2598" spans="37:39" x14ac:dyDescent="0.25">
      <c r="AK2598" s="21">
        <f>_xll.qlCalendarAdvance(calendar,AK2597,"1D")</f>
        <v>46251</v>
      </c>
      <c r="AL2598" s="21">
        <f>_xll.qlInterestRateIndexValueDate(hiborindex,AK2598)</f>
        <v>46253</v>
      </c>
      <c r="AM2598" s="23">
        <f>_xll.qlIndexFixing(hiborindex,AK2598)</f>
        <v>1.2667834386179931E-2</v>
      </c>
    </row>
    <row r="2599" spans="37:39" x14ac:dyDescent="0.25">
      <c r="AK2599" s="21">
        <f>_xll.qlCalendarAdvance(calendar,AK2598,"1D")</f>
        <v>46252</v>
      </c>
      <c r="AL2599" s="21">
        <f>_xll.qlInterestRateIndexValueDate(hiborindex,AK2599)</f>
        <v>46254</v>
      </c>
      <c r="AM2599" s="23">
        <f>_xll.qlIndexFixing(hiborindex,AK2599)</f>
        <v>1.2677332426696282E-2</v>
      </c>
    </row>
    <row r="2600" spans="37:39" x14ac:dyDescent="0.25">
      <c r="AK2600" s="21">
        <f>_xll.qlCalendarAdvance(calendar,AK2599,"1D")</f>
        <v>46253</v>
      </c>
      <c r="AL2600" s="21">
        <f>_xll.qlInterestRateIndexValueDate(hiborindex,AK2600)</f>
        <v>46255</v>
      </c>
      <c r="AM2600" s="23">
        <f>_xll.qlIndexFixing(hiborindex,AK2600)</f>
        <v>1.2679372934215298E-2</v>
      </c>
    </row>
    <row r="2601" spans="37:39" x14ac:dyDescent="0.25">
      <c r="AK2601" s="21">
        <f>_xll.qlCalendarAdvance(calendar,AK2600,"1D")</f>
        <v>46254</v>
      </c>
      <c r="AL2601" s="21">
        <f>_xll.qlInterestRateIndexValueDate(hiborindex,AK2601)</f>
        <v>46258</v>
      </c>
      <c r="AM2601" s="23">
        <f>_xll.qlIndexFixing(hiborindex,AK2601)</f>
        <v>1.2690465945666383E-2</v>
      </c>
    </row>
    <row r="2602" spans="37:39" x14ac:dyDescent="0.25">
      <c r="AK2602" s="21">
        <f>_xll.qlCalendarAdvance(calendar,AK2601,"1D")</f>
        <v>46255</v>
      </c>
      <c r="AL2602" s="21">
        <f>_xll.qlInterestRateIndexValueDate(hiborindex,AK2602)</f>
        <v>46259</v>
      </c>
      <c r="AM2602" s="23">
        <f>_xll.qlIndexFixing(hiborindex,AK2602)</f>
        <v>1.2694992288775837E-2</v>
      </c>
    </row>
    <row r="2603" spans="37:39" x14ac:dyDescent="0.25">
      <c r="AK2603" s="21">
        <f>_xll.qlCalendarAdvance(calendar,AK2602,"1D")</f>
        <v>46258</v>
      </c>
      <c r="AL2603" s="21">
        <f>_xll.qlInterestRateIndexValueDate(hiborindex,AK2603)</f>
        <v>46260</v>
      </c>
      <c r="AM2603" s="23">
        <f>_xll.qlIndexFixing(hiborindex,AK2603)</f>
        <v>1.2699518642289142E-2</v>
      </c>
    </row>
    <row r="2604" spans="37:39" x14ac:dyDescent="0.25">
      <c r="AK2604" s="21">
        <f>_xll.qlCalendarAdvance(calendar,AK2603,"1D")</f>
        <v>46259</v>
      </c>
      <c r="AL2604" s="21">
        <f>_xll.qlInterestRateIndexValueDate(hiborindex,AK2604)</f>
        <v>46261</v>
      </c>
      <c r="AM2604" s="23">
        <f>_xll.qlIndexFixing(hiborindex,AK2604)</f>
        <v>1.2701558232153571E-2</v>
      </c>
    </row>
    <row r="2605" spans="37:39" x14ac:dyDescent="0.25">
      <c r="AK2605" s="21">
        <f>_xll.qlCalendarAdvance(calendar,AK2604,"1D")</f>
        <v>46260</v>
      </c>
      <c r="AL2605" s="21">
        <f>_xll.qlInterestRateIndexValueDate(hiborindex,AK2605)</f>
        <v>46262</v>
      </c>
      <c r="AM2605" s="23">
        <f>_xll.qlIndexFixing(hiborindex,AK2605)</f>
        <v>1.2703597670669258E-2</v>
      </c>
    </row>
    <row r="2606" spans="37:39" x14ac:dyDescent="0.25">
      <c r="AK2606" s="21">
        <f>_xll.qlCalendarAdvance(calendar,AK2605,"1D")</f>
        <v>46261</v>
      </c>
      <c r="AL2606" s="21">
        <f>_xll.qlInterestRateIndexValueDate(hiborindex,AK2606)</f>
        <v>46265</v>
      </c>
      <c r="AM2606" s="23">
        <f>_xll.qlIndexFixing(hiborindex,AK2606)</f>
        <v>1.2709715077778589E-2</v>
      </c>
    </row>
    <row r="2607" spans="37:39" x14ac:dyDescent="0.25">
      <c r="AK2607" s="21">
        <f>_xll.qlCalendarAdvance(calendar,AK2606,"1D")</f>
        <v>46262</v>
      </c>
      <c r="AL2607" s="21">
        <f>_xll.qlInterestRateIndexValueDate(hiborindex,AK2607)</f>
        <v>46266</v>
      </c>
      <c r="AM2607" s="23">
        <f>_xll.qlIndexFixing(hiborindex,AK2607)</f>
        <v>1.2719214693703053E-2</v>
      </c>
    </row>
    <row r="2608" spans="37:39" x14ac:dyDescent="0.25">
      <c r="AK2608" s="21">
        <f>_xll.qlCalendarAdvance(calendar,AK2607,"1D")</f>
        <v>46265</v>
      </c>
      <c r="AL2608" s="21">
        <f>_xll.qlInterestRateIndexValueDate(hiborindex,AK2608)</f>
        <v>46267</v>
      </c>
      <c r="AM2608" s="23">
        <f>_xll.qlIndexFixing(hiborindex,AK2608)</f>
        <v>1.2723740626137188E-2</v>
      </c>
    </row>
    <row r="2609" spans="37:39" x14ac:dyDescent="0.25">
      <c r="AK2609" s="21">
        <f>_xll.qlCalendarAdvance(calendar,AK2608,"1D")</f>
        <v>46266</v>
      </c>
      <c r="AL2609" s="21">
        <f>_xll.qlInterestRateIndexValueDate(hiborindex,AK2609)</f>
        <v>46268</v>
      </c>
      <c r="AM2609" s="23">
        <f>_xll.qlIndexFixing(hiborindex,AK2609)</f>
        <v>1.2728266568804903E-2</v>
      </c>
    </row>
    <row r="2610" spans="37:39" x14ac:dyDescent="0.25">
      <c r="AK2610" s="21">
        <f>_xll.qlCalendarAdvance(calendar,AK2609,"1D")</f>
        <v>46267</v>
      </c>
      <c r="AL2610" s="21">
        <f>_xll.qlInterestRateIndexValueDate(hiborindex,AK2610)</f>
        <v>46269</v>
      </c>
      <c r="AM2610" s="23">
        <f>_xll.qlIndexFixing(hiborindex,AK2610)</f>
        <v>1.2732792521705758E-2</v>
      </c>
    </row>
    <row r="2611" spans="37:39" x14ac:dyDescent="0.25">
      <c r="AK2611" s="21">
        <f>_xll.qlCalendarAdvance(calendar,AK2610,"1D")</f>
        <v>46268</v>
      </c>
      <c r="AL2611" s="21">
        <f>_xll.qlInterestRateIndexValueDate(hiborindex,AK2611)</f>
        <v>46272</v>
      </c>
      <c r="AM2611" s="23">
        <f>_xll.qlIndexFixing(hiborindex,AK2611)</f>
        <v>1.2748858692198625E-2</v>
      </c>
    </row>
    <row r="2612" spans="37:39" x14ac:dyDescent="0.25">
      <c r="AK2612" s="21">
        <f>_xll.qlCalendarAdvance(calendar,AK2611,"1D")</f>
        <v>46269</v>
      </c>
      <c r="AL2612" s="21">
        <f>_xll.qlInterestRateIndexValueDate(hiborindex,AK2612)</f>
        <v>46273</v>
      </c>
      <c r="AM2612" s="23">
        <f>_xll.qlIndexFixing(hiborindex,AK2612)</f>
        <v>1.2750896435645883E-2</v>
      </c>
    </row>
    <row r="2613" spans="37:39" x14ac:dyDescent="0.25">
      <c r="AK2613" s="21">
        <f>_xll.qlCalendarAdvance(calendar,AK2612,"1D")</f>
        <v>46272</v>
      </c>
      <c r="AL2613" s="21">
        <f>_xll.qlInterestRateIndexValueDate(hiborindex,AK2613)</f>
        <v>46274</v>
      </c>
      <c r="AM2613" s="23">
        <f>_xll.qlIndexFixing(hiborindex,AK2613)</f>
        <v>1.2755422439715091E-2</v>
      </c>
    </row>
    <row r="2614" spans="37:39" x14ac:dyDescent="0.25">
      <c r="AK2614" s="21">
        <f>_xll.qlCalendarAdvance(calendar,AK2613,"1D")</f>
        <v>46273</v>
      </c>
      <c r="AL2614" s="21">
        <f>_xll.qlInterestRateIndexValueDate(hiborindex,AK2614)</f>
        <v>46275</v>
      </c>
      <c r="AM2614" s="23">
        <f>_xll.qlIndexFixing(hiborindex,AK2614)</f>
        <v>1.2759948454017438E-2</v>
      </c>
    </row>
    <row r="2615" spans="37:39" x14ac:dyDescent="0.25">
      <c r="AK2615" s="21">
        <f>_xll.qlCalendarAdvance(calendar,AK2614,"1D")</f>
        <v>46274</v>
      </c>
      <c r="AL2615" s="21">
        <f>_xll.qlInterestRateIndexValueDate(hiborindex,AK2615)</f>
        <v>46276</v>
      </c>
      <c r="AM2615" s="23">
        <f>_xll.qlIndexFixing(hiborindex,AK2615)</f>
        <v>1.276447447855425E-2</v>
      </c>
    </row>
    <row r="2616" spans="37:39" x14ac:dyDescent="0.25">
      <c r="AK2616" s="21">
        <f>_xll.qlCalendarAdvance(calendar,AK2615,"1D")</f>
        <v>46275</v>
      </c>
      <c r="AL2616" s="21">
        <f>_xll.qlInterestRateIndexValueDate(hiborindex,AK2616)</f>
        <v>46279</v>
      </c>
      <c r="AM2616" s="23">
        <f>_xll.qlIndexFixing(hiborindex,AK2616)</f>
        <v>1.2780542019553734E-2</v>
      </c>
    </row>
    <row r="2617" spans="37:39" x14ac:dyDescent="0.25">
      <c r="AK2617" s="21">
        <f>_xll.qlCalendarAdvance(calendar,AK2616,"1D")</f>
        <v>46276</v>
      </c>
      <c r="AL2617" s="21">
        <f>_xll.qlInterestRateIndexValueDate(hiborindex,AK2617)</f>
        <v>46280</v>
      </c>
      <c r="AM2617" s="23">
        <f>_xll.qlIndexFixing(hiborindex,AK2617)</f>
        <v>1.2782578679036436E-2</v>
      </c>
    </row>
    <row r="2618" spans="37:39" x14ac:dyDescent="0.25">
      <c r="AK2618" s="21">
        <f>_xll.qlCalendarAdvance(calendar,AK2617,"1D")</f>
        <v>46279</v>
      </c>
      <c r="AL2618" s="21">
        <f>_xll.qlInterestRateIndexValueDate(hiborindex,AK2618)</f>
        <v>46281</v>
      </c>
      <c r="AM2618" s="23">
        <f>_xll.qlIndexFixing(hiborindex,AK2618)</f>
        <v>1.2787104754742042E-2</v>
      </c>
    </row>
    <row r="2619" spans="37:39" x14ac:dyDescent="0.25">
      <c r="AK2619" s="21">
        <f>_xll.qlCalendarAdvance(calendar,AK2618,"1D")</f>
        <v>46280</v>
      </c>
      <c r="AL2619" s="21">
        <f>_xll.qlInterestRateIndexValueDate(hiborindex,AK2619)</f>
        <v>46282</v>
      </c>
      <c r="AM2619" s="23">
        <f>_xll.qlIndexFixing(hiborindex,AK2619)</f>
        <v>1.2791630840680787E-2</v>
      </c>
    </row>
    <row r="2620" spans="37:39" x14ac:dyDescent="0.25">
      <c r="AK2620" s="21">
        <f>_xll.qlCalendarAdvance(calendar,AK2619,"1D")</f>
        <v>46281</v>
      </c>
      <c r="AL2620" s="21">
        <f>_xll.qlInterestRateIndexValueDate(hiborindex,AK2620)</f>
        <v>46283</v>
      </c>
      <c r="AM2620" s="23">
        <f>_xll.qlIndexFixing(hiborindex,AK2620)</f>
        <v>1.2796156936853558E-2</v>
      </c>
    </row>
    <row r="2621" spans="37:39" x14ac:dyDescent="0.25">
      <c r="AK2621" s="21">
        <f>_xll.qlCalendarAdvance(calendar,AK2620,"1D")</f>
        <v>46282</v>
      </c>
      <c r="AL2621" s="21">
        <f>_xll.qlInterestRateIndexValueDate(hiborindex,AK2621)</f>
        <v>46286</v>
      </c>
      <c r="AM2621" s="23">
        <f>_xll.qlIndexFixing(hiborindex,AK2621)</f>
        <v>1.2812225851152964E-2</v>
      </c>
    </row>
    <row r="2622" spans="37:39" x14ac:dyDescent="0.25">
      <c r="AK2622" s="21">
        <f>_xll.qlCalendarAdvance(calendar,AK2621,"1D")</f>
        <v>46283</v>
      </c>
      <c r="AL2622" s="21">
        <f>_xll.qlInterestRateIndexValueDate(hiborindex,AK2622)</f>
        <v>46287</v>
      </c>
      <c r="AM2622" s="23">
        <f>_xll.qlIndexFixing(hiborindex,AK2622)</f>
        <v>1.2814261423883104E-2</v>
      </c>
    </row>
    <row r="2623" spans="37:39" x14ac:dyDescent="0.25">
      <c r="AK2623" s="21">
        <f>_xll.qlCalendarAdvance(calendar,AK2622,"1D")</f>
        <v>46286</v>
      </c>
      <c r="AL2623" s="21">
        <f>_xll.qlInterestRateIndexValueDate(hiborindex,AK2623)</f>
        <v>46288</v>
      </c>
      <c r="AM2623" s="23">
        <f>_xll.qlIndexFixing(hiborindex,AK2623)</f>
        <v>1.2818787571225107E-2</v>
      </c>
    </row>
    <row r="2624" spans="37:39" x14ac:dyDescent="0.25">
      <c r="AK2624" s="21">
        <f>_xll.qlCalendarAdvance(calendar,AK2623,"1D")</f>
        <v>46287</v>
      </c>
      <c r="AL2624" s="21">
        <f>_xll.qlInterestRateIndexValueDate(hiborindex,AK2624)</f>
        <v>46289</v>
      </c>
      <c r="AM2624" s="23">
        <f>_xll.qlIndexFixing(hiborindex,AK2624)</f>
        <v>1.2823313728801577E-2</v>
      </c>
    </row>
    <row r="2625" spans="37:39" x14ac:dyDescent="0.25">
      <c r="AK2625" s="21">
        <f>_xll.qlCalendarAdvance(calendar,AK2624,"1D")</f>
        <v>46288</v>
      </c>
      <c r="AL2625" s="21">
        <f>_xll.qlInterestRateIndexValueDate(hiborindex,AK2625)</f>
        <v>46290</v>
      </c>
      <c r="AM2625" s="23">
        <f>_xll.qlIndexFixing(hiborindex,AK2625)</f>
        <v>1.282783989661207E-2</v>
      </c>
    </row>
    <row r="2626" spans="37:39" x14ac:dyDescent="0.25">
      <c r="AK2626" s="21">
        <f>_xll.qlCalendarAdvance(calendar,AK2625,"1D")</f>
        <v>46289</v>
      </c>
      <c r="AL2626" s="21">
        <f>_xll.qlInterestRateIndexValueDate(hiborindex,AK2626)</f>
        <v>46293</v>
      </c>
      <c r="AM2626" s="23">
        <f>_xll.qlIndexFixing(hiborindex,AK2626)</f>
        <v>1.2846402081522742E-2</v>
      </c>
    </row>
    <row r="2627" spans="37:39" x14ac:dyDescent="0.25">
      <c r="AK2627" s="21">
        <f>_xll.qlCalendarAdvance(calendar,AK2626,"1D")</f>
        <v>46290</v>
      </c>
      <c r="AL2627" s="21">
        <f>_xll.qlInterestRateIndexValueDate(hiborindex,AK2627)</f>
        <v>46294</v>
      </c>
      <c r="AM2627" s="23">
        <f>_xll.qlIndexFixing(hiborindex,AK2627)</f>
        <v>1.2848436561859805E-2</v>
      </c>
    </row>
    <row r="2628" spans="37:39" x14ac:dyDescent="0.25">
      <c r="AK2628" s="21">
        <f>_xll.qlCalendarAdvance(calendar,AK2627,"1D")</f>
        <v>46293</v>
      </c>
      <c r="AL2628" s="21">
        <f>_xll.qlInterestRateIndexValueDate(hiborindex,AK2628)</f>
        <v>46295</v>
      </c>
      <c r="AM2628" s="23">
        <f>_xll.qlIndexFixing(hiborindex,AK2628)</f>
        <v>1.285296294700782E-2</v>
      </c>
    </row>
    <row r="2629" spans="37:39" x14ac:dyDescent="0.25">
      <c r="AK2629" s="21">
        <f>_xll.qlCalendarAdvance(calendar,AK2628,"1D")</f>
        <v>46294</v>
      </c>
      <c r="AL2629" s="21">
        <f>_xll.qlInterestRateIndexValueDate(hiborindex,AK2629)</f>
        <v>46296</v>
      </c>
      <c r="AM2629" s="23">
        <f>_xll.qlIndexFixing(hiborindex,AK2629)</f>
        <v>1.2857489342446505E-2</v>
      </c>
    </row>
    <row r="2630" spans="37:39" x14ac:dyDescent="0.25">
      <c r="AK2630" s="21">
        <f>_xll.qlCalendarAdvance(calendar,AK2629,"1D")</f>
        <v>46295</v>
      </c>
      <c r="AL2630" s="21">
        <f>_xll.qlInterestRateIndexValueDate(hiborindex,AK2630)</f>
        <v>46297</v>
      </c>
      <c r="AM2630" s="23">
        <f>_xll.qlIndexFixing(hiborindex,AK2630)</f>
        <v>1.2862015748176296E-2</v>
      </c>
    </row>
    <row r="2631" spans="37:39" x14ac:dyDescent="0.25">
      <c r="AK2631" s="21">
        <f>_xll.qlCalendarAdvance(calendar,AK2630,"1D")</f>
        <v>46296</v>
      </c>
      <c r="AL2631" s="21">
        <f>_xll.qlInterestRateIndexValueDate(hiborindex,AK2631)</f>
        <v>46300</v>
      </c>
      <c r="AM2631" s="23">
        <f>_xll.qlIndexFixing(hiborindex,AK2631)</f>
        <v>1.2875595027112765E-2</v>
      </c>
    </row>
    <row r="2632" spans="37:39" x14ac:dyDescent="0.25">
      <c r="AK2632" s="21">
        <f>_xll.qlCalendarAdvance(calendar,AK2631,"1D")</f>
        <v>46297</v>
      </c>
      <c r="AL2632" s="21">
        <f>_xll.qlInterestRateIndexValueDate(hiborindex,AK2632)</f>
        <v>46301</v>
      </c>
      <c r="AM2632" s="23">
        <f>_xll.qlIndexFixing(hiborindex,AK2632)</f>
        <v>1.2880121474007432E-2</v>
      </c>
    </row>
    <row r="2633" spans="37:39" x14ac:dyDescent="0.25">
      <c r="AK2633" s="21">
        <f>_xll.qlCalendarAdvance(calendar,AK2632,"1D")</f>
        <v>46300</v>
      </c>
      <c r="AL2633" s="21">
        <f>_xll.qlInterestRateIndexValueDate(hiborindex,AK2633)</f>
        <v>46302</v>
      </c>
      <c r="AM2633" s="23">
        <f>_xll.qlIndexFixing(hiborindex,AK2633)</f>
        <v>1.2884647931193207E-2</v>
      </c>
    </row>
    <row r="2634" spans="37:39" x14ac:dyDescent="0.25">
      <c r="AK2634" s="21">
        <f>_xll.qlCalendarAdvance(calendar,AK2633,"1D")</f>
        <v>46301</v>
      </c>
      <c r="AL2634" s="21">
        <f>_xll.qlInterestRateIndexValueDate(hiborindex,AK2634)</f>
        <v>46303</v>
      </c>
      <c r="AM2634" s="23">
        <f>_xll.qlIndexFixing(hiborindex,AK2634)</f>
        <v>1.2889174398669651E-2</v>
      </c>
    </row>
    <row r="2635" spans="37:39" x14ac:dyDescent="0.25">
      <c r="AK2635" s="21">
        <f>_xll.qlCalendarAdvance(calendar,AK2634,"1D")</f>
        <v>46302</v>
      </c>
      <c r="AL2635" s="21">
        <f>_xll.qlInterestRateIndexValueDate(hiborindex,AK2635)</f>
        <v>46304</v>
      </c>
      <c r="AM2635" s="23">
        <f>_xll.qlIndexFixing(hiborindex,AK2635)</f>
        <v>1.2893700876437644E-2</v>
      </c>
    </row>
    <row r="2636" spans="37:39" x14ac:dyDescent="0.25">
      <c r="AK2636" s="21">
        <f>_xll.qlCalendarAdvance(calendar,AK2635,"1D")</f>
        <v>46303</v>
      </c>
      <c r="AL2636" s="21">
        <f>_xll.qlInterestRateIndexValueDate(hiborindex,AK2636)</f>
        <v>46307</v>
      </c>
      <c r="AM2636" s="23">
        <f>_xll.qlIndexFixing(hiborindex,AK2636)</f>
        <v>1.290728037149003E-2</v>
      </c>
    </row>
    <row r="2637" spans="37:39" x14ac:dyDescent="0.25">
      <c r="AK2637" s="21">
        <f>_xll.qlCalendarAdvance(calendar,AK2636,"1D")</f>
        <v>46304</v>
      </c>
      <c r="AL2637" s="21">
        <f>_xll.qlInterestRateIndexValueDate(hiborindex,AK2637)</f>
        <v>46308</v>
      </c>
      <c r="AM2637" s="23">
        <f>_xll.qlIndexFixing(hiborindex,AK2637)</f>
        <v>1.2911806890423774E-2</v>
      </c>
    </row>
    <row r="2638" spans="37:39" x14ac:dyDescent="0.25">
      <c r="AK2638" s="21">
        <f>_xll.qlCalendarAdvance(calendar,AK2637,"1D")</f>
        <v>46307</v>
      </c>
      <c r="AL2638" s="21">
        <f>_xll.qlInterestRateIndexValueDate(hiborindex,AK2638)</f>
        <v>46309</v>
      </c>
      <c r="AM2638" s="23">
        <f>_xll.qlIndexFixing(hiborindex,AK2638)</f>
        <v>1.2916333419648188E-2</v>
      </c>
    </row>
    <row r="2639" spans="37:39" x14ac:dyDescent="0.25">
      <c r="AK2639" s="21">
        <f>_xll.qlCalendarAdvance(calendar,AK2638,"1D")</f>
        <v>46308</v>
      </c>
      <c r="AL2639" s="21">
        <f>_xll.qlInterestRateIndexValueDate(hiborindex,AK2639)</f>
        <v>46310</v>
      </c>
      <c r="AM2639" s="23">
        <f>_xll.qlIndexFixing(hiborindex,AK2639)</f>
        <v>1.2920859959164149E-2</v>
      </c>
    </row>
    <row r="2640" spans="37:39" x14ac:dyDescent="0.25">
      <c r="AK2640" s="21">
        <f>_xll.qlCalendarAdvance(calendar,AK2639,"1D")</f>
        <v>46309</v>
      </c>
      <c r="AL2640" s="21">
        <f>_xll.qlInterestRateIndexValueDate(hiborindex,AK2640)</f>
        <v>46311</v>
      </c>
      <c r="AM2640" s="23">
        <f>_xll.qlIndexFixing(hiborindex,AK2640)</f>
        <v>1.2925386508971659E-2</v>
      </c>
    </row>
    <row r="2641" spans="37:39" x14ac:dyDescent="0.25">
      <c r="AK2641" s="21">
        <f>_xll.qlCalendarAdvance(calendar,AK2640,"1D")</f>
        <v>46310</v>
      </c>
      <c r="AL2641" s="21">
        <f>_xll.qlInterestRateIndexValueDate(hiborindex,AK2641)</f>
        <v>46314</v>
      </c>
      <c r="AM2641" s="23">
        <f>_xll.qlIndexFixing(hiborindex,AK2641)</f>
        <v>1.2938966220143035E-2</v>
      </c>
    </row>
    <row r="2642" spans="37:39" x14ac:dyDescent="0.25">
      <c r="AK2642" s="21">
        <f>_xll.qlCalendarAdvance(calendar,AK2641,"1D")</f>
        <v>46311</v>
      </c>
      <c r="AL2642" s="21">
        <f>_xll.qlInterestRateIndexValueDate(hiborindex,AK2642)</f>
        <v>46315</v>
      </c>
      <c r="AM2642" s="23">
        <f>_xll.qlIndexFixing(hiborindex,AK2642)</f>
        <v>1.2943492811116297E-2</v>
      </c>
    </row>
    <row r="2643" spans="37:39" x14ac:dyDescent="0.25">
      <c r="AK2643" s="21">
        <f>_xll.qlCalendarAdvance(calendar,AK2642,"1D")</f>
        <v>46314</v>
      </c>
      <c r="AL2643" s="21">
        <f>_xll.qlInterestRateIndexValueDate(hiborindex,AK2643)</f>
        <v>46316</v>
      </c>
      <c r="AM2643" s="23">
        <f>_xll.qlIndexFixing(hiborindex,AK2643)</f>
        <v>1.2948019412381545E-2</v>
      </c>
    </row>
    <row r="2644" spans="37:39" x14ac:dyDescent="0.25">
      <c r="AK2644" s="21">
        <f>_xll.qlCalendarAdvance(calendar,AK2643,"1D")</f>
        <v>46315</v>
      </c>
      <c r="AL2644" s="21">
        <f>_xll.qlInterestRateIndexValueDate(hiborindex,AK2644)</f>
        <v>46317</v>
      </c>
      <c r="AM2644" s="23">
        <f>_xll.qlIndexFixing(hiborindex,AK2644)</f>
        <v>1.2952546023937903E-2</v>
      </c>
    </row>
    <row r="2645" spans="37:39" x14ac:dyDescent="0.25">
      <c r="AK2645" s="21">
        <f>_xll.qlCalendarAdvance(calendar,AK2644,"1D")</f>
        <v>46316</v>
      </c>
      <c r="AL2645" s="21">
        <f>_xll.qlInterestRateIndexValueDate(hiborindex,AK2645)</f>
        <v>46318</v>
      </c>
      <c r="AM2645" s="23">
        <f>_xll.qlIndexFixing(hiborindex,AK2645)</f>
        <v>1.2957072645785807E-2</v>
      </c>
    </row>
    <row r="2646" spans="37:39" x14ac:dyDescent="0.25">
      <c r="AK2646" s="21">
        <f>_xll.qlCalendarAdvance(calendar,AK2645,"1D")</f>
        <v>46317</v>
      </c>
      <c r="AL2646" s="21">
        <f>_xll.qlInterestRateIndexValueDate(hiborindex,AK2646)</f>
        <v>46321</v>
      </c>
      <c r="AM2646" s="23">
        <f>_xll.qlIndexFixing(hiborindex,AK2646)</f>
        <v>1.2970652573079689E-2</v>
      </c>
    </row>
    <row r="2647" spans="37:39" x14ac:dyDescent="0.25">
      <c r="AK2647" s="21">
        <f>_xll.qlCalendarAdvance(calendar,AK2646,"1D")</f>
        <v>46318</v>
      </c>
      <c r="AL2647" s="21">
        <f>_xll.qlInterestRateIndexValueDate(hiborindex,AK2647)</f>
        <v>46322</v>
      </c>
      <c r="AM2647" s="23">
        <f>_xll.qlIndexFixing(hiborindex,AK2647)</f>
        <v>1.2975179236094224E-2</v>
      </c>
    </row>
    <row r="2648" spans="37:39" x14ac:dyDescent="0.25">
      <c r="AK2648" s="21">
        <f>_xll.qlCalendarAdvance(calendar,AK2647,"1D")</f>
        <v>46321</v>
      </c>
      <c r="AL2648" s="21">
        <f>_xll.qlInterestRateIndexValueDate(hiborindex,AK2648)</f>
        <v>46323</v>
      </c>
      <c r="AM2648" s="23">
        <f>_xll.qlIndexFixing(hiborindex,AK2648)</f>
        <v>1.2979705909400747E-2</v>
      </c>
    </row>
    <row r="2649" spans="37:39" x14ac:dyDescent="0.25">
      <c r="AK2649" s="21">
        <f>_xll.qlCalendarAdvance(calendar,AK2648,"1D")</f>
        <v>46322</v>
      </c>
      <c r="AL2649" s="21">
        <f>_xll.qlInterestRateIndexValueDate(hiborindex,AK2649)</f>
        <v>46324</v>
      </c>
      <c r="AM2649" s="23">
        <f>_xll.qlIndexFixing(hiborindex,AK2649)</f>
        <v>1.2984232592998378E-2</v>
      </c>
    </row>
    <row r="2650" spans="37:39" x14ac:dyDescent="0.25">
      <c r="AK2650" s="21">
        <f>_xll.qlCalendarAdvance(calendar,AK2649,"1D")</f>
        <v>46323</v>
      </c>
      <c r="AL2650" s="21">
        <f>_xll.qlInterestRateIndexValueDate(hiborindex,AK2650)</f>
        <v>46325</v>
      </c>
      <c r="AM2650" s="23">
        <f>_xll.qlIndexFixing(hiborindex,AK2650)</f>
        <v>1.2988759286887997E-2</v>
      </c>
    </row>
    <row r="2651" spans="37:39" x14ac:dyDescent="0.25">
      <c r="AK2651" s="21">
        <f>_xll.qlCalendarAdvance(calendar,AK2650,"1D")</f>
        <v>46324</v>
      </c>
      <c r="AL2651" s="21">
        <f>_xll.qlInterestRateIndexValueDate(hiborindex,AK2651)</f>
        <v>46328</v>
      </c>
      <c r="AM2651" s="23">
        <f>_xll.qlIndexFixing(hiborindex,AK2651)</f>
        <v>1.3002339430307895E-2</v>
      </c>
    </row>
    <row r="2652" spans="37:39" x14ac:dyDescent="0.25">
      <c r="AK2652" s="21">
        <f>_xll.qlCalendarAdvance(calendar,AK2651,"1D")</f>
        <v>46325</v>
      </c>
      <c r="AL2652" s="21">
        <f>_xll.qlInterestRateIndexValueDate(hiborindex,AK2652)</f>
        <v>46329</v>
      </c>
      <c r="AM2652" s="23">
        <f>_xll.qlIndexFixing(hiborindex,AK2652)</f>
        <v>1.3004368423976958E-2</v>
      </c>
    </row>
    <row r="2653" spans="37:39" x14ac:dyDescent="0.25">
      <c r="AK2653" s="21">
        <f>_xll.qlCalendarAdvance(calendar,AK2652,"1D")</f>
        <v>46328</v>
      </c>
      <c r="AL2653" s="21">
        <f>_xll.qlInterestRateIndexValueDate(hiborindex,AK2653)</f>
        <v>46330</v>
      </c>
      <c r="AM2653" s="23">
        <f>_xll.qlIndexFixing(hiborindex,AK2653)</f>
        <v>1.300889500116606E-2</v>
      </c>
    </row>
    <row r="2654" spans="37:39" x14ac:dyDescent="0.25">
      <c r="AK2654" s="21">
        <f>_xll.qlCalendarAdvance(calendar,AK2653,"1D")</f>
        <v>46329</v>
      </c>
      <c r="AL2654" s="21">
        <f>_xll.qlInterestRateIndexValueDate(hiborindex,AK2654)</f>
        <v>46331</v>
      </c>
      <c r="AM2654" s="23">
        <f>_xll.qlIndexFixing(hiborindex,AK2654)</f>
        <v>1.3013421588590066E-2</v>
      </c>
    </row>
    <row r="2655" spans="37:39" x14ac:dyDescent="0.25">
      <c r="AK2655" s="21">
        <f>_xll.qlCalendarAdvance(calendar,AK2654,"1D")</f>
        <v>46330</v>
      </c>
      <c r="AL2655" s="21">
        <f>_xll.qlInterestRateIndexValueDate(hiborindex,AK2655)</f>
        <v>46332</v>
      </c>
      <c r="AM2655" s="23">
        <f>_xll.qlIndexFixing(hiborindex,AK2655)</f>
        <v>1.3017948186248981E-2</v>
      </c>
    </row>
    <row r="2656" spans="37:39" x14ac:dyDescent="0.25">
      <c r="AK2656" s="21">
        <f>_xll.qlCalendarAdvance(calendar,AK2655,"1D")</f>
        <v>46331</v>
      </c>
      <c r="AL2656" s="21">
        <f>_xll.qlInterestRateIndexValueDate(hiborindex,AK2656)</f>
        <v>46335</v>
      </c>
      <c r="AM2656" s="23">
        <f>_xll.qlIndexFixing(hiborindex,AK2656)</f>
        <v>1.3034026791836E-2</v>
      </c>
    </row>
    <row r="2657" spans="37:39" x14ac:dyDescent="0.25">
      <c r="AK2657" s="21">
        <f>_xll.qlCalendarAdvance(calendar,AK2656,"1D")</f>
        <v>46332</v>
      </c>
      <c r="AL2657" s="21">
        <f>_xll.qlInterestRateIndexValueDate(hiborindex,AK2657)</f>
        <v>46336</v>
      </c>
      <c r="AM2657" s="23">
        <f>_xll.qlIndexFixing(hiborindex,AK2657)</f>
        <v>1.3036054679235918E-2</v>
      </c>
    </row>
    <row r="2658" spans="37:39" x14ac:dyDescent="0.25">
      <c r="AK2658" s="21">
        <f>_xll.qlCalendarAdvance(calendar,AK2657,"1D")</f>
        <v>46335</v>
      </c>
      <c r="AL2658" s="21">
        <f>_xll.qlInterestRateIndexValueDate(hiborindex,AK2658)</f>
        <v>46337</v>
      </c>
      <c r="AM2658" s="23">
        <f>_xll.qlIndexFixing(hiborindex,AK2658)</f>
        <v>1.3040581328070251E-2</v>
      </c>
    </row>
    <row r="2659" spans="37:39" x14ac:dyDescent="0.25">
      <c r="AK2659" s="21">
        <f>_xll.qlCalendarAdvance(calendar,AK2658,"1D")</f>
        <v>46336</v>
      </c>
      <c r="AL2659" s="21">
        <f>_xll.qlInterestRateIndexValueDate(hiborindex,AK2659)</f>
        <v>46338</v>
      </c>
      <c r="AM2659" s="23">
        <f>_xll.qlIndexFixing(hiborindex,AK2659)</f>
        <v>1.3045107987139488E-2</v>
      </c>
    </row>
    <row r="2660" spans="37:39" x14ac:dyDescent="0.25">
      <c r="AK2660" s="21">
        <f>_xll.qlCalendarAdvance(calendar,AK2659,"1D")</f>
        <v>46337</v>
      </c>
      <c r="AL2660" s="21">
        <f>_xll.qlInterestRateIndexValueDate(hiborindex,AK2660)</f>
        <v>46339</v>
      </c>
      <c r="AM2660" s="23">
        <f>_xll.qlIndexFixing(hiborindex,AK2660)</f>
        <v>1.3049634656444077E-2</v>
      </c>
    </row>
    <row r="2661" spans="37:39" x14ac:dyDescent="0.25">
      <c r="AK2661" s="21">
        <f>_xll.qlCalendarAdvance(calendar,AK2660,"1D")</f>
        <v>46338</v>
      </c>
      <c r="AL2661" s="21">
        <f>_xll.qlInterestRateIndexValueDate(hiborindex,AK2661)</f>
        <v>46342</v>
      </c>
      <c r="AM2661" s="23">
        <f>_xll.qlIndexFixing(hiborindex,AK2661)</f>
        <v>1.306571465767147E-2</v>
      </c>
    </row>
    <row r="2662" spans="37:39" x14ac:dyDescent="0.25">
      <c r="AK2662" s="21">
        <f>_xll.qlCalendarAdvance(calendar,AK2661,"1D")</f>
        <v>46339</v>
      </c>
      <c r="AL2662" s="21">
        <f>_xll.qlInterestRateIndexValueDate(hiborindex,AK2662)</f>
        <v>46343</v>
      </c>
      <c r="AM2662" s="23">
        <f>_xll.qlIndexFixing(hiborindex,AK2662)</f>
        <v>1.3067741436014146E-2</v>
      </c>
    </row>
    <row r="2663" spans="37:39" x14ac:dyDescent="0.25">
      <c r="AK2663" s="21">
        <f>_xll.qlCalendarAdvance(calendar,AK2662,"1D")</f>
        <v>46342</v>
      </c>
      <c r="AL2663" s="21">
        <f>_xll.qlInterestRateIndexValueDate(hiborindex,AK2663)</f>
        <v>46344</v>
      </c>
      <c r="AM2663" s="23">
        <f>_xll.qlIndexFixing(hiborindex,AK2663)</f>
        <v>1.3072268156494591E-2</v>
      </c>
    </row>
    <row r="2664" spans="37:39" x14ac:dyDescent="0.25">
      <c r="AK2664" s="21">
        <f>_xll.qlCalendarAdvance(calendar,AK2663,"1D")</f>
        <v>46343</v>
      </c>
      <c r="AL2664" s="21">
        <f>_xll.qlInterestRateIndexValueDate(hiborindex,AK2664)</f>
        <v>46345</v>
      </c>
      <c r="AM2664" s="23">
        <f>_xll.qlIndexFixing(hiborindex,AK2664)</f>
        <v>1.3076794887210388E-2</v>
      </c>
    </row>
    <row r="2665" spans="37:39" x14ac:dyDescent="0.25">
      <c r="AK2665" s="21">
        <f>_xll.qlCalendarAdvance(calendar,AK2664,"1D")</f>
        <v>46344</v>
      </c>
      <c r="AL2665" s="21">
        <f>_xll.qlInterestRateIndexValueDate(hiborindex,AK2665)</f>
        <v>46346</v>
      </c>
      <c r="AM2665" s="23">
        <f>_xll.qlIndexFixing(hiborindex,AK2665)</f>
        <v>1.3081321628161531E-2</v>
      </c>
    </row>
    <row r="2666" spans="37:39" x14ac:dyDescent="0.25">
      <c r="AK2666" s="21">
        <f>_xll.qlCalendarAdvance(calendar,AK2665,"1D")</f>
        <v>46345</v>
      </c>
      <c r="AL2666" s="21">
        <f>_xll.qlInterestRateIndexValueDate(hiborindex,AK2666)</f>
        <v>46349</v>
      </c>
      <c r="AM2666" s="23">
        <f>_xll.qlIndexFixing(hiborindex,AK2666)</f>
        <v>1.3097403027822651E-2</v>
      </c>
    </row>
    <row r="2667" spans="37:39" x14ac:dyDescent="0.25">
      <c r="AK2667" s="21">
        <f>_xll.qlCalendarAdvance(calendar,AK2666,"1D")</f>
        <v>46346</v>
      </c>
      <c r="AL2667" s="21">
        <f>_xll.qlInterestRateIndexValueDate(hiborindex,AK2667)</f>
        <v>46350</v>
      </c>
      <c r="AM2667" s="23">
        <f>_xll.qlIndexFixing(hiborindex,AK2667)</f>
        <v>1.3099428694319149E-2</v>
      </c>
    </row>
    <row r="2668" spans="37:39" x14ac:dyDescent="0.25">
      <c r="AK2668" s="21">
        <f>_xll.qlCalendarAdvance(calendar,AK2667,"1D")</f>
        <v>46349</v>
      </c>
      <c r="AL2668" s="21">
        <f>_xll.qlInterestRateIndexValueDate(hiborindex,AK2668)</f>
        <v>46351</v>
      </c>
      <c r="AM2668" s="23">
        <f>_xll.qlIndexFixing(hiborindex,AK2668)</f>
        <v>1.3103955486447034E-2</v>
      </c>
    </row>
    <row r="2669" spans="37:39" x14ac:dyDescent="0.25">
      <c r="AK2669" s="21">
        <f>_xll.qlCalendarAdvance(calendar,AK2668,"1D")</f>
        <v>46350</v>
      </c>
      <c r="AL2669" s="21">
        <f>_xll.qlInterestRateIndexValueDate(hiborindex,AK2669)</f>
        <v>46352</v>
      </c>
      <c r="AM2669" s="23">
        <f>_xll.qlIndexFixing(hiborindex,AK2669)</f>
        <v>1.3108482288810269E-2</v>
      </c>
    </row>
    <row r="2670" spans="37:39" x14ac:dyDescent="0.25">
      <c r="AK2670" s="21">
        <f>_xll.qlCalendarAdvance(calendar,AK2669,"1D")</f>
        <v>46351</v>
      </c>
      <c r="AL2670" s="21">
        <f>_xll.qlInterestRateIndexValueDate(hiborindex,AK2670)</f>
        <v>46353</v>
      </c>
      <c r="AM2670" s="23">
        <f>_xll.qlIndexFixing(hiborindex,AK2670)</f>
        <v>1.3113009101409735E-2</v>
      </c>
    </row>
    <row r="2671" spans="37:39" x14ac:dyDescent="0.25">
      <c r="AK2671" s="21">
        <f>_xll.qlCalendarAdvance(calendar,AK2670,"1D")</f>
        <v>46352</v>
      </c>
      <c r="AL2671" s="21">
        <f>_xll.qlInterestRateIndexValueDate(hiborindex,AK2671)</f>
        <v>46356</v>
      </c>
      <c r="AM2671" s="23">
        <f>_xll.qlIndexFixing(hiborindex,AK2671)</f>
        <v>1.3129091902297448E-2</v>
      </c>
    </row>
    <row r="2672" spans="37:39" x14ac:dyDescent="0.25">
      <c r="AK2672" s="21">
        <f>_xll.qlCalendarAdvance(calendar,AK2671,"1D")</f>
        <v>46353</v>
      </c>
      <c r="AL2672" s="21">
        <f>_xll.qlInterestRateIndexValueDate(hiborindex,AK2672)</f>
        <v>46357</v>
      </c>
      <c r="AM2672" s="23">
        <f>_xll.qlIndexFixing(hiborindex,AK2672)</f>
        <v>1.3133618925535483E-2</v>
      </c>
    </row>
    <row r="2673" spans="37:39" x14ac:dyDescent="0.25">
      <c r="AK2673" s="21">
        <f>_xll.qlCalendarAdvance(calendar,AK2672,"1D")</f>
        <v>46356</v>
      </c>
      <c r="AL2673" s="21">
        <f>_xll.qlInterestRateIndexValueDate(hiborindex,AK2673)</f>
        <v>46358</v>
      </c>
      <c r="AM2673" s="23">
        <f>_xll.qlIndexFixing(hiborindex,AK2673)</f>
        <v>1.3138145959065504E-2</v>
      </c>
    </row>
    <row r="2674" spans="37:39" x14ac:dyDescent="0.25">
      <c r="AK2674" s="21">
        <f>_xll.qlCalendarAdvance(calendar,AK2673,"1D")</f>
        <v>46357</v>
      </c>
      <c r="AL2674" s="21">
        <f>_xll.qlInterestRateIndexValueDate(hiborindex,AK2674)</f>
        <v>46359</v>
      </c>
      <c r="AM2674" s="23">
        <f>_xll.qlIndexFixing(hiborindex,AK2674)</f>
        <v>1.3142673002887953E-2</v>
      </c>
    </row>
    <row r="2675" spans="37:39" x14ac:dyDescent="0.25">
      <c r="AK2675" s="21">
        <f>_xll.qlCalendarAdvance(calendar,AK2674,"1D")</f>
        <v>46358</v>
      </c>
      <c r="AL2675" s="21">
        <f>_xll.qlInterestRateIndexValueDate(hiborindex,AK2675)</f>
        <v>46360</v>
      </c>
      <c r="AM2675" s="23">
        <f>_xll.qlIndexFixing(hiborindex,AK2675)</f>
        <v>1.3147200057003707E-2</v>
      </c>
    </row>
    <row r="2676" spans="37:39" x14ac:dyDescent="0.25">
      <c r="AK2676" s="21">
        <f>_xll.qlCalendarAdvance(calendar,AK2675,"1D")</f>
        <v>46359</v>
      </c>
      <c r="AL2676" s="21">
        <f>_xll.qlInterestRateIndexValueDate(hiborindex,AK2676)</f>
        <v>46363</v>
      </c>
      <c r="AM2676" s="23">
        <f>_xll.qlIndexFixing(hiborindex,AK2676)</f>
        <v>1.3160781281104645E-2</v>
      </c>
    </row>
    <row r="2677" spans="37:39" x14ac:dyDescent="0.25">
      <c r="AK2677" s="21">
        <f>_xll.qlCalendarAdvance(calendar,AK2676,"1D")</f>
        <v>46360</v>
      </c>
      <c r="AL2677" s="21">
        <f>_xll.qlInterestRateIndexValueDate(hiborindex,AK2677)</f>
        <v>46364</v>
      </c>
      <c r="AM2677" s="23">
        <f>_xll.qlIndexFixing(hiborindex,AK2677)</f>
        <v>1.3165308376390102E-2</v>
      </c>
    </row>
    <row r="2678" spans="37:39" x14ac:dyDescent="0.25">
      <c r="AK2678" s="21">
        <f>_xll.qlCalendarAdvance(calendar,AK2677,"1D")</f>
        <v>46363</v>
      </c>
      <c r="AL2678" s="21">
        <f>_xll.qlInterestRateIndexValueDate(hiborindex,AK2678)</f>
        <v>46365</v>
      </c>
      <c r="AM2678" s="23">
        <f>_xll.qlIndexFixing(hiborindex,AK2678)</f>
        <v>1.3169835481968427E-2</v>
      </c>
    </row>
    <row r="2679" spans="37:39" x14ac:dyDescent="0.25">
      <c r="AK2679" s="21">
        <f>_xll.qlCalendarAdvance(calendar,AK2678,"1D")</f>
        <v>46364</v>
      </c>
      <c r="AL2679" s="21">
        <f>_xll.qlInterestRateIndexValueDate(hiborindex,AK2679)</f>
        <v>46366</v>
      </c>
      <c r="AM2679" s="23">
        <f>_xll.qlIndexFixing(hiborindex,AK2679)</f>
        <v>1.3174362597839615E-2</v>
      </c>
    </row>
    <row r="2680" spans="37:39" x14ac:dyDescent="0.25">
      <c r="AK2680" s="21">
        <f>_xll.qlCalendarAdvance(calendar,AK2679,"1D")</f>
        <v>46365</v>
      </c>
      <c r="AL2680" s="21">
        <f>_xll.qlInterestRateIndexValueDate(hiborindex,AK2680)</f>
        <v>46367</v>
      </c>
      <c r="AM2680" s="23">
        <f>_xll.qlIndexFixing(hiborindex,AK2680)</f>
        <v>1.317888972400323E-2</v>
      </c>
    </row>
    <row r="2681" spans="37:39" x14ac:dyDescent="0.25">
      <c r="AK2681" s="21">
        <f>_xll.qlCalendarAdvance(calendar,AK2680,"1D")</f>
        <v>46366</v>
      </c>
      <c r="AL2681" s="21">
        <f>_xll.qlInterestRateIndexValueDate(hiborindex,AK2681)</f>
        <v>46370</v>
      </c>
      <c r="AM2681" s="23">
        <f>_xll.qlIndexFixing(hiborindex,AK2681)</f>
        <v>1.3192471164250829E-2</v>
      </c>
    </row>
    <row r="2682" spans="37:39" x14ac:dyDescent="0.25">
      <c r="AK2682" s="21">
        <f>_xll.qlCalendarAdvance(calendar,AK2681,"1D")</f>
        <v>46367</v>
      </c>
      <c r="AL2682" s="21">
        <f>_xll.qlInterestRateIndexValueDate(hiborindex,AK2682)</f>
        <v>46371</v>
      </c>
      <c r="AM2682" s="23">
        <f>_xll.qlIndexFixing(hiborindex,AK2682)</f>
        <v>1.3196998331585906E-2</v>
      </c>
    </row>
    <row r="2683" spans="37:39" x14ac:dyDescent="0.25">
      <c r="AK2683" s="21">
        <f>_xll.qlCalendarAdvance(calendar,AK2682,"1D")</f>
        <v>46370</v>
      </c>
      <c r="AL2683" s="21">
        <f>_xll.qlInterestRateIndexValueDate(hiborindex,AK2683)</f>
        <v>46372</v>
      </c>
      <c r="AM2683" s="23">
        <f>_xll.qlIndexFixing(hiborindex,AK2683)</f>
        <v>1.3201525509213849E-2</v>
      </c>
    </row>
    <row r="2684" spans="37:39" x14ac:dyDescent="0.25">
      <c r="AK2684" s="21">
        <f>_xll.qlCalendarAdvance(calendar,AK2683,"1D")</f>
        <v>46371</v>
      </c>
      <c r="AL2684" s="21">
        <f>_xll.qlInterestRateIndexValueDate(hiborindex,AK2684)</f>
        <v>46373</v>
      </c>
      <c r="AM2684" s="23">
        <f>_xll.qlIndexFixing(hiborindex,AK2684)</f>
        <v>1.3206052697134218E-2</v>
      </c>
    </row>
    <row r="2685" spans="37:39" x14ac:dyDescent="0.25">
      <c r="AK2685" s="21">
        <f>_xll.qlCalendarAdvance(calendar,AK2684,"1D")</f>
        <v>46372</v>
      </c>
      <c r="AL2685" s="21">
        <f>_xll.qlInterestRateIndexValueDate(hiborindex,AK2685)</f>
        <v>46374</v>
      </c>
      <c r="AM2685" s="23">
        <f>_xll.qlIndexFixing(hiborindex,AK2685)</f>
        <v>1.3210579895347451E-2</v>
      </c>
    </row>
    <row r="2686" spans="37:39" x14ac:dyDescent="0.25">
      <c r="AK2686" s="21">
        <f>_xll.qlCalendarAdvance(calendar,AK2685,"1D")</f>
        <v>46373</v>
      </c>
      <c r="AL2686" s="21">
        <f>_xll.qlInterestRateIndexValueDate(hiborindex,AK2686)</f>
        <v>46377</v>
      </c>
      <c r="AM2686" s="23">
        <f>_xll.qlIndexFixing(hiborindex,AK2686)</f>
        <v>1.3224161551745665E-2</v>
      </c>
    </row>
    <row r="2687" spans="37:39" x14ac:dyDescent="0.25">
      <c r="AK2687" s="21">
        <f>_xll.qlCalendarAdvance(calendar,AK2686,"1D")</f>
        <v>46374</v>
      </c>
      <c r="AL2687" s="21">
        <f>_xll.qlInterestRateIndexValueDate(hiborindex,AK2687)</f>
        <v>46378</v>
      </c>
      <c r="AM2687" s="23">
        <f>_xll.qlIndexFixing(hiborindex,AK2687)</f>
        <v>1.3228688791130799E-2</v>
      </c>
    </row>
    <row r="2688" spans="37:39" x14ac:dyDescent="0.25">
      <c r="AK2688" s="21">
        <f>_xll.qlCalendarAdvance(calendar,AK2687,"1D")</f>
        <v>46377</v>
      </c>
      <c r="AL2688" s="21">
        <f>_xll.qlInterestRateIndexValueDate(hiborindex,AK2688)</f>
        <v>46379</v>
      </c>
      <c r="AM2688" s="23">
        <f>_xll.qlIndexFixing(hiborindex,AK2688)</f>
        <v>1.3233216040809239E-2</v>
      </c>
    </row>
    <row r="2689" spans="37:39" x14ac:dyDescent="0.25">
      <c r="AK2689" s="21">
        <f>_xll.qlCalendarAdvance(calendar,AK2688,"1D")</f>
        <v>46378</v>
      </c>
      <c r="AL2689" s="21">
        <f>_xll.qlInterestRateIndexValueDate(hiborindex,AK2689)</f>
        <v>46380</v>
      </c>
      <c r="AM2689" s="23">
        <f>_xll.qlIndexFixing(hiborindex,AK2689)</f>
        <v>1.3237743300780105E-2</v>
      </c>
    </row>
    <row r="2690" spans="37:39" x14ac:dyDescent="0.25">
      <c r="AK2690" s="21">
        <f>_xll.qlCalendarAdvance(calendar,AK2689,"1D")</f>
        <v>46379</v>
      </c>
      <c r="AL2690" s="21">
        <f>_xll.qlInterestRateIndexValueDate(hiborindex,AK2690)</f>
        <v>46384</v>
      </c>
      <c r="AM2690" s="23">
        <f>_xll.qlIndexFixing(hiborindex,AK2690)</f>
        <v>1.3255852443595739E-2</v>
      </c>
    </row>
    <row r="2691" spans="37:39" x14ac:dyDescent="0.25">
      <c r="AK2691" s="21">
        <f>_xll.qlCalendarAdvance(calendar,AK2690,"1D")</f>
        <v>46380</v>
      </c>
      <c r="AL2691" s="21">
        <f>_xll.qlInterestRateIndexValueDate(hiborindex,AK2691)</f>
        <v>46385</v>
      </c>
      <c r="AM2691" s="23">
        <f>_xll.qlIndexFixing(hiborindex,AK2691)</f>
        <v>1.3260379755032249E-2</v>
      </c>
    </row>
    <row r="2692" spans="37:39" x14ac:dyDescent="0.25">
      <c r="AK2692" s="21">
        <f>_xll.qlCalendarAdvance(calendar,AK2691,"1D")</f>
        <v>46384</v>
      </c>
      <c r="AL2692" s="21">
        <f>_xll.qlInterestRateIndexValueDate(hiborindex,AK2692)</f>
        <v>46386</v>
      </c>
      <c r="AM2692" s="23">
        <f>_xll.qlIndexFixing(hiborindex,AK2692)</f>
        <v>1.3264907076762504E-2</v>
      </c>
    </row>
    <row r="2693" spans="37:39" x14ac:dyDescent="0.25">
      <c r="AK2693" s="21">
        <f>_xll.qlCalendarAdvance(calendar,AK2692,"1D")</f>
        <v>46385</v>
      </c>
      <c r="AL2693" s="21">
        <f>_xll.qlInterestRateIndexValueDate(hiborindex,AK2693)</f>
        <v>46387</v>
      </c>
      <c r="AM2693" s="23">
        <f>_xll.qlIndexFixing(hiborindex,AK2693)</f>
        <v>1.3266926820031505E-2</v>
      </c>
    </row>
    <row r="2694" spans="37:39" x14ac:dyDescent="0.25">
      <c r="AK2694" s="21">
        <f>_xll.qlCalendarAdvance(calendar,AK2693,"1D")</f>
        <v>46386</v>
      </c>
      <c r="AL2694" s="21">
        <f>_xll.qlInterestRateIndexValueDate(hiborindex,AK2694)</f>
        <v>46391</v>
      </c>
      <c r="AM2694" s="23">
        <f>_xll.qlIndexFixing(hiborindex,AK2694)</f>
        <v>1.3259023127719784E-2</v>
      </c>
    </row>
    <row r="2695" spans="37:39" x14ac:dyDescent="0.25">
      <c r="AK2695" s="21">
        <f>_xll.qlCalendarAdvance(calendar,AK2694,"1D")</f>
        <v>46387</v>
      </c>
      <c r="AL2695" s="21">
        <f>_xll.qlInterestRateIndexValueDate(hiborindex,AK2695)</f>
        <v>46392</v>
      </c>
      <c r="AM2695" s="23">
        <f>_xll.qlIndexFixing(hiborindex,AK2695)</f>
        <v>1.3260885514112777E-2</v>
      </c>
    </row>
    <row r="2696" spans="37:39" x14ac:dyDescent="0.25">
      <c r="AK2696" s="21">
        <f>_xll.qlCalendarAdvance(calendar,AK2695,"1D")</f>
        <v>46391</v>
      </c>
      <c r="AL2696" s="21">
        <f>_xll.qlInterestRateIndexValueDate(hiborindex,AK2696)</f>
        <v>46393</v>
      </c>
      <c r="AM2696" s="23">
        <f>_xll.qlIndexFixing(hiborindex,AK2696)</f>
        <v>1.3259668703314798E-2</v>
      </c>
    </row>
    <row r="2697" spans="37:39" x14ac:dyDescent="0.25">
      <c r="AK2697" s="21">
        <f>_xll.qlCalendarAdvance(calendar,AK2696,"1D")</f>
        <v>46392</v>
      </c>
      <c r="AL2697" s="21">
        <f>_xll.qlInterestRateIndexValueDate(hiborindex,AK2697)</f>
        <v>46394</v>
      </c>
      <c r="AM2697" s="23">
        <f>_xll.qlIndexFixing(hiborindex,AK2697)</f>
        <v>1.3258449042658129E-2</v>
      </c>
    </row>
    <row r="2698" spans="37:39" x14ac:dyDescent="0.25">
      <c r="AK2698" s="21">
        <f>_xll.qlCalendarAdvance(calendar,AK2697,"1D")</f>
        <v>46393</v>
      </c>
      <c r="AL2698" s="21">
        <f>_xll.qlInterestRateIndexValueDate(hiborindex,AK2698)</f>
        <v>46395</v>
      </c>
      <c r="AM2698" s="23">
        <f>_xll.qlIndexFixing(hiborindex,AK2698)</f>
        <v>1.3257226532147625E-2</v>
      </c>
    </row>
    <row r="2699" spans="37:39" x14ac:dyDescent="0.25">
      <c r="AK2699" s="21">
        <f>_xll.qlCalendarAdvance(calendar,AK2698,"1D")</f>
        <v>46394</v>
      </c>
      <c r="AL2699" s="21">
        <f>_xll.qlInterestRateIndexValueDate(hiborindex,AK2699)</f>
        <v>46398</v>
      </c>
      <c r="AM2699" s="23">
        <f>_xll.qlIndexFixing(hiborindex,AK2699)</f>
        <v>1.3250666557061475E-2</v>
      </c>
    </row>
    <row r="2700" spans="37:39" x14ac:dyDescent="0.25">
      <c r="AK2700" s="21">
        <f>_xll.qlCalendarAdvance(calendar,AK2699,"1D")</f>
        <v>46395</v>
      </c>
      <c r="AL2700" s="21">
        <f>_xll.qlInterestRateIndexValueDate(hiborindex,AK2700)</f>
        <v>46399</v>
      </c>
      <c r="AM2700" s="23">
        <f>_xll.qlIndexFixing(hiborindex,AK2700)</f>
        <v>1.325230799167062E-2</v>
      </c>
    </row>
    <row r="2701" spans="37:39" x14ac:dyDescent="0.25">
      <c r="AK2701" s="21">
        <f>_xll.qlCalendarAdvance(calendar,AK2700,"1D")</f>
        <v>46398</v>
      </c>
      <c r="AL2701" s="21">
        <f>_xll.qlInterestRateIndexValueDate(hiborindex,AK2701)</f>
        <v>46400</v>
      </c>
      <c r="AM2701" s="23">
        <f>_xll.qlIndexFixing(hiborindex,AK2701)</f>
        <v>1.3251071231969119E-2</v>
      </c>
    </row>
    <row r="2702" spans="37:39" x14ac:dyDescent="0.25">
      <c r="AK2702" s="21">
        <f>_xll.qlCalendarAdvance(calendar,AK2701,"1D")</f>
        <v>46399</v>
      </c>
      <c r="AL2702" s="21">
        <f>_xll.qlInterestRateIndexValueDate(hiborindex,AK2702)</f>
        <v>46401</v>
      </c>
      <c r="AM2702" s="23">
        <f>_xll.qlIndexFixing(hiborindex,AK2702)</f>
        <v>1.3249831622444698E-2</v>
      </c>
    </row>
    <row r="2703" spans="37:39" x14ac:dyDescent="0.25">
      <c r="AK2703" s="21">
        <f>_xll.qlCalendarAdvance(calendar,AK2702,"1D")</f>
        <v>46400</v>
      </c>
      <c r="AL2703" s="21">
        <f>_xll.qlInterestRateIndexValueDate(hiborindex,AK2703)</f>
        <v>46402</v>
      </c>
      <c r="AM2703" s="23">
        <f>_xll.qlIndexFixing(hiborindex,AK2703)</f>
        <v>1.3248589163103541E-2</v>
      </c>
    </row>
    <row r="2704" spans="37:39" x14ac:dyDescent="0.25">
      <c r="AK2704" s="21">
        <f>_xll.qlCalendarAdvance(calendar,AK2703,"1D")</f>
        <v>46401</v>
      </c>
      <c r="AL2704" s="21">
        <f>_xll.qlInterestRateIndexValueDate(hiborindex,AK2704)</f>
        <v>46405</v>
      </c>
      <c r="AM2704" s="23">
        <f>_xll.qlIndexFixing(hiborindex,AK2704)</f>
        <v>1.3242171105657142E-2</v>
      </c>
    </row>
    <row r="2705" spans="37:39" x14ac:dyDescent="0.25">
      <c r="AK2705" s="21">
        <f>_xll.qlCalendarAdvance(calendar,AK2704,"1D")</f>
        <v>46402</v>
      </c>
      <c r="AL2705" s="21">
        <f>_xll.qlInterestRateIndexValueDate(hiborindex,AK2705)</f>
        <v>46406</v>
      </c>
      <c r="AM2705" s="23">
        <f>_xll.qlIndexFixing(hiborindex,AK2705)</f>
        <v>1.3243590827673572E-2</v>
      </c>
    </row>
    <row r="2706" spans="37:39" x14ac:dyDescent="0.25">
      <c r="AK2706" s="21">
        <f>_xll.qlCalendarAdvance(calendar,AK2705,"1D")</f>
        <v>46405</v>
      </c>
      <c r="AL2706" s="21">
        <f>_xll.qlInterestRateIndexValueDate(hiborindex,AK2706)</f>
        <v>46407</v>
      </c>
      <c r="AM2706" s="23">
        <f>_xll.qlIndexFixing(hiborindex,AK2706)</f>
        <v>1.3242334119326462E-2</v>
      </c>
    </row>
    <row r="2707" spans="37:39" x14ac:dyDescent="0.25">
      <c r="AK2707" s="21">
        <f>_xll.qlCalendarAdvance(calendar,AK2706,"1D")</f>
        <v>46406</v>
      </c>
      <c r="AL2707" s="21">
        <f>_xll.qlInterestRateIndexValueDate(hiborindex,AK2707)</f>
        <v>46408</v>
      </c>
      <c r="AM2707" s="23">
        <f>_xll.qlIndexFixing(hiborindex,AK2707)</f>
        <v>1.3241074561194412E-2</v>
      </c>
    </row>
    <row r="2708" spans="37:39" x14ac:dyDescent="0.25">
      <c r="AK2708" s="21">
        <f>_xll.qlCalendarAdvance(calendar,AK2707,"1D")</f>
        <v>46407</v>
      </c>
      <c r="AL2708" s="21">
        <f>_xll.qlInterestRateIndexValueDate(hiborindex,AK2708)</f>
        <v>46409</v>
      </c>
      <c r="AM2708" s="23">
        <f>_xll.qlIndexFixing(hiborindex,AK2708)</f>
        <v>1.3239812153282285E-2</v>
      </c>
    </row>
    <row r="2709" spans="37:39" x14ac:dyDescent="0.25">
      <c r="AK2709" s="21">
        <f>_xll.qlCalendarAdvance(calendar,AK2708,"1D")</f>
        <v>46408</v>
      </c>
      <c r="AL2709" s="21">
        <f>_xll.qlInterestRateIndexValueDate(hiborindex,AK2709)</f>
        <v>46412</v>
      </c>
      <c r="AM2709" s="23">
        <f>_xll.qlIndexFixing(hiborindex,AK2709)</f>
        <v>1.3233536775283822E-2</v>
      </c>
    </row>
    <row r="2710" spans="37:39" x14ac:dyDescent="0.25">
      <c r="AK2710" s="21">
        <f>_xll.qlCalendarAdvance(calendar,AK2709,"1D")</f>
        <v>46409</v>
      </c>
      <c r="AL2710" s="21">
        <f>_xll.qlInterestRateIndexValueDate(hiborindex,AK2710)</f>
        <v>46413</v>
      </c>
      <c r="AM2710" s="23">
        <f>_xll.qlIndexFixing(hiborindex,AK2710)</f>
        <v>1.3234734023945583E-2</v>
      </c>
    </row>
    <row r="2711" spans="37:39" x14ac:dyDescent="0.25">
      <c r="AK2711" s="21">
        <f>_xll.qlCalendarAdvance(calendar,AK2710,"1D")</f>
        <v>46412</v>
      </c>
      <c r="AL2711" s="21">
        <f>_xll.qlInterestRateIndexValueDate(hiborindex,AK2711)</f>
        <v>46414</v>
      </c>
      <c r="AM2711" s="23">
        <f>_xll.qlIndexFixing(hiborindex,AK2711)</f>
        <v>1.3233457367216522E-2</v>
      </c>
    </row>
    <row r="2712" spans="37:39" x14ac:dyDescent="0.25">
      <c r="AK2712" s="21">
        <f>_xll.qlCalendarAdvance(calendar,AK2711,"1D")</f>
        <v>46413</v>
      </c>
      <c r="AL2712" s="21">
        <f>_xll.qlInterestRateIndexValueDate(hiborindex,AK2712)</f>
        <v>46415</v>
      </c>
      <c r="AM2712" s="23">
        <f>_xll.qlIndexFixing(hiborindex,AK2712)</f>
        <v>1.3232177860739618E-2</v>
      </c>
    </row>
    <row r="2713" spans="37:39" x14ac:dyDescent="0.25">
      <c r="AK2713" s="21">
        <f>_xll.qlCalendarAdvance(calendar,AK2712,"1D")</f>
        <v>46414</v>
      </c>
      <c r="AL2713" s="21">
        <f>_xll.qlInterestRateIndexValueDate(hiborindex,AK2713)</f>
        <v>46416</v>
      </c>
      <c r="AM2713" s="23">
        <f>_xll.qlIndexFixing(hiborindex,AK2713)</f>
        <v>1.322854051908473E-2</v>
      </c>
    </row>
    <row r="2714" spans="37:39" x14ac:dyDescent="0.25">
      <c r="AK2714" s="21">
        <f>_xll.qlCalendarAdvance(calendar,AK2713,"1D")</f>
        <v>46415</v>
      </c>
      <c r="AL2714" s="21">
        <f>_xll.qlInterestRateIndexValueDate(hiborindex,AK2714)</f>
        <v>46419</v>
      </c>
      <c r="AM2714" s="23">
        <f>_xll.qlIndexFixing(hiborindex,AK2714)</f>
        <v>1.3224763567748427E-2</v>
      </c>
    </row>
    <row r="2715" spans="37:39" x14ac:dyDescent="0.25">
      <c r="AK2715" s="21">
        <f>_xll.qlCalendarAdvance(calendar,AK2714,"1D")</f>
        <v>46416</v>
      </c>
      <c r="AL2715" s="21">
        <f>_xll.qlInterestRateIndexValueDate(hiborindex,AK2715)</f>
        <v>46420</v>
      </c>
      <c r="AM2715" s="23">
        <f>_xll.qlIndexFixing(hiborindex,AK2715)</f>
        <v>1.3225737582340202E-2</v>
      </c>
    </row>
    <row r="2716" spans="37:39" x14ac:dyDescent="0.25">
      <c r="AK2716" s="21">
        <f>_xll.qlCalendarAdvance(calendar,AK2715,"1D")</f>
        <v>46419</v>
      </c>
      <c r="AL2716" s="21">
        <f>_xll.qlInterestRateIndexValueDate(hiborindex,AK2716)</f>
        <v>46421</v>
      </c>
      <c r="AM2716" s="23">
        <f>_xll.qlIndexFixing(hiborindex,AK2716)</f>
        <v>1.3224440977495495E-2</v>
      </c>
    </row>
    <row r="2717" spans="37:39" x14ac:dyDescent="0.25">
      <c r="AK2717" s="21">
        <f>_xll.qlCalendarAdvance(calendar,AK2716,"1D")</f>
        <v>46420</v>
      </c>
      <c r="AL2717" s="21">
        <f>_xll.qlInterestRateIndexValueDate(hiborindex,AK2717)</f>
        <v>46422</v>
      </c>
      <c r="AM2717" s="23">
        <f>_xll.qlIndexFixing(hiborindex,AK2717)</f>
        <v>1.322314152294181E-2</v>
      </c>
    </row>
    <row r="2718" spans="37:39" x14ac:dyDescent="0.25">
      <c r="AK2718" s="21">
        <f>_xll.qlCalendarAdvance(calendar,AK2717,"1D")</f>
        <v>46421</v>
      </c>
      <c r="AL2718" s="21">
        <f>_xll.qlInterestRateIndexValueDate(hiborindex,AK2718)</f>
        <v>46423</v>
      </c>
      <c r="AM2718" s="23">
        <f>_xll.qlIndexFixing(hiborindex,AK2718)</f>
        <v>1.3221839218685773E-2</v>
      </c>
    </row>
    <row r="2719" spans="37:39" x14ac:dyDescent="0.25">
      <c r="AK2719" s="21">
        <f>_xll.qlCalendarAdvance(calendar,AK2718,"1D")</f>
        <v>46422</v>
      </c>
      <c r="AL2719" s="21">
        <f>_xll.qlInterestRateIndexValueDate(hiborindex,AK2719)</f>
        <v>46426</v>
      </c>
      <c r="AM2719" s="23">
        <f>_xll.qlIndexFixing(hiborindex,AK2719)</f>
        <v>1.3215851484886847E-2</v>
      </c>
    </row>
    <row r="2720" spans="37:39" x14ac:dyDescent="0.25">
      <c r="AK2720" s="21">
        <f>_xll.qlCalendarAdvance(calendar,AK2719,"1D")</f>
        <v>46423</v>
      </c>
      <c r="AL2720" s="21">
        <f>_xll.qlInterestRateIndexValueDate(hiborindex,AK2720)</f>
        <v>46427</v>
      </c>
      <c r="AM2720" s="23">
        <f>_xll.qlIndexFixing(hiborindex,AK2720)</f>
        <v>1.3216601504739677E-2</v>
      </c>
    </row>
    <row r="2721" spans="37:39" x14ac:dyDescent="0.25">
      <c r="AK2721" s="21">
        <f>_xll.qlCalendarAdvance(calendar,AK2720,"1D")</f>
        <v>46426</v>
      </c>
      <c r="AL2721" s="21">
        <f>_xll.qlInterestRateIndexValueDate(hiborindex,AK2721)</f>
        <v>46428</v>
      </c>
      <c r="AM2721" s="23">
        <f>_xll.qlIndexFixing(hiborindex,AK2721)</f>
        <v>1.321528495205093E-2</v>
      </c>
    </row>
    <row r="2722" spans="37:39" x14ac:dyDescent="0.25">
      <c r="AK2722" s="21">
        <f>_xll.qlCalendarAdvance(calendar,AK2721,"1D")</f>
        <v>46427</v>
      </c>
      <c r="AL2722" s="21">
        <f>_xll.qlInterestRateIndexValueDate(hiborindex,AK2722)</f>
        <v>46429</v>
      </c>
      <c r="AM2722" s="23">
        <f>_xll.qlIndexFixing(hiborindex,AK2722)</f>
        <v>1.3213965549692954E-2</v>
      </c>
    </row>
    <row r="2723" spans="37:39" x14ac:dyDescent="0.25">
      <c r="AK2723" s="21">
        <f>_xll.qlCalendarAdvance(calendar,AK2722,"1D")</f>
        <v>46428</v>
      </c>
      <c r="AL2723" s="21">
        <f>_xll.qlInterestRateIndexValueDate(hiborindex,AK2723)</f>
        <v>46430</v>
      </c>
      <c r="AM2723" s="23">
        <f>_xll.qlIndexFixing(hiborindex,AK2723)</f>
        <v>1.3212643297671047E-2</v>
      </c>
    </row>
    <row r="2724" spans="37:39" x14ac:dyDescent="0.25">
      <c r="AK2724" s="21">
        <f>_xll.qlCalendarAdvance(calendar,AK2723,"1D")</f>
        <v>46429</v>
      </c>
      <c r="AL2724" s="21">
        <f>_xll.qlInterestRateIndexValueDate(hiborindex,AK2724)</f>
        <v>46433</v>
      </c>
      <c r="AM2724" s="23">
        <f>_xll.qlIndexFixing(hiborindex,AK2724)</f>
        <v>1.3206800528564844E-2</v>
      </c>
    </row>
    <row r="2725" spans="37:39" x14ac:dyDescent="0.25">
      <c r="AK2725" s="21">
        <f>_xll.qlCalendarAdvance(calendar,AK2724,"1D")</f>
        <v>46430</v>
      </c>
      <c r="AL2725" s="21">
        <f>_xll.qlInterestRateIndexValueDate(hiborindex,AK2725)</f>
        <v>46434</v>
      </c>
      <c r="AM2725" s="23">
        <f>_xll.qlIndexFixing(hiborindex,AK2725)</f>
        <v>1.3207325793056293E-2</v>
      </c>
    </row>
    <row r="2726" spans="37:39" x14ac:dyDescent="0.25">
      <c r="AK2726" s="21">
        <f>_xll.qlCalendarAdvance(calendar,AK2725,"1D")</f>
        <v>46433</v>
      </c>
      <c r="AL2726" s="21">
        <f>_xll.qlInterestRateIndexValueDate(hiborindex,AK2726)</f>
        <v>46435</v>
      </c>
      <c r="AM2726" s="23">
        <f>_xll.qlIndexFixing(hiborindex,AK2726)</f>
        <v>1.3205989292799087E-2</v>
      </c>
    </row>
    <row r="2727" spans="37:39" x14ac:dyDescent="0.25">
      <c r="AK2727" s="21">
        <f>_xll.qlCalendarAdvance(calendar,AK2726,"1D")</f>
        <v>46434</v>
      </c>
      <c r="AL2727" s="21">
        <f>_xll.qlInterestRateIndexValueDate(hiborindex,AK2727)</f>
        <v>46436</v>
      </c>
      <c r="AM2727" s="23">
        <f>_xll.qlIndexFixing(hiborindex,AK2727)</f>
        <v>1.32046499429124E-2</v>
      </c>
    </row>
    <row r="2728" spans="37:39" x14ac:dyDescent="0.25">
      <c r="AK2728" s="21">
        <f>_xll.qlCalendarAdvance(calendar,AK2727,"1D")</f>
        <v>46435</v>
      </c>
      <c r="AL2728" s="21">
        <f>_xll.qlInterestRateIndexValueDate(hiborindex,AK2728)</f>
        <v>46437</v>
      </c>
      <c r="AM2728" s="23">
        <f>_xll.qlIndexFixing(hiborindex,AK2728)</f>
        <v>1.3203307743401529E-2</v>
      </c>
    </row>
    <row r="2729" spans="37:39" x14ac:dyDescent="0.25">
      <c r="AK2729" s="21">
        <f>_xll.qlCalendarAdvance(calendar,AK2728,"1D")</f>
        <v>46436</v>
      </c>
      <c r="AL2729" s="21">
        <f>_xll.qlInterestRateIndexValueDate(hiborindex,AK2729)</f>
        <v>46440</v>
      </c>
      <c r="AM2729" s="23">
        <f>_xll.qlIndexFixing(hiborindex,AK2729)</f>
        <v>1.3197610700675409E-2</v>
      </c>
    </row>
    <row r="2730" spans="37:39" x14ac:dyDescent="0.25">
      <c r="AK2730" s="21">
        <f>_xll.qlCalendarAdvance(calendar,AK2729,"1D")</f>
        <v>46437</v>
      </c>
      <c r="AL2730" s="21">
        <f>_xll.qlInterestRateIndexValueDate(hiborindex,AK2730)</f>
        <v>46441</v>
      </c>
      <c r="AM2730" s="23">
        <f>_xll.qlIndexFixing(hiborindex,AK2730)</f>
        <v>1.3197910449231038E-2</v>
      </c>
    </row>
    <row r="2731" spans="37:39" x14ac:dyDescent="0.25">
      <c r="AK2731" s="21">
        <f>_xll.qlCalendarAdvance(calendar,AK2730,"1D")</f>
        <v>46440</v>
      </c>
      <c r="AL2731" s="21">
        <f>_xll.qlInterestRateIndexValueDate(hiborindex,AK2731)</f>
        <v>46442</v>
      </c>
      <c r="AM2731" s="23">
        <f>_xll.qlIndexFixing(hiborindex,AK2731)</f>
        <v>1.319655400168537E-2</v>
      </c>
    </row>
    <row r="2732" spans="37:39" x14ac:dyDescent="0.25">
      <c r="AK2732" s="21">
        <f>_xll.qlCalendarAdvance(calendar,AK2731,"1D")</f>
        <v>46441</v>
      </c>
      <c r="AL2732" s="21">
        <f>_xll.qlInterestRateIndexValueDate(hiborindex,AK2732)</f>
        <v>46443</v>
      </c>
      <c r="AM2732" s="23">
        <f>_xll.qlIndexFixing(hiborindex,AK2732)</f>
        <v>1.3195194704549967E-2</v>
      </c>
    </row>
    <row r="2733" spans="37:39" x14ac:dyDescent="0.25">
      <c r="AK2733" s="21">
        <f>_xll.qlCalendarAdvance(calendar,AK2732,"1D")</f>
        <v>46442</v>
      </c>
      <c r="AL2733" s="21">
        <f>_xll.qlInterestRateIndexValueDate(hiborindex,AK2733)</f>
        <v>46444</v>
      </c>
      <c r="AM2733" s="23">
        <f>_xll.qlIndexFixing(hiborindex,AK2733)</f>
        <v>1.3186560414692227E-2</v>
      </c>
    </row>
    <row r="2734" spans="37:39" x14ac:dyDescent="0.25">
      <c r="AK2734" s="21">
        <f>_xll.qlCalendarAdvance(calendar,AK2733,"1D")</f>
        <v>46443</v>
      </c>
      <c r="AL2734" s="21">
        <f>_xll.qlInterestRateIndexValueDate(hiborindex,AK2734)</f>
        <v>46447</v>
      </c>
      <c r="AM2734" s="23">
        <f>_xll.qlIndexFixing(hiborindex,AK2734)</f>
        <v>1.3185508076636949E-2</v>
      </c>
    </row>
    <row r="2735" spans="37:39" x14ac:dyDescent="0.25">
      <c r="AK2735" s="21">
        <f>_xll.qlCalendarAdvance(calendar,AK2734,"1D")</f>
        <v>46444</v>
      </c>
      <c r="AL2735" s="21">
        <f>_xll.qlInterestRateIndexValueDate(hiborindex,AK2735)</f>
        <v>46448</v>
      </c>
      <c r="AM2735" s="23">
        <f>_xll.qlIndexFixing(hiborindex,AK2735)</f>
        <v>1.3184222186279711E-2</v>
      </c>
    </row>
    <row r="2736" spans="37:39" x14ac:dyDescent="0.25">
      <c r="AK2736" s="21">
        <f>_xll.qlCalendarAdvance(calendar,AK2735,"1D")</f>
        <v>46447</v>
      </c>
      <c r="AL2736" s="21">
        <f>_xll.qlInterestRateIndexValueDate(hiborindex,AK2736)</f>
        <v>46449</v>
      </c>
      <c r="AM2736" s="23">
        <f>_xll.qlIndexFixing(hiborindex,AK2736)</f>
        <v>1.3182933492440244E-2</v>
      </c>
    </row>
    <row r="2737" spans="37:39" x14ac:dyDescent="0.25">
      <c r="AK2737" s="21">
        <f>_xll.qlCalendarAdvance(calendar,AK2736,"1D")</f>
        <v>46448</v>
      </c>
      <c r="AL2737" s="21">
        <f>_xll.qlInterestRateIndexValueDate(hiborindex,AK2737)</f>
        <v>46450</v>
      </c>
      <c r="AM2737" s="23">
        <f>_xll.qlIndexFixing(hiborindex,AK2737)</f>
        <v>1.3179194632424665E-2</v>
      </c>
    </row>
    <row r="2738" spans="37:39" x14ac:dyDescent="0.25">
      <c r="AK2738" s="21">
        <f>_xll.qlCalendarAdvance(calendar,AK2737,"1D")</f>
        <v>46449</v>
      </c>
      <c r="AL2738" s="21">
        <f>_xll.qlInterestRateIndexValueDate(hiborindex,AK2738)</f>
        <v>46451</v>
      </c>
      <c r="AM2738" s="23">
        <f>_xll.qlIndexFixing(hiborindex,AK2738)</f>
        <v>1.3179133939562077E-2</v>
      </c>
    </row>
    <row r="2739" spans="37:39" x14ac:dyDescent="0.25">
      <c r="AK2739" s="21">
        <f>_xll.qlCalendarAdvance(calendar,AK2738,"1D")</f>
        <v>46450</v>
      </c>
      <c r="AL2739" s="21">
        <f>_xll.qlInterestRateIndexValueDate(hiborindex,AK2739)</f>
        <v>46454</v>
      </c>
      <c r="AM2739" s="23">
        <f>_xll.qlIndexFixing(hiborindex,AK2739)</f>
        <v>1.3176447971201497E-2</v>
      </c>
    </row>
    <row r="2740" spans="37:39" x14ac:dyDescent="0.25">
      <c r="AK2740" s="21">
        <f>_xll.qlCalendarAdvance(calendar,AK2739,"1D")</f>
        <v>46451</v>
      </c>
      <c r="AL2740" s="21">
        <f>_xll.qlInterestRateIndexValueDate(hiborindex,AK2740)</f>
        <v>46455</v>
      </c>
      <c r="AM2740" s="23">
        <f>_xll.qlIndexFixing(hiborindex,AK2740)</f>
        <v>1.3175142456584649E-2</v>
      </c>
    </row>
    <row r="2741" spans="37:39" x14ac:dyDescent="0.25">
      <c r="AK2741" s="21">
        <f>_xll.qlCalendarAdvance(calendar,AK2740,"1D")</f>
        <v>46454</v>
      </c>
      <c r="AL2741" s="21">
        <f>_xll.qlInterestRateIndexValueDate(hiborindex,AK2741)</f>
        <v>46456</v>
      </c>
      <c r="AM2741" s="23">
        <f>_xll.qlIndexFixing(hiborindex,AK2741)</f>
        <v>1.3173834138523804E-2</v>
      </c>
    </row>
    <row r="2742" spans="37:39" x14ac:dyDescent="0.25">
      <c r="AK2742" s="21">
        <f>_xll.qlCalendarAdvance(calendar,AK2741,"1D")</f>
        <v>46455</v>
      </c>
      <c r="AL2742" s="21">
        <f>_xll.qlInterestRateIndexValueDate(hiborindex,AK2742)</f>
        <v>46457</v>
      </c>
      <c r="AM2742" s="23">
        <f>_xll.qlIndexFixing(hiborindex,AK2742)</f>
        <v>1.317047502195616E-2</v>
      </c>
    </row>
    <row r="2743" spans="37:39" x14ac:dyDescent="0.25">
      <c r="AK2743" s="21">
        <f>_xll.qlCalendarAdvance(calendar,AK2742,"1D")</f>
        <v>46456</v>
      </c>
      <c r="AL2743" s="21">
        <f>_xll.qlInterestRateIndexValueDate(hiborindex,AK2743)</f>
        <v>46458</v>
      </c>
      <c r="AM2743" s="23">
        <f>_xll.qlIndexFixing(hiborindex,AK2743)</f>
        <v>1.3170196200309807E-2</v>
      </c>
    </row>
    <row r="2744" spans="37:39" x14ac:dyDescent="0.25">
      <c r="AK2744" s="21">
        <f>_xll.qlCalendarAdvance(calendar,AK2743,"1D")</f>
        <v>46457</v>
      </c>
      <c r="AL2744" s="21">
        <f>_xll.qlInterestRateIndexValueDate(hiborindex,AK2744)</f>
        <v>46461</v>
      </c>
      <c r="AM2744" s="23">
        <f>_xll.qlIndexFixing(hiborindex,AK2744)</f>
        <v>1.3167250496764652E-2</v>
      </c>
    </row>
    <row r="2745" spans="37:39" x14ac:dyDescent="0.25">
      <c r="AK2745" s="21">
        <f>_xll.qlCalendarAdvance(calendar,AK2744,"1D")</f>
        <v>46458</v>
      </c>
      <c r="AL2745" s="21">
        <f>_xll.qlInterestRateIndexValueDate(hiborindex,AK2745)</f>
        <v>46462</v>
      </c>
      <c r="AM2745" s="23">
        <f>_xll.qlIndexFixing(hiborindex,AK2745)</f>
        <v>1.3165925358160588E-2</v>
      </c>
    </row>
    <row r="2746" spans="37:39" x14ac:dyDescent="0.25">
      <c r="AK2746" s="21">
        <f>_xll.qlCalendarAdvance(calendar,AK2745,"1D")</f>
        <v>46461</v>
      </c>
      <c r="AL2746" s="21">
        <f>_xll.qlInterestRateIndexValueDate(hiborindex,AK2746)</f>
        <v>46463</v>
      </c>
      <c r="AM2746" s="23">
        <f>_xll.qlIndexFixing(hiborindex,AK2746)</f>
        <v>1.3164597416152926E-2</v>
      </c>
    </row>
    <row r="2747" spans="37:39" x14ac:dyDescent="0.25">
      <c r="AK2747" s="21">
        <f>_xll.qlCalendarAdvance(calendar,AK2746,"1D")</f>
        <v>46462</v>
      </c>
      <c r="AL2747" s="21">
        <f>_xll.qlInterestRateIndexValueDate(hiborindex,AK2747)</f>
        <v>46464</v>
      </c>
      <c r="AM2747" s="23">
        <f>_xll.qlIndexFixing(hiborindex,AK2747)</f>
        <v>1.3161619507878858E-2</v>
      </c>
    </row>
    <row r="2748" spans="37:39" x14ac:dyDescent="0.25">
      <c r="AK2748" s="21">
        <f>_xll.qlCalendarAdvance(calendar,AK2747,"1D")</f>
        <v>46463</v>
      </c>
      <c r="AL2748" s="21">
        <f>_xll.qlInterestRateIndexValueDate(hiborindex,AK2748)</f>
        <v>46465</v>
      </c>
      <c r="AM2748" s="23">
        <f>_xll.qlIndexFixing(hiborindex,AK2748)</f>
        <v>1.3161121829379891E-2</v>
      </c>
    </row>
    <row r="2749" spans="37:39" x14ac:dyDescent="0.25">
      <c r="AK2749" s="21">
        <f>_xll.qlCalendarAdvance(calendar,AK2748,"1D")</f>
        <v>46464</v>
      </c>
      <c r="AL2749" s="21">
        <f>_xll.qlInterestRateIndexValueDate(hiborindex,AK2749)</f>
        <v>46468</v>
      </c>
      <c r="AM2749" s="23">
        <f>_xll.qlIndexFixing(hiborindex,AK2749)</f>
        <v>1.3157915655250095E-2</v>
      </c>
    </row>
    <row r="2750" spans="37:39" x14ac:dyDescent="0.25">
      <c r="AK2750" s="21">
        <f>_xll.qlCalendarAdvance(calendar,AK2749,"1D")</f>
        <v>46465</v>
      </c>
      <c r="AL2750" s="21">
        <f>_xll.qlInterestRateIndexValueDate(hiborindex,AK2750)</f>
        <v>46469</v>
      </c>
      <c r="AM2750" s="23">
        <f>_xll.qlIndexFixing(hiborindex,AK2750)</f>
        <v>1.3156570892936851E-2</v>
      </c>
    </row>
    <row r="2751" spans="37:39" x14ac:dyDescent="0.25">
      <c r="AK2751" s="21">
        <f>_xll.qlCalendarAdvance(calendar,AK2750,"1D")</f>
        <v>46468</v>
      </c>
      <c r="AL2751" s="21">
        <f>_xll.qlInterestRateIndexValueDate(hiborindex,AK2751)</f>
        <v>46470</v>
      </c>
      <c r="AM2751" s="23">
        <f>_xll.qlIndexFixing(hiborindex,AK2751)</f>
        <v>1.3155223327259545E-2</v>
      </c>
    </row>
    <row r="2752" spans="37:39" x14ac:dyDescent="0.25">
      <c r="AK2752" s="21">
        <f>_xll.qlCalendarAdvance(calendar,AK2751,"1D")</f>
        <v>46469</v>
      </c>
      <c r="AL2752" s="21">
        <f>_xll.qlInterestRateIndexValueDate(hiborindex,AK2752)</f>
        <v>46471</v>
      </c>
      <c r="AM2752" s="23">
        <f>_xll.qlIndexFixing(hiborindex,AK2752)</f>
        <v>1.3152628092045902E-2</v>
      </c>
    </row>
    <row r="2753" spans="37:39" x14ac:dyDescent="0.25">
      <c r="AK2753" s="21">
        <f>_xll.qlCalendarAdvance(calendar,AK2752,"1D")</f>
        <v>46470</v>
      </c>
      <c r="AL2753" s="21">
        <f>_xll.qlInterestRateIndexValueDate(hiborindex,AK2753)</f>
        <v>46476</v>
      </c>
      <c r="AM2753" s="23">
        <f>_xll.qlIndexFixing(hiborindex,AK2753)</f>
        <v>1.3147079062870571E-2</v>
      </c>
    </row>
    <row r="2754" spans="37:39" x14ac:dyDescent="0.25">
      <c r="AK2754" s="21">
        <f>_xll.qlCalendarAdvance(calendar,AK2753,"1D")</f>
        <v>46471</v>
      </c>
      <c r="AL2754" s="21">
        <f>_xll.qlInterestRateIndexValueDate(hiborindex,AK2754)</f>
        <v>46477</v>
      </c>
      <c r="AM2754" s="23">
        <f>_xll.qlIndexFixing(hiborindex,AK2754)</f>
        <v>1.3146205416820295E-2</v>
      </c>
    </row>
    <row r="2755" spans="37:39" x14ac:dyDescent="0.25">
      <c r="AK2755" s="21">
        <f>_xll.qlCalendarAdvance(calendar,AK2754,"1D")</f>
        <v>46476</v>
      </c>
      <c r="AL2755" s="21">
        <f>_xll.qlInterestRateIndexValueDate(hiborindex,AK2755)</f>
        <v>46478</v>
      </c>
      <c r="AM2755" s="23">
        <f>_xll.qlIndexFixing(hiborindex,AK2755)</f>
        <v>1.3144806068354121E-2</v>
      </c>
    </row>
    <row r="2756" spans="37:39" x14ac:dyDescent="0.25">
      <c r="AK2756" s="21">
        <f>_xll.qlCalendarAdvance(calendar,AK2755,"1D")</f>
        <v>46477</v>
      </c>
      <c r="AL2756" s="21">
        <f>_xll.qlInterestRateIndexValueDate(hiborindex,AK2756)</f>
        <v>46479</v>
      </c>
      <c r="AM2756" s="23">
        <f>_xll.qlIndexFixing(hiborindex,AK2756)</f>
        <v>1.3142563200108263E-2</v>
      </c>
    </row>
    <row r="2757" spans="37:39" x14ac:dyDescent="0.25">
      <c r="AK2757" s="21">
        <f>_xll.qlCalendarAdvance(calendar,AK2756,"1D")</f>
        <v>46478</v>
      </c>
      <c r="AL2757" s="21">
        <f>_xll.qlInterestRateIndexValueDate(hiborindex,AK2757)</f>
        <v>46482</v>
      </c>
      <c r="AM2757" s="23">
        <f>_xll.qlIndexFixing(hiborindex,AK2757)</f>
        <v>1.3139180489565742E-2</v>
      </c>
    </row>
    <row r="2758" spans="37:39" x14ac:dyDescent="0.25">
      <c r="AK2758" s="21">
        <f>_xll.qlCalendarAdvance(calendar,AK2757,"1D")</f>
        <v>46479</v>
      </c>
      <c r="AL2758" s="21">
        <f>_xll.qlInterestRateIndexValueDate(hiborindex,AK2758)</f>
        <v>46483</v>
      </c>
      <c r="AM2758" s="23">
        <f>_xll.qlIndexFixing(hiborindex,AK2758)</f>
        <v>1.3137767048668304E-2</v>
      </c>
    </row>
    <row r="2759" spans="37:39" x14ac:dyDescent="0.25">
      <c r="AK2759" s="21">
        <f>_xll.qlCalendarAdvance(calendar,AK2758,"1D")</f>
        <v>46482</v>
      </c>
      <c r="AL2759" s="21">
        <f>_xll.qlInterestRateIndexValueDate(hiborindex,AK2759)</f>
        <v>46484</v>
      </c>
      <c r="AM2759" s="23">
        <f>_xll.qlIndexFixing(hiborindex,AK2759)</f>
        <v>1.3136350789302345E-2</v>
      </c>
    </row>
    <row r="2760" spans="37:39" x14ac:dyDescent="0.25">
      <c r="AK2760" s="21">
        <f>_xll.qlCalendarAdvance(calendar,AK2759,"1D")</f>
        <v>46483</v>
      </c>
      <c r="AL2760" s="21">
        <f>_xll.qlInterestRateIndexValueDate(hiborindex,AK2760)</f>
        <v>46485</v>
      </c>
      <c r="AM2760" s="23">
        <f>_xll.qlIndexFixing(hiborindex,AK2760)</f>
        <v>1.3134931711474422E-2</v>
      </c>
    </row>
    <row r="2761" spans="37:39" x14ac:dyDescent="0.25">
      <c r="AK2761" s="21">
        <f>_xll.qlCalendarAdvance(calendar,AK2760,"1D")</f>
        <v>46484</v>
      </c>
      <c r="AL2761" s="21">
        <f>_xll.qlInterestRateIndexValueDate(hiborindex,AK2761)</f>
        <v>46486</v>
      </c>
      <c r="AM2761" s="23">
        <f>_xll.qlIndexFixing(hiborindex,AK2761)</f>
        <v>1.313307894565101E-2</v>
      </c>
    </row>
    <row r="2762" spans="37:39" x14ac:dyDescent="0.25">
      <c r="AK2762" s="21">
        <f>_xll.qlCalendarAdvance(calendar,AK2761,"1D")</f>
        <v>46485</v>
      </c>
      <c r="AL2762" s="21">
        <f>_xll.qlInterestRateIndexValueDate(hiborindex,AK2762)</f>
        <v>46489</v>
      </c>
      <c r="AM2762" s="23">
        <f>_xll.qlIndexFixing(hiborindex,AK2762)</f>
        <v>1.3129227215662309E-2</v>
      </c>
    </row>
    <row r="2763" spans="37:39" x14ac:dyDescent="0.25">
      <c r="AK2763" s="21">
        <f>_xll.qlCalendarAdvance(calendar,AK2762,"1D")</f>
        <v>46486</v>
      </c>
      <c r="AL2763" s="21">
        <f>_xll.qlInterestRateIndexValueDate(hiborindex,AK2763)</f>
        <v>46490</v>
      </c>
      <c r="AM2763" s="23">
        <f>_xll.qlIndexFixing(hiborindex,AK2763)</f>
        <v>1.3127794045614535E-2</v>
      </c>
    </row>
    <row r="2764" spans="37:39" x14ac:dyDescent="0.25">
      <c r="AK2764" s="21">
        <f>_xll.qlCalendarAdvance(calendar,AK2763,"1D")</f>
        <v>46489</v>
      </c>
      <c r="AL2764" s="21">
        <f>_xll.qlInterestRateIndexValueDate(hiborindex,AK2764)</f>
        <v>46491</v>
      </c>
      <c r="AM2764" s="23">
        <f>_xll.qlIndexFixing(hiborindex,AK2764)</f>
        <v>1.3126358057141485E-2</v>
      </c>
    </row>
    <row r="2765" spans="37:39" x14ac:dyDescent="0.25">
      <c r="AK2765" s="21">
        <f>_xll.qlCalendarAdvance(calendar,AK2764,"1D")</f>
        <v>46490</v>
      </c>
      <c r="AL2765" s="21">
        <f>_xll.qlInterestRateIndexValueDate(hiborindex,AK2765)</f>
        <v>46492</v>
      </c>
      <c r="AM2765" s="23">
        <f>_xll.qlIndexFixing(hiborindex,AK2765)</f>
        <v>1.3124919250248841E-2</v>
      </c>
    </row>
    <row r="2766" spans="37:39" x14ac:dyDescent="0.25">
      <c r="AK2766" s="21">
        <f>_xll.qlCalendarAdvance(calendar,AK2765,"1D")</f>
        <v>46491</v>
      </c>
      <c r="AL2766" s="21">
        <f>_xll.qlInterestRateIndexValueDate(hiborindex,AK2766)</f>
        <v>46493</v>
      </c>
      <c r="AM2766" s="23">
        <f>_xll.qlIndexFixing(hiborindex,AK2766)</f>
        <v>1.3123458067282871E-2</v>
      </c>
    </row>
    <row r="2767" spans="37:39" x14ac:dyDescent="0.25">
      <c r="AK2767" s="21">
        <f>_xll.qlCalendarAdvance(calendar,AK2766,"1D")</f>
        <v>46492</v>
      </c>
      <c r="AL2767" s="21">
        <f>_xll.qlInterestRateIndexValueDate(hiborindex,AK2767)</f>
        <v>46496</v>
      </c>
      <c r="AM2767" s="23">
        <f>_xll.qlIndexFixing(hiborindex,AK2767)</f>
        <v>1.3119135838605918E-2</v>
      </c>
    </row>
    <row r="2768" spans="37:39" x14ac:dyDescent="0.25">
      <c r="AK2768" s="21">
        <f>_xll.qlCalendarAdvance(calendar,AK2767,"1D")</f>
        <v>46493</v>
      </c>
      <c r="AL2768" s="21">
        <f>_xll.qlInterestRateIndexValueDate(hiborindex,AK2768)</f>
        <v>46497</v>
      </c>
      <c r="AM2768" s="23">
        <f>_xll.qlIndexFixing(hiborindex,AK2768)</f>
        <v>1.3117682939708332E-2</v>
      </c>
    </row>
    <row r="2769" spans="37:39" x14ac:dyDescent="0.25">
      <c r="AK2769" s="21">
        <f>_xll.qlCalendarAdvance(calendar,AK2768,"1D")</f>
        <v>46496</v>
      </c>
      <c r="AL2769" s="21">
        <f>_xll.qlInterestRateIndexValueDate(hiborindex,AK2769)</f>
        <v>46498</v>
      </c>
      <c r="AM2769" s="23">
        <f>_xll.qlIndexFixing(hiborindex,AK2769)</f>
        <v>1.311622722242828E-2</v>
      </c>
    </row>
    <row r="2770" spans="37:39" x14ac:dyDescent="0.25">
      <c r="AK2770" s="21">
        <f>_xll.qlCalendarAdvance(calendar,AK2769,"1D")</f>
        <v>46497</v>
      </c>
      <c r="AL2770" s="21">
        <f>_xll.qlInterestRateIndexValueDate(hiborindex,AK2770)</f>
        <v>46499</v>
      </c>
      <c r="AM2770" s="23">
        <f>_xll.qlIndexFixing(hiborindex,AK2770)</f>
        <v>1.3114768686771876E-2</v>
      </c>
    </row>
    <row r="2771" spans="37:39" x14ac:dyDescent="0.25">
      <c r="AK2771" s="21">
        <f>_xll.qlCalendarAdvance(calendar,AK2770,"1D")</f>
        <v>46498</v>
      </c>
      <c r="AL2771" s="21">
        <f>_xll.qlInterestRateIndexValueDate(hiborindex,AK2771)</f>
        <v>46500</v>
      </c>
      <c r="AM2771" s="23">
        <f>_xll.qlIndexFixing(hiborindex,AK2771)</f>
        <v>1.3113700567016504E-2</v>
      </c>
    </row>
    <row r="2772" spans="37:39" x14ac:dyDescent="0.25">
      <c r="AK2772" s="21">
        <f>_xll.qlCalendarAdvance(calendar,AK2771,"1D")</f>
        <v>46499</v>
      </c>
      <c r="AL2772" s="21">
        <f>_xll.qlInterestRateIndexValueDate(hiborindex,AK2772)</f>
        <v>46503</v>
      </c>
      <c r="AM2772" s="23">
        <f>_xll.qlIndexFixing(hiborindex,AK2772)</f>
        <v>1.3108906360509414E-2</v>
      </c>
    </row>
    <row r="2773" spans="37:39" x14ac:dyDescent="0.25">
      <c r="AK2773" s="21">
        <f>_xll.qlCalendarAdvance(calendar,AK2772,"1D")</f>
        <v>46500</v>
      </c>
      <c r="AL2773" s="21">
        <f>_xll.qlInterestRateIndexValueDate(hiborindex,AK2773)</f>
        <v>46504</v>
      </c>
      <c r="AM2773" s="23">
        <f>_xll.qlIndexFixing(hiborindex,AK2773)</f>
        <v>1.3107433733065601E-2</v>
      </c>
    </row>
    <row r="2774" spans="37:39" x14ac:dyDescent="0.25">
      <c r="AK2774" s="21">
        <f>_xll.qlCalendarAdvance(calendar,AK2773,"1D")</f>
        <v>46503</v>
      </c>
      <c r="AL2774" s="21">
        <f>_xll.qlInterestRateIndexValueDate(hiborindex,AK2774)</f>
        <v>46505</v>
      </c>
      <c r="AM2774" s="23">
        <f>_xll.qlIndexFixing(hiborindex,AK2774)</f>
        <v>1.3105958287283E-2</v>
      </c>
    </row>
    <row r="2775" spans="37:39" x14ac:dyDescent="0.25">
      <c r="AK2775" s="21">
        <f>_xll.qlCalendarAdvance(calendar,AK2774,"1D")</f>
        <v>46504</v>
      </c>
      <c r="AL2775" s="21">
        <f>_xll.qlInterestRateIndexValueDate(hiborindex,AK2775)</f>
        <v>46506</v>
      </c>
      <c r="AM2775" s="23">
        <f>_xll.qlIndexFixing(hiborindex,AK2775)</f>
        <v>1.3104480023168604E-2</v>
      </c>
    </row>
    <row r="2776" spans="37:39" x14ac:dyDescent="0.25">
      <c r="AK2776" s="21">
        <f>_xll.qlCalendarAdvance(calendar,AK2775,"1D")</f>
        <v>46505</v>
      </c>
      <c r="AL2776" s="21">
        <f>_xll.qlInterestRateIndexValueDate(hiborindex,AK2776)</f>
        <v>46507</v>
      </c>
      <c r="AM2776" s="23">
        <f>_xll.qlIndexFixing(hiborindex,AK2776)</f>
        <v>1.310262553923543E-2</v>
      </c>
    </row>
    <row r="2777" spans="37:39" x14ac:dyDescent="0.25">
      <c r="AK2777" s="21">
        <f>_xll.qlCalendarAdvance(calendar,AK2776,"1D")</f>
        <v>46506</v>
      </c>
      <c r="AL2777" s="21">
        <f>_xll.qlInterestRateIndexValueDate(hiborindex,AK2777)</f>
        <v>46510</v>
      </c>
      <c r="AM2777" s="23">
        <f>_xll.qlIndexFixing(hiborindex,AK2777)</f>
        <v>1.3099022008946444E-2</v>
      </c>
    </row>
    <row r="2778" spans="37:39" x14ac:dyDescent="0.25">
      <c r="AK2778" s="21">
        <f>_xll.qlCalendarAdvance(calendar,AK2777,"1D")</f>
        <v>46507</v>
      </c>
      <c r="AL2778" s="21">
        <f>_xll.qlInterestRateIndexValueDate(hiborindex,AK2778)</f>
        <v>46511</v>
      </c>
      <c r="AM2778" s="23">
        <f>_xll.qlIndexFixing(hiborindex,AK2778)</f>
        <v>1.309755951043024E-2</v>
      </c>
    </row>
    <row r="2779" spans="37:39" x14ac:dyDescent="0.25">
      <c r="AK2779" s="21">
        <f>_xll.qlCalendarAdvance(calendar,AK2778,"1D")</f>
        <v>46510</v>
      </c>
      <c r="AL2779" s="21">
        <f>_xll.qlInterestRateIndexValueDate(hiborindex,AK2779)</f>
        <v>46512</v>
      </c>
      <c r="AM2779" s="23">
        <f>_xll.qlIndexFixing(hiborindex,AK2779)</f>
        <v>1.3096094208801945E-2</v>
      </c>
    </row>
    <row r="2780" spans="37:39" x14ac:dyDescent="0.25">
      <c r="AK2780" s="21">
        <f>_xll.qlCalendarAdvance(calendar,AK2779,"1D")</f>
        <v>46511</v>
      </c>
      <c r="AL2780" s="21">
        <f>_xll.qlInterestRateIndexValueDate(hiborindex,AK2780)</f>
        <v>46513</v>
      </c>
      <c r="AM2780" s="23">
        <f>_xll.qlIndexFixing(hiborindex,AK2780)</f>
        <v>1.3095825767538677E-2</v>
      </c>
    </row>
    <row r="2781" spans="37:39" x14ac:dyDescent="0.25">
      <c r="AK2781" s="21">
        <f>_xll.qlCalendarAdvance(calendar,AK2780,"1D")</f>
        <v>46512</v>
      </c>
      <c r="AL2781" s="21">
        <f>_xll.qlInterestRateIndexValueDate(hiborindex,AK2781)</f>
        <v>46514</v>
      </c>
      <c r="AM2781" s="23">
        <f>_xll.qlIndexFixing(hiborindex,AK2781)</f>
        <v>1.3093775708987504E-2</v>
      </c>
    </row>
    <row r="2782" spans="37:39" x14ac:dyDescent="0.25">
      <c r="AK2782" s="21">
        <f>_xll.qlCalendarAdvance(calendar,AK2781,"1D")</f>
        <v>46513</v>
      </c>
      <c r="AL2782" s="21">
        <f>_xll.qlInterestRateIndexValueDate(hiborindex,AK2782)</f>
        <v>46517</v>
      </c>
      <c r="AM2782" s="23">
        <f>_xll.qlIndexFixing(hiborindex,AK2782)</f>
        <v>1.3088725654197204E-2</v>
      </c>
    </row>
    <row r="2783" spans="37:39" x14ac:dyDescent="0.25">
      <c r="AK2783" s="21">
        <f>_xll.qlCalendarAdvance(calendar,AK2782,"1D")</f>
        <v>46514</v>
      </c>
      <c r="AL2783" s="21">
        <f>_xll.qlInterestRateIndexValueDate(hiborindex,AK2783)</f>
        <v>46518</v>
      </c>
      <c r="AM2783" s="23">
        <f>_xll.qlIndexFixing(hiborindex,AK2783)</f>
        <v>1.3087243534027567E-2</v>
      </c>
    </row>
    <row r="2784" spans="37:39" x14ac:dyDescent="0.25">
      <c r="AK2784" s="21">
        <f>_xll.qlCalendarAdvance(calendar,AK2783,"1D")</f>
        <v>46517</v>
      </c>
      <c r="AL2784" s="21">
        <f>_xll.qlInterestRateIndexValueDate(hiborindex,AK2784)</f>
        <v>46519</v>
      </c>
      <c r="AM2784" s="23">
        <f>_xll.qlIndexFixing(hiborindex,AK2784)</f>
        <v>1.3085758610790152E-2</v>
      </c>
    </row>
    <row r="2785" spans="37:39" x14ac:dyDescent="0.25">
      <c r="AK2785" s="21">
        <f>_xll.qlCalendarAdvance(calendar,AK2784,"1D")</f>
        <v>46518</v>
      </c>
      <c r="AL2785" s="21">
        <f>_xll.qlInterestRateIndexValueDate(hiborindex,AK2785)</f>
        <v>46520</v>
      </c>
      <c r="AM2785" s="23">
        <f>_xll.qlIndexFixing(hiborindex,AK2785)</f>
        <v>1.3085883093693145E-2</v>
      </c>
    </row>
    <row r="2786" spans="37:39" x14ac:dyDescent="0.25">
      <c r="AK2786" s="21">
        <f>_xll.qlCalendarAdvance(calendar,AK2785,"1D")</f>
        <v>46519</v>
      </c>
      <c r="AL2786" s="21">
        <f>_xll.qlInterestRateIndexValueDate(hiborindex,AK2786)</f>
        <v>46521</v>
      </c>
      <c r="AM2786" s="23">
        <f>_xll.qlIndexFixing(hiborindex,AK2786)</f>
        <v>1.3083608355394077E-2</v>
      </c>
    </row>
    <row r="2787" spans="37:39" x14ac:dyDescent="0.25">
      <c r="AK2787" s="21">
        <f>_xll.qlCalendarAdvance(calendar,AK2786,"1D")</f>
        <v>46520</v>
      </c>
      <c r="AL2787" s="21">
        <f>_xll.qlInterestRateIndexValueDate(hiborindex,AK2787)</f>
        <v>46524</v>
      </c>
      <c r="AM2787" s="23">
        <f>_xll.qlIndexFixing(hiborindex,AK2787)</f>
        <v>1.3078291948803627E-2</v>
      </c>
    </row>
    <row r="2788" spans="37:39" x14ac:dyDescent="0.25">
      <c r="AK2788" s="21">
        <f>_xll.qlCalendarAdvance(calendar,AK2787,"1D")</f>
        <v>46521</v>
      </c>
      <c r="AL2788" s="21">
        <f>_xll.qlInterestRateIndexValueDate(hiborindex,AK2788)</f>
        <v>46525</v>
      </c>
      <c r="AM2788" s="23">
        <f>_xll.qlIndexFixing(hiborindex,AK2788)</f>
        <v>1.3076790207290743E-2</v>
      </c>
    </row>
    <row r="2789" spans="37:39" x14ac:dyDescent="0.25">
      <c r="AK2789" s="21">
        <f>_xll.qlCalendarAdvance(calendar,AK2788,"1D")</f>
        <v>46524</v>
      </c>
      <c r="AL2789" s="21">
        <f>_xll.qlInterestRateIndexValueDate(hiborindex,AK2789)</f>
        <v>46526</v>
      </c>
      <c r="AM2789" s="23">
        <f>_xll.qlIndexFixing(hiborindex,AK2789)</f>
        <v>1.3075285662754829E-2</v>
      </c>
    </row>
    <row r="2790" spans="37:39" x14ac:dyDescent="0.25">
      <c r="AK2790" s="21">
        <f>_xll.qlCalendarAdvance(calendar,AK2789,"1D")</f>
        <v>46525</v>
      </c>
      <c r="AL2790" s="21">
        <f>_xll.qlInterestRateIndexValueDate(hiborindex,AK2790)</f>
        <v>46527</v>
      </c>
      <c r="AM2790" s="23">
        <f>_xll.qlIndexFixing(hiborindex,AK2790)</f>
        <v>1.3075804533940354E-2</v>
      </c>
    </row>
    <row r="2791" spans="37:39" x14ac:dyDescent="0.25">
      <c r="AK2791" s="21">
        <f>_xll.qlCalendarAdvance(calendar,AK2790,"1D")</f>
        <v>46526</v>
      </c>
      <c r="AL2791" s="21">
        <f>_xll.qlInterestRateIndexValueDate(hiborindex,AK2791)</f>
        <v>46528</v>
      </c>
      <c r="AM2791" s="23">
        <f>_xll.qlIndexFixing(hiborindex,AK2791)</f>
        <v>1.3073304388241698E-2</v>
      </c>
    </row>
    <row r="2792" spans="37:39" x14ac:dyDescent="0.25">
      <c r="AK2792" s="21">
        <f>_xll.qlCalendarAdvance(calendar,AK2791,"1D")</f>
        <v>46527</v>
      </c>
      <c r="AL2792" s="21">
        <f>_xll.qlInterestRateIndexValueDate(hiborindex,AK2792)</f>
        <v>46531</v>
      </c>
      <c r="AM2792" s="23">
        <f>_xll.qlIndexFixing(hiborindex,AK2792)</f>
        <v>1.3067720894947879E-2</v>
      </c>
    </row>
    <row r="2793" spans="37:39" x14ac:dyDescent="0.25">
      <c r="AK2793" s="21">
        <f>_xll.qlCalendarAdvance(calendar,AK2792,"1D")</f>
        <v>46528</v>
      </c>
      <c r="AL2793" s="21">
        <f>_xll.qlInterestRateIndexValueDate(hiborindex,AK2793)</f>
        <v>46532</v>
      </c>
      <c r="AM2793" s="23">
        <f>_xll.qlIndexFixing(hiborindex,AK2793)</f>
        <v>1.3066199532406283E-2</v>
      </c>
    </row>
    <row r="2794" spans="37:39" x14ac:dyDescent="0.25">
      <c r="AK2794" s="21">
        <f>_xll.qlCalendarAdvance(calendar,AK2793,"1D")</f>
        <v>46531</v>
      </c>
      <c r="AL2794" s="21">
        <f>_xll.qlInterestRateIndexValueDate(hiborindex,AK2794)</f>
        <v>46533</v>
      </c>
      <c r="AM2794" s="23">
        <f>_xll.qlIndexFixing(hiborindex,AK2794)</f>
        <v>1.3064675366886835E-2</v>
      </c>
    </row>
    <row r="2795" spans="37:39" x14ac:dyDescent="0.25">
      <c r="AK2795" s="21">
        <f>_xll.qlCalendarAdvance(calendar,AK2794,"1D")</f>
        <v>46532</v>
      </c>
      <c r="AL2795" s="21">
        <f>_xll.qlInterestRateIndexValueDate(hiborindex,AK2795)</f>
        <v>46534</v>
      </c>
      <c r="AM2795" s="23">
        <f>_xll.qlIndexFixing(hiborindex,AK2795)</f>
        <v>1.3065590090390017E-2</v>
      </c>
    </row>
    <row r="2796" spans="37:39" x14ac:dyDescent="0.25">
      <c r="AK2796" s="21">
        <f>_xll.qlCalendarAdvance(calendar,AK2795,"1D")</f>
        <v>46533</v>
      </c>
      <c r="AL2796" s="21">
        <f>_xll.qlInterestRateIndexValueDate(hiborindex,AK2796)</f>
        <v>46535</v>
      </c>
      <c r="AM2796" s="23">
        <f>_xll.qlIndexFixing(hiborindex,AK2796)</f>
        <v>1.3062863809686912E-2</v>
      </c>
    </row>
    <row r="2797" spans="37:39" x14ac:dyDescent="0.25">
      <c r="AK2797" s="21">
        <f>_xll.qlCalendarAdvance(calendar,AK2796,"1D")</f>
        <v>46534</v>
      </c>
      <c r="AL2797" s="21">
        <f>_xll.qlInterestRateIndexValueDate(hiborindex,AK2797)</f>
        <v>46538</v>
      </c>
      <c r="AM2797" s="23">
        <f>_xll.qlIndexFixing(hiborindex,AK2797)</f>
        <v>1.3055687530347004E-2</v>
      </c>
    </row>
    <row r="2798" spans="37:39" x14ac:dyDescent="0.25">
      <c r="AK2798" s="21">
        <f>_xll.qlCalendarAdvance(calendar,AK2797,"1D")</f>
        <v>46535</v>
      </c>
      <c r="AL2798" s="21">
        <f>_xll.qlInterestRateIndexValueDate(hiborindex,AK2798)</f>
        <v>46539</v>
      </c>
      <c r="AM2798" s="23">
        <f>_xll.qlIndexFixing(hiborindex,AK2798)</f>
        <v>1.3054116264877793E-2</v>
      </c>
    </row>
    <row r="2799" spans="37:39" x14ac:dyDescent="0.25">
      <c r="AK2799" s="21">
        <f>_xll.qlCalendarAdvance(calendar,AK2798,"1D")</f>
        <v>46538</v>
      </c>
      <c r="AL2799" s="21">
        <f>_xll.qlInterestRateIndexValueDate(hiborindex,AK2799)</f>
        <v>46540</v>
      </c>
      <c r="AM2799" s="23">
        <f>_xll.qlIndexFixing(hiborindex,AK2799)</f>
        <v>1.3052542181297809E-2</v>
      </c>
    </row>
    <row r="2800" spans="37:39" x14ac:dyDescent="0.25">
      <c r="AK2800" s="21">
        <f>_xll.qlCalendarAdvance(calendar,AK2799,"1D")</f>
        <v>46539</v>
      </c>
      <c r="AL2800" s="21">
        <f>_xll.qlInterestRateIndexValueDate(hiborindex,AK2800)</f>
        <v>46541</v>
      </c>
      <c r="AM2800" s="23">
        <f>_xll.qlIndexFixing(hiborindex,AK2800)</f>
        <v>1.3050965279613606E-2</v>
      </c>
    </row>
    <row r="2801" spans="37:39" x14ac:dyDescent="0.25">
      <c r="AK2801" s="21">
        <f>_xll.qlCalendarAdvance(calendar,AK2800,"1D")</f>
        <v>46540</v>
      </c>
      <c r="AL2801" s="21">
        <f>_xll.qlInterestRateIndexValueDate(hiborindex,AK2801)</f>
        <v>46542</v>
      </c>
      <c r="AM2801" s="23">
        <f>_xll.qlIndexFixing(hiborindex,AK2801)</f>
        <v>1.3052286621914351E-2</v>
      </c>
    </row>
    <row r="2802" spans="37:39" x14ac:dyDescent="0.25">
      <c r="AK2802" s="21">
        <f>_xll.qlCalendarAdvance(calendar,AK2801,"1D")</f>
        <v>46541</v>
      </c>
      <c r="AL2802" s="21">
        <f>_xll.qlInterestRateIndexValueDate(hiborindex,AK2802)</f>
        <v>46545</v>
      </c>
      <c r="AM2802" s="23">
        <f>_xll.qlIndexFixing(hiborindex,AK2802)</f>
        <v>1.3044629491969568E-2</v>
      </c>
    </row>
    <row r="2803" spans="37:39" x14ac:dyDescent="0.25">
      <c r="AK2803" s="21">
        <f>_xll.qlCalendarAdvance(calendar,AK2802,"1D")</f>
        <v>46542</v>
      </c>
      <c r="AL2803" s="21">
        <f>_xll.qlInterestRateIndexValueDate(hiborindex,AK2803)</f>
        <v>46546</v>
      </c>
      <c r="AM2803" s="23">
        <f>_xll.qlIndexFixing(hiborindex,AK2803)</f>
        <v>1.3043038499865605E-2</v>
      </c>
    </row>
    <row r="2804" spans="37:39" x14ac:dyDescent="0.25">
      <c r="AK2804" s="21">
        <f>_xll.qlCalendarAdvance(calendar,AK2803,"1D")</f>
        <v>46545</v>
      </c>
      <c r="AL2804" s="21">
        <f>_xll.qlInterestRateIndexValueDate(hiborindex,AK2804)</f>
        <v>46547</v>
      </c>
      <c r="AM2804" s="23">
        <f>_xll.qlIndexFixing(hiborindex,AK2804)</f>
        <v>1.3041444689698046E-2</v>
      </c>
    </row>
    <row r="2805" spans="37:39" x14ac:dyDescent="0.25">
      <c r="AK2805" s="21">
        <f>_xll.qlCalendarAdvance(calendar,AK2804,"1D")</f>
        <v>46546</v>
      </c>
      <c r="AL2805" s="21">
        <f>_xll.qlInterestRateIndexValueDate(hiborindex,AK2805)</f>
        <v>46548</v>
      </c>
      <c r="AM2805" s="23">
        <f>_xll.qlIndexFixing(hiborindex,AK2805)</f>
        <v>1.3039848061473441E-2</v>
      </c>
    </row>
    <row r="2806" spans="37:39" x14ac:dyDescent="0.25">
      <c r="AK2806" s="21">
        <f>_xll.qlCalendarAdvance(calendar,AK2805,"1D")</f>
        <v>46547</v>
      </c>
      <c r="AL2806" s="21">
        <f>_xll.qlInterestRateIndexValueDate(hiborindex,AK2806)</f>
        <v>46549</v>
      </c>
      <c r="AM2806" s="23">
        <f>_xll.qlIndexFixing(hiborindex,AK2806)</f>
        <v>1.3041572827138028E-2</v>
      </c>
    </row>
    <row r="2807" spans="37:39" x14ac:dyDescent="0.25">
      <c r="AK2807" s="21">
        <f>_xll.qlCalendarAdvance(calendar,AK2806,"1D")</f>
        <v>46548</v>
      </c>
      <c r="AL2807" s="21">
        <f>_xll.qlInterestRateIndexValueDate(hiborindex,AK2807)</f>
        <v>46552</v>
      </c>
      <c r="AM2807" s="23">
        <f>_xll.qlIndexFixing(hiborindex,AK2807)</f>
        <v>1.3033433368143048E-2</v>
      </c>
    </row>
    <row r="2808" spans="37:39" x14ac:dyDescent="0.25">
      <c r="AK2808" s="21">
        <f>_xll.qlCalendarAdvance(calendar,AK2807,"1D")</f>
        <v>46549</v>
      </c>
      <c r="AL2808" s="21">
        <f>_xll.qlInterestRateIndexValueDate(hiborindex,AK2808)</f>
        <v>46553</v>
      </c>
      <c r="AM2808" s="23">
        <f>_xll.qlIndexFixing(hiborindex,AK2808)</f>
        <v>1.3031822649736744E-2</v>
      </c>
    </row>
    <row r="2809" spans="37:39" x14ac:dyDescent="0.25">
      <c r="AK2809" s="21">
        <f>_xll.qlCalendarAdvance(calendar,AK2808,"1D")</f>
        <v>46552</v>
      </c>
      <c r="AL2809" s="21">
        <f>_xll.qlInterestRateIndexValueDate(hiborindex,AK2809)</f>
        <v>46554</v>
      </c>
      <c r="AM2809" s="23">
        <f>_xll.qlIndexFixing(hiborindex,AK2809)</f>
        <v>1.3030209113314893E-2</v>
      </c>
    </row>
    <row r="2810" spans="37:39" x14ac:dyDescent="0.25">
      <c r="AK2810" s="21">
        <f>_xll.qlCalendarAdvance(calendar,AK2809,"1D")</f>
        <v>46553</v>
      </c>
      <c r="AL2810" s="21">
        <f>_xll.qlInterestRateIndexValueDate(hiborindex,AK2810)</f>
        <v>46555</v>
      </c>
      <c r="AM2810" s="23">
        <f>_xll.qlIndexFixing(hiborindex,AK2810)</f>
        <v>1.3028592758884046E-2</v>
      </c>
    </row>
    <row r="2811" spans="37:39" x14ac:dyDescent="0.25">
      <c r="AK2811" s="21">
        <f>_xll.qlCalendarAdvance(calendar,AK2810,"1D")</f>
        <v>46554</v>
      </c>
      <c r="AL2811" s="21">
        <f>_xll.qlInterestRateIndexValueDate(hiborindex,AK2811)</f>
        <v>46556</v>
      </c>
      <c r="AM2811" s="23">
        <f>_xll.qlIndexFixing(hiborindex,AK2811)</f>
        <v>1.3030722427599175E-2</v>
      </c>
    </row>
    <row r="2812" spans="37:39" x14ac:dyDescent="0.25">
      <c r="AK2812" s="21">
        <f>_xll.qlCalendarAdvance(calendar,AK2811,"1D")</f>
        <v>46555</v>
      </c>
      <c r="AL2812" s="21">
        <f>_xll.qlInterestRateIndexValueDate(hiborindex,AK2812)</f>
        <v>46559</v>
      </c>
      <c r="AM2812" s="23">
        <f>_xll.qlIndexFixing(hiborindex,AK2812)</f>
        <v>1.302209916120961E-2</v>
      </c>
    </row>
    <row r="2813" spans="37:39" x14ac:dyDescent="0.25">
      <c r="AK2813" s="21">
        <f>_xll.qlCalendarAdvance(calendar,AK2812,"1D")</f>
        <v>46556</v>
      </c>
      <c r="AL2813" s="21">
        <f>_xll.qlInterestRateIndexValueDate(hiborindex,AK2813)</f>
        <v>46560</v>
      </c>
      <c r="AM2813" s="23">
        <f>_xll.qlIndexFixing(hiborindex,AK2813)</f>
        <v>1.3020468716838183E-2</v>
      </c>
    </row>
    <row r="2814" spans="37:39" x14ac:dyDescent="0.25">
      <c r="AK2814" s="21">
        <f>_xll.qlCalendarAdvance(calendar,AK2813,"1D")</f>
        <v>46559</v>
      </c>
      <c r="AL2814" s="21">
        <f>_xll.qlInterestRateIndexValueDate(hiborindex,AK2814)</f>
        <v>46561</v>
      </c>
      <c r="AM2814" s="23">
        <f>_xll.qlIndexFixing(hiborindex,AK2814)</f>
        <v>1.3018835454499257E-2</v>
      </c>
    </row>
    <row r="2815" spans="37:39" x14ac:dyDescent="0.25">
      <c r="AK2815" s="21">
        <f>_xll.qlCalendarAdvance(calendar,AK2814,"1D")</f>
        <v>46560</v>
      </c>
      <c r="AL2815" s="21">
        <f>_xll.qlInterestRateIndexValueDate(hiborindex,AK2815)</f>
        <v>46562</v>
      </c>
      <c r="AM2815" s="23">
        <f>_xll.qlIndexFixing(hiborindex,AK2815)</f>
        <v>1.3017199374200259E-2</v>
      </c>
    </row>
    <row r="2816" spans="37:39" x14ac:dyDescent="0.25">
      <c r="AK2816" s="21">
        <f>_xll.qlCalendarAdvance(calendar,AK2815,"1D")</f>
        <v>46561</v>
      </c>
      <c r="AL2816" s="21">
        <f>_xll.qlInterestRateIndexValueDate(hiborindex,AK2816)</f>
        <v>46563</v>
      </c>
      <c r="AM2816" s="23">
        <f>_xll.qlIndexFixing(hiborindex,AK2816)</f>
        <v>1.3019735425568408E-2</v>
      </c>
    </row>
    <row r="2817" spans="37:39" x14ac:dyDescent="0.25">
      <c r="AK2817" s="21">
        <f>_xll.qlCalendarAdvance(calendar,AK2816,"1D")</f>
        <v>46562</v>
      </c>
      <c r="AL2817" s="21">
        <f>_xll.qlInterestRateIndexValueDate(hiborindex,AK2817)</f>
        <v>46566</v>
      </c>
      <c r="AM2817" s="23">
        <f>_xll.qlIndexFixing(hiborindex,AK2817)</f>
        <v>1.3010626873541131E-2</v>
      </c>
    </row>
    <row r="2818" spans="37:39" x14ac:dyDescent="0.25">
      <c r="AK2818" s="21">
        <f>_xll.qlCalendarAdvance(calendar,AK2817,"1D")</f>
        <v>46563</v>
      </c>
      <c r="AL2818" s="21">
        <f>_xll.qlInterestRateIndexValueDate(hiborindex,AK2818)</f>
        <v>46567</v>
      </c>
      <c r="AM2818" s="23">
        <f>_xll.qlIndexFixing(hiborindex,AK2818)</f>
        <v>1.3008976703545727E-2</v>
      </c>
    </row>
    <row r="2819" spans="37:39" x14ac:dyDescent="0.25">
      <c r="AK2819" s="21">
        <f>_xll.qlCalendarAdvance(calendar,AK2818,"1D")</f>
        <v>46566</v>
      </c>
      <c r="AL2819" s="21">
        <f>_xll.qlInterestRateIndexValueDate(hiborindex,AK2819)</f>
        <v>46568</v>
      </c>
      <c r="AM2819" s="23">
        <f>_xll.qlIndexFixing(hiborindex,AK2819)</f>
        <v>1.3009563748775113E-2</v>
      </c>
    </row>
    <row r="2820" spans="37:39" x14ac:dyDescent="0.25">
      <c r="AK2820" s="21">
        <f>_xll.qlCalendarAdvance(calendar,AK2819,"1D")</f>
        <v>46567</v>
      </c>
      <c r="AL2820" s="21">
        <f>_xll.qlInterestRateIndexValueDate(hiborindex,AK2820)</f>
        <v>46569</v>
      </c>
      <c r="AM2820" s="23">
        <f>_xll.qlIndexFixing(hiborindex,AK2820)</f>
        <v>1.3018055694484559E-2</v>
      </c>
    </row>
    <row r="2821" spans="37:39" x14ac:dyDescent="0.25">
      <c r="AK2821" s="21">
        <f>_xll.qlCalendarAdvance(calendar,AK2820,"1D")</f>
        <v>46568</v>
      </c>
      <c r="AL2821" s="21">
        <f>_xll.qlInterestRateIndexValueDate(hiborindex,AK2821)</f>
        <v>46570</v>
      </c>
      <c r="AM2821" s="23">
        <f>_xll.qlIndexFixing(hiborindex,AK2821)</f>
        <v>1.3019826490834871E-2</v>
      </c>
    </row>
    <row r="2822" spans="37:39" x14ac:dyDescent="0.25">
      <c r="AK2822" s="21">
        <f>_xll.qlCalendarAdvance(calendar,AK2821,"1D")</f>
        <v>46569</v>
      </c>
      <c r="AL2822" s="21">
        <f>_xll.qlInterestRateIndexValueDate(hiborindex,AK2822)</f>
        <v>46573</v>
      </c>
      <c r="AM2822" s="23">
        <f>_xll.qlIndexFixing(hiborindex,AK2822)</f>
        <v>1.3029619458824339E-2</v>
      </c>
    </row>
    <row r="2823" spans="37:39" x14ac:dyDescent="0.25">
      <c r="AK2823" s="21">
        <f>_xll.qlCalendarAdvance(calendar,AK2822,"1D")</f>
        <v>46570</v>
      </c>
      <c r="AL2823" s="21">
        <f>_xll.qlInterestRateIndexValueDate(hiborindex,AK2823)</f>
        <v>46574</v>
      </c>
      <c r="AM2823" s="23">
        <f>_xll.qlIndexFixing(hiborindex,AK2823)</f>
        <v>1.3033630625341103E-2</v>
      </c>
    </row>
    <row r="2824" spans="37:39" x14ac:dyDescent="0.25">
      <c r="AK2824" s="21">
        <f>_xll.qlCalendarAdvance(calendar,AK2823,"1D")</f>
        <v>46573</v>
      </c>
      <c r="AL2824" s="21">
        <f>_xll.qlInterestRateIndexValueDate(hiborindex,AK2824)</f>
        <v>46575</v>
      </c>
      <c r="AM2824" s="23">
        <f>_xll.qlIndexFixing(hiborindex,AK2824)</f>
        <v>1.3037641800026983E-2</v>
      </c>
    </row>
    <row r="2825" spans="37:39" x14ac:dyDescent="0.25">
      <c r="AK2825" s="21">
        <f>_xll.qlCalendarAdvance(calendar,AK2824,"1D")</f>
        <v>46574</v>
      </c>
      <c r="AL2825" s="21">
        <f>_xll.qlInterestRateIndexValueDate(hiborindex,AK2825)</f>
        <v>46576</v>
      </c>
      <c r="AM2825" s="23">
        <f>_xll.qlIndexFixing(hiborindex,AK2825)</f>
        <v>1.3046135886237457E-2</v>
      </c>
    </row>
    <row r="2826" spans="37:39" x14ac:dyDescent="0.25">
      <c r="AK2826" s="21">
        <f>_xll.qlCalendarAdvance(calendar,AK2825,"1D")</f>
        <v>46575</v>
      </c>
      <c r="AL2826" s="21">
        <f>_xll.qlInterestRateIndexValueDate(hiborindex,AK2826)</f>
        <v>46577</v>
      </c>
      <c r="AM2826" s="23">
        <f>_xll.qlIndexFixing(hiborindex,AK2826)</f>
        <v>1.3047905698251162E-2</v>
      </c>
    </row>
    <row r="2827" spans="37:39" x14ac:dyDescent="0.25">
      <c r="AK2827" s="21">
        <f>_xll.qlCalendarAdvance(calendar,AK2826,"1D")</f>
        <v>46576</v>
      </c>
      <c r="AL2827" s="21">
        <f>_xll.qlInterestRateIndexValueDate(hiborindex,AK2827)</f>
        <v>46580</v>
      </c>
      <c r="AM2827" s="23">
        <f>_xll.qlIndexFixing(hiborindex,AK2827)</f>
        <v>1.3057697795994456E-2</v>
      </c>
    </row>
    <row r="2828" spans="37:39" x14ac:dyDescent="0.25">
      <c r="AK2828" s="21">
        <f>_xll.qlCalendarAdvance(calendar,AK2827,"1D")</f>
        <v>46577</v>
      </c>
      <c r="AL2828" s="21">
        <f>_xll.qlInterestRateIndexValueDate(hiborindex,AK2828)</f>
        <v>46581</v>
      </c>
      <c r="AM2828" s="23">
        <f>_xll.qlIndexFixing(hiborindex,AK2828)</f>
        <v>1.3061709019695477E-2</v>
      </c>
    </row>
    <row r="2829" spans="37:39" x14ac:dyDescent="0.25">
      <c r="AK2829" s="21">
        <f>_xll.qlCalendarAdvance(calendar,AK2828,"1D")</f>
        <v>46580</v>
      </c>
      <c r="AL2829" s="21">
        <f>_xll.qlInterestRateIndexValueDate(hiborindex,AK2829)</f>
        <v>46582</v>
      </c>
      <c r="AM2829" s="23">
        <f>_xll.qlIndexFixing(hiborindex,AK2829)</f>
        <v>1.306572025156605E-2</v>
      </c>
    </row>
    <row r="2830" spans="37:39" x14ac:dyDescent="0.25">
      <c r="AK2830" s="21">
        <f>_xll.qlCalendarAdvance(calendar,AK2829,"1D")</f>
        <v>46581</v>
      </c>
      <c r="AL2830" s="21">
        <f>_xll.qlInterestRateIndexValueDate(hiborindex,AK2830)</f>
        <v>46583</v>
      </c>
      <c r="AM2830" s="23">
        <f>_xll.qlIndexFixing(hiborindex,AK2830)</f>
        <v>1.3074216482658481E-2</v>
      </c>
    </row>
    <row r="2831" spans="37:39" x14ac:dyDescent="0.25">
      <c r="AK2831" s="21">
        <f>_xll.qlCalendarAdvance(calendar,AK2830,"1D")</f>
        <v>46582</v>
      </c>
      <c r="AL2831" s="21">
        <f>_xll.qlInterestRateIndexValueDate(hiborindex,AK2831)</f>
        <v>46584</v>
      </c>
      <c r="AM2831" s="23">
        <f>_xll.qlIndexFixing(hiborindex,AK2831)</f>
        <v>1.3075985308145502E-2</v>
      </c>
    </row>
    <row r="2832" spans="37:39" x14ac:dyDescent="0.25">
      <c r="AK2832" s="21">
        <f>_xll.qlCalendarAdvance(calendar,AK2831,"1D")</f>
        <v>46583</v>
      </c>
      <c r="AL2832" s="21">
        <f>_xll.qlInterestRateIndexValueDate(hiborindex,AK2832)</f>
        <v>46587</v>
      </c>
      <c r="AM2832" s="23">
        <f>_xll.qlIndexFixing(hiborindex,AK2832)</f>
        <v>1.3085776533455678E-2</v>
      </c>
    </row>
    <row r="2833" spans="37:39" x14ac:dyDescent="0.25">
      <c r="AK2833" s="21">
        <f>_xll.qlCalendarAdvance(calendar,AK2832,"1D")</f>
        <v>46584</v>
      </c>
      <c r="AL2833" s="21">
        <f>_xll.qlInterestRateIndexValueDate(hiborindex,AK2833)</f>
        <v>46588</v>
      </c>
      <c r="AM2833" s="23">
        <f>_xll.qlIndexFixing(hiborindex,AK2833)</f>
        <v>1.308978781434139E-2</v>
      </c>
    </row>
    <row r="2834" spans="37:39" x14ac:dyDescent="0.25">
      <c r="AK2834" s="21">
        <f>_xll.qlCalendarAdvance(calendar,AK2833,"1D")</f>
        <v>46587</v>
      </c>
      <c r="AL2834" s="21">
        <f>_xll.qlInterestRateIndexValueDate(hiborindex,AK2834)</f>
        <v>46589</v>
      </c>
      <c r="AM2834" s="23">
        <f>_xll.qlIndexFixing(hiborindex,AK2834)</f>
        <v>1.3093799103396656E-2</v>
      </c>
    </row>
    <row r="2835" spans="37:39" x14ac:dyDescent="0.25">
      <c r="AK2835" s="21">
        <f>_xll.qlCalendarAdvance(calendar,AK2834,"1D")</f>
        <v>46588</v>
      </c>
      <c r="AL2835" s="21">
        <f>_xll.qlInterestRateIndexValueDate(hiborindex,AK2835)</f>
        <v>46590</v>
      </c>
      <c r="AM2835" s="23">
        <f>_xll.qlIndexFixing(hiborindex,AK2835)</f>
        <v>1.3102297483754077E-2</v>
      </c>
    </row>
    <row r="2836" spans="37:39" x14ac:dyDescent="0.25">
      <c r="AK2836" s="21">
        <f>_xll.qlCalendarAdvance(calendar,AK2835,"1D")</f>
        <v>46589</v>
      </c>
      <c r="AL2836" s="21">
        <f>_xll.qlInterestRateIndexValueDate(hiborindex,AK2836)</f>
        <v>46591</v>
      </c>
      <c r="AM2836" s="23">
        <f>_xll.qlIndexFixing(hiborindex,AK2836)</f>
        <v>1.3104065320524376E-2</v>
      </c>
    </row>
    <row r="2837" spans="37:39" x14ac:dyDescent="0.25">
      <c r="AK2837" s="21">
        <f>_xll.qlCalendarAdvance(calendar,AK2836,"1D")</f>
        <v>46590</v>
      </c>
      <c r="AL2837" s="21">
        <f>_xll.qlInterestRateIndexValueDate(hiborindex,AK2837)</f>
        <v>46594</v>
      </c>
      <c r="AM2837" s="23">
        <f>_xll.qlIndexFixing(hiborindex,AK2837)</f>
        <v>1.3113855671213218E-2</v>
      </c>
    </row>
    <row r="2838" spans="37:39" x14ac:dyDescent="0.25">
      <c r="AK2838" s="21">
        <f>_xll.qlCalendarAdvance(calendar,AK2837,"1D")</f>
        <v>46591</v>
      </c>
      <c r="AL2838" s="21">
        <f>_xll.qlInterestRateIndexValueDate(hiborindex,AK2838)</f>
        <v>46595</v>
      </c>
      <c r="AM2838" s="23">
        <f>_xll.qlIndexFixing(hiborindex,AK2838)</f>
        <v>1.311786700928449E-2</v>
      </c>
    </row>
    <row r="2839" spans="37:39" x14ac:dyDescent="0.25">
      <c r="AK2839" s="21">
        <f>_xll.qlCalendarAdvance(calendar,AK2838,"1D")</f>
        <v>46594</v>
      </c>
      <c r="AL2839" s="21">
        <f>_xll.qlInterestRateIndexValueDate(hiborindex,AK2839)</f>
        <v>46596</v>
      </c>
      <c r="AM2839" s="23">
        <f>_xll.qlIndexFixing(hiborindex,AK2839)</f>
        <v>1.3121878355525316E-2</v>
      </c>
    </row>
    <row r="2840" spans="37:39" x14ac:dyDescent="0.25">
      <c r="AK2840" s="21">
        <f>_xll.qlCalendarAdvance(calendar,AK2839,"1D")</f>
        <v>46595</v>
      </c>
      <c r="AL2840" s="21">
        <f>_xll.qlInterestRateIndexValueDate(hiborindex,AK2840)</f>
        <v>46597</v>
      </c>
      <c r="AM2840" s="23">
        <f>_xll.qlIndexFixing(hiborindex,AK2840)</f>
        <v>1.3130378889529405E-2</v>
      </c>
    </row>
    <row r="2841" spans="37:39" x14ac:dyDescent="0.25">
      <c r="AK2841" s="21">
        <f>_xll.qlCalendarAdvance(calendar,AK2840,"1D")</f>
        <v>46596</v>
      </c>
      <c r="AL2841" s="21">
        <f>_xll.qlInterestRateIndexValueDate(hiborindex,AK2841)</f>
        <v>46598</v>
      </c>
      <c r="AM2841" s="23">
        <f>_xll.qlIndexFixing(hiborindex,AK2841)</f>
        <v>1.31321457353934E-2</v>
      </c>
    </row>
    <row r="2842" spans="37:39" x14ac:dyDescent="0.25">
      <c r="AK2842" s="21">
        <f>_xll.qlCalendarAdvance(calendar,AK2841,"1D")</f>
        <v>46597</v>
      </c>
      <c r="AL2842" s="21">
        <f>_xll.qlInterestRateIndexValueDate(hiborindex,AK2842)</f>
        <v>46601</v>
      </c>
      <c r="AM2842" s="23">
        <f>_xll.qlIndexFixing(hiborindex,AK2842)</f>
        <v>1.3141935209272721E-2</v>
      </c>
    </row>
    <row r="2843" spans="37:39" x14ac:dyDescent="0.25">
      <c r="AK2843" s="21">
        <f>_xll.qlCalendarAdvance(calendar,AK2842,"1D")</f>
        <v>46598</v>
      </c>
      <c r="AL2843" s="21">
        <f>_xll.qlInterestRateIndexValueDate(hiborindex,AK2843)</f>
        <v>46602</v>
      </c>
      <c r="AM2843" s="23">
        <f>_xll.qlIndexFixing(hiborindex,AK2843)</f>
        <v>1.3145946604530424E-2</v>
      </c>
    </row>
    <row r="2844" spans="37:39" x14ac:dyDescent="0.25">
      <c r="AK2844" s="21">
        <f>_xll.qlCalendarAdvance(calendar,AK2843,"1D")</f>
        <v>46601</v>
      </c>
      <c r="AL2844" s="21">
        <f>_xll.qlInterestRateIndexValueDate(hiborindex,AK2844)</f>
        <v>46603</v>
      </c>
      <c r="AM2844" s="23">
        <f>_xll.qlIndexFixing(hiborindex,AK2844)</f>
        <v>1.3149958007958113E-2</v>
      </c>
    </row>
    <row r="2845" spans="37:39" x14ac:dyDescent="0.25">
      <c r="AK2845" s="21">
        <f>_xll.qlCalendarAdvance(calendar,AK2844,"1D")</f>
        <v>46602</v>
      </c>
      <c r="AL2845" s="21">
        <f>_xll.qlInterestRateIndexValueDate(hiborindex,AK2845)</f>
        <v>46604</v>
      </c>
      <c r="AM2845" s="23">
        <f>_xll.qlIndexFixing(hiborindex,AK2845)</f>
        <v>1.3158460699990911E-2</v>
      </c>
    </row>
    <row r="2846" spans="37:39" x14ac:dyDescent="0.25">
      <c r="AK2846" s="21">
        <f>_xll.qlCalendarAdvance(calendar,AK2845,"1D")</f>
        <v>46603</v>
      </c>
      <c r="AL2846" s="21">
        <f>_xll.qlInterestRateIndexValueDate(hiborindex,AK2846)</f>
        <v>46605</v>
      </c>
      <c r="AM2846" s="23">
        <f>_xll.qlIndexFixing(hiborindex,AK2846)</f>
        <v>1.3160226552758621E-2</v>
      </c>
    </row>
    <row r="2847" spans="37:39" x14ac:dyDescent="0.25">
      <c r="AK2847" s="21">
        <f>_xll.qlCalendarAdvance(calendar,AK2846,"1D")</f>
        <v>46604</v>
      </c>
      <c r="AL2847" s="21">
        <f>_xll.qlInterestRateIndexValueDate(hiborindex,AK2847)</f>
        <v>46608</v>
      </c>
      <c r="AM2847" s="23">
        <f>_xll.qlIndexFixing(hiborindex,AK2847)</f>
        <v>1.317001514763984E-2</v>
      </c>
    </row>
    <row r="2848" spans="37:39" x14ac:dyDescent="0.25">
      <c r="AK2848" s="21">
        <f>_xll.qlCalendarAdvance(calendar,AK2847,"1D")</f>
        <v>46605</v>
      </c>
      <c r="AL2848" s="21">
        <f>_xll.qlInterestRateIndexValueDate(hiborindex,AK2848)</f>
        <v>46609</v>
      </c>
      <c r="AM2848" s="23">
        <f>_xll.qlIndexFixing(hiborindex,AK2848)</f>
        <v>1.3174026600085275E-2</v>
      </c>
    </row>
    <row r="2849" spans="37:39" x14ac:dyDescent="0.25">
      <c r="AK2849" s="21">
        <f>_xll.qlCalendarAdvance(calendar,AK2848,"1D")</f>
        <v>46608</v>
      </c>
      <c r="AL2849" s="21">
        <f>_xll.qlInterestRateIndexValueDate(hiborindex,AK2849)</f>
        <v>46610</v>
      </c>
      <c r="AM2849" s="23">
        <f>_xll.qlIndexFixing(hiborindex,AK2849)</f>
        <v>1.3178038060699828E-2</v>
      </c>
    </row>
    <row r="2850" spans="37:39" x14ac:dyDescent="0.25">
      <c r="AK2850" s="21">
        <f>_xll.qlCalendarAdvance(calendar,AK2849,"1D")</f>
        <v>46609</v>
      </c>
      <c r="AL2850" s="21">
        <f>_xll.qlInterestRateIndexValueDate(hiborindex,AK2850)</f>
        <v>46611</v>
      </c>
      <c r="AM2850" s="23">
        <f>_xll.qlIndexFixing(hiborindex,AK2850)</f>
        <v>1.318654291514461E-2</v>
      </c>
    </row>
    <row r="2851" spans="37:39" x14ac:dyDescent="0.25">
      <c r="AK2851" s="21">
        <f>_xll.qlCalendarAdvance(calendar,AK2850,"1D")</f>
        <v>46610</v>
      </c>
      <c r="AL2851" s="21">
        <f>_xll.qlInterestRateIndexValueDate(hiborindex,AK2851)</f>
        <v>46612</v>
      </c>
      <c r="AM2851" s="23">
        <f>_xll.qlIndexFixing(hiborindex,AK2851)</f>
        <v>1.3188307772625658E-2</v>
      </c>
    </row>
    <row r="2852" spans="37:39" x14ac:dyDescent="0.25">
      <c r="AK2852" s="21">
        <f>_xll.qlCalendarAdvance(calendar,AK2851,"1D")</f>
        <v>46611</v>
      </c>
      <c r="AL2852" s="21">
        <f>_xll.qlInterestRateIndexValueDate(hiborindex,AK2852)</f>
        <v>46615</v>
      </c>
      <c r="AM2852" s="23">
        <f>_xll.qlIndexFixing(hiborindex,AK2852)</f>
        <v>1.3198095486320652E-2</v>
      </c>
    </row>
    <row r="2853" spans="37:39" x14ac:dyDescent="0.25">
      <c r="AK2853" s="21">
        <f>_xll.qlCalendarAdvance(calendar,AK2852,"1D")</f>
        <v>46612</v>
      </c>
      <c r="AL2853" s="21">
        <f>_xll.qlInterestRateIndexValueDate(hiborindex,AK2853)</f>
        <v>46616</v>
      </c>
      <c r="AM2853" s="23">
        <f>_xll.qlIndexFixing(hiborindex,AK2853)</f>
        <v>1.3202106995954256E-2</v>
      </c>
    </row>
    <row r="2854" spans="37:39" x14ac:dyDescent="0.25">
      <c r="AK2854" s="21">
        <f>_xll.qlCalendarAdvance(calendar,AK2853,"1D")</f>
        <v>46615</v>
      </c>
      <c r="AL2854" s="21">
        <f>_xll.qlInterestRateIndexValueDate(hiborindex,AK2854)</f>
        <v>46617</v>
      </c>
      <c r="AM2854" s="23">
        <f>_xll.qlIndexFixing(hiborindex,AK2854)</f>
        <v>1.3206118513757411E-2</v>
      </c>
    </row>
    <row r="2855" spans="37:39" x14ac:dyDescent="0.25">
      <c r="AK2855" s="21">
        <f>_xll.qlCalendarAdvance(calendar,AK2854,"1D")</f>
        <v>46616</v>
      </c>
      <c r="AL2855" s="21">
        <f>_xll.qlInterestRateIndexValueDate(hiborindex,AK2855)</f>
        <v>46618</v>
      </c>
      <c r="AM2855" s="23">
        <f>_xll.qlIndexFixing(hiborindex,AK2855)</f>
        <v>1.3214625534995229E-2</v>
      </c>
    </row>
    <row r="2856" spans="37:39" x14ac:dyDescent="0.25">
      <c r="AK2856" s="21">
        <f>_xll.qlCalendarAdvance(calendar,AK2855,"1D")</f>
        <v>46617</v>
      </c>
      <c r="AL2856" s="21">
        <f>_xll.qlInterestRateIndexValueDate(hiborindex,AK2856)</f>
        <v>46619</v>
      </c>
      <c r="AM2856" s="23">
        <f>_xll.qlIndexFixing(hiborindex,AK2856)</f>
        <v>1.3216389395000128E-2</v>
      </c>
    </row>
    <row r="2857" spans="37:39" x14ac:dyDescent="0.25">
      <c r="AK2857" s="21">
        <f>_xll.qlCalendarAdvance(calendar,AK2856,"1D")</f>
        <v>46618</v>
      </c>
      <c r="AL2857" s="21">
        <f>_xll.qlInterestRateIndexValueDate(hiborindex,AK2857)</f>
        <v>46622</v>
      </c>
      <c r="AM2857" s="23">
        <f>_xll.qlIndexFixing(hiborindex,AK2857)</f>
        <v>1.322617622532081E-2</v>
      </c>
    </row>
    <row r="2858" spans="37:39" x14ac:dyDescent="0.25">
      <c r="AK2858" s="21">
        <f>_xll.qlCalendarAdvance(calendar,AK2857,"1D")</f>
        <v>46619</v>
      </c>
      <c r="AL2858" s="21">
        <f>_xll.qlInterestRateIndexValueDate(hiborindex,AK2858)</f>
        <v>46623</v>
      </c>
      <c r="AM2858" s="23">
        <f>_xll.qlIndexFixing(hiborindex,AK2858)</f>
        <v>1.3230187792143014E-2</v>
      </c>
    </row>
    <row r="2859" spans="37:39" x14ac:dyDescent="0.25">
      <c r="AK2859" s="21">
        <f>_xll.qlCalendarAdvance(calendar,AK2858,"1D")</f>
        <v>46622</v>
      </c>
      <c r="AL2859" s="21">
        <f>_xll.qlInterestRateIndexValueDate(hiborindex,AK2859)</f>
        <v>46624</v>
      </c>
      <c r="AM2859" s="23">
        <f>_xll.qlIndexFixing(hiborindex,AK2859)</f>
        <v>1.3234199367135204E-2</v>
      </c>
    </row>
    <row r="2860" spans="37:39" x14ac:dyDescent="0.25">
      <c r="AK2860" s="21">
        <f>_xll.qlCalendarAdvance(calendar,AK2859,"1D")</f>
        <v>46623</v>
      </c>
      <c r="AL2860" s="21">
        <f>_xll.qlInterestRateIndexValueDate(hiborindex,AK2860)</f>
        <v>46625</v>
      </c>
      <c r="AM2860" s="23">
        <f>_xll.qlIndexFixing(hiborindex,AK2860)</f>
        <v>1.3242708559549217E-2</v>
      </c>
    </row>
    <row r="2861" spans="37:39" x14ac:dyDescent="0.25">
      <c r="AK2861" s="21">
        <f>_xll.qlCalendarAdvance(calendar,AK2860,"1D")</f>
        <v>46624</v>
      </c>
      <c r="AL2861" s="21">
        <f>_xll.qlInterestRateIndexValueDate(hiborindex,AK2861)</f>
        <v>46626</v>
      </c>
      <c r="AM2861" s="23">
        <f>_xll.qlIndexFixing(hiborindex,AK2861)</f>
        <v>1.3244471419887216E-2</v>
      </c>
    </row>
    <row r="2862" spans="37:39" x14ac:dyDescent="0.25">
      <c r="AK2862" s="21">
        <f>_xll.qlCalendarAdvance(calendar,AK2861,"1D")</f>
        <v>46625</v>
      </c>
      <c r="AL2862" s="21">
        <f>_xll.qlInterestRateIndexValueDate(hiborindex,AK2862)</f>
        <v>46629</v>
      </c>
      <c r="AM2862" s="23">
        <f>_xll.qlIndexFixing(hiborindex,AK2862)</f>
        <v>1.3252008187860799E-2</v>
      </c>
    </row>
    <row r="2863" spans="37:39" x14ac:dyDescent="0.25">
      <c r="AK2863" s="21">
        <f>_xll.qlCalendarAdvance(calendar,AK2862,"1D")</f>
        <v>46626</v>
      </c>
      <c r="AL2863" s="21">
        <f>_xll.qlInterestRateIndexValueDate(hiborindex,AK2863)</f>
        <v>46630</v>
      </c>
      <c r="AM2863" s="23">
        <f>_xll.qlIndexFixing(hiborindex,AK2863)</f>
        <v>1.3253770487733523E-2</v>
      </c>
    </row>
    <row r="2864" spans="37:39" x14ac:dyDescent="0.25">
      <c r="AK2864" s="21">
        <f>_xll.qlCalendarAdvance(calendar,AK2863,"1D")</f>
        <v>46629</v>
      </c>
      <c r="AL2864" s="21">
        <f>_xll.qlInterestRateIndexValueDate(hiborindex,AK2864)</f>
        <v>46631</v>
      </c>
      <c r="AM2864" s="23">
        <f>_xll.qlIndexFixing(hiborindex,AK2864)</f>
        <v>1.3257781817313232E-2</v>
      </c>
    </row>
    <row r="2865" spans="37:39" x14ac:dyDescent="0.25">
      <c r="AK2865" s="21">
        <f>_xll.qlCalendarAdvance(calendar,AK2864,"1D")</f>
        <v>46630</v>
      </c>
      <c r="AL2865" s="21">
        <f>_xll.qlInterestRateIndexValueDate(hiborindex,AK2865)</f>
        <v>46632</v>
      </c>
      <c r="AM2865" s="23">
        <f>_xll.qlIndexFixing(hiborindex,AK2865)</f>
        <v>1.3261793154973511E-2</v>
      </c>
    </row>
    <row r="2866" spans="37:39" x14ac:dyDescent="0.25">
      <c r="AK2866" s="21">
        <f>_xll.qlCalendarAdvance(calendar,AK2865,"1D")</f>
        <v>46631</v>
      </c>
      <c r="AL2866" s="21">
        <f>_xll.qlInterestRateIndexValueDate(hiborindex,AK2866)</f>
        <v>46633</v>
      </c>
      <c r="AM2866" s="23">
        <f>_xll.qlIndexFixing(hiborindex,AK2866)</f>
        <v>1.326580450071436E-2</v>
      </c>
    </row>
    <row r="2867" spans="37:39" x14ac:dyDescent="0.25">
      <c r="AK2867" s="21">
        <f>_xll.qlCalendarAdvance(calendar,AK2866,"1D")</f>
        <v>46632</v>
      </c>
      <c r="AL2867" s="21">
        <f>_xll.qlInterestRateIndexValueDate(hiborindex,AK2867)</f>
        <v>46636</v>
      </c>
      <c r="AM2867" s="23">
        <f>_xll.qlIndexFixing(hiborindex,AK2867)</f>
        <v>1.3277838586420756E-2</v>
      </c>
    </row>
    <row r="2868" spans="37:39" x14ac:dyDescent="0.25">
      <c r="AK2868" s="21">
        <f>_xll.qlCalendarAdvance(calendar,AK2867,"1D")</f>
        <v>46633</v>
      </c>
      <c r="AL2868" s="21">
        <f>_xll.qlInterestRateIndexValueDate(hiborindex,AK2868)</f>
        <v>46637</v>
      </c>
      <c r="AM2868" s="23">
        <f>_xll.qlIndexFixing(hiborindex,AK2868)</f>
        <v>1.3281849964483882E-2</v>
      </c>
    </row>
    <row r="2869" spans="37:39" x14ac:dyDescent="0.25">
      <c r="AK2869" s="21">
        <f>_xll.qlCalendarAdvance(calendar,AK2868,"1D")</f>
        <v>46636</v>
      </c>
      <c r="AL2869" s="21">
        <f>_xll.qlInterestRateIndexValueDate(hiborindex,AK2869)</f>
        <v>46638</v>
      </c>
      <c r="AM2869" s="23">
        <f>_xll.qlIndexFixing(hiborindex,AK2869)</f>
        <v>1.3285861350628453E-2</v>
      </c>
    </row>
    <row r="2870" spans="37:39" x14ac:dyDescent="0.25">
      <c r="AK2870" s="21">
        <f>_xll.qlCalendarAdvance(calendar,AK2869,"1D")</f>
        <v>46637</v>
      </c>
      <c r="AL2870" s="21">
        <f>_xll.qlInterestRateIndexValueDate(hiborindex,AK2870)</f>
        <v>46639</v>
      </c>
      <c r="AM2870" s="23">
        <f>_xll.qlIndexFixing(hiborindex,AK2870)</f>
        <v>1.3289872744853595E-2</v>
      </c>
    </row>
    <row r="2871" spans="37:39" x14ac:dyDescent="0.25">
      <c r="AK2871" s="21">
        <f>_xll.qlCalendarAdvance(calendar,AK2870,"1D")</f>
        <v>46638</v>
      </c>
      <c r="AL2871" s="21">
        <f>_xll.qlInterestRateIndexValueDate(hiborindex,AK2871)</f>
        <v>46640</v>
      </c>
      <c r="AM2871" s="23">
        <f>_xll.qlIndexFixing(hiborindex,AK2871)</f>
        <v>1.3293884147159743E-2</v>
      </c>
    </row>
    <row r="2872" spans="37:39" x14ac:dyDescent="0.25">
      <c r="AK2872" s="21">
        <f>_xll.qlCalendarAdvance(calendar,AK2871,"1D")</f>
        <v>46639</v>
      </c>
      <c r="AL2872" s="21">
        <f>_xll.qlInterestRateIndexValueDate(hiborindex,AK2872)</f>
        <v>46643</v>
      </c>
      <c r="AM2872" s="23">
        <f>_xll.qlIndexFixing(hiborindex,AK2872)</f>
        <v>1.3305918402561609E-2</v>
      </c>
    </row>
    <row r="2873" spans="37:39" x14ac:dyDescent="0.25">
      <c r="AK2873" s="21">
        <f>_xll.qlCalendarAdvance(calendar,AK2872,"1D")</f>
        <v>46640</v>
      </c>
      <c r="AL2873" s="21">
        <f>_xll.qlInterestRateIndexValueDate(hiborindex,AK2873)</f>
        <v>46644</v>
      </c>
      <c r="AM2873" s="23">
        <f>_xll.qlIndexFixing(hiborindex,AK2873)</f>
        <v>1.3309929837190473E-2</v>
      </c>
    </row>
    <row r="2874" spans="37:39" x14ac:dyDescent="0.25">
      <c r="AK2874" s="21">
        <f>_xll.qlCalendarAdvance(calendar,AK2873,"1D")</f>
        <v>46643</v>
      </c>
      <c r="AL2874" s="21">
        <f>_xll.qlInterestRateIndexValueDate(hiborindex,AK2874)</f>
        <v>46645</v>
      </c>
      <c r="AM2874" s="23">
        <f>_xll.qlIndexFixing(hiborindex,AK2874)</f>
        <v>1.3313941279900347E-2</v>
      </c>
    </row>
    <row r="2875" spans="37:39" x14ac:dyDescent="0.25">
      <c r="AK2875" s="21">
        <f>_xll.qlCalendarAdvance(calendar,AK2874,"1D")</f>
        <v>46644</v>
      </c>
      <c r="AL2875" s="21">
        <f>_xll.qlInterestRateIndexValueDate(hiborindex,AK2875)</f>
        <v>46646</v>
      </c>
      <c r="AM2875" s="23">
        <f>_xll.qlIndexFixing(hiborindex,AK2875)</f>
        <v>1.331795273069079E-2</v>
      </c>
    </row>
    <row r="2876" spans="37:39" x14ac:dyDescent="0.25">
      <c r="AK2876" s="21">
        <f>_xll.qlCalendarAdvance(calendar,AK2875,"1D")</f>
        <v>46645</v>
      </c>
      <c r="AL2876" s="21">
        <f>_xll.qlInterestRateIndexValueDate(hiborindex,AK2876)</f>
        <v>46647</v>
      </c>
      <c r="AM2876" s="23">
        <f>_xll.qlIndexFixing(hiborindex,AK2876)</f>
        <v>1.3321964189562682E-2</v>
      </c>
    </row>
    <row r="2877" spans="37:39" x14ac:dyDescent="0.25">
      <c r="AK2877" s="21">
        <f>_xll.qlCalendarAdvance(calendar,AK2876,"1D")</f>
        <v>46646</v>
      </c>
      <c r="AL2877" s="21">
        <f>_xll.qlInterestRateIndexValueDate(hiborindex,AK2877)</f>
        <v>46650</v>
      </c>
      <c r="AM2877" s="23">
        <f>_xll.qlIndexFixing(hiborindex,AK2877)</f>
        <v>1.3333998614662647E-2</v>
      </c>
    </row>
    <row r="2878" spans="37:39" x14ac:dyDescent="0.25">
      <c r="AK2878" s="21">
        <f>_xll.qlCalendarAdvance(calendar,AK2877,"1D")</f>
        <v>46647</v>
      </c>
      <c r="AL2878" s="21">
        <f>_xll.qlInterestRateIndexValueDate(hiborindex,AK2878)</f>
        <v>46651</v>
      </c>
      <c r="AM2878" s="23">
        <f>_xll.qlIndexFixing(hiborindex,AK2878)</f>
        <v>1.3338010105858132E-2</v>
      </c>
    </row>
    <row r="2879" spans="37:39" x14ac:dyDescent="0.25">
      <c r="AK2879" s="21">
        <f>_xll.qlCalendarAdvance(calendar,AK2878,"1D")</f>
        <v>46650</v>
      </c>
      <c r="AL2879" s="21">
        <f>_xll.qlInterestRateIndexValueDate(hiborindex,AK2879)</f>
        <v>46652</v>
      </c>
      <c r="AM2879" s="23">
        <f>_xll.qlIndexFixing(hiborindex,AK2879)</f>
        <v>1.3342021605134187E-2</v>
      </c>
    </row>
    <row r="2880" spans="37:39" x14ac:dyDescent="0.25">
      <c r="AK2880" s="21">
        <f>_xll.qlCalendarAdvance(calendar,AK2879,"1D")</f>
        <v>46651</v>
      </c>
      <c r="AL2880" s="21">
        <f>_xll.qlInterestRateIndexValueDate(hiborindex,AK2880)</f>
        <v>46653</v>
      </c>
      <c r="AM2880" s="23">
        <f>_xll.qlIndexFixing(hiborindex,AK2880)</f>
        <v>1.3346033112491688E-2</v>
      </c>
    </row>
    <row r="2881" spans="37:39" x14ac:dyDescent="0.25">
      <c r="AK2881" s="21">
        <f>_xll.qlCalendarAdvance(calendar,AK2880,"1D")</f>
        <v>46652</v>
      </c>
      <c r="AL2881" s="21">
        <f>_xll.qlInterestRateIndexValueDate(hiborindex,AK2881)</f>
        <v>46654</v>
      </c>
      <c r="AM2881" s="23">
        <f>_xll.qlIndexFixing(hiborindex,AK2881)</f>
        <v>1.335004462792976E-2</v>
      </c>
    </row>
    <row r="2882" spans="37:39" x14ac:dyDescent="0.25">
      <c r="AK2882" s="21">
        <f>_xll.qlCalendarAdvance(calendar,AK2881,"1D")</f>
        <v>46653</v>
      </c>
      <c r="AL2882" s="21">
        <f>_xll.qlInterestRateIndexValueDate(hiborindex,AK2882)</f>
        <v>46657</v>
      </c>
      <c r="AM2882" s="23">
        <f>_xll.qlIndexFixing(hiborindex,AK2882)</f>
        <v>1.3362079222730463E-2</v>
      </c>
    </row>
    <row r="2883" spans="37:39" x14ac:dyDescent="0.25">
      <c r="AK2883" s="21">
        <f>_xll.qlCalendarAdvance(calendar,AK2882,"1D")</f>
        <v>46654</v>
      </c>
      <c r="AL2883" s="21">
        <f>_xll.qlInterestRateIndexValueDate(hiborindex,AK2883)</f>
        <v>46658</v>
      </c>
      <c r="AM2883" s="23">
        <f>_xll.qlIndexFixing(hiborindex,AK2883)</f>
        <v>1.3366090770492568E-2</v>
      </c>
    </row>
    <row r="2884" spans="37:39" x14ac:dyDescent="0.25">
      <c r="AK2884" s="21">
        <f>_xll.qlCalendarAdvance(calendar,AK2883,"1D")</f>
        <v>46657</v>
      </c>
      <c r="AL2884" s="21">
        <f>_xll.qlInterestRateIndexValueDate(hiborindex,AK2884)</f>
        <v>46659</v>
      </c>
      <c r="AM2884" s="23">
        <f>_xll.qlIndexFixing(hiborindex,AK2884)</f>
        <v>1.3370102326335681E-2</v>
      </c>
    </row>
    <row r="2885" spans="37:39" x14ac:dyDescent="0.25">
      <c r="AK2885" s="21">
        <f>_xll.qlCalendarAdvance(calendar,AK2884,"1D")</f>
        <v>46658</v>
      </c>
      <c r="AL2885" s="21">
        <f>_xll.qlInterestRateIndexValueDate(hiborindex,AK2885)</f>
        <v>46660</v>
      </c>
      <c r="AM2885" s="23">
        <f>_xll.qlIndexFixing(hiborindex,AK2885)</f>
        <v>1.3376367620852182E-2</v>
      </c>
    </row>
    <row r="2886" spans="37:39" x14ac:dyDescent="0.25">
      <c r="AK2886" s="21">
        <f>_xll.qlCalendarAdvance(calendar,AK2885,"1D")</f>
        <v>46659</v>
      </c>
      <c r="AL2886" s="21">
        <f>_xll.qlInterestRateIndexValueDate(hiborindex,AK2886)</f>
        <v>46661</v>
      </c>
      <c r="AM2886" s="23">
        <f>_xll.qlIndexFixing(hiborindex,AK2886)</f>
        <v>1.3384887582226238E-2</v>
      </c>
    </row>
    <row r="2887" spans="37:39" x14ac:dyDescent="0.25">
      <c r="AK2887" s="21">
        <f>_xll.qlCalendarAdvance(calendar,AK2886,"1D")</f>
        <v>46660</v>
      </c>
      <c r="AL2887" s="21">
        <f>_xll.qlInterestRateIndexValueDate(hiborindex,AK2887)</f>
        <v>46664</v>
      </c>
      <c r="AM2887" s="23">
        <f>_xll.qlIndexFixing(hiborindex,AK2887)</f>
        <v>1.3392414568099024E-2</v>
      </c>
    </row>
    <row r="2888" spans="37:39" x14ac:dyDescent="0.25">
      <c r="AK2888" s="21">
        <f>_xll.qlCalendarAdvance(calendar,AK2887,"1D")</f>
        <v>46661</v>
      </c>
      <c r="AL2888" s="21">
        <f>_xll.qlInterestRateIndexValueDate(hiborindex,AK2888)</f>
        <v>46665</v>
      </c>
      <c r="AM2888" s="23">
        <f>_xll.qlIndexFixing(hiborindex,AK2888)</f>
        <v>1.3396426325225742E-2</v>
      </c>
    </row>
    <row r="2889" spans="37:39" x14ac:dyDescent="0.25">
      <c r="AK2889" s="21">
        <f>_xll.qlCalendarAdvance(calendar,AK2888,"1D")</f>
        <v>46664</v>
      </c>
      <c r="AL2889" s="21">
        <f>_xll.qlInterestRateIndexValueDate(hiborindex,AK2889)</f>
        <v>46666</v>
      </c>
      <c r="AM2889" s="23">
        <f>_xll.qlIndexFixing(hiborindex,AK2889)</f>
        <v>1.3400438090477982E-2</v>
      </c>
    </row>
    <row r="2890" spans="37:39" x14ac:dyDescent="0.25">
      <c r="AK2890" s="21">
        <f>_xll.qlCalendarAdvance(calendar,AK2889,"1D")</f>
        <v>46665</v>
      </c>
      <c r="AL2890" s="21">
        <f>_xll.qlInterestRateIndexValueDate(hiborindex,AK2890)</f>
        <v>46667</v>
      </c>
      <c r="AM2890" s="23">
        <f>_xll.qlIndexFixing(hiborindex,AK2890)</f>
        <v>1.340444986385618E-2</v>
      </c>
    </row>
    <row r="2891" spans="37:39" x14ac:dyDescent="0.25">
      <c r="AK2891" s="21">
        <f>_xll.qlCalendarAdvance(calendar,AK2890,"1D")</f>
        <v>46666</v>
      </c>
      <c r="AL2891" s="21">
        <f>_xll.qlInterestRateIndexValueDate(hiborindex,AK2891)</f>
        <v>46668</v>
      </c>
      <c r="AM2891" s="23">
        <f>_xll.qlIndexFixing(hiborindex,AK2891)</f>
        <v>1.3412972022314769E-2</v>
      </c>
    </row>
    <row r="2892" spans="37:39" x14ac:dyDescent="0.25">
      <c r="AK2892" s="21">
        <f>_xll.qlCalendarAdvance(calendar,AK2891,"1D")</f>
        <v>46667</v>
      </c>
      <c r="AL2892" s="21">
        <f>_xll.qlInterestRateIndexValueDate(hiborindex,AK2892)</f>
        <v>46671</v>
      </c>
      <c r="AM2892" s="23">
        <f>_xll.qlIndexFixing(hiborindex,AK2892)</f>
        <v>1.342049703862856E-2</v>
      </c>
    </row>
    <row r="2893" spans="37:39" x14ac:dyDescent="0.25">
      <c r="AK2893" s="21">
        <f>_xll.qlCalendarAdvance(calendar,AK2892,"1D")</f>
        <v>46668</v>
      </c>
      <c r="AL2893" s="21">
        <f>_xll.qlInterestRateIndexValueDate(hiborindex,AK2893)</f>
        <v>46672</v>
      </c>
      <c r="AM2893" s="23">
        <f>_xll.qlIndexFixing(hiborindex,AK2893)</f>
        <v>1.3424508852636553E-2</v>
      </c>
    </row>
    <row r="2894" spans="37:39" x14ac:dyDescent="0.25">
      <c r="AK2894" s="21">
        <f>_xll.qlCalendarAdvance(calendar,AK2893,"1D")</f>
        <v>46671</v>
      </c>
      <c r="AL2894" s="21">
        <f>_xll.qlInterestRateIndexValueDate(hiborindex,AK2894)</f>
        <v>46673</v>
      </c>
      <c r="AM2894" s="23">
        <f>_xll.qlIndexFixing(hiborindex,AK2894)</f>
        <v>1.3428520674770504E-2</v>
      </c>
    </row>
    <row r="2895" spans="37:39" x14ac:dyDescent="0.25">
      <c r="AK2895" s="21">
        <f>_xll.qlCalendarAdvance(calendar,AK2894,"1D")</f>
        <v>46672</v>
      </c>
      <c r="AL2895" s="21">
        <f>_xll.qlInterestRateIndexValueDate(hiborindex,AK2895)</f>
        <v>46674</v>
      </c>
      <c r="AM2895" s="23">
        <f>_xll.qlIndexFixing(hiborindex,AK2895)</f>
        <v>1.3441557564838079E-2</v>
      </c>
    </row>
    <row r="2896" spans="37:39" x14ac:dyDescent="0.25">
      <c r="AK2896" s="21">
        <f>_xll.qlCalendarAdvance(calendar,AK2895,"1D")</f>
        <v>46673</v>
      </c>
      <c r="AL2896" s="21">
        <f>_xll.qlInterestRateIndexValueDate(hiborindex,AK2896)</f>
        <v>46675</v>
      </c>
      <c r="AM2896" s="23">
        <f>_xll.qlIndexFixing(hiborindex,AK2896)</f>
        <v>1.3443313362031742E-2</v>
      </c>
    </row>
    <row r="2897" spans="37:39" x14ac:dyDescent="0.25">
      <c r="AK2897" s="21">
        <f>_xll.qlCalendarAdvance(calendar,AK2896,"1D")</f>
        <v>46674</v>
      </c>
      <c r="AL2897" s="21">
        <f>_xll.qlInterestRateIndexValueDate(hiborindex,AK2897)</f>
        <v>46678</v>
      </c>
      <c r="AM2897" s="23">
        <f>_xll.qlIndexFixing(hiborindex,AK2897)</f>
        <v>1.344857990733183E-2</v>
      </c>
    </row>
    <row r="2898" spans="37:39" x14ac:dyDescent="0.25">
      <c r="AK2898" s="21">
        <f>_xll.qlCalendarAdvance(calendar,AK2897,"1D")</f>
        <v>46675</v>
      </c>
      <c r="AL2898" s="21">
        <f>_xll.qlInterestRateIndexValueDate(hiborindex,AK2898)</f>
        <v>46679</v>
      </c>
      <c r="AM2898" s="23">
        <f>_xll.qlIndexFixing(hiborindex,AK2898)</f>
        <v>1.3452591778222408E-2</v>
      </c>
    </row>
    <row r="2899" spans="37:39" x14ac:dyDescent="0.25">
      <c r="AK2899" s="21">
        <f>_xll.qlCalendarAdvance(calendar,AK2898,"1D")</f>
        <v>46678</v>
      </c>
      <c r="AL2899" s="21">
        <f>_xll.qlInterestRateIndexValueDate(hiborindex,AK2899)</f>
        <v>46680</v>
      </c>
      <c r="AM2899" s="23">
        <f>_xll.qlIndexFixing(hiborindex,AK2899)</f>
        <v>1.3456603657238947E-2</v>
      </c>
    </row>
    <row r="2900" spans="37:39" x14ac:dyDescent="0.25">
      <c r="AK2900" s="21">
        <f>_xll.qlCalendarAdvance(calendar,AK2899,"1D")</f>
        <v>46679</v>
      </c>
      <c r="AL2900" s="21">
        <f>_xll.qlInterestRateIndexValueDate(hiborindex,AK2900)</f>
        <v>46681</v>
      </c>
      <c r="AM2900" s="23">
        <f>_xll.qlIndexFixing(hiborindex,AK2900)</f>
        <v>1.346061554438188E-2</v>
      </c>
    </row>
    <row r="2901" spans="37:39" x14ac:dyDescent="0.25">
      <c r="AK2901" s="21">
        <f>_xll.qlCalendarAdvance(calendar,AK2900,"1D")</f>
        <v>46680</v>
      </c>
      <c r="AL2901" s="21">
        <f>_xll.qlInterestRateIndexValueDate(hiborindex,AK2901)</f>
        <v>46682</v>
      </c>
      <c r="AM2901" s="23">
        <f>_xll.qlIndexFixing(hiborindex,AK2901)</f>
        <v>1.3469142110158016E-2</v>
      </c>
    </row>
    <row r="2902" spans="37:39" x14ac:dyDescent="0.25">
      <c r="AK2902" s="21">
        <f>_xll.qlCalendarAdvance(calendar,AK2901,"1D")</f>
        <v>46681</v>
      </c>
      <c r="AL2902" s="21">
        <f>_xll.qlInterestRateIndexValueDate(hiborindex,AK2902)</f>
        <v>46685</v>
      </c>
      <c r="AM2902" s="23">
        <f>_xll.qlIndexFixing(hiborindex,AK2902)</f>
        <v>1.3476663174214077E-2</v>
      </c>
    </row>
    <row r="2903" spans="37:39" x14ac:dyDescent="0.25">
      <c r="AK2903" s="21">
        <f>_xll.qlCalendarAdvance(calendar,AK2902,"1D")</f>
        <v>46682</v>
      </c>
      <c r="AL2903" s="21">
        <f>_xll.qlInterestRateIndexValueDate(hiborindex,AK2903)</f>
        <v>46686</v>
      </c>
      <c r="AM2903" s="23">
        <f>_xll.qlIndexFixing(hiborindex,AK2903)</f>
        <v>1.3480675101988115E-2</v>
      </c>
    </row>
    <row r="2904" spans="37:39" x14ac:dyDescent="0.25">
      <c r="AK2904" s="21">
        <f>_xll.qlCalendarAdvance(calendar,AK2903,"1D")</f>
        <v>46685</v>
      </c>
      <c r="AL2904" s="21">
        <f>_xll.qlInterestRateIndexValueDate(hiborindex,AK2904)</f>
        <v>46687</v>
      </c>
      <c r="AM2904" s="23">
        <f>_xll.qlIndexFixing(hiborindex,AK2904)</f>
        <v>1.3484687037888111E-2</v>
      </c>
    </row>
    <row r="2905" spans="37:39" x14ac:dyDescent="0.25">
      <c r="AK2905" s="21">
        <f>_xll.qlCalendarAdvance(calendar,AK2904,"1D")</f>
        <v>46686</v>
      </c>
      <c r="AL2905" s="21">
        <f>_xll.qlInterestRateIndexValueDate(hiborindex,AK2905)</f>
        <v>46688</v>
      </c>
      <c r="AM2905" s="23">
        <f>_xll.qlIndexFixing(hiborindex,AK2905)</f>
        <v>1.3488698981914068E-2</v>
      </c>
    </row>
    <row r="2906" spans="37:39" x14ac:dyDescent="0.25">
      <c r="AK2906" s="21">
        <f>_xll.qlCalendarAdvance(calendar,AK2905,"1D")</f>
        <v>46687</v>
      </c>
      <c r="AL2906" s="21">
        <f>_xll.qlInterestRateIndexValueDate(hiborindex,AK2906)</f>
        <v>46689</v>
      </c>
      <c r="AM2906" s="23">
        <f>_xll.qlIndexFixing(hiborindex,AK2906)</f>
        <v>1.3490452759415241E-2</v>
      </c>
    </row>
    <row r="2907" spans="37:39" x14ac:dyDescent="0.25">
      <c r="AK2907" s="21">
        <f>_xll.qlCalendarAdvance(calendar,AK2906,"1D")</f>
        <v>46688</v>
      </c>
      <c r="AL2907" s="21">
        <f>_xll.qlInterestRateIndexValueDate(hiborindex,AK2907)</f>
        <v>46692</v>
      </c>
      <c r="AM2907" s="23">
        <f>_xll.qlIndexFixing(hiborindex,AK2907)</f>
        <v>1.350474683928185E-2</v>
      </c>
    </row>
    <row r="2908" spans="37:39" x14ac:dyDescent="0.25">
      <c r="AK2908" s="21">
        <f>_xll.qlCalendarAdvance(calendar,AK2907,"1D")</f>
        <v>46689</v>
      </c>
      <c r="AL2908" s="21">
        <f>_xll.qlInterestRateIndexValueDate(hiborindex,AK2908)</f>
        <v>46693</v>
      </c>
      <c r="AM2908" s="23">
        <f>_xll.qlIndexFixing(hiborindex,AK2908)</f>
        <v>1.3506500033363145E-2</v>
      </c>
    </row>
    <row r="2909" spans="37:39" x14ac:dyDescent="0.25">
      <c r="AK2909" s="21">
        <f>_xll.qlCalendarAdvance(calendar,AK2908,"1D")</f>
        <v>46692</v>
      </c>
      <c r="AL2909" s="21">
        <f>_xll.qlInterestRateIndexValueDate(hiborindex,AK2909)</f>
        <v>46694</v>
      </c>
      <c r="AM2909" s="23">
        <f>_xll.qlIndexFixing(hiborindex,AK2909)</f>
        <v>1.3510511872054288E-2</v>
      </c>
    </row>
    <row r="2910" spans="37:39" x14ac:dyDescent="0.25">
      <c r="AK2910" s="21">
        <f>_xll.qlCalendarAdvance(calendar,AK2909,"1D")</f>
        <v>46693</v>
      </c>
      <c r="AL2910" s="21">
        <f>_xll.qlInterestRateIndexValueDate(hiborindex,AK2910)</f>
        <v>46695</v>
      </c>
      <c r="AM2910" s="23">
        <f>_xll.qlIndexFixing(hiborindex,AK2910)</f>
        <v>1.3514523718826879E-2</v>
      </c>
    </row>
    <row r="2911" spans="37:39" x14ac:dyDescent="0.25">
      <c r="AK2911" s="21">
        <f>_xll.qlCalendarAdvance(calendar,AK2910,"1D")</f>
        <v>46694</v>
      </c>
      <c r="AL2911" s="21">
        <f>_xll.qlInterestRateIndexValueDate(hiborindex,AK2911)</f>
        <v>46696</v>
      </c>
      <c r="AM2911" s="23">
        <f>_xll.qlIndexFixing(hiborindex,AK2911)</f>
        <v>1.3518535573681358E-2</v>
      </c>
    </row>
    <row r="2912" spans="37:39" x14ac:dyDescent="0.25">
      <c r="AK2912" s="21">
        <f>_xll.qlCalendarAdvance(calendar,AK2911,"1D")</f>
        <v>46695</v>
      </c>
      <c r="AL2912" s="21">
        <f>_xll.qlInterestRateIndexValueDate(hiborindex,AK2912)</f>
        <v>46699</v>
      </c>
      <c r="AM2912" s="23">
        <f>_xll.qlIndexFixing(hiborindex,AK2912)</f>
        <v>1.3530571186734796E-2</v>
      </c>
    </row>
    <row r="2913" spans="37:39" x14ac:dyDescent="0.25">
      <c r="AK2913" s="21">
        <f>_xll.qlCalendarAdvance(calendar,AK2912,"1D")</f>
        <v>46696</v>
      </c>
      <c r="AL2913" s="21">
        <f>_xll.qlInterestRateIndexValueDate(hiborindex,AK2913)</f>
        <v>46700</v>
      </c>
      <c r="AM2913" s="23">
        <f>_xll.qlIndexFixing(hiborindex,AK2913)</f>
        <v>1.3534583073916381E-2</v>
      </c>
    </row>
    <row r="2914" spans="37:39" x14ac:dyDescent="0.25">
      <c r="AK2914" s="21">
        <f>_xll.qlCalendarAdvance(calendar,AK2913,"1D")</f>
        <v>46699</v>
      </c>
      <c r="AL2914" s="21">
        <f>_xll.qlInterestRateIndexValueDate(hiborindex,AK2914)</f>
        <v>46701</v>
      </c>
      <c r="AM2914" s="23">
        <f>_xll.qlIndexFixing(hiborindex,AK2914)</f>
        <v>1.3538594969179415E-2</v>
      </c>
    </row>
    <row r="2915" spans="37:39" x14ac:dyDescent="0.25">
      <c r="AK2915" s="21">
        <f>_xll.qlCalendarAdvance(calendar,AK2914,"1D")</f>
        <v>46700</v>
      </c>
      <c r="AL2915" s="21">
        <f>_xll.qlInterestRateIndexValueDate(hiborindex,AK2915)</f>
        <v>46702</v>
      </c>
      <c r="AM2915" s="23">
        <f>_xll.qlIndexFixing(hiborindex,AK2915)</f>
        <v>1.3542606872523897E-2</v>
      </c>
    </row>
    <row r="2916" spans="37:39" x14ac:dyDescent="0.25">
      <c r="AK2916" s="21">
        <f>_xll.qlCalendarAdvance(calendar,AK2915,"1D")</f>
        <v>46701</v>
      </c>
      <c r="AL2916" s="21">
        <f>_xll.qlInterestRateIndexValueDate(hiborindex,AK2916)</f>
        <v>46703</v>
      </c>
      <c r="AM2916" s="23">
        <f>_xll.qlIndexFixing(hiborindex,AK2916)</f>
        <v>1.3546618783950705E-2</v>
      </c>
    </row>
    <row r="2917" spans="37:39" x14ac:dyDescent="0.25">
      <c r="AK2917" s="21">
        <f>_xll.qlCalendarAdvance(calendar,AK2916,"1D")</f>
        <v>46702</v>
      </c>
      <c r="AL2917" s="21">
        <f>_xll.qlInterestRateIndexValueDate(hiborindex,AK2917)</f>
        <v>46706</v>
      </c>
      <c r="AM2917" s="23">
        <f>_xll.qlIndexFixing(hiborindex,AK2917)</f>
        <v>1.355865456672113E-2</v>
      </c>
    </row>
    <row r="2918" spans="37:39" x14ac:dyDescent="0.25">
      <c r="AK2918" s="21">
        <f>_xll.qlCalendarAdvance(calendar,AK2917,"1D")</f>
        <v>46703</v>
      </c>
      <c r="AL2918" s="21">
        <f>_xll.qlInterestRateIndexValueDate(hiborindex,AK2918)</f>
        <v>46707</v>
      </c>
      <c r="AM2918" s="23">
        <f>_xll.qlIndexFixing(hiborindex,AK2918)</f>
        <v>1.3562666510475045E-2</v>
      </c>
    </row>
    <row r="2919" spans="37:39" x14ac:dyDescent="0.25">
      <c r="AK2919" s="21">
        <f>_xll.qlCalendarAdvance(calendar,AK2918,"1D")</f>
        <v>46706</v>
      </c>
      <c r="AL2919" s="21">
        <f>_xll.qlInterestRateIndexValueDate(hiborindex,AK2919)</f>
        <v>46708</v>
      </c>
      <c r="AM2919" s="23">
        <f>_xll.qlIndexFixing(hiborindex,AK2919)</f>
        <v>1.3566678462310846E-2</v>
      </c>
    </row>
    <row r="2920" spans="37:39" x14ac:dyDescent="0.25">
      <c r="AK2920" s="21">
        <f>_xll.qlCalendarAdvance(calendar,AK2919,"1D")</f>
        <v>46707</v>
      </c>
      <c r="AL2920" s="21">
        <f>_xll.qlInterestRateIndexValueDate(hiborindex,AK2920)</f>
        <v>46709</v>
      </c>
      <c r="AM2920" s="23">
        <f>_xll.qlIndexFixing(hiborindex,AK2920)</f>
        <v>1.3570690422228537E-2</v>
      </c>
    </row>
    <row r="2921" spans="37:39" x14ac:dyDescent="0.25">
      <c r="AK2921" s="21">
        <f>_xll.qlCalendarAdvance(calendar,AK2920,"1D")</f>
        <v>46708</v>
      </c>
      <c r="AL2921" s="21">
        <f>_xll.qlInterestRateIndexValueDate(hiborindex,AK2921)</f>
        <v>46710</v>
      </c>
      <c r="AM2921" s="23">
        <f>_xll.qlIndexFixing(hiborindex,AK2921)</f>
        <v>1.3574702390228111E-2</v>
      </c>
    </row>
    <row r="2922" spans="37:39" x14ac:dyDescent="0.25">
      <c r="AK2922" s="21">
        <f>_xll.qlCalendarAdvance(calendar,AK2921,"1D")</f>
        <v>46709</v>
      </c>
      <c r="AL2922" s="21">
        <f>_xll.qlInterestRateIndexValueDate(hiborindex,AK2922)</f>
        <v>46713</v>
      </c>
      <c r="AM2922" s="23">
        <f>_xll.qlIndexFixing(hiborindex,AK2922)</f>
        <v>1.358673834271816E-2</v>
      </c>
    </row>
    <row r="2923" spans="37:39" x14ac:dyDescent="0.25">
      <c r="AK2923" s="21">
        <f>_xll.qlCalendarAdvance(calendar,AK2922,"1D")</f>
        <v>46710</v>
      </c>
      <c r="AL2923" s="21">
        <f>_xll.qlInterestRateIndexValueDate(hiborindex,AK2923)</f>
        <v>46714</v>
      </c>
      <c r="AM2923" s="23">
        <f>_xll.qlIndexFixing(hiborindex,AK2923)</f>
        <v>1.3590750343045722E-2</v>
      </c>
    </row>
    <row r="2924" spans="37:39" x14ac:dyDescent="0.25">
      <c r="AK2924" s="21">
        <f>_xll.qlCalendarAdvance(calendar,AK2923,"1D")</f>
        <v>46713</v>
      </c>
      <c r="AL2924" s="21">
        <f>_xll.qlInterestRateIndexValueDate(hiborindex,AK2924)</f>
        <v>46715</v>
      </c>
      <c r="AM2924" s="23">
        <f>_xll.qlIndexFixing(hiborindex,AK2924)</f>
        <v>1.3594762351455172E-2</v>
      </c>
    </row>
    <row r="2925" spans="37:39" x14ac:dyDescent="0.25">
      <c r="AK2925" s="21">
        <f>_xll.qlCalendarAdvance(calendar,AK2924,"1D")</f>
        <v>46714</v>
      </c>
      <c r="AL2925" s="21">
        <f>_xll.qlInterestRateIndexValueDate(hiborindex,AK2925)</f>
        <v>46716</v>
      </c>
      <c r="AM2925" s="23">
        <f>_xll.qlIndexFixing(hiborindex,AK2925)</f>
        <v>1.3598774367946508E-2</v>
      </c>
    </row>
    <row r="2926" spans="37:39" x14ac:dyDescent="0.25">
      <c r="AK2926" s="21">
        <f>_xll.qlCalendarAdvance(calendar,AK2925,"1D")</f>
        <v>46715</v>
      </c>
      <c r="AL2926" s="21">
        <f>_xll.qlInterestRateIndexValueDate(hiborindex,AK2926)</f>
        <v>46717</v>
      </c>
      <c r="AM2926" s="23">
        <f>_xll.qlIndexFixing(hiborindex,AK2926)</f>
        <v>1.3602786392519731E-2</v>
      </c>
    </row>
    <row r="2927" spans="37:39" x14ac:dyDescent="0.25">
      <c r="AK2927" s="21">
        <f>_xll.qlCalendarAdvance(calendar,AK2926,"1D")</f>
        <v>46716</v>
      </c>
      <c r="AL2927" s="21">
        <f>_xll.qlInterestRateIndexValueDate(hiborindex,AK2927)</f>
        <v>46720</v>
      </c>
      <c r="AM2927" s="23">
        <f>_xll.qlIndexFixing(hiborindex,AK2927)</f>
        <v>1.3614822514731598E-2</v>
      </c>
    </row>
    <row r="2928" spans="37:39" x14ac:dyDescent="0.25">
      <c r="AK2928" s="21">
        <f>_xll.qlCalendarAdvance(calendar,AK2927,"1D")</f>
        <v>46717</v>
      </c>
      <c r="AL2928" s="21">
        <f>_xll.qlInterestRateIndexValueDate(hiborindex,AK2928)</f>
        <v>46721</v>
      </c>
      <c r="AM2928" s="23">
        <f>_xll.qlIndexFixing(hiborindex,AK2928)</f>
        <v>1.3621097693717943E-2</v>
      </c>
    </row>
    <row r="2929" spans="37:39" x14ac:dyDescent="0.25">
      <c r="AK2929" s="21">
        <f>_xll.qlCalendarAdvance(calendar,AK2928,"1D")</f>
        <v>46720</v>
      </c>
      <c r="AL2929" s="21">
        <f>_xll.qlInterestRateIndexValueDate(hiborindex,AK2929)</f>
        <v>46722</v>
      </c>
      <c r="AM2929" s="23">
        <f>_xll.qlIndexFixing(hiborindex,AK2929)</f>
        <v>1.3625109914046595E-2</v>
      </c>
    </row>
    <row r="2930" spans="37:39" x14ac:dyDescent="0.25">
      <c r="AK2930" s="21">
        <f>_xll.qlCalendarAdvance(calendar,AK2929,"1D")</f>
        <v>46721</v>
      </c>
      <c r="AL2930" s="21">
        <f>_xll.qlInterestRateIndexValueDate(hiborindex,AK2930)</f>
        <v>46723</v>
      </c>
      <c r="AM2930" s="23">
        <f>_xll.qlIndexFixing(hiborindex,AK2930)</f>
        <v>1.3629122142502517E-2</v>
      </c>
    </row>
    <row r="2931" spans="37:39" x14ac:dyDescent="0.25">
      <c r="AK2931" s="21">
        <f>_xll.qlCalendarAdvance(calendar,AK2930,"1D")</f>
        <v>46722</v>
      </c>
      <c r="AL2931" s="21">
        <f>_xll.qlInterestRateIndexValueDate(hiborindex,AK2931)</f>
        <v>46724</v>
      </c>
      <c r="AM2931" s="23">
        <f>_xll.qlIndexFixing(hiborindex,AK2931)</f>
        <v>1.3637662035437212E-2</v>
      </c>
    </row>
    <row r="2932" spans="37:39" x14ac:dyDescent="0.25">
      <c r="AK2932" s="21">
        <f>_xll.qlCalendarAdvance(calendar,AK2931,"1D")</f>
        <v>46723</v>
      </c>
      <c r="AL2932" s="21">
        <f>_xll.qlInterestRateIndexValueDate(hiborindex,AK2932)</f>
        <v>46727</v>
      </c>
      <c r="AM2932" s="23">
        <f>_xll.qlIndexFixing(hiborindex,AK2932)</f>
        <v>1.3645171137593658E-2</v>
      </c>
    </row>
    <row r="2933" spans="37:39" x14ac:dyDescent="0.25">
      <c r="AK2933" s="21">
        <f>_xll.qlCalendarAdvance(calendar,AK2932,"1D")</f>
        <v>46724</v>
      </c>
      <c r="AL2933" s="21">
        <f>_xll.qlInterestRateIndexValueDate(hiborindex,AK2933)</f>
        <v>46728</v>
      </c>
      <c r="AM2933" s="23">
        <f>_xll.qlIndexFixing(hiborindex,AK2933)</f>
        <v>1.3649183406683306E-2</v>
      </c>
    </row>
    <row r="2934" spans="37:39" x14ac:dyDescent="0.25">
      <c r="AK2934" s="21">
        <f>_xll.qlCalendarAdvance(calendar,AK2933,"1D")</f>
        <v>46727</v>
      </c>
      <c r="AL2934" s="21">
        <f>_xll.qlInterestRateIndexValueDate(hiborindex,AK2934)</f>
        <v>46729</v>
      </c>
      <c r="AM2934" s="23">
        <f>_xll.qlIndexFixing(hiborindex,AK2934)</f>
        <v>1.365319568390066E-2</v>
      </c>
    </row>
    <row r="2935" spans="37:39" x14ac:dyDescent="0.25">
      <c r="AK2935" s="21">
        <f>_xll.qlCalendarAdvance(calendar,AK2934,"1D")</f>
        <v>46728</v>
      </c>
      <c r="AL2935" s="21">
        <f>_xll.qlInterestRateIndexValueDate(hiborindex,AK2935)</f>
        <v>46730</v>
      </c>
      <c r="AM2935" s="23">
        <f>_xll.qlIndexFixing(hiborindex,AK2935)</f>
        <v>1.365720796924441E-2</v>
      </c>
    </row>
    <row r="2936" spans="37:39" x14ac:dyDescent="0.25">
      <c r="AK2936" s="21">
        <f>_xll.qlCalendarAdvance(calendar,AK2935,"1D")</f>
        <v>46729</v>
      </c>
      <c r="AL2936" s="21">
        <f>_xll.qlInterestRateIndexValueDate(hiborindex,AK2936)</f>
        <v>46731</v>
      </c>
      <c r="AM2936" s="23">
        <f>_xll.qlIndexFixing(hiborindex,AK2936)</f>
        <v>1.3665750098715708E-2</v>
      </c>
    </row>
    <row r="2937" spans="37:39" x14ac:dyDescent="0.25">
      <c r="AK2937" s="21">
        <f>_xll.qlCalendarAdvance(calendar,AK2936,"1D")</f>
        <v>46730</v>
      </c>
      <c r="AL2937" s="21">
        <f>_xll.qlInterestRateIndexValueDate(hiborindex,AK2937)</f>
        <v>46734</v>
      </c>
      <c r="AM2937" s="23">
        <f>_xll.qlIndexFixing(hiborindex,AK2937)</f>
        <v>1.367325719188992E-2</v>
      </c>
    </row>
    <row r="2938" spans="37:39" x14ac:dyDescent="0.25">
      <c r="AK2938" s="21">
        <f>_xll.qlCalendarAdvance(calendar,AK2937,"1D")</f>
        <v>46731</v>
      </c>
      <c r="AL2938" s="21">
        <f>_xll.qlInterestRateIndexValueDate(hiborindex,AK2938)</f>
        <v>46735</v>
      </c>
      <c r="AM2938" s="23">
        <f>_xll.qlIndexFixing(hiborindex,AK2938)</f>
        <v>1.3677269517868707E-2</v>
      </c>
    </row>
    <row r="2939" spans="37:39" x14ac:dyDescent="0.25">
      <c r="AK2939" s="21">
        <f>_xll.qlCalendarAdvance(calendar,AK2938,"1D")</f>
        <v>46734</v>
      </c>
      <c r="AL2939" s="21">
        <f>_xll.qlInterestRateIndexValueDate(hiborindex,AK2939)</f>
        <v>46736</v>
      </c>
      <c r="AM2939" s="23">
        <f>_xll.qlIndexFixing(hiborindex,AK2939)</f>
        <v>1.3681281851974762E-2</v>
      </c>
    </row>
    <row r="2940" spans="37:39" x14ac:dyDescent="0.25">
      <c r="AK2940" s="21">
        <f>_xll.qlCalendarAdvance(calendar,AK2939,"1D")</f>
        <v>46735</v>
      </c>
      <c r="AL2940" s="21">
        <f>_xll.qlInterestRateIndexValueDate(hiborindex,AK2940)</f>
        <v>46737</v>
      </c>
      <c r="AM2940" s="23">
        <f>_xll.qlIndexFixing(hiborindex,AK2940)</f>
        <v>1.3685294194208086E-2</v>
      </c>
    </row>
    <row r="2941" spans="37:39" x14ac:dyDescent="0.25">
      <c r="AK2941" s="21">
        <f>_xll.qlCalendarAdvance(calendar,AK2940,"1D")</f>
        <v>46736</v>
      </c>
      <c r="AL2941" s="21">
        <f>_xll.qlInterestRateIndexValueDate(hiborindex,AK2941)</f>
        <v>46738</v>
      </c>
      <c r="AM2941" s="23">
        <f>_xll.qlIndexFixing(hiborindex,AK2941)</f>
        <v>1.3693838564600585E-2</v>
      </c>
    </row>
    <row r="2942" spans="37:39" x14ac:dyDescent="0.25">
      <c r="AK2942" s="21">
        <f>_xll.qlCalendarAdvance(calendar,AK2941,"1D")</f>
        <v>46737</v>
      </c>
      <c r="AL2942" s="21">
        <f>_xll.qlInterestRateIndexValueDate(hiborindex,AK2942)</f>
        <v>46741</v>
      </c>
      <c r="AM2942" s="23">
        <f>_xll.qlIndexFixing(hiborindex,AK2942)</f>
        <v>1.3701343644411022E-2</v>
      </c>
    </row>
    <row r="2943" spans="37:39" x14ac:dyDescent="0.25">
      <c r="AK2943" s="21">
        <f>_xll.qlCalendarAdvance(calendar,AK2942,"1D")</f>
        <v>46738</v>
      </c>
      <c r="AL2943" s="21">
        <f>_xll.qlInterestRateIndexValueDate(hiborindex,AK2943)</f>
        <v>46742</v>
      </c>
      <c r="AM2943" s="23">
        <f>_xll.qlIndexFixing(hiborindex,AK2943)</f>
        <v>1.3705356027279821E-2</v>
      </c>
    </row>
    <row r="2944" spans="37:39" x14ac:dyDescent="0.25">
      <c r="AK2944" s="21">
        <f>_xll.qlCalendarAdvance(calendar,AK2943,"1D")</f>
        <v>46741</v>
      </c>
      <c r="AL2944" s="21">
        <f>_xll.qlInterestRateIndexValueDate(hiborindex,AK2944)</f>
        <v>46743</v>
      </c>
      <c r="AM2944" s="23">
        <f>_xll.qlIndexFixing(hiborindex,AK2944)</f>
        <v>1.370936841827545E-2</v>
      </c>
    </row>
    <row r="2945" spans="37:39" x14ac:dyDescent="0.25">
      <c r="AK2945" s="21">
        <f>_xll.qlCalendarAdvance(calendar,AK2944,"1D")</f>
        <v>46742</v>
      </c>
      <c r="AL2945" s="21">
        <f>_xll.qlInterestRateIndexValueDate(hiborindex,AK2945)</f>
        <v>46744</v>
      </c>
      <c r="AM2945" s="23">
        <f>_xll.qlIndexFixing(hiborindex,AK2945)</f>
        <v>1.3713380817398351E-2</v>
      </c>
    </row>
    <row r="2946" spans="37:39" x14ac:dyDescent="0.25">
      <c r="AK2946" s="21">
        <f>_xll.qlCalendarAdvance(calendar,AK2945,"1D")</f>
        <v>46743</v>
      </c>
      <c r="AL2946" s="21">
        <f>_xll.qlInterestRateIndexValueDate(hiborindex,AK2946)</f>
        <v>46745</v>
      </c>
      <c r="AM2946" s="23">
        <f>_xll.qlIndexFixing(hiborindex,AK2946)</f>
        <v>1.3721927433096163E-2</v>
      </c>
    </row>
    <row r="2947" spans="37:39" x14ac:dyDescent="0.25">
      <c r="AK2947" s="21">
        <f>_xll.qlCalendarAdvance(calendar,AK2946,"1D")</f>
        <v>46744</v>
      </c>
      <c r="AL2947" s="21">
        <f>_xll.qlInterestRateIndexValueDate(hiborindex,AK2947)</f>
        <v>46748</v>
      </c>
      <c r="AM2947" s="23">
        <f>_xll.qlIndexFixing(hiborindex,AK2947)</f>
        <v>1.3729430495162207E-2</v>
      </c>
    </row>
    <row r="2948" spans="37:39" x14ac:dyDescent="0.25">
      <c r="AK2948" s="21">
        <f>_xll.qlCalendarAdvance(calendar,AK2947,"1D")</f>
        <v>46745</v>
      </c>
      <c r="AL2948" s="21">
        <f>_xll.qlInterestRateIndexValueDate(hiborindex,AK2948)</f>
        <v>46749</v>
      </c>
      <c r="AM2948" s="23">
        <f>_xll.qlIndexFixing(hiborindex,AK2948)</f>
        <v>1.3733442934921455E-2</v>
      </c>
    </row>
    <row r="2949" spans="37:39" x14ac:dyDescent="0.25">
      <c r="AK2949" s="21">
        <f>_xll.qlCalendarAdvance(calendar,AK2948,"1D")</f>
        <v>46748</v>
      </c>
      <c r="AL2949" s="21">
        <f>_xll.qlInterestRateIndexValueDate(hiborindex,AK2949)</f>
        <v>46750</v>
      </c>
      <c r="AM2949" s="23">
        <f>_xll.qlIndexFixing(hiborindex,AK2949)</f>
        <v>1.3737455382807533E-2</v>
      </c>
    </row>
    <row r="2950" spans="37:39" x14ac:dyDescent="0.25">
      <c r="AK2950" s="21">
        <f>_xll.qlCalendarAdvance(calendar,AK2949,"1D")</f>
        <v>46749</v>
      </c>
      <c r="AL2950" s="21">
        <f>_xll.qlInterestRateIndexValueDate(hiborindex,AK2950)</f>
        <v>46751</v>
      </c>
      <c r="AM2950" s="23">
        <f>_xll.qlIndexFixing(hiborindex,AK2950)</f>
        <v>1.374146783882132E-2</v>
      </c>
    </row>
    <row r="2951" spans="37:39" x14ac:dyDescent="0.25">
      <c r="AK2951" s="21">
        <f>_xll.qlCalendarAdvance(calendar,AK2950,"1D")</f>
        <v>46750</v>
      </c>
      <c r="AL2951" s="21">
        <f>_xll.qlInterestRateIndexValueDate(hiborindex,AK2951)</f>
        <v>46752</v>
      </c>
      <c r="AM2951" s="23">
        <f>_xll.qlIndexFixing(hiborindex,AK2951)</f>
        <v>1.3743212344381596E-2</v>
      </c>
    </row>
    <row r="2952" spans="37:39" x14ac:dyDescent="0.25">
      <c r="AK2952" s="21">
        <f>_xll.qlCalendarAdvance(calendar,AK2951,"1D")</f>
        <v>46751</v>
      </c>
      <c r="AL2952" s="21">
        <f>_xll.qlInterestRateIndexValueDate(hiborindex,AK2952)</f>
        <v>46755</v>
      </c>
      <c r="AM2952" s="23">
        <f>_xll.qlIndexFixing(hiborindex,AK2952)</f>
        <v>1.3734612885739274E-2</v>
      </c>
    </row>
    <row r="2953" spans="37:39" x14ac:dyDescent="0.25">
      <c r="AK2953" s="21">
        <f>_xll.qlCalendarAdvance(calendar,AK2952,"1D")</f>
        <v>46752</v>
      </c>
      <c r="AL2953" s="21">
        <f>_xll.qlInterestRateIndexValueDate(hiborindex,AK2953)</f>
        <v>46756</v>
      </c>
      <c r="AM2953" s="23">
        <f>_xll.qlIndexFixing(hiborindex,AK2953)</f>
        <v>1.373174013725227E-2</v>
      </c>
    </row>
    <row r="2954" spans="37:39" x14ac:dyDescent="0.25">
      <c r="AK2954" s="21">
        <f>_xll.qlCalendarAdvance(calendar,AK2953,"1D")</f>
        <v>46755</v>
      </c>
      <c r="AL2954" s="21">
        <f>_xll.qlInterestRateIndexValueDate(hiborindex,AK2954)</f>
        <v>46757</v>
      </c>
      <c r="AM2954" s="23">
        <f>_xll.qlIndexFixing(hiborindex,AK2954)</f>
        <v>1.3728864257651435E-2</v>
      </c>
    </row>
    <row r="2955" spans="37:39" x14ac:dyDescent="0.25">
      <c r="AK2955" s="21">
        <f>_xll.qlCalendarAdvance(calendar,AK2954,"1D")</f>
        <v>46756</v>
      </c>
      <c r="AL2955" s="21">
        <f>_xll.qlInterestRateIndexValueDate(hiborindex,AK2955)</f>
        <v>46758</v>
      </c>
      <c r="AM2955" s="23">
        <f>_xll.qlIndexFixing(hiborindex,AK2955)</f>
        <v>1.3725985246950387E-2</v>
      </c>
    </row>
    <row r="2956" spans="37:39" x14ac:dyDescent="0.25">
      <c r="AK2956" s="21">
        <f>_xll.qlCalendarAdvance(calendar,AK2955,"1D")</f>
        <v>46757</v>
      </c>
      <c r="AL2956" s="21">
        <f>_xll.qlInterestRateIndexValueDate(hiborindex,AK2956)</f>
        <v>46759</v>
      </c>
      <c r="AM2956" s="23">
        <f>_xll.qlIndexFixing(hiborindex,AK2956)</f>
        <v>1.3723103105163177E-2</v>
      </c>
    </row>
    <row r="2957" spans="37:39" x14ac:dyDescent="0.25">
      <c r="AK2957" s="21">
        <f>_xll.qlCalendarAdvance(calendar,AK2956,"1D")</f>
        <v>46758</v>
      </c>
      <c r="AL2957" s="21">
        <f>_xll.qlInterestRateIndexValueDate(hiborindex,AK2957)</f>
        <v>46762</v>
      </c>
      <c r="AM2957" s="23">
        <f>_xll.qlIndexFixing(hiborindex,AK2957)</f>
        <v>1.3714437893416358E-2</v>
      </c>
    </row>
    <row r="2958" spans="37:39" x14ac:dyDescent="0.25">
      <c r="AK2958" s="21">
        <f>_xll.qlCalendarAdvance(calendar,AK2957,"1D")</f>
        <v>46759</v>
      </c>
      <c r="AL2958" s="21">
        <f>_xll.qlInterestRateIndexValueDate(hiborindex,AK2958)</f>
        <v>46763</v>
      </c>
      <c r="AM2958" s="23">
        <f>_xll.qlIndexFixing(hiborindex,AK2958)</f>
        <v>1.3711543227418469E-2</v>
      </c>
    </row>
    <row r="2959" spans="37:39" x14ac:dyDescent="0.25">
      <c r="AK2959" s="21">
        <f>_xll.qlCalendarAdvance(calendar,AK2958,"1D")</f>
        <v>46762</v>
      </c>
      <c r="AL2959" s="21">
        <f>_xll.qlInterestRateIndexValueDate(hiborindex,AK2959)</f>
        <v>46764</v>
      </c>
      <c r="AM2959" s="23">
        <f>_xll.qlIndexFixing(hiborindex,AK2959)</f>
        <v>1.370864543040206E-2</v>
      </c>
    </row>
    <row r="2960" spans="37:39" x14ac:dyDescent="0.25">
      <c r="AK2960" s="21">
        <f>_xll.qlCalendarAdvance(calendar,AK2959,"1D")</f>
        <v>46763</v>
      </c>
      <c r="AL2960" s="21">
        <f>_xll.qlInterestRateIndexValueDate(hiborindex,AK2960)</f>
        <v>46765</v>
      </c>
      <c r="AM2960" s="23">
        <f>_xll.qlIndexFixing(hiborindex,AK2960)</f>
        <v>1.3705744502381184E-2</v>
      </c>
    </row>
    <row r="2961" spans="37:39" x14ac:dyDescent="0.25">
      <c r="AK2961" s="21">
        <f>_xll.qlCalendarAdvance(calendar,AK2960,"1D")</f>
        <v>46764</v>
      </c>
      <c r="AL2961" s="21">
        <f>_xll.qlInterestRateIndexValueDate(hiborindex,AK2961)</f>
        <v>46766</v>
      </c>
      <c r="AM2961" s="23">
        <f>_xll.qlIndexFixing(hiborindex,AK2961)</f>
        <v>1.3702840443368579E-2</v>
      </c>
    </row>
    <row r="2962" spans="37:39" x14ac:dyDescent="0.25">
      <c r="AK2962" s="21">
        <f>_xll.qlCalendarAdvance(calendar,AK2961,"1D")</f>
        <v>46765</v>
      </c>
      <c r="AL2962" s="21">
        <f>_xll.qlInterestRateIndexValueDate(hiborindex,AK2962)</f>
        <v>46769</v>
      </c>
      <c r="AM2962" s="23">
        <f>_xll.qlIndexFixing(hiborindex,AK2962)</f>
        <v>1.3694109480522248E-2</v>
      </c>
    </row>
    <row r="2963" spans="37:39" x14ac:dyDescent="0.25">
      <c r="AK2963" s="21">
        <f>_xll.qlCalendarAdvance(calendar,AK2962,"1D")</f>
        <v>46766</v>
      </c>
      <c r="AL2963" s="21">
        <f>_xll.qlInterestRateIndexValueDate(hiborindex,AK2963)</f>
        <v>46770</v>
      </c>
      <c r="AM2963" s="23">
        <f>_xll.qlIndexFixing(hiborindex,AK2963)</f>
        <v>1.369119289768283E-2</v>
      </c>
    </row>
    <row r="2964" spans="37:39" x14ac:dyDescent="0.25">
      <c r="AK2964" s="21">
        <f>_xll.qlCalendarAdvance(calendar,AK2963,"1D")</f>
        <v>46769</v>
      </c>
      <c r="AL2964" s="21">
        <f>_xll.qlInterestRateIndexValueDate(hiborindex,AK2964)</f>
        <v>46771</v>
      </c>
      <c r="AM2964" s="23">
        <f>_xll.qlIndexFixing(hiborindex,AK2964)</f>
        <v>1.3688273183921081E-2</v>
      </c>
    </row>
    <row r="2965" spans="37:39" x14ac:dyDescent="0.25">
      <c r="AK2965" s="21">
        <f>_xll.qlCalendarAdvance(calendar,AK2964,"1D")</f>
        <v>46770</v>
      </c>
      <c r="AL2965" s="21">
        <f>_xll.qlInterestRateIndexValueDate(hiborindex,AK2965)</f>
        <v>46772</v>
      </c>
      <c r="AM2965" s="23">
        <f>_xll.qlIndexFixing(hiborindex,AK2965)</f>
        <v>1.3685350339250611E-2</v>
      </c>
    </row>
    <row r="2966" spans="37:39" x14ac:dyDescent="0.25">
      <c r="AK2966" s="21">
        <f>_xll.qlCalendarAdvance(calendar,AK2965,"1D")</f>
        <v>46771</v>
      </c>
      <c r="AL2966" s="21">
        <f>_xll.qlInterestRateIndexValueDate(hiborindex,AK2966)</f>
        <v>46773</v>
      </c>
      <c r="AM2966" s="23">
        <f>_xll.qlIndexFixing(hiborindex,AK2966)</f>
        <v>1.3682424363685036E-2</v>
      </c>
    </row>
    <row r="2967" spans="37:39" x14ac:dyDescent="0.25">
      <c r="AK2967" s="21">
        <f>_xll.qlCalendarAdvance(calendar,AK2966,"1D")</f>
        <v>46772</v>
      </c>
      <c r="AL2967" s="21">
        <f>_xll.qlInterestRateIndexValueDate(hiborindex,AK2967)</f>
        <v>46776</v>
      </c>
      <c r="AM2967" s="23">
        <f>_xll.qlIndexFixing(hiborindex,AK2967)</f>
        <v>1.367362765175824E-2</v>
      </c>
    </row>
    <row r="2968" spans="37:39" x14ac:dyDescent="0.25">
      <c r="AK2968" s="21">
        <f>_xll.qlCalendarAdvance(calendar,AK2967,"1D")</f>
        <v>46773</v>
      </c>
      <c r="AL2968" s="21">
        <f>_xll.qlInterestRateIndexValueDate(hiborindex,AK2968)</f>
        <v>46777</v>
      </c>
      <c r="AM2968" s="23">
        <f>_xll.qlIndexFixing(hiborindex,AK2968)</f>
        <v>1.3670689152751481E-2</v>
      </c>
    </row>
    <row r="2969" spans="37:39" x14ac:dyDescent="0.25">
      <c r="AK2969" s="21">
        <f>_xll.qlCalendarAdvance(calendar,AK2968,"1D")</f>
        <v>46776</v>
      </c>
      <c r="AL2969" s="21">
        <f>_xll.qlInterestRateIndexValueDate(hiborindex,AK2969)</f>
        <v>46778</v>
      </c>
      <c r="AM2969" s="23">
        <f>_xll.qlIndexFixing(hiborindex,AK2969)</f>
        <v>1.3667747522919453E-2</v>
      </c>
    </row>
    <row r="2970" spans="37:39" x14ac:dyDescent="0.25">
      <c r="AK2970" s="21">
        <f>_xll.qlCalendarAdvance(calendar,AK2969,"1D")</f>
        <v>46777</v>
      </c>
      <c r="AL2970" s="21">
        <f>_xll.qlInterestRateIndexValueDate(hiborindex,AK2970)</f>
        <v>46779</v>
      </c>
      <c r="AM2970" s="23">
        <f>_xll.qlIndexFixing(hiborindex,AK2970)</f>
        <v>1.366480276227577E-2</v>
      </c>
    </row>
    <row r="2971" spans="37:39" x14ac:dyDescent="0.25">
      <c r="AK2971" s="21">
        <f>_xll.qlCalendarAdvance(calendar,AK2970,"1D")</f>
        <v>46778</v>
      </c>
      <c r="AL2971" s="21">
        <f>_xll.qlInterestRateIndexValueDate(hiborindex,AK2971)</f>
        <v>46780</v>
      </c>
      <c r="AM2971" s="23">
        <f>_xll.qlIndexFixing(hiborindex,AK2971)</f>
        <v>1.366185487083405E-2</v>
      </c>
    </row>
    <row r="2972" spans="37:39" x14ac:dyDescent="0.25">
      <c r="AK2972" s="21">
        <f>_xll.qlCalendarAdvance(calendar,AK2971,"1D")</f>
        <v>46779</v>
      </c>
      <c r="AL2972" s="21">
        <f>_xll.qlInterestRateIndexValueDate(hiborindex,AK2972)</f>
        <v>46783</v>
      </c>
      <c r="AM2972" s="23">
        <f>_xll.qlIndexFixing(hiborindex,AK2972)</f>
        <v>1.3652992411861206E-2</v>
      </c>
    </row>
    <row r="2973" spans="37:39" x14ac:dyDescent="0.25">
      <c r="AK2973" s="21">
        <f>_xll.qlCalendarAdvance(calendar,AK2972,"1D")</f>
        <v>46780</v>
      </c>
      <c r="AL2973" s="21">
        <f>_xll.qlInterestRateIndexValueDate(hiborindex,AK2973)</f>
        <v>46784</v>
      </c>
      <c r="AM2973" s="23">
        <f>_xll.qlIndexFixing(hiborindex,AK2973)</f>
        <v>1.3650031997367439E-2</v>
      </c>
    </row>
    <row r="2974" spans="37:39" x14ac:dyDescent="0.25">
      <c r="AK2974" s="21">
        <f>_xll.qlCalendarAdvance(calendar,AK2973,"1D")</f>
        <v>46783</v>
      </c>
      <c r="AL2974" s="21">
        <f>_xll.qlInterestRateIndexValueDate(hiborindex,AK2974)</f>
        <v>46785</v>
      </c>
      <c r="AM2974" s="23">
        <f>_xll.qlIndexFixing(hiborindex,AK2974)</f>
        <v>1.3647068452145908E-2</v>
      </c>
    </row>
    <row r="2975" spans="37:39" x14ac:dyDescent="0.25">
      <c r="AK2975" s="21">
        <f>_xll.qlCalendarAdvance(calendar,AK2974,"1D")</f>
        <v>46784</v>
      </c>
      <c r="AL2975" s="21">
        <f>_xll.qlInterestRateIndexValueDate(hiborindex,AK2975)</f>
        <v>46786</v>
      </c>
      <c r="AM2975" s="23">
        <f>_xll.qlIndexFixing(hiborindex,AK2975)</f>
        <v>1.3644101776209786E-2</v>
      </c>
    </row>
    <row r="2976" spans="37:39" x14ac:dyDescent="0.25">
      <c r="AK2976" s="21">
        <f>_xll.qlCalendarAdvance(calendar,AK2975,"1D")</f>
        <v>46785</v>
      </c>
      <c r="AL2976" s="21">
        <f>_xll.qlInterestRateIndexValueDate(hiborindex,AK2976)</f>
        <v>46787</v>
      </c>
      <c r="AM2976" s="23">
        <f>_xll.qlIndexFixing(hiborindex,AK2976)</f>
        <v>1.3641131969573572E-2</v>
      </c>
    </row>
    <row r="2977" spans="37:39" x14ac:dyDescent="0.25">
      <c r="AK2977" s="21">
        <f>_xll.qlCalendarAdvance(calendar,AK2976,"1D")</f>
        <v>46786</v>
      </c>
      <c r="AL2977" s="21">
        <f>_xll.qlInterestRateIndexValueDate(hiborindex,AK2977)</f>
        <v>46790</v>
      </c>
      <c r="AM2977" s="23">
        <f>_xll.qlIndexFixing(hiborindex,AK2977)</f>
        <v>1.3632203765604466E-2</v>
      </c>
    </row>
    <row r="2978" spans="37:39" x14ac:dyDescent="0.25">
      <c r="AK2978" s="21">
        <f>_xll.qlCalendarAdvance(calendar,AK2977,"1D")</f>
        <v>46787</v>
      </c>
      <c r="AL2978" s="21">
        <f>_xll.qlInterestRateIndexValueDate(hiborindex,AK2978)</f>
        <v>46791</v>
      </c>
      <c r="AM2978" s="23">
        <f>_xll.qlIndexFixing(hiborindex,AK2978)</f>
        <v>1.3629221436308419E-2</v>
      </c>
    </row>
    <row r="2979" spans="37:39" x14ac:dyDescent="0.25">
      <c r="AK2979" s="21">
        <f>_xll.qlCalendarAdvance(calendar,AK2978,"1D")</f>
        <v>46790</v>
      </c>
      <c r="AL2979" s="21">
        <f>_xll.qlInterestRateIndexValueDate(hiborindex,AK2979)</f>
        <v>46792</v>
      </c>
      <c r="AM2979" s="23">
        <f>_xll.qlIndexFixing(hiborindex,AK2979)</f>
        <v>1.3626235976382111E-2</v>
      </c>
    </row>
    <row r="2980" spans="37:39" x14ac:dyDescent="0.25">
      <c r="AK2980" s="21">
        <f>_xll.qlCalendarAdvance(calendar,AK2979,"1D")</f>
        <v>46791</v>
      </c>
      <c r="AL2980" s="21">
        <f>_xll.qlInterestRateIndexValueDate(hiborindex,AK2980)</f>
        <v>46793</v>
      </c>
      <c r="AM2980" s="23">
        <f>_xll.qlIndexFixing(hiborindex,AK2980)</f>
        <v>1.3623247385840037E-2</v>
      </c>
    </row>
    <row r="2981" spans="37:39" x14ac:dyDescent="0.25">
      <c r="AK2981" s="21">
        <f>_xll.qlCalendarAdvance(calendar,AK2980,"1D")</f>
        <v>46792</v>
      </c>
      <c r="AL2981" s="21">
        <f>_xll.qlInterestRateIndexValueDate(hiborindex,AK2981)</f>
        <v>46794</v>
      </c>
      <c r="AM2981" s="23">
        <f>_xll.qlIndexFixing(hiborindex,AK2981)</f>
        <v>1.3620255664696691E-2</v>
      </c>
    </row>
    <row r="2982" spans="37:39" x14ac:dyDescent="0.25">
      <c r="AK2982" s="21">
        <f>_xll.qlCalendarAdvance(calendar,AK2981,"1D")</f>
        <v>46793</v>
      </c>
      <c r="AL2982" s="21">
        <f>_xll.qlInterestRateIndexValueDate(hiborindex,AK2982)</f>
        <v>46797</v>
      </c>
      <c r="AM2982" s="23">
        <f>_xll.qlIndexFixing(hiborindex,AK2982)</f>
        <v>1.3611261717796046E-2</v>
      </c>
    </row>
    <row r="2983" spans="37:39" x14ac:dyDescent="0.25">
      <c r="AK2983" s="21">
        <f>_xll.qlCalendarAdvance(calendar,AK2982,"1D")</f>
        <v>46794</v>
      </c>
      <c r="AL2983" s="21">
        <f>_xll.qlInterestRateIndexValueDate(hiborindex,AK2983)</f>
        <v>46798</v>
      </c>
      <c r="AM2983" s="23">
        <f>_xll.qlIndexFixing(hiborindex,AK2983)</f>
        <v>1.3608257474387278E-2</v>
      </c>
    </row>
    <row r="2984" spans="37:39" x14ac:dyDescent="0.25">
      <c r="AK2984" s="21">
        <f>_xll.qlCalendarAdvance(calendar,AK2983,"1D")</f>
        <v>46797</v>
      </c>
      <c r="AL2984" s="21">
        <f>_xll.qlInterestRateIndexValueDate(hiborindex,AK2984)</f>
        <v>46799</v>
      </c>
      <c r="AM2984" s="23">
        <f>_xll.qlIndexFixing(hiborindex,AK2984)</f>
        <v>1.360525010044707E-2</v>
      </c>
    </row>
    <row r="2985" spans="37:39" x14ac:dyDescent="0.25">
      <c r="AK2985" s="21">
        <f>_xll.qlCalendarAdvance(calendar,AK2984,"1D")</f>
        <v>46798</v>
      </c>
      <c r="AL2985" s="21">
        <f>_xll.qlInterestRateIndexValueDate(hiborindex,AK2985)</f>
        <v>46800</v>
      </c>
      <c r="AM2985" s="23">
        <f>_xll.qlIndexFixing(hiborindex,AK2985)</f>
        <v>1.3602239595990356E-2</v>
      </c>
    </row>
    <row r="2986" spans="37:39" x14ac:dyDescent="0.25">
      <c r="AK2986" s="21">
        <f>_xll.qlCalendarAdvance(calendar,AK2985,"1D")</f>
        <v>46799</v>
      </c>
      <c r="AL2986" s="21">
        <f>_xll.qlInterestRateIndexValueDate(hiborindex,AK2986)</f>
        <v>46801</v>
      </c>
      <c r="AM2986" s="23">
        <f>_xll.qlIndexFixing(hiborindex,AK2986)</f>
        <v>1.3599225961031193E-2</v>
      </c>
    </row>
    <row r="2987" spans="37:39" x14ac:dyDescent="0.25">
      <c r="AK2987" s="21">
        <f>_xll.qlCalendarAdvance(calendar,AK2986,"1D")</f>
        <v>46800</v>
      </c>
      <c r="AL2987" s="21">
        <f>_xll.qlInterestRateIndexValueDate(hiborindex,AK2987)</f>
        <v>46804</v>
      </c>
      <c r="AM2987" s="23">
        <f>_xll.qlIndexFixing(hiborindex,AK2987)</f>
        <v>1.3590166273279544E-2</v>
      </c>
    </row>
    <row r="2988" spans="37:39" x14ac:dyDescent="0.25">
      <c r="AK2988" s="21">
        <f>_xll.qlCalendarAdvance(calendar,AK2987,"1D")</f>
        <v>46801</v>
      </c>
      <c r="AL2988" s="21">
        <f>_xll.qlInterestRateIndexValueDate(hiborindex,AK2988)</f>
        <v>46805</v>
      </c>
      <c r="AM2988" s="23">
        <f>_xll.qlIndexFixing(hiborindex,AK2988)</f>
        <v>1.3587140116452442E-2</v>
      </c>
    </row>
    <row r="2989" spans="37:39" x14ac:dyDescent="0.25">
      <c r="AK2989" s="21">
        <f>_xll.qlCalendarAdvance(calendar,AK2988,"1D")</f>
        <v>46804</v>
      </c>
      <c r="AL2989" s="21">
        <f>_xll.qlInterestRateIndexValueDate(hiborindex,AK2989)</f>
        <v>46806</v>
      </c>
      <c r="AM2989" s="23">
        <f>_xll.qlIndexFixing(hiborindex,AK2989)</f>
        <v>1.3584110829194041E-2</v>
      </c>
    </row>
    <row r="2990" spans="37:39" x14ac:dyDescent="0.25">
      <c r="AK2990" s="21">
        <f>_xll.qlCalendarAdvance(calendar,AK2989,"1D")</f>
        <v>46805</v>
      </c>
      <c r="AL2990" s="21">
        <f>_xll.qlInterestRateIndexValueDate(hiborindex,AK2990)</f>
        <v>46807</v>
      </c>
      <c r="AM2990" s="23">
        <f>_xll.qlIndexFixing(hiborindex,AK2990)</f>
        <v>1.3581078411518836E-2</v>
      </c>
    </row>
    <row r="2991" spans="37:39" x14ac:dyDescent="0.25">
      <c r="AK2991" s="21">
        <f>_xll.qlCalendarAdvance(calendar,AK2990,"1D")</f>
        <v>46806</v>
      </c>
      <c r="AL2991" s="21">
        <f>_xll.qlInterestRateIndexValueDate(hiborindex,AK2991)</f>
        <v>46808</v>
      </c>
      <c r="AM2991" s="23">
        <f>_xll.qlIndexFixing(hiborindex,AK2991)</f>
        <v>1.357804286344088E-2</v>
      </c>
    </row>
    <row r="2992" spans="37:39" x14ac:dyDescent="0.25">
      <c r="AK2992" s="21">
        <f>_xll.qlCalendarAdvance(calendar,AK2991,"1D")</f>
        <v>46807</v>
      </c>
      <c r="AL2992" s="21">
        <f>_xll.qlInterestRateIndexValueDate(hiborindex,AK2992)</f>
        <v>46811</v>
      </c>
      <c r="AM2992" s="23">
        <f>_xll.qlIndexFixing(hiborindex,AK2992)</f>
        <v>1.3568917436934133E-2</v>
      </c>
    </row>
    <row r="2993" spans="37:39" x14ac:dyDescent="0.25">
      <c r="AK2993" s="21">
        <f>_xll.qlCalendarAdvance(calendar,AK2992,"1D")</f>
        <v>46808</v>
      </c>
      <c r="AL2993" s="21">
        <f>_xll.qlInterestRateIndexValueDate(hiborindex,AK2993)</f>
        <v>46812</v>
      </c>
      <c r="AM2993" s="23">
        <f>_xll.qlIndexFixing(hiborindex,AK2993)</f>
        <v>1.3560959152530394E-2</v>
      </c>
    </row>
    <row r="2994" spans="37:39" x14ac:dyDescent="0.25">
      <c r="AK2994" s="21">
        <f>_xll.qlCalendarAdvance(calendar,AK2993,"1D")</f>
        <v>46811</v>
      </c>
      <c r="AL2994" s="21">
        <f>_xll.qlInterestRateIndexValueDate(hiborindex,AK2994)</f>
        <v>46813</v>
      </c>
      <c r="AM2994" s="23">
        <f>_xll.qlIndexFixing(hiborindex,AK2994)</f>
        <v>1.3557978308484448E-2</v>
      </c>
    </row>
    <row r="2995" spans="37:39" x14ac:dyDescent="0.25">
      <c r="AK2995" s="21">
        <f>_xll.qlCalendarAdvance(calendar,AK2994,"1D")</f>
        <v>46812</v>
      </c>
      <c r="AL2995" s="21">
        <f>_xll.qlInterestRateIndexValueDate(hiborindex,AK2995)</f>
        <v>46814</v>
      </c>
      <c r="AM2995" s="23">
        <f>_xll.qlIndexFixing(hiborindex,AK2995)</f>
        <v>1.3550411700609539E-2</v>
      </c>
    </row>
    <row r="2996" spans="37:39" x14ac:dyDescent="0.25">
      <c r="AK2996" s="21">
        <f>_xll.qlCalendarAdvance(calendar,AK2995,"1D")</f>
        <v>46813</v>
      </c>
      <c r="AL2996" s="21">
        <f>_xll.qlInterestRateIndexValueDate(hiborindex,AK2996)</f>
        <v>46815</v>
      </c>
      <c r="AM2996" s="23">
        <f>_xll.qlIndexFixing(hiborindex,AK2996)</f>
        <v>1.3549727666801282E-2</v>
      </c>
    </row>
    <row r="2997" spans="37:39" x14ac:dyDescent="0.25">
      <c r="AK2997" s="21">
        <f>_xll.qlCalendarAdvance(calendar,AK2996,"1D")</f>
        <v>46814</v>
      </c>
      <c r="AL2997" s="21">
        <f>_xll.qlInterestRateIndexValueDate(hiborindex,AK2997)</f>
        <v>46818</v>
      </c>
      <c r="AM2997" s="23">
        <f>_xll.qlIndexFixing(hiborindex,AK2997)</f>
        <v>1.3543027639095425E-2</v>
      </c>
    </row>
    <row r="2998" spans="37:39" x14ac:dyDescent="0.25">
      <c r="AK2998" s="21">
        <f>_xll.qlCalendarAdvance(calendar,AK2997,"1D")</f>
        <v>46815</v>
      </c>
      <c r="AL2998" s="21">
        <f>_xll.qlInterestRateIndexValueDate(hiborindex,AK2998)</f>
        <v>46819</v>
      </c>
      <c r="AM2998" s="23">
        <f>_xll.qlIndexFixing(hiborindex,AK2998)</f>
        <v>1.3540028215484638E-2</v>
      </c>
    </row>
    <row r="2999" spans="37:39" x14ac:dyDescent="0.25">
      <c r="AK2999" s="21">
        <f>_xll.qlCalendarAdvance(calendar,AK2998,"1D")</f>
        <v>46818</v>
      </c>
      <c r="AL2999" s="21">
        <f>_xll.qlInterestRateIndexValueDate(hiborindex,AK2999)</f>
        <v>46820</v>
      </c>
      <c r="AM2999" s="23">
        <f>_xll.qlIndexFixing(hiborindex,AK2999)</f>
        <v>1.3537025695329524E-2</v>
      </c>
    </row>
    <row r="3000" spans="37:39" x14ac:dyDescent="0.25">
      <c r="AK3000" s="21">
        <f>_xll.qlCalendarAdvance(calendar,AK2999,"1D")</f>
        <v>46819</v>
      </c>
      <c r="AL3000" s="21">
        <f>_xll.qlInterestRateIndexValueDate(hiborindex,AK3000)</f>
        <v>46821</v>
      </c>
      <c r="AM3000" s="23">
        <f>_xll.qlIndexFixing(hiborindex,AK3000)</f>
        <v>1.3529920501373627E-2</v>
      </c>
    </row>
    <row r="3001" spans="37:39" x14ac:dyDescent="0.25">
      <c r="AK3001" s="21">
        <f>_xll.qlCalendarAdvance(calendar,AK3000,"1D")</f>
        <v>46820</v>
      </c>
      <c r="AL3001" s="21">
        <f>_xll.qlInterestRateIndexValueDate(hiborindex,AK3001)</f>
        <v>46822</v>
      </c>
      <c r="AM3001" s="23">
        <f>_xll.qlIndexFixing(hiborindex,AK3001)</f>
        <v>1.3528974663719641E-2</v>
      </c>
    </row>
    <row r="3002" spans="37:39" x14ac:dyDescent="0.25">
      <c r="AK3002" s="21">
        <f>_xll.qlCalendarAdvance(calendar,AK3001,"1D")</f>
        <v>46821</v>
      </c>
      <c r="AL3002" s="21">
        <f>_xll.qlInterestRateIndexValueDate(hiborindex,AK3002)</f>
        <v>46825</v>
      </c>
      <c r="AM3002" s="23">
        <f>_xll.qlIndexFixing(hiborindex,AK3002)</f>
        <v>1.3521966646879123E-2</v>
      </c>
    </row>
    <row r="3003" spans="37:39" x14ac:dyDescent="0.25">
      <c r="AK3003" s="21">
        <f>_xll.qlCalendarAdvance(calendar,AK3002,"1D")</f>
        <v>46822</v>
      </c>
      <c r="AL3003" s="21">
        <f>_xll.qlInterestRateIndexValueDate(hiborindex,AK3003)</f>
        <v>46826</v>
      </c>
      <c r="AM3003" s="23">
        <f>_xll.qlIndexFixing(hiborindex,AK3003)</f>
        <v>1.3518945547753907E-2</v>
      </c>
    </row>
    <row r="3004" spans="37:39" x14ac:dyDescent="0.25">
      <c r="AK3004" s="21">
        <f>_xll.qlCalendarAdvance(calendar,AK3003,"1D")</f>
        <v>46825</v>
      </c>
      <c r="AL3004" s="21">
        <f>_xll.qlInterestRateIndexValueDate(hiborindex,AK3004)</f>
        <v>46827</v>
      </c>
      <c r="AM3004" s="23">
        <f>_xll.qlIndexFixing(hiborindex,AK3004)</f>
        <v>1.3515921352183853E-2</v>
      </c>
    </row>
    <row r="3005" spans="37:39" x14ac:dyDescent="0.25">
      <c r="AK3005" s="21">
        <f>_xll.qlCalendarAdvance(calendar,AK3004,"1D")</f>
        <v>46826</v>
      </c>
      <c r="AL3005" s="21">
        <f>_xll.qlInterestRateIndexValueDate(hiborindex,AK3005)</f>
        <v>46828</v>
      </c>
      <c r="AM3005" s="23">
        <f>_xll.qlIndexFixing(hiborindex,AK3005)</f>
        <v>1.3509279187946531E-2</v>
      </c>
    </row>
    <row r="3006" spans="37:39" x14ac:dyDescent="0.25">
      <c r="AK3006" s="21">
        <f>_xll.qlCalendarAdvance(calendar,AK3005,"1D")</f>
        <v>46827</v>
      </c>
      <c r="AL3006" s="21">
        <f>_xll.qlInterestRateIndexValueDate(hiborindex,AK3006)</f>
        <v>46829</v>
      </c>
      <c r="AM3006" s="23">
        <f>_xll.qlIndexFixing(hiborindex,AK3006)</f>
        <v>1.3508070743939619E-2</v>
      </c>
    </row>
    <row r="3007" spans="37:39" x14ac:dyDescent="0.25">
      <c r="AK3007" s="21">
        <f>_xll.qlCalendarAdvance(calendar,AK3006,"1D")</f>
        <v>46828</v>
      </c>
      <c r="AL3007" s="21">
        <f>_xll.qlInterestRateIndexValueDate(hiborindex,AK3007)</f>
        <v>46832</v>
      </c>
      <c r="AM3007" s="23">
        <f>_xll.qlIndexFixing(hiborindex,AK3007)</f>
        <v>1.350075392815581E-2</v>
      </c>
    </row>
    <row r="3008" spans="37:39" x14ac:dyDescent="0.25">
      <c r="AK3008" s="21">
        <f>_xll.qlCalendarAdvance(calendar,AK3007,"1D")</f>
        <v>46829</v>
      </c>
      <c r="AL3008" s="21">
        <f>_xll.qlInterestRateIndexValueDate(hiborindex,AK3008)</f>
        <v>46833</v>
      </c>
      <c r="AM3008" s="23">
        <f>_xll.qlIndexFixing(hiborindex,AK3008)</f>
        <v>1.3497711154214741E-2</v>
      </c>
    </row>
    <row r="3009" spans="37:39" x14ac:dyDescent="0.25">
      <c r="AK3009" s="21">
        <f>_xll.qlCalendarAdvance(calendar,AK3008,"1D")</f>
        <v>46832</v>
      </c>
      <c r="AL3009" s="21">
        <f>_xll.qlInterestRateIndexValueDate(hiborindex,AK3009)</f>
        <v>46834</v>
      </c>
      <c r="AM3009" s="23">
        <f>_xll.qlIndexFixing(hiborindex,AK3009)</f>
        <v>1.3494665283929185E-2</v>
      </c>
    </row>
    <row r="3010" spans="37:39" x14ac:dyDescent="0.25">
      <c r="AK3010" s="21">
        <f>_xll.qlCalendarAdvance(calendar,AK3009,"1D")</f>
        <v>46833</v>
      </c>
      <c r="AL3010" s="21">
        <f>_xll.qlInterestRateIndexValueDate(hiborindex,AK3010)</f>
        <v>46835</v>
      </c>
      <c r="AM3010" s="23">
        <f>_xll.qlIndexFixing(hiborindex,AK3010)</f>
        <v>1.3488487765101635E-2</v>
      </c>
    </row>
    <row r="3011" spans="37:39" x14ac:dyDescent="0.25">
      <c r="AK3011" s="21">
        <f>_xll.qlCalendarAdvance(calendar,AK3010,"1D")</f>
        <v>46834</v>
      </c>
      <c r="AL3011" s="21">
        <f>_xll.qlInterestRateIndexValueDate(hiborindex,AK3011)</f>
        <v>46836</v>
      </c>
      <c r="AM3011" s="23">
        <f>_xll.qlIndexFixing(hiborindex,AK3011)</f>
        <v>1.3487015912296698E-2</v>
      </c>
    </row>
    <row r="3012" spans="37:39" x14ac:dyDescent="0.25">
      <c r="AK3012" s="21">
        <f>_xll.qlCalendarAdvance(calendar,AK3011,"1D")</f>
        <v>46835</v>
      </c>
      <c r="AL3012" s="21">
        <f>_xll.qlInterestRateIndexValueDate(hiborindex,AK3012)</f>
        <v>46839</v>
      </c>
      <c r="AM3012" s="23">
        <f>_xll.qlIndexFixing(hiborindex,AK3012)</f>
        <v>1.3479389487831128E-2</v>
      </c>
    </row>
    <row r="3013" spans="37:39" x14ac:dyDescent="0.25">
      <c r="AK3013" s="21">
        <f>_xll.qlCalendarAdvance(calendar,AK3012,"1D")</f>
        <v>46836</v>
      </c>
      <c r="AL3013" s="21">
        <f>_xll.qlInterestRateIndexValueDate(hiborindex,AK3013)</f>
        <v>46840</v>
      </c>
      <c r="AM3013" s="23">
        <f>_xll.qlIndexFixing(hiborindex,AK3013)</f>
        <v>1.3476325039778423E-2</v>
      </c>
    </row>
    <row r="3014" spans="37:39" x14ac:dyDescent="0.25">
      <c r="AK3014" s="21">
        <f>_xll.qlCalendarAdvance(calendar,AK3013,"1D")</f>
        <v>46839</v>
      </c>
      <c r="AL3014" s="21">
        <f>_xll.qlInterestRateIndexValueDate(hiborindex,AK3014)</f>
        <v>46841</v>
      </c>
      <c r="AM3014" s="23">
        <f>_xll.qlIndexFixing(hiborindex,AK3014)</f>
        <v>1.3473257495481587E-2</v>
      </c>
    </row>
    <row r="3015" spans="37:39" x14ac:dyDescent="0.25">
      <c r="AK3015" s="21">
        <f>_xll.qlCalendarAdvance(calendar,AK3014,"1D")</f>
        <v>46840</v>
      </c>
      <c r="AL3015" s="21">
        <f>_xll.qlInterestRateIndexValueDate(hiborindex,AK3015)</f>
        <v>46842</v>
      </c>
      <c r="AM3015" s="23">
        <f>_xll.qlIndexFixing(hiborindex,AK3015)</f>
        <v>1.3471560970343311E-2</v>
      </c>
    </row>
    <row r="3016" spans="37:39" x14ac:dyDescent="0.25">
      <c r="AK3016" s="21">
        <f>_xll.qlCalendarAdvance(calendar,AK3015,"1D")</f>
        <v>46841</v>
      </c>
      <c r="AL3016" s="21">
        <f>_xll.qlInterestRateIndexValueDate(hiborindex,AK3016)</f>
        <v>46843</v>
      </c>
      <c r="AM3016" s="23">
        <f>_xll.qlIndexFixing(hiborindex,AK3016)</f>
        <v>1.3469826639338271E-2</v>
      </c>
    </row>
    <row r="3017" spans="37:39" x14ac:dyDescent="0.25">
      <c r="AK3017" s="21">
        <f>_xll.qlCalendarAdvance(calendar,AK3016,"1D")</f>
        <v>46842</v>
      </c>
      <c r="AL3017" s="21">
        <f>_xll.qlInterestRateIndexValueDate(hiborindex,AK3017)</f>
        <v>46846</v>
      </c>
      <c r="AM3017" s="23">
        <f>_xll.qlIndexFixing(hiborindex,AK3017)</f>
        <v>1.3459105390442495E-2</v>
      </c>
    </row>
    <row r="3018" spans="37:39" x14ac:dyDescent="0.25">
      <c r="AK3018" s="21">
        <f>_xll.qlCalendarAdvance(calendar,AK3017,"1D")</f>
        <v>46843</v>
      </c>
      <c r="AL3018" s="21">
        <f>_xll.qlInterestRateIndexValueDate(hiborindex,AK3018)</f>
        <v>46847</v>
      </c>
      <c r="AM3018" s="23">
        <f>_xll.qlIndexFixing(hiborindex,AK3018)</f>
        <v>1.3455983713172592E-2</v>
      </c>
    </row>
    <row r="3019" spans="37:39" x14ac:dyDescent="0.25">
      <c r="AK3019" s="21">
        <f>_xll.qlCalendarAdvance(calendar,AK3018,"1D")</f>
        <v>46846</v>
      </c>
      <c r="AL3019" s="21">
        <f>_xll.qlInterestRateIndexValueDate(hiborindex,AK3019)</f>
        <v>46848</v>
      </c>
      <c r="AM3019" s="23">
        <f>_xll.qlIndexFixing(hiborindex,AK3019)</f>
        <v>1.345285892301438E-2</v>
      </c>
    </row>
    <row r="3020" spans="37:39" x14ac:dyDescent="0.25">
      <c r="AK3020" s="21">
        <f>_xll.qlCalendarAdvance(calendar,AK3019,"1D")</f>
        <v>46847</v>
      </c>
      <c r="AL3020" s="21">
        <f>_xll.qlInterestRateIndexValueDate(hiborindex,AK3020)</f>
        <v>46849</v>
      </c>
      <c r="AM3020" s="23">
        <f>_xll.qlIndexFixing(hiborindex,AK3020)</f>
        <v>1.3449731019983585E-2</v>
      </c>
    </row>
    <row r="3021" spans="37:39" x14ac:dyDescent="0.25">
      <c r="AK3021" s="21">
        <f>_xll.qlCalendarAdvance(calendar,AK3020,"1D")</f>
        <v>46848</v>
      </c>
      <c r="AL3021" s="21">
        <f>_xll.qlInterestRateIndexValueDate(hiborindex,AK3021)</f>
        <v>46850</v>
      </c>
      <c r="AM3021" s="23">
        <f>_xll.qlIndexFixing(hiborindex,AK3021)</f>
        <v>1.3444453532933474E-2</v>
      </c>
    </row>
    <row r="3022" spans="37:39" x14ac:dyDescent="0.25">
      <c r="AK3022" s="21">
        <f>_xll.qlCalendarAdvance(calendar,AK3021,"1D")</f>
        <v>46849</v>
      </c>
      <c r="AL3022" s="21">
        <f>_xll.qlInterestRateIndexValueDate(hiborindex,AK3022)</f>
        <v>46853</v>
      </c>
      <c r="AM3022" s="23">
        <f>_xll.qlIndexFixing(hiborindex,AK3022)</f>
        <v>1.3437188279416763E-2</v>
      </c>
    </row>
    <row r="3023" spans="37:39" x14ac:dyDescent="0.25">
      <c r="AK3023" s="21">
        <f>_xll.qlCalendarAdvance(calendar,AK3022,"1D")</f>
        <v>46850</v>
      </c>
      <c r="AL3023" s="21">
        <f>_xll.qlInterestRateIndexValueDate(hiborindex,AK3023)</f>
        <v>46854</v>
      </c>
      <c r="AM3023" s="23">
        <f>_xll.qlIndexFixing(hiborindex,AK3023)</f>
        <v>1.3434044812239277E-2</v>
      </c>
    </row>
    <row r="3024" spans="37:39" x14ac:dyDescent="0.25">
      <c r="AK3024" s="21">
        <f>_xll.qlCalendarAdvance(calendar,AK3023,"1D")</f>
        <v>46853</v>
      </c>
      <c r="AL3024" s="21">
        <f>_xll.qlInterestRateIndexValueDate(hiborindex,AK3024)</f>
        <v>46855</v>
      </c>
      <c r="AM3024" s="23">
        <f>_xll.qlIndexFixing(hiborindex,AK3024)</f>
        <v>1.3430898232277005E-2</v>
      </c>
    </row>
    <row r="3025" spans="37:39" x14ac:dyDescent="0.25">
      <c r="AK3025" s="21">
        <f>_xll.qlCalendarAdvance(calendar,AK3024,"1D")</f>
        <v>46854</v>
      </c>
      <c r="AL3025" s="21">
        <f>_xll.qlInterestRateIndexValueDate(hiborindex,AK3025)</f>
        <v>46856</v>
      </c>
      <c r="AM3025" s="23">
        <f>_xll.qlIndexFixing(hiborindex,AK3025)</f>
        <v>1.3427748539544803E-2</v>
      </c>
    </row>
    <row r="3026" spans="37:39" x14ac:dyDescent="0.25">
      <c r="AK3026" s="21">
        <f>_xll.qlCalendarAdvance(calendar,AK3025,"1D")</f>
        <v>46855</v>
      </c>
      <c r="AL3026" s="21">
        <f>_xll.qlInterestRateIndexValueDate(hiborindex,AK3026)</f>
        <v>46861</v>
      </c>
      <c r="AM3026" s="23">
        <f>_xll.qlIndexFixing(hiborindex,AK3026)</f>
        <v>1.3411953384855037E-2</v>
      </c>
    </row>
    <row r="3027" spans="37:39" x14ac:dyDescent="0.25">
      <c r="AK3027" s="21">
        <f>_xll.qlCalendarAdvance(calendar,AK3026,"1D")</f>
        <v>46856</v>
      </c>
      <c r="AL3027" s="21">
        <f>_xll.qlInterestRateIndexValueDate(hiborindex,AK3027)</f>
        <v>46862</v>
      </c>
      <c r="AM3027" s="23">
        <f>_xll.qlIndexFixing(hiborindex,AK3027)</f>
        <v>1.3408785015815994E-2</v>
      </c>
    </row>
    <row r="3028" spans="37:39" x14ac:dyDescent="0.25">
      <c r="AK3028" s="21">
        <f>_xll.qlCalendarAdvance(calendar,AK3027,"1D")</f>
        <v>46861</v>
      </c>
      <c r="AL3028" s="21">
        <f>_xll.qlInterestRateIndexValueDate(hiborindex,AK3028)</f>
        <v>46863</v>
      </c>
      <c r="AM3028" s="23">
        <f>_xll.qlIndexFixing(hiborindex,AK3028)</f>
        <v>1.3405613534111417E-2</v>
      </c>
    </row>
    <row r="3029" spans="37:39" x14ac:dyDescent="0.25">
      <c r="AK3029" s="21">
        <f>_xll.qlCalendarAdvance(calendar,AK3028,"1D")</f>
        <v>46862</v>
      </c>
      <c r="AL3029" s="21">
        <f>_xll.qlInterestRateIndexValueDate(hiborindex,AK3029)</f>
        <v>46864</v>
      </c>
      <c r="AM3029" s="23">
        <f>_xll.qlIndexFixing(hiborindex,AK3029)</f>
        <v>1.3401287565004742E-2</v>
      </c>
    </row>
    <row r="3030" spans="37:39" x14ac:dyDescent="0.25">
      <c r="AK3030" s="21">
        <f>_xll.qlCalendarAdvance(calendar,AK3029,"1D")</f>
        <v>46863</v>
      </c>
      <c r="AL3030" s="21">
        <f>_xll.qlInterestRateIndexValueDate(hiborindex,AK3030)</f>
        <v>46867</v>
      </c>
      <c r="AM3030" s="23">
        <f>_xll.qlIndexFixing(hiborindex,AK3030)</f>
        <v>1.3392896480936967E-2</v>
      </c>
    </row>
    <row r="3031" spans="37:39" x14ac:dyDescent="0.25">
      <c r="AK3031" s="21">
        <f>_xll.qlCalendarAdvance(calendar,AK3030,"1D")</f>
        <v>46864</v>
      </c>
      <c r="AL3031" s="21">
        <f>_xll.qlInterestRateIndexValueDate(hiborindex,AK3031)</f>
        <v>46868</v>
      </c>
      <c r="AM3031" s="23">
        <f>_xll.qlIndexFixing(hiborindex,AK3031)</f>
        <v>1.3389709436129231E-2</v>
      </c>
    </row>
    <row r="3032" spans="37:39" x14ac:dyDescent="0.25">
      <c r="AK3032" s="21">
        <f>_xll.qlCalendarAdvance(calendar,AK3031,"1D")</f>
        <v>46867</v>
      </c>
      <c r="AL3032" s="21">
        <f>_xll.qlInterestRateIndexValueDate(hiborindex,AK3032)</f>
        <v>46869</v>
      </c>
      <c r="AM3032" s="23">
        <f>_xll.qlIndexFixing(hiborindex,AK3032)</f>
        <v>1.3386519278745946E-2</v>
      </c>
    </row>
    <row r="3033" spans="37:39" x14ac:dyDescent="0.25">
      <c r="AK3033" s="21">
        <f>_xll.qlCalendarAdvance(calendar,AK3032,"1D")</f>
        <v>46868</v>
      </c>
      <c r="AL3033" s="21">
        <f>_xll.qlInterestRateIndexValueDate(hiborindex,AK3033)</f>
        <v>46870</v>
      </c>
      <c r="AM3033" s="23">
        <f>_xll.qlIndexFixing(hiborindex,AK3033)</f>
        <v>1.3383326008802394E-2</v>
      </c>
    </row>
    <row r="3034" spans="37:39" x14ac:dyDescent="0.25">
      <c r="AK3034" s="21">
        <f>_xll.qlCalendarAdvance(calendar,AK3033,"1D")</f>
        <v>46869</v>
      </c>
      <c r="AL3034" s="21">
        <f>_xll.qlInterestRateIndexValueDate(hiborindex,AK3034)</f>
        <v>46871</v>
      </c>
      <c r="AM3034" s="23">
        <f>_xll.qlIndexFixing(hiborindex,AK3034)</f>
        <v>1.3379189513713209E-2</v>
      </c>
    </row>
    <row r="3035" spans="37:39" x14ac:dyDescent="0.25">
      <c r="AK3035" s="21">
        <f>_xll.qlCalendarAdvance(calendar,AK3034,"1D")</f>
        <v>46870</v>
      </c>
      <c r="AL3035" s="21">
        <f>_xll.qlInterestRateIndexValueDate(hiborindex,AK3035)</f>
        <v>46875</v>
      </c>
      <c r="AM3035" s="23">
        <f>_xll.qlIndexFixing(hiborindex,AK3035)</f>
        <v>1.3367118828473606E-2</v>
      </c>
    </row>
    <row r="3036" spans="37:39" x14ac:dyDescent="0.25">
      <c r="AK3036" s="21">
        <f>_xll.qlCalendarAdvance(calendar,AK3035,"1D")</f>
        <v>46871</v>
      </c>
      <c r="AL3036" s="21">
        <f>_xll.qlInterestRateIndexValueDate(hiborindex,AK3036)</f>
        <v>46876</v>
      </c>
      <c r="AM3036" s="23">
        <f>_xll.qlIndexFixing(hiborindex,AK3036)</f>
        <v>1.3363942924863943E-2</v>
      </c>
    </row>
    <row r="3037" spans="37:39" x14ac:dyDescent="0.25">
      <c r="AK3037" s="21">
        <f>_xll.qlCalendarAdvance(calendar,AK3036,"1D")</f>
        <v>46875</v>
      </c>
      <c r="AL3037" s="21">
        <f>_xll.qlInterestRateIndexValueDate(hiborindex,AK3037)</f>
        <v>46877</v>
      </c>
      <c r="AM3037" s="23">
        <f>_xll.qlIndexFixing(hiborindex,AK3037)</f>
        <v>1.3360587201980911E-2</v>
      </c>
    </row>
    <row r="3038" spans="37:39" x14ac:dyDescent="0.25">
      <c r="AK3038" s="21">
        <f>_xll.qlCalendarAdvance(calendar,AK3037,"1D")</f>
        <v>46876</v>
      </c>
      <c r="AL3038" s="21">
        <f>_xll.qlInterestRateIndexValueDate(hiborindex,AK3038)</f>
        <v>46878</v>
      </c>
      <c r="AM3038" s="23">
        <f>_xll.qlIndexFixing(hiborindex,AK3038)</f>
        <v>1.3357518048443966E-2</v>
      </c>
    </row>
    <row r="3039" spans="37:39" x14ac:dyDescent="0.25">
      <c r="AK3039" s="21">
        <f>_xll.qlCalendarAdvance(calendar,AK3038,"1D")</f>
        <v>46877</v>
      </c>
      <c r="AL3039" s="21">
        <f>_xll.qlInterestRateIndexValueDate(hiborindex,AK3039)</f>
        <v>46881</v>
      </c>
      <c r="AM3039" s="23">
        <f>_xll.qlIndexFixing(hiborindex,AK3039)</f>
        <v>1.3348016971412713E-2</v>
      </c>
    </row>
    <row r="3040" spans="37:39" x14ac:dyDescent="0.25">
      <c r="AK3040" s="21">
        <f>_xll.qlCalendarAdvance(calendar,AK3039,"1D")</f>
        <v>46878</v>
      </c>
      <c r="AL3040" s="21">
        <f>_xll.qlInterestRateIndexValueDate(hiborindex,AK3040)</f>
        <v>46882</v>
      </c>
      <c r="AM3040" s="23">
        <f>_xll.qlIndexFixing(hiborindex,AK3040)</f>
        <v>1.3344822493746845E-2</v>
      </c>
    </row>
    <row r="3041" spans="37:39" x14ac:dyDescent="0.25">
      <c r="AK3041" s="21">
        <f>_xll.qlCalendarAdvance(calendar,AK3040,"1D")</f>
        <v>46881</v>
      </c>
      <c r="AL3041" s="21">
        <f>_xll.qlInterestRateIndexValueDate(hiborindex,AK3041)</f>
        <v>46883</v>
      </c>
      <c r="AM3041" s="23">
        <f>_xll.qlIndexFixing(hiborindex,AK3041)</f>
        <v>1.334162492045852E-2</v>
      </c>
    </row>
    <row r="3042" spans="37:39" x14ac:dyDescent="0.25">
      <c r="AK3042" s="21">
        <f>_xll.qlCalendarAdvance(calendar,AK3041,"1D")</f>
        <v>46882</v>
      </c>
      <c r="AL3042" s="21">
        <f>_xll.qlInterestRateIndexValueDate(hiborindex,AK3042)</f>
        <v>46884</v>
      </c>
      <c r="AM3042" s="23">
        <f>_xll.qlIndexFixing(hiborindex,AK3042)</f>
        <v>1.3338745149799368E-2</v>
      </c>
    </row>
    <row r="3043" spans="37:39" x14ac:dyDescent="0.25">
      <c r="AK3043" s="21">
        <f>_xll.qlCalendarAdvance(calendar,AK3042,"1D")</f>
        <v>46883</v>
      </c>
      <c r="AL3043" s="21">
        <f>_xll.qlInterestRateIndexValueDate(hiborindex,AK3043)</f>
        <v>46885</v>
      </c>
      <c r="AM3043" s="23">
        <f>_xll.qlIndexFixing(hiborindex,AK3043)</f>
        <v>1.3335406972057486E-2</v>
      </c>
    </row>
    <row r="3044" spans="37:39" x14ac:dyDescent="0.25">
      <c r="AK3044" s="21">
        <f>_xll.qlCalendarAdvance(calendar,AK3043,"1D")</f>
        <v>46884</v>
      </c>
      <c r="AL3044" s="21">
        <f>_xll.qlInterestRateIndexValueDate(hiborindex,AK3044)</f>
        <v>46888</v>
      </c>
      <c r="AM3044" s="23">
        <f>_xll.qlIndexFixing(hiborindex,AK3044)</f>
        <v>1.3325590620193596E-2</v>
      </c>
    </row>
    <row r="3045" spans="37:39" x14ac:dyDescent="0.25">
      <c r="AK3045" s="21">
        <f>_xll.qlCalendarAdvance(calendar,AK3044,"1D")</f>
        <v>46885</v>
      </c>
      <c r="AL3045" s="21">
        <f>_xll.qlInterestRateIndexValueDate(hiborindex,AK3045)</f>
        <v>46889</v>
      </c>
      <c r="AM3045" s="23">
        <f>_xll.qlIndexFixing(hiborindex,AK3045)</f>
        <v>1.3322374473482473E-2</v>
      </c>
    </row>
    <row r="3046" spans="37:39" x14ac:dyDescent="0.25">
      <c r="AK3046" s="21">
        <f>_xll.qlCalendarAdvance(calendar,AK3045,"1D")</f>
        <v>46888</v>
      </c>
      <c r="AL3046" s="21">
        <f>_xll.qlInterestRateIndexValueDate(hiborindex,AK3046)</f>
        <v>46890</v>
      </c>
      <c r="AM3046" s="23">
        <f>_xll.qlIndexFixing(hiborindex,AK3046)</f>
        <v>1.3319155231254029E-2</v>
      </c>
    </row>
    <row r="3047" spans="37:39" x14ac:dyDescent="0.25">
      <c r="AK3047" s="21">
        <f>_xll.qlCalendarAdvance(calendar,AK3046,"1D")</f>
        <v>46889</v>
      </c>
      <c r="AL3047" s="21">
        <f>_xll.qlInterestRateIndexValueDate(hiborindex,AK3047)</f>
        <v>46891</v>
      </c>
      <c r="AM3047" s="23">
        <f>_xll.qlIndexFixing(hiborindex,AK3047)</f>
        <v>1.3316753027640304E-2</v>
      </c>
    </row>
    <row r="3048" spans="37:39" x14ac:dyDescent="0.25">
      <c r="AK3048" s="21">
        <f>_xll.qlCalendarAdvance(calendar,AK3047,"1D")</f>
        <v>46890</v>
      </c>
      <c r="AL3048" s="21">
        <f>_xll.qlInterestRateIndexValueDate(hiborindex,AK3048)</f>
        <v>46892</v>
      </c>
      <c r="AM3048" s="23">
        <f>_xll.qlIndexFixing(hiborindex,AK3048)</f>
        <v>1.3313145023740704E-2</v>
      </c>
    </row>
    <row r="3049" spans="37:39" x14ac:dyDescent="0.25">
      <c r="AK3049" s="21">
        <f>_xll.qlCalendarAdvance(calendar,AK3048,"1D")</f>
        <v>46891</v>
      </c>
      <c r="AL3049" s="21">
        <f>_xll.qlInterestRateIndexValueDate(hiborindex,AK3049)</f>
        <v>46895</v>
      </c>
      <c r="AM3049" s="23">
        <f>_xll.qlIndexFixing(hiborindex,AK3049)</f>
        <v>1.3303012587883748E-2</v>
      </c>
    </row>
    <row r="3050" spans="37:39" x14ac:dyDescent="0.25">
      <c r="AK3050" s="21">
        <f>_xll.qlCalendarAdvance(calendar,AK3049,"1D")</f>
        <v>46892</v>
      </c>
      <c r="AL3050" s="21">
        <f>_xll.qlInterestRateIndexValueDate(hiborindex,AK3050)</f>
        <v>46896</v>
      </c>
      <c r="AM3050" s="23">
        <f>_xll.qlIndexFixing(hiborindex,AK3050)</f>
        <v>1.329977477287069E-2</v>
      </c>
    </row>
    <row r="3051" spans="37:39" x14ac:dyDescent="0.25">
      <c r="AK3051" s="21">
        <f>_xll.qlCalendarAdvance(calendar,AK3050,"1D")</f>
        <v>46895</v>
      </c>
      <c r="AL3051" s="21">
        <f>_xll.qlInterestRateIndexValueDate(hiborindex,AK3051)</f>
        <v>46897</v>
      </c>
      <c r="AM3051" s="23">
        <f>_xll.qlIndexFixing(hiborindex,AK3051)</f>
        <v>1.3296533862446747E-2</v>
      </c>
    </row>
    <row r="3052" spans="37:39" x14ac:dyDescent="0.25">
      <c r="AK3052" s="21">
        <f>_xll.qlCalendarAdvance(calendar,AK3051,"1D")</f>
        <v>46896</v>
      </c>
      <c r="AL3052" s="21">
        <f>_xll.qlInterestRateIndexValueDate(hiborindex,AK3052)</f>
        <v>46898</v>
      </c>
      <c r="AM3052" s="23">
        <f>_xll.qlIndexFixing(hiborindex,AK3052)</f>
        <v>1.3294610840590835E-2</v>
      </c>
    </row>
    <row r="3053" spans="37:39" x14ac:dyDescent="0.25">
      <c r="AK3053" s="21">
        <f>_xll.qlCalendarAdvance(calendar,AK3052,"1D")</f>
        <v>46897</v>
      </c>
      <c r="AL3053" s="21">
        <f>_xll.qlInterestRateIndexValueDate(hiborindex,AK3053)</f>
        <v>46899</v>
      </c>
      <c r="AM3053" s="23">
        <f>_xll.qlIndexFixing(hiborindex,AK3053)</f>
        <v>1.3290732208641935E-2</v>
      </c>
    </row>
    <row r="3054" spans="37:39" x14ac:dyDescent="0.25">
      <c r="AK3054" s="21">
        <f>_xll.qlCalendarAdvance(calendar,AK3053,"1D")</f>
        <v>46898</v>
      </c>
      <c r="AL3054" s="21">
        <f>_xll.qlInterestRateIndexValueDate(hiborindex,AK3054)</f>
        <v>46902</v>
      </c>
      <c r="AM3054" s="23">
        <f>_xll.qlIndexFixing(hiborindex,AK3054)</f>
        <v>1.328028287970421E-2</v>
      </c>
    </row>
    <row r="3055" spans="37:39" x14ac:dyDescent="0.25">
      <c r="AK3055" s="21">
        <f>_xll.qlCalendarAdvance(calendar,AK3054,"1D")</f>
        <v>46899</v>
      </c>
      <c r="AL3055" s="21">
        <f>_xll.qlInterestRateIndexValueDate(hiborindex,AK3055)</f>
        <v>46903</v>
      </c>
      <c r="AM3055" s="23">
        <f>_xll.qlIndexFixing(hiborindex,AK3055)</f>
        <v>1.3277023397138182E-2</v>
      </c>
    </row>
    <row r="3056" spans="37:39" x14ac:dyDescent="0.25">
      <c r="AK3056" s="21">
        <f>_xll.qlCalendarAdvance(calendar,AK3055,"1D")</f>
        <v>46902</v>
      </c>
      <c r="AL3056" s="21">
        <f>_xll.qlInterestRateIndexValueDate(hiborindex,AK3056)</f>
        <v>46904</v>
      </c>
      <c r="AM3056" s="23">
        <f>_xll.qlIndexFixing(hiborindex,AK3056)</f>
        <v>1.3272902965725017E-2</v>
      </c>
    </row>
    <row r="3057" spans="37:39" x14ac:dyDescent="0.25">
      <c r="AK3057" s="21">
        <f>_xll.qlCalendarAdvance(calendar,AK3056,"1D")</f>
        <v>46903</v>
      </c>
      <c r="AL3057" s="21">
        <f>_xll.qlInterestRateIndexValueDate(hiborindex,AK3057)</f>
        <v>46905</v>
      </c>
      <c r="AM3057" s="23">
        <f>_xll.qlIndexFixing(hiborindex,AK3057)</f>
        <v>1.3269600765765421E-2</v>
      </c>
    </row>
    <row r="3058" spans="37:39" x14ac:dyDescent="0.25">
      <c r="AK3058" s="21">
        <f>_xll.qlCalendarAdvance(calendar,AK3057,"1D")</f>
        <v>46904</v>
      </c>
      <c r="AL3058" s="21">
        <f>_xll.qlInterestRateIndexValueDate(hiborindex,AK3058)</f>
        <v>46906</v>
      </c>
      <c r="AM3058" s="23">
        <f>_xll.qlIndexFixing(hiborindex,AK3058)</f>
        <v>1.326816853194363E-2</v>
      </c>
    </row>
    <row r="3059" spans="37:39" x14ac:dyDescent="0.25">
      <c r="AK3059" s="21">
        <f>_xll.qlCalendarAdvance(calendar,AK3058,"1D")</f>
        <v>46905</v>
      </c>
      <c r="AL3059" s="21">
        <f>_xll.qlInterestRateIndexValueDate(hiborindex,AK3059)</f>
        <v>46909</v>
      </c>
      <c r="AM3059" s="23">
        <f>_xll.qlIndexFixing(hiborindex,AK3059)</f>
        <v>1.3256360845995923E-2</v>
      </c>
    </row>
    <row r="3060" spans="37:39" x14ac:dyDescent="0.25">
      <c r="AK3060" s="21">
        <f>_xll.qlCalendarAdvance(calendar,AK3059,"1D")</f>
        <v>46906</v>
      </c>
      <c r="AL3060" s="21">
        <f>_xll.qlInterestRateIndexValueDate(hiborindex,AK3060)</f>
        <v>46910</v>
      </c>
      <c r="AM3060" s="23">
        <f>_xll.qlIndexFixing(hiborindex,AK3060)</f>
        <v>1.3253043086148959E-2</v>
      </c>
    </row>
    <row r="3061" spans="37:39" x14ac:dyDescent="0.25">
      <c r="AK3061" s="21">
        <f>_xll.qlCalendarAdvance(calendar,AK3060,"1D")</f>
        <v>46909</v>
      </c>
      <c r="AL3061" s="21">
        <f>_xll.qlInterestRateIndexValueDate(hiborindex,AK3061)</f>
        <v>46911</v>
      </c>
      <c r="AM3061" s="23">
        <f>_xll.qlIndexFixing(hiborindex,AK3061)</f>
        <v>1.3249722214372046E-2</v>
      </c>
    </row>
    <row r="3062" spans="37:39" x14ac:dyDescent="0.25">
      <c r="AK3062" s="21">
        <f>_xll.qlCalendarAdvance(calendar,AK3061,"1D")</f>
        <v>46910</v>
      </c>
      <c r="AL3062" s="21">
        <f>_xll.qlInterestRateIndexValueDate(hiborindex,AK3062)</f>
        <v>46912</v>
      </c>
      <c r="AM3062" s="23">
        <f>_xll.qlIndexFixing(hiborindex,AK3062)</f>
        <v>1.3246398230679598E-2</v>
      </c>
    </row>
    <row r="3063" spans="37:39" x14ac:dyDescent="0.25">
      <c r="AK3063" s="21">
        <f>_xll.qlCalendarAdvance(calendar,AK3062,"1D")</f>
        <v>46911</v>
      </c>
      <c r="AL3063" s="21">
        <f>_xll.qlInterestRateIndexValueDate(hiborindex,AK3063)</f>
        <v>46913</v>
      </c>
      <c r="AM3063" s="23">
        <f>_xll.qlIndexFixing(hiborindex,AK3063)</f>
        <v>1.3245453998865397E-2</v>
      </c>
    </row>
    <row r="3064" spans="37:39" x14ac:dyDescent="0.25">
      <c r="AK3064" s="21">
        <f>_xll.qlCalendarAdvance(calendar,AK3063,"1D")</f>
        <v>46912</v>
      </c>
      <c r="AL3064" s="21">
        <f>_xll.qlInterestRateIndexValueDate(hiborindex,AK3064)</f>
        <v>46916</v>
      </c>
      <c r="AM3064" s="23">
        <f>_xll.qlIndexFixing(hiborindex,AK3064)</f>
        <v>1.3233071177077274E-2</v>
      </c>
    </row>
    <row r="3065" spans="37:39" x14ac:dyDescent="0.25">
      <c r="AK3065" s="21">
        <f>_xll.qlCalendarAdvance(calendar,AK3064,"1D")</f>
        <v>46913</v>
      </c>
      <c r="AL3065" s="21">
        <f>_xll.qlInterestRateIndexValueDate(hiborindex,AK3065)</f>
        <v>46917</v>
      </c>
      <c r="AM3065" s="23">
        <f>_xll.qlIndexFixing(hiborindex,AK3065)</f>
        <v>1.3229731634046529E-2</v>
      </c>
    </row>
    <row r="3066" spans="37:39" x14ac:dyDescent="0.25">
      <c r="AK3066" s="21">
        <f>_xll.qlCalendarAdvance(calendar,AK3065,"1D")</f>
        <v>46916</v>
      </c>
      <c r="AL3066" s="21">
        <f>_xll.qlInterestRateIndexValueDate(hiborindex,AK3066)</f>
        <v>46918</v>
      </c>
      <c r="AM3066" s="23">
        <f>_xll.qlIndexFixing(hiborindex,AK3066)</f>
        <v>1.3226388979195036E-2</v>
      </c>
    </row>
    <row r="3067" spans="37:39" x14ac:dyDescent="0.25">
      <c r="AK3067" s="21">
        <f>_xll.qlCalendarAdvance(calendar,AK3066,"1D")</f>
        <v>46917</v>
      </c>
      <c r="AL3067" s="21">
        <f>_xll.qlInterestRateIndexValueDate(hiborindex,AK3067)</f>
        <v>46919</v>
      </c>
      <c r="AM3067" s="23">
        <f>_xll.qlIndexFixing(hiborindex,AK3067)</f>
        <v>1.3223043212539398E-2</v>
      </c>
    </row>
    <row r="3068" spans="37:39" x14ac:dyDescent="0.25">
      <c r="AK3068" s="21">
        <f>_xll.qlCalendarAdvance(calendar,AK3067,"1D")</f>
        <v>46918</v>
      </c>
      <c r="AL3068" s="21">
        <f>_xll.qlInterestRateIndexValueDate(hiborindex,AK3068)</f>
        <v>46920</v>
      </c>
      <c r="AM3068" s="23">
        <f>_xll.qlIndexFixing(hiborindex,AK3068)</f>
        <v>1.3222588614658819E-2</v>
      </c>
    </row>
    <row r="3069" spans="37:39" x14ac:dyDescent="0.25">
      <c r="AK3069" s="21">
        <f>_xll.qlCalendarAdvance(calendar,AK3068,"1D")</f>
        <v>46919</v>
      </c>
      <c r="AL3069" s="21">
        <f>_xll.qlInterestRateIndexValueDate(hiborindex,AK3069)</f>
        <v>46923</v>
      </c>
      <c r="AM3069" s="23">
        <f>_xll.qlIndexFixing(hiborindex,AK3069)</f>
        <v>1.3209629028185498E-2</v>
      </c>
    </row>
    <row r="3070" spans="37:39" x14ac:dyDescent="0.25">
      <c r="AK3070" s="21">
        <f>_xll.qlCalendarAdvance(calendar,AK3069,"1D")</f>
        <v>46920</v>
      </c>
      <c r="AL3070" s="21">
        <f>_xll.qlInterestRateIndexValueDate(hiborindex,AK3070)</f>
        <v>46924</v>
      </c>
      <c r="AM3070" s="23">
        <f>_xll.qlIndexFixing(hiborindex,AK3070)</f>
        <v>1.3206267702743248E-2</v>
      </c>
    </row>
    <row r="3071" spans="37:39" x14ac:dyDescent="0.25">
      <c r="AK3071" s="21">
        <f>_xll.qlCalendarAdvance(calendar,AK3070,"1D")</f>
        <v>46923</v>
      </c>
      <c r="AL3071" s="21">
        <f>_xll.qlInterestRateIndexValueDate(hiborindex,AK3071)</f>
        <v>46925</v>
      </c>
      <c r="AM3071" s="23">
        <f>_xll.qlIndexFixing(hiborindex,AK3071)</f>
        <v>1.3202903265591204E-2</v>
      </c>
    </row>
    <row r="3072" spans="37:39" x14ac:dyDescent="0.25">
      <c r="AK3072" s="21">
        <f>_xll.qlCalendarAdvance(calendar,AK3071,"1D")</f>
        <v>46924</v>
      </c>
      <c r="AL3072" s="21">
        <f>_xll.qlInterestRateIndexValueDate(hiborindex,AK3072)</f>
        <v>46926</v>
      </c>
      <c r="AM3072" s="23">
        <f>_xll.qlIndexFixing(hiborindex,AK3072)</f>
        <v>1.3199535716745524E-2</v>
      </c>
    </row>
    <row r="3073" spans="37:39" x14ac:dyDescent="0.25">
      <c r="AK3073" s="21">
        <f>_xll.qlCalendarAdvance(calendar,AK3072,"1D")</f>
        <v>46925</v>
      </c>
      <c r="AL3073" s="21">
        <f>_xll.qlInterestRateIndexValueDate(hiborindex,AK3073)</f>
        <v>46927</v>
      </c>
      <c r="AM3073" s="23">
        <f>_xll.qlIndexFixing(hiborindex,AK3073)</f>
        <v>1.3202991216264753E-2</v>
      </c>
    </row>
    <row r="3074" spans="37:39" x14ac:dyDescent="0.25">
      <c r="AK3074" s="21">
        <f>_xll.qlCalendarAdvance(calendar,AK3073,"1D")</f>
        <v>46926</v>
      </c>
      <c r="AL3074" s="21">
        <f>_xll.qlInterestRateIndexValueDate(hiborindex,AK3074)</f>
        <v>46930</v>
      </c>
      <c r="AM3074" s="23">
        <f>_xll.qlIndexFixing(hiborindex,AK3074)</f>
        <v>1.3187847393949419E-2</v>
      </c>
    </row>
    <row r="3075" spans="37:39" x14ac:dyDescent="0.25">
      <c r="AK3075" s="21">
        <f>_xll.qlCalendarAdvance(calendar,AK3074,"1D")</f>
        <v>46927</v>
      </c>
      <c r="AL3075" s="21">
        <f>_xll.qlInterestRateIndexValueDate(hiborindex,AK3075)</f>
        <v>46931</v>
      </c>
      <c r="AM3075" s="23">
        <f>_xll.qlIndexFixing(hiborindex,AK3075)</f>
        <v>1.3182651297665597E-2</v>
      </c>
    </row>
    <row r="3076" spans="37:39" x14ac:dyDescent="0.25">
      <c r="AK3076" s="21">
        <f>_xll.qlCalendarAdvance(calendar,AK3075,"1D")</f>
        <v>46930</v>
      </c>
      <c r="AL3076" s="21">
        <f>_xll.qlInterestRateIndexValueDate(hiborindex,AK3076)</f>
        <v>46932</v>
      </c>
      <c r="AM3076" s="23">
        <f>_xll.qlIndexFixing(hiborindex,AK3076)</f>
        <v>1.3179265078991392E-2</v>
      </c>
    </row>
    <row r="3077" spans="37:39" x14ac:dyDescent="0.25">
      <c r="AK3077" s="21">
        <f>_xll.qlCalendarAdvance(calendar,AK3076,"1D")</f>
        <v>46931</v>
      </c>
      <c r="AL3077" s="21">
        <f>_xll.qlInterestRateIndexValueDate(hiborindex,AK3077)</f>
        <v>46933</v>
      </c>
      <c r="AM3077" s="23">
        <f>_xll.qlIndexFixing(hiborindex,AK3077)</f>
        <v>1.3175875748734502E-2</v>
      </c>
    </row>
    <row r="3078" spans="37:39" x14ac:dyDescent="0.25">
      <c r="AK3078" s="21">
        <f>_xll.qlCalendarAdvance(calendar,AK3077,"1D")</f>
        <v>46932</v>
      </c>
      <c r="AL3078" s="21">
        <f>_xll.qlInterestRateIndexValueDate(hiborindex,AK3078)</f>
        <v>46934</v>
      </c>
      <c r="AM3078" s="23">
        <f>_xll.qlIndexFixing(hiborindex,AK3078)</f>
        <v>1.3170522502595627E-2</v>
      </c>
    </row>
    <row r="3079" spans="37:39" x14ac:dyDescent="0.25">
      <c r="AK3079" s="21">
        <f>_xll.qlCalendarAdvance(calendar,AK3078,"1D")</f>
        <v>46933</v>
      </c>
      <c r="AL3079" s="21">
        <f>_xll.qlInterestRateIndexValueDate(hiborindex,AK3079)</f>
        <v>46937</v>
      </c>
      <c r="AM3079" s="23">
        <f>_xll.qlIndexFixing(hiborindex,AK3079)</f>
        <v>1.3184767144879263E-2</v>
      </c>
    </row>
    <row r="3080" spans="37:39" x14ac:dyDescent="0.25">
      <c r="AK3080" s="21">
        <f>_xll.qlCalendarAdvance(calendar,AK3079,"1D")</f>
        <v>46934</v>
      </c>
      <c r="AL3080" s="21">
        <f>_xll.qlInterestRateIndexValueDate(hiborindex,AK3080)</f>
        <v>46938</v>
      </c>
      <c r="AM3080" s="23">
        <f>_xll.qlIndexFixing(hiborindex,AK3080)</f>
        <v>1.318820812384407E-2</v>
      </c>
    </row>
    <row r="3081" spans="37:39" x14ac:dyDescent="0.25">
      <c r="AK3081" s="21">
        <f>_xll.qlCalendarAdvance(calendar,AK3080,"1D")</f>
        <v>46937</v>
      </c>
      <c r="AL3081" s="21">
        <f>_xll.qlInterestRateIndexValueDate(hiborindex,AK3081)</f>
        <v>46939</v>
      </c>
      <c r="AM3081" s="23">
        <f>_xll.qlIndexFixing(hiborindex,AK3081)</f>
        <v>1.3191649108820589E-2</v>
      </c>
    </row>
    <row r="3082" spans="37:39" x14ac:dyDescent="0.25">
      <c r="AK3082" s="21">
        <f>_xll.qlCalendarAdvance(calendar,AK3081,"1D")</f>
        <v>46938</v>
      </c>
      <c r="AL3082" s="21">
        <f>_xll.qlInterestRateIndexValueDate(hiborindex,AK3082)</f>
        <v>46940</v>
      </c>
      <c r="AM3082" s="23">
        <f>_xll.qlIndexFixing(hiborindex,AK3082)</f>
        <v>1.3199013916417562E-2</v>
      </c>
    </row>
    <row r="3083" spans="37:39" x14ac:dyDescent="0.25">
      <c r="AK3083" s="21">
        <f>_xll.qlCalendarAdvance(calendar,AK3082,"1D")</f>
        <v>46939</v>
      </c>
      <c r="AL3083" s="21">
        <f>_xll.qlInterestRateIndexValueDate(hiborindex,AK3083)</f>
        <v>46941</v>
      </c>
      <c r="AM3083" s="23">
        <f>_xll.qlIndexFixing(hiborindex,AK3083)</f>
        <v>1.3200493067294729E-2</v>
      </c>
    </row>
    <row r="3084" spans="37:39" x14ac:dyDescent="0.25">
      <c r="AK3084" s="21">
        <f>_xll.qlCalendarAdvance(calendar,AK3083,"1D")</f>
        <v>46940</v>
      </c>
      <c r="AL3084" s="21">
        <f>_xll.qlInterestRateIndexValueDate(hiborindex,AK3084)</f>
        <v>46944</v>
      </c>
      <c r="AM3084" s="23">
        <f>_xll.qlIndexFixing(hiborindex,AK3084)</f>
        <v>1.3208854123870194E-2</v>
      </c>
    </row>
    <row r="3085" spans="37:39" x14ac:dyDescent="0.25">
      <c r="AK3085" s="21">
        <f>_xll.qlCalendarAdvance(calendar,AK3084,"1D")</f>
        <v>46941</v>
      </c>
      <c r="AL3085" s="21">
        <f>_xll.qlInterestRateIndexValueDate(hiborindex,AK3085)</f>
        <v>46945</v>
      </c>
      <c r="AM3085" s="23">
        <f>_xll.qlIndexFixing(hiborindex,AK3085)</f>
        <v>1.3212295144913951E-2</v>
      </c>
    </row>
    <row r="3086" spans="37:39" x14ac:dyDescent="0.25">
      <c r="AK3086" s="21">
        <f>_xll.qlCalendarAdvance(calendar,AK3085,"1D")</f>
        <v>46944</v>
      </c>
      <c r="AL3086" s="21">
        <f>_xll.qlInterestRateIndexValueDate(hiborindex,AK3086)</f>
        <v>46946</v>
      </c>
      <c r="AM3086" s="23">
        <f>_xll.qlIndexFixing(hiborindex,AK3086)</f>
        <v>1.3215736171968986E-2</v>
      </c>
    </row>
    <row r="3087" spans="37:39" x14ac:dyDescent="0.25">
      <c r="AK3087" s="21">
        <f>_xll.qlCalendarAdvance(calendar,AK3086,"1D")</f>
        <v>46945</v>
      </c>
      <c r="AL3087" s="21">
        <f>_xll.qlInterestRateIndexValueDate(hiborindex,AK3087)</f>
        <v>46947</v>
      </c>
      <c r="AM3087" s="23">
        <f>_xll.qlIndexFixing(hiborindex,AK3087)</f>
        <v>1.3223102825652205E-2</v>
      </c>
    </row>
    <row r="3088" spans="37:39" x14ac:dyDescent="0.25">
      <c r="AK3088" s="21">
        <f>_xll.qlCalendarAdvance(calendar,AK3087,"1D")</f>
        <v>46946</v>
      </c>
      <c r="AL3088" s="21">
        <f>_xll.qlInterestRateIndexValueDate(hiborindex,AK3088)</f>
        <v>46948</v>
      </c>
      <c r="AM3088" s="23">
        <f>_xll.qlIndexFixing(hiborindex,AK3088)</f>
        <v>1.3224581116704119E-2</v>
      </c>
    </row>
    <row r="3089" spans="37:39" x14ac:dyDescent="0.25">
      <c r="AK3089" s="21">
        <f>_xll.qlCalendarAdvance(calendar,AK3088,"1D")</f>
        <v>46947</v>
      </c>
      <c r="AL3089" s="21">
        <f>_xll.qlInterestRateIndexValueDate(hiborindex,AK3089)</f>
        <v>46951</v>
      </c>
      <c r="AM3089" s="23">
        <f>_xll.qlIndexFixing(hiborindex,AK3089)</f>
        <v>1.323294139741377E-2</v>
      </c>
    </row>
    <row r="3090" spans="37:39" x14ac:dyDescent="0.25">
      <c r="AK3090" s="21">
        <f>_xll.qlCalendarAdvance(calendar,AK3089,"1D")</f>
        <v>46948</v>
      </c>
      <c r="AL3090" s="21">
        <f>_xll.qlInterestRateIndexValueDate(hiborindex,AK3090)</f>
        <v>46952</v>
      </c>
      <c r="AM3090" s="23">
        <f>_xll.qlIndexFixing(hiborindex,AK3090)</f>
        <v>1.3236382460536475E-2</v>
      </c>
    </row>
    <row r="3091" spans="37:39" x14ac:dyDescent="0.25">
      <c r="AK3091" s="21">
        <f>_xll.qlCalendarAdvance(calendar,AK3090,"1D")</f>
        <v>46951</v>
      </c>
      <c r="AL3091" s="21">
        <f>_xll.qlInterestRateIndexValueDate(hiborindex,AK3091)</f>
        <v>46953</v>
      </c>
      <c r="AM3091" s="23">
        <f>_xll.qlIndexFixing(hiborindex,AK3091)</f>
        <v>1.3239823529670893E-2</v>
      </c>
    </row>
    <row r="3092" spans="37:39" x14ac:dyDescent="0.25">
      <c r="AK3092" s="21">
        <f>_xll.qlCalendarAdvance(calendar,AK3091,"1D")</f>
        <v>46952</v>
      </c>
      <c r="AL3092" s="21">
        <f>_xll.qlInterestRateIndexValueDate(hiborindex,AK3092)</f>
        <v>46954</v>
      </c>
      <c r="AM3092" s="23">
        <f>_xll.qlIndexFixing(hiborindex,AK3092)</f>
        <v>1.3247192032665856E-2</v>
      </c>
    </row>
    <row r="3093" spans="37:39" x14ac:dyDescent="0.25">
      <c r="AK3093" s="21">
        <f>_xll.qlCalendarAdvance(calendar,AK3092,"1D")</f>
        <v>46953</v>
      </c>
      <c r="AL3093" s="21">
        <f>_xll.qlInterestRateIndexValueDate(hiborindex,AK3093)</f>
        <v>46955</v>
      </c>
      <c r="AM3093" s="23">
        <f>_xll.qlIndexFixing(hiborindex,AK3093)</f>
        <v>1.3248669462280063E-2</v>
      </c>
    </row>
    <row r="3094" spans="37:39" x14ac:dyDescent="0.25">
      <c r="AK3094" s="21">
        <f>_xll.qlCalendarAdvance(calendar,AK3093,"1D")</f>
        <v>46954</v>
      </c>
      <c r="AL3094" s="21">
        <f>_xll.qlInterestRateIndexValueDate(hiborindex,AK3094)</f>
        <v>46958</v>
      </c>
      <c r="AM3094" s="23">
        <f>_xll.qlIndexFixing(hiborindex,AK3094)</f>
        <v>1.3257028965513465E-2</v>
      </c>
    </row>
    <row r="3095" spans="37:39" x14ac:dyDescent="0.25">
      <c r="AK3095" s="21">
        <f>_xll.qlCalendarAdvance(calendar,AK3094,"1D")</f>
        <v>46955</v>
      </c>
      <c r="AL3095" s="21">
        <f>_xll.qlInterestRateIndexValueDate(hiborindex,AK3095)</f>
        <v>46959</v>
      </c>
      <c r="AM3095" s="23">
        <f>_xll.qlIndexFixing(hiborindex,AK3095)</f>
        <v>1.3260470070716422E-2</v>
      </c>
    </row>
    <row r="3096" spans="37:39" x14ac:dyDescent="0.25">
      <c r="AK3096" s="21">
        <f>_xll.qlCalendarAdvance(calendar,AK3095,"1D")</f>
        <v>46958</v>
      </c>
      <c r="AL3096" s="21">
        <f>_xll.qlInterestRateIndexValueDate(hiborindex,AK3096)</f>
        <v>46960</v>
      </c>
      <c r="AM3096" s="23">
        <f>_xll.qlIndexFixing(hiborindex,AK3096)</f>
        <v>1.3263911181930658E-2</v>
      </c>
    </row>
    <row r="3097" spans="37:39" x14ac:dyDescent="0.25">
      <c r="AK3097" s="21">
        <f>_xll.qlCalendarAdvance(calendar,AK3096,"1D")</f>
        <v>46959</v>
      </c>
      <c r="AL3097" s="21">
        <f>_xll.qlInterestRateIndexValueDate(hiborindex,AK3097)</f>
        <v>46961</v>
      </c>
      <c r="AM3097" s="23">
        <f>_xll.qlIndexFixing(hiborindex,AK3097)</f>
        <v>1.3271281537461089E-2</v>
      </c>
    </row>
    <row r="3098" spans="37:39" x14ac:dyDescent="0.25">
      <c r="AK3098" s="21">
        <f>_xll.qlCalendarAdvance(calendar,AK3097,"1D")</f>
        <v>46960</v>
      </c>
      <c r="AL3098" s="21">
        <f>_xll.qlInterestRateIndexValueDate(hiborindex,AK3098)</f>
        <v>46962</v>
      </c>
      <c r="AM3098" s="23">
        <f>_xll.qlIndexFixing(hiborindex,AK3098)</f>
        <v>1.3272758104026443E-2</v>
      </c>
    </row>
    <row r="3099" spans="37:39" x14ac:dyDescent="0.25">
      <c r="AK3099" s="21">
        <f>_xll.qlCalendarAdvance(calendar,AK3098,"1D")</f>
        <v>46961</v>
      </c>
      <c r="AL3099" s="21">
        <f>_xll.qlInterestRateIndexValueDate(hiborindex,AK3099)</f>
        <v>46965</v>
      </c>
      <c r="AM3099" s="23">
        <f>_xll.qlIndexFixing(hiborindex,AK3099)</f>
        <v>1.3281116828173621E-2</v>
      </c>
    </row>
    <row r="3100" spans="37:39" x14ac:dyDescent="0.25">
      <c r="AK3100" s="21">
        <f>_xll.qlCalendarAdvance(calendar,AK3099,"1D")</f>
        <v>46962</v>
      </c>
      <c r="AL3100" s="21">
        <f>_xll.qlInterestRateIndexValueDate(hiborindex,AK3100)</f>
        <v>46966</v>
      </c>
      <c r="AM3100" s="23">
        <f>_xll.qlIndexFixing(hiborindex,AK3100)</f>
        <v>1.3284557975456397E-2</v>
      </c>
    </row>
    <row r="3101" spans="37:39" x14ac:dyDescent="0.25">
      <c r="AK3101" s="21">
        <f>_xll.qlCalendarAdvance(calendar,AK3100,"1D")</f>
        <v>46965</v>
      </c>
      <c r="AL3101" s="21">
        <f>_xll.qlInterestRateIndexValueDate(hiborindex,AK3101)</f>
        <v>46967</v>
      </c>
      <c r="AM3101" s="23">
        <f>_xll.qlIndexFixing(hiborindex,AK3101)</f>
        <v>1.3287999128750885E-2</v>
      </c>
    </row>
    <row r="3102" spans="37:39" x14ac:dyDescent="0.25">
      <c r="AK3102" s="21">
        <f>_xll.qlCalendarAdvance(calendar,AK3101,"1D")</f>
        <v>46966</v>
      </c>
      <c r="AL3102" s="21">
        <f>_xll.qlInterestRateIndexValueDate(hiborindex,AK3102)</f>
        <v>46968</v>
      </c>
      <c r="AM3102" s="23">
        <f>_xll.qlIndexFixing(hiborindex,AK3102)</f>
        <v>1.3295371340042205E-2</v>
      </c>
    </row>
    <row r="3103" spans="37:39" x14ac:dyDescent="0.25">
      <c r="AK3103" s="21">
        <f>_xll.qlCalendarAdvance(calendar,AK3102,"1D")</f>
        <v>46967</v>
      </c>
      <c r="AL3103" s="21">
        <f>_xll.qlInterestRateIndexValueDate(hiborindex,AK3103)</f>
        <v>46969</v>
      </c>
      <c r="AM3103" s="23">
        <f>_xll.qlIndexFixing(hiborindex,AK3103)</f>
        <v>1.3296847041946721E-2</v>
      </c>
    </row>
    <row r="3104" spans="37:39" x14ac:dyDescent="0.25">
      <c r="AK3104" s="21">
        <f>_xll.qlCalendarAdvance(calendar,AK3103,"1D")</f>
        <v>46968</v>
      </c>
      <c r="AL3104" s="21">
        <f>_xll.qlInterestRateIndexValueDate(hiborindex,AK3104)</f>
        <v>46972</v>
      </c>
      <c r="AM3104" s="23">
        <f>_xll.qlIndexFixing(hiborindex,AK3104)</f>
        <v>1.3305204985397282E-2</v>
      </c>
    </row>
    <row r="3105" spans="37:39" x14ac:dyDescent="0.25">
      <c r="AK3105" s="21">
        <f>_xll.qlCalendarAdvance(calendar,AK3104,"1D")</f>
        <v>46969</v>
      </c>
      <c r="AL3105" s="21">
        <f>_xll.qlInterestRateIndexValueDate(hiborindex,AK3105)</f>
        <v>46973</v>
      </c>
      <c r="AM3105" s="23">
        <f>_xll.qlIndexFixing(hiborindex,AK3105)</f>
        <v>1.3308646174760744E-2</v>
      </c>
    </row>
    <row r="3106" spans="37:39" x14ac:dyDescent="0.25">
      <c r="AK3106" s="21">
        <f>_xll.qlCalendarAdvance(calendar,AK3105,"1D")</f>
        <v>46972</v>
      </c>
      <c r="AL3106" s="21">
        <f>_xll.qlInterestRateIndexValueDate(hiborindex,AK3106)</f>
        <v>46974</v>
      </c>
      <c r="AM3106" s="23">
        <f>_xll.qlIndexFixing(hiborindex,AK3106)</f>
        <v>1.3312087370136354E-2</v>
      </c>
    </row>
    <row r="3107" spans="37:39" x14ac:dyDescent="0.25">
      <c r="AK3107" s="21">
        <f>_xll.qlCalendarAdvance(calendar,AK3106,"1D")</f>
        <v>46973</v>
      </c>
      <c r="AL3107" s="21">
        <f>_xll.qlInterestRateIndexValueDate(hiborindex,AK3107)</f>
        <v>46975</v>
      </c>
      <c r="AM3107" s="23">
        <f>_xll.qlIndexFixing(hiborindex,AK3107)</f>
        <v>1.331946144041264E-2</v>
      </c>
    </row>
    <row r="3108" spans="37:39" x14ac:dyDescent="0.25">
      <c r="AK3108" s="21">
        <f>_xll.qlCalendarAdvance(calendar,AK3107,"1D")</f>
        <v>46974</v>
      </c>
      <c r="AL3108" s="21">
        <f>_xll.qlInterestRateIndexValueDate(hiborindex,AK3108)</f>
        <v>46976</v>
      </c>
      <c r="AM3108" s="23">
        <f>_xll.qlIndexFixing(hiborindex,AK3108)</f>
        <v>1.3320936276044784E-2</v>
      </c>
    </row>
    <row r="3109" spans="37:39" x14ac:dyDescent="0.25">
      <c r="AK3109" s="21">
        <f>_xll.qlCalendarAdvance(calendar,AK3108,"1D")</f>
        <v>46975</v>
      </c>
      <c r="AL3109" s="21">
        <f>_xll.qlInterestRateIndexValueDate(hiborindex,AK3109)</f>
        <v>46979</v>
      </c>
      <c r="AM3109" s="23">
        <f>_xll.qlIndexFixing(hiborindex,AK3109)</f>
        <v>1.3329293437187922E-2</v>
      </c>
    </row>
    <row r="3110" spans="37:39" x14ac:dyDescent="0.25">
      <c r="AK3110" s="21">
        <f>_xll.qlCalendarAdvance(calendar,AK3109,"1D")</f>
        <v>46976</v>
      </c>
      <c r="AL3110" s="21">
        <f>_xll.qlInterestRateIndexValueDate(hiborindex,AK3110)</f>
        <v>46980</v>
      </c>
      <c r="AM3110" s="23">
        <f>_xll.qlIndexFixing(hiborindex,AK3110)</f>
        <v>1.3332734668632941E-2</v>
      </c>
    </row>
    <row r="3111" spans="37:39" x14ac:dyDescent="0.25">
      <c r="AK3111" s="21">
        <f>_xll.qlCalendarAdvance(calendar,AK3110,"1D")</f>
        <v>46979</v>
      </c>
      <c r="AL3111" s="21">
        <f>_xll.qlInterestRateIndexValueDate(hiborindex,AK3111)</f>
        <v>46981</v>
      </c>
      <c r="AM3111" s="23">
        <f>_xll.qlIndexFixing(hiborindex,AK3111)</f>
        <v>1.3336175906089671E-2</v>
      </c>
    </row>
    <row r="3112" spans="37:39" x14ac:dyDescent="0.25">
      <c r="AK3112" s="21">
        <f>_xll.qlCalendarAdvance(calendar,AK3111,"1D")</f>
        <v>46980</v>
      </c>
      <c r="AL3112" s="21">
        <f>_xll.qlInterestRateIndexValueDate(hiborindex,AK3112)</f>
        <v>46982</v>
      </c>
      <c r="AM3112" s="23">
        <f>_xll.qlIndexFixing(hiborindex,AK3112)</f>
        <v>1.3343551838576264E-2</v>
      </c>
    </row>
    <row r="3113" spans="37:39" x14ac:dyDescent="0.25">
      <c r="AK3113" s="21">
        <f>_xll.qlCalendarAdvance(calendar,AK3112,"1D")</f>
        <v>46981</v>
      </c>
      <c r="AL3113" s="21">
        <f>_xll.qlInterestRateIndexValueDate(hiborindex,AK3113)</f>
        <v>46983</v>
      </c>
      <c r="AM3113" s="23">
        <f>_xll.qlIndexFixing(hiborindex,AK3113)</f>
        <v>1.3345025806324521E-2</v>
      </c>
    </row>
    <row r="3114" spans="37:39" x14ac:dyDescent="0.25">
      <c r="AK3114" s="21">
        <f>_xll.qlCalendarAdvance(calendar,AK3113,"1D")</f>
        <v>46982</v>
      </c>
      <c r="AL3114" s="21">
        <f>_xll.qlInterestRateIndexValueDate(hiborindex,AK3114)</f>
        <v>46986</v>
      </c>
      <c r="AM3114" s="23">
        <f>_xll.qlIndexFixing(hiborindex,AK3114)</f>
        <v>1.3353382183549452E-2</v>
      </c>
    </row>
    <row r="3115" spans="37:39" x14ac:dyDescent="0.25">
      <c r="AK3115" s="21">
        <f>_xll.qlCalendarAdvance(calendar,AK3114,"1D")</f>
        <v>46983</v>
      </c>
      <c r="AL3115" s="21">
        <f>_xll.qlInterestRateIndexValueDate(hiborindex,AK3115)</f>
        <v>46987</v>
      </c>
      <c r="AM3115" s="23">
        <f>_xll.qlIndexFixing(hiborindex,AK3115)</f>
        <v>1.335682345707646E-2</v>
      </c>
    </row>
    <row r="3116" spans="37:39" x14ac:dyDescent="0.25">
      <c r="AK3116" s="21">
        <f>_xll.qlCalendarAdvance(calendar,AK3115,"1D")</f>
        <v>46986</v>
      </c>
      <c r="AL3116" s="21">
        <f>_xll.qlInterestRateIndexValueDate(hiborindex,AK3116)</f>
        <v>46988</v>
      </c>
      <c r="AM3116" s="23">
        <f>_xll.qlIndexFixing(hiborindex,AK3116)</f>
        <v>1.3360264736615182E-2</v>
      </c>
    </row>
    <row r="3117" spans="37:39" x14ac:dyDescent="0.25">
      <c r="AK3117" s="21">
        <f>_xll.qlCalendarAdvance(calendar,AK3116,"1D")</f>
        <v>46987</v>
      </c>
      <c r="AL3117" s="21">
        <f>_xll.qlInterestRateIndexValueDate(hiborindex,AK3117)</f>
        <v>46989</v>
      </c>
      <c r="AM3117" s="23">
        <f>_xll.qlIndexFixing(hiborindex,AK3117)</f>
        <v>1.3367642534536515E-2</v>
      </c>
    </row>
    <row r="3118" spans="37:39" x14ac:dyDescent="0.25">
      <c r="AK3118" s="21">
        <f>_xll.qlCalendarAdvance(calendar,AK3117,"1D")</f>
        <v>46988</v>
      </c>
      <c r="AL3118" s="21">
        <f>_xll.qlInterestRateIndexValueDate(hiborindex,AK3118)</f>
        <v>46990</v>
      </c>
      <c r="AM3118" s="23">
        <f>_xll.qlIndexFixing(hiborindex,AK3118)</f>
        <v>1.3369115632789388E-2</v>
      </c>
    </row>
    <row r="3119" spans="37:39" x14ac:dyDescent="0.25">
      <c r="AK3119" s="21">
        <f>_xll.qlCalendarAdvance(calendar,AK3118,"1D")</f>
        <v>46989</v>
      </c>
      <c r="AL3119" s="21">
        <f>_xll.qlInterestRateIndexValueDate(hiborindex,AK3119)</f>
        <v>46993</v>
      </c>
      <c r="AM3119" s="23">
        <f>_xll.qlIndexFixing(hiborindex,AK3119)</f>
        <v>1.3377471224485347E-2</v>
      </c>
    </row>
    <row r="3120" spans="37:39" x14ac:dyDescent="0.25">
      <c r="AK3120" s="21">
        <f>_xll.qlCalendarAdvance(calendar,AK3119,"1D")</f>
        <v>46990</v>
      </c>
      <c r="AL3120" s="21">
        <f>_xll.qlInterestRateIndexValueDate(hiborindex,AK3120)</f>
        <v>46994</v>
      </c>
      <c r="AM3120" s="23">
        <f>_xll.qlIndexFixing(hiborindex,AK3120)</f>
        <v>1.3378943834404614E-2</v>
      </c>
    </row>
    <row r="3121" spans="37:39" x14ac:dyDescent="0.25">
      <c r="AK3121" s="21">
        <f>_xll.qlCalendarAdvance(calendar,AK3120,"1D")</f>
        <v>46993</v>
      </c>
      <c r="AL3121" s="21">
        <f>_xll.qlInterestRateIndexValueDate(hiborindex,AK3121)</f>
        <v>46995</v>
      </c>
      <c r="AM3121" s="23">
        <f>_xll.qlIndexFixing(hiborindex,AK3121)</f>
        <v>1.3380416324492321E-2</v>
      </c>
    </row>
    <row r="3122" spans="37:39" x14ac:dyDescent="0.25">
      <c r="AK3122" s="21">
        <f>_xll.qlCalendarAdvance(calendar,AK3121,"1D")</f>
        <v>46994</v>
      </c>
      <c r="AL3122" s="21">
        <f>_xll.qlInterestRateIndexValueDate(hiborindex,AK3122)</f>
        <v>46996</v>
      </c>
      <c r="AM3122" s="23">
        <f>_xll.qlIndexFixing(hiborindex,AK3122)</f>
        <v>1.3381888694730238E-2</v>
      </c>
    </row>
    <row r="3123" spans="37:39" x14ac:dyDescent="0.25">
      <c r="AK3123" s="21">
        <f>_xll.qlCalendarAdvance(calendar,AK3122,"1D")</f>
        <v>46995</v>
      </c>
      <c r="AL3123" s="21">
        <f>_xll.qlInterestRateIndexValueDate(hiborindex,AK3123)</f>
        <v>46997</v>
      </c>
      <c r="AM3123" s="23">
        <f>_xll.qlIndexFixing(hiborindex,AK3123)</f>
        <v>1.3385329636852853E-2</v>
      </c>
    </row>
    <row r="3124" spans="37:39" x14ac:dyDescent="0.25">
      <c r="AK3124" s="21">
        <f>_xll.qlCalendarAdvance(calendar,AK3123,"1D")</f>
        <v>46996</v>
      </c>
      <c r="AL3124" s="21">
        <f>_xll.qlInterestRateIndexValueDate(hiborindex,AK3124)</f>
        <v>47000</v>
      </c>
      <c r="AM3124" s="23">
        <f>_xll.qlIndexFixing(hiborindex,AK3124)</f>
        <v>1.3397621717184425E-2</v>
      </c>
    </row>
    <row r="3125" spans="37:39" x14ac:dyDescent="0.25">
      <c r="AK3125" s="21">
        <f>_xll.qlCalendarAdvance(calendar,AK3124,"1D")</f>
        <v>46997</v>
      </c>
      <c r="AL3125" s="21">
        <f>_xll.qlInterestRateIndexValueDate(hiborindex,AK3125)</f>
        <v>47001</v>
      </c>
      <c r="AM3125" s="23">
        <f>_xll.qlIndexFixing(hiborindex,AK3125)</f>
        <v>1.3399093464475242E-2</v>
      </c>
    </row>
    <row r="3126" spans="37:39" x14ac:dyDescent="0.25">
      <c r="AK3126" s="21">
        <f>_xll.qlCalendarAdvance(calendar,AK3125,"1D")</f>
        <v>47000</v>
      </c>
      <c r="AL3126" s="21">
        <f>_xll.qlInterestRateIndexValueDate(hiborindex,AK3126)</f>
        <v>47002</v>
      </c>
      <c r="AM3126" s="23">
        <f>_xll.qlIndexFixing(hiborindex,AK3126)</f>
        <v>1.3402534436164041E-2</v>
      </c>
    </row>
    <row r="3127" spans="37:39" x14ac:dyDescent="0.25">
      <c r="AK3127" s="21">
        <f>_xll.qlCalendarAdvance(calendar,AK3126,"1D")</f>
        <v>47001</v>
      </c>
      <c r="AL3127" s="21">
        <f>_xll.qlInterestRateIndexValueDate(hiborindex,AK3127)</f>
        <v>47003</v>
      </c>
      <c r="AM3127" s="23">
        <f>_xll.qlIndexFixing(hiborindex,AK3127)</f>
        <v>1.3405975413765902E-2</v>
      </c>
    </row>
    <row r="3128" spans="37:39" x14ac:dyDescent="0.25">
      <c r="AK3128" s="21">
        <f>_xll.qlCalendarAdvance(calendar,AK3127,"1D")</f>
        <v>47002</v>
      </c>
      <c r="AL3128" s="21">
        <f>_xll.qlInterestRateIndexValueDate(hiborindex,AK3128)</f>
        <v>47004</v>
      </c>
      <c r="AM3128" s="23">
        <f>_xll.qlIndexFixing(hiborindex,AK3128)</f>
        <v>1.3409416397280379E-2</v>
      </c>
    </row>
    <row r="3129" spans="37:39" x14ac:dyDescent="0.25">
      <c r="AK3129" s="21">
        <f>_xll.qlCalendarAdvance(calendar,AK3128,"1D")</f>
        <v>47003</v>
      </c>
      <c r="AL3129" s="21">
        <f>_xll.qlInterestRateIndexValueDate(hiborindex,AK3129)</f>
        <v>47007</v>
      </c>
      <c r="AM3129" s="23">
        <f>_xll.qlIndexFixing(hiborindex,AK3129)</f>
        <v>1.3421709516689778E-2</v>
      </c>
    </row>
    <row r="3130" spans="37:39" x14ac:dyDescent="0.25">
      <c r="AK3130" s="21">
        <f>_xll.qlCalendarAdvance(calendar,AK3129,"1D")</f>
        <v>47004</v>
      </c>
      <c r="AL3130" s="21">
        <f>_xll.qlInterestRateIndexValueDate(hiborindex,AK3130)</f>
        <v>47008</v>
      </c>
      <c r="AM3130" s="23">
        <f>_xll.qlIndexFixing(hiborindex,AK3130)</f>
        <v>1.3423180390472867E-2</v>
      </c>
    </row>
    <row r="3131" spans="37:39" x14ac:dyDescent="0.25">
      <c r="AK3131" s="21">
        <f>_xll.qlCalendarAdvance(calendar,AK3130,"1D")</f>
        <v>47007</v>
      </c>
      <c r="AL3131" s="21">
        <f>_xll.qlInterestRateIndexValueDate(hiborindex,AK3131)</f>
        <v>47009</v>
      </c>
      <c r="AM3131" s="23">
        <f>_xll.qlIndexFixing(hiborindex,AK3131)</f>
        <v>1.3426621403553971E-2</v>
      </c>
    </row>
    <row r="3132" spans="37:39" x14ac:dyDescent="0.25">
      <c r="AK3132" s="21">
        <f>_xll.qlCalendarAdvance(calendar,AK3131,"1D")</f>
        <v>47008</v>
      </c>
      <c r="AL3132" s="21">
        <f>_xll.qlInterestRateIndexValueDate(hiborindex,AK3132)</f>
        <v>47010</v>
      </c>
      <c r="AM3132" s="23">
        <f>_xll.qlIndexFixing(hiborindex,AK3132)</f>
        <v>1.3430062422548576E-2</v>
      </c>
    </row>
    <row r="3133" spans="37:39" x14ac:dyDescent="0.25">
      <c r="AK3133" s="21">
        <f>_xll.qlCalendarAdvance(calendar,AK3132,"1D")</f>
        <v>47009</v>
      </c>
      <c r="AL3133" s="21">
        <f>_xll.qlInterestRateIndexValueDate(hiborindex,AK3133)</f>
        <v>47011</v>
      </c>
      <c r="AM3133" s="23">
        <f>_xll.qlIndexFixing(hiborindex,AK3133)</f>
        <v>1.3433503447456242E-2</v>
      </c>
    </row>
    <row r="3134" spans="37:39" x14ac:dyDescent="0.25">
      <c r="AK3134" s="21">
        <f>_xll.qlCalendarAdvance(calendar,AK3133,"1D")</f>
        <v>47010</v>
      </c>
      <c r="AL3134" s="21">
        <f>_xll.qlInterestRateIndexValueDate(hiborindex,AK3134)</f>
        <v>47014</v>
      </c>
      <c r="AM3134" s="23">
        <f>_xll.qlIndexFixing(hiborindex,AK3134)</f>
        <v>1.3445797607555474E-2</v>
      </c>
    </row>
    <row r="3135" spans="37:39" x14ac:dyDescent="0.25">
      <c r="AK3135" s="21">
        <f>_xll.qlCalendarAdvance(calendar,AK3134,"1D")</f>
        <v>47011</v>
      </c>
      <c r="AL3135" s="21">
        <f>_xll.qlInterestRateIndexValueDate(hiborindex,AK3135)</f>
        <v>47015</v>
      </c>
      <c r="AM3135" s="23">
        <f>_xll.qlIndexFixing(hiborindex,AK3135)</f>
        <v>1.344726760621971E-2</v>
      </c>
    </row>
    <row r="3136" spans="37:39" x14ac:dyDescent="0.25">
      <c r="AK3136" s="21">
        <f>_xll.qlCalendarAdvance(calendar,AK3135,"1D")</f>
        <v>47014</v>
      </c>
      <c r="AL3136" s="21">
        <f>_xll.qlInterestRateIndexValueDate(hiborindex,AK3136)</f>
        <v>47016</v>
      </c>
      <c r="AM3136" s="23">
        <f>_xll.qlIndexFixing(hiborindex,AK3136)</f>
        <v>1.3450708660694002E-2</v>
      </c>
    </row>
    <row r="3137" spans="37:39" x14ac:dyDescent="0.25">
      <c r="AK3137" s="21">
        <f>_xll.qlCalendarAdvance(calendar,AK3136,"1D")</f>
        <v>47015</v>
      </c>
      <c r="AL3137" s="21">
        <f>_xll.qlInterestRateIndexValueDate(hiborindex,AK3137)</f>
        <v>47017</v>
      </c>
      <c r="AM3137" s="23">
        <f>_xll.qlIndexFixing(hiborindex,AK3137)</f>
        <v>1.3454149721081794E-2</v>
      </c>
    </row>
    <row r="3138" spans="37:39" x14ac:dyDescent="0.25">
      <c r="AK3138" s="21">
        <f>_xll.qlCalendarAdvance(calendar,AK3137,"1D")</f>
        <v>47016</v>
      </c>
      <c r="AL3138" s="21">
        <f>_xll.qlInterestRateIndexValueDate(hiborindex,AK3138)</f>
        <v>47018</v>
      </c>
      <c r="AM3138" s="23">
        <f>_xll.qlIndexFixing(hiborindex,AK3138)</f>
        <v>1.3457590787382647E-2</v>
      </c>
    </row>
    <row r="3139" spans="37:39" x14ac:dyDescent="0.25">
      <c r="AK3139" s="21">
        <f>_xll.qlCalendarAdvance(calendar,AK3138,"1D")</f>
        <v>47017</v>
      </c>
      <c r="AL3139" s="21">
        <f>_xll.qlInterestRateIndexValueDate(hiborindex,AK3139)</f>
        <v>47021</v>
      </c>
      <c r="AM3139" s="23">
        <f>_xll.qlIndexFixing(hiborindex,AK3139)</f>
        <v>1.3469885989785903E-2</v>
      </c>
    </row>
    <row r="3140" spans="37:39" x14ac:dyDescent="0.25">
      <c r="AK3140" s="21">
        <f>_xll.qlCalendarAdvance(calendar,AK3139,"1D")</f>
        <v>47018</v>
      </c>
      <c r="AL3140" s="21">
        <f>_xll.qlInterestRateIndexValueDate(hiborindex,AK3140)</f>
        <v>47022</v>
      </c>
      <c r="AM3140" s="23">
        <f>_xll.qlIndexFixing(hiborindex,AK3140)</f>
        <v>1.3471355111719749E-2</v>
      </c>
    </row>
    <row r="3141" spans="37:39" x14ac:dyDescent="0.25">
      <c r="AK3141" s="21">
        <f>_xll.qlCalendarAdvance(calendar,AK3140,"1D")</f>
        <v>47021</v>
      </c>
      <c r="AL3141" s="21">
        <f>_xll.qlInterestRateIndexValueDate(hiborindex,AK3141)</f>
        <v>47023</v>
      </c>
      <c r="AM3141" s="23">
        <f>_xll.qlIndexFixing(hiborindex,AK3141)</f>
        <v>1.3474796207587668E-2</v>
      </c>
    </row>
    <row r="3142" spans="37:39" x14ac:dyDescent="0.25">
      <c r="AK3142" s="21">
        <f>_xll.qlCalendarAdvance(calendar,AK3141,"1D")</f>
        <v>47022</v>
      </c>
      <c r="AL3142" s="21">
        <f>_xll.qlInterestRateIndexValueDate(hiborindex,AK3142)</f>
        <v>47024</v>
      </c>
      <c r="AM3142" s="23">
        <f>_xll.qlIndexFixing(hiborindex,AK3142)</f>
        <v>1.3478237309368648E-2</v>
      </c>
    </row>
    <row r="3143" spans="37:39" x14ac:dyDescent="0.25">
      <c r="AK3143" s="21">
        <f>_xll.qlCalendarAdvance(calendar,AK3142,"1D")</f>
        <v>47023</v>
      </c>
      <c r="AL3143" s="21">
        <f>_xll.qlInterestRateIndexValueDate(hiborindex,AK3143)</f>
        <v>47025</v>
      </c>
      <c r="AM3143" s="23">
        <f>_xll.qlIndexFixing(hiborindex,AK3143)</f>
        <v>1.348167841706357E-2</v>
      </c>
    </row>
    <row r="3144" spans="37:39" x14ac:dyDescent="0.25">
      <c r="AK3144" s="21">
        <f>_xll.qlCalendarAdvance(calendar,AK3143,"1D")</f>
        <v>47024</v>
      </c>
      <c r="AL3144" s="21">
        <f>_xll.qlInterestRateIndexValueDate(hiborindex,AK3144)</f>
        <v>47028</v>
      </c>
      <c r="AM3144" s="23">
        <f>_xll.qlIndexFixing(hiborindex,AK3144)</f>
        <v>1.3495947687467244E-2</v>
      </c>
    </row>
    <row r="3145" spans="37:39" x14ac:dyDescent="0.25">
      <c r="AK3145" s="21">
        <f>_xll.qlCalendarAdvance(calendar,AK3144,"1D")</f>
        <v>47025</v>
      </c>
      <c r="AL3145" s="21">
        <f>_xll.qlInterestRateIndexValueDate(hiborindex,AK3145)</f>
        <v>47029</v>
      </c>
      <c r="AM3145" s="23">
        <f>_xll.qlIndexFixing(hiborindex,AK3145)</f>
        <v>1.3497415926255727E-2</v>
      </c>
    </row>
    <row r="3146" spans="37:39" x14ac:dyDescent="0.25">
      <c r="AK3146" s="21">
        <f>_xll.qlCalendarAdvance(calendar,AK3145,"1D")</f>
        <v>47028</v>
      </c>
      <c r="AL3146" s="21">
        <f>_xll.qlInterestRateIndexValueDate(hiborindex,AK3146)</f>
        <v>47030</v>
      </c>
      <c r="AM3146" s="23">
        <f>_xll.qlIndexFixing(hiborindex,AK3146)</f>
        <v>1.3500857195072886E-2</v>
      </c>
    </row>
    <row r="3147" spans="37:39" x14ac:dyDescent="0.25">
      <c r="AK3147" s="21">
        <f>_xll.qlCalendarAdvance(calendar,AK3146,"1D")</f>
        <v>47029</v>
      </c>
      <c r="AL3147" s="21">
        <f>_xll.qlInterestRateIndexValueDate(hiborindex,AK3147)</f>
        <v>47031</v>
      </c>
      <c r="AM3147" s="23">
        <f>_xll.qlIndexFixing(hiborindex,AK3147)</f>
        <v>1.3504298469836497E-2</v>
      </c>
    </row>
    <row r="3148" spans="37:39" x14ac:dyDescent="0.25">
      <c r="AK3148" s="21">
        <f>_xll.qlCalendarAdvance(calendar,AK3147,"1D")</f>
        <v>47030</v>
      </c>
      <c r="AL3148" s="21">
        <f>_xll.qlInterestRateIndexValueDate(hiborindex,AK3148)</f>
        <v>47032</v>
      </c>
      <c r="AM3148" s="23">
        <f>_xll.qlIndexFixing(hiborindex,AK3148)</f>
        <v>1.350773975054656E-2</v>
      </c>
    </row>
    <row r="3149" spans="37:39" x14ac:dyDescent="0.25">
      <c r="AK3149" s="21">
        <f>_xll.qlCalendarAdvance(calendar,AK3148,"1D")</f>
        <v>47031</v>
      </c>
      <c r="AL3149" s="21">
        <f>_xll.qlInterestRateIndexValueDate(hiborindex,AK3149)</f>
        <v>47035</v>
      </c>
      <c r="AM3149" s="23">
        <f>_xll.qlIndexFixing(hiborindex,AK3149)</f>
        <v>1.3518063628355023E-2</v>
      </c>
    </row>
    <row r="3150" spans="37:39" x14ac:dyDescent="0.25">
      <c r="AK3150" s="21">
        <f>_xll.qlCalendarAdvance(calendar,AK3149,"1D")</f>
        <v>47032</v>
      </c>
      <c r="AL3150" s="21">
        <f>_xll.qlInterestRateIndexValueDate(hiborindex,AK3150)</f>
        <v>47036</v>
      </c>
      <c r="AM3150" s="23">
        <f>_xll.qlIndexFixing(hiborindex,AK3150)</f>
        <v>1.3521504932850453E-2</v>
      </c>
    </row>
    <row r="3151" spans="37:39" x14ac:dyDescent="0.25">
      <c r="AK3151" s="21">
        <f>_xll.qlCalendarAdvance(calendar,AK3150,"1D")</f>
        <v>47035</v>
      </c>
      <c r="AL3151" s="21">
        <f>_xll.qlInterestRateIndexValueDate(hiborindex,AK3151)</f>
        <v>47037</v>
      </c>
      <c r="AM3151" s="23">
        <f>_xll.qlIndexFixing(hiborindex,AK3151)</f>
        <v>1.3524946243292778E-2</v>
      </c>
    </row>
    <row r="3152" spans="37:39" x14ac:dyDescent="0.25">
      <c r="AK3152" s="21">
        <f>_xll.qlCalendarAdvance(calendar,AK3151,"1D")</f>
        <v>47036</v>
      </c>
      <c r="AL3152" s="21">
        <f>_xll.qlInterestRateIndexValueDate(hiborindex,AK3152)</f>
        <v>47038</v>
      </c>
      <c r="AM3152" s="23">
        <f>_xll.qlIndexFixing(hiborindex,AK3152)</f>
        <v>1.3528387559681113E-2</v>
      </c>
    </row>
    <row r="3153" spans="37:39" x14ac:dyDescent="0.25">
      <c r="AK3153" s="21">
        <f>_xll.qlCalendarAdvance(calendar,AK3152,"1D")</f>
        <v>47037</v>
      </c>
      <c r="AL3153" s="21">
        <f>_xll.qlInterestRateIndexValueDate(hiborindex,AK3153)</f>
        <v>47039</v>
      </c>
      <c r="AM3153" s="23">
        <f>_xll.qlIndexFixing(hiborindex,AK3153)</f>
        <v>1.3531828882016341E-2</v>
      </c>
    </row>
    <row r="3154" spans="37:39" x14ac:dyDescent="0.25">
      <c r="AK3154" s="21">
        <f>_xll.qlCalendarAdvance(calendar,AK3153,"1D")</f>
        <v>47038</v>
      </c>
      <c r="AL3154" s="21">
        <f>_xll.qlInterestRateIndexValueDate(hiborindex,AK3154)</f>
        <v>47042</v>
      </c>
      <c r="AM3154" s="23">
        <f>_xll.qlIndexFixing(hiborindex,AK3154)</f>
        <v>1.3542152884700299E-2</v>
      </c>
    </row>
    <row r="3155" spans="37:39" x14ac:dyDescent="0.25">
      <c r="AK3155" s="21">
        <f>_xll.qlCalendarAdvance(calendar,AK3154,"1D")</f>
        <v>47039</v>
      </c>
      <c r="AL3155" s="21">
        <f>_xll.qlInterestRateIndexValueDate(hiborindex,AK3155)</f>
        <v>47043</v>
      </c>
      <c r="AM3155" s="23">
        <f>_xll.qlIndexFixing(hiborindex,AK3155)</f>
        <v>1.3545594230821335E-2</v>
      </c>
    </row>
    <row r="3156" spans="37:39" x14ac:dyDescent="0.25">
      <c r="AK3156" s="21">
        <f>_xll.qlCalendarAdvance(calendar,AK3155,"1D")</f>
        <v>47042</v>
      </c>
      <c r="AL3156" s="21">
        <f>_xll.qlInterestRateIndexValueDate(hiborindex,AK3156)</f>
        <v>47044</v>
      </c>
      <c r="AM3156" s="23">
        <f>_xll.qlIndexFixing(hiborindex,AK3156)</f>
        <v>1.3549035582888823E-2</v>
      </c>
    </row>
    <row r="3157" spans="37:39" x14ac:dyDescent="0.25">
      <c r="AK3157" s="21">
        <f>_xll.qlCalendarAdvance(calendar,AK3156,"1D")</f>
        <v>47043</v>
      </c>
      <c r="AL3157" s="21">
        <f>_xll.qlInterestRateIndexValueDate(hiborindex,AK3157)</f>
        <v>47045</v>
      </c>
      <c r="AM3157" s="23">
        <f>_xll.qlIndexFixing(hiborindex,AK3157)</f>
        <v>1.3552476940902763E-2</v>
      </c>
    </row>
    <row r="3158" spans="37:39" x14ac:dyDescent="0.25">
      <c r="AK3158" s="21">
        <f>_xll.qlCalendarAdvance(calendar,AK3157,"1D")</f>
        <v>47044</v>
      </c>
      <c r="AL3158" s="21">
        <f>_xll.qlInterestRateIndexValueDate(hiborindex,AK3158)</f>
        <v>47046</v>
      </c>
      <c r="AM3158" s="23">
        <f>_xll.qlIndexFixing(hiborindex,AK3158)</f>
        <v>1.3555918304863156E-2</v>
      </c>
    </row>
    <row r="3159" spans="37:39" x14ac:dyDescent="0.25">
      <c r="AK3159" s="21">
        <f>_xll.qlCalendarAdvance(calendar,AK3158,"1D")</f>
        <v>47045</v>
      </c>
      <c r="AL3159" s="21">
        <f>_xll.qlInterestRateIndexValueDate(hiborindex,AK3159)</f>
        <v>47049</v>
      </c>
      <c r="AM3159" s="23">
        <f>_xll.qlIndexFixing(hiborindex,AK3159)</f>
        <v>1.3566242432424365E-2</v>
      </c>
    </row>
    <row r="3160" spans="37:39" x14ac:dyDescent="0.25">
      <c r="AK3160" s="21">
        <f>_xll.qlCalendarAdvance(calendar,AK3159,"1D")</f>
        <v>47046</v>
      </c>
      <c r="AL3160" s="21">
        <f>_xll.qlInterestRateIndexValueDate(hiborindex,AK3160)</f>
        <v>47050</v>
      </c>
      <c r="AM3160" s="23">
        <f>_xll.qlIndexFixing(hiborindex,AK3160)</f>
        <v>1.3569683820171005E-2</v>
      </c>
    </row>
    <row r="3161" spans="37:39" x14ac:dyDescent="0.25">
      <c r="AK3161" s="21">
        <f>_xll.qlCalendarAdvance(calendar,AK3160,"1D")</f>
        <v>47049</v>
      </c>
      <c r="AL3161" s="21">
        <f>_xll.qlInterestRateIndexValueDate(hiborindex,AK3161)</f>
        <v>47051</v>
      </c>
      <c r="AM3161" s="23">
        <f>_xll.qlIndexFixing(hiborindex,AK3161)</f>
        <v>1.3573125213864536E-2</v>
      </c>
    </row>
    <row r="3162" spans="37:39" x14ac:dyDescent="0.25">
      <c r="AK3162" s="21">
        <f>_xll.qlCalendarAdvance(calendar,AK3161,"1D")</f>
        <v>47050</v>
      </c>
      <c r="AL3162" s="21">
        <f>_xll.qlInterestRateIndexValueDate(hiborindex,AK3162)</f>
        <v>47052</v>
      </c>
      <c r="AM3162" s="23">
        <f>_xll.qlIndexFixing(hiborindex,AK3162)</f>
        <v>1.357656661350452E-2</v>
      </c>
    </row>
    <row r="3163" spans="37:39" x14ac:dyDescent="0.25">
      <c r="AK3163" s="21">
        <f>_xll.qlCalendarAdvance(calendar,AK3162,"1D")</f>
        <v>47051</v>
      </c>
      <c r="AL3163" s="21">
        <f>_xll.qlInterestRateIndexValueDate(hiborindex,AK3163)</f>
        <v>47053</v>
      </c>
      <c r="AM3163" s="23">
        <f>_xll.qlIndexFixing(hiborindex,AK3163)</f>
        <v>1.3580008019091394E-2</v>
      </c>
    </row>
    <row r="3164" spans="37:39" x14ac:dyDescent="0.25">
      <c r="AK3164" s="21">
        <f>_xll.qlCalendarAdvance(calendar,AK3163,"1D")</f>
        <v>47052</v>
      </c>
      <c r="AL3164" s="21">
        <f>_xll.qlInterestRateIndexValueDate(hiborindex,AK3164)</f>
        <v>47056</v>
      </c>
      <c r="AM3164" s="23">
        <f>_xll.qlIndexFixing(hiborindex,AK3164)</f>
        <v>1.3590332271530734E-2</v>
      </c>
    </row>
    <row r="3165" spans="37:39" x14ac:dyDescent="0.25">
      <c r="AK3165" s="21">
        <f>_xll.qlCalendarAdvance(calendar,AK3164,"1D")</f>
        <v>47053</v>
      </c>
      <c r="AL3165" s="21">
        <f>_xll.qlInterestRateIndexValueDate(hiborindex,AK3165)</f>
        <v>47057</v>
      </c>
      <c r="AM3165" s="23">
        <f>_xll.qlIndexFixing(hiborindex,AK3165)</f>
        <v>1.3591796985639294E-2</v>
      </c>
    </row>
    <row r="3166" spans="37:39" x14ac:dyDescent="0.25">
      <c r="AK3166" s="21">
        <f>_xll.qlCalendarAdvance(calendar,AK3165,"1D")</f>
        <v>47056</v>
      </c>
      <c r="AL3166" s="21">
        <f>_xll.qlInterestRateIndexValueDate(hiborindex,AK3166)</f>
        <v>47058</v>
      </c>
      <c r="AM3166" s="23">
        <f>_xll.qlIndexFixing(hiborindex,AK3166)</f>
        <v>1.3597215136223431E-2</v>
      </c>
    </row>
    <row r="3167" spans="37:39" x14ac:dyDescent="0.25">
      <c r="AK3167" s="21">
        <f>_xll.qlCalendarAdvance(calendar,AK3166,"1D")</f>
        <v>47057</v>
      </c>
      <c r="AL3167" s="21">
        <f>_xll.qlInterestRateIndexValueDate(hiborindex,AK3167)</f>
        <v>47059</v>
      </c>
      <c r="AM3167" s="23">
        <f>_xll.qlIndexFixing(hiborindex,AK3167)</f>
        <v>1.3598679597239056E-2</v>
      </c>
    </row>
    <row r="3168" spans="37:39" x14ac:dyDescent="0.25">
      <c r="AK3168" s="21">
        <f>_xll.qlCalendarAdvance(calendar,AK3167,"1D")</f>
        <v>47058</v>
      </c>
      <c r="AL3168" s="21">
        <f>_xll.qlInterestRateIndexValueDate(hiborindex,AK3168)</f>
        <v>47060</v>
      </c>
      <c r="AM3168" s="23">
        <f>_xll.qlIndexFixing(hiborindex,AK3168)</f>
        <v>1.3602120911910072E-2</v>
      </c>
    </row>
    <row r="3169" spans="37:39" x14ac:dyDescent="0.25">
      <c r="AK3169" s="21">
        <f>_xll.qlCalendarAdvance(calendar,AK3168,"1D")</f>
        <v>47059</v>
      </c>
      <c r="AL3169" s="21">
        <f>_xll.qlInterestRateIndexValueDate(hiborindex,AK3169)</f>
        <v>47063</v>
      </c>
      <c r="AM3169" s="23">
        <f>_xll.qlIndexFixing(hiborindex,AK3169)</f>
        <v>1.3614422402022479E-2</v>
      </c>
    </row>
    <row r="3170" spans="37:39" x14ac:dyDescent="0.25">
      <c r="AK3170" s="21">
        <f>_xll.qlCalendarAdvance(calendar,AK3169,"1D")</f>
        <v>47060</v>
      </c>
      <c r="AL3170" s="21">
        <f>_xll.qlInterestRateIndexValueDate(hiborindex,AK3170)</f>
        <v>47064</v>
      </c>
      <c r="AM3170" s="23">
        <f>_xll.qlIndexFixing(hiborindex,AK3170)</f>
        <v>1.3615886229731365E-2</v>
      </c>
    </row>
    <row r="3171" spans="37:39" x14ac:dyDescent="0.25">
      <c r="AK3171" s="21">
        <f>_xll.qlCalendarAdvance(calendar,AK3170,"1D")</f>
        <v>47063</v>
      </c>
      <c r="AL3171" s="21">
        <f>_xll.qlInterestRateIndexValueDate(hiborindex,AK3171)</f>
        <v>47065</v>
      </c>
      <c r="AM3171" s="23">
        <f>_xll.qlIndexFixing(hiborindex,AK3171)</f>
        <v>1.3619327573971215E-2</v>
      </c>
    </row>
    <row r="3172" spans="37:39" x14ac:dyDescent="0.25">
      <c r="AK3172" s="21">
        <f>_xll.qlCalendarAdvance(calendar,AK3171,"1D")</f>
        <v>47064</v>
      </c>
      <c r="AL3172" s="21">
        <f>_xll.qlInterestRateIndexValueDate(hiborindex,AK3172)</f>
        <v>47066</v>
      </c>
      <c r="AM3172" s="23">
        <f>_xll.qlIndexFixing(hiborindex,AK3172)</f>
        <v>1.3622768924124565E-2</v>
      </c>
    </row>
    <row r="3173" spans="37:39" x14ac:dyDescent="0.25">
      <c r="AK3173" s="21">
        <f>_xll.qlCalendarAdvance(calendar,AK3172,"1D")</f>
        <v>47065</v>
      </c>
      <c r="AL3173" s="21">
        <f>_xll.qlInterestRateIndexValueDate(hiborindex,AK3173)</f>
        <v>47067</v>
      </c>
      <c r="AM3173" s="23">
        <f>_xll.qlIndexFixing(hiborindex,AK3173)</f>
        <v>1.3626210280191861E-2</v>
      </c>
    </row>
    <row r="3174" spans="37:39" x14ac:dyDescent="0.25">
      <c r="AK3174" s="21">
        <f>_xll.qlCalendarAdvance(calendar,AK3173,"1D")</f>
        <v>47066</v>
      </c>
      <c r="AL3174" s="21">
        <f>_xll.qlInterestRateIndexValueDate(hiborindex,AK3174)</f>
        <v>47070</v>
      </c>
      <c r="AM3174" s="23">
        <f>_xll.qlIndexFixing(hiborindex,AK3174)</f>
        <v>1.3638512823903994E-2</v>
      </c>
    </row>
    <row r="3175" spans="37:39" x14ac:dyDescent="0.25">
      <c r="AK3175" s="21">
        <f>_xll.qlCalendarAdvance(calendar,AK3174,"1D")</f>
        <v>47067</v>
      </c>
      <c r="AL3175" s="21">
        <f>_xll.qlInterestRateIndexValueDate(hiborindex,AK3175)</f>
        <v>47071</v>
      </c>
      <c r="AM3175" s="23">
        <f>_xll.qlIndexFixing(hiborindex,AK3175)</f>
        <v>1.3639975763600919E-2</v>
      </c>
    </row>
    <row r="3176" spans="37:39" x14ac:dyDescent="0.25">
      <c r="AK3176" s="21">
        <f>_xll.qlCalendarAdvance(calendar,AK3175,"1D")</f>
        <v>47070</v>
      </c>
      <c r="AL3176" s="21">
        <f>_xll.qlInterestRateIndexValueDate(hiborindex,AK3176)</f>
        <v>47072</v>
      </c>
      <c r="AM3176" s="23">
        <f>_xll.qlIndexFixing(hiborindex,AK3176)</f>
        <v>1.3643417149237931E-2</v>
      </c>
    </row>
    <row r="3177" spans="37:39" x14ac:dyDescent="0.25">
      <c r="AK3177" s="21">
        <f>_xll.qlCalendarAdvance(calendar,AK3176,"1D")</f>
        <v>47071</v>
      </c>
      <c r="AL3177" s="21">
        <f>_xll.qlInterestRateIndexValueDate(hiborindex,AK3177)</f>
        <v>47073</v>
      </c>
      <c r="AM3177" s="23">
        <f>_xll.qlIndexFixing(hiborindex,AK3177)</f>
        <v>1.3646858540788445E-2</v>
      </c>
    </row>
    <row r="3178" spans="37:39" x14ac:dyDescent="0.25">
      <c r="AK3178" s="21">
        <f>_xll.qlCalendarAdvance(calendar,AK3177,"1D")</f>
        <v>47072</v>
      </c>
      <c r="AL3178" s="21">
        <f>_xll.qlInterestRateIndexValueDate(hiborindex,AK3178)</f>
        <v>47074</v>
      </c>
      <c r="AM3178" s="23">
        <f>_xll.qlIndexFixing(hiborindex,AK3178)</f>
        <v>1.3650299938253342E-2</v>
      </c>
    </row>
    <row r="3179" spans="37:39" x14ac:dyDescent="0.25">
      <c r="AK3179" s="21">
        <f>_xll.qlCalendarAdvance(calendar,AK3178,"1D")</f>
        <v>47073</v>
      </c>
      <c r="AL3179" s="21">
        <f>_xll.qlInterestRateIndexValueDate(hiborindex,AK3179)</f>
        <v>47077</v>
      </c>
      <c r="AM3179" s="23">
        <f>_xll.qlIndexFixing(hiborindex,AK3179)</f>
        <v>1.3662603537177475E-2</v>
      </c>
    </row>
    <row r="3180" spans="37:39" x14ac:dyDescent="0.25">
      <c r="AK3180" s="21">
        <f>_xll.qlCalendarAdvance(calendar,AK3179,"1D")</f>
        <v>47074</v>
      </c>
      <c r="AL3180" s="21">
        <f>_xll.qlInterestRateIndexValueDate(hiborindex,AK3180)</f>
        <v>47078</v>
      </c>
      <c r="AM3180" s="23">
        <f>_xll.qlIndexFixing(hiborindex,AK3180)</f>
        <v>1.3664065587251048E-2</v>
      </c>
    </row>
    <row r="3181" spans="37:39" x14ac:dyDescent="0.25">
      <c r="AK3181" s="21">
        <f>_xll.qlCalendarAdvance(calendar,AK3180,"1D")</f>
        <v>47077</v>
      </c>
      <c r="AL3181" s="21">
        <f>_xll.qlInterestRateIndexValueDate(hiborindex,AK3181)</f>
        <v>47079</v>
      </c>
      <c r="AM3181" s="23">
        <f>_xll.qlIndexFixing(hiborindex,AK3181)</f>
        <v>1.3667507014286104E-2</v>
      </c>
    </row>
    <row r="3182" spans="37:39" x14ac:dyDescent="0.25">
      <c r="AK3182" s="21">
        <f>_xll.qlCalendarAdvance(calendar,AK3181,"1D")</f>
        <v>47078</v>
      </c>
      <c r="AL3182" s="21">
        <f>_xll.qlInterestRateIndexValueDate(hiborindex,AK3182)</f>
        <v>47080</v>
      </c>
      <c r="AM3182" s="23">
        <f>_xll.qlIndexFixing(hiborindex,AK3182)</f>
        <v>1.3670948447234222E-2</v>
      </c>
    </row>
    <row r="3183" spans="37:39" x14ac:dyDescent="0.25">
      <c r="AK3183" s="21">
        <f>_xll.qlCalendarAdvance(calendar,AK3182,"1D")</f>
        <v>47079</v>
      </c>
      <c r="AL3183" s="21">
        <f>_xll.qlInterestRateIndexValueDate(hiborindex,AK3183)</f>
        <v>47081</v>
      </c>
      <c r="AM3183" s="23">
        <f>_xll.qlIndexFixing(hiborindex,AK3183)</f>
        <v>1.3674389886096724E-2</v>
      </c>
    </row>
    <row r="3184" spans="37:39" x14ac:dyDescent="0.25">
      <c r="AK3184" s="21">
        <f>_xll.qlCalendarAdvance(calendar,AK3183,"1D")</f>
        <v>47080</v>
      </c>
      <c r="AL3184" s="21">
        <f>_xll.qlInterestRateIndexValueDate(hiborindex,AK3184)</f>
        <v>47084</v>
      </c>
      <c r="AM3184" s="23">
        <f>_xll.qlIndexFixing(hiborindex,AK3184)</f>
        <v>1.3686694541847753E-2</v>
      </c>
    </row>
    <row r="3185" spans="37:39" x14ac:dyDescent="0.25">
      <c r="AK3185" s="21">
        <f>_xll.qlCalendarAdvance(calendar,AK3184,"1D")</f>
        <v>47081</v>
      </c>
      <c r="AL3185" s="21">
        <f>_xll.qlInterestRateIndexValueDate(hiborindex,AK3185)</f>
        <v>47085</v>
      </c>
      <c r="AM3185" s="23">
        <f>_xll.qlIndexFixing(hiborindex,AK3185)</f>
        <v>1.368815570068661E-2</v>
      </c>
    </row>
    <row r="3186" spans="37:39" x14ac:dyDescent="0.25">
      <c r="AK3186" s="21">
        <f>_xll.qlCalendarAdvance(calendar,AK3185,"1D")</f>
        <v>47084</v>
      </c>
      <c r="AL3186" s="21">
        <f>_xll.qlInterestRateIndexValueDate(hiborindex,AK3186)</f>
        <v>47086</v>
      </c>
      <c r="AM3186" s="23">
        <f>_xll.qlIndexFixing(hiborindex,AK3186)</f>
        <v>1.369159716911883E-2</v>
      </c>
    </row>
    <row r="3187" spans="37:39" x14ac:dyDescent="0.25">
      <c r="AK3187" s="21">
        <f>_xll.qlCalendarAdvance(calendar,AK3186,"1D")</f>
        <v>47085</v>
      </c>
      <c r="AL3187" s="21">
        <f>_xll.qlInterestRateIndexValueDate(hiborindex,AK3187)</f>
        <v>47087</v>
      </c>
      <c r="AM3187" s="23">
        <f>_xll.qlIndexFixing(hiborindex,AK3187)</f>
        <v>1.3697019347338761E-2</v>
      </c>
    </row>
    <row r="3188" spans="37:39" x14ac:dyDescent="0.25">
      <c r="AK3188" s="21">
        <f>_xll.qlCalendarAdvance(calendar,AK3187,"1D")</f>
        <v>47086</v>
      </c>
      <c r="AL3188" s="21">
        <f>_xll.qlInterestRateIndexValueDate(hiborindex,AK3188)</f>
        <v>47088</v>
      </c>
      <c r="AM3188" s="23">
        <f>_xll.qlIndexFixing(hiborindex,AK3188)</f>
        <v>1.370046096106288E-2</v>
      </c>
    </row>
    <row r="3189" spans="37:39" x14ac:dyDescent="0.25">
      <c r="AK3189" s="21">
        <f>_xll.qlCalendarAdvance(calendar,AK3188,"1D")</f>
        <v>47087</v>
      </c>
      <c r="AL3189" s="21">
        <f>_xll.qlInterestRateIndexValueDate(hiborindex,AK3189)</f>
        <v>47091</v>
      </c>
      <c r="AM3189" s="23">
        <f>_xll.qlIndexFixing(hiborindex,AK3189)</f>
        <v>1.3710785837917903E-2</v>
      </c>
    </row>
    <row r="3190" spans="37:39" x14ac:dyDescent="0.25">
      <c r="AK3190" s="21">
        <f>_xll.qlCalendarAdvance(calendar,AK3189,"1D")</f>
        <v>47088</v>
      </c>
      <c r="AL3190" s="21">
        <f>_xll.qlInterestRateIndexValueDate(hiborindex,AK3190)</f>
        <v>47092</v>
      </c>
      <c r="AM3190" s="23">
        <f>_xll.qlIndexFixing(hiborindex,AK3190)</f>
        <v>1.3714227475430026E-2</v>
      </c>
    </row>
    <row r="3191" spans="37:39" x14ac:dyDescent="0.25">
      <c r="AK3191" s="21">
        <f>_xll.qlCalendarAdvance(calendar,AK3190,"1D")</f>
        <v>47091</v>
      </c>
      <c r="AL3191" s="21">
        <f>_xll.qlInterestRateIndexValueDate(hiborindex,AK3191)</f>
        <v>47093</v>
      </c>
      <c r="AM3191" s="23">
        <f>_xll.qlIndexFixing(hiborindex,AK3191)</f>
        <v>1.371766911888948E-2</v>
      </c>
    </row>
    <row r="3192" spans="37:39" x14ac:dyDescent="0.25">
      <c r="AK3192" s="21">
        <f>_xll.qlCalendarAdvance(calendar,AK3191,"1D")</f>
        <v>47092</v>
      </c>
      <c r="AL3192" s="21">
        <f>_xll.qlInterestRateIndexValueDate(hiborindex,AK3192)</f>
        <v>47094</v>
      </c>
      <c r="AM3192" s="23">
        <f>_xll.qlIndexFixing(hiborindex,AK3192)</f>
        <v>1.3721110768295386E-2</v>
      </c>
    </row>
    <row r="3193" spans="37:39" x14ac:dyDescent="0.25">
      <c r="AK3193" s="21">
        <f>_xll.qlCalendarAdvance(calendar,AK3192,"1D")</f>
        <v>47093</v>
      </c>
      <c r="AL3193" s="21">
        <f>_xll.qlInterestRateIndexValueDate(hiborindex,AK3193)</f>
        <v>47095</v>
      </c>
      <c r="AM3193" s="23">
        <f>_xll.qlIndexFixing(hiborindex,AK3193)</f>
        <v>1.3724552423649061E-2</v>
      </c>
    </row>
    <row r="3194" spans="37:39" x14ac:dyDescent="0.25">
      <c r="AK3194" s="21">
        <f>_xll.qlCalendarAdvance(calendar,AK3193,"1D")</f>
        <v>47094</v>
      </c>
      <c r="AL3194" s="21">
        <f>_xll.qlInterestRateIndexValueDate(hiborindex,AK3194)</f>
        <v>47098</v>
      </c>
      <c r="AM3194" s="23">
        <f>_xll.qlIndexFixing(hiborindex,AK3194)</f>
        <v>1.3734877425390998E-2</v>
      </c>
    </row>
    <row r="3195" spans="37:39" x14ac:dyDescent="0.25">
      <c r="AK3195" s="21">
        <f>_xll.qlCalendarAdvance(calendar,AK3194,"1D")</f>
        <v>47095</v>
      </c>
      <c r="AL3195" s="21">
        <f>_xll.qlInterestRateIndexValueDate(hiborindex,AK3195)</f>
        <v>47099</v>
      </c>
      <c r="AM3195" s="23">
        <f>_xll.qlIndexFixing(hiborindex,AK3195)</f>
        <v>1.3738319104532678E-2</v>
      </c>
    </row>
    <row r="3196" spans="37:39" x14ac:dyDescent="0.25">
      <c r="AK3196" s="21">
        <f>_xll.qlCalendarAdvance(calendar,AK3195,"1D")</f>
        <v>47098</v>
      </c>
      <c r="AL3196" s="21">
        <f>_xll.qlInterestRateIndexValueDate(hiborindex,AK3196)</f>
        <v>47100</v>
      </c>
      <c r="AM3196" s="23">
        <f>_xll.qlIndexFixing(hiborindex,AK3196)</f>
        <v>1.3741760789621249E-2</v>
      </c>
    </row>
    <row r="3197" spans="37:39" x14ac:dyDescent="0.25">
      <c r="AK3197" s="21">
        <f>_xll.qlCalendarAdvance(calendar,AK3196,"1D")</f>
        <v>47099</v>
      </c>
      <c r="AL3197" s="21">
        <f>_xll.qlInterestRateIndexValueDate(hiborindex,AK3197)</f>
        <v>47101</v>
      </c>
      <c r="AM3197" s="23">
        <f>_xll.qlIndexFixing(hiborindex,AK3197)</f>
        <v>1.3745202480657151E-2</v>
      </c>
    </row>
    <row r="3198" spans="37:39" x14ac:dyDescent="0.25">
      <c r="AK3198" s="21">
        <f>_xll.qlCalendarAdvance(calendar,AK3197,"1D")</f>
        <v>47100</v>
      </c>
      <c r="AL3198" s="21">
        <f>_xll.qlInterestRateIndexValueDate(hiborindex,AK3198)</f>
        <v>47102</v>
      </c>
      <c r="AM3198" s="23">
        <f>_xll.qlIndexFixing(hiborindex,AK3198)</f>
        <v>1.3748644177640384E-2</v>
      </c>
    </row>
    <row r="3199" spans="37:39" x14ac:dyDescent="0.25">
      <c r="AK3199" s="21">
        <f>_xll.qlCalendarAdvance(calendar,AK3198,"1D")</f>
        <v>47101</v>
      </c>
      <c r="AL3199" s="21">
        <f>_xll.qlInterestRateIndexValueDate(hiborindex,AK3199)</f>
        <v>47105</v>
      </c>
      <c r="AM3199" s="23">
        <f>_xll.qlIndexFixing(hiborindex,AK3199)</f>
        <v>1.375896930427143E-2</v>
      </c>
    </row>
    <row r="3200" spans="37:39" x14ac:dyDescent="0.25">
      <c r="AK3200" s="21">
        <f>_xll.qlCalendarAdvance(calendar,AK3199,"1D")</f>
        <v>47102</v>
      </c>
      <c r="AL3200" s="21">
        <f>_xll.qlInterestRateIndexValueDate(hiborindex,AK3200)</f>
        <v>47106</v>
      </c>
      <c r="AM3200" s="23">
        <f>_xll.qlIndexFixing(hiborindex,AK3200)</f>
        <v>1.3762411025042666E-2</v>
      </c>
    </row>
    <row r="3201" spans="37:39" x14ac:dyDescent="0.25">
      <c r="AK3201" s="21">
        <f>_xll.qlCalendarAdvance(calendar,AK3200,"1D")</f>
        <v>47105</v>
      </c>
      <c r="AL3201" s="21">
        <f>_xll.qlInterestRateIndexValueDate(hiborindex,AK3201)</f>
        <v>47107</v>
      </c>
      <c r="AM3201" s="23">
        <f>_xll.qlIndexFixing(hiborindex,AK3201)</f>
        <v>1.3765852751761674E-2</v>
      </c>
    </row>
    <row r="3202" spans="37:39" x14ac:dyDescent="0.25">
      <c r="AK3202" s="21">
        <f>_xll.qlCalendarAdvance(calendar,AK3201,"1D")</f>
        <v>47106</v>
      </c>
      <c r="AL3202" s="21">
        <f>_xll.qlInterestRateIndexValueDate(hiborindex,AK3202)</f>
        <v>47108</v>
      </c>
      <c r="AM3202" s="23">
        <f>_xll.qlIndexFixing(hiborindex,AK3202)</f>
        <v>1.3769294484427133E-2</v>
      </c>
    </row>
    <row r="3203" spans="37:39" x14ac:dyDescent="0.25">
      <c r="AK3203" s="21">
        <f>_xll.qlCalendarAdvance(calendar,AK3202,"1D")</f>
        <v>47107</v>
      </c>
      <c r="AL3203" s="21">
        <f>_xll.qlInterestRateIndexValueDate(hiborindex,AK3203)</f>
        <v>47109</v>
      </c>
      <c r="AM3203" s="23">
        <f>_xll.qlIndexFixing(hiborindex,AK3203)</f>
        <v>1.3772736223039922E-2</v>
      </c>
    </row>
    <row r="3204" spans="37:39" x14ac:dyDescent="0.25">
      <c r="AK3204" s="21">
        <f>_xll.qlCalendarAdvance(calendar,AK3203,"1D")</f>
        <v>47108</v>
      </c>
      <c r="AL3204" s="21">
        <f>_xll.qlInterestRateIndexValueDate(hiborindex,AK3204)</f>
        <v>47114</v>
      </c>
      <c r="AM3204" s="23">
        <f>_xll.qlIndexFixing(hiborindex,AK3204)</f>
        <v>1.3789945005312951E-2</v>
      </c>
    </row>
    <row r="3205" spans="37:39" x14ac:dyDescent="0.25">
      <c r="AK3205" s="21">
        <f>_xll.qlCalendarAdvance(calendar,AK3204,"1D")</f>
        <v>47109</v>
      </c>
      <c r="AL3205" s="21">
        <f>_xll.qlInterestRateIndexValueDate(hiborindex,AK3205)</f>
        <v>47115</v>
      </c>
      <c r="AM3205" s="23">
        <f>_xll.qlIndexFixing(hiborindex,AK3205)</f>
        <v>1.3793386779608844E-2</v>
      </c>
    </row>
    <row r="3206" spans="37:39" x14ac:dyDescent="0.25">
      <c r="AK3206" s="21">
        <f>_xll.qlCalendarAdvance(calendar,AK3205,"1D")</f>
        <v>47114</v>
      </c>
      <c r="AL3206" s="21">
        <f>_xll.qlInterestRateIndexValueDate(hiborindex,AK3206)</f>
        <v>47116</v>
      </c>
      <c r="AM3206" s="23">
        <f>_xll.qlIndexFixing(hiborindex,AK3206)</f>
        <v>1.379682855985207E-2</v>
      </c>
    </row>
    <row r="3207" spans="37:39" x14ac:dyDescent="0.25">
      <c r="AK3207" s="21">
        <f>_xll.qlCalendarAdvance(calendar,AK3206,"1D")</f>
        <v>47115</v>
      </c>
      <c r="AL3207" s="21">
        <f>_xll.qlInterestRateIndexValueDate(hiborindex,AK3207)</f>
        <v>47120</v>
      </c>
      <c r="AM3207" s="23">
        <f>_xll.qlIndexFixing(hiborindex,AK3207)</f>
        <v>1.3787057272251543E-2</v>
      </c>
    </row>
    <row r="3208" spans="37:39" x14ac:dyDescent="0.25">
      <c r="AK3208" s="21">
        <f>_xll.qlCalendarAdvance(calendar,AK3207,"1D")</f>
        <v>47116</v>
      </c>
      <c r="AL3208" s="21">
        <f>_xll.qlInterestRateIndexValueDate(hiborindex,AK3208)</f>
        <v>47121</v>
      </c>
      <c r="AM3208" s="23">
        <f>_xll.qlIndexFixing(hiborindex,AK3208)</f>
        <v>1.3783308454871263E-2</v>
      </c>
    </row>
    <row r="3209" spans="37:39" x14ac:dyDescent="0.25">
      <c r="AK3209" s="21">
        <f>_xll.qlCalendarAdvance(calendar,AK3208,"1D")</f>
        <v>47120</v>
      </c>
      <c r="AL3209" s="21">
        <f>_xll.qlInterestRateIndexValueDate(hiborindex,AK3209)</f>
        <v>47122</v>
      </c>
      <c r="AM3209" s="23">
        <f>_xll.qlIndexFixing(hiborindex,AK3209)</f>
        <v>1.37795566207788E-2</v>
      </c>
    </row>
    <row r="3210" spans="37:39" x14ac:dyDescent="0.25">
      <c r="AK3210" s="21">
        <f>_xll.qlCalendarAdvance(calendar,AK3209,"1D")</f>
        <v>47121</v>
      </c>
      <c r="AL3210" s="21">
        <f>_xll.qlInterestRateIndexValueDate(hiborindex,AK3210)</f>
        <v>47123</v>
      </c>
      <c r="AM3210" s="23">
        <f>_xll.qlIndexFixing(hiborindex,AK3210)</f>
        <v>1.3775801769990494E-2</v>
      </c>
    </row>
    <row r="3211" spans="37:39" x14ac:dyDescent="0.25">
      <c r="AK3211" s="21">
        <f>_xll.qlCalendarAdvance(calendar,AK3210,"1D")</f>
        <v>47122</v>
      </c>
      <c r="AL3211" s="21">
        <f>_xll.qlInterestRateIndexValueDate(hiborindex,AK3211)</f>
        <v>47126</v>
      </c>
      <c r="AM3211" s="23">
        <f>_xll.qlIndexFixing(hiborindex,AK3211)</f>
        <v>1.375968907562955E-2</v>
      </c>
    </row>
    <row r="3212" spans="37:39" x14ac:dyDescent="0.25">
      <c r="AK3212" s="21">
        <f>_xll.qlCalendarAdvance(calendar,AK3211,"1D")</f>
        <v>47123</v>
      </c>
      <c r="AL3212" s="21">
        <f>_xll.qlInterestRateIndexValueDate(hiborindex,AK3212)</f>
        <v>47127</v>
      </c>
      <c r="AM3212" s="23">
        <f>_xll.qlIndexFixing(hiborindex,AK3212)</f>
        <v>1.3760752200221984E-2</v>
      </c>
    </row>
    <row r="3213" spans="37:39" x14ac:dyDescent="0.25">
      <c r="AK3213" s="21">
        <f>_xll.qlCalendarAdvance(calendar,AK3212,"1D")</f>
        <v>47126</v>
      </c>
      <c r="AL3213" s="21">
        <f>_xll.qlInterestRateIndexValueDate(hiborindex,AK3213)</f>
        <v>47128</v>
      </c>
      <c r="AM3213" s="23">
        <f>_xll.qlIndexFixing(hiborindex,AK3213)</f>
        <v>1.3756982266211493E-2</v>
      </c>
    </row>
    <row r="3214" spans="37:39" x14ac:dyDescent="0.25">
      <c r="AK3214" s="21">
        <f>_xll.qlCalendarAdvance(calendar,AK3213,"1D")</f>
        <v>47127</v>
      </c>
      <c r="AL3214" s="21">
        <f>_xll.qlInterestRateIndexValueDate(hiborindex,AK3214)</f>
        <v>47129</v>
      </c>
      <c r="AM3214" s="23">
        <f>_xll.qlIndexFixing(hiborindex,AK3214)</f>
        <v>1.3753209315606734E-2</v>
      </c>
    </row>
    <row r="3215" spans="37:39" x14ac:dyDescent="0.25">
      <c r="AK3215" s="21">
        <f>_xll.qlCalendarAdvance(calendar,AK3214,"1D")</f>
        <v>47128</v>
      </c>
      <c r="AL3215" s="21">
        <f>_xll.qlInterestRateIndexValueDate(hiborindex,AK3215)</f>
        <v>47130</v>
      </c>
      <c r="AM3215" s="23">
        <f>_xll.qlIndexFixing(hiborindex,AK3215)</f>
        <v>1.3749433348426255E-2</v>
      </c>
    </row>
    <row r="3216" spans="37:39" x14ac:dyDescent="0.25">
      <c r="AK3216" s="21">
        <f>_xll.qlCalendarAdvance(calendar,AK3215,"1D")</f>
        <v>47129</v>
      </c>
      <c r="AL3216" s="21">
        <f>_xll.qlInterestRateIndexValueDate(hiborindex,AK3216)</f>
        <v>47133</v>
      </c>
      <c r="AM3216" s="23">
        <f>_xll.qlIndexFixing(hiborindex,AK3216)</f>
        <v>1.3733512922646357E-2</v>
      </c>
    </row>
    <row r="3217" spans="37:39" x14ac:dyDescent="0.25">
      <c r="AK3217" s="21">
        <f>_xll.qlCalendarAdvance(calendar,AK3216,"1D")</f>
        <v>47130</v>
      </c>
      <c r="AL3217" s="21">
        <f>_xll.qlInterestRateIndexValueDate(hiborindex,AK3217)</f>
        <v>47134</v>
      </c>
      <c r="AM3217" s="23">
        <f>_xll.qlIndexFixing(hiborindex,AK3217)</f>
        <v>1.3734299314282362E-2</v>
      </c>
    </row>
    <row r="3218" spans="37:39" x14ac:dyDescent="0.25">
      <c r="AK3218" s="21">
        <f>_xll.qlCalendarAdvance(calendar,AK3217,"1D")</f>
        <v>47133</v>
      </c>
      <c r="AL3218" s="21">
        <f>_xll.qlInterestRateIndexValueDate(hiborindex,AK3218)</f>
        <v>47135</v>
      </c>
      <c r="AM3218" s="23">
        <f>_xll.qlIndexFixing(hiborindex,AK3218)</f>
        <v>1.3730508264476792E-2</v>
      </c>
    </row>
    <row r="3219" spans="37:39" x14ac:dyDescent="0.25">
      <c r="AK3219" s="21">
        <f>_xll.qlCalendarAdvance(calendar,AK3218,"1D")</f>
        <v>47134</v>
      </c>
      <c r="AL3219" s="21">
        <f>_xll.qlInterestRateIndexValueDate(hiborindex,AK3219)</f>
        <v>47136</v>
      </c>
      <c r="AM3219" s="23">
        <f>_xll.qlIndexFixing(hiborindex,AK3219)</f>
        <v>1.3726714198197078E-2</v>
      </c>
    </row>
    <row r="3220" spans="37:39" x14ac:dyDescent="0.25">
      <c r="AK3220" s="21">
        <f>_xll.qlCalendarAdvance(calendar,AK3219,"1D")</f>
        <v>47135</v>
      </c>
      <c r="AL3220" s="21">
        <f>_xll.qlInterestRateIndexValueDate(hiborindex,AK3220)</f>
        <v>47137</v>
      </c>
      <c r="AM3220" s="23">
        <f>_xll.qlIndexFixing(hiborindex,AK3220)</f>
        <v>1.3722917115461771E-2</v>
      </c>
    </row>
    <row r="3221" spans="37:39" x14ac:dyDescent="0.25">
      <c r="AK3221" s="21">
        <f>_xll.qlCalendarAdvance(calendar,AK3220,"1D")</f>
        <v>47136</v>
      </c>
      <c r="AL3221" s="21">
        <f>_xll.qlInterestRateIndexValueDate(hiborindex,AK3221)</f>
        <v>47140</v>
      </c>
      <c r="AM3221" s="23">
        <f>_xll.qlIndexFixing(hiborindex,AK3221)</f>
        <v>1.3707189764741522E-2</v>
      </c>
    </row>
    <row r="3222" spans="37:39" x14ac:dyDescent="0.25">
      <c r="AK3222" s="21">
        <f>_xll.qlCalendarAdvance(calendar,AK3221,"1D")</f>
        <v>47137</v>
      </c>
      <c r="AL3222" s="21">
        <f>_xll.qlInterestRateIndexValueDate(hiborindex,AK3222)</f>
        <v>47141</v>
      </c>
      <c r="AM3222" s="23">
        <f>_xll.qlIndexFixing(hiborindex,AK3222)</f>
        <v>1.3707698620298484E-2</v>
      </c>
    </row>
    <row r="3223" spans="37:39" x14ac:dyDescent="0.25">
      <c r="AK3223" s="21">
        <f>_xll.qlCalendarAdvance(calendar,AK3222,"1D")</f>
        <v>47140</v>
      </c>
      <c r="AL3223" s="21">
        <f>_xll.qlInterestRateIndexValueDate(hiborindex,AK3223)</f>
        <v>47142</v>
      </c>
      <c r="AM3223" s="23">
        <f>_xll.qlIndexFixing(hiborindex,AK3223)</f>
        <v>1.3703886455538708E-2</v>
      </c>
    </row>
    <row r="3224" spans="37:39" x14ac:dyDescent="0.25">
      <c r="AK3224" s="21">
        <f>_xll.qlCalendarAdvance(calendar,AK3223,"1D")</f>
        <v>47141</v>
      </c>
      <c r="AL3224" s="21">
        <f>_xll.qlInterestRateIndexValueDate(hiborindex,AK3224)</f>
        <v>47143</v>
      </c>
      <c r="AM3224" s="23">
        <f>_xll.qlIndexFixing(hiborindex,AK3224)</f>
        <v>1.3700071274425357E-2</v>
      </c>
    </row>
    <row r="3225" spans="37:39" x14ac:dyDescent="0.25">
      <c r="AK3225" s="21">
        <f>_xll.qlCalendarAdvance(calendar,AK3224,"1D")</f>
        <v>47142</v>
      </c>
      <c r="AL3225" s="21">
        <f>_xll.qlInterestRateIndexValueDate(hiborindex,AK3225)</f>
        <v>47144</v>
      </c>
      <c r="AM3225" s="23">
        <f>_xll.qlIndexFixing(hiborindex,AK3225)</f>
        <v>1.3696253076976977E-2</v>
      </c>
    </row>
    <row r="3226" spans="37:39" x14ac:dyDescent="0.25">
      <c r="AK3226" s="21">
        <f>_xll.qlCalendarAdvance(calendar,AK3225,"1D")</f>
        <v>47143</v>
      </c>
      <c r="AL3226" s="21">
        <f>_xll.qlInterestRateIndexValueDate(hiborindex,AK3226)</f>
        <v>47147</v>
      </c>
      <c r="AM3226" s="23">
        <f>_xll.qlIndexFixing(hiborindex,AK3226)</f>
        <v>1.3680719607753012E-2</v>
      </c>
    </row>
    <row r="3227" spans="37:39" x14ac:dyDescent="0.25">
      <c r="AK3227" s="21">
        <f>_xll.qlCalendarAdvance(calendar,AK3226,"1D")</f>
        <v>47144</v>
      </c>
      <c r="AL3227" s="21">
        <f>_xll.qlInterestRateIndexValueDate(hiborindex,AK3227)</f>
        <v>47148</v>
      </c>
      <c r="AM3227" s="23">
        <f>_xll.qlIndexFixing(hiborindex,AK3227)</f>
        <v>1.3680950124169719E-2</v>
      </c>
    </row>
    <row r="3228" spans="37:39" x14ac:dyDescent="0.25">
      <c r="AK3228" s="21">
        <f>_xll.qlCalendarAdvance(calendar,AK3227,"1D")</f>
        <v>47147</v>
      </c>
      <c r="AL3228" s="21">
        <f>_xll.qlInterestRateIndexValueDate(hiborindex,AK3228)</f>
        <v>47149</v>
      </c>
      <c r="AM3228" s="23">
        <f>_xll.qlIndexFixing(hiborindex,AK3228)</f>
        <v>1.3677116845301028E-2</v>
      </c>
    </row>
    <row r="3229" spans="37:39" x14ac:dyDescent="0.25">
      <c r="AK3229" s="21">
        <f>_xll.qlCalendarAdvance(calendar,AK3228,"1D")</f>
        <v>47148</v>
      </c>
      <c r="AL3229" s="21">
        <f>_xll.qlInterestRateIndexValueDate(hiborindex,AK3229)</f>
        <v>47150</v>
      </c>
      <c r="AM3229" s="23">
        <f>_xll.qlIndexFixing(hiborindex,AK3229)</f>
        <v>1.3673280550200211E-2</v>
      </c>
    </row>
    <row r="3230" spans="37:39" x14ac:dyDescent="0.25">
      <c r="AK3230" s="21">
        <f>_xll.qlCalendarAdvance(calendar,AK3229,"1D")</f>
        <v>47149</v>
      </c>
      <c r="AL3230" s="21">
        <f>_xll.qlInterestRateIndexValueDate(hiborindex,AK3230)</f>
        <v>47151</v>
      </c>
      <c r="AM3230" s="23">
        <f>_xll.qlIndexFixing(hiborindex,AK3230)</f>
        <v>1.3669441238885376E-2</v>
      </c>
    </row>
    <row r="3231" spans="37:39" x14ac:dyDescent="0.25">
      <c r="AK3231" s="21">
        <f>_xll.qlCalendarAdvance(calendar,AK3230,"1D")</f>
        <v>47150</v>
      </c>
      <c r="AL3231" s="21">
        <f>_xll.qlInterestRateIndexValueDate(hiborindex,AK3231)</f>
        <v>47154</v>
      </c>
      <c r="AM3231" s="23">
        <f>_xll.qlIndexFixing(hiborindex,AK3231)</f>
        <v>1.3654102457550419E-2</v>
      </c>
    </row>
    <row r="3232" spans="37:39" x14ac:dyDescent="0.25">
      <c r="AK3232" s="21">
        <f>_xll.qlCalendarAdvance(calendar,AK3231,"1D")</f>
        <v>47151</v>
      </c>
      <c r="AL3232" s="21">
        <f>_xll.qlInterestRateIndexValueDate(hiborindex,AK3232)</f>
        <v>47155</v>
      </c>
      <c r="AM3232" s="23">
        <f>_xll.qlIndexFixing(hiborindex,AK3232)</f>
        <v>1.3654053831827231E-2</v>
      </c>
    </row>
    <row r="3233" spans="37:39" x14ac:dyDescent="0.25">
      <c r="AK3233" s="21">
        <f>_xll.qlCalendarAdvance(calendar,AK3232,"1D")</f>
        <v>47154</v>
      </c>
      <c r="AL3233" s="21">
        <f>_xll.qlInterestRateIndexValueDate(hiborindex,AK3233)</f>
        <v>47156</v>
      </c>
      <c r="AM3233" s="23">
        <f>_xll.qlIndexFixing(hiborindex,AK3233)</f>
        <v>1.3650199439699775E-2</v>
      </c>
    </row>
    <row r="3234" spans="37:39" x14ac:dyDescent="0.25">
      <c r="AK3234" s="21">
        <f>_xll.qlCalendarAdvance(calendar,AK3233,"1D")</f>
        <v>47155</v>
      </c>
      <c r="AL3234" s="21">
        <f>_xll.qlInterestRateIndexValueDate(hiborindex,AK3234)</f>
        <v>47157</v>
      </c>
      <c r="AM3234" s="23">
        <f>_xll.qlIndexFixing(hiborindex,AK3234)</f>
        <v>1.3646342031462968E-2</v>
      </c>
    </row>
    <row r="3235" spans="37:39" x14ac:dyDescent="0.25">
      <c r="AK3235" s="21">
        <f>_xll.qlCalendarAdvance(calendar,AK3234,"1D")</f>
        <v>47156</v>
      </c>
      <c r="AL3235" s="21">
        <f>_xll.qlInterestRateIndexValueDate(hiborindex,AK3235)</f>
        <v>47158</v>
      </c>
      <c r="AM3235" s="23">
        <f>_xll.qlIndexFixing(hiborindex,AK3235)</f>
        <v>1.3642481607133151E-2</v>
      </c>
    </row>
    <row r="3236" spans="37:39" x14ac:dyDescent="0.25">
      <c r="AK3236" s="21">
        <f>_xll.qlCalendarAdvance(calendar,AK3235,"1D")</f>
        <v>47157</v>
      </c>
      <c r="AL3236" s="21">
        <f>_xll.qlInterestRateIndexValueDate(hiborindex,AK3236)</f>
        <v>47161</v>
      </c>
      <c r="AM3236" s="23">
        <f>_xll.qlIndexFixing(hiborindex,AK3236)</f>
        <v>1.3627338320037151E-2</v>
      </c>
    </row>
    <row r="3237" spans="37:39" x14ac:dyDescent="0.25">
      <c r="AK3237" s="21">
        <f>_xll.qlCalendarAdvance(calendar,AK3236,"1D")</f>
        <v>47158</v>
      </c>
      <c r="AL3237" s="21">
        <f>_xll.qlInterestRateIndexValueDate(hiborindex,AK3237)</f>
        <v>47162</v>
      </c>
      <c r="AM3237" s="23">
        <f>_xll.qlIndexFixing(hiborindex,AK3237)</f>
        <v>1.3627009749236198E-2</v>
      </c>
    </row>
    <row r="3238" spans="37:39" x14ac:dyDescent="0.25">
      <c r="AK3238" s="21">
        <f>_xll.qlCalendarAdvance(calendar,AK3237,"1D")</f>
        <v>47161</v>
      </c>
      <c r="AL3238" s="21">
        <f>_xll.qlInterestRateIndexValueDate(hiborindex,AK3238)</f>
        <v>47163</v>
      </c>
      <c r="AM3238" s="23">
        <f>_xll.qlIndexFixing(hiborindex,AK3238)</f>
        <v>1.3623134244704982E-2</v>
      </c>
    </row>
    <row r="3239" spans="37:39" x14ac:dyDescent="0.25">
      <c r="AK3239" s="21">
        <f>_xll.qlCalendarAdvance(calendar,AK3238,"1D")</f>
        <v>47162</v>
      </c>
      <c r="AL3239" s="21">
        <f>_xll.qlInterestRateIndexValueDate(hiborindex,AK3239)</f>
        <v>47164</v>
      </c>
      <c r="AM3239" s="23">
        <f>_xll.qlIndexFixing(hiborindex,AK3239)</f>
        <v>1.3619255724186749E-2</v>
      </c>
    </row>
    <row r="3240" spans="37:39" x14ac:dyDescent="0.25">
      <c r="AK3240" s="21">
        <f>_xll.qlCalendarAdvance(calendar,AK3239,"1D")</f>
        <v>47163</v>
      </c>
      <c r="AL3240" s="21">
        <f>_xll.qlInterestRateIndexValueDate(hiborindex,AK3240)</f>
        <v>47165</v>
      </c>
      <c r="AM3240" s="23">
        <f>_xll.qlIndexFixing(hiborindex,AK3240)</f>
        <v>1.3615374187697839E-2</v>
      </c>
    </row>
    <row r="3241" spans="37:39" x14ac:dyDescent="0.25">
      <c r="AK3241" s="21">
        <f>_xll.qlCalendarAdvance(calendar,AK3240,"1D")</f>
        <v>47164</v>
      </c>
      <c r="AL3241" s="21">
        <f>_xll.qlInterestRateIndexValueDate(hiborindex,AK3241)</f>
        <v>47168</v>
      </c>
      <c r="AM3241" s="23">
        <f>_xll.qlIndexFixing(hiborindex,AK3241)</f>
        <v>1.3600427201147802E-2</v>
      </c>
    </row>
    <row r="3242" spans="37:39" x14ac:dyDescent="0.25">
      <c r="AK3242" s="21">
        <f>_xll.qlCalendarAdvance(calendar,AK3241,"1D")</f>
        <v>47165</v>
      </c>
      <c r="AL3242" s="21">
        <f>_xll.qlInterestRateIndexValueDate(hiborindex,AK3242)</f>
        <v>47169</v>
      </c>
      <c r="AM3242" s="23">
        <f>_xll.qlIndexFixing(hiborindex,AK3242)</f>
        <v>1.3599817882393587E-2</v>
      </c>
    </row>
    <row r="3243" spans="37:39" x14ac:dyDescent="0.25">
      <c r="AK3243" s="21">
        <f>_xll.qlCalendarAdvance(calendar,AK3242,"1D")</f>
        <v>47168</v>
      </c>
      <c r="AL3243" s="21">
        <f>_xll.qlInterestRateIndexValueDate(hiborindex,AK3243)</f>
        <v>47170</v>
      </c>
      <c r="AM3243" s="23">
        <f>_xll.qlIndexFixing(hiborindex,AK3243)</f>
        <v>1.3595921266318478E-2</v>
      </c>
    </row>
    <row r="3244" spans="37:39" x14ac:dyDescent="0.25">
      <c r="AK3244" s="21">
        <f>_xll.qlCalendarAdvance(calendar,AK3243,"1D")</f>
        <v>47169</v>
      </c>
      <c r="AL3244" s="21">
        <f>_xll.qlInterestRateIndexValueDate(hiborindex,AK3244)</f>
        <v>47171</v>
      </c>
      <c r="AM3244" s="23">
        <f>_xll.qlIndexFixing(hiborindex,AK3244)</f>
        <v>1.3592021634378242E-2</v>
      </c>
    </row>
    <row r="3245" spans="37:39" x14ac:dyDescent="0.25">
      <c r="AK3245" s="21">
        <f>_xll.qlCalendarAdvance(calendar,AK3244,"1D")</f>
        <v>47170</v>
      </c>
      <c r="AL3245" s="21">
        <f>_xll.qlInterestRateIndexValueDate(hiborindex,AK3245)</f>
        <v>47172</v>
      </c>
      <c r="AM3245" s="23">
        <f>_xll.qlIndexFixing(hiborindex,AK3245)</f>
        <v>1.3588118986591428E-2</v>
      </c>
    </row>
    <row r="3246" spans="37:39" x14ac:dyDescent="0.25">
      <c r="AK3246" s="21">
        <f>_xll.qlCalendarAdvance(calendar,AK3245,"1D")</f>
        <v>47171</v>
      </c>
      <c r="AL3246" s="21">
        <f>_xll.qlInterestRateIndexValueDate(hiborindex,AK3246)</f>
        <v>47175</v>
      </c>
      <c r="AM3246" s="23">
        <f>_xll.qlIndexFixing(hiborindex,AK3246)</f>
        <v>1.3573369106850343E-2</v>
      </c>
    </row>
    <row r="3247" spans="37:39" x14ac:dyDescent="0.25">
      <c r="AK3247" s="21">
        <f>_xll.qlCalendarAdvance(calendar,AK3246,"1D")</f>
        <v>47172</v>
      </c>
      <c r="AL3247" s="21">
        <f>_xll.qlInterestRateIndexValueDate(hiborindex,AK3247)</f>
        <v>47176</v>
      </c>
      <c r="AM3247" s="23">
        <f>_xll.qlIndexFixing(hiborindex,AK3247)</f>
        <v>1.3572478237329934E-2</v>
      </c>
    </row>
    <row r="3248" spans="37:39" x14ac:dyDescent="0.25">
      <c r="AK3248" s="21">
        <f>_xll.qlCalendarAdvance(calendar,AK3247,"1D")</f>
        <v>47175</v>
      </c>
      <c r="AL3248" s="21">
        <f>_xll.qlInterestRateIndexValueDate(hiborindex,AK3248)</f>
        <v>47177</v>
      </c>
      <c r="AM3248" s="23">
        <f>_xll.qlIndexFixing(hiborindex,AK3248)</f>
        <v>1.3559863665153059E-2</v>
      </c>
    </row>
    <row r="3249" spans="37:39" x14ac:dyDescent="0.25">
      <c r="AK3249" s="21">
        <f>_xll.qlCalendarAdvance(calendar,AK3248,"1D")</f>
        <v>47176</v>
      </c>
      <c r="AL3249" s="21">
        <f>_xll.qlInterestRateIndexValueDate(hiborindex,AK3249)</f>
        <v>47178</v>
      </c>
      <c r="AM3249" s="23">
        <f>_xll.qlIndexFixing(hiborindex,AK3249)</f>
        <v>1.3550573815354393E-2</v>
      </c>
    </row>
    <row r="3250" spans="37:39" x14ac:dyDescent="0.25">
      <c r="AK3250" s="21">
        <f>_xll.qlCalendarAdvance(calendar,AK3249,"1D")</f>
        <v>47177</v>
      </c>
      <c r="AL3250" s="21">
        <f>_xll.qlInterestRateIndexValueDate(hiborindex,AK3250)</f>
        <v>47179</v>
      </c>
      <c r="AM3250" s="23">
        <f>_xll.qlIndexFixing(hiborindex,AK3250)</f>
        <v>1.3549512926087854E-2</v>
      </c>
    </row>
    <row r="3251" spans="37:39" x14ac:dyDescent="0.25">
      <c r="AK3251" s="21">
        <f>_xll.qlCalendarAdvance(calendar,AK3250,"1D")</f>
        <v>47178</v>
      </c>
      <c r="AL3251" s="21">
        <f>_xll.qlInterestRateIndexValueDate(hiborindex,AK3251)</f>
        <v>47182</v>
      </c>
      <c r="AM3251" s="23">
        <f>_xll.qlIndexFixing(hiborindex,AK3251)</f>
        <v>1.3540783778196164E-2</v>
      </c>
    </row>
    <row r="3252" spans="37:39" x14ac:dyDescent="0.25">
      <c r="AK3252" s="21">
        <f>_xll.qlCalendarAdvance(calendar,AK3251,"1D")</f>
        <v>47179</v>
      </c>
      <c r="AL3252" s="21">
        <f>_xll.qlInterestRateIndexValueDate(hiborindex,AK3252)</f>
        <v>47183</v>
      </c>
      <c r="AM3252" s="23">
        <f>_xll.qlIndexFixing(hiborindex,AK3252)</f>
        <v>1.353695889977044E-2</v>
      </c>
    </row>
    <row r="3253" spans="37:39" x14ac:dyDescent="0.25">
      <c r="AK3253" s="21">
        <f>_xll.qlCalendarAdvance(calendar,AK3252,"1D")</f>
        <v>47182</v>
      </c>
      <c r="AL3253" s="21">
        <f>_xll.qlInterestRateIndexValueDate(hiborindex,AK3253)</f>
        <v>47184</v>
      </c>
      <c r="AM3253" s="23">
        <f>_xll.qlIndexFixing(hiborindex,AK3253)</f>
        <v>1.3533131054374134E-2</v>
      </c>
    </row>
    <row r="3254" spans="37:39" x14ac:dyDescent="0.25">
      <c r="AK3254" s="21">
        <f>_xll.qlCalendarAdvance(calendar,AK3253,"1D")</f>
        <v>47183</v>
      </c>
      <c r="AL3254" s="21">
        <f>_xll.qlInterestRateIndexValueDate(hiborindex,AK3254)</f>
        <v>47185</v>
      </c>
      <c r="AM3254" s="23">
        <f>_xll.qlIndexFixing(hiborindex,AK3254)</f>
        <v>1.3524324066715566E-2</v>
      </c>
    </row>
    <row r="3255" spans="37:39" x14ac:dyDescent="0.25">
      <c r="AK3255" s="21">
        <f>_xll.qlCalendarAdvance(calendar,AK3254,"1D")</f>
        <v>47184</v>
      </c>
      <c r="AL3255" s="21">
        <f>_xll.qlInterestRateIndexValueDate(hiborindex,AK3255)</f>
        <v>47186</v>
      </c>
      <c r="AM3255" s="23">
        <f>_xll.qlIndexFixing(hiborindex,AK3255)</f>
        <v>1.3522992061381788E-2</v>
      </c>
    </row>
    <row r="3256" spans="37:39" x14ac:dyDescent="0.25">
      <c r="AK3256" s="21">
        <f>_xll.qlCalendarAdvance(calendar,AK3255,"1D")</f>
        <v>47185</v>
      </c>
      <c r="AL3256" s="21">
        <f>_xll.qlInterestRateIndexValueDate(hiborindex,AK3256)</f>
        <v>47189</v>
      </c>
      <c r="AM3256" s="23">
        <f>_xll.qlIndexFixing(hiborindex,AK3256)</f>
        <v>1.3513947323434696E-2</v>
      </c>
    </row>
    <row r="3257" spans="37:39" x14ac:dyDescent="0.25">
      <c r="AK3257" s="21">
        <f>_xll.qlCalendarAdvance(calendar,AK3256,"1D")</f>
        <v>47186</v>
      </c>
      <c r="AL3257" s="21">
        <f>_xll.qlInterestRateIndexValueDate(hiborindex,AK3257)</f>
        <v>47190</v>
      </c>
      <c r="AM3257" s="23">
        <f>_xll.qlIndexFixing(hiborindex,AK3257)</f>
        <v>1.3510101676576781E-2</v>
      </c>
    </row>
    <row r="3258" spans="37:39" x14ac:dyDescent="0.25">
      <c r="AK3258" s="21">
        <f>_xll.qlCalendarAdvance(calendar,AK3257,"1D")</f>
        <v>47189</v>
      </c>
      <c r="AL3258" s="21">
        <f>_xll.qlInterestRateIndexValueDate(hiborindex,AK3258)</f>
        <v>47191</v>
      </c>
      <c r="AM3258" s="23">
        <f>_xll.qlIndexFixing(hiborindex,AK3258)</f>
        <v>1.3506253062869056E-2</v>
      </c>
    </row>
    <row r="3259" spans="37:39" x14ac:dyDescent="0.25">
      <c r="AK3259" s="21">
        <f>_xll.qlCalendarAdvance(calendar,AK3258,"1D")</f>
        <v>47190</v>
      </c>
      <c r="AL3259" s="21">
        <f>_xll.qlInterestRateIndexValueDate(hiborindex,AK3259)</f>
        <v>47192</v>
      </c>
      <c r="AM3259" s="23">
        <f>_xll.qlIndexFixing(hiborindex,AK3259)</f>
        <v>1.3497930485147087E-2</v>
      </c>
    </row>
    <row r="3260" spans="37:39" x14ac:dyDescent="0.25">
      <c r="AK3260" s="21">
        <f>_xll.qlCalendarAdvance(calendar,AK3259,"1D")</f>
        <v>47191</v>
      </c>
      <c r="AL3260" s="21">
        <f>_xll.qlInterestRateIndexValueDate(hiborindex,AK3260)</f>
        <v>47193</v>
      </c>
      <c r="AM3260" s="23">
        <f>_xll.qlIndexFixing(hiborindex,AK3260)</f>
        <v>1.3496326595290153E-2</v>
      </c>
    </row>
    <row r="3261" spans="37:39" x14ac:dyDescent="0.25">
      <c r="AK3261" s="21">
        <f>_xll.qlCalendarAdvance(calendar,AK3260,"1D")</f>
        <v>47192</v>
      </c>
      <c r="AL3261" s="21">
        <f>_xll.qlInterestRateIndexValueDate(hiborindex,AK3261)</f>
        <v>47196</v>
      </c>
      <c r="AM3261" s="23">
        <f>_xll.qlIndexFixing(hiborindex,AK3261)</f>
        <v>1.3486965492201061E-2</v>
      </c>
    </row>
    <row r="3262" spans="37:39" x14ac:dyDescent="0.25">
      <c r="AK3262" s="21">
        <f>_xll.qlCalendarAdvance(calendar,AK3261,"1D")</f>
        <v>47193</v>
      </c>
      <c r="AL3262" s="21">
        <f>_xll.qlInterestRateIndexValueDate(hiborindex,AK3262)</f>
        <v>47197</v>
      </c>
      <c r="AM3262" s="23">
        <f>_xll.qlIndexFixing(hiborindex,AK3262)</f>
        <v>1.3483099077763317E-2</v>
      </c>
    </row>
    <row r="3263" spans="37:39" x14ac:dyDescent="0.25">
      <c r="AK3263" s="21">
        <f>_xll.qlCalendarAdvance(calendar,AK3262,"1D")</f>
        <v>47196</v>
      </c>
      <c r="AL3263" s="21">
        <f>_xll.qlInterestRateIndexValueDate(hiborindex,AK3263)</f>
        <v>47198</v>
      </c>
      <c r="AM3263" s="23">
        <f>_xll.qlIndexFixing(hiborindex,AK3263)</f>
        <v>1.3479229696598274E-2</v>
      </c>
    </row>
    <row r="3264" spans="37:39" x14ac:dyDescent="0.25">
      <c r="AK3264" s="21">
        <f>_xll.qlCalendarAdvance(calendar,AK3263,"1D")</f>
        <v>47197</v>
      </c>
      <c r="AL3264" s="21">
        <f>_xll.qlInterestRateIndexValueDate(hiborindex,AK3264)</f>
        <v>47199</v>
      </c>
      <c r="AM3264" s="23">
        <f>_xll.qlIndexFixing(hiborindex,AK3264)</f>
        <v>1.3471393076502339E-2</v>
      </c>
    </row>
    <row r="3265" spans="37:39" x14ac:dyDescent="0.25">
      <c r="AK3265" s="21">
        <f>_xll.qlCalendarAdvance(calendar,AK3264,"1D")</f>
        <v>47198</v>
      </c>
      <c r="AL3265" s="21">
        <f>_xll.qlInterestRateIndexValueDate(hiborindex,AK3265)</f>
        <v>47200</v>
      </c>
      <c r="AM3265" s="23">
        <f>_xll.qlIndexFixing(hiborindex,AK3265)</f>
        <v>1.3469516533726923E-2</v>
      </c>
    </row>
    <row r="3266" spans="37:39" x14ac:dyDescent="0.25">
      <c r="AK3266" s="21">
        <f>_xll.qlCalendarAdvance(calendar,AK3265,"1D")</f>
        <v>47199</v>
      </c>
      <c r="AL3266" s="21">
        <f>_xll.qlInterestRateIndexValueDate(hiborindex,AK3266)</f>
        <v>47203</v>
      </c>
      <c r="AM3266" s="23">
        <f>_xll.qlIndexFixing(hiborindex,AK3266)</f>
        <v>1.3459838290478738E-2</v>
      </c>
    </row>
    <row r="3267" spans="37:39" x14ac:dyDescent="0.25">
      <c r="AK3267" s="21">
        <f>_xll.qlCalendarAdvance(calendar,AK3266,"1D")</f>
        <v>47200</v>
      </c>
      <c r="AL3267" s="21">
        <f>_xll.qlInterestRateIndexValueDate(hiborindex,AK3267)</f>
        <v>47204</v>
      </c>
      <c r="AM3267" s="23">
        <f>_xll.qlIndexFixing(hiborindex,AK3267)</f>
        <v>1.3455951109318739E-2</v>
      </c>
    </row>
    <row r="3268" spans="37:39" x14ac:dyDescent="0.25">
      <c r="AK3268" s="21">
        <f>_xll.qlCalendarAdvance(calendar,AK3267,"1D")</f>
        <v>47203</v>
      </c>
      <c r="AL3268" s="21">
        <f>_xll.qlInterestRateIndexValueDate(hiborindex,AK3268)</f>
        <v>47205</v>
      </c>
      <c r="AM3268" s="23">
        <f>_xll.qlIndexFixing(hiborindex,AK3268)</f>
        <v>1.3452060961554385E-2</v>
      </c>
    </row>
    <row r="3269" spans="37:39" x14ac:dyDescent="0.25">
      <c r="AK3269" s="21">
        <f>_xll.qlCalendarAdvance(calendar,AK3268,"1D")</f>
        <v>47204</v>
      </c>
      <c r="AL3269" s="21">
        <f>_xll.qlInterestRateIndexValueDate(hiborindex,AK3269)</f>
        <v>47206</v>
      </c>
      <c r="AM3269" s="23">
        <f>_xll.qlIndexFixing(hiborindex,AK3269)</f>
        <v>1.3449951793489293E-2</v>
      </c>
    </row>
    <row r="3270" spans="37:39" x14ac:dyDescent="0.25">
      <c r="AK3270" s="21">
        <f>_xll.qlCalendarAdvance(calendar,AK3269,"1D")</f>
        <v>47205</v>
      </c>
      <c r="AL3270" s="21">
        <f>_xll.qlInterestRateIndexValueDate(hiborindex,AK3270)</f>
        <v>47211</v>
      </c>
      <c r="AM3270" s="23">
        <f>_xll.qlIndexFixing(hiborindex,AK3270)</f>
        <v>1.3430256749221915E-2</v>
      </c>
    </row>
    <row r="3271" spans="37:39" x14ac:dyDescent="0.25">
      <c r="AK3271" s="21">
        <f>_xll.qlCalendarAdvance(calendar,AK3270,"1D")</f>
        <v>47206</v>
      </c>
      <c r="AL3271" s="21">
        <f>_xll.qlInterestRateIndexValueDate(hiborindex,AK3271)</f>
        <v>47212</v>
      </c>
      <c r="AM3271" s="23">
        <f>_xll.qlIndexFixing(hiborindex,AK3271)</f>
        <v>1.3426308792736472E-2</v>
      </c>
    </row>
    <row r="3272" spans="37:39" x14ac:dyDescent="0.25">
      <c r="AK3272" s="21">
        <f>_xll.qlCalendarAdvance(calendar,AK3271,"1D")</f>
        <v>47211</v>
      </c>
      <c r="AL3272" s="21">
        <f>_xll.qlInterestRateIndexValueDate(hiborindex,AK3272)</f>
        <v>47213</v>
      </c>
      <c r="AM3272" s="23">
        <f>_xll.qlIndexFixing(hiborindex,AK3272)</f>
        <v>1.3422357853748913E-2</v>
      </c>
    </row>
    <row r="3273" spans="37:39" x14ac:dyDescent="0.25">
      <c r="AK3273" s="21">
        <f>_xll.qlCalendarAdvance(calendar,AK3272,"1D")</f>
        <v>47212</v>
      </c>
      <c r="AL3273" s="21">
        <f>_xll.qlInterestRateIndexValueDate(hiborindex,AK3273)</f>
        <v>47214</v>
      </c>
      <c r="AM3273" s="23">
        <f>_xll.qlIndexFixing(hiborindex,AK3273)</f>
        <v>1.3415462647996248E-2</v>
      </c>
    </row>
    <row r="3274" spans="37:39" x14ac:dyDescent="0.25">
      <c r="AK3274" s="21">
        <f>_xll.qlCalendarAdvance(calendar,AK3273,"1D")</f>
        <v>47213</v>
      </c>
      <c r="AL3274" s="21">
        <f>_xll.qlInterestRateIndexValueDate(hiborindex,AK3274)</f>
        <v>47217</v>
      </c>
      <c r="AM3274" s="23">
        <f>_xll.qlIndexFixing(hiborindex,AK3274)</f>
        <v>1.3406524273133973E-2</v>
      </c>
    </row>
    <row r="3275" spans="37:39" x14ac:dyDescent="0.25">
      <c r="AK3275" s="21">
        <f>_xll.qlCalendarAdvance(calendar,AK3274,"1D")</f>
        <v>47214</v>
      </c>
      <c r="AL3275" s="21">
        <f>_xll.qlInterestRateIndexValueDate(hiborindex,AK3275)</f>
        <v>47218</v>
      </c>
      <c r="AM3275" s="23">
        <f>_xll.qlIndexFixing(hiborindex,AK3275)</f>
        <v>1.3402558421903172E-2</v>
      </c>
    </row>
    <row r="3276" spans="37:39" x14ac:dyDescent="0.25">
      <c r="AK3276" s="21">
        <f>_xll.qlCalendarAdvance(calendar,AK3275,"1D")</f>
        <v>47217</v>
      </c>
      <c r="AL3276" s="21">
        <f>_xll.qlInterestRateIndexValueDate(hiborindex,AK3276)</f>
        <v>47219</v>
      </c>
      <c r="AM3276" s="23">
        <f>_xll.qlIndexFixing(hiborindex,AK3276)</f>
        <v>1.3398589588278147E-2</v>
      </c>
    </row>
    <row r="3277" spans="37:39" x14ac:dyDescent="0.25">
      <c r="AK3277" s="21">
        <f>_xll.qlCalendarAdvance(calendar,AK3276,"1D")</f>
        <v>47218</v>
      </c>
      <c r="AL3277" s="21">
        <f>_xll.qlInterestRateIndexValueDate(hiborindex,AK3277)</f>
        <v>47220</v>
      </c>
      <c r="AM3277" s="23">
        <f>_xll.qlIndexFixing(hiborindex,AK3277)</f>
        <v>1.3394617772275937E-2</v>
      </c>
    </row>
    <row r="3278" spans="37:39" x14ac:dyDescent="0.25">
      <c r="AK3278" s="21">
        <f>_xll.qlCalendarAdvance(calendar,AK3277,"1D")</f>
        <v>47219</v>
      </c>
      <c r="AL3278" s="21">
        <f>_xll.qlInterestRateIndexValueDate(hiborindex,AK3278)</f>
        <v>47221</v>
      </c>
      <c r="AM3278" s="23">
        <f>_xll.qlIndexFixing(hiborindex,AK3278)</f>
        <v>1.3388218835815755E-2</v>
      </c>
    </row>
    <row r="3279" spans="37:39" x14ac:dyDescent="0.25">
      <c r="AK3279" s="21">
        <f>_xll.qlCalendarAdvance(calendar,AK3278,"1D")</f>
        <v>47220</v>
      </c>
      <c r="AL3279" s="21">
        <f>_xll.qlInterestRateIndexValueDate(hiborindex,AK3279)</f>
        <v>47224</v>
      </c>
      <c r="AM3279" s="23">
        <f>_xll.qlIndexFixing(hiborindex,AK3279)</f>
        <v>1.3378700684858651E-2</v>
      </c>
    </row>
    <row r="3280" spans="37:39" x14ac:dyDescent="0.25">
      <c r="AK3280" s="21">
        <f>_xll.qlCalendarAdvance(calendar,AK3279,"1D")</f>
        <v>47221</v>
      </c>
      <c r="AL3280" s="21">
        <f>_xll.qlInterestRateIndexValueDate(hiborindex,AK3280)</f>
        <v>47225</v>
      </c>
      <c r="AM3280" s="23">
        <f>_xll.qlIndexFixing(hiborindex,AK3280)</f>
        <v>1.3374713957242639E-2</v>
      </c>
    </row>
    <row r="3281" spans="37:39" x14ac:dyDescent="0.25">
      <c r="AK3281" s="21">
        <f>_xll.qlCalendarAdvance(calendar,AK3280,"1D")</f>
        <v>47224</v>
      </c>
      <c r="AL3281" s="21">
        <f>_xll.qlInterestRateIndexValueDate(hiborindex,AK3281)</f>
        <v>47226</v>
      </c>
      <c r="AM3281" s="23">
        <f>_xll.qlIndexFixing(hiborindex,AK3281)</f>
        <v>1.3370724247357331E-2</v>
      </c>
    </row>
    <row r="3282" spans="37:39" x14ac:dyDescent="0.25">
      <c r="AK3282" s="21">
        <f>_xll.qlCalendarAdvance(calendar,AK3281,"1D")</f>
        <v>47225</v>
      </c>
      <c r="AL3282" s="21">
        <f>_xll.qlInterestRateIndexValueDate(hiborindex,AK3282)</f>
        <v>47227</v>
      </c>
      <c r="AM3282" s="23">
        <f>_xll.qlIndexFixing(hiborindex,AK3282)</f>
        <v>1.3366731555221513E-2</v>
      </c>
    </row>
    <row r="3283" spans="37:39" x14ac:dyDescent="0.25">
      <c r="AK3283" s="21">
        <f>_xll.qlCalendarAdvance(calendar,AK3282,"1D")</f>
        <v>47226</v>
      </c>
      <c r="AL3283" s="21">
        <f>_xll.qlInterestRateIndexValueDate(hiborindex,AK3283)</f>
        <v>47228</v>
      </c>
      <c r="AM3283" s="23">
        <f>_xll.qlIndexFixing(hiborindex,AK3283)</f>
        <v>1.3360830452136275E-2</v>
      </c>
    </row>
    <row r="3284" spans="37:39" x14ac:dyDescent="0.25">
      <c r="AK3284" s="21">
        <f>_xll.qlCalendarAdvance(calendar,AK3283,"1D")</f>
        <v>47227</v>
      </c>
      <c r="AL3284" s="21">
        <f>_xll.qlInterestRateIndexValueDate(hiborindex,AK3284)</f>
        <v>47231</v>
      </c>
      <c r="AM3284" s="23">
        <f>_xll.qlIndexFixing(hiborindex,AK3284)</f>
        <v>1.3350730964532169E-2</v>
      </c>
    </row>
    <row r="3285" spans="37:39" x14ac:dyDescent="0.25">
      <c r="AK3285" s="21">
        <f>_xll.qlCalendarAdvance(calendar,AK3284,"1D")</f>
        <v>47228</v>
      </c>
      <c r="AL3285" s="21">
        <f>_xll.qlInterestRateIndexValueDate(hiborindex,AK3285)</f>
        <v>47232</v>
      </c>
      <c r="AM3285" s="23">
        <f>_xll.qlIndexFixing(hiborindex,AK3285)</f>
        <v>1.3346723361413737E-2</v>
      </c>
    </row>
    <row r="3286" spans="37:39" x14ac:dyDescent="0.25">
      <c r="AK3286" s="21">
        <f>_xll.qlCalendarAdvance(calendar,AK3285,"1D")</f>
        <v>47231</v>
      </c>
      <c r="AL3286" s="21">
        <f>_xll.qlInterestRateIndexValueDate(hiborindex,AK3286)</f>
        <v>47233</v>
      </c>
      <c r="AM3286" s="23">
        <f>_xll.qlIndexFixing(hiborindex,AK3286)</f>
        <v>1.3342712776153559E-2</v>
      </c>
    </row>
    <row r="3287" spans="37:39" x14ac:dyDescent="0.25">
      <c r="AK3287" s="21">
        <f>_xll.qlCalendarAdvance(calendar,AK3286,"1D")</f>
        <v>47232</v>
      </c>
      <c r="AL3287" s="21">
        <f>_xll.qlInterestRateIndexValueDate(hiborindex,AK3287)</f>
        <v>47234</v>
      </c>
      <c r="AM3287" s="23">
        <f>_xll.qlIndexFixing(hiborindex,AK3287)</f>
        <v>1.3338699208769105E-2</v>
      </c>
    </row>
    <row r="3288" spans="37:39" x14ac:dyDescent="0.25">
      <c r="AK3288" s="21">
        <f>_xll.qlCalendarAdvance(calendar,AK3287,"1D")</f>
        <v>47233</v>
      </c>
      <c r="AL3288" s="21">
        <f>_xll.qlInterestRateIndexValueDate(hiborindex,AK3288)</f>
        <v>47235</v>
      </c>
      <c r="AM3288" s="23">
        <f>_xll.qlIndexFixing(hiborindex,AK3288)</f>
        <v>1.3333297503030786E-2</v>
      </c>
    </row>
    <row r="3289" spans="37:39" x14ac:dyDescent="0.25">
      <c r="AK3289" s="21">
        <f>_xll.qlCalendarAdvance(calendar,AK3288,"1D")</f>
        <v>47234</v>
      </c>
      <c r="AL3289" s="21">
        <f>_xll.qlInterestRateIndexValueDate(hiborindex,AK3289)</f>
        <v>47238</v>
      </c>
      <c r="AM3289" s="23">
        <f>_xll.qlIndexFixing(hiborindex,AK3289)</f>
        <v>1.3322021936203538E-2</v>
      </c>
    </row>
    <row r="3290" spans="37:39" x14ac:dyDescent="0.25">
      <c r="AK3290" s="21">
        <f>_xll.qlCalendarAdvance(calendar,AK3289,"1D")</f>
        <v>47235</v>
      </c>
      <c r="AL3290" s="21">
        <f>_xll.qlInterestRateIndexValueDate(hiborindex,AK3290)</f>
        <v>47240</v>
      </c>
      <c r="AM3290" s="23">
        <f>_xll.qlIndexFixing(hiborindex,AK3290)</f>
        <v>1.3314036966722698E-2</v>
      </c>
    </row>
    <row r="3291" spans="37:39" x14ac:dyDescent="0.25">
      <c r="AK3291" s="21">
        <f>_xll.qlCalendarAdvance(calendar,AK3290,"1D")</f>
        <v>47238</v>
      </c>
      <c r="AL3291" s="21">
        <f>_xll.qlInterestRateIndexValueDate(hiborindex,AK3291)</f>
        <v>47241</v>
      </c>
      <c r="AM3291" s="23">
        <f>_xll.qlIndexFixing(hiborindex,AK3291)</f>
        <v>1.3309148587807205E-2</v>
      </c>
    </row>
    <row r="3292" spans="37:39" x14ac:dyDescent="0.25">
      <c r="AK3292" s="21">
        <f>_xll.qlCalendarAdvance(calendar,AK3291,"1D")</f>
        <v>47240</v>
      </c>
      <c r="AL3292" s="21">
        <f>_xll.qlInterestRateIndexValueDate(hiborindex,AK3292)</f>
        <v>47242</v>
      </c>
      <c r="AM3292" s="23">
        <f>_xll.qlIndexFixing(hiborindex,AK3292)</f>
        <v>1.3305619994604674E-2</v>
      </c>
    </row>
    <row r="3293" spans="37:39" x14ac:dyDescent="0.25">
      <c r="AK3293" s="21">
        <f>_xll.qlCalendarAdvance(calendar,AK3292,"1D")</f>
        <v>47241</v>
      </c>
      <c r="AL3293" s="21">
        <f>_xll.qlInterestRateIndexValueDate(hiborindex,AK3293)</f>
        <v>47245</v>
      </c>
      <c r="AM3293" s="23">
        <f>_xll.qlIndexFixing(hiborindex,AK3293)</f>
        <v>1.3294022639000168E-2</v>
      </c>
    </row>
    <row r="3294" spans="37:39" x14ac:dyDescent="0.25">
      <c r="AK3294" s="21">
        <f>_xll.qlCalendarAdvance(calendar,AK3293,"1D")</f>
        <v>47242</v>
      </c>
      <c r="AL3294" s="21">
        <f>_xll.qlInterestRateIndexValueDate(hiborindex,AK3294)</f>
        <v>47246</v>
      </c>
      <c r="AM3294" s="23">
        <f>_xll.qlIndexFixing(hiborindex,AK3294)</f>
        <v>1.3290010875768117E-2</v>
      </c>
    </row>
    <row r="3295" spans="37:39" x14ac:dyDescent="0.25">
      <c r="AK3295" s="21">
        <f>_xll.qlCalendarAdvance(calendar,AK3294,"1D")</f>
        <v>47245</v>
      </c>
      <c r="AL3295" s="21">
        <f>_xll.qlInterestRateIndexValueDate(hiborindex,AK3295)</f>
        <v>47247</v>
      </c>
      <c r="AM3295" s="23">
        <f>_xll.qlIndexFixing(hiborindex,AK3295)</f>
        <v>1.3285996146683288E-2</v>
      </c>
    </row>
    <row r="3296" spans="37:39" x14ac:dyDescent="0.25">
      <c r="AK3296" s="21">
        <f>_xll.qlCalendarAdvance(calendar,AK3295,"1D")</f>
        <v>47246</v>
      </c>
      <c r="AL3296" s="21">
        <f>_xll.qlInterestRateIndexValueDate(hiborindex,AK3296)</f>
        <v>47248</v>
      </c>
      <c r="AM3296" s="23">
        <f>_xll.qlIndexFixing(hiborindex,AK3296)</f>
        <v>1.3281604556185654E-2</v>
      </c>
    </row>
    <row r="3297" spans="37:39" x14ac:dyDescent="0.25">
      <c r="AK3297" s="21">
        <f>_xll.qlCalendarAdvance(calendar,AK3296,"1D")</f>
        <v>47247</v>
      </c>
      <c r="AL3297" s="21">
        <f>_xll.qlInterestRateIndexValueDate(hiborindex,AK3297)</f>
        <v>47249</v>
      </c>
      <c r="AM3297" s="23">
        <f>_xll.qlIndexFixing(hiborindex,AK3297)</f>
        <v>1.3277797932995734E-2</v>
      </c>
    </row>
    <row r="3298" spans="37:39" x14ac:dyDescent="0.25">
      <c r="AK3298" s="21">
        <f>_xll.qlCalendarAdvance(calendar,AK3297,"1D")</f>
        <v>47248</v>
      </c>
      <c r="AL3298" s="21">
        <f>_xll.qlInterestRateIndexValueDate(hiborindex,AK3298)</f>
        <v>47252</v>
      </c>
      <c r="AM3298" s="23">
        <f>_xll.qlIndexFixing(hiborindex,AK3298)</f>
        <v>1.3265878014091709E-2</v>
      </c>
    </row>
    <row r="3299" spans="37:39" x14ac:dyDescent="0.25">
      <c r="AK3299" s="21">
        <f>_xll.qlCalendarAdvance(calendar,AK3298,"1D")</f>
        <v>47249</v>
      </c>
      <c r="AL3299" s="21">
        <f>_xll.qlInterestRateIndexValueDate(hiborindex,AK3299)</f>
        <v>47253</v>
      </c>
      <c r="AM3299" s="23">
        <f>_xll.qlIndexFixing(hiborindex,AK3299)</f>
        <v>1.3261845490268152E-2</v>
      </c>
    </row>
    <row r="3300" spans="37:39" x14ac:dyDescent="0.25">
      <c r="AK3300" s="21">
        <f>_xll.qlCalendarAdvance(calendar,AK3299,"1D")</f>
        <v>47252</v>
      </c>
      <c r="AL3300" s="21">
        <f>_xll.qlInterestRateIndexValueDate(hiborindex,AK3300)</f>
        <v>47254</v>
      </c>
      <c r="AM3300" s="23">
        <f>_xll.qlIndexFixing(hiborindex,AK3300)</f>
        <v>1.3257810000718236E-2</v>
      </c>
    </row>
    <row r="3301" spans="37:39" x14ac:dyDescent="0.25">
      <c r="AK3301" s="21">
        <f>_xll.qlCalendarAdvance(calendar,AK3300,"1D")</f>
        <v>47253</v>
      </c>
      <c r="AL3301" s="21">
        <f>_xll.qlInterestRateIndexValueDate(hiborindex,AK3301)</f>
        <v>47255</v>
      </c>
      <c r="AM3301" s="23">
        <f>_xll.qlIndexFixing(hiborindex,AK3301)</f>
        <v>1.3253916745457204E-2</v>
      </c>
    </row>
    <row r="3302" spans="37:39" x14ac:dyDescent="0.25">
      <c r="AK3302" s="21">
        <f>_xll.qlCalendarAdvance(calendar,AK3301,"1D")</f>
        <v>47254</v>
      </c>
      <c r="AL3302" s="21">
        <f>_xll.qlInterestRateIndexValueDate(hiborindex,AK3302)</f>
        <v>47256</v>
      </c>
      <c r="AM3302" s="23">
        <f>_xll.qlIndexFixing(hiborindex,AK3302)</f>
        <v>1.3249831324372003E-2</v>
      </c>
    </row>
    <row r="3303" spans="37:39" x14ac:dyDescent="0.25">
      <c r="AK3303" s="21">
        <f>_xll.qlCalendarAdvance(calendar,AK3302,"1D")</f>
        <v>47255</v>
      </c>
      <c r="AL3303" s="21">
        <f>_xll.qlInterestRateIndexValueDate(hiborindex,AK3303)</f>
        <v>47259</v>
      </c>
      <c r="AM3303" s="23">
        <f>_xll.qlIndexFixing(hiborindex,AK3303)</f>
        <v>1.3237588067720126E-2</v>
      </c>
    </row>
    <row r="3304" spans="37:39" x14ac:dyDescent="0.25">
      <c r="AK3304" s="21">
        <f>_xll.qlCalendarAdvance(calendar,AK3303,"1D")</f>
        <v>47256</v>
      </c>
      <c r="AL3304" s="21">
        <f>_xll.qlInterestRateIndexValueDate(hiborindex,AK3304)</f>
        <v>47260</v>
      </c>
      <c r="AM3304" s="23">
        <f>_xll.qlIndexFixing(hiborindex,AK3304)</f>
        <v>1.3233534784198262E-2</v>
      </c>
    </row>
    <row r="3305" spans="37:39" x14ac:dyDescent="0.25">
      <c r="AK3305" s="21">
        <f>_xll.qlCalendarAdvance(calendar,AK3304,"1D")</f>
        <v>47259</v>
      </c>
      <c r="AL3305" s="21">
        <f>_xll.qlInterestRateIndexValueDate(hiborindex,AK3305)</f>
        <v>47261</v>
      </c>
      <c r="AM3305" s="23">
        <f>_xll.qlIndexFixing(hiborindex,AK3305)</f>
        <v>1.322947853507863E-2</v>
      </c>
    </row>
    <row r="3306" spans="37:39" x14ac:dyDescent="0.25">
      <c r="AK3306" s="21">
        <f>_xll.qlCalendarAdvance(calendar,AK3305,"1D")</f>
        <v>47260</v>
      </c>
      <c r="AL3306" s="21">
        <f>_xll.qlInterestRateIndexValueDate(hiborindex,AK3306)</f>
        <v>47262</v>
      </c>
      <c r="AM3306" s="23">
        <f>_xll.qlIndexFixing(hiborindex,AK3306)</f>
        <v>1.3226085161761459E-2</v>
      </c>
    </row>
    <row r="3307" spans="37:39" x14ac:dyDescent="0.25">
      <c r="AK3307" s="21">
        <f>_xll.qlCalendarAdvance(calendar,AK3306,"1D")</f>
        <v>47261</v>
      </c>
      <c r="AL3307" s="21">
        <f>_xll.qlInterestRateIndexValueDate(hiborindex,AK3307)</f>
        <v>47263</v>
      </c>
      <c r="AM3307" s="23">
        <f>_xll.qlIndexFixing(hiborindex,AK3307)</f>
        <v>1.3221720174935657E-2</v>
      </c>
    </row>
    <row r="3308" spans="37:39" x14ac:dyDescent="0.25">
      <c r="AK3308" s="21">
        <f>_xll.qlCalendarAdvance(calendar,AK3307,"1D")</f>
        <v>47262</v>
      </c>
      <c r="AL3308" s="21">
        <f>_xll.qlInterestRateIndexValueDate(hiborindex,AK3308)</f>
        <v>47266</v>
      </c>
      <c r="AM3308" s="23">
        <f>_xll.qlIndexFixing(hiborindex,AK3308)</f>
        <v>1.3209152806156491E-2</v>
      </c>
    </row>
    <row r="3309" spans="37:39" x14ac:dyDescent="0.25">
      <c r="AK3309" s="21">
        <f>_xll.qlCalendarAdvance(calendar,AK3308,"1D")</f>
        <v>47263</v>
      </c>
      <c r="AL3309" s="21">
        <f>_xll.qlInterestRateIndexValueDate(hiborindex,AK3309)</f>
        <v>47267</v>
      </c>
      <c r="AM3309" s="23">
        <f>_xll.qlIndexFixing(hiborindex,AK3309)</f>
        <v>1.3205078763836033E-2</v>
      </c>
    </row>
    <row r="3310" spans="37:39" x14ac:dyDescent="0.25">
      <c r="AK3310" s="21">
        <f>_xll.qlCalendarAdvance(calendar,AK3309,"1D")</f>
        <v>47266</v>
      </c>
      <c r="AL3310" s="21">
        <f>_xll.qlInterestRateIndexValueDate(hiborindex,AK3310)</f>
        <v>47268</v>
      </c>
      <c r="AM3310" s="23">
        <f>_xll.qlIndexFixing(hiborindex,AK3310)</f>
        <v>1.3201001756046399E-2</v>
      </c>
    </row>
    <row r="3311" spans="37:39" x14ac:dyDescent="0.25">
      <c r="AK3311" s="21">
        <f>_xll.qlCalendarAdvance(calendar,AK3310,"1D")</f>
        <v>47267</v>
      </c>
      <c r="AL3311" s="21">
        <f>_xll.qlInterestRateIndexValueDate(hiborindex,AK3311)</f>
        <v>47269</v>
      </c>
      <c r="AM3311" s="23">
        <f>_xll.qlIndexFixing(hiborindex,AK3311)</f>
        <v>1.3196345754227999E-2</v>
      </c>
    </row>
    <row r="3312" spans="37:39" x14ac:dyDescent="0.25">
      <c r="AK3312" s="21">
        <f>_xll.qlCalendarAdvance(calendar,AK3311,"1D")</f>
        <v>47268</v>
      </c>
      <c r="AL3312" s="21">
        <f>_xll.qlInterestRateIndexValueDate(hiborindex,AK3312)</f>
        <v>47270</v>
      </c>
      <c r="AM3312" s="23">
        <f>_xll.qlIndexFixing(hiborindex,AK3312)</f>
        <v>1.3193464490919979E-2</v>
      </c>
    </row>
    <row r="3313" spans="37:39" x14ac:dyDescent="0.25">
      <c r="AK3313" s="21">
        <f>_xll.qlCalendarAdvance(calendar,AK3312,"1D")</f>
        <v>47269</v>
      </c>
      <c r="AL3313" s="21">
        <f>_xll.qlInterestRateIndexValueDate(hiborindex,AK3313)</f>
        <v>47273</v>
      </c>
      <c r="AM3313" s="23">
        <f>_xll.qlIndexFixing(hiborindex,AK3313)</f>
        <v>1.3179844219059754E-2</v>
      </c>
    </row>
    <row r="3314" spans="37:39" x14ac:dyDescent="0.25">
      <c r="AK3314" s="21">
        <f>_xll.qlCalendarAdvance(calendar,AK3313,"1D")</f>
        <v>47270</v>
      </c>
      <c r="AL3314" s="21">
        <f>_xll.qlInterestRateIndexValueDate(hiborindex,AK3314)</f>
        <v>47274</v>
      </c>
      <c r="AM3314" s="23">
        <f>_xll.qlIndexFixing(hiborindex,AK3314)</f>
        <v>1.3175711381753274E-2</v>
      </c>
    </row>
    <row r="3315" spans="37:39" x14ac:dyDescent="0.25">
      <c r="AK3315" s="21">
        <f>_xll.qlCalendarAdvance(calendar,AK3314,"1D")</f>
        <v>47273</v>
      </c>
      <c r="AL3315" s="21">
        <f>_xll.qlInterestRateIndexValueDate(hiborindex,AK3315)</f>
        <v>47275</v>
      </c>
      <c r="AM3315" s="23">
        <f>_xll.qlIndexFixing(hiborindex,AK3315)</f>
        <v>1.3171575563078637E-2</v>
      </c>
    </row>
    <row r="3316" spans="37:39" x14ac:dyDescent="0.25">
      <c r="AK3316" s="21">
        <f>_xll.qlCalendarAdvance(calendar,AK3315,"1D")</f>
        <v>47274</v>
      </c>
      <c r="AL3316" s="21">
        <f>_xll.qlInterestRateIndexValueDate(hiborindex,AK3316)</f>
        <v>47276</v>
      </c>
      <c r="AM3316" s="23">
        <f>_xll.qlIndexFixing(hiborindex,AK3316)</f>
        <v>1.3167436763055063E-2</v>
      </c>
    </row>
    <row r="3317" spans="37:39" x14ac:dyDescent="0.25">
      <c r="AK3317" s="21">
        <f>_xll.qlCalendarAdvance(calendar,AK3316,"1D")</f>
        <v>47275</v>
      </c>
      <c r="AL3317" s="21">
        <f>_xll.qlInterestRateIndexValueDate(hiborindex,AK3317)</f>
        <v>47277</v>
      </c>
      <c r="AM3317" s="23">
        <f>_xll.qlIndexFixing(hiborindex,AK3317)</f>
        <v>1.3165064278589794E-2</v>
      </c>
    </row>
    <row r="3318" spans="37:39" x14ac:dyDescent="0.25">
      <c r="AK3318" s="21">
        <f>_xll.qlCalendarAdvance(calendar,AK3317,"1D")</f>
        <v>47276</v>
      </c>
      <c r="AL3318" s="21">
        <f>_xll.qlInterestRateIndexValueDate(hiborindex,AK3318)</f>
        <v>47280</v>
      </c>
      <c r="AM3318" s="23">
        <f>_xll.qlIndexFixing(hiborindex,AK3318)</f>
        <v>1.3150851749837862E-2</v>
      </c>
    </row>
    <row r="3319" spans="37:39" x14ac:dyDescent="0.25">
      <c r="AK3319" s="21">
        <f>_xll.qlCalendarAdvance(calendar,AK3318,"1D")</f>
        <v>47277</v>
      </c>
      <c r="AL3319" s="21">
        <f>_xll.qlInterestRateIndexValueDate(hiborindex,AK3319)</f>
        <v>47281</v>
      </c>
      <c r="AM3319" s="23">
        <f>_xll.qlIndexFixing(hiborindex,AK3319)</f>
        <v>1.3146698043347406E-2</v>
      </c>
    </row>
    <row r="3320" spans="37:39" x14ac:dyDescent="0.25">
      <c r="AK3320" s="21">
        <f>_xll.qlCalendarAdvance(calendar,AK3319,"1D")</f>
        <v>47280</v>
      </c>
      <c r="AL3320" s="21">
        <f>_xll.qlInterestRateIndexValueDate(hiborindex,AK3320)</f>
        <v>47282</v>
      </c>
      <c r="AM3320" s="23">
        <f>_xll.qlIndexFixing(hiborindex,AK3320)</f>
        <v>1.3142541355619835E-2</v>
      </c>
    </row>
    <row r="3321" spans="37:39" x14ac:dyDescent="0.25">
      <c r="AK3321" s="21">
        <f>_xll.qlCalendarAdvance(calendar,AK3320,"1D")</f>
        <v>47281</v>
      </c>
      <c r="AL3321" s="21">
        <f>_xll.qlInterestRateIndexValueDate(hiborindex,AK3321)</f>
        <v>47283</v>
      </c>
      <c r="AM3321" s="23">
        <f>_xll.qlIndexFixing(hiborindex,AK3321)</f>
        <v>1.3138381686673932E-2</v>
      </c>
    </row>
    <row r="3322" spans="37:39" x14ac:dyDescent="0.25">
      <c r="AK3322" s="21">
        <f>_xll.qlCalendarAdvance(calendar,AK3321,"1D")</f>
        <v>47282</v>
      </c>
      <c r="AL3322" s="21">
        <f>_xll.qlInterestRateIndexValueDate(hiborindex,AK3322)</f>
        <v>47284</v>
      </c>
      <c r="AM3322" s="23">
        <f>_xll.qlIndexFixing(hiborindex,AK3322)</f>
        <v>1.3136519544242338E-2</v>
      </c>
    </row>
    <row r="3323" spans="37:39" x14ac:dyDescent="0.25">
      <c r="AK3323" s="21">
        <f>_xll.qlCalendarAdvance(calendar,AK3322,"1D")</f>
        <v>47283</v>
      </c>
      <c r="AL3323" s="21">
        <f>_xll.qlInterestRateIndexValueDate(hiborindex,AK3323)</f>
        <v>47287</v>
      </c>
      <c r="AM3323" s="23">
        <f>_xll.qlIndexFixing(hiborindex,AK3323)</f>
        <v>1.3121713199086147E-2</v>
      </c>
    </row>
    <row r="3324" spans="37:39" x14ac:dyDescent="0.25">
      <c r="AK3324" s="21">
        <f>_xll.qlCalendarAdvance(calendar,AK3323,"1D")</f>
        <v>47284</v>
      </c>
      <c r="AL3324" s="21">
        <f>_xll.qlInterestRateIndexValueDate(hiborindex,AK3324)</f>
        <v>47288</v>
      </c>
      <c r="AM3324" s="23">
        <f>_xll.qlIndexFixing(hiborindex,AK3324)</f>
        <v>1.311753862433207E-2</v>
      </c>
    </row>
    <row r="3325" spans="37:39" x14ac:dyDescent="0.25">
      <c r="AK3325" s="21">
        <f>_xll.qlCalendarAdvance(calendar,AK3324,"1D")</f>
        <v>47287</v>
      </c>
      <c r="AL3325" s="21">
        <f>_xll.qlInterestRateIndexValueDate(hiborindex,AK3325)</f>
        <v>47289</v>
      </c>
      <c r="AM3325" s="23">
        <f>_xll.qlIndexFixing(hiborindex,AK3325)</f>
        <v>1.3113361068473233E-2</v>
      </c>
    </row>
    <row r="3326" spans="37:39" x14ac:dyDescent="0.25">
      <c r="AK3326" s="21">
        <f>_xll.qlCalendarAdvance(calendar,AK3325,"1D")</f>
        <v>47288</v>
      </c>
      <c r="AL3326" s="21">
        <f>_xll.qlInterestRateIndexValueDate(hiborindex,AK3326)</f>
        <v>47290</v>
      </c>
      <c r="AM3326" s="23">
        <f>_xll.qlIndexFixing(hiborindex,AK3326)</f>
        <v>1.3109180531527979E-2</v>
      </c>
    </row>
    <row r="3327" spans="37:39" x14ac:dyDescent="0.25">
      <c r="AK3327" s="21">
        <f>_xll.qlCalendarAdvance(calendar,AK3326,"1D")</f>
        <v>47289</v>
      </c>
      <c r="AL3327" s="21">
        <f>_xll.qlInterestRateIndexValueDate(hiborindex,AK3327)</f>
        <v>47291</v>
      </c>
      <c r="AM3327" s="23">
        <f>_xll.qlIndexFixing(hiborindex,AK3327)</f>
        <v>1.3107830294206816E-2</v>
      </c>
    </row>
    <row r="3328" spans="37:39" x14ac:dyDescent="0.25">
      <c r="AK3328" s="21">
        <f>_xll.qlCalendarAdvance(calendar,AK3327,"1D")</f>
        <v>47290</v>
      </c>
      <c r="AL3328" s="21">
        <f>_xll.qlInterestRateIndexValueDate(hiborindex,AK3328)</f>
        <v>47294</v>
      </c>
      <c r="AM3328" s="23">
        <f>_xll.qlIndexFixing(hiborindex,AK3328)</f>
        <v>1.3095490663413326E-2</v>
      </c>
    </row>
    <row r="3329" spans="37:39" x14ac:dyDescent="0.25">
      <c r="AK3329" s="21">
        <f>_xll.qlCalendarAdvance(calendar,AK3328,"1D")</f>
        <v>47291</v>
      </c>
      <c r="AL3329" s="21">
        <f>_xll.qlInterestRateIndexValueDate(hiborindex,AK3329)</f>
        <v>47295</v>
      </c>
      <c r="AM3329" s="23">
        <f>_xll.qlIndexFixing(hiborindex,AK3329)</f>
        <v>1.3089801666139359E-2</v>
      </c>
    </row>
    <row r="3330" spans="37:39" x14ac:dyDescent="0.25">
      <c r="AK3330" s="21">
        <f>_xll.qlCalendarAdvance(calendar,AK3329,"1D")</f>
        <v>47294</v>
      </c>
      <c r="AL3330" s="21">
        <f>_xll.qlInterestRateIndexValueDate(hiborindex,AK3330)</f>
        <v>47296</v>
      </c>
      <c r="AM3330" s="23">
        <f>_xll.qlIndexFixing(hiborindex,AK3330)</f>
        <v>1.3084034708109284E-2</v>
      </c>
    </row>
    <row r="3331" spans="37:39" x14ac:dyDescent="0.25">
      <c r="AK3331" s="21">
        <f>_xll.qlCalendarAdvance(calendar,AK3330,"1D")</f>
        <v>47295</v>
      </c>
      <c r="AL3331" s="21">
        <f>_xll.qlInterestRateIndexValueDate(hiborindex,AK3331)</f>
        <v>47297</v>
      </c>
      <c r="AM3331" s="23">
        <f>_xll.qlIndexFixing(hiborindex,AK3331)</f>
        <v>1.3079833304092027E-2</v>
      </c>
    </row>
    <row r="3332" spans="37:39" x14ac:dyDescent="0.25">
      <c r="AK3332" s="21">
        <f>_xll.qlCalendarAdvance(calendar,AK3331,"1D")</f>
        <v>47296</v>
      </c>
      <c r="AL3332" s="21">
        <f>_xll.qlInterestRateIndexValueDate(hiborindex,AK3332)</f>
        <v>47298</v>
      </c>
      <c r="AM3332" s="23">
        <f>_xll.qlIndexFixing(hiborindex,AK3332)</f>
        <v>1.3078996534844413E-2</v>
      </c>
    </row>
    <row r="3333" spans="37:39" x14ac:dyDescent="0.25">
      <c r="AK3333" s="21">
        <f>_xll.qlCalendarAdvance(calendar,AK3332,"1D")</f>
        <v>47297</v>
      </c>
      <c r="AL3333" s="21">
        <f>_xll.qlInterestRateIndexValueDate(hiborindex,AK3333)</f>
        <v>47301</v>
      </c>
      <c r="AM3333" s="23">
        <f>_xll.qlIndexFixing(hiborindex,AK3333)</f>
        <v>1.3085993567826587E-2</v>
      </c>
    </row>
    <row r="3334" spans="37:39" x14ac:dyDescent="0.25">
      <c r="AK3334" s="21">
        <f>_xll.qlCalendarAdvance(calendar,AK3333,"1D")</f>
        <v>47298</v>
      </c>
      <c r="AL3334" s="21">
        <f>_xll.qlInterestRateIndexValueDate(hiborindex,AK3334)</f>
        <v>47302</v>
      </c>
      <c r="AM3334" s="23">
        <f>_xll.qlIndexFixing(hiborindex,AK3334)</f>
        <v>1.3088887208531897E-2</v>
      </c>
    </row>
    <row r="3335" spans="37:39" x14ac:dyDescent="0.25">
      <c r="AK3335" s="21">
        <f>_xll.qlCalendarAdvance(calendar,AK3334,"1D")</f>
        <v>47301</v>
      </c>
      <c r="AL3335" s="21">
        <f>_xll.qlInterestRateIndexValueDate(hiborindex,AK3335)</f>
        <v>47303</v>
      </c>
      <c r="AM3335" s="23">
        <f>_xll.qlIndexFixing(hiborindex,AK3335)</f>
        <v>1.3091780853488588E-2</v>
      </c>
    </row>
    <row r="3336" spans="37:39" x14ac:dyDescent="0.25">
      <c r="AK3336" s="21">
        <f>_xll.qlCalendarAdvance(calendar,AK3335,"1D")</f>
        <v>47302</v>
      </c>
      <c r="AL3336" s="21">
        <f>_xll.qlInterestRateIndexValueDate(hiborindex,AK3336)</f>
        <v>47304</v>
      </c>
      <c r="AM3336" s="23">
        <f>_xll.qlIndexFixing(hiborindex,AK3336)</f>
        <v>1.3098043625358654E-2</v>
      </c>
    </row>
    <row r="3337" spans="37:39" x14ac:dyDescent="0.25">
      <c r="AK3337" s="21">
        <f>_xll.qlCalendarAdvance(calendar,AK3336,"1D")</f>
        <v>47303</v>
      </c>
      <c r="AL3337" s="21">
        <f>_xll.qlInterestRateIndexValueDate(hiborindex,AK3337)</f>
        <v>47305</v>
      </c>
      <c r="AM3337" s="23">
        <f>_xll.qlIndexFixing(hiborindex,AK3337)</f>
        <v>1.3099252768672428E-2</v>
      </c>
    </row>
    <row r="3338" spans="37:39" x14ac:dyDescent="0.25">
      <c r="AK3338" s="21">
        <f>_xll.qlCalendarAdvance(calendar,AK3337,"1D")</f>
        <v>47304</v>
      </c>
      <c r="AL3338" s="21">
        <f>_xll.qlInterestRateIndexValueDate(hiborindex,AK3338)</f>
        <v>47308</v>
      </c>
      <c r="AM3338" s="23">
        <f>_xll.qlIndexFixing(hiborindex,AK3338)</f>
        <v>1.3106249142039729E-2</v>
      </c>
    </row>
    <row r="3339" spans="37:39" x14ac:dyDescent="0.25">
      <c r="AK3339" s="21">
        <f>_xll.qlCalendarAdvance(calendar,AK3338,"1D")</f>
        <v>47305</v>
      </c>
      <c r="AL3339" s="21">
        <f>_xll.qlInterestRateIndexValueDate(hiborindex,AK3339)</f>
        <v>47309</v>
      </c>
      <c r="AM3339" s="23">
        <f>_xll.qlIndexFixing(hiborindex,AK3339)</f>
        <v>1.3109142812503407E-2</v>
      </c>
    </row>
    <row r="3340" spans="37:39" x14ac:dyDescent="0.25">
      <c r="AK3340" s="21">
        <f>_xll.qlCalendarAdvance(calendar,AK3339,"1D")</f>
        <v>47308</v>
      </c>
      <c r="AL3340" s="21">
        <f>_xll.qlInterestRateIndexValueDate(hiborindex,AK3340)</f>
        <v>47310</v>
      </c>
      <c r="AM3340" s="23">
        <f>_xll.qlIndexFixing(hiborindex,AK3340)</f>
        <v>1.3112036487218903E-2</v>
      </c>
    </row>
    <row r="3341" spans="37:39" x14ac:dyDescent="0.25">
      <c r="AK3341" s="21">
        <f>_xll.qlCalendarAdvance(calendar,AK3340,"1D")</f>
        <v>47309</v>
      </c>
      <c r="AL3341" s="21">
        <f>_xll.qlInterestRateIndexValueDate(hiborindex,AK3341)</f>
        <v>47311</v>
      </c>
      <c r="AM3341" s="23">
        <f>_xll.qlIndexFixing(hiborindex,AK3341)</f>
        <v>1.3118300788769867E-2</v>
      </c>
    </row>
    <row r="3342" spans="37:39" x14ac:dyDescent="0.25">
      <c r="AK3342" s="21">
        <f>_xll.qlCalendarAdvance(calendar,AK3341,"1D")</f>
        <v>47310</v>
      </c>
      <c r="AL3342" s="21">
        <f>_xll.qlInterestRateIndexValueDate(hiborindex,AK3342)</f>
        <v>47312</v>
      </c>
      <c r="AM3342" s="23">
        <f>_xll.qlIndexFixing(hiborindex,AK3342)</f>
        <v>1.3119509211949336E-2</v>
      </c>
    </row>
    <row r="3343" spans="37:39" x14ac:dyDescent="0.25">
      <c r="AK3343" s="21">
        <f>_xll.qlCalendarAdvance(calendar,AK3342,"1D")</f>
        <v>47311</v>
      </c>
      <c r="AL3343" s="21">
        <f>_xll.qlInterestRateIndexValueDate(hiborindex,AK3343)</f>
        <v>47315</v>
      </c>
      <c r="AM3343" s="23">
        <f>_xll.qlIndexFixing(hiborindex,AK3343)</f>
        <v>1.312650492456276E-2</v>
      </c>
    </row>
    <row r="3344" spans="37:39" x14ac:dyDescent="0.25">
      <c r="AK3344" s="21">
        <f>_xll.qlCalendarAdvance(calendar,AK3343,"1D")</f>
        <v>47312</v>
      </c>
      <c r="AL3344" s="21">
        <f>_xll.qlInterestRateIndexValueDate(hiborindex,AK3344)</f>
        <v>47316</v>
      </c>
      <c r="AM3344" s="23">
        <f>_xll.qlIndexFixing(hiborindex,AK3344)</f>
        <v>1.3129398624785243E-2</v>
      </c>
    </row>
    <row r="3345" spans="37:39" x14ac:dyDescent="0.25">
      <c r="AK3345" s="21">
        <f>_xll.qlCalendarAdvance(calendar,AK3344,"1D")</f>
        <v>47315</v>
      </c>
      <c r="AL3345" s="21">
        <f>_xll.qlInterestRateIndexValueDate(hiborindex,AK3345)</f>
        <v>47317</v>
      </c>
      <c r="AM3345" s="23">
        <f>_xll.qlIndexFixing(hiborindex,AK3345)</f>
        <v>1.3132292329259108E-2</v>
      </c>
    </row>
    <row r="3346" spans="37:39" x14ac:dyDescent="0.25">
      <c r="AK3346" s="21">
        <f>_xll.qlCalendarAdvance(calendar,AK3345,"1D")</f>
        <v>47316</v>
      </c>
      <c r="AL3346" s="21">
        <f>_xll.qlInterestRateIndexValueDate(hiborindex,AK3346)</f>
        <v>47318</v>
      </c>
      <c r="AM3346" s="23">
        <f>_xll.qlIndexFixing(hiborindex,AK3346)</f>
        <v>1.3138558162772195E-2</v>
      </c>
    </row>
    <row r="3347" spans="37:39" x14ac:dyDescent="0.25">
      <c r="AK3347" s="21">
        <f>_xll.qlCalendarAdvance(calendar,AK3346,"1D")</f>
        <v>47317</v>
      </c>
      <c r="AL3347" s="21">
        <f>_xll.qlInterestRateIndexValueDate(hiborindex,AK3347)</f>
        <v>47319</v>
      </c>
      <c r="AM3347" s="23">
        <f>_xll.qlIndexFixing(hiborindex,AK3347)</f>
        <v>1.3139765864676861E-2</v>
      </c>
    </row>
    <row r="3348" spans="37:39" x14ac:dyDescent="0.25">
      <c r="AK3348" s="21">
        <f>_xll.qlCalendarAdvance(calendar,AK3347,"1D")</f>
        <v>47318</v>
      </c>
      <c r="AL3348" s="21">
        <f>_xll.qlInterestRateIndexValueDate(hiborindex,AK3348)</f>
        <v>47322</v>
      </c>
      <c r="AM3348" s="23">
        <f>_xll.qlIndexFixing(hiborindex,AK3348)</f>
        <v>1.3146760915397421E-2</v>
      </c>
    </row>
    <row r="3349" spans="37:39" x14ac:dyDescent="0.25">
      <c r="AK3349" s="21">
        <f>_xll.qlCalendarAdvance(calendar,AK3348,"1D")</f>
        <v>47319</v>
      </c>
      <c r="AL3349" s="21">
        <f>_xll.qlInterestRateIndexValueDate(hiborindex,AK3349)</f>
        <v>47323</v>
      </c>
      <c r="AM3349" s="23">
        <f>_xll.qlIndexFixing(hiborindex,AK3349)</f>
        <v>1.3149654645378709E-2</v>
      </c>
    </row>
    <row r="3350" spans="37:39" x14ac:dyDescent="0.25">
      <c r="AK3350" s="21">
        <f>_xll.qlCalendarAdvance(calendar,AK3349,"1D")</f>
        <v>47322</v>
      </c>
      <c r="AL3350" s="21">
        <f>_xll.qlInterestRateIndexValueDate(hiborindex,AK3350)</f>
        <v>47324</v>
      </c>
      <c r="AM3350" s="23">
        <f>_xll.qlIndexFixing(hiborindex,AK3350)</f>
        <v>1.3152548379611812E-2</v>
      </c>
    </row>
    <row r="3351" spans="37:39" x14ac:dyDescent="0.25">
      <c r="AK3351" s="21">
        <f>_xll.qlCalendarAdvance(calendar,AK3350,"1D")</f>
        <v>47323</v>
      </c>
      <c r="AL3351" s="21">
        <f>_xll.qlInterestRateIndexValueDate(hiborindex,AK3351)</f>
        <v>47325</v>
      </c>
      <c r="AM3351" s="23">
        <f>_xll.qlIndexFixing(hiborindex,AK3351)</f>
        <v>1.3158815747366926E-2</v>
      </c>
    </row>
    <row r="3352" spans="37:39" x14ac:dyDescent="0.25">
      <c r="AK3352" s="21">
        <f>_xll.qlCalendarAdvance(calendar,AK3351,"1D")</f>
        <v>47324</v>
      </c>
      <c r="AL3352" s="21">
        <f>_xll.qlInterestRateIndexValueDate(hiborindex,AK3352)</f>
        <v>47326</v>
      </c>
      <c r="AM3352" s="23">
        <f>_xll.qlIndexFixing(hiborindex,AK3352)</f>
        <v>1.3160022726857167E-2</v>
      </c>
    </row>
    <row r="3353" spans="37:39" x14ac:dyDescent="0.25">
      <c r="AK3353" s="21">
        <f>_xll.qlCalendarAdvance(calendar,AK3352,"1D")</f>
        <v>47325</v>
      </c>
      <c r="AL3353" s="21">
        <f>_xll.qlInterestRateIndexValueDate(hiborindex,AK3353)</f>
        <v>47329</v>
      </c>
      <c r="AM3353" s="23">
        <f>_xll.qlIndexFixing(hiborindex,AK3353)</f>
        <v>1.3167017114545885E-2</v>
      </c>
    </row>
    <row r="3354" spans="37:39" x14ac:dyDescent="0.25">
      <c r="AK3354" s="21">
        <f>_xll.qlCalendarAdvance(calendar,AK3353,"1D")</f>
        <v>47326</v>
      </c>
      <c r="AL3354" s="21">
        <f>_xll.qlInterestRateIndexValueDate(hiborindex,AK3354)</f>
        <v>47330</v>
      </c>
      <c r="AM3354" s="23">
        <f>_xll.qlIndexFixing(hiborindex,AK3354)</f>
        <v>1.3169910874286844E-2</v>
      </c>
    </row>
    <row r="3355" spans="37:39" x14ac:dyDescent="0.25">
      <c r="AK3355" s="21">
        <f>_xll.qlCalendarAdvance(calendar,AK3354,"1D")</f>
        <v>47329</v>
      </c>
      <c r="AL3355" s="21">
        <f>_xll.qlInterestRateIndexValueDate(hiborindex,AK3355)</f>
        <v>47331</v>
      </c>
      <c r="AM3355" s="23">
        <f>_xll.qlIndexFixing(hiborindex,AK3355)</f>
        <v>1.3172804638279186E-2</v>
      </c>
    </row>
    <row r="3356" spans="37:39" x14ac:dyDescent="0.25">
      <c r="AK3356" s="21">
        <f>_xll.qlCalendarAdvance(calendar,AK3355,"1D")</f>
        <v>47330</v>
      </c>
      <c r="AL3356" s="21">
        <f>_xll.qlInterestRateIndexValueDate(hiborindex,AK3356)</f>
        <v>47332</v>
      </c>
      <c r="AM3356" s="23">
        <f>_xll.qlIndexFixing(hiborindex,AK3356)</f>
        <v>1.317907354255664E-2</v>
      </c>
    </row>
    <row r="3357" spans="37:39" x14ac:dyDescent="0.25">
      <c r="AK3357" s="21">
        <f>_xll.qlCalendarAdvance(calendar,AK3356,"1D")</f>
        <v>47331</v>
      </c>
      <c r="AL3357" s="21">
        <f>_xll.qlInterestRateIndexValueDate(hiborindex,AK3357)</f>
        <v>47333</v>
      </c>
      <c r="AM3357" s="23">
        <f>_xll.qlIndexFixing(hiborindex,AK3357)</f>
        <v>1.3180279798492844E-2</v>
      </c>
    </row>
    <row r="3358" spans="37:39" x14ac:dyDescent="0.25">
      <c r="AK3358" s="21">
        <f>_xll.qlCalendarAdvance(calendar,AK3357,"1D")</f>
        <v>47332</v>
      </c>
      <c r="AL3358" s="21">
        <f>_xll.qlInterestRateIndexValueDate(hiborindex,AK3358)</f>
        <v>47336</v>
      </c>
      <c r="AM3358" s="23">
        <f>_xll.qlIndexFixing(hiborindex,AK3358)</f>
        <v>1.3187273522010753E-2</v>
      </c>
    </row>
    <row r="3359" spans="37:39" x14ac:dyDescent="0.25">
      <c r="AK3359" s="21">
        <f>_xll.qlCalendarAdvance(calendar,AK3358,"1D")</f>
        <v>47333</v>
      </c>
      <c r="AL3359" s="21">
        <f>_xll.qlInterestRateIndexValueDate(hiborindex,AK3359)</f>
        <v>47337</v>
      </c>
      <c r="AM3359" s="23">
        <f>_xll.qlIndexFixing(hiborindex,AK3359)</f>
        <v>1.3190167311510952E-2</v>
      </c>
    </row>
    <row r="3360" spans="37:39" x14ac:dyDescent="0.25">
      <c r="AK3360" s="21">
        <f>_xll.qlCalendarAdvance(calendar,AK3359,"1D")</f>
        <v>47336</v>
      </c>
      <c r="AL3360" s="21">
        <f>_xll.qlInterestRateIndexValueDate(hiborindex,AK3360)</f>
        <v>47338</v>
      </c>
      <c r="AM3360" s="23">
        <f>_xll.qlIndexFixing(hiborindex,AK3360)</f>
        <v>1.3193061105262967E-2</v>
      </c>
    </row>
    <row r="3361" spans="37:39" x14ac:dyDescent="0.25">
      <c r="AK3361" s="21">
        <f>_xll.qlCalendarAdvance(calendar,AK3360,"1D")</f>
        <v>47337</v>
      </c>
      <c r="AL3361" s="21">
        <f>_xll.qlInterestRateIndexValueDate(hiborindex,AK3361)</f>
        <v>47339</v>
      </c>
      <c r="AM3361" s="23">
        <f>_xll.qlIndexFixing(hiborindex,AK3361)</f>
        <v>1.3199331548343055E-2</v>
      </c>
    </row>
    <row r="3362" spans="37:39" x14ac:dyDescent="0.25">
      <c r="AK3362" s="21">
        <f>_xll.qlCalendarAdvance(calendar,AK3361,"1D")</f>
        <v>47338</v>
      </c>
      <c r="AL3362" s="21">
        <f>_xll.qlInterestRateIndexValueDate(hiborindex,AK3362)</f>
        <v>47340</v>
      </c>
      <c r="AM3362" s="23">
        <f>_xll.qlIndexFixing(hiborindex,AK3362)</f>
        <v>1.3200537079585621E-2</v>
      </c>
    </row>
    <row r="3363" spans="37:39" x14ac:dyDescent="0.25">
      <c r="AK3363" s="21">
        <f>_xll.qlCalendarAdvance(calendar,AK3362,"1D")</f>
        <v>47339</v>
      </c>
      <c r="AL3363" s="21">
        <f>_xll.qlInterestRateIndexValueDate(hiborindex,AK3363)</f>
        <v>47343</v>
      </c>
      <c r="AM3363" s="23">
        <f>_xll.qlIndexFixing(hiborindex,AK3363)</f>
        <v>1.3207530137793334E-2</v>
      </c>
    </row>
    <row r="3364" spans="37:39" x14ac:dyDescent="0.25">
      <c r="AK3364" s="21">
        <f>_xll.qlCalendarAdvance(calendar,AK3363,"1D")</f>
        <v>47340</v>
      </c>
      <c r="AL3364" s="21">
        <f>_xll.qlInterestRateIndexValueDate(hiborindex,AK3364)</f>
        <v>47344</v>
      </c>
      <c r="AM3364" s="23">
        <f>_xll.qlIndexFixing(hiborindex,AK3364)</f>
        <v>1.3210423957054076E-2</v>
      </c>
    </row>
    <row r="3365" spans="37:39" x14ac:dyDescent="0.25">
      <c r="AK3365" s="21">
        <f>_xll.qlCalendarAdvance(calendar,AK3364,"1D")</f>
        <v>47343</v>
      </c>
      <c r="AL3365" s="21">
        <f>_xll.qlInterestRateIndexValueDate(hiborindex,AK3365)</f>
        <v>47345</v>
      </c>
      <c r="AM3365" s="23">
        <f>_xll.qlIndexFixing(hiborindex,AK3365)</f>
        <v>1.3213317780565762E-2</v>
      </c>
    </row>
    <row r="3366" spans="37:39" x14ac:dyDescent="0.25">
      <c r="AK3366" s="21">
        <f>_xll.qlCalendarAdvance(calendar,AK3365,"1D")</f>
        <v>47344</v>
      </c>
      <c r="AL3366" s="21">
        <f>_xll.qlInterestRateIndexValueDate(hiborindex,AK3366)</f>
        <v>47346</v>
      </c>
      <c r="AM3366" s="23">
        <f>_xll.qlIndexFixing(hiborindex,AK3366)</f>
        <v>1.3219589764728749E-2</v>
      </c>
    </row>
    <row r="3367" spans="37:39" x14ac:dyDescent="0.25">
      <c r="AK3367" s="21">
        <f>_xll.qlCalendarAdvance(calendar,AK3366,"1D")</f>
        <v>47345</v>
      </c>
      <c r="AL3367" s="21">
        <f>_xll.qlInterestRateIndexValueDate(hiborindex,AK3367)</f>
        <v>47347</v>
      </c>
      <c r="AM3367" s="23">
        <f>_xll.qlIndexFixing(hiborindex,AK3367)</f>
        <v>1.322079457013766E-2</v>
      </c>
    </row>
    <row r="3368" spans="37:39" x14ac:dyDescent="0.25">
      <c r="AK3368" s="21">
        <f>_xll.qlCalendarAdvance(calendar,AK3367,"1D")</f>
        <v>47346</v>
      </c>
      <c r="AL3368" s="21">
        <f>_xll.qlInterestRateIndexValueDate(hiborindex,AK3368)</f>
        <v>47350</v>
      </c>
      <c r="AM3368" s="23">
        <f>_xll.qlIndexFixing(hiborindex,AK3368)</f>
        <v>1.3227786961896667E-2</v>
      </c>
    </row>
    <row r="3369" spans="37:39" x14ac:dyDescent="0.25">
      <c r="AK3369" s="21">
        <f>_xll.qlCalendarAdvance(calendar,AK3368,"1D")</f>
        <v>47347</v>
      </c>
      <c r="AL3369" s="21">
        <f>_xll.qlInterestRateIndexValueDate(hiborindex,AK3369)</f>
        <v>47351</v>
      </c>
      <c r="AM3369" s="23">
        <f>_xll.qlIndexFixing(hiborindex,AK3369)</f>
        <v>1.323068081091708E-2</v>
      </c>
    </row>
    <row r="3370" spans="37:39" x14ac:dyDescent="0.25">
      <c r="AK3370" s="21">
        <f>_xll.qlCalendarAdvance(calendar,AK3369,"1D")</f>
        <v>47350</v>
      </c>
      <c r="AL3370" s="21">
        <f>_xll.qlInterestRateIndexValueDate(hiborindex,AK3370)</f>
        <v>47352</v>
      </c>
      <c r="AM3370" s="23">
        <f>_xll.qlIndexFixing(hiborindex,AK3370)</f>
        <v>1.3233574664189311E-2</v>
      </c>
    </row>
    <row r="3371" spans="37:39" x14ac:dyDescent="0.25">
      <c r="AK3371" s="21">
        <f>_xll.qlCalendarAdvance(calendar,AK3370,"1D")</f>
        <v>47351</v>
      </c>
      <c r="AL3371" s="21">
        <f>_xll.qlInterestRateIndexValueDate(hiborindex,AK3371)</f>
        <v>47353</v>
      </c>
      <c r="AM3371" s="23">
        <f>_xll.qlIndexFixing(hiborindex,AK3371)</f>
        <v>1.3239848191716303E-2</v>
      </c>
    </row>
    <row r="3372" spans="37:39" x14ac:dyDescent="0.25">
      <c r="AK3372" s="21">
        <f>_xll.qlCalendarAdvance(calendar,AK3371,"1D")</f>
        <v>47352</v>
      </c>
      <c r="AL3372" s="21">
        <f>_xll.qlInterestRateIndexValueDate(hiborindex,AK3372)</f>
        <v>47354</v>
      </c>
      <c r="AM3372" s="23">
        <f>_xll.qlIndexFixing(hiborindex,AK3372)</f>
        <v>1.3241052270151552E-2</v>
      </c>
    </row>
    <row r="3373" spans="37:39" x14ac:dyDescent="0.25">
      <c r="AK3373" s="21">
        <f>_xll.qlCalendarAdvance(calendar,AK3372,"1D")</f>
        <v>47353</v>
      </c>
      <c r="AL3373" s="21">
        <f>_xll.qlInterestRateIndexValueDate(hiborindex,AK3373)</f>
        <v>47357</v>
      </c>
      <c r="AM3373" s="23">
        <f>_xll.qlIndexFixing(hiborindex,AK3373)</f>
        <v>1.324804399432249E-2</v>
      </c>
    </row>
    <row r="3374" spans="37:39" x14ac:dyDescent="0.25">
      <c r="AK3374" s="21">
        <f>_xll.qlCalendarAdvance(calendar,AK3373,"1D")</f>
        <v>47354</v>
      </c>
      <c r="AL3374" s="21">
        <f>_xll.qlInterestRateIndexValueDate(hiborindex,AK3374)</f>
        <v>47358</v>
      </c>
      <c r="AM3374" s="23">
        <f>_xll.qlIndexFixing(hiborindex,AK3374)</f>
        <v>1.3250937873103878E-2</v>
      </c>
    </row>
    <row r="3375" spans="37:39" x14ac:dyDescent="0.25">
      <c r="AK3375" s="21">
        <f>_xll.qlCalendarAdvance(calendar,AK3374,"1D")</f>
        <v>47357</v>
      </c>
      <c r="AL3375" s="21">
        <f>_xll.qlInterestRateIndexValueDate(hiborindex,AK3375)</f>
        <v>47359</v>
      </c>
      <c r="AM3375" s="23">
        <f>_xll.qlIndexFixing(hiborindex,AK3375)</f>
        <v>1.3252141441357343E-2</v>
      </c>
    </row>
    <row r="3376" spans="37:39" x14ac:dyDescent="0.25">
      <c r="AK3376" s="21">
        <f>_xll.qlCalendarAdvance(calendar,AK3375,"1D")</f>
        <v>47358</v>
      </c>
      <c r="AL3376" s="21">
        <f>_xll.qlInterestRateIndexValueDate(hiborindex,AK3376)</f>
        <v>47360</v>
      </c>
      <c r="AM3376" s="23">
        <f>_xll.qlIndexFixing(hiborindex,AK3376)</f>
        <v>1.3253344910456807E-2</v>
      </c>
    </row>
    <row r="3377" spans="37:39" x14ac:dyDescent="0.25">
      <c r="AK3377" s="21">
        <f>_xll.qlCalendarAdvance(calendar,AK3376,"1D")</f>
        <v>47359</v>
      </c>
      <c r="AL3377" s="21">
        <f>_xll.qlInterestRateIndexValueDate(hiborindex,AK3377)</f>
        <v>47361</v>
      </c>
      <c r="AM3377" s="23">
        <f>_xll.qlIndexFixing(hiborindex,AK3377)</f>
        <v>1.3254548280390238E-2</v>
      </c>
    </row>
    <row r="3378" spans="37:39" x14ac:dyDescent="0.25">
      <c r="AK3378" s="21">
        <f>_xll.qlCalendarAdvance(calendar,AK3377,"1D")</f>
        <v>47360</v>
      </c>
      <c r="AL3378" s="21">
        <f>_xll.qlInterestRateIndexValueDate(hiborindex,AK3378)</f>
        <v>47364</v>
      </c>
      <c r="AM3378" s="23">
        <f>_xll.qlIndexFixing(hiborindex,AK3378)</f>
        <v>1.326491963530089E-2</v>
      </c>
    </row>
    <row r="3379" spans="37:39" x14ac:dyDescent="0.25">
      <c r="AK3379" s="21">
        <f>_xll.qlCalendarAdvance(calendar,AK3378,"1D")</f>
        <v>47361</v>
      </c>
      <c r="AL3379" s="21">
        <f>_xll.qlInterestRateIndexValueDate(hiborindex,AK3379)</f>
        <v>47365</v>
      </c>
      <c r="AM3379" s="23">
        <f>_xll.qlIndexFixing(hiborindex,AK3379)</f>
        <v>1.3266122588720565E-2</v>
      </c>
    </row>
    <row r="3380" spans="37:39" x14ac:dyDescent="0.25">
      <c r="AK3380" s="21">
        <f>_xll.qlCalendarAdvance(calendar,AK3379,"1D")</f>
        <v>47364</v>
      </c>
      <c r="AL3380" s="21">
        <f>_xll.qlInterestRateIndexValueDate(hiborindex,AK3380)</f>
        <v>47366</v>
      </c>
      <c r="AM3380" s="23">
        <f>_xll.qlIndexFixing(hiborindex,AK3380)</f>
        <v>1.3269016176257658E-2</v>
      </c>
    </row>
    <row r="3381" spans="37:39" x14ac:dyDescent="0.25">
      <c r="AK3381" s="21">
        <f>_xll.qlCalendarAdvance(calendar,AK3380,"1D")</f>
        <v>47365</v>
      </c>
      <c r="AL3381" s="21">
        <f>_xll.qlInterestRateIndexValueDate(hiborindex,AK3381)</f>
        <v>47367</v>
      </c>
      <c r="AM3381" s="23">
        <f>_xll.qlIndexFixing(hiborindex,AK3381)</f>
        <v>1.3271909767976157E-2</v>
      </c>
    </row>
    <row r="3382" spans="37:39" x14ac:dyDescent="0.25">
      <c r="AK3382" s="21">
        <f>_xll.qlCalendarAdvance(calendar,AK3381,"1D")</f>
        <v>47366</v>
      </c>
      <c r="AL3382" s="21">
        <f>_xll.qlInterestRateIndexValueDate(hiborindex,AK3382)</f>
        <v>47368</v>
      </c>
      <c r="AM3382" s="23">
        <f>_xll.qlIndexFixing(hiborindex,AK3382)</f>
        <v>1.3274803363876946E-2</v>
      </c>
    </row>
    <row r="3383" spans="37:39" x14ac:dyDescent="0.25">
      <c r="AK3383" s="21">
        <f>_xll.qlCalendarAdvance(calendar,AK3382,"1D")</f>
        <v>47367</v>
      </c>
      <c r="AL3383" s="21">
        <f>_xll.qlInterestRateIndexValueDate(hiborindex,AK3383)</f>
        <v>47371</v>
      </c>
      <c r="AM3383" s="23">
        <f>_xll.qlIndexFixing(hiborindex,AK3383)</f>
        <v>1.3285175565672597E-2</v>
      </c>
    </row>
    <row r="3384" spans="37:39" x14ac:dyDescent="0.25">
      <c r="AK3384" s="21">
        <f>_xll.qlCalendarAdvance(calendar,AK3383,"1D")</f>
        <v>47368</v>
      </c>
      <c r="AL3384" s="21">
        <f>_xll.qlInterestRateIndexValueDate(hiborindex,AK3384)</f>
        <v>47372</v>
      </c>
      <c r="AM3384" s="23">
        <f>_xll.qlIndexFixing(hiborindex,AK3384)</f>
        <v>1.3286377789297258E-2</v>
      </c>
    </row>
    <row r="3385" spans="37:39" x14ac:dyDescent="0.25">
      <c r="AK3385" s="21">
        <f>_xll.qlCalendarAdvance(calendar,AK3384,"1D")</f>
        <v>47371</v>
      </c>
      <c r="AL3385" s="21">
        <f>_xll.qlInterestRateIndexValueDate(hiborindex,AK3385)</f>
        <v>47373</v>
      </c>
      <c r="AM3385" s="23">
        <f>_xll.qlIndexFixing(hiborindex,AK3385)</f>
        <v>1.3289271406107287E-2</v>
      </c>
    </row>
    <row r="3386" spans="37:39" x14ac:dyDescent="0.25">
      <c r="AK3386" s="21">
        <f>_xll.qlCalendarAdvance(calendar,AK3385,"1D")</f>
        <v>47372</v>
      </c>
      <c r="AL3386" s="21">
        <f>_xll.qlInterestRateIndexValueDate(hiborindex,AK3386)</f>
        <v>47374</v>
      </c>
      <c r="AM3386" s="23">
        <f>_xll.qlIndexFixing(hiborindex,AK3386)</f>
        <v>1.3292165027098282E-2</v>
      </c>
    </row>
    <row r="3387" spans="37:39" x14ac:dyDescent="0.25">
      <c r="AK3387" s="21">
        <f>_xll.qlCalendarAdvance(calendar,AK3386,"1D")</f>
        <v>47373</v>
      </c>
      <c r="AL3387" s="21">
        <f>_xll.qlInterestRateIndexValueDate(hiborindex,AK3387)</f>
        <v>47375</v>
      </c>
      <c r="AM3387" s="23">
        <f>_xll.qlIndexFixing(hiborindex,AK3387)</f>
        <v>1.3295058652272009E-2</v>
      </c>
    </row>
    <row r="3388" spans="37:39" x14ac:dyDescent="0.25">
      <c r="AK3388" s="21">
        <f>_xll.qlCalendarAdvance(calendar,AK3387,"1D")</f>
        <v>47374</v>
      </c>
      <c r="AL3388" s="21">
        <f>_xll.qlInterestRateIndexValueDate(hiborindex,AK3388)</f>
        <v>47378</v>
      </c>
      <c r="AM3388" s="23">
        <f>_xll.qlIndexFixing(hiborindex,AK3388)</f>
        <v>1.3305431702093109E-2</v>
      </c>
    </row>
    <row r="3389" spans="37:39" x14ac:dyDescent="0.25">
      <c r="AK3389" s="21">
        <f>_xll.qlCalendarAdvance(calendar,AK3388,"1D")</f>
        <v>47375</v>
      </c>
      <c r="AL3389" s="21">
        <f>_xll.qlInterestRateIndexValueDate(hiborindex,AK3389)</f>
        <v>47379</v>
      </c>
      <c r="AM3389" s="23">
        <f>_xll.qlIndexFixing(hiborindex,AK3389)</f>
        <v>1.330663319478363E-2</v>
      </c>
    </row>
    <row r="3390" spans="37:39" x14ac:dyDescent="0.25">
      <c r="AK3390" s="21">
        <f>_xll.qlCalendarAdvance(calendar,AK3389,"1D")</f>
        <v>47378</v>
      </c>
      <c r="AL3390" s="21">
        <f>_xll.qlInterestRateIndexValueDate(hiborindex,AK3390)</f>
        <v>47380</v>
      </c>
      <c r="AM3390" s="23">
        <f>_xll.qlIndexFixing(hiborindex,AK3390)</f>
        <v>1.3309526840866597E-2</v>
      </c>
    </row>
    <row r="3391" spans="37:39" x14ac:dyDescent="0.25">
      <c r="AK3391" s="21">
        <f>_xll.qlCalendarAdvance(calendar,AK3390,"1D")</f>
        <v>47379</v>
      </c>
      <c r="AL3391" s="21">
        <f>_xll.qlInterestRateIndexValueDate(hiborindex,AK3391)</f>
        <v>47381</v>
      </c>
      <c r="AM3391" s="23">
        <f>_xll.qlIndexFixing(hiborindex,AK3391)</f>
        <v>1.3312420491130971E-2</v>
      </c>
    </row>
    <row r="3392" spans="37:39" x14ac:dyDescent="0.25">
      <c r="AK3392" s="21">
        <f>_xll.qlCalendarAdvance(calendar,AK3391,"1D")</f>
        <v>47380</v>
      </c>
      <c r="AL3392" s="21">
        <f>_xll.qlInterestRateIndexValueDate(hiborindex,AK3392)</f>
        <v>47382</v>
      </c>
      <c r="AM3392" s="23">
        <f>_xll.qlIndexFixing(hiborindex,AK3392)</f>
        <v>1.3315314145577193E-2</v>
      </c>
    </row>
    <row r="3393" spans="37:39" x14ac:dyDescent="0.25">
      <c r="AK3393" s="21">
        <f>_xll.qlCalendarAdvance(calendar,AK3392,"1D")</f>
        <v>47381</v>
      </c>
      <c r="AL3393" s="21">
        <f>_xll.qlInterestRateIndexValueDate(hiborindex,AK3393)</f>
        <v>47385</v>
      </c>
      <c r="AM3393" s="23">
        <f>_xll.qlIndexFixing(hiborindex,AK3393)</f>
        <v>1.3325688044565501E-2</v>
      </c>
    </row>
    <row r="3394" spans="37:39" x14ac:dyDescent="0.25">
      <c r="AK3394" s="21">
        <f>_xll.qlCalendarAdvance(calendar,AK3393,"1D")</f>
        <v>47382</v>
      </c>
      <c r="AL3394" s="21">
        <f>_xll.qlInterestRateIndexValueDate(hiborindex,AK3394)</f>
        <v>47386</v>
      </c>
      <c r="AM3394" s="23">
        <f>_xll.qlIndexFixing(hiborindex,AK3394)</f>
        <v>1.332688880518189E-2</v>
      </c>
    </row>
    <row r="3395" spans="37:39" x14ac:dyDescent="0.25">
      <c r="AK3395" s="21">
        <f>_xll.qlCalendarAdvance(calendar,AK3394,"1D")</f>
        <v>47385</v>
      </c>
      <c r="AL3395" s="21">
        <f>_xll.qlInterestRateIndexValueDate(hiborindex,AK3395)</f>
        <v>47387</v>
      </c>
      <c r="AM3395" s="23">
        <f>_xll.qlIndexFixing(hiborindex,AK3395)</f>
        <v>1.3329782480537795E-2</v>
      </c>
    </row>
    <row r="3396" spans="37:39" x14ac:dyDescent="0.25">
      <c r="AK3396" s="21">
        <f>_xll.qlCalendarAdvance(calendar,AK3395,"1D")</f>
        <v>47386</v>
      </c>
      <c r="AL3396" s="21">
        <f>_xll.qlInterestRateIndexValueDate(hiborindex,AK3396)</f>
        <v>47388</v>
      </c>
      <c r="AM3396" s="23">
        <f>_xll.qlIndexFixing(hiborindex,AK3396)</f>
        <v>1.3332676160075108E-2</v>
      </c>
    </row>
    <row r="3397" spans="37:39" x14ac:dyDescent="0.25">
      <c r="AK3397" s="21">
        <f>_xll.qlCalendarAdvance(calendar,AK3396,"1D")</f>
        <v>47387</v>
      </c>
      <c r="AL3397" s="21">
        <f>_xll.qlInterestRateIndexValueDate(hiborindex,AK3397)</f>
        <v>47389</v>
      </c>
      <c r="AM3397" s="23">
        <f>_xll.qlIndexFixing(hiborindex,AK3397)</f>
        <v>1.3337263189919802E-2</v>
      </c>
    </row>
    <row r="3398" spans="37:39" x14ac:dyDescent="0.25">
      <c r="AK3398" s="21">
        <f>_xll.qlCalendarAdvance(calendar,AK3397,"1D")</f>
        <v>47388</v>
      </c>
      <c r="AL3398" s="21">
        <f>_xll.qlInterestRateIndexValueDate(hiborindex,AK3398)</f>
        <v>47392</v>
      </c>
      <c r="AM3398" s="23">
        <f>_xll.qlIndexFixing(hiborindex,AK3398)</f>
        <v>1.3345944593090209E-2</v>
      </c>
    </row>
    <row r="3399" spans="37:39" x14ac:dyDescent="0.25">
      <c r="AK3399" s="21">
        <f>_xll.qlCalendarAdvance(calendar,AK3398,"1D")</f>
        <v>47389</v>
      </c>
      <c r="AL3399" s="21">
        <f>_xll.qlInterestRateIndexValueDate(hiborindex,AK3399)</f>
        <v>47393</v>
      </c>
      <c r="AM3399" s="23">
        <f>_xll.qlIndexFixing(hiborindex,AK3399)</f>
        <v>1.3348838402557427E-2</v>
      </c>
    </row>
    <row r="3400" spans="37:39" x14ac:dyDescent="0.25">
      <c r="AK3400" s="21">
        <f>_xll.qlCalendarAdvance(calendar,AK3399,"1D")</f>
        <v>47392</v>
      </c>
      <c r="AL3400" s="21">
        <f>_xll.qlInterestRateIndexValueDate(hiborindex,AK3400)</f>
        <v>47394</v>
      </c>
      <c r="AM3400" s="23">
        <f>_xll.qlIndexFixing(hiborindex,AK3400)</f>
        <v>1.3351732216230072E-2</v>
      </c>
    </row>
    <row r="3401" spans="37:39" x14ac:dyDescent="0.25">
      <c r="AK3401" s="21">
        <f>_xll.qlCalendarAdvance(calendar,AK3400,"1D")</f>
        <v>47393</v>
      </c>
      <c r="AL3401" s="21">
        <f>_xll.qlInterestRateIndexValueDate(hiborindex,AK3401)</f>
        <v>47395</v>
      </c>
      <c r="AM3401" s="23">
        <f>_xll.qlIndexFixing(hiborindex,AK3401)</f>
        <v>1.3354626034107704E-2</v>
      </c>
    </row>
    <row r="3402" spans="37:39" x14ac:dyDescent="0.25">
      <c r="AK3402" s="21">
        <f>_xll.qlCalendarAdvance(calendar,AK3401,"1D")</f>
        <v>47394</v>
      </c>
      <c r="AL3402" s="21">
        <f>_xll.qlInterestRateIndexValueDate(hiborindex,AK3402)</f>
        <v>47396</v>
      </c>
      <c r="AM3402" s="23">
        <f>_xll.qlIndexFixing(hiborindex,AK3402)</f>
        <v>1.3357519856190325E-2</v>
      </c>
    </row>
    <row r="3403" spans="37:39" x14ac:dyDescent="0.25">
      <c r="AK3403" s="21">
        <f>_xll.qlCalendarAdvance(calendar,AK3402,"1D")</f>
        <v>47395</v>
      </c>
      <c r="AL3403" s="21">
        <f>_xll.qlInterestRateIndexValueDate(hiborindex,AK3403)</f>
        <v>47399</v>
      </c>
      <c r="AM3403" s="23">
        <f>_xll.qlIndexFixing(hiborindex,AK3403)</f>
        <v>1.3366201347670751E-2</v>
      </c>
    </row>
    <row r="3404" spans="37:39" x14ac:dyDescent="0.25">
      <c r="AK3404" s="21">
        <f>_xll.qlCalendarAdvance(calendar,AK3403,"1D")</f>
        <v>47396</v>
      </c>
      <c r="AL3404" s="21">
        <f>_xll.qlInterestRateIndexValueDate(hiborindex,AK3404)</f>
        <v>47400</v>
      </c>
      <c r="AM3404" s="23">
        <f>_xll.qlIndexFixing(hiborindex,AK3404)</f>
        <v>1.336909518657464E-2</v>
      </c>
    </row>
    <row r="3405" spans="37:39" x14ac:dyDescent="0.25">
      <c r="AK3405" s="21">
        <f>_xll.qlCalendarAdvance(calendar,AK3404,"1D")</f>
        <v>47399</v>
      </c>
      <c r="AL3405" s="21">
        <f>_xll.qlInterestRateIndexValueDate(hiborindex,AK3405)</f>
        <v>47401</v>
      </c>
      <c r="AM3405" s="23">
        <f>_xll.qlIndexFixing(hiborindex,AK3405)</f>
        <v>1.3371989029683519E-2</v>
      </c>
    </row>
    <row r="3406" spans="37:39" x14ac:dyDescent="0.25">
      <c r="AK3406" s="21">
        <f>_xll.qlCalendarAdvance(calendar,AK3405,"1D")</f>
        <v>47400</v>
      </c>
      <c r="AL3406" s="21">
        <f>_xll.qlInterestRateIndexValueDate(hiborindex,AK3406)</f>
        <v>47402</v>
      </c>
      <c r="AM3406" s="23">
        <f>_xll.qlIndexFixing(hiborindex,AK3406)</f>
        <v>1.3374882876998263E-2</v>
      </c>
    </row>
    <row r="3407" spans="37:39" x14ac:dyDescent="0.25">
      <c r="AK3407" s="21">
        <f>_xll.qlCalendarAdvance(calendar,AK3406,"1D")</f>
        <v>47401</v>
      </c>
      <c r="AL3407" s="21">
        <f>_xll.qlInterestRateIndexValueDate(hiborindex,AK3407)</f>
        <v>47403</v>
      </c>
      <c r="AM3407" s="23">
        <f>_xll.qlIndexFixing(hiborindex,AK3407)</f>
        <v>1.3377776728517997E-2</v>
      </c>
    </row>
    <row r="3408" spans="37:39" x14ac:dyDescent="0.25">
      <c r="AK3408" s="21">
        <f>_xll.qlCalendarAdvance(calendar,AK3407,"1D")</f>
        <v>47402</v>
      </c>
      <c r="AL3408" s="21">
        <f>_xll.qlInterestRateIndexValueDate(hiborindex,AK3408)</f>
        <v>47406</v>
      </c>
      <c r="AM3408" s="23">
        <f>_xll.qlIndexFixing(hiborindex,AK3408)</f>
        <v>1.338645830830844E-2</v>
      </c>
    </row>
    <row r="3409" spans="37:39" x14ac:dyDescent="0.25">
      <c r="AK3409" s="21">
        <f>_xll.qlCalendarAdvance(calendar,AK3408,"1D")</f>
        <v>47403</v>
      </c>
      <c r="AL3409" s="21">
        <f>_xll.qlInterestRateIndexValueDate(hiborindex,AK3409)</f>
        <v>47407</v>
      </c>
      <c r="AM3409" s="23">
        <f>_xll.qlIndexFixing(hiborindex,AK3409)</f>
        <v>1.3389352176649444E-2</v>
      </c>
    </row>
    <row r="3410" spans="37:39" x14ac:dyDescent="0.25">
      <c r="AK3410" s="21">
        <f>_xll.qlCalendarAdvance(calendar,AK3409,"1D")</f>
        <v>47406</v>
      </c>
      <c r="AL3410" s="21">
        <f>_xll.qlInterestRateIndexValueDate(hiborindex,AK3410)</f>
        <v>47408</v>
      </c>
      <c r="AM3410" s="23">
        <f>_xll.qlIndexFixing(hiborindex,AK3410)</f>
        <v>1.3392246049195434E-2</v>
      </c>
    </row>
    <row r="3411" spans="37:39" x14ac:dyDescent="0.25">
      <c r="AK3411" s="21">
        <f>_xll.qlCalendarAdvance(calendar,AK3410,"1D")</f>
        <v>47407</v>
      </c>
      <c r="AL3411" s="21">
        <f>_xll.qlInterestRateIndexValueDate(hiborindex,AK3411)</f>
        <v>47409</v>
      </c>
      <c r="AM3411" s="23">
        <f>_xll.qlIndexFixing(hiborindex,AK3411)</f>
        <v>1.3395139925946851E-2</v>
      </c>
    </row>
    <row r="3412" spans="37:39" x14ac:dyDescent="0.25">
      <c r="AK3412" s="21">
        <f>_xll.qlCalendarAdvance(calendar,AK3411,"1D")</f>
        <v>47408</v>
      </c>
      <c r="AL3412" s="21">
        <f>_xll.qlInterestRateIndexValueDate(hiborindex,AK3412)</f>
        <v>47410</v>
      </c>
      <c r="AM3412" s="23">
        <f>_xll.qlIndexFixing(hiborindex,AK3412)</f>
        <v>1.3404817508414667E-2</v>
      </c>
    </row>
    <row r="3413" spans="37:39" x14ac:dyDescent="0.25">
      <c r="AK3413" s="21">
        <f>_xll.qlCalendarAdvance(calendar,AK3412,"1D")</f>
        <v>47409</v>
      </c>
      <c r="AL3413" s="21">
        <f>_xll.qlInterestRateIndexValueDate(hiborindex,AK3413)</f>
        <v>47413</v>
      </c>
      <c r="AM3413" s="23">
        <f>_xll.qlIndexFixing(hiborindex,AK3413)</f>
        <v>1.3408411556975749E-2</v>
      </c>
    </row>
    <row r="3414" spans="37:39" x14ac:dyDescent="0.25">
      <c r="AK3414" s="21">
        <f>_xll.qlCalendarAdvance(calendar,AK3413,"1D")</f>
        <v>47410</v>
      </c>
      <c r="AL3414" s="21">
        <f>_xll.qlInterestRateIndexValueDate(hiborindex,AK3414)</f>
        <v>47414</v>
      </c>
      <c r="AM3414" s="23">
        <f>_xll.qlIndexFixing(hiborindex,AK3414)</f>
        <v>1.3409609372783592E-2</v>
      </c>
    </row>
    <row r="3415" spans="37:39" x14ac:dyDescent="0.25">
      <c r="AK3415" s="21">
        <f>_xll.qlCalendarAdvance(calendar,AK3414,"1D")</f>
        <v>47413</v>
      </c>
      <c r="AL3415" s="21">
        <f>_xll.qlInterestRateIndexValueDate(hiborindex,AK3415)</f>
        <v>47415</v>
      </c>
      <c r="AM3415" s="23">
        <f>_xll.qlIndexFixing(hiborindex,AK3415)</f>
        <v>1.3412503274767132E-2</v>
      </c>
    </row>
    <row r="3416" spans="37:39" x14ac:dyDescent="0.25">
      <c r="AK3416" s="21">
        <f>_xll.qlCalendarAdvance(calendar,AK3415,"1D")</f>
        <v>47414</v>
      </c>
      <c r="AL3416" s="21">
        <f>_xll.qlInterestRateIndexValueDate(hiborindex,AK3416)</f>
        <v>47416</v>
      </c>
      <c r="AM3416" s="23">
        <f>_xll.qlIndexFixing(hiborindex,AK3416)</f>
        <v>1.3415397180956102E-2</v>
      </c>
    </row>
    <row r="3417" spans="37:39" x14ac:dyDescent="0.25">
      <c r="AK3417" s="21">
        <f>_xll.qlCalendarAdvance(calendar,AK3416,"1D")</f>
        <v>47415</v>
      </c>
      <c r="AL3417" s="21">
        <f>_xll.qlInterestRateIndexValueDate(hiborindex,AK3417)</f>
        <v>47417</v>
      </c>
      <c r="AM3417" s="23">
        <f>_xll.qlIndexFixing(hiborindex,AK3417)</f>
        <v>1.3418291091350058E-2</v>
      </c>
    </row>
    <row r="3418" spans="37:39" x14ac:dyDescent="0.25">
      <c r="AK3418" s="21">
        <f>_xll.qlCalendarAdvance(calendar,AK3417,"1D")</f>
        <v>47416</v>
      </c>
      <c r="AL3418" s="21">
        <f>_xll.qlInterestRateIndexValueDate(hiborindex,AK3418)</f>
        <v>47420</v>
      </c>
      <c r="AM3418" s="23">
        <f>_xll.qlIndexFixing(hiborindex,AK3418)</f>
        <v>1.3426972847764932E-2</v>
      </c>
    </row>
    <row r="3419" spans="37:39" x14ac:dyDescent="0.25">
      <c r="AK3419" s="21">
        <f>_xll.qlCalendarAdvance(calendar,AK3418,"1D")</f>
        <v>47417</v>
      </c>
      <c r="AL3419" s="21">
        <f>_xll.qlInterestRateIndexValueDate(hiborindex,AK3419)</f>
        <v>47421</v>
      </c>
      <c r="AM3419" s="23">
        <f>_xll.qlIndexFixing(hiborindex,AK3419)</f>
        <v>1.3429866774980159E-2</v>
      </c>
    </row>
    <row r="3420" spans="37:39" x14ac:dyDescent="0.25">
      <c r="AK3420" s="21">
        <f>_xll.qlCalendarAdvance(calendar,AK3419,"1D")</f>
        <v>47420</v>
      </c>
      <c r="AL3420" s="21">
        <f>_xll.qlInterestRateIndexValueDate(hiborindex,AK3420)</f>
        <v>47422</v>
      </c>
      <c r="AM3420" s="23">
        <f>_xll.qlIndexFixing(hiborindex,AK3420)</f>
        <v>1.3431063752644102E-2</v>
      </c>
    </row>
    <row r="3421" spans="37:39" x14ac:dyDescent="0.25">
      <c r="AK3421" s="21">
        <f>_xll.qlCalendarAdvance(calendar,AK3420,"1D")</f>
        <v>47421</v>
      </c>
      <c r="AL3421" s="21">
        <f>_xll.qlInterestRateIndexValueDate(hiborindex,AK3421)</f>
        <v>47423</v>
      </c>
      <c r="AM3421" s="23">
        <f>_xll.qlIndexFixing(hiborindex,AK3421)</f>
        <v>1.3435654642027771E-2</v>
      </c>
    </row>
    <row r="3422" spans="37:39" x14ac:dyDescent="0.25">
      <c r="AK3422" s="21">
        <f>_xll.qlCalendarAdvance(calendar,AK3421,"1D")</f>
        <v>47422</v>
      </c>
      <c r="AL3422" s="21">
        <f>_xll.qlInterestRateIndexValueDate(hiborindex,AK3422)</f>
        <v>47424</v>
      </c>
      <c r="AM3422" s="23">
        <f>_xll.qlIndexFixing(hiborindex,AK3422)</f>
        <v>1.3436851408644082E-2</v>
      </c>
    </row>
    <row r="3423" spans="37:39" x14ac:dyDescent="0.25">
      <c r="AK3423" s="21">
        <f>_xll.qlCalendarAdvance(calendar,AK3422,"1D")</f>
        <v>47423</v>
      </c>
      <c r="AL3423" s="21">
        <f>_xll.qlInterestRateIndexValueDate(hiborindex,AK3423)</f>
        <v>47427</v>
      </c>
      <c r="AM3423" s="23">
        <f>_xll.qlIndexFixing(hiborindex,AK3423)</f>
        <v>1.3447230426587246E-2</v>
      </c>
    </row>
    <row r="3424" spans="37:39" x14ac:dyDescent="0.25">
      <c r="AK3424" s="21">
        <f>_xll.qlCalendarAdvance(calendar,AK3423,"1D")</f>
        <v>47424</v>
      </c>
      <c r="AL3424" s="21">
        <f>_xll.qlInterestRateIndexValueDate(hiborindex,AK3424)</f>
        <v>47428</v>
      </c>
      <c r="AM3424" s="23">
        <f>_xll.qlIndexFixing(hiborindex,AK3424)</f>
        <v>1.3448426770828872E-2</v>
      </c>
    </row>
    <row r="3425" spans="37:39" x14ac:dyDescent="0.25">
      <c r="AK3425" s="21">
        <f>_xll.qlCalendarAdvance(calendar,AK3424,"1D")</f>
        <v>47427</v>
      </c>
      <c r="AL3425" s="21">
        <f>_xll.qlInterestRateIndexValueDate(hiborindex,AK3425)</f>
        <v>47429</v>
      </c>
      <c r="AM3425" s="23">
        <f>_xll.qlIndexFixing(hiborindex,AK3425)</f>
        <v>1.3451320621830352E-2</v>
      </c>
    </row>
    <row r="3426" spans="37:39" x14ac:dyDescent="0.25">
      <c r="AK3426" s="21">
        <f>_xll.qlCalendarAdvance(calendar,AK3425,"1D")</f>
        <v>47428</v>
      </c>
      <c r="AL3426" s="21">
        <f>_xll.qlInterestRateIndexValueDate(hiborindex,AK3426)</f>
        <v>47430</v>
      </c>
      <c r="AM3426" s="23">
        <f>_xll.qlIndexFixing(hiborindex,AK3426)</f>
        <v>1.3454214477014123E-2</v>
      </c>
    </row>
    <row r="3427" spans="37:39" x14ac:dyDescent="0.25">
      <c r="AK3427" s="21">
        <f>_xll.qlCalendarAdvance(calendar,AK3426,"1D")</f>
        <v>47429</v>
      </c>
      <c r="AL3427" s="21">
        <f>_xll.qlInterestRateIndexValueDate(hiborindex,AK3427)</f>
        <v>47431</v>
      </c>
      <c r="AM3427" s="23">
        <f>_xll.qlIndexFixing(hiborindex,AK3427)</f>
        <v>1.3457108336379742E-2</v>
      </c>
    </row>
    <row r="3428" spans="37:39" x14ac:dyDescent="0.25">
      <c r="AK3428" s="21">
        <f>_xll.qlCalendarAdvance(calendar,AK3427,"1D")</f>
        <v>47430</v>
      </c>
      <c r="AL3428" s="21">
        <f>_xll.qlInterestRateIndexValueDate(hiborindex,AK3428)</f>
        <v>47434</v>
      </c>
      <c r="AM3428" s="23">
        <f>_xll.qlIndexFixing(hiborindex,AK3428)</f>
        <v>1.3467488211475495E-2</v>
      </c>
    </row>
    <row r="3429" spans="37:39" x14ac:dyDescent="0.25">
      <c r="AK3429" s="21">
        <f>_xll.qlCalendarAdvance(calendar,AK3428,"1D")</f>
        <v>47431</v>
      </c>
      <c r="AL3429" s="21">
        <f>_xll.qlInterestRateIndexValueDate(hiborindex,AK3429)</f>
        <v>47435</v>
      </c>
      <c r="AM3429" s="23">
        <f>_xll.qlIndexFixing(hiborindex,AK3429)</f>
        <v>1.3468683815665556E-2</v>
      </c>
    </row>
    <row r="3430" spans="37:39" x14ac:dyDescent="0.25">
      <c r="AK3430" s="21">
        <f>_xll.qlCalendarAdvance(calendar,AK3429,"1D")</f>
        <v>47434</v>
      </c>
      <c r="AL3430" s="21">
        <f>_xll.qlInterestRateIndexValueDate(hiborindex,AK3430)</f>
        <v>47436</v>
      </c>
      <c r="AM3430" s="23">
        <f>_xll.qlIndexFixing(hiborindex,AK3430)</f>
        <v>1.3471577695942625E-2</v>
      </c>
    </row>
    <row r="3431" spans="37:39" x14ac:dyDescent="0.25">
      <c r="AK3431" s="21">
        <f>_xll.qlCalendarAdvance(calendar,AK3430,"1D")</f>
        <v>47435</v>
      </c>
      <c r="AL3431" s="21">
        <f>_xll.qlInterestRateIndexValueDate(hiborindex,AK3431)</f>
        <v>47437</v>
      </c>
      <c r="AM3431" s="23">
        <f>_xll.qlIndexFixing(hiborindex,AK3431)</f>
        <v>1.3474471580401541E-2</v>
      </c>
    </row>
    <row r="3432" spans="37:39" x14ac:dyDescent="0.25">
      <c r="AK3432" s="21">
        <f>_xll.qlCalendarAdvance(calendar,AK3431,"1D")</f>
        <v>47436</v>
      </c>
      <c r="AL3432" s="21">
        <f>_xll.qlInterestRateIndexValueDate(hiborindex,AK3432)</f>
        <v>47438</v>
      </c>
      <c r="AM3432" s="23">
        <f>_xll.qlIndexFixing(hiborindex,AK3432)</f>
        <v>1.3477365469042747E-2</v>
      </c>
    </row>
    <row r="3433" spans="37:39" x14ac:dyDescent="0.25">
      <c r="AK3433" s="21">
        <f>_xll.qlCalendarAdvance(calendar,AK3432,"1D")</f>
        <v>47437</v>
      </c>
      <c r="AL3433" s="21">
        <f>_xll.qlInterestRateIndexValueDate(hiborindex,AK3433)</f>
        <v>47441</v>
      </c>
      <c r="AM3433" s="23">
        <f>_xll.qlIndexFixing(hiborindex,AK3433)</f>
        <v>1.3487746202431872E-2</v>
      </c>
    </row>
    <row r="3434" spans="37:39" x14ac:dyDescent="0.25">
      <c r="AK3434" s="21">
        <f>_xll.qlCalendarAdvance(calendar,AK3433,"1D")</f>
        <v>47438</v>
      </c>
      <c r="AL3434" s="21">
        <f>_xll.qlInterestRateIndexValueDate(hiborindex,AK3434)</f>
        <v>47442</v>
      </c>
      <c r="AM3434" s="23">
        <f>_xll.qlIndexFixing(hiborindex,AK3434)</f>
        <v>1.3488941065430471E-2</v>
      </c>
    </row>
    <row r="3435" spans="37:39" x14ac:dyDescent="0.25">
      <c r="AK3435" s="21">
        <f>_xll.qlCalendarAdvance(calendar,AK3434,"1D")</f>
        <v>47441</v>
      </c>
      <c r="AL3435" s="21">
        <f>_xll.qlInterestRateIndexValueDate(hiborindex,AK3435)</f>
        <v>47443</v>
      </c>
      <c r="AM3435" s="23">
        <f>_xll.qlIndexFixing(hiborindex,AK3435)</f>
        <v>1.3491834974983127E-2</v>
      </c>
    </row>
    <row r="3436" spans="37:39" x14ac:dyDescent="0.25">
      <c r="AK3436" s="21">
        <f>_xll.qlCalendarAdvance(calendar,AK3435,"1D")</f>
        <v>47442</v>
      </c>
      <c r="AL3436" s="21">
        <f>_xll.qlInterestRateIndexValueDate(hiborindex,AK3436)</f>
        <v>47444</v>
      </c>
      <c r="AM3436" s="23">
        <f>_xll.qlIndexFixing(hiborindex,AK3436)</f>
        <v>1.3494728888718072E-2</v>
      </c>
    </row>
    <row r="3437" spans="37:39" x14ac:dyDescent="0.25">
      <c r="AK3437" s="21">
        <f>_xll.qlCalendarAdvance(calendar,AK3436,"1D")</f>
        <v>47443</v>
      </c>
      <c r="AL3437" s="21">
        <f>_xll.qlInterestRateIndexValueDate(hiborindex,AK3437)</f>
        <v>47445</v>
      </c>
      <c r="AM3437" s="23">
        <f>_xll.qlIndexFixing(hiborindex,AK3437)</f>
        <v>1.3497622806634866E-2</v>
      </c>
    </row>
    <row r="3438" spans="37:39" x14ac:dyDescent="0.25">
      <c r="AK3438" s="21">
        <f>_xll.qlCalendarAdvance(calendar,AK3437,"1D")</f>
        <v>47444</v>
      </c>
      <c r="AL3438" s="21">
        <f>_xll.qlInterestRateIndexValueDate(hiborindex,AK3438)</f>
        <v>47448</v>
      </c>
      <c r="AM3438" s="23">
        <f>_xll.qlIndexFixing(hiborindex,AK3438)</f>
        <v>1.3508004399458137E-2</v>
      </c>
    </row>
    <row r="3439" spans="37:39" x14ac:dyDescent="0.25">
      <c r="AK3439" s="21">
        <f>_xll.qlCalendarAdvance(calendar,AK3438,"1D")</f>
        <v>47445</v>
      </c>
      <c r="AL3439" s="21">
        <f>_xll.qlInterestRateIndexValueDate(hiborindex,AK3439)</f>
        <v>47449</v>
      </c>
      <c r="AM3439" s="23">
        <f>_xll.qlIndexFixing(hiborindex,AK3439)</f>
        <v>1.3509198520125823E-2</v>
      </c>
    </row>
    <row r="3440" spans="37:39" x14ac:dyDescent="0.25">
      <c r="AK3440" s="21">
        <f>_xll.qlCalendarAdvance(calendar,AK3439,"1D")</f>
        <v>47448</v>
      </c>
      <c r="AL3440" s="21">
        <f>_xll.qlInterestRateIndexValueDate(hiborindex,AK3440)</f>
        <v>47450</v>
      </c>
      <c r="AM3440" s="23">
        <f>_xll.qlIndexFixing(hiborindex,AK3440)</f>
        <v>1.3512092458954506E-2</v>
      </c>
    </row>
    <row r="3441" spans="37:39" x14ac:dyDescent="0.25">
      <c r="AK3441" s="21">
        <f>_xll.qlCalendarAdvance(calendar,AK3440,"1D")</f>
        <v>47449</v>
      </c>
      <c r="AL3441" s="21">
        <f>_xll.qlInterestRateIndexValueDate(hiborindex,AK3441)</f>
        <v>47451</v>
      </c>
      <c r="AM3441" s="23">
        <f>_xll.qlIndexFixing(hiborindex,AK3441)</f>
        <v>1.3514986401965039E-2</v>
      </c>
    </row>
    <row r="3442" spans="37:39" x14ac:dyDescent="0.25">
      <c r="AK3442" s="21">
        <f>_xll.qlCalendarAdvance(calendar,AK3441,"1D")</f>
        <v>47450</v>
      </c>
      <c r="AL3442" s="21">
        <f>_xll.qlInterestRateIndexValueDate(hiborindex,AK3442)</f>
        <v>47452</v>
      </c>
      <c r="AM3442" s="23">
        <f>_xll.qlIndexFixing(hiborindex,AK3442)</f>
        <v>1.3519580604566482E-2</v>
      </c>
    </row>
    <row r="3443" spans="37:39" x14ac:dyDescent="0.25">
      <c r="AK3443" s="21">
        <f>_xll.qlCalendarAdvance(calendar,AK3442,"1D")</f>
        <v>47451</v>
      </c>
      <c r="AL3443" s="21">
        <f>_xll.qlInterestRateIndexValueDate(hiborindex,AK3443)</f>
        <v>47455</v>
      </c>
      <c r="AM3443" s="23">
        <f>_xll.qlIndexFixing(hiborindex,AK3443)</f>
        <v>1.3528262802556482E-2</v>
      </c>
    </row>
    <row r="3444" spans="37:39" x14ac:dyDescent="0.25">
      <c r="AK3444" s="21">
        <f>_xll.qlCalendarAdvance(calendar,AK3443,"1D")</f>
        <v>47452</v>
      </c>
      <c r="AL3444" s="21">
        <f>_xll.qlInterestRateIndexValueDate(hiborindex,AK3444)</f>
        <v>47456</v>
      </c>
      <c r="AM3444" s="23">
        <f>_xll.qlIndexFixing(hiborindex,AK3444)</f>
        <v>1.3531156876964297E-2</v>
      </c>
    </row>
    <row r="3445" spans="37:39" x14ac:dyDescent="0.25">
      <c r="AK3445" s="21">
        <f>_xll.qlCalendarAdvance(calendar,AK3444,"1D")</f>
        <v>47455</v>
      </c>
      <c r="AL3445" s="21">
        <f>_xll.qlInterestRateIndexValueDate(hiborindex,AK3445)</f>
        <v>47457</v>
      </c>
      <c r="AM3445" s="23">
        <f>_xll.qlIndexFixing(hiborindex,AK3445)</f>
        <v>1.353405095557754E-2</v>
      </c>
    </row>
    <row r="3446" spans="37:39" x14ac:dyDescent="0.25">
      <c r="AK3446" s="21">
        <f>_xll.qlCalendarAdvance(calendar,AK3445,"1D")</f>
        <v>47456</v>
      </c>
      <c r="AL3446" s="21">
        <f>_xll.qlInterestRateIndexValueDate(hiborindex,AK3446)</f>
        <v>47458</v>
      </c>
      <c r="AM3446" s="23">
        <f>_xll.qlIndexFixing(hiborindex,AK3446)</f>
        <v>1.3536945038396647E-2</v>
      </c>
    </row>
    <row r="3447" spans="37:39" x14ac:dyDescent="0.25">
      <c r="AK3447" s="21">
        <f>_xll.qlCalendarAdvance(calendar,AK3446,"1D")</f>
        <v>47457</v>
      </c>
      <c r="AL3447" s="21">
        <f>_xll.qlInterestRateIndexValueDate(hiborindex,AK3447)</f>
        <v>47459</v>
      </c>
      <c r="AM3447" s="23">
        <f>_xll.qlIndexFixing(hiborindex,AK3447)</f>
        <v>1.3539839125421182E-2</v>
      </c>
    </row>
    <row r="3448" spans="37:39" x14ac:dyDescent="0.25">
      <c r="AK3448" s="21">
        <f>_xll.qlCalendarAdvance(calendar,AK3447,"1D")</f>
        <v>47458</v>
      </c>
      <c r="AL3448" s="21">
        <f>_xll.qlInterestRateIndexValueDate(hiborindex,AK3448)</f>
        <v>47462</v>
      </c>
      <c r="AM3448" s="23">
        <f>_xll.qlIndexFixing(hiborindex,AK3448)</f>
        <v>1.3548521411729108E-2</v>
      </c>
    </row>
    <row r="3449" spans="37:39" x14ac:dyDescent="0.25">
      <c r="AK3449" s="21">
        <f>_xll.qlCalendarAdvance(calendar,AK3448,"1D")</f>
        <v>47459</v>
      </c>
      <c r="AL3449" s="21">
        <f>_xll.qlInterestRateIndexValueDate(hiborindex,AK3449)</f>
        <v>47463</v>
      </c>
      <c r="AM3449" s="23">
        <f>_xll.qlIndexFixing(hiborindex,AK3449)</f>
        <v>1.355141551557623E-2</v>
      </c>
    </row>
    <row r="3450" spans="37:39" x14ac:dyDescent="0.25">
      <c r="AK3450" s="21">
        <f>_xll.qlCalendarAdvance(calendar,AK3449,"1D")</f>
        <v>47462</v>
      </c>
      <c r="AL3450" s="21">
        <f>_xll.qlInterestRateIndexValueDate(hiborindex,AK3450)</f>
        <v>47464</v>
      </c>
      <c r="AM3450" s="23">
        <f>_xll.qlIndexFixing(hiborindex,AK3450)</f>
        <v>1.3554309623628781E-2</v>
      </c>
    </row>
    <row r="3451" spans="37:39" x14ac:dyDescent="0.25">
      <c r="AK3451" s="21">
        <f>_xll.qlCalendarAdvance(calendar,AK3450,"1D")</f>
        <v>47463</v>
      </c>
      <c r="AL3451" s="21">
        <f>_xll.qlInterestRateIndexValueDate(hiborindex,AK3451)</f>
        <v>47465</v>
      </c>
      <c r="AM3451" s="23">
        <f>_xll.qlIndexFixing(hiborindex,AK3451)</f>
        <v>1.3557203735887197E-2</v>
      </c>
    </row>
    <row r="3452" spans="37:39" x14ac:dyDescent="0.25">
      <c r="AK3452" s="21">
        <f>_xll.qlCalendarAdvance(calendar,AK3451,"1D")</f>
        <v>47464</v>
      </c>
      <c r="AL3452" s="21">
        <f>_xll.qlInterestRateIndexValueDate(hiborindex,AK3452)</f>
        <v>47466</v>
      </c>
      <c r="AM3452" s="23">
        <f>_xll.qlIndexFixing(hiborindex,AK3452)</f>
        <v>1.3560097852351479E-2</v>
      </c>
    </row>
    <row r="3453" spans="37:39" x14ac:dyDescent="0.25">
      <c r="AK3453" s="21">
        <f>_xll.qlCalendarAdvance(calendar,AK3452,"1D")</f>
        <v>47465</v>
      </c>
      <c r="AL3453" s="21">
        <f>_xll.qlInterestRateIndexValueDate(hiborindex,AK3453)</f>
        <v>47469</v>
      </c>
      <c r="AM3453" s="23">
        <f>_xll.qlIndexFixing(hiborindex,AK3453)</f>
        <v>1.356878022697733E-2</v>
      </c>
    </row>
    <row r="3454" spans="37:39" x14ac:dyDescent="0.25">
      <c r="AK3454" s="21">
        <f>_xll.qlCalendarAdvance(calendar,AK3453,"1D")</f>
        <v>47466</v>
      </c>
      <c r="AL3454" s="21">
        <f>_xll.qlInterestRateIndexValueDate(hiborindex,AK3454)</f>
        <v>47470</v>
      </c>
      <c r="AM3454" s="23">
        <f>_xll.qlIndexFixing(hiborindex,AK3454)</f>
        <v>1.3571674360264199E-2</v>
      </c>
    </row>
    <row r="3455" spans="37:39" x14ac:dyDescent="0.25">
      <c r="AK3455" s="21">
        <f>_xll.qlCalendarAdvance(calendar,AK3454,"1D")</f>
        <v>47469</v>
      </c>
      <c r="AL3455" s="21">
        <f>_xll.qlInterestRateIndexValueDate(hiborindex,AK3455)</f>
        <v>47471</v>
      </c>
      <c r="AM3455" s="23">
        <f>_xll.qlIndexFixing(hiborindex,AK3455)</f>
        <v>1.3574568497756496E-2</v>
      </c>
    </row>
    <row r="3456" spans="37:39" x14ac:dyDescent="0.25">
      <c r="AK3456" s="21">
        <f>_xll.qlCalendarAdvance(calendar,AK3455,"1D")</f>
        <v>47470</v>
      </c>
      <c r="AL3456" s="21">
        <f>_xll.qlInterestRateIndexValueDate(hiborindex,AK3456)</f>
        <v>47472</v>
      </c>
      <c r="AM3456" s="23">
        <f>_xll.qlIndexFixing(hiborindex,AK3456)</f>
        <v>1.3577462639455098E-2</v>
      </c>
    </row>
    <row r="3457" spans="37:39" x14ac:dyDescent="0.25">
      <c r="AK3457" s="21">
        <f>_xll.qlCalendarAdvance(calendar,AK3456,"1D")</f>
        <v>47471</v>
      </c>
      <c r="AL3457" s="21">
        <f>_xll.qlInterestRateIndexValueDate(hiborindex,AK3457)</f>
        <v>47473</v>
      </c>
      <c r="AM3457" s="23">
        <f>_xll.qlIndexFixing(hiborindex,AK3457)</f>
        <v>1.3580356785359128E-2</v>
      </c>
    </row>
    <row r="3458" spans="37:39" x14ac:dyDescent="0.25">
      <c r="AK3458" s="21">
        <f>_xll.qlCalendarAdvance(calendar,AK3457,"1D")</f>
        <v>47472</v>
      </c>
      <c r="AL3458" s="21">
        <f>_xll.qlInterestRateIndexValueDate(hiborindex,AK3458)</f>
        <v>47476</v>
      </c>
      <c r="AM3458" s="23">
        <f>_xll.qlIndexFixing(hiborindex,AK3458)</f>
        <v>1.358903924830466E-2</v>
      </c>
    </row>
    <row r="3459" spans="37:39" x14ac:dyDescent="0.25">
      <c r="AK3459" s="21">
        <f>_xll.qlCalendarAdvance(calendar,AK3458,"1D")</f>
        <v>47473</v>
      </c>
      <c r="AL3459" s="21">
        <f>_xll.qlInterestRateIndexValueDate(hiborindex,AK3459)</f>
        <v>47479</v>
      </c>
      <c r="AM3459" s="23">
        <f>_xll.qlIndexFixing(hiborindex,AK3459)</f>
        <v>1.3597721749102112E-2</v>
      </c>
    </row>
    <row r="3460" spans="37:39" x14ac:dyDescent="0.25">
      <c r="AK3460" s="21">
        <f>_xll.qlCalendarAdvance(calendar,AK3459,"1D")</f>
        <v>47476</v>
      </c>
      <c r="AL3460" s="21">
        <f>_xll.qlInterestRateIndexValueDate(hiborindex,AK3460)</f>
        <v>47480</v>
      </c>
      <c r="AM3460" s="23">
        <f>_xll.qlIndexFixing(hiborindex,AK3460)</f>
        <v>1.360061592444589E-2</v>
      </c>
    </row>
    <row r="3461" spans="37:39" x14ac:dyDescent="0.25">
      <c r="AK3461" s="21">
        <f>_xll.qlCalendarAdvance(calendar,AK3460,"1D")</f>
        <v>47479</v>
      </c>
      <c r="AL3461" s="21">
        <f>_xll.qlInterestRateIndexValueDate(hiborindex,AK3461)</f>
        <v>47483</v>
      </c>
      <c r="AM3461" s="23">
        <f>_xll.qlIndexFixing(hiborindex,AK3461)</f>
        <v>1.3604187757888625E-2</v>
      </c>
    </row>
    <row r="3462" spans="37:39" x14ac:dyDescent="0.25">
      <c r="AK3462" s="21">
        <f>_xll.qlCalendarAdvance(calendar,AK3461,"1D")</f>
        <v>47480</v>
      </c>
      <c r="AL3462" s="21">
        <f>_xll.qlInterestRateIndexValueDate(hiborindex,AK3462)</f>
        <v>47485</v>
      </c>
      <c r="AM3462" s="23">
        <f>_xll.qlIndexFixing(hiborindex,AK3462)</f>
        <v>1.358465151462044E-2</v>
      </c>
    </row>
    <row r="3463" spans="37:39" x14ac:dyDescent="0.25">
      <c r="AK3463" s="21">
        <f>_xll.qlCalendarAdvance(calendar,AK3462,"1D")</f>
        <v>47483</v>
      </c>
      <c r="AL3463" s="21">
        <f>_xll.qlInterestRateIndexValueDate(hiborindex,AK3463)</f>
        <v>47486</v>
      </c>
      <c r="AM3463" s="23">
        <f>_xll.qlIndexFixing(hiborindex,AK3463)</f>
        <v>1.3580355738408342E-2</v>
      </c>
    </row>
    <row r="3464" spans="37:39" x14ac:dyDescent="0.25">
      <c r="AK3464" s="21">
        <f>_xll.qlCalendarAdvance(calendar,AK3463,"1D")</f>
        <v>47485</v>
      </c>
      <c r="AL3464" s="21">
        <f>_xll.qlInterestRateIndexValueDate(hiborindex,AK3464)</f>
        <v>47487</v>
      </c>
      <c r="AM3464" s="23">
        <f>_xll.qlIndexFixing(hiborindex,AK3464)</f>
        <v>1.3576057163994354E-2</v>
      </c>
    </row>
    <row r="3465" spans="37:39" x14ac:dyDescent="0.25">
      <c r="AK3465" s="21">
        <f>_xll.qlCalendarAdvance(calendar,AK3464,"1D")</f>
        <v>47486</v>
      </c>
      <c r="AL3465" s="21">
        <f>_xll.qlInterestRateIndexValueDate(hiborindex,AK3465)</f>
        <v>47490</v>
      </c>
      <c r="AM3465" s="23">
        <f>_xll.qlIndexFixing(hiborindex,AK3465)</f>
        <v>1.3558037719745434E-2</v>
      </c>
    </row>
    <row r="3466" spans="37:39" x14ac:dyDescent="0.25">
      <c r="AK3466" s="21">
        <f>_xll.qlCalendarAdvance(calendar,AK3465,"1D")</f>
        <v>47487</v>
      </c>
      <c r="AL3466" s="21">
        <f>_xll.qlInterestRateIndexValueDate(hiborindex,AK3466)</f>
        <v>47491</v>
      </c>
      <c r="AM3466" s="23">
        <f>_xll.qlIndexFixing(hiborindex,AK3466)</f>
        <v>1.3558834884677216E-2</v>
      </c>
    </row>
    <row r="3467" spans="37:39" x14ac:dyDescent="0.25">
      <c r="AK3467" s="21">
        <f>_xll.qlCalendarAdvance(calendar,AK3466,"1D")</f>
        <v>47490</v>
      </c>
      <c r="AL3467" s="21">
        <f>_xll.qlInterestRateIndexValueDate(hiborindex,AK3467)</f>
        <v>47492</v>
      </c>
      <c r="AM3467" s="23">
        <f>_xll.qlIndexFixing(hiborindex,AK3467)</f>
        <v>1.355452231952361E-2</v>
      </c>
    </row>
    <row r="3468" spans="37:39" x14ac:dyDescent="0.25">
      <c r="AK3468" s="21">
        <f>_xll.qlCalendarAdvance(calendar,AK3467,"1D")</f>
        <v>47491</v>
      </c>
      <c r="AL3468" s="21">
        <f>_xll.qlInterestRateIndexValueDate(hiborindex,AK3468)</f>
        <v>47493</v>
      </c>
      <c r="AM3468" s="23">
        <f>_xll.qlIndexFixing(hiborindex,AK3468)</f>
        <v>1.3550206956275873E-2</v>
      </c>
    </row>
    <row r="3469" spans="37:39" x14ac:dyDescent="0.25">
      <c r="AK3469" s="21">
        <f>_xll.qlCalendarAdvance(calendar,AK3468,"1D")</f>
        <v>47492</v>
      </c>
      <c r="AL3469" s="21">
        <f>_xll.qlInterestRateIndexValueDate(hiborindex,AK3469)</f>
        <v>47494</v>
      </c>
      <c r="AM3469" s="23">
        <f>_xll.qlIndexFixing(hiborindex,AK3469)</f>
        <v>1.3545888794952995E-2</v>
      </c>
    </row>
    <row r="3470" spans="37:39" x14ac:dyDescent="0.25">
      <c r="AK3470" s="21">
        <f>_xll.qlCalendarAdvance(calendar,AK3469,"1D")</f>
        <v>47493</v>
      </c>
      <c r="AL3470" s="21">
        <f>_xll.qlInterestRateIndexValueDate(hiborindex,AK3470)</f>
        <v>47497</v>
      </c>
      <c r="AM3470" s="23">
        <f>_xll.qlIndexFixing(hiborindex,AK3470)</f>
        <v>1.3528067392317284E-2</v>
      </c>
    </row>
    <row r="3471" spans="37:39" x14ac:dyDescent="0.25">
      <c r="AK3471" s="21">
        <f>_xll.qlCalendarAdvance(calendar,AK3470,"1D")</f>
        <v>47494</v>
      </c>
      <c r="AL3471" s="21">
        <f>_xll.qlInterestRateIndexValueDate(hiborindex,AK3471)</f>
        <v>47498</v>
      </c>
      <c r="AM3471" s="23">
        <f>_xll.qlIndexFixing(hiborindex,AK3471)</f>
        <v>1.3528588169269556E-2</v>
      </c>
    </row>
    <row r="3472" spans="37:39" x14ac:dyDescent="0.25">
      <c r="AK3472" s="21">
        <f>_xll.qlCalendarAdvance(calendar,AK3471,"1D")</f>
        <v>47497</v>
      </c>
      <c r="AL3472" s="21">
        <f>_xll.qlInterestRateIndexValueDate(hiborindex,AK3472)</f>
        <v>47499</v>
      </c>
      <c r="AM3472" s="23">
        <f>_xll.qlIndexFixing(hiborindex,AK3472)</f>
        <v>1.3524256017841692E-2</v>
      </c>
    </row>
    <row r="3473" spans="37:39" x14ac:dyDescent="0.25">
      <c r="AK3473" s="21">
        <f>_xll.qlCalendarAdvance(calendar,AK3472,"1D")</f>
        <v>47498</v>
      </c>
      <c r="AL3473" s="21">
        <f>_xll.qlInterestRateIndexValueDate(hiborindex,AK3473)</f>
        <v>47500</v>
      </c>
      <c r="AM3473" s="23">
        <f>_xll.qlIndexFixing(hiborindex,AK3473)</f>
        <v>1.3519921068446886E-2</v>
      </c>
    </row>
    <row r="3474" spans="37:39" x14ac:dyDescent="0.25">
      <c r="AK3474" s="21">
        <f>_xll.qlCalendarAdvance(calendar,AK3473,"1D")</f>
        <v>47499</v>
      </c>
      <c r="AL3474" s="21">
        <f>_xll.qlInterestRateIndexValueDate(hiborindex,AK3474)</f>
        <v>47501</v>
      </c>
      <c r="AM3474" s="23">
        <f>_xll.qlIndexFixing(hiborindex,AK3474)</f>
        <v>1.3515583321104129E-2</v>
      </c>
    </row>
    <row r="3475" spans="37:39" x14ac:dyDescent="0.25">
      <c r="AK3475" s="21">
        <f>_xll.qlCalendarAdvance(calendar,AK3474,"1D")</f>
        <v>47500</v>
      </c>
      <c r="AL3475" s="21">
        <f>_xll.qlInterestRateIndexValueDate(hiborindex,AK3475)</f>
        <v>47504</v>
      </c>
      <c r="AM3475" s="23">
        <f>_xll.qlIndexFixing(hiborindex,AK3475)</f>
        <v>1.3497960708528208E-2</v>
      </c>
    </row>
    <row r="3476" spans="37:39" x14ac:dyDescent="0.25">
      <c r="AK3476" s="21">
        <f>_xll.qlCalendarAdvance(calendar,AK3475,"1D")</f>
        <v>47501</v>
      </c>
      <c r="AL3476" s="21">
        <f>_xll.qlInterestRateIndexValueDate(hiborindex,AK3476)</f>
        <v>47505</v>
      </c>
      <c r="AM3476" s="23">
        <f>_xll.qlIndexFixing(hiborindex,AK3476)</f>
        <v>1.3498204352615298E-2</v>
      </c>
    </row>
    <row r="3477" spans="37:39" x14ac:dyDescent="0.25">
      <c r="AK3477" s="21">
        <f>_xll.qlCalendarAdvance(calendar,AK3476,"1D")</f>
        <v>47504</v>
      </c>
      <c r="AL3477" s="21">
        <f>_xll.qlInterestRateIndexValueDate(hiborindex,AK3477)</f>
        <v>47506</v>
      </c>
      <c r="AM3477" s="23">
        <f>_xll.qlIndexFixing(hiborindex,AK3477)</f>
        <v>1.3493852615804837E-2</v>
      </c>
    </row>
    <row r="3478" spans="37:39" x14ac:dyDescent="0.25">
      <c r="AK3478" s="21">
        <f>_xll.qlCalendarAdvance(calendar,AK3477,"1D")</f>
        <v>47505</v>
      </c>
      <c r="AL3478" s="21">
        <f>_xll.qlInterestRateIndexValueDate(hiborindex,AK3478)</f>
        <v>47507</v>
      </c>
      <c r="AM3478" s="23">
        <f>_xll.qlIndexFixing(hiborindex,AK3478)</f>
        <v>1.3489498081155949E-2</v>
      </c>
    </row>
    <row r="3479" spans="37:39" x14ac:dyDescent="0.25">
      <c r="AK3479" s="21">
        <f>_xll.qlCalendarAdvance(calendar,AK3478,"1D")</f>
        <v>47506</v>
      </c>
      <c r="AL3479" s="21">
        <f>_xll.qlInterestRateIndexValueDate(hiborindex,AK3479)</f>
        <v>47508</v>
      </c>
      <c r="AM3479" s="23">
        <f>_xll.qlIndexFixing(hiborindex,AK3479)</f>
        <v>1.3485140748686302E-2</v>
      </c>
    </row>
    <row r="3480" spans="37:39" x14ac:dyDescent="0.25">
      <c r="AK3480" s="21">
        <f>_xll.qlCalendarAdvance(calendar,AK3479,"1D")</f>
        <v>47507</v>
      </c>
      <c r="AL3480" s="21">
        <f>_xll.qlInterestRateIndexValueDate(hiborindex,AK3480)</f>
        <v>47511</v>
      </c>
      <c r="AM3480" s="23">
        <f>_xll.qlIndexFixing(hiborindex,AK3480)</f>
        <v>1.3467717674576322E-2</v>
      </c>
    </row>
    <row r="3481" spans="37:39" x14ac:dyDescent="0.25">
      <c r="AK3481" s="21">
        <f>_xll.qlCalendarAdvance(calendar,AK3480,"1D")</f>
        <v>47508</v>
      </c>
      <c r="AL3481" s="21">
        <f>_xll.qlInterestRateIndexValueDate(hiborindex,AK3481)</f>
        <v>47512</v>
      </c>
      <c r="AM3481" s="23">
        <f>_xll.qlIndexFixing(hiborindex,AK3481)</f>
        <v>1.3467683440969769E-2</v>
      </c>
    </row>
    <row r="3482" spans="37:39" x14ac:dyDescent="0.25">
      <c r="AK3482" s="21">
        <f>_xll.qlCalendarAdvance(calendar,AK3481,"1D")</f>
        <v>47511</v>
      </c>
      <c r="AL3482" s="21">
        <f>_xll.qlInterestRateIndexValueDate(hiborindex,AK3482)</f>
        <v>47513</v>
      </c>
      <c r="AM3482" s="23">
        <f>_xll.qlIndexFixing(hiborindex,AK3482)</f>
        <v>1.3463312119672789E-2</v>
      </c>
    </row>
    <row r="3483" spans="37:39" x14ac:dyDescent="0.25">
      <c r="AK3483" s="21">
        <f>_xll.qlCalendarAdvance(calendar,AK3482,"1D")</f>
        <v>47512</v>
      </c>
      <c r="AL3483" s="21">
        <f>_xll.qlInterestRateIndexValueDate(hiborindex,AK3483)</f>
        <v>47514</v>
      </c>
      <c r="AM3483" s="23">
        <f>_xll.qlIndexFixing(hiborindex,AK3483)</f>
        <v>1.3458938000665015E-2</v>
      </c>
    </row>
    <row r="3484" spans="37:39" x14ac:dyDescent="0.25">
      <c r="AK3484" s="21">
        <f>_xll.qlCalendarAdvance(calendar,AK3483,"1D")</f>
        <v>47513</v>
      </c>
      <c r="AL3484" s="21">
        <f>_xll.qlInterestRateIndexValueDate(hiborindex,AK3484)</f>
        <v>47515</v>
      </c>
      <c r="AM3484" s="23">
        <f>_xll.qlIndexFixing(hiborindex,AK3484)</f>
        <v>1.3454561083965881E-2</v>
      </c>
    </row>
    <row r="3485" spans="37:39" x14ac:dyDescent="0.25">
      <c r="AK3485" s="21">
        <f>_xll.qlCalendarAdvance(calendar,AK3484,"1D")</f>
        <v>47514</v>
      </c>
      <c r="AL3485" s="21">
        <f>_xll.qlInterestRateIndexValueDate(hiborindex,AK3485)</f>
        <v>47518</v>
      </c>
      <c r="AM3485" s="23">
        <f>_xll.qlIndexFixing(hiborindex,AK3485)</f>
        <v>1.3437338296687418E-2</v>
      </c>
    </row>
    <row r="3486" spans="37:39" x14ac:dyDescent="0.25">
      <c r="AK3486" s="21">
        <f>_xll.qlCalendarAdvance(calendar,AK3485,"1D")</f>
        <v>47515</v>
      </c>
      <c r="AL3486" s="21">
        <f>_xll.qlInterestRateIndexValueDate(hiborindex,AK3486)</f>
        <v>47519</v>
      </c>
      <c r="AM3486" s="23">
        <f>_xll.qlIndexFixing(hiborindex,AK3486)</f>
        <v>1.3437025440615237E-2</v>
      </c>
    </row>
    <row r="3487" spans="37:39" x14ac:dyDescent="0.25">
      <c r="AK3487" s="21">
        <f>_xll.qlCalendarAdvance(calendar,AK3486,"1D")</f>
        <v>47518</v>
      </c>
      <c r="AL3487" s="21">
        <f>_xll.qlInterestRateIndexValueDate(hiborindex,AK3487)</f>
        <v>47520</v>
      </c>
      <c r="AM3487" s="23">
        <f>_xll.qlIndexFixing(hiborindex,AK3487)</f>
        <v>1.3432634535730906E-2</v>
      </c>
    </row>
    <row r="3488" spans="37:39" x14ac:dyDescent="0.25">
      <c r="AK3488" s="21">
        <f>_xll.qlCalendarAdvance(calendar,AK3487,"1D")</f>
        <v>47519</v>
      </c>
      <c r="AL3488" s="21">
        <f>_xll.qlInterestRateIndexValueDate(hiborindex,AK3488)</f>
        <v>47521</v>
      </c>
      <c r="AM3488" s="23">
        <f>_xll.qlIndexFixing(hiborindex,AK3488)</f>
        <v>1.3428240833266068E-2</v>
      </c>
    </row>
    <row r="3489" spans="37:39" x14ac:dyDescent="0.25">
      <c r="AK3489" s="21">
        <f>_xll.qlCalendarAdvance(calendar,AK3488,"1D")</f>
        <v>47520</v>
      </c>
      <c r="AL3489" s="21">
        <f>_xll.qlInterestRateIndexValueDate(hiborindex,AK3489)</f>
        <v>47522</v>
      </c>
      <c r="AM3489" s="23">
        <f>_xll.qlIndexFixing(hiborindex,AK3489)</f>
        <v>1.3423844333237501E-2</v>
      </c>
    </row>
    <row r="3490" spans="37:39" x14ac:dyDescent="0.25">
      <c r="AK3490" s="21">
        <f>_xll.qlCalendarAdvance(calendar,AK3489,"1D")</f>
        <v>47521</v>
      </c>
      <c r="AL3490" s="21">
        <f>_xll.qlInterestRateIndexValueDate(hiborindex,AK3490)</f>
        <v>47525</v>
      </c>
      <c r="AM3490" s="23">
        <f>_xll.qlIndexFixing(hiborindex,AK3490)</f>
        <v>1.3406822581115391E-2</v>
      </c>
    </row>
    <row r="3491" spans="37:39" x14ac:dyDescent="0.25">
      <c r="AK3491" s="21">
        <f>_xll.qlCalendarAdvance(calendar,AK3490,"1D")</f>
        <v>47522</v>
      </c>
      <c r="AL3491" s="21">
        <f>_xll.qlInterestRateIndexValueDate(hiborindex,AK3491)</f>
        <v>47526</v>
      </c>
      <c r="AM3491" s="23">
        <f>_xll.qlIndexFixing(hiborindex,AK3491)</f>
        <v>1.3406230357862233E-2</v>
      </c>
    </row>
    <row r="3492" spans="37:39" x14ac:dyDescent="0.25">
      <c r="AK3492" s="21">
        <f>_xll.qlCalendarAdvance(calendar,AK3491,"1D")</f>
        <v>47525</v>
      </c>
      <c r="AL3492" s="21">
        <f>_xll.qlInterestRateIndexValueDate(hiborindex,AK3492)</f>
        <v>47527</v>
      </c>
      <c r="AM3492" s="23">
        <f>_xll.qlIndexFixing(hiborindex,AK3492)</f>
        <v>1.3401819870295909E-2</v>
      </c>
    </row>
    <row r="3493" spans="37:39" x14ac:dyDescent="0.25">
      <c r="AK3493" s="21">
        <f>_xll.qlCalendarAdvance(calendar,AK3492,"1D")</f>
        <v>47526</v>
      </c>
      <c r="AL3493" s="21">
        <f>_xll.qlInterestRateIndexValueDate(hiborindex,AK3493)</f>
        <v>47528</v>
      </c>
      <c r="AM3493" s="23">
        <f>_xll.qlIndexFixing(hiborindex,AK3493)</f>
        <v>1.3397406585277149E-2</v>
      </c>
    </row>
    <row r="3494" spans="37:39" x14ac:dyDescent="0.25">
      <c r="AK3494" s="21">
        <f>_xll.qlCalendarAdvance(calendar,AK3493,"1D")</f>
        <v>47527</v>
      </c>
      <c r="AL3494" s="21">
        <f>_xll.qlInterestRateIndexValueDate(hiborindex,AK3494)</f>
        <v>47529</v>
      </c>
      <c r="AM3494" s="23">
        <f>_xll.qlIndexFixing(hiborindex,AK3494)</f>
        <v>1.3392990502824944E-2</v>
      </c>
    </row>
    <row r="3495" spans="37:39" x14ac:dyDescent="0.25">
      <c r="AK3495" s="21">
        <f>_xll.qlCalendarAdvance(calendar,AK3494,"1D")</f>
        <v>47528</v>
      </c>
      <c r="AL3495" s="21">
        <f>_xll.qlInterestRateIndexValueDate(hiborindex,AK3495)</f>
        <v>47532</v>
      </c>
      <c r="AM3495" s="23">
        <f>_xll.qlIndexFixing(hiborindex,AK3495)</f>
        <v>1.3376170534141373E-2</v>
      </c>
    </row>
    <row r="3496" spans="37:39" x14ac:dyDescent="0.25">
      <c r="AK3496" s="21">
        <f>_xll.qlCalendarAdvance(calendar,AK3495,"1D")</f>
        <v>47529</v>
      </c>
      <c r="AL3496" s="21">
        <f>_xll.qlInterestRateIndexValueDate(hiborindex,AK3496)</f>
        <v>47533</v>
      </c>
      <c r="AM3496" s="23">
        <f>_xll.qlIndexFixing(hiborindex,AK3496)</f>
        <v>1.3375298199050879E-2</v>
      </c>
    </row>
    <row r="3497" spans="37:39" x14ac:dyDescent="0.25">
      <c r="AK3497" s="21">
        <f>_xll.qlCalendarAdvance(calendar,AK3496,"1D")</f>
        <v>47532</v>
      </c>
      <c r="AL3497" s="21">
        <f>_xll.qlInterestRateIndexValueDate(hiborindex,AK3497)</f>
        <v>47534</v>
      </c>
      <c r="AM3497" s="23">
        <f>_xll.qlIndexFixing(hiborindex,AK3497)</f>
        <v>1.3370868129709237E-2</v>
      </c>
    </row>
    <row r="3498" spans="37:39" x14ac:dyDescent="0.25">
      <c r="AK3498" s="21">
        <f>_xll.qlCalendarAdvance(calendar,AK3497,"1D")</f>
        <v>47533</v>
      </c>
      <c r="AL3498" s="21">
        <f>_xll.qlInterestRateIndexValueDate(hiborindex,AK3498)</f>
        <v>47535</v>
      </c>
      <c r="AM3498" s="23">
        <f>_xll.qlIndexFixing(hiborindex,AK3498)</f>
        <v>1.3366435263045885E-2</v>
      </c>
    </row>
    <row r="3499" spans="37:39" x14ac:dyDescent="0.25">
      <c r="AK3499" s="21">
        <f>_xll.qlCalendarAdvance(calendar,AK3498,"1D")</f>
        <v>47534</v>
      </c>
      <c r="AL3499" s="21">
        <f>_xll.qlInterestRateIndexValueDate(hiborindex,AK3499)</f>
        <v>47536</v>
      </c>
      <c r="AM3499" s="23">
        <f>_xll.qlIndexFixing(hiborindex,AK3499)</f>
        <v>1.3361999599078486E-2</v>
      </c>
    </row>
    <row r="3500" spans="37:39" x14ac:dyDescent="0.25">
      <c r="AK3500" s="21">
        <f>_xll.qlCalendarAdvance(calendar,AK3499,"1D")</f>
        <v>47535</v>
      </c>
      <c r="AL3500" s="21">
        <f>_xll.qlInterestRateIndexValueDate(hiborindex,AK3500)</f>
        <v>47539</v>
      </c>
      <c r="AM3500" s="23">
        <f>_xll.qlIndexFixing(hiborindex,AK3500)</f>
        <v>1.3345382162075481E-2</v>
      </c>
    </row>
    <row r="3501" spans="37:39" x14ac:dyDescent="0.25">
      <c r="AK3501" s="21">
        <f>_xll.qlCalendarAdvance(calendar,AK3500,"1D")</f>
        <v>47536</v>
      </c>
      <c r="AL3501" s="21">
        <f>_xll.qlInterestRateIndexValueDate(hiborindex,AK3501)</f>
        <v>47540</v>
      </c>
      <c r="AM3501" s="23">
        <f>_xll.qlIndexFixing(hiborindex,AK3501)</f>
        <v>1.3344228970548239E-2</v>
      </c>
    </row>
    <row r="3502" spans="37:39" x14ac:dyDescent="0.25">
      <c r="AK3502" s="21">
        <f>_xll.qlCalendarAdvance(calendar,AK3501,"1D")</f>
        <v>47539</v>
      </c>
      <c r="AL3502" s="21">
        <f>_xll.qlInterestRateIndexValueDate(hiborindex,AK3502)</f>
        <v>47541</v>
      </c>
      <c r="AM3502" s="23">
        <f>_xll.qlIndexFixing(hiborindex,AK3502)</f>
        <v>1.3339779320343257E-2</v>
      </c>
    </row>
    <row r="3503" spans="37:39" x14ac:dyDescent="0.25">
      <c r="AK3503" s="21">
        <f>_xll.qlCalendarAdvance(calendar,AK3502,"1D")</f>
        <v>47540</v>
      </c>
      <c r="AL3503" s="21">
        <f>_xll.qlInterestRateIndexValueDate(hiborindex,AK3503)</f>
        <v>47542</v>
      </c>
      <c r="AM3503" s="23">
        <f>_xll.qlIndexFixing(hiborindex,AK3503)</f>
        <v>1.3329014217384059E-2</v>
      </c>
    </row>
    <row r="3504" spans="37:39" x14ac:dyDescent="0.25">
      <c r="AK3504" s="21">
        <f>_xll.qlCalendarAdvance(calendar,AK3503,"1D")</f>
        <v>47541</v>
      </c>
      <c r="AL3504" s="21">
        <f>_xll.qlInterestRateIndexValueDate(hiborindex,AK3504)</f>
        <v>47543</v>
      </c>
      <c r="AM3504" s="23">
        <f>_xll.qlIndexFixing(hiborindex,AK3504)</f>
        <v>1.3318591408709671E-2</v>
      </c>
    </row>
    <row r="3505" spans="37:39" x14ac:dyDescent="0.25">
      <c r="AK3505" s="21">
        <f>_xll.qlCalendarAdvance(calendar,AK3504,"1D")</f>
        <v>47542</v>
      </c>
      <c r="AL3505" s="21">
        <f>_xll.qlInterestRateIndexValueDate(hiborindex,AK3505)</f>
        <v>47546</v>
      </c>
      <c r="AM3505" s="23">
        <f>_xll.qlIndexFixing(hiborindex,AK3505)</f>
        <v>1.3308539279053675E-2</v>
      </c>
    </row>
    <row r="3506" spans="37:39" x14ac:dyDescent="0.25">
      <c r="AK3506" s="21">
        <f>_xll.qlCalendarAdvance(calendar,AK3505,"1D")</f>
        <v>47543</v>
      </c>
      <c r="AL3506" s="21">
        <f>_xll.qlInterestRateIndexValueDate(hiborindex,AK3506)</f>
        <v>47547</v>
      </c>
      <c r="AM3506" s="23">
        <f>_xll.qlIndexFixing(hiborindex,AK3506)</f>
        <v>1.330418410326367E-2</v>
      </c>
    </row>
    <row r="3507" spans="37:39" x14ac:dyDescent="0.25">
      <c r="AK3507" s="21">
        <f>_xll.qlCalendarAdvance(calendar,AK3506,"1D")</f>
        <v>47546</v>
      </c>
      <c r="AL3507" s="21">
        <f>_xll.qlInterestRateIndexValueDate(hiborindex,AK3507)</f>
        <v>47548</v>
      </c>
      <c r="AM3507" s="23">
        <f>_xll.qlIndexFixing(hiborindex,AK3507)</f>
        <v>1.3299826175534988E-2</v>
      </c>
    </row>
    <row r="3508" spans="37:39" x14ac:dyDescent="0.25">
      <c r="AK3508" s="21">
        <f>_xll.qlCalendarAdvance(calendar,AK3507,"1D")</f>
        <v>47547</v>
      </c>
      <c r="AL3508" s="21">
        <f>_xll.qlInterestRateIndexValueDate(hiborindex,AK3508)</f>
        <v>47549</v>
      </c>
      <c r="AM3508" s="23">
        <f>_xll.qlIndexFixing(hiborindex,AK3508)</f>
        <v>1.3289952198786039E-2</v>
      </c>
    </row>
    <row r="3509" spans="37:39" x14ac:dyDescent="0.25">
      <c r="AK3509" s="21">
        <f>_xll.qlCalendarAdvance(calendar,AK3508,"1D")</f>
        <v>47548</v>
      </c>
      <c r="AL3509" s="21">
        <f>_xll.qlInterestRateIndexValueDate(hiborindex,AK3509)</f>
        <v>47550</v>
      </c>
      <c r="AM3509" s="23">
        <f>_xll.qlIndexFixing(hiborindex,AK3509)</f>
        <v>1.3288359178028411E-2</v>
      </c>
    </row>
    <row r="3510" spans="37:39" x14ac:dyDescent="0.25">
      <c r="AK3510" s="21">
        <f>_xll.qlCalendarAdvance(calendar,AK3509,"1D")</f>
        <v>47549</v>
      </c>
      <c r="AL3510" s="21">
        <f>_xll.qlInterestRateIndexValueDate(hiborindex,AK3510)</f>
        <v>47553</v>
      </c>
      <c r="AM3510" s="23">
        <f>_xll.qlIndexFixing(hiborindex,AK3510)</f>
        <v>1.327799525846134E-2</v>
      </c>
    </row>
    <row r="3511" spans="37:39" x14ac:dyDescent="0.25">
      <c r="AK3511" s="21">
        <f>_xll.qlCalendarAdvance(calendar,AK3510,"1D")</f>
        <v>47550</v>
      </c>
      <c r="AL3511" s="21">
        <f>_xll.qlInterestRateIndexValueDate(hiborindex,AK3511)</f>
        <v>47554</v>
      </c>
      <c r="AM3511" s="23">
        <f>_xll.qlIndexFixing(hiborindex,AK3511)</f>
        <v>1.3273620819488111E-2</v>
      </c>
    </row>
    <row r="3512" spans="37:39" x14ac:dyDescent="0.25">
      <c r="AK3512" s="21">
        <f>_xll.qlCalendarAdvance(calendar,AK3511,"1D")</f>
        <v>47553</v>
      </c>
      <c r="AL3512" s="21">
        <f>_xll.qlInterestRateIndexValueDate(hiborindex,AK3512)</f>
        <v>47555</v>
      </c>
      <c r="AM3512" s="23">
        <f>_xll.qlIndexFixing(hiborindex,AK3512)</f>
        <v>1.3269243628705669E-2</v>
      </c>
    </row>
    <row r="3513" spans="37:39" x14ac:dyDescent="0.25">
      <c r="AK3513" s="21">
        <f>_xll.qlCalendarAdvance(calendar,AK3512,"1D")</f>
        <v>47554</v>
      </c>
      <c r="AL3513" s="21">
        <f>_xll.qlInterestRateIndexValueDate(hiborindex,AK3513)</f>
        <v>47556</v>
      </c>
      <c r="AM3513" s="23">
        <f>_xll.qlIndexFixing(hiborindex,AK3513)</f>
        <v>1.32598568930985E-2</v>
      </c>
    </row>
    <row r="3514" spans="37:39" x14ac:dyDescent="0.25">
      <c r="AK3514" s="21">
        <f>_xll.qlCalendarAdvance(calendar,AK3513,"1D")</f>
        <v>47555</v>
      </c>
      <c r="AL3514" s="21">
        <f>_xll.qlInterestRateIndexValueDate(hiborindex,AK3514)</f>
        <v>47557</v>
      </c>
      <c r="AM3514" s="23">
        <f>_xll.qlIndexFixing(hiborindex,AK3514)</f>
        <v>1.3257992826418733E-2</v>
      </c>
    </row>
    <row r="3515" spans="37:39" x14ac:dyDescent="0.25">
      <c r="AK3515" s="21">
        <f>_xll.qlCalendarAdvance(calendar,AK3514,"1D")</f>
        <v>47556</v>
      </c>
      <c r="AL3515" s="21">
        <f>_xll.qlInterestRateIndexValueDate(hiborindex,AK3515)</f>
        <v>47560</v>
      </c>
      <c r="AM3515" s="23">
        <f>_xll.qlIndexFixing(hiborindex,AK3515)</f>
        <v>1.3247316398288632E-2</v>
      </c>
    </row>
    <row r="3516" spans="37:39" x14ac:dyDescent="0.25">
      <c r="AK3516" s="21">
        <f>_xll.qlCalendarAdvance(calendar,AK3515,"1D")</f>
        <v>47557</v>
      </c>
      <c r="AL3516" s="21">
        <f>_xll.qlInterestRateIndexValueDate(hiborindex,AK3516)</f>
        <v>47561</v>
      </c>
      <c r="AM3516" s="23">
        <f>_xll.qlIndexFixing(hiborindex,AK3516)</f>
        <v>1.3242922697032766E-2</v>
      </c>
    </row>
    <row r="3517" spans="37:39" x14ac:dyDescent="0.25">
      <c r="AK3517" s="21">
        <f>_xll.qlCalendarAdvance(calendar,AK3516,"1D")</f>
        <v>47560</v>
      </c>
      <c r="AL3517" s="21">
        <f>_xll.qlInterestRateIndexValueDate(hiborindex,AK3517)</f>
        <v>47562</v>
      </c>
      <c r="AM3517" s="23">
        <f>_xll.qlIndexFixing(hiborindex,AK3517)</f>
        <v>1.3238526244096712E-2</v>
      </c>
    </row>
    <row r="3518" spans="37:39" x14ac:dyDescent="0.25">
      <c r="AK3518" s="21">
        <f>_xll.qlCalendarAdvance(calendar,AK3517,"1D")</f>
        <v>47561</v>
      </c>
      <c r="AL3518" s="21">
        <f>_xll.qlInterestRateIndexValueDate(hiborindex,AK3518)</f>
        <v>47563</v>
      </c>
      <c r="AM3518" s="23">
        <f>_xll.qlIndexFixing(hiborindex,AK3518)</f>
        <v>1.3229628185395937E-2</v>
      </c>
    </row>
    <row r="3519" spans="37:39" x14ac:dyDescent="0.25">
      <c r="AK3519" s="21">
        <f>_xll.qlCalendarAdvance(calendar,AK3518,"1D")</f>
        <v>47562</v>
      </c>
      <c r="AL3519" s="21">
        <f>_xll.qlInterestRateIndexValueDate(hiborindex,AK3519)</f>
        <v>47564</v>
      </c>
      <c r="AM3519" s="23">
        <f>_xll.qlIndexFixing(hiborindex,AK3519)</f>
        <v>1.3227492360132502E-2</v>
      </c>
    </row>
    <row r="3520" spans="37:39" x14ac:dyDescent="0.25">
      <c r="AK3520" s="21">
        <f>_xll.qlCalendarAdvance(calendar,AK3519,"1D")</f>
        <v>47563</v>
      </c>
      <c r="AL3520" s="21">
        <f>_xll.qlInterestRateIndexValueDate(hiborindex,AK3520)</f>
        <v>47567</v>
      </c>
      <c r="AM3520" s="23">
        <f>_xll.qlIndexFixing(hiborindex,AK3520)</f>
        <v>1.3216502704849633E-2</v>
      </c>
    </row>
    <row r="3521" spans="37:39" x14ac:dyDescent="0.25">
      <c r="AK3521" s="21">
        <f>_xll.qlCalendarAdvance(calendar,AK3520,"1D")</f>
        <v>47564</v>
      </c>
      <c r="AL3521" s="21">
        <f>_xll.qlInterestRateIndexValueDate(hiborindex,AK3521)</f>
        <v>47568</v>
      </c>
      <c r="AM3521" s="23">
        <f>_xll.qlIndexFixing(hiborindex,AK3521)</f>
        <v>1.3212089742216491E-2</v>
      </c>
    </row>
    <row r="3522" spans="37:39" x14ac:dyDescent="0.25">
      <c r="AK3522" s="21">
        <f>_xll.qlCalendarAdvance(calendar,AK3521,"1D")</f>
        <v>47567</v>
      </c>
      <c r="AL3522" s="21">
        <f>_xll.qlInterestRateIndexValueDate(hiborindex,AK3522)</f>
        <v>47569</v>
      </c>
      <c r="AM3522" s="23">
        <f>_xll.qlIndexFixing(hiborindex,AK3522)</f>
        <v>1.3207674028031755E-2</v>
      </c>
    </row>
    <row r="3523" spans="37:39" x14ac:dyDescent="0.25">
      <c r="AK3523" s="21">
        <f>_xll.qlCalendarAdvance(calendar,AK3522,"1D")</f>
        <v>47568</v>
      </c>
      <c r="AL3523" s="21">
        <f>_xll.qlInterestRateIndexValueDate(hiborindex,AK3523)</f>
        <v>47570</v>
      </c>
      <c r="AM3523" s="23">
        <f>_xll.qlIndexFixing(hiborindex,AK3523)</f>
        <v>1.3199266081900035E-2</v>
      </c>
    </row>
    <row r="3524" spans="37:39" x14ac:dyDescent="0.25">
      <c r="AK3524" s="21">
        <f>_xll.qlCalendarAdvance(calendar,AK3523,"1D")</f>
        <v>47569</v>
      </c>
      <c r="AL3524" s="21">
        <f>_xll.qlInterestRateIndexValueDate(hiborindex,AK3524)</f>
        <v>47571</v>
      </c>
      <c r="AM3524" s="23">
        <f>_xll.qlIndexFixing(hiborindex,AK3524)</f>
        <v>1.3196857785447073E-2</v>
      </c>
    </row>
    <row r="3525" spans="37:39" x14ac:dyDescent="0.25">
      <c r="AK3525" s="21">
        <f>_xll.qlCalendarAdvance(calendar,AK3524,"1D")</f>
        <v>47570</v>
      </c>
      <c r="AL3525" s="21">
        <f>_xll.qlInterestRateIndexValueDate(hiborindex,AK3525)</f>
        <v>47574</v>
      </c>
      <c r="AM3525" s="23">
        <f>_xll.qlIndexFixing(hiborindex,AK3525)</f>
        <v>1.3187456660339058E-2</v>
      </c>
    </row>
    <row r="3526" spans="37:39" x14ac:dyDescent="0.25">
      <c r="AK3526" s="21">
        <f>_xll.qlCalendarAdvance(calendar,AK3525,"1D")</f>
        <v>47571</v>
      </c>
      <c r="AL3526" s="21">
        <f>_xll.qlInterestRateIndexValueDate(hiborindex,AK3526)</f>
        <v>47575</v>
      </c>
      <c r="AM3526" s="23">
        <f>_xll.qlIndexFixing(hiborindex,AK3526)</f>
        <v>1.3182987339244423E-2</v>
      </c>
    </row>
    <row r="3527" spans="37:39" x14ac:dyDescent="0.25">
      <c r="AK3527" s="21">
        <f>_xll.qlCalendarAdvance(calendar,AK3526,"1D")</f>
        <v>47574</v>
      </c>
      <c r="AL3527" s="21">
        <f>_xll.qlInterestRateIndexValueDate(hiborindex,AK3527)</f>
        <v>47576</v>
      </c>
      <c r="AM3527" s="23">
        <f>_xll.qlIndexFixing(hiborindex,AK3527)</f>
        <v>1.3178515251849814E-2</v>
      </c>
    </row>
    <row r="3528" spans="37:39" x14ac:dyDescent="0.25">
      <c r="AK3528" s="21">
        <f>_xll.qlCalendarAdvance(calendar,AK3527,"1D")</f>
        <v>47575</v>
      </c>
      <c r="AL3528" s="21">
        <f>_xll.qlInterestRateIndexValueDate(hiborindex,AK3528)</f>
        <v>47577</v>
      </c>
      <c r="AM3528" s="23">
        <f>_xll.qlIndexFixing(hiborindex,AK3528)</f>
        <v>1.3174040398174883E-2</v>
      </c>
    </row>
    <row r="3529" spans="37:39" x14ac:dyDescent="0.25">
      <c r="AK3529" s="21">
        <f>_xll.qlCalendarAdvance(calendar,AK3528,"1D")</f>
        <v>47576</v>
      </c>
      <c r="AL3529" s="21">
        <f>_xll.qlInterestRateIndexValueDate(hiborindex,AK3529)</f>
        <v>47578</v>
      </c>
      <c r="AM3529" s="23">
        <f>_xll.qlIndexFixing(hiborindex,AK3529)</f>
        <v>1.3166089108668757E-2</v>
      </c>
    </row>
    <row r="3530" spans="37:39" x14ac:dyDescent="0.25">
      <c r="AK3530" s="21">
        <f>_xll.qlCalendarAdvance(calendar,AK3529,"1D")</f>
        <v>47577</v>
      </c>
      <c r="AL3530" s="21">
        <f>_xll.qlInterestRateIndexValueDate(hiborindex,AK3530)</f>
        <v>47581</v>
      </c>
      <c r="AM3530" s="23">
        <f>_xll.qlIndexFixing(hiborindex,AK3530)</f>
        <v>1.3156113321042382E-2</v>
      </c>
    </row>
    <row r="3531" spans="37:39" x14ac:dyDescent="0.25">
      <c r="AK3531" s="21">
        <f>_xll.qlCalendarAdvance(calendar,AK3530,"1D")</f>
        <v>47578</v>
      </c>
      <c r="AL3531" s="21">
        <f>_xll.qlInterestRateIndexValueDate(hiborindex,AK3531)</f>
        <v>47582</v>
      </c>
      <c r="AM3531" s="23">
        <f>_xll.qlIndexFixing(hiborindex,AK3531)</f>
        <v>1.3151624636245413E-2</v>
      </c>
    </row>
    <row r="3532" spans="37:39" x14ac:dyDescent="0.25">
      <c r="AK3532" s="21">
        <f>_xll.qlCalendarAdvance(calendar,AK3531,"1D")</f>
        <v>47581</v>
      </c>
      <c r="AL3532" s="21">
        <f>_xll.qlInterestRateIndexValueDate(hiborindex,AK3532)</f>
        <v>47583</v>
      </c>
      <c r="AM3532" s="23">
        <f>_xll.qlIndexFixing(hiborindex,AK3532)</f>
        <v>1.314713318528082E-2</v>
      </c>
    </row>
    <row r="3533" spans="37:39" x14ac:dyDescent="0.25">
      <c r="AK3533" s="21">
        <f>_xll.qlCalendarAdvance(calendar,AK3532,"1D")</f>
        <v>47582</v>
      </c>
      <c r="AL3533" s="21">
        <f>_xll.qlInterestRateIndexValueDate(hiborindex,AK3533)</f>
        <v>47584</v>
      </c>
      <c r="AM3533" s="23">
        <f>_xll.qlIndexFixing(hiborindex,AK3533)</f>
        <v>1.3142638968166951E-2</v>
      </c>
    </row>
    <row r="3534" spans="37:39" x14ac:dyDescent="0.25">
      <c r="AK3534" s="21">
        <f>_xll.qlCalendarAdvance(calendar,AK3533,"1D")</f>
        <v>47583</v>
      </c>
      <c r="AL3534" s="21">
        <f>_xll.qlInterestRateIndexValueDate(hiborindex,AK3534)</f>
        <v>47585</v>
      </c>
      <c r="AM3534" s="23">
        <f>_xll.qlIndexFixing(hiborindex,AK3534)</f>
        <v>1.3135186336130214E-2</v>
      </c>
    </row>
    <row r="3535" spans="37:39" x14ac:dyDescent="0.25">
      <c r="AK3535" s="21">
        <f>_xll.qlCalendarAdvance(calendar,AK3534,"1D")</f>
        <v>47584</v>
      </c>
      <c r="AL3535" s="21">
        <f>_xll.qlInterestRateIndexValueDate(hiborindex,AK3535)</f>
        <v>47588</v>
      </c>
      <c r="AM3535" s="23">
        <f>_xll.qlIndexFixing(hiborindex,AK3535)</f>
        <v>1.3124634438599602E-2</v>
      </c>
    </row>
    <row r="3536" spans="37:39" x14ac:dyDescent="0.25">
      <c r="AK3536" s="21">
        <f>_xll.qlCalendarAdvance(calendar,AK3535,"1D")</f>
        <v>47585</v>
      </c>
      <c r="AL3536" s="21">
        <f>_xll.qlInterestRateIndexValueDate(hiborindex,AK3536)</f>
        <v>47589</v>
      </c>
      <c r="AM3536" s="23">
        <f>_xll.qlIndexFixing(hiborindex,AK3536)</f>
        <v>1.3120126391024585E-2</v>
      </c>
    </row>
    <row r="3537" spans="37:39" x14ac:dyDescent="0.25">
      <c r="AK3537" s="21">
        <f>_xll.qlCalendarAdvance(calendar,AK3536,"1D")</f>
        <v>47588</v>
      </c>
      <c r="AL3537" s="21">
        <f>_xll.qlInterestRateIndexValueDate(hiborindex,AK3537)</f>
        <v>47590</v>
      </c>
      <c r="AM3537" s="23">
        <f>_xll.qlIndexFixing(hiborindex,AK3537)</f>
        <v>1.3115615577414299E-2</v>
      </c>
    </row>
    <row r="3538" spans="37:39" x14ac:dyDescent="0.25">
      <c r="AK3538" s="21">
        <f>_xll.qlCalendarAdvance(calendar,AK3537,"1D")</f>
        <v>47589</v>
      </c>
      <c r="AL3538" s="21">
        <f>_xll.qlInterestRateIndexValueDate(hiborindex,AK3538)</f>
        <v>47591</v>
      </c>
      <c r="AM3538" s="23">
        <f>_xll.qlIndexFixing(hiborindex,AK3538)</f>
        <v>1.3111101997786652E-2</v>
      </c>
    </row>
    <row r="3539" spans="37:39" x14ac:dyDescent="0.25">
      <c r="AK3539" s="21">
        <f>_xll.qlCalendarAdvance(calendar,AK3538,"1D")</f>
        <v>47590</v>
      </c>
      <c r="AL3539" s="21">
        <f>_xll.qlInterestRateIndexValueDate(hiborindex,AK3539)</f>
        <v>47596</v>
      </c>
      <c r="AM3539" s="23">
        <f>_xll.qlIndexFixing(hiborindex,AK3539)</f>
        <v>1.3088492610065497E-2</v>
      </c>
    </row>
    <row r="3540" spans="37:39" x14ac:dyDescent="0.25">
      <c r="AK3540" s="21">
        <f>_xll.qlCalendarAdvance(calendar,AK3539,"1D")</f>
        <v>47591</v>
      </c>
      <c r="AL3540" s="21">
        <f>_xll.qlInterestRateIndexValueDate(hiborindex,AK3540)</f>
        <v>47597</v>
      </c>
      <c r="AM3540" s="23">
        <f>_xll.qlIndexFixing(hiborindex,AK3540)</f>
        <v>1.3083962434737735E-2</v>
      </c>
    </row>
    <row r="3541" spans="37:39" x14ac:dyDescent="0.25">
      <c r="AK3541" s="21">
        <f>_xll.qlCalendarAdvance(calendar,AK3540,"1D")</f>
        <v>47596</v>
      </c>
      <c r="AL3541" s="21">
        <f>_xll.qlInterestRateIndexValueDate(hiborindex,AK3541)</f>
        <v>47598</v>
      </c>
      <c r="AM3541" s="23">
        <f>_xll.qlIndexFixing(hiborindex,AK3541)</f>
        <v>1.3079429493525838E-2</v>
      </c>
    </row>
    <row r="3542" spans="37:39" x14ac:dyDescent="0.25">
      <c r="AK3542" s="21">
        <f>_xll.qlCalendarAdvance(calendar,AK3541,"1D")</f>
        <v>47597</v>
      </c>
      <c r="AL3542" s="21">
        <f>_xll.qlInterestRateIndexValueDate(hiborindex,AK3542)</f>
        <v>47599</v>
      </c>
      <c r="AM3542" s="23">
        <f>_xll.qlIndexFixing(hiborindex,AK3542)</f>
        <v>1.3072978529246129E-2</v>
      </c>
    </row>
    <row r="3543" spans="37:39" x14ac:dyDescent="0.25">
      <c r="AK3543" s="21">
        <f>_xll.qlCalendarAdvance(calendar,AK3542,"1D")</f>
        <v>47598</v>
      </c>
      <c r="AL3543" s="21">
        <f>_xll.qlInterestRateIndexValueDate(hiborindex,AK3543)</f>
        <v>47602</v>
      </c>
      <c r="AM3543" s="23">
        <f>_xll.qlIndexFixing(hiborindex,AK3543)</f>
        <v>1.3061270070223494E-2</v>
      </c>
    </row>
    <row r="3544" spans="37:39" x14ac:dyDescent="0.25">
      <c r="AK3544" s="21">
        <f>_xll.qlCalendarAdvance(calendar,AK3543,"1D")</f>
        <v>47599</v>
      </c>
      <c r="AL3544" s="21">
        <f>_xll.qlInterestRateIndexValueDate(hiborindex,AK3544)</f>
        <v>47603</v>
      </c>
      <c r="AM3544" s="23">
        <f>_xll.qlIndexFixing(hiborindex,AK3544)</f>
        <v>1.3055902705819255E-2</v>
      </c>
    </row>
    <row r="3545" spans="37:39" x14ac:dyDescent="0.25">
      <c r="AK3545" s="21">
        <f>_xll.qlCalendarAdvance(calendar,AK3544,"1D")</f>
        <v>47602</v>
      </c>
      <c r="AL3545" s="21">
        <f>_xll.qlInterestRateIndexValueDate(hiborindex,AK3545)</f>
        <v>47605</v>
      </c>
      <c r="AM3545" s="23">
        <f>_xll.qlIndexFixing(hiborindex,AK3545)</f>
        <v>1.3045454847232482E-2</v>
      </c>
    </row>
    <row r="3546" spans="37:39" x14ac:dyDescent="0.25">
      <c r="AK3546" s="21">
        <f>_xll.qlCalendarAdvance(calendar,AK3545,"1D")</f>
        <v>47603</v>
      </c>
      <c r="AL3546" s="21">
        <f>_xll.qlInterestRateIndexValueDate(hiborindex,AK3546)</f>
        <v>47606</v>
      </c>
      <c r="AM3546" s="23">
        <f>_xll.qlIndexFixing(hiborindex,AK3546)</f>
        <v>1.3041673507704613E-2</v>
      </c>
    </row>
    <row r="3547" spans="37:39" x14ac:dyDescent="0.25">
      <c r="AK3547" s="21">
        <f>_xll.qlCalendarAdvance(calendar,AK3546,"1D")</f>
        <v>47605</v>
      </c>
      <c r="AL3547" s="21">
        <f>_xll.qlInterestRateIndexValueDate(hiborindex,AK3547)</f>
        <v>47609</v>
      </c>
      <c r="AM3547" s="23">
        <f>_xll.qlIndexFixing(hiborindex,AK3547)</f>
        <v>1.3028789402771317E-2</v>
      </c>
    </row>
    <row r="3548" spans="37:39" x14ac:dyDescent="0.25">
      <c r="AK3548" s="21">
        <f>_xll.qlCalendarAdvance(calendar,AK3547,"1D")</f>
        <v>47606</v>
      </c>
      <c r="AL3548" s="21">
        <f>_xll.qlInterestRateIndexValueDate(hiborindex,AK3548)</f>
        <v>47610</v>
      </c>
      <c r="AM3548" s="23">
        <f>_xll.qlIndexFixing(hiborindex,AK3548)</f>
        <v>1.3024260891084372E-2</v>
      </c>
    </row>
    <row r="3549" spans="37:39" x14ac:dyDescent="0.25">
      <c r="AK3549" s="21">
        <f>_xll.qlCalendarAdvance(calendar,AK3548,"1D")</f>
        <v>47609</v>
      </c>
      <c r="AL3549" s="21">
        <f>_xll.qlInterestRateIndexValueDate(hiborindex,AK3549)</f>
        <v>47611</v>
      </c>
      <c r="AM3549" s="23">
        <f>_xll.qlIndexFixing(hiborindex,AK3549)</f>
        <v>1.30197296286352E-2</v>
      </c>
    </row>
    <row r="3550" spans="37:39" x14ac:dyDescent="0.25">
      <c r="AK3550" s="21">
        <f>_xll.qlCalendarAdvance(calendar,AK3549,"1D")</f>
        <v>47610</v>
      </c>
      <c r="AL3550" s="21">
        <f>_xll.qlInterestRateIndexValueDate(hiborindex,AK3550)</f>
        <v>47612</v>
      </c>
      <c r="AM3550" s="23">
        <f>_xll.qlIndexFixing(hiborindex,AK3550)</f>
        <v>1.3014292501184787E-2</v>
      </c>
    </row>
    <row r="3551" spans="37:39" x14ac:dyDescent="0.25">
      <c r="AK3551" s="21">
        <f>_xll.qlCalendarAdvance(calendar,AK3550,"1D")</f>
        <v>47611</v>
      </c>
      <c r="AL3551" s="21">
        <f>_xll.qlInterestRateIndexValueDate(hiborindex,AK3551)</f>
        <v>47613</v>
      </c>
      <c r="AM3551" s="23">
        <f>_xll.qlIndexFixing(hiborindex,AK3551)</f>
        <v>1.3010234416011793E-2</v>
      </c>
    </row>
    <row r="3552" spans="37:39" x14ac:dyDescent="0.25">
      <c r="AK3552" s="21">
        <f>_xll.qlCalendarAdvance(calendar,AK3551,"1D")</f>
        <v>47612</v>
      </c>
      <c r="AL3552" s="21">
        <f>_xll.qlInterestRateIndexValueDate(hiborindex,AK3552)</f>
        <v>47616</v>
      </c>
      <c r="AM3552" s="23">
        <f>_xll.qlIndexFixing(hiborindex,AK3552)</f>
        <v>1.2997032055620191E-2</v>
      </c>
    </row>
    <row r="3553" spans="37:39" x14ac:dyDescent="0.25">
      <c r="AK3553" s="21">
        <f>_xll.qlCalendarAdvance(calendar,AK3552,"1D")</f>
        <v>47613</v>
      </c>
      <c r="AL3553" s="21">
        <f>_xll.qlInterestRateIndexValueDate(hiborindex,AK3553)</f>
        <v>47617</v>
      </c>
      <c r="AM3553" s="23">
        <f>_xll.qlIndexFixing(hiborindex,AK3553)</f>
        <v>1.2992484288996905E-2</v>
      </c>
    </row>
    <row r="3554" spans="37:39" x14ac:dyDescent="0.25">
      <c r="AK3554" s="21">
        <f>_xll.qlCalendarAdvance(calendar,AK3553,"1D")</f>
        <v>47616</v>
      </c>
      <c r="AL3554" s="21">
        <f>_xll.qlInterestRateIndexValueDate(hiborindex,AK3554)</f>
        <v>47618</v>
      </c>
      <c r="AM3554" s="23">
        <f>_xll.qlIndexFixing(hiborindex,AK3554)</f>
        <v>1.2987933771744764E-2</v>
      </c>
    </row>
    <row r="3555" spans="37:39" x14ac:dyDescent="0.25">
      <c r="AK3555" s="21">
        <f>_xll.qlCalendarAdvance(calendar,AK3554,"1D")</f>
        <v>47617</v>
      </c>
      <c r="AL3555" s="21">
        <f>_xll.qlInterestRateIndexValueDate(hiborindex,AK3555)</f>
        <v>47619</v>
      </c>
      <c r="AM3555" s="23">
        <f>_xll.qlIndexFixing(hiborindex,AK3555)</f>
        <v>1.298299680366787E-2</v>
      </c>
    </row>
    <row r="3556" spans="37:39" x14ac:dyDescent="0.25">
      <c r="AK3556" s="21">
        <f>_xll.qlCalendarAdvance(calendar,AK3555,"1D")</f>
        <v>47618</v>
      </c>
      <c r="AL3556" s="21">
        <f>_xll.qlInterestRateIndexValueDate(hiborindex,AK3556)</f>
        <v>47620</v>
      </c>
      <c r="AM3556" s="23">
        <f>_xll.qlIndexFixing(hiborindex,AK3556)</f>
        <v>1.2978661260639034E-2</v>
      </c>
    </row>
    <row r="3557" spans="37:39" x14ac:dyDescent="0.25">
      <c r="AK3557" s="21">
        <f>_xll.qlCalendarAdvance(calendar,AK3556,"1D")</f>
        <v>47619</v>
      </c>
      <c r="AL3557" s="21">
        <f>_xll.qlInterestRateIndexValueDate(hiborindex,AK3557)</f>
        <v>47623</v>
      </c>
      <c r="AM3557" s="23">
        <f>_xll.qlIndexFixing(hiborindex,AK3557)</f>
        <v>1.296513992672026E-2</v>
      </c>
    </row>
    <row r="3558" spans="37:39" x14ac:dyDescent="0.25">
      <c r="AK3558" s="21">
        <f>_xll.qlCalendarAdvance(calendar,AK3557,"1D")</f>
        <v>47620</v>
      </c>
      <c r="AL3558" s="21">
        <f>_xll.qlInterestRateIndexValueDate(hiborindex,AK3558)</f>
        <v>47624</v>
      </c>
      <c r="AM3558" s="23">
        <f>_xll.qlIndexFixing(hiborindex,AK3558)</f>
        <v>1.296057290609684E-2</v>
      </c>
    </row>
    <row r="3559" spans="37:39" x14ac:dyDescent="0.25">
      <c r="AK3559" s="21">
        <f>_xll.qlCalendarAdvance(calendar,AK3558,"1D")</f>
        <v>47623</v>
      </c>
      <c r="AL3559" s="21">
        <f>_xll.qlInterestRateIndexValueDate(hiborindex,AK3559)</f>
        <v>47625</v>
      </c>
      <c r="AM3559" s="23">
        <f>_xll.qlIndexFixing(hiborindex,AK3559)</f>
        <v>1.2956003134977936E-2</v>
      </c>
    </row>
    <row r="3560" spans="37:39" x14ac:dyDescent="0.25">
      <c r="AK3560" s="21">
        <f>_xll.qlCalendarAdvance(calendar,AK3559,"1D")</f>
        <v>47624</v>
      </c>
      <c r="AL3560" s="21">
        <f>_xll.qlInterestRateIndexValueDate(hiborindex,AK3560)</f>
        <v>47626</v>
      </c>
      <c r="AM3560" s="23">
        <f>_xll.qlIndexFixing(hiborindex,AK3560)</f>
        <v>1.295156776112389E-2</v>
      </c>
    </row>
    <row r="3561" spans="37:39" x14ac:dyDescent="0.25">
      <c r="AK3561" s="21">
        <f>_xll.qlCalendarAdvance(calendar,AK3560,"1D")</f>
        <v>47625</v>
      </c>
      <c r="AL3561" s="21">
        <f>_xll.qlInterestRateIndexValueDate(hiborindex,AK3561)</f>
        <v>47627</v>
      </c>
      <c r="AM3561" s="23">
        <f>_xll.qlIndexFixing(hiborindex,AK3561)</f>
        <v>1.294695404808535E-2</v>
      </c>
    </row>
    <row r="3562" spans="37:39" x14ac:dyDescent="0.25">
      <c r="AK3562" s="21">
        <f>_xll.qlCalendarAdvance(calendar,AK3561,"1D")</f>
        <v>47626</v>
      </c>
      <c r="AL3562" s="21">
        <f>_xll.qlInterestRateIndexValueDate(hiborindex,AK3562)</f>
        <v>47630</v>
      </c>
      <c r="AM3562" s="23">
        <f>_xll.qlIndexFixing(hiborindex,AK3562)</f>
        <v>1.2933113022635404E-2</v>
      </c>
    </row>
    <row r="3563" spans="37:39" x14ac:dyDescent="0.25">
      <c r="AK3563" s="21">
        <f>_xll.qlCalendarAdvance(calendar,AK3562,"1D")</f>
        <v>47627</v>
      </c>
      <c r="AL3563" s="21">
        <f>_xll.qlInterestRateIndexValueDate(hiborindex,AK3563)</f>
        <v>47631</v>
      </c>
      <c r="AM3563" s="23">
        <f>_xll.qlIndexFixing(hiborindex,AK3563)</f>
        <v>1.2928526748951098E-2</v>
      </c>
    </row>
    <row r="3564" spans="37:39" x14ac:dyDescent="0.25">
      <c r="AK3564" s="21">
        <f>_xll.qlCalendarAdvance(calendar,AK3563,"1D")</f>
        <v>47630</v>
      </c>
      <c r="AL3564" s="21">
        <f>_xll.qlInterestRateIndexValueDate(hiborindex,AK3564)</f>
        <v>47632</v>
      </c>
      <c r="AM3564" s="23">
        <f>_xll.qlIndexFixing(hiborindex,AK3564)</f>
        <v>1.2923937724907289E-2</v>
      </c>
    </row>
    <row r="3565" spans="37:39" x14ac:dyDescent="0.25">
      <c r="AK3565" s="21">
        <f>_xll.qlCalendarAdvance(calendar,AK3564,"1D")</f>
        <v>47631</v>
      </c>
      <c r="AL3565" s="21">
        <f>_xll.qlInterestRateIndexValueDate(hiborindex,AK3565)</f>
        <v>47633</v>
      </c>
      <c r="AM3565" s="23">
        <f>_xll.qlIndexFixing(hiborindex,AK3565)</f>
        <v>1.291903419315015E-2</v>
      </c>
    </row>
    <row r="3566" spans="37:39" x14ac:dyDescent="0.25">
      <c r="AK3566" s="21">
        <f>_xll.qlCalendarAdvance(calendar,AK3565,"1D")</f>
        <v>47632</v>
      </c>
      <c r="AL3566" s="21">
        <f>_xll.qlInterestRateIndexValueDate(hiborindex,AK3566)</f>
        <v>47634</v>
      </c>
      <c r="AM3566" s="23">
        <f>_xll.qlIndexFixing(hiborindex,AK3566)</f>
        <v>1.2914063776270772E-2</v>
      </c>
    </row>
    <row r="3567" spans="37:39" x14ac:dyDescent="0.25">
      <c r="AK3567" s="21">
        <f>_xll.qlCalendarAdvance(calendar,AK3566,"1D")</f>
        <v>47633</v>
      </c>
      <c r="AL3567" s="21">
        <f>_xll.qlInterestRateIndexValueDate(hiborindex,AK3567)</f>
        <v>47637</v>
      </c>
      <c r="AM3567" s="23">
        <f>_xll.qlIndexFixing(hiborindex,AK3567)</f>
        <v>1.2900487601197439E-2</v>
      </c>
    </row>
    <row r="3568" spans="37:39" x14ac:dyDescent="0.25">
      <c r="AK3568" s="21">
        <f>_xll.qlCalendarAdvance(calendar,AK3567,"1D")</f>
        <v>47634</v>
      </c>
      <c r="AL3568" s="21">
        <f>_xll.qlInterestRateIndexValueDate(hiborindex,AK3568)</f>
        <v>47638</v>
      </c>
      <c r="AM3568" s="23">
        <f>_xll.qlIndexFixing(hiborindex,AK3568)</f>
        <v>1.2895844040378081E-2</v>
      </c>
    </row>
    <row r="3569" spans="37:39" x14ac:dyDescent="0.25">
      <c r="AK3569" s="21">
        <f>_xll.qlCalendarAdvance(calendar,AK3568,"1D")</f>
        <v>47637</v>
      </c>
      <c r="AL3569" s="21">
        <f>_xll.qlInterestRateIndexValueDate(hiborindex,AK3569)</f>
        <v>47639</v>
      </c>
      <c r="AM3569" s="23">
        <f>_xll.qlIndexFixing(hiborindex,AK3569)</f>
        <v>1.289119771446565E-2</v>
      </c>
    </row>
    <row r="3570" spans="37:39" x14ac:dyDescent="0.25">
      <c r="AK3570" s="21">
        <f>_xll.qlCalendarAdvance(calendar,AK3569,"1D")</f>
        <v>47638</v>
      </c>
      <c r="AL3570" s="21">
        <f>_xll.qlInterestRateIndexValueDate(hiborindex,AK3570)</f>
        <v>47640</v>
      </c>
      <c r="AM3570" s="23">
        <f>_xll.qlIndexFixing(hiborindex,AK3570)</f>
        <v>1.2886548623478928E-2</v>
      </c>
    </row>
    <row r="3571" spans="37:39" x14ac:dyDescent="0.25">
      <c r="AK3571" s="21">
        <f>_xll.qlCalendarAdvance(calendar,AK3570,"1D")</f>
        <v>47639</v>
      </c>
      <c r="AL3571" s="21">
        <f>_xll.qlInterestRateIndexValueDate(hiborindex,AK3571)</f>
        <v>47641</v>
      </c>
      <c r="AM3571" s="23">
        <f>_xll.qlIndexFixing(hiborindex,AK3571)</f>
        <v>1.2883137477565226E-2</v>
      </c>
    </row>
    <row r="3572" spans="37:39" x14ac:dyDescent="0.25">
      <c r="AK3572" s="21">
        <f>_xll.qlCalendarAdvance(calendar,AK3571,"1D")</f>
        <v>47640</v>
      </c>
      <c r="AL3572" s="21">
        <f>_xll.qlInterestRateIndexValueDate(hiborindex,AK3572)</f>
        <v>47644</v>
      </c>
      <c r="AM3572" s="23">
        <f>_xll.qlIndexFixing(hiborindex,AK3572)</f>
        <v>1.2867924609184457E-2</v>
      </c>
    </row>
    <row r="3573" spans="37:39" x14ac:dyDescent="0.25">
      <c r="AK3573" s="21">
        <f>_xll.qlCalendarAdvance(calendar,AK3572,"1D")</f>
        <v>47641</v>
      </c>
      <c r="AL3573" s="21">
        <f>_xll.qlInterestRateIndexValueDate(hiborindex,AK3573)</f>
        <v>47645</v>
      </c>
      <c r="AM3573" s="23">
        <f>_xll.qlIndexFixing(hiborindex,AK3573)</f>
        <v>1.2863261693121133E-2</v>
      </c>
    </row>
    <row r="3574" spans="37:39" x14ac:dyDescent="0.25">
      <c r="AK3574" s="21">
        <f>_xll.qlCalendarAdvance(calendar,AK3573,"1D")</f>
        <v>47644</v>
      </c>
      <c r="AL3574" s="21">
        <f>_xll.qlInterestRateIndexValueDate(hiborindex,AK3574)</f>
        <v>47646</v>
      </c>
      <c r="AM3574" s="23">
        <f>_xll.qlIndexFixing(hiborindex,AK3574)</f>
        <v>1.2858596012101894E-2</v>
      </c>
    </row>
    <row r="3575" spans="37:39" x14ac:dyDescent="0.25">
      <c r="AK3575" s="21">
        <f>_xll.qlCalendarAdvance(calendar,AK3574,"1D")</f>
        <v>47645</v>
      </c>
      <c r="AL3575" s="21">
        <f>_xll.qlInterestRateIndexValueDate(hiborindex,AK3575)</f>
        <v>47647</v>
      </c>
      <c r="AM3575" s="23">
        <f>_xll.qlIndexFixing(hiborindex,AK3575)</f>
        <v>1.2853927566145089E-2</v>
      </c>
    </row>
    <row r="3576" spans="37:39" x14ac:dyDescent="0.25">
      <c r="AK3576" s="21">
        <f>_xll.qlCalendarAdvance(calendar,AK3575,"1D")</f>
        <v>47646</v>
      </c>
      <c r="AL3576" s="21">
        <f>_xll.qlInterestRateIndexValueDate(hiborindex,AK3576)</f>
        <v>47648</v>
      </c>
      <c r="AM3576" s="23">
        <f>_xll.qlIndexFixing(hiborindex,AK3576)</f>
        <v>1.2851028132734227E-2</v>
      </c>
    </row>
    <row r="3577" spans="37:39" x14ac:dyDescent="0.25">
      <c r="AK3577" s="21">
        <f>_xll.qlCalendarAdvance(calendar,AK3576,"1D")</f>
        <v>47647</v>
      </c>
      <c r="AL3577" s="21">
        <f>_xll.qlInterestRateIndexValueDate(hiborindex,AK3577)</f>
        <v>47651</v>
      </c>
      <c r="AM3577" s="23">
        <f>_xll.qlIndexFixing(hiborindex,AK3577)</f>
        <v>1.2835226133341855E-2</v>
      </c>
    </row>
    <row r="3578" spans="37:39" x14ac:dyDescent="0.25">
      <c r="AK3578" s="21">
        <f>_xll.qlCalendarAdvance(calendar,AK3577,"1D")</f>
        <v>47648</v>
      </c>
      <c r="AL3578" s="21">
        <f>_xll.qlInterestRateIndexValueDate(hiborindex,AK3578)</f>
        <v>47652</v>
      </c>
      <c r="AM3578" s="23">
        <f>_xll.qlIndexFixing(hiborindex,AK3578)</f>
        <v>1.2830543862994235E-2</v>
      </c>
    </row>
    <row r="3579" spans="37:39" x14ac:dyDescent="0.25">
      <c r="AK3579" s="21">
        <f>_xll.qlCalendarAdvance(calendar,AK3578,"1D")</f>
        <v>47651</v>
      </c>
      <c r="AL3579" s="21">
        <f>_xll.qlInterestRateIndexValueDate(hiborindex,AK3579)</f>
        <v>47653</v>
      </c>
      <c r="AM3579" s="23">
        <f>_xll.qlIndexFixing(hiborindex,AK3579)</f>
        <v>1.2825858827828296E-2</v>
      </c>
    </row>
    <row r="3580" spans="37:39" x14ac:dyDescent="0.25">
      <c r="AK3580" s="21">
        <f>_xll.qlCalendarAdvance(calendar,AK3579,"1D")</f>
        <v>47652</v>
      </c>
      <c r="AL3580" s="21">
        <f>_xll.qlInterestRateIndexValueDate(hiborindex,AK3580)</f>
        <v>47654</v>
      </c>
      <c r="AM3580" s="23">
        <f>_xll.qlIndexFixing(hiborindex,AK3580)</f>
        <v>1.2821171027862384E-2</v>
      </c>
    </row>
    <row r="3581" spans="37:39" x14ac:dyDescent="0.25">
      <c r="AK3581" s="21">
        <f>_xll.qlCalendarAdvance(calendar,AK3580,"1D")</f>
        <v>47653</v>
      </c>
      <c r="AL3581" s="21">
        <f>_xll.qlInterestRateIndexValueDate(hiborindex,AK3581)</f>
        <v>47655</v>
      </c>
      <c r="AM3581" s="23">
        <f>_xll.qlIndexFixing(hiborindex,AK3581)</f>
        <v>1.281878475699059E-2</v>
      </c>
    </row>
    <row r="3582" spans="37:39" x14ac:dyDescent="0.25">
      <c r="AK3582" s="21">
        <f>_xll.qlCalendarAdvance(calendar,AK3581,"1D")</f>
        <v>47654</v>
      </c>
      <c r="AL3582" s="21">
        <f>_xll.qlInterestRateIndexValueDate(hiborindex,AK3582)</f>
        <v>47658</v>
      </c>
      <c r="AM3582" s="23">
        <f>_xll.qlIndexFixing(hiborindex,AK3582)</f>
        <v>1.2802392180398676E-2</v>
      </c>
    </row>
    <row r="3583" spans="37:39" x14ac:dyDescent="0.25">
      <c r="AK3583" s="21">
        <f>_xll.qlCalendarAdvance(calendar,AK3582,"1D")</f>
        <v>47655</v>
      </c>
      <c r="AL3583" s="21">
        <f>_xll.qlInterestRateIndexValueDate(hiborindex,AK3583)</f>
        <v>47659</v>
      </c>
      <c r="AM3583" s="23">
        <f>_xll.qlIndexFixing(hiborindex,AK3583)</f>
        <v>1.2800299796260066E-2</v>
      </c>
    </row>
    <row r="3584" spans="37:39" x14ac:dyDescent="0.25">
      <c r="AK3584" s="21">
        <f>_xll.qlCalendarAdvance(calendar,AK3583,"1D")</f>
        <v>47658</v>
      </c>
      <c r="AL3584" s="21">
        <f>_xll.qlInterestRateIndexValueDate(hiborindex,AK3584)</f>
        <v>47660</v>
      </c>
      <c r="AM3584" s="23">
        <f>_xll.qlIndexFixing(hiborindex,AK3584)</f>
        <v>1.2794328483989701E-2</v>
      </c>
    </row>
    <row r="3585" spans="37:39" x14ac:dyDescent="0.25">
      <c r="AK3585" s="21">
        <f>_xll.qlCalendarAdvance(calendar,AK3584,"1D")</f>
        <v>47659</v>
      </c>
      <c r="AL3585" s="21">
        <f>_xll.qlInterestRateIndexValueDate(hiborindex,AK3585)</f>
        <v>47661</v>
      </c>
      <c r="AM3585" s="23">
        <f>_xll.qlIndexFixing(hiborindex,AK3585)</f>
        <v>1.2788279015372089E-2</v>
      </c>
    </row>
    <row r="3586" spans="37:39" x14ac:dyDescent="0.25">
      <c r="AK3586" s="21">
        <f>_xll.qlCalendarAdvance(calendar,AK3585,"1D")</f>
        <v>47660</v>
      </c>
      <c r="AL3586" s="21">
        <f>_xll.qlInterestRateIndexValueDate(hiborindex,AK3586)</f>
        <v>47662</v>
      </c>
      <c r="AM3586" s="23">
        <f>_xll.qlIndexFixing(hiborindex,AK3586)</f>
        <v>1.2787826622368098E-2</v>
      </c>
    </row>
    <row r="3587" spans="37:39" x14ac:dyDescent="0.25">
      <c r="AK3587" s="21">
        <f>_xll.qlCalendarAdvance(calendar,AK3586,"1D")</f>
        <v>47661</v>
      </c>
      <c r="AL3587" s="21">
        <f>_xll.qlInterestRateIndexValueDate(hiborindex,AK3587)</f>
        <v>47665</v>
      </c>
      <c r="AM3587" s="23">
        <f>_xll.qlIndexFixing(hiborindex,AK3587)</f>
        <v>1.2793563230066108E-2</v>
      </c>
    </row>
    <row r="3588" spans="37:39" x14ac:dyDescent="0.25">
      <c r="AK3588" s="21">
        <f>_xll.qlCalendarAdvance(calendar,AK3587,"1D")</f>
        <v>47662</v>
      </c>
      <c r="AL3588" s="21">
        <f>_xll.qlInterestRateIndexValueDate(hiborindex,AK3588)</f>
        <v>47666</v>
      </c>
      <c r="AM3588" s="23">
        <f>_xll.qlIndexFixing(hiborindex,AK3588)</f>
        <v>1.2794529008359853E-2</v>
      </c>
    </row>
    <row r="3589" spans="37:39" x14ac:dyDescent="0.25">
      <c r="AK3589" s="21">
        <f>_xll.qlCalendarAdvance(calendar,AK3588,"1D")</f>
        <v>47665</v>
      </c>
      <c r="AL3589" s="21">
        <f>_xll.qlInterestRateIndexValueDate(hiborindex,AK3589)</f>
        <v>47667</v>
      </c>
      <c r="AM3589" s="23">
        <f>_xll.qlIndexFixing(hiborindex,AK3589)</f>
        <v>1.2796914222148507E-2</v>
      </c>
    </row>
    <row r="3590" spans="37:39" x14ac:dyDescent="0.25">
      <c r="AK3590" s="21">
        <f>_xll.qlCalendarAdvance(calendar,AK3589,"1D")</f>
        <v>47666</v>
      </c>
      <c r="AL3590" s="21">
        <f>_xll.qlInterestRateIndexValueDate(hiborindex,AK3590)</f>
        <v>47668</v>
      </c>
      <c r="AM3590" s="23">
        <f>_xll.qlIndexFixing(hiborindex,AK3590)</f>
        <v>1.2802138910413137E-2</v>
      </c>
    </row>
    <row r="3591" spans="37:39" x14ac:dyDescent="0.25">
      <c r="AK3591" s="21">
        <f>_xll.qlCalendarAdvance(calendar,AK3590,"1D")</f>
        <v>47667</v>
      </c>
      <c r="AL3591" s="21">
        <f>_xll.qlInterestRateIndexValueDate(hiborindex,AK3591)</f>
        <v>47669</v>
      </c>
      <c r="AM3591" s="23">
        <f>_xll.qlIndexFixing(hiborindex,AK3591)</f>
        <v>1.2803104434858834E-2</v>
      </c>
    </row>
    <row r="3592" spans="37:39" x14ac:dyDescent="0.25">
      <c r="AK3592" s="21">
        <f>_xll.qlCalendarAdvance(calendar,AK3591,"1D")</f>
        <v>47668</v>
      </c>
      <c r="AL3592" s="21">
        <f>_xll.qlInterestRateIndexValueDate(hiborindex,AK3592)</f>
        <v>47672</v>
      </c>
      <c r="AM3592" s="23">
        <f>_xll.qlIndexFixing(hiborindex,AK3592)</f>
        <v>1.2808840334425812E-2</v>
      </c>
    </row>
    <row r="3593" spans="37:39" x14ac:dyDescent="0.25">
      <c r="AK3593" s="21">
        <f>_xll.qlCalendarAdvance(calendar,AK3592,"1D")</f>
        <v>47669</v>
      </c>
      <c r="AL3593" s="21">
        <f>_xll.qlInterestRateIndexValueDate(hiborindex,AK3593)</f>
        <v>47673</v>
      </c>
      <c r="AM3593" s="23">
        <f>_xll.qlIndexFixing(hiborindex,AK3593)</f>
        <v>1.2811225565548427E-2</v>
      </c>
    </row>
    <row r="3594" spans="37:39" x14ac:dyDescent="0.25">
      <c r="AK3594" s="21">
        <f>_xll.qlCalendarAdvance(calendar,AK3593,"1D")</f>
        <v>47672</v>
      </c>
      <c r="AL3594" s="21">
        <f>_xll.qlInterestRateIndexValueDate(hiborindex,AK3594)</f>
        <v>47674</v>
      </c>
      <c r="AM3594" s="23">
        <f>_xll.qlIndexFixing(hiborindex,AK3594)</f>
        <v>1.28136107995596E-2</v>
      </c>
    </row>
    <row r="3595" spans="37:39" x14ac:dyDescent="0.25">
      <c r="AK3595" s="21">
        <f>_xll.qlCalendarAdvance(calendar,AK3594,"1D")</f>
        <v>47673</v>
      </c>
      <c r="AL3595" s="21">
        <f>_xll.qlInterestRateIndexValueDate(hiborindex,AK3595)</f>
        <v>47675</v>
      </c>
      <c r="AM3595" s="23">
        <f>_xll.qlIndexFixing(hiborindex,AK3595)</f>
        <v>1.281883671268476E-2</v>
      </c>
    </row>
    <row r="3596" spans="37:39" x14ac:dyDescent="0.25">
      <c r="AK3596" s="21">
        <f>_xll.qlCalendarAdvance(calendar,AK3595,"1D")</f>
        <v>47674</v>
      </c>
      <c r="AL3596" s="21">
        <f>_xll.qlInterestRateIndexValueDate(hiborindex,AK3596)</f>
        <v>47676</v>
      </c>
      <c r="AM3596" s="23">
        <f>_xll.qlIndexFixing(hiborindex,AK3596)</f>
        <v>1.2819801655078919E-2</v>
      </c>
    </row>
    <row r="3597" spans="37:39" x14ac:dyDescent="0.25">
      <c r="AK3597" s="21">
        <f>_xll.qlCalendarAdvance(calendar,AK3596,"1D")</f>
        <v>47675</v>
      </c>
      <c r="AL3597" s="21">
        <f>_xll.qlInterestRateIndexValueDate(hiborindex,AK3597)</f>
        <v>47679</v>
      </c>
      <c r="AM3597" s="23">
        <f>_xll.qlIndexFixing(hiborindex,AK3597)</f>
        <v>1.2825537012950803E-2</v>
      </c>
    </row>
    <row r="3598" spans="37:39" x14ac:dyDescent="0.25">
      <c r="AK3598" s="21">
        <f>_xll.qlCalendarAdvance(calendar,AK3597,"1D")</f>
        <v>47676</v>
      </c>
      <c r="AL3598" s="21">
        <f>_xll.qlInterestRateIndexValueDate(hiborindex,AK3598)</f>
        <v>47680</v>
      </c>
      <c r="AM3598" s="23">
        <f>_xll.qlIndexFixing(hiborindex,AK3598)</f>
        <v>1.2827922264296372E-2</v>
      </c>
    </row>
    <row r="3599" spans="37:39" x14ac:dyDescent="0.25">
      <c r="AK3599" s="21">
        <f>_xll.qlCalendarAdvance(calendar,AK3598,"1D")</f>
        <v>47679</v>
      </c>
      <c r="AL3599" s="21">
        <f>_xll.qlInterestRateIndexValueDate(hiborindex,AK3599)</f>
        <v>47681</v>
      </c>
      <c r="AM3599" s="23">
        <f>_xll.qlIndexFixing(hiborindex,AK3599)</f>
        <v>1.2830307518530499E-2</v>
      </c>
    </row>
    <row r="3600" spans="37:39" x14ac:dyDescent="0.25">
      <c r="AK3600" s="21">
        <f>_xll.qlCalendarAdvance(calendar,AK3599,"1D")</f>
        <v>47680</v>
      </c>
      <c r="AL3600" s="21">
        <f>_xll.qlInterestRateIndexValueDate(hiborindex,AK3600)</f>
        <v>47682</v>
      </c>
      <c r="AM3600" s="23">
        <f>_xll.qlIndexFixing(hiborindex,AK3600)</f>
        <v>1.2835534658064703E-2</v>
      </c>
    </row>
    <row r="3601" spans="37:39" x14ac:dyDescent="0.25">
      <c r="AK3601" s="21">
        <f>_xll.qlCalendarAdvance(calendar,AK3600,"1D")</f>
        <v>47681</v>
      </c>
      <c r="AL3601" s="21">
        <f>_xll.qlInterestRateIndexValueDate(hiborindex,AK3601)</f>
        <v>47683</v>
      </c>
      <c r="AM3601" s="23">
        <f>_xll.qlIndexFixing(hiborindex,AK3601)</f>
        <v>1.283649901763358E-2</v>
      </c>
    </row>
    <row r="3602" spans="37:39" x14ac:dyDescent="0.25">
      <c r="AK3602" s="21">
        <f>_xll.qlCalendarAdvance(calendar,AK3601,"1D")</f>
        <v>47682</v>
      </c>
      <c r="AL3602" s="21">
        <f>_xll.qlInterestRateIndexValueDate(hiborindex,AK3602)</f>
        <v>47686</v>
      </c>
      <c r="AM3602" s="23">
        <f>_xll.qlIndexFixing(hiborindex,AK3602)</f>
        <v>1.2842233833036471E-2</v>
      </c>
    </row>
    <row r="3603" spans="37:39" x14ac:dyDescent="0.25">
      <c r="AK3603" s="21">
        <f>_xll.qlCalendarAdvance(calendar,AK3602,"1D")</f>
        <v>47683</v>
      </c>
      <c r="AL3603" s="21">
        <f>_xll.qlInterestRateIndexValueDate(hiborindex,AK3603)</f>
        <v>47687</v>
      </c>
      <c r="AM3603" s="23">
        <f>_xll.qlIndexFixing(hiborindex,AK3603)</f>
        <v>1.2844619104604559E-2</v>
      </c>
    </row>
    <row r="3604" spans="37:39" x14ac:dyDescent="0.25">
      <c r="AK3604" s="21">
        <f>_xll.qlCalendarAdvance(calendar,AK3603,"1D")</f>
        <v>47686</v>
      </c>
      <c r="AL3604" s="21">
        <f>_xll.qlInterestRateIndexValueDate(hiborindex,AK3604)</f>
        <v>47688</v>
      </c>
      <c r="AM3604" s="23">
        <f>_xll.qlIndexFixing(hiborindex,AK3604)</f>
        <v>1.284700437906164E-2</v>
      </c>
    </row>
    <row r="3605" spans="37:39" x14ac:dyDescent="0.25">
      <c r="AK3605" s="21">
        <f>_xll.qlCalendarAdvance(calendar,AK3604,"1D")</f>
        <v>47687</v>
      </c>
      <c r="AL3605" s="21">
        <f>_xll.qlInterestRateIndexValueDate(hiborindex,AK3605)</f>
        <v>47689</v>
      </c>
      <c r="AM3605" s="23">
        <f>_xll.qlIndexFixing(hiborindex,AK3605)</f>
        <v>1.2852232746554688E-2</v>
      </c>
    </row>
    <row r="3606" spans="37:39" x14ac:dyDescent="0.25">
      <c r="AK3606" s="21">
        <f>_xll.qlCalendarAdvance(calendar,AK3605,"1D")</f>
        <v>47688</v>
      </c>
      <c r="AL3606" s="21">
        <f>_xll.qlInterestRateIndexValueDate(hiborindex,AK3606)</f>
        <v>47690</v>
      </c>
      <c r="AM3606" s="23">
        <f>_xll.qlIndexFixing(hiborindex,AK3606)</f>
        <v>1.2853196522523251E-2</v>
      </c>
    </row>
    <row r="3607" spans="37:39" x14ac:dyDescent="0.25">
      <c r="AK3607" s="21">
        <f>_xll.qlCalendarAdvance(calendar,AK3606,"1D")</f>
        <v>47689</v>
      </c>
      <c r="AL3607" s="21">
        <f>_xll.qlInterestRateIndexValueDate(hiborindex,AK3607)</f>
        <v>47693</v>
      </c>
      <c r="AM3607" s="23">
        <f>_xll.qlIndexFixing(hiborindex,AK3607)</f>
        <v>1.2858930794683251E-2</v>
      </c>
    </row>
    <row r="3608" spans="37:39" x14ac:dyDescent="0.25">
      <c r="AK3608" s="21">
        <f>_xll.qlCalendarAdvance(calendar,AK3607,"1D")</f>
        <v>47690</v>
      </c>
      <c r="AL3608" s="21">
        <f>_xll.qlInterestRateIndexValueDate(hiborindex,AK3608)</f>
        <v>47694</v>
      </c>
      <c r="AM3608" s="23">
        <f>_xll.qlIndexFixing(hiborindex,AK3608)</f>
        <v>1.2861316086474726E-2</v>
      </c>
    </row>
    <row r="3609" spans="37:39" x14ac:dyDescent="0.25">
      <c r="AK3609" s="21">
        <f>_xll.qlCalendarAdvance(calendar,AK3608,"1D")</f>
        <v>47693</v>
      </c>
      <c r="AL3609" s="21">
        <f>_xll.qlInterestRateIndexValueDate(hiborindex,AK3609)</f>
        <v>47695</v>
      </c>
      <c r="AM3609" s="23">
        <f>_xll.qlIndexFixing(hiborindex,AK3609)</f>
        <v>1.2863701381155196E-2</v>
      </c>
    </row>
    <row r="3610" spans="37:39" x14ac:dyDescent="0.25">
      <c r="AK3610" s="21">
        <f>_xll.qlCalendarAdvance(calendar,AK3609,"1D")</f>
        <v>47694</v>
      </c>
      <c r="AL3610" s="21">
        <f>_xll.qlInterestRateIndexValueDate(hiborindex,AK3610)</f>
        <v>47696</v>
      </c>
      <c r="AM3610" s="23">
        <f>_xll.qlIndexFixing(hiborindex,AK3610)</f>
        <v>1.2868930978155571E-2</v>
      </c>
    </row>
    <row r="3611" spans="37:39" x14ac:dyDescent="0.25">
      <c r="AK3611" s="21">
        <f>_xll.qlCalendarAdvance(calendar,AK3610,"1D")</f>
        <v>47695</v>
      </c>
      <c r="AL3611" s="21">
        <f>_xll.qlInterestRateIndexValueDate(hiborindex,AK3611)</f>
        <v>47697</v>
      </c>
      <c r="AM3611" s="23">
        <f>_xll.qlIndexFixing(hiborindex,AK3611)</f>
        <v>1.2869894169750089E-2</v>
      </c>
    </row>
    <row r="3612" spans="37:39" x14ac:dyDescent="0.25">
      <c r="AK3612" s="21">
        <f>_xll.qlCalendarAdvance(calendar,AK3611,"1D")</f>
        <v>47696</v>
      </c>
      <c r="AL3612" s="21">
        <f>_xll.qlInterestRateIndexValueDate(hiborindex,AK3612)</f>
        <v>47700</v>
      </c>
      <c r="AM3612" s="23">
        <f>_xll.qlIndexFixing(hiborindex,AK3612)</f>
        <v>1.2875627897892877E-2</v>
      </c>
    </row>
    <row r="3613" spans="37:39" x14ac:dyDescent="0.25">
      <c r="AK3613" s="21">
        <f>_xll.qlCalendarAdvance(calendar,AK3612,"1D")</f>
        <v>47697</v>
      </c>
      <c r="AL3613" s="21">
        <f>_xll.qlInterestRateIndexValueDate(hiborindex,AK3613)</f>
        <v>47701</v>
      </c>
      <c r="AM3613" s="23">
        <f>_xll.qlIndexFixing(hiborindex,AK3613)</f>
        <v>1.2878013209907741E-2</v>
      </c>
    </row>
    <row r="3614" spans="37:39" x14ac:dyDescent="0.25">
      <c r="AK3614" s="21">
        <f>_xll.qlCalendarAdvance(calendar,AK3613,"1D")</f>
        <v>47700</v>
      </c>
      <c r="AL3614" s="21">
        <f>_xll.qlInterestRateIndexValueDate(hiborindex,AK3614)</f>
        <v>47702</v>
      </c>
      <c r="AM3614" s="23">
        <f>_xll.qlIndexFixing(hiborindex,AK3614)</f>
        <v>1.28803985248116E-2</v>
      </c>
    </row>
    <row r="3615" spans="37:39" x14ac:dyDescent="0.25">
      <c r="AK3615" s="21">
        <f>_xll.qlCalendarAdvance(calendar,AK3614,"1D")</f>
        <v>47701</v>
      </c>
      <c r="AL3615" s="21">
        <f>_xll.qlInterestRateIndexValueDate(hiborindex,AK3615)</f>
        <v>47703</v>
      </c>
      <c r="AM3615" s="23">
        <f>_xll.qlIndexFixing(hiborindex,AK3615)</f>
        <v>1.2885629352869072E-2</v>
      </c>
    </row>
    <row r="3616" spans="37:39" x14ac:dyDescent="0.25">
      <c r="AK3616" s="21">
        <f>_xll.qlCalendarAdvance(calendar,AK3615,"1D")</f>
        <v>47702</v>
      </c>
      <c r="AL3616" s="21">
        <f>_xll.qlInterestRateIndexValueDate(hiborindex,AK3616)</f>
        <v>47704</v>
      </c>
      <c r="AM3616" s="23">
        <f>_xll.qlIndexFixing(hiborindex,AK3616)</f>
        <v>1.2886591959314962E-2</v>
      </c>
    </row>
    <row r="3617" spans="37:39" x14ac:dyDescent="0.25">
      <c r="AK3617" s="21">
        <f>_xll.qlCalendarAdvance(calendar,AK3616,"1D")</f>
        <v>47703</v>
      </c>
      <c r="AL3617" s="21">
        <f>_xll.qlInterestRateIndexValueDate(hiborindex,AK3617)</f>
        <v>47707</v>
      </c>
      <c r="AM3617" s="23">
        <f>_xll.qlIndexFixing(hiborindex,AK3617)</f>
        <v>1.2892325142666656E-2</v>
      </c>
    </row>
    <row r="3618" spans="37:39" x14ac:dyDescent="0.25">
      <c r="AK3618" s="21">
        <f>_xll.qlCalendarAdvance(calendar,AK3617,"1D")</f>
        <v>47704</v>
      </c>
      <c r="AL3618" s="21">
        <f>_xll.qlInterestRateIndexValueDate(hiborindex,AK3618)</f>
        <v>47708</v>
      </c>
      <c r="AM3618" s="23">
        <f>_xll.qlIndexFixing(hiborindex,AK3618)</f>
        <v>1.2894710474904474E-2</v>
      </c>
    </row>
    <row r="3619" spans="37:39" x14ac:dyDescent="0.25">
      <c r="AK3619" s="21">
        <f>_xll.qlCalendarAdvance(calendar,AK3618,"1D")</f>
        <v>47707</v>
      </c>
      <c r="AL3619" s="21">
        <f>_xll.qlInterestRateIndexValueDate(hiborindex,AK3619)</f>
        <v>47709</v>
      </c>
      <c r="AM3619" s="23">
        <f>_xll.qlIndexFixing(hiborindex,AK3619)</f>
        <v>1.289709581003172E-2</v>
      </c>
    </row>
    <row r="3620" spans="37:39" x14ac:dyDescent="0.25">
      <c r="AK3620" s="21">
        <f>_xll.qlCalendarAdvance(calendar,AK3619,"1D")</f>
        <v>47708</v>
      </c>
      <c r="AL3620" s="21">
        <f>_xll.qlInterestRateIndexValueDate(hiborindex,AK3620)</f>
        <v>47710</v>
      </c>
      <c r="AM3620" s="23">
        <f>_xll.qlIndexFixing(hiborindex,AK3620)</f>
        <v>1.2902327870696052E-2</v>
      </c>
    </row>
    <row r="3621" spans="37:39" x14ac:dyDescent="0.25">
      <c r="AK3621" s="21">
        <f>_xll.qlCalendarAdvance(calendar,AK3620,"1D")</f>
        <v>47709</v>
      </c>
      <c r="AL3621" s="21">
        <f>_xll.qlInterestRateIndexValueDate(hiborindex,AK3621)</f>
        <v>47711</v>
      </c>
      <c r="AM3621" s="23">
        <f>_xll.qlIndexFixing(hiborindex,AK3621)</f>
        <v>1.2903289891218731E-2</v>
      </c>
    </row>
    <row r="3622" spans="37:39" x14ac:dyDescent="0.25">
      <c r="AK3622" s="21">
        <f>_xll.qlCalendarAdvance(calendar,AK3621,"1D")</f>
        <v>47710</v>
      </c>
      <c r="AL3622" s="21">
        <f>_xll.qlInterestRateIndexValueDate(hiborindex,AK3622)</f>
        <v>47714</v>
      </c>
      <c r="AM3622" s="23">
        <f>_xll.qlIndexFixing(hiborindex,AK3622)</f>
        <v>1.2909022529005021E-2</v>
      </c>
    </row>
    <row r="3623" spans="37:39" x14ac:dyDescent="0.25">
      <c r="AK3623" s="21">
        <f>_xll.qlCalendarAdvance(calendar,AK3622,"1D")</f>
        <v>47711</v>
      </c>
      <c r="AL3623" s="21">
        <f>_xll.qlInterestRateIndexValueDate(hiborindex,AK3623)</f>
        <v>47715</v>
      </c>
      <c r="AM3623" s="23">
        <f>_xll.qlIndexFixing(hiborindex,AK3623)</f>
        <v>1.2911407881467097E-2</v>
      </c>
    </row>
    <row r="3624" spans="37:39" x14ac:dyDescent="0.25">
      <c r="AK3624" s="21">
        <f>_xll.qlCalendarAdvance(calendar,AK3623,"1D")</f>
        <v>47714</v>
      </c>
      <c r="AL3624" s="21">
        <f>_xll.qlInterestRateIndexValueDate(hiborindex,AK3624)</f>
        <v>47716</v>
      </c>
      <c r="AM3624" s="23">
        <f>_xll.qlIndexFixing(hiborindex,AK3624)</f>
        <v>1.2913793236818164E-2</v>
      </c>
    </row>
    <row r="3625" spans="37:39" x14ac:dyDescent="0.25">
      <c r="AK3625" s="21">
        <f>_xll.qlCalendarAdvance(calendar,AK3624,"1D")</f>
        <v>47715</v>
      </c>
      <c r="AL3625" s="21">
        <f>_xll.qlInterestRateIndexValueDate(hiborindex,AK3625)</f>
        <v>47717</v>
      </c>
      <c r="AM3625" s="23">
        <f>_xll.qlIndexFixing(hiborindex,AK3625)</f>
        <v>1.2919026531637798E-2</v>
      </c>
    </row>
    <row r="3626" spans="37:39" x14ac:dyDescent="0.25">
      <c r="AK3626" s="21">
        <f>_xll.qlCalendarAdvance(calendar,AK3625,"1D")</f>
        <v>47716</v>
      </c>
      <c r="AL3626" s="21">
        <f>_xll.qlInterestRateIndexValueDate(hiborindex,AK3626)</f>
        <v>47718</v>
      </c>
      <c r="AM3626" s="23">
        <f>_xll.qlIndexFixing(hiborindex,AK3626)</f>
        <v>1.2919987965463127E-2</v>
      </c>
    </row>
    <row r="3627" spans="37:39" x14ac:dyDescent="0.25">
      <c r="AK3627" s="21">
        <f>_xll.qlCalendarAdvance(calendar,AK3626,"1D")</f>
        <v>47717</v>
      </c>
      <c r="AL3627" s="21">
        <f>_xll.qlInterestRateIndexValueDate(hiborindex,AK3627)</f>
        <v>47721</v>
      </c>
      <c r="AM3627" s="23">
        <f>_xll.qlIndexFixing(hiborindex,AK3627)</f>
        <v>1.2925720056910145E-2</v>
      </c>
    </row>
    <row r="3628" spans="37:39" x14ac:dyDescent="0.25">
      <c r="AK3628" s="21">
        <f>_xll.qlCalendarAdvance(calendar,AK3627,"1D")</f>
        <v>47718</v>
      </c>
      <c r="AL3628" s="21">
        <f>_xll.qlInterestRateIndexValueDate(hiborindex,AK3628)</f>
        <v>47722</v>
      </c>
      <c r="AM3628" s="23">
        <f>_xll.qlIndexFixing(hiborindex,AK3628)</f>
        <v>1.2928105429596042E-2</v>
      </c>
    </row>
    <row r="3629" spans="37:39" x14ac:dyDescent="0.25">
      <c r="AK3629" s="21">
        <f>_xll.qlCalendarAdvance(calendar,AK3628,"1D")</f>
        <v>47721</v>
      </c>
      <c r="AL3629" s="21">
        <f>_xll.qlInterestRateIndexValueDate(hiborindex,AK3629)</f>
        <v>47723</v>
      </c>
      <c r="AM3629" s="23">
        <f>_xll.qlIndexFixing(hiborindex,AK3629)</f>
        <v>1.2930490805170933E-2</v>
      </c>
    </row>
    <row r="3630" spans="37:39" x14ac:dyDescent="0.25">
      <c r="AK3630" s="21">
        <f>_xll.qlCalendarAdvance(calendar,AK3629,"1D")</f>
        <v>47722</v>
      </c>
      <c r="AL3630" s="21">
        <f>_xll.qlInterestRateIndexValueDate(hiborindex,AK3630)</f>
        <v>47724</v>
      </c>
      <c r="AM3630" s="23">
        <f>_xll.qlIndexFixing(hiborindex,AK3630)</f>
        <v>1.2931451745118687E-2</v>
      </c>
    </row>
    <row r="3631" spans="37:39" x14ac:dyDescent="0.25">
      <c r="AK3631" s="21">
        <f>_xll.qlCalendarAdvance(calendar,AK3630,"1D")</f>
        <v>47723</v>
      </c>
      <c r="AL3631" s="21">
        <f>_xll.qlInterestRateIndexValueDate(hiborindex,AK3631)</f>
        <v>47725</v>
      </c>
      <c r="AM3631" s="23">
        <f>_xll.qlIndexFixing(hiborindex,AK3631)</f>
        <v>1.2932412605918106E-2</v>
      </c>
    </row>
    <row r="3632" spans="37:39" x14ac:dyDescent="0.25">
      <c r="AK3632" s="21">
        <f>_xll.qlCalendarAdvance(calendar,AK3631,"1D")</f>
        <v>47724</v>
      </c>
      <c r="AL3632" s="21">
        <f>_xll.qlInterestRateIndexValueDate(hiborindex,AK3632)</f>
        <v>47728</v>
      </c>
      <c r="AM3632" s="23">
        <f>_xll.qlIndexFixing(hiborindex,AK3632)</f>
        <v>1.2939568246049525E-2</v>
      </c>
    </row>
    <row r="3633" spans="37:39" x14ac:dyDescent="0.25">
      <c r="AK3633" s="21">
        <f>_xll.qlCalendarAdvance(calendar,AK3632,"1D")</f>
        <v>47725</v>
      </c>
      <c r="AL3633" s="21">
        <f>_xll.qlInterestRateIndexValueDate(hiborindex,AK3633)</f>
        <v>47729</v>
      </c>
      <c r="AM3633" s="23">
        <f>_xll.qlIndexFixing(hiborindex,AK3633)</f>
        <v>1.2940528775672023E-2</v>
      </c>
    </row>
    <row r="3634" spans="37:39" x14ac:dyDescent="0.25">
      <c r="AK3634" s="21">
        <f>_xll.qlCalendarAdvance(calendar,AK3633,"1D")</f>
        <v>47728</v>
      </c>
      <c r="AL3634" s="21">
        <f>_xll.qlInterestRateIndexValueDate(hiborindex,AK3634)</f>
        <v>47730</v>
      </c>
      <c r="AM3634" s="23">
        <f>_xll.qlIndexFixing(hiborindex,AK3634)</f>
        <v>1.2942913910725462E-2</v>
      </c>
    </row>
    <row r="3635" spans="37:39" x14ac:dyDescent="0.25">
      <c r="AK3635" s="21">
        <f>_xll.qlCalendarAdvance(calendar,AK3634,"1D")</f>
        <v>47729</v>
      </c>
      <c r="AL3635" s="21">
        <f>_xll.qlInterestRateIndexValueDate(hiborindex,AK3635)</f>
        <v>47731</v>
      </c>
      <c r="AM3635" s="23">
        <f>_xll.qlIndexFixing(hiborindex,AK3635)</f>
        <v>1.2945299048620828E-2</v>
      </c>
    </row>
    <row r="3636" spans="37:39" x14ac:dyDescent="0.25">
      <c r="AK3636" s="21">
        <f>_xll.qlCalendarAdvance(calendar,AK3635,"1D")</f>
        <v>47730</v>
      </c>
      <c r="AL3636" s="21">
        <f>_xll.qlInterestRateIndexValueDate(hiborindex,AK3636)</f>
        <v>47732</v>
      </c>
      <c r="AM3636" s="23">
        <f>_xll.qlIndexFixing(hiborindex,AK3636)</f>
        <v>1.2947684189357678E-2</v>
      </c>
    </row>
    <row r="3637" spans="37:39" x14ac:dyDescent="0.25">
      <c r="AK3637" s="21">
        <f>_xll.qlCalendarAdvance(calendar,AK3636,"1D")</f>
        <v>47731</v>
      </c>
      <c r="AL3637" s="21">
        <f>_xll.qlInterestRateIndexValueDate(hiborindex,AK3637)</f>
        <v>47735</v>
      </c>
      <c r="AM3637" s="23">
        <f>_xll.qlIndexFixing(hiborindex,AK3637)</f>
        <v>1.2956264839703562E-2</v>
      </c>
    </row>
    <row r="3638" spans="37:39" x14ac:dyDescent="0.25">
      <c r="AK3638" s="21">
        <f>_xll.qlCalendarAdvance(calendar,AK3637,"1D")</f>
        <v>47732</v>
      </c>
      <c r="AL3638" s="21">
        <f>_xll.qlInterestRateIndexValueDate(hiborindex,AK3638)</f>
        <v>47736</v>
      </c>
      <c r="AM3638" s="23">
        <f>_xll.qlIndexFixing(hiborindex,AK3638)</f>
        <v>1.2957224780723007E-2</v>
      </c>
    </row>
    <row r="3639" spans="37:39" x14ac:dyDescent="0.25">
      <c r="AK3639" s="21">
        <f>_xll.qlCalendarAdvance(calendar,AK3638,"1D")</f>
        <v>47735</v>
      </c>
      <c r="AL3639" s="21">
        <f>_xll.qlInterestRateIndexValueDate(hiborindex,AK3639)</f>
        <v>47737</v>
      </c>
      <c r="AM3639" s="23">
        <f>_xll.qlIndexFixing(hiborindex,AK3639)</f>
        <v>1.29596099356686E-2</v>
      </c>
    </row>
    <row r="3640" spans="37:39" x14ac:dyDescent="0.25">
      <c r="AK3640" s="21">
        <f>_xll.qlCalendarAdvance(calendar,AK3639,"1D")</f>
        <v>47736</v>
      </c>
      <c r="AL3640" s="21">
        <f>_xll.qlInterestRateIndexValueDate(hiborindex,AK3640)</f>
        <v>47738</v>
      </c>
      <c r="AM3640" s="23">
        <f>_xll.qlIndexFixing(hiborindex,AK3640)</f>
        <v>1.296199509345612E-2</v>
      </c>
    </row>
    <row r="3641" spans="37:39" x14ac:dyDescent="0.25">
      <c r="AK3641" s="21">
        <f>_xll.qlCalendarAdvance(calendar,AK3640,"1D")</f>
        <v>47737</v>
      </c>
      <c r="AL3641" s="21">
        <f>_xll.qlInterestRateIndexValueDate(hiborindex,AK3641)</f>
        <v>47739</v>
      </c>
      <c r="AM3641" s="23">
        <f>_xll.qlIndexFixing(hiborindex,AK3641)</f>
        <v>1.2964380254085566E-2</v>
      </c>
    </row>
    <row r="3642" spans="37:39" x14ac:dyDescent="0.25">
      <c r="AK3642" s="21">
        <f>_xll.qlCalendarAdvance(calendar,AK3641,"1D")</f>
        <v>47738</v>
      </c>
      <c r="AL3642" s="21">
        <f>_xll.qlInterestRateIndexValueDate(hiborindex,AK3642)</f>
        <v>47742</v>
      </c>
      <c r="AM3642" s="23">
        <f>_xll.qlIndexFixing(hiborindex,AK3642)</f>
        <v>1.2972961573378782E-2</v>
      </c>
    </row>
    <row r="3643" spans="37:39" x14ac:dyDescent="0.25">
      <c r="AK3643" s="21">
        <f>_xll.qlCalendarAdvance(calendar,AK3642,"1D")</f>
        <v>47739</v>
      </c>
      <c r="AL3643" s="21">
        <f>_xll.qlInterestRateIndexValueDate(hiborindex,AK3643)</f>
        <v>47743</v>
      </c>
      <c r="AM3643" s="23">
        <f>_xll.qlIndexFixing(hiborindex,AK3643)</f>
        <v>1.2973920925020838E-2</v>
      </c>
    </row>
    <row r="3644" spans="37:39" x14ac:dyDescent="0.25">
      <c r="AK3644" s="21">
        <f>_xll.qlCalendarAdvance(calendar,AK3643,"1D")</f>
        <v>47742</v>
      </c>
      <c r="AL3644" s="21">
        <f>_xll.qlInterestRateIndexValueDate(hiborindex,AK3644)</f>
        <v>47744</v>
      </c>
      <c r="AM3644" s="23">
        <f>_xll.qlIndexFixing(hiborindex,AK3644)</f>
        <v>1.2976306099858585E-2</v>
      </c>
    </row>
    <row r="3645" spans="37:39" x14ac:dyDescent="0.25">
      <c r="AK3645" s="21">
        <f>_xll.qlCalendarAdvance(calendar,AK3644,"1D")</f>
        <v>47743</v>
      </c>
      <c r="AL3645" s="21">
        <f>_xll.qlInterestRateIndexValueDate(hiborindex,AK3645)</f>
        <v>47745</v>
      </c>
      <c r="AM3645" s="23">
        <f>_xll.qlIndexFixing(hiborindex,AK3645)</f>
        <v>1.2978691277539143E-2</v>
      </c>
    </row>
    <row r="3646" spans="37:39" x14ac:dyDescent="0.25">
      <c r="AK3646" s="21">
        <f>_xll.qlCalendarAdvance(calendar,AK3645,"1D")</f>
        <v>47744</v>
      </c>
      <c r="AL3646" s="21">
        <f>_xll.qlInterestRateIndexValueDate(hiborindex,AK3646)</f>
        <v>47746</v>
      </c>
      <c r="AM3646" s="23">
        <f>_xll.qlIndexFixing(hiborindex,AK3646)</f>
        <v>1.2981076458060743E-2</v>
      </c>
    </row>
    <row r="3647" spans="37:39" x14ac:dyDescent="0.25">
      <c r="AK3647" s="21">
        <f>_xll.qlCalendarAdvance(calendar,AK3646,"1D")</f>
        <v>47745</v>
      </c>
      <c r="AL3647" s="21">
        <f>_xll.qlInterestRateIndexValueDate(hiborindex,AK3647)</f>
        <v>47749</v>
      </c>
      <c r="AM3647" s="23">
        <f>_xll.qlIndexFixing(hiborindex,AK3647)</f>
        <v>1.2989658447075621E-2</v>
      </c>
    </row>
    <row r="3648" spans="37:39" x14ac:dyDescent="0.25">
      <c r="AK3648" s="21">
        <f>_xll.qlCalendarAdvance(calendar,AK3647,"1D")</f>
        <v>47746</v>
      </c>
      <c r="AL3648" s="21">
        <f>_xll.qlInterestRateIndexValueDate(hiborindex,AK3648)</f>
        <v>47750</v>
      </c>
      <c r="AM3648" s="23">
        <f>_xll.qlIndexFixing(hiborindex,AK3648)</f>
        <v>1.2990617208565956E-2</v>
      </c>
    </row>
    <row r="3649" spans="37:39" x14ac:dyDescent="0.25">
      <c r="AK3649" s="21">
        <f>_xll.qlCalendarAdvance(calendar,AK3648,"1D")</f>
        <v>47749</v>
      </c>
      <c r="AL3649" s="21">
        <f>_xll.qlInterestRateIndexValueDate(hiborindex,AK3649)</f>
        <v>47751</v>
      </c>
      <c r="AM3649" s="23">
        <f>_xll.qlIndexFixing(hiborindex,AK3649)</f>
        <v>1.2993002403296742E-2</v>
      </c>
    </row>
    <row r="3650" spans="37:39" x14ac:dyDescent="0.25">
      <c r="AK3650" s="21">
        <f>_xll.qlCalendarAdvance(calendar,AK3649,"1D")</f>
        <v>47750</v>
      </c>
      <c r="AL3650" s="21">
        <f>_xll.qlInterestRateIndexValueDate(hiborindex,AK3650)</f>
        <v>47752</v>
      </c>
      <c r="AM3650" s="23">
        <f>_xll.qlIndexFixing(hiborindex,AK3650)</f>
        <v>1.2995387600869452E-2</v>
      </c>
    </row>
    <row r="3651" spans="37:39" x14ac:dyDescent="0.25">
      <c r="AK3651" s="21">
        <f>_xll.qlCalendarAdvance(calendar,AK3650,"1D")</f>
        <v>47751</v>
      </c>
      <c r="AL3651" s="21">
        <f>_xll.qlInterestRateIndexValueDate(hiborindex,AK3651)</f>
        <v>47753</v>
      </c>
      <c r="AM3651" s="23">
        <f>_xll.qlIndexFixing(hiborindex,AK3651)</f>
        <v>1.2997772801284089E-2</v>
      </c>
    </row>
    <row r="3652" spans="37:39" x14ac:dyDescent="0.25">
      <c r="AK3652" s="21">
        <f>_xll.qlCalendarAdvance(calendar,AK3651,"1D")</f>
        <v>47752</v>
      </c>
      <c r="AL3652" s="21">
        <f>_xll.qlInterestRateIndexValueDate(hiborindex,AK3652)</f>
        <v>47756</v>
      </c>
      <c r="AM3652" s="23">
        <f>_xll.qlIndexFixing(hiborindex,AK3652)</f>
        <v>1.3006355460796277E-2</v>
      </c>
    </row>
    <row r="3653" spans="37:39" x14ac:dyDescent="0.25">
      <c r="AK3653" s="21">
        <f>_xll.qlCalendarAdvance(calendar,AK3652,"1D")</f>
        <v>47753</v>
      </c>
      <c r="AL3653" s="21">
        <f>_xll.qlInterestRateIndexValueDate(hiborindex,AK3653)</f>
        <v>47757</v>
      </c>
      <c r="AM3653" s="23">
        <f>_xll.qlIndexFixing(hiborindex,AK3653)</f>
        <v>1.3008740759900887E-2</v>
      </c>
    </row>
    <row r="3654" spans="37:39" x14ac:dyDescent="0.25">
      <c r="AK3654" s="21">
        <f>_xll.qlCalendarAdvance(calendar,AK3653,"1D")</f>
        <v>47756</v>
      </c>
      <c r="AL3654" s="21">
        <f>_xll.qlInterestRateIndexValueDate(hiborindex,AK3654)</f>
        <v>47758</v>
      </c>
      <c r="AM3654" s="23">
        <f>_xll.qlIndexFixing(hiborindex,AK3654)</f>
        <v>1.3011126061863429E-2</v>
      </c>
    </row>
    <row r="3655" spans="37:39" x14ac:dyDescent="0.25">
      <c r="AK3655" s="21">
        <f>_xll.qlCalendarAdvance(calendar,AK3654,"1D")</f>
        <v>47757</v>
      </c>
      <c r="AL3655" s="21">
        <f>_xll.qlInterestRateIndexValueDate(hiborindex,AK3655)</f>
        <v>47759</v>
      </c>
      <c r="AM3655" s="23">
        <f>_xll.qlIndexFixing(hiborindex,AK3655)</f>
        <v>1.3013511366683465E-2</v>
      </c>
    </row>
    <row r="3656" spans="37:39" x14ac:dyDescent="0.25">
      <c r="AK3656" s="21">
        <f>_xll.qlCalendarAdvance(calendar,AK3655,"1D")</f>
        <v>47758</v>
      </c>
      <c r="AL3656" s="21">
        <f>_xll.qlInterestRateIndexValueDate(hiborindex,AK3656)</f>
        <v>47760</v>
      </c>
      <c r="AM3656" s="23">
        <f>_xll.qlIndexFixing(hiborindex,AK3656)</f>
        <v>1.3015896674361436E-2</v>
      </c>
    </row>
    <row r="3657" spans="37:39" x14ac:dyDescent="0.25">
      <c r="AK3657" s="21">
        <f>_xll.qlCalendarAdvance(calendar,AK3656,"1D")</f>
        <v>47759</v>
      </c>
      <c r="AL3657" s="21">
        <f>_xll.qlInterestRateIndexValueDate(hiborindex,AK3657)</f>
        <v>47763</v>
      </c>
      <c r="AM3657" s="23">
        <f>_xll.qlIndexFixing(hiborindex,AK3657)</f>
        <v>1.3023052614540752E-2</v>
      </c>
    </row>
    <row r="3658" spans="37:39" x14ac:dyDescent="0.25">
      <c r="AK3658" s="21">
        <f>_xll.qlCalendarAdvance(calendar,AK3657,"1D")</f>
        <v>47760</v>
      </c>
      <c r="AL3658" s="21">
        <f>_xll.qlInterestRateIndexValueDate(hiborindex,AK3658)</f>
        <v>47764</v>
      </c>
      <c r="AM3658" s="23">
        <f>_xll.qlIndexFixing(hiborindex,AK3658)</f>
        <v>1.3025437933649138E-2</v>
      </c>
    </row>
    <row r="3659" spans="37:39" x14ac:dyDescent="0.25">
      <c r="AK3659" s="21">
        <f>_xll.qlCalendarAdvance(calendar,AK3658,"1D")</f>
        <v>47763</v>
      </c>
      <c r="AL3659" s="21">
        <f>_xll.qlInterestRateIndexValueDate(hiborindex,AK3659)</f>
        <v>47765</v>
      </c>
      <c r="AM3659" s="23">
        <f>_xll.qlIndexFixing(hiborindex,AK3659)</f>
        <v>1.3027823255615458E-2</v>
      </c>
    </row>
    <row r="3660" spans="37:39" x14ac:dyDescent="0.25">
      <c r="AK3660" s="21">
        <f>_xll.qlCalendarAdvance(calendar,AK3659,"1D")</f>
        <v>47764</v>
      </c>
      <c r="AL3660" s="21">
        <f>_xll.qlInterestRateIndexValueDate(hiborindex,AK3660)</f>
        <v>47766</v>
      </c>
      <c r="AM3660" s="23">
        <f>_xll.qlIndexFixing(hiborindex,AK3660)</f>
        <v>1.3030208580439274E-2</v>
      </c>
    </row>
    <row r="3661" spans="37:39" x14ac:dyDescent="0.25">
      <c r="AK3661" s="21">
        <f>_xll.qlCalendarAdvance(calendar,AK3660,"1D")</f>
        <v>47765</v>
      </c>
      <c r="AL3661" s="21">
        <f>_xll.qlInterestRateIndexValueDate(hiborindex,AK3661)</f>
        <v>47767</v>
      </c>
      <c r="AM3661" s="23">
        <f>_xll.qlIndexFixing(hiborindex,AK3661)</f>
        <v>1.3038306843342187E-2</v>
      </c>
    </row>
    <row r="3662" spans="37:39" x14ac:dyDescent="0.25">
      <c r="AK3662" s="21">
        <f>_xll.qlCalendarAdvance(calendar,AK3661,"1D")</f>
        <v>47766</v>
      </c>
      <c r="AL3662" s="21">
        <f>_xll.qlInterestRateIndexValueDate(hiborindex,AK3662)</f>
        <v>47770</v>
      </c>
      <c r="AM3662" s="23">
        <f>_xll.qlIndexFixing(hiborindex,AK3662)</f>
        <v>1.304117826599571E-2</v>
      </c>
    </row>
    <row r="3663" spans="37:39" x14ac:dyDescent="0.25">
      <c r="AK3663" s="21">
        <f>_xll.qlCalendarAdvance(calendar,AK3662,"1D")</f>
        <v>47767</v>
      </c>
      <c r="AL3663" s="21">
        <f>_xll.qlInterestRateIndexValueDate(hiborindex,AK3663)</f>
        <v>47771</v>
      </c>
      <c r="AM3663" s="23">
        <f>_xll.qlIndexFixing(hiborindex,AK3663)</f>
        <v>1.3042135247423403E-2</v>
      </c>
    </row>
    <row r="3664" spans="37:39" x14ac:dyDescent="0.25">
      <c r="AK3664" s="21">
        <f>_xll.qlCalendarAdvance(calendar,AK3663,"1D")</f>
        <v>47770</v>
      </c>
      <c r="AL3664" s="21">
        <f>_xll.qlInterestRateIndexValueDate(hiborindex,AK3664)</f>
        <v>47772</v>
      </c>
      <c r="AM3664" s="23">
        <f>_xll.qlIndexFixing(hiborindex,AK3664)</f>
        <v>1.3044520589393503E-2</v>
      </c>
    </row>
    <row r="3665" spans="37:39" x14ac:dyDescent="0.25">
      <c r="AK3665" s="21">
        <f>_xll.qlCalendarAdvance(calendar,AK3664,"1D")</f>
        <v>47771</v>
      </c>
      <c r="AL3665" s="21">
        <f>_xll.qlInterestRateIndexValueDate(hiborindex,AK3665)</f>
        <v>47773</v>
      </c>
      <c r="AM3665" s="23">
        <f>_xll.qlIndexFixing(hiborindex,AK3665)</f>
        <v>1.3046905934220658E-2</v>
      </c>
    </row>
    <row r="3666" spans="37:39" x14ac:dyDescent="0.25">
      <c r="AK3666" s="21">
        <f>_xll.qlCalendarAdvance(calendar,AK3665,"1D")</f>
        <v>47772</v>
      </c>
      <c r="AL3666" s="21">
        <f>_xll.qlInterestRateIndexValueDate(hiborindex,AK3666)</f>
        <v>47774</v>
      </c>
      <c r="AM3666" s="23">
        <f>_xll.qlIndexFixing(hiborindex,AK3666)</f>
        <v>1.3049291281906185E-2</v>
      </c>
    </row>
    <row r="3667" spans="37:39" x14ac:dyDescent="0.25">
      <c r="AK3667" s="21">
        <f>_xll.qlCalendarAdvance(calendar,AK3666,"1D")</f>
        <v>47773</v>
      </c>
      <c r="AL3667" s="21">
        <f>_xll.qlInterestRateIndexValueDate(hiborindex,AK3667)</f>
        <v>47777</v>
      </c>
      <c r="AM3667" s="23">
        <f>_xll.qlIndexFixing(hiborindex,AK3667)</f>
        <v>1.3056447342108615E-2</v>
      </c>
    </row>
    <row r="3668" spans="37:39" x14ac:dyDescent="0.25">
      <c r="AK3668" s="21">
        <f>_xll.qlCalendarAdvance(calendar,AK3667,"1D")</f>
        <v>47774</v>
      </c>
      <c r="AL3668" s="21">
        <f>_xll.qlInterestRateIndexValueDate(hiborindex,AK3668)</f>
        <v>47778</v>
      </c>
      <c r="AM3668" s="23">
        <f>_xll.qlIndexFixing(hiborindex,AK3668)</f>
        <v>1.3058832701224559E-2</v>
      </c>
    </row>
    <row r="3669" spans="37:39" x14ac:dyDescent="0.25">
      <c r="AK3669" s="21">
        <f>_xll.qlCalendarAdvance(calendar,AK3668,"1D")</f>
        <v>47777</v>
      </c>
      <c r="AL3669" s="21">
        <f>_xll.qlInterestRateIndexValueDate(hiborindex,AK3669)</f>
        <v>47779</v>
      </c>
      <c r="AM3669" s="23">
        <f>_xll.qlIndexFixing(hiborindex,AK3669)</f>
        <v>1.3061218063198437E-2</v>
      </c>
    </row>
    <row r="3670" spans="37:39" x14ac:dyDescent="0.25">
      <c r="AK3670" s="21">
        <f>_xll.qlCalendarAdvance(calendar,AK3669,"1D")</f>
        <v>47778</v>
      </c>
      <c r="AL3670" s="21">
        <f>_xll.qlInterestRateIndexValueDate(hiborindex,AK3670)</f>
        <v>47780</v>
      </c>
      <c r="AM3670" s="23">
        <f>_xll.qlIndexFixing(hiborindex,AK3670)</f>
        <v>1.3063603428029811E-2</v>
      </c>
    </row>
    <row r="3671" spans="37:39" x14ac:dyDescent="0.25">
      <c r="AK3671" s="21">
        <f>_xll.qlCalendarAdvance(calendar,AK3670,"1D")</f>
        <v>47779</v>
      </c>
      <c r="AL3671" s="21">
        <f>_xll.qlInterestRateIndexValueDate(hiborindex,AK3671)</f>
        <v>47781</v>
      </c>
      <c r="AM3671" s="23">
        <f>_xll.qlIndexFixing(hiborindex,AK3671)</f>
        <v>1.3065988795719118E-2</v>
      </c>
    </row>
    <row r="3672" spans="37:39" x14ac:dyDescent="0.25">
      <c r="AK3672" s="21">
        <f>_xll.qlCalendarAdvance(calendar,AK3671,"1D")</f>
        <v>47780</v>
      </c>
      <c r="AL3672" s="21">
        <f>_xll.qlInterestRateIndexValueDate(hiborindex,AK3672)</f>
        <v>47784</v>
      </c>
      <c r="AM3672" s="23">
        <f>_xll.qlIndexFixing(hiborindex,AK3672)</f>
        <v>1.3073144915933322E-2</v>
      </c>
    </row>
    <row r="3673" spans="37:39" x14ac:dyDescent="0.25">
      <c r="AK3673" s="21">
        <f>_xll.qlCalendarAdvance(calendar,AK3672,"1D")</f>
        <v>47781</v>
      </c>
      <c r="AL3673" s="21">
        <f>_xll.qlInterestRateIndexValueDate(hiborindex,AK3673)</f>
        <v>47785</v>
      </c>
      <c r="AM3673" s="23">
        <f>_xll.qlIndexFixing(hiborindex,AK3673)</f>
        <v>1.3075530295053924E-2</v>
      </c>
    </row>
    <row r="3674" spans="37:39" x14ac:dyDescent="0.25">
      <c r="AK3674" s="21">
        <f>_xll.qlCalendarAdvance(calendar,AK3673,"1D")</f>
        <v>47784</v>
      </c>
      <c r="AL3674" s="21">
        <f>_xll.qlInterestRateIndexValueDate(hiborindex,AK3674)</f>
        <v>47786</v>
      </c>
      <c r="AM3674" s="23">
        <f>_xll.qlIndexFixing(hiborindex,AK3674)</f>
        <v>1.3077915677031583E-2</v>
      </c>
    </row>
    <row r="3675" spans="37:39" x14ac:dyDescent="0.25">
      <c r="AK3675" s="21">
        <f>_xll.qlCalendarAdvance(calendar,AK3674,"1D")</f>
        <v>47785</v>
      </c>
      <c r="AL3675" s="21">
        <f>_xll.qlInterestRateIndexValueDate(hiborindex,AK3675)</f>
        <v>47787</v>
      </c>
      <c r="AM3675" s="23">
        <f>_xll.qlIndexFixing(hiborindex,AK3675)</f>
        <v>1.3078871306285962E-2</v>
      </c>
    </row>
    <row r="3676" spans="37:39" x14ac:dyDescent="0.25">
      <c r="AK3676" s="21">
        <f>_xll.qlCalendarAdvance(calendar,AK3675,"1D")</f>
        <v>47786</v>
      </c>
      <c r="AL3676" s="21">
        <f>_xll.qlInterestRateIndexValueDate(hiborindex,AK3676)</f>
        <v>47788</v>
      </c>
      <c r="AM3676" s="23">
        <f>_xll.qlIndexFixing(hiborindex,AK3676)</f>
        <v>1.3082686449560697E-2</v>
      </c>
    </row>
    <row r="3677" spans="37:39" x14ac:dyDescent="0.25">
      <c r="AK3677" s="21">
        <f>_xll.qlCalendarAdvance(calendar,AK3676,"1D")</f>
        <v>47787</v>
      </c>
      <c r="AL3677" s="21">
        <f>_xll.qlInterestRateIndexValueDate(hiborindex,AK3677)</f>
        <v>47791</v>
      </c>
      <c r="AM3677" s="23">
        <f>_xll.qlIndexFixing(hiborindex,AK3677)</f>
        <v>1.3089842629787556E-2</v>
      </c>
    </row>
    <row r="3678" spans="37:39" x14ac:dyDescent="0.25">
      <c r="AK3678" s="21">
        <f>_xll.qlCalendarAdvance(calendar,AK3677,"1D")</f>
        <v>47788</v>
      </c>
      <c r="AL3678" s="21">
        <f>_xll.qlInterestRateIndexValueDate(hiborindex,AK3678)</f>
        <v>47792</v>
      </c>
      <c r="AM3678" s="23">
        <f>_xll.qlIndexFixing(hiborindex,AK3678)</f>
        <v>1.3090797834107432E-2</v>
      </c>
    </row>
    <row r="3679" spans="37:39" x14ac:dyDescent="0.25">
      <c r="AK3679" s="21">
        <f>_xll.qlCalendarAdvance(calendar,AK3678,"1D")</f>
        <v>47791</v>
      </c>
      <c r="AL3679" s="21">
        <f>_xll.qlInterestRateIndexValueDate(hiborindex,AK3679)</f>
        <v>47793</v>
      </c>
      <c r="AM3679" s="23">
        <f>_xll.qlIndexFixing(hiborindex,AK3679)</f>
        <v>1.3093183148197768E-2</v>
      </c>
    </row>
    <row r="3680" spans="37:39" x14ac:dyDescent="0.25">
      <c r="AK3680" s="21">
        <f>_xll.qlCalendarAdvance(calendar,AK3679,"1D")</f>
        <v>47792</v>
      </c>
      <c r="AL3680" s="21">
        <f>_xll.qlInterestRateIndexValueDate(hiborindex,AK3680)</f>
        <v>47794</v>
      </c>
      <c r="AM3680" s="23">
        <f>_xll.qlIndexFixing(hiborindex,AK3680)</f>
        <v>1.309556846513003E-2</v>
      </c>
    </row>
    <row r="3681" spans="37:39" x14ac:dyDescent="0.25">
      <c r="AK3681" s="21">
        <f>_xll.qlCalendarAdvance(calendar,AK3680,"1D")</f>
        <v>47793</v>
      </c>
      <c r="AL3681" s="21">
        <f>_xll.qlInterestRateIndexValueDate(hiborindex,AK3681)</f>
        <v>47795</v>
      </c>
      <c r="AM3681" s="23">
        <f>_xll.qlIndexFixing(hiborindex,AK3681)</f>
        <v>1.3097953784903775E-2</v>
      </c>
    </row>
    <row r="3682" spans="37:39" x14ac:dyDescent="0.25">
      <c r="AK3682" s="21">
        <f>_xll.qlCalendarAdvance(calendar,AK3681,"1D")</f>
        <v>47794</v>
      </c>
      <c r="AL3682" s="21">
        <f>_xll.qlInterestRateIndexValueDate(hiborindex,AK3682)</f>
        <v>47798</v>
      </c>
      <c r="AM3682" s="23">
        <f>_xll.qlIndexFixing(hiborindex,AK3682)</f>
        <v>1.3106540483672196E-2</v>
      </c>
    </row>
    <row r="3683" spans="37:39" x14ac:dyDescent="0.25">
      <c r="AK3683" s="21">
        <f>_xll.qlCalendarAdvance(calendar,AK3682,"1D")</f>
        <v>47795</v>
      </c>
      <c r="AL3683" s="21">
        <f>_xll.qlInterestRateIndexValueDate(hiborindex,AK3683)</f>
        <v>47799</v>
      </c>
      <c r="AM3683" s="23">
        <f>_xll.qlIndexFixing(hiborindex,AK3683)</f>
        <v>1.3107495092419779E-2</v>
      </c>
    </row>
    <row r="3684" spans="37:39" x14ac:dyDescent="0.25">
      <c r="AK3684" s="21">
        <f>_xll.qlCalendarAdvance(calendar,AK3683,"1D")</f>
        <v>47798</v>
      </c>
      <c r="AL3684" s="21">
        <f>_xll.qlInterestRateIndexValueDate(hiborindex,AK3684)</f>
        <v>47800</v>
      </c>
      <c r="AM3684" s="23">
        <f>_xll.qlIndexFixing(hiborindex,AK3684)</f>
        <v>1.3109880426404036E-2</v>
      </c>
    </row>
    <row r="3685" spans="37:39" x14ac:dyDescent="0.25">
      <c r="AK3685" s="21">
        <f>_xll.qlCalendarAdvance(calendar,AK3684,"1D")</f>
        <v>47799</v>
      </c>
      <c r="AL3685" s="21">
        <f>_xll.qlInterestRateIndexValueDate(hiborindex,AK3685)</f>
        <v>47801</v>
      </c>
      <c r="AM3685" s="23">
        <f>_xll.qlIndexFixing(hiborindex,AK3685)</f>
        <v>1.3112265763230218E-2</v>
      </c>
    </row>
    <row r="3686" spans="37:39" x14ac:dyDescent="0.25">
      <c r="AK3686" s="21">
        <f>_xll.qlCalendarAdvance(calendar,AK3685,"1D")</f>
        <v>47800</v>
      </c>
      <c r="AL3686" s="21">
        <f>_xll.qlInterestRateIndexValueDate(hiborindex,AK3686)</f>
        <v>47802</v>
      </c>
      <c r="AM3686" s="23">
        <f>_xll.qlIndexFixing(hiborindex,AK3686)</f>
        <v>1.3114651102897884E-2</v>
      </c>
    </row>
    <row r="3687" spans="37:39" x14ac:dyDescent="0.25">
      <c r="AK3687" s="21">
        <f>_xll.qlCalendarAdvance(calendar,AK3686,"1D")</f>
        <v>47801</v>
      </c>
      <c r="AL3687" s="21">
        <f>_xll.qlInterestRateIndexValueDate(hiborindex,AK3687)</f>
        <v>47805</v>
      </c>
      <c r="AM3687" s="23">
        <f>_xll.qlIndexFixing(hiborindex,AK3687)</f>
        <v>1.3123238477588556E-2</v>
      </c>
    </row>
    <row r="3688" spans="37:39" x14ac:dyDescent="0.25">
      <c r="AK3688" s="21">
        <f>_xll.qlCalendarAdvance(calendar,AK3687,"1D")</f>
        <v>47802</v>
      </c>
      <c r="AL3688" s="21">
        <f>_xll.qlInterestRateIndexValueDate(hiborindex,AK3688)</f>
        <v>47806</v>
      </c>
      <c r="AM3688" s="23">
        <f>_xll.qlIndexFixing(hiborindex,AK3688)</f>
        <v>1.3124192489990012E-2</v>
      </c>
    </row>
    <row r="3689" spans="37:39" x14ac:dyDescent="0.25">
      <c r="AK3689" s="21">
        <f>_xll.qlCalendarAdvance(calendar,AK3688,"1D")</f>
        <v>47805</v>
      </c>
      <c r="AL3689" s="21">
        <f>_xll.qlInterestRateIndexValueDate(hiborindex,AK3689)</f>
        <v>47807</v>
      </c>
      <c r="AM3689" s="23">
        <f>_xll.qlIndexFixing(hiborindex,AK3689)</f>
        <v>1.3126577843867749E-2</v>
      </c>
    </row>
    <row r="3690" spans="37:39" x14ac:dyDescent="0.25">
      <c r="AK3690" s="21">
        <f>_xll.qlCalendarAdvance(calendar,AK3689,"1D")</f>
        <v>47806</v>
      </c>
      <c r="AL3690" s="21">
        <f>_xll.qlInterestRateIndexValueDate(hiborindex,AK3690)</f>
        <v>47808</v>
      </c>
      <c r="AM3690" s="23">
        <f>_xll.qlIndexFixing(hiborindex,AK3690)</f>
        <v>1.3128963200587408E-2</v>
      </c>
    </row>
    <row r="3691" spans="37:39" x14ac:dyDescent="0.25">
      <c r="AK3691" s="21">
        <f>_xll.qlCalendarAdvance(calendar,AK3690,"1D")</f>
        <v>47807</v>
      </c>
      <c r="AL3691" s="21">
        <f>_xll.qlInterestRateIndexValueDate(hiborindex,AK3691)</f>
        <v>47809</v>
      </c>
      <c r="AM3691" s="23">
        <f>_xll.qlIndexFixing(hiborindex,AK3691)</f>
        <v>1.3131348560149879E-2</v>
      </c>
    </row>
    <row r="3692" spans="37:39" x14ac:dyDescent="0.25">
      <c r="AK3692" s="21">
        <f>_xll.qlCalendarAdvance(calendar,AK3691,"1D")</f>
        <v>47808</v>
      </c>
      <c r="AL3692" s="21">
        <f>_xll.qlInterestRateIndexValueDate(hiborindex,AK3692)</f>
        <v>47812</v>
      </c>
      <c r="AM3692" s="23">
        <f>_xll.qlIndexFixing(hiborindex,AK3692)</f>
        <v>1.313993661153664E-2</v>
      </c>
    </row>
    <row r="3693" spans="37:39" x14ac:dyDescent="0.25">
      <c r="AK3693" s="21">
        <f>_xll.qlCalendarAdvance(calendar,AK3692,"1D")</f>
        <v>47809</v>
      </c>
      <c r="AL3693" s="21">
        <f>_xll.qlInterestRateIndexValueDate(hiborindex,AK3693)</f>
        <v>47813</v>
      </c>
      <c r="AM3693" s="23">
        <f>_xll.qlIndexFixing(hiborindex,AK3693)</f>
        <v>1.3140890026817691E-2</v>
      </c>
    </row>
    <row r="3694" spans="37:39" x14ac:dyDescent="0.25">
      <c r="AK3694" s="21">
        <f>_xll.qlCalendarAdvance(calendar,AK3693,"1D")</f>
        <v>47812</v>
      </c>
      <c r="AL3694" s="21">
        <f>_xll.qlInterestRateIndexValueDate(hiborindex,AK3694)</f>
        <v>47814</v>
      </c>
      <c r="AM3694" s="23">
        <f>_xll.qlIndexFixing(hiborindex,AK3694)</f>
        <v>1.3143275400589788E-2</v>
      </c>
    </row>
    <row r="3695" spans="37:39" x14ac:dyDescent="0.25">
      <c r="AK3695" s="21">
        <f>_xll.qlCalendarAdvance(calendar,AK3694,"1D")</f>
        <v>47813</v>
      </c>
      <c r="AL3695" s="21">
        <f>_xll.qlInterestRateIndexValueDate(hiborindex,AK3695)</f>
        <v>47815</v>
      </c>
      <c r="AM3695" s="23">
        <f>_xll.qlIndexFixing(hiborindex,AK3695)</f>
        <v>1.3145660777204254E-2</v>
      </c>
    </row>
    <row r="3696" spans="37:39" x14ac:dyDescent="0.25">
      <c r="AK3696" s="21">
        <f>_xll.qlCalendarAdvance(calendar,AK3695,"1D")</f>
        <v>47814</v>
      </c>
      <c r="AL3696" s="21">
        <f>_xll.qlInterestRateIndexValueDate(hiborindex,AK3696)</f>
        <v>47816</v>
      </c>
      <c r="AM3696" s="23">
        <f>_xll.qlIndexFixing(hiborindex,AK3696)</f>
        <v>1.3149478465236775E-2</v>
      </c>
    </row>
    <row r="3697" spans="37:39" x14ac:dyDescent="0.25">
      <c r="AK3697" s="21">
        <f>_xll.qlCalendarAdvance(calendar,AK3696,"1D")</f>
        <v>47815</v>
      </c>
      <c r="AL3697" s="21">
        <f>_xll.qlInterestRateIndexValueDate(hiborindex,AK3697)</f>
        <v>47819</v>
      </c>
      <c r="AM3697" s="23">
        <f>_xll.qlIndexFixing(hiborindex,AK3697)</f>
        <v>1.3156634885519082E-2</v>
      </c>
    </row>
    <row r="3698" spans="37:39" x14ac:dyDescent="0.25">
      <c r="AK3698" s="21">
        <f>_xll.qlCalendarAdvance(calendar,AK3697,"1D")</f>
        <v>47816</v>
      </c>
      <c r="AL3698" s="21">
        <f>_xll.qlInterestRateIndexValueDate(hiborindex,AK3698)</f>
        <v>47820</v>
      </c>
      <c r="AM3698" s="23">
        <f>_xll.qlIndexFixing(hiborindex,AK3698)</f>
        <v>1.3159020364662532E-2</v>
      </c>
    </row>
    <row r="3699" spans="37:39" x14ac:dyDescent="0.25">
      <c r="AK3699" s="21">
        <f>_xll.qlCalendarAdvance(calendar,AK3698,"1D")</f>
        <v>47819</v>
      </c>
      <c r="AL3699" s="21">
        <f>_xll.qlInterestRateIndexValueDate(hiborindex,AK3699)</f>
        <v>47821</v>
      </c>
      <c r="AM3699" s="23">
        <f>_xll.qlIndexFixing(hiborindex,AK3699)</f>
        <v>1.3161405846663915E-2</v>
      </c>
    </row>
    <row r="3700" spans="37:39" x14ac:dyDescent="0.25">
      <c r="AK3700" s="21">
        <f>_xll.qlCalendarAdvance(calendar,AK3699,"1D")</f>
        <v>47820</v>
      </c>
      <c r="AL3700" s="21">
        <f>_xll.qlInterestRateIndexValueDate(hiborindex,AK3700)</f>
        <v>47822</v>
      </c>
      <c r="AM3700" s="23">
        <f>_xll.qlIndexFixing(hiborindex,AK3700)</f>
        <v>1.3163791331522793E-2</v>
      </c>
    </row>
    <row r="3701" spans="37:39" x14ac:dyDescent="0.25">
      <c r="AK3701" s="21">
        <f>_xll.qlCalendarAdvance(calendar,AK3700,"1D")</f>
        <v>47821</v>
      </c>
      <c r="AL3701" s="21">
        <f>_xll.qlInterestRateIndexValueDate(hiborindex,AK3701)</f>
        <v>47823</v>
      </c>
      <c r="AM3701" s="23">
        <f>_xll.qlIndexFixing(hiborindex,AK3701)</f>
        <v>1.3166176819239603E-2</v>
      </c>
    </row>
    <row r="3702" spans="37:39" x14ac:dyDescent="0.25">
      <c r="AK3702" s="21">
        <f>_xll.qlCalendarAdvance(calendar,AK3701,"1D")</f>
        <v>47822</v>
      </c>
      <c r="AL3702" s="21">
        <f>_xll.qlInterestRateIndexValueDate(hiborindex,AK3702)</f>
        <v>47826</v>
      </c>
      <c r="AM3702" s="23">
        <f>_xll.qlIndexFixing(hiborindex,AK3702)</f>
        <v>1.3173333299536761E-2</v>
      </c>
    </row>
    <row r="3703" spans="37:39" x14ac:dyDescent="0.25">
      <c r="AK3703" s="21">
        <f>_xll.qlCalendarAdvance(calendar,AK3702,"1D")</f>
        <v>47823</v>
      </c>
      <c r="AL3703" s="21">
        <f>_xll.qlInterestRateIndexValueDate(hiborindex,AK3703)</f>
        <v>47827</v>
      </c>
      <c r="AM3703" s="23">
        <f>_xll.qlIndexFixing(hiborindex,AK3703)</f>
        <v>1.3175718798684868E-2</v>
      </c>
    </row>
    <row r="3704" spans="37:39" x14ac:dyDescent="0.25">
      <c r="AK3704" s="21">
        <f>_xll.qlCalendarAdvance(calendar,AK3703,"1D")</f>
        <v>47826</v>
      </c>
      <c r="AL3704" s="21">
        <f>_xll.qlInterestRateIndexValueDate(hiborindex,AK3704)</f>
        <v>47828</v>
      </c>
      <c r="AM3704" s="23">
        <f>_xll.qlIndexFixing(hiborindex,AK3704)</f>
        <v>1.3178104300691346E-2</v>
      </c>
    </row>
    <row r="3705" spans="37:39" x14ac:dyDescent="0.25">
      <c r="AK3705" s="21">
        <f>_xll.qlCalendarAdvance(calendar,AK3704,"1D")</f>
        <v>47827</v>
      </c>
      <c r="AL3705" s="21">
        <f>_xll.qlInterestRateIndexValueDate(hiborindex,AK3705)</f>
        <v>47829</v>
      </c>
      <c r="AM3705" s="23">
        <f>_xll.qlIndexFixing(hiborindex,AK3705)</f>
        <v>1.318048980555532E-2</v>
      </c>
    </row>
    <row r="3706" spans="37:39" x14ac:dyDescent="0.25">
      <c r="AK3706" s="21">
        <f>_xll.qlCalendarAdvance(calendar,AK3705,"1D")</f>
        <v>47828</v>
      </c>
      <c r="AL3706" s="21">
        <f>_xll.qlInterestRateIndexValueDate(hiborindex,AK3706)</f>
        <v>47830</v>
      </c>
      <c r="AM3706" s="23">
        <f>_xll.qlIndexFixing(hiborindex,AK3706)</f>
        <v>1.3182875313277229E-2</v>
      </c>
    </row>
    <row r="3707" spans="37:39" x14ac:dyDescent="0.25">
      <c r="AK3707" s="21">
        <f>_xll.qlCalendarAdvance(calendar,AK3706,"1D")</f>
        <v>47829</v>
      </c>
      <c r="AL3707" s="21">
        <f>_xll.qlInterestRateIndexValueDate(hiborindex,AK3707)</f>
        <v>47833</v>
      </c>
      <c r="AM3707" s="23">
        <f>_xll.qlIndexFixing(hiborindex,AK3707)</f>
        <v>1.3190031853590554E-2</v>
      </c>
    </row>
    <row r="3708" spans="37:39" x14ac:dyDescent="0.25">
      <c r="AK3708" s="21">
        <f>_xll.qlCalendarAdvance(calendar,AK3707,"1D")</f>
        <v>47830</v>
      </c>
      <c r="AL3708" s="21">
        <f>_xll.qlInterestRateIndexValueDate(hiborindex,AK3708)</f>
        <v>47834</v>
      </c>
      <c r="AM3708" s="23">
        <f>_xll.qlIndexFixing(hiborindex,AK3708)</f>
        <v>1.3192417372743756E-2</v>
      </c>
    </row>
    <row r="3709" spans="37:39" x14ac:dyDescent="0.25">
      <c r="AK3709" s="21">
        <f>_xll.qlCalendarAdvance(calendar,AK3708,"1D")</f>
        <v>47833</v>
      </c>
      <c r="AL3709" s="21">
        <f>_xll.qlInterestRateIndexValueDate(hiborindex,AK3709)</f>
        <v>47835</v>
      </c>
      <c r="AM3709" s="23">
        <f>_xll.qlIndexFixing(hiborindex,AK3709)</f>
        <v>1.3194802894755771E-2</v>
      </c>
    </row>
    <row r="3710" spans="37:39" x14ac:dyDescent="0.25">
      <c r="AK3710" s="21">
        <f>_xll.qlCalendarAdvance(calendar,AK3709,"1D")</f>
        <v>47834</v>
      </c>
      <c r="AL3710" s="21">
        <f>_xll.qlInterestRateIndexValueDate(hiborindex,AK3710)</f>
        <v>47836</v>
      </c>
      <c r="AM3710" s="23">
        <f>_xll.qlIndexFixing(hiborindex,AK3710)</f>
        <v>1.3197188419624842E-2</v>
      </c>
    </row>
    <row r="3711" spans="37:39" x14ac:dyDescent="0.25">
      <c r="AK3711" s="21">
        <f>_xll.qlCalendarAdvance(calendar,AK3710,"1D")</f>
        <v>47835</v>
      </c>
      <c r="AL3711" s="21">
        <f>_xll.qlInterestRateIndexValueDate(hiborindex,AK3711)</f>
        <v>47837</v>
      </c>
      <c r="AM3711" s="23">
        <f>_xll.qlIndexFixing(hiborindex,AK3711)</f>
        <v>1.3199573947351845E-2</v>
      </c>
    </row>
    <row r="3712" spans="37:39" x14ac:dyDescent="0.25">
      <c r="AK3712" s="21">
        <f>_xll.qlCalendarAdvance(calendar,AK3711,"1D")</f>
        <v>47836</v>
      </c>
      <c r="AL3712" s="21">
        <f>_xll.qlInterestRateIndexValueDate(hiborindex,AK3712)</f>
        <v>47840</v>
      </c>
      <c r="AM3712" s="23">
        <f>_xll.qlIndexFixing(hiborindex,AK3712)</f>
        <v>1.3206730547681778E-2</v>
      </c>
    </row>
    <row r="3713" spans="37:39" x14ac:dyDescent="0.25">
      <c r="AK3713" s="21">
        <f>_xll.qlCalendarAdvance(calendar,AK3712,"1D")</f>
        <v>47837</v>
      </c>
      <c r="AL3713" s="21">
        <f>_xll.qlInterestRateIndexValueDate(hiborindex,AK3713)</f>
        <v>47841</v>
      </c>
      <c r="AM3713" s="23">
        <f>_xll.qlIndexFixing(hiborindex,AK3713)</f>
        <v>1.3209116086840516E-2</v>
      </c>
    </row>
    <row r="3714" spans="37:39" x14ac:dyDescent="0.25">
      <c r="AK3714" s="21">
        <f>_xll.qlCalendarAdvance(calendar,AK3713,"1D")</f>
        <v>47840</v>
      </c>
      <c r="AL3714" s="21">
        <f>_xll.qlInterestRateIndexValueDate(hiborindex,AK3714)</f>
        <v>47844</v>
      </c>
      <c r="AM3714" s="23">
        <f>_xll.qlIndexFixing(hiborindex,AK3714)</f>
        <v>1.3216272721465213E-2</v>
      </c>
    </row>
    <row r="3715" spans="37:39" x14ac:dyDescent="0.25">
      <c r="AK3715" s="21">
        <f>_xll.qlCalendarAdvance(calendar,AK3714,"1D")</f>
        <v>47841</v>
      </c>
      <c r="AL3715" s="21">
        <f>_xll.qlInterestRateIndexValueDate(hiborindex,AK3715)</f>
        <v>47847</v>
      </c>
      <c r="AM3715" s="23">
        <f>_xll.qlIndexFixing(hiborindex,AK3715)</f>
        <v>1.3223429381810873E-2</v>
      </c>
    </row>
    <row r="3716" spans="37:39" x14ac:dyDescent="0.25">
      <c r="AK3716" s="21">
        <f>_xll.qlCalendarAdvance(calendar,AK3715,"1D")</f>
        <v>47844</v>
      </c>
      <c r="AL3716" s="21">
        <f>_xll.qlInterestRateIndexValueDate(hiborindex,AK3716)</f>
        <v>47848</v>
      </c>
      <c r="AM3716" s="23">
        <f>_xll.qlIndexFixing(hiborindex,AK3716)</f>
        <v>1.3224379799872085E-2</v>
      </c>
    </row>
    <row r="3717" spans="37:39" x14ac:dyDescent="0.25">
      <c r="AK3717" s="21">
        <f>_xll.qlCalendarAdvance(calendar,AK3716,"1D")</f>
        <v>47847</v>
      </c>
      <c r="AL3717" s="21">
        <f>_xll.qlInterestRateIndexValueDate(hiborindex,AK3717)</f>
        <v>47850</v>
      </c>
      <c r="AM3717" s="23">
        <f>_xll.qlIndexFixing(hiborindex,AK3717)</f>
        <v>1.3215074556879149E-2</v>
      </c>
    </row>
    <row r="3718" spans="37:39" x14ac:dyDescent="0.25">
      <c r="AK3718" s="21">
        <f>_xll.qlCalendarAdvance(calendar,AK3717,"1D")</f>
        <v>47848</v>
      </c>
      <c r="AL3718" s="21">
        <f>_xll.qlInterestRateIndexValueDate(hiborindex,AK3718)</f>
        <v>47851</v>
      </c>
      <c r="AM3718" s="23">
        <f>_xll.qlIndexFixing(hiborindex,AK3718)</f>
        <v>1.3210418100056812E-2</v>
      </c>
    </row>
    <row r="3719" spans="37:39" x14ac:dyDescent="0.25">
      <c r="AK3719" s="21">
        <f>_xll.qlCalendarAdvance(calendar,AK3718,"1D")</f>
        <v>47850</v>
      </c>
      <c r="AL3719" s="21">
        <f>_xll.qlInterestRateIndexValueDate(hiborindex,AK3719)</f>
        <v>47854</v>
      </c>
      <c r="AM3719" s="23">
        <f>_xll.qlIndexFixing(hiborindex,AK3719)</f>
        <v>1.3191086061748684E-2</v>
      </c>
    </row>
    <row r="3720" spans="37:39" x14ac:dyDescent="0.25">
      <c r="AK3720" s="21">
        <f>_xll.qlCalendarAdvance(calendar,AK3719,"1D")</f>
        <v>47851</v>
      </c>
      <c r="AL3720" s="21">
        <f>_xll.qlInterestRateIndexValueDate(hiborindex,AK3720)</f>
        <v>47855</v>
      </c>
      <c r="AM3720" s="23">
        <f>_xll.qlIndexFixing(hiborindex,AK3720)</f>
        <v>1.3191766704337879E-2</v>
      </c>
    </row>
    <row r="3721" spans="37:39" x14ac:dyDescent="0.25">
      <c r="AK3721" s="21">
        <f>_xll.qlCalendarAdvance(calendar,AK3720,"1D")</f>
        <v>47854</v>
      </c>
      <c r="AL3721" s="21">
        <f>_xll.qlInterestRateIndexValueDate(hiborindex,AK3721)</f>
        <v>47856</v>
      </c>
      <c r="AM3721" s="23">
        <f>_xll.qlIndexFixing(hiborindex,AK3721)</f>
        <v>1.3187097463391285E-2</v>
      </c>
    </row>
    <row r="3722" spans="37:39" x14ac:dyDescent="0.25">
      <c r="AK3722" s="21">
        <f>_xll.qlCalendarAdvance(calendar,AK3721,"1D")</f>
        <v>47855</v>
      </c>
      <c r="AL3722" s="21">
        <f>_xll.qlInterestRateIndexValueDate(hiborindex,AK3722)</f>
        <v>47857</v>
      </c>
      <c r="AM3722" s="23">
        <f>_xll.qlIndexFixing(hiborindex,AK3722)</f>
        <v>1.3182425665673543E-2</v>
      </c>
    </row>
    <row r="3723" spans="37:39" x14ac:dyDescent="0.25">
      <c r="AK3723" s="21">
        <f>_xll.qlCalendarAdvance(calendar,AK3722,"1D")</f>
        <v>47856</v>
      </c>
      <c r="AL3723" s="21">
        <f>_xll.qlInterestRateIndexValueDate(hiborindex,AK3723)</f>
        <v>47858</v>
      </c>
      <c r="AM3723" s="23">
        <f>_xll.qlIndexFixing(hiborindex,AK3723)</f>
        <v>1.3177751311202319E-2</v>
      </c>
    </row>
    <row r="3724" spans="37:39" x14ac:dyDescent="0.25">
      <c r="AK3724" s="21">
        <f>_xll.qlCalendarAdvance(calendar,AK3723,"1D")</f>
        <v>47857</v>
      </c>
      <c r="AL3724" s="21">
        <f>_xll.qlInterestRateIndexValueDate(hiborindex,AK3724)</f>
        <v>47861</v>
      </c>
      <c r="AM3724" s="23">
        <f>_xll.qlIndexFixing(hiborindex,AK3724)</f>
        <v>1.3158618139914079E-2</v>
      </c>
    </row>
    <row r="3725" spans="37:39" x14ac:dyDescent="0.25">
      <c r="AK3725" s="21">
        <f>_xll.qlCalendarAdvance(calendar,AK3724,"1D")</f>
        <v>47858</v>
      </c>
      <c r="AL3725" s="21">
        <f>_xll.qlInterestRateIndexValueDate(hiborindex,AK3725)</f>
        <v>47862</v>
      </c>
      <c r="AM3725" s="23">
        <f>_xll.qlIndexFixing(hiborindex,AK3725)</f>
        <v>1.3159028326148705E-2</v>
      </c>
    </row>
    <row r="3726" spans="37:39" x14ac:dyDescent="0.25">
      <c r="AK3726" s="21">
        <f>_xll.qlCalendarAdvance(calendar,AK3725,"1D")</f>
        <v>47861</v>
      </c>
      <c r="AL3726" s="21">
        <f>_xll.qlInterestRateIndexValueDate(hiborindex,AK3726)</f>
        <v>47863</v>
      </c>
      <c r="AM3726" s="23">
        <f>_xll.qlIndexFixing(hiborindex,AK3726)</f>
        <v>1.3154341188182553E-2</v>
      </c>
    </row>
    <row r="3727" spans="37:39" x14ac:dyDescent="0.25">
      <c r="AK3727" s="21">
        <f>_xll.qlCalendarAdvance(calendar,AK3726,"1D")</f>
        <v>47862</v>
      </c>
      <c r="AL3727" s="21">
        <f>_xll.qlInterestRateIndexValueDate(hiborindex,AK3727)</f>
        <v>47864</v>
      </c>
      <c r="AM3727" s="23">
        <f>_xll.qlIndexFixing(hiborindex,AK3727)</f>
        <v>1.3149651493570679E-2</v>
      </c>
    </row>
    <row r="3728" spans="37:39" x14ac:dyDescent="0.25">
      <c r="AK3728" s="21">
        <f>_xll.qlCalendarAdvance(calendar,AK3727,"1D")</f>
        <v>47863</v>
      </c>
      <c r="AL3728" s="21">
        <f>_xll.qlInterestRateIndexValueDate(hiborindex,AK3728)</f>
        <v>47865</v>
      </c>
      <c r="AM3728" s="23">
        <f>_xll.qlIndexFixing(hiborindex,AK3728)</f>
        <v>1.3144959242332513E-2</v>
      </c>
    </row>
    <row r="3729" spans="37:39" x14ac:dyDescent="0.25">
      <c r="AK3729" s="21">
        <f>_xll.qlCalendarAdvance(calendar,AK3728,"1D")</f>
        <v>47864</v>
      </c>
      <c r="AL3729" s="21">
        <f>_xll.qlInterestRateIndexValueDate(hiborindex,AK3729)</f>
        <v>47868</v>
      </c>
      <c r="AM3729" s="23">
        <f>_xll.qlIndexFixing(hiborindex,AK3729)</f>
        <v>1.312602562241953E-2</v>
      </c>
    </row>
    <row r="3730" spans="37:39" x14ac:dyDescent="0.25">
      <c r="AK3730" s="21">
        <f>_xll.qlCalendarAdvance(calendar,AK3729,"1D")</f>
        <v>47865</v>
      </c>
      <c r="AL3730" s="21">
        <f>_xll.qlInterestRateIndexValueDate(hiborindex,AK3730)</f>
        <v>47869</v>
      </c>
      <c r="AM3730" s="23">
        <f>_xll.qlIndexFixing(hiborindex,AK3730)</f>
        <v>1.3126164671467587E-2</v>
      </c>
    </row>
    <row r="3731" spans="37:39" x14ac:dyDescent="0.25">
      <c r="AK3731" s="21">
        <f>_xll.qlCalendarAdvance(calendar,AK3730,"1D")</f>
        <v>47868</v>
      </c>
      <c r="AL3731" s="21">
        <f>_xll.qlInterestRateIndexValueDate(hiborindex,AK3731)</f>
        <v>47870</v>
      </c>
      <c r="AM3731" s="23">
        <f>_xll.qlIndexFixing(hiborindex,AK3731)</f>
        <v>1.3121459637364268E-2</v>
      </c>
    </row>
    <row r="3732" spans="37:39" x14ac:dyDescent="0.25">
      <c r="AK3732" s="21">
        <f>_xll.qlCalendarAdvance(calendar,AK3731,"1D")</f>
        <v>47869</v>
      </c>
      <c r="AL3732" s="21">
        <f>_xll.qlInterestRateIndexValueDate(hiborindex,AK3732)</f>
        <v>47871</v>
      </c>
      <c r="AM3732" s="23">
        <f>_xll.qlIndexFixing(hiborindex,AK3732)</f>
        <v>1.3116752046741531E-2</v>
      </c>
    </row>
    <row r="3733" spans="37:39" x14ac:dyDescent="0.25">
      <c r="AK3733" s="21">
        <f>_xll.qlCalendarAdvance(calendar,AK3732,"1D")</f>
        <v>47870</v>
      </c>
      <c r="AL3733" s="21">
        <f>_xll.qlInterestRateIndexValueDate(hiborindex,AK3733)</f>
        <v>47872</v>
      </c>
      <c r="AM3733" s="23">
        <f>_xll.qlIndexFixing(hiborindex,AK3733)</f>
        <v>1.3112041899618813E-2</v>
      </c>
    </row>
    <row r="3734" spans="37:39" x14ac:dyDescent="0.25">
      <c r="AK3734" s="21">
        <f>_xll.qlCalendarAdvance(calendar,AK3733,"1D")</f>
        <v>47871</v>
      </c>
      <c r="AL3734" s="21">
        <f>_xll.qlInterestRateIndexValueDate(hiborindex,AK3734)</f>
        <v>47875</v>
      </c>
      <c r="AM3734" s="23">
        <f>_xll.qlIndexFixing(hiborindex,AK3734)</f>
        <v>1.3093308515400789E-2</v>
      </c>
    </row>
    <row r="3735" spans="37:39" x14ac:dyDescent="0.25">
      <c r="AK3735" s="21">
        <f>_xll.qlCalendarAdvance(calendar,AK3734,"1D")</f>
        <v>47872</v>
      </c>
      <c r="AL3735" s="21">
        <f>_xll.qlInterestRateIndexValueDate(hiborindex,AK3735)</f>
        <v>47876</v>
      </c>
      <c r="AM3735" s="23">
        <f>_xll.qlIndexFixing(hiborindex,AK3735)</f>
        <v>1.3093175746481844E-2</v>
      </c>
    </row>
    <row r="3736" spans="37:39" x14ac:dyDescent="0.25">
      <c r="AK3736" s="21">
        <f>_xll.qlCalendarAdvance(calendar,AK3735,"1D")</f>
        <v>47875</v>
      </c>
      <c r="AL3736" s="21">
        <f>_xll.qlInterestRateIndexValueDate(hiborindex,AK3736)</f>
        <v>47877</v>
      </c>
      <c r="AM3736" s="23">
        <f>_xll.qlIndexFixing(hiborindex,AK3736)</f>
        <v>1.3088452817126393E-2</v>
      </c>
    </row>
    <row r="3737" spans="37:39" x14ac:dyDescent="0.25">
      <c r="AK3737" s="21">
        <f>_xll.qlCalendarAdvance(calendar,AK3736,"1D")</f>
        <v>47876</v>
      </c>
      <c r="AL3737" s="21">
        <f>_xll.qlInterestRateIndexValueDate(hiborindex,AK3737)</f>
        <v>47878</v>
      </c>
      <c r="AM3737" s="23">
        <f>_xll.qlIndexFixing(hiborindex,AK3737)</f>
        <v>1.3083727331379601E-2</v>
      </c>
    </row>
    <row r="3738" spans="37:39" x14ac:dyDescent="0.25">
      <c r="AK3738" s="21">
        <f>_xll.qlCalendarAdvance(calendar,AK3737,"1D")</f>
        <v>47877</v>
      </c>
      <c r="AL3738" s="21">
        <f>_xll.qlInterestRateIndexValueDate(hiborindex,AK3738)</f>
        <v>47879</v>
      </c>
      <c r="AM3738" s="23">
        <f>_xll.qlIndexFixing(hiborindex,AK3738)</f>
        <v>1.3078999289258691E-2</v>
      </c>
    </row>
    <row r="3739" spans="37:39" x14ac:dyDescent="0.25">
      <c r="AK3739" s="21">
        <f>_xll.qlCalendarAdvance(calendar,AK3738,"1D")</f>
        <v>47878</v>
      </c>
      <c r="AL3739" s="21">
        <f>_xll.qlInterestRateIndexValueDate(hiborindex,AK3739)</f>
        <v>47882</v>
      </c>
      <c r="AM3739" s="23">
        <f>_xll.qlIndexFixing(hiborindex,AK3739)</f>
        <v>1.3060466825016886E-2</v>
      </c>
    </row>
    <row r="3740" spans="37:39" x14ac:dyDescent="0.25">
      <c r="AK3740" s="21">
        <f>_xll.qlCalendarAdvance(calendar,AK3739,"1D")</f>
        <v>47879</v>
      </c>
      <c r="AL3740" s="21">
        <f>_xll.qlInterestRateIndexValueDate(hiborindex,AK3740)</f>
        <v>47883</v>
      </c>
      <c r="AM3740" s="23">
        <f>_xll.qlIndexFixing(hiborindex,AK3740)</f>
        <v>1.306006155740087E-2</v>
      </c>
    </row>
    <row r="3741" spans="37:39" x14ac:dyDescent="0.25">
      <c r="AK3741" s="21">
        <f>_xll.qlCalendarAdvance(calendar,AK3740,"1D")</f>
        <v>47882</v>
      </c>
      <c r="AL3741" s="21">
        <f>_xll.qlInterestRateIndexValueDate(hiborindex,AK3741)</f>
        <v>47884</v>
      </c>
      <c r="AM3741" s="23">
        <f>_xll.qlIndexFixing(hiborindex,AK3741)</f>
        <v>1.3055320733683184E-2</v>
      </c>
    </row>
    <row r="3742" spans="37:39" x14ac:dyDescent="0.25">
      <c r="AK3742" s="21">
        <f>_xll.qlCalendarAdvance(calendar,AK3741,"1D")</f>
        <v>47883</v>
      </c>
      <c r="AL3742" s="21">
        <f>_xll.qlInterestRateIndexValueDate(hiborindex,AK3742)</f>
        <v>47885</v>
      </c>
      <c r="AM3742" s="23">
        <f>_xll.qlIndexFixing(hiborindex,AK3742)</f>
        <v>1.3050577353701348E-2</v>
      </c>
    </row>
    <row r="3743" spans="37:39" x14ac:dyDescent="0.25">
      <c r="AK3743" s="21">
        <f>_xll.qlCalendarAdvance(calendar,AK3742,"1D")</f>
        <v>47884</v>
      </c>
      <c r="AL3743" s="21">
        <f>_xll.qlInterestRateIndexValueDate(hiborindex,AK3743)</f>
        <v>47886</v>
      </c>
      <c r="AM3743" s="23">
        <f>_xll.qlIndexFixing(hiborindex,AK3743)</f>
        <v>1.3045831417472585E-2</v>
      </c>
    </row>
    <row r="3744" spans="37:39" x14ac:dyDescent="0.25">
      <c r="AK3744" s="21">
        <f>_xll.qlCalendarAdvance(calendar,AK3743,"1D")</f>
        <v>47885</v>
      </c>
      <c r="AL3744" s="21">
        <f>_xll.qlInterestRateIndexValueDate(hiborindex,AK3744)</f>
        <v>47889</v>
      </c>
      <c r="AM3744" s="23">
        <f>_xll.qlIndexFixing(hiborindex,AK3744)</f>
        <v>1.3027500557450127E-2</v>
      </c>
    </row>
    <row r="3745" spans="37:39" x14ac:dyDescent="0.25">
      <c r="AK3745" s="21">
        <f>_xll.qlCalendarAdvance(calendar,AK3744,"1D")</f>
        <v>47886</v>
      </c>
      <c r="AL3745" s="21">
        <f>_xll.qlInterestRateIndexValueDate(hiborindex,AK3745)</f>
        <v>47890</v>
      </c>
      <c r="AM3745" s="23">
        <f>_xll.qlIndexFixing(hiborindex,AK3745)</f>
        <v>1.3026822110458356E-2</v>
      </c>
    </row>
    <row r="3746" spans="37:39" x14ac:dyDescent="0.25">
      <c r="AK3746" s="21">
        <f>_xll.qlCalendarAdvance(calendar,AK3745,"1D")</f>
        <v>47889</v>
      </c>
      <c r="AL3746" s="21">
        <f>_xll.qlInterestRateIndexValueDate(hiborindex,AK3746)</f>
        <v>47891</v>
      </c>
      <c r="AM3746" s="23">
        <f>_xll.qlIndexFixing(hiborindex,AK3746)</f>
        <v>1.302206339327098E-2</v>
      </c>
    </row>
    <row r="3747" spans="37:39" x14ac:dyDescent="0.25">
      <c r="AK3747" s="21">
        <f>_xll.qlCalendarAdvance(calendar,AK3746,"1D")</f>
        <v>47890</v>
      </c>
      <c r="AL3747" s="21">
        <f>_xll.qlInterestRateIndexValueDate(hiborindex,AK3747)</f>
        <v>47892</v>
      </c>
      <c r="AM3747" s="23">
        <f>_xll.qlIndexFixing(hiborindex,AK3747)</f>
        <v>1.3017302119947088E-2</v>
      </c>
    </row>
    <row r="3748" spans="37:39" x14ac:dyDescent="0.25">
      <c r="AK3748" s="21">
        <f>_xll.qlCalendarAdvance(calendar,AK3747,"1D")</f>
        <v>47891</v>
      </c>
      <c r="AL3748" s="21">
        <f>_xll.qlInterestRateIndexValueDate(hiborindex,AK3748)</f>
        <v>47893</v>
      </c>
      <c r="AM3748" s="23">
        <f>_xll.qlIndexFixing(hiborindex,AK3748)</f>
        <v>1.3012538290504343E-2</v>
      </c>
    </row>
    <row r="3749" spans="37:39" x14ac:dyDescent="0.25">
      <c r="AK3749" s="21">
        <f>_xll.qlCalendarAdvance(calendar,AK3748,"1D")</f>
        <v>47892</v>
      </c>
      <c r="AL3749" s="21">
        <f>_xll.qlInterestRateIndexValueDate(hiborindex,AK3749)</f>
        <v>47896</v>
      </c>
      <c r="AM3749" s="23">
        <f>_xll.qlIndexFixing(hiborindex,AK3749)</f>
        <v>1.2994409718906539E-2</v>
      </c>
    </row>
    <row r="3750" spans="37:39" x14ac:dyDescent="0.25">
      <c r="AK3750" s="21">
        <f>_xll.qlCalendarAdvance(calendar,AK3749,"1D")</f>
        <v>47893</v>
      </c>
      <c r="AL3750" s="21">
        <f>_xll.qlInterestRateIndexValueDate(hiborindex,AK3750)</f>
        <v>47897</v>
      </c>
      <c r="AM3750" s="23">
        <f>_xll.qlIndexFixing(hiborindex,AK3750)</f>
        <v>1.2993457411912277E-2</v>
      </c>
    </row>
    <row r="3751" spans="37:39" x14ac:dyDescent="0.25">
      <c r="AK3751" s="21">
        <f>_xll.qlCalendarAdvance(calendar,AK3750,"1D")</f>
        <v>47896</v>
      </c>
      <c r="AL3751" s="21">
        <f>_xll.qlInterestRateIndexValueDate(hiborindex,AK3751)</f>
        <v>47898</v>
      </c>
      <c r="AM3751" s="23">
        <f>_xll.qlIndexFixing(hiborindex,AK3751)</f>
        <v>1.2988680802151292E-2</v>
      </c>
    </row>
    <row r="3752" spans="37:39" x14ac:dyDescent="0.25">
      <c r="AK3752" s="21">
        <f>_xll.qlCalendarAdvance(calendar,AK3751,"1D")</f>
        <v>47897</v>
      </c>
      <c r="AL3752" s="21">
        <f>_xll.qlInterestRateIndexValueDate(hiborindex,AK3752)</f>
        <v>47899</v>
      </c>
      <c r="AM3752" s="23">
        <f>_xll.qlIndexFixing(hiborindex,AK3752)</f>
        <v>1.298390163638098E-2</v>
      </c>
    </row>
    <row r="3753" spans="37:39" x14ac:dyDescent="0.25">
      <c r="AK3753" s="21">
        <f>_xll.qlCalendarAdvance(calendar,AK3752,"1D")</f>
        <v>47898</v>
      </c>
      <c r="AL3753" s="21">
        <f>_xll.qlInterestRateIndexValueDate(hiborindex,AK3753)</f>
        <v>47900</v>
      </c>
      <c r="AM3753" s="23">
        <f>_xll.qlIndexFixing(hiborindex,AK3753)</f>
        <v>1.2979119914620772E-2</v>
      </c>
    </row>
    <row r="3754" spans="37:39" x14ac:dyDescent="0.25">
      <c r="AK3754" s="21">
        <f>_xll.qlCalendarAdvance(calendar,AK3753,"1D")</f>
        <v>47899</v>
      </c>
      <c r="AL3754" s="21">
        <f>_xll.qlInterestRateIndexValueDate(hiborindex,AK3754)</f>
        <v>47903</v>
      </c>
      <c r="AM3754" s="23">
        <f>_xll.qlIndexFixing(hiborindex,AK3754)</f>
        <v>1.296119431561586E-2</v>
      </c>
    </row>
    <row r="3755" spans="37:39" x14ac:dyDescent="0.25">
      <c r="AK3755" s="21">
        <f>_xll.qlCalendarAdvance(calendar,AK3754,"1D")</f>
        <v>47900</v>
      </c>
      <c r="AL3755" s="21">
        <f>_xll.qlInterestRateIndexValueDate(hiborindex,AK3755)</f>
        <v>47904</v>
      </c>
      <c r="AM3755" s="23">
        <f>_xll.qlIndexFixing(hiborindex,AK3755)</f>
        <v>1.2959967468043137E-2</v>
      </c>
    </row>
    <row r="3756" spans="37:39" x14ac:dyDescent="0.25">
      <c r="AK3756" s="21">
        <f>_xll.qlCalendarAdvance(calendar,AK3755,"1D")</f>
        <v>47903</v>
      </c>
      <c r="AL3756" s="21">
        <f>_xll.qlInterestRateIndexValueDate(hiborindex,AK3756)</f>
        <v>47905</v>
      </c>
      <c r="AM3756" s="23">
        <f>_xll.qlIndexFixing(hiborindex,AK3756)</f>
        <v>1.2955172966606827E-2</v>
      </c>
    </row>
    <row r="3757" spans="37:39" x14ac:dyDescent="0.25">
      <c r="AK3757" s="21">
        <f>_xll.qlCalendarAdvance(calendar,AK3756,"1D")</f>
        <v>47904</v>
      </c>
      <c r="AL3757" s="21">
        <f>_xll.qlInterestRateIndexValueDate(hiborindex,AK3757)</f>
        <v>47906</v>
      </c>
      <c r="AM3757" s="23">
        <f>_xll.qlIndexFixing(hiborindex,AK3757)</f>
        <v>1.2950375909290148E-2</v>
      </c>
    </row>
    <row r="3758" spans="37:39" x14ac:dyDescent="0.25">
      <c r="AK3758" s="21">
        <f>_xll.qlCalendarAdvance(calendar,AK3757,"1D")</f>
        <v>47905</v>
      </c>
      <c r="AL3758" s="21">
        <f>_xll.qlInterestRateIndexValueDate(hiborindex,AK3758)</f>
        <v>47907</v>
      </c>
      <c r="AM3758" s="23">
        <f>_xll.qlIndexFixing(hiborindex,AK3758)</f>
        <v>1.2942158160538987E-2</v>
      </c>
    </row>
    <row r="3759" spans="37:39" x14ac:dyDescent="0.25">
      <c r="AK3759" s="21">
        <f>_xll.qlCalendarAdvance(calendar,AK3758,"1D")</f>
        <v>47906</v>
      </c>
      <c r="AL3759" s="21">
        <f>_xll.qlInterestRateIndexValueDate(hiborindex,AK3759)</f>
        <v>47910</v>
      </c>
      <c r="AM3759" s="23">
        <f>_xll.qlIndexFixing(hiborindex,AK3759)</f>
        <v>1.2921384834940909E-2</v>
      </c>
    </row>
    <row r="3760" spans="37:39" x14ac:dyDescent="0.25">
      <c r="AK3760" s="21">
        <f>_xll.qlCalendarAdvance(calendar,AK3759,"1D")</f>
        <v>47907</v>
      </c>
      <c r="AL3760" s="21">
        <f>_xll.qlInterestRateIndexValueDate(hiborindex,AK3760)</f>
        <v>47911</v>
      </c>
      <c r="AM3760" s="23">
        <f>_xll.qlIndexFixing(hiborindex,AK3760)</f>
        <v>1.2916684251227337E-2</v>
      </c>
    </row>
    <row r="3761" spans="37:39" x14ac:dyDescent="0.25">
      <c r="AK3761" s="21">
        <f>_xll.qlCalendarAdvance(calendar,AK3760,"1D")</f>
        <v>47910</v>
      </c>
      <c r="AL3761" s="21">
        <f>_xll.qlInterestRateIndexValueDate(hiborindex,AK3761)</f>
        <v>47912</v>
      </c>
      <c r="AM3761" s="23">
        <f>_xll.qlIndexFixing(hiborindex,AK3761)</f>
        <v>1.2911981153007769E-2</v>
      </c>
    </row>
    <row r="3762" spans="37:39" x14ac:dyDescent="0.25">
      <c r="AK3762" s="21">
        <f>_xll.qlCalendarAdvance(calendar,AK3761,"1D")</f>
        <v>47911</v>
      </c>
      <c r="AL3762" s="21">
        <f>_xll.qlInterestRateIndexValueDate(hiborindex,AK3762)</f>
        <v>47913</v>
      </c>
      <c r="AM3762" s="23">
        <f>_xll.qlIndexFixing(hiborindex,AK3762)</f>
        <v>1.2901208206289269E-2</v>
      </c>
    </row>
    <row r="3763" spans="37:39" x14ac:dyDescent="0.25">
      <c r="AK3763" s="21">
        <f>_xll.qlCalendarAdvance(calendar,AK3762,"1D")</f>
        <v>47912</v>
      </c>
      <c r="AL3763" s="21">
        <f>_xll.qlInterestRateIndexValueDate(hiborindex,AK3763)</f>
        <v>47914</v>
      </c>
      <c r="AM3763" s="23">
        <f>_xll.qlIndexFixing(hiborindex,AK3763)</f>
        <v>1.2899546692544466E-2</v>
      </c>
    </row>
    <row r="3764" spans="37:39" x14ac:dyDescent="0.25">
      <c r="AK3764" s="21">
        <f>_xll.qlCalendarAdvance(calendar,AK3763,"1D")</f>
        <v>47913</v>
      </c>
      <c r="AL3764" s="21">
        <f>_xll.qlInterestRateIndexValueDate(hiborindex,AK3764)</f>
        <v>47917</v>
      </c>
      <c r="AM3764" s="23">
        <f>_xll.qlIndexFixing(hiborindex,AK3764)</f>
        <v>1.2888427944956024E-2</v>
      </c>
    </row>
    <row r="3765" spans="37:39" x14ac:dyDescent="0.25">
      <c r="AK3765" s="21">
        <f>_xll.qlCalendarAdvance(calendar,AK3764,"1D")</f>
        <v>47914</v>
      </c>
      <c r="AL3765" s="21">
        <f>_xll.qlInterestRateIndexValueDate(hiborindex,AK3765)</f>
        <v>47918</v>
      </c>
      <c r="AM3765" s="23">
        <f>_xll.qlIndexFixing(hiborindex,AK3765)</f>
        <v>1.2883709760081487E-2</v>
      </c>
    </row>
    <row r="3766" spans="37:39" x14ac:dyDescent="0.25">
      <c r="AK3766" s="21">
        <f>_xll.qlCalendarAdvance(calendar,AK3765,"1D")</f>
        <v>47917</v>
      </c>
      <c r="AL3766" s="21">
        <f>_xll.qlInterestRateIndexValueDate(hiborindex,AK3766)</f>
        <v>47919</v>
      </c>
      <c r="AM3766" s="23">
        <f>_xll.qlIndexFixing(hiborindex,AK3766)</f>
        <v>1.2878989060827812E-2</v>
      </c>
    </row>
    <row r="3767" spans="37:39" x14ac:dyDescent="0.25">
      <c r="AK3767" s="21">
        <f>_xll.qlCalendarAdvance(calendar,AK3766,"1D")</f>
        <v>47918</v>
      </c>
      <c r="AL3767" s="21">
        <f>_xll.qlInterestRateIndexValueDate(hiborindex,AK3767)</f>
        <v>47920</v>
      </c>
      <c r="AM3767" s="23">
        <f>_xll.qlIndexFixing(hiborindex,AK3767)</f>
        <v>1.2868695801572846E-2</v>
      </c>
    </row>
    <row r="3768" spans="37:39" x14ac:dyDescent="0.25">
      <c r="AK3768" s="21">
        <f>_xll.qlCalendarAdvance(calendar,AK3767,"1D")</f>
        <v>47919</v>
      </c>
      <c r="AL3768" s="21">
        <f>_xll.qlInterestRateIndexValueDate(hiborindex,AK3768)</f>
        <v>47921</v>
      </c>
      <c r="AM3768" s="23">
        <f>_xll.qlIndexFixing(hiborindex,AK3768)</f>
        <v>1.2866769478708394E-2</v>
      </c>
    </row>
    <row r="3769" spans="37:39" x14ac:dyDescent="0.25">
      <c r="AK3769" s="21">
        <f>_xll.qlCalendarAdvance(calendar,AK3768,"1D")</f>
        <v>47920</v>
      </c>
      <c r="AL3769" s="21">
        <f>_xll.qlInterestRateIndexValueDate(hiborindex,AK3769)</f>
        <v>47924</v>
      </c>
      <c r="AM3769" s="23">
        <f>_xll.qlIndexFixing(hiborindex,AK3769)</f>
        <v>1.2855347849505745E-2</v>
      </c>
    </row>
    <row r="3770" spans="37:39" x14ac:dyDescent="0.25">
      <c r="AK3770" s="21">
        <f>_xll.qlCalendarAdvance(calendar,AK3769,"1D")</f>
        <v>47921</v>
      </c>
      <c r="AL3770" s="21">
        <f>_xll.qlInterestRateIndexValueDate(hiborindex,AK3770)</f>
        <v>47925</v>
      </c>
      <c r="AM3770" s="23">
        <f>_xll.qlIndexFixing(hiborindex,AK3770)</f>
        <v>1.2850612064358665E-2</v>
      </c>
    </row>
    <row r="3771" spans="37:39" x14ac:dyDescent="0.25">
      <c r="AK3771" s="21">
        <f>_xll.qlCalendarAdvance(calendar,AK3770,"1D")</f>
        <v>47924</v>
      </c>
      <c r="AL3771" s="21">
        <f>_xll.qlInterestRateIndexValueDate(hiborindex,AK3771)</f>
        <v>47926</v>
      </c>
      <c r="AM3771" s="23">
        <f>_xll.qlIndexFixing(hiborindex,AK3771)</f>
        <v>1.2845873764958866E-2</v>
      </c>
    </row>
    <row r="3772" spans="37:39" x14ac:dyDescent="0.25">
      <c r="AK3772" s="21">
        <f>_xll.qlCalendarAdvance(calendar,AK3771,"1D")</f>
        <v>47925</v>
      </c>
      <c r="AL3772" s="21">
        <f>_xll.qlInterestRateIndexValueDate(hiborindex,AK3772)</f>
        <v>47927</v>
      </c>
      <c r="AM3772" s="23">
        <f>_xll.qlIndexFixing(hiborindex,AK3772)</f>
        <v>1.2836061505662079E-2</v>
      </c>
    </row>
    <row r="3773" spans="37:39" x14ac:dyDescent="0.25">
      <c r="AK3773" s="21">
        <f>_xll.qlCalendarAdvance(calendar,AK3772,"1D")</f>
        <v>47926</v>
      </c>
      <c r="AL3773" s="21">
        <f>_xll.qlInterestRateIndexValueDate(hiborindex,AK3773)</f>
        <v>47928</v>
      </c>
      <c r="AM3773" s="23">
        <f>_xll.qlIndexFixing(hiborindex,AK3773)</f>
        <v>1.2833869722300341E-2</v>
      </c>
    </row>
    <row r="3774" spans="37:39" x14ac:dyDescent="0.25">
      <c r="AK3774" s="21">
        <f>_xll.qlCalendarAdvance(calendar,AK3773,"1D")</f>
        <v>47927</v>
      </c>
      <c r="AL3774" s="21">
        <f>_xll.qlInterestRateIndexValueDate(hiborindex,AK3774)</f>
        <v>47931</v>
      </c>
      <c r="AM3774" s="23">
        <f>_xll.qlIndexFixing(hiborindex,AK3774)</f>
        <v>1.2822144554817696E-2</v>
      </c>
    </row>
    <row r="3775" spans="37:39" x14ac:dyDescent="0.25">
      <c r="AK3775" s="21">
        <f>_xll.qlCalendarAdvance(calendar,AK3774,"1D")</f>
        <v>47928</v>
      </c>
      <c r="AL3775" s="21">
        <f>_xll.qlInterestRateIndexValueDate(hiborindex,AK3775)</f>
        <v>47932</v>
      </c>
      <c r="AM3775" s="23">
        <f>_xll.qlIndexFixing(hiborindex,AK3775)</f>
        <v>1.2817391170288231E-2</v>
      </c>
    </row>
    <row r="3776" spans="37:39" x14ac:dyDescent="0.25">
      <c r="AK3776" s="21">
        <f>_xll.qlCalendarAdvance(calendar,AK3775,"1D")</f>
        <v>47931</v>
      </c>
      <c r="AL3776" s="21">
        <f>_xll.qlInterestRateIndexValueDate(hiborindex,AK3776)</f>
        <v>47933</v>
      </c>
      <c r="AM3776" s="23">
        <f>_xll.qlIndexFixing(hiborindex,AK3776)</f>
        <v>1.2812635271634638E-2</v>
      </c>
    </row>
    <row r="3777" spans="37:39" x14ac:dyDescent="0.25">
      <c r="AK3777" s="21">
        <f>_xll.qlCalendarAdvance(calendar,AK3776,"1D")</f>
        <v>47932</v>
      </c>
      <c r="AL3777" s="21">
        <f>_xll.qlInterestRateIndexValueDate(hiborindex,AK3777)</f>
        <v>47934</v>
      </c>
      <c r="AM3777" s="23">
        <f>_xll.qlIndexFixing(hiborindex,AK3777)</f>
        <v>1.2803305324699154E-2</v>
      </c>
    </row>
    <row r="3778" spans="37:39" x14ac:dyDescent="0.25">
      <c r="AK3778" s="21">
        <f>_xll.qlCalendarAdvance(calendar,AK3777,"1D")</f>
        <v>47933</v>
      </c>
      <c r="AL3778" s="21">
        <f>_xll.qlInterestRateIndexValueDate(hiborindex,AK3778)</f>
        <v>47935</v>
      </c>
      <c r="AM3778" s="23">
        <f>_xll.qlIndexFixing(hiborindex,AK3778)</f>
        <v>1.2800847429513837E-2</v>
      </c>
    </row>
    <row r="3779" spans="37:39" x14ac:dyDescent="0.25">
      <c r="AK3779" s="21">
        <f>_xll.qlCalendarAdvance(calendar,AK3778,"1D")</f>
        <v>47934</v>
      </c>
      <c r="AL3779" s="21">
        <f>_xll.qlInterestRateIndexValueDate(hiborindex,AK3779)</f>
        <v>47938</v>
      </c>
      <c r="AM3779" s="23">
        <f>_xll.qlIndexFixing(hiborindex,AK3779)</f>
        <v>1.2791015047036926E-2</v>
      </c>
    </row>
    <row r="3780" spans="37:39" x14ac:dyDescent="0.25">
      <c r="AK3780" s="21">
        <f>_xll.qlCalendarAdvance(calendar,AK3779,"1D")</f>
        <v>47935</v>
      </c>
      <c r="AL3780" s="21">
        <f>_xll.qlInterestRateIndexValueDate(hiborindex,AK3780)</f>
        <v>47939</v>
      </c>
      <c r="AM3780" s="23">
        <f>_xll.qlIndexFixing(hiborindex,AK3780)</f>
        <v>1.2786207662901998E-2</v>
      </c>
    </row>
    <row r="3781" spans="37:39" x14ac:dyDescent="0.25">
      <c r="AK3781" s="21">
        <f>_xll.qlCalendarAdvance(calendar,AK3780,"1D")</f>
        <v>47938</v>
      </c>
      <c r="AL3781" s="21">
        <f>_xll.qlInterestRateIndexValueDate(hiborindex,AK3781)</f>
        <v>47940</v>
      </c>
      <c r="AM3781" s="23">
        <f>_xll.qlIndexFixing(hiborindex,AK3781)</f>
        <v>1.278139775117014E-2</v>
      </c>
    </row>
    <row r="3782" spans="37:39" x14ac:dyDescent="0.25">
      <c r="AK3782" s="21">
        <f>_xll.qlCalendarAdvance(calendar,AK3781,"1D")</f>
        <v>47939</v>
      </c>
      <c r="AL3782" s="21">
        <f>_xll.qlInterestRateIndexValueDate(hiborindex,AK3782)</f>
        <v>47941</v>
      </c>
      <c r="AM3782" s="23">
        <f>_xll.qlIndexFixing(hiborindex,AK3782)</f>
        <v>1.2776585311860135E-2</v>
      </c>
    </row>
    <row r="3783" spans="37:39" x14ac:dyDescent="0.25">
      <c r="AK3783" s="21">
        <f>_xll.qlCalendarAdvance(calendar,AK3782,"1D")</f>
        <v>47940</v>
      </c>
      <c r="AL3783" s="21">
        <f>_xll.qlInterestRateIndexValueDate(hiborindex,AK3783)</f>
        <v>47942</v>
      </c>
      <c r="AM3783" s="23">
        <f>_xll.qlIndexFixing(hiborindex,AK3783)</f>
        <v>1.2767702606564884E-2</v>
      </c>
    </row>
    <row r="3784" spans="37:39" x14ac:dyDescent="0.25">
      <c r="AK3784" s="21">
        <f>_xll.qlCalendarAdvance(calendar,AK3783,"1D")</f>
        <v>47941</v>
      </c>
      <c r="AL3784" s="21">
        <f>_xll.qlInterestRateIndexValueDate(hiborindex,AK3784)</f>
        <v>47945</v>
      </c>
      <c r="AM3784" s="23">
        <f>_xll.qlIndexFixing(hiborindex,AK3784)</f>
        <v>1.2757310279209065E-2</v>
      </c>
    </row>
    <row r="3785" spans="37:39" x14ac:dyDescent="0.25">
      <c r="AK3785" s="21">
        <f>_xll.qlCalendarAdvance(calendar,AK3784,"1D")</f>
        <v>47942</v>
      </c>
      <c r="AL3785" s="21">
        <f>_xll.qlInterestRateIndexValueDate(hiborindex,AK3785)</f>
        <v>47946</v>
      </c>
      <c r="AM3785" s="23">
        <f>_xll.qlIndexFixing(hiborindex,AK3785)</f>
        <v>1.2752485202286137E-2</v>
      </c>
    </row>
    <row r="3786" spans="37:39" x14ac:dyDescent="0.25">
      <c r="AK3786" s="21">
        <f>_xll.qlCalendarAdvance(calendar,AK3785,"1D")</f>
        <v>47945</v>
      </c>
      <c r="AL3786" s="21">
        <f>_xll.qlInterestRateIndexValueDate(hiborindex,AK3786)</f>
        <v>47947</v>
      </c>
      <c r="AM3786" s="23">
        <f>_xll.qlIndexFixing(hiborindex,AK3786)</f>
        <v>1.2747657597896011E-2</v>
      </c>
    </row>
    <row r="3787" spans="37:39" x14ac:dyDescent="0.25">
      <c r="AK3787" s="21">
        <f>_xll.qlCalendarAdvance(calendar,AK3786,"1D")</f>
        <v>47946</v>
      </c>
      <c r="AL3787" s="21">
        <f>_xll.qlInterestRateIndexValueDate(hiborindex,AK3787)</f>
        <v>47948</v>
      </c>
      <c r="AM3787" s="23">
        <f>_xll.qlIndexFixing(hiborindex,AK3787)</f>
        <v>1.27428274660566E-2</v>
      </c>
    </row>
    <row r="3788" spans="37:39" x14ac:dyDescent="0.25">
      <c r="AK3788" s="21">
        <f>_xll.qlCalendarAdvance(calendar,AK3787,"1D")</f>
        <v>47947</v>
      </c>
      <c r="AL3788" s="21">
        <f>_xll.qlInterestRateIndexValueDate(hiborindex,AK3788)</f>
        <v>47953</v>
      </c>
      <c r="AM3788" s="23">
        <f>_xll.qlIndexFixing(hiborindex,AK3788)</f>
        <v>1.2718638895784161E-2</v>
      </c>
    </row>
    <row r="3789" spans="37:39" x14ac:dyDescent="0.25">
      <c r="AK3789" s="21">
        <f>_xll.qlCalendarAdvance(calendar,AK3788,"1D")</f>
        <v>47948</v>
      </c>
      <c r="AL3789" s="21">
        <f>_xll.qlInterestRateIndexValueDate(hiborindex,AK3789)</f>
        <v>47954</v>
      </c>
      <c r="AM3789" s="23">
        <f>_xll.qlIndexFixing(hiborindex,AK3789)</f>
        <v>1.2713793599643457E-2</v>
      </c>
    </row>
    <row r="3790" spans="37:39" x14ac:dyDescent="0.25">
      <c r="AK3790" s="21">
        <f>_xll.qlCalendarAdvance(calendar,AK3789,"1D")</f>
        <v>47953</v>
      </c>
      <c r="AL3790" s="21">
        <f>_xll.qlInterestRateIndexValueDate(hiborindex,AK3790)</f>
        <v>47955</v>
      </c>
      <c r="AM3790" s="23">
        <f>_xll.qlIndexFixing(hiborindex,AK3790)</f>
        <v>1.2708945776184947E-2</v>
      </c>
    </row>
    <row r="3791" spans="37:39" x14ac:dyDescent="0.25">
      <c r="AK3791" s="21">
        <f>_xll.qlCalendarAdvance(calendar,AK3790,"1D")</f>
        <v>47954</v>
      </c>
      <c r="AL3791" s="21">
        <f>_xll.qlInterestRateIndexValueDate(hiborindex,AK3791)</f>
        <v>47956</v>
      </c>
      <c r="AM3791" s="23">
        <f>_xll.qlIndexFixing(hiborindex,AK3791)</f>
        <v>1.270104539515814E-2</v>
      </c>
    </row>
    <row r="3792" spans="37:39" x14ac:dyDescent="0.25">
      <c r="AK3792" s="21">
        <f>_xll.qlCalendarAdvance(calendar,AK3791,"1D")</f>
        <v>47955</v>
      </c>
      <c r="AL3792" s="21">
        <f>_xll.qlInterestRateIndexValueDate(hiborindex,AK3792)</f>
        <v>47959</v>
      </c>
      <c r="AM3792" s="23">
        <f>_xll.qlIndexFixing(hiborindex,AK3792)</f>
        <v>1.2689529209537986E-2</v>
      </c>
    </row>
    <row r="3793" spans="37:39" x14ac:dyDescent="0.25">
      <c r="AK3793" s="21">
        <f>_xll.qlCalendarAdvance(calendar,AK3792,"1D")</f>
        <v>47956</v>
      </c>
      <c r="AL3793" s="21">
        <f>_xll.qlInterestRateIndexValueDate(hiborindex,AK3793)</f>
        <v>47960</v>
      </c>
      <c r="AM3793" s="23">
        <f>_xll.qlIndexFixing(hiborindex,AK3793)</f>
        <v>1.2684668749766495E-2</v>
      </c>
    </row>
    <row r="3794" spans="37:39" x14ac:dyDescent="0.25">
      <c r="AK3794" s="21">
        <f>_xll.qlCalendarAdvance(calendar,AK3793,"1D")</f>
        <v>47959</v>
      </c>
      <c r="AL3794" s="21">
        <f>_xll.qlInterestRateIndexValueDate(hiborindex,AK3794)</f>
        <v>47961</v>
      </c>
      <c r="AM3794" s="23">
        <f>_xll.qlIndexFixing(hiborindex,AK3794)</f>
        <v>1.2679805762788144E-2</v>
      </c>
    </row>
    <row r="3795" spans="37:39" x14ac:dyDescent="0.25">
      <c r="AK3795" s="21">
        <f>_xll.qlCalendarAdvance(calendar,AK3794,"1D")</f>
        <v>47960</v>
      </c>
      <c r="AL3795" s="21">
        <f>_xll.qlInterestRateIndexValueDate(hiborindex,AK3795)</f>
        <v>47962</v>
      </c>
      <c r="AM3795" s="23">
        <f>_xll.qlIndexFixing(hiborindex,AK3795)</f>
        <v>1.2674940248622155E-2</v>
      </c>
    </row>
    <row r="3796" spans="37:39" x14ac:dyDescent="0.25">
      <c r="AK3796" s="21">
        <f>_xll.qlCalendarAdvance(calendar,AK3795,"1D")</f>
        <v>47961</v>
      </c>
      <c r="AL3796" s="21">
        <f>_xll.qlInterestRateIndexValueDate(hiborindex,AK3796)</f>
        <v>47963</v>
      </c>
      <c r="AM3796" s="23">
        <f>_xll.qlIndexFixing(hiborindex,AK3796)</f>
        <v>1.2667533019247716E-2</v>
      </c>
    </row>
    <row r="3797" spans="37:39" x14ac:dyDescent="0.25">
      <c r="AK3797" s="21">
        <f>_xll.qlCalendarAdvance(calendar,AK3796,"1D")</f>
        <v>47962</v>
      </c>
      <c r="AL3797" s="21">
        <f>_xll.qlInterestRateIndexValueDate(hiborindex,AK3797)</f>
        <v>47966</v>
      </c>
      <c r="AM3797" s="23">
        <f>_xll.qlIndexFixing(hiborindex,AK3797)</f>
        <v>1.2655452920452651E-2</v>
      </c>
    </row>
    <row r="3798" spans="37:39" x14ac:dyDescent="0.25">
      <c r="AK3798" s="21">
        <f>_xll.qlCalendarAdvance(calendar,AK3797,"1D")</f>
        <v>47963</v>
      </c>
      <c r="AL3798" s="21">
        <f>_xll.qlInterestRateIndexValueDate(hiborindex,AK3798)</f>
        <v>47967</v>
      </c>
      <c r="AM3798" s="23">
        <f>_xll.qlIndexFixing(hiborindex,AK3798)</f>
        <v>1.2650574770627584E-2</v>
      </c>
    </row>
    <row r="3799" spans="37:39" x14ac:dyDescent="0.25">
      <c r="AK3799" s="21">
        <f>_xll.qlCalendarAdvance(calendar,AK3798,"1D")</f>
        <v>47966</v>
      </c>
      <c r="AL3799" s="21">
        <f>_xll.qlInterestRateIndexValueDate(hiborindex,AK3799)</f>
        <v>47968</v>
      </c>
      <c r="AM3799" s="23">
        <f>_xll.qlIndexFixing(hiborindex,AK3799)</f>
        <v>1.2644595062982815E-2</v>
      </c>
    </row>
    <row r="3800" spans="37:39" x14ac:dyDescent="0.25">
      <c r="AK3800" s="21">
        <f>_xll.qlCalendarAdvance(calendar,AK3799,"1D")</f>
        <v>47967</v>
      </c>
      <c r="AL3800" s="21">
        <f>_xll.qlInterestRateIndexValueDate(hiborindex,AK3800)</f>
        <v>47970</v>
      </c>
      <c r="AM3800" s="23">
        <f>_xll.qlIndexFixing(hiborindex,AK3800)</f>
        <v>1.2633898138268715E-2</v>
      </c>
    </row>
    <row r="3801" spans="37:39" x14ac:dyDescent="0.25">
      <c r="AK3801" s="21">
        <f>_xll.qlCalendarAdvance(calendar,AK3800,"1D")</f>
        <v>47968</v>
      </c>
      <c r="AL3801" s="21">
        <f>_xll.qlInterestRateIndexValueDate(hiborindex,AK3801)</f>
        <v>47973</v>
      </c>
      <c r="AM3801" s="23">
        <f>_xll.qlIndexFixing(hiborindex,AK3801)</f>
        <v>1.2620337954303286E-2</v>
      </c>
    </row>
    <row r="3802" spans="37:39" x14ac:dyDescent="0.25">
      <c r="AK3802" s="21">
        <f>_xll.qlCalendarAdvance(calendar,AK3801,"1D")</f>
        <v>47970</v>
      </c>
      <c r="AL3802" s="21">
        <f>_xll.qlInterestRateIndexValueDate(hiborindex,AK3802)</f>
        <v>47974</v>
      </c>
      <c r="AM3802" s="23">
        <f>_xll.qlIndexFixing(hiborindex,AK3802)</f>
        <v>1.2615478992390463E-2</v>
      </c>
    </row>
    <row r="3803" spans="37:39" x14ac:dyDescent="0.25">
      <c r="AK3803" s="21">
        <f>_xll.qlCalendarAdvance(calendar,AK3802,"1D")</f>
        <v>47973</v>
      </c>
      <c r="AL3803" s="21">
        <f>_xll.qlInterestRateIndexValueDate(hiborindex,AK3803)</f>
        <v>47975</v>
      </c>
      <c r="AM3803" s="23">
        <f>_xll.qlIndexFixing(hiborindex,AK3803)</f>
        <v>1.2610617517128978E-2</v>
      </c>
    </row>
    <row r="3804" spans="37:39" x14ac:dyDescent="0.25">
      <c r="AK3804" s="21">
        <f>_xll.qlCalendarAdvance(calendar,AK3803,"1D")</f>
        <v>47974</v>
      </c>
      <c r="AL3804" s="21">
        <f>_xll.qlInterestRateIndexValueDate(hiborindex,AK3804)</f>
        <v>47976</v>
      </c>
      <c r="AM3804" s="23">
        <f>_xll.qlIndexFixing(hiborindex,AK3804)</f>
        <v>1.260420899973673E-2</v>
      </c>
    </row>
    <row r="3805" spans="37:39" x14ac:dyDescent="0.25">
      <c r="AK3805" s="21">
        <f>_xll.qlCalendarAdvance(calendar,AK3804,"1D")</f>
        <v>47975</v>
      </c>
      <c r="AL3805" s="21">
        <f>_xll.qlInterestRateIndexValueDate(hiborindex,AK3805)</f>
        <v>47977</v>
      </c>
      <c r="AM3805" s="23">
        <f>_xll.qlIndexFixing(hiborindex,AK3805)</f>
        <v>1.2600140758552938E-2</v>
      </c>
    </row>
    <row r="3806" spans="37:39" x14ac:dyDescent="0.25">
      <c r="AK3806" s="21">
        <f>_xll.qlCalendarAdvance(calendar,AK3805,"1D")</f>
        <v>47976</v>
      </c>
      <c r="AL3806" s="21">
        <f>_xll.qlInterestRateIndexValueDate(hiborindex,AK3806)</f>
        <v>47980</v>
      </c>
      <c r="AM3806" s="23">
        <f>_xll.qlIndexFixing(hiborindex,AK3806)</f>
        <v>1.258627244124332E-2</v>
      </c>
    </row>
    <row r="3807" spans="37:39" x14ac:dyDescent="0.25">
      <c r="AK3807" s="21">
        <f>_xll.qlCalendarAdvance(calendar,AK3806,"1D")</f>
        <v>47977</v>
      </c>
      <c r="AL3807" s="21">
        <f>_xll.qlInterestRateIndexValueDate(hiborindex,AK3807)</f>
        <v>47981</v>
      </c>
      <c r="AM3807" s="23">
        <f>_xll.qlIndexFixing(hiborindex,AK3807)</f>
        <v>1.2581395886281739E-2</v>
      </c>
    </row>
    <row r="3808" spans="37:39" x14ac:dyDescent="0.25">
      <c r="AK3808" s="21">
        <f>_xll.qlCalendarAdvance(calendar,AK3807,"1D")</f>
        <v>47980</v>
      </c>
      <c r="AL3808" s="21">
        <f>_xll.qlInterestRateIndexValueDate(hiborindex,AK3808)</f>
        <v>47982</v>
      </c>
      <c r="AM3808" s="23">
        <f>_xll.qlIndexFixing(hiborindex,AK3808)</f>
        <v>1.2576516818102264E-2</v>
      </c>
    </row>
    <row r="3809" spans="37:39" x14ac:dyDescent="0.25">
      <c r="AK3809" s="21">
        <f>_xll.qlCalendarAdvance(calendar,AK3808,"1D")</f>
        <v>47981</v>
      </c>
      <c r="AL3809" s="21">
        <f>_xll.qlInterestRateIndexValueDate(hiborindex,AK3809)</f>
        <v>47983</v>
      </c>
      <c r="AM3809" s="23">
        <f>_xll.qlIndexFixing(hiborindex,AK3809)</f>
        <v>1.2570599797341391E-2</v>
      </c>
    </row>
    <row r="3810" spans="37:39" x14ac:dyDescent="0.25">
      <c r="AK3810" s="21">
        <f>_xll.qlCalendarAdvance(calendar,AK3809,"1D")</f>
        <v>47982</v>
      </c>
      <c r="AL3810" s="21">
        <f>_xll.qlInterestRateIndexValueDate(hiborindex,AK3810)</f>
        <v>47984</v>
      </c>
      <c r="AM3810" s="23">
        <f>_xll.qlIndexFixing(hiborindex,AK3810)</f>
        <v>1.2566260886452496E-2</v>
      </c>
    </row>
    <row r="3811" spans="37:39" x14ac:dyDescent="0.25">
      <c r="AK3811" s="21">
        <f>_xll.qlCalendarAdvance(calendar,AK3810,"1D")</f>
        <v>47983</v>
      </c>
      <c r="AL3811" s="21">
        <f>_xll.qlInterestRateIndexValueDate(hiborindex,AK3811)</f>
        <v>47987</v>
      </c>
      <c r="AM3811" s="23">
        <f>_xll.qlIndexFixing(hiborindex,AK3811)</f>
        <v>1.2552083779592466E-2</v>
      </c>
    </row>
    <row r="3812" spans="37:39" x14ac:dyDescent="0.25">
      <c r="AK3812" s="21">
        <f>_xll.qlCalendarAdvance(calendar,AK3811,"1D")</f>
        <v>47984</v>
      </c>
      <c r="AL3812" s="21">
        <f>_xll.qlInterestRateIndexValueDate(hiborindex,AK3812)</f>
        <v>47988</v>
      </c>
      <c r="AM3812" s="23">
        <f>_xll.qlIndexFixing(hiborindex,AK3812)</f>
        <v>1.2547189632500089E-2</v>
      </c>
    </row>
    <row r="3813" spans="37:39" x14ac:dyDescent="0.25">
      <c r="AK3813" s="21">
        <f>_xll.qlCalendarAdvance(calendar,AK3812,"1D")</f>
        <v>47987</v>
      </c>
      <c r="AL3813" s="21">
        <f>_xll.qlInterestRateIndexValueDate(hiborindex,AK3813)</f>
        <v>47989</v>
      </c>
      <c r="AM3813" s="23">
        <f>_xll.qlIndexFixing(hiborindex,AK3813)</f>
        <v>1.2542292972321017E-2</v>
      </c>
    </row>
    <row r="3814" spans="37:39" x14ac:dyDescent="0.25">
      <c r="AK3814" s="21">
        <f>_xll.qlCalendarAdvance(calendar,AK3813,"1D")</f>
        <v>47988</v>
      </c>
      <c r="AL3814" s="21">
        <f>_xll.qlInterestRateIndexValueDate(hiborindex,AK3814)</f>
        <v>47990</v>
      </c>
      <c r="AM3814" s="23">
        <f>_xll.qlIndexFixing(hiborindex,AK3814)</f>
        <v>1.2536868759863382E-2</v>
      </c>
    </row>
    <row r="3815" spans="37:39" x14ac:dyDescent="0.25">
      <c r="AK3815" s="21">
        <f>_xll.qlCalendarAdvance(calendar,AK3814,"1D")</f>
        <v>47989</v>
      </c>
      <c r="AL3815" s="21">
        <f>_xll.qlInterestRateIndexValueDate(hiborindex,AK3815)</f>
        <v>47991</v>
      </c>
      <c r="AM3815" s="23">
        <f>_xll.qlIndexFixing(hiborindex,AK3815)</f>
        <v>1.2532258528346281E-2</v>
      </c>
    </row>
    <row r="3816" spans="37:39" x14ac:dyDescent="0.25">
      <c r="AK3816" s="21">
        <f>_xll.qlCalendarAdvance(calendar,AK3815,"1D")</f>
        <v>47990</v>
      </c>
      <c r="AL3816" s="21">
        <f>_xll.qlInterestRateIndexValueDate(hiborindex,AK3816)</f>
        <v>47994</v>
      </c>
      <c r="AM3816" s="23">
        <f>_xll.qlIndexFixing(hiborindex,AK3816)</f>
        <v>1.2517771975787311E-2</v>
      </c>
    </row>
    <row r="3817" spans="37:39" x14ac:dyDescent="0.25">
      <c r="AK3817" s="21">
        <f>_xll.qlCalendarAdvance(calendar,AK3816,"1D")</f>
        <v>47991</v>
      </c>
      <c r="AL3817" s="21">
        <f>_xll.qlInterestRateIndexValueDate(hiborindex,AK3817)</f>
        <v>47995</v>
      </c>
      <c r="AM3817" s="23">
        <f>_xll.qlIndexFixing(hiborindex,AK3817)</f>
        <v>1.2512860237484706E-2</v>
      </c>
    </row>
    <row r="3818" spans="37:39" x14ac:dyDescent="0.25">
      <c r="AK3818" s="21">
        <f>_xll.qlCalendarAdvance(calendar,AK3817,"1D")</f>
        <v>47994</v>
      </c>
      <c r="AL3818" s="21">
        <f>_xll.qlInterestRateIndexValueDate(hiborindex,AK3818)</f>
        <v>47996</v>
      </c>
      <c r="AM3818" s="23">
        <f>_xll.qlIndexFixing(hiborindex,AK3818)</f>
        <v>1.2507945986227476E-2</v>
      </c>
    </row>
    <row r="3819" spans="37:39" x14ac:dyDescent="0.25">
      <c r="AK3819" s="21">
        <f>_xll.qlCalendarAdvance(calendar,AK3818,"1D")</f>
        <v>47995</v>
      </c>
      <c r="AL3819" s="21">
        <f>_xll.qlInterestRateIndexValueDate(hiborindex,AK3819)</f>
        <v>47997</v>
      </c>
      <c r="AM3819" s="23">
        <f>_xll.qlIndexFixing(hiborindex,AK3819)</f>
        <v>1.2503055270283753E-2</v>
      </c>
    </row>
    <row r="3820" spans="37:39" x14ac:dyDescent="0.25">
      <c r="AK3820" s="21">
        <f>_xll.qlCalendarAdvance(calendar,AK3819,"1D")</f>
        <v>47996</v>
      </c>
      <c r="AL3820" s="21">
        <f>_xll.qlInterestRateIndexValueDate(hiborindex,AK3820)</f>
        <v>47998</v>
      </c>
      <c r="AM3820" s="23">
        <f>_xll.qlIndexFixing(hiborindex,AK3820)</f>
        <v>1.249810043184907E-2</v>
      </c>
    </row>
    <row r="3821" spans="37:39" x14ac:dyDescent="0.25">
      <c r="AK3821" s="21">
        <f>_xll.qlCalendarAdvance(calendar,AK3820,"1D")</f>
        <v>47997</v>
      </c>
      <c r="AL3821" s="21">
        <f>_xll.qlInterestRateIndexValueDate(hiborindex,AK3821)</f>
        <v>48001</v>
      </c>
      <c r="AM3821" s="23">
        <f>_xll.qlIndexFixing(hiborindex,AK3821)</f>
        <v>1.2483214189787583E-2</v>
      </c>
    </row>
    <row r="3822" spans="37:39" x14ac:dyDescent="0.25">
      <c r="AK3822" s="21">
        <f>_xll.qlCalendarAdvance(calendar,AK3821,"1D")</f>
        <v>47998</v>
      </c>
      <c r="AL3822" s="21">
        <f>_xll.qlInterestRateIndexValueDate(hiborindex,AK3822)</f>
        <v>48002</v>
      </c>
      <c r="AM3822" s="23">
        <f>_xll.qlIndexFixing(hiborindex,AK3822)</f>
        <v>1.2478247603533625E-2</v>
      </c>
    </row>
    <row r="3823" spans="37:39" x14ac:dyDescent="0.25">
      <c r="AK3823" s="21">
        <f>_xll.qlCalendarAdvance(calendar,AK3822,"1D")</f>
        <v>48001</v>
      </c>
      <c r="AL3823" s="21">
        <f>_xll.qlInterestRateIndexValueDate(hiborindex,AK3823)</f>
        <v>48003</v>
      </c>
      <c r="AM3823" s="23">
        <f>_xll.qlIndexFixing(hiborindex,AK3823)</f>
        <v>1.2473278490866492E-2</v>
      </c>
    </row>
    <row r="3824" spans="37:39" x14ac:dyDescent="0.25">
      <c r="AK3824" s="21">
        <f>_xll.qlCalendarAdvance(calendar,AK3823,"1D")</f>
        <v>48002</v>
      </c>
      <c r="AL3824" s="21">
        <f>_xll.qlInterestRateIndexValueDate(hiborindex,AK3824)</f>
        <v>48004</v>
      </c>
      <c r="AM3824" s="23">
        <f>_xll.qlIndexFixing(hiborindex,AK3824)</f>
        <v>1.2468306851804528E-2</v>
      </c>
    </row>
    <row r="3825" spans="37:39" x14ac:dyDescent="0.25">
      <c r="AK3825" s="21">
        <f>_xll.qlCalendarAdvance(calendar,AK3824,"1D")</f>
        <v>48003</v>
      </c>
      <c r="AL3825" s="21">
        <f>_xll.qlInterestRateIndexValueDate(hiborindex,AK3825)</f>
        <v>48005</v>
      </c>
      <c r="AM3825" s="23">
        <f>_xll.qlIndexFixing(hiborindex,AK3825)</f>
        <v>1.2463886379737128E-2</v>
      </c>
    </row>
    <row r="3826" spans="37:39" x14ac:dyDescent="0.25">
      <c r="AK3826" s="21">
        <f>_xll.qlCalendarAdvance(calendar,AK3825,"1D")</f>
        <v>48004</v>
      </c>
      <c r="AL3826" s="21">
        <f>_xll.qlInterestRateIndexValueDate(hiborindex,AK3826)</f>
        <v>48008</v>
      </c>
      <c r="AM3826" s="23">
        <f>_xll.qlIndexFixing(hiborindex,AK3826)</f>
        <v>1.2448395031992313E-2</v>
      </c>
    </row>
    <row r="3827" spans="37:39" x14ac:dyDescent="0.25">
      <c r="AK3827" s="21">
        <f>_xll.qlCalendarAdvance(calendar,AK3826,"1D")</f>
        <v>48005</v>
      </c>
      <c r="AL3827" s="21">
        <f>_xll.qlInterestRateIndexValueDate(hiborindex,AK3827)</f>
        <v>48009</v>
      </c>
      <c r="AM3827" s="23">
        <f>_xll.qlIndexFixing(hiborindex,AK3827)</f>
        <v>1.2443410761244051E-2</v>
      </c>
    </row>
    <row r="3828" spans="37:39" x14ac:dyDescent="0.25">
      <c r="AK3828" s="21">
        <f>_xll.qlCalendarAdvance(calendar,AK3827,"1D")</f>
        <v>48008</v>
      </c>
      <c r="AL3828" s="21">
        <f>_xll.qlInterestRateIndexValueDate(hiborindex,AK3828)</f>
        <v>48010</v>
      </c>
      <c r="AM3828" s="23">
        <f>_xll.qlIndexFixing(hiborindex,AK3828)</f>
        <v>1.2438423964215838E-2</v>
      </c>
    </row>
    <row r="3829" spans="37:39" x14ac:dyDescent="0.25">
      <c r="AK3829" s="21">
        <f>_xll.qlCalendarAdvance(calendar,AK3828,"1D")</f>
        <v>48009</v>
      </c>
      <c r="AL3829" s="21">
        <f>_xll.qlInterestRateIndexValueDate(hiborindex,AK3829)</f>
        <v>48011</v>
      </c>
      <c r="AM3829" s="23">
        <f>_xll.qlIndexFixing(hiborindex,AK3829)</f>
        <v>1.2433434640926893E-2</v>
      </c>
    </row>
    <row r="3830" spans="37:39" x14ac:dyDescent="0.25">
      <c r="AK3830" s="21">
        <f>_xll.qlCalendarAdvance(calendar,AK3829,"1D")</f>
        <v>48010</v>
      </c>
      <c r="AL3830" s="21">
        <f>_xll.qlInterestRateIndexValueDate(hiborindex,AK3830)</f>
        <v>48012</v>
      </c>
      <c r="AM3830" s="23">
        <f>_xll.qlIndexFixing(hiborindex,AK3830)</f>
        <v>1.2429516602102599E-2</v>
      </c>
    </row>
    <row r="3831" spans="37:39" x14ac:dyDescent="0.25">
      <c r="AK3831" s="21">
        <f>_xll.qlCalendarAdvance(calendar,AK3830,"1D")</f>
        <v>48011</v>
      </c>
      <c r="AL3831" s="21">
        <f>_xll.qlInterestRateIndexValueDate(hiborindex,AK3831)</f>
        <v>48015</v>
      </c>
      <c r="AM3831" s="23">
        <f>_xll.qlIndexFixing(hiborindex,AK3831)</f>
        <v>1.2413452085547767E-2</v>
      </c>
    </row>
    <row r="3832" spans="37:39" x14ac:dyDescent="0.25">
      <c r="AK3832" s="21">
        <f>_xll.qlCalendarAdvance(calendar,AK3831,"1D")</f>
        <v>48012</v>
      </c>
      <c r="AL3832" s="21">
        <f>_xll.qlInterestRateIndexValueDate(hiborindex,AK3832)</f>
        <v>48016</v>
      </c>
      <c r="AM3832" s="23">
        <f>_xll.qlIndexFixing(hiborindex,AK3832)</f>
        <v>1.2408450131243027E-2</v>
      </c>
    </row>
    <row r="3833" spans="37:39" x14ac:dyDescent="0.25">
      <c r="AK3833" s="21">
        <f>_xll.qlCalendarAdvance(calendar,AK3832,"1D")</f>
        <v>48015</v>
      </c>
      <c r="AL3833" s="21">
        <f>_xll.qlInterestRateIndexValueDate(hiborindex,AK3833)</f>
        <v>48017</v>
      </c>
      <c r="AM3833" s="23">
        <f>_xll.qlIndexFixing(hiborindex,AK3833)</f>
        <v>1.2403445650792001E-2</v>
      </c>
    </row>
    <row r="3834" spans="37:39" x14ac:dyDescent="0.25">
      <c r="AK3834" s="21">
        <f>_xll.qlCalendarAdvance(calendar,AK3833,"1D")</f>
        <v>48016</v>
      </c>
      <c r="AL3834" s="21">
        <f>_xll.qlInterestRateIndexValueDate(hiborindex,AK3834)</f>
        <v>48018</v>
      </c>
      <c r="AM3834" s="23">
        <f>_xll.qlIndexFixing(hiborindex,AK3834)</f>
        <v>1.2398438644215654E-2</v>
      </c>
    </row>
    <row r="3835" spans="37:39" x14ac:dyDescent="0.25">
      <c r="AK3835" s="21">
        <f>_xll.qlCalendarAdvance(calendar,AK3834,"1D")</f>
        <v>48017</v>
      </c>
      <c r="AL3835" s="21">
        <f>_xll.qlInterestRateIndexValueDate(hiborindex,AK3835)</f>
        <v>48019</v>
      </c>
      <c r="AM3835" s="23">
        <f>_xll.qlIndexFixing(hiborindex,AK3835)</f>
        <v>1.2395024364199548E-2</v>
      </c>
    </row>
    <row r="3836" spans="37:39" x14ac:dyDescent="0.25">
      <c r="AK3836" s="21">
        <f>_xll.qlCalendarAdvance(calendar,AK3835,"1D")</f>
        <v>48018</v>
      </c>
      <c r="AL3836" s="21">
        <f>_xll.qlInterestRateIndexValueDate(hiborindex,AK3836)</f>
        <v>48022</v>
      </c>
      <c r="AM3836" s="23">
        <f>_xll.qlIndexFixing(hiborindex,AK3836)</f>
        <v>1.2378385357029231E-2</v>
      </c>
    </row>
    <row r="3837" spans="37:39" x14ac:dyDescent="0.25">
      <c r="AK3837" s="21">
        <f>_xll.qlCalendarAdvance(calendar,AK3836,"1D")</f>
        <v>48019</v>
      </c>
      <c r="AL3837" s="21">
        <f>_xll.qlInterestRateIndexValueDate(hiborindex,AK3837)</f>
        <v>48023</v>
      </c>
      <c r="AM3837" s="23">
        <f>_xll.qlIndexFixing(hiborindex,AK3837)</f>
        <v>1.2373365720109337E-2</v>
      </c>
    </row>
    <row r="3838" spans="37:39" x14ac:dyDescent="0.25">
      <c r="AK3838" s="21">
        <f>_xll.qlCalendarAdvance(calendar,AK3837,"1D")</f>
        <v>48022</v>
      </c>
      <c r="AL3838" s="21">
        <f>_xll.qlInterestRateIndexValueDate(hiborindex,AK3838)</f>
        <v>48024</v>
      </c>
      <c r="AM3838" s="23">
        <f>_xll.qlIndexFixing(hiborindex,AK3838)</f>
        <v>1.2372288870421634E-2</v>
      </c>
    </row>
    <row r="3839" spans="37:39" x14ac:dyDescent="0.25">
      <c r="AK3839" s="21">
        <f>_xll.qlCalendarAdvance(calendar,AK3838,"1D")</f>
        <v>48023</v>
      </c>
      <c r="AL3839" s="21">
        <f>_xll.qlInterestRateIndexValueDate(hiborindex,AK3839)</f>
        <v>48025</v>
      </c>
      <c r="AM3839" s="23">
        <f>_xll.qlIndexFixing(hiborindex,AK3839)</f>
        <v>1.2366386269236451E-2</v>
      </c>
    </row>
    <row r="3840" spans="37:39" x14ac:dyDescent="0.25">
      <c r="AK3840" s="21">
        <f>_xll.qlCalendarAdvance(calendar,AK3839,"1D")</f>
        <v>48024</v>
      </c>
      <c r="AL3840" s="21">
        <f>_xll.qlInterestRateIndexValueDate(hiborindex,AK3840)</f>
        <v>48026</v>
      </c>
      <c r="AM3840" s="23">
        <f>_xll.qlIndexFixing(hiborindex,AK3840)</f>
        <v>1.2360409672519217E-2</v>
      </c>
    </row>
    <row r="3841" spans="37:39" x14ac:dyDescent="0.25">
      <c r="AK3841" s="21">
        <f>_xll.qlCalendarAdvance(calendar,AK3840,"1D")</f>
        <v>48025</v>
      </c>
      <c r="AL3841" s="21">
        <f>_xll.qlInterestRateIndexValueDate(hiborindex,AK3841)</f>
        <v>48029</v>
      </c>
      <c r="AM3841" s="23">
        <f>_xll.qlIndexFixing(hiborindex,AK3841)</f>
        <v>1.234436605127082E-2</v>
      </c>
    </row>
    <row r="3842" spans="37:39" x14ac:dyDescent="0.25">
      <c r="AK3842" s="21">
        <f>_xll.qlCalendarAdvance(calendar,AK3841,"1D")</f>
        <v>48026</v>
      </c>
      <c r="AL3842" s="21">
        <f>_xll.qlInterestRateIndexValueDate(hiborindex,AK3842)</f>
        <v>48030</v>
      </c>
      <c r="AM3842" s="23">
        <f>_xll.qlIndexFixing(hiborindex,AK3842)</f>
        <v>1.2347457455590394E-2</v>
      </c>
    </row>
    <row r="3843" spans="37:39" x14ac:dyDescent="0.25">
      <c r="AK3843" s="21">
        <f>_xll.qlCalendarAdvance(calendar,AK3842,"1D")</f>
        <v>48029</v>
      </c>
      <c r="AL3843" s="21">
        <f>_xll.qlInterestRateIndexValueDate(hiborindex,AK3843)</f>
        <v>48031</v>
      </c>
      <c r="AM3843" s="23">
        <f>_xll.qlIndexFixing(hiborindex,AK3843)</f>
        <v>1.2348206190324956E-2</v>
      </c>
    </row>
    <row r="3844" spans="37:39" x14ac:dyDescent="0.25">
      <c r="AK3844" s="21">
        <f>_xll.qlCalendarAdvance(calendar,AK3843,"1D")</f>
        <v>48030</v>
      </c>
      <c r="AL3844" s="21">
        <f>_xll.qlInterestRateIndexValueDate(hiborindex,AK3844)</f>
        <v>48032</v>
      </c>
      <c r="AM3844" s="23">
        <f>_xll.qlIndexFixing(hiborindex,AK3844)</f>
        <v>1.2352469271462897E-2</v>
      </c>
    </row>
    <row r="3845" spans="37:39" x14ac:dyDescent="0.25">
      <c r="AK3845" s="21">
        <f>_xll.qlCalendarAdvance(calendar,AK3844,"1D")</f>
        <v>48031</v>
      </c>
      <c r="AL3845" s="21">
        <f>_xll.qlInterestRateIndexValueDate(hiborindex,AK3845)</f>
        <v>48033</v>
      </c>
      <c r="AM3845" s="23">
        <f>_xll.qlIndexFixing(hiborindex,AK3845)</f>
        <v>1.2353217872398164E-2</v>
      </c>
    </row>
    <row r="3846" spans="37:39" x14ac:dyDescent="0.25">
      <c r="AK3846" s="21">
        <f>_xll.qlCalendarAdvance(calendar,AK3845,"1D")</f>
        <v>48032</v>
      </c>
      <c r="AL3846" s="21">
        <f>_xll.qlInterestRateIndexValueDate(hiborindex,AK3846)</f>
        <v>48036</v>
      </c>
      <c r="AM3846" s="23">
        <f>_xll.qlIndexFixing(hiborindex,AK3846)</f>
        <v>1.2357806570729086E-2</v>
      </c>
    </row>
    <row r="3847" spans="37:39" x14ac:dyDescent="0.25">
      <c r="AK3847" s="21">
        <f>_xll.qlCalendarAdvance(calendar,AK3846,"1D")</f>
        <v>48033</v>
      </c>
      <c r="AL3847" s="21">
        <f>_xll.qlInterestRateIndexValueDate(hiborindex,AK3847)</f>
        <v>48037</v>
      </c>
      <c r="AM3847" s="23">
        <f>_xll.qlIndexFixing(hiborindex,AK3847)</f>
        <v>1.235972665242707E-2</v>
      </c>
    </row>
    <row r="3848" spans="37:39" x14ac:dyDescent="0.25">
      <c r="AK3848" s="21">
        <f>_xll.qlCalendarAdvance(calendar,AK3847,"1D")</f>
        <v>48036</v>
      </c>
      <c r="AL3848" s="21">
        <f>_xll.qlInterestRateIndexValueDate(hiborindex,AK3848)</f>
        <v>48038</v>
      </c>
      <c r="AM3848" s="23">
        <f>_xll.qlIndexFixing(hiborindex,AK3848)</f>
        <v>1.2361646735997905E-2</v>
      </c>
    </row>
    <row r="3849" spans="37:39" x14ac:dyDescent="0.25">
      <c r="AK3849" s="21">
        <f>_xll.qlCalendarAdvance(calendar,AK3848,"1D")</f>
        <v>48037</v>
      </c>
      <c r="AL3849" s="21">
        <f>_xll.qlInterestRateIndexValueDate(hiborindex,AK3849)</f>
        <v>48039</v>
      </c>
      <c r="AM3849" s="23">
        <f>_xll.qlIndexFixing(hiborindex,AK3849)</f>
        <v>1.2365910763307196E-2</v>
      </c>
    </row>
    <row r="3850" spans="37:39" x14ac:dyDescent="0.25">
      <c r="AK3850" s="21">
        <f>_xll.qlCalendarAdvance(calendar,AK3849,"1D")</f>
        <v>48038</v>
      </c>
      <c r="AL3850" s="21">
        <f>_xll.qlInterestRateIndexValueDate(hiborindex,AK3850)</f>
        <v>48040</v>
      </c>
      <c r="AM3850" s="23">
        <f>_xll.qlIndexFixing(hiborindex,AK3850)</f>
        <v>1.2366658910846033E-2</v>
      </c>
    </row>
    <row r="3851" spans="37:39" x14ac:dyDescent="0.25">
      <c r="AK3851" s="21">
        <f>_xll.qlCalendarAdvance(calendar,AK3850,"1D")</f>
        <v>48039</v>
      </c>
      <c r="AL3851" s="21">
        <f>_xll.qlInterestRateIndexValueDate(hiborindex,AK3851)</f>
        <v>48043</v>
      </c>
      <c r="AM3851" s="23">
        <f>_xll.qlIndexFixing(hiborindex,AK3851)</f>
        <v>1.2371247181939176E-2</v>
      </c>
    </row>
    <row r="3852" spans="37:39" x14ac:dyDescent="0.25">
      <c r="AK3852" s="21">
        <f>_xll.qlCalendarAdvance(calendar,AK3851,"1D")</f>
        <v>48040</v>
      </c>
      <c r="AL3852" s="21">
        <f>_xll.qlInterestRateIndexValueDate(hiborindex,AK3852)</f>
        <v>48044</v>
      </c>
      <c r="AM3852" s="23">
        <f>_xll.qlIndexFixing(hiborindex,AK3852)</f>
        <v>1.2373167276744937E-2</v>
      </c>
    </row>
    <row r="3853" spans="37:39" x14ac:dyDescent="0.25">
      <c r="AK3853" s="21">
        <f>_xll.qlCalendarAdvance(calendar,AK3852,"1D")</f>
        <v>48043</v>
      </c>
      <c r="AL3853" s="21">
        <f>_xll.qlInterestRateIndexValueDate(hiborindex,AK3853)</f>
        <v>48045</v>
      </c>
      <c r="AM3853" s="23">
        <f>_xll.qlIndexFixing(hiborindex,AK3853)</f>
        <v>1.2375087373423545E-2</v>
      </c>
    </row>
    <row r="3854" spans="37:39" x14ac:dyDescent="0.25">
      <c r="AK3854" s="21">
        <f>_xll.qlCalendarAdvance(calendar,AK3853,"1D")</f>
        <v>48044</v>
      </c>
      <c r="AL3854" s="21">
        <f>_xll.qlInterestRateIndexValueDate(hiborindex,AK3854)</f>
        <v>48046</v>
      </c>
      <c r="AM3854" s="23">
        <f>_xll.qlIndexFixing(hiborindex,AK3854)</f>
        <v>1.2379352347906976E-2</v>
      </c>
    </row>
    <row r="3855" spans="37:39" x14ac:dyDescent="0.25">
      <c r="AK3855" s="21">
        <f>_xll.qlCalendarAdvance(calendar,AK3854,"1D")</f>
        <v>48045</v>
      </c>
      <c r="AL3855" s="21">
        <f>_xll.qlInterestRateIndexValueDate(hiborindex,AK3855)</f>
        <v>48047</v>
      </c>
      <c r="AM3855" s="23">
        <f>_xll.qlIndexFixing(hiborindex,AK3855)</f>
        <v>1.2380100041547892E-2</v>
      </c>
    </row>
    <row r="3856" spans="37:39" x14ac:dyDescent="0.25">
      <c r="AK3856" s="21">
        <f>_xll.qlCalendarAdvance(calendar,AK3855,"1D")</f>
        <v>48046</v>
      </c>
      <c r="AL3856" s="21">
        <f>_xll.qlInterestRateIndexValueDate(hiborindex,AK3856)</f>
        <v>48050</v>
      </c>
      <c r="AM3856" s="23">
        <f>_xll.qlIndexFixing(hiborindex,AK3856)</f>
        <v>1.2384687884901957E-2</v>
      </c>
    </row>
    <row r="3857" spans="37:39" x14ac:dyDescent="0.25">
      <c r="AK3857" s="21">
        <f>_xll.qlCalendarAdvance(calendar,AK3856,"1D")</f>
        <v>48047</v>
      </c>
      <c r="AL3857" s="21">
        <f>_xll.qlInterestRateIndexValueDate(hiborindex,AK3857)</f>
        <v>48051</v>
      </c>
      <c r="AM3857" s="23">
        <f>_xll.qlIndexFixing(hiborindex,AK3857)</f>
        <v>1.2386607992815494E-2</v>
      </c>
    </row>
    <row r="3858" spans="37:39" x14ac:dyDescent="0.25">
      <c r="AK3858" s="21">
        <f>_xll.qlCalendarAdvance(calendar,AK3857,"1D")</f>
        <v>48050</v>
      </c>
      <c r="AL3858" s="21">
        <f>_xll.qlInterestRateIndexValueDate(hiborindex,AK3858)</f>
        <v>48052</v>
      </c>
      <c r="AM3858" s="23">
        <f>_xll.qlIndexFixing(hiborindex,AK3858)</f>
        <v>1.2388528102601446E-2</v>
      </c>
    </row>
    <row r="3859" spans="37:39" x14ac:dyDescent="0.25">
      <c r="AK3859" s="21">
        <f>_xll.qlCalendarAdvance(calendar,AK3858,"1D")</f>
        <v>48051</v>
      </c>
      <c r="AL3859" s="21">
        <f>_xll.qlInterestRateIndexValueDate(hiborindex,AK3859)</f>
        <v>48053</v>
      </c>
      <c r="AM3859" s="23">
        <f>_xll.qlIndexFixing(hiborindex,AK3859)</f>
        <v>1.2392794025264385E-2</v>
      </c>
    </row>
    <row r="3860" spans="37:39" x14ac:dyDescent="0.25">
      <c r="AK3860" s="21">
        <f>_xll.qlCalendarAdvance(calendar,AK3859,"1D")</f>
        <v>48052</v>
      </c>
      <c r="AL3860" s="21">
        <f>_xll.qlInterestRateIndexValueDate(hiborindex,AK3860)</f>
        <v>48054</v>
      </c>
      <c r="AM3860" s="23">
        <f>_xll.qlIndexFixing(hiborindex,AK3860)</f>
        <v>1.2393541264505033E-2</v>
      </c>
    </row>
    <row r="3861" spans="37:39" x14ac:dyDescent="0.25">
      <c r="AK3861" s="21">
        <f>_xll.qlCalendarAdvance(calendar,AK3860,"1D")</f>
        <v>48053</v>
      </c>
      <c r="AL3861" s="21">
        <f>_xll.qlInterestRateIndexValueDate(hiborindex,AK3861)</f>
        <v>48057</v>
      </c>
      <c r="AM3861" s="23">
        <f>_xll.qlIndexFixing(hiborindex,AK3861)</f>
        <v>1.23981286796183E-2</v>
      </c>
    </row>
    <row r="3862" spans="37:39" x14ac:dyDescent="0.25">
      <c r="AK3862" s="21">
        <f>_xll.qlCalendarAdvance(calendar,AK3861,"1D")</f>
        <v>48054</v>
      </c>
      <c r="AL3862" s="21">
        <f>_xll.qlInterestRateIndexValueDate(hiborindex,AK3862)</f>
        <v>48058</v>
      </c>
      <c r="AM3862" s="23">
        <f>_xll.qlIndexFixing(hiborindex,AK3862)</f>
        <v>1.2400048800639612E-2</v>
      </c>
    </row>
    <row r="3863" spans="37:39" x14ac:dyDescent="0.25">
      <c r="AK3863" s="21">
        <f>_xll.qlCalendarAdvance(calendar,AK3862,"1D")</f>
        <v>48057</v>
      </c>
      <c r="AL3863" s="21">
        <f>_xll.qlInterestRateIndexValueDate(hiborindex,AK3863)</f>
        <v>48059</v>
      </c>
      <c r="AM3863" s="23">
        <f>_xll.qlIndexFixing(hiborindex,AK3863)</f>
        <v>1.2401968923532906E-2</v>
      </c>
    </row>
    <row r="3864" spans="37:39" x14ac:dyDescent="0.25">
      <c r="AK3864" s="21">
        <f>_xll.qlCalendarAdvance(calendar,AK3863,"1D")</f>
        <v>48058</v>
      </c>
      <c r="AL3864" s="21">
        <f>_xll.qlInterestRateIndexValueDate(hiborindex,AK3864)</f>
        <v>48060</v>
      </c>
      <c r="AM3864" s="23">
        <f>_xll.qlIndexFixing(hiborindex,AK3864)</f>
        <v>1.240271578171928E-2</v>
      </c>
    </row>
    <row r="3865" spans="37:39" x14ac:dyDescent="0.25">
      <c r="AK3865" s="21">
        <f>_xll.qlCalendarAdvance(calendar,AK3864,"1D")</f>
        <v>48059</v>
      </c>
      <c r="AL3865" s="21">
        <f>_xll.qlInterestRateIndexValueDate(hiborindex,AK3865)</f>
        <v>48061</v>
      </c>
      <c r="AM3865" s="23">
        <f>_xll.qlIndexFixing(hiborindex,AK3865)</f>
        <v>1.240698257971746E-2</v>
      </c>
    </row>
    <row r="3866" spans="37:39" x14ac:dyDescent="0.25">
      <c r="AK3866" s="21">
        <f>_xll.qlCalendarAdvance(calendar,AK3865,"1D")</f>
        <v>48060</v>
      </c>
      <c r="AL3866" s="21">
        <f>_xll.qlInterestRateIndexValueDate(hiborindex,AK3866)</f>
        <v>48064</v>
      </c>
      <c r="AM3866" s="23">
        <f>_xll.qlIndexFixing(hiborindex,AK3866)</f>
        <v>1.241156956608864E-2</v>
      </c>
    </row>
    <row r="3867" spans="37:39" x14ac:dyDescent="0.25">
      <c r="AK3867" s="21">
        <f>_xll.qlCalendarAdvance(calendar,AK3866,"1D")</f>
        <v>48061</v>
      </c>
      <c r="AL3867" s="21">
        <f>_xll.qlInterestRateIndexValueDate(hiborindex,AK3867)</f>
        <v>48065</v>
      </c>
      <c r="AM3867" s="23">
        <f>_xll.qlIndexFixing(hiborindex,AK3867)</f>
        <v>1.2413489700217294E-2</v>
      </c>
    </row>
    <row r="3868" spans="37:39" x14ac:dyDescent="0.25">
      <c r="AK3868" s="21">
        <f>_xll.qlCalendarAdvance(calendar,AK3867,"1D")</f>
        <v>48064</v>
      </c>
      <c r="AL3868" s="21">
        <f>_xll.qlInterestRateIndexValueDate(hiborindex,AK3868)</f>
        <v>48066</v>
      </c>
      <c r="AM3868" s="23">
        <f>_xll.qlIndexFixing(hiborindex,AK3868)</f>
        <v>1.2415409836218362E-2</v>
      </c>
    </row>
    <row r="3869" spans="37:39" x14ac:dyDescent="0.25">
      <c r="AK3869" s="21">
        <f>_xll.qlCalendarAdvance(calendar,AK3868,"1D")</f>
        <v>48065</v>
      </c>
      <c r="AL3869" s="21">
        <f>_xll.qlInterestRateIndexValueDate(hiborindex,AK3869)</f>
        <v>48067</v>
      </c>
      <c r="AM3869" s="23">
        <f>_xll.qlIndexFixing(hiborindex,AK3869)</f>
        <v>1.2419677658250803E-2</v>
      </c>
    </row>
    <row r="3870" spans="37:39" x14ac:dyDescent="0.25">
      <c r="AK3870" s="21">
        <f>_xll.qlCalendarAdvance(calendar,AK3869,"1D")</f>
        <v>48066</v>
      </c>
      <c r="AL3870" s="21">
        <f>_xll.qlInterestRateIndexValueDate(hiborindex,AK3870)</f>
        <v>48068</v>
      </c>
      <c r="AM3870" s="23">
        <f>_xll.qlIndexFixing(hiborindex,AK3870)</f>
        <v>1.2420423987186036E-2</v>
      </c>
    </row>
    <row r="3871" spans="37:39" x14ac:dyDescent="0.25">
      <c r="AK3871" s="21">
        <f>_xll.qlCalendarAdvance(calendar,AK3870,"1D")</f>
        <v>48067</v>
      </c>
      <c r="AL3871" s="21">
        <f>_xll.qlInterestRateIndexValueDate(hiborindex,AK3871)</f>
        <v>48071</v>
      </c>
      <c r="AM3871" s="23">
        <f>_xll.qlIndexFixing(hiborindex,AK3871)</f>
        <v>1.2425010544313409E-2</v>
      </c>
    </row>
    <row r="3872" spans="37:39" x14ac:dyDescent="0.25">
      <c r="AK3872" s="21">
        <f>_xll.qlCalendarAdvance(calendar,AK3871,"1D")</f>
        <v>48068</v>
      </c>
      <c r="AL3872" s="21">
        <f>_xll.qlInterestRateIndexValueDate(hiborindex,AK3872)</f>
        <v>48072</v>
      </c>
      <c r="AM3872" s="23">
        <f>_xll.qlIndexFixing(hiborindex,AK3872)</f>
        <v>1.2426930691549837E-2</v>
      </c>
    </row>
    <row r="3873" spans="37:39" x14ac:dyDescent="0.25">
      <c r="AK3873" s="21">
        <f>_xll.qlCalendarAdvance(calendar,AK3872,"1D")</f>
        <v>48071</v>
      </c>
      <c r="AL3873" s="21">
        <f>_xll.qlInterestRateIndexValueDate(hiborindex,AK3873)</f>
        <v>48073</v>
      </c>
      <c r="AM3873" s="23">
        <f>_xll.qlIndexFixing(hiborindex,AK3873)</f>
        <v>1.2428850840659117E-2</v>
      </c>
    </row>
    <row r="3874" spans="37:39" x14ac:dyDescent="0.25">
      <c r="AK3874" s="21">
        <f>_xll.qlCalendarAdvance(calendar,AK3873,"1D")</f>
        <v>48072</v>
      </c>
      <c r="AL3874" s="21">
        <f>_xll.qlInterestRateIndexValueDate(hiborindex,AK3874)</f>
        <v>48074</v>
      </c>
      <c r="AM3874" s="23">
        <f>_xll.qlIndexFixing(hiborindex,AK3874)</f>
        <v>1.2433119613881532E-2</v>
      </c>
    </row>
    <row r="3875" spans="37:39" x14ac:dyDescent="0.25">
      <c r="AK3875" s="21">
        <f>_xll.qlCalendarAdvance(calendar,AK3874,"1D")</f>
        <v>48073</v>
      </c>
      <c r="AL3875" s="21">
        <f>_xll.qlInterestRateIndexValueDate(hiborindex,AK3875)</f>
        <v>48075</v>
      </c>
      <c r="AM3875" s="23">
        <f>_xll.qlIndexFixing(hiborindex,AK3875)</f>
        <v>1.2433865486911192E-2</v>
      </c>
    </row>
    <row r="3876" spans="37:39" x14ac:dyDescent="0.25">
      <c r="AK3876" s="21">
        <f>_xll.qlCalendarAdvance(calendar,AK3875,"1D")</f>
        <v>48074</v>
      </c>
      <c r="AL3876" s="21">
        <f>_xll.qlInterestRateIndexValueDate(hiborindex,AK3876)</f>
        <v>48078</v>
      </c>
      <c r="AM3876" s="23">
        <f>_xll.qlIndexFixing(hiborindex,AK3876)</f>
        <v>1.2438451614293477E-2</v>
      </c>
    </row>
    <row r="3877" spans="37:39" x14ac:dyDescent="0.25">
      <c r="AK3877" s="21">
        <f>_xll.qlCalendarAdvance(calendar,AK3876,"1D")</f>
        <v>48075</v>
      </c>
      <c r="AL3877" s="21">
        <f>_xll.qlInterestRateIndexValueDate(hiborindex,AK3877)</f>
        <v>48079</v>
      </c>
      <c r="AM3877" s="23">
        <f>_xll.qlIndexFixing(hiborindex,AK3877)</f>
        <v>1.2440371774637683E-2</v>
      </c>
    </row>
    <row r="3878" spans="37:39" x14ac:dyDescent="0.25">
      <c r="AK3878" s="21">
        <f>_xll.qlCalendarAdvance(calendar,AK3877,"1D")</f>
        <v>48078</v>
      </c>
      <c r="AL3878" s="21">
        <f>_xll.qlInterestRateIndexValueDate(hiborindex,AK3878)</f>
        <v>48080</v>
      </c>
      <c r="AM3878" s="23">
        <f>_xll.qlIndexFixing(hiborindex,AK3878)</f>
        <v>1.2442291936855171E-2</v>
      </c>
    </row>
    <row r="3879" spans="37:39" x14ac:dyDescent="0.25">
      <c r="AK3879" s="21">
        <f>_xll.qlCalendarAdvance(calendar,AK3878,"1D")</f>
        <v>48079</v>
      </c>
      <c r="AL3879" s="21">
        <f>_xll.qlInterestRateIndexValueDate(hiborindex,AK3879)</f>
        <v>48081</v>
      </c>
      <c r="AM3879" s="23">
        <f>_xll.qlIndexFixing(hiborindex,AK3879)</f>
        <v>1.2446561662272038E-2</v>
      </c>
    </row>
    <row r="3880" spans="37:39" x14ac:dyDescent="0.25">
      <c r="AK3880" s="21">
        <f>_xll.qlCalendarAdvance(calendar,AK3879,"1D")</f>
        <v>48080</v>
      </c>
      <c r="AL3880" s="21">
        <f>_xll.qlInterestRateIndexValueDate(hiborindex,AK3880)</f>
        <v>48082</v>
      </c>
      <c r="AM3880" s="23">
        <f>_xll.qlIndexFixing(hiborindex,AK3880)</f>
        <v>1.2447307078894224E-2</v>
      </c>
    </row>
    <row r="3881" spans="37:39" x14ac:dyDescent="0.25">
      <c r="AK3881" s="21">
        <f>_xll.qlCalendarAdvance(calendar,AK3880,"1D")</f>
        <v>48081</v>
      </c>
      <c r="AL3881" s="21">
        <f>_xll.qlInterestRateIndexValueDate(hiborindex,AK3881)</f>
        <v>48085</v>
      </c>
      <c r="AM3881" s="23">
        <f>_xll.qlIndexFixing(hiborindex,AK3881)</f>
        <v>1.2451892776029278E-2</v>
      </c>
    </row>
    <row r="3882" spans="37:39" x14ac:dyDescent="0.25">
      <c r="AK3882" s="21">
        <f>_xll.qlCalendarAdvance(calendar,AK3881,"1D")</f>
        <v>48082</v>
      </c>
      <c r="AL3882" s="21">
        <f>_xll.qlInterestRateIndexValueDate(hiborindex,AK3882)</f>
        <v>48086</v>
      </c>
      <c r="AM3882" s="23">
        <f>_xll.qlIndexFixing(hiborindex,AK3882)</f>
        <v>1.2453812949481693E-2</v>
      </c>
    </row>
    <row r="3883" spans="37:39" x14ac:dyDescent="0.25">
      <c r="AK3883" s="21">
        <f>_xll.qlCalendarAdvance(calendar,AK3882,"1D")</f>
        <v>48085</v>
      </c>
      <c r="AL3883" s="21">
        <f>_xll.qlInterestRateIndexValueDate(hiborindex,AK3883)</f>
        <v>48087</v>
      </c>
      <c r="AM3883" s="23">
        <f>_xll.qlIndexFixing(hiborindex,AK3883)</f>
        <v>1.2455733124806958E-2</v>
      </c>
    </row>
    <row r="3884" spans="37:39" x14ac:dyDescent="0.25">
      <c r="AK3884" s="21">
        <f>_xll.qlCalendarAdvance(calendar,AK3883,"1D")</f>
        <v>48086</v>
      </c>
      <c r="AL3884" s="21">
        <f>_xll.qlInterestRateIndexValueDate(hiborindex,AK3884)</f>
        <v>48088</v>
      </c>
      <c r="AM3884" s="23">
        <f>_xll.qlIndexFixing(hiborindex,AK3884)</f>
        <v>1.2456478158781857E-2</v>
      </c>
    </row>
    <row r="3885" spans="37:39" x14ac:dyDescent="0.25">
      <c r="AK3885" s="21">
        <f>_xll.qlCalendarAdvance(calendar,AK3884,"1D")</f>
        <v>48087</v>
      </c>
      <c r="AL3885" s="21">
        <f>_xll.qlInterestRateIndexValueDate(hiborindex,AK3885)</f>
        <v>48089</v>
      </c>
      <c r="AM3885" s="23">
        <f>_xll.qlIndexFixing(hiborindex,AK3885)</f>
        <v>1.2457223131940571E-2</v>
      </c>
    </row>
    <row r="3886" spans="37:39" x14ac:dyDescent="0.25">
      <c r="AK3886" s="21">
        <f>_xll.qlCalendarAdvance(calendar,AK3885,"1D")</f>
        <v>48088</v>
      </c>
      <c r="AL3886" s="21">
        <f>_xll.qlInterestRateIndexValueDate(hiborindex,AK3886)</f>
        <v>48092</v>
      </c>
      <c r="AM3886" s="23">
        <f>_xll.qlIndexFixing(hiborindex,AK3886)</f>
        <v>1.2462983277273153E-2</v>
      </c>
    </row>
    <row r="3887" spans="37:39" x14ac:dyDescent="0.25">
      <c r="AK3887" s="21">
        <f>_xll.qlCalendarAdvance(calendar,AK3886,"1D")</f>
        <v>48089</v>
      </c>
      <c r="AL3887" s="21">
        <f>_xll.qlInterestRateIndexValueDate(hiborindex,AK3887)</f>
        <v>48093</v>
      </c>
      <c r="AM3887" s="23">
        <f>_xll.qlIndexFixing(hiborindex,AK3887)</f>
        <v>1.2464903329421635E-2</v>
      </c>
    </row>
    <row r="3888" spans="37:39" x14ac:dyDescent="0.25">
      <c r="AK3888" s="21">
        <f>_xll.qlCalendarAdvance(calendar,AK3887,"1D")</f>
        <v>48092</v>
      </c>
      <c r="AL3888" s="21">
        <f>_xll.qlInterestRateIndexValueDate(hiborindex,AK3888)</f>
        <v>48094</v>
      </c>
      <c r="AM3888" s="23">
        <f>_xll.qlIndexFixing(hiborindex,AK3888)</f>
        <v>1.2466823383421824E-2</v>
      </c>
    </row>
    <row r="3889" spans="37:39" x14ac:dyDescent="0.25">
      <c r="AK3889" s="21">
        <f>_xll.qlCalendarAdvance(calendar,AK3888,"1D")</f>
        <v>48093</v>
      </c>
      <c r="AL3889" s="21">
        <f>_xll.qlInterestRateIndexValueDate(hiborindex,AK3889)</f>
        <v>48095</v>
      </c>
      <c r="AM3889" s="23">
        <f>_xll.qlIndexFixing(hiborindex,AK3889)</f>
        <v>1.2468743439274156E-2</v>
      </c>
    </row>
    <row r="3890" spans="37:39" x14ac:dyDescent="0.25">
      <c r="AK3890" s="21">
        <f>_xll.qlCalendarAdvance(calendar,AK3889,"1D")</f>
        <v>48094</v>
      </c>
      <c r="AL3890" s="21">
        <f>_xll.qlInterestRateIndexValueDate(hiborindex,AK3890)</f>
        <v>48096</v>
      </c>
      <c r="AM3890" s="23">
        <f>_xll.qlIndexFixing(hiborindex,AK3890)</f>
        <v>1.2470663496979074E-2</v>
      </c>
    </row>
    <row r="3891" spans="37:39" x14ac:dyDescent="0.25">
      <c r="AK3891" s="21">
        <f>_xll.qlCalendarAdvance(calendar,AK3890,"1D")</f>
        <v>48095</v>
      </c>
      <c r="AL3891" s="21">
        <f>_xll.qlInterestRateIndexValueDate(hiborindex,AK3891)</f>
        <v>48099</v>
      </c>
      <c r="AM3891" s="23">
        <f>_xll.qlIndexFixing(hiborindex,AK3891)</f>
        <v>1.2476423681205377E-2</v>
      </c>
    </row>
    <row r="3892" spans="37:39" x14ac:dyDescent="0.25">
      <c r="AK3892" s="21">
        <f>_xll.qlCalendarAdvance(calendar,AK3891,"1D")</f>
        <v>48096</v>
      </c>
      <c r="AL3892" s="21">
        <f>_xll.qlInterestRateIndexValueDate(hiborindex,AK3892)</f>
        <v>48100</v>
      </c>
      <c r="AM3892" s="23">
        <f>_xll.qlIndexFixing(hiborindex,AK3892)</f>
        <v>1.2478343746318874E-2</v>
      </c>
    </row>
    <row r="3893" spans="37:39" x14ac:dyDescent="0.25">
      <c r="AK3893" s="21">
        <f>_xll.qlCalendarAdvance(calendar,AK3892,"1D")</f>
        <v>48099</v>
      </c>
      <c r="AL3893" s="21">
        <f>_xll.qlInterestRateIndexValueDate(hiborindex,AK3893)</f>
        <v>48101</v>
      </c>
      <c r="AM3893" s="23">
        <f>_xll.qlIndexFixing(hiborindex,AK3893)</f>
        <v>1.2480263813284076E-2</v>
      </c>
    </row>
    <row r="3894" spans="37:39" x14ac:dyDescent="0.25">
      <c r="AK3894" s="21">
        <f>_xll.qlCalendarAdvance(calendar,AK3893,"1D")</f>
        <v>48100</v>
      </c>
      <c r="AL3894" s="21">
        <f>_xll.qlInterestRateIndexValueDate(hiborindex,AK3894)</f>
        <v>48102</v>
      </c>
      <c r="AM3894" s="23">
        <f>_xll.qlIndexFixing(hiborindex,AK3894)</f>
        <v>1.2482183882101422E-2</v>
      </c>
    </row>
    <row r="3895" spans="37:39" x14ac:dyDescent="0.25">
      <c r="AK3895" s="21">
        <f>_xll.qlCalendarAdvance(calendar,AK3894,"1D")</f>
        <v>48101</v>
      </c>
      <c r="AL3895" s="21">
        <f>_xll.qlInterestRateIndexValueDate(hiborindex,AK3895)</f>
        <v>48103</v>
      </c>
      <c r="AM3895" s="23">
        <f>_xll.qlIndexFixing(hiborindex,AK3895)</f>
        <v>1.2484103952770914E-2</v>
      </c>
    </row>
    <row r="3896" spans="37:39" x14ac:dyDescent="0.25">
      <c r="AK3896" s="21">
        <f>_xll.qlCalendarAdvance(calendar,AK3895,"1D")</f>
        <v>48102</v>
      </c>
      <c r="AL3896" s="21">
        <f>_xll.qlInterestRateIndexValueDate(hiborindex,AK3896)</f>
        <v>48106</v>
      </c>
      <c r="AM3896" s="23">
        <f>_xll.qlIndexFixing(hiborindex,AK3896)</f>
        <v>1.2489864175892259E-2</v>
      </c>
    </row>
    <row r="3897" spans="37:39" x14ac:dyDescent="0.25">
      <c r="AK3897" s="21">
        <f>_xll.qlCalendarAdvance(calendar,AK3896,"1D")</f>
        <v>48103</v>
      </c>
      <c r="AL3897" s="21">
        <f>_xll.qlInterestRateIndexValueDate(hiborindex,AK3897)</f>
        <v>48107</v>
      </c>
      <c r="AM3897" s="23">
        <f>_xll.qlIndexFixing(hiborindex,AK3897)</f>
        <v>1.249178425397033E-2</v>
      </c>
    </row>
    <row r="3898" spans="37:39" x14ac:dyDescent="0.25">
      <c r="AK3898" s="21">
        <f>_xll.qlCalendarAdvance(calendar,AK3897,"1D")</f>
        <v>48106</v>
      </c>
      <c r="AL3898" s="21">
        <f>_xll.qlInterestRateIndexValueDate(hiborindex,AK3898)</f>
        <v>48108</v>
      </c>
      <c r="AM3898" s="23">
        <f>_xll.qlIndexFixing(hiborindex,AK3898)</f>
        <v>1.2493704333900546E-2</v>
      </c>
    </row>
    <row r="3899" spans="37:39" x14ac:dyDescent="0.25">
      <c r="AK3899" s="21">
        <f>_xll.qlCalendarAdvance(calendar,AK3898,"1D")</f>
        <v>48107</v>
      </c>
      <c r="AL3899" s="21">
        <f>_xll.qlInterestRateIndexValueDate(hiborindex,AK3899)</f>
        <v>48109</v>
      </c>
      <c r="AM3899" s="23">
        <f>_xll.qlIndexFixing(hiborindex,AK3899)</f>
        <v>1.2495624415682468E-2</v>
      </c>
    </row>
    <row r="3900" spans="37:39" x14ac:dyDescent="0.25">
      <c r="AK3900" s="21">
        <f>_xll.qlCalendarAdvance(calendar,AK3899,"1D")</f>
        <v>48108</v>
      </c>
      <c r="AL3900" s="21">
        <f>_xll.qlInterestRateIndexValueDate(hiborindex,AK3900)</f>
        <v>48110</v>
      </c>
      <c r="AM3900" s="23">
        <f>_xll.qlIndexFixing(hiborindex,AK3900)</f>
        <v>1.2497544499316973E-2</v>
      </c>
    </row>
    <row r="3901" spans="37:39" x14ac:dyDescent="0.25">
      <c r="AK3901" s="21">
        <f>_xll.qlCalendarAdvance(calendar,AK3900,"1D")</f>
        <v>48109</v>
      </c>
      <c r="AL3901" s="21">
        <f>_xll.qlInterestRateIndexValueDate(hiborindex,AK3901)</f>
        <v>48113</v>
      </c>
      <c r="AM3901" s="23">
        <f>_xll.qlIndexFixing(hiborindex,AK3901)</f>
        <v>1.2503304761333359E-2</v>
      </c>
    </row>
    <row r="3902" spans="37:39" x14ac:dyDescent="0.25">
      <c r="AK3902" s="21">
        <f>_xll.qlCalendarAdvance(calendar,AK3901,"1D")</f>
        <v>48110</v>
      </c>
      <c r="AL3902" s="21">
        <f>_xll.qlInterestRateIndexValueDate(hiborindex,AK3902)</f>
        <v>48114</v>
      </c>
      <c r="AM3902" s="23">
        <f>_xll.qlIndexFixing(hiborindex,AK3902)</f>
        <v>1.2505224852376443E-2</v>
      </c>
    </row>
    <row r="3903" spans="37:39" x14ac:dyDescent="0.25">
      <c r="AK3903" s="21">
        <f>_xll.qlCalendarAdvance(calendar,AK3902,"1D")</f>
        <v>48113</v>
      </c>
      <c r="AL3903" s="21">
        <f>_xll.qlInterestRateIndexValueDate(hiborindex,AK3903)</f>
        <v>48115</v>
      </c>
      <c r="AM3903" s="23">
        <f>_xll.qlIndexFixing(hiborindex,AK3903)</f>
        <v>1.2507144945271673E-2</v>
      </c>
    </row>
    <row r="3904" spans="37:39" x14ac:dyDescent="0.25">
      <c r="AK3904" s="21">
        <f>_xll.qlCalendarAdvance(calendar,AK3903,"1D")</f>
        <v>48114</v>
      </c>
      <c r="AL3904" s="21">
        <f>_xll.qlInterestRateIndexValueDate(hiborindex,AK3904)</f>
        <v>48116</v>
      </c>
      <c r="AM3904" s="23">
        <f>_xll.qlIndexFixing(hiborindex,AK3904)</f>
        <v>1.2509065040019047E-2</v>
      </c>
    </row>
    <row r="3905" spans="37:39" x14ac:dyDescent="0.25">
      <c r="AK3905" s="21">
        <f>_xll.qlCalendarAdvance(calendar,AK3904,"1D")</f>
        <v>48115</v>
      </c>
      <c r="AL3905" s="21">
        <f>_xll.qlInterestRateIndexValueDate(hiborindex,AK3905)</f>
        <v>48117</v>
      </c>
      <c r="AM3905" s="23">
        <f>_xll.qlIndexFixing(hiborindex,AK3905)</f>
        <v>1.2515693662093109E-2</v>
      </c>
    </row>
    <row r="3906" spans="37:39" x14ac:dyDescent="0.25">
      <c r="AK3906" s="21">
        <f>_xll.qlCalendarAdvance(calendar,AK3905,"1D")</f>
        <v>48116</v>
      </c>
      <c r="AL3906" s="21">
        <f>_xll.qlInterestRateIndexValueDate(hiborindex,AK3906)</f>
        <v>48120</v>
      </c>
      <c r="AM3906" s="23">
        <f>_xll.qlIndexFixing(hiborindex,AK3906)</f>
        <v>1.2517922663276979E-2</v>
      </c>
    </row>
    <row r="3907" spans="37:39" x14ac:dyDescent="0.25">
      <c r="AK3907" s="21">
        <f>_xll.qlCalendarAdvance(calendar,AK3906,"1D")</f>
        <v>48117</v>
      </c>
      <c r="AL3907" s="21">
        <f>_xll.qlInterestRateIndexValueDate(hiborindex,AK3907)</f>
        <v>48121</v>
      </c>
      <c r="AM3907" s="23">
        <f>_xll.qlIndexFixing(hiborindex,AK3907)</f>
        <v>1.251984283477201E-2</v>
      </c>
    </row>
    <row r="3908" spans="37:39" x14ac:dyDescent="0.25">
      <c r="AK3908" s="21">
        <f>_xll.qlCalendarAdvance(calendar,AK3907,"1D")</f>
        <v>48120</v>
      </c>
      <c r="AL3908" s="21">
        <f>_xll.qlInterestRateIndexValueDate(hiborindex,AK3908)</f>
        <v>48122</v>
      </c>
      <c r="AM3908" s="23">
        <f>_xll.qlIndexFixing(hiborindex,AK3908)</f>
        <v>1.2521763008129157E-2</v>
      </c>
    </row>
    <row r="3909" spans="37:39" x14ac:dyDescent="0.25">
      <c r="AK3909" s="21">
        <f>_xll.qlCalendarAdvance(calendar,AK3908,"1D")</f>
        <v>48121</v>
      </c>
      <c r="AL3909" s="21">
        <f>_xll.qlInterestRateIndexValueDate(hiborindex,AK3909)</f>
        <v>48123</v>
      </c>
      <c r="AM3909" s="23">
        <f>_xll.qlIndexFixing(hiborindex,AK3909)</f>
        <v>1.2523683183348859E-2</v>
      </c>
    </row>
    <row r="3910" spans="37:39" x14ac:dyDescent="0.25">
      <c r="AK3910" s="21">
        <f>_xll.qlCalendarAdvance(calendar,AK3909,"1D")</f>
        <v>48122</v>
      </c>
      <c r="AL3910" s="21">
        <f>_xll.qlInterestRateIndexValueDate(hiborindex,AK3910)</f>
        <v>48124</v>
      </c>
      <c r="AM3910" s="23">
        <f>_xll.qlIndexFixing(hiborindex,AK3910)</f>
        <v>1.2527958568234198E-2</v>
      </c>
    </row>
    <row r="3911" spans="37:39" x14ac:dyDescent="0.25">
      <c r="AK3911" s="21">
        <f>_xll.qlCalendarAdvance(calendar,AK3910,"1D")</f>
        <v>48123</v>
      </c>
      <c r="AL3911" s="21">
        <f>_xll.qlInterestRateIndexValueDate(hiborindex,AK3911)</f>
        <v>48127</v>
      </c>
      <c r="AM3911" s="23">
        <f>_xll.qlIndexFixing(hiborindex,AK3911)</f>
        <v>1.2531363902851457E-2</v>
      </c>
    </row>
    <row r="3912" spans="37:39" x14ac:dyDescent="0.25">
      <c r="AK3912" s="21">
        <f>_xll.qlCalendarAdvance(calendar,AK3911,"1D")</f>
        <v>48124</v>
      </c>
      <c r="AL3912" s="21">
        <f>_xll.qlInterestRateIndexValueDate(hiborindex,AK3912)</f>
        <v>48128</v>
      </c>
      <c r="AM3912" s="23">
        <f>_xll.qlIndexFixing(hiborindex,AK3912)</f>
        <v>1.2533284087383054E-2</v>
      </c>
    </row>
    <row r="3913" spans="37:39" x14ac:dyDescent="0.25">
      <c r="AK3913" s="21">
        <f>_xll.qlCalendarAdvance(calendar,AK3912,"1D")</f>
        <v>48127</v>
      </c>
      <c r="AL3913" s="21">
        <f>_xll.qlInterestRateIndexValueDate(hiborindex,AK3913)</f>
        <v>48129</v>
      </c>
      <c r="AM3913" s="23">
        <f>_xll.qlIndexFixing(hiborindex,AK3913)</f>
        <v>1.2535204273777205E-2</v>
      </c>
    </row>
    <row r="3914" spans="37:39" x14ac:dyDescent="0.25">
      <c r="AK3914" s="21">
        <f>_xll.qlCalendarAdvance(calendar,AK3913,"1D")</f>
        <v>48128</v>
      </c>
      <c r="AL3914" s="21">
        <f>_xll.qlInterestRateIndexValueDate(hiborindex,AK3914)</f>
        <v>48130</v>
      </c>
      <c r="AM3914" s="23">
        <f>_xll.qlIndexFixing(hiborindex,AK3914)</f>
        <v>1.2537124462033472E-2</v>
      </c>
    </row>
    <row r="3915" spans="37:39" x14ac:dyDescent="0.25">
      <c r="AK3915" s="21">
        <f>_xll.qlCalendarAdvance(calendar,AK3914,"1D")</f>
        <v>48129</v>
      </c>
      <c r="AL3915" s="21">
        <f>_xll.qlInterestRateIndexValueDate(hiborindex,AK3915)</f>
        <v>48131</v>
      </c>
      <c r="AM3915" s="23">
        <f>_xll.qlIndexFixing(hiborindex,AK3915)</f>
        <v>1.2541400806037061E-2</v>
      </c>
    </row>
    <row r="3916" spans="37:39" x14ac:dyDescent="0.25">
      <c r="AK3916" s="21">
        <f>_xll.qlCalendarAdvance(calendar,AK3915,"1D")</f>
        <v>48130</v>
      </c>
      <c r="AL3916" s="21">
        <f>_xll.qlInterestRateIndexValueDate(hiborindex,AK3916)</f>
        <v>48134</v>
      </c>
      <c r="AM3916" s="23">
        <f>_xll.qlIndexFixing(hiborindex,AK3916)</f>
        <v>1.2544805233684083E-2</v>
      </c>
    </row>
    <row r="3917" spans="37:39" x14ac:dyDescent="0.25">
      <c r="AK3917" s="21">
        <f>_xll.qlCalendarAdvance(calendar,AK3916,"1D")</f>
        <v>48131</v>
      </c>
      <c r="AL3917" s="21">
        <f>_xll.qlInterestRateIndexValueDate(hiborindex,AK3917)</f>
        <v>48135</v>
      </c>
      <c r="AM3917" s="23">
        <f>_xll.qlIndexFixing(hiborindex,AK3917)</f>
        <v>1.2546725431252683E-2</v>
      </c>
    </row>
    <row r="3918" spans="37:39" x14ac:dyDescent="0.25">
      <c r="AK3918" s="21">
        <f>_xll.qlCalendarAdvance(calendar,AK3917,"1D")</f>
        <v>48134</v>
      </c>
      <c r="AL3918" s="21">
        <f>_xll.qlInterestRateIndexValueDate(hiborindex,AK3918)</f>
        <v>48136</v>
      </c>
      <c r="AM3918" s="23">
        <f>_xll.qlIndexFixing(hiborindex,AK3918)</f>
        <v>1.2548645630683837E-2</v>
      </c>
    </row>
    <row r="3919" spans="37:39" x14ac:dyDescent="0.25">
      <c r="AK3919" s="21">
        <f>_xll.qlCalendarAdvance(calendar,AK3918,"1D")</f>
        <v>48135</v>
      </c>
      <c r="AL3919" s="21">
        <f>_xll.qlInterestRateIndexValueDate(hiborindex,AK3919)</f>
        <v>48137</v>
      </c>
      <c r="AM3919" s="23">
        <f>_xll.qlIndexFixing(hiborindex,AK3919)</f>
        <v>1.2550565831977108E-2</v>
      </c>
    </row>
    <row r="3920" spans="37:39" x14ac:dyDescent="0.25">
      <c r="AK3920" s="21">
        <f>_xll.qlCalendarAdvance(calendar,AK3919,"1D")</f>
        <v>48136</v>
      </c>
      <c r="AL3920" s="21">
        <f>_xll.qlInterestRateIndexValueDate(hiborindex,AK3920)</f>
        <v>48138</v>
      </c>
      <c r="AM3920" s="23">
        <f>_xll.qlIndexFixing(hiborindex,AK3920)</f>
        <v>1.2554843136102554E-2</v>
      </c>
    </row>
    <row r="3921" spans="37:39" x14ac:dyDescent="0.25">
      <c r="AK3921" s="21">
        <f>_xll.qlCalendarAdvance(calendar,AK3920,"1D")</f>
        <v>48137</v>
      </c>
      <c r="AL3921" s="21">
        <f>_xll.qlInterestRateIndexValueDate(hiborindex,AK3921)</f>
        <v>48141</v>
      </c>
      <c r="AM3921" s="23">
        <f>_xll.qlIndexFixing(hiborindex,AK3921)</f>
        <v>1.2558246655775296E-2</v>
      </c>
    </row>
    <row r="3922" spans="37:39" x14ac:dyDescent="0.25">
      <c r="AK3922" s="21">
        <f>_xll.qlCalendarAdvance(calendar,AK3921,"1D")</f>
        <v>48138</v>
      </c>
      <c r="AL3922" s="21">
        <f>_xll.qlInterestRateIndexValueDate(hiborindex,AK3922)</f>
        <v>48142</v>
      </c>
      <c r="AM3922" s="23">
        <f>_xll.qlIndexFixing(hiborindex,AK3922)</f>
        <v>1.2560166866380899E-2</v>
      </c>
    </row>
    <row r="3923" spans="37:39" x14ac:dyDescent="0.25">
      <c r="AK3923" s="21">
        <f>_xll.qlCalendarAdvance(calendar,AK3922,"1D")</f>
        <v>48141</v>
      </c>
      <c r="AL3923" s="21">
        <f>_xll.qlInterestRateIndexValueDate(hiborindex,AK3923)</f>
        <v>48143</v>
      </c>
      <c r="AM3923" s="23">
        <f>_xll.qlIndexFixing(hiborindex,AK3923)</f>
        <v>1.2562087078849055E-2</v>
      </c>
    </row>
    <row r="3924" spans="37:39" x14ac:dyDescent="0.25">
      <c r="AK3924" s="21">
        <f>_xll.qlCalendarAdvance(calendar,AK3923,"1D")</f>
        <v>48142</v>
      </c>
      <c r="AL3924" s="21">
        <f>_xll.qlInterestRateIndexValueDate(hiborindex,AK3924)</f>
        <v>48144</v>
      </c>
      <c r="AM3924" s="23">
        <f>_xll.qlIndexFixing(hiborindex,AK3924)</f>
        <v>1.2564007293179767E-2</v>
      </c>
    </row>
    <row r="3925" spans="37:39" x14ac:dyDescent="0.25">
      <c r="AK3925" s="21">
        <f>_xll.qlCalendarAdvance(calendar,AK3924,"1D")</f>
        <v>48143</v>
      </c>
      <c r="AL3925" s="21">
        <f>_xll.qlInterestRateIndexValueDate(hiborindex,AK3925)</f>
        <v>48145</v>
      </c>
      <c r="AM3925" s="23">
        <f>_xll.qlIndexFixing(hiborindex,AK3925)</f>
        <v>1.2568285558431109E-2</v>
      </c>
    </row>
    <row r="3926" spans="37:39" x14ac:dyDescent="0.25">
      <c r="AK3926" s="21">
        <f>_xll.qlCalendarAdvance(calendar,AK3925,"1D")</f>
        <v>48144</v>
      </c>
      <c r="AL3926" s="21">
        <f>_xll.qlInterestRateIndexValueDate(hiborindex,AK3926)</f>
        <v>48148</v>
      </c>
      <c r="AM3926" s="23">
        <f>_xll.qlIndexFixing(hiborindex,AK3926)</f>
        <v>1.2571688169126403E-2</v>
      </c>
    </row>
    <row r="3927" spans="37:39" x14ac:dyDescent="0.25">
      <c r="AK3927" s="21">
        <f>_xll.qlCalendarAdvance(calendar,AK3926,"1D")</f>
        <v>48145</v>
      </c>
      <c r="AL3927" s="21">
        <f>_xll.qlInterestRateIndexValueDate(hiborindex,AK3927)</f>
        <v>48149</v>
      </c>
      <c r="AM3927" s="23">
        <f>_xll.qlIndexFixing(hiborindex,AK3927)</f>
        <v>1.257360839276901E-2</v>
      </c>
    </row>
    <row r="3928" spans="37:39" x14ac:dyDescent="0.25">
      <c r="AK3928" s="21">
        <f>_xll.qlCalendarAdvance(calendar,AK3927,"1D")</f>
        <v>48148</v>
      </c>
      <c r="AL3928" s="21">
        <f>_xll.qlInterestRateIndexValueDate(hiborindex,AK3928)</f>
        <v>48150</v>
      </c>
      <c r="AM3928" s="23">
        <f>_xll.qlIndexFixing(hiborindex,AK3928)</f>
        <v>1.2575528618274608E-2</v>
      </c>
    </row>
    <row r="3929" spans="37:39" x14ac:dyDescent="0.25">
      <c r="AK3929" s="21">
        <f>_xll.qlCalendarAdvance(calendar,AK3928,"1D")</f>
        <v>48149</v>
      </c>
      <c r="AL3929" s="21">
        <f>_xll.qlInterestRateIndexValueDate(hiborindex,AK3929)</f>
        <v>48151</v>
      </c>
      <c r="AM3929" s="23">
        <f>_xll.qlIndexFixing(hiborindex,AK3929)</f>
        <v>1.2577448845642322E-2</v>
      </c>
    </row>
    <row r="3930" spans="37:39" x14ac:dyDescent="0.25">
      <c r="AK3930" s="21">
        <f>_xll.qlCalendarAdvance(calendar,AK3929,"1D")</f>
        <v>48150</v>
      </c>
      <c r="AL3930" s="21">
        <f>_xll.qlInterestRateIndexValueDate(hiborindex,AK3930)</f>
        <v>48152</v>
      </c>
      <c r="AM3930" s="23">
        <f>_xll.qlIndexFixing(hiborindex,AK3930)</f>
        <v>1.2578189684470536E-2</v>
      </c>
    </row>
    <row r="3931" spans="37:39" x14ac:dyDescent="0.25">
      <c r="AK3931" s="21">
        <f>_xll.qlCalendarAdvance(calendar,AK3930,"1D")</f>
        <v>48151</v>
      </c>
      <c r="AL3931" s="21">
        <f>_xll.qlInterestRateIndexValueDate(hiborindex,AK3931)</f>
        <v>48155</v>
      </c>
      <c r="AM3931" s="23">
        <f>_xll.qlIndexFixing(hiborindex,AK3931)</f>
        <v>1.258395017986156E-2</v>
      </c>
    </row>
    <row r="3932" spans="37:39" x14ac:dyDescent="0.25">
      <c r="AK3932" s="21">
        <f>_xll.qlCalendarAdvance(calendar,AK3931,"1D")</f>
        <v>48152</v>
      </c>
      <c r="AL3932" s="21">
        <f>_xll.qlInterestRateIndexValueDate(hiborindex,AK3932)</f>
        <v>48156</v>
      </c>
      <c r="AM3932" s="23">
        <f>_xll.qlIndexFixing(hiborindex,AK3932)</f>
        <v>1.2585870348696484E-2</v>
      </c>
    </row>
    <row r="3933" spans="37:39" x14ac:dyDescent="0.25">
      <c r="AK3933" s="21">
        <f>_xll.qlCalendarAdvance(calendar,AK3932,"1D")</f>
        <v>48155</v>
      </c>
      <c r="AL3933" s="21">
        <f>_xll.qlInterestRateIndexValueDate(hiborindex,AK3933)</f>
        <v>48157</v>
      </c>
      <c r="AM3933" s="23">
        <f>_xll.qlIndexFixing(hiborindex,AK3933)</f>
        <v>1.2587790519383552E-2</v>
      </c>
    </row>
    <row r="3934" spans="37:39" x14ac:dyDescent="0.25">
      <c r="AK3934" s="21">
        <f>_xll.qlCalendarAdvance(calendar,AK3933,"1D")</f>
        <v>48156</v>
      </c>
      <c r="AL3934" s="21">
        <f>_xll.qlInterestRateIndexValueDate(hiborindex,AK3934)</f>
        <v>48158</v>
      </c>
      <c r="AM3934" s="23">
        <f>_xll.qlIndexFixing(hiborindex,AK3934)</f>
        <v>1.2589710691922766E-2</v>
      </c>
    </row>
    <row r="3935" spans="37:39" x14ac:dyDescent="0.25">
      <c r="AK3935" s="21">
        <f>_xll.qlCalendarAdvance(calendar,AK3934,"1D")</f>
        <v>48157</v>
      </c>
      <c r="AL3935" s="21">
        <f>_xll.qlInterestRateIndexValueDate(hiborindex,AK3935)</f>
        <v>48159</v>
      </c>
      <c r="AM3935" s="23">
        <f>_xll.qlIndexFixing(hiborindex,AK3935)</f>
        <v>1.2591630866314124E-2</v>
      </c>
    </row>
    <row r="3936" spans="37:39" x14ac:dyDescent="0.25">
      <c r="AK3936" s="21">
        <f>_xll.qlCalendarAdvance(calendar,AK3935,"1D")</f>
        <v>48158</v>
      </c>
      <c r="AL3936" s="21">
        <f>_xll.qlInterestRateIndexValueDate(hiborindex,AK3936)</f>
        <v>48162</v>
      </c>
      <c r="AM3936" s="23">
        <f>_xll.qlIndexFixing(hiborindex,AK3936)</f>
        <v>1.2597391400601945E-2</v>
      </c>
    </row>
    <row r="3937" spans="37:39" x14ac:dyDescent="0.25">
      <c r="AK3937" s="21">
        <f>_xll.qlCalendarAdvance(calendar,AK3936,"1D")</f>
        <v>48159</v>
      </c>
      <c r="AL3937" s="21">
        <f>_xll.qlInterestRateIndexValueDate(hiborindex,AK3937)</f>
        <v>48163</v>
      </c>
      <c r="AM3937" s="23">
        <f>_xll.qlIndexFixing(hiborindex,AK3937)</f>
        <v>1.2599311582402762E-2</v>
      </c>
    </row>
    <row r="3938" spans="37:39" x14ac:dyDescent="0.25">
      <c r="AK3938" s="21">
        <f>_xll.qlCalendarAdvance(calendar,AK3937,"1D")</f>
        <v>48162</v>
      </c>
      <c r="AL3938" s="21">
        <f>_xll.qlInterestRateIndexValueDate(hiborindex,AK3938)</f>
        <v>48164</v>
      </c>
      <c r="AM3938" s="23">
        <f>_xll.qlIndexFixing(hiborindex,AK3938)</f>
        <v>1.2601231766055283E-2</v>
      </c>
    </row>
    <row r="3939" spans="37:39" x14ac:dyDescent="0.25">
      <c r="AK3939" s="21">
        <f>_xll.qlCalendarAdvance(calendar,AK3938,"1D")</f>
        <v>48163</v>
      </c>
      <c r="AL3939" s="21">
        <f>_xll.qlInterestRateIndexValueDate(hiborindex,AK3939)</f>
        <v>48165</v>
      </c>
      <c r="AM3939" s="23">
        <f>_xll.qlIndexFixing(hiborindex,AK3939)</f>
        <v>1.2603151951560388E-2</v>
      </c>
    </row>
    <row r="3940" spans="37:39" x14ac:dyDescent="0.25">
      <c r="AK3940" s="21">
        <f>_xll.qlCalendarAdvance(calendar,AK3939,"1D")</f>
        <v>48164</v>
      </c>
      <c r="AL3940" s="21">
        <f>_xll.qlInterestRateIndexValueDate(hiborindex,AK3940)</f>
        <v>48166</v>
      </c>
      <c r="AM3940" s="23">
        <f>_xll.qlIndexFixing(hiborindex,AK3940)</f>
        <v>1.2605072138917199E-2</v>
      </c>
    </row>
    <row r="3941" spans="37:39" x14ac:dyDescent="0.25">
      <c r="AK3941" s="21">
        <f>_xll.qlCalendarAdvance(calendar,AK3940,"1D")</f>
        <v>48165</v>
      </c>
      <c r="AL3941" s="21">
        <f>_xll.qlInterestRateIndexValueDate(hiborindex,AK3941)</f>
        <v>48169</v>
      </c>
      <c r="AM3941" s="23">
        <f>_xll.qlIndexFixing(hiborindex,AK3941)</f>
        <v>1.2610832712102258E-2</v>
      </c>
    </row>
    <row r="3942" spans="37:39" x14ac:dyDescent="0.25">
      <c r="AK3942" s="21">
        <f>_xll.qlCalendarAdvance(calendar,AK3941,"1D")</f>
        <v>48166</v>
      </c>
      <c r="AL3942" s="21">
        <f>_xll.qlInterestRateIndexValueDate(hiborindex,AK3942)</f>
        <v>48170</v>
      </c>
      <c r="AM3942" s="23">
        <f>_xll.qlIndexFixing(hiborindex,AK3942)</f>
        <v>1.2612752906868526E-2</v>
      </c>
    </row>
    <row r="3943" spans="37:39" x14ac:dyDescent="0.25">
      <c r="AK3943" s="21">
        <f>_xll.qlCalendarAdvance(calendar,AK3942,"1D")</f>
        <v>48169</v>
      </c>
      <c r="AL3943" s="21">
        <f>_xll.qlInterestRateIndexValueDate(hiborindex,AK3943)</f>
        <v>48171</v>
      </c>
      <c r="AM3943" s="23">
        <f>_xll.qlIndexFixing(hiborindex,AK3943)</f>
        <v>1.2614673103486939E-2</v>
      </c>
    </row>
    <row r="3944" spans="37:39" x14ac:dyDescent="0.25">
      <c r="AK3944" s="21">
        <f>_xll.qlCalendarAdvance(calendar,AK3943,"1D")</f>
        <v>48170</v>
      </c>
      <c r="AL3944" s="21">
        <f>_xll.qlInterestRateIndexValueDate(hiborindex,AK3944)</f>
        <v>48172</v>
      </c>
      <c r="AM3944" s="23">
        <f>_xll.qlIndexFixing(hiborindex,AK3944)</f>
        <v>1.2616593301957498E-2</v>
      </c>
    </row>
    <row r="3945" spans="37:39" x14ac:dyDescent="0.25">
      <c r="AK3945" s="21">
        <f>_xll.qlCalendarAdvance(calendar,AK3944,"1D")</f>
        <v>48171</v>
      </c>
      <c r="AL3945" s="21">
        <f>_xll.qlInterestRateIndexValueDate(hiborindex,AK3945)</f>
        <v>48173</v>
      </c>
      <c r="AM3945" s="23">
        <f>_xll.qlIndexFixing(hiborindex,AK3945)</f>
        <v>1.26185135022802E-2</v>
      </c>
    </row>
    <row r="3946" spans="37:39" x14ac:dyDescent="0.25">
      <c r="AK3946" s="21">
        <f>_xll.qlCalendarAdvance(calendar,AK3945,"1D")</f>
        <v>48172</v>
      </c>
      <c r="AL3946" s="21">
        <f>_xll.qlInterestRateIndexValueDate(hiborindex,AK3946)</f>
        <v>48176</v>
      </c>
      <c r="AM3946" s="23">
        <f>_xll.qlIndexFixing(hiborindex,AK3946)</f>
        <v>1.2624274114362496E-2</v>
      </c>
    </row>
    <row r="3947" spans="37:39" x14ac:dyDescent="0.25">
      <c r="AK3947" s="21">
        <f>_xll.qlCalendarAdvance(calendar,AK3946,"1D")</f>
        <v>48173</v>
      </c>
      <c r="AL3947" s="21">
        <f>_xll.qlInterestRateIndexValueDate(hiborindex,AK3947)</f>
        <v>48177</v>
      </c>
      <c r="AM3947" s="23">
        <f>_xll.qlIndexFixing(hiborindex,AK3947)</f>
        <v>1.2626194322094657E-2</v>
      </c>
    </row>
    <row r="3948" spans="37:39" x14ac:dyDescent="0.25">
      <c r="AK3948" s="21">
        <f>_xll.qlCalendarAdvance(calendar,AK3947,"1D")</f>
        <v>48176</v>
      </c>
      <c r="AL3948" s="21">
        <f>_xll.qlInterestRateIndexValueDate(hiborindex,AK3948)</f>
        <v>48178</v>
      </c>
      <c r="AM3948" s="23">
        <f>_xll.qlIndexFixing(hiborindex,AK3948)</f>
        <v>1.2628114531678523E-2</v>
      </c>
    </row>
    <row r="3949" spans="37:39" x14ac:dyDescent="0.25">
      <c r="AK3949" s="21">
        <f>_xll.qlCalendarAdvance(calendar,AK3948,"1D")</f>
        <v>48177</v>
      </c>
      <c r="AL3949" s="21">
        <f>_xll.qlInterestRateIndexValueDate(hiborindex,AK3949)</f>
        <v>48179</v>
      </c>
      <c r="AM3949" s="23">
        <f>_xll.qlIndexFixing(hiborindex,AK3949)</f>
        <v>1.2630034743114974E-2</v>
      </c>
    </row>
    <row r="3950" spans="37:39" x14ac:dyDescent="0.25">
      <c r="AK3950" s="21">
        <f>_xll.qlCalendarAdvance(calendar,AK3949,"1D")</f>
        <v>48178</v>
      </c>
      <c r="AL3950" s="21">
        <f>_xll.qlInterestRateIndexValueDate(hiborindex,AK3950)</f>
        <v>48180</v>
      </c>
      <c r="AM3950" s="23">
        <f>_xll.qlIndexFixing(hiborindex,AK3950)</f>
        <v>1.263549905404358E-2</v>
      </c>
    </row>
    <row r="3951" spans="37:39" x14ac:dyDescent="0.25">
      <c r="AK3951" s="21">
        <f>_xll.qlCalendarAdvance(calendar,AK3950,"1D")</f>
        <v>48179</v>
      </c>
      <c r="AL3951" s="21">
        <f>_xll.qlInterestRateIndexValueDate(hiborindex,AK3951)</f>
        <v>48183</v>
      </c>
      <c r="AM3951" s="23">
        <f>_xll.qlIndexFixing(hiborindex,AK3951)</f>
        <v>1.2638897104796541E-2</v>
      </c>
    </row>
    <row r="3952" spans="37:39" x14ac:dyDescent="0.25">
      <c r="AK3952" s="21">
        <f>_xll.qlCalendarAdvance(calendar,AK3951,"1D")</f>
        <v>48180</v>
      </c>
      <c r="AL3952" s="21">
        <f>_xll.qlInterestRateIndexValueDate(hiborindex,AK3952)</f>
        <v>48184</v>
      </c>
      <c r="AM3952" s="23">
        <f>_xll.qlIndexFixing(hiborindex,AK3952)</f>
        <v>1.2640817393626347E-2</v>
      </c>
    </row>
    <row r="3953" spans="37:39" x14ac:dyDescent="0.25">
      <c r="AK3953" s="21">
        <f>_xll.qlCalendarAdvance(calendar,AK3952,"1D")</f>
        <v>48183</v>
      </c>
      <c r="AL3953" s="21">
        <f>_xll.qlInterestRateIndexValueDate(hiborindex,AK3953)</f>
        <v>48185</v>
      </c>
      <c r="AM3953" s="23">
        <f>_xll.qlIndexFixing(hiborindex,AK3953)</f>
        <v>1.2642737684318707E-2</v>
      </c>
    </row>
    <row r="3954" spans="37:39" x14ac:dyDescent="0.25">
      <c r="AK3954" s="21">
        <f>_xll.qlCalendarAdvance(calendar,AK3953,"1D")</f>
        <v>48184</v>
      </c>
      <c r="AL3954" s="21">
        <f>_xll.qlInterestRateIndexValueDate(hiborindex,AK3954)</f>
        <v>48186</v>
      </c>
      <c r="AM3954" s="23">
        <f>_xll.qlIndexFixing(hiborindex,AK3954)</f>
        <v>1.2644657976873185E-2</v>
      </c>
    </row>
    <row r="3955" spans="37:39" x14ac:dyDescent="0.25">
      <c r="AK3955" s="21">
        <f>_xll.qlCalendarAdvance(calendar,AK3954,"1D")</f>
        <v>48185</v>
      </c>
      <c r="AL3955" s="21">
        <f>_xll.qlInterestRateIndexValueDate(hiborindex,AK3955)</f>
        <v>48187</v>
      </c>
      <c r="AM3955" s="23">
        <f>_xll.qlIndexFixing(hiborindex,AK3955)</f>
        <v>1.2648942029964767E-2</v>
      </c>
    </row>
    <row r="3956" spans="37:39" x14ac:dyDescent="0.25">
      <c r="AK3956" s="21">
        <f>_xll.qlCalendarAdvance(calendar,AK3955,"1D")</f>
        <v>48186</v>
      </c>
      <c r="AL3956" s="21">
        <f>_xll.qlInterestRateIndexValueDate(hiborindex,AK3956)</f>
        <v>48190</v>
      </c>
      <c r="AM3956" s="23">
        <f>_xll.qlIndexFixing(hiborindex,AK3956)</f>
        <v>1.2652339165717943E-2</v>
      </c>
    </row>
    <row r="3957" spans="37:39" x14ac:dyDescent="0.25">
      <c r="AK3957" s="21">
        <f>_xll.qlCalendarAdvance(calendar,AK3956,"1D")</f>
        <v>48187</v>
      </c>
      <c r="AL3957" s="21">
        <f>_xll.qlInterestRateIndexValueDate(hiborindex,AK3957)</f>
        <v>48191</v>
      </c>
      <c r="AM3957" s="23">
        <f>_xll.qlIndexFixing(hiborindex,AK3957)</f>
        <v>1.265425946758519E-2</v>
      </c>
    </row>
    <row r="3958" spans="37:39" x14ac:dyDescent="0.25">
      <c r="AK3958" s="21">
        <f>_xll.qlCalendarAdvance(calendar,AK3957,"1D")</f>
        <v>48190</v>
      </c>
      <c r="AL3958" s="21">
        <f>_xll.qlInterestRateIndexValueDate(hiborindex,AK3958)</f>
        <v>48192</v>
      </c>
      <c r="AM3958" s="23">
        <f>_xll.qlIndexFixing(hiborindex,AK3958)</f>
        <v>1.2656179771315426E-2</v>
      </c>
    </row>
    <row r="3959" spans="37:39" x14ac:dyDescent="0.25">
      <c r="AK3959" s="21">
        <f>_xll.qlCalendarAdvance(calendar,AK3958,"1D")</f>
        <v>48191</v>
      </c>
      <c r="AL3959" s="21">
        <f>_xll.qlInterestRateIndexValueDate(hiborindex,AK3959)</f>
        <v>48193</v>
      </c>
      <c r="AM3959" s="23">
        <f>_xll.qlIndexFixing(hiborindex,AK3959)</f>
        <v>1.2658100076908218E-2</v>
      </c>
    </row>
    <row r="3960" spans="37:39" x14ac:dyDescent="0.25">
      <c r="AK3960" s="21">
        <f>_xll.qlCalendarAdvance(calendar,AK3959,"1D")</f>
        <v>48192</v>
      </c>
      <c r="AL3960" s="21">
        <f>_xll.qlInterestRateIndexValueDate(hiborindex,AK3960)</f>
        <v>48194</v>
      </c>
      <c r="AM3960" s="23">
        <f>_xll.qlIndexFixing(hiborindex,AK3960)</f>
        <v>1.2662385098152904E-2</v>
      </c>
    </row>
    <row r="3961" spans="37:39" x14ac:dyDescent="0.25">
      <c r="AK3961" s="21">
        <f>_xll.qlCalendarAdvance(calendar,AK3960,"1D")</f>
        <v>48193</v>
      </c>
      <c r="AL3961" s="21">
        <f>_xll.qlInterestRateIndexValueDate(hiborindex,AK3961)</f>
        <v>48197</v>
      </c>
      <c r="AM3961" s="23">
        <f>_xll.qlIndexFixing(hiborindex,AK3961)</f>
        <v>1.2665781317903173E-2</v>
      </c>
    </row>
    <row r="3962" spans="37:39" x14ac:dyDescent="0.25">
      <c r="AK3962" s="21">
        <f>_xll.qlCalendarAdvance(calendar,AK3961,"1D")</f>
        <v>48194</v>
      </c>
      <c r="AL3962" s="21">
        <f>_xll.qlInterestRateIndexValueDate(hiborindex,AK3962)</f>
        <v>48198</v>
      </c>
      <c r="AM3962" s="23">
        <f>_xll.qlIndexFixing(hiborindex,AK3962)</f>
        <v>1.2667701632808297E-2</v>
      </c>
    </row>
    <row r="3963" spans="37:39" x14ac:dyDescent="0.25">
      <c r="AK3963" s="21">
        <f>_xll.qlCalendarAdvance(calendar,AK3962,"1D")</f>
        <v>48197</v>
      </c>
      <c r="AL3963" s="21">
        <f>_xll.qlInterestRateIndexValueDate(hiborindex,AK3963)</f>
        <v>48199</v>
      </c>
      <c r="AM3963" s="23">
        <f>_xll.qlIndexFixing(hiborindex,AK3963)</f>
        <v>1.2669621949575974E-2</v>
      </c>
    </row>
    <row r="3964" spans="37:39" x14ac:dyDescent="0.25">
      <c r="AK3964" s="21">
        <f>_xll.qlCalendarAdvance(calendar,AK3963,"1D")</f>
        <v>48198</v>
      </c>
      <c r="AL3964" s="21">
        <f>_xll.qlInterestRateIndexValueDate(hiborindex,AK3964)</f>
        <v>48200</v>
      </c>
      <c r="AM3964" s="23">
        <f>_xll.qlIndexFixing(hiborindex,AK3964)</f>
        <v>1.2671542268206205E-2</v>
      </c>
    </row>
    <row r="3965" spans="37:39" x14ac:dyDescent="0.25">
      <c r="AK3965" s="21">
        <f>_xll.qlCalendarAdvance(calendar,AK3964,"1D")</f>
        <v>48199</v>
      </c>
      <c r="AL3965" s="21">
        <f>_xll.qlInterestRateIndexValueDate(hiborindex,AK3965)</f>
        <v>48201</v>
      </c>
      <c r="AM3965" s="23">
        <f>_xll.qlIndexFixing(hiborindex,AK3965)</f>
        <v>1.2675828258609721E-2</v>
      </c>
    </row>
    <row r="3966" spans="37:39" x14ac:dyDescent="0.25">
      <c r="AK3966" s="21">
        <f>_xll.qlCalendarAdvance(calendar,AK3965,"1D")</f>
        <v>48200</v>
      </c>
      <c r="AL3966" s="21">
        <f>_xll.qlInterestRateIndexValueDate(hiborindex,AK3966)</f>
        <v>48204</v>
      </c>
      <c r="AM3966" s="23">
        <f>_xll.qlIndexFixing(hiborindex,AK3966)</f>
        <v>1.2679223561353105E-2</v>
      </c>
    </row>
    <row r="3967" spans="37:39" x14ac:dyDescent="0.25">
      <c r="AK3967" s="21">
        <f>_xll.qlCalendarAdvance(calendar,AK3966,"1D")</f>
        <v>48201</v>
      </c>
      <c r="AL3967" s="21">
        <f>_xll.qlInterestRateIndexValueDate(hiborindex,AK3967)</f>
        <v>48205</v>
      </c>
      <c r="AM3967" s="23">
        <f>_xll.qlIndexFixing(hiborindex,AK3967)</f>
        <v>1.2681143889296104E-2</v>
      </c>
    </row>
    <row r="3968" spans="37:39" x14ac:dyDescent="0.25">
      <c r="AK3968" s="21">
        <f>_xll.qlCalendarAdvance(calendar,AK3967,"1D")</f>
        <v>48204</v>
      </c>
      <c r="AL3968" s="21">
        <f>_xll.qlInterestRateIndexValueDate(hiborindex,AK3968)</f>
        <v>48206</v>
      </c>
      <c r="AM3968" s="23">
        <f>_xll.qlIndexFixing(hiborindex,AK3968)</f>
        <v>1.2683064219101658E-2</v>
      </c>
    </row>
    <row r="3969" spans="37:39" x14ac:dyDescent="0.25">
      <c r="AK3969" s="21">
        <f>_xll.qlCalendarAdvance(calendar,AK3968,"1D")</f>
        <v>48205</v>
      </c>
      <c r="AL3969" s="21">
        <f>_xll.qlInterestRateIndexValueDate(hiborindex,AK3969)</f>
        <v>48211</v>
      </c>
      <c r="AM3969" s="23">
        <f>_xll.qlIndexFixing(hiborindex,AK3969)</f>
        <v>1.2692665896067736E-2</v>
      </c>
    </row>
    <row r="3970" spans="37:39" x14ac:dyDescent="0.25">
      <c r="AK3970" s="21">
        <f>_xll.qlCalendarAdvance(calendar,AK3969,"1D")</f>
        <v>48206</v>
      </c>
      <c r="AL3970" s="21">
        <f>_xll.qlInterestRateIndexValueDate(hiborindex,AK3970)</f>
        <v>48212</v>
      </c>
      <c r="AM3970" s="23">
        <f>_xll.qlIndexFixing(hiborindex,AK3970)</f>
        <v>1.2694586237048612E-2</v>
      </c>
    </row>
    <row r="3971" spans="37:39" x14ac:dyDescent="0.25">
      <c r="AK3971" s="21">
        <f>_xll.qlCalendarAdvance(calendar,AK3970,"1D")</f>
        <v>48211</v>
      </c>
      <c r="AL3971" s="21">
        <f>_xll.qlInterestRateIndexValueDate(hiborindex,AK3971)</f>
        <v>48213</v>
      </c>
      <c r="AM3971" s="23">
        <f>_xll.qlIndexFixing(hiborindex,AK3971)</f>
        <v>1.2695323034063458E-2</v>
      </c>
    </row>
    <row r="3972" spans="37:39" x14ac:dyDescent="0.25">
      <c r="AK3972" s="21">
        <f>_xll.qlCalendarAdvance(calendar,AK3971,"1D")</f>
        <v>48212</v>
      </c>
      <c r="AL3972" s="21">
        <f>_xll.qlInterestRateIndexValueDate(hiborindex,AK3972)</f>
        <v>48215</v>
      </c>
      <c r="AM3972" s="23">
        <f>_xll.qlIndexFixing(hiborindex,AK3972)</f>
        <v>1.2686086338396232E-2</v>
      </c>
    </row>
    <row r="3973" spans="37:39" x14ac:dyDescent="0.25">
      <c r="AK3973" s="21">
        <f>_xll.qlCalendarAdvance(calendar,AK3972,"1D")</f>
        <v>48213</v>
      </c>
      <c r="AL3973" s="21">
        <f>_xll.qlInterestRateIndexValueDate(hiborindex,AK3973)</f>
        <v>48218</v>
      </c>
      <c r="AM3973" s="23">
        <f>_xll.qlIndexFixing(hiborindex,AK3973)</f>
        <v>1.267221460398542E-2</v>
      </c>
    </row>
    <row r="3974" spans="37:39" x14ac:dyDescent="0.25">
      <c r="AK3974" s="21">
        <f>_xll.qlCalendarAdvance(calendar,AK3973,"1D")</f>
        <v>48215</v>
      </c>
      <c r="AL3974" s="21">
        <f>_xll.qlInterestRateIndexValueDate(hiborindex,AK3974)</f>
        <v>48219</v>
      </c>
      <c r="AM3974" s="23">
        <f>_xll.qlIndexFixing(hiborindex,AK3974)</f>
        <v>1.2667586241668279E-2</v>
      </c>
    </row>
    <row r="3975" spans="37:39" x14ac:dyDescent="0.25">
      <c r="AK3975" s="21">
        <f>_xll.qlCalendarAdvance(calendar,AK3974,"1D")</f>
        <v>48218</v>
      </c>
      <c r="AL3975" s="21">
        <f>_xll.qlInterestRateIndexValueDate(hiborindex,AK3975)</f>
        <v>48220</v>
      </c>
      <c r="AM3975" s="23">
        <f>_xll.qlIndexFixing(hiborindex,AK3975)</f>
        <v>1.2662955653953249E-2</v>
      </c>
    </row>
    <row r="3976" spans="37:39" x14ac:dyDescent="0.25">
      <c r="AK3976" s="21">
        <f>_xll.qlCalendarAdvance(calendar,AK3975,"1D")</f>
        <v>48219</v>
      </c>
      <c r="AL3976" s="21">
        <f>_xll.qlInterestRateIndexValueDate(hiborindex,AK3976)</f>
        <v>48221</v>
      </c>
      <c r="AM3976" s="23">
        <f>_xll.qlIndexFixing(hiborindex,AK3976)</f>
        <v>1.2658322840856143E-2</v>
      </c>
    </row>
    <row r="3977" spans="37:39" x14ac:dyDescent="0.25">
      <c r="AK3977" s="21">
        <f>_xll.qlCalendarAdvance(calendar,AK3976,"1D")</f>
        <v>48220</v>
      </c>
      <c r="AL3977" s="21">
        <f>_xll.qlInterestRateIndexValueDate(hiborindex,AK3977)</f>
        <v>48222</v>
      </c>
      <c r="AM3977" s="23">
        <f>_xll.qlIndexFixing(hiborindex,AK3977)</f>
        <v>1.2653687802392772E-2</v>
      </c>
    </row>
    <row r="3978" spans="37:39" x14ac:dyDescent="0.25">
      <c r="AK3978" s="21">
        <f>_xll.qlCalendarAdvance(calendar,AK3977,"1D")</f>
        <v>48221</v>
      </c>
      <c r="AL3978" s="21">
        <f>_xll.qlInterestRateIndexValueDate(hiborindex,AK3978)</f>
        <v>48225</v>
      </c>
      <c r="AM3978" s="23">
        <f>_xll.qlIndexFixing(hiborindex,AK3978)</f>
        <v>1.2639769334959673E-2</v>
      </c>
    </row>
    <row r="3979" spans="37:39" x14ac:dyDescent="0.25">
      <c r="AK3979" s="21">
        <f>_xll.qlCalendarAdvance(calendar,AK3978,"1D")</f>
        <v>48222</v>
      </c>
      <c r="AL3979" s="21">
        <f>_xll.qlInterestRateIndexValueDate(hiborindex,AK3979)</f>
        <v>48226</v>
      </c>
      <c r="AM3979" s="23">
        <f>_xll.qlIndexFixing(hiborindex,AK3979)</f>
        <v>1.2635125395186724E-2</v>
      </c>
    </row>
    <row r="3980" spans="37:39" x14ac:dyDescent="0.25">
      <c r="AK3980" s="21">
        <f>_xll.qlCalendarAdvance(calendar,AK3979,"1D")</f>
        <v>48225</v>
      </c>
      <c r="AL3980" s="21">
        <f>_xll.qlInterestRateIndexValueDate(hiborindex,AK3980)</f>
        <v>48227</v>
      </c>
      <c r="AM3980" s="23">
        <f>_xll.qlIndexFixing(hiborindex,AK3980)</f>
        <v>1.263047923012481E-2</v>
      </c>
    </row>
    <row r="3981" spans="37:39" x14ac:dyDescent="0.25">
      <c r="AK3981" s="21">
        <f>_xll.qlCalendarAdvance(calendar,AK3980,"1D")</f>
        <v>48226</v>
      </c>
      <c r="AL3981" s="21">
        <f>_xll.qlInterestRateIndexValueDate(hiborindex,AK3981)</f>
        <v>48228</v>
      </c>
      <c r="AM3981" s="23">
        <f>_xll.qlIndexFixing(hiborindex,AK3981)</f>
        <v>1.2625830839790622E-2</v>
      </c>
    </row>
    <row r="3982" spans="37:39" x14ac:dyDescent="0.25">
      <c r="AK3982" s="21">
        <f>_xll.qlCalendarAdvance(calendar,AK3981,"1D")</f>
        <v>48227</v>
      </c>
      <c r="AL3982" s="21">
        <f>_xll.qlInterestRateIndexValueDate(hiborindex,AK3982)</f>
        <v>48229</v>
      </c>
      <c r="AM3982" s="23">
        <f>_xll.qlIndexFixing(hiborindex,AK3982)</f>
        <v>1.2621180224199093E-2</v>
      </c>
    </row>
    <row r="3983" spans="37:39" x14ac:dyDescent="0.25">
      <c r="AK3983" s="21">
        <f>_xll.qlCalendarAdvance(calendar,AK3982,"1D")</f>
        <v>48228</v>
      </c>
      <c r="AL3983" s="21">
        <f>_xll.qlInterestRateIndexValueDate(hiborindex,AK3983)</f>
        <v>48232</v>
      </c>
      <c r="AM3983" s="23">
        <f>_xll.qlIndexFixing(hiborindex,AK3983)</f>
        <v>1.2607215026039013E-2</v>
      </c>
    </row>
    <row r="3984" spans="37:39" x14ac:dyDescent="0.25">
      <c r="AK3984" s="21">
        <f>_xll.qlCalendarAdvance(calendar,AK3983,"1D")</f>
        <v>48229</v>
      </c>
      <c r="AL3984" s="21">
        <f>_xll.qlInterestRateIndexValueDate(hiborindex,AK3984)</f>
        <v>48233</v>
      </c>
      <c r="AM3984" s="23">
        <f>_xll.qlIndexFixing(hiborindex,AK3984)</f>
        <v>1.2602555509575356E-2</v>
      </c>
    </row>
    <row r="3985" spans="37:39" x14ac:dyDescent="0.25">
      <c r="AK3985" s="21">
        <f>_xll.qlCalendarAdvance(calendar,AK3984,"1D")</f>
        <v>48232</v>
      </c>
      <c r="AL3985" s="21">
        <f>_xll.qlInterestRateIndexValueDate(hiborindex,AK3985)</f>
        <v>48234</v>
      </c>
      <c r="AM3985" s="23">
        <f>_xll.qlIndexFixing(hiborindex,AK3985)</f>
        <v>1.2597893767933415E-2</v>
      </c>
    </row>
    <row r="3986" spans="37:39" x14ac:dyDescent="0.25">
      <c r="AK3986" s="21">
        <f>_xll.qlCalendarAdvance(calendar,AK3985,"1D")</f>
        <v>48233</v>
      </c>
      <c r="AL3986" s="21">
        <f>_xll.qlInterestRateIndexValueDate(hiborindex,AK3986)</f>
        <v>48235</v>
      </c>
      <c r="AM3986" s="23">
        <f>_xll.qlIndexFixing(hiborindex,AK3986)</f>
        <v>1.2593229801127686E-2</v>
      </c>
    </row>
    <row r="3987" spans="37:39" x14ac:dyDescent="0.25">
      <c r="AK3987" s="21">
        <f>_xll.qlCalendarAdvance(calendar,AK3986,"1D")</f>
        <v>48234</v>
      </c>
      <c r="AL3987" s="21">
        <f>_xll.qlInterestRateIndexValueDate(hiborindex,AK3987)</f>
        <v>48236</v>
      </c>
      <c r="AM3987" s="23">
        <f>_xll.qlIndexFixing(hiborindex,AK3987)</f>
        <v>1.2588563609174857E-2</v>
      </c>
    </row>
    <row r="3988" spans="37:39" x14ac:dyDescent="0.25">
      <c r="AK3988" s="21">
        <f>_xll.qlCalendarAdvance(calendar,AK3987,"1D")</f>
        <v>48235</v>
      </c>
      <c r="AL3988" s="21">
        <f>_xll.qlInterestRateIndexValueDate(hiborindex,AK3988)</f>
        <v>48239</v>
      </c>
      <c r="AM3988" s="23">
        <f>_xll.qlIndexFixing(hiborindex,AK3988)</f>
        <v>1.2574551682589252E-2</v>
      </c>
    </row>
    <row r="3989" spans="37:39" x14ac:dyDescent="0.25">
      <c r="AK3989" s="21">
        <f>_xll.qlCalendarAdvance(calendar,AK3988,"1D")</f>
        <v>48236</v>
      </c>
      <c r="AL3989" s="21">
        <f>_xll.qlInterestRateIndexValueDate(hiborindex,AK3989)</f>
        <v>48240</v>
      </c>
      <c r="AM3989" s="23">
        <f>_xll.qlIndexFixing(hiborindex,AK3989)</f>
        <v>1.2569876590203945E-2</v>
      </c>
    </row>
    <row r="3990" spans="37:39" x14ac:dyDescent="0.25">
      <c r="AK3990" s="21">
        <f>_xll.qlCalendarAdvance(calendar,AK3989,"1D")</f>
        <v>48239</v>
      </c>
      <c r="AL3990" s="21">
        <f>_xll.qlInterestRateIndexValueDate(hiborindex,AK3990)</f>
        <v>48241</v>
      </c>
      <c r="AM3990" s="23">
        <f>_xll.qlIndexFixing(hiborindex,AK3990)</f>
        <v>1.2565199272750155E-2</v>
      </c>
    </row>
    <row r="3991" spans="37:39" x14ac:dyDescent="0.25">
      <c r="AK3991" s="21">
        <f>_xll.qlCalendarAdvance(calendar,AK3990,"1D")</f>
        <v>48240</v>
      </c>
      <c r="AL3991" s="21">
        <f>_xll.qlInterestRateIndexValueDate(hiborindex,AK3991)</f>
        <v>48242</v>
      </c>
      <c r="AM3991" s="23">
        <f>_xll.qlIndexFixing(hiborindex,AK3991)</f>
        <v>1.256051973024238E-2</v>
      </c>
    </row>
    <row r="3992" spans="37:39" x14ac:dyDescent="0.25">
      <c r="AK3992" s="21">
        <f>_xll.qlCalendarAdvance(calendar,AK3991,"1D")</f>
        <v>48241</v>
      </c>
      <c r="AL3992" s="21">
        <f>_xll.qlInterestRateIndexValueDate(hiborindex,AK3992)</f>
        <v>48243</v>
      </c>
      <c r="AM3992" s="23">
        <f>_xll.qlIndexFixing(hiborindex,AK3992)</f>
        <v>1.2555837962697745E-2</v>
      </c>
    </row>
    <row r="3993" spans="37:39" x14ac:dyDescent="0.25">
      <c r="AK3993" s="21">
        <f>_xll.qlCalendarAdvance(calendar,AK3992,"1D")</f>
        <v>48242</v>
      </c>
      <c r="AL3993" s="21">
        <f>_xll.qlInterestRateIndexValueDate(hiborindex,AK3993)</f>
        <v>48246</v>
      </c>
      <c r="AM3993" s="23">
        <f>_xll.qlIndexFixing(hiborindex,AK3993)</f>
        <v>1.2541779309996417E-2</v>
      </c>
    </row>
    <row r="3994" spans="37:39" x14ac:dyDescent="0.25">
      <c r="AK3994" s="21">
        <f>_xll.qlCalendarAdvance(calendar,AK3993,"1D")</f>
        <v>48243</v>
      </c>
      <c r="AL3994" s="21">
        <f>_xll.qlInterestRateIndexValueDate(hiborindex,AK3994)</f>
        <v>48247</v>
      </c>
      <c r="AM3994" s="23">
        <f>_xll.qlIndexFixing(hiborindex,AK3994)</f>
        <v>1.253708864245983E-2</v>
      </c>
    </row>
    <row r="3995" spans="37:39" x14ac:dyDescent="0.25">
      <c r="AK3995" s="21">
        <f>_xll.qlCalendarAdvance(calendar,AK3994,"1D")</f>
        <v>48246</v>
      </c>
      <c r="AL3995" s="21">
        <f>_xll.qlInterestRateIndexValueDate(hiborindex,AK3995)</f>
        <v>48248</v>
      </c>
      <c r="AM3995" s="23">
        <f>_xll.qlIndexFixing(hiborindex,AK3995)</f>
        <v>1.2532395749964564E-2</v>
      </c>
    </row>
    <row r="3996" spans="37:39" x14ac:dyDescent="0.25">
      <c r="AK3996" s="21">
        <f>_xll.qlCalendarAdvance(calendar,AK3995,"1D")</f>
        <v>48247</v>
      </c>
      <c r="AL3996" s="21">
        <f>_xll.qlInterestRateIndexValueDate(hiborindex,AK3996)</f>
        <v>48249</v>
      </c>
      <c r="AM3996" s="23">
        <f>_xll.qlIndexFixing(hiborindex,AK3996)</f>
        <v>1.2527700632526432E-2</v>
      </c>
    </row>
    <row r="3997" spans="37:39" x14ac:dyDescent="0.25">
      <c r="AK3997" s="21">
        <f>_xll.qlCalendarAdvance(calendar,AK3996,"1D")</f>
        <v>48248</v>
      </c>
      <c r="AL3997" s="21">
        <f>_xll.qlInterestRateIndexValueDate(hiborindex,AK3997)</f>
        <v>48250</v>
      </c>
      <c r="AM3997" s="23">
        <f>_xll.qlIndexFixing(hiborindex,AK3997)</f>
        <v>1.2523003290161682E-2</v>
      </c>
    </row>
    <row r="3998" spans="37:39" x14ac:dyDescent="0.25">
      <c r="AK3998" s="21">
        <f>_xll.qlCalendarAdvance(calendar,AK3997,"1D")</f>
        <v>48249</v>
      </c>
      <c r="AL3998" s="21">
        <f>_xll.qlInterestRateIndexValueDate(hiborindex,AK3998)</f>
        <v>48253</v>
      </c>
      <c r="AM3998" s="23">
        <f>_xll.qlIndexFixing(hiborindex,AK3998)</f>
        <v>1.2508897913662777E-2</v>
      </c>
    </row>
    <row r="3999" spans="37:39" x14ac:dyDescent="0.25">
      <c r="AK3999" s="21">
        <f>_xll.qlCalendarAdvance(calendar,AK3998,"1D")</f>
        <v>48250</v>
      </c>
      <c r="AL3999" s="21">
        <f>_xll.qlInterestRateIndexValueDate(hiborindex,AK3999)</f>
        <v>48254</v>
      </c>
      <c r="AM3999" s="23">
        <f>_xll.qlIndexFixing(hiborindex,AK3999)</f>
        <v>1.2504191671747919E-2</v>
      </c>
    </row>
    <row r="4000" spans="37:39" x14ac:dyDescent="0.25">
      <c r="AK4000" s="21">
        <f>_xll.qlCalendarAdvance(calendar,AK3999,"1D")</f>
        <v>48253</v>
      </c>
      <c r="AL4000" s="21">
        <f>_xll.qlInterestRateIndexValueDate(hiborindex,AK4000)</f>
        <v>48255</v>
      </c>
      <c r="AM4000" s="23">
        <f>_xll.qlIndexFixing(hiborindex,AK4000)</f>
        <v>1.2499483204985503E-2</v>
      </c>
    </row>
    <row r="4001" spans="37:39" x14ac:dyDescent="0.25">
      <c r="AK4001" s="21">
        <f>_xll.qlCalendarAdvance(calendar,AK4000,"1D")</f>
        <v>48254</v>
      </c>
      <c r="AL4001" s="21">
        <f>_xll.qlInterestRateIndexValueDate(hiborindex,AK4001)</f>
        <v>48256</v>
      </c>
      <c r="AM4001" s="23">
        <f>_xll.qlIndexFixing(hiborindex,AK4001)</f>
        <v>1.2494772513390462E-2</v>
      </c>
    </row>
    <row r="4002" spans="37:39" x14ac:dyDescent="0.25">
      <c r="AK4002" s="21">
        <f>_xll.qlCalendarAdvance(calendar,AK4001,"1D")</f>
        <v>48255</v>
      </c>
      <c r="AL4002" s="21">
        <f>_xll.qlInterestRateIndexValueDate(hiborindex,AK4002)</f>
        <v>48257</v>
      </c>
      <c r="AM4002" s="23">
        <f>_xll.qlIndexFixing(hiborindex,AK4002)</f>
        <v>1.2490059596979923E-2</v>
      </c>
    </row>
    <row r="4003" spans="37:39" x14ac:dyDescent="0.25">
      <c r="AK4003" s="21">
        <f>_xll.qlCalendarAdvance(calendar,AK4002,"1D")</f>
        <v>48256</v>
      </c>
      <c r="AL4003" s="21">
        <f>_xll.qlInterestRateIndexValueDate(hiborindex,AK4003)</f>
        <v>48260</v>
      </c>
      <c r="AM4003" s="23">
        <f>_xll.qlIndexFixing(hiborindex,AK4003)</f>
        <v>1.2475907499009051E-2</v>
      </c>
    </row>
    <row r="4004" spans="37:39" x14ac:dyDescent="0.25">
      <c r="AK4004" s="21">
        <f>_xll.qlCalendarAdvance(calendar,AK4003,"1D")</f>
        <v>48257</v>
      </c>
      <c r="AL4004" s="21">
        <f>_xll.qlInterestRateIndexValueDate(hiborindex,AK4004)</f>
        <v>48261</v>
      </c>
      <c r="AM4004" s="23">
        <f>_xll.qlIndexFixing(hiborindex,AK4004)</f>
        <v>1.2471185683491566E-2</v>
      </c>
    </row>
    <row r="4005" spans="37:39" x14ac:dyDescent="0.25">
      <c r="AK4005" s="21">
        <f>_xll.qlCalendarAdvance(calendar,AK4004,"1D")</f>
        <v>48260</v>
      </c>
      <c r="AL4005" s="21">
        <f>_xll.qlInterestRateIndexValueDate(hiborindex,AK4005)</f>
        <v>48262</v>
      </c>
      <c r="AM4005" s="23">
        <f>_xll.qlIndexFixing(hiborindex,AK4005)</f>
        <v>1.2466461643238082E-2</v>
      </c>
    </row>
    <row r="4006" spans="37:39" x14ac:dyDescent="0.25">
      <c r="AK4006" s="21">
        <f>_xll.qlCalendarAdvance(calendar,AK4005,"1D")</f>
        <v>48261</v>
      </c>
      <c r="AL4006" s="21">
        <f>_xll.qlInterestRateIndexValueDate(hiborindex,AK4006)</f>
        <v>48263</v>
      </c>
      <c r="AM4006" s="23">
        <f>_xll.qlIndexFixing(hiborindex,AK4006)</f>
        <v>1.2461735378263531E-2</v>
      </c>
    </row>
    <row r="4007" spans="37:39" x14ac:dyDescent="0.25">
      <c r="AK4007" s="21">
        <f>_xll.qlCalendarAdvance(calendar,AK4006,"1D")</f>
        <v>48262</v>
      </c>
      <c r="AL4007" s="21">
        <f>_xll.qlInterestRateIndexValueDate(hiborindex,AK4007)</f>
        <v>48264</v>
      </c>
      <c r="AM4007" s="23">
        <f>_xll.qlIndexFixing(hiborindex,AK4007)</f>
        <v>1.2457006888583725E-2</v>
      </c>
    </row>
    <row r="4008" spans="37:39" x14ac:dyDescent="0.25">
      <c r="AK4008" s="21">
        <f>_xll.qlCalendarAdvance(calendar,AK4007,"1D")</f>
        <v>48263</v>
      </c>
      <c r="AL4008" s="21">
        <f>_xll.qlInterestRateIndexValueDate(hiborindex,AK4008)</f>
        <v>48267</v>
      </c>
      <c r="AM4008" s="23">
        <f>_xll.qlIndexFixing(hiborindex,AK4008)</f>
        <v>1.2442808071473088E-2</v>
      </c>
    </row>
    <row r="4009" spans="37:39" x14ac:dyDescent="0.25">
      <c r="AK4009" s="21">
        <f>_xll.qlCalendarAdvance(calendar,AK4008,"1D")</f>
        <v>48264</v>
      </c>
      <c r="AL4009" s="21">
        <f>_xll.qlInterestRateIndexValueDate(hiborindex,AK4009)</f>
        <v>48268</v>
      </c>
      <c r="AM4009" s="23">
        <f>_xll.qlIndexFixing(hiborindex,AK4009)</f>
        <v>1.2438070683132131E-2</v>
      </c>
    </row>
    <row r="4010" spans="37:39" x14ac:dyDescent="0.25">
      <c r="AK4010" s="21">
        <f>_xll.qlCalendarAdvance(calendar,AK4009,"1D")</f>
        <v>48267</v>
      </c>
      <c r="AL4010" s="21">
        <f>_xll.qlInterestRateIndexValueDate(hiborindex,AK4010)</f>
        <v>48269</v>
      </c>
      <c r="AM4010" s="23">
        <f>_xll.qlIndexFixing(hiborindex,AK4010)</f>
        <v>1.2433331070166297E-2</v>
      </c>
    </row>
    <row r="4011" spans="37:39" x14ac:dyDescent="0.25">
      <c r="AK4011" s="21">
        <f>_xll.qlCalendarAdvance(calendar,AK4010,"1D")</f>
        <v>48268</v>
      </c>
      <c r="AL4011" s="21">
        <f>_xll.qlInterestRateIndexValueDate(hiborindex,AK4011)</f>
        <v>48270</v>
      </c>
      <c r="AM4011" s="23">
        <f>_xll.qlIndexFixing(hiborindex,AK4011)</f>
        <v>1.2428589232590517E-2</v>
      </c>
    </row>
    <row r="4012" spans="37:39" x14ac:dyDescent="0.25">
      <c r="AK4012" s="21">
        <f>_xll.qlCalendarAdvance(calendar,AK4011,"1D")</f>
        <v>48269</v>
      </c>
      <c r="AL4012" s="21">
        <f>_xll.qlInterestRateIndexValueDate(hiborindex,AK4012)</f>
        <v>48271</v>
      </c>
      <c r="AM4012" s="23">
        <f>_xll.qlIndexFixing(hiborindex,AK4012)</f>
        <v>1.2410666863443293E-2</v>
      </c>
    </row>
    <row r="4013" spans="37:39" x14ac:dyDescent="0.25">
      <c r="AK4013" s="21">
        <f>_xll.qlCalendarAdvance(calendar,AK4012,"1D")</f>
        <v>48270</v>
      </c>
      <c r="AL4013" s="21">
        <f>_xll.qlInterestRateIndexValueDate(hiborindex,AK4013)</f>
        <v>48274</v>
      </c>
      <c r="AM4013" s="23">
        <f>_xll.qlIndexFixing(hiborindex,AK4013)</f>
        <v>1.240312149532439E-2</v>
      </c>
    </row>
    <row r="4014" spans="37:39" x14ac:dyDescent="0.25">
      <c r="AK4014" s="21">
        <f>_xll.qlCalendarAdvance(calendar,AK4013,"1D")</f>
        <v>48271</v>
      </c>
      <c r="AL4014" s="21">
        <f>_xll.qlInterestRateIndexValueDate(hiborindex,AK4014)</f>
        <v>48275</v>
      </c>
      <c r="AM4014" s="23">
        <f>_xll.qlIndexFixing(hiborindex,AK4014)</f>
        <v>1.2398436338379377E-2</v>
      </c>
    </row>
    <row r="4015" spans="37:39" x14ac:dyDescent="0.25">
      <c r="AK4015" s="21">
        <f>_xll.qlCalendarAdvance(calendar,AK4014,"1D")</f>
        <v>48274</v>
      </c>
      <c r="AL4015" s="21">
        <f>_xll.qlInterestRateIndexValueDate(hiborindex,AK4015)</f>
        <v>48276</v>
      </c>
      <c r="AM4015" s="23">
        <f>_xll.qlIndexFixing(hiborindex,AK4015)</f>
        <v>1.2393748980878538E-2</v>
      </c>
    </row>
    <row r="4016" spans="37:39" x14ac:dyDescent="0.25">
      <c r="AK4016" s="21">
        <f>_xll.qlCalendarAdvance(calendar,AK4015,"1D")</f>
        <v>48275</v>
      </c>
      <c r="AL4016" s="21">
        <f>_xll.qlInterestRateIndexValueDate(hiborindex,AK4016)</f>
        <v>48277</v>
      </c>
      <c r="AM4016" s="23">
        <f>_xll.qlIndexFixing(hiborindex,AK4016)</f>
        <v>1.2382960537240098E-2</v>
      </c>
    </row>
    <row r="4017" spans="37:39" x14ac:dyDescent="0.25">
      <c r="AK4017" s="21">
        <f>_xll.qlCalendarAdvance(calendar,AK4016,"1D")</f>
        <v>48276</v>
      </c>
      <c r="AL4017" s="21">
        <f>_xll.qlInterestRateIndexValueDate(hiborindex,AK4017)</f>
        <v>48278</v>
      </c>
      <c r="AM4017" s="23">
        <f>_xll.qlIndexFixing(hiborindex,AK4017)</f>
        <v>1.2381329993739013E-2</v>
      </c>
    </row>
    <row r="4018" spans="37:39" x14ac:dyDescent="0.25">
      <c r="AK4018" s="21">
        <f>_xll.qlCalendarAdvance(calendar,AK4017,"1D")</f>
        <v>48277</v>
      </c>
      <c r="AL4018" s="21">
        <f>_xll.qlInterestRateIndexValueDate(hiborindex,AK4018)</f>
        <v>48281</v>
      </c>
      <c r="AM4018" s="23">
        <f>_xll.qlIndexFixing(hiborindex,AK4018)</f>
        <v>1.2370279185583494E-2</v>
      </c>
    </row>
    <row r="4019" spans="37:39" x14ac:dyDescent="0.25">
      <c r="AK4019" s="21">
        <f>_xll.qlCalendarAdvance(calendar,AK4018,"1D")</f>
        <v>48278</v>
      </c>
      <c r="AL4019" s="21">
        <f>_xll.qlInterestRateIndexValueDate(hiborindex,AK4019)</f>
        <v>48282</v>
      </c>
      <c r="AM4019" s="23">
        <f>_xll.qlIndexFixing(hiborindex,AK4019)</f>
        <v>1.2365578625077011E-2</v>
      </c>
    </row>
    <row r="4020" spans="37:39" x14ac:dyDescent="0.25">
      <c r="AK4020" s="21">
        <f>_xll.qlCalendarAdvance(calendar,AK4019,"1D")</f>
        <v>48281</v>
      </c>
      <c r="AL4020" s="21">
        <f>_xll.qlInterestRateIndexValueDate(hiborindex,AK4020)</f>
        <v>48283</v>
      </c>
      <c r="AM4020" s="23">
        <f>_xll.qlIndexFixing(hiborindex,AK4020)</f>
        <v>1.2360875864125483E-2</v>
      </c>
    </row>
    <row r="4021" spans="37:39" x14ac:dyDescent="0.25">
      <c r="AK4021" s="21">
        <f>_xll.qlCalendarAdvance(calendar,AK4020,"1D")</f>
        <v>48282</v>
      </c>
      <c r="AL4021" s="21">
        <f>_xll.qlInterestRateIndexValueDate(hiborindex,AK4021)</f>
        <v>48284</v>
      </c>
      <c r="AM4021" s="23">
        <f>_xll.qlIndexFixing(hiborindex,AK4021)</f>
        <v>1.2350537432987901E-2</v>
      </c>
    </row>
    <row r="4022" spans="37:39" x14ac:dyDescent="0.25">
      <c r="AK4022" s="21">
        <f>_xll.qlCalendarAdvance(calendar,AK4021,"1D")</f>
        <v>48283</v>
      </c>
      <c r="AL4022" s="21">
        <f>_xll.qlInterestRateIndexValueDate(hiborindex,AK4022)</f>
        <v>48285</v>
      </c>
      <c r="AM4022" s="23">
        <f>_xll.qlIndexFixing(hiborindex,AK4022)</f>
        <v>1.234866011692135E-2</v>
      </c>
    </row>
    <row r="4023" spans="37:39" x14ac:dyDescent="0.25">
      <c r="AK4023" s="21">
        <f>_xll.qlCalendarAdvance(calendar,AK4022,"1D")</f>
        <v>48284</v>
      </c>
      <c r="AL4023" s="21">
        <f>_xll.qlInterestRateIndexValueDate(hiborindex,AK4023)</f>
        <v>48288</v>
      </c>
      <c r="AM4023" s="23">
        <f>_xll.qlIndexFixing(hiborindex,AK4023)</f>
        <v>1.2337329053236538E-2</v>
      </c>
    </row>
    <row r="4024" spans="37:39" x14ac:dyDescent="0.25">
      <c r="AK4024" s="21">
        <f>_xll.qlCalendarAdvance(calendar,AK4023,"1D")</f>
        <v>48285</v>
      </c>
      <c r="AL4024" s="21">
        <f>_xll.qlInterestRateIndexValueDate(hiborindex,AK4024)</f>
        <v>48289</v>
      </c>
      <c r="AM4024" s="23">
        <f>_xll.qlIndexFixing(hiborindex,AK4024)</f>
        <v>1.2332613089943616E-2</v>
      </c>
    </row>
    <row r="4025" spans="37:39" x14ac:dyDescent="0.25">
      <c r="AK4025" s="21">
        <f>_xll.qlCalendarAdvance(calendar,AK4024,"1D")</f>
        <v>48288</v>
      </c>
      <c r="AL4025" s="21">
        <f>_xll.qlInterestRateIndexValueDate(hiborindex,AK4025)</f>
        <v>48290</v>
      </c>
      <c r="AM4025" s="23">
        <f>_xll.qlIndexFixing(hiborindex,AK4025)</f>
        <v>1.2327894926316432E-2</v>
      </c>
    </row>
    <row r="4026" spans="37:39" x14ac:dyDescent="0.25">
      <c r="AK4026" s="21">
        <f>_xll.qlCalendarAdvance(calendar,AK4025,"1D")</f>
        <v>48289</v>
      </c>
      <c r="AL4026" s="21">
        <f>_xll.qlInterestRateIndexValueDate(hiborindex,AK4026)</f>
        <v>48291</v>
      </c>
      <c r="AM4026" s="23">
        <f>_xll.qlIndexFixing(hiborindex,AK4026)</f>
        <v>1.2318007657040142E-2</v>
      </c>
    </row>
    <row r="4027" spans="37:39" x14ac:dyDescent="0.25">
      <c r="AK4027" s="21">
        <f>_xll.qlCalendarAdvance(calendar,AK4026,"1D")</f>
        <v>48290</v>
      </c>
      <c r="AL4027" s="21">
        <f>_xll.qlInterestRateIndexValueDate(hiborindex,AK4027)</f>
        <v>48292</v>
      </c>
      <c r="AM4027" s="23">
        <f>_xll.qlIndexFixing(hiborindex,AK4027)</f>
        <v>1.2315882997989254E-2</v>
      </c>
    </row>
    <row r="4028" spans="37:39" x14ac:dyDescent="0.25">
      <c r="AK4028" s="21">
        <f>_xll.qlCalendarAdvance(calendar,AK4027,"1D")</f>
        <v>48291</v>
      </c>
      <c r="AL4028" s="21">
        <f>_xll.qlInterestRateIndexValueDate(hiborindex,AK4028)</f>
        <v>48295</v>
      </c>
      <c r="AM4028" s="23">
        <f>_xll.qlIndexFixing(hiborindex,AK4028)</f>
        <v>1.2304271103714827E-2</v>
      </c>
    </row>
    <row r="4029" spans="37:39" x14ac:dyDescent="0.25">
      <c r="AK4029" s="21">
        <f>_xll.qlCalendarAdvance(calendar,AK4028,"1D")</f>
        <v>48292</v>
      </c>
      <c r="AL4029" s="21">
        <f>_xll.qlInterestRateIndexValueDate(hiborindex,AK4029)</f>
        <v>48296</v>
      </c>
      <c r="AM4029" s="23">
        <f>_xll.qlIndexFixing(hiborindex,AK4029)</f>
        <v>1.2299539738412671E-2</v>
      </c>
    </row>
    <row r="4030" spans="37:39" x14ac:dyDescent="0.25">
      <c r="AK4030" s="21">
        <f>_xll.qlCalendarAdvance(calendar,AK4029,"1D")</f>
        <v>48295</v>
      </c>
      <c r="AL4030" s="21">
        <f>_xll.qlInterestRateIndexValueDate(hiborindex,AK4030)</f>
        <v>48297</v>
      </c>
      <c r="AM4030" s="23">
        <f>_xll.qlIndexFixing(hiborindex,AK4030)</f>
        <v>1.229480617288747E-2</v>
      </c>
    </row>
    <row r="4031" spans="37:39" x14ac:dyDescent="0.25">
      <c r="AK4031" s="21">
        <f>_xll.qlCalendarAdvance(calendar,AK4030,"1D")</f>
        <v>48296</v>
      </c>
      <c r="AL4031" s="21">
        <f>_xll.qlInterestRateIndexValueDate(hiborindex,AK4031)</f>
        <v>48298</v>
      </c>
      <c r="AM4031" s="23">
        <f>_xll.qlIndexFixing(hiborindex,AK4031)</f>
        <v>1.2285371214760272E-2</v>
      </c>
    </row>
    <row r="4032" spans="37:39" x14ac:dyDescent="0.25">
      <c r="AK4032" s="21">
        <f>_xll.qlCalendarAdvance(calendar,AK4031,"1D")</f>
        <v>48297</v>
      </c>
      <c r="AL4032" s="21">
        <f>_xll.qlInterestRateIndexValueDate(hiborindex,AK4032)</f>
        <v>48303</v>
      </c>
      <c r="AM4032" s="23">
        <f>_xll.qlIndexFixing(hiborindex,AK4032)</f>
        <v>1.2266358575936774E-2</v>
      </c>
    </row>
    <row r="4033" spans="37:39" x14ac:dyDescent="0.25">
      <c r="AK4033" s="21">
        <f>_xll.qlCalendarAdvance(calendar,AK4032,"1D")</f>
        <v>48298</v>
      </c>
      <c r="AL4033" s="21">
        <f>_xll.qlInterestRateIndexValueDate(hiborindex,AK4033)</f>
        <v>48304</v>
      </c>
      <c r="AM4033" s="23">
        <f>_xll.qlIndexFixing(hiborindex,AK4033)</f>
        <v>1.2263809109789194E-2</v>
      </c>
    </row>
    <row r="4034" spans="37:39" x14ac:dyDescent="0.25">
      <c r="AK4034" s="21">
        <f>_xll.qlCalendarAdvance(calendar,AK4033,"1D")</f>
        <v>48303</v>
      </c>
      <c r="AL4034" s="21">
        <f>_xll.qlInterestRateIndexValueDate(hiborindex,AK4034)</f>
        <v>48305</v>
      </c>
      <c r="AM4034" s="23">
        <f>_xll.qlIndexFixing(hiborindex,AK4034)</f>
        <v>1.2259023868978819E-2</v>
      </c>
    </row>
    <row r="4035" spans="37:39" x14ac:dyDescent="0.25">
      <c r="AK4035" s="21">
        <f>_xll.qlCalendarAdvance(calendar,AK4034,"1D")</f>
        <v>48304</v>
      </c>
      <c r="AL4035" s="21">
        <f>_xll.qlInterestRateIndexValueDate(hiborindex,AK4035)</f>
        <v>48306</v>
      </c>
      <c r="AM4035" s="23">
        <f>_xll.qlIndexFixing(hiborindex,AK4035)</f>
        <v>1.2250007055411599E-2</v>
      </c>
    </row>
    <row r="4036" spans="37:39" x14ac:dyDescent="0.25">
      <c r="AK4036" s="21">
        <f>_xll.qlCalendarAdvance(calendar,AK4035,"1D")</f>
        <v>48305</v>
      </c>
      <c r="AL4036" s="21">
        <f>_xll.qlInterestRateIndexValueDate(hiborindex,AK4036)</f>
        <v>48309</v>
      </c>
      <c r="AM4036" s="23">
        <f>_xll.qlIndexFixing(hiborindex,AK4036)</f>
        <v>1.2239860786000012E-2</v>
      </c>
    </row>
    <row r="4037" spans="37:39" x14ac:dyDescent="0.25">
      <c r="AK4037" s="21">
        <f>_xll.qlCalendarAdvance(calendar,AK4036,"1D")</f>
        <v>48306</v>
      </c>
      <c r="AL4037" s="21">
        <f>_xll.qlInterestRateIndexValueDate(hiborindex,AK4037)</f>
        <v>48310</v>
      </c>
      <c r="AM4037" s="23">
        <f>_xll.qlIndexFixing(hiborindex,AK4037)</f>
        <v>1.2235064485401358E-2</v>
      </c>
    </row>
    <row r="4038" spans="37:39" x14ac:dyDescent="0.25">
      <c r="AK4038" s="21">
        <f>_xll.qlCalendarAdvance(calendar,AK4037,"1D")</f>
        <v>48309</v>
      </c>
      <c r="AL4038" s="21">
        <f>_xll.qlInterestRateIndexValueDate(hiborindex,AK4038)</f>
        <v>48311</v>
      </c>
      <c r="AM4038" s="23">
        <f>_xll.qlIndexFixing(hiborindex,AK4038)</f>
        <v>1.2230265972894235E-2</v>
      </c>
    </row>
    <row r="4039" spans="37:39" x14ac:dyDescent="0.25">
      <c r="AK4039" s="21">
        <f>_xll.qlCalendarAdvance(calendar,AK4038,"1D")</f>
        <v>48310</v>
      </c>
      <c r="AL4039" s="21">
        <f>_xll.qlInterestRateIndexValueDate(hiborindex,AK4039)</f>
        <v>48312</v>
      </c>
      <c r="AM4039" s="23">
        <f>_xll.qlIndexFixing(hiborindex,AK4039)</f>
        <v>1.2225465248493928E-2</v>
      </c>
    </row>
    <row r="4040" spans="37:39" x14ac:dyDescent="0.25">
      <c r="AK4040" s="21">
        <f>_xll.qlCalendarAdvance(calendar,AK4039,"1D")</f>
        <v>48311</v>
      </c>
      <c r="AL4040" s="21">
        <f>_xll.qlInterestRateIndexValueDate(hiborindex,AK4040)</f>
        <v>48313</v>
      </c>
      <c r="AM4040" s="23">
        <f>_xll.qlIndexFixing(hiborindex,AK4040)</f>
        <v>1.2216908242625679E-2</v>
      </c>
    </row>
    <row r="4041" spans="37:39" x14ac:dyDescent="0.25">
      <c r="AK4041" s="21">
        <f>_xll.qlCalendarAdvance(calendar,AK4040,"1D")</f>
        <v>48312</v>
      </c>
      <c r="AL4041" s="21">
        <f>_xll.qlInterestRateIndexValueDate(hiborindex,AK4041)</f>
        <v>48316</v>
      </c>
      <c r="AM4041" s="23">
        <f>_xll.qlIndexFixing(hiborindex,AK4041)</f>
        <v>1.2206240232285866E-2</v>
      </c>
    </row>
    <row r="4042" spans="37:39" x14ac:dyDescent="0.25">
      <c r="AK4042" s="21">
        <f>_xll.qlCalendarAdvance(calendar,AK4041,"1D")</f>
        <v>48313</v>
      </c>
      <c r="AL4042" s="21">
        <f>_xll.qlInterestRateIndexValueDate(hiborindex,AK4042)</f>
        <v>48317</v>
      </c>
      <c r="AM4042" s="23">
        <f>_xll.qlIndexFixing(hiborindex,AK4042)</f>
        <v>1.2201428448662951E-2</v>
      </c>
    </row>
    <row r="4043" spans="37:39" x14ac:dyDescent="0.25">
      <c r="AK4043" s="21">
        <f>_xll.qlCalendarAdvance(calendar,AK4042,"1D")</f>
        <v>48316</v>
      </c>
      <c r="AL4043" s="21">
        <f>_xll.qlInterestRateIndexValueDate(hiborindex,AK4043)</f>
        <v>48318</v>
      </c>
      <c r="AM4043" s="23">
        <f>_xll.qlIndexFixing(hiborindex,AK4043)</f>
        <v>1.2196614453244261E-2</v>
      </c>
    </row>
    <row r="4044" spans="37:39" x14ac:dyDescent="0.25">
      <c r="AK4044" s="21">
        <f>_xll.qlCalendarAdvance(calendar,AK4043,"1D")</f>
        <v>48317</v>
      </c>
      <c r="AL4044" s="21">
        <f>_xll.qlInterestRateIndexValueDate(hiborindex,AK4044)</f>
        <v>48319</v>
      </c>
      <c r="AM4044" s="23">
        <f>_xll.qlIndexFixing(hiborindex,AK4044)</f>
        <v>1.2191798246045524E-2</v>
      </c>
    </row>
    <row r="4045" spans="37:39" x14ac:dyDescent="0.25">
      <c r="AK4045" s="21">
        <f>_xll.qlCalendarAdvance(calendar,AK4044,"1D")</f>
        <v>48318</v>
      </c>
      <c r="AL4045" s="21">
        <f>_xll.qlInterestRateIndexValueDate(hiborindex,AK4045)</f>
        <v>48320</v>
      </c>
      <c r="AM4045" s="23">
        <f>_xll.qlIndexFixing(hiborindex,AK4045)</f>
        <v>1.2183702209443736E-2</v>
      </c>
    </row>
    <row r="4046" spans="37:39" x14ac:dyDescent="0.25">
      <c r="AK4046" s="21">
        <f>_xll.qlCalendarAdvance(calendar,AK4045,"1D")</f>
        <v>48319</v>
      </c>
      <c r="AL4046" s="21">
        <f>_xll.qlInterestRateIndexValueDate(hiborindex,AK4046)</f>
        <v>48323</v>
      </c>
      <c r="AM4046" s="23">
        <f>_xll.qlIndexFixing(hiborindex,AK4046)</f>
        <v>1.217251129977682E-2</v>
      </c>
    </row>
    <row r="4047" spans="37:39" x14ac:dyDescent="0.25">
      <c r="AK4047" s="21">
        <f>_xll.qlCalendarAdvance(calendar,AK4046,"1D")</f>
        <v>48320</v>
      </c>
      <c r="AL4047" s="21">
        <f>_xll.qlInterestRateIndexValueDate(hiborindex,AK4047)</f>
        <v>48324</v>
      </c>
      <c r="AM4047" s="23">
        <f>_xll.qlIndexFixing(hiborindex,AK4047)</f>
        <v>1.2167684033922889E-2</v>
      </c>
    </row>
    <row r="4048" spans="37:39" x14ac:dyDescent="0.25">
      <c r="AK4048" s="21">
        <f>_xll.qlCalendarAdvance(calendar,AK4047,"1D")</f>
        <v>48323</v>
      </c>
      <c r="AL4048" s="21">
        <f>_xll.qlInterestRateIndexValueDate(hiborindex,AK4048)</f>
        <v>48325</v>
      </c>
      <c r="AM4048" s="23">
        <f>_xll.qlIndexFixing(hiborindex,AK4048)</f>
        <v>1.2162854556385879E-2</v>
      </c>
    </row>
    <row r="4049" spans="37:39" x14ac:dyDescent="0.25">
      <c r="AK4049" s="21">
        <f>_xll.qlCalendarAdvance(calendar,AK4048,"1D")</f>
        <v>48324</v>
      </c>
      <c r="AL4049" s="21">
        <f>_xll.qlInterestRateIndexValueDate(hiborindex,AK4049)</f>
        <v>48326</v>
      </c>
      <c r="AM4049" s="23">
        <f>_xll.qlIndexFixing(hiborindex,AK4049)</f>
        <v>1.215802286718283E-2</v>
      </c>
    </row>
    <row r="4050" spans="37:39" x14ac:dyDescent="0.25">
      <c r="AK4050" s="21">
        <f>_xll.qlCalendarAdvance(calendar,AK4049,"1D")</f>
        <v>48325</v>
      </c>
      <c r="AL4050" s="21">
        <f>_xll.qlInterestRateIndexValueDate(hiborindex,AK4050)</f>
        <v>48327</v>
      </c>
      <c r="AM4050" s="23">
        <f>_xll.qlIndexFixing(hiborindex,AK4050)</f>
        <v>1.2150388961339447E-2</v>
      </c>
    </row>
    <row r="4051" spans="37:39" x14ac:dyDescent="0.25">
      <c r="AK4051" s="21">
        <f>_xll.qlCalendarAdvance(calendar,AK4050,"1D")</f>
        <v>48326</v>
      </c>
      <c r="AL4051" s="21">
        <f>_xll.qlInterestRateIndexValueDate(hiborindex,AK4051)</f>
        <v>48330</v>
      </c>
      <c r="AM4051" s="23">
        <f>_xll.qlIndexFixing(hiborindex,AK4051)</f>
        <v>1.2138673994033452E-2</v>
      </c>
    </row>
    <row r="4052" spans="37:39" x14ac:dyDescent="0.25">
      <c r="AK4052" s="21">
        <f>_xll.qlCalendarAdvance(calendar,AK4051,"1D")</f>
        <v>48327</v>
      </c>
      <c r="AL4052" s="21">
        <f>_xll.qlInterestRateIndexValueDate(hiborindex,AK4052)</f>
        <v>48331</v>
      </c>
      <c r="AM4052" s="23">
        <f>_xll.qlIndexFixing(hiborindex,AK4052)</f>
        <v>1.2133831246743061E-2</v>
      </c>
    </row>
    <row r="4053" spans="37:39" x14ac:dyDescent="0.25">
      <c r="AK4053" s="21">
        <f>_xll.qlCalendarAdvance(calendar,AK4052,"1D")</f>
        <v>48330</v>
      </c>
      <c r="AL4053" s="21">
        <f>_xll.qlInterestRateIndexValueDate(hiborindex,AK4053)</f>
        <v>48332</v>
      </c>
      <c r="AM4053" s="23">
        <f>_xll.qlIndexFixing(hiborindex,AK4053)</f>
        <v>1.2128986287884036E-2</v>
      </c>
    </row>
    <row r="4054" spans="37:39" x14ac:dyDescent="0.25">
      <c r="AK4054" s="21">
        <f>_xll.qlCalendarAdvance(calendar,AK4053,"1D")</f>
        <v>48331</v>
      </c>
      <c r="AL4054" s="21">
        <f>_xll.qlInterestRateIndexValueDate(hiborindex,AK4054)</f>
        <v>48333</v>
      </c>
      <c r="AM4054" s="23">
        <f>_xll.qlIndexFixing(hiborindex,AK4054)</f>
        <v>1.2124139117472975E-2</v>
      </c>
    </row>
    <row r="4055" spans="37:39" x14ac:dyDescent="0.25">
      <c r="AK4055" s="21">
        <f>_xll.qlCalendarAdvance(calendar,AK4054,"1D")</f>
        <v>48332</v>
      </c>
      <c r="AL4055" s="21">
        <f>_xll.qlInterestRateIndexValueDate(hiborindex,AK4055)</f>
        <v>48334</v>
      </c>
      <c r="AM4055" s="23">
        <f>_xll.qlIndexFixing(hiborindex,AK4055)</f>
        <v>1.2120485175407182E-2</v>
      </c>
    </row>
    <row r="4056" spans="37:39" x14ac:dyDescent="0.25">
      <c r="AK4056" s="21">
        <f>_xll.qlCalendarAdvance(calendar,AK4055,"1D")</f>
        <v>48333</v>
      </c>
      <c r="AL4056" s="21">
        <f>_xll.qlInterestRateIndexValueDate(hiborindex,AK4056)</f>
        <v>48337</v>
      </c>
      <c r="AM4056" s="23">
        <f>_xll.qlIndexFixing(hiborindex,AK4056)</f>
        <v>1.2103659552322685E-2</v>
      </c>
    </row>
    <row r="4057" spans="37:39" x14ac:dyDescent="0.25">
      <c r="AK4057" s="21">
        <f>_xll.qlCalendarAdvance(calendar,AK4056,"1D")</f>
        <v>48334</v>
      </c>
      <c r="AL4057" s="21">
        <f>_xll.qlInterestRateIndexValueDate(hiborindex,AK4057)</f>
        <v>48338</v>
      </c>
      <c r="AM4057" s="23">
        <f>_xll.qlIndexFixing(hiborindex,AK4057)</f>
        <v>1.2098835791433261E-2</v>
      </c>
    </row>
    <row r="4058" spans="37:39" x14ac:dyDescent="0.25">
      <c r="AK4058" s="21">
        <f>_xll.qlCalendarAdvance(calendar,AK4057,"1D")</f>
        <v>48337</v>
      </c>
      <c r="AL4058" s="21">
        <f>_xll.qlInterestRateIndexValueDate(hiborindex,AK4058)</f>
        <v>48339</v>
      </c>
      <c r="AM4058" s="23">
        <f>_xll.qlIndexFixing(hiborindex,AK4058)</f>
        <v>1.2094009830995903E-2</v>
      </c>
    </row>
    <row r="4059" spans="37:39" x14ac:dyDescent="0.25">
      <c r="AK4059" s="21">
        <f>_xll.qlCalendarAdvance(calendar,AK4058,"1D")</f>
        <v>48338</v>
      </c>
      <c r="AL4059" s="21">
        <f>_xll.qlInterestRateIndexValueDate(hiborindex,AK4059)</f>
        <v>48340</v>
      </c>
      <c r="AM4059" s="23">
        <f>_xll.qlIndexFixing(hiborindex,AK4059)</f>
        <v>1.208731287060324E-2</v>
      </c>
    </row>
    <row r="4060" spans="37:39" x14ac:dyDescent="0.25">
      <c r="AK4060" s="21">
        <f>_xll.qlCalendarAdvance(calendar,AK4059,"1D")</f>
        <v>48339</v>
      </c>
      <c r="AL4060" s="21">
        <f>_xll.qlInterestRateIndexValueDate(hiborindex,AK4060)</f>
        <v>48341</v>
      </c>
      <c r="AM4060" s="23">
        <f>_xll.qlIndexFixing(hiborindex,AK4060)</f>
        <v>1.2083440842347115E-2</v>
      </c>
    </row>
    <row r="4061" spans="37:39" x14ac:dyDescent="0.25">
      <c r="AK4061" s="21">
        <f>_xll.qlCalendarAdvance(calendar,AK4060,"1D")</f>
        <v>48340</v>
      </c>
      <c r="AL4061" s="21">
        <f>_xll.qlInterestRateIndexValueDate(hiborindex,AK4061)</f>
        <v>48344</v>
      </c>
      <c r="AM4061" s="23">
        <f>_xll.qlIndexFixing(hiborindex,AK4061)</f>
        <v>1.2069847036153549E-2</v>
      </c>
    </row>
    <row r="4062" spans="37:39" x14ac:dyDescent="0.25">
      <c r="AK4062" s="21">
        <f>_xll.qlCalendarAdvance(calendar,AK4061,"1D")</f>
        <v>48341</v>
      </c>
      <c r="AL4062" s="21">
        <f>_xll.qlInterestRateIndexValueDate(hiborindex,AK4062)</f>
        <v>48345</v>
      </c>
      <c r="AM4062" s="23">
        <f>_xll.qlIndexFixing(hiborindex,AK4062)</f>
        <v>1.2065007878767874E-2</v>
      </c>
    </row>
    <row r="4063" spans="37:39" x14ac:dyDescent="0.25">
      <c r="AK4063" s="21">
        <f>_xll.qlCalendarAdvance(calendar,AK4062,"1D")</f>
        <v>48344</v>
      </c>
      <c r="AL4063" s="21">
        <f>_xll.qlInterestRateIndexValueDate(hiborindex,AK4063)</f>
        <v>48346</v>
      </c>
      <c r="AM4063" s="23">
        <f>_xll.qlIndexFixing(hiborindex,AK4063)</f>
        <v>1.2060166521947651E-2</v>
      </c>
    </row>
    <row r="4064" spans="37:39" x14ac:dyDescent="0.25">
      <c r="AK4064" s="21">
        <f>_xll.qlCalendarAdvance(calendar,AK4063,"1D")</f>
        <v>48345</v>
      </c>
      <c r="AL4064" s="21">
        <f>_xll.qlInterestRateIndexValueDate(hiborindex,AK4064)</f>
        <v>48347</v>
      </c>
      <c r="AM4064" s="23">
        <f>_xll.qlIndexFixing(hiborindex,AK4064)</f>
        <v>1.2053929915616664E-2</v>
      </c>
    </row>
    <row r="4065" spans="37:39" x14ac:dyDescent="0.25">
      <c r="AK4065" s="21">
        <f>_xll.qlCalendarAdvance(calendar,AK4064,"1D")</f>
        <v>48346</v>
      </c>
      <c r="AL4065" s="21">
        <f>_xll.qlInterestRateIndexValueDate(hiborindex,AK4065)</f>
        <v>48348</v>
      </c>
      <c r="AM4065" s="23">
        <f>_xll.qlIndexFixing(hiborindex,AK4065)</f>
        <v>1.2049805982493703E-2</v>
      </c>
    </row>
    <row r="4066" spans="37:39" x14ac:dyDescent="0.25">
      <c r="AK4066" s="21">
        <f>_xll.qlCalendarAdvance(calendar,AK4065,"1D")</f>
        <v>48347</v>
      </c>
      <c r="AL4066" s="21">
        <f>_xll.qlInterestRateIndexValueDate(hiborindex,AK4066)</f>
        <v>48351</v>
      </c>
      <c r="AM4066" s="23">
        <f>_xll.qlIndexFixing(hiborindex,AK4066)</f>
        <v>1.2035926746901345E-2</v>
      </c>
    </row>
    <row r="4067" spans="37:39" x14ac:dyDescent="0.25">
      <c r="AK4067" s="21">
        <f>_xll.qlCalendarAdvance(calendar,AK4066,"1D")</f>
        <v>48348</v>
      </c>
      <c r="AL4067" s="21">
        <f>_xll.qlInterestRateIndexValueDate(hiborindex,AK4067)</f>
        <v>48352</v>
      </c>
      <c r="AM4067" s="23">
        <f>_xll.qlIndexFixing(hiborindex,AK4067)</f>
        <v>1.2031072193816607E-2</v>
      </c>
    </row>
    <row r="4068" spans="37:39" x14ac:dyDescent="0.25">
      <c r="AK4068" s="21">
        <f>_xll.qlCalendarAdvance(calendar,AK4067,"1D")</f>
        <v>48351</v>
      </c>
      <c r="AL4068" s="21">
        <f>_xll.qlInterestRateIndexValueDate(hiborindex,AK4068)</f>
        <v>48353</v>
      </c>
      <c r="AM4068" s="23">
        <f>_xll.qlIndexFixing(hiborindex,AK4068)</f>
        <v>1.2026215441411577E-2</v>
      </c>
    </row>
    <row r="4069" spans="37:39" x14ac:dyDescent="0.25">
      <c r="AK4069" s="21">
        <f>_xll.qlCalendarAdvance(calendar,AK4068,"1D")</f>
        <v>48352</v>
      </c>
      <c r="AL4069" s="21">
        <f>_xll.qlInterestRateIndexValueDate(hiborindex,AK4069)</f>
        <v>48354</v>
      </c>
      <c r="AM4069" s="23">
        <f>_xll.qlIndexFixing(hiborindex,AK4069)</f>
        <v>1.2020440337828319E-2</v>
      </c>
    </row>
    <row r="4070" spans="37:39" x14ac:dyDescent="0.25">
      <c r="AK4070" s="21">
        <f>_xll.qlCalendarAdvance(calendar,AK4069,"1D")</f>
        <v>48353</v>
      </c>
      <c r="AL4070" s="21">
        <f>_xll.qlInterestRateIndexValueDate(hiborindex,AK4070)</f>
        <v>48355</v>
      </c>
      <c r="AM4070" s="23">
        <f>_xll.qlIndexFixing(hiborindex,AK4070)</f>
        <v>1.2016063929789369E-2</v>
      </c>
    </row>
    <row r="4071" spans="37:39" x14ac:dyDescent="0.25">
      <c r="AK4071" s="21">
        <f>_xll.qlCalendarAdvance(calendar,AK4070,"1D")</f>
        <v>48354</v>
      </c>
      <c r="AL4071" s="21">
        <f>_xll.qlInterestRateIndexValueDate(hiborindex,AK4071)</f>
        <v>48358</v>
      </c>
      <c r="AM4071" s="23">
        <f>_xll.qlIndexFixing(hiborindex,AK4071)</f>
        <v>1.2001898690155952E-2</v>
      </c>
    </row>
    <row r="4072" spans="37:39" x14ac:dyDescent="0.25">
      <c r="AK4072" s="21">
        <f>_xll.qlCalendarAdvance(calendar,AK4071,"1D")</f>
        <v>48355</v>
      </c>
      <c r="AL4072" s="21">
        <f>_xll.qlInterestRateIndexValueDate(hiborindex,AK4072)</f>
        <v>48359</v>
      </c>
      <c r="AM4072" s="23">
        <f>_xll.qlIndexFixing(hiborindex,AK4072)</f>
        <v>1.1997028742173248E-2</v>
      </c>
    </row>
    <row r="4073" spans="37:39" x14ac:dyDescent="0.25">
      <c r="AK4073" s="21">
        <f>_xll.qlCalendarAdvance(calendar,AK4072,"1D")</f>
        <v>48358</v>
      </c>
      <c r="AL4073" s="21">
        <f>_xll.qlInterestRateIndexValueDate(hiborindex,AK4073)</f>
        <v>48360</v>
      </c>
      <c r="AM4073" s="23">
        <f>_xll.qlIndexFixing(hiborindex,AK4073)</f>
        <v>1.199215659498451E-2</v>
      </c>
    </row>
    <row r="4074" spans="37:39" x14ac:dyDescent="0.25">
      <c r="AK4074" s="21">
        <f>_xll.qlCalendarAdvance(calendar,AK4073,"1D")</f>
        <v>48359</v>
      </c>
      <c r="AL4074" s="21">
        <f>_xll.qlInterestRateIndexValueDate(hiborindex,AK4074)</f>
        <v>48361</v>
      </c>
      <c r="AM4074" s="23">
        <f>_xll.qlIndexFixing(hiborindex,AK4074)</f>
        <v>1.198684414275723E-2</v>
      </c>
    </row>
    <row r="4075" spans="37:39" x14ac:dyDescent="0.25">
      <c r="AK4075" s="21">
        <f>_xll.qlCalendarAdvance(calendar,AK4074,"1D")</f>
        <v>48360</v>
      </c>
      <c r="AL4075" s="21">
        <f>_xll.qlInterestRateIndexValueDate(hiborindex,AK4075)</f>
        <v>48362</v>
      </c>
      <c r="AM4075" s="23">
        <f>_xll.qlIndexFixing(hiborindex,AK4075)</f>
        <v>1.1982214689794643E-2</v>
      </c>
    </row>
    <row r="4076" spans="37:39" x14ac:dyDescent="0.25">
      <c r="AK4076" s="21">
        <f>_xll.qlCalendarAdvance(calendar,AK4075,"1D")</f>
        <v>48361</v>
      </c>
      <c r="AL4076" s="21">
        <f>_xll.qlInterestRateIndexValueDate(hiborindex,AK4076)</f>
        <v>48365</v>
      </c>
      <c r="AM4076" s="23">
        <f>_xll.qlIndexFixing(hiborindex,AK4076)</f>
        <v>1.1967862062624178E-2</v>
      </c>
    </row>
    <row r="4077" spans="37:39" x14ac:dyDescent="0.25">
      <c r="AK4077" s="21">
        <f>_xll.qlCalendarAdvance(calendar,AK4076,"1D")</f>
        <v>48362</v>
      </c>
      <c r="AL4077" s="21">
        <f>_xll.qlInterestRateIndexValueDate(hiborindex,AK4077)</f>
        <v>48366</v>
      </c>
      <c r="AM4077" s="23">
        <f>_xll.qlIndexFixing(hiborindex,AK4077)</f>
        <v>1.1962941920179019E-2</v>
      </c>
    </row>
    <row r="4078" spans="37:39" x14ac:dyDescent="0.25">
      <c r="AK4078" s="21">
        <f>_xll.qlCalendarAdvance(calendar,AK4077,"1D")</f>
        <v>48365</v>
      </c>
      <c r="AL4078" s="21">
        <f>_xll.qlInterestRateIndexValueDate(hiborindex,AK4078)</f>
        <v>48367</v>
      </c>
      <c r="AM4078" s="23">
        <f>_xll.qlIndexFixing(hiborindex,AK4078)</f>
        <v>1.1958019566740506E-2</v>
      </c>
    </row>
    <row r="4079" spans="37:39" x14ac:dyDescent="0.25">
      <c r="AK4079" s="21">
        <f>_xll.qlCalendarAdvance(calendar,AK4078,"1D")</f>
        <v>48366</v>
      </c>
      <c r="AL4079" s="21">
        <f>_xll.qlInterestRateIndexValueDate(hiborindex,AK4079)</f>
        <v>48368</v>
      </c>
      <c r="AM4079" s="23">
        <f>_xll.qlIndexFixing(hiborindex,AK4079)</f>
        <v>1.1953095002324362E-2</v>
      </c>
    </row>
    <row r="4080" spans="37:39" x14ac:dyDescent="0.25">
      <c r="AK4080" s="21">
        <f>_xll.qlCalendarAdvance(calendar,AK4079,"1D")</f>
        <v>48367</v>
      </c>
      <c r="AL4080" s="21">
        <f>_xll.qlInterestRateIndexValueDate(hiborindex,AK4080)</f>
        <v>48369</v>
      </c>
      <c r="AM4080" s="23">
        <f>_xll.qlIndexFixing(hiborindex,AK4080)</f>
        <v>1.194825826808949E-2</v>
      </c>
    </row>
    <row r="4081" spans="37:39" x14ac:dyDescent="0.25">
      <c r="AK4081" s="21">
        <f>_xll.qlCalendarAdvance(calendar,AK4080,"1D")</f>
        <v>48368</v>
      </c>
      <c r="AL4081" s="21">
        <f>_xll.qlInterestRateIndexValueDate(hiborindex,AK4081)</f>
        <v>48372</v>
      </c>
      <c r="AM4081" s="23">
        <f>_xll.qlIndexFixing(hiborindex,AK4081)</f>
        <v>1.1933374635220697E-2</v>
      </c>
    </row>
    <row r="4082" spans="37:39" x14ac:dyDescent="0.25">
      <c r="AK4082" s="21">
        <f>_xll.qlCalendarAdvance(calendar,AK4081,"1D")</f>
        <v>48369</v>
      </c>
      <c r="AL4082" s="21">
        <f>_xll.qlInterestRateIndexValueDate(hiborindex,AK4082)</f>
        <v>48373</v>
      </c>
      <c r="AM4082" s="23">
        <f>_xll.qlIndexFixing(hiborindex,AK4082)</f>
        <v>1.1928439016167566E-2</v>
      </c>
    </row>
    <row r="4083" spans="37:39" x14ac:dyDescent="0.25">
      <c r="AK4083" s="21">
        <f>_xll.qlCalendarAdvance(calendar,AK4082,"1D")</f>
        <v>48372</v>
      </c>
      <c r="AL4083" s="21">
        <f>_xll.qlInterestRateIndexValueDate(hiborindex,AK4083)</f>
        <v>48374</v>
      </c>
      <c r="AM4083" s="23">
        <f>_xll.qlIndexFixing(hiborindex,AK4083)</f>
        <v>1.1923501186236835E-2</v>
      </c>
    </row>
    <row r="4084" spans="37:39" x14ac:dyDescent="0.25">
      <c r="AK4084" s="21">
        <f>_xll.qlCalendarAdvance(calendar,AK4083,"1D")</f>
        <v>48373</v>
      </c>
      <c r="AL4084" s="21">
        <f>_xll.qlInterestRateIndexValueDate(hiborindex,AK4084)</f>
        <v>48375</v>
      </c>
      <c r="AM4084" s="23">
        <f>_xll.qlIndexFixing(hiborindex,AK4084)</f>
        <v>1.1918561145445098E-2</v>
      </c>
    </row>
    <row r="4085" spans="37:39" x14ac:dyDescent="0.25">
      <c r="AK4085" s="21">
        <f>_xll.qlCalendarAdvance(calendar,AK4084,"1D")</f>
        <v>48374</v>
      </c>
      <c r="AL4085" s="21">
        <f>_xll.qlInterestRateIndexValueDate(hiborindex,AK4085)</f>
        <v>48376</v>
      </c>
      <c r="AM4085" s="23">
        <f>_xll.qlIndexFixing(hiborindex,AK4085)</f>
        <v>1.1914194670270299E-2</v>
      </c>
    </row>
    <row r="4086" spans="37:39" x14ac:dyDescent="0.25">
      <c r="AK4086" s="21">
        <f>_xll.qlCalendarAdvance(calendar,AK4085,"1D")</f>
        <v>48375</v>
      </c>
      <c r="AL4086" s="21">
        <f>_xll.qlInterestRateIndexValueDate(hiborindex,AK4086)</f>
        <v>48379</v>
      </c>
      <c r="AM4086" s="23">
        <f>_xll.qlIndexFixing(hiborindex,AK4086)</f>
        <v>1.1898778873998799E-2</v>
      </c>
    </row>
    <row r="4087" spans="37:39" x14ac:dyDescent="0.25">
      <c r="AK4087" s="21">
        <f>_xll.qlCalendarAdvance(calendar,AK4086,"1D")</f>
        <v>48376</v>
      </c>
      <c r="AL4087" s="21">
        <f>_xll.qlInterestRateIndexValueDate(hiborindex,AK4087)</f>
        <v>48380</v>
      </c>
      <c r="AM4087" s="23">
        <f>_xll.qlIndexFixing(hiborindex,AK4087)</f>
        <v>1.1893827779151033E-2</v>
      </c>
    </row>
    <row r="4088" spans="37:39" x14ac:dyDescent="0.25">
      <c r="AK4088" s="21">
        <f>_xll.qlCalendarAdvance(calendar,AK4087,"1D")</f>
        <v>48379</v>
      </c>
      <c r="AL4088" s="21">
        <f>_xll.qlInterestRateIndexValueDate(hiborindex,AK4088)</f>
        <v>48381</v>
      </c>
      <c r="AM4088" s="23">
        <f>_xll.qlIndexFixing(hiborindex,AK4088)</f>
        <v>1.1888874473541857E-2</v>
      </c>
    </row>
    <row r="4089" spans="37:39" x14ac:dyDescent="0.25">
      <c r="AK4089" s="21">
        <f>_xll.qlCalendarAdvance(calendar,AK4088,"1D")</f>
        <v>48380</v>
      </c>
      <c r="AL4089" s="21">
        <f>_xll.qlInterestRateIndexValueDate(hiborindex,AK4089)</f>
        <v>48382</v>
      </c>
      <c r="AM4089" s="23">
        <f>_xll.qlIndexFixing(hiborindex,AK4089)</f>
        <v>1.1883918957188306E-2</v>
      </c>
    </row>
    <row r="4090" spans="37:39" x14ac:dyDescent="0.25">
      <c r="AK4090" s="21">
        <f>_xll.qlCalendarAdvance(calendar,AK4089,"1D")</f>
        <v>48381</v>
      </c>
      <c r="AL4090" s="21">
        <f>_xll.qlInterestRateIndexValueDate(hiborindex,AK4090)</f>
        <v>48383</v>
      </c>
      <c r="AM4090" s="23">
        <f>_xll.qlIndexFixing(hiborindex,AK4090)</f>
        <v>1.1880023901952471E-2</v>
      </c>
    </row>
    <row r="4091" spans="37:39" x14ac:dyDescent="0.25">
      <c r="AK4091" s="21">
        <f>_xll.qlCalendarAdvance(calendar,AK4090,"1D")</f>
        <v>48382</v>
      </c>
      <c r="AL4091" s="21">
        <f>_xll.qlInterestRateIndexValueDate(hiborindex,AK4091)</f>
        <v>48386</v>
      </c>
      <c r="AM4091" s="23">
        <f>_xll.qlIndexFixing(hiborindex,AK4091)</f>
        <v>1.1864074784660587E-2</v>
      </c>
    </row>
    <row r="4092" spans="37:39" x14ac:dyDescent="0.25">
      <c r="AK4092" s="21">
        <f>_xll.qlCalendarAdvance(calendar,AK4091,"1D")</f>
        <v>48383</v>
      </c>
      <c r="AL4092" s="21">
        <f>_xll.qlInterestRateIndexValueDate(hiborindex,AK4092)</f>
        <v>48387</v>
      </c>
      <c r="AM4092" s="23">
        <f>_xll.qlIndexFixing(hiborindex,AK4092)</f>
        <v>1.1859108214834145E-2</v>
      </c>
    </row>
    <row r="4093" spans="37:39" x14ac:dyDescent="0.25">
      <c r="AK4093" s="21">
        <f>_xll.qlCalendarAdvance(calendar,AK4092,"1D")</f>
        <v>48386</v>
      </c>
      <c r="AL4093" s="21">
        <f>_xll.qlInterestRateIndexValueDate(hiborindex,AK4093)</f>
        <v>48388</v>
      </c>
      <c r="AM4093" s="23">
        <f>_xll.qlIndexFixing(hiborindex,AK4093)</f>
        <v>1.1854139434362922E-2</v>
      </c>
    </row>
    <row r="4094" spans="37:39" x14ac:dyDescent="0.25">
      <c r="AK4094" s="21">
        <f>_xll.qlCalendarAdvance(calendar,AK4093,"1D")</f>
        <v>48387</v>
      </c>
      <c r="AL4094" s="21">
        <f>_xll.qlInterestRateIndexValueDate(hiborindex,AK4094)</f>
        <v>48389</v>
      </c>
      <c r="AM4094" s="23">
        <f>_xll.qlIndexFixing(hiborindex,AK4094)</f>
        <v>1.1849168443264389E-2</v>
      </c>
    </row>
    <row r="4095" spans="37:39" x14ac:dyDescent="0.25">
      <c r="AK4095" s="21">
        <f>_xll.qlCalendarAdvance(calendar,AK4094,"1D")</f>
        <v>48388</v>
      </c>
      <c r="AL4095" s="21">
        <f>_xll.qlInterestRateIndexValueDate(hiborindex,AK4095)</f>
        <v>48390</v>
      </c>
      <c r="AM4095" s="23">
        <f>_xll.qlIndexFixing(hiborindex,AK4095)</f>
        <v>1.1845745968767392E-2</v>
      </c>
    </row>
    <row r="4096" spans="37:39" x14ac:dyDescent="0.25">
      <c r="AK4096" s="21">
        <f>_xll.qlCalendarAdvance(calendar,AK4095,"1D")</f>
        <v>48389</v>
      </c>
      <c r="AL4096" s="21">
        <f>_xll.qlInterestRateIndexValueDate(hiborindex,AK4096)</f>
        <v>48393</v>
      </c>
      <c r="AM4096" s="23">
        <f>_xll.qlIndexFixing(hiborindex,AK4096)</f>
        <v>1.182926237292564E-2</v>
      </c>
    </row>
    <row r="4097" spans="37:39" x14ac:dyDescent="0.25">
      <c r="AK4097" s="21">
        <f>_xll.qlCalendarAdvance(calendar,AK4096,"1D")</f>
        <v>48390</v>
      </c>
      <c r="AL4097" s="21">
        <f>_xll.qlInterestRateIndexValueDate(hiborindex,AK4097)</f>
        <v>48394</v>
      </c>
      <c r="AM4097" s="23">
        <f>_xll.qlIndexFixing(hiborindex,AK4097)</f>
        <v>1.182428032893954E-2</v>
      </c>
    </row>
    <row r="4098" spans="37:39" x14ac:dyDescent="0.25">
      <c r="AK4098" s="21">
        <f>_xll.qlCalendarAdvance(calendar,AK4097,"1D")</f>
        <v>48393</v>
      </c>
      <c r="AL4098" s="21">
        <f>_xll.qlInterestRateIndexValueDate(hiborindex,AK4098)</f>
        <v>48395</v>
      </c>
      <c r="AM4098" s="23">
        <f>_xll.qlIndexFixing(hiborindex,AK4098)</f>
        <v>1.1820246071575309E-2</v>
      </c>
    </row>
    <row r="4099" spans="37:39" x14ac:dyDescent="0.25">
      <c r="AK4099" s="21">
        <f>_xll.qlCalendarAdvance(calendar,AK4098,"1D")</f>
        <v>48394</v>
      </c>
      <c r="AL4099" s="21">
        <f>_xll.qlInterestRateIndexValueDate(hiborindex,AK4099)</f>
        <v>48396</v>
      </c>
      <c r="AM4099" s="23">
        <f>_xll.qlIndexFixing(hiborindex,AK4099)</f>
        <v>1.1823659050203208E-2</v>
      </c>
    </row>
    <row r="4100" spans="37:39" x14ac:dyDescent="0.25">
      <c r="AK4100" s="21">
        <f>_xll.qlCalendarAdvance(calendar,AK4099,"1D")</f>
        <v>48395</v>
      </c>
      <c r="AL4100" s="21">
        <f>_xll.qlInterestRateIndexValueDate(hiborindex,AK4100)</f>
        <v>48397</v>
      </c>
      <c r="AM4100" s="23">
        <f>_xll.qlIndexFixing(hiborindex,AK4100)</f>
        <v>1.1824221668111617E-2</v>
      </c>
    </row>
    <row r="4101" spans="37:39" x14ac:dyDescent="0.25">
      <c r="AK4101" s="21">
        <f>_xll.qlCalendarAdvance(calendar,AK4100,"1D")</f>
        <v>48396</v>
      </c>
      <c r="AL4101" s="21">
        <f>_xll.qlInterestRateIndexValueDate(hiborindex,AK4101)</f>
        <v>48400</v>
      </c>
      <c r="AM4101" s="23">
        <f>_xll.qlIndexFixing(hiborindex,AK4101)</f>
        <v>1.1827809693110052E-2</v>
      </c>
    </row>
    <row r="4102" spans="37:39" x14ac:dyDescent="0.25">
      <c r="AK4102" s="21">
        <f>_xll.qlCalendarAdvance(calendar,AK4101,"1D")</f>
        <v>48397</v>
      </c>
      <c r="AL4102" s="21">
        <f>_xll.qlInterestRateIndexValueDate(hiborindex,AK4102)</f>
        <v>48401</v>
      </c>
      <c r="AM4102" s="23">
        <f>_xll.qlIndexFixing(hiborindex,AK4102)</f>
        <v>1.1829322420904384E-2</v>
      </c>
    </row>
    <row r="4103" spans="37:39" x14ac:dyDescent="0.25">
      <c r="AK4103" s="21">
        <f>_xll.qlCalendarAdvance(calendar,AK4102,"1D")</f>
        <v>48400</v>
      </c>
      <c r="AL4103" s="21">
        <f>_xll.qlInterestRateIndexValueDate(hiborindex,AK4103)</f>
        <v>48402</v>
      </c>
      <c r="AM4103" s="23">
        <f>_xll.qlIndexFixing(hiborindex,AK4103)</f>
        <v>1.1830835149861699E-2</v>
      </c>
    </row>
    <row r="4104" spans="37:39" x14ac:dyDescent="0.25">
      <c r="AK4104" s="21">
        <f>_xll.qlCalendarAdvance(calendar,AK4103,"1D")</f>
        <v>48401</v>
      </c>
      <c r="AL4104" s="21">
        <f>_xll.qlInterestRateIndexValueDate(hiborindex,AK4104)</f>
        <v>48403</v>
      </c>
      <c r="AM4104" s="23">
        <f>_xll.qlIndexFixing(hiborindex,AK4104)</f>
        <v>1.1834248838547501E-2</v>
      </c>
    </row>
    <row r="4105" spans="37:39" x14ac:dyDescent="0.25">
      <c r="AK4105" s="21">
        <f>_xll.qlCalendarAdvance(calendar,AK4104,"1D")</f>
        <v>48402</v>
      </c>
      <c r="AL4105" s="21">
        <f>_xll.qlInterestRateIndexValueDate(hiborindex,AK4105)</f>
        <v>48404</v>
      </c>
      <c r="AM4105" s="23">
        <f>_xll.qlIndexFixing(hiborindex,AK4105)</f>
        <v>1.1834811113650872E-2</v>
      </c>
    </row>
    <row r="4106" spans="37:39" x14ac:dyDescent="0.25">
      <c r="AK4106" s="21">
        <f>_xll.qlCalendarAdvance(calendar,AK4105,"1D")</f>
        <v>48403</v>
      </c>
      <c r="AL4106" s="21">
        <f>_xll.qlInterestRateIndexValueDate(hiborindex,AK4106)</f>
        <v>48407</v>
      </c>
      <c r="AM4106" s="23">
        <f>_xll.qlIndexFixing(hiborindex,AK4106)</f>
        <v>1.1838398812086502E-2</v>
      </c>
    </row>
    <row r="4107" spans="37:39" x14ac:dyDescent="0.25">
      <c r="AK4107" s="21">
        <f>_xll.qlCalendarAdvance(calendar,AK4106,"1D")</f>
        <v>48404</v>
      </c>
      <c r="AL4107" s="21">
        <f>_xll.qlInterestRateIndexValueDate(hiborindex,AK4107)</f>
        <v>48408</v>
      </c>
      <c r="AM4107" s="23">
        <f>_xll.qlIndexFixing(hiborindex,AK4107)</f>
        <v>1.1839911548018672E-2</v>
      </c>
    </row>
    <row r="4108" spans="37:39" x14ac:dyDescent="0.25">
      <c r="AK4108" s="21">
        <f>_xll.qlCalendarAdvance(calendar,AK4107,"1D")</f>
        <v>48407</v>
      </c>
      <c r="AL4108" s="21">
        <f>_xll.qlInterestRateIndexValueDate(hiborindex,AK4108)</f>
        <v>48409</v>
      </c>
      <c r="AM4108" s="23">
        <f>_xll.qlIndexFixing(hiborindex,AK4108)</f>
        <v>1.184142428511426E-2</v>
      </c>
    </row>
    <row r="4109" spans="37:39" x14ac:dyDescent="0.25">
      <c r="AK4109" s="21">
        <f>_xll.qlCalendarAdvance(calendar,AK4108,"1D")</f>
        <v>48408</v>
      </c>
      <c r="AL4109" s="21">
        <f>_xll.qlInterestRateIndexValueDate(hiborindex,AK4109)</f>
        <v>48410</v>
      </c>
      <c r="AM4109" s="23">
        <f>_xll.qlIndexFixing(hiborindex,AK4109)</f>
        <v>1.1844838684481426E-2</v>
      </c>
    </row>
    <row r="4110" spans="37:39" x14ac:dyDescent="0.25">
      <c r="AK4110" s="21">
        <f>_xll.qlCalendarAdvance(calendar,AK4109,"1D")</f>
        <v>48409</v>
      </c>
      <c r="AL4110" s="21">
        <f>_xll.qlInterestRateIndexValueDate(hiborindex,AK4110)</f>
        <v>48411</v>
      </c>
      <c r="AM4110" s="23">
        <f>_xll.qlIndexFixing(hiborindex,AK4110)</f>
        <v>1.1845400616467121E-2</v>
      </c>
    </row>
    <row r="4111" spans="37:39" x14ac:dyDescent="0.25">
      <c r="AK4111" s="21">
        <f>_xll.qlCalendarAdvance(calendar,AK4110,"1D")</f>
        <v>48410</v>
      </c>
      <c r="AL4111" s="21">
        <f>_xll.qlInterestRateIndexValueDate(hiborindex,AK4111)</f>
        <v>48414</v>
      </c>
      <c r="AM4111" s="23">
        <f>_xll.qlIndexFixing(hiborindex,AK4111)</f>
        <v>1.1848987988029122E-2</v>
      </c>
    </row>
    <row r="4112" spans="37:39" x14ac:dyDescent="0.25">
      <c r="AK4112" s="21">
        <f>_xll.qlCalendarAdvance(calendar,AK4111,"1D")</f>
        <v>48411</v>
      </c>
      <c r="AL4112" s="21">
        <f>_xll.qlInterestRateIndexValueDate(hiborindex,AK4112)</f>
        <v>48415</v>
      </c>
      <c r="AM4112" s="23">
        <f>_xll.qlIndexFixing(hiborindex,AK4112)</f>
        <v>1.1850500732099567E-2</v>
      </c>
    </row>
    <row r="4113" spans="37:39" x14ac:dyDescent="0.25">
      <c r="AK4113" s="21">
        <f>_xll.qlCalendarAdvance(calendar,AK4112,"1D")</f>
        <v>48414</v>
      </c>
      <c r="AL4113" s="21">
        <f>_xll.qlInterestRateIndexValueDate(hiborindex,AK4113)</f>
        <v>48416</v>
      </c>
      <c r="AM4113" s="23">
        <f>_xll.qlIndexFixing(hiborindex,AK4113)</f>
        <v>1.1852013477332992E-2</v>
      </c>
    </row>
    <row r="4114" spans="37:39" x14ac:dyDescent="0.25">
      <c r="AK4114" s="21">
        <f>_xll.qlCalendarAdvance(calendar,AK4113,"1D")</f>
        <v>48415</v>
      </c>
      <c r="AL4114" s="21">
        <f>_xll.qlInterestRateIndexValueDate(hiborindex,AK4114)</f>
        <v>48417</v>
      </c>
      <c r="AM4114" s="23">
        <f>_xll.qlIndexFixing(hiborindex,AK4114)</f>
        <v>1.1855428588004554E-2</v>
      </c>
    </row>
    <row r="4115" spans="37:39" x14ac:dyDescent="0.25">
      <c r="AK4115" s="21">
        <f>_xll.qlCalendarAdvance(calendar,AK4114,"1D")</f>
        <v>48416</v>
      </c>
      <c r="AL4115" s="21">
        <f>_xll.qlInterestRateIndexValueDate(hiborindex,AK4115)</f>
        <v>48418</v>
      </c>
      <c r="AM4115" s="23">
        <f>_xll.qlIndexFixing(hiborindex,AK4115)</f>
        <v>1.1855990176562525E-2</v>
      </c>
    </row>
    <row r="4116" spans="37:39" x14ac:dyDescent="0.25">
      <c r="AK4116" s="21">
        <f>_xll.qlCalendarAdvance(calendar,AK4115,"1D")</f>
        <v>48417</v>
      </c>
      <c r="AL4116" s="21">
        <f>_xll.qlInterestRateIndexValueDate(hiborindex,AK4116)</f>
        <v>48421</v>
      </c>
      <c r="AM4116" s="23">
        <f>_xll.qlIndexFixing(hiborindex,AK4116)</f>
        <v>1.1859577220938349E-2</v>
      </c>
    </row>
    <row r="4117" spans="37:39" x14ac:dyDescent="0.25">
      <c r="AK4117" s="21">
        <f>_xll.qlCalendarAdvance(calendar,AK4116,"1D")</f>
        <v>48418</v>
      </c>
      <c r="AL4117" s="21">
        <f>_xll.qlInterestRateIndexValueDate(hiborindex,AK4117)</f>
        <v>48422</v>
      </c>
      <c r="AM4117" s="23">
        <f>_xll.qlIndexFixing(hiborindex,AK4117)</f>
        <v>1.18610899731475E-2</v>
      </c>
    </row>
    <row r="4118" spans="37:39" x14ac:dyDescent="0.25">
      <c r="AK4118" s="21">
        <f>_xll.qlCalendarAdvance(calendar,AK4117,"1D")</f>
        <v>48421</v>
      </c>
      <c r="AL4118" s="21">
        <f>_xll.qlInterestRateIndexValueDate(hiborindex,AK4118)</f>
        <v>48423</v>
      </c>
      <c r="AM4118" s="23">
        <f>_xll.qlIndexFixing(hiborindex,AK4118)</f>
        <v>1.186260272651833E-2</v>
      </c>
    </row>
    <row r="4119" spans="37:39" x14ac:dyDescent="0.25">
      <c r="AK4119" s="21">
        <f>_xll.qlCalendarAdvance(calendar,AK4118,"1D")</f>
        <v>48422</v>
      </c>
      <c r="AL4119" s="21">
        <f>_xll.qlInterestRateIndexValueDate(hiborindex,AK4119)</f>
        <v>48424</v>
      </c>
      <c r="AM4119" s="23">
        <f>_xll.qlIndexFixing(hiborindex,AK4119)</f>
        <v>1.1866018549117313E-2</v>
      </c>
    </row>
    <row r="4120" spans="37:39" x14ac:dyDescent="0.25">
      <c r="AK4120" s="21">
        <f>_xll.qlCalendarAdvance(calendar,AK4119,"1D")</f>
        <v>48423</v>
      </c>
      <c r="AL4120" s="21">
        <f>_xll.qlInterestRateIndexValueDate(hiborindex,AK4120)</f>
        <v>48425</v>
      </c>
      <c r="AM4120" s="23">
        <f>_xll.qlIndexFixing(hiborindex,AK4120)</f>
        <v>1.1866579793934922E-2</v>
      </c>
    </row>
    <row r="4121" spans="37:39" x14ac:dyDescent="0.25">
      <c r="AK4121" s="21">
        <f>_xll.qlCalendarAdvance(calendar,AK4120,"1D")</f>
        <v>48424</v>
      </c>
      <c r="AL4121" s="21">
        <f>_xll.qlInterestRateIndexValueDate(hiborindex,AK4121)</f>
        <v>48428</v>
      </c>
      <c r="AM4121" s="23">
        <f>_xll.qlIndexFixing(hiborindex,AK4121)</f>
        <v>1.1870166510814181E-2</v>
      </c>
    </row>
    <row r="4122" spans="37:39" x14ac:dyDescent="0.25">
      <c r="AK4122" s="21">
        <f>_xll.qlCalendarAdvance(calendar,AK4121,"1D")</f>
        <v>48425</v>
      </c>
      <c r="AL4122" s="21">
        <f>_xll.qlInterestRateIndexValueDate(hiborindex,AK4122)</f>
        <v>48429</v>
      </c>
      <c r="AM4122" s="23">
        <f>_xll.qlIndexFixing(hiborindex,AK4122)</f>
        <v>1.1871679271161603E-2</v>
      </c>
    </row>
    <row r="4123" spans="37:39" x14ac:dyDescent="0.25">
      <c r="AK4123" s="21">
        <f>_xll.qlCalendarAdvance(calendar,AK4122,"1D")</f>
        <v>48428</v>
      </c>
      <c r="AL4123" s="21">
        <f>_xll.qlInterestRateIndexValueDate(hiborindex,AK4123)</f>
        <v>48430</v>
      </c>
      <c r="AM4123" s="23">
        <f>_xll.qlIndexFixing(hiborindex,AK4123)</f>
        <v>1.1873192032671141E-2</v>
      </c>
    </row>
    <row r="4124" spans="37:39" x14ac:dyDescent="0.25">
      <c r="AK4124" s="21">
        <f>_xll.qlCalendarAdvance(calendar,AK4123,"1D")</f>
        <v>48429</v>
      </c>
      <c r="AL4124" s="21">
        <f>_xll.qlInterestRateIndexValueDate(hiborindex,AK4124)</f>
        <v>48431</v>
      </c>
      <c r="AM4124" s="23">
        <f>_xll.qlIndexFixing(hiborindex,AK4124)</f>
        <v>1.1876608567820133E-2</v>
      </c>
    </row>
    <row r="4125" spans="37:39" x14ac:dyDescent="0.25">
      <c r="AK4125" s="21">
        <f>_xll.qlCalendarAdvance(calendar,AK4124,"1D")</f>
        <v>48430</v>
      </c>
      <c r="AL4125" s="21">
        <f>_xll.qlInterestRateIndexValueDate(hiborindex,AK4125)</f>
        <v>48432</v>
      </c>
      <c r="AM4125" s="23">
        <f>_xll.qlIndexFixing(hiborindex,AK4125)</f>
        <v>1.1877169468586473E-2</v>
      </c>
    </row>
    <row r="4126" spans="37:39" x14ac:dyDescent="0.25">
      <c r="AK4126" s="21">
        <f>_xll.qlCalendarAdvance(calendar,AK4125,"1D")</f>
        <v>48431</v>
      </c>
      <c r="AL4126" s="21">
        <f>_xll.qlInterestRateIndexValueDate(hiborindex,AK4126)</f>
        <v>48435</v>
      </c>
      <c r="AM4126" s="23">
        <f>_xll.qlIndexFixing(hiborindex,AK4126)</f>
        <v>1.1880755857657486E-2</v>
      </c>
    </row>
    <row r="4127" spans="37:39" x14ac:dyDescent="0.25">
      <c r="AK4127" s="21">
        <f>_xll.qlCalendarAdvance(calendar,AK4126,"1D")</f>
        <v>48432</v>
      </c>
      <c r="AL4127" s="21">
        <f>_xll.qlInterestRateIndexValueDate(hiborindex,AK4127)</f>
        <v>48436</v>
      </c>
      <c r="AM4127" s="23">
        <f>_xll.qlIndexFixing(hiborindex,AK4127)</f>
        <v>1.1882268626143182E-2</v>
      </c>
    </row>
    <row r="4128" spans="37:39" x14ac:dyDescent="0.25">
      <c r="AK4128" s="21">
        <f>_xll.qlCalendarAdvance(calendar,AK4127,"1D")</f>
        <v>48435</v>
      </c>
      <c r="AL4128" s="21">
        <f>_xll.qlInterestRateIndexValueDate(hiborindex,AK4128)</f>
        <v>48437</v>
      </c>
      <c r="AM4128" s="23">
        <f>_xll.qlIndexFixing(hiborindex,AK4128)</f>
        <v>1.1883781395790558E-2</v>
      </c>
    </row>
    <row r="4129" spans="37:39" x14ac:dyDescent="0.25">
      <c r="AK4129" s="21">
        <f>_xll.qlCalendarAdvance(calendar,AK4128,"1D")</f>
        <v>48436</v>
      </c>
      <c r="AL4129" s="21">
        <f>_xll.qlInterestRateIndexValueDate(hiborindex,AK4129)</f>
        <v>48438</v>
      </c>
      <c r="AM4129" s="23">
        <f>_xll.qlIndexFixing(hiborindex,AK4129)</f>
        <v>1.1887198644113446E-2</v>
      </c>
    </row>
    <row r="4130" spans="37:39" x14ac:dyDescent="0.25">
      <c r="AK4130" s="21">
        <f>_xll.qlCalendarAdvance(calendar,AK4129,"1D")</f>
        <v>48437</v>
      </c>
      <c r="AL4130" s="21">
        <f>_xll.qlInterestRateIndexValueDate(hiborindex,AK4130)</f>
        <v>48439</v>
      </c>
      <c r="AM4130" s="23">
        <f>_xll.qlIndexFixing(hiborindex,AK4130)</f>
        <v>1.1887759200516749E-2</v>
      </c>
    </row>
    <row r="4131" spans="37:39" x14ac:dyDescent="0.25">
      <c r="AK4131" s="21">
        <f>_xll.qlCalendarAdvance(calendar,AK4130,"1D")</f>
        <v>48438</v>
      </c>
      <c r="AL4131" s="21">
        <f>_xll.qlInterestRateIndexValueDate(hiborindex,AK4131)</f>
        <v>48442</v>
      </c>
      <c r="AM4131" s="23">
        <f>_xll.qlIndexFixing(hiborindex,AK4131)</f>
        <v>1.1891345261468267E-2</v>
      </c>
    </row>
    <row r="4132" spans="37:39" x14ac:dyDescent="0.25">
      <c r="AK4132" s="21">
        <f>_xll.qlCalendarAdvance(calendar,AK4131,"1D")</f>
        <v>48439</v>
      </c>
      <c r="AL4132" s="21">
        <f>_xll.qlInterestRateIndexValueDate(hiborindex,AK4132)</f>
        <v>48443</v>
      </c>
      <c r="AM4132" s="23">
        <f>_xll.qlIndexFixing(hiborindex,AK4132)</f>
        <v>1.18928580380918E-2</v>
      </c>
    </row>
    <row r="4133" spans="37:39" x14ac:dyDescent="0.25">
      <c r="AK4133" s="21">
        <f>_xll.qlCalendarAdvance(calendar,AK4132,"1D")</f>
        <v>48442</v>
      </c>
      <c r="AL4133" s="21">
        <f>_xll.qlInterestRateIndexValueDate(hiborindex,AK4133)</f>
        <v>48444</v>
      </c>
      <c r="AM4133" s="23">
        <f>_xll.qlIndexFixing(hiborindex,AK4133)</f>
        <v>1.1894370815877882E-2</v>
      </c>
    </row>
    <row r="4134" spans="37:39" x14ac:dyDescent="0.25">
      <c r="AK4134" s="21">
        <f>_xll.qlCalendarAdvance(calendar,AK4133,"1D")</f>
        <v>48443</v>
      </c>
      <c r="AL4134" s="21">
        <f>_xll.qlInterestRateIndexValueDate(hiborindex,AK4134)</f>
        <v>48445</v>
      </c>
      <c r="AM4134" s="23">
        <f>_xll.qlIndexFixing(hiborindex,AK4134)</f>
        <v>1.1897788777997249E-2</v>
      </c>
    </row>
    <row r="4135" spans="37:39" x14ac:dyDescent="0.25">
      <c r="AK4135" s="21">
        <f>_xll.qlCalendarAdvance(calendar,AK4134,"1D")</f>
        <v>48444</v>
      </c>
      <c r="AL4135" s="21">
        <f>_xll.qlInterestRateIndexValueDate(hiborindex,AK4135)</f>
        <v>48446</v>
      </c>
      <c r="AM4135" s="23">
        <f>_xll.qlIndexFixing(hiborindex,AK4135)</f>
        <v>1.1898348989725744E-2</v>
      </c>
    </row>
    <row r="4136" spans="37:39" x14ac:dyDescent="0.25">
      <c r="AK4136" s="21">
        <f>_xll.qlCalendarAdvance(calendar,AK4135,"1D")</f>
        <v>48445</v>
      </c>
      <c r="AL4136" s="21">
        <f>_xll.qlInterestRateIndexValueDate(hiborindex,AK4136)</f>
        <v>48449</v>
      </c>
      <c r="AM4136" s="23">
        <f>_xll.qlIndexFixing(hiborindex,AK4136)</f>
        <v>1.1901934722246954E-2</v>
      </c>
    </row>
    <row r="4137" spans="37:39" x14ac:dyDescent="0.25">
      <c r="AK4137" s="21">
        <f>_xll.qlCalendarAdvance(calendar,AK4136,"1D")</f>
        <v>48446</v>
      </c>
      <c r="AL4137" s="21">
        <f>_xll.qlInterestRateIndexValueDate(hiborindex,AK4137)</f>
        <v>48450</v>
      </c>
      <c r="AM4137" s="23">
        <f>_xll.qlIndexFixing(hiborindex,AK4137)</f>
        <v>1.1903447507008327E-2</v>
      </c>
    </row>
    <row r="4138" spans="37:39" x14ac:dyDescent="0.25">
      <c r="AK4138" s="21">
        <f>_xll.qlCalendarAdvance(calendar,AK4137,"1D")</f>
        <v>48449</v>
      </c>
      <c r="AL4138" s="21">
        <f>_xll.qlInterestRateIndexValueDate(hiborindex,AK4138)</f>
        <v>48451</v>
      </c>
      <c r="AM4138" s="23">
        <f>_xll.qlIndexFixing(hiborindex,AK4138)</f>
        <v>1.1904960292932682E-2</v>
      </c>
    </row>
    <row r="4139" spans="37:39" x14ac:dyDescent="0.25">
      <c r="AK4139" s="21">
        <f>_xll.qlCalendarAdvance(calendar,AK4138,"1D")</f>
        <v>48450</v>
      </c>
      <c r="AL4139" s="21">
        <f>_xll.qlInterestRateIndexValueDate(hiborindex,AK4139)</f>
        <v>48452</v>
      </c>
      <c r="AM4139" s="23">
        <f>_xll.qlIndexFixing(hiborindex,AK4139)</f>
        <v>1.1908378969471976E-2</v>
      </c>
    </row>
    <row r="4140" spans="37:39" x14ac:dyDescent="0.25">
      <c r="AK4140" s="21">
        <f>_xll.qlCalendarAdvance(calendar,AK4139,"1D")</f>
        <v>48451</v>
      </c>
      <c r="AL4140" s="21">
        <f>_xll.qlInterestRateIndexValueDate(hiborindex,AK4140)</f>
        <v>48453</v>
      </c>
      <c r="AM4140" s="23">
        <f>_xll.qlIndexFixing(hiborindex,AK4140)</f>
        <v>1.1908938836214758E-2</v>
      </c>
    </row>
    <row r="4141" spans="37:39" x14ac:dyDescent="0.25">
      <c r="AK4141" s="21">
        <f>_xll.qlCalendarAdvance(calendar,AK4140,"1D")</f>
        <v>48452</v>
      </c>
      <c r="AL4141" s="21">
        <f>_xll.qlInterestRateIndexValueDate(hiborindex,AK4141)</f>
        <v>48456</v>
      </c>
      <c r="AM4141" s="23">
        <f>_xll.qlIndexFixing(hiborindex,AK4141)</f>
        <v>1.1910618164775785E-2</v>
      </c>
    </row>
    <row r="4142" spans="37:39" x14ac:dyDescent="0.25">
      <c r="AK4142" s="21">
        <f>_xll.qlCalendarAdvance(calendar,AK4141,"1D")</f>
        <v>48453</v>
      </c>
      <c r="AL4142" s="21">
        <f>_xll.qlInterestRateIndexValueDate(hiborindex,AK4142)</f>
        <v>48457</v>
      </c>
      <c r="AM4142" s="23">
        <f>_xll.qlIndexFixing(hiborindex,AK4142)</f>
        <v>1.1911177850398661E-2</v>
      </c>
    </row>
    <row r="4143" spans="37:39" x14ac:dyDescent="0.25">
      <c r="AK4143" s="21">
        <f>_xll.qlCalendarAdvance(calendar,AK4142,"1D")</f>
        <v>48456</v>
      </c>
      <c r="AL4143" s="21">
        <f>_xll.qlInterestRateIndexValueDate(hiborindex,AK4143)</f>
        <v>48458</v>
      </c>
      <c r="AM4143" s="23">
        <f>_xll.qlIndexFixing(hiborindex,AK4143)</f>
        <v>1.1912690493003867E-2</v>
      </c>
    </row>
    <row r="4144" spans="37:39" x14ac:dyDescent="0.25">
      <c r="AK4144" s="21">
        <f>_xll.qlCalendarAdvance(calendar,AK4143,"1D")</f>
        <v>48457</v>
      </c>
      <c r="AL4144" s="21">
        <f>_xll.qlInterestRateIndexValueDate(hiborindex,AK4144)</f>
        <v>48459</v>
      </c>
      <c r="AM4144" s="23">
        <f>_xll.qlIndexFixing(hiborindex,AK4144)</f>
        <v>1.1914203136752467E-2</v>
      </c>
    </row>
    <row r="4145" spans="37:39" x14ac:dyDescent="0.25">
      <c r="AK4145" s="21">
        <f>_xll.qlCalendarAdvance(calendar,AK4144,"1D")</f>
        <v>48458</v>
      </c>
      <c r="AL4145" s="21">
        <f>_xll.qlInterestRateIndexValueDate(hiborindex,AK4145)</f>
        <v>48460</v>
      </c>
      <c r="AM4145" s="23">
        <f>_xll.qlIndexFixing(hiborindex,AK4145)</f>
        <v>1.1915715781644021E-2</v>
      </c>
    </row>
    <row r="4146" spans="37:39" x14ac:dyDescent="0.25">
      <c r="AK4146" s="21">
        <f>_xll.qlCalendarAdvance(calendar,AK4145,"1D")</f>
        <v>48459</v>
      </c>
      <c r="AL4146" s="21">
        <f>_xll.qlInterestRateIndexValueDate(hiborindex,AK4146)</f>
        <v>48463</v>
      </c>
      <c r="AM4146" s="23">
        <f>_xll.qlIndexFixing(hiborindex,AK4146)</f>
        <v>1.1921207032454294E-2</v>
      </c>
    </row>
    <row r="4147" spans="37:39" x14ac:dyDescent="0.25">
      <c r="AK4147" s="21">
        <f>_xll.qlCalendarAdvance(calendar,AK4146,"1D")</f>
        <v>48460</v>
      </c>
      <c r="AL4147" s="21">
        <f>_xll.qlInterestRateIndexValueDate(hiborindex,AK4147)</f>
        <v>48464</v>
      </c>
      <c r="AM4147" s="23">
        <f>_xll.qlIndexFixing(hiborindex,AK4147)</f>
        <v>1.1921766372647717E-2</v>
      </c>
    </row>
    <row r="4148" spans="37:39" x14ac:dyDescent="0.25">
      <c r="AK4148" s="21">
        <f>_xll.qlCalendarAdvance(calendar,AK4147,"1D")</f>
        <v>48463</v>
      </c>
      <c r="AL4148" s="21">
        <f>_xll.qlInterestRateIndexValueDate(hiborindex,AK4148)</f>
        <v>48465</v>
      </c>
      <c r="AM4148" s="23">
        <f>_xll.qlIndexFixing(hiborindex,AK4148)</f>
        <v>1.192327902325757E-2</v>
      </c>
    </row>
    <row r="4149" spans="37:39" x14ac:dyDescent="0.25">
      <c r="AK4149" s="21">
        <f>_xll.qlCalendarAdvance(calendar,AK4148,"1D")</f>
        <v>48464</v>
      </c>
      <c r="AL4149" s="21">
        <f>_xll.qlInterestRateIndexValueDate(hiborindex,AK4149)</f>
        <v>48466</v>
      </c>
      <c r="AM4149" s="23">
        <f>_xll.qlIndexFixing(hiborindex,AK4149)</f>
        <v>1.1924791675011258E-2</v>
      </c>
    </row>
    <row r="4150" spans="37:39" x14ac:dyDescent="0.25">
      <c r="AK4150" s="21">
        <f>_xll.qlCalendarAdvance(calendar,AK4149,"1D")</f>
        <v>48465</v>
      </c>
      <c r="AL4150" s="21">
        <f>_xll.qlInterestRateIndexValueDate(hiborindex,AK4150)</f>
        <v>48467</v>
      </c>
      <c r="AM4150" s="23">
        <f>_xll.qlIndexFixing(hiborindex,AK4150)</f>
        <v>1.1926304327907899E-2</v>
      </c>
    </row>
    <row r="4151" spans="37:39" x14ac:dyDescent="0.25">
      <c r="AK4151" s="21">
        <f>_xll.qlCalendarAdvance(calendar,AK4150,"1D")</f>
        <v>48466</v>
      </c>
      <c r="AL4151" s="21">
        <f>_xll.qlInterestRateIndexValueDate(hiborindex,AK4151)</f>
        <v>48470</v>
      </c>
      <c r="AM4151" s="23">
        <f>_xll.qlIndexFixing(hiborindex,AK4151)</f>
        <v>1.1931795956478501E-2</v>
      </c>
    </row>
    <row r="4152" spans="37:39" x14ac:dyDescent="0.25">
      <c r="AK4152" s="21">
        <f>_xll.qlCalendarAdvance(calendar,AK4151,"1D")</f>
        <v>48467</v>
      </c>
      <c r="AL4152" s="21">
        <f>_xll.qlInterestRateIndexValueDate(hiborindex,AK4152)</f>
        <v>48471</v>
      </c>
      <c r="AM4152" s="23">
        <f>_xll.qlIndexFixing(hiborindex,AK4152)</f>
        <v>1.1932354950931506E-2</v>
      </c>
    </row>
    <row r="4153" spans="37:39" x14ac:dyDescent="0.25">
      <c r="AK4153" s="21">
        <f>_xll.qlCalendarAdvance(calendar,AK4152,"1D")</f>
        <v>48470</v>
      </c>
      <c r="AL4153" s="21">
        <f>_xll.qlInterestRateIndexValueDate(hiborindex,AK4153)</f>
        <v>48472</v>
      </c>
      <c r="AM4153" s="23">
        <f>_xll.qlIndexFixing(hiborindex,AK4153)</f>
        <v>1.1933867609546447E-2</v>
      </c>
    </row>
    <row r="4154" spans="37:39" x14ac:dyDescent="0.25">
      <c r="AK4154" s="21">
        <f>_xll.qlCalendarAdvance(calendar,AK4153,"1D")</f>
        <v>48471</v>
      </c>
      <c r="AL4154" s="21">
        <f>_xll.qlInterestRateIndexValueDate(hiborindex,AK4154)</f>
        <v>48473</v>
      </c>
      <c r="AM4154" s="23">
        <f>_xll.qlIndexFixing(hiborindex,AK4154)</f>
        <v>1.1935380269304782E-2</v>
      </c>
    </row>
    <row r="4155" spans="37:39" x14ac:dyDescent="0.25">
      <c r="AK4155" s="21">
        <f>_xll.qlCalendarAdvance(calendar,AK4154,"1D")</f>
        <v>48472</v>
      </c>
      <c r="AL4155" s="21">
        <f>_xll.qlInterestRateIndexValueDate(hiborindex,AK4155)</f>
        <v>48474</v>
      </c>
      <c r="AM4155" s="23">
        <f>_xll.qlIndexFixing(hiborindex,AK4155)</f>
        <v>1.1936892930206514E-2</v>
      </c>
    </row>
    <row r="4156" spans="37:39" x14ac:dyDescent="0.25">
      <c r="AK4156" s="21">
        <f>_xll.qlCalendarAdvance(calendar,AK4155,"1D")</f>
        <v>48473</v>
      </c>
      <c r="AL4156" s="21">
        <f>_xll.qlInterestRateIndexValueDate(hiborindex,AK4156)</f>
        <v>48477</v>
      </c>
      <c r="AM4156" s="23">
        <f>_xll.qlIndexFixing(hiborindex,AK4156)</f>
        <v>1.1942384936848844E-2</v>
      </c>
    </row>
    <row r="4157" spans="37:39" x14ac:dyDescent="0.25">
      <c r="AK4157" s="21">
        <f>_xll.qlCalendarAdvance(calendar,AK4156,"1D")</f>
        <v>48474</v>
      </c>
      <c r="AL4157" s="21">
        <f>_xll.qlInterestRateIndexValueDate(hiborindex,AK4157)</f>
        <v>48478</v>
      </c>
      <c r="AM4157" s="23">
        <f>_xll.qlIndexFixing(hiborindex,AK4157)</f>
        <v>1.1942943585249589E-2</v>
      </c>
    </row>
    <row r="4158" spans="37:39" x14ac:dyDescent="0.25">
      <c r="AK4158" s="21">
        <f>_xll.qlCalendarAdvance(calendar,AK4157,"1D")</f>
        <v>48477</v>
      </c>
      <c r="AL4158" s="21">
        <f>_xll.qlInterestRateIndexValueDate(hiborindex,AK4158)</f>
        <v>48479</v>
      </c>
      <c r="AM4158" s="23">
        <f>_xll.qlIndexFixing(hiborindex,AK4158)</f>
        <v>1.1944456251869177E-2</v>
      </c>
    </row>
    <row r="4159" spans="37:39" x14ac:dyDescent="0.25">
      <c r="AK4159" s="21">
        <f>_xll.qlCalendarAdvance(calendar,AK4158,"1D")</f>
        <v>48478</v>
      </c>
      <c r="AL4159" s="21">
        <f>_xll.qlInterestRateIndexValueDate(hiborindex,AK4159)</f>
        <v>48480</v>
      </c>
      <c r="AM4159" s="23">
        <f>_xll.qlIndexFixing(hiborindex,AK4159)</f>
        <v>1.194596891963216E-2</v>
      </c>
    </row>
    <row r="4160" spans="37:39" x14ac:dyDescent="0.25">
      <c r="AK4160" s="21">
        <f>_xll.qlCalendarAdvance(calendar,AK4159,"1D")</f>
        <v>48479</v>
      </c>
      <c r="AL4160" s="21">
        <f>_xll.qlInterestRateIndexValueDate(hiborindex,AK4160)</f>
        <v>48481</v>
      </c>
      <c r="AM4160" s="23">
        <f>_xll.qlIndexFixing(hiborindex,AK4160)</f>
        <v>1.194748158853986E-2</v>
      </c>
    </row>
    <row r="4161" spans="37:39" x14ac:dyDescent="0.25">
      <c r="AK4161" s="21">
        <f>_xll.qlCalendarAdvance(calendar,AK4160,"1D")</f>
        <v>48480</v>
      </c>
      <c r="AL4161" s="21">
        <f>_xll.qlInterestRateIndexValueDate(hiborindex,AK4161)</f>
        <v>48484</v>
      </c>
      <c r="AM4161" s="23">
        <f>_xll.qlIndexFixing(hiborindex,AK4161)</f>
        <v>1.1952973973564884E-2</v>
      </c>
    </row>
    <row r="4162" spans="37:39" x14ac:dyDescent="0.25">
      <c r="AK4162" s="21">
        <f>_xll.qlCalendarAdvance(calendar,AK4161,"1D")</f>
        <v>48481</v>
      </c>
      <c r="AL4162" s="21">
        <f>_xll.qlInterestRateIndexValueDate(hiborindex,AK4162)</f>
        <v>48485</v>
      </c>
      <c r="AM4162" s="23">
        <f>_xll.qlIndexFixing(hiborindex,AK4162)</f>
        <v>1.1953532275602849E-2</v>
      </c>
    </row>
    <row r="4163" spans="37:39" x14ac:dyDescent="0.25">
      <c r="AK4163" s="21">
        <f>_xll.qlCalendarAdvance(calendar,AK4162,"1D")</f>
        <v>48484</v>
      </c>
      <c r="AL4163" s="21">
        <f>_xll.qlInterestRateIndexValueDate(hiborindex,AK4163)</f>
        <v>48486</v>
      </c>
      <c r="AM4163" s="23">
        <f>_xll.qlIndexFixing(hiborindex,AK4163)</f>
        <v>1.1955044950227525E-2</v>
      </c>
    </row>
    <row r="4164" spans="37:39" x14ac:dyDescent="0.25">
      <c r="AK4164" s="21">
        <f>_xll.qlCalendarAdvance(calendar,AK4163,"1D")</f>
        <v>48485</v>
      </c>
      <c r="AL4164" s="21">
        <f>_xll.qlInterestRateIndexValueDate(hiborindex,AK4164)</f>
        <v>48487</v>
      </c>
      <c r="AM4164" s="23">
        <f>_xll.qlIndexFixing(hiborindex,AK4164)</f>
        <v>1.1957512149406595E-2</v>
      </c>
    </row>
    <row r="4165" spans="37:39" x14ac:dyDescent="0.25">
      <c r="AK4165" s="21">
        <f>_xll.qlCalendarAdvance(calendar,AK4164,"1D")</f>
        <v>48486</v>
      </c>
      <c r="AL4165" s="21">
        <f>_xll.qlInterestRateIndexValueDate(hiborindex,AK4165)</f>
        <v>48488</v>
      </c>
      <c r="AM4165" s="23">
        <f>_xll.qlIndexFixing(hiborindex,AK4165)</f>
        <v>1.1959024876987157E-2</v>
      </c>
    </row>
    <row r="4166" spans="37:39" x14ac:dyDescent="0.25">
      <c r="AK4166" s="21">
        <f>_xll.qlCalendarAdvance(calendar,AK4165,"1D")</f>
        <v>48487</v>
      </c>
      <c r="AL4166" s="21">
        <f>_xll.qlInterestRateIndexValueDate(hiborindex,AK4166)</f>
        <v>48491</v>
      </c>
      <c r="AM4166" s="23">
        <f>_xll.qlIndexFixing(hiborindex,AK4166)</f>
        <v>1.1963563066627939E-2</v>
      </c>
    </row>
    <row r="4167" spans="37:39" x14ac:dyDescent="0.25">
      <c r="AK4167" s="21">
        <f>_xll.qlCalendarAdvance(calendar,AK4166,"1D")</f>
        <v>48488</v>
      </c>
      <c r="AL4167" s="21">
        <f>_xll.qlInterestRateIndexValueDate(hiborindex,AK4167)</f>
        <v>48492</v>
      </c>
      <c r="AM4167" s="23">
        <f>_xll.qlIndexFixing(hiborindex,AK4167)</f>
        <v>1.1965075798808338E-2</v>
      </c>
    </row>
    <row r="4168" spans="37:39" x14ac:dyDescent="0.25">
      <c r="AK4168" s="21">
        <f>_xll.qlCalendarAdvance(calendar,AK4167,"1D")</f>
        <v>48491</v>
      </c>
      <c r="AL4168" s="21">
        <f>_xll.qlInterestRateIndexValueDate(hiborindex,AK4168)</f>
        <v>48493</v>
      </c>
      <c r="AM4168" s="23">
        <f>_xll.qlIndexFixing(hiborindex,AK4168)</f>
        <v>1.1966588532138587E-2</v>
      </c>
    </row>
    <row r="4169" spans="37:39" x14ac:dyDescent="0.25">
      <c r="AK4169" s="21">
        <f>_xll.qlCalendarAdvance(calendar,AK4168,"1D")</f>
        <v>48492</v>
      </c>
      <c r="AL4169" s="21">
        <f>_xll.qlInterestRateIndexValueDate(hiborindex,AK4169)</f>
        <v>48494</v>
      </c>
      <c r="AM4169" s="23">
        <f>_xll.qlIndexFixing(hiborindex,AK4169)</f>
        <v>1.1968101266618684E-2</v>
      </c>
    </row>
    <row r="4170" spans="37:39" x14ac:dyDescent="0.25">
      <c r="AK4170" s="21">
        <f>_xll.qlCalendarAdvance(calendar,AK4169,"1D")</f>
        <v>48493</v>
      </c>
      <c r="AL4170" s="21">
        <f>_xll.qlInterestRateIndexValueDate(hiborindex,AK4170)</f>
        <v>48495</v>
      </c>
      <c r="AM4170" s="23">
        <f>_xll.qlIndexFixing(hiborindex,AK4170)</f>
        <v>1.1969614002248632E-2</v>
      </c>
    </row>
    <row r="4171" spans="37:39" x14ac:dyDescent="0.25">
      <c r="AK4171" s="21">
        <f>_xll.qlCalendarAdvance(calendar,AK4170,"1D")</f>
        <v>48494</v>
      </c>
      <c r="AL4171" s="21">
        <f>_xll.qlInterestRateIndexValueDate(hiborindex,AK4171)</f>
        <v>48498</v>
      </c>
      <c r="AM4171" s="23">
        <f>_xll.qlIndexFixing(hiborindex,AK4171)</f>
        <v>1.1974152216038448E-2</v>
      </c>
    </row>
    <row r="4172" spans="37:39" x14ac:dyDescent="0.25">
      <c r="AK4172" s="21">
        <f>_xll.qlCalendarAdvance(calendar,AK4171,"1D")</f>
        <v>48495</v>
      </c>
      <c r="AL4172" s="21">
        <f>_xll.qlInterestRateIndexValueDate(hiborindex,AK4172)</f>
        <v>48499</v>
      </c>
      <c r="AM4172" s="23">
        <f>_xll.qlIndexFixing(hiborindex,AK4172)</f>
        <v>1.1975664956267793E-2</v>
      </c>
    </row>
    <row r="4173" spans="37:39" x14ac:dyDescent="0.25">
      <c r="AK4173" s="21">
        <f>_xll.qlCalendarAdvance(calendar,AK4172,"1D")</f>
        <v>48498</v>
      </c>
      <c r="AL4173" s="21">
        <f>_xll.qlInterestRateIndexValueDate(hiborindex,AK4173)</f>
        <v>48500</v>
      </c>
      <c r="AM4173" s="23">
        <f>_xll.qlIndexFixing(hiborindex,AK4173)</f>
        <v>1.1977177697647426E-2</v>
      </c>
    </row>
    <row r="4174" spans="37:39" x14ac:dyDescent="0.25">
      <c r="AK4174" s="21">
        <f>_xll.qlCalendarAdvance(calendar,AK4173,"1D")</f>
        <v>48499</v>
      </c>
      <c r="AL4174" s="21">
        <f>_xll.qlInterestRateIndexValueDate(hiborindex,AK4174)</f>
        <v>48501</v>
      </c>
      <c r="AM4174" s="23">
        <f>_xll.qlIndexFixing(hiborindex,AK4174)</f>
        <v>1.197869044017735E-2</v>
      </c>
    </row>
    <row r="4175" spans="37:39" x14ac:dyDescent="0.25">
      <c r="AK4175" s="21">
        <f>_xll.qlCalendarAdvance(calendar,AK4174,"1D")</f>
        <v>48500</v>
      </c>
      <c r="AL4175" s="21">
        <f>_xll.qlInterestRateIndexValueDate(hiborindex,AK4175)</f>
        <v>48502</v>
      </c>
      <c r="AM4175" s="23">
        <f>_xll.qlIndexFixing(hiborindex,AK4175)</f>
        <v>1.1984024869157279E-2</v>
      </c>
    </row>
    <row r="4176" spans="37:39" x14ac:dyDescent="0.25">
      <c r="AK4176" s="21">
        <f>_xll.qlCalendarAdvance(calendar,AK4175,"1D")</f>
        <v>48501</v>
      </c>
      <c r="AL4176" s="21">
        <f>_xll.qlInterestRateIndexValueDate(hiborindex,AK4176)</f>
        <v>48505</v>
      </c>
      <c r="AM4176" s="23">
        <f>_xll.qlIndexFixing(hiborindex,AK4176)</f>
        <v>1.1985696913117237E-2</v>
      </c>
    </row>
    <row r="4177" spans="37:39" x14ac:dyDescent="0.25">
      <c r="AK4177" s="21">
        <f>_xll.qlCalendarAdvance(calendar,AK4176,"1D")</f>
        <v>48502</v>
      </c>
      <c r="AL4177" s="21">
        <f>_xll.qlInterestRateIndexValueDate(hiborindex,AK4177)</f>
        <v>48506</v>
      </c>
      <c r="AM4177" s="23">
        <f>_xll.qlIndexFixing(hiborindex,AK4177)</f>
        <v>1.1986254170074703E-2</v>
      </c>
    </row>
    <row r="4178" spans="37:39" x14ac:dyDescent="0.25">
      <c r="AK4178" s="21">
        <f>_xll.qlCalendarAdvance(calendar,AK4177,"1D")</f>
        <v>48505</v>
      </c>
      <c r="AL4178" s="21">
        <f>_xll.qlInterestRateIndexValueDate(hiborindex,AK4178)</f>
        <v>48507</v>
      </c>
      <c r="AM4178" s="23">
        <f>_xll.qlIndexFixing(hiborindex,AK4178)</f>
        <v>1.1987766919504161E-2</v>
      </c>
    </row>
    <row r="4179" spans="37:39" x14ac:dyDescent="0.25">
      <c r="AK4179" s="21">
        <f>_xll.qlCalendarAdvance(calendar,AK4178,"1D")</f>
        <v>48506</v>
      </c>
      <c r="AL4179" s="21">
        <f>_xll.qlInterestRateIndexValueDate(hiborindex,AK4179)</f>
        <v>48508</v>
      </c>
      <c r="AM4179" s="23">
        <f>_xll.qlIndexFixing(hiborindex,AK4179)</f>
        <v>1.1989279670083029E-2</v>
      </c>
    </row>
    <row r="4180" spans="37:39" x14ac:dyDescent="0.25">
      <c r="AK4180" s="21">
        <f>_xll.qlCalendarAdvance(calendar,AK4179,"1D")</f>
        <v>48507</v>
      </c>
      <c r="AL4180" s="21">
        <f>_xll.qlInterestRateIndexValueDate(hiborindex,AK4180)</f>
        <v>48509</v>
      </c>
      <c r="AM4180" s="23">
        <f>_xll.qlIndexFixing(hiborindex,AK4180)</f>
        <v>1.1990792421812627E-2</v>
      </c>
    </row>
    <row r="4181" spans="37:39" x14ac:dyDescent="0.25">
      <c r="AK4181" s="21">
        <f>_xll.qlCalendarAdvance(calendar,AK4180,"1D")</f>
        <v>48508</v>
      </c>
      <c r="AL4181" s="21">
        <f>_xll.qlInterestRateIndexValueDate(hiborindex,AK4181)</f>
        <v>48512</v>
      </c>
      <c r="AM4181" s="23">
        <f>_xll.qlIndexFixing(hiborindex,AK4181)</f>
        <v>1.1995330683900072E-2</v>
      </c>
    </row>
    <row r="4182" spans="37:39" x14ac:dyDescent="0.25">
      <c r="AK4182" s="21">
        <f>_xll.qlCalendarAdvance(calendar,AK4181,"1D")</f>
        <v>48509</v>
      </c>
      <c r="AL4182" s="21">
        <f>_xll.qlInterestRateIndexValueDate(hiborindex,AK4182)</f>
        <v>48513</v>
      </c>
      <c r="AM4182" s="23">
        <f>_xll.qlIndexFixing(hiborindex,AK4182)</f>
        <v>1.1996843440228628E-2</v>
      </c>
    </row>
    <row r="4183" spans="37:39" x14ac:dyDescent="0.25">
      <c r="AK4183" s="21">
        <f>_xll.qlCalendarAdvance(calendar,AK4182,"1D")</f>
        <v>48512</v>
      </c>
      <c r="AL4183" s="21">
        <f>_xll.qlInterestRateIndexValueDate(hiborindex,AK4183)</f>
        <v>48514</v>
      </c>
      <c r="AM4183" s="23">
        <f>_xll.qlIndexFixing(hiborindex,AK4183)</f>
        <v>1.1998356197707911E-2</v>
      </c>
    </row>
    <row r="4184" spans="37:39" x14ac:dyDescent="0.25">
      <c r="AK4184" s="21">
        <f>_xll.qlCalendarAdvance(calendar,AK4183,"1D")</f>
        <v>48513</v>
      </c>
      <c r="AL4184" s="21">
        <f>_xll.qlInterestRateIndexValueDate(hiborindex,AK4184)</f>
        <v>48515</v>
      </c>
      <c r="AM4184" s="23">
        <f>_xll.qlIndexFixing(hiborindex,AK4184)</f>
        <v>1.1999868956337043E-2</v>
      </c>
    </row>
    <row r="4185" spans="37:39" x14ac:dyDescent="0.25">
      <c r="AK4185" s="21">
        <f>_xll.qlCalendarAdvance(calendar,AK4184,"1D")</f>
        <v>48514</v>
      </c>
      <c r="AL4185" s="21">
        <f>_xll.qlInterestRateIndexValueDate(hiborindex,AK4185)</f>
        <v>48516</v>
      </c>
      <c r="AM4185" s="23">
        <f>_xll.qlIndexFixing(hiborindex,AK4185)</f>
        <v>1.2001381716116024E-2</v>
      </c>
    </row>
    <row r="4186" spans="37:39" x14ac:dyDescent="0.25">
      <c r="AK4186" s="21">
        <f>_xll.qlCalendarAdvance(calendar,AK4185,"1D")</f>
        <v>48515</v>
      </c>
      <c r="AL4186" s="21">
        <f>_xll.qlInterestRateIndexValueDate(hiborindex,AK4186)</f>
        <v>48519</v>
      </c>
      <c r="AM4186" s="23">
        <f>_xll.qlIndexFixing(hiborindex,AK4186)</f>
        <v>1.2005920002352505E-2</v>
      </c>
    </row>
    <row r="4187" spans="37:39" x14ac:dyDescent="0.25">
      <c r="AK4187" s="21">
        <f>_xll.qlCalendarAdvance(calendar,AK4186,"1D")</f>
        <v>48516</v>
      </c>
      <c r="AL4187" s="21">
        <f>_xll.qlInterestRateIndexValueDate(hiborindex,AK4187)</f>
        <v>48520</v>
      </c>
      <c r="AM4187" s="23">
        <f>_xll.qlIndexFixing(hiborindex,AK4187)</f>
        <v>1.2006476567900328E-2</v>
      </c>
    </row>
    <row r="4188" spans="37:39" x14ac:dyDescent="0.25">
      <c r="AK4188" s="21">
        <f>_xll.qlCalendarAdvance(calendar,AK4187,"1D")</f>
        <v>48519</v>
      </c>
      <c r="AL4188" s="21">
        <f>_xll.qlInterestRateIndexValueDate(hiborindex,AK4188)</f>
        <v>48521</v>
      </c>
      <c r="AM4188" s="23">
        <f>_xll.qlIndexFixing(hiborindex,AK4188)</f>
        <v>1.2007989282550887E-2</v>
      </c>
    </row>
    <row r="4189" spans="37:39" x14ac:dyDescent="0.25">
      <c r="AK4189" s="21">
        <f>_xll.qlCalendarAdvance(calendar,AK4188,"1D")</f>
        <v>48520</v>
      </c>
      <c r="AL4189" s="21">
        <f>_xll.qlInterestRateIndexValueDate(hiborindex,AK4189)</f>
        <v>48522</v>
      </c>
      <c r="AM4189" s="23">
        <f>_xll.qlIndexFixing(hiborindex,AK4189)</f>
        <v>1.2009501998344841E-2</v>
      </c>
    </row>
    <row r="4190" spans="37:39" x14ac:dyDescent="0.25">
      <c r="AK4190" s="21">
        <f>_xll.qlCalendarAdvance(calendar,AK4189,"1D")</f>
        <v>48521</v>
      </c>
      <c r="AL4190" s="21">
        <f>_xll.qlInterestRateIndexValueDate(hiborindex,AK4190)</f>
        <v>48523</v>
      </c>
      <c r="AM4190" s="23">
        <f>_xll.qlIndexFixing(hiborindex,AK4190)</f>
        <v>1.2011014715282188E-2</v>
      </c>
    </row>
    <row r="4191" spans="37:39" x14ac:dyDescent="0.25">
      <c r="AK4191" s="21">
        <f>_xll.qlCalendarAdvance(calendar,AK4190,"1D")</f>
        <v>48522</v>
      </c>
      <c r="AL4191" s="21">
        <f>_xll.qlInterestRateIndexValueDate(hiborindex,AK4191)</f>
        <v>48526</v>
      </c>
      <c r="AM4191" s="23">
        <f>_xll.qlIndexFixing(hiborindex,AK4191)</f>
        <v>1.2016509377152831E-2</v>
      </c>
    </row>
    <row r="4192" spans="37:39" x14ac:dyDescent="0.25">
      <c r="AK4192" s="21">
        <f>_xll.qlCalendarAdvance(calendar,AK4191,"1D")</f>
        <v>48523</v>
      </c>
      <c r="AL4192" s="21">
        <f>_xll.qlInterestRateIndexValueDate(hiborindex,AK4192)</f>
        <v>48527</v>
      </c>
      <c r="AM4192" s="23">
        <f>_xll.qlIndexFixing(hiborindex,AK4192)</f>
        <v>1.2017065594468622E-2</v>
      </c>
    </row>
    <row r="4193" spans="37:39" x14ac:dyDescent="0.25">
      <c r="AK4193" s="21">
        <f>_xll.qlCalendarAdvance(calendar,AK4192,"1D")</f>
        <v>48526</v>
      </c>
      <c r="AL4193" s="21">
        <f>_xll.qlInterestRateIndexValueDate(hiborindex,AK4193)</f>
        <v>48528</v>
      </c>
      <c r="AM4193" s="23">
        <f>_xll.qlIndexFixing(hiborindex,AK4193)</f>
        <v>1.2018578317124268E-2</v>
      </c>
    </row>
    <row r="4194" spans="37:39" x14ac:dyDescent="0.25">
      <c r="AK4194" s="21">
        <f>_xll.qlCalendarAdvance(calendar,AK4193,"1D")</f>
        <v>48527</v>
      </c>
      <c r="AL4194" s="21">
        <f>_xll.qlInterestRateIndexValueDate(hiborindex,AK4194)</f>
        <v>48529</v>
      </c>
      <c r="AM4194" s="23">
        <f>_xll.qlIndexFixing(hiborindex,AK4194)</f>
        <v>1.2020091040923752E-2</v>
      </c>
    </row>
    <row r="4195" spans="37:39" x14ac:dyDescent="0.25">
      <c r="AK4195" s="21">
        <f>_xll.qlCalendarAdvance(calendar,AK4194,"1D")</f>
        <v>48528</v>
      </c>
      <c r="AL4195" s="21">
        <f>_xll.qlInterestRateIndexValueDate(hiborindex,AK4195)</f>
        <v>48530</v>
      </c>
      <c r="AM4195" s="23">
        <f>_xll.qlIndexFixing(hiborindex,AK4195)</f>
        <v>1.2021603765866631E-2</v>
      </c>
    </row>
    <row r="4196" spans="37:39" x14ac:dyDescent="0.25">
      <c r="AK4196" s="21">
        <f>_xll.qlCalendarAdvance(calendar,AK4195,"1D")</f>
        <v>48529</v>
      </c>
      <c r="AL4196" s="21">
        <f>_xll.qlInterestRateIndexValueDate(hiborindex,AK4196)</f>
        <v>48533</v>
      </c>
      <c r="AM4196" s="23">
        <f>_xll.qlIndexFixing(hiborindex,AK4196)</f>
        <v>1.202709880830149E-2</v>
      </c>
    </row>
    <row r="4197" spans="37:39" x14ac:dyDescent="0.25">
      <c r="AK4197" s="21">
        <f>_xll.qlCalendarAdvance(calendar,AK4196,"1D")</f>
        <v>48530</v>
      </c>
      <c r="AL4197" s="21">
        <f>_xll.qlInterestRateIndexValueDate(hiborindex,AK4197)</f>
        <v>48534</v>
      </c>
      <c r="AM4197" s="23">
        <f>_xll.qlIndexFixing(hiborindex,AK4197)</f>
        <v>1.2027654677073858E-2</v>
      </c>
    </row>
    <row r="4198" spans="37:39" x14ac:dyDescent="0.25">
      <c r="AK4198" s="21">
        <f>_xll.qlCalendarAdvance(calendar,AK4197,"1D")</f>
        <v>48533</v>
      </c>
      <c r="AL4198" s="21">
        <f>_xll.qlInterestRateIndexValueDate(hiborindex,AK4198)</f>
        <v>48535</v>
      </c>
      <c r="AM4198" s="23">
        <f>_xll.qlIndexFixing(hiborindex,AK4198)</f>
        <v>1.2029167407735035E-2</v>
      </c>
    </row>
    <row r="4199" spans="37:39" x14ac:dyDescent="0.25">
      <c r="AK4199" s="21">
        <f>_xll.qlCalendarAdvance(calendar,AK4198,"1D")</f>
        <v>48534</v>
      </c>
      <c r="AL4199" s="21">
        <f>_xll.qlInterestRateIndexValueDate(hiborindex,AK4199)</f>
        <v>48536</v>
      </c>
      <c r="AM4199" s="23">
        <f>_xll.qlIndexFixing(hiborindex,AK4199)</f>
        <v>1.2030680139539607E-2</v>
      </c>
    </row>
    <row r="4200" spans="37:39" x14ac:dyDescent="0.25">
      <c r="AK4200" s="21">
        <f>_xll.qlCalendarAdvance(calendar,AK4199,"1D")</f>
        <v>48535</v>
      </c>
      <c r="AL4200" s="21">
        <f>_xll.qlInterestRateIndexValueDate(hiborindex,AK4200)</f>
        <v>48537</v>
      </c>
      <c r="AM4200" s="23">
        <f>_xll.qlIndexFixing(hiborindex,AK4200)</f>
        <v>1.2032192872488015E-2</v>
      </c>
    </row>
    <row r="4201" spans="37:39" x14ac:dyDescent="0.25">
      <c r="AK4201" s="21">
        <f>_xll.qlCalendarAdvance(calendar,AK4200,"1D")</f>
        <v>48536</v>
      </c>
      <c r="AL4201" s="21">
        <f>_xll.qlInterestRateIndexValueDate(hiborindex,AK4201)</f>
        <v>48540</v>
      </c>
      <c r="AM4201" s="23">
        <f>_xll.qlIndexFixing(hiborindex,AK4201)</f>
        <v>1.203768829579936E-2</v>
      </c>
    </row>
    <row r="4202" spans="37:39" x14ac:dyDescent="0.25">
      <c r="AK4202" s="21">
        <f>_xll.qlCalendarAdvance(calendar,AK4201,"1D")</f>
        <v>48537</v>
      </c>
      <c r="AL4202" s="21">
        <f>_xll.qlInterestRateIndexValueDate(hiborindex,AK4202)</f>
        <v>48541</v>
      </c>
      <c r="AM4202" s="23">
        <f>_xll.qlIndexFixing(hiborindex,AK4202)</f>
        <v>1.2038243815716479E-2</v>
      </c>
    </row>
    <row r="4203" spans="37:39" x14ac:dyDescent="0.25">
      <c r="AK4203" s="21">
        <f>_xll.qlCalendarAdvance(calendar,AK4202,"1D")</f>
        <v>48540</v>
      </c>
      <c r="AL4203" s="21">
        <f>_xll.qlInterestRateIndexValueDate(hiborindex,AK4203)</f>
        <v>48542</v>
      </c>
      <c r="AM4203" s="23">
        <f>_xll.qlIndexFixing(hiborindex,AK4203)</f>
        <v>1.2039756554382745E-2</v>
      </c>
    </row>
    <row r="4204" spans="37:39" x14ac:dyDescent="0.25">
      <c r="AK4204" s="21">
        <f>_xll.qlCalendarAdvance(calendar,AK4203,"1D")</f>
        <v>48541</v>
      </c>
      <c r="AL4204" s="21">
        <f>_xll.qlInterestRateIndexValueDate(hiborindex,AK4204)</f>
        <v>48543</v>
      </c>
      <c r="AM4204" s="23">
        <f>_xll.qlIndexFixing(hiborindex,AK4204)</f>
        <v>1.2041269294192846E-2</v>
      </c>
    </row>
    <row r="4205" spans="37:39" x14ac:dyDescent="0.25">
      <c r="AK4205" s="21">
        <f>_xll.qlCalendarAdvance(calendar,AK4204,"1D")</f>
        <v>48542</v>
      </c>
      <c r="AL4205" s="21">
        <f>_xll.qlInterestRateIndexValueDate(hiborindex,AK4205)</f>
        <v>48544</v>
      </c>
      <c r="AM4205" s="23">
        <f>_xll.qlIndexFixing(hiborindex,AK4205)</f>
        <v>1.2042782035146343E-2</v>
      </c>
    </row>
    <row r="4206" spans="37:39" x14ac:dyDescent="0.25">
      <c r="AK4206" s="21">
        <f>_xll.qlCalendarAdvance(calendar,AK4205,"1D")</f>
        <v>48543</v>
      </c>
      <c r="AL4206" s="21">
        <f>_xll.qlInterestRateIndexValueDate(hiborindex,AK4206)</f>
        <v>48547</v>
      </c>
      <c r="AM4206" s="23">
        <f>_xll.qlIndexFixing(hiborindex,AK4206)</f>
        <v>1.2048277839646002E-2</v>
      </c>
    </row>
    <row r="4207" spans="37:39" x14ac:dyDescent="0.25">
      <c r="AK4207" s="21">
        <f>_xll.qlCalendarAdvance(calendar,AK4206,"1D")</f>
        <v>48544</v>
      </c>
      <c r="AL4207" s="21">
        <f>_xll.qlInterestRateIndexValueDate(hiborindex,AK4207)</f>
        <v>48548</v>
      </c>
      <c r="AM4207" s="23">
        <f>_xll.qlIndexFixing(hiborindex,AK4207)</f>
        <v>1.2049790636223679E-2</v>
      </c>
    </row>
    <row r="4208" spans="37:39" x14ac:dyDescent="0.25">
      <c r="AK4208" s="21">
        <f>_xll.qlCalendarAdvance(calendar,AK4207,"1D")</f>
        <v>48547</v>
      </c>
      <c r="AL4208" s="21">
        <f>_xll.qlInterestRateIndexValueDate(hiborindex,AK4208)</f>
        <v>48549</v>
      </c>
      <c r="AM4208" s="23">
        <f>_xll.qlIndexFixing(hiborindex,AK4208)</f>
        <v>1.2051303433951645E-2</v>
      </c>
    </row>
    <row r="4209" spans="37:39" x14ac:dyDescent="0.25">
      <c r="AK4209" s="21">
        <f>_xll.qlCalendarAdvance(calendar,AK4208,"1D")</f>
        <v>48548</v>
      </c>
      <c r="AL4209" s="21">
        <f>_xll.qlInterestRateIndexValueDate(hiborindex,AK4209)</f>
        <v>48550</v>
      </c>
      <c r="AM4209" s="23">
        <f>_xll.qlIndexFixing(hiborindex,AK4209)</f>
        <v>1.2052816232829461E-2</v>
      </c>
    </row>
    <row r="4210" spans="37:39" x14ac:dyDescent="0.25">
      <c r="AK4210" s="21">
        <f>_xll.qlCalendarAdvance(calendar,AK4209,"1D")</f>
        <v>48549</v>
      </c>
      <c r="AL4210" s="21">
        <f>_xll.qlInterestRateIndexValueDate(hiborindex,AK4210)</f>
        <v>48551</v>
      </c>
      <c r="AM4210" s="23">
        <f>_xll.qlIndexFixing(hiborindex,AK4210)</f>
        <v>1.2054329032857565E-2</v>
      </c>
    </row>
    <row r="4211" spans="37:39" x14ac:dyDescent="0.25">
      <c r="AK4211" s="21">
        <f>_xll.qlCalendarAdvance(calendar,AK4210,"1D")</f>
        <v>48550</v>
      </c>
      <c r="AL4211" s="21">
        <f>_xll.qlInterestRateIndexValueDate(hiborindex,AK4211)</f>
        <v>48554</v>
      </c>
      <c r="AM4211" s="23">
        <f>_xll.qlIndexFixing(hiborindex,AK4211)</f>
        <v>1.2058867439841414E-2</v>
      </c>
    </row>
    <row r="4212" spans="37:39" x14ac:dyDescent="0.25">
      <c r="AK4212" s="21">
        <f>_xll.qlCalendarAdvance(calendar,AK4211,"1D")</f>
        <v>48551</v>
      </c>
      <c r="AL4212" s="21">
        <f>_xll.qlInterestRateIndexValueDate(hiborindex,AK4212)</f>
        <v>48555</v>
      </c>
      <c r="AM4212" s="23">
        <f>_xll.qlIndexFixing(hiborindex,AK4212)</f>
        <v>1.2060380244469355E-2</v>
      </c>
    </row>
    <row r="4213" spans="37:39" x14ac:dyDescent="0.25">
      <c r="AK4213" s="21">
        <f>_xll.qlCalendarAdvance(calendar,AK4212,"1D")</f>
        <v>48554</v>
      </c>
      <c r="AL4213" s="21">
        <f>_xll.qlInterestRateIndexValueDate(hiborindex,AK4213)</f>
        <v>48556</v>
      </c>
      <c r="AM4213" s="23">
        <f>_xll.qlIndexFixing(hiborindex,AK4213)</f>
        <v>1.2061893050247586E-2</v>
      </c>
    </row>
    <row r="4214" spans="37:39" x14ac:dyDescent="0.25">
      <c r="AK4214" s="21">
        <f>_xll.qlCalendarAdvance(calendar,AK4213,"1D")</f>
        <v>48555</v>
      </c>
      <c r="AL4214" s="21">
        <f>_xll.qlInterestRateIndexValueDate(hiborindex,AK4214)</f>
        <v>48557</v>
      </c>
      <c r="AM4214" s="23">
        <f>_xll.qlIndexFixing(hiborindex,AK4214)</f>
        <v>1.2063405857175226E-2</v>
      </c>
    </row>
    <row r="4215" spans="37:39" x14ac:dyDescent="0.25">
      <c r="AK4215" s="21">
        <f>_xll.qlCalendarAdvance(calendar,AK4214,"1D")</f>
        <v>48556</v>
      </c>
      <c r="AL4215" s="21">
        <f>_xll.qlInterestRateIndexValueDate(hiborindex,AK4215)</f>
        <v>48558</v>
      </c>
      <c r="AM4215" s="23">
        <f>_xll.qlIndexFixing(hiborindex,AK4215)</f>
        <v>1.2064918665253156E-2</v>
      </c>
    </row>
    <row r="4216" spans="37:39" x14ac:dyDescent="0.25">
      <c r="AK4216" s="21">
        <f>_xll.qlCalendarAdvance(calendar,AK4215,"1D")</f>
        <v>48557</v>
      </c>
      <c r="AL4216" s="21">
        <f>_xll.qlInterestRateIndexValueDate(hiborindex,AK4216)</f>
        <v>48561</v>
      </c>
      <c r="AM4216" s="23">
        <f>_xll.qlIndexFixing(hiborindex,AK4216)</f>
        <v>1.2069457096387357E-2</v>
      </c>
    </row>
    <row r="4217" spans="37:39" x14ac:dyDescent="0.25">
      <c r="AK4217" s="21">
        <f>_xll.qlCalendarAdvance(calendar,AK4216,"1D")</f>
        <v>48558</v>
      </c>
      <c r="AL4217" s="21">
        <f>_xll.qlInterestRateIndexValueDate(hiborindex,AK4217)</f>
        <v>48562</v>
      </c>
      <c r="AM4217" s="23">
        <f>_xll.qlIndexFixing(hiborindex,AK4217)</f>
        <v>1.2070969909065123E-2</v>
      </c>
    </row>
    <row r="4218" spans="37:39" x14ac:dyDescent="0.25">
      <c r="AK4218" s="21">
        <f>_xll.qlCalendarAdvance(calendar,AK4217,"1D")</f>
        <v>48561</v>
      </c>
      <c r="AL4218" s="21">
        <f>_xll.qlInterestRateIndexValueDate(hiborindex,AK4218)</f>
        <v>48563</v>
      </c>
      <c r="AM4218" s="23">
        <f>_xll.qlIndexFixing(hiborindex,AK4218)</f>
        <v>1.2072482722892738E-2</v>
      </c>
    </row>
    <row r="4219" spans="37:39" x14ac:dyDescent="0.25">
      <c r="AK4219" s="21">
        <f>_xll.qlCalendarAdvance(calendar,AK4218,"1D")</f>
        <v>48562</v>
      </c>
      <c r="AL4219" s="21">
        <f>_xll.qlInterestRateIndexValueDate(hiborindex,AK4219)</f>
        <v>48564</v>
      </c>
      <c r="AM4219" s="23">
        <f>_xll.qlIndexFixing(hiborindex,AK4219)</f>
        <v>1.2073995537870643E-2</v>
      </c>
    </row>
    <row r="4220" spans="37:39" x14ac:dyDescent="0.25">
      <c r="AK4220" s="21">
        <f>_xll.qlCalendarAdvance(calendar,AK4219,"1D")</f>
        <v>48563</v>
      </c>
      <c r="AL4220" s="21">
        <f>_xll.qlInterestRateIndexValueDate(hiborindex,AK4220)</f>
        <v>48565</v>
      </c>
      <c r="AM4220" s="23">
        <f>_xll.qlIndexFixing(hiborindex,AK4220)</f>
        <v>1.2075508353998834E-2</v>
      </c>
    </row>
    <row r="4221" spans="37:39" x14ac:dyDescent="0.25">
      <c r="AK4221" s="21">
        <f>_xll.qlCalendarAdvance(calendar,AK4220,"1D")</f>
        <v>48564</v>
      </c>
      <c r="AL4221" s="21">
        <f>_xll.qlInterestRateIndexValueDate(hiborindex,AK4221)</f>
        <v>48568</v>
      </c>
      <c r="AM4221" s="23">
        <f>_xll.qlIndexFixing(hiborindex,AK4221)</f>
        <v>1.2080046809282071E-2</v>
      </c>
    </row>
    <row r="4222" spans="37:39" x14ac:dyDescent="0.25">
      <c r="AK4222" s="21">
        <f>_xll.qlCalendarAdvance(calendar,AK4221,"1D")</f>
        <v>48565</v>
      </c>
      <c r="AL4222" s="21">
        <f>_xll.qlInterestRateIndexValueDate(hiborindex,AK4222)</f>
        <v>48569</v>
      </c>
      <c r="AM4222" s="23">
        <f>_xll.qlIndexFixing(hiborindex,AK4222)</f>
        <v>1.20815596300101E-2</v>
      </c>
    </row>
    <row r="4223" spans="37:39" x14ac:dyDescent="0.25">
      <c r="AK4223" s="21">
        <f>_xll.qlCalendarAdvance(calendar,AK4222,"1D")</f>
        <v>48568</v>
      </c>
      <c r="AL4223" s="21">
        <f>_xll.qlInterestRateIndexValueDate(hiborindex,AK4223)</f>
        <v>48570</v>
      </c>
      <c r="AM4223" s="23">
        <f>_xll.qlIndexFixing(hiborindex,AK4223)</f>
        <v>1.2083072451887979E-2</v>
      </c>
    </row>
    <row r="4224" spans="37:39" x14ac:dyDescent="0.25">
      <c r="AK4224" s="21">
        <f>_xll.qlCalendarAdvance(calendar,AK4223,"1D")</f>
        <v>48569</v>
      </c>
      <c r="AL4224" s="21">
        <f>_xll.qlInterestRateIndexValueDate(hiborindex,AK4224)</f>
        <v>48571</v>
      </c>
      <c r="AM4224" s="23">
        <f>_xll.qlIndexFixing(hiborindex,AK4224)</f>
        <v>1.2084585274916147E-2</v>
      </c>
    </row>
    <row r="4225" spans="37:39" x14ac:dyDescent="0.25">
      <c r="AK4225" s="21">
        <f>_xll.qlCalendarAdvance(calendar,AK4224,"1D")</f>
        <v>48570</v>
      </c>
      <c r="AL4225" s="21">
        <f>_xll.qlInterestRateIndexValueDate(hiborindex,AK4225)</f>
        <v>48572</v>
      </c>
      <c r="AM4225" s="23">
        <f>_xll.qlIndexFixing(hiborindex,AK4225)</f>
        <v>1.2086098099093725E-2</v>
      </c>
    </row>
    <row r="4226" spans="37:39" x14ac:dyDescent="0.25">
      <c r="AK4226" s="21">
        <f>_xll.qlCalendarAdvance(calendar,AK4225,"1D")</f>
        <v>48571</v>
      </c>
      <c r="AL4226" s="21">
        <f>_xll.qlInterestRateIndexValueDate(hiborindex,AK4226)</f>
        <v>48575</v>
      </c>
      <c r="AM4226" s="23">
        <f>_xll.qlIndexFixing(hiborindex,AK4226)</f>
        <v>1.2090636578527752E-2</v>
      </c>
    </row>
    <row r="4227" spans="37:39" x14ac:dyDescent="0.25">
      <c r="AK4227" s="21">
        <f>_xll.qlCalendarAdvance(calendar,AK4226,"1D")</f>
        <v>48572</v>
      </c>
      <c r="AL4227" s="21">
        <f>_xll.qlInterestRateIndexValueDate(hiborindex,AK4227)</f>
        <v>48576</v>
      </c>
      <c r="AM4227" s="23">
        <f>_xll.qlIndexFixing(hiborindex,AK4227)</f>
        <v>1.2092149407306045E-2</v>
      </c>
    </row>
    <row r="4228" spans="37:39" x14ac:dyDescent="0.25">
      <c r="AK4228" s="21">
        <f>_xll.qlCalendarAdvance(calendar,AK4227,"1D")</f>
        <v>48575</v>
      </c>
      <c r="AL4228" s="21">
        <f>_xll.qlInterestRateIndexValueDate(hiborindex,AK4228)</f>
        <v>48577</v>
      </c>
      <c r="AM4228" s="23">
        <f>_xll.qlIndexFixing(hiborindex,AK4228)</f>
        <v>1.2093662237233309E-2</v>
      </c>
    </row>
    <row r="4229" spans="37:39" x14ac:dyDescent="0.25">
      <c r="AK4229" s="21">
        <f>_xll.qlCalendarAdvance(calendar,AK4228,"1D")</f>
        <v>48576</v>
      </c>
      <c r="AL4229" s="21">
        <f>_xll.qlInterestRateIndexValueDate(hiborindex,AK4229)</f>
        <v>48578</v>
      </c>
      <c r="AM4229" s="23">
        <f>_xll.qlIndexFixing(hiborindex,AK4229)</f>
        <v>1.2095175068311741E-2</v>
      </c>
    </row>
    <row r="4230" spans="37:39" x14ac:dyDescent="0.25">
      <c r="AK4230" s="21">
        <f>_xll.qlCalendarAdvance(calendar,AK4229,"1D")</f>
        <v>48577</v>
      </c>
      <c r="AL4230" s="21">
        <f>_xll.qlInterestRateIndexValueDate(hiborindex,AK4230)</f>
        <v>48579</v>
      </c>
      <c r="AM4230" s="23">
        <f>_xll.qlIndexFixing(hiborindex,AK4230)</f>
        <v>1.2095728689009792E-2</v>
      </c>
    </row>
    <row r="4231" spans="37:39" x14ac:dyDescent="0.25">
      <c r="AK4231" s="21">
        <f>_xll.qlCalendarAdvance(calendar,AK4230,"1D")</f>
        <v>48578</v>
      </c>
      <c r="AL4231" s="21">
        <f>_xll.qlInterestRateIndexValueDate(hiborindex,AK4231)</f>
        <v>48582</v>
      </c>
      <c r="AM4231" s="23">
        <f>_xll.qlIndexFixing(hiborindex,AK4231)</f>
        <v>1.2077483996656218E-2</v>
      </c>
    </row>
    <row r="4232" spans="37:39" x14ac:dyDescent="0.25">
      <c r="AK4232" s="21">
        <f>_xll.qlCalendarAdvance(calendar,AK4231,"1D")</f>
        <v>48579</v>
      </c>
      <c r="AL4232" s="21">
        <f>_xll.qlInterestRateIndexValueDate(hiborindex,AK4232)</f>
        <v>48583</v>
      </c>
      <c r="AM4232" s="23">
        <f>_xll.qlIndexFixing(hiborindex,AK4232)</f>
        <v>1.207790703439718E-2</v>
      </c>
    </row>
    <row r="4233" spans="37:39" x14ac:dyDescent="0.25">
      <c r="AK4233" s="21">
        <f>_xll.qlCalendarAdvance(calendar,AK4232,"1D")</f>
        <v>48582</v>
      </c>
      <c r="AL4233" s="21">
        <f>_xll.qlInterestRateIndexValueDate(hiborindex,AK4233)</f>
        <v>48584</v>
      </c>
      <c r="AM4233" s="23">
        <f>_xll.qlIndexFixing(hiborindex,AK4233)</f>
        <v>1.2073446844138065E-2</v>
      </c>
    </row>
    <row r="4234" spans="37:39" x14ac:dyDescent="0.25">
      <c r="AK4234" s="21">
        <f>_xll.qlCalendarAdvance(calendar,AK4233,"1D")</f>
        <v>48583</v>
      </c>
      <c r="AL4234" s="21">
        <f>_xll.qlInterestRateIndexValueDate(hiborindex,AK4234)</f>
        <v>48585</v>
      </c>
      <c r="AM4234" s="23">
        <f>_xll.qlIndexFixing(hiborindex,AK4234)</f>
        <v>1.2068984743261872E-2</v>
      </c>
    </row>
    <row r="4235" spans="37:39" x14ac:dyDescent="0.25">
      <c r="AK4235" s="21">
        <f>_xll.qlCalendarAdvance(calendar,AK4234,"1D")</f>
        <v>48584</v>
      </c>
      <c r="AL4235" s="21">
        <f>_xll.qlInterestRateIndexValueDate(hiborindex,AK4235)</f>
        <v>48586</v>
      </c>
      <c r="AM4235" s="23">
        <f>_xll.qlIndexFixing(hiborindex,AK4235)</f>
        <v>1.2064520731781407E-2</v>
      </c>
    </row>
    <row r="4236" spans="37:39" x14ac:dyDescent="0.25">
      <c r="AK4236" s="21">
        <f>_xll.qlCalendarAdvance(calendar,AK4235,"1D")</f>
        <v>48585</v>
      </c>
      <c r="AL4236" s="21">
        <f>_xll.qlInterestRateIndexValueDate(hiborindex,AK4236)</f>
        <v>48589</v>
      </c>
      <c r="AM4236" s="23">
        <f>_xll.qlIndexFixing(hiborindex,AK4236)</f>
        <v>1.2046451462829186E-2</v>
      </c>
    </row>
    <row r="4237" spans="37:39" x14ac:dyDescent="0.25">
      <c r="AK4237" s="21">
        <f>_xll.qlCalendarAdvance(calendar,AK4236,"1D")</f>
        <v>48586</v>
      </c>
      <c r="AL4237" s="21">
        <f>_xll.qlInterestRateIndexValueDate(hiborindex,AK4237)</f>
        <v>48590</v>
      </c>
      <c r="AM4237" s="23">
        <f>_xll.qlIndexFixing(hiborindex,AK4237)</f>
        <v>1.2046645580076513E-2</v>
      </c>
    </row>
    <row r="4238" spans="37:39" x14ac:dyDescent="0.25">
      <c r="AK4238" s="21">
        <f>_xll.qlCalendarAdvance(calendar,AK4237,"1D")</f>
        <v>48589</v>
      </c>
      <c r="AL4238" s="21">
        <f>_xll.qlInterestRateIndexValueDate(hiborindex,AK4238)</f>
        <v>48591</v>
      </c>
      <c r="AM4238" s="23">
        <f>_xll.qlIndexFixing(hiborindex,AK4238)</f>
        <v>1.2042172015768569E-2</v>
      </c>
    </row>
    <row r="4239" spans="37:39" x14ac:dyDescent="0.25">
      <c r="AK4239" s="21">
        <f>_xll.qlCalendarAdvance(calendar,AK4238,"1D")</f>
        <v>48590</v>
      </c>
      <c r="AL4239" s="21">
        <f>_xll.qlInterestRateIndexValueDate(hiborindex,AK4239)</f>
        <v>48592</v>
      </c>
      <c r="AM4239" s="23">
        <f>_xll.qlIndexFixing(hiborindex,AK4239)</f>
        <v>1.2037696540933639E-2</v>
      </c>
    </row>
    <row r="4240" spans="37:39" x14ac:dyDescent="0.25">
      <c r="AK4240" s="21">
        <f>_xll.qlCalendarAdvance(calendar,AK4239,"1D")</f>
        <v>48591</v>
      </c>
      <c r="AL4240" s="21">
        <f>_xll.qlInterestRateIndexValueDate(hiborindex,AK4240)</f>
        <v>48593</v>
      </c>
      <c r="AM4240" s="23">
        <f>_xll.qlIndexFixing(hiborindex,AK4240)</f>
        <v>1.2033219155584533E-2</v>
      </c>
    </row>
    <row r="4241" spans="37:39" x14ac:dyDescent="0.25">
      <c r="AK4241" s="21">
        <f>_xll.qlCalendarAdvance(calendar,AK4240,"1D")</f>
        <v>48592</v>
      </c>
      <c r="AL4241" s="21">
        <f>_xll.qlInterestRateIndexValueDate(hiborindex,AK4241)</f>
        <v>48596</v>
      </c>
      <c r="AM4241" s="23">
        <f>_xll.qlIndexFixing(hiborindex,AK4241)</f>
        <v>1.201532582201981E-2</v>
      </c>
    </row>
    <row r="4242" spans="37:39" x14ac:dyDescent="0.25">
      <c r="AK4242" s="21">
        <f>_xll.qlCalendarAdvance(calendar,AK4241,"1D")</f>
        <v>48593</v>
      </c>
      <c r="AL4242" s="21">
        <f>_xll.qlInterestRateIndexValueDate(hiborindex,AK4242)</f>
        <v>48597</v>
      </c>
      <c r="AM4242" s="23">
        <f>_xll.qlIndexFixing(hiborindex,AK4242)</f>
        <v>1.2015290509304239E-2</v>
      </c>
    </row>
    <row r="4243" spans="37:39" x14ac:dyDescent="0.25">
      <c r="AK4243" s="21">
        <f>_xll.qlCalendarAdvance(calendar,AK4242,"1D")</f>
        <v>48596</v>
      </c>
      <c r="AL4243" s="21">
        <f>_xll.qlInterestRateIndexValueDate(hiborindex,AK4243)</f>
        <v>48598</v>
      </c>
      <c r="AM4243" s="23">
        <f>_xll.qlIndexFixing(hiborindex,AK4243)</f>
        <v>1.201080357157812E-2</v>
      </c>
    </row>
    <row r="4244" spans="37:39" x14ac:dyDescent="0.25">
      <c r="AK4244" s="21">
        <f>_xll.qlCalendarAdvance(calendar,AK4243,"1D")</f>
        <v>48597</v>
      </c>
      <c r="AL4244" s="21">
        <f>_xll.qlInterestRateIndexValueDate(hiborindex,AK4244)</f>
        <v>48599</v>
      </c>
      <c r="AM4244" s="23">
        <f>_xll.qlIndexFixing(hiborindex,AK4244)</f>
        <v>1.2006314723414669E-2</v>
      </c>
    </row>
    <row r="4245" spans="37:39" x14ac:dyDescent="0.25">
      <c r="AK4245" s="21">
        <f>_xll.qlCalendarAdvance(calendar,AK4244,"1D")</f>
        <v>48598</v>
      </c>
      <c r="AL4245" s="21">
        <f>_xll.qlInterestRateIndexValueDate(hiborindex,AK4245)</f>
        <v>48600</v>
      </c>
      <c r="AM4245" s="23">
        <f>_xll.qlIndexFixing(hiborindex,AK4245)</f>
        <v>1.2001823964827133E-2</v>
      </c>
    </row>
    <row r="4246" spans="37:39" x14ac:dyDescent="0.25">
      <c r="AK4246" s="21">
        <f>_xll.qlCalendarAdvance(calendar,AK4245,"1D")</f>
        <v>48599</v>
      </c>
      <c r="AL4246" s="21">
        <f>_xll.qlInterestRateIndexValueDate(hiborindex,AK4246)</f>
        <v>48603</v>
      </c>
      <c r="AM4246" s="23">
        <f>_xll.qlIndexFixing(hiborindex,AK4246)</f>
        <v>1.1984107078613155E-2</v>
      </c>
    </row>
    <row r="4247" spans="37:39" x14ac:dyDescent="0.25">
      <c r="AK4247" s="21">
        <f>_xll.qlCalendarAdvance(calendar,AK4246,"1D")</f>
        <v>48600</v>
      </c>
      <c r="AL4247" s="21">
        <f>_xll.qlInterestRateIndexValueDate(hiborindex,AK4247)</f>
        <v>48604</v>
      </c>
      <c r="AM4247" s="23">
        <f>_xll.qlIndexFixing(hiborindex,AK4247)</f>
        <v>1.1983841826497157E-2</v>
      </c>
    </row>
    <row r="4248" spans="37:39" x14ac:dyDescent="0.25">
      <c r="AK4248" s="21">
        <f>_xll.qlCalendarAdvance(calendar,AK4247,"1D")</f>
        <v>48603</v>
      </c>
      <c r="AL4248" s="21">
        <f>_xll.qlInterestRateIndexValueDate(hiborindex,AK4248)</f>
        <v>48605</v>
      </c>
      <c r="AM4248" s="23">
        <f>_xll.qlIndexFixing(hiborindex,AK4248)</f>
        <v>1.1979341515984404E-2</v>
      </c>
    </row>
    <row r="4249" spans="37:39" x14ac:dyDescent="0.25">
      <c r="AK4249" s="21">
        <f>_xll.qlCalendarAdvance(calendar,AK4248,"1D")</f>
        <v>48604</v>
      </c>
      <c r="AL4249" s="21">
        <f>_xll.qlInterestRateIndexValueDate(hiborindex,AK4249)</f>
        <v>48606</v>
      </c>
      <c r="AM4249" s="23">
        <f>_xll.qlIndexFixing(hiborindex,AK4249)</f>
        <v>1.197483929512441E-2</v>
      </c>
    </row>
    <row r="4250" spans="37:39" x14ac:dyDescent="0.25">
      <c r="AK4250" s="21">
        <f>_xll.qlCalendarAdvance(calendar,AK4249,"1D")</f>
        <v>48605</v>
      </c>
      <c r="AL4250" s="21">
        <f>_xll.qlInterestRateIndexValueDate(hiborindex,AK4250)</f>
        <v>48607</v>
      </c>
      <c r="AM4250" s="23">
        <f>_xll.qlIndexFixing(hiborindex,AK4250)</f>
        <v>1.1970335163931752E-2</v>
      </c>
    </row>
    <row r="4251" spans="37:39" x14ac:dyDescent="0.25">
      <c r="AK4251" s="21">
        <f>_xll.qlCalendarAdvance(calendar,AK4250,"1D")</f>
        <v>48606</v>
      </c>
      <c r="AL4251" s="21">
        <f>_xll.qlInterestRateIndexValueDate(hiborindex,AK4251)</f>
        <v>48610</v>
      </c>
      <c r="AM4251" s="23">
        <f>_xll.qlIndexFixing(hiborindex,AK4251)</f>
        <v>1.1965003425118179E-2</v>
      </c>
    </row>
    <row r="4252" spans="37:39" x14ac:dyDescent="0.25">
      <c r="AK4252" s="21">
        <f>_xll.qlCalendarAdvance(calendar,AK4251,"1D")</f>
        <v>48607</v>
      </c>
      <c r="AL4252" s="21">
        <f>_xll.qlInterestRateIndexValueDate(hiborindex,AK4252)</f>
        <v>48611</v>
      </c>
      <c r="AM4252" s="23">
        <f>_xll.qlIndexFixing(hiborindex,AK4252)</f>
        <v>1.195229953608443E-2</v>
      </c>
    </row>
    <row r="4253" spans="37:39" x14ac:dyDescent="0.25">
      <c r="AK4253" s="21">
        <f>_xll.qlCalendarAdvance(calendar,AK4252,"1D")</f>
        <v>48610</v>
      </c>
      <c r="AL4253" s="21">
        <f>_xll.qlInterestRateIndexValueDate(hiborindex,AK4253)</f>
        <v>48612</v>
      </c>
      <c r="AM4253" s="23">
        <f>_xll.qlIndexFixing(hiborindex,AK4253)</f>
        <v>1.1947785853418788E-2</v>
      </c>
    </row>
    <row r="4254" spans="37:39" x14ac:dyDescent="0.25">
      <c r="AK4254" s="21">
        <f>_xll.qlCalendarAdvance(calendar,AK4253,"1D")</f>
        <v>48611</v>
      </c>
      <c r="AL4254" s="21">
        <f>_xll.qlInterestRateIndexValueDate(hiborindex,AK4254)</f>
        <v>48613</v>
      </c>
      <c r="AM4254" s="23">
        <f>_xll.qlIndexFixing(hiborindex,AK4254)</f>
        <v>1.1943270260496885E-2</v>
      </c>
    </row>
    <row r="4255" spans="37:39" x14ac:dyDescent="0.25">
      <c r="AK4255" s="21">
        <f>_xll.qlCalendarAdvance(calendar,AK4254,"1D")</f>
        <v>48612</v>
      </c>
      <c r="AL4255" s="21">
        <f>_xll.qlInterestRateIndexValueDate(hiborindex,AK4255)</f>
        <v>48614</v>
      </c>
      <c r="AM4255" s="23">
        <f>_xll.qlIndexFixing(hiborindex,AK4255)</f>
        <v>1.1938752757332409E-2</v>
      </c>
    </row>
    <row r="4256" spans="37:39" x14ac:dyDescent="0.25">
      <c r="AK4256" s="21">
        <f>_xll.qlCalendarAdvance(calendar,AK4255,"1D")</f>
        <v>48613</v>
      </c>
      <c r="AL4256" s="21">
        <f>_xll.qlInterestRateIndexValueDate(hiborindex,AK4256)</f>
        <v>48617</v>
      </c>
      <c r="AM4256" s="23">
        <f>_xll.qlIndexFixing(hiborindex,AK4256)</f>
        <v>1.1921390301605796E-2</v>
      </c>
    </row>
    <row r="4257" spans="37:39" x14ac:dyDescent="0.25">
      <c r="AK4257" s="21">
        <f>_xll.qlCalendarAdvance(calendar,AK4256,"1D")</f>
        <v>48614</v>
      </c>
      <c r="AL4257" s="21">
        <f>_xll.qlInterestRateIndexValueDate(hiborindex,AK4257)</f>
        <v>48618</v>
      </c>
      <c r="AM4257" s="23">
        <f>_xll.qlIndexFixing(hiborindex,AK4257)</f>
        <v>1.1920663642508029E-2</v>
      </c>
    </row>
    <row r="4258" spans="37:39" x14ac:dyDescent="0.25">
      <c r="AK4258" s="21">
        <f>_xll.qlCalendarAdvance(calendar,AK4257,"1D")</f>
        <v>48617</v>
      </c>
      <c r="AL4258" s="21">
        <f>_xll.qlInterestRateIndexValueDate(hiborindex,AK4258)</f>
        <v>48619</v>
      </c>
      <c r="AM4258" s="23">
        <f>_xll.qlIndexFixing(hiborindex,AK4258)</f>
        <v>1.1916136588325014E-2</v>
      </c>
    </row>
    <row r="4259" spans="37:39" x14ac:dyDescent="0.25">
      <c r="AK4259" s="21">
        <f>_xll.qlCalendarAdvance(calendar,AK4258,"1D")</f>
        <v>48618</v>
      </c>
      <c r="AL4259" s="21">
        <f>_xll.qlInterestRateIndexValueDate(hiborindex,AK4259)</f>
        <v>48620</v>
      </c>
      <c r="AM4259" s="23">
        <f>_xll.qlIndexFixing(hiborindex,AK4259)</f>
        <v>1.1911607623977596E-2</v>
      </c>
    </row>
    <row r="4260" spans="37:39" x14ac:dyDescent="0.25">
      <c r="AK4260" s="21">
        <f>_xll.qlCalendarAdvance(calendar,AK4259,"1D")</f>
        <v>48619</v>
      </c>
      <c r="AL4260" s="21">
        <f>_xll.qlInterestRateIndexValueDate(hiborindex,AK4260)</f>
        <v>48621</v>
      </c>
      <c r="AM4260" s="23">
        <f>_xll.qlIndexFixing(hiborindex,AK4260)</f>
        <v>1.1907076749478142E-2</v>
      </c>
    </row>
    <row r="4261" spans="37:39" x14ac:dyDescent="0.25">
      <c r="AK4261" s="21">
        <f>_xll.qlCalendarAdvance(calendar,AK4260,"1D")</f>
        <v>48620</v>
      </c>
      <c r="AL4261" s="21">
        <f>_xll.qlInterestRateIndexValueDate(hiborindex,AK4261)</f>
        <v>48624</v>
      </c>
      <c r="AM4261" s="23">
        <f>_xll.qlIndexFixing(hiborindex,AK4261)</f>
        <v>1.1889892276839346E-2</v>
      </c>
    </row>
    <row r="4262" spans="37:39" x14ac:dyDescent="0.25">
      <c r="AK4262" s="21">
        <f>_xll.qlCalendarAdvance(calendar,AK4261,"1D")</f>
        <v>48621</v>
      </c>
      <c r="AL4262" s="21">
        <f>_xll.qlInterestRateIndexValueDate(hiborindex,AK4262)</f>
        <v>48625</v>
      </c>
      <c r="AM4262" s="23">
        <f>_xll.qlIndexFixing(hiborindex,AK4262)</f>
        <v>1.1888934150224059E-2</v>
      </c>
    </row>
    <row r="4263" spans="37:39" x14ac:dyDescent="0.25">
      <c r="AK4263" s="21">
        <f>_xll.qlCalendarAdvance(calendar,AK4262,"1D")</f>
        <v>48624</v>
      </c>
      <c r="AL4263" s="21">
        <f>_xll.qlInterestRateIndexValueDate(hiborindex,AK4263)</f>
        <v>48626</v>
      </c>
      <c r="AM4263" s="23">
        <f>_xll.qlIndexFixing(hiborindex,AK4263)</f>
        <v>1.1884393725161393E-2</v>
      </c>
    </row>
    <row r="4264" spans="37:39" x14ac:dyDescent="0.25">
      <c r="AK4264" s="21">
        <f>_xll.qlCalendarAdvance(calendar,AK4263,"1D")</f>
        <v>48625</v>
      </c>
      <c r="AL4264" s="21">
        <f>_xll.qlInterestRateIndexValueDate(hiborindex,AK4264)</f>
        <v>48627</v>
      </c>
      <c r="AM4264" s="23">
        <f>_xll.qlIndexFixing(hiborindex,AK4264)</f>
        <v>1.1879851390025741E-2</v>
      </c>
    </row>
    <row r="4265" spans="37:39" x14ac:dyDescent="0.25">
      <c r="AK4265" s="21">
        <f>_xll.qlCalendarAdvance(calendar,AK4264,"1D")</f>
        <v>48626</v>
      </c>
      <c r="AL4265" s="21">
        <f>_xll.qlInterestRateIndexValueDate(hiborindex,AK4265)</f>
        <v>48628</v>
      </c>
      <c r="AM4265" s="23">
        <f>_xll.qlIndexFixing(hiborindex,AK4265)</f>
        <v>1.1875307144829031E-2</v>
      </c>
    </row>
    <row r="4266" spans="37:39" x14ac:dyDescent="0.25">
      <c r="AK4266" s="21">
        <f>_xll.qlCalendarAdvance(calendar,AK4265,"1D")</f>
        <v>48627</v>
      </c>
      <c r="AL4266" s="21">
        <f>_xll.qlInterestRateIndexValueDate(hiborindex,AK4266)</f>
        <v>48631</v>
      </c>
      <c r="AM4266" s="23">
        <f>_xll.qlIndexFixing(hiborindex,AK4266)</f>
        <v>1.1858301167140603E-2</v>
      </c>
    </row>
    <row r="4267" spans="37:39" x14ac:dyDescent="0.25">
      <c r="AK4267" s="21">
        <f>_xll.qlCalendarAdvance(calendar,AK4266,"1D")</f>
        <v>48628</v>
      </c>
      <c r="AL4267" s="21">
        <f>_xll.qlInterestRateIndexValueDate(hiborindex,AK4267)</f>
        <v>48632</v>
      </c>
      <c r="AM4267" s="23">
        <f>_xll.qlIndexFixing(hiborindex,AK4267)</f>
        <v>1.1857111063700548E-2</v>
      </c>
    </row>
    <row r="4268" spans="37:39" x14ac:dyDescent="0.25">
      <c r="AK4268" s="21">
        <f>_xll.qlCalendarAdvance(calendar,AK4267,"1D")</f>
        <v>48631</v>
      </c>
      <c r="AL4268" s="21">
        <f>_xll.qlInterestRateIndexValueDate(hiborindex,AK4268)</f>
        <v>48633</v>
      </c>
      <c r="AM4268" s="23">
        <f>_xll.qlIndexFixing(hiborindex,AK4268)</f>
        <v>1.1852557268398602E-2</v>
      </c>
    </row>
    <row r="4269" spans="37:39" x14ac:dyDescent="0.25">
      <c r="AK4269" s="21">
        <f>_xll.qlCalendarAdvance(calendar,AK4268,"1D")</f>
        <v>48632</v>
      </c>
      <c r="AL4269" s="21">
        <f>_xll.qlInterestRateIndexValueDate(hiborindex,AK4269)</f>
        <v>48634</v>
      </c>
      <c r="AM4269" s="23">
        <f>_xll.qlIndexFixing(hiborindex,AK4269)</f>
        <v>1.1848001563114205E-2</v>
      </c>
    </row>
    <row r="4270" spans="37:39" x14ac:dyDescent="0.25">
      <c r="AK4270" s="21">
        <f>_xll.qlCalendarAdvance(calendar,AK4269,"1D")</f>
        <v>48633</v>
      </c>
      <c r="AL4270" s="21">
        <f>_xll.qlInterestRateIndexValueDate(hiborindex,AK4270)</f>
        <v>48635</v>
      </c>
      <c r="AM4270" s="23">
        <f>_xll.qlIndexFixing(hiborindex,AK4270)</f>
        <v>1.184344394786061E-2</v>
      </c>
    </row>
    <row r="4271" spans="37:39" x14ac:dyDescent="0.25">
      <c r="AK4271" s="21">
        <f>_xll.qlCalendarAdvance(calendar,AK4270,"1D")</f>
        <v>48634</v>
      </c>
      <c r="AL4271" s="21">
        <f>_xll.qlInterestRateIndexValueDate(hiborindex,AK4271)</f>
        <v>48638</v>
      </c>
      <c r="AM4271" s="23">
        <f>_xll.qlIndexFixing(hiborindex,AK4271)</f>
        <v>1.1820458826680149E-2</v>
      </c>
    </row>
    <row r="4272" spans="37:39" x14ac:dyDescent="0.25">
      <c r="AK4272" s="21">
        <f>_xll.qlCalendarAdvance(calendar,AK4271,"1D")</f>
        <v>48635</v>
      </c>
      <c r="AL4272" s="21">
        <f>_xll.qlInterestRateIndexValueDate(hiborindex,AK4272)</f>
        <v>48639</v>
      </c>
      <c r="AM4272" s="23">
        <f>_xll.qlIndexFixing(hiborindex,AK4272)</f>
        <v>1.1815986582625495E-2</v>
      </c>
    </row>
    <row r="4273" spans="37:39" x14ac:dyDescent="0.25">
      <c r="AK4273" s="21">
        <f>_xll.qlCalendarAdvance(calendar,AK4272,"1D")</f>
        <v>48638</v>
      </c>
      <c r="AL4273" s="21">
        <f>_xll.qlInterestRateIndexValueDate(hiborindex,AK4273)</f>
        <v>48640</v>
      </c>
      <c r="AM4273" s="23">
        <f>_xll.qlIndexFixing(hiborindex,AK4273)</f>
        <v>1.1811512459545646E-2</v>
      </c>
    </row>
    <row r="4274" spans="37:39" x14ac:dyDescent="0.25">
      <c r="AK4274" s="21">
        <f>_xll.qlCalendarAdvance(calendar,AK4273,"1D")</f>
        <v>48639</v>
      </c>
      <c r="AL4274" s="21">
        <f>_xll.qlInterestRateIndexValueDate(hiborindex,AK4274)</f>
        <v>48641</v>
      </c>
      <c r="AM4274" s="23">
        <f>_xll.qlIndexFixing(hiborindex,AK4274)</f>
        <v>1.1801224414157107E-2</v>
      </c>
    </row>
    <row r="4275" spans="37:39" x14ac:dyDescent="0.25">
      <c r="AK4275" s="21">
        <f>_xll.qlCalendarAdvance(calendar,AK4274,"1D")</f>
        <v>48640</v>
      </c>
      <c r="AL4275" s="21">
        <f>_xll.qlInterestRateIndexValueDate(hiborindex,AK4275)</f>
        <v>48642</v>
      </c>
      <c r="AM4275" s="23">
        <f>_xll.qlIndexFixing(hiborindex,AK4275)</f>
        <v>1.1799663114506189E-2</v>
      </c>
    </row>
    <row r="4276" spans="37:39" x14ac:dyDescent="0.25">
      <c r="AK4276" s="21">
        <f>_xll.qlCalendarAdvance(calendar,AK4275,"1D")</f>
        <v>48641</v>
      </c>
      <c r="AL4276" s="21">
        <f>_xll.qlInterestRateIndexValueDate(hiborindex,AK4276)</f>
        <v>48645</v>
      </c>
      <c r="AM4276" s="23">
        <f>_xll.qlIndexFixing(hiborindex,AK4276)</f>
        <v>1.178911365921549E-2</v>
      </c>
    </row>
    <row r="4277" spans="37:39" x14ac:dyDescent="0.25">
      <c r="AK4277" s="21">
        <f>_xll.qlCalendarAdvance(calendar,AK4276,"1D")</f>
        <v>48642</v>
      </c>
      <c r="AL4277" s="21">
        <f>_xll.qlInterestRateIndexValueDate(hiborindex,AK4277)</f>
        <v>48646</v>
      </c>
      <c r="AM4277" s="23">
        <f>_xll.qlIndexFixing(hiborindex,AK4277)</f>
        <v>1.1784628262252945E-2</v>
      </c>
    </row>
    <row r="4278" spans="37:39" x14ac:dyDescent="0.25">
      <c r="AK4278" s="21">
        <f>_xll.qlCalendarAdvance(calendar,AK4277,"1D")</f>
        <v>48645</v>
      </c>
      <c r="AL4278" s="21">
        <f>_xll.qlInterestRateIndexValueDate(hiborindex,AK4278)</f>
        <v>48647</v>
      </c>
      <c r="AM4278" s="23">
        <f>_xll.qlIndexFixing(hiborindex,AK4278)</f>
        <v>1.1780140986355565E-2</v>
      </c>
    </row>
    <row r="4279" spans="37:39" x14ac:dyDescent="0.25">
      <c r="AK4279" s="21">
        <f>_xll.qlCalendarAdvance(calendar,AK4278,"1D")</f>
        <v>48646</v>
      </c>
      <c r="AL4279" s="21">
        <f>_xll.qlInterestRateIndexValueDate(hiborindex,AK4279)</f>
        <v>48648</v>
      </c>
      <c r="AM4279" s="23">
        <f>_xll.qlIndexFixing(hiborindex,AK4279)</f>
        <v>1.177026302558244E-2</v>
      </c>
    </row>
    <row r="4280" spans="37:39" x14ac:dyDescent="0.25">
      <c r="AK4280" s="21">
        <f>_xll.qlCalendarAdvance(calendar,AK4279,"1D")</f>
        <v>48647</v>
      </c>
      <c r="AL4280" s="21">
        <f>_xll.qlInterestRateIndexValueDate(hiborindex,AK4280)</f>
        <v>48649</v>
      </c>
      <c r="AM4280" s="23">
        <f>_xll.qlIndexFixing(hiborindex,AK4280)</f>
        <v>1.1768478167688893E-2</v>
      </c>
    </row>
    <row r="4281" spans="37:39" x14ac:dyDescent="0.25">
      <c r="AK4281" s="21">
        <f>_xll.qlCalendarAdvance(calendar,AK4280,"1D")</f>
        <v>48648</v>
      </c>
      <c r="AL4281" s="21">
        <f>_xll.qlInterestRateIndexValueDate(hiborindex,AK4281)</f>
        <v>48652</v>
      </c>
      <c r="AM4281" s="23">
        <f>_xll.qlIndexFixing(hiborindex,AK4281)</f>
        <v>1.1757676423291889E-2</v>
      </c>
    </row>
    <row r="4282" spans="37:39" x14ac:dyDescent="0.25">
      <c r="AK4282" s="21">
        <f>_xll.qlCalendarAdvance(calendar,AK4281,"1D")</f>
        <v>48649</v>
      </c>
      <c r="AL4282" s="21">
        <f>_xll.qlInterestRateIndexValueDate(hiborindex,AK4282)</f>
        <v>48653</v>
      </c>
      <c r="AM4282" s="23">
        <f>_xll.qlIndexFixing(hiborindex,AK4282)</f>
        <v>1.1753177874053989E-2</v>
      </c>
    </row>
    <row r="4283" spans="37:39" x14ac:dyDescent="0.25">
      <c r="AK4283" s="21">
        <f>_xll.qlCalendarAdvance(calendar,AK4282,"1D")</f>
        <v>48652</v>
      </c>
      <c r="AL4283" s="21">
        <f>_xll.qlInterestRateIndexValueDate(hiborindex,AK4283)</f>
        <v>48654</v>
      </c>
      <c r="AM4283" s="23">
        <f>_xll.qlIndexFixing(hiborindex,AK4283)</f>
        <v>1.1748677445971615E-2</v>
      </c>
    </row>
    <row r="4284" spans="37:39" x14ac:dyDescent="0.25">
      <c r="AK4284" s="21">
        <f>_xll.qlCalendarAdvance(calendar,AK4283,"1D")</f>
        <v>48653</v>
      </c>
      <c r="AL4284" s="21">
        <f>_xll.qlInterestRateIndexValueDate(hiborindex,AK4284)</f>
        <v>48655</v>
      </c>
      <c r="AM4284" s="23">
        <f>_xll.qlIndexFixing(hiborindex,AK4284)</f>
        <v>1.1739210551940972E-2</v>
      </c>
    </row>
    <row r="4285" spans="37:39" x14ac:dyDescent="0.25">
      <c r="AK4285" s="21">
        <f>_xll.qlCalendarAdvance(calendar,AK4284,"1D")</f>
        <v>48654</v>
      </c>
      <c r="AL4285" s="21">
        <f>_xll.qlInterestRateIndexValueDate(hiborindex,AK4285)</f>
        <v>48656</v>
      </c>
      <c r="AM4285" s="23">
        <f>_xll.qlIndexFixing(hiborindex,AK4285)</f>
        <v>1.1737201648337393E-2</v>
      </c>
    </row>
    <row r="4286" spans="37:39" x14ac:dyDescent="0.25">
      <c r="AK4286" s="21">
        <f>_xll.qlCalendarAdvance(calendar,AK4285,"1D")</f>
        <v>48655</v>
      </c>
      <c r="AL4286" s="21">
        <f>_xll.qlInterestRateIndexValueDate(hiborindex,AK4286)</f>
        <v>48659</v>
      </c>
      <c r="AM4286" s="23">
        <f>_xll.qlIndexFixing(hiborindex,AK4286)</f>
        <v>1.1726147123337976E-2</v>
      </c>
    </row>
    <row r="4287" spans="37:39" x14ac:dyDescent="0.25">
      <c r="AK4287" s="21">
        <f>_xll.qlCalendarAdvance(calendar,AK4286,"1D")</f>
        <v>48656</v>
      </c>
      <c r="AL4287" s="21">
        <f>_xll.qlInterestRateIndexValueDate(hiborindex,AK4287)</f>
        <v>48660</v>
      </c>
      <c r="AM4287" s="23">
        <f>_xll.qlIndexFixing(hiborindex,AK4287)</f>
        <v>1.1721635422458125E-2</v>
      </c>
    </row>
    <row r="4288" spans="37:39" x14ac:dyDescent="0.25">
      <c r="AK4288" s="21">
        <f>_xll.qlCalendarAdvance(calendar,AK4287,"1D")</f>
        <v>48659</v>
      </c>
      <c r="AL4288" s="21">
        <f>_xll.qlInterestRateIndexValueDate(hiborindex,AK4288)</f>
        <v>48661</v>
      </c>
      <c r="AM4288" s="23">
        <f>_xll.qlIndexFixing(hiborindex,AK4288)</f>
        <v>1.1717121842824165E-2</v>
      </c>
    </row>
    <row r="4289" spans="37:39" x14ac:dyDescent="0.25">
      <c r="AK4289" s="21">
        <f>_xll.qlCalendarAdvance(calendar,AK4288,"1D")</f>
        <v>48660</v>
      </c>
      <c r="AL4289" s="21">
        <f>_xll.qlInterestRateIndexValueDate(hiborindex,AK4289)</f>
        <v>48662</v>
      </c>
      <c r="AM4289" s="23">
        <f>_xll.qlIndexFixing(hiborindex,AK4289)</f>
        <v>1.170806699760555E-2</v>
      </c>
    </row>
    <row r="4290" spans="37:39" x14ac:dyDescent="0.25">
      <c r="AK4290" s="21">
        <f>_xll.qlCalendarAdvance(calendar,AK4289,"1D")</f>
        <v>48661</v>
      </c>
      <c r="AL4290" s="21">
        <f>_xll.qlInterestRateIndexValueDate(hiborindex,AK4290)</f>
        <v>48663</v>
      </c>
      <c r="AM4290" s="23">
        <f>_xll.qlIndexFixing(hiborindex,AK4290)</f>
        <v>1.1705833560856381E-2</v>
      </c>
    </row>
    <row r="4291" spans="37:39" x14ac:dyDescent="0.25">
      <c r="AK4291" s="21">
        <f>_xll.qlCalendarAdvance(calendar,AK4290,"1D")</f>
        <v>48662</v>
      </c>
      <c r="AL4291" s="21">
        <f>_xll.qlInterestRateIndexValueDate(hiborindex,AK4291)</f>
        <v>48666</v>
      </c>
      <c r="AM4291" s="23">
        <f>_xll.qlIndexFixing(hiborindex,AK4291)</f>
        <v>1.1694525763794112E-2</v>
      </c>
    </row>
    <row r="4292" spans="37:39" x14ac:dyDescent="0.25">
      <c r="AK4292" s="21">
        <f>_xll.qlCalendarAdvance(calendar,AK4291,"1D")</f>
        <v>48663</v>
      </c>
      <c r="AL4292" s="21">
        <f>_xll.qlInterestRateIndexValueDate(hiborindex,AK4292)</f>
        <v>48667</v>
      </c>
      <c r="AM4292" s="23">
        <f>_xll.qlIndexFixing(hiborindex,AK4292)</f>
        <v>1.1690000911907021E-2</v>
      </c>
    </row>
    <row r="4293" spans="37:39" x14ac:dyDescent="0.25">
      <c r="AK4293" s="21">
        <f>_xll.qlCalendarAdvance(calendar,AK4292,"1D")</f>
        <v>48666</v>
      </c>
      <c r="AL4293" s="21">
        <f>_xll.qlInterestRateIndexValueDate(hiborindex,AK4293)</f>
        <v>48668</v>
      </c>
      <c r="AM4293" s="23">
        <f>_xll.qlIndexFixing(hiborindex,AK4293)</f>
        <v>1.1685474181357054E-2</v>
      </c>
    </row>
    <row r="4294" spans="37:39" x14ac:dyDescent="0.25">
      <c r="AK4294" s="21">
        <f>_xll.qlCalendarAdvance(calendar,AK4293,"1D")</f>
        <v>48667</v>
      </c>
      <c r="AL4294" s="21">
        <f>_xll.qlInterestRateIndexValueDate(hiborindex,AK4294)</f>
        <v>48669</v>
      </c>
      <c r="AM4294" s="23">
        <f>_xll.qlIndexFixing(hiborindex,AK4294)</f>
        <v>1.168304832777144E-2</v>
      </c>
    </row>
    <row r="4295" spans="37:39" x14ac:dyDescent="0.25">
      <c r="AK4295" s="21">
        <f>_xll.qlCalendarAdvance(calendar,AK4294,"1D")</f>
        <v>48668</v>
      </c>
      <c r="AL4295" s="21">
        <f>_xll.qlInterestRateIndexValueDate(hiborindex,AK4295)</f>
        <v>48670</v>
      </c>
      <c r="AM4295" s="23">
        <f>_xll.qlIndexFixing(hiborindex,AK4295)</f>
        <v>1.1674373909663081E-2</v>
      </c>
    </row>
    <row r="4296" spans="37:39" x14ac:dyDescent="0.25">
      <c r="AK4296" s="21">
        <f>_xll.qlCalendarAdvance(calendar,AK4295,"1D")</f>
        <v>48669</v>
      </c>
      <c r="AL4296" s="21">
        <f>_xll.qlInterestRateIndexValueDate(hiborindex,AK4296)</f>
        <v>48673</v>
      </c>
      <c r="AM4296" s="23">
        <f>_xll.qlIndexFixing(hiborindex,AK4296)</f>
        <v>1.1664791120735199E-2</v>
      </c>
    </row>
    <row r="4297" spans="37:39" x14ac:dyDescent="0.25">
      <c r="AK4297" s="21">
        <f>_xll.qlCalendarAdvance(calendar,AK4296,"1D")</f>
        <v>48670</v>
      </c>
      <c r="AL4297" s="21">
        <f>_xll.qlInterestRateIndexValueDate(hiborindex,AK4297)</f>
        <v>48674</v>
      </c>
      <c r="AM4297" s="23">
        <f>_xll.qlIndexFixing(hiborindex,AK4297)</f>
        <v>1.1660222097037669E-2</v>
      </c>
    </row>
    <row r="4298" spans="37:39" x14ac:dyDescent="0.25">
      <c r="AK4298" s="21">
        <f>_xll.qlCalendarAdvance(calendar,AK4297,"1D")</f>
        <v>48673</v>
      </c>
      <c r="AL4298" s="21">
        <f>_xll.qlInterestRateIndexValueDate(hiborindex,AK4298)</f>
        <v>48675</v>
      </c>
      <c r="AM4298" s="23">
        <f>_xll.qlIndexFixing(hiborindex,AK4298)</f>
        <v>1.1655651184590873E-2</v>
      </c>
    </row>
    <row r="4299" spans="37:39" x14ac:dyDescent="0.25">
      <c r="AK4299" s="21">
        <f>_xll.qlCalendarAdvance(calendar,AK4298,"1D")</f>
        <v>48674</v>
      </c>
      <c r="AL4299" s="21">
        <f>_xll.qlInterestRateIndexValueDate(hiborindex,AK4299)</f>
        <v>48676</v>
      </c>
      <c r="AM4299" s="23">
        <f>_xll.qlIndexFixing(hiborindex,AK4299)</f>
        <v>1.1651078383407915E-2</v>
      </c>
    </row>
    <row r="4300" spans="37:39" x14ac:dyDescent="0.25">
      <c r="AK4300" s="21">
        <f>_xll.qlCalendarAdvance(calendar,AK4299,"1D")</f>
        <v>48675</v>
      </c>
      <c r="AL4300" s="21">
        <f>_xll.qlInterestRateIndexValueDate(hiborindex,AK4300)</f>
        <v>48677</v>
      </c>
      <c r="AM4300" s="23">
        <f>_xll.qlIndexFixing(hiborindex,AK4300)</f>
        <v>1.1642822699188543E-2</v>
      </c>
    </row>
    <row r="4301" spans="37:39" x14ac:dyDescent="0.25">
      <c r="AK4301" s="21">
        <f>_xll.qlCalendarAdvance(calendar,AK4300,"1D")</f>
        <v>48676</v>
      </c>
      <c r="AL4301" s="21">
        <f>_xll.qlInterestRateIndexValueDate(hiborindex,AK4301)</f>
        <v>48680</v>
      </c>
      <c r="AM4301" s="23">
        <f>_xll.qlIndexFixing(hiborindex,AK4301)</f>
        <v>1.1632768291578735E-2</v>
      </c>
    </row>
    <row r="4302" spans="37:39" x14ac:dyDescent="0.25">
      <c r="AK4302" s="21">
        <f>_xll.qlCalendarAdvance(calendar,AK4301,"1D")</f>
        <v>48677</v>
      </c>
      <c r="AL4302" s="21">
        <f>_xll.qlInterestRateIndexValueDate(hiborindex,AK4302)</f>
        <v>48681</v>
      </c>
      <c r="AM4302" s="23">
        <f>_xll.qlIndexFixing(hiborindex,AK4302)</f>
        <v>1.1628186046912842E-2</v>
      </c>
    </row>
    <row r="4303" spans="37:39" x14ac:dyDescent="0.25">
      <c r="AK4303" s="21">
        <f>_xll.qlCalendarAdvance(calendar,AK4302,"1D")</f>
        <v>48680</v>
      </c>
      <c r="AL4303" s="21">
        <f>_xll.qlInterestRateIndexValueDate(hiborindex,AK4303)</f>
        <v>48682</v>
      </c>
      <c r="AM4303" s="23">
        <f>_xll.qlIndexFixing(hiborindex,AK4303)</f>
        <v>1.162360191358985E-2</v>
      </c>
    </row>
    <row r="4304" spans="37:39" x14ac:dyDescent="0.25">
      <c r="AK4304" s="21">
        <f>_xll.qlCalendarAdvance(calendar,AK4303,"1D")</f>
        <v>48681</v>
      </c>
      <c r="AL4304" s="21">
        <f>_xll.qlInterestRateIndexValueDate(hiborindex,AK4304)</f>
        <v>48683</v>
      </c>
      <c r="AM4304" s="23">
        <f>_xll.qlIndexFixing(hiborindex,AK4304)</f>
        <v>1.1619015891622862E-2</v>
      </c>
    </row>
    <row r="4305" spans="37:39" x14ac:dyDescent="0.25">
      <c r="AK4305" s="21">
        <f>_xll.qlCalendarAdvance(calendar,AK4304,"1D")</f>
        <v>48682</v>
      </c>
      <c r="AL4305" s="21">
        <f>_xll.qlInterestRateIndexValueDate(hiborindex,AK4305)</f>
        <v>48688</v>
      </c>
      <c r="AM4305" s="23">
        <f>_xll.qlIndexFixing(hiborindex,AK4305)</f>
        <v>1.1596057452590137E-2</v>
      </c>
    </row>
    <row r="4306" spans="37:39" x14ac:dyDescent="0.25">
      <c r="AK4306" s="21">
        <f>_xll.qlCalendarAdvance(calendar,AK4305,"1D")</f>
        <v>48683</v>
      </c>
      <c r="AL4306" s="21">
        <f>_xll.qlInterestRateIndexValueDate(hiborindex,AK4306)</f>
        <v>48689</v>
      </c>
      <c r="AM4306" s="23">
        <f>_xll.qlIndexFixing(hiborindex,AK4306)</f>
        <v>1.1591460099036114E-2</v>
      </c>
    </row>
    <row r="4307" spans="37:39" x14ac:dyDescent="0.25">
      <c r="AK4307" s="21">
        <f>_xll.qlCalendarAdvance(calendar,AK4306,"1D")</f>
        <v>48688</v>
      </c>
      <c r="AL4307" s="21">
        <f>_xll.qlInterestRateIndexValueDate(hiborindex,AK4307)</f>
        <v>48690</v>
      </c>
      <c r="AM4307" s="23">
        <f>_xll.qlIndexFixing(hiborindex,AK4307)</f>
        <v>1.1586860856931138E-2</v>
      </c>
    </row>
    <row r="4308" spans="37:39" x14ac:dyDescent="0.25">
      <c r="AK4308" s="21">
        <f>_xll.qlCalendarAdvance(calendar,AK4307,"1D")</f>
        <v>48689</v>
      </c>
      <c r="AL4308" s="21">
        <f>_xll.qlInterestRateIndexValueDate(hiborindex,AK4308)</f>
        <v>48691</v>
      </c>
      <c r="AM4308" s="23">
        <f>_xll.qlIndexFixing(hiborindex,AK4308)</f>
        <v>1.1579445618181743E-2</v>
      </c>
    </row>
    <row r="4309" spans="37:39" x14ac:dyDescent="0.25">
      <c r="AK4309" s="21">
        <f>_xll.qlCalendarAdvance(calendar,AK4308,"1D")</f>
        <v>48690</v>
      </c>
      <c r="AL4309" s="21">
        <f>_xll.qlInterestRateIndexValueDate(hiborindex,AK4309)</f>
        <v>48694</v>
      </c>
      <c r="AM4309" s="23">
        <f>_xll.qlIndexFixing(hiborindex,AK4309)</f>
        <v>1.1568445003258957E-2</v>
      </c>
    </row>
    <row r="4310" spans="37:39" x14ac:dyDescent="0.25">
      <c r="AK4310" s="21">
        <f>_xll.qlCalendarAdvance(calendar,AK4309,"1D")</f>
        <v>48691</v>
      </c>
      <c r="AL4310" s="21">
        <f>_xll.qlInterestRateIndexValueDate(hiborindex,AK4310)</f>
        <v>48695</v>
      </c>
      <c r="AM4310" s="23">
        <f>_xll.qlIndexFixing(hiborindex,AK4310)</f>
        <v>1.1563836318594459E-2</v>
      </c>
    </row>
    <row r="4311" spans="37:39" x14ac:dyDescent="0.25">
      <c r="AK4311" s="21">
        <f>_xll.qlCalendarAdvance(calendar,AK4310,"1D")</f>
        <v>48694</v>
      </c>
      <c r="AL4311" s="21">
        <f>_xll.qlInterestRateIndexValueDate(hiborindex,AK4311)</f>
        <v>48696</v>
      </c>
      <c r="AM4311" s="23">
        <f>_xll.qlIndexFixing(hiborindex,AK4311)</f>
        <v>1.1559225745457194E-2</v>
      </c>
    </row>
    <row r="4312" spans="37:39" x14ac:dyDescent="0.25">
      <c r="AK4312" s="21">
        <f>_xll.qlCalendarAdvance(calendar,AK4311,"1D")</f>
        <v>48695</v>
      </c>
      <c r="AL4312" s="21">
        <f>_xll.qlInterestRateIndexValueDate(hiborindex,AK4312)</f>
        <v>48697</v>
      </c>
      <c r="AM4312" s="23">
        <f>_xll.qlIndexFixing(hiborindex,AK4312)</f>
        <v>1.1554613283861577E-2</v>
      </c>
    </row>
    <row r="4313" spans="37:39" x14ac:dyDescent="0.25">
      <c r="AK4313" s="21">
        <f>_xll.qlCalendarAdvance(calendar,AK4312,"1D")</f>
        <v>48696</v>
      </c>
      <c r="AL4313" s="21">
        <f>_xll.qlInterestRateIndexValueDate(hiborindex,AK4313)</f>
        <v>48698</v>
      </c>
      <c r="AM4313" s="23">
        <f>_xll.qlIndexFixing(hiborindex,AK4313)</f>
        <v>1.1547619756574666E-2</v>
      </c>
    </row>
    <row r="4314" spans="37:39" x14ac:dyDescent="0.25">
      <c r="AK4314" s="21">
        <f>_xll.qlCalendarAdvance(calendar,AK4313,"1D")</f>
        <v>48697</v>
      </c>
      <c r="AL4314" s="21">
        <f>_xll.qlInterestRateIndexValueDate(hiborindex,AK4314)</f>
        <v>48701</v>
      </c>
      <c r="AM4314" s="23">
        <f>_xll.qlIndexFixing(hiborindex,AK4314)</f>
        <v>1.1535038228534402E-2</v>
      </c>
    </row>
    <row r="4315" spans="37:39" x14ac:dyDescent="0.25">
      <c r="AK4315" s="21">
        <f>_xll.qlCalendarAdvance(calendar,AK4314,"1D")</f>
        <v>48698</v>
      </c>
      <c r="AL4315" s="21">
        <f>_xll.qlInterestRateIndexValueDate(hiborindex,AK4315)</f>
        <v>48702</v>
      </c>
      <c r="AM4315" s="23">
        <f>_xll.qlIndexFixing(hiborindex,AK4315)</f>
        <v>1.1530447631209088E-2</v>
      </c>
    </row>
    <row r="4316" spans="37:39" x14ac:dyDescent="0.25">
      <c r="AK4316" s="21">
        <f>_xll.qlCalendarAdvance(calendar,AK4315,"1D")</f>
        <v>48701</v>
      </c>
      <c r="AL4316" s="21">
        <f>_xll.qlInterestRateIndexValueDate(hiborindex,AK4316)</f>
        <v>48703</v>
      </c>
      <c r="AM4316" s="23">
        <f>_xll.qlIndexFixing(hiborindex,AK4316)</f>
        <v>1.1525855155678789E-2</v>
      </c>
    </row>
    <row r="4317" spans="37:39" x14ac:dyDescent="0.25">
      <c r="AK4317" s="21">
        <f>_xll.qlCalendarAdvance(calendar,AK4316,"1D")</f>
        <v>48702</v>
      </c>
      <c r="AL4317" s="21">
        <f>_xll.qlInterestRateIndexValueDate(hiborindex,AK4317)</f>
        <v>48704</v>
      </c>
      <c r="AM4317" s="23">
        <f>_xll.qlIndexFixing(hiborindex,AK4317)</f>
        <v>1.1519293223547928E-2</v>
      </c>
    </row>
    <row r="4318" spans="37:39" x14ac:dyDescent="0.25">
      <c r="AK4318" s="21">
        <f>_xll.qlCalendarAdvance(calendar,AK4317,"1D")</f>
        <v>48703</v>
      </c>
      <c r="AL4318" s="21">
        <f>_xll.qlInterestRateIndexValueDate(hiborindex,AK4318)</f>
        <v>48705</v>
      </c>
      <c r="AM4318" s="23">
        <f>_xll.qlIndexFixing(hiborindex,AK4318)</f>
        <v>1.151570235353672E-2</v>
      </c>
    </row>
    <row r="4319" spans="37:39" x14ac:dyDescent="0.25">
      <c r="AK4319" s="21">
        <f>_xll.qlCalendarAdvance(calendar,AK4318,"1D")</f>
        <v>48704</v>
      </c>
      <c r="AL4319" s="21">
        <f>_xll.qlInterestRateIndexValueDate(hiborindex,AK4319)</f>
        <v>48708</v>
      </c>
      <c r="AM4319" s="23">
        <f>_xll.qlIndexFixing(hiborindex,AK4319)</f>
        <v>1.1502864605418708E-2</v>
      </c>
    </row>
    <row r="4320" spans="37:39" x14ac:dyDescent="0.25">
      <c r="AK4320" s="21">
        <f>_xll.qlCalendarAdvance(calendar,AK4319,"1D")</f>
        <v>48705</v>
      </c>
      <c r="AL4320" s="21">
        <f>_xll.qlInterestRateIndexValueDate(hiborindex,AK4320)</f>
        <v>48709</v>
      </c>
      <c r="AM4320" s="23">
        <f>_xll.qlIndexFixing(hiborindex,AK4320)</f>
        <v>1.1498260860937855E-2</v>
      </c>
    </row>
    <row r="4321" spans="37:39" x14ac:dyDescent="0.25">
      <c r="AK4321" s="21">
        <f>_xll.qlCalendarAdvance(calendar,AK4320,"1D")</f>
        <v>48708</v>
      </c>
      <c r="AL4321" s="21">
        <f>_xll.qlInterestRateIndexValueDate(hiborindex,AK4321)</f>
        <v>48710</v>
      </c>
      <c r="AM4321" s="23">
        <f>_xll.qlIndexFixing(hiborindex,AK4321)</f>
        <v>1.1493655238344119E-2</v>
      </c>
    </row>
    <row r="4322" spans="37:39" x14ac:dyDescent="0.25">
      <c r="AK4322" s="21">
        <f>_xll.qlCalendarAdvance(calendar,AK4321,"1D")</f>
        <v>48709</v>
      </c>
      <c r="AL4322" s="21">
        <f>_xll.qlInterestRateIndexValueDate(hiborindex,AK4322)</f>
        <v>48711</v>
      </c>
      <c r="AM4322" s="23">
        <f>_xll.qlIndexFixing(hiborindex,AK4322)</f>
        <v>1.1487512227883967E-2</v>
      </c>
    </row>
    <row r="4323" spans="37:39" x14ac:dyDescent="0.25">
      <c r="AK4323" s="21">
        <f>_xll.qlCalendarAdvance(calendar,AK4322,"1D")</f>
        <v>48710</v>
      </c>
      <c r="AL4323" s="21">
        <f>_xll.qlInterestRateIndexValueDate(hiborindex,AK4323)</f>
        <v>48712</v>
      </c>
      <c r="AM4323" s="23">
        <f>_xll.qlIndexFixing(hiborindex,AK4323)</f>
        <v>1.1483693413562042E-2</v>
      </c>
    </row>
    <row r="4324" spans="37:39" x14ac:dyDescent="0.25">
      <c r="AK4324" s="21">
        <f>_xll.qlCalendarAdvance(calendar,AK4323,"1D")</f>
        <v>48711</v>
      </c>
      <c r="AL4324" s="21">
        <f>_xll.qlInterestRateIndexValueDate(hiborindex,AK4324)</f>
        <v>48715</v>
      </c>
      <c r="AM4324" s="23">
        <f>_xll.qlIndexFixing(hiborindex,AK4324)</f>
        <v>1.147059895415704E-2</v>
      </c>
    </row>
    <row r="4325" spans="37:39" x14ac:dyDescent="0.25">
      <c r="AK4325" s="21">
        <f>_xll.qlCalendarAdvance(calendar,AK4324,"1D")</f>
        <v>48712</v>
      </c>
      <c r="AL4325" s="21">
        <f>_xll.qlInterestRateIndexValueDate(hiborindex,AK4325)</f>
        <v>48716</v>
      </c>
      <c r="AM4325" s="23">
        <f>_xll.qlIndexFixing(hiborindex,AK4325)</f>
        <v>1.1465982063167958E-2</v>
      </c>
    </row>
    <row r="4326" spans="37:39" x14ac:dyDescent="0.25">
      <c r="AK4326" s="21">
        <f>_xll.qlCalendarAdvance(calendar,AK4325,"1D")</f>
        <v>48715</v>
      </c>
      <c r="AL4326" s="21">
        <f>_xll.qlInterestRateIndexValueDate(hiborindex,AK4326)</f>
        <v>48717</v>
      </c>
      <c r="AM4326" s="23">
        <f>_xll.qlIndexFixing(hiborindex,AK4326)</f>
        <v>1.1461363294160264E-2</v>
      </c>
    </row>
    <row r="4327" spans="37:39" x14ac:dyDescent="0.25">
      <c r="AK4327" s="21">
        <f>_xll.qlCalendarAdvance(calendar,AK4326,"1D")</f>
        <v>48716</v>
      </c>
      <c r="AL4327" s="21">
        <f>_xll.qlInterestRateIndexValueDate(hiborindex,AK4327)</f>
        <v>48718</v>
      </c>
      <c r="AM4327" s="23">
        <f>_xll.qlIndexFixing(hiborindex,AK4327)</f>
        <v>1.1455640186972966E-2</v>
      </c>
    </row>
    <row r="4328" spans="37:39" x14ac:dyDescent="0.25">
      <c r="AK4328" s="21">
        <f>_xll.qlCalendarAdvance(calendar,AK4327,"1D")</f>
        <v>48717</v>
      </c>
      <c r="AL4328" s="21">
        <f>_xll.qlInterestRateIndexValueDate(hiborindex,AK4328)</f>
        <v>48719</v>
      </c>
      <c r="AM4328" s="23">
        <f>_xll.qlIndexFixing(hiborindex,AK4328)</f>
        <v>1.1451592941159024E-2</v>
      </c>
    </row>
    <row r="4329" spans="37:39" x14ac:dyDescent="0.25">
      <c r="AK4329" s="21">
        <f>_xll.qlCalendarAdvance(calendar,AK4328,"1D")</f>
        <v>48718</v>
      </c>
      <c r="AL4329" s="21">
        <f>_xll.qlInterestRateIndexValueDate(hiborindex,AK4329)</f>
        <v>48722</v>
      </c>
      <c r="AM4329" s="23">
        <f>_xll.qlIndexFixing(hiborindex,AK4329)</f>
        <v>1.1438241279292287E-2</v>
      </c>
    </row>
    <row r="4330" spans="37:39" x14ac:dyDescent="0.25">
      <c r="AK4330" s="21">
        <f>_xll.qlCalendarAdvance(calendar,AK4329,"1D")</f>
        <v>48719</v>
      </c>
      <c r="AL4330" s="21">
        <f>_xll.qlInterestRateIndexValueDate(hiborindex,AK4330)</f>
        <v>48723</v>
      </c>
      <c r="AM4330" s="23">
        <f>_xll.qlIndexFixing(hiborindex,AK4330)</f>
        <v>1.1433611242446193E-2</v>
      </c>
    </row>
    <row r="4331" spans="37:39" x14ac:dyDescent="0.25">
      <c r="AK4331" s="21">
        <f>_xll.qlCalendarAdvance(calendar,AK4330,"1D")</f>
        <v>48722</v>
      </c>
      <c r="AL4331" s="21">
        <f>_xll.qlInterestRateIndexValueDate(hiborindex,AK4331)</f>
        <v>48724</v>
      </c>
      <c r="AM4331" s="23">
        <f>_xll.qlIndexFixing(hiborindex,AK4331)</f>
        <v>1.1428979327674022E-2</v>
      </c>
    </row>
    <row r="4332" spans="37:39" x14ac:dyDescent="0.25">
      <c r="AK4332" s="21">
        <f>_xll.qlCalendarAdvance(calendar,AK4331,"1D")</f>
        <v>48723</v>
      </c>
      <c r="AL4332" s="21">
        <f>_xll.qlInterestRateIndexValueDate(hiborindex,AK4332)</f>
        <v>48725</v>
      </c>
      <c r="AM4332" s="23">
        <f>_xll.qlIndexFixing(hiborindex,AK4332)</f>
        <v>1.1423677105302947E-2</v>
      </c>
    </row>
    <row r="4333" spans="37:39" x14ac:dyDescent="0.25">
      <c r="AK4333" s="21">
        <f>_xll.qlCalendarAdvance(calendar,AK4332,"1D")</f>
        <v>48724</v>
      </c>
      <c r="AL4333" s="21">
        <f>_xll.qlInterestRateIndexValueDate(hiborindex,AK4333)</f>
        <v>48726</v>
      </c>
      <c r="AM4333" s="23">
        <f>_xll.qlIndexFixing(hiborindex,AK4333)</f>
        <v>1.1419400940847726E-2</v>
      </c>
    </row>
    <row r="4334" spans="37:39" x14ac:dyDescent="0.25">
      <c r="AK4334" s="21">
        <f>_xll.qlCalendarAdvance(calendar,AK4333,"1D")</f>
        <v>48725</v>
      </c>
      <c r="AL4334" s="21">
        <f>_xll.qlInterestRateIndexValueDate(hiborindex,AK4334)</f>
        <v>48729</v>
      </c>
      <c r="AM4334" s="23">
        <f>_xll.qlIndexFixing(hiborindex,AK4334)</f>
        <v>1.1405791585382108E-2</v>
      </c>
    </row>
    <row r="4335" spans="37:39" x14ac:dyDescent="0.25">
      <c r="AK4335" s="21">
        <f>_xll.qlCalendarAdvance(calendar,AK4334,"1D")</f>
        <v>48726</v>
      </c>
      <c r="AL4335" s="21">
        <f>_xll.qlInterestRateIndexValueDate(hiborindex,AK4335)</f>
        <v>48730</v>
      </c>
      <c r="AM4335" s="23">
        <f>_xll.qlIndexFixing(hiborindex,AK4335)</f>
        <v>1.1401342712782916E-2</v>
      </c>
    </row>
    <row r="4336" spans="37:39" x14ac:dyDescent="0.25">
      <c r="AK4336" s="21">
        <f>_xll.qlCalendarAdvance(calendar,AK4335,"1D")</f>
        <v>48729</v>
      </c>
      <c r="AL4336" s="21">
        <f>_xll.qlInterestRateIndexValueDate(hiborindex,AK4336)</f>
        <v>48731</v>
      </c>
      <c r="AM4336" s="23">
        <f>_xll.qlIndexFixing(hiborindex,AK4336)</f>
        <v>1.1396666051506537E-2</v>
      </c>
    </row>
    <row r="4337" spans="37:39" x14ac:dyDescent="0.25">
      <c r="AK4337" s="21">
        <f>_xll.qlCalendarAdvance(calendar,AK4336,"1D")</f>
        <v>48730</v>
      </c>
      <c r="AL4337" s="21">
        <f>_xll.qlInterestRateIndexValueDate(hiborindex,AK4337)</f>
        <v>48732</v>
      </c>
      <c r="AM4337" s="23">
        <f>_xll.qlIndexFixing(hiborindex,AK4337)</f>
        <v>1.1391987502237882E-2</v>
      </c>
    </row>
    <row r="4338" spans="37:39" x14ac:dyDescent="0.25">
      <c r="AK4338" s="21">
        <f>_xll.qlCalendarAdvance(calendar,AK4337,"1D")</f>
        <v>48731</v>
      </c>
      <c r="AL4338" s="21">
        <f>_xll.qlInterestRateIndexValueDate(hiborindex,AK4338)</f>
        <v>48733</v>
      </c>
      <c r="AM4338" s="23">
        <f>_xll.qlIndexFixing(hiborindex,AK4338)</f>
        <v>1.1387117417161604E-2</v>
      </c>
    </row>
    <row r="4339" spans="37:39" x14ac:dyDescent="0.25">
      <c r="AK4339" s="21">
        <f>_xll.qlCalendarAdvance(calendar,AK4338,"1D")</f>
        <v>48732</v>
      </c>
      <c r="AL4339" s="21">
        <f>_xll.qlInterestRateIndexValueDate(hiborindex,AK4339)</f>
        <v>48736</v>
      </c>
      <c r="AM4339" s="23">
        <f>_xll.qlIndexFixing(hiborindex,AK4339)</f>
        <v>1.1373254425515251E-2</v>
      </c>
    </row>
    <row r="4340" spans="37:39" x14ac:dyDescent="0.25">
      <c r="AK4340" s="21">
        <f>_xll.qlCalendarAdvance(calendar,AK4339,"1D")</f>
        <v>48733</v>
      </c>
      <c r="AL4340" s="21">
        <f>_xll.qlInterestRateIndexValueDate(hiborindex,AK4340)</f>
        <v>48737</v>
      </c>
      <c r="AM4340" s="23">
        <f>_xll.qlIndexFixing(hiborindex,AK4340)</f>
        <v>1.1368566436489641E-2</v>
      </c>
    </row>
    <row r="4341" spans="37:39" x14ac:dyDescent="0.25">
      <c r="AK4341" s="21">
        <f>_xll.qlCalendarAdvance(calendar,AK4340,"1D")</f>
        <v>48736</v>
      </c>
      <c r="AL4341" s="21">
        <f>_xll.qlInterestRateIndexValueDate(hiborindex,AK4341)</f>
        <v>48738</v>
      </c>
      <c r="AM4341" s="23">
        <f>_xll.qlIndexFixing(hiborindex,AK4341)</f>
        <v>1.1363876559553438E-2</v>
      </c>
    </row>
    <row r="4342" spans="37:39" x14ac:dyDescent="0.25">
      <c r="AK4342" s="21">
        <f>_xll.qlCalendarAdvance(calendar,AK4341,"1D")</f>
        <v>48737</v>
      </c>
      <c r="AL4342" s="21">
        <f>_xll.qlInterestRateIndexValueDate(hiborindex,AK4342)</f>
        <v>48739</v>
      </c>
      <c r="AM4342" s="23">
        <f>_xll.qlIndexFixing(hiborindex,AK4342)</f>
        <v>1.1359184794719311E-2</v>
      </c>
    </row>
    <row r="4343" spans="37:39" x14ac:dyDescent="0.25">
      <c r="AK4343" s="21">
        <f>_xll.qlCalendarAdvance(calendar,AK4342,"1D")</f>
        <v>48738</v>
      </c>
      <c r="AL4343" s="21">
        <f>_xll.qlInterestRateIndexValueDate(hiborindex,AK4343)</f>
        <v>48740</v>
      </c>
      <c r="AM4343" s="23">
        <f>_xll.qlIndexFixing(hiborindex,AK4343)</f>
        <v>1.1354742374645779E-2</v>
      </c>
    </row>
    <row r="4344" spans="37:39" x14ac:dyDescent="0.25">
      <c r="AK4344" s="21">
        <f>_xll.qlCalendarAdvance(calendar,AK4343,"1D")</f>
        <v>48739</v>
      </c>
      <c r="AL4344" s="21">
        <f>_xll.qlInterestRateIndexValueDate(hiborindex,AK4344)</f>
        <v>48743</v>
      </c>
      <c r="AM4344" s="23">
        <f>_xll.qlIndexFixing(hiborindex,AK4344)</f>
        <v>1.1340398856677425E-2</v>
      </c>
    </row>
    <row r="4345" spans="37:39" x14ac:dyDescent="0.25">
      <c r="AK4345" s="21">
        <f>_xll.qlCalendarAdvance(calendar,AK4344,"1D")</f>
        <v>48740</v>
      </c>
      <c r="AL4345" s="21">
        <f>_xll.qlInterestRateIndexValueDate(hiborindex,AK4345)</f>
        <v>48744</v>
      </c>
      <c r="AM4345" s="23">
        <f>_xll.qlIndexFixing(hiborindex,AK4345)</f>
        <v>1.1335697652558097E-2</v>
      </c>
    </row>
    <row r="4346" spans="37:39" x14ac:dyDescent="0.25">
      <c r="AK4346" s="21">
        <f>_xll.qlCalendarAdvance(calendar,AK4345,"1D")</f>
        <v>48743</v>
      </c>
      <c r="AL4346" s="21">
        <f>_xll.qlInterestRateIndexValueDate(hiborindex,AK4346)</f>
        <v>48745</v>
      </c>
      <c r="AM4346" s="23">
        <f>_xll.qlIndexFixing(hiborindex,AK4346)</f>
        <v>1.1330994560622089E-2</v>
      </c>
    </row>
    <row r="4347" spans="37:39" x14ac:dyDescent="0.25">
      <c r="AK4347" s="21">
        <f>_xll.qlCalendarAdvance(calendar,AK4346,"1D")</f>
        <v>48744</v>
      </c>
      <c r="AL4347" s="21">
        <f>_xll.qlInterestRateIndexValueDate(hiborindex,AK4347)</f>
        <v>48746</v>
      </c>
      <c r="AM4347" s="23">
        <f>_xll.qlIndexFixing(hiborindex,AK4347)</f>
        <v>1.1326289580883381E-2</v>
      </c>
    </row>
    <row r="4348" spans="37:39" x14ac:dyDescent="0.25">
      <c r="AK4348" s="21">
        <f>_xll.qlCalendarAdvance(calendar,AK4347,"1D")</f>
        <v>48745</v>
      </c>
      <c r="AL4348" s="21">
        <f>_xll.qlInterestRateIndexValueDate(hiborindex,AK4348)</f>
        <v>48747</v>
      </c>
      <c r="AM4348" s="23">
        <f>_xll.qlIndexFixing(hiborindex,AK4348)</f>
        <v>1.1322275817860061E-2</v>
      </c>
    </row>
    <row r="4349" spans="37:39" x14ac:dyDescent="0.25">
      <c r="AK4349" s="21">
        <f>_xll.qlCalendarAdvance(calendar,AK4348,"1D")</f>
        <v>48746</v>
      </c>
      <c r="AL4349" s="21">
        <f>_xll.qlInterestRateIndexValueDate(hiborindex,AK4349)</f>
        <v>48750</v>
      </c>
      <c r="AM4349" s="23">
        <f>_xll.qlIndexFixing(hiborindex,AK4349)</f>
        <v>1.1307450784168427E-2</v>
      </c>
    </row>
    <row r="4350" spans="37:39" x14ac:dyDescent="0.25">
      <c r="AK4350" s="21">
        <f>_xll.qlCalendarAdvance(calendar,AK4349,"1D")</f>
        <v>48747</v>
      </c>
      <c r="AL4350" s="21">
        <f>_xll.qlInterestRateIndexValueDate(hiborindex,AK4350)</f>
        <v>48751</v>
      </c>
      <c r="AM4350" s="23">
        <f>_xll.qlIndexFixing(hiborindex,AK4350)</f>
        <v>1.1302736365617145E-2</v>
      </c>
    </row>
    <row r="4351" spans="37:39" x14ac:dyDescent="0.25">
      <c r="AK4351" s="21">
        <f>_xll.qlCalendarAdvance(calendar,AK4350,"1D")</f>
        <v>48750</v>
      </c>
      <c r="AL4351" s="21">
        <f>_xll.qlInterestRateIndexValueDate(hiborindex,AK4351)</f>
        <v>48752</v>
      </c>
      <c r="AM4351" s="23">
        <f>_xll.qlIndexFixing(hiborindex,AK4351)</f>
        <v>1.1298020059343973E-2</v>
      </c>
    </row>
    <row r="4352" spans="37:39" x14ac:dyDescent="0.25">
      <c r="AK4352" s="21">
        <f>_xll.qlCalendarAdvance(calendar,AK4351,"1D")</f>
        <v>48751</v>
      </c>
      <c r="AL4352" s="21">
        <f>_xll.qlInterestRateIndexValueDate(hiborindex,AK4352)</f>
        <v>48753</v>
      </c>
      <c r="AM4352" s="23">
        <f>_xll.qlIndexFixing(hiborindex,AK4352)</f>
        <v>1.1293301865362886E-2</v>
      </c>
    </row>
    <row r="4353" spans="37:39" x14ac:dyDescent="0.25">
      <c r="AK4353" s="21">
        <f>_xll.qlCalendarAdvance(calendar,AK4352,"1D")</f>
        <v>48752</v>
      </c>
      <c r="AL4353" s="21">
        <f>_xll.qlInterestRateIndexValueDate(hiborindex,AK4353)</f>
        <v>48754</v>
      </c>
      <c r="AM4353" s="23">
        <f>_xll.qlIndexFixing(hiborindex,AK4353)</f>
        <v>1.1290288859721088E-2</v>
      </c>
    </row>
    <row r="4354" spans="37:39" x14ac:dyDescent="0.25">
      <c r="AK4354" s="21">
        <f>_xll.qlCalendarAdvance(calendar,AK4353,"1D")</f>
        <v>48753</v>
      </c>
      <c r="AL4354" s="21">
        <f>_xll.qlInterestRateIndexValueDate(hiborindex,AK4354)</f>
        <v>48757</v>
      </c>
      <c r="AM4354" s="23">
        <f>_xll.qlIndexFixing(hiborindex,AK4354)</f>
        <v>1.1274410212626297E-2</v>
      </c>
    </row>
    <row r="4355" spans="37:39" x14ac:dyDescent="0.25">
      <c r="AK4355" s="21">
        <f>_xll.qlCalendarAdvance(calendar,AK4354,"1D")</f>
        <v>48754</v>
      </c>
      <c r="AL4355" s="21">
        <f>_xll.qlInterestRateIndexValueDate(hiborindex,AK4355)</f>
        <v>48758</v>
      </c>
      <c r="AM4355" s="23">
        <f>_xll.qlIndexFixing(hiborindex,AK4355)</f>
        <v>1.1269682580307449E-2</v>
      </c>
    </row>
    <row r="4356" spans="37:39" x14ac:dyDescent="0.25">
      <c r="AK4356" s="21">
        <f>_xll.qlCalendarAdvance(calendar,AK4355,"1D")</f>
        <v>48757</v>
      </c>
      <c r="AL4356" s="21">
        <f>_xll.qlInterestRateIndexValueDate(hiborindex,AK4356)</f>
        <v>48759</v>
      </c>
      <c r="AM4356" s="23">
        <f>_xll.qlIndexFixing(hiborindex,AK4356)</f>
        <v>1.1264953060361496E-2</v>
      </c>
    </row>
    <row r="4357" spans="37:39" x14ac:dyDescent="0.25">
      <c r="AK4357" s="21">
        <f>_xll.qlCalendarAdvance(calendar,AK4356,"1D")</f>
        <v>48758</v>
      </c>
      <c r="AL4357" s="21">
        <f>_xll.qlInterestRateIndexValueDate(hiborindex,AK4357)</f>
        <v>48760</v>
      </c>
      <c r="AM4357" s="23">
        <f>_xll.qlIndexFixing(hiborindex,AK4357)</f>
        <v>1.1260221652801983E-2</v>
      </c>
    </row>
    <row r="4358" spans="37:39" x14ac:dyDescent="0.25">
      <c r="AK4358" s="21">
        <f>_xll.qlCalendarAdvance(calendar,AK4357,"1D")</f>
        <v>48759</v>
      </c>
      <c r="AL4358" s="21">
        <f>_xll.qlInterestRateIndexValueDate(hiborindex,AK4358)</f>
        <v>48761</v>
      </c>
      <c r="AM4358" s="23">
        <f>_xll.qlIndexFixing(hiborindex,AK4358)</f>
        <v>1.1262902821956525E-2</v>
      </c>
    </row>
    <row r="4359" spans="37:39" x14ac:dyDescent="0.25">
      <c r="AK4359" s="21">
        <f>_xll.qlCalendarAdvance(calendar,AK4358,"1D")</f>
        <v>48760</v>
      </c>
      <c r="AL4359" s="21">
        <f>_xll.qlInterestRateIndexValueDate(hiborindex,AK4359)</f>
        <v>48764</v>
      </c>
      <c r="AM4359" s="23">
        <f>_xll.qlIndexFixing(hiborindex,AK4359)</f>
        <v>1.1265638928913897E-2</v>
      </c>
    </row>
    <row r="4360" spans="37:39" x14ac:dyDescent="0.25">
      <c r="AK4360" s="21">
        <f>_xll.qlCalendarAdvance(calendar,AK4359,"1D")</f>
        <v>48761</v>
      </c>
      <c r="AL4360" s="21">
        <f>_xll.qlInterestRateIndexValueDate(hiborindex,AK4360)</f>
        <v>48765</v>
      </c>
      <c r="AM4360" s="23">
        <f>_xll.qlIndexFixing(hiborindex,AK4360)</f>
        <v>1.1266803710476838E-2</v>
      </c>
    </row>
    <row r="4361" spans="37:39" x14ac:dyDescent="0.25">
      <c r="AK4361" s="21">
        <f>_xll.qlCalendarAdvance(calendar,AK4360,"1D")</f>
        <v>48764</v>
      </c>
      <c r="AL4361" s="21">
        <f>_xll.qlInterestRateIndexValueDate(hiborindex,AK4361)</f>
        <v>48766</v>
      </c>
      <c r="AM4361" s="23">
        <f>_xll.qlIndexFixing(hiborindex,AK4361)</f>
        <v>1.1267968492729225E-2</v>
      </c>
    </row>
    <row r="4362" spans="37:39" x14ac:dyDescent="0.25">
      <c r="AK4362" s="21">
        <f>_xll.qlCalendarAdvance(calendar,AK4361,"1D")</f>
        <v>48765</v>
      </c>
      <c r="AL4362" s="21">
        <f>_xll.qlInterestRateIndexValueDate(hiborindex,AK4362)</f>
        <v>48767</v>
      </c>
      <c r="AM4362" s="23">
        <f>_xll.qlIndexFixing(hiborindex,AK4362)</f>
        <v>1.1270650223369982E-2</v>
      </c>
    </row>
    <row r="4363" spans="37:39" x14ac:dyDescent="0.25">
      <c r="AK4363" s="21">
        <f>_xll.qlCalendarAdvance(calendar,AK4362,"1D")</f>
        <v>48766</v>
      </c>
      <c r="AL4363" s="21">
        <f>_xll.qlInterestRateIndexValueDate(hiborindex,AK4363)</f>
        <v>48768</v>
      </c>
      <c r="AM4363" s="23">
        <f>_xll.qlIndexFixing(hiborindex,AK4363)</f>
        <v>1.1271056549758008E-2</v>
      </c>
    </row>
    <row r="4364" spans="37:39" x14ac:dyDescent="0.25">
      <c r="AK4364" s="21">
        <f>_xll.qlCalendarAdvance(calendar,AK4363,"1D")</f>
        <v>48767</v>
      </c>
      <c r="AL4364" s="21">
        <f>_xll.qlInterestRateIndexValueDate(hiborindex,AK4364)</f>
        <v>48771</v>
      </c>
      <c r="AM4364" s="23">
        <f>_xll.qlIndexFixing(hiborindex,AK4364)</f>
        <v>1.1273792414332028E-2</v>
      </c>
    </row>
    <row r="4365" spans="37:39" x14ac:dyDescent="0.25">
      <c r="AK4365" s="21">
        <f>_xll.qlCalendarAdvance(calendar,AK4364,"1D")</f>
        <v>48768</v>
      </c>
      <c r="AL4365" s="21">
        <f>_xll.qlInterestRateIndexValueDate(hiborindex,AK4365)</f>
        <v>48772</v>
      </c>
      <c r="AM4365" s="23">
        <f>_xll.qlIndexFixing(hiborindex,AK4365)</f>
        <v>1.1274957200721542E-2</v>
      </c>
    </row>
    <row r="4366" spans="37:39" x14ac:dyDescent="0.25">
      <c r="AK4366" s="21">
        <f>_xll.qlCalendarAdvance(calendar,AK4365,"1D")</f>
        <v>48771</v>
      </c>
      <c r="AL4366" s="21">
        <f>_xll.qlInterestRateIndexValueDate(hiborindex,AK4366)</f>
        <v>48773</v>
      </c>
      <c r="AM4366" s="23">
        <f>_xll.qlIndexFixing(hiborindex,AK4366)</f>
        <v>1.1276121987799637E-2</v>
      </c>
    </row>
    <row r="4367" spans="37:39" x14ac:dyDescent="0.25">
      <c r="AK4367" s="21">
        <f>_xll.qlCalendarAdvance(calendar,AK4366,"1D")</f>
        <v>48772</v>
      </c>
      <c r="AL4367" s="21">
        <f>_xll.qlInterestRateIndexValueDate(hiborindex,AK4367)</f>
        <v>48774</v>
      </c>
      <c r="AM4367" s="23">
        <f>_xll.qlIndexFixing(hiborindex,AK4367)</f>
        <v>1.1278804237341539E-2</v>
      </c>
    </row>
    <row r="4368" spans="37:39" x14ac:dyDescent="0.25">
      <c r="AK4368" s="21">
        <f>_xll.qlCalendarAdvance(calendar,AK4367,"1D")</f>
        <v>48773</v>
      </c>
      <c r="AL4368" s="21">
        <f>_xll.qlInterestRateIndexValueDate(hiborindex,AK4368)</f>
        <v>48775</v>
      </c>
      <c r="AM4368" s="23">
        <f>_xll.qlIndexFixing(hiborindex,AK4368)</f>
        <v>1.127921031152756E-2</v>
      </c>
    </row>
    <row r="4369" spans="37:39" x14ac:dyDescent="0.25">
      <c r="AK4369" s="21">
        <f>_xll.qlCalendarAdvance(calendar,AK4368,"1D")</f>
        <v>48774</v>
      </c>
      <c r="AL4369" s="21">
        <f>_xll.qlInterestRateIndexValueDate(hiborindex,AK4369)</f>
        <v>48778</v>
      </c>
      <c r="AM4369" s="23">
        <f>_xll.qlIndexFixing(hiborindex,AK4369)</f>
        <v>1.1281945933534441E-2</v>
      </c>
    </row>
    <row r="4370" spans="37:39" x14ac:dyDescent="0.25">
      <c r="AK4370" s="21">
        <f>_xll.qlCalendarAdvance(calendar,AK4369,"1D")</f>
        <v>48775</v>
      </c>
      <c r="AL4370" s="21">
        <f>_xll.qlInterestRateIndexValueDate(hiborindex,AK4370)</f>
        <v>48779</v>
      </c>
      <c r="AM4370" s="23">
        <f>_xll.qlIndexFixing(hiborindex,AK4370)</f>
        <v>1.1283110724749659E-2</v>
      </c>
    </row>
    <row r="4371" spans="37:39" x14ac:dyDescent="0.25">
      <c r="AK4371" s="21">
        <f>_xll.qlCalendarAdvance(calendar,AK4370,"1D")</f>
        <v>48778</v>
      </c>
      <c r="AL4371" s="21">
        <f>_xll.qlInterestRateIndexValueDate(hiborindex,AK4371)</f>
        <v>48780</v>
      </c>
      <c r="AM4371" s="23">
        <f>_xll.qlIndexFixing(hiborindex,AK4371)</f>
        <v>1.1284275516654762E-2</v>
      </c>
    </row>
    <row r="4372" spans="37:39" x14ac:dyDescent="0.25">
      <c r="AK4372" s="21">
        <f>_xll.qlCalendarAdvance(calendar,AK4371,"1D")</f>
        <v>48779</v>
      </c>
      <c r="AL4372" s="21">
        <f>_xll.qlInterestRateIndexValueDate(hiborindex,AK4372)</f>
        <v>48781</v>
      </c>
      <c r="AM4372" s="23">
        <f>_xll.qlIndexFixing(hiborindex,AK4372)</f>
        <v>1.1286958285466419E-2</v>
      </c>
    </row>
    <row r="4373" spans="37:39" x14ac:dyDescent="0.25">
      <c r="AK4373" s="21">
        <f>_xll.qlCalendarAdvance(calendar,AK4372,"1D")</f>
        <v>48780</v>
      </c>
      <c r="AL4373" s="21">
        <f>_xll.qlInterestRateIndexValueDate(hiborindex,AK4373)</f>
        <v>48782</v>
      </c>
      <c r="AM4373" s="23">
        <f>_xll.qlIndexFixing(hiborindex,AK4373)</f>
        <v>1.128736410726605E-2</v>
      </c>
    </row>
    <row r="4374" spans="37:39" x14ac:dyDescent="0.25">
      <c r="AK4374" s="21">
        <f>_xll.qlCalendarAdvance(calendar,AK4373,"1D")</f>
        <v>48781</v>
      </c>
      <c r="AL4374" s="21">
        <f>_xll.qlInterestRateIndexValueDate(hiborindex,AK4374)</f>
        <v>48785</v>
      </c>
      <c r="AM4374" s="23">
        <f>_xll.qlIndexFixing(hiborindex,AK4374)</f>
        <v>1.1290099486520263E-2</v>
      </c>
    </row>
    <row r="4375" spans="37:39" x14ac:dyDescent="0.25">
      <c r="AK4375" s="21">
        <f>_xll.qlCalendarAdvance(calendar,AK4374,"1D")</f>
        <v>48782</v>
      </c>
      <c r="AL4375" s="21">
        <f>_xll.qlInterestRateIndexValueDate(hiborindex,AK4375)</f>
        <v>48786</v>
      </c>
      <c r="AM4375" s="23">
        <f>_xll.qlIndexFixing(hiborindex,AK4375)</f>
        <v>1.1291264282562056E-2</v>
      </c>
    </row>
    <row r="4376" spans="37:39" x14ac:dyDescent="0.25">
      <c r="AK4376" s="21">
        <f>_xll.qlCalendarAdvance(calendar,AK4375,"1D")</f>
        <v>48785</v>
      </c>
      <c r="AL4376" s="21">
        <f>_xll.qlInterestRateIndexValueDate(hiborindex,AK4376)</f>
        <v>48787</v>
      </c>
      <c r="AM4376" s="23">
        <f>_xll.qlIndexFixing(hiborindex,AK4376)</f>
        <v>1.1292429079293297E-2</v>
      </c>
    </row>
    <row r="4377" spans="37:39" x14ac:dyDescent="0.25">
      <c r="AK4377" s="21">
        <f>_xll.qlCalendarAdvance(calendar,AK4376,"1D")</f>
        <v>48786</v>
      </c>
      <c r="AL4377" s="21">
        <f>_xll.qlInterestRateIndexValueDate(hiborindex,AK4377)</f>
        <v>48788</v>
      </c>
      <c r="AM4377" s="23">
        <f>_xll.qlIndexFixing(hiborindex,AK4377)</f>
        <v>1.1295112367744626E-2</v>
      </c>
    </row>
    <row r="4378" spans="37:39" x14ac:dyDescent="0.25">
      <c r="AK4378" s="21">
        <f>_xll.qlCalendarAdvance(calendar,AK4377,"1D")</f>
        <v>48787</v>
      </c>
      <c r="AL4378" s="21">
        <f>_xll.qlInterestRateIndexValueDate(hiborindex,AK4378)</f>
        <v>48789</v>
      </c>
      <c r="AM4378" s="23">
        <f>_xll.qlIndexFixing(hiborindex,AK4378)</f>
        <v>1.1296277239429758E-2</v>
      </c>
    </row>
    <row r="4379" spans="37:39" x14ac:dyDescent="0.25">
      <c r="AK4379" s="21">
        <f>_xll.qlCalendarAdvance(calendar,AK4378,"1D")</f>
        <v>48788</v>
      </c>
      <c r="AL4379" s="21">
        <f>_xll.qlInterestRateIndexValueDate(hiborindex,AK4379)</f>
        <v>48792</v>
      </c>
      <c r="AM4379" s="23">
        <f>_xll.qlIndexFixing(hiborindex,AK4379)</f>
        <v>1.12982530732908E-2</v>
      </c>
    </row>
    <row r="4380" spans="37:39" x14ac:dyDescent="0.25">
      <c r="AK4380" s="21">
        <f>_xll.qlCalendarAdvance(calendar,AK4379,"1D")</f>
        <v>48789</v>
      </c>
      <c r="AL4380" s="21">
        <f>_xll.qlInterestRateIndexValueDate(hiborindex,AK4380)</f>
        <v>48793</v>
      </c>
      <c r="AM4380" s="23">
        <f>_xll.qlIndexFixing(hiborindex,AK4380)</f>
        <v>1.1299417874158732E-2</v>
      </c>
    </row>
    <row r="4381" spans="37:39" x14ac:dyDescent="0.25">
      <c r="AK4381" s="21">
        <f>_xll.qlCalendarAdvance(calendar,AK4380,"1D")</f>
        <v>48792</v>
      </c>
      <c r="AL4381" s="21">
        <f>_xll.qlInterestRateIndexValueDate(hiborindex,AK4381)</f>
        <v>48794</v>
      </c>
      <c r="AM4381" s="23">
        <f>_xll.qlIndexFixing(hiborindex,AK4381)</f>
        <v>1.1300582675716113E-2</v>
      </c>
    </row>
    <row r="4382" spans="37:39" x14ac:dyDescent="0.25">
      <c r="AK4382" s="21">
        <f>_xll.qlCalendarAdvance(calendar,AK4381,"1D")</f>
        <v>48793</v>
      </c>
      <c r="AL4382" s="21">
        <f>_xll.qlInterestRateIndexValueDate(hiborindex,AK4382)</f>
        <v>48795</v>
      </c>
      <c r="AM4382" s="23">
        <f>_xll.qlIndexFixing(hiborindex,AK4382)</f>
        <v>1.1303266484176587E-2</v>
      </c>
    </row>
    <row r="4383" spans="37:39" x14ac:dyDescent="0.25">
      <c r="AK4383" s="21">
        <f>_xll.qlCalendarAdvance(calendar,AK4382,"1D")</f>
        <v>48794</v>
      </c>
      <c r="AL4383" s="21">
        <f>_xll.qlInterestRateIndexValueDate(hiborindex,AK4383)</f>
        <v>48796</v>
      </c>
      <c r="AM4383" s="23">
        <f>_xll.qlIndexFixing(hiborindex,AK4383)</f>
        <v>1.1303671800649402E-2</v>
      </c>
    </row>
    <row r="4384" spans="37:39" x14ac:dyDescent="0.25">
      <c r="AK4384" s="21">
        <f>_xll.qlCalendarAdvance(calendar,AK4383,"1D")</f>
        <v>48795</v>
      </c>
      <c r="AL4384" s="21">
        <f>_xll.qlInterestRateIndexValueDate(hiborindex,AK4384)</f>
        <v>48799</v>
      </c>
      <c r="AM4384" s="23">
        <f>_xll.qlIndexFixing(hiborindex,AK4384)</f>
        <v>1.1306406693845181E-2</v>
      </c>
    </row>
    <row r="4385" spans="37:39" x14ac:dyDescent="0.25">
      <c r="AK4385" s="21">
        <f>_xll.qlCalendarAdvance(calendar,AK4384,"1D")</f>
        <v>48796</v>
      </c>
      <c r="AL4385" s="21">
        <f>_xll.qlInterestRateIndexValueDate(hiborindex,AK4385)</f>
        <v>48800</v>
      </c>
      <c r="AM4385" s="23">
        <f>_xll.qlIndexFixing(hiborindex,AK4385)</f>
        <v>1.1307571499539688E-2</v>
      </c>
    </row>
    <row r="4386" spans="37:39" x14ac:dyDescent="0.25">
      <c r="AK4386" s="21">
        <f>_xll.qlCalendarAdvance(calendar,AK4385,"1D")</f>
        <v>48799</v>
      </c>
      <c r="AL4386" s="21">
        <f>_xll.qlInterestRateIndexValueDate(hiborindex,AK4386)</f>
        <v>48801</v>
      </c>
      <c r="AM4386" s="23">
        <f>_xll.qlIndexFixing(hiborindex,AK4386)</f>
        <v>1.1308736305922775E-2</v>
      </c>
    </row>
    <row r="4387" spans="37:39" x14ac:dyDescent="0.25">
      <c r="AK4387" s="21">
        <f>_xll.qlCalendarAdvance(calendar,AK4386,"1D")</f>
        <v>48800</v>
      </c>
      <c r="AL4387" s="21">
        <f>_xll.qlInterestRateIndexValueDate(hiborindex,AK4387)</f>
        <v>48802</v>
      </c>
      <c r="AM4387" s="23">
        <f>_xll.qlIndexFixing(hiborindex,AK4387)</f>
        <v>1.1311420634761872E-2</v>
      </c>
    </row>
    <row r="4388" spans="37:39" x14ac:dyDescent="0.25">
      <c r="AK4388" s="21">
        <f>_xll.qlCalendarAdvance(calendar,AK4387,"1D")</f>
        <v>48801</v>
      </c>
      <c r="AL4388" s="21">
        <f>_xll.qlInterestRateIndexValueDate(hiborindex,AK4388)</f>
        <v>48803</v>
      </c>
      <c r="AM4388" s="23">
        <f>_xll.qlIndexFixing(hiborindex,AK4388)</f>
        <v>1.1311825698294267E-2</v>
      </c>
    </row>
    <row r="4389" spans="37:39" x14ac:dyDescent="0.25">
      <c r="AK4389" s="21">
        <f>_xll.qlCalendarAdvance(calendar,AK4388,"1D")</f>
        <v>48802</v>
      </c>
      <c r="AL4389" s="21">
        <f>_xll.qlInterestRateIndexValueDate(hiborindex,AK4389)</f>
        <v>48806</v>
      </c>
      <c r="AM4389" s="23">
        <f>_xll.qlIndexFixing(hiborindex,AK4389)</f>
        <v>1.1314560348183842E-2</v>
      </c>
    </row>
    <row r="4390" spans="37:39" x14ac:dyDescent="0.25">
      <c r="AK4390" s="21">
        <f>_xll.qlCalendarAdvance(calendar,AK4389,"1D")</f>
        <v>48803</v>
      </c>
      <c r="AL4390" s="21">
        <f>_xll.qlInterestRateIndexValueDate(hiborindex,AK4390)</f>
        <v>48807</v>
      </c>
      <c r="AM4390" s="23">
        <f>_xll.qlIndexFixing(hiborindex,AK4390)</f>
        <v>1.1315725158704489E-2</v>
      </c>
    </row>
    <row r="4391" spans="37:39" x14ac:dyDescent="0.25">
      <c r="AK4391" s="21">
        <f>_xll.qlCalendarAdvance(calendar,AK4390,"1D")</f>
        <v>48806</v>
      </c>
      <c r="AL4391" s="21">
        <f>_xll.qlInterestRateIndexValueDate(hiborindex,AK4391)</f>
        <v>48808</v>
      </c>
      <c r="AM4391" s="23">
        <f>_xll.qlIndexFixing(hiborindex,AK4391)</f>
        <v>1.1316889969914583E-2</v>
      </c>
    </row>
    <row r="4392" spans="37:39" x14ac:dyDescent="0.25">
      <c r="AK4392" s="21">
        <f>_xll.qlCalendarAdvance(calendar,AK4391,"1D")</f>
        <v>48807</v>
      </c>
      <c r="AL4392" s="21">
        <f>_xll.qlInterestRateIndexValueDate(hiborindex,AK4392)</f>
        <v>48809</v>
      </c>
      <c r="AM4392" s="23">
        <f>_xll.qlIndexFixing(hiborindex,AK4392)</f>
        <v>1.1319574819501344E-2</v>
      </c>
    </row>
    <row r="4393" spans="37:39" x14ac:dyDescent="0.25">
      <c r="AK4393" s="21">
        <f>_xll.qlCalendarAdvance(calendar,AK4392,"1D")</f>
        <v>48808</v>
      </c>
      <c r="AL4393" s="21">
        <f>_xll.qlInterestRateIndexValueDate(hiborindex,AK4393)</f>
        <v>48810</v>
      </c>
      <c r="AM4393" s="23">
        <f>_xll.qlIndexFixing(hiborindex,AK4393)</f>
        <v>1.1319979629908498E-2</v>
      </c>
    </row>
    <row r="4394" spans="37:39" x14ac:dyDescent="0.25">
      <c r="AK4394" s="21">
        <f>_xll.qlCalendarAdvance(calendar,AK4393,"1D")</f>
        <v>48809</v>
      </c>
      <c r="AL4394" s="21">
        <f>_xll.qlInterestRateIndexValueDate(hiborindex,AK4394)</f>
        <v>48813</v>
      </c>
      <c r="AM4394" s="23">
        <f>_xll.qlIndexFixing(hiborindex,AK4394)</f>
        <v>1.1322714036307219E-2</v>
      </c>
    </row>
    <row r="4395" spans="37:39" x14ac:dyDescent="0.25">
      <c r="AK4395" s="21">
        <f>_xll.qlCalendarAdvance(calendar,AK4394,"1D")</f>
        <v>48810</v>
      </c>
      <c r="AL4395" s="21">
        <f>_xll.qlInterestRateIndexValueDate(hiborindex,AK4395)</f>
        <v>48814</v>
      </c>
      <c r="AM4395" s="23">
        <f>_xll.qlIndexFixing(hiborindex,AK4395)</f>
        <v>1.1323878851654003E-2</v>
      </c>
    </row>
    <row r="4396" spans="37:39" x14ac:dyDescent="0.25">
      <c r="AK4396" s="21">
        <f>_xll.qlCalendarAdvance(calendar,AK4395,"1D")</f>
        <v>48813</v>
      </c>
      <c r="AL4396" s="21">
        <f>_xll.qlInterestRateIndexValueDate(hiborindex,AK4396)</f>
        <v>48815</v>
      </c>
      <c r="AM4396" s="23">
        <f>_xll.qlIndexFixing(hiborindex,AK4396)</f>
        <v>1.1325043667690672E-2</v>
      </c>
    </row>
    <row r="4397" spans="37:39" x14ac:dyDescent="0.25">
      <c r="AK4397" s="21">
        <f>_xll.qlCalendarAdvance(calendar,AK4396,"1D")</f>
        <v>48814</v>
      </c>
      <c r="AL4397" s="21">
        <f>_xll.qlInterestRateIndexValueDate(hiborindex,AK4397)</f>
        <v>48816</v>
      </c>
      <c r="AM4397" s="23">
        <f>_xll.qlIndexFixing(hiborindex,AK4397)</f>
        <v>1.1327729038394142E-2</v>
      </c>
    </row>
    <row r="4398" spans="37:39" x14ac:dyDescent="0.25">
      <c r="AK4398" s="21">
        <f>_xll.qlCalendarAdvance(calendar,AK4397,"1D")</f>
        <v>48815</v>
      </c>
      <c r="AL4398" s="21">
        <f>_xll.qlInterestRateIndexValueDate(hiborindex,AK4398)</f>
        <v>48817</v>
      </c>
      <c r="AM4398" s="23">
        <f>_xll.qlIndexFixing(hiborindex,AK4398)</f>
        <v>1.1328133595491665E-2</v>
      </c>
    </row>
    <row r="4399" spans="37:39" x14ac:dyDescent="0.25">
      <c r="AK4399" s="21">
        <f>_xll.qlCalendarAdvance(calendar,AK4398,"1D")</f>
        <v>48816</v>
      </c>
      <c r="AL4399" s="21">
        <f>_xll.qlInterestRateIndexValueDate(hiborindex,AK4399)</f>
        <v>48820</v>
      </c>
      <c r="AM4399" s="23">
        <f>_xll.qlIndexFixing(hiborindex,AK4399)</f>
        <v>1.1330107394315333E-2</v>
      </c>
    </row>
    <row r="4400" spans="37:39" x14ac:dyDescent="0.25">
      <c r="AK4400" s="21">
        <f>_xll.qlCalendarAdvance(calendar,AK4399,"1D")</f>
        <v>48817</v>
      </c>
      <c r="AL4400" s="21">
        <f>_xll.qlInterestRateIndexValueDate(hiborindex,AK4400)</f>
        <v>48821</v>
      </c>
      <c r="AM4400" s="23">
        <f>_xll.qlIndexFixing(hiborindex,AK4400)</f>
        <v>1.1330511817242697E-2</v>
      </c>
    </row>
    <row r="4401" spans="37:39" x14ac:dyDescent="0.25">
      <c r="AK4401" s="21">
        <f>_xll.qlCalendarAdvance(calendar,AK4400,"1D")</f>
        <v>48820</v>
      </c>
      <c r="AL4401" s="21">
        <f>_xll.qlInterestRateIndexValueDate(hiborindex,AK4401)</f>
        <v>48822</v>
      </c>
      <c r="AM4401" s="23">
        <f>_xll.qlIndexFixing(hiborindex,AK4401)</f>
        <v>1.1330916207511017E-2</v>
      </c>
    </row>
    <row r="4402" spans="37:39" x14ac:dyDescent="0.25">
      <c r="AK4402" s="21">
        <f>_xll.qlCalendarAdvance(calendar,AK4401,"1D")</f>
        <v>48821</v>
      </c>
      <c r="AL4402" s="21">
        <f>_xll.qlInterestRateIndexValueDate(hiborindex,AK4402)</f>
        <v>48823</v>
      </c>
      <c r="AM4402" s="23">
        <f>_xll.qlIndexFixing(hiborindex,AK4402)</f>
        <v>1.1332080918353705E-2</v>
      </c>
    </row>
    <row r="4403" spans="37:39" x14ac:dyDescent="0.25">
      <c r="AK4403" s="21">
        <f>_xll.qlCalendarAdvance(calendar,AK4402,"1D")</f>
        <v>48822</v>
      </c>
      <c r="AL4403" s="21">
        <f>_xll.qlInterestRateIndexValueDate(hiborindex,AK4403)</f>
        <v>48824</v>
      </c>
      <c r="AM4403" s="23">
        <f>_xll.qlIndexFixing(hiborindex,AK4403)</f>
        <v>1.1333245629874304E-2</v>
      </c>
    </row>
    <row r="4404" spans="37:39" x14ac:dyDescent="0.25">
      <c r="AK4404" s="21">
        <f>_xll.qlCalendarAdvance(calendar,AK4403,"1D")</f>
        <v>48823</v>
      </c>
      <c r="AL4404" s="21">
        <f>_xll.qlInterestRateIndexValueDate(hiborindex,AK4404)</f>
        <v>48827</v>
      </c>
      <c r="AM4404" s="23">
        <f>_xll.qlIndexFixing(hiborindex,AK4404)</f>
        <v>1.1337500309825126E-2</v>
      </c>
    </row>
    <row r="4405" spans="37:39" x14ac:dyDescent="0.25">
      <c r="AK4405" s="21">
        <f>_xll.qlCalendarAdvance(calendar,AK4404,"1D")</f>
        <v>48824</v>
      </c>
      <c r="AL4405" s="21">
        <f>_xll.qlInterestRateIndexValueDate(hiborindex,AK4405)</f>
        <v>48828</v>
      </c>
      <c r="AM4405" s="23">
        <f>_xll.qlIndexFixing(hiborindex,AK4405)</f>
        <v>1.133790448273846E-2</v>
      </c>
    </row>
    <row r="4406" spans="37:39" x14ac:dyDescent="0.25">
      <c r="AK4406" s="21">
        <f>_xll.qlCalendarAdvance(calendar,AK4405,"1D")</f>
        <v>48827</v>
      </c>
      <c r="AL4406" s="21">
        <f>_xll.qlInterestRateIndexValueDate(hiborindex,AK4406)</f>
        <v>48829</v>
      </c>
      <c r="AM4406" s="23">
        <f>_xll.qlIndexFixing(hiborindex,AK4406)</f>
        <v>1.1339069197649496E-2</v>
      </c>
    </row>
    <row r="4407" spans="37:39" x14ac:dyDescent="0.25">
      <c r="AK4407" s="21">
        <f>_xll.qlCalendarAdvance(calendar,AK4406,"1D")</f>
        <v>48828</v>
      </c>
      <c r="AL4407" s="21">
        <f>_xll.qlInterestRateIndexValueDate(hiborindex,AK4407)</f>
        <v>48830</v>
      </c>
      <c r="AM4407" s="23">
        <f>_xll.qlIndexFixing(hiborindex,AK4407)</f>
        <v>1.1340233913239328E-2</v>
      </c>
    </row>
    <row r="4408" spans="37:39" x14ac:dyDescent="0.25">
      <c r="AK4408" s="21">
        <f>_xll.qlCalendarAdvance(calendar,AK4407,"1D")</f>
        <v>48829</v>
      </c>
      <c r="AL4408" s="21">
        <f>_xll.qlInterestRateIndexValueDate(hiborindex,AK4408)</f>
        <v>48831</v>
      </c>
      <c r="AM4408" s="23">
        <f>_xll.qlIndexFixing(hiborindex,AK4408)</f>
        <v>1.1341398629507069E-2</v>
      </c>
    </row>
    <row r="4409" spans="37:39" x14ac:dyDescent="0.25">
      <c r="AK4409" s="21">
        <f>_xll.qlCalendarAdvance(calendar,AK4408,"1D")</f>
        <v>48830</v>
      </c>
      <c r="AL4409" s="21">
        <f>_xll.qlInterestRateIndexValueDate(hiborindex,AK4409)</f>
        <v>48834</v>
      </c>
      <c r="AM4409" s="23">
        <f>_xll.qlIndexFixing(hiborindex,AK4409)</f>
        <v>1.1345653582199734E-2</v>
      </c>
    </row>
    <row r="4410" spans="37:39" x14ac:dyDescent="0.25">
      <c r="AK4410" s="21">
        <f>_xll.qlCalendarAdvance(calendar,AK4409,"1D")</f>
        <v>48831</v>
      </c>
      <c r="AL4410" s="21">
        <f>_xll.qlInterestRateIndexValueDate(hiborindex,AK4410)</f>
        <v>48835</v>
      </c>
      <c r="AM4410" s="23">
        <f>_xll.qlIndexFixing(hiborindex,AK4410)</f>
        <v>1.1346057501360675E-2</v>
      </c>
    </row>
    <row r="4411" spans="37:39" x14ac:dyDescent="0.25">
      <c r="AK4411" s="21">
        <f>_xll.qlCalendarAdvance(calendar,AK4410,"1D")</f>
        <v>48834</v>
      </c>
      <c r="AL4411" s="21">
        <f>_xll.qlInterestRateIndexValueDate(hiborindex,AK4411)</f>
        <v>48836</v>
      </c>
      <c r="AM4411" s="23">
        <f>_xll.qlIndexFixing(hiborindex,AK4411)</f>
        <v>1.1347222221019295E-2</v>
      </c>
    </row>
    <row r="4412" spans="37:39" x14ac:dyDescent="0.25">
      <c r="AK4412" s="21">
        <f>_xll.qlCalendarAdvance(calendar,AK4411,"1D")</f>
        <v>48835</v>
      </c>
      <c r="AL4412" s="21">
        <f>_xll.qlInterestRateIndexValueDate(hiborindex,AK4412)</f>
        <v>48837</v>
      </c>
      <c r="AM4412" s="23">
        <f>_xll.qlIndexFixing(hiborindex,AK4412)</f>
        <v>1.1348386941356267E-2</v>
      </c>
    </row>
    <row r="4413" spans="37:39" x14ac:dyDescent="0.25">
      <c r="AK4413" s="21">
        <f>_xll.qlCalendarAdvance(calendar,AK4412,"1D")</f>
        <v>48836</v>
      </c>
      <c r="AL4413" s="21">
        <f>_xll.qlInterestRateIndexValueDate(hiborindex,AK4413)</f>
        <v>48838</v>
      </c>
      <c r="AM4413" s="23">
        <f>_xll.qlIndexFixing(hiborindex,AK4413)</f>
        <v>1.134955166237115E-2</v>
      </c>
    </row>
    <row r="4414" spans="37:39" x14ac:dyDescent="0.25">
      <c r="AK4414" s="21">
        <f>_xll.qlCalendarAdvance(calendar,AK4413,"1D")</f>
        <v>48837</v>
      </c>
      <c r="AL4414" s="21">
        <f>_xll.qlInterestRateIndexValueDate(hiborindex,AK4414)</f>
        <v>48841</v>
      </c>
      <c r="AM4414" s="23">
        <f>_xll.qlIndexFixing(hiborindex,AK4414)</f>
        <v>1.1353806887989809E-2</v>
      </c>
    </row>
    <row r="4415" spans="37:39" x14ac:dyDescent="0.25">
      <c r="AK4415" s="21">
        <f>_xll.qlCalendarAdvance(calendar,AK4414,"1D")</f>
        <v>48838</v>
      </c>
      <c r="AL4415" s="21">
        <f>_xll.qlInterestRateIndexValueDate(hiborindex,AK4415)</f>
        <v>48842</v>
      </c>
      <c r="AM4415" s="23">
        <f>_xll.qlIndexFixing(hiborindex,AK4415)</f>
        <v>1.1354210553213324E-2</v>
      </c>
    </row>
    <row r="4416" spans="37:39" x14ac:dyDescent="0.25">
      <c r="AK4416" s="21">
        <f>_xll.qlCalendarAdvance(calendar,AK4415,"1D")</f>
        <v>48841</v>
      </c>
      <c r="AL4416" s="21">
        <f>_xll.qlInterestRateIndexValueDate(hiborindex,AK4416)</f>
        <v>48843</v>
      </c>
      <c r="AM4416" s="23">
        <f>_xll.qlIndexFixing(hiborindex,AK4416)</f>
        <v>1.1355375277619527E-2</v>
      </c>
    </row>
    <row r="4417" spans="37:39" x14ac:dyDescent="0.25">
      <c r="AK4417" s="21">
        <f>_xll.qlCalendarAdvance(calendar,AK4416,"1D")</f>
        <v>48842</v>
      </c>
      <c r="AL4417" s="21">
        <f>_xll.qlInterestRateIndexValueDate(hiborindex,AK4417)</f>
        <v>48844</v>
      </c>
      <c r="AM4417" s="23">
        <f>_xll.qlIndexFixing(hiborindex,AK4417)</f>
        <v>1.1356540002703643E-2</v>
      </c>
    </row>
    <row r="4418" spans="37:39" x14ac:dyDescent="0.25">
      <c r="AK4418" s="21">
        <f>_xll.qlCalendarAdvance(calendar,AK4417,"1D")</f>
        <v>48843</v>
      </c>
      <c r="AL4418" s="21">
        <f>_xll.qlInterestRateIndexValueDate(hiborindex,AK4418)</f>
        <v>48845</v>
      </c>
      <c r="AM4418" s="23">
        <f>_xll.qlIndexFixing(hiborindex,AK4418)</f>
        <v>1.1357704728466551E-2</v>
      </c>
    </row>
    <row r="4419" spans="37:39" x14ac:dyDescent="0.25">
      <c r="AK4419" s="21">
        <f>_xll.qlCalendarAdvance(calendar,AK4418,"1D")</f>
        <v>48844</v>
      </c>
      <c r="AL4419" s="21">
        <f>_xll.qlInterestRateIndexValueDate(hiborindex,AK4419)</f>
        <v>48848</v>
      </c>
      <c r="AM4419" s="23">
        <f>_xll.qlIndexFixing(hiborindex,AK4419)</f>
        <v>1.1361960227196231E-2</v>
      </c>
    </row>
    <row r="4420" spans="37:39" x14ac:dyDescent="0.25">
      <c r="AK4420" s="21">
        <f>_xll.qlCalendarAdvance(calendar,AK4419,"1D")</f>
        <v>48845</v>
      </c>
      <c r="AL4420" s="21">
        <f>_xll.qlInterestRateIndexValueDate(hiborindex,AK4420)</f>
        <v>48849</v>
      </c>
      <c r="AM4420" s="23">
        <f>_xll.qlIndexFixing(hiborindex,AK4420)</f>
        <v>1.1362363638298175E-2</v>
      </c>
    </row>
    <row r="4421" spans="37:39" x14ac:dyDescent="0.25">
      <c r="AK4421" s="21">
        <f>_xll.qlCalendarAdvance(calendar,AK4420,"1D")</f>
        <v>48848</v>
      </c>
      <c r="AL4421" s="21">
        <f>_xll.qlInterestRateIndexValueDate(hiborindex,AK4421)</f>
        <v>48850</v>
      </c>
      <c r="AM4421" s="23">
        <f>_xll.qlIndexFixing(hiborindex,AK4421)</f>
        <v>1.136352836745152E-2</v>
      </c>
    </row>
    <row r="4422" spans="37:39" x14ac:dyDescent="0.25">
      <c r="AK4422" s="21">
        <f>_xll.qlCalendarAdvance(calendar,AK4421,"1D")</f>
        <v>48849</v>
      </c>
      <c r="AL4422" s="21">
        <f>_xll.qlInterestRateIndexValueDate(hiborindex,AK4422)</f>
        <v>48851</v>
      </c>
      <c r="AM4422" s="23">
        <f>_xll.qlIndexFixing(hiborindex,AK4422)</f>
        <v>1.1364693097282778E-2</v>
      </c>
    </row>
    <row r="4423" spans="37:39" x14ac:dyDescent="0.25">
      <c r="AK4423" s="21">
        <f>_xll.qlCalendarAdvance(calendar,AK4422,"1D")</f>
        <v>48850</v>
      </c>
      <c r="AL4423" s="21">
        <f>_xll.qlInterestRateIndexValueDate(hiborindex,AK4423)</f>
        <v>48852</v>
      </c>
      <c r="AM4423" s="23">
        <f>_xll.qlIndexFixing(hiborindex,AK4423)</f>
        <v>1.1366619293174085E-2</v>
      </c>
    </row>
    <row r="4424" spans="37:39" x14ac:dyDescent="0.25">
      <c r="AK4424" s="21">
        <f>_xll.qlCalendarAdvance(calendar,AK4423,"1D")</f>
        <v>48851</v>
      </c>
      <c r="AL4424" s="21">
        <f>_xll.qlInterestRateIndexValueDate(hiborindex,AK4424)</f>
        <v>48855</v>
      </c>
      <c r="AM4424" s="23">
        <f>_xll.qlIndexFixing(hiborindex,AK4424)</f>
        <v>1.1370113599818561E-2</v>
      </c>
    </row>
    <row r="4425" spans="37:39" x14ac:dyDescent="0.25">
      <c r="AK4425" s="21">
        <f>_xll.qlCalendarAdvance(calendar,AK4424,"1D")</f>
        <v>48852</v>
      </c>
      <c r="AL4425" s="21">
        <f>_xll.qlInterestRateIndexValueDate(hiborindex,AK4425)</f>
        <v>48856</v>
      </c>
      <c r="AM4425" s="23">
        <f>_xll.qlIndexFixing(hiborindex,AK4425)</f>
        <v>1.137127837006365E-2</v>
      </c>
    </row>
    <row r="4426" spans="37:39" x14ac:dyDescent="0.25">
      <c r="AK4426" s="21">
        <f>_xll.qlCalendarAdvance(calendar,AK4425,"1D")</f>
        <v>48855</v>
      </c>
      <c r="AL4426" s="21">
        <f>_xll.qlInterestRateIndexValueDate(hiborindex,AK4426)</f>
        <v>48857</v>
      </c>
      <c r="AM4426" s="23">
        <f>_xll.qlIndexFixing(hiborindex,AK4426)</f>
        <v>1.1372443140990831E-2</v>
      </c>
    </row>
    <row r="4427" spans="37:39" x14ac:dyDescent="0.25">
      <c r="AK4427" s="21">
        <f>_xll.qlCalendarAdvance(calendar,AK4426,"1D")</f>
        <v>48856</v>
      </c>
      <c r="AL4427" s="21">
        <f>_xll.qlInterestRateIndexValueDate(hiborindex,AK4427)</f>
        <v>48858</v>
      </c>
      <c r="AM4427" s="23">
        <f>_xll.qlIndexFixing(hiborindex,AK4427)</f>
        <v>1.1373607912600106E-2</v>
      </c>
    </row>
    <row r="4428" spans="37:39" x14ac:dyDescent="0.25">
      <c r="AK4428" s="21">
        <f>_xll.qlCalendarAdvance(calendar,AK4427,"1D")</f>
        <v>48857</v>
      </c>
      <c r="AL4428" s="21">
        <f>_xll.qlInterestRateIndexValueDate(hiborindex,AK4428)</f>
        <v>48859</v>
      </c>
      <c r="AM4428" s="23">
        <f>_xll.qlIndexFixing(hiborindex,AK4428)</f>
        <v>1.1377819989470602E-2</v>
      </c>
    </row>
    <row r="4429" spans="37:39" x14ac:dyDescent="0.25">
      <c r="AK4429" s="21">
        <f>_xll.qlCalendarAdvance(calendar,AK4428,"1D")</f>
        <v>48858</v>
      </c>
      <c r="AL4429" s="21">
        <f>_xll.qlInterestRateIndexValueDate(hiborindex,AK4429)</f>
        <v>48862</v>
      </c>
      <c r="AM4429" s="23">
        <f>_xll.qlIndexFixing(hiborindex,AK4429)</f>
        <v>1.1379028882174099E-2</v>
      </c>
    </row>
    <row r="4430" spans="37:39" x14ac:dyDescent="0.25">
      <c r="AK4430" s="21">
        <f>_xll.qlCalendarAdvance(calendar,AK4429,"1D")</f>
        <v>48859</v>
      </c>
      <c r="AL4430" s="21">
        <f>_xll.qlInterestRateIndexValueDate(hiborindex,AK4430)</f>
        <v>48863</v>
      </c>
      <c r="AM4430" s="23">
        <f>_xll.qlIndexFixing(hiborindex,AK4430)</f>
        <v>1.1379431780875651E-2</v>
      </c>
    </row>
    <row r="4431" spans="37:39" x14ac:dyDescent="0.25">
      <c r="AK4431" s="21">
        <f>_xll.qlCalendarAdvance(calendar,AK4430,"1D")</f>
        <v>48862</v>
      </c>
      <c r="AL4431" s="21">
        <f>_xll.qlInterestRateIndexValueDate(hiborindex,AK4431)</f>
        <v>48864</v>
      </c>
      <c r="AM4431" s="23">
        <f>_xll.qlIndexFixing(hiborindex,AK4431)</f>
        <v>1.1380596556576597E-2</v>
      </c>
    </row>
    <row r="4432" spans="37:39" x14ac:dyDescent="0.25">
      <c r="AK4432" s="21">
        <f>_xll.qlCalendarAdvance(calendar,AK4431,"1D")</f>
        <v>48863</v>
      </c>
      <c r="AL4432" s="21">
        <f>_xll.qlInterestRateIndexValueDate(hiborindex,AK4432)</f>
        <v>48865</v>
      </c>
      <c r="AM4432" s="23">
        <f>_xll.qlIndexFixing(hiborindex,AK4432)</f>
        <v>1.1381761332959633E-2</v>
      </c>
    </row>
    <row r="4433" spans="37:39" x14ac:dyDescent="0.25">
      <c r="AK4433" s="21">
        <f>_xll.qlCalendarAdvance(calendar,AK4432,"1D")</f>
        <v>48864</v>
      </c>
      <c r="AL4433" s="21">
        <f>_xll.qlInterestRateIndexValueDate(hiborindex,AK4433)</f>
        <v>48866</v>
      </c>
      <c r="AM4433" s="23">
        <f>_xll.qlIndexFixing(hiborindex,AK4433)</f>
        <v>1.1382926110024323E-2</v>
      </c>
    </row>
    <row r="4434" spans="37:39" x14ac:dyDescent="0.25">
      <c r="AK4434" s="21">
        <f>_xll.qlCalendarAdvance(calendar,AK4433,"1D")</f>
        <v>48865</v>
      </c>
      <c r="AL4434" s="21">
        <f>_xll.qlInterestRateIndexValueDate(hiborindex,AK4434)</f>
        <v>48869</v>
      </c>
      <c r="AM4434" s="23">
        <f>_xll.qlIndexFixing(hiborindex,AK4434)</f>
        <v>1.1386420445310942E-2</v>
      </c>
    </row>
    <row r="4435" spans="37:39" x14ac:dyDescent="0.25">
      <c r="AK4435" s="21">
        <f>_xll.qlCalendarAdvance(calendar,AK4434,"1D")</f>
        <v>48866</v>
      </c>
      <c r="AL4435" s="21">
        <f>_xll.qlInterestRateIndexValueDate(hiborindex,AK4435)</f>
        <v>48870</v>
      </c>
      <c r="AM4435" s="23">
        <f>_xll.qlIndexFixing(hiborindex,AK4435)</f>
        <v>1.1387585225103998E-2</v>
      </c>
    </row>
    <row r="4436" spans="37:39" x14ac:dyDescent="0.25">
      <c r="AK4436" s="21">
        <f>_xll.qlCalendarAdvance(calendar,AK4435,"1D")</f>
        <v>48869</v>
      </c>
      <c r="AL4436" s="21">
        <f>_xll.qlInterestRateIndexValueDate(hiborindex,AK4436)</f>
        <v>48871</v>
      </c>
      <c r="AM4436" s="23">
        <f>_xll.qlIndexFixing(hiborindex,AK4436)</f>
        <v>1.1388750005578707E-2</v>
      </c>
    </row>
    <row r="4437" spans="37:39" x14ac:dyDescent="0.25">
      <c r="AK4437" s="21">
        <f>_xll.qlCalendarAdvance(calendar,AK4436,"1D")</f>
        <v>48870</v>
      </c>
      <c r="AL4437" s="21">
        <f>_xll.qlInterestRateIndexValueDate(hiborindex,AK4437)</f>
        <v>48872</v>
      </c>
      <c r="AM4437" s="23">
        <f>_xll.qlIndexFixing(hiborindex,AK4437)</f>
        <v>1.1389914786735508E-2</v>
      </c>
    </row>
    <row r="4438" spans="37:39" x14ac:dyDescent="0.25">
      <c r="AK4438" s="21">
        <f>_xll.qlCalendarAdvance(calendar,AK4437,"1D")</f>
        <v>48871</v>
      </c>
      <c r="AL4438" s="21">
        <f>_xll.qlInterestRateIndexValueDate(hiborindex,AK4438)</f>
        <v>48873</v>
      </c>
      <c r="AM4438" s="23">
        <f>_xll.qlIndexFixing(hiborindex,AK4438)</f>
        <v>1.1391079568574401E-2</v>
      </c>
    </row>
    <row r="4439" spans="37:39" x14ac:dyDescent="0.25">
      <c r="AK4439" s="21">
        <f>_xll.qlCalendarAdvance(calendar,AK4438,"1D")</f>
        <v>48872</v>
      </c>
      <c r="AL4439" s="21">
        <f>_xll.qlInterestRateIndexValueDate(hiborindex,AK4439)</f>
        <v>48876</v>
      </c>
      <c r="AM4439" s="23">
        <f>_xll.qlIndexFixing(hiborindex,AK4439)</f>
        <v>1.1394573918182311E-2</v>
      </c>
    </row>
    <row r="4440" spans="37:39" x14ac:dyDescent="0.25">
      <c r="AK4440" s="21">
        <f>_xll.qlCalendarAdvance(calendar,AK4439,"1D")</f>
        <v>48873</v>
      </c>
      <c r="AL4440" s="21">
        <f>_xll.qlInterestRateIndexValueDate(hiborindex,AK4440)</f>
        <v>48877</v>
      </c>
      <c r="AM4440" s="23">
        <f>_xll.qlIndexFixing(hiborindex,AK4440)</f>
        <v>1.1395738702748693E-2</v>
      </c>
    </row>
    <row r="4441" spans="37:39" x14ac:dyDescent="0.25">
      <c r="AK4441" s="21">
        <f>_xll.qlCalendarAdvance(calendar,AK4440,"1D")</f>
        <v>48876</v>
      </c>
      <c r="AL4441" s="21">
        <f>_xll.qlInterestRateIndexValueDate(hiborindex,AK4441)</f>
        <v>48878</v>
      </c>
      <c r="AM4441" s="23">
        <f>_xll.qlIndexFixing(hiborindex,AK4441)</f>
        <v>1.1396903487997604E-2</v>
      </c>
    </row>
    <row r="4442" spans="37:39" x14ac:dyDescent="0.25">
      <c r="AK4442" s="21">
        <f>_xll.qlCalendarAdvance(calendar,AK4441,"1D")</f>
        <v>48877</v>
      </c>
      <c r="AL4442" s="21">
        <f>_xll.qlInterestRateIndexValueDate(hiborindex,AK4442)</f>
        <v>48879</v>
      </c>
      <c r="AM4442" s="23">
        <f>_xll.qlIndexFixing(hiborindex,AK4442)</f>
        <v>1.1398068273928169E-2</v>
      </c>
    </row>
    <row r="4443" spans="37:39" x14ac:dyDescent="0.25">
      <c r="AK4443" s="21">
        <f>_xll.qlCalendarAdvance(calendar,AK4442,"1D")</f>
        <v>48878</v>
      </c>
      <c r="AL4443" s="21">
        <f>_xll.qlInterestRateIndexValueDate(hiborindex,AK4443)</f>
        <v>48880</v>
      </c>
      <c r="AM4443" s="23">
        <f>_xll.qlIndexFixing(hiborindex,AK4443)</f>
        <v>1.1399233060540387E-2</v>
      </c>
    </row>
    <row r="4444" spans="37:39" x14ac:dyDescent="0.25">
      <c r="AK4444" s="21">
        <f>_xll.qlCalendarAdvance(calendar,AK4443,"1D")</f>
        <v>48879</v>
      </c>
      <c r="AL4444" s="21">
        <f>_xll.qlInterestRateIndexValueDate(hiborindex,AK4444)</f>
        <v>48883</v>
      </c>
      <c r="AM4444" s="23">
        <f>_xll.qlIndexFixing(hiborindex,AK4444)</f>
        <v>1.1400439703250007E-2</v>
      </c>
    </row>
    <row r="4445" spans="37:39" x14ac:dyDescent="0.25">
      <c r="AK4445" s="21">
        <f>_xll.qlCalendarAdvance(calendar,AK4444,"1D")</f>
        <v>48880</v>
      </c>
      <c r="AL4445" s="21">
        <f>_xll.qlInterestRateIndexValueDate(hiborindex,AK4445)</f>
        <v>48884</v>
      </c>
      <c r="AM4445" s="23">
        <f>_xll.qlIndexFixing(hiborindex,AK4445)</f>
        <v>1.1403892213810173E-2</v>
      </c>
    </row>
    <row r="4446" spans="37:39" x14ac:dyDescent="0.25">
      <c r="AK4446" s="21">
        <f>_xll.qlCalendarAdvance(calendar,AK4445,"1D")</f>
        <v>48883</v>
      </c>
      <c r="AL4446" s="21">
        <f>_xll.qlInterestRateIndexValueDate(hiborindex,AK4446)</f>
        <v>48885</v>
      </c>
      <c r="AM4446" s="23">
        <f>_xll.qlIndexFixing(hiborindex,AK4446)</f>
        <v>1.1404294315083026E-2</v>
      </c>
    </row>
    <row r="4447" spans="37:39" x14ac:dyDescent="0.25">
      <c r="AK4447" s="21">
        <f>_xll.qlCalendarAdvance(calendar,AK4446,"1D")</f>
        <v>48884</v>
      </c>
      <c r="AL4447" s="21">
        <f>_xll.qlInterestRateIndexValueDate(hiborindex,AK4447)</f>
        <v>48886</v>
      </c>
      <c r="AM4447" s="23">
        <f>_xll.qlIndexFixing(hiborindex,AK4447)</f>
        <v>1.1405459068651758E-2</v>
      </c>
    </row>
    <row r="4448" spans="37:39" x14ac:dyDescent="0.25">
      <c r="AK4448" s="21">
        <f>_xll.qlCalendarAdvance(calendar,AK4447,"1D")</f>
        <v>48885</v>
      </c>
      <c r="AL4448" s="21">
        <f>_xll.qlInterestRateIndexValueDate(hiborindex,AK4448)</f>
        <v>48887</v>
      </c>
      <c r="AM4448" s="23">
        <f>_xll.qlIndexFixing(hiborindex,AK4448)</f>
        <v>1.1406623822898402E-2</v>
      </c>
    </row>
    <row r="4449" spans="37:39" x14ac:dyDescent="0.25">
      <c r="AK4449" s="21">
        <f>_xll.qlCalendarAdvance(calendar,AK4448,"1D")</f>
        <v>48886</v>
      </c>
      <c r="AL4449" s="21">
        <f>_xll.qlInterestRateIndexValueDate(hiborindex,AK4449)</f>
        <v>48890</v>
      </c>
      <c r="AM4449" s="23">
        <f>_xll.qlIndexFixing(hiborindex,AK4449)</f>
        <v>1.141088096417409E-2</v>
      </c>
    </row>
    <row r="4450" spans="37:39" x14ac:dyDescent="0.25">
      <c r="AK4450" s="21">
        <f>_xll.qlCalendarAdvance(calendar,AK4449,"1D")</f>
        <v>48887</v>
      </c>
      <c r="AL4450" s="21">
        <f>_xll.qlInterestRateIndexValueDate(hiborindex,AK4450)</f>
        <v>48891</v>
      </c>
      <c r="AM4450" s="23">
        <f>_xll.qlIndexFixing(hiborindex,AK4450)</f>
        <v>1.1411282846667615E-2</v>
      </c>
    </row>
    <row r="4451" spans="37:39" x14ac:dyDescent="0.25">
      <c r="AK4451" s="21">
        <f>_xll.qlCalendarAdvance(calendar,AK4450,"1D")</f>
        <v>48890</v>
      </c>
      <c r="AL4451" s="21">
        <f>_xll.qlInterestRateIndexValueDate(hiborindex,AK4451)</f>
        <v>48892</v>
      </c>
      <c r="AM4451" s="23">
        <f>_xll.qlIndexFixing(hiborindex,AK4451)</f>
        <v>1.1412447604305136E-2</v>
      </c>
    </row>
    <row r="4452" spans="37:39" x14ac:dyDescent="0.25">
      <c r="AK4452" s="21">
        <f>_xll.qlCalendarAdvance(calendar,AK4451,"1D")</f>
        <v>48891</v>
      </c>
      <c r="AL4452" s="21">
        <f>_xll.qlInterestRateIndexValueDate(hiborindex,AK4452)</f>
        <v>48893</v>
      </c>
      <c r="AM4452" s="23">
        <f>_xll.qlIndexFixing(hiborindex,AK4452)</f>
        <v>1.1413612362621011E-2</v>
      </c>
    </row>
    <row r="4453" spans="37:39" x14ac:dyDescent="0.25">
      <c r="AK4453" s="21">
        <f>_xll.qlCalendarAdvance(calendar,AK4452,"1D")</f>
        <v>48892</v>
      </c>
      <c r="AL4453" s="21">
        <f>_xll.qlInterestRateIndexValueDate(hiborindex,AK4453)</f>
        <v>48894</v>
      </c>
      <c r="AM4453" s="23">
        <f>_xll.qlIndexFixing(hiborindex,AK4453)</f>
        <v>1.1414777121615238E-2</v>
      </c>
    </row>
    <row r="4454" spans="37:39" x14ac:dyDescent="0.25">
      <c r="AK4454" s="21">
        <f>_xll.qlCalendarAdvance(calendar,AK4453,"1D")</f>
        <v>48893</v>
      </c>
      <c r="AL4454" s="21">
        <f>_xll.qlInterestRateIndexValueDate(hiborindex,AK4454)</f>
        <v>48897</v>
      </c>
      <c r="AM4454" s="23">
        <f>_xll.qlIndexFixing(hiborindex,AK4454)</f>
        <v>1.1419034537294939E-2</v>
      </c>
    </row>
    <row r="4455" spans="37:39" x14ac:dyDescent="0.25">
      <c r="AK4455" s="21">
        <f>_xll.qlCalendarAdvance(calendar,AK4454,"1D")</f>
        <v>48894</v>
      </c>
      <c r="AL4455" s="21">
        <f>_xll.qlInterestRateIndexValueDate(hiborindex,AK4455)</f>
        <v>48898</v>
      </c>
      <c r="AM4455" s="23">
        <f>_xll.qlIndexFixing(hiborindex,AK4455)</f>
        <v>1.1419436164373901E-2</v>
      </c>
    </row>
    <row r="4456" spans="37:39" x14ac:dyDescent="0.25">
      <c r="AK4456" s="21">
        <f>_xll.qlCalendarAdvance(calendar,AK4455,"1D")</f>
        <v>48897</v>
      </c>
      <c r="AL4456" s="21">
        <f>_xll.qlInterestRateIndexValueDate(hiborindex,AK4456)</f>
        <v>48899</v>
      </c>
      <c r="AM4456" s="23">
        <f>_xll.qlIndexFixing(hiborindex,AK4456)</f>
        <v>1.1420600926759448E-2</v>
      </c>
    </row>
    <row r="4457" spans="37:39" x14ac:dyDescent="0.25">
      <c r="AK4457" s="21">
        <f>_xll.qlCalendarAdvance(calendar,AK4456,"1D")</f>
        <v>48898</v>
      </c>
      <c r="AL4457" s="21">
        <f>_xll.qlInterestRateIndexValueDate(hiborindex,AK4457)</f>
        <v>48900</v>
      </c>
      <c r="AM4457" s="23">
        <f>_xll.qlIndexFixing(hiborindex,AK4457)</f>
        <v>1.1421765689822908E-2</v>
      </c>
    </row>
    <row r="4458" spans="37:39" x14ac:dyDescent="0.25">
      <c r="AK4458" s="21">
        <f>_xll.qlCalendarAdvance(calendar,AK4457,"1D")</f>
        <v>48899</v>
      </c>
      <c r="AL4458" s="21">
        <f>_xll.qlInterestRateIndexValueDate(hiborindex,AK4458)</f>
        <v>48901</v>
      </c>
      <c r="AM4458" s="23">
        <f>_xll.qlIndexFixing(hiborindex,AK4458)</f>
        <v>1.1422930453564276E-2</v>
      </c>
    </row>
    <row r="4459" spans="37:39" x14ac:dyDescent="0.25">
      <c r="AK4459" s="21">
        <f>_xll.qlCalendarAdvance(calendar,AK4458,"1D")</f>
        <v>48900</v>
      </c>
      <c r="AL4459" s="21">
        <f>_xll.qlInterestRateIndexValueDate(hiborindex,AK4459)</f>
        <v>48904</v>
      </c>
      <c r="AM4459" s="23">
        <f>_xll.qlIndexFixing(hiborindex,AK4459)</f>
        <v>1.1427188143833013E-2</v>
      </c>
    </row>
    <row r="4460" spans="37:39" x14ac:dyDescent="0.25">
      <c r="AK4460" s="21">
        <f>_xll.qlCalendarAdvance(calendar,AK4459,"1D")</f>
        <v>48901</v>
      </c>
      <c r="AL4460" s="21">
        <f>_xll.qlInterestRateIndexValueDate(hiborindex,AK4460)</f>
        <v>48905</v>
      </c>
      <c r="AM4460" s="23">
        <f>_xll.qlIndexFixing(hiborindex,AK4460)</f>
        <v>1.1427589515312832E-2</v>
      </c>
    </row>
    <row r="4461" spans="37:39" x14ac:dyDescent="0.25">
      <c r="AK4461" s="21">
        <f>_xll.qlCalendarAdvance(calendar,AK4460,"1D")</f>
        <v>48904</v>
      </c>
      <c r="AL4461" s="21">
        <f>_xll.qlInterestRateIndexValueDate(hiborindex,AK4461)</f>
        <v>48906</v>
      </c>
      <c r="AM4461" s="23">
        <f>_xll.qlIndexFixing(hiborindex,AK4461)</f>
        <v>1.1428754282445521E-2</v>
      </c>
    </row>
    <row r="4462" spans="37:39" x14ac:dyDescent="0.25">
      <c r="AK4462" s="21">
        <f>_xll.qlCalendarAdvance(calendar,AK4461,"1D")</f>
        <v>48905</v>
      </c>
      <c r="AL4462" s="21">
        <f>_xll.qlInterestRateIndexValueDate(hiborindex,AK4462)</f>
        <v>48907</v>
      </c>
      <c r="AM4462" s="23">
        <f>_xll.qlIndexFixing(hiborindex,AK4462)</f>
        <v>1.1429919050256563E-2</v>
      </c>
    </row>
    <row r="4463" spans="37:39" x14ac:dyDescent="0.25">
      <c r="AK4463" s="21">
        <f>_xll.qlCalendarAdvance(calendar,AK4462,"1D")</f>
        <v>48906</v>
      </c>
      <c r="AL4463" s="21">
        <f>_xll.qlInterestRateIndexValueDate(hiborindex,AK4463)</f>
        <v>48908</v>
      </c>
      <c r="AM4463" s="23">
        <f>_xll.qlIndexFixing(hiborindex,AK4463)</f>
        <v>1.1431083818745514E-2</v>
      </c>
    </row>
    <row r="4464" spans="37:39" x14ac:dyDescent="0.25">
      <c r="AK4464" s="21">
        <f>_xll.qlCalendarAdvance(calendar,AK4463,"1D")</f>
        <v>48907</v>
      </c>
      <c r="AL4464" s="21">
        <f>_xll.qlInterestRateIndexValueDate(hiborindex,AK4464)</f>
        <v>48911</v>
      </c>
      <c r="AM4464" s="23">
        <f>_xll.qlIndexFixing(hiborindex,AK4464)</f>
        <v>1.1435341783787871E-2</v>
      </c>
    </row>
    <row r="4465" spans="37:39" x14ac:dyDescent="0.25">
      <c r="AK4465" s="21">
        <f>_xll.qlCalendarAdvance(calendar,AK4464,"1D")</f>
        <v>48908</v>
      </c>
      <c r="AL4465" s="21">
        <f>_xll.qlInterestRateIndexValueDate(hiborindex,AK4465)</f>
        <v>48912</v>
      </c>
      <c r="AM4465" s="23">
        <f>_xll.qlIndexFixing(hiborindex,AK4465)</f>
        <v>1.1435742899484406E-2</v>
      </c>
    </row>
    <row r="4466" spans="37:39" x14ac:dyDescent="0.25">
      <c r="AK4466" s="21">
        <f>_xll.qlCalendarAdvance(calendar,AK4465,"1D")</f>
        <v>48911</v>
      </c>
      <c r="AL4466" s="21">
        <f>_xll.qlInterestRateIndexValueDate(hiborindex,AK4466)</f>
        <v>48913</v>
      </c>
      <c r="AM4466" s="23">
        <f>_xll.qlIndexFixing(hiborindex,AK4466)</f>
        <v>1.1437671401341241E-2</v>
      </c>
    </row>
    <row r="4467" spans="37:39" x14ac:dyDescent="0.25">
      <c r="AK4467" s="21">
        <f>_xll.qlCalendarAdvance(calendar,AK4466,"1D")</f>
        <v>48912</v>
      </c>
      <c r="AL4467" s="21">
        <f>_xll.qlInterestRateIndexValueDate(hiborindex,AK4467)</f>
        <v>48914</v>
      </c>
      <c r="AM4467" s="23">
        <f>_xll.qlIndexFixing(hiborindex,AK4467)</f>
        <v>1.1438836211140625E-2</v>
      </c>
    </row>
    <row r="4468" spans="37:39" x14ac:dyDescent="0.25">
      <c r="AK4468" s="21">
        <f>_xll.qlCalendarAdvance(calendar,AK4467,"1D")</f>
        <v>48913</v>
      </c>
      <c r="AL4468" s="21">
        <f>_xll.qlInterestRateIndexValueDate(hiborindex,AK4468)</f>
        <v>48915</v>
      </c>
      <c r="AM4468" s="23">
        <f>_xll.qlIndexFixing(hiborindex,AK4468)</f>
        <v>1.1440001021622541E-2</v>
      </c>
    </row>
    <row r="4469" spans="37:39" x14ac:dyDescent="0.25">
      <c r="AK4469" s="21">
        <f>_xll.qlCalendarAdvance(calendar,AK4468,"1D")</f>
        <v>48914</v>
      </c>
      <c r="AL4469" s="21">
        <f>_xll.qlInterestRateIndexValueDate(hiborindex,AK4469)</f>
        <v>48918</v>
      </c>
      <c r="AM4469" s="23">
        <f>_xll.qlIndexFixing(hiborindex,AK4469)</f>
        <v>1.1443495457159517E-2</v>
      </c>
    </row>
    <row r="4470" spans="37:39" x14ac:dyDescent="0.25">
      <c r="AK4470" s="21">
        <f>_xll.qlCalendarAdvance(calendar,AK4469,"1D")</f>
        <v>48915</v>
      </c>
      <c r="AL4470" s="21">
        <f>_xll.qlInterestRateIndexValueDate(hiborindex,AK4470)</f>
        <v>48919</v>
      </c>
      <c r="AM4470" s="23">
        <f>_xll.qlIndexFixing(hiborindex,AK4470)</f>
        <v>1.1444660270369359E-2</v>
      </c>
    </row>
    <row r="4471" spans="37:39" x14ac:dyDescent="0.25">
      <c r="AK4471" s="21">
        <f>_xll.qlCalendarAdvance(calendar,AK4470,"1D")</f>
        <v>48918</v>
      </c>
      <c r="AL4471" s="21">
        <f>_xll.qlInterestRateIndexValueDate(hiborindex,AK4471)</f>
        <v>48920</v>
      </c>
      <c r="AM4471" s="23">
        <f>_xll.qlIndexFixing(hiborindex,AK4471)</f>
        <v>1.1445825084261292E-2</v>
      </c>
    </row>
    <row r="4472" spans="37:39" x14ac:dyDescent="0.25">
      <c r="AK4472" s="21">
        <f>_xll.qlCalendarAdvance(calendar,AK4471,"1D")</f>
        <v>48919</v>
      </c>
      <c r="AL4472" s="21">
        <f>_xll.qlInterestRateIndexValueDate(hiborindex,AK4472)</f>
        <v>48921</v>
      </c>
      <c r="AM4472" s="23">
        <f>_xll.qlIndexFixing(hiborindex,AK4472)</f>
        <v>1.1446989898834879E-2</v>
      </c>
    </row>
    <row r="4473" spans="37:39" x14ac:dyDescent="0.25">
      <c r="AK4473" s="21">
        <f>_xll.qlCalendarAdvance(calendar,AK4472,"1D")</f>
        <v>48920</v>
      </c>
      <c r="AL4473" s="21">
        <f>_xll.qlInterestRateIndexValueDate(hiborindex,AK4473)</f>
        <v>48922</v>
      </c>
      <c r="AM4473" s="23">
        <f>_xll.qlIndexFixing(hiborindex,AK4473)</f>
        <v>1.1448154714090558E-2</v>
      </c>
    </row>
    <row r="4474" spans="37:39" x14ac:dyDescent="0.25">
      <c r="AK4474" s="21">
        <f>_xll.qlCalendarAdvance(calendar,AK4473,"1D")</f>
        <v>48921</v>
      </c>
      <c r="AL4474" s="21">
        <f>_xll.qlInterestRateIndexValueDate(hiborindex,AK4474)</f>
        <v>48925</v>
      </c>
      <c r="AM4474" s="23">
        <f>_xll.qlIndexFixing(hiborindex,AK4474)</f>
        <v>1.1451649163949265E-2</v>
      </c>
    </row>
    <row r="4475" spans="37:39" x14ac:dyDescent="0.25">
      <c r="AK4475" s="21">
        <f>_xll.qlCalendarAdvance(calendar,AK4474,"1D")</f>
        <v>48922</v>
      </c>
      <c r="AL4475" s="21">
        <f>_xll.qlInterestRateIndexValueDate(hiborindex,AK4475)</f>
        <v>48926</v>
      </c>
      <c r="AM4475" s="23">
        <f>_xll.qlIndexFixing(hiborindex,AK4475)</f>
        <v>1.1452813981932871E-2</v>
      </c>
    </row>
    <row r="4476" spans="37:39" x14ac:dyDescent="0.25">
      <c r="AK4476" s="21">
        <f>_xll.qlCalendarAdvance(calendar,AK4475,"1D")</f>
        <v>48925</v>
      </c>
      <c r="AL4476" s="21">
        <f>_xll.qlInterestRateIndexValueDate(hiborindex,AK4476)</f>
        <v>48927</v>
      </c>
      <c r="AM4476" s="23">
        <f>_xll.qlIndexFixing(hiborindex,AK4476)</f>
        <v>1.1453978800598568E-2</v>
      </c>
    </row>
    <row r="4477" spans="37:39" x14ac:dyDescent="0.25">
      <c r="AK4477" s="21">
        <f>_xll.qlCalendarAdvance(calendar,AK4476,"1D")</f>
        <v>48926</v>
      </c>
      <c r="AL4477" s="21">
        <f>_xll.qlInterestRateIndexValueDate(hiborindex,AK4477)</f>
        <v>48928</v>
      </c>
      <c r="AM4477" s="23">
        <f>_xll.qlIndexFixing(hiborindex,AK4477)</f>
        <v>1.1455143619946359E-2</v>
      </c>
    </row>
    <row r="4478" spans="37:39" x14ac:dyDescent="0.25">
      <c r="AK4478" s="21">
        <f>_xll.qlCalendarAdvance(calendar,AK4477,"1D")</f>
        <v>48927</v>
      </c>
      <c r="AL4478" s="21">
        <f>_xll.qlInterestRateIndexValueDate(hiborindex,AK4478)</f>
        <v>48929</v>
      </c>
      <c r="AM4478" s="23">
        <f>_xll.qlIndexFixing(hiborindex,AK4478)</f>
        <v>1.1456308439975801E-2</v>
      </c>
    </row>
    <row r="4479" spans="37:39" x14ac:dyDescent="0.25">
      <c r="AK4479" s="21">
        <f>_xll.qlCalendarAdvance(calendar,AK4478,"1D")</f>
        <v>48928</v>
      </c>
      <c r="AL4479" s="21">
        <f>_xll.qlInterestRateIndexValueDate(hiborindex,AK4479)</f>
        <v>48932</v>
      </c>
      <c r="AM4479" s="23">
        <f>_xll.qlIndexFixing(hiborindex,AK4479)</f>
        <v>1.1459802904156239E-2</v>
      </c>
    </row>
    <row r="4480" spans="37:39" x14ac:dyDescent="0.25">
      <c r="AK4480" s="21">
        <f>_xll.qlCalendarAdvance(calendar,AK4479,"1D")</f>
        <v>48929</v>
      </c>
      <c r="AL4480" s="21">
        <f>_xll.qlInterestRateIndexValueDate(hiborindex,AK4480)</f>
        <v>48933</v>
      </c>
      <c r="AM4480" s="23">
        <f>_xll.qlIndexFixing(hiborindex,AK4480)</f>
        <v>1.1460967726914047E-2</v>
      </c>
    </row>
    <row r="4481" spans="37:39" x14ac:dyDescent="0.25">
      <c r="AK4481" s="21">
        <f>_xll.qlCalendarAdvance(calendar,AK4480,"1D")</f>
        <v>48932</v>
      </c>
      <c r="AL4481" s="21">
        <f>_xll.qlInterestRateIndexValueDate(hiborindex,AK4481)</f>
        <v>48934</v>
      </c>
      <c r="AM4481" s="23">
        <f>_xll.qlIndexFixing(hiborindex,AK4481)</f>
        <v>1.1462132550353509E-2</v>
      </c>
    </row>
    <row r="4482" spans="37:39" x14ac:dyDescent="0.25">
      <c r="AK4482" s="21">
        <f>_xll.qlCalendarAdvance(calendar,AK4481,"1D")</f>
        <v>48933</v>
      </c>
      <c r="AL4482" s="21">
        <f>_xll.qlInterestRateIndexValueDate(hiborindex,AK4482)</f>
        <v>48935</v>
      </c>
      <c r="AM4482" s="23">
        <f>_xll.qlIndexFixing(hiborindex,AK4482)</f>
        <v>1.1463297374475502E-2</v>
      </c>
    </row>
    <row r="4483" spans="37:39" x14ac:dyDescent="0.25">
      <c r="AK4483" s="21">
        <f>_xll.qlCalendarAdvance(calendar,AK4482,"1D")</f>
        <v>48934</v>
      </c>
      <c r="AL4483" s="21">
        <f>_xll.qlInterestRateIndexValueDate(hiborindex,AK4483)</f>
        <v>48936</v>
      </c>
      <c r="AM4483" s="23">
        <f>_xll.qlIndexFixing(hiborindex,AK4483)</f>
        <v>1.1464462199278708E-2</v>
      </c>
    </row>
    <row r="4484" spans="37:39" x14ac:dyDescent="0.25">
      <c r="AK4484" s="21">
        <f>_xll.qlCalendarAdvance(calendar,AK4483,"1D")</f>
        <v>48935</v>
      </c>
      <c r="AL4484" s="21">
        <f>_xll.qlInterestRateIndexValueDate(hiborindex,AK4484)</f>
        <v>48940</v>
      </c>
      <c r="AM4484" s="23">
        <f>_xll.qlIndexFixing(hiborindex,AK4484)</f>
        <v>1.1469121505312889E-2</v>
      </c>
    </row>
    <row r="4485" spans="37:39" x14ac:dyDescent="0.25">
      <c r="AK4485" s="21">
        <f>_xll.qlCalendarAdvance(calendar,AK4484,"1D")</f>
        <v>48936</v>
      </c>
      <c r="AL4485" s="21">
        <f>_xll.qlInterestRateIndexValueDate(hiborindex,AK4485)</f>
        <v>48941</v>
      </c>
      <c r="AM4485" s="23">
        <f>_xll.qlIndexFixing(hiborindex,AK4485)</f>
        <v>1.1470286333526114E-2</v>
      </c>
    </row>
    <row r="4486" spans="37:39" x14ac:dyDescent="0.25">
      <c r="AK4486" s="21">
        <f>_xll.qlCalendarAdvance(calendar,AK4485,"1D")</f>
        <v>48940</v>
      </c>
      <c r="AL4486" s="21">
        <f>_xll.qlInterestRateIndexValueDate(hiborindex,AK4486)</f>
        <v>48942</v>
      </c>
      <c r="AM4486" s="23">
        <f>_xll.qlIndexFixing(hiborindex,AK4486)</f>
        <v>1.1471451162421431E-2</v>
      </c>
    </row>
    <row r="4487" spans="37:39" x14ac:dyDescent="0.25">
      <c r="AK4487" s="21">
        <f>_xll.qlCalendarAdvance(calendar,AK4486,"1D")</f>
        <v>48941</v>
      </c>
      <c r="AL4487" s="21">
        <f>_xll.qlInterestRateIndexValueDate(hiborindex,AK4487)</f>
        <v>48943</v>
      </c>
      <c r="AM4487" s="23">
        <f>_xll.qlIndexFixing(hiborindex,AK4487)</f>
        <v>1.147261599199928E-2</v>
      </c>
    </row>
    <row r="4488" spans="37:39" x14ac:dyDescent="0.25">
      <c r="AK4488" s="21">
        <f>_xll.qlCalendarAdvance(calendar,AK4487,"1D")</f>
        <v>48942</v>
      </c>
      <c r="AL4488" s="21">
        <f>_xll.qlInterestRateIndexValueDate(hiborindex,AK4488)</f>
        <v>48946</v>
      </c>
      <c r="AM4488" s="23">
        <f>_xll.qlIndexFixing(hiborindex,AK4488)</f>
        <v>1.1460454084030658E-2</v>
      </c>
    </row>
    <row r="4489" spans="37:39" x14ac:dyDescent="0.25">
      <c r="AK4489" s="21">
        <f>_xll.qlCalendarAdvance(calendar,AK4488,"1D")</f>
        <v>48943</v>
      </c>
      <c r="AL4489" s="21">
        <f>_xll.qlInterestRateIndexValueDate(hiborindex,AK4489)</f>
        <v>48947</v>
      </c>
      <c r="AM4489" s="23">
        <f>_xll.qlIndexFixing(hiborindex,AK4489)</f>
        <v>1.1460767914399957E-2</v>
      </c>
    </row>
    <row r="4490" spans="37:39" x14ac:dyDescent="0.25">
      <c r="AK4490" s="21">
        <f>_xll.qlCalendarAdvance(calendar,AK4489,"1D")</f>
        <v>48946</v>
      </c>
      <c r="AL4490" s="21">
        <f>_xll.qlInterestRateIndexValueDate(hiborindex,AK4490)</f>
        <v>48948</v>
      </c>
      <c r="AM4490" s="23">
        <f>_xll.qlIndexFixing(hiborindex,AK4490)</f>
        <v>1.1456682066765806E-2</v>
      </c>
    </row>
    <row r="4491" spans="37:39" x14ac:dyDescent="0.25">
      <c r="AK4491" s="21">
        <f>_xll.qlCalendarAdvance(calendar,AK4490,"1D")</f>
        <v>48947</v>
      </c>
      <c r="AL4491" s="21">
        <f>_xll.qlInterestRateIndexValueDate(hiborindex,AK4491)</f>
        <v>48949</v>
      </c>
      <c r="AM4491" s="23">
        <f>_xll.qlIndexFixing(hiborindex,AK4491)</f>
        <v>1.1452594632272394E-2</v>
      </c>
    </row>
    <row r="4492" spans="37:39" x14ac:dyDescent="0.25">
      <c r="AK4492" s="21">
        <f>_xll.qlCalendarAdvance(calendar,AK4491,"1D")</f>
        <v>48948</v>
      </c>
      <c r="AL4492" s="21">
        <f>_xll.qlInterestRateIndexValueDate(hiborindex,AK4492)</f>
        <v>48950</v>
      </c>
      <c r="AM4492" s="23">
        <f>_xll.qlIndexFixing(hiborindex,AK4492)</f>
        <v>1.1448505610929433E-2</v>
      </c>
    </row>
    <row r="4493" spans="37:39" x14ac:dyDescent="0.25">
      <c r="AK4493" s="21">
        <f>_xll.qlCalendarAdvance(calendar,AK4492,"1D")</f>
        <v>48949</v>
      </c>
      <c r="AL4493" s="21">
        <f>_xll.qlInterestRateIndexValueDate(hiborindex,AK4493)</f>
        <v>48953</v>
      </c>
      <c r="AM4493" s="23">
        <f>_xll.qlIndexFixing(hiborindex,AK4493)</f>
        <v>1.1432021061316366E-2</v>
      </c>
    </row>
    <row r="4494" spans="37:39" x14ac:dyDescent="0.25">
      <c r="AK4494" s="21">
        <f>_xll.qlCalendarAdvance(calendar,AK4493,"1D")</f>
        <v>48950</v>
      </c>
      <c r="AL4494" s="21">
        <f>_xll.qlInterestRateIndexValueDate(hiborindex,AK4494)</f>
        <v>48954</v>
      </c>
      <c r="AM4494" s="23">
        <f>_xll.qlIndexFixing(hiborindex,AK4494)</f>
        <v>1.1432133657256004E-2</v>
      </c>
    </row>
    <row r="4495" spans="37:39" x14ac:dyDescent="0.25">
      <c r="AK4495" s="21">
        <f>_xll.qlCalendarAdvance(calendar,AK4494,"1D")</f>
        <v>48953</v>
      </c>
      <c r="AL4495" s="21">
        <f>_xll.qlInterestRateIndexValueDate(hiborindex,AK4495)</f>
        <v>48955</v>
      </c>
      <c r="AM4495" s="23">
        <f>_xll.qlIndexFixing(hiborindex,AK4495)</f>
        <v>1.1428036701811492E-2</v>
      </c>
    </row>
    <row r="4496" spans="37:39" x14ac:dyDescent="0.25">
      <c r="AK4496" s="21">
        <f>_xll.qlCalendarAdvance(calendar,AK4495,"1D")</f>
        <v>48954</v>
      </c>
      <c r="AL4496" s="21">
        <f>_xll.qlInterestRateIndexValueDate(hiborindex,AK4496)</f>
        <v>48956</v>
      </c>
      <c r="AM4496" s="23">
        <f>_xll.qlIndexFixing(hiborindex,AK4496)</f>
        <v>1.142393815957617E-2</v>
      </c>
    </row>
    <row r="4497" spans="37:39" x14ac:dyDescent="0.25">
      <c r="AK4497" s="21">
        <f>_xll.qlCalendarAdvance(calendar,AK4496,"1D")</f>
        <v>48955</v>
      </c>
      <c r="AL4497" s="21">
        <f>_xll.qlInterestRateIndexValueDate(hiborindex,AK4497)</f>
        <v>48957</v>
      </c>
      <c r="AM4497" s="23">
        <f>_xll.qlIndexFixing(hiborindex,AK4497)</f>
        <v>1.1419838030559314E-2</v>
      </c>
    </row>
    <row r="4498" spans="37:39" x14ac:dyDescent="0.25">
      <c r="AK4498" s="21">
        <f>_xll.qlCalendarAdvance(calendar,AK4497,"1D")</f>
        <v>48956</v>
      </c>
      <c r="AL4498" s="21">
        <f>_xll.qlInterestRateIndexValueDate(hiborindex,AK4498)</f>
        <v>48960</v>
      </c>
      <c r="AM4498" s="23">
        <f>_xll.qlIndexFixing(hiborindex,AK4498)</f>
        <v>1.1403510708860344E-2</v>
      </c>
    </row>
    <row r="4499" spans="37:39" x14ac:dyDescent="0.25">
      <c r="AK4499" s="21">
        <f>_xll.qlCalendarAdvance(calendar,AK4498,"1D")</f>
        <v>48957</v>
      </c>
      <c r="AL4499" s="21">
        <f>_xll.qlInterestRateIndexValueDate(hiborindex,AK4499)</f>
        <v>48961</v>
      </c>
      <c r="AM4499" s="23">
        <f>_xll.qlIndexFixing(hiborindex,AK4499)</f>
        <v>1.1403421646875717E-2</v>
      </c>
    </row>
    <row r="4500" spans="37:39" x14ac:dyDescent="0.25">
      <c r="AK4500" s="21">
        <f>_xll.qlCalendarAdvance(calendar,AK4499,"1D")</f>
        <v>48960</v>
      </c>
      <c r="AL4500" s="21">
        <f>_xll.qlInterestRateIndexValueDate(hiborindex,AK4500)</f>
        <v>48962</v>
      </c>
      <c r="AM4500" s="23">
        <f>_xll.qlIndexFixing(hiborindex,AK4500)</f>
        <v>1.1399313584100016E-2</v>
      </c>
    </row>
    <row r="4501" spans="37:39" x14ac:dyDescent="0.25">
      <c r="AK4501" s="21">
        <f>_xll.qlCalendarAdvance(calendar,AK4500,"1D")</f>
        <v>48961</v>
      </c>
      <c r="AL4501" s="21">
        <f>_xll.qlInterestRateIndexValueDate(hiborindex,AK4501)</f>
        <v>48963</v>
      </c>
      <c r="AM4501" s="23">
        <f>_xll.qlIndexFixing(hiborindex,AK4501)</f>
        <v>1.1395203934601519E-2</v>
      </c>
    </row>
    <row r="4502" spans="37:39" x14ac:dyDescent="0.25">
      <c r="AK4502" s="21">
        <f>_xll.qlCalendarAdvance(calendar,AK4501,"1D")</f>
        <v>48962</v>
      </c>
      <c r="AL4502" s="21">
        <f>_xll.qlInterestRateIndexValueDate(hiborindex,AK4502)</f>
        <v>48964</v>
      </c>
      <c r="AM4502" s="23">
        <f>_xll.qlIndexFixing(hiborindex,AK4502)</f>
        <v>1.1391092698390825E-2</v>
      </c>
    </row>
    <row r="4503" spans="37:39" x14ac:dyDescent="0.25">
      <c r="AK4503" s="21">
        <f>_xll.qlCalendarAdvance(calendar,AK4502,"1D")</f>
        <v>48963</v>
      </c>
      <c r="AL4503" s="21">
        <f>_xll.qlInterestRateIndexValueDate(hiborindex,AK4503)</f>
        <v>48967</v>
      </c>
      <c r="AM4503" s="23">
        <f>_xll.qlIndexFixing(hiborindex,AK4503)</f>
        <v>1.1374923029998384E-2</v>
      </c>
    </row>
    <row r="4504" spans="37:39" x14ac:dyDescent="0.25">
      <c r="AK4504" s="21">
        <f>_xll.qlCalendarAdvance(calendar,AK4503,"1D")</f>
        <v>48964</v>
      </c>
      <c r="AL4504" s="21">
        <f>_xll.qlInterestRateIndexValueDate(hiborindex,AK4504)</f>
        <v>48968</v>
      </c>
      <c r="AM4504" s="23">
        <f>_xll.qlIndexFixing(hiborindex,AK4504)</f>
        <v>1.1374631886617732E-2</v>
      </c>
    </row>
    <row r="4505" spans="37:39" x14ac:dyDescent="0.25">
      <c r="AK4505" s="21">
        <f>_xll.qlCalendarAdvance(calendar,AK4504,"1D")</f>
        <v>48967</v>
      </c>
      <c r="AL4505" s="21">
        <f>_xll.qlInterestRateIndexValueDate(hiborindex,AK4505)</f>
        <v>48969</v>
      </c>
      <c r="AM4505" s="23">
        <f>_xll.qlIndexFixing(hiborindex,AK4505)</f>
        <v>1.1370512716991344E-2</v>
      </c>
    </row>
    <row r="4506" spans="37:39" x14ac:dyDescent="0.25">
      <c r="AK4506" s="21">
        <f>_xll.qlCalendarAdvance(calendar,AK4505,"1D")</f>
        <v>48968</v>
      </c>
      <c r="AL4506" s="21">
        <f>_xll.qlInterestRateIndexValueDate(hiborindex,AK4506)</f>
        <v>48970</v>
      </c>
      <c r="AM4506" s="23">
        <f>_xll.qlIndexFixing(hiborindex,AK4506)</f>
        <v>1.1366391960711054E-2</v>
      </c>
    </row>
    <row r="4507" spans="37:39" x14ac:dyDescent="0.25">
      <c r="AK4507" s="21">
        <f>_xll.qlCalendarAdvance(calendar,AK4506,"1D")</f>
        <v>48969</v>
      </c>
      <c r="AL4507" s="21">
        <f>_xll.qlInterestRateIndexValueDate(hiborindex,AK4507)</f>
        <v>48971</v>
      </c>
      <c r="AM4507" s="23">
        <f>_xll.qlIndexFixing(hiborindex,AK4507)</f>
        <v>1.1362269617787019E-2</v>
      </c>
    </row>
    <row r="4508" spans="37:39" x14ac:dyDescent="0.25">
      <c r="AK4508" s="21">
        <f>_xll.qlCalendarAdvance(calendar,AK4507,"1D")</f>
        <v>48970</v>
      </c>
      <c r="AL4508" s="21">
        <f>_xll.qlInterestRateIndexValueDate(hiborindex,AK4508)</f>
        <v>48974</v>
      </c>
      <c r="AM4508" s="23">
        <f>_xll.qlIndexFixing(hiborindex,AK4508)</f>
        <v>1.1346258028075502E-2</v>
      </c>
    </row>
    <row r="4509" spans="37:39" x14ac:dyDescent="0.25">
      <c r="AK4509" s="21">
        <f>_xll.qlCalendarAdvance(calendar,AK4508,"1D")</f>
        <v>48971</v>
      </c>
      <c r="AL4509" s="21">
        <f>_xll.qlInterestRateIndexValueDate(hiborindex,AK4509)</f>
        <v>48975</v>
      </c>
      <c r="AM4509" s="23">
        <f>_xll.qlIndexFixing(hiborindex,AK4509)</f>
        <v>1.1345764379851289E-2</v>
      </c>
    </row>
    <row r="4510" spans="37:39" x14ac:dyDescent="0.25">
      <c r="AK4510" s="21">
        <f>_xll.qlCalendarAdvance(calendar,AK4509,"1D")</f>
        <v>48974</v>
      </c>
      <c r="AL4510" s="21">
        <f>_xll.qlInterestRateIndexValueDate(hiborindex,AK4510)</f>
        <v>48976</v>
      </c>
      <c r="AM4510" s="23">
        <f>_xll.qlIndexFixing(hiborindex,AK4510)</f>
        <v>1.1341634103856038E-2</v>
      </c>
    </row>
    <row r="4511" spans="37:39" x14ac:dyDescent="0.25">
      <c r="AK4511" s="21">
        <f>_xll.qlCalendarAdvance(calendar,AK4510,"1D")</f>
        <v>48975</v>
      </c>
      <c r="AL4511" s="21">
        <f>_xll.qlInterestRateIndexValueDate(hiborindex,AK4511)</f>
        <v>48977</v>
      </c>
      <c r="AM4511" s="23">
        <f>_xll.qlIndexFixing(hiborindex,AK4511)</f>
        <v>1.1337502241276665E-2</v>
      </c>
    </row>
    <row r="4512" spans="37:39" x14ac:dyDescent="0.25">
      <c r="AK4512" s="21">
        <f>_xll.qlCalendarAdvance(calendar,AK4511,"1D")</f>
        <v>48976</v>
      </c>
      <c r="AL4512" s="21">
        <f>_xll.qlInterestRateIndexValueDate(hiborindex,AK4512)</f>
        <v>48978</v>
      </c>
      <c r="AM4512" s="23">
        <f>_xll.qlIndexFixing(hiborindex,AK4512)</f>
        <v>1.1333368792121998E-2</v>
      </c>
    </row>
    <row r="4513" spans="37:39" x14ac:dyDescent="0.25">
      <c r="AK4513" s="21">
        <f>_xll.qlCalendarAdvance(calendar,AK4512,"1D")</f>
        <v>48977</v>
      </c>
      <c r="AL4513" s="21">
        <f>_xll.qlInterestRateIndexValueDate(hiborindex,AK4513)</f>
        <v>48981</v>
      </c>
      <c r="AM4513" s="23">
        <f>_xll.qlIndexFixing(hiborindex,AK4513)</f>
        <v>1.1317515706446818E-2</v>
      </c>
    </row>
    <row r="4514" spans="37:39" x14ac:dyDescent="0.25">
      <c r="AK4514" s="21">
        <f>_xll.qlCalendarAdvance(calendar,AK4513,"1D")</f>
        <v>48978</v>
      </c>
      <c r="AL4514" s="21">
        <f>_xll.qlInterestRateIndexValueDate(hiborindex,AK4514)</f>
        <v>48982</v>
      </c>
      <c r="AM4514" s="23">
        <f>_xll.qlIndexFixing(hiborindex,AK4514)</f>
        <v>1.1316819129954019E-2</v>
      </c>
    </row>
    <row r="4515" spans="37:39" x14ac:dyDescent="0.25">
      <c r="AK4515" s="21">
        <f>_xll.qlCalendarAdvance(calendar,AK4514,"1D")</f>
        <v>48981</v>
      </c>
      <c r="AL4515" s="21">
        <f>_xll.qlInterestRateIndexValueDate(hiborindex,AK4515)</f>
        <v>48983</v>
      </c>
      <c r="AM4515" s="23">
        <f>_xll.qlIndexFixing(hiborindex,AK4515)</f>
        <v>1.1312677748073938E-2</v>
      </c>
    </row>
    <row r="4516" spans="37:39" x14ac:dyDescent="0.25">
      <c r="AK4516" s="21">
        <f>_xll.qlCalendarAdvance(calendar,AK4515,"1D")</f>
        <v>48982</v>
      </c>
      <c r="AL4516" s="21">
        <f>_xll.qlInterestRateIndexValueDate(hiborindex,AK4516)</f>
        <v>48984</v>
      </c>
      <c r="AM4516" s="23">
        <f>_xll.qlIndexFixing(hiborindex,AK4516)</f>
        <v>1.1308534779678187E-2</v>
      </c>
    </row>
    <row r="4517" spans="37:39" x14ac:dyDescent="0.25">
      <c r="AK4517" s="21">
        <f>_xll.qlCalendarAdvance(calendar,AK4516,"1D")</f>
        <v>48983</v>
      </c>
      <c r="AL4517" s="21">
        <f>_xll.qlInterestRateIndexValueDate(hiborindex,AK4517)</f>
        <v>48985</v>
      </c>
      <c r="AM4517" s="23">
        <f>_xll.qlIndexFixing(hiborindex,AK4517)</f>
        <v>1.1304390224776922E-2</v>
      </c>
    </row>
    <row r="4518" spans="37:39" x14ac:dyDescent="0.25">
      <c r="AK4518" s="21">
        <f>_xll.qlCalendarAdvance(calendar,AK4517,"1D")</f>
        <v>48984</v>
      </c>
      <c r="AL4518" s="21">
        <f>_xll.qlInterestRateIndexValueDate(hiborindex,AK4518)</f>
        <v>48988</v>
      </c>
      <c r="AM4518" s="23">
        <f>_xll.qlIndexFixing(hiborindex,AK4518)</f>
        <v>1.1288696068474479E-2</v>
      </c>
    </row>
    <row r="4519" spans="37:39" x14ac:dyDescent="0.25">
      <c r="AK4519" s="21">
        <f>_xll.qlCalendarAdvance(calendar,AK4518,"1D")</f>
        <v>48985</v>
      </c>
      <c r="AL4519" s="21">
        <f>_xll.qlInterestRateIndexValueDate(hiborindex,AK4519)</f>
        <v>48989</v>
      </c>
      <c r="AM4519" s="23">
        <f>_xll.qlIndexFixing(hiborindex,AK4519)</f>
        <v>1.1287796140313708E-2</v>
      </c>
    </row>
    <row r="4520" spans="37:39" x14ac:dyDescent="0.25">
      <c r="AK4520" s="21">
        <f>_xll.qlCalendarAdvance(calendar,AK4519,"1D")</f>
        <v>48988</v>
      </c>
      <c r="AL4520" s="21">
        <f>_xll.qlInterestRateIndexValueDate(hiborindex,AK4520)</f>
        <v>48990</v>
      </c>
      <c r="AM4520" s="23">
        <f>_xll.qlIndexFixing(hiborindex,AK4520)</f>
        <v>1.1283643653032829E-2</v>
      </c>
    </row>
    <row r="4521" spans="37:39" x14ac:dyDescent="0.25">
      <c r="AK4521" s="21">
        <f>_xll.qlCalendarAdvance(calendar,AK4520,"1D")</f>
        <v>48989</v>
      </c>
      <c r="AL4521" s="21">
        <f>_xll.qlInterestRateIndexValueDate(hiborindex,AK4521)</f>
        <v>48991</v>
      </c>
      <c r="AM4521" s="23">
        <f>_xll.qlIndexFixing(hiborindex,AK4521)</f>
        <v>1.1279489579305616E-2</v>
      </c>
    </row>
    <row r="4522" spans="37:39" x14ac:dyDescent="0.25">
      <c r="AK4522" s="21">
        <f>_xll.qlCalendarAdvance(calendar,AK4521,"1D")</f>
        <v>48990</v>
      </c>
      <c r="AL4522" s="21">
        <f>_xll.qlInterestRateIndexValueDate(hiborindex,AK4522)</f>
        <v>48992</v>
      </c>
      <c r="AM4522" s="23">
        <f>_xll.qlIndexFixing(hiborindex,AK4522)</f>
        <v>1.127533391914267E-2</v>
      </c>
    </row>
    <row r="4523" spans="37:39" x14ac:dyDescent="0.25">
      <c r="AK4523" s="21">
        <f>_xll.qlCalendarAdvance(calendar,AK4522,"1D")</f>
        <v>48991</v>
      </c>
      <c r="AL4523" s="21">
        <f>_xll.qlInterestRateIndexValueDate(hiborindex,AK4523)</f>
        <v>48995</v>
      </c>
      <c r="AM4523" s="23">
        <f>_xll.qlIndexFixing(hiborindex,AK4523)</f>
        <v>1.1259799117531605E-2</v>
      </c>
    </row>
    <row r="4524" spans="37:39" x14ac:dyDescent="0.25">
      <c r="AK4524" s="21">
        <f>_xll.qlCalendarAdvance(calendar,AK4523,"1D")</f>
        <v>48992</v>
      </c>
      <c r="AL4524" s="21">
        <f>_xll.qlInterestRateIndexValueDate(hiborindex,AK4524)</f>
        <v>48996</v>
      </c>
      <c r="AM4524" s="23">
        <f>_xll.qlIndexFixing(hiborindex,AK4524)</f>
        <v>1.125869541432521E-2</v>
      </c>
    </row>
    <row r="4525" spans="37:39" x14ac:dyDescent="0.25">
      <c r="AK4525" s="21">
        <f>_xll.qlCalendarAdvance(calendar,AK4524,"1D")</f>
        <v>48995</v>
      </c>
      <c r="AL4525" s="21">
        <f>_xll.qlInterestRateIndexValueDate(hiborindex,AK4525)</f>
        <v>48997</v>
      </c>
      <c r="AM4525" s="23">
        <f>_xll.qlIndexFixing(hiborindex,AK4525)</f>
        <v>1.1254531822129774E-2</v>
      </c>
    </row>
    <row r="4526" spans="37:39" x14ac:dyDescent="0.25">
      <c r="AK4526" s="21">
        <f>_xll.qlCalendarAdvance(calendar,AK4525,"1D")</f>
        <v>48996</v>
      </c>
      <c r="AL4526" s="21">
        <f>_xll.qlInterestRateIndexValueDate(hiborindex,AK4526)</f>
        <v>48998</v>
      </c>
      <c r="AM4526" s="23">
        <f>_xll.qlIndexFixing(hiborindex,AK4526)</f>
        <v>1.1250366643557783E-2</v>
      </c>
    </row>
    <row r="4527" spans="37:39" x14ac:dyDescent="0.25">
      <c r="AK4527" s="21">
        <f>_xll.qlCalendarAdvance(calendar,AK4526,"1D")</f>
        <v>48997</v>
      </c>
      <c r="AL4527" s="21">
        <f>_xll.qlInterestRateIndexValueDate(hiborindex,AK4527)</f>
        <v>48999</v>
      </c>
      <c r="AM4527" s="23">
        <f>_xll.qlIndexFixing(hiborindex,AK4527)</f>
        <v>1.1246199878618952E-2</v>
      </c>
    </row>
    <row r="4528" spans="37:39" x14ac:dyDescent="0.25">
      <c r="AK4528" s="21">
        <f>_xll.qlCalendarAdvance(calendar,AK4527,"1D")</f>
        <v>48998</v>
      </c>
      <c r="AL4528" s="21">
        <f>_xll.qlInterestRateIndexValueDate(hiborindex,AK4528)</f>
        <v>49002</v>
      </c>
      <c r="AM4528" s="23">
        <f>_xll.qlIndexFixing(hiborindex,AK4528)</f>
        <v>1.1230824856999234E-2</v>
      </c>
    </row>
    <row r="4529" spans="37:39" x14ac:dyDescent="0.25">
      <c r="AK4529" s="21">
        <f>_xll.qlCalendarAdvance(calendar,AK4528,"1D")</f>
        <v>48999</v>
      </c>
      <c r="AL4529" s="21">
        <f>_xll.qlInterestRateIndexValueDate(hiborindex,AK4529)</f>
        <v>49003</v>
      </c>
      <c r="AM4529" s="23">
        <f>_xll.qlIndexFixing(hiborindex,AK4529)</f>
        <v>1.1221116169569813E-2</v>
      </c>
    </row>
    <row r="4530" spans="37:39" x14ac:dyDescent="0.25">
      <c r="AK4530" s="21">
        <f>_xll.qlCalendarAdvance(calendar,AK4529,"1D")</f>
        <v>49002</v>
      </c>
      <c r="AL4530" s="21">
        <f>_xll.qlInterestRateIndexValueDate(hiborindex,AK4530)</f>
        <v>49004</v>
      </c>
      <c r="AM4530" s="23">
        <f>_xll.qlIndexFixing(hiborindex,AK4530)</f>
        <v>1.1217023457106097E-2</v>
      </c>
    </row>
    <row r="4531" spans="37:39" x14ac:dyDescent="0.25">
      <c r="AK4531" s="21">
        <f>_xll.qlCalendarAdvance(calendar,AK4530,"1D")</f>
        <v>49003</v>
      </c>
      <c r="AL4531" s="21">
        <f>_xll.qlInterestRateIndexValueDate(hiborindex,AK4531)</f>
        <v>49005</v>
      </c>
      <c r="AM4531" s="23">
        <f>_xll.qlIndexFixing(hiborindex,AK4531)</f>
        <v>1.1207617679163045E-2</v>
      </c>
    </row>
    <row r="4532" spans="37:39" x14ac:dyDescent="0.25">
      <c r="AK4532" s="21">
        <f>_xll.qlCalendarAdvance(calendar,AK4531,"1D")</f>
        <v>49004</v>
      </c>
      <c r="AL4532" s="21">
        <f>_xll.qlInterestRateIndexValueDate(hiborindex,AK4532)</f>
        <v>49006</v>
      </c>
      <c r="AM4532" s="23">
        <f>_xll.qlIndexFixing(hiborindex,AK4532)</f>
        <v>1.1206186771527436E-2</v>
      </c>
    </row>
    <row r="4533" spans="37:39" x14ac:dyDescent="0.25">
      <c r="AK4533" s="21">
        <f>_xll.qlCalendarAdvance(calendar,AK4532,"1D")</f>
        <v>49005</v>
      </c>
      <c r="AL4533" s="21">
        <f>_xll.qlInterestRateIndexValueDate(hiborindex,AK4533)</f>
        <v>49009</v>
      </c>
      <c r="AM4533" s="23">
        <f>_xll.qlIndexFixing(hiborindex,AK4533)</f>
        <v>1.119653648536182E-2</v>
      </c>
    </row>
    <row r="4534" spans="37:39" x14ac:dyDescent="0.25">
      <c r="AK4534" s="21">
        <f>_xll.qlCalendarAdvance(calendar,AK4533,"1D")</f>
        <v>49006</v>
      </c>
      <c r="AL4534" s="21">
        <f>_xll.qlInterestRateIndexValueDate(hiborindex,AK4534)</f>
        <v>49010</v>
      </c>
      <c r="AM4534" s="23">
        <f>_xll.qlIndexFixing(hiborindex,AK4534)</f>
        <v>1.1192434409196986E-2</v>
      </c>
    </row>
    <row r="4535" spans="37:39" x14ac:dyDescent="0.25">
      <c r="AK4535" s="21">
        <f>_xll.qlCalendarAdvance(calendar,AK4534,"1D")</f>
        <v>49009</v>
      </c>
      <c r="AL4535" s="21">
        <f>_xll.qlInterestRateIndexValueDate(hiborindex,AK4535)</f>
        <v>49011</v>
      </c>
      <c r="AM4535" s="23">
        <f>_xll.qlIndexFixing(hiborindex,AK4535)</f>
        <v>1.118833077244962E-2</v>
      </c>
    </row>
    <row r="4536" spans="37:39" x14ac:dyDescent="0.25">
      <c r="AK4536" s="21">
        <f>_xll.qlCalendarAdvance(calendar,AK4535,"1D")</f>
        <v>49010</v>
      </c>
      <c r="AL4536" s="21">
        <f>_xll.qlInterestRateIndexValueDate(hiborindex,AK4536)</f>
        <v>49012</v>
      </c>
      <c r="AM4536" s="23">
        <f>_xll.qlIndexFixing(hiborindex,AK4536)</f>
        <v>1.1179286970332098E-2</v>
      </c>
    </row>
    <row r="4537" spans="37:39" x14ac:dyDescent="0.25">
      <c r="AK4537" s="21">
        <f>_xll.qlCalendarAdvance(calendar,AK4536,"1D")</f>
        <v>49011</v>
      </c>
      <c r="AL4537" s="21">
        <f>_xll.qlInterestRateIndexValueDate(hiborindex,AK4537)</f>
        <v>49013</v>
      </c>
      <c r="AM4537" s="23">
        <f>_xll.qlIndexFixing(hiborindex,AK4537)</f>
        <v>1.1177659754022027E-2</v>
      </c>
    </row>
    <row r="4538" spans="37:39" x14ac:dyDescent="0.25">
      <c r="AK4538" s="21">
        <f>_xll.qlCalendarAdvance(calendar,AK4537,"1D")</f>
        <v>49012</v>
      </c>
      <c r="AL4538" s="21">
        <f>_xll.qlInterestRateIndexValueDate(hiborindex,AK4538)</f>
        <v>49016</v>
      </c>
      <c r="AM4538" s="23">
        <f>_xll.qlIndexFixing(hiborindex,AK4538)</f>
        <v>1.1167789180314523E-2</v>
      </c>
    </row>
    <row r="4539" spans="37:39" x14ac:dyDescent="0.25">
      <c r="AK4539" s="21">
        <f>_xll.qlCalendarAdvance(calendar,AK4538,"1D")</f>
        <v>49013</v>
      </c>
      <c r="AL4539" s="21">
        <f>_xll.qlInterestRateIndexValueDate(hiborindex,AK4539)</f>
        <v>49017</v>
      </c>
      <c r="AM4539" s="23">
        <f>_xll.qlIndexFixing(hiborindex,AK4539)</f>
        <v>1.1163676180277013E-2</v>
      </c>
    </row>
    <row r="4540" spans="37:39" x14ac:dyDescent="0.25">
      <c r="AK4540" s="21">
        <f>_xll.qlCalendarAdvance(calendar,AK4539,"1D")</f>
        <v>49016</v>
      </c>
      <c r="AL4540" s="21">
        <f>_xll.qlInterestRateIndexValueDate(hiborindex,AK4540)</f>
        <v>49018</v>
      </c>
      <c r="AM4540" s="23">
        <f>_xll.qlIndexFixing(hiborindex,AK4540)</f>
        <v>1.1159561619725611E-2</v>
      </c>
    </row>
    <row r="4541" spans="37:39" x14ac:dyDescent="0.25">
      <c r="AK4541" s="21">
        <f>_xll.qlCalendarAdvance(calendar,AK4540,"1D")</f>
        <v>49017</v>
      </c>
      <c r="AL4541" s="21">
        <f>_xll.qlInterestRateIndexValueDate(hiborindex,AK4541)</f>
        <v>49019</v>
      </c>
      <c r="AM4541" s="23">
        <f>_xll.qlIndexFixing(hiborindex,AK4541)</f>
        <v>1.1150880609740167E-2</v>
      </c>
    </row>
    <row r="4542" spans="37:39" x14ac:dyDescent="0.25">
      <c r="AK4542" s="21">
        <f>_xll.qlCalendarAdvance(calendar,AK4541,"1D")</f>
        <v>49018</v>
      </c>
      <c r="AL4542" s="21">
        <f>_xll.qlInterestRateIndexValueDate(hiborindex,AK4542)</f>
        <v>49020</v>
      </c>
      <c r="AM4542" s="23">
        <f>_xll.qlIndexFixing(hiborindex,AK4542)</f>
        <v>1.1149056679524563E-2</v>
      </c>
    </row>
    <row r="4543" spans="37:39" x14ac:dyDescent="0.25">
      <c r="AK4543" s="21">
        <f>_xll.qlCalendarAdvance(calendar,AK4542,"1D")</f>
        <v>49019</v>
      </c>
      <c r="AL4543" s="21">
        <f>_xll.qlInterestRateIndexValueDate(hiborindex,AK4543)</f>
        <v>49023</v>
      </c>
      <c r="AM4543" s="23">
        <f>_xll.qlIndexFixing(hiborindex,AK4543)</f>
        <v>1.1138965409602991E-2</v>
      </c>
    </row>
    <row r="4544" spans="37:39" x14ac:dyDescent="0.25">
      <c r="AK4544" s="21">
        <f>_xll.qlCalendarAdvance(calendar,AK4543,"1D")</f>
        <v>49020</v>
      </c>
      <c r="AL4544" s="21">
        <f>_xll.qlInterestRateIndexValueDate(hiborindex,AK4544)</f>
        <v>49024</v>
      </c>
      <c r="AM4544" s="23">
        <f>_xll.qlIndexFixing(hiborindex,AK4544)</f>
        <v>1.1134841486174593E-2</v>
      </c>
    </row>
    <row r="4545" spans="37:39" x14ac:dyDescent="0.25">
      <c r="AK4545" s="21">
        <f>_xll.qlCalendarAdvance(calendar,AK4544,"1D")</f>
        <v>49023</v>
      </c>
      <c r="AL4545" s="21">
        <f>_xll.qlInterestRateIndexValueDate(hiborindex,AK4545)</f>
        <v>49025</v>
      </c>
      <c r="AM4545" s="23">
        <f>_xll.qlIndexFixing(hiborindex,AK4545)</f>
        <v>1.1130716002300945E-2</v>
      </c>
    </row>
    <row r="4546" spans="37:39" x14ac:dyDescent="0.25">
      <c r="AK4546" s="21">
        <f>_xll.qlCalendarAdvance(calendar,AK4545,"1D")</f>
        <v>49024</v>
      </c>
      <c r="AL4546" s="21">
        <f>_xll.qlInterestRateIndexValueDate(hiborindex,AK4546)</f>
        <v>49026</v>
      </c>
      <c r="AM4546" s="23">
        <f>_xll.qlIndexFixing(hiborindex,AK4546)</f>
        <v>1.1122398600711902E-2</v>
      </c>
    </row>
    <row r="4547" spans="37:39" x14ac:dyDescent="0.25">
      <c r="AK4547" s="21">
        <f>_xll.qlCalendarAdvance(calendar,AK4546,"1D")</f>
        <v>49025</v>
      </c>
      <c r="AL4547" s="21">
        <f>_xll.qlInterestRateIndexValueDate(hiborindex,AK4547)</f>
        <v>49027</v>
      </c>
      <c r="AM4547" s="23">
        <f>_xll.qlIndexFixing(hiborindex,AK4547)</f>
        <v>1.112037755138285E-2</v>
      </c>
    </row>
    <row r="4548" spans="37:39" x14ac:dyDescent="0.25">
      <c r="AK4548" s="21">
        <f>_xll.qlCalendarAdvance(calendar,AK4547,"1D")</f>
        <v>49026</v>
      </c>
      <c r="AL4548" s="21">
        <f>_xll.qlInterestRateIndexValueDate(hiborindex,AK4548)</f>
        <v>49030</v>
      </c>
      <c r="AM4548" s="23">
        <f>_xll.qlIndexFixing(hiborindex,AK4548)</f>
        <v>1.1110065176601047E-2</v>
      </c>
    </row>
    <row r="4549" spans="37:39" x14ac:dyDescent="0.25">
      <c r="AK4549" s="21">
        <f>_xll.qlCalendarAdvance(calendar,AK4548,"1D")</f>
        <v>49027</v>
      </c>
      <c r="AL4549" s="21">
        <f>_xll.qlInterestRateIndexValueDate(hiborindex,AK4549)</f>
        <v>49031</v>
      </c>
      <c r="AM4549" s="23">
        <f>_xll.qlIndexFixing(hiborindex,AK4549)</f>
        <v>1.1105930330263985E-2</v>
      </c>
    </row>
    <row r="4550" spans="37:39" x14ac:dyDescent="0.25">
      <c r="AK4550" s="21">
        <f>_xll.qlCalendarAdvance(calendar,AK4549,"1D")</f>
        <v>49030</v>
      </c>
      <c r="AL4550" s="21">
        <f>_xll.qlInterestRateIndexValueDate(hiborindex,AK4550)</f>
        <v>49032</v>
      </c>
      <c r="AM4550" s="23">
        <f>_xll.qlIndexFixing(hiborindex,AK4550)</f>
        <v>1.1101793923550311E-2</v>
      </c>
    </row>
    <row r="4551" spans="37:39" x14ac:dyDescent="0.25">
      <c r="AK4551" s="21">
        <f>_xll.qlCalendarAdvance(calendar,AK4550,"1D")</f>
        <v>49031</v>
      </c>
      <c r="AL4551" s="21">
        <f>_xll.qlInterestRateIndexValueDate(hiborindex,AK4551)</f>
        <v>49033</v>
      </c>
      <c r="AM4551" s="23">
        <f>_xll.qlIndexFixing(hiborindex,AK4551)</f>
        <v>1.1099604524655278E-2</v>
      </c>
    </row>
    <row r="4552" spans="37:39" x14ac:dyDescent="0.25">
      <c r="AK4552" s="21">
        <f>_xll.qlCalendarAdvance(calendar,AK4551,"1D")</f>
        <v>49032</v>
      </c>
      <c r="AL4552" s="21">
        <f>_xll.qlInterestRateIndexValueDate(hiborindex,AK4552)</f>
        <v>49034</v>
      </c>
      <c r="AM4552" s="23">
        <f>_xll.qlIndexFixing(hiborindex,AK4552)</f>
        <v>1.1097386675409675E-2</v>
      </c>
    </row>
    <row r="4553" spans="37:39" x14ac:dyDescent="0.25">
      <c r="AK4553" s="21">
        <f>_xll.qlCalendarAdvance(calendar,AK4552,"1D")</f>
        <v>49033</v>
      </c>
      <c r="AL4553" s="21">
        <f>_xll.qlInterestRateIndexValueDate(hiborindex,AK4553)</f>
        <v>49037</v>
      </c>
      <c r="AM4553" s="23">
        <f>_xll.qlIndexFixing(hiborindex,AK4553)</f>
        <v>1.1082927868198632E-2</v>
      </c>
    </row>
    <row r="4554" spans="37:39" x14ac:dyDescent="0.25">
      <c r="AK4554" s="21">
        <f>_xll.qlCalendarAdvance(calendar,AK4553,"1D")</f>
        <v>49034</v>
      </c>
      <c r="AL4554" s="21">
        <f>_xll.qlInterestRateIndexValueDate(hiborindex,AK4554)</f>
        <v>49038</v>
      </c>
      <c r="AM4554" s="23">
        <f>_xll.qlIndexFixing(hiborindex,AK4554)</f>
        <v>1.1078754782119095E-2</v>
      </c>
    </row>
    <row r="4555" spans="37:39" x14ac:dyDescent="0.25">
      <c r="AK4555" s="21">
        <f>_xll.qlCalendarAdvance(calendar,AK4554,"1D")</f>
        <v>49037</v>
      </c>
      <c r="AL4555" s="21">
        <f>_xll.qlInterestRateIndexValueDate(hiborindex,AK4555)</f>
        <v>49039</v>
      </c>
      <c r="AM4555" s="23">
        <f>_xll.qlIndexFixing(hiborindex,AK4555)</f>
        <v>1.1074580127273021E-2</v>
      </c>
    </row>
    <row r="4556" spans="37:39" x14ac:dyDescent="0.25">
      <c r="AK4556" s="21">
        <f>_xll.qlCalendarAdvance(calendar,AK4555,"1D")</f>
        <v>49038</v>
      </c>
      <c r="AL4556" s="21">
        <f>_xll.qlInterestRateIndexValueDate(hiborindex,AK4556)</f>
        <v>49040</v>
      </c>
      <c r="AM4556" s="23">
        <f>_xll.qlIndexFixing(hiborindex,AK4556)</f>
        <v>1.1070403903670456E-2</v>
      </c>
    </row>
    <row r="4557" spans="37:39" x14ac:dyDescent="0.25">
      <c r="AK4557" s="21">
        <f>_xll.qlCalendarAdvance(calendar,AK4556,"1D")</f>
        <v>49039</v>
      </c>
      <c r="AL4557" s="21">
        <f>_xll.qlInterestRateIndexValueDate(hiborindex,AK4557)</f>
        <v>49045</v>
      </c>
      <c r="AM4557" s="23">
        <f>_xll.qlIndexFixing(hiborindex,AK4557)</f>
        <v>1.1049499254661463E-2</v>
      </c>
    </row>
    <row r="4558" spans="37:39" x14ac:dyDescent="0.25">
      <c r="AK4558" s="21">
        <f>_xll.qlCalendarAdvance(calendar,AK4557,"1D")</f>
        <v>49040</v>
      </c>
      <c r="AL4558" s="21">
        <f>_xll.qlInterestRateIndexValueDate(hiborindex,AK4558)</f>
        <v>49046</v>
      </c>
      <c r="AM4558" s="23">
        <f>_xll.qlIndexFixing(hiborindex,AK4558)</f>
        <v>1.1045313618730058E-2</v>
      </c>
    </row>
    <row r="4559" spans="37:39" x14ac:dyDescent="0.25">
      <c r="AK4559" s="21">
        <f>_xll.qlCalendarAdvance(calendar,AK4558,"1D")</f>
        <v>49045</v>
      </c>
      <c r="AL4559" s="21">
        <f>_xll.qlInterestRateIndexValueDate(hiborindex,AK4559)</f>
        <v>49047</v>
      </c>
      <c r="AM4559" s="23">
        <f>_xll.qlIndexFixing(hiborindex,AK4559)</f>
        <v>1.1041126414112489E-2</v>
      </c>
    </row>
    <row r="4560" spans="37:39" x14ac:dyDescent="0.25">
      <c r="AK4560" s="21">
        <f>_xll.qlCalendarAdvance(calendar,AK4559,"1D")</f>
        <v>49046</v>
      </c>
      <c r="AL4560" s="21">
        <f>_xll.qlInterestRateIndexValueDate(hiborindex,AK4560)</f>
        <v>49048</v>
      </c>
      <c r="AM4560" s="23">
        <f>_xll.qlIndexFixing(hiborindex,AK4560)</f>
        <v>1.1033883878690004E-2</v>
      </c>
    </row>
    <row r="4561" spans="37:39" x14ac:dyDescent="0.25">
      <c r="AK4561" s="21">
        <f>_xll.qlCalendarAdvance(calendar,AK4560,"1D")</f>
        <v>49047</v>
      </c>
      <c r="AL4561" s="21">
        <f>_xll.qlInterestRateIndexValueDate(hiborindex,AK4561)</f>
        <v>49051</v>
      </c>
      <c r="AM4561" s="23">
        <f>_xll.qlIndexFixing(hiborindex,AK4561)</f>
        <v>1.1024361908976692E-2</v>
      </c>
    </row>
    <row r="4562" spans="37:39" x14ac:dyDescent="0.25">
      <c r="AK4562" s="21">
        <f>_xll.qlCalendarAdvance(calendar,AK4561,"1D")</f>
        <v>49048</v>
      </c>
      <c r="AL4562" s="21">
        <f>_xll.qlInterestRateIndexValueDate(hiborindex,AK4562)</f>
        <v>49052</v>
      </c>
      <c r="AM4562" s="23">
        <f>_xll.qlIndexFixing(hiborindex,AK4562)</f>
        <v>1.1020166861076815E-2</v>
      </c>
    </row>
    <row r="4563" spans="37:39" x14ac:dyDescent="0.25">
      <c r="AK4563" s="21">
        <f>_xll.qlCalendarAdvance(calendar,AK4562,"1D")</f>
        <v>49051</v>
      </c>
      <c r="AL4563" s="21">
        <f>_xll.qlInterestRateIndexValueDate(hiborindex,AK4563)</f>
        <v>49053</v>
      </c>
      <c r="AM4563" s="23">
        <f>_xll.qlIndexFixing(hiborindex,AK4563)</f>
        <v>1.1015970244550179E-2</v>
      </c>
    </row>
    <row r="4564" spans="37:39" x14ac:dyDescent="0.25">
      <c r="AK4564" s="21">
        <f>_xll.qlCalendarAdvance(calendar,AK4563,"1D")</f>
        <v>49052</v>
      </c>
      <c r="AL4564" s="21">
        <f>_xll.qlInterestRateIndexValueDate(hiborindex,AK4564)</f>
        <v>49054</v>
      </c>
      <c r="AM4564" s="23">
        <f>_xll.qlIndexFixing(hiborindex,AK4564)</f>
        <v>1.1011772059407269E-2</v>
      </c>
    </row>
    <row r="4565" spans="37:39" x14ac:dyDescent="0.25">
      <c r="AK4565" s="21">
        <f>_xll.qlCalendarAdvance(calendar,AK4564,"1D")</f>
        <v>49053</v>
      </c>
      <c r="AL4565" s="21">
        <f>_xll.qlInterestRateIndexValueDate(hiborindex,AK4565)</f>
        <v>49055</v>
      </c>
      <c r="AM4565" s="23">
        <f>_xll.qlIndexFixing(hiborindex,AK4565)</f>
        <v>1.100490056961531E-2</v>
      </c>
    </row>
    <row r="4566" spans="37:39" x14ac:dyDescent="0.25">
      <c r="AK4566" s="21">
        <f>_xll.qlCalendarAdvance(calendar,AK4565,"1D")</f>
        <v>49054</v>
      </c>
      <c r="AL4566" s="21">
        <f>_xll.qlInterestRateIndexValueDate(hiborindex,AK4566)</f>
        <v>49058</v>
      </c>
      <c r="AM4566" s="23">
        <f>_xll.qlIndexFixing(hiborindex,AK4566)</f>
        <v>1.0994963632871621E-2</v>
      </c>
    </row>
    <row r="4567" spans="37:39" x14ac:dyDescent="0.25">
      <c r="AK4567" s="21">
        <f>_xll.qlCalendarAdvance(calendar,AK4566,"1D")</f>
        <v>49055</v>
      </c>
      <c r="AL4567" s="21">
        <f>_xll.qlInterestRateIndexValueDate(hiborindex,AK4567)</f>
        <v>49059</v>
      </c>
      <c r="AM4567" s="23">
        <f>_xll.qlIndexFixing(hiborindex,AK4567)</f>
        <v>1.0990757604797161E-2</v>
      </c>
    </row>
    <row r="4568" spans="37:39" x14ac:dyDescent="0.25">
      <c r="AK4568" s="21">
        <f>_xll.qlCalendarAdvance(calendar,AK4567,"1D")</f>
        <v>49058</v>
      </c>
      <c r="AL4568" s="21">
        <f>_xll.qlInterestRateIndexValueDate(hiborindex,AK4568)</f>
        <v>49060</v>
      </c>
      <c r="AM4568" s="23">
        <f>_xll.qlIndexFixing(hiborindex,AK4568)</f>
        <v>1.098655000816583E-2</v>
      </c>
    </row>
    <row r="4569" spans="37:39" x14ac:dyDescent="0.25">
      <c r="AK4569" s="21">
        <f>_xll.qlCalendarAdvance(calendar,AK4568,"1D")</f>
        <v>49059</v>
      </c>
      <c r="AL4569" s="21">
        <f>_xll.qlInterestRateIndexValueDate(hiborindex,AK4569)</f>
        <v>49061</v>
      </c>
      <c r="AM4569" s="23">
        <f>_xll.qlIndexFixing(hiborindex,AK4569)</f>
        <v>1.0982340842988988E-2</v>
      </c>
    </row>
    <row r="4570" spans="37:39" x14ac:dyDescent="0.25">
      <c r="AK4570" s="21">
        <f>_xll.qlCalendarAdvance(calendar,AK4569,"1D")</f>
        <v>49060</v>
      </c>
      <c r="AL4570" s="21">
        <f>_xll.qlInterestRateIndexValueDate(hiborindex,AK4570)</f>
        <v>49062</v>
      </c>
      <c r="AM4570" s="23">
        <f>_xll.qlIndexFixing(hiborindex,AK4570)</f>
        <v>1.0974724886295084E-2</v>
      </c>
    </row>
    <row r="4571" spans="37:39" x14ac:dyDescent="0.25">
      <c r="AK4571" s="21">
        <f>_xll.qlCalendarAdvance(calendar,AK4570,"1D")</f>
        <v>49061</v>
      </c>
      <c r="AL4571" s="21">
        <f>_xll.qlInterestRateIndexValueDate(hiborindex,AK4571)</f>
        <v>49066</v>
      </c>
      <c r="AM4571" s="23">
        <f>_xll.qlIndexFixing(hiborindex,AK4571)</f>
        <v>1.0960227742296619E-2</v>
      </c>
    </row>
    <row r="4572" spans="37:39" x14ac:dyDescent="0.25">
      <c r="AK4572" s="21">
        <f>_xll.qlCalendarAdvance(calendar,AK4571,"1D")</f>
        <v>49062</v>
      </c>
      <c r="AL4572" s="21">
        <f>_xll.qlInterestRateIndexValueDate(hiborindex,AK4572)</f>
        <v>49067</v>
      </c>
      <c r="AM4572" s="23">
        <f>_xll.qlIndexFixing(hiborindex,AK4572)</f>
        <v>1.0956036728670912E-2</v>
      </c>
    </row>
    <row r="4573" spans="37:39" x14ac:dyDescent="0.25">
      <c r="AK4573" s="21">
        <f>_xll.qlCalendarAdvance(calendar,AK4572,"1D")</f>
        <v>49066</v>
      </c>
      <c r="AL4573" s="21">
        <f>_xll.qlInterestRateIndexValueDate(hiborindex,AK4573)</f>
        <v>49068</v>
      </c>
      <c r="AM4573" s="23">
        <f>_xll.qlIndexFixing(hiborindex,AK4573)</f>
        <v>1.0949918116624829E-2</v>
      </c>
    </row>
    <row r="4574" spans="37:39" x14ac:dyDescent="0.25">
      <c r="AK4574" s="21">
        <f>_xll.qlCalendarAdvance(calendar,AK4573,"1D")</f>
        <v>49067</v>
      </c>
      <c r="AL4574" s="21">
        <f>_xll.qlInterestRateIndexValueDate(hiborindex,AK4574)</f>
        <v>49069</v>
      </c>
      <c r="AM4574" s="23">
        <f>_xll.qlIndexFixing(hiborindex,AK4574)</f>
        <v>1.0946705844532795E-2</v>
      </c>
    </row>
    <row r="4575" spans="37:39" x14ac:dyDescent="0.25">
      <c r="AK4575" s="21">
        <f>_xll.qlCalendarAdvance(calendar,AK4574,"1D")</f>
        <v>49068</v>
      </c>
      <c r="AL4575" s="21">
        <f>_xll.qlInterestRateIndexValueDate(hiborindex,AK4575)</f>
        <v>49072</v>
      </c>
      <c r="AM4575" s="23">
        <f>_xll.qlIndexFixing(hiborindex,AK4575)</f>
        <v>1.0935058260471361E-2</v>
      </c>
    </row>
    <row r="4576" spans="37:39" x14ac:dyDescent="0.25">
      <c r="AK4576" s="21">
        <f>_xll.qlCalendarAdvance(calendar,AK4575,"1D")</f>
        <v>49069</v>
      </c>
      <c r="AL4576" s="21">
        <f>_xll.qlInterestRateIndexValueDate(hiborindex,AK4576)</f>
        <v>49073</v>
      </c>
      <c r="AM4576" s="23">
        <f>_xll.qlIndexFixing(hiborindex,AK4576)</f>
        <v>1.0930857886887191E-2</v>
      </c>
    </row>
    <row r="4577" spans="37:39" x14ac:dyDescent="0.25">
      <c r="AK4577" s="21">
        <f>_xll.qlCalendarAdvance(calendar,AK4576,"1D")</f>
        <v>49072</v>
      </c>
      <c r="AL4577" s="21">
        <f>_xll.qlInterestRateIndexValueDate(hiborindex,AK4577)</f>
        <v>49074</v>
      </c>
      <c r="AM4577" s="23">
        <f>_xll.qlIndexFixing(hiborindex,AK4577)</f>
        <v>1.0926655953345209E-2</v>
      </c>
    </row>
    <row r="4578" spans="37:39" x14ac:dyDescent="0.25">
      <c r="AK4578" s="21">
        <f>_xll.qlCalendarAdvance(calendar,AK4577,"1D")</f>
        <v>49073</v>
      </c>
      <c r="AL4578" s="21">
        <f>_xll.qlInterestRateIndexValueDate(hiborindex,AK4578)</f>
        <v>49075</v>
      </c>
      <c r="AM4578" s="23">
        <f>_xll.qlIndexFixing(hiborindex,AK4578)</f>
        <v>1.0920906662350212E-2</v>
      </c>
    </row>
    <row r="4579" spans="37:39" x14ac:dyDescent="0.25">
      <c r="AK4579" s="21">
        <f>_xll.qlCalendarAdvance(calendar,AK4578,"1D")</f>
        <v>49074</v>
      </c>
      <c r="AL4579" s="21">
        <f>_xll.qlInterestRateIndexValueDate(hiborindex,AK4579)</f>
        <v>49076</v>
      </c>
      <c r="AM4579" s="23">
        <f>_xll.qlIndexFixing(hiborindex,AK4579)</f>
        <v>1.0917494435334232E-2</v>
      </c>
    </row>
    <row r="4580" spans="37:39" x14ac:dyDescent="0.25">
      <c r="AK4580" s="21">
        <f>_xll.qlCalendarAdvance(calendar,AK4579,"1D")</f>
        <v>49075</v>
      </c>
      <c r="AL4580" s="21">
        <f>_xll.qlInterestRateIndexValueDate(hiborindex,AK4580)</f>
        <v>49079</v>
      </c>
      <c r="AM4580" s="23">
        <f>_xll.qlIndexFixing(hiborindex,AK4580)</f>
        <v>1.0905622886616046E-2</v>
      </c>
    </row>
    <row r="4581" spans="37:39" x14ac:dyDescent="0.25">
      <c r="AK4581" s="21">
        <f>_xll.qlCalendarAdvance(calendar,AK4580,"1D")</f>
        <v>49076</v>
      </c>
      <c r="AL4581" s="21">
        <f>_xll.qlInterestRateIndexValueDate(hiborindex,AK4581)</f>
        <v>49080</v>
      </c>
      <c r="AM4581" s="23">
        <f>_xll.qlIndexFixing(hiborindex,AK4581)</f>
        <v>1.090141159353657E-2</v>
      </c>
    </row>
    <row r="4582" spans="37:39" x14ac:dyDescent="0.25">
      <c r="AK4582" s="21">
        <f>_xll.qlCalendarAdvance(calendar,AK4581,"1D")</f>
        <v>49079</v>
      </c>
      <c r="AL4582" s="21">
        <f>_xll.qlInterestRateIndexValueDate(hiborindex,AK4582)</f>
        <v>49081</v>
      </c>
      <c r="AM4582" s="23">
        <f>_xll.qlIndexFixing(hiborindex,AK4582)</f>
        <v>1.0897198740570092E-2</v>
      </c>
    </row>
    <row r="4583" spans="37:39" x14ac:dyDescent="0.25">
      <c r="AK4583" s="21">
        <f>_xll.qlCalendarAdvance(calendar,AK4582,"1D")</f>
        <v>49080</v>
      </c>
      <c r="AL4583" s="21">
        <f>_xll.qlInterestRateIndexValueDate(hiborindex,AK4583)</f>
        <v>49082</v>
      </c>
      <c r="AM4583" s="23">
        <f>_xll.qlIndexFixing(hiborindex,AK4583)</f>
        <v>1.08918195865472E-2</v>
      </c>
    </row>
    <row r="4584" spans="37:39" x14ac:dyDescent="0.25">
      <c r="AK4584" s="21">
        <f>_xll.qlCalendarAdvance(calendar,AK4583,"1D")</f>
        <v>49081</v>
      </c>
      <c r="AL4584" s="21">
        <f>_xll.qlInterestRateIndexValueDate(hiborindex,AK4584)</f>
        <v>49083</v>
      </c>
      <c r="AM4584" s="23">
        <f>_xll.qlIndexFixing(hiborindex,AK4584)</f>
        <v>1.088820699958499E-2</v>
      </c>
    </row>
    <row r="4585" spans="37:39" x14ac:dyDescent="0.25">
      <c r="AK4585" s="21">
        <f>_xll.qlCalendarAdvance(calendar,AK4584,"1D")</f>
        <v>49082</v>
      </c>
      <c r="AL4585" s="21">
        <f>_xll.qlInterestRateIndexValueDate(hiborindex,AK4585)</f>
        <v>49086</v>
      </c>
      <c r="AM4585" s="23">
        <f>_xll.qlIndexFixing(hiborindex,AK4585)</f>
        <v>1.0876111077771958E-2</v>
      </c>
    </row>
    <row r="4586" spans="37:39" x14ac:dyDescent="0.25">
      <c r="AK4586" s="21">
        <f>_xll.qlCalendarAdvance(calendar,AK4585,"1D")</f>
        <v>49083</v>
      </c>
      <c r="AL4586" s="21">
        <f>_xll.qlInterestRateIndexValueDate(hiborindex,AK4586)</f>
        <v>49087</v>
      </c>
      <c r="AM4586" s="23">
        <f>_xll.qlIndexFixing(hiborindex,AK4586)</f>
        <v>1.0871888865690259E-2</v>
      </c>
    </row>
    <row r="4587" spans="37:39" x14ac:dyDescent="0.25">
      <c r="AK4587" s="21">
        <f>_xll.qlCalendarAdvance(calendar,AK4586,"1D")</f>
        <v>49086</v>
      </c>
      <c r="AL4587" s="21">
        <f>_xll.qlInterestRateIndexValueDate(hiborindex,AK4587)</f>
        <v>49088</v>
      </c>
      <c r="AM4587" s="23">
        <f>_xll.qlIndexFixing(hiborindex,AK4587)</f>
        <v>1.0867665093791499E-2</v>
      </c>
    </row>
    <row r="4588" spans="37:39" x14ac:dyDescent="0.25">
      <c r="AK4588" s="21">
        <f>_xll.qlCalendarAdvance(calendar,AK4587,"1D")</f>
        <v>49087</v>
      </c>
      <c r="AL4588" s="21">
        <f>_xll.qlInterestRateIndexValueDate(hiborindex,AK4588)</f>
        <v>49089</v>
      </c>
      <c r="AM4588" s="23">
        <f>_xll.qlIndexFixing(hiborindex,AK4588)</f>
        <v>1.0862656892619952E-2</v>
      </c>
    </row>
    <row r="4589" spans="37:39" x14ac:dyDescent="0.25">
      <c r="AK4589" s="21">
        <f>_xll.qlCalendarAdvance(calendar,AK4588,"1D")</f>
        <v>49088</v>
      </c>
      <c r="AL4589" s="21">
        <f>_xll.qlInterestRateIndexValueDate(hiborindex,AK4589)</f>
        <v>49090</v>
      </c>
      <c r="AM4589" s="23">
        <f>_xll.qlIndexFixing(hiborindex,AK4589)</f>
        <v>1.0858843540711521E-2</v>
      </c>
    </row>
    <row r="4590" spans="37:39" x14ac:dyDescent="0.25">
      <c r="AK4590" s="21">
        <f>_xll.qlCalendarAdvance(calendar,AK4589,"1D")</f>
        <v>49089</v>
      </c>
      <c r="AL4590" s="21">
        <f>_xll.qlInterestRateIndexValueDate(hiborindex,AK4590)</f>
        <v>49093</v>
      </c>
      <c r="AM4590" s="23">
        <f>_xll.qlIndexFixing(hiborindex,AK4590)</f>
        <v>1.0846522837391554E-2</v>
      </c>
    </row>
    <row r="4591" spans="37:39" x14ac:dyDescent="0.25">
      <c r="AK4591" s="21">
        <f>_xll.qlCalendarAdvance(calendar,AK4590,"1D")</f>
        <v>49090</v>
      </c>
      <c r="AL4591" s="21">
        <f>_xll.qlInterestRateIndexValueDate(hiborindex,AK4591)</f>
        <v>49094</v>
      </c>
      <c r="AM4591" s="23">
        <f>_xll.qlIndexFixing(hiborindex,AK4591)</f>
        <v>1.0842289706801582E-2</v>
      </c>
    </row>
    <row r="4592" spans="37:39" x14ac:dyDescent="0.25">
      <c r="AK4592" s="21">
        <f>_xll.qlCalendarAdvance(calendar,AK4591,"1D")</f>
        <v>49093</v>
      </c>
      <c r="AL4592" s="21">
        <f>_xll.qlInterestRateIndexValueDate(hiborindex,AK4592)</f>
        <v>49095</v>
      </c>
      <c r="AM4592" s="23">
        <f>_xll.qlIndexFixing(hiborindex,AK4592)</f>
        <v>1.0838296013977455E-2</v>
      </c>
    </row>
    <row r="4593" spans="37:39" x14ac:dyDescent="0.25">
      <c r="AK4593" s="21">
        <f>_xll.qlCalendarAdvance(calendar,AK4592,"1D")</f>
        <v>49094</v>
      </c>
      <c r="AL4593" s="21">
        <f>_xll.qlInterestRateIndexValueDate(hiborindex,AK4593)</f>
        <v>49096</v>
      </c>
      <c r="AM4593" s="23">
        <f>_xll.qlIndexFixing(hiborindex,AK4593)</f>
        <v>1.0834031956043171E-2</v>
      </c>
    </row>
    <row r="4594" spans="37:39" x14ac:dyDescent="0.25">
      <c r="AK4594" s="21">
        <f>_xll.qlCalendarAdvance(calendar,AK4593,"1D")</f>
        <v>49095</v>
      </c>
      <c r="AL4594" s="21">
        <f>_xll.qlInterestRateIndexValueDate(hiborindex,AK4594)</f>
        <v>49097</v>
      </c>
      <c r="AM4594" s="23">
        <f>_xll.qlIndexFixing(hiborindex,AK4594)</f>
        <v>1.0829404062149346E-2</v>
      </c>
    </row>
    <row r="4595" spans="37:39" x14ac:dyDescent="0.25">
      <c r="AK4595" s="21">
        <f>_xll.qlCalendarAdvance(calendar,AK4594,"1D")</f>
        <v>49096</v>
      </c>
      <c r="AL4595" s="21">
        <f>_xll.qlInterestRateIndexValueDate(hiborindex,AK4595)</f>
        <v>49100</v>
      </c>
      <c r="AM4595" s="23">
        <f>_xll.qlIndexFixing(hiborindex,AK4595)</f>
        <v>1.0816960042586499E-2</v>
      </c>
    </row>
    <row r="4596" spans="37:39" x14ac:dyDescent="0.25">
      <c r="AK4596" s="21">
        <f>_xll.qlCalendarAdvance(calendar,AK4595,"1D")</f>
        <v>49097</v>
      </c>
      <c r="AL4596" s="21">
        <f>_xll.qlInterestRateIndexValueDate(hiborindex,AK4596)</f>
        <v>49101</v>
      </c>
      <c r="AM4596" s="23">
        <f>_xll.qlIndexFixing(hiborindex,AK4596)</f>
        <v>1.0812688143843991E-2</v>
      </c>
    </row>
    <row r="4597" spans="37:39" x14ac:dyDescent="0.25">
      <c r="AK4597" s="21">
        <f>_xll.qlCalendarAdvance(calendar,AK4596,"1D")</f>
        <v>49100</v>
      </c>
      <c r="AL4597" s="21">
        <f>_xll.qlInterestRateIndexValueDate(hiborindex,AK4597)</f>
        <v>49102</v>
      </c>
      <c r="AM4597" s="23">
        <f>_xll.qlIndexFixing(hiborindex,AK4597)</f>
        <v>1.0808414676970069E-2</v>
      </c>
    </row>
    <row r="4598" spans="37:39" x14ac:dyDescent="0.25">
      <c r="AK4598" s="21">
        <f>_xll.qlCalendarAdvance(calendar,AK4597,"1D")</f>
        <v>49101</v>
      </c>
      <c r="AL4598" s="21">
        <f>_xll.qlInterestRateIndexValueDate(hiborindex,AK4598)</f>
        <v>49103</v>
      </c>
      <c r="AM4598" s="23">
        <f>_xll.qlIndexFixing(hiborindex,AK4598)</f>
        <v>1.0804139641975647E-2</v>
      </c>
    </row>
    <row r="4599" spans="37:39" x14ac:dyDescent="0.25">
      <c r="AK4599" s="21">
        <f>_xll.qlCalendarAdvance(calendar,AK4598,"1D")</f>
        <v>49102</v>
      </c>
      <c r="AL4599" s="21">
        <f>_xll.qlInterestRateIndexValueDate(hiborindex,AK4599)</f>
        <v>49104</v>
      </c>
      <c r="AM4599" s="23">
        <f>_xll.qlIndexFixing(hiborindex,AK4599)</f>
        <v>1.079988856734306E-2</v>
      </c>
    </row>
    <row r="4600" spans="37:39" x14ac:dyDescent="0.25">
      <c r="AK4600" s="21">
        <f>_xll.qlCalendarAdvance(calendar,AK4599,"1D")</f>
        <v>49103</v>
      </c>
      <c r="AL4600" s="21">
        <f>_xll.qlInterestRateIndexValueDate(hiborindex,AK4600)</f>
        <v>49107</v>
      </c>
      <c r="AM4600" s="23">
        <f>_xll.qlIndexFixing(hiborindex,AK4600)</f>
        <v>1.0787023820993055E-2</v>
      </c>
    </row>
    <row r="4601" spans="37:39" x14ac:dyDescent="0.25">
      <c r="AK4601" s="21">
        <f>_xll.qlCalendarAdvance(calendar,AK4600,"1D")</f>
        <v>49104</v>
      </c>
      <c r="AL4601" s="21">
        <f>_xll.qlInterestRateIndexValueDate(hiborindex,AK4601)</f>
        <v>49108</v>
      </c>
      <c r="AM4601" s="23">
        <f>_xll.qlIndexFixing(hiborindex,AK4601)</f>
        <v>1.0782740945547722E-2</v>
      </c>
    </row>
    <row r="4602" spans="37:39" x14ac:dyDescent="0.25">
      <c r="AK4602" s="21">
        <f>_xll.qlCalendarAdvance(calendar,AK4601,"1D")</f>
        <v>49107</v>
      </c>
      <c r="AL4602" s="21">
        <f>_xll.qlInterestRateIndexValueDate(hiborindex,AK4602)</f>
        <v>49109</v>
      </c>
      <c r="AM4602" s="23">
        <f>_xll.qlIndexFixing(hiborindex,AK4602)</f>
        <v>1.0778456502042611E-2</v>
      </c>
    </row>
    <row r="4603" spans="37:39" x14ac:dyDescent="0.25">
      <c r="AK4603" s="21">
        <f>_xll.qlCalendarAdvance(calendar,AK4602,"1D")</f>
        <v>49108</v>
      </c>
      <c r="AL4603" s="21">
        <f>_xll.qlInterestRateIndexValueDate(hiborindex,AK4603)</f>
        <v>49110</v>
      </c>
      <c r="AM4603" s="23">
        <f>_xll.qlIndexFixing(hiborindex,AK4603)</f>
        <v>1.07741704904882E-2</v>
      </c>
    </row>
    <row r="4604" spans="37:39" x14ac:dyDescent="0.25">
      <c r="AK4604" s="21">
        <f>_xll.qlCalendarAdvance(calendar,AK4603,"1D")</f>
        <v>49109</v>
      </c>
      <c r="AL4604" s="21">
        <f>_xll.qlInterestRateIndexValueDate(hiborindex,AK4604)</f>
        <v>49111</v>
      </c>
      <c r="AM4604" s="23">
        <f>_xll.qlIndexFixing(hiborindex,AK4604)</f>
        <v>1.0770297059745471E-2</v>
      </c>
    </row>
    <row r="4605" spans="37:39" x14ac:dyDescent="0.25">
      <c r="AK4605" s="21">
        <f>_xll.qlCalendarAdvance(calendar,AK4604,"1D")</f>
        <v>49110</v>
      </c>
      <c r="AL4605" s="21">
        <f>_xll.qlInterestRateIndexValueDate(hiborindex,AK4605)</f>
        <v>49114</v>
      </c>
      <c r="AM4605" s="23">
        <f>_xll.qlIndexFixing(hiborindex,AK4605)</f>
        <v>1.0757010763982456E-2</v>
      </c>
    </row>
    <row r="4606" spans="37:39" x14ac:dyDescent="0.25">
      <c r="AK4606" s="21">
        <f>_xll.qlCalendarAdvance(calendar,AK4605,"1D")</f>
        <v>49111</v>
      </c>
      <c r="AL4606" s="21">
        <f>_xll.qlInterestRateIndexValueDate(hiborindex,AK4606)</f>
        <v>49115</v>
      </c>
      <c r="AM4606" s="23">
        <f>_xll.qlIndexFixing(hiborindex,AK4606)</f>
        <v>1.0752716912334882E-2</v>
      </c>
    </row>
    <row r="4607" spans="37:39" x14ac:dyDescent="0.25">
      <c r="AK4607" s="21">
        <f>_xll.qlCalendarAdvance(calendar,AK4606,"1D")</f>
        <v>49114</v>
      </c>
      <c r="AL4607" s="21">
        <f>_xll.qlInterestRateIndexValueDate(hiborindex,AK4607)</f>
        <v>49116</v>
      </c>
      <c r="AM4607" s="23">
        <f>_xll.qlIndexFixing(hiborindex,AK4607)</f>
        <v>1.0748421492699601E-2</v>
      </c>
    </row>
    <row r="4608" spans="37:39" x14ac:dyDescent="0.25">
      <c r="AK4608" s="21">
        <f>_xll.qlCalendarAdvance(calendar,AK4607,"1D")</f>
        <v>49115</v>
      </c>
      <c r="AL4608" s="21">
        <f>_xll.qlInterestRateIndexValueDate(hiborindex,AK4608)</f>
        <v>49117</v>
      </c>
      <c r="AM4608" s="23">
        <f>_xll.qlIndexFixing(hiborindex,AK4608)</f>
        <v>1.0744124505086659E-2</v>
      </c>
    </row>
    <row r="4609" spans="37:39" x14ac:dyDescent="0.25">
      <c r="AK4609" s="21">
        <f>_xll.qlCalendarAdvance(calendar,AK4608,"1D")</f>
        <v>49116</v>
      </c>
      <c r="AL4609" s="21">
        <f>_xll.qlInterestRateIndexValueDate(hiborindex,AK4609)</f>
        <v>49118</v>
      </c>
      <c r="AM4609" s="23">
        <f>_xll.qlIndexFixing(hiborindex,AK4609)</f>
        <v>1.0741441593600385E-2</v>
      </c>
    </row>
    <row r="4610" spans="37:39" x14ac:dyDescent="0.25">
      <c r="AK4610" s="21">
        <f>_xll.qlCalendarAdvance(calendar,AK4609,"1D")</f>
        <v>49117</v>
      </c>
      <c r="AL4610" s="21">
        <f>_xll.qlInterestRateIndexValueDate(hiborindex,AK4610)</f>
        <v>49121</v>
      </c>
      <c r="AM4610" s="23">
        <f>_xll.qlIndexFixing(hiborindex,AK4610)</f>
        <v>1.0727405629880398E-2</v>
      </c>
    </row>
    <row r="4611" spans="37:39" x14ac:dyDescent="0.25">
      <c r="AK4611" s="21">
        <f>_xll.qlCalendarAdvance(calendar,AK4610,"1D")</f>
        <v>49118</v>
      </c>
      <c r="AL4611" s="21">
        <f>_xll.qlInterestRateIndexValueDate(hiborindex,AK4611)</f>
        <v>49122</v>
      </c>
      <c r="AM4611" s="23">
        <f>_xll.qlIndexFixing(hiborindex,AK4611)</f>
        <v>1.0722616047718288E-2</v>
      </c>
    </row>
    <row r="4612" spans="37:39" x14ac:dyDescent="0.25">
      <c r="AK4612" s="21">
        <f>_xll.qlCalendarAdvance(calendar,AK4611,"1D")</f>
        <v>49121</v>
      </c>
      <c r="AL4612" s="21">
        <f>_xll.qlInterestRateIndexValueDate(hiborindex,AK4612)</f>
        <v>49123</v>
      </c>
      <c r="AM4612" s="23">
        <f>_xll.qlIndexFixing(hiborindex,AK4612)</f>
        <v>1.0718309652455606E-2</v>
      </c>
    </row>
    <row r="4613" spans="37:39" x14ac:dyDescent="0.25">
      <c r="AK4613" s="21">
        <f>_xll.qlCalendarAdvance(calendar,AK4612,"1D")</f>
        <v>49122</v>
      </c>
      <c r="AL4613" s="21">
        <f>_xll.qlInterestRateIndexValueDate(hiborindex,AK4613)</f>
        <v>49124</v>
      </c>
      <c r="AM4613" s="23">
        <f>_xll.qlIndexFixing(hiborindex,AK4613)</f>
        <v>1.0714001689286899E-2</v>
      </c>
    </row>
    <row r="4614" spans="37:39" x14ac:dyDescent="0.25">
      <c r="AK4614" s="21">
        <f>_xll.qlCalendarAdvance(calendar,AK4613,"1D")</f>
        <v>49123</v>
      </c>
      <c r="AL4614" s="21">
        <f>_xll.qlInterestRateIndexValueDate(hiborindex,AK4614)</f>
        <v>49125</v>
      </c>
      <c r="AM4614" s="23">
        <f>_xll.qlIndexFixing(hiborindex,AK4614)</f>
        <v>1.0709095271158464E-2</v>
      </c>
    </row>
    <row r="4615" spans="37:39" x14ac:dyDescent="0.25">
      <c r="AK4615" s="21">
        <f>_xll.qlCalendarAdvance(calendar,AK4614,"1D")</f>
        <v>49124</v>
      </c>
      <c r="AL4615" s="21">
        <f>_xll.qlInterestRateIndexValueDate(hiborindex,AK4615)</f>
        <v>49128</v>
      </c>
      <c r="AM4615" s="23">
        <f>_xll.qlIndexFixing(hiborindex,AK4615)</f>
        <v>1.0712916482122288E-2</v>
      </c>
    </row>
    <row r="4616" spans="37:39" x14ac:dyDescent="0.25">
      <c r="AK4616" s="21">
        <f>_xll.qlCalendarAdvance(calendar,AK4615,"1D")</f>
        <v>49125</v>
      </c>
      <c r="AL4616" s="21">
        <f>_xll.qlInterestRateIndexValueDate(hiborindex,AK4616)</f>
        <v>49129</v>
      </c>
      <c r="AM4616" s="23">
        <f>_xll.qlIndexFixing(hiborindex,AK4616)</f>
        <v>1.0713792285438244E-2</v>
      </c>
    </row>
    <row r="4617" spans="37:39" x14ac:dyDescent="0.25">
      <c r="AK4617" s="21">
        <f>_xll.qlCalendarAdvance(calendar,AK4616,"1D")</f>
        <v>49128</v>
      </c>
      <c r="AL4617" s="21">
        <f>_xll.qlInterestRateIndexValueDate(hiborindex,AK4617)</f>
        <v>49130</v>
      </c>
      <c r="AM4617" s="23">
        <f>_xll.qlIndexFixing(hiborindex,AK4617)</f>
        <v>1.0714668089143889E-2</v>
      </c>
    </row>
    <row r="4618" spans="37:39" x14ac:dyDescent="0.25">
      <c r="AK4618" s="21">
        <f>_xll.qlCalendarAdvance(calendar,AK4617,"1D")</f>
        <v>49129</v>
      </c>
      <c r="AL4618" s="21">
        <f>_xll.qlInterestRateIndexValueDate(hiborindex,AK4618)</f>
        <v>49131</v>
      </c>
      <c r="AM4618" s="23">
        <f>_xll.qlIndexFixing(hiborindex,AK4618)</f>
        <v>1.0716738127780193E-2</v>
      </c>
    </row>
    <row r="4619" spans="37:39" x14ac:dyDescent="0.25">
      <c r="AK4619" s="21">
        <f>_xll.qlCalendarAdvance(calendar,AK4618,"1D")</f>
        <v>49130</v>
      </c>
      <c r="AL4619" s="21">
        <f>_xll.qlInterestRateIndexValueDate(hiborindex,AK4619)</f>
        <v>49132</v>
      </c>
      <c r="AM4619" s="23">
        <f>_xll.qlIndexFixing(hiborindex,AK4619)</f>
        <v>1.0717016826565251E-2</v>
      </c>
    </row>
    <row r="4620" spans="37:39" x14ac:dyDescent="0.25">
      <c r="AK4620" s="21">
        <f>_xll.qlCalendarAdvance(calendar,AK4619,"1D")</f>
        <v>49131</v>
      </c>
      <c r="AL4620" s="21">
        <f>_xll.qlInterestRateIndexValueDate(hiborindex,AK4620)</f>
        <v>49135</v>
      </c>
      <c r="AM4620" s="23">
        <f>_xll.qlIndexFixing(hiborindex,AK4620)</f>
        <v>1.0719047113520912E-2</v>
      </c>
    </row>
    <row r="4621" spans="37:39" x14ac:dyDescent="0.25">
      <c r="AK4621" s="21">
        <f>_xll.qlCalendarAdvance(calendar,AK4620,"1D")</f>
        <v>49132</v>
      </c>
      <c r="AL4621" s="21">
        <f>_xll.qlInterestRateIndexValueDate(hiborindex,AK4621)</f>
        <v>49136</v>
      </c>
      <c r="AM4621" s="23">
        <f>_xll.qlIndexFixing(hiborindex,AK4621)</f>
        <v>1.0719922919565989E-2</v>
      </c>
    </row>
    <row r="4622" spans="37:39" x14ac:dyDescent="0.25">
      <c r="AK4622" s="21">
        <f>_xll.qlCalendarAdvance(calendar,AK4621,"1D")</f>
        <v>49135</v>
      </c>
      <c r="AL4622" s="21">
        <f>_xll.qlInterestRateIndexValueDate(hiborindex,AK4622)</f>
        <v>49137</v>
      </c>
      <c r="AM4622" s="23">
        <f>_xll.qlIndexFixing(hiborindex,AK4622)</f>
        <v>1.072079872600119E-2</v>
      </c>
    </row>
    <row r="4623" spans="37:39" x14ac:dyDescent="0.25">
      <c r="AK4623" s="21">
        <f>_xll.qlCalendarAdvance(calendar,AK4622,"1D")</f>
        <v>49136</v>
      </c>
      <c r="AL4623" s="21">
        <f>_xll.qlInterestRateIndexValueDate(hiborindex,AK4623)</f>
        <v>49138</v>
      </c>
      <c r="AM4623" s="23">
        <f>_xll.qlIndexFixing(hiborindex,AK4623)</f>
        <v>1.072286913420618E-2</v>
      </c>
    </row>
    <row r="4624" spans="37:39" x14ac:dyDescent="0.25">
      <c r="AK4624" s="21">
        <f>_xll.qlCalendarAdvance(calendar,AK4623,"1D")</f>
        <v>49137</v>
      </c>
      <c r="AL4624" s="21">
        <f>_xll.qlInterestRateIndexValueDate(hiborindex,AK4624)</f>
        <v>49139</v>
      </c>
      <c r="AM4624" s="23">
        <f>_xll.qlIndexFixing(hiborindex,AK4624)</f>
        <v>1.0723147652305953E-2</v>
      </c>
    </row>
    <row r="4625" spans="37:39" x14ac:dyDescent="0.25">
      <c r="AK4625" s="21">
        <f>_xll.qlCalendarAdvance(calendar,AK4624,"1D")</f>
        <v>49138</v>
      </c>
      <c r="AL4625" s="21">
        <f>_xll.qlInterestRateIndexValueDate(hiborindex,AK4625)</f>
        <v>49142</v>
      </c>
      <c r="AM4625" s="23">
        <f>_xll.qlIndexFixing(hiborindex,AK4625)</f>
        <v>1.0725177764024688E-2</v>
      </c>
    </row>
    <row r="4626" spans="37:39" x14ac:dyDescent="0.25">
      <c r="AK4626" s="21">
        <f>_xll.qlCalendarAdvance(calendar,AK4625,"1D")</f>
        <v>49139</v>
      </c>
      <c r="AL4626" s="21">
        <f>_xll.qlInterestRateIndexValueDate(hiborindex,AK4626)</f>
        <v>49143</v>
      </c>
      <c r="AM4626" s="23">
        <f>_xll.qlIndexFixing(hiborindex,AK4626)</f>
        <v>1.0726053572798887E-2</v>
      </c>
    </row>
    <row r="4627" spans="37:39" x14ac:dyDescent="0.25">
      <c r="AK4627" s="21">
        <f>_xll.qlCalendarAdvance(calendar,AK4626,"1D")</f>
        <v>49142</v>
      </c>
      <c r="AL4627" s="21">
        <f>_xll.qlInterestRateIndexValueDate(hiborindex,AK4627)</f>
        <v>49144</v>
      </c>
      <c r="AM4627" s="23">
        <f>_xll.qlIndexFixing(hiborindex,AK4627)</f>
        <v>1.0726929381963644E-2</v>
      </c>
    </row>
    <row r="4628" spans="37:39" x14ac:dyDescent="0.25">
      <c r="AK4628" s="21">
        <f>_xll.qlCalendarAdvance(calendar,AK4627,"1D")</f>
        <v>49143</v>
      </c>
      <c r="AL4628" s="21">
        <f>_xll.qlInterestRateIndexValueDate(hiborindex,AK4628)</f>
        <v>49145</v>
      </c>
      <c r="AM4628" s="23">
        <f>_xll.qlIndexFixing(hiborindex,AK4628)</f>
        <v>1.0729000159947039E-2</v>
      </c>
    </row>
    <row r="4629" spans="37:39" x14ac:dyDescent="0.25">
      <c r="AK4629" s="21">
        <f>_xll.qlCalendarAdvance(calendar,AK4628,"1D")</f>
        <v>49144</v>
      </c>
      <c r="AL4629" s="21">
        <f>_xll.qlInterestRateIndexValueDate(hiborindex,AK4629)</f>
        <v>49146</v>
      </c>
      <c r="AM4629" s="23">
        <f>_xll.qlIndexFixing(hiborindex,AK4629)</f>
        <v>1.072927849725637E-2</v>
      </c>
    </row>
    <row r="4630" spans="37:39" x14ac:dyDescent="0.25">
      <c r="AK4630" s="21">
        <f>_xll.qlCalendarAdvance(calendar,AK4629,"1D")</f>
        <v>49145</v>
      </c>
      <c r="AL4630" s="21">
        <f>_xll.qlInterestRateIndexValueDate(hiborindex,AK4630)</f>
        <v>49149</v>
      </c>
      <c r="AM4630" s="23">
        <f>_xll.qlIndexFixing(hiborindex,AK4630)</f>
        <v>1.0731308433634052E-2</v>
      </c>
    </row>
    <row r="4631" spans="37:39" x14ac:dyDescent="0.25">
      <c r="AK4631" s="21">
        <f>_xll.qlCalendarAdvance(calendar,AK4630,"1D")</f>
        <v>49146</v>
      </c>
      <c r="AL4631" s="21">
        <f>_xll.qlInterestRateIndexValueDate(hiborindex,AK4631)</f>
        <v>49150</v>
      </c>
      <c r="AM4631" s="23">
        <f>_xll.qlIndexFixing(hiborindex,AK4631)</f>
        <v>1.0732184245137806E-2</v>
      </c>
    </row>
    <row r="4632" spans="37:39" x14ac:dyDescent="0.25">
      <c r="AK4632" s="21">
        <f>_xll.qlCalendarAdvance(calendar,AK4631,"1D")</f>
        <v>49149</v>
      </c>
      <c r="AL4632" s="21">
        <f>_xll.qlInterestRateIndexValueDate(hiborindex,AK4632)</f>
        <v>49151</v>
      </c>
      <c r="AM4632" s="23">
        <f>_xll.qlIndexFixing(hiborindex,AK4632)</f>
        <v>1.0733060057031684E-2</v>
      </c>
    </row>
    <row r="4633" spans="37:39" x14ac:dyDescent="0.25">
      <c r="AK4633" s="21">
        <f>_xll.qlCalendarAdvance(calendar,AK4632,"1D")</f>
        <v>49150</v>
      </c>
      <c r="AL4633" s="21">
        <f>_xll.qlInterestRateIndexValueDate(hiborindex,AK4633)</f>
        <v>49152</v>
      </c>
      <c r="AM4633" s="23">
        <f>_xll.qlIndexFixing(hiborindex,AK4633)</f>
        <v>1.0735131205002342E-2</v>
      </c>
    </row>
    <row r="4634" spans="37:39" x14ac:dyDescent="0.25">
      <c r="AK4634" s="21">
        <f>_xll.qlCalendarAdvance(calendar,AK4633,"1D")</f>
        <v>49151</v>
      </c>
      <c r="AL4634" s="21">
        <f>_xll.qlInterestRateIndexValueDate(hiborindex,AK4634)</f>
        <v>49153</v>
      </c>
      <c r="AM4634" s="23">
        <f>_xll.qlIndexFixing(hiborindex,AK4634)</f>
        <v>1.07354093614165E-2</v>
      </c>
    </row>
    <row r="4635" spans="37:39" x14ac:dyDescent="0.25">
      <c r="AK4635" s="21">
        <f>_xll.qlCalendarAdvance(calendar,AK4634,"1D")</f>
        <v>49152</v>
      </c>
      <c r="AL4635" s="21">
        <f>_xll.qlInterestRateIndexValueDate(hiborindex,AK4635)</f>
        <v>49156</v>
      </c>
      <c r="AM4635" s="23">
        <f>_xll.qlIndexFixing(hiborindex,AK4635)</f>
        <v>1.0737439122348568E-2</v>
      </c>
    </row>
    <row r="4636" spans="37:39" x14ac:dyDescent="0.25">
      <c r="AK4636" s="21">
        <f>_xll.qlCalendarAdvance(calendar,AK4635,"1D")</f>
        <v>49153</v>
      </c>
      <c r="AL4636" s="21">
        <f>_xll.qlInterestRateIndexValueDate(hiborindex,AK4636)</f>
        <v>49157</v>
      </c>
      <c r="AM4636" s="23">
        <f>_xll.qlIndexFixing(hiborindex,AK4636)</f>
        <v>1.0738314936581879E-2</v>
      </c>
    </row>
    <row r="4637" spans="37:39" x14ac:dyDescent="0.25">
      <c r="AK4637" s="21">
        <f>_xll.qlCalendarAdvance(calendar,AK4636,"1D")</f>
        <v>49156</v>
      </c>
      <c r="AL4637" s="21">
        <f>_xll.qlInterestRateIndexValueDate(hiborindex,AK4637)</f>
        <v>49158</v>
      </c>
      <c r="AM4637" s="23">
        <f>_xll.qlIndexFixing(hiborindex,AK4637)</f>
        <v>1.0739190751204877E-2</v>
      </c>
    </row>
    <row r="4638" spans="37:39" x14ac:dyDescent="0.25">
      <c r="AK4638" s="21">
        <f>_xll.qlCalendarAdvance(calendar,AK4637,"1D")</f>
        <v>49157</v>
      </c>
      <c r="AL4638" s="21">
        <f>_xll.qlInterestRateIndexValueDate(hiborindex,AK4638)</f>
        <v>49159</v>
      </c>
      <c r="AM4638" s="23">
        <f>_xll.qlIndexFixing(hiborindex,AK4638)</f>
        <v>1.0741262269371228E-2</v>
      </c>
    </row>
    <row r="4639" spans="37:39" x14ac:dyDescent="0.25">
      <c r="AK4639" s="21">
        <f>_xll.qlCalendarAdvance(calendar,AK4638,"1D")</f>
        <v>49158</v>
      </c>
      <c r="AL4639" s="21">
        <f>_xll.qlInterestRateIndexValueDate(hiborindex,AK4639)</f>
        <v>49160</v>
      </c>
      <c r="AM4639" s="23">
        <f>_xll.qlIndexFixing(hiborindex,AK4639)</f>
        <v>1.0741540244786778E-2</v>
      </c>
    </row>
    <row r="4640" spans="37:39" x14ac:dyDescent="0.25">
      <c r="AK4640" s="21">
        <f>_xll.qlCalendarAdvance(calendar,AK4639,"1D")</f>
        <v>49159</v>
      </c>
      <c r="AL4640" s="21">
        <f>_xll.qlInterestRateIndexValueDate(hiborindex,AK4640)</f>
        <v>49163</v>
      </c>
      <c r="AM4640" s="23">
        <f>_xll.qlIndexFixing(hiborindex,AK4640)</f>
        <v>1.0743569830169105E-2</v>
      </c>
    </row>
    <row r="4641" spans="37:39" x14ac:dyDescent="0.25">
      <c r="AK4641" s="21">
        <f>_xll.qlCalendarAdvance(calendar,AK4640,"1D")</f>
        <v>49160</v>
      </c>
      <c r="AL4641" s="21">
        <f>_xll.qlInterestRateIndexValueDate(hiborindex,AK4641)</f>
        <v>49164</v>
      </c>
      <c r="AM4641" s="23">
        <f>_xll.qlIndexFixing(hiborindex,AK4641)</f>
        <v>1.0744445647131102E-2</v>
      </c>
    </row>
    <row r="4642" spans="37:39" x14ac:dyDescent="0.25">
      <c r="AK4642" s="21">
        <f>_xll.qlCalendarAdvance(calendar,AK4641,"1D")</f>
        <v>49163</v>
      </c>
      <c r="AL4642" s="21">
        <f>_xll.qlInterestRateIndexValueDate(hiborindex,AK4642)</f>
        <v>49165</v>
      </c>
      <c r="AM4642" s="23">
        <f>_xll.qlIndexFixing(hiborindex,AK4642)</f>
        <v>1.0745321464483657E-2</v>
      </c>
    </row>
    <row r="4643" spans="37:39" x14ac:dyDescent="0.25">
      <c r="AK4643" s="21">
        <f>_xll.qlCalendarAdvance(calendar,AK4642,"1D")</f>
        <v>49164</v>
      </c>
      <c r="AL4643" s="21">
        <f>_xll.qlInterestRateIndexValueDate(hiborindex,AK4643)</f>
        <v>49166</v>
      </c>
      <c r="AM4643" s="23">
        <f>_xll.qlIndexFixing(hiborindex,AK4643)</f>
        <v>1.0747393353054555E-2</v>
      </c>
    </row>
    <row r="4644" spans="37:39" x14ac:dyDescent="0.25">
      <c r="AK4644" s="21">
        <f>_xll.qlCalendarAdvance(calendar,AK4643,"1D")</f>
        <v>49165</v>
      </c>
      <c r="AL4644" s="21">
        <f>_xll.qlInterestRateIndexValueDate(hiborindex,AK4644)</f>
        <v>49167</v>
      </c>
      <c r="AM4644" s="23">
        <f>_xll.qlIndexFixing(hiborindex,AK4644)</f>
        <v>1.0747671147366772E-2</v>
      </c>
    </row>
    <row r="4645" spans="37:39" x14ac:dyDescent="0.25">
      <c r="AK4645" s="21">
        <f>_xll.qlCalendarAdvance(calendar,AK4644,"1D")</f>
        <v>49166</v>
      </c>
      <c r="AL4645" s="21">
        <f>_xll.qlInterestRateIndexValueDate(hiborindex,AK4645)</f>
        <v>49170</v>
      </c>
      <c r="AM4645" s="23">
        <f>_xll.qlIndexFixing(hiborindex,AK4645)</f>
        <v>1.0749700557094793E-2</v>
      </c>
    </row>
    <row r="4646" spans="37:39" x14ac:dyDescent="0.25">
      <c r="AK4646" s="21">
        <f>_xll.qlCalendarAdvance(calendar,AK4645,"1D")</f>
        <v>49167</v>
      </c>
      <c r="AL4646" s="21">
        <f>_xll.qlInterestRateIndexValueDate(hiborindex,AK4646)</f>
        <v>49171</v>
      </c>
      <c r="AM4646" s="23">
        <f>_xll.qlIndexFixing(hiborindex,AK4646)</f>
        <v>1.0750576376786346E-2</v>
      </c>
    </row>
    <row r="4647" spans="37:39" x14ac:dyDescent="0.25">
      <c r="AK4647" s="21">
        <f>_xll.qlCalendarAdvance(calendar,AK4646,"1D")</f>
        <v>49170</v>
      </c>
      <c r="AL4647" s="21">
        <f>_xll.qlInterestRateIndexValueDate(hiborindex,AK4647)</f>
        <v>49172</v>
      </c>
      <c r="AM4647" s="23">
        <f>_xll.qlIndexFixing(hiborindex,AK4647)</f>
        <v>1.0751452196868457E-2</v>
      </c>
    </row>
    <row r="4648" spans="37:39" x14ac:dyDescent="0.25">
      <c r="AK4648" s="21">
        <f>_xll.qlCalendarAdvance(calendar,AK4647,"1D")</f>
        <v>49171</v>
      </c>
      <c r="AL4648" s="21">
        <f>_xll.qlInterestRateIndexValueDate(hiborindex,AK4648)</f>
        <v>49173</v>
      </c>
      <c r="AM4648" s="23">
        <f>_xll.qlIndexFixing(hiborindex,AK4648)</f>
        <v>1.0753524456052325E-2</v>
      </c>
    </row>
    <row r="4649" spans="37:39" x14ac:dyDescent="0.25">
      <c r="AK4649" s="21">
        <f>_xll.qlCalendarAdvance(calendar,AK4648,"1D")</f>
        <v>49172</v>
      </c>
      <c r="AL4649" s="21">
        <f>_xll.qlInterestRateIndexValueDate(hiborindex,AK4649)</f>
        <v>49174</v>
      </c>
      <c r="AM4649" s="23">
        <f>_xll.qlIndexFixing(hiborindex,AK4649)</f>
        <v>1.0753802069156481E-2</v>
      </c>
    </row>
    <row r="4650" spans="37:39" x14ac:dyDescent="0.25">
      <c r="AK4650" s="21">
        <f>_xll.qlCalendarAdvance(calendar,AK4649,"1D")</f>
        <v>49173</v>
      </c>
      <c r="AL4650" s="21">
        <f>_xll.qlInterestRateIndexValueDate(hiborindex,AK4650)</f>
        <v>49177</v>
      </c>
      <c r="AM4650" s="23">
        <f>_xll.qlIndexFixing(hiborindex,AK4650)</f>
        <v>1.075583130312607E-2</v>
      </c>
    </row>
    <row r="4651" spans="37:39" x14ac:dyDescent="0.25">
      <c r="AK4651" s="21">
        <f>_xll.qlCalendarAdvance(calendar,AK4650,"1D")</f>
        <v>49174</v>
      </c>
      <c r="AL4651" s="21">
        <f>_xll.qlInterestRateIndexValueDate(hiborindex,AK4651)</f>
        <v>49178</v>
      </c>
      <c r="AM4651" s="23">
        <f>_xll.qlIndexFixing(hiborindex,AK4651)</f>
        <v>1.0756707125547178E-2</v>
      </c>
    </row>
    <row r="4652" spans="37:39" x14ac:dyDescent="0.25">
      <c r="AK4652" s="21">
        <f>_xll.qlCalendarAdvance(calendar,AK4651,"1D")</f>
        <v>49177</v>
      </c>
      <c r="AL4652" s="21">
        <f>_xll.qlInterestRateIndexValueDate(hiborindex,AK4652)</f>
        <v>49179</v>
      </c>
      <c r="AM4652" s="23">
        <f>_xll.qlIndexFixing(hiborindex,AK4652)</f>
        <v>1.0757582948358409E-2</v>
      </c>
    </row>
    <row r="4653" spans="37:39" x14ac:dyDescent="0.25">
      <c r="AK4653" s="21">
        <f>_xll.qlCalendarAdvance(calendar,AK4652,"1D")</f>
        <v>49178</v>
      </c>
      <c r="AL4653" s="21">
        <f>_xll.qlInterestRateIndexValueDate(hiborindex,AK4653)</f>
        <v>49180</v>
      </c>
      <c r="AM4653" s="23">
        <f>_xll.qlIndexFixing(hiborindex,AK4653)</f>
        <v>1.0759655578364969E-2</v>
      </c>
    </row>
    <row r="4654" spans="37:39" x14ac:dyDescent="0.25">
      <c r="AK4654" s="21">
        <f>_xll.qlCalendarAdvance(calendar,AK4653,"1D")</f>
        <v>49179</v>
      </c>
      <c r="AL4654" s="21">
        <f>_xll.qlInterestRateIndexValueDate(hiborindex,AK4654)</f>
        <v>49181</v>
      </c>
      <c r="AM4654" s="23">
        <f>_xll.qlIndexFixing(hiborindex,AK4654)</f>
        <v>1.0759933010157199E-2</v>
      </c>
    </row>
    <row r="4655" spans="37:39" x14ac:dyDescent="0.25">
      <c r="AK4655" s="21">
        <f>_xll.qlCalendarAdvance(calendar,AK4654,"1D")</f>
        <v>49180</v>
      </c>
      <c r="AL4655" s="21">
        <f>_xll.qlInterestRateIndexValueDate(hiborindex,AK4655)</f>
        <v>49184</v>
      </c>
      <c r="AM4655" s="23">
        <f>_xll.qlIndexFixing(hiborindex,AK4655)</f>
        <v>1.0761962068263365E-2</v>
      </c>
    </row>
    <row r="4656" spans="37:39" x14ac:dyDescent="0.25">
      <c r="AK4656" s="21">
        <f>_xll.qlCalendarAdvance(calendar,AK4655,"1D")</f>
        <v>49181</v>
      </c>
      <c r="AL4656" s="21">
        <f>_xll.qlInterestRateIndexValueDate(hiborindex,AK4656)</f>
        <v>49185</v>
      </c>
      <c r="AM4656" s="23">
        <f>_xll.qlIndexFixing(hiborindex,AK4656)</f>
        <v>1.0762239402592185E-2</v>
      </c>
    </row>
    <row r="4657" spans="37:39" x14ac:dyDescent="0.25">
      <c r="AK4657" s="21">
        <f>_xll.qlCalendarAdvance(calendar,AK4656,"1D")</f>
        <v>49184</v>
      </c>
      <c r="AL4657" s="21">
        <f>_xll.qlInterestRateIndexValueDate(hiborindex,AK4657)</f>
        <v>49186</v>
      </c>
      <c r="AM4657" s="23">
        <f>_xll.qlIndexFixing(hiborindex,AK4657)</f>
        <v>1.0762516714100723E-2</v>
      </c>
    </row>
    <row r="4658" spans="37:39" x14ac:dyDescent="0.25">
      <c r="AK4658" s="21">
        <f>_xll.qlCalendarAdvance(calendar,AK4657,"1D")</f>
        <v>49185</v>
      </c>
      <c r="AL4658" s="21">
        <f>_xll.qlInterestRateIndexValueDate(hiborindex,AK4658)</f>
        <v>49187</v>
      </c>
      <c r="AM4658" s="23">
        <f>_xll.qlIndexFixing(hiborindex,AK4658)</f>
        <v>1.0762794002787459E-2</v>
      </c>
    </row>
    <row r="4659" spans="37:39" x14ac:dyDescent="0.25">
      <c r="AK4659" s="21">
        <f>_xll.qlCalendarAdvance(calendar,AK4658,"1D")</f>
        <v>49186</v>
      </c>
      <c r="AL4659" s="21">
        <f>_xll.qlInterestRateIndexValueDate(hiborindex,AK4659)</f>
        <v>49188</v>
      </c>
      <c r="AM4659" s="23">
        <f>_xll.qlIndexFixing(hiborindex,AK4659)</f>
        <v>1.0763669750182501E-2</v>
      </c>
    </row>
    <row r="4660" spans="37:39" x14ac:dyDescent="0.25">
      <c r="AK4660" s="21">
        <f>_xll.qlCalendarAdvance(calendar,AK4659,"1D")</f>
        <v>49187</v>
      </c>
      <c r="AL4660" s="21">
        <f>_xll.qlInterestRateIndexValueDate(hiborindex,AK4660)</f>
        <v>49191</v>
      </c>
      <c r="AM4660" s="23">
        <f>_xll.qlIndexFixing(hiborindex,AK4660)</f>
        <v>1.0766895584530934E-2</v>
      </c>
    </row>
    <row r="4661" spans="37:39" x14ac:dyDescent="0.25">
      <c r="AK4661" s="21">
        <f>_xll.qlCalendarAdvance(calendar,AK4660,"1D")</f>
        <v>49188</v>
      </c>
      <c r="AL4661" s="21">
        <f>_xll.qlInterestRateIndexValueDate(hiborindex,AK4661)</f>
        <v>49192</v>
      </c>
      <c r="AM4661" s="23">
        <f>_xll.qlIndexFixing(hiborindex,AK4661)</f>
        <v>1.0767172743596957E-2</v>
      </c>
    </row>
    <row r="4662" spans="37:39" x14ac:dyDescent="0.25">
      <c r="AK4662" s="21">
        <f>_xll.qlCalendarAdvance(calendar,AK4661,"1D")</f>
        <v>49191</v>
      </c>
      <c r="AL4662" s="21">
        <f>_xll.qlInterestRateIndexValueDate(hiborindex,AK4662)</f>
        <v>49193</v>
      </c>
      <c r="AM4662" s="23">
        <f>_xll.qlIndexFixing(hiborindex,AK4662)</f>
        <v>1.0768048492909583E-2</v>
      </c>
    </row>
    <row r="4663" spans="37:39" x14ac:dyDescent="0.25">
      <c r="AK4663" s="21">
        <f>_xll.qlCalendarAdvance(calendar,AK4662,"1D")</f>
        <v>49192</v>
      </c>
      <c r="AL4663" s="21">
        <f>_xll.qlInterestRateIndexValueDate(hiborindex,AK4663)</f>
        <v>49194</v>
      </c>
      <c r="AM4663" s="23">
        <f>_xll.qlIndexFixing(hiborindex,AK4663)</f>
        <v>1.0768924242605548E-2</v>
      </c>
    </row>
    <row r="4664" spans="37:39" x14ac:dyDescent="0.25">
      <c r="AK4664" s="21">
        <f>_xll.qlCalendarAdvance(calendar,AK4663,"1D")</f>
        <v>49193</v>
      </c>
      <c r="AL4664" s="21">
        <f>_xll.qlInterestRateIndexValueDate(hiborindex,AK4664)</f>
        <v>49195</v>
      </c>
      <c r="AM4664" s="23">
        <f>_xll.qlIndexFixing(hiborindex,AK4664)</f>
        <v>1.0769799992684853E-2</v>
      </c>
    </row>
    <row r="4665" spans="37:39" x14ac:dyDescent="0.25">
      <c r="AK4665" s="21">
        <f>_xll.qlCalendarAdvance(calendar,AK4664,"1D")</f>
        <v>49194</v>
      </c>
      <c r="AL4665" s="21">
        <f>_xll.qlInterestRateIndexValueDate(hiborindex,AK4665)</f>
        <v>49198</v>
      </c>
      <c r="AM4665" s="23">
        <f>_xll.qlIndexFixing(hiborindex,AK4665)</f>
        <v>1.0773026019331174E-2</v>
      </c>
    </row>
    <row r="4666" spans="37:39" x14ac:dyDescent="0.25">
      <c r="AK4666" s="21">
        <f>_xll.qlCalendarAdvance(calendar,AK4665,"1D")</f>
        <v>49195</v>
      </c>
      <c r="AL4666" s="21">
        <f>_xll.qlInterestRateIndexValueDate(hiborindex,AK4666)</f>
        <v>49199</v>
      </c>
      <c r="AM4666" s="23">
        <f>_xll.qlIndexFixing(hiborindex,AK4666)</f>
        <v>1.0773302996838123E-2</v>
      </c>
    </row>
    <row r="4667" spans="37:39" x14ac:dyDescent="0.25">
      <c r="AK4667" s="21">
        <f>_xll.qlCalendarAdvance(calendar,AK4666,"1D")</f>
        <v>49198</v>
      </c>
      <c r="AL4667" s="21">
        <f>_xll.qlInterestRateIndexValueDate(hiborindex,AK4667)</f>
        <v>49200</v>
      </c>
      <c r="AM4667" s="23">
        <f>_xll.qlIndexFixing(hiborindex,AK4667)</f>
        <v>1.077417874883501E-2</v>
      </c>
    </row>
    <row r="4668" spans="37:39" x14ac:dyDescent="0.25">
      <c r="AK4668" s="21">
        <f>_xll.qlCalendarAdvance(calendar,AK4667,"1D")</f>
        <v>49199</v>
      </c>
      <c r="AL4668" s="21">
        <f>_xll.qlInterestRateIndexValueDate(hiborindex,AK4668)</f>
        <v>49201</v>
      </c>
      <c r="AM4668" s="23">
        <f>_xll.qlIndexFixing(hiborindex,AK4668)</f>
        <v>1.077505450121612E-2</v>
      </c>
    </row>
    <row r="4669" spans="37:39" x14ac:dyDescent="0.25">
      <c r="AK4669" s="21">
        <f>_xll.qlCalendarAdvance(calendar,AK4668,"1D")</f>
        <v>49200</v>
      </c>
      <c r="AL4669" s="21">
        <f>_xll.qlInterestRateIndexValueDate(hiborindex,AK4669)</f>
        <v>49202</v>
      </c>
      <c r="AM4669" s="23">
        <f>_xll.qlIndexFixing(hiborindex,AK4669)</f>
        <v>1.0775930253980128E-2</v>
      </c>
    </row>
    <row r="4670" spans="37:39" x14ac:dyDescent="0.25">
      <c r="AK4670" s="21">
        <f>_xll.qlCalendarAdvance(calendar,AK4669,"1D")</f>
        <v>49201</v>
      </c>
      <c r="AL4670" s="21">
        <f>_xll.qlInterestRateIndexValueDate(hiborindex,AK4670)</f>
        <v>49205</v>
      </c>
      <c r="AM4670" s="23">
        <f>_xll.qlIndexFixing(hiborindex,AK4670)</f>
        <v>1.0779156473028385E-2</v>
      </c>
    </row>
    <row r="4671" spans="37:39" x14ac:dyDescent="0.25">
      <c r="AK4671" s="21">
        <f>_xll.qlCalendarAdvance(calendar,AK4670,"1D")</f>
        <v>49202</v>
      </c>
      <c r="AL4671" s="21">
        <f>_xll.qlInterestRateIndexValueDate(hiborindex,AK4671)</f>
        <v>49206</v>
      </c>
      <c r="AM4671" s="23">
        <f>_xll.qlIndexFixing(hiborindex,AK4671)</f>
        <v>1.0779433268872211E-2</v>
      </c>
    </row>
    <row r="4672" spans="37:39" x14ac:dyDescent="0.25">
      <c r="AK4672" s="21">
        <f>_xll.qlCalendarAdvance(calendar,AK4671,"1D")</f>
        <v>49205</v>
      </c>
      <c r="AL4672" s="21">
        <f>_xll.qlInterestRateIndexValueDate(hiborindex,AK4672)</f>
        <v>49207</v>
      </c>
      <c r="AM4672" s="23">
        <f>_xll.qlIndexFixing(hiborindex,AK4672)</f>
        <v>1.0780309023554242E-2</v>
      </c>
    </row>
    <row r="4673" spans="37:39" x14ac:dyDescent="0.25">
      <c r="AK4673" s="21">
        <f>_xll.qlCalendarAdvance(calendar,AK4672,"1D")</f>
        <v>49206</v>
      </c>
      <c r="AL4673" s="21">
        <f>_xll.qlInterestRateIndexValueDate(hiborindex,AK4673)</f>
        <v>49208</v>
      </c>
      <c r="AM4673" s="23">
        <f>_xll.qlIndexFixing(hiborindex,AK4673)</f>
        <v>1.0781184778619172E-2</v>
      </c>
    </row>
    <row r="4674" spans="37:39" x14ac:dyDescent="0.25">
      <c r="AK4674" s="21">
        <f>_xll.qlCalendarAdvance(calendar,AK4673,"1D")</f>
        <v>49207</v>
      </c>
      <c r="AL4674" s="21">
        <f>_xll.qlInterestRateIndexValueDate(hiborindex,AK4674)</f>
        <v>49209</v>
      </c>
      <c r="AM4674" s="23">
        <f>_xll.qlIndexFixing(hiborindex,AK4674)</f>
        <v>1.0782060534068326E-2</v>
      </c>
    </row>
    <row r="4675" spans="37:39" x14ac:dyDescent="0.25">
      <c r="AK4675" s="21">
        <f>_xll.qlCalendarAdvance(calendar,AK4674,"1D")</f>
        <v>49208</v>
      </c>
      <c r="AL4675" s="21">
        <f>_xll.qlInterestRateIndexValueDate(hiborindex,AK4675)</f>
        <v>49212</v>
      </c>
      <c r="AM4675" s="23">
        <f>_xll.qlIndexFixing(hiborindex,AK4675)</f>
        <v>1.0785886118006372E-2</v>
      </c>
    </row>
    <row r="4676" spans="37:39" x14ac:dyDescent="0.25">
      <c r="AK4676" s="21">
        <f>_xll.qlCalendarAdvance(calendar,AK4675,"1D")</f>
        <v>49209</v>
      </c>
      <c r="AL4676" s="21">
        <f>_xll.qlInterestRateIndexValueDate(hiborindex,AK4676)</f>
        <v>49213</v>
      </c>
      <c r="AM4676" s="23">
        <f>_xll.qlIndexFixing(hiborindex,AK4676)</f>
        <v>1.0786162728964679E-2</v>
      </c>
    </row>
    <row r="4677" spans="37:39" x14ac:dyDescent="0.25">
      <c r="AK4677" s="21">
        <f>_xll.qlCalendarAdvance(calendar,AK4676,"1D")</f>
        <v>49212</v>
      </c>
      <c r="AL4677" s="21">
        <f>_xll.qlInterestRateIndexValueDate(hiborindex,AK4677)</f>
        <v>49214</v>
      </c>
      <c r="AM4677" s="23">
        <f>_xll.qlIndexFixing(hiborindex,AK4677)</f>
        <v>1.0786439317065072E-2</v>
      </c>
    </row>
    <row r="4678" spans="37:39" x14ac:dyDescent="0.25">
      <c r="AK4678" s="21">
        <f>_xll.qlCalendarAdvance(calendar,AK4677,"1D")</f>
        <v>49213</v>
      </c>
      <c r="AL4678" s="21">
        <f>_xll.qlInterestRateIndexValueDate(hiborindex,AK4678)</f>
        <v>49215</v>
      </c>
      <c r="AM4678" s="23">
        <f>_xll.qlIndexFixing(hiborindex,AK4678)</f>
        <v>1.0787315074815148E-2</v>
      </c>
    </row>
    <row r="4679" spans="37:39" x14ac:dyDescent="0.25">
      <c r="AK4679" s="21">
        <f>_xll.qlCalendarAdvance(calendar,AK4678,"1D")</f>
        <v>49214</v>
      </c>
      <c r="AL4679" s="21">
        <f>_xll.qlInterestRateIndexValueDate(hiborindex,AK4679)</f>
        <v>49216</v>
      </c>
      <c r="AM4679" s="23">
        <f>_xll.qlIndexFixing(hiborindex,AK4679)</f>
        <v>1.0788790081304326E-2</v>
      </c>
    </row>
    <row r="4680" spans="37:39" x14ac:dyDescent="0.25">
      <c r="AK4680" s="21">
        <f>_xll.qlCalendarAdvance(calendar,AK4679,"1D")</f>
        <v>49215</v>
      </c>
      <c r="AL4680" s="21">
        <f>_xll.qlInterestRateIndexValueDate(hiborindex,AK4680)</f>
        <v>49219</v>
      </c>
      <c r="AM4680" s="23">
        <f>_xll.qlIndexFixing(hiborindex,AK4680)</f>
        <v>1.0791417437114603E-2</v>
      </c>
    </row>
    <row r="4681" spans="37:39" x14ac:dyDescent="0.25">
      <c r="AK4681" s="21">
        <f>_xll.qlCalendarAdvance(calendar,AK4680,"1D")</f>
        <v>49216</v>
      </c>
      <c r="AL4681" s="21">
        <f>_xll.qlInterestRateIndexValueDate(hiborindex,AK4681)</f>
        <v>49220</v>
      </c>
      <c r="AM4681" s="23">
        <f>_xll.qlIndexFixing(hiborindex,AK4681)</f>
        <v>1.0792293223156092E-2</v>
      </c>
    </row>
    <row r="4682" spans="37:39" x14ac:dyDescent="0.25">
      <c r="AK4682" s="21">
        <f>_xll.qlCalendarAdvance(calendar,AK4681,"1D")</f>
        <v>49219</v>
      </c>
      <c r="AL4682" s="21">
        <f>_xll.qlInterestRateIndexValueDate(hiborindex,AK4682)</f>
        <v>49221</v>
      </c>
      <c r="AM4682" s="23">
        <f>_xll.qlIndexFixing(hiborindex,AK4682)</f>
        <v>1.0793169009582767E-2</v>
      </c>
    </row>
    <row r="4683" spans="37:39" x14ac:dyDescent="0.25">
      <c r="AK4683" s="21">
        <f>_xll.qlCalendarAdvance(calendar,AK4682,"1D")</f>
        <v>49220</v>
      </c>
      <c r="AL4683" s="21">
        <f>_xll.qlInterestRateIndexValueDate(hiborindex,AK4683)</f>
        <v>49222</v>
      </c>
      <c r="AM4683" s="23">
        <f>_xll.qlIndexFixing(hiborindex,AK4683)</f>
        <v>1.0794044796395509E-2</v>
      </c>
    </row>
    <row r="4684" spans="37:39" x14ac:dyDescent="0.25">
      <c r="AK4684" s="21">
        <f>_xll.qlCalendarAdvance(calendar,AK4683,"1D")</f>
        <v>49221</v>
      </c>
      <c r="AL4684" s="21">
        <f>_xll.qlInterestRateIndexValueDate(hiborindex,AK4684)</f>
        <v>49223</v>
      </c>
      <c r="AM4684" s="23">
        <f>_xll.qlIndexFixing(hiborindex,AK4684)</f>
        <v>1.0794920583593876E-2</v>
      </c>
    </row>
    <row r="4685" spans="37:39" x14ac:dyDescent="0.25">
      <c r="AK4685" s="21">
        <f>_xll.qlCalendarAdvance(calendar,AK4684,"1D")</f>
        <v>49222</v>
      </c>
      <c r="AL4685" s="21">
        <f>_xll.qlInterestRateIndexValueDate(hiborindex,AK4685)</f>
        <v>49226</v>
      </c>
      <c r="AM4685" s="23">
        <f>_xll.qlIndexFixing(hiborindex,AK4685)</f>
        <v>1.0797547947503167E-2</v>
      </c>
    </row>
    <row r="4686" spans="37:39" x14ac:dyDescent="0.25">
      <c r="AK4686" s="21">
        <f>_xll.qlCalendarAdvance(calendar,AK4685,"1D")</f>
        <v>49223</v>
      </c>
      <c r="AL4686" s="21">
        <f>_xll.qlInterestRateIndexValueDate(hiborindex,AK4686)</f>
        <v>49227</v>
      </c>
      <c r="AM4686" s="23">
        <f>_xll.qlIndexFixing(hiborindex,AK4686)</f>
        <v>1.0798423736244038E-2</v>
      </c>
    </row>
    <row r="4687" spans="37:39" x14ac:dyDescent="0.25">
      <c r="AK4687" s="21">
        <f>_xll.qlCalendarAdvance(calendar,AK4686,"1D")</f>
        <v>49226</v>
      </c>
      <c r="AL4687" s="21">
        <f>_xll.qlInterestRateIndexValueDate(hiborindex,AK4687)</f>
        <v>49228</v>
      </c>
      <c r="AM4687" s="23">
        <f>_xll.qlIndexFixing(hiborindex,AK4687)</f>
        <v>1.0799299525370971E-2</v>
      </c>
    </row>
    <row r="4688" spans="37:39" x14ac:dyDescent="0.25">
      <c r="AK4688" s="21">
        <f>_xll.qlCalendarAdvance(calendar,AK4687,"1D")</f>
        <v>49227</v>
      </c>
      <c r="AL4688" s="21">
        <f>_xll.qlInterestRateIndexValueDate(hiborindex,AK4688)</f>
        <v>49229</v>
      </c>
      <c r="AM4688" s="23">
        <f>_xll.qlIndexFixing(hiborindex,AK4688)</f>
        <v>1.0800175314883531E-2</v>
      </c>
    </row>
    <row r="4689" spans="37:39" x14ac:dyDescent="0.25">
      <c r="AK4689" s="21">
        <f>_xll.qlCalendarAdvance(calendar,AK4688,"1D")</f>
        <v>49228</v>
      </c>
      <c r="AL4689" s="21">
        <f>_xll.qlInterestRateIndexValueDate(hiborindex,AK4689)</f>
        <v>49230</v>
      </c>
      <c r="AM4689" s="23">
        <f>_xll.qlIndexFixing(hiborindex,AK4689)</f>
        <v>1.0801051104781276E-2</v>
      </c>
    </row>
    <row r="4690" spans="37:39" x14ac:dyDescent="0.25">
      <c r="AK4690" s="21">
        <f>_xll.qlCalendarAdvance(calendar,AK4689,"1D")</f>
        <v>49229</v>
      </c>
      <c r="AL4690" s="21">
        <f>_xll.qlInterestRateIndexValueDate(hiborindex,AK4690)</f>
        <v>49233</v>
      </c>
      <c r="AM4690" s="23">
        <f>_xll.qlIndexFixing(hiborindex,AK4690)</f>
        <v>1.0803678476789145E-2</v>
      </c>
    </row>
    <row r="4691" spans="37:39" x14ac:dyDescent="0.25">
      <c r="AK4691" s="21">
        <f>_xll.qlCalendarAdvance(calendar,AK4690,"1D")</f>
        <v>49230</v>
      </c>
      <c r="AL4691" s="21">
        <f>_xll.qlInterestRateIndexValueDate(hiborindex,AK4691)</f>
        <v>49234</v>
      </c>
      <c r="AM4691" s="23">
        <f>_xll.qlIndexFixing(hiborindex,AK4691)</f>
        <v>1.0804554268229833E-2</v>
      </c>
    </row>
    <row r="4692" spans="37:39" x14ac:dyDescent="0.25">
      <c r="AK4692" s="21">
        <f>_xll.qlCalendarAdvance(calendar,AK4691,"1D")</f>
        <v>49233</v>
      </c>
      <c r="AL4692" s="21">
        <f>_xll.qlInterestRateIndexValueDate(hiborindex,AK4692)</f>
        <v>49235</v>
      </c>
      <c r="AM4692" s="23">
        <f>_xll.qlIndexFixing(hiborindex,AK4692)</f>
        <v>1.0805430060056145E-2</v>
      </c>
    </row>
    <row r="4693" spans="37:39" x14ac:dyDescent="0.25">
      <c r="AK4693" s="21">
        <f>_xll.qlCalendarAdvance(calendar,AK4692,"1D")</f>
        <v>49234</v>
      </c>
      <c r="AL4693" s="21">
        <f>_xll.qlInterestRateIndexValueDate(hiborindex,AK4693)</f>
        <v>49236</v>
      </c>
      <c r="AM4693" s="23">
        <f>_xll.qlIndexFixing(hiborindex,AK4693)</f>
        <v>1.0806305852268085E-2</v>
      </c>
    </row>
    <row r="4694" spans="37:39" x14ac:dyDescent="0.25">
      <c r="AK4694" s="21">
        <f>_xll.qlCalendarAdvance(calendar,AK4693,"1D")</f>
        <v>49235</v>
      </c>
      <c r="AL4694" s="21">
        <f>_xll.qlInterestRateIndexValueDate(hiborindex,AK4694)</f>
        <v>49237</v>
      </c>
      <c r="AM4694" s="23">
        <f>_xll.qlIndexFixing(hiborindex,AK4694)</f>
        <v>1.080718164486565E-2</v>
      </c>
    </row>
    <row r="4695" spans="37:39" x14ac:dyDescent="0.25">
      <c r="AK4695" s="21">
        <f>_xll.qlCalendarAdvance(calendar,AK4694,"1D")</f>
        <v>49236</v>
      </c>
      <c r="AL4695" s="21">
        <f>_xll.qlInterestRateIndexValueDate(hiborindex,AK4695)</f>
        <v>49240</v>
      </c>
      <c r="AM4695" s="23">
        <f>_xll.qlIndexFixing(hiborindex,AK4695)</f>
        <v>1.0809809024972535E-2</v>
      </c>
    </row>
    <row r="4696" spans="37:39" x14ac:dyDescent="0.25">
      <c r="AK4696" s="21">
        <f>_xll.qlCalendarAdvance(calendar,AK4695,"1D")</f>
        <v>49237</v>
      </c>
      <c r="AL4696" s="21">
        <f>_xll.qlInterestRateIndexValueDate(hiborindex,AK4696)</f>
        <v>49241</v>
      </c>
      <c r="AM4696" s="23">
        <f>_xll.qlIndexFixing(hiborindex,AK4696)</f>
        <v>1.08106848191126E-2</v>
      </c>
    </row>
    <row r="4697" spans="37:39" x14ac:dyDescent="0.25">
      <c r="AK4697" s="21">
        <f>_xll.qlCalendarAdvance(calendar,AK4696,"1D")</f>
        <v>49240</v>
      </c>
      <c r="AL4697" s="21">
        <f>_xll.qlInterestRateIndexValueDate(hiborindex,AK4697)</f>
        <v>49242</v>
      </c>
      <c r="AM4697" s="23">
        <f>_xll.qlIndexFixing(hiborindex,AK4697)</f>
        <v>1.0811560613638731E-2</v>
      </c>
    </row>
    <row r="4698" spans="37:39" x14ac:dyDescent="0.25">
      <c r="AK4698" s="21">
        <f>_xll.qlCalendarAdvance(calendar,AK4697,"1D")</f>
        <v>49241</v>
      </c>
      <c r="AL4698" s="21">
        <f>_xll.qlInterestRateIndexValueDate(hiborindex,AK4698)</f>
        <v>49243</v>
      </c>
      <c r="AM4698" s="23">
        <f>_xll.qlIndexFixing(hiborindex,AK4698)</f>
        <v>1.081243640855005E-2</v>
      </c>
    </row>
    <row r="4699" spans="37:39" x14ac:dyDescent="0.25">
      <c r="AK4699" s="21">
        <f>_xll.qlCalendarAdvance(calendar,AK4698,"1D")</f>
        <v>49242</v>
      </c>
      <c r="AL4699" s="21">
        <f>_xll.qlInterestRateIndexValueDate(hiborindex,AK4699)</f>
        <v>49244</v>
      </c>
      <c r="AM4699" s="23">
        <f>_xll.qlIndexFixing(hiborindex,AK4699)</f>
        <v>1.0813312203847871E-2</v>
      </c>
    </row>
    <row r="4700" spans="37:39" x14ac:dyDescent="0.25">
      <c r="AK4700" s="21">
        <f>_xll.qlCalendarAdvance(calendar,AK4699,"1D")</f>
        <v>49243</v>
      </c>
      <c r="AL4700" s="21">
        <f>_xll.qlInterestRateIndexValueDate(hiborindex,AK4700)</f>
        <v>49247</v>
      </c>
      <c r="AM4700" s="23">
        <f>_xll.qlIndexFixing(hiborindex,AK4700)</f>
        <v>1.0815939592053334E-2</v>
      </c>
    </row>
    <row r="4701" spans="37:39" x14ac:dyDescent="0.25">
      <c r="AK4701" s="21">
        <f>_xll.qlCalendarAdvance(calendar,AK4700,"1D")</f>
        <v>49244</v>
      </c>
      <c r="AL4701" s="21">
        <f>_xll.qlInterestRateIndexValueDate(hiborindex,AK4701)</f>
        <v>49248</v>
      </c>
      <c r="AM4701" s="23">
        <f>_xll.qlIndexFixing(hiborindex,AK4701)</f>
        <v>1.0816215295724588E-2</v>
      </c>
    </row>
    <row r="4702" spans="37:39" x14ac:dyDescent="0.25">
      <c r="AK4702" s="21">
        <f>_xll.qlCalendarAdvance(calendar,AK4701,"1D")</f>
        <v>49247</v>
      </c>
      <c r="AL4702" s="21">
        <f>_xll.qlInterestRateIndexValueDate(hiborindex,AK4702)</f>
        <v>49249</v>
      </c>
      <c r="AM4702" s="23">
        <f>_xll.qlIndexFixing(hiborindex,AK4702)</f>
        <v>1.0817691186118729E-2</v>
      </c>
    </row>
    <row r="4703" spans="37:39" x14ac:dyDescent="0.25">
      <c r="AK4703" s="21">
        <f>_xll.qlCalendarAdvance(calendar,AK4702,"1D")</f>
        <v>49248</v>
      </c>
      <c r="AL4703" s="21">
        <f>_xll.qlInterestRateIndexValueDate(hiborindex,AK4703)</f>
        <v>49250</v>
      </c>
      <c r="AM4703" s="23">
        <f>_xll.qlIndexFixing(hiborindex,AK4703)</f>
        <v>1.0817966837688431E-2</v>
      </c>
    </row>
    <row r="4704" spans="37:39" x14ac:dyDescent="0.25">
      <c r="AK4704" s="21">
        <f>_xll.qlCalendarAdvance(calendar,AK4703,"1D")</f>
        <v>49249</v>
      </c>
      <c r="AL4704" s="21">
        <f>_xll.qlInterestRateIndexValueDate(hiborindex,AK4704)</f>
        <v>49251</v>
      </c>
      <c r="AM4704" s="23">
        <f>_xll.qlIndexFixing(hiborindex,AK4704)</f>
        <v>1.0818842609245363E-2</v>
      </c>
    </row>
    <row r="4705" spans="37:39" x14ac:dyDescent="0.25">
      <c r="AK4705" s="21">
        <f>_xll.qlCalendarAdvance(calendar,AK4704,"1D")</f>
        <v>49250</v>
      </c>
      <c r="AL4705" s="21">
        <f>_xll.qlInterestRateIndexValueDate(hiborindex,AK4705)</f>
        <v>49254</v>
      </c>
      <c r="AM4705" s="23">
        <f>_xll.qlIndexFixing(hiborindex,AK4705)</f>
        <v>1.0822070178031544E-2</v>
      </c>
    </row>
    <row r="4706" spans="37:39" x14ac:dyDescent="0.25">
      <c r="AK4706" s="21">
        <f>_xll.qlCalendarAdvance(calendar,AK4705,"1D")</f>
        <v>49251</v>
      </c>
      <c r="AL4706" s="21">
        <f>_xll.qlInterestRateIndexValueDate(hiborindex,AK4706)</f>
        <v>49255</v>
      </c>
      <c r="AM4706" s="23">
        <f>_xll.qlIndexFixing(hiborindex,AK4706)</f>
        <v>1.0822345699308695E-2</v>
      </c>
    </row>
    <row r="4707" spans="37:39" x14ac:dyDescent="0.25">
      <c r="AK4707" s="21">
        <f>_xll.qlCalendarAdvance(calendar,AK4706,"1D")</f>
        <v>49254</v>
      </c>
      <c r="AL4707" s="21">
        <f>_xll.qlInterestRateIndexValueDate(hiborindex,AK4707)</f>
        <v>49256</v>
      </c>
      <c r="AM4707" s="23">
        <f>_xll.qlIndexFixing(hiborindex,AK4707)</f>
        <v>1.082322147278365E-2</v>
      </c>
    </row>
    <row r="4708" spans="37:39" x14ac:dyDescent="0.25">
      <c r="AK4708" s="21">
        <f>_xll.qlCalendarAdvance(calendar,AK4707,"1D")</f>
        <v>49255</v>
      </c>
      <c r="AL4708" s="21">
        <f>_xll.qlInterestRateIndexValueDate(hiborindex,AK4708)</f>
        <v>49257</v>
      </c>
      <c r="AM4708" s="23">
        <f>_xll.qlIndexFixing(hiborindex,AK4708)</f>
        <v>1.0824097246641504E-2</v>
      </c>
    </row>
    <row r="4709" spans="37:39" x14ac:dyDescent="0.25">
      <c r="AK4709" s="21">
        <f>_xll.qlCalendarAdvance(calendar,AK4708,"1D")</f>
        <v>49256</v>
      </c>
      <c r="AL4709" s="21">
        <f>_xll.qlInterestRateIndexValueDate(hiborindex,AK4709)</f>
        <v>49258</v>
      </c>
      <c r="AM4709" s="23">
        <f>_xll.qlIndexFixing(hiborindex,AK4709)</f>
        <v>1.0824973020883579E-2</v>
      </c>
    </row>
    <row r="4710" spans="37:39" x14ac:dyDescent="0.25">
      <c r="AK4710" s="21">
        <f>_xll.qlCalendarAdvance(calendar,AK4709,"1D")</f>
        <v>49257</v>
      </c>
      <c r="AL4710" s="21">
        <f>_xll.qlInterestRateIndexValueDate(hiborindex,AK4710)</f>
        <v>49261</v>
      </c>
      <c r="AM4710" s="23">
        <f>_xll.qlIndexFixing(hiborindex,AK4710)</f>
        <v>1.0828200782907166E-2</v>
      </c>
    </row>
    <row r="4711" spans="37:39" x14ac:dyDescent="0.25">
      <c r="AK4711" s="21">
        <f>_xll.qlCalendarAdvance(calendar,AK4710,"1D")</f>
        <v>49258</v>
      </c>
      <c r="AL4711" s="21">
        <f>_xll.qlInterestRateIndexValueDate(hiborindex,AK4711)</f>
        <v>49262</v>
      </c>
      <c r="AM4711" s="23">
        <f>_xll.qlIndexFixing(hiborindex,AK4711)</f>
        <v>1.0828476121685726E-2</v>
      </c>
    </row>
    <row r="4712" spans="37:39" x14ac:dyDescent="0.25">
      <c r="AK4712" s="21">
        <f>_xll.qlCalendarAdvance(calendar,AK4711,"1D")</f>
        <v>49261</v>
      </c>
      <c r="AL4712" s="21">
        <f>_xll.qlInterestRateIndexValueDate(hiborindex,AK4712)</f>
        <v>49263</v>
      </c>
      <c r="AM4712" s="23">
        <f>_xll.qlIndexFixing(hiborindex,AK4712)</f>
        <v>1.0829351897845384E-2</v>
      </c>
    </row>
    <row r="4713" spans="37:39" x14ac:dyDescent="0.25">
      <c r="AK4713" s="21">
        <f>_xll.qlCalendarAdvance(calendar,AK4712,"1D")</f>
        <v>49262</v>
      </c>
      <c r="AL4713" s="21">
        <f>_xll.qlInterestRateIndexValueDate(hiborindex,AK4713)</f>
        <v>49264</v>
      </c>
      <c r="AM4713" s="23">
        <f>_xll.qlIndexFixing(hiborindex,AK4713)</f>
        <v>1.0830227674388824E-2</v>
      </c>
    </row>
    <row r="4714" spans="37:39" x14ac:dyDescent="0.25">
      <c r="AK4714" s="21">
        <f>_xll.qlCalendarAdvance(calendar,AK4713,"1D")</f>
        <v>49263</v>
      </c>
      <c r="AL4714" s="21">
        <f>_xll.qlInterestRateIndexValueDate(hiborindex,AK4714)</f>
        <v>49265</v>
      </c>
      <c r="AM4714" s="23">
        <f>_xll.qlIndexFixing(hiborindex,AK4714)</f>
        <v>1.083110345131472E-2</v>
      </c>
    </row>
    <row r="4715" spans="37:39" x14ac:dyDescent="0.25">
      <c r="AK4715" s="21">
        <f>_xll.qlCalendarAdvance(calendar,AK4714,"1D")</f>
        <v>49264</v>
      </c>
      <c r="AL4715" s="21">
        <f>_xll.qlInterestRateIndexValueDate(hiborindex,AK4715)</f>
        <v>49268</v>
      </c>
      <c r="AM4715" s="23">
        <f>_xll.qlIndexFixing(hiborindex,AK4715)</f>
        <v>1.0834331406680638E-2</v>
      </c>
    </row>
    <row r="4716" spans="37:39" x14ac:dyDescent="0.25">
      <c r="AK4716" s="21">
        <f>_xll.qlCalendarAdvance(calendar,AK4715,"1D")</f>
        <v>49265</v>
      </c>
      <c r="AL4716" s="21">
        <f>_xll.qlInterestRateIndexValueDate(hiborindex,AK4716)</f>
        <v>49269</v>
      </c>
      <c r="AM4716" s="23">
        <f>_xll.qlIndexFixing(hiborindex,AK4716)</f>
        <v>1.0834606562856119E-2</v>
      </c>
    </row>
    <row r="4717" spans="37:39" x14ac:dyDescent="0.25">
      <c r="AK4717" s="21">
        <f>_xll.qlCalendarAdvance(calendar,AK4716,"1D")</f>
        <v>49268</v>
      </c>
      <c r="AL4717" s="21">
        <f>_xll.qlInterestRateIndexValueDate(hiborindex,AK4717)</f>
        <v>49270</v>
      </c>
      <c r="AM4717" s="23">
        <f>_xll.qlIndexFixing(hiborindex,AK4717)</f>
        <v>1.0835482341700923E-2</v>
      </c>
    </row>
    <row r="4718" spans="37:39" x14ac:dyDescent="0.25">
      <c r="AK4718" s="21">
        <f>_xll.qlCalendarAdvance(calendar,AK4717,"1D")</f>
        <v>49269</v>
      </c>
      <c r="AL4718" s="21">
        <f>_xll.qlInterestRateIndexValueDate(hiborindex,AK4718)</f>
        <v>49271</v>
      </c>
      <c r="AM4718" s="23">
        <f>_xll.qlIndexFixing(hiborindex,AK4718)</f>
        <v>1.0836358120928183E-2</v>
      </c>
    </row>
    <row r="4719" spans="37:39" x14ac:dyDescent="0.25">
      <c r="AK4719" s="21">
        <f>_xll.qlCalendarAdvance(calendar,AK4718,"1D")</f>
        <v>49270</v>
      </c>
      <c r="AL4719" s="21">
        <f>_xll.qlInterestRateIndexValueDate(hiborindex,AK4719)</f>
        <v>49272</v>
      </c>
      <c r="AM4719" s="23">
        <f>_xll.qlIndexFixing(hiborindex,AK4719)</f>
        <v>1.0837233900539667E-2</v>
      </c>
    </row>
    <row r="4720" spans="37:39" x14ac:dyDescent="0.25">
      <c r="AK4720" s="21">
        <f>_xll.qlCalendarAdvance(calendar,AK4719,"1D")</f>
        <v>49271</v>
      </c>
      <c r="AL4720" s="21">
        <f>_xll.qlInterestRateIndexValueDate(hiborindex,AK4720)</f>
        <v>49275</v>
      </c>
      <c r="AM4720" s="23">
        <f>_xll.qlIndexFixing(hiborindex,AK4720)</f>
        <v>1.0840462049351521E-2</v>
      </c>
    </row>
    <row r="4721" spans="37:39" x14ac:dyDescent="0.25">
      <c r="AK4721" s="21">
        <f>_xll.qlCalendarAdvance(calendar,AK4720,"1D")</f>
        <v>49272</v>
      </c>
      <c r="AL4721" s="21">
        <f>_xll.qlInterestRateIndexValueDate(hiborindex,AK4721)</f>
        <v>49276</v>
      </c>
      <c r="AM4721" s="23">
        <f>_xll.qlIndexFixing(hiborindex,AK4721)</f>
        <v>1.0840737022819879E-2</v>
      </c>
    </row>
    <row r="4722" spans="37:39" x14ac:dyDescent="0.25">
      <c r="AK4722" s="21">
        <f>_xll.qlCalendarAdvance(calendar,AK4721,"1D")</f>
        <v>49275</v>
      </c>
      <c r="AL4722" s="21">
        <f>_xll.qlInterestRateIndexValueDate(hiborindex,AK4722)</f>
        <v>49277</v>
      </c>
      <c r="AM4722" s="23">
        <f>_xll.qlIndexFixing(hiborindex,AK4722)</f>
        <v>1.0841612804348946E-2</v>
      </c>
    </row>
    <row r="4723" spans="37:39" x14ac:dyDescent="0.25">
      <c r="AK4723" s="21">
        <f>_xll.qlCalendarAdvance(calendar,AK4722,"1D")</f>
        <v>49276</v>
      </c>
      <c r="AL4723" s="21">
        <f>_xll.qlInterestRateIndexValueDate(hiborindex,AK4723)</f>
        <v>49278</v>
      </c>
      <c r="AM4723" s="23">
        <f>_xll.qlIndexFixing(hiborindex,AK4723)</f>
        <v>1.0843089473424118E-2</v>
      </c>
    </row>
    <row r="4724" spans="37:39" x14ac:dyDescent="0.25">
      <c r="AK4724" s="21">
        <f>_xll.qlCalendarAdvance(calendar,AK4723,"1D")</f>
        <v>49277</v>
      </c>
      <c r="AL4724" s="21">
        <f>_xll.qlInterestRateIndexValueDate(hiborindex,AK4724)</f>
        <v>49279</v>
      </c>
      <c r="AM4724" s="23">
        <f>_xll.qlIndexFixing(hiborindex,AK4724)</f>
        <v>1.0843965282219275E-2</v>
      </c>
    </row>
    <row r="4725" spans="37:39" x14ac:dyDescent="0.25">
      <c r="AK4725" s="21">
        <f>_xll.qlCalendarAdvance(calendar,AK4724,"1D")</f>
        <v>49278</v>
      </c>
      <c r="AL4725" s="21">
        <f>_xll.qlInterestRateIndexValueDate(hiborindex,AK4725)</f>
        <v>49282</v>
      </c>
      <c r="AM4725" s="23">
        <f>_xll.qlIndexFixing(hiborindex,AK4725)</f>
        <v>1.0846592710920255E-2</v>
      </c>
    </row>
    <row r="4726" spans="37:39" x14ac:dyDescent="0.25">
      <c r="AK4726" s="21">
        <f>_xll.qlCalendarAdvance(calendar,AK4725,"1D")</f>
        <v>49279</v>
      </c>
      <c r="AL4726" s="21">
        <f>_xll.qlInterestRateIndexValueDate(hiborindex,AK4726)</f>
        <v>49283</v>
      </c>
      <c r="AM4726" s="23">
        <f>_xll.qlIndexFixing(hiborindex,AK4726)</f>
        <v>1.0847468521258355E-2</v>
      </c>
    </row>
    <row r="4727" spans="37:39" x14ac:dyDescent="0.25">
      <c r="AK4727" s="21">
        <f>_xll.qlCalendarAdvance(calendar,AK4726,"1D")</f>
        <v>49282</v>
      </c>
      <c r="AL4727" s="21">
        <f>_xll.qlInterestRateIndexValueDate(hiborindex,AK4727)</f>
        <v>49284</v>
      </c>
      <c r="AM4727" s="23">
        <f>_xll.qlIndexFixing(hiborindex,AK4727)</f>
        <v>1.0848344331982078E-2</v>
      </c>
    </row>
    <row r="4728" spans="37:39" x14ac:dyDescent="0.25">
      <c r="AK4728" s="21">
        <f>_xll.qlCalendarAdvance(calendar,AK4727,"1D")</f>
        <v>49283</v>
      </c>
      <c r="AL4728" s="21">
        <f>_xll.qlInterestRateIndexValueDate(hiborindex,AK4728)</f>
        <v>49285</v>
      </c>
      <c r="AM4728" s="23">
        <f>_xll.qlIndexFixing(hiborindex,AK4728)</f>
        <v>1.0849220143091427E-2</v>
      </c>
    </row>
    <row r="4729" spans="37:39" x14ac:dyDescent="0.25">
      <c r="AK4729" s="21">
        <f>_xll.qlCalendarAdvance(calendar,AK4728,"1D")</f>
        <v>49284</v>
      </c>
      <c r="AL4729" s="21">
        <f>_xll.qlInterestRateIndexValueDate(hiborindex,AK4729)</f>
        <v>49286</v>
      </c>
      <c r="AM4729" s="23">
        <f>_xll.qlIndexFixing(hiborindex,AK4729)</f>
        <v>1.0850095954586842E-2</v>
      </c>
    </row>
    <row r="4730" spans="37:39" x14ac:dyDescent="0.25">
      <c r="AK4730" s="21">
        <f>_xll.qlCalendarAdvance(calendar,AK4729,"1D")</f>
        <v>49285</v>
      </c>
      <c r="AL4730" s="21">
        <f>_xll.qlInterestRateIndexValueDate(hiborindex,AK4730)</f>
        <v>49289</v>
      </c>
      <c r="AM4730" s="23">
        <f>_xll.qlIndexFixing(hiborindex,AK4730)</f>
        <v>1.0852723391386401E-2</v>
      </c>
    </row>
    <row r="4731" spans="37:39" x14ac:dyDescent="0.25">
      <c r="AK4731" s="21">
        <f>_xll.qlCalendarAdvance(calendar,AK4730,"1D")</f>
        <v>49286</v>
      </c>
      <c r="AL4731" s="21">
        <f>_xll.qlInterestRateIndexValueDate(hiborindex,AK4731)</f>
        <v>49290</v>
      </c>
      <c r="AM4731" s="23">
        <f>_xll.qlIndexFixing(hiborindex,AK4731)</f>
        <v>1.0853599204424318E-2</v>
      </c>
    </row>
    <row r="4732" spans="37:39" x14ac:dyDescent="0.25">
      <c r="AK4732" s="21">
        <f>_xll.qlCalendarAdvance(calendar,AK4731,"1D")</f>
        <v>49289</v>
      </c>
      <c r="AL4732" s="21">
        <f>_xll.qlInterestRateIndexValueDate(hiborindex,AK4732)</f>
        <v>49291</v>
      </c>
      <c r="AM4732" s="23">
        <f>_xll.qlIndexFixing(hiborindex,AK4732)</f>
        <v>1.0854475017847859E-2</v>
      </c>
    </row>
    <row r="4733" spans="37:39" x14ac:dyDescent="0.25">
      <c r="AK4733" s="21">
        <f>_xll.qlCalendarAdvance(calendar,AK4732,"1D")</f>
        <v>49290</v>
      </c>
      <c r="AL4733" s="21">
        <f>_xll.qlInterestRateIndexValueDate(hiborindex,AK4733)</f>
        <v>49292</v>
      </c>
      <c r="AM4733" s="23">
        <f>_xll.qlIndexFixing(hiborindex,AK4733)</f>
        <v>1.0855350831657028E-2</v>
      </c>
    </row>
    <row r="4734" spans="37:39" x14ac:dyDescent="0.25">
      <c r="AK4734" s="21">
        <f>_xll.qlCalendarAdvance(calendar,AK4733,"1D")</f>
        <v>49291</v>
      </c>
      <c r="AL4734" s="21">
        <f>_xll.qlInterestRateIndexValueDate(hiborindex,AK4734)</f>
        <v>49293</v>
      </c>
      <c r="AM4734" s="23">
        <f>_xll.qlIndexFixing(hiborindex,AK4734)</f>
        <v>1.0856226645851822E-2</v>
      </c>
    </row>
    <row r="4735" spans="37:39" x14ac:dyDescent="0.25">
      <c r="AK4735" s="21">
        <f>_xll.qlCalendarAdvance(calendar,AK4734,"1D")</f>
        <v>49292</v>
      </c>
      <c r="AL4735" s="21">
        <f>_xll.qlInterestRateIndexValueDate(hiborindex,AK4735)</f>
        <v>49296</v>
      </c>
      <c r="AM4735" s="23">
        <f>_xll.qlIndexFixing(hiborindex,AK4735)</f>
        <v>1.0858854090750835E-2</v>
      </c>
    </row>
    <row r="4736" spans="37:39" x14ac:dyDescent="0.25">
      <c r="AK4736" s="21">
        <f>_xll.qlCalendarAdvance(calendar,AK4735,"1D")</f>
        <v>49293</v>
      </c>
      <c r="AL4736" s="21">
        <f>_xll.qlInterestRateIndexValueDate(hiborindex,AK4736)</f>
        <v>49297</v>
      </c>
      <c r="AM4736" s="23">
        <f>_xll.qlIndexFixing(hiborindex,AK4736)</f>
        <v>1.0859729906487692E-2</v>
      </c>
    </row>
    <row r="4737" spans="37:39" x14ac:dyDescent="0.25">
      <c r="AK4737" s="21">
        <f>_xll.qlCalendarAdvance(calendar,AK4736,"1D")</f>
        <v>49296</v>
      </c>
      <c r="AL4737" s="21">
        <f>_xll.qlInterestRateIndexValueDate(hiborindex,AK4737)</f>
        <v>49298</v>
      </c>
      <c r="AM4737" s="23">
        <f>_xll.qlIndexFixing(hiborindex,AK4737)</f>
        <v>1.0860605722611053E-2</v>
      </c>
    </row>
    <row r="4738" spans="37:39" x14ac:dyDescent="0.25">
      <c r="AK4738" s="21">
        <f>_xll.qlCalendarAdvance(calendar,AK4737,"1D")</f>
        <v>49297</v>
      </c>
      <c r="AL4738" s="21">
        <f>_xll.qlInterestRateIndexValueDate(hiborindex,AK4738)</f>
        <v>49299</v>
      </c>
      <c r="AM4738" s="23">
        <f>_xll.qlIndexFixing(hiborindex,AK4738)</f>
        <v>1.0861481539120039E-2</v>
      </c>
    </row>
    <row r="4739" spans="37:39" x14ac:dyDescent="0.25">
      <c r="AK4739" s="21">
        <f>_xll.qlCalendarAdvance(calendar,AK4738,"1D")</f>
        <v>49298</v>
      </c>
      <c r="AL4739" s="21">
        <f>_xll.qlInterestRateIndexValueDate(hiborindex,AK4739)</f>
        <v>49300</v>
      </c>
      <c r="AM4739" s="23">
        <f>_xll.qlIndexFixing(hiborindex,AK4739)</f>
        <v>1.0862357356014651E-2</v>
      </c>
    </row>
    <row r="4740" spans="37:39" x14ac:dyDescent="0.25">
      <c r="AK4740" s="21">
        <f>_xll.qlCalendarAdvance(calendar,AK4739,"1D")</f>
        <v>49299</v>
      </c>
      <c r="AL4740" s="21">
        <f>_xll.qlInterestRateIndexValueDate(hiborindex,AK4740)</f>
        <v>49305</v>
      </c>
      <c r="AM4740" s="23">
        <f>_xll.qlIndexFixing(hiborindex,AK4740)</f>
        <v>1.0866736446272535E-2</v>
      </c>
    </row>
    <row r="4741" spans="37:39" x14ac:dyDescent="0.25">
      <c r="AK4741" s="21">
        <f>_xll.qlCalendarAdvance(calendar,AK4740,"1D")</f>
        <v>49300</v>
      </c>
      <c r="AL4741" s="21">
        <f>_xll.qlInterestRateIndexValueDate(hiborindex,AK4741)</f>
        <v>49306</v>
      </c>
      <c r="AM4741" s="23">
        <f>_xll.qlIndexFixing(hiborindex,AK4741)</f>
        <v>1.086761226548134E-2</v>
      </c>
    </row>
    <row r="4742" spans="37:39" x14ac:dyDescent="0.25">
      <c r="AK4742" s="21">
        <f>_xll.qlCalendarAdvance(calendar,AK4741,"1D")</f>
        <v>49305</v>
      </c>
      <c r="AL4742" s="21">
        <f>_xll.qlInterestRateIndexValueDate(hiborindex,AK4742)</f>
        <v>49307</v>
      </c>
      <c r="AM4742" s="23">
        <f>_xll.qlIndexFixing(hiborindex,AK4742)</f>
        <v>1.0868488085075331E-2</v>
      </c>
    </row>
    <row r="4743" spans="37:39" x14ac:dyDescent="0.25">
      <c r="AK4743" s="21">
        <f>_xll.qlCalendarAdvance(calendar,AK4742,"1D")</f>
        <v>49306</v>
      </c>
      <c r="AL4743" s="21">
        <f>_xll.qlInterestRateIndexValueDate(hiborindex,AK4743)</f>
        <v>49311</v>
      </c>
      <c r="AM4743" s="23">
        <f>_xll.qlIndexFixing(hiborindex,AK4743)</f>
        <v>1.0858118068837578E-2</v>
      </c>
    </row>
    <row r="4744" spans="37:39" x14ac:dyDescent="0.25">
      <c r="AK4744" s="21">
        <f>_xll.qlCalendarAdvance(calendar,AK4743,"1D")</f>
        <v>49307</v>
      </c>
      <c r="AL4744" s="21">
        <f>_xll.qlInterestRateIndexValueDate(hiborindex,AK4744)</f>
        <v>49312</v>
      </c>
      <c r="AM4744" s="23">
        <f>_xll.qlIndexFixing(hiborindex,AK4744)</f>
        <v>1.0854567481727067E-2</v>
      </c>
    </row>
    <row r="4745" spans="37:39" x14ac:dyDescent="0.25">
      <c r="AK4745" s="21">
        <f>_xll.qlCalendarAdvance(calendar,AK4744,"1D")</f>
        <v>49311</v>
      </c>
      <c r="AL4745" s="21">
        <f>_xll.qlInterestRateIndexValueDate(hiborindex,AK4745)</f>
        <v>49313</v>
      </c>
      <c r="AM4745" s="23">
        <f>_xll.qlIndexFixing(hiborindex,AK4745)</f>
        <v>1.0851015626597496E-2</v>
      </c>
    </row>
    <row r="4746" spans="37:39" x14ac:dyDescent="0.25">
      <c r="AK4746" s="21">
        <f>_xll.qlCalendarAdvance(calendar,AK4745,"1D")</f>
        <v>49312</v>
      </c>
      <c r="AL4746" s="21">
        <f>_xll.qlInterestRateIndexValueDate(hiborindex,AK4746)</f>
        <v>49314</v>
      </c>
      <c r="AM4746" s="23">
        <f>_xll.qlIndexFixing(hiborindex,AK4746)</f>
        <v>1.0847462503454164E-2</v>
      </c>
    </row>
    <row r="4747" spans="37:39" x14ac:dyDescent="0.25">
      <c r="AK4747" s="21">
        <f>_xll.qlCalendarAdvance(calendar,AK4746,"1D")</f>
        <v>49313</v>
      </c>
      <c r="AL4747" s="21">
        <f>_xll.qlInterestRateIndexValueDate(hiborindex,AK4747)</f>
        <v>49317</v>
      </c>
      <c r="AM4747" s="23">
        <f>_xll.qlIndexFixing(hiborindex,AK4747)</f>
        <v>1.0833205450829886E-2</v>
      </c>
    </row>
    <row r="4748" spans="37:39" x14ac:dyDescent="0.25">
      <c r="AK4748" s="21">
        <f>_xll.qlCalendarAdvance(calendar,AK4747,"1D")</f>
        <v>49314</v>
      </c>
      <c r="AL4748" s="21">
        <f>_xll.qlInterestRateIndexValueDate(hiborindex,AK4748)</f>
        <v>49318</v>
      </c>
      <c r="AM4748" s="23">
        <f>_xll.qlIndexFixing(hiborindex,AK4748)</f>
        <v>1.0833237330887209E-2</v>
      </c>
    </row>
    <row r="4749" spans="37:39" x14ac:dyDescent="0.25">
      <c r="AK4749" s="21">
        <f>_xll.qlCalendarAdvance(calendar,AK4748,"1D")</f>
        <v>49317</v>
      </c>
      <c r="AL4749" s="21">
        <f>_xll.qlInterestRateIndexValueDate(hiborindex,AK4749)</f>
        <v>49319</v>
      </c>
      <c r="AM4749" s="23">
        <f>_xll.qlIndexFixing(hiborindex,AK4749)</f>
        <v>1.0829677867781069E-2</v>
      </c>
    </row>
    <row r="4750" spans="37:39" x14ac:dyDescent="0.25">
      <c r="AK4750" s="21">
        <f>_xll.qlCalendarAdvance(calendar,AK4749,"1D")</f>
        <v>49318</v>
      </c>
      <c r="AL4750" s="21">
        <f>_xll.qlInterestRateIndexValueDate(hiborindex,AK4750)</f>
        <v>49320</v>
      </c>
      <c r="AM4750" s="23">
        <f>_xll.qlIndexFixing(hiborindex,AK4750)</f>
        <v>1.0826117136702682E-2</v>
      </c>
    </row>
    <row r="4751" spans="37:39" x14ac:dyDescent="0.25">
      <c r="AK4751" s="21">
        <f>_xll.qlCalendarAdvance(calendar,AK4750,"1D")</f>
        <v>49319</v>
      </c>
      <c r="AL4751" s="21">
        <f>_xll.qlInterestRateIndexValueDate(hiborindex,AK4751)</f>
        <v>49321</v>
      </c>
      <c r="AM4751" s="23">
        <f>_xll.qlIndexFixing(hiborindex,AK4751)</f>
        <v>1.0822555137658231E-2</v>
      </c>
    </row>
    <row r="4752" spans="37:39" x14ac:dyDescent="0.25">
      <c r="AK4752" s="21">
        <f>_xll.qlCalendarAdvance(calendar,AK4751,"1D")</f>
        <v>49320</v>
      </c>
      <c r="AL4752" s="21">
        <f>_xll.qlInterestRateIndexValueDate(hiborindex,AK4752)</f>
        <v>49324</v>
      </c>
      <c r="AM4752" s="23">
        <f>_xll.qlIndexFixing(hiborindex,AK4752)</f>
        <v>1.0808432572971365E-2</v>
      </c>
    </row>
    <row r="4753" spans="37:39" x14ac:dyDescent="0.25">
      <c r="AK4753" s="21">
        <f>_xll.qlCalendarAdvance(calendar,AK4752,"1D")</f>
        <v>49321</v>
      </c>
      <c r="AL4753" s="21">
        <f>_xll.qlInterestRateIndexValueDate(hiborindex,AK4753)</f>
        <v>49325</v>
      </c>
      <c r="AM4753" s="23">
        <f>_xll.qlIndexFixing(hiborindex,AK4753)</f>
        <v>1.080829446196244E-2</v>
      </c>
    </row>
    <row r="4754" spans="37:39" x14ac:dyDescent="0.25">
      <c r="AK4754" s="21">
        <f>_xll.qlCalendarAdvance(calendar,AK4753,"1D")</f>
        <v>49324</v>
      </c>
      <c r="AL4754" s="21">
        <f>_xll.qlInterestRateIndexValueDate(hiborindex,AK4754)</f>
        <v>49326</v>
      </c>
      <c r="AM4754" s="23">
        <f>_xll.qlIndexFixing(hiborindex,AK4754)</f>
        <v>1.0804726123192781E-2</v>
      </c>
    </row>
    <row r="4755" spans="37:39" x14ac:dyDescent="0.25">
      <c r="AK4755" s="21">
        <f>_xll.qlCalendarAdvance(calendar,AK4754,"1D")</f>
        <v>49325</v>
      </c>
      <c r="AL4755" s="21">
        <f>_xll.qlInterestRateIndexValueDate(hiborindex,AK4755)</f>
        <v>49327</v>
      </c>
      <c r="AM4755" s="23">
        <f>_xll.qlIndexFixing(hiborindex,AK4755)</f>
        <v>1.0801156516498572E-2</v>
      </c>
    </row>
    <row r="4756" spans="37:39" x14ac:dyDescent="0.25">
      <c r="AK4756" s="21">
        <f>_xll.qlCalendarAdvance(calendar,AK4755,"1D")</f>
        <v>49326</v>
      </c>
      <c r="AL4756" s="21">
        <f>_xll.qlInterestRateIndexValueDate(hiborindex,AK4756)</f>
        <v>49328</v>
      </c>
      <c r="AM4756" s="23">
        <f>_xll.qlIndexFixing(hiborindex,AK4756)</f>
        <v>1.0797585641886437E-2</v>
      </c>
    </row>
    <row r="4757" spans="37:39" x14ac:dyDescent="0.25">
      <c r="AK4757" s="21">
        <f>_xll.qlCalendarAdvance(calendar,AK4756,"1D")</f>
        <v>49327</v>
      </c>
      <c r="AL4757" s="21">
        <f>_xll.qlInterestRateIndexValueDate(hiborindex,AK4757)</f>
        <v>49331</v>
      </c>
      <c r="AM4757" s="23">
        <f>_xll.qlIndexFixing(hiborindex,AK4757)</f>
        <v>1.0783597905145855E-2</v>
      </c>
    </row>
    <row r="4758" spans="37:39" x14ac:dyDescent="0.25">
      <c r="AK4758" s="21">
        <f>_xll.qlCalendarAdvance(calendar,AK4757,"1D")</f>
        <v>49328</v>
      </c>
      <c r="AL4758" s="21">
        <f>_xll.qlInterestRateIndexValueDate(hiborindex,AK4758)</f>
        <v>49332</v>
      </c>
      <c r="AM4758" s="23">
        <f>_xll.qlIndexFixing(hiborindex,AK4758)</f>
        <v>1.0783289464395111E-2</v>
      </c>
    </row>
    <row r="4759" spans="37:39" x14ac:dyDescent="0.25">
      <c r="AK4759" s="21">
        <f>_xll.qlCalendarAdvance(calendar,AK4758,"1D")</f>
        <v>49331</v>
      </c>
      <c r="AL4759" s="21">
        <f>_xll.qlInterestRateIndexValueDate(hiborindex,AK4759)</f>
        <v>49333</v>
      </c>
      <c r="AM4759" s="23">
        <f>_xll.qlIndexFixing(hiborindex,AK4759)</f>
        <v>1.0779712250296249E-2</v>
      </c>
    </row>
    <row r="4760" spans="37:39" x14ac:dyDescent="0.25">
      <c r="AK4760" s="21">
        <f>_xll.qlCalendarAdvance(calendar,AK4759,"1D")</f>
        <v>49332</v>
      </c>
      <c r="AL4760" s="21">
        <f>_xll.qlInterestRateIndexValueDate(hiborindex,AK4760)</f>
        <v>49334</v>
      </c>
      <c r="AM4760" s="23">
        <f>_xll.qlIndexFixing(hiborindex,AK4760)</f>
        <v>1.0776133768319653E-2</v>
      </c>
    </row>
    <row r="4761" spans="37:39" x14ac:dyDescent="0.25">
      <c r="AK4761" s="21">
        <f>_xll.qlCalendarAdvance(calendar,AK4760,"1D")</f>
        <v>49333</v>
      </c>
      <c r="AL4761" s="21">
        <f>_xll.qlInterestRateIndexValueDate(hiborindex,AK4761)</f>
        <v>49335</v>
      </c>
      <c r="AM4761" s="23">
        <f>_xll.qlIndexFixing(hiborindex,AK4761)</f>
        <v>1.0772554018473268E-2</v>
      </c>
    </row>
    <row r="4762" spans="37:39" x14ac:dyDescent="0.25">
      <c r="AK4762" s="21">
        <f>_xll.qlCalendarAdvance(calendar,AK4761,"1D")</f>
        <v>49334</v>
      </c>
      <c r="AL4762" s="21">
        <f>_xll.qlInterestRateIndexValueDate(hiborindex,AK4762)</f>
        <v>49338</v>
      </c>
      <c r="AM4762" s="23">
        <f>_xll.qlIndexFixing(hiborindex,AK4762)</f>
        <v>1.0758701449676772E-2</v>
      </c>
    </row>
    <row r="4763" spans="37:39" x14ac:dyDescent="0.25">
      <c r="AK4763" s="21">
        <f>_xll.qlCalendarAdvance(calendar,AK4762,"1D")</f>
        <v>49335</v>
      </c>
      <c r="AL4763" s="21">
        <f>_xll.qlInterestRateIndexValueDate(hiborindex,AK4763)</f>
        <v>49339</v>
      </c>
      <c r="AM4763" s="23">
        <f>_xll.qlIndexFixing(hiborindex,AK4763)</f>
        <v>1.0758222340524121E-2</v>
      </c>
    </row>
    <row r="4764" spans="37:39" x14ac:dyDescent="0.25">
      <c r="AK4764" s="21">
        <f>_xll.qlCalendarAdvance(calendar,AK4763,"1D")</f>
        <v>49338</v>
      </c>
      <c r="AL4764" s="21">
        <f>_xll.qlInterestRateIndexValueDate(hiborindex,AK4764)</f>
        <v>49340</v>
      </c>
      <c r="AM4764" s="23">
        <f>_xll.qlIndexFixing(hiborindex,AK4764)</f>
        <v>1.0754636251429936E-2</v>
      </c>
    </row>
    <row r="4765" spans="37:39" x14ac:dyDescent="0.25">
      <c r="AK4765" s="21">
        <f>_xll.qlCalendarAdvance(calendar,AK4764,"1D")</f>
        <v>49339</v>
      </c>
      <c r="AL4765" s="21">
        <f>_xll.qlInterestRateIndexValueDate(hiborindex,AK4765)</f>
        <v>49341</v>
      </c>
      <c r="AM4765" s="23">
        <f>_xll.qlIndexFixing(hiborindex,AK4765)</f>
        <v>1.0751048894506595E-2</v>
      </c>
    </row>
    <row r="4766" spans="37:39" x14ac:dyDescent="0.25">
      <c r="AK4766" s="21">
        <f>_xll.qlCalendarAdvance(calendar,AK4765,"1D")</f>
        <v>49340</v>
      </c>
      <c r="AL4766" s="21">
        <f>_xll.qlInterestRateIndexValueDate(hiborindex,AK4766)</f>
        <v>49342</v>
      </c>
      <c r="AM4766" s="23">
        <f>_xll.qlIndexFixing(hiborindex,AK4766)</f>
        <v>1.0747460269760721E-2</v>
      </c>
    </row>
    <row r="4767" spans="37:39" x14ac:dyDescent="0.25">
      <c r="AK4767" s="21">
        <f>_xll.qlCalendarAdvance(calendar,AK4766,"1D")</f>
        <v>49341</v>
      </c>
      <c r="AL4767" s="21">
        <f>_xll.qlInterestRateIndexValueDate(hiborindex,AK4767)</f>
        <v>49345</v>
      </c>
      <c r="AM4767" s="23">
        <f>_xll.qlIndexFixing(hiborindex,AK4767)</f>
        <v>1.0733743208892803E-2</v>
      </c>
    </row>
    <row r="4768" spans="37:39" x14ac:dyDescent="0.25">
      <c r="AK4768" s="21">
        <f>_xll.qlCalendarAdvance(calendar,AK4767,"1D")</f>
        <v>49342</v>
      </c>
      <c r="AL4768" s="21">
        <f>_xll.qlInterestRateIndexValueDate(hiborindex,AK4768)</f>
        <v>49346</v>
      </c>
      <c r="AM4768" s="23">
        <f>_xll.qlIndexFixing(hiborindex,AK4768)</f>
        <v>1.0733093092693231E-2</v>
      </c>
    </row>
    <row r="4769" spans="37:39" x14ac:dyDescent="0.25">
      <c r="AK4769" s="21">
        <f>_xll.qlCalendarAdvance(calendar,AK4768,"1D")</f>
        <v>49345</v>
      </c>
      <c r="AL4769" s="21">
        <f>_xll.qlInterestRateIndexValueDate(hiborindex,AK4769)</f>
        <v>49347</v>
      </c>
      <c r="AM4769" s="23">
        <f>_xll.qlIndexFixing(hiborindex,AK4769)</f>
        <v>1.0729498128939365E-2</v>
      </c>
    </row>
    <row r="4770" spans="37:39" x14ac:dyDescent="0.25">
      <c r="AK4770" s="21">
        <f>_xll.qlCalendarAdvance(calendar,AK4769,"1D")</f>
        <v>49346</v>
      </c>
      <c r="AL4770" s="21">
        <f>_xll.qlInterestRateIndexValueDate(hiborindex,AK4770)</f>
        <v>49348</v>
      </c>
      <c r="AM4770" s="23">
        <f>_xll.qlIndexFixing(hiborindex,AK4770)</f>
        <v>1.072590189740448E-2</v>
      </c>
    </row>
    <row r="4771" spans="37:39" x14ac:dyDescent="0.25">
      <c r="AK4771" s="21">
        <f>_xll.qlCalendarAdvance(calendar,AK4770,"1D")</f>
        <v>49347</v>
      </c>
      <c r="AL4771" s="21">
        <f>_xll.qlInterestRateIndexValueDate(hiborindex,AK4771)</f>
        <v>49349</v>
      </c>
      <c r="AM4771" s="23">
        <f>_xll.qlIndexFixing(hiborindex,AK4771)</f>
        <v>1.0722304398095203E-2</v>
      </c>
    </row>
    <row r="4772" spans="37:39" x14ac:dyDescent="0.25">
      <c r="AK4772" s="21">
        <f>_xll.qlCalendarAdvance(calendar,AK4771,"1D")</f>
        <v>49348</v>
      </c>
      <c r="AL4772" s="21">
        <f>_xll.qlInterestRateIndexValueDate(hiborindex,AK4772)</f>
        <v>49352</v>
      </c>
      <c r="AM4772" s="23">
        <f>_xll.qlIndexFixing(hiborindex,AK4772)</f>
        <v>1.0708723185127026E-2</v>
      </c>
    </row>
    <row r="4773" spans="37:39" x14ac:dyDescent="0.25">
      <c r="AK4773" s="21">
        <f>_xll.qlCalendarAdvance(calendar,AK4772,"1D")</f>
        <v>49349</v>
      </c>
      <c r="AL4773" s="21">
        <f>_xll.qlInterestRateIndexValueDate(hiborindex,AK4773)</f>
        <v>49353</v>
      </c>
      <c r="AM4773" s="23">
        <f>_xll.qlIndexFixing(hiborindex,AK4773)</f>
        <v>1.0707901723252828E-2</v>
      </c>
    </row>
    <row r="4774" spans="37:39" x14ac:dyDescent="0.25">
      <c r="AK4774" s="21">
        <f>_xll.qlCalendarAdvance(calendar,AK4773,"1D")</f>
        <v>49352</v>
      </c>
      <c r="AL4774" s="21">
        <f>_xll.qlInterestRateIndexValueDate(hiborindex,AK4774)</f>
        <v>49354</v>
      </c>
      <c r="AM4774" s="23">
        <f>_xll.qlIndexFixing(hiborindex,AK4774)</f>
        <v>1.0704297885175365E-2</v>
      </c>
    </row>
    <row r="4775" spans="37:39" x14ac:dyDescent="0.25">
      <c r="AK4775" s="21">
        <f>_xll.qlCalendarAdvance(calendar,AK4774,"1D")</f>
        <v>49353</v>
      </c>
      <c r="AL4775" s="21">
        <f>_xll.qlInterestRateIndexValueDate(hiborindex,AK4775)</f>
        <v>49355</v>
      </c>
      <c r="AM4775" s="23">
        <f>_xll.qlIndexFixing(hiborindex,AK4775)</f>
        <v>1.0700692779365023E-2</v>
      </c>
    </row>
    <row r="4776" spans="37:39" x14ac:dyDescent="0.25">
      <c r="AK4776" s="21">
        <f>_xll.qlCalendarAdvance(calendar,AK4775,"1D")</f>
        <v>49354</v>
      </c>
      <c r="AL4776" s="21">
        <f>_xll.qlInterestRateIndexValueDate(hiborindex,AK4776)</f>
        <v>49356</v>
      </c>
      <c r="AM4776" s="23">
        <f>_xll.qlIndexFixing(hiborindex,AK4776)</f>
        <v>1.0697086405828426E-2</v>
      </c>
    </row>
    <row r="4777" spans="37:39" x14ac:dyDescent="0.25">
      <c r="AK4777" s="21">
        <f>_xll.qlCalendarAdvance(calendar,AK4776,"1D")</f>
        <v>49355</v>
      </c>
      <c r="AL4777" s="21">
        <f>_xll.qlInterestRateIndexValueDate(hiborindex,AK4777)</f>
        <v>49359</v>
      </c>
      <c r="AM4777" s="23">
        <f>_xll.qlIndexFixing(hiborindex,AK4777)</f>
        <v>1.068364138071911E-2</v>
      </c>
    </row>
    <row r="4778" spans="37:39" x14ac:dyDescent="0.25">
      <c r="AK4778" s="21">
        <f>_xll.qlCalendarAdvance(calendar,AK4777,"1D")</f>
        <v>49356</v>
      </c>
      <c r="AL4778" s="21">
        <f>_xll.qlInterestRateIndexValueDate(hiborindex,AK4778)</f>
        <v>49360</v>
      </c>
      <c r="AM4778" s="23">
        <f>_xll.qlIndexFixing(hiborindex,AK4778)</f>
        <v>1.0682648234558154E-2</v>
      </c>
    </row>
    <row r="4779" spans="37:39" x14ac:dyDescent="0.25">
      <c r="AK4779" s="21">
        <f>_xll.qlCalendarAdvance(calendar,AK4778,"1D")</f>
        <v>49359</v>
      </c>
      <c r="AL4779" s="21">
        <f>_xll.qlInterestRateIndexValueDate(hiborindex,AK4779)</f>
        <v>49361</v>
      </c>
      <c r="AM4779" s="23">
        <f>_xll.qlIndexFixing(hiborindex,AK4779)</f>
        <v>1.0679035522494064E-2</v>
      </c>
    </row>
    <row r="4780" spans="37:39" x14ac:dyDescent="0.25">
      <c r="AK4780" s="21">
        <f>_xll.qlCalendarAdvance(calendar,AK4779,"1D")</f>
        <v>49360</v>
      </c>
      <c r="AL4780" s="21">
        <f>_xll.qlInterestRateIndexValueDate(hiborindex,AK4780)</f>
        <v>49362</v>
      </c>
      <c r="AM4780" s="23">
        <f>_xll.qlIndexFixing(hiborindex,AK4780)</f>
        <v>1.0675421542745672E-2</v>
      </c>
    </row>
    <row r="4781" spans="37:39" x14ac:dyDescent="0.25">
      <c r="AK4781" s="21">
        <f>_xll.qlCalendarAdvance(calendar,AK4780,"1D")</f>
        <v>49361</v>
      </c>
      <c r="AL4781" s="21">
        <f>_xll.qlInterestRateIndexValueDate(hiborindex,AK4781)</f>
        <v>49363</v>
      </c>
      <c r="AM4781" s="23">
        <f>_xll.qlIndexFixing(hiborindex,AK4781)</f>
        <v>1.0671806295318723E-2</v>
      </c>
    </row>
    <row r="4782" spans="37:39" x14ac:dyDescent="0.25">
      <c r="AK4782" s="21">
        <f>_xll.qlCalendarAdvance(calendar,AK4781,"1D")</f>
        <v>49362</v>
      </c>
      <c r="AL4782" s="21">
        <f>_xll.qlInterestRateIndexValueDate(hiborindex,AK4782)</f>
        <v>49366</v>
      </c>
      <c r="AM4782" s="23">
        <f>_xll.qlIndexFixing(hiborindex,AK4782)</f>
        <v>1.0658497798014869E-2</v>
      </c>
    </row>
    <row r="4783" spans="37:39" x14ac:dyDescent="0.25">
      <c r="AK4783" s="21">
        <f>_xll.qlCalendarAdvance(calendar,AK4782,"1D")</f>
        <v>49363</v>
      </c>
      <c r="AL4783" s="21">
        <f>_xll.qlInterestRateIndexValueDate(hiborindex,AK4783)</f>
        <v>49367</v>
      </c>
      <c r="AM4783" s="23">
        <f>_xll.qlIndexFixing(hiborindex,AK4783)</f>
        <v>1.0657332628971077E-2</v>
      </c>
    </row>
    <row r="4784" spans="37:39" x14ac:dyDescent="0.25">
      <c r="AK4784" s="21">
        <f>_xll.qlCalendarAdvance(calendar,AK4783,"1D")</f>
        <v>49366</v>
      </c>
      <c r="AL4784" s="21">
        <f>_xll.qlInterestRateIndexValueDate(hiborindex,AK4784)</f>
        <v>49368</v>
      </c>
      <c r="AM4784" s="23">
        <f>_xll.qlIndexFixing(hiborindex,AK4784)</f>
        <v>1.0646579381609551E-2</v>
      </c>
    </row>
    <row r="4785" spans="37:39" x14ac:dyDescent="0.25">
      <c r="AK4785" s="21">
        <f>_xll.qlCalendarAdvance(calendar,AK4784,"1D")</f>
        <v>49367</v>
      </c>
      <c r="AL4785" s="21">
        <f>_xll.qlInterestRateIndexValueDate(hiborindex,AK4785)</f>
        <v>49369</v>
      </c>
      <c r="AM4785" s="23">
        <f>_xll.qlIndexFixing(hiborindex,AK4785)</f>
        <v>1.0638469223727203E-2</v>
      </c>
    </row>
    <row r="4786" spans="37:39" x14ac:dyDescent="0.25">
      <c r="AK4786" s="21">
        <f>_xll.qlCalendarAdvance(calendar,AK4785,"1D")</f>
        <v>49368</v>
      </c>
      <c r="AL4786" s="21">
        <f>_xll.qlInterestRateIndexValueDate(hiborindex,AK4786)</f>
        <v>49370</v>
      </c>
      <c r="AM4786" s="23">
        <f>_xll.qlIndexFixing(hiborindex,AK4786)</f>
        <v>1.0637200466858185E-2</v>
      </c>
    </row>
    <row r="4787" spans="37:39" x14ac:dyDescent="0.25">
      <c r="AK4787" s="21">
        <f>_xll.qlCalendarAdvance(calendar,AK4786,"1D")</f>
        <v>49369</v>
      </c>
      <c r="AL4787" s="21">
        <f>_xll.qlInterestRateIndexValueDate(hiborindex,AK4787)</f>
        <v>49373</v>
      </c>
      <c r="AM4787" s="23">
        <f>_xll.qlIndexFixing(hiborindex,AK4787)</f>
        <v>1.0628799067790018E-2</v>
      </c>
    </row>
    <row r="4788" spans="37:39" x14ac:dyDescent="0.25">
      <c r="AK4788" s="21">
        <f>_xll.qlCalendarAdvance(calendar,AK4787,"1D")</f>
        <v>49370</v>
      </c>
      <c r="AL4788" s="21">
        <f>_xll.qlInterestRateIndexValueDate(hiborindex,AK4788)</f>
        <v>49374</v>
      </c>
      <c r="AM4788" s="23">
        <f>_xll.qlIndexFixing(hiborindex,AK4788)</f>
        <v>1.0625239263764552E-2</v>
      </c>
    </row>
    <row r="4789" spans="37:39" x14ac:dyDescent="0.25">
      <c r="AK4789" s="21">
        <f>_xll.qlCalendarAdvance(calendar,AK4788,"1D")</f>
        <v>49373</v>
      </c>
      <c r="AL4789" s="21">
        <f>_xll.qlInterestRateIndexValueDate(hiborindex,AK4789)</f>
        <v>49375</v>
      </c>
      <c r="AM4789" s="23">
        <f>_xll.qlIndexFixing(hiborindex,AK4789)</f>
        <v>1.0621678212667072E-2</v>
      </c>
    </row>
    <row r="4790" spans="37:39" x14ac:dyDescent="0.25">
      <c r="AK4790" s="21">
        <f>_xll.qlCalendarAdvance(calendar,AK4789,"1D")</f>
        <v>49374</v>
      </c>
      <c r="AL4790" s="21">
        <f>_xll.qlInterestRateIndexValueDate(hiborindex,AK4790)</f>
        <v>49376</v>
      </c>
      <c r="AM4790" s="23">
        <f>_xll.qlIndexFixing(hiborindex,AK4790)</f>
        <v>1.061387434188767E-2</v>
      </c>
    </row>
    <row r="4791" spans="37:39" x14ac:dyDescent="0.25">
      <c r="AK4791" s="21">
        <f>_xll.qlCalendarAdvance(calendar,AK4790,"1D")</f>
        <v>49375</v>
      </c>
      <c r="AL4791" s="21">
        <f>_xll.qlInterestRateIndexValueDate(hiborindex,AK4791)</f>
        <v>49377</v>
      </c>
      <c r="AM4791" s="23">
        <f>_xll.qlIndexFixing(hiborindex,AK4791)</f>
        <v>1.0612440244714888E-2</v>
      </c>
    </row>
    <row r="4792" spans="37:39" x14ac:dyDescent="0.25">
      <c r="AK4792" s="21">
        <f>_xll.qlCalendarAdvance(calendar,AK4791,"1D")</f>
        <v>49376</v>
      </c>
      <c r="AL4792" s="21">
        <f>_xll.qlInterestRateIndexValueDate(hiborindex,AK4792)</f>
        <v>49380</v>
      </c>
      <c r="AM4792" s="23">
        <f>_xll.qlIndexFixing(hiborindex,AK4792)</f>
        <v>1.0603854251348882E-2</v>
      </c>
    </row>
    <row r="4793" spans="37:39" x14ac:dyDescent="0.25">
      <c r="AK4793" s="21">
        <f>_xll.qlCalendarAdvance(calendar,AK4792,"1D")</f>
        <v>49377</v>
      </c>
      <c r="AL4793" s="21">
        <f>_xll.qlInterestRateIndexValueDate(hiborindex,AK4793)</f>
        <v>49381</v>
      </c>
      <c r="AM4793" s="23">
        <f>_xll.qlIndexFixing(hiborindex,AK4793)</f>
        <v>1.0600285717966611E-2</v>
      </c>
    </row>
    <row r="4794" spans="37:39" x14ac:dyDescent="0.25">
      <c r="AK4794" s="21">
        <f>_xll.qlCalendarAdvance(calendar,AK4793,"1D")</f>
        <v>49380</v>
      </c>
      <c r="AL4794" s="21">
        <f>_xll.qlInterestRateIndexValueDate(hiborindex,AK4794)</f>
        <v>49382</v>
      </c>
      <c r="AM4794" s="23">
        <f>_xll.qlIndexFixing(hiborindex,AK4794)</f>
        <v>1.0596715937560118E-2</v>
      </c>
    </row>
    <row r="4795" spans="37:39" x14ac:dyDescent="0.25">
      <c r="AK4795" s="21">
        <f>_xll.qlCalendarAdvance(calendar,AK4794,"1D")</f>
        <v>49381</v>
      </c>
      <c r="AL4795" s="21">
        <f>_xll.qlInterestRateIndexValueDate(hiborindex,AK4795)</f>
        <v>49383</v>
      </c>
      <c r="AM4795" s="23">
        <f>_xll.qlIndexFixing(hiborindex,AK4795)</f>
        <v>1.0589219006622646E-2</v>
      </c>
    </row>
    <row r="4796" spans="37:39" x14ac:dyDescent="0.25">
      <c r="AK4796" s="21">
        <f>_xll.qlCalendarAdvance(calendar,AK4795,"1D")</f>
        <v>49382</v>
      </c>
      <c r="AL4796" s="21">
        <f>_xll.qlInterestRateIndexValueDate(hiborindex,AK4796)</f>
        <v>49384</v>
      </c>
      <c r="AM4796" s="23">
        <f>_xll.qlIndexFixing(hiborindex,AK4796)</f>
        <v>1.0587619245036803E-2</v>
      </c>
    </row>
    <row r="4797" spans="37:39" x14ac:dyDescent="0.25">
      <c r="AK4797" s="21">
        <f>_xll.qlCalendarAdvance(calendar,AK4796,"1D")</f>
        <v>49383</v>
      </c>
      <c r="AL4797" s="21">
        <f>_xll.qlInterestRateIndexValueDate(hiborindex,AK4797)</f>
        <v>49387</v>
      </c>
      <c r="AM4797" s="23">
        <f>_xll.qlIndexFixing(hiborindex,AK4797)</f>
        <v>1.0578848330409327E-2</v>
      </c>
    </row>
    <row r="4798" spans="37:39" x14ac:dyDescent="0.25">
      <c r="AK4798" s="21">
        <f>_xll.qlCalendarAdvance(calendar,AK4797,"1D")</f>
        <v>49384</v>
      </c>
      <c r="AL4798" s="21">
        <f>_xll.qlInterestRateIndexValueDate(hiborindex,AK4798)</f>
        <v>49388</v>
      </c>
      <c r="AM4798" s="23">
        <f>_xll.qlIndexFixing(hiborindex,AK4798)</f>
        <v>1.0575271068003466E-2</v>
      </c>
    </row>
    <row r="4799" spans="37:39" x14ac:dyDescent="0.25">
      <c r="AK4799" s="21">
        <f>_xll.qlCalendarAdvance(calendar,AK4798,"1D")</f>
        <v>49387</v>
      </c>
      <c r="AL4799" s="21">
        <f>_xll.qlInterestRateIndexValueDate(hiborindex,AK4799)</f>
        <v>49389</v>
      </c>
      <c r="AM4799" s="23">
        <f>_xll.qlIndexFixing(hiborindex,AK4799)</f>
        <v>1.0571692558621604E-2</v>
      </c>
    </row>
    <row r="4800" spans="37:39" x14ac:dyDescent="0.25">
      <c r="AK4800" s="21">
        <f>_xll.qlCalendarAdvance(calendar,AK4799,"1D")</f>
        <v>49388</v>
      </c>
      <c r="AL4800" s="21">
        <f>_xll.qlInterestRateIndexValueDate(hiborindex,AK4800)</f>
        <v>49390</v>
      </c>
      <c r="AM4800" s="23">
        <f>_xll.qlIndexFixing(hiborindex,AK4800)</f>
        <v>1.0564503220238242E-2</v>
      </c>
    </row>
    <row r="4801" spans="37:39" x14ac:dyDescent="0.25">
      <c r="AK4801" s="21">
        <f>_xll.qlCalendarAdvance(calendar,AK4800,"1D")</f>
        <v>49389</v>
      </c>
      <c r="AL4801" s="21">
        <f>_xll.qlInterestRateIndexValueDate(hiborindex,AK4801)</f>
        <v>49395</v>
      </c>
      <c r="AM4801" s="23">
        <f>_xll.qlIndexFixing(hiborindex,AK4801)</f>
        <v>1.0550195316214548E-2</v>
      </c>
    </row>
    <row r="4802" spans="37:39" x14ac:dyDescent="0.25">
      <c r="AK4802" s="21">
        <f>_xll.qlCalendarAdvance(calendar,AK4801,"1D")</f>
        <v>49390</v>
      </c>
      <c r="AL4802" s="21">
        <f>_xll.qlInterestRateIndexValueDate(hiborindex,AK4802)</f>
        <v>49396</v>
      </c>
      <c r="AM4802" s="23">
        <f>_xll.qlIndexFixing(hiborindex,AK4802)</f>
        <v>1.0546608078191397E-2</v>
      </c>
    </row>
    <row r="4803" spans="37:39" x14ac:dyDescent="0.25">
      <c r="AK4803" s="21">
        <f>_xll.qlCalendarAdvance(calendar,AK4802,"1D")</f>
        <v>49395</v>
      </c>
      <c r="AL4803" s="21">
        <f>_xll.qlInterestRateIndexValueDate(hiborindex,AK4803)</f>
        <v>49397</v>
      </c>
      <c r="AM4803" s="23">
        <f>_xll.qlIndexFixing(hiborindex,AK4803)</f>
        <v>1.0544700546494895E-2</v>
      </c>
    </row>
    <row r="4804" spans="37:39" x14ac:dyDescent="0.25">
      <c r="AK4804" s="21">
        <f>_xll.qlCalendarAdvance(calendar,AK4803,"1D")</f>
        <v>49396</v>
      </c>
      <c r="AL4804" s="21">
        <f>_xll.qlInterestRateIndexValueDate(hiborindex,AK4804)</f>
        <v>49398</v>
      </c>
      <c r="AM4804" s="23">
        <f>_xll.qlIndexFixing(hiborindex,AK4804)</f>
        <v>1.054276904369237E-2</v>
      </c>
    </row>
    <row r="4805" spans="37:39" x14ac:dyDescent="0.25">
      <c r="AK4805" s="21">
        <f>_xll.qlCalendarAdvance(calendar,AK4804,"1D")</f>
        <v>49397</v>
      </c>
      <c r="AL4805" s="21">
        <f>_xll.qlInterestRateIndexValueDate(hiborindex,AK4805)</f>
        <v>49401</v>
      </c>
      <c r="AM4805" s="23">
        <f>_xll.qlIndexFixing(hiborindex,AK4805)</f>
        <v>1.0530241941334543E-2</v>
      </c>
    </row>
    <row r="4806" spans="37:39" x14ac:dyDescent="0.25">
      <c r="AK4806" s="21">
        <f>_xll.qlCalendarAdvance(calendar,AK4805,"1D")</f>
        <v>49398</v>
      </c>
      <c r="AL4806" s="21">
        <f>_xll.qlInterestRateIndexValueDate(hiborindex,AK4806)</f>
        <v>49402</v>
      </c>
      <c r="AM4806" s="23">
        <f>_xll.qlIndexFixing(hiborindex,AK4806)</f>
        <v>1.0526624155896759E-2</v>
      </c>
    </row>
    <row r="4807" spans="37:39" x14ac:dyDescent="0.25">
      <c r="AK4807" s="21">
        <f>_xll.qlCalendarAdvance(calendar,AK4806,"1D")</f>
        <v>49401</v>
      </c>
      <c r="AL4807" s="21">
        <f>_xll.qlInterestRateIndexValueDate(hiborindex,AK4807)</f>
        <v>49403</v>
      </c>
      <c r="AM4807" s="23">
        <f>_xll.qlIndexFixing(hiborindex,AK4807)</f>
        <v>1.0523005116813046E-2</v>
      </c>
    </row>
    <row r="4808" spans="37:39" x14ac:dyDescent="0.25">
      <c r="AK4808" s="21">
        <f>_xll.qlCalendarAdvance(calendar,AK4807,"1D")</f>
        <v>49402</v>
      </c>
      <c r="AL4808" s="21">
        <f>_xll.qlInterestRateIndexValueDate(hiborindex,AK4808)</f>
        <v>49404</v>
      </c>
      <c r="AM4808" s="23">
        <f>_xll.qlIndexFixing(hiborindex,AK4808)</f>
        <v>1.0519384824091264E-2</v>
      </c>
    </row>
    <row r="4809" spans="37:39" x14ac:dyDescent="0.25">
      <c r="AK4809" s="21">
        <f>_xll.qlCalendarAdvance(calendar,AK4808,"1D")</f>
        <v>49403</v>
      </c>
      <c r="AL4809" s="21">
        <f>_xll.qlInterestRateIndexValueDate(hiborindex,AK4809)</f>
        <v>49405</v>
      </c>
      <c r="AM4809" s="23">
        <f>_xll.qlIndexFixing(hiborindex,AK4809)</f>
        <v>1.0512791604034467E-2</v>
      </c>
    </row>
    <row r="4810" spans="37:39" x14ac:dyDescent="0.25">
      <c r="AK4810" s="21">
        <f>_xll.qlCalendarAdvance(calendar,AK4809,"1D")</f>
        <v>49404</v>
      </c>
      <c r="AL4810" s="21">
        <f>_xll.qlInterestRateIndexValueDate(hiborindex,AK4810)</f>
        <v>49408</v>
      </c>
      <c r="AM4810" s="23">
        <f>_xll.qlIndexFixing(hiborindex,AK4810)</f>
        <v>1.0504891116956251E-2</v>
      </c>
    </row>
    <row r="4811" spans="37:39" x14ac:dyDescent="0.25">
      <c r="AK4811" s="21">
        <f>_xll.qlCalendarAdvance(calendar,AK4810,"1D")</f>
        <v>49405</v>
      </c>
      <c r="AL4811" s="21">
        <f>_xll.qlInterestRateIndexValueDate(hiborindex,AK4811)</f>
        <v>49409</v>
      </c>
      <c r="AM4811" s="23">
        <f>_xll.qlIndexFixing(hiborindex,AK4811)</f>
        <v>1.0501264556145034E-2</v>
      </c>
    </row>
    <row r="4812" spans="37:39" x14ac:dyDescent="0.25">
      <c r="AK4812" s="21">
        <f>_xll.qlCalendarAdvance(calendar,AK4811,"1D")</f>
        <v>49408</v>
      </c>
      <c r="AL4812" s="21">
        <f>_xll.qlInterestRateIndexValueDate(hiborindex,AK4812)</f>
        <v>49410</v>
      </c>
      <c r="AM4812" s="23">
        <f>_xll.qlIndexFixing(hiborindex,AK4812)</f>
        <v>1.049763674173681E-2</v>
      </c>
    </row>
    <row r="4813" spans="37:39" x14ac:dyDescent="0.25">
      <c r="AK4813" s="21">
        <f>_xll.qlCalendarAdvance(calendar,AK4812,"1D")</f>
        <v>49409</v>
      </c>
      <c r="AL4813" s="21">
        <f>_xll.qlInterestRateIndexValueDate(hiborindex,AK4813)</f>
        <v>49411</v>
      </c>
      <c r="AM4813" s="23">
        <f>_xll.qlIndexFixing(hiborindex,AK4813)</f>
        <v>1.0494007673738566E-2</v>
      </c>
    </row>
    <row r="4814" spans="37:39" x14ac:dyDescent="0.25">
      <c r="AK4814" s="21">
        <f>_xll.qlCalendarAdvance(calendar,AK4813,"1D")</f>
        <v>49410</v>
      </c>
      <c r="AL4814" s="21">
        <f>_xll.qlInterestRateIndexValueDate(hiborindex,AK4814)</f>
        <v>49412</v>
      </c>
      <c r="AM4814" s="23">
        <f>_xll.qlIndexFixing(hiborindex,AK4814)</f>
        <v>1.0487727517484668E-2</v>
      </c>
    </row>
    <row r="4815" spans="37:39" x14ac:dyDescent="0.25">
      <c r="AK4815" s="21">
        <f>_xll.qlCalendarAdvance(calendar,AK4814,"1D")</f>
        <v>49411</v>
      </c>
      <c r="AL4815" s="21">
        <f>_xll.qlInterestRateIndexValueDate(hiborindex,AK4815)</f>
        <v>49415</v>
      </c>
      <c r="AM4815" s="23">
        <f>_xll.qlIndexFixing(hiborindex,AK4815)</f>
        <v>1.0479478865983875E-2</v>
      </c>
    </row>
    <row r="4816" spans="37:39" x14ac:dyDescent="0.25">
      <c r="AK4816" s="21">
        <f>_xll.qlCalendarAdvance(calendar,AK4815,"1D")</f>
        <v>49412</v>
      </c>
      <c r="AL4816" s="21">
        <f>_xll.qlInterestRateIndexValueDate(hiborindex,AK4816)</f>
        <v>49416</v>
      </c>
      <c r="AM4816" s="23">
        <f>_xll.qlIndexFixing(hiborindex,AK4816)</f>
        <v>1.04758435301395E-2</v>
      </c>
    </row>
    <row r="4817" spans="37:39" x14ac:dyDescent="0.25">
      <c r="AK4817" s="21">
        <f>_xll.qlCalendarAdvance(calendar,AK4816,"1D")</f>
        <v>49415</v>
      </c>
      <c r="AL4817" s="21">
        <f>_xll.qlInterestRateIndexValueDate(hiborindex,AK4817)</f>
        <v>49417</v>
      </c>
      <c r="AM4817" s="23">
        <f>_xll.qlIndexFixing(hiborindex,AK4817)</f>
        <v>1.0472206940746165E-2</v>
      </c>
    </row>
    <row r="4818" spans="37:39" x14ac:dyDescent="0.25">
      <c r="AK4818" s="21">
        <f>_xll.qlCalendarAdvance(calendar,AK4817,"1D")</f>
        <v>49416</v>
      </c>
      <c r="AL4818" s="21">
        <f>_xll.qlInterestRateIndexValueDate(hiborindex,AK4818)</f>
        <v>49418</v>
      </c>
      <c r="AM4818" s="23">
        <f>_xll.qlIndexFixing(hiborindex,AK4818)</f>
        <v>1.0468569097811735E-2</v>
      </c>
    </row>
    <row r="4819" spans="37:39" x14ac:dyDescent="0.25">
      <c r="AK4819" s="21">
        <f>_xll.qlCalendarAdvance(calendar,AK4818,"1D")</f>
        <v>49417</v>
      </c>
      <c r="AL4819" s="21">
        <f>_xll.qlInterestRateIndexValueDate(hiborindex,AK4819)</f>
        <v>49419</v>
      </c>
      <c r="AM4819" s="23">
        <f>_xll.qlIndexFixing(hiborindex,AK4819)</f>
        <v>1.0462602665062536E-2</v>
      </c>
    </row>
    <row r="4820" spans="37:39" x14ac:dyDescent="0.25">
      <c r="AK4820" s="21">
        <f>_xll.qlCalendarAdvance(calendar,AK4819,"1D")</f>
        <v>49418</v>
      </c>
      <c r="AL4820" s="21">
        <f>_xll.qlInterestRateIndexValueDate(hiborindex,AK4820)</f>
        <v>49422</v>
      </c>
      <c r="AM4820" s="23">
        <f>_xll.qlIndexFixing(hiborindex,AK4820)</f>
        <v>1.0454005190795404E-2</v>
      </c>
    </row>
    <row r="4821" spans="37:39" x14ac:dyDescent="0.25">
      <c r="AK4821" s="21">
        <f>_xll.qlCalendarAdvance(calendar,AK4820,"1D")</f>
        <v>49419</v>
      </c>
      <c r="AL4821" s="21">
        <f>_xll.qlInterestRateIndexValueDate(hiborindex,AK4821)</f>
        <v>49423</v>
      </c>
      <c r="AM4821" s="23">
        <f>_xll.qlIndexFixing(hiborindex,AK4821)</f>
        <v>1.0450361080257707E-2</v>
      </c>
    </row>
    <row r="4822" spans="37:39" x14ac:dyDescent="0.25">
      <c r="AK4822" s="21">
        <f>_xll.qlCalendarAdvance(calendar,AK4821,"1D")</f>
        <v>49422</v>
      </c>
      <c r="AL4822" s="21">
        <f>_xll.qlInterestRateIndexValueDate(hiborindex,AK4822)</f>
        <v>49424</v>
      </c>
      <c r="AM4822" s="23">
        <f>_xll.qlIndexFixing(hiborindex,AK4822)</f>
        <v>1.0446715716219098E-2</v>
      </c>
    </row>
    <row r="4823" spans="37:39" x14ac:dyDescent="0.25">
      <c r="AK4823" s="21">
        <f>_xll.qlCalendarAdvance(calendar,AK4822,"1D")</f>
        <v>49423</v>
      </c>
      <c r="AL4823" s="21">
        <f>_xll.qlInterestRateIndexValueDate(hiborindex,AK4823)</f>
        <v>49425</v>
      </c>
      <c r="AM4823" s="23">
        <f>_xll.qlIndexFixing(hiborindex,AK4823)</f>
        <v>1.0443069098687882E-2</v>
      </c>
    </row>
    <row r="4824" spans="37:39" x14ac:dyDescent="0.25">
      <c r="AK4824" s="21">
        <f>_xll.qlCalendarAdvance(calendar,AK4823,"1D")</f>
        <v>49424</v>
      </c>
      <c r="AL4824" s="21">
        <f>_xll.qlInterestRateIndexValueDate(hiborindex,AK4824)</f>
        <v>49426</v>
      </c>
      <c r="AM4824" s="23">
        <f>_xll.qlIndexFixing(hiborindex,AK4824)</f>
        <v>1.0437417049116894E-2</v>
      </c>
    </row>
    <row r="4825" spans="37:39" x14ac:dyDescent="0.25">
      <c r="AK4825" s="21">
        <f>_xll.qlCalendarAdvance(calendar,AK4824,"1D")</f>
        <v>49425</v>
      </c>
      <c r="AL4825" s="21">
        <f>_xll.qlInterestRateIndexValueDate(hiborindex,AK4825)</f>
        <v>49429</v>
      </c>
      <c r="AM4825" s="23">
        <f>_xll.qlIndexFixing(hiborindex,AK4825)</f>
        <v>1.0427529741643647E-2</v>
      </c>
    </row>
    <row r="4826" spans="37:39" x14ac:dyDescent="0.25">
      <c r="AK4826" s="21">
        <f>_xll.qlCalendarAdvance(calendar,AK4825,"1D")</f>
        <v>49426</v>
      </c>
      <c r="AL4826" s="21">
        <f>_xll.qlInterestRateIndexValueDate(hiborindex,AK4826)</f>
        <v>49431</v>
      </c>
      <c r="AM4826" s="23">
        <f>_xll.qlIndexFixing(hiborindex,AK4826)</f>
        <v>1.0420269235970881E-2</v>
      </c>
    </row>
    <row r="4827" spans="37:39" x14ac:dyDescent="0.25">
      <c r="AK4827" s="21">
        <f>_xll.qlCalendarAdvance(calendar,AK4826,"1D")</f>
        <v>49429</v>
      </c>
      <c r="AL4827" s="21">
        <f>_xll.qlInterestRateIndexValueDate(hiborindex,AK4827)</f>
        <v>49432</v>
      </c>
      <c r="AM4827" s="23">
        <f>_xll.qlIndexFixing(hiborindex,AK4827)</f>
        <v>1.0414939158236722E-2</v>
      </c>
    </row>
    <row r="4828" spans="37:39" x14ac:dyDescent="0.25">
      <c r="AK4828" s="21">
        <f>_xll.qlCalendarAdvance(calendar,AK4827,"1D")</f>
        <v>49431</v>
      </c>
      <c r="AL4828" s="21">
        <f>_xll.qlInterestRateIndexValueDate(hiborindex,AK4828)</f>
        <v>49433</v>
      </c>
      <c r="AM4828" s="23">
        <f>_xll.qlIndexFixing(hiborindex,AK4828)</f>
        <v>1.0412170672003045E-2</v>
      </c>
    </row>
    <row r="4829" spans="37:39" x14ac:dyDescent="0.25">
      <c r="AK4829" s="21">
        <f>_xll.qlCalendarAdvance(calendar,AK4828,"1D")</f>
        <v>49432</v>
      </c>
      <c r="AL4829" s="21">
        <f>_xll.qlInterestRateIndexValueDate(hiborindex,AK4829)</f>
        <v>49436</v>
      </c>
      <c r="AM4829" s="23">
        <f>_xll.qlIndexFixing(hiborindex,AK4829)</f>
        <v>1.0402096155005151E-2</v>
      </c>
    </row>
    <row r="4830" spans="37:39" x14ac:dyDescent="0.25">
      <c r="AK4830" s="21">
        <f>_xll.qlCalendarAdvance(calendar,AK4829,"1D")</f>
        <v>49433</v>
      </c>
      <c r="AL4830" s="21">
        <f>_xll.qlInterestRateIndexValueDate(hiborindex,AK4830)</f>
        <v>49437</v>
      </c>
      <c r="AM4830" s="23">
        <f>_xll.qlIndexFixing(hiborindex,AK4830)</f>
        <v>1.0398457798847493E-2</v>
      </c>
    </row>
    <row r="4831" spans="37:39" x14ac:dyDescent="0.25">
      <c r="AK4831" s="21">
        <f>_xll.qlCalendarAdvance(calendar,AK4830,"1D")</f>
        <v>49436</v>
      </c>
      <c r="AL4831" s="21">
        <f>_xll.qlInterestRateIndexValueDate(hiborindex,AK4831)</f>
        <v>49438</v>
      </c>
      <c r="AM4831" s="23">
        <f>_xll.qlIndexFixing(hiborindex,AK4831)</f>
        <v>1.0394818196050955E-2</v>
      </c>
    </row>
    <row r="4832" spans="37:39" x14ac:dyDescent="0.25">
      <c r="AK4832" s="21">
        <f>_xll.qlCalendarAdvance(calendar,AK4831,"1D")</f>
        <v>49437</v>
      </c>
      <c r="AL4832" s="21">
        <f>_xll.qlInterestRateIndexValueDate(hiborindex,AK4832)</f>
        <v>49439</v>
      </c>
      <c r="AM4832" s="23">
        <f>_xll.qlIndexFixing(hiborindex,AK4832)</f>
        <v>1.0389800279042499E-2</v>
      </c>
    </row>
    <row r="4833" spans="37:39" x14ac:dyDescent="0.25">
      <c r="AK4833" s="21">
        <f>_xll.qlCalendarAdvance(calendar,AK4832,"1D")</f>
        <v>49438</v>
      </c>
      <c r="AL4833" s="21">
        <f>_xll.qlInterestRateIndexValueDate(hiborindex,AK4833)</f>
        <v>49440</v>
      </c>
      <c r="AM4833" s="23">
        <f>_xll.qlIndexFixing(hiborindex,AK4833)</f>
        <v>1.0386863536081051E-2</v>
      </c>
    </row>
    <row r="4834" spans="37:39" x14ac:dyDescent="0.25">
      <c r="AK4834" s="21">
        <f>_xll.qlCalendarAdvance(calendar,AK4833,"1D")</f>
        <v>49439</v>
      </c>
      <c r="AL4834" s="21">
        <f>_xll.qlInterestRateIndexValueDate(hiborindex,AK4834)</f>
        <v>49443</v>
      </c>
      <c r="AM4834" s="23">
        <f>_xll.qlIndexFixing(hiborindex,AK4834)</f>
        <v>1.0376601482733581E-2</v>
      </c>
    </row>
    <row r="4835" spans="37:39" x14ac:dyDescent="0.25">
      <c r="AK4835" s="21">
        <f>_xll.qlCalendarAdvance(calendar,AK4834,"1D")</f>
        <v>49440</v>
      </c>
      <c r="AL4835" s="21">
        <f>_xll.qlInterestRateIndexValueDate(hiborindex,AK4835)</f>
        <v>49444</v>
      </c>
      <c r="AM4835" s="23">
        <f>_xll.qlIndexFixing(hiborindex,AK4835)</f>
        <v>1.0372954400251478E-2</v>
      </c>
    </row>
    <row r="4836" spans="37:39" x14ac:dyDescent="0.25">
      <c r="AK4836" s="21">
        <f>_xll.qlCalendarAdvance(calendar,AK4835,"1D")</f>
        <v>49443</v>
      </c>
      <c r="AL4836" s="21">
        <f>_xll.qlInterestRateIndexValueDate(hiborindex,AK4836)</f>
        <v>49445</v>
      </c>
      <c r="AM4836" s="23">
        <f>_xll.qlIndexFixing(hiborindex,AK4836)</f>
        <v>1.0369306071179151E-2</v>
      </c>
    </row>
    <row r="4837" spans="37:39" x14ac:dyDescent="0.25">
      <c r="AK4837" s="21">
        <f>_xll.qlCalendarAdvance(calendar,AK4836,"1D")</f>
        <v>49444</v>
      </c>
      <c r="AL4837" s="21">
        <f>_xll.qlInterestRateIndexValueDate(hiborindex,AK4837)</f>
        <v>49446</v>
      </c>
      <c r="AM4837" s="23">
        <f>_xll.qlIndexFixing(hiborindex,AK4837)</f>
        <v>1.0364600967376346E-2</v>
      </c>
    </row>
    <row r="4838" spans="37:39" x14ac:dyDescent="0.25">
      <c r="AK4838" s="21">
        <f>_xll.qlCalendarAdvance(calendar,AK4837,"1D")</f>
        <v>49445</v>
      </c>
      <c r="AL4838" s="21">
        <f>_xll.qlInterestRateIndexValueDate(hiborindex,AK4838)</f>
        <v>49447</v>
      </c>
      <c r="AM4838" s="23">
        <f>_xll.qlIndexFixing(hiborindex,AK4838)</f>
        <v>1.0361495643717881E-2</v>
      </c>
    </row>
    <row r="4839" spans="37:39" x14ac:dyDescent="0.25">
      <c r="AK4839" s="21">
        <f>_xll.qlCalendarAdvance(calendar,AK4838,"1D")</f>
        <v>49446</v>
      </c>
      <c r="AL4839" s="21">
        <f>_xll.qlInterestRateIndexValueDate(hiborindex,AK4839)</f>
        <v>49450</v>
      </c>
      <c r="AM4839" s="23">
        <f>_xll.qlIndexFixing(hiborindex,AK4839)</f>
        <v>1.0351045727213118E-2</v>
      </c>
    </row>
    <row r="4840" spans="37:39" x14ac:dyDescent="0.25">
      <c r="AK4840" s="21">
        <f>_xll.qlCalendarAdvance(calendar,AK4839,"1D")</f>
        <v>49447</v>
      </c>
      <c r="AL4840" s="21">
        <f>_xll.qlInterestRateIndexValueDate(hiborindex,AK4840)</f>
        <v>49451</v>
      </c>
      <c r="AM4840" s="23">
        <f>_xll.qlIndexFixing(hiborindex,AK4840)</f>
        <v>1.0347389918747599E-2</v>
      </c>
    </row>
    <row r="4841" spans="37:39" x14ac:dyDescent="0.25">
      <c r="AK4841" s="21">
        <f>_xll.qlCalendarAdvance(calendar,AK4840,"1D")</f>
        <v>49450</v>
      </c>
      <c r="AL4841" s="21">
        <f>_xll.qlInterestRateIndexValueDate(hiborindex,AK4841)</f>
        <v>49452</v>
      </c>
      <c r="AM4841" s="23">
        <f>_xll.qlIndexFixing(hiborindex,AK4841)</f>
        <v>1.0343732863740952E-2</v>
      </c>
    </row>
    <row r="4842" spans="37:39" x14ac:dyDescent="0.25">
      <c r="AK4842" s="21">
        <f>_xll.qlCalendarAdvance(calendar,AK4841,"1D")</f>
        <v>49451</v>
      </c>
      <c r="AL4842" s="21">
        <f>_xll.qlInterestRateIndexValueDate(hiborindex,AK4842)</f>
        <v>49453</v>
      </c>
      <c r="AM4842" s="23">
        <f>_xll.qlIndexFixing(hiborindex,AK4842)</f>
        <v>1.0339341225593369E-2</v>
      </c>
    </row>
    <row r="4843" spans="37:39" x14ac:dyDescent="0.25">
      <c r="AK4843" s="21">
        <f>_xll.qlCalendarAdvance(calendar,AK4842,"1D")</f>
        <v>49452</v>
      </c>
      <c r="AL4843" s="21">
        <f>_xll.qlInterestRateIndexValueDate(hiborindex,AK4843)</f>
        <v>49454</v>
      </c>
      <c r="AM4843" s="23">
        <f>_xll.qlIndexFixing(hiborindex,AK4843)</f>
        <v>1.0336066997285261E-2</v>
      </c>
    </row>
    <row r="4844" spans="37:39" x14ac:dyDescent="0.25">
      <c r="AK4844" s="21">
        <f>_xll.qlCalendarAdvance(calendar,AK4843,"1D")</f>
        <v>49453</v>
      </c>
      <c r="AL4844" s="21">
        <f>_xll.qlInterestRateIndexValueDate(hiborindex,AK4844)</f>
        <v>49457</v>
      </c>
      <c r="AM4844" s="23">
        <f>_xll.qlIndexFixing(hiborindex,AK4844)</f>
        <v>1.0325428890833589E-2</v>
      </c>
    </row>
    <row r="4845" spans="37:39" x14ac:dyDescent="0.25">
      <c r="AK4845" s="21">
        <f>_xll.qlCalendarAdvance(calendar,AK4844,"1D")</f>
        <v>49454</v>
      </c>
      <c r="AL4845" s="21">
        <f>_xll.qlInterestRateIndexValueDate(hiborindex,AK4845)</f>
        <v>49458</v>
      </c>
      <c r="AM4845" s="23">
        <f>_xll.qlIndexFixing(hiborindex,AK4845)</f>
        <v>1.0321764356726121E-2</v>
      </c>
    </row>
    <row r="4846" spans="37:39" x14ac:dyDescent="0.25">
      <c r="AK4846" s="21">
        <f>_xll.qlCalendarAdvance(calendar,AK4845,"1D")</f>
        <v>49457</v>
      </c>
      <c r="AL4846" s="21">
        <f>_xll.qlInterestRateIndexValueDate(hiborindex,AK4846)</f>
        <v>49459</v>
      </c>
      <c r="AM4846" s="23">
        <f>_xll.qlIndexFixing(hiborindex,AK4846)</f>
        <v>1.0318098576126616E-2</v>
      </c>
    </row>
    <row r="4847" spans="37:39" x14ac:dyDescent="0.25">
      <c r="AK4847" s="21">
        <f>_xll.qlCalendarAdvance(calendar,AK4846,"1D")</f>
        <v>49458</v>
      </c>
      <c r="AL4847" s="21">
        <f>_xll.qlInterestRateIndexValueDate(hiborindex,AK4847)</f>
        <v>49460</v>
      </c>
      <c r="AM4847" s="23">
        <f>_xll.qlIndexFixing(hiborindex,AK4847)</f>
        <v>1.031464783877404E-2</v>
      </c>
    </row>
    <row r="4848" spans="37:39" x14ac:dyDescent="0.25">
      <c r="AK4848" s="21">
        <f>_xll.qlCalendarAdvance(calendar,AK4847,"1D")</f>
        <v>49459</v>
      </c>
      <c r="AL4848" s="21">
        <f>_xll.qlInterestRateIndexValueDate(hiborindex,AK4848)</f>
        <v>49461</v>
      </c>
      <c r="AM4848" s="23">
        <f>_xll.qlIndexFixing(hiborindex,AK4848)</f>
        <v>1.0310577599160963E-2</v>
      </c>
    </row>
    <row r="4849" spans="37:39" x14ac:dyDescent="0.25">
      <c r="AK4849" s="21">
        <f>_xll.qlCalendarAdvance(calendar,AK4848,"1D")</f>
        <v>49460</v>
      </c>
      <c r="AL4849" s="21">
        <f>_xll.qlInterestRateIndexValueDate(hiborindex,AK4849)</f>
        <v>49464</v>
      </c>
      <c r="AM4849" s="23">
        <f>_xll.qlIndexFixing(hiborindex,AK4849)</f>
        <v>1.0299873364903702E-2</v>
      </c>
    </row>
    <row r="4850" spans="37:39" x14ac:dyDescent="0.25">
      <c r="AK4850" s="21">
        <f>_xll.qlCalendarAdvance(calendar,AK4849,"1D")</f>
        <v>49461</v>
      </c>
      <c r="AL4850" s="21">
        <f>_xll.qlInterestRateIndexValueDate(hiborindex,AK4850)</f>
        <v>49465</v>
      </c>
      <c r="AM4850" s="23">
        <f>_xll.qlIndexFixing(hiborindex,AK4850)</f>
        <v>1.0296176613387215E-2</v>
      </c>
    </row>
    <row r="4851" spans="37:39" x14ac:dyDescent="0.25">
      <c r="AK4851" s="21">
        <f>_xll.qlCalendarAdvance(calendar,AK4850,"1D")</f>
        <v>49464</v>
      </c>
      <c r="AL4851" s="21">
        <f>_xll.qlInterestRateIndexValueDate(hiborindex,AK4851)</f>
        <v>49466</v>
      </c>
      <c r="AM4851" s="23">
        <f>_xll.qlIndexFixing(hiborindex,AK4851)</f>
        <v>1.0292478608664665E-2</v>
      </c>
    </row>
    <row r="4852" spans="37:39" x14ac:dyDescent="0.25">
      <c r="AK4852" s="21">
        <f>_xll.qlCalendarAdvance(calendar,AK4851,"1D")</f>
        <v>49465</v>
      </c>
      <c r="AL4852" s="21">
        <f>_xll.qlInterestRateIndexValueDate(hiborindex,AK4852)</f>
        <v>49467</v>
      </c>
      <c r="AM4852" s="23">
        <f>_xll.qlIndexFixing(hiborindex,AK4852)</f>
        <v>1.0288779350743477E-2</v>
      </c>
    </row>
    <row r="4853" spans="37:39" x14ac:dyDescent="0.25">
      <c r="AK4853" s="21">
        <f>_xll.qlCalendarAdvance(calendar,AK4852,"1D")</f>
        <v>49466</v>
      </c>
      <c r="AL4853" s="21">
        <f>_xll.qlInterestRateIndexValueDate(hiborindex,AK4853)</f>
        <v>49468</v>
      </c>
      <c r="AM4853" s="23">
        <f>_xll.qlIndexFixing(hiborindex,AK4853)</f>
        <v>1.0285027451727947E-2</v>
      </c>
    </row>
    <row r="4854" spans="37:39" x14ac:dyDescent="0.25">
      <c r="AK4854" s="21">
        <f>_xll.qlCalendarAdvance(calendar,AK4853,"1D")</f>
        <v>49467</v>
      </c>
      <c r="AL4854" s="21">
        <f>_xll.qlInterestRateIndexValueDate(hiborindex,AK4854)</f>
        <v>49471</v>
      </c>
      <c r="AM4854" s="23">
        <f>_xll.qlIndexFixing(hiborindex,AK4854)</f>
        <v>1.0273969787213436E-2</v>
      </c>
    </row>
    <row r="4855" spans="37:39" x14ac:dyDescent="0.25">
      <c r="AK4855" s="21">
        <f>_xll.qlCalendarAdvance(calendar,AK4854,"1D")</f>
        <v>49468</v>
      </c>
      <c r="AL4855" s="21">
        <f>_xll.qlInterestRateIndexValueDate(hiborindex,AK4855)</f>
        <v>49472</v>
      </c>
      <c r="AM4855" s="23">
        <f>_xll.qlIndexFixing(hiborindex,AK4855)</f>
        <v>1.0270264263405205E-2</v>
      </c>
    </row>
    <row r="4856" spans="37:39" x14ac:dyDescent="0.25">
      <c r="AK4856" s="21">
        <f>_xll.qlCalendarAdvance(calendar,AK4855,"1D")</f>
        <v>49471</v>
      </c>
      <c r="AL4856" s="21">
        <f>_xll.qlInterestRateIndexValueDate(hiborindex,AK4856)</f>
        <v>49473</v>
      </c>
      <c r="AM4856" s="23">
        <f>_xll.qlIndexFixing(hiborindex,AK4856)</f>
        <v>1.0266557486440704E-2</v>
      </c>
    </row>
    <row r="4857" spans="37:39" x14ac:dyDescent="0.25">
      <c r="AK4857" s="21">
        <f>_xll.qlCalendarAdvance(calendar,AK4856,"1D")</f>
        <v>49472</v>
      </c>
      <c r="AL4857" s="21">
        <f>_xll.qlInterestRateIndexValueDate(hiborindex,AK4857)</f>
        <v>49474</v>
      </c>
      <c r="AM4857" s="23">
        <f>_xll.qlIndexFixing(hiborindex,AK4857)</f>
        <v>1.0262849456326927E-2</v>
      </c>
    </row>
    <row r="4858" spans="37:39" x14ac:dyDescent="0.25">
      <c r="AK4858" s="21">
        <f>_xll.qlCalendarAdvance(calendar,AK4857,"1D")</f>
        <v>49473</v>
      </c>
      <c r="AL4858" s="21">
        <f>_xll.qlInterestRateIndexValueDate(hiborindex,AK4858)</f>
        <v>49475</v>
      </c>
      <c r="AM4858" s="23">
        <f>_xll.qlIndexFixing(hiborindex,AK4858)</f>
        <v>1.0259416557375651E-2</v>
      </c>
    </row>
    <row r="4859" spans="37:39" x14ac:dyDescent="0.25">
      <c r="AK4859" s="21">
        <f>_xll.qlCalendarAdvance(calendar,AK4858,"1D")</f>
        <v>49474</v>
      </c>
      <c r="AL4859" s="21">
        <f>_xll.qlInterestRateIndexValueDate(hiborindex,AK4859)</f>
        <v>49478</v>
      </c>
      <c r="AM4859" s="23">
        <f>_xll.qlIndexFixing(hiborindex,AK4859)</f>
        <v>1.0248004804522306E-2</v>
      </c>
    </row>
    <row r="4860" spans="37:39" x14ac:dyDescent="0.25">
      <c r="AK4860" s="21">
        <f>_xll.qlCalendarAdvance(calendar,AK4859,"1D")</f>
        <v>49475</v>
      </c>
      <c r="AL4860" s="21">
        <f>_xll.qlInterestRateIndexValueDate(hiborindex,AK4860)</f>
        <v>49479</v>
      </c>
      <c r="AM4860" s="23">
        <f>_xll.qlIndexFixing(hiborindex,AK4860)</f>
        <v>1.0244290508769155E-2</v>
      </c>
    </row>
    <row r="4861" spans="37:39" x14ac:dyDescent="0.25">
      <c r="AK4861" s="21">
        <f>_xll.qlCalendarAdvance(calendar,AK4860,"1D")</f>
        <v>49478</v>
      </c>
      <c r="AL4861" s="21">
        <f>_xll.qlInterestRateIndexValueDate(hiborindex,AK4861)</f>
        <v>49480</v>
      </c>
      <c r="AM4861" s="23">
        <f>_xll.qlIndexFixing(hiborindex,AK4861)</f>
        <v>1.0240574959909095E-2</v>
      </c>
    </row>
    <row r="4862" spans="37:39" x14ac:dyDescent="0.25">
      <c r="AK4862" s="21">
        <f>_xll.qlCalendarAdvance(calendar,AK4861,"1D")</f>
        <v>49479</v>
      </c>
      <c r="AL4862" s="21">
        <f>_xll.qlInterestRateIndexValueDate(hiborindex,AK4862)</f>
        <v>49481</v>
      </c>
      <c r="AM4862" s="23">
        <f>_xll.qlIndexFixing(hiborindex,AK4862)</f>
        <v>1.0236858157949554E-2</v>
      </c>
    </row>
    <row r="4863" spans="37:39" x14ac:dyDescent="0.25">
      <c r="AK4863" s="21">
        <f>_xll.qlCalendarAdvance(calendar,AK4862,"1D")</f>
        <v>49480</v>
      </c>
      <c r="AL4863" s="21">
        <f>_xll.qlInterestRateIndexValueDate(hiborindex,AK4863)</f>
        <v>49482</v>
      </c>
      <c r="AM4863" s="23">
        <f>_xll.qlIndexFixing(hiborindex,AK4863)</f>
        <v>1.023374491849827E-2</v>
      </c>
    </row>
    <row r="4864" spans="37:39" x14ac:dyDescent="0.25">
      <c r="AK4864" s="21">
        <f>_xll.qlCalendarAdvance(calendar,AK4863,"1D")</f>
        <v>49481</v>
      </c>
      <c r="AL4864" s="21">
        <f>_xll.qlInterestRateIndexValueDate(hiborindex,AK4864)</f>
        <v>49485</v>
      </c>
      <c r="AM4864" s="23">
        <f>_xll.qlIndexFixing(hiborindex,AK4864)</f>
        <v>1.0222724192883148E-2</v>
      </c>
    </row>
    <row r="4865" spans="37:39" x14ac:dyDescent="0.25">
      <c r="AK4865" s="21">
        <f>_xll.qlCalendarAdvance(calendar,AK4864,"1D")</f>
        <v>49482</v>
      </c>
      <c r="AL4865" s="21">
        <f>_xll.qlInterestRateIndexValueDate(hiborindex,AK4865)</f>
        <v>49486</v>
      </c>
      <c r="AM4865" s="23">
        <f>_xll.qlIndexFixing(hiborindex,AK4865)</f>
        <v>1.0218651351472327E-2</v>
      </c>
    </row>
    <row r="4866" spans="37:39" x14ac:dyDescent="0.25">
      <c r="AK4866" s="21">
        <f>_xll.qlCalendarAdvance(calendar,AK4865,"1D")</f>
        <v>49485</v>
      </c>
      <c r="AL4866" s="21">
        <f>_xll.qlInterestRateIndexValueDate(hiborindex,AK4866)</f>
        <v>49487</v>
      </c>
      <c r="AM4866" s="23">
        <f>_xll.qlIndexFixing(hiborindex,AK4866)</f>
        <v>1.0214531031498931E-2</v>
      </c>
    </row>
    <row r="4867" spans="37:39" x14ac:dyDescent="0.25">
      <c r="AK4867" s="21">
        <f>_xll.qlCalendarAdvance(calendar,AK4866,"1D")</f>
        <v>49486</v>
      </c>
      <c r="AL4867" s="21">
        <f>_xll.qlInterestRateIndexValueDate(hiborindex,AK4867)</f>
        <v>49488</v>
      </c>
      <c r="AM4867" s="23">
        <f>_xll.qlIndexFixing(hiborindex,AK4867)</f>
        <v>1.021080545804089E-2</v>
      </c>
    </row>
    <row r="4868" spans="37:39" x14ac:dyDescent="0.25">
      <c r="AK4868" s="21">
        <f>_xll.qlCalendarAdvance(calendar,AK4867,"1D")</f>
        <v>49487</v>
      </c>
      <c r="AL4868" s="21">
        <f>_xll.qlInterestRateIndexValueDate(hiborindex,AK4868)</f>
        <v>49489</v>
      </c>
      <c r="AM4868" s="23">
        <f>_xll.qlIndexFixing(hiborindex,AK4868)</f>
        <v>1.0208012537496911E-2</v>
      </c>
    </row>
    <row r="4869" spans="37:39" x14ac:dyDescent="0.25">
      <c r="AK4869" s="21">
        <f>_xll.qlCalendarAdvance(calendar,AK4868,"1D")</f>
        <v>49488</v>
      </c>
      <c r="AL4869" s="21">
        <f>_xll.qlInterestRateIndexValueDate(hiborindex,AK4869)</f>
        <v>49492</v>
      </c>
      <c r="AM4869" s="23">
        <f>_xll.qlIndexFixing(hiborindex,AK4869)</f>
        <v>1.0209480515678947E-2</v>
      </c>
    </row>
    <row r="4870" spans="37:39" x14ac:dyDescent="0.25">
      <c r="AK4870" s="21">
        <f>_xll.qlCalendarAdvance(calendar,AK4869,"1D")</f>
        <v>49489</v>
      </c>
      <c r="AL4870" s="21">
        <f>_xll.qlInterestRateIndexValueDate(hiborindex,AK4870)</f>
        <v>49493</v>
      </c>
      <c r="AM4870" s="23">
        <f>_xll.qlIndexFixing(hiborindex,AK4870)</f>
        <v>1.0210125496658442E-2</v>
      </c>
    </row>
    <row r="4871" spans="37:39" x14ac:dyDescent="0.25">
      <c r="AK4871" s="21">
        <f>_xll.qlCalendarAdvance(calendar,AK4870,"1D")</f>
        <v>49492</v>
      </c>
      <c r="AL4871" s="21">
        <f>_xll.qlInterestRateIndexValueDate(hiborindex,AK4871)</f>
        <v>49494</v>
      </c>
      <c r="AM4871" s="23">
        <f>_xll.qlIndexFixing(hiborindex,AK4871)</f>
        <v>1.0210770477849506E-2</v>
      </c>
    </row>
    <row r="4872" spans="37:39" x14ac:dyDescent="0.25">
      <c r="AK4872" s="21">
        <f>_xll.qlCalendarAdvance(calendar,AK4871,"1D")</f>
        <v>49493</v>
      </c>
      <c r="AL4872" s="21">
        <f>_xll.qlInterestRateIndexValueDate(hiborindex,AK4872)</f>
        <v>49495</v>
      </c>
      <c r="AM4872" s="23">
        <f>_xll.qlIndexFixing(hiborindex,AK4872)</f>
        <v>1.0212349627462374E-2</v>
      </c>
    </row>
    <row r="4873" spans="37:39" x14ac:dyDescent="0.25">
      <c r="AK4873" s="21">
        <f>_xll.qlCalendarAdvance(calendar,AK4872,"1D")</f>
        <v>49494</v>
      </c>
      <c r="AL4873" s="21">
        <f>_xll.qlInterestRateIndexValueDate(hiborindex,AK4873)</f>
        <v>49496</v>
      </c>
      <c r="AM4873" s="23">
        <f>_xll.qlIndexFixing(hiborindex,AK4873)</f>
        <v>1.0212527532810746E-2</v>
      </c>
    </row>
    <row r="4874" spans="37:39" x14ac:dyDescent="0.25">
      <c r="AK4874" s="21">
        <f>_xll.qlCalendarAdvance(calendar,AK4873,"1D")</f>
        <v>49495</v>
      </c>
      <c r="AL4874" s="21">
        <f>_xll.qlInterestRateIndexValueDate(hiborindex,AK4874)</f>
        <v>49499</v>
      </c>
      <c r="AM4874" s="23">
        <f>_xll.qlIndexFixing(hiborindex,AK4874)</f>
        <v>1.0213995386977943E-2</v>
      </c>
    </row>
    <row r="4875" spans="37:39" x14ac:dyDescent="0.25">
      <c r="AK4875" s="21">
        <f>_xll.qlCalendarAdvance(calendar,AK4874,"1D")</f>
        <v>49496</v>
      </c>
      <c r="AL4875" s="21">
        <f>_xll.qlInterestRateIndexValueDate(hiborindex,AK4875)</f>
        <v>49500</v>
      </c>
      <c r="AM4875" s="23">
        <f>_xll.qlIndexFixing(hiborindex,AK4875)</f>
        <v>1.0214640369437557E-2</v>
      </c>
    </row>
    <row r="4876" spans="37:39" x14ac:dyDescent="0.25">
      <c r="AK4876" s="21">
        <f>_xll.qlCalendarAdvance(calendar,AK4875,"1D")</f>
        <v>49499</v>
      </c>
      <c r="AL4876" s="21">
        <f>_xll.qlInterestRateIndexValueDate(hiborindex,AK4876)</f>
        <v>49501</v>
      </c>
      <c r="AM4876" s="23">
        <f>_xll.qlIndexFixing(hiborindex,AK4876)</f>
        <v>1.0215285352109612E-2</v>
      </c>
    </row>
    <row r="4877" spans="37:39" x14ac:dyDescent="0.25">
      <c r="AK4877" s="21">
        <f>_xll.qlCalendarAdvance(calendar,AK4876,"1D")</f>
        <v>49500</v>
      </c>
      <c r="AL4877" s="21">
        <f>_xll.qlInterestRateIndexValueDate(hiborindex,AK4877)</f>
        <v>49502</v>
      </c>
      <c r="AM4877" s="23">
        <f>_xll.qlIndexFixing(hiborindex,AK4877)</f>
        <v>1.021686476022639E-2</v>
      </c>
    </row>
    <row r="4878" spans="37:39" x14ac:dyDescent="0.25">
      <c r="AK4878" s="21">
        <f>_xll.qlCalendarAdvance(calendar,AK4877,"1D")</f>
        <v>49501</v>
      </c>
      <c r="AL4878" s="21">
        <f>_xll.qlInterestRateIndexValueDate(hiborindex,AK4878)</f>
        <v>49503</v>
      </c>
      <c r="AM4878" s="23">
        <f>_xll.qlIndexFixing(hiborindex,AK4878)</f>
        <v>1.0217042538546085E-2</v>
      </c>
    </row>
    <row r="4879" spans="37:39" x14ac:dyDescent="0.25">
      <c r="AK4879" s="21">
        <f>_xll.qlCalendarAdvance(calendar,AK4878,"1D")</f>
        <v>49502</v>
      </c>
      <c r="AL4879" s="21">
        <f>_xll.qlInterestRateIndexValueDate(hiborindex,AK4879)</f>
        <v>49506</v>
      </c>
      <c r="AM4879" s="23">
        <f>_xll.qlIndexFixing(hiborindex,AK4879)</f>
        <v>1.0218510268640823E-2</v>
      </c>
    </row>
    <row r="4880" spans="37:39" x14ac:dyDescent="0.25">
      <c r="AK4880" s="21">
        <f>_xll.qlCalendarAdvance(calendar,AK4879,"1D")</f>
        <v>49503</v>
      </c>
      <c r="AL4880" s="21">
        <f>_xll.qlInterestRateIndexValueDate(hiborindex,AK4880)</f>
        <v>49507</v>
      </c>
      <c r="AM4880" s="23">
        <f>_xll.qlIndexFixing(hiborindex,AK4880)</f>
        <v>1.0219155252581427E-2</v>
      </c>
    </row>
    <row r="4881" spans="37:39" x14ac:dyDescent="0.25">
      <c r="AK4881" s="21">
        <f>_xll.qlCalendarAdvance(calendar,AK4880,"1D")</f>
        <v>49506</v>
      </c>
      <c r="AL4881" s="21">
        <f>_xll.qlInterestRateIndexValueDate(hiborindex,AK4881)</f>
        <v>49508</v>
      </c>
      <c r="AM4881" s="23">
        <f>_xll.qlIndexFixing(hiborindex,AK4881)</f>
        <v>1.0219800236734035E-2</v>
      </c>
    </row>
    <row r="4882" spans="37:39" x14ac:dyDescent="0.25">
      <c r="AK4882" s="21">
        <f>_xll.qlCalendarAdvance(calendar,AK4881,"1D")</f>
        <v>49507</v>
      </c>
      <c r="AL4882" s="21">
        <f>_xll.qlInterestRateIndexValueDate(hiborindex,AK4882)</f>
        <v>49509</v>
      </c>
      <c r="AM4882" s="23">
        <f>_xll.qlIndexFixing(hiborindex,AK4882)</f>
        <v>1.0221379903468044E-2</v>
      </c>
    </row>
    <row r="4883" spans="37:39" x14ac:dyDescent="0.25">
      <c r="AK4883" s="21">
        <f>_xll.qlCalendarAdvance(calendar,AK4882,"1D")</f>
        <v>49508</v>
      </c>
      <c r="AL4883" s="21">
        <f>_xll.qlInterestRateIndexValueDate(hiborindex,AK4883)</f>
        <v>49510</v>
      </c>
      <c r="AM4883" s="23">
        <f>_xll.qlIndexFixing(hiborindex,AK4883)</f>
        <v>1.0221557554702059E-2</v>
      </c>
    </row>
    <row r="4884" spans="37:39" x14ac:dyDescent="0.25">
      <c r="AK4884" s="21">
        <f>_xll.qlCalendarAdvance(calendar,AK4883,"1D")</f>
        <v>49509</v>
      </c>
      <c r="AL4884" s="21">
        <f>_xll.qlInterestRateIndexValueDate(hiborindex,AK4884)</f>
        <v>49513</v>
      </c>
      <c r="AM4884" s="23">
        <f>_xll.qlIndexFixing(hiborindex,AK4884)</f>
        <v>1.0223025160668454E-2</v>
      </c>
    </row>
    <row r="4885" spans="37:39" x14ac:dyDescent="0.25">
      <c r="AK4885" s="21">
        <f>_xll.qlCalendarAdvance(calendar,AK4884,"1D")</f>
        <v>49510</v>
      </c>
      <c r="AL4885" s="21">
        <f>_xll.qlInterestRateIndexValueDate(hiborindex,AK4885)</f>
        <v>49514</v>
      </c>
      <c r="AM4885" s="23">
        <f>_xll.qlIndexFixing(hiborindex,AK4885)</f>
        <v>1.0223670146089613E-2</v>
      </c>
    </row>
    <row r="4886" spans="37:39" x14ac:dyDescent="0.25">
      <c r="AK4886" s="21">
        <f>_xll.qlCalendarAdvance(calendar,AK4885,"1D")</f>
        <v>49513</v>
      </c>
      <c r="AL4886" s="21">
        <f>_xll.qlInterestRateIndexValueDate(hiborindex,AK4886)</f>
        <v>49515</v>
      </c>
      <c r="AM4886" s="23">
        <f>_xll.qlIndexFixing(hiborindex,AK4886)</f>
        <v>1.0224315131722776E-2</v>
      </c>
    </row>
    <row r="4887" spans="37:39" x14ac:dyDescent="0.25">
      <c r="AK4887" s="21">
        <f>_xll.qlCalendarAdvance(calendar,AK4886,"1D")</f>
        <v>49514</v>
      </c>
      <c r="AL4887" s="21">
        <f>_xll.qlInterestRateIndexValueDate(hiborindex,AK4887)</f>
        <v>49516</v>
      </c>
      <c r="AM4887" s="23">
        <f>_xll.qlIndexFixing(hiborindex,AK4887)</f>
        <v>1.0225895057187771E-2</v>
      </c>
    </row>
    <row r="4888" spans="37:39" x14ac:dyDescent="0.25">
      <c r="AK4888" s="21">
        <f>_xll.qlCalendarAdvance(calendar,AK4887,"1D")</f>
        <v>49515</v>
      </c>
      <c r="AL4888" s="21">
        <f>_xll.qlInterestRateIndexValueDate(hiborindex,AK4888)</f>
        <v>49517</v>
      </c>
      <c r="AM4888" s="23">
        <f>_xll.qlIndexFixing(hiborindex,AK4888)</f>
        <v>1.0226072581279968E-2</v>
      </c>
    </row>
    <row r="4889" spans="37:39" x14ac:dyDescent="0.25">
      <c r="AK4889" s="21">
        <f>_xll.qlCalendarAdvance(calendar,AK4888,"1D")</f>
        <v>49516</v>
      </c>
      <c r="AL4889" s="21">
        <f>_xll.qlInterestRateIndexValueDate(hiborindex,AK4889)</f>
        <v>49520</v>
      </c>
      <c r="AM4889" s="23">
        <f>_xll.qlIndexFixing(hiborindex,AK4889)</f>
        <v>1.0227540063060404E-2</v>
      </c>
    </row>
    <row r="4890" spans="37:39" x14ac:dyDescent="0.25">
      <c r="AK4890" s="21">
        <f>_xll.qlCalendarAdvance(calendar,AK4889,"1D")</f>
        <v>49517</v>
      </c>
      <c r="AL4890" s="21">
        <f>_xll.qlInterestRateIndexValueDate(hiborindex,AK4890)</f>
        <v>49521</v>
      </c>
      <c r="AM4890" s="23">
        <f>_xll.qlIndexFixing(hiborindex,AK4890)</f>
        <v>1.0228185049962552E-2</v>
      </c>
    </row>
    <row r="4891" spans="37:39" x14ac:dyDescent="0.25">
      <c r="AK4891" s="21">
        <f>_xll.qlCalendarAdvance(calendar,AK4890,"1D")</f>
        <v>49520</v>
      </c>
      <c r="AL4891" s="21">
        <f>_xll.qlInterestRateIndexValueDate(hiborindex,AK4891)</f>
        <v>49522</v>
      </c>
      <c r="AM4891" s="23">
        <f>_xll.qlIndexFixing(hiborindex,AK4891)</f>
        <v>1.022883003707627E-2</v>
      </c>
    </row>
    <row r="4892" spans="37:39" x14ac:dyDescent="0.25">
      <c r="AK4892" s="21">
        <f>_xll.qlCalendarAdvance(calendar,AK4891,"1D")</f>
        <v>49521</v>
      </c>
      <c r="AL4892" s="21">
        <f>_xll.qlInterestRateIndexValueDate(hiborindex,AK4892)</f>
        <v>49523</v>
      </c>
      <c r="AM4892" s="23">
        <f>_xll.qlIndexFixing(hiborindex,AK4892)</f>
        <v>1.0230410221385136E-2</v>
      </c>
    </row>
    <row r="4893" spans="37:39" x14ac:dyDescent="0.25">
      <c r="AK4893" s="21">
        <f>_xll.qlCalendarAdvance(calendar,AK4892,"1D")</f>
        <v>49522</v>
      </c>
      <c r="AL4893" s="21">
        <f>_xll.qlInterestRateIndexValueDate(hiborindex,AK4893)</f>
        <v>49524</v>
      </c>
      <c r="AM4893" s="23">
        <f>_xll.qlIndexFixing(hiborindex,AK4893)</f>
        <v>1.0230587618278083E-2</v>
      </c>
    </row>
    <row r="4894" spans="37:39" x14ac:dyDescent="0.25">
      <c r="AK4894" s="21">
        <f>_xll.qlCalendarAdvance(calendar,AK4893,"1D")</f>
        <v>49523</v>
      </c>
      <c r="AL4894" s="21">
        <f>_xll.qlInterestRateIndexValueDate(hiborindex,AK4894)</f>
        <v>49527</v>
      </c>
      <c r="AM4894" s="23">
        <f>_xll.qlIndexFixing(hiborindex,AK4894)</f>
        <v>1.0232054975816673E-2</v>
      </c>
    </row>
    <row r="4895" spans="37:39" x14ac:dyDescent="0.25">
      <c r="AK4895" s="21">
        <f>_xll.qlCalendarAdvance(calendar,AK4894,"1D")</f>
        <v>49524</v>
      </c>
      <c r="AL4895" s="21">
        <f>_xll.qlInterestRateIndexValueDate(hiborindex,AK4895)</f>
        <v>49528</v>
      </c>
      <c r="AM4895" s="23">
        <f>_xll.qlIndexFixing(hiborindex,AK4895)</f>
        <v>1.023269996419981E-2</v>
      </c>
    </row>
    <row r="4896" spans="37:39" x14ac:dyDescent="0.25">
      <c r="AK4896" s="21">
        <f>_xll.qlCalendarAdvance(calendar,AK4895,"1D")</f>
        <v>49527</v>
      </c>
      <c r="AL4896" s="21">
        <f>_xll.qlInterestRateIndexValueDate(hiborindex,AK4896)</f>
        <v>49529</v>
      </c>
      <c r="AM4896" s="23">
        <f>_xll.qlIndexFixing(hiborindex,AK4896)</f>
        <v>1.0233344952793648E-2</v>
      </c>
    </row>
    <row r="4897" spans="37:39" x14ac:dyDescent="0.25">
      <c r="AK4897" s="21">
        <f>_xll.qlCalendarAdvance(calendar,AK4896,"1D")</f>
        <v>49528</v>
      </c>
      <c r="AL4897" s="21">
        <f>_xll.qlInterestRateIndexValueDate(hiborindex,AK4897)</f>
        <v>49530</v>
      </c>
      <c r="AM4897" s="23">
        <f>_xll.qlIndexFixing(hiborindex,AK4897)</f>
        <v>1.0234925396060144E-2</v>
      </c>
    </row>
    <row r="4898" spans="37:39" x14ac:dyDescent="0.25">
      <c r="AK4898" s="21">
        <f>_xll.qlCalendarAdvance(calendar,AK4897,"1D")</f>
        <v>49529</v>
      </c>
      <c r="AL4898" s="21">
        <f>_xll.qlInterestRateIndexValueDate(hiborindex,AK4898)</f>
        <v>49531</v>
      </c>
      <c r="AM4898" s="23">
        <f>_xll.qlIndexFixing(hiborindex,AK4898)</f>
        <v>1.023510266569813E-2</v>
      </c>
    </row>
    <row r="4899" spans="37:39" x14ac:dyDescent="0.25">
      <c r="AK4899" s="21">
        <f>_xll.qlCalendarAdvance(calendar,AK4898,"1D")</f>
        <v>49530</v>
      </c>
      <c r="AL4899" s="21">
        <f>_xll.qlInterestRateIndexValueDate(hiborindex,AK4899)</f>
        <v>49534</v>
      </c>
      <c r="AM4899" s="23">
        <f>_xll.qlIndexFixing(hiborindex,AK4899)</f>
        <v>1.0236569898937693E-2</v>
      </c>
    </row>
    <row r="4900" spans="37:39" x14ac:dyDescent="0.25">
      <c r="AK4900" s="21">
        <f>_xll.qlCalendarAdvance(calendar,AK4899,"1D")</f>
        <v>49531</v>
      </c>
      <c r="AL4900" s="21">
        <f>_xll.qlInterestRateIndexValueDate(hiborindex,AK4900)</f>
        <v>49535</v>
      </c>
      <c r="AM4900" s="23">
        <f>_xll.qlIndexFixing(hiborindex,AK4900)</f>
        <v>1.0237214888801385E-2</v>
      </c>
    </row>
    <row r="4901" spans="37:39" x14ac:dyDescent="0.25">
      <c r="AK4901" s="21">
        <f>_xll.qlCalendarAdvance(calendar,AK4900,"1D")</f>
        <v>49534</v>
      </c>
      <c r="AL4901" s="21">
        <f>_xll.qlInterestRateIndexValueDate(hiborindex,AK4901)</f>
        <v>49536</v>
      </c>
      <c r="AM4901" s="23">
        <f>_xll.qlIndexFixing(hiborindex,AK4901)</f>
        <v>1.0237859878876213E-2</v>
      </c>
    </row>
    <row r="4902" spans="37:39" x14ac:dyDescent="0.25">
      <c r="AK4902" s="21">
        <f>_xll.qlCalendarAdvance(calendar,AK4901,"1D")</f>
        <v>49535</v>
      </c>
      <c r="AL4902" s="21">
        <f>_xll.qlInterestRateIndexValueDate(hiborindex,AK4902)</f>
        <v>49537</v>
      </c>
      <c r="AM4902" s="23">
        <f>_xll.qlIndexFixing(hiborindex,AK4902)</f>
        <v>1.0239440581212789E-2</v>
      </c>
    </row>
    <row r="4903" spans="37:39" x14ac:dyDescent="0.25">
      <c r="AK4903" s="21">
        <f>_xll.qlCalendarAdvance(calendar,AK4902,"1D")</f>
        <v>49536</v>
      </c>
      <c r="AL4903" s="21">
        <f>_xll.qlInterestRateIndexValueDate(hiborindex,AK4903)</f>
        <v>49538</v>
      </c>
      <c r="AM4903" s="23">
        <f>_xll.qlIndexFixing(hiborindex,AK4903)</f>
        <v>1.0239617723538815E-2</v>
      </c>
    </row>
    <row r="4904" spans="37:39" x14ac:dyDescent="0.25">
      <c r="AK4904" s="21">
        <f>_xll.qlCalendarAdvance(calendar,AK4903,"1D")</f>
        <v>49537</v>
      </c>
      <c r="AL4904" s="21">
        <f>_xll.qlInterestRateIndexValueDate(hiborindex,AK4904)</f>
        <v>49541</v>
      </c>
      <c r="AM4904" s="23">
        <f>_xll.qlIndexFixing(hiborindex,AK4904)</f>
        <v>1.0241084832423466E-2</v>
      </c>
    </row>
    <row r="4905" spans="37:39" x14ac:dyDescent="0.25">
      <c r="AK4905" s="21">
        <f>_xll.qlCalendarAdvance(calendar,AK4904,"1D")</f>
        <v>49538</v>
      </c>
      <c r="AL4905" s="21">
        <f>_xll.qlInterestRateIndexValueDate(hiborindex,AK4905)</f>
        <v>49542</v>
      </c>
      <c r="AM4905" s="23">
        <f>_xll.qlIndexFixing(hiborindex,AK4905)</f>
        <v>1.0241729823767714E-2</v>
      </c>
    </row>
    <row r="4906" spans="37:39" x14ac:dyDescent="0.25">
      <c r="AK4906" s="21">
        <f>_xll.qlCalendarAdvance(calendar,AK4905,"1D")</f>
        <v>49541</v>
      </c>
      <c r="AL4906" s="21">
        <f>_xll.qlInterestRateIndexValueDate(hiborindex,AK4906)</f>
        <v>49543</v>
      </c>
      <c r="AM4906" s="23">
        <f>_xll.qlIndexFixing(hiborindex,AK4906)</f>
        <v>1.0242374815323096E-2</v>
      </c>
    </row>
    <row r="4907" spans="37:39" x14ac:dyDescent="0.25">
      <c r="AK4907" s="21">
        <f>_xll.qlCalendarAdvance(calendar,AK4906,"1D")</f>
        <v>49542</v>
      </c>
      <c r="AL4907" s="21">
        <f>_xll.qlInterestRateIndexValueDate(hiborindex,AK4907)</f>
        <v>49544</v>
      </c>
      <c r="AM4907" s="23">
        <f>_xll.qlIndexFixing(hiborindex,AK4907)</f>
        <v>1.0243955776843505E-2</v>
      </c>
    </row>
    <row r="4908" spans="37:39" x14ac:dyDescent="0.25">
      <c r="AK4908" s="21">
        <f>_xll.qlCalendarAdvance(calendar,AK4907,"1D")</f>
        <v>49543</v>
      </c>
      <c r="AL4908" s="21">
        <f>_xll.qlInterestRateIndexValueDate(hiborindex,AK4908)</f>
        <v>49545</v>
      </c>
      <c r="AM4908" s="23">
        <f>_xll.qlIndexFixing(hiborindex,AK4908)</f>
        <v>1.0244132791800569E-2</v>
      </c>
    </row>
    <row r="4909" spans="37:39" x14ac:dyDescent="0.25">
      <c r="AK4909" s="21">
        <f>_xll.qlCalendarAdvance(calendar,AK4908,"1D")</f>
        <v>49544</v>
      </c>
      <c r="AL4909" s="21">
        <f>_xll.qlInterestRateIndexValueDate(hiborindex,AK4909)</f>
        <v>49548</v>
      </c>
      <c r="AM4909" s="23">
        <f>_xll.qlIndexFixing(hiborindex,AK4909)</f>
        <v>1.0245599776273557E-2</v>
      </c>
    </row>
    <row r="4910" spans="37:39" x14ac:dyDescent="0.25">
      <c r="AK4910" s="21">
        <f>_xll.qlCalendarAdvance(calendar,AK4909,"1D")</f>
        <v>49545</v>
      </c>
      <c r="AL4910" s="21">
        <f>_xll.qlInterestRateIndexValueDate(hiborindex,AK4910)</f>
        <v>49549</v>
      </c>
      <c r="AM4910" s="23">
        <f>_xll.qlIndexFixing(hiborindex,AK4910)</f>
        <v>1.0246244769098359E-2</v>
      </c>
    </row>
    <row r="4911" spans="37:39" x14ac:dyDescent="0.25">
      <c r="AK4911" s="21">
        <f>_xll.qlCalendarAdvance(calendar,AK4910,"1D")</f>
        <v>49548</v>
      </c>
      <c r="AL4911" s="21">
        <f>_xll.qlInterestRateIndexValueDate(hiborindex,AK4911)</f>
        <v>49550</v>
      </c>
      <c r="AM4911" s="23">
        <f>_xll.qlIndexFixing(hiborindex,AK4911)</f>
        <v>1.0246889762134297E-2</v>
      </c>
    </row>
    <row r="4912" spans="37:39" x14ac:dyDescent="0.25">
      <c r="AK4912" s="21">
        <f>_xll.qlCalendarAdvance(calendar,AK4911,"1D")</f>
        <v>49549</v>
      </c>
      <c r="AL4912" s="21">
        <f>_xll.qlInterestRateIndexValueDate(hiborindex,AK4912)</f>
        <v>49551</v>
      </c>
      <c r="AM4912" s="23">
        <f>_xll.qlIndexFixing(hiborindex,AK4912)</f>
        <v>1.024706667328098E-2</v>
      </c>
    </row>
    <row r="4913" spans="37:39" x14ac:dyDescent="0.25">
      <c r="AK4913" s="21">
        <f>_xll.qlCalendarAdvance(calendar,AK4912,"1D")</f>
        <v>49550</v>
      </c>
      <c r="AL4913" s="21">
        <f>_xll.qlInterestRateIndexValueDate(hiborindex,AK4913)</f>
        <v>49552</v>
      </c>
      <c r="AM4913" s="23">
        <f>_xll.qlIndexFixing(hiborindex,AK4913)</f>
        <v>1.024724356892601E-2</v>
      </c>
    </row>
    <row r="4914" spans="37:39" x14ac:dyDescent="0.25">
      <c r="AK4914" s="21">
        <f>_xll.qlCalendarAdvance(calendar,AK4913,"1D")</f>
        <v>49551</v>
      </c>
      <c r="AL4914" s="21">
        <f>_xll.qlInterestRateIndexValueDate(hiborindex,AK4914)</f>
        <v>49555</v>
      </c>
      <c r="AM4914" s="23">
        <f>_xll.qlIndexFixing(hiborindex,AK4914)</f>
        <v>1.0249178440058775E-2</v>
      </c>
    </row>
    <row r="4915" spans="37:39" x14ac:dyDescent="0.25">
      <c r="AK4915" s="21">
        <f>_xll.qlCalendarAdvance(calendar,AK4914,"1D")</f>
        <v>49552</v>
      </c>
      <c r="AL4915" s="21">
        <f>_xll.qlInterestRateIndexValueDate(hiborindex,AK4915)</f>
        <v>49556</v>
      </c>
      <c r="AM4915" s="23">
        <f>_xll.qlIndexFixing(hiborindex,AK4915)</f>
        <v>1.0249823397521157E-2</v>
      </c>
    </row>
    <row r="4916" spans="37:39" x14ac:dyDescent="0.25">
      <c r="AK4916" s="21">
        <f>_xll.qlCalendarAdvance(calendar,AK4915,"1D")</f>
        <v>49555</v>
      </c>
      <c r="AL4916" s="21">
        <f>_xll.qlInterestRateIndexValueDate(hiborindex,AK4916)</f>
        <v>49557</v>
      </c>
      <c r="AM4916" s="23">
        <f>_xll.qlIndexFixing(hiborindex,AK4916)</f>
        <v>1.025046835519304E-2</v>
      </c>
    </row>
    <row r="4917" spans="37:39" x14ac:dyDescent="0.25">
      <c r="AK4917" s="21">
        <f>_xll.qlCalendarAdvance(calendar,AK4916,"1D")</f>
        <v>49556</v>
      </c>
      <c r="AL4917" s="21">
        <f>_xll.qlInterestRateIndexValueDate(hiborindex,AK4917)</f>
        <v>49558</v>
      </c>
      <c r="AM4917" s="23">
        <f>_xll.qlIndexFixing(hiborindex,AK4917)</f>
        <v>1.0251113313074428E-2</v>
      </c>
    </row>
    <row r="4918" spans="37:39" x14ac:dyDescent="0.25">
      <c r="AK4918" s="21">
        <f>_xll.qlCalendarAdvance(calendar,AK4917,"1D")</f>
        <v>49557</v>
      </c>
      <c r="AL4918" s="21">
        <f>_xll.qlInterestRateIndexValueDate(hiborindex,AK4918)</f>
        <v>49559</v>
      </c>
      <c r="AM4918" s="23">
        <f>_xll.qlIndexFixing(hiborindex,AK4918)</f>
        <v>1.025175827116444E-2</v>
      </c>
    </row>
    <row r="4919" spans="37:39" x14ac:dyDescent="0.25">
      <c r="AK4919" s="21">
        <f>_xll.qlCalendarAdvance(calendar,AK4918,"1D")</f>
        <v>49558</v>
      </c>
      <c r="AL4919" s="21">
        <f>_xll.qlInterestRateIndexValueDate(hiborindex,AK4919)</f>
        <v>49562</v>
      </c>
      <c r="AM4919" s="23">
        <f>_xll.qlIndexFixing(hiborindex,AK4919)</f>
        <v>1.0253693146691053E-2</v>
      </c>
    </row>
    <row r="4920" spans="37:39" x14ac:dyDescent="0.25">
      <c r="AK4920" s="21">
        <f>_xll.qlCalendarAdvance(calendar,AK4919,"1D")</f>
        <v>49559</v>
      </c>
      <c r="AL4920" s="21">
        <f>_xll.qlInterestRateIndexValueDate(hiborindex,AK4920)</f>
        <v>49563</v>
      </c>
      <c r="AM4920" s="23">
        <f>_xll.qlIndexFixing(hiborindex,AK4920)</f>
        <v>1.0254338105617758E-2</v>
      </c>
    </row>
    <row r="4921" spans="37:39" x14ac:dyDescent="0.25">
      <c r="AK4921" s="21">
        <f>_xll.qlCalendarAdvance(calendar,AK4920,"1D")</f>
        <v>49562</v>
      </c>
      <c r="AL4921" s="21">
        <f>_xll.qlInterestRateIndexValueDate(hiborindex,AK4921)</f>
        <v>49564</v>
      </c>
      <c r="AM4921" s="23">
        <f>_xll.qlIndexFixing(hiborindex,AK4921)</f>
        <v>1.0254983064753965E-2</v>
      </c>
    </row>
    <row r="4922" spans="37:39" x14ac:dyDescent="0.25">
      <c r="AK4922" s="21">
        <f>_xll.qlCalendarAdvance(calendar,AK4921,"1D")</f>
        <v>49563</v>
      </c>
      <c r="AL4922" s="21">
        <f>_xll.qlInterestRateIndexValueDate(hiborindex,AK4922)</f>
        <v>49565</v>
      </c>
      <c r="AM4922" s="23">
        <f>_xll.qlIndexFixing(hiborindex,AK4922)</f>
        <v>1.0255628024099676E-2</v>
      </c>
    </row>
    <row r="4923" spans="37:39" x14ac:dyDescent="0.25">
      <c r="AK4923" s="21">
        <f>_xll.qlCalendarAdvance(calendar,AK4922,"1D")</f>
        <v>49564</v>
      </c>
      <c r="AL4923" s="21">
        <f>_xll.qlInterestRateIndexValueDate(hiborindex,AK4923)</f>
        <v>49566</v>
      </c>
      <c r="AM4923" s="23">
        <f>_xll.qlIndexFixing(hiborindex,AK4923)</f>
        <v>1.025627298365445E-2</v>
      </c>
    </row>
    <row r="4924" spans="37:39" x14ac:dyDescent="0.25">
      <c r="AK4924" s="21">
        <f>_xll.qlCalendarAdvance(calendar,AK4923,"1D")</f>
        <v>49565</v>
      </c>
      <c r="AL4924" s="21">
        <f>_xll.qlInterestRateIndexValueDate(hiborindex,AK4924)</f>
        <v>49569</v>
      </c>
      <c r="AM4924" s="23">
        <f>_xll.qlIndexFixing(hiborindex,AK4924)</f>
        <v>1.0258207863574032E-2</v>
      </c>
    </row>
    <row r="4925" spans="37:39" x14ac:dyDescent="0.25">
      <c r="AK4925" s="21">
        <f>_xll.qlCalendarAdvance(calendar,AK4924,"1D")</f>
        <v>49566</v>
      </c>
      <c r="AL4925" s="21">
        <f>_xll.qlInterestRateIndexValueDate(hiborindex,AK4925)</f>
        <v>49570</v>
      </c>
      <c r="AM4925" s="23">
        <f>_xll.qlIndexFixing(hiborindex,AK4925)</f>
        <v>1.0258852823965499E-2</v>
      </c>
    </row>
    <row r="4926" spans="37:39" x14ac:dyDescent="0.25">
      <c r="AK4926" s="21">
        <f>_xll.qlCalendarAdvance(calendar,AK4925,"1D")</f>
        <v>49569</v>
      </c>
      <c r="AL4926" s="21">
        <f>_xll.qlInterestRateIndexValueDate(hiborindex,AK4926)</f>
        <v>49571</v>
      </c>
      <c r="AM4926" s="23">
        <f>_xll.qlIndexFixing(hiborindex,AK4926)</f>
        <v>1.0259497784566909E-2</v>
      </c>
    </row>
    <row r="4927" spans="37:39" x14ac:dyDescent="0.25">
      <c r="AK4927" s="21">
        <f>_xll.qlCalendarAdvance(calendar,AK4926,"1D")</f>
        <v>49570</v>
      </c>
      <c r="AL4927" s="21">
        <f>_xll.qlInterestRateIndexValueDate(hiborindex,AK4927)</f>
        <v>49572</v>
      </c>
      <c r="AM4927" s="23">
        <f>_xll.qlIndexFixing(hiborindex,AK4927)</f>
        <v>1.0260142745376503E-2</v>
      </c>
    </row>
    <row r="4928" spans="37:39" x14ac:dyDescent="0.25">
      <c r="AK4928" s="21">
        <f>_xll.qlCalendarAdvance(calendar,AK4927,"1D")</f>
        <v>49571</v>
      </c>
      <c r="AL4928" s="21">
        <f>_xll.qlInterestRateIndexValueDate(hiborindex,AK4928)</f>
        <v>49573</v>
      </c>
      <c r="AM4928" s="23">
        <f>_xll.qlIndexFixing(hiborindex,AK4928)</f>
        <v>1.02607877063956E-2</v>
      </c>
    </row>
    <row r="4929" spans="37:39" x14ac:dyDescent="0.25">
      <c r="AK4929" s="21">
        <f>_xll.qlCalendarAdvance(calendar,AK4928,"1D")</f>
        <v>49572</v>
      </c>
      <c r="AL4929" s="21">
        <f>_xll.qlInterestRateIndexValueDate(hiborindex,AK4929)</f>
        <v>49576</v>
      </c>
      <c r="AM4929" s="23">
        <f>_xll.qlIndexFixing(hiborindex,AK4929)</f>
        <v>1.026272259070859E-2</v>
      </c>
    </row>
    <row r="4930" spans="37:39" x14ac:dyDescent="0.25">
      <c r="AK4930" s="21">
        <f>_xll.qlCalendarAdvance(calendar,AK4929,"1D")</f>
        <v>49573</v>
      </c>
      <c r="AL4930" s="21">
        <f>_xll.qlInterestRateIndexValueDate(hiborindex,AK4930)</f>
        <v>49577</v>
      </c>
      <c r="AM4930" s="23">
        <f>_xll.qlIndexFixing(hiborindex,AK4930)</f>
        <v>1.026336755256526E-2</v>
      </c>
    </row>
    <row r="4931" spans="37:39" x14ac:dyDescent="0.25">
      <c r="AK4931" s="21">
        <f>_xll.qlCalendarAdvance(calendar,AK4930,"1D")</f>
        <v>49576</v>
      </c>
      <c r="AL4931" s="21">
        <f>_xll.qlInterestRateIndexValueDate(hiborindex,AK4931)</f>
        <v>49578</v>
      </c>
      <c r="AM4931" s="23">
        <f>_xll.qlIndexFixing(hiborindex,AK4931)</f>
        <v>1.0264012514630114E-2</v>
      </c>
    </row>
    <row r="4932" spans="37:39" x14ac:dyDescent="0.25">
      <c r="AK4932" s="21">
        <f>_xll.qlCalendarAdvance(calendar,AK4931,"1D")</f>
        <v>49577</v>
      </c>
      <c r="AL4932" s="21">
        <f>_xll.qlInterestRateIndexValueDate(hiborindex,AK4932)</f>
        <v>49579</v>
      </c>
      <c r="AM4932" s="23">
        <f>_xll.qlIndexFixing(hiborindex,AK4932)</f>
        <v>1.026465747690491E-2</v>
      </c>
    </row>
    <row r="4933" spans="37:39" x14ac:dyDescent="0.25">
      <c r="AK4933" s="21">
        <f>_xll.qlCalendarAdvance(calendar,AK4932,"1D")</f>
        <v>49578</v>
      </c>
      <c r="AL4933" s="21">
        <f>_xll.qlInterestRateIndexValueDate(hiborindex,AK4933)</f>
        <v>49580</v>
      </c>
      <c r="AM4933" s="23">
        <f>_xll.qlIndexFixing(hiborindex,AK4933)</f>
        <v>1.0266708289429704E-2</v>
      </c>
    </row>
    <row r="4934" spans="37:39" x14ac:dyDescent="0.25">
      <c r="AK4934" s="21">
        <f>_xll.qlCalendarAdvance(calendar,AK4933,"1D")</f>
        <v>49579</v>
      </c>
      <c r="AL4934" s="21">
        <f>_xll.qlInterestRateIndexValueDate(hiborindex,AK4934)</f>
        <v>49583</v>
      </c>
      <c r="AM4934" s="23">
        <f>_xll.qlIndexFixing(hiborindex,AK4934)</f>
        <v>1.0267705978957532E-2</v>
      </c>
    </row>
    <row r="4935" spans="37:39" x14ac:dyDescent="0.25">
      <c r="AK4935" s="21">
        <f>_xll.qlCalendarAdvance(calendar,AK4934,"1D")</f>
        <v>49580</v>
      </c>
      <c r="AL4935" s="21">
        <f>_xll.qlInterestRateIndexValueDate(hiborindex,AK4935)</f>
        <v>49584</v>
      </c>
      <c r="AM4935" s="23">
        <f>_xll.qlIndexFixing(hiborindex,AK4935)</f>
        <v>1.0268350960731313E-2</v>
      </c>
    </row>
    <row r="4936" spans="37:39" x14ac:dyDescent="0.25">
      <c r="AK4936" s="21">
        <f>_xll.qlCalendarAdvance(calendar,AK4935,"1D")</f>
        <v>49583</v>
      </c>
      <c r="AL4936" s="21">
        <f>_xll.qlInterestRateIndexValueDate(hiborindex,AK4936)</f>
        <v>49585</v>
      </c>
      <c r="AM4936" s="23">
        <f>_xll.qlIndexFixing(hiborindex,AK4936)</f>
        <v>1.0268995942715201E-2</v>
      </c>
    </row>
    <row r="4937" spans="37:39" x14ac:dyDescent="0.25">
      <c r="AK4937" s="21">
        <f>_xll.qlCalendarAdvance(calendar,AK4936,"1D")</f>
        <v>49584</v>
      </c>
      <c r="AL4937" s="21">
        <f>_xll.qlInterestRateIndexValueDate(hiborindex,AK4937)</f>
        <v>49586</v>
      </c>
      <c r="AM4937" s="23">
        <f>_xll.qlIndexFixing(hiborindex,AK4937)</f>
        <v>1.0269640924909193E-2</v>
      </c>
    </row>
    <row r="4938" spans="37:39" x14ac:dyDescent="0.25">
      <c r="AK4938" s="21">
        <f>_xll.qlCalendarAdvance(calendar,AK4937,"1D")</f>
        <v>49585</v>
      </c>
      <c r="AL4938" s="21">
        <f>_xll.qlInterestRateIndexValueDate(hiborindex,AK4938)</f>
        <v>49587</v>
      </c>
      <c r="AM4938" s="23">
        <f>_xll.qlIndexFixing(hiborindex,AK4938)</f>
        <v>1.027122342021917E-2</v>
      </c>
    </row>
    <row r="4939" spans="37:39" x14ac:dyDescent="0.25">
      <c r="AK4939" s="21">
        <f>_xll.qlCalendarAdvance(calendar,AK4938,"1D")</f>
        <v>49586</v>
      </c>
      <c r="AL4939" s="21">
        <f>_xll.qlInterestRateIndexValueDate(hiborindex,AK4939)</f>
        <v>49590</v>
      </c>
      <c r="AM4939" s="23">
        <f>_xll.qlIndexFixing(hiborindex,AK4939)</f>
        <v>1.0272220855789709E-2</v>
      </c>
    </row>
    <row r="4940" spans="37:39" x14ac:dyDescent="0.25">
      <c r="AK4940" s="21">
        <f>_xll.qlCalendarAdvance(calendar,AK4939,"1D")</f>
        <v>49587</v>
      </c>
      <c r="AL4940" s="21">
        <f>_xll.qlInterestRateIndexValueDate(hiborindex,AK4940)</f>
        <v>49591</v>
      </c>
      <c r="AM4940" s="23">
        <f>_xll.qlIndexFixing(hiborindex,AK4940)</f>
        <v>1.0272865839035538E-2</v>
      </c>
    </row>
    <row r="4941" spans="37:39" x14ac:dyDescent="0.25">
      <c r="AK4941" s="21">
        <f>_xll.qlCalendarAdvance(calendar,AK4940,"1D")</f>
        <v>49590</v>
      </c>
      <c r="AL4941" s="21">
        <f>_xll.qlInterestRateIndexValueDate(hiborindex,AK4941)</f>
        <v>49592</v>
      </c>
      <c r="AM4941" s="23">
        <f>_xll.qlIndexFixing(hiborindex,AK4941)</f>
        <v>1.0273510822492345E-2</v>
      </c>
    </row>
    <row r="4942" spans="37:39" x14ac:dyDescent="0.25">
      <c r="AK4942" s="21">
        <f>_xll.qlCalendarAdvance(calendar,AK4941,"1D")</f>
        <v>49591</v>
      </c>
      <c r="AL4942" s="21">
        <f>_xll.qlInterestRateIndexValueDate(hiborindex,AK4942)</f>
        <v>49593</v>
      </c>
      <c r="AM4942" s="23">
        <f>_xll.qlIndexFixing(hiborindex,AK4942)</f>
        <v>1.0276031359855421E-2</v>
      </c>
    </row>
    <row r="4943" spans="37:39" x14ac:dyDescent="0.25">
      <c r="AK4943" s="21">
        <f>_xll.qlCalendarAdvance(calendar,AK4942,"1D")</f>
        <v>49592</v>
      </c>
      <c r="AL4943" s="21">
        <f>_xll.qlInterestRateIndexValueDate(hiborindex,AK4943)</f>
        <v>49594</v>
      </c>
      <c r="AM4943" s="23">
        <f>_xll.qlIndexFixing(hiborindex,AK4943)</f>
        <v>1.0276207478920239E-2</v>
      </c>
    </row>
    <row r="4944" spans="37:39" x14ac:dyDescent="0.25">
      <c r="AK4944" s="21">
        <f>_xll.qlCalendarAdvance(calendar,AK4943,"1D")</f>
        <v>49593</v>
      </c>
      <c r="AL4944" s="21">
        <f>_xll.qlInterestRateIndexValueDate(hiborindex,AK4944)</f>
        <v>49597</v>
      </c>
      <c r="AM4944" s="23">
        <f>_xll.qlIndexFixing(hiborindex,AK4944)</f>
        <v>1.0276735742930143E-2</v>
      </c>
    </row>
    <row r="4945" spans="37:39" x14ac:dyDescent="0.25">
      <c r="AK4945" s="21">
        <f>_xll.qlCalendarAdvance(calendar,AK4944,"1D")</f>
        <v>49594</v>
      </c>
      <c r="AL4945" s="21">
        <f>_xll.qlInterestRateIndexValueDate(hiborindex,AK4945)</f>
        <v>49598</v>
      </c>
      <c r="AM4945" s="23">
        <f>_xll.qlIndexFixing(hiborindex,AK4945)</f>
        <v>1.0277380727648892E-2</v>
      </c>
    </row>
    <row r="4946" spans="37:39" x14ac:dyDescent="0.25">
      <c r="AK4946" s="21">
        <f>_xll.qlCalendarAdvance(calendar,AK4945,"1D")</f>
        <v>49597</v>
      </c>
      <c r="AL4946" s="21">
        <f>_xll.qlInterestRateIndexValueDate(hiborindex,AK4946)</f>
        <v>49599</v>
      </c>
      <c r="AM4946" s="23">
        <f>_xll.qlIndexFixing(hiborindex,AK4946)</f>
        <v>1.0278025712577745E-2</v>
      </c>
    </row>
    <row r="4947" spans="37:39" x14ac:dyDescent="0.25">
      <c r="AK4947" s="21">
        <f>_xll.qlCalendarAdvance(calendar,AK4946,"1D")</f>
        <v>49598</v>
      </c>
      <c r="AL4947" s="21">
        <f>_xll.qlInterestRateIndexValueDate(hiborindex,AK4947)</f>
        <v>49600</v>
      </c>
      <c r="AM4947" s="23">
        <f>_xll.qlIndexFixing(hiborindex,AK4947)</f>
        <v>1.0278670697717141E-2</v>
      </c>
    </row>
    <row r="4948" spans="37:39" x14ac:dyDescent="0.25">
      <c r="AK4948" s="21">
        <f>_xll.qlCalendarAdvance(calendar,AK4947,"1D")</f>
        <v>49599</v>
      </c>
      <c r="AL4948" s="21">
        <f>_xll.qlInterestRateIndexValueDate(hiborindex,AK4948)</f>
        <v>49601</v>
      </c>
      <c r="AM4948" s="23">
        <f>_xll.qlIndexFixing(hiborindex,AK4948)</f>
        <v>1.0280253713062609E-2</v>
      </c>
    </row>
    <row r="4949" spans="37:39" x14ac:dyDescent="0.25">
      <c r="AK4949" s="21">
        <f>_xll.qlCalendarAdvance(calendar,AK4948,"1D")</f>
        <v>49600</v>
      </c>
      <c r="AL4949" s="21">
        <f>_xll.qlInterestRateIndexValueDate(hiborindex,AK4949)</f>
        <v>49604</v>
      </c>
      <c r="AM4949" s="23">
        <f>_xll.qlIndexFixing(hiborindex,AK4949)</f>
        <v>1.0281250640378397E-2</v>
      </c>
    </row>
    <row r="4950" spans="37:39" x14ac:dyDescent="0.25">
      <c r="AK4950" s="21">
        <f>_xll.qlCalendarAdvance(calendar,AK4949,"1D")</f>
        <v>49601</v>
      </c>
      <c r="AL4950" s="21">
        <f>_xll.qlInterestRateIndexValueDate(hiborindex,AK4950)</f>
        <v>49605</v>
      </c>
      <c r="AM4950" s="23">
        <f>_xll.qlIndexFixing(hiborindex,AK4950)</f>
        <v>1.0281895626569629E-2</v>
      </c>
    </row>
    <row r="4951" spans="37:39" x14ac:dyDescent="0.25">
      <c r="AK4951" s="21">
        <f>_xll.qlCalendarAdvance(calendar,AK4950,"1D")</f>
        <v>49604</v>
      </c>
      <c r="AL4951" s="21">
        <f>_xll.qlInterestRateIndexValueDate(hiborindex,AK4951)</f>
        <v>49606</v>
      </c>
      <c r="AM4951" s="23">
        <f>_xll.qlIndexFixing(hiborindex,AK4951)</f>
        <v>1.0282540612971403E-2</v>
      </c>
    </row>
    <row r="4952" spans="37:39" x14ac:dyDescent="0.25">
      <c r="AK4952" s="21">
        <f>_xll.qlCalendarAdvance(calendar,AK4951,"1D")</f>
        <v>49605</v>
      </c>
      <c r="AL4952" s="21">
        <f>_xll.qlInterestRateIndexValueDate(hiborindex,AK4952)</f>
        <v>49607</v>
      </c>
      <c r="AM4952" s="23">
        <f>_xll.qlIndexFixing(hiborindex,AK4952)</f>
        <v>1.0283185599583283E-2</v>
      </c>
    </row>
    <row r="4953" spans="37:39" x14ac:dyDescent="0.25">
      <c r="AK4953" s="21">
        <f>_xll.qlCalendarAdvance(calendar,AK4952,"1D")</f>
        <v>49606</v>
      </c>
      <c r="AL4953" s="21">
        <f>_xll.qlInterestRateIndexValueDate(hiborindex,AK4953)</f>
        <v>49608</v>
      </c>
      <c r="AM4953" s="23">
        <f>_xll.qlIndexFixing(hiborindex,AK4953)</f>
        <v>1.0284768875116581E-2</v>
      </c>
    </row>
    <row r="4954" spans="37:39" x14ac:dyDescent="0.25">
      <c r="AK4954" s="21">
        <f>_xll.qlCalendarAdvance(calendar,AK4953,"1D")</f>
        <v>49607</v>
      </c>
      <c r="AL4954" s="21">
        <f>_xll.qlInterestRateIndexValueDate(hiborindex,AK4954)</f>
        <v>49611</v>
      </c>
      <c r="AM4954" s="23">
        <f>_xll.qlIndexFixing(hiborindex,AK4954)</f>
        <v>1.0285765548134908E-2</v>
      </c>
    </row>
    <row r="4955" spans="37:39" x14ac:dyDescent="0.25">
      <c r="AK4955" s="21">
        <f>_xll.qlCalendarAdvance(calendar,AK4954,"1D")</f>
        <v>49608</v>
      </c>
      <c r="AL4955" s="21">
        <f>_xll.qlInterestRateIndexValueDate(hiborindex,AK4955)</f>
        <v>49612</v>
      </c>
      <c r="AM4955" s="23">
        <f>_xll.qlIndexFixing(hiborindex,AK4955)</f>
        <v>1.0286410535799061E-2</v>
      </c>
    </row>
    <row r="4956" spans="37:39" x14ac:dyDescent="0.25">
      <c r="AK4956" s="21">
        <f>_xll.qlCalendarAdvance(calendar,AK4955,"1D")</f>
        <v>49611</v>
      </c>
      <c r="AL4956" s="21">
        <f>_xll.qlInterestRateIndexValueDate(hiborindex,AK4956)</f>
        <v>49613</v>
      </c>
      <c r="AM4956" s="23">
        <f>_xll.qlIndexFixing(hiborindex,AK4956)</f>
        <v>1.0286586318721595E-2</v>
      </c>
    </row>
    <row r="4957" spans="37:39" x14ac:dyDescent="0.25">
      <c r="AK4957" s="21">
        <f>_xll.qlCalendarAdvance(calendar,AK4956,"1D")</f>
        <v>49612</v>
      </c>
      <c r="AL4957" s="21">
        <f>_xll.qlInterestRateIndexValueDate(hiborindex,AK4957)</f>
        <v>49614</v>
      </c>
      <c r="AM4957" s="23">
        <f>_xll.qlIndexFixing(hiborindex,AK4957)</f>
        <v>1.028770051175768E-2</v>
      </c>
    </row>
    <row r="4958" spans="37:39" x14ac:dyDescent="0.25">
      <c r="AK4958" s="21">
        <f>_xll.qlCalendarAdvance(calendar,AK4957,"1D")</f>
        <v>49613</v>
      </c>
      <c r="AL4958" s="21">
        <f>_xll.qlInterestRateIndexValueDate(hiborindex,AK4958)</f>
        <v>49615</v>
      </c>
      <c r="AM4958" s="23">
        <f>_xll.qlIndexFixing(hiborindex,AK4958)</f>
        <v>1.0287876258125238E-2</v>
      </c>
    </row>
    <row r="4959" spans="37:39" x14ac:dyDescent="0.25">
      <c r="AK4959" s="21">
        <f>_xll.qlCalendarAdvance(calendar,AK4958,"1D")</f>
        <v>49614</v>
      </c>
      <c r="AL4959" s="21">
        <f>_xll.qlInterestRateIndexValueDate(hiborindex,AK4959)</f>
        <v>49618</v>
      </c>
      <c r="AM4959" s="23">
        <f>_xll.qlIndexFixing(hiborindex,AK4959)</f>
        <v>1.028981116879912E-2</v>
      </c>
    </row>
    <row r="4960" spans="37:39" x14ac:dyDescent="0.25">
      <c r="AK4960" s="21">
        <f>_xll.qlCalendarAdvance(calendar,AK4959,"1D")</f>
        <v>49615</v>
      </c>
      <c r="AL4960" s="21">
        <f>_xll.qlInterestRateIndexValueDate(hiborindex,AK4960)</f>
        <v>49619</v>
      </c>
      <c r="AM4960" s="23">
        <f>_xll.qlIndexFixing(hiborindex,AK4960)</f>
        <v>1.0290456139442168E-2</v>
      </c>
    </row>
    <row r="4961" spans="37:39" x14ac:dyDescent="0.25">
      <c r="AK4961" s="21">
        <f>_xll.qlCalendarAdvance(calendar,AK4960,"1D")</f>
        <v>49618</v>
      </c>
      <c r="AL4961" s="21">
        <f>_xll.qlInterestRateIndexValueDate(hiborindex,AK4961)</f>
        <v>49620</v>
      </c>
      <c r="AM4961" s="23">
        <f>_xll.qlIndexFixing(hiborindex,AK4961)</f>
        <v>1.0291101110294278E-2</v>
      </c>
    </row>
    <row r="4962" spans="37:39" x14ac:dyDescent="0.25">
      <c r="AK4962" s="21">
        <f>_xll.qlCalendarAdvance(calendar,AK4961,"1D")</f>
        <v>49619</v>
      </c>
      <c r="AL4962" s="21">
        <f>_xll.qlInterestRateIndexValueDate(hiborindex,AK4962)</f>
        <v>49621</v>
      </c>
      <c r="AM4962" s="23">
        <f>_xll.qlIndexFixing(hiborindex,AK4962)</f>
        <v>1.0291746081356331E-2</v>
      </c>
    </row>
    <row r="4963" spans="37:39" x14ac:dyDescent="0.25">
      <c r="AK4963" s="21">
        <f>_xll.qlCalendarAdvance(calendar,AK4962,"1D")</f>
        <v>49620</v>
      </c>
      <c r="AL4963" s="21">
        <f>_xll.qlInterestRateIndexValueDate(hiborindex,AK4963)</f>
        <v>49622</v>
      </c>
      <c r="AM4963" s="23">
        <f>_xll.qlIndexFixing(hiborindex,AK4963)</f>
        <v>1.0292391052627008E-2</v>
      </c>
    </row>
    <row r="4964" spans="37:39" x14ac:dyDescent="0.25">
      <c r="AK4964" s="21">
        <f>_xll.qlCalendarAdvance(calendar,AK4963,"1D")</f>
        <v>49621</v>
      </c>
      <c r="AL4964" s="21">
        <f>_xll.qlInterestRateIndexValueDate(hiborindex,AK4964)</f>
        <v>49625</v>
      </c>
      <c r="AM4964" s="23">
        <f>_xll.qlIndexFixing(hiborindex,AK4964)</f>
        <v>1.0294325967694737E-2</v>
      </c>
    </row>
    <row r="4965" spans="37:39" x14ac:dyDescent="0.25">
      <c r="AK4965" s="21">
        <f>_xll.qlCalendarAdvance(calendar,AK4964,"1D")</f>
        <v>49622</v>
      </c>
      <c r="AL4965" s="21">
        <f>_xll.qlInterestRateIndexValueDate(hiborindex,AK4965)</f>
        <v>49626</v>
      </c>
      <c r="AM4965" s="23">
        <f>_xll.qlIndexFixing(hiborindex,AK4965)</f>
        <v>1.0294970939802108E-2</v>
      </c>
    </row>
    <row r="4966" spans="37:39" x14ac:dyDescent="0.25">
      <c r="AK4966" s="21">
        <f>_xll.qlCalendarAdvance(calendar,AK4965,"1D")</f>
        <v>49625</v>
      </c>
      <c r="AL4966" s="21">
        <f>_xll.qlInterestRateIndexValueDate(hiborindex,AK4966)</f>
        <v>49627</v>
      </c>
      <c r="AM4966" s="23">
        <f>_xll.qlIndexFixing(hiborindex,AK4966)</f>
        <v>1.0295615912118982E-2</v>
      </c>
    </row>
    <row r="4967" spans="37:39" x14ac:dyDescent="0.25">
      <c r="AK4967" s="21">
        <f>_xll.qlCalendarAdvance(calendar,AK4966,"1D")</f>
        <v>49626</v>
      </c>
      <c r="AL4967" s="21">
        <f>_xll.qlInterestRateIndexValueDate(hiborindex,AK4967)</f>
        <v>49628</v>
      </c>
      <c r="AM4967" s="23">
        <f>_xll.qlIndexFixing(hiborindex,AK4967)</f>
        <v>1.0296260884645357E-2</v>
      </c>
    </row>
    <row r="4968" spans="37:39" x14ac:dyDescent="0.25">
      <c r="AK4968" s="21">
        <f>_xll.qlCalendarAdvance(calendar,AK4967,"1D")</f>
        <v>49627</v>
      </c>
      <c r="AL4968" s="21">
        <f>_xll.qlInterestRateIndexValueDate(hiborindex,AK4968)</f>
        <v>49629</v>
      </c>
      <c r="AM4968" s="23">
        <f>_xll.qlIndexFixing(hiborindex,AK4968)</f>
        <v>1.0296905857380797E-2</v>
      </c>
    </row>
    <row r="4969" spans="37:39" x14ac:dyDescent="0.25">
      <c r="AK4969" s="21">
        <f>_xll.qlCalendarAdvance(calendar,AK4968,"1D")</f>
        <v>49628</v>
      </c>
      <c r="AL4969" s="21">
        <f>_xll.qlInterestRateIndexValueDate(hiborindex,AK4969)</f>
        <v>49632</v>
      </c>
      <c r="AM4969" s="23">
        <f>_xll.qlIndexFixing(hiborindex,AK4969)</f>
        <v>1.0298840776841935E-2</v>
      </c>
    </row>
    <row r="4970" spans="37:39" x14ac:dyDescent="0.25">
      <c r="AK4970" s="21">
        <f>_xll.qlCalendarAdvance(calendar,AK4969,"1D")</f>
        <v>49629</v>
      </c>
      <c r="AL4970" s="21">
        <f>_xll.qlInterestRateIndexValueDate(hiborindex,AK4970)</f>
        <v>49633</v>
      </c>
      <c r="AM4970" s="23">
        <f>_xll.qlIndexFixing(hiborindex,AK4970)</f>
        <v>1.0299485750413629E-2</v>
      </c>
    </row>
    <row r="4971" spans="37:39" x14ac:dyDescent="0.25">
      <c r="AK4971" s="21">
        <f>_xll.qlCalendarAdvance(calendar,AK4970,"1D")</f>
        <v>49632</v>
      </c>
      <c r="AL4971" s="21">
        <f>_xll.qlInterestRateIndexValueDate(hiborindex,AK4971)</f>
        <v>49634</v>
      </c>
      <c r="AM4971" s="23">
        <f>_xll.qlIndexFixing(hiborindex,AK4971)</f>
        <v>1.0300130724195703E-2</v>
      </c>
    </row>
    <row r="4972" spans="37:39" x14ac:dyDescent="0.25">
      <c r="AK4972" s="21">
        <f>_xll.qlCalendarAdvance(calendar,AK4971,"1D")</f>
        <v>49633</v>
      </c>
      <c r="AL4972" s="21">
        <f>_xll.qlInterestRateIndexValueDate(hiborindex,AK4972)</f>
        <v>49635</v>
      </c>
      <c r="AM4972" s="23">
        <f>_xll.qlIndexFixing(hiborindex,AK4972)</f>
        <v>1.0300775698185964E-2</v>
      </c>
    </row>
    <row r="4973" spans="37:39" x14ac:dyDescent="0.25">
      <c r="AK4973" s="21">
        <f>_xll.qlCalendarAdvance(calendar,AK4972,"1D")</f>
        <v>49634</v>
      </c>
      <c r="AL4973" s="21">
        <f>_xll.qlInterestRateIndexValueDate(hiborindex,AK4973)</f>
        <v>49636</v>
      </c>
      <c r="AM4973" s="23">
        <f>_xll.qlIndexFixing(hiborindex,AK4973)</f>
        <v>1.0301420672385726E-2</v>
      </c>
    </row>
    <row r="4974" spans="37:39" x14ac:dyDescent="0.25">
      <c r="AK4974" s="21">
        <f>_xll.qlCalendarAdvance(calendar,AK4973,"1D")</f>
        <v>49635</v>
      </c>
      <c r="AL4974" s="21">
        <f>_xll.qlInterestRateIndexValueDate(hiborindex,AK4974)</f>
        <v>49639</v>
      </c>
      <c r="AM4974" s="23">
        <f>_xll.qlIndexFixing(hiborindex,AK4974)</f>
        <v>1.0303355596240711E-2</v>
      </c>
    </row>
    <row r="4975" spans="37:39" x14ac:dyDescent="0.25">
      <c r="AK4975" s="21">
        <f>_xll.qlCalendarAdvance(calendar,AK4974,"1D")</f>
        <v>49636</v>
      </c>
      <c r="AL4975" s="21">
        <f>_xll.qlInterestRateIndexValueDate(hiborindex,AK4975)</f>
        <v>49640</v>
      </c>
      <c r="AM4975" s="23">
        <f>_xll.qlIndexFixing(hiborindex,AK4975)</f>
        <v>1.0304000571277169E-2</v>
      </c>
    </row>
    <row r="4976" spans="37:39" x14ac:dyDescent="0.25">
      <c r="AK4976" s="21">
        <f>_xll.qlCalendarAdvance(calendar,AK4975,"1D")</f>
        <v>49639</v>
      </c>
      <c r="AL4976" s="21">
        <f>_xll.qlInterestRateIndexValueDate(hiborindex,AK4976)</f>
        <v>49641</v>
      </c>
      <c r="AM4976" s="23">
        <f>_xll.qlIndexFixing(hiborindex,AK4976)</f>
        <v>1.0304645546523127E-2</v>
      </c>
    </row>
    <row r="4977" spans="37:39" x14ac:dyDescent="0.25">
      <c r="AK4977" s="21">
        <f>_xll.qlCalendarAdvance(calendar,AK4976,"1D")</f>
        <v>49640</v>
      </c>
      <c r="AL4977" s="21">
        <f>_xll.qlInterestRateIndexValueDate(hiborindex,AK4977)</f>
        <v>49642</v>
      </c>
      <c r="AM4977" s="23">
        <f>_xll.qlIndexFixing(hiborindex,AK4977)</f>
        <v>1.030529052197815E-2</v>
      </c>
    </row>
    <row r="4978" spans="37:39" x14ac:dyDescent="0.25">
      <c r="AK4978" s="21">
        <f>_xll.qlCalendarAdvance(calendar,AK4977,"1D")</f>
        <v>49641</v>
      </c>
      <c r="AL4978" s="21">
        <f>_xll.qlInterestRateIndexValueDate(hiborindex,AK4978)</f>
        <v>49643</v>
      </c>
      <c r="AM4978" s="23">
        <f>_xll.qlIndexFixing(hiborindex,AK4978)</f>
        <v>1.0305935497642674E-2</v>
      </c>
    </row>
    <row r="4979" spans="37:39" x14ac:dyDescent="0.25">
      <c r="AK4979" s="21">
        <f>_xll.qlCalendarAdvance(calendar,AK4978,"1D")</f>
        <v>49642</v>
      </c>
      <c r="AL4979" s="21">
        <f>_xll.qlInterestRateIndexValueDate(hiborindex,AK4979)</f>
        <v>49646</v>
      </c>
      <c r="AM4979" s="23">
        <f>_xll.qlIndexFixing(hiborindex,AK4979)</f>
        <v>1.0308340241540882E-2</v>
      </c>
    </row>
    <row r="4980" spans="37:39" x14ac:dyDescent="0.25">
      <c r="AK4980" s="21">
        <f>_xll.qlCalendarAdvance(calendar,AK4979,"1D")</f>
        <v>49643</v>
      </c>
      <c r="AL4980" s="21">
        <f>_xll.qlInterestRateIndexValueDate(hiborindex,AK4980)</f>
        <v>49647</v>
      </c>
      <c r="AM4980" s="23">
        <f>_xll.qlIndexFixing(hiborindex,AK4980)</f>
        <v>1.0308985236567888E-2</v>
      </c>
    </row>
    <row r="4981" spans="37:39" x14ac:dyDescent="0.25">
      <c r="AK4981" s="21">
        <f>_xll.qlCalendarAdvance(calendar,AK4980,"1D")</f>
        <v>49646</v>
      </c>
      <c r="AL4981" s="21">
        <f>_xll.qlInterestRateIndexValueDate(hiborindex,AK4981)</f>
        <v>49648</v>
      </c>
      <c r="AM4981" s="23">
        <f>_xll.qlIndexFixing(hiborindex,AK4981)</f>
        <v>1.0309630231804999E-2</v>
      </c>
    </row>
    <row r="4982" spans="37:39" x14ac:dyDescent="0.25">
      <c r="AK4982" s="21">
        <f>_xll.qlCalendarAdvance(calendar,AK4981,"1D")</f>
        <v>49647</v>
      </c>
      <c r="AL4982" s="21">
        <f>_xll.qlInterestRateIndexValueDate(hiborindex,AK4982)</f>
        <v>49649</v>
      </c>
      <c r="AM4982" s="23">
        <f>_xll.qlIndexFixing(hiborindex,AK4982)</f>
        <v>1.0310275227252651E-2</v>
      </c>
    </row>
    <row r="4983" spans="37:39" x14ac:dyDescent="0.25">
      <c r="AK4983" s="21">
        <f>_xll.qlCalendarAdvance(calendar,AK4982,"1D")</f>
        <v>49648</v>
      </c>
      <c r="AL4983" s="21">
        <f>_xll.qlInterestRateIndexValueDate(hiborindex,AK4983)</f>
        <v>49650</v>
      </c>
      <c r="AM4983" s="23">
        <f>_xll.qlIndexFixing(hiborindex,AK4983)</f>
        <v>1.0311860066290646E-2</v>
      </c>
    </row>
    <row r="4984" spans="37:39" x14ac:dyDescent="0.25">
      <c r="AK4984" s="21">
        <f>_xll.qlCalendarAdvance(calendar,AK4983,"1D")</f>
        <v>49649</v>
      </c>
      <c r="AL4984" s="21">
        <f>_xll.qlInterestRateIndexValueDate(hiborindex,AK4984)</f>
        <v>49653</v>
      </c>
      <c r="AM4984" s="23">
        <f>_xll.qlIndexFixing(hiborindex,AK4984)</f>
        <v>1.0312855211146936E-2</v>
      </c>
    </row>
    <row r="4985" spans="37:39" x14ac:dyDescent="0.25">
      <c r="AK4985" s="21">
        <f>_xll.qlCalendarAdvance(calendar,AK4984,"1D")</f>
        <v>49650</v>
      </c>
      <c r="AL4985" s="21">
        <f>_xll.qlInterestRateIndexValueDate(hiborindex,AK4985)</f>
        <v>49654</v>
      </c>
      <c r="AM4985" s="23">
        <f>_xll.qlIndexFixing(hiborindex,AK4985)</f>
        <v>1.0313500207646424E-2</v>
      </c>
    </row>
    <row r="4986" spans="37:39" x14ac:dyDescent="0.25">
      <c r="AK4986" s="21">
        <f>_xll.qlCalendarAdvance(calendar,AK4985,"1D")</f>
        <v>49653</v>
      </c>
      <c r="AL4986" s="21">
        <f>_xll.qlInterestRateIndexValueDate(hiborindex,AK4986)</f>
        <v>49655</v>
      </c>
      <c r="AM4986" s="23">
        <f>_xll.qlIndexFixing(hiborindex,AK4986)</f>
        <v>1.0314145204356456E-2</v>
      </c>
    </row>
    <row r="4987" spans="37:39" x14ac:dyDescent="0.25">
      <c r="AK4987" s="21">
        <f>_xll.qlCalendarAdvance(calendar,AK4986,"1D")</f>
        <v>49654</v>
      </c>
      <c r="AL4987" s="21">
        <f>_xll.qlInterestRateIndexValueDate(hiborindex,AK4987)</f>
        <v>49656</v>
      </c>
      <c r="AM4987" s="23">
        <f>_xll.qlIndexFixing(hiborindex,AK4987)</f>
        <v>1.0314790201276592E-2</v>
      </c>
    </row>
    <row r="4988" spans="37:39" x14ac:dyDescent="0.25">
      <c r="AK4988" s="21">
        <f>_xll.qlCalendarAdvance(calendar,AK4987,"1D")</f>
        <v>49655</v>
      </c>
      <c r="AL4988" s="21">
        <f>_xll.qlInterestRateIndexValueDate(hiborindex,AK4988)</f>
        <v>49657</v>
      </c>
      <c r="AM4988" s="23">
        <f>_xll.qlIndexFixing(hiborindex,AK4988)</f>
        <v>1.0316375301295127E-2</v>
      </c>
    </row>
    <row r="4989" spans="37:39" x14ac:dyDescent="0.25">
      <c r="AK4989" s="21">
        <f>_xll.qlCalendarAdvance(calendar,AK4988,"1D")</f>
        <v>49656</v>
      </c>
      <c r="AL4989" s="21">
        <f>_xll.qlInterestRateIndexValueDate(hiborindex,AK4989)</f>
        <v>49660</v>
      </c>
      <c r="AM4989" s="23">
        <f>_xll.qlIndexFixing(hiborindex,AK4989)</f>
        <v>1.0317370191061246E-2</v>
      </c>
    </row>
    <row r="4990" spans="37:39" x14ac:dyDescent="0.25">
      <c r="AK4990" s="21">
        <f>_xll.qlCalendarAdvance(calendar,AK4989,"1D")</f>
        <v>49657</v>
      </c>
      <c r="AL4990" s="21">
        <f>_xll.qlInterestRateIndexValueDate(hiborindex,AK4990)</f>
        <v>49661</v>
      </c>
      <c r="AM4990" s="23">
        <f>_xll.qlIndexFixing(hiborindex,AK4990)</f>
        <v>1.0318015189033655E-2</v>
      </c>
    </row>
    <row r="4991" spans="37:39" x14ac:dyDescent="0.25">
      <c r="AK4991" s="21">
        <f>_xll.qlCalendarAdvance(calendar,AK4990,"1D")</f>
        <v>49660</v>
      </c>
      <c r="AL4991" s="21">
        <f>_xll.qlInterestRateIndexValueDate(hiborindex,AK4991)</f>
        <v>49662</v>
      </c>
      <c r="AM4991" s="23">
        <f>_xll.qlIndexFixing(hiborindex,AK4991)</f>
        <v>1.0318660187215733E-2</v>
      </c>
    </row>
    <row r="4992" spans="37:39" x14ac:dyDescent="0.25">
      <c r="AK4992" s="21">
        <f>_xll.qlCalendarAdvance(calendar,AK4991,"1D")</f>
        <v>49661</v>
      </c>
      <c r="AL4992" s="21">
        <f>_xll.qlInterestRateIndexValueDate(hiborindex,AK4992)</f>
        <v>49663</v>
      </c>
      <c r="AM4992" s="23">
        <f>_xll.qlIndexFixing(hiborindex,AK4992)</f>
        <v>1.0319305185608788E-2</v>
      </c>
    </row>
    <row r="4993" spans="37:39" x14ac:dyDescent="0.25">
      <c r="AK4993" s="21">
        <f>_xll.qlCalendarAdvance(calendar,AK4992,"1D")</f>
        <v>49662</v>
      </c>
      <c r="AL4993" s="21">
        <f>_xll.qlInterestRateIndexValueDate(hiborindex,AK4993)</f>
        <v>49664</v>
      </c>
      <c r="AM4993" s="23">
        <f>_xll.qlIndexFixing(hiborindex,AK4993)</f>
        <v>1.0320890546721542E-2</v>
      </c>
    </row>
    <row r="4994" spans="37:39" x14ac:dyDescent="0.25">
      <c r="AK4994" s="21">
        <f>_xll.qlCalendarAdvance(calendar,AK4993,"1D")</f>
        <v>49663</v>
      </c>
      <c r="AL4994" s="21">
        <f>_xll.qlInterestRateIndexValueDate(hiborindex,AK4994)</f>
        <v>49667</v>
      </c>
      <c r="AM4994" s="23">
        <f>_xll.qlIndexFixing(hiborindex,AK4994)</f>
        <v>1.0321885181284249E-2</v>
      </c>
    </row>
    <row r="4995" spans="37:39" x14ac:dyDescent="0.25">
      <c r="AK4995" s="21">
        <f>_xll.qlCalendarAdvance(calendar,AK4994,"1D")</f>
        <v>49664</v>
      </c>
      <c r="AL4995" s="21">
        <f>_xll.qlInterestRateIndexValueDate(hiborindex,AK4995)</f>
        <v>49670</v>
      </c>
      <c r="AM4995" s="23">
        <f>_xll.qlIndexFixing(hiborindex,AK4995)</f>
        <v>1.0323820180249242E-2</v>
      </c>
    </row>
    <row r="4996" spans="37:39" x14ac:dyDescent="0.25">
      <c r="AK4996" s="21">
        <f>_xll.qlCalendarAdvance(calendar,AK4995,"1D")</f>
        <v>49667</v>
      </c>
      <c r="AL4996" s="21">
        <f>_xll.qlInterestRateIndexValueDate(hiborindex,AK4996)</f>
        <v>49671</v>
      </c>
      <c r="AM4996" s="23">
        <f>_xll.qlIndexFixing(hiborindex,AK4996)</f>
        <v>1.0325405802569028E-2</v>
      </c>
    </row>
    <row r="4997" spans="37:39" x14ac:dyDescent="0.25">
      <c r="AK4997" s="21">
        <f>_xll.qlCalendarAdvance(calendar,AK4996,"1D")</f>
        <v>49670</v>
      </c>
      <c r="AL4997" s="21">
        <f>_xll.qlInterestRateIndexValueDate(hiborindex,AK4997)</f>
        <v>49674</v>
      </c>
      <c r="AM4997" s="23">
        <f>_xll.qlIndexFixing(hiborindex,AK4997)</f>
        <v>1.0325929847009613E-2</v>
      </c>
    </row>
    <row r="4998" spans="37:39" x14ac:dyDescent="0.25">
      <c r="AK4998" s="21">
        <f>_xll.qlCalendarAdvance(calendar,AK4997,"1D")</f>
        <v>49671</v>
      </c>
      <c r="AL4998" s="21">
        <f>_xll.qlInterestRateIndexValueDate(hiborindex,AK4998)</f>
        <v>49676</v>
      </c>
      <c r="AM4998" s="23">
        <f>_xll.qlIndexFixing(hiborindex,AK4998)</f>
        <v>1.0319863636633833E-2</v>
      </c>
    </row>
    <row r="4999" spans="37:39" x14ac:dyDescent="0.25">
      <c r="AK4999" s="21">
        <f>_xll.qlCalendarAdvance(calendar,AK4998,"1D")</f>
        <v>49674</v>
      </c>
      <c r="AL4999" s="21">
        <f>_xll.qlInterestRateIndexValueDate(hiborindex,AK4999)</f>
        <v>49677</v>
      </c>
      <c r="AM4999" s="23">
        <f>_xll.qlIndexFixing(hiborindex,AK4999)</f>
        <v>1.0316829028709767E-2</v>
      </c>
    </row>
    <row r="5000" spans="37:39" x14ac:dyDescent="0.25">
      <c r="AK5000" s="21">
        <f>_xll.qlCalendarAdvance(calendar,AK4999,"1D")</f>
        <v>49676</v>
      </c>
      <c r="AL5000" s="21">
        <f>_xll.qlInterestRateIndexValueDate(hiborindex,AK5000)</f>
        <v>49678</v>
      </c>
      <c r="AM5000" s="23">
        <f>_xll.qlIndexFixing(hiborindex,AK5000)</f>
        <v>1.0313793418967291E-2</v>
      </c>
    </row>
    <row r="5001" spans="37:39" x14ac:dyDescent="0.25">
      <c r="AK5001" s="21">
        <f>_xll.qlCalendarAdvance(calendar,AK5000,"1D")</f>
        <v>49677</v>
      </c>
      <c r="AL5001" s="21">
        <f>_xll.qlInterestRateIndexValueDate(hiborindex,AK5001)</f>
        <v>49681</v>
      </c>
      <c r="AM5001" s="23">
        <f>_xll.qlIndexFixing(hiborindex,AK5001)</f>
        <v>1.0304680578878605E-2</v>
      </c>
    </row>
    <row r="5002" spans="37:39" x14ac:dyDescent="0.25">
      <c r="AK5002" s="21">
        <f>_xll.qlCalendarAdvance(calendar,AK5001,"1D")</f>
        <v>49678</v>
      </c>
      <c r="AL5002" s="21">
        <f>_xll.qlInterestRateIndexValueDate(hiborindex,AK5002)</f>
        <v>49682</v>
      </c>
      <c r="AM5002" s="23">
        <f>_xll.qlIndexFixing(hiborindex,AK5002)</f>
        <v>1.0301640961909931E-2</v>
      </c>
    </row>
    <row r="5003" spans="37:39" x14ac:dyDescent="0.25">
      <c r="AK5003" s="21">
        <f>_xll.qlCalendarAdvance(calendar,AK5002,"1D")</f>
        <v>49681</v>
      </c>
      <c r="AL5003" s="21">
        <f>_xll.qlInterestRateIndexValueDate(hiborindex,AK5003)</f>
        <v>49683</v>
      </c>
      <c r="AM5003" s="23">
        <f>_xll.qlIndexFixing(hiborindex,AK5003)</f>
        <v>1.0298600343146565E-2</v>
      </c>
    </row>
    <row r="5004" spans="37:39" x14ac:dyDescent="0.25">
      <c r="AK5004" s="21">
        <f>_xll.qlCalendarAdvance(calendar,AK5003,"1D")</f>
        <v>49682</v>
      </c>
      <c r="AL5004" s="21">
        <f>_xll.qlInterestRateIndexValueDate(hiborindex,AK5004)</f>
        <v>49684</v>
      </c>
      <c r="AM5004" s="23">
        <f>_xll.qlIndexFixing(hiborindex,AK5004)</f>
        <v>1.0295558722592899E-2</v>
      </c>
    </row>
    <row r="5005" spans="37:39" x14ac:dyDescent="0.25">
      <c r="AK5005" s="21">
        <f>_xll.qlCalendarAdvance(calendar,AK5004,"1D")</f>
        <v>49683</v>
      </c>
      <c r="AL5005" s="21">
        <f>_xll.qlInterestRateIndexValueDate(hiborindex,AK5005)</f>
        <v>49685</v>
      </c>
      <c r="AM5005" s="23">
        <f>_xll.qlIndexFixing(hiborindex,AK5005)</f>
        <v>1.0292516100252887E-2</v>
      </c>
    </row>
    <row r="5006" spans="37:39" x14ac:dyDescent="0.25">
      <c r="AK5006" s="21">
        <f>_xll.qlCalendarAdvance(calendar,AK5005,"1D")</f>
        <v>49684</v>
      </c>
      <c r="AL5006" s="21">
        <f>_xll.qlInterestRateIndexValueDate(hiborindex,AK5006)</f>
        <v>49688</v>
      </c>
      <c r="AM5006" s="23">
        <f>_xll.qlIndexFixing(hiborindex,AK5006)</f>
        <v>1.0283382222565286E-2</v>
      </c>
    </row>
    <row r="5007" spans="37:39" x14ac:dyDescent="0.25">
      <c r="AK5007" s="21">
        <f>_xll.qlCalendarAdvance(calendar,AK5006,"1D")</f>
        <v>49685</v>
      </c>
      <c r="AL5007" s="21">
        <f>_xll.qlInterestRateIndexValueDate(hiborindex,AK5007)</f>
        <v>49689</v>
      </c>
      <c r="AM5007" s="23">
        <f>_xll.qlIndexFixing(hiborindex,AK5007)</f>
        <v>1.0280335593128204E-2</v>
      </c>
    </row>
    <row r="5008" spans="37:39" x14ac:dyDescent="0.25">
      <c r="AK5008" s="21">
        <f>_xll.qlCalendarAdvance(calendar,AK5007,"1D")</f>
        <v>49688</v>
      </c>
      <c r="AL5008" s="21">
        <f>_xll.qlInterestRateIndexValueDate(hiborindex,AK5008)</f>
        <v>49690</v>
      </c>
      <c r="AM5008" s="23">
        <f>_xll.qlIndexFixing(hiborindex,AK5008)</f>
        <v>1.0277287961928491E-2</v>
      </c>
    </row>
    <row r="5009" spans="37:39" x14ac:dyDescent="0.25">
      <c r="AK5009" s="21">
        <f>_xll.qlCalendarAdvance(calendar,AK5008,"1D")</f>
        <v>49689</v>
      </c>
      <c r="AL5009" s="21">
        <f>_xll.qlInterestRateIndexValueDate(hiborindex,AK5009)</f>
        <v>49691</v>
      </c>
      <c r="AM5009" s="23">
        <f>_xll.qlIndexFixing(hiborindex,AK5009)</f>
        <v>1.0274239328971422E-2</v>
      </c>
    </row>
    <row r="5010" spans="37:39" x14ac:dyDescent="0.25">
      <c r="AK5010" s="21">
        <f>_xll.qlCalendarAdvance(calendar,AK5009,"1D")</f>
        <v>49690</v>
      </c>
      <c r="AL5010" s="21">
        <f>_xll.qlInterestRateIndexValueDate(hiborindex,AK5010)</f>
        <v>49692</v>
      </c>
      <c r="AM5010" s="23">
        <f>_xll.qlIndexFixing(hiborindex,AK5010)</f>
        <v>1.0271189694260068E-2</v>
      </c>
    </row>
    <row r="5011" spans="37:39" x14ac:dyDescent="0.25">
      <c r="AK5011" s="21">
        <f>_xll.qlCalendarAdvance(calendar,AK5010,"1D")</f>
        <v>49691</v>
      </c>
      <c r="AL5011" s="21">
        <f>_xll.qlInterestRateIndexValueDate(hiborindex,AK5011)</f>
        <v>49695</v>
      </c>
      <c r="AM5011" s="23">
        <f>_xll.qlIndexFixing(hiborindex,AK5011)</f>
        <v>1.0262034779652129E-2</v>
      </c>
    </row>
    <row r="5012" spans="37:39" x14ac:dyDescent="0.25">
      <c r="AK5012" s="21">
        <f>_xll.qlCalendarAdvance(calendar,AK5011,"1D")</f>
        <v>49692</v>
      </c>
      <c r="AL5012" s="21">
        <f>_xll.qlInterestRateIndexValueDate(hiborindex,AK5012)</f>
        <v>49696</v>
      </c>
      <c r="AM5012" s="23">
        <f>_xll.qlIndexFixing(hiborindex,AK5012)</f>
        <v>1.025898113797327E-2</v>
      </c>
    </row>
    <row r="5013" spans="37:39" x14ac:dyDescent="0.25">
      <c r="AK5013" s="21">
        <f>_xll.qlCalendarAdvance(calendar,AK5012,"1D")</f>
        <v>49695</v>
      </c>
      <c r="AL5013" s="21">
        <f>_xll.qlInterestRateIndexValueDate(hiborindex,AK5013)</f>
        <v>49697</v>
      </c>
      <c r="AM5013" s="23">
        <f>_xll.qlIndexFixing(hiborindex,AK5013)</f>
        <v>1.0255926494563843E-2</v>
      </c>
    </row>
    <row r="5014" spans="37:39" x14ac:dyDescent="0.25">
      <c r="AK5014" s="21">
        <f>_xll.qlCalendarAdvance(calendar,AK5013,"1D")</f>
        <v>49696</v>
      </c>
      <c r="AL5014" s="21">
        <f>_xll.qlInterestRateIndexValueDate(hiborindex,AK5014)</f>
        <v>49698</v>
      </c>
      <c r="AM5014" s="23">
        <f>_xll.qlIndexFixing(hiborindex,AK5014)</f>
        <v>1.0252870849429122E-2</v>
      </c>
    </row>
    <row r="5015" spans="37:39" x14ac:dyDescent="0.25">
      <c r="AK5015" s="21">
        <f>_xll.qlCalendarAdvance(calendar,AK5014,"1D")</f>
        <v>49697</v>
      </c>
      <c r="AL5015" s="21">
        <f>_xll.qlInterestRateIndexValueDate(hiborindex,AK5015)</f>
        <v>49699</v>
      </c>
      <c r="AM5015" s="23">
        <f>_xll.qlIndexFixing(hiborindex,AK5015)</f>
        <v>1.0249814202573496E-2</v>
      </c>
    </row>
    <row r="5016" spans="37:39" x14ac:dyDescent="0.25">
      <c r="AK5016" s="21">
        <f>_xll.qlCalendarAdvance(calendar,AK5015,"1D")</f>
        <v>49698</v>
      </c>
      <c r="AL5016" s="21">
        <f>_xll.qlInterestRateIndexValueDate(hiborindex,AK5016)</f>
        <v>49702</v>
      </c>
      <c r="AM5016" s="23">
        <f>_xll.qlIndexFixing(hiborindex,AK5016)</f>
        <v>1.0240638251725115E-2</v>
      </c>
    </row>
    <row r="5017" spans="37:39" x14ac:dyDescent="0.25">
      <c r="AK5017" s="21">
        <f>_xll.qlCalendarAdvance(calendar,AK5016,"1D")</f>
        <v>49699</v>
      </c>
      <c r="AL5017" s="21">
        <f>_xll.qlInterestRateIndexValueDate(hiborindex,AK5017)</f>
        <v>49703</v>
      </c>
      <c r="AM5017" s="23">
        <f>_xll.qlIndexFixing(hiborindex,AK5017)</f>
        <v>1.0237577598031112E-2</v>
      </c>
    </row>
    <row r="5018" spans="37:39" x14ac:dyDescent="0.25">
      <c r="AK5018" s="21">
        <f>_xll.qlCalendarAdvance(calendar,AK5017,"1D")</f>
        <v>49702</v>
      </c>
      <c r="AL5018" s="21">
        <f>_xll.qlInterestRateIndexValueDate(hiborindex,AK5018)</f>
        <v>49704</v>
      </c>
      <c r="AM5018" s="23">
        <f>_xll.qlIndexFixing(hiborindex,AK5018)</f>
        <v>1.0234515942639482E-2</v>
      </c>
    </row>
    <row r="5019" spans="37:39" x14ac:dyDescent="0.25">
      <c r="AK5019" s="21">
        <f>_xll.qlCalendarAdvance(calendar,AK5018,"1D")</f>
        <v>49703</v>
      </c>
      <c r="AL5019" s="21">
        <f>_xll.qlInterestRateIndexValueDate(hiborindex,AK5019)</f>
        <v>49705</v>
      </c>
      <c r="AM5019" s="23">
        <f>_xll.qlIndexFixing(hiborindex,AK5019)</f>
        <v>1.0231453285554179E-2</v>
      </c>
    </row>
    <row r="5020" spans="37:39" x14ac:dyDescent="0.25">
      <c r="AK5020" s="21">
        <f>_xll.qlCalendarAdvance(calendar,AK5019,"1D")</f>
        <v>49704</v>
      </c>
      <c r="AL5020" s="21">
        <f>_xll.qlInterestRateIndexValueDate(hiborindex,AK5020)</f>
        <v>49706</v>
      </c>
      <c r="AM5020" s="23">
        <f>_xll.qlIndexFixing(hiborindex,AK5020)</f>
        <v>1.0228389626780476E-2</v>
      </c>
    </row>
    <row r="5021" spans="37:39" x14ac:dyDescent="0.25">
      <c r="AK5021" s="21">
        <f>_xll.qlCalendarAdvance(calendar,AK5020,"1D")</f>
        <v>49705</v>
      </c>
      <c r="AL5021" s="21">
        <f>_xll.qlInterestRateIndexValueDate(hiborindex,AK5021)</f>
        <v>49709</v>
      </c>
      <c r="AM5021" s="23">
        <f>_xll.qlIndexFixing(hiborindex,AK5021)</f>
        <v>1.0219192640374183E-2</v>
      </c>
    </row>
    <row r="5022" spans="37:39" x14ac:dyDescent="0.25">
      <c r="AK5022" s="21">
        <f>_xll.qlCalendarAdvance(calendar,AK5021,"1D")</f>
        <v>49706</v>
      </c>
      <c r="AL5022" s="21">
        <f>_xll.qlInterestRateIndexValueDate(hiborindex,AK5022)</f>
        <v>49710</v>
      </c>
      <c r="AM5022" s="23">
        <f>_xll.qlIndexFixing(hiborindex,AK5022)</f>
        <v>1.0216124974892545E-2</v>
      </c>
    </row>
    <row r="5023" spans="37:39" x14ac:dyDescent="0.25">
      <c r="AK5023" s="21">
        <f>_xll.qlCalendarAdvance(calendar,AK5022,"1D")</f>
        <v>49709</v>
      </c>
      <c r="AL5023" s="21">
        <f>_xll.qlInterestRateIndexValueDate(hiborindex,AK5023)</f>
        <v>49711</v>
      </c>
      <c r="AM5023" s="23">
        <f>_xll.qlIndexFixing(hiborindex,AK5023)</f>
        <v>1.0213056307745345E-2</v>
      </c>
    </row>
    <row r="5024" spans="37:39" x14ac:dyDescent="0.25">
      <c r="AK5024" s="21">
        <f>_xll.qlCalendarAdvance(calendar,AK5023,"1D")</f>
        <v>49710</v>
      </c>
      <c r="AL5024" s="21">
        <f>_xll.qlInterestRateIndexValueDate(hiborindex,AK5024)</f>
        <v>49712</v>
      </c>
      <c r="AM5024" s="23">
        <f>_xll.qlIndexFixing(hiborindex,AK5024)</f>
        <v>1.020998663893785E-2</v>
      </c>
    </row>
    <row r="5025" spans="37:39" x14ac:dyDescent="0.25">
      <c r="AK5025" s="21">
        <f>_xll.qlCalendarAdvance(calendar,AK5024,"1D")</f>
        <v>49711</v>
      </c>
      <c r="AL5025" s="21">
        <f>_xll.qlInterestRateIndexValueDate(hiborindex,AK5025)</f>
        <v>49713</v>
      </c>
      <c r="AM5025" s="23">
        <f>_xll.qlIndexFixing(hiborindex,AK5025)</f>
        <v>1.0206915968474015E-2</v>
      </c>
    </row>
    <row r="5026" spans="37:39" x14ac:dyDescent="0.25">
      <c r="AK5026" s="21">
        <f>_xll.qlCalendarAdvance(calendar,AK5025,"1D")</f>
        <v>49712</v>
      </c>
      <c r="AL5026" s="21">
        <f>_xll.qlInterestRateIndexValueDate(hiborindex,AK5026)</f>
        <v>49716</v>
      </c>
      <c r="AM5026" s="23">
        <f>_xll.qlIndexFixing(hiborindex,AK5026)</f>
        <v>1.0197697947192344E-2</v>
      </c>
    </row>
    <row r="5027" spans="37:39" x14ac:dyDescent="0.25">
      <c r="AK5027" s="21">
        <f>_xll.qlCalendarAdvance(calendar,AK5026,"1D")</f>
        <v>49713</v>
      </c>
      <c r="AL5027" s="21">
        <f>_xll.qlInterestRateIndexValueDate(hiborindex,AK5027)</f>
        <v>49717</v>
      </c>
      <c r="AM5027" s="23">
        <f>_xll.qlIndexFixing(hiborindex,AK5027)</f>
        <v>1.0194623270150582E-2</v>
      </c>
    </row>
    <row r="5028" spans="37:39" x14ac:dyDescent="0.25">
      <c r="AK5028" s="21">
        <f>_xll.qlCalendarAdvance(calendar,AK5027,"1D")</f>
        <v>49716</v>
      </c>
      <c r="AL5028" s="21">
        <f>_xll.qlInterestRateIndexValueDate(hiborindex,AK5028)</f>
        <v>49718</v>
      </c>
      <c r="AM5028" s="23">
        <f>_xll.qlIndexFixing(hiborindex,AK5028)</f>
        <v>1.0191547591476198E-2</v>
      </c>
    </row>
    <row r="5029" spans="37:39" x14ac:dyDescent="0.25">
      <c r="AK5029" s="21">
        <f>_xll.qlCalendarAdvance(calendar,AK5028,"1D")</f>
        <v>49717</v>
      </c>
      <c r="AL5029" s="21">
        <f>_xll.qlInterestRateIndexValueDate(hiborindex,AK5029)</f>
        <v>49719</v>
      </c>
      <c r="AM5029" s="23">
        <f>_xll.qlIndexFixing(hiborindex,AK5029)</f>
        <v>1.0188470911174021E-2</v>
      </c>
    </row>
    <row r="5030" spans="37:39" x14ac:dyDescent="0.25">
      <c r="AK5030" s="21">
        <f>_xll.qlCalendarAdvance(calendar,AK5029,"1D")</f>
        <v>49718</v>
      </c>
      <c r="AL5030" s="21">
        <f>_xll.qlInterestRateIndexValueDate(hiborindex,AK5030)</f>
        <v>49720</v>
      </c>
      <c r="AM5030" s="23">
        <f>_xll.qlIndexFixing(hiborindex,AK5030)</f>
        <v>1.0185393229248446E-2</v>
      </c>
    </row>
    <row r="5031" spans="37:39" x14ac:dyDescent="0.25">
      <c r="AK5031" s="21">
        <f>_xll.qlCalendarAdvance(calendar,AK5030,"1D")</f>
        <v>49719</v>
      </c>
      <c r="AL5031" s="21">
        <f>_xll.qlInterestRateIndexValueDate(hiborindex,AK5031)</f>
        <v>49723</v>
      </c>
      <c r="AM5031" s="23">
        <f>_xll.qlIndexFixing(hiborindex,AK5031)</f>
        <v>1.0176154173776561E-2</v>
      </c>
    </row>
    <row r="5032" spans="37:39" x14ac:dyDescent="0.25">
      <c r="AK5032" s="21">
        <f>_xll.qlCalendarAdvance(calendar,AK5031,"1D")</f>
        <v>49720</v>
      </c>
      <c r="AL5032" s="21">
        <f>_xll.qlInterestRateIndexValueDate(hiborindex,AK5032)</f>
        <v>49724</v>
      </c>
      <c r="AM5032" s="23">
        <f>_xll.qlIndexFixing(hiborindex,AK5032)</f>
        <v>1.0173072485403065E-2</v>
      </c>
    </row>
    <row r="5033" spans="37:39" x14ac:dyDescent="0.25">
      <c r="AK5033" s="21">
        <f>_xll.qlCalendarAdvance(calendar,AK5032,"1D")</f>
        <v>49723</v>
      </c>
      <c r="AL5033" s="21">
        <f>_xll.qlInterestRateIndexValueDate(hiborindex,AK5033)</f>
        <v>49725</v>
      </c>
      <c r="AM5033" s="23">
        <f>_xll.qlIndexFixing(hiborindex,AK5033)</f>
        <v>1.0169989795430325E-2</v>
      </c>
    </row>
    <row r="5034" spans="37:39" x14ac:dyDescent="0.25">
      <c r="AK5034" s="21">
        <f>_xll.qlCalendarAdvance(calendar,AK5033,"1D")</f>
        <v>49724</v>
      </c>
      <c r="AL5034" s="21">
        <f>_xll.qlInterestRateIndexValueDate(hiborindex,AK5034)</f>
        <v>49726</v>
      </c>
      <c r="AM5034" s="23">
        <f>_xll.qlIndexFixing(hiborindex,AK5034)</f>
        <v>1.0166906103861418E-2</v>
      </c>
    </row>
    <row r="5035" spans="37:39" x14ac:dyDescent="0.25">
      <c r="AK5035" s="21">
        <f>_xll.qlCalendarAdvance(calendar,AK5034,"1D")</f>
        <v>49725</v>
      </c>
      <c r="AL5035" s="21">
        <f>_xll.qlInterestRateIndexValueDate(hiborindex,AK5035)</f>
        <v>49727</v>
      </c>
      <c r="AM5035" s="23">
        <f>_xll.qlIndexFixing(hiborindex,AK5035)</f>
        <v>1.016382141070205E-2</v>
      </c>
    </row>
    <row r="5036" spans="37:39" x14ac:dyDescent="0.25">
      <c r="AK5036" s="21">
        <f>_xll.qlCalendarAdvance(calendar,AK5035,"1D")</f>
        <v>49726</v>
      </c>
      <c r="AL5036" s="21">
        <f>_xll.qlInterestRateIndexValueDate(hiborindex,AK5036)</f>
        <v>49730</v>
      </c>
      <c r="AM5036" s="23">
        <f>_xll.qlIndexFixing(hiborindex,AK5036)</f>
        <v>1.0154561321726874E-2</v>
      </c>
    </row>
    <row r="5037" spans="37:39" x14ac:dyDescent="0.25">
      <c r="AK5037" s="21">
        <f>_xll.qlCalendarAdvance(calendar,AK5036,"1D")</f>
        <v>49727</v>
      </c>
      <c r="AL5037" s="21">
        <f>_xll.qlInterestRateIndexValueDate(hiborindex,AK5037)</f>
        <v>49731</v>
      </c>
      <c r="AM5037" s="23">
        <f>_xll.qlIndexFixing(hiborindex,AK5037)</f>
        <v>1.0151472622251349E-2</v>
      </c>
    </row>
    <row r="5038" spans="37:39" x14ac:dyDescent="0.25">
      <c r="AK5038" s="21">
        <f>_xll.qlCalendarAdvance(calendar,AK5037,"1D")</f>
        <v>49730</v>
      </c>
      <c r="AL5038" s="21">
        <f>_xll.qlInterestRateIndexValueDate(hiborindex,AK5038)</f>
        <v>49732</v>
      </c>
      <c r="AM5038" s="23">
        <f>_xll.qlIndexFixing(hiborindex,AK5038)</f>
        <v>1.0148382921208204E-2</v>
      </c>
    </row>
    <row r="5039" spans="37:39" x14ac:dyDescent="0.25">
      <c r="AK5039" s="21">
        <f>_xll.qlCalendarAdvance(calendar,AK5038,"1D")</f>
        <v>49731</v>
      </c>
      <c r="AL5039" s="21">
        <f>_xll.qlInterestRateIndexValueDate(hiborindex,AK5039)</f>
        <v>49733</v>
      </c>
      <c r="AM5039" s="23">
        <f>_xll.qlIndexFixing(hiborindex,AK5039)</f>
        <v>1.0145292218602711E-2</v>
      </c>
    </row>
    <row r="5040" spans="37:39" x14ac:dyDescent="0.25">
      <c r="AK5040" s="21">
        <f>_xll.qlCalendarAdvance(calendar,AK5039,"1D")</f>
        <v>49732</v>
      </c>
      <c r="AL5040" s="21">
        <f>_xll.qlInterestRateIndexValueDate(hiborindex,AK5040)</f>
        <v>49734</v>
      </c>
      <c r="AM5040" s="23">
        <f>_xll.qlIndexFixing(hiborindex,AK5040)</f>
        <v>1.0142200514439259E-2</v>
      </c>
    </row>
    <row r="5041" spans="37:39" x14ac:dyDescent="0.25">
      <c r="AK5041" s="21">
        <f>_xll.qlCalendarAdvance(calendar,AK5040,"1D")</f>
        <v>49733</v>
      </c>
      <c r="AL5041" s="21">
        <f>_xll.qlInterestRateIndexValueDate(hiborindex,AK5041)</f>
        <v>49737</v>
      </c>
      <c r="AM5041" s="23">
        <f>_xll.qlIndexFixing(hiborindex,AK5041)</f>
        <v>1.0128987336383108E-2</v>
      </c>
    </row>
    <row r="5042" spans="37:39" x14ac:dyDescent="0.25">
      <c r="AK5042" s="21">
        <f>_xll.qlCalendarAdvance(calendar,AK5041,"1D")</f>
        <v>49734</v>
      </c>
      <c r="AL5042" s="21">
        <f>_xll.qlInterestRateIndexValueDate(hiborindex,AK5042)</f>
        <v>49738</v>
      </c>
      <c r="AM5042" s="23">
        <f>_xll.qlIndexFixing(hiborindex,AK5042)</f>
        <v>1.0125930129106642E-2</v>
      </c>
    </row>
    <row r="5043" spans="37:39" x14ac:dyDescent="0.25">
      <c r="AK5043" s="21">
        <f>_xll.qlCalendarAdvance(calendar,AK5042,"1D")</f>
        <v>49737</v>
      </c>
      <c r="AL5043" s="21">
        <f>_xll.qlInterestRateIndexValueDate(hiborindex,AK5043)</f>
        <v>49739</v>
      </c>
      <c r="AM5043" s="23">
        <f>_xll.qlIndexFixing(hiborindex,AK5043)</f>
        <v>1.0122871931112233E-2</v>
      </c>
    </row>
    <row r="5044" spans="37:39" x14ac:dyDescent="0.25">
      <c r="AK5044" s="21">
        <f>_xll.qlCalendarAdvance(calendar,AK5043,"1D")</f>
        <v>49738</v>
      </c>
      <c r="AL5044" s="21">
        <f>_xll.qlInterestRateIndexValueDate(hiborindex,AK5044)</f>
        <v>49740</v>
      </c>
      <c r="AM5044" s="23">
        <f>_xll.qlIndexFixing(hiborindex,AK5044)</f>
        <v>1.0116093910758467E-2</v>
      </c>
    </row>
    <row r="5045" spans="37:39" x14ac:dyDescent="0.25">
      <c r="AK5045" s="21">
        <f>_xll.qlCalendarAdvance(calendar,AK5044,"1D")</f>
        <v>49739</v>
      </c>
      <c r="AL5045" s="21">
        <f>_xll.qlInterestRateIndexValueDate(hiborindex,AK5045)</f>
        <v>49741</v>
      </c>
      <c r="AM5045" s="23">
        <f>_xll.qlIndexFixing(hiborindex,AK5045)</f>
        <v>1.0114900090188112E-2</v>
      </c>
    </row>
    <row r="5046" spans="37:39" x14ac:dyDescent="0.25">
      <c r="AK5046" s="21">
        <f>_xll.qlCalendarAdvance(calendar,AK5045,"1D")</f>
        <v>49740</v>
      </c>
      <c r="AL5046" s="21">
        <f>_xll.qlInterestRateIndexValueDate(hiborindex,AK5046)</f>
        <v>49744</v>
      </c>
      <c r="AM5046" s="23">
        <f>_xll.qlIndexFixing(hiborindex,AK5046)</f>
        <v>1.0107566080542656E-2</v>
      </c>
    </row>
    <row r="5047" spans="37:39" x14ac:dyDescent="0.25">
      <c r="AK5047" s="21">
        <f>_xll.qlCalendarAdvance(calendar,AK5046,"1D")</f>
        <v>49741</v>
      </c>
      <c r="AL5047" s="21">
        <f>_xll.qlInterestRateIndexValueDate(hiborindex,AK5047)</f>
        <v>49745</v>
      </c>
      <c r="AM5047" s="23">
        <f>_xll.qlIndexFixing(hiborindex,AK5047)</f>
        <v>1.010450193834138E-2</v>
      </c>
    </row>
    <row r="5048" spans="37:39" x14ac:dyDescent="0.25">
      <c r="AK5048" s="21">
        <f>_xll.qlCalendarAdvance(calendar,AK5047,"1D")</f>
        <v>49744</v>
      </c>
      <c r="AL5048" s="21">
        <f>_xll.qlInterestRateIndexValueDate(hiborindex,AK5048)</f>
        <v>49746</v>
      </c>
      <c r="AM5048" s="23">
        <f>_xll.qlIndexFixing(hiborindex,AK5048)</f>
        <v>1.0101436805455182E-2</v>
      </c>
    </row>
    <row r="5049" spans="37:39" x14ac:dyDescent="0.25">
      <c r="AK5049" s="21">
        <f>_xll.qlCalendarAdvance(calendar,AK5048,"1D")</f>
        <v>49745</v>
      </c>
      <c r="AL5049" s="21">
        <f>_xll.qlInterestRateIndexValueDate(hiborindex,AK5049)</f>
        <v>49747</v>
      </c>
      <c r="AM5049" s="23">
        <f>_xll.qlIndexFixing(hiborindex,AK5049)</f>
        <v>1.0094916023710565E-2</v>
      </c>
    </row>
    <row r="5050" spans="37:39" x14ac:dyDescent="0.25">
      <c r="AK5050" s="21">
        <f>_xll.qlCalendarAdvance(calendar,AK5049,"1D")</f>
        <v>49746</v>
      </c>
      <c r="AL5050" s="21">
        <f>_xll.qlInterestRateIndexValueDate(hiborindex,AK5050)</f>
        <v>49748</v>
      </c>
      <c r="AM5050" s="23">
        <f>_xll.qlIndexFixing(hiborindex,AK5050)</f>
        <v>1.0093583932355099E-2</v>
      </c>
    </row>
    <row r="5051" spans="37:39" x14ac:dyDescent="0.25">
      <c r="AK5051" s="21">
        <f>_xll.qlCalendarAdvance(calendar,AK5050,"1D")</f>
        <v>49747</v>
      </c>
      <c r="AL5051" s="21">
        <f>_xll.qlInterestRateIndexValueDate(hiborindex,AK5051)</f>
        <v>49751</v>
      </c>
      <c r="AM5051" s="23">
        <f>_xll.qlIndexFixing(hiborindex,AK5051)</f>
        <v>1.0086096280913649E-2</v>
      </c>
    </row>
    <row r="5052" spans="37:39" x14ac:dyDescent="0.25">
      <c r="AK5052" s="21">
        <f>_xll.qlCalendarAdvance(calendar,AK5051,"1D")</f>
        <v>49748</v>
      </c>
      <c r="AL5052" s="21">
        <f>_xll.qlInterestRateIndexValueDate(hiborindex,AK5052)</f>
        <v>49752</v>
      </c>
      <c r="AM5052" s="23">
        <f>_xll.qlIndexFixing(hiborindex,AK5052)</f>
        <v>1.0083025204015645E-2</v>
      </c>
    </row>
    <row r="5053" spans="37:39" x14ac:dyDescent="0.25">
      <c r="AK5053" s="21">
        <f>_xll.qlCalendarAdvance(calendar,AK5052,"1D")</f>
        <v>49751</v>
      </c>
      <c r="AL5053" s="21">
        <f>_xll.qlInterestRateIndexValueDate(hiborindex,AK5053)</f>
        <v>49753</v>
      </c>
      <c r="AM5053" s="23">
        <f>_xll.qlIndexFixing(hiborindex,AK5053)</f>
        <v>1.0079953136464863E-2</v>
      </c>
    </row>
    <row r="5054" spans="37:39" x14ac:dyDescent="0.25">
      <c r="AK5054" s="21">
        <f>_xll.qlCalendarAdvance(calendar,AK5053,"1D")</f>
        <v>49752</v>
      </c>
      <c r="AL5054" s="21">
        <f>_xll.qlInterestRateIndexValueDate(hiborindex,AK5054)</f>
        <v>49754</v>
      </c>
      <c r="AM5054" s="23">
        <f>_xll.qlIndexFixing(hiborindex,AK5054)</f>
        <v>1.0073690112172903E-2</v>
      </c>
    </row>
    <row r="5055" spans="37:39" x14ac:dyDescent="0.25">
      <c r="AK5055" s="21">
        <f>_xll.qlCalendarAdvance(calendar,AK5054,"1D")</f>
        <v>49753</v>
      </c>
      <c r="AL5055" s="21">
        <f>_xll.qlInterestRateIndexValueDate(hiborindex,AK5055)</f>
        <v>49755</v>
      </c>
      <c r="AM5055" s="23">
        <f>_xll.qlIndexFixing(hiborindex,AK5055)</f>
        <v>1.0072219492352904E-2</v>
      </c>
    </row>
    <row r="5056" spans="37:39" x14ac:dyDescent="0.25">
      <c r="AK5056" s="21">
        <f>_xll.qlCalendarAdvance(calendar,AK5055,"1D")</f>
        <v>49754</v>
      </c>
      <c r="AL5056" s="21">
        <f>_xll.qlInterestRateIndexValueDate(hiborindex,AK5056)</f>
        <v>49758</v>
      </c>
      <c r="AM5056" s="23">
        <f>_xll.qlIndexFixing(hiborindex,AK5056)</f>
        <v>1.00645779390909E-2</v>
      </c>
    </row>
    <row r="5057" spans="37:39" x14ac:dyDescent="0.25">
      <c r="AK5057" s="21">
        <f>_xll.qlCalendarAdvance(calendar,AK5056,"1D")</f>
        <v>49755</v>
      </c>
      <c r="AL5057" s="21">
        <f>_xll.qlInterestRateIndexValueDate(hiborindex,AK5057)</f>
        <v>49759</v>
      </c>
      <c r="AM5057" s="23">
        <f>_xll.qlIndexFixing(hiborindex,AK5057)</f>
        <v>1.0061499927723809E-2</v>
      </c>
    </row>
    <row r="5058" spans="37:39" x14ac:dyDescent="0.25">
      <c r="AK5058" s="21">
        <f>_xll.qlCalendarAdvance(calendar,AK5057,"1D")</f>
        <v>49758</v>
      </c>
      <c r="AL5058" s="21">
        <f>_xll.qlInterestRateIndexValueDate(hiborindex,AK5058)</f>
        <v>49760</v>
      </c>
      <c r="AM5058" s="23">
        <f>_xll.qlIndexFixing(hiborindex,AK5058)</f>
        <v>1.0058420925737393E-2</v>
      </c>
    </row>
    <row r="5059" spans="37:39" x14ac:dyDescent="0.25">
      <c r="AK5059" s="21">
        <f>_xll.qlCalendarAdvance(calendar,AK5058,"1D")</f>
        <v>49759</v>
      </c>
      <c r="AL5059" s="21">
        <f>_xll.qlInterestRateIndexValueDate(hiborindex,AK5059)</f>
        <v>49761</v>
      </c>
      <c r="AM5059" s="23">
        <f>_xll.qlIndexFixing(hiborindex,AK5059)</f>
        <v>1.0052416177722283E-2</v>
      </c>
    </row>
    <row r="5060" spans="37:39" x14ac:dyDescent="0.25">
      <c r="AK5060" s="21">
        <f>_xll.qlCalendarAdvance(calendar,AK5059,"1D")</f>
        <v>49760</v>
      </c>
      <c r="AL5060" s="21">
        <f>_xll.qlInterestRateIndexValueDate(hiborindex,AK5060)</f>
        <v>49762</v>
      </c>
      <c r="AM5060" s="23">
        <f>_xll.qlIndexFixing(hiborindex,AK5060)</f>
        <v>1.005080677176815E-2</v>
      </c>
    </row>
    <row r="5061" spans="37:39" x14ac:dyDescent="0.25">
      <c r="AK5061" s="21">
        <f>_xll.qlCalendarAdvance(calendar,AK5060,"1D")</f>
        <v>49761</v>
      </c>
      <c r="AL5061" s="21">
        <f>_xll.qlInterestRateIndexValueDate(hiborindex,AK5061)</f>
        <v>49765</v>
      </c>
      <c r="AM5061" s="23">
        <f>_xll.qlIndexFixing(hiborindex,AK5061)</f>
        <v>1.0044426226489494E-2</v>
      </c>
    </row>
    <row r="5062" spans="37:39" x14ac:dyDescent="0.25">
      <c r="AK5062" s="21">
        <f>_xll.qlCalendarAdvance(calendar,AK5061,"1D")</f>
        <v>49762</v>
      </c>
      <c r="AL5062" s="21">
        <f>_xll.qlInterestRateIndexValueDate(hiborindex,AK5062)</f>
        <v>49766</v>
      </c>
      <c r="AM5062" s="23">
        <f>_xll.qlIndexFixing(hiborindex,AK5062)</f>
        <v>1.0041321983880519E-2</v>
      </c>
    </row>
    <row r="5063" spans="37:39" x14ac:dyDescent="0.25">
      <c r="AK5063" s="21">
        <f>_xll.qlCalendarAdvance(calendar,AK5062,"1D")</f>
        <v>49765</v>
      </c>
      <c r="AL5063" s="21">
        <f>_xll.qlInterestRateIndexValueDate(hiborindex,AK5063)</f>
        <v>49767</v>
      </c>
      <c r="AM5063" s="23">
        <f>_xll.qlIndexFixing(hiborindex,AK5063)</f>
        <v>1.003821674530583E-2</v>
      </c>
    </row>
    <row r="5064" spans="37:39" x14ac:dyDescent="0.25">
      <c r="AK5064" s="21">
        <f>_xll.qlCalendarAdvance(calendar,AK5063,"1D")</f>
        <v>49766</v>
      </c>
      <c r="AL5064" s="21">
        <f>_xll.qlInterestRateIndexValueDate(hiborindex,AK5064)</f>
        <v>49768</v>
      </c>
      <c r="AM5064" s="23">
        <f>_xll.qlIndexFixing(hiborindex,AK5064)</f>
        <v>1.0035110510770667E-2</v>
      </c>
    </row>
    <row r="5065" spans="37:39" x14ac:dyDescent="0.25">
      <c r="AK5065" s="21">
        <f>_xll.qlCalendarAdvance(calendar,AK5064,"1D")</f>
        <v>49767</v>
      </c>
      <c r="AL5065" s="21">
        <f>_xll.qlInterestRateIndexValueDate(hiborindex,AK5065)</f>
        <v>49769</v>
      </c>
      <c r="AM5065" s="23">
        <f>_xll.qlIndexFixing(hiborindex,AK5065)</f>
        <v>1.002934577219178E-2</v>
      </c>
    </row>
    <row r="5066" spans="37:39" x14ac:dyDescent="0.25">
      <c r="AK5066" s="21">
        <f>_xll.qlCalendarAdvance(calendar,AK5065,"1D")</f>
        <v>49768</v>
      </c>
      <c r="AL5066" s="21">
        <f>_xll.qlInterestRateIndexValueDate(hiborindex,AK5066)</f>
        <v>49772</v>
      </c>
      <c r="AM5066" s="23">
        <f>_xll.qlIndexFixing(hiborindex,AK5066)</f>
        <v>1.0022675613120081E-2</v>
      </c>
    </row>
    <row r="5067" spans="37:39" x14ac:dyDescent="0.25">
      <c r="AK5067" s="21">
        <f>_xll.qlCalendarAdvance(calendar,AK5066,"1D")</f>
        <v>49769</v>
      </c>
      <c r="AL5067" s="21">
        <f>_xll.qlInterestRateIndexValueDate(hiborindex,AK5067)</f>
        <v>49773</v>
      </c>
      <c r="AM5067" s="23">
        <f>_xll.qlIndexFixing(hiborindex,AK5067)</f>
        <v>1.0019564398853318E-2</v>
      </c>
    </row>
    <row r="5068" spans="37:39" x14ac:dyDescent="0.25">
      <c r="AK5068" s="21">
        <f>_xll.qlCalendarAdvance(calendar,AK5067,"1D")</f>
        <v>49772</v>
      </c>
      <c r="AL5068" s="21">
        <f>_xll.qlInterestRateIndexValueDate(hiborindex,AK5068)</f>
        <v>49774</v>
      </c>
      <c r="AM5068" s="23">
        <f>_xll.qlIndexFixing(hiborindex,AK5068)</f>
        <v>1.0016452188654476E-2</v>
      </c>
    </row>
    <row r="5069" spans="37:39" x14ac:dyDescent="0.25">
      <c r="AK5069" s="21">
        <f>_xll.qlCalendarAdvance(calendar,AK5068,"1D")</f>
        <v>49773</v>
      </c>
      <c r="AL5069" s="21">
        <f>_xll.qlInterestRateIndexValueDate(hiborindex,AK5069)</f>
        <v>49775</v>
      </c>
      <c r="AM5069" s="23">
        <f>_xll.qlIndexFixing(hiborindex,AK5069)</f>
        <v>1.0013338982527487E-2</v>
      </c>
    </row>
    <row r="5070" spans="37:39" x14ac:dyDescent="0.25">
      <c r="AK5070" s="21">
        <f>_xll.qlCalendarAdvance(calendar,AK5069,"1D")</f>
        <v>49774</v>
      </c>
      <c r="AL5070" s="21">
        <f>_xll.qlInterestRateIndexValueDate(hiborindex,AK5070)</f>
        <v>49780</v>
      </c>
      <c r="AM5070" s="23">
        <f>_xll.qlIndexFixing(hiborindex,AK5070)</f>
        <v>9.9977580131472097E-3</v>
      </c>
    </row>
    <row r="5071" spans="37:39" x14ac:dyDescent="0.25">
      <c r="AK5071" s="21">
        <f>_xll.qlCalendarAdvance(calendar,AK5070,"1D")</f>
        <v>49775</v>
      </c>
      <c r="AL5071" s="21">
        <f>_xll.qlInterestRateIndexValueDate(hiborindex,AK5071)</f>
        <v>49781</v>
      </c>
      <c r="AM5071" s="23">
        <f>_xll.qlIndexFixing(hiborindex,AK5071)</f>
        <v>9.9946388315552883E-3</v>
      </c>
    </row>
    <row r="5072" spans="37:39" x14ac:dyDescent="0.25">
      <c r="AK5072" s="21">
        <f>_xll.qlCalendarAdvance(calendar,AK5071,"1D")</f>
        <v>49780</v>
      </c>
      <c r="AL5072" s="21">
        <f>_xll.qlInterestRateIndexValueDate(hiborindex,AK5072)</f>
        <v>49782</v>
      </c>
      <c r="AM5072" s="23">
        <f>_xll.qlIndexFixing(hiborindex,AK5072)</f>
        <v>9.9915186540679782E-3</v>
      </c>
    </row>
    <row r="5073" spans="37:39" x14ac:dyDescent="0.25">
      <c r="AK5073" s="21">
        <f>_xll.qlCalendarAdvance(calendar,AK5072,"1D")</f>
        <v>49781</v>
      </c>
      <c r="AL5073" s="21">
        <f>_xll.qlInterestRateIndexValueDate(hiborindex,AK5073)</f>
        <v>49783</v>
      </c>
      <c r="AM5073" s="23">
        <f>_xll.qlIndexFixing(hiborindex,AK5073)</f>
        <v>9.9862789424443894E-3</v>
      </c>
    </row>
    <row r="5074" spans="37:39" x14ac:dyDescent="0.25">
      <c r="AK5074" s="21">
        <f>_xll.qlCalendarAdvance(calendar,AK5073,"1D")</f>
        <v>49782</v>
      </c>
      <c r="AL5074" s="21">
        <f>_xll.qlInterestRateIndexValueDate(hiborindex,AK5074)</f>
        <v>49786</v>
      </c>
      <c r="AM5074" s="23">
        <f>_xll.qlIndexFixing(hiborindex,AK5074)</f>
        <v>9.9790279852710016E-3</v>
      </c>
    </row>
    <row r="5075" spans="37:39" x14ac:dyDescent="0.25">
      <c r="AK5075" s="21">
        <f>_xll.qlCalendarAdvance(calendar,AK5074,"1D")</f>
        <v>49783</v>
      </c>
      <c r="AL5075" s="21">
        <f>_xll.qlInterestRateIndexValueDate(hiborindex,AK5075)</f>
        <v>49787</v>
      </c>
      <c r="AM5075" s="23">
        <f>_xll.qlIndexFixing(hiborindex,AK5075)</f>
        <v>9.9759028283827548E-3</v>
      </c>
    </row>
    <row r="5076" spans="37:39" x14ac:dyDescent="0.25">
      <c r="AK5076" s="21">
        <f>_xll.qlCalendarAdvance(calendar,AK5075,"1D")</f>
        <v>49786</v>
      </c>
      <c r="AL5076" s="21">
        <f>_xll.qlInterestRateIndexValueDate(hiborindex,AK5076)</f>
        <v>49788</v>
      </c>
      <c r="AM5076" s="23">
        <f>_xll.qlIndexFixing(hiborindex,AK5076)</f>
        <v>9.9727766756288246E-3</v>
      </c>
    </row>
    <row r="5077" spans="37:39" x14ac:dyDescent="0.25">
      <c r="AK5077" s="21">
        <f>_xll.qlCalendarAdvance(calendar,AK5076,"1D")</f>
        <v>49787</v>
      </c>
      <c r="AL5077" s="21">
        <f>_xll.qlInterestRateIndexValueDate(hiborindex,AK5077)</f>
        <v>49789</v>
      </c>
      <c r="AM5077" s="23">
        <f>_xll.qlIndexFixing(hiborindex,AK5077)</f>
        <v>9.9696495270131403E-3</v>
      </c>
    </row>
    <row r="5078" spans="37:39" x14ac:dyDescent="0.25">
      <c r="AK5078" s="21">
        <f>_xll.qlCalendarAdvance(calendar,AK5077,"1D")</f>
        <v>49788</v>
      </c>
      <c r="AL5078" s="21">
        <f>_xll.qlInterestRateIndexValueDate(hiborindex,AK5078)</f>
        <v>49790</v>
      </c>
      <c r="AM5078" s="23">
        <f>_xll.qlIndexFixing(hiborindex,AK5078)</f>
        <v>9.9646731154721061E-3</v>
      </c>
    </row>
    <row r="5079" spans="37:39" x14ac:dyDescent="0.25">
      <c r="AK5079" s="21">
        <f>_xll.qlCalendarAdvance(calendar,AK5078,"1D")</f>
        <v>49789</v>
      </c>
      <c r="AL5079" s="21">
        <f>_xll.qlInterestRateIndexValueDate(hiborindex,AK5079)</f>
        <v>49793</v>
      </c>
      <c r="AM5079" s="23">
        <f>_xll.qlIndexFixing(hiborindex,AK5079)</f>
        <v>9.957130974033333E-3</v>
      </c>
    </row>
    <row r="5080" spans="37:39" x14ac:dyDescent="0.25">
      <c r="AK5080" s="21">
        <f>_xll.qlCalendarAdvance(calendar,AK5079,"1D")</f>
        <v>49790</v>
      </c>
      <c r="AL5080" s="21">
        <f>_xll.qlInterestRateIndexValueDate(hiborindex,AK5080)</f>
        <v>49794</v>
      </c>
      <c r="AM5080" s="23">
        <f>_xll.qlIndexFixing(hiborindex,AK5080)</f>
        <v>9.9539988461827007E-3</v>
      </c>
    </row>
    <row r="5081" spans="37:39" x14ac:dyDescent="0.25">
      <c r="AK5081" s="21">
        <f>_xll.qlCalendarAdvance(calendar,AK5080,"1D")</f>
        <v>49793</v>
      </c>
      <c r="AL5081" s="21">
        <f>_xll.qlInterestRateIndexValueDate(hiborindex,AK5081)</f>
        <v>49795</v>
      </c>
      <c r="AM5081" s="23">
        <f>_xll.qlIndexFixing(hiborindex,AK5081)</f>
        <v>9.9500318021518014E-3</v>
      </c>
    </row>
    <row r="5082" spans="37:39" x14ac:dyDescent="0.25">
      <c r="AK5082" s="21">
        <f>_xll.qlCalendarAdvance(calendar,AK5081,"1D")</f>
        <v>49794</v>
      </c>
      <c r="AL5082" s="21">
        <f>_xll.qlInterestRateIndexValueDate(hiborindex,AK5082)</f>
        <v>49797</v>
      </c>
      <c r="AM5082" s="23">
        <f>_xll.qlIndexFixing(hiborindex,AK5082)</f>
        <v>9.9430190159069815E-3</v>
      </c>
    </row>
    <row r="5083" spans="37:39" x14ac:dyDescent="0.25">
      <c r="AK5083" s="21">
        <f>_xll.qlCalendarAdvance(calendar,AK5082,"1D")</f>
        <v>49795</v>
      </c>
      <c r="AL5083" s="21">
        <f>_xll.qlInterestRateIndexValueDate(hiborindex,AK5083)</f>
        <v>49800</v>
      </c>
      <c r="AM5083" s="23">
        <f>_xll.qlIndexFixing(hiborindex,AK5083)</f>
        <v>9.9344485918579049E-3</v>
      </c>
    </row>
    <row r="5084" spans="37:39" x14ac:dyDescent="0.25">
      <c r="AK5084" s="21">
        <f>_xll.qlCalendarAdvance(calendar,AK5083,"1D")</f>
        <v>49797</v>
      </c>
      <c r="AL5084" s="21">
        <f>_xll.qlInterestRateIndexValueDate(hiborindex,AK5084)</f>
        <v>49801</v>
      </c>
      <c r="AM5084" s="23">
        <f>_xll.qlIndexFixing(hiborindex,AK5084)</f>
        <v>9.9313289784989638E-3</v>
      </c>
    </row>
    <row r="5085" spans="37:39" x14ac:dyDescent="0.25">
      <c r="AK5085" s="21">
        <f>_xll.qlCalendarAdvance(calendar,AK5084,"1D")</f>
        <v>49800</v>
      </c>
      <c r="AL5085" s="21">
        <f>_xll.qlInterestRateIndexValueDate(hiborindex,AK5085)</f>
        <v>49802</v>
      </c>
      <c r="AM5085" s="23">
        <f>_xll.qlIndexFixing(hiborindex,AK5085)</f>
        <v>9.9282083747174957E-3</v>
      </c>
    </row>
    <row r="5086" spans="37:39" x14ac:dyDescent="0.25">
      <c r="AK5086" s="21">
        <f>_xll.qlCalendarAdvance(calendar,AK5085,"1D")</f>
        <v>49801</v>
      </c>
      <c r="AL5086" s="21">
        <f>_xll.qlInterestRateIndexValueDate(hiborindex,AK5086)</f>
        <v>49803</v>
      </c>
      <c r="AM5086" s="23">
        <f>_xll.qlIndexFixing(hiborindex,AK5086)</f>
        <v>9.9237641785986756E-3</v>
      </c>
    </row>
    <row r="5087" spans="37:39" x14ac:dyDescent="0.25">
      <c r="AK5087" s="21">
        <f>_xll.qlCalendarAdvance(calendar,AK5086,"1D")</f>
        <v>49802</v>
      </c>
      <c r="AL5087" s="21">
        <f>_xll.qlInterestRateIndexValueDate(hiborindex,AK5087)</f>
        <v>49804</v>
      </c>
      <c r="AM5087" s="23">
        <f>_xll.qlIndexFixing(hiborindex,AK5087)</f>
        <v>9.9213166453572411E-3</v>
      </c>
    </row>
    <row r="5088" spans="37:39" x14ac:dyDescent="0.25">
      <c r="AK5088" s="21">
        <f>_xll.qlCalendarAdvance(calendar,AK5087,"1D")</f>
        <v>49803</v>
      </c>
      <c r="AL5088" s="21">
        <f>_xll.qlInterestRateIndexValueDate(hiborindex,AK5088)</f>
        <v>49807</v>
      </c>
      <c r="AM5088" s="23">
        <f>_xll.qlIndexFixing(hiborindex,AK5088)</f>
        <v>9.9125904996403818E-3</v>
      </c>
    </row>
    <row r="5089" spans="37:39" x14ac:dyDescent="0.25">
      <c r="AK5089" s="21">
        <f>_xll.qlCalendarAdvance(calendar,AK5088,"1D")</f>
        <v>49804</v>
      </c>
      <c r="AL5089" s="21">
        <f>_xll.qlInterestRateIndexValueDate(hiborindex,AK5089)</f>
        <v>49808</v>
      </c>
      <c r="AM5089" s="23">
        <f>_xll.qlIndexFixing(hiborindex,AK5089)</f>
        <v>9.9094639534241091E-3</v>
      </c>
    </row>
    <row r="5090" spans="37:39" x14ac:dyDescent="0.25">
      <c r="AK5090" s="21">
        <f>_xll.qlCalendarAdvance(calendar,AK5089,"1D")</f>
        <v>49807</v>
      </c>
      <c r="AL5090" s="21">
        <f>_xll.qlInterestRateIndexValueDate(hiborindex,AK5090)</f>
        <v>49809</v>
      </c>
      <c r="AM5090" s="23">
        <f>_xll.qlIndexFixing(hiborindex,AK5090)</f>
        <v>9.9063364168183263E-3</v>
      </c>
    </row>
    <row r="5091" spans="37:39" x14ac:dyDescent="0.25">
      <c r="AK5091" s="21">
        <f>_xll.qlCalendarAdvance(calendar,AK5090,"1D")</f>
        <v>49808</v>
      </c>
      <c r="AL5091" s="21">
        <f>_xll.qlInterestRateIndexValueDate(hiborindex,AK5091)</f>
        <v>49810</v>
      </c>
      <c r="AM5091" s="23">
        <f>_xll.qlIndexFixing(hiborindex,AK5091)</f>
        <v>9.9021541282082442E-3</v>
      </c>
    </row>
    <row r="5092" spans="37:39" x14ac:dyDescent="0.25">
      <c r="AK5092" s="21">
        <f>_xll.qlCalendarAdvance(calendar,AK5091,"1D")</f>
        <v>49809</v>
      </c>
      <c r="AL5092" s="21">
        <f>_xll.qlInterestRateIndexValueDate(hiborindex,AK5092)</f>
        <v>49811</v>
      </c>
      <c r="AM5092" s="23">
        <f>_xll.qlIndexFixing(hiborindex,AK5092)</f>
        <v>9.8995660054354354E-3</v>
      </c>
    </row>
    <row r="5093" spans="37:39" x14ac:dyDescent="0.25">
      <c r="AK5093" s="21">
        <f>_xll.qlCalendarAdvance(calendar,AK5092,"1D")</f>
        <v>49810</v>
      </c>
      <c r="AL5093" s="21">
        <f>_xll.qlInterestRateIndexValueDate(hiborindex,AK5093)</f>
        <v>49814</v>
      </c>
      <c r="AM5093" s="23">
        <f>_xll.qlIndexFixing(hiborindex,AK5093)</f>
        <v>9.8906838781183705E-3</v>
      </c>
    </row>
    <row r="5094" spans="37:39" x14ac:dyDescent="0.25">
      <c r="AK5094" s="21">
        <f>_xll.qlCalendarAdvance(calendar,AK5093,"1D")</f>
        <v>49811</v>
      </c>
      <c r="AL5094" s="21">
        <f>_xll.qlInterestRateIndexValueDate(hiborindex,AK5094)</f>
        <v>49815</v>
      </c>
      <c r="AM5094" s="23">
        <f>_xll.qlIndexFixing(hiborindex,AK5094)</f>
        <v>9.8875503992771879E-3</v>
      </c>
    </row>
    <row r="5095" spans="37:39" x14ac:dyDescent="0.25">
      <c r="AK5095" s="21">
        <f>_xll.qlCalendarAdvance(calendar,AK5094,"1D")</f>
        <v>49814</v>
      </c>
      <c r="AL5095" s="21">
        <f>_xll.qlInterestRateIndexValueDate(hiborindex,AK5095)</f>
        <v>49816</v>
      </c>
      <c r="AM5095" s="23">
        <f>_xll.qlIndexFixing(hiborindex,AK5095)</f>
        <v>9.884415930079514E-3</v>
      </c>
    </row>
    <row r="5096" spans="37:39" x14ac:dyDescent="0.25">
      <c r="AK5096" s="21">
        <f>_xll.qlCalendarAdvance(calendar,AK5095,"1D")</f>
        <v>49815</v>
      </c>
      <c r="AL5096" s="21">
        <f>_xll.qlInterestRateIndexValueDate(hiborindex,AK5096)</f>
        <v>49817</v>
      </c>
      <c r="AM5096" s="23">
        <f>_xll.qlIndexFixing(hiborindex,AK5096)</f>
        <v>9.8804960676473486E-3</v>
      </c>
    </row>
    <row r="5097" spans="37:39" x14ac:dyDescent="0.25">
      <c r="AK5097" s="21">
        <f>_xll.qlCalendarAdvance(calendar,AK5096,"1D")</f>
        <v>49816</v>
      </c>
      <c r="AL5097" s="21">
        <f>_xll.qlInterestRateIndexValueDate(hiborindex,AK5097)</f>
        <v>49818</v>
      </c>
      <c r="AM5097" s="23">
        <f>_xll.qlIndexFixing(hiborindex,AK5097)</f>
        <v>9.8777670977558373E-3</v>
      </c>
    </row>
    <row r="5098" spans="37:39" x14ac:dyDescent="0.25">
      <c r="AK5098" s="21">
        <f>_xll.qlCalendarAdvance(calendar,AK5097,"1D")</f>
        <v>49817</v>
      </c>
      <c r="AL5098" s="21">
        <f>_xll.qlInterestRateIndexValueDate(hiborindex,AK5098)</f>
        <v>49821</v>
      </c>
      <c r="AM5098" s="23">
        <f>_xll.qlIndexFixing(hiborindex,AK5098)</f>
        <v>9.86872872891883E-3</v>
      </c>
    </row>
    <row r="5099" spans="37:39" x14ac:dyDescent="0.25">
      <c r="AK5099" s="21">
        <f>_xll.qlCalendarAdvance(calendar,AK5098,"1D")</f>
        <v>49818</v>
      </c>
      <c r="AL5099" s="21">
        <f>_xll.qlInterestRateIndexValueDate(hiborindex,AK5099)</f>
        <v>49822</v>
      </c>
      <c r="AM5099" s="23">
        <f>_xll.qlIndexFixing(hiborindex,AK5099)</f>
        <v>9.865588317685161E-3</v>
      </c>
    </row>
    <row r="5100" spans="37:39" x14ac:dyDescent="0.25">
      <c r="AK5100" s="21">
        <f>_xll.qlCalendarAdvance(calendar,AK5099,"1D")</f>
        <v>49821</v>
      </c>
      <c r="AL5100" s="21">
        <f>_xll.qlInterestRateIndexValueDate(hiborindex,AK5100)</f>
        <v>49823</v>
      </c>
      <c r="AM5100" s="23">
        <f>_xll.qlIndexFixing(hiborindex,AK5100)</f>
        <v>9.8624469161293204E-3</v>
      </c>
    </row>
    <row r="5101" spans="37:39" x14ac:dyDescent="0.25">
      <c r="AK5101" s="21">
        <f>_xll.qlCalendarAdvance(calendar,AK5100,"1D")</f>
        <v>49822</v>
      </c>
      <c r="AL5101" s="21">
        <f>_xll.qlInterestRateIndexValueDate(hiborindex,AK5101)</f>
        <v>49824</v>
      </c>
      <c r="AM5101" s="23">
        <f>_xll.qlIndexFixing(hiborindex,AK5101)</f>
        <v>9.859571969794265E-3</v>
      </c>
    </row>
    <row r="5102" spans="37:39" x14ac:dyDescent="0.25">
      <c r="AK5102" s="21">
        <f>_xll.qlCalendarAdvance(calendar,AK5101,"1D")</f>
        <v>49823</v>
      </c>
      <c r="AL5102" s="21">
        <f>_xll.qlInterestRateIndexValueDate(hiborindex,AK5102)</f>
        <v>49825</v>
      </c>
      <c r="AM5102" s="23">
        <f>_xll.qlIndexFixing(hiborindex,AK5102)</f>
        <v>9.8566635265237169E-3</v>
      </c>
    </row>
    <row r="5103" spans="37:39" x14ac:dyDescent="0.25">
      <c r="AK5103" s="21">
        <f>_xll.qlCalendarAdvance(calendar,AK5102,"1D")</f>
        <v>49824</v>
      </c>
      <c r="AL5103" s="21">
        <f>_xll.qlInterestRateIndexValueDate(hiborindex,AK5103)</f>
        <v>49828</v>
      </c>
      <c r="AM5103" s="23">
        <f>_xll.qlIndexFixing(hiborindex,AK5103)</f>
        <v>9.8469140098926024E-3</v>
      </c>
    </row>
    <row r="5104" spans="37:39" x14ac:dyDescent="0.25">
      <c r="AK5104" s="21">
        <f>_xll.qlCalendarAdvance(calendar,AK5103,"1D")</f>
        <v>49825</v>
      </c>
      <c r="AL5104" s="21">
        <f>_xll.qlInterestRateIndexValueDate(hiborindex,AK5104)</f>
        <v>49829</v>
      </c>
      <c r="AM5104" s="23">
        <f>_xll.qlIndexFixing(hiborindex,AK5104)</f>
        <v>9.8437470307288777E-3</v>
      </c>
    </row>
    <row r="5105" spans="37:39" x14ac:dyDescent="0.25">
      <c r="AK5105" s="21">
        <f>_xll.qlCalendarAdvance(calendar,AK5104,"1D")</f>
        <v>49828</v>
      </c>
      <c r="AL5105" s="21">
        <f>_xll.qlInterestRateIndexValueDate(hiborindex,AK5105)</f>
        <v>49830</v>
      </c>
      <c r="AM5105" s="23">
        <f>_xll.qlIndexFixing(hiborindex,AK5105)</f>
        <v>9.8405790558995267E-3</v>
      </c>
    </row>
    <row r="5106" spans="37:39" x14ac:dyDescent="0.25">
      <c r="AK5106" s="21">
        <f>_xll.qlCalendarAdvance(calendar,AK5105,"1D")</f>
        <v>49829</v>
      </c>
      <c r="AL5106" s="21">
        <f>_xll.qlInterestRateIndexValueDate(hiborindex,AK5106)</f>
        <v>49831</v>
      </c>
      <c r="AM5106" s="23">
        <f>_xll.qlIndexFixing(hiborindex,AK5106)</f>
        <v>9.8374100854093545E-3</v>
      </c>
    </row>
    <row r="5107" spans="37:39" x14ac:dyDescent="0.25">
      <c r="AK5107" s="21">
        <f>_xll.qlCalendarAdvance(calendar,AK5106,"1D")</f>
        <v>49830</v>
      </c>
      <c r="AL5107" s="21">
        <f>_xll.qlInterestRateIndexValueDate(hiborindex,AK5107)</f>
        <v>49832</v>
      </c>
      <c r="AM5107" s="23">
        <f>_xll.qlIndexFixing(hiborindex,AK5107)</f>
        <v>9.8340244856088936E-3</v>
      </c>
    </row>
    <row r="5108" spans="37:39" x14ac:dyDescent="0.25">
      <c r="AK5108" s="21">
        <f>_xll.qlCalendarAdvance(calendar,AK5107,"1D")</f>
        <v>49831</v>
      </c>
      <c r="AL5108" s="21">
        <f>_xll.qlInterestRateIndexValueDate(hiborindex,AK5108)</f>
        <v>49835</v>
      </c>
      <c r="AM5108" s="23">
        <f>_xll.qlIndexFixing(hiborindex,AK5108)</f>
        <v>9.824724246935675E-3</v>
      </c>
    </row>
    <row r="5109" spans="37:39" x14ac:dyDescent="0.25">
      <c r="AK5109" s="21">
        <f>_xll.qlCalendarAdvance(calendar,AK5108,"1D")</f>
        <v>49832</v>
      </c>
      <c r="AL5109" s="21">
        <f>_xll.qlInterestRateIndexValueDate(hiborindex,AK5109)</f>
        <v>49836</v>
      </c>
      <c r="AM5109" s="23">
        <f>_xll.qlIndexFixing(hiborindex,AK5109)</f>
        <v>9.8215502982134679E-3</v>
      </c>
    </row>
    <row r="5110" spans="37:39" x14ac:dyDescent="0.25">
      <c r="AK5110" s="21">
        <f>_xll.qlCalendarAdvance(calendar,AK5109,"1D")</f>
        <v>49835</v>
      </c>
      <c r="AL5110" s="21">
        <f>_xll.qlInterestRateIndexValueDate(hiborindex,AK5110)</f>
        <v>49837</v>
      </c>
      <c r="AM5110" s="23">
        <f>_xll.qlIndexFixing(hiborindex,AK5110)</f>
        <v>9.8183753538583947E-3</v>
      </c>
    </row>
    <row r="5111" spans="37:39" x14ac:dyDescent="0.25">
      <c r="AK5111" s="21">
        <f>_xll.qlCalendarAdvance(calendar,AK5110,"1D")</f>
        <v>49836</v>
      </c>
      <c r="AL5111" s="21">
        <f>_xll.qlInterestRateIndexValueDate(hiborindex,AK5111)</f>
        <v>49838</v>
      </c>
      <c r="AM5111" s="23">
        <f>_xll.qlIndexFixing(hiborindex,AK5111)</f>
        <v>9.815199413876572E-3</v>
      </c>
    </row>
    <row r="5112" spans="37:39" x14ac:dyDescent="0.25">
      <c r="AK5112" s="21">
        <f>_xll.qlCalendarAdvance(calendar,AK5111,"1D")</f>
        <v>49837</v>
      </c>
      <c r="AL5112" s="21">
        <f>_xll.qlInterestRateIndexValueDate(hiborindex,AK5112)</f>
        <v>49839</v>
      </c>
      <c r="AM5112" s="23">
        <f>_xll.qlIndexFixing(hiborindex,AK5112)</f>
        <v>9.8120807843895437E-3</v>
      </c>
    </row>
    <row r="5113" spans="37:39" x14ac:dyDescent="0.25">
      <c r="AK5113" s="21">
        <f>_xll.qlCalendarAdvance(calendar,AK5112,"1D")</f>
        <v>49838</v>
      </c>
      <c r="AL5113" s="21">
        <f>_xll.qlInterestRateIndexValueDate(hiborindex,AK5113)</f>
        <v>49842</v>
      </c>
      <c r="AM5113" s="23">
        <f>_xll.qlIndexFixing(hiborindex,AK5113)</f>
        <v>9.802485697773507E-3</v>
      </c>
    </row>
    <row r="5114" spans="37:39" x14ac:dyDescent="0.25">
      <c r="AK5114" s="21">
        <f>_xll.qlCalendarAdvance(calendar,AK5113,"1D")</f>
        <v>49839</v>
      </c>
      <c r="AL5114" s="21">
        <f>_xll.qlInterestRateIndexValueDate(hiborindex,AK5114)</f>
        <v>49843</v>
      </c>
      <c r="AM5114" s="23">
        <f>_xll.qlIndexFixing(hiborindex,AK5114)</f>
        <v>9.7993047797278205E-3</v>
      </c>
    </row>
    <row r="5115" spans="37:39" x14ac:dyDescent="0.25">
      <c r="AK5115" s="21">
        <f>_xll.qlCalendarAdvance(calendar,AK5114,"1D")</f>
        <v>49842</v>
      </c>
      <c r="AL5115" s="21">
        <f>_xll.qlInterestRateIndexValueDate(hiborindex,AK5115)</f>
        <v>49844</v>
      </c>
      <c r="AM5115" s="23">
        <f>_xll.qlIndexFixing(hiborindex,AK5115)</f>
        <v>9.7961228660837767E-3</v>
      </c>
    </row>
    <row r="5116" spans="37:39" x14ac:dyDescent="0.25">
      <c r="AK5116" s="21">
        <f>_xll.qlCalendarAdvance(calendar,AK5115,"1D")</f>
        <v>49843</v>
      </c>
      <c r="AL5116" s="21">
        <f>_xll.qlInterestRateIndexValueDate(hiborindex,AK5116)</f>
        <v>49845</v>
      </c>
      <c r="AM5116" s="23">
        <f>_xll.qlIndexFixing(hiborindex,AK5116)</f>
        <v>9.7929399568466181E-3</v>
      </c>
    </row>
    <row r="5117" spans="37:39" x14ac:dyDescent="0.25">
      <c r="AK5117" s="21">
        <f>_xll.qlCalendarAdvance(calendar,AK5116,"1D")</f>
        <v>49844</v>
      </c>
      <c r="AL5117" s="21">
        <f>_xll.qlInterestRateIndexValueDate(hiborindex,AK5117)</f>
        <v>49846</v>
      </c>
      <c r="AM5117" s="23">
        <f>_xll.qlIndexFixing(hiborindex,AK5117)</f>
        <v>9.7900888219122836E-3</v>
      </c>
    </row>
    <row r="5118" spans="37:39" x14ac:dyDescent="0.25">
      <c r="AK5118" s="21">
        <f>_xll.qlCalendarAdvance(calendar,AK5117,"1D")</f>
        <v>49845</v>
      </c>
      <c r="AL5118" s="21">
        <f>_xll.qlInterestRateIndexValueDate(hiborindex,AK5118)</f>
        <v>49849</v>
      </c>
      <c r="AM5118" s="23">
        <f>_xll.qlIndexFixing(hiborindex,AK5118)</f>
        <v>9.7801983640576733E-3</v>
      </c>
    </row>
    <row r="5119" spans="37:39" x14ac:dyDescent="0.25">
      <c r="AK5119" s="21">
        <f>_xll.qlCalendarAdvance(calendar,AK5118,"1D")</f>
        <v>49846</v>
      </c>
      <c r="AL5119" s="21">
        <f>_xll.qlInterestRateIndexValueDate(hiborindex,AK5119)</f>
        <v>49850</v>
      </c>
      <c r="AM5119" s="23">
        <f>_xll.qlIndexFixing(hiborindex,AK5119)</f>
        <v>9.777010476925696E-3</v>
      </c>
    </row>
    <row r="5120" spans="37:39" x14ac:dyDescent="0.25">
      <c r="AK5120" s="21">
        <f>_xll.qlCalendarAdvance(calendar,AK5119,"1D")</f>
        <v>49849</v>
      </c>
      <c r="AL5120" s="21">
        <f>_xll.qlInterestRateIndexValueDate(hiborindex,AK5120)</f>
        <v>49851</v>
      </c>
      <c r="AM5120" s="23">
        <f>_xll.qlIndexFixing(hiborindex,AK5120)</f>
        <v>9.7748841298186066E-3</v>
      </c>
    </row>
    <row r="5121" spans="37:39" x14ac:dyDescent="0.25">
      <c r="AK5121" s="21">
        <f>_xll.qlCalendarAdvance(calendar,AK5120,"1D")</f>
        <v>49850</v>
      </c>
      <c r="AL5121" s="21">
        <f>_xll.qlInterestRateIndexValueDate(hiborindex,AK5121)</f>
        <v>49852</v>
      </c>
      <c r="AM5121" s="23">
        <f>_xll.qlIndexFixing(hiborindex,AK5121)</f>
        <v>9.7714856687246571E-3</v>
      </c>
    </row>
    <row r="5122" spans="37:39" x14ac:dyDescent="0.25">
      <c r="AK5122" s="21">
        <f>_xll.qlCalendarAdvance(calendar,AK5121,"1D")</f>
        <v>49851</v>
      </c>
      <c r="AL5122" s="21">
        <f>_xll.qlInterestRateIndexValueDate(hiborindex,AK5122)</f>
        <v>49853</v>
      </c>
      <c r="AM5122" s="23">
        <f>_xll.qlIndexFixing(hiborindex,AK5122)</f>
        <v>9.7680485998108361E-3</v>
      </c>
    </row>
    <row r="5123" spans="37:39" x14ac:dyDescent="0.25">
      <c r="AK5123" s="21">
        <f>_xll.qlCalendarAdvance(calendar,AK5122,"1D")</f>
        <v>49852</v>
      </c>
      <c r="AL5123" s="21">
        <f>_xll.qlInterestRateIndexValueDate(hiborindex,AK5123)</f>
        <v>49856</v>
      </c>
      <c r="AM5123" s="23">
        <f>_xll.qlIndexFixing(hiborindex,AK5123)</f>
        <v>9.7582251249711312E-3</v>
      </c>
    </row>
    <row r="5124" spans="37:39" x14ac:dyDescent="0.25">
      <c r="AK5124" s="21">
        <f>_xll.qlCalendarAdvance(calendar,AK5123,"1D")</f>
        <v>49853</v>
      </c>
      <c r="AL5124" s="21">
        <f>_xll.qlInterestRateIndexValueDate(hiborindex,AK5124)</f>
        <v>49857</v>
      </c>
      <c r="AM5124" s="23">
        <f>_xll.qlIndexFixing(hiborindex,AK5124)</f>
        <v>9.7590497303666323E-3</v>
      </c>
    </row>
    <row r="5125" spans="37:39" x14ac:dyDescent="0.25">
      <c r="AK5125" s="21">
        <f>_xll.qlCalendarAdvance(calendar,AK5124,"1D")</f>
        <v>49856</v>
      </c>
      <c r="AL5125" s="21">
        <f>_xll.qlInterestRateIndexValueDate(hiborindex,AK5125)</f>
        <v>49858</v>
      </c>
      <c r="AM5125" s="23">
        <f>_xll.qlIndexFixing(hiborindex,AK5125)</f>
        <v>9.7591485259559373E-3</v>
      </c>
    </row>
    <row r="5126" spans="37:39" x14ac:dyDescent="0.25">
      <c r="AK5126" s="21">
        <f>_xll.qlCalendarAdvance(calendar,AK5125,"1D")</f>
        <v>49857</v>
      </c>
      <c r="AL5126" s="21">
        <f>_xll.qlInterestRateIndexValueDate(hiborindex,AK5126)</f>
        <v>49859</v>
      </c>
      <c r="AM5126" s="23">
        <f>_xll.qlIndexFixing(hiborindex,AK5126)</f>
        <v>9.7603361015798484E-3</v>
      </c>
    </row>
    <row r="5127" spans="37:39" x14ac:dyDescent="0.25">
      <c r="AK5127" s="21">
        <f>_xll.qlCalendarAdvance(calendar,AK5126,"1D")</f>
        <v>49858</v>
      </c>
      <c r="AL5127" s="21">
        <f>_xll.qlInterestRateIndexValueDate(hiborindex,AK5127)</f>
        <v>49860</v>
      </c>
      <c r="AM5127" s="23">
        <f>_xll.qlIndexFixing(hiborindex,AK5127)</f>
        <v>9.7604348699514999E-3</v>
      </c>
    </row>
    <row r="5128" spans="37:39" x14ac:dyDescent="0.25">
      <c r="AK5128" s="21">
        <f>_xll.qlCalendarAdvance(calendar,AK5127,"1D")</f>
        <v>49859</v>
      </c>
      <c r="AL5128" s="21">
        <f>_xll.qlInterestRateIndexValueDate(hiborindex,AK5128)</f>
        <v>49863</v>
      </c>
      <c r="AM5128" s="23">
        <f>_xll.qlIndexFixing(hiborindex,AK5128)</f>
        <v>9.7614570303153469E-3</v>
      </c>
    </row>
    <row r="5129" spans="37:39" x14ac:dyDescent="0.25">
      <c r="AK5129" s="21">
        <f>_xll.qlCalendarAdvance(calendar,AK5128,"1D")</f>
        <v>49860</v>
      </c>
      <c r="AL5129" s="21">
        <f>_xll.qlInterestRateIndexValueDate(hiborindex,AK5129)</f>
        <v>49864</v>
      </c>
      <c r="AM5129" s="23">
        <f>_xll.qlIndexFixing(hiborindex,AK5129)</f>
        <v>9.7619187315117536E-3</v>
      </c>
    </row>
    <row r="5130" spans="37:39" x14ac:dyDescent="0.25">
      <c r="AK5130" s="21">
        <f>_xll.qlCalendarAdvance(calendar,AK5129,"1D")</f>
        <v>49863</v>
      </c>
      <c r="AL5130" s="21">
        <f>_xll.qlInterestRateIndexValueDate(hiborindex,AK5130)</f>
        <v>49865</v>
      </c>
      <c r="AM5130" s="23">
        <f>_xll.qlIndexFixing(hiborindex,AK5130)</f>
        <v>9.7623804328176352E-3</v>
      </c>
    </row>
    <row r="5131" spans="37:39" x14ac:dyDescent="0.25">
      <c r="AK5131" s="21">
        <f>_xll.qlCalendarAdvance(calendar,AK5130,"1D")</f>
        <v>49864</v>
      </c>
      <c r="AL5131" s="21">
        <f>_xll.qlInterestRateIndexValueDate(hiborindex,AK5131)</f>
        <v>49866</v>
      </c>
      <c r="AM5131" s="23">
        <f>_xll.qlIndexFixing(hiborindex,AK5131)</f>
        <v>9.7635681847998337E-3</v>
      </c>
    </row>
    <row r="5132" spans="37:39" x14ac:dyDescent="0.25">
      <c r="AK5132" s="21">
        <f>_xll.qlCalendarAdvance(calendar,AK5131,"1D")</f>
        <v>49865</v>
      </c>
      <c r="AL5132" s="21">
        <f>_xll.qlInterestRateIndexValueDate(hiborindex,AK5132)</f>
        <v>49867</v>
      </c>
      <c r="AM5132" s="23">
        <f>_xll.qlIndexFixing(hiborindex,AK5132)</f>
        <v>9.7636668661313757E-3</v>
      </c>
    </row>
    <row r="5133" spans="37:39" x14ac:dyDescent="0.25">
      <c r="AK5133" s="21">
        <f>_xll.qlCalendarAdvance(calendar,AK5132,"1D")</f>
        <v>49866</v>
      </c>
      <c r="AL5133" s="21">
        <f>_xll.qlInterestRateIndexValueDate(hiborindex,AK5133)</f>
        <v>49870</v>
      </c>
      <c r="AM5133" s="23">
        <f>_xll.qlIndexFixing(hiborindex,AK5133)</f>
        <v>9.7646889409709683E-3</v>
      </c>
    </row>
    <row r="5134" spans="37:39" x14ac:dyDescent="0.25">
      <c r="AK5134" s="21">
        <f>_xll.qlCalendarAdvance(calendar,AK5133,"1D")</f>
        <v>49867</v>
      </c>
      <c r="AL5134" s="21">
        <f>_xll.qlInterestRateIndexValueDate(hiborindex,AK5134)</f>
        <v>49871</v>
      </c>
      <c r="AM5134" s="23">
        <f>_xll.qlIndexFixing(hiborindex,AK5134)</f>
        <v>9.7651506429267659E-3</v>
      </c>
    </row>
    <row r="5135" spans="37:39" x14ac:dyDescent="0.25">
      <c r="AK5135" s="21">
        <f>_xll.qlCalendarAdvance(calendar,AK5134,"1D")</f>
        <v>49870</v>
      </c>
      <c r="AL5135" s="21">
        <f>_xll.qlInterestRateIndexValueDate(hiborindex,AK5135)</f>
        <v>49872</v>
      </c>
      <c r="AM5135" s="23">
        <f>_xll.qlIndexFixing(hiborindex,AK5135)</f>
        <v>9.7656123449916064E-3</v>
      </c>
    </row>
    <row r="5136" spans="37:39" x14ac:dyDescent="0.25">
      <c r="AK5136" s="21">
        <f>_xll.qlCalendarAdvance(calendar,AK5135,"1D")</f>
        <v>49871</v>
      </c>
      <c r="AL5136" s="21">
        <f>_xll.qlInterestRateIndexValueDate(hiborindex,AK5136)</f>
        <v>49873</v>
      </c>
      <c r="AM5136" s="23">
        <f>_xll.qlIndexFixing(hiborindex,AK5136)</f>
        <v>9.7668002733897179E-3</v>
      </c>
    </row>
    <row r="5137" spans="37:39" x14ac:dyDescent="0.25">
      <c r="AK5137" s="21">
        <f>_xll.qlCalendarAdvance(calendar,AK5136,"1D")</f>
        <v>49872</v>
      </c>
      <c r="AL5137" s="21">
        <f>_xll.qlInterestRateIndexValueDate(hiborindex,AK5137)</f>
        <v>49874</v>
      </c>
      <c r="AM5137" s="23">
        <f>_xll.qlIndexFixing(hiborindex,AK5137)</f>
        <v>9.7668988676527079E-3</v>
      </c>
    </row>
    <row r="5138" spans="37:39" x14ac:dyDescent="0.25">
      <c r="AK5138" s="21">
        <f>_xll.qlCalendarAdvance(calendar,AK5137,"1D")</f>
        <v>49873</v>
      </c>
      <c r="AL5138" s="21">
        <f>_xll.qlInterestRateIndexValueDate(hiborindex,AK5138)</f>
        <v>49877</v>
      </c>
      <c r="AM5138" s="23">
        <f>_xll.qlIndexFixing(hiborindex,AK5138)</f>
        <v>9.7679208569392949E-3</v>
      </c>
    </row>
    <row r="5139" spans="37:39" x14ac:dyDescent="0.25">
      <c r="AK5139" s="21">
        <f>_xll.qlCalendarAdvance(calendar,AK5138,"1D")</f>
        <v>49874</v>
      </c>
      <c r="AL5139" s="21">
        <f>_xll.qlInterestRateIndexValueDate(hiborindex,AK5139)</f>
        <v>49878</v>
      </c>
      <c r="AM5139" s="23">
        <f>_xll.qlIndexFixing(hiborindex,AK5139)</f>
        <v>9.7683825596540513E-3</v>
      </c>
    </row>
    <row r="5140" spans="37:39" x14ac:dyDescent="0.25">
      <c r="AK5140" s="21">
        <f>_xll.qlCalendarAdvance(calendar,AK5139,"1D")</f>
        <v>49877</v>
      </c>
      <c r="AL5140" s="21">
        <f>_xll.qlInterestRateIndexValueDate(hiborindex,AK5140)</f>
        <v>49879</v>
      </c>
      <c r="AM5140" s="23">
        <f>_xll.qlIndexFixing(hiborindex,AK5140)</f>
        <v>9.7688442624774153E-3</v>
      </c>
    </row>
    <row r="5141" spans="37:39" x14ac:dyDescent="0.25">
      <c r="AK5141" s="21">
        <f>_xll.qlCalendarAdvance(calendar,AK5140,"1D")</f>
        <v>49878</v>
      </c>
      <c r="AL5141" s="21">
        <f>_xll.qlInterestRateIndexValueDate(hiborindex,AK5141)</f>
        <v>49880</v>
      </c>
      <c r="AM5141" s="23">
        <f>_xll.qlIndexFixing(hiborindex,AK5141)</f>
        <v>9.7700323673499314E-3</v>
      </c>
    </row>
    <row r="5142" spans="37:39" x14ac:dyDescent="0.25">
      <c r="AK5142" s="21">
        <f>_xll.qlCalendarAdvance(calendar,AK5141,"1D")</f>
        <v>49879</v>
      </c>
      <c r="AL5142" s="21">
        <f>_xll.qlInterestRateIndexValueDate(hiborindex,AK5142)</f>
        <v>49881</v>
      </c>
      <c r="AM5142" s="23">
        <f>_xll.qlIndexFixing(hiborindex,AK5142)</f>
        <v>9.7701308745146345E-3</v>
      </c>
    </row>
    <row r="5143" spans="37:39" x14ac:dyDescent="0.25">
      <c r="AK5143" s="21">
        <f>_xll.qlCalendarAdvance(calendar,AK5142,"1D")</f>
        <v>49880</v>
      </c>
      <c r="AL5143" s="21">
        <f>_xll.qlInterestRateIndexValueDate(hiborindex,AK5143)</f>
        <v>49884</v>
      </c>
      <c r="AM5143" s="23">
        <f>_xll.qlIndexFixing(hiborindex,AK5143)</f>
        <v>9.7711527782194611E-3</v>
      </c>
    </row>
    <row r="5144" spans="37:39" x14ac:dyDescent="0.25">
      <c r="AK5144" s="21">
        <f>_xll.qlCalendarAdvance(calendar,AK5143,"1D")</f>
        <v>49881</v>
      </c>
      <c r="AL5144" s="21">
        <f>_xll.qlInterestRateIndexValueDate(hiborindex,AK5144)</f>
        <v>49885</v>
      </c>
      <c r="AM5144" s="23">
        <f>_xll.qlIndexFixing(hiborindex,AK5144)</f>
        <v>9.7716144816931746E-3</v>
      </c>
    </row>
    <row r="5145" spans="37:39" x14ac:dyDescent="0.25">
      <c r="AK5145" s="21">
        <f>_xll.qlCalendarAdvance(calendar,AK5144,"1D")</f>
        <v>49884</v>
      </c>
      <c r="AL5145" s="21">
        <f>_xll.qlInterestRateIndexValueDate(hiborindex,AK5145)</f>
        <v>49886</v>
      </c>
      <c r="AM5145" s="23">
        <f>_xll.qlIndexFixing(hiborindex,AK5145)</f>
        <v>9.7720761852754974E-3</v>
      </c>
    </row>
    <row r="5146" spans="37:39" x14ac:dyDescent="0.25">
      <c r="AK5146" s="21">
        <f>_xll.qlCalendarAdvance(calendar,AK5145,"1D")</f>
        <v>49885</v>
      </c>
      <c r="AL5146" s="21">
        <f>_xll.qlInterestRateIndexValueDate(hiborindex,AK5146)</f>
        <v>49887</v>
      </c>
      <c r="AM5146" s="23">
        <f>_xll.qlIndexFixing(hiborindex,AK5146)</f>
        <v>9.7721746224901165E-3</v>
      </c>
    </row>
    <row r="5147" spans="37:39" x14ac:dyDescent="0.25">
      <c r="AK5147" s="21">
        <f>_xll.qlCalendarAdvance(calendar,AK5146,"1D")</f>
        <v>49886</v>
      </c>
      <c r="AL5147" s="21">
        <f>_xll.qlInterestRateIndexValueDate(hiborindex,AK5147)</f>
        <v>49888</v>
      </c>
      <c r="AM5147" s="23">
        <f>_xll.qlIndexFixing(hiborindex,AK5147)</f>
        <v>9.7733628867184494E-3</v>
      </c>
    </row>
    <row r="5148" spans="37:39" x14ac:dyDescent="0.25">
      <c r="AK5148" s="21">
        <f>_xll.qlCalendarAdvance(calendar,AK5147,"1D")</f>
        <v>49887</v>
      </c>
      <c r="AL5148" s="21">
        <f>_xll.qlInterestRateIndexValueDate(hiborindex,AK5148)</f>
        <v>49891</v>
      </c>
      <c r="AM5148" s="23">
        <f>_xll.qlIndexFixing(hiborindex,AK5148)</f>
        <v>9.7743847048118986E-3</v>
      </c>
    </row>
    <row r="5149" spans="37:39" x14ac:dyDescent="0.25">
      <c r="AK5149" s="21">
        <f>_xll.qlCalendarAdvance(calendar,AK5148,"1D")</f>
        <v>49888</v>
      </c>
      <c r="AL5149" s="21">
        <f>_xll.qlInterestRateIndexValueDate(hiborindex,AK5149)</f>
        <v>49892</v>
      </c>
      <c r="AM5149" s="23">
        <f>_xll.qlIndexFixing(hiborindex,AK5149)</f>
        <v>9.774846409044571E-3</v>
      </c>
    </row>
    <row r="5150" spans="37:39" x14ac:dyDescent="0.25">
      <c r="AK5150" s="21">
        <f>_xll.qlCalendarAdvance(calendar,AK5149,"1D")</f>
        <v>49891</v>
      </c>
      <c r="AL5150" s="21">
        <f>_xll.qlInterestRateIndexValueDate(hiborindex,AK5150)</f>
        <v>49893</v>
      </c>
      <c r="AM5150" s="23">
        <f>_xll.qlIndexFixing(hiborindex,AK5150)</f>
        <v>9.775308113385851E-3</v>
      </c>
    </row>
    <row r="5151" spans="37:39" x14ac:dyDescent="0.25">
      <c r="AK5151" s="21">
        <f>_xll.qlCalendarAdvance(calendar,AK5150,"1D")</f>
        <v>49892</v>
      </c>
      <c r="AL5151" s="21">
        <f>_xll.qlInterestRateIndexValueDate(hiborindex,AK5151)</f>
        <v>49894</v>
      </c>
      <c r="AM5151" s="23">
        <f>_xll.qlIndexFixing(hiborindex,AK5151)</f>
        <v>9.7764965713813389E-3</v>
      </c>
    </row>
    <row r="5152" spans="37:39" x14ac:dyDescent="0.25">
      <c r="AK5152" s="21">
        <f>_xll.qlCalendarAdvance(calendar,AK5151,"1D")</f>
        <v>49893</v>
      </c>
      <c r="AL5152" s="21">
        <f>_xll.qlInterestRateIndexValueDate(hiborindex,AK5152)</f>
        <v>49895</v>
      </c>
      <c r="AM5152" s="23">
        <f>_xll.qlIndexFixing(hiborindex,AK5152)</f>
        <v>9.7765949042632888E-3</v>
      </c>
    </row>
    <row r="5153" spans="37:39" x14ac:dyDescent="0.25">
      <c r="AK5153" s="21">
        <f>_xll.qlCalendarAdvance(calendar,AK5152,"1D")</f>
        <v>49894</v>
      </c>
      <c r="AL5153" s="21">
        <f>_xll.qlInterestRateIndexValueDate(hiborindex,AK5153)</f>
        <v>49898</v>
      </c>
      <c r="AM5153" s="23">
        <f>_xll.qlIndexFixing(hiborindex,AK5153)</f>
        <v>9.7776166367166094E-3</v>
      </c>
    </row>
    <row r="5154" spans="37:39" x14ac:dyDescent="0.25">
      <c r="AK5154" s="21">
        <f>_xll.qlCalendarAdvance(calendar,AK5153,"1D")</f>
        <v>49895</v>
      </c>
      <c r="AL5154" s="21">
        <f>_xll.qlInterestRateIndexValueDate(hiborindex,AK5154)</f>
        <v>49899</v>
      </c>
      <c r="AM5154" s="23">
        <f>_xll.qlIndexFixing(hiborindex,AK5154)</f>
        <v>9.7780783417082389E-3</v>
      </c>
    </row>
    <row r="5155" spans="37:39" x14ac:dyDescent="0.25">
      <c r="AK5155" s="21">
        <f>_xll.qlCalendarAdvance(calendar,AK5154,"1D")</f>
        <v>49898</v>
      </c>
      <c r="AL5155" s="21">
        <f>_xll.qlInterestRateIndexValueDate(hiborindex,AK5155)</f>
        <v>49900</v>
      </c>
      <c r="AM5155" s="23">
        <f>_xll.qlIndexFixing(hiborindex,AK5155)</f>
        <v>9.778540046808044E-3</v>
      </c>
    </row>
    <row r="5156" spans="37:39" x14ac:dyDescent="0.25">
      <c r="AK5156" s="21">
        <f>_xll.qlCalendarAdvance(calendar,AK5155,"1D")</f>
        <v>49899</v>
      </c>
      <c r="AL5156" s="21">
        <f>_xll.qlInterestRateIndexValueDate(hiborindex,AK5156)</f>
        <v>49901</v>
      </c>
      <c r="AM5156" s="23">
        <f>_xll.qlIndexFixing(hiborindex,AK5156)</f>
        <v>9.7797286814521045E-3</v>
      </c>
    </row>
    <row r="5157" spans="37:39" x14ac:dyDescent="0.25">
      <c r="AK5157" s="21">
        <f>_xll.qlCalendarAdvance(calendar,AK5156,"1D")</f>
        <v>49900</v>
      </c>
      <c r="AL5157" s="21">
        <f>_xll.qlInterestRateIndexValueDate(hiborindex,AK5157)</f>
        <v>49902</v>
      </c>
      <c r="AM5157" s="23">
        <f>_xll.qlIndexFixing(hiborindex,AK5157)</f>
        <v>9.7798269271487208E-3</v>
      </c>
    </row>
    <row r="5158" spans="37:39" x14ac:dyDescent="0.25">
      <c r="AK5158" s="21">
        <f>_xll.qlCalendarAdvance(calendar,AK5157,"1D")</f>
        <v>49901</v>
      </c>
      <c r="AL5158" s="21">
        <f>_xll.qlInterestRateIndexValueDate(hiborindex,AK5158)</f>
        <v>49905</v>
      </c>
      <c r="AM5158" s="23">
        <f>_xll.qlIndexFixing(hiborindex,AK5158)</f>
        <v>9.7808485739335916E-3</v>
      </c>
    </row>
    <row r="5159" spans="37:39" x14ac:dyDescent="0.25">
      <c r="AK5159" s="21">
        <f>_xll.qlCalendarAdvance(calendar,AK5158,"1D")</f>
        <v>49902</v>
      </c>
      <c r="AL5159" s="21">
        <f>_xll.qlInterestRateIndexValueDate(hiborindex,AK5159)</f>
        <v>49906</v>
      </c>
      <c r="AM5159" s="23">
        <f>_xll.qlIndexFixing(hiborindex,AK5159)</f>
        <v>9.78131027968418E-3</v>
      </c>
    </row>
    <row r="5160" spans="37:39" x14ac:dyDescent="0.25">
      <c r="AK5160" s="21">
        <f>_xll.qlCalendarAdvance(calendar,AK5159,"1D")</f>
        <v>49905</v>
      </c>
      <c r="AL5160" s="21">
        <f>_xll.qlInterestRateIndexValueDate(hiborindex,AK5160)</f>
        <v>49907</v>
      </c>
      <c r="AM5160" s="23">
        <f>_xll.qlIndexFixing(hiborindex,AK5160)</f>
        <v>9.7817719855425086E-3</v>
      </c>
    </row>
    <row r="5161" spans="37:39" x14ac:dyDescent="0.25">
      <c r="AK5161" s="21">
        <f>_xll.qlCalendarAdvance(calendar,AK5160,"1D")</f>
        <v>49906</v>
      </c>
      <c r="AL5161" s="21">
        <f>_xll.qlInterestRateIndexValueDate(hiborindex,AK5161)</f>
        <v>49908</v>
      </c>
      <c r="AM5161" s="23">
        <f>_xll.qlIndexFixing(hiborindex,AK5161)</f>
        <v>9.7829607968931993E-3</v>
      </c>
    </row>
    <row r="5162" spans="37:39" x14ac:dyDescent="0.25">
      <c r="AK5162" s="21">
        <f>_xll.qlCalendarAdvance(calendar,AK5161,"1D")</f>
        <v>49907</v>
      </c>
      <c r="AL5162" s="21">
        <f>_xll.qlInterestRateIndexValueDate(hiborindex,AK5162)</f>
        <v>49909</v>
      </c>
      <c r="AM5162" s="23">
        <f>_xll.qlIndexFixing(hiborindex,AK5162)</f>
        <v>9.7830589553760429E-3</v>
      </c>
    </row>
    <row r="5163" spans="37:39" x14ac:dyDescent="0.25">
      <c r="AK5163" s="21">
        <f>_xll.qlCalendarAdvance(calendar,AK5162,"1D")</f>
        <v>49908</v>
      </c>
      <c r="AL5163" s="21">
        <f>_xll.qlInterestRateIndexValueDate(hiborindex,AK5163)</f>
        <v>49912</v>
      </c>
      <c r="AM5163" s="23">
        <f>_xll.qlIndexFixing(hiborindex,AK5163)</f>
        <v>9.7840805164628453E-3</v>
      </c>
    </row>
    <row r="5164" spans="37:39" x14ac:dyDescent="0.25">
      <c r="AK5164" s="21">
        <f>_xll.qlCalendarAdvance(calendar,AK5163,"1D")</f>
        <v>49909</v>
      </c>
      <c r="AL5164" s="21">
        <f>_xll.qlInterestRateIndexValueDate(hiborindex,AK5164)</f>
        <v>49913</v>
      </c>
      <c r="AM5164" s="23">
        <f>_xll.qlIndexFixing(hiborindex,AK5164)</f>
        <v>9.7845422229723925E-3</v>
      </c>
    </row>
    <row r="5165" spans="37:39" x14ac:dyDescent="0.25">
      <c r="AK5165" s="21">
        <f>_xll.qlCalendarAdvance(calendar,AK5164,"1D")</f>
        <v>49912</v>
      </c>
      <c r="AL5165" s="21">
        <f>_xll.qlInterestRateIndexValueDate(hiborindex,AK5165)</f>
        <v>49914</v>
      </c>
      <c r="AM5165" s="23">
        <f>_xll.qlIndexFixing(hiborindex,AK5165)</f>
        <v>9.7850039295896783E-3</v>
      </c>
    </row>
    <row r="5166" spans="37:39" x14ac:dyDescent="0.25">
      <c r="AK5166" s="21">
        <f>_xll.qlCalendarAdvance(calendar,AK5165,"1D")</f>
        <v>49913</v>
      </c>
      <c r="AL5166" s="21">
        <f>_xll.qlInterestRateIndexValueDate(hiborindex,AK5166)</f>
        <v>49915</v>
      </c>
      <c r="AM5166" s="23">
        <f>_xll.qlIndexFixing(hiborindex,AK5166)</f>
        <v>9.7851020180419624E-3</v>
      </c>
    </row>
    <row r="5167" spans="37:39" x14ac:dyDescent="0.25">
      <c r="AK5167" s="21">
        <f>_xll.qlCalendarAdvance(calendar,AK5166,"1D")</f>
        <v>49914</v>
      </c>
      <c r="AL5167" s="21">
        <f>_xll.qlInterestRateIndexValueDate(hiborindex,AK5167)</f>
        <v>49916</v>
      </c>
      <c r="AM5167" s="23">
        <f>_xll.qlIndexFixing(hiborindex,AK5167)</f>
        <v>9.7852000964042379E-3</v>
      </c>
    </row>
    <row r="5168" spans="37:39" x14ac:dyDescent="0.25">
      <c r="AK5168" s="21">
        <f>_xll.qlCalendarAdvance(calendar,AK5167,"1D")</f>
        <v>49915</v>
      </c>
      <c r="AL5168" s="21">
        <f>_xll.qlInterestRateIndexValueDate(hiborindex,AK5168)</f>
        <v>49919</v>
      </c>
      <c r="AM5168" s="23">
        <f>_xll.qlIndexFixing(hiborindex,AK5168)</f>
        <v>9.7865851421170841E-3</v>
      </c>
    </row>
    <row r="5169" spans="37:39" x14ac:dyDescent="0.25">
      <c r="AK5169" s="21">
        <f>_xll.qlCalendarAdvance(calendar,AK5168,"1D")</f>
        <v>49916</v>
      </c>
      <c r="AL5169" s="21">
        <f>_xll.qlInterestRateIndexValueDate(hiborindex,AK5169)</f>
        <v>49920</v>
      </c>
      <c r="AM5169" s="23">
        <f>_xll.qlIndexFixing(hiborindex,AK5169)</f>
        <v>9.7866831729919793E-3</v>
      </c>
    </row>
    <row r="5170" spans="37:39" x14ac:dyDescent="0.25">
      <c r="AK5170" s="21">
        <f>_xll.qlCalendarAdvance(calendar,AK5169,"1D")</f>
        <v>49919</v>
      </c>
      <c r="AL5170" s="21">
        <f>_xll.qlInterestRateIndexValueDate(hiborindex,AK5170)</f>
        <v>49921</v>
      </c>
      <c r="AM5170" s="23">
        <f>_xll.qlIndexFixing(hiborindex,AK5170)</f>
        <v>9.78714484264432E-3</v>
      </c>
    </row>
    <row r="5171" spans="37:39" x14ac:dyDescent="0.25">
      <c r="AK5171" s="21">
        <f>_xll.qlCalendarAdvance(calendar,AK5170,"1D")</f>
        <v>49920</v>
      </c>
      <c r="AL5171" s="21">
        <f>_xll.qlInterestRateIndexValueDate(hiborindex,AK5171)</f>
        <v>49922</v>
      </c>
      <c r="AM5171" s="23">
        <f>_xll.qlIndexFixing(hiborindex,AK5171)</f>
        <v>9.7876065124030964E-3</v>
      </c>
    </row>
    <row r="5172" spans="37:39" x14ac:dyDescent="0.25">
      <c r="AK5172" s="21">
        <f>_xll.qlCalendarAdvance(calendar,AK5171,"1D")</f>
        <v>49921</v>
      </c>
      <c r="AL5172" s="21">
        <f>_xll.qlInterestRateIndexValueDate(hiborindex,AK5172)</f>
        <v>49923</v>
      </c>
      <c r="AM5172" s="23">
        <f>_xll.qlIndexFixing(hiborindex,AK5172)</f>
        <v>9.7880681822683068E-3</v>
      </c>
    </row>
    <row r="5173" spans="37:39" x14ac:dyDescent="0.25">
      <c r="AK5173" s="21">
        <f>_xll.qlCalendarAdvance(calendar,AK5172,"1D")</f>
        <v>49922</v>
      </c>
      <c r="AL5173" s="21">
        <f>_xll.qlInterestRateIndexValueDate(hiborindex,AK5173)</f>
        <v>49926</v>
      </c>
      <c r="AM5173" s="23">
        <f>_xll.qlIndexFixing(hiborindex,AK5173)</f>
        <v>9.7898169191995149E-3</v>
      </c>
    </row>
    <row r="5174" spans="37:39" x14ac:dyDescent="0.25">
      <c r="AK5174" s="21">
        <f>_xll.qlCalendarAdvance(calendar,AK5173,"1D")</f>
        <v>49923</v>
      </c>
      <c r="AL5174" s="21">
        <f>_xll.qlInterestRateIndexValueDate(hiborindex,AK5174)</f>
        <v>49927</v>
      </c>
      <c r="AM5174" s="23">
        <f>_xll.qlIndexFixing(hiborindex,AK5174)</f>
        <v>9.7899148627956963E-3</v>
      </c>
    </row>
    <row r="5175" spans="37:39" x14ac:dyDescent="0.25">
      <c r="AK5175" s="21">
        <f>_xll.qlCalendarAdvance(calendar,AK5174,"1D")</f>
        <v>49926</v>
      </c>
      <c r="AL5175" s="21">
        <f>_xll.qlInterestRateIndexValueDate(hiborindex,AK5175)</f>
        <v>49928</v>
      </c>
      <c r="AM5175" s="23">
        <f>_xll.qlIndexFixing(hiborindex,AK5175)</f>
        <v>9.7903765331944035E-3</v>
      </c>
    </row>
    <row r="5176" spans="37:39" x14ac:dyDescent="0.25">
      <c r="AK5176" s="21">
        <f>_xll.qlCalendarAdvance(calendar,AK5175,"1D")</f>
        <v>49927</v>
      </c>
      <c r="AL5176" s="21">
        <f>_xll.qlInterestRateIndexValueDate(hiborindex,AK5176)</f>
        <v>49929</v>
      </c>
      <c r="AM5176" s="23">
        <f>_xll.qlIndexFixing(hiborindex,AK5176)</f>
        <v>9.790838203699543E-3</v>
      </c>
    </row>
    <row r="5177" spans="37:39" x14ac:dyDescent="0.25">
      <c r="AK5177" s="21">
        <f>_xll.qlCalendarAdvance(calendar,AK5176,"1D")</f>
        <v>49928</v>
      </c>
      <c r="AL5177" s="21">
        <f>_xll.qlInterestRateIndexValueDate(hiborindex,AK5177)</f>
        <v>49930</v>
      </c>
      <c r="AM5177" s="23">
        <f>_xll.qlIndexFixing(hiborindex,AK5177)</f>
        <v>9.7912998743111181E-3</v>
      </c>
    </row>
    <row r="5178" spans="37:39" x14ac:dyDescent="0.25">
      <c r="AK5178" s="21">
        <f>_xll.qlCalendarAdvance(calendar,AK5177,"1D")</f>
        <v>49929</v>
      </c>
      <c r="AL5178" s="21">
        <f>_xll.qlInterestRateIndexValueDate(hiborindex,AK5178)</f>
        <v>49933</v>
      </c>
      <c r="AM5178" s="23">
        <f>_xll.qlIndexFixing(hiborindex,AK5178)</f>
        <v>9.7930487015370805E-3</v>
      </c>
    </row>
    <row r="5179" spans="37:39" x14ac:dyDescent="0.25">
      <c r="AK5179" s="21">
        <f>_xll.qlCalendarAdvance(calendar,AK5178,"1D")</f>
        <v>49930</v>
      </c>
      <c r="AL5179" s="21">
        <f>_xll.qlInterestRateIndexValueDate(hiborindex,AK5179)</f>
        <v>49934</v>
      </c>
      <c r="AM5179" s="23">
        <f>_xll.qlIndexFixing(hiborindex,AK5179)</f>
        <v>9.7931465578248479E-3</v>
      </c>
    </row>
    <row r="5180" spans="37:39" x14ac:dyDescent="0.25">
      <c r="AK5180" s="21">
        <f>_xll.qlCalendarAdvance(calendar,AK5179,"1D")</f>
        <v>49933</v>
      </c>
      <c r="AL5180" s="21">
        <f>_xll.qlInterestRateIndexValueDate(hiborindex,AK5180)</f>
        <v>49935</v>
      </c>
      <c r="AM5180" s="23">
        <f>_xll.qlIndexFixing(hiborindex,AK5180)</f>
        <v>9.7936082289699182E-3</v>
      </c>
    </row>
    <row r="5181" spans="37:39" x14ac:dyDescent="0.25">
      <c r="AK5181" s="21">
        <f>_xll.qlCalendarAdvance(calendar,AK5180,"1D")</f>
        <v>49934</v>
      </c>
      <c r="AL5181" s="21">
        <f>_xll.qlInterestRateIndexValueDate(hiborindex,AK5181)</f>
        <v>49936</v>
      </c>
      <c r="AM5181" s="23">
        <f>_xll.qlIndexFixing(hiborindex,AK5181)</f>
        <v>9.7940699002214224E-3</v>
      </c>
    </row>
    <row r="5182" spans="37:39" x14ac:dyDescent="0.25">
      <c r="AK5182" s="21">
        <f>_xll.qlCalendarAdvance(calendar,AK5181,"1D")</f>
        <v>49935</v>
      </c>
      <c r="AL5182" s="21">
        <f>_xll.qlInterestRateIndexValueDate(hiborindex,AK5182)</f>
        <v>49937</v>
      </c>
      <c r="AM5182" s="23">
        <f>_xll.qlIndexFixing(hiborindex,AK5182)</f>
        <v>9.794531571579803E-3</v>
      </c>
    </row>
    <row r="5183" spans="37:39" x14ac:dyDescent="0.25">
      <c r="AK5183" s="21">
        <f>_xll.qlCalendarAdvance(calendar,AK5182,"1D")</f>
        <v>49936</v>
      </c>
      <c r="AL5183" s="21">
        <f>_xll.qlInterestRateIndexValueDate(hiborindex,AK5183)</f>
        <v>49940</v>
      </c>
      <c r="AM5183" s="23">
        <f>_xll.qlIndexFixing(hiborindex,AK5183)</f>
        <v>9.7962804891284679E-3</v>
      </c>
    </row>
    <row r="5184" spans="37:39" x14ac:dyDescent="0.25">
      <c r="AK5184" s="21">
        <f>_xll.qlCalendarAdvance(calendar,AK5183,"1D")</f>
        <v>49937</v>
      </c>
      <c r="AL5184" s="21">
        <f>_xll.qlInterestRateIndexValueDate(hiborindex,AK5184)</f>
        <v>49941</v>
      </c>
      <c r="AM5184" s="23">
        <f>_xll.qlIndexFixing(hiborindex,AK5184)</f>
        <v>9.7963782580789919E-3</v>
      </c>
    </row>
    <row r="5185" spans="37:39" x14ac:dyDescent="0.25">
      <c r="AK5185" s="21">
        <f>_xll.qlCalendarAdvance(calendar,AK5184,"1D")</f>
        <v>49940</v>
      </c>
      <c r="AL5185" s="21">
        <f>_xll.qlInterestRateIndexValueDate(hiborindex,AK5185)</f>
        <v>49942</v>
      </c>
      <c r="AM5185" s="23">
        <f>_xll.qlIndexFixing(hiborindex,AK5185)</f>
        <v>9.7968399299704252E-3</v>
      </c>
    </row>
    <row r="5186" spans="37:39" x14ac:dyDescent="0.25">
      <c r="AK5186" s="21">
        <f>_xll.qlCalendarAdvance(calendar,AK5185,"1D")</f>
        <v>49941</v>
      </c>
      <c r="AL5186" s="21">
        <f>_xll.qlInterestRateIndexValueDate(hiborindex,AK5186)</f>
        <v>49943</v>
      </c>
      <c r="AM5186" s="23">
        <f>_xll.qlIndexFixing(hiborindex,AK5186)</f>
        <v>9.7973016019687366E-3</v>
      </c>
    </row>
    <row r="5187" spans="37:39" x14ac:dyDescent="0.25">
      <c r="AK5187" s="21">
        <f>_xll.qlCalendarAdvance(calendar,AK5186,"1D")</f>
        <v>49942</v>
      </c>
      <c r="AL5187" s="21">
        <f>_xll.qlInterestRateIndexValueDate(hiborindex,AK5187)</f>
        <v>49944</v>
      </c>
      <c r="AM5187" s="23">
        <f>_xll.qlIndexFixing(hiborindex,AK5187)</f>
        <v>9.7977632740734802E-3</v>
      </c>
    </row>
    <row r="5188" spans="37:39" x14ac:dyDescent="0.25">
      <c r="AK5188" s="21">
        <f>_xll.qlCalendarAdvance(calendar,AK5187,"1D")</f>
        <v>49943</v>
      </c>
      <c r="AL5188" s="21">
        <f>_xll.qlInterestRateIndexValueDate(hiborindex,AK5188)</f>
        <v>49947</v>
      </c>
      <c r="AM5188" s="23">
        <f>_xll.qlIndexFixing(hiborindex,AK5188)</f>
        <v>9.7995122819741123E-3</v>
      </c>
    </row>
    <row r="5189" spans="37:39" x14ac:dyDescent="0.25">
      <c r="AK5189" s="21">
        <f>_xll.qlCalendarAdvance(calendar,AK5188,"1D")</f>
        <v>49944</v>
      </c>
      <c r="AL5189" s="21">
        <f>_xll.qlInterestRateIndexValueDate(hiborindex,AK5189)</f>
        <v>49948</v>
      </c>
      <c r="AM5189" s="23">
        <f>_xll.qlIndexFixing(hiborindex,AK5189)</f>
        <v>9.7999739670950152E-3</v>
      </c>
    </row>
    <row r="5190" spans="37:39" x14ac:dyDescent="0.25">
      <c r="AK5190" s="21">
        <f>_xll.qlCalendarAdvance(calendar,AK5189,"1D")</f>
        <v>49947</v>
      </c>
      <c r="AL5190" s="21">
        <f>_xll.qlInterestRateIndexValueDate(hiborindex,AK5190)</f>
        <v>49949</v>
      </c>
      <c r="AM5190" s="23">
        <f>_xll.qlIndexFixing(hiborindex,AK5190)</f>
        <v>9.8004356523230859E-3</v>
      </c>
    </row>
    <row r="5191" spans="37:39" x14ac:dyDescent="0.25">
      <c r="AK5191" s="21">
        <f>_xll.qlCalendarAdvance(calendar,AK5190,"1D")</f>
        <v>49948</v>
      </c>
      <c r="AL5191" s="21">
        <f>_xll.qlInterestRateIndexValueDate(hiborindex,AK5191)</f>
        <v>49950</v>
      </c>
      <c r="AM5191" s="23">
        <f>_xll.qlIndexFixing(hiborindex,AK5191)</f>
        <v>9.8008973376592003E-3</v>
      </c>
    </row>
    <row r="5192" spans="37:39" x14ac:dyDescent="0.25">
      <c r="AK5192" s="21">
        <f>_xll.qlCalendarAdvance(calendar,AK5191,"1D")</f>
        <v>49949</v>
      </c>
      <c r="AL5192" s="21">
        <f>_xll.qlInterestRateIndexValueDate(hiborindex,AK5192)</f>
        <v>49951</v>
      </c>
      <c r="AM5192" s="23">
        <f>_xll.qlIndexFixing(hiborindex,AK5192)</f>
        <v>9.8028153381348303E-3</v>
      </c>
    </row>
    <row r="5193" spans="37:39" x14ac:dyDescent="0.25">
      <c r="AK5193" s="21">
        <f>_xll.qlCalendarAdvance(calendar,AK5192,"1D")</f>
        <v>49950</v>
      </c>
      <c r="AL5193" s="21">
        <f>_xll.qlInterestRateIndexValueDate(hiborindex,AK5193)</f>
        <v>49954</v>
      </c>
      <c r="AM5193" s="23">
        <f>_xll.qlIndexFixing(hiborindex,AK5193)</f>
        <v>9.8031081741434094E-3</v>
      </c>
    </row>
    <row r="5194" spans="37:39" x14ac:dyDescent="0.25">
      <c r="AK5194" s="21">
        <f>_xll.qlCalendarAdvance(calendar,AK5193,"1D")</f>
        <v>49951</v>
      </c>
      <c r="AL5194" s="21">
        <f>_xll.qlInterestRateIndexValueDate(hiborindex,AK5194)</f>
        <v>49955</v>
      </c>
      <c r="AM5194" s="23">
        <f>_xll.qlIndexFixing(hiborindex,AK5194)</f>
        <v>9.8032057659455264E-3</v>
      </c>
    </row>
    <row r="5195" spans="37:39" x14ac:dyDescent="0.25">
      <c r="AK5195" s="21">
        <f>_xll.qlCalendarAdvance(calendar,AK5194,"1D")</f>
        <v>49954</v>
      </c>
      <c r="AL5195" s="21">
        <f>_xll.qlInterestRateIndexValueDate(hiborindex,AK5195)</f>
        <v>49956</v>
      </c>
      <c r="AM5195" s="23">
        <f>_xll.qlIndexFixing(hiborindex,AK5195)</f>
        <v>9.8036674519246438E-3</v>
      </c>
    </row>
    <row r="5196" spans="37:39" x14ac:dyDescent="0.25">
      <c r="AK5196" s="21">
        <f>_xll.qlCalendarAdvance(calendar,AK5195,"1D")</f>
        <v>49955</v>
      </c>
      <c r="AL5196" s="21">
        <f>_xll.qlInterestRateIndexValueDate(hiborindex,AK5196)</f>
        <v>49957</v>
      </c>
      <c r="AM5196" s="23">
        <f>_xll.qlIndexFixing(hiborindex,AK5196)</f>
        <v>9.804129138010929E-3</v>
      </c>
    </row>
    <row r="5197" spans="37:39" x14ac:dyDescent="0.25">
      <c r="AK5197" s="21">
        <f>_xll.qlCalendarAdvance(calendar,AK5196,"1D")</f>
        <v>49956</v>
      </c>
      <c r="AL5197" s="21">
        <f>_xll.qlInterestRateIndexValueDate(hiborindex,AK5197)</f>
        <v>49958</v>
      </c>
      <c r="AM5197" s="23">
        <f>_xll.qlIndexFixing(hiborindex,AK5197)</f>
        <v>9.8045908242043803E-3</v>
      </c>
    </row>
    <row r="5198" spans="37:39" x14ac:dyDescent="0.25">
      <c r="AK5198" s="21">
        <f>_xll.qlCalendarAdvance(calendar,AK5197,"1D")</f>
        <v>49957</v>
      </c>
      <c r="AL5198" s="21">
        <f>_xll.qlInterestRateIndexValueDate(hiborindex,AK5198)</f>
        <v>49961</v>
      </c>
      <c r="AM5198" s="23">
        <f>_xll.qlIndexFixing(hiborindex,AK5198)</f>
        <v>9.8059758834277387E-3</v>
      </c>
    </row>
    <row r="5199" spans="37:39" x14ac:dyDescent="0.25">
      <c r="AK5199" s="21">
        <f>_xll.qlCalendarAdvance(calendar,AK5198,"1D")</f>
        <v>49958</v>
      </c>
      <c r="AL5199" s="21">
        <f>_xll.qlInterestRateIndexValueDate(hiborindex,AK5199)</f>
        <v>49962</v>
      </c>
      <c r="AM5199" s="23">
        <f>_xll.qlIndexFixing(hiborindex,AK5199)</f>
        <v>9.8064375700502981E-3</v>
      </c>
    </row>
    <row r="5200" spans="37:39" x14ac:dyDescent="0.25">
      <c r="AK5200" s="21">
        <f>_xll.qlCalendarAdvance(calendar,AK5199,"1D")</f>
        <v>49961</v>
      </c>
      <c r="AL5200" s="21">
        <f>_xll.qlInterestRateIndexValueDate(hiborindex,AK5200)</f>
        <v>49963</v>
      </c>
      <c r="AM5200" s="23">
        <f>_xll.qlIndexFixing(hiborindex,AK5200)</f>
        <v>9.8068992567800235E-3</v>
      </c>
    </row>
    <row r="5201" spans="37:39" x14ac:dyDescent="0.25">
      <c r="AK5201" s="21">
        <f>_xll.qlCalendarAdvance(calendar,AK5200,"1D")</f>
        <v>49962</v>
      </c>
      <c r="AL5201" s="21">
        <f>_xll.qlInterestRateIndexValueDate(hiborindex,AK5201)</f>
        <v>49964</v>
      </c>
      <c r="AM5201" s="23">
        <f>_xll.qlIndexFixing(hiborindex,AK5201)</f>
        <v>9.8073609436164777E-3</v>
      </c>
    </row>
    <row r="5202" spans="37:39" x14ac:dyDescent="0.25">
      <c r="AK5202" s="21">
        <f>_xll.qlCalendarAdvance(calendar,AK5201,"1D")</f>
        <v>49963</v>
      </c>
      <c r="AL5202" s="21">
        <f>_xll.qlInterestRateIndexValueDate(hiborindex,AK5202)</f>
        <v>49965</v>
      </c>
      <c r="AM5202" s="23">
        <f>_xll.qlIndexFixing(hiborindex,AK5202)</f>
        <v>9.8078226305605368E-3</v>
      </c>
    </row>
    <row r="5203" spans="37:39" x14ac:dyDescent="0.25">
      <c r="AK5203" s="21">
        <f>_xll.qlCalendarAdvance(calendar,AK5202,"1D")</f>
        <v>49964</v>
      </c>
      <c r="AL5203" s="21">
        <f>_xll.qlInterestRateIndexValueDate(hiborindex,AK5203)</f>
        <v>49968</v>
      </c>
      <c r="AM5203" s="23">
        <f>_xll.qlIndexFixing(hiborindex,AK5203)</f>
        <v>9.8092076920361596E-3</v>
      </c>
    </row>
    <row r="5204" spans="37:39" x14ac:dyDescent="0.25">
      <c r="AK5204" s="21">
        <f>_xll.qlCalendarAdvance(calendar,AK5203,"1D")</f>
        <v>49965</v>
      </c>
      <c r="AL5204" s="21">
        <f>_xll.qlInterestRateIndexValueDate(hiborindex,AK5204)</f>
        <v>49969</v>
      </c>
      <c r="AM5204" s="23">
        <f>_xll.qlIndexFixing(hiborindex,AK5204)</f>
        <v>9.8096693794093269E-3</v>
      </c>
    </row>
    <row r="5205" spans="37:39" x14ac:dyDescent="0.25">
      <c r="AK5205" s="21">
        <f>_xll.qlCalendarAdvance(calendar,AK5204,"1D")</f>
        <v>49968</v>
      </c>
      <c r="AL5205" s="21">
        <f>_xll.qlInterestRateIndexValueDate(hiborindex,AK5205)</f>
        <v>49970</v>
      </c>
      <c r="AM5205" s="23">
        <f>_xll.qlIndexFixing(hiborindex,AK5205)</f>
        <v>9.8101310668892213E-3</v>
      </c>
    </row>
    <row r="5206" spans="37:39" x14ac:dyDescent="0.25">
      <c r="AK5206" s="21">
        <f>_xll.qlCalendarAdvance(calendar,AK5205,"1D")</f>
        <v>49969</v>
      </c>
      <c r="AL5206" s="21">
        <f>_xll.qlInterestRateIndexValueDate(hiborindex,AK5206)</f>
        <v>49971</v>
      </c>
      <c r="AM5206" s="23">
        <f>_xll.qlIndexFixing(hiborindex,AK5206)</f>
        <v>9.8105927544767223E-3</v>
      </c>
    </row>
    <row r="5207" spans="37:39" x14ac:dyDescent="0.25">
      <c r="AK5207" s="21">
        <f>_xll.qlCalendarAdvance(calendar,AK5206,"1D")</f>
        <v>49970</v>
      </c>
      <c r="AL5207" s="21">
        <f>_xll.qlInterestRateIndexValueDate(hiborindex,AK5207)</f>
        <v>49972</v>
      </c>
      <c r="AM5207" s="23">
        <f>_xll.qlIndexFixing(hiborindex,AK5207)</f>
        <v>9.8110544421713911E-3</v>
      </c>
    </row>
    <row r="5208" spans="37:39" x14ac:dyDescent="0.25">
      <c r="AK5208" s="21">
        <f>_xll.qlCalendarAdvance(calendar,AK5207,"1D")</f>
        <v>49971</v>
      </c>
      <c r="AL5208" s="21">
        <f>_xll.qlInterestRateIndexValueDate(hiborindex,AK5208)</f>
        <v>49975</v>
      </c>
      <c r="AM5208" s="23">
        <f>_xll.qlIndexFixing(hiborindex,AK5208)</f>
        <v>9.8124395058988376E-3</v>
      </c>
    </row>
    <row r="5209" spans="37:39" x14ac:dyDescent="0.25">
      <c r="AK5209" s="21">
        <f>_xll.qlCalendarAdvance(calendar,AK5208,"1D")</f>
        <v>49972</v>
      </c>
      <c r="AL5209" s="21">
        <f>_xll.qlInterestRateIndexValueDate(hiborindex,AK5209)</f>
        <v>49976</v>
      </c>
      <c r="AM5209" s="23">
        <f>_xll.qlIndexFixing(hiborindex,AK5209)</f>
        <v>9.8129011940226128E-3</v>
      </c>
    </row>
    <row r="5210" spans="37:39" x14ac:dyDescent="0.25">
      <c r="AK5210" s="21">
        <f>_xll.qlCalendarAdvance(calendar,AK5209,"1D")</f>
        <v>49975</v>
      </c>
      <c r="AL5210" s="21">
        <f>_xll.qlInterestRateIndexValueDate(hiborindex,AK5210)</f>
        <v>49977</v>
      </c>
      <c r="AM5210" s="23">
        <f>_xll.qlIndexFixing(hiborindex,AK5210)</f>
        <v>9.8133628822535558E-3</v>
      </c>
    </row>
    <row r="5211" spans="37:39" x14ac:dyDescent="0.25">
      <c r="AK5211" s="21">
        <f>_xll.qlCalendarAdvance(calendar,AK5210,"1D")</f>
        <v>49976</v>
      </c>
      <c r="AL5211" s="21">
        <f>_xll.qlInterestRateIndexValueDate(hiborindex,AK5211)</f>
        <v>49978</v>
      </c>
      <c r="AM5211" s="23">
        <f>_xll.qlIndexFixing(hiborindex,AK5211)</f>
        <v>9.8138245705912276E-3</v>
      </c>
    </row>
    <row r="5212" spans="37:39" x14ac:dyDescent="0.25">
      <c r="AK5212" s="21">
        <f>_xll.qlCalendarAdvance(calendar,AK5211,"1D")</f>
        <v>49977</v>
      </c>
      <c r="AL5212" s="21">
        <f>_xll.qlInterestRateIndexValueDate(hiborindex,AK5212)</f>
        <v>49979</v>
      </c>
      <c r="AM5212" s="23">
        <f>_xll.qlIndexFixing(hiborindex,AK5212)</f>
        <v>9.8139218649202775E-3</v>
      </c>
    </row>
    <row r="5213" spans="37:39" x14ac:dyDescent="0.25">
      <c r="AK5213" s="21">
        <f>_xll.qlCalendarAdvance(calendar,AK5212,"1D")</f>
        <v>49978</v>
      </c>
      <c r="AL5213" s="21">
        <f>_xll.qlInterestRateIndexValueDate(hiborindex,AK5213)</f>
        <v>49982</v>
      </c>
      <c r="AM5213" s="23">
        <f>_xll.qlIndexFixing(hiborindex,AK5213)</f>
        <v>9.8156713250157762E-3</v>
      </c>
    </row>
    <row r="5214" spans="37:39" x14ac:dyDescent="0.25">
      <c r="AK5214" s="21">
        <f>_xll.qlCalendarAdvance(calendar,AK5213,"1D")</f>
        <v>49979</v>
      </c>
      <c r="AL5214" s="21">
        <f>_xll.qlInterestRateIndexValueDate(hiborindex,AK5214)</f>
        <v>49983</v>
      </c>
      <c r="AM5214" s="23">
        <f>_xll.qlIndexFixing(hiborindex,AK5214)</f>
        <v>9.8157685693348578E-3</v>
      </c>
    </row>
    <row r="5215" spans="37:39" x14ac:dyDescent="0.25">
      <c r="AK5215" s="21">
        <f>_xll.qlCalendarAdvance(calendar,AK5214,"1D")</f>
        <v>49982</v>
      </c>
      <c r="AL5215" s="21">
        <f>_xll.qlInterestRateIndexValueDate(hiborindex,AK5215)</f>
        <v>49984</v>
      </c>
      <c r="AM5215" s="23">
        <f>_xll.qlIndexFixing(hiborindex,AK5215)</f>
        <v>9.816230245704478E-3</v>
      </c>
    </row>
    <row r="5216" spans="37:39" x14ac:dyDescent="0.25">
      <c r="AK5216" s="21">
        <f>_xll.qlCalendarAdvance(calendar,AK5215,"1D")</f>
        <v>49983</v>
      </c>
      <c r="AL5216" s="21">
        <f>_xll.qlInterestRateIndexValueDate(hiborindex,AK5216)</f>
        <v>49985</v>
      </c>
      <c r="AM5216" s="23">
        <f>_xll.qlIndexFixing(hiborindex,AK5216)</f>
        <v>9.8166919221814152E-3</v>
      </c>
    </row>
    <row r="5217" spans="37:39" x14ac:dyDescent="0.25">
      <c r="AK5217" s="21">
        <f>_xll.qlCalendarAdvance(calendar,AK5216,"1D")</f>
        <v>49984</v>
      </c>
      <c r="AL5217" s="21">
        <f>_xll.qlInterestRateIndexValueDate(hiborindex,AK5217)</f>
        <v>49986</v>
      </c>
      <c r="AM5217" s="23">
        <f>_xll.qlIndexFixing(hiborindex,AK5217)</f>
        <v>9.8171535987652304E-3</v>
      </c>
    </row>
    <row r="5218" spans="37:39" x14ac:dyDescent="0.25">
      <c r="AK5218" s="21">
        <f>_xll.qlCalendarAdvance(calendar,AK5217,"1D")</f>
        <v>49985</v>
      </c>
      <c r="AL5218" s="21">
        <f>_xll.qlInterestRateIndexValueDate(hiborindex,AK5218)</f>
        <v>49989</v>
      </c>
      <c r="AM5218" s="23">
        <f>_xll.qlIndexFixing(hiborindex,AK5218)</f>
        <v>9.8189031493869719E-3</v>
      </c>
    </row>
    <row r="5219" spans="37:39" x14ac:dyDescent="0.25">
      <c r="AK5219" s="21">
        <f>_xll.qlCalendarAdvance(calendar,AK5218,"1D")</f>
        <v>49986</v>
      </c>
      <c r="AL5219" s="21">
        <f>_xll.qlInterestRateIndexValueDate(hiborindex,AK5219)</f>
        <v>49990</v>
      </c>
      <c r="AM5219" s="23">
        <f>_xll.qlIndexFixing(hiborindex,AK5219)</f>
        <v>9.8190003061657087E-3</v>
      </c>
    </row>
    <row r="5220" spans="37:39" x14ac:dyDescent="0.25">
      <c r="AK5220" s="21">
        <f>_xll.qlCalendarAdvance(calendar,AK5219,"1D")</f>
        <v>49989</v>
      </c>
      <c r="AL5220" s="21">
        <f>_xll.qlInterestRateIndexValueDate(hiborindex,AK5220)</f>
        <v>49991</v>
      </c>
      <c r="AM5220" s="23">
        <f>_xll.qlIndexFixing(hiborindex,AK5220)</f>
        <v>9.8194619832821361E-3</v>
      </c>
    </row>
    <row r="5221" spans="37:39" x14ac:dyDescent="0.25">
      <c r="AK5221" s="21">
        <f>_xll.qlCalendarAdvance(calendar,AK5220,"1D")</f>
        <v>49990</v>
      </c>
      <c r="AL5221" s="21">
        <f>_xll.qlInterestRateIndexValueDate(hiborindex,AK5221)</f>
        <v>49992</v>
      </c>
      <c r="AM5221" s="23">
        <f>_xll.qlIndexFixing(hiborindex,AK5221)</f>
        <v>9.819923660505438E-3</v>
      </c>
    </row>
    <row r="5222" spans="37:39" x14ac:dyDescent="0.25">
      <c r="AK5222" s="21">
        <f>_xll.qlCalendarAdvance(calendar,AK5221,"1D")</f>
        <v>49991</v>
      </c>
      <c r="AL5222" s="21">
        <f>_xll.qlInterestRateIndexValueDate(hiborindex,AK5222)</f>
        <v>49993</v>
      </c>
      <c r="AM5222" s="23">
        <f>_xll.qlIndexFixing(hiborindex,AK5222)</f>
        <v>9.8203853378356163E-3</v>
      </c>
    </row>
    <row r="5223" spans="37:39" x14ac:dyDescent="0.25">
      <c r="AK5223" s="21">
        <f>_xll.qlCalendarAdvance(calendar,AK5222,"1D")</f>
        <v>49992</v>
      </c>
      <c r="AL5223" s="21">
        <f>_xll.qlInterestRateIndexValueDate(hiborindex,AK5223)</f>
        <v>49996</v>
      </c>
      <c r="AM5223" s="23">
        <f>_xll.qlIndexFixing(hiborindex,AK5223)</f>
        <v>9.8221349790124264E-3</v>
      </c>
    </row>
    <row r="5224" spans="37:39" x14ac:dyDescent="0.25">
      <c r="AK5224" s="21">
        <f>_xll.qlCalendarAdvance(calendar,AK5223,"1D")</f>
        <v>49993</v>
      </c>
      <c r="AL5224" s="21">
        <f>_xll.qlInterestRateIndexValueDate(hiborindex,AK5224)</f>
        <v>49997</v>
      </c>
      <c r="AM5224" s="23">
        <f>_xll.qlIndexFixing(hiborindex,AK5224)</f>
        <v>9.8222320482215519E-3</v>
      </c>
    </row>
    <row r="5225" spans="37:39" x14ac:dyDescent="0.25">
      <c r="AK5225" s="21">
        <f>_xll.qlCalendarAdvance(calendar,AK5224,"1D")</f>
        <v>49996</v>
      </c>
      <c r="AL5225" s="21">
        <f>_xll.qlInterestRateIndexValueDate(hiborindex,AK5225)</f>
        <v>49998</v>
      </c>
      <c r="AM5225" s="23">
        <f>_xll.qlIndexFixing(hiborindex,AK5225)</f>
        <v>9.8226937260847847E-3</v>
      </c>
    </row>
    <row r="5226" spans="37:39" x14ac:dyDescent="0.25">
      <c r="AK5226" s="21">
        <f>_xll.qlCalendarAdvance(calendar,AK5225,"1D")</f>
        <v>49997</v>
      </c>
      <c r="AL5226" s="21">
        <f>_xll.qlInterestRateIndexValueDate(hiborindex,AK5226)</f>
        <v>49999</v>
      </c>
      <c r="AM5226" s="23">
        <f>_xll.qlIndexFixing(hiborindex,AK5226)</f>
        <v>9.8231554040544514E-3</v>
      </c>
    </row>
    <row r="5227" spans="37:39" x14ac:dyDescent="0.25">
      <c r="AK5227" s="21">
        <f>_xll.qlCalendarAdvance(calendar,AK5226,"1D")</f>
        <v>49998</v>
      </c>
      <c r="AL5227" s="21">
        <f>_xll.qlInterestRateIndexValueDate(hiborindex,AK5227)</f>
        <v>50000</v>
      </c>
      <c r="AM5227" s="23">
        <f>_xll.qlIndexFixing(hiborindex,AK5227)</f>
        <v>9.8236170821314351E-3</v>
      </c>
    </row>
    <row r="5228" spans="37:39" x14ac:dyDescent="0.25">
      <c r="AK5228" s="21">
        <f>_xll.qlCalendarAdvance(calendar,AK5227,"1D")</f>
        <v>49999</v>
      </c>
      <c r="AL5228" s="21">
        <f>_xll.qlInterestRateIndexValueDate(hiborindex,AK5228)</f>
        <v>50003</v>
      </c>
      <c r="AM5228" s="23">
        <f>_xll.qlIndexFixing(hiborindex,AK5228)</f>
        <v>9.8253668138925786E-3</v>
      </c>
    </row>
    <row r="5229" spans="37:39" x14ac:dyDescent="0.25">
      <c r="AK5229" s="21">
        <f>_xll.qlCalendarAdvance(calendar,AK5228,"1D")</f>
        <v>50000</v>
      </c>
      <c r="AL5229" s="21">
        <f>_xll.qlInterestRateIndexValueDate(hiborindex,AK5229)</f>
        <v>50004</v>
      </c>
      <c r="AM5229" s="23">
        <f>_xll.qlIndexFixing(hiborindex,AK5229)</f>
        <v>9.8254637955032705E-3</v>
      </c>
    </row>
    <row r="5230" spans="37:39" x14ac:dyDescent="0.25">
      <c r="AK5230" s="21">
        <f>_xll.qlCalendarAdvance(calendar,AK5229,"1D")</f>
        <v>50003</v>
      </c>
      <c r="AL5230" s="21">
        <f>_xll.qlInterestRateIndexValueDate(hiborindex,AK5230)</f>
        <v>50005</v>
      </c>
      <c r="AM5230" s="23">
        <f>_xll.qlIndexFixing(hiborindex,AK5230)</f>
        <v>9.825925474112868E-3</v>
      </c>
    </row>
    <row r="5231" spans="37:39" x14ac:dyDescent="0.25">
      <c r="AK5231" s="21">
        <f>_xll.qlCalendarAdvance(calendar,AK5230,"1D")</f>
        <v>50004</v>
      </c>
      <c r="AL5231" s="21">
        <f>_xll.qlInterestRateIndexValueDate(hiborindex,AK5231)</f>
        <v>50006</v>
      </c>
      <c r="AM5231" s="23">
        <f>_xll.qlIndexFixing(hiborindex,AK5231)</f>
        <v>9.8263871528293401E-3</v>
      </c>
    </row>
    <row r="5232" spans="37:39" x14ac:dyDescent="0.25">
      <c r="AK5232" s="21">
        <f>_xll.qlCalendarAdvance(calendar,AK5231,"1D")</f>
        <v>50005</v>
      </c>
      <c r="AL5232" s="21">
        <f>_xll.qlInterestRateIndexValueDate(hiborindex,AK5232)</f>
        <v>50007</v>
      </c>
      <c r="AM5232" s="23">
        <f>_xll.qlIndexFixing(hiborindex,AK5232)</f>
        <v>9.8272135790399787E-3</v>
      </c>
    </row>
    <row r="5233" spans="37:39" x14ac:dyDescent="0.25">
      <c r="AK5233" s="21">
        <f>_xll.qlCalendarAdvance(calendar,AK5232,"1D")</f>
        <v>50006</v>
      </c>
      <c r="AL5233" s="21">
        <f>_xll.qlInterestRateIndexValueDate(hiborindex,AK5233)</f>
        <v>50010</v>
      </c>
      <c r="AM5233" s="23">
        <f>_xll.qlIndexFixing(hiborindex,AK5233)</f>
        <v>9.8285986540265508E-3</v>
      </c>
    </row>
    <row r="5234" spans="37:39" x14ac:dyDescent="0.25">
      <c r="AK5234" s="21">
        <f>_xll.qlCalendarAdvance(calendar,AK5233,"1D")</f>
        <v>50007</v>
      </c>
      <c r="AL5234" s="21">
        <f>_xll.qlInterestRateIndexValueDate(hiborindex,AK5234)</f>
        <v>50011</v>
      </c>
      <c r="AM5234" s="23">
        <f>_xll.qlIndexFixing(hiborindex,AK5234)</f>
        <v>9.8290603459029301E-3</v>
      </c>
    </row>
    <row r="5235" spans="37:39" x14ac:dyDescent="0.25">
      <c r="AK5235" s="21">
        <f>_xll.qlCalendarAdvance(calendar,AK5234,"1D")</f>
        <v>50010</v>
      </c>
      <c r="AL5235" s="21">
        <f>_xll.qlInterestRateIndexValueDate(hiborindex,AK5235)</f>
        <v>50012</v>
      </c>
      <c r="AM5235" s="23">
        <f>_xll.qlIndexFixing(hiborindex,AK5235)</f>
        <v>9.8295220378869144E-3</v>
      </c>
    </row>
    <row r="5236" spans="37:39" x14ac:dyDescent="0.25">
      <c r="AK5236" s="21">
        <f>_xll.qlCalendarAdvance(calendar,AK5235,"1D")</f>
        <v>50011</v>
      </c>
      <c r="AL5236" s="21">
        <f>_xll.qlInterestRateIndexValueDate(hiborindex,AK5236)</f>
        <v>50013</v>
      </c>
      <c r="AM5236" s="23">
        <f>_xll.qlIndexFixing(hiborindex,AK5236)</f>
        <v>9.8299837299780663E-3</v>
      </c>
    </row>
    <row r="5237" spans="37:39" x14ac:dyDescent="0.25">
      <c r="AK5237" s="21">
        <f>_xll.qlCalendarAdvance(calendar,AK5236,"1D")</f>
        <v>50012</v>
      </c>
      <c r="AL5237" s="21">
        <f>_xll.qlInterestRateIndexValueDate(hiborindex,AK5237)</f>
        <v>50014</v>
      </c>
      <c r="AM5237" s="23">
        <f>_xll.qlIndexFixing(hiborindex,AK5237)</f>
        <v>9.8304454221763843E-3</v>
      </c>
    </row>
    <row r="5238" spans="37:39" x14ac:dyDescent="0.25">
      <c r="AK5238" s="21">
        <f>_xll.qlCalendarAdvance(calendar,AK5237,"1D")</f>
        <v>50013</v>
      </c>
      <c r="AL5238" s="21">
        <f>_xll.qlInterestRateIndexValueDate(hiborindex,AK5238)</f>
        <v>50017</v>
      </c>
      <c r="AM5238" s="23">
        <f>_xll.qlIndexFixing(hiborindex,AK5238)</f>
        <v>9.8318304994147818E-3</v>
      </c>
    </row>
    <row r="5239" spans="37:39" x14ac:dyDescent="0.25">
      <c r="AK5239" s="21">
        <f>_xll.qlCalendarAdvance(calendar,AK5238,"1D")</f>
        <v>50014</v>
      </c>
      <c r="AL5239" s="21">
        <f>_xll.qlInterestRateIndexValueDate(hiborindex,AK5239)</f>
        <v>50018</v>
      </c>
      <c r="AM5239" s="23">
        <f>_xll.qlIndexFixing(hiborindex,AK5239)</f>
        <v>9.8322921920417691E-3</v>
      </c>
    </row>
    <row r="5240" spans="37:39" x14ac:dyDescent="0.25">
      <c r="AK5240" s="21">
        <f>_xll.qlCalendarAdvance(calendar,AK5239,"1D")</f>
        <v>50017</v>
      </c>
      <c r="AL5240" s="21">
        <f>_xll.qlInterestRateIndexValueDate(hiborindex,AK5240)</f>
        <v>50019</v>
      </c>
      <c r="AM5240" s="23">
        <f>_xll.qlIndexFixing(hiborindex,AK5240)</f>
        <v>9.8327538847763612E-3</v>
      </c>
    </row>
    <row r="5241" spans="37:39" x14ac:dyDescent="0.25">
      <c r="AK5241" s="21">
        <f>_xll.qlCalendarAdvance(calendar,AK5240,"1D")</f>
        <v>50018</v>
      </c>
      <c r="AL5241" s="21">
        <f>_xll.qlInterestRateIndexValueDate(hiborindex,AK5241)</f>
        <v>50020</v>
      </c>
      <c r="AM5241" s="23">
        <f>_xll.qlIndexFixing(hiborindex,AK5241)</f>
        <v>9.8332155776181211E-3</v>
      </c>
    </row>
    <row r="5242" spans="37:39" x14ac:dyDescent="0.25">
      <c r="AK5242" s="21">
        <f>_xll.qlCalendarAdvance(calendar,AK5241,"1D")</f>
        <v>50019</v>
      </c>
      <c r="AL5242" s="21">
        <f>_xll.qlInterestRateIndexValueDate(hiborindex,AK5242)</f>
        <v>50021</v>
      </c>
      <c r="AM5242" s="23">
        <f>_xll.qlIndexFixing(hiborindex,AK5242)</f>
        <v>9.8336772705670487E-3</v>
      </c>
    </row>
    <row r="5243" spans="37:39" x14ac:dyDescent="0.25">
      <c r="AK5243" s="21">
        <f>_xll.qlCalendarAdvance(calendar,AK5242,"1D")</f>
        <v>50020</v>
      </c>
      <c r="AL5243" s="21">
        <f>_xll.qlInterestRateIndexValueDate(hiborindex,AK5243)</f>
        <v>50024</v>
      </c>
      <c r="AM5243" s="23">
        <f>_xll.qlIndexFixing(hiborindex,AK5243)</f>
        <v>9.8350623500572699E-3</v>
      </c>
    </row>
    <row r="5244" spans="37:39" x14ac:dyDescent="0.25">
      <c r="AK5244" s="21">
        <f>_xll.qlCalendarAdvance(calendar,AK5243,"1D")</f>
        <v>50021</v>
      </c>
      <c r="AL5244" s="21">
        <f>_xll.qlInterestRateIndexValueDate(hiborindex,AK5244)</f>
        <v>50025</v>
      </c>
      <c r="AM5244" s="23">
        <f>_xll.qlIndexFixing(hiborindex,AK5244)</f>
        <v>9.8355240434357446E-3</v>
      </c>
    </row>
    <row r="5245" spans="37:39" x14ac:dyDescent="0.25">
      <c r="AK5245" s="21">
        <f>_xll.qlCalendarAdvance(calendar,AK5244,"1D")</f>
        <v>50024</v>
      </c>
      <c r="AL5245" s="21">
        <f>_xll.qlInterestRateIndexValueDate(hiborindex,AK5245)</f>
        <v>50026</v>
      </c>
      <c r="AM5245" s="23">
        <f>_xll.qlIndexFixing(hiborindex,AK5245)</f>
        <v>9.8359857369205057E-3</v>
      </c>
    </row>
    <row r="5246" spans="37:39" x14ac:dyDescent="0.25">
      <c r="AK5246" s="21">
        <f>_xll.qlCalendarAdvance(calendar,AK5245,"1D")</f>
        <v>50025</v>
      </c>
      <c r="AL5246" s="21">
        <f>_xll.qlInterestRateIndexValueDate(hiborindex,AK5246)</f>
        <v>50027</v>
      </c>
      <c r="AM5246" s="23">
        <f>_xll.qlIndexFixing(hiborindex,AK5246)</f>
        <v>9.8364474305133141E-3</v>
      </c>
    </row>
    <row r="5247" spans="37:39" x14ac:dyDescent="0.25">
      <c r="AK5247" s="21">
        <f>_xll.qlCalendarAdvance(calendar,AK5246,"1D")</f>
        <v>50026</v>
      </c>
      <c r="AL5247" s="21">
        <f>_xll.qlInterestRateIndexValueDate(hiborindex,AK5247)</f>
        <v>50028</v>
      </c>
      <c r="AM5247" s="23">
        <f>_xll.qlIndexFixing(hiborindex,AK5247)</f>
        <v>9.836909124212409E-3</v>
      </c>
    </row>
    <row r="5248" spans="37:39" x14ac:dyDescent="0.25">
      <c r="AK5248" s="21">
        <f>_xll.qlCalendarAdvance(calendar,AK5247,"1D")</f>
        <v>50027</v>
      </c>
      <c r="AL5248" s="21">
        <f>_xll.qlInterestRateIndexValueDate(hiborindex,AK5248)</f>
        <v>50031</v>
      </c>
      <c r="AM5248" s="23">
        <f>_xll.qlIndexFixing(hiborindex,AK5248)</f>
        <v>9.8382942059548964E-3</v>
      </c>
    </row>
    <row r="5249" spans="37:39" x14ac:dyDescent="0.25">
      <c r="AK5249" s="21">
        <f>_xll.qlCalendarAdvance(calendar,AK5248,"1D")</f>
        <v>50028</v>
      </c>
      <c r="AL5249" s="21">
        <f>_xll.qlInterestRateIndexValueDate(hiborindex,AK5249)</f>
        <v>50032</v>
      </c>
      <c r="AM5249" s="23">
        <f>_xll.qlIndexFixing(hiborindex,AK5249)</f>
        <v>9.8387559000835401E-3</v>
      </c>
    </row>
    <row r="5250" spans="37:39" x14ac:dyDescent="0.25">
      <c r="AK5250" s="21">
        <f>_xll.qlCalendarAdvance(calendar,AK5249,"1D")</f>
        <v>50031</v>
      </c>
      <c r="AL5250" s="21">
        <f>_xll.qlInterestRateIndexValueDate(hiborindex,AK5250)</f>
        <v>50033</v>
      </c>
      <c r="AM5250" s="23">
        <f>_xll.qlIndexFixing(hiborindex,AK5250)</f>
        <v>9.8392175943189091E-3</v>
      </c>
    </row>
    <row r="5251" spans="37:39" x14ac:dyDescent="0.25">
      <c r="AK5251" s="21">
        <f>_xll.qlCalendarAdvance(calendar,AK5250,"1D")</f>
        <v>50032</v>
      </c>
      <c r="AL5251" s="21">
        <f>_xll.qlInterestRateIndexValueDate(hiborindex,AK5251)</f>
        <v>50038</v>
      </c>
      <c r="AM5251" s="23">
        <f>_xll.qlIndexFixing(hiborindex,AK5251)</f>
        <v>9.8415260671059022E-3</v>
      </c>
    </row>
    <row r="5252" spans="37:39" x14ac:dyDescent="0.25">
      <c r="AK5252" s="21">
        <f>_xll.qlCalendarAdvance(calendar,AK5251,"1D")</f>
        <v>50033</v>
      </c>
      <c r="AL5252" s="21">
        <f>_xll.qlInterestRateIndexValueDate(hiborindex,AK5252)</f>
        <v>50039</v>
      </c>
      <c r="AM5252" s="23">
        <f>_xll.qlIndexFixing(hiborindex,AK5252)</f>
        <v>9.8419877619855926E-3</v>
      </c>
    </row>
    <row r="5253" spans="37:39" x14ac:dyDescent="0.25">
      <c r="AK5253" s="21">
        <f>_xll.qlCalendarAdvance(calendar,AK5252,"1D")</f>
        <v>50038</v>
      </c>
      <c r="AL5253" s="21">
        <f>_xll.qlInterestRateIndexValueDate(hiborindex,AK5253)</f>
        <v>50040</v>
      </c>
      <c r="AM5253" s="23">
        <f>_xll.qlIndexFixing(hiborindex,AK5253)</f>
        <v>9.8420842926325719E-3</v>
      </c>
    </row>
    <row r="5254" spans="37:39" x14ac:dyDescent="0.25">
      <c r="AK5254" s="21">
        <f>_xll.qlCalendarAdvance(calendar,AK5253,"1D")</f>
        <v>50039</v>
      </c>
      <c r="AL5254" s="21">
        <f>_xll.qlInterestRateIndexValueDate(hiborindex,AK5254)</f>
        <v>50042</v>
      </c>
      <c r="AM5254" s="23">
        <f>_xll.qlIndexFixing(hiborindex,AK5254)</f>
        <v>9.8364647802836377E-3</v>
      </c>
    </row>
    <row r="5255" spans="37:39" x14ac:dyDescent="0.25">
      <c r="AK5255" s="21">
        <f>_xll.qlCalendarAdvance(calendar,AK5254,"1D")</f>
        <v>50040</v>
      </c>
      <c r="AL5255" s="21">
        <f>_xll.qlInterestRateIndexValueDate(hiborindex,AK5255)</f>
        <v>50045</v>
      </c>
      <c r="AM5255" s="23">
        <f>_xll.qlIndexFixing(hiborindex,AK5255)</f>
        <v>9.8252264914646167E-3</v>
      </c>
    </row>
    <row r="5256" spans="37:39" x14ac:dyDescent="0.25">
      <c r="AK5256" s="21">
        <f>_xll.qlCalendarAdvance(calendar,AK5255,"1D")</f>
        <v>50042</v>
      </c>
      <c r="AL5256" s="21">
        <f>_xll.qlInterestRateIndexValueDate(hiborindex,AK5256)</f>
        <v>50046</v>
      </c>
      <c r="AM5256" s="23">
        <f>_xll.qlIndexFixing(hiborindex,AK5256)</f>
        <v>9.8252155718181293E-3</v>
      </c>
    </row>
    <row r="5257" spans="37:39" x14ac:dyDescent="0.25">
      <c r="AK5257" s="21">
        <f>_xll.qlCalendarAdvance(calendar,AK5256,"1D")</f>
        <v>50045</v>
      </c>
      <c r="AL5257" s="21">
        <f>_xll.qlInterestRateIndexValueDate(hiborindex,AK5257)</f>
        <v>50047</v>
      </c>
      <c r="AM5257" s="23">
        <f>_xll.qlIndexFixing(hiborindex,AK5257)</f>
        <v>9.8224011481043774E-3</v>
      </c>
    </row>
    <row r="5258" spans="37:39" x14ac:dyDescent="0.25">
      <c r="AK5258" s="21">
        <f>_xll.qlCalendarAdvance(calendar,AK5257,"1D")</f>
        <v>50046</v>
      </c>
      <c r="AL5258" s="21">
        <f>_xll.qlInterestRateIndexValueDate(hiborindex,AK5258)</f>
        <v>50048</v>
      </c>
      <c r="AM5258" s="23">
        <f>_xll.qlIndexFixing(hiborindex,AK5258)</f>
        <v>9.8195858757589658E-3</v>
      </c>
    </row>
    <row r="5259" spans="37:39" x14ac:dyDescent="0.25">
      <c r="AK5259" s="21">
        <f>_xll.qlCalendarAdvance(calendar,AK5258,"1D")</f>
        <v>50047</v>
      </c>
      <c r="AL5259" s="21">
        <f>_xll.qlInterestRateIndexValueDate(hiborindex,AK5259)</f>
        <v>50049</v>
      </c>
      <c r="AM5259" s="23">
        <f>_xll.qlIndexFixing(hiborindex,AK5259)</f>
        <v>9.8167697547854246E-3</v>
      </c>
    </row>
    <row r="5260" spans="37:39" x14ac:dyDescent="0.25">
      <c r="AK5260" s="21">
        <f>_xll.qlCalendarAdvance(calendar,AK5259,"1D")</f>
        <v>50048</v>
      </c>
      <c r="AL5260" s="21">
        <f>_xll.qlInterestRateIndexValueDate(hiborindex,AK5260)</f>
        <v>50052</v>
      </c>
      <c r="AM5260" s="23">
        <f>_xll.qlIndexFixing(hiborindex,AK5260)</f>
        <v>9.8056332737943269E-3</v>
      </c>
    </row>
    <row r="5261" spans="37:39" x14ac:dyDescent="0.25">
      <c r="AK5261" s="21">
        <f>_xll.qlCalendarAdvance(calendar,AK5260,"1D")</f>
        <v>50049</v>
      </c>
      <c r="AL5261" s="21">
        <f>_xll.qlInterestRateIndexValueDate(hiborindex,AK5261)</f>
        <v>50053</v>
      </c>
      <c r="AM5261" s="23">
        <f>_xll.qlIndexFixing(hiborindex,AK5261)</f>
        <v>9.8054967846815128E-3</v>
      </c>
    </row>
    <row r="5262" spans="37:39" x14ac:dyDescent="0.25">
      <c r="AK5262" s="21">
        <f>_xll.qlCalendarAdvance(calendar,AK5261,"1D")</f>
        <v>50052</v>
      </c>
      <c r="AL5262" s="21">
        <f>_xll.qlInterestRateIndexValueDate(hiborindex,AK5262)</f>
        <v>50054</v>
      </c>
      <c r="AM5262" s="23">
        <f>_xll.qlIndexFixing(hiborindex,AK5262)</f>
        <v>9.8026764206216466E-3</v>
      </c>
    </row>
    <row r="5263" spans="37:39" x14ac:dyDescent="0.25">
      <c r="AK5263" s="21">
        <f>_xll.qlCalendarAdvance(calendar,AK5262,"1D")</f>
        <v>50053</v>
      </c>
      <c r="AL5263" s="21">
        <f>_xll.qlInterestRateIndexValueDate(hiborindex,AK5263)</f>
        <v>50055</v>
      </c>
      <c r="AM5263" s="23">
        <f>_xll.qlIndexFixing(hiborindex,AK5263)</f>
        <v>9.7998552079548492E-3</v>
      </c>
    </row>
    <row r="5264" spans="37:39" x14ac:dyDescent="0.25">
      <c r="AK5264" s="21">
        <f>_xll.qlCalendarAdvance(calendar,AK5263,"1D")</f>
        <v>50054</v>
      </c>
      <c r="AL5264" s="21">
        <f>_xll.qlInterestRateIndexValueDate(hiborindex,AK5264)</f>
        <v>50056</v>
      </c>
      <c r="AM5264" s="23">
        <f>_xll.qlIndexFixing(hiborindex,AK5264)</f>
        <v>9.7970331466846559E-3</v>
      </c>
    </row>
    <row r="5265" spans="37:39" x14ac:dyDescent="0.25">
      <c r="AK5265" s="21">
        <f>_xll.qlCalendarAdvance(calendar,AK5264,"1D")</f>
        <v>50055</v>
      </c>
      <c r="AL5265" s="21">
        <f>_xll.qlInterestRateIndexValueDate(hiborindex,AK5265)</f>
        <v>50059</v>
      </c>
      <c r="AM5265" s="23">
        <f>_xll.qlIndexFixing(hiborindex,AK5265)</f>
        <v>9.7859987012260709E-3</v>
      </c>
    </row>
    <row r="5266" spans="37:39" x14ac:dyDescent="0.25">
      <c r="AK5266" s="21">
        <f>_xll.qlCalendarAdvance(calendar,AK5265,"1D")</f>
        <v>50056</v>
      </c>
      <c r="AL5266" s="21">
        <f>_xll.qlInterestRateIndexValueDate(hiborindex,AK5266)</f>
        <v>50060</v>
      </c>
      <c r="AM5266" s="23">
        <f>_xll.qlIndexFixing(hiborindex,AK5266)</f>
        <v>9.7857364156485171E-3</v>
      </c>
    </row>
    <row r="5267" spans="37:39" x14ac:dyDescent="0.25">
      <c r="AK5267" s="21">
        <f>_xll.qlCalendarAdvance(calendar,AK5266,"1D")</f>
        <v>50059</v>
      </c>
      <c r="AL5267" s="21">
        <f>_xll.qlInterestRateIndexValueDate(hiborindex,AK5267)</f>
        <v>50061</v>
      </c>
      <c r="AM5267" s="23">
        <f>_xll.qlIndexFixing(hiborindex,AK5267)</f>
        <v>9.7829101114178651E-3</v>
      </c>
    </row>
    <row r="5268" spans="37:39" x14ac:dyDescent="0.25">
      <c r="AK5268" s="21">
        <f>_xll.qlCalendarAdvance(calendar,AK5267,"1D")</f>
        <v>50060</v>
      </c>
      <c r="AL5268" s="21">
        <f>_xll.qlInterestRateIndexValueDate(hiborindex,AK5268)</f>
        <v>50062</v>
      </c>
      <c r="AM5268" s="23">
        <f>_xll.qlIndexFixing(hiborindex,AK5268)</f>
        <v>9.7800829586063391E-3</v>
      </c>
    </row>
    <row r="5269" spans="37:39" x14ac:dyDescent="0.25">
      <c r="AK5269" s="21">
        <f>_xll.qlCalendarAdvance(calendar,AK5268,"1D")</f>
        <v>50061</v>
      </c>
      <c r="AL5269" s="21">
        <f>_xll.qlInterestRateIndexValueDate(hiborindex,AK5269)</f>
        <v>50063</v>
      </c>
      <c r="AM5269" s="23">
        <f>_xll.qlIndexFixing(hiborindex,AK5269)</f>
        <v>9.7772549572170304E-3</v>
      </c>
    </row>
    <row r="5270" spans="37:39" x14ac:dyDescent="0.25">
      <c r="AK5270" s="21">
        <f>_xll.qlCalendarAdvance(calendar,AK5269,"1D")</f>
        <v>50062</v>
      </c>
      <c r="AL5270" s="21">
        <f>_xll.qlInterestRateIndexValueDate(hiborindex,AK5270)</f>
        <v>50066</v>
      </c>
      <c r="AM5270" s="23">
        <f>_xll.qlIndexFixing(hiborindex,AK5270)</f>
        <v>9.7663227749869973E-3</v>
      </c>
    </row>
    <row r="5271" spans="37:39" x14ac:dyDescent="0.25">
      <c r="AK5271" s="21">
        <f>_xll.qlCalendarAdvance(calendar,AK5270,"1D")</f>
        <v>50063</v>
      </c>
      <c r="AL5271" s="21">
        <f>_xll.qlInterestRateIndexValueDate(hiborindex,AK5271)</f>
        <v>50067</v>
      </c>
      <c r="AM5271" s="23">
        <f>_xll.qlIndexFixing(hiborindex,AK5271)</f>
        <v>9.7659344659557223E-3</v>
      </c>
    </row>
    <row r="5272" spans="37:39" x14ac:dyDescent="0.25">
      <c r="AK5272" s="21">
        <f>_xll.qlCalendarAdvance(calendar,AK5271,"1D")</f>
        <v>50066</v>
      </c>
      <c r="AL5272" s="21">
        <f>_xll.qlInterestRateIndexValueDate(hiborindex,AK5272)</f>
        <v>50068</v>
      </c>
      <c r="AM5272" s="23">
        <f>_xll.qlIndexFixing(hiborindex,AK5272)</f>
        <v>9.7631022217318213E-3</v>
      </c>
    </row>
    <row r="5273" spans="37:39" x14ac:dyDescent="0.25">
      <c r="AK5273" s="21">
        <f>_xll.qlCalendarAdvance(calendar,AK5272,"1D")</f>
        <v>50067</v>
      </c>
      <c r="AL5273" s="21">
        <f>_xll.qlInterestRateIndexValueDate(hiborindex,AK5273)</f>
        <v>50069</v>
      </c>
      <c r="AM5273" s="23">
        <f>_xll.qlIndexFixing(hiborindex,AK5273)</f>
        <v>9.7602691289526613E-3</v>
      </c>
    </row>
    <row r="5274" spans="37:39" x14ac:dyDescent="0.25">
      <c r="AK5274" s="21">
        <f>_xll.qlCalendarAdvance(calendar,AK5273,"1D")</f>
        <v>50068</v>
      </c>
      <c r="AL5274" s="21">
        <f>_xll.qlInterestRateIndexValueDate(hiborindex,AK5274)</f>
        <v>50070</v>
      </c>
      <c r="AM5274" s="23">
        <f>_xll.qlIndexFixing(hiborindex,AK5274)</f>
        <v>9.7550608220848874E-3</v>
      </c>
    </row>
    <row r="5275" spans="37:39" x14ac:dyDescent="0.25">
      <c r="AK5275" s="21">
        <f>_xll.qlCalendarAdvance(calendar,AK5274,"1D")</f>
        <v>50069</v>
      </c>
      <c r="AL5275" s="21">
        <f>_xll.qlInterestRateIndexValueDate(hiborindex,AK5275)</f>
        <v>50073</v>
      </c>
      <c r="AM5275" s="23">
        <f>_xll.qlIndexFixing(hiborindex,AK5275)</f>
        <v>9.7466054963104062E-3</v>
      </c>
    </row>
    <row r="5276" spans="37:39" x14ac:dyDescent="0.25">
      <c r="AK5276" s="21">
        <f>_xll.qlCalendarAdvance(calendar,AK5275,"1D")</f>
        <v>50070</v>
      </c>
      <c r="AL5276" s="21">
        <f>_xll.qlInterestRateIndexValueDate(hiborindex,AK5276)</f>
        <v>50074</v>
      </c>
      <c r="AM5276" s="23">
        <f>_xll.qlIndexFixing(hiborindex,AK5276)</f>
        <v>9.7460909368428002E-3</v>
      </c>
    </row>
    <row r="5277" spans="37:39" x14ac:dyDescent="0.25">
      <c r="AK5277" s="21">
        <f>_xll.qlCalendarAdvance(calendar,AK5276,"1D")</f>
        <v>50073</v>
      </c>
      <c r="AL5277" s="21">
        <f>_xll.qlInterestRateIndexValueDate(hiborindex,AK5277)</f>
        <v>50075</v>
      </c>
      <c r="AM5277" s="23">
        <f>_xll.qlIndexFixing(hiborindex,AK5277)</f>
        <v>9.7432527528036293E-3</v>
      </c>
    </row>
    <row r="5278" spans="37:39" x14ac:dyDescent="0.25">
      <c r="AK5278" s="21">
        <f>_xll.qlCalendarAdvance(calendar,AK5277,"1D")</f>
        <v>50074</v>
      </c>
      <c r="AL5278" s="21">
        <f>_xll.qlInterestRateIndexValueDate(hiborindex,AK5278)</f>
        <v>50076</v>
      </c>
      <c r="AM5278" s="23">
        <f>_xll.qlIndexFixing(hiborindex,AK5278)</f>
        <v>9.7404137202334908E-3</v>
      </c>
    </row>
    <row r="5279" spans="37:39" x14ac:dyDescent="0.25">
      <c r="AK5279" s="21">
        <f>_xll.qlCalendarAdvance(calendar,AK5278,"1D")</f>
        <v>50075</v>
      </c>
      <c r="AL5279" s="21">
        <f>_xll.qlInterestRateIndexValueDate(hiborindex,AK5279)</f>
        <v>50077</v>
      </c>
      <c r="AM5279" s="23">
        <f>_xll.qlIndexFixing(hiborindex,AK5279)</f>
        <v>9.7375738391367976E-3</v>
      </c>
    </row>
    <row r="5280" spans="37:39" x14ac:dyDescent="0.25">
      <c r="AK5280" s="21">
        <f>_xll.qlCalendarAdvance(calendar,AK5279,"1D")</f>
        <v>50076</v>
      </c>
      <c r="AL5280" s="21">
        <f>_xll.qlInterestRateIndexValueDate(hiborindex,AK5280)</f>
        <v>50080</v>
      </c>
      <c r="AM5280" s="23">
        <f>_xll.qlIndexFixing(hiborindex,AK5280)</f>
        <v>9.7268468664300344E-3</v>
      </c>
    </row>
    <row r="5281" spans="37:39" x14ac:dyDescent="0.25">
      <c r="AK5281" s="21">
        <f>_xll.qlCalendarAdvance(calendar,AK5280,"1D")</f>
        <v>50077</v>
      </c>
      <c r="AL5281" s="21">
        <f>_xll.qlInterestRateIndexValueDate(hiborindex,AK5281)</f>
        <v>50081</v>
      </c>
      <c r="AM5281" s="23">
        <f>_xll.qlIndexFixing(hiborindex,AK5281)</f>
        <v>9.7262058295525117E-3</v>
      </c>
    </row>
    <row r="5282" spans="37:39" x14ac:dyDescent="0.25">
      <c r="AK5282" s="21">
        <f>_xll.qlCalendarAdvance(calendar,AK5281,"1D")</f>
        <v>50080</v>
      </c>
      <c r="AL5282" s="21">
        <f>_xll.qlInterestRateIndexValueDate(hiborindex,AK5282)</f>
        <v>50082</v>
      </c>
      <c r="AM5282" s="23">
        <f>_xll.qlIndexFixing(hiborindex,AK5282)</f>
        <v>9.7233617058751672E-3</v>
      </c>
    </row>
    <row r="5283" spans="37:39" x14ac:dyDescent="0.25">
      <c r="AK5283" s="21">
        <f>_xll.qlCalendarAdvance(calendar,AK5282,"1D")</f>
        <v>50081</v>
      </c>
      <c r="AL5283" s="21">
        <f>_xll.qlInterestRateIndexValueDate(hiborindex,AK5283)</f>
        <v>50083</v>
      </c>
      <c r="AM5283" s="23">
        <f>_xll.qlIndexFixing(hiborindex,AK5283)</f>
        <v>9.7205167336924699E-3</v>
      </c>
    </row>
    <row r="5284" spans="37:39" x14ac:dyDescent="0.25">
      <c r="AK5284" s="21">
        <f>_xll.qlCalendarAdvance(calendar,AK5283,"1D")</f>
        <v>50082</v>
      </c>
      <c r="AL5284" s="21">
        <f>_xll.qlInterestRateIndexValueDate(hiborindex,AK5284)</f>
        <v>50084</v>
      </c>
      <c r="AM5284" s="23">
        <f>_xll.qlIndexFixing(hiborindex,AK5284)</f>
        <v>9.7176709130083923E-3</v>
      </c>
    </row>
    <row r="5285" spans="37:39" x14ac:dyDescent="0.25">
      <c r="AK5285" s="21">
        <f>_xll.qlCalendarAdvance(calendar,AK5284,"1D")</f>
        <v>50083</v>
      </c>
      <c r="AL5285" s="21">
        <f>_xll.qlInterestRateIndexValueDate(hiborindex,AK5285)</f>
        <v>50087</v>
      </c>
      <c r="AM5285" s="23">
        <f>_xll.qlIndexFixing(hiborindex,AK5285)</f>
        <v>9.7070468865835743E-3</v>
      </c>
    </row>
    <row r="5286" spans="37:39" x14ac:dyDescent="0.25">
      <c r="AK5286" s="21">
        <f>_xll.qlCalendarAdvance(calendar,AK5285,"1D")</f>
        <v>50084</v>
      </c>
      <c r="AL5286" s="21">
        <f>_xll.qlInterestRateIndexValueDate(hiborindex,AK5286)</f>
        <v>50088</v>
      </c>
      <c r="AM5286" s="23">
        <f>_xll.qlIndexFixing(hiborindex,AK5286)</f>
        <v>9.7062791453293874E-3</v>
      </c>
    </row>
    <row r="5287" spans="37:39" x14ac:dyDescent="0.25">
      <c r="AK5287" s="21">
        <f>_xll.qlCalendarAdvance(calendar,AK5286,"1D")</f>
        <v>50087</v>
      </c>
      <c r="AL5287" s="21">
        <f>_xll.qlInterestRateIndexValueDate(hiborindex,AK5287)</f>
        <v>50089</v>
      </c>
      <c r="AM5287" s="23">
        <f>_xll.qlIndexFixing(hiborindex,AK5287)</f>
        <v>9.7034290821922924E-3</v>
      </c>
    </row>
    <row r="5288" spans="37:39" x14ac:dyDescent="0.25">
      <c r="AK5288" s="21">
        <f>_xll.qlCalendarAdvance(calendar,AK5287,"1D")</f>
        <v>50088</v>
      </c>
      <c r="AL5288" s="21">
        <f>_xll.qlInterestRateIndexValueDate(hiborindex,AK5288)</f>
        <v>50090</v>
      </c>
      <c r="AM5288" s="23">
        <f>_xll.qlIndexFixing(hiborindex,AK5288)</f>
        <v>9.7005781705750138E-3</v>
      </c>
    </row>
    <row r="5289" spans="37:39" x14ac:dyDescent="0.25">
      <c r="AK5289" s="21">
        <f>_xll.qlCalendarAdvance(calendar,AK5288,"1D")</f>
        <v>50089</v>
      </c>
      <c r="AL5289" s="21">
        <f>_xll.qlInterestRateIndexValueDate(hiborindex,AK5289)</f>
        <v>50091</v>
      </c>
      <c r="AM5289" s="23">
        <f>_xll.qlIndexFixing(hiborindex,AK5289)</f>
        <v>9.6977264104819716E-3</v>
      </c>
    </row>
    <row r="5290" spans="37:39" x14ac:dyDescent="0.25">
      <c r="AK5290" s="21">
        <f>_xll.qlCalendarAdvance(calendar,AK5289,"1D")</f>
        <v>50090</v>
      </c>
      <c r="AL5290" s="21">
        <f>_xll.qlInterestRateIndexValueDate(hiborindex,AK5290)</f>
        <v>50094</v>
      </c>
      <c r="AM5290" s="23">
        <f>_xll.qlIndexFixing(hiborindex,AK5290)</f>
        <v>9.6872055580100331E-3</v>
      </c>
    </row>
    <row r="5291" spans="37:39" x14ac:dyDescent="0.25">
      <c r="AK5291" s="21">
        <f>_xll.qlCalendarAdvance(calendar,AK5290,"1D")</f>
        <v>50091</v>
      </c>
      <c r="AL5291" s="21">
        <f>_xll.qlInterestRateIndexValueDate(hiborindex,AK5291)</f>
        <v>50095</v>
      </c>
      <c r="AM5291" s="23">
        <f>_xll.qlIndexFixing(hiborindex,AK5291)</f>
        <v>9.6863108854214914E-3</v>
      </c>
    </row>
    <row r="5292" spans="37:39" x14ac:dyDescent="0.25">
      <c r="AK5292" s="21">
        <f>_xll.qlCalendarAdvance(calendar,AK5291,"1D")</f>
        <v>50094</v>
      </c>
      <c r="AL5292" s="21">
        <f>_xll.qlInterestRateIndexValueDate(hiborindex,AK5292)</f>
        <v>50096</v>
      </c>
      <c r="AM5292" s="23">
        <f>_xll.qlIndexFixing(hiborindex,AK5292)</f>
        <v>9.6834548830026217E-3</v>
      </c>
    </row>
    <row r="5293" spans="37:39" x14ac:dyDescent="0.25">
      <c r="AK5293" s="21">
        <f>_xll.qlCalendarAdvance(calendar,AK5292,"1D")</f>
        <v>50095</v>
      </c>
      <c r="AL5293" s="21">
        <f>_xll.qlInterestRateIndexValueDate(hiborindex,AK5293)</f>
        <v>50097</v>
      </c>
      <c r="AM5293" s="23">
        <f>_xll.qlIndexFixing(hiborindex,AK5293)</f>
        <v>9.6805980321296257E-3</v>
      </c>
    </row>
    <row r="5294" spans="37:39" x14ac:dyDescent="0.25">
      <c r="AK5294" s="21">
        <f>_xll.qlCalendarAdvance(calendar,AK5293,"1D")</f>
        <v>50096</v>
      </c>
      <c r="AL5294" s="21">
        <f>_xll.qlInterestRateIndexValueDate(hiborindex,AK5294)</f>
        <v>50098</v>
      </c>
      <c r="AM5294" s="23">
        <f>_xll.qlIndexFixing(hiborindex,AK5294)</f>
        <v>9.6703158225187828E-3</v>
      </c>
    </row>
    <row r="5295" spans="37:39" x14ac:dyDescent="0.25">
      <c r="AK5295" s="21">
        <f>_xll.qlCalendarAdvance(calendar,AK5294,"1D")</f>
        <v>50097</v>
      </c>
      <c r="AL5295" s="21">
        <f>_xll.qlInterestRateIndexValueDate(hiborindex,AK5295)</f>
        <v>50101</v>
      </c>
      <c r="AM5295" s="23">
        <f>_xll.qlIndexFixing(hiborindex,AK5295)</f>
        <v>9.6637132718443864E-3</v>
      </c>
    </row>
    <row r="5296" spans="37:39" x14ac:dyDescent="0.25">
      <c r="AK5296" s="21">
        <f>_xll.qlCalendarAdvance(calendar,AK5295,"1D")</f>
        <v>50098</v>
      </c>
      <c r="AL5296" s="21">
        <f>_xll.qlInterestRateIndexValueDate(hiborindex,AK5296)</f>
        <v>50102</v>
      </c>
      <c r="AM5296" s="23">
        <f>_xll.qlIndexFixing(hiborindex,AK5296)</f>
        <v>9.6609036203998411E-3</v>
      </c>
    </row>
    <row r="5297" spans="37:39" x14ac:dyDescent="0.25">
      <c r="AK5297" s="21">
        <f>_xll.qlCalendarAdvance(calendar,AK5296,"1D")</f>
        <v>50101</v>
      </c>
      <c r="AL5297" s="21">
        <f>_xll.qlInterestRateIndexValueDate(hiborindex,AK5297)</f>
        <v>50103</v>
      </c>
      <c r="AM5297" s="23">
        <f>_xll.qlIndexFixing(hiborindex,AK5297)</f>
        <v>9.6580931342768826E-3</v>
      </c>
    </row>
    <row r="5298" spans="37:39" x14ac:dyDescent="0.25">
      <c r="AK5298" s="21">
        <f>_xll.qlCalendarAdvance(calendar,AK5297,"1D")</f>
        <v>50102</v>
      </c>
      <c r="AL5298" s="21">
        <f>_xll.qlInterestRateIndexValueDate(hiborindex,AK5298)</f>
        <v>50104</v>
      </c>
      <c r="AM5298" s="23">
        <f>_xll.qlIndexFixing(hiborindex,AK5298)</f>
        <v>9.6518617657624598E-3</v>
      </c>
    </row>
    <row r="5299" spans="37:39" x14ac:dyDescent="0.25">
      <c r="AK5299" s="21">
        <f>_xll.qlCalendarAdvance(calendar,AK5298,"1D")</f>
        <v>50103</v>
      </c>
      <c r="AL5299" s="21">
        <f>_xll.qlInterestRateIndexValueDate(hiborindex,AK5299)</f>
        <v>50105</v>
      </c>
      <c r="AM5299" s="23">
        <f>_xll.qlIndexFixing(hiborindex,AK5299)</f>
        <v>9.6507656988483528E-3</v>
      </c>
    </row>
    <row r="5300" spans="37:39" x14ac:dyDescent="0.25">
      <c r="AK5300" s="21">
        <f>_xll.qlCalendarAdvance(calendar,AK5299,"1D")</f>
        <v>50104</v>
      </c>
      <c r="AL5300" s="21">
        <f>_xll.qlInterestRateIndexValueDate(hiborindex,AK5300)</f>
        <v>50108</v>
      </c>
      <c r="AM5300" s="23">
        <f>_xll.qlIndexFixing(hiborindex,AK5300)</f>
        <v>9.6440281836179583E-3</v>
      </c>
    </row>
    <row r="5301" spans="37:39" x14ac:dyDescent="0.25">
      <c r="AK5301" s="21">
        <f>_xll.qlCalendarAdvance(calendar,AK5300,"1D")</f>
        <v>50105</v>
      </c>
      <c r="AL5301" s="21">
        <f>_xll.qlInterestRateIndexValueDate(hiborindex,AK5301)</f>
        <v>50109</v>
      </c>
      <c r="AM5301" s="23">
        <f>_xll.qlIndexFixing(hiborindex,AK5301)</f>
        <v>9.6412126895018477E-3</v>
      </c>
    </row>
    <row r="5302" spans="37:39" x14ac:dyDescent="0.25">
      <c r="AK5302" s="21">
        <f>_xll.qlCalendarAdvance(calendar,AK5301,"1D")</f>
        <v>50108</v>
      </c>
      <c r="AL5302" s="21">
        <f>_xll.qlInterestRateIndexValueDate(hiborindex,AK5302)</f>
        <v>50110</v>
      </c>
      <c r="AM5302" s="23">
        <f>_xll.qlIndexFixing(hiborindex,AK5302)</f>
        <v>9.6383963607329579E-3</v>
      </c>
    </row>
    <row r="5303" spans="37:39" x14ac:dyDescent="0.25">
      <c r="AK5303" s="21">
        <f>_xll.qlCalendarAdvance(calendar,AK5302,"1D")</f>
        <v>50109</v>
      </c>
      <c r="AL5303" s="21">
        <f>_xll.qlInterestRateIndexValueDate(hiborindex,AK5303)</f>
        <v>50111</v>
      </c>
      <c r="AM5303" s="23">
        <f>_xll.qlIndexFixing(hiborindex,AK5303)</f>
        <v>9.632393134950892E-3</v>
      </c>
    </row>
    <row r="5304" spans="37:39" x14ac:dyDescent="0.25">
      <c r="AK5304" s="21">
        <f>_xll.qlCalendarAdvance(calendar,AK5303,"1D")</f>
        <v>50110</v>
      </c>
      <c r="AL5304" s="21">
        <f>_xll.qlInterestRateIndexValueDate(hiborindex,AK5304)</f>
        <v>50112</v>
      </c>
      <c r="AM5304" s="23">
        <f>_xll.qlIndexFixing(hiborindex,AK5304)</f>
        <v>9.6311748962703315E-3</v>
      </c>
    </row>
    <row r="5305" spans="37:39" x14ac:dyDescent="0.25">
      <c r="AK5305" s="21">
        <f>_xll.qlCalendarAdvance(calendar,AK5304,"1D")</f>
        <v>50111</v>
      </c>
      <c r="AL5305" s="21">
        <f>_xll.qlInterestRateIndexValueDate(hiborindex,AK5305)</f>
        <v>50115</v>
      </c>
      <c r="AM5305" s="23">
        <f>_xll.qlIndexFixing(hiborindex,AK5305)</f>
        <v>9.6243021972201564E-3</v>
      </c>
    </row>
    <row r="5306" spans="37:39" x14ac:dyDescent="0.25">
      <c r="AK5306" s="21">
        <f>_xll.qlCalendarAdvance(calendar,AK5305,"1D")</f>
        <v>50112</v>
      </c>
      <c r="AL5306" s="21">
        <f>_xll.qlInterestRateIndexValueDate(hiborindex,AK5306)</f>
        <v>50116</v>
      </c>
      <c r="AM5306" s="23">
        <f>_xll.qlIndexFixing(hiborindex,AK5306)</f>
        <v>9.6214808606092991E-3</v>
      </c>
    </row>
    <row r="5307" spans="37:39" x14ac:dyDescent="0.25">
      <c r="AK5307" s="21">
        <f>_xll.qlCalendarAdvance(calendar,AK5306,"1D")</f>
        <v>50115</v>
      </c>
      <c r="AL5307" s="21">
        <f>_xll.qlInterestRateIndexValueDate(hiborindex,AK5307)</f>
        <v>50117</v>
      </c>
      <c r="AM5307" s="23">
        <f>_xll.qlIndexFixing(hiborindex,AK5307)</f>
        <v>9.618658689370856E-3</v>
      </c>
    </row>
    <row r="5308" spans="37:39" x14ac:dyDescent="0.25">
      <c r="AK5308" s="21">
        <f>_xll.qlCalendarAdvance(calendar,AK5307,"1D")</f>
        <v>50116</v>
      </c>
      <c r="AL5308" s="21">
        <f>_xll.qlInterestRateIndexValueDate(hiborindex,AK5308)</f>
        <v>50118</v>
      </c>
      <c r="AM5308" s="23">
        <f>_xll.qlIndexFixing(hiborindex,AK5308)</f>
        <v>9.6128840437043235E-3</v>
      </c>
    </row>
    <row r="5309" spans="37:39" x14ac:dyDescent="0.25">
      <c r="AK5309" s="21">
        <f>_xll.qlCalendarAdvance(calendar,AK5308,"1D")</f>
        <v>50117</v>
      </c>
      <c r="AL5309" s="21">
        <f>_xll.qlInterestRateIndexValueDate(hiborindex,AK5309)</f>
        <v>50119</v>
      </c>
      <c r="AM5309" s="23">
        <f>_xll.qlIndexFixing(hiborindex,AK5309)</f>
        <v>9.6115434160101137E-3</v>
      </c>
    </row>
    <row r="5310" spans="37:39" x14ac:dyDescent="0.25">
      <c r="AK5310" s="21">
        <f>_xll.qlCalendarAdvance(calendar,AK5309,"1D")</f>
        <v>50118</v>
      </c>
      <c r="AL5310" s="21">
        <f>_xll.qlInterestRateIndexValueDate(hiborindex,AK5310)</f>
        <v>50122</v>
      </c>
      <c r="AM5310" s="23">
        <f>_xll.qlIndexFixing(hiborindex,AK5310)</f>
        <v>9.6045353138873857E-3</v>
      </c>
    </row>
    <row r="5311" spans="37:39" x14ac:dyDescent="0.25">
      <c r="AK5311" s="21">
        <f>_xll.qlCalendarAdvance(calendar,AK5310,"1D")</f>
        <v>50119</v>
      </c>
      <c r="AL5311" s="21">
        <f>_xll.qlInterestRateIndexValueDate(hiborindex,AK5311)</f>
        <v>50123</v>
      </c>
      <c r="AM5311" s="23">
        <f>_xll.qlIndexFixing(hiborindex,AK5311)</f>
        <v>9.601708134957726E-3</v>
      </c>
    </row>
    <row r="5312" spans="37:39" x14ac:dyDescent="0.25">
      <c r="AK5312" s="21">
        <f>_xll.qlCalendarAdvance(calendar,AK5311,"1D")</f>
        <v>50122</v>
      </c>
      <c r="AL5312" s="21">
        <f>_xll.qlInterestRateIndexValueDate(hiborindex,AK5312)</f>
        <v>50124</v>
      </c>
      <c r="AM5312" s="23">
        <f>_xll.qlIndexFixing(hiborindex,AK5312)</f>
        <v>9.5988801214261111E-3</v>
      </c>
    </row>
    <row r="5313" spans="37:39" x14ac:dyDescent="0.25">
      <c r="AK5313" s="21">
        <f>_xll.qlCalendarAdvance(calendar,AK5312,"1D")</f>
        <v>50123</v>
      </c>
      <c r="AL5313" s="21">
        <f>_xll.qlInterestRateIndexValueDate(hiborindex,AK5313)</f>
        <v>50125</v>
      </c>
      <c r="AM5313" s="23">
        <f>_xll.qlIndexFixing(hiborindex,AK5313)</f>
        <v>9.5933344932445704E-3</v>
      </c>
    </row>
    <row r="5314" spans="37:39" x14ac:dyDescent="0.25">
      <c r="AK5314" s="21">
        <f>_xll.qlCalendarAdvance(calendar,AK5313,"1D")</f>
        <v>50124</v>
      </c>
      <c r="AL5314" s="21">
        <f>_xll.qlInterestRateIndexValueDate(hiborindex,AK5314)</f>
        <v>50126</v>
      </c>
      <c r="AM5314" s="23">
        <f>_xll.qlIndexFixing(hiborindex,AK5314)</f>
        <v>9.5918712592982826E-3</v>
      </c>
    </row>
    <row r="5315" spans="37:39" x14ac:dyDescent="0.25">
      <c r="AK5315" s="21">
        <f>_xll.qlCalendarAdvance(calendar,AK5314,"1D")</f>
        <v>50125</v>
      </c>
      <c r="AL5315" s="21">
        <f>_xll.qlInterestRateIndexValueDate(hiborindex,AK5315)</f>
        <v>50129</v>
      </c>
      <c r="AM5315" s="23">
        <f>_xll.qlIndexFixing(hiborindex,AK5315)</f>
        <v>9.5847275348560496E-3</v>
      </c>
    </row>
    <row r="5316" spans="37:39" x14ac:dyDescent="0.25">
      <c r="AK5316" s="21">
        <f>_xll.qlCalendarAdvance(calendar,AK5315,"1D")</f>
        <v>50126</v>
      </c>
      <c r="AL5316" s="21">
        <f>_xll.qlInterestRateIndexValueDate(hiborindex,AK5316)</f>
        <v>50130</v>
      </c>
      <c r="AM5316" s="23">
        <f>_xll.qlIndexFixing(hiborindex,AK5316)</f>
        <v>9.5831942806256162E-3</v>
      </c>
    </row>
    <row r="5317" spans="37:39" x14ac:dyDescent="0.25">
      <c r="AK5317" s="21">
        <f>_xll.qlCalendarAdvance(calendar,AK5316,"1D")</f>
        <v>50129</v>
      </c>
      <c r="AL5317" s="21">
        <f>_xll.qlInterestRateIndexValueDate(hiborindex,AK5317)</f>
        <v>50131</v>
      </c>
      <c r="AM5317" s="23">
        <f>_xll.qlIndexFixing(hiborindex,AK5317)</f>
        <v>9.5803433335865142E-3</v>
      </c>
    </row>
    <row r="5318" spans="37:39" x14ac:dyDescent="0.25">
      <c r="AK5318" s="21">
        <f>_xll.qlCalendarAdvance(calendar,AK5317,"1D")</f>
        <v>50130</v>
      </c>
      <c r="AL5318" s="21">
        <f>_xll.qlInterestRateIndexValueDate(hiborindex,AK5318)</f>
        <v>50132</v>
      </c>
      <c r="AM5318" s="23">
        <f>_xll.qlIndexFixing(hiborindex,AK5318)</f>
        <v>9.5774915474393946E-3</v>
      </c>
    </row>
    <row r="5319" spans="37:39" x14ac:dyDescent="0.25">
      <c r="AK5319" s="21">
        <f>_xll.qlCalendarAdvance(calendar,AK5318,"1D")</f>
        <v>50131</v>
      </c>
      <c r="AL5319" s="21">
        <f>_xll.qlInterestRateIndexValueDate(hiborindex,AK5319)</f>
        <v>50137</v>
      </c>
      <c r="AM5319" s="23">
        <f>_xll.qlIndexFixing(hiborindex,AK5319)</f>
        <v>9.5632200302193746E-3</v>
      </c>
    </row>
    <row r="5320" spans="37:39" x14ac:dyDescent="0.25">
      <c r="AK5320" s="21">
        <f>_xll.qlCalendarAdvance(calendar,AK5319,"1D")</f>
        <v>50132</v>
      </c>
      <c r="AL5320" s="21">
        <f>_xll.qlInterestRateIndexValueDate(hiborindex,AK5320)</f>
        <v>50138</v>
      </c>
      <c r="AM5320" s="23">
        <f>_xll.qlIndexFixing(hiborindex,AK5320)</f>
        <v>9.5603632095036459E-3</v>
      </c>
    </row>
    <row r="5321" spans="37:39" x14ac:dyDescent="0.25">
      <c r="AK5321" s="21">
        <f>_xll.qlCalendarAdvance(calendar,AK5320,"1D")</f>
        <v>50137</v>
      </c>
      <c r="AL5321" s="21">
        <f>_xll.qlInterestRateIndexValueDate(hiborindex,AK5321)</f>
        <v>50139</v>
      </c>
      <c r="AM5321" s="23">
        <f>_xll.qlIndexFixing(hiborindex,AK5321)</f>
        <v>9.5575055497056707E-3</v>
      </c>
    </row>
    <row r="5322" spans="37:39" x14ac:dyDescent="0.25">
      <c r="AK5322" s="21">
        <f>_xll.qlCalendarAdvance(calendar,AK5321,"1D")</f>
        <v>50138</v>
      </c>
      <c r="AL5322" s="21">
        <f>_xll.qlInterestRateIndexValueDate(hiborindex,AK5322)</f>
        <v>50140</v>
      </c>
      <c r="AM5322" s="23">
        <f>_xll.qlIndexFixing(hiborindex,AK5322)</f>
        <v>9.5524049214451429E-3</v>
      </c>
    </row>
    <row r="5323" spans="37:39" x14ac:dyDescent="0.25">
      <c r="AK5323" s="21">
        <f>_xll.qlCalendarAdvance(calendar,AK5322,"1D")</f>
        <v>50139</v>
      </c>
      <c r="AL5323" s="21">
        <f>_xll.qlInterestRateIndexValueDate(hiborindex,AK5323)</f>
        <v>50143</v>
      </c>
      <c r="AM5323" s="23">
        <f>_xll.qlIndexFixing(hiborindex,AK5323)</f>
        <v>9.5460665197681857E-3</v>
      </c>
    </row>
    <row r="5324" spans="37:39" x14ac:dyDescent="0.25">
      <c r="AK5324" s="21">
        <f>_xll.qlCalendarAdvance(calendar,AK5323,"1D")</f>
        <v>50140</v>
      </c>
      <c r="AL5324" s="21">
        <f>_xll.qlInterestRateIndexValueDate(hiborindex,AK5324)</f>
        <v>50144</v>
      </c>
      <c r="AM5324" s="23">
        <f>_xll.qlIndexFixing(hiborindex,AK5324)</f>
        <v>9.5432046646157648E-3</v>
      </c>
    </row>
    <row r="5325" spans="37:39" x14ac:dyDescent="0.25">
      <c r="AK5325" s="21">
        <f>_xll.qlCalendarAdvance(calendar,AK5324,"1D")</f>
        <v>50143</v>
      </c>
      <c r="AL5325" s="21">
        <f>_xll.qlInterestRateIndexValueDate(hiborindex,AK5325)</f>
        <v>50145</v>
      </c>
      <c r="AM5325" s="23">
        <f>_xll.qlIndexFixing(hiborindex,AK5325)</f>
        <v>9.5403419704025005E-3</v>
      </c>
    </row>
    <row r="5326" spans="37:39" x14ac:dyDescent="0.25">
      <c r="AK5326" s="21">
        <f>_xll.qlCalendarAdvance(calendar,AK5325,"1D")</f>
        <v>50144</v>
      </c>
      <c r="AL5326" s="21">
        <f>_xll.qlInterestRateIndexValueDate(hiborindex,AK5326)</f>
        <v>50146</v>
      </c>
      <c r="AM5326" s="23">
        <f>_xll.qlIndexFixing(hiborindex,AK5326)</f>
        <v>9.5374784371331997E-3</v>
      </c>
    </row>
    <row r="5327" spans="37:39" x14ac:dyDescent="0.25">
      <c r="AK5327" s="21">
        <f>_xll.qlCalendarAdvance(calendar,AK5326,"1D")</f>
        <v>50145</v>
      </c>
      <c r="AL5327" s="21">
        <f>_xll.qlInterestRateIndexValueDate(hiborindex,AK5327)</f>
        <v>50147</v>
      </c>
      <c r="AM5327" s="23">
        <f>_xll.qlIndexFixing(hiborindex,AK5327)</f>
        <v>9.5326107427753694E-3</v>
      </c>
    </row>
    <row r="5328" spans="37:39" x14ac:dyDescent="0.25">
      <c r="AK5328" s="21">
        <f>_xll.qlCalendarAdvance(calendar,AK5327,"1D")</f>
        <v>50146</v>
      </c>
      <c r="AL5328" s="21">
        <f>_xll.qlInterestRateIndexValueDate(hiborindex,AK5328)</f>
        <v>50150</v>
      </c>
      <c r="AM5328" s="23">
        <f>_xll.qlIndexFixing(hiborindex,AK5328)</f>
        <v>9.5260159135641936E-3</v>
      </c>
    </row>
    <row r="5329" spans="37:39" x14ac:dyDescent="0.25">
      <c r="AK5329" s="21">
        <f>_xll.qlCalendarAdvance(calendar,AK5328,"1D")</f>
        <v>50147</v>
      </c>
      <c r="AL5329" s="21">
        <f>_xll.qlInterestRateIndexValueDate(hiborindex,AK5329)</f>
        <v>50151</v>
      </c>
      <c r="AM5329" s="23">
        <f>_xll.qlIndexFixing(hiborindex,AK5329)</f>
        <v>9.5231481850675571E-3</v>
      </c>
    </row>
    <row r="5330" spans="37:39" x14ac:dyDescent="0.25">
      <c r="AK5330" s="21">
        <f>_xll.qlCalendarAdvance(calendar,AK5329,"1D")</f>
        <v>50150</v>
      </c>
      <c r="AL5330" s="21">
        <f>_xll.qlInterestRateIndexValueDate(hiborindex,AK5330)</f>
        <v>50152</v>
      </c>
      <c r="AM5330" s="23">
        <f>_xll.qlIndexFixing(hiborindex,AK5330)</f>
        <v>9.5202796175362855E-3</v>
      </c>
    </row>
    <row r="5331" spans="37:39" x14ac:dyDescent="0.25">
      <c r="AK5331" s="21">
        <f>_xll.qlCalendarAdvance(calendar,AK5330,"1D")</f>
        <v>50151</v>
      </c>
      <c r="AL5331" s="21">
        <f>_xll.qlInterestRateIndexValueDate(hiborindex,AK5331)</f>
        <v>50153</v>
      </c>
      <c r="AM5331" s="23">
        <f>_xll.qlIndexFixing(hiborindex,AK5331)</f>
        <v>9.5174102109743131E-3</v>
      </c>
    </row>
    <row r="5332" spans="37:39" x14ac:dyDescent="0.25">
      <c r="AK5332" s="21">
        <f>_xll.qlCalendarAdvance(calendar,AK5331,"1D")</f>
        <v>50152</v>
      </c>
      <c r="AL5332" s="21">
        <f>_xll.qlInterestRateIndexValueDate(hiborindex,AK5332)</f>
        <v>50154</v>
      </c>
      <c r="AM5332" s="23">
        <f>_xll.qlIndexFixing(hiborindex,AK5332)</f>
        <v>9.512775892594463E-3</v>
      </c>
    </row>
    <row r="5333" spans="37:39" x14ac:dyDescent="0.25">
      <c r="AK5333" s="21">
        <f>_xll.qlCalendarAdvance(calendar,AK5332,"1D")</f>
        <v>50153</v>
      </c>
      <c r="AL5333" s="21">
        <f>_xll.qlInterestRateIndexValueDate(hiborindex,AK5333)</f>
        <v>50157</v>
      </c>
      <c r="AM5333" s="23">
        <f>_xll.qlIndexFixing(hiborindex,AK5333)</f>
        <v>9.5059241944919007E-3</v>
      </c>
    </row>
    <row r="5334" spans="37:39" x14ac:dyDescent="0.25">
      <c r="AK5334" s="21">
        <f>_xll.qlCalendarAdvance(calendar,AK5333,"1D")</f>
        <v>50154</v>
      </c>
      <c r="AL5334" s="21">
        <f>_xll.qlInterestRateIndexValueDate(hiborindex,AK5334)</f>
        <v>50158</v>
      </c>
      <c r="AM5334" s="23">
        <f>_xll.qlIndexFixing(hiborindex,AK5334)</f>
        <v>9.503050592830577E-3</v>
      </c>
    </row>
    <row r="5335" spans="37:39" x14ac:dyDescent="0.25">
      <c r="AK5335" s="21">
        <f>_xll.qlCalendarAdvance(calendar,AK5334,"1D")</f>
        <v>50157</v>
      </c>
      <c r="AL5335" s="21">
        <f>_xll.qlInterestRateIndexValueDate(hiborindex,AK5335)</f>
        <v>50159</v>
      </c>
      <c r="AM5335" s="23">
        <f>_xll.qlIndexFixing(hiborindex,AK5335)</f>
        <v>9.5001761521608281E-3</v>
      </c>
    </row>
    <row r="5336" spans="37:39" x14ac:dyDescent="0.25">
      <c r="AK5336" s="21">
        <f>_xll.qlCalendarAdvance(calendar,AK5335,"1D")</f>
        <v>50158</v>
      </c>
      <c r="AL5336" s="21">
        <f>_xll.qlInterestRateIndexValueDate(hiborindex,AK5336)</f>
        <v>50160</v>
      </c>
      <c r="AM5336" s="23">
        <f>_xll.qlIndexFixing(hiborindex,AK5336)</f>
        <v>9.4973008724857106E-3</v>
      </c>
    </row>
    <row r="5337" spans="37:39" x14ac:dyDescent="0.25">
      <c r="AK5337" s="21">
        <f>_xll.qlCalendarAdvance(calendar,AK5336,"1D")</f>
        <v>50159</v>
      </c>
      <c r="AL5337" s="21">
        <f>_xll.qlInterestRateIndexValueDate(hiborindex,AK5337)</f>
        <v>50164</v>
      </c>
      <c r="AM5337" s="23">
        <f>_xll.qlIndexFixing(hiborindex,AK5337)</f>
        <v>9.4850752477130314E-3</v>
      </c>
    </row>
    <row r="5338" spans="37:39" x14ac:dyDescent="0.25">
      <c r="AK5338" s="21">
        <f>_xll.qlCalendarAdvance(calendar,AK5337,"1D")</f>
        <v>50160</v>
      </c>
      <c r="AL5338" s="21">
        <f>_xll.qlInterestRateIndexValueDate(hiborindex,AK5338)</f>
        <v>50165</v>
      </c>
      <c r="AM5338" s="23">
        <f>_xll.qlIndexFixing(hiborindex,AK5338)</f>
        <v>9.4822130186023521E-3</v>
      </c>
    </row>
    <row r="5339" spans="37:39" x14ac:dyDescent="0.25">
      <c r="AK5339" s="21">
        <f>_xll.qlCalendarAdvance(calendar,AK5338,"1D")</f>
        <v>50164</v>
      </c>
      <c r="AL5339" s="21">
        <f>_xll.qlInterestRateIndexValueDate(hiborindex,AK5339)</f>
        <v>50166</v>
      </c>
      <c r="AM5339" s="23">
        <f>_xll.qlIndexFixing(hiborindex,AK5339)</f>
        <v>9.4793499550422065E-3</v>
      </c>
    </row>
    <row r="5340" spans="37:39" x14ac:dyDescent="0.25">
      <c r="AK5340" s="21">
        <f>_xll.qlCalendarAdvance(calendar,AK5339,"1D")</f>
        <v>50165</v>
      </c>
      <c r="AL5340" s="21">
        <f>_xll.qlInterestRateIndexValueDate(hiborindex,AK5340)</f>
        <v>50167</v>
      </c>
      <c r="AM5340" s="23">
        <f>_xll.qlIndexFixing(hiborindex,AK5340)</f>
        <v>9.4751876157116478E-3</v>
      </c>
    </row>
    <row r="5341" spans="37:39" x14ac:dyDescent="0.25">
      <c r="AK5341" s="21">
        <f>_xll.qlCalendarAdvance(calendar,AK5340,"1D")</f>
        <v>50166</v>
      </c>
      <c r="AL5341" s="21">
        <f>_xll.qlInterestRateIndexValueDate(hiborindex,AK5341)</f>
        <v>50168</v>
      </c>
      <c r="AM5341" s="23">
        <f>_xll.qlIndexFixing(hiborindex,AK5341)</f>
        <v>9.4729841826686877E-3</v>
      </c>
    </row>
    <row r="5342" spans="37:39" x14ac:dyDescent="0.25">
      <c r="AK5342" s="21">
        <f>_xll.qlCalendarAdvance(calendar,AK5341,"1D")</f>
        <v>50167</v>
      </c>
      <c r="AL5342" s="21">
        <f>_xll.qlInterestRateIndexValueDate(hiborindex,AK5342)</f>
        <v>50171</v>
      </c>
      <c r="AM5342" s="23">
        <f>_xll.qlIndexFixing(hiborindex,AK5342)</f>
        <v>9.4650221206211312E-3</v>
      </c>
    </row>
    <row r="5343" spans="37:39" x14ac:dyDescent="0.25">
      <c r="AK5343" s="21">
        <f>_xll.qlCalendarAdvance(calendar,AK5342,"1D")</f>
        <v>50168</v>
      </c>
      <c r="AL5343" s="21">
        <f>_xll.qlInterestRateIndexValueDate(hiborindex,AK5343)</f>
        <v>50172</v>
      </c>
      <c r="AM5343" s="23">
        <f>_xll.qlIndexFixing(hiborindex,AK5343)</f>
        <v>9.4621540504384784E-3</v>
      </c>
    </row>
    <row r="5344" spans="37:39" x14ac:dyDescent="0.25">
      <c r="AK5344" s="21">
        <f>_xll.qlCalendarAdvance(calendar,AK5343,"1D")</f>
        <v>50171</v>
      </c>
      <c r="AL5344" s="21">
        <f>_xll.qlInterestRateIndexValueDate(hiborindex,AK5344)</f>
        <v>50173</v>
      </c>
      <c r="AM5344" s="23">
        <f>_xll.qlIndexFixing(hiborindex,AK5344)</f>
        <v>9.4592851458319901E-3</v>
      </c>
    </row>
    <row r="5345" spans="37:39" x14ac:dyDescent="0.25">
      <c r="AK5345" s="21">
        <f>_xll.qlCalendarAdvance(calendar,AK5344,"1D")</f>
        <v>50172</v>
      </c>
      <c r="AL5345" s="21">
        <f>_xll.qlInterestRateIndexValueDate(hiborindex,AK5345)</f>
        <v>50174</v>
      </c>
      <c r="AM5345" s="23">
        <f>_xll.qlIndexFixing(hiborindex,AK5345)</f>
        <v>9.4553548851656309E-3</v>
      </c>
    </row>
    <row r="5346" spans="37:39" x14ac:dyDescent="0.25">
      <c r="AK5346" s="21">
        <f>_xll.qlCalendarAdvance(calendar,AK5345,"1D")</f>
        <v>50173</v>
      </c>
      <c r="AL5346" s="21">
        <f>_xll.qlInterestRateIndexValueDate(hiborindex,AK5346)</f>
        <v>50175</v>
      </c>
      <c r="AM5346" s="23">
        <f>_xll.qlIndexFixing(hiborindex,AK5346)</f>
        <v>9.4530273254147968E-3</v>
      </c>
    </row>
    <row r="5347" spans="37:39" x14ac:dyDescent="0.25">
      <c r="AK5347" s="21">
        <f>_xll.qlCalendarAdvance(calendar,AK5346,"1D")</f>
        <v>50174</v>
      </c>
      <c r="AL5347" s="21">
        <f>_xll.qlInterestRateIndexValueDate(hiborindex,AK5347)</f>
        <v>50178</v>
      </c>
      <c r="AM5347" s="23">
        <f>_xll.qlIndexFixing(hiborindex,AK5347)</f>
        <v>9.4449281065645471E-3</v>
      </c>
    </row>
    <row r="5348" spans="37:39" x14ac:dyDescent="0.25">
      <c r="AK5348" s="21">
        <f>_xll.qlCalendarAdvance(calendar,AK5347,"1D")</f>
        <v>50175</v>
      </c>
      <c r="AL5348" s="21">
        <f>_xll.qlInterestRateIndexValueDate(hiborindex,AK5348)</f>
        <v>50179</v>
      </c>
      <c r="AM5348" s="23">
        <f>_xll.qlIndexFixing(hiborindex,AK5348)</f>
        <v>9.4420541954897772E-3</v>
      </c>
    </row>
    <row r="5349" spans="37:39" x14ac:dyDescent="0.25">
      <c r="AK5349" s="21">
        <f>_xll.qlCalendarAdvance(calendar,AK5348,"1D")</f>
        <v>50178</v>
      </c>
      <c r="AL5349" s="21">
        <f>_xll.qlInterestRateIndexValueDate(hiborindex,AK5349)</f>
        <v>50180</v>
      </c>
      <c r="AM5349" s="23">
        <f>_xll.qlIndexFixing(hiborindex,AK5349)</f>
        <v>9.4391794500168023E-3</v>
      </c>
    </row>
    <row r="5350" spans="37:39" x14ac:dyDescent="0.25">
      <c r="AK5350" s="21">
        <f>_xll.qlCalendarAdvance(calendar,AK5349,"1D")</f>
        <v>50179</v>
      </c>
      <c r="AL5350" s="21">
        <f>_xll.qlInterestRateIndexValueDate(hiborindex,AK5350)</f>
        <v>50181</v>
      </c>
      <c r="AM5350" s="23">
        <f>_xll.qlIndexFixing(hiborindex,AK5350)</f>
        <v>9.4354817052673609E-3</v>
      </c>
    </row>
    <row r="5351" spans="37:39" x14ac:dyDescent="0.25">
      <c r="AK5351" s="21">
        <f>_xll.qlCalendarAdvance(calendar,AK5350,"1D")</f>
        <v>50180</v>
      </c>
      <c r="AL5351" s="21">
        <f>_xll.qlInterestRateIndexValueDate(hiborindex,AK5351)</f>
        <v>50182</v>
      </c>
      <c r="AM5351" s="23">
        <f>_xll.qlIndexFixing(hiborindex,AK5351)</f>
        <v>9.433029801631734E-3</v>
      </c>
    </row>
    <row r="5352" spans="37:39" x14ac:dyDescent="0.25">
      <c r="AK5352" s="21">
        <f>_xll.qlCalendarAdvance(calendar,AK5351,"1D")</f>
        <v>50181</v>
      </c>
      <c r="AL5352" s="21">
        <f>_xll.qlInterestRateIndexValueDate(hiborindex,AK5352)</f>
        <v>50185</v>
      </c>
      <c r="AM5352" s="23">
        <f>_xll.qlIndexFixing(hiborindex,AK5352)</f>
        <v>9.4247932068009695E-3</v>
      </c>
    </row>
    <row r="5353" spans="37:39" x14ac:dyDescent="0.25">
      <c r="AK5353" s="21">
        <f>_xll.qlCalendarAdvance(calendar,AK5352,"1D")</f>
        <v>50182</v>
      </c>
      <c r="AL5353" s="21">
        <f>_xll.qlInterestRateIndexValueDate(hiborindex,AK5353)</f>
        <v>50186</v>
      </c>
      <c r="AM5353" s="23">
        <f>_xll.qlIndexFixing(hiborindex,AK5353)</f>
        <v>9.4219134550143722E-3</v>
      </c>
    </row>
    <row r="5354" spans="37:39" x14ac:dyDescent="0.25">
      <c r="AK5354" s="21">
        <f>_xll.qlCalendarAdvance(calendar,AK5353,"1D")</f>
        <v>50185</v>
      </c>
      <c r="AL5354" s="21">
        <f>_xll.qlInterestRateIndexValueDate(hiborindex,AK5354)</f>
        <v>50187</v>
      </c>
      <c r="AM5354" s="23">
        <f>_xll.qlIndexFixing(hiborindex,AK5354)</f>
        <v>9.4190328688538993E-3</v>
      </c>
    </row>
    <row r="5355" spans="37:39" x14ac:dyDescent="0.25">
      <c r="AK5355" s="21">
        <f>_xll.qlCalendarAdvance(calendar,AK5354,"1D")</f>
        <v>50186</v>
      </c>
      <c r="AL5355" s="21">
        <f>_xll.qlInterestRateIndexValueDate(hiborindex,AK5355)</f>
        <v>50188</v>
      </c>
      <c r="AM5355" s="23">
        <f>_xll.qlIndexFixing(hiborindex,AK5355)</f>
        <v>9.4155680772622912E-3</v>
      </c>
    </row>
    <row r="5356" spans="37:39" x14ac:dyDescent="0.25">
      <c r="AK5356" s="21">
        <f>_xll.qlCalendarAdvance(calendar,AK5355,"1D")</f>
        <v>50187</v>
      </c>
      <c r="AL5356" s="21">
        <f>_xll.qlInterestRateIndexValueDate(hiborindex,AK5356)</f>
        <v>50189</v>
      </c>
      <c r="AM5356" s="23">
        <f>_xll.qlIndexFixing(hiborindex,AK5356)</f>
        <v>9.4129916125716886E-3</v>
      </c>
    </row>
    <row r="5357" spans="37:39" x14ac:dyDescent="0.25">
      <c r="AK5357" s="21">
        <f>_xll.qlCalendarAdvance(calendar,AK5356,"1D")</f>
        <v>50188</v>
      </c>
      <c r="AL5357" s="21">
        <f>_xll.qlInterestRateIndexValueDate(hiborindex,AK5357)</f>
        <v>50192</v>
      </c>
      <c r="AM5357" s="23">
        <f>_xll.qlIndexFixing(hiborindex,AK5357)</f>
        <v>9.4048489502170807E-3</v>
      </c>
    </row>
    <row r="5358" spans="37:39" x14ac:dyDescent="0.25">
      <c r="AK5358" s="21">
        <f>_xll.qlCalendarAdvance(calendar,AK5357,"1D")</f>
        <v>50189</v>
      </c>
      <c r="AL5358" s="21">
        <f>_xll.qlInterestRateIndexValueDate(hiborindex,AK5358)</f>
        <v>50193</v>
      </c>
      <c r="AM5358" s="23">
        <f>_xll.qlIndexFixing(hiborindex,AK5358)</f>
        <v>9.4019459854401029E-3</v>
      </c>
    </row>
    <row r="5359" spans="37:39" x14ac:dyDescent="0.25">
      <c r="AK5359" s="21">
        <f>_xll.qlCalendarAdvance(calendar,AK5358,"1D")</f>
        <v>50192</v>
      </c>
      <c r="AL5359" s="21">
        <f>_xll.qlInterestRateIndexValueDate(hiborindex,AK5359)</f>
        <v>50194</v>
      </c>
      <c r="AM5359" s="23">
        <f>_xll.qlIndexFixing(hiborindex,AK5359)</f>
        <v>9.3990421817839939E-3</v>
      </c>
    </row>
    <row r="5360" spans="37:39" x14ac:dyDescent="0.25">
      <c r="AK5360" s="21">
        <f>_xll.qlCalendarAdvance(calendar,AK5359,"1D")</f>
        <v>50193</v>
      </c>
      <c r="AL5360" s="21">
        <f>_xll.qlInterestRateIndexValueDate(hiborindex,AK5360)</f>
        <v>50195</v>
      </c>
      <c r="AM5360" s="23">
        <f>_xll.qlIndexFixing(hiborindex,AK5360)</f>
        <v>9.3961375392513768E-3</v>
      </c>
    </row>
    <row r="5361" spans="37:39" x14ac:dyDescent="0.25">
      <c r="AK5361" s="21">
        <f>_xll.qlCalendarAdvance(calendar,AK5360,"1D")</f>
        <v>50194</v>
      </c>
      <c r="AL5361" s="21">
        <f>_xll.qlInterestRateIndexValueDate(hiborindex,AK5361)</f>
        <v>50196</v>
      </c>
      <c r="AM5361" s="23">
        <f>_xll.qlIndexFixing(hiborindex,AK5361)</f>
        <v>9.392912759488576E-3</v>
      </c>
    </row>
    <row r="5362" spans="37:39" x14ac:dyDescent="0.25">
      <c r="AK5362" s="21">
        <f>_xll.qlCalendarAdvance(calendar,AK5361,"1D")</f>
        <v>50195</v>
      </c>
      <c r="AL5362" s="21">
        <f>_xll.qlInterestRateIndexValueDate(hiborindex,AK5362)</f>
        <v>50199</v>
      </c>
      <c r="AM5362" s="23">
        <f>_xll.qlIndexFixing(hiborindex,AK5362)</f>
        <v>9.3845105804374971E-3</v>
      </c>
    </row>
    <row r="5363" spans="37:39" x14ac:dyDescent="0.25">
      <c r="AK5363" s="21">
        <f>_xll.qlCalendarAdvance(calendar,AK5362,"1D")</f>
        <v>50196</v>
      </c>
      <c r="AL5363" s="21">
        <f>_xll.qlInterestRateIndexValueDate(hiborindex,AK5363)</f>
        <v>50200</v>
      </c>
      <c r="AM5363" s="23">
        <f>_xll.qlIndexFixing(hiborindex,AK5363)</f>
        <v>9.3816017435817394E-3</v>
      </c>
    </row>
    <row r="5364" spans="37:39" x14ac:dyDescent="0.25">
      <c r="AK5364" s="21">
        <f>_xll.qlCalendarAdvance(calendar,AK5363,"1D")</f>
        <v>50199</v>
      </c>
      <c r="AL5364" s="21">
        <f>_xll.qlInterestRateIndexValueDate(hiborindex,AK5364)</f>
        <v>50201</v>
      </c>
      <c r="AM5364" s="23">
        <f>_xll.qlIndexFixing(hiborindex,AK5364)</f>
        <v>9.3786920678721863E-3</v>
      </c>
    </row>
    <row r="5365" spans="37:39" x14ac:dyDescent="0.25">
      <c r="AK5365" s="21">
        <f>_xll.qlCalendarAdvance(calendar,AK5364,"1D")</f>
        <v>50200</v>
      </c>
      <c r="AL5365" s="21">
        <f>_xll.qlInterestRateIndexValueDate(hiborindex,AK5365)</f>
        <v>50202</v>
      </c>
      <c r="AM5365" s="23">
        <f>_xll.qlIndexFixing(hiborindex,AK5365)</f>
        <v>9.3757815533123331E-3</v>
      </c>
    </row>
    <row r="5366" spans="37:39" x14ac:dyDescent="0.25">
      <c r="AK5366" s="21">
        <f>_xll.qlCalendarAdvance(calendar,AK5365,"1D")</f>
        <v>50201</v>
      </c>
      <c r="AL5366" s="21">
        <f>_xll.qlInterestRateIndexValueDate(hiborindex,AK5366)</f>
        <v>50203</v>
      </c>
      <c r="AM5366" s="23">
        <f>_xll.qlIndexFixing(hiborindex,AK5366)</f>
        <v>9.3727932436397671E-3</v>
      </c>
    </row>
    <row r="5367" spans="37:39" x14ac:dyDescent="0.25">
      <c r="AK5367" s="21">
        <f>_xll.qlCalendarAdvance(calendar,AK5366,"1D")</f>
        <v>50202</v>
      </c>
      <c r="AL5367" s="21">
        <f>_xll.qlInterestRateIndexValueDate(hiborindex,AK5367)</f>
        <v>50206</v>
      </c>
      <c r="AM5367" s="23">
        <f>_xll.qlIndexFixing(hiborindex,AK5367)</f>
        <v>9.3641311066485367E-3</v>
      </c>
    </row>
    <row r="5368" spans="37:39" x14ac:dyDescent="0.25">
      <c r="AK5368" s="21">
        <f>_xll.qlCalendarAdvance(calendar,AK5367,"1D")</f>
        <v>50203</v>
      </c>
      <c r="AL5368" s="21">
        <f>_xll.qlInterestRateIndexValueDate(hiborindex,AK5368)</f>
        <v>50207</v>
      </c>
      <c r="AM5368" s="23">
        <f>_xll.qlIndexFixing(hiborindex,AK5368)</f>
        <v>9.3612163978948389E-3</v>
      </c>
    </row>
    <row r="5369" spans="37:39" x14ac:dyDescent="0.25">
      <c r="AK5369" s="21">
        <f>_xll.qlCalendarAdvance(calendar,AK5368,"1D")</f>
        <v>50206</v>
      </c>
      <c r="AL5369" s="21">
        <f>_xll.qlInterestRateIndexValueDate(hiborindex,AK5369)</f>
        <v>50208</v>
      </c>
      <c r="AM5369" s="23">
        <f>_xll.qlIndexFixing(hiborindex,AK5369)</f>
        <v>9.358300850313991E-3</v>
      </c>
    </row>
    <row r="5370" spans="37:39" x14ac:dyDescent="0.25">
      <c r="AK5370" s="21">
        <f>_xll.qlCalendarAdvance(calendar,AK5369,"1D")</f>
        <v>50207</v>
      </c>
      <c r="AL5370" s="21">
        <f>_xll.qlInterestRateIndexValueDate(hiborindex,AK5370)</f>
        <v>50209</v>
      </c>
      <c r="AM5370" s="23">
        <f>_xll.qlIndexFixing(hiborindex,AK5370)</f>
        <v>9.3553844639090496E-3</v>
      </c>
    </row>
    <row r="5371" spans="37:39" x14ac:dyDescent="0.25">
      <c r="AK5371" s="21">
        <f>_xll.qlCalendarAdvance(calendar,AK5370,"1D")</f>
        <v>50208</v>
      </c>
      <c r="AL5371" s="21">
        <f>_xll.qlInterestRateIndexValueDate(hiborindex,AK5371)</f>
        <v>50210</v>
      </c>
      <c r="AM5371" s="23">
        <f>_xll.qlIndexFixing(hiborindex,AK5371)</f>
        <v>9.352633066284366E-3</v>
      </c>
    </row>
    <row r="5372" spans="37:39" x14ac:dyDescent="0.25">
      <c r="AK5372" s="21">
        <f>_xll.qlCalendarAdvance(calendar,AK5371,"1D")</f>
        <v>50209</v>
      </c>
      <c r="AL5372" s="21">
        <f>_xll.qlInterestRateIndexValueDate(hiborindex,AK5372)</f>
        <v>50213</v>
      </c>
      <c r="AM5372" s="23">
        <f>_xll.qlIndexFixing(hiborindex,AK5372)</f>
        <v>9.3437105301248102E-3</v>
      </c>
    </row>
    <row r="5373" spans="37:39" x14ac:dyDescent="0.25">
      <c r="AK5373" s="21">
        <f>_xll.qlCalendarAdvance(calendar,AK5372,"1D")</f>
        <v>50210</v>
      </c>
      <c r="AL5373" s="21">
        <f>_xll.qlInterestRateIndexValueDate(hiborindex,AK5373)</f>
        <v>50214</v>
      </c>
      <c r="AM5373" s="23">
        <f>_xll.qlIndexFixing(hiborindex,AK5373)</f>
        <v>9.3407899496566298E-3</v>
      </c>
    </row>
    <row r="5374" spans="37:39" x14ac:dyDescent="0.25">
      <c r="AK5374" s="21">
        <f>_xll.qlCalendarAdvance(calendar,AK5373,"1D")</f>
        <v>50213</v>
      </c>
      <c r="AL5374" s="21">
        <f>_xll.qlInterestRateIndexValueDate(hiborindex,AK5374)</f>
        <v>50215</v>
      </c>
      <c r="AM5374" s="23">
        <f>_xll.qlIndexFixing(hiborindex,AK5374)</f>
        <v>9.3378685303866366E-3</v>
      </c>
    </row>
    <row r="5375" spans="37:39" x14ac:dyDescent="0.25">
      <c r="AK5375" s="21">
        <f>_xll.qlCalendarAdvance(calendar,AK5374,"1D")</f>
        <v>50214</v>
      </c>
      <c r="AL5375" s="21">
        <f>_xll.qlInterestRateIndexValueDate(hiborindex,AK5375)</f>
        <v>50216</v>
      </c>
      <c r="AM5375" s="23">
        <f>_xll.qlIndexFixing(hiborindex,AK5375)</f>
        <v>9.3355091091286823E-3</v>
      </c>
    </row>
    <row r="5376" spans="37:39" x14ac:dyDescent="0.25">
      <c r="AK5376" s="21">
        <f>_xll.qlCalendarAdvance(calendar,AK5375,"1D")</f>
        <v>50215</v>
      </c>
      <c r="AL5376" s="21">
        <f>_xll.qlInterestRateIndexValueDate(hiborindex,AK5376)</f>
        <v>50217</v>
      </c>
      <c r="AM5376" s="23">
        <f>_xll.qlIndexFixing(hiborindex,AK5376)</f>
        <v>9.3324322286844948E-3</v>
      </c>
    </row>
    <row r="5377" spans="37:39" x14ac:dyDescent="0.25">
      <c r="AK5377" s="21">
        <f>_xll.qlCalendarAdvance(calendar,AK5376,"1D")</f>
        <v>50216</v>
      </c>
      <c r="AL5377" s="21">
        <f>_xll.qlInterestRateIndexValueDate(hiborindex,AK5377)</f>
        <v>50220</v>
      </c>
      <c r="AM5377" s="23">
        <f>_xll.qlIndexFixing(hiborindex,AK5377)</f>
        <v>9.3232488521457282E-3</v>
      </c>
    </row>
    <row r="5378" spans="37:39" x14ac:dyDescent="0.25">
      <c r="AK5378" s="21">
        <f>_xll.qlCalendarAdvance(calendar,AK5377,"1D")</f>
        <v>50217</v>
      </c>
      <c r="AL5378" s="21">
        <f>_xll.qlInterestRateIndexValueDate(hiborindex,AK5378)</f>
        <v>50221</v>
      </c>
      <c r="AM5378" s="23">
        <f>_xll.qlIndexFixing(hiborindex,AK5378)</f>
        <v>9.3205965139496905E-3</v>
      </c>
    </row>
    <row r="5379" spans="37:39" x14ac:dyDescent="0.25">
      <c r="AK5379" s="21">
        <f>_xll.qlCalendarAdvance(calendar,AK5378,"1D")</f>
        <v>50220</v>
      </c>
      <c r="AL5379" s="21">
        <f>_xll.qlInterestRateIndexValueDate(hiborindex,AK5379)</f>
        <v>50222</v>
      </c>
      <c r="AM5379" s="23">
        <f>_xll.qlIndexFixing(hiborindex,AK5379)</f>
        <v>9.3217262440158533E-3</v>
      </c>
    </row>
    <row r="5380" spans="37:39" x14ac:dyDescent="0.25">
      <c r="AK5380" s="21">
        <f>_xll.qlCalendarAdvance(calendar,AK5379,"1D")</f>
        <v>50221</v>
      </c>
      <c r="AL5380" s="21">
        <f>_xll.qlInterestRateIndexValueDate(hiborindex,AK5380)</f>
        <v>50223</v>
      </c>
      <c r="AM5380" s="23">
        <f>_xll.qlIndexFixing(hiborindex,AK5380)</f>
        <v>9.3217594127596847E-3</v>
      </c>
    </row>
    <row r="5381" spans="37:39" x14ac:dyDescent="0.25">
      <c r="AK5381" s="21">
        <f>_xll.qlCalendarAdvance(calendar,AK5380,"1D")</f>
        <v>50222</v>
      </c>
      <c r="AL5381" s="21">
        <f>_xll.qlInterestRateIndexValueDate(hiborindex,AK5381)</f>
        <v>50224</v>
      </c>
      <c r="AM5381" s="23">
        <f>_xll.qlIndexFixing(hiborindex,AK5381)</f>
        <v>9.3217925756525887E-3</v>
      </c>
    </row>
    <row r="5382" spans="37:39" x14ac:dyDescent="0.25">
      <c r="AK5382" s="21">
        <f>_xll.qlCalendarAdvance(calendar,AK5381,"1D")</f>
        <v>50223</v>
      </c>
      <c r="AL5382" s="21">
        <f>_xll.qlInterestRateIndexValueDate(hiborindex,AK5382)</f>
        <v>50227</v>
      </c>
      <c r="AM5382" s="23">
        <f>_xll.qlIndexFixing(hiborindex,AK5382)</f>
        <v>9.3224403423561673E-3</v>
      </c>
    </row>
    <row r="5383" spans="37:39" x14ac:dyDescent="0.25">
      <c r="AK5383" s="21">
        <f>_xll.qlCalendarAdvance(calendar,AK5382,"1D")</f>
        <v>50224</v>
      </c>
      <c r="AL5383" s="21">
        <f>_xll.qlInterestRateIndexValueDate(hiborindex,AK5383)</f>
        <v>50228</v>
      </c>
      <c r="AM5383" s="23">
        <f>_xll.qlIndexFixing(hiborindex,AK5383)</f>
        <v>9.322747647258562E-3</v>
      </c>
    </row>
    <row r="5384" spans="37:39" x14ac:dyDescent="0.25">
      <c r="AK5384" s="21">
        <f>_xll.qlCalendarAdvance(calendar,AK5383,"1D")</f>
        <v>50227</v>
      </c>
      <c r="AL5384" s="21">
        <f>_xll.qlInterestRateIndexValueDate(hiborindex,AK5384)</f>
        <v>50229</v>
      </c>
      <c r="AM5384" s="23">
        <f>_xll.qlIndexFixing(hiborindex,AK5384)</f>
        <v>9.3230549522091786E-3</v>
      </c>
    </row>
    <row r="5385" spans="37:39" x14ac:dyDescent="0.25">
      <c r="AK5385" s="21">
        <f>_xll.qlCalendarAdvance(calendar,AK5384,"1D")</f>
        <v>50228</v>
      </c>
      <c r="AL5385" s="21">
        <f>_xll.qlInterestRateIndexValueDate(hiborindex,AK5385)</f>
        <v>50230</v>
      </c>
      <c r="AM5385" s="23">
        <f>_xll.qlIndexFixing(hiborindex,AK5385)</f>
        <v>9.3239106582274703E-3</v>
      </c>
    </row>
    <row r="5386" spans="37:39" x14ac:dyDescent="0.25">
      <c r="AK5386" s="21">
        <f>_xll.qlCalendarAdvance(calendar,AK5385,"1D")</f>
        <v>50229</v>
      </c>
      <c r="AL5386" s="21">
        <f>_xll.qlInterestRateIndexValueDate(hiborindex,AK5386)</f>
        <v>50231</v>
      </c>
      <c r="AM5386" s="23">
        <f>_xll.qlIndexFixing(hiborindex,AK5386)</f>
        <v>9.3239437657137002E-3</v>
      </c>
    </row>
    <row r="5387" spans="37:39" x14ac:dyDescent="0.25">
      <c r="AK5387" s="21">
        <f>_xll.qlCalendarAdvance(calendar,AK5386,"1D")</f>
        <v>50230</v>
      </c>
      <c r="AL5387" s="21">
        <f>_xll.qlInterestRateIndexValueDate(hiborindex,AK5387)</f>
        <v>50234</v>
      </c>
      <c r="AM5387" s="23">
        <f>_xll.qlIndexFixing(hiborindex,AK5387)</f>
        <v>9.3245914776825568E-3</v>
      </c>
    </row>
    <row r="5388" spans="37:39" x14ac:dyDescent="0.25">
      <c r="AK5388" s="21">
        <f>_xll.qlCalendarAdvance(calendar,AK5387,"1D")</f>
        <v>50231</v>
      </c>
      <c r="AL5388" s="21">
        <f>_xll.qlInterestRateIndexValueDate(hiborindex,AK5388)</f>
        <v>50235</v>
      </c>
      <c r="AM5388" s="23">
        <f>_xll.qlIndexFixing(hiborindex,AK5388)</f>
        <v>9.3248987829212034E-3</v>
      </c>
    </row>
    <row r="5389" spans="37:39" x14ac:dyDescent="0.25">
      <c r="AK5389" s="21">
        <f>_xll.qlCalendarAdvance(calendar,AK5388,"1D")</f>
        <v>50234</v>
      </c>
      <c r="AL5389" s="21">
        <f>_xll.qlInterestRateIndexValueDate(hiborindex,AK5389)</f>
        <v>50236</v>
      </c>
      <c r="AM5389" s="23">
        <f>_xll.qlIndexFixing(hiborindex,AK5389)</f>
        <v>9.3252060882080736E-3</v>
      </c>
    </row>
    <row r="5390" spans="37:39" x14ac:dyDescent="0.25">
      <c r="AK5390" s="21">
        <f>_xll.qlCalendarAdvance(calendar,AK5389,"1D")</f>
        <v>50235</v>
      </c>
      <c r="AL5390" s="21">
        <f>_xll.qlInterestRateIndexValueDate(hiborindex,AK5390)</f>
        <v>50237</v>
      </c>
      <c r="AM5390" s="23">
        <f>_xll.qlIndexFixing(hiborindex,AK5390)</f>
        <v>9.3260619060744256E-3</v>
      </c>
    </row>
    <row r="5391" spans="37:39" x14ac:dyDescent="0.25">
      <c r="AK5391" s="21">
        <f>_xll.qlCalendarAdvance(calendar,AK5390,"1D")</f>
        <v>50236</v>
      </c>
      <c r="AL5391" s="21">
        <f>_xll.qlInterestRateIndexValueDate(hiborindex,AK5391)</f>
        <v>50238</v>
      </c>
      <c r="AM5391" s="23">
        <f>_xll.qlIndexFixing(hiborindex,AK5391)</f>
        <v>9.326094958141351E-3</v>
      </c>
    </row>
    <row r="5392" spans="37:39" x14ac:dyDescent="0.25">
      <c r="AK5392" s="21">
        <f>_xll.qlCalendarAdvance(calendar,AK5391,"1D")</f>
        <v>50237</v>
      </c>
      <c r="AL5392" s="21">
        <f>_xll.qlInterestRateIndexValueDate(hiborindex,AK5392)</f>
        <v>50241</v>
      </c>
      <c r="AM5392" s="23">
        <f>_xll.qlIndexFixing(hiborindex,AK5392)</f>
        <v>9.3267426153622809E-3</v>
      </c>
    </row>
    <row r="5393" spans="37:39" x14ac:dyDescent="0.25">
      <c r="AK5393" s="21">
        <f>_xll.qlCalendarAdvance(calendar,AK5392,"1D")</f>
        <v>50238</v>
      </c>
      <c r="AL5393" s="21">
        <f>_xll.qlInterestRateIndexValueDate(hiborindex,AK5393)</f>
        <v>50242</v>
      </c>
      <c r="AM5393" s="23">
        <f>_xll.qlIndexFixing(hiborindex,AK5393)</f>
        <v>9.3270499209376148E-3</v>
      </c>
    </row>
    <row r="5394" spans="37:39" x14ac:dyDescent="0.25">
      <c r="AK5394" s="21">
        <f>_xll.qlCalendarAdvance(calendar,AK5393,"1D")</f>
        <v>50241</v>
      </c>
      <c r="AL5394" s="21">
        <f>_xll.qlInterestRateIndexValueDate(hiborindex,AK5394)</f>
        <v>50243</v>
      </c>
      <c r="AM5394" s="23">
        <f>_xll.qlIndexFixing(hiborindex,AK5394)</f>
        <v>9.3273572265607368E-3</v>
      </c>
    </row>
    <row r="5395" spans="37:39" x14ac:dyDescent="0.25">
      <c r="AK5395" s="21">
        <f>_xll.qlCalendarAdvance(calendar,AK5394,"1D")</f>
        <v>50242</v>
      </c>
      <c r="AL5395" s="21">
        <f>_xll.qlInterestRateIndexValueDate(hiborindex,AK5395)</f>
        <v>50244</v>
      </c>
      <c r="AM5395" s="23">
        <f>_xll.qlIndexFixing(hiborindex,AK5395)</f>
        <v>9.3282131563014146E-3</v>
      </c>
    </row>
    <row r="5396" spans="37:39" x14ac:dyDescent="0.25">
      <c r="AK5396" s="21">
        <f>_xll.qlCalendarAdvance(calendar,AK5395,"1D")</f>
        <v>50243</v>
      </c>
      <c r="AL5396" s="21">
        <f>_xll.qlInterestRateIndexValueDate(hiborindex,AK5396)</f>
        <v>50245</v>
      </c>
      <c r="AM5396" s="23">
        <f>_xll.qlIndexFixing(hiborindex,AK5396)</f>
        <v>9.3282461529355393E-3</v>
      </c>
    </row>
    <row r="5397" spans="37:39" x14ac:dyDescent="0.25">
      <c r="AK5397" s="21">
        <f>_xll.qlCalendarAdvance(calendar,AK5396,"1D")</f>
        <v>50244</v>
      </c>
      <c r="AL5397" s="21">
        <f>_xll.qlInterestRateIndexValueDate(hiborindex,AK5397)</f>
        <v>50248</v>
      </c>
      <c r="AM5397" s="23">
        <f>_xll.qlIndexFixing(hiborindex,AK5397)</f>
        <v>9.3288937553966424E-3</v>
      </c>
    </row>
    <row r="5398" spans="37:39" x14ac:dyDescent="0.25">
      <c r="AK5398" s="21">
        <f>_xll.qlCalendarAdvance(calendar,AK5397,"1D")</f>
        <v>50245</v>
      </c>
      <c r="AL5398" s="21">
        <f>_xll.qlInterestRateIndexValueDate(hiborindex,AK5398)</f>
        <v>50249</v>
      </c>
      <c r="AM5398" s="23">
        <f>_xll.qlIndexFixing(hiborindex,AK5398)</f>
        <v>9.3292010613082298E-3</v>
      </c>
    </row>
    <row r="5399" spans="37:39" x14ac:dyDescent="0.25">
      <c r="AK5399" s="21">
        <f>_xll.qlCalendarAdvance(calendar,AK5398,"1D")</f>
        <v>50248</v>
      </c>
      <c r="AL5399" s="21">
        <f>_xll.qlInterestRateIndexValueDate(hiborindex,AK5399)</f>
        <v>50250</v>
      </c>
      <c r="AM5399" s="23">
        <f>_xll.qlIndexFixing(hiborindex,AK5399)</f>
        <v>9.3295083672676037E-3</v>
      </c>
    </row>
    <row r="5400" spans="37:39" x14ac:dyDescent="0.25">
      <c r="AK5400" s="21">
        <f>_xll.qlCalendarAdvance(calendar,AK5399,"1D")</f>
        <v>50249</v>
      </c>
      <c r="AL5400" s="21">
        <f>_xll.qlInterestRateIndexValueDate(hiborindex,AK5400)</f>
        <v>50251</v>
      </c>
      <c r="AM5400" s="23">
        <f>_xll.qlIndexFixing(hiborindex,AK5400)</f>
        <v>9.3295413205167887E-3</v>
      </c>
    </row>
    <row r="5401" spans="37:39" x14ac:dyDescent="0.25">
      <c r="AK5401" s="21">
        <f>_xll.qlCalendarAdvance(calendar,AK5400,"1D")</f>
        <v>50250</v>
      </c>
      <c r="AL5401" s="21">
        <f>_xll.qlInterestRateIndexValueDate(hiborindex,AK5401)</f>
        <v>50252</v>
      </c>
      <c r="AM5401" s="23">
        <f>_xll.qlIndexFixing(hiborindex,AK5401)</f>
        <v>9.3295742679136099E-3</v>
      </c>
    </row>
    <row r="5402" spans="37:39" x14ac:dyDescent="0.25">
      <c r="AK5402" s="21">
        <f>_xll.qlCalendarAdvance(calendar,AK5401,"1D")</f>
        <v>50251</v>
      </c>
      <c r="AL5402" s="21">
        <f>_xll.qlInterestRateIndexValueDate(hiborindex,AK5402)</f>
        <v>50255</v>
      </c>
      <c r="AM5402" s="23">
        <f>_xll.qlIndexFixing(hiborindex,AK5402)</f>
        <v>9.3310448977847738E-3</v>
      </c>
    </row>
    <row r="5403" spans="37:39" x14ac:dyDescent="0.25">
      <c r="AK5403" s="21">
        <f>_xll.qlCalendarAdvance(calendar,AK5402,"1D")</f>
        <v>50252</v>
      </c>
      <c r="AL5403" s="21">
        <f>_xll.qlInterestRateIndexValueDate(hiborindex,AK5403)</f>
        <v>50256</v>
      </c>
      <c r="AM5403" s="23">
        <f>_xll.qlIndexFixing(hiborindex,AK5403)</f>
        <v>9.3313522040326131E-3</v>
      </c>
    </row>
    <row r="5404" spans="37:39" x14ac:dyDescent="0.25">
      <c r="AK5404" s="21">
        <f>_xll.qlCalendarAdvance(calendar,AK5403,"1D")</f>
        <v>50255</v>
      </c>
      <c r="AL5404" s="21">
        <f>_xll.qlInterestRateIndexValueDate(hiborindex,AK5404)</f>
        <v>50257</v>
      </c>
      <c r="AM5404" s="23">
        <f>_xll.qlIndexFixing(hiborindex,AK5404)</f>
        <v>9.3316595103282406E-3</v>
      </c>
    </row>
    <row r="5405" spans="37:39" x14ac:dyDescent="0.25">
      <c r="AK5405" s="21">
        <f>_xll.qlCalendarAdvance(calendar,AK5404,"1D")</f>
        <v>50256</v>
      </c>
      <c r="AL5405" s="21">
        <f>_xll.qlInterestRateIndexValueDate(hiborindex,AK5405)</f>
        <v>50258</v>
      </c>
      <c r="AM5405" s="23">
        <f>_xll.qlIndexFixing(hiborindex,AK5405)</f>
        <v>9.3325156638941961E-3</v>
      </c>
    </row>
    <row r="5406" spans="37:39" x14ac:dyDescent="0.25">
      <c r="AK5406" s="21">
        <f>_xll.qlCalendarAdvance(calendar,AK5405,"1D")</f>
        <v>50257</v>
      </c>
      <c r="AL5406" s="21">
        <f>_xll.qlInterestRateIndexValueDate(hiborindex,AK5406)</f>
        <v>50259</v>
      </c>
      <c r="AM5406" s="23">
        <f>_xll.qlIndexFixing(hiborindex,AK5406)</f>
        <v>9.332548549624833E-3</v>
      </c>
    </row>
    <row r="5407" spans="37:39" x14ac:dyDescent="0.25">
      <c r="AK5407" s="21">
        <f>_xll.qlCalendarAdvance(calendar,AK5406,"1D")</f>
        <v>50258</v>
      </c>
      <c r="AL5407" s="21">
        <f>_xll.qlInterestRateIndexValueDate(hiborindex,AK5407)</f>
        <v>50262</v>
      </c>
      <c r="AM5407" s="23">
        <f>_xll.qlIndexFixing(hiborindex,AK5407)</f>
        <v>9.3331960425266734E-3</v>
      </c>
    </row>
    <row r="5408" spans="37:39" x14ac:dyDescent="0.25">
      <c r="AK5408" s="21">
        <f>_xll.qlCalendarAdvance(calendar,AK5407,"1D")</f>
        <v>50259</v>
      </c>
      <c r="AL5408" s="21">
        <f>_xll.qlInterestRateIndexValueDate(hiborindex,AK5408)</f>
        <v>50263</v>
      </c>
      <c r="AM5408" s="23">
        <f>_xll.qlIndexFixing(hiborindex,AK5408)</f>
        <v>9.3335033491103326E-3</v>
      </c>
    </row>
    <row r="5409" spans="37:39" x14ac:dyDescent="0.25">
      <c r="AK5409" s="21">
        <f>_xll.qlCalendarAdvance(calendar,AK5408,"1D")</f>
        <v>50262</v>
      </c>
      <c r="AL5409" s="21">
        <f>_xll.qlInterestRateIndexValueDate(hiborindex,AK5409)</f>
        <v>50264</v>
      </c>
      <c r="AM5409" s="23">
        <f>_xll.qlIndexFixing(hiborindex,AK5409)</f>
        <v>9.3338106557426474E-3</v>
      </c>
    </row>
    <row r="5410" spans="37:39" x14ac:dyDescent="0.25">
      <c r="AK5410" s="21">
        <f>_xll.qlCalendarAdvance(calendar,AK5409,"1D")</f>
        <v>50263</v>
      </c>
      <c r="AL5410" s="21">
        <f>_xll.qlInterestRateIndexValueDate(hiborindex,AK5410)</f>
        <v>50265</v>
      </c>
      <c r="AM5410" s="23">
        <f>_xll.qlIndexFixing(hiborindex,AK5410)</f>
        <v>9.3346669212599903E-3</v>
      </c>
    </row>
    <row r="5411" spans="37:39" x14ac:dyDescent="0.25">
      <c r="AK5411" s="21">
        <f>_xll.qlCalendarAdvance(calendar,AK5410,"1D")</f>
        <v>50264</v>
      </c>
      <c r="AL5411" s="21">
        <f>_xll.qlInterestRateIndexValueDate(hiborindex,AK5411)</f>
        <v>50266</v>
      </c>
      <c r="AM5411" s="23">
        <f>_xll.qlIndexFixing(hiborindex,AK5411)</f>
        <v>9.3346997515195047E-3</v>
      </c>
    </row>
    <row r="5412" spans="37:39" x14ac:dyDescent="0.25">
      <c r="AK5412" s="21">
        <f>_xll.qlCalendarAdvance(calendar,AK5411,"1D")</f>
        <v>50265</v>
      </c>
      <c r="AL5412" s="21">
        <f>_xll.qlInterestRateIndexValueDate(hiborindex,AK5412)</f>
        <v>50269</v>
      </c>
      <c r="AM5412" s="23">
        <f>_xll.qlIndexFixing(hiborindex,AK5412)</f>
        <v>9.3353471896223447E-3</v>
      </c>
    </row>
    <row r="5413" spans="37:39" x14ac:dyDescent="0.25">
      <c r="AK5413" s="21">
        <f>_xll.qlCalendarAdvance(calendar,AK5412,"1D")</f>
        <v>50266</v>
      </c>
      <c r="AL5413" s="21">
        <f>_xll.qlInterestRateIndexValueDate(hiborindex,AK5413)</f>
        <v>50270</v>
      </c>
      <c r="AM5413" s="23">
        <f>_xll.qlIndexFixing(hiborindex,AK5413)</f>
        <v>9.3356544965426894E-3</v>
      </c>
    </row>
    <row r="5414" spans="37:39" x14ac:dyDescent="0.25">
      <c r="AK5414" s="21">
        <f>_xll.qlCalendarAdvance(calendar,AK5413,"1D")</f>
        <v>50269</v>
      </c>
      <c r="AL5414" s="21">
        <f>_xll.qlInterestRateIndexValueDate(hiborindex,AK5414)</f>
        <v>50271</v>
      </c>
      <c r="AM5414" s="23">
        <f>_xll.qlIndexFixing(hiborindex,AK5414)</f>
        <v>9.3359618035108224E-3</v>
      </c>
    </row>
    <row r="5415" spans="37:39" x14ac:dyDescent="0.25">
      <c r="AK5415" s="21">
        <f>_xll.qlCalendarAdvance(calendar,AK5414,"1D")</f>
        <v>50270</v>
      </c>
      <c r="AL5415" s="21">
        <f>_xll.qlInterestRateIndexValueDate(hiborindex,AK5415)</f>
        <v>50272</v>
      </c>
      <c r="AM5415" s="23">
        <f>_xll.qlIndexFixing(hiborindex,AK5415)</f>
        <v>9.3368181810053862E-3</v>
      </c>
    </row>
    <row r="5416" spans="37:39" x14ac:dyDescent="0.25">
      <c r="AK5416" s="21">
        <f>_xll.qlCalendarAdvance(calendar,AK5415,"1D")</f>
        <v>50271</v>
      </c>
      <c r="AL5416" s="21">
        <f>_xll.qlInterestRateIndexValueDate(hiborindex,AK5416)</f>
        <v>50273</v>
      </c>
      <c r="AM5416" s="23">
        <f>_xll.qlIndexFixing(hiborindex,AK5416)</f>
        <v>9.3368509557811494E-3</v>
      </c>
    </row>
    <row r="5417" spans="37:39" x14ac:dyDescent="0.25">
      <c r="AK5417" s="21">
        <f>_xll.qlCalendarAdvance(calendar,AK5416,"1D")</f>
        <v>50272</v>
      </c>
      <c r="AL5417" s="21">
        <f>_xll.qlInterestRateIndexValueDate(hiborindex,AK5417)</f>
        <v>50276</v>
      </c>
      <c r="AM5417" s="23">
        <f>_xll.qlIndexFixing(hiborindex,AK5417)</f>
        <v>9.3374983390722179E-3</v>
      </c>
    </row>
    <row r="5418" spans="37:39" x14ac:dyDescent="0.25">
      <c r="AK5418" s="21">
        <f>_xll.qlCalendarAdvance(calendar,AK5417,"1D")</f>
        <v>50273</v>
      </c>
      <c r="AL5418" s="21">
        <f>_xll.qlInterestRateIndexValueDate(hiborindex,AK5418)</f>
        <v>50277</v>
      </c>
      <c r="AM5418" s="23">
        <f>_xll.qlIndexFixing(hiborindex,AK5418)</f>
        <v>9.3378056463288162E-3</v>
      </c>
    </row>
    <row r="5419" spans="37:39" x14ac:dyDescent="0.25">
      <c r="AK5419" s="21">
        <f>_xll.qlCalendarAdvance(calendar,AK5418,"1D")</f>
        <v>50276</v>
      </c>
      <c r="AL5419" s="21">
        <f>_xll.qlInterestRateIndexValueDate(hiborindex,AK5419)</f>
        <v>50278</v>
      </c>
      <c r="AM5419" s="23">
        <f>_xll.qlIndexFixing(hiborindex,AK5419)</f>
        <v>9.3381129536327673E-3</v>
      </c>
    </row>
    <row r="5420" spans="37:39" x14ac:dyDescent="0.25">
      <c r="AK5420" s="21">
        <f>_xll.qlCalendarAdvance(calendar,AK5419,"1D")</f>
        <v>50277</v>
      </c>
      <c r="AL5420" s="21">
        <f>_xll.qlInterestRateIndexValueDate(hiborindex,AK5420)</f>
        <v>50279</v>
      </c>
      <c r="AM5420" s="23">
        <f>_xll.qlIndexFixing(hiborindex,AK5420)</f>
        <v>9.3381456849910404E-3</v>
      </c>
    </row>
    <row r="5421" spans="37:39" x14ac:dyDescent="0.25">
      <c r="AK5421" s="21">
        <f>_xll.qlCalendarAdvance(calendar,AK5420,"1D")</f>
        <v>50278</v>
      </c>
      <c r="AL5421" s="21">
        <f>_xll.qlInterestRateIndexValueDate(hiborindex,AK5421)</f>
        <v>50280</v>
      </c>
      <c r="AM5421" s="23">
        <f>_xll.qlIndexFixing(hiborindex,AK5421)</f>
        <v>9.3381784104953208E-3</v>
      </c>
    </row>
    <row r="5422" spans="37:39" x14ac:dyDescent="0.25">
      <c r="AK5422" s="21">
        <f>_xll.qlCalendarAdvance(calendar,AK5421,"1D")</f>
        <v>50279</v>
      </c>
      <c r="AL5422" s="21">
        <f>_xll.qlInterestRateIndexValueDate(hiborindex,AK5422)</f>
        <v>50283</v>
      </c>
      <c r="AM5422" s="23">
        <f>_xll.qlIndexFixing(hiborindex,AK5422)</f>
        <v>9.3382765518895718E-3</v>
      </c>
    </row>
    <row r="5423" spans="37:39" x14ac:dyDescent="0.25">
      <c r="AK5423" s="21">
        <f>_xll.qlCalendarAdvance(calendar,AK5422,"1D")</f>
        <v>50280</v>
      </c>
      <c r="AL5423" s="21">
        <f>_xll.qlInterestRateIndexValueDate(hiborindex,AK5423)</f>
        <v>50284</v>
      </c>
      <c r="AM5423" s="23">
        <f>_xll.qlIndexFixing(hiborindex,AK5423)</f>
        <v>9.3391329809893574E-3</v>
      </c>
    </row>
    <row r="5424" spans="37:39" x14ac:dyDescent="0.25">
      <c r="AK5424" s="21">
        <f>_xll.qlCalendarAdvance(calendar,AK5423,"1D")</f>
        <v>50283</v>
      </c>
      <c r="AL5424" s="21">
        <f>_xll.qlInterestRateIndexValueDate(hiborindex,AK5424)</f>
        <v>50285</v>
      </c>
      <c r="AM5424" s="23">
        <f>_xll.qlIndexFixing(hiborindex,AK5424)</f>
        <v>9.339440264697671E-3</v>
      </c>
    </row>
    <row r="5425" spans="37:39" x14ac:dyDescent="0.25">
      <c r="AK5425" s="21">
        <f>_xll.qlCalendarAdvance(calendar,AK5424,"1D")</f>
        <v>50284</v>
      </c>
      <c r="AL5425" s="21">
        <f>_xll.qlInterestRateIndexValueDate(hiborindex,AK5425)</f>
        <v>50286</v>
      </c>
      <c r="AM5425" s="23">
        <f>_xll.qlIndexFixing(hiborindex,AK5425)</f>
        <v>9.3397475484536807E-3</v>
      </c>
    </row>
    <row r="5426" spans="37:39" x14ac:dyDescent="0.25">
      <c r="AK5426" s="21">
        <f>_xll.qlCalendarAdvance(calendar,AK5425,"1D")</f>
        <v>50285</v>
      </c>
      <c r="AL5426" s="21">
        <f>_xll.qlInterestRateIndexValueDate(hiborindex,AK5426)</f>
        <v>50287</v>
      </c>
      <c r="AM5426" s="23">
        <f>_xll.qlIndexFixing(hiborindex,AK5426)</f>
        <v>9.3400548322565037E-3</v>
      </c>
    </row>
    <row r="5427" spans="37:39" x14ac:dyDescent="0.25">
      <c r="AK5427" s="21">
        <f>_xll.qlCalendarAdvance(calendar,AK5426,"1D")</f>
        <v>50286</v>
      </c>
      <c r="AL5427" s="21">
        <f>_xll.qlInterestRateIndexValueDate(hiborindex,AK5427)</f>
        <v>50290</v>
      </c>
      <c r="AM5427" s="23">
        <f>_xll.qlIndexFixing(hiborindex,AK5427)</f>
        <v>9.3412513275879724E-3</v>
      </c>
    </row>
    <row r="5428" spans="37:39" x14ac:dyDescent="0.25">
      <c r="AK5428" s="21">
        <f>_xll.qlCalendarAdvance(calendar,AK5427,"1D")</f>
        <v>50287</v>
      </c>
      <c r="AL5428" s="21">
        <f>_xll.qlInterestRateIndexValueDate(hiborindex,AK5428)</f>
        <v>50291</v>
      </c>
      <c r="AM5428" s="23">
        <f>_xll.qlIndexFixing(hiborindex,AK5428)</f>
        <v>9.3412839679416684E-3</v>
      </c>
    </row>
    <row r="5429" spans="37:39" x14ac:dyDescent="0.25">
      <c r="AK5429" s="21">
        <f>_xll.qlCalendarAdvance(calendar,AK5428,"1D")</f>
        <v>50290</v>
      </c>
      <c r="AL5429" s="21">
        <f>_xll.qlInterestRateIndexValueDate(hiborindex,AK5429)</f>
        <v>50292</v>
      </c>
      <c r="AM5429" s="23">
        <f>_xll.qlIndexFixing(hiborindex,AK5429)</f>
        <v>9.3415912519807676E-3</v>
      </c>
    </row>
    <row r="5430" spans="37:39" x14ac:dyDescent="0.25">
      <c r="AK5430" s="21">
        <f>_xll.qlCalendarAdvance(calendar,AK5429,"1D")</f>
        <v>50291</v>
      </c>
      <c r="AL5430" s="21">
        <f>_xll.qlInterestRateIndexValueDate(hiborindex,AK5430)</f>
        <v>50293</v>
      </c>
      <c r="AM5430" s="23">
        <f>_xll.qlIndexFixing(hiborindex,AK5430)</f>
        <v>9.3418985360675614E-3</v>
      </c>
    </row>
    <row r="5431" spans="37:39" x14ac:dyDescent="0.25">
      <c r="AK5431" s="21">
        <f>_xll.qlCalendarAdvance(calendar,AK5430,"1D")</f>
        <v>50292</v>
      </c>
      <c r="AL5431" s="21">
        <f>_xll.qlInterestRateIndexValueDate(hiborindex,AK5431)</f>
        <v>50294</v>
      </c>
      <c r="AM5431" s="23">
        <f>_xll.qlIndexFixing(hiborindex,AK5431)</f>
        <v>9.3422058202016107E-3</v>
      </c>
    </row>
    <row r="5432" spans="37:39" x14ac:dyDescent="0.25">
      <c r="AK5432" s="21">
        <f>_xll.qlCalendarAdvance(calendar,AK5431,"1D")</f>
        <v>50293</v>
      </c>
      <c r="AL5432" s="21">
        <f>_xll.qlInterestRateIndexValueDate(hiborindex,AK5432)</f>
        <v>50297</v>
      </c>
      <c r="AM5432" s="23">
        <f>_xll.qlIndexFixing(hiborindex,AK5432)</f>
        <v>9.3434023723799296E-3</v>
      </c>
    </row>
    <row r="5433" spans="37:39" x14ac:dyDescent="0.25">
      <c r="AK5433" s="21">
        <f>_xll.qlCalendarAdvance(calendar,AK5432,"1D")</f>
        <v>50294</v>
      </c>
      <c r="AL5433" s="21">
        <f>_xll.qlInterestRateIndexValueDate(hiborindex,AK5433)</f>
        <v>50298</v>
      </c>
      <c r="AM5433" s="23">
        <f>_xll.qlIndexFixing(hiborindex,AK5433)</f>
        <v>9.343434957209476E-3</v>
      </c>
    </row>
    <row r="5434" spans="37:39" x14ac:dyDescent="0.25">
      <c r="AK5434" s="21">
        <f>_xll.qlCalendarAdvance(calendar,AK5433,"1D")</f>
        <v>50297</v>
      </c>
      <c r="AL5434" s="21">
        <f>_xll.qlInterestRateIndexValueDate(hiborindex,AK5434)</f>
        <v>50299</v>
      </c>
      <c r="AM5434" s="23">
        <f>_xll.qlIndexFixing(hiborindex,AK5434)</f>
        <v>9.3437422415797999E-3</v>
      </c>
    </row>
    <row r="5435" spans="37:39" x14ac:dyDescent="0.25">
      <c r="AK5435" s="21">
        <f>_xll.qlCalendarAdvance(calendar,AK5434,"1D")</f>
        <v>50298</v>
      </c>
      <c r="AL5435" s="21">
        <f>_xll.qlInterestRateIndexValueDate(hiborindex,AK5435)</f>
        <v>50300</v>
      </c>
      <c r="AM5435" s="23">
        <f>_xll.qlIndexFixing(hiborindex,AK5435)</f>
        <v>9.3440495259973794E-3</v>
      </c>
    </row>
    <row r="5436" spans="37:39" x14ac:dyDescent="0.25">
      <c r="AK5436" s="21">
        <f>_xll.qlCalendarAdvance(calendar,AK5435,"1D")</f>
        <v>50299</v>
      </c>
      <c r="AL5436" s="21">
        <f>_xll.qlInterestRateIndexValueDate(hiborindex,AK5436)</f>
        <v>50301</v>
      </c>
      <c r="AM5436" s="23">
        <f>_xll.qlIndexFixing(hiborindex,AK5436)</f>
        <v>9.3443568104617722E-3</v>
      </c>
    </row>
    <row r="5437" spans="37:39" x14ac:dyDescent="0.25">
      <c r="AK5437" s="21">
        <f>_xll.qlCalendarAdvance(calendar,AK5436,"1D")</f>
        <v>50300</v>
      </c>
      <c r="AL5437" s="21">
        <f>_xll.qlInterestRateIndexValueDate(hiborindex,AK5437)</f>
        <v>50304</v>
      </c>
      <c r="AM5437" s="23">
        <f>_xll.qlIndexFixing(hiborindex,AK5437)</f>
        <v>9.3455534195001338E-3</v>
      </c>
    </row>
    <row r="5438" spans="37:39" x14ac:dyDescent="0.25">
      <c r="AK5438" s="21">
        <f>_xll.qlCalendarAdvance(calendar,AK5437,"1D")</f>
        <v>50301</v>
      </c>
      <c r="AL5438" s="21">
        <f>_xll.qlInterestRateIndexValueDate(hiborindex,AK5438)</f>
        <v>50305</v>
      </c>
      <c r="AM5438" s="23">
        <f>_xll.qlIndexFixing(hiborindex,AK5438)</f>
        <v>9.3455859487927787E-3</v>
      </c>
    </row>
    <row r="5439" spans="37:39" x14ac:dyDescent="0.25">
      <c r="AK5439" s="21">
        <f>_xll.qlCalendarAdvance(calendar,AK5438,"1D")</f>
        <v>50304</v>
      </c>
      <c r="AL5439" s="21">
        <f>_xll.qlInterestRateIndexValueDate(hiborindex,AK5439)</f>
        <v>50306</v>
      </c>
      <c r="AM5439" s="23">
        <f>_xll.qlIndexFixing(hiborindex,AK5439)</f>
        <v>9.345893233493446E-3</v>
      </c>
    </row>
    <row r="5440" spans="37:39" x14ac:dyDescent="0.25">
      <c r="AK5440" s="21">
        <f>_xll.qlCalendarAdvance(calendar,AK5439,"1D")</f>
        <v>50305</v>
      </c>
      <c r="AL5440" s="21">
        <f>_xll.qlInterestRateIndexValueDate(hiborindex,AK5440)</f>
        <v>50307</v>
      </c>
      <c r="AM5440" s="23">
        <f>_xll.qlIndexFixing(hiborindex,AK5440)</f>
        <v>9.3462005182418113E-3</v>
      </c>
    </row>
    <row r="5441" spans="37:39" x14ac:dyDescent="0.25">
      <c r="AK5441" s="21">
        <f>_xll.qlCalendarAdvance(calendar,AK5440,"1D")</f>
        <v>50306</v>
      </c>
      <c r="AL5441" s="21">
        <f>_xll.qlInterestRateIndexValueDate(hiborindex,AK5441)</f>
        <v>50308</v>
      </c>
      <c r="AM5441" s="23">
        <f>_xll.qlIndexFixing(hiborindex,AK5441)</f>
        <v>9.3465078030374304E-3</v>
      </c>
    </row>
    <row r="5442" spans="37:39" x14ac:dyDescent="0.25">
      <c r="AK5442" s="21">
        <f>_xll.qlCalendarAdvance(calendar,AK5441,"1D")</f>
        <v>50307</v>
      </c>
      <c r="AL5442" s="21">
        <f>_xll.qlInterestRateIndexValueDate(hiborindex,AK5442)</f>
        <v>50311</v>
      </c>
      <c r="AM5442" s="23">
        <f>_xll.qlIndexFixing(hiborindex,AK5442)</f>
        <v>9.3477044689485866E-3</v>
      </c>
    </row>
    <row r="5443" spans="37:39" x14ac:dyDescent="0.25">
      <c r="AK5443" s="21">
        <f>_xll.qlCalendarAdvance(calendar,AK5442,"1D")</f>
        <v>50308</v>
      </c>
      <c r="AL5443" s="21">
        <f>_xll.qlInterestRateIndexValueDate(hiborindex,AK5443)</f>
        <v>50312</v>
      </c>
      <c r="AM5443" s="23">
        <f>_xll.qlIndexFixing(hiborindex,AK5443)</f>
        <v>9.3477369426911358E-3</v>
      </c>
    </row>
    <row r="5444" spans="37:39" x14ac:dyDescent="0.25">
      <c r="AK5444" s="21">
        <f>_xll.qlCalendarAdvance(calendar,AK5443,"1D")</f>
        <v>50311</v>
      </c>
      <c r="AL5444" s="21">
        <f>_xll.qlInterestRateIndexValueDate(hiborindex,AK5444)</f>
        <v>50313</v>
      </c>
      <c r="AM5444" s="23">
        <f>_xll.qlIndexFixing(hiborindex,AK5444)</f>
        <v>9.3483190549328889E-3</v>
      </c>
    </row>
    <row r="5445" spans="37:39" x14ac:dyDescent="0.25">
      <c r="AK5445" s="21">
        <f>_xll.qlCalendarAdvance(calendar,AK5444,"1D")</f>
        <v>50312</v>
      </c>
      <c r="AL5445" s="21">
        <f>_xll.qlInterestRateIndexValueDate(hiborindex,AK5445)</f>
        <v>50314</v>
      </c>
      <c r="AM5445" s="23">
        <f>_xll.qlIndexFixing(hiborindex,AK5445)</f>
        <v>9.3486263479964117E-3</v>
      </c>
    </row>
    <row r="5446" spans="37:39" x14ac:dyDescent="0.25">
      <c r="AK5446" s="21">
        <f>_xll.qlCalendarAdvance(calendar,AK5445,"1D")</f>
        <v>50313</v>
      </c>
      <c r="AL5446" s="21">
        <f>_xll.qlInterestRateIndexValueDate(hiborindex,AK5446)</f>
        <v>50315</v>
      </c>
      <c r="AM5446" s="23">
        <f>_xll.qlIndexFixing(hiborindex,AK5446)</f>
        <v>9.3489336411073688E-3</v>
      </c>
    </row>
    <row r="5447" spans="37:39" x14ac:dyDescent="0.25">
      <c r="AK5447" s="21">
        <f>_xll.qlCalendarAdvance(calendar,AK5446,"1D")</f>
        <v>50314</v>
      </c>
      <c r="AL5447" s="21">
        <f>_xll.qlInterestRateIndexValueDate(hiborindex,AK5447)</f>
        <v>50318</v>
      </c>
      <c r="AM5447" s="23">
        <f>_xll.qlIndexFixing(hiborindex,AK5447)</f>
        <v>9.3498555207252865E-3</v>
      </c>
    </row>
    <row r="5448" spans="37:39" x14ac:dyDescent="0.25">
      <c r="AK5448" s="21">
        <f>_xll.qlCalendarAdvance(calendar,AK5447,"1D")</f>
        <v>50315</v>
      </c>
      <c r="AL5448" s="21">
        <f>_xll.qlInterestRateIndexValueDate(hiborindex,AK5448)</f>
        <v>50319</v>
      </c>
      <c r="AM5448" s="23">
        <f>_xll.qlIndexFixing(hiborindex,AK5448)</f>
        <v>9.3501628140264213E-3</v>
      </c>
    </row>
    <row r="5449" spans="37:39" x14ac:dyDescent="0.25">
      <c r="AK5449" s="21">
        <f>_xll.qlCalendarAdvance(calendar,AK5448,"1D")</f>
        <v>50318</v>
      </c>
      <c r="AL5449" s="21">
        <f>_xll.qlInterestRateIndexValueDate(hiborindex,AK5449)</f>
        <v>50320</v>
      </c>
      <c r="AM5449" s="23">
        <f>_xll.qlIndexFixing(hiborindex,AK5449)</f>
        <v>9.3504701073749905E-3</v>
      </c>
    </row>
    <row r="5450" spans="37:39" x14ac:dyDescent="0.25">
      <c r="AK5450" s="21">
        <f>_xll.qlCalendarAdvance(calendar,AK5449,"1D")</f>
        <v>50319</v>
      </c>
      <c r="AL5450" s="21">
        <f>_xll.qlInterestRateIndexValueDate(hiborindex,AK5450)</f>
        <v>50321</v>
      </c>
      <c r="AM5450" s="23">
        <f>_xll.qlIndexFixing(hiborindex,AK5450)</f>
        <v>9.350777400770555E-3</v>
      </c>
    </row>
    <row r="5451" spans="37:39" x14ac:dyDescent="0.25">
      <c r="AK5451" s="21">
        <f>_xll.qlCalendarAdvance(calendar,AK5450,"1D")</f>
        <v>50320</v>
      </c>
      <c r="AL5451" s="21">
        <f>_xll.qlInterestRateIndexValueDate(hiborindex,AK5451)</f>
        <v>50322</v>
      </c>
      <c r="AM5451" s="23">
        <f>_xll.qlIndexFixing(hiborindex,AK5451)</f>
        <v>9.3510846942144333E-3</v>
      </c>
    </row>
    <row r="5452" spans="37:39" x14ac:dyDescent="0.25">
      <c r="AK5452" s="21">
        <f>_xll.qlCalendarAdvance(calendar,AK5451,"1D")</f>
        <v>50321</v>
      </c>
      <c r="AL5452" s="21">
        <f>_xll.qlInterestRateIndexValueDate(hiborindex,AK5452)</f>
        <v>50325</v>
      </c>
      <c r="AM5452" s="23">
        <f>_xll.qlIndexFixing(hiborindex,AK5452)</f>
        <v>9.3520065748302333E-3</v>
      </c>
    </row>
    <row r="5453" spans="37:39" x14ac:dyDescent="0.25">
      <c r="AK5453" s="21">
        <f>_xll.qlCalendarAdvance(calendar,AK5452,"1D")</f>
        <v>50322</v>
      </c>
      <c r="AL5453" s="21">
        <f>_xll.qlInterestRateIndexValueDate(hiborindex,AK5453)</f>
        <v>50326</v>
      </c>
      <c r="AM5453" s="23">
        <f>_xll.qlIndexFixing(hiborindex,AK5453)</f>
        <v>9.3523138684638504E-3</v>
      </c>
    </row>
    <row r="5454" spans="37:39" x14ac:dyDescent="0.25">
      <c r="AK5454" s="21">
        <f>_xll.qlCalendarAdvance(calendar,AK5453,"1D")</f>
        <v>50325</v>
      </c>
      <c r="AL5454" s="21">
        <f>_xll.qlInterestRateIndexValueDate(hiborindex,AK5454)</f>
        <v>50327</v>
      </c>
      <c r="AM5454" s="23">
        <f>_xll.qlIndexFixing(hiborindex,AK5454)</f>
        <v>9.3526211621449001E-3</v>
      </c>
    </row>
    <row r="5455" spans="37:39" x14ac:dyDescent="0.25">
      <c r="AK5455" s="21">
        <f>_xll.qlCalendarAdvance(calendar,AK5454,"1D")</f>
        <v>50326</v>
      </c>
      <c r="AL5455" s="21">
        <f>_xll.qlInterestRateIndexValueDate(hiborindex,AK5455)</f>
        <v>50328</v>
      </c>
      <c r="AM5455" s="23">
        <f>_xll.qlIndexFixing(hiborindex,AK5455)</f>
        <v>9.3529284558733859E-3</v>
      </c>
    </row>
    <row r="5456" spans="37:39" x14ac:dyDescent="0.25">
      <c r="AK5456" s="21">
        <f>_xll.qlCalendarAdvance(calendar,AK5455,"1D")</f>
        <v>50327</v>
      </c>
      <c r="AL5456" s="21">
        <f>_xll.qlInterestRateIndexValueDate(hiborindex,AK5456)</f>
        <v>50329</v>
      </c>
      <c r="AM5456" s="23">
        <f>_xll.qlIndexFixing(hiborindex,AK5456)</f>
        <v>9.3532357496497447E-3</v>
      </c>
    </row>
    <row r="5457" spans="37:39" x14ac:dyDescent="0.25">
      <c r="AK5457" s="21">
        <f>_xll.qlCalendarAdvance(calendar,AK5456,"1D")</f>
        <v>50328</v>
      </c>
      <c r="AL5457" s="21">
        <f>_xll.qlInterestRateIndexValueDate(hiborindex,AK5457)</f>
        <v>50332</v>
      </c>
      <c r="AM5457" s="23">
        <f>_xll.qlIndexFixing(hiborindex,AK5457)</f>
        <v>9.3541576312634288E-3</v>
      </c>
    </row>
    <row r="5458" spans="37:39" x14ac:dyDescent="0.25">
      <c r="AK5458" s="21">
        <f>_xll.qlCalendarAdvance(calendar,AK5457,"1D")</f>
        <v>50329</v>
      </c>
      <c r="AL5458" s="21">
        <f>_xll.qlInterestRateIndexValueDate(hiborindex,AK5458)</f>
        <v>50333</v>
      </c>
      <c r="AM5458" s="23">
        <f>_xll.qlIndexFixing(hiborindex,AK5458)</f>
        <v>9.3544649252290859E-3</v>
      </c>
    </row>
    <row r="5459" spans="37:39" x14ac:dyDescent="0.25">
      <c r="AK5459" s="21">
        <f>_xll.qlCalendarAdvance(calendar,AK5458,"1D")</f>
        <v>50332</v>
      </c>
      <c r="AL5459" s="21">
        <f>_xll.qlInterestRateIndexValueDate(hiborindex,AK5459)</f>
        <v>50334</v>
      </c>
      <c r="AM5459" s="23">
        <f>_xll.qlIndexFixing(hiborindex,AK5459)</f>
        <v>9.3547722192430585E-3</v>
      </c>
    </row>
    <row r="5460" spans="37:39" x14ac:dyDescent="0.25">
      <c r="AK5460" s="21">
        <f>_xll.qlCalendarAdvance(calendar,AK5459,"1D")</f>
        <v>50333</v>
      </c>
      <c r="AL5460" s="21">
        <f>_xll.qlInterestRateIndexValueDate(hiborindex,AK5460)</f>
        <v>50335</v>
      </c>
      <c r="AM5460" s="23">
        <f>_xll.qlIndexFixing(hiborindex,AK5460)</f>
        <v>9.3550795133040248E-3</v>
      </c>
    </row>
    <row r="5461" spans="37:39" x14ac:dyDescent="0.25">
      <c r="AK5461" s="21">
        <f>_xll.qlCalendarAdvance(calendar,AK5460,"1D")</f>
        <v>50334</v>
      </c>
      <c r="AL5461" s="21">
        <f>_xll.qlInterestRateIndexValueDate(hiborindex,AK5461)</f>
        <v>50336</v>
      </c>
      <c r="AM5461" s="23">
        <f>_xll.qlIndexFixing(hiborindex,AK5461)</f>
        <v>9.3564869518711607E-3</v>
      </c>
    </row>
    <row r="5462" spans="37:39" x14ac:dyDescent="0.25">
      <c r="AK5462" s="21">
        <f>_xll.qlCalendarAdvance(calendar,AK5461,"1D")</f>
        <v>50335</v>
      </c>
      <c r="AL5462" s="21">
        <f>_xll.qlInterestRateIndexValueDate(hiborindex,AK5462)</f>
        <v>50339</v>
      </c>
      <c r="AM5462" s="23">
        <f>_xll.qlIndexFixing(hiborindex,AK5462)</f>
        <v>9.3565837349954238E-3</v>
      </c>
    </row>
    <row r="5463" spans="37:39" x14ac:dyDescent="0.25">
      <c r="AK5463" s="21">
        <f>_xll.qlCalendarAdvance(calendar,AK5462,"1D")</f>
        <v>50336</v>
      </c>
      <c r="AL5463" s="21">
        <f>_xll.qlInterestRateIndexValueDate(hiborindex,AK5463)</f>
        <v>50340</v>
      </c>
      <c r="AM5463" s="23">
        <f>_xll.qlIndexFixing(hiborindex,AK5463)</f>
        <v>9.3566159843230107E-3</v>
      </c>
    </row>
    <row r="5464" spans="37:39" x14ac:dyDescent="0.25">
      <c r="AK5464" s="21">
        <f>_xll.qlCalendarAdvance(calendar,AK5463,"1D")</f>
        <v>50339</v>
      </c>
      <c r="AL5464" s="21">
        <f>_xll.qlInterestRateIndexValueDate(hiborindex,AK5464)</f>
        <v>50341</v>
      </c>
      <c r="AM5464" s="23">
        <f>_xll.qlIndexFixing(hiborindex,AK5464)</f>
        <v>9.3569232786694621E-3</v>
      </c>
    </row>
    <row r="5465" spans="37:39" x14ac:dyDescent="0.25">
      <c r="AK5465" s="21">
        <f>_xll.qlCalendarAdvance(calendar,AK5464,"1D")</f>
        <v>50340</v>
      </c>
      <c r="AL5465" s="21">
        <f>_xll.qlInterestRateIndexValueDate(hiborindex,AK5465)</f>
        <v>50342</v>
      </c>
      <c r="AM5465" s="23">
        <f>_xll.qlIndexFixing(hiborindex,AK5465)</f>
        <v>9.3572305730633496E-3</v>
      </c>
    </row>
    <row r="5466" spans="37:39" x14ac:dyDescent="0.25">
      <c r="AK5466" s="21">
        <f>_xll.qlCalendarAdvance(calendar,AK5465,"1D")</f>
        <v>50341</v>
      </c>
      <c r="AL5466" s="21">
        <f>_xll.qlInterestRateIndexValueDate(hiborindex,AK5466)</f>
        <v>50343</v>
      </c>
      <c r="AM5466" s="23">
        <f>_xll.qlIndexFixing(hiborindex,AK5466)</f>
        <v>9.3575378675046714E-3</v>
      </c>
    </row>
    <row r="5467" spans="37:39" x14ac:dyDescent="0.25">
      <c r="AK5467" s="21">
        <f>_xll.qlCalendarAdvance(calendar,AK5466,"1D")</f>
        <v>50342</v>
      </c>
      <c r="AL5467" s="21">
        <f>_xll.qlInterestRateIndexValueDate(hiborindex,AK5467)</f>
        <v>50346</v>
      </c>
      <c r="AM5467" s="23">
        <f>_xll.qlIndexFixing(hiborindex,AK5467)</f>
        <v>9.3584597511141218E-3</v>
      </c>
    </row>
    <row r="5468" spans="37:39" x14ac:dyDescent="0.25">
      <c r="AK5468" s="21">
        <f>_xll.qlCalendarAdvance(calendar,AK5467,"1D")</f>
        <v>50343</v>
      </c>
      <c r="AL5468" s="21">
        <f>_xll.qlInterestRateIndexValueDate(hiborindex,AK5468)</f>
        <v>50347</v>
      </c>
      <c r="AM5468" s="23">
        <f>_xll.qlIndexFixing(hiborindex,AK5468)</f>
        <v>9.3584919469153569E-3</v>
      </c>
    </row>
    <row r="5469" spans="37:39" x14ac:dyDescent="0.25">
      <c r="AK5469" s="21">
        <f>_xll.qlCalendarAdvance(calendar,AK5468,"1D")</f>
        <v>50346</v>
      </c>
      <c r="AL5469" s="21">
        <f>_xll.qlInterestRateIndexValueDate(hiborindex,AK5469)</f>
        <v>50348</v>
      </c>
      <c r="AM5469" s="23">
        <f>_xll.qlIndexFixing(hiborindex,AK5469)</f>
        <v>9.3587992336002946E-3</v>
      </c>
    </row>
    <row r="5470" spans="37:39" x14ac:dyDescent="0.25">
      <c r="AK5470" s="21">
        <f>_xll.qlCalendarAdvance(calendar,AK5469,"1D")</f>
        <v>50347</v>
      </c>
      <c r="AL5470" s="21">
        <f>_xll.qlInterestRateIndexValueDate(hiborindex,AK5470)</f>
        <v>50349</v>
      </c>
      <c r="AM5470" s="23">
        <f>_xll.qlIndexFixing(hiborindex,AK5470)</f>
        <v>9.3591065203329285E-3</v>
      </c>
    </row>
    <row r="5471" spans="37:39" x14ac:dyDescent="0.25">
      <c r="AK5471" s="21">
        <f>_xll.qlCalendarAdvance(calendar,AK5470,"1D")</f>
        <v>50348</v>
      </c>
      <c r="AL5471" s="21">
        <f>_xll.qlInterestRateIndexValueDate(hiborindex,AK5471)</f>
        <v>50350</v>
      </c>
      <c r="AM5471" s="23">
        <f>_xll.qlIndexFixing(hiborindex,AK5471)</f>
        <v>9.3594138071132586E-3</v>
      </c>
    </row>
    <row r="5472" spans="37:39" x14ac:dyDescent="0.25">
      <c r="AK5472" s="21">
        <f>_xll.qlCalendarAdvance(calendar,AK5471,"1D")</f>
        <v>50349</v>
      </c>
      <c r="AL5472" s="21">
        <f>_xll.qlInterestRateIndexValueDate(hiborindex,AK5472)</f>
        <v>50353</v>
      </c>
      <c r="AM5472" s="23">
        <f>_xll.qlIndexFixing(hiborindex,AK5472)</f>
        <v>9.3606108145311805E-3</v>
      </c>
    </row>
    <row r="5473" spans="37:39" x14ac:dyDescent="0.25">
      <c r="AK5473" s="21">
        <f>_xll.qlCalendarAdvance(calendar,AK5472,"1D")</f>
        <v>50350</v>
      </c>
      <c r="AL5473" s="21">
        <f>_xll.qlInterestRateIndexValueDate(hiborindex,AK5473)</f>
        <v>50354</v>
      </c>
      <c r="AM5473" s="23">
        <f>_xll.qlIndexFixing(hiborindex,AK5473)</f>
        <v>9.3606429547058063E-3</v>
      </c>
    </row>
    <row r="5474" spans="37:39" x14ac:dyDescent="0.25">
      <c r="AK5474" s="21">
        <f>_xll.qlCalendarAdvance(calendar,AK5473,"1D")</f>
        <v>50353</v>
      </c>
      <c r="AL5474" s="21">
        <f>_xll.qlInterestRateIndexValueDate(hiborindex,AK5474)</f>
        <v>50355</v>
      </c>
      <c r="AM5474" s="23">
        <f>_xll.qlIndexFixing(hiborindex,AK5474)</f>
        <v>9.3609502417219704E-3</v>
      </c>
    </row>
    <row r="5475" spans="37:39" x14ac:dyDescent="0.25">
      <c r="AK5475" s="21">
        <f>_xll.qlCalendarAdvance(calendar,AK5474,"1D")</f>
        <v>50354</v>
      </c>
      <c r="AL5475" s="21">
        <f>_xll.qlInterestRateIndexValueDate(hiborindex,AK5475)</f>
        <v>50356</v>
      </c>
      <c r="AM5475" s="23">
        <f>_xll.qlIndexFixing(hiborindex,AK5475)</f>
        <v>9.3612575287858307E-3</v>
      </c>
    </row>
    <row r="5476" spans="37:39" x14ac:dyDescent="0.25">
      <c r="AK5476" s="21">
        <f>_xll.qlCalendarAdvance(calendar,AK5475,"1D")</f>
        <v>50355</v>
      </c>
      <c r="AL5476" s="21">
        <f>_xll.qlInterestRateIndexValueDate(hiborindex,AK5476)</f>
        <v>50357</v>
      </c>
      <c r="AM5476" s="23">
        <f>_xll.qlIndexFixing(hiborindex,AK5476)</f>
        <v>9.3615648158965042E-3</v>
      </c>
    </row>
    <row r="5477" spans="37:39" x14ac:dyDescent="0.25">
      <c r="AK5477" s="21">
        <f>_xll.qlCalendarAdvance(calendar,AK5476,"1D")</f>
        <v>50356</v>
      </c>
      <c r="AL5477" s="21">
        <f>_xll.qlInterestRateIndexValueDate(hiborindex,AK5477)</f>
        <v>50360</v>
      </c>
      <c r="AM5477" s="23">
        <f>_xll.qlIndexFixing(hiborindex,AK5477)</f>
        <v>9.3627618802778045E-3</v>
      </c>
    </row>
    <row r="5478" spans="37:39" x14ac:dyDescent="0.25">
      <c r="AK5478" s="21">
        <f>_xll.qlCalendarAdvance(calendar,AK5477,"1D")</f>
        <v>50357</v>
      </c>
      <c r="AL5478" s="21">
        <f>_xll.qlInterestRateIndexValueDate(hiborindex,AK5478)</f>
        <v>50361</v>
      </c>
      <c r="AM5478" s="23">
        <f>_xll.qlIndexFixing(hiborindex,AK5478)</f>
        <v>9.3627939648121914E-3</v>
      </c>
    </row>
    <row r="5479" spans="37:39" x14ac:dyDescent="0.25">
      <c r="AK5479" s="21">
        <f>_xll.qlCalendarAdvance(calendar,AK5478,"1D")</f>
        <v>50360</v>
      </c>
      <c r="AL5479" s="21">
        <f>_xll.qlInterestRateIndexValueDate(hiborindex,AK5479)</f>
        <v>50362</v>
      </c>
      <c r="AM5479" s="23">
        <f>_xll.qlIndexFixing(hiborindex,AK5479)</f>
        <v>9.3631012521591412E-3</v>
      </c>
    </row>
    <row r="5480" spans="37:39" x14ac:dyDescent="0.25">
      <c r="AK5480" s="21">
        <f>_xll.qlCalendarAdvance(calendar,AK5479,"1D")</f>
        <v>50361</v>
      </c>
      <c r="AL5480" s="21">
        <f>_xll.qlInterestRateIndexValueDate(hiborindex,AK5480)</f>
        <v>50363</v>
      </c>
      <c r="AM5480" s="23">
        <f>_xll.qlIndexFixing(hiborindex,AK5480)</f>
        <v>9.3634085395533449E-3</v>
      </c>
    </row>
    <row r="5481" spans="37:39" x14ac:dyDescent="0.25">
      <c r="AK5481" s="21">
        <f>_xll.qlCalendarAdvance(calendar,AK5480,"1D")</f>
        <v>50362</v>
      </c>
      <c r="AL5481" s="21">
        <f>_xll.qlInterestRateIndexValueDate(hiborindex,AK5481)</f>
        <v>50364</v>
      </c>
      <c r="AM5481" s="23">
        <f>_xll.qlIndexFixing(hiborindex,AK5481)</f>
        <v>9.3637158269948041E-3</v>
      </c>
    </row>
    <row r="5482" spans="37:39" x14ac:dyDescent="0.25">
      <c r="AK5482" s="21">
        <f>_xll.qlCalendarAdvance(calendar,AK5481,"1D")</f>
        <v>50363</v>
      </c>
      <c r="AL5482" s="21">
        <f>_xll.qlInterestRateIndexValueDate(hiborindex,AK5482)</f>
        <v>50367</v>
      </c>
      <c r="AM5482" s="23">
        <f>_xll.qlIndexFixing(hiborindex,AK5482)</f>
        <v>9.3649129483517977E-3</v>
      </c>
    </row>
    <row r="5483" spans="37:39" x14ac:dyDescent="0.25">
      <c r="AK5483" s="21">
        <f>_xll.qlCalendarAdvance(calendar,AK5482,"1D")</f>
        <v>50364</v>
      </c>
      <c r="AL5483" s="21">
        <f>_xll.qlInterestRateIndexValueDate(hiborindex,AK5483)</f>
        <v>50368</v>
      </c>
      <c r="AM5483" s="23">
        <f>_xll.qlIndexFixing(hiborindex,AK5483)</f>
        <v>9.3649449772336326E-3</v>
      </c>
    </row>
    <row r="5484" spans="37:39" x14ac:dyDescent="0.25">
      <c r="AK5484" s="21">
        <f>_xll.qlCalendarAdvance(calendar,AK5483,"1D")</f>
        <v>50367</v>
      </c>
      <c r="AL5484" s="21">
        <f>_xll.qlInterestRateIndexValueDate(hiborindex,AK5484)</f>
        <v>50369</v>
      </c>
      <c r="AM5484" s="23">
        <f>_xll.qlIndexFixing(hiborindex,AK5484)</f>
        <v>9.3652522649113664E-3</v>
      </c>
    </row>
    <row r="5485" spans="37:39" x14ac:dyDescent="0.25">
      <c r="AK5485" s="21">
        <f>_xll.qlCalendarAdvance(calendar,AK5484,"1D")</f>
        <v>50368</v>
      </c>
      <c r="AL5485" s="21">
        <f>_xll.qlInterestRateIndexValueDate(hiborindex,AK5485)</f>
        <v>50370</v>
      </c>
      <c r="AM5485" s="23">
        <f>_xll.qlIndexFixing(hiborindex,AK5485)</f>
        <v>9.3655595526363558E-3</v>
      </c>
    </row>
    <row r="5486" spans="37:39" x14ac:dyDescent="0.25">
      <c r="AK5486" s="21">
        <f>_xll.qlCalendarAdvance(calendar,AK5485,"1D")</f>
        <v>50369</v>
      </c>
      <c r="AL5486" s="21">
        <f>_xll.qlInterestRateIndexValueDate(hiborindex,AK5486)</f>
        <v>50371</v>
      </c>
      <c r="AM5486" s="23">
        <f>_xll.qlIndexFixing(hiborindex,AK5486)</f>
        <v>9.3658668404090414E-3</v>
      </c>
    </row>
    <row r="5487" spans="37:39" x14ac:dyDescent="0.25">
      <c r="AK5487" s="21">
        <f>_xll.qlCalendarAdvance(calendar,AK5486,"1D")</f>
        <v>50370</v>
      </c>
      <c r="AL5487" s="21">
        <f>_xll.qlInterestRateIndexValueDate(hiborindex,AK5487)</f>
        <v>50374</v>
      </c>
      <c r="AM5487" s="23">
        <f>_xll.qlIndexFixing(hiborindex,AK5487)</f>
        <v>9.3670640187540379E-3</v>
      </c>
    </row>
    <row r="5488" spans="37:39" x14ac:dyDescent="0.25">
      <c r="AK5488" s="21">
        <f>_xll.qlCalendarAdvance(calendar,AK5487,"1D")</f>
        <v>50371</v>
      </c>
      <c r="AL5488" s="21">
        <f>_xll.qlInterestRateIndexValueDate(hiborindex,AK5488)</f>
        <v>50375</v>
      </c>
      <c r="AM5488" s="23">
        <f>_xll.qlIndexFixing(hiborindex,AK5488)</f>
        <v>9.367371314715902E-3</v>
      </c>
    </row>
    <row r="5489" spans="37:39" x14ac:dyDescent="0.25">
      <c r="AK5489" s="21">
        <f>_xll.qlCalendarAdvance(calendar,AK5488,"1D")</f>
        <v>50374</v>
      </c>
      <c r="AL5489" s="21">
        <f>_xll.qlInterestRateIndexValueDate(hiborindex,AK5489)</f>
        <v>50376</v>
      </c>
      <c r="AM5489" s="23">
        <f>_xll.qlIndexFixing(hiborindex,AK5489)</f>
        <v>9.3676786107251987E-3</v>
      </c>
    </row>
    <row r="5490" spans="37:39" x14ac:dyDescent="0.25">
      <c r="AK5490" s="21">
        <f>_xll.qlCalendarAdvance(calendar,AK5489,"1D")</f>
        <v>50375</v>
      </c>
      <c r="AL5490" s="21">
        <f>_xll.qlInterestRateIndexValueDate(hiborindex,AK5490)</f>
        <v>50377</v>
      </c>
      <c r="AM5490" s="23">
        <f>_xll.qlIndexFixing(hiborindex,AK5490)</f>
        <v>9.3679859067819313E-3</v>
      </c>
    </row>
    <row r="5491" spans="37:39" x14ac:dyDescent="0.25">
      <c r="AK5491" s="21">
        <f>_xll.qlCalendarAdvance(calendar,AK5490,"1D")</f>
        <v>50376</v>
      </c>
      <c r="AL5491" s="21">
        <f>_xll.qlInterestRateIndexValueDate(hiborindex,AK5491)</f>
        <v>50378</v>
      </c>
      <c r="AM5491" s="23">
        <f>_xll.qlIndexFixing(hiborindex,AK5491)</f>
        <v>9.3682932028865389E-3</v>
      </c>
    </row>
    <row r="5492" spans="37:39" x14ac:dyDescent="0.25">
      <c r="AK5492" s="21">
        <f>_xll.qlCalendarAdvance(calendar,AK5491,"1D")</f>
        <v>50377</v>
      </c>
      <c r="AL5492" s="21">
        <f>_xll.qlInterestRateIndexValueDate(hiborindex,AK5492)</f>
        <v>50381</v>
      </c>
      <c r="AM5492" s="23">
        <f>_xll.qlIndexFixing(hiborindex,AK5492)</f>
        <v>9.369215091484525E-3</v>
      </c>
    </row>
    <row r="5493" spans="37:39" x14ac:dyDescent="0.25">
      <c r="AK5493" s="21">
        <f>_xll.qlCalendarAdvance(calendar,AK5492,"1D")</f>
        <v>50378</v>
      </c>
      <c r="AL5493" s="21">
        <f>_xll.qlInterestRateIndexValueDate(hiborindex,AK5493)</f>
        <v>50382</v>
      </c>
      <c r="AM5493" s="23">
        <f>_xll.qlIndexFixing(hiborindex,AK5493)</f>
        <v>9.3695223877793103E-3</v>
      </c>
    </row>
    <row r="5494" spans="37:39" x14ac:dyDescent="0.25">
      <c r="AK5494" s="21">
        <f>_xll.qlCalendarAdvance(calendar,AK5493,"1D")</f>
        <v>50381</v>
      </c>
      <c r="AL5494" s="21">
        <f>_xll.qlInterestRateIndexValueDate(hiborindex,AK5494)</f>
        <v>50383</v>
      </c>
      <c r="AM5494" s="23">
        <f>_xll.qlIndexFixing(hiborindex,AK5494)</f>
        <v>9.3698296841206504E-3</v>
      </c>
    </row>
    <row r="5495" spans="37:39" x14ac:dyDescent="0.25">
      <c r="AK5495" s="21">
        <f>_xll.qlCalendarAdvance(calendar,AK5494,"1D")</f>
        <v>50382</v>
      </c>
      <c r="AL5495" s="21">
        <f>_xll.qlInterestRateIndexValueDate(hiborindex,AK5495)</f>
        <v>50384</v>
      </c>
      <c r="AM5495" s="23">
        <f>_xll.qlIndexFixing(hiborindex,AK5495)</f>
        <v>9.3701369805103026E-3</v>
      </c>
    </row>
    <row r="5496" spans="37:39" x14ac:dyDescent="0.25">
      <c r="AK5496" s="21">
        <f>_xll.qlCalendarAdvance(calendar,AK5495,"1D")</f>
        <v>50383</v>
      </c>
      <c r="AL5496" s="21">
        <f>_xll.qlInterestRateIndexValueDate(hiborindex,AK5496)</f>
        <v>50385</v>
      </c>
      <c r="AM5496" s="23">
        <f>_xll.qlIndexFixing(hiborindex,AK5496)</f>
        <v>9.3704442769473907E-3</v>
      </c>
    </row>
    <row r="5497" spans="37:39" x14ac:dyDescent="0.25">
      <c r="AK5497" s="21">
        <f>_xll.qlCalendarAdvance(calendar,AK5496,"1D")</f>
        <v>50384</v>
      </c>
      <c r="AL5497" s="21">
        <f>_xll.qlInterestRateIndexValueDate(hiborindex,AK5497)</f>
        <v>50388</v>
      </c>
      <c r="AM5497" s="23">
        <f>_xll.qlIndexFixing(hiborindex,AK5497)</f>
        <v>9.3713661665436997E-3</v>
      </c>
    </row>
    <row r="5498" spans="37:39" x14ac:dyDescent="0.25">
      <c r="AK5498" s="21">
        <f>_xll.qlCalendarAdvance(calendar,AK5497,"1D")</f>
        <v>50385</v>
      </c>
      <c r="AL5498" s="21">
        <f>_xll.qlInterestRateIndexValueDate(hiborindex,AK5498)</f>
        <v>50389</v>
      </c>
      <c r="AM5498" s="23">
        <f>_xll.qlIndexFixing(hiborindex,AK5498)</f>
        <v>9.3716734631705267E-3</v>
      </c>
    </row>
    <row r="5499" spans="37:39" x14ac:dyDescent="0.25">
      <c r="AK5499" s="21">
        <f>_xll.qlCalendarAdvance(calendar,AK5498,"1D")</f>
        <v>50388</v>
      </c>
      <c r="AL5499" s="21">
        <f>_xll.qlInterestRateIndexValueDate(hiborindex,AK5499)</f>
        <v>50390</v>
      </c>
      <c r="AM5499" s="23">
        <f>_xll.qlIndexFixing(hiborindex,AK5499)</f>
        <v>9.3719807598452269E-3</v>
      </c>
    </row>
    <row r="5500" spans="37:39" x14ac:dyDescent="0.25">
      <c r="AK5500" s="21">
        <f>_xll.qlCalendarAdvance(calendar,AK5499,"1D")</f>
        <v>50389</v>
      </c>
      <c r="AL5500" s="21">
        <f>_xll.qlInterestRateIndexValueDate(hiborindex,AK5500)</f>
        <v>50391</v>
      </c>
      <c r="AM5500" s="23">
        <f>_xll.qlIndexFixing(hiborindex,AK5500)</f>
        <v>9.3722880565673614E-3</v>
      </c>
    </row>
    <row r="5501" spans="37:39" x14ac:dyDescent="0.25">
      <c r="AK5501" s="21">
        <f>_xll.qlCalendarAdvance(calendar,AK5500,"1D")</f>
        <v>50390</v>
      </c>
      <c r="AL5501" s="21">
        <f>_xll.qlInterestRateIndexValueDate(hiborindex,AK5501)</f>
        <v>50392</v>
      </c>
      <c r="AM5501" s="23">
        <f>_xll.qlIndexFixing(hiborindex,AK5501)</f>
        <v>9.3725953533369301E-3</v>
      </c>
    </row>
    <row r="5502" spans="37:39" x14ac:dyDescent="0.25">
      <c r="AK5502" s="21">
        <f>_xll.qlCalendarAdvance(calendar,AK5501,"1D")</f>
        <v>50391</v>
      </c>
      <c r="AL5502" s="21">
        <f>_xll.qlInterestRateIndexValueDate(hiborindex,AK5502)</f>
        <v>50395</v>
      </c>
      <c r="AM5502" s="23">
        <f>_xll.qlIndexFixing(hiborindex,AK5502)</f>
        <v>9.3735172439306826E-3</v>
      </c>
    </row>
    <row r="5503" spans="37:39" x14ac:dyDescent="0.25">
      <c r="AK5503" s="21">
        <f>_xll.qlCalendarAdvance(calendar,AK5502,"1D")</f>
        <v>50392</v>
      </c>
      <c r="AL5503" s="21">
        <f>_xll.qlInterestRateIndexValueDate(hiborindex,AK5503)</f>
        <v>50396</v>
      </c>
      <c r="AM5503" s="23">
        <f>_xll.qlIndexFixing(hiborindex,AK5503)</f>
        <v>9.3738245408904308E-3</v>
      </c>
    </row>
    <row r="5504" spans="37:39" x14ac:dyDescent="0.25">
      <c r="AK5504" s="21">
        <f>_xll.qlCalendarAdvance(calendar,AK5503,"1D")</f>
        <v>50395</v>
      </c>
      <c r="AL5504" s="21">
        <f>_xll.qlInterestRateIndexValueDate(hiborindex,AK5504)</f>
        <v>50397</v>
      </c>
      <c r="AM5504" s="23">
        <f>_xll.qlIndexFixing(hiborindex,AK5504)</f>
        <v>9.3741318378971726E-3</v>
      </c>
    </row>
    <row r="5505" spans="37:39" x14ac:dyDescent="0.25">
      <c r="AK5505" s="21">
        <f>_xll.qlCalendarAdvance(calendar,AK5504,"1D")</f>
        <v>50396</v>
      </c>
      <c r="AL5505" s="21">
        <f>_xll.qlInterestRateIndexValueDate(hiborindex,AK5505)</f>
        <v>50398</v>
      </c>
      <c r="AM5505" s="23">
        <f>_xll.qlIndexFixing(hiborindex,AK5505)</f>
        <v>9.3744391349522265E-3</v>
      </c>
    </row>
    <row r="5506" spans="37:39" x14ac:dyDescent="0.25">
      <c r="AK5506" s="21">
        <f>_xll.qlCalendarAdvance(calendar,AK5505,"1D")</f>
        <v>50397</v>
      </c>
      <c r="AL5506" s="21">
        <f>_xll.qlInterestRateIndexValueDate(hiborindex,AK5506)</f>
        <v>50402</v>
      </c>
      <c r="AM5506" s="23">
        <f>_xll.qlIndexFixing(hiborindex,AK5506)</f>
        <v>9.3756683236459141E-3</v>
      </c>
    </row>
    <row r="5507" spans="37:39" x14ac:dyDescent="0.25">
      <c r="AK5507" s="21">
        <f>_xll.qlCalendarAdvance(calendar,AK5506,"1D")</f>
        <v>50398</v>
      </c>
      <c r="AL5507" s="21">
        <f>_xll.qlInterestRateIndexValueDate(hiborindex,AK5507)</f>
        <v>50403</v>
      </c>
      <c r="AM5507" s="23">
        <f>_xll.qlIndexFixing(hiborindex,AK5507)</f>
        <v>9.3759756209381411E-3</v>
      </c>
    </row>
    <row r="5508" spans="37:39" x14ac:dyDescent="0.25">
      <c r="AK5508" s="21">
        <f>_xll.qlCalendarAdvance(calendar,AK5507,"1D")</f>
        <v>50402</v>
      </c>
      <c r="AL5508" s="21">
        <f>_xll.qlInterestRateIndexValueDate(hiborindex,AK5508)</f>
        <v>50404</v>
      </c>
      <c r="AM5508" s="23">
        <f>_xll.qlIndexFixing(hiborindex,AK5508)</f>
        <v>9.376282918278243E-3</v>
      </c>
    </row>
    <row r="5509" spans="37:39" x14ac:dyDescent="0.25">
      <c r="AK5509" s="21">
        <f>_xll.qlCalendarAdvance(calendar,AK5508,"1D")</f>
        <v>50403</v>
      </c>
      <c r="AL5509" s="21">
        <f>_xll.qlInterestRateIndexValueDate(hiborindex,AK5509)</f>
        <v>50405</v>
      </c>
      <c r="AM5509" s="23">
        <f>_xll.qlIndexFixing(hiborindex,AK5509)</f>
        <v>9.376314652782965E-3</v>
      </c>
    </row>
    <row r="5510" spans="37:39" x14ac:dyDescent="0.25">
      <c r="AK5510" s="21">
        <f>_xll.qlCalendarAdvance(calendar,AK5509,"1D")</f>
        <v>50404</v>
      </c>
      <c r="AL5510" s="21">
        <f>_xll.qlInterestRateIndexValueDate(hiborindex,AK5510)</f>
        <v>50409</v>
      </c>
      <c r="AM5510" s="23">
        <f>_xll.qlIndexFixing(hiborindex,AK5510)</f>
        <v>9.3640765126644914E-3</v>
      </c>
    </row>
    <row r="5511" spans="37:39" x14ac:dyDescent="0.25">
      <c r="AK5511" s="21">
        <f>_xll.qlCalendarAdvance(calendar,AK5510,"1D")</f>
        <v>50405</v>
      </c>
      <c r="AL5511" s="21">
        <f>_xll.qlInterestRateIndexValueDate(hiborindex,AK5511)</f>
        <v>50410</v>
      </c>
      <c r="AM5511" s="23">
        <f>_xll.qlIndexFixing(hiborindex,AK5511)</f>
        <v>9.3640326378313741E-3</v>
      </c>
    </row>
    <row r="5512" spans="37:39" x14ac:dyDescent="0.25">
      <c r="AK5512" s="21">
        <f>_xll.qlCalendarAdvance(calendar,AK5511,"1D")</f>
        <v>50409</v>
      </c>
      <c r="AL5512" s="21">
        <f>_xll.qlInterestRateIndexValueDate(hiborindex,AK5512)</f>
        <v>50411</v>
      </c>
      <c r="AM5512" s="23">
        <f>_xll.qlIndexFixing(hiborindex,AK5512)</f>
        <v>9.3615741819646475E-3</v>
      </c>
    </row>
    <row r="5513" spans="37:39" x14ac:dyDescent="0.25">
      <c r="AK5513" s="21">
        <f>_xll.qlCalendarAdvance(calendar,AK5512,"1D")</f>
        <v>50410</v>
      </c>
      <c r="AL5513" s="21">
        <f>_xll.qlInterestRateIndexValueDate(hiborindex,AK5513)</f>
        <v>50412</v>
      </c>
      <c r="AM5513" s="23">
        <f>_xll.qlIndexFixing(hiborindex,AK5513)</f>
        <v>9.3591150418121417E-3</v>
      </c>
    </row>
    <row r="5514" spans="37:39" x14ac:dyDescent="0.25">
      <c r="AK5514" s="21">
        <f>_xll.qlCalendarAdvance(calendar,AK5513,"1D")</f>
        <v>50411</v>
      </c>
      <c r="AL5514" s="21">
        <f>_xll.qlInterestRateIndexValueDate(hiborindex,AK5514)</f>
        <v>50413</v>
      </c>
      <c r="AM5514" s="23">
        <f>_xll.qlIndexFixing(hiborindex,AK5514)</f>
        <v>9.356655217376067E-3</v>
      </c>
    </row>
    <row r="5515" spans="37:39" x14ac:dyDescent="0.25">
      <c r="AK5515" s="21">
        <f>_xll.qlCalendarAdvance(calendar,AK5514,"1D")</f>
        <v>50412</v>
      </c>
      <c r="AL5515" s="21">
        <f>_xll.qlInterestRateIndexValueDate(hiborindex,AK5515)</f>
        <v>50416</v>
      </c>
      <c r="AM5515" s="23">
        <f>_xll.qlIndexFixing(hiborindex,AK5515)</f>
        <v>9.3469589617515125E-3</v>
      </c>
    </row>
    <row r="5516" spans="37:39" x14ac:dyDescent="0.25">
      <c r="AK5516" s="21">
        <f>_xll.qlCalendarAdvance(calendar,AK5515,"1D")</f>
        <v>50413</v>
      </c>
      <c r="AL5516" s="21">
        <f>_xll.qlInterestRateIndexValueDate(hiborindex,AK5516)</f>
        <v>50417</v>
      </c>
      <c r="AM5516" s="23">
        <f>_xll.qlIndexFixing(hiborindex,AK5516)</f>
        <v>9.3468090768468667E-3</v>
      </c>
    </row>
    <row r="5517" spans="37:39" x14ac:dyDescent="0.25">
      <c r="AK5517" s="21">
        <f>_xll.qlCalendarAdvance(calendar,AK5516,"1D")</f>
        <v>50416</v>
      </c>
      <c r="AL5517" s="21">
        <f>_xll.qlInterestRateIndexValueDate(hiborindex,AK5517)</f>
        <v>50418</v>
      </c>
      <c r="AM5517" s="23">
        <f>_xll.qlIndexFixing(hiborindex,AK5517)</f>
        <v>9.3443458310309285E-3</v>
      </c>
    </row>
    <row r="5518" spans="37:39" x14ac:dyDescent="0.25">
      <c r="AK5518" s="21">
        <f>_xll.qlCalendarAdvance(calendar,AK5517,"1D")</f>
        <v>50417</v>
      </c>
      <c r="AL5518" s="21">
        <f>_xll.qlInterestRateIndexValueDate(hiborindex,AK5518)</f>
        <v>50419</v>
      </c>
      <c r="AM5518" s="23">
        <f>_xll.qlIndexFixing(hiborindex,AK5518)</f>
        <v>9.3418819009468777E-3</v>
      </c>
    </row>
    <row r="5519" spans="37:39" x14ac:dyDescent="0.25">
      <c r="AK5519" s="21">
        <f>_xll.qlCalendarAdvance(calendar,AK5518,"1D")</f>
        <v>50418</v>
      </c>
      <c r="AL5519" s="21">
        <f>_xll.qlInterestRateIndexValueDate(hiborindex,AK5519)</f>
        <v>50420</v>
      </c>
      <c r="AM5519" s="23">
        <f>_xll.qlIndexFixing(hiborindex,AK5519)</f>
        <v>9.3394172865969224E-3</v>
      </c>
    </row>
    <row r="5520" spans="37:39" x14ac:dyDescent="0.25">
      <c r="AK5520" s="21">
        <f>_xll.qlCalendarAdvance(calendar,AK5519,"1D")</f>
        <v>50419</v>
      </c>
      <c r="AL5520" s="21">
        <f>_xll.qlInterestRateIndexValueDate(hiborindex,AK5520)</f>
        <v>50423</v>
      </c>
      <c r="AM5520" s="23">
        <f>_xll.qlIndexFixing(hiborindex,AK5520)</f>
        <v>9.3298080647236537E-3</v>
      </c>
    </row>
    <row r="5521" spans="37:39" x14ac:dyDescent="0.25">
      <c r="AK5521" s="21">
        <f>_xll.qlCalendarAdvance(calendar,AK5520,"1D")</f>
        <v>50420</v>
      </c>
      <c r="AL5521" s="21">
        <f>_xll.qlInterestRateIndexValueDate(hiborindex,AK5521)</f>
        <v>50424</v>
      </c>
      <c r="AM5521" s="23">
        <f>_xll.qlIndexFixing(hiborindex,AK5521)</f>
        <v>9.3295519865893E-3</v>
      </c>
    </row>
    <row r="5522" spans="37:39" x14ac:dyDescent="0.25">
      <c r="AK5522" s="21">
        <f>_xll.qlCalendarAdvance(calendar,AK5521,"1D")</f>
        <v>50423</v>
      </c>
      <c r="AL5522" s="21">
        <f>_xll.qlInterestRateIndexValueDate(hiborindex,AK5522)</f>
        <v>50425</v>
      </c>
      <c r="AM5522" s="23">
        <f>_xll.qlIndexFixing(hiborindex,AK5522)</f>
        <v>9.3270839509482489E-3</v>
      </c>
    </row>
    <row r="5523" spans="37:39" x14ac:dyDescent="0.25">
      <c r="AK5523" s="21">
        <f>_xll.qlCalendarAdvance(calendar,AK5522,"1D")</f>
        <v>50424</v>
      </c>
      <c r="AL5523" s="21">
        <f>_xll.qlInterestRateIndexValueDate(hiborindex,AK5523)</f>
        <v>50426</v>
      </c>
      <c r="AM5523" s="23">
        <f>_xll.qlIndexFixing(hiborindex,AK5523)</f>
        <v>9.3246152310567532E-3</v>
      </c>
    </row>
    <row r="5524" spans="37:39" x14ac:dyDescent="0.25">
      <c r="AK5524" s="21">
        <f>_xll.qlCalendarAdvance(calendar,AK5523,"1D")</f>
        <v>50425</v>
      </c>
      <c r="AL5524" s="21">
        <f>_xll.qlInterestRateIndexValueDate(hiborindex,AK5524)</f>
        <v>50427</v>
      </c>
      <c r="AM5524" s="23">
        <f>_xll.qlIndexFixing(hiborindex,AK5524)</f>
        <v>9.3221458269165756E-3</v>
      </c>
    </row>
    <row r="5525" spans="37:39" x14ac:dyDescent="0.25">
      <c r="AK5525" s="21">
        <f>_xll.qlCalendarAdvance(calendar,AK5524,"1D")</f>
        <v>50426</v>
      </c>
      <c r="AL5525" s="21">
        <f>_xll.qlInterestRateIndexValueDate(hiborindex,AK5525)</f>
        <v>50430</v>
      </c>
      <c r="AM5525" s="23">
        <f>_xll.qlIndexFixing(hiborindex,AK5525)</f>
        <v>9.3126238224465942E-3</v>
      </c>
    </row>
    <row r="5526" spans="37:39" x14ac:dyDescent="0.25">
      <c r="AK5526" s="21">
        <f>_xll.qlCalendarAdvance(calendar,AK5525,"1D")</f>
        <v>50427</v>
      </c>
      <c r="AL5526" s="21">
        <f>_xll.qlInterestRateIndexValueDate(hiborindex,AK5526)</f>
        <v>50431</v>
      </c>
      <c r="AM5526" s="23">
        <f>_xll.qlIndexFixing(hiborindex,AK5526)</f>
        <v>9.312261367928695E-3</v>
      </c>
    </row>
    <row r="5527" spans="37:39" x14ac:dyDescent="0.25">
      <c r="AK5527" s="21">
        <f>_xll.qlCalendarAdvance(calendar,AK5526,"1D")</f>
        <v>50430</v>
      </c>
      <c r="AL5527" s="21">
        <f>_xll.qlInterestRateIndexValueDate(hiborindex,AK5527)</f>
        <v>50432</v>
      </c>
      <c r="AM5527" s="23">
        <f>_xll.qlIndexFixing(hiborindex,AK5527)</f>
        <v>9.309788542587516E-3</v>
      </c>
    </row>
    <row r="5528" spans="37:39" x14ac:dyDescent="0.25">
      <c r="AK5528" s="21">
        <f>_xll.qlCalendarAdvance(calendar,AK5527,"1D")</f>
        <v>50431</v>
      </c>
      <c r="AL5528" s="21">
        <f>_xll.qlInterestRateIndexValueDate(hiborindex,AK5528)</f>
        <v>50433</v>
      </c>
      <c r="AM5528" s="23">
        <f>_xll.qlIndexFixing(hiborindex,AK5528)</f>
        <v>9.3073150330131148E-3</v>
      </c>
    </row>
    <row r="5529" spans="37:39" x14ac:dyDescent="0.25">
      <c r="AK5529" s="21">
        <f>_xll.qlCalendarAdvance(calendar,AK5528,"1D")</f>
        <v>50432</v>
      </c>
      <c r="AL5529" s="21">
        <f>_xll.qlInterestRateIndexValueDate(hiborindex,AK5529)</f>
        <v>50434</v>
      </c>
      <c r="AM5529" s="23">
        <f>_xll.qlIndexFixing(hiborindex,AK5529)</f>
        <v>9.3027892844287988E-3</v>
      </c>
    </row>
    <row r="5530" spans="37:39" x14ac:dyDescent="0.25">
      <c r="AK5530" s="21">
        <f>_xll.qlCalendarAdvance(calendar,AK5529,"1D")</f>
        <v>50433</v>
      </c>
      <c r="AL5530" s="21">
        <f>_xll.qlInterestRateIndexValueDate(hiborindex,AK5530)</f>
        <v>50437</v>
      </c>
      <c r="AM5530" s="23">
        <f>_xll.qlIndexFixing(hiborindex,AK5530)</f>
        <v>9.2954062357877756E-3</v>
      </c>
    </row>
    <row r="5531" spans="37:39" x14ac:dyDescent="0.25">
      <c r="AK5531" s="21">
        <f>_xll.qlCalendarAdvance(calendar,AK5530,"1D")</f>
        <v>50434</v>
      </c>
      <c r="AL5531" s="21">
        <f>_xll.qlInterestRateIndexValueDate(hiborindex,AK5531)</f>
        <v>50438</v>
      </c>
      <c r="AM5531" s="23">
        <f>_xll.qlIndexFixing(hiborindex,AK5531)</f>
        <v>9.2949372217390486E-3</v>
      </c>
    </row>
    <row r="5532" spans="37:39" x14ac:dyDescent="0.25">
      <c r="AK5532" s="21">
        <f>_xll.qlCalendarAdvance(calendar,AK5531,"1D")</f>
        <v>50437</v>
      </c>
      <c r="AL5532" s="21">
        <f>_xll.qlInterestRateIndexValueDate(hiborindex,AK5532)</f>
        <v>50439</v>
      </c>
      <c r="AM5532" s="23">
        <f>_xll.qlIndexFixing(hiborindex,AK5532)</f>
        <v>9.2924596068222828E-3</v>
      </c>
    </row>
    <row r="5533" spans="37:39" x14ac:dyDescent="0.25">
      <c r="AK5533" s="21">
        <f>_xll.qlCalendarAdvance(calendar,AK5532,"1D")</f>
        <v>50438</v>
      </c>
      <c r="AL5533" s="21">
        <f>_xll.qlInterestRateIndexValueDate(hiborindex,AK5533)</f>
        <v>50440</v>
      </c>
      <c r="AM5533" s="23">
        <f>_xll.qlIndexFixing(hiborindex,AK5533)</f>
        <v>9.2899813076895189E-3</v>
      </c>
    </row>
    <row r="5534" spans="37:39" x14ac:dyDescent="0.25">
      <c r="AK5534" s="21">
        <f>_xll.qlCalendarAdvance(calendar,AK5533,"1D")</f>
        <v>50439</v>
      </c>
      <c r="AL5534" s="21">
        <f>_xll.qlInterestRateIndexValueDate(hiborindex,AK5534)</f>
        <v>50441</v>
      </c>
      <c r="AM5534" s="23">
        <f>_xll.qlIndexFixing(hiborindex,AK5534)</f>
        <v>9.2875023243451735E-3</v>
      </c>
    </row>
    <row r="5535" spans="37:39" x14ac:dyDescent="0.25">
      <c r="AK5535" s="21">
        <f>_xll.qlCalendarAdvance(calendar,AK5534,"1D")</f>
        <v>50440</v>
      </c>
      <c r="AL5535" s="21">
        <f>_xll.qlInterestRateIndexValueDate(hiborindex,AK5535)</f>
        <v>50444</v>
      </c>
      <c r="AM5535" s="23">
        <f>_xll.qlIndexFixing(hiborindex,AK5535)</f>
        <v>9.2781553056172673E-3</v>
      </c>
    </row>
    <row r="5536" spans="37:39" x14ac:dyDescent="0.25">
      <c r="AK5536" s="21">
        <f>_xll.qlCalendarAdvance(calendar,AK5535,"1D")</f>
        <v>50441</v>
      </c>
      <c r="AL5536" s="21">
        <f>_xll.qlInterestRateIndexValueDate(hiborindex,AK5536)</f>
        <v>50445</v>
      </c>
      <c r="AM5536" s="23">
        <f>_xll.qlIndexFixing(hiborindex,AK5536)</f>
        <v>9.2775795488948022E-3</v>
      </c>
    </row>
    <row r="5537" spans="37:39" x14ac:dyDescent="0.25">
      <c r="AK5537" s="21">
        <f>_xll.qlCalendarAdvance(calendar,AK5536,"1D")</f>
        <v>50444</v>
      </c>
      <c r="AL5537" s="21">
        <f>_xll.qlInterestRateIndexValueDate(hiborindex,AK5537)</f>
        <v>50446</v>
      </c>
      <c r="AM5537" s="23">
        <f>_xll.qlIndexFixing(hiborindex,AK5537)</f>
        <v>9.2750971445269906E-3</v>
      </c>
    </row>
    <row r="5538" spans="37:39" x14ac:dyDescent="0.25">
      <c r="AK5538" s="21">
        <f>_xll.qlCalendarAdvance(calendar,AK5537,"1D")</f>
        <v>50445</v>
      </c>
      <c r="AL5538" s="21">
        <f>_xll.qlInterestRateIndexValueDate(hiborindex,AK5538)</f>
        <v>50447</v>
      </c>
      <c r="AM5538" s="23">
        <f>_xll.qlIndexFixing(hiborindex,AK5538)</f>
        <v>9.2726140559617302E-3</v>
      </c>
    </row>
    <row r="5539" spans="37:39" x14ac:dyDescent="0.25">
      <c r="AK5539" s="21">
        <f>_xll.qlCalendarAdvance(calendar,AK5538,"1D")</f>
        <v>50446</v>
      </c>
      <c r="AL5539" s="21">
        <f>_xll.qlInterestRateIndexValueDate(hiborindex,AK5539)</f>
        <v>50448</v>
      </c>
      <c r="AM5539" s="23">
        <f>_xll.qlIndexFixing(hiborindex,AK5539)</f>
        <v>9.2701302832021108E-3</v>
      </c>
    </row>
    <row r="5540" spans="37:39" x14ac:dyDescent="0.25">
      <c r="AK5540" s="21">
        <f>_xll.qlCalendarAdvance(calendar,AK5539,"1D")</f>
        <v>50447</v>
      </c>
      <c r="AL5540" s="21">
        <f>_xll.qlInterestRateIndexValueDate(hiborindex,AK5540)</f>
        <v>50451</v>
      </c>
      <c r="AM5540" s="23">
        <f>_xll.qlIndexFixing(hiborindex,AK5540)</f>
        <v>9.2608710328047072E-3</v>
      </c>
    </row>
    <row r="5541" spans="37:39" x14ac:dyDescent="0.25">
      <c r="AK5541" s="21">
        <f>_xll.qlCalendarAdvance(calendar,AK5540,"1D")</f>
        <v>50448</v>
      </c>
      <c r="AL5541" s="21">
        <f>_xll.qlInterestRateIndexValueDate(hiborindex,AK5541)</f>
        <v>50452</v>
      </c>
      <c r="AM5541" s="23">
        <f>_xll.qlIndexFixing(hiborindex,AK5541)</f>
        <v>9.2601883502712746E-3</v>
      </c>
    </row>
    <row r="5542" spans="37:39" x14ac:dyDescent="0.25">
      <c r="AK5542" s="21">
        <f>_xll.qlCalendarAdvance(calendar,AK5541,"1D")</f>
        <v>50451</v>
      </c>
      <c r="AL5542" s="21">
        <f>_xll.qlInterestRateIndexValueDate(hiborindex,AK5542)</f>
        <v>50453</v>
      </c>
      <c r="AM5542" s="23">
        <f>_xll.qlIndexFixing(hiborindex,AK5542)</f>
        <v>9.2577011565782834E-3</v>
      </c>
    </row>
    <row r="5543" spans="37:39" x14ac:dyDescent="0.25">
      <c r="AK5543" s="21">
        <f>_xll.qlCalendarAdvance(calendar,AK5542,"1D")</f>
        <v>50452</v>
      </c>
      <c r="AL5543" s="21">
        <f>_xll.qlInterestRateIndexValueDate(hiborindex,AK5543)</f>
        <v>50454</v>
      </c>
      <c r="AM5543" s="23">
        <f>_xll.qlIndexFixing(hiborindex,AK5543)</f>
        <v>9.2552132787059507E-3</v>
      </c>
    </row>
    <row r="5544" spans="37:39" x14ac:dyDescent="0.25">
      <c r="AK5544" s="21">
        <f>_xll.qlCalendarAdvance(calendar,AK5543,"1D")</f>
        <v>50453</v>
      </c>
      <c r="AL5544" s="21">
        <f>_xll.qlInterestRateIndexValueDate(hiborindex,AK5544)</f>
        <v>50455</v>
      </c>
      <c r="AM5544" s="23">
        <f>_xll.qlIndexFixing(hiborindex,AK5544)</f>
        <v>9.2527247166573658E-3</v>
      </c>
    </row>
    <row r="5545" spans="37:39" x14ac:dyDescent="0.25">
      <c r="AK5545" s="21">
        <f>_xll.qlCalendarAdvance(calendar,AK5544,"1D")</f>
        <v>50454</v>
      </c>
      <c r="AL5545" s="21">
        <f>_xll.qlInterestRateIndexValueDate(hiborindex,AK5545)</f>
        <v>50458</v>
      </c>
      <c r="AM5545" s="23">
        <f>_xll.qlIndexFixing(hiborindex,AK5545)</f>
        <v>9.2435534182241166E-3</v>
      </c>
    </row>
    <row r="5546" spans="37:39" x14ac:dyDescent="0.25">
      <c r="AK5546" s="21">
        <f>_xll.qlCalendarAdvance(calendar,AK5545,"1D")</f>
        <v>50455</v>
      </c>
      <c r="AL5546" s="21">
        <f>_xll.qlInterestRateIndexValueDate(hiborindex,AK5546)</f>
        <v>50459</v>
      </c>
      <c r="AM5546" s="23">
        <f>_xll.qlIndexFixing(hiborindex,AK5546)</f>
        <v>9.2427636267482065E-3</v>
      </c>
    </row>
    <row r="5547" spans="37:39" x14ac:dyDescent="0.25">
      <c r="AK5547" s="21">
        <f>_xll.qlCalendarAdvance(calendar,AK5546,"1D")</f>
        <v>50458</v>
      </c>
      <c r="AL5547" s="21">
        <f>_xll.qlInterestRateIndexValueDate(hiborindex,AK5547)</f>
        <v>50460</v>
      </c>
      <c r="AM5547" s="23">
        <f>_xll.qlIndexFixing(hiborindex,AK5547)</f>
        <v>9.2402716438550192E-3</v>
      </c>
    </row>
    <row r="5548" spans="37:39" x14ac:dyDescent="0.25">
      <c r="AK5548" s="21">
        <f>_xll.qlCalendarAdvance(calendar,AK5547,"1D")</f>
        <v>50459</v>
      </c>
      <c r="AL5548" s="21">
        <f>_xll.qlInterestRateIndexValueDate(hiborindex,AK5548)</f>
        <v>50461</v>
      </c>
      <c r="AM5548" s="23">
        <f>_xll.qlIndexFixing(hiborindex,AK5548)</f>
        <v>9.2377789768005956E-3</v>
      </c>
    </row>
    <row r="5549" spans="37:39" x14ac:dyDescent="0.25">
      <c r="AK5549" s="21">
        <f>_xll.qlCalendarAdvance(calendar,AK5548,"1D")</f>
        <v>50460</v>
      </c>
      <c r="AL5549" s="21">
        <f>_xll.qlInterestRateIndexValueDate(hiborindex,AK5549)</f>
        <v>50462</v>
      </c>
      <c r="AM5549" s="23">
        <f>_xll.qlIndexFixing(hiborindex,AK5549)</f>
        <v>9.2272692090560882E-3</v>
      </c>
    </row>
    <row r="5550" spans="37:39" x14ac:dyDescent="0.25">
      <c r="AK5550" s="21">
        <f>_xll.qlCalendarAdvance(calendar,AK5549,"1D")</f>
        <v>50461</v>
      </c>
      <c r="AL5550" s="21">
        <f>_xll.qlInterestRateIndexValueDate(hiborindex,AK5550)</f>
        <v>50465</v>
      </c>
      <c r="AM5550" s="23">
        <f>_xll.qlIndexFixing(hiborindex,AK5550)</f>
        <v>9.2230631779103827E-3</v>
      </c>
    </row>
    <row r="5551" spans="37:39" x14ac:dyDescent="0.25">
      <c r="AK5551" s="21">
        <f>_xll.qlCalendarAdvance(calendar,AK5550,"1D")</f>
        <v>50462</v>
      </c>
      <c r="AL5551" s="21">
        <f>_xll.qlInterestRateIndexValueDate(hiborindex,AK5551)</f>
        <v>50466</v>
      </c>
      <c r="AM5551" s="23">
        <f>_xll.qlIndexFixing(hiborindex,AK5551)</f>
        <v>9.2206105869665697E-3</v>
      </c>
    </row>
    <row r="5552" spans="37:39" x14ac:dyDescent="0.25">
      <c r="AK5552" s="21">
        <f>_xll.qlCalendarAdvance(calendar,AK5551,"1D")</f>
        <v>50465</v>
      </c>
      <c r="AL5552" s="21">
        <f>_xll.qlInterestRateIndexValueDate(hiborindex,AK5552)</f>
        <v>50467</v>
      </c>
      <c r="AM5552" s="23">
        <f>_xll.qlIndexFixing(hiborindex,AK5552)</f>
        <v>9.2181573229746169E-3</v>
      </c>
    </row>
    <row r="5553" spans="37:39" x14ac:dyDescent="0.25">
      <c r="AK5553" s="21">
        <f>_xll.qlCalendarAdvance(calendar,AK5552,"1D")</f>
        <v>50466</v>
      </c>
      <c r="AL5553" s="21">
        <f>_xll.qlInterestRateIndexValueDate(hiborindex,AK5553)</f>
        <v>50468</v>
      </c>
      <c r="AM5553" s="23">
        <f>_xll.qlIndexFixing(hiborindex,AK5553)</f>
        <v>9.2127249727723716E-3</v>
      </c>
    </row>
    <row r="5554" spans="37:39" x14ac:dyDescent="0.25">
      <c r="AK5554" s="21">
        <f>_xll.qlCalendarAdvance(calendar,AK5553,"1D")</f>
        <v>50467</v>
      </c>
      <c r="AL5554" s="21">
        <f>_xll.qlInterestRateIndexValueDate(hiborindex,AK5554)</f>
        <v>50469</v>
      </c>
      <c r="AM5554" s="23">
        <f>_xll.qlIndexFixing(hiborindex,AK5554)</f>
        <v>9.2117646246040134E-3</v>
      </c>
    </row>
    <row r="5555" spans="37:39" x14ac:dyDescent="0.25">
      <c r="AK5555" s="21">
        <f>_xll.qlCalendarAdvance(calendar,AK5554,"1D")</f>
        <v>50468</v>
      </c>
      <c r="AL5555" s="21">
        <f>_xll.qlInterestRateIndexValueDate(hiborindex,AK5555)</f>
        <v>50472</v>
      </c>
      <c r="AM5555" s="23">
        <f>_xll.qlIndexFixing(hiborindex,AK5555)</f>
        <v>9.2058809073748762E-3</v>
      </c>
    </row>
    <row r="5556" spans="37:39" x14ac:dyDescent="0.25">
      <c r="AK5556" s="21">
        <f>_xll.qlCalendarAdvance(calendar,AK5555,"1D")</f>
        <v>50469</v>
      </c>
      <c r="AL5556" s="21">
        <f>_xll.qlInterestRateIndexValueDate(hiborindex,AK5556)</f>
        <v>50473</v>
      </c>
      <c r="AM5556" s="23">
        <f>_xll.qlIndexFixing(hiborindex,AK5556)</f>
        <v>9.2034236051449191E-3</v>
      </c>
    </row>
    <row r="5557" spans="37:39" x14ac:dyDescent="0.25">
      <c r="AK5557" s="21">
        <f>_xll.qlCalendarAdvance(calendar,AK5556,"1D")</f>
        <v>50472</v>
      </c>
      <c r="AL5557" s="21">
        <f>_xll.qlInterestRateIndexValueDate(hiborindex,AK5557)</f>
        <v>50474</v>
      </c>
      <c r="AM5557" s="23">
        <f>_xll.qlIndexFixing(hiborindex,AK5557)</f>
        <v>9.2009656298841988E-3</v>
      </c>
    </row>
    <row r="5558" spans="37:39" x14ac:dyDescent="0.25">
      <c r="AK5558" s="21">
        <f>_xll.qlCalendarAdvance(calendar,AK5557,"1D")</f>
        <v>50473</v>
      </c>
      <c r="AL5558" s="21">
        <f>_xll.qlInterestRateIndexValueDate(hiborindex,AK5558)</f>
        <v>50475</v>
      </c>
      <c r="AM5558" s="23">
        <f>_xll.qlIndexFixing(hiborindex,AK5558)</f>
        <v>9.1957264012336223E-3</v>
      </c>
    </row>
    <row r="5559" spans="37:39" x14ac:dyDescent="0.25">
      <c r="AK5559" s="21">
        <f>_xll.qlCalendarAdvance(calendar,AK5558,"1D")</f>
        <v>50474</v>
      </c>
      <c r="AL5559" s="21">
        <f>_xll.qlInterestRateIndexValueDate(hiborindex,AK5559)</f>
        <v>50476</v>
      </c>
      <c r="AM5559" s="23">
        <f>_xll.qlIndexFixing(hiborindex,AK5559)</f>
        <v>9.1946629852850716E-3</v>
      </c>
    </row>
    <row r="5560" spans="37:39" x14ac:dyDescent="0.25">
      <c r="AK5560" s="21">
        <f>_xll.qlCalendarAdvance(calendar,AK5559,"1D")</f>
        <v>50475</v>
      </c>
      <c r="AL5560" s="21">
        <f>_xll.qlInterestRateIndexValueDate(hiborindex,AK5560)</f>
        <v>50479</v>
      </c>
      <c r="AM5560" s="23">
        <f>_xll.qlIndexFixing(hiborindex,AK5560)</f>
        <v>9.1886656582069355E-3</v>
      </c>
    </row>
    <row r="5561" spans="37:39" x14ac:dyDescent="0.25">
      <c r="AK5561" s="21">
        <f>_xll.qlCalendarAdvance(calendar,AK5560,"1D")</f>
        <v>50476</v>
      </c>
      <c r="AL5561" s="21">
        <f>_xll.qlInterestRateIndexValueDate(hiborindex,AK5561)</f>
        <v>50480</v>
      </c>
      <c r="AM5561" s="23">
        <f>_xll.qlIndexFixing(hiborindex,AK5561)</f>
        <v>9.1862036448142146E-3</v>
      </c>
    </row>
    <row r="5562" spans="37:39" x14ac:dyDescent="0.25">
      <c r="AK5562" s="21">
        <f>_xll.qlCalendarAdvance(calendar,AK5561,"1D")</f>
        <v>50479</v>
      </c>
      <c r="AL5562" s="21">
        <f>_xll.qlInterestRateIndexValueDate(hiborindex,AK5562)</f>
        <v>50481</v>
      </c>
      <c r="AM5562" s="23">
        <f>_xll.qlIndexFixing(hiborindex,AK5562)</f>
        <v>9.1837409584089764E-3</v>
      </c>
    </row>
    <row r="5563" spans="37:39" x14ac:dyDescent="0.25">
      <c r="AK5563" s="21">
        <f>_xll.qlCalendarAdvance(calendar,AK5562,"1D")</f>
        <v>50480</v>
      </c>
      <c r="AL5563" s="21">
        <f>_xll.qlInterestRateIndexValueDate(hiborindex,AK5563)</f>
        <v>50482</v>
      </c>
      <c r="AM5563" s="23">
        <f>_xll.qlIndexFixing(hiborindex,AK5563)</f>
        <v>9.1786952041856967E-3</v>
      </c>
    </row>
    <row r="5564" spans="37:39" x14ac:dyDescent="0.25">
      <c r="AK5564" s="21">
        <f>_xll.qlCalendarAdvance(calendar,AK5563,"1D")</f>
        <v>50481</v>
      </c>
      <c r="AL5564" s="21">
        <f>_xll.qlInterestRateIndexValueDate(hiborindex,AK5564)</f>
        <v>50483</v>
      </c>
      <c r="AM5564" s="23">
        <f>_xll.qlIndexFixing(hiborindex,AK5564)</f>
        <v>9.1775285451588685E-3</v>
      </c>
    </row>
    <row r="5565" spans="37:39" x14ac:dyDescent="0.25">
      <c r="AK5565" s="21">
        <f>_xll.qlCalendarAdvance(calendar,AK5564,"1D")</f>
        <v>50482</v>
      </c>
      <c r="AL5565" s="21">
        <f>_xll.qlInterestRateIndexValueDate(hiborindex,AK5565)</f>
        <v>50486</v>
      </c>
      <c r="AM5565" s="23">
        <f>_xll.qlIndexFixing(hiborindex,AK5565)</f>
        <v>9.1714174312749978E-3</v>
      </c>
    </row>
    <row r="5566" spans="37:39" x14ac:dyDescent="0.25">
      <c r="AK5566" s="21">
        <f>_xll.qlCalendarAdvance(calendar,AK5565,"1D")</f>
        <v>50483</v>
      </c>
      <c r="AL5566" s="21">
        <f>_xll.qlInterestRateIndexValueDate(hiborindex,AK5566)</f>
        <v>50487</v>
      </c>
      <c r="AM5566" s="23">
        <f>_xll.qlIndexFixing(hiborindex,AK5566)</f>
        <v>9.1689507068446283E-3</v>
      </c>
    </row>
    <row r="5567" spans="37:39" x14ac:dyDescent="0.25">
      <c r="AK5567" s="21">
        <f>_xll.qlCalendarAdvance(calendar,AK5566,"1D")</f>
        <v>50486</v>
      </c>
      <c r="AL5567" s="21">
        <f>_xll.qlInterestRateIndexValueDate(hiborindex,AK5567)</f>
        <v>50488</v>
      </c>
      <c r="AM5567" s="23">
        <f>_xll.qlIndexFixing(hiborindex,AK5567)</f>
        <v>9.1664833094191218E-3</v>
      </c>
    </row>
    <row r="5568" spans="37:39" x14ac:dyDescent="0.25">
      <c r="AK5568" s="21">
        <f>_xll.qlCalendarAdvance(calendar,AK5567,"1D")</f>
        <v>50487</v>
      </c>
      <c r="AL5568" s="21">
        <f>_xll.qlInterestRateIndexValueDate(hiborindex,AK5568)</f>
        <v>50489</v>
      </c>
      <c r="AM5568" s="23">
        <f>_xll.qlIndexFixing(hiborindex,AK5568)</f>
        <v>9.1616313824885529E-3</v>
      </c>
    </row>
    <row r="5569" spans="37:39" x14ac:dyDescent="0.25">
      <c r="AK5569" s="21">
        <f>_xll.qlCalendarAdvance(calendar,AK5568,"1D")</f>
        <v>50488</v>
      </c>
      <c r="AL5569" s="21">
        <f>_xll.qlInterestRateIndexValueDate(hiborindex,AK5569)</f>
        <v>50490</v>
      </c>
      <c r="AM5569" s="23">
        <f>_xll.qlIndexFixing(hiborindex,AK5569)</f>
        <v>9.1603613050891489E-3</v>
      </c>
    </row>
    <row r="5570" spans="37:39" x14ac:dyDescent="0.25">
      <c r="AK5570" s="21">
        <f>_xll.qlCalendarAdvance(calendar,AK5569,"1D")</f>
        <v>50489</v>
      </c>
      <c r="AL5570" s="21">
        <f>_xll.qlInterestRateIndexValueDate(hiborindex,AK5570)</f>
        <v>50493</v>
      </c>
      <c r="AM5570" s="23">
        <f>_xll.qlIndexFixing(hiborindex,AK5570)</f>
        <v>9.1541362274505378E-3</v>
      </c>
    </row>
    <row r="5571" spans="37:39" x14ac:dyDescent="0.25">
      <c r="AK5571" s="21">
        <f>_xll.qlCalendarAdvance(calendar,AK5570,"1D")</f>
        <v>50490</v>
      </c>
      <c r="AL5571" s="21">
        <f>_xll.qlInterestRateIndexValueDate(hiborindex,AK5571)</f>
        <v>50494</v>
      </c>
      <c r="AM5571" s="23">
        <f>_xll.qlIndexFixing(hiborindex,AK5571)</f>
        <v>9.1516647921067711E-3</v>
      </c>
    </row>
    <row r="5572" spans="37:39" x14ac:dyDescent="0.25">
      <c r="AK5572" s="21">
        <f>_xll.qlCalendarAdvance(calendar,AK5571,"1D")</f>
        <v>50493</v>
      </c>
      <c r="AL5572" s="21">
        <f>_xll.qlInterestRateIndexValueDate(hiborindex,AK5572)</f>
        <v>50495</v>
      </c>
      <c r="AM5572" s="23">
        <f>_xll.qlIndexFixing(hiborindex,AK5572)</f>
        <v>9.1503208379817482E-3</v>
      </c>
    </row>
    <row r="5573" spans="37:39" x14ac:dyDescent="0.25">
      <c r="AK5573" s="21">
        <f>_xll.qlCalendarAdvance(calendar,AK5572,"1D")</f>
        <v>50494</v>
      </c>
      <c r="AL5573" s="21">
        <f>_xll.qlInterestRateIndexValueDate(hiborindex,AK5573)</f>
        <v>50496</v>
      </c>
      <c r="AM5573" s="23">
        <f>_xll.qlIndexFixing(hiborindex,AK5573)</f>
        <v>9.1478336063851098E-3</v>
      </c>
    </row>
    <row r="5574" spans="37:39" x14ac:dyDescent="0.25">
      <c r="AK5574" s="21">
        <f>_xll.qlCalendarAdvance(calendar,AK5573,"1D")</f>
        <v>50495</v>
      </c>
      <c r="AL5574" s="21">
        <f>_xll.qlInterestRateIndexValueDate(hiborindex,AK5574)</f>
        <v>50497</v>
      </c>
      <c r="AM5574" s="23">
        <f>_xll.qlIndexFixing(hiborindex,AK5574)</f>
        <v>9.1431612659435401E-3</v>
      </c>
    </row>
    <row r="5575" spans="37:39" x14ac:dyDescent="0.25">
      <c r="AK5575" s="21">
        <f>_xll.qlCalendarAdvance(calendar,AK5574,"1D")</f>
        <v>50496</v>
      </c>
      <c r="AL5575" s="21">
        <f>_xll.qlInterestRateIndexValueDate(hiborindex,AK5575)</f>
        <v>50500</v>
      </c>
      <c r="AM5575" s="23">
        <f>_xll.qlIndexFixing(hiborindex,AK5575)</f>
        <v>9.1378779137196546E-3</v>
      </c>
    </row>
    <row r="5576" spans="37:39" x14ac:dyDescent="0.25">
      <c r="AK5576" s="21">
        <f>_xll.qlCalendarAdvance(calendar,AK5575,"1D")</f>
        <v>50497</v>
      </c>
      <c r="AL5576" s="21">
        <f>_xll.qlInterestRateIndexValueDate(hiborindex,AK5576)</f>
        <v>50501</v>
      </c>
      <c r="AM5576" s="23">
        <f>_xll.qlIndexFixing(hiborindex,AK5576)</f>
        <v>9.1353872989962323E-3</v>
      </c>
    </row>
    <row r="5577" spans="37:39" x14ac:dyDescent="0.25">
      <c r="AK5577" s="21">
        <f>_xll.qlCalendarAdvance(calendar,AK5576,"1D")</f>
        <v>50500</v>
      </c>
      <c r="AL5577" s="21">
        <f>_xll.qlInterestRateIndexValueDate(hiborindex,AK5577)</f>
        <v>50502</v>
      </c>
      <c r="AM5577" s="23">
        <f>_xll.qlIndexFixing(hiborindex,AK5577)</f>
        <v>9.1328960076547047E-3</v>
      </c>
    </row>
    <row r="5578" spans="37:39" x14ac:dyDescent="0.25">
      <c r="AK5578" s="21">
        <f>_xll.qlCalendarAdvance(calendar,AK5577,"1D")</f>
        <v>50501</v>
      </c>
      <c r="AL5578" s="21">
        <f>_xll.qlInterestRateIndexValueDate(hiborindex,AK5578)</f>
        <v>50503</v>
      </c>
      <c r="AM5578" s="23">
        <f>_xll.qlIndexFixing(hiborindex,AK5578)</f>
        <v>9.1304040396985638E-3</v>
      </c>
    </row>
    <row r="5579" spans="37:39" x14ac:dyDescent="0.25">
      <c r="AK5579" s="21">
        <f>_xll.qlCalendarAdvance(calendar,AK5578,"1D")</f>
        <v>50502</v>
      </c>
      <c r="AL5579" s="21">
        <f>_xll.qlInterestRateIndexValueDate(hiborindex,AK5579)</f>
        <v>50504</v>
      </c>
      <c r="AM5579" s="23">
        <f>_xll.qlIndexFixing(hiborindex,AK5579)</f>
        <v>9.1259284285901063E-3</v>
      </c>
    </row>
    <row r="5580" spans="37:39" x14ac:dyDescent="0.25">
      <c r="AK5580" s="21">
        <f>_xll.qlCalendarAdvance(calendar,AK5579,"1D")</f>
        <v>50503</v>
      </c>
      <c r="AL5580" s="21">
        <f>_xll.qlInterestRateIndexValueDate(hiborindex,AK5580)</f>
        <v>50507</v>
      </c>
      <c r="AM5580" s="23">
        <f>_xll.qlIndexFixing(hiborindex,AK5580)</f>
        <v>9.1204294017720108E-3</v>
      </c>
    </row>
    <row r="5581" spans="37:39" x14ac:dyDescent="0.25">
      <c r="AK5581" s="21">
        <f>_xll.qlCalendarAdvance(calendar,AK5580,"1D")</f>
        <v>50504</v>
      </c>
      <c r="AL5581" s="21">
        <f>_xll.qlInterestRateIndexValueDate(hiborindex,AK5581)</f>
        <v>50508</v>
      </c>
      <c r="AM5581" s="23">
        <f>_xll.qlIndexFixing(hiborindex,AK5581)</f>
        <v>9.117934050778197E-3</v>
      </c>
    </row>
    <row r="5582" spans="37:39" x14ac:dyDescent="0.25">
      <c r="AK5582" s="21">
        <f>_xll.qlCalendarAdvance(calendar,AK5581,"1D")</f>
        <v>50507</v>
      </c>
      <c r="AL5582" s="21">
        <f>_xll.qlInterestRateIndexValueDate(hiborindex,AK5582)</f>
        <v>50509</v>
      </c>
      <c r="AM5582" s="23">
        <f>_xll.qlIndexFixing(hiborindex,AK5582)</f>
        <v>9.1154380231841855E-3</v>
      </c>
    </row>
    <row r="5583" spans="37:39" x14ac:dyDescent="0.25">
      <c r="AK5583" s="21">
        <f>_xll.qlCalendarAdvance(calendar,AK5582,"1D")</f>
        <v>50508</v>
      </c>
      <c r="AL5583" s="21">
        <f>_xll.qlInterestRateIndexValueDate(hiborindex,AK5583)</f>
        <v>50510</v>
      </c>
      <c r="AM5583" s="23">
        <f>_xll.qlIndexFixing(hiborindex,AK5583)</f>
        <v>9.1129413189934717E-3</v>
      </c>
    </row>
    <row r="5584" spans="37:39" x14ac:dyDescent="0.25">
      <c r="AK5584" s="21">
        <f>_xll.qlCalendarAdvance(calendar,AK5583,"1D")</f>
        <v>50509</v>
      </c>
      <c r="AL5584" s="21">
        <f>_xll.qlInterestRateIndexValueDate(hiborindex,AK5584)</f>
        <v>50511</v>
      </c>
      <c r="AM5584" s="23">
        <f>_xll.qlIndexFixing(hiborindex,AK5584)</f>
        <v>9.1086627938986378E-3</v>
      </c>
    </row>
    <row r="5585" spans="37:39" x14ac:dyDescent="0.25">
      <c r="AK5585" s="21">
        <f>_xll.qlCalendarAdvance(calendar,AK5584,"1D")</f>
        <v>50510</v>
      </c>
      <c r="AL5585" s="21">
        <f>_xll.qlInterestRateIndexValueDate(hiborindex,AK5585)</f>
        <v>50514</v>
      </c>
      <c r="AM5585" s="23">
        <f>_xll.qlIndexFixing(hiborindex,AK5585)</f>
        <v>9.1029477363098986E-3</v>
      </c>
    </row>
    <row r="5586" spans="37:39" x14ac:dyDescent="0.25">
      <c r="AK5586" s="21">
        <f>_xll.qlCalendarAdvance(calendar,AK5585,"1D")</f>
        <v>50511</v>
      </c>
      <c r="AL5586" s="21">
        <f>_xll.qlInterestRateIndexValueDate(hiborindex,AK5586)</f>
        <v>50515</v>
      </c>
      <c r="AM5586" s="23">
        <f>_xll.qlIndexFixing(hiborindex,AK5586)</f>
        <v>9.1004476491714937E-3</v>
      </c>
    </row>
    <row r="5587" spans="37:39" x14ac:dyDescent="0.25">
      <c r="AK5587" s="21">
        <f>_xll.qlCalendarAdvance(calendar,AK5586,"1D")</f>
        <v>50514</v>
      </c>
      <c r="AL5587" s="21">
        <f>_xll.qlInterestRateIndexValueDate(hiborindex,AK5587)</f>
        <v>50516</v>
      </c>
      <c r="AM5587" s="23">
        <f>_xll.qlIndexFixing(hiborindex,AK5587)</f>
        <v>9.0979468854516746E-3</v>
      </c>
    </row>
    <row r="5588" spans="37:39" x14ac:dyDescent="0.25">
      <c r="AK5588" s="21">
        <f>_xll.qlCalendarAdvance(calendar,AK5587,"1D")</f>
        <v>50515</v>
      </c>
      <c r="AL5588" s="21">
        <f>_xll.qlInterestRateIndexValueDate(hiborindex,AK5588)</f>
        <v>50517</v>
      </c>
      <c r="AM5588" s="23">
        <f>_xll.qlIndexFixing(hiborindex,AK5588)</f>
        <v>9.0954454451526254E-3</v>
      </c>
    </row>
    <row r="5589" spans="37:39" x14ac:dyDescent="0.25">
      <c r="AK5589" s="21">
        <f>_xll.qlCalendarAdvance(calendar,AK5588,"1D")</f>
        <v>50516</v>
      </c>
      <c r="AL5589" s="21">
        <f>_xll.qlInterestRateIndexValueDate(hiborindex,AK5589)</f>
        <v>50522</v>
      </c>
      <c r="AM5589" s="23">
        <f>_xll.qlIndexFixing(hiborindex,AK5589)</f>
        <v>9.082928095059787E-3</v>
      </c>
    </row>
    <row r="5590" spans="37:39" x14ac:dyDescent="0.25">
      <c r="AK5590" s="21">
        <f>_xll.qlCalendarAdvance(calendar,AK5589,"1D")</f>
        <v>50517</v>
      </c>
      <c r="AL5590" s="21">
        <f>_xll.qlInterestRateIndexValueDate(hiborindex,AK5590)</f>
        <v>50523</v>
      </c>
      <c r="AM5590" s="23">
        <f>_xll.qlIndexFixing(hiborindex,AK5590)</f>
        <v>9.0804225953395237E-3</v>
      </c>
    </row>
    <row r="5591" spans="37:39" x14ac:dyDescent="0.25">
      <c r="AK5591" s="21">
        <f>_xll.qlCalendarAdvance(calendar,AK5590,"1D")</f>
        <v>50522</v>
      </c>
      <c r="AL5591" s="21">
        <f>_xll.qlInterestRateIndexValueDate(hiborindex,AK5591)</f>
        <v>50524</v>
      </c>
      <c r="AM5591" s="23">
        <f>_xll.qlIndexFixing(hiborindex,AK5591)</f>
        <v>9.0779164190583749E-3</v>
      </c>
    </row>
    <row r="5592" spans="37:39" x14ac:dyDescent="0.25">
      <c r="AK5592" s="21">
        <f>_xll.qlCalendarAdvance(calendar,AK5591,"1D")</f>
        <v>50523</v>
      </c>
      <c r="AL5592" s="21">
        <f>_xll.qlInterestRateIndexValueDate(hiborindex,AK5592)</f>
        <v>50525</v>
      </c>
      <c r="AM5592" s="23">
        <f>_xll.qlIndexFixing(hiborindex,AK5592)</f>
        <v>9.0761124572173828E-3</v>
      </c>
    </row>
    <row r="5593" spans="37:39" x14ac:dyDescent="0.25">
      <c r="AK5593" s="21">
        <f>_xll.qlCalendarAdvance(calendar,AK5592,"1D")</f>
        <v>50524</v>
      </c>
      <c r="AL5593" s="21">
        <f>_xll.qlInterestRateIndexValueDate(hiborindex,AK5593)</f>
        <v>50528</v>
      </c>
      <c r="AM5593" s="23">
        <f>_xll.qlIndexFixing(hiborindex,AK5593)</f>
        <v>9.067235585529871E-3</v>
      </c>
    </row>
    <row r="5594" spans="37:39" x14ac:dyDescent="0.25">
      <c r="AK5594" s="21">
        <f>_xll.qlCalendarAdvance(calendar,AK5593,"1D")</f>
        <v>50525</v>
      </c>
      <c r="AL5594" s="21">
        <f>_xll.qlInterestRateIndexValueDate(hiborindex,AK5594)</f>
        <v>50529</v>
      </c>
      <c r="AM5594" s="23">
        <f>_xll.qlIndexFixing(hiborindex,AK5594)</f>
        <v>9.0647405974945677E-3</v>
      </c>
    </row>
    <row r="5595" spans="37:39" x14ac:dyDescent="0.25">
      <c r="AK5595" s="21">
        <f>_xll.qlCalendarAdvance(calendar,AK5594,"1D")</f>
        <v>50528</v>
      </c>
      <c r="AL5595" s="21">
        <f>_xll.qlInterestRateIndexValueDate(hiborindex,AK5595)</f>
        <v>50530</v>
      </c>
      <c r="AM5595" s="23">
        <f>_xll.qlIndexFixing(hiborindex,AK5595)</f>
        <v>9.0622449365718657E-3</v>
      </c>
    </row>
    <row r="5596" spans="37:39" x14ac:dyDescent="0.25">
      <c r="AK5596" s="21">
        <f>_xll.qlCalendarAdvance(calendar,AK5595,"1D")</f>
        <v>50529</v>
      </c>
      <c r="AL5596" s="21">
        <f>_xll.qlInterestRateIndexValueDate(hiborindex,AK5596)</f>
        <v>50531</v>
      </c>
      <c r="AM5596" s="23">
        <f>_xll.qlIndexFixing(hiborindex,AK5596)</f>
        <v>9.0585633830261043E-3</v>
      </c>
    </row>
    <row r="5597" spans="37:39" x14ac:dyDescent="0.25">
      <c r="AK5597" s="21">
        <f>_xll.qlCalendarAdvance(calendar,AK5596,"1D")</f>
        <v>50530</v>
      </c>
      <c r="AL5597" s="21">
        <f>_xll.qlInterestRateIndexValueDate(hiborindex,AK5597)</f>
        <v>50532</v>
      </c>
      <c r="AM5597" s="23">
        <f>_xll.qlIndexFixing(hiborindex,AK5597)</f>
        <v>9.0566691145211545E-3</v>
      </c>
    </row>
    <row r="5598" spans="37:39" x14ac:dyDescent="0.25">
      <c r="AK5598" s="21">
        <f>_xll.qlCalendarAdvance(calendar,AK5597,"1D")</f>
        <v>50531</v>
      </c>
      <c r="AL5598" s="21">
        <f>_xll.qlInterestRateIndexValueDate(hiborindex,AK5598)</f>
        <v>50535</v>
      </c>
      <c r="AM5598" s="23">
        <f>_xll.qlIndexFixing(hiborindex,AK5598)</f>
        <v>9.0497565387273257E-3</v>
      </c>
    </row>
    <row r="5599" spans="37:39" x14ac:dyDescent="0.25">
      <c r="AK5599" s="21">
        <f>_xll.qlCalendarAdvance(calendar,AK5598,"1D")</f>
        <v>50532</v>
      </c>
      <c r="AL5599" s="21">
        <f>_xll.qlInterestRateIndexValueDate(hiborindex,AK5599)</f>
        <v>50536</v>
      </c>
      <c r="AM5599" s="23">
        <f>_xll.qlIndexFixing(hiborindex,AK5599)</f>
        <v>9.0472568405310649E-3</v>
      </c>
    </row>
    <row r="5600" spans="37:39" x14ac:dyDescent="0.25">
      <c r="AK5600" s="21">
        <f>_xll.qlCalendarAdvance(calendar,AK5599,"1D")</f>
        <v>50535</v>
      </c>
      <c r="AL5600" s="21">
        <f>_xll.qlInterestRateIndexValueDate(hiborindex,AK5600)</f>
        <v>50537</v>
      </c>
      <c r="AM5600" s="23">
        <f>_xll.qlIndexFixing(hiborindex,AK5600)</f>
        <v>9.0447564694643486E-3</v>
      </c>
    </row>
    <row r="5601" spans="37:39" x14ac:dyDescent="0.25">
      <c r="AK5601" s="21">
        <f>_xll.qlCalendarAdvance(calendar,AK5600,"1D")</f>
        <v>50536</v>
      </c>
      <c r="AL5601" s="21">
        <f>_xll.qlInterestRateIndexValueDate(hiborindex,AK5601)</f>
        <v>50538</v>
      </c>
      <c r="AM5601" s="23">
        <f>_xll.qlIndexFixing(hiborindex,AK5601)</f>
        <v>9.0412712129960306E-3</v>
      </c>
    </row>
    <row r="5602" spans="37:39" x14ac:dyDescent="0.25">
      <c r="AK5602" s="21">
        <f>_xll.qlCalendarAdvance(calendar,AK5601,"1D")</f>
        <v>50537</v>
      </c>
      <c r="AL5602" s="21">
        <f>_xll.qlInterestRateIndexValueDate(hiborindex,AK5602)</f>
        <v>50539</v>
      </c>
      <c r="AM5602" s="23">
        <f>_xll.qlIndexFixing(hiborindex,AK5602)</f>
        <v>9.039272299210456E-3</v>
      </c>
    </row>
    <row r="5603" spans="37:39" x14ac:dyDescent="0.25">
      <c r="AK5603" s="21">
        <f>_xll.qlCalendarAdvance(calendar,AK5602,"1D")</f>
        <v>50538</v>
      </c>
      <c r="AL5603" s="21">
        <f>_xll.qlInterestRateIndexValueDate(hiborindex,AK5603)</f>
        <v>50542</v>
      </c>
      <c r="AM5603" s="23">
        <f>_xll.qlIndexFixing(hiborindex,AK5603)</f>
        <v>9.0322445211738663E-3</v>
      </c>
    </row>
    <row r="5604" spans="37:39" x14ac:dyDescent="0.25">
      <c r="AK5604" s="21">
        <f>_xll.qlCalendarAdvance(calendar,AK5603,"1D")</f>
        <v>50539</v>
      </c>
      <c r="AL5604" s="21">
        <f>_xll.qlInterestRateIndexValueDate(hiborindex,AK5604)</f>
        <v>50543</v>
      </c>
      <c r="AM5604" s="23">
        <f>_xll.qlIndexFixing(hiborindex,AK5604)</f>
        <v>9.0297401129422004E-3</v>
      </c>
    </row>
    <row r="5605" spans="37:39" x14ac:dyDescent="0.25">
      <c r="AK5605" s="21">
        <f>_xll.qlCalendarAdvance(calendar,AK5604,"1D")</f>
        <v>50542</v>
      </c>
      <c r="AL5605" s="21">
        <f>_xll.qlInterestRateIndexValueDate(hiborindex,AK5605)</f>
        <v>50544</v>
      </c>
      <c r="AM5605" s="23">
        <f>_xll.qlIndexFixing(hiborindex,AK5605)</f>
        <v>9.0272350318587602E-3</v>
      </c>
    </row>
    <row r="5606" spans="37:39" x14ac:dyDescent="0.25">
      <c r="AK5606" s="21">
        <f>_xll.qlCalendarAdvance(calendar,AK5605,"1D")</f>
        <v>50543</v>
      </c>
      <c r="AL5606" s="21">
        <f>_xll.qlInterestRateIndexValueDate(hiborindex,AK5606)</f>
        <v>50545</v>
      </c>
      <c r="AM5606" s="23">
        <f>_xll.qlIndexFixing(hiborindex,AK5606)</f>
        <v>9.023946425254413E-3</v>
      </c>
    </row>
    <row r="5607" spans="37:39" x14ac:dyDescent="0.25">
      <c r="AK5607" s="21">
        <f>_xll.qlCalendarAdvance(calendar,AK5606,"1D")</f>
        <v>50544</v>
      </c>
      <c r="AL5607" s="21">
        <f>_xll.qlInterestRateIndexValueDate(hiborindex,AK5607)</f>
        <v>50546</v>
      </c>
      <c r="AM5607" s="23">
        <f>_xll.qlIndexFixing(hiborindex,AK5607)</f>
        <v>9.0218426909361663E-3</v>
      </c>
    </row>
    <row r="5608" spans="37:39" x14ac:dyDescent="0.25">
      <c r="AK5608" s="21">
        <f>_xll.qlCalendarAdvance(calendar,AK5607,"1D")</f>
        <v>50545</v>
      </c>
      <c r="AL5608" s="21">
        <f>_xll.qlInterestRateIndexValueDate(hiborindex,AK5608)</f>
        <v>50549</v>
      </c>
      <c r="AM5608" s="23">
        <f>_xll.qlIndexFixing(hiborindex,AK5608)</f>
        <v>9.0146995337535719E-3</v>
      </c>
    </row>
    <row r="5609" spans="37:39" x14ac:dyDescent="0.25">
      <c r="AK5609" s="21">
        <f>_xll.qlCalendarAdvance(calendar,AK5608,"1D")</f>
        <v>50546</v>
      </c>
      <c r="AL5609" s="21">
        <f>_xll.qlInterestRateIndexValueDate(hiborindex,AK5609)</f>
        <v>50550</v>
      </c>
      <c r="AM5609" s="23">
        <f>_xll.qlIndexFixing(hiborindex,AK5609)</f>
        <v>9.012190415613356E-3</v>
      </c>
    </row>
    <row r="5610" spans="37:39" x14ac:dyDescent="0.25">
      <c r="AK5610" s="21">
        <f>_xll.qlCalendarAdvance(calendar,AK5609,"1D")</f>
        <v>50549</v>
      </c>
      <c r="AL5610" s="21">
        <f>_xll.qlInterestRateIndexValueDate(hiborindex,AK5610)</f>
        <v>50551</v>
      </c>
      <c r="AM5610" s="23">
        <f>_xll.qlIndexFixing(hiborindex,AK5610)</f>
        <v>9.0096806246387426E-3</v>
      </c>
    </row>
    <row r="5611" spans="37:39" x14ac:dyDescent="0.25">
      <c r="AK5611" s="21">
        <f>_xll.qlCalendarAdvance(calendar,AK5610,"1D")</f>
        <v>50550</v>
      </c>
      <c r="AL5611" s="21">
        <f>_xll.qlInterestRateIndexValueDate(hiborindex,AK5611)</f>
        <v>50552</v>
      </c>
      <c r="AM5611" s="23">
        <f>_xll.qlIndexFixing(hiborindex,AK5611)</f>
        <v>9.0065890206753926E-3</v>
      </c>
    </row>
    <row r="5612" spans="37:39" x14ac:dyDescent="0.25">
      <c r="AK5612" s="21">
        <f>_xll.qlCalendarAdvance(calendar,AK5611,"1D")</f>
        <v>50551</v>
      </c>
      <c r="AL5612" s="21">
        <f>_xll.qlInterestRateIndexValueDate(hiborindex,AK5612)</f>
        <v>50553</v>
      </c>
      <c r="AM5612" s="23">
        <f>_xll.qlIndexFixing(hiborindex,AK5612)</f>
        <v>9.0043802905780193E-3</v>
      </c>
    </row>
    <row r="5613" spans="37:39" x14ac:dyDescent="0.25">
      <c r="AK5613" s="21">
        <f>_xll.qlCalendarAdvance(calendar,AK5612,"1D")</f>
        <v>50552</v>
      </c>
      <c r="AL5613" s="21">
        <f>_xll.qlInterestRateIndexValueDate(hiborindex,AK5613)</f>
        <v>50556</v>
      </c>
      <c r="AM5613" s="23">
        <f>_xll.qlIndexFixing(hiborindex,AK5613)</f>
        <v>8.9973615692749455E-3</v>
      </c>
    </row>
    <row r="5614" spans="37:39" x14ac:dyDescent="0.25">
      <c r="AK5614" s="21">
        <f>_xll.qlCalendarAdvance(calendar,AK5613,"1D")</f>
        <v>50553</v>
      </c>
      <c r="AL5614" s="21">
        <f>_xll.qlInterestRateIndexValueDate(hiborindex,AK5614)</f>
        <v>50557</v>
      </c>
      <c r="AM5614" s="23">
        <f>_xll.qlIndexFixing(hiborindex,AK5614)</f>
        <v>8.9948330679295967E-3</v>
      </c>
    </row>
    <row r="5615" spans="37:39" x14ac:dyDescent="0.25">
      <c r="AK5615" s="21">
        <f>_xll.qlCalendarAdvance(calendar,AK5614,"1D")</f>
        <v>50556</v>
      </c>
      <c r="AL5615" s="21">
        <f>_xll.qlInterestRateIndexValueDate(hiborindex,AK5615)</f>
        <v>50558</v>
      </c>
      <c r="AM5615" s="23">
        <f>_xll.qlIndexFixing(hiborindex,AK5615)</f>
        <v>8.992303890111162E-3</v>
      </c>
    </row>
    <row r="5616" spans="37:39" x14ac:dyDescent="0.25">
      <c r="AK5616" s="21">
        <f>_xll.qlCalendarAdvance(calendar,AK5615,"1D")</f>
        <v>50557</v>
      </c>
      <c r="AL5616" s="21">
        <f>_xll.qlInterestRateIndexValueDate(hiborindex,AK5616)</f>
        <v>50559</v>
      </c>
      <c r="AM5616" s="23">
        <f>_xll.qlIndexFixing(hiborindex,AK5616)</f>
        <v>8.9897740358222625E-3</v>
      </c>
    </row>
    <row r="5617" spans="37:39" x14ac:dyDescent="0.25">
      <c r="AK5617" s="21">
        <f>_xll.qlCalendarAdvance(calendar,AK5616,"1D")</f>
        <v>50558</v>
      </c>
      <c r="AL5617" s="21">
        <f>_xll.qlInterestRateIndexValueDate(hiborindex,AK5617)</f>
        <v>50560</v>
      </c>
      <c r="AM5617" s="23">
        <f>_xll.qlIndexFixing(hiborindex,AK5617)</f>
        <v>8.9868850990187672E-3</v>
      </c>
    </row>
    <row r="5618" spans="37:39" x14ac:dyDescent="0.25">
      <c r="AK5618" s="21">
        <f>_xll.qlCalendarAdvance(calendar,AK5617,"1D")</f>
        <v>50559</v>
      </c>
      <c r="AL5618" s="21">
        <f>_xll.qlInterestRateIndexValueDate(hiborindex,AK5618)</f>
        <v>50563</v>
      </c>
      <c r="AM5618" s="23">
        <f>_xll.qlIndexFixing(hiborindex,AK5618)</f>
        <v>8.9796478540166251E-3</v>
      </c>
    </row>
    <row r="5619" spans="37:39" x14ac:dyDescent="0.25">
      <c r="AK5619" s="21">
        <f>_xll.qlCalendarAdvance(calendar,AK5618,"1D")</f>
        <v>50560</v>
      </c>
      <c r="AL5619" s="21">
        <f>_xll.qlInterestRateIndexValueDate(hiborindex,AK5619)</f>
        <v>50564</v>
      </c>
      <c r="AM5619" s="23">
        <f>_xll.qlIndexFixing(hiborindex,AK5619)</f>
        <v>8.9771146174151533E-3</v>
      </c>
    </row>
    <row r="5620" spans="37:39" x14ac:dyDescent="0.25">
      <c r="AK5620" s="21">
        <f>_xll.qlCalendarAdvance(calendar,AK5619,"1D")</f>
        <v>50563</v>
      </c>
      <c r="AL5620" s="21">
        <f>_xll.qlInterestRateIndexValueDate(hiborindex,AK5620)</f>
        <v>50565</v>
      </c>
      <c r="AM5620" s="23">
        <f>_xll.qlIndexFixing(hiborindex,AK5620)</f>
        <v>8.9745807043598164E-3</v>
      </c>
    </row>
    <row r="5621" spans="37:39" x14ac:dyDescent="0.25">
      <c r="AK5621" s="21">
        <f>_xll.qlCalendarAdvance(calendar,AK5620,"1D")</f>
        <v>50564</v>
      </c>
      <c r="AL5621" s="21">
        <f>_xll.qlInterestRateIndexValueDate(hiborindex,AK5621)</f>
        <v>50566</v>
      </c>
      <c r="AM5621" s="23">
        <f>_xll.qlIndexFixing(hiborindex,AK5621)</f>
        <v>8.9720461148514886E-3</v>
      </c>
    </row>
    <row r="5622" spans="37:39" x14ac:dyDescent="0.25">
      <c r="AK5622" s="21">
        <f>_xll.qlCalendarAdvance(calendar,AK5621,"1D")</f>
        <v>50565</v>
      </c>
      <c r="AL5622" s="21">
        <f>_xll.qlInterestRateIndexValueDate(hiborindex,AK5622)</f>
        <v>50567</v>
      </c>
      <c r="AM5622" s="23">
        <f>_xll.qlIndexFixing(hiborindex,AK5622)</f>
        <v>8.9693571171398645E-3</v>
      </c>
    </row>
    <row r="5623" spans="37:39" x14ac:dyDescent="0.25">
      <c r="AK5623" s="21">
        <f>_xll.qlCalendarAdvance(calendar,AK5622,"1D")</f>
        <v>50566</v>
      </c>
      <c r="AL5623" s="21">
        <f>_xll.qlInterestRateIndexValueDate(hiborindex,AK5623)</f>
        <v>50570</v>
      </c>
      <c r="AM5623" s="23">
        <f>_xll.qlIndexFixing(hiborindex,AK5623)</f>
        <v>8.9619009923507173E-3</v>
      </c>
    </row>
    <row r="5624" spans="37:39" x14ac:dyDescent="0.25">
      <c r="AK5624" s="21">
        <f>_xll.qlCalendarAdvance(calendar,AK5623,"1D")</f>
        <v>50567</v>
      </c>
      <c r="AL5624" s="21">
        <f>_xll.qlInterestRateIndexValueDate(hiborindex,AK5624)</f>
        <v>50571</v>
      </c>
      <c r="AM5624" s="23">
        <f>_xll.qlIndexFixing(hiborindex,AK5624)</f>
        <v>8.9593630206215458E-3</v>
      </c>
    </row>
    <row r="5625" spans="37:39" x14ac:dyDescent="0.25">
      <c r="AK5625" s="21">
        <f>_xll.qlCalendarAdvance(calendar,AK5624,"1D")</f>
        <v>50570</v>
      </c>
      <c r="AL5625" s="21">
        <f>_xll.qlInterestRateIndexValueDate(hiborindex,AK5625)</f>
        <v>50572</v>
      </c>
      <c r="AM5625" s="23">
        <f>_xll.qlIndexFixing(hiborindex,AK5625)</f>
        <v>8.9568243724559831E-3</v>
      </c>
    </row>
    <row r="5626" spans="37:39" x14ac:dyDescent="0.25">
      <c r="AK5626" s="21">
        <f>_xll.qlCalendarAdvance(calendar,AK5625,"1D")</f>
        <v>50571</v>
      </c>
      <c r="AL5626" s="21">
        <f>_xll.qlInterestRateIndexValueDate(hiborindex,AK5626)</f>
        <v>50573</v>
      </c>
      <c r="AM5626" s="23">
        <f>_xll.qlIndexFixing(hiborindex,AK5626)</f>
        <v>8.9542850478566468E-3</v>
      </c>
    </row>
    <row r="5627" spans="37:39" x14ac:dyDescent="0.25">
      <c r="AK5627" s="21">
        <f>_xll.qlCalendarAdvance(calendar,AK5626,"1D")</f>
        <v>50572</v>
      </c>
      <c r="AL5627" s="21">
        <f>_xll.qlInterestRateIndexValueDate(hiborindex,AK5627)</f>
        <v>50574</v>
      </c>
      <c r="AM5627" s="23">
        <f>_xll.qlIndexFixing(hiborindex,AK5627)</f>
        <v>8.9517963458270924E-3</v>
      </c>
    </row>
    <row r="5628" spans="37:39" x14ac:dyDescent="0.25">
      <c r="AK5628" s="21">
        <f>_xll.qlCalendarAdvance(calendar,AK5627,"1D")</f>
        <v>50573</v>
      </c>
      <c r="AL5628" s="21">
        <f>_xll.qlInterestRateIndexValueDate(hiborindex,AK5628)</f>
        <v>50577</v>
      </c>
      <c r="AM5628" s="23">
        <f>_xll.qlIndexFixing(hiborindex,AK5628)</f>
        <v>8.9441209851735572E-3</v>
      </c>
    </row>
    <row r="5629" spans="37:39" x14ac:dyDescent="0.25">
      <c r="AK5629" s="21">
        <f>_xll.qlCalendarAdvance(calendar,AK5628,"1D")</f>
        <v>50574</v>
      </c>
      <c r="AL5629" s="21">
        <f>_xll.qlInterestRateIndexValueDate(hiborindex,AK5629)</f>
        <v>50578</v>
      </c>
      <c r="AM5629" s="23">
        <f>_xll.qlIndexFixing(hiborindex,AK5629)</f>
        <v>8.9415782784442351E-3</v>
      </c>
    </row>
    <row r="5630" spans="37:39" x14ac:dyDescent="0.25">
      <c r="AK5630" s="21">
        <f>_xll.qlCalendarAdvance(calendar,AK5629,"1D")</f>
        <v>50577</v>
      </c>
      <c r="AL5630" s="21">
        <f>_xll.qlInterestRateIndexValueDate(hiborindex,AK5630)</f>
        <v>50579</v>
      </c>
      <c r="AM5630" s="23">
        <f>_xll.qlIndexFixing(hiborindex,AK5630)</f>
        <v>8.9390348952973018E-3</v>
      </c>
    </row>
    <row r="5631" spans="37:39" x14ac:dyDescent="0.25">
      <c r="AK5631" s="21">
        <f>_xll.qlCalendarAdvance(calendar,AK5630,"1D")</f>
        <v>50578</v>
      </c>
      <c r="AL5631" s="21">
        <f>_xll.qlInterestRateIndexValueDate(hiborindex,AK5631)</f>
        <v>50580</v>
      </c>
      <c r="AM5631" s="23">
        <f>_xll.qlIndexFixing(hiborindex,AK5631)</f>
        <v>8.936490835734506E-3</v>
      </c>
    </row>
    <row r="5632" spans="37:39" x14ac:dyDescent="0.25">
      <c r="AK5632" s="21">
        <f>_xll.qlCalendarAdvance(calendar,AK5631,"1D")</f>
        <v>50579</v>
      </c>
      <c r="AL5632" s="21">
        <f>_xll.qlInterestRateIndexValueDate(hiborindex,AK5632)</f>
        <v>50581</v>
      </c>
      <c r="AM5632" s="23">
        <f>_xll.qlIndexFixing(hiborindex,AK5632)</f>
        <v>8.9342027859666603E-3</v>
      </c>
    </row>
    <row r="5633" spans="37:39" x14ac:dyDescent="0.25">
      <c r="AK5633" s="21">
        <f>_xll.qlCalendarAdvance(calendar,AK5632,"1D")</f>
        <v>50580</v>
      </c>
      <c r="AL5633" s="21">
        <f>_xll.qlInterestRateIndexValueDate(hiborindex,AK5633)</f>
        <v>50584</v>
      </c>
      <c r="AM5633" s="23">
        <f>_xll.qlIndexFixing(hiborindex,AK5633)</f>
        <v>8.9263078333819117E-3</v>
      </c>
    </row>
    <row r="5634" spans="37:39" x14ac:dyDescent="0.25">
      <c r="AK5634" s="21">
        <f>_xll.qlCalendarAdvance(calendar,AK5633,"1D")</f>
        <v>50581</v>
      </c>
      <c r="AL5634" s="21">
        <f>_xll.qlInterestRateIndexValueDate(hiborindex,AK5634)</f>
        <v>50585</v>
      </c>
      <c r="AM5634" s="23">
        <f>_xll.qlIndexFixing(hiborindex,AK5634)</f>
        <v>8.923760391781296E-3</v>
      </c>
    </row>
    <row r="5635" spans="37:39" x14ac:dyDescent="0.25">
      <c r="AK5635" s="21">
        <f>_xll.qlCalendarAdvance(calendar,AK5634,"1D")</f>
        <v>50584</v>
      </c>
      <c r="AL5635" s="21">
        <f>_xll.qlInterestRateIndexValueDate(hiborindex,AK5635)</f>
        <v>50586</v>
      </c>
      <c r="AM5635" s="23">
        <f>_xll.qlIndexFixing(hiborindex,AK5635)</f>
        <v>8.9214140754003898E-3</v>
      </c>
    </row>
    <row r="5636" spans="37:39" x14ac:dyDescent="0.25">
      <c r="AK5636" s="21">
        <f>_xll.qlCalendarAdvance(calendar,AK5635,"1D")</f>
        <v>50585</v>
      </c>
      <c r="AL5636" s="21">
        <f>_xll.qlInterestRateIndexValueDate(hiborindex,AK5636)</f>
        <v>50587</v>
      </c>
      <c r="AM5636" s="23">
        <f>_xll.qlIndexFixing(hiborindex,AK5636)</f>
        <v>8.9220005637487138E-3</v>
      </c>
    </row>
    <row r="5637" spans="37:39" x14ac:dyDescent="0.25">
      <c r="AK5637" s="21">
        <f>_xll.qlCalendarAdvance(calendar,AK5636,"1D")</f>
        <v>50586</v>
      </c>
      <c r="AL5637" s="21">
        <f>_xll.qlInterestRateIndexValueDate(hiborindex,AK5637)</f>
        <v>50588</v>
      </c>
      <c r="AM5637" s="23">
        <f>_xll.qlIndexFixing(hiborindex,AK5637)</f>
        <v>8.9219816064664819E-3</v>
      </c>
    </row>
    <row r="5638" spans="37:39" x14ac:dyDescent="0.25">
      <c r="AK5638" s="21">
        <f>_xll.qlCalendarAdvance(calendar,AK5637,"1D")</f>
        <v>50587</v>
      </c>
      <c r="AL5638" s="21">
        <f>_xll.qlInterestRateIndexValueDate(hiborindex,AK5638)</f>
        <v>50591</v>
      </c>
      <c r="AM5638" s="23">
        <f>_xll.qlIndexFixing(hiborindex,AK5638)</f>
        <v>8.9223283606305222E-3</v>
      </c>
    </row>
    <row r="5639" spans="37:39" x14ac:dyDescent="0.25">
      <c r="AK5639" s="21">
        <f>_xll.qlCalendarAdvance(calendar,AK5638,"1D")</f>
        <v>50588</v>
      </c>
      <c r="AL5639" s="21">
        <f>_xll.qlInterestRateIndexValueDate(hiborindex,AK5639)</f>
        <v>50592</v>
      </c>
      <c r="AM5639" s="23">
        <f>_xll.qlIndexFixing(hiborindex,AK5639)</f>
        <v>8.9225112177273788E-3</v>
      </c>
    </row>
    <row r="5640" spans="37:39" x14ac:dyDescent="0.25">
      <c r="AK5640" s="21">
        <f>_xll.qlCalendarAdvance(calendar,AK5639,"1D")</f>
        <v>50591</v>
      </c>
      <c r="AL5640" s="21">
        <f>_xll.qlInterestRateIndexValueDate(hiborindex,AK5640)</f>
        <v>50593</v>
      </c>
      <c r="AM5640" s="23">
        <f>_xll.qlIndexFixing(hiborindex,AK5640)</f>
        <v>8.9226940748416105E-3</v>
      </c>
    </row>
    <row r="5641" spans="37:39" x14ac:dyDescent="0.25">
      <c r="AK5641" s="21">
        <f>_xll.qlCalendarAdvance(calendar,AK5640,"1D")</f>
        <v>50592</v>
      </c>
      <c r="AL5641" s="21">
        <f>_xll.qlInterestRateIndexValueDate(hiborindex,AK5641)</f>
        <v>50594</v>
      </c>
      <c r="AM5641" s="23">
        <f>_xll.qlIndexFixing(hiborindex,AK5641)</f>
        <v>8.9232806267337851E-3</v>
      </c>
    </row>
    <row r="5642" spans="37:39" x14ac:dyDescent="0.25">
      <c r="AK5642" s="21">
        <f>_xll.qlCalendarAdvance(calendar,AK5641,"1D")</f>
        <v>50593</v>
      </c>
      <c r="AL5642" s="21">
        <f>_xll.qlInterestRateIndexValueDate(hiborindex,AK5642)</f>
        <v>50595</v>
      </c>
      <c r="AM5642" s="23">
        <f>_xll.qlIndexFixing(hiborindex,AK5642)</f>
        <v>8.9232616378580668E-3</v>
      </c>
    </row>
    <row r="5643" spans="37:39" x14ac:dyDescent="0.25">
      <c r="AK5643" s="21">
        <f>_xll.qlCalendarAdvance(calendar,AK5642,"1D")</f>
        <v>50594</v>
      </c>
      <c r="AL5643" s="21">
        <f>_xll.qlInterestRateIndexValueDate(hiborindex,AK5643)</f>
        <v>50598</v>
      </c>
      <c r="AM5643" s="23">
        <f>_xll.qlIndexFixing(hiborindex,AK5643)</f>
        <v>8.9236083606669212E-3</v>
      </c>
    </row>
    <row r="5644" spans="37:39" x14ac:dyDescent="0.25">
      <c r="AK5644" s="21">
        <f>_xll.qlCalendarAdvance(calendar,AK5643,"1D")</f>
        <v>50595</v>
      </c>
      <c r="AL5644" s="21">
        <f>_xll.qlInterestRateIndexValueDate(hiborindex,AK5644)</f>
        <v>50599</v>
      </c>
      <c r="AM5644" s="23">
        <f>_xll.qlIndexFixing(hiborindex,AK5644)</f>
        <v>8.9237912178828111E-3</v>
      </c>
    </row>
    <row r="5645" spans="37:39" x14ac:dyDescent="0.25">
      <c r="AK5645" s="21">
        <f>_xll.qlCalendarAdvance(calendar,AK5644,"1D")</f>
        <v>50598</v>
      </c>
      <c r="AL5645" s="21">
        <f>_xll.qlInterestRateIndexValueDate(hiborindex,AK5645)</f>
        <v>50600</v>
      </c>
      <c r="AM5645" s="23">
        <f>_xll.qlIndexFixing(hiborindex,AK5645)</f>
        <v>8.9239740751160795E-3</v>
      </c>
    </row>
    <row r="5646" spans="37:39" x14ac:dyDescent="0.25">
      <c r="AK5646" s="21">
        <f>_xll.qlCalendarAdvance(calendar,AK5645,"1D")</f>
        <v>50599</v>
      </c>
      <c r="AL5646" s="21">
        <f>_xll.qlInterestRateIndexValueDate(hiborindex,AK5646)</f>
        <v>50601</v>
      </c>
      <c r="AM5646" s="23">
        <f>_xll.qlIndexFixing(hiborindex,AK5646)</f>
        <v>8.9245606905611948E-3</v>
      </c>
    </row>
    <row r="5647" spans="37:39" x14ac:dyDescent="0.25">
      <c r="AK5647" s="21">
        <f>_xll.qlCalendarAdvance(calendar,AK5646,"1D")</f>
        <v>50600</v>
      </c>
      <c r="AL5647" s="21">
        <f>_xll.qlInterestRateIndexValueDate(hiborindex,AK5647)</f>
        <v>50602</v>
      </c>
      <c r="AM5647" s="23">
        <f>_xll.qlIndexFixing(hiborindex,AK5647)</f>
        <v>8.9245416700874675E-3</v>
      </c>
    </row>
    <row r="5648" spans="37:39" x14ac:dyDescent="0.25">
      <c r="AK5648" s="21">
        <f>_xll.qlCalendarAdvance(calendar,AK5647,"1D")</f>
        <v>50601</v>
      </c>
      <c r="AL5648" s="21">
        <f>_xll.qlInterestRateIndexValueDate(hiborindex,AK5648)</f>
        <v>50605</v>
      </c>
      <c r="AM5648" s="23">
        <f>_xll.qlIndexFixing(hiborindex,AK5648)</f>
        <v>8.9248883615369989E-3</v>
      </c>
    </row>
    <row r="5649" spans="37:39" x14ac:dyDescent="0.25">
      <c r="AK5649" s="21">
        <f>_xll.qlCalendarAdvance(calendar,AK5648,"1D")</f>
        <v>50602</v>
      </c>
      <c r="AL5649" s="21">
        <f>_xll.qlInterestRateIndexValueDate(hiborindex,AK5649)</f>
        <v>50606</v>
      </c>
      <c r="AM5649" s="23">
        <f>_xll.qlIndexFixing(hiborindex,AK5649)</f>
        <v>8.9250712188723592E-3</v>
      </c>
    </row>
    <row r="5650" spans="37:39" x14ac:dyDescent="0.25">
      <c r="AK5650" s="21">
        <f>_xll.qlCalendarAdvance(calendar,AK5649,"1D")</f>
        <v>50605</v>
      </c>
      <c r="AL5650" s="21">
        <f>_xll.qlInterestRateIndexValueDate(hiborindex,AK5650)</f>
        <v>50607</v>
      </c>
      <c r="AM5650" s="23">
        <f>_xll.qlIndexFixing(hiborindex,AK5650)</f>
        <v>8.9252540762246625E-3</v>
      </c>
    </row>
    <row r="5651" spans="37:39" x14ac:dyDescent="0.25">
      <c r="AK5651" s="21">
        <f>_xll.qlCalendarAdvance(calendar,AK5650,"1D")</f>
        <v>50606</v>
      </c>
      <c r="AL5651" s="21">
        <f>_xll.qlInterestRateIndexValueDate(hiborindex,AK5651)</f>
        <v>50608</v>
      </c>
      <c r="AM5651" s="23">
        <f>_xll.qlIndexFixing(hiborindex,AK5651)</f>
        <v>8.9258407552317998E-3</v>
      </c>
    </row>
    <row r="5652" spans="37:39" x14ac:dyDescent="0.25">
      <c r="AK5652" s="21">
        <f>_xll.qlCalendarAdvance(calendar,AK5651,"1D")</f>
        <v>50607</v>
      </c>
      <c r="AL5652" s="21">
        <f>_xll.qlInterestRateIndexValueDate(hiborindex,AK5652)</f>
        <v>50609</v>
      </c>
      <c r="AM5652" s="23">
        <f>_xll.qlIndexFixing(hiborindex,AK5652)</f>
        <v>8.9258217031555481E-3</v>
      </c>
    </row>
    <row r="5653" spans="37:39" x14ac:dyDescent="0.25">
      <c r="AK5653" s="21">
        <f>_xll.qlCalendarAdvance(calendar,AK5652,"1D")</f>
        <v>50608</v>
      </c>
      <c r="AL5653" s="21">
        <f>_xll.qlInterestRateIndexValueDate(hiborindex,AK5653)</f>
        <v>50612</v>
      </c>
      <c r="AM5653" s="23">
        <f>_xll.qlIndexFixing(hiborindex,AK5653)</f>
        <v>8.9261683632407586E-3</v>
      </c>
    </row>
    <row r="5654" spans="37:39" x14ac:dyDescent="0.25">
      <c r="AK5654" s="21">
        <f>_xll.qlCalendarAdvance(calendar,AK5653,"1D")</f>
        <v>50609</v>
      </c>
      <c r="AL5654" s="21">
        <f>_xll.qlInterestRateIndexValueDate(hiborindex,AK5654)</f>
        <v>50613</v>
      </c>
      <c r="AM5654" s="23">
        <f>_xll.qlIndexFixing(hiborindex,AK5654)</f>
        <v>8.9263512206951556E-3</v>
      </c>
    </row>
    <row r="5655" spans="37:39" x14ac:dyDescent="0.25">
      <c r="AK5655" s="21">
        <f>_xll.qlCalendarAdvance(calendar,AK5654,"1D")</f>
        <v>50612</v>
      </c>
      <c r="AL5655" s="21">
        <f>_xll.qlInterestRateIndexValueDate(hiborindex,AK5655)</f>
        <v>50614</v>
      </c>
      <c r="AM5655" s="23">
        <f>_xll.qlIndexFixing(hiborindex,AK5655)</f>
        <v>8.926534078166494E-3</v>
      </c>
    </row>
    <row r="5656" spans="37:39" x14ac:dyDescent="0.25">
      <c r="AK5656" s="21">
        <f>_xll.qlCalendarAdvance(calendar,AK5655,"1D")</f>
        <v>50613</v>
      </c>
      <c r="AL5656" s="21">
        <f>_xll.qlInterestRateIndexValueDate(hiborindex,AK5656)</f>
        <v>50615</v>
      </c>
      <c r="AM5656" s="23">
        <f>_xll.qlIndexFixing(hiborindex,AK5656)</f>
        <v>8.9271208207443112E-3</v>
      </c>
    </row>
    <row r="5657" spans="37:39" x14ac:dyDescent="0.25">
      <c r="AK5657" s="21">
        <f>_xll.qlCalendarAdvance(calendar,AK5656,"1D")</f>
        <v>50614</v>
      </c>
      <c r="AL5657" s="21">
        <f>_xll.qlInterestRateIndexValueDate(hiborindex,AK5657)</f>
        <v>50616</v>
      </c>
      <c r="AM5657" s="23">
        <f>_xll.qlIndexFixing(hiborindex,AK5657)</f>
        <v>8.9271017370614464E-3</v>
      </c>
    </row>
    <row r="5658" spans="37:39" x14ac:dyDescent="0.25">
      <c r="AK5658" s="21">
        <f>_xll.qlCalendarAdvance(calendar,AK5657,"1D")</f>
        <v>50615</v>
      </c>
      <c r="AL5658" s="21">
        <f>_xll.qlInterestRateIndexValueDate(hiborindex,AK5658)</f>
        <v>50619</v>
      </c>
      <c r="AM5658" s="23">
        <f>_xll.qlIndexFixing(hiborindex,AK5658)</f>
        <v>8.9274483657782004E-3</v>
      </c>
    </row>
    <row r="5659" spans="37:39" x14ac:dyDescent="0.25">
      <c r="AK5659" s="21">
        <f>_xll.qlCalendarAdvance(calendar,AK5658,"1D")</f>
        <v>50616</v>
      </c>
      <c r="AL5659" s="21">
        <f>_xll.qlInterestRateIndexValueDate(hiborindex,AK5659)</f>
        <v>50620</v>
      </c>
      <c r="AM5659" s="23">
        <f>_xll.qlIndexFixing(hiborindex,AK5659)</f>
        <v>8.927631223351197E-3</v>
      </c>
    </row>
    <row r="5660" spans="37:39" x14ac:dyDescent="0.25">
      <c r="AK5660" s="21">
        <f>_xll.qlCalendarAdvance(calendar,AK5659,"1D")</f>
        <v>50619</v>
      </c>
      <c r="AL5660" s="21">
        <f>_xll.qlInterestRateIndexValueDate(hiborindex,AK5660)</f>
        <v>50621</v>
      </c>
      <c r="AM5660" s="23">
        <f>_xll.qlIndexFixing(hiborindex,AK5660)</f>
        <v>8.9278140809415703E-3</v>
      </c>
    </row>
    <row r="5661" spans="37:39" x14ac:dyDescent="0.25">
      <c r="AK5661" s="21">
        <f>_xll.qlCalendarAdvance(calendar,AK5660,"1D")</f>
        <v>50620</v>
      </c>
      <c r="AL5661" s="21">
        <f>_xll.qlInterestRateIndexValueDate(hiborindex,AK5661)</f>
        <v>50622</v>
      </c>
      <c r="AM5661" s="23">
        <f>_xll.qlIndexFixing(hiborindex,AK5661)</f>
        <v>8.9284008871000214E-3</v>
      </c>
    </row>
    <row r="5662" spans="37:39" x14ac:dyDescent="0.25">
      <c r="AK5662" s="21">
        <f>_xll.qlCalendarAdvance(calendar,AK5661,"1D")</f>
        <v>50621</v>
      </c>
      <c r="AL5662" s="21">
        <f>_xll.qlInterestRateIndexValueDate(hiborindex,AK5662)</f>
        <v>50623</v>
      </c>
      <c r="AM5662" s="23">
        <f>_xll.qlIndexFixing(hiborindex,AK5662)</f>
        <v>8.9283817718060245E-3</v>
      </c>
    </row>
    <row r="5663" spans="37:39" x14ac:dyDescent="0.25">
      <c r="AK5663" s="21">
        <f>_xll.qlCalendarAdvance(calendar,AK5662,"1D")</f>
        <v>50622</v>
      </c>
      <c r="AL5663" s="21">
        <f>_xll.qlInterestRateIndexValueDate(hiborindex,AK5663)</f>
        <v>50626</v>
      </c>
      <c r="AM5663" s="23">
        <f>_xll.qlIndexFixing(hiborindex,AK5663)</f>
        <v>8.9287283691493226E-3</v>
      </c>
    </row>
    <row r="5664" spans="37:39" x14ac:dyDescent="0.25">
      <c r="AK5664" s="21">
        <f>_xll.qlCalendarAdvance(calendar,AK5663,"1D")</f>
        <v>50623</v>
      </c>
      <c r="AL5664" s="21">
        <f>_xll.qlInterestRateIndexValueDate(hiborindex,AK5664)</f>
        <v>50627</v>
      </c>
      <c r="AM5664" s="23">
        <f>_xll.qlIndexFixing(hiborindex,AK5664)</f>
        <v>8.9289112268413542E-3</v>
      </c>
    </row>
    <row r="5665" spans="37:39" x14ac:dyDescent="0.25">
      <c r="AK5665" s="21">
        <f>_xll.qlCalendarAdvance(calendar,AK5664,"1D")</f>
        <v>50626</v>
      </c>
      <c r="AL5665" s="21">
        <f>_xll.qlInterestRateIndexValueDate(hiborindex,AK5665)</f>
        <v>50628</v>
      </c>
      <c r="AM5665" s="23">
        <f>_xll.qlIndexFixing(hiborindex,AK5665)</f>
        <v>8.9290940845511979E-3</v>
      </c>
    </row>
    <row r="5666" spans="37:39" x14ac:dyDescent="0.25">
      <c r="AK5666" s="21">
        <f>_xll.qlCalendarAdvance(calendar,AK5665,"1D")</f>
        <v>50627</v>
      </c>
      <c r="AL5666" s="21">
        <f>_xll.qlInterestRateIndexValueDate(hiborindex,AK5666)</f>
        <v>50629</v>
      </c>
      <c r="AM5666" s="23">
        <f>_xll.qlIndexFixing(hiborindex,AK5666)</f>
        <v>8.9296809542984967E-3</v>
      </c>
    </row>
    <row r="5667" spans="37:39" x14ac:dyDescent="0.25">
      <c r="AK5667" s="21">
        <f>_xll.qlCalendarAdvance(calendar,AK5666,"1D")</f>
        <v>50628</v>
      </c>
      <c r="AL5667" s="21">
        <f>_xll.qlInterestRateIndexValueDate(hiborindex,AK5667)</f>
        <v>50630</v>
      </c>
      <c r="AM5667" s="23">
        <f>_xll.qlIndexFixing(hiborindex,AK5667)</f>
        <v>8.9296618073879865E-3</v>
      </c>
    </row>
    <row r="5668" spans="37:39" x14ac:dyDescent="0.25">
      <c r="AK5668" s="21">
        <f>_xll.qlCalendarAdvance(calendar,AK5667,"1D")</f>
        <v>50629</v>
      </c>
      <c r="AL5668" s="21">
        <f>_xll.qlInterestRateIndexValueDate(hiborindex,AK5668)</f>
        <v>50633</v>
      </c>
      <c r="AM5668" s="23">
        <f>_xll.qlIndexFixing(hiborindex,AK5668)</f>
        <v>8.9300083733536914E-3</v>
      </c>
    </row>
    <row r="5669" spans="37:39" x14ac:dyDescent="0.25">
      <c r="AK5669" s="21">
        <f>_xll.qlCalendarAdvance(calendar,AK5668,"1D")</f>
        <v>50630</v>
      </c>
      <c r="AL5669" s="21">
        <f>_xll.qlInterestRateIndexValueDate(hiborindex,AK5669)</f>
        <v>50634</v>
      </c>
      <c r="AM5669" s="23">
        <f>_xll.qlIndexFixing(hiborindex,AK5669)</f>
        <v>8.9301912311651917E-3</v>
      </c>
    </row>
    <row r="5670" spans="37:39" x14ac:dyDescent="0.25">
      <c r="AK5670" s="21">
        <f>_xll.qlCalendarAdvance(calendar,AK5669,"1D")</f>
        <v>50633</v>
      </c>
      <c r="AL5670" s="21">
        <f>_xll.qlInterestRateIndexValueDate(hiborindex,AK5670)</f>
        <v>50635</v>
      </c>
      <c r="AM5670" s="23">
        <f>_xll.qlIndexFixing(hiborindex,AK5670)</f>
        <v>8.9303740889936367E-3</v>
      </c>
    </row>
    <row r="5671" spans="37:39" x14ac:dyDescent="0.25">
      <c r="AK5671" s="21">
        <f>_xll.qlCalendarAdvance(calendar,AK5670,"1D")</f>
        <v>50634</v>
      </c>
      <c r="AL5671" s="21">
        <f>_xll.qlInterestRateIndexValueDate(hiborindex,AK5671)</f>
        <v>50636</v>
      </c>
      <c r="AM5671" s="23">
        <f>_xll.qlIndexFixing(hiborindex,AK5671)</f>
        <v>8.9309610223397388E-3</v>
      </c>
    </row>
    <row r="5672" spans="37:39" x14ac:dyDescent="0.25">
      <c r="AK5672" s="21">
        <f>_xll.qlCalendarAdvance(calendar,AK5671,"1D")</f>
        <v>50635</v>
      </c>
      <c r="AL5672" s="21">
        <f>_xll.qlInterestRateIndexValueDate(hiborindex,AK5672)</f>
        <v>50637</v>
      </c>
      <c r="AM5672" s="23">
        <f>_xll.qlIndexFixing(hiborindex,AK5672)</f>
        <v>8.9309418438086284E-3</v>
      </c>
    </row>
    <row r="5673" spans="37:39" x14ac:dyDescent="0.25">
      <c r="AK5673" s="21">
        <f>_xll.qlCalendarAdvance(calendar,AK5672,"1D")</f>
        <v>50636</v>
      </c>
      <c r="AL5673" s="21">
        <f>_xll.qlInterestRateIndexValueDate(hiborindex,AK5673)</f>
        <v>50640</v>
      </c>
      <c r="AM5673" s="23">
        <f>_xll.qlIndexFixing(hiborindex,AK5673)</f>
        <v>8.9312883783913052E-3</v>
      </c>
    </row>
    <row r="5674" spans="37:39" x14ac:dyDescent="0.25">
      <c r="AK5674" s="21">
        <f>_xll.qlCalendarAdvance(calendar,AK5673,"1D")</f>
        <v>50637</v>
      </c>
      <c r="AL5674" s="21">
        <f>_xll.qlInterestRateIndexValueDate(hiborindex,AK5674)</f>
        <v>50641</v>
      </c>
      <c r="AM5674" s="23">
        <f>_xll.qlIndexFixing(hiborindex,AK5674)</f>
        <v>8.9314712363222758E-3</v>
      </c>
    </row>
    <row r="5675" spans="37:39" x14ac:dyDescent="0.25">
      <c r="AK5675" s="21">
        <f>_xll.qlCalendarAdvance(calendar,AK5674,"1D")</f>
        <v>50640</v>
      </c>
      <c r="AL5675" s="21">
        <f>_xll.qlInterestRateIndexValueDate(hiborindex,AK5675)</f>
        <v>50642</v>
      </c>
      <c r="AM5675" s="23">
        <f>_xll.qlIndexFixing(hiborindex,AK5675)</f>
        <v>8.9316540942697559E-3</v>
      </c>
    </row>
    <row r="5676" spans="37:39" x14ac:dyDescent="0.25">
      <c r="AK5676" s="21">
        <f>_xll.qlCalendarAdvance(calendar,AK5675,"1D")</f>
        <v>50641</v>
      </c>
      <c r="AL5676" s="21">
        <f>_xll.qlInterestRateIndexValueDate(hiborindex,AK5676)</f>
        <v>50643</v>
      </c>
      <c r="AM5676" s="23">
        <f>_xll.qlIndexFixing(hiborindex,AK5676)</f>
        <v>8.9322410912233193E-3</v>
      </c>
    </row>
    <row r="5677" spans="37:39" x14ac:dyDescent="0.25">
      <c r="AK5677" s="21">
        <f>_xll.qlCalendarAdvance(calendar,AK5676,"1D")</f>
        <v>50642</v>
      </c>
      <c r="AL5677" s="21">
        <f>_xll.qlInterestRateIndexValueDate(hiborindex,AK5677)</f>
        <v>50644</v>
      </c>
      <c r="AM5677" s="23">
        <f>_xll.qlIndexFixing(hiborindex,AK5677)</f>
        <v>8.9322218810670879E-3</v>
      </c>
    </row>
    <row r="5678" spans="37:39" x14ac:dyDescent="0.25">
      <c r="AK5678" s="21">
        <f>_xll.qlCalendarAdvance(calendar,AK5677,"1D")</f>
        <v>50643</v>
      </c>
      <c r="AL5678" s="21">
        <f>_xll.qlInterestRateIndexValueDate(hiborindex,AK5678)</f>
        <v>50647</v>
      </c>
      <c r="AM5678" s="23">
        <f>_xll.qlIndexFixing(hiborindex,AK5678)</f>
        <v>8.932164234423454E-3</v>
      </c>
    </row>
    <row r="5679" spans="37:39" x14ac:dyDescent="0.25">
      <c r="AK5679" s="21">
        <f>_xll.qlCalendarAdvance(calendar,AK5678,"1D")</f>
        <v>50644</v>
      </c>
      <c r="AL5679" s="21">
        <f>_xll.qlInterestRateIndexValueDate(hiborindex,AK5679)</f>
        <v>50648</v>
      </c>
      <c r="AM5679" s="23">
        <f>_xll.qlIndexFixing(hiborindex,AK5679)</f>
        <v>8.9321450134844105E-3</v>
      </c>
    </row>
    <row r="5680" spans="37:39" x14ac:dyDescent="0.25">
      <c r="AK5680" s="21">
        <f>_xll.qlCalendarAdvance(calendar,AK5679,"1D")</f>
        <v>50647</v>
      </c>
      <c r="AL5680" s="21">
        <f>_xll.qlInterestRateIndexValueDate(hiborindex,AK5680)</f>
        <v>50649</v>
      </c>
      <c r="AM5680" s="23">
        <f>_xll.qlIndexFixing(hiborindex,AK5680)</f>
        <v>8.9323278579453089E-3</v>
      </c>
    </row>
    <row r="5681" spans="37:39" x14ac:dyDescent="0.25">
      <c r="AK5681" s="21">
        <f>_xll.qlCalendarAdvance(calendar,AK5680,"1D")</f>
        <v>50648</v>
      </c>
      <c r="AL5681" s="21">
        <f>_xll.qlInterestRateIndexValueDate(hiborindex,AK5681)</f>
        <v>50650</v>
      </c>
      <c r="AM5681" s="23">
        <f>_xll.qlIndexFixing(hiborindex,AK5681)</f>
        <v>8.932510702422989E-3</v>
      </c>
    </row>
    <row r="5682" spans="37:39" x14ac:dyDescent="0.25">
      <c r="AK5682" s="21">
        <f>_xll.qlCalendarAdvance(calendar,AK5681,"1D")</f>
        <v>50649</v>
      </c>
      <c r="AL5682" s="21">
        <f>_xll.qlInterestRateIndexValueDate(hiborindex,AK5682)</f>
        <v>50651</v>
      </c>
      <c r="AM5682" s="23">
        <f>_xll.qlIndexFixing(hiborindex,AK5682)</f>
        <v>8.9326935469178931E-3</v>
      </c>
    </row>
    <row r="5683" spans="37:39" x14ac:dyDescent="0.25">
      <c r="AK5683" s="21">
        <f>_xll.qlCalendarAdvance(calendar,AK5682,"1D")</f>
        <v>50650</v>
      </c>
      <c r="AL5683" s="21">
        <f>_xll.qlInterestRateIndexValueDate(hiborindex,AK5683)</f>
        <v>50654</v>
      </c>
      <c r="AM5683" s="23">
        <f>_xll.qlIndexFixing(hiborindex,AK5683)</f>
        <v>8.9334441776315783E-3</v>
      </c>
    </row>
    <row r="5684" spans="37:39" x14ac:dyDescent="0.25">
      <c r="AK5684" s="21">
        <f>_xll.qlCalendarAdvance(calendar,AK5683,"1D")</f>
        <v>50651</v>
      </c>
      <c r="AL5684" s="21">
        <f>_xll.qlInterestRateIndexValueDate(hiborindex,AK5684)</f>
        <v>50655</v>
      </c>
      <c r="AM5684" s="23">
        <f>_xll.qlIndexFixing(hiborindex,AK5684)</f>
        <v>8.9334249250631222E-3</v>
      </c>
    </row>
    <row r="5685" spans="37:39" x14ac:dyDescent="0.25">
      <c r="AK5685" s="21">
        <f>_xll.qlCalendarAdvance(calendar,AK5684,"1D")</f>
        <v>50654</v>
      </c>
      <c r="AL5685" s="21">
        <f>_xll.qlInterestRateIndexValueDate(hiborindex,AK5685)</f>
        <v>50656</v>
      </c>
      <c r="AM5685" s="23">
        <f>_xll.qlIndexFixing(hiborindex,AK5685)</f>
        <v>8.9336077696414943E-3</v>
      </c>
    </row>
    <row r="5686" spans="37:39" x14ac:dyDescent="0.25">
      <c r="AK5686" s="21">
        <f>_xll.qlCalendarAdvance(calendar,AK5685,"1D")</f>
        <v>50655</v>
      </c>
      <c r="AL5686" s="21">
        <f>_xll.qlInterestRateIndexValueDate(hiborindex,AK5686)</f>
        <v>50657</v>
      </c>
      <c r="AM5686" s="23">
        <f>_xll.qlIndexFixing(hiborindex,AK5686)</f>
        <v>8.9337906142366499E-3</v>
      </c>
    </row>
    <row r="5687" spans="37:39" x14ac:dyDescent="0.25">
      <c r="AK5687" s="21">
        <f>_xll.qlCalendarAdvance(calendar,AK5686,"1D")</f>
        <v>50656</v>
      </c>
      <c r="AL5687" s="21">
        <f>_xll.qlInterestRateIndexValueDate(hiborindex,AK5687)</f>
        <v>50658</v>
      </c>
      <c r="AM5687" s="23">
        <f>_xll.qlIndexFixing(hiborindex,AK5687)</f>
        <v>8.9339734588481448E-3</v>
      </c>
    </row>
    <row r="5688" spans="37:39" x14ac:dyDescent="0.25">
      <c r="AK5688" s="21">
        <f>_xll.qlCalendarAdvance(calendar,AK5687,"1D")</f>
        <v>50657</v>
      </c>
      <c r="AL5688" s="21">
        <f>_xll.qlInterestRateIndexValueDate(hiborindex,AK5688)</f>
        <v>50661</v>
      </c>
      <c r="AM5688" s="23">
        <f>_xll.qlIndexFixing(hiborindex,AK5688)</f>
        <v>8.9347241216649765E-3</v>
      </c>
    </row>
    <row r="5689" spans="37:39" x14ac:dyDescent="0.25">
      <c r="AK5689" s="21">
        <f>_xll.qlCalendarAdvance(calendar,AK5688,"1D")</f>
        <v>50658</v>
      </c>
      <c r="AL5689" s="21">
        <f>_xll.qlInterestRateIndexValueDate(hiborindex,AK5689)</f>
        <v>50662</v>
      </c>
      <c r="AM5689" s="23">
        <f>_xll.qlIndexFixing(hiborindex,AK5689)</f>
        <v>8.934704837462391E-3</v>
      </c>
    </row>
    <row r="5690" spans="37:39" x14ac:dyDescent="0.25">
      <c r="AK5690" s="21">
        <f>_xll.qlCalendarAdvance(calendar,AK5689,"1D")</f>
        <v>50661</v>
      </c>
      <c r="AL5690" s="21">
        <f>_xll.qlInterestRateIndexValueDate(hiborindex,AK5690)</f>
        <v>50663</v>
      </c>
      <c r="AM5690" s="23">
        <f>_xll.qlIndexFixing(hiborindex,AK5690)</f>
        <v>8.934887682157798E-3</v>
      </c>
    </row>
    <row r="5691" spans="37:39" x14ac:dyDescent="0.25">
      <c r="AK5691" s="21">
        <f>_xll.qlCalendarAdvance(calendar,AK5690,"1D")</f>
        <v>50662</v>
      </c>
      <c r="AL5691" s="21">
        <f>_xll.qlInterestRateIndexValueDate(hiborindex,AK5691)</f>
        <v>50664</v>
      </c>
      <c r="AM5691" s="23">
        <f>_xll.qlIndexFixing(hiborindex,AK5691)</f>
        <v>8.9350705268699867E-3</v>
      </c>
    </row>
    <row r="5692" spans="37:39" x14ac:dyDescent="0.25">
      <c r="AK5692" s="21">
        <f>_xll.qlCalendarAdvance(calendar,AK5691,"1D")</f>
        <v>50663</v>
      </c>
      <c r="AL5692" s="21">
        <f>_xll.qlInterestRateIndexValueDate(hiborindex,AK5692)</f>
        <v>50665</v>
      </c>
      <c r="AM5692" s="23">
        <f>_xll.qlIndexFixing(hiborindex,AK5692)</f>
        <v>8.9352533715989571E-3</v>
      </c>
    </row>
    <row r="5693" spans="37:39" x14ac:dyDescent="0.25">
      <c r="AK5693" s="21">
        <f>_xll.qlCalendarAdvance(calendar,AK5692,"1D")</f>
        <v>50664</v>
      </c>
      <c r="AL5693" s="21">
        <f>_xll.qlInterestRateIndexValueDate(hiborindex,AK5693)</f>
        <v>50668</v>
      </c>
      <c r="AM5693" s="23">
        <f>_xll.qlIndexFixing(hiborindex,AK5693)</f>
        <v>8.936004066521893E-3</v>
      </c>
    </row>
    <row r="5694" spans="37:39" x14ac:dyDescent="0.25">
      <c r="AK5694" s="21">
        <f>_xll.qlCalendarAdvance(calendar,AK5693,"1D")</f>
        <v>50665</v>
      </c>
      <c r="AL5694" s="21">
        <f>_xll.qlInterestRateIndexValueDate(hiborindex,AK5694)</f>
        <v>50669</v>
      </c>
      <c r="AM5694" s="23">
        <f>_xll.qlIndexFixing(hiborindex,AK5694)</f>
        <v>8.9359847506813375E-3</v>
      </c>
    </row>
    <row r="5695" spans="37:39" x14ac:dyDescent="0.25">
      <c r="AK5695" s="21">
        <f>_xll.qlCalendarAdvance(calendar,AK5694,"1D")</f>
        <v>50668</v>
      </c>
      <c r="AL5695" s="21">
        <f>_xll.qlInterestRateIndexValueDate(hiborindex,AK5695)</f>
        <v>50670</v>
      </c>
      <c r="AM5695" s="23">
        <f>_xll.qlIndexFixing(hiborindex,AK5695)</f>
        <v>8.93616759549422E-3</v>
      </c>
    </row>
    <row r="5696" spans="37:39" x14ac:dyDescent="0.25">
      <c r="AK5696" s="21">
        <f>_xll.qlCalendarAdvance(calendar,AK5695,"1D")</f>
        <v>50669</v>
      </c>
      <c r="AL5696" s="21">
        <f>_xll.qlInterestRateIndexValueDate(hiborindex,AK5696)</f>
        <v>50671</v>
      </c>
      <c r="AM5696" s="23">
        <f>_xll.qlIndexFixing(hiborindex,AK5696)</f>
        <v>8.9363504403234418E-3</v>
      </c>
    </row>
    <row r="5697" spans="37:39" x14ac:dyDescent="0.25">
      <c r="AK5697" s="21">
        <f>_xll.qlCalendarAdvance(calendar,AK5696,"1D")</f>
        <v>50670</v>
      </c>
      <c r="AL5697" s="21">
        <f>_xll.qlInterestRateIndexValueDate(hiborindex,AK5697)</f>
        <v>50672</v>
      </c>
      <c r="AM5697" s="23">
        <f>_xll.qlIndexFixing(hiborindex,AK5697)</f>
        <v>8.9365332851690047E-3</v>
      </c>
    </row>
    <row r="5698" spans="37:39" x14ac:dyDescent="0.25">
      <c r="AK5698" s="21">
        <f>_xll.qlCalendarAdvance(calendar,AK5697,"1D")</f>
        <v>50671</v>
      </c>
      <c r="AL5698" s="21">
        <f>_xll.qlInterestRateIndexValueDate(hiborindex,AK5698)</f>
        <v>50675</v>
      </c>
      <c r="AM5698" s="23">
        <f>_xll.qlIndexFixing(hiborindex,AK5698)</f>
        <v>8.9372840122040817E-3</v>
      </c>
    </row>
    <row r="5699" spans="37:39" x14ac:dyDescent="0.25">
      <c r="AK5699" s="21">
        <f>_xll.qlCalendarAdvance(calendar,AK5698,"1D")</f>
        <v>50672</v>
      </c>
      <c r="AL5699" s="21">
        <f>_xll.qlInterestRateIndexValueDate(hiborindex,AK5699)</f>
        <v>50676</v>
      </c>
      <c r="AM5699" s="23">
        <f>_xll.qlIndexFixing(hiborindex,AK5699)</f>
        <v>8.9372646647204006E-3</v>
      </c>
    </row>
    <row r="5700" spans="37:39" x14ac:dyDescent="0.25">
      <c r="AK5700" s="21">
        <f>_xll.qlCalendarAdvance(calendar,AK5699,"1D")</f>
        <v>50675</v>
      </c>
      <c r="AL5700" s="21">
        <f>_xll.qlInterestRateIndexValueDate(hiborindex,AK5700)</f>
        <v>50677</v>
      </c>
      <c r="AM5700" s="23">
        <f>_xll.qlIndexFixing(hiborindex,AK5700)</f>
        <v>8.9374475096498738E-3</v>
      </c>
    </row>
    <row r="5701" spans="37:39" x14ac:dyDescent="0.25">
      <c r="AK5701" s="21">
        <f>_xll.qlCalendarAdvance(calendar,AK5700,"1D")</f>
        <v>50676</v>
      </c>
      <c r="AL5701" s="21">
        <f>_xll.qlInterestRateIndexValueDate(hiborindex,AK5701)</f>
        <v>50678</v>
      </c>
      <c r="AM5701" s="23">
        <f>_xll.qlIndexFixing(hiborindex,AK5701)</f>
        <v>8.9378325606055097E-3</v>
      </c>
    </row>
    <row r="5702" spans="37:39" x14ac:dyDescent="0.25">
      <c r="AK5702" s="21">
        <f>_xll.qlCalendarAdvance(calendar,AK5701,"1D")</f>
        <v>50677</v>
      </c>
      <c r="AL5702" s="21">
        <f>_xll.qlInterestRateIndexValueDate(hiborindex,AK5702)</f>
        <v>50679</v>
      </c>
      <c r="AM5702" s="23">
        <f>_xll.qlIndexFixing(hiborindex,AK5702)</f>
        <v>8.9380154101063244E-3</v>
      </c>
    </row>
    <row r="5703" spans="37:39" x14ac:dyDescent="0.25">
      <c r="AK5703" s="21">
        <f>_xll.qlCalendarAdvance(calendar,AK5702,"1D")</f>
        <v>50678</v>
      </c>
      <c r="AL5703" s="21">
        <f>_xll.qlInterestRateIndexValueDate(hiborindex,AK5703)</f>
        <v>50682</v>
      </c>
      <c r="AM5703" s="23">
        <f>_xll.qlIndexFixing(hiborindex,AK5703)</f>
        <v>8.9385639587097887E-3</v>
      </c>
    </row>
    <row r="5704" spans="37:39" x14ac:dyDescent="0.25">
      <c r="AK5704" s="21">
        <f>_xll.qlCalendarAdvance(calendar,AK5703,"1D")</f>
        <v>50679</v>
      </c>
      <c r="AL5704" s="21">
        <f>_xll.qlInterestRateIndexValueDate(hiborindex,AK5704)</f>
        <v>50683</v>
      </c>
      <c r="AM5704" s="23">
        <f>_xll.qlIndexFixing(hiborindex,AK5704)</f>
        <v>8.9387468082782421E-3</v>
      </c>
    </row>
    <row r="5705" spans="37:39" x14ac:dyDescent="0.25">
      <c r="AK5705" s="21">
        <f>_xll.qlCalendarAdvance(calendar,AK5704,"1D")</f>
        <v>50682</v>
      </c>
      <c r="AL5705" s="21">
        <f>_xll.qlInterestRateIndexValueDate(hiborindex,AK5705)</f>
        <v>50684</v>
      </c>
      <c r="AM5705" s="23">
        <f>_xll.qlIndexFixing(hiborindex,AK5705)</f>
        <v>8.9389296578633853E-3</v>
      </c>
    </row>
    <row r="5706" spans="37:39" x14ac:dyDescent="0.25">
      <c r="AK5706" s="21">
        <f>_xll.qlCalendarAdvance(calendar,AK5705,"1D")</f>
        <v>50683</v>
      </c>
      <c r="AL5706" s="21">
        <f>_xll.qlInterestRateIndexValueDate(hiborindex,AK5706)</f>
        <v>50685</v>
      </c>
      <c r="AM5706" s="23">
        <f>_xll.qlIndexFixing(hiborindex,AK5706)</f>
        <v>8.9391125074652182E-3</v>
      </c>
    </row>
    <row r="5707" spans="37:39" x14ac:dyDescent="0.25">
      <c r="AK5707" s="21">
        <f>_xll.qlCalendarAdvance(calendar,AK5706,"1D")</f>
        <v>50684</v>
      </c>
      <c r="AL5707" s="21">
        <f>_xll.qlInterestRateIndexValueDate(hiborindex,AK5707)</f>
        <v>50686</v>
      </c>
      <c r="AM5707" s="23">
        <f>_xll.qlIndexFixing(hiborindex,AK5707)</f>
        <v>8.9401043899975819E-3</v>
      </c>
    </row>
    <row r="5708" spans="37:39" x14ac:dyDescent="0.25">
      <c r="AK5708" s="21">
        <f>_xll.qlCalendarAdvance(calendar,AK5707,"1D")</f>
        <v>50685</v>
      </c>
      <c r="AL5708" s="21">
        <f>_xll.qlInterestRateIndexValueDate(hiborindex,AK5708)</f>
        <v>50689</v>
      </c>
      <c r="AM5708" s="23">
        <f>_xll.qlIndexFixing(hiborindex,AK5708)</f>
        <v>8.9400461683368185E-3</v>
      </c>
    </row>
    <row r="5709" spans="37:39" x14ac:dyDescent="0.25">
      <c r="AK5709" s="21">
        <f>_xll.qlCalendarAdvance(calendar,AK5708,"1D")</f>
        <v>50686</v>
      </c>
      <c r="AL5709" s="21">
        <f>_xll.qlInterestRateIndexValueDate(hiborindex,AK5709)</f>
        <v>50690</v>
      </c>
      <c r="AM5709" s="23">
        <f>_xll.qlIndexFixing(hiborindex,AK5709)</f>
        <v>8.9400267557269309E-3</v>
      </c>
    </row>
    <row r="5710" spans="37:39" x14ac:dyDescent="0.25">
      <c r="AK5710" s="21">
        <f>_xll.qlCalendarAdvance(calendar,AK5709,"1D")</f>
        <v>50689</v>
      </c>
      <c r="AL5710" s="21">
        <f>_xll.qlInterestRateIndexValueDate(hiborindex,AK5710)</f>
        <v>50691</v>
      </c>
      <c r="AM5710" s="23">
        <f>_xll.qlIndexFixing(hiborindex,AK5710)</f>
        <v>8.940209605429782E-3</v>
      </c>
    </row>
    <row r="5711" spans="37:39" x14ac:dyDescent="0.25">
      <c r="AK5711" s="21">
        <f>_xll.qlCalendarAdvance(calendar,AK5710,"1D")</f>
        <v>50690</v>
      </c>
      <c r="AL5711" s="21">
        <f>_xll.qlInterestRateIndexValueDate(hiborindex,AK5711)</f>
        <v>50692</v>
      </c>
      <c r="AM5711" s="23">
        <f>_xll.qlIndexFixing(hiborindex,AK5711)</f>
        <v>8.9403924551493229E-3</v>
      </c>
    </row>
    <row r="5712" spans="37:39" x14ac:dyDescent="0.25">
      <c r="AK5712" s="21">
        <f>_xll.qlCalendarAdvance(calendar,AK5711,"1D")</f>
        <v>50691</v>
      </c>
      <c r="AL5712" s="21">
        <f>_xll.qlInterestRateIndexValueDate(hiborindex,AK5712)</f>
        <v>50693</v>
      </c>
      <c r="AM5712" s="23">
        <f>_xll.qlIndexFixing(hiborindex,AK5712)</f>
        <v>8.9405753048859941E-3</v>
      </c>
    </row>
    <row r="5713" spans="37:39" x14ac:dyDescent="0.25">
      <c r="AK5713" s="21">
        <f>_xll.qlCalendarAdvance(calendar,AK5712,"1D")</f>
        <v>50692</v>
      </c>
      <c r="AL5713" s="21">
        <f>_xll.qlInterestRateIndexValueDate(hiborindex,AK5713)</f>
        <v>50696</v>
      </c>
      <c r="AM5713" s="23">
        <f>_xll.qlIndexFixing(hiborindex,AK5713)</f>
        <v>8.9411238541965837E-3</v>
      </c>
    </row>
    <row r="5714" spans="37:39" x14ac:dyDescent="0.25">
      <c r="AK5714" s="21">
        <f>_xll.qlCalendarAdvance(calendar,AK5713,"1D")</f>
        <v>50693</v>
      </c>
      <c r="AL5714" s="21">
        <f>_xll.qlInterestRateIndexValueDate(hiborindex,AK5714)</f>
        <v>50697</v>
      </c>
      <c r="AM5714" s="23">
        <f>_xll.qlIndexFixing(hiborindex,AK5714)</f>
        <v>8.9413067040000141E-3</v>
      </c>
    </row>
    <row r="5715" spans="37:39" x14ac:dyDescent="0.25">
      <c r="AK5715" s="21">
        <f>_xll.qlCalendarAdvance(calendar,AK5714,"1D")</f>
        <v>50696</v>
      </c>
      <c r="AL5715" s="21">
        <f>_xll.qlInterestRateIndexValueDate(hiborindex,AK5715)</f>
        <v>50698</v>
      </c>
      <c r="AM5715" s="23">
        <f>_xll.qlIndexFixing(hiborindex,AK5715)</f>
        <v>8.941489553821012E-3</v>
      </c>
    </row>
    <row r="5716" spans="37:39" x14ac:dyDescent="0.25">
      <c r="AK5716" s="21">
        <f>_xll.qlCalendarAdvance(calendar,AK5715,"1D")</f>
        <v>50697</v>
      </c>
      <c r="AL5716" s="21">
        <f>_xll.qlInterestRateIndexValueDate(hiborindex,AK5716)</f>
        <v>50699</v>
      </c>
      <c r="AM5716" s="23">
        <f>_xll.qlIndexFixing(hiborindex,AK5716)</f>
        <v>8.9416724036582625E-3</v>
      </c>
    </row>
    <row r="5717" spans="37:39" x14ac:dyDescent="0.25">
      <c r="AK5717" s="21">
        <f>_xll.qlCalendarAdvance(calendar,AK5716,"1D")</f>
        <v>50698</v>
      </c>
      <c r="AL5717" s="21">
        <f>_xll.qlInterestRateIndexValueDate(hiborindex,AK5717)</f>
        <v>50700</v>
      </c>
      <c r="AM5717" s="23">
        <f>_xll.qlIndexFixing(hiborindex,AK5717)</f>
        <v>8.9418552535122011E-3</v>
      </c>
    </row>
    <row r="5718" spans="37:39" x14ac:dyDescent="0.25">
      <c r="AK5718" s="21">
        <f>_xll.qlCalendarAdvance(calendar,AK5717,"1D")</f>
        <v>50699</v>
      </c>
      <c r="AL5718" s="21">
        <f>_xll.qlInterestRateIndexValueDate(hiborindex,AK5718)</f>
        <v>50703</v>
      </c>
      <c r="AM5718" s="23">
        <f>_xll.qlIndexFixing(hiborindex,AK5718)</f>
        <v>8.9424038031763551E-3</v>
      </c>
    </row>
    <row r="5719" spans="37:39" x14ac:dyDescent="0.25">
      <c r="AK5719" s="21">
        <f>_xll.qlCalendarAdvance(calendar,AK5718,"1D")</f>
        <v>50700</v>
      </c>
      <c r="AL5719" s="21">
        <f>_xll.qlInterestRateIndexValueDate(hiborindex,AK5719)</f>
        <v>50704</v>
      </c>
      <c r="AM5719" s="23">
        <f>_xll.qlIndexFixing(hiborindex,AK5719)</f>
        <v>8.9425866530979323E-3</v>
      </c>
    </row>
    <row r="5720" spans="37:39" x14ac:dyDescent="0.25">
      <c r="AK5720" s="21">
        <f>_xll.qlCalendarAdvance(calendar,AK5719,"1D")</f>
        <v>50703</v>
      </c>
      <c r="AL5720" s="21">
        <f>_xll.qlInterestRateIndexValueDate(hiborindex,AK5720)</f>
        <v>50705</v>
      </c>
      <c r="AM5720" s="23">
        <f>_xll.qlIndexFixing(hiborindex,AK5720)</f>
        <v>8.942769503036201E-3</v>
      </c>
    </row>
    <row r="5721" spans="37:39" x14ac:dyDescent="0.25">
      <c r="AK5721" s="21">
        <f>_xll.qlCalendarAdvance(calendar,AK5720,"1D")</f>
        <v>50704</v>
      </c>
      <c r="AL5721" s="21">
        <f>_xll.qlInterestRateIndexValueDate(hiborindex,AK5721)</f>
        <v>50706</v>
      </c>
      <c r="AM5721" s="23">
        <f>_xll.qlIndexFixing(hiborindex,AK5721)</f>
        <v>8.9429523529915966E-3</v>
      </c>
    </row>
    <row r="5722" spans="37:39" x14ac:dyDescent="0.25">
      <c r="AK5722" s="21">
        <f>_xll.qlCalendarAdvance(calendar,AK5721,"1D")</f>
        <v>50705</v>
      </c>
      <c r="AL5722" s="21">
        <f>_xll.qlInterestRateIndexValueDate(hiborindex,AK5722)</f>
        <v>50707</v>
      </c>
      <c r="AM5722" s="23">
        <f>_xll.qlIndexFixing(hiborindex,AK5722)</f>
        <v>8.9431352029636837E-3</v>
      </c>
    </row>
    <row r="5723" spans="37:39" x14ac:dyDescent="0.25">
      <c r="AK5723" s="21">
        <f>_xll.qlCalendarAdvance(calendar,AK5722,"1D")</f>
        <v>50706</v>
      </c>
      <c r="AL5723" s="21">
        <f>_xll.qlInterestRateIndexValueDate(hiborindex,AK5723)</f>
        <v>50710</v>
      </c>
      <c r="AM5723" s="23">
        <f>_xll.qlIndexFixing(hiborindex,AK5723)</f>
        <v>8.9436837529805226E-3</v>
      </c>
    </row>
    <row r="5724" spans="37:39" x14ac:dyDescent="0.25">
      <c r="AK5724" s="21">
        <f>_xll.qlCalendarAdvance(calendar,AK5723,"1D")</f>
        <v>50707</v>
      </c>
      <c r="AL5724" s="21">
        <f>_xll.qlInterestRateIndexValueDate(hiborindex,AK5724)</f>
        <v>50711</v>
      </c>
      <c r="AM5724" s="23">
        <f>_xll.qlIndexFixing(hiborindex,AK5724)</f>
        <v>8.9436642472148307E-3</v>
      </c>
    </row>
    <row r="5725" spans="37:39" x14ac:dyDescent="0.25">
      <c r="AK5725" s="21">
        <f>_xll.qlCalendarAdvance(calendar,AK5724,"1D")</f>
        <v>50710</v>
      </c>
      <c r="AL5725" s="21">
        <f>_xll.qlInterestRateIndexValueDate(hiborindex,AK5725)</f>
        <v>50712</v>
      </c>
      <c r="AM5725" s="23">
        <f>_xll.qlIndexFixing(hiborindex,AK5725)</f>
        <v>8.9438470927299119E-3</v>
      </c>
    </row>
    <row r="5726" spans="37:39" x14ac:dyDescent="0.25">
      <c r="AK5726" s="21">
        <f>_xll.qlCalendarAdvance(calendar,AK5725,"1D")</f>
        <v>50711</v>
      </c>
      <c r="AL5726" s="21">
        <f>_xll.qlInterestRateIndexValueDate(hiborindex,AK5726)</f>
        <v>50713</v>
      </c>
      <c r="AM5726" s="23">
        <f>_xll.qlIndexFixing(hiborindex,AK5726)</f>
        <v>8.9440299382622188E-3</v>
      </c>
    </row>
    <row r="5727" spans="37:39" x14ac:dyDescent="0.25">
      <c r="AK5727" s="21">
        <f>_xll.qlCalendarAdvance(calendar,AK5726,"1D")</f>
        <v>50712</v>
      </c>
      <c r="AL5727" s="21">
        <f>_xll.qlInterestRateIndexValueDate(hiborindex,AK5727)</f>
        <v>50714</v>
      </c>
      <c r="AM5727" s="23">
        <f>_xll.qlIndexFixing(hiborindex,AK5727)</f>
        <v>8.9442127838108652E-3</v>
      </c>
    </row>
    <row r="5728" spans="37:39" x14ac:dyDescent="0.25">
      <c r="AK5728" s="21">
        <f>_xll.qlCalendarAdvance(calendar,AK5727,"1D")</f>
        <v>50713</v>
      </c>
      <c r="AL5728" s="21">
        <f>_xll.qlInterestRateIndexValueDate(hiborindex,AK5728)</f>
        <v>50717</v>
      </c>
      <c r="AM5728" s="23">
        <f>_xll.qlIndexFixing(hiborindex,AK5728)</f>
        <v>8.9449637036095233E-3</v>
      </c>
    </row>
    <row r="5729" spans="37:39" x14ac:dyDescent="0.25">
      <c r="AK5729" s="21">
        <f>_xll.qlCalendarAdvance(calendar,AK5728,"1D")</f>
        <v>50714</v>
      </c>
      <c r="AL5729" s="21">
        <f>_xll.qlInterestRateIndexValueDate(hiborindex,AK5729)</f>
        <v>50718</v>
      </c>
      <c r="AM5729" s="23">
        <f>_xll.qlIndexFixing(hiborindex,AK5729)</f>
        <v>8.9449441661737152E-3</v>
      </c>
    </row>
    <row r="5730" spans="37:39" x14ac:dyDescent="0.25">
      <c r="AK5730" s="21">
        <f>_xll.qlCalendarAdvance(calendar,AK5729,"1D")</f>
        <v>50717</v>
      </c>
      <c r="AL5730" s="21">
        <f>_xll.qlInterestRateIndexValueDate(hiborindex,AK5730)</f>
        <v>50719</v>
      </c>
      <c r="AM5730" s="23">
        <f>_xll.qlIndexFixing(hiborindex,AK5730)</f>
        <v>8.9451270118058313E-3</v>
      </c>
    </row>
    <row r="5731" spans="37:39" x14ac:dyDescent="0.25">
      <c r="AK5731" s="21">
        <f>_xll.qlCalendarAdvance(calendar,AK5730,"1D")</f>
        <v>50718</v>
      </c>
      <c r="AL5731" s="21">
        <f>_xll.qlInterestRateIndexValueDate(hiborindex,AK5731)</f>
        <v>50720</v>
      </c>
      <c r="AM5731" s="23">
        <f>_xll.qlIndexFixing(hiborindex,AK5731)</f>
        <v>8.9453098574551696E-3</v>
      </c>
    </row>
    <row r="5732" spans="37:39" x14ac:dyDescent="0.25">
      <c r="AK5732" s="21">
        <f>_xll.qlCalendarAdvance(calendar,AK5731,"1D")</f>
        <v>50719</v>
      </c>
      <c r="AL5732" s="21">
        <f>_xll.qlInterestRateIndexValueDate(hiborindex,AK5732)</f>
        <v>50721</v>
      </c>
      <c r="AM5732" s="23">
        <f>_xll.qlIndexFixing(hiborindex,AK5732)</f>
        <v>8.9454927031208508E-3</v>
      </c>
    </row>
    <row r="5733" spans="37:39" x14ac:dyDescent="0.25">
      <c r="AK5733" s="21">
        <f>_xll.qlCalendarAdvance(calendar,AK5732,"1D")</f>
        <v>50720</v>
      </c>
      <c r="AL5733" s="21">
        <f>_xll.qlInterestRateIndexValueDate(hiborindex,AK5733)</f>
        <v>50724</v>
      </c>
      <c r="AM5733" s="23">
        <f>_xll.qlIndexFixing(hiborindex,AK5733)</f>
        <v>8.9462436550629201E-3</v>
      </c>
    </row>
    <row r="5734" spans="37:39" x14ac:dyDescent="0.25">
      <c r="AK5734" s="21">
        <f>_xll.qlCalendarAdvance(calendar,AK5733,"1D")</f>
        <v>50721</v>
      </c>
      <c r="AL5734" s="21">
        <f>_xll.qlInterestRateIndexValueDate(hiborindex,AK5734)</f>
        <v>50725</v>
      </c>
      <c r="AM5734" s="23">
        <f>_xll.qlIndexFixing(hiborindex,AK5734)</f>
        <v>8.9462240859518333E-3</v>
      </c>
    </row>
    <row r="5735" spans="37:39" x14ac:dyDescent="0.25">
      <c r="AK5735" s="21">
        <f>_xll.qlCalendarAdvance(calendar,AK5734,"1D")</f>
        <v>50724</v>
      </c>
      <c r="AL5735" s="21">
        <f>_xll.qlInterestRateIndexValueDate(hiborindex,AK5735)</f>
        <v>50726</v>
      </c>
      <c r="AM5735" s="23">
        <f>_xll.qlIndexFixing(hiborindex,AK5735)</f>
        <v>8.9464069317018672E-3</v>
      </c>
    </row>
    <row r="5736" spans="37:39" x14ac:dyDescent="0.25">
      <c r="AK5736" s="21">
        <f>_xll.qlCalendarAdvance(calendar,AK5735,"1D")</f>
        <v>50725</v>
      </c>
      <c r="AL5736" s="21">
        <f>_xll.qlInterestRateIndexValueDate(hiborindex,AK5736)</f>
        <v>50727</v>
      </c>
      <c r="AM5736" s="23">
        <f>_xll.qlIndexFixing(hiborindex,AK5736)</f>
        <v>8.9465897774682404E-3</v>
      </c>
    </row>
    <row r="5737" spans="37:39" x14ac:dyDescent="0.25">
      <c r="AK5737" s="21">
        <f>_xll.qlCalendarAdvance(calendar,AK5736,"1D")</f>
        <v>50726</v>
      </c>
      <c r="AL5737" s="21">
        <f>_xll.qlInterestRateIndexValueDate(hiborindex,AK5737)</f>
        <v>50728</v>
      </c>
      <c r="AM5737" s="23">
        <f>_xll.qlIndexFixing(hiborindex,AK5737)</f>
        <v>8.946772623250953E-3</v>
      </c>
    </row>
    <row r="5738" spans="37:39" x14ac:dyDescent="0.25">
      <c r="AK5738" s="21">
        <f>_xll.qlCalendarAdvance(calendar,AK5737,"1D")</f>
        <v>50727</v>
      </c>
      <c r="AL5738" s="21">
        <f>_xll.qlInterestRateIndexValueDate(hiborindex,AK5738)</f>
        <v>50731</v>
      </c>
      <c r="AM5738" s="23">
        <f>_xll.qlIndexFixing(hiborindex,AK5738)</f>
        <v>8.9475236073407131E-3</v>
      </c>
    </row>
    <row r="5739" spans="37:39" x14ac:dyDescent="0.25">
      <c r="AK5739" s="21">
        <f>_xll.qlCalendarAdvance(calendar,AK5738,"1D")</f>
        <v>50728</v>
      </c>
      <c r="AL5739" s="21">
        <f>_xll.qlInterestRateIndexValueDate(hiborindex,AK5739)</f>
        <v>50732</v>
      </c>
      <c r="AM5739" s="23">
        <f>_xll.qlIndexFixing(hiborindex,AK5739)</f>
        <v>8.9475040065509544E-3</v>
      </c>
    </row>
    <row r="5740" spans="37:39" x14ac:dyDescent="0.25">
      <c r="AK5740" s="21">
        <f>_xll.qlCalendarAdvance(calendar,AK5739,"1D")</f>
        <v>50731</v>
      </c>
      <c r="AL5740" s="21">
        <f>_xll.qlInterestRateIndexValueDate(hiborindex,AK5740)</f>
        <v>50733</v>
      </c>
      <c r="AM5740" s="23">
        <f>_xll.qlIndexFixing(hiborindex,AK5740)</f>
        <v>8.9476868524175773E-3</v>
      </c>
    </row>
    <row r="5741" spans="37:39" x14ac:dyDescent="0.25">
      <c r="AK5741" s="21">
        <f>_xll.qlCalendarAdvance(calendar,AK5740,"1D")</f>
        <v>50732</v>
      </c>
      <c r="AL5741" s="21">
        <f>_xll.qlInterestRateIndexValueDate(hiborindex,AK5741)</f>
        <v>50734</v>
      </c>
      <c r="AM5741" s="23">
        <f>_xll.qlIndexFixing(hiborindex,AK5741)</f>
        <v>8.9478696983009854E-3</v>
      </c>
    </row>
    <row r="5742" spans="37:39" x14ac:dyDescent="0.25">
      <c r="AK5742" s="21">
        <f>_xll.qlCalendarAdvance(calendar,AK5741,"1D")</f>
        <v>50733</v>
      </c>
      <c r="AL5742" s="21">
        <f>_xll.qlInterestRateIndexValueDate(hiborindex,AK5742)</f>
        <v>50735</v>
      </c>
      <c r="AM5742" s="23">
        <f>_xll.qlIndexFixing(hiborindex,AK5742)</f>
        <v>8.9480525442011734E-3</v>
      </c>
    </row>
    <row r="5743" spans="37:39" x14ac:dyDescent="0.25">
      <c r="AK5743" s="21">
        <f>_xll.qlCalendarAdvance(calendar,AK5742,"1D")</f>
        <v>50734</v>
      </c>
      <c r="AL5743" s="21">
        <f>_xll.qlInterestRateIndexValueDate(hiborindex,AK5743)</f>
        <v>50738</v>
      </c>
      <c r="AM5743" s="23">
        <f>_xll.qlIndexFixing(hiborindex,AK5743)</f>
        <v>8.948803560443341E-3</v>
      </c>
    </row>
    <row r="5744" spans="37:39" x14ac:dyDescent="0.25">
      <c r="AK5744" s="21">
        <f>_xll.qlCalendarAdvance(calendar,AK5743,"1D")</f>
        <v>50735</v>
      </c>
      <c r="AL5744" s="21">
        <f>_xll.qlInterestRateIndexValueDate(hiborindex,AK5744)</f>
        <v>50739</v>
      </c>
      <c r="AM5744" s="23">
        <f>_xll.qlIndexFixing(hiborindex,AK5744)</f>
        <v>8.9489864109538984E-3</v>
      </c>
    </row>
    <row r="5745" spans="37:39" x14ac:dyDescent="0.25">
      <c r="AK5745" s="21">
        <f>_xll.qlCalendarAdvance(calendar,AK5744,"1D")</f>
        <v>50738</v>
      </c>
      <c r="AL5745" s="21">
        <f>_xll.qlInterestRateIndexValueDate(hiborindex,AK5745)</f>
        <v>50740</v>
      </c>
      <c r="AM5745" s="23">
        <f>_xll.qlIndexFixing(hiborindex,AK5745)</f>
        <v>8.9491692614811439E-3</v>
      </c>
    </row>
    <row r="5746" spans="37:39" x14ac:dyDescent="0.25">
      <c r="AK5746" s="21">
        <f>_xll.qlCalendarAdvance(calendar,AK5745,"1D")</f>
        <v>50739</v>
      </c>
      <c r="AL5746" s="21">
        <f>_xll.qlInterestRateIndexValueDate(hiborindex,AK5746)</f>
        <v>50741</v>
      </c>
      <c r="AM5746" s="23">
        <f>_xll.qlIndexFixing(hiborindex,AK5746)</f>
        <v>8.9493521120250809E-3</v>
      </c>
    </row>
    <row r="5747" spans="37:39" x14ac:dyDescent="0.25">
      <c r="AK5747" s="21">
        <f>_xll.qlCalendarAdvance(calendar,AK5746,"1D")</f>
        <v>50740</v>
      </c>
      <c r="AL5747" s="21">
        <f>_xll.qlInterestRateIndexValueDate(hiborindex,AK5747)</f>
        <v>50742</v>
      </c>
      <c r="AM5747" s="23">
        <f>_xll.qlIndexFixing(hiborindex,AK5747)</f>
        <v>8.9495349625861483E-3</v>
      </c>
    </row>
    <row r="5748" spans="37:39" x14ac:dyDescent="0.25">
      <c r="AK5748" s="21">
        <f>_xll.qlCalendarAdvance(calendar,AK5747,"1D")</f>
        <v>50741</v>
      </c>
      <c r="AL5748" s="21">
        <f>_xll.qlInterestRateIndexValueDate(hiborindex,AK5748)</f>
        <v>50745</v>
      </c>
      <c r="AM5748" s="23">
        <f>_xll.qlIndexFixing(hiborindex,AK5748)</f>
        <v>8.9500835143703633E-3</v>
      </c>
    </row>
    <row r="5749" spans="37:39" x14ac:dyDescent="0.25">
      <c r="AK5749" s="21">
        <f>_xll.qlCalendarAdvance(calendar,AK5748,"1D")</f>
        <v>50742</v>
      </c>
      <c r="AL5749" s="21">
        <f>_xll.qlInterestRateIndexValueDate(hiborindex,AK5749)</f>
        <v>50746</v>
      </c>
      <c r="AM5749" s="23">
        <f>_xll.qlIndexFixing(hiborindex,AK5749)</f>
        <v>8.9502663649986287E-3</v>
      </c>
    </row>
    <row r="5750" spans="37:39" x14ac:dyDescent="0.25">
      <c r="AK5750" s="21">
        <f>_xll.qlCalendarAdvance(calendar,AK5749,"1D")</f>
        <v>50745</v>
      </c>
      <c r="AL5750" s="21">
        <f>_xll.qlInterestRateIndexValueDate(hiborindex,AK5750)</f>
        <v>50747</v>
      </c>
      <c r="AM5750" s="23">
        <f>_xll.qlIndexFixing(hiborindex,AK5750)</f>
        <v>8.9504492156435838E-3</v>
      </c>
    </row>
    <row r="5751" spans="37:39" x14ac:dyDescent="0.25">
      <c r="AK5751" s="21">
        <f>_xll.qlCalendarAdvance(calendar,AK5750,"1D")</f>
        <v>50746</v>
      </c>
      <c r="AL5751" s="21">
        <f>_xll.qlInterestRateIndexValueDate(hiborindex,AK5751)</f>
        <v>50748</v>
      </c>
      <c r="AM5751" s="23">
        <f>_xll.qlIndexFixing(hiborindex,AK5751)</f>
        <v>8.9506320663056676E-3</v>
      </c>
    </row>
    <row r="5752" spans="37:39" x14ac:dyDescent="0.25">
      <c r="AK5752" s="21">
        <f>_xll.qlCalendarAdvance(calendar,AK5751,"1D")</f>
        <v>50747</v>
      </c>
      <c r="AL5752" s="21">
        <f>_xll.qlInterestRateIndexValueDate(hiborindex,AK5752)</f>
        <v>50749</v>
      </c>
      <c r="AM5752" s="23">
        <f>_xll.qlIndexFixing(hiborindex,AK5752)</f>
        <v>8.9508149169844411E-3</v>
      </c>
    </row>
    <row r="5753" spans="37:39" x14ac:dyDescent="0.25">
      <c r="AK5753" s="21">
        <f>_xll.qlCalendarAdvance(calendar,AK5752,"1D")</f>
        <v>50748</v>
      </c>
      <c r="AL5753" s="21">
        <f>_xll.qlInterestRateIndexValueDate(hiborindex,AK5753)</f>
        <v>50752</v>
      </c>
      <c r="AM5753" s="23">
        <f>_xll.qlIndexFixing(hiborindex,AK5753)</f>
        <v>8.9513634691217817E-3</v>
      </c>
    </row>
    <row r="5754" spans="37:39" x14ac:dyDescent="0.25">
      <c r="AK5754" s="21">
        <f>_xll.qlCalendarAdvance(calendar,AK5753,"1D")</f>
        <v>50749</v>
      </c>
      <c r="AL5754" s="21">
        <f>_xll.qlInterestRateIndexValueDate(hiborindex,AK5754)</f>
        <v>50753</v>
      </c>
      <c r="AM5754" s="23">
        <f>_xll.qlIndexFixing(hiborindex,AK5754)</f>
        <v>8.951546319867755E-3</v>
      </c>
    </row>
    <row r="5755" spans="37:39" x14ac:dyDescent="0.25">
      <c r="AK5755" s="21">
        <f>_xll.qlCalendarAdvance(calendar,AK5754,"1D")</f>
        <v>50752</v>
      </c>
      <c r="AL5755" s="21">
        <f>_xll.qlInterestRateIndexValueDate(hiborindex,AK5755)</f>
        <v>50754</v>
      </c>
      <c r="AM5755" s="23">
        <f>_xll.qlIndexFixing(hiborindex,AK5755)</f>
        <v>8.9517291706304181E-3</v>
      </c>
    </row>
    <row r="5756" spans="37:39" x14ac:dyDescent="0.25">
      <c r="AK5756" s="21">
        <f>_xll.qlCalendarAdvance(calendar,AK5755,"1D")</f>
        <v>50753</v>
      </c>
      <c r="AL5756" s="21">
        <f>_xll.qlInterestRateIndexValueDate(hiborindex,AK5756)</f>
        <v>50755</v>
      </c>
      <c r="AM5756" s="23">
        <f>_xll.qlIndexFixing(hiborindex,AK5756)</f>
        <v>8.9519120214106487E-3</v>
      </c>
    </row>
    <row r="5757" spans="37:39" x14ac:dyDescent="0.25">
      <c r="AK5757" s="21">
        <f>_xll.qlCalendarAdvance(calendar,AK5756,"1D")</f>
        <v>50754</v>
      </c>
      <c r="AL5757" s="21">
        <f>_xll.qlInterestRateIndexValueDate(hiborindex,AK5757)</f>
        <v>50756</v>
      </c>
      <c r="AM5757" s="23">
        <f>_xll.qlIndexFixing(hiborindex,AK5757)</f>
        <v>8.9520948722071319E-3</v>
      </c>
    </row>
    <row r="5758" spans="37:39" x14ac:dyDescent="0.25">
      <c r="AK5758" s="21">
        <f>_xll.qlCalendarAdvance(calendar,AK5757,"1D")</f>
        <v>50755</v>
      </c>
      <c r="AL5758" s="21">
        <f>_xll.qlInterestRateIndexValueDate(hiborindex,AK5758)</f>
        <v>50759</v>
      </c>
      <c r="AM5758" s="23">
        <f>_xll.qlIndexFixing(hiborindex,AK5758)</f>
        <v>8.9526434246975962E-3</v>
      </c>
    </row>
    <row r="5759" spans="37:39" x14ac:dyDescent="0.25">
      <c r="AK5759" s="21">
        <f>_xll.qlCalendarAdvance(calendar,AK5758,"1D")</f>
        <v>50756</v>
      </c>
      <c r="AL5759" s="21">
        <f>_xll.qlInterestRateIndexValueDate(hiborindex,AK5759)</f>
        <v>50760</v>
      </c>
      <c r="AM5759" s="23">
        <f>_xll.qlIndexFixing(hiborindex,AK5759)</f>
        <v>8.9528262755612775E-3</v>
      </c>
    </row>
    <row r="5760" spans="37:39" x14ac:dyDescent="0.25">
      <c r="AK5760" s="21">
        <f>_xll.qlCalendarAdvance(calendar,AK5759,"1D")</f>
        <v>50759</v>
      </c>
      <c r="AL5760" s="21">
        <f>_xll.qlInterestRateIndexValueDate(hiborindex,AK5760)</f>
        <v>50761</v>
      </c>
      <c r="AM5760" s="23">
        <f>_xll.qlIndexFixing(hiborindex,AK5760)</f>
        <v>8.9530091264425262E-3</v>
      </c>
    </row>
    <row r="5761" spans="37:39" x14ac:dyDescent="0.25">
      <c r="AK5761" s="21">
        <f>_xll.qlCalendarAdvance(calendar,AK5760,"1D")</f>
        <v>50760</v>
      </c>
      <c r="AL5761" s="21">
        <f>_xll.qlInterestRateIndexValueDate(hiborindex,AK5761)</f>
        <v>50762</v>
      </c>
      <c r="AM5761" s="23">
        <f>_xll.qlIndexFixing(hiborindex,AK5761)</f>
        <v>8.953191977339587E-3</v>
      </c>
    </row>
    <row r="5762" spans="37:39" x14ac:dyDescent="0.25">
      <c r="AK5762" s="21">
        <f>_xll.qlCalendarAdvance(calendar,AK5761,"1D")</f>
        <v>50761</v>
      </c>
      <c r="AL5762" s="21">
        <f>_xll.qlInterestRateIndexValueDate(hiborindex,AK5762)</f>
        <v>50763</v>
      </c>
      <c r="AM5762" s="23">
        <f>_xll.qlIndexFixing(hiborindex,AK5762)</f>
        <v>8.953374828254217E-3</v>
      </c>
    </row>
    <row r="5763" spans="37:39" x14ac:dyDescent="0.25">
      <c r="AK5763" s="21">
        <f>_xll.qlCalendarAdvance(calendar,AK5762,"1D")</f>
        <v>50762</v>
      </c>
      <c r="AL5763" s="21">
        <f>_xll.qlInterestRateIndexValueDate(hiborindex,AK5763)</f>
        <v>50766</v>
      </c>
      <c r="AM5763" s="23">
        <f>_xll.qlIndexFixing(hiborindex,AK5763)</f>
        <v>8.953923381098244E-3</v>
      </c>
    </row>
    <row r="5764" spans="37:39" x14ac:dyDescent="0.25">
      <c r="AK5764" s="21">
        <f>_xll.qlCalendarAdvance(calendar,AK5763,"1D")</f>
        <v>50763</v>
      </c>
      <c r="AL5764" s="21">
        <f>_xll.qlInterestRateIndexValueDate(hiborindex,AK5764)</f>
        <v>50767</v>
      </c>
      <c r="AM5764" s="23">
        <f>_xll.qlIndexFixing(hiborindex,AK5764)</f>
        <v>8.9541062320796332E-3</v>
      </c>
    </row>
    <row r="5765" spans="37:39" x14ac:dyDescent="0.25">
      <c r="AK5765" s="21">
        <f>_xll.qlCalendarAdvance(calendar,AK5764,"1D")</f>
        <v>50766</v>
      </c>
      <c r="AL5765" s="21">
        <f>_xll.qlInterestRateIndexValueDate(hiborindex,AK5765)</f>
        <v>50768</v>
      </c>
      <c r="AM5765" s="23">
        <f>_xll.qlIndexFixing(hiborindex,AK5765)</f>
        <v>8.954289083078151E-3</v>
      </c>
    </row>
    <row r="5766" spans="37:39" x14ac:dyDescent="0.25">
      <c r="AK5766" s="21">
        <f>_xll.qlCalendarAdvance(calendar,AK5765,"1D")</f>
        <v>50767</v>
      </c>
      <c r="AL5766" s="21">
        <f>_xll.qlInterestRateIndexValueDate(hiborindex,AK5766)</f>
        <v>50769</v>
      </c>
      <c r="AM5766" s="23">
        <f>_xll.qlIndexFixing(hiborindex,AK5766)</f>
        <v>8.9544719340937991E-3</v>
      </c>
    </row>
    <row r="5767" spans="37:39" x14ac:dyDescent="0.25">
      <c r="AK5767" s="21">
        <f>_xll.qlCalendarAdvance(calendar,AK5766,"1D")</f>
        <v>50768</v>
      </c>
      <c r="AL5767" s="21">
        <f>_xll.qlInterestRateIndexValueDate(hiborindex,AK5767)</f>
        <v>50770</v>
      </c>
      <c r="AM5767" s="23">
        <f>_xll.qlIndexFixing(hiborindex,AK5767)</f>
        <v>8.9544521612509448E-3</v>
      </c>
    </row>
    <row r="5768" spans="37:39" x14ac:dyDescent="0.25">
      <c r="AK5768" s="21">
        <f>_xll.qlCalendarAdvance(calendar,AK5767,"1D")</f>
        <v>50769</v>
      </c>
      <c r="AL5768" s="21">
        <f>_xll.qlInterestRateIndexValueDate(hiborindex,AK5768)</f>
        <v>50773</v>
      </c>
      <c r="AM5768" s="23">
        <f>_xll.qlIndexFixing(hiborindex,AK5768)</f>
        <v>8.9464555005956854E-3</v>
      </c>
    </row>
    <row r="5769" spans="37:39" x14ac:dyDescent="0.25">
      <c r="AK5769" s="21">
        <f>_xll.qlCalendarAdvance(calendar,AK5768,"1D")</f>
        <v>50770</v>
      </c>
      <c r="AL5769" s="21">
        <f>_xll.qlInterestRateIndexValueDate(hiborindex,AK5769)</f>
        <v>50774</v>
      </c>
      <c r="AM5769" s="23">
        <f>_xll.qlIndexFixing(hiborindex,AK5769)</f>
        <v>8.9463875969501665E-3</v>
      </c>
    </row>
    <row r="5770" spans="37:39" x14ac:dyDescent="0.25">
      <c r="AK5770" s="21">
        <f>_xll.qlCalendarAdvance(calendar,AK5769,"1D")</f>
        <v>50773</v>
      </c>
      <c r="AL5770" s="21">
        <f>_xll.qlInterestRateIndexValueDate(hiborindex,AK5770)</f>
        <v>50775</v>
      </c>
      <c r="AM5770" s="23">
        <f>_xll.qlIndexFixing(hiborindex,AK5770)</f>
        <v>8.9443701529787287E-3</v>
      </c>
    </row>
    <row r="5771" spans="37:39" x14ac:dyDescent="0.25">
      <c r="AK5771" s="21">
        <f>_xll.qlCalendarAdvance(calendar,AK5770,"1D")</f>
        <v>50774</v>
      </c>
      <c r="AL5771" s="21">
        <f>_xll.qlInterestRateIndexValueDate(hiborindex,AK5771)</f>
        <v>50776</v>
      </c>
      <c r="AM5771" s="23">
        <f>_xll.qlIndexFixing(hiborindex,AK5771)</f>
        <v>8.9423521878520158E-3</v>
      </c>
    </row>
    <row r="5772" spans="37:39" x14ac:dyDescent="0.25">
      <c r="AK5772" s="21">
        <f>_xll.qlCalendarAdvance(calendar,AK5771,"1D")</f>
        <v>50775</v>
      </c>
      <c r="AL5772" s="21">
        <f>_xll.qlInterestRateIndexValueDate(hiborindex,AK5772)</f>
        <v>50777</v>
      </c>
      <c r="AM5772" s="23">
        <f>_xll.qlIndexFixing(hiborindex,AK5772)</f>
        <v>8.9403337015709142E-3</v>
      </c>
    </row>
    <row r="5773" spans="37:39" x14ac:dyDescent="0.25">
      <c r="AK5773" s="21">
        <f>_xll.qlCalendarAdvance(calendar,AK5772,"1D")</f>
        <v>50776</v>
      </c>
      <c r="AL5773" s="21">
        <f>_xll.qlInterestRateIndexValueDate(hiborindex,AK5773)</f>
        <v>50780</v>
      </c>
      <c r="AM5773" s="23">
        <f>_xll.qlIndexFixing(hiborindex,AK5773)</f>
        <v>8.9324067871653021E-3</v>
      </c>
    </row>
    <row r="5774" spans="37:39" x14ac:dyDescent="0.25">
      <c r="AK5774" s="21">
        <f>_xll.qlCalendarAdvance(calendar,AK5773,"1D")</f>
        <v>50777</v>
      </c>
      <c r="AL5774" s="21">
        <f>_xll.qlInterestRateIndexValueDate(hiborindex,AK5774)</f>
        <v>50781</v>
      </c>
      <c r="AM5774" s="23">
        <f>_xll.qlIndexFixing(hiborindex,AK5774)</f>
        <v>8.932254544942347E-3</v>
      </c>
    </row>
    <row r="5775" spans="37:39" x14ac:dyDescent="0.25">
      <c r="AK5775" s="21">
        <f>_xll.qlCalendarAdvance(calendar,AK5774,"1D")</f>
        <v>50780</v>
      </c>
      <c r="AL5775" s="21">
        <f>_xll.qlInterestRateIndexValueDate(hiborindex,AK5775)</f>
        <v>50782</v>
      </c>
      <c r="AM5775" s="23">
        <f>_xll.qlIndexFixing(hiborindex,AK5775)</f>
        <v>8.9302334529162333E-3</v>
      </c>
    </row>
    <row r="5776" spans="37:39" x14ac:dyDescent="0.25">
      <c r="AK5776" s="21">
        <f>_xll.qlCalendarAdvance(calendar,AK5775,"1D")</f>
        <v>50781</v>
      </c>
      <c r="AL5776" s="21">
        <f>_xll.qlInterestRateIndexValueDate(hiborindex,AK5776)</f>
        <v>50783</v>
      </c>
      <c r="AM5776" s="23">
        <f>_xll.qlIndexFixing(hiborindex,AK5776)</f>
        <v>8.9282118397458858E-3</v>
      </c>
    </row>
    <row r="5777" spans="37:39" x14ac:dyDescent="0.25">
      <c r="AK5777" s="21">
        <f>_xll.qlCalendarAdvance(calendar,AK5776,"1D")</f>
        <v>50782</v>
      </c>
      <c r="AL5777" s="21">
        <f>_xll.qlInterestRateIndexValueDate(hiborindex,AK5777)</f>
        <v>50784</v>
      </c>
      <c r="AM5777" s="23">
        <f>_xll.qlIndexFixing(hiborindex,AK5777)</f>
        <v>8.9261897054330724E-3</v>
      </c>
    </row>
    <row r="5778" spans="37:39" x14ac:dyDescent="0.25">
      <c r="AK5778" s="21">
        <f>_xll.qlCalendarAdvance(calendar,AK5777,"1D")</f>
        <v>50783</v>
      </c>
      <c r="AL5778" s="21">
        <f>_xll.qlInterestRateIndexValueDate(hiborindex,AK5778)</f>
        <v>50787</v>
      </c>
      <c r="AM5778" s="23">
        <f>_xll.qlIndexFixing(hiborindex,AK5778)</f>
        <v>8.918332677166553E-3</v>
      </c>
    </row>
    <row r="5779" spans="37:39" x14ac:dyDescent="0.25">
      <c r="AK5779" s="21">
        <f>_xll.qlCalendarAdvance(calendar,AK5778,"1D")</f>
        <v>50784</v>
      </c>
      <c r="AL5779" s="21">
        <f>_xll.qlInterestRateIndexValueDate(hiborindex,AK5779)</f>
        <v>50788</v>
      </c>
      <c r="AM5779" s="23">
        <f>_xll.qlIndexFixing(hiborindex,AK5779)</f>
        <v>8.9180959567863038E-3</v>
      </c>
    </row>
    <row r="5780" spans="37:39" x14ac:dyDescent="0.25">
      <c r="AK5780" s="21">
        <f>_xll.qlCalendarAdvance(calendar,AK5779,"1D")</f>
        <v>50787</v>
      </c>
      <c r="AL5780" s="21">
        <f>_xll.qlInterestRateIndexValueDate(hiborindex,AK5780)</f>
        <v>50789</v>
      </c>
      <c r="AM5780" s="23">
        <f>_xll.qlIndexFixing(hiborindex,AK5780)</f>
        <v>8.9160712167836841E-3</v>
      </c>
    </row>
    <row r="5781" spans="37:39" x14ac:dyDescent="0.25">
      <c r="AK5781" s="21">
        <f>_xll.qlCalendarAdvance(calendar,AK5780,"1D")</f>
        <v>50788</v>
      </c>
      <c r="AL5781" s="21">
        <f>_xll.qlInterestRateIndexValueDate(hiborindex,AK5781)</f>
        <v>50790</v>
      </c>
      <c r="AM5781" s="23">
        <f>_xll.qlIndexFixing(hiborindex,AK5781)</f>
        <v>8.9140459556478705E-3</v>
      </c>
    </row>
    <row r="5782" spans="37:39" x14ac:dyDescent="0.25">
      <c r="AK5782" s="21">
        <f>_xll.qlCalendarAdvance(calendar,AK5781,"1D")</f>
        <v>50789</v>
      </c>
      <c r="AL5782" s="21">
        <f>_xll.qlInterestRateIndexValueDate(hiborindex,AK5782)</f>
        <v>50791</v>
      </c>
      <c r="AM5782" s="23">
        <f>_xll.qlIndexFixing(hiborindex,AK5782)</f>
        <v>8.9120201733801901E-3</v>
      </c>
    </row>
    <row r="5783" spans="37:39" x14ac:dyDescent="0.25">
      <c r="AK5783" s="21">
        <f>_xll.qlCalendarAdvance(calendar,AK5782,"1D")</f>
        <v>50790</v>
      </c>
      <c r="AL5783" s="21">
        <f>_xll.qlInterestRateIndexValueDate(hiborindex,AK5783)</f>
        <v>50794</v>
      </c>
      <c r="AM5783" s="23">
        <f>_xll.qlIndexFixing(hiborindex,AK5783)</f>
        <v>8.9042331711414249E-3</v>
      </c>
    </row>
    <row r="5784" spans="37:39" x14ac:dyDescent="0.25">
      <c r="AK5784" s="21">
        <f>_xll.qlCalendarAdvance(calendar,AK5783,"1D")</f>
        <v>50791</v>
      </c>
      <c r="AL5784" s="21">
        <f>_xll.qlInterestRateIndexValueDate(hiborindex,AK5784)</f>
        <v>50795</v>
      </c>
      <c r="AM5784" s="23">
        <f>_xll.qlIndexFixing(hiborindex,AK5784)</f>
        <v>8.9039118330274582E-3</v>
      </c>
    </row>
    <row r="5785" spans="37:39" x14ac:dyDescent="0.25">
      <c r="AK5785" s="21">
        <f>_xll.qlCalendarAdvance(calendar,AK5784,"1D")</f>
        <v>50794</v>
      </c>
      <c r="AL5785" s="21">
        <f>_xll.qlInterestRateIndexValueDate(hiborindex,AK5785)</f>
        <v>50796</v>
      </c>
      <c r="AM5785" s="23">
        <f>_xll.qlIndexFixing(hiborindex,AK5785)</f>
        <v>8.9018834451256162E-3</v>
      </c>
    </row>
    <row r="5786" spans="37:39" x14ac:dyDescent="0.25">
      <c r="AK5786" s="21">
        <f>_xll.qlCalendarAdvance(calendar,AK5785,"1D")</f>
        <v>50795</v>
      </c>
      <c r="AL5786" s="21">
        <f>_xll.qlInterestRateIndexValueDate(hiborindex,AK5786)</f>
        <v>50797</v>
      </c>
      <c r="AM5786" s="23">
        <f>_xll.qlIndexFixing(hiborindex,AK5786)</f>
        <v>8.8998545361025083E-3</v>
      </c>
    </row>
    <row r="5787" spans="37:39" x14ac:dyDescent="0.25">
      <c r="AK5787" s="21">
        <f>_xll.qlCalendarAdvance(calendar,AK5786,"1D")</f>
        <v>50796</v>
      </c>
      <c r="AL5787" s="21">
        <f>_xll.qlInterestRateIndexValueDate(hiborindex,AK5787)</f>
        <v>50798</v>
      </c>
      <c r="AM5787" s="23">
        <f>_xll.qlIndexFixing(hiborindex,AK5787)</f>
        <v>8.897825105959014E-3</v>
      </c>
    </row>
    <row r="5788" spans="37:39" x14ac:dyDescent="0.25">
      <c r="AK5788" s="21">
        <f>_xll.qlCalendarAdvance(calendar,AK5787,"1D")</f>
        <v>50797</v>
      </c>
      <c r="AL5788" s="21">
        <f>_xll.qlInterestRateIndexValueDate(hiborindex,AK5788)</f>
        <v>50801</v>
      </c>
      <c r="AM5788" s="23">
        <f>_xll.qlIndexFixing(hiborindex,AK5788)</f>
        <v>8.8950439122564753E-3</v>
      </c>
    </row>
    <row r="5789" spans="37:39" x14ac:dyDescent="0.25">
      <c r="AK5789" s="21">
        <f>_xll.qlCalendarAdvance(calendar,AK5788,"1D")</f>
        <v>50798</v>
      </c>
      <c r="AL5789" s="21">
        <f>_xll.qlInterestRateIndexValueDate(hiborindex,AK5789)</f>
        <v>50802</v>
      </c>
      <c r="AM5789" s="23">
        <f>_xll.qlIndexFixing(hiborindex,AK5789)</f>
        <v>8.8897021742107875E-3</v>
      </c>
    </row>
    <row r="5790" spans="37:39" x14ac:dyDescent="0.25">
      <c r="AK5790" s="21">
        <f>_xll.qlCalendarAdvance(calendar,AK5789,"1D")</f>
        <v>50801</v>
      </c>
      <c r="AL5790" s="21">
        <f>_xll.qlInterestRateIndexValueDate(hiborindex,AK5790)</f>
        <v>50803</v>
      </c>
      <c r="AM5790" s="23">
        <f>_xll.qlIndexFixing(hiborindex,AK5790)</f>
        <v>8.8876701384883357E-3</v>
      </c>
    </row>
    <row r="5791" spans="37:39" x14ac:dyDescent="0.25">
      <c r="AK5791" s="21">
        <f>_xll.qlCalendarAdvance(calendar,AK5790,"1D")</f>
        <v>50802</v>
      </c>
      <c r="AL5791" s="21">
        <f>_xll.qlInterestRateIndexValueDate(hiborindex,AK5791)</f>
        <v>50804</v>
      </c>
      <c r="AM5791" s="23">
        <f>_xll.qlIndexFixing(hiborindex,AK5791)</f>
        <v>8.8856375816552171E-3</v>
      </c>
    </row>
    <row r="5792" spans="37:39" x14ac:dyDescent="0.25">
      <c r="AK5792" s="21">
        <f>_xll.qlCalendarAdvance(calendar,AK5791,"1D")</f>
        <v>50803</v>
      </c>
      <c r="AL5792" s="21">
        <f>_xll.qlInterestRateIndexValueDate(hiborindex,AK5792)</f>
        <v>50805</v>
      </c>
      <c r="AM5792" s="23">
        <f>_xll.qlIndexFixing(hiborindex,AK5792)</f>
        <v>8.8836045037127553E-3</v>
      </c>
    </row>
    <row r="5793" spans="37:39" x14ac:dyDescent="0.25">
      <c r="AK5793" s="21">
        <f>_xll.qlCalendarAdvance(calendar,AK5792,"1D")</f>
        <v>50804</v>
      </c>
      <c r="AL5793" s="21">
        <f>_xll.qlInterestRateIndexValueDate(hiborindex,AK5793)</f>
        <v>50808</v>
      </c>
      <c r="AM5793" s="23">
        <f>_xll.qlIndexFixing(hiborindex,AK5793)</f>
        <v>8.8759579731795216E-3</v>
      </c>
    </row>
    <row r="5794" spans="37:39" x14ac:dyDescent="0.25">
      <c r="AK5794" s="21">
        <f>_xll.qlCalendarAdvance(calendar,AK5793,"1D")</f>
        <v>50805</v>
      </c>
      <c r="AL5794" s="21">
        <f>_xll.qlInterestRateIndexValueDate(hiborindex,AK5794)</f>
        <v>50809</v>
      </c>
      <c r="AM5794" s="23">
        <f>_xll.qlIndexFixing(hiborindex,AK5794)</f>
        <v>8.8754669808821518E-3</v>
      </c>
    </row>
    <row r="5795" spans="37:39" x14ac:dyDescent="0.25">
      <c r="AK5795" s="21">
        <f>_xll.qlCalendarAdvance(calendar,AK5794,"1D")</f>
        <v>50808</v>
      </c>
      <c r="AL5795" s="21">
        <f>_xll.qlInterestRateIndexValueDate(hiborindex,AK5795)</f>
        <v>50810</v>
      </c>
      <c r="AM5795" s="23">
        <f>_xll.qlIndexFixing(hiborindex,AK5795)</f>
        <v>8.8734312974168197E-3</v>
      </c>
    </row>
    <row r="5796" spans="37:39" x14ac:dyDescent="0.25">
      <c r="AK5796" s="21">
        <f>_xll.qlCalendarAdvance(calendar,AK5795,"1D")</f>
        <v>50809</v>
      </c>
      <c r="AL5796" s="21">
        <f>_xll.qlInterestRateIndexValueDate(hiborindex,AK5796)</f>
        <v>50811</v>
      </c>
      <c r="AM5796" s="23">
        <f>_xll.qlIndexFixing(hiborindex,AK5796)</f>
        <v>8.8713950928523029E-3</v>
      </c>
    </row>
    <row r="5797" spans="37:39" x14ac:dyDescent="0.25">
      <c r="AK5797" s="21">
        <f>_xll.qlCalendarAdvance(calendar,AK5796,"1D")</f>
        <v>50810</v>
      </c>
      <c r="AL5797" s="21">
        <f>_xll.qlInterestRateIndexValueDate(hiborindex,AK5797)</f>
        <v>50812</v>
      </c>
      <c r="AM5797" s="23">
        <f>_xll.qlIndexFixing(hiborindex,AK5797)</f>
        <v>8.8693583671894827E-3</v>
      </c>
    </row>
    <row r="5798" spans="37:39" x14ac:dyDescent="0.25">
      <c r="AK5798" s="21">
        <f>_xll.qlCalendarAdvance(calendar,AK5797,"1D")</f>
        <v>50811</v>
      </c>
      <c r="AL5798" s="21">
        <f>_xll.qlInterestRateIndexValueDate(hiborindex,AK5798)</f>
        <v>50815</v>
      </c>
      <c r="AM5798" s="23">
        <f>_xll.qlIndexFixing(hiborindex,AK5798)</f>
        <v>8.861782282330229E-3</v>
      </c>
    </row>
    <row r="5799" spans="37:39" x14ac:dyDescent="0.25">
      <c r="AK5799" s="21">
        <f>_xll.qlCalendarAdvance(calendar,AK5798,"1D")</f>
        <v>50812</v>
      </c>
      <c r="AL5799" s="21">
        <f>_xll.qlInterestRateIndexValueDate(hiborindex,AK5799)</f>
        <v>50816</v>
      </c>
      <c r="AM5799" s="23">
        <f>_xll.qlIndexFixing(hiborindex,AK5799)</f>
        <v>8.8612062535891826E-3</v>
      </c>
    </row>
    <row r="5800" spans="37:39" x14ac:dyDescent="0.25">
      <c r="AK5800" s="21">
        <f>_xll.qlCalendarAdvance(calendar,AK5799,"1D")</f>
        <v>50815</v>
      </c>
      <c r="AL5800" s="21">
        <f>_xll.qlInterestRateIndexValueDate(hiborindex,AK5800)</f>
        <v>50817</v>
      </c>
      <c r="AM5800" s="23">
        <f>_xll.qlIndexFixing(hiborindex,AK5800)</f>
        <v>8.8591669224595809E-3</v>
      </c>
    </row>
    <row r="5801" spans="37:39" x14ac:dyDescent="0.25">
      <c r="AK5801" s="21">
        <f>_xll.qlCalendarAdvance(calendar,AK5800,"1D")</f>
        <v>50816</v>
      </c>
      <c r="AL5801" s="21">
        <f>_xll.qlInterestRateIndexValueDate(hiborindex,AK5801)</f>
        <v>50818</v>
      </c>
      <c r="AM5801" s="23">
        <f>_xll.qlIndexFixing(hiborindex,AK5801)</f>
        <v>8.8571270702418343E-3</v>
      </c>
    </row>
    <row r="5802" spans="37:39" x14ac:dyDescent="0.25">
      <c r="AK5802" s="21">
        <f>_xll.qlCalendarAdvance(calendar,AK5801,"1D")</f>
        <v>50817</v>
      </c>
      <c r="AL5802" s="21">
        <f>_xll.qlInterestRateIndexValueDate(hiborindex,AK5802)</f>
        <v>50819</v>
      </c>
      <c r="AM5802" s="23">
        <f>_xll.qlIndexFixing(hiborindex,AK5802)</f>
        <v>8.8550866969372664E-3</v>
      </c>
    </row>
    <row r="5803" spans="37:39" x14ac:dyDescent="0.25">
      <c r="AK5803" s="21">
        <f>_xll.qlCalendarAdvance(calendar,AK5802,"1D")</f>
        <v>50818</v>
      </c>
      <c r="AL5803" s="21">
        <f>_xll.qlInterestRateIndexValueDate(hiborindex,AK5803)</f>
        <v>50822</v>
      </c>
      <c r="AM5803" s="23">
        <f>_xll.qlIndexFixing(hiborindex,AK5803)</f>
        <v>8.8475811976282005E-3</v>
      </c>
    </row>
    <row r="5804" spans="37:39" x14ac:dyDescent="0.25">
      <c r="AK5804" s="21">
        <f>_xll.qlCalendarAdvance(calendar,AK5803,"1D")</f>
        <v>50819</v>
      </c>
      <c r="AL5804" s="21">
        <f>_xll.qlInterestRateIndexValueDate(hiborindex,AK5804)</f>
        <v>50823</v>
      </c>
      <c r="AM5804" s="23">
        <f>_xll.qlIndexFixing(hiborindex,AK5804)</f>
        <v>8.846919992880389E-3</v>
      </c>
    </row>
    <row r="5805" spans="37:39" x14ac:dyDescent="0.25">
      <c r="AK5805" s="21">
        <f>_xll.qlCalendarAdvance(calendar,AK5804,"1D")</f>
        <v>50822</v>
      </c>
      <c r="AL5805" s="21">
        <f>_xll.qlInterestRateIndexValueDate(hiborindex,AK5805)</f>
        <v>50824</v>
      </c>
      <c r="AM5805" s="23">
        <f>_xll.qlIndexFixing(hiborindex,AK5805)</f>
        <v>8.8448770141651284E-3</v>
      </c>
    </row>
    <row r="5806" spans="37:39" x14ac:dyDescent="0.25">
      <c r="AK5806" s="21">
        <f>_xll.qlCalendarAdvance(calendar,AK5805,"1D")</f>
        <v>50823</v>
      </c>
      <c r="AL5806" s="21">
        <f>_xll.qlInterestRateIndexValueDate(hiborindex,AK5806)</f>
        <v>50825</v>
      </c>
      <c r="AM5806" s="23">
        <f>_xll.qlIndexFixing(hiborindex,AK5806)</f>
        <v>8.8428335143723221E-3</v>
      </c>
    </row>
    <row r="5807" spans="37:39" x14ac:dyDescent="0.25">
      <c r="AK5807" s="21">
        <f>_xll.qlCalendarAdvance(calendar,AK5806,"1D")</f>
        <v>50824</v>
      </c>
      <c r="AL5807" s="21">
        <f>_xll.qlInterestRateIndexValueDate(hiborindex,AK5807)</f>
        <v>50826</v>
      </c>
      <c r="AM5807" s="23">
        <f>_xll.qlIndexFixing(hiborindex,AK5807)</f>
        <v>8.8407894935037361E-3</v>
      </c>
    </row>
    <row r="5808" spans="37:39" x14ac:dyDescent="0.25">
      <c r="AK5808" s="21">
        <f>_xll.qlCalendarAdvance(calendar,AK5807,"1D")</f>
        <v>50825</v>
      </c>
      <c r="AL5808" s="21">
        <f>_xll.qlInterestRateIndexValueDate(hiborindex,AK5808)</f>
        <v>50829</v>
      </c>
      <c r="AM5808" s="23">
        <f>_xll.qlIndexFixing(hiborindex,AK5808)</f>
        <v>8.830802698318839E-3</v>
      </c>
    </row>
    <row r="5809" spans="37:39" x14ac:dyDescent="0.25">
      <c r="AK5809" s="21">
        <f>_xll.qlCalendarAdvance(calendar,AK5808,"1D")</f>
        <v>50826</v>
      </c>
      <c r="AL5809" s="21">
        <f>_xll.qlInterestRateIndexValueDate(hiborindex,AK5809)</f>
        <v>50830</v>
      </c>
      <c r="AM5809" s="23">
        <f>_xll.qlIndexFixing(hiborindex,AK5809)</f>
        <v>8.8287912472027347E-3</v>
      </c>
    </row>
    <row r="5810" spans="37:39" x14ac:dyDescent="0.25">
      <c r="AK5810" s="21">
        <f>_xll.qlCalendarAdvance(calendar,AK5809,"1D")</f>
        <v>50829</v>
      </c>
      <c r="AL5810" s="21">
        <f>_xll.qlInterestRateIndexValueDate(hiborindex,AK5810)</f>
        <v>50831</v>
      </c>
      <c r="AM5810" s="23">
        <f>_xll.qlIndexFixing(hiborindex,AK5810)</f>
        <v>8.8267792834753733E-3</v>
      </c>
    </row>
    <row r="5811" spans="37:39" x14ac:dyDescent="0.25">
      <c r="AK5811" s="21">
        <f>_xll.qlCalendarAdvance(calendar,AK5810,"1D")</f>
        <v>50830</v>
      </c>
      <c r="AL5811" s="21">
        <f>_xll.qlInterestRateIndexValueDate(hiborindex,AK5811)</f>
        <v>50832</v>
      </c>
      <c r="AM5811" s="23">
        <f>_xll.qlIndexFixing(hiborindex,AK5811)</f>
        <v>8.8223434225681036E-3</v>
      </c>
    </row>
    <row r="5812" spans="37:39" x14ac:dyDescent="0.25">
      <c r="AK5812" s="21">
        <f>_xll.qlCalendarAdvance(calendar,AK5811,"1D")</f>
        <v>50831</v>
      </c>
      <c r="AL5812" s="21">
        <f>_xll.qlInterestRateIndexValueDate(hiborindex,AK5812)</f>
        <v>50833</v>
      </c>
      <c r="AM5812" s="23">
        <f>_xll.qlIndexFixing(hiborindex,AK5812)</f>
        <v>8.8215460952056901E-3</v>
      </c>
    </row>
    <row r="5813" spans="37:39" x14ac:dyDescent="0.25">
      <c r="AK5813" s="21">
        <f>_xll.qlCalendarAdvance(calendar,AK5812,"1D")</f>
        <v>50832</v>
      </c>
      <c r="AL5813" s="21">
        <f>_xll.qlInterestRateIndexValueDate(hiborindex,AK5813)</f>
        <v>50836</v>
      </c>
      <c r="AM5813" s="23">
        <f>_xll.qlIndexFixing(hiborindex,AK5813)</f>
        <v>8.8167117757200972E-3</v>
      </c>
    </row>
    <row r="5814" spans="37:39" x14ac:dyDescent="0.25">
      <c r="AK5814" s="21">
        <f>_xll.qlCalendarAdvance(calendar,AK5813,"1D")</f>
        <v>50833</v>
      </c>
      <c r="AL5814" s="21">
        <f>_xll.qlInterestRateIndexValueDate(hiborindex,AK5814)</f>
        <v>50837</v>
      </c>
      <c r="AM5814" s="23">
        <f>_xll.qlIndexFixing(hiborindex,AK5814)</f>
        <v>8.8146967363564675E-3</v>
      </c>
    </row>
    <row r="5815" spans="37:39" x14ac:dyDescent="0.25">
      <c r="AK5815" s="21">
        <f>_xll.qlCalendarAdvance(calendar,AK5814,"1D")</f>
        <v>50836</v>
      </c>
      <c r="AL5815" s="21">
        <f>_xll.qlInterestRateIndexValueDate(hiborindex,AK5815)</f>
        <v>50838</v>
      </c>
      <c r="AM5815" s="23">
        <f>_xll.qlIndexFixing(hiborindex,AK5815)</f>
        <v>8.8126811843924433E-3</v>
      </c>
    </row>
    <row r="5816" spans="37:39" x14ac:dyDescent="0.25">
      <c r="AK5816" s="21">
        <f>_xll.qlCalendarAdvance(calendar,AK5815,"1D")</f>
        <v>50837</v>
      </c>
      <c r="AL5816" s="21">
        <f>_xll.qlInterestRateIndexValueDate(hiborindex,AK5816)</f>
        <v>50839</v>
      </c>
      <c r="AM5816" s="23">
        <f>_xll.qlIndexFixing(hiborindex,AK5816)</f>
        <v>8.8083993379671436E-3</v>
      </c>
    </row>
    <row r="5817" spans="37:39" x14ac:dyDescent="0.25">
      <c r="AK5817" s="21">
        <f>_xll.qlCalendarAdvance(calendar,AK5816,"1D")</f>
        <v>50838</v>
      </c>
      <c r="AL5817" s="21">
        <f>_xll.qlInterestRateIndexValueDate(hiborindex,AK5817)</f>
        <v>50840</v>
      </c>
      <c r="AM5817" s="23">
        <f>_xll.qlIndexFixing(hiborindex,AK5817)</f>
        <v>8.8075200662200807E-3</v>
      </c>
    </row>
    <row r="5818" spans="37:39" x14ac:dyDescent="0.25">
      <c r="AK5818" s="21">
        <f>_xll.qlCalendarAdvance(calendar,AK5817,"1D")</f>
        <v>50839</v>
      </c>
      <c r="AL5818" s="21">
        <f>_xll.qlInterestRateIndexValueDate(hiborindex,AK5818)</f>
        <v>50843</v>
      </c>
      <c r="AM5818" s="23">
        <f>_xll.qlIndexFixing(hiborindex,AK5818)</f>
        <v>8.8025957356206667E-3</v>
      </c>
    </row>
    <row r="5819" spans="37:39" x14ac:dyDescent="0.25">
      <c r="AK5819" s="21">
        <f>_xll.qlCalendarAdvance(calendar,AK5818,"1D")</f>
        <v>50840</v>
      </c>
      <c r="AL5819" s="21">
        <f>_xll.qlInterestRateIndexValueDate(hiborindex,AK5819)</f>
        <v>50844</v>
      </c>
      <c r="AM5819" s="23">
        <f>_xll.qlIndexFixing(hiborindex,AK5819)</f>
        <v>8.8005771080872774E-3</v>
      </c>
    </row>
    <row r="5820" spans="37:39" x14ac:dyDescent="0.25">
      <c r="AK5820" s="21">
        <f>_xll.qlCalendarAdvance(calendar,AK5819,"1D")</f>
        <v>50843</v>
      </c>
      <c r="AL5820" s="21">
        <f>_xll.qlInterestRateIndexValueDate(hiborindex,AK5820)</f>
        <v>50845</v>
      </c>
      <c r="AM5820" s="23">
        <f>_xll.qlIndexFixing(hiborindex,AK5820)</f>
        <v>8.7985579679643513E-3</v>
      </c>
    </row>
    <row r="5821" spans="37:39" x14ac:dyDescent="0.25">
      <c r="AK5821" s="21">
        <f>_xll.qlCalendarAdvance(calendar,AK5820,"1D")</f>
        <v>50844</v>
      </c>
      <c r="AL5821" s="21">
        <f>_xll.qlInterestRateIndexValueDate(hiborindex,AK5821)</f>
        <v>50846</v>
      </c>
      <c r="AM5821" s="23">
        <f>_xll.qlIndexFixing(hiborindex,AK5821)</f>
        <v>8.7944304048988148E-3</v>
      </c>
    </row>
    <row r="5822" spans="37:39" x14ac:dyDescent="0.25">
      <c r="AK5822" s="21">
        <f>_xll.qlCalendarAdvance(calendar,AK5821,"1D")</f>
        <v>50845</v>
      </c>
      <c r="AL5822" s="21">
        <f>_xll.qlInterestRateIndexValueDate(hiborindex,AK5822)</f>
        <v>50847</v>
      </c>
      <c r="AM5822" s="23">
        <f>_xll.qlIndexFixing(hiborindex,AK5822)</f>
        <v>8.7934690551709181E-3</v>
      </c>
    </row>
    <row r="5823" spans="37:39" x14ac:dyDescent="0.25">
      <c r="AK5823" s="21">
        <f>_xll.qlCalendarAdvance(calendar,AK5822,"1D")</f>
        <v>50846</v>
      </c>
      <c r="AL5823" s="21">
        <f>_xll.qlInterestRateIndexValueDate(hiborindex,AK5823)</f>
        <v>50850</v>
      </c>
      <c r="AM5823" s="23">
        <f>_xll.qlIndexFixing(hiborindex,AK5823)</f>
        <v>8.7884545785635922E-3</v>
      </c>
    </row>
    <row r="5824" spans="37:39" x14ac:dyDescent="0.25">
      <c r="AK5824" s="21">
        <f>_xll.qlCalendarAdvance(calendar,AK5823,"1D")</f>
        <v>50847</v>
      </c>
      <c r="AL5824" s="21">
        <f>_xll.qlInterestRateIndexValueDate(hiborindex,AK5824)</f>
        <v>50851</v>
      </c>
      <c r="AM5824" s="23">
        <f>_xll.qlIndexFixing(hiborindex,AK5824)</f>
        <v>8.7864323629373367E-3</v>
      </c>
    </row>
    <row r="5825" spans="37:39" x14ac:dyDescent="0.25">
      <c r="AK5825" s="21">
        <f>_xll.qlCalendarAdvance(calendar,AK5824,"1D")</f>
        <v>50850</v>
      </c>
      <c r="AL5825" s="21">
        <f>_xll.qlInterestRateIndexValueDate(hiborindex,AK5825)</f>
        <v>50852</v>
      </c>
      <c r="AM5825" s="23">
        <f>_xll.qlIndexFixing(hiborindex,AK5825)</f>
        <v>8.7844096347328392E-3</v>
      </c>
    </row>
    <row r="5826" spans="37:39" x14ac:dyDescent="0.25">
      <c r="AK5826" s="21">
        <f>_xll.qlCalendarAdvance(calendar,AK5825,"1D")</f>
        <v>50851</v>
      </c>
      <c r="AL5826" s="21">
        <f>_xll.qlInterestRateIndexValueDate(hiborindex,AK5826)</f>
        <v>50853</v>
      </c>
      <c r="AM5826" s="23">
        <f>_xll.qlIndexFixing(hiborindex,AK5826)</f>
        <v>8.7804366239007496E-3</v>
      </c>
    </row>
    <row r="5827" spans="37:39" x14ac:dyDescent="0.25">
      <c r="AK5827" s="21">
        <f>_xll.qlCalendarAdvance(calendar,AK5826,"1D")</f>
        <v>50852</v>
      </c>
      <c r="AL5827" s="21">
        <f>_xll.qlInterestRateIndexValueDate(hiborindex,AK5827)</f>
        <v>50854</v>
      </c>
      <c r="AM5827" s="23">
        <f>_xll.qlIndexFixing(hiborindex,AK5827)</f>
        <v>8.7793930625978782E-3</v>
      </c>
    </row>
    <row r="5828" spans="37:39" x14ac:dyDescent="0.25">
      <c r="AK5828" s="21">
        <f>_xll.qlCalendarAdvance(calendar,AK5827,"1D")</f>
        <v>50853</v>
      </c>
      <c r="AL5828" s="21">
        <f>_xll.qlInterestRateIndexValueDate(hiborindex,AK5828)</f>
        <v>50857</v>
      </c>
      <c r="AM5828" s="23">
        <f>_xll.qlIndexFixing(hiborindex,AK5828)</f>
        <v>8.7742883050919186E-3</v>
      </c>
    </row>
    <row r="5829" spans="37:39" x14ac:dyDescent="0.25">
      <c r="AK5829" s="21">
        <f>_xll.qlCalendarAdvance(calendar,AK5828,"1D")</f>
        <v>50854</v>
      </c>
      <c r="AL5829" s="21">
        <f>_xll.qlInterestRateIndexValueDate(hiborindex,AK5829)</f>
        <v>50858</v>
      </c>
      <c r="AM5829" s="23">
        <f>_xll.qlIndexFixing(hiborindex,AK5829)</f>
        <v>8.7722625014514284E-3</v>
      </c>
    </row>
    <row r="5830" spans="37:39" x14ac:dyDescent="0.25">
      <c r="AK5830" s="21">
        <f>_xll.qlCalendarAdvance(calendar,AK5829,"1D")</f>
        <v>50857</v>
      </c>
      <c r="AL5830" s="21">
        <f>_xll.qlInterestRateIndexValueDate(hiborindex,AK5830)</f>
        <v>50859</v>
      </c>
      <c r="AM5830" s="23">
        <f>_xll.qlIndexFixing(hiborindex,AK5830)</f>
        <v>8.770236185243559E-3</v>
      </c>
    </row>
    <row r="5831" spans="37:39" x14ac:dyDescent="0.25">
      <c r="AK5831" s="21">
        <f>_xll.qlCalendarAdvance(calendar,AK5830,"1D")</f>
        <v>50858</v>
      </c>
      <c r="AL5831" s="21">
        <f>_xll.qlInterestRateIndexValueDate(hiborindex,AK5831)</f>
        <v>50860</v>
      </c>
      <c r="AM5831" s="23">
        <f>_xll.qlIndexFixing(hiborindex,AK5831)</f>
        <v>8.7691221197494871E-3</v>
      </c>
    </row>
    <row r="5832" spans="37:39" x14ac:dyDescent="0.25">
      <c r="AK5832" s="21">
        <f>_xll.qlCalendarAdvance(calendar,AK5831,"1D")</f>
        <v>50859</v>
      </c>
      <c r="AL5832" s="21">
        <f>_xll.qlInterestRateIndexValueDate(hiborindex,AK5832)</f>
        <v>50861</v>
      </c>
      <c r="AM5832" s="23">
        <f>_xll.qlIndexFixing(hiborindex,AK5832)</f>
        <v>8.7652920890419345E-3</v>
      </c>
    </row>
    <row r="5833" spans="37:39" x14ac:dyDescent="0.25">
      <c r="AK5833" s="21">
        <f>_xll.qlCalendarAdvance(calendar,AK5832,"1D")</f>
        <v>50860</v>
      </c>
      <c r="AL5833" s="21">
        <f>_xll.qlInterestRateIndexValueDate(hiborindex,AK5833)</f>
        <v>50864</v>
      </c>
      <c r="AM5833" s="23">
        <f>_xll.qlIndexFixing(hiborindex,AK5833)</f>
        <v>8.7609636161268632E-3</v>
      </c>
    </row>
    <row r="5834" spans="37:39" x14ac:dyDescent="0.25">
      <c r="AK5834" s="21">
        <f>_xll.qlCalendarAdvance(calendar,AK5833,"1D")</f>
        <v>50861</v>
      </c>
      <c r="AL5834" s="21">
        <f>_xll.qlInterestRateIndexValueDate(hiborindex,AK5834)</f>
        <v>50865</v>
      </c>
      <c r="AM5834" s="23">
        <f>_xll.qlIndexFixing(hiborindex,AK5834)</f>
        <v>8.7589227018538707E-3</v>
      </c>
    </row>
    <row r="5835" spans="37:39" x14ac:dyDescent="0.25">
      <c r="AK5835" s="21">
        <f>_xll.qlCalendarAdvance(calendar,AK5834,"1D")</f>
        <v>50864</v>
      </c>
      <c r="AL5835" s="21">
        <f>_xll.qlInterestRateIndexValueDate(hiborindex,AK5835)</f>
        <v>50866</v>
      </c>
      <c r="AM5835" s="23">
        <f>_xll.qlIndexFixing(hiborindex,AK5835)</f>
        <v>8.7568812722374819E-3</v>
      </c>
    </row>
    <row r="5836" spans="37:39" x14ac:dyDescent="0.25">
      <c r="AK5836" s="21">
        <f>_xll.qlCalendarAdvance(calendar,AK5835,"1D")</f>
        <v>50865</v>
      </c>
      <c r="AL5836" s="21">
        <f>_xll.qlInterestRateIndexValueDate(hiborindex,AK5836)</f>
        <v>50867</v>
      </c>
      <c r="AM5836" s="23">
        <f>_xll.qlIndexFixing(hiborindex,AK5836)</f>
        <v>8.7548393272785692E-3</v>
      </c>
    </row>
    <row r="5837" spans="37:39" x14ac:dyDescent="0.25">
      <c r="AK5837" s="21">
        <f>_xll.qlCalendarAdvance(calendar,AK5836,"1D")</f>
        <v>50866</v>
      </c>
      <c r="AL5837" s="21">
        <f>_xll.qlInterestRateIndexValueDate(hiborindex,AK5837)</f>
        <v>50872</v>
      </c>
      <c r="AM5837" s="23">
        <f>_xll.qlIndexFixing(hiborindex,AK5837)</f>
        <v>8.7446218724116908E-3</v>
      </c>
    </row>
    <row r="5838" spans="37:39" x14ac:dyDescent="0.25">
      <c r="AK5838" s="21">
        <f>_xll.qlCalendarAdvance(calendar,AK5837,"1D")</f>
        <v>50867</v>
      </c>
      <c r="AL5838" s="21">
        <f>_xll.qlInterestRateIndexValueDate(hiborindex,AK5838)</f>
        <v>50873</v>
      </c>
      <c r="AM5838" s="23">
        <f>_xll.qlIndexFixing(hiborindex,AK5838)</f>
        <v>8.742576835435209E-3</v>
      </c>
    </row>
    <row r="5839" spans="37:39" x14ac:dyDescent="0.25">
      <c r="AK5839" s="21">
        <f>_xll.qlCalendarAdvance(calendar,AK5838,"1D")</f>
        <v>50872</v>
      </c>
      <c r="AL5839" s="21">
        <f>_xll.qlInterestRateIndexValueDate(hiborindex,AK5839)</f>
        <v>50874</v>
      </c>
      <c r="AM5839" s="23">
        <f>_xll.qlIndexFixing(hiborindex,AK5839)</f>
        <v>8.7405312831271235E-3</v>
      </c>
    </row>
    <row r="5840" spans="37:39" x14ac:dyDescent="0.25">
      <c r="AK5840" s="21">
        <f>_xll.qlCalendarAdvance(calendar,AK5839,"1D")</f>
        <v>50873</v>
      </c>
      <c r="AL5840" s="21">
        <f>_xll.qlInterestRateIndexValueDate(hiborindex,AK5840)</f>
        <v>50875</v>
      </c>
      <c r="AM5840" s="23">
        <f>_xll.qlIndexFixing(hiborindex,AK5840)</f>
        <v>8.7370152011521408E-3</v>
      </c>
    </row>
    <row r="5841" spans="37:39" x14ac:dyDescent="0.25">
      <c r="AK5841" s="21">
        <f>_xll.qlCalendarAdvance(calendar,AK5840,"1D")</f>
        <v>50874</v>
      </c>
      <c r="AL5841" s="21">
        <f>_xll.qlInterestRateIndexValueDate(hiborindex,AK5841)</f>
        <v>50878</v>
      </c>
      <c r="AM5841" s="23">
        <f>_xll.qlIndexFixing(hiborindex,AK5841)</f>
        <v>8.7323439206193811E-3</v>
      </c>
    </row>
    <row r="5842" spans="37:39" x14ac:dyDescent="0.25">
      <c r="AK5842" s="21">
        <f>_xll.qlCalendarAdvance(calendar,AK5841,"1D")</f>
        <v>50875</v>
      </c>
      <c r="AL5842" s="21">
        <f>_xll.qlInterestRateIndexValueDate(hiborindex,AK5842)</f>
        <v>50879</v>
      </c>
      <c r="AM5842" s="23">
        <f>_xll.qlIndexFixing(hiborindex,AK5842)</f>
        <v>8.7302957916816758E-3</v>
      </c>
    </row>
    <row r="5843" spans="37:39" x14ac:dyDescent="0.25">
      <c r="AK5843" s="21">
        <f>_xll.qlCalendarAdvance(calendar,AK5842,"1D")</f>
        <v>50878</v>
      </c>
      <c r="AL5843" s="21">
        <f>_xll.qlInterestRateIndexValueDate(hiborindex,AK5843)</f>
        <v>50880</v>
      </c>
      <c r="AM5843" s="23">
        <f>_xll.qlIndexFixing(hiborindex,AK5843)</f>
        <v>8.7282471474228514E-3</v>
      </c>
    </row>
    <row r="5844" spans="37:39" x14ac:dyDescent="0.25">
      <c r="AK5844" s="21">
        <f>_xll.qlCalendarAdvance(calendar,AK5843,"1D")</f>
        <v>50879</v>
      </c>
      <c r="AL5844" s="21">
        <f>_xll.qlInterestRateIndexValueDate(hiborindex,AK5844)</f>
        <v>50881</v>
      </c>
      <c r="AM5844" s="23">
        <f>_xll.qlIndexFixing(hiborindex,AK5844)</f>
        <v>8.7261979878437822E-3</v>
      </c>
    </row>
    <row r="5845" spans="37:39" x14ac:dyDescent="0.25">
      <c r="AK5845" s="21">
        <f>_xll.qlCalendarAdvance(calendar,AK5844,"1D")</f>
        <v>50880</v>
      </c>
      <c r="AL5845" s="21">
        <f>_xll.qlInterestRateIndexValueDate(hiborindex,AK5845)</f>
        <v>50882</v>
      </c>
      <c r="AM5845" s="23">
        <f>_xll.qlIndexFixing(hiborindex,AK5845)</f>
        <v>8.7228392879054196E-3</v>
      </c>
    </row>
    <row r="5846" spans="37:39" x14ac:dyDescent="0.25">
      <c r="AK5846" s="21">
        <f>_xll.qlCalendarAdvance(calendar,AK5845,"1D")</f>
        <v>50881</v>
      </c>
      <c r="AL5846" s="21">
        <f>_xll.qlInterestRateIndexValueDate(hiborindex,AK5846)</f>
        <v>50885</v>
      </c>
      <c r="AM5846" s="23">
        <f>_xll.qlIndexFixing(hiborindex,AK5846)</f>
        <v>8.7179961963661078E-3</v>
      </c>
    </row>
    <row r="5847" spans="37:39" x14ac:dyDescent="0.25">
      <c r="AK5847" s="21">
        <f>_xll.qlCalendarAdvance(calendar,AK5846,"1D")</f>
        <v>50882</v>
      </c>
      <c r="AL5847" s="21">
        <f>_xll.qlInterestRateIndexValueDate(hiborindex,AK5847)</f>
        <v>50886</v>
      </c>
      <c r="AM5847" s="23">
        <f>_xll.qlIndexFixing(hiborindex,AK5847)</f>
        <v>8.715944460213329E-3</v>
      </c>
    </row>
    <row r="5848" spans="37:39" x14ac:dyDescent="0.25">
      <c r="AK5848" s="21">
        <f>_xll.qlCalendarAdvance(calendar,AK5847,"1D")</f>
        <v>50885</v>
      </c>
      <c r="AL5848" s="21">
        <f>_xll.qlInterestRateIndexValueDate(hiborindex,AK5848)</f>
        <v>50887</v>
      </c>
      <c r="AM5848" s="23">
        <f>_xll.qlIndexFixing(hiborindex,AK5848)</f>
        <v>8.7138922087512255E-3</v>
      </c>
    </row>
    <row r="5849" spans="37:39" x14ac:dyDescent="0.25">
      <c r="AK5849" s="21">
        <f>_xll.qlCalendarAdvance(calendar,AK5848,"1D")</f>
        <v>50886</v>
      </c>
      <c r="AL5849" s="21">
        <f>_xll.qlInterestRateIndexValueDate(hiborindex,AK5849)</f>
        <v>50888</v>
      </c>
      <c r="AM5849" s="23">
        <f>_xll.qlIndexFixing(hiborindex,AK5849)</f>
        <v>8.7118394419802344E-3</v>
      </c>
    </row>
    <row r="5850" spans="37:39" x14ac:dyDescent="0.25">
      <c r="AK5850" s="21">
        <f>_xll.qlCalendarAdvance(calendar,AK5849,"1D")</f>
        <v>50887</v>
      </c>
      <c r="AL5850" s="21">
        <f>_xll.qlInterestRateIndexValueDate(hiborindex,AK5850)</f>
        <v>50889</v>
      </c>
      <c r="AM5850" s="23">
        <f>_xll.qlIndexFixing(hiborindex,AK5850)</f>
        <v>8.7086383958496234E-3</v>
      </c>
    </row>
    <row r="5851" spans="37:39" x14ac:dyDescent="0.25">
      <c r="AK5851" s="21">
        <f>_xll.qlCalendarAdvance(calendar,AK5850,"1D")</f>
        <v>50888</v>
      </c>
      <c r="AL5851" s="21">
        <f>_xll.qlInterestRateIndexValueDate(hiborindex,AK5851)</f>
        <v>50892</v>
      </c>
      <c r="AM5851" s="23">
        <f>_xll.qlIndexFixing(hiborindex,AK5851)</f>
        <v>8.703080210618391E-3</v>
      </c>
    </row>
    <row r="5852" spans="37:39" x14ac:dyDescent="0.25">
      <c r="AK5852" s="21">
        <f>_xll.qlCalendarAdvance(calendar,AK5851,"1D")</f>
        <v>50889</v>
      </c>
      <c r="AL5852" s="21">
        <f>_xll.qlInterestRateIndexValueDate(hiborindex,AK5852)</f>
        <v>50893</v>
      </c>
      <c r="AM5852" s="23">
        <f>_xll.qlIndexFixing(hiborindex,AK5852)</f>
        <v>8.7010364680744946E-3</v>
      </c>
    </row>
    <row r="5853" spans="37:39" x14ac:dyDescent="0.25">
      <c r="AK5853" s="21">
        <f>_xll.qlCalendarAdvance(calendar,AK5852,"1D")</f>
        <v>50892</v>
      </c>
      <c r="AL5853" s="21">
        <f>_xll.qlInterestRateIndexValueDate(hiborindex,AK5853)</f>
        <v>50894</v>
      </c>
      <c r="AM5853" s="23">
        <f>_xll.qlIndexFixing(hiborindex,AK5853)</f>
        <v>8.6989922130196965E-3</v>
      </c>
    </row>
    <row r="5854" spans="37:39" x14ac:dyDescent="0.25">
      <c r="AK5854" s="21">
        <f>_xll.qlCalendarAdvance(calendar,AK5853,"1D")</f>
        <v>50893</v>
      </c>
      <c r="AL5854" s="21">
        <f>_xll.qlInterestRateIndexValueDate(hiborindex,AK5854)</f>
        <v>50895</v>
      </c>
      <c r="AM5854" s="23">
        <f>_xll.qlIndexFixing(hiborindex,AK5854)</f>
        <v>8.695952161576247E-3</v>
      </c>
    </row>
    <row r="5855" spans="37:39" x14ac:dyDescent="0.25">
      <c r="AK5855" s="21">
        <f>_xll.qlCalendarAdvance(calendar,AK5854,"1D")</f>
        <v>50894</v>
      </c>
      <c r="AL5855" s="21">
        <f>_xll.qlInterestRateIndexValueDate(hiborindex,AK5855)</f>
        <v>50896</v>
      </c>
      <c r="AM5855" s="23">
        <f>_xll.qlIndexFixing(hiborindex,AK5855)</f>
        <v>8.6944125255313427E-3</v>
      </c>
    </row>
    <row r="5856" spans="37:39" x14ac:dyDescent="0.25">
      <c r="AK5856" s="21">
        <f>_xll.qlCalendarAdvance(calendar,AK5855,"1D")</f>
        <v>50895</v>
      </c>
      <c r="AL5856" s="21">
        <f>_xll.qlInterestRateIndexValueDate(hiborindex,AK5856)</f>
        <v>50899</v>
      </c>
      <c r="AM5856" s="23">
        <f>_xll.qlIndexFixing(hiborindex,AK5856)</f>
        <v>8.6887632501321116E-3</v>
      </c>
    </row>
    <row r="5857" spans="37:39" x14ac:dyDescent="0.25">
      <c r="AK5857" s="21">
        <f>_xll.qlCalendarAdvance(calendar,AK5856,"1D")</f>
        <v>50896</v>
      </c>
      <c r="AL5857" s="21">
        <f>_xll.qlInterestRateIndexValueDate(hiborindex,AK5857)</f>
        <v>50900</v>
      </c>
      <c r="AM5857" s="23">
        <f>_xll.qlIndexFixing(hiborindex,AK5857)</f>
        <v>8.686715920043173E-3</v>
      </c>
    </row>
    <row r="5858" spans="37:39" x14ac:dyDescent="0.25">
      <c r="AK5858" s="21">
        <f>_xll.qlCalendarAdvance(calendar,AK5857,"1D")</f>
        <v>50899</v>
      </c>
      <c r="AL5858" s="21">
        <f>_xll.qlInterestRateIndexValueDate(hiborindex,AK5858)</f>
        <v>50901</v>
      </c>
      <c r="AM5858" s="23">
        <f>_xll.qlIndexFixing(hiborindex,AK5858)</f>
        <v>8.6846680774541902E-3</v>
      </c>
    </row>
    <row r="5859" spans="37:39" x14ac:dyDescent="0.25">
      <c r="AK5859" s="21">
        <f>_xll.qlCalendarAdvance(calendar,AK5858,"1D")</f>
        <v>50900</v>
      </c>
      <c r="AL5859" s="21">
        <f>_xll.qlInterestRateIndexValueDate(hiborindex,AK5859)</f>
        <v>50902</v>
      </c>
      <c r="AM5859" s="23">
        <f>_xll.qlIndexFixing(hiborindex,AK5859)</f>
        <v>8.6817844601852576E-3</v>
      </c>
    </row>
    <row r="5860" spans="37:39" x14ac:dyDescent="0.25">
      <c r="AK5860" s="21">
        <f>_xll.qlCalendarAdvance(calendar,AK5859,"1D")</f>
        <v>50901</v>
      </c>
      <c r="AL5860" s="21">
        <f>_xll.qlInterestRateIndexValueDate(hiborindex,AK5860)</f>
        <v>50903</v>
      </c>
      <c r="AM5860" s="23">
        <f>_xll.qlIndexFixing(hiborindex,AK5860)</f>
        <v>8.6801616774975984E-3</v>
      </c>
    </row>
    <row r="5861" spans="37:39" x14ac:dyDescent="0.25">
      <c r="AK5861" s="21">
        <f>_xll.qlCalendarAdvance(calendar,AK5860,"1D")</f>
        <v>50902</v>
      </c>
      <c r="AL5861" s="21">
        <f>_xll.qlInterestRateIndexValueDate(hiborindex,AK5861)</f>
        <v>50906</v>
      </c>
      <c r="AM5861" s="23">
        <f>_xll.qlIndexFixing(hiborindex,AK5861)</f>
        <v>8.6744211770646874E-3</v>
      </c>
    </row>
    <row r="5862" spans="37:39" x14ac:dyDescent="0.25">
      <c r="AK5862" s="21">
        <f>_xll.qlCalendarAdvance(calendar,AK5861,"1D")</f>
        <v>50903</v>
      </c>
      <c r="AL5862" s="21">
        <f>_xll.qlInterestRateIndexValueDate(hiborindex,AK5862)</f>
        <v>50907</v>
      </c>
      <c r="AM5862" s="23">
        <f>_xll.qlIndexFixing(hiborindex,AK5862)</f>
        <v>8.6723702595089026E-3</v>
      </c>
    </row>
    <row r="5863" spans="37:39" x14ac:dyDescent="0.25">
      <c r="AK5863" s="21">
        <f>_xll.qlCalendarAdvance(calendar,AK5862,"1D")</f>
        <v>50906</v>
      </c>
      <c r="AL5863" s="21">
        <f>_xll.qlInterestRateIndexValueDate(hiborindex,AK5863)</f>
        <v>50908</v>
      </c>
      <c r="AM5863" s="23">
        <f>_xll.qlIndexFixing(hiborindex,AK5863)</f>
        <v>8.6703188294643702E-3</v>
      </c>
    </row>
    <row r="5864" spans="37:39" x14ac:dyDescent="0.25">
      <c r="AK5864" s="21">
        <f>_xll.qlCalendarAdvance(calendar,AK5863,"1D")</f>
        <v>50907</v>
      </c>
      <c r="AL5864" s="21">
        <f>_xll.qlInterestRateIndexValueDate(hiborindex,AK5864)</f>
        <v>50909</v>
      </c>
      <c r="AM5864" s="23">
        <f>_xll.qlIndexFixing(hiborindex,AK5864)</f>
        <v>8.6675919151948302E-3</v>
      </c>
    </row>
    <row r="5865" spans="37:39" x14ac:dyDescent="0.25">
      <c r="AK5865" s="21">
        <f>_xll.qlCalendarAdvance(calendar,AK5864,"1D")</f>
        <v>50908</v>
      </c>
      <c r="AL5865" s="21">
        <f>_xll.qlInterestRateIndexValueDate(hiborindex,AK5865)</f>
        <v>50910</v>
      </c>
      <c r="AM5865" s="23">
        <f>_xll.qlIndexFixing(hiborindex,AK5865)</f>
        <v>8.6658858522958432E-3</v>
      </c>
    </row>
    <row r="5866" spans="37:39" x14ac:dyDescent="0.25">
      <c r="AK5866" s="21">
        <f>_xll.qlCalendarAdvance(calendar,AK5865,"1D")</f>
        <v>50909</v>
      </c>
      <c r="AL5866" s="21">
        <f>_xll.qlInterestRateIndexValueDate(hiborindex,AK5866)</f>
        <v>50913</v>
      </c>
      <c r="AM5866" s="23">
        <f>_xll.qlIndexFixing(hiborindex,AK5866)</f>
        <v>8.6600539919665463E-3</v>
      </c>
    </row>
    <row r="5867" spans="37:39" x14ac:dyDescent="0.25">
      <c r="AK5867" s="21">
        <f>_xll.qlCalendarAdvance(calendar,AK5866,"1D")</f>
        <v>50910</v>
      </c>
      <c r="AL5867" s="21">
        <f>_xll.qlInterestRateIndexValueDate(hiborindex,AK5867)</f>
        <v>50914</v>
      </c>
      <c r="AM5867" s="23">
        <f>_xll.qlIndexFixing(hiborindex,AK5867)</f>
        <v>8.657999487022984E-3</v>
      </c>
    </row>
    <row r="5868" spans="37:39" x14ac:dyDescent="0.25">
      <c r="AK5868" s="21">
        <f>_xll.qlCalendarAdvance(calendar,AK5867,"1D")</f>
        <v>50913</v>
      </c>
      <c r="AL5868" s="21">
        <f>_xll.qlInterestRateIndexValueDate(hiborindex,AK5868)</f>
        <v>50915</v>
      </c>
      <c r="AM5868" s="23">
        <f>_xll.qlIndexFixing(hiborindex,AK5868)</f>
        <v>8.6559444696019689E-3</v>
      </c>
    </row>
    <row r="5869" spans="37:39" x14ac:dyDescent="0.25">
      <c r="AK5869" s="21">
        <f>_xll.qlCalendarAdvance(calendar,AK5868,"1D")</f>
        <v>50914</v>
      </c>
      <c r="AL5869" s="21">
        <f>_xll.qlInterestRateIndexValueDate(hiborindex,AK5869)</f>
        <v>50916</v>
      </c>
      <c r="AM5869" s="23">
        <f>_xll.qlIndexFixing(hiborindex,AK5869)</f>
        <v>8.6533745271499089E-3</v>
      </c>
    </row>
    <row r="5870" spans="37:39" x14ac:dyDescent="0.25">
      <c r="AK5870" s="21">
        <f>_xll.qlCalendarAdvance(calendar,AK5869,"1D")</f>
        <v>50915</v>
      </c>
      <c r="AL5870" s="21">
        <f>_xll.qlInterestRateIndexValueDate(hiborindex,AK5870)</f>
        <v>50917</v>
      </c>
      <c r="AM5870" s="23">
        <f>_xll.qlIndexFixing(hiborindex,AK5870)</f>
        <v>8.6515850504748307E-3</v>
      </c>
    </row>
    <row r="5871" spans="37:39" x14ac:dyDescent="0.25">
      <c r="AK5871" s="21">
        <f>_xll.qlCalendarAdvance(calendar,AK5870,"1D")</f>
        <v>50916</v>
      </c>
      <c r="AL5871" s="21">
        <f>_xll.qlInterestRateIndexValueDate(hiborindex,AK5871)</f>
        <v>50920</v>
      </c>
      <c r="AM5871" s="23">
        <f>_xll.qlIndexFixing(hiborindex,AK5871)</f>
        <v>8.6456616953902929E-3</v>
      </c>
    </row>
    <row r="5872" spans="37:39" x14ac:dyDescent="0.25">
      <c r="AK5872" s="21">
        <f>_xll.qlCalendarAdvance(calendar,AK5871,"1D")</f>
        <v>50917</v>
      </c>
      <c r="AL5872" s="21">
        <f>_xll.qlInterestRateIndexValueDate(hiborindex,AK5872)</f>
        <v>50921</v>
      </c>
      <c r="AM5872" s="23">
        <f>_xll.qlIndexFixing(hiborindex,AK5872)</f>
        <v>8.6438090611481496E-3</v>
      </c>
    </row>
    <row r="5873" spans="37:39" x14ac:dyDescent="0.25">
      <c r="AK5873" s="21">
        <f>_xll.qlCalendarAdvance(calendar,AK5872,"1D")</f>
        <v>50920</v>
      </c>
      <c r="AL5873" s="21">
        <f>_xll.qlInterestRateIndexValueDate(hiborindex,AK5873)</f>
        <v>50922</v>
      </c>
      <c r="AM5873" s="23">
        <f>_xll.qlIndexFixing(hiborindex,AK5873)</f>
        <v>8.6417387748555872E-3</v>
      </c>
    </row>
    <row r="5874" spans="37:39" x14ac:dyDescent="0.25">
      <c r="AK5874" s="21">
        <f>_xll.qlCalendarAdvance(calendar,AK5873,"1D")</f>
        <v>50921</v>
      </c>
      <c r="AL5874" s="21">
        <f>_xll.qlInterestRateIndexValueDate(hiborindex,AK5874)</f>
        <v>50923</v>
      </c>
      <c r="AM5874" s="23">
        <f>_xll.qlIndexFixing(hiborindex,AK5874)</f>
        <v>8.6396679733117942E-3</v>
      </c>
    </row>
    <row r="5875" spans="37:39" x14ac:dyDescent="0.25">
      <c r="AK5875" s="21">
        <f>_xll.qlCalendarAdvance(calendar,AK5874,"1D")</f>
        <v>50922</v>
      </c>
      <c r="AL5875" s="21">
        <f>_xll.qlInterestRateIndexValueDate(hiborindex,AK5875)</f>
        <v>50924</v>
      </c>
      <c r="AM5875" s="23">
        <f>_xll.qlIndexFixing(hiborindex,AK5875)</f>
        <v>8.6372592725846038E-3</v>
      </c>
    </row>
    <row r="5876" spans="37:39" x14ac:dyDescent="0.25">
      <c r="AK5876" s="21">
        <f>_xll.qlCalendarAdvance(calendar,AK5875,"1D")</f>
        <v>50923</v>
      </c>
      <c r="AL5876" s="21">
        <f>_xll.qlInterestRateIndexValueDate(hiborindex,AK5876)</f>
        <v>50927</v>
      </c>
      <c r="AM5876" s="23">
        <f>_xll.qlIndexFixing(hiborindex,AK5876)</f>
        <v>8.6313796146505351E-3</v>
      </c>
    </row>
    <row r="5877" spans="37:39" x14ac:dyDescent="0.25">
      <c r="AK5877" s="21">
        <f>_xll.qlCalendarAdvance(calendar,AK5876,"1D")</f>
        <v>50924</v>
      </c>
      <c r="AL5877" s="21">
        <f>_xll.qlInterestRateIndexValueDate(hiborindex,AK5877)</f>
        <v>50928</v>
      </c>
      <c r="AM5877" s="23">
        <f>_xll.qlIndexFixing(hiborindex,AK5877)</f>
        <v>8.6293062368724346E-3</v>
      </c>
    </row>
    <row r="5878" spans="37:39" x14ac:dyDescent="0.25">
      <c r="AK5878" s="21">
        <f>_xll.qlCalendarAdvance(calendar,AK5877,"1D")</f>
        <v>50927</v>
      </c>
      <c r="AL5878" s="21">
        <f>_xll.qlInterestRateIndexValueDate(hiborindex,AK5878)</f>
        <v>50929</v>
      </c>
      <c r="AM5878" s="23">
        <f>_xll.qlIndexFixing(hiborindex,AK5878)</f>
        <v>8.6272323438522768E-3</v>
      </c>
    </row>
    <row r="5879" spans="37:39" x14ac:dyDescent="0.25">
      <c r="AK5879" s="21">
        <f>_xll.qlCalendarAdvance(calendar,AK5878,"1D")</f>
        <v>50928</v>
      </c>
      <c r="AL5879" s="21">
        <f>_xll.qlInterestRateIndexValueDate(hiborindex,AK5879)</f>
        <v>50930</v>
      </c>
      <c r="AM5879" s="23">
        <f>_xll.qlIndexFixing(hiborindex,AK5879)</f>
        <v>8.6251579355918102E-3</v>
      </c>
    </row>
    <row r="5880" spans="37:39" x14ac:dyDescent="0.25">
      <c r="AK5880" s="21">
        <f>_xll.qlCalendarAdvance(calendar,AK5879,"1D")</f>
        <v>50929</v>
      </c>
      <c r="AL5880" s="21">
        <f>_xll.qlInterestRateIndexValueDate(hiborindex,AK5880)</f>
        <v>50931</v>
      </c>
      <c r="AM5880" s="23">
        <f>_xll.qlIndexFixing(hiborindex,AK5880)</f>
        <v>8.6229085191756438E-3</v>
      </c>
    </row>
    <row r="5881" spans="37:39" x14ac:dyDescent="0.25">
      <c r="AK5881" s="21">
        <f>_xll.qlCalendarAdvance(calendar,AK5880,"1D")</f>
        <v>50930</v>
      </c>
      <c r="AL5881" s="21">
        <f>_xll.qlInterestRateIndexValueDate(hiborindex,AK5881)</f>
        <v>50934</v>
      </c>
      <c r="AM5881" s="23">
        <f>_xll.qlIndexFixing(hiborindex,AK5881)</f>
        <v>8.6168551501791726E-3</v>
      </c>
    </row>
    <row r="5882" spans="37:39" x14ac:dyDescent="0.25">
      <c r="AK5882" s="21">
        <f>_xll.qlCalendarAdvance(calendar,AK5881,"1D")</f>
        <v>50931</v>
      </c>
      <c r="AL5882" s="21">
        <f>_xll.qlInterestRateIndexValueDate(hiborindex,AK5882)</f>
        <v>50935</v>
      </c>
      <c r="AM5882" s="23">
        <f>_xll.qlIndexFixing(hiborindex,AK5882)</f>
        <v>8.6147781657416201E-3</v>
      </c>
    </row>
    <row r="5883" spans="37:39" x14ac:dyDescent="0.25">
      <c r="AK5883" s="21">
        <f>_xll.qlCalendarAdvance(calendar,AK5882,"1D")</f>
        <v>50934</v>
      </c>
      <c r="AL5883" s="21">
        <f>_xll.qlInterestRateIndexValueDate(hiborindex,AK5883)</f>
        <v>50936</v>
      </c>
      <c r="AM5883" s="23">
        <f>_xll.qlIndexFixing(hiborindex,AK5883)</f>
        <v>8.6127006660733675E-3</v>
      </c>
    </row>
    <row r="5884" spans="37:39" x14ac:dyDescent="0.25">
      <c r="AK5884" s="21">
        <f>_xll.qlCalendarAdvance(calendar,AK5883,"1D")</f>
        <v>50935</v>
      </c>
      <c r="AL5884" s="21">
        <f>_xll.qlInterestRateIndexValueDate(hiborindex,AK5884)</f>
        <v>50937</v>
      </c>
      <c r="AM5884" s="23">
        <f>_xll.qlIndexFixing(hiborindex,AK5884)</f>
        <v>8.6106226511757263E-3</v>
      </c>
    </row>
    <row r="5885" spans="37:39" x14ac:dyDescent="0.25">
      <c r="AK5885" s="21">
        <f>_xll.qlCalendarAdvance(calendar,AK5884,"1D")</f>
        <v>50936</v>
      </c>
      <c r="AL5885" s="21">
        <f>_xll.qlInterestRateIndexValueDate(hiborindex,AK5885)</f>
        <v>50938</v>
      </c>
      <c r="AM5885" s="23">
        <f>_xll.qlIndexFixing(hiborindex,AK5885)</f>
        <v>8.6085327908001549E-3</v>
      </c>
    </row>
    <row r="5886" spans="37:39" x14ac:dyDescent="0.25">
      <c r="AK5886" s="21">
        <f>_xll.qlCalendarAdvance(calendar,AK5885,"1D")</f>
        <v>50937</v>
      </c>
      <c r="AL5886" s="21">
        <f>_xll.qlInterestRateIndexValueDate(hiborindex,AK5886)</f>
        <v>50941</v>
      </c>
      <c r="AM5886" s="23">
        <f>_xll.qlIndexFixing(hiborindex,AK5886)</f>
        <v>8.6023054393301445E-3</v>
      </c>
    </row>
    <row r="5887" spans="37:39" x14ac:dyDescent="0.25">
      <c r="AK5887" s="21">
        <f>_xll.qlCalendarAdvance(calendar,AK5886,"1D")</f>
        <v>50938</v>
      </c>
      <c r="AL5887" s="21">
        <f>_xll.qlInterestRateIndexValueDate(hiborindex,AK5887)</f>
        <v>50942</v>
      </c>
      <c r="AM5887" s="23">
        <f>_xll.qlIndexFixing(hiborindex,AK5887)</f>
        <v>8.6002248483130761E-3</v>
      </c>
    </row>
    <row r="5888" spans="37:39" x14ac:dyDescent="0.25">
      <c r="AK5888" s="21">
        <f>_xll.qlCalendarAdvance(calendar,AK5887,"1D")</f>
        <v>50941</v>
      </c>
      <c r="AL5888" s="21">
        <f>_xll.qlInterestRateIndexValueDate(hiborindex,AK5888)</f>
        <v>50943</v>
      </c>
      <c r="AM5888" s="23">
        <f>_xll.qlIndexFixing(hiborindex,AK5888)</f>
        <v>8.5981437420766648E-3</v>
      </c>
    </row>
    <row r="5889" spans="37:39" x14ac:dyDescent="0.25">
      <c r="AK5889" s="21">
        <f>_xll.qlCalendarAdvance(calendar,AK5888,"1D")</f>
        <v>50942</v>
      </c>
      <c r="AL5889" s="21">
        <f>_xll.qlInterestRateIndexValueDate(hiborindex,AK5889)</f>
        <v>50944</v>
      </c>
      <c r="AM5889" s="23">
        <f>_xll.qlIndexFixing(hiborindex,AK5889)</f>
        <v>8.5960621206226575E-3</v>
      </c>
    </row>
    <row r="5890" spans="37:39" x14ac:dyDescent="0.25">
      <c r="AK5890" s="21">
        <f>_xll.qlCalendarAdvance(calendar,AK5889,"1D")</f>
        <v>50943</v>
      </c>
      <c r="AL5890" s="21">
        <f>_xll.qlInterestRateIndexValueDate(hiborindex,AK5890)</f>
        <v>50945</v>
      </c>
      <c r="AM5890" s="23">
        <f>_xll.qlIndexFixing(hiborindex,AK5890)</f>
        <v>8.5942092769003015E-3</v>
      </c>
    </row>
    <row r="5891" spans="37:39" x14ac:dyDescent="0.25">
      <c r="AK5891" s="21">
        <f>_xll.qlCalendarAdvance(calendar,AK5890,"1D")</f>
        <v>50944</v>
      </c>
      <c r="AL5891" s="21">
        <f>_xll.qlInterestRateIndexValueDate(hiborindex,AK5891)</f>
        <v>50948</v>
      </c>
      <c r="AM5891" s="23">
        <f>_xll.qlIndexFixing(hiborindex,AK5891)</f>
        <v>8.5877304826638759E-3</v>
      </c>
    </row>
    <row r="5892" spans="37:39" x14ac:dyDescent="0.25">
      <c r="AK5892" s="21">
        <f>_xll.qlCalendarAdvance(calendar,AK5891,"1D")</f>
        <v>50945</v>
      </c>
      <c r="AL5892" s="21">
        <f>_xll.qlInterestRateIndexValueDate(hiborindex,AK5892)</f>
        <v>50949</v>
      </c>
      <c r="AM5892" s="23">
        <f>_xll.qlIndexFixing(hiborindex,AK5892)</f>
        <v>8.5856462851472276E-3</v>
      </c>
    </row>
    <row r="5893" spans="37:39" x14ac:dyDescent="0.25">
      <c r="AK5893" s="21">
        <f>_xll.qlCalendarAdvance(calendar,AK5892,"1D")</f>
        <v>50948</v>
      </c>
      <c r="AL5893" s="21">
        <f>_xll.qlInterestRateIndexValueDate(hiborindex,AK5893)</f>
        <v>50950</v>
      </c>
      <c r="AM5893" s="23">
        <f>_xll.qlIndexFixing(hiborindex,AK5893)</f>
        <v>8.5835615724221565E-3</v>
      </c>
    </row>
    <row r="5894" spans="37:39" x14ac:dyDescent="0.25">
      <c r="AK5894" s="21">
        <f>_xll.qlCalendarAdvance(calendar,AK5893,"1D")</f>
        <v>50949</v>
      </c>
      <c r="AL5894" s="21">
        <f>_xll.qlInterestRateIndexValueDate(hiborindex,AK5894)</f>
        <v>50951</v>
      </c>
      <c r="AM5894" s="23">
        <f>_xll.qlIndexFixing(hiborindex,AK5894)</f>
        <v>8.5814763444917209E-3</v>
      </c>
    </row>
    <row r="5895" spans="37:39" x14ac:dyDescent="0.25">
      <c r="AK5895" s="21">
        <f>_xll.qlCalendarAdvance(calendar,AK5894,"1D")</f>
        <v>50950</v>
      </c>
      <c r="AL5895" s="21">
        <f>_xll.qlInterestRateIndexValueDate(hiborindex,AK5895)</f>
        <v>50952</v>
      </c>
      <c r="AM5895" s="23">
        <f>_xll.qlIndexFixing(hiborindex,AK5895)</f>
        <v>8.5818568912939559E-3</v>
      </c>
    </row>
    <row r="5896" spans="37:39" x14ac:dyDescent="0.25">
      <c r="AK5896" s="21">
        <f>_xll.qlCalendarAdvance(calendar,AK5895,"1D")</f>
        <v>50951</v>
      </c>
      <c r="AL5896" s="21">
        <f>_xll.qlInterestRateIndexValueDate(hiborindex,AK5896)</f>
        <v>50955</v>
      </c>
      <c r="AM5896" s="23">
        <f>_xll.qlIndexFixing(hiborindex,AK5896)</f>
        <v>8.581975097644386E-3</v>
      </c>
    </row>
    <row r="5897" spans="37:39" x14ac:dyDescent="0.25">
      <c r="AK5897" s="21">
        <f>_xll.qlCalendarAdvance(calendar,AK5896,"1D")</f>
        <v>50952</v>
      </c>
      <c r="AL5897" s="21">
        <f>_xll.qlInterestRateIndexValueDate(hiborindex,AK5897)</f>
        <v>50956</v>
      </c>
      <c r="AM5897" s="23">
        <f>_xll.qlIndexFixing(hiborindex,AK5897)</f>
        <v>8.5820632355557026E-3</v>
      </c>
    </row>
    <row r="5898" spans="37:39" x14ac:dyDescent="0.25">
      <c r="AK5898" s="21">
        <f>_xll.qlCalendarAdvance(calendar,AK5897,"1D")</f>
        <v>50955</v>
      </c>
      <c r="AL5898" s="21">
        <f>_xll.qlInterestRateIndexValueDate(hiborindex,AK5898)</f>
        <v>50957</v>
      </c>
      <c r="AM5898" s="23">
        <f>_xll.qlIndexFixing(hiborindex,AK5898)</f>
        <v>8.5821513734718E-3</v>
      </c>
    </row>
    <row r="5899" spans="37:39" x14ac:dyDescent="0.25">
      <c r="AK5899" s="21">
        <f>_xll.qlCalendarAdvance(calendar,AK5898,"1D")</f>
        <v>50956</v>
      </c>
      <c r="AL5899" s="21">
        <f>_xll.qlInterestRateIndexValueDate(hiborindex,AK5899)</f>
        <v>50958</v>
      </c>
      <c r="AM5899" s="23">
        <f>_xll.qlIndexFixing(hiborindex,AK5899)</f>
        <v>8.5825319550145059E-3</v>
      </c>
    </row>
    <row r="5900" spans="37:39" x14ac:dyDescent="0.25">
      <c r="AK5900" s="21">
        <f>_xll.qlCalendarAdvance(calendar,AK5899,"1D")</f>
        <v>50957</v>
      </c>
      <c r="AL5900" s="21">
        <f>_xll.qlInterestRateIndexValueDate(hiborindex,AK5900)</f>
        <v>50959</v>
      </c>
      <c r="AM5900" s="23">
        <f>_xll.qlIndexFixing(hiborindex,AK5900)</f>
        <v>8.5824738713657454E-3</v>
      </c>
    </row>
    <row r="5901" spans="37:39" x14ac:dyDescent="0.25">
      <c r="AK5901" s="21">
        <f>_xll.qlCalendarAdvance(calendar,AK5900,"1D")</f>
        <v>50958</v>
      </c>
      <c r="AL5901" s="21">
        <f>_xll.qlInterestRateIndexValueDate(hiborindex,AK5901)</f>
        <v>50962</v>
      </c>
      <c r="AM5901" s="23">
        <f>_xll.qlIndexFixing(hiborindex,AK5901)</f>
        <v>8.5825920631091897E-3</v>
      </c>
    </row>
    <row r="5902" spans="37:39" x14ac:dyDescent="0.25">
      <c r="AK5902" s="21">
        <f>_xll.qlCalendarAdvance(calendar,AK5901,"1D")</f>
        <v>50959</v>
      </c>
      <c r="AL5902" s="21">
        <f>_xll.qlInterestRateIndexValueDate(hiborindex,AK5902)</f>
        <v>50963</v>
      </c>
      <c r="AM5902" s="23">
        <f>_xll.qlIndexFixing(hiborindex,AK5902)</f>
        <v>8.5826802010487459E-3</v>
      </c>
    </row>
    <row r="5903" spans="37:39" x14ac:dyDescent="0.25">
      <c r="AK5903" s="21">
        <f>_xll.qlCalendarAdvance(calendar,AK5902,"1D")</f>
        <v>50962</v>
      </c>
      <c r="AL5903" s="21">
        <f>_xll.qlInterestRateIndexValueDate(hiborindex,AK5903)</f>
        <v>50964</v>
      </c>
      <c r="AM5903" s="23">
        <f>_xll.qlIndexFixing(hiborindex,AK5903)</f>
        <v>8.5827683389922103E-3</v>
      </c>
    </row>
    <row r="5904" spans="37:39" x14ac:dyDescent="0.25">
      <c r="AK5904" s="21">
        <f>_xll.qlCalendarAdvance(calendar,AK5903,"1D")</f>
        <v>50963</v>
      </c>
      <c r="AL5904" s="21">
        <f>_xll.qlInterestRateIndexValueDate(hiborindex,AK5904)</f>
        <v>50965</v>
      </c>
      <c r="AM5904" s="23">
        <f>_xll.qlIndexFixing(hiborindex,AK5904)</f>
        <v>8.5831489499449218E-3</v>
      </c>
    </row>
    <row r="5905" spans="37:39" x14ac:dyDescent="0.25">
      <c r="AK5905" s="21">
        <f>_xll.qlCalendarAdvance(calendar,AK5904,"1D")</f>
        <v>50964</v>
      </c>
      <c r="AL5905" s="21">
        <f>_xll.qlInterestRateIndexValueDate(hiborindex,AK5905)</f>
        <v>50966</v>
      </c>
      <c r="AM5905" s="23">
        <f>_xll.qlIndexFixing(hiborindex,AK5905)</f>
        <v>8.583090851632837E-3</v>
      </c>
    </row>
    <row r="5906" spans="37:39" x14ac:dyDescent="0.25">
      <c r="AK5906" s="21">
        <f>_xll.qlCalendarAdvance(calendar,AK5905,"1D")</f>
        <v>50965</v>
      </c>
      <c r="AL5906" s="21">
        <f>_xll.qlInterestRateIndexValueDate(hiborindex,AK5906)</f>
        <v>50969</v>
      </c>
      <c r="AM5906" s="23">
        <f>_xll.qlIndexFixing(hiborindex,AK5906)</f>
        <v>8.5832090287681871E-3</v>
      </c>
    </row>
    <row r="5907" spans="37:39" x14ac:dyDescent="0.25">
      <c r="AK5907" s="21">
        <f>_xll.qlCalendarAdvance(calendar,AK5906,"1D")</f>
        <v>50966</v>
      </c>
      <c r="AL5907" s="21">
        <f>_xll.qlInterestRateIndexValueDate(hiborindex,AK5907)</f>
        <v>50970</v>
      </c>
      <c r="AM5907" s="23">
        <f>_xll.qlIndexFixing(hiborindex,AK5907)</f>
        <v>8.5832971667355457E-3</v>
      </c>
    </row>
    <row r="5908" spans="37:39" x14ac:dyDescent="0.25">
      <c r="AK5908" s="21">
        <f>_xll.qlCalendarAdvance(calendar,AK5907,"1D")</f>
        <v>50969</v>
      </c>
      <c r="AL5908" s="21">
        <f>_xll.qlInterestRateIndexValueDate(hiborindex,AK5908)</f>
        <v>50971</v>
      </c>
      <c r="AM5908" s="23">
        <f>_xll.qlIndexFixing(hiborindex,AK5908)</f>
        <v>8.5833853047068143E-3</v>
      </c>
    </row>
    <row r="5909" spans="37:39" x14ac:dyDescent="0.25">
      <c r="AK5909" s="21">
        <f>_xll.qlCalendarAdvance(calendar,AK5908,"1D")</f>
        <v>50970</v>
      </c>
      <c r="AL5909" s="21">
        <f>_xll.qlInterestRateIndexValueDate(hiborindex,AK5909)</f>
        <v>50972</v>
      </c>
      <c r="AM5909" s="23">
        <f>_xll.qlIndexFixing(hiborindex,AK5909)</f>
        <v>8.5837659450704509E-3</v>
      </c>
    </row>
    <row r="5910" spans="37:39" x14ac:dyDescent="0.25">
      <c r="AK5910" s="21">
        <f>_xll.qlCalendarAdvance(calendar,AK5909,"1D")</f>
        <v>50971</v>
      </c>
      <c r="AL5910" s="21">
        <f>_xll.qlInterestRateIndexValueDate(hiborindex,AK5910)</f>
        <v>50973</v>
      </c>
      <c r="AM5910" s="23">
        <f>_xll.qlIndexFixing(hiborindex,AK5910)</f>
        <v>8.5837078320943686E-3</v>
      </c>
    </row>
    <row r="5911" spans="37:39" x14ac:dyDescent="0.25">
      <c r="AK5911" s="21">
        <f>_xll.qlCalendarAdvance(calendar,AK5910,"1D")</f>
        <v>50972</v>
      </c>
      <c r="AL5911" s="21">
        <f>_xll.qlInterestRateIndexValueDate(hiborindex,AK5911)</f>
        <v>50976</v>
      </c>
      <c r="AM5911" s="23">
        <f>_xll.qlIndexFixing(hiborindex,AK5911)</f>
        <v>8.583825994620941E-3</v>
      </c>
    </row>
    <row r="5912" spans="37:39" x14ac:dyDescent="0.25">
      <c r="AK5912" s="21">
        <f>_xll.qlCalendarAdvance(calendar,AK5911,"1D")</f>
        <v>50973</v>
      </c>
      <c r="AL5912" s="21">
        <f>_xll.qlInterestRateIndexValueDate(hiborindex,AK5912)</f>
        <v>50977</v>
      </c>
      <c r="AM5912" s="23">
        <f>_xll.qlIndexFixing(hiborindex,AK5912)</f>
        <v>8.58391413261567E-3</v>
      </c>
    </row>
    <row r="5913" spans="37:39" x14ac:dyDescent="0.25">
      <c r="AK5913" s="21">
        <f>_xll.qlCalendarAdvance(calendar,AK5912,"1D")</f>
        <v>50976</v>
      </c>
      <c r="AL5913" s="21">
        <f>_xll.qlInterestRateIndexValueDate(hiborindex,AK5913)</f>
        <v>50978</v>
      </c>
      <c r="AM5913" s="23">
        <f>_xll.qlIndexFixing(hiborindex,AK5913)</f>
        <v>8.584002270614309E-3</v>
      </c>
    </row>
    <row r="5914" spans="37:39" x14ac:dyDescent="0.25">
      <c r="AK5914" s="21">
        <f>_xll.qlCalendarAdvance(calendar,AK5913,"1D")</f>
        <v>50977</v>
      </c>
      <c r="AL5914" s="21">
        <f>_xll.qlInterestRateIndexValueDate(hiborindex,AK5914)</f>
        <v>50979</v>
      </c>
      <c r="AM5914" s="23">
        <f>_xll.qlIndexFixing(hiborindex,AK5914)</f>
        <v>8.5843829403919516E-3</v>
      </c>
    </row>
    <row r="5915" spans="37:39" x14ac:dyDescent="0.25">
      <c r="AK5915" s="21">
        <f>_xll.qlCalendarAdvance(calendar,AK5914,"1D")</f>
        <v>50978</v>
      </c>
      <c r="AL5915" s="21">
        <f>_xll.qlInterestRateIndexValueDate(hiborindex,AK5915)</f>
        <v>50980</v>
      </c>
      <c r="AM5915" s="23">
        <f>_xll.qlIndexFixing(hiborindex,AK5915)</f>
        <v>8.5844710825964538E-3</v>
      </c>
    </row>
    <row r="5916" spans="37:39" x14ac:dyDescent="0.25">
      <c r="AK5916" s="21">
        <f>_xll.qlCalendarAdvance(calendar,AK5915,"1D")</f>
        <v>50979</v>
      </c>
      <c r="AL5916" s="21">
        <f>_xll.qlInterestRateIndexValueDate(hiborindex,AK5916)</f>
        <v>50983</v>
      </c>
      <c r="AM5916" s="23">
        <f>_xll.qlIndexFixing(hiborindex,AK5916)</f>
        <v>8.5844429606670193E-3</v>
      </c>
    </row>
    <row r="5917" spans="37:39" x14ac:dyDescent="0.25">
      <c r="AK5917" s="21">
        <f>_xll.qlCalendarAdvance(calendar,AK5916,"1D")</f>
        <v>50980</v>
      </c>
      <c r="AL5917" s="21">
        <f>_xll.qlInterestRateIndexValueDate(hiborindex,AK5917)</f>
        <v>50984</v>
      </c>
      <c r="AM5917" s="23">
        <f>_xll.qlIndexFixing(hiborindex,AK5917)</f>
        <v>8.5845310986895507E-3</v>
      </c>
    </row>
    <row r="5918" spans="37:39" x14ac:dyDescent="0.25">
      <c r="AK5918" s="21">
        <f>_xll.qlCalendarAdvance(calendar,AK5917,"1D")</f>
        <v>50983</v>
      </c>
      <c r="AL5918" s="21">
        <f>_xll.qlInterestRateIndexValueDate(hiborindex,AK5918)</f>
        <v>50985</v>
      </c>
      <c r="AM5918" s="23">
        <f>_xll.qlIndexFixing(hiborindex,AK5918)</f>
        <v>8.584619236715994E-3</v>
      </c>
    </row>
    <row r="5919" spans="37:39" x14ac:dyDescent="0.25">
      <c r="AK5919" s="21">
        <f>_xll.qlCalendarAdvance(calendar,AK5918,"1D")</f>
        <v>50984</v>
      </c>
      <c r="AL5919" s="21">
        <f>_xll.qlInterestRateIndexValueDate(hiborindex,AK5919)</f>
        <v>50986</v>
      </c>
      <c r="AM5919" s="23">
        <f>_xll.qlIndexFixing(hiborindex,AK5919)</f>
        <v>8.5849999359098542E-3</v>
      </c>
    </row>
    <row r="5920" spans="37:39" x14ac:dyDescent="0.25">
      <c r="AK5920" s="21">
        <f>_xll.qlCalendarAdvance(calendar,AK5919,"1D")</f>
        <v>50985</v>
      </c>
      <c r="AL5920" s="21">
        <f>_xll.qlInterestRateIndexValueDate(hiborindex,AK5920)</f>
        <v>50987</v>
      </c>
      <c r="AM5920" s="23">
        <f>_xll.qlIndexFixing(hiborindex,AK5920)</f>
        <v>8.5849417936016137E-3</v>
      </c>
    </row>
    <row r="5921" spans="37:39" x14ac:dyDescent="0.25">
      <c r="AK5921" s="21">
        <f>_xll.qlCalendarAdvance(calendar,AK5920,"1D")</f>
        <v>50986</v>
      </c>
      <c r="AL5921" s="21">
        <f>_xll.qlInterestRateIndexValueDate(hiborindex,AK5921)</f>
        <v>50990</v>
      </c>
      <c r="AM5921" s="23">
        <f>_xll.qlIndexFixing(hiborindex,AK5921)</f>
        <v>8.5850599269072896E-3</v>
      </c>
    </row>
    <row r="5922" spans="37:39" x14ac:dyDescent="0.25">
      <c r="AK5922" s="21">
        <f>_xll.qlCalendarAdvance(calendar,AK5921,"1D")</f>
        <v>50987</v>
      </c>
      <c r="AL5922" s="21">
        <f>_xll.qlInterestRateIndexValueDate(hiborindex,AK5922)</f>
        <v>50991</v>
      </c>
      <c r="AM5922" s="23">
        <f>_xll.qlIndexFixing(hiborindex,AK5922)</f>
        <v>8.5851480649576251E-3</v>
      </c>
    </row>
    <row r="5923" spans="37:39" x14ac:dyDescent="0.25">
      <c r="AK5923" s="21">
        <f>_xll.qlCalendarAdvance(calendar,AK5922,"1D")</f>
        <v>50990</v>
      </c>
      <c r="AL5923" s="21">
        <f>_xll.qlInterestRateIndexValueDate(hiborindex,AK5923)</f>
        <v>50992</v>
      </c>
      <c r="AM5923" s="23">
        <f>_xll.qlIndexFixing(hiborindex,AK5923)</f>
        <v>8.5852362030118725E-3</v>
      </c>
    </row>
    <row r="5924" spans="37:39" x14ac:dyDescent="0.25">
      <c r="AK5924" s="21">
        <f>_xll.qlCalendarAdvance(calendar,AK5923,"1D")</f>
        <v>50991</v>
      </c>
      <c r="AL5924" s="21">
        <f>_xll.qlInterestRateIndexValueDate(hiborindex,AK5924)</f>
        <v>50993</v>
      </c>
      <c r="AM5924" s="23">
        <f>_xll.qlIndexFixing(hiborindex,AK5924)</f>
        <v>8.5856169316228699E-3</v>
      </c>
    </row>
    <row r="5925" spans="37:39" x14ac:dyDescent="0.25">
      <c r="AK5925" s="21">
        <f>_xll.qlCalendarAdvance(calendar,AK5924,"1D")</f>
        <v>50992</v>
      </c>
      <c r="AL5925" s="21">
        <f>_xll.qlInterestRateIndexValueDate(hiborindex,AK5925)</f>
        <v>50994</v>
      </c>
      <c r="AM5925" s="23">
        <f>_xll.qlIndexFixing(hiborindex,AK5925)</f>
        <v>8.5855587746468953E-3</v>
      </c>
    </row>
    <row r="5926" spans="37:39" x14ac:dyDescent="0.25">
      <c r="AK5926" s="21">
        <f>_xll.qlCalendarAdvance(calendar,AK5925,"1D")</f>
        <v>50993</v>
      </c>
      <c r="AL5926" s="21">
        <f>_xll.qlInterestRateIndexValueDate(hiborindex,AK5926)</f>
        <v>50997</v>
      </c>
      <c r="AM5926" s="23">
        <f>_xll.qlIndexFixing(hiborindex,AK5926)</f>
        <v>8.585676893341318E-3</v>
      </c>
    </row>
    <row r="5927" spans="37:39" x14ac:dyDescent="0.25">
      <c r="AK5927" s="21">
        <f>_xll.qlCalendarAdvance(calendar,AK5926,"1D")</f>
        <v>50994</v>
      </c>
      <c r="AL5927" s="21">
        <f>_xll.qlInterestRateIndexValueDate(hiborindex,AK5927)</f>
        <v>50998</v>
      </c>
      <c r="AM5927" s="23">
        <f>_xll.qlIndexFixing(hiborindex,AK5927)</f>
        <v>8.585765031419024E-3</v>
      </c>
    </row>
    <row r="5928" spans="37:39" x14ac:dyDescent="0.25">
      <c r="AK5928" s="21">
        <f>_xll.qlCalendarAdvance(calendar,AK5927,"1D")</f>
        <v>50997</v>
      </c>
      <c r="AL5928" s="21">
        <f>_xll.qlInterestRateIndexValueDate(hiborindex,AK5928)</f>
        <v>50999</v>
      </c>
      <c r="AM5928" s="23">
        <f>_xll.qlIndexFixing(hiborindex,AK5928)</f>
        <v>8.5858531695006401E-3</v>
      </c>
    </row>
    <row r="5929" spans="37:39" x14ac:dyDescent="0.25">
      <c r="AK5929" s="21">
        <f>_xll.qlCalendarAdvance(calendar,AK5928,"1D")</f>
        <v>50998</v>
      </c>
      <c r="AL5929" s="21">
        <f>_xll.qlInterestRateIndexValueDate(hiborindex,AK5929)</f>
        <v>51000</v>
      </c>
      <c r="AM5929" s="23">
        <f>_xll.qlIndexFixing(hiborindex,AK5929)</f>
        <v>8.5862339275318573E-3</v>
      </c>
    </row>
    <row r="5930" spans="37:39" x14ac:dyDescent="0.25">
      <c r="AK5930" s="21">
        <f>_xll.qlCalendarAdvance(calendar,AK5929,"1D")</f>
        <v>50999</v>
      </c>
      <c r="AL5930" s="21">
        <f>_xll.qlInterestRateIndexValueDate(hiborindex,AK5930)</f>
        <v>51001</v>
      </c>
      <c r="AM5930" s="23">
        <f>_xll.qlIndexFixing(hiborindex,AK5930)</f>
        <v>8.5861757558874791E-3</v>
      </c>
    </row>
    <row r="5931" spans="37:39" x14ac:dyDescent="0.25">
      <c r="AK5931" s="21">
        <f>_xll.qlCalendarAdvance(calendar,AK5930,"1D")</f>
        <v>51000</v>
      </c>
      <c r="AL5931" s="21">
        <f>_xll.qlInterestRateIndexValueDate(hiborindex,AK5931)</f>
        <v>51004</v>
      </c>
      <c r="AM5931" s="23">
        <f>_xll.qlIndexFixing(hiborindex,AK5931)</f>
        <v>8.586293859968671E-3</v>
      </c>
    </row>
    <row r="5932" spans="37:39" x14ac:dyDescent="0.25">
      <c r="AK5932" s="21">
        <f>_xll.qlCalendarAdvance(calendar,AK5931,"1D")</f>
        <v>51001</v>
      </c>
      <c r="AL5932" s="21">
        <f>_xll.qlInterestRateIndexValueDate(hiborindex,AK5932)</f>
        <v>51005</v>
      </c>
      <c r="AM5932" s="23">
        <f>_xll.qlIndexFixing(hiborindex,AK5932)</f>
        <v>8.5863819980737457E-3</v>
      </c>
    </row>
    <row r="5933" spans="37:39" x14ac:dyDescent="0.25">
      <c r="AK5933" s="21">
        <f>_xll.qlCalendarAdvance(calendar,AK5932,"1D")</f>
        <v>51004</v>
      </c>
      <c r="AL5933" s="21">
        <f>_xll.qlInterestRateIndexValueDate(hiborindex,AK5933)</f>
        <v>51006</v>
      </c>
      <c r="AM5933" s="23">
        <f>_xll.qlIndexFixing(hiborindex,AK5933)</f>
        <v>8.5864701361835997E-3</v>
      </c>
    </row>
    <row r="5934" spans="37:39" x14ac:dyDescent="0.25">
      <c r="AK5934" s="21">
        <f>_xll.qlCalendarAdvance(calendar,AK5933,"1D")</f>
        <v>51005</v>
      </c>
      <c r="AL5934" s="21">
        <f>_xll.qlInterestRateIndexValueDate(hiborindex,AK5934)</f>
        <v>51007</v>
      </c>
      <c r="AM5934" s="23">
        <f>_xll.qlIndexFixing(hiborindex,AK5934)</f>
        <v>8.5868509236368181E-3</v>
      </c>
    </row>
    <row r="5935" spans="37:39" x14ac:dyDescent="0.25">
      <c r="AK5935" s="21">
        <f>_xll.qlCalendarAdvance(calendar,AK5934,"1D")</f>
        <v>51006</v>
      </c>
      <c r="AL5935" s="21">
        <f>_xll.qlInterestRateIndexValueDate(hiborindex,AK5935)</f>
        <v>51008</v>
      </c>
      <c r="AM5935" s="23">
        <f>_xll.qlIndexFixing(hiborindex,AK5935)</f>
        <v>8.5867927373229347E-3</v>
      </c>
    </row>
    <row r="5936" spans="37:39" x14ac:dyDescent="0.25">
      <c r="AK5936" s="21">
        <f>_xll.qlCalendarAdvance(calendar,AK5935,"1D")</f>
        <v>51007</v>
      </c>
      <c r="AL5936" s="21">
        <f>_xll.qlInterestRateIndexValueDate(hiborindex,AK5936)</f>
        <v>51011</v>
      </c>
      <c r="AM5936" s="23">
        <f>_xll.qlIndexFixing(hiborindex,AK5936)</f>
        <v>8.5869108267893467E-3</v>
      </c>
    </row>
    <row r="5937" spans="37:39" x14ac:dyDescent="0.25">
      <c r="AK5937" s="21">
        <f>_xll.qlCalendarAdvance(calendar,AK5936,"1D")</f>
        <v>51008</v>
      </c>
      <c r="AL5937" s="21">
        <f>_xll.qlInterestRateIndexValueDate(hiborindex,AK5937)</f>
        <v>51012</v>
      </c>
      <c r="AM5937" s="23">
        <f>_xll.qlIndexFixing(hiborindex,AK5937)</f>
        <v>8.5868526353368047E-3</v>
      </c>
    </row>
    <row r="5938" spans="37:39" x14ac:dyDescent="0.25">
      <c r="AK5938" s="21">
        <f>_xll.qlCalendarAdvance(calendar,AK5937,"1D")</f>
        <v>51011</v>
      </c>
      <c r="AL5938" s="21">
        <f>_xll.qlInterestRateIndexValueDate(hiborindex,AK5938)</f>
        <v>51013</v>
      </c>
      <c r="AM5938" s="23">
        <f>_xll.qlIndexFixing(hiborindex,AK5938)</f>
        <v>8.5867944434107873E-3</v>
      </c>
    </row>
    <row r="5939" spans="37:39" x14ac:dyDescent="0.25">
      <c r="AK5939" s="21">
        <f>_xll.qlCalendarAdvance(calendar,AK5938,"1D")</f>
        <v>51012</v>
      </c>
      <c r="AL5939" s="21">
        <f>_xll.qlInterestRateIndexValueDate(hiborindex,AK5939)</f>
        <v>51014</v>
      </c>
      <c r="AM5939" s="23">
        <f>_xll.qlIndexFixing(hiborindex,AK5939)</f>
        <v>8.5868825773522516E-3</v>
      </c>
    </row>
    <row r="5940" spans="37:39" x14ac:dyDescent="0.25">
      <c r="AK5940" s="21">
        <f>_xll.qlCalendarAdvance(calendar,AK5939,"1D")</f>
        <v>51013</v>
      </c>
      <c r="AL5940" s="21">
        <f>_xll.qlInterestRateIndexValueDate(hiborindex,AK5940)</f>
        <v>51015</v>
      </c>
      <c r="AM5940" s="23">
        <f>_xll.qlIndexFixing(hiborindex,AK5940)</f>
        <v>8.5869707112981065E-3</v>
      </c>
    </row>
    <row r="5941" spans="37:39" x14ac:dyDescent="0.25">
      <c r="AK5941" s="21">
        <f>_xll.qlCalendarAdvance(calendar,AK5940,"1D")</f>
        <v>51014</v>
      </c>
      <c r="AL5941" s="21">
        <f>_xll.qlInterestRateIndexValueDate(hiborindex,AK5941)</f>
        <v>51018</v>
      </c>
      <c r="AM5941" s="23">
        <f>_xll.qlIndexFixing(hiborindex,AK5941)</f>
        <v>8.5872351131585124E-3</v>
      </c>
    </row>
    <row r="5942" spans="37:39" x14ac:dyDescent="0.25">
      <c r="AK5942" s="21">
        <f>_xll.qlCalendarAdvance(calendar,AK5941,"1D")</f>
        <v>51015</v>
      </c>
      <c r="AL5942" s="21">
        <f>_xll.qlInterestRateIndexValueDate(hiborindex,AK5942)</f>
        <v>51019</v>
      </c>
      <c r="AM5942" s="23">
        <f>_xll.qlIndexFixing(hiborindex,AK5942)</f>
        <v>8.5873232471197405E-3</v>
      </c>
    </row>
    <row r="5943" spans="37:39" x14ac:dyDescent="0.25">
      <c r="AK5943" s="21">
        <f>_xll.qlCalendarAdvance(calendar,AK5942,"1D")</f>
        <v>51018</v>
      </c>
      <c r="AL5943" s="21">
        <f>_xll.qlInterestRateIndexValueDate(hiborindex,AK5943)</f>
        <v>51020</v>
      </c>
      <c r="AM5943" s="23">
        <f>_xll.qlIndexFixing(hiborindex,AK5943)</f>
        <v>8.5874113810844831E-3</v>
      </c>
    </row>
    <row r="5944" spans="37:39" x14ac:dyDescent="0.25">
      <c r="AK5944" s="21">
        <f>_xll.qlCalendarAdvance(calendar,AK5943,"1D")</f>
        <v>51019</v>
      </c>
      <c r="AL5944" s="21">
        <f>_xll.qlInterestRateIndexValueDate(hiborindex,AK5944)</f>
        <v>51021</v>
      </c>
      <c r="AM5944" s="23">
        <f>_xll.qlIndexFixing(hiborindex,AK5944)</f>
        <v>8.5874995150536163E-3</v>
      </c>
    </row>
    <row r="5945" spans="37:39" x14ac:dyDescent="0.25">
      <c r="AK5945" s="21">
        <f>_xll.qlCalendarAdvance(calendar,AK5944,"1D")</f>
        <v>51020</v>
      </c>
      <c r="AL5945" s="21">
        <f>_xll.qlInterestRateIndexValueDate(hiborindex,AK5945)</f>
        <v>51022</v>
      </c>
      <c r="AM5945" s="23">
        <f>_xll.qlIndexFixing(hiborindex,AK5945)</f>
        <v>8.5875876490267029E-3</v>
      </c>
    </row>
    <row r="5946" spans="37:39" x14ac:dyDescent="0.25">
      <c r="AK5946" s="21">
        <f>_xll.qlCalendarAdvance(calendar,AK5945,"1D")</f>
        <v>51021</v>
      </c>
      <c r="AL5946" s="21">
        <f>_xll.qlInterestRateIndexValueDate(hiborindex,AK5946)</f>
        <v>51025</v>
      </c>
      <c r="AM5946" s="23">
        <f>_xll.qlIndexFixing(hiborindex,AK5946)</f>
        <v>8.5878520509688021E-3</v>
      </c>
    </row>
    <row r="5947" spans="37:39" x14ac:dyDescent="0.25">
      <c r="AK5947" s="21">
        <f>_xll.qlCalendarAdvance(calendar,AK5946,"1D")</f>
        <v>51022</v>
      </c>
      <c r="AL5947" s="21">
        <f>_xll.qlInterestRateIndexValueDate(hiborindex,AK5947)</f>
        <v>51026</v>
      </c>
      <c r="AM5947" s="23">
        <f>_xll.qlIndexFixing(hiborindex,AK5947)</f>
        <v>8.5879401849577007E-3</v>
      </c>
    </row>
    <row r="5948" spans="37:39" x14ac:dyDescent="0.25">
      <c r="AK5948" s="21">
        <f>_xll.qlCalendarAdvance(calendar,AK5947,"1D")</f>
        <v>51025</v>
      </c>
      <c r="AL5948" s="21">
        <f>_xll.qlInterestRateIndexValueDate(hiborindex,AK5948)</f>
        <v>51027</v>
      </c>
      <c r="AM5948" s="23">
        <f>_xll.qlIndexFixing(hiborindex,AK5948)</f>
        <v>8.5880283189501121E-3</v>
      </c>
    </row>
    <row r="5949" spans="37:39" x14ac:dyDescent="0.25">
      <c r="AK5949" s="21">
        <f>_xll.qlCalendarAdvance(calendar,AK5948,"1D")</f>
        <v>51026</v>
      </c>
      <c r="AL5949" s="21">
        <f>_xll.qlInterestRateIndexValueDate(hiborindex,AK5949)</f>
        <v>51028</v>
      </c>
      <c r="AM5949" s="23">
        <f>_xll.qlIndexFixing(hiborindex,AK5949)</f>
        <v>8.588116452946477E-3</v>
      </c>
    </row>
    <row r="5950" spans="37:39" x14ac:dyDescent="0.25">
      <c r="AK5950" s="21">
        <f>_xll.qlCalendarAdvance(calendar,AK5949,"1D")</f>
        <v>51027</v>
      </c>
      <c r="AL5950" s="21">
        <f>_xll.qlInterestRateIndexValueDate(hiborindex,AK5950)</f>
        <v>51029</v>
      </c>
      <c r="AM5950" s="23">
        <f>_xll.qlIndexFixing(hiborindex,AK5950)</f>
        <v>8.5882045869467936E-3</v>
      </c>
    </row>
    <row r="5951" spans="37:39" x14ac:dyDescent="0.25">
      <c r="AK5951" s="21">
        <f>_xll.qlCalendarAdvance(calendar,AK5950,"1D")</f>
        <v>51028</v>
      </c>
      <c r="AL5951" s="21">
        <f>_xll.qlInterestRateIndexValueDate(hiborindex,AK5951)</f>
        <v>51032</v>
      </c>
      <c r="AM5951" s="23">
        <f>_xll.qlIndexFixing(hiborindex,AK5951)</f>
        <v>8.588468988971025E-3</v>
      </c>
    </row>
    <row r="5952" spans="37:39" x14ac:dyDescent="0.25">
      <c r="AK5952" s="21">
        <f>_xll.qlCalendarAdvance(calendar,AK5951,"1D")</f>
        <v>51029</v>
      </c>
      <c r="AL5952" s="21">
        <f>_xll.qlInterestRateIndexValueDate(hiborindex,AK5952)</f>
        <v>51033</v>
      </c>
      <c r="AM5952" s="23">
        <f>_xll.qlIndexFixing(hiborindex,AK5952)</f>
        <v>8.5885571229871536E-3</v>
      </c>
    </row>
    <row r="5953" spans="37:39" x14ac:dyDescent="0.25">
      <c r="AK5953" s="21">
        <f>_xll.qlCalendarAdvance(calendar,AK5952,"1D")</f>
        <v>51032</v>
      </c>
      <c r="AL5953" s="21">
        <f>_xll.qlInterestRateIndexValueDate(hiborindex,AK5953)</f>
        <v>51034</v>
      </c>
      <c r="AM5953" s="23">
        <f>_xll.qlIndexFixing(hiborindex,AK5953)</f>
        <v>8.5886452570072356E-3</v>
      </c>
    </row>
    <row r="5954" spans="37:39" x14ac:dyDescent="0.25">
      <c r="AK5954" s="21">
        <f>_xll.qlCalendarAdvance(calendar,AK5953,"1D")</f>
        <v>51033</v>
      </c>
      <c r="AL5954" s="21">
        <f>_xll.qlInterestRateIndexValueDate(hiborindex,AK5954)</f>
        <v>51035</v>
      </c>
      <c r="AM5954" s="23">
        <f>_xll.qlIndexFixing(hiborindex,AK5954)</f>
        <v>8.5887333910308322E-3</v>
      </c>
    </row>
    <row r="5955" spans="37:39" x14ac:dyDescent="0.25">
      <c r="AK5955" s="21">
        <f>_xll.qlCalendarAdvance(calendar,AK5954,"1D")</f>
        <v>51034</v>
      </c>
      <c r="AL5955" s="21">
        <f>_xll.qlInterestRateIndexValueDate(hiborindex,AK5955)</f>
        <v>51036</v>
      </c>
      <c r="AM5955" s="23">
        <f>_xll.qlIndexFixing(hiborindex,AK5955)</f>
        <v>8.5888215250583804E-3</v>
      </c>
    </row>
    <row r="5956" spans="37:39" x14ac:dyDescent="0.25">
      <c r="AK5956" s="21">
        <f>_xll.qlCalendarAdvance(calendar,AK5955,"1D")</f>
        <v>51035</v>
      </c>
      <c r="AL5956" s="21">
        <f>_xll.qlInterestRateIndexValueDate(hiborindex,AK5956)</f>
        <v>51039</v>
      </c>
      <c r="AM5956" s="23">
        <f>_xll.qlIndexFixing(hiborindex,AK5956)</f>
        <v>8.5890859271651829E-3</v>
      </c>
    </row>
    <row r="5957" spans="37:39" x14ac:dyDescent="0.25">
      <c r="AK5957" s="21">
        <f>_xll.qlCalendarAdvance(calendar,AK5956,"1D")</f>
        <v>51036</v>
      </c>
      <c r="AL5957" s="21">
        <f>_xll.qlInterestRateIndexValueDate(hiborindex,AK5957)</f>
        <v>51040</v>
      </c>
      <c r="AM5957" s="23">
        <f>_xll.qlIndexFixing(hiborindex,AK5957)</f>
        <v>8.5891740612081026E-3</v>
      </c>
    </row>
    <row r="5958" spans="37:39" x14ac:dyDescent="0.25">
      <c r="AK5958" s="21">
        <f>_xll.qlCalendarAdvance(calendar,AK5957,"1D")</f>
        <v>51039</v>
      </c>
      <c r="AL5958" s="21">
        <f>_xll.qlInterestRateIndexValueDate(hiborindex,AK5958)</f>
        <v>51041</v>
      </c>
      <c r="AM5958" s="23">
        <f>_xll.qlIndexFixing(hiborindex,AK5958)</f>
        <v>8.5892621952554163E-3</v>
      </c>
    </row>
    <row r="5959" spans="37:39" x14ac:dyDescent="0.25">
      <c r="AK5959" s="21">
        <f>_xll.qlCalendarAdvance(calendar,AK5958,"1D")</f>
        <v>51040</v>
      </c>
      <c r="AL5959" s="21">
        <f>_xll.qlInterestRateIndexValueDate(hiborindex,AK5959)</f>
        <v>51042</v>
      </c>
      <c r="AM5959" s="23">
        <f>_xll.qlIndexFixing(hiborindex,AK5959)</f>
        <v>8.5893503293066817E-3</v>
      </c>
    </row>
    <row r="5960" spans="37:39" x14ac:dyDescent="0.25">
      <c r="AK5960" s="21">
        <f>_xll.qlCalendarAdvance(calendar,AK5959,"1D")</f>
        <v>51041</v>
      </c>
      <c r="AL5960" s="21">
        <f>_xll.qlInterestRateIndexValueDate(hiborindex,AK5960)</f>
        <v>51043</v>
      </c>
      <c r="AM5960" s="23">
        <f>_xll.qlIndexFixing(hiborindex,AK5960)</f>
        <v>8.5892920761236075E-3</v>
      </c>
    </row>
    <row r="5961" spans="37:39" x14ac:dyDescent="0.25">
      <c r="AK5961" s="21">
        <f>_xll.qlCalendarAdvance(calendar,AK5960,"1D")</f>
        <v>51042</v>
      </c>
      <c r="AL5961" s="21">
        <f>_xll.qlInterestRateIndexValueDate(hiborindex,AK5961)</f>
        <v>51046</v>
      </c>
      <c r="AM5961" s="23">
        <f>_xll.qlIndexFixing(hiborindex,AK5961)</f>
        <v>8.5898492628136754E-3</v>
      </c>
    </row>
    <row r="5962" spans="37:39" x14ac:dyDescent="0.25">
      <c r="AK5962" s="21">
        <f>_xll.qlCalendarAdvance(calendar,AK5961,"1D")</f>
        <v>51043</v>
      </c>
      <c r="AL5962" s="21">
        <f>_xll.qlInterestRateIndexValueDate(hiborindex,AK5962)</f>
        <v>51047</v>
      </c>
      <c r="AM5962" s="23">
        <f>_xll.qlIndexFixing(hiborindex,AK5962)</f>
        <v>8.5899373989843861E-3</v>
      </c>
    </row>
    <row r="5963" spans="37:39" x14ac:dyDescent="0.25">
      <c r="AK5963" s="21">
        <f>_xll.qlCalendarAdvance(calendar,AK5962,"1D")</f>
        <v>51046</v>
      </c>
      <c r="AL5963" s="21">
        <f>_xll.qlInterestRateIndexValueDate(hiborindex,AK5963)</f>
        <v>51048</v>
      </c>
      <c r="AM5963" s="23">
        <f>_xll.qlIndexFixing(hiborindex,AK5963)</f>
        <v>8.5900255351594665E-3</v>
      </c>
    </row>
    <row r="5964" spans="37:39" x14ac:dyDescent="0.25">
      <c r="AK5964" s="21">
        <f>_xll.qlCalendarAdvance(calendar,AK5963,"1D")</f>
        <v>51047</v>
      </c>
      <c r="AL5964" s="21">
        <f>_xll.qlInterestRateIndexValueDate(hiborindex,AK5964)</f>
        <v>51049</v>
      </c>
      <c r="AM5964" s="23">
        <f>_xll.qlIndexFixing(hiborindex,AK5964)</f>
        <v>8.590113671338476E-3</v>
      </c>
    </row>
    <row r="5965" spans="37:39" x14ac:dyDescent="0.25">
      <c r="AK5965" s="21">
        <f>_xll.qlCalendarAdvance(calendar,AK5964,"1D")</f>
        <v>51048</v>
      </c>
      <c r="AL5965" s="21">
        <f>_xll.qlInterestRateIndexValueDate(hiborindex,AK5965)</f>
        <v>51050</v>
      </c>
      <c r="AM5965" s="23">
        <f>_xll.qlIndexFixing(hiborindex,AK5965)</f>
        <v>8.5904946300245037E-3</v>
      </c>
    </row>
    <row r="5966" spans="37:39" x14ac:dyDescent="0.25">
      <c r="AK5966" s="21">
        <f>_xll.qlCalendarAdvance(calendar,AK5965,"1D")</f>
        <v>51049</v>
      </c>
      <c r="AL5966" s="21">
        <f>_xll.qlInterestRateIndexValueDate(hiborindex,AK5966)</f>
        <v>51053</v>
      </c>
      <c r="AM5966" s="23">
        <f>_xll.qlIndexFixing(hiborindex,AK5966)</f>
        <v>8.5904662160933964E-3</v>
      </c>
    </row>
    <row r="5967" spans="37:39" x14ac:dyDescent="0.25">
      <c r="AK5967" s="21">
        <f>_xll.qlCalendarAdvance(calendar,AK5966,"1D")</f>
        <v>51050</v>
      </c>
      <c r="AL5967" s="21">
        <f>_xll.qlInterestRateIndexValueDate(hiborindex,AK5967)</f>
        <v>51054</v>
      </c>
      <c r="AM5967" s="23">
        <f>_xll.qlIndexFixing(hiborindex,AK5967)</f>
        <v>8.5905543522920621E-3</v>
      </c>
    </row>
    <row r="5968" spans="37:39" x14ac:dyDescent="0.25">
      <c r="AK5968" s="21">
        <f>_xll.qlCalendarAdvance(calendar,AK5967,"1D")</f>
        <v>51053</v>
      </c>
      <c r="AL5968" s="21">
        <f>_xll.qlInterestRateIndexValueDate(hiborindex,AK5968)</f>
        <v>51055</v>
      </c>
      <c r="AM5968" s="23">
        <f>_xll.qlIndexFixing(hiborindex,AK5968)</f>
        <v>8.5906424884946622E-3</v>
      </c>
    </row>
    <row r="5969" spans="37:39" x14ac:dyDescent="0.25">
      <c r="AK5969" s="21">
        <f>_xll.qlCalendarAdvance(calendar,AK5968,"1D")</f>
        <v>51054</v>
      </c>
      <c r="AL5969" s="21">
        <f>_xll.qlInterestRateIndexValueDate(hiborindex,AK5969)</f>
        <v>51056</v>
      </c>
      <c r="AM5969" s="23">
        <f>_xll.qlIndexFixing(hiborindex,AK5969)</f>
        <v>8.5907306247011914E-3</v>
      </c>
    </row>
    <row r="5970" spans="37:39" x14ac:dyDescent="0.25">
      <c r="AK5970" s="21">
        <f>_xll.qlCalendarAdvance(calendar,AK5969,"1D")</f>
        <v>51055</v>
      </c>
      <c r="AL5970" s="21">
        <f>_xll.qlInterestRateIndexValueDate(hiborindex,AK5970)</f>
        <v>51057</v>
      </c>
      <c r="AM5970" s="23">
        <f>_xll.qlIndexFixing(hiborindex,AK5970)</f>
        <v>8.5911116128227598E-3</v>
      </c>
    </row>
    <row r="5971" spans="37:39" x14ac:dyDescent="0.25">
      <c r="AK5971" s="21">
        <f>_xll.qlCalendarAdvance(calendar,AK5970,"1D")</f>
        <v>51056</v>
      </c>
      <c r="AL5971" s="21">
        <f>_xll.qlInterestRateIndexValueDate(hiborindex,AK5971)</f>
        <v>51060</v>
      </c>
      <c r="AM5971" s="23">
        <f>_xll.qlIndexFixing(hiborindex,AK5971)</f>
        <v>8.5910831695661868E-3</v>
      </c>
    </row>
    <row r="5972" spans="37:39" x14ac:dyDescent="0.25">
      <c r="AK5972" s="21">
        <f>_xll.qlCalendarAdvance(calendar,AK5971,"1D")</f>
        <v>51057</v>
      </c>
      <c r="AL5972" s="21">
        <f>_xll.qlInterestRateIndexValueDate(hiborindex,AK5972)</f>
        <v>51061</v>
      </c>
      <c r="AM5972" s="23">
        <f>_xll.qlIndexFixing(hiborindex,AK5972)</f>
        <v>8.5911713057923722E-3</v>
      </c>
    </row>
    <row r="5973" spans="37:39" x14ac:dyDescent="0.25">
      <c r="AK5973" s="21">
        <f>_xll.qlCalendarAdvance(calendar,AK5972,"1D")</f>
        <v>51060</v>
      </c>
      <c r="AL5973" s="21">
        <f>_xll.qlInterestRateIndexValueDate(hiborindex,AK5973)</f>
        <v>51062</v>
      </c>
      <c r="AM5973" s="23">
        <f>_xll.qlIndexFixing(hiborindex,AK5973)</f>
        <v>8.591259442022053E-3</v>
      </c>
    </row>
    <row r="5974" spans="37:39" x14ac:dyDescent="0.25">
      <c r="AK5974" s="21">
        <f>_xll.qlCalendarAdvance(calendar,AK5973,"1D")</f>
        <v>51061</v>
      </c>
      <c r="AL5974" s="21">
        <f>_xll.qlInterestRateIndexValueDate(hiborindex,AK5974)</f>
        <v>51063</v>
      </c>
      <c r="AM5974" s="23">
        <f>_xll.qlIndexFixing(hiborindex,AK5974)</f>
        <v>8.5913475782561019E-3</v>
      </c>
    </row>
    <row r="5975" spans="37:39" x14ac:dyDescent="0.25">
      <c r="AK5975" s="21">
        <f>_xll.qlCalendarAdvance(calendar,AK5974,"1D")</f>
        <v>51062</v>
      </c>
      <c r="AL5975" s="21">
        <f>_xll.qlInterestRateIndexValueDate(hiborindex,AK5975)</f>
        <v>51064</v>
      </c>
      <c r="AM5975" s="23">
        <f>_xll.qlIndexFixing(hiborindex,AK5975)</f>
        <v>8.5917285958158878E-3</v>
      </c>
    </row>
    <row r="5976" spans="37:39" x14ac:dyDescent="0.25">
      <c r="AK5976" s="21">
        <f>_xll.qlCalendarAdvance(calendar,AK5975,"1D")</f>
        <v>51063</v>
      </c>
      <c r="AL5976" s="21">
        <f>_xll.qlInterestRateIndexValueDate(hiborindex,AK5976)</f>
        <v>51067</v>
      </c>
      <c r="AM5976" s="23">
        <f>_xll.qlIndexFixing(hiborindex,AK5976)</f>
        <v>8.5917001232311725E-3</v>
      </c>
    </row>
    <row r="5977" spans="37:39" x14ac:dyDescent="0.25">
      <c r="AK5977" s="21">
        <f>_xll.qlCalendarAdvance(calendar,AK5976,"1D")</f>
        <v>51064</v>
      </c>
      <c r="AL5977" s="21">
        <f>_xll.qlInterestRateIndexValueDate(hiborindex,AK5977)</f>
        <v>51068</v>
      </c>
      <c r="AM5977" s="23">
        <f>_xll.qlIndexFixing(hiborindex,AK5977)</f>
        <v>8.5917882594848775E-3</v>
      </c>
    </row>
    <row r="5978" spans="37:39" x14ac:dyDescent="0.25">
      <c r="AK5978" s="21">
        <f>_xll.qlCalendarAdvance(calendar,AK5977,"1D")</f>
        <v>51067</v>
      </c>
      <c r="AL5978" s="21">
        <f>_xll.qlInterestRateIndexValueDate(hiborindex,AK5978)</f>
        <v>51069</v>
      </c>
      <c r="AM5978" s="23">
        <f>_xll.qlIndexFixing(hiborindex,AK5978)</f>
        <v>8.5918763957425134E-3</v>
      </c>
    </row>
    <row r="5979" spans="37:39" x14ac:dyDescent="0.25">
      <c r="AK5979" s="21">
        <f>_xll.qlCalendarAdvance(calendar,AK5978,"1D")</f>
        <v>51068</v>
      </c>
      <c r="AL5979" s="21">
        <f>_xll.qlInterestRateIndexValueDate(hiborindex,AK5979)</f>
        <v>51070</v>
      </c>
      <c r="AM5979" s="23">
        <f>_xll.qlIndexFixing(hiborindex,AK5979)</f>
        <v>8.591964532004082E-3</v>
      </c>
    </row>
    <row r="5980" spans="37:39" x14ac:dyDescent="0.25">
      <c r="AK5980" s="21">
        <f>_xll.qlCalendarAdvance(calendar,AK5979,"1D")</f>
        <v>51069</v>
      </c>
      <c r="AL5980" s="21">
        <f>_xll.qlInterestRateIndexValueDate(hiborindex,AK5980)</f>
        <v>51071</v>
      </c>
      <c r="AM5980" s="23">
        <f>_xll.qlIndexFixing(hiborindex,AK5980)</f>
        <v>8.5923455790043197E-3</v>
      </c>
    </row>
    <row r="5981" spans="37:39" x14ac:dyDescent="0.25">
      <c r="AK5981" s="21">
        <f>_xll.qlCalendarAdvance(calendar,AK5980,"1D")</f>
        <v>51070</v>
      </c>
      <c r="AL5981" s="21">
        <f>_xll.qlInterestRateIndexValueDate(hiborindex,AK5981)</f>
        <v>51074</v>
      </c>
      <c r="AM5981" s="23">
        <f>_xll.qlIndexFixing(hiborindex,AK5981)</f>
        <v>8.5921706210083972E-3</v>
      </c>
    </row>
    <row r="5982" spans="37:39" x14ac:dyDescent="0.25">
      <c r="AK5982" s="21">
        <f>_xll.qlCalendarAdvance(calendar,AK5981,"1D")</f>
        <v>51071</v>
      </c>
      <c r="AL5982" s="21">
        <f>_xll.qlInterestRateIndexValueDate(hiborindex,AK5982)</f>
        <v>51075</v>
      </c>
      <c r="AM5982" s="23">
        <f>_xll.qlIndexFixing(hiborindex,AK5982)</f>
        <v>8.5924052133704524E-3</v>
      </c>
    </row>
    <row r="5983" spans="37:39" x14ac:dyDescent="0.25">
      <c r="AK5983" s="21">
        <f>_xll.qlCalendarAdvance(calendar,AK5982,"1D")</f>
        <v>51074</v>
      </c>
      <c r="AL5983" s="21">
        <f>_xll.qlInterestRateIndexValueDate(hiborindex,AK5983)</f>
        <v>51076</v>
      </c>
      <c r="AM5983" s="23">
        <f>_xll.qlIndexFixing(hiborindex,AK5983)</f>
        <v>8.5923468893722588E-3</v>
      </c>
    </row>
    <row r="5984" spans="37:39" x14ac:dyDescent="0.25">
      <c r="AK5984" s="21">
        <f>_xll.qlCalendarAdvance(calendar,AK5983,"1D")</f>
        <v>51075</v>
      </c>
      <c r="AL5984" s="21">
        <f>_xll.qlInterestRateIndexValueDate(hiborindex,AK5984)</f>
        <v>51077</v>
      </c>
      <c r="AM5984" s="23">
        <f>_xll.qlIndexFixing(hiborindex,AK5984)</f>
        <v>8.5924350235601198E-3</v>
      </c>
    </row>
    <row r="5985" spans="37:39" x14ac:dyDescent="0.25">
      <c r="AK5985" s="21">
        <f>_xll.qlCalendarAdvance(calendar,AK5984,"1D")</f>
        <v>51076</v>
      </c>
      <c r="AL5985" s="21">
        <f>_xll.qlInterestRateIndexValueDate(hiborindex,AK5985)</f>
        <v>51078</v>
      </c>
      <c r="AM5985" s="23">
        <f>_xll.qlIndexFixing(hiborindex,AK5985)</f>
        <v>8.5925231577523714E-3</v>
      </c>
    </row>
    <row r="5986" spans="37:39" x14ac:dyDescent="0.25">
      <c r="AK5986" s="21">
        <f>_xll.qlCalendarAdvance(calendar,AK5985,"1D")</f>
        <v>51077</v>
      </c>
      <c r="AL5986" s="21">
        <f>_xll.qlInterestRateIndexValueDate(hiborindex,AK5986)</f>
        <v>51081</v>
      </c>
      <c r="AM5986" s="23">
        <f>_xll.qlIndexFixing(hiborindex,AK5986)</f>
        <v>8.5927875603515266E-3</v>
      </c>
    </row>
    <row r="5987" spans="37:39" x14ac:dyDescent="0.25">
      <c r="AK5987" s="21">
        <f>_xll.qlCalendarAdvance(calendar,AK5986,"1D")</f>
        <v>51078</v>
      </c>
      <c r="AL5987" s="21">
        <f>_xll.qlInterestRateIndexValueDate(hiborindex,AK5987)</f>
        <v>51082</v>
      </c>
      <c r="AM5987" s="23">
        <f>_xll.qlIndexFixing(hiborindex,AK5987)</f>
        <v>8.5928756945591513E-3</v>
      </c>
    </row>
    <row r="5988" spans="37:39" x14ac:dyDescent="0.25">
      <c r="AK5988" s="21">
        <f>_xll.qlCalendarAdvance(calendar,AK5987,"1D")</f>
        <v>51081</v>
      </c>
      <c r="AL5988" s="21">
        <f>_xll.qlInterestRateIndexValueDate(hiborindex,AK5988)</f>
        <v>51083</v>
      </c>
      <c r="AM5988" s="23">
        <f>_xll.qlIndexFixing(hiborindex,AK5988)</f>
        <v>8.5929638287702888E-3</v>
      </c>
    </row>
    <row r="5989" spans="37:39" x14ac:dyDescent="0.25">
      <c r="AK5989" s="21">
        <f>_xll.qlCalendarAdvance(calendar,AK5988,"1D")</f>
        <v>51082</v>
      </c>
      <c r="AL5989" s="21">
        <f>_xll.qlInterestRateIndexValueDate(hiborindex,AK5989)</f>
        <v>51084</v>
      </c>
      <c r="AM5989" s="23">
        <f>_xll.qlIndexFixing(hiborindex,AK5989)</f>
        <v>8.5930519629858187E-3</v>
      </c>
    </row>
    <row r="5990" spans="37:39" x14ac:dyDescent="0.25">
      <c r="AK5990" s="21">
        <f>_xll.qlCalendarAdvance(calendar,AK5989,"1D")</f>
        <v>51083</v>
      </c>
      <c r="AL5990" s="21">
        <f>_xll.qlInterestRateIndexValueDate(hiborindex,AK5990)</f>
        <v>51085</v>
      </c>
      <c r="AM5990" s="23">
        <f>_xll.qlIndexFixing(hiborindex,AK5990)</f>
        <v>8.5931400972053019E-3</v>
      </c>
    </row>
    <row r="5991" spans="37:39" x14ac:dyDescent="0.25">
      <c r="AK5991" s="21">
        <f>_xll.qlCalendarAdvance(calendar,AK5990,"1D")</f>
        <v>51084</v>
      </c>
      <c r="AL5991" s="21">
        <f>_xll.qlInterestRateIndexValueDate(hiborindex,AK5991)</f>
        <v>51088</v>
      </c>
      <c r="AM5991" s="23">
        <f>_xll.qlIndexFixing(hiborindex,AK5991)</f>
        <v>8.5934044998865894E-3</v>
      </c>
    </row>
    <row r="5992" spans="37:39" x14ac:dyDescent="0.25">
      <c r="AK5992" s="21">
        <f>_xll.qlCalendarAdvance(calendar,AK5991,"1D")</f>
        <v>51085</v>
      </c>
      <c r="AL5992" s="21">
        <f>_xll.qlInterestRateIndexValueDate(hiborindex,AK5992)</f>
        <v>51089</v>
      </c>
      <c r="AM5992" s="23">
        <f>_xll.qlIndexFixing(hiborindex,AK5992)</f>
        <v>8.593492634121444E-3</v>
      </c>
    </row>
    <row r="5993" spans="37:39" x14ac:dyDescent="0.25">
      <c r="AK5993" s="21">
        <f>_xll.qlCalendarAdvance(calendar,AK5992,"1D")</f>
        <v>51088</v>
      </c>
      <c r="AL5993" s="21">
        <f>_xll.qlInterestRateIndexValueDate(hiborindex,AK5993)</f>
        <v>51090</v>
      </c>
      <c r="AM5993" s="23">
        <f>_xll.qlIndexFixing(hiborindex,AK5993)</f>
        <v>8.5935807683602521E-3</v>
      </c>
    </row>
    <row r="5994" spans="37:39" x14ac:dyDescent="0.25">
      <c r="AK5994" s="21">
        <f>_xll.qlCalendarAdvance(calendar,AK5993,"1D")</f>
        <v>51089</v>
      </c>
      <c r="AL5994" s="21">
        <f>_xll.qlInterestRateIndexValueDate(hiborindex,AK5994)</f>
        <v>51091</v>
      </c>
      <c r="AM5994" s="23">
        <f>_xll.qlIndexFixing(hiborindex,AK5994)</f>
        <v>8.5936689026025748E-3</v>
      </c>
    </row>
    <row r="5995" spans="37:39" x14ac:dyDescent="0.25">
      <c r="AK5995" s="21">
        <f>_xll.qlCalendarAdvance(calendar,AK5994,"1D")</f>
        <v>51090</v>
      </c>
      <c r="AL5995" s="21">
        <f>_xll.qlInterestRateIndexValueDate(hiborindex,AK5995)</f>
        <v>51092</v>
      </c>
      <c r="AM5995" s="23">
        <f>_xll.qlIndexFixing(hiborindex,AK5995)</f>
        <v>8.5937570368497286E-3</v>
      </c>
    </row>
    <row r="5996" spans="37:39" x14ac:dyDescent="0.25">
      <c r="AK5996" s="21">
        <f>_xll.qlCalendarAdvance(calendar,AK5995,"1D")</f>
        <v>51091</v>
      </c>
      <c r="AL5996" s="21">
        <f>_xll.qlInterestRateIndexValueDate(hiborindex,AK5996)</f>
        <v>51095</v>
      </c>
      <c r="AM5996" s="23">
        <f>_xll.qlIndexFixing(hiborindex,AK5996)</f>
        <v>8.5940214396127094E-3</v>
      </c>
    </row>
    <row r="5997" spans="37:39" x14ac:dyDescent="0.25">
      <c r="AK5997" s="21">
        <f>_xll.qlCalendarAdvance(calendar,AK5996,"1D")</f>
        <v>51092</v>
      </c>
      <c r="AL5997" s="21">
        <f>_xll.qlInterestRateIndexValueDate(hiborindex,AK5997)</f>
        <v>51096</v>
      </c>
      <c r="AM5997" s="23">
        <f>_xll.qlIndexFixing(hiborindex,AK5997)</f>
        <v>8.5941095738752346E-3</v>
      </c>
    </row>
    <row r="5998" spans="37:39" x14ac:dyDescent="0.25">
      <c r="AK5998" s="21">
        <f>_xll.qlCalendarAdvance(calendar,AK5997,"1D")</f>
        <v>51095</v>
      </c>
      <c r="AL5998" s="21">
        <f>_xll.qlInterestRateIndexValueDate(hiborindex,AK5998)</f>
        <v>51097</v>
      </c>
      <c r="AM5998" s="23">
        <f>_xll.qlIndexFixing(hiborindex,AK5998)</f>
        <v>8.5941977081412727E-3</v>
      </c>
    </row>
    <row r="5999" spans="37:39" x14ac:dyDescent="0.25">
      <c r="AK5999" s="21">
        <f>_xll.qlCalendarAdvance(calendar,AK5998,"1D")</f>
        <v>51096</v>
      </c>
      <c r="AL5999" s="21">
        <f>_xll.qlInterestRateIndexValueDate(hiborindex,AK5999)</f>
        <v>51098</v>
      </c>
      <c r="AM5999" s="23">
        <f>_xll.qlIndexFixing(hiborindex,AK5999)</f>
        <v>8.5942858424117047E-3</v>
      </c>
    </row>
    <row r="6000" spans="37:39" x14ac:dyDescent="0.25">
      <c r="AK6000" s="21">
        <f>_xll.qlCalendarAdvance(calendar,AK5999,"1D")</f>
        <v>51097</v>
      </c>
      <c r="AL6000" s="21">
        <f>_xll.qlInterestRateIndexValueDate(hiborindex,AK6000)</f>
        <v>51099</v>
      </c>
      <c r="AM6000" s="23">
        <f>_xll.qlIndexFixing(hiborindex,AK6000)</f>
        <v>8.5943739766856497E-3</v>
      </c>
    </row>
    <row r="6001" spans="37:39" x14ac:dyDescent="0.25">
      <c r="AK6001" s="21">
        <f>_xll.qlCalendarAdvance(calendar,AK6000,"1D")</f>
        <v>51098</v>
      </c>
      <c r="AL6001" s="21">
        <f>_xll.qlInterestRateIndexValueDate(hiborindex,AK6001)</f>
        <v>51102</v>
      </c>
      <c r="AM6001" s="23">
        <f>_xll.qlIndexFixing(hiborindex,AK6001)</f>
        <v>8.5946383795307627E-3</v>
      </c>
    </row>
    <row r="6002" spans="37:39" x14ac:dyDescent="0.25">
      <c r="AK6002" s="21">
        <f>_xll.qlCalendarAdvance(calendar,AK6001,"1D")</f>
        <v>51099</v>
      </c>
      <c r="AL6002" s="21">
        <f>_xll.qlInterestRateIndexValueDate(hiborindex,AK6002)</f>
        <v>51103</v>
      </c>
      <c r="AM6002" s="23">
        <f>_xll.qlIndexFixing(hiborindex,AK6002)</f>
        <v>8.5947265138209567E-3</v>
      </c>
    </row>
    <row r="6003" spans="37:39" x14ac:dyDescent="0.25">
      <c r="AK6003" s="21">
        <f>_xll.qlCalendarAdvance(calendar,AK6002,"1D")</f>
        <v>51102</v>
      </c>
      <c r="AL6003" s="21">
        <f>_xll.qlInterestRateIndexValueDate(hiborindex,AK6003)</f>
        <v>51104</v>
      </c>
      <c r="AM6003" s="23">
        <f>_xll.qlIndexFixing(hiborindex,AK6003)</f>
        <v>8.5949611672334388E-3</v>
      </c>
    </row>
    <row r="6004" spans="37:39" x14ac:dyDescent="0.25">
      <c r="AK6004" s="21">
        <f>_xll.qlCalendarAdvance(calendar,AK6003,"1D")</f>
        <v>51103</v>
      </c>
      <c r="AL6004" s="21">
        <f>_xll.qlInterestRateIndexValueDate(hiborindex,AK6004)</f>
        <v>51105</v>
      </c>
      <c r="AM6004" s="23">
        <f>_xll.qlIndexFixing(hiborindex,AK6004)</f>
        <v>8.5950493036326004E-3</v>
      </c>
    </row>
    <row r="6005" spans="37:39" x14ac:dyDescent="0.25">
      <c r="AK6005" s="21">
        <f>_xll.qlCalendarAdvance(calendar,AK6004,"1D")</f>
        <v>51104</v>
      </c>
      <c r="AL6005" s="21">
        <f>_xll.qlInterestRateIndexValueDate(hiborindex,AK6005)</f>
        <v>51106</v>
      </c>
      <c r="AM6005" s="23">
        <f>_xll.qlIndexFixing(hiborindex,AK6005)</f>
        <v>8.5954304978660863E-3</v>
      </c>
    </row>
    <row r="6006" spans="37:39" x14ac:dyDescent="0.25">
      <c r="AK6006" s="21">
        <f>_xll.qlCalendarAdvance(calendar,AK6005,"1D")</f>
        <v>51105</v>
      </c>
      <c r="AL6006" s="21">
        <f>_xll.qlInterestRateIndexValueDate(hiborindex,AK6006)</f>
        <v>51109</v>
      </c>
      <c r="AM6006" s="23">
        <f>_xll.qlIndexFixing(hiborindex,AK6006)</f>
        <v>8.5954018492681271E-3</v>
      </c>
    </row>
    <row r="6007" spans="37:39" x14ac:dyDescent="0.25">
      <c r="AK6007" s="21">
        <f>_xll.qlCalendarAdvance(calendar,AK6006,"1D")</f>
        <v>51106</v>
      </c>
      <c r="AL6007" s="21">
        <f>_xll.qlInterestRateIndexValueDate(hiborindex,AK6007)</f>
        <v>51110</v>
      </c>
      <c r="AM6007" s="23">
        <f>_xll.qlIndexFixing(hiborindex,AK6007)</f>
        <v>8.5954899856869466E-3</v>
      </c>
    </row>
    <row r="6008" spans="37:39" x14ac:dyDescent="0.25">
      <c r="AK6008" s="21">
        <f>_xll.qlCalendarAdvance(calendar,AK6007,"1D")</f>
        <v>51109</v>
      </c>
      <c r="AL6008" s="21">
        <f>_xll.qlInterestRateIndexValueDate(hiborindex,AK6008)</f>
        <v>51111</v>
      </c>
      <c r="AM6008" s="23">
        <f>_xll.qlIndexFixing(hiborindex,AK6008)</f>
        <v>8.5955781221096969E-3</v>
      </c>
    </row>
    <row r="6009" spans="37:39" x14ac:dyDescent="0.25">
      <c r="AK6009" s="21">
        <f>_xll.qlCalendarAdvance(calendar,AK6008,"1D")</f>
        <v>51110</v>
      </c>
      <c r="AL6009" s="21">
        <f>_xll.qlInterestRateIndexValueDate(hiborindex,AK6009)</f>
        <v>51112</v>
      </c>
      <c r="AM6009" s="23">
        <f>_xll.qlIndexFixing(hiborindex,AK6009)</f>
        <v>8.5956662585363781E-3</v>
      </c>
    </row>
    <row r="6010" spans="37:39" x14ac:dyDescent="0.25">
      <c r="AK6010" s="21">
        <f>_xll.qlCalendarAdvance(calendar,AK6009,"1D")</f>
        <v>51111</v>
      </c>
      <c r="AL6010" s="21">
        <f>_xll.qlInterestRateIndexValueDate(hiborindex,AK6010)</f>
        <v>51113</v>
      </c>
      <c r="AM6010" s="23">
        <f>_xll.qlIndexFixing(hiborindex,AK6010)</f>
        <v>8.5960474822228804E-3</v>
      </c>
    </row>
    <row r="6011" spans="37:39" x14ac:dyDescent="0.25">
      <c r="AK6011" s="21">
        <f>_xll.qlCalendarAdvance(calendar,AK6010,"1D")</f>
        <v>51112</v>
      </c>
      <c r="AL6011" s="21">
        <f>_xll.qlInterestRateIndexValueDate(hiborindex,AK6011)</f>
        <v>51116</v>
      </c>
      <c r="AM6011" s="23">
        <f>_xll.qlIndexFixing(hiborindex,AK6011)</f>
        <v>8.59601880428198E-3</v>
      </c>
    </row>
    <row r="6012" spans="37:39" x14ac:dyDescent="0.25">
      <c r="AK6012" s="21">
        <f>_xll.qlCalendarAdvance(calendar,AK6011,"1D")</f>
        <v>51113</v>
      </c>
      <c r="AL6012" s="21">
        <f>_xll.qlInterestRateIndexValueDate(hiborindex,AK6012)</f>
        <v>51117</v>
      </c>
      <c r="AM6012" s="23">
        <f>_xll.qlIndexFixing(hiborindex,AK6012)</f>
        <v>8.5961069407283174E-3</v>
      </c>
    </row>
    <row r="6013" spans="37:39" x14ac:dyDescent="0.25">
      <c r="AK6013" s="21">
        <f>_xll.qlCalendarAdvance(calendar,AK6012,"1D")</f>
        <v>51116</v>
      </c>
      <c r="AL6013" s="21">
        <f>_xll.qlInterestRateIndexValueDate(hiborindex,AK6013)</f>
        <v>51118</v>
      </c>
      <c r="AM6013" s="23">
        <f>_xll.qlIndexFixing(hiborindex,AK6013)</f>
        <v>8.5961950771781502E-3</v>
      </c>
    </row>
    <row r="6014" spans="37:39" x14ac:dyDescent="0.25">
      <c r="AK6014" s="21">
        <f>_xll.qlCalendarAdvance(calendar,AK6013,"1D")</f>
        <v>51117</v>
      </c>
      <c r="AL6014" s="21">
        <f>_xll.qlInterestRateIndexValueDate(hiborindex,AK6014)</f>
        <v>51119</v>
      </c>
      <c r="AM6014" s="23">
        <f>_xll.qlIndexFixing(hiborindex,AK6014)</f>
        <v>8.5962832136323511E-3</v>
      </c>
    </row>
    <row r="6015" spans="37:39" x14ac:dyDescent="0.25">
      <c r="AK6015" s="21">
        <f>_xll.qlCalendarAdvance(calendar,AK6014,"1D")</f>
        <v>51118</v>
      </c>
      <c r="AL6015" s="21">
        <f>_xll.qlInterestRateIndexValueDate(hiborindex,AK6015)</f>
        <v>51120</v>
      </c>
      <c r="AM6015" s="23">
        <f>_xll.qlIndexFixing(hiborindex,AK6015)</f>
        <v>8.5966644667741145E-3</v>
      </c>
    </row>
    <row r="6016" spans="37:39" x14ac:dyDescent="0.25">
      <c r="AK6016" s="21">
        <f>_xll.qlCalendarAdvance(calendar,AK6015,"1D")</f>
        <v>51119</v>
      </c>
      <c r="AL6016" s="21">
        <f>_xll.qlInterestRateIndexValueDate(hiborindex,AK6016)</f>
        <v>51123</v>
      </c>
      <c r="AM6016" s="23">
        <f>_xll.qlIndexFixing(hiborindex,AK6016)</f>
        <v>8.5966357594884652E-3</v>
      </c>
    </row>
    <row r="6017" spans="37:39" x14ac:dyDescent="0.25">
      <c r="AK6017" s="21">
        <f>_xll.qlCalendarAdvance(calendar,AK6016,"1D")</f>
        <v>51120</v>
      </c>
      <c r="AL6017" s="21">
        <f>_xll.qlInterestRateIndexValueDate(hiborindex,AK6017)</f>
        <v>51124</v>
      </c>
      <c r="AM6017" s="23">
        <f>_xll.qlIndexFixing(hiborindex,AK6017)</f>
        <v>8.5967238959623223E-3</v>
      </c>
    </row>
    <row r="6018" spans="37:39" x14ac:dyDescent="0.25">
      <c r="AK6018" s="21">
        <f>_xll.qlCalendarAdvance(calendar,AK6017,"1D")</f>
        <v>51123</v>
      </c>
      <c r="AL6018" s="21">
        <f>_xll.qlInterestRateIndexValueDate(hiborindex,AK6018)</f>
        <v>51125</v>
      </c>
      <c r="AM6018" s="23">
        <f>_xll.qlIndexFixing(hiborindex,AK6018)</f>
        <v>8.5968120324401102E-3</v>
      </c>
    </row>
    <row r="6019" spans="37:39" x14ac:dyDescent="0.25">
      <c r="AK6019" s="21">
        <f>_xll.qlCalendarAdvance(calendar,AK6018,"1D")</f>
        <v>51124</v>
      </c>
      <c r="AL6019" s="21">
        <f>_xll.qlInterestRateIndexValueDate(hiborindex,AK6019)</f>
        <v>51126</v>
      </c>
      <c r="AM6019" s="23">
        <f>_xll.qlIndexFixing(hiborindex,AK6019)</f>
        <v>8.5969001689213936E-3</v>
      </c>
    </row>
    <row r="6020" spans="37:39" x14ac:dyDescent="0.25">
      <c r="AK6020" s="21">
        <f>_xll.qlCalendarAdvance(calendar,AK6019,"1D")</f>
        <v>51125</v>
      </c>
      <c r="AL6020" s="21">
        <f>_xll.qlInterestRateIndexValueDate(hiborindex,AK6020)</f>
        <v>51127</v>
      </c>
      <c r="AM6020" s="23">
        <f>_xll.qlIndexFixing(hiborindex,AK6020)</f>
        <v>8.5972814515202188E-3</v>
      </c>
    </row>
    <row r="6021" spans="37:39" x14ac:dyDescent="0.25">
      <c r="AK6021" s="21">
        <f>_xll.qlCalendarAdvance(calendar,AK6020,"1D")</f>
        <v>51126</v>
      </c>
      <c r="AL6021" s="21">
        <f>_xll.qlInterestRateIndexValueDate(hiborindex,AK6021)</f>
        <v>51131</v>
      </c>
      <c r="AM6021" s="23">
        <f>_xll.qlIndexFixing(hiborindex,AK6021)</f>
        <v>8.5973408513885224E-3</v>
      </c>
    </row>
    <row r="6022" spans="37:39" x14ac:dyDescent="0.25">
      <c r="AK6022" s="21">
        <f>_xll.qlCalendarAdvance(calendar,AK6021,"1D")</f>
        <v>51127</v>
      </c>
      <c r="AL6022" s="21">
        <f>_xll.qlInterestRateIndexValueDate(hiborindex,AK6022)</f>
        <v>51132</v>
      </c>
      <c r="AM6022" s="23">
        <f>_xll.qlIndexFixing(hiborindex,AK6022)</f>
        <v>8.5974289878938299E-3</v>
      </c>
    </row>
    <row r="6023" spans="37:39" x14ac:dyDescent="0.25">
      <c r="AK6023" s="21">
        <f>_xll.qlCalendarAdvance(calendar,AK6022,"1D")</f>
        <v>51131</v>
      </c>
      <c r="AL6023" s="21">
        <f>_xll.qlInterestRateIndexValueDate(hiborindex,AK6023)</f>
        <v>51133</v>
      </c>
      <c r="AM6023" s="23">
        <f>_xll.qlIndexFixing(hiborindex,AK6023)</f>
        <v>8.5975171244030684E-3</v>
      </c>
    </row>
    <row r="6024" spans="37:39" x14ac:dyDescent="0.25">
      <c r="AK6024" s="21">
        <f>_xll.qlCalendarAdvance(calendar,AK6023,"1D")</f>
        <v>51132</v>
      </c>
      <c r="AL6024" s="21">
        <f>_xll.qlInterestRateIndexValueDate(hiborindex,AK6024)</f>
        <v>51134</v>
      </c>
      <c r="AM6024" s="23">
        <f>_xll.qlIndexFixing(hiborindex,AK6024)</f>
        <v>8.5974586787394402E-3</v>
      </c>
    </row>
    <row r="6025" spans="37:39" x14ac:dyDescent="0.25">
      <c r="AK6025" s="21">
        <f>_xll.qlCalendarAdvance(calendar,AK6024,"1D")</f>
        <v>51133</v>
      </c>
      <c r="AL6025" s="21">
        <f>_xll.qlInterestRateIndexValueDate(hiborindex,AK6025)</f>
        <v>51137</v>
      </c>
      <c r="AM6025" s="23">
        <f>_xll.qlIndexFixing(hiborindex,AK6025)</f>
        <v>8.5930294923231253E-3</v>
      </c>
    </row>
    <row r="6026" spans="37:39" x14ac:dyDescent="0.25">
      <c r="AK6026" s="21">
        <f>_xll.qlCalendarAdvance(calendar,AK6025,"1D")</f>
        <v>51134</v>
      </c>
      <c r="AL6026" s="21">
        <f>_xll.qlInterestRateIndexValueDate(hiborindex,AK6026)</f>
        <v>51138</v>
      </c>
      <c r="AM6026" s="23">
        <f>_xll.qlIndexFixing(hiborindex,AK6026)</f>
        <v>8.5915523854643207E-3</v>
      </c>
    </row>
    <row r="6027" spans="37:39" x14ac:dyDescent="0.25">
      <c r="AK6027" s="21">
        <f>_xll.qlCalendarAdvance(calendar,AK6026,"1D")</f>
        <v>51137</v>
      </c>
      <c r="AL6027" s="21">
        <f>_xll.qlInterestRateIndexValueDate(hiborindex,AK6027)</f>
        <v>51139</v>
      </c>
      <c r="AM6027" s="23">
        <f>_xll.qlIndexFixing(hiborindex,AK6027)</f>
        <v>8.5900749229133357E-3</v>
      </c>
    </row>
    <row r="6028" spans="37:39" x14ac:dyDescent="0.25">
      <c r="AK6028" s="21">
        <f>_xll.qlCalendarAdvance(calendar,AK6027,"1D")</f>
        <v>51138</v>
      </c>
      <c r="AL6028" s="21">
        <f>_xll.qlInterestRateIndexValueDate(hiborindex,AK6028)</f>
        <v>51140</v>
      </c>
      <c r="AM6028" s="23">
        <f>_xll.qlIndexFixing(hiborindex,AK6028)</f>
        <v>8.5885971046710512E-3</v>
      </c>
    </row>
    <row r="6029" spans="37:39" x14ac:dyDescent="0.25">
      <c r="AK6029" s="21">
        <f>_xll.qlCalendarAdvance(calendar,AK6028,"1D")</f>
        <v>51139</v>
      </c>
      <c r="AL6029" s="21">
        <f>_xll.qlInterestRateIndexValueDate(hiborindex,AK6029)</f>
        <v>51141</v>
      </c>
      <c r="AM6029" s="23">
        <f>_xll.qlIndexFixing(hiborindex,AK6029)</f>
        <v>8.5871189307383453E-3</v>
      </c>
    </row>
    <row r="6030" spans="37:39" x14ac:dyDescent="0.25">
      <c r="AK6030" s="21">
        <f>_xll.qlCalendarAdvance(calendar,AK6029,"1D")</f>
        <v>51140</v>
      </c>
      <c r="AL6030" s="21">
        <f>_xll.qlInterestRateIndexValueDate(hiborindex,AK6030)</f>
        <v>51144</v>
      </c>
      <c r="AM6030" s="23">
        <f>_xll.qlIndexFixing(hiborindex,AK6030)</f>
        <v>8.5826822748051573E-3</v>
      </c>
    </row>
    <row r="6031" spans="37:39" x14ac:dyDescent="0.25">
      <c r="AK6031" s="21">
        <f>_xll.qlCalendarAdvance(calendar,AK6030,"1D")</f>
        <v>51141</v>
      </c>
      <c r="AL6031" s="21">
        <f>_xll.qlInterestRateIndexValueDate(hiborindex,AK6031)</f>
        <v>51145</v>
      </c>
      <c r="AM6031" s="23">
        <f>_xll.qlIndexFixing(hiborindex,AK6031)</f>
        <v>8.5812026781182296E-3</v>
      </c>
    </row>
    <row r="6032" spans="37:39" x14ac:dyDescent="0.25">
      <c r="AK6032" s="21">
        <f>_xll.qlCalendarAdvance(calendar,AK6031,"1D")</f>
        <v>51144</v>
      </c>
      <c r="AL6032" s="21">
        <f>_xll.qlInterestRateIndexValueDate(hiborindex,AK6032)</f>
        <v>51146</v>
      </c>
      <c r="AM6032" s="23">
        <f>_xll.qlIndexFixing(hiborindex,AK6032)</f>
        <v>8.5797227257448302E-3</v>
      </c>
    </row>
    <row r="6033" spans="37:39" x14ac:dyDescent="0.25">
      <c r="AK6033" s="21">
        <f>_xll.qlCalendarAdvance(calendar,AK6032,"1D")</f>
        <v>51145</v>
      </c>
      <c r="AL6033" s="21">
        <f>_xll.qlInterestRateIndexValueDate(hiborindex,AK6033)</f>
        <v>51147</v>
      </c>
      <c r="AM6033" s="23">
        <f>_xll.qlIndexFixing(hiborindex,AK6033)</f>
        <v>8.5782424176858406E-3</v>
      </c>
    </row>
    <row r="6034" spans="37:39" x14ac:dyDescent="0.25">
      <c r="AK6034" s="21">
        <f>_xll.qlCalendarAdvance(calendar,AK6033,"1D")</f>
        <v>51146</v>
      </c>
      <c r="AL6034" s="21">
        <f>_xll.qlInterestRateIndexValueDate(hiborindex,AK6034)</f>
        <v>51148</v>
      </c>
      <c r="AM6034" s="23">
        <f>_xll.qlIndexFixing(hiborindex,AK6034)</f>
        <v>8.5767617539417012E-3</v>
      </c>
    </row>
    <row r="6035" spans="37:39" x14ac:dyDescent="0.25">
      <c r="AK6035" s="21">
        <f>_xll.qlCalendarAdvance(calendar,AK6034,"1D")</f>
        <v>51147</v>
      </c>
      <c r="AL6035" s="21">
        <f>_xll.qlInterestRateIndexValueDate(hiborindex,AK6035)</f>
        <v>51151</v>
      </c>
      <c r="AM6035" s="23">
        <f>_xll.qlIndexFixing(hiborindex,AK6035)</f>
        <v>8.5723176286084703E-3</v>
      </c>
    </row>
    <row r="6036" spans="37:39" x14ac:dyDescent="0.25">
      <c r="AK6036" s="21">
        <f>_xll.qlCalendarAdvance(calendar,AK6035,"1D")</f>
        <v>51148</v>
      </c>
      <c r="AL6036" s="21">
        <f>_xll.qlInterestRateIndexValueDate(hiborindex,AK6036)</f>
        <v>51152</v>
      </c>
      <c r="AM6036" s="23">
        <f>_xll.qlIndexFixing(hiborindex,AK6036)</f>
        <v>8.570835542132945E-3</v>
      </c>
    </row>
    <row r="6037" spans="37:39" x14ac:dyDescent="0.25">
      <c r="AK6037" s="21">
        <f>_xll.qlCalendarAdvance(calendar,AK6036,"1D")</f>
        <v>51151</v>
      </c>
      <c r="AL6037" s="21">
        <f>_xll.qlInterestRateIndexValueDate(hiborindex,AK6037)</f>
        <v>51153</v>
      </c>
      <c r="AM6037" s="23">
        <f>_xll.qlIndexFixing(hiborindex,AK6037)</f>
        <v>8.5693530999766624E-3</v>
      </c>
    </row>
    <row r="6038" spans="37:39" x14ac:dyDescent="0.25">
      <c r="AK6038" s="21">
        <f>_xll.qlCalendarAdvance(calendar,AK6037,"1D")</f>
        <v>51152</v>
      </c>
      <c r="AL6038" s="21">
        <f>_xll.qlInterestRateIndexValueDate(hiborindex,AK6038)</f>
        <v>51154</v>
      </c>
      <c r="AM6038" s="23">
        <f>_xll.qlIndexFixing(hiborindex,AK6038)</f>
        <v>8.5678703021396189E-3</v>
      </c>
    </row>
    <row r="6039" spans="37:39" x14ac:dyDescent="0.25">
      <c r="AK6039" s="21">
        <f>_xll.qlCalendarAdvance(calendar,AK6038,"1D")</f>
        <v>51153</v>
      </c>
      <c r="AL6039" s="21">
        <f>_xll.qlInterestRateIndexValueDate(hiborindex,AK6039)</f>
        <v>51155</v>
      </c>
      <c r="AM6039" s="23">
        <f>_xll.qlIndexFixing(hiborindex,AK6039)</f>
        <v>8.5663871486235735E-3</v>
      </c>
    </row>
    <row r="6040" spans="37:39" x14ac:dyDescent="0.25">
      <c r="AK6040" s="21">
        <f>_xll.qlCalendarAdvance(calendar,AK6039,"1D")</f>
        <v>51154</v>
      </c>
      <c r="AL6040" s="21">
        <f>_xll.qlInterestRateIndexValueDate(hiborindex,AK6040)</f>
        <v>51158</v>
      </c>
      <c r="AM6040" s="23">
        <f>_xll.qlIndexFixing(hiborindex,AK6040)</f>
        <v>8.5619355540071281E-3</v>
      </c>
    </row>
    <row r="6041" spans="37:39" x14ac:dyDescent="0.25">
      <c r="AK6041" s="21">
        <f>_xll.qlCalendarAdvance(calendar,AK6040,"1D")</f>
        <v>51155</v>
      </c>
      <c r="AL6041" s="21">
        <f>_xll.qlInterestRateIndexValueDate(hiborindex,AK6041)</f>
        <v>51159</v>
      </c>
      <c r="AM6041" s="23">
        <f>_xll.qlIndexFixing(hiborindex,AK6041)</f>
        <v>8.5604509777816602E-3</v>
      </c>
    </row>
    <row r="6042" spans="37:39" x14ac:dyDescent="0.25">
      <c r="AK6042" s="21">
        <f>_xll.qlCalendarAdvance(calendar,AK6041,"1D")</f>
        <v>51158</v>
      </c>
      <c r="AL6042" s="21">
        <f>_xll.qlInterestRateIndexValueDate(hiborindex,AK6042)</f>
        <v>51160</v>
      </c>
      <c r="AM6042" s="23">
        <f>_xll.qlIndexFixing(hiborindex,AK6042)</f>
        <v>8.5589660458811403E-3</v>
      </c>
    </row>
    <row r="6043" spans="37:39" x14ac:dyDescent="0.25">
      <c r="AK6043" s="21">
        <f>_xll.qlCalendarAdvance(calendar,AK6042,"1D")</f>
        <v>51159</v>
      </c>
      <c r="AL6043" s="21">
        <f>_xll.qlInterestRateIndexValueDate(hiborindex,AK6043)</f>
        <v>51161</v>
      </c>
      <c r="AM6043" s="23">
        <f>_xll.qlIndexFixing(hiborindex,AK6043)</f>
        <v>8.557480758306011E-3</v>
      </c>
    </row>
    <row r="6044" spans="37:39" x14ac:dyDescent="0.25">
      <c r="AK6044" s="21">
        <f>_xll.qlCalendarAdvance(calendar,AK6043,"1D")</f>
        <v>51160</v>
      </c>
      <c r="AL6044" s="21">
        <f>_xll.qlInterestRateIndexValueDate(hiborindex,AK6044)</f>
        <v>51162</v>
      </c>
      <c r="AM6044" s="23">
        <f>_xll.qlIndexFixing(hiborindex,AK6044)</f>
        <v>8.555995115056711E-3</v>
      </c>
    </row>
    <row r="6045" spans="37:39" x14ac:dyDescent="0.25">
      <c r="AK6045" s="21">
        <f>_xll.qlCalendarAdvance(calendar,AK6044,"1D")</f>
        <v>51161</v>
      </c>
      <c r="AL6045" s="21">
        <f>_xll.qlInterestRateIndexValueDate(hiborindex,AK6045)</f>
        <v>51165</v>
      </c>
      <c r="AM6045" s="23">
        <f>_xll.qlIndexFixing(hiborindex,AK6045)</f>
        <v>8.5515360512751996E-3</v>
      </c>
    </row>
    <row r="6046" spans="37:39" x14ac:dyDescent="0.25">
      <c r="AK6046" s="21">
        <f>_xll.qlCalendarAdvance(calendar,AK6045,"1D")</f>
        <v>51162</v>
      </c>
      <c r="AL6046" s="21">
        <f>_xll.qlInterestRateIndexValueDate(hiborindex,AK6046)</f>
        <v>51166</v>
      </c>
      <c r="AM6046" s="23">
        <f>_xll.qlIndexFixing(hiborindex,AK6046)</f>
        <v>8.5500489853393147E-3</v>
      </c>
    </row>
    <row r="6047" spans="37:39" x14ac:dyDescent="0.25">
      <c r="AK6047" s="21">
        <f>_xll.qlCalendarAdvance(calendar,AK6046,"1D")</f>
        <v>51165</v>
      </c>
      <c r="AL6047" s="21">
        <f>_xll.qlInterestRateIndexValueDate(hiborindex,AK6047)</f>
        <v>51167</v>
      </c>
      <c r="AM6047" s="23">
        <f>_xll.qlIndexFixing(hiborindex,AK6047)</f>
        <v>8.5485615637332125E-3</v>
      </c>
    </row>
    <row r="6048" spans="37:39" x14ac:dyDescent="0.25">
      <c r="AK6048" s="21">
        <f>_xll.qlCalendarAdvance(calendar,AK6047,"1D")</f>
        <v>51166</v>
      </c>
      <c r="AL6048" s="21">
        <f>_xll.qlInterestRateIndexValueDate(hiborindex,AK6048)</f>
        <v>51168</v>
      </c>
      <c r="AM6048" s="23">
        <f>_xll.qlIndexFixing(hiborindex,AK6048)</f>
        <v>8.547073786458647E-3</v>
      </c>
    </row>
    <row r="6049" spans="37:39" x14ac:dyDescent="0.25">
      <c r="AK6049" s="21">
        <f>_xll.qlCalendarAdvance(calendar,AK6048,"1D")</f>
        <v>51167</v>
      </c>
      <c r="AL6049" s="21">
        <f>_xll.qlInterestRateIndexValueDate(hiborindex,AK6049)</f>
        <v>51169</v>
      </c>
      <c r="AM6049" s="23">
        <f>_xll.qlIndexFixing(hiborindex,AK6049)</f>
        <v>8.5455856535156215E-3</v>
      </c>
    </row>
    <row r="6050" spans="37:39" x14ac:dyDescent="0.25">
      <c r="AK6050" s="21">
        <f>_xll.qlCalendarAdvance(calendar,AK6049,"1D")</f>
        <v>51168</v>
      </c>
      <c r="AL6050" s="21">
        <f>_xll.qlInterestRateIndexValueDate(hiborindex,AK6050)</f>
        <v>51172</v>
      </c>
      <c r="AM6050" s="23">
        <f>_xll.qlIndexFixing(hiborindex,AK6050)</f>
        <v>8.5411191206858725E-3</v>
      </c>
    </row>
    <row r="6051" spans="37:39" x14ac:dyDescent="0.25">
      <c r="AK6051" s="21">
        <f>_xll.qlCalendarAdvance(calendar,AK6050,"1D")</f>
        <v>51169</v>
      </c>
      <c r="AL6051" s="21">
        <f>_xll.qlInterestRateIndexValueDate(hiborindex,AK6051)</f>
        <v>51173</v>
      </c>
      <c r="AM6051" s="23">
        <f>_xll.qlIndexFixing(hiborindex,AK6051)</f>
        <v>8.5396295650786609E-3</v>
      </c>
    </row>
    <row r="6052" spans="37:39" x14ac:dyDescent="0.25">
      <c r="AK6052" s="21">
        <f>_xll.qlCalendarAdvance(calendar,AK6051,"1D")</f>
        <v>51172</v>
      </c>
      <c r="AL6052" s="21">
        <f>_xll.qlInterestRateIndexValueDate(hiborindex,AK6052)</f>
        <v>51174</v>
      </c>
      <c r="AM6052" s="23">
        <f>_xll.qlIndexFixing(hiborindex,AK6052)</f>
        <v>8.5381396538069428E-3</v>
      </c>
    </row>
    <row r="6053" spans="37:39" x14ac:dyDescent="0.25">
      <c r="AK6053" s="21">
        <f>_xll.qlCalendarAdvance(calendar,AK6052,"1D")</f>
        <v>51173</v>
      </c>
      <c r="AL6053" s="21">
        <f>_xll.qlInterestRateIndexValueDate(hiborindex,AK6053)</f>
        <v>51175</v>
      </c>
      <c r="AM6053" s="23">
        <f>_xll.qlIndexFixing(hiborindex,AK6053)</f>
        <v>8.5366493868720313E-3</v>
      </c>
    </row>
    <row r="6054" spans="37:39" x14ac:dyDescent="0.25">
      <c r="AK6054" s="21">
        <f>_xll.qlCalendarAdvance(calendar,AK6053,"1D")</f>
        <v>51174</v>
      </c>
      <c r="AL6054" s="21">
        <f>_xll.qlInterestRateIndexValueDate(hiborindex,AK6054)</f>
        <v>51176</v>
      </c>
      <c r="AM6054" s="23">
        <f>_xll.qlIndexFixing(hiborindex,AK6054)</f>
        <v>8.5351587642748077E-3</v>
      </c>
    </row>
    <row r="6055" spans="37:39" x14ac:dyDescent="0.25">
      <c r="AK6055" s="21">
        <f>_xll.qlCalendarAdvance(calendar,AK6054,"1D")</f>
        <v>51175</v>
      </c>
      <c r="AL6055" s="21">
        <f>_xll.qlInterestRateIndexValueDate(hiborindex,AK6055)</f>
        <v>51179</v>
      </c>
      <c r="AM6055" s="23">
        <f>_xll.qlIndexFixing(hiborindex,AK6055)</f>
        <v>8.5306847625154086E-3</v>
      </c>
    </row>
    <row r="6056" spans="37:39" x14ac:dyDescent="0.25">
      <c r="AK6056" s="21">
        <f>_xll.qlCalendarAdvance(calendar,AK6055,"1D")</f>
        <v>51176</v>
      </c>
      <c r="AL6056" s="21">
        <f>_xll.qlInterestRateIndexValueDate(hiborindex,AK6056)</f>
        <v>51180</v>
      </c>
      <c r="AM6056" s="23">
        <f>_xll.qlIndexFixing(hiborindex,AK6056)</f>
        <v>8.5291927172755216E-3</v>
      </c>
    </row>
    <row r="6057" spans="37:39" x14ac:dyDescent="0.25">
      <c r="AK6057" s="21">
        <f>_xll.qlCalendarAdvance(calendar,AK6056,"1D")</f>
        <v>51179</v>
      </c>
      <c r="AL6057" s="21">
        <f>_xll.qlInterestRateIndexValueDate(hiborindex,AK6057)</f>
        <v>51181</v>
      </c>
      <c r="AM6057" s="23">
        <f>_xll.qlIndexFixing(hiborindex,AK6057)</f>
        <v>8.527700316377276E-3</v>
      </c>
    </row>
    <row r="6058" spans="37:39" x14ac:dyDescent="0.25">
      <c r="AK6058" s="21">
        <f>_xll.qlCalendarAdvance(calendar,AK6057,"1D")</f>
        <v>51180</v>
      </c>
      <c r="AL6058" s="21">
        <f>_xll.qlInterestRateIndexValueDate(hiborindex,AK6058)</f>
        <v>51182</v>
      </c>
      <c r="AM6058" s="23">
        <f>_xll.qlIndexFixing(hiborindex,AK6058)</f>
        <v>8.5262075598219866E-3</v>
      </c>
    </row>
    <row r="6059" spans="37:39" x14ac:dyDescent="0.25">
      <c r="AK6059" s="21">
        <f>_xll.qlCalendarAdvance(calendar,AK6058,"1D")</f>
        <v>51181</v>
      </c>
      <c r="AL6059" s="21">
        <f>_xll.qlInterestRateIndexValueDate(hiborindex,AK6059)</f>
        <v>51183</v>
      </c>
      <c r="AM6059" s="23">
        <f>_xll.qlIndexFixing(hiborindex,AK6059)</f>
        <v>8.5247144476092163E-3</v>
      </c>
    </row>
    <row r="6060" spans="37:39" x14ac:dyDescent="0.25">
      <c r="AK6060" s="21">
        <f>_xll.qlCalendarAdvance(calendar,AK6059,"1D")</f>
        <v>51182</v>
      </c>
      <c r="AL6060" s="21">
        <f>_xll.qlInterestRateIndexValueDate(hiborindex,AK6060)</f>
        <v>51186</v>
      </c>
      <c r="AM6060" s="23">
        <f>_xll.qlIndexFixing(hiborindex,AK6060)</f>
        <v>8.5202329770374362E-3</v>
      </c>
    </row>
    <row r="6061" spans="37:39" x14ac:dyDescent="0.25">
      <c r="AK6061" s="21">
        <f>_xll.qlCalendarAdvance(calendar,AK6060,"1D")</f>
        <v>51183</v>
      </c>
      <c r="AL6061" s="21">
        <f>_xll.qlInterestRateIndexValueDate(hiborindex,AK6061)</f>
        <v>51187</v>
      </c>
      <c r="AM6061" s="23">
        <f>_xll.qlIndexFixing(hiborindex,AK6061)</f>
        <v>8.5187384422052807E-3</v>
      </c>
    </row>
    <row r="6062" spans="37:39" x14ac:dyDescent="0.25">
      <c r="AK6062" s="21">
        <f>_xll.qlCalendarAdvance(calendar,AK6061,"1D")</f>
        <v>51186</v>
      </c>
      <c r="AL6062" s="21">
        <f>_xll.qlInterestRateIndexValueDate(hiborindex,AK6062)</f>
        <v>51188</v>
      </c>
      <c r="AM6062" s="23">
        <f>_xll.qlIndexFixing(hiborindex,AK6062)</f>
        <v>8.517243551720035E-3</v>
      </c>
    </row>
    <row r="6063" spans="37:39" x14ac:dyDescent="0.25">
      <c r="AK6063" s="21">
        <f>_xll.qlCalendarAdvance(calendar,AK6062,"1D")</f>
        <v>51187</v>
      </c>
      <c r="AL6063" s="21">
        <f>_xll.qlInterestRateIndexValueDate(hiborindex,AK6063)</f>
        <v>51189</v>
      </c>
      <c r="AM6063" s="23">
        <f>_xll.qlIndexFixing(hiborindex,AK6063)</f>
        <v>8.5157483055825801E-3</v>
      </c>
    </row>
    <row r="6064" spans="37:39" x14ac:dyDescent="0.25">
      <c r="AK6064" s="21">
        <f>_xll.qlCalendarAdvance(calendar,AK6063,"1D")</f>
        <v>51188</v>
      </c>
      <c r="AL6064" s="21">
        <f>_xll.qlInterestRateIndexValueDate(hiborindex,AK6064)</f>
        <v>51190</v>
      </c>
      <c r="AM6064" s="23">
        <f>_xll.qlIndexFixing(hiborindex,AK6064)</f>
        <v>8.5142527037937923E-3</v>
      </c>
    </row>
    <row r="6065" spans="37:39" x14ac:dyDescent="0.25">
      <c r="AK6065" s="21">
        <f>_xll.qlCalendarAdvance(calendar,AK6064,"1D")</f>
        <v>51189</v>
      </c>
      <c r="AL6065" s="21">
        <f>_xll.qlInterestRateIndexValueDate(hiborindex,AK6065)</f>
        <v>51193</v>
      </c>
      <c r="AM6065" s="23">
        <f>_xll.qlIndexFixing(hiborindex,AK6065)</f>
        <v>8.5097637645282151E-3</v>
      </c>
    </row>
    <row r="6066" spans="37:39" x14ac:dyDescent="0.25">
      <c r="AK6066" s="21">
        <f>_xll.qlCalendarAdvance(calendar,AK6065,"1D")</f>
        <v>51190</v>
      </c>
      <c r="AL6066" s="21">
        <f>_xll.qlInterestRateIndexValueDate(hiborindex,AK6066)</f>
        <v>51194</v>
      </c>
      <c r="AM6066" s="23">
        <f>_xll.qlIndexFixing(hiborindex,AK6066)</f>
        <v>8.5082667401428815E-3</v>
      </c>
    </row>
    <row r="6067" spans="37:39" x14ac:dyDescent="0.25">
      <c r="AK6067" s="21">
        <f>_xll.qlCalendarAdvance(calendar,AK6066,"1D")</f>
        <v>51193</v>
      </c>
      <c r="AL6067" s="21">
        <f>_xll.qlInterestRateIndexValueDate(hiborindex,AK6067)</f>
        <v>51195</v>
      </c>
      <c r="AM6067" s="23">
        <f>_xll.qlIndexFixing(hiborindex,AK6067)</f>
        <v>8.504964681240108E-3</v>
      </c>
    </row>
    <row r="6068" spans="37:39" x14ac:dyDescent="0.25">
      <c r="AK6068" s="21">
        <f>_xll.qlCalendarAdvance(calendar,AK6067,"1D")</f>
        <v>51194</v>
      </c>
      <c r="AL6068" s="21">
        <f>_xll.qlInterestRateIndexValueDate(hiborindex,AK6068)</f>
        <v>51196</v>
      </c>
      <c r="AM6068" s="23">
        <f>_xll.qlIndexFixing(hiborindex,AK6068)</f>
        <v>8.5017382869370019E-3</v>
      </c>
    </row>
    <row r="6069" spans="37:39" x14ac:dyDescent="0.25">
      <c r="AK6069" s="21">
        <f>_xll.qlCalendarAdvance(calendar,AK6068,"1D")</f>
        <v>51195</v>
      </c>
      <c r="AL6069" s="21">
        <f>_xll.qlInterestRateIndexValueDate(hiborindex,AK6069)</f>
        <v>51197</v>
      </c>
      <c r="AM6069" s="23">
        <f>_xll.qlIndexFixing(hiborindex,AK6069)</f>
        <v>8.5011320249504824E-3</v>
      </c>
    </row>
    <row r="6070" spans="37:39" x14ac:dyDescent="0.25">
      <c r="AK6070" s="21">
        <f>_xll.qlCalendarAdvance(calendar,AK6069,"1D")</f>
        <v>51196</v>
      </c>
      <c r="AL6070" s="21">
        <f>_xll.qlInterestRateIndexValueDate(hiborindex,AK6070)</f>
        <v>51200</v>
      </c>
      <c r="AM6070" s="23">
        <f>_xll.qlIndexFixing(hiborindex,AK6070)</f>
        <v>8.4975548025777118E-3</v>
      </c>
    </row>
    <row r="6071" spans="37:39" x14ac:dyDescent="0.25">
      <c r="AK6071" s="21">
        <f>_xll.qlCalendarAdvance(calendar,AK6070,"1D")</f>
        <v>51197</v>
      </c>
      <c r="AL6071" s="21">
        <f>_xll.qlInterestRateIndexValueDate(hiborindex,AK6071)</f>
        <v>51201</v>
      </c>
      <c r="AM6071" s="23">
        <f>_xll.qlIndexFixing(hiborindex,AK6071)</f>
        <v>8.4960717714615396E-3</v>
      </c>
    </row>
    <row r="6072" spans="37:39" x14ac:dyDescent="0.25">
      <c r="AK6072" s="21">
        <f>_xll.qlCalendarAdvance(calendar,AK6071,"1D")</f>
        <v>51200</v>
      </c>
      <c r="AL6072" s="21">
        <f>_xll.qlInterestRateIndexValueDate(hiborindex,AK6072)</f>
        <v>51202</v>
      </c>
      <c r="AM6072" s="23">
        <f>_xll.qlIndexFixing(hiborindex,AK6072)</f>
        <v>8.4945883885532928E-3</v>
      </c>
    </row>
    <row r="6073" spans="37:39" x14ac:dyDescent="0.25">
      <c r="AK6073" s="21">
        <f>_xll.qlCalendarAdvance(calendar,AK6072,"1D")</f>
        <v>51201</v>
      </c>
      <c r="AL6073" s="21">
        <f>_xll.qlInterestRateIndexValueDate(hiborindex,AK6073)</f>
        <v>51203</v>
      </c>
      <c r="AM6073" s="23">
        <f>_xll.qlIndexFixing(hiborindex,AK6073)</f>
        <v>8.4914724036709525E-3</v>
      </c>
    </row>
    <row r="6074" spans="37:39" x14ac:dyDescent="0.25">
      <c r="AK6074" s="21">
        <f>_xll.qlCalendarAdvance(calendar,AK6073,"1D")</f>
        <v>51202</v>
      </c>
      <c r="AL6074" s="21">
        <f>_xll.qlInterestRateIndexValueDate(hiborindex,AK6074)</f>
        <v>51204</v>
      </c>
      <c r="AM6074" s="23">
        <f>_xll.qlIndexFixing(hiborindex,AK6074)</f>
        <v>8.4908075614371706E-3</v>
      </c>
    </row>
    <row r="6075" spans="37:39" x14ac:dyDescent="0.25">
      <c r="AK6075" s="21">
        <f>_xll.qlCalendarAdvance(calendar,AK6074,"1D")</f>
        <v>51203</v>
      </c>
      <c r="AL6075" s="21">
        <f>_xll.qlInterestRateIndexValueDate(hiborindex,AK6075)</f>
        <v>51207</v>
      </c>
      <c r="AM6075" s="23">
        <f>_xll.qlIndexFixing(hiborindex,AK6075)</f>
        <v>8.4871661971518079E-3</v>
      </c>
    </row>
    <row r="6076" spans="37:39" x14ac:dyDescent="0.25">
      <c r="AK6076" s="21">
        <f>_xll.qlCalendarAdvance(calendar,AK6075,"1D")</f>
        <v>51204</v>
      </c>
      <c r="AL6076" s="21">
        <f>_xll.qlInterestRateIndexValueDate(hiborindex,AK6076)</f>
        <v>51208</v>
      </c>
      <c r="AM6076" s="23">
        <f>_xll.qlIndexFixing(hiborindex,AK6076)</f>
        <v>8.4856807035045868E-3</v>
      </c>
    </row>
    <row r="6077" spans="37:39" x14ac:dyDescent="0.25">
      <c r="AK6077" s="21">
        <f>_xll.qlCalendarAdvance(calendar,AK6076,"1D")</f>
        <v>51207</v>
      </c>
      <c r="AL6077" s="21">
        <f>_xll.qlInterestRateIndexValueDate(hiborindex,AK6077)</f>
        <v>51209</v>
      </c>
      <c r="AM6077" s="23">
        <f>_xll.qlIndexFixing(hiborindex,AK6077)</f>
        <v>8.4841948580709394E-3</v>
      </c>
    </row>
    <row r="6078" spans="37:39" x14ac:dyDescent="0.25">
      <c r="AK6078" s="21">
        <f>_xll.qlCalendarAdvance(calendar,AK6077,"1D")</f>
        <v>51208</v>
      </c>
      <c r="AL6078" s="21">
        <f>_xll.qlInterestRateIndexValueDate(hiborindex,AK6078)</f>
        <v>51210</v>
      </c>
      <c r="AM6078" s="23">
        <f>_xll.qlIndexFixing(hiborindex,AK6078)</f>
        <v>8.4811894671953051E-3</v>
      </c>
    </row>
    <row r="6079" spans="37:39" x14ac:dyDescent="0.25">
      <c r="AK6079" s="21">
        <f>_xll.qlCalendarAdvance(calendar,AK6078,"1D")</f>
        <v>51209</v>
      </c>
      <c r="AL6079" s="21">
        <f>_xll.qlInterestRateIndexValueDate(hiborindex,AK6079)</f>
        <v>51211</v>
      </c>
      <c r="AM6079" s="23">
        <f>_xll.qlIndexFixing(hiborindex,AK6079)</f>
        <v>8.480465952977639E-3</v>
      </c>
    </row>
    <row r="6080" spans="37:39" x14ac:dyDescent="0.25">
      <c r="AK6080" s="21">
        <f>_xll.qlCalendarAdvance(calendar,AK6079,"1D")</f>
        <v>51210</v>
      </c>
      <c r="AL6080" s="21">
        <f>_xll.qlInterestRateIndexValueDate(hiborindex,AK6080)</f>
        <v>51214</v>
      </c>
      <c r="AM6080" s="23">
        <f>_xll.qlIndexFixing(hiborindex,AK6080)</f>
        <v>8.4767603541254267E-3</v>
      </c>
    </row>
    <row r="6081" spans="37:39" x14ac:dyDescent="0.25">
      <c r="AK6081" s="21">
        <f>_xll.qlCalendarAdvance(calendar,AK6080,"1D")</f>
        <v>51211</v>
      </c>
      <c r="AL6081" s="21">
        <f>_xll.qlInterestRateIndexValueDate(hiborindex,AK6081)</f>
        <v>51215</v>
      </c>
      <c r="AM6081" s="23">
        <f>_xll.qlIndexFixing(hiborindex,AK6081)</f>
        <v>8.4752723979866895E-3</v>
      </c>
    </row>
    <row r="6082" spans="37:39" x14ac:dyDescent="0.25">
      <c r="AK6082" s="21">
        <f>_xll.qlCalendarAdvance(calendar,AK6081,"1D")</f>
        <v>51214</v>
      </c>
      <c r="AL6082" s="21">
        <f>_xll.qlInterestRateIndexValueDate(hiborindex,AK6082)</f>
        <v>51216</v>
      </c>
      <c r="AM6082" s="23">
        <f>_xll.qlIndexFixing(hiborindex,AK6082)</f>
        <v>8.4737840900667404E-3</v>
      </c>
    </row>
    <row r="6083" spans="37:39" x14ac:dyDescent="0.25">
      <c r="AK6083" s="21">
        <f>_xll.qlCalendarAdvance(calendar,AK6082,"1D")</f>
        <v>51215</v>
      </c>
      <c r="AL6083" s="21">
        <f>_xll.qlInterestRateIndexValueDate(hiborindex,AK6083)</f>
        <v>51217</v>
      </c>
      <c r="AM6083" s="23">
        <f>_xll.qlIndexFixing(hiborindex,AK6083)</f>
        <v>8.4708894777812422E-3</v>
      </c>
    </row>
    <row r="6084" spans="37:39" x14ac:dyDescent="0.25">
      <c r="AK6084" s="21">
        <f>_xll.qlCalendarAdvance(calendar,AK6083,"1D")</f>
        <v>51216</v>
      </c>
      <c r="AL6084" s="21">
        <f>_xll.qlInterestRateIndexValueDate(hiborindex,AK6084)</f>
        <v>51218</v>
      </c>
      <c r="AM6084" s="23">
        <f>_xll.qlIndexFixing(hiborindex,AK6084)</f>
        <v>8.4701071998453999E-3</v>
      </c>
    </row>
    <row r="6085" spans="37:39" x14ac:dyDescent="0.25">
      <c r="AK6085" s="21">
        <f>_xll.qlCalendarAdvance(calendar,AK6084,"1D")</f>
        <v>51217</v>
      </c>
      <c r="AL6085" s="21">
        <f>_xll.qlInterestRateIndexValueDate(hiborindex,AK6085)</f>
        <v>51221</v>
      </c>
      <c r="AM6085" s="23">
        <f>_xll.qlIndexFixing(hiborindex,AK6085)</f>
        <v>8.4663372737735654E-3</v>
      </c>
    </row>
    <row r="6086" spans="37:39" x14ac:dyDescent="0.25">
      <c r="AK6086" s="21">
        <f>_xll.qlCalendarAdvance(calendar,AK6085,"1D")</f>
        <v>51218</v>
      </c>
      <c r="AL6086" s="21">
        <f>_xll.qlInterestRateIndexValueDate(hiborindex,AK6086)</f>
        <v>51222</v>
      </c>
      <c r="AM6086" s="23">
        <f>_xll.qlIndexFixing(hiborindex,AK6086)</f>
        <v>8.4648468551819789E-3</v>
      </c>
    </row>
    <row r="6087" spans="37:39" x14ac:dyDescent="0.25">
      <c r="AK6087" s="21">
        <f>_xll.qlCalendarAdvance(calendar,AK6086,"1D")</f>
        <v>51221</v>
      </c>
      <c r="AL6087" s="21">
        <f>_xll.qlInterestRateIndexValueDate(hiborindex,AK6087)</f>
        <v>51223</v>
      </c>
      <c r="AM6087" s="23">
        <f>_xll.qlIndexFixing(hiborindex,AK6087)</f>
        <v>8.463356084814827E-3</v>
      </c>
    </row>
    <row r="6088" spans="37:39" x14ac:dyDescent="0.25">
      <c r="AK6088" s="21">
        <f>_xll.qlCalendarAdvance(calendar,AK6087,"1D")</f>
        <v>51222</v>
      </c>
      <c r="AL6088" s="21">
        <f>_xll.qlInterestRateIndexValueDate(hiborindex,AK6088)</f>
        <v>51224</v>
      </c>
      <c r="AM6088" s="23">
        <f>_xll.qlIndexFixing(hiborindex,AK6088)</f>
        <v>8.4625235882202221E-3</v>
      </c>
    </row>
    <row r="6089" spans="37:39" x14ac:dyDescent="0.25">
      <c r="AK6089" s="21">
        <f>_xll.qlCalendarAdvance(calendar,AK6088,"1D")</f>
        <v>51223</v>
      </c>
      <c r="AL6089" s="21">
        <f>_xll.qlInterestRateIndexValueDate(hiborindex,AK6089)</f>
        <v>51229</v>
      </c>
      <c r="AM6089" s="23">
        <f>_xll.qlIndexFixing(hiborindex,AK6089)</f>
        <v>8.4550214703014194E-3</v>
      </c>
    </row>
    <row r="6090" spans="37:39" x14ac:dyDescent="0.25">
      <c r="AK6090" s="21">
        <f>_xll.qlCalendarAdvance(calendar,AK6089,"1D")</f>
        <v>51224</v>
      </c>
      <c r="AL6090" s="21">
        <f>_xll.qlInterestRateIndexValueDate(hiborindex,AK6090)</f>
        <v>51230</v>
      </c>
      <c r="AM6090" s="23">
        <f>_xll.qlIndexFixing(hiborindex,AK6090)</f>
        <v>8.4535199856625026E-3</v>
      </c>
    </row>
    <row r="6091" spans="37:39" x14ac:dyDescent="0.25">
      <c r="AK6091" s="21">
        <f>_xll.qlCalendarAdvance(calendar,AK6090,"1D")</f>
        <v>51229</v>
      </c>
      <c r="AL6091" s="21">
        <f>_xll.qlInterestRateIndexValueDate(hiborindex,AK6091)</f>
        <v>51231</v>
      </c>
      <c r="AM6091" s="23">
        <f>_xll.qlIndexFixing(hiborindex,AK6091)</f>
        <v>8.4520181473397276E-3</v>
      </c>
    </row>
    <row r="6092" spans="37:39" x14ac:dyDescent="0.25">
      <c r="AK6092" s="21">
        <f>_xll.qlCalendarAdvance(calendar,AK6091,"1D")</f>
        <v>51230</v>
      </c>
      <c r="AL6092" s="21">
        <f>_xll.qlInterestRateIndexValueDate(hiborindex,AK6092)</f>
        <v>51232</v>
      </c>
      <c r="AM6092" s="23">
        <f>_xll.qlIndexFixing(hiborindex,AK6092)</f>
        <v>8.4493382606555412E-3</v>
      </c>
    </row>
    <row r="6093" spans="37:39" x14ac:dyDescent="0.25">
      <c r="AK6093" s="21">
        <f>_xll.qlCalendarAdvance(calendar,AK6092,"1D")</f>
        <v>51231</v>
      </c>
      <c r="AL6093" s="21">
        <f>_xll.qlInterestRateIndexValueDate(hiborindex,AK6093)</f>
        <v>51235</v>
      </c>
      <c r="AM6093" s="23">
        <f>_xll.qlIndexFixing(hiborindex,AK6093)</f>
        <v>8.4460072572353825E-3</v>
      </c>
    </row>
    <row r="6094" spans="37:39" x14ac:dyDescent="0.25">
      <c r="AK6094" s="21">
        <f>_xll.qlCalendarAdvance(calendar,AK6093,"1D")</f>
        <v>51232</v>
      </c>
      <c r="AL6094" s="21">
        <f>_xll.qlInterestRateIndexValueDate(hiborindex,AK6094)</f>
        <v>51236</v>
      </c>
      <c r="AM6094" s="23">
        <f>_xll.qlIndexFixing(hiborindex,AK6094)</f>
        <v>8.4445036505094787E-3</v>
      </c>
    </row>
    <row r="6095" spans="37:39" x14ac:dyDescent="0.25">
      <c r="AK6095" s="21">
        <f>_xll.qlCalendarAdvance(calendar,AK6094,"1D")</f>
        <v>51235</v>
      </c>
      <c r="AL6095" s="21">
        <f>_xll.qlInterestRateIndexValueDate(hiborindex,AK6095)</f>
        <v>51237</v>
      </c>
      <c r="AM6095" s="23">
        <f>_xll.qlIndexFixing(hiborindex,AK6095)</f>
        <v>8.4429996901049589E-3</v>
      </c>
    </row>
    <row r="6096" spans="37:39" x14ac:dyDescent="0.25">
      <c r="AK6096" s="21">
        <f>_xll.qlCalendarAdvance(calendar,AK6095,"1D")</f>
        <v>51236</v>
      </c>
      <c r="AL6096" s="21">
        <f>_xll.qlInterestRateIndexValueDate(hiborindex,AK6096)</f>
        <v>51238</v>
      </c>
      <c r="AM6096" s="23">
        <f>_xll.qlIndexFixing(hiborindex,AK6096)</f>
        <v>8.4414953760226959E-3</v>
      </c>
    </row>
    <row r="6097" spans="37:39" x14ac:dyDescent="0.25">
      <c r="AK6097" s="21">
        <f>_xll.qlCalendarAdvance(calendar,AK6096,"1D")</f>
        <v>51237</v>
      </c>
      <c r="AL6097" s="21">
        <f>_xll.qlInterestRateIndexValueDate(hiborindex,AK6097)</f>
        <v>51239</v>
      </c>
      <c r="AM6097" s="23">
        <f>_xll.qlIndexFixing(hiborindex,AK6097)</f>
        <v>8.4389280751453778E-3</v>
      </c>
    </row>
    <row r="6098" spans="37:39" x14ac:dyDescent="0.25">
      <c r="AK6098" s="21">
        <f>_xll.qlCalendarAdvance(calendar,AK6097,"1D")</f>
        <v>51238</v>
      </c>
      <c r="AL6098" s="21">
        <f>_xll.qlInterestRateIndexValueDate(hiborindex,AK6098)</f>
        <v>51242</v>
      </c>
      <c r="AM6098" s="23">
        <f>_xll.qlIndexFixing(hiborindex,AK6098)</f>
        <v>8.4354745829354344E-3</v>
      </c>
    </row>
    <row r="6099" spans="37:39" x14ac:dyDescent="0.25">
      <c r="AK6099" s="21">
        <f>_xll.qlCalendarAdvance(calendar,AK6098,"1D")</f>
        <v>51239</v>
      </c>
      <c r="AL6099" s="21">
        <f>_xll.qlInterestRateIndexValueDate(hiborindex,AK6099)</f>
        <v>51243</v>
      </c>
      <c r="AM6099" s="23">
        <f>_xll.qlIndexFixing(hiborindex,AK6099)</f>
        <v>8.4339685004779993E-3</v>
      </c>
    </row>
    <row r="6100" spans="37:39" x14ac:dyDescent="0.25">
      <c r="AK6100" s="21">
        <f>_xll.qlCalendarAdvance(calendar,AK6099,"1D")</f>
        <v>51242</v>
      </c>
      <c r="AL6100" s="21">
        <f>_xll.qlInterestRateIndexValueDate(hiborindex,AK6100)</f>
        <v>51244</v>
      </c>
      <c r="AM6100" s="23">
        <f>_xll.qlIndexFixing(hiborindex,AK6100)</f>
        <v>8.4324620643476244E-3</v>
      </c>
    </row>
    <row r="6101" spans="37:39" x14ac:dyDescent="0.25">
      <c r="AK6101" s="21">
        <f>_xll.qlCalendarAdvance(calendar,AK6100,"1D")</f>
        <v>51243</v>
      </c>
      <c r="AL6101" s="21">
        <f>_xll.qlInterestRateIndexValueDate(hiborindex,AK6101)</f>
        <v>51245</v>
      </c>
      <c r="AM6101" s="23">
        <f>_xll.qlIndexFixing(hiborindex,AK6101)</f>
        <v>8.4309552745456227E-3</v>
      </c>
    </row>
    <row r="6102" spans="37:39" x14ac:dyDescent="0.25">
      <c r="AK6102" s="21">
        <f>_xll.qlCalendarAdvance(calendar,AK6101,"1D")</f>
        <v>51244</v>
      </c>
      <c r="AL6102" s="21">
        <f>_xll.qlInterestRateIndexValueDate(hiborindex,AK6102)</f>
        <v>51246</v>
      </c>
      <c r="AM6102" s="23">
        <f>_xll.qlIndexFixing(hiborindex,AK6102)</f>
        <v>8.4285007460578442E-3</v>
      </c>
    </row>
    <row r="6103" spans="37:39" x14ac:dyDescent="0.25">
      <c r="AK6103" s="21">
        <f>_xll.qlCalendarAdvance(calendar,AK6102,"1D")</f>
        <v>51245</v>
      </c>
      <c r="AL6103" s="21">
        <f>_xll.qlInterestRateIndexValueDate(hiborindex,AK6103)</f>
        <v>51249</v>
      </c>
      <c r="AM6103" s="23">
        <f>_xll.qlIndexFixing(hiborindex,AK6103)</f>
        <v>8.4249245786340091E-3</v>
      </c>
    </row>
    <row r="6104" spans="37:39" x14ac:dyDescent="0.25">
      <c r="AK6104" s="21">
        <f>_xll.qlCalendarAdvance(calendar,AK6103,"1D")</f>
        <v>51246</v>
      </c>
      <c r="AL6104" s="21">
        <f>_xll.qlInterestRateIndexValueDate(hiborindex,AK6104)</f>
        <v>51250</v>
      </c>
      <c r="AM6104" s="23">
        <f>_xll.qlIndexFixing(hiborindex,AK6104)</f>
        <v>8.4234160204847905E-3</v>
      </c>
    </row>
    <row r="6105" spans="37:39" x14ac:dyDescent="0.25">
      <c r="AK6105" s="21">
        <f>_xll.qlCalendarAdvance(calendar,AK6104,"1D")</f>
        <v>51249</v>
      </c>
      <c r="AL6105" s="21">
        <f>_xll.qlInterestRateIndexValueDate(hiborindex,AK6105)</f>
        <v>51251</v>
      </c>
      <c r="AM6105" s="23">
        <f>_xll.qlIndexFixing(hiborindex,AK6105)</f>
        <v>8.4219071086683132E-3</v>
      </c>
    </row>
    <row r="6106" spans="37:39" x14ac:dyDescent="0.25">
      <c r="AK6106" s="21">
        <f>_xll.qlCalendarAdvance(calendar,AK6105,"1D")</f>
        <v>51250</v>
      </c>
      <c r="AL6106" s="21">
        <f>_xll.qlInterestRateIndexValueDate(hiborindex,AK6106)</f>
        <v>51252</v>
      </c>
      <c r="AM6106" s="23">
        <f>_xll.qlIndexFixing(hiborindex,AK6106)</f>
        <v>8.4203978431858853E-3</v>
      </c>
    </row>
    <row r="6107" spans="37:39" x14ac:dyDescent="0.25">
      <c r="AK6107" s="21">
        <f>_xll.qlCalendarAdvance(calendar,AK6106,"1D")</f>
        <v>51251</v>
      </c>
      <c r="AL6107" s="21">
        <f>_xll.qlInterestRateIndexValueDate(hiborindex,AK6107)</f>
        <v>51253</v>
      </c>
      <c r="AM6107" s="23">
        <f>_xll.qlIndexFixing(hiborindex,AK6107)</f>
        <v>8.4180562736677518E-3</v>
      </c>
    </row>
    <row r="6108" spans="37:39" x14ac:dyDescent="0.25">
      <c r="AK6108" s="21">
        <f>_xll.qlCalendarAdvance(calendar,AK6107,"1D")</f>
        <v>51252</v>
      </c>
      <c r="AL6108" s="21">
        <f>_xll.qlInterestRateIndexValueDate(hiborindex,AK6108)</f>
        <v>51256</v>
      </c>
      <c r="AM6108" s="23">
        <f>_xll.qlIndexFixing(hiborindex,AK6108)</f>
        <v>8.4139633217630502E-3</v>
      </c>
    </row>
    <row r="6109" spans="37:39" x14ac:dyDescent="0.25">
      <c r="AK6109" s="21">
        <f>_xll.qlCalendarAdvance(calendar,AK6108,"1D")</f>
        <v>51253</v>
      </c>
      <c r="AL6109" s="21">
        <f>_xll.qlInterestRateIndexValueDate(hiborindex,AK6109)</f>
        <v>51258</v>
      </c>
      <c r="AM6109" s="23">
        <f>_xll.qlIndexFixing(hiborindex,AK6109)</f>
        <v>8.4109575094874472E-3</v>
      </c>
    </row>
    <row r="6110" spans="37:39" x14ac:dyDescent="0.25">
      <c r="AK6110" s="21">
        <f>_xll.qlCalendarAdvance(calendar,AK6109,"1D")</f>
        <v>51256</v>
      </c>
      <c r="AL6110" s="21">
        <f>_xll.qlInterestRateIndexValueDate(hiborindex,AK6110)</f>
        <v>51259</v>
      </c>
      <c r="AM6110" s="23">
        <f>_xll.qlIndexFixing(hiborindex,AK6110)</f>
        <v>8.4087314448256737E-3</v>
      </c>
    </row>
    <row r="6111" spans="37:39" x14ac:dyDescent="0.25">
      <c r="AK6111" s="21">
        <f>_xll.qlCalendarAdvance(calendar,AK6110,"1D")</f>
        <v>51258</v>
      </c>
      <c r="AL6111" s="21">
        <f>_xll.qlInterestRateIndexValueDate(hiborindex,AK6111)</f>
        <v>51260</v>
      </c>
      <c r="AM6111" s="23">
        <f>_xll.qlIndexFixing(hiborindex,AK6111)</f>
        <v>8.4075946582507673E-3</v>
      </c>
    </row>
    <row r="6112" spans="37:39" x14ac:dyDescent="0.25">
      <c r="AK6112" s="21">
        <f>_xll.qlCalendarAdvance(calendar,AK6111,"1D")</f>
        <v>51259</v>
      </c>
      <c r="AL6112" s="21">
        <f>_xll.qlInterestRateIndexValueDate(hiborindex,AK6112)</f>
        <v>51263</v>
      </c>
      <c r="AM6112" s="23">
        <f>_xll.qlIndexFixing(hiborindex,AK6112)</f>
        <v>8.4034368232449828E-3</v>
      </c>
    </row>
    <row r="6113" spans="37:39" x14ac:dyDescent="0.25">
      <c r="AK6113" s="21">
        <f>_xll.qlCalendarAdvance(calendar,AK6112,"1D")</f>
        <v>51260</v>
      </c>
      <c r="AL6113" s="21">
        <f>_xll.qlInterestRateIndexValueDate(hiborindex,AK6113)</f>
        <v>51264</v>
      </c>
      <c r="AM6113" s="23">
        <f>_xll.qlIndexFixing(hiborindex,AK6113)</f>
        <v>8.4019316307651967E-3</v>
      </c>
    </row>
    <row r="6114" spans="37:39" x14ac:dyDescent="0.25">
      <c r="AK6114" s="21">
        <f>_xll.qlCalendarAdvance(calendar,AK6113,"1D")</f>
        <v>51263</v>
      </c>
      <c r="AL6114" s="21">
        <f>_xll.qlInterestRateIndexValueDate(hiborindex,AK6114)</f>
        <v>51265</v>
      </c>
      <c r="AM6114" s="23">
        <f>_xll.qlIndexFixing(hiborindex,AK6114)</f>
        <v>8.4004260865432976E-3</v>
      </c>
    </row>
    <row r="6115" spans="37:39" x14ac:dyDescent="0.25">
      <c r="AK6115" s="21">
        <f>_xll.qlCalendarAdvance(calendar,AK6114,"1D")</f>
        <v>51264</v>
      </c>
      <c r="AL6115" s="21">
        <f>_xll.qlInterestRateIndexValueDate(hiborindex,AK6115)</f>
        <v>51266</v>
      </c>
      <c r="AM6115" s="23">
        <f>_xll.qlIndexFixing(hiborindex,AK6115)</f>
        <v>8.3983120924714331E-3</v>
      </c>
    </row>
    <row r="6116" spans="37:39" x14ac:dyDescent="0.25">
      <c r="AK6116" s="21">
        <f>_xll.qlCalendarAdvance(calendar,AK6115,"1D")</f>
        <v>51265</v>
      </c>
      <c r="AL6116" s="21">
        <f>_xll.qlInterestRateIndexValueDate(hiborindex,AK6116)</f>
        <v>51267</v>
      </c>
      <c r="AM6116" s="23">
        <f>_xll.qlIndexFixing(hiborindex,AK6116)</f>
        <v>8.3971159000825642E-3</v>
      </c>
    </row>
    <row r="6117" spans="37:39" x14ac:dyDescent="0.25">
      <c r="AK6117" s="21">
        <f>_xll.qlCalendarAdvance(calendar,AK6116,"1D")</f>
        <v>51266</v>
      </c>
      <c r="AL6117" s="21">
        <f>_xll.qlInterestRateIndexValueDate(hiborindex,AK6117)</f>
        <v>51270</v>
      </c>
      <c r="AM6117" s="23">
        <f>_xll.qlIndexFixing(hiborindex,AK6117)</f>
        <v>8.3928930893346736E-3</v>
      </c>
    </row>
    <row r="6118" spans="37:39" x14ac:dyDescent="0.25">
      <c r="AK6118" s="21">
        <f>_xll.qlCalendarAdvance(calendar,AK6117,"1D")</f>
        <v>51267</v>
      </c>
      <c r="AL6118" s="21">
        <f>_xll.qlInterestRateIndexValueDate(hiborindex,AK6118)</f>
        <v>51271</v>
      </c>
      <c r="AM6118" s="23">
        <f>_xll.qlIndexFixing(hiborindex,AK6118)</f>
        <v>8.3913854346779025E-3</v>
      </c>
    </row>
    <row r="6119" spans="37:39" x14ac:dyDescent="0.25">
      <c r="AK6119" s="21">
        <f>_xll.qlCalendarAdvance(calendar,AK6118,"1D")</f>
        <v>51270</v>
      </c>
      <c r="AL6119" s="21">
        <f>_xll.qlInterestRateIndexValueDate(hiborindex,AK6119)</f>
        <v>51272</v>
      </c>
      <c r="AM6119" s="23">
        <f>_xll.qlIndexFixing(hiborindex,AK6119)</f>
        <v>8.3898774282859696E-3</v>
      </c>
    </row>
    <row r="6120" spans="37:39" x14ac:dyDescent="0.25">
      <c r="AK6120" s="21">
        <f>_xll.qlCalendarAdvance(calendar,AK6119,"1D")</f>
        <v>51271</v>
      </c>
      <c r="AL6120" s="21">
        <f>_xll.qlInterestRateIndexValueDate(hiborindex,AK6120)</f>
        <v>51273</v>
      </c>
      <c r="AM6120" s="23">
        <f>_xll.qlIndexFixing(hiborindex,AK6120)</f>
        <v>8.387875689364126E-3</v>
      </c>
    </row>
    <row r="6121" spans="37:39" x14ac:dyDescent="0.25">
      <c r="AK6121" s="21">
        <f>_xll.qlCalendarAdvance(calendar,AK6120,"1D")</f>
        <v>51272</v>
      </c>
      <c r="AL6121" s="21">
        <f>_xll.qlInterestRateIndexValueDate(hiborindex,AK6121)</f>
        <v>51274</v>
      </c>
      <c r="AM6121" s="23">
        <f>_xll.qlIndexFixing(hiborindex,AK6121)</f>
        <v>8.386619999439248E-3</v>
      </c>
    </row>
    <row r="6122" spans="37:39" x14ac:dyDescent="0.25">
      <c r="AK6122" s="21">
        <f>_xll.qlCalendarAdvance(calendar,AK6121,"1D")</f>
        <v>51273</v>
      </c>
      <c r="AL6122" s="21">
        <f>_xll.qlInterestRateIndexValueDate(hiborindex,AK6122)</f>
        <v>51277</v>
      </c>
      <c r="AM6122" s="23">
        <f>_xll.qlIndexFixing(hiborindex,AK6122)</f>
        <v>8.3823321203101587E-3</v>
      </c>
    </row>
    <row r="6123" spans="37:39" x14ac:dyDescent="0.25">
      <c r="AK6123" s="21">
        <f>_xll.qlCalendarAdvance(calendar,AK6122,"1D")</f>
        <v>51274</v>
      </c>
      <c r="AL6123" s="21">
        <f>_xll.qlInterestRateIndexValueDate(hiborindex,AK6123)</f>
        <v>51278</v>
      </c>
      <c r="AM6123" s="23">
        <f>_xll.qlIndexFixing(hiborindex,AK6123)</f>
        <v>8.3808220035172399E-3</v>
      </c>
    </row>
    <row r="6124" spans="37:39" x14ac:dyDescent="0.25">
      <c r="AK6124" s="21">
        <f>_xll.qlCalendarAdvance(calendar,AK6123,"1D")</f>
        <v>51277</v>
      </c>
      <c r="AL6124" s="21">
        <f>_xll.qlInterestRateIndexValueDate(hiborindex,AK6124)</f>
        <v>51279</v>
      </c>
      <c r="AM6124" s="23">
        <f>_xll.qlIndexFixing(hiborindex,AK6124)</f>
        <v>8.3793115349943739E-3</v>
      </c>
    </row>
    <row r="6125" spans="37:39" x14ac:dyDescent="0.25">
      <c r="AK6125" s="21">
        <f>_xll.qlCalendarAdvance(calendar,AK6124,"1D")</f>
        <v>51278</v>
      </c>
      <c r="AL6125" s="21">
        <f>_xll.qlInterestRateIndexValueDate(hiborindex,AK6125)</f>
        <v>51280</v>
      </c>
      <c r="AM6125" s="23">
        <f>_xll.qlIndexFixing(hiborindex,AK6125)</f>
        <v>8.3774222357787982E-3</v>
      </c>
    </row>
    <row r="6126" spans="37:39" x14ac:dyDescent="0.25">
      <c r="AK6126" s="21">
        <f>_xll.qlCalendarAdvance(calendar,AK6125,"1D")</f>
        <v>51279</v>
      </c>
      <c r="AL6126" s="21">
        <f>_xll.qlInterestRateIndexValueDate(hiborindex,AK6126)</f>
        <v>51281</v>
      </c>
      <c r="AM6126" s="23">
        <f>_xll.qlIndexFixing(hiborindex,AK6126)</f>
        <v>8.3761069565982151E-3</v>
      </c>
    </row>
    <row r="6127" spans="37:39" x14ac:dyDescent="0.25">
      <c r="AK6127" s="21">
        <f>_xll.qlCalendarAdvance(calendar,AK6126,"1D")</f>
        <v>51280</v>
      </c>
      <c r="AL6127" s="21">
        <f>_xll.qlInterestRateIndexValueDate(hiborindex,AK6127)</f>
        <v>51284</v>
      </c>
      <c r="AM6127" s="23">
        <f>_xll.qlIndexFixing(hiborindex,AK6127)</f>
        <v>8.3717539164499099E-3</v>
      </c>
    </row>
    <row r="6128" spans="37:39" x14ac:dyDescent="0.25">
      <c r="AK6128" s="21">
        <f>_xll.qlCalendarAdvance(calendar,AK6127,"1D")</f>
        <v>51281</v>
      </c>
      <c r="AL6128" s="21">
        <f>_xll.qlInterestRateIndexValueDate(hiborindex,AK6128)</f>
        <v>51285</v>
      </c>
      <c r="AM6128" s="23">
        <f>_xll.qlIndexFixing(hiborindex,AK6128)</f>
        <v>8.3702413375608131E-3</v>
      </c>
    </row>
    <row r="6129" spans="37:39" x14ac:dyDescent="0.25">
      <c r="AK6129" s="21">
        <f>_xll.qlCalendarAdvance(calendar,AK6128,"1D")</f>
        <v>51284</v>
      </c>
      <c r="AL6129" s="21">
        <f>_xll.qlInterestRateIndexValueDate(hiborindex,AK6129)</f>
        <v>51286</v>
      </c>
      <c r="AM6129" s="23">
        <f>_xll.qlIndexFixing(hiborindex,AK6129)</f>
        <v>8.3687284069465465E-3</v>
      </c>
    </row>
    <row r="6130" spans="37:39" x14ac:dyDescent="0.25">
      <c r="AK6130" s="21">
        <f>_xll.qlCalendarAdvance(calendar,AK6129,"1D")</f>
        <v>51285</v>
      </c>
      <c r="AL6130" s="21">
        <f>_xll.qlInterestRateIndexValueDate(hiborindex,AK6130)</f>
        <v>51287</v>
      </c>
      <c r="AM6130" s="23">
        <f>_xll.qlIndexFixing(hiborindex,AK6130)</f>
        <v>8.3673507479181952E-3</v>
      </c>
    </row>
    <row r="6131" spans="37:39" x14ac:dyDescent="0.25">
      <c r="AK6131" s="21">
        <f>_xll.qlCalendarAdvance(calendar,AK6130,"1D")</f>
        <v>51286</v>
      </c>
      <c r="AL6131" s="21">
        <f>_xll.qlInterestRateIndexValueDate(hiborindex,AK6131)</f>
        <v>51288</v>
      </c>
      <c r="AM6131" s="23">
        <f>_xll.qlIndexFixing(hiborindex,AK6131)</f>
        <v>8.3655767718368666E-3</v>
      </c>
    </row>
    <row r="6132" spans="37:39" x14ac:dyDescent="0.25">
      <c r="AK6132" s="21">
        <f>_xll.qlCalendarAdvance(calendar,AK6131,"1D")</f>
        <v>51287</v>
      </c>
      <c r="AL6132" s="21">
        <f>_xll.qlInterestRateIndexValueDate(hiborindex,AK6132)</f>
        <v>51291</v>
      </c>
      <c r="AM6132" s="23">
        <f>_xll.qlIndexFixing(hiborindex,AK6132)</f>
        <v>8.3612606384129741E-3</v>
      </c>
    </row>
    <row r="6133" spans="37:39" x14ac:dyDescent="0.25">
      <c r="AK6133" s="21">
        <f>_xll.qlCalendarAdvance(calendar,AK6132,"1D")</f>
        <v>51288</v>
      </c>
      <c r="AL6133" s="21">
        <f>_xll.qlInterestRateIndexValueDate(hiborindex,AK6133)</f>
        <v>51292</v>
      </c>
      <c r="AM6133" s="23">
        <f>_xll.qlIndexFixing(hiborindex,AK6133)</f>
        <v>8.3597372269508582E-3</v>
      </c>
    </row>
    <row r="6134" spans="37:39" x14ac:dyDescent="0.25">
      <c r="AK6134" s="21">
        <f>_xll.qlCalendarAdvance(calendar,AK6133,"1D")</f>
        <v>51291</v>
      </c>
      <c r="AL6134" s="21">
        <f>_xll.qlInterestRateIndexValueDate(hiborindex,AK6134)</f>
        <v>51293</v>
      </c>
      <c r="AM6134" s="23">
        <f>_xll.qlIndexFixing(hiborindex,AK6134)</f>
        <v>8.3582134618559924E-3</v>
      </c>
    </row>
    <row r="6135" spans="37:39" x14ac:dyDescent="0.25">
      <c r="AK6135" s="21">
        <f>_xll.qlCalendarAdvance(calendar,AK6134,"1D")</f>
        <v>51292</v>
      </c>
      <c r="AL6135" s="21">
        <f>_xll.qlInterestRateIndexValueDate(hiborindex,AK6135)</f>
        <v>51294</v>
      </c>
      <c r="AM6135" s="23">
        <f>_xll.qlIndexFixing(hiborindex,AK6135)</f>
        <v>8.356689343129246E-3</v>
      </c>
    </row>
    <row r="6136" spans="37:39" x14ac:dyDescent="0.25">
      <c r="AK6136" s="21">
        <f>_xll.qlCalendarAdvance(calendar,AK6135,"1D")</f>
        <v>51293</v>
      </c>
      <c r="AL6136" s="21">
        <f>_xll.qlInterestRateIndexValueDate(hiborindex,AK6136)</f>
        <v>51295</v>
      </c>
      <c r="AM6136" s="23">
        <f>_xll.qlIndexFixing(hiborindex,AK6136)</f>
        <v>8.3550294454321702E-3</v>
      </c>
    </row>
    <row r="6137" spans="37:39" x14ac:dyDescent="0.25">
      <c r="AK6137" s="21">
        <f>_xll.qlCalendarAdvance(calendar,AK6136,"1D")</f>
        <v>51294</v>
      </c>
      <c r="AL6137" s="21">
        <f>_xll.qlInterestRateIndexValueDate(hiborindex,AK6137)</f>
        <v>51298</v>
      </c>
      <c r="AM6137" s="23">
        <f>_xll.qlIndexFixing(hiborindex,AK6137)</f>
        <v>8.3505893319192146E-3</v>
      </c>
    </row>
    <row r="6138" spans="37:39" x14ac:dyDescent="0.25">
      <c r="AK6138" s="21">
        <f>_xll.qlCalendarAdvance(calendar,AK6137,"1D")</f>
        <v>51295</v>
      </c>
      <c r="AL6138" s="21">
        <f>_xll.qlInterestRateIndexValueDate(hiborindex,AK6138)</f>
        <v>51299</v>
      </c>
      <c r="AM6138" s="23">
        <f>_xll.qlIndexFixing(hiborindex,AK6138)</f>
        <v>8.3490634450448745E-3</v>
      </c>
    </row>
    <row r="6139" spans="37:39" x14ac:dyDescent="0.25">
      <c r="AK6139" s="21">
        <f>_xll.qlCalendarAdvance(calendar,AK6138,"1D")</f>
        <v>51298</v>
      </c>
      <c r="AL6139" s="21">
        <f>_xll.qlInterestRateIndexValueDate(hiborindex,AK6139)</f>
        <v>51300</v>
      </c>
      <c r="AM6139" s="23">
        <f>_xll.qlIndexFixing(hiborindex,AK6139)</f>
        <v>8.3475372045438978E-3</v>
      </c>
    </row>
    <row r="6140" spans="37:39" x14ac:dyDescent="0.25">
      <c r="AK6140" s="21">
        <f>_xll.qlCalendarAdvance(calendar,AK6139,"1D")</f>
        <v>51299</v>
      </c>
      <c r="AL6140" s="21">
        <f>_xll.qlInterestRateIndexValueDate(hiborindex,AK6140)</f>
        <v>51301</v>
      </c>
      <c r="AM6140" s="23">
        <f>_xll.qlIndexFixing(hiborindex,AK6140)</f>
        <v>8.3460106104167216E-3</v>
      </c>
    </row>
    <row r="6141" spans="37:39" x14ac:dyDescent="0.25">
      <c r="AK6141" s="21">
        <f>_xll.qlCalendarAdvance(calendar,AK6140,"1D")</f>
        <v>51300</v>
      </c>
      <c r="AL6141" s="21">
        <f>_xll.qlInterestRateIndexValueDate(hiborindex,AK6141)</f>
        <v>51302</v>
      </c>
      <c r="AM6141" s="23">
        <f>_xll.qlIndexFixing(hiborindex,AK6141)</f>
        <v>8.3444649776623896E-3</v>
      </c>
    </row>
    <row r="6142" spans="37:39" x14ac:dyDescent="0.25">
      <c r="AK6142" s="21">
        <f>_xll.qlCalendarAdvance(calendar,AK6141,"1D")</f>
        <v>51301</v>
      </c>
      <c r="AL6142" s="21">
        <f>_xll.qlInterestRateIndexValueDate(hiborindex,AK6142)</f>
        <v>51305</v>
      </c>
      <c r="AM6142" s="23">
        <f>_xll.qlIndexFixing(hiborindex,AK6142)</f>
        <v>8.3399006976621858E-3</v>
      </c>
    </row>
    <row r="6143" spans="37:39" x14ac:dyDescent="0.25">
      <c r="AK6143" s="21">
        <f>_xll.qlCalendarAdvance(calendar,AK6142,"1D")</f>
        <v>51302</v>
      </c>
      <c r="AL6143" s="21">
        <f>_xll.qlInterestRateIndexValueDate(hiborindex,AK6143)</f>
        <v>51306</v>
      </c>
      <c r="AM6143" s="23">
        <f>_xll.qlIndexFixing(hiborindex,AK6143)</f>
        <v>8.3383723354166807E-3</v>
      </c>
    </row>
    <row r="6144" spans="37:39" x14ac:dyDescent="0.25">
      <c r="AK6144" s="21">
        <f>_xll.qlCalendarAdvance(calendar,AK6143,"1D")</f>
        <v>51305</v>
      </c>
      <c r="AL6144" s="21">
        <f>_xll.qlInterestRateIndexValueDate(hiborindex,AK6144)</f>
        <v>51307</v>
      </c>
      <c r="AM6144" s="23">
        <f>_xll.qlIndexFixing(hiborindex,AK6144)</f>
        <v>8.3368436195497813E-3</v>
      </c>
    </row>
    <row r="6145" spans="37:39" x14ac:dyDescent="0.25">
      <c r="AK6145" s="21">
        <f>_xll.qlCalendarAdvance(calendar,AK6144,"1D")</f>
        <v>51306</v>
      </c>
      <c r="AL6145" s="21">
        <f>_xll.qlInterestRateIndexValueDate(hiborindex,AK6145)</f>
        <v>51308</v>
      </c>
      <c r="AM6145" s="23">
        <f>_xll.qlIndexFixing(hiborindex,AK6145)</f>
        <v>8.3353145500619247E-3</v>
      </c>
    </row>
    <row r="6146" spans="37:39" x14ac:dyDescent="0.25">
      <c r="AK6146" s="21">
        <f>_xll.qlCalendarAdvance(calendar,AK6145,"1D")</f>
        <v>51307</v>
      </c>
      <c r="AL6146" s="21">
        <f>_xll.qlInterestRateIndexValueDate(hiborindex,AK6146)</f>
        <v>51309</v>
      </c>
      <c r="AM6146" s="23">
        <f>_xll.qlIndexFixing(hiborindex,AK6146)</f>
        <v>8.3338833688062202E-3</v>
      </c>
    </row>
    <row r="6147" spans="37:39" x14ac:dyDescent="0.25">
      <c r="AK6147" s="21">
        <f>_xll.qlCalendarAdvance(calendar,AK6146,"1D")</f>
        <v>51308</v>
      </c>
      <c r="AL6147" s="21">
        <f>_xll.qlInterestRateIndexValueDate(hiborindex,AK6147)</f>
        <v>51312</v>
      </c>
      <c r="AM6147" s="23">
        <f>_xll.qlIndexFixing(hiborindex,AK6147)</f>
        <v>8.3293431463803084E-3</v>
      </c>
    </row>
    <row r="6148" spans="37:39" x14ac:dyDescent="0.25">
      <c r="AK6148" s="21">
        <f>_xll.qlCalendarAdvance(calendar,AK6147,"1D")</f>
        <v>51309</v>
      </c>
      <c r="AL6148" s="21">
        <f>_xll.qlInterestRateIndexValueDate(hiborindex,AK6148)</f>
        <v>51313</v>
      </c>
      <c r="AM6148" s="23">
        <f>_xll.qlIndexFixing(hiborindex,AK6148)</f>
        <v>8.3277463313647312E-3</v>
      </c>
    </row>
    <row r="6149" spans="37:39" x14ac:dyDescent="0.25">
      <c r="AK6149" s="21">
        <f>_xll.qlCalendarAdvance(calendar,AK6148,"1D")</f>
        <v>51312</v>
      </c>
      <c r="AL6149" s="21">
        <f>_xll.qlInterestRateIndexValueDate(hiborindex,AK6149)</f>
        <v>51314</v>
      </c>
      <c r="AM6149" s="23">
        <f>_xll.qlIndexFixing(hiborindex,AK6149)</f>
        <v>8.3261327071549492E-3</v>
      </c>
    </row>
    <row r="6150" spans="37:39" x14ac:dyDescent="0.25">
      <c r="AK6150" s="21">
        <f>_xll.qlCalendarAdvance(calendar,AK6149,"1D")</f>
        <v>51313</v>
      </c>
      <c r="AL6150" s="21">
        <f>_xll.qlInterestRateIndexValueDate(hiborindex,AK6150)</f>
        <v>51315</v>
      </c>
      <c r="AM6150" s="23">
        <f>_xll.qlIndexFixing(hiborindex,AK6150)</f>
        <v>8.3246011623479069E-3</v>
      </c>
    </row>
    <row r="6151" spans="37:39" x14ac:dyDescent="0.25">
      <c r="AK6151" s="21">
        <f>_xll.qlCalendarAdvance(calendar,AK6150,"1D")</f>
        <v>51314</v>
      </c>
      <c r="AL6151" s="21">
        <f>_xll.qlInterestRateIndexValueDate(hiborindex,AK6151)</f>
        <v>51316</v>
      </c>
      <c r="AM6151" s="23">
        <f>_xll.qlIndexFixing(hiborindex,AK6151)</f>
        <v>8.323284619143223E-3</v>
      </c>
    </row>
    <row r="6152" spans="37:39" x14ac:dyDescent="0.25">
      <c r="AK6152" s="21">
        <f>_xll.qlCalendarAdvance(calendar,AK6151,"1D")</f>
        <v>51315</v>
      </c>
      <c r="AL6152" s="21">
        <f>_xll.qlInterestRateIndexValueDate(hiborindex,AK6152)</f>
        <v>51319</v>
      </c>
      <c r="AM6152" s="23">
        <f>_xll.qlIndexFixing(hiborindex,AK6152)</f>
        <v>8.3232465291047959E-3</v>
      </c>
    </row>
    <row r="6153" spans="37:39" x14ac:dyDescent="0.25">
      <c r="AK6153" s="21">
        <f>_xll.qlCalendarAdvance(calendar,AK6152,"1D")</f>
        <v>51316</v>
      </c>
      <c r="AL6153" s="21">
        <f>_xll.qlInterestRateIndexValueDate(hiborindex,AK6153)</f>
        <v>51320</v>
      </c>
      <c r="AM6153" s="23">
        <f>_xll.qlIndexFixing(hiborindex,AK6153)</f>
        <v>8.3232697252971534E-3</v>
      </c>
    </row>
    <row r="6154" spans="37:39" x14ac:dyDescent="0.25">
      <c r="AK6154" s="21">
        <f>_xll.qlCalendarAdvance(calendar,AK6153,"1D")</f>
        <v>51319</v>
      </c>
      <c r="AL6154" s="21">
        <f>_xll.qlInterestRateIndexValueDate(hiborindex,AK6154)</f>
        <v>51321</v>
      </c>
      <c r="AM6154" s="23">
        <f>_xll.qlIndexFixing(hiborindex,AK6154)</f>
        <v>8.3232929214899463E-3</v>
      </c>
    </row>
    <row r="6155" spans="37:39" x14ac:dyDescent="0.25">
      <c r="AK6155" s="21">
        <f>_xll.qlCalendarAdvance(calendar,AK6154,"1D")</f>
        <v>51320</v>
      </c>
      <c r="AL6155" s="21">
        <f>_xll.qlInterestRateIndexValueDate(hiborindex,AK6155)</f>
        <v>51322</v>
      </c>
      <c r="AM6155" s="23">
        <f>_xll.qlIndexFixing(hiborindex,AK6155)</f>
        <v>8.3235314833504919E-3</v>
      </c>
    </row>
    <row r="6156" spans="37:39" x14ac:dyDescent="0.25">
      <c r="AK6156" s="21">
        <f>_xll.qlCalendarAdvance(calendar,AK6155,"1D")</f>
        <v>51321</v>
      </c>
      <c r="AL6156" s="21">
        <f>_xll.qlInterestRateIndexValueDate(hiborindex,AK6156)</f>
        <v>51323</v>
      </c>
      <c r="AM6156" s="23">
        <f>_xll.qlIndexFixing(hiborindex,AK6156)</f>
        <v>8.3234469962387772E-3</v>
      </c>
    </row>
    <row r="6157" spans="37:39" x14ac:dyDescent="0.25">
      <c r="AK6157" s="21">
        <f>_xll.qlCalendarAdvance(calendar,AK6156,"1D")</f>
        <v>51322</v>
      </c>
      <c r="AL6157" s="21">
        <f>_xll.qlInterestRateIndexValueDate(hiborindex,AK6157)</f>
        <v>51326</v>
      </c>
      <c r="AM6157" s="23">
        <f>_xll.qlIndexFixing(hiborindex,AK6157)</f>
        <v>8.3234089024586885E-3</v>
      </c>
    </row>
    <row r="6158" spans="37:39" x14ac:dyDescent="0.25">
      <c r="AK6158" s="21">
        <f>_xll.qlCalendarAdvance(calendar,AK6157,"1D")</f>
        <v>51323</v>
      </c>
      <c r="AL6158" s="21">
        <f>_xll.qlInterestRateIndexValueDate(hiborindex,AK6158)</f>
        <v>51327</v>
      </c>
      <c r="AM6158" s="23">
        <f>_xll.qlIndexFixing(hiborindex,AK6158)</f>
        <v>8.3234320986532197E-3</v>
      </c>
    </row>
    <row r="6159" spans="37:39" x14ac:dyDescent="0.25">
      <c r="AK6159" s="21">
        <f>_xll.qlCalendarAdvance(calendar,AK6158,"1D")</f>
        <v>51326</v>
      </c>
      <c r="AL6159" s="21">
        <f>_xll.qlInterestRateIndexValueDate(hiborindex,AK6159)</f>
        <v>51328</v>
      </c>
      <c r="AM6159" s="23">
        <f>_xll.qlIndexFixing(hiborindex,AK6159)</f>
        <v>8.3234552948481845E-3</v>
      </c>
    </row>
    <row r="6160" spans="37:39" x14ac:dyDescent="0.25">
      <c r="AK6160" s="21">
        <f>_xll.qlCalendarAdvance(calendar,AK6159,"1D")</f>
        <v>51327</v>
      </c>
      <c r="AL6160" s="21">
        <f>_xll.qlInterestRateIndexValueDate(hiborindex,AK6160)</f>
        <v>51329</v>
      </c>
      <c r="AM6160" s="23">
        <f>_xll.qlIndexFixing(hiborindex,AK6160)</f>
        <v>8.3236938642046315E-3</v>
      </c>
    </row>
    <row r="6161" spans="37:39" x14ac:dyDescent="0.25">
      <c r="AK6161" s="21">
        <f>_xll.qlCalendarAdvance(calendar,AK6160,"1D")</f>
        <v>51328</v>
      </c>
      <c r="AL6161" s="21">
        <f>_xll.qlInterestRateIndexValueDate(hiborindex,AK6161)</f>
        <v>51330</v>
      </c>
      <c r="AM6161" s="23">
        <f>_xll.qlIndexFixing(hiborindex,AK6161)</f>
        <v>8.3236093733477252E-3</v>
      </c>
    </row>
    <row r="6162" spans="37:39" x14ac:dyDescent="0.25">
      <c r="AK6162" s="21">
        <f>_xll.qlCalendarAdvance(calendar,AK6161,"1D")</f>
        <v>51329</v>
      </c>
      <c r="AL6162" s="21">
        <f>_xll.qlInterestRateIndexValueDate(hiborindex,AK6162)</f>
        <v>51333</v>
      </c>
      <c r="AM6162" s="23">
        <f>_xll.qlIndexFixing(hiborindex,AK6162)</f>
        <v>8.3235712758260496E-3</v>
      </c>
    </row>
    <row r="6163" spans="37:39" x14ac:dyDescent="0.25">
      <c r="AK6163" s="21">
        <f>_xll.qlCalendarAdvance(calendar,AK6162,"1D")</f>
        <v>51330</v>
      </c>
      <c r="AL6163" s="21">
        <f>_xll.qlInterestRateIndexValueDate(hiborindex,AK6163)</f>
        <v>51334</v>
      </c>
      <c r="AM6163" s="23">
        <f>_xll.qlIndexFixing(hiborindex,AK6163)</f>
        <v>8.3235944720223172E-3</v>
      </c>
    </row>
    <row r="6164" spans="37:39" x14ac:dyDescent="0.25">
      <c r="AK6164" s="21">
        <f>_xll.qlCalendarAdvance(calendar,AK6163,"1D")</f>
        <v>51333</v>
      </c>
      <c r="AL6164" s="21">
        <f>_xll.qlInterestRateIndexValueDate(hiborindex,AK6164)</f>
        <v>51335</v>
      </c>
      <c r="AM6164" s="23">
        <f>_xll.qlIndexFixing(hiborindex,AK6164)</f>
        <v>8.3236176682190202E-3</v>
      </c>
    </row>
    <row r="6165" spans="37:39" x14ac:dyDescent="0.25">
      <c r="AK6165" s="21">
        <f>_xll.qlCalendarAdvance(calendar,AK6164,"1D")</f>
        <v>51334</v>
      </c>
      <c r="AL6165" s="21">
        <f>_xll.qlInterestRateIndexValueDate(hiborindex,AK6165)</f>
        <v>51336</v>
      </c>
      <c r="AM6165" s="23">
        <f>_xll.qlIndexFixing(hiborindex,AK6165)</f>
        <v>8.3238562450725223E-3</v>
      </c>
    </row>
    <row r="6166" spans="37:39" x14ac:dyDescent="0.25">
      <c r="AK6166" s="21">
        <f>_xll.qlCalendarAdvance(calendar,AK6165,"1D")</f>
        <v>51335</v>
      </c>
      <c r="AL6166" s="21">
        <f>_xll.qlInterestRateIndexValueDate(hiborindex,AK6166)</f>
        <v>51337</v>
      </c>
      <c r="AM6166" s="23">
        <f>_xll.qlIndexFixing(hiborindex,AK6166)</f>
        <v>8.3237717504700669E-3</v>
      </c>
    </row>
    <row r="6167" spans="37:39" x14ac:dyDescent="0.25">
      <c r="AK6167" s="21">
        <f>_xll.qlCalendarAdvance(calendar,AK6166,"1D")</f>
        <v>51336</v>
      </c>
      <c r="AL6167" s="21">
        <f>_xll.qlInterestRateIndexValueDate(hiborindex,AK6167)</f>
        <v>51340</v>
      </c>
      <c r="AM6167" s="23">
        <f>_xll.qlIndexFixing(hiborindex,AK6167)</f>
        <v>8.323733649207311E-3</v>
      </c>
    </row>
    <row r="6168" spans="37:39" x14ac:dyDescent="0.25">
      <c r="AK6168" s="21">
        <f>_xll.qlCalendarAdvance(calendar,AK6167,"1D")</f>
        <v>51337</v>
      </c>
      <c r="AL6168" s="21">
        <f>_xll.qlInterestRateIndexValueDate(hiborindex,AK6168)</f>
        <v>51341</v>
      </c>
      <c r="AM6168" s="23">
        <f>_xll.qlIndexFixing(hiborindex,AK6168)</f>
        <v>8.3237568454053168E-3</v>
      </c>
    </row>
    <row r="6169" spans="37:39" x14ac:dyDescent="0.25">
      <c r="AK6169" s="21">
        <f>_xll.qlCalendarAdvance(calendar,AK6168,"1D")</f>
        <v>51340</v>
      </c>
      <c r="AL6169" s="21">
        <f>_xll.qlInterestRateIndexValueDate(hiborindex,AK6169)</f>
        <v>51342</v>
      </c>
      <c r="AM6169" s="23">
        <f>_xll.qlIndexFixing(hiborindex,AK6169)</f>
        <v>8.3237800416041917E-3</v>
      </c>
    </row>
    <row r="6170" spans="37:39" x14ac:dyDescent="0.25">
      <c r="AK6170" s="21">
        <f>_xll.qlCalendarAdvance(calendar,AK6169,"1D")</f>
        <v>51341</v>
      </c>
      <c r="AL6170" s="21">
        <f>_xll.qlInterestRateIndexValueDate(hiborindex,AK6170)</f>
        <v>51343</v>
      </c>
      <c r="AM6170" s="23">
        <f>_xll.qlIndexFixing(hiborindex,AK6170)</f>
        <v>8.3240186259541677E-3</v>
      </c>
    </row>
    <row r="6171" spans="37:39" x14ac:dyDescent="0.25">
      <c r="AK6171" s="21">
        <f>_xll.qlCalendarAdvance(calendar,AK6170,"1D")</f>
        <v>51342</v>
      </c>
      <c r="AL6171" s="21">
        <f>_xll.qlInterestRateIndexValueDate(hiborindex,AK6171)</f>
        <v>51344</v>
      </c>
      <c r="AM6171" s="23">
        <f>_xll.qlIndexFixing(hiborindex,AK6171)</f>
        <v>8.3239341276062362E-3</v>
      </c>
    </row>
    <row r="6172" spans="37:39" x14ac:dyDescent="0.25">
      <c r="AK6172" s="21">
        <f>_xll.qlCalendarAdvance(calendar,AK6171,"1D")</f>
        <v>51343</v>
      </c>
      <c r="AL6172" s="21">
        <f>_xll.qlInterestRateIndexValueDate(hiborindex,AK6172)</f>
        <v>51347</v>
      </c>
      <c r="AM6172" s="23">
        <f>_xll.qlIndexFixing(hiborindex,AK6172)</f>
        <v>8.3238960226016071E-3</v>
      </c>
    </row>
    <row r="6173" spans="37:39" x14ac:dyDescent="0.25">
      <c r="AK6173" s="21">
        <f>_xll.qlCalendarAdvance(calendar,AK6172,"1D")</f>
        <v>51344</v>
      </c>
      <c r="AL6173" s="21">
        <f>_xll.qlInterestRateIndexValueDate(hiborindex,AK6173)</f>
        <v>51348</v>
      </c>
      <c r="AM6173" s="23">
        <f>_xll.qlIndexFixing(hiborindex,AK6173)</f>
        <v>8.3239192188017848E-3</v>
      </c>
    </row>
    <row r="6174" spans="37:39" x14ac:dyDescent="0.25">
      <c r="AK6174" s="21">
        <f>_xll.qlCalendarAdvance(calendar,AK6173,"1D")</f>
        <v>51347</v>
      </c>
      <c r="AL6174" s="21">
        <f>_xll.qlInterestRateIndexValueDate(hiborindex,AK6174)</f>
        <v>51349</v>
      </c>
      <c r="AM6174" s="23">
        <f>_xll.qlIndexFixing(hiborindex,AK6174)</f>
        <v>8.3239424150023979E-3</v>
      </c>
    </row>
    <row r="6175" spans="37:39" x14ac:dyDescent="0.25">
      <c r="AK6175" s="21">
        <f>_xll.qlCalendarAdvance(calendar,AK6174,"1D")</f>
        <v>51348</v>
      </c>
      <c r="AL6175" s="21">
        <f>_xll.qlInterestRateIndexValueDate(hiborindex,AK6175)</f>
        <v>51350</v>
      </c>
      <c r="AM6175" s="23">
        <f>_xll.qlIndexFixing(hiborindex,AK6175)</f>
        <v>8.324181006849134E-3</v>
      </c>
    </row>
    <row r="6176" spans="37:39" x14ac:dyDescent="0.25">
      <c r="AK6176" s="21">
        <f>_xll.qlCalendarAdvance(calendar,AK6175,"1D")</f>
        <v>51349</v>
      </c>
      <c r="AL6176" s="21">
        <f>_xll.qlInterestRateIndexValueDate(hiborindex,AK6176)</f>
        <v>51351</v>
      </c>
      <c r="AM6176" s="23">
        <f>_xll.qlIndexFixing(hiborindex,AK6176)</f>
        <v>8.324096504755369E-3</v>
      </c>
    </row>
    <row r="6177" spans="37:39" x14ac:dyDescent="0.25">
      <c r="AK6177" s="21">
        <f>_xll.qlCalendarAdvance(calendar,AK6176,"1D")</f>
        <v>51350</v>
      </c>
      <c r="AL6177" s="21">
        <f>_xll.qlInterestRateIndexValueDate(hiborindex,AK6177)</f>
        <v>51354</v>
      </c>
      <c r="AM6177" s="23">
        <f>_xll.qlIndexFixing(hiborindex,AK6177)</f>
        <v>8.3240583960093699E-3</v>
      </c>
    </row>
    <row r="6178" spans="37:39" x14ac:dyDescent="0.25">
      <c r="AK6178" s="21">
        <f>_xll.qlCalendarAdvance(calendar,AK6177,"1D")</f>
        <v>51351</v>
      </c>
      <c r="AL6178" s="21">
        <f>_xll.qlInterestRateIndexValueDate(hiborindex,AK6178)</f>
        <v>51355</v>
      </c>
      <c r="AM6178" s="23">
        <f>_xll.qlIndexFixing(hiborindex,AK6178)</f>
        <v>8.3240815922117194E-3</v>
      </c>
    </row>
    <row r="6179" spans="37:39" x14ac:dyDescent="0.25">
      <c r="AK6179" s="21">
        <f>_xll.qlCalendarAdvance(calendar,AK6178,"1D")</f>
        <v>51354</v>
      </c>
      <c r="AL6179" s="21">
        <f>_xll.qlInterestRateIndexValueDate(hiborindex,AK6179)</f>
        <v>51356</v>
      </c>
      <c r="AM6179" s="23">
        <f>_xll.qlIndexFixing(hiborindex,AK6179)</f>
        <v>8.3241047884136353E-3</v>
      </c>
    </row>
    <row r="6180" spans="37:39" x14ac:dyDescent="0.25">
      <c r="AK6180" s="21">
        <f>_xll.qlCalendarAdvance(calendar,AK6179,"1D")</f>
        <v>51355</v>
      </c>
      <c r="AL6180" s="21">
        <f>_xll.qlInterestRateIndexValueDate(hiborindex,AK6180)</f>
        <v>51357</v>
      </c>
      <c r="AM6180" s="23">
        <f>_xll.qlIndexFixing(hiborindex,AK6180)</f>
        <v>8.3243433877578533E-3</v>
      </c>
    </row>
    <row r="6181" spans="37:39" x14ac:dyDescent="0.25">
      <c r="AK6181" s="21">
        <f>_xll.qlCalendarAdvance(calendar,AK6180,"1D")</f>
        <v>51356</v>
      </c>
      <c r="AL6181" s="21">
        <f>_xll.qlInterestRateIndexValueDate(hiborindex,AK6181)</f>
        <v>51358</v>
      </c>
      <c r="AM6181" s="23">
        <f>_xll.qlIndexFixing(hiborindex,AK6181)</f>
        <v>8.3242588819183276E-3</v>
      </c>
    </row>
    <row r="6182" spans="37:39" x14ac:dyDescent="0.25">
      <c r="AK6182" s="21">
        <f>_xll.qlCalendarAdvance(calendar,AK6181,"1D")</f>
        <v>51357</v>
      </c>
      <c r="AL6182" s="21">
        <f>_xll.qlInterestRateIndexValueDate(hiborindex,AK6182)</f>
        <v>51361</v>
      </c>
      <c r="AM6182" s="23">
        <f>_xll.qlIndexFixing(hiborindex,AK6182)</f>
        <v>8.3242207694301656E-3</v>
      </c>
    </row>
    <row r="6183" spans="37:39" x14ac:dyDescent="0.25">
      <c r="AK6183" s="21">
        <f>_xll.qlCalendarAdvance(calendar,AK6182,"1D")</f>
        <v>51358</v>
      </c>
      <c r="AL6183" s="21">
        <f>_xll.qlInterestRateIndexValueDate(hiborindex,AK6183)</f>
        <v>51362</v>
      </c>
      <c r="AM6183" s="23">
        <f>_xll.qlIndexFixing(hiborindex,AK6183)</f>
        <v>8.3242439656342534E-3</v>
      </c>
    </row>
    <row r="6184" spans="37:39" x14ac:dyDescent="0.25">
      <c r="AK6184" s="21">
        <f>_xll.qlCalendarAdvance(calendar,AK6183,"1D")</f>
        <v>51361</v>
      </c>
      <c r="AL6184" s="21">
        <f>_xll.qlInterestRateIndexValueDate(hiborindex,AK6184)</f>
        <v>51363</v>
      </c>
      <c r="AM6184" s="23">
        <f>_xll.qlIndexFixing(hiborindex,AK6184)</f>
        <v>8.3242671618392102E-3</v>
      </c>
    </row>
    <row r="6185" spans="37:39" x14ac:dyDescent="0.25">
      <c r="AK6185" s="21">
        <f>_xll.qlCalendarAdvance(calendar,AK6184,"1D")</f>
        <v>51362</v>
      </c>
      <c r="AL6185" s="21">
        <f>_xll.qlInterestRateIndexValueDate(hiborindex,AK6185)</f>
        <v>51364</v>
      </c>
      <c r="AM6185" s="23">
        <f>_xll.qlIndexFixing(hiborindex,AK6185)</f>
        <v>8.3245057686798952E-3</v>
      </c>
    </row>
    <row r="6186" spans="37:39" x14ac:dyDescent="0.25">
      <c r="AK6186" s="21">
        <f>_xll.qlCalendarAdvance(calendar,AK6185,"1D")</f>
        <v>51363</v>
      </c>
      <c r="AL6186" s="21">
        <f>_xll.qlInterestRateIndexValueDate(hiborindex,AK6186)</f>
        <v>51365</v>
      </c>
      <c r="AM6186" s="23">
        <f>_xll.qlIndexFixing(hiborindex,AK6186)</f>
        <v>8.3244212590951137E-3</v>
      </c>
    </row>
    <row r="6187" spans="37:39" x14ac:dyDescent="0.25">
      <c r="AK6187" s="21">
        <f>_xll.qlCalendarAdvance(calendar,AK6186,"1D")</f>
        <v>51364</v>
      </c>
      <c r="AL6187" s="21">
        <f>_xll.qlInterestRateIndexValueDate(hiborindex,AK6187)</f>
        <v>51368</v>
      </c>
      <c r="AM6187" s="23">
        <f>_xll.qlIndexFixing(hiborindex,AK6187)</f>
        <v>8.3243831428648635E-3</v>
      </c>
    </row>
    <row r="6188" spans="37:39" x14ac:dyDescent="0.25">
      <c r="AK6188" s="21">
        <f>_xll.qlCalendarAdvance(calendar,AK6187,"1D")</f>
        <v>51365</v>
      </c>
      <c r="AL6188" s="21">
        <f>_xll.qlInterestRateIndexValueDate(hiborindex,AK6188)</f>
        <v>51369</v>
      </c>
      <c r="AM6188" s="23">
        <f>_xll.qlIndexFixing(hiborindex,AK6188)</f>
        <v>8.3244063390711231E-3</v>
      </c>
    </row>
    <row r="6189" spans="37:39" x14ac:dyDescent="0.25">
      <c r="AK6189" s="21">
        <f>_xll.qlCalendarAdvance(calendar,AK6188,"1D")</f>
        <v>51368</v>
      </c>
      <c r="AL6189" s="21">
        <f>_xll.qlInterestRateIndexValueDate(hiborindex,AK6189)</f>
        <v>51370</v>
      </c>
      <c r="AM6189" s="23">
        <f>_xll.qlIndexFixing(hiborindex,AK6189)</f>
        <v>8.3244295352773844E-3</v>
      </c>
    </row>
    <row r="6190" spans="37:39" x14ac:dyDescent="0.25">
      <c r="AK6190" s="21">
        <f>_xll.qlCalendarAdvance(calendar,AK6189,"1D")</f>
        <v>51369</v>
      </c>
      <c r="AL6190" s="21">
        <f>_xll.qlInterestRateIndexValueDate(hiborindex,AK6190)</f>
        <v>51371</v>
      </c>
      <c r="AM6190" s="23">
        <f>_xll.qlIndexFixing(hiborindex,AK6190)</f>
        <v>8.32466814961569E-3</v>
      </c>
    </row>
    <row r="6191" spans="37:39" x14ac:dyDescent="0.25">
      <c r="AK6191" s="21">
        <f>_xll.qlCalendarAdvance(calendar,AK6190,"1D")</f>
        <v>51370</v>
      </c>
      <c r="AL6191" s="21">
        <f>_xll.qlInterestRateIndexValueDate(hiborindex,AK6191)</f>
        <v>51372</v>
      </c>
      <c r="AM6191" s="23">
        <f>_xll.qlIndexFixing(hiborindex,AK6191)</f>
        <v>8.3245836362848616E-3</v>
      </c>
    </row>
    <row r="6192" spans="37:39" x14ac:dyDescent="0.25">
      <c r="AK6192" s="21">
        <f>_xll.qlCalendarAdvance(calendar,AK6191,"1D")</f>
        <v>51371</v>
      </c>
      <c r="AL6192" s="21">
        <f>_xll.qlInterestRateIndexValueDate(hiborindex,AK6192)</f>
        <v>51375</v>
      </c>
      <c r="AM6192" s="23">
        <f>_xll.qlIndexFixing(hiborindex,AK6192)</f>
        <v>8.3245455163134634E-3</v>
      </c>
    </row>
    <row r="6193" spans="37:39" x14ac:dyDescent="0.25">
      <c r="AK6193" s="21">
        <f>_xll.qlCalendarAdvance(calendar,AK6192,"1D")</f>
        <v>51372</v>
      </c>
      <c r="AL6193" s="21">
        <f>_xll.qlInterestRateIndexValueDate(hiborindex,AK6193)</f>
        <v>51376</v>
      </c>
      <c r="AM6193" s="23">
        <f>_xll.qlIndexFixing(hiborindex,AK6193)</f>
        <v>8.3245687125210275E-3</v>
      </c>
    </row>
    <row r="6194" spans="37:39" x14ac:dyDescent="0.25">
      <c r="AK6194" s="21">
        <f>_xll.qlCalendarAdvance(calendar,AK6193,"1D")</f>
        <v>51375</v>
      </c>
      <c r="AL6194" s="21">
        <f>_xll.qlInterestRateIndexValueDate(hiborindex,AK6194)</f>
        <v>51377</v>
      </c>
      <c r="AM6194" s="23">
        <f>_xll.qlIndexFixing(hiborindex,AK6194)</f>
        <v>8.3244841994726763E-3</v>
      </c>
    </row>
    <row r="6195" spans="37:39" x14ac:dyDescent="0.25">
      <c r="AK6195" s="21">
        <f>_xll.qlCalendarAdvance(calendar,AK6194,"1D")</f>
        <v>51376</v>
      </c>
      <c r="AL6195" s="21">
        <f>_xll.qlInterestRateIndexValueDate(hiborindex,AK6195)</f>
        <v>51378</v>
      </c>
      <c r="AM6195" s="23">
        <f>_xll.qlIndexFixing(hiborindex,AK6195)</f>
        <v>8.3243996873680545E-3</v>
      </c>
    </row>
    <row r="6196" spans="37:39" x14ac:dyDescent="0.25">
      <c r="AK6196" s="21">
        <f>_xll.qlCalendarAdvance(calendar,AK6195,"1D")</f>
        <v>51377</v>
      </c>
      <c r="AL6196" s="21">
        <f>_xll.qlInterestRateIndexValueDate(hiborindex,AK6196)</f>
        <v>51379</v>
      </c>
      <c r="AM6196" s="23">
        <f>_xll.qlIndexFixing(hiborindex,AK6196)</f>
        <v>8.3243151762073513E-3</v>
      </c>
    </row>
    <row r="6197" spans="37:39" x14ac:dyDescent="0.25">
      <c r="AK6197" s="21">
        <f>_xll.qlCalendarAdvance(calendar,AK6196,"1D")</f>
        <v>51378</v>
      </c>
      <c r="AL6197" s="21">
        <f>_xll.qlInterestRateIndexValueDate(hiborindex,AK6197)</f>
        <v>51382</v>
      </c>
      <c r="AM6197" s="23">
        <f>_xll.qlIndexFixing(hiborindex,AK6197)</f>
        <v>8.3244924679218447E-3</v>
      </c>
    </row>
    <row r="6198" spans="37:39" x14ac:dyDescent="0.25">
      <c r="AK6198" s="21">
        <f>_xll.qlCalendarAdvance(calendar,AK6197,"1D")</f>
        <v>51379</v>
      </c>
      <c r="AL6198" s="21">
        <f>_xll.qlInterestRateIndexValueDate(hiborindex,AK6198)</f>
        <v>51383</v>
      </c>
      <c r="AM6198" s="23">
        <f>_xll.qlIndexFixing(hiborindex,AK6198)</f>
        <v>8.3244079546203695E-3</v>
      </c>
    </row>
    <row r="6199" spans="37:39" x14ac:dyDescent="0.25">
      <c r="AK6199" s="21">
        <f>_xll.qlCalendarAdvance(calendar,AK6198,"1D")</f>
        <v>51382</v>
      </c>
      <c r="AL6199" s="21">
        <f>_xll.qlInterestRateIndexValueDate(hiborindex,AK6199)</f>
        <v>51384</v>
      </c>
      <c r="AM6199" s="23">
        <f>_xll.qlIndexFixing(hiborindex,AK6199)</f>
        <v>8.3244311492246172E-3</v>
      </c>
    </row>
    <row r="6200" spans="37:39" x14ac:dyDescent="0.25">
      <c r="AK6200" s="21">
        <f>_xll.qlCalendarAdvance(calendar,AK6199,"1D")</f>
        <v>51383</v>
      </c>
      <c r="AL6200" s="21">
        <f>_xll.qlInterestRateIndexValueDate(hiborindex,AK6200)</f>
        <v>51385</v>
      </c>
      <c r="AM6200" s="23">
        <f>_xll.qlIndexFixing(hiborindex,AK6200)</f>
        <v>8.3244543438288666E-3</v>
      </c>
    </row>
    <row r="6201" spans="37:39" x14ac:dyDescent="0.25">
      <c r="AK6201" s="21">
        <f>_xll.qlCalendarAdvance(calendar,AK6200,"1D")</f>
        <v>51384</v>
      </c>
      <c r="AL6201" s="21">
        <f>_xll.qlInterestRateIndexValueDate(hiborindex,AK6201)</f>
        <v>51386</v>
      </c>
      <c r="AM6201" s="23">
        <f>_xll.qlIndexFixing(hiborindex,AK6201)</f>
        <v>8.3244775384331143E-3</v>
      </c>
    </row>
    <row r="6202" spans="37:39" x14ac:dyDescent="0.25">
      <c r="AK6202" s="21">
        <f>_xll.qlCalendarAdvance(calendar,AK6201,"1D")</f>
        <v>51385</v>
      </c>
      <c r="AL6202" s="21">
        <f>_xll.qlInterestRateIndexValueDate(hiborindex,AK6202)</f>
        <v>51389</v>
      </c>
      <c r="AM6202" s="23">
        <f>_xll.qlIndexFixing(hiborindex,AK6202)</f>
        <v>8.3246548339009682E-3</v>
      </c>
    </row>
    <row r="6203" spans="37:39" x14ac:dyDescent="0.25">
      <c r="AK6203" s="21">
        <f>_xll.qlCalendarAdvance(calendar,AK6202,"1D")</f>
        <v>51386</v>
      </c>
      <c r="AL6203" s="21">
        <f>_xll.qlInterestRateIndexValueDate(hiborindex,AK6203)</f>
        <v>51390</v>
      </c>
      <c r="AM6203" s="23">
        <f>_xll.qlIndexFixing(hiborindex,AK6203)</f>
        <v>8.3245703168545234E-3</v>
      </c>
    </row>
    <row r="6204" spans="37:39" x14ac:dyDescent="0.25">
      <c r="AK6204" s="21">
        <f>_xll.qlCalendarAdvance(calendar,AK6203,"1D")</f>
        <v>51389</v>
      </c>
      <c r="AL6204" s="21">
        <f>_xll.qlInterestRateIndexValueDate(hiborindex,AK6204)</f>
        <v>51391</v>
      </c>
      <c r="AM6204" s="23">
        <f>_xll.qlIndexFixing(hiborindex,AK6204)</f>
        <v>8.3245935114600964E-3</v>
      </c>
    </row>
    <row r="6205" spans="37:39" x14ac:dyDescent="0.25">
      <c r="AK6205" s="21">
        <f>_xll.qlCalendarAdvance(calendar,AK6204,"1D")</f>
        <v>51390</v>
      </c>
      <c r="AL6205" s="21">
        <f>_xll.qlInterestRateIndexValueDate(hiborindex,AK6205)</f>
        <v>51392</v>
      </c>
      <c r="AM6205" s="23">
        <f>_xll.qlIndexFixing(hiborindex,AK6205)</f>
        <v>8.3246167060661118E-3</v>
      </c>
    </row>
    <row r="6206" spans="37:39" x14ac:dyDescent="0.25">
      <c r="AK6206" s="21">
        <f>_xll.qlCalendarAdvance(calendar,AK6205,"1D")</f>
        <v>51391</v>
      </c>
      <c r="AL6206" s="21">
        <f>_xll.qlInterestRateIndexValueDate(hiborindex,AK6206)</f>
        <v>51393</v>
      </c>
      <c r="AM6206" s="23">
        <f>_xll.qlIndexFixing(hiborindex,AK6206)</f>
        <v>8.3246399006730101E-3</v>
      </c>
    </row>
    <row r="6207" spans="37:39" x14ac:dyDescent="0.25">
      <c r="AK6207" s="21">
        <f>_xll.qlCalendarAdvance(calendar,AK6206,"1D")</f>
        <v>51392</v>
      </c>
      <c r="AL6207" s="21">
        <f>_xll.qlInterestRateIndexValueDate(hiborindex,AK6207)</f>
        <v>51396</v>
      </c>
      <c r="AM6207" s="23">
        <f>_xll.qlIndexFixing(hiborindex,AK6207)</f>
        <v>8.3248171998941464E-3</v>
      </c>
    </row>
    <row r="6208" spans="37:39" x14ac:dyDescent="0.25">
      <c r="AK6208" s="21">
        <f>_xll.qlCalendarAdvance(calendar,AK6207,"1D")</f>
        <v>51393</v>
      </c>
      <c r="AL6208" s="21">
        <f>_xll.qlInterestRateIndexValueDate(hiborindex,AK6208)</f>
        <v>51397</v>
      </c>
      <c r="AM6208" s="23">
        <f>_xll.qlIndexFixing(hiborindex,AK6208)</f>
        <v>8.3247326791010441E-3</v>
      </c>
    </row>
    <row r="6209" spans="37:39" x14ac:dyDescent="0.25">
      <c r="AK6209" s="21">
        <f>_xll.qlCalendarAdvance(calendar,AK6208,"1D")</f>
        <v>51396</v>
      </c>
      <c r="AL6209" s="21">
        <f>_xll.qlInterestRateIndexValueDate(hiborindex,AK6209)</f>
        <v>51398</v>
      </c>
      <c r="AM6209" s="23">
        <f>_xll.qlIndexFixing(hiborindex,AK6209)</f>
        <v>8.3247558737092678E-3</v>
      </c>
    </row>
    <row r="6210" spans="37:39" x14ac:dyDescent="0.25">
      <c r="AK6210" s="21">
        <f>_xll.qlCalendarAdvance(calendar,AK6209,"1D")</f>
        <v>51397</v>
      </c>
      <c r="AL6210" s="21">
        <f>_xll.qlInterestRateIndexValueDate(hiborindex,AK6210)</f>
        <v>51399</v>
      </c>
      <c r="AM6210" s="23">
        <f>_xll.qlIndexFixing(hiborindex,AK6210)</f>
        <v>8.3247790683170491E-3</v>
      </c>
    </row>
    <row r="6211" spans="37:39" x14ac:dyDescent="0.25">
      <c r="AK6211" s="21">
        <f>_xll.qlCalendarAdvance(calendar,AK6210,"1D")</f>
        <v>51398</v>
      </c>
      <c r="AL6211" s="21">
        <f>_xll.qlInterestRateIndexValueDate(hiborindex,AK6211)</f>
        <v>51400</v>
      </c>
      <c r="AM6211" s="23">
        <f>_xll.qlIndexFixing(hiborindex,AK6211)</f>
        <v>8.324802262925271E-3</v>
      </c>
    </row>
    <row r="6212" spans="37:39" x14ac:dyDescent="0.25">
      <c r="AK6212" s="21">
        <f>_xll.qlCalendarAdvance(calendar,AK6211,"1D")</f>
        <v>51399</v>
      </c>
      <c r="AL6212" s="21">
        <f>_xll.qlInterestRateIndexValueDate(hiborindex,AK6212)</f>
        <v>51403</v>
      </c>
      <c r="AM6212" s="23">
        <f>_xll.qlIndexFixing(hiborindex,AK6212)</f>
        <v>8.3249795659000609E-3</v>
      </c>
    </row>
    <row r="6213" spans="37:39" x14ac:dyDescent="0.25">
      <c r="AK6213" s="21">
        <f>_xll.qlCalendarAdvance(calendar,AK6212,"1D")</f>
        <v>51400</v>
      </c>
      <c r="AL6213" s="21">
        <f>_xll.qlInterestRateIndexValueDate(hiborindex,AK6213)</f>
        <v>51404</v>
      </c>
      <c r="AM6213" s="23">
        <f>_xll.qlIndexFixing(hiborindex,AK6213)</f>
        <v>8.3248950413616976E-3</v>
      </c>
    </row>
    <row r="6214" spans="37:39" x14ac:dyDescent="0.25">
      <c r="AK6214" s="21">
        <f>_xll.qlCalendarAdvance(calendar,AK6213,"1D")</f>
        <v>51403</v>
      </c>
      <c r="AL6214" s="21">
        <f>_xll.qlInterestRateIndexValueDate(hiborindex,AK6214)</f>
        <v>51405</v>
      </c>
      <c r="AM6214" s="23">
        <f>_xll.qlIndexFixing(hiborindex,AK6214)</f>
        <v>8.3249182359712449E-3</v>
      </c>
    </row>
    <row r="6215" spans="37:39" x14ac:dyDescent="0.25">
      <c r="AK6215" s="21">
        <f>_xll.qlCalendarAdvance(calendar,AK6214,"1D")</f>
        <v>51404</v>
      </c>
      <c r="AL6215" s="21">
        <f>_xll.qlInterestRateIndexValueDate(hiborindex,AK6215)</f>
        <v>51406</v>
      </c>
      <c r="AM6215" s="23">
        <f>_xll.qlIndexFixing(hiborindex,AK6215)</f>
        <v>8.3249414305812345E-3</v>
      </c>
    </row>
    <row r="6216" spans="37:39" x14ac:dyDescent="0.25">
      <c r="AK6216" s="21">
        <f>_xll.qlCalendarAdvance(calendar,AK6215,"1D")</f>
        <v>51405</v>
      </c>
      <c r="AL6216" s="21">
        <f>_xll.qlInterestRateIndexValueDate(hiborindex,AK6216)</f>
        <v>51407</v>
      </c>
      <c r="AM6216" s="23">
        <f>_xll.qlIndexFixing(hiborindex,AK6216)</f>
        <v>8.3250723464806421E-3</v>
      </c>
    </row>
    <row r="6217" spans="37:39" x14ac:dyDescent="0.25">
      <c r="AK6217" s="21">
        <f>_xll.qlCalendarAdvance(calendar,AK6216,"1D")</f>
        <v>51406</v>
      </c>
      <c r="AL6217" s="21">
        <f>_xll.qlInterestRateIndexValueDate(hiborindex,AK6217)</f>
        <v>51410</v>
      </c>
      <c r="AM6217" s="23">
        <f>_xll.qlIndexFixing(hiborindex,AK6217)</f>
        <v>8.3251419319191524E-3</v>
      </c>
    </row>
    <row r="6218" spans="37:39" x14ac:dyDescent="0.25">
      <c r="AK6218" s="21">
        <f>_xll.qlCalendarAdvance(calendar,AK6217,"1D")</f>
        <v>51407</v>
      </c>
      <c r="AL6218" s="21">
        <f>_xll.qlInterestRateIndexValueDate(hiborindex,AK6218)</f>
        <v>51411</v>
      </c>
      <c r="AM6218" s="23">
        <f>_xll.qlIndexFixing(hiborindex,AK6218)</f>
        <v>8.3251651270660545E-3</v>
      </c>
    </row>
    <row r="6219" spans="37:39" x14ac:dyDescent="0.25">
      <c r="AK6219" s="21">
        <f>_xll.qlCalendarAdvance(calendar,AK6218,"1D")</f>
        <v>51410</v>
      </c>
      <c r="AL6219" s="21">
        <f>_xll.qlInterestRateIndexValueDate(hiborindex,AK6219)</f>
        <v>51412</v>
      </c>
      <c r="AM6219" s="23">
        <f>_xll.qlIndexFixing(hiborindex,AK6219)</f>
        <v>8.3251883222129567E-3</v>
      </c>
    </row>
    <row r="6220" spans="37:39" x14ac:dyDescent="0.25">
      <c r="AK6220" s="21">
        <f>_xll.qlCalendarAdvance(calendar,AK6219,"1D")</f>
        <v>51411</v>
      </c>
      <c r="AL6220" s="21">
        <f>_xll.qlInterestRateIndexValueDate(hiborindex,AK6220)</f>
        <v>51413</v>
      </c>
      <c r="AM6220" s="23">
        <f>_xll.qlIndexFixing(hiborindex,AK6220)</f>
        <v>8.3252115173598588E-3</v>
      </c>
    </row>
    <row r="6221" spans="37:39" x14ac:dyDescent="0.25">
      <c r="AK6221" s="21">
        <f>_xll.qlCalendarAdvance(calendar,AK6220,"1D")</f>
        <v>51412</v>
      </c>
      <c r="AL6221" s="21">
        <f>_xll.qlInterestRateIndexValueDate(hiborindex,AK6221)</f>
        <v>51414</v>
      </c>
      <c r="AM6221" s="23">
        <f>_xll.qlIndexFixing(hiborindex,AK6221)</f>
        <v>8.3252347125076388E-3</v>
      </c>
    </row>
    <row r="6222" spans="37:39" x14ac:dyDescent="0.25">
      <c r="AK6222" s="21">
        <f>_xll.qlCalendarAdvance(calendar,AK6221,"1D")</f>
        <v>51413</v>
      </c>
      <c r="AL6222" s="21">
        <f>_xll.qlInterestRateIndexValueDate(hiborindex,AK6222)</f>
        <v>51417</v>
      </c>
      <c r="AM6222" s="23">
        <f>_xll.qlIndexFixing(hiborindex,AK6222)</f>
        <v>8.325304297951858E-3</v>
      </c>
    </row>
    <row r="6223" spans="37:39" x14ac:dyDescent="0.25">
      <c r="AK6223" s="21">
        <f>_xll.qlCalendarAdvance(calendar,AK6222,"1D")</f>
        <v>51414</v>
      </c>
      <c r="AL6223" s="21">
        <f>_xll.qlInterestRateIndexValueDate(hiborindex,AK6223)</f>
        <v>51418</v>
      </c>
      <c r="AM6223" s="23">
        <f>_xll.qlIndexFixing(hiborindex,AK6223)</f>
        <v>8.3253274931000786E-3</v>
      </c>
    </row>
    <row r="6224" spans="37:39" x14ac:dyDescent="0.25">
      <c r="AK6224" s="21">
        <f>_xll.qlCalendarAdvance(calendar,AK6223,"1D")</f>
        <v>51417</v>
      </c>
      <c r="AL6224" s="21">
        <f>_xll.qlInterestRateIndexValueDate(hiborindex,AK6224)</f>
        <v>51419</v>
      </c>
      <c r="AM6224" s="23">
        <f>_xll.qlIndexFixing(hiborindex,AK6224)</f>
        <v>8.3253506882491769E-3</v>
      </c>
    </row>
    <row r="6225" spans="37:39" x14ac:dyDescent="0.25">
      <c r="AK6225" s="21">
        <f>_xll.qlCalendarAdvance(calendar,AK6224,"1D")</f>
        <v>51418</v>
      </c>
      <c r="AL6225" s="21">
        <f>_xll.qlInterestRateIndexValueDate(hiborindex,AK6225)</f>
        <v>51420</v>
      </c>
      <c r="AM6225" s="23">
        <f>_xll.qlIndexFixing(hiborindex,AK6225)</f>
        <v>8.3253738833982752E-3</v>
      </c>
    </row>
    <row r="6226" spans="37:39" x14ac:dyDescent="0.25">
      <c r="AK6226" s="21">
        <f>_xll.qlCalendarAdvance(calendar,AK6225,"1D")</f>
        <v>51419</v>
      </c>
      <c r="AL6226" s="21">
        <f>_xll.qlInterestRateIndexValueDate(hiborindex,AK6226)</f>
        <v>51421</v>
      </c>
      <c r="AM6226" s="23">
        <f>_xll.qlIndexFixing(hiborindex,AK6226)</f>
        <v>8.3253970785478124E-3</v>
      </c>
    </row>
    <row r="6227" spans="37:39" x14ac:dyDescent="0.25">
      <c r="AK6227" s="21">
        <f>_xll.qlCalendarAdvance(calendar,AK6226,"1D")</f>
        <v>51420</v>
      </c>
      <c r="AL6227" s="21">
        <f>_xll.qlInterestRateIndexValueDate(hiborindex,AK6227)</f>
        <v>51424</v>
      </c>
      <c r="AM6227" s="23">
        <f>_xll.qlIndexFixing(hiborindex,AK6227)</f>
        <v>8.3254666639977423E-3</v>
      </c>
    </row>
    <row r="6228" spans="37:39" x14ac:dyDescent="0.25">
      <c r="AK6228" s="21">
        <f>_xll.qlCalendarAdvance(calendar,AK6227,"1D")</f>
        <v>51421</v>
      </c>
      <c r="AL6228" s="21">
        <f>_xll.qlInterestRateIndexValueDate(hiborindex,AK6228)</f>
        <v>51425</v>
      </c>
      <c r="AM6228" s="23">
        <f>_xll.qlIndexFixing(hiborindex,AK6228)</f>
        <v>8.3254898591481573E-3</v>
      </c>
    </row>
    <row r="6229" spans="37:39" x14ac:dyDescent="0.25">
      <c r="AK6229" s="21">
        <f>_xll.qlCalendarAdvance(calendar,AK6228,"1D")</f>
        <v>51424</v>
      </c>
      <c r="AL6229" s="21">
        <f>_xll.qlInterestRateIndexValueDate(hiborindex,AK6229)</f>
        <v>51426</v>
      </c>
      <c r="AM6229" s="23">
        <f>_xll.qlIndexFixing(hiborindex,AK6229)</f>
        <v>8.3255130542990129E-3</v>
      </c>
    </row>
    <row r="6230" spans="37:39" x14ac:dyDescent="0.25">
      <c r="AK6230" s="21">
        <f>_xll.qlCalendarAdvance(calendar,AK6229,"1D")</f>
        <v>51425</v>
      </c>
      <c r="AL6230" s="21">
        <f>_xll.qlInterestRateIndexValueDate(hiborindex,AK6230)</f>
        <v>51427</v>
      </c>
      <c r="AM6230" s="23">
        <f>_xll.qlIndexFixing(hiborindex,AK6230)</f>
        <v>8.3255362494498667E-3</v>
      </c>
    </row>
    <row r="6231" spans="37:39" x14ac:dyDescent="0.25">
      <c r="AK6231" s="21">
        <f>_xll.qlCalendarAdvance(calendar,AK6230,"1D")</f>
        <v>51426</v>
      </c>
      <c r="AL6231" s="21">
        <f>_xll.qlInterestRateIndexValueDate(hiborindex,AK6231)</f>
        <v>51428</v>
      </c>
      <c r="AM6231" s="23">
        <f>_xll.qlIndexFixing(hiborindex,AK6231)</f>
        <v>8.3259903948833744E-3</v>
      </c>
    </row>
    <row r="6232" spans="37:39" x14ac:dyDescent="0.25">
      <c r="AK6232" s="21">
        <f>_xll.qlCalendarAdvance(calendar,AK6231,"1D")</f>
        <v>51427</v>
      </c>
      <c r="AL6232" s="21">
        <f>_xll.qlInterestRateIndexValueDate(hiborindex,AK6232)</f>
        <v>51431</v>
      </c>
      <c r="AM6232" s="23">
        <f>_xll.qlIndexFixing(hiborindex,AK6232)</f>
        <v>8.3257367662110931E-3</v>
      </c>
    </row>
    <row r="6233" spans="37:39" x14ac:dyDescent="0.25">
      <c r="AK6233" s="21">
        <f>_xll.qlCalendarAdvance(calendar,AK6232,"1D")</f>
        <v>51428</v>
      </c>
      <c r="AL6233" s="21">
        <f>_xll.qlInterestRateIndexValueDate(hiborindex,AK6233)</f>
        <v>51432</v>
      </c>
      <c r="AM6233" s="23">
        <f>_xll.qlIndexFixing(hiborindex,AK6233)</f>
        <v>8.325652225209413E-3</v>
      </c>
    </row>
    <row r="6234" spans="37:39" x14ac:dyDescent="0.25">
      <c r="AK6234" s="21">
        <f>_xll.qlCalendarAdvance(calendar,AK6233,"1D")</f>
        <v>51431</v>
      </c>
      <c r="AL6234" s="21">
        <f>_xll.qlInterestRateIndexValueDate(hiborindex,AK6234)</f>
        <v>51433</v>
      </c>
      <c r="AM6234" s="23">
        <f>_xll.qlIndexFixing(hiborindex,AK6234)</f>
        <v>8.3256754203620241E-3</v>
      </c>
    </row>
    <row r="6235" spans="37:39" x14ac:dyDescent="0.25">
      <c r="AK6235" s="21">
        <f>_xll.qlCalendarAdvance(calendar,AK6234,"1D")</f>
        <v>51432</v>
      </c>
      <c r="AL6235" s="21">
        <f>_xll.qlInterestRateIndexValueDate(hiborindex,AK6235)</f>
        <v>51434</v>
      </c>
      <c r="AM6235" s="23">
        <f>_xll.qlIndexFixing(hiborindex,AK6235)</f>
        <v>8.3256986155150758E-3</v>
      </c>
    </row>
    <row r="6236" spans="37:39" x14ac:dyDescent="0.25">
      <c r="AK6236" s="21">
        <f>_xll.qlCalendarAdvance(calendar,AK6235,"1D")</f>
        <v>51433</v>
      </c>
      <c r="AL6236" s="21">
        <f>_xll.qlInterestRateIndexValueDate(hiborindex,AK6236)</f>
        <v>51435</v>
      </c>
      <c r="AM6236" s="23">
        <f>_xll.qlIndexFixing(hiborindex,AK6236)</f>
        <v>8.3257218106681258E-3</v>
      </c>
    </row>
    <row r="6237" spans="37:39" x14ac:dyDescent="0.25">
      <c r="AK6237" s="21">
        <f>_xll.qlCalendarAdvance(calendar,AK6236,"1D")</f>
        <v>51434</v>
      </c>
      <c r="AL6237" s="21">
        <f>_xll.qlInterestRateIndexValueDate(hiborindex,AK6237)</f>
        <v>51438</v>
      </c>
      <c r="AM6237" s="23">
        <f>_xll.qlIndexFixing(hiborindex,AK6237)</f>
        <v>8.3257913961290366E-3</v>
      </c>
    </row>
    <row r="6238" spans="37:39" x14ac:dyDescent="0.25">
      <c r="AK6238" s="21">
        <f>_xll.qlCalendarAdvance(calendar,AK6237,"1D")</f>
        <v>51435</v>
      </c>
      <c r="AL6238" s="21">
        <f>_xll.qlInterestRateIndexValueDate(hiborindex,AK6238)</f>
        <v>51439</v>
      </c>
      <c r="AM6238" s="23">
        <f>_xll.qlIndexFixing(hiborindex,AK6238)</f>
        <v>8.3258145912838439E-3</v>
      </c>
    </row>
    <row r="6239" spans="37:39" x14ac:dyDescent="0.25">
      <c r="AK6239" s="21">
        <f>_xll.qlCalendarAdvance(calendar,AK6238,"1D")</f>
        <v>51438</v>
      </c>
      <c r="AL6239" s="21">
        <f>_xll.qlInterestRateIndexValueDate(hiborindex,AK6239)</f>
        <v>51440</v>
      </c>
      <c r="AM6239" s="23">
        <f>_xll.qlIndexFixing(hiborindex,AK6239)</f>
        <v>8.3257300474798689E-3</v>
      </c>
    </row>
    <row r="6240" spans="37:39" x14ac:dyDescent="0.25">
      <c r="AK6240" s="21">
        <f>_xll.qlCalendarAdvance(calendar,AK6239,"1D")</f>
        <v>51439</v>
      </c>
      <c r="AL6240" s="21">
        <f>_xll.qlInterestRateIndexValueDate(hiborindex,AK6240)</f>
        <v>51441</v>
      </c>
      <c r="AM6240" s="23">
        <f>_xll.qlIndexFixing(hiborindex,AK6240)</f>
        <v>8.3258609815930213E-3</v>
      </c>
    </row>
    <row r="6241" spans="37:39" x14ac:dyDescent="0.25">
      <c r="AK6241" s="21">
        <f>_xll.qlCalendarAdvance(calendar,AK6240,"1D")</f>
        <v>51440</v>
      </c>
      <c r="AL6241" s="21">
        <f>_xll.qlInterestRateIndexValueDate(hiborindex,AK6241)</f>
        <v>51442</v>
      </c>
      <c r="AM6241" s="23">
        <f>_xll.qlIndexFixing(hiborindex,AK6241)</f>
        <v>8.3257764367188382E-3</v>
      </c>
    </row>
    <row r="6242" spans="37:39" x14ac:dyDescent="0.25">
      <c r="AK6242" s="21">
        <f>_xll.qlCalendarAdvance(calendar,AK6241,"1D")</f>
        <v>51441</v>
      </c>
      <c r="AL6242" s="21">
        <f>_xll.qlInterestRateIndexValueDate(hiborindex,AK6242)</f>
        <v>51445</v>
      </c>
      <c r="AM6242" s="23">
        <f>_xll.qlIndexFixing(hiborindex,AK6242)</f>
        <v>8.3259537622153261E-3</v>
      </c>
    </row>
    <row r="6243" spans="37:39" x14ac:dyDescent="0.25">
      <c r="AK6243" s="21">
        <f>_xll.qlCalendarAdvance(calendar,AK6242,"1D")</f>
        <v>51442</v>
      </c>
      <c r="AL6243" s="21">
        <f>_xll.qlInterestRateIndexValueDate(hiborindex,AK6243)</f>
        <v>51446</v>
      </c>
      <c r="AM6243" s="23">
        <f>_xll.qlIndexFixing(hiborindex,AK6243)</f>
        <v>8.3258692152003103E-3</v>
      </c>
    </row>
    <row r="6244" spans="37:39" x14ac:dyDescent="0.25">
      <c r="AK6244" s="21">
        <f>_xll.qlCalendarAdvance(calendar,AK6243,"1D")</f>
        <v>51445</v>
      </c>
      <c r="AL6244" s="21">
        <f>_xll.qlInterestRateIndexValueDate(hiborindex,AK6244)</f>
        <v>51447</v>
      </c>
      <c r="AM6244" s="23">
        <f>_xll.qlIndexFixing(hiborindex,AK6244)</f>
        <v>8.3258924098213415E-3</v>
      </c>
    </row>
    <row r="6245" spans="37:39" x14ac:dyDescent="0.25">
      <c r="AK6245" s="21">
        <f>_xll.qlCalendarAdvance(calendar,AK6244,"1D")</f>
        <v>51446</v>
      </c>
      <c r="AL6245" s="21">
        <f>_xll.qlInterestRateIndexValueDate(hiborindex,AK6245)</f>
        <v>51448</v>
      </c>
      <c r="AM6245" s="23">
        <f>_xll.qlIndexFixing(hiborindex,AK6245)</f>
        <v>8.3259156044423709E-3</v>
      </c>
    </row>
    <row r="6246" spans="37:39" x14ac:dyDescent="0.25">
      <c r="AK6246" s="21">
        <f>_xll.qlCalendarAdvance(calendar,AK6245,"1D")</f>
        <v>51447</v>
      </c>
      <c r="AL6246" s="21">
        <f>_xll.qlInterestRateIndexValueDate(hiborindex,AK6246)</f>
        <v>51449</v>
      </c>
      <c r="AM6246" s="23">
        <f>_xll.qlIndexFixing(hiborindex,AK6246)</f>
        <v>8.325938799064285E-3</v>
      </c>
    </row>
    <row r="6247" spans="37:39" x14ac:dyDescent="0.25">
      <c r="AK6247" s="21">
        <f>_xll.qlCalendarAdvance(calendar,AK6246,"1D")</f>
        <v>51448</v>
      </c>
      <c r="AL6247" s="21">
        <f>_xll.qlInterestRateIndexValueDate(hiborindex,AK6247)</f>
        <v>51452</v>
      </c>
      <c r="AM6247" s="23">
        <f>_xll.qlIndexFixing(hiborindex,AK6247)</f>
        <v>8.3261161283139148E-3</v>
      </c>
    </row>
    <row r="6248" spans="37:39" x14ac:dyDescent="0.25">
      <c r="AK6248" s="21">
        <f>_xll.qlCalendarAdvance(calendar,AK6247,"1D")</f>
        <v>51449</v>
      </c>
      <c r="AL6248" s="21">
        <f>_xll.qlInterestRateIndexValueDate(hiborindex,AK6248)</f>
        <v>51453</v>
      </c>
      <c r="AM6248" s="23">
        <f>_xll.qlIndexFixing(hiborindex,AK6248)</f>
        <v>8.326031577553265E-3</v>
      </c>
    </row>
    <row r="6249" spans="37:39" x14ac:dyDescent="0.25">
      <c r="AK6249" s="21">
        <f>_xll.qlCalendarAdvance(calendar,AK6248,"1D")</f>
        <v>51452</v>
      </c>
      <c r="AL6249" s="21">
        <f>_xll.qlInterestRateIndexValueDate(hiborindex,AK6249)</f>
        <v>51454</v>
      </c>
      <c r="AM6249" s="23">
        <f>_xll.qlIndexFixing(hiborindex,AK6249)</f>
        <v>8.3260547721756197E-3</v>
      </c>
    </row>
    <row r="6250" spans="37:39" x14ac:dyDescent="0.25">
      <c r="AK6250" s="21">
        <f>_xll.qlCalendarAdvance(calendar,AK6249,"1D")</f>
        <v>51453</v>
      </c>
      <c r="AL6250" s="21">
        <f>_xll.qlInterestRateIndexValueDate(hiborindex,AK6250)</f>
        <v>51455</v>
      </c>
      <c r="AM6250" s="23">
        <f>_xll.qlIndexFixing(hiborindex,AK6250)</f>
        <v>8.3260779667988592E-3</v>
      </c>
    </row>
    <row r="6251" spans="37:39" x14ac:dyDescent="0.25">
      <c r="AK6251" s="21">
        <f>_xll.qlCalendarAdvance(calendar,AK6250,"1D")</f>
        <v>51454</v>
      </c>
      <c r="AL6251" s="21">
        <f>_xll.qlInterestRateIndexValueDate(hiborindex,AK6251)</f>
        <v>51456</v>
      </c>
      <c r="AM6251" s="23">
        <f>_xll.qlIndexFixing(hiborindex,AK6251)</f>
        <v>8.3261011614220986E-3</v>
      </c>
    </row>
    <row r="6252" spans="37:39" x14ac:dyDescent="0.25">
      <c r="AK6252" s="21">
        <f>_xll.qlCalendarAdvance(calendar,AK6251,"1D")</f>
        <v>51455</v>
      </c>
      <c r="AL6252" s="21">
        <f>_xll.qlInterestRateIndexValueDate(hiborindex,AK6252)</f>
        <v>51459</v>
      </c>
      <c r="AM6252" s="23">
        <f>_xll.qlIndexFixing(hiborindex,AK6252)</f>
        <v>8.3262784944261176E-3</v>
      </c>
    </row>
    <row r="6253" spans="37:39" x14ac:dyDescent="0.25">
      <c r="AK6253" s="21">
        <f>_xll.qlCalendarAdvance(calendar,AK6252,"1D")</f>
        <v>51456</v>
      </c>
      <c r="AL6253" s="21">
        <f>_xll.qlInterestRateIndexValueDate(hiborindex,AK6253)</f>
        <v>51460</v>
      </c>
      <c r="AM6253" s="23">
        <f>_xll.qlIndexFixing(hiborindex,AK6253)</f>
        <v>8.3261939399185848E-3</v>
      </c>
    </row>
    <row r="6254" spans="37:39" x14ac:dyDescent="0.25">
      <c r="AK6254" s="21">
        <f>_xll.qlCalendarAdvance(calendar,AK6253,"1D")</f>
        <v>51459</v>
      </c>
      <c r="AL6254" s="21">
        <f>_xll.qlInterestRateIndexValueDate(hiborindex,AK6254)</f>
        <v>51461</v>
      </c>
      <c r="AM6254" s="23">
        <f>_xll.qlIndexFixing(hiborindex,AK6254)</f>
        <v>8.3262171345435902E-3</v>
      </c>
    </row>
    <row r="6255" spans="37:39" x14ac:dyDescent="0.25">
      <c r="AK6255" s="21">
        <f>_xll.qlCalendarAdvance(calendar,AK6254,"1D")</f>
        <v>51460</v>
      </c>
      <c r="AL6255" s="21">
        <f>_xll.qlInterestRateIndexValueDate(hiborindex,AK6255)</f>
        <v>51462</v>
      </c>
      <c r="AM6255" s="23">
        <f>_xll.qlIndexFixing(hiborindex,AK6255)</f>
        <v>8.3262403291685955E-3</v>
      </c>
    </row>
    <row r="6256" spans="37:39" x14ac:dyDescent="0.25">
      <c r="AK6256" s="21">
        <f>_xll.qlCalendarAdvance(calendar,AK6255,"1D")</f>
        <v>51461</v>
      </c>
      <c r="AL6256" s="21">
        <f>_xll.qlInterestRateIndexValueDate(hiborindex,AK6256)</f>
        <v>51463</v>
      </c>
      <c r="AM6256" s="23">
        <f>_xll.qlIndexFixing(hiborindex,AK6256)</f>
        <v>8.3262635237936009E-3</v>
      </c>
    </row>
    <row r="6257" spans="37:39" x14ac:dyDescent="0.25">
      <c r="AK6257" s="21">
        <f>_xll.qlCalendarAdvance(calendar,AK6256,"1D")</f>
        <v>51462</v>
      </c>
      <c r="AL6257" s="21">
        <f>_xll.qlInterestRateIndexValueDate(hiborindex,AK6257)</f>
        <v>51466</v>
      </c>
      <c r="AM6257" s="23">
        <f>_xll.qlIndexFixing(hiborindex,AK6257)</f>
        <v>8.326440860551499E-3</v>
      </c>
    </row>
    <row r="6258" spans="37:39" x14ac:dyDescent="0.25">
      <c r="AK6258" s="21">
        <f>_xll.qlCalendarAdvance(calendar,AK6257,"1D")</f>
        <v>51463</v>
      </c>
      <c r="AL6258" s="21">
        <f>_xll.qlInterestRateIndexValueDate(hiborindex,AK6258)</f>
        <v>51467</v>
      </c>
      <c r="AM6258" s="23">
        <f>_xll.qlIndexFixing(hiborindex,AK6258)</f>
        <v>8.3263563022975967E-3</v>
      </c>
    </row>
    <row r="6259" spans="37:39" x14ac:dyDescent="0.25">
      <c r="AK6259" s="21">
        <f>_xll.qlCalendarAdvance(calendar,AK6258,"1D")</f>
        <v>51466</v>
      </c>
      <c r="AL6259" s="21">
        <f>_xll.qlInterestRateIndexValueDate(hiborindex,AK6259)</f>
        <v>51468</v>
      </c>
      <c r="AM6259" s="23">
        <f>_xll.qlIndexFixing(hiborindex,AK6259)</f>
        <v>8.3263794969248104E-3</v>
      </c>
    </row>
    <row r="6260" spans="37:39" x14ac:dyDescent="0.25">
      <c r="AK6260" s="21">
        <f>_xll.qlCalendarAdvance(calendar,AK6259,"1D")</f>
        <v>51467</v>
      </c>
      <c r="AL6260" s="21">
        <f>_xll.qlInterestRateIndexValueDate(hiborindex,AK6260)</f>
        <v>51469</v>
      </c>
      <c r="AM6260" s="23">
        <f>_xll.qlIndexFixing(hiborindex,AK6260)</f>
        <v>8.3264026915511394E-3</v>
      </c>
    </row>
    <row r="6261" spans="37:39" x14ac:dyDescent="0.25">
      <c r="AK6261" s="21">
        <f>_xll.qlCalendarAdvance(calendar,AK6260,"1D")</f>
        <v>51468</v>
      </c>
      <c r="AL6261" s="21">
        <f>_xll.qlInterestRateIndexValueDate(hiborindex,AK6261)</f>
        <v>51470</v>
      </c>
      <c r="AM6261" s="23">
        <f>_xll.qlIndexFixing(hiborindex,AK6261)</f>
        <v>8.3265336412010355E-3</v>
      </c>
    </row>
    <row r="6262" spans="37:39" x14ac:dyDescent="0.25">
      <c r="AK6262" s="21">
        <f>_xll.qlCalendarAdvance(calendar,AK6261,"1D")</f>
        <v>51469</v>
      </c>
      <c r="AL6262" s="21">
        <f>_xll.qlInterestRateIndexValueDate(hiborindex,AK6262)</f>
        <v>51473</v>
      </c>
      <c r="AM6262" s="23">
        <f>_xll.qlIndexFixing(hiborindex,AK6262)</f>
        <v>8.3266032266904929E-3</v>
      </c>
    </row>
    <row r="6263" spans="37:39" x14ac:dyDescent="0.25">
      <c r="AK6263" s="21">
        <f>_xll.qlCalendarAdvance(calendar,AK6262,"1D")</f>
        <v>51470</v>
      </c>
      <c r="AL6263" s="21">
        <f>_xll.qlInterestRateIndexValueDate(hiborindex,AK6263)</f>
        <v>51474</v>
      </c>
      <c r="AM6263" s="23">
        <f>_xll.qlIndexFixing(hiborindex,AK6263)</f>
        <v>8.3266264218540848E-3</v>
      </c>
    </row>
    <row r="6264" spans="37:39" x14ac:dyDescent="0.25">
      <c r="AK6264" s="21">
        <f>_xll.qlCalendarAdvance(calendar,AK6263,"1D")</f>
        <v>51473</v>
      </c>
      <c r="AL6264" s="21">
        <f>_xll.qlInterestRateIndexValueDate(hiborindex,AK6264)</f>
        <v>51475</v>
      </c>
      <c r="AM6264" s="23">
        <f>_xll.qlIndexFixing(hiborindex,AK6264)</f>
        <v>8.3266496170181174E-3</v>
      </c>
    </row>
    <row r="6265" spans="37:39" x14ac:dyDescent="0.25">
      <c r="AK6265" s="21">
        <f>_xll.qlCalendarAdvance(calendar,AK6264,"1D")</f>
        <v>51474</v>
      </c>
      <c r="AL6265" s="21">
        <f>_xll.qlInterestRateIndexValueDate(hiborindex,AK6265)</f>
        <v>51476</v>
      </c>
      <c r="AM6265" s="23">
        <f>_xll.qlIndexFixing(hiborindex,AK6265)</f>
        <v>8.326672812182587E-3</v>
      </c>
    </row>
    <row r="6266" spans="37:39" x14ac:dyDescent="0.25">
      <c r="AK6266" s="21">
        <f>_xll.qlCalendarAdvance(calendar,AK6265,"1D")</f>
        <v>51475</v>
      </c>
      <c r="AL6266" s="21">
        <f>_xll.qlInterestRateIndexValueDate(hiborindex,AK6266)</f>
        <v>51477</v>
      </c>
      <c r="AM6266" s="23">
        <f>_xll.qlIndexFixing(hiborindex,AK6266)</f>
        <v>8.3266960073470585E-3</v>
      </c>
    </row>
    <row r="6267" spans="37:39" x14ac:dyDescent="0.25">
      <c r="AK6267" s="21">
        <f>_xll.qlCalendarAdvance(calendar,AK6266,"1D")</f>
        <v>51476</v>
      </c>
      <c r="AL6267" s="21">
        <f>_xll.qlInterestRateIndexValueDate(hiborindex,AK6267)</f>
        <v>51480</v>
      </c>
      <c r="AM6267" s="23">
        <f>_xll.qlIndexFixing(hiborindex,AK6267)</f>
        <v>8.3267655928422266E-3</v>
      </c>
    </row>
    <row r="6268" spans="37:39" x14ac:dyDescent="0.25">
      <c r="AK6268" s="21">
        <f>_xll.qlCalendarAdvance(calendar,AK6267,"1D")</f>
        <v>51477</v>
      </c>
      <c r="AL6268" s="21">
        <f>_xll.qlInterestRateIndexValueDate(hiborindex,AK6268)</f>
        <v>51481</v>
      </c>
      <c r="AM6268" s="23">
        <f>_xll.qlIndexFixing(hiborindex,AK6268)</f>
        <v>8.3267887880080146E-3</v>
      </c>
    </row>
    <row r="6269" spans="37:39" x14ac:dyDescent="0.25">
      <c r="AK6269" s="21">
        <f>_xll.qlCalendarAdvance(calendar,AK6268,"1D")</f>
        <v>51480</v>
      </c>
      <c r="AL6269" s="21">
        <f>_xll.qlInterestRateIndexValueDate(hiborindex,AK6269)</f>
        <v>51482</v>
      </c>
      <c r="AM6269" s="23">
        <f>_xll.qlIndexFixing(hiborindex,AK6269)</f>
        <v>8.3268119831742416E-3</v>
      </c>
    </row>
    <row r="6270" spans="37:39" x14ac:dyDescent="0.25">
      <c r="AK6270" s="21">
        <f>_xll.qlCalendarAdvance(calendar,AK6269,"1D")</f>
        <v>51481</v>
      </c>
      <c r="AL6270" s="21">
        <f>_xll.qlInterestRateIndexValueDate(hiborindex,AK6270)</f>
        <v>51483</v>
      </c>
      <c r="AM6270" s="23">
        <f>_xll.qlIndexFixing(hiborindex,AK6270)</f>
        <v>8.3268351783400297E-3</v>
      </c>
    </row>
    <row r="6271" spans="37:39" x14ac:dyDescent="0.25">
      <c r="AK6271" s="21">
        <f>_xll.qlCalendarAdvance(calendar,AK6270,"1D")</f>
        <v>51482</v>
      </c>
      <c r="AL6271" s="21">
        <f>_xll.qlInterestRateIndexValueDate(hiborindex,AK6271)</f>
        <v>51484</v>
      </c>
      <c r="AM6271" s="23">
        <f>_xll.qlIndexFixing(hiborindex,AK6271)</f>
        <v>8.3268583735066955E-3</v>
      </c>
    </row>
    <row r="6272" spans="37:39" x14ac:dyDescent="0.25">
      <c r="AK6272" s="21">
        <f>_xll.qlCalendarAdvance(calendar,AK6271,"1D")</f>
        <v>51483</v>
      </c>
      <c r="AL6272" s="21">
        <f>_xll.qlInterestRateIndexValueDate(hiborindex,AK6272)</f>
        <v>51487</v>
      </c>
      <c r="AM6272" s="23">
        <f>_xll.qlIndexFixing(hiborindex,AK6272)</f>
        <v>8.3269279590075743E-3</v>
      </c>
    </row>
    <row r="6273" spans="37:39" x14ac:dyDescent="0.25">
      <c r="AK6273" s="21">
        <f>_xll.qlCalendarAdvance(calendar,AK6272,"1D")</f>
        <v>51484</v>
      </c>
      <c r="AL6273" s="21">
        <f>_xll.qlInterestRateIndexValueDate(hiborindex,AK6273)</f>
        <v>51488</v>
      </c>
      <c r="AM6273" s="23">
        <f>_xll.qlIndexFixing(hiborindex,AK6273)</f>
        <v>8.326951154175118E-3</v>
      </c>
    </row>
    <row r="6274" spans="37:39" x14ac:dyDescent="0.25">
      <c r="AK6274" s="21">
        <f>_xll.qlCalendarAdvance(calendar,AK6273,"1D")</f>
        <v>51487</v>
      </c>
      <c r="AL6274" s="21">
        <f>_xll.qlInterestRateIndexValueDate(hiborindex,AK6274)</f>
        <v>51489</v>
      </c>
      <c r="AM6274" s="23">
        <f>_xll.qlIndexFixing(hiborindex,AK6274)</f>
        <v>8.3269743493431022E-3</v>
      </c>
    </row>
    <row r="6275" spans="37:39" x14ac:dyDescent="0.25">
      <c r="AK6275" s="21">
        <f>_xll.qlCalendarAdvance(calendar,AK6274,"1D")</f>
        <v>51488</v>
      </c>
      <c r="AL6275" s="21">
        <f>_xll.qlInterestRateIndexValueDate(hiborindex,AK6275)</f>
        <v>51490</v>
      </c>
      <c r="AM6275" s="23">
        <f>_xll.qlIndexFixing(hiborindex,AK6275)</f>
        <v>8.3269975445115253E-3</v>
      </c>
    </row>
    <row r="6276" spans="37:39" x14ac:dyDescent="0.25">
      <c r="AK6276" s="21">
        <f>_xll.qlCalendarAdvance(calendar,AK6275,"1D")</f>
        <v>51489</v>
      </c>
      <c r="AL6276" s="21">
        <f>_xll.qlInterestRateIndexValueDate(hiborindex,AK6276)</f>
        <v>51491</v>
      </c>
      <c r="AM6276" s="23">
        <f>_xll.qlIndexFixing(hiborindex,AK6276)</f>
        <v>8.3270207396799502E-3</v>
      </c>
    </row>
    <row r="6277" spans="37:39" x14ac:dyDescent="0.25">
      <c r="AK6277" s="21">
        <f>_xll.qlCalendarAdvance(calendar,AK6276,"1D")</f>
        <v>51490</v>
      </c>
      <c r="AL6277" s="21">
        <f>_xll.qlInterestRateIndexValueDate(hiborindex,AK6277)</f>
        <v>51494</v>
      </c>
      <c r="AM6277" s="23">
        <f>_xll.qlIndexFixing(hiborindex,AK6277)</f>
        <v>8.3270903251860973E-3</v>
      </c>
    </row>
    <row r="6278" spans="37:39" x14ac:dyDescent="0.25">
      <c r="AK6278" s="21">
        <f>_xll.qlCalendarAdvance(calendar,AK6277,"1D")</f>
        <v>51491</v>
      </c>
      <c r="AL6278" s="21">
        <f>_xll.qlInterestRateIndexValueDate(hiborindex,AK6278)</f>
        <v>51497</v>
      </c>
      <c r="AM6278" s="23">
        <f>_xll.qlIndexFixing(hiborindex,AK6278)</f>
        <v>8.3271599106953201E-3</v>
      </c>
    </row>
    <row r="6279" spans="37:39" x14ac:dyDescent="0.25">
      <c r="AK6279" s="21">
        <f>_xll.qlCalendarAdvance(calendar,AK6278,"1D")</f>
        <v>51494</v>
      </c>
      <c r="AL6279" s="21">
        <f>_xll.qlInterestRateIndexValueDate(hiborindex,AK6279)</f>
        <v>51498</v>
      </c>
      <c r="AM6279" s="23">
        <f>_xll.qlIndexFixing(hiborindex,AK6279)</f>
        <v>8.3271831058659394E-3</v>
      </c>
    </row>
    <row r="6280" spans="37:39" x14ac:dyDescent="0.25">
      <c r="AK6280" s="21">
        <f>_xll.qlCalendarAdvance(calendar,AK6279,"1D")</f>
        <v>51497</v>
      </c>
      <c r="AL6280" s="21">
        <f>_xll.qlInterestRateIndexValueDate(hiborindex,AK6280)</f>
        <v>51501</v>
      </c>
      <c r="AM6280" s="23">
        <f>_xll.qlIndexFixing(hiborindex,AK6280)</f>
        <v>8.3269293825568493E-3</v>
      </c>
    </row>
    <row r="6281" spans="37:39" x14ac:dyDescent="0.25">
      <c r="AK6281" s="21">
        <f>_xll.qlCalendarAdvance(calendar,AK6280,"1D")</f>
        <v>51498</v>
      </c>
      <c r="AL6281" s="21">
        <f>_xll.qlInterestRateIndexValueDate(hiborindex,AK6281)</f>
        <v>51503</v>
      </c>
      <c r="AM6281" s="23">
        <f>_xll.qlIndexFixing(hiborindex,AK6281)</f>
        <v>8.3209213978153364E-3</v>
      </c>
    </row>
    <row r="6282" spans="37:39" x14ac:dyDescent="0.25">
      <c r="AK6282" s="21">
        <f>_xll.qlCalendarAdvance(calendar,AK6281,"1D")</f>
        <v>51501</v>
      </c>
      <c r="AL6282" s="21">
        <f>_xll.qlInterestRateIndexValueDate(hiborindex,AK6282)</f>
        <v>51504</v>
      </c>
      <c r="AM6282" s="23">
        <f>_xll.qlIndexFixing(hiborindex,AK6282)</f>
        <v>8.3193762596834187E-3</v>
      </c>
    </row>
    <row r="6283" spans="37:39" x14ac:dyDescent="0.25">
      <c r="AK6283" s="21">
        <f>_xll.qlCalendarAdvance(calendar,AK6282,"1D")</f>
        <v>51503</v>
      </c>
      <c r="AL6283" s="21">
        <f>_xll.qlInterestRateIndexValueDate(hiborindex,AK6283)</f>
        <v>51505</v>
      </c>
      <c r="AM6283" s="23">
        <f>_xll.qlIndexFixing(hiborindex,AK6283)</f>
        <v>8.3178307795673811E-3</v>
      </c>
    </row>
    <row r="6284" spans="37:39" x14ac:dyDescent="0.25">
      <c r="AK6284" s="21">
        <f>_xll.qlCalendarAdvance(calendar,AK6283,"1D")</f>
        <v>51504</v>
      </c>
      <c r="AL6284" s="21">
        <f>_xll.qlInterestRateIndexValueDate(hiborindex,AK6284)</f>
        <v>51508</v>
      </c>
      <c r="AM6284" s="23">
        <f>_xll.qlIndexFixing(hiborindex,AK6284)</f>
        <v>8.3118158415508153E-3</v>
      </c>
    </row>
    <row r="6285" spans="37:39" x14ac:dyDescent="0.25">
      <c r="AK6285" s="21">
        <f>_xll.qlCalendarAdvance(calendar,AK6284,"1D")</f>
        <v>51505</v>
      </c>
      <c r="AL6285" s="21">
        <f>_xll.qlInterestRateIndexValueDate(hiborindex,AK6285)</f>
        <v>51509</v>
      </c>
      <c r="AM6285" s="23">
        <f>_xll.qlIndexFixing(hiborindex,AK6285)</f>
        <v>8.3116454392761566E-3</v>
      </c>
    </row>
    <row r="6286" spans="37:39" x14ac:dyDescent="0.25">
      <c r="AK6286" s="21">
        <f>_xll.qlCalendarAdvance(calendar,AK6285,"1D")</f>
        <v>51508</v>
      </c>
      <c r="AL6286" s="21">
        <f>_xll.qlInterestRateIndexValueDate(hiborindex,AK6286)</f>
        <v>51510</v>
      </c>
      <c r="AM6286" s="23">
        <f>_xll.qlIndexFixing(hiborindex,AK6286)</f>
        <v>8.3100982492505561E-3</v>
      </c>
    </row>
    <row r="6287" spans="37:39" x14ac:dyDescent="0.25">
      <c r="AK6287" s="21">
        <f>_xll.qlCalendarAdvance(calendar,AK6286,"1D")</f>
        <v>51509</v>
      </c>
      <c r="AL6287" s="21">
        <f>_xll.qlInterestRateIndexValueDate(hiborindex,AK6287)</f>
        <v>51511</v>
      </c>
      <c r="AM6287" s="23">
        <f>_xll.qlIndexFixing(hiborindex,AK6287)</f>
        <v>8.3085507172456947E-3</v>
      </c>
    </row>
    <row r="6288" spans="37:39" x14ac:dyDescent="0.25">
      <c r="AK6288" s="21">
        <f>_xll.qlCalendarAdvance(calendar,AK6287,"1D")</f>
        <v>51510</v>
      </c>
      <c r="AL6288" s="21">
        <f>_xll.qlInterestRateIndexValueDate(hiborindex,AK6288)</f>
        <v>51512</v>
      </c>
      <c r="AM6288" s="23">
        <f>_xll.qlIndexFixing(hiborindex,AK6288)</f>
        <v>8.3070028432620114E-3</v>
      </c>
    </row>
    <row r="6289" spans="37:39" x14ac:dyDescent="0.25">
      <c r="AK6289" s="21">
        <f>_xll.qlCalendarAdvance(calendar,AK6288,"1D")</f>
        <v>51511</v>
      </c>
      <c r="AL6289" s="21">
        <f>_xll.qlInterestRateIndexValueDate(hiborindex,AK6289)</f>
        <v>51515</v>
      </c>
      <c r="AM6289" s="23">
        <f>_xll.qlIndexFixing(hiborindex,AK6289)</f>
        <v>8.3010385199793774E-3</v>
      </c>
    </row>
    <row r="6290" spans="37:39" x14ac:dyDescent="0.25">
      <c r="AK6290" s="21">
        <f>_xll.qlCalendarAdvance(calendar,AK6289,"1D")</f>
        <v>51512</v>
      </c>
      <c r="AL6290" s="21">
        <f>_xll.qlInterestRateIndexValueDate(hiborindex,AK6290)</f>
        <v>51516</v>
      </c>
      <c r="AM6290" s="23">
        <f>_xll.qlIndexFixing(hiborindex,AK6290)</f>
        <v>8.3008079275562925E-3</v>
      </c>
    </row>
    <row r="6291" spans="37:39" x14ac:dyDescent="0.25">
      <c r="AK6291" s="21">
        <f>_xll.qlCalendarAdvance(calendar,AK6290,"1D")</f>
        <v>51515</v>
      </c>
      <c r="AL6291" s="21">
        <f>_xll.qlInterestRateIndexValueDate(hiborindex,AK6291)</f>
        <v>51517</v>
      </c>
      <c r="AM6291" s="23">
        <f>_xll.qlIndexFixing(hiborindex,AK6291)</f>
        <v>8.2992583436908695E-3</v>
      </c>
    </row>
    <row r="6292" spans="37:39" x14ac:dyDescent="0.25">
      <c r="AK6292" s="21">
        <f>_xll.qlCalendarAdvance(calendar,AK6291,"1D")</f>
        <v>51516</v>
      </c>
      <c r="AL6292" s="21">
        <f>_xll.qlInterestRateIndexValueDate(hiborindex,AK6292)</f>
        <v>51518</v>
      </c>
      <c r="AM6292" s="23">
        <f>_xll.qlIndexFixing(hiborindex,AK6292)</f>
        <v>8.2977084178519258E-3</v>
      </c>
    </row>
    <row r="6293" spans="37:39" x14ac:dyDescent="0.25">
      <c r="AK6293" s="21">
        <f>_xll.qlCalendarAdvance(calendar,AK6292,"1D")</f>
        <v>51517</v>
      </c>
      <c r="AL6293" s="21">
        <f>_xll.qlInterestRateIndexValueDate(hiborindex,AK6293)</f>
        <v>51519</v>
      </c>
      <c r="AM6293" s="23">
        <f>_xll.qlIndexFixing(hiborindex,AK6293)</f>
        <v>8.296158150039902E-3</v>
      </c>
    </row>
    <row r="6294" spans="37:39" x14ac:dyDescent="0.25">
      <c r="AK6294" s="21">
        <f>_xll.qlCalendarAdvance(calendar,AK6293,"1D")</f>
        <v>51518</v>
      </c>
      <c r="AL6294" s="21">
        <f>_xll.qlInterestRateIndexValueDate(hiborindex,AK6294)</f>
        <v>51522</v>
      </c>
      <c r="AM6294" s="23">
        <f>_xll.qlIndexFixing(hiborindex,AK6294)</f>
        <v>8.2902445333228013E-3</v>
      </c>
    </row>
    <row r="6295" spans="37:39" x14ac:dyDescent="0.25">
      <c r="AK6295" s="21">
        <f>_xll.qlCalendarAdvance(calendar,AK6294,"1D")</f>
        <v>51519</v>
      </c>
      <c r="AL6295" s="21">
        <f>_xll.qlInterestRateIndexValueDate(hiborindex,AK6295)</f>
        <v>51523</v>
      </c>
      <c r="AM6295" s="23">
        <f>_xll.qlIndexFixing(hiborindex,AK6295)</f>
        <v>8.2899536590760291E-3</v>
      </c>
    </row>
    <row r="6296" spans="37:39" x14ac:dyDescent="0.25">
      <c r="AK6296" s="21">
        <f>_xll.qlCalendarAdvance(calendar,AK6295,"1D")</f>
        <v>51522</v>
      </c>
      <c r="AL6296" s="21">
        <f>_xll.qlInterestRateIndexValueDate(hiborindex,AK6296)</f>
        <v>51524</v>
      </c>
      <c r="AM6296" s="23">
        <f>_xll.qlIndexFixing(hiborindex,AK6296)</f>
        <v>8.2884016814100889E-3</v>
      </c>
    </row>
    <row r="6297" spans="37:39" x14ac:dyDescent="0.25">
      <c r="AK6297" s="21">
        <f>_xll.qlCalendarAdvance(calendar,AK6296,"1D")</f>
        <v>51523</v>
      </c>
      <c r="AL6297" s="21">
        <f>_xll.qlInterestRateIndexValueDate(hiborindex,AK6297)</f>
        <v>51525</v>
      </c>
      <c r="AM6297" s="23">
        <f>_xll.qlIndexFixing(hiborindex,AK6297)</f>
        <v>8.2868493617763699E-3</v>
      </c>
    </row>
    <row r="6298" spans="37:39" x14ac:dyDescent="0.25">
      <c r="AK6298" s="21">
        <f>_xll.qlCalendarAdvance(calendar,AK6297,"1D")</f>
        <v>51524</v>
      </c>
      <c r="AL6298" s="21">
        <f>_xll.qlInterestRateIndexValueDate(hiborindex,AK6298)</f>
        <v>51526</v>
      </c>
      <c r="AM6298" s="23">
        <f>_xll.qlIndexFixing(hiborindex,AK6298)</f>
        <v>8.2852967001744299E-3</v>
      </c>
    </row>
    <row r="6299" spans="37:39" x14ac:dyDescent="0.25">
      <c r="AK6299" s="21">
        <f>_xll.qlCalendarAdvance(calendar,AK6298,"1D")</f>
        <v>51525</v>
      </c>
      <c r="AL6299" s="21">
        <f>_xll.qlInterestRateIndexValueDate(hiborindex,AK6299)</f>
        <v>51529</v>
      </c>
      <c r="AM6299" s="23">
        <f>_xll.qlIndexFixing(hiborindex,AK6299)</f>
        <v>8.2794338818542781E-3</v>
      </c>
    </row>
    <row r="6300" spans="37:39" x14ac:dyDescent="0.25">
      <c r="AK6300" s="21">
        <f>_xll.qlCalendarAdvance(calendar,AK6299,"1D")</f>
        <v>51526</v>
      </c>
      <c r="AL6300" s="21">
        <f>_xll.qlInterestRateIndexValueDate(hiborindex,AK6300)</f>
        <v>51530</v>
      </c>
      <c r="AM6300" s="23">
        <f>_xll.qlIndexFixing(hiborindex,AK6300)</f>
        <v>8.2790826341087378E-3</v>
      </c>
    </row>
    <row r="6301" spans="37:39" x14ac:dyDescent="0.25">
      <c r="AK6301" s="21">
        <f>_xll.qlCalendarAdvance(calendar,AK6300,"1D")</f>
        <v>51529</v>
      </c>
      <c r="AL6301" s="21">
        <f>_xll.qlInterestRateIndexValueDate(hiborindex,AK6301)</f>
        <v>51531</v>
      </c>
      <c r="AM6301" s="23">
        <f>_xll.qlIndexFixing(hiborindex,AK6301)</f>
        <v>8.2775282626815876E-3</v>
      </c>
    </row>
    <row r="6302" spans="37:39" x14ac:dyDescent="0.25">
      <c r="AK6302" s="21">
        <f>_xll.qlCalendarAdvance(calendar,AK6301,"1D")</f>
        <v>51530</v>
      </c>
      <c r="AL6302" s="21">
        <f>_xll.qlInterestRateIndexValueDate(hiborindex,AK6302)</f>
        <v>51532</v>
      </c>
      <c r="AM6302" s="23">
        <f>_xll.qlIndexFixing(hiborindex,AK6302)</f>
        <v>8.2759735492919564E-3</v>
      </c>
    </row>
    <row r="6303" spans="37:39" x14ac:dyDescent="0.25">
      <c r="AK6303" s="21">
        <f>_xll.qlCalendarAdvance(calendar,AK6302,"1D")</f>
        <v>51531</v>
      </c>
      <c r="AL6303" s="21">
        <f>_xll.qlInterestRateIndexValueDate(hiborindex,AK6303)</f>
        <v>51533</v>
      </c>
      <c r="AM6303" s="23">
        <f>_xll.qlIndexFixing(hiborindex,AK6303)</f>
        <v>8.274418493939846E-3</v>
      </c>
    </row>
    <row r="6304" spans="37:39" x14ac:dyDescent="0.25">
      <c r="AK6304" s="21">
        <f>_xll.qlCalendarAdvance(calendar,AK6303,"1D")</f>
        <v>51532</v>
      </c>
      <c r="AL6304" s="21">
        <f>_xll.qlInterestRateIndexValueDate(hiborindex,AK6304)</f>
        <v>51536</v>
      </c>
      <c r="AM6304" s="23">
        <f>_xll.qlIndexFixing(hiborindex,AK6304)</f>
        <v>8.2686065658465549E-3</v>
      </c>
    </row>
    <row r="6305" spans="37:39" x14ac:dyDescent="0.25">
      <c r="AK6305" s="21">
        <f>_xll.qlCalendarAdvance(calendar,AK6304,"1D")</f>
        <v>51533</v>
      </c>
      <c r="AL6305" s="21">
        <f>_xll.qlInterestRateIndexValueDate(hiborindex,AK6305)</f>
        <v>51537</v>
      </c>
      <c r="AM6305" s="23">
        <f>_xll.qlIndexFixing(hiborindex,AK6305)</f>
        <v>8.2681948529295599E-3</v>
      </c>
    </row>
    <row r="6306" spans="37:39" x14ac:dyDescent="0.25">
      <c r="AK6306" s="21">
        <f>_xll.qlCalendarAdvance(calendar,AK6305,"1D")</f>
        <v>51536</v>
      </c>
      <c r="AL6306" s="21">
        <f>_xll.qlInterestRateIndexValueDate(hiborindex,AK6306)</f>
        <v>51538</v>
      </c>
      <c r="AM6306" s="23">
        <f>_xll.qlIndexFixing(hiborindex,AK6306)</f>
        <v>8.2666380877805049E-3</v>
      </c>
    </row>
    <row r="6307" spans="37:39" x14ac:dyDescent="0.25">
      <c r="AK6307" s="21">
        <f>_xll.qlCalendarAdvance(calendar,AK6306,"1D")</f>
        <v>51537</v>
      </c>
      <c r="AL6307" s="21">
        <f>_xll.qlInterestRateIndexValueDate(hiborindex,AK6307)</f>
        <v>51539</v>
      </c>
      <c r="AM6307" s="23">
        <f>_xll.qlIndexFixing(hiborindex,AK6307)</f>
        <v>8.2650809806738262E-3</v>
      </c>
    </row>
    <row r="6308" spans="37:39" x14ac:dyDescent="0.25">
      <c r="AK6308" s="21">
        <f>_xll.qlCalendarAdvance(calendar,AK6307,"1D")</f>
        <v>51538</v>
      </c>
      <c r="AL6308" s="21">
        <f>_xll.qlInterestRateIndexValueDate(hiborindex,AK6308)</f>
        <v>51540</v>
      </c>
      <c r="AM6308" s="23">
        <f>_xll.qlIndexFixing(hiborindex,AK6308)</f>
        <v>8.2635235316112915E-3</v>
      </c>
    </row>
    <row r="6309" spans="37:39" x14ac:dyDescent="0.25">
      <c r="AK6309" s="21">
        <f>_xll.qlCalendarAdvance(calendar,AK6308,"1D")</f>
        <v>51539</v>
      </c>
      <c r="AL6309" s="21">
        <f>_xll.qlInterestRateIndexValueDate(hiborindex,AK6309)</f>
        <v>51543</v>
      </c>
      <c r="AM6309" s="23">
        <f>_xll.qlIndexFixing(hiborindex,AK6309)</f>
        <v>8.2577625855719435E-3</v>
      </c>
    </row>
    <row r="6310" spans="37:39" x14ac:dyDescent="0.25">
      <c r="AK6310" s="21">
        <f>_xll.qlCalendarAdvance(calendar,AK6309,"1D")</f>
        <v>51540</v>
      </c>
      <c r="AL6310" s="21">
        <f>_xll.qlInterestRateIndexValueDate(hiborindex,AK6310)</f>
        <v>51544</v>
      </c>
      <c r="AM6310" s="23">
        <f>_xll.qlIndexFixing(hiborindex,AK6310)</f>
        <v>8.2572903158127514E-3</v>
      </c>
    </row>
    <row r="6311" spans="37:39" x14ac:dyDescent="0.25">
      <c r="AK6311" s="21">
        <f>_xll.qlCalendarAdvance(calendar,AK6310,"1D")</f>
        <v>51543</v>
      </c>
      <c r="AL6311" s="21">
        <f>_xll.qlInterestRateIndexValueDate(hiborindex,AK6311)</f>
        <v>51545</v>
      </c>
      <c r="AM6311" s="23">
        <f>_xll.qlIndexFixing(hiborindex,AK6311)</f>
        <v>8.2557311569802106E-3</v>
      </c>
    </row>
    <row r="6312" spans="37:39" x14ac:dyDescent="0.25">
      <c r="AK6312" s="21">
        <f>_xll.qlCalendarAdvance(calendar,AK6311,"1D")</f>
        <v>51544</v>
      </c>
      <c r="AL6312" s="21">
        <f>_xll.qlInterestRateIndexValueDate(hiborindex,AK6312)</f>
        <v>51546</v>
      </c>
      <c r="AM6312" s="23">
        <f>_xll.qlIndexFixing(hiborindex,AK6312)</f>
        <v>8.2541716561966728E-3</v>
      </c>
    </row>
    <row r="6313" spans="37:39" x14ac:dyDescent="0.25">
      <c r="AK6313" s="21">
        <f>_xll.qlCalendarAdvance(calendar,AK6312,"1D")</f>
        <v>51545</v>
      </c>
      <c r="AL6313" s="21">
        <f>_xll.qlInterestRateIndexValueDate(hiborindex,AK6313)</f>
        <v>51547</v>
      </c>
      <c r="AM6313" s="23">
        <f>_xll.qlIndexFixing(hiborindex,AK6313)</f>
        <v>8.2526118134621379E-3</v>
      </c>
    </row>
    <row r="6314" spans="37:39" x14ac:dyDescent="0.25">
      <c r="AK6314" s="21">
        <f>_xll.qlCalendarAdvance(calendar,AK6313,"1D")</f>
        <v>51546</v>
      </c>
      <c r="AL6314" s="21">
        <f>_xll.qlInterestRateIndexValueDate(hiborindex,AK6314)</f>
        <v>51550</v>
      </c>
      <c r="AM6314" s="23">
        <f>_xll.qlIndexFixing(hiborindex,AK6314)</f>
        <v>8.2469019413045075E-3</v>
      </c>
    </row>
    <row r="6315" spans="37:39" x14ac:dyDescent="0.25">
      <c r="AK6315" s="21">
        <f>_xll.qlCalendarAdvance(calendar,AK6314,"1D")</f>
        <v>51547</v>
      </c>
      <c r="AL6315" s="21">
        <f>_xll.qlInterestRateIndexValueDate(hiborindex,AK6315)</f>
        <v>51551</v>
      </c>
      <c r="AM6315" s="23">
        <f>_xll.qlIndexFixing(hiborindex,AK6315)</f>
        <v>8.246369023033006E-3</v>
      </c>
    </row>
    <row r="6316" spans="37:39" x14ac:dyDescent="0.25">
      <c r="AK6316" s="21">
        <f>_xll.qlCalendarAdvance(calendar,AK6315,"1D")</f>
        <v>51550</v>
      </c>
      <c r="AL6316" s="21">
        <f>_xll.qlInterestRateIndexValueDate(hiborindex,AK6316)</f>
        <v>51552</v>
      </c>
      <c r="AM6316" s="23">
        <f>_xll.qlIndexFixing(hiborindex,AK6316)</f>
        <v>8.2448074705576135E-3</v>
      </c>
    </row>
    <row r="6317" spans="37:39" x14ac:dyDescent="0.25">
      <c r="AK6317" s="21">
        <f>_xll.qlCalendarAdvance(calendar,AK6316,"1D")</f>
        <v>51551</v>
      </c>
      <c r="AL6317" s="21">
        <f>_xll.qlInterestRateIndexValueDate(hiborindex,AK6317)</f>
        <v>51553</v>
      </c>
      <c r="AM6317" s="23">
        <f>_xll.qlIndexFixing(hiborindex,AK6317)</f>
        <v>8.2432455761356389E-3</v>
      </c>
    </row>
    <row r="6318" spans="37:39" x14ac:dyDescent="0.25">
      <c r="AK6318" s="21">
        <f>_xll.qlCalendarAdvance(calendar,AK6317,"1D")</f>
        <v>51552</v>
      </c>
      <c r="AL6318" s="21">
        <f>_xll.qlInterestRateIndexValueDate(hiborindex,AK6318)</f>
        <v>51554</v>
      </c>
      <c r="AM6318" s="23">
        <f>_xll.qlIndexFixing(hiborindex,AK6318)</f>
        <v>8.2416833397688499E-3</v>
      </c>
    </row>
    <row r="6319" spans="37:39" x14ac:dyDescent="0.25">
      <c r="AK6319" s="21">
        <f>_xll.qlCalendarAdvance(calendar,AK6318,"1D")</f>
        <v>51553</v>
      </c>
      <c r="AL6319" s="21">
        <f>_xll.qlInterestRateIndexValueDate(hiborindex,AK6319)</f>
        <v>51557</v>
      </c>
      <c r="AM6319" s="23">
        <f>_xll.qlIndexFixing(hiborindex,AK6319)</f>
        <v>8.236024633318316E-3</v>
      </c>
    </row>
    <row r="6320" spans="37:39" x14ac:dyDescent="0.25">
      <c r="AK6320" s="21">
        <f>_xll.qlCalendarAdvance(calendar,AK6319,"1D")</f>
        <v>51554</v>
      </c>
      <c r="AL6320" s="21">
        <f>_xll.qlInterestRateIndexValueDate(hiborindex,AK6320)</f>
        <v>51558</v>
      </c>
      <c r="AM6320" s="23">
        <f>_xll.qlIndexFixing(hiborindex,AK6320)</f>
        <v>8.2354309748667916E-3</v>
      </c>
    </row>
    <row r="6321" spans="37:39" x14ac:dyDescent="0.25">
      <c r="AK6321" s="21">
        <f>_xll.qlCalendarAdvance(calendar,AK6320,"1D")</f>
        <v>51557</v>
      </c>
      <c r="AL6321" s="21">
        <f>_xll.qlInterestRateIndexValueDate(hiborindex,AK6321)</f>
        <v>51559</v>
      </c>
      <c r="AM6321" s="23">
        <f>_xll.qlIndexFixing(hiborindex,AK6321)</f>
        <v>8.2338670287869682E-3</v>
      </c>
    </row>
    <row r="6322" spans="37:39" x14ac:dyDescent="0.25">
      <c r="AK6322" s="21">
        <f>_xll.qlCalendarAdvance(calendar,AK6321,"1D")</f>
        <v>51558</v>
      </c>
      <c r="AL6322" s="21">
        <f>_xll.qlInterestRateIndexValueDate(hiborindex,AK6322)</f>
        <v>51560</v>
      </c>
      <c r="AM6322" s="23">
        <f>_xll.qlIndexFixing(hiborindex,AK6322)</f>
        <v>8.2304240132125561E-3</v>
      </c>
    </row>
    <row r="6323" spans="37:39" x14ac:dyDescent="0.25">
      <c r="AK6323" s="21">
        <f>_xll.qlCalendarAdvance(calendar,AK6322,"1D")</f>
        <v>51559</v>
      </c>
      <c r="AL6323" s="21">
        <f>_xll.qlInterestRateIndexValueDate(hiborindex,AK6323)</f>
        <v>51561</v>
      </c>
      <c r="AM6323" s="23">
        <f>_xll.qlIndexFixing(hiborindex,AK6323)</f>
        <v>8.2270571730094898E-3</v>
      </c>
    </row>
    <row r="6324" spans="37:39" x14ac:dyDescent="0.25">
      <c r="AK6324" s="21">
        <f>_xll.qlCalendarAdvance(calendar,AK6323,"1D")</f>
        <v>51560</v>
      </c>
      <c r="AL6324" s="21">
        <f>_xll.qlInterestRateIndexValueDate(hiborindex,AK6324)</f>
        <v>51564</v>
      </c>
      <c r="AM6324" s="23">
        <f>_xll.qlIndexFixing(hiborindex,AK6324)</f>
        <v>8.2233396657416732E-3</v>
      </c>
    </row>
    <row r="6325" spans="37:39" x14ac:dyDescent="0.25">
      <c r="AK6325" s="21">
        <f>_xll.qlCalendarAdvance(calendar,AK6324,"1D")</f>
        <v>51561</v>
      </c>
      <c r="AL6325" s="21">
        <f>_xll.qlInterestRateIndexValueDate(hiborindex,AK6325)</f>
        <v>51565</v>
      </c>
      <c r="AM6325" s="23">
        <f>_xll.qlIndexFixing(hiborindex,AK6325)</f>
        <v>8.2217984629645337E-3</v>
      </c>
    </row>
    <row r="6326" spans="37:39" x14ac:dyDescent="0.25">
      <c r="AK6326" s="21">
        <f>_xll.qlCalendarAdvance(calendar,AK6325,"1D")</f>
        <v>51564</v>
      </c>
      <c r="AL6326" s="21">
        <f>_xll.qlInterestRateIndexValueDate(hiborindex,AK6326)</f>
        <v>51566</v>
      </c>
      <c r="AM6326" s="23">
        <f>_xll.qlIndexFixing(hiborindex,AK6326)</f>
        <v>8.2202569238047345E-3</v>
      </c>
    </row>
    <row r="6327" spans="37:39" x14ac:dyDescent="0.25">
      <c r="AK6327" s="21">
        <f>_xll.qlCalendarAdvance(calendar,AK6326,"1D")</f>
        <v>51565</v>
      </c>
      <c r="AL6327" s="21">
        <f>_xll.qlInterestRateIndexValueDate(hiborindex,AK6327)</f>
        <v>51567</v>
      </c>
      <c r="AM6327" s="23">
        <f>_xll.qlIndexFixing(hiborindex,AK6327)</f>
        <v>8.2170138635769205E-3</v>
      </c>
    </row>
    <row r="6328" spans="37:39" x14ac:dyDescent="0.25">
      <c r="AK6328" s="21">
        <f>_xll.qlCalendarAdvance(calendar,AK6327,"1D")</f>
        <v>51566</v>
      </c>
      <c r="AL6328" s="21">
        <f>_xll.qlInterestRateIndexValueDate(hiborindex,AK6328)</f>
        <v>51568</v>
      </c>
      <c r="AM6328" s="23">
        <f>_xll.qlIndexFixing(hiborindex,AK6328)</f>
        <v>8.2163253573636109E-3</v>
      </c>
    </row>
    <row r="6329" spans="37:39" x14ac:dyDescent="0.25">
      <c r="AK6329" s="21">
        <f>_xll.qlCalendarAdvance(calendar,AK6328,"1D")</f>
        <v>51567</v>
      </c>
      <c r="AL6329" s="21">
        <f>_xll.qlInterestRateIndexValueDate(hiborindex,AK6329)</f>
        <v>51571</v>
      </c>
      <c r="AM6329" s="23">
        <f>_xll.qlIndexFixing(hiborindex,AK6329)</f>
        <v>8.2125441823075272E-3</v>
      </c>
    </row>
    <row r="6330" spans="37:39" x14ac:dyDescent="0.25">
      <c r="AK6330" s="21">
        <f>_xll.qlCalendarAdvance(calendar,AK6329,"1D")</f>
        <v>51568</v>
      </c>
      <c r="AL6330" s="21">
        <f>_xll.qlInterestRateIndexValueDate(hiborindex,AK6330)</f>
        <v>51572</v>
      </c>
      <c r="AM6330" s="23">
        <f>_xll.qlIndexFixing(hiborindex,AK6330)</f>
        <v>8.2110006248734841E-3</v>
      </c>
    </row>
    <row r="6331" spans="37:39" x14ac:dyDescent="0.25">
      <c r="AK6331" s="21">
        <f>_xll.qlCalendarAdvance(calendar,AK6330,"1D")</f>
        <v>51571</v>
      </c>
      <c r="AL6331" s="21">
        <f>_xll.qlInterestRateIndexValueDate(hiborindex,AK6331)</f>
        <v>51573</v>
      </c>
      <c r="AM6331" s="23">
        <f>_xll.qlIndexFixing(hiborindex,AK6331)</f>
        <v>8.2094567310632971E-3</v>
      </c>
    </row>
    <row r="6332" spans="37:39" x14ac:dyDescent="0.25">
      <c r="AK6332" s="21">
        <f>_xll.qlCalendarAdvance(calendar,AK6331,"1D")</f>
        <v>51572</v>
      </c>
      <c r="AL6332" s="21">
        <f>_xll.qlInterestRateIndexValueDate(hiborindex,AK6332)</f>
        <v>51574</v>
      </c>
      <c r="AM6332" s="23">
        <f>_xll.qlIndexFixing(hiborindex,AK6332)</f>
        <v>8.2063240663664931E-3</v>
      </c>
    </row>
    <row r="6333" spans="37:39" x14ac:dyDescent="0.25">
      <c r="AK6333" s="21">
        <f>_xll.qlCalendarAdvance(calendar,AK6332,"1D")</f>
        <v>51573</v>
      </c>
      <c r="AL6333" s="21">
        <f>_xll.qlInterestRateIndexValueDate(hiborindex,AK6333)</f>
        <v>51575</v>
      </c>
      <c r="AM6333" s="23">
        <f>_xll.qlIndexFixing(hiborindex,AK6333)</f>
        <v>8.205577147867996E-3</v>
      </c>
    </row>
    <row r="6334" spans="37:39" x14ac:dyDescent="0.25">
      <c r="AK6334" s="21">
        <f>_xll.qlCalendarAdvance(calendar,AK6333,"1D")</f>
        <v>51574</v>
      </c>
      <c r="AL6334" s="21">
        <f>_xll.qlInterestRateIndexValueDate(hiborindex,AK6334)</f>
        <v>51578</v>
      </c>
      <c r="AM6334" s="23">
        <f>_xll.qlIndexFixing(hiborindex,AK6334)</f>
        <v>8.2017322163945219E-3</v>
      </c>
    </row>
    <row r="6335" spans="37:39" x14ac:dyDescent="0.25">
      <c r="AK6335" s="21">
        <f>_xll.qlCalendarAdvance(calendar,AK6334,"1D")</f>
        <v>51575</v>
      </c>
      <c r="AL6335" s="21">
        <f>_xll.qlInterestRateIndexValueDate(hiborindex,AK6335)</f>
        <v>51579</v>
      </c>
      <c r="AM6335" s="23">
        <f>_xll.qlIndexFixing(hiborindex,AK6335)</f>
        <v>8.2001863043431079E-3</v>
      </c>
    </row>
    <row r="6336" spans="37:39" x14ac:dyDescent="0.25">
      <c r="AK6336" s="21">
        <f>_xll.qlCalendarAdvance(calendar,AK6335,"1D")</f>
        <v>51578</v>
      </c>
      <c r="AL6336" s="21">
        <f>_xll.qlInterestRateIndexValueDate(hiborindex,AK6336)</f>
        <v>51580</v>
      </c>
      <c r="AM6336" s="23">
        <f>_xll.qlIndexFixing(hiborindex,AK6336)</f>
        <v>8.1986400559207629E-3</v>
      </c>
    </row>
    <row r="6337" spans="37:39" x14ac:dyDescent="0.25">
      <c r="AK6337" s="21">
        <f>_xll.qlCalendarAdvance(calendar,AK6336,"1D")</f>
        <v>51579</v>
      </c>
      <c r="AL6337" s="21">
        <f>_xll.qlInterestRateIndexValueDate(hiborindex,AK6337)</f>
        <v>51581</v>
      </c>
      <c r="AM6337" s="23">
        <f>_xll.qlIndexFixing(hiborindex,AK6337)</f>
        <v>8.1956179633301297E-3</v>
      </c>
    </row>
    <row r="6338" spans="37:39" x14ac:dyDescent="0.25">
      <c r="AK6338" s="21">
        <f>_xll.qlCalendarAdvance(calendar,AK6337,"1D")</f>
        <v>51580</v>
      </c>
      <c r="AL6338" s="21">
        <f>_xll.qlInterestRateIndexValueDate(hiborindex,AK6338)</f>
        <v>51582</v>
      </c>
      <c r="AM6338" s="23">
        <f>_xll.qlIndexFixing(hiborindex,AK6338)</f>
        <v>8.1948125447944276E-3</v>
      </c>
    </row>
    <row r="6339" spans="37:39" x14ac:dyDescent="0.25">
      <c r="AK6339" s="21">
        <f>_xll.qlCalendarAdvance(calendar,AK6338,"1D")</f>
        <v>51581</v>
      </c>
      <c r="AL6339" s="21">
        <f>_xll.qlInterestRateIndexValueDate(hiborindex,AK6339)</f>
        <v>51585</v>
      </c>
      <c r="AM6339" s="23">
        <f>_xll.qlIndexFixing(hiborindex,AK6339)</f>
        <v>8.1909037682759145E-3</v>
      </c>
    </row>
    <row r="6340" spans="37:39" x14ac:dyDescent="0.25">
      <c r="AK6340" s="21">
        <f>_xll.qlCalendarAdvance(calendar,AK6339,"1D")</f>
        <v>51582</v>
      </c>
      <c r="AL6340" s="21">
        <f>_xll.qlInterestRateIndexValueDate(hiborindex,AK6340)</f>
        <v>51586</v>
      </c>
      <c r="AM6340" s="23">
        <f>_xll.qlIndexFixing(hiborindex,AK6340)</f>
        <v>8.1893555016462304E-3</v>
      </c>
    </row>
    <row r="6341" spans="37:39" x14ac:dyDescent="0.25">
      <c r="AK6341" s="21">
        <f>_xll.qlCalendarAdvance(calendar,AK6340,"1D")</f>
        <v>51585</v>
      </c>
      <c r="AL6341" s="21">
        <f>_xll.qlInterestRateIndexValueDate(hiborindex,AK6341)</f>
        <v>51587</v>
      </c>
      <c r="AM6341" s="23">
        <f>_xll.qlIndexFixing(hiborindex,AK6341)</f>
        <v>8.1878068986512599E-3</v>
      </c>
    </row>
    <row r="6342" spans="37:39" x14ac:dyDescent="0.25">
      <c r="AK6342" s="21">
        <f>_xll.qlCalendarAdvance(calendar,AK6341,"1D")</f>
        <v>51586</v>
      </c>
      <c r="AL6342" s="21">
        <f>_xll.qlInterestRateIndexValueDate(hiborindex,AK6342)</f>
        <v>51588</v>
      </c>
      <c r="AM6342" s="23">
        <f>_xll.qlIndexFixing(hiborindex,AK6342)</f>
        <v>8.1848955547368599E-3</v>
      </c>
    </row>
    <row r="6343" spans="37:39" x14ac:dyDescent="0.25">
      <c r="AK6343" s="21">
        <f>_xll.qlCalendarAdvance(calendar,AK6342,"1D")</f>
        <v>51587</v>
      </c>
      <c r="AL6343" s="21">
        <f>_xll.qlInterestRateIndexValueDate(hiborindex,AK6343)</f>
        <v>51589</v>
      </c>
      <c r="AM6343" s="23">
        <f>_xll.qlIndexFixing(hiborindex,AK6343)</f>
        <v>8.1840315484146848E-3</v>
      </c>
    </row>
    <row r="6344" spans="37:39" x14ac:dyDescent="0.25">
      <c r="AK6344" s="21">
        <f>_xll.qlCalendarAdvance(calendar,AK6343,"1D")</f>
        <v>51588</v>
      </c>
      <c r="AL6344" s="21">
        <f>_xll.qlInterestRateIndexValueDate(hiborindex,AK6344)</f>
        <v>51592</v>
      </c>
      <c r="AM6344" s="23">
        <f>_xll.qlIndexFixing(hiborindex,AK6344)</f>
        <v>8.1807194761798728E-3</v>
      </c>
    </row>
    <row r="6345" spans="37:39" x14ac:dyDescent="0.25">
      <c r="AK6345" s="21">
        <f>_xll.qlCalendarAdvance(calendar,AK6344,"1D")</f>
        <v>51589</v>
      </c>
      <c r="AL6345" s="21">
        <f>_xll.qlInterestRateIndexValueDate(hiborindex,AK6345)</f>
        <v>51593</v>
      </c>
      <c r="AM6345" s="23">
        <f>_xll.qlIndexFixing(hiborindex,AK6345)</f>
        <v>8.1791606291057167E-3</v>
      </c>
    </row>
    <row r="6346" spans="37:39" x14ac:dyDescent="0.25">
      <c r="AK6346" s="21">
        <f>_xll.qlCalendarAdvance(calendar,AK6345,"1D")</f>
        <v>51592</v>
      </c>
      <c r="AL6346" s="21">
        <f>_xll.qlInterestRateIndexValueDate(hiborindex,AK6346)</f>
        <v>51594</v>
      </c>
      <c r="AM6346" s="23">
        <f>_xll.qlIndexFixing(hiborindex,AK6346)</f>
        <v>8.1776014438417564E-3</v>
      </c>
    </row>
    <row r="6347" spans="37:39" x14ac:dyDescent="0.25">
      <c r="AK6347" s="21">
        <f>_xll.qlCalendarAdvance(calendar,AK6346,"1D")</f>
        <v>51593</v>
      </c>
      <c r="AL6347" s="21">
        <f>_xll.qlInterestRateIndexValueDate(hiborindex,AK6347)</f>
        <v>51595</v>
      </c>
      <c r="AM6347" s="23">
        <f>_xll.qlIndexFixing(hiborindex,AK6347)</f>
        <v>8.1760419203875563E-3</v>
      </c>
    </row>
    <row r="6348" spans="37:39" x14ac:dyDescent="0.25">
      <c r="AK6348" s="21">
        <f>_xll.qlCalendarAdvance(calendar,AK6347,"1D")</f>
        <v>51594</v>
      </c>
      <c r="AL6348" s="21">
        <f>_xll.qlInterestRateIndexValueDate(hiborindex,AK6348)</f>
        <v>51596</v>
      </c>
      <c r="AM6348" s="23">
        <f>_xll.qlIndexFixing(hiborindex,AK6348)</f>
        <v>8.1732341589996899E-3</v>
      </c>
    </row>
    <row r="6349" spans="37:39" x14ac:dyDescent="0.25">
      <c r="AK6349" s="21">
        <f>_xll.qlCalendarAdvance(calendar,AK6348,"1D")</f>
        <v>51595</v>
      </c>
      <c r="AL6349" s="21">
        <f>_xll.qlInterestRateIndexValueDate(hiborindex,AK6349)</f>
        <v>51599</v>
      </c>
      <c r="AM6349" s="23">
        <f>_xll.qlIndexFixing(hiborindex,AK6349)</f>
        <v>8.1698004446919339E-3</v>
      </c>
    </row>
    <row r="6350" spans="37:39" x14ac:dyDescent="0.25">
      <c r="AK6350" s="21">
        <f>_xll.qlCalendarAdvance(calendar,AK6349,"1D")</f>
        <v>51596</v>
      </c>
      <c r="AL6350" s="21">
        <f>_xll.qlInterestRateIndexValueDate(hiborindex,AK6350)</f>
        <v>51600</v>
      </c>
      <c r="AM6350" s="23">
        <f>_xll.qlIndexFixing(hiborindex,AK6350)</f>
        <v>8.1682392303022537E-3</v>
      </c>
    </row>
    <row r="6351" spans="37:39" x14ac:dyDescent="0.25">
      <c r="AK6351" s="21">
        <f>_xll.qlCalendarAdvance(calendar,AK6350,"1D")</f>
        <v>51599</v>
      </c>
      <c r="AL6351" s="21">
        <f>_xll.qlInterestRateIndexValueDate(hiborindex,AK6351)</f>
        <v>51601</v>
      </c>
      <c r="AM6351" s="23">
        <f>_xll.qlIndexFixing(hiborindex,AK6351)</f>
        <v>8.166677677727139E-3</v>
      </c>
    </row>
    <row r="6352" spans="37:39" x14ac:dyDescent="0.25">
      <c r="AK6352" s="21">
        <f>_xll.qlCalendarAdvance(calendar,AK6351,"1D")</f>
        <v>51600</v>
      </c>
      <c r="AL6352" s="21">
        <f>_xll.qlInterestRateIndexValueDate(hiborindex,AK6352)</f>
        <v>51602</v>
      </c>
      <c r="AM6352" s="23">
        <f>_xll.qlIndexFixing(hiborindex,AK6352)</f>
        <v>8.1651157869687702E-3</v>
      </c>
    </row>
    <row r="6353" spans="37:39" x14ac:dyDescent="0.25">
      <c r="AK6353" s="21">
        <f>_xll.qlCalendarAdvance(calendar,AK6352,"1D")</f>
        <v>51601</v>
      </c>
      <c r="AL6353" s="21">
        <f>_xll.qlInterestRateIndexValueDate(hiborindex,AK6353)</f>
        <v>51603</v>
      </c>
      <c r="AM6353" s="23">
        <f>_xll.qlIndexFixing(hiborindex,AK6353)</f>
        <v>8.1624203768229531E-3</v>
      </c>
    </row>
    <row r="6354" spans="37:39" x14ac:dyDescent="0.25">
      <c r="AK6354" s="21">
        <f>_xll.qlCalendarAdvance(calendar,AK6353,"1D")</f>
        <v>51602</v>
      </c>
      <c r="AL6354" s="21">
        <f>_xll.qlInterestRateIndexValueDate(hiborindex,AK6354)</f>
        <v>51606</v>
      </c>
      <c r="AM6354" s="23">
        <f>_xll.qlIndexFixing(hiborindex,AK6354)</f>
        <v>8.158864842110208E-3</v>
      </c>
    </row>
    <row r="6355" spans="37:39" x14ac:dyDescent="0.25">
      <c r="AK6355" s="21">
        <f>_xll.qlCalendarAdvance(calendar,AK6354,"1D")</f>
        <v>51603</v>
      </c>
      <c r="AL6355" s="21">
        <f>_xll.qlInterestRateIndexValueDate(hiborindex,AK6355)</f>
        <v>51607</v>
      </c>
      <c r="AM6355" s="23">
        <f>_xll.qlIndexFixing(hiborindex,AK6355)</f>
        <v>8.1573012604438805E-3</v>
      </c>
    </row>
    <row r="6356" spans="37:39" x14ac:dyDescent="0.25">
      <c r="AK6356" s="21">
        <f>_xll.qlCalendarAdvance(calendar,AK6355,"1D")</f>
        <v>51606</v>
      </c>
      <c r="AL6356" s="21">
        <f>_xll.qlInterestRateIndexValueDate(hiborindex,AK6356)</f>
        <v>51608</v>
      </c>
      <c r="AM6356" s="23">
        <f>_xll.qlIndexFixing(hiborindex,AK6356)</f>
        <v>8.1557373405977945E-3</v>
      </c>
    </row>
    <row r="6357" spans="37:39" x14ac:dyDescent="0.25">
      <c r="AK6357" s="21">
        <f>_xll.qlCalendarAdvance(calendar,AK6356,"1D")</f>
        <v>51607</v>
      </c>
      <c r="AL6357" s="21">
        <f>_xll.qlInterestRateIndexValueDate(hiborindex,AK6357)</f>
        <v>51609</v>
      </c>
      <c r="AM6357" s="23">
        <f>_xll.qlIndexFixing(hiborindex,AK6357)</f>
        <v>8.1541730825737003E-3</v>
      </c>
    </row>
    <row r="6358" spans="37:39" x14ac:dyDescent="0.25">
      <c r="AK6358" s="21">
        <f>_xll.qlCalendarAdvance(calendar,AK6357,"1D")</f>
        <v>51608</v>
      </c>
      <c r="AL6358" s="21">
        <f>_xll.qlInterestRateIndexValueDate(hiborindex,AK6358)</f>
        <v>51614</v>
      </c>
      <c r="AM6358" s="23">
        <f>_xll.qlIndexFixing(hiborindex,AK6358)</f>
        <v>8.1463467198062221E-3</v>
      </c>
    </row>
    <row r="6359" spans="37:39" x14ac:dyDescent="0.25">
      <c r="AK6359" s="21">
        <f>_xll.qlCalendarAdvance(calendar,AK6358,"1D")</f>
        <v>51609</v>
      </c>
      <c r="AL6359" s="21">
        <f>_xll.qlInterestRateIndexValueDate(hiborindex,AK6359)</f>
        <v>51615</v>
      </c>
      <c r="AM6359" s="23">
        <f>_xll.qlIndexFixing(hiborindex,AK6359)</f>
        <v>8.1447804327289177E-3</v>
      </c>
    </row>
    <row r="6360" spans="37:39" x14ac:dyDescent="0.25">
      <c r="AK6360" s="21">
        <f>_xll.qlCalendarAdvance(calendar,AK6359,"1D")</f>
        <v>51614</v>
      </c>
      <c r="AL6360" s="21">
        <f>_xll.qlInterestRateIndexValueDate(hiborindex,AK6360)</f>
        <v>51616</v>
      </c>
      <c r="AM6360" s="23">
        <f>_xll.qlIndexFixing(hiborindex,AK6360)</f>
        <v>8.143213807478844E-3</v>
      </c>
    </row>
    <row r="6361" spans="37:39" x14ac:dyDescent="0.25">
      <c r="AK6361" s="21">
        <f>_xll.qlCalendarAdvance(calendar,AK6360,"1D")</f>
        <v>51615</v>
      </c>
      <c r="AL6361" s="21">
        <f>_xll.qlInterestRateIndexValueDate(hiborindex,AK6361)</f>
        <v>51617</v>
      </c>
      <c r="AM6361" s="23">
        <f>_xll.qlIndexFixing(hiborindex,AK6361)</f>
        <v>8.1407436352739729E-3</v>
      </c>
    </row>
    <row r="6362" spans="37:39" x14ac:dyDescent="0.25">
      <c r="AK6362" s="21">
        <f>_xll.qlCalendarAdvance(calendar,AK6361,"1D")</f>
        <v>51616</v>
      </c>
      <c r="AL6362" s="21">
        <f>_xll.qlInterestRateIndexValueDate(hiborindex,AK6362)</f>
        <v>51620</v>
      </c>
      <c r="AM6362" s="23">
        <f>_xll.qlIndexFixing(hiborindex,AK6362)</f>
        <v>8.1369439247679018E-3</v>
      </c>
    </row>
    <row r="6363" spans="37:39" x14ac:dyDescent="0.25">
      <c r="AK6363" s="21">
        <f>_xll.qlCalendarAdvance(calendar,AK6362,"1D")</f>
        <v>51617</v>
      </c>
      <c r="AL6363" s="21">
        <f>_xll.qlInterestRateIndexValueDate(hiborindex,AK6363)</f>
        <v>51621</v>
      </c>
      <c r="AM6363" s="23">
        <f>_xll.qlIndexFixing(hiborindex,AK6363)</f>
        <v>8.1349542652414432E-3</v>
      </c>
    </row>
    <row r="6364" spans="37:39" x14ac:dyDescent="0.25">
      <c r="AK6364" s="21">
        <f>_xll.qlCalendarAdvance(calendar,AK6363,"1D")</f>
        <v>51620</v>
      </c>
      <c r="AL6364" s="21">
        <f>_xll.qlInterestRateIndexValueDate(hiborindex,AK6364)</f>
        <v>51623</v>
      </c>
      <c r="AM6364" s="23">
        <f>_xll.qlIndexFixing(hiborindex,AK6364)</f>
        <v>8.1310389379052675E-3</v>
      </c>
    </row>
    <row r="6365" spans="37:39" x14ac:dyDescent="0.25">
      <c r="AK6365" s="21">
        <f>_xll.qlCalendarAdvance(calendar,AK6364,"1D")</f>
        <v>51621</v>
      </c>
      <c r="AL6365" s="21">
        <f>_xll.qlInterestRateIndexValueDate(hiborindex,AK6365)</f>
        <v>51624</v>
      </c>
      <c r="AM6365" s="23">
        <f>_xll.qlIndexFixing(hiborindex,AK6365)</f>
        <v>8.1298806764491839E-3</v>
      </c>
    </row>
    <row r="6366" spans="37:39" x14ac:dyDescent="0.25">
      <c r="AK6366" s="21">
        <f>_xll.qlCalendarAdvance(calendar,AK6365,"1D")</f>
        <v>51623</v>
      </c>
      <c r="AL6366" s="21">
        <f>_xll.qlInterestRateIndexValueDate(hiborindex,AK6366)</f>
        <v>51627</v>
      </c>
      <c r="AM6366" s="23">
        <f>_xll.qlIndexFixing(hiborindex,AK6366)</f>
        <v>8.1255869685765807E-3</v>
      </c>
    </row>
    <row r="6367" spans="37:39" x14ac:dyDescent="0.25">
      <c r="AK6367" s="21">
        <f>_xll.qlCalendarAdvance(calendar,AK6366,"1D")</f>
        <v>51624</v>
      </c>
      <c r="AL6367" s="21">
        <f>_xll.qlInterestRateIndexValueDate(hiborindex,AK6367)</f>
        <v>51628</v>
      </c>
      <c r="AM6367" s="23">
        <f>_xll.qlIndexFixing(hiborindex,AK6367)</f>
        <v>8.1240245752974803E-3</v>
      </c>
    </row>
    <row r="6368" spans="37:39" x14ac:dyDescent="0.25">
      <c r="AK6368" s="21">
        <f>_xll.qlCalendarAdvance(calendar,AK6367,"1D")</f>
        <v>51627</v>
      </c>
      <c r="AL6368" s="21">
        <f>_xll.qlInterestRateIndexValueDate(hiborindex,AK6368)</f>
        <v>51629</v>
      </c>
      <c r="AM6368" s="23">
        <f>_xll.qlIndexFixing(hiborindex,AK6368)</f>
        <v>8.1224618456878506E-3</v>
      </c>
    </row>
    <row r="6369" spans="37:39" x14ac:dyDescent="0.25">
      <c r="AK6369" s="21">
        <f>_xll.qlCalendarAdvance(calendar,AK6368,"1D")</f>
        <v>51628</v>
      </c>
      <c r="AL6369" s="21">
        <f>_xll.qlInterestRateIndexValueDate(hiborindex,AK6369)</f>
        <v>51630</v>
      </c>
      <c r="AM6369" s="23">
        <f>_xll.qlIndexFixing(hiborindex,AK6369)</f>
        <v>8.1202187016683781E-3</v>
      </c>
    </row>
    <row r="6370" spans="37:39" x14ac:dyDescent="0.25">
      <c r="AK6370" s="21">
        <f>_xll.qlCalendarAdvance(calendar,AK6369,"1D")</f>
        <v>51629</v>
      </c>
      <c r="AL6370" s="21">
        <f>_xll.qlInterestRateIndexValueDate(hiborindex,AK6370)</f>
        <v>51631</v>
      </c>
      <c r="AM6370" s="23">
        <f>_xll.qlIndexFixing(hiborindex,AK6370)</f>
        <v>8.1190013259558325E-3</v>
      </c>
    </row>
    <row r="6371" spans="37:39" x14ac:dyDescent="0.25">
      <c r="AK6371" s="21">
        <f>_xll.qlCalendarAdvance(calendar,AK6370,"1D")</f>
        <v>51630</v>
      </c>
      <c r="AL6371" s="21">
        <f>_xll.qlInterestRateIndexValueDate(hiborindex,AK6371)</f>
        <v>51634</v>
      </c>
      <c r="AM6371" s="23">
        <f>_xll.qlIndexFixing(hiborindex,AK6371)</f>
        <v>8.1146431526913296E-3</v>
      </c>
    </row>
    <row r="6372" spans="37:39" x14ac:dyDescent="0.25">
      <c r="AK6372" s="21">
        <f>_xll.qlCalendarAdvance(calendar,AK6371,"1D")</f>
        <v>51631</v>
      </c>
      <c r="AL6372" s="21">
        <f>_xll.qlInterestRateIndexValueDate(hiborindex,AK6372)</f>
        <v>51635</v>
      </c>
      <c r="AM6372" s="23">
        <f>_xll.qlIndexFixing(hiborindex,AK6372)</f>
        <v>8.1130784051089543E-3</v>
      </c>
    </row>
    <row r="6373" spans="37:39" x14ac:dyDescent="0.25">
      <c r="AK6373" s="21">
        <f>_xll.qlCalendarAdvance(calendar,AK6372,"1D")</f>
        <v>51634</v>
      </c>
      <c r="AL6373" s="21">
        <f>_xll.qlInterestRateIndexValueDate(hiborindex,AK6373)</f>
        <v>51636</v>
      </c>
      <c r="AM6373" s="23">
        <f>_xll.qlIndexFixing(hiborindex,AK6373)</f>
        <v>8.1115133212003952E-3</v>
      </c>
    </row>
    <row r="6374" spans="37:39" x14ac:dyDescent="0.25">
      <c r="AK6374" s="21">
        <f>_xll.qlCalendarAdvance(calendar,AK6373,"1D")</f>
        <v>51635</v>
      </c>
      <c r="AL6374" s="21">
        <f>_xll.qlInterestRateIndexValueDate(hiborindex,AK6374)</f>
        <v>51637</v>
      </c>
      <c r="AM6374" s="23">
        <f>_xll.qlIndexFixing(hiborindex,AK6374)</f>
        <v>8.1093821617767188E-3</v>
      </c>
    </row>
    <row r="6375" spans="37:39" x14ac:dyDescent="0.25">
      <c r="AK6375" s="21">
        <f>_xll.qlCalendarAdvance(calendar,AK6374,"1D")</f>
        <v>51636</v>
      </c>
      <c r="AL6375" s="21">
        <f>_xll.qlInterestRateIndexValueDate(hiborindex,AK6375)</f>
        <v>51638</v>
      </c>
      <c r="AM6375" s="23">
        <f>_xll.qlIndexFixing(hiborindex,AK6375)</f>
        <v>8.1081055840682929E-3</v>
      </c>
    </row>
    <row r="6376" spans="37:39" x14ac:dyDescent="0.25">
      <c r="AK6376" s="21">
        <f>_xll.qlCalendarAdvance(calendar,AK6375,"1D")</f>
        <v>51637</v>
      </c>
      <c r="AL6376" s="21">
        <f>_xll.qlInterestRateIndexValueDate(hiborindex,AK6376)</f>
        <v>51641</v>
      </c>
      <c r="AM6376" s="23">
        <f>_xll.qlIndexFixing(hiborindex,AK6376)</f>
        <v>8.1036828567978524E-3</v>
      </c>
    </row>
    <row r="6377" spans="37:39" x14ac:dyDescent="0.25">
      <c r="AK6377" s="21">
        <f>_xll.qlCalendarAdvance(calendar,AK6376,"1D")</f>
        <v>51638</v>
      </c>
      <c r="AL6377" s="21">
        <f>_xll.qlInterestRateIndexValueDate(hiborindex,AK6377)</f>
        <v>51642</v>
      </c>
      <c r="AM6377" s="23">
        <f>_xll.qlIndexFixing(hiborindex,AK6377)</f>
        <v>8.1021157549508675E-3</v>
      </c>
    </row>
    <row r="6378" spans="37:39" x14ac:dyDescent="0.25">
      <c r="AK6378" s="21">
        <f>_xll.qlCalendarAdvance(calendar,AK6377,"1D")</f>
        <v>51641</v>
      </c>
      <c r="AL6378" s="21">
        <f>_xll.qlInterestRateIndexValueDate(hiborindex,AK6378)</f>
        <v>51643</v>
      </c>
      <c r="AM6378" s="23">
        <f>_xll.qlIndexFixing(hiborindex,AK6378)</f>
        <v>8.1005483167837806E-3</v>
      </c>
    </row>
    <row r="6379" spans="37:39" x14ac:dyDescent="0.25">
      <c r="AK6379" s="21">
        <f>_xll.qlCalendarAdvance(calendar,AK6378,"1D")</f>
        <v>51642</v>
      </c>
      <c r="AL6379" s="21">
        <f>_xll.qlInterestRateIndexValueDate(hiborindex,AK6379)</f>
        <v>51644</v>
      </c>
      <c r="AM6379" s="23">
        <f>_xll.qlIndexFixing(hiborindex,AK6379)</f>
        <v>8.0985293185040479E-3</v>
      </c>
    </row>
    <row r="6380" spans="37:39" x14ac:dyDescent="0.25">
      <c r="AK6380" s="21">
        <f>_xll.qlCalendarAdvance(calendar,AK6379,"1D")</f>
        <v>51643</v>
      </c>
      <c r="AL6380" s="21">
        <f>_xll.qlInterestRateIndexValueDate(hiborindex,AK6380)</f>
        <v>51645</v>
      </c>
      <c r="AM6380" s="23">
        <f>_xll.qlIndexFixing(hiborindex,AK6380)</f>
        <v>8.0971934510613713E-3</v>
      </c>
    </row>
    <row r="6381" spans="37:39" x14ac:dyDescent="0.25">
      <c r="AK6381" s="21">
        <f>_xll.qlCalendarAdvance(calendar,AK6380,"1D")</f>
        <v>51644</v>
      </c>
      <c r="AL6381" s="21">
        <f>_xll.qlInterestRateIndexValueDate(hiborindex,AK6381)</f>
        <v>51648</v>
      </c>
      <c r="AM6381" s="23">
        <f>_xll.qlIndexFixing(hiborindex,AK6381)</f>
        <v>8.0927060811724471E-3</v>
      </c>
    </row>
    <row r="6382" spans="37:39" x14ac:dyDescent="0.25">
      <c r="AK6382" s="21">
        <f>_xll.qlCalendarAdvance(calendar,AK6381,"1D")</f>
        <v>51645</v>
      </c>
      <c r="AL6382" s="21">
        <f>_xll.qlInterestRateIndexValueDate(hiborindex,AK6382)</f>
        <v>51649</v>
      </c>
      <c r="AM6382" s="23">
        <f>_xll.qlIndexFixing(hiborindex,AK6382)</f>
        <v>8.0911366251008206E-3</v>
      </c>
    </row>
    <row r="6383" spans="37:39" x14ac:dyDescent="0.25">
      <c r="AK6383" s="21">
        <f>_xll.qlCalendarAdvance(calendar,AK6382,"1D")</f>
        <v>51648</v>
      </c>
      <c r="AL6383" s="21">
        <f>_xll.qlInterestRateIndexValueDate(hiborindex,AK6383)</f>
        <v>51650</v>
      </c>
      <c r="AM6383" s="23">
        <f>_xll.qlIndexFixing(hiborindex,AK6383)</f>
        <v>8.0895668327147403E-3</v>
      </c>
    </row>
    <row r="6384" spans="37:39" x14ac:dyDescent="0.25">
      <c r="AK6384" s="21">
        <f>_xll.qlCalendarAdvance(calendar,AK6383,"1D")</f>
        <v>51649</v>
      </c>
      <c r="AL6384" s="21">
        <f>_xll.qlInterestRateIndexValueDate(hiborindex,AK6384)</f>
        <v>51651</v>
      </c>
      <c r="AM6384" s="23">
        <f>_xll.qlIndexFixing(hiborindex,AK6384)</f>
        <v>8.0881688812001473E-3</v>
      </c>
    </row>
    <row r="6385" spans="37:39" x14ac:dyDescent="0.25">
      <c r="AK6385" s="21">
        <f>_xll.qlCalendarAdvance(calendar,AK6384,"1D")</f>
        <v>51650</v>
      </c>
      <c r="AL6385" s="21">
        <f>_xll.qlInterestRateIndexValueDate(hiborindex,AK6385)</f>
        <v>51652</v>
      </c>
      <c r="AM6385" s="23">
        <f>_xll.qlIndexFixing(hiborindex,AK6385)</f>
        <v>8.0867564987403238E-3</v>
      </c>
    </row>
    <row r="6386" spans="37:39" x14ac:dyDescent="0.25">
      <c r="AK6386" s="21">
        <f>_xll.qlCalendarAdvance(calendar,AK6385,"1D")</f>
        <v>51651</v>
      </c>
      <c r="AL6386" s="21">
        <f>_xll.qlInterestRateIndexValueDate(hiborindex,AK6386)</f>
        <v>51655</v>
      </c>
      <c r="AM6386" s="23">
        <f>_xll.qlIndexFixing(hiborindex,AK6386)</f>
        <v>8.0818516566302477E-3</v>
      </c>
    </row>
    <row r="6387" spans="37:39" x14ac:dyDescent="0.25">
      <c r="AK6387" s="21">
        <f>_xll.qlCalendarAdvance(calendar,AK6386,"1D")</f>
        <v>51652</v>
      </c>
      <c r="AL6387" s="21">
        <f>_xll.qlInterestRateIndexValueDate(hiborindex,AK6387)</f>
        <v>51656</v>
      </c>
      <c r="AM6387" s="23">
        <f>_xll.qlIndexFixing(hiborindex,AK6387)</f>
        <v>8.0802715051355688E-3</v>
      </c>
    </row>
    <row r="6388" spans="37:39" x14ac:dyDescent="0.25">
      <c r="AK6388" s="21">
        <f>_xll.qlCalendarAdvance(calendar,AK6387,"1D")</f>
        <v>51655</v>
      </c>
      <c r="AL6388" s="21">
        <f>_xll.qlInterestRateIndexValueDate(hiborindex,AK6388)</f>
        <v>51657</v>
      </c>
      <c r="AM6388" s="23">
        <f>_xll.qlIndexFixing(hiborindex,AK6388)</f>
        <v>8.0786910155004454E-3</v>
      </c>
    </row>
    <row r="6389" spans="37:39" x14ac:dyDescent="0.25">
      <c r="AK6389" s="21">
        <f>_xll.qlCalendarAdvance(calendar,AK6388,"1D")</f>
        <v>51656</v>
      </c>
      <c r="AL6389" s="21">
        <f>_xll.qlInterestRateIndexValueDate(hiborindex,AK6389)</f>
        <v>51658</v>
      </c>
      <c r="AM6389" s="23">
        <f>_xll.qlIndexFixing(hiborindex,AK6389)</f>
        <v>8.0771101877270615E-3</v>
      </c>
    </row>
    <row r="6390" spans="37:39" x14ac:dyDescent="0.25">
      <c r="AK6390" s="21">
        <f>_xll.qlCalendarAdvance(calendar,AK6389,"1D")</f>
        <v>51657</v>
      </c>
      <c r="AL6390" s="21">
        <f>_xll.qlInterestRateIndexValueDate(hiborindex,AK6390)</f>
        <v>51659</v>
      </c>
      <c r="AM6390" s="23">
        <f>_xll.qlIndexFixing(hiborindex,AK6390)</f>
        <v>8.0753200127925071E-3</v>
      </c>
    </row>
    <row r="6391" spans="37:39" x14ac:dyDescent="0.25">
      <c r="AK6391" s="21">
        <f>_xll.qlCalendarAdvance(calendar,AK6390,"1D")</f>
        <v>51658</v>
      </c>
      <c r="AL6391" s="21">
        <f>_xll.qlInterestRateIndexValueDate(hiborindex,AK6391)</f>
        <v>51662</v>
      </c>
      <c r="AM6391" s="23">
        <f>_xll.qlIndexFixing(hiborindex,AK6391)</f>
        <v>8.0707834952631532E-3</v>
      </c>
    </row>
    <row r="6392" spans="37:39" x14ac:dyDescent="0.25">
      <c r="AK6392" s="21">
        <f>_xll.qlCalendarAdvance(calendar,AK6391,"1D")</f>
        <v>51659</v>
      </c>
      <c r="AL6392" s="21">
        <f>_xll.qlInterestRateIndexValueDate(hiborindex,AK6392)</f>
        <v>51663</v>
      </c>
      <c r="AM6392" s="23">
        <f>_xll.qlIndexFixing(hiborindex,AK6392)</f>
        <v>8.0692009768085129E-3</v>
      </c>
    </row>
    <row r="6393" spans="37:39" x14ac:dyDescent="0.25">
      <c r="AK6393" s="21">
        <f>_xll.qlCalendarAdvance(calendar,AK6392,"1D")</f>
        <v>51662</v>
      </c>
      <c r="AL6393" s="21">
        <f>_xll.qlInterestRateIndexValueDate(hiborindex,AK6393)</f>
        <v>51664</v>
      </c>
      <c r="AM6393" s="23">
        <f>_xll.qlIndexFixing(hiborindex,AK6393)</f>
        <v>8.0676181202199802E-3</v>
      </c>
    </row>
    <row r="6394" spans="37:39" x14ac:dyDescent="0.25">
      <c r="AK6394" s="21">
        <f>_xll.qlCalendarAdvance(calendar,AK6393,"1D")</f>
        <v>51663</v>
      </c>
      <c r="AL6394" s="21">
        <f>_xll.qlInterestRateIndexValueDate(hiborindex,AK6394)</f>
        <v>51665</v>
      </c>
      <c r="AM6394" s="23">
        <f>_xll.qlIndexFixing(hiborindex,AK6394)</f>
        <v>8.0660349254988665E-3</v>
      </c>
    </row>
    <row r="6395" spans="37:39" x14ac:dyDescent="0.25">
      <c r="AK6395" s="21">
        <f>_xll.qlCalendarAdvance(calendar,AK6394,"1D")</f>
        <v>51664</v>
      </c>
      <c r="AL6395" s="21">
        <f>_xll.qlInterestRateIndexValueDate(hiborindex,AK6395)</f>
        <v>51666</v>
      </c>
      <c r="AM6395" s="23">
        <f>_xll.qlIndexFixing(hiborindex,AK6395)</f>
        <v>8.0643587080814726E-3</v>
      </c>
    </row>
    <row r="6396" spans="37:39" x14ac:dyDescent="0.25">
      <c r="AK6396" s="21">
        <f>_xll.qlCalendarAdvance(calendar,AK6395,"1D")</f>
        <v>51665</v>
      </c>
      <c r="AL6396" s="21">
        <f>_xll.qlInterestRateIndexValueDate(hiborindex,AK6396)</f>
        <v>51669</v>
      </c>
      <c r="AM6396" s="23">
        <f>_xll.qlIndexFixing(hiborindex,AK6396)</f>
        <v>8.0596987652995083E-3</v>
      </c>
    </row>
    <row r="6397" spans="37:39" x14ac:dyDescent="0.25">
      <c r="AK6397" s="21">
        <f>_xll.qlCalendarAdvance(calendar,AK6396,"1D")</f>
        <v>51666</v>
      </c>
      <c r="AL6397" s="21">
        <f>_xll.qlInterestRateIndexValueDate(hiborindex,AK6397)</f>
        <v>51670</v>
      </c>
      <c r="AM6397" s="23">
        <f>_xll.qlIndexFixing(hiborindex,AK6397)</f>
        <v>8.0581138799255304E-3</v>
      </c>
    </row>
    <row r="6398" spans="37:39" x14ac:dyDescent="0.25">
      <c r="AK6398" s="21">
        <f>_xll.qlCalendarAdvance(calendar,AK6397,"1D")</f>
        <v>51669</v>
      </c>
      <c r="AL6398" s="21">
        <f>_xll.qlInterestRateIndexValueDate(hiborindex,AK6398)</f>
        <v>51671</v>
      </c>
      <c r="AM6398" s="23">
        <f>_xll.qlIndexFixing(hiborindex,AK6398)</f>
        <v>8.0565286564233379E-3</v>
      </c>
    </row>
    <row r="6399" spans="37:39" x14ac:dyDescent="0.25">
      <c r="AK6399" s="21">
        <f>_xll.qlCalendarAdvance(calendar,AK6398,"1D")</f>
        <v>51670</v>
      </c>
      <c r="AL6399" s="21">
        <f>_xll.qlInterestRateIndexValueDate(hiborindex,AK6399)</f>
        <v>51672</v>
      </c>
      <c r="AM6399" s="23">
        <f>_xll.qlIndexFixing(hiborindex,AK6399)</f>
        <v>8.0549430947938067E-3</v>
      </c>
    </row>
    <row r="6400" spans="37:39" x14ac:dyDescent="0.25">
      <c r="AK6400" s="21">
        <f>_xll.qlCalendarAdvance(calendar,AK6399,"1D")</f>
        <v>51671</v>
      </c>
      <c r="AL6400" s="21">
        <f>_xll.qlInterestRateIndexValueDate(hiborindex,AK6400)</f>
        <v>51673</v>
      </c>
      <c r="AM6400" s="23">
        <f>_xll.qlIndexFixing(hiborindex,AK6400)</f>
        <v>8.0533810133546074E-3</v>
      </c>
    </row>
    <row r="6401" spans="37:39" x14ac:dyDescent="0.25">
      <c r="AK6401" s="21">
        <f>_xll.qlCalendarAdvance(calendar,AK6400,"1D")</f>
        <v>51672</v>
      </c>
      <c r="AL6401" s="21">
        <f>_xll.qlInterestRateIndexValueDate(hiborindex,AK6401)</f>
        <v>51676</v>
      </c>
      <c r="AM6401" s="23">
        <f>_xll.qlIndexFixing(hiborindex,AK6401)</f>
        <v>8.0485974670197469E-3</v>
      </c>
    </row>
    <row r="6402" spans="37:39" x14ac:dyDescent="0.25">
      <c r="AK6402" s="21">
        <f>_xll.qlCalendarAdvance(calendar,AK6401,"1D")</f>
        <v>51673</v>
      </c>
      <c r="AL6402" s="21">
        <f>_xll.qlInterestRateIndexValueDate(hiborindex,AK6402)</f>
        <v>51677</v>
      </c>
      <c r="AM6402" s="23">
        <f>_xll.qlIndexFixing(hiborindex,AK6402)</f>
        <v>8.0471006862637955E-3</v>
      </c>
    </row>
    <row r="6403" spans="37:39" x14ac:dyDescent="0.25">
      <c r="AK6403" s="21">
        <f>_xll.qlCalendarAdvance(calendar,AK6402,"1D")</f>
        <v>51676</v>
      </c>
      <c r="AL6403" s="21">
        <f>_xll.qlInterestRateIndexValueDate(hiborindex,AK6403)</f>
        <v>51678</v>
      </c>
      <c r="AM6403" s="23">
        <f>_xll.qlIndexFixing(hiborindex,AK6403)</f>
        <v>8.0454761054546773E-3</v>
      </c>
    </row>
    <row r="6404" spans="37:39" x14ac:dyDescent="0.25">
      <c r="AK6404" s="21">
        <f>_xll.qlCalendarAdvance(calendar,AK6403,"1D")</f>
        <v>51677</v>
      </c>
      <c r="AL6404" s="21">
        <f>_xll.qlInterestRateIndexValueDate(hiborindex,AK6404)</f>
        <v>51679</v>
      </c>
      <c r="AM6404" s="23">
        <f>_xll.qlIndexFixing(hiborindex,AK6404)</f>
        <v>8.0438346958927511E-3</v>
      </c>
    </row>
    <row r="6405" spans="37:39" x14ac:dyDescent="0.25">
      <c r="AK6405" s="21">
        <f>_xll.qlCalendarAdvance(calendar,AK6404,"1D")</f>
        <v>51678</v>
      </c>
      <c r="AL6405" s="21">
        <f>_xll.qlInterestRateIndexValueDate(hiborindex,AK6405)</f>
        <v>51680</v>
      </c>
      <c r="AM6405" s="23">
        <f>_xll.qlIndexFixing(hiborindex,AK6405)</f>
        <v>8.0424571793971389E-3</v>
      </c>
    </row>
    <row r="6406" spans="37:39" x14ac:dyDescent="0.25">
      <c r="AK6406" s="21">
        <f>_xll.qlCalendarAdvance(calendar,AK6405,"1D")</f>
        <v>51679</v>
      </c>
      <c r="AL6406" s="21">
        <f>_xll.qlInterestRateIndexValueDate(hiborindex,AK6406)</f>
        <v>51683</v>
      </c>
      <c r="AM6406" s="23">
        <f>_xll.qlIndexFixing(hiborindex,AK6406)</f>
        <v>8.0422701716540788E-3</v>
      </c>
    </row>
    <row r="6407" spans="37:39" x14ac:dyDescent="0.25">
      <c r="AK6407" s="21">
        <f>_xll.qlCalendarAdvance(calendar,AK6406,"1D")</f>
        <v>51680</v>
      </c>
      <c r="AL6407" s="21">
        <f>_xll.qlInterestRateIndexValueDate(hiborindex,AK6407)</f>
        <v>51684</v>
      </c>
      <c r="AM6407" s="23">
        <f>_xll.qlIndexFixing(hiborindex,AK6407)</f>
        <v>8.0421610060053775E-3</v>
      </c>
    </row>
    <row r="6408" spans="37:39" x14ac:dyDescent="0.25">
      <c r="AK6408" s="21">
        <f>_xll.qlCalendarAdvance(calendar,AK6407,"1D")</f>
        <v>51683</v>
      </c>
      <c r="AL6408" s="21">
        <f>_xll.qlInterestRateIndexValueDate(hiborindex,AK6408)</f>
        <v>51685</v>
      </c>
      <c r="AM6408" s="23">
        <f>_xll.qlIndexFixing(hiborindex,AK6408)</f>
        <v>8.0421220877962864E-3</v>
      </c>
    </row>
    <row r="6409" spans="37:39" x14ac:dyDescent="0.25">
      <c r="AK6409" s="21">
        <f>_xll.qlCalendarAdvance(calendar,AK6408,"1D")</f>
        <v>51684</v>
      </c>
      <c r="AL6409" s="21">
        <f>_xll.qlInterestRateIndexValueDate(hiborindex,AK6409)</f>
        <v>51686</v>
      </c>
      <c r="AM6409" s="23">
        <f>_xll.qlIndexFixing(hiborindex,AK6409)</f>
        <v>8.042223659729451E-3</v>
      </c>
    </row>
    <row r="6410" spans="37:39" x14ac:dyDescent="0.25">
      <c r="AK6410" s="21">
        <f>_xll.qlCalendarAdvance(calendar,AK6409,"1D")</f>
        <v>51685</v>
      </c>
      <c r="AL6410" s="21">
        <f>_xll.qlInterestRateIndexValueDate(hiborindex,AK6410)</f>
        <v>51687</v>
      </c>
      <c r="AM6410" s="23">
        <f>_xll.qlIndexFixing(hiborindex,AK6410)</f>
        <v>8.0421144953510947E-3</v>
      </c>
    </row>
    <row r="6411" spans="37:39" x14ac:dyDescent="0.25">
      <c r="AK6411" s="21">
        <f>_xll.qlCalendarAdvance(calendar,AK6410,"1D")</f>
        <v>51686</v>
      </c>
      <c r="AL6411" s="21">
        <f>_xll.qlInterestRateIndexValueDate(hiborindex,AK6411)</f>
        <v>51690</v>
      </c>
      <c r="AM6411" s="23">
        <f>_xll.qlIndexFixing(hiborindex,AK6411)</f>
        <v>8.041927496763435E-3</v>
      </c>
    </row>
    <row r="6412" spans="37:39" x14ac:dyDescent="0.25">
      <c r="AK6412" s="21">
        <f>_xll.qlCalendarAdvance(calendar,AK6411,"1D")</f>
        <v>51687</v>
      </c>
      <c r="AL6412" s="21">
        <f>_xll.qlInterestRateIndexValueDate(hiborindex,AK6412)</f>
        <v>51691</v>
      </c>
      <c r="AM6412" s="23">
        <f>_xll.qlIndexFixing(hiborindex,AK6412)</f>
        <v>8.041888578559123E-3</v>
      </c>
    </row>
    <row r="6413" spans="37:39" x14ac:dyDescent="0.25">
      <c r="AK6413" s="21">
        <f>_xll.qlCalendarAdvance(calendar,AK6412,"1D")</f>
        <v>51690</v>
      </c>
      <c r="AL6413" s="21">
        <f>_xll.qlInterestRateIndexValueDate(hiborindex,AK6413)</f>
        <v>51692</v>
      </c>
      <c r="AM6413" s="23">
        <f>_xll.qlIndexFixing(hiborindex,AK6413)</f>
        <v>8.0418496603552464E-3</v>
      </c>
    </row>
    <row r="6414" spans="37:39" x14ac:dyDescent="0.25">
      <c r="AK6414" s="21">
        <f>_xll.qlCalendarAdvance(calendar,AK6413,"1D")</f>
        <v>51691</v>
      </c>
      <c r="AL6414" s="21">
        <f>_xll.qlInterestRateIndexValueDate(hiborindex,AK6414)</f>
        <v>51693</v>
      </c>
      <c r="AM6414" s="23">
        <f>_xll.qlIndexFixing(hiborindex,AK6414)</f>
        <v>8.0419512201518866E-3</v>
      </c>
    </row>
    <row r="6415" spans="37:39" x14ac:dyDescent="0.25">
      <c r="AK6415" s="21">
        <f>_xll.qlCalendarAdvance(calendar,AK6414,"1D")</f>
        <v>51692</v>
      </c>
      <c r="AL6415" s="21">
        <f>_xll.qlInterestRateIndexValueDate(hiborindex,AK6415)</f>
        <v>51694</v>
      </c>
      <c r="AM6415" s="23">
        <f>_xll.qlIndexFixing(hiborindex,AK6415)</f>
        <v>8.0418420618496075E-3</v>
      </c>
    </row>
    <row r="6416" spans="37:39" x14ac:dyDescent="0.25">
      <c r="AK6416" s="21">
        <f>_xll.qlCalendarAdvance(calendar,AK6415,"1D")</f>
        <v>51693</v>
      </c>
      <c r="AL6416" s="21">
        <f>_xll.qlInterestRateIndexValueDate(hiborindex,AK6416)</f>
        <v>51697</v>
      </c>
      <c r="AM6416" s="23">
        <f>_xll.qlIndexFixing(hiborindex,AK6416)</f>
        <v>8.0416550693488947E-3</v>
      </c>
    </row>
    <row r="6417" spans="37:39" x14ac:dyDescent="0.25">
      <c r="AK6417" s="21">
        <f>_xll.qlCalendarAdvance(calendar,AK6416,"1D")</f>
        <v>51694</v>
      </c>
      <c r="AL6417" s="21">
        <f>_xll.qlInterestRateIndexValueDate(hiborindex,AK6417)</f>
        <v>51698</v>
      </c>
      <c r="AM6417" s="23">
        <f>_xll.qlIndexFixing(hiborindex,AK6417)</f>
        <v>8.0416161511497972E-3</v>
      </c>
    </row>
    <row r="6418" spans="37:39" x14ac:dyDescent="0.25">
      <c r="AK6418" s="21">
        <f>_xll.qlCalendarAdvance(calendar,AK6417,"1D")</f>
        <v>51697</v>
      </c>
      <c r="AL6418" s="21">
        <f>_xll.qlInterestRateIndexValueDate(hiborindex,AK6418)</f>
        <v>51699</v>
      </c>
      <c r="AM6418" s="23">
        <f>_xll.qlIndexFixing(hiborindex,AK6418)</f>
        <v>8.0415772329515672E-3</v>
      </c>
    </row>
    <row r="6419" spans="37:39" x14ac:dyDescent="0.25">
      <c r="AK6419" s="21">
        <f>_xll.qlCalendarAdvance(calendar,AK6418,"1D")</f>
        <v>51698</v>
      </c>
      <c r="AL6419" s="21">
        <f>_xll.qlInterestRateIndexValueDate(hiborindex,AK6419)</f>
        <v>51700</v>
      </c>
      <c r="AM6419" s="23">
        <f>_xll.qlIndexFixing(hiborindex,AK6419)</f>
        <v>8.0416787806134298E-3</v>
      </c>
    </row>
    <row r="6420" spans="37:39" x14ac:dyDescent="0.25">
      <c r="AK6420" s="21">
        <f>_xll.qlCalendarAdvance(calendar,AK6419,"1D")</f>
        <v>51699</v>
      </c>
      <c r="AL6420" s="21">
        <f>_xll.qlInterestRateIndexValueDate(hiborindex,AK6420)</f>
        <v>51701</v>
      </c>
      <c r="AM6420" s="23">
        <f>_xll.qlIndexFixing(hiborindex,AK6420)</f>
        <v>8.0415696283870075E-3</v>
      </c>
    </row>
    <row r="6421" spans="37:39" x14ac:dyDescent="0.25">
      <c r="AK6421" s="21">
        <f>_xll.qlCalendarAdvance(calendar,AK6420,"1D")</f>
        <v>51700</v>
      </c>
      <c r="AL6421" s="21">
        <f>_xll.qlInterestRateIndexValueDate(hiborindex,AK6421)</f>
        <v>51704</v>
      </c>
      <c r="AM6421" s="23">
        <f>_xll.qlIndexFixing(hiborindex,AK6421)</f>
        <v>8.0413826419725842E-3</v>
      </c>
    </row>
    <row r="6422" spans="37:39" x14ac:dyDescent="0.25">
      <c r="AK6422" s="21">
        <f>_xll.qlCalendarAdvance(calendar,AK6421,"1D")</f>
        <v>51701</v>
      </c>
      <c r="AL6422" s="21">
        <f>_xll.qlInterestRateIndexValueDate(hiborindex,AK6422)</f>
        <v>51705</v>
      </c>
      <c r="AM6422" s="23">
        <f>_xll.qlIndexFixing(hiborindex,AK6422)</f>
        <v>8.0413437237786996E-3</v>
      </c>
    </row>
    <row r="6423" spans="37:39" x14ac:dyDescent="0.25">
      <c r="AK6423" s="21">
        <f>_xll.qlCalendarAdvance(calendar,AK6422,"1D")</f>
        <v>51704</v>
      </c>
      <c r="AL6423" s="21">
        <f>_xll.qlInterestRateIndexValueDate(hiborindex,AK6423)</f>
        <v>51706</v>
      </c>
      <c r="AM6423" s="23">
        <f>_xll.qlIndexFixing(hiborindex,AK6423)</f>
        <v>8.0413048055861178E-3</v>
      </c>
    </row>
    <row r="6424" spans="37:39" x14ac:dyDescent="0.25">
      <c r="AK6424" s="21">
        <f>_xll.qlCalendarAdvance(calendar,AK6423,"1D")</f>
        <v>51705</v>
      </c>
      <c r="AL6424" s="21">
        <f>_xll.qlInterestRateIndexValueDate(hiborindex,AK6424)</f>
        <v>51707</v>
      </c>
      <c r="AM6424" s="23">
        <f>_xll.qlIndexFixing(hiborindex,AK6424)</f>
        <v>8.0414063411127935E-3</v>
      </c>
    </row>
    <row r="6425" spans="37:39" x14ac:dyDescent="0.25">
      <c r="AK6425" s="21">
        <f>_xll.qlCalendarAdvance(calendar,AK6424,"1D")</f>
        <v>51706</v>
      </c>
      <c r="AL6425" s="21">
        <f>_xll.qlInterestRateIndexValueDate(hiborindex,AK6425)</f>
        <v>51708</v>
      </c>
      <c r="AM6425" s="23">
        <f>_xll.qlIndexFixing(hiborindex,AK6425)</f>
        <v>8.0412971949624309E-3</v>
      </c>
    </row>
    <row r="6426" spans="37:39" x14ac:dyDescent="0.25">
      <c r="AK6426" s="21">
        <f>_xll.qlCalendarAdvance(calendar,AK6425,"1D")</f>
        <v>51707</v>
      </c>
      <c r="AL6426" s="21">
        <f>_xll.qlInterestRateIndexValueDate(hiborindex,AK6426)</f>
        <v>51711</v>
      </c>
      <c r="AM6426" s="23">
        <f>_xll.qlIndexFixing(hiborindex,AK6426)</f>
        <v>8.0411102146340698E-3</v>
      </c>
    </row>
    <row r="6427" spans="37:39" x14ac:dyDescent="0.25">
      <c r="AK6427" s="21">
        <f>_xll.qlCalendarAdvance(calendar,AK6426,"1D")</f>
        <v>51708</v>
      </c>
      <c r="AL6427" s="21">
        <f>_xll.qlInterestRateIndexValueDate(hiborindex,AK6427)</f>
        <v>51712</v>
      </c>
      <c r="AM6427" s="23">
        <f>_xll.qlIndexFixing(hiborindex,AK6427)</f>
        <v>8.0410712964458335E-3</v>
      </c>
    </row>
    <row r="6428" spans="37:39" x14ac:dyDescent="0.25">
      <c r="AK6428" s="21">
        <f>_xll.qlCalendarAdvance(calendar,AK6427,"1D")</f>
        <v>51711</v>
      </c>
      <c r="AL6428" s="21">
        <f>_xll.qlInterestRateIndexValueDate(hiborindex,AK6428)</f>
        <v>51713</v>
      </c>
      <c r="AM6428" s="23">
        <f>_xll.qlIndexFixing(hiborindex,AK6428)</f>
        <v>8.0410323782584645E-3</v>
      </c>
    </row>
    <row r="6429" spans="37:39" x14ac:dyDescent="0.25">
      <c r="AK6429" s="21">
        <f>_xll.qlCalendarAdvance(calendar,AK6428,"1D")</f>
        <v>51712</v>
      </c>
      <c r="AL6429" s="21">
        <f>_xll.qlInterestRateIndexValueDate(hiborindex,AK6429)</f>
        <v>51714</v>
      </c>
      <c r="AM6429" s="23">
        <f>_xll.qlIndexFixing(hiborindex,AK6429)</f>
        <v>8.041133901650406E-3</v>
      </c>
    </row>
    <row r="6430" spans="37:39" x14ac:dyDescent="0.25">
      <c r="AK6430" s="21">
        <f>_xll.qlCalendarAdvance(calendar,AK6429,"1D")</f>
        <v>51713</v>
      </c>
      <c r="AL6430" s="21">
        <f>_xll.qlInterestRateIndexValueDate(hiborindex,AK6430)</f>
        <v>51715</v>
      </c>
      <c r="AM6430" s="23">
        <f>_xll.qlIndexFixing(hiborindex,AK6430)</f>
        <v>8.0410247615754459E-3</v>
      </c>
    </row>
    <row r="6431" spans="37:39" x14ac:dyDescent="0.25">
      <c r="AK6431" s="21">
        <f>_xll.qlCalendarAdvance(calendar,AK6430,"1D")</f>
        <v>51714</v>
      </c>
      <c r="AL6431" s="21">
        <f>_xll.qlInterestRateIndexValueDate(hiborindex,AK6431)</f>
        <v>51718</v>
      </c>
      <c r="AM6431" s="23">
        <f>_xll.qlIndexFixing(hiborindex,AK6431)</f>
        <v>8.0408377873329179E-3</v>
      </c>
    </row>
    <row r="6432" spans="37:39" x14ac:dyDescent="0.25">
      <c r="AK6432" s="21">
        <f>_xll.qlCalendarAdvance(calendar,AK6431,"1D")</f>
        <v>51715</v>
      </c>
      <c r="AL6432" s="21">
        <f>_xll.qlInterestRateIndexValueDate(hiborindex,AK6432)</f>
        <v>51719</v>
      </c>
      <c r="AM6432" s="23">
        <f>_xll.qlIndexFixing(hiborindex,AK6432)</f>
        <v>8.0407988691503281E-3</v>
      </c>
    </row>
    <row r="6433" spans="37:39" x14ac:dyDescent="0.25">
      <c r="AK6433" s="21">
        <f>_xll.qlCalendarAdvance(calendar,AK6432,"1D")</f>
        <v>51718</v>
      </c>
      <c r="AL6433" s="21">
        <f>_xll.qlInterestRateIndexValueDate(hiborindex,AK6433)</f>
        <v>51720</v>
      </c>
      <c r="AM6433" s="23">
        <f>_xll.qlIndexFixing(hiborindex,AK6433)</f>
        <v>8.0407599509681738E-3</v>
      </c>
    </row>
    <row r="6434" spans="37:39" x14ac:dyDescent="0.25">
      <c r="AK6434" s="21">
        <f>_xll.qlCalendarAdvance(calendar,AK6433,"1D")</f>
        <v>51719</v>
      </c>
      <c r="AL6434" s="21">
        <f>_xll.qlInterestRateIndexValueDate(hiborindex,AK6434)</f>
        <v>51721</v>
      </c>
      <c r="AM6434" s="23">
        <f>_xll.qlIndexFixing(hiborindex,AK6434)</f>
        <v>8.0408614622258373E-3</v>
      </c>
    </row>
    <row r="6435" spans="37:39" x14ac:dyDescent="0.25">
      <c r="AK6435" s="21">
        <f>_xll.qlCalendarAdvance(calendar,AK6434,"1D")</f>
        <v>51720</v>
      </c>
      <c r="AL6435" s="21">
        <f>_xll.qlInterestRateIndexValueDate(hiborindex,AK6435)</f>
        <v>51722</v>
      </c>
      <c r="AM6435" s="23">
        <f>_xll.qlIndexFixing(hiborindex,AK6435)</f>
        <v>8.0407523282260522E-3</v>
      </c>
    </row>
    <row r="6436" spans="37:39" x14ac:dyDescent="0.25">
      <c r="AK6436" s="21">
        <f>_xll.qlCalendarAdvance(calendar,AK6435,"1D")</f>
        <v>51721</v>
      </c>
      <c r="AL6436" s="21">
        <f>_xll.qlInterestRateIndexValueDate(hiborindex,AK6436)</f>
        <v>51725</v>
      </c>
      <c r="AM6436" s="23">
        <f>_xll.qlIndexFixing(hiborindex,AK6436)</f>
        <v>8.0405653600699959E-3</v>
      </c>
    </row>
    <row r="6437" spans="37:39" x14ac:dyDescent="0.25">
      <c r="AK6437" s="21">
        <f>_xll.qlCalendarAdvance(calendar,AK6436,"1D")</f>
        <v>51722</v>
      </c>
      <c r="AL6437" s="21">
        <f>_xll.qlInterestRateIndexValueDate(hiborindex,AK6437)</f>
        <v>51726</v>
      </c>
      <c r="AM6437" s="23">
        <f>_xll.qlIndexFixing(hiborindex,AK6437)</f>
        <v>8.0405264418926189E-3</v>
      </c>
    </row>
    <row r="6438" spans="37:39" x14ac:dyDescent="0.25">
      <c r="AK6438" s="21">
        <f>_xll.qlCalendarAdvance(calendar,AK6437,"1D")</f>
        <v>51725</v>
      </c>
      <c r="AL6438" s="21">
        <f>_xll.qlInterestRateIndexValueDate(hiborindex,AK6438)</f>
        <v>51727</v>
      </c>
      <c r="AM6438" s="23">
        <f>_xll.qlIndexFixing(hiborindex,AK6438)</f>
        <v>8.0404875237161111E-3</v>
      </c>
    </row>
    <row r="6439" spans="37:39" x14ac:dyDescent="0.25">
      <c r="AK6439" s="21">
        <f>_xll.qlCalendarAdvance(calendar,AK6438,"1D")</f>
        <v>51726</v>
      </c>
      <c r="AL6439" s="21">
        <f>_xll.qlInterestRateIndexValueDate(hiborindex,AK6439)</f>
        <v>51728</v>
      </c>
      <c r="AM6439" s="23">
        <f>_xll.qlIndexFixing(hiborindex,AK6439)</f>
        <v>8.0405890228399477E-3</v>
      </c>
    </row>
    <row r="6440" spans="37:39" x14ac:dyDescent="0.25">
      <c r="AK6440" s="21">
        <f>_xll.qlCalendarAdvance(calendar,AK6439,"1D")</f>
        <v>51727</v>
      </c>
      <c r="AL6440" s="21">
        <f>_xll.qlInterestRateIndexValueDate(hiborindex,AK6440)</f>
        <v>51729</v>
      </c>
      <c r="AM6440" s="23">
        <f>_xll.qlIndexFixing(hiborindex,AK6440)</f>
        <v>8.0404798949151157E-3</v>
      </c>
    </row>
    <row r="6441" spans="37:39" x14ac:dyDescent="0.25">
      <c r="AK6441" s="21">
        <f>_xll.qlCalendarAdvance(calendar,AK6440,"1D")</f>
        <v>51728</v>
      </c>
      <c r="AL6441" s="21">
        <f>_xll.qlInterestRateIndexValueDate(hiborindex,AK6441)</f>
        <v>51732</v>
      </c>
      <c r="AM6441" s="23">
        <f>_xll.qlIndexFixing(hiborindex,AK6441)</f>
        <v>8.04029293284487E-3</v>
      </c>
    </row>
    <row r="6442" spans="37:39" x14ac:dyDescent="0.25">
      <c r="AK6442" s="21">
        <f>_xll.qlCalendarAdvance(calendar,AK6441,"1D")</f>
        <v>51729</v>
      </c>
      <c r="AL6442" s="21">
        <f>_xll.qlInterestRateIndexValueDate(hiborindex,AK6442)</f>
        <v>51733</v>
      </c>
      <c r="AM6442" s="23">
        <f>_xll.qlIndexFixing(hiborindex,AK6442)</f>
        <v>8.0402540146727059E-3</v>
      </c>
    </row>
    <row r="6443" spans="37:39" x14ac:dyDescent="0.25">
      <c r="AK6443" s="21">
        <f>_xll.qlCalendarAdvance(calendar,AK6442,"1D")</f>
        <v>51732</v>
      </c>
      <c r="AL6443" s="21">
        <f>_xll.qlInterestRateIndexValueDate(hiborindex,AK6443)</f>
        <v>51734</v>
      </c>
      <c r="AM6443" s="23">
        <f>_xll.qlIndexFixing(hiborindex,AK6443)</f>
        <v>8.0402150965018463E-3</v>
      </c>
    </row>
    <row r="6444" spans="37:39" x14ac:dyDescent="0.25">
      <c r="AK6444" s="21">
        <f>_xll.qlCalendarAdvance(calendar,AK6443,"1D")</f>
        <v>51733</v>
      </c>
      <c r="AL6444" s="21">
        <f>_xll.qlInterestRateIndexValueDate(hiborindex,AK6444)</f>
        <v>51735</v>
      </c>
      <c r="AM6444" s="23">
        <f>_xll.qlIndexFixing(hiborindex,AK6444)</f>
        <v>8.040316583492307E-3</v>
      </c>
    </row>
    <row r="6445" spans="37:39" x14ac:dyDescent="0.25">
      <c r="AK6445" s="21">
        <f>_xll.qlCalendarAdvance(calendar,AK6444,"1D")</f>
        <v>51734</v>
      </c>
      <c r="AL6445" s="21">
        <f>_xll.qlInterestRateIndexValueDate(hiborindex,AK6445)</f>
        <v>51736</v>
      </c>
      <c r="AM6445" s="23">
        <f>_xll.qlIndexFixing(hiborindex,AK6445)</f>
        <v>8.0402074616422008E-3</v>
      </c>
    </row>
    <row r="6446" spans="37:39" x14ac:dyDescent="0.25">
      <c r="AK6446" s="21">
        <f>_xll.qlCalendarAdvance(calendar,AK6445,"1D")</f>
        <v>51735</v>
      </c>
      <c r="AL6446" s="21">
        <f>_xll.qlInterestRateIndexValueDate(hiborindex,AK6446)</f>
        <v>51739</v>
      </c>
      <c r="AM6446" s="23">
        <f>_xll.qlIndexFixing(hiborindex,AK6446)</f>
        <v>8.0400205056571049E-3</v>
      </c>
    </row>
    <row r="6447" spans="37:39" x14ac:dyDescent="0.25">
      <c r="AK6447" s="21">
        <f>_xll.qlCalendarAdvance(calendar,AK6446,"1D")</f>
        <v>51736</v>
      </c>
      <c r="AL6447" s="21">
        <f>_xll.qlInterestRateIndexValueDate(hiborindex,AK6447)</f>
        <v>51740</v>
      </c>
      <c r="AM6447" s="23">
        <f>_xll.qlIndexFixing(hiborindex,AK6447)</f>
        <v>8.0399815874901536E-3</v>
      </c>
    </row>
    <row r="6448" spans="37:39" x14ac:dyDescent="0.25">
      <c r="AK6448" s="21">
        <f>_xll.qlCalendarAdvance(calendar,AK6447,"1D")</f>
        <v>51739</v>
      </c>
      <c r="AL6448" s="21">
        <f>_xll.qlInterestRateIndexValueDate(hiborindex,AK6448)</f>
        <v>51741</v>
      </c>
      <c r="AM6448" s="23">
        <f>_xll.qlIndexFixing(hiborindex,AK6448)</f>
        <v>8.0399426693249423E-3</v>
      </c>
    </row>
    <row r="6449" spans="37:39" x14ac:dyDescent="0.25">
      <c r="AK6449" s="21">
        <f>_xll.qlCalendarAdvance(calendar,AK6448,"1D")</f>
        <v>51740</v>
      </c>
      <c r="AL6449" s="21">
        <f>_xll.qlInterestRateIndexValueDate(hiborindex,AK6449)</f>
        <v>51742</v>
      </c>
      <c r="AM6449" s="23">
        <f>_xll.qlIndexFixing(hiborindex,AK6449)</f>
        <v>8.0398335553464352E-3</v>
      </c>
    </row>
    <row r="6450" spans="37:39" x14ac:dyDescent="0.25">
      <c r="AK6450" s="21">
        <f>_xll.qlCalendarAdvance(calendar,AK6449,"1D")</f>
        <v>51741</v>
      </c>
      <c r="AL6450" s="21">
        <f>_xll.qlInterestRateIndexValueDate(hiborindex,AK6450)</f>
        <v>51743</v>
      </c>
      <c r="AM6450" s="23">
        <f>_xll.qlIndexFixing(hiborindex,AK6450)</f>
        <v>8.0397244435681404E-3</v>
      </c>
    </row>
    <row r="6451" spans="37:39" x14ac:dyDescent="0.25">
      <c r="AK6451" s="21">
        <f>_xll.qlCalendarAdvance(calendar,AK6450,"1D")</f>
        <v>51742</v>
      </c>
      <c r="AL6451" s="21">
        <f>_xll.qlInterestRateIndexValueDate(hiborindex,AK6451)</f>
        <v>51746</v>
      </c>
      <c r="AM6451" s="23">
        <f>_xll.qlIndexFixing(hiborindex,AK6451)</f>
        <v>8.0396076942818584E-3</v>
      </c>
    </row>
    <row r="6452" spans="37:39" x14ac:dyDescent="0.25">
      <c r="AK6452" s="21">
        <f>_xll.qlCalendarAdvance(calendar,AK6451,"1D")</f>
        <v>51743</v>
      </c>
      <c r="AL6452" s="21">
        <f>_xll.qlInterestRateIndexValueDate(hiborindex,AK6452)</f>
        <v>51747</v>
      </c>
      <c r="AM6452" s="23">
        <f>_xll.qlIndexFixing(hiborindex,AK6452)</f>
        <v>8.039498587306829E-3</v>
      </c>
    </row>
    <row r="6453" spans="37:39" x14ac:dyDescent="0.25">
      <c r="AK6453" s="21">
        <f>_xll.qlCalendarAdvance(calendar,AK6452,"1D")</f>
        <v>51746</v>
      </c>
      <c r="AL6453" s="21">
        <f>_xll.qlInterestRateIndexValueDate(hiborindex,AK6453)</f>
        <v>51748</v>
      </c>
      <c r="AM6453" s="23">
        <f>_xll.qlIndexFixing(hiborindex,AK6453)</f>
        <v>8.039459671747436E-3</v>
      </c>
    </row>
    <row r="6454" spans="37:39" x14ac:dyDescent="0.25">
      <c r="AK6454" s="21">
        <f>_xll.qlCalendarAdvance(calendar,AK6453,"1D")</f>
        <v>51747</v>
      </c>
      <c r="AL6454" s="21">
        <f>_xll.qlInterestRateIndexValueDate(hiborindex,AK6454)</f>
        <v>51749</v>
      </c>
      <c r="AM6454" s="23">
        <f>_xll.qlIndexFixing(hiborindex,AK6454)</f>
        <v>8.0394207561884836E-3</v>
      </c>
    </row>
    <row r="6455" spans="37:39" x14ac:dyDescent="0.25">
      <c r="AK6455" s="21">
        <f>_xll.qlCalendarAdvance(calendar,AK6454,"1D")</f>
        <v>51748</v>
      </c>
      <c r="AL6455" s="21">
        <f>_xll.qlInterestRateIndexValueDate(hiborindex,AK6455)</f>
        <v>51750</v>
      </c>
      <c r="AM6455" s="23">
        <f>_xll.qlIndexFixing(hiborindex,AK6455)</f>
        <v>8.0393818406304142E-3</v>
      </c>
    </row>
    <row r="6456" spans="37:39" x14ac:dyDescent="0.25">
      <c r="AK6456" s="21">
        <f>_xll.qlCalendarAdvance(calendar,AK6455,"1D")</f>
        <v>51749</v>
      </c>
      <c r="AL6456" s="21">
        <f>_xll.qlInterestRateIndexValueDate(hiborindex,AK6456)</f>
        <v>51753</v>
      </c>
      <c r="AM6456" s="23">
        <f>_xll.qlIndexFixing(hiborindex,AK6456)</f>
        <v>8.0393352793073237E-3</v>
      </c>
    </row>
    <row r="6457" spans="37:39" x14ac:dyDescent="0.25">
      <c r="AK6457" s="21">
        <f>_xll.qlCalendarAdvance(calendar,AK6456,"1D")</f>
        <v>51750</v>
      </c>
      <c r="AL6457" s="21">
        <f>_xll.qlInterestRateIndexValueDate(hiborindex,AK6457)</f>
        <v>51754</v>
      </c>
      <c r="AM6457" s="23">
        <f>_xll.qlIndexFixing(hiborindex,AK6457)</f>
        <v>8.0392261784060885E-3</v>
      </c>
    </row>
    <row r="6458" spans="37:39" x14ac:dyDescent="0.25">
      <c r="AK6458" s="21">
        <f>_xll.qlCalendarAdvance(calendar,AK6457,"1D")</f>
        <v>51753</v>
      </c>
      <c r="AL6458" s="21">
        <f>_xll.qlInterestRateIndexValueDate(hiborindex,AK6458)</f>
        <v>51755</v>
      </c>
      <c r="AM6458" s="23">
        <f>_xll.qlIndexFixing(hiborindex,AK6458)</f>
        <v>8.0391872628515527E-3</v>
      </c>
    </row>
    <row r="6459" spans="37:39" x14ac:dyDescent="0.25">
      <c r="AK6459" s="21">
        <f>_xll.qlCalendarAdvance(calendar,AK6458,"1D")</f>
        <v>51754</v>
      </c>
      <c r="AL6459" s="21">
        <f>_xll.qlInterestRateIndexValueDate(hiborindex,AK6459)</f>
        <v>51756</v>
      </c>
      <c r="AM6459" s="23">
        <f>_xll.qlIndexFixing(hiborindex,AK6459)</f>
        <v>8.0391483472983423E-3</v>
      </c>
    </row>
    <row r="6460" spans="37:39" x14ac:dyDescent="0.25">
      <c r="AK6460" s="21">
        <f>_xll.qlCalendarAdvance(calendar,AK6459,"1D")</f>
        <v>51755</v>
      </c>
      <c r="AL6460" s="21">
        <f>_xll.qlInterestRateIndexValueDate(hiborindex,AK6460)</f>
        <v>51757</v>
      </c>
      <c r="AM6460" s="23">
        <f>_xll.qlIndexFixing(hiborindex,AK6460)</f>
        <v>8.0391094317455725E-3</v>
      </c>
    </row>
    <row r="6461" spans="37:39" x14ac:dyDescent="0.25">
      <c r="AK6461" s="21">
        <f>_xll.qlCalendarAdvance(calendar,AK6460,"1D")</f>
        <v>51756</v>
      </c>
      <c r="AL6461" s="21">
        <f>_xll.qlInterestRateIndexValueDate(hiborindex,AK6461)</f>
        <v>51760</v>
      </c>
      <c r="AM6461" s="23">
        <f>_xll.qlIndexFixing(hiborindex,AK6461)</f>
        <v>8.0390628643701219E-3</v>
      </c>
    </row>
    <row r="6462" spans="37:39" x14ac:dyDescent="0.25">
      <c r="AK6462" s="21">
        <f>_xll.qlCalendarAdvance(calendar,AK6461,"1D")</f>
        <v>51757</v>
      </c>
      <c r="AL6462" s="21">
        <f>_xll.qlInterestRateIndexValueDate(hiborindex,AK6462)</f>
        <v>51761</v>
      </c>
      <c r="AM6462" s="23">
        <f>_xll.qlIndexFixing(hiborindex,AK6462)</f>
        <v>8.0389537695424451E-3</v>
      </c>
    </row>
    <row r="6463" spans="37:39" x14ac:dyDescent="0.25">
      <c r="AK6463" s="21">
        <f>_xll.qlCalendarAdvance(calendar,AK6462,"1D")</f>
        <v>51760</v>
      </c>
      <c r="AL6463" s="21">
        <f>_xll.qlInterestRateIndexValueDate(hiborindex,AK6463)</f>
        <v>51762</v>
      </c>
      <c r="AM6463" s="23">
        <f>_xll.qlIndexFixing(hiborindex,AK6463)</f>
        <v>8.0389148539932089E-3</v>
      </c>
    </row>
    <row r="6464" spans="37:39" x14ac:dyDescent="0.25">
      <c r="AK6464" s="21">
        <f>_xll.qlCalendarAdvance(calendar,AK6463,"1D")</f>
        <v>51761</v>
      </c>
      <c r="AL6464" s="21">
        <f>_xll.qlInterestRateIndexValueDate(hiborindex,AK6464)</f>
        <v>51763</v>
      </c>
      <c r="AM6464" s="23">
        <f>_xll.qlIndexFixing(hiborindex,AK6464)</f>
        <v>8.038875938445298E-3</v>
      </c>
    </row>
    <row r="6465" spans="37:39" x14ac:dyDescent="0.25">
      <c r="AK6465" s="21">
        <f>_xll.qlCalendarAdvance(calendar,AK6464,"1D")</f>
        <v>51762</v>
      </c>
      <c r="AL6465" s="21">
        <f>_xll.qlInterestRateIndexValueDate(hiborindex,AK6465)</f>
        <v>51764</v>
      </c>
      <c r="AM6465" s="23">
        <f>_xll.qlIndexFixing(hiborindex,AK6465)</f>
        <v>8.0388370228982702E-3</v>
      </c>
    </row>
    <row r="6466" spans="37:39" x14ac:dyDescent="0.25">
      <c r="AK6466" s="21">
        <f>_xll.qlCalendarAdvance(calendar,AK6465,"1D")</f>
        <v>51763</v>
      </c>
      <c r="AL6466" s="21">
        <f>_xll.qlInterestRateIndexValueDate(hiborindex,AK6466)</f>
        <v>51767</v>
      </c>
      <c r="AM6466" s="23">
        <f>_xll.qlIndexFixing(hiborindex,AK6466)</f>
        <v>8.0387904494702532E-3</v>
      </c>
    </row>
    <row r="6467" spans="37:39" x14ac:dyDescent="0.25">
      <c r="AK6467" s="21">
        <f>_xll.qlCalendarAdvance(calendar,AK6466,"1D")</f>
        <v>51764</v>
      </c>
      <c r="AL6467" s="21">
        <f>_xll.qlInterestRateIndexValueDate(hiborindex,AK6467)</f>
        <v>51768</v>
      </c>
      <c r="AM6467" s="23">
        <f>_xll.qlIndexFixing(hiborindex,AK6467)</f>
        <v>8.0386813607158988E-3</v>
      </c>
    </row>
    <row r="6468" spans="37:39" x14ac:dyDescent="0.25">
      <c r="AK6468" s="21">
        <f>_xll.qlCalendarAdvance(calendar,AK6467,"1D")</f>
        <v>51767</v>
      </c>
      <c r="AL6468" s="21">
        <f>_xll.qlInterestRateIndexValueDate(hiborindex,AK6468)</f>
        <v>51769</v>
      </c>
      <c r="AM6468" s="23">
        <f>_xll.qlIndexFixing(hiborindex,AK6468)</f>
        <v>8.0386424451719639E-3</v>
      </c>
    </row>
    <row r="6469" spans="37:39" x14ac:dyDescent="0.25">
      <c r="AK6469" s="21">
        <f>_xll.qlCalendarAdvance(calendar,AK6468,"1D")</f>
        <v>51768</v>
      </c>
      <c r="AL6469" s="21">
        <f>_xll.qlInterestRateIndexValueDate(hiborindex,AK6469)</f>
        <v>51770</v>
      </c>
      <c r="AM6469" s="23">
        <f>_xll.qlIndexFixing(hiborindex,AK6469)</f>
        <v>8.0386035296293509E-3</v>
      </c>
    </row>
    <row r="6470" spans="37:39" x14ac:dyDescent="0.25">
      <c r="AK6470" s="21">
        <f>_xll.qlCalendarAdvance(calendar,AK6469,"1D")</f>
        <v>51769</v>
      </c>
      <c r="AL6470" s="21">
        <f>_xll.qlInterestRateIndexValueDate(hiborindex,AK6470)</f>
        <v>51771</v>
      </c>
      <c r="AM6470" s="23">
        <f>_xll.qlIndexFixing(hiborindex,AK6470)</f>
        <v>8.0385646140867396E-3</v>
      </c>
    </row>
    <row r="6471" spans="37:39" x14ac:dyDescent="0.25">
      <c r="AK6471" s="21">
        <f>_xll.qlCalendarAdvance(calendar,AK6470,"1D")</f>
        <v>51770</v>
      </c>
      <c r="AL6471" s="21">
        <f>_xll.qlInterestRateIndexValueDate(hiborindex,AK6471)</f>
        <v>51774</v>
      </c>
      <c r="AM6471" s="23">
        <f>_xll.qlIndexFixing(hiborindex,AK6471)</f>
        <v>8.0385180346072786E-3</v>
      </c>
    </row>
    <row r="6472" spans="37:39" x14ac:dyDescent="0.25">
      <c r="AK6472" s="21">
        <f>_xll.qlCalendarAdvance(calendar,AK6471,"1D")</f>
        <v>51771</v>
      </c>
      <c r="AL6472" s="21">
        <f>_xll.qlInterestRateIndexValueDate(hiborindex,AK6472)</f>
        <v>51775</v>
      </c>
      <c r="AM6472" s="23">
        <f>_xll.qlIndexFixing(hiborindex,AK6472)</f>
        <v>8.0384791182013561E-3</v>
      </c>
    </row>
    <row r="6473" spans="37:39" x14ac:dyDescent="0.25">
      <c r="AK6473" s="21">
        <f>_xll.qlCalendarAdvance(calendar,AK6472,"1D")</f>
        <v>51774</v>
      </c>
      <c r="AL6473" s="21">
        <f>_xll.qlInterestRateIndexValueDate(hiborindex,AK6473)</f>
        <v>51776</v>
      </c>
      <c r="AM6473" s="23">
        <f>_xll.qlIndexFixing(hiborindex,AK6473)</f>
        <v>8.0384402017963132E-3</v>
      </c>
    </row>
    <row r="6474" spans="37:39" x14ac:dyDescent="0.25">
      <c r="AK6474" s="21">
        <f>_xll.qlCalendarAdvance(calendar,AK6473,"1D")</f>
        <v>51775</v>
      </c>
      <c r="AL6474" s="21">
        <f>_xll.qlInterestRateIndexValueDate(hiborindex,AK6474)</f>
        <v>51777</v>
      </c>
      <c r="AM6474" s="23">
        <f>_xll.qlIndexFixing(hiborindex,AK6474)</f>
        <v>8.038401285392148E-3</v>
      </c>
    </row>
    <row r="6475" spans="37:39" x14ac:dyDescent="0.25">
      <c r="AK6475" s="21">
        <f>_xll.qlCalendarAdvance(calendar,AK6474,"1D")</f>
        <v>51776</v>
      </c>
      <c r="AL6475" s="21">
        <f>_xll.qlInterestRateIndexValueDate(hiborindex,AK6475)</f>
        <v>51778</v>
      </c>
      <c r="AM6475" s="23">
        <f>_xll.qlIndexFixing(hiborindex,AK6475)</f>
        <v>8.038643028335915E-3</v>
      </c>
    </row>
    <row r="6476" spans="37:39" x14ac:dyDescent="0.25">
      <c r="AK6476" s="21">
        <f>_xll.qlCalendarAdvance(calendar,AK6475,"1D")</f>
        <v>51777</v>
      </c>
      <c r="AL6476" s="21">
        <f>_xll.qlInterestRateIndexValueDate(hiborindex,AK6476)</f>
        <v>51781</v>
      </c>
      <c r="AM6476" s="23">
        <f>_xll.qlIndexFixing(hiborindex,AK6476)</f>
        <v>8.0383157813215048E-3</v>
      </c>
    </row>
    <row r="6477" spans="37:39" x14ac:dyDescent="0.25">
      <c r="AK6477" s="21">
        <f>_xll.qlCalendarAdvance(calendar,AK6476,"1D")</f>
        <v>51778</v>
      </c>
      <c r="AL6477" s="21">
        <f>_xll.qlInterestRateIndexValueDate(hiborindex,AK6477)</f>
        <v>51782</v>
      </c>
      <c r="AM6477" s="23">
        <f>_xll.qlIndexFixing(hiborindex,AK6477)</f>
        <v>8.038206703381864E-3</v>
      </c>
    </row>
    <row r="6478" spans="37:39" x14ac:dyDescent="0.25">
      <c r="AK6478" s="21">
        <f>_xll.qlCalendarAdvance(calendar,AK6477,"1D")</f>
        <v>51781</v>
      </c>
      <c r="AL6478" s="21">
        <f>_xll.qlInterestRateIndexValueDate(hiborindex,AK6478)</f>
        <v>51783</v>
      </c>
      <c r="AM6478" s="23">
        <f>_xll.qlIndexFixing(hiborindex,AK6478)</f>
        <v>8.0381677869820912E-3</v>
      </c>
    </row>
    <row r="6479" spans="37:39" x14ac:dyDescent="0.25">
      <c r="AK6479" s="21">
        <f>_xll.qlCalendarAdvance(calendar,AK6478,"1D")</f>
        <v>51782</v>
      </c>
      <c r="AL6479" s="21">
        <f>_xll.qlInterestRateIndexValueDate(hiborindex,AK6479)</f>
        <v>51784</v>
      </c>
      <c r="AM6479" s="23">
        <f>_xll.qlIndexFixing(hiborindex,AK6479)</f>
        <v>8.0381288705827572E-3</v>
      </c>
    </row>
    <row r="6480" spans="37:39" x14ac:dyDescent="0.25">
      <c r="AK6480" s="21">
        <f>_xll.qlCalendarAdvance(calendar,AK6479,"1D")</f>
        <v>51783</v>
      </c>
      <c r="AL6480" s="21">
        <f>_xll.qlInterestRateIndexValueDate(hiborindex,AK6480)</f>
        <v>51785</v>
      </c>
      <c r="AM6480" s="23">
        <f>_xll.qlIndexFixing(hiborindex,AK6480)</f>
        <v>8.038089954184301E-3</v>
      </c>
    </row>
    <row r="6481" spans="37:39" x14ac:dyDescent="0.25">
      <c r="AK6481" s="21">
        <f>_xll.qlCalendarAdvance(calendar,AK6480,"1D")</f>
        <v>51784</v>
      </c>
      <c r="AL6481" s="21">
        <f>_xll.qlInterestRateIndexValueDate(hiborindex,AK6481)</f>
        <v>51788</v>
      </c>
      <c r="AM6481" s="23">
        <f>_xll.qlIndexFixing(hiborindex,AK6481)</f>
        <v>8.037973204994206E-3</v>
      </c>
    </row>
    <row r="6482" spans="37:39" x14ac:dyDescent="0.25">
      <c r="AK6482" s="21">
        <f>_xll.qlCalendarAdvance(calendar,AK6481,"1D")</f>
        <v>51785</v>
      </c>
      <c r="AL6482" s="21">
        <f>_xll.qlInterestRateIndexValueDate(hiborindex,AK6482)</f>
        <v>51789</v>
      </c>
      <c r="AM6482" s="23">
        <f>_xll.qlIndexFixing(hiborindex,AK6482)</f>
        <v>8.0379342885992643E-3</v>
      </c>
    </row>
    <row r="6483" spans="37:39" x14ac:dyDescent="0.25">
      <c r="AK6483" s="21">
        <f>_xll.qlCalendarAdvance(calendar,AK6482,"1D")</f>
        <v>51788</v>
      </c>
      <c r="AL6483" s="21">
        <f>_xll.qlInterestRateIndexValueDate(hiborindex,AK6483)</f>
        <v>51790</v>
      </c>
      <c r="AM6483" s="23">
        <f>_xll.qlIndexFixing(hiborindex,AK6483)</f>
        <v>8.0378953722043227E-3</v>
      </c>
    </row>
    <row r="6484" spans="37:39" x14ac:dyDescent="0.25">
      <c r="AK6484" s="21">
        <f>_xll.qlCalendarAdvance(calendar,AK6483,"1D")</f>
        <v>51789</v>
      </c>
      <c r="AL6484" s="21">
        <f>_xll.qlInterestRateIndexValueDate(hiborindex,AK6484)</f>
        <v>51791</v>
      </c>
      <c r="AM6484" s="23">
        <f>_xll.qlIndexFixing(hiborindex,AK6484)</f>
        <v>8.0378564558111366E-3</v>
      </c>
    </row>
    <row r="6485" spans="37:39" x14ac:dyDescent="0.25">
      <c r="AK6485" s="21">
        <f>_xll.qlCalendarAdvance(calendar,AK6484,"1D")</f>
        <v>51790</v>
      </c>
      <c r="AL6485" s="21">
        <f>_xll.qlInterestRateIndexValueDate(hiborindex,AK6485)</f>
        <v>51792</v>
      </c>
      <c r="AM6485" s="23">
        <f>_xll.qlIndexFixing(hiborindex,AK6485)</f>
        <v>8.0378175394179522E-3</v>
      </c>
    </row>
    <row r="6486" spans="37:39" x14ac:dyDescent="0.25">
      <c r="AK6486" s="21">
        <f>_xll.qlCalendarAdvance(calendar,AK6485,"1D")</f>
        <v>51791</v>
      </c>
      <c r="AL6486" s="21">
        <f>_xll.qlInterestRateIndexValueDate(hiborindex,AK6486)</f>
        <v>51795</v>
      </c>
      <c r="AM6486" s="23">
        <f>_xll.qlIndexFixing(hiborindex,AK6486)</f>
        <v>8.0377007902436674E-3</v>
      </c>
    </row>
    <row r="6487" spans="37:39" x14ac:dyDescent="0.25">
      <c r="AK6487" s="21">
        <f>_xll.qlCalendarAdvance(calendar,AK6486,"1D")</f>
        <v>51792</v>
      </c>
      <c r="AL6487" s="21">
        <f>_xll.qlInterestRateIndexValueDate(hiborindex,AK6487)</f>
        <v>51796</v>
      </c>
      <c r="AM6487" s="23">
        <f>_xll.qlIndexFixing(hiborindex,AK6487)</f>
        <v>8.037661873853557E-3</v>
      </c>
    </row>
    <row r="6488" spans="37:39" x14ac:dyDescent="0.25">
      <c r="AK6488" s="21">
        <f>_xll.qlCalendarAdvance(calendar,AK6487,"1D")</f>
        <v>51795</v>
      </c>
      <c r="AL6488" s="21">
        <f>_xll.qlInterestRateIndexValueDate(hiborindex,AK6488)</f>
        <v>51797</v>
      </c>
      <c r="AM6488" s="23">
        <f>_xll.qlIndexFixing(hiborindex,AK6488)</f>
        <v>8.0376229574652038E-3</v>
      </c>
    </row>
    <row r="6489" spans="37:39" x14ac:dyDescent="0.25">
      <c r="AK6489" s="21">
        <f>_xll.qlCalendarAdvance(calendar,AK6488,"1D")</f>
        <v>51796</v>
      </c>
      <c r="AL6489" s="21">
        <f>_xll.qlInterestRateIndexValueDate(hiborindex,AK6489)</f>
        <v>51798</v>
      </c>
      <c r="AM6489" s="23">
        <f>_xll.qlIndexFixing(hiborindex,AK6489)</f>
        <v>8.0375840410764118E-3</v>
      </c>
    </row>
    <row r="6490" spans="37:39" x14ac:dyDescent="0.25">
      <c r="AK6490" s="21">
        <f>_xll.qlCalendarAdvance(calendar,AK6489,"1D")</f>
        <v>51797</v>
      </c>
      <c r="AL6490" s="21">
        <f>_xll.qlInterestRateIndexValueDate(hiborindex,AK6490)</f>
        <v>51799</v>
      </c>
      <c r="AM6490" s="23">
        <f>_xll.qlIndexFixing(hiborindex,AK6490)</f>
        <v>8.0375451246889364E-3</v>
      </c>
    </row>
    <row r="6491" spans="37:39" x14ac:dyDescent="0.25">
      <c r="AK6491" s="21">
        <f>_xll.qlCalendarAdvance(calendar,AK6490,"1D")</f>
        <v>51798</v>
      </c>
      <c r="AL6491" s="21">
        <f>_xll.qlInterestRateIndexValueDate(hiborindex,AK6491)</f>
        <v>51802</v>
      </c>
      <c r="AM6491" s="23">
        <f>_xll.qlIndexFixing(hiborindex,AK6491)</f>
        <v>8.0374283755309025E-3</v>
      </c>
    </row>
    <row r="6492" spans="37:39" x14ac:dyDescent="0.25">
      <c r="AK6492" s="21">
        <f>_xll.qlCalendarAdvance(calendar,AK6491,"1D")</f>
        <v>51799</v>
      </c>
      <c r="AL6492" s="21">
        <f>_xll.qlInterestRateIndexValueDate(hiborindex,AK6492)</f>
        <v>51803</v>
      </c>
      <c r="AM6492" s="23">
        <f>_xll.qlIndexFixing(hiborindex,AK6492)</f>
        <v>8.0373894591460621E-3</v>
      </c>
    </row>
    <row r="6493" spans="37:39" x14ac:dyDescent="0.25">
      <c r="AK6493" s="21">
        <f>_xll.qlCalendarAdvance(calendar,AK6492,"1D")</f>
        <v>51802</v>
      </c>
      <c r="AL6493" s="21">
        <f>_xll.qlInterestRateIndexValueDate(hiborindex,AK6493)</f>
        <v>51804</v>
      </c>
      <c r="AM6493" s="23">
        <f>_xll.qlIndexFixing(hiborindex,AK6493)</f>
        <v>8.0373505427625402E-3</v>
      </c>
    </row>
    <row r="6494" spans="37:39" x14ac:dyDescent="0.25">
      <c r="AK6494" s="21">
        <f>_xll.qlCalendarAdvance(calendar,AK6493,"1D")</f>
        <v>51803</v>
      </c>
      <c r="AL6494" s="21">
        <f>_xll.qlInterestRateIndexValueDate(hiborindex,AK6494)</f>
        <v>51805</v>
      </c>
      <c r="AM6494" s="23">
        <f>_xll.qlIndexFixing(hiborindex,AK6494)</f>
        <v>8.0372414861069642E-3</v>
      </c>
    </row>
    <row r="6495" spans="37:39" x14ac:dyDescent="0.25">
      <c r="AK6495" s="21">
        <f>_xll.qlCalendarAdvance(calendar,AK6494,"1D")</f>
        <v>51804</v>
      </c>
      <c r="AL6495" s="21">
        <f>_xll.qlInterestRateIndexValueDate(hiborindex,AK6495)</f>
        <v>51806</v>
      </c>
      <c r="AM6495" s="23">
        <f>_xll.qlIndexFixing(hiborindex,AK6495)</f>
        <v>8.0372727099972518E-3</v>
      </c>
    </row>
    <row r="6496" spans="37:39" x14ac:dyDescent="0.25">
      <c r="AK6496" s="21">
        <f>_xll.qlCalendarAdvance(calendar,AK6495,"1D")</f>
        <v>51805</v>
      </c>
      <c r="AL6496" s="21">
        <f>_xll.qlInterestRateIndexValueDate(hiborindex,AK6496)</f>
        <v>51809</v>
      </c>
      <c r="AM6496" s="23">
        <f>_xll.qlIndexFixing(hiborindex,AK6496)</f>
        <v>8.0371559608550299E-3</v>
      </c>
    </row>
    <row r="6497" spans="37:39" x14ac:dyDescent="0.25">
      <c r="AK6497" s="21">
        <f>_xll.qlCalendarAdvance(calendar,AK6496,"1D")</f>
        <v>51806</v>
      </c>
      <c r="AL6497" s="21">
        <f>_xll.qlInterestRateIndexValueDate(hiborindex,AK6497)</f>
        <v>51810</v>
      </c>
      <c r="AM6497" s="23">
        <f>_xll.qlIndexFixing(hiborindex,AK6497)</f>
        <v>8.0370469085365541E-3</v>
      </c>
    </row>
    <row r="6498" spans="37:39" x14ac:dyDescent="0.25">
      <c r="AK6498" s="21">
        <f>_xll.qlCalendarAdvance(calendar,AK6497,"1D")</f>
        <v>51809</v>
      </c>
      <c r="AL6498" s="21">
        <f>_xll.qlInterestRateIndexValueDate(hiborindex,AK6498)</f>
        <v>51811</v>
      </c>
      <c r="AM6498" s="23">
        <f>_xll.qlIndexFixing(hiborindex,AK6498)</f>
        <v>8.0370079930248573E-3</v>
      </c>
    </row>
    <row r="6499" spans="37:39" x14ac:dyDescent="0.25">
      <c r="AK6499" s="21">
        <f>_xll.qlCalendarAdvance(calendar,AK6498,"1D")</f>
        <v>51810</v>
      </c>
      <c r="AL6499" s="21">
        <f>_xll.qlInterestRateIndexValueDate(hiborindex,AK6499)</f>
        <v>51812</v>
      </c>
      <c r="AM6499" s="23">
        <f>_xll.qlIndexFixing(hiborindex,AK6499)</f>
        <v>8.0369690775136012E-3</v>
      </c>
    </row>
    <row r="6500" spans="37:39" x14ac:dyDescent="0.25">
      <c r="AK6500" s="21">
        <f>_xll.qlCalendarAdvance(calendar,AK6499,"1D")</f>
        <v>51811</v>
      </c>
      <c r="AL6500" s="21">
        <f>_xll.qlInterestRateIndexValueDate(hiborindex,AK6500)</f>
        <v>51813</v>
      </c>
      <c r="AM6500" s="23">
        <f>_xll.qlIndexFixing(hiborindex,AK6500)</f>
        <v>8.0369301620036703E-3</v>
      </c>
    </row>
    <row r="6501" spans="37:39" x14ac:dyDescent="0.25">
      <c r="AK6501" s="21">
        <f>_xll.qlCalendarAdvance(calendar,AK6500,"1D")</f>
        <v>51812</v>
      </c>
      <c r="AL6501" s="21">
        <f>_xll.qlInterestRateIndexValueDate(hiborindex,AK6501)</f>
        <v>51816</v>
      </c>
      <c r="AM6501" s="23">
        <f>_xll.qlIndexFixing(hiborindex,AK6501)</f>
        <v>8.036883546216492E-3</v>
      </c>
    </row>
    <row r="6502" spans="37:39" x14ac:dyDescent="0.25">
      <c r="AK6502" s="21">
        <f>_xll.qlCalendarAdvance(calendar,AK6501,"1D")</f>
        <v>51813</v>
      </c>
      <c r="AL6502" s="21">
        <f>_xll.qlInterestRateIndexValueDate(hiborindex,AK6502)</f>
        <v>51817</v>
      </c>
      <c r="AM6502" s="23">
        <f>_xll.qlIndexFixing(hiborindex,AK6502)</f>
        <v>8.0367744999701313E-3</v>
      </c>
    </row>
    <row r="6503" spans="37:39" x14ac:dyDescent="0.25">
      <c r="AK6503" s="21">
        <f>_xll.qlCalendarAdvance(calendar,AK6502,"1D")</f>
        <v>51816</v>
      </c>
      <c r="AL6503" s="21">
        <f>_xll.qlInterestRateIndexValueDate(hiborindex,AK6503)</f>
        <v>51818</v>
      </c>
      <c r="AM6503" s="23">
        <f>_xll.qlIndexFixing(hiborindex,AK6503)</f>
        <v>8.0367355844637341E-3</v>
      </c>
    </row>
    <row r="6504" spans="37:39" x14ac:dyDescent="0.25">
      <c r="AK6504" s="21">
        <f>_xll.qlCalendarAdvance(calendar,AK6503,"1D")</f>
        <v>51817</v>
      </c>
      <c r="AL6504" s="21">
        <f>_xll.qlInterestRateIndexValueDate(hiborindex,AK6504)</f>
        <v>51819</v>
      </c>
      <c r="AM6504" s="23">
        <f>_xll.qlIndexFixing(hiborindex,AK6504)</f>
        <v>8.0366966689582198E-3</v>
      </c>
    </row>
    <row r="6505" spans="37:39" x14ac:dyDescent="0.25">
      <c r="AK6505" s="21">
        <f>_xll.qlCalendarAdvance(calendar,AK6504,"1D")</f>
        <v>51818</v>
      </c>
      <c r="AL6505" s="21">
        <f>_xll.qlInterestRateIndexValueDate(hiborindex,AK6505)</f>
        <v>51820</v>
      </c>
      <c r="AM6505" s="23">
        <f>_xll.qlIndexFixing(hiborindex,AK6505)</f>
        <v>8.036657753453148E-3</v>
      </c>
    </row>
    <row r="6506" spans="37:39" x14ac:dyDescent="0.25">
      <c r="AK6506" s="21">
        <f>_xll.qlCalendarAdvance(calendar,AK6505,"1D")</f>
        <v>51819</v>
      </c>
      <c r="AL6506" s="21">
        <f>_xll.qlInterestRateIndexValueDate(hiborindex,AK6506)</f>
        <v>51823</v>
      </c>
      <c r="AM6506" s="23">
        <f>_xll.qlIndexFixing(hiborindex,AK6506)</f>
        <v>8.0366111316152854E-3</v>
      </c>
    </row>
    <row r="6507" spans="37:39" x14ac:dyDescent="0.25">
      <c r="AK6507" s="21">
        <f>_xll.qlCalendarAdvance(calendar,AK6506,"1D")</f>
        <v>51820</v>
      </c>
      <c r="AL6507" s="21">
        <f>_xll.qlInterestRateIndexValueDate(hiborindex,AK6507)</f>
        <v>51824</v>
      </c>
      <c r="AM6507" s="23">
        <f>_xll.qlIndexFixing(hiborindex,AK6507)</f>
        <v>8.0365020914408072E-3</v>
      </c>
    </row>
    <row r="6508" spans="37:39" x14ac:dyDescent="0.25">
      <c r="AK6508" s="21">
        <f>_xll.qlCalendarAdvance(calendar,AK6507,"1D")</f>
        <v>51823</v>
      </c>
      <c r="AL6508" s="21">
        <f>_xll.qlInterestRateIndexValueDate(hiborindex,AK6508)</f>
        <v>51825</v>
      </c>
      <c r="AM6508" s="23">
        <f>_xll.qlIndexFixing(hiborindex,AK6508)</f>
        <v>8.0364631759397096E-3</v>
      </c>
    </row>
    <row r="6509" spans="37:39" x14ac:dyDescent="0.25">
      <c r="AK6509" s="21">
        <f>_xll.qlCalendarAdvance(calendar,AK6508,"1D")</f>
        <v>51824</v>
      </c>
      <c r="AL6509" s="21">
        <f>_xll.qlInterestRateIndexValueDate(hiborindex,AK6509)</f>
        <v>51826</v>
      </c>
      <c r="AM6509" s="23">
        <f>_xll.qlIndexFixing(hiborindex,AK6509)</f>
        <v>8.0364242604390526E-3</v>
      </c>
    </row>
    <row r="6510" spans="37:39" x14ac:dyDescent="0.25">
      <c r="AK6510" s="21">
        <f>_xll.qlCalendarAdvance(calendar,AK6509,"1D")</f>
        <v>51825</v>
      </c>
      <c r="AL6510" s="21">
        <f>_xll.qlInterestRateIndexValueDate(hiborindex,AK6510)</f>
        <v>51827</v>
      </c>
      <c r="AM6510" s="23">
        <f>_xll.qlIndexFixing(hiborindex,AK6510)</f>
        <v>8.0363853449397209E-3</v>
      </c>
    </row>
    <row r="6511" spans="37:39" x14ac:dyDescent="0.25">
      <c r="AK6511" s="21">
        <f>_xll.qlCalendarAdvance(calendar,AK6510,"1D")</f>
        <v>51826</v>
      </c>
      <c r="AL6511" s="21">
        <f>_xll.qlInterestRateIndexValueDate(hiborindex,AK6511)</f>
        <v>51830</v>
      </c>
      <c r="AM6511" s="23">
        <f>_xll.qlIndexFixing(hiborindex,AK6511)</f>
        <v>8.0363387170518507E-3</v>
      </c>
    </row>
    <row r="6512" spans="37:39" x14ac:dyDescent="0.25">
      <c r="AK6512" s="21">
        <f>_xll.qlCalendarAdvance(calendar,AK6511,"1D")</f>
        <v>51827</v>
      </c>
      <c r="AL6512" s="21">
        <f>_xll.qlInterestRateIndexValueDate(hiborindex,AK6512)</f>
        <v>51831</v>
      </c>
      <c r="AM6512" s="23">
        <f>_xll.qlIndexFixing(hiborindex,AK6512)</f>
        <v>8.0362296829490209E-3</v>
      </c>
    </row>
    <row r="6513" spans="37:39" x14ac:dyDescent="0.25">
      <c r="AK6513" s="21">
        <f>_xll.qlCalendarAdvance(calendar,AK6512,"1D")</f>
        <v>51830</v>
      </c>
      <c r="AL6513" s="21">
        <f>_xll.qlInterestRateIndexValueDate(hiborindex,AK6513)</f>
        <v>51832</v>
      </c>
      <c r="AM6513" s="23">
        <f>_xll.qlIndexFixing(hiborindex,AK6513)</f>
        <v>8.0361907674532228E-3</v>
      </c>
    </row>
    <row r="6514" spans="37:39" x14ac:dyDescent="0.25">
      <c r="AK6514" s="21">
        <f>_xll.qlCalendarAdvance(calendar,AK6513,"1D")</f>
        <v>51831</v>
      </c>
      <c r="AL6514" s="21">
        <f>_xll.qlInterestRateIndexValueDate(hiborindex,AK6514)</f>
        <v>51833</v>
      </c>
      <c r="AM6514" s="23">
        <f>_xll.qlIndexFixing(hiborindex,AK6514)</f>
        <v>8.0361518519574248E-3</v>
      </c>
    </row>
    <row r="6515" spans="37:39" x14ac:dyDescent="0.25">
      <c r="AK6515" s="21">
        <f>_xll.qlCalendarAdvance(calendar,AK6514,"1D")</f>
        <v>51832</v>
      </c>
      <c r="AL6515" s="21">
        <f>_xll.qlInterestRateIndexValueDate(hiborindex,AK6515)</f>
        <v>51834</v>
      </c>
      <c r="AM6515" s="23">
        <f>_xll.qlIndexFixing(hiborindex,AK6515)</f>
        <v>8.0361830516038468E-3</v>
      </c>
    </row>
    <row r="6516" spans="37:39" x14ac:dyDescent="0.25">
      <c r="AK6516" s="21">
        <f>_xll.qlCalendarAdvance(calendar,AK6515,"1D")</f>
        <v>51833</v>
      </c>
      <c r="AL6516" s="21">
        <f>_xll.qlInterestRateIndexValueDate(hiborindex,AK6516)</f>
        <v>51837</v>
      </c>
      <c r="AM6516" s="23">
        <f>_xll.qlIndexFixing(hiborindex,AK6516)</f>
        <v>8.0360663025253101E-3</v>
      </c>
    </row>
    <row r="6517" spans="37:39" x14ac:dyDescent="0.25">
      <c r="AK6517" s="21">
        <f>_xll.qlCalendarAdvance(calendar,AK6516,"1D")</f>
        <v>51834</v>
      </c>
      <c r="AL6517" s="21">
        <f>_xll.qlInterestRateIndexValueDate(hiborindex,AK6517)</f>
        <v>51838</v>
      </c>
      <c r="AM6517" s="23">
        <f>_xll.qlIndexFixing(hiborindex,AK6517)</f>
        <v>8.0360273861677014E-3</v>
      </c>
    </row>
    <row r="6518" spans="37:39" x14ac:dyDescent="0.25">
      <c r="AK6518" s="21">
        <f>_xll.qlCalendarAdvance(calendar,AK6517,"1D")</f>
        <v>51837</v>
      </c>
      <c r="AL6518" s="21">
        <f>_xll.qlInterestRateIndexValueDate(hiborindex,AK6518)</f>
        <v>51839</v>
      </c>
      <c r="AM6518" s="23">
        <f>_xll.qlIndexFixing(hiborindex,AK6518)</f>
        <v>8.0359884698105316E-3</v>
      </c>
    </row>
    <row r="6519" spans="37:39" x14ac:dyDescent="0.25">
      <c r="AK6519" s="21">
        <f>_xll.qlCalendarAdvance(calendar,AK6518,"1D")</f>
        <v>51838</v>
      </c>
      <c r="AL6519" s="21">
        <f>_xll.qlInterestRateIndexValueDate(hiborindex,AK6519)</f>
        <v>51840</v>
      </c>
      <c r="AM6519" s="23">
        <f>_xll.qlIndexFixing(hiborindex,AK6519)</f>
        <v>8.0359495534542396E-3</v>
      </c>
    </row>
    <row r="6520" spans="37:39" x14ac:dyDescent="0.25">
      <c r="AK6520" s="21">
        <f>_xll.qlCalendarAdvance(calendar,AK6519,"1D")</f>
        <v>51839</v>
      </c>
      <c r="AL6520" s="21">
        <f>_xll.qlInterestRateIndexValueDate(hiborindex,AK6520)</f>
        <v>51841</v>
      </c>
      <c r="AM6520" s="23">
        <f>_xll.qlIndexFixing(hiborindex,AK6520)</f>
        <v>8.0359106370988271E-3</v>
      </c>
    </row>
    <row r="6521" spans="37:39" x14ac:dyDescent="0.25">
      <c r="AK6521" s="21">
        <f>_xll.qlCalendarAdvance(calendar,AK6520,"1D")</f>
        <v>51840</v>
      </c>
      <c r="AL6521" s="21">
        <f>_xll.qlInterestRateIndexValueDate(hiborindex,AK6521)</f>
        <v>51844</v>
      </c>
      <c r="AM6521" s="23">
        <f>_xll.qlIndexFixing(hiborindex,AK6521)</f>
        <v>8.0357938880365413E-3</v>
      </c>
    </row>
    <row r="6522" spans="37:39" x14ac:dyDescent="0.25">
      <c r="AK6522" s="21">
        <f>_xll.qlCalendarAdvance(calendar,AK6521,"1D")</f>
        <v>51841</v>
      </c>
      <c r="AL6522" s="21">
        <f>_xll.qlInterestRateIndexValueDate(hiborindex,AK6522)</f>
        <v>51845</v>
      </c>
      <c r="AM6522" s="23">
        <f>_xll.qlIndexFixing(hiborindex,AK6522)</f>
        <v>8.0357549716837638E-3</v>
      </c>
    </row>
    <row r="6523" spans="37:39" x14ac:dyDescent="0.25">
      <c r="AK6523" s="21">
        <f>_xll.qlCalendarAdvance(calendar,AK6522,"1D")</f>
        <v>51844</v>
      </c>
      <c r="AL6523" s="21">
        <f>_xll.qlInterestRateIndexValueDate(hiborindex,AK6523)</f>
        <v>51846</v>
      </c>
      <c r="AM6523" s="23">
        <f>_xll.qlIndexFixing(hiborindex,AK6523)</f>
        <v>8.035716055332303E-3</v>
      </c>
    </row>
    <row r="6524" spans="37:39" x14ac:dyDescent="0.25">
      <c r="AK6524" s="21">
        <f>_xll.qlCalendarAdvance(calendar,AK6523,"1D")</f>
        <v>51845</v>
      </c>
      <c r="AL6524" s="21">
        <f>_xll.qlInterestRateIndexValueDate(hiborindex,AK6524)</f>
        <v>51847</v>
      </c>
      <c r="AM6524" s="23">
        <f>_xll.qlIndexFixing(hiborindex,AK6524)</f>
        <v>8.0356771389812828E-3</v>
      </c>
    </row>
    <row r="6525" spans="37:39" x14ac:dyDescent="0.25">
      <c r="AK6525" s="21">
        <f>_xll.qlCalendarAdvance(calendar,AK6524,"1D")</f>
        <v>51846</v>
      </c>
      <c r="AL6525" s="21">
        <f>_xll.qlInterestRateIndexValueDate(hiborindex,AK6525)</f>
        <v>51848</v>
      </c>
      <c r="AM6525" s="23">
        <f>_xll.qlIndexFixing(hiborindex,AK6525)</f>
        <v>8.0356382226306998E-3</v>
      </c>
    </row>
    <row r="6526" spans="37:39" x14ac:dyDescent="0.25">
      <c r="AK6526" s="21">
        <f>_xll.qlCalendarAdvance(calendar,AK6525,"1D")</f>
        <v>51847</v>
      </c>
      <c r="AL6526" s="21">
        <f>_xll.qlInterestRateIndexValueDate(hiborindex,AK6526)</f>
        <v>51851</v>
      </c>
      <c r="AM6526" s="23">
        <f>_xll.qlIndexFixing(hiborindex,AK6526)</f>
        <v>8.0355214735846649E-3</v>
      </c>
    </row>
    <row r="6527" spans="37:39" x14ac:dyDescent="0.25">
      <c r="AK6527" s="21">
        <f>_xll.qlCalendarAdvance(calendar,AK6526,"1D")</f>
        <v>51848</v>
      </c>
      <c r="AL6527" s="21">
        <f>_xll.qlInterestRateIndexValueDate(hiborindex,AK6527)</f>
        <v>51852</v>
      </c>
      <c r="AM6527" s="23">
        <f>_xll.qlIndexFixing(hiborindex,AK6527)</f>
        <v>8.035482557238037E-3</v>
      </c>
    </row>
    <row r="6528" spans="37:39" x14ac:dyDescent="0.25">
      <c r="AK6528" s="21">
        <f>_xll.qlCalendarAdvance(calendar,AK6527,"1D")</f>
        <v>51851</v>
      </c>
      <c r="AL6528" s="21">
        <f>_xll.qlInterestRateIndexValueDate(hiborindex,AK6528)</f>
        <v>51853</v>
      </c>
      <c r="AM6528" s="23">
        <f>_xll.qlIndexFixing(hiborindex,AK6528)</f>
        <v>8.0354436408914074E-3</v>
      </c>
    </row>
    <row r="6529" spans="37:39" x14ac:dyDescent="0.25">
      <c r="AK6529" s="21">
        <f>_xll.qlCalendarAdvance(calendar,AK6528,"1D")</f>
        <v>51852</v>
      </c>
      <c r="AL6529" s="21">
        <f>_xll.qlInterestRateIndexValueDate(hiborindex,AK6529)</f>
        <v>51854</v>
      </c>
      <c r="AM6529" s="23">
        <f>_xll.qlIndexFixing(hiborindex,AK6529)</f>
        <v>8.0354047245456573E-3</v>
      </c>
    </row>
    <row r="6530" spans="37:39" x14ac:dyDescent="0.25">
      <c r="AK6530" s="21">
        <f>_xll.qlCalendarAdvance(calendar,AK6529,"1D")</f>
        <v>51853</v>
      </c>
      <c r="AL6530" s="21">
        <f>_xll.qlInterestRateIndexValueDate(hiborindex,AK6530)</f>
        <v>51855</v>
      </c>
      <c r="AM6530" s="23">
        <f>_xll.qlIndexFixing(hiborindex,AK6530)</f>
        <v>8.0353658082012256E-3</v>
      </c>
    </row>
    <row r="6531" spans="37:39" x14ac:dyDescent="0.25">
      <c r="AK6531" s="21">
        <f>_xll.qlCalendarAdvance(calendar,AK6530,"1D")</f>
        <v>51854</v>
      </c>
      <c r="AL6531" s="21">
        <f>_xll.qlInterestRateIndexValueDate(hiborindex,AK6531)</f>
        <v>51858</v>
      </c>
      <c r="AM6531" s="23">
        <f>_xll.qlIndexFixing(hiborindex,AK6531)</f>
        <v>8.0352490591710009E-3</v>
      </c>
    </row>
    <row r="6532" spans="37:39" x14ac:dyDescent="0.25">
      <c r="AK6532" s="21">
        <f>_xll.qlCalendarAdvance(calendar,AK6531,"1D")</f>
        <v>51855</v>
      </c>
      <c r="AL6532" s="21">
        <f>_xll.qlInterestRateIndexValueDate(hiborindex,AK6532)</f>
        <v>51859</v>
      </c>
      <c r="AM6532" s="23">
        <f>_xll.qlIndexFixing(hiborindex,AK6532)</f>
        <v>8.0352101428287654E-3</v>
      </c>
    </row>
    <row r="6533" spans="37:39" x14ac:dyDescent="0.25">
      <c r="AK6533" s="21">
        <f>_xll.qlCalendarAdvance(calendar,AK6532,"1D")</f>
        <v>51858</v>
      </c>
      <c r="AL6533" s="21">
        <f>_xll.qlInterestRateIndexValueDate(hiborindex,AK6533)</f>
        <v>51862</v>
      </c>
      <c r="AM6533" s="23">
        <f>_xll.qlIndexFixing(hiborindex,AK6533)</f>
        <v>8.0350933938077643E-3</v>
      </c>
    </row>
    <row r="6534" spans="37:39" x14ac:dyDescent="0.25">
      <c r="AK6534" s="21">
        <f>_xll.qlCalendarAdvance(calendar,AK6533,"1D")</f>
        <v>51859</v>
      </c>
      <c r="AL6534" s="21">
        <f>_xll.qlInterestRateIndexValueDate(hiborindex,AK6534)</f>
        <v>51865</v>
      </c>
      <c r="AM6534" s="23">
        <f>_xll.qlIndexFixing(hiborindex,AK6534)</f>
        <v>8.0349766447937922E-3</v>
      </c>
    </row>
    <row r="6535" spans="37:39" x14ac:dyDescent="0.25">
      <c r="AK6535" s="21">
        <f>_xll.qlCalendarAdvance(calendar,AK6534,"1D")</f>
        <v>51862</v>
      </c>
      <c r="AL6535" s="21">
        <f>_xll.qlInterestRateIndexValueDate(hiborindex,AK6535)</f>
        <v>51866</v>
      </c>
      <c r="AM6535" s="23">
        <f>_xll.qlIndexFixing(hiborindex,AK6535)</f>
        <v>8.0348676410452267E-3</v>
      </c>
    </row>
    <row r="6536" spans="37:39" x14ac:dyDescent="0.25">
      <c r="AK6536" s="21">
        <f>_xll.qlCalendarAdvance(calendar,AK6535,"1D")</f>
        <v>51865</v>
      </c>
      <c r="AL6536" s="21">
        <f>_xll.qlInterestRateIndexValueDate(hiborindex,AK6536)</f>
        <v>51868</v>
      </c>
      <c r="AM6536" s="23">
        <f>_xll.qlIndexFixing(hiborindex,AK6536)</f>
        <v>8.0314403039862068E-3</v>
      </c>
    </row>
    <row r="6537" spans="37:39" x14ac:dyDescent="0.25">
      <c r="AK6537" s="21">
        <f>_xll.qlCalendarAdvance(calendar,AK6536,"1D")</f>
        <v>51866</v>
      </c>
      <c r="AL6537" s="21">
        <f>_xll.qlInterestRateIndexValueDate(hiborindex,AK6537)</f>
        <v>51869</v>
      </c>
      <c r="AM6537" s="23">
        <f>_xll.qlIndexFixing(hiborindex,AK6537)</f>
        <v>8.0297261087942263E-3</v>
      </c>
    </row>
    <row r="6538" spans="37:39" x14ac:dyDescent="0.25">
      <c r="AK6538" s="21">
        <f>_xll.qlCalendarAdvance(calendar,AK6537,"1D")</f>
        <v>51868</v>
      </c>
      <c r="AL6538" s="21">
        <f>_xll.qlInterestRateIndexValueDate(hiborindex,AK6538)</f>
        <v>51872</v>
      </c>
      <c r="AM6538" s="23">
        <f>_xll.qlIndexFixing(hiborindex,AK6538)</f>
        <v>8.0230390020447507E-3</v>
      </c>
    </row>
    <row r="6539" spans="37:39" x14ac:dyDescent="0.25">
      <c r="AK6539" s="21">
        <f>_xll.qlCalendarAdvance(calendar,AK6538,"1D")</f>
        <v>51869</v>
      </c>
      <c r="AL6539" s="21">
        <f>_xll.qlInterestRateIndexValueDate(hiborindex,AK6539)</f>
        <v>51873</v>
      </c>
      <c r="AM6539" s="23">
        <f>_xll.qlIndexFixing(hiborindex,AK6539)</f>
        <v>8.0228658169621565E-3</v>
      </c>
    </row>
    <row r="6540" spans="37:39" x14ac:dyDescent="0.25">
      <c r="AK6540" s="21">
        <f>_xll.qlCalendarAdvance(calendar,AK6539,"1D")</f>
        <v>51872</v>
      </c>
      <c r="AL6540" s="21">
        <f>_xll.qlInterestRateIndexValueDate(hiborindex,AK6540)</f>
        <v>51874</v>
      </c>
      <c r="AM6540" s="23">
        <f>_xll.qlIndexFixing(hiborindex,AK6540)</f>
        <v>8.021149866242739E-3</v>
      </c>
    </row>
    <row r="6541" spans="37:39" x14ac:dyDescent="0.25">
      <c r="AK6541" s="21">
        <f>_xll.qlCalendarAdvance(calendar,AK6540,"1D")</f>
        <v>51873</v>
      </c>
      <c r="AL6541" s="21">
        <f>_xll.qlInterestRateIndexValueDate(hiborindex,AK6541)</f>
        <v>51875</v>
      </c>
      <c r="AM6541" s="23">
        <f>_xll.qlIndexFixing(hiborindex,AK6541)</f>
        <v>8.0194335644207491E-3</v>
      </c>
    </row>
    <row r="6542" spans="37:39" x14ac:dyDescent="0.25">
      <c r="AK6542" s="21">
        <f>_xll.qlCalendarAdvance(calendar,AK6541,"1D")</f>
        <v>51874</v>
      </c>
      <c r="AL6542" s="21">
        <f>_xll.qlInterestRateIndexValueDate(hiborindex,AK6542)</f>
        <v>51876</v>
      </c>
      <c r="AM6542" s="23">
        <f>_xll.qlIndexFixing(hiborindex,AK6542)</f>
        <v>8.0177169114970716E-3</v>
      </c>
    </row>
    <row r="6543" spans="37:39" x14ac:dyDescent="0.25">
      <c r="AK6543" s="21">
        <f>_xll.qlCalendarAdvance(calendar,AK6542,"1D")</f>
        <v>51875</v>
      </c>
      <c r="AL6543" s="21">
        <f>_xll.qlInterestRateIndexValueDate(hiborindex,AK6543)</f>
        <v>51879</v>
      </c>
      <c r="AM6543" s="23">
        <f>_xll.qlIndexFixing(hiborindex,AK6543)</f>
        <v>8.0110842493835415E-3</v>
      </c>
    </row>
    <row r="6544" spans="37:39" x14ac:dyDescent="0.25">
      <c r="AK6544" s="21">
        <f>_xll.qlCalendarAdvance(calendar,AK6543,"1D")</f>
        <v>51876</v>
      </c>
      <c r="AL6544" s="21">
        <f>_xll.qlInterestRateIndexValueDate(hiborindex,AK6544)</f>
        <v>51880</v>
      </c>
      <c r="AM6544" s="23">
        <f>_xll.qlIndexFixing(hiborindex,AK6544)</f>
        <v>8.0108467888022478E-3</v>
      </c>
    </row>
    <row r="6545" spans="37:39" x14ac:dyDescent="0.25">
      <c r="AK6545" s="21">
        <f>_xll.qlCalendarAdvance(calendar,AK6544,"1D")</f>
        <v>51879</v>
      </c>
      <c r="AL6545" s="21">
        <f>_xll.qlInterestRateIndexValueDate(hiborindex,AK6545)</f>
        <v>51881</v>
      </c>
      <c r="AM6545" s="23">
        <f>_xll.qlIndexFixing(hiborindex,AK6545)</f>
        <v>8.0091283803824884E-3</v>
      </c>
    </row>
    <row r="6546" spans="37:39" x14ac:dyDescent="0.25">
      <c r="AK6546" s="21">
        <f>_xll.qlCalendarAdvance(calendar,AK6545,"1D")</f>
        <v>51880</v>
      </c>
      <c r="AL6546" s="21">
        <f>_xll.qlInterestRateIndexValueDate(hiborindex,AK6546)</f>
        <v>51882</v>
      </c>
      <c r="AM6546" s="23">
        <f>_xll.qlIndexFixing(hiborindex,AK6546)</f>
        <v>8.0074096208676646E-3</v>
      </c>
    </row>
    <row r="6547" spans="37:39" x14ac:dyDescent="0.25">
      <c r="AK6547" s="21">
        <f>_xll.qlCalendarAdvance(calendar,AK6546,"1D")</f>
        <v>51881</v>
      </c>
      <c r="AL6547" s="21">
        <f>_xll.qlInterestRateIndexValueDate(hiborindex,AK6547)</f>
        <v>51883</v>
      </c>
      <c r="AM6547" s="23">
        <f>_xll.qlIndexFixing(hiborindex,AK6547)</f>
        <v>8.0056905102564527E-3</v>
      </c>
    </row>
    <row r="6548" spans="37:39" x14ac:dyDescent="0.25">
      <c r="AK6548" s="21">
        <f>_xll.qlCalendarAdvance(calendar,AK6547,"1D")</f>
        <v>51882</v>
      </c>
      <c r="AL6548" s="21">
        <f>_xll.qlInterestRateIndexValueDate(hiborindex,AK6548)</f>
        <v>51886</v>
      </c>
      <c r="AM6548" s="23">
        <f>_xll.qlIndexFixing(hiborindex,AK6548)</f>
        <v>7.9991123871202448E-3</v>
      </c>
    </row>
    <row r="6549" spans="37:39" x14ac:dyDescent="0.25">
      <c r="AK6549" s="21">
        <f>_xll.qlCalendarAdvance(calendar,AK6548,"1D")</f>
        <v>51883</v>
      </c>
      <c r="AL6549" s="21">
        <f>_xll.qlInterestRateIndexValueDate(hiborindex,AK6549)</f>
        <v>51887</v>
      </c>
      <c r="AM6549" s="23">
        <f>_xll.qlIndexFixing(hiborindex,AK6549)</f>
        <v>7.998810556876854E-3</v>
      </c>
    </row>
    <row r="6550" spans="37:39" x14ac:dyDescent="0.25">
      <c r="AK6550" s="21">
        <f>_xll.qlCalendarAdvance(calendar,AK6549,"1D")</f>
        <v>51886</v>
      </c>
      <c r="AL6550" s="21">
        <f>_xll.qlInterestRateIndexValueDate(hiborindex,AK6550)</f>
        <v>51888</v>
      </c>
      <c r="AM6550" s="23">
        <f>_xll.qlIndexFixing(hiborindex,AK6550)</f>
        <v>7.9970896908022424E-3</v>
      </c>
    </row>
    <row r="6551" spans="37:39" x14ac:dyDescent="0.25">
      <c r="AK6551" s="21">
        <f>_xll.qlCalendarAdvance(calendar,AK6550,"1D")</f>
        <v>51887</v>
      </c>
      <c r="AL6551" s="21">
        <f>_xll.qlInterestRateIndexValueDate(hiborindex,AK6551)</f>
        <v>51889</v>
      </c>
      <c r="AM6551" s="23">
        <f>_xll.qlIndexFixing(hiborindex,AK6551)</f>
        <v>7.995368473637866E-3</v>
      </c>
    </row>
    <row r="6552" spans="37:39" x14ac:dyDescent="0.25">
      <c r="AK6552" s="21">
        <f>_xll.qlCalendarAdvance(calendar,AK6551,"1D")</f>
        <v>51888</v>
      </c>
      <c r="AL6552" s="21">
        <f>_xll.qlInterestRateIndexValueDate(hiborindex,AK6552)</f>
        <v>51890</v>
      </c>
      <c r="AM6552" s="23">
        <f>_xll.qlIndexFixing(hiborindex,AK6552)</f>
        <v>7.9936469053841653E-3</v>
      </c>
    </row>
    <row r="6553" spans="37:39" x14ac:dyDescent="0.25">
      <c r="AK6553" s="21">
        <f>_xll.qlCalendarAdvance(calendar,AK6552,"1D")</f>
        <v>51889</v>
      </c>
      <c r="AL6553" s="21">
        <f>_xll.qlInterestRateIndexValueDate(hiborindex,AK6553)</f>
        <v>51893</v>
      </c>
      <c r="AM6553" s="23">
        <f>_xll.qlIndexFixing(hiborindex,AK6553)</f>
        <v>7.9871234155640645E-3</v>
      </c>
    </row>
    <row r="6554" spans="37:39" x14ac:dyDescent="0.25">
      <c r="AK6554" s="21">
        <f>_xll.qlCalendarAdvance(calendar,AK6553,"1D")</f>
        <v>51890</v>
      </c>
      <c r="AL6554" s="21">
        <f>_xll.qlInterestRateIndexValueDate(hiborindex,AK6554)</f>
        <v>51894</v>
      </c>
      <c r="AM6554" s="23">
        <f>_xll.qlIndexFixing(hiborindex,AK6554)</f>
        <v>7.9867571214982148E-3</v>
      </c>
    </row>
    <row r="6555" spans="37:39" x14ac:dyDescent="0.25">
      <c r="AK6555" s="21">
        <f>_xll.qlCalendarAdvance(calendar,AK6554,"1D")</f>
        <v>51893</v>
      </c>
      <c r="AL6555" s="21">
        <f>_xll.qlInterestRateIndexValueDate(hiborindex,AK6555)</f>
        <v>51895</v>
      </c>
      <c r="AM6555" s="23">
        <f>_xll.qlIndexFixing(hiborindex,AK6555)</f>
        <v>7.985033797812912E-3</v>
      </c>
    </row>
    <row r="6556" spans="37:39" x14ac:dyDescent="0.25">
      <c r="AK6556" s="21">
        <f>_xll.qlCalendarAdvance(calendar,AK6555,"1D")</f>
        <v>51894</v>
      </c>
      <c r="AL6556" s="21">
        <f>_xll.qlInterestRateIndexValueDate(hiborindex,AK6556)</f>
        <v>51896</v>
      </c>
      <c r="AM6556" s="23">
        <f>_xll.qlIndexFixing(hiborindex,AK6556)</f>
        <v>7.9833101230440302E-3</v>
      </c>
    </row>
    <row r="6557" spans="37:39" x14ac:dyDescent="0.25">
      <c r="AK6557" s="21">
        <f>_xll.qlCalendarAdvance(calendar,AK6556,"1D")</f>
        <v>51895</v>
      </c>
      <c r="AL6557" s="21">
        <f>_xll.qlInterestRateIndexValueDate(hiborindex,AK6557)</f>
        <v>51897</v>
      </c>
      <c r="AM6557" s="23">
        <f>_xll.qlIndexFixing(hiborindex,AK6557)</f>
        <v>7.9815860971928897E-3</v>
      </c>
    </row>
    <row r="6558" spans="37:39" x14ac:dyDescent="0.25">
      <c r="AK6558" s="21">
        <f>_xll.qlCalendarAdvance(calendar,AK6557,"1D")</f>
        <v>51896</v>
      </c>
      <c r="AL6558" s="21">
        <f>_xll.qlInterestRateIndexValueDate(hiborindex,AK6558)</f>
        <v>51900</v>
      </c>
      <c r="AM6558" s="23">
        <f>_xll.qlIndexFixing(hiborindex,AK6558)</f>
        <v>7.9751173350272788E-3</v>
      </c>
    </row>
    <row r="6559" spans="37:39" x14ac:dyDescent="0.25">
      <c r="AK6559" s="21">
        <f>_xll.qlCalendarAdvance(calendar,AK6558,"1D")</f>
        <v>51897</v>
      </c>
      <c r="AL6559" s="21">
        <f>_xll.qlInterestRateIndexValueDate(hiborindex,AK6559)</f>
        <v>51901</v>
      </c>
      <c r="AM6559" s="23">
        <f>_xll.qlIndexFixing(hiborindex,AK6559)</f>
        <v>7.9746864829785633E-3</v>
      </c>
    </row>
    <row r="6560" spans="37:39" x14ac:dyDescent="0.25">
      <c r="AK6560" s="21">
        <f>_xll.qlCalendarAdvance(calendar,AK6559,"1D")</f>
        <v>51900</v>
      </c>
      <c r="AL6560" s="21">
        <f>_xll.qlInterestRateIndexValueDate(hiborindex,AK6560)</f>
        <v>51902</v>
      </c>
      <c r="AM6560" s="23">
        <f>_xll.qlIndexFixing(hiborindex,AK6560)</f>
        <v>7.9729607017276181E-3</v>
      </c>
    </row>
    <row r="6561" spans="37:39" x14ac:dyDescent="0.25">
      <c r="AK6561" s="21">
        <f>_xll.qlCalendarAdvance(calendar,AK6560,"1D")</f>
        <v>51901</v>
      </c>
      <c r="AL6561" s="21">
        <f>_xll.qlInterestRateIndexValueDate(hiborindex,AK6561)</f>
        <v>51903</v>
      </c>
      <c r="AM6561" s="23">
        <f>_xll.qlIndexFixing(hiborindex,AK6561)</f>
        <v>7.9712345693988343E-3</v>
      </c>
    </row>
    <row r="6562" spans="37:39" x14ac:dyDescent="0.25">
      <c r="AK6562" s="21">
        <f>_xll.qlCalendarAdvance(calendar,AK6561,"1D")</f>
        <v>51902</v>
      </c>
      <c r="AL6562" s="21">
        <f>_xll.qlInterestRateIndexValueDate(hiborindex,AK6562)</f>
        <v>51904</v>
      </c>
      <c r="AM6562" s="23">
        <f>_xll.qlIndexFixing(hiborindex,AK6562)</f>
        <v>7.9695080859944166E-3</v>
      </c>
    </row>
    <row r="6563" spans="37:39" x14ac:dyDescent="0.25">
      <c r="AK6563" s="21">
        <f>_xll.qlCalendarAdvance(calendar,AK6562,"1D")</f>
        <v>51903</v>
      </c>
      <c r="AL6563" s="21">
        <f>_xll.qlInterestRateIndexValueDate(hiborindex,AK6563)</f>
        <v>51907</v>
      </c>
      <c r="AM6563" s="23">
        <f>_xll.qlIndexFixing(hiborindex,AK6563)</f>
        <v>7.9630941458204083E-3</v>
      </c>
    </row>
    <row r="6564" spans="37:39" x14ac:dyDescent="0.25">
      <c r="AK6564" s="21">
        <f>_xll.qlCalendarAdvance(calendar,AK6563,"1D")</f>
        <v>51904</v>
      </c>
      <c r="AL6564" s="21">
        <f>_xll.qlInterestRateIndexValueDate(hiborindex,AK6564)</f>
        <v>51908</v>
      </c>
      <c r="AM6564" s="23">
        <f>_xll.qlIndexFixing(hiborindex,AK6564)</f>
        <v>7.9625986416305781E-3</v>
      </c>
    </row>
    <row r="6565" spans="37:39" x14ac:dyDescent="0.25">
      <c r="AK6565" s="21">
        <f>_xll.qlCalendarAdvance(calendar,AK6564,"1D")</f>
        <v>51907</v>
      </c>
      <c r="AL6565" s="21">
        <f>_xll.qlInterestRateIndexValueDate(hiborindex,AK6565)</f>
        <v>51909</v>
      </c>
      <c r="AM6565" s="23">
        <f>_xll.qlIndexFixing(hiborindex,AK6565)</f>
        <v>7.9608704028581549E-3</v>
      </c>
    </row>
    <row r="6566" spans="37:39" x14ac:dyDescent="0.25">
      <c r="AK6566" s="21">
        <f>_xll.qlCalendarAdvance(calendar,AK6565,"1D")</f>
        <v>51908</v>
      </c>
      <c r="AL6566" s="21">
        <f>_xll.qlInterestRateIndexValueDate(hiborindex,AK6566)</f>
        <v>51910</v>
      </c>
      <c r="AM6566" s="23">
        <f>_xll.qlIndexFixing(hiborindex,AK6566)</f>
        <v>7.9591418130149569E-3</v>
      </c>
    </row>
    <row r="6567" spans="37:39" x14ac:dyDescent="0.25">
      <c r="AK6567" s="21">
        <f>_xll.qlCalendarAdvance(calendar,AK6566,"1D")</f>
        <v>51909</v>
      </c>
      <c r="AL6567" s="21">
        <f>_xll.qlInterestRateIndexValueDate(hiborindex,AK6567)</f>
        <v>51911</v>
      </c>
      <c r="AM6567" s="23">
        <f>_xll.qlIndexFixing(hiborindex,AK6567)</f>
        <v>7.9574128721014263E-3</v>
      </c>
    </row>
    <row r="6568" spans="37:39" x14ac:dyDescent="0.25">
      <c r="AK6568" s="21">
        <f>_xll.qlCalendarAdvance(calendar,AK6567,"1D")</f>
        <v>51910</v>
      </c>
      <c r="AL6568" s="21">
        <f>_xll.qlInterestRateIndexValueDate(hiborindex,AK6568)</f>
        <v>51914</v>
      </c>
      <c r="AM6568" s="23">
        <f>_xll.qlIndexFixing(hiborindex,AK6568)</f>
        <v>7.9510538482544125E-3</v>
      </c>
    </row>
    <row r="6569" spans="37:39" x14ac:dyDescent="0.25">
      <c r="AK6569" s="21">
        <f>_xll.qlCalendarAdvance(calendar,AK6568,"1D")</f>
        <v>51911</v>
      </c>
      <c r="AL6569" s="21">
        <f>_xll.qlInterestRateIndexValueDate(hiborindex,AK6569)</f>
        <v>51915</v>
      </c>
      <c r="AM6569" s="23">
        <f>_xll.qlIndexFixing(hiborindex,AK6569)</f>
        <v>7.9504935977682632E-3</v>
      </c>
    </row>
    <row r="6570" spans="37:39" x14ac:dyDescent="0.25">
      <c r="AK6570" s="21">
        <f>_xll.qlCalendarAdvance(calendar,AK6569,"1D")</f>
        <v>51914</v>
      </c>
      <c r="AL6570" s="21">
        <f>_xll.qlInterestRateIndexValueDate(hiborindex,AK6570)</f>
        <v>51916</v>
      </c>
      <c r="AM6570" s="23">
        <f>_xll.qlIndexFixing(hiborindex,AK6570)</f>
        <v>7.9487629015189652E-3</v>
      </c>
    </row>
    <row r="6571" spans="37:39" x14ac:dyDescent="0.25">
      <c r="AK6571" s="21">
        <f>_xll.qlCalendarAdvance(calendar,AK6570,"1D")</f>
        <v>51915</v>
      </c>
      <c r="AL6571" s="21">
        <f>_xll.qlInterestRateIndexValueDate(hiborindex,AK6571)</f>
        <v>51917</v>
      </c>
      <c r="AM6571" s="23">
        <f>_xll.qlIndexFixing(hiborindex,AK6571)</f>
        <v>7.9470318542059614E-3</v>
      </c>
    </row>
    <row r="6572" spans="37:39" x14ac:dyDescent="0.25">
      <c r="AK6572" s="21">
        <f>_xll.qlCalendarAdvance(calendar,AK6571,"1D")</f>
        <v>51916</v>
      </c>
      <c r="AL6572" s="21">
        <f>_xll.qlInterestRateIndexValueDate(hiborindex,AK6572)</f>
        <v>51918</v>
      </c>
      <c r="AM6572" s="23">
        <f>_xll.qlIndexFixing(hiborindex,AK6572)</f>
        <v>7.9453004558288041E-3</v>
      </c>
    </row>
    <row r="6573" spans="37:39" x14ac:dyDescent="0.25">
      <c r="AK6573" s="21">
        <f>_xll.qlCalendarAdvance(calendar,AK6572,"1D")</f>
        <v>51917</v>
      </c>
      <c r="AL6573" s="21">
        <f>_xll.qlInterestRateIndexValueDate(hiborindex,AK6573)</f>
        <v>51921</v>
      </c>
      <c r="AM6573" s="23">
        <f>_xll.qlIndexFixing(hiborindex,AK6573)</f>
        <v>7.9389964426420084E-3</v>
      </c>
    </row>
    <row r="6574" spans="37:39" x14ac:dyDescent="0.25">
      <c r="AK6574" s="21">
        <f>_xll.qlCalendarAdvance(calendar,AK6573,"1D")</f>
        <v>51918</v>
      </c>
      <c r="AL6574" s="21">
        <f>_xll.qlInterestRateIndexValueDate(hiborindex,AK6574)</f>
        <v>51922</v>
      </c>
      <c r="AM6574" s="23">
        <f>_xll.qlIndexFixing(hiborindex,AK6574)</f>
        <v>7.9383713517042955E-3</v>
      </c>
    </row>
    <row r="6575" spans="37:39" x14ac:dyDescent="0.25">
      <c r="AK6575" s="21">
        <f>_xll.qlCalendarAdvance(calendar,AK6574,"1D")</f>
        <v>51921</v>
      </c>
      <c r="AL6575" s="21">
        <f>_xll.qlInterestRateIndexValueDate(hiborindex,AK6575)</f>
        <v>51923</v>
      </c>
      <c r="AM6575" s="23">
        <f>_xll.qlIndexFixing(hiborindex,AK6575)</f>
        <v>7.9366381980240548E-3</v>
      </c>
    </row>
    <row r="6576" spans="37:39" x14ac:dyDescent="0.25">
      <c r="AK6576" s="21">
        <f>_xll.qlCalendarAdvance(calendar,AK6575,"1D")</f>
        <v>51922</v>
      </c>
      <c r="AL6576" s="21">
        <f>_xll.qlInterestRateIndexValueDate(hiborindex,AK6576)</f>
        <v>51924</v>
      </c>
      <c r="AM6576" s="23">
        <f>_xll.qlIndexFixing(hiborindex,AK6576)</f>
        <v>7.9349046932854061E-3</v>
      </c>
    </row>
    <row r="6577" spans="37:39" x14ac:dyDescent="0.25">
      <c r="AK6577" s="21">
        <f>_xll.qlCalendarAdvance(calendar,AK6576,"1D")</f>
        <v>51923</v>
      </c>
      <c r="AL6577" s="21">
        <f>_xll.qlInterestRateIndexValueDate(hiborindex,AK6577)</f>
        <v>51925</v>
      </c>
      <c r="AM6577" s="23">
        <f>_xll.qlIndexFixing(hiborindex,AK6577)</f>
        <v>7.9320988155347234E-3</v>
      </c>
    </row>
    <row r="6578" spans="37:39" x14ac:dyDescent="0.25">
      <c r="AK6578" s="21">
        <f>_xll.qlCalendarAdvance(calendar,AK6577,"1D")</f>
        <v>51924</v>
      </c>
      <c r="AL6578" s="21">
        <f>_xll.qlInterestRateIndexValueDate(hiborindex,AK6578)</f>
        <v>51928</v>
      </c>
      <c r="AM6578" s="23">
        <f>_xll.qlIndexFixing(hiborindex,AK6578)</f>
        <v>7.9248665699527751E-3</v>
      </c>
    </row>
    <row r="6579" spans="37:39" x14ac:dyDescent="0.25">
      <c r="AK6579" s="21">
        <f>_xll.qlCalendarAdvance(calendar,AK6578,"1D")</f>
        <v>51925</v>
      </c>
      <c r="AL6579" s="21">
        <f>_xll.qlInterestRateIndexValueDate(hiborindex,AK6579)</f>
        <v>51929</v>
      </c>
      <c r="AM6579" s="23">
        <f>_xll.qlIndexFixing(hiborindex,AK6579)</f>
        <v>7.9231578175879541E-3</v>
      </c>
    </row>
    <row r="6580" spans="37:39" x14ac:dyDescent="0.25">
      <c r="AK6580" s="21">
        <f>_xll.qlCalendarAdvance(calendar,AK6579,"1D")</f>
        <v>51928</v>
      </c>
      <c r="AL6580" s="21">
        <f>_xll.qlInterestRateIndexValueDate(hiborindex,AK6580)</f>
        <v>51930</v>
      </c>
      <c r="AM6580" s="23">
        <f>_xll.qlIndexFixing(hiborindex,AK6580)</f>
        <v>7.9214487198746002E-3</v>
      </c>
    </row>
    <row r="6581" spans="37:39" x14ac:dyDescent="0.25">
      <c r="AK6581" s="21">
        <f>_xll.qlCalendarAdvance(calendar,AK6580,"1D")</f>
        <v>51929</v>
      </c>
      <c r="AL6581" s="21">
        <f>_xll.qlInterestRateIndexValueDate(hiborindex,AK6581)</f>
        <v>51931</v>
      </c>
      <c r="AM6581" s="23">
        <f>_xll.qlIndexFixing(hiborindex,AK6581)</f>
        <v>7.9177810726557378E-3</v>
      </c>
    </row>
    <row r="6582" spans="37:39" x14ac:dyDescent="0.25">
      <c r="AK6582" s="21">
        <f>_xll.qlCalendarAdvance(calendar,AK6581,"1D")</f>
        <v>51930</v>
      </c>
      <c r="AL6582" s="21">
        <f>_xll.qlInterestRateIndexValueDate(hiborindex,AK6582)</f>
        <v>51932</v>
      </c>
      <c r="AM6582" s="23">
        <f>_xll.qlIndexFixing(hiborindex,AK6582)</f>
        <v>7.9170535742592394E-3</v>
      </c>
    </row>
    <row r="6583" spans="37:39" x14ac:dyDescent="0.25">
      <c r="AK6583" s="21">
        <f>_xll.qlCalendarAdvance(calendar,AK6582,"1D")</f>
        <v>51931</v>
      </c>
      <c r="AL6583" s="21">
        <f>_xll.qlInterestRateIndexValueDate(hiborindex,AK6583)</f>
        <v>51935</v>
      </c>
      <c r="AM6583" s="23">
        <f>_xll.qlIndexFixing(hiborindex,AK6583)</f>
        <v>7.9128980511202485E-3</v>
      </c>
    </row>
    <row r="6584" spans="37:39" x14ac:dyDescent="0.25">
      <c r="AK6584" s="21">
        <f>_xll.qlCalendarAdvance(calendar,AK6583,"1D")</f>
        <v>51932</v>
      </c>
      <c r="AL6584" s="21">
        <f>_xll.qlInterestRateIndexValueDate(hiborindex,AK6584)</f>
        <v>51936</v>
      </c>
      <c r="AM6584" s="23">
        <f>_xll.qlIndexFixing(hiborindex,AK6584)</f>
        <v>7.9111868813378557E-3</v>
      </c>
    </row>
    <row r="6585" spans="37:39" x14ac:dyDescent="0.25">
      <c r="AK6585" s="21">
        <f>_xll.qlCalendarAdvance(calendar,AK6584,"1D")</f>
        <v>51935</v>
      </c>
      <c r="AL6585" s="21">
        <f>_xll.qlInterestRateIndexValueDate(hiborindex,AK6585)</f>
        <v>51937</v>
      </c>
      <c r="AM6585" s="23">
        <f>_xll.qlIndexFixing(hiborindex,AK6585)</f>
        <v>7.9094753662134476E-3</v>
      </c>
    </row>
    <row r="6586" spans="37:39" x14ac:dyDescent="0.25">
      <c r="AK6586" s="21">
        <f>_xll.qlCalendarAdvance(calendar,AK6585,"1D")</f>
        <v>51936</v>
      </c>
      <c r="AL6586" s="21">
        <f>_xll.qlInterestRateIndexValueDate(hiborindex,AK6586)</f>
        <v>51938</v>
      </c>
      <c r="AM6586" s="23">
        <f>_xll.qlIndexFixing(hiborindex,AK6586)</f>
        <v>7.9059258332144153E-3</v>
      </c>
    </row>
    <row r="6587" spans="37:39" x14ac:dyDescent="0.25">
      <c r="AK6587" s="21">
        <f>_xll.qlCalendarAdvance(calendar,AK6586,"1D")</f>
        <v>51937</v>
      </c>
      <c r="AL6587" s="21">
        <f>_xll.qlInterestRateIndexValueDate(hiborindex,AK6587)</f>
        <v>51939</v>
      </c>
      <c r="AM6587" s="23">
        <f>_xll.qlIndexFixing(hiborindex,AK6587)</f>
        <v>7.9051359904749804E-3</v>
      </c>
    </row>
    <row r="6588" spans="37:39" x14ac:dyDescent="0.25">
      <c r="AK6588" s="21">
        <f>_xll.qlCalendarAdvance(calendar,AK6587,"1D")</f>
        <v>51938</v>
      </c>
      <c r="AL6588" s="21">
        <f>_xll.qlInterestRateIndexValueDate(hiborindex,AK6588)</f>
        <v>51942</v>
      </c>
      <c r="AM6588" s="23">
        <f>_xll.qlIndexFixing(hiborindex,AK6588)</f>
        <v>7.9009126104976641E-3</v>
      </c>
    </row>
    <row r="6589" spans="37:39" x14ac:dyDescent="0.25">
      <c r="AK6589" s="21">
        <f>_xll.qlCalendarAdvance(calendar,AK6588,"1D")</f>
        <v>51939</v>
      </c>
      <c r="AL6589" s="21">
        <f>_xll.qlInterestRateIndexValueDate(hiborindex,AK6589)</f>
        <v>51943</v>
      </c>
      <c r="AM6589" s="23">
        <f>_xll.qlIndexFixing(hiborindex,AK6589)</f>
        <v>7.8991990233420149E-3</v>
      </c>
    </row>
    <row r="6590" spans="37:39" x14ac:dyDescent="0.25">
      <c r="AK6590" s="21">
        <f>_xll.qlCalendarAdvance(calendar,AK6589,"1D")</f>
        <v>51942</v>
      </c>
      <c r="AL6590" s="21">
        <f>_xll.qlInterestRateIndexValueDate(hiborindex,AK6590)</f>
        <v>51944</v>
      </c>
      <c r="AM6590" s="23">
        <f>_xll.qlIndexFixing(hiborindex,AK6590)</f>
        <v>7.8974850908508643E-3</v>
      </c>
    </row>
    <row r="6591" spans="37:39" x14ac:dyDescent="0.25">
      <c r="AK6591" s="21">
        <f>_xll.qlCalendarAdvance(calendar,AK6590,"1D")</f>
        <v>51943</v>
      </c>
      <c r="AL6591" s="21">
        <f>_xll.qlInterestRateIndexValueDate(hiborindex,AK6591)</f>
        <v>51945</v>
      </c>
      <c r="AM6591" s="23">
        <f>_xll.qlIndexFixing(hiborindex,AK6591)</f>
        <v>7.89405385344784E-3</v>
      </c>
    </row>
    <row r="6592" spans="37:39" x14ac:dyDescent="0.25">
      <c r="AK6592" s="21">
        <f>_xll.qlCalendarAdvance(calendar,AK6591,"1D")</f>
        <v>51944</v>
      </c>
      <c r="AL6592" s="21">
        <f>_xll.qlInterestRateIndexValueDate(hiborindex,AK6592)</f>
        <v>51946</v>
      </c>
      <c r="AM6592" s="23">
        <f>_xll.qlIndexFixing(hiborindex,AK6592)</f>
        <v>7.8932015762328295E-3</v>
      </c>
    </row>
    <row r="6593" spans="37:39" x14ac:dyDescent="0.25">
      <c r="AK6593" s="21">
        <f>_xll.qlCalendarAdvance(calendar,AK6592,"1D")</f>
        <v>51945</v>
      </c>
      <c r="AL6593" s="21">
        <f>_xll.qlInterestRateIndexValueDate(hiborindex,AK6593)</f>
        <v>51949</v>
      </c>
      <c r="AM6593" s="23">
        <f>_xll.qlIndexFixing(hiborindex,AK6593)</f>
        <v>7.8889102483952114E-3</v>
      </c>
    </row>
    <row r="6594" spans="37:39" x14ac:dyDescent="0.25">
      <c r="AK6594" s="21">
        <f>_xll.qlCalendarAdvance(calendar,AK6593,"1D")</f>
        <v>51946</v>
      </c>
      <c r="AL6594" s="21">
        <f>_xll.qlInterestRateIndexValueDate(hiborindex,AK6594)</f>
        <v>51950</v>
      </c>
      <c r="AM6594" s="23">
        <f>_xll.qlIndexFixing(hiborindex,AK6594)</f>
        <v>7.8871942439110495E-3</v>
      </c>
    </row>
    <row r="6595" spans="37:39" x14ac:dyDescent="0.25">
      <c r="AK6595" s="21">
        <f>_xll.qlCalendarAdvance(calendar,AK6594,"1D")</f>
        <v>51949</v>
      </c>
      <c r="AL6595" s="21">
        <f>_xll.qlInterestRateIndexValueDate(hiborindex,AK6595)</f>
        <v>51951</v>
      </c>
      <c r="AM6595" s="23">
        <f>_xll.qlIndexFixing(hiborindex,AK6595)</f>
        <v>7.8854778940974715E-3</v>
      </c>
    </row>
    <row r="6596" spans="37:39" x14ac:dyDescent="0.25">
      <c r="AK6596" s="21">
        <f>_xll.qlCalendarAdvance(calendar,AK6595,"1D")</f>
        <v>51950</v>
      </c>
      <c r="AL6596" s="21">
        <f>_xll.qlInterestRateIndexValueDate(hiborindex,AK6596)</f>
        <v>51952</v>
      </c>
      <c r="AM6596" s="23">
        <f>_xll.qlIndexFixing(hiborindex,AK6596)</f>
        <v>7.8821651336628603E-3</v>
      </c>
    </row>
    <row r="6597" spans="37:39" x14ac:dyDescent="0.25">
      <c r="AK6597" s="21">
        <f>_xll.qlCalendarAdvance(calendar,AK6596,"1D")</f>
        <v>51951</v>
      </c>
      <c r="AL6597" s="21">
        <f>_xll.qlInterestRateIndexValueDate(hiborindex,AK6597)</f>
        <v>51953</v>
      </c>
      <c r="AM6597" s="23">
        <f>_xll.qlIndexFixing(hiborindex,AK6597)</f>
        <v>7.8812503318434566E-3</v>
      </c>
    </row>
    <row r="6598" spans="37:39" x14ac:dyDescent="0.25">
      <c r="AK6598" s="21">
        <f>_xll.qlCalendarAdvance(calendar,AK6597,"1D")</f>
        <v>51952</v>
      </c>
      <c r="AL6598" s="21">
        <f>_xll.qlInterestRateIndexValueDate(hiborindex,AK6598)</f>
        <v>51956</v>
      </c>
      <c r="AM6598" s="23">
        <f>_xll.qlIndexFixing(hiborindex,AK6598)</f>
        <v>7.8776674460932904E-3</v>
      </c>
    </row>
    <row r="6599" spans="37:39" x14ac:dyDescent="0.25">
      <c r="AK6599" s="21">
        <f>_xll.qlCalendarAdvance(calendar,AK6598,"1D")</f>
        <v>51953</v>
      </c>
      <c r="AL6599" s="21">
        <f>_xll.qlInterestRateIndexValueDate(hiborindex,AK6599)</f>
        <v>51957</v>
      </c>
      <c r="AM6599" s="23">
        <f>_xll.qlIndexFixing(hiborindex,AK6599)</f>
        <v>7.8759402323747927E-3</v>
      </c>
    </row>
    <row r="6600" spans="37:39" x14ac:dyDescent="0.25">
      <c r="AK6600" s="21">
        <f>_xll.qlCalendarAdvance(calendar,AK6599,"1D")</f>
        <v>51956</v>
      </c>
      <c r="AL6600" s="21">
        <f>_xll.qlInterestRateIndexValueDate(hiborindex,AK6600)</f>
        <v>51958</v>
      </c>
      <c r="AM6600" s="23">
        <f>_xll.qlIndexFixing(hiborindex,AK6600)</f>
        <v>7.8742126714529351E-3</v>
      </c>
    </row>
    <row r="6601" spans="37:39" x14ac:dyDescent="0.25">
      <c r="AK6601" s="21">
        <f>_xll.qlCalendarAdvance(calendar,AK6600,"1D")</f>
        <v>51957</v>
      </c>
      <c r="AL6601" s="21">
        <f>_xll.qlInterestRateIndexValueDate(hiborindex,AK6601)</f>
        <v>51959</v>
      </c>
      <c r="AM6601" s="23">
        <f>_xll.qlIndexFixing(hiborindex,AK6601)</f>
        <v>7.8724847633285938E-3</v>
      </c>
    </row>
    <row r="6602" spans="37:39" x14ac:dyDescent="0.25">
      <c r="AK6602" s="21">
        <f>_xll.qlCalendarAdvance(calendar,AK6601,"1D")</f>
        <v>51958</v>
      </c>
      <c r="AL6602" s="21">
        <f>_xll.qlInterestRateIndexValueDate(hiborindex,AK6602)</f>
        <v>51964</v>
      </c>
      <c r="AM6602" s="23">
        <f>_xll.qlIndexFixing(hiborindex,AK6602)</f>
        <v>7.8638400147049842E-3</v>
      </c>
    </row>
    <row r="6603" spans="37:39" x14ac:dyDescent="0.25">
      <c r="AK6603" s="21">
        <f>_xll.qlCalendarAdvance(calendar,AK6602,"1D")</f>
        <v>51959</v>
      </c>
      <c r="AL6603" s="21">
        <f>_xll.qlInterestRateIndexValueDate(hiborindex,AK6603)</f>
        <v>51965</v>
      </c>
      <c r="AM6603" s="23">
        <f>_xll.qlIndexFixing(hiborindex,AK6603)</f>
        <v>7.8621100233858231E-3</v>
      </c>
    </row>
    <row r="6604" spans="37:39" x14ac:dyDescent="0.25">
      <c r="AK6604" s="21">
        <f>_xll.qlCalendarAdvance(calendar,AK6603,"1D")</f>
        <v>51964</v>
      </c>
      <c r="AL6604" s="21">
        <f>_xll.qlInterestRateIndexValueDate(hiborindex,AK6604)</f>
        <v>51966</v>
      </c>
      <c r="AM6604" s="23">
        <f>_xll.qlIndexFixing(hiborindex,AK6604)</f>
        <v>7.8603796848716011E-3</v>
      </c>
    </row>
    <row r="6605" spans="37:39" x14ac:dyDescent="0.25">
      <c r="AK6605" s="21">
        <f>_xll.qlCalendarAdvance(calendar,AK6604,"1D")</f>
        <v>51965</v>
      </c>
      <c r="AL6605" s="21">
        <f>_xll.qlInterestRateIndexValueDate(hiborindex,AK6605)</f>
        <v>51967</v>
      </c>
      <c r="AM6605" s="23">
        <f>_xll.qlIndexFixing(hiborindex,AK6605)</f>
        <v>7.8572973538601088E-3</v>
      </c>
    </row>
    <row r="6606" spans="37:39" x14ac:dyDescent="0.25">
      <c r="AK6606" s="21">
        <f>_xll.qlCalendarAdvance(calendar,AK6605,"1D")</f>
        <v>51966</v>
      </c>
      <c r="AL6606" s="21">
        <f>_xll.qlInterestRateIndexValueDate(hiborindex,AK6606)</f>
        <v>51970</v>
      </c>
      <c r="AM6606" s="23">
        <f>_xll.qlIndexFixing(hiborindex,AK6606)</f>
        <v>7.8534548588706753E-3</v>
      </c>
    </row>
    <row r="6607" spans="37:39" x14ac:dyDescent="0.25">
      <c r="AK6607" s="21">
        <f>_xll.qlCalendarAdvance(calendar,AK6606,"1D")</f>
        <v>51967</v>
      </c>
      <c r="AL6607" s="21">
        <f>_xll.qlInterestRateIndexValueDate(hiborindex,AK6607)</f>
        <v>51971</v>
      </c>
      <c r="AM6607" s="23">
        <f>_xll.qlIndexFixing(hiborindex,AK6607)</f>
        <v>7.8517227843898935E-3</v>
      </c>
    </row>
    <row r="6608" spans="37:39" x14ac:dyDescent="0.25">
      <c r="AK6608" s="21">
        <f>_xll.qlCalendarAdvance(calendar,AK6607,"1D")</f>
        <v>51970</v>
      </c>
      <c r="AL6608" s="21">
        <f>_xll.qlInterestRateIndexValueDate(hiborindex,AK6608)</f>
        <v>51972</v>
      </c>
      <c r="AM6608" s="23">
        <f>_xll.qlIndexFixing(hiborindex,AK6608)</f>
        <v>7.8499903627184189E-3</v>
      </c>
    </row>
    <row r="6609" spans="37:39" x14ac:dyDescent="0.25">
      <c r="AK6609" s="21">
        <f>_xll.qlCalendarAdvance(calendar,AK6608,"1D")</f>
        <v>51971</v>
      </c>
      <c r="AL6609" s="21">
        <f>_xll.qlInterestRateIndexValueDate(hiborindex,AK6609)</f>
        <v>51973</v>
      </c>
      <c r="AM6609" s="23">
        <f>_xll.qlIndexFixing(hiborindex,AK6609)</f>
        <v>7.8482575938571275E-3</v>
      </c>
    </row>
    <row r="6610" spans="37:39" x14ac:dyDescent="0.25">
      <c r="AK6610" s="21">
        <f>_xll.qlCalendarAdvance(calendar,AK6609,"1D")</f>
        <v>51972</v>
      </c>
      <c r="AL6610" s="21">
        <f>_xll.qlInterestRateIndexValueDate(hiborindex,AK6610)</f>
        <v>51974</v>
      </c>
      <c r="AM6610" s="23">
        <f>_xll.qlIndexFixing(hiborindex,AK6610)</f>
        <v>7.8452956208870436E-3</v>
      </c>
    </row>
    <row r="6611" spans="37:39" x14ac:dyDescent="0.25">
      <c r="AK6611" s="21">
        <f>_xll.qlCalendarAdvance(calendar,AK6610,"1D")</f>
        <v>51973</v>
      </c>
      <c r="AL6611" s="21">
        <f>_xll.qlInterestRateIndexValueDate(hiborindex,AK6611)</f>
        <v>51977</v>
      </c>
      <c r="AM6611" s="23">
        <f>_xll.qlIndexFixing(hiborindex,AK6611)</f>
        <v>7.841323046536933E-3</v>
      </c>
    </row>
    <row r="6612" spans="37:39" x14ac:dyDescent="0.25">
      <c r="AK6612" s="21">
        <f>_xll.qlCalendarAdvance(calendar,AK6611,"1D")</f>
        <v>51974</v>
      </c>
      <c r="AL6612" s="21">
        <f>_xll.qlInterestRateIndexValueDate(hiborindex,AK6612)</f>
        <v>51978</v>
      </c>
      <c r="AM6612" s="23">
        <f>_xll.qlIndexFixing(hiborindex,AK6612)</f>
        <v>7.8395885417418404E-3</v>
      </c>
    </row>
    <row r="6613" spans="37:39" x14ac:dyDescent="0.25">
      <c r="AK6613" s="21">
        <f>_xll.qlCalendarAdvance(calendar,AK6612,"1D")</f>
        <v>51977</v>
      </c>
      <c r="AL6613" s="21">
        <f>_xll.qlInterestRateIndexValueDate(hiborindex,AK6613)</f>
        <v>51979</v>
      </c>
      <c r="AM6613" s="23">
        <f>_xll.qlIndexFixing(hiborindex,AK6613)</f>
        <v>7.8378536897626069E-3</v>
      </c>
    </row>
    <row r="6614" spans="37:39" x14ac:dyDescent="0.25">
      <c r="AK6614" s="21">
        <f>_xll.qlCalendarAdvance(calendar,AK6613,"1D")</f>
        <v>51978</v>
      </c>
      <c r="AL6614" s="21">
        <f>_xll.qlInterestRateIndexValueDate(hiborindex,AK6614)</f>
        <v>51980</v>
      </c>
      <c r="AM6614" s="23">
        <f>_xll.qlIndexFixing(hiborindex,AK6614)</f>
        <v>7.836118490600983E-3</v>
      </c>
    </row>
    <row r="6615" spans="37:39" x14ac:dyDescent="0.25">
      <c r="AK6615" s="21">
        <f>_xll.qlCalendarAdvance(calendar,AK6614,"1D")</f>
        <v>51979</v>
      </c>
      <c r="AL6615" s="21">
        <f>_xll.qlInterestRateIndexValueDate(hiborindex,AK6615)</f>
        <v>51981</v>
      </c>
      <c r="AM6615" s="23">
        <f>_xll.qlIndexFixing(hiborindex,AK6615)</f>
        <v>7.8332770590077098E-3</v>
      </c>
    </row>
    <row r="6616" spans="37:39" x14ac:dyDescent="0.25">
      <c r="AK6616" s="21">
        <f>_xll.qlCalendarAdvance(calendar,AK6615,"1D")</f>
        <v>51980</v>
      </c>
      <c r="AL6616" s="21">
        <f>_xll.qlInterestRateIndexValueDate(hiborindex,AK6616)</f>
        <v>51984</v>
      </c>
      <c r="AM6616" s="23">
        <f>_xll.qlIndexFixing(hiborindex,AK6616)</f>
        <v>7.8291742221401738E-3</v>
      </c>
    </row>
    <row r="6617" spans="37:39" x14ac:dyDescent="0.25">
      <c r="AK6617" s="21">
        <f>_xll.qlCalendarAdvance(calendar,AK6616,"1D")</f>
        <v>51981</v>
      </c>
      <c r="AL6617" s="21">
        <f>_xll.qlInterestRateIndexValueDate(hiborindex,AK6617)</f>
        <v>51985</v>
      </c>
      <c r="AM6617" s="23">
        <f>_xll.qlIndexFixing(hiborindex,AK6617)</f>
        <v>7.8274372870761992E-3</v>
      </c>
    </row>
    <row r="6618" spans="37:39" x14ac:dyDescent="0.25">
      <c r="AK6618" s="21">
        <f>_xll.qlCalendarAdvance(calendar,AK6617,"1D")</f>
        <v>51984</v>
      </c>
      <c r="AL6618" s="21">
        <f>_xll.qlInterestRateIndexValueDate(hiborindex,AK6618)</f>
        <v>51986</v>
      </c>
      <c r="AM6618" s="23">
        <f>_xll.qlIndexFixing(hiborindex,AK6618)</f>
        <v>7.8251881003796198E-3</v>
      </c>
    </row>
    <row r="6619" spans="37:39" x14ac:dyDescent="0.25">
      <c r="AK6619" s="21">
        <f>_xll.qlCalendarAdvance(calendar,AK6618,"1D")</f>
        <v>51985</v>
      </c>
      <c r="AL6619" s="21">
        <f>_xll.qlInterestRateIndexValueDate(hiborindex,AK6619)</f>
        <v>51988</v>
      </c>
      <c r="AM6619" s="23">
        <f>_xll.qlIndexFixing(hiborindex,AK6619)</f>
        <v>7.8212416685332093E-3</v>
      </c>
    </row>
    <row r="6620" spans="37:39" x14ac:dyDescent="0.25">
      <c r="AK6620" s="21">
        <f>_xll.qlCalendarAdvance(calendar,AK6619,"1D")</f>
        <v>51986</v>
      </c>
      <c r="AL6620" s="21">
        <f>_xll.qlInterestRateIndexValueDate(hiborindex,AK6620)</f>
        <v>51991</v>
      </c>
      <c r="AM6620" s="23">
        <f>_xll.qlIndexFixing(hiborindex,AK6620)</f>
        <v>7.8165407421662194E-3</v>
      </c>
    </row>
    <row r="6621" spans="37:39" x14ac:dyDescent="0.25">
      <c r="AK6621" s="21">
        <f>_xll.qlCalendarAdvance(calendar,AK6620,"1D")</f>
        <v>51988</v>
      </c>
      <c r="AL6621" s="21">
        <f>_xll.qlInterestRateIndexValueDate(hiborindex,AK6621)</f>
        <v>51992</v>
      </c>
      <c r="AM6621" s="23">
        <f>_xll.qlIndexFixing(hiborindex,AK6621)</f>
        <v>7.8148102346450275E-3</v>
      </c>
    </row>
    <row r="6622" spans="37:39" x14ac:dyDescent="0.25">
      <c r="AK6622" s="21">
        <f>_xll.qlCalendarAdvance(calendar,AK6621,"1D")</f>
        <v>51991</v>
      </c>
      <c r="AL6622" s="21">
        <f>_xll.qlInterestRateIndexValueDate(hiborindex,AK6622)</f>
        <v>51993</v>
      </c>
      <c r="AM6622" s="23">
        <f>_xll.qlIndexFixing(hiborindex,AK6622)</f>
        <v>7.8130793818330813E-3</v>
      </c>
    </row>
    <row r="6623" spans="37:39" x14ac:dyDescent="0.25">
      <c r="AK6623" s="21">
        <f>_xll.qlCalendarAdvance(calendar,AK6622,"1D")</f>
        <v>51992</v>
      </c>
      <c r="AL6623" s="21">
        <f>_xll.qlInterestRateIndexValueDate(hiborindex,AK6623)</f>
        <v>51994</v>
      </c>
      <c r="AM6623" s="23">
        <f>_xll.qlIndexFixing(hiborindex,AK6623)</f>
        <v>7.8104812918541782E-3</v>
      </c>
    </row>
    <row r="6624" spans="37:39" x14ac:dyDescent="0.25">
      <c r="AK6624" s="21">
        <f>_xll.qlCalendarAdvance(calendar,AK6623,"1D")</f>
        <v>51993</v>
      </c>
      <c r="AL6624" s="21">
        <f>_xll.qlInterestRateIndexValueDate(hiborindex,AK6624)</f>
        <v>51995</v>
      </c>
      <c r="AM6624" s="23">
        <f>_xll.qlIndexFixing(hiborindex,AK6624)</f>
        <v>7.8091894497755105E-3</v>
      </c>
    </row>
    <row r="6625" spans="37:39" x14ac:dyDescent="0.25">
      <c r="AK6625" s="21">
        <f>_xll.qlCalendarAdvance(calendar,AK6624,"1D")</f>
        <v>51994</v>
      </c>
      <c r="AL6625" s="21">
        <f>_xll.qlInterestRateIndexValueDate(hiborindex,AK6625)</f>
        <v>51998</v>
      </c>
      <c r="AM6625" s="23">
        <f>_xll.qlIndexFixing(hiborindex,AK6625)</f>
        <v>7.8044199384424738E-3</v>
      </c>
    </row>
    <row r="6626" spans="37:39" x14ac:dyDescent="0.25">
      <c r="AK6626" s="21">
        <f>_xll.qlCalendarAdvance(calendar,AK6625,"1D")</f>
        <v>51995</v>
      </c>
      <c r="AL6626" s="21">
        <f>_xll.qlInterestRateIndexValueDate(hiborindex,AK6626)</f>
        <v>51999</v>
      </c>
      <c r="AM6626" s="23">
        <f>_xll.qlIndexFixing(hiborindex,AK6626)</f>
        <v>7.8026870139051279E-3</v>
      </c>
    </row>
    <row r="6627" spans="37:39" x14ac:dyDescent="0.25">
      <c r="AK6627" s="21">
        <f>_xll.qlCalendarAdvance(calendar,AK6626,"1D")</f>
        <v>51998</v>
      </c>
      <c r="AL6627" s="21">
        <f>_xll.qlInterestRateIndexValueDate(hiborindex,AK6627)</f>
        <v>52000</v>
      </c>
      <c r="AM6627" s="23">
        <f>_xll.qlIndexFixing(hiborindex,AK6627)</f>
        <v>7.8009537440835459E-3</v>
      </c>
    </row>
    <row r="6628" spans="37:39" x14ac:dyDescent="0.25">
      <c r="AK6628" s="21">
        <f>_xll.qlCalendarAdvance(calendar,AK6627,"1D")</f>
        <v>51999</v>
      </c>
      <c r="AL6628" s="21">
        <f>_xll.qlInterestRateIndexValueDate(hiborindex,AK6628)</f>
        <v>52001</v>
      </c>
      <c r="AM6628" s="23">
        <f>_xll.qlIndexFixing(hiborindex,AK6628)</f>
        <v>7.7984754005928055E-3</v>
      </c>
    </row>
    <row r="6629" spans="37:39" x14ac:dyDescent="0.25">
      <c r="AK6629" s="21">
        <f>_xll.qlCalendarAdvance(calendar,AK6628,"1D")</f>
        <v>52000</v>
      </c>
      <c r="AL6629" s="21">
        <f>_xll.qlInterestRateIndexValueDate(hiborindex,AK6629)</f>
        <v>52002</v>
      </c>
      <c r="AM6629" s="23">
        <f>_xll.qlIndexFixing(hiborindex,AK6629)</f>
        <v>7.7971204030474429E-3</v>
      </c>
    </row>
    <row r="6630" spans="37:39" x14ac:dyDescent="0.25">
      <c r="AK6630" s="21">
        <f>_xll.qlCalendarAdvance(calendar,AK6629,"1D")</f>
        <v>52001</v>
      </c>
      <c r="AL6630" s="21">
        <f>_xll.qlInterestRateIndexValueDate(hiborindex,AK6630)</f>
        <v>52005</v>
      </c>
      <c r="AM6630" s="23">
        <f>_xll.qlIndexFixing(hiborindex,AK6630)</f>
        <v>7.7922822157403347E-3</v>
      </c>
    </row>
    <row r="6631" spans="37:39" x14ac:dyDescent="0.25">
      <c r="AK6631" s="21">
        <f>_xll.qlCalendarAdvance(calendar,AK6630,"1D")</f>
        <v>52002</v>
      </c>
      <c r="AL6631" s="21">
        <f>_xll.qlInterestRateIndexValueDate(hiborindex,AK6631)</f>
        <v>52006</v>
      </c>
      <c r="AM6631" s="23">
        <f>_xll.qlIndexFixing(hiborindex,AK6631)</f>
        <v>7.7905468742315836E-3</v>
      </c>
    </row>
    <row r="6632" spans="37:39" x14ac:dyDescent="0.25">
      <c r="AK6632" s="21">
        <f>_xll.qlCalendarAdvance(calendar,AK6631,"1D")</f>
        <v>52005</v>
      </c>
      <c r="AL6632" s="21">
        <f>_xll.qlInterestRateIndexValueDate(hiborindex,AK6632)</f>
        <v>52007</v>
      </c>
      <c r="AM6632" s="23">
        <f>_xll.qlIndexFixing(hiborindex,AK6632)</f>
        <v>7.7888111874446784E-3</v>
      </c>
    </row>
    <row r="6633" spans="37:39" x14ac:dyDescent="0.25">
      <c r="AK6633" s="21">
        <f>_xll.qlCalendarAdvance(calendar,AK6632,"1D")</f>
        <v>52006</v>
      </c>
      <c r="AL6633" s="21">
        <f>_xll.qlInterestRateIndexValueDate(hiborindex,AK6633)</f>
        <v>52008</v>
      </c>
      <c r="AM6633" s="23">
        <f>_xll.qlIndexFixing(hiborindex,AK6633)</f>
        <v>7.7864527717906177E-3</v>
      </c>
    </row>
    <row r="6634" spans="37:39" x14ac:dyDescent="0.25">
      <c r="AK6634" s="21">
        <f>_xll.qlCalendarAdvance(calendar,AK6633,"1D")</f>
        <v>52007</v>
      </c>
      <c r="AL6634" s="21">
        <f>_xll.qlInterestRateIndexValueDate(hiborindex,AK6634)</f>
        <v>52009</v>
      </c>
      <c r="AM6634" s="23">
        <f>_xll.qlIndexFixing(hiborindex,AK6634)</f>
        <v>7.7850345286618371E-3</v>
      </c>
    </row>
    <row r="6635" spans="37:39" x14ac:dyDescent="0.25">
      <c r="AK6635" s="21">
        <f>_xll.qlCalendarAdvance(calendar,AK6634,"1D")</f>
        <v>52008</v>
      </c>
      <c r="AL6635" s="21">
        <f>_xll.qlInterestRateIndexValueDate(hiborindex,AK6635)</f>
        <v>52012</v>
      </c>
      <c r="AM6635" s="23">
        <f>_xll.qlIndexFixing(hiborindex,AK6635)</f>
        <v>7.7801275743739004E-3</v>
      </c>
    </row>
    <row r="6636" spans="37:39" x14ac:dyDescent="0.25">
      <c r="AK6636" s="21">
        <f>_xll.qlCalendarAdvance(calendar,AK6635,"1D")</f>
        <v>52009</v>
      </c>
      <c r="AL6636" s="21">
        <f>_xll.qlInterestRateIndexValueDate(hiborindex,AK6636)</f>
        <v>52013</v>
      </c>
      <c r="AM6636" s="23">
        <f>_xll.qlIndexFixing(hiborindex,AK6636)</f>
        <v>7.7783898159384905E-3</v>
      </c>
    </row>
    <row r="6637" spans="37:39" x14ac:dyDescent="0.25">
      <c r="AK6637" s="21">
        <f>_xll.qlCalendarAdvance(calendar,AK6636,"1D")</f>
        <v>52012</v>
      </c>
      <c r="AL6637" s="21">
        <f>_xll.qlInterestRateIndexValueDate(hiborindex,AK6637)</f>
        <v>52014</v>
      </c>
      <c r="AM6637" s="23">
        <f>_xll.qlIndexFixing(hiborindex,AK6637)</f>
        <v>7.7766517122318775E-3</v>
      </c>
    </row>
    <row r="6638" spans="37:39" x14ac:dyDescent="0.25">
      <c r="AK6638" s="21">
        <f>_xll.qlCalendarAdvance(calendar,AK6637,"1D")</f>
        <v>52013</v>
      </c>
      <c r="AL6638" s="21">
        <f>_xll.qlInterestRateIndexValueDate(hiborindex,AK6638)</f>
        <v>52015</v>
      </c>
      <c r="AM6638" s="23">
        <f>_xll.qlIndexFixing(hiborindex,AK6638)</f>
        <v>7.7751678017089149E-3</v>
      </c>
    </row>
    <row r="6639" spans="37:39" x14ac:dyDescent="0.25">
      <c r="AK6639" s="21">
        <f>_xll.qlCalendarAdvance(calendar,AK6638,"1D")</f>
        <v>52014</v>
      </c>
      <c r="AL6639" s="21">
        <f>_xll.qlInterestRateIndexValueDate(hiborindex,AK6639)</f>
        <v>52016</v>
      </c>
      <c r="AM6639" s="23">
        <f>_xll.qlIndexFixing(hiborindex,AK6639)</f>
        <v>7.7736687829692026E-3</v>
      </c>
    </row>
    <row r="6640" spans="37:39" x14ac:dyDescent="0.25">
      <c r="AK6640" s="21">
        <f>_xll.qlCalendarAdvance(calendar,AK6639,"1D")</f>
        <v>52015</v>
      </c>
      <c r="AL6640" s="21">
        <f>_xll.qlInterestRateIndexValueDate(hiborindex,AK6640)</f>
        <v>52019</v>
      </c>
      <c r="AM6640" s="23">
        <f>_xll.qlIndexFixing(hiborindex,AK6640)</f>
        <v>7.7681749302519424E-3</v>
      </c>
    </row>
    <row r="6641" spans="37:39" x14ac:dyDescent="0.25">
      <c r="AK6641" s="21">
        <f>_xll.qlCalendarAdvance(calendar,AK6640,"1D")</f>
        <v>52016</v>
      </c>
      <c r="AL6641" s="21">
        <f>_xll.qlInterestRateIndexValueDate(hiborindex,AK6641)</f>
        <v>52020</v>
      </c>
      <c r="AM6641" s="23">
        <f>_xll.qlIndexFixing(hiborindex,AK6641)</f>
        <v>7.7664258445192995E-3</v>
      </c>
    </row>
    <row r="6642" spans="37:39" x14ac:dyDescent="0.25">
      <c r="AK6642" s="21">
        <f>_xll.qlCalendarAdvance(calendar,AK6641,"1D")</f>
        <v>52019</v>
      </c>
      <c r="AL6642" s="21">
        <f>_xll.qlInterestRateIndexValueDate(hiborindex,AK6642)</f>
        <v>52021</v>
      </c>
      <c r="AM6642" s="23">
        <f>_xll.qlIndexFixing(hiborindex,AK6642)</f>
        <v>7.7646764116418299E-3</v>
      </c>
    </row>
    <row r="6643" spans="37:39" x14ac:dyDescent="0.25">
      <c r="AK6643" s="21">
        <f>_xll.qlCalendarAdvance(calendar,AK6642,"1D")</f>
        <v>52020</v>
      </c>
      <c r="AL6643" s="21">
        <f>_xll.qlInterestRateIndexValueDate(hiborindex,AK6643)</f>
        <v>52022</v>
      </c>
      <c r="AM6643" s="23">
        <f>_xll.qlIndexFixing(hiborindex,AK6643)</f>
        <v>7.7629266316199706E-3</v>
      </c>
    </row>
    <row r="6644" spans="37:39" x14ac:dyDescent="0.25">
      <c r="AK6644" s="21">
        <f>_xll.qlCalendarAdvance(calendar,AK6643,"1D")</f>
        <v>52021</v>
      </c>
      <c r="AL6644" s="21">
        <f>_xll.qlInterestRateIndexValueDate(hiborindex,AK6644)</f>
        <v>52023</v>
      </c>
      <c r="AM6644" s="23">
        <f>_xll.qlIndexFixing(hiborindex,AK6644)</f>
        <v>7.760812298169769E-3</v>
      </c>
    </row>
    <row r="6645" spans="37:39" x14ac:dyDescent="0.25">
      <c r="AK6645" s="21">
        <f>_xll.qlCalendarAdvance(calendar,AK6644,"1D")</f>
        <v>52022</v>
      </c>
      <c r="AL6645" s="21">
        <f>_xll.qlInterestRateIndexValueDate(hiborindex,AK6645)</f>
        <v>52026</v>
      </c>
      <c r="AM6645" s="23">
        <f>_xll.qlIndexFixing(hiborindex,AK6645)</f>
        <v>7.7559240401061076E-3</v>
      </c>
    </row>
    <row r="6646" spans="37:39" x14ac:dyDescent="0.25">
      <c r="AK6646" s="21">
        <f>_xll.qlCalendarAdvance(calendar,AK6645,"1D")</f>
        <v>52023</v>
      </c>
      <c r="AL6646" s="21">
        <f>_xll.qlInterestRateIndexValueDate(hiborindex,AK6646)</f>
        <v>52027</v>
      </c>
      <c r="AM6646" s="23">
        <f>_xll.qlIndexFixing(hiborindex,AK6646)</f>
        <v>7.7541725243762778E-3</v>
      </c>
    </row>
    <row r="6647" spans="37:39" x14ac:dyDescent="0.25">
      <c r="AK6647" s="21">
        <f>_xll.qlCalendarAdvance(calendar,AK6646,"1D")</f>
        <v>52026</v>
      </c>
      <c r="AL6647" s="21">
        <f>_xll.qlInterestRateIndexValueDate(hiborindex,AK6647)</f>
        <v>52028</v>
      </c>
      <c r="AM6647" s="23">
        <f>_xll.qlIndexFixing(hiborindex,AK6647)</f>
        <v>7.7524206615068626E-3</v>
      </c>
    </row>
    <row r="6648" spans="37:39" x14ac:dyDescent="0.25">
      <c r="AK6648" s="21">
        <f>_xll.qlCalendarAdvance(calendar,AK6647,"1D")</f>
        <v>52027</v>
      </c>
      <c r="AL6648" s="21">
        <f>_xll.qlInterestRateIndexValueDate(hiborindex,AK6648)</f>
        <v>52029</v>
      </c>
      <c r="AM6648" s="23">
        <f>_xll.qlIndexFixing(hiborindex,AK6648)</f>
        <v>7.750668451500047E-3</v>
      </c>
    </row>
    <row r="6649" spans="37:39" x14ac:dyDescent="0.25">
      <c r="AK6649" s="21">
        <f>_xll.qlCalendarAdvance(calendar,AK6648,"1D")</f>
        <v>52028</v>
      </c>
      <c r="AL6649" s="21">
        <f>_xll.qlInterestRateIndexValueDate(hiborindex,AK6649)</f>
        <v>52030</v>
      </c>
      <c r="AM6649" s="23">
        <f>_xll.qlIndexFixing(hiborindex,AK6649)</f>
        <v>7.7486759426915602E-3</v>
      </c>
    </row>
    <row r="6650" spans="37:39" x14ac:dyDescent="0.25">
      <c r="AK6650" s="21">
        <f>_xll.qlCalendarAdvance(calendar,AK6649,"1D")</f>
        <v>52029</v>
      </c>
      <c r="AL6650" s="21">
        <f>_xll.qlInterestRateIndexValueDate(hiborindex,AK6650)</f>
        <v>52033</v>
      </c>
      <c r="AM6650" s="23">
        <f>_xll.qlIndexFixing(hiborindex,AK6650)</f>
        <v>7.7436561401114431E-3</v>
      </c>
    </row>
    <row r="6651" spans="37:39" x14ac:dyDescent="0.25">
      <c r="AK6651" s="21">
        <f>_xll.qlCalendarAdvance(calendar,AK6650,"1D")</f>
        <v>52030</v>
      </c>
      <c r="AL6651" s="21">
        <f>_xll.qlInterestRateIndexValueDate(hiborindex,AK6651)</f>
        <v>52034</v>
      </c>
      <c r="AM6651" s="23">
        <f>_xll.qlIndexFixing(hiborindex,AK6651)</f>
        <v>7.7419021944285437E-3</v>
      </c>
    </row>
    <row r="6652" spans="37:39" x14ac:dyDescent="0.25">
      <c r="AK6652" s="21">
        <f>_xll.qlCalendarAdvance(calendar,AK6651,"1D")</f>
        <v>52033</v>
      </c>
      <c r="AL6652" s="21">
        <f>_xll.qlInterestRateIndexValueDate(hiborindex,AK6652)</f>
        <v>52035</v>
      </c>
      <c r="AM6652" s="23">
        <f>_xll.qlIndexFixing(hiborindex,AK6652)</f>
        <v>7.7401479016134854E-3</v>
      </c>
    </row>
    <row r="6653" spans="37:39" x14ac:dyDescent="0.25">
      <c r="AK6653" s="21">
        <f>_xll.qlCalendarAdvance(calendar,AK6652,"1D")</f>
        <v>52034</v>
      </c>
      <c r="AL6653" s="21">
        <f>_xll.qlInterestRateIndexValueDate(hiborindex,AK6653)</f>
        <v>52036</v>
      </c>
      <c r="AM6653" s="23">
        <f>_xll.qlIndexFixing(hiborindex,AK6653)</f>
        <v>7.7383932616667045E-3</v>
      </c>
    </row>
    <row r="6654" spans="37:39" x14ac:dyDescent="0.25">
      <c r="AK6654" s="21">
        <f>_xll.qlCalendarAdvance(calendar,AK6653,"1D")</f>
        <v>52035</v>
      </c>
      <c r="AL6654" s="21">
        <f>_xll.qlInterestRateIndexValueDate(hiborindex,AK6654)</f>
        <v>52037</v>
      </c>
      <c r="AM6654" s="23">
        <f>_xll.qlIndexFixing(hiborindex,AK6654)</f>
        <v>7.7365227608101614E-3</v>
      </c>
    </row>
    <row r="6655" spans="37:39" x14ac:dyDescent="0.25">
      <c r="AK6655" s="21">
        <f>_xll.qlCalendarAdvance(calendar,AK6654,"1D")</f>
        <v>52036</v>
      </c>
      <c r="AL6655" s="21">
        <f>_xll.qlInterestRateIndexValueDate(hiborindex,AK6655)</f>
        <v>52040</v>
      </c>
      <c r="AM6655" s="23">
        <f>_xll.qlIndexFixing(hiborindex,AK6655)</f>
        <v>7.7313712305846355E-3</v>
      </c>
    </row>
    <row r="6656" spans="37:39" x14ac:dyDescent="0.25">
      <c r="AK6656" s="21">
        <f>_xll.qlCalendarAdvance(calendar,AK6655,"1D")</f>
        <v>52037</v>
      </c>
      <c r="AL6656" s="21">
        <f>_xll.qlInterestRateIndexValueDate(hiborindex,AK6656)</f>
        <v>52041</v>
      </c>
      <c r="AM6656" s="23">
        <f>_xll.qlIndexFixing(hiborindex,AK6656)</f>
        <v>7.729614854994531E-3</v>
      </c>
    </row>
    <row r="6657" spans="37:39" x14ac:dyDescent="0.25">
      <c r="AK6657" s="21">
        <f>_xll.qlCalendarAdvance(calendar,AK6656,"1D")</f>
        <v>52040</v>
      </c>
      <c r="AL6657" s="21">
        <f>_xll.qlInterestRateIndexValueDate(hiborindex,AK6657)</f>
        <v>52042</v>
      </c>
      <c r="AM6657" s="23">
        <f>_xll.qlIndexFixing(hiborindex,AK6657)</f>
        <v>7.7278069996036701E-3</v>
      </c>
    </row>
    <row r="6658" spans="37:39" x14ac:dyDescent="0.25">
      <c r="AK6658" s="21">
        <f>_xll.qlCalendarAdvance(calendar,AK6657,"1D")</f>
        <v>52041</v>
      </c>
      <c r="AL6658" s="21">
        <f>_xll.qlInterestRateIndexValueDate(hiborindex,AK6658)</f>
        <v>52043</v>
      </c>
      <c r="AM6658" s="23">
        <f>_xll.qlIndexFixing(hiborindex,AK6658)</f>
        <v>7.7260885755804322E-3</v>
      </c>
    </row>
    <row r="6659" spans="37:39" x14ac:dyDescent="0.25">
      <c r="AK6659" s="21">
        <f>_xll.qlCalendarAdvance(calendar,AK6658,"1D")</f>
        <v>52042</v>
      </c>
      <c r="AL6659" s="21">
        <f>_xll.qlInterestRateIndexValueDate(hiborindex,AK6659)</f>
        <v>52044</v>
      </c>
      <c r="AM6659" s="23">
        <f>_xll.qlIndexFixing(hiborindex,AK6659)</f>
        <v>7.7243527528422923E-3</v>
      </c>
    </row>
    <row r="6660" spans="37:39" x14ac:dyDescent="0.25">
      <c r="AK6660" s="21">
        <f>_xll.qlCalendarAdvance(calendar,AK6659,"1D")</f>
        <v>52043</v>
      </c>
      <c r="AL6660" s="21">
        <f>_xll.qlInterestRateIndexValueDate(hiborindex,AK6660)</f>
        <v>52047</v>
      </c>
      <c r="AM6660" s="23">
        <f>_xll.qlIndexFixing(hiborindex,AK6660)</f>
        <v>7.7191005986193316E-3</v>
      </c>
    </row>
    <row r="6661" spans="37:39" x14ac:dyDescent="0.25">
      <c r="AK6661" s="21">
        <f>_xll.qlCalendarAdvance(calendar,AK6660,"1D")</f>
        <v>52044</v>
      </c>
      <c r="AL6661" s="21">
        <f>_xll.qlInterestRateIndexValueDate(hiborindex,AK6661)</f>
        <v>52048</v>
      </c>
      <c r="AM6661" s="23">
        <f>_xll.qlIndexFixing(hiborindex,AK6661)</f>
        <v>7.7190291594141525E-3</v>
      </c>
    </row>
    <row r="6662" spans="37:39" x14ac:dyDescent="0.25">
      <c r="AK6662" s="21">
        <f>_xll.qlCalendarAdvance(calendar,AK6661,"1D")</f>
        <v>52047</v>
      </c>
      <c r="AL6662" s="21">
        <f>_xll.qlInterestRateIndexValueDate(hiborindex,AK6662)</f>
        <v>52049</v>
      </c>
      <c r="AM6662" s="23">
        <f>_xll.qlIndexFixing(hiborindex,AK6662)</f>
        <v>7.7188951530913503E-3</v>
      </c>
    </row>
    <row r="6663" spans="37:39" x14ac:dyDescent="0.25">
      <c r="AK6663" s="21">
        <f>_xll.qlCalendarAdvance(calendar,AK6662,"1D")</f>
        <v>52048</v>
      </c>
      <c r="AL6663" s="21">
        <f>_xll.qlInterestRateIndexValueDate(hiborindex,AK6663)</f>
        <v>52050</v>
      </c>
      <c r="AM6663" s="23">
        <f>_xll.qlIndexFixing(hiborindex,AK6663)</f>
        <v>7.718854987658663E-3</v>
      </c>
    </row>
    <row r="6664" spans="37:39" x14ac:dyDescent="0.25">
      <c r="AK6664" s="21">
        <f>_xll.qlCalendarAdvance(calendar,AK6663,"1D")</f>
        <v>52049</v>
      </c>
      <c r="AL6664" s="21">
        <f>_xll.qlInterestRateIndexValueDate(hiborindex,AK6664)</f>
        <v>52051</v>
      </c>
      <c r="AM6664" s="23">
        <f>_xll.qlIndexFixing(hiborindex,AK6664)</f>
        <v>7.7187209845598686E-3</v>
      </c>
    </row>
    <row r="6665" spans="37:39" x14ac:dyDescent="0.25">
      <c r="AK6665" s="21">
        <f>_xll.qlCalendarAdvance(calendar,AK6664,"1D")</f>
        <v>52050</v>
      </c>
      <c r="AL6665" s="21">
        <f>_xll.qlInterestRateIndexValueDate(hiborindex,AK6665)</f>
        <v>52054</v>
      </c>
      <c r="AM6665" s="23">
        <f>_xll.qlIndexFixing(hiborindex,AK6665)</f>
        <v>7.7183815393654523E-3</v>
      </c>
    </row>
    <row r="6666" spans="37:39" x14ac:dyDescent="0.25">
      <c r="AK6666" s="21">
        <f>_xll.qlCalendarAdvance(calendar,AK6665,"1D")</f>
        <v>52051</v>
      </c>
      <c r="AL6666" s="21">
        <f>_xll.qlInterestRateIndexValueDate(hiborindex,AK6666)</f>
        <v>52055</v>
      </c>
      <c r="AM6666" s="23">
        <f>_xll.qlIndexFixing(hiborindex,AK6666)</f>
        <v>7.7182788166364341E-3</v>
      </c>
    </row>
    <row r="6667" spans="37:39" x14ac:dyDescent="0.25">
      <c r="AK6667" s="21">
        <f>_xll.qlCalendarAdvance(calendar,AK6666,"1D")</f>
        <v>52054</v>
      </c>
      <c r="AL6667" s="21">
        <f>_xll.qlInterestRateIndexValueDate(hiborindex,AK6667)</f>
        <v>52056</v>
      </c>
      <c r="AM6667" s="23">
        <f>_xll.qlIndexFixing(hiborindex,AK6667)</f>
        <v>7.7181760939130633E-3</v>
      </c>
    </row>
    <row r="6668" spans="37:39" x14ac:dyDescent="0.25">
      <c r="AK6668" s="21">
        <f>_xll.qlCalendarAdvance(calendar,AK6667,"1D")</f>
        <v>52055</v>
      </c>
      <c r="AL6668" s="21">
        <f>_xll.qlInterestRateIndexValueDate(hiborindex,AK6668)</f>
        <v>52057</v>
      </c>
      <c r="AM6668" s="23">
        <f>_xll.qlIndexFixing(hiborindex,AK6668)</f>
        <v>7.7181358977828464E-3</v>
      </c>
    </row>
    <row r="6669" spans="37:39" x14ac:dyDescent="0.25">
      <c r="AK6669" s="21">
        <f>_xll.qlCalendarAdvance(calendar,AK6668,"1D")</f>
        <v>52056</v>
      </c>
      <c r="AL6669" s="21">
        <f>_xll.qlInterestRateIndexValueDate(hiborindex,AK6669)</f>
        <v>52058</v>
      </c>
      <c r="AM6669" s="23">
        <f>_xll.qlIndexFixing(hiborindex,AK6669)</f>
        <v>7.7180019100894139E-3</v>
      </c>
    </row>
    <row r="6670" spans="37:39" x14ac:dyDescent="0.25">
      <c r="AK6670" s="21">
        <f>_xll.qlCalendarAdvance(calendar,AK6669,"1D")</f>
        <v>52057</v>
      </c>
      <c r="AL6670" s="21">
        <f>_xll.qlInterestRateIndexValueDate(hiborindex,AK6670)</f>
        <v>52061</v>
      </c>
      <c r="AM6670" s="23">
        <f>_xll.qlIndexFixing(hiborindex,AK6670)</f>
        <v>7.7176624803752761E-3</v>
      </c>
    </row>
    <row r="6671" spans="37:39" x14ac:dyDescent="0.25">
      <c r="AK6671" s="21">
        <f>_xll.qlCalendarAdvance(calendar,AK6670,"1D")</f>
        <v>52058</v>
      </c>
      <c r="AL6671" s="21">
        <f>_xll.qlInterestRateIndexValueDate(hiborindex,AK6671)</f>
        <v>52062</v>
      </c>
      <c r="AM6671" s="23">
        <f>_xll.qlIndexFixing(hiborindex,AK6671)</f>
        <v>7.7175597576840532E-3</v>
      </c>
    </row>
    <row r="6672" spans="37:39" x14ac:dyDescent="0.25">
      <c r="AK6672" s="21">
        <f>_xll.qlCalendarAdvance(calendar,AK6671,"1D")</f>
        <v>52061</v>
      </c>
      <c r="AL6672" s="21">
        <f>_xll.qlInterestRateIndexValueDate(hiborindex,AK6672)</f>
        <v>52063</v>
      </c>
      <c r="AM6672" s="23">
        <f>_xll.qlIndexFixing(hiborindex,AK6672)</f>
        <v>7.717457034998044E-3</v>
      </c>
    </row>
    <row r="6673" spans="37:39" x14ac:dyDescent="0.25">
      <c r="AK6673" s="21">
        <f>_xll.qlCalendarAdvance(calendar,AK6672,"1D")</f>
        <v>52062</v>
      </c>
      <c r="AL6673" s="21">
        <f>_xll.qlInterestRateIndexValueDate(hiborindex,AK6673)</f>
        <v>52064</v>
      </c>
      <c r="AM6673" s="23">
        <f>_xll.qlIndexFixing(hiborindex,AK6673)</f>
        <v>7.7174168081730532E-3</v>
      </c>
    </row>
    <row r="6674" spans="37:39" x14ac:dyDescent="0.25">
      <c r="AK6674" s="21">
        <f>_xll.qlCalendarAdvance(calendar,AK6673,"1D")</f>
        <v>52063</v>
      </c>
      <c r="AL6674" s="21">
        <f>_xll.qlInterestRateIndexValueDate(hiborindex,AK6674)</f>
        <v>52065</v>
      </c>
      <c r="AM6674" s="23">
        <f>_xll.qlIndexFixing(hiborindex,AK6674)</f>
        <v>7.717282835883829E-3</v>
      </c>
    </row>
    <row r="6675" spans="37:39" x14ac:dyDescent="0.25">
      <c r="AK6675" s="21">
        <f>_xll.qlCalendarAdvance(calendar,AK6674,"1D")</f>
        <v>52064</v>
      </c>
      <c r="AL6675" s="21">
        <f>_xll.qlInterestRateIndexValueDate(hiborindex,AK6675)</f>
        <v>52068</v>
      </c>
      <c r="AM6675" s="23">
        <f>_xll.qlIndexFixing(hiborindex,AK6675)</f>
        <v>7.7169434216483668E-3</v>
      </c>
    </row>
    <row r="6676" spans="37:39" x14ac:dyDescent="0.25">
      <c r="AK6676" s="21">
        <f>_xll.qlCalendarAdvance(calendar,AK6675,"1D")</f>
        <v>52065</v>
      </c>
      <c r="AL6676" s="21">
        <f>_xll.qlInterestRateIndexValueDate(hiborindex,AK6676)</f>
        <v>52069</v>
      </c>
      <c r="AM6676" s="23">
        <f>_xll.qlIndexFixing(hiborindex,AK6676)</f>
        <v>7.7168406989945055E-3</v>
      </c>
    </row>
    <row r="6677" spans="37:39" x14ac:dyDescent="0.25">
      <c r="AK6677" s="21">
        <f>_xll.qlCalendarAdvance(calendar,AK6676,"1D")</f>
        <v>52068</v>
      </c>
      <c r="AL6677" s="21">
        <f>_xll.qlInterestRateIndexValueDate(hiborindex,AK6677)</f>
        <v>52070</v>
      </c>
      <c r="AM6677" s="23">
        <f>_xll.qlIndexFixing(hiborindex,AK6677)</f>
        <v>7.7167379763458579E-3</v>
      </c>
    </row>
    <row r="6678" spans="37:39" x14ac:dyDescent="0.25">
      <c r="AK6678" s="21">
        <f>_xll.qlCalendarAdvance(calendar,AK6677,"1D")</f>
        <v>52069</v>
      </c>
      <c r="AL6678" s="21">
        <f>_xll.qlInterestRateIndexValueDate(hiborindex,AK6678)</f>
        <v>52071</v>
      </c>
      <c r="AM6678" s="23">
        <f>_xll.qlIndexFixing(hiborindex,AK6678)</f>
        <v>7.7166977188292841E-3</v>
      </c>
    </row>
    <row r="6679" spans="37:39" x14ac:dyDescent="0.25">
      <c r="AK6679" s="21">
        <f>_xll.qlCalendarAdvance(calendar,AK6678,"1D")</f>
        <v>52070</v>
      </c>
      <c r="AL6679" s="21">
        <f>_xll.qlInterestRateIndexValueDate(hiborindex,AK6679)</f>
        <v>52072</v>
      </c>
      <c r="AM6679" s="23">
        <f>_xll.qlIndexFixing(hiborindex,AK6679)</f>
        <v>7.7165637619422498E-3</v>
      </c>
    </row>
    <row r="6680" spans="37:39" x14ac:dyDescent="0.25">
      <c r="AK6680" s="21">
        <f>_xll.qlCalendarAdvance(calendar,AK6679,"1D")</f>
        <v>52071</v>
      </c>
      <c r="AL6680" s="21">
        <f>_xll.qlInterestRateIndexValueDate(hiborindex,AK6680)</f>
        <v>52075</v>
      </c>
      <c r="AM6680" s="23">
        <f>_xll.qlIndexFixing(hiborindex,AK6680)</f>
        <v>7.7162243631842906E-3</v>
      </c>
    </row>
    <row r="6681" spans="37:39" x14ac:dyDescent="0.25">
      <c r="AK6681" s="21">
        <f>_xll.qlCalendarAdvance(calendar,AK6680,"1D")</f>
        <v>52072</v>
      </c>
      <c r="AL6681" s="21">
        <f>_xll.qlInterestRateIndexValueDate(hiborindex,AK6681)</f>
        <v>52076</v>
      </c>
      <c r="AM6681" s="23">
        <f>_xll.qlIndexFixing(hiborindex,AK6681)</f>
        <v>7.7161216405682255E-3</v>
      </c>
    </row>
    <row r="6682" spans="37:39" x14ac:dyDescent="0.25">
      <c r="AK6682" s="21">
        <f>_xll.qlCalendarAdvance(calendar,AK6681,"1D")</f>
        <v>52075</v>
      </c>
      <c r="AL6682" s="21">
        <f>_xll.qlInterestRateIndexValueDate(hiborindex,AK6682)</f>
        <v>52077</v>
      </c>
      <c r="AM6682" s="23">
        <f>_xll.qlIndexFixing(hiborindex,AK6682)</f>
        <v>7.7160189179573731E-3</v>
      </c>
    </row>
    <row r="6683" spans="37:39" x14ac:dyDescent="0.25">
      <c r="AK6683" s="21">
        <f>_xll.qlCalendarAdvance(calendar,AK6682,"1D")</f>
        <v>52076</v>
      </c>
      <c r="AL6683" s="21">
        <f>_xll.qlInterestRateIndexValueDate(hiborindex,AK6683)</f>
        <v>52078</v>
      </c>
      <c r="AM6683" s="23">
        <f>_xll.qlIndexFixing(hiborindex,AK6683)</f>
        <v>7.7158849766254395E-3</v>
      </c>
    </row>
    <row r="6684" spans="37:39" x14ac:dyDescent="0.25">
      <c r="AK6684" s="21">
        <f>_xll.qlCalendarAdvance(calendar,AK6683,"1D")</f>
        <v>52077</v>
      </c>
      <c r="AL6684" s="21">
        <f>_xll.qlInterestRateIndexValueDate(hiborindex,AK6684)</f>
        <v>52079</v>
      </c>
      <c r="AM6684" s="23">
        <f>_xll.qlIndexFixing(hiborindex,AK6684)</f>
        <v>7.7158446882659706E-3</v>
      </c>
    </row>
    <row r="6685" spans="37:39" x14ac:dyDescent="0.25">
      <c r="AK6685" s="21">
        <f>_xll.qlCalendarAdvance(calendar,AK6684,"1D")</f>
        <v>52078</v>
      </c>
      <c r="AL6685" s="21">
        <f>_xll.qlInterestRateIndexValueDate(hiborindex,AK6685)</f>
        <v>52082</v>
      </c>
      <c r="AM6685" s="23">
        <f>_xll.qlIndexFixing(hiborindex,AK6685)</f>
        <v>7.715505304983483E-3</v>
      </c>
    </row>
    <row r="6686" spans="37:39" x14ac:dyDescent="0.25">
      <c r="AK6686" s="21">
        <f>_xll.qlCalendarAdvance(calendar,AK6685,"1D")</f>
        <v>52079</v>
      </c>
      <c r="AL6686" s="21">
        <f>_xll.qlInterestRateIndexValueDate(hiborindex,AK6686)</f>
        <v>52083</v>
      </c>
      <c r="AM6686" s="23">
        <f>_xll.qlIndexFixing(hiborindex,AK6686)</f>
        <v>7.7154025824052131E-3</v>
      </c>
    </row>
    <row r="6687" spans="37:39" x14ac:dyDescent="0.25">
      <c r="AK6687" s="21">
        <f>_xll.qlCalendarAdvance(calendar,AK6686,"1D")</f>
        <v>52082</v>
      </c>
      <c r="AL6687" s="21">
        <f>_xll.qlInterestRateIndexValueDate(hiborindex,AK6687)</f>
        <v>52084</v>
      </c>
      <c r="AM6687" s="23">
        <f>_xll.qlIndexFixing(hiborindex,AK6687)</f>
        <v>7.715299859832157E-3</v>
      </c>
    </row>
    <row r="6688" spans="37:39" x14ac:dyDescent="0.25">
      <c r="AK6688" s="21">
        <f>_xll.qlCalendarAdvance(calendar,AK6687,"1D")</f>
        <v>52083</v>
      </c>
      <c r="AL6688" s="21">
        <f>_xll.qlInterestRateIndexValueDate(hiborindex,AK6688)</f>
        <v>52085</v>
      </c>
      <c r="AM6688" s="23">
        <f>_xll.qlIndexFixing(hiborindex,AK6688)</f>
        <v>7.7152595409393865E-3</v>
      </c>
    </row>
    <row r="6689" spans="37:39" x14ac:dyDescent="0.25">
      <c r="AK6689" s="21">
        <f>_xll.qlCalendarAdvance(calendar,AK6688,"1D")</f>
        <v>52084</v>
      </c>
      <c r="AL6689" s="21">
        <f>_xll.qlInterestRateIndexValueDate(hiborindex,AK6689)</f>
        <v>52086</v>
      </c>
      <c r="AM6689" s="23">
        <f>_xll.qlIndexFixing(hiborindex,AK6689)</f>
        <v>7.7151256148536972E-3</v>
      </c>
    </row>
    <row r="6690" spans="37:39" x14ac:dyDescent="0.25">
      <c r="AK6690" s="21">
        <f>_xll.qlCalendarAdvance(calendar,AK6689,"1D")</f>
        <v>52085</v>
      </c>
      <c r="AL6690" s="21">
        <f>_xll.qlInterestRateIndexValueDate(hiborindex,AK6690)</f>
        <v>52089</v>
      </c>
      <c r="AM6690" s="23">
        <f>_xll.qlIndexFixing(hiborindex,AK6690)</f>
        <v>7.7147862470463768E-3</v>
      </c>
    </row>
    <row r="6691" spans="37:39" x14ac:dyDescent="0.25">
      <c r="AK6691" s="21">
        <f>_xll.qlCalendarAdvance(calendar,AK6690,"1D")</f>
        <v>52086</v>
      </c>
      <c r="AL6691" s="21">
        <f>_xll.qlInterestRateIndexValueDate(hiborindex,AK6691)</f>
        <v>52090</v>
      </c>
      <c r="AM6691" s="23">
        <f>_xll.qlIndexFixing(hiborindex,AK6691)</f>
        <v>7.7146835245054685E-3</v>
      </c>
    </row>
    <row r="6692" spans="37:39" x14ac:dyDescent="0.25">
      <c r="AK6692" s="21">
        <f>_xll.qlCalendarAdvance(calendar,AK6691,"1D")</f>
        <v>52089</v>
      </c>
      <c r="AL6692" s="21">
        <f>_xll.qlInterestRateIndexValueDate(hiborindex,AK6692)</f>
        <v>52091</v>
      </c>
      <c r="AM6692" s="23">
        <f>_xll.qlIndexFixing(hiborindex,AK6692)</f>
        <v>7.714580801969774E-3</v>
      </c>
    </row>
    <row r="6693" spans="37:39" x14ac:dyDescent="0.25">
      <c r="AK6693" s="21">
        <f>_xll.qlCalendarAdvance(calendar,AK6692,"1D")</f>
        <v>52090</v>
      </c>
      <c r="AL6693" s="21">
        <f>_xll.qlInterestRateIndexValueDate(hiborindex,AK6693)</f>
        <v>52092</v>
      </c>
      <c r="AM6693" s="23">
        <f>_xll.qlIndexFixing(hiborindex,AK6693)</f>
        <v>7.7145404523941185E-3</v>
      </c>
    </row>
    <row r="6694" spans="37:39" x14ac:dyDescent="0.25">
      <c r="AK6694" s="21">
        <f>_xll.qlCalendarAdvance(calendar,AK6693,"1D")</f>
        <v>52091</v>
      </c>
      <c r="AL6694" s="21">
        <f>_xll.qlInterestRateIndexValueDate(hiborindex,AK6694)</f>
        <v>52093</v>
      </c>
      <c r="AM6694" s="23">
        <f>_xll.qlIndexFixing(hiborindex,AK6694)</f>
        <v>7.7144065417067247E-3</v>
      </c>
    </row>
    <row r="6695" spans="37:39" x14ac:dyDescent="0.25">
      <c r="AK6695" s="21">
        <f>_xll.qlCalendarAdvance(calendar,AK6694,"1D")</f>
        <v>52092</v>
      </c>
      <c r="AL6695" s="21">
        <f>_xll.qlInterestRateIndexValueDate(hiborindex,AK6695)</f>
        <v>52096</v>
      </c>
      <c r="AM6695" s="23">
        <f>_xll.qlIndexFixing(hiborindex,AK6695)</f>
        <v>7.7140671893725383E-3</v>
      </c>
    </row>
    <row r="6696" spans="37:39" x14ac:dyDescent="0.25">
      <c r="AK6696" s="21">
        <f>_xll.qlCalendarAdvance(calendar,AK6695,"1D")</f>
        <v>52093</v>
      </c>
      <c r="AL6696" s="21">
        <f>_xll.qlInterestRateIndexValueDate(hiborindex,AK6696)</f>
        <v>52097</v>
      </c>
      <c r="AM6696" s="23">
        <f>_xll.qlIndexFixing(hiborindex,AK6696)</f>
        <v>7.7139644668689916E-3</v>
      </c>
    </row>
    <row r="6697" spans="37:39" x14ac:dyDescent="0.25">
      <c r="AK6697" s="21">
        <f>_xll.qlCalendarAdvance(calendar,AK6696,"1D")</f>
        <v>52096</v>
      </c>
      <c r="AL6697" s="21">
        <f>_xll.qlInterestRateIndexValueDate(hiborindex,AK6697)</f>
        <v>52098</v>
      </c>
      <c r="AM6697" s="23">
        <f>_xll.qlIndexFixing(hiborindex,AK6697)</f>
        <v>7.7138617443706578E-3</v>
      </c>
    </row>
    <row r="6698" spans="37:39" x14ac:dyDescent="0.25">
      <c r="AK6698" s="21">
        <f>_xll.qlCalendarAdvance(calendar,AK6697,"1D")</f>
        <v>52097</v>
      </c>
      <c r="AL6698" s="21">
        <f>_xll.qlInterestRateIndexValueDate(hiborindex,AK6698)</f>
        <v>52099</v>
      </c>
      <c r="AM6698" s="23">
        <f>_xll.qlIndexFixing(hiborindex,AK6698)</f>
        <v>7.7138213641144444E-3</v>
      </c>
    </row>
    <row r="6699" spans="37:39" x14ac:dyDescent="0.25">
      <c r="AK6699" s="21">
        <f>_xll.qlCalendarAdvance(calendar,AK6698,"1D")</f>
        <v>52098</v>
      </c>
      <c r="AL6699" s="21">
        <f>_xll.qlInterestRateIndexValueDate(hiborindex,AK6699)</f>
        <v>52100</v>
      </c>
      <c r="AM6699" s="23">
        <f>_xll.qlIndexFixing(hiborindex,AK6699)</f>
        <v>7.7136874688241899E-3</v>
      </c>
    </row>
    <row r="6700" spans="37:39" x14ac:dyDescent="0.25">
      <c r="AK6700" s="21">
        <f>_xll.qlCalendarAdvance(calendar,AK6699,"1D")</f>
        <v>52099</v>
      </c>
      <c r="AL6700" s="21">
        <f>_xll.qlInterestRateIndexValueDate(hiborindex,AK6700)</f>
        <v>52103</v>
      </c>
      <c r="AM6700" s="23">
        <f>_xll.qlIndexFixing(hiborindex,AK6700)</f>
        <v>7.7133481319615329E-3</v>
      </c>
    </row>
    <row r="6701" spans="37:39" x14ac:dyDescent="0.25">
      <c r="AK6701" s="21">
        <f>_xll.qlCalendarAdvance(calendar,AK6700,"1D")</f>
        <v>52100</v>
      </c>
      <c r="AL6701" s="21">
        <f>_xll.qlInterestRateIndexValueDate(hiborindex,AK6701)</f>
        <v>52104</v>
      </c>
      <c r="AM6701" s="23">
        <f>_xll.qlIndexFixing(hiborindex,AK6701)</f>
        <v>7.7132454094957824E-3</v>
      </c>
    </row>
    <row r="6702" spans="37:39" x14ac:dyDescent="0.25">
      <c r="AK6702" s="21">
        <f>_xll.qlCalendarAdvance(calendar,AK6701,"1D")</f>
        <v>52103</v>
      </c>
      <c r="AL6702" s="21">
        <f>_xll.qlInterestRateIndexValueDate(hiborindex,AK6702)</f>
        <v>52105</v>
      </c>
      <c r="AM6702" s="23">
        <f>_xll.qlIndexFixing(hiborindex,AK6702)</f>
        <v>7.7131426870352448E-3</v>
      </c>
    </row>
    <row r="6703" spans="37:39" x14ac:dyDescent="0.25">
      <c r="AK6703" s="21">
        <f>_xll.qlCalendarAdvance(calendar,AK6702,"1D")</f>
        <v>52104</v>
      </c>
      <c r="AL6703" s="21">
        <f>_xll.qlInterestRateIndexValueDate(hiborindex,AK6703)</f>
        <v>52106</v>
      </c>
      <c r="AM6703" s="23">
        <f>_xll.qlIndexFixing(hiborindex,AK6703)</f>
        <v>7.7130088072921389E-3</v>
      </c>
    </row>
    <row r="6704" spans="37:39" x14ac:dyDescent="0.25">
      <c r="AK6704" s="21">
        <f>_xll.qlCalendarAdvance(calendar,AK6703,"1D")</f>
        <v>52105</v>
      </c>
      <c r="AL6704" s="21">
        <f>_xll.qlInterestRateIndexValueDate(hiborindex,AK6704)</f>
        <v>52107</v>
      </c>
      <c r="AM6704" s="23">
        <f>_xll.qlIndexFixing(hiborindex,AK6704)</f>
        <v>7.7128749309235229E-3</v>
      </c>
    </row>
    <row r="6705" spans="37:39" x14ac:dyDescent="0.25">
      <c r="AK6705" s="21">
        <f>_xll.qlCalendarAdvance(calendar,AK6704,"1D")</f>
        <v>52106</v>
      </c>
      <c r="AL6705" s="21">
        <f>_xll.qlInterestRateIndexValueDate(hiborindex,AK6705)</f>
        <v>52110</v>
      </c>
      <c r="AM6705" s="23">
        <f>_xll.qlIndexFixing(hiborindex,AK6705)</f>
        <v>7.7125667767685823E-3</v>
      </c>
    </row>
    <row r="6706" spans="37:39" x14ac:dyDescent="0.25">
      <c r="AK6706" s="21">
        <f>_xll.qlCalendarAdvance(calendar,AK6705,"1D")</f>
        <v>52107</v>
      </c>
      <c r="AL6706" s="21">
        <f>_xll.qlInterestRateIndexValueDate(hiborindex,AK6706)</f>
        <v>52111</v>
      </c>
      <c r="AM6706" s="23">
        <f>_xll.qlIndexFixing(hiborindex,AK6706)</f>
        <v>7.7124329103718239E-3</v>
      </c>
    </row>
    <row r="6707" spans="37:39" x14ac:dyDescent="0.25">
      <c r="AK6707" s="21">
        <f>_xll.qlCalendarAdvance(calendar,AK6706,"1D")</f>
        <v>52110</v>
      </c>
      <c r="AL6707" s="21">
        <f>_xll.qlInterestRateIndexValueDate(hiborindex,AK6707)</f>
        <v>52112</v>
      </c>
      <c r="AM6707" s="23">
        <f>_xll.qlIndexFixing(hiborindex,AK6707)</f>
        <v>7.7123301945298045E-3</v>
      </c>
    </row>
    <row r="6708" spans="37:39" x14ac:dyDescent="0.25">
      <c r="AK6708" s="21">
        <f>_xll.qlCalendarAdvance(calendar,AK6707,"1D")</f>
        <v>52111</v>
      </c>
      <c r="AL6708" s="21">
        <f>_xll.qlInterestRateIndexValueDate(hiborindex,AK6708)</f>
        <v>52113</v>
      </c>
      <c r="AM6708" s="23">
        <f>_xll.qlIndexFixing(hiborindex,AK6708)</f>
        <v>7.7122274786935261E-3</v>
      </c>
    </row>
    <row r="6709" spans="37:39" x14ac:dyDescent="0.25">
      <c r="AK6709" s="21">
        <f>_xll.qlCalendarAdvance(calendar,AK6708,"1D")</f>
        <v>52112</v>
      </c>
      <c r="AL6709" s="21">
        <f>_xll.qlInterestRateIndexValueDate(hiborindex,AK6709)</f>
        <v>52114</v>
      </c>
      <c r="AM6709" s="23">
        <f>_xll.qlIndexFixing(hiborindex,AK6709)</f>
        <v>7.7121247628621058E-3</v>
      </c>
    </row>
    <row r="6710" spans="37:39" x14ac:dyDescent="0.25">
      <c r="AK6710" s="21">
        <f>_xll.qlCalendarAdvance(calendar,AK6709,"1D")</f>
        <v>52113</v>
      </c>
      <c r="AL6710" s="21">
        <f>_xll.qlInterestRateIndexValueDate(hiborindex,AK6710)</f>
        <v>52117</v>
      </c>
      <c r="AM6710" s="23">
        <f>_xll.qlIndexFixing(hiborindex,AK6710)</f>
        <v>7.7118477505945969E-3</v>
      </c>
    </row>
    <row r="6711" spans="37:39" x14ac:dyDescent="0.25">
      <c r="AK6711" s="21">
        <f>_xll.qlCalendarAdvance(calendar,AK6710,"1D")</f>
        <v>52114</v>
      </c>
      <c r="AL6711" s="21">
        <f>_xll.qlInterestRateIndexValueDate(hiborindex,AK6711)</f>
        <v>52118</v>
      </c>
      <c r="AM6711" s="23">
        <f>_xll.qlIndexFixing(hiborindex,AK6711)</f>
        <v>7.7117138995894197E-3</v>
      </c>
    </row>
    <row r="6712" spans="37:39" x14ac:dyDescent="0.25">
      <c r="AK6712" s="21">
        <f>_xll.qlCalendarAdvance(calendar,AK6711,"1D")</f>
        <v>52117</v>
      </c>
      <c r="AL6712" s="21">
        <f>_xll.qlInterestRateIndexValueDate(hiborindex,AK6712)</f>
        <v>52119</v>
      </c>
      <c r="AM6712" s="23">
        <f>_xll.qlIndexFixing(hiborindex,AK6712)</f>
        <v>7.7116111837844973E-3</v>
      </c>
    </row>
    <row r="6713" spans="37:39" x14ac:dyDescent="0.25">
      <c r="AK6713" s="21">
        <f>_xll.qlCalendarAdvance(calendar,AK6712,"1D")</f>
        <v>52118</v>
      </c>
      <c r="AL6713" s="21">
        <f>_xll.qlInterestRateIndexValueDate(hiborindex,AK6713)</f>
        <v>52120</v>
      </c>
      <c r="AM6713" s="23">
        <f>_xll.qlIndexFixing(hiborindex,AK6713)</f>
        <v>7.7115084679848745E-3</v>
      </c>
    </row>
    <row r="6714" spans="37:39" x14ac:dyDescent="0.25">
      <c r="AK6714" s="21">
        <f>_xll.qlCalendarAdvance(calendar,AK6713,"1D")</f>
        <v>52119</v>
      </c>
      <c r="AL6714" s="21">
        <f>_xll.qlInterestRateIndexValueDate(hiborindex,AK6714)</f>
        <v>52121</v>
      </c>
      <c r="AM6714" s="23">
        <f>_xll.qlIndexFixing(hiborindex,AK6714)</f>
        <v>7.7114057521905513E-3</v>
      </c>
    </row>
    <row r="6715" spans="37:39" x14ac:dyDescent="0.25">
      <c r="AK6715" s="21">
        <f>_xll.qlCalendarAdvance(calendar,AK6714,"1D")</f>
        <v>52120</v>
      </c>
      <c r="AL6715" s="21">
        <f>_xll.qlInterestRateIndexValueDate(hiborindex,AK6715)</f>
        <v>52124</v>
      </c>
      <c r="AM6715" s="23">
        <f>_xll.qlIndexFixing(hiborindex,AK6715)</f>
        <v>7.7111287246810628E-3</v>
      </c>
    </row>
    <row r="6716" spans="37:39" x14ac:dyDescent="0.25">
      <c r="AK6716" s="21">
        <f>_xll.qlCalendarAdvance(calendar,AK6715,"1D")</f>
        <v>52121</v>
      </c>
      <c r="AL6716" s="21">
        <f>_xll.qlInterestRateIndexValueDate(hiborindex,AK6716)</f>
        <v>52125</v>
      </c>
      <c r="AM6716" s="23">
        <f>_xll.qlIndexFixing(hiborindex,AK6716)</f>
        <v>7.7109948890658137E-3</v>
      </c>
    </row>
    <row r="6717" spans="37:39" x14ac:dyDescent="0.25">
      <c r="AK6717" s="21">
        <f>_xll.qlCalendarAdvance(calendar,AK6716,"1D")</f>
        <v>52124</v>
      </c>
      <c r="AL6717" s="21">
        <f>_xll.qlInterestRateIndexValueDate(hiborindex,AK6717)</f>
        <v>52126</v>
      </c>
      <c r="AM6717" s="23">
        <f>_xll.qlIndexFixing(hiborindex,AK6717)</f>
        <v>7.7108921732984299E-3</v>
      </c>
    </row>
    <row r="6718" spans="37:39" x14ac:dyDescent="0.25">
      <c r="AK6718" s="21">
        <f>_xll.qlCalendarAdvance(calendar,AK6717,"1D")</f>
        <v>52125</v>
      </c>
      <c r="AL6718" s="21">
        <f>_xll.qlInterestRateIndexValueDate(hiborindex,AK6718)</f>
        <v>52127</v>
      </c>
      <c r="AM6718" s="23">
        <f>_xll.qlIndexFixing(hiborindex,AK6718)</f>
        <v>7.7107894575354635E-3</v>
      </c>
    </row>
    <row r="6719" spans="37:39" x14ac:dyDescent="0.25">
      <c r="AK6719" s="21">
        <f>_xll.qlCalendarAdvance(calendar,AK6718,"1D")</f>
        <v>52126</v>
      </c>
      <c r="AL6719" s="21">
        <f>_xll.qlInterestRateIndexValueDate(hiborindex,AK6719)</f>
        <v>52128</v>
      </c>
      <c r="AM6719" s="23">
        <f>_xll.qlIndexFixing(hiborindex,AK6719)</f>
        <v>7.7106867417782374E-3</v>
      </c>
    </row>
    <row r="6720" spans="37:39" x14ac:dyDescent="0.25">
      <c r="AK6720" s="21">
        <f>_xll.qlCalendarAdvance(calendar,AK6719,"1D")</f>
        <v>52127</v>
      </c>
      <c r="AL6720" s="21">
        <f>_xll.qlInterestRateIndexValueDate(hiborindex,AK6720)</f>
        <v>52131</v>
      </c>
      <c r="AM6720" s="23">
        <f>_xll.qlIndexFixing(hiborindex,AK6720)</f>
        <v>7.7104096990275395E-3</v>
      </c>
    </row>
    <row r="6721" spans="37:39" x14ac:dyDescent="0.25">
      <c r="AK6721" s="21">
        <f>_xll.qlCalendarAdvance(calendar,AK6720,"1D")</f>
        <v>52128</v>
      </c>
      <c r="AL6721" s="21">
        <f>_xll.qlInterestRateIndexValueDate(hiborindex,AK6721)</f>
        <v>52132</v>
      </c>
      <c r="AM6721" s="23">
        <f>_xll.qlIndexFixing(hiborindex,AK6721)</f>
        <v>7.7102758788018897E-3</v>
      </c>
    </row>
    <row r="6722" spans="37:39" x14ac:dyDescent="0.25">
      <c r="AK6722" s="21">
        <f>_xll.qlCalendarAdvance(calendar,AK6721,"1D")</f>
        <v>52131</v>
      </c>
      <c r="AL6722" s="21">
        <f>_xll.qlInterestRateIndexValueDate(hiborindex,AK6722)</f>
        <v>52133</v>
      </c>
      <c r="AM6722" s="23">
        <f>_xll.qlIndexFixing(hiborindex,AK6722)</f>
        <v>7.71017316307072E-3</v>
      </c>
    </row>
    <row r="6723" spans="37:39" x14ac:dyDescent="0.25">
      <c r="AK6723" s="21">
        <f>_xll.qlCalendarAdvance(calendar,AK6722,"1D")</f>
        <v>52132</v>
      </c>
      <c r="AL6723" s="21">
        <f>_xll.qlInterestRateIndexValueDate(hiborindex,AK6723)</f>
        <v>52134</v>
      </c>
      <c r="AM6723" s="23">
        <f>_xll.qlIndexFixing(hiborindex,AK6723)</f>
        <v>7.7100704473452922E-3</v>
      </c>
    </row>
    <row r="6724" spans="37:39" x14ac:dyDescent="0.25">
      <c r="AK6724" s="21">
        <f>_xll.qlCalendarAdvance(calendar,AK6723,"1D")</f>
        <v>52133</v>
      </c>
      <c r="AL6724" s="21">
        <f>_xll.qlInterestRateIndexValueDate(hiborindex,AK6724)</f>
        <v>52135</v>
      </c>
      <c r="AM6724" s="23">
        <f>_xll.qlIndexFixing(hiborindex,AK6724)</f>
        <v>7.7099677316247225E-3</v>
      </c>
    </row>
    <row r="6725" spans="37:39" x14ac:dyDescent="0.25">
      <c r="AK6725" s="21">
        <f>_xll.qlCalendarAdvance(calendar,AK6724,"1D")</f>
        <v>52134</v>
      </c>
      <c r="AL6725" s="21">
        <f>_xll.qlInterestRateIndexValueDate(hiborindex,AK6725)</f>
        <v>52138</v>
      </c>
      <c r="AM6725" s="23">
        <f>_xll.qlIndexFixing(hiborindex,AK6725)</f>
        <v>7.7097217617545224E-3</v>
      </c>
    </row>
    <row r="6726" spans="37:39" x14ac:dyDescent="0.25">
      <c r="AK6726" s="21">
        <f>_xll.qlCalendarAdvance(calendar,AK6725,"1D")</f>
        <v>52135</v>
      </c>
      <c r="AL6726" s="21">
        <f>_xll.qlInterestRateIndexValueDate(hiborindex,AK6726)</f>
        <v>52139</v>
      </c>
      <c r="AM6726" s="23">
        <f>_xll.qlIndexFixing(hiborindex,AK6726)</f>
        <v>7.709587955742254E-3</v>
      </c>
    </row>
    <row r="6727" spans="37:39" x14ac:dyDescent="0.25">
      <c r="AK6727" s="21">
        <f>_xll.qlCalendarAdvance(calendar,AK6726,"1D")</f>
        <v>52138</v>
      </c>
      <c r="AL6727" s="21">
        <f>_xll.qlInterestRateIndexValueDate(hiborindex,AK6727)</f>
        <v>52140</v>
      </c>
      <c r="AM6727" s="23">
        <f>_xll.qlIndexFixing(hiborindex,AK6727)</f>
        <v>7.7094852378553113E-3</v>
      </c>
    </row>
    <row r="6728" spans="37:39" x14ac:dyDescent="0.25">
      <c r="AK6728" s="21">
        <f>_xll.qlCalendarAdvance(calendar,AK6727,"1D")</f>
        <v>52139</v>
      </c>
      <c r="AL6728" s="21">
        <f>_xll.qlInterestRateIndexValueDate(hiborindex,AK6728)</f>
        <v>52141</v>
      </c>
      <c r="AM6728" s="23">
        <f>_xll.qlIndexFixing(hiborindex,AK6728)</f>
        <v>7.7093825199740776E-3</v>
      </c>
    </row>
    <row r="6729" spans="37:39" x14ac:dyDescent="0.25">
      <c r="AK6729" s="21">
        <f>_xll.qlCalendarAdvance(calendar,AK6728,"1D")</f>
        <v>52140</v>
      </c>
      <c r="AL6729" s="21">
        <f>_xll.qlInterestRateIndexValueDate(hiborindex,AK6729)</f>
        <v>52142</v>
      </c>
      <c r="AM6729" s="23">
        <f>_xll.qlIndexFixing(hiborindex,AK6729)</f>
        <v>7.7092798020981139E-3</v>
      </c>
    </row>
    <row r="6730" spans="37:39" x14ac:dyDescent="0.25">
      <c r="AK6730" s="21">
        <f>_xll.qlCalendarAdvance(calendar,AK6729,"1D")</f>
        <v>52141</v>
      </c>
      <c r="AL6730" s="21">
        <f>_xll.qlInterestRateIndexValueDate(hiborindex,AK6730)</f>
        <v>52145</v>
      </c>
      <c r="AM6730" s="23">
        <f>_xll.qlIndexFixing(hiborindex,AK6730)</f>
        <v>7.7089716485014082E-3</v>
      </c>
    </row>
    <row r="6731" spans="37:39" x14ac:dyDescent="0.25">
      <c r="AK6731" s="21">
        <f>_xll.qlCalendarAdvance(calendar,AK6730,"1D")</f>
        <v>52142</v>
      </c>
      <c r="AL6731" s="21">
        <f>_xll.qlInterestRateIndexValueDate(hiborindex,AK6731)</f>
        <v>52146</v>
      </c>
      <c r="AM6731" s="23">
        <f>_xll.qlIndexFixing(hiborindex,AK6731)</f>
        <v>7.7088689306469664E-3</v>
      </c>
    </row>
    <row r="6732" spans="37:39" x14ac:dyDescent="0.25">
      <c r="AK6732" s="21">
        <f>_xll.qlCalendarAdvance(calendar,AK6731,"1D")</f>
        <v>52145</v>
      </c>
      <c r="AL6732" s="21">
        <f>_xll.qlInterestRateIndexValueDate(hiborindex,AK6732)</f>
        <v>52147</v>
      </c>
      <c r="AM6732" s="23">
        <f>_xll.qlIndexFixing(hiborindex,AK6732)</f>
        <v>7.7087662127973558E-3</v>
      </c>
    </row>
    <row r="6733" spans="37:39" x14ac:dyDescent="0.25">
      <c r="AK6733" s="21">
        <f>_xll.qlCalendarAdvance(calendar,AK6732,"1D")</f>
        <v>52146</v>
      </c>
      <c r="AL6733" s="21">
        <f>_xll.qlInterestRateIndexValueDate(hiborindex,AK6733)</f>
        <v>52148</v>
      </c>
      <c r="AM6733" s="23">
        <f>_xll.qlIndexFixing(hiborindex,AK6733)</f>
        <v>7.7086634949530154E-3</v>
      </c>
    </row>
    <row r="6734" spans="37:39" x14ac:dyDescent="0.25">
      <c r="AK6734" s="21">
        <f>_xll.qlCalendarAdvance(calendar,AK6733,"1D")</f>
        <v>52147</v>
      </c>
      <c r="AL6734" s="21">
        <f>_xll.qlInterestRateIndexValueDate(hiborindex,AK6734)</f>
        <v>52149</v>
      </c>
      <c r="AM6734" s="23">
        <f>_xll.qlIndexFixing(hiborindex,AK6734)</f>
        <v>7.7085607771139458E-3</v>
      </c>
    </row>
    <row r="6735" spans="37:39" x14ac:dyDescent="0.25">
      <c r="AK6735" s="21">
        <f>_xll.qlCalendarAdvance(calendar,AK6734,"1D")</f>
        <v>52148</v>
      </c>
      <c r="AL6735" s="21">
        <f>_xll.qlInterestRateIndexValueDate(hiborindex,AK6735)</f>
        <v>52152</v>
      </c>
      <c r="AM6735" s="23">
        <f>_xll.qlIndexFixing(hiborindex,AK6735)</f>
        <v>7.7082526236292382E-3</v>
      </c>
    </row>
    <row r="6736" spans="37:39" x14ac:dyDescent="0.25">
      <c r="AK6736" s="21">
        <f>_xll.qlCalendarAdvance(calendar,AK6735,"1D")</f>
        <v>52149</v>
      </c>
      <c r="AL6736" s="21">
        <f>_xll.qlInterestRateIndexValueDate(hiborindex,AK6736)</f>
        <v>52153</v>
      </c>
      <c r="AM6736" s="23">
        <f>_xll.qlIndexFixing(hiborindex,AK6736)</f>
        <v>7.7081499058116905E-3</v>
      </c>
    </row>
    <row r="6737" spans="37:39" x14ac:dyDescent="0.25">
      <c r="AK6737" s="21">
        <f>_xll.qlCalendarAdvance(calendar,AK6736,"1D")</f>
        <v>52152</v>
      </c>
      <c r="AL6737" s="21">
        <f>_xll.qlInterestRateIndexValueDate(hiborindex,AK6737)</f>
        <v>52154</v>
      </c>
      <c r="AM6737" s="23">
        <f>_xll.qlIndexFixing(hiborindex,AK6737)</f>
        <v>7.708047187999412E-3</v>
      </c>
    </row>
    <row r="6738" spans="37:39" x14ac:dyDescent="0.25">
      <c r="AK6738" s="21">
        <f>_xll.qlCalendarAdvance(calendar,AK6737,"1D")</f>
        <v>52153</v>
      </c>
      <c r="AL6738" s="21">
        <f>_xll.qlInterestRateIndexValueDate(hiborindex,AK6738)</f>
        <v>52155</v>
      </c>
      <c r="AM6738" s="23">
        <f>_xll.qlIndexFixing(hiborindex,AK6738)</f>
        <v>7.7079444701924054E-3</v>
      </c>
    </row>
    <row r="6739" spans="37:39" x14ac:dyDescent="0.25">
      <c r="AK6739" s="21">
        <f>_xll.qlCalendarAdvance(calendar,AK6738,"1D")</f>
        <v>52154</v>
      </c>
      <c r="AL6739" s="21">
        <f>_xll.qlInterestRateIndexValueDate(hiborindex,AK6739)</f>
        <v>52156</v>
      </c>
      <c r="AM6739" s="23">
        <f>_xll.qlIndexFixing(hiborindex,AK6739)</f>
        <v>7.707841752390668E-3</v>
      </c>
    </row>
    <row r="6740" spans="37:39" x14ac:dyDescent="0.25">
      <c r="AK6740" s="21">
        <f>_xll.qlCalendarAdvance(calendar,AK6739,"1D")</f>
        <v>52155</v>
      </c>
      <c r="AL6740" s="21">
        <f>_xll.qlInterestRateIndexValueDate(hiborindex,AK6740)</f>
        <v>52159</v>
      </c>
      <c r="AM6740" s="23">
        <f>_xll.qlIndexFixing(hiborindex,AK6740)</f>
        <v>7.7075335990175195E-3</v>
      </c>
    </row>
    <row r="6741" spans="37:39" x14ac:dyDescent="0.25">
      <c r="AK6741" s="21">
        <f>_xll.qlCalendarAdvance(calendar,AK6740,"1D")</f>
        <v>52156</v>
      </c>
      <c r="AL6741" s="21">
        <f>_xll.qlInterestRateIndexValueDate(hiborindex,AK6741)</f>
        <v>52160</v>
      </c>
      <c r="AM6741" s="23">
        <f>_xll.qlIndexFixing(hiborindex,AK6741)</f>
        <v>7.7074308812368651E-3</v>
      </c>
    </row>
    <row r="6742" spans="37:39" x14ac:dyDescent="0.25">
      <c r="AK6742" s="21">
        <f>_xll.qlCalendarAdvance(calendar,AK6741,"1D")</f>
        <v>52159</v>
      </c>
      <c r="AL6742" s="21">
        <f>_xll.qlInterestRateIndexValueDate(hiborindex,AK6742)</f>
        <v>52161</v>
      </c>
      <c r="AM6742" s="23">
        <f>_xll.qlIndexFixing(hiborindex,AK6742)</f>
        <v>7.7073281634614807E-3</v>
      </c>
    </row>
    <row r="6743" spans="37:39" x14ac:dyDescent="0.25">
      <c r="AK6743" s="21">
        <f>_xll.qlCalendarAdvance(calendar,AK6742,"1D")</f>
        <v>52160</v>
      </c>
      <c r="AL6743" s="21">
        <f>_xll.qlInterestRateIndexValueDate(hiborindex,AK6743)</f>
        <v>52162</v>
      </c>
      <c r="AM6743" s="23">
        <f>_xll.qlIndexFixing(hiborindex,AK6743)</f>
        <v>7.7072254456918062E-3</v>
      </c>
    </row>
    <row r="6744" spans="37:39" x14ac:dyDescent="0.25">
      <c r="AK6744" s="21">
        <f>_xll.qlCalendarAdvance(calendar,AK6743,"1D")</f>
        <v>52161</v>
      </c>
      <c r="AL6744" s="21">
        <f>_xll.qlInterestRateIndexValueDate(hiborindex,AK6744)</f>
        <v>52163</v>
      </c>
      <c r="AM6744" s="23">
        <f>_xll.qlIndexFixing(hiborindex,AK6744)</f>
        <v>7.7071227279269629E-3</v>
      </c>
    </row>
    <row r="6745" spans="37:39" x14ac:dyDescent="0.25">
      <c r="AK6745" s="21">
        <f>_xll.qlCalendarAdvance(calendar,AK6744,"1D")</f>
        <v>52162</v>
      </c>
      <c r="AL6745" s="21">
        <f>_xll.qlInterestRateIndexValueDate(hiborindex,AK6745)</f>
        <v>52166</v>
      </c>
      <c r="AM6745" s="23">
        <f>_xll.qlIndexFixing(hiborindex,AK6745)</f>
        <v>7.7068145746658134E-3</v>
      </c>
    </row>
    <row r="6746" spans="37:39" x14ac:dyDescent="0.25">
      <c r="AK6746" s="21">
        <f>_xll.qlCalendarAdvance(calendar,AK6745,"1D")</f>
        <v>52163</v>
      </c>
      <c r="AL6746" s="21">
        <f>_xll.qlInterestRateIndexValueDate(hiborindex,AK6746)</f>
        <v>52167</v>
      </c>
      <c r="AM6746" s="23">
        <f>_xll.qlIndexFixing(hiborindex,AK6746)</f>
        <v>7.7067118569224911E-3</v>
      </c>
    </row>
    <row r="6747" spans="37:39" x14ac:dyDescent="0.25">
      <c r="AK6747" s="21">
        <f>_xll.qlCalendarAdvance(calendar,AK6746,"1D")</f>
        <v>52166</v>
      </c>
      <c r="AL6747" s="21">
        <f>_xll.qlInterestRateIndexValueDate(hiborindex,AK6747)</f>
        <v>52168</v>
      </c>
      <c r="AM6747" s="23">
        <f>_xll.qlIndexFixing(hiborindex,AK6747)</f>
        <v>7.7066091391844397E-3</v>
      </c>
    </row>
    <row r="6748" spans="37:39" x14ac:dyDescent="0.25">
      <c r="AK6748" s="21">
        <f>_xll.qlCalendarAdvance(calendar,AK6747,"1D")</f>
        <v>52167</v>
      </c>
      <c r="AL6748" s="21">
        <f>_xll.qlInterestRateIndexValueDate(hiborindex,AK6748)</f>
        <v>52169</v>
      </c>
      <c r="AM6748" s="23">
        <f>_xll.qlIndexFixing(hiborindex,AK6748)</f>
        <v>7.7065064214516584E-3</v>
      </c>
    </row>
    <row r="6749" spans="37:39" x14ac:dyDescent="0.25">
      <c r="AK6749" s="21">
        <f>_xll.qlCalendarAdvance(calendar,AK6748,"1D")</f>
        <v>52168</v>
      </c>
      <c r="AL6749" s="21">
        <f>_xll.qlInterestRateIndexValueDate(hiborindex,AK6749)</f>
        <v>52170</v>
      </c>
      <c r="AM6749" s="23">
        <f>_xll.qlIndexFixing(hiborindex,AK6749)</f>
        <v>7.7063726847413309E-3</v>
      </c>
    </row>
    <row r="6750" spans="37:39" x14ac:dyDescent="0.25">
      <c r="AK6750" s="21">
        <f>_xll.qlCalendarAdvance(calendar,AK6749,"1D")</f>
        <v>52169</v>
      </c>
      <c r="AL6750" s="21">
        <f>_xll.qlInterestRateIndexValueDate(hiborindex,AK6750)</f>
        <v>52173</v>
      </c>
      <c r="AM6750" s="23">
        <f>_xll.qlIndexFixing(hiborindex,AK6750)</f>
        <v>7.706095550574118E-3</v>
      </c>
    </row>
    <row r="6751" spans="37:39" x14ac:dyDescent="0.25">
      <c r="AK6751" s="21">
        <f>_xll.qlCalendarAdvance(calendar,AK6750,"1D")</f>
        <v>52170</v>
      </c>
      <c r="AL6751" s="21">
        <f>_xll.qlInterestRateIndexValueDate(hiborindex,AK6751)</f>
        <v>52174</v>
      </c>
      <c r="AM6751" s="23">
        <f>_xll.qlIndexFixing(hiborindex,AK6751)</f>
        <v>7.7059618226526707E-3</v>
      </c>
    </row>
    <row r="6752" spans="37:39" x14ac:dyDescent="0.25">
      <c r="AK6752" s="21">
        <f>_xll.qlCalendarAdvance(calendar,AK6751,"1D")</f>
        <v>52173</v>
      </c>
      <c r="AL6752" s="21">
        <f>_xll.qlInterestRateIndexValueDate(hiborindex,AK6752)</f>
        <v>52175</v>
      </c>
      <c r="AM6752" s="23">
        <f>_xll.qlIndexFixing(hiborindex,AK6752)</f>
        <v>7.7058591071436436E-3</v>
      </c>
    </row>
    <row r="6753" spans="37:39" x14ac:dyDescent="0.25">
      <c r="AK6753" s="21">
        <f>_xll.qlCalendarAdvance(calendar,AK6752,"1D")</f>
        <v>52174</v>
      </c>
      <c r="AL6753" s="21">
        <f>_xll.qlInterestRateIndexValueDate(hiborindex,AK6753)</f>
        <v>52176</v>
      </c>
      <c r="AM6753" s="23">
        <f>_xll.qlIndexFixing(hiborindex,AK6753)</f>
        <v>7.7057563916399169E-3</v>
      </c>
    </row>
    <row r="6754" spans="37:39" x14ac:dyDescent="0.25">
      <c r="AK6754" s="21">
        <f>_xll.qlCalendarAdvance(calendar,AK6753,"1D")</f>
        <v>52175</v>
      </c>
      <c r="AL6754" s="21">
        <f>_xll.qlInterestRateIndexValueDate(hiborindex,AK6754)</f>
        <v>52177</v>
      </c>
      <c r="AM6754" s="23">
        <f>_xll.qlIndexFixing(hiborindex,AK6754)</f>
        <v>7.7056536761414898E-3</v>
      </c>
    </row>
    <row r="6755" spans="37:39" x14ac:dyDescent="0.25">
      <c r="AK6755" s="21">
        <f>_xll.qlCalendarAdvance(calendar,AK6754,"1D")</f>
        <v>52176</v>
      </c>
      <c r="AL6755" s="21">
        <f>_xll.qlInterestRateIndexValueDate(hiborindex,AK6755)</f>
        <v>52180</v>
      </c>
      <c r="AM6755" s="23">
        <f>_xll.qlIndexFixing(hiborindex,AK6755)</f>
        <v>7.7053765267433129E-3</v>
      </c>
    </row>
    <row r="6756" spans="37:39" x14ac:dyDescent="0.25">
      <c r="AK6756" s="21">
        <f>_xll.qlCalendarAdvance(calendar,AK6755,"1D")</f>
        <v>52177</v>
      </c>
      <c r="AL6756" s="21">
        <f>_xll.qlInterestRateIndexValueDate(hiborindex,AK6756)</f>
        <v>52181</v>
      </c>
      <c r="AM6756" s="23">
        <f>_xll.qlIndexFixing(hiborindex,AK6756)</f>
        <v>7.7052428142003358E-3</v>
      </c>
    </row>
    <row r="6757" spans="37:39" x14ac:dyDescent="0.25">
      <c r="AK6757" s="21">
        <f>_xll.qlCalendarAdvance(calendar,AK6756,"1D")</f>
        <v>52180</v>
      </c>
      <c r="AL6757" s="21">
        <f>_xll.qlInterestRateIndexValueDate(hiborindex,AK6757)</f>
        <v>52182</v>
      </c>
      <c r="AM6757" s="23">
        <f>_xll.qlIndexFixing(hiborindex,AK6757)</f>
        <v>7.7051400987284066E-3</v>
      </c>
    </row>
    <row r="6758" spans="37:39" x14ac:dyDescent="0.25">
      <c r="AK6758" s="21">
        <f>_xll.qlCalendarAdvance(calendar,AK6757,"1D")</f>
        <v>52181</v>
      </c>
      <c r="AL6758" s="21">
        <f>_xll.qlInterestRateIndexValueDate(hiborindex,AK6758)</f>
        <v>52183</v>
      </c>
      <c r="AM6758" s="23">
        <f>_xll.qlIndexFixing(hiborindex,AK6758)</f>
        <v>7.705037383261777E-3</v>
      </c>
    </row>
    <row r="6759" spans="37:39" x14ac:dyDescent="0.25">
      <c r="AK6759" s="21">
        <f>_xll.qlCalendarAdvance(calendar,AK6758,"1D")</f>
        <v>52182</v>
      </c>
      <c r="AL6759" s="21">
        <f>_xll.qlInterestRateIndexValueDate(hiborindex,AK6759)</f>
        <v>52184</v>
      </c>
      <c r="AM6759" s="23">
        <f>_xll.qlIndexFixing(hiborindex,AK6759)</f>
        <v>7.704934667800447E-3</v>
      </c>
    </row>
    <row r="6760" spans="37:39" x14ac:dyDescent="0.25">
      <c r="AK6760" s="21">
        <f>_xll.qlCalendarAdvance(calendar,AK6759,"1D")</f>
        <v>52183</v>
      </c>
      <c r="AL6760" s="21">
        <f>_xll.qlInterestRateIndexValueDate(hiborindex,AK6760)</f>
        <v>52187</v>
      </c>
      <c r="AM6760" s="23">
        <f>_xll.qlIndexFixing(hiborindex,AK6760)</f>
        <v>7.7046575031725194E-3</v>
      </c>
    </row>
    <row r="6761" spans="37:39" x14ac:dyDescent="0.25">
      <c r="AK6761" s="21">
        <f>_xll.qlCalendarAdvance(calendar,AK6760,"1D")</f>
        <v>52184</v>
      </c>
      <c r="AL6761" s="21">
        <f>_xll.qlInterestRateIndexValueDate(hiborindex,AK6761)</f>
        <v>52188</v>
      </c>
      <c r="AM6761" s="23">
        <f>_xll.qlIndexFixing(hiborindex,AK6761)</f>
        <v>7.7045238060076829E-3</v>
      </c>
    </row>
    <row r="6762" spans="37:39" x14ac:dyDescent="0.25">
      <c r="AK6762" s="21">
        <f>_xll.qlCalendarAdvance(calendar,AK6761,"1D")</f>
        <v>52187</v>
      </c>
      <c r="AL6762" s="21">
        <f>_xll.qlInterestRateIndexValueDate(hiborindex,AK6762)</f>
        <v>52189</v>
      </c>
      <c r="AM6762" s="23">
        <f>_xll.qlIndexFixing(hiborindex,AK6762)</f>
        <v>7.7044210905724093E-3</v>
      </c>
    </row>
    <row r="6763" spans="37:39" x14ac:dyDescent="0.25">
      <c r="AK6763" s="21">
        <f>_xll.qlCalendarAdvance(calendar,AK6762,"1D")</f>
        <v>52188</v>
      </c>
      <c r="AL6763" s="21">
        <f>_xll.qlInterestRateIndexValueDate(hiborindex,AK6763)</f>
        <v>52190</v>
      </c>
      <c r="AM6763" s="23">
        <f>_xll.qlIndexFixing(hiborindex,AK6763)</f>
        <v>7.7043183751428776E-3</v>
      </c>
    </row>
    <row r="6764" spans="37:39" x14ac:dyDescent="0.25">
      <c r="AK6764" s="21">
        <f>_xll.qlCalendarAdvance(calendar,AK6763,"1D")</f>
        <v>52189</v>
      </c>
      <c r="AL6764" s="21">
        <f>_xll.qlInterestRateIndexValueDate(hiborindex,AK6764)</f>
        <v>52191</v>
      </c>
      <c r="AM6764" s="23">
        <f>_xll.qlIndexFixing(hiborindex,AK6764)</f>
        <v>7.7042156597182032E-3</v>
      </c>
    </row>
    <row r="6765" spans="37:39" x14ac:dyDescent="0.25">
      <c r="AK6765" s="21">
        <f>_xll.qlCalendarAdvance(calendar,AK6764,"1D")</f>
        <v>52190</v>
      </c>
      <c r="AL6765" s="21">
        <f>_xll.qlInterestRateIndexValueDate(hiborindex,AK6765)</f>
        <v>52194</v>
      </c>
      <c r="AM6765" s="23">
        <f>_xll.qlIndexFixing(hiborindex,AK6765)</f>
        <v>7.7039384798621774E-3</v>
      </c>
    </row>
    <row r="6766" spans="37:39" x14ac:dyDescent="0.25">
      <c r="AK6766" s="21">
        <f>_xll.qlCalendarAdvance(calendar,AK6765,"1D")</f>
        <v>52191</v>
      </c>
      <c r="AL6766" s="21">
        <f>_xll.qlInterestRateIndexValueDate(hiborindex,AK6766)</f>
        <v>52195</v>
      </c>
      <c r="AM6766" s="23">
        <f>_xll.qlIndexFixing(hiborindex,AK6766)</f>
        <v>7.7038047980733868E-3</v>
      </c>
    </row>
    <row r="6767" spans="37:39" x14ac:dyDescent="0.25">
      <c r="AK6767" s="21">
        <f>_xll.qlCalendarAdvance(calendar,AK6766,"1D")</f>
        <v>52194</v>
      </c>
      <c r="AL6767" s="21">
        <f>_xll.qlInterestRateIndexValueDate(hiborindex,AK6767)</f>
        <v>52196</v>
      </c>
      <c r="AM6767" s="23">
        <f>_xll.qlIndexFixing(hiborindex,AK6767)</f>
        <v>7.7037020826756526E-3</v>
      </c>
    </row>
    <row r="6768" spans="37:39" x14ac:dyDescent="0.25">
      <c r="AK6768" s="21">
        <f>_xll.qlCalendarAdvance(calendar,AK6767,"1D")</f>
        <v>52195</v>
      </c>
      <c r="AL6768" s="21">
        <f>_xll.qlInterestRateIndexValueDate(hiborindex,AK6768)</f>
        <v>52197</v>
      </c>
      <c r="AM6768" s="23">
        <f>_xll.qlIndexFixing(hiborindex,AK6768)</f>
        <v>7.7035993672827765E-3</v>
      </c>
    </row>
    <row r="6769" spans="37:39" x14ac:dyDescent="0.25">
      <c r="AK6769" s="21">
        <f>_xll.qlCalendarAdvance(calendar,AK6768,"1D")</f>
        <v>52196</v>
      </c>
      <c r="AL6769" s="21">
        <f>_xll.qlInterestRateIndexValueDate(hiborindex,AK6769)</f>
        <v>52198</v>
      </c>
      <c r="AM6769" s="23">
        <f>_xll.qlIndexFixing(hiborindex,AK6769)</f>
        <v>7.7035276095165197E-3</v>
      </c>
    </row>
    <row r="6770" spans="37:39" x14ac:dyDescent="0.25">
      <c r="AK6770" s="21">
        <f>_xll.qlCalendarAdvance(calendar,AK6769,"1D")</f>
        <v>52197</v>
      </c>
      <c r="AL6770" s="21">
        <f>_xll.qlInterestRateIndexValueDate(hiborindex,AK6770)</f>
        <v>52201</v>
      </c>
      <c r="AM6770" s="23">
        <f>_xll.qlIndexFixing(hiborindex,AK6770)</f>
        <v>7.7032194568122866E-3</v>
      </c>
    </row>
    <row r="6771" spans="37:39" x14ac:dyDescent="0.25">
      <c r="AK6771" s="21">
        <f>_xll.qlCalendarAdvance(calendar,AK6770,"1D")</f>
        <v>52198</v>
      </c>
      <c r="AL6771" s="21">
        <f>_xll.qlInterestRateIndexValueDate(hiborindex,AK6771)</f>
        <v>52202</v>
      </c>
      <c r="AM6771" s="23">
        <f>_xll.qlIndexFixing(hiborindex,AK6771)</f>
        <v>7.7031167392551895E-3</v>
      </c>
    </row>
    <row r="6772" spans="37:39" x14ac:dyDescent="0.25">
      <c r="AK6772" s="21">
        <f>_xll.qlCalendarAdvance(calendar,AK6771,"1D")</f>
        <v>52201</v>
      </c>
      <c r="AL6772" s="21">
        <f>_xll.qlInterestRateIndexValueDate(hiborindex,AK6772)</f>
        <v>52203</v>
      </c>
      <c r="AM6772" s="23">
        <f>_xll.qlIndexFixing(hiborindex,AK6772)</f>
        <v>7.7030140217033624E-3</v>
      </c>
    </row>
    <row r="6773" spans="37:39" x14ac:dyDescent="0.25">
      <c r="AK6773" s="21">
        <f>_xll.qlCalendarAdvance(calendar,AK6772,"1D")</f>
        <v>52202</v>
      </c>
      <c r="AL6773" s="21">
        <f>_xll.qlInterestRateIndexValueDate(hiborindex,AK6773)</f>
        <v>52204</v>
      </c>
      <c r="AM6773" s="23">
        <f>_xll.qlIndexFixing(hiborindex,AK6773)</f>
        <v>7.7029113041563665E-3</v>
      </c>
    </row>
    <row r="6774" spans="37:39" x14ac:dyDescent="0.25">
      <c r="AK6774" s="21">
        <f>_xll.qlCalendarAdvance(calendar,AK6773,"1D")</f>
        <v>52203</v>
      </c>
      <c r="AL6774" s="21">
        <f>_xll.qlInterestRateIndexValueDate(hiborindex,AK6774)</f>
        <v>52205</v>
      </c>
      <c r="AM6774" s="23">
        <f>_xll.qlIndexFixing(hiborindex,AK6774)</f>
        <v>7.7028085866150805E-3</v>
      </c>
    </row>
    <row r="6775" spans="37:39" x14ac:dyDescent="0.25">
      <c r="AK6775" s="21">
        <f>_xll.qlCalendarAdvance(calendar,AK6774,"1D")</f>
        <v>52204</v>
      </c>
      <c r="AL6775" s="21">
        <f>_xll.qlInterestRateIndexValueDate(hiborindex,AK6775)</f>
        <v>52208</v>
      </c>
      <c r="AM6775" s="23">
        <f>_xll.qlIndexFixing(hiborindex,AK6775)</f>
        <v>7.7025004340228465E-3</v>
      </c>
    </row>
    <row r="6776" spans="37:39" x14ac:dyDescent="0.25">
      <c r="AK6776" s="21">
        <f>_xll.qlCalendarAdvance(calendar,AK6775,"1D")</f>
        <v>52205</v>
      </c>
      <c r="AL6776" s="21">
        <f>_xll.qlInterestRateIndexValueDate(hiborindex,AK6776)</f>
        <v>52209</v>
      </c>
      <c r="AM6776" s="23">
        <f>_xll.qlIndexFixing(hiborindex,AK6776)</f>
        <v>7.7023977165026425E-3</v>
      </c>
    </row>
    <row r="6777" spans="37:39" x14ac:dyDescent="0.25">
      <c r="AK6777" s="21">
        <f>_xll.qlCalendarAdvance(calendar,AK6776,"1D")</f>
        <v>52208</v>
      </c>
      <c r="AL6777" s="21">
        <f>_xll.qlInterestRateIndexValueDate(hiborindex,AK6777)</f>
        <v>52210</v>
      </c>
      <c r="AM6777" s="23">
        <f>_xll.qlIndexFixing(hiborindex,AK6777)</f>
        <v>7.7022949989877095E-3</v>
      </c>
    </row>
    <row r="6778" spans="37:39" x14ac:dyDescent="0.25">
      <c r="AK6778" s="21">
        <f>_xll.qlCalendarAdvance(calendar,AK6777,"1D")</f>
        <v>52209</v>
      </c>
      <c r="AL6778" s="21">
        <f>_xll.qlInterestRateIndexValueDate(hiborindex,AK6778)</f>
        <v>52211</v>
      </c>
      <c r="AM6778" s="23">
        <f>_xll.qlIndexFixing(hiborindex,AK6778)</f>
        <v>7.7021922814784856E-3</v>
      </c>
    </row>
    <row r="6779" spans="37:39" x14ac:dyDescent="0.25">
      <c r="AK6779" s="21">
        <f>_xll.qlCalendarAdvance(calendar,AK6778,"1D")</f>
        <v>52210</v>
      </c>
      <c r="AL6779" s="21">
        <f>_xll.qlInterestRateIndexValueDate(hiborindex,AK6779)</f>
        <v>52212</v>
      </c>
      <c r="AM6779" s="23">
        <f>_xll.qlIndexFixing(hiborindex,AK6779)</f>
        <v>7.7020895639745325E-3</v>
      </c>
    </row>
    <row r="6780" spans="37:39" x14ac:dyDescent="0.25">
      <c r="AK6780" s="21">
        <f>_xll.qlCalendarAdvance(calendar,AK6779,"1D")</f>
        <v>52211</v>
      </c>
      <c r="AL6780" s="21">
        <f>_xll.qlInterestRateIndexValueDate(hiborindex,AK6780)</f>
        <v>52215</v>
      </c>
      <c r="AM6780" s="23">
        <f>_xll.qlIndexFixing(hiborindex,AK6780)</f>
        <v>7.7017814114934179E-3</v>
      </c>
    </row>
    <row r="6781" spans="37:39" x14ac:dyDescent="0.25">
      <c r="AK6781" s="21">
        <f>_xll.qlCalendarAdvance(calendar,AK6780,"1D")</f>
        <v>52212</v>
      </c>
      <c r="AL6781" s="21">
        <f>_xll.qlInterestRateIndexValueDate(hiborindex,AK6781)</f>
        <v>52216</v>
      </c>
      <c r="AM6781" s="23">
        <f>_xll.qlIndexFixing(hiborindex,AK6781)</f>
        <v>7.7016786940105469E-3</v>
      </c>
    </row>
    <row r="6782" spans="37:39" x14ac:dyDescent="0.25">
      <c r="AK6782" s="21">
        <f>_xll.qlCalendarAdvance(calendar,AK6781,"1D")</f>
        <v>52215</v>
      </c>
      <c r="AL6782" s="21">
        <f>_xll.qlInterestRateIndexValueDate(hiborindex,AK6782)</f>
        <v>52217</v>
      </c>
      <c r="AM6782" s="23">
        <f>_xll.qlIndexFixing(hiborindex,AK6782)</f>
        <v>7.701575976532947E-3</v>
      </c>
    </row>
    <row r="6783" spans="37:39" x14ac:dyDescent="0.25">
      <c r="AK6783" s="21">
        <f>_xll.qlCalendarAdvance(calendar,AK6782,"1D")</f>
        <v>52216</v>
      </c>
      <c r="AL6783" s="21">
        <f>_xll.qlInterestRateIndexValueDate(hiborindex,AK6783)</f>
        <v>52218</v>
      </c>
      <c r="AM6783" s="23">
        <f>_xll.qlIndexFixing(hiborindex,AK6783)</f>
        <v>7.7014732590606162E-3</v>
      </c>
    </row>
    <row r="6784" spans="37:39" x14ac:dyDescent="0.25">
      <c r="AK6784" s="21">
        <f>_xll.qlCalendarAdvance(calendar,AK6783,"1D")</f>
        <v>52217</v>
      </c>
      <c r="AL6784" s="21">
        <f>_xll.qlInterestRateIndexValueDate(hiborindex,AK6784)</f>
        <v>52219</v>
      </c>
      <c r="AM6784" s="23">
        <f>_xll.qlIndexFixing(hiborindex,AK6784)</f>
        <v>7.7013705415935572E-3</v>
      </c>
    </row>
    <row r="6785" spans="37:39" x14ac:dyDescent="0.25">
      <c r="AK6785" s="21">
        <f>_xll.qlCalendarAdvance(calendar,AK6784,"1D")</f>
        <v>52218</v>
      </c>
      <c r="AL6785" s="21">
        <f>_xll.qlInterestRateIndexValueDate(hiborindex,AK6785)</f>
        <v>52222</v>
      </c>
      <c r="AM6785" s="23">
        <f>_xll.qlIndexFixing(hiborindex,AK6785)</f>
        <v>7.7010623892248796E-3</v>
      </c>
    </row>
    <row r="6786" spans="37:39" x14ac:dyDescent="0.25">
      <c r="AK6786" s="21">
        <f>_xll.qlCalendarAdvance(calendar,AK6785,"1D")</f>
        <v>52219</v>
      </c>
      <c r="AL6786" s="21">
        <f>_xll.qlInterestRateIndexValueDate(hiborindex,AK6786)</f>
        <v>52223</v>
      </c>
      <c r="AM6786" s="23">
        <f>_xll.qlIndexFixing(hiborindex,AK6786)</f>
        <v>7.7009596717793416E-3</v>
      </c>
    </row>
    <row r="6787" spans="37:39" x14ac:dyDescent="0.25">
      <c r="AK6787" s="21">
        <f>_xll.qlCalendarAdvance(calendar,AK6786,"1D")</f>
        <v>52222</v>
      </c>
      <c r="AL6787" s="21">
        <f>_xll.qlInterestRateIndexValueDate(hiborindex,AK6787)</f>
        <v>52224</v>
      </c>
      <c r="AM6787" s="23">
        <f>_xll.qlIndexFixing(hiborindex,AK6787)</f>
        <v>7.7008569543386349E-3</v>
      </c>
    </row>
    <row r="6788" spans="37:39" x14ac:dyDescent="0.25">
      <c r="AK6788" s="21">
        <f>_xll.qlCalendarAdvance(calendar,AK6787,"1D")</f>
        <v>52223</v>
      </c>
      <c r="AL6788" s="21">
        <f>_xll.qlInterestRateIndexValueDate(hiborindex,AK6788)</f>
        <v>52229</v>
      </c>
      <c r="AM6788" s="23">
        <f>_xll.qlIndexFixing(hiborindex,AK6788)</f>
        <v>7.7003433672163538E-3</v>
      </c>
    </row>
    <row r="6789" spans="37:39" x14ac:dyDescent="0.25">
      <c r="AK6789" s="21">
        <f>_xll.qlCalendarAdvance(calendar,AK6788,"1D")</f>
        <v>52224</v>
      </c>
      <c r="AL6789" s="21">
        <f>_xll.qlInterestRateIndexValueDate(hiborindex,AK6789)</f>
        <v>52230</v>
      </c>
      <c r="AM6789" s="23">
        <f>_xll.qlIndexFixing(hiborindex,AK6789)</f>
        <v>7.7002406498077091E-3</v>
      </c>
    </row>
    <row r="6790" spans="37:39" x14ac:dyDescent="0.25">
      <c r="AK6790" s="21">
        <f>_xll.qlCalendarAdvance(calendar,AK6789,"1D")</f>
        <v>52229</v>
      </c>
      <c r="AL6790" s="21">
        <f>_xll.qlInterestRateIndexValueDate(hiborindex,AK6790)</f>
        <v>52231</v>
      </c>
      <c r="AM6790" s="23">
        <f>_xll.qlIndexFixing(hiborindex,AK6790)</f>
        <v>7.7001070470734028E-3</v>
      </c>
    </row>
    <row r="6791" spans="37:39" x14ac:dyDescent="0.25">
      <c r="AK6791" s="21">
        <f>_xll.qlCalendarAdvance(calendar,AK6790,"1D")</f>
        <v>52230</v>
      </c>
      <c r="AL6791" s="21">
        <f>_xll.qlInterestRateIndexValueDate(hiborindex,AK6791)</f>
        <v>52233</v>
      </c>
      <c r="AM6791" s="23">
        <f>_xll.qlIndexFixing(hiborindex,AK6791)</f>
        <v>7.6975923811450969E-3</v>
      </c>
    </row>
    <row r="6792" spans="37:39" x14ac:dyDescent="0.25">
      <c r="AK6792" s="21">
        <f>_xll.qlCalendarAdvance(calendar,AK6791,"1D")</f>
        <v>52231</v>
      </c>
      <c r="AL6792" s="21">
        <f>_xll.qlInterestRateIndexValueDate(hiborindex,AK6792)</f>
        <v>52236</v>
      </c>
      <c r="AM6792" s="23">
        <f>_xll.qlIndexFixing(hiborindex,AK6792)</f>
        <v>7.6927317717543015E-3</v>
      </c>
    </row>
    <row r="6793" spans="37:39" x14ac:dyDescent="0.25">
      <c r="AK6793" s="21">
        <f>_xll.qlCalendarAdvance(calendar,AK6792,"1D")</f>
        <v>52233</v>
      </c>
      <c r="AL6793" s="21">
        <f>_xll.qlInterestRateIndexValueDate(hiborindex,AK6793)</f>
        <v>52237</v>
      </c>
      <c r="AM6793" s="23">
        <f>_xll.qlIndexFixing(hiborindex,AK6793)</f>
        <v>7.69256024979481E-3</v>
      </c>
    </row>
    <row r="6794" spans="37:39" x14ac:dyDescent="0.25">
      <c r="AK6794" s="21">
        <f>_xll.qlCalendarAdvance(calendar,AK6793,"1D")</f>
        <v>52236</v>
      </c>
      <c r="AL6794" s="21">
        <f>_xll.qlInterestRateIndexValueDate(hiborindex,AK6794)</f>
        <v>52238</v>
      </c>
      <c r="AM6794" s="23">
        <f>_xll.qlIndexFixing(hiborindex,AK6794)</f>
        <v>7.6913016337321677E-3</v>
      </c>
    </row>
    <row r="6795" spans="37:39" x14ac:dyDescent="0.25">
      <c r="AK6795" s="21">
        <f>_xll.qlCalendarAdvance(calendar,AK6794,"1D")</f>
        <v>52237</v>
      </c>
      <c r="AL6795" s="21">
        <f>_xll.qlInterestRateIndexValueDate(hiborindex,AK6795)</f>
        <v>52239</v>
      </c>
      <c r="AM6795" s="23">
        <f>_xll.qlIndexFixing(hiborindex,AK6795)</f>
        <v>7.6900427843794531E-3</v>
      </c>
    </row>
    <row r="6796" spans="37:39" x14ac:dyDescent="0.25">
      <c r="AK6796" s="21">
        <f>_xll.qlCalendarAdvance(calendar,AK6795,"1D")</f>
        <v>52238</v>
      </c>
      <c r="AL6796" s="21">
        <f>_xll.qlInterestRateIndexValueDate(hiborindex,AK6796)</f>
        <v>52240</v>
      </c>
      <c r="AM6796" s="23">
        <f>_xll.qlIndexFixing(hiborindex,AK6796)</f>
        <v>7.6887837017384324E-3</v>
      </c>
    </row>
    <row r="6797" spans="37:39" x14ac:dyDescent="0.25">
      <c r="AK6797" s="21">
        <f>_xll.qlCalendarAdvance(calendar,AK6796,"1D")</f>
        <v>52239</v>
      </c>
      <c r="AL6797" s="21">
        <f>_xll.qlInterestRateIndexValueDate(hiborindex,AK6797)</f>
        <v>52243</v>
      </c>
      <c r="AM6797" s="23">
        <f>_xll.qlIndexFixing(hiborindex,AK6797)</f>
        <v>7.6839608574789933E-3</v>
      </c>
    </row>
    <row r="6798" spans="37:39" x14ac:dyDescent="0.25">
      <c r="AK6798" s="21">
        <f>_xll.qlCalendarAdvance(calendar,AK6797,"1D")</f>
        <v>52240</v>
      </c>
      <c r="AL6798" s="21">
        <f>_xll.qlInterestRateIndexValueDate(hiborindex,AK6798)</f>
        <v>52244</v>
      </c>
      <c r="AM6798" s="23">
        <f>_xll.qlIndexFixing(hiborindex,AK6798)</f>
        <v>7.6837450382948261E-3</v>
      </c>
    </row>
    <row r="6799" spans="37:39" x14ac:dyDescent="0.25">
      <c r="AK6799" s="21">
        <f>_xll.qlCalendarAdvance(calendar,AK6798,"1D")</f>
        <v>52243</v>
      </c>
      <c r="AL6799" s="21">
        <f>_xll.qlInterestRateIndexValueDate(hiborindex,AK6799)</f>
        <v>52245</v>
      </c>
      <c r="AM6799" s="23">
        <f>_xll.qlIndexFixing(hiborindex,AK6799)</f>
        <v>7.6824847892162512E-3</v>
      </c>
    </row>
    <row r="6800" spans="37:39" x14ac:dyDescent="0.25">
      <c r="AK6800" s="21">
        <f>_xll.qlCalendarAdvance(calendar,AK6799,"1D")</f>
        <v>52244</v>
      </c>
      <c r="AL6800" s="21">
        <f>_xll.qlInterestRateIndexValueDate(hiborindex,AK6800)</f>
        <v>52246</v>
      </c>
      <c r="AM6800" s="23">
        <f>_xll.qlIndexFixing(hiborindex,AK6800)</f>
        <v>7.6812243068511378E-3</v>
      </c>
    </row>
    <row r="6801" spans="37:39" x14ac:dyDescent="0.25">
      <c r="AK6801" s="21">
        <f>_xll.qlCalendarAdvance(calendar,AK6800,"1D")</f>
        <v>52245</v>
      </c>
      <c r="AL6801" s="21">
        <f>_xll.qlInterestRateIndexValueDate(hiborindex,AK6801)</f>
        <v>52247</v>
      </c>
      <c r="AM6801" s="23">
        <f>_xll.qlIndexFixing(hiborindex,AK6801)</f>
        <v>7.6799635912008094E-3</v>
      </c>
    </row>
    <row r="6802" spans="37:39" x14ac:dyDescent="0.25">
      <c r="AK6802" s="21">
        <f>_xll.qlCalendarAdvance(calendar,AK6801,"1D")</f>
        <v>52246</v>
      </c>
      <c r="AL6802" s="21">
        <f>_xll.qlInterestRateIndexValueDate(hiborindex,AK6802)</f>
        <v>52250</v>
      </c>
      <c r="AM6802" s="23">
        <f>_xll.qlIndexFixing(hiborindex,AK6802)</f>
        <v>7.6751785747594765E-3</v>
      </c>
    </row>
    <row r="6803" spans="37:39" x14ac:dyDescent="0.25">
      <c r="AK6803" s="21">
        <f>_xll.qlCalendarAdvance(calendar,AK6802,"1D")</f>
        <v>52247</v>
      </c>
      <c r="AL6803" s="21">
        <f>_xll.qlInterestRateIndexValueDate(hiborindex,AK6803)</f>
        <v>52251</v>
      </c>
      <c r="AM6803" s="23">
        <f>_xll.qlIndexFixing(hiborindex,AK6803)</f>
        <v>7.6749183957504439E-3</v>
      </c>
    </row>
    <row r="6804" spans="37:39" x14ac:dyDescent="0.25">
      <c r="AK6804" s="21">
        <f>_xll.qlCalendarAdvance(calendar,AK6803,"1D")</f>
        <v>52250</v>
      </c>
      <c r="AL6804" s="21">
        <f>_xll.qlInterestRateIndexValueDate(hiborindex,AK6804)</f>
        <v>52252</v>
      </c>
      <c r="AM6804" s="23">
        <f>_xll.qlIndexFixing(hiborindex,AK6804)</f>
        <v>7.6736565136775771E-3</v>
      </c>
    </row>
    <row r="6805" spans="37:39" x14ac:dyDescent="0.25">
      <c r="AK6805" s="21">
        <f>_xll.qlCalendarAdvance(calendar,AK6804,"1D")</f>
        <v>52251</v>
      </c>
      <c r="AL6805" s="21">
        <f>_xll.qlInterestRateIndexValueDate(hiborindex,AK6805)</f>
        <v>52253</v>
      </c>
      <c r="AM6805" s="23">
        <f>_xll.qlIndexFixing(hiborindex,AK6805)</f>
        <v>7.6723943983225866E-3</v>
      </c>
    </row>
    <row r="6806" spans="37:39" x14ac:dyDescent="0.25">
      <c r="AK6806" s="21">
        <f>_xll.qlCalendarAdvance(calendar,AK6805,"1D")</f>
        <v>52252</v>
      </c>
      <c r="AL6806" s="21">
        <f>_xll.qlInterestRateIndexValueDate(hiborindex,AK6806)</f>
        <v>52254</v>
      </c>
      <c r="AM6806" s="23">
        <f>_xll.qlIndexFixing(hiborindex,AK6806)</f>
        <v>7.6711320496837074E-3</v>
      </c>
    </row>
    <row r="6807" spans="37:39" x14ac:dyDescent="0.25">
      <c r="AK6807" s="21">
        <f>_xll.qlCalendarAdvance(calendar,AK6806,"1D")</f>
        <v>52253</v>
      </c>
      <c r="AL6807" s="21">
        <f>_xll.qlInterestRateIndexValueDate(hiborindex,AK6807)</f>
        <v>52257</v>
      </c>
      <c r="AM6807" s="23">
        <f>_xll.qlIndexFixing(hiborindex,AK6807)</f>
        <v>7.6663849237468395E-3</v>
      </c>
    </row>
    <row r="6808" spans="37:39" x14ac:dyDescent="0.25">
      <c r="AK6808" s="21">
        <f>_xll.qlCalendarAdvance(calendar,AK6807,"1D")</f>
        <v>52254</v>
      </c>
      <c r="AL6808" s="21">
        <f>_xll.qlInterestRateIndexValueDate(hiborindex,AK6808)</f>
        <v>52258</v>
      </c>
      <c r="AM6808" s="23">
        <f>_xll.qlIndexFixing(hiborindex,AK6808)</f>
        <v>7.666080322313586E-3</v>
      </c>
    </row>
    <row r="6809" spans="37:39" x14ac:dyDescent="0.25">
      <c r="AK6809" s="21">
        <f>_xll.qlCalendarAdvance(calendar,AK6808,"1D")</f>
        <v>52257</v>
      </c>
      <c r="AL6809" s="21">
        <f>_xll.qlInterestRateIndexValueDate(hiborindex,AK6809)</f>
        <v>52259</v>
      </c>
      <c r="AM6809" s="23">
        <f>_xll.qlIndexFixing(hiborindex,AK6809)</f>
        <v>7.6648168072689501E-3</v>
      </c>
    </row>
    <row r="6810" spans="37:39" x14ac:dyDescent="0.25">
      <c r="AK6810" s="21">
        <f>_xll.qlCalendarAdvance(calendar,AK6809,"1D")</f>
        <v>52258</v>
      </c>
      <c r="AL6810" s="21">
        <f>_xll.qlInterestRateIndexValueDate(hiborindex,AK6810)</f>
        <v>52260</v>
      </c>
      <c r="AM6810" s="23">
        <f>_xll.qlIndexFixing(hiborindex,AK6810)</f>
        <v>7.6635530589439583E-3</v>
      </c>
    </row>
    <row r="6811" spans="37:39" x14ac:dyDescent="0.25">
      <c r="AK6811" s="21">
        <f>_xll.qlCalendarAdvance(calendar,AK6810,"1D")</f>
        <v>52259</v>
      </c>
      <c r="AL6811" s="21">
        <f>_xll.qlInterestRateIndexValueDate(hiborindex,AK6811)</f>
        <v>52261</v>
      </c>
      <c r="AM6811" s="23">
        <f>_xll.qlIndexFixing(hiborindex,AK6811)</f>
        <v>7.6613548762377763E-3</v>
      </c>
    </row>
    <row r="6812" spans="37:39" x14ac:dyDescent="0.25">
      <c r="AK6812" s="21">
        <f>_xll.qlCalendarAdvance(calendar,AK6811,"1D")</f>
        <v>52260</v>
      </c>
      <c r="AL6812" s="21">
        <f>_xll.qlInterestRateIndexValueDate(hiborindex,AK6812)</f>
        <v>52264</v>
      </c>
      <c r="AM6812" s="23">
        <f>_xll.qlIndexFixing(hiborindex,AK6812)</f>
        <v>7.6575799045921714E-3</v>
      </c>
    </row>
    <row r="6813" spans="37:39" x14ac:dyDescent="0.25">
      <c r="AK6813" s="21">
        <f>_xll.qlCalendarAdvance(calendar,AK6812,"1D")</f>
        <v>52261</v>
      </c>
      <c r="AL6813" s="21">
        <f>_xll.qlInterestRateIndexValueDate(hiborindex,AK6813)</f>
        <v>52265</v>
      </c>
      <c r="AM6813" s="23">
        <f>_xll.qlIndexFixing(hiborindex,AK6813)</f>
        <v>7.6572308181366167E-3</v>
      </c>
    </row>
    <row r="6814" spans="37:39" x14ac:dyDescent="0.25">
      <c r="AK6814" s="21">
        <f>_xll.qlCalendarAdvance(calendar,AK6813,"1D")</f>
        <v>52264</v>
      </c>
      <c r="AL6814" s="21">
        <f>_xll.qlInterestRateIndexValueDate(hiborindex,AK6814)</f>
        <v>52266</v>
      </c>
      <c r="AM6814" s="23">
        <f>_xll.qlIndexFixing(hiborindex,AK6814)</f>
        <v>7.6559656701414109E-3</v>
      </c>
    </row>
    <row r="6815" spans="37:39" x14ac:dyDescent="0.25">
      <c r="AK6815" s="21">
        <f>_xll.qlCalendarAdvance(calendar,AK6814,"1D")</f>
        <v>52265</v>
      </c>
      <c r="AL6815" s="21">
        <f>_xll.qlInterestRateIndexValueDate(hiborindex,AK6815)</f>
        <v>52267</v>
      </c>
      <c r="AM6815" s="23">
        <f>_xll.qlIndexFixing(hiborindex,AK6815)</f>
        <v>7.6547002888693811E-3</v>
      </c>
    </row>
    <row r="6816" spans="37:39" x14ac:dyDescent="0.25">
      <c r="AK6816" s="21">
        <f>_xll.qlCalendarAdvance(calendar,AK6815,"1D")</f>
        <v>52266</v>
      </c>
      <c r="AL6816" s="21">
        <f>_xll.qlInterestRateIndexValueDate(hiborindex,AK6816)</f>
        <v>52268</v>
      </c>
      <c r="AM6816" s="23">
        <f>_xll.qlIndexFixing(hiborindex,AK6816)</f>
        <v>7.6534346743209703E-3</v>
      </c>
    </row>
    <row r="6817" spans="37:39" x14ac:dyDescent="0.25">
      <c r="AK6817" s="21">
        <f>_xll.qlCalendarAdvance(calendar,AK6816,"1D")</f>
        <v>52267</v>
      </c>
      <c r="AL6817" s="21">
        <f>_xll.qlInterestRateIndexValueDate(hiborindex,AK6817)</f>
        <v>52271</v>
      </c>
      <c r="AM6817" s="23">
        <f>_xll.qlIndexFixing(hiborindex,AK6817)</f>
        <v>7.6487635174478756E-3</v>
      </c>
    </row>
    <row r="6818" spans="37:39" x14ac:dyDescent="0.25">
      <c r="AK6818" s="21">
        <f>_xll.qlCalendarAdvance(calendar,AK6817,"1D")</f>
        <v>52268</v>
      </c>
      <c r="AL6818" s="21">
        <f>_xll.qlInterestRateIndexValueDate(hiborindex,AK6818)</f>
        <v>52272</v>
      </c>
      <c r="AM6818" s="23">
        <f>_xll.qlIndexFixing(hiborindex,AK6818)</f>
        <v>7.6483698833723418E-3</v>
      </c>
    </row>
    <row r="6819" spans="37:39" x14ac:dyDescent="0.25">
      <c r="AK6819" s="21">
        <f>_xll.qlCalendarAdvance(calendar,AK6818,"1D")</f>
        <v>52271</v>
      </c>
      <c r="AL6819" s="21">
        <f>_xll.qlInterestRateIndexValueDate(hiborindex,AK6819)</f>
        <v>52273</v>
      </c>
      <c r="AM6819" s="23">
        <f>_xll.qlIndexFixing(hiborindex,AK6819)</f>
        <v>7.6471031024482059E-3</v>
      </c>
    </row>
    <row r="6820" spans="37:39" x14ac:dyDescent="0.25">
      <c r="AK6820" s="21">
        <f>_xll.qlCalendarAdvance(calendar,AK6819,"1D")</f>
        <v>52272</v>
      </c>
      <c r="AL6820" s="21">
        <f>_xll.qlInterestRateIndexValueDate(hiborindex,AK6820)</f>
        <v>52274</v>
      </c>
      <c r="AM6820" s="23">
        <f>_xll.qlIndexFixing(hiborindex,AK6820)</f>
        <v>7.6458360882503372E-3</v>
      </c>
    </row>
    <row r="6821" spans="37:39" x14ac:dyDescent="0.25">
      <c r="AK6821" s="21">
        <f>_xll.qlCalendarAdvance(calendar,AK6820,"1D")</f>
        <v>52273</v>
      </c>
      <c r="AL6821" s="21">
        <f>_xll.qlInterestRateIndexValueDate(hiborindex,AK6821)</f>
        <v>52275</v>
      </c>
      <c r="AM6821" s="23">
        <f>_xll.qlIndexFixing(hiborindex,AK6821)</f>
        <v>7.6445688407796213E-3</v>
      </c>
    </row>
    <row r="6822" spans="37:39" x14ac:dyDescent="0.25">
      <c r="AK6822" s="21">
        <f>_xll.qlCalendarAdvance(calendar,AK6821,"1D")</f>
        <v>52274</v>
      </c>
      <c r="AL6822" s="21">
        <f>_xll.qlInterestRateIndexValueDate(hiborindex,AK6822)</f>
        <v>52278</v>
      </c>
      <c r="AM6822" s="23">
        <f>_xll.qlIndexFixing(hiborindex,AK6822)</f>
        <v>7.6399357624646023E-3</v>
      </c>
    </row>
    <row r="6823" spans="37:39" x14ac:dyDescent="0.25">
      <c r="AK6823" s="21">
        <f>_xll.qlCalendarAdvance(calendar,AK6822,"1D")</f>
        <v>52275</v>
      </c>
      <c r="AL6823" s="21">
        <f>_xll.qlInterestRateIndexValueDate(hiborindex,AK6823)</f>
        <v>52279</v>
      </c>
      <c r="AM6823" s="23">
        <f>_xll.qlIndexFixing(hiborindex,AK6823)</f>
        <v>7.6394975181722433E-3</v>
      </c>
    </row>
    <row r="6824" spans="37:39" x14ac:dyDescent="0.25">
      <c r="AK6824" s="21">
        <f>_xll.qlCalendarAdvance(calendar,AK6823,"1D")</f>
        <v>52278</v>
      </c>
      <c r="AL6824" s="21">
        <f>_xll.qlInterestRateIndexValueDate(hiborindex,AK6824)</f>
        <v>52280</v>
      </c>
      <c r="AM6824" s="23">
        <f>_xll.qlIndexFixing(hiborindex,AK6824)</f>
        <v>7.6382291043417001E-3</v>
      </c>
    </row>
    <row r="6825" spans="37:39" x14ac:dyDescent="0.25">
      <c r="AK6825" s="21">
        <f>_xll.qlCalendarAdvance(calendar,AK6824,"1D")</f>
        <v>52279</v>
      </c>
      <c r="AL6825" s="21">
        <f>_xll.qlInterestRateIndexValueDate(hiborindex,AK6825)</f>
        <v>52281</v>
      </c>
      <c r="AM6825" s="23">
        <f>_xll.qlIndexFixing(hiborindex,AK6825)</f>
        <v>7.6369604572400747E-3</v>
      </c>
    </row>
    <row r="6826" spans="37:39" x14ac:dyDescent="0.25">
      <c r="AK6826" s="21">
        <f>_xll.qlCalendarAdvance(calendar,AK6825,"1D")</f>
        <v>52280</v>
      </c>
      <c r="AL6826" s="21">
        <f>_xll.qlInterestRateIndexValueDate(hiborindex,AK6826)</f>
        <v>52282</v>
      </c>
      <c r="AM6826" s="23">
        <f>_xll.qlIndexFixing(hiborindex,AK6826)</f>
        <v>7.6356915768686926E-3</v>
      </c>
    </row>
    <row r="6827" spans="37:39" x14ac:dyDescent="0.25">
      <c r="AK6827" s="21">
        <f>_xll.qlCalendarAdvance(calendar,AK6826,"1D")</f>
        <v>52281</v>
      </c>
      <c r="AL6827" s="21">
        <f>_xll.qlInterestRateIndexValueDate(hiborindex,AK6827)</f>
        <v>52285</v>
      </c>
      <c r="AM6827" s="23">
        <f>_xll.qlIndexFixing(hiborindex,AK6827)</f>
        <v>7.6310966397951964E-3</v>
      </c>
    </row>
    <row r="6828" spans="37:39" x14ac:dyDescent="0.25">
      <c r="AK6828" s="21">
        <f>_xll.qlCalendarAdvance(calendar,AK6827,"1D")</f>
        <v>52282</v>
      </c>
      <c r="AL6828" s="21">
        <f>_xll.qlInterestRateIndexValueDate(hiborindex,AK6828)</f>
        <v>52286</v>
      </c>
      <c r="AM6828" s="23">
        <f>_xll.qlIndexFixing(hiborindex,AK6828)</f>
        <v>7.6306137226895675E-3</v>
      </c>
    </row>
    <row r="6829" spans="37:39" x14ac:dyDescent="0.25">
      <c r="AK6829" s="21">
        <f>_xll.qlCalendarAdvance(calendar,AK6828,"1D")</f>
        <v>52285</v>
      </c>
      <c r="AL6829" s="21">
        <f>_xll.qlInterestRateIndexValueDate(hiborindex,AK6829)</f>
        <v>52287</v>
      </c>
      <c r="AM6829" s="23">
        <f>_xll.qlIndexFixing(hiborindex,AK6829)</f>
        <v>7.6293436759738162E-3</v>
      </c>
    </row>
    <row r="6830" spans="37:39" x14ac:dyDescent="0.25">
      <c r="AK6830" s="21">
        <f>_xll.qlCalendarAdvance(calendar,AK6829,"1D")</f>
        <v>52286</v>
      </c>
      <c r="AL6830" s="21">
        <f>_xll.qlInterestRateIndexValueDate(hiborindex,AK6830)</f>
        <v>52288</v>
      </c>
      <c r="AM6830" s="23">
        <f>_xll.qlIndexFixing(hiborindex,AK6830)</f>
        <v>7.6280733959905155E-3</v>
      </c>
    </row>
    <row r="6831" spans="37:39" x14ac:dyDescent="0.25">
      <c r="AK6831" s="21">
        <f>_xll.qlCalendarAdvance(calendar,AK6830,"1D")</f>
        <v>52287</v>
      </c>
      <c r="AL6831" s="21">
        <f>_xll.qlInterestRateIndexValueDate(hiborindex,AK6831)</f>
        <v>52289</v>
      </c>
      <c r="AM6831" s="23">
        <f>_xll.qlIndexFixing(hiborindex,AK6831)</f>
        <v>7.6238035581707077E-3</v>
      </c>
    </row>
    <row r="6832" spans="37:39" x14ac:dyDescent="0.25">
      <c r="AK6832" s="21">
        <f>_xll.qlCalendarAdvance(calendar,AK6831,"1D")</f>
        <v>52288</v>
      </c>
      <c r="AL6832" s="21">
        <f>_xll.qlInterestRateIndexValueDate(hiborindex,AK6832)</f>
        <v>52292</v>
      </c>
      <c r="AM6832" s="23">
        <f>_xll.qlIndexFixing(hiborindex,AK6832)</f>
        <v>7.6207829800480622E-3</v>
      </c>
    </row>
    <row r="6833" spans="37:39" x14ac:dyDescent="0.25">
      <c r="AK6833" s="21">
        <f>_xll.qlCalendarAdvance(calendar,AK6832,"1D")</f>
        <v>52289</v>
      </c>
      <c r="AL6833" s="21">
        <f>_xll.qlInterestRateIndexValueDate(hiborindex,AK6833)</f>
        <v>52293</v>
      </c>
      <c r="AM6833" s="23">
        <f>_xll.qlIndexFixing(hiborindex,AK6833)</f>
        <v>7.6195298205336435E-3</v>
      </c>
    </row>
    <row r="6834" spans="37:39" x14ac:dyDescent="0.25">
      <c r="AK6834" s="21">
        <f>_xll.qlCalendarAdvance(calendar,AK6833,"1D")</f>
        <v>52292</v>
      </c>
      <c r="AL6834" s="21">
        <f>_xll.qlInterestRateIndexValueDate(hiborindex,AK6834)</f>
        <v>52294</v>
      </c>
      <c r="AM6834" s="23">
        <f>_xll.qlIndexFixing(hiborindex,AK6834)</f>
        <v>7.6182764315462616E-3</v>
      </c>
    </row>
    <row r="6835" spans="37:39" x14ac:dyDescent="0.25">
      <c r="AK6835" s="21">
        <f>_xll.qlCalendarAdvance(calendar,AK6834,"1D")</f>
        <v>52293</v>
      </c>
      <c r="AL6835" s="21">
        <f>_xll.qlInterestRateIndexValueDate(hiborindex,AK6835)</f>
        <v>52295</v>
      </c>
      <c r="AM6835" s="23">
        <f>_xll.qlIndexFixing(hiborindex,AK6835)</f>
        <v>7.6156269228782256E-3</v>
      </c>
    </row>
    <row r="6836" spans="37:39" x14ac:dyDescent="0.25">
      <c r="AK6836" s="21">
        <f>_xll.qlCalendarAdvance(calendar,AK6835,"1D")</f>
        <v>52294</v>
      </c>
      <c r="AL6836" s="21">
        <f>_xll.qlInterestRateIndexValueDate(hiborindex,AK6836)</f>
        <v>52296</v>
      </c>
      <c r="AM6836" s="23">
        <f>_xll.qlIndexFixing(hiborindex,AK6836)</f>
        <v>7.6150731877423893E-3</v>
      </c>
    </row>
    <row r="6837" spans="37:39" x14ac:dyDescent="0.25">
      <c r="AK6837" s="21">
        <f>_xll.qlCalendarAdvance(calendar,AK6836,"1D")</f>
        <v>52295</v>
      </c>
      <c r="AL6837" s="21">
        <f>_xll.qlInterestRateIndexValueDate(hiborindex,AK6837)</f>
        <v>52299</v>
      </c>
      <c r="AM6837" s="23">
        <f>_xll.qlIndexFixing(hiborindex,AK6837)</f>
        <v>7.6120060445327301E-3</v>
      </c>
    </row>
    <row r="6838" spans="37:39" x14ac:dyDescent="0.25">
      <c r="AK6838" s="21">
        <f>_xll.qlCalendarAdvance(calendar,AK6837,"1D")</f>
        <v>52296</v>
      </c>
      <c r="AL6838" s="21">
        <f>_xll.qlInterestRateIndexValueDate(hiborindex,AK6838)</f>
        <v>52300</v>
      </c>
      <c r="AM6838" s="23">
        <f>_xll.qlIndexFixing(hiborindex,AK6838)</f>
        <v>7.6107512787175671E-3</v>
      </c>
    </row>
    <row r="6839" spans="37:39" x14ac:dyDescent="0.25">
      <c r="AK6839" s="21">
        <f>_xll.qlCalendarAdvance(calendar,AK6838,"1D")</f>
        <v>52299</v>
      </c>
      <c r="AL6839" s="21">
        <f>_xll.qlInterestRateIndexValueDate(hiborindex,AK6839)</f>
        <v>52301</v>
      </c>
      <c r="AM6839" s="23">
        <f>_xll.qlIndexFixing(hiborindex,AK6839)</f>
        <v>7.6094962834324818E-3</v>
      </c>
    </row>
    <row r="6840" spans="37:39" x14ac:dyDescent="0.25">
      <c r="AK6840" s="21">
        <f>_xll.qlCalendarAdvance(calendar,AK6839,"1D")</f>
        <v>52300</v>
      </c>
      <c r="AL6840" s="21">
        <f>_xll.qlInterestRateIndexValueDate(hiborindex,AK6840)</f>
        <v>52302</v>
      </c>
      <c r="AM6840" s="23">
        <f>_xll.qlIndexFixing(hiborindex,AK6840)</f>
        <v>7.6069283150141075E-3</v>
      </c>
    </row>
    <row r="6841" spans="37:39" x14ac:dyDescent="0.25">
      <c r="AK6841" s="21">
        <f>_xll.qlCalendarAdvance(calendar,AK6840,"1D")</f>
        <v>52301</v>
      </c>
      <c r="AL6841" s="21">
        <f>_xll.qlInterestRateIndexValueDate(hiborindex,AK6841)</f>
        <v>52303</v>
      </c>
      <c r="AM6841" s="23">
        <f>_xll.qlIndexFixing(hiborindex,AK6841)</f>
        <v>7.6063316338054647E-3</v>
      </c>
    </row>
    <row r="6842" spans="37:39" x14ac:dyDescent="0.25">
      <c r="AK6842" s="21">
        <f>_xll.qlCalendarAdvance(calendar,AK6841,"1D")</f>
        <v>52302</v>
      </c>
      <c r="AL6842" s="21">
        <f>_xll.qlInterestRateIndexValueDate(hiborindex,AK6842)</f>
        <v>52306</v>
      </c>
      <c r="AM6842" s="23">
        <f>_xll.qlIndexFixing(hiborindex,AK6842)</f>
        <v>7.6032178649773517E-3</v>
      </c>
    </row>
    <row r="6843" spans="37:39" x14ac:dyDescent="0.25">
      <c r="AK6843" s="21">
        <f>_xll.qlCalendarAdvance(calendar,AK6842,"1D")</f>
        <v>52303</v>
      </c>
      <c r="AL6843" s="21">
        <f>_xll.qlInterestRateIndexValueDate(hiborindex,AK6843)</f>
        <v>52307</v>
      </c>
      <c r="AM6843" s="23">
        <f>_xll.qlIndexFixing(hiborindex,AK6843)</f>
        <v>7.6019614928831648E-3</v>
      </c>
    </row>
    <row r="6844" spans="37:39" x14ac:dyDescent="0.25">
      <c r="AK6844" s="21">
        <f>_xll.qlCalendarAdvance(calendar,AK6843,"1D")</f>
        <v>52306</v>
      </c>
      <c r="AL6844" s="21">
        <f>_xll.qlInterestRateIndexValueDate(hiborindex,AK6844)</f>
        <v>52308</v>
      </c>
      <c r="AM6844" s="23">
        <f>_xll.qlIndexFixing(hiborindex,AK6844)</f>
        <v>7.6007048913225321E-3</v>
      </c>
    </row>
    <row r="6845" spans="37:39" x14ac:dyDescent="0.25">
      <c r="AK6845" s="21">
        <f>_xll.qlCalendarAdvance(calendar,AK6844,"1D")</f>
        <v>52307</v>
      </c>
      <c r="AL6845" s="21">
        <f>_xll.qlInterestRateIndexValueDate(hiborindex,AK6845)</f>
        <v>52309</v>
      </c>
      <c r="AM6845" s="23">
        <f>_xll.qlIndexFixing(hiborindex,AK6845)</f>
        <v>7.5982185837149135E-3</v>
      </c>
    </row>
    <row r="6846" spans="37:39" x14ac:dyDescent="0.25">
      <c r="AK6846" s="21">
        <f>_xll.qlCalendarAdvance(calendar,AK6845,"1D")</f>
        <v>52308</v>
      </c>
      <c r="AL6846" s="21">
        <f>_xll.qlInterestRateIndexValueDate(hiborindex,AK6846)</f>
        <v>52310</v>
      </c>
      <c r="AM6846" s="23">
        <f>_xll.qlIndexFixing(hiborindex,AK6846)</f>
        <v>7.5975788965111646E-3</v>
      </c>
    </row>
    <row r="6847" spans="37:39" x14ac:dyDescent="0.25">
      <c r="AK6847" s="21">
        <f>_xll.qlCalendarAdvance(calendar,AK6846,"1D")</f>
        <v>52309</v>
      </c>
      <c r="AL6847" s="21">
        <f>_xll.qlInterestRateIndexValueDate(hiborindex,AK6847)</f>
        <v>52313</v>
      </c>
      <c r="AM6847" s="23">
        <f>_xll.qlIndexFixing(hiborindex,AK6847)</f>
        <v>7.5944184415339781E-3</v>
      </c>
    </row>
    <row r="6848" spans="37:39" x14ac:dyDescent="0.25">
      <c r="AK6848" s="21">
        <f>_xll.qlCalendarAdvance(calendar,AK6847,"1D")</f>
        <v>52310</v>
      </c>
      <c r="AL6848" s="21">
        <f>_xll.qlInterestRateIndexValueDate(hiborindex,AK6848)</f>
        <v>52314</v>
      </c>
      <c r="AM6848" s="23">
        <f>_xll.qlIndexFixing(hiborindex,AK6848)</f>
        <v>7.5931604631824905E-3</v>
      </c>
    </row>
    <row r="6849" spans="37:39" x14ac:dyDescent="0.25">
      <c r="AK6849" s="21">
        <f>_xll.qlCalendarAdvance(calendar,AK6848,"1D")</f>
        <v>52313</v>
      </c>
      <c r="AL6849" s="21">
        <f>_xll.qlInterestRateIndexValueDate(hiborindex,AK6849)</f>
        <v>52315</v>
      </c>
      <c r="AM6849" s="23">
        <f>_xll.qlIndexFixing(hiborindex,AK6849)</f>
        <v>7.5919022553675979E-3</v>
      </c>
    </row>
    <row r="6850" spans="37:39" x14ac:dyDescent="0.25">
      <c r="AK6850" s="21">
        <f>_xll.qlCalendarAdvance(calendar,AK6849,"1D")</f>
        <v>52314</v>
      </c>
      <c r="AL6850" s="21">
        <f>_xll.qlInterestRateIndexValueDate(hiborindex,AK6850)</f>
        <v>52316</v>
      </c>
      <c r="AM6850" s="23">
        <f>_xll.qlIndexFixing(hiborindex,AK6850)</f>
        <v>7.5894977291306306E-3</v>
      </c>
    </row>
    <row r="6851" spans="37:39" x14ac:dyDescent="0.25">
      <c r="AK6851" s="21">
        <f>_xll.qlCalendarAdvance(calendar,AK6850,"1D")</f>
        <v>52315</v>
      </c>
      <c r="AL6851" s="21">
        <f>_xll.qlInterestRateIndexValueDate(hiborindex,AK6851)</f>
        <v>52321</v>
      </c>
      <c r="AM6851" s="23">
        <f>_xll.qlIndexFixing(hiborindex,AK6851)</f>
        <v>7.5849004022796275E-3</v>
      </c>
    </row>
    <row r="6852" spans="37:39" x14ac:dyDescent="0.25">
      <c r="AK6852" s="21">
        <f>_xll.qlCalendarAdvance(calendar,AK6851,"1D")</f>
        <v>52316</v>
      </c>
      <c r="AL6852" s="21">
        <f>_xll.qlInterestRateIndexValueDate(hiborindex,AK6852)</f>
        <v>52322</v>
      </c>
      <c r="AM6852" s="23">
        <f>_xll.qlIndexFixing(hiborindex,AK6852)</f>
        <v>7.5836345230290243E-3</v>
      </c>
    </row>
    <row r="6853" spans="37:39" x14ac:dyDescent="0.25">
      <c r="AK6853" s="21">
        <f>_xll.qlCalendarAdvance(calendar,AK6852,"1D")</f>
        <v>52321</v>
      </c>
      <c r="AL6853" s="21">
        <f>_xll.qlInterestRateIndexValueDate(hiborindex,AK6853)</f>
        <v>52323</v>
      </c>
      <c r="AM6853" s="23">
        <f>_xll.qlIndexFixing(hiborindex,AK6853)</f>
        <v>7.5823684130685437E-3</v>
      </c>
    </row>
    <row r="6854" spans="37:39" x14ac:dyDescent="0.25">
      <c r="AK6854" s="21">
        <f>_xll.qlCalendarAdvance(calendar,AK6853,"1D")</f>
        <v>52322</v>
      </c>
      <c r="AL6854" s="21">
        <f>_xll.qlInterestRateIndexValueDate(hiborindex,AK6854)</f>
        <v>52324</v>
      </c>
      <c r="AM6854" s="23">
        <f>_xll.qlIndexFixing(hiborindex,AK6854)</f>
        <v>7.5800398724523354E-3</v>
      </c>
    </row>
    <row r="6855" spans="37:39" x14ac:dyDescent="0.25">
      <c r="AK6855" s="21">
        <f>_xll.qlCalendarAdvance(calendar,AK6854,"1D")</f>
        <v>52323</v>
      </c>
      <c r="AL6855" s="21">
        <f>_xll.qlInterestRateIndexValueDate(hiborindex,AK6855)</f>
        <v>52327</v>
      </c>
      <c r="AM6855" s="23">
        <f>_xll.qlIndexFixing(hiborindex,AK6855)</f>
        <v>7.5773016661326532E-3</v>
      </c>
    </row>
    <row r="6856" spans="37:39" x14ac:dyDescent="0.25">
      <c r="AK6856" s="21">
        <f>_xll.qlCalendarAdvance(calendar,AK6855,"1D")</f>
        <v>52324</v>
      </c>
      <c r="AL6856" s="21">
        <f>_xll.qlInterestRateIndexValueDate(hiborindex,AK6856)</f>
        <v>52328</v>
      </c>
      <c r="AM6856" s="23">
        <f>_xll.qlIndexFixing(hiborindex,AK6856)</f>
        <v>7.5760344026275907E-3</v>
      </c>
    </row>
    <row r="6857" spans="37:39" x14ac:dyDescent="0.25">
      <c r="AK6857" s="21">
        <f>_xll.qlCalendarAdvance(calendar,AK6856,"1D")</f>
        <v>52327</v>
      </c>
      <c r="AL6857" s="21">
        <f>_xll.qlInterestRateIndexValueDate(hiborindex,AK6857)</f>
        <v>52329</v>
      </c>
      <c r="AM6857" s="23">
        <f>_xll.qlIndexFixing(hiborindex,AK6857)</f>
        <v>7.5747669084152711E-3</v>
      </c>
    </row>
    <row r="6858" spans="37:39" x14ac:dyDescent="0.25">
      <c r="AK6858" s="21">
        <f>_xll.qlCalendarAdvance(calendar,AK6857,"1D")</f>
        <v>52328</v>
      </c>
      <c r="AL6858" s="21">
        <f>_xll.qlInterestRateIndexValueDate(hiborindex,AK6858)</f>
        <v>52330</v>
      </c>
      <c r="AM6858" s="23">
        <f>_xll.qlIndexFixing(hiborindex,AK6858)</f>
        <v>7.5734991834956952E-3</v>
      </c>
    </row>
    <row r="6859" spans="37:39" x14ac:dyDescent="0.25">
      <c r="AK6859" s="21">
        <f>_xll.qlCalendarAdvance(calendar,AK6858,"1D")</f>
        <v>52329</v>
      </c>
      <c r="AL6859" s="21">
        <f>_xll.qlInterestRateIndexValueDate(hiborindex,AK6859)</f>
        <v>52331</v>
      </c>
      <c r="AM6859" s="23">
        <f>_xll.qlIndexFixing(hiborindex,AK6859)</f>
        <v>7.5712535859898357E-3</v>
      </c>
    </row>
    <row r="6860" spans="37:39" x14ac:dyDescent="0.25">
      <c r="AK6860" s="21">
        <f>_xll.qlCalendarAdvance(calendar,AK6859,"1D")</f>
        <v>52330</v>
      </c>
      <c r="AL6860" s="21">
        <f>_xll.qlInterestRateIndexValueDate(hiborindex,AK6860)</f>
        <v>52334</v>
      </c>
      <c r="AM6860" s="23">
        <f>_xll.qlIndexFixing(hiborindex,AK6860)</f>
        <v>7.5684259767566202E-3</v>
      </c>
    </row>
    <row r="6861" spans="37:39" x14ac:dyDescent="0.25">
      <c r="AK6861" s="21">
        <f>_xll.qlCalendarAdvance(calendar,AK6860,"1D")</f>
        <v>52331</v>
      </c>
      <c r="AL6861" s="21">
        <f>_xll.qlInterestRateIndexValueDate(hiborindex,AK6861)</f>
        <v>52335</v>
      </c>
      <c r="AM6861" s="23">
        <f>_xll.qlIndexFixing(hiborindex,AK6861)</f>
        <v>7.567157098308624E-3</v>
      </c>
    </row>
    <row r="6862" spans="37:39" x14ac:dyDescent="0.25">
      <c r="AK6862" s="21">
        <f>_xll.qlCalendarAdvance(calendar,AK6861,"1D")</f>
        <v>52334</v>
      </c>
      <c r="AL6862" s="21">
        <f>_xll.qlInterestRateIndexValueDate(hiborindex,AK6862)</f>
        <v>52336</v>
      </c>
      <c r="AM6862" s="23">
        <f>_xll.qlIndexFixing(hiborindex,AK6862)</f>
        <v>7.5658879891559927E-3</v>
      </c>
    </row>
    <row r="6863" spans="37:39" x14ac:dyDescent="0.25">
      <c r="AK6863" s="21">
        <f>_xll.qlCalendarAdvance(calendar,AK6862,"1D")</f>
        <v>52335</v>
      </c>
      <c r="AL6863" s="21">
        <f>_xll.qlInterestRateIndexValueDate(hiborindex,AK6863)</f>
        <v>52337</v>
      </c>
      <c r="AM6863" s="23">
        <f>_xll.qlIndexFixing(hiborindex,AK6863)</f>
        <v>7.5646186493000351E-3</v>
      </c>
    </row>
    <row r="6864" spans="37:39" x14ac:dyDescent="0.25">
      <c r="AK6864" s="21">
        <f>_xll.qlCalendarAdvance(calendar,AK6863,"1D")</f>
        <v>52336</v>
      </c>
      <c r="AL6864" s="21">
        <f>_xll.qlInterestRateIndexValueDate(hiborindex,AK6864)</f>
        <v>52338</v>
      </c>
      <c r="AM6864" s="23">
        <f>_xll.qlIndexFixing(hiborindex,AK6864)</f>
        <v>7.5624561167727212E-3</v>
      </c>
    </row>
    <row r="6865" spans="37:39" x14ac:dyDescent="0.25">
      <c r="AK6865" s="21">
        <f>_xll.qlCalendarAdvance(calendar,AK6864,"1D")</f>
        <v>52337</v>
      </c>
      <c r="AL6865" s="21">
        <f>_xll.qlInterestRateIndexValueDate(hiborindex,AK6865)</f>
        <v>52341</v>
      </c>
      <c r="AM6865" s="23">
        <f>_xll.qlIndexFixing(hiborindex,AK6865)</f>
        <v>7.5595389828447008E-3</v>
      </c>
    </row>
    <row r="6866" spans="37:39" x14ac:dyDescent="0.25">
      <c r="AK6866" s="21">
        <f>_xll.qlCalendarAdvance(calendar,AK6865,"1D")</f>
        <v>52338</v>
      </c>
      <c r="AL6866" s="21">
        <f>_xll.qlInterestRateIndexValueDate(hiborindex,AK6866)</f>
        <v>52342</v>
      </c>
      <c r="AM6866" s="23">
        <f>_xll.qlIndexFixing(hiborindex,AK6866)</f>
        <v>7.5582684894751747E-3</v>
      </c>
    </row>
    <row r="6867" spans="37:39" x14ac:dyDescent="0.25">
      <c r="AK6867" s="21">
        <f>_xll.qlCalendarAdvance(calendar,AK6866,"1D")</f>
        <v>52341</v>
      </c>
      <c r="AL6867" s="21">
        <f>_xll.qlInterestRateIndexValueDate(hiborindex,AK6867)</f>
        <v>52343</v>
      </c>
      <c r="AM6867" s="23">
        <f>_xll.qlIndexFixing(hiborindex,AK6867)</f>
        <v>7.5569977654049445E-3</v>
      </c>
    </row>
    <row r="6868" spans="37:39" x14ac:dyDescent="0.25">
      <c r="AK6868" s="21">
        <f>_xll.qlCalendarAdvance(calendar,AK6867,"1D")</f>
        <v>52342</v>
      </c>
      <c r="AL6868" s="21">
        <f>_xll.qlInterestRateIndexValueDate(hiborindex,AK6868)</f>
        <v>52344</v>
      </c>
      <c r="AM6868" s="23">
        <f>_xll.qlIndexFixing(hiborindex,AK6868)</f>
        <v>7.5557268106335729E-3</v>
      </c>
    </row>
    <row r="6869" spans="37:39" x14ac:dyDescent="0.25">
      <c r="AK6869" s="21">
        <f>_xll.qlCalendarAdvance(calendar,AK6868,"1D")</f>
        <v>52343</v>
      </c>
      <c r="AL6869" s="21">
        <f>_xll.qlInterestRateIndexValueDate(hiborindex,AK6869)</f>
        <v>52345</v>
      </c>
      <c r="AM6869" s="23">
        <f>_xll.qlIndexFixing(hiborindex,AK6869)</f>
        <v>7.5536474649539513E-3</v>
      </c>
    </row>
    <row r="6870" spans="37:39" x14ac:dyDescent="0.25">
      <c r="AK6870" s="21">
        <f>_xll.qlCalendarAdvance(calendar,AK6869,"1D")</f>
        <v>52344</v>
      </c>
      <c r="AL6870" s="21">
        <f>_xll.qlInterestRateIndexValueDate(hiborindex,AK6870)</f>
        <v>52348</v>
      </c>
      <c r="AM6870" s="23">
        <f>_xll.qlIndexFixing(hiborindex,AK6870)</f>
        <v>7.5506406845493416E-3</v>
      </c>
    </row>
    <row r="6871" spans="37:39" x14ac:dyDescent="0.25">
      <c r="AK6871" s="21">
        <f>_xll.qlCalendarAdvance(calendar,AK6870,"1D")</f>
        <v>52345</v>
      </c>
      <c r="AL6871" s="21">
        <f>_xll.qlInterestRateIndexValueDate(hiborindex,AK6871)</f>
        <v>52349</v>
      </c>
      <c r="AM6871" s="23">
        <f>_xll.qlIndexFixing(hiborindex,AK6871)</f>
        <v>7.5493685762809994E-3</v>
      </c>
    </row>
    <row r="6872" spans="37:39" x14ac:dyDescent="0.25">
      <c r="AK6872" s="21">
        <f>_xll.qlCalendarAdvance(calendar,AK6871,"1D")</f>
        <v>52348</v>
      </c>
      <c r="AL6872" s="21">
        <f>_xll.qlInterestRateIndexValueDate(hiborindex,AK6872)</f>
        <v>52350</v>
      </c>
      <c r="AM6872" s="23">
        <f>_xll.qlIndexFixing(hiborindex,AK6872)</f>
        <v>7.548096237314574E-3</v>
      </c>
    </row>
    <row r="6873" spans="37:39" x14ac:dyDescent="0.25">
      <c r="AK6873" s="21">
        <f>_xll.qlCalendarAdvance(calendar,AK6872,"1D")</f>
        <v>52349</v>
      </c>
      <c r="AL6873" s="21">
        <f>_xll.qlInterestRateIndexValueDate(hiborindex,AK6873)</f>
        <v>52351</v>
      </c>
      <c r="AM6873" s="23">
        <f>_xll.qlIndexFixing(hiborindex,AK6873)</f>
        <v>7.5468236676496285E-3</v>
      </c>
    </row>
    <row r="6874" spans="37:39" x14ac:dyDescent="0.25">
      <c r="AK6874" s="21">
        <f>_xll.qlCalendarAdvance(calendar,AK6873,"1D")</f>
        <v>52350</v>
      </c>
      <c r="AL6874" s="21">
        <f>_xll.qlInterestRateIndexValueDate(hiborindex,AK6874)</f>
        <v>52355</v>
      </c>
      <c r="AM6874" s="23">
        <f>_xll.qlIndexFixing(hiborindex,AK6874)</f>
        <v>7.5413857877108022E-3</v>
      </c>
    </row>
    <row r="6875" spans="37:39" x14ac:dyDescent="0.25">
      <c r="AK6875" s="21">
        <f>_xll.qlCalendarAdvance(calendar,AK6874,"1D")</f>
        <v>52351</v>
      </c>
      <c r="AL6875" s="21">
        <f>_xll.qlInterestRateIndexValueDate(hiborindex,AK6875)</f>
        <v>52356</v>
      </c>
      <c r="AM6875" s="23">
        <f>_xll.qlIndexFixing(hiborindex,AK6875)</f>
        <v>7.5401181722707959E-3</v>
      </c>
    </row>
    <row r="6876" spans="37:39" x14ac:dyDescent="0.25">
      <c r="AK6876" s="21">
        <f>_xll.qlCalendarAdvance(calendar,AK6875,"1D")</f>
        <v>52355</v>
      </c>
      <c r="AL6876" s="21">
        <f>_xll.qlInterestRateIndexValueDate(hiborindex,AK6876)</f>
        <v>52357</v>
      </c>
      <c r="AM6876" s="23">
        <f>_xll.qlIndexFixing(hiborindex,AK6876)</f>
        <v>7.5388503273851968E-3</v>
      </c>
    </row>
    <row r="6877" spans="37:39" x14ac:dyDescent="0.25">
      <c r="AK6877" s="21">
        <f>_xll.qlCalendarAdvance(calendar,AK6876,"1D")</f>
        <v>52356</v>
      </c>
      <c r="AL6877" s="21">
        <f>_xll.qlInterestRateIndexValueDate(hiborindex,AK6877)</f>
        <v>52358</v>
      </c>
      <c r="AM6877" s="23">
        <f>_xll.qlIndexFixing(hiborindex,AK6877)</f>
        <v>7.5369390210584305E-3</v>
      </c>
    </row>
    <row r="6878" spans="37:39" x14ac:dyDescent="0.25">
      <c r="AK6878" s="21">
        <f>_xll.qlCalendarAdvance(calendar,AK6877,"1D")</f>
        <v>52357</v>
      </c>
      <c r="AL6878" s="21">
        <f>_xll.qlInterestRateIndexValueDate(hiborindex,AK6878)</f>
        <v>52359</v>
      </c>
      <c r="AM6878" s="23">
        <f>_xll.qlIndexFixing(hiborindex,AK6878)</f>
        <v>7.535996614115502E-3</v>
      </c>
    </row>
    <row r="6879" spans="37:39" x14ac:dyDescent="0.25">
      <c r="AK6879" s="21">
        <f>_xll.qlCalendarAdvance(calendar,AK6878,"1D")</f>
        <v>52358</v>
      </c>
      <c r="AL6879" s="21">
        <f>_xll.qlInterestRateIndexValueDate(hiborindex,AK6879)</f>
        <v>52362</v>
      </c>
      <c r="AM6879" s="23">
        <f>_xll.qlIndexFixing(hiborindex,AK6879)</f>
        <v>7.5325076613002419E-3</v>
      </c>
    </row>
    <row r="6880" spans="37:39" x14ac:dyDescent="0.25">
      <c r="AK6880" s="21">
        <f>_xll.qlCalendarAdvance(calendar,AK6879,"1D")</f>
        <v>52359</v>
      </c>
      <c r="AL6880" s="21">
        <f>_xll.qlInterestRateIndexValueDate(hiborindex,AK6880)</f>
        <v>52363</v>
      </c>
      <c r="AM6880" s="23">
        <f>_xll.qlIndexFixing(hiborindex,AK6880)</f>
        <v>7.5312384397545531E-3</v>
      </c>
    </row>
    <row r="6881" spans="37:39" x14ac:dyDescent="0.25">
      <c r="AK6881" s="21">
        <f>_xll.qlCalendarAdvance(calendar,AK6880,"1D")</f>
        <v>52362</v>
      </c>
      <c r="AL6881" s="21">
        <f>_xll.qlInterestRateIndexValueDate(hiborindex,AK6881)</f>
        <v>52364</v>
      </c>
      <c r="AM6881" s="23">
        <f>_xll.qlIndexFixing(hiborindex,AK6881)</f>
        <v>7.5299689887667462E-3</v>
      </c>
    </row>
    <row r="6882" spans="37:39" x14ac:dyDescent="0.25">
      <c r="AK6882" s="21">
        <f>_xll.qlCalendarAdvance(calendar,AK6881,"1D")</f>
        <v>52363</v>
      </c>
      <c r="AL6882" s="21">
        <f>_xll.qlInterestRateIndexValueDate(hiborindex,AK6882)</f>
        <v>52365</v>
      </c>
      <c r="AM6882" s="23">
        <f>_xll.qlIndexFixing(hiborindex,AK6882)</f>
        <v>7.5281403076923603E-3</v>
      </c>
    </row>
    <row r="6883" spans="37:39" x14ac:dyDescent="0.25">
      <c r="AK6883" s="21">
        <f>_xll.qlCalendarAdvance(calendar,AK6882,"1D")</f>
        <v>52364</v>
      </c>
      <c r="AL6883" s="21">
        <f>_xll.qlInterestRateIndexValueDate(hiborindex,AK6883)</f>
        <v>52366</v>
      </c>
      <c r="AM6883" s="23">
        <f>_xll.qlIndexFixing(hiborindex,AK6883)</f>
        <v>7.5271544153995805E-3</v>
      </c>
    </row>
    <row r="6884" spans="37:39" x14ac:dyDescent="0.25">
      <c r="AK6884" s="21">
        <f>_xll.qlCalendarAdvance(calendar,AK6883,"1D")</f>
        <v>52365</v>
      </c>
      <c r="AL6884" s="21">
        <f>_xll.qlInterestRateIndexValueDate(hiborindex,AK6884)</f>
        <v>52369</v>
      </c>
      <c r="AM6884" s="23">
        <f>_xll.qlIndexFixing(hiborindex,AK6884)</f>
        <v>7.5236182922181058E-3</v>
      </c>
    </row>
    <row r="6885" spans="37:39" x14ac:dyDescent="0.25">
      <c r="AK6885" s="21">
        <f>_xll.qlCalendarAdvance(calendar,AK6884,"1D")</f>
        <v>52366</v>
      </c>
      <c r="AL6885" s="21">
        <f>_xll.qlInterestRateIndexValueDate(hiborindex,AK6885)</f>
        <v>52370</v>
      </c>
      <c r="AM6885" s="23">
        <f>_xll.qlIndexFixing(hiborindex,AK6885)</f>
        <v>7.5223474645888886E-3</v>
      </c>
    </row>
    <row r="6886" spans="37:39" x14ac:dyDescent="0.25">
      <c r="AK6886" s="21">
        <f>_xll.qlCalendarAdvance(calendar,AK6885,"1D")</f>
        <v>52369</v>
      </c>
      <c r="AL6886" s="21">
        <f>_xll.qlInterestRateIndexValueDate(hiborindex,AK6886)</f>
        <v>52371</v>
      </c>
      <c r="AM6886" s="23">
        <f>_xll.qlIndexFixing(hiborindex,AK6886)</f>
        <v>7.5210764075210306E-3</v>
      </c>
    </row>
    <row r="6887" spans="37:39" x14ac:dyDescent="0.25">
      <c r="AK6887" s="21">
        <f>_xll.qlCalendarAdvance(calendar,AK6886,"1D")</f>
        <v>52370</v>
      </c>
      <c r="AL6887" s="21">
        <f>_xll.qlInterestRateIndexValueDate(hiborindex,AK6887)</f>
        <v>52372</v>
      </c>
      <c r="AM6887" s="23">
        <f>_xll.qlIndexFixing(hiborindex,AK6887)</f>
        <v>7.519330472247978E-3</v>
      </c>
    </row>
    <row r="6888" spans="37:39" x14ac:dyDescent="0.25">
      <c r="AK6888" s="21">
        <f>_xll.qlCalendarAdvance(calendar,AK6887,"1D")</f>
        <v>52371</v>
      </c>
      <c r="AL6888" s="21">
        <f>_xll.qlInterestRateIndexValueDate(hiborindex,AK6888)</f>
        <v>52373</v>
      </c>
      <c r="AM6888" s="23">
        <f>_xll.qlIndexFixing(hiborindex,AK6888)</f>
        <v>7.5183010346890847E-3</v>
      </c>
    </row>
    <row r="6889" spans="37:39" x14ac:dyDescent="0.25">
      <c r="AK6889" s="21">
        <f>_xll.qlCalendarAdvance(calendar,AK6888,"1D")</f>
        <v>52372</v>
      </c>
      <c r="AL6889" s="21">
        <f>_xll.qlInterestRateIndexValueDate(hiborindex,AK6889)</f>
        <v>52376</v>
      </c>
      <c r="AM6889" s="23">
        <f>_xll.qlIndexFixing(hiborindex,AK6889)</f>
        <v>7.5147176806173131E-3</v>
      </c>
    </row>
    <row r="6890" spans="37:39" x14ac:dyDescent="0.25">
      <c r="AK6890" s="21">
        <f>_xll.qlCalendarAdvance(calendar,AK6889,"1D")</f>
        <v>52373</v>
      </c>
      <c r="AL6890" s="21">
        <f>_xll.qlInterestRateIndexValueDate(hiborindex,AK6890)</f>
        <v>52377</v>
      </c>
      <c r="AM6890" s="23">
        <f>_xll.qlIndexFixing(hiborindex,AK6890)</f>
        <v>7.5134452469267261E-3</v>
      </c>
    </row>
    <row r="6891" spans="37:39" x14ac:dyDescent="0.25">
      <c r="AK6891" s="21">
        <f>_xll.qlCalendarAdvance(calendar,AK6890,"1D")</f>
        <v>52376</v>
      </c>
      <c r="AL6891" s="21">
        <f>_xll.qlInterestRateIndexValueDate(hiborindex,AK6891)</f>
        <v>52378</v>
      </c>
      <c r="AM6891" s="23">
        <f>_xll.qlIndexFixing(hiborindex,AK6891)</f>
        <v>7.5121725838009721E-3</v>
      </c>
    </row>
    <row r="6892" spans="37:39" x14ac:dyDescent="0.25">
      <c r="AK6892" s="21">
        <f>_xll.qlCalendarAdvance(calendar,AK6891,"1D")</f>
        <v>52377</v>
      </c>
      <c r="AL6892" s="21">
        <f>_xll.qlInterestRateIndexValueDate(hiborindex,AK6892)</f>
        <v>52379</v>
      </c>
      <c r="AM6892" s="23">
        <f>_xll.qlIndexFixing(hiborindex,AK6892)</f>
        <v>7.5105095148761307E-3</v>
      </c>
    </row>
    <row r="6893" spans="37:39" x14ac:dyDescent="0.25">
      <c r="AK6893" s="21">
        <f>_xll.qlCalendarAdvance(calendar,AK6892,"1D")</f>
        <v>52378</v>
      </c>
      <c r="AL6893" s="21">
        <f>_xll.qlInterestRateIndexValueDate(hiborindex,AK6893)</f>
        <v>52380</v>
      </c>
      <c r="AM6893" s="23">
        <f>_xll.qlIndexFixing(hiborindex,AK6893)</f>
        <v>7.5094364721361101E-3</v>
      </c>
    </row>
    <row r="6894" spans="37:39" x14ac:dyDescent="0.25">
      <c r="AK6894" s="21">
        <f>_xll.qlCalendarAdvance(calendar,AK6893,"1D")</f>
        <v>52379</v>
      </c>
      <c r="AL6894" s="21">
        <f>_xll.qlInterestRateIndexValueDate(hiborindex,AK6894)</f>
        <v>52383</v>
      </c>
      <c r="AM6894" s="23">
        <f>_xll.qlIndexFixing(hiborindex,AK6894)</f>
        <v>7.5059796326967486E-3</v>
      </c>
    </row>
    <row r="6895" spans="37:39" x14ac:dyDescent="0.25">
      <c r="AK6895" s="21">
        <f>_xll.qlCalendarAdvance(calendar,AK6894,"1D")</f>
        <v>52380</v>
      </c>
      <c r="AL6895" s="21">
        <f>_xll.qlInterestRateIndexValueDate(hiborindex,AK6895)</f>
        <v>52384</v>
      </c>
      <c r="AM6895" s="23">
        <f>_xll.qlIndexFixing(hiborindex,AK6895)</f>
        <v>7.5046994502601877E-3</v>
      </c>
    </row>
    <row r="6896" spans="37:39" x14ac:dyDescent="0.25">
      <c r="AK6896" s="21">
        <f>_xll.qlCalendarAdvance(calendar,AK6895,"1D")</f>
        <v>52383</v>
      </c>
      <c r="AL6896" s="21">
        <f>_xll.qlInterestRateIndexValueDate(hiborindex,AK6896)</f>
        <v>52385</v>
      </c>
      <c r="AM6896" s="23">
        <f>_xll.qlIndexFixing(hiborindex,AK6896)</f>
        <v>7.5034190371412682E-3</v>
      </c>
    </row>
    <row r="6897" spans="37:39" x14ac:dyDescent="0.25">
      <c r="AK6897" s="21">
        <f>_xll.qlCalendarAdvance(calendar,AK6896,"1D")</f>
        <v>52384</v>
      </c>
      <c r="AL6897" s="21">
        <f>_xll.qlInterestRateIndexValueDate(hiborindex,AK6897)</f>
        <v>52386</v>
      </c>
      <c r="AM6897" s="23">
        <f>_xll.qlIndexFixing(hiborindex,AK6897)</f>
        <v>7.5021383933404273E-3</v>
      </c>
    </row>
    <row r="6898" spans="37:39" x14ac:dyDescent="0.25">
      <c r="AK6898" s="21">
        <f>_xll.qlCalendarAdvance(calendar,AK6897,"1D")</f>
        <v>52385</v>
      </c>
      <c r="AL6898" s="21">
        <f>_xll.qlInterestRateIndexValueDate(hiborindex,AK6898)</f>
        <v>52387</v>
      </c>
      <c r="AM6898" s="23">
        <f>_xll.qlIndexFixing(hiborindex,AK6898)</f>
        <v>7.500560727893615E-3</v>
      </c>
    </row>
    <row r="6899" spans="37:39" x14ac:dyDescent="0.25">
      <c r="AK6899" s="21">
        <f>_xll.qlCalendarAdvance(calendar,AK6898,"1D")</f>
        <v>52386</v>
      </c>
      <c r="AL6899" s="21">
        <f>_xll.qlInterestRateIndexValueDate(hiborindex,AK6899)</f>
        <v>52390</v>
      </c>
      <c r="AM6899" s="23">
        <f>_xll.qlIndexFixing(hiborindex,AK6899)</f>
        <v>7.4970135113265821E-3</v>
      </c>
    </row>
    <row r="6900" spans="37:39" x14ac:dyDescent="0.25">
      <c r="AK6900" s="21">
        <f>_xll.qlCalendarAdvance(calendar,AK6899,"1D")</f>
        <v>52387</v>
      </c>
      <c r="AL6900" s="21">
        <f>_xll.qlInterestRateIndexValueDate(hiborindex,AK6900)</f>
        <v>52391</v>
      </c>
      <c r="AM6900" s="23">
        <f>_xll.qlIndexFixing(hiborindex,AK6900)</f>
        <v>7.4957317141226849E-3</v>
      </c>
    </row>
    <row r="6901" spans="37:39" x14ac:dyDescent="0.25">
      <c r="AK6901" s="21">
        <f>_xll.qlCalendarAdvance(calendar,AK6900,"1D")</f>
        <v>52390</v>
      </c>
      <c r="AL6901" s="21">
        <f>_xll.qlInterestRateIndexValueDate(hiborindex,AK6901)</f>
        <v>52392</v>
      </c>
      <c r="AM6901" s="23">
        <f>_xll.qlIndexFixing(hiborindex,AK6901)</f>
        <v>7.4944496862394865E-3</v>
      </c>
    </row>
    <row r="6902" spans="37:39" x14ac:dyDescent="0.25">
      <c r="AK6902" s="21">
        <f>_xll.qlCalendarAdvance(calendar,AK6901,"1D")</f>
        <v>52391</v>
      </c>
      <c r="AL6902" s="21">
        <f>_xll.qlInterestRateIndexValueDate(hiborindex,AK6902)</f>
        <v>52393</v>
      </c>
      <c r="AM6902" s="23">
        <f>_xll.qlIndexFixing(hiborindex,AK6902)</f>
        <v>7.493167427677425E-3</v>
      </c>
    </row>
    <row r="6903" spans="37:39" x14ac:dyDescent="0.25">
      <c r="AK6903" s="21">
        <f>_xll.qlCalendarAdvance(calendar,AK6902,"1D")</f>
        <v>52392</v>
      </c>
      <c r="AL6903" s="21">
        <f>_xll.qlInterestRateIndexValueDate(hiborindex,AK6903)</f>
        <v>52394</v>
      </c>
      <c r="AM6903" s="23">
        <f>_xll.qlIndexFixing(hiborindex,AK6903)</f>
        <v>7.4916738021136948E-3</v>
      </c>
    </row>
    <row r="6904" spans="37:39" x14ac:dyDescent="0.25">
      <c r="AK6904" s="21">
        <f>_xll.qlCalendarAdvance(calendar,AK6903,"1D")</f>
        <v>52393</v>
      </c>
      <c r="AL6904" s="21">
        <f>_xll.qlInterestRateIndexValueDate(hiborindex,AK6904)</f>
        <v>52397</v>
      </c>
      <c r="AM6904" s="23">
        <f>_xll.qlIndexFixing(hiborindex,AK6904)</f>
        <v>7.4880360866501471E-3</v>
      </c>
    </row>
    <row r="6905" spans="37:39" x14ac:dyDescent="0.25">
      <c r="AK6905" s="21">
        <f>_xll.qlCalendarAdvance(calendar,AK6904,"1D")</f>
        <v>52394</v>
      </c>
      <c r="AL6905" s="21">
        <f>_xll.qlInterestRateIndexValueDate(hiborindex,AK6905)</f>
        <v>52398</v>
      </c>
      <c r="AM6905" s="23">
        <f>_xll.qlIndexFixing(hiborindex,AK6905)</f>
        <v>7.4867526747007538E-3</v>
      </c>
    </row>
    <row r="6906" spans="37:39" x14ac:dyDescent="0.25">
      <c r="AK6906" s="21">
        <f>_xll.qlCalendarAdvance(calendar,AK6905,"1D")</f>
        <v>52397</v>
      </c>
      <c r="AL6906" s="21">
        <f>_xll.qlInterestRateIndexValueDate(hiborindex,AK6906)</f>
        <v>52399</v>
      </c>
      <c r="AM6906" s="23">
        <f>_xll.qlIndexFixing(hiborindex,AK6906)</f>
        <v>7.4854690320751175E-3</v>
      </c>
    </row>
    <row r="6907" spans="37:39" x14ac:dyDescent="0.25">
      <c r="AK6907" s="21">
        <f>_xll.qlCalendarAdvance(calendar,AK6906,"1D")</f>
        <v>52398</v>
      </c>
      <c r="AL6907" s="21">
        <f>_xll.qlInterestRateIndexValueDate(hiborindex,AK6907)</f>
        <v>52400</v>
      </c>
      <c r="AM6907" s="23">
        <f>_xll.qlIndexFixing(hiborindex,AK6907)</f>
        <v>7.4841851587741119E-3</v>
      </c>
    </row>
    <row r="6908" spans="37:39" x14ac:dyDescent="0.25">
      <c r="AK6908" s="21">
        <f>_xll.qlCalendarAdvance(calendar,AK6907,"1D")</f>
        <v>52399</v>
      </c>
      <c r="AL6908" s="21">
        <f>_xll.qlInterestRateIndexValueDate(hiborindex,AK6908)</f>
        <v>52401</v>
      </c>
      <c r="AM6908" s="23">
        <f>_xll.qlIndexFixing(hiborindex,AK6908)</f>
        <v>7.4827756949501717E-3</v>
      </c>
    </row>
    <row r="6909" spans="37:39" x14ac:dyDescent="0.25">
      <c r="AK6909" s="21">
        <f>_xll.qlCalendarAdvance(calendar,AK6908,"1D")</f>
        <v>52400</v>
      </c>
      <c r="AL6909" s="21">
        <f>_xll.qlInterestRateIndexValueDate(hiborindex,AK6909)</f>
        <v>52404</v>
      </c>
      <c r="AM6909" s="23">
        <f>_xll.qlIndexFixing(hiborindex,AK6909)</f>
        <v>7.4790473588211993E-3</v>
      </c>
    </row>
    <row r="6910" spans="37:39" x14ac:dyDescent="0.25">
      <c r="AK6910" s="21">
        <f>_xll.qlCalendarAdvance(calendar,AK6909,"1D")</f>
        <v>52401</v>
      </c>
      <c r="AL6910" s="21">
        <f>_xll.qlInterestRateIndexValueDate(hiborindex,AK6910)</f>
        <v>52405</v>
      </c>
      <c r="AM6910" s="23">
        <f>_xll.qlIndexFixing(hiborindex,AK6910)</f>
        <v>7.4777623321481508E-3</v>
      </c>
    </row>
    <row r="6911" spans="37:39" x14ac:dyDescent="0.25">
      <c r="AK6911" s="21">
        <f>_xll.qlCalendarAdvance(calendar,AK6910,"1D")</f>
        <v>52404</v>
      </c>
      <c r="AL6911" s="21">
        <f>_xll.qlInterestRateIndexValueDate(hiborindex,AK6911)</f>
        <v>52406</v>
      </c>
      <c r="AM6911" s="23">
        <f>_xll.qlIndexFixing(hiborindex,AK6911)</f>
        <v>7.4764770748027903E-3</v>
      </c>
    </row>
    <row r="6912" spans="37:39" x14ac:dyDescent="0.25">
      <c r="AK6912" s="21">
        <f>_xll.qlCalendarAdvance(calendar,AK6911,"1D")</f>
        <v>52405</v>
      </c>
      <c r="AL6912" s="21">
        <f>_xll.qlInterestRateIndexValueDate(hiborindex,AK6912)</f>
        <v>52407</v>
      </c>
      <c r="AM6912" s="23">
        <f>_xll.qlIndexFixing(hiborindex,AK6912)</f>
        <v>7.4751144691576777E-3</v>
      </c>
    </row>
    <row r="6913" spans="37:39" x14ac:dyDescent="0.25">
      <c r="AK6913" s="21">
        <f>_xll.qlCalendarAdvance(calendar,AK6912,"1D")</f>
        <v>52406</v>
      </c>
      <c r="AL6913" s="21">
        <f>_xll.qlInterestRateIndexValueDate(hiborindex,AK6913)</f>
        <v>52408</v>
      </c>
      <c r="AM6913" s="23">
        <f>_xll.qlIndexFixing(hiborindex,AK6913)</f>
        <v>7.4738664065555722E-3</v>
      </c>
    </row>
    <row r="6914" spans="37:39" x14ac:dyDescent="0.25">
      <c r="AK6914" s="21">
        <f>_xll.qlCalendarAdvance(calendar,AK6913,"1D")</f>
        <v>52407</v>
      </c>
      <c r="AL6914" s="21">
        <f>_xll.qlInterestRateIndexValueDate(hiborindex,AK6914)</f>
        <v>52411</v>
      </c>
      <c r="AM6914" s="23">
        <f>_xll.qlIndexFixing(hiborindex,AK6914)</f>
        <v>7.4700473279948063E-3</v>
      </c>
    </row>
    <row r="6915" spans="37:39" x14ac:dyDescent="0.25">
      <c r="AK6915" s="21">
        <f>_xll.qlCalendarAdvance(calendar,AK6914,"1D")</f>
        <v>52408</v>
      </c>
      <c r="AL6915" s="21">
        <f>_xll.qlInterestRateIndexValueDate(hiborindex,AK6915)</f>
        <v>52412</v>
      </c>
      <c r="AM6915" s="23">
        <f>_xll.qlIndexFixing(hiborindex,AK6915)</f>
        <v>7.4687655265419563E-3</v>
      </c>
    </row>
    <row r="6916" spans="37:39" x14ac:dyDescent="0.25">
      <c r="AK6916" s="21">
        <f>_xll.qlCalendarAdvance(calendar,AK6915,"1D")</f>
        <v>52411</v>
      </c>
      <c r="AL6916" s="21">
        <f>_xll.qlInterestRateIndexValueDate(hiborindex,AK6916)</f>
        <v>52413</v>
      </c>
      <c r="AM6916" s="23">
        <f>_xll.qlIndexFixing(hiborindex,AK6916)</f>
        <v>7.4686349491467413E-3</v>
      </c>
    </row>
    <row r="6917" spans="37:39" x14ac:dyDescent="0.25">
      <c r="AK6917" s="21">
        <f>_xll.qlCalendarAdvance(calendar,AK6916,"1D")</f>
        <v>52412</v>
      </c>
      <c r="AL6917" s="21">
        <f>_xll.qlInterestRateIndexValueDate(hiborindex,AK6917)</f>
        <v>52414</v>
      </c>
      <c r="AM6917" s="23">
        <f>_xll.qlIndexFixing(hiborindex,AK6917)</f>
        <v>7.468485035471365E-3</v>
      </c>
    </row>
    <row r="6918" spans="37:39" x14ac:dyDescent="0.25">
      <c r="AK6918" s="21">
        <f>_xll.qlCalendarAdvance(calendar,AK6917,"1D")</f>
        <v>52413</v>
      </c>
      <c r="AL6918" s="21">
        <f>_xll.qlInterestRateIndexValueDate(hiborindex,AK6918)</f>
        <v>52415</v>
      </c>
      <c r="AM6918" s="23">
        <f>_xll.qlIndexFixing(hiborindex,AK6918)</f>
        <v>7.4683351258706347E-3</v>
      </c>
    </row>
    <row r="6919" spans="37:39" x14ac:dyDescent="0.25">
      <c r="AK6919" s="21">
        <f>_xll.qlCalendarAdvance(calendar,AK6918,"1D")</f>
        <v>52414</v>
      </c>
      <c r="AL6919" s="21">
        <f>_xll.qlInterestRateIndexValueDate(hiborindex,AK6919)</f>
        <v>52418</v>
      </c>
      <c r="AM6919" s="23">
        <f>_xll.qlIndexFixing(hiborindex,AK6919)</f>
        <v>7.467895067310739E-3</v>
      </c>
    </row>
    <row r="6920" spans="37:39" x14ac:dyDescent="0.25">
      <c r="AK6920" s="21">
        <f>_xll.qlCalendarAdvance(calendar,AK6919,"1D")</f>
        <v>52415</v>
      </c>
      <c r="AL6920" s="21">
        <f>_xll.qlInterestRateIndexValueDate(hiborindex,AK6920)</f>
        <v>52419</v>
      </c>
      <c r="AM6920" s="23">
        <f>_xll.qlIndexFixing(hiborindex,AK6920)</f>
        <v>7.4677499908099264E-3</v>
      </c>
    </row>
    <row r="6921" spans="37:39" x14ac:dyDescent="0.25">
      <c r="AK6921" s="21">
        <f>_xll.qlCalendarAdvance(calendar,AK6920,"1D")</f>
        <v>52418</v>
      </c>
      <c r="AL6921" s="21">
        <f>_xll.qlInterestRateIndexValueDate(hiborindex,AK6921)</f>
        <v>52420</v>
      </c>
      <c r="AM6921" s="23">
        <f>_xll.qlIndexFixing(hiborindex,AK6921)</f>
        <v>7.4676049143195403E-3</v>
      </c>
    </row>
    <row r="6922" spans="37:39" x14ac:dyDescent="0.25">
      <c r="AK6922" s="21">
        <f>_xll.qlCalendarAdvance(calendar,AK6921,"1D")</f>
        <v>52419</v>
      </c>
      <c r="AL6922" s="21">
        <f>_xll.qlInterestRateIndexValueDate(hiborindex,AK6922)</f>
        <v>52421</v>
      </c>
      <c r="AM6922" s="23">
        <f>_xll.qlIndexFixing(hiborindex,AK6922)</f>
        <v>7.4674694579108221E-3</v>
      </c>
    </row>
    <row r="6923" spans="37:39" x14ac:dyDescent="0.25">
      <c r="AK6923" s="21">
        <f>_xll.qlCalendarAdvance(calendar,AK6922,"1D")</f>
        <v>52420</v>
      </c>
      <c r="AL6923" s="21">
        <f>_xll.qlInterestRateIndexValueDate(hiborindex,AK6923)</f>
        <v>52422</v>
      </c>
      <c r="AM6923" s="23">
        <f>_xll.qlIndexFixing(hiborindex,AK6923)</f>
        <v>7.467319569374656E-3</v>
      </c>
    </row>
    <row r="6924" spans="37:39" x14ac:dyDescent="0.25">
      <c r="AK6924" s="21">
        <f>_xll.qlCalendarAdvance(calendar,AK6923,"1D")</f>
        <v>52421</v>
      </c>
      <c r="AL6924" s="21">
        <f>_xll.qlInterestRateIndexValueDate(hiborindex,AK6924)</f>
        <v>52425</v>
      </c>
      <c r="AM6924" s="23">
        <f>_xll.qlIndexFixing(hiborindex,AK6924)</f>
        <v>7.4668795320287848E-3</v>
      </c>
    </row>
    <row r="6925" spans="37:39" x14ac:dyDescent="0.25">
      <c r="AK6925" s="26">
        <f>_xll.qlCalendarAdvance(calendar,AK6924,"1D")</f>
        <v>52422</v>
      </c>
      <c r="AL6925" s="26">
        <f>_xll.qlInterestRateIndexValueDate(hiborindex,AK6925)</f>
        <v>52426</v>
      </c>
      <c r="AM6925" s="31">
        <f>_xll.qlIndexFixing(hiborindex,AK6925)</f>
        <v>7.4667344556026954E-3</v>
      </c>
    </row>
  </sheetData>
  <dataValidations count="5">
    <dataValidation type="list" allowBlank="1" showInputMessage="1" showErrorMessage="1" sqref="Z2">
      <formula1>"DeskVola, SwapDesk"</formula1>
    </dataValidation>
    <dataValidation type="list" allowBlank="1" showInputMessage="1" showErrorMessage="1" sqref="V11">
      <formula1>"Linear, KrugerCubic, LogLinear, KrugerLogCubic"</formula1>
    </dataValidation>
    <dataValidation type="list" allowBlank="1" showInputMessage="1" showErrorMessage="1" sqref="V10">
      <formula1>"ZeroYield, Discount"</formula1>
    </dataValidation>
    <dataValidation type="list" allowBlank="1" showInputMessage="1" showErrorMessage="1" sqref="R3">
      <formula1>"TRUE, FALSE"</formula1>
    </dataValidation>
    <dataValidation type="list" allowBlank="1" showInputMessage="1" showErrorMessage="1" sqref="L4:L153">
      <formula1>"0, 0.01%"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" r:id="rId4" name="Button 261">
              <controlPr defaultSize="0" print="0" autoFill="0" autoPict="0" macro="[0]!_xludf.Copy">
                <anchor moveWithCells="1" sizeWithCells="1">
                  <from>
                    <xdr:col>18</xdr:col>
                    <xdr:colOff>95250</xdr:colOff>
                    <xdr:row>4</xdr:row>
                    <xdr:rowOff>104775</xdr:rowOff>
                  </from>
                  <to>
                    <xdr:col>19</xdr:col>
                    <xdr:colOff>571500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T61"/>
  <sheetViews>
    <sheetView showGridLines="0" workbookViewId="0">
      <selection activeCell="B3" sqref="B3"/>
    </sheetView>
  </sheetViews>
  <sheetFormatPr defaultRowHeight="13.5" x14ac:dyDescent="0.25"/>
  <cols>
    <col min="1" max="1" width="2.140625" style="8" bestFit="1" customWidth="1"/>
    <col min="2" max="2" width="19.5703125" style="8" bestFit="1" customWidth="1"/>
    <col min="3" max="3" width="10.140625" style="8" bestFit="1" customWidth="1"/>
    <col min="4" max="4" width="11.28515625" style="8" bestFit="1" customWidth="1"/>
    <col min="5" max="5" width="22" style="8" bestFit="1" customWidth="1"/>
    <col min="6" max="6" width="19.5703125" style="8" bestFit="1" customWidth="1"/>
    <col min="7" max="7" width="13.7109375" style="8" bestFit="1" customWidth="1"/>
    <col min="8" max="8" width="24.28515625" style="8" bestFit="1" customWidth="1"/>
    <col min="9" max="9" width="7.85546875" style="8" bestFit="1" customWidth="1"/>
    <col min="10" max="10" width="19.5703125" style="8" bestFit="1" customWidth="1"/>
    <col min="11" max="11" width="11.28515625" style="8" bestFit="1" customWidth="1"/>
    <col min="12" max="12" width="9" style="8" bestFit="1" customWidth="1"/>
    <col min="13" max="13" width="11.28515625" style="8" bestFit="1" customWidth="1"/>
    <col min="14" max="14" width="5.5703125" style="8" bestFit="1" customWidth="1"/>
    <col min="15" max="15" width="7.85546875" style="8" bestFit="1" customWidth="1"/>
    <col min="16" max="16" width="10.140625" style="8" bestFit="1" customWidth="1"/>
    <col min="17" max="18" width="9" style="8" bestFit="1" customWidth="1"/>
    <col min="19" max="19" width="5.5703125" style="8" bestFit="1" customWidth="1"/>
    <col min="20" max="20" width="14.85546875" style="8" bestFit="1" customWidth="1"/>
    <col min="21" max="21" width="13.7109375" style="8" bestFit="1" customWidth="1"/>
    <col min="22" max="27" width="5.7109375" style="8" bestFit="1" customWidth="1"/>
    <col min="28" max="16384" width="9.140625" style="8"/>
  </cols>
  <sheetData>
    <row r="2" spans="2:46" x14ac:dyDescent="0.25">
      <c r="B2" s="9" t="s">
        <v>102</v>
      </c>
      <c r="C2" s="9" t="s">
        <v>103</v>
      </c>
      <c r="D2" s="9" t="s">
        <v>104</v>
      </c>
      <c r="E2" s="9" t="s">
        <v>105</v>
      </c>
      <c r="F2" s="9" t="s">
        <v>106</v>
      </c>
      <c r="G2" s="9" t="s">
        <v>107</v>
      </c>
      <c r="H2" s="9" t="s">
        <v>108</v>
      </c>
    </row>
    <row r="3" spans="2:46" x14ac:dyDescent="0.25">
      <c r="B3" s="12" t="str">
        <f>SensCalc!Z5</f>
        <v>2Y</v>
      </c>
      <c r="C3" s="12" t="str">
        <f>"Swap"&amp;B3</f>
        <v>Swap2Y</v>
      </c>
      <c r="D3" s="37">
        <v>-1.209999999732589E-3</v>
      </c>
      <c r="E3" s="12" t="str">
        <f>SensCalc!Z6</f>
        <v>6M</v>
      </c>
      <c r="F3" s="12" t="s">
        <v>93</v>
      </c>
      <c r="G3" s="37">
        <v>0</v>
      </c>
      <c r="H3" s="12" t="str">
        <f>_xll.qlMakeVanillaSwap(C3,2,B3,hiborindex,D3,E3,F3,G3,engine)</f>
        <v>Swap2Y#0035</v>
      </c>
    </row>
    <row r="5" spans="2:46" ht="27" x14ac:dyDescent="0.25">
      <c r="B5" s="38" t="str">
        <f t="array" ref="B5:U31">_xll.qlSwapLegAnalysis(H3,1)</f>
        <v>Payment Date</v>
      </c>
      <c r="C5" s="38" t="str">
        <v>Amount</v>
      </c>
      <c r="D5" s="38" t="str">
        <v>Nominal</v>
      </c>
      <c r="E5" s="38" t="str">
        <v>Accrual Start Date</v>
      </c>
      <c r="F5" s="38" t="str">
        <v>Accrual End Date</v>
      </c>
      <c r="G5" s="38" t="str">
        <v>Accrual Days</v>
      </c>
      <c r="H5" s="38" t="str">
        <v>Index</v>
      </c>
      <c r="I5" s="38" t="str">
        <v>Fixing Days</v>
      </c>
      <c r="J5" s="38" t="str">
        <v>Fixing Dates</v>
      </c>
      <c r="K5" s="38" t="str">
        <v>Day Counter</v>
      </c>
      <c r="L5" s="38" t="str">
        <v>Accrual Period</v>
      </c>
      <c r="M5" s="38" t="str">
        <v>Effective Rate</v>
      </c>
      <c r="N5" s="38" t="str">
        <v>Floor</v>
      </c>
      <c r="O5" s="38" t="str">
        <v>Gearing</v>
      </c>
      <c r="P5" s="38" t="str">
        <v>Index Fixing</v>
      </c>
      <c r="Q5" s="38" t="str">
        <v>Conv. Adj.</v>
      </c>
      <c r="R5" s="38" t="str">
        <v>Spread</v>
      </c>
      <c r="S5" s="38" t="str">
        <v>Cap</v>
      </c>
      <c r="T5" s="38" t="str">
        <v>Call Digital Payoff</v>
      </c>
      <c r="U5" s="38" t="str">
        <v>Put Digital Payoff</v>
      </c>
      <c r="V5" s="53"/>
      <c r="W5" s="53"/>
      <c r="X5" s="53"/>
      <c r="Y5" s="53"/>
      <c r="Z5" s="53"/>
      <c r="AA5" s="53"/>
    </row>
    <row r="6" spans="2:46" ht="13.5" customHeight="1" x14ac:dyDescent="0.25">
      <c r="B6" s="39">
        <v>42916</v>
      </c>
      <c r="C6" s="40">
        <v>-1.0768333333622815E-3</v>
      </c>
      <c r="D6" s="40">
        <v>1</v>
      </c>
      <c r="E6" s="39">
        <v>42734</v>
      </c>
      <c r="F6" s="39">
        <v>42916</v>
      </c>
      <c r="G6" s="41">
        <v>182</v>
      </c>
      <c r="H6" s="42" t="str">
        <v>Euribor6M Actual/360</v>
      </c>
      <c r="I6" s="41">
        <v>2</v>
      </c>
      <c r="J6" s="39">
        <v>42732</v>
      </c>
      <c r="K6" s="41" t="str">
        <v>Actual/360</v>
      </c>
      <c r="L6" s="43">
        <v>0.50555555555555554</v>
      </c>
      <c r="M6" s="44">
        <v>-2.1300000000572601E-3</v>
      </c>
      <c r="N6" s="44" t="str">
        <v>#N/A</v>
      </c>
      <c r="O6" s="45">
        <v>1</v>
      </c>
      <c r="P6" s="44">
        <v>-2.1300000000572601E-3</v>
      </c>
      <c r="Q6" s="44">
        <v>0</v>
      </c>
      <c r="R6" s="44">
        <v>0</v>
      </c>
      <c r="S6" s="44" t="str">
        <v>#N/A</v>
      </c>
      <c r="T6" s="44" t="str">
        <v>#N/A</v>
      </c>
      <c r="U6" s="42" t="str">
        <v>#N/A</v>
      </c>
      <c r="V6" s="54"/>
      <c r="W6" s="54"/>
      <c r="X6" s="54"/>
      <c r="Y6" s="54"/>
      <c r="Z6" s="54"/>
      <c r="AA6" s="54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</row>
    <row r="7" spans="2:46" ht="13.5" customHeight="1" x14ac:dyDescent="0.25">
      <c r="B7" s="39">
        <v>43098</v>
      </c>
      <c r="C7" s="40">
        <v>-1.1779444444748322E-3</v>
      </c>
      <c r="D7" s="40">
        <v>1</v>
      </c>
      <c r="E7" s="39">
        <v>42916</v>
      </c>
      <c r="F7" s="39">
        <v>43098</v>
      </c>
      <c r="G7" s="41">
        <v>182</v>
      </c>
      <c r="H7" s="42" t="str">
        <v>Euribor6M Actual/360</v>
      </c>
      <c r="I7" s="41">
        <v>2</v>
      </c>
      <c r="J7" s="39">
        <v>42914</v>
      </c>
      <c r="K7" s="41" t="str">
        <v>Actual/360</v>
      </c>
      <c r="L7" s="43">
        <v>0.50555555555555554</v>
      </c>
      <c r="M7" s="44">
        <v>-2.3300000000601078E-3</v>
      </c>
      <c r="N7" s="44" t="str">
        <v>#N/A</v>
      </c>
      <c r="O7" s="45">
        <v>1</v>
      </c>
      <c r="P7" s="44">
        <v>-2.3300000000601078E-3</v>
      </c>
      <c r="Q7" s="44">
        <v>0</v>
      </c>
      <c r="R7" s="44">
        <v>0</v>
      </c>
      <c r="S7" s="44" t="str">
        <v>#N/A</v>
      </c>
      <c r="T7" s="44" t="str">
        <v>#N/A</v>
      </c>
      <c r="U7" s="42" t="str">
        <v>#N/A</v>
      </c>
      <c r="V7" s="54"/>
      <c r="W7" s="54"/>
      <c r="X7" s="54"/>
      <c r="Y7" s="54"/>
      <c r="Z7" s="54"/>
      <c r="AA7" s="54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</row>
    <row r="8" spans="2:46" ht="13.5" customHeight="1" x14ac:dyDescent="0.25">
      <c r="B8" s="39">
        <v>43280</v>
      </c>
      <c r="C8" s="40">
        <v>-1.2032222222834177E-3</v>
      </c>
      <c r="D8" s="40">
        <v>1</v>
      </c>
      <c r="E8" s="39">
        <v>43098</v>
      </c>
      <c r="F8" s="39">
        <v>43280</v>
      </c>
      <c r="G8" s="41">
        <v>182</v>
      </c>
      <c r="H8" s="42" t="str">
        <v>Euribor6M Actual/360</v>
      </c>
      <c r="I8" s="41">
        <v>2</v>
      </c>
      <c r="J8" s="39">
        <v>43096</v>
      </c>
      <c r="K8" s="41" t="str">
        <v>Actual/360</v>
      </c>
      <c r="L8" s="43">
        <v>0.50555555555555554</v>
      </c>
      <c r="M8" s="44">
        <v>-2.3800000001210461E-3</v>
      </c>
      <c r="N8" s="44" t="str">
        <v>#N/A</v>
      </c>
      <c r="O8" s="45">
        <v>1</v>
      </c>
      <c r="P8" s="44">
        <v>-2.3800000001210461E-3</v>
      </c>
      <c r="Q8" s="44">
        <v>0</v>
      </c>
      <c r="R8" s="44">
        <v>0</v>
      </c>
      <c r="S8" s="44" t="str">
        <v>#N/A</v>
      </c>
      <c r="T8" s="44" t="str">
        <v>#N/A</v>
      </c>
      <c r="U8" s="42" t="str">
        <v>#N/A</v>
      </c>
      <c r="V8" s="54"/>
      <c r="W8" s="54"/>
      <c r="X8" s="54"/>
      <c r="Y8" s="54"/>
      <c r="Z8" s="54"/>
      <c r="AA8" s="54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</row>
    <row r="9" spans="2:46" ht="13.5" customHeight="1" x14ac:dyDescent="0.25">
      <c r="B9" s="39">
        <v>43465</v>
      </c>
      <c r="C9" s="40">
        <v>-9.6749705363174954E-4</v>
      </c>
      <c r="D9" s="40">
        <v>1</v>
      </c>
      <c r="E9" s="39">
        <v>43280</v>
      </c>
      <c r="F9" s="39">
        <v>43465</v>
      </c>
      <c r="G9" s="41">
        <v>185</v>
      </c>
      <c r="H9" s="42" t="str">
        <v>Euribor6M Actual/360</v>
      </c>
      <c r="I9" s="41">
        <v>2</v>
      </c>
      <c r="J9" s="39">
        <v>43278</v>
      </c>
      <c r="K9" s="41" t="str">
        <v>Actual/360</v>
      </c>
      <c r="L9" s="43">
        <v>0.51388888888888884</v>
      </c>
      <c r="M9" s="44">
        <v>-1.8826969692293505E-3</v>
      </c>
      <c r="N9" s="44" t="str">
        <v>#N/A</v>
      </c>
      <c r="O9" s="45">
        <v>1</v>
      </c>
      <c r="P9" s="44">
        <v>-1.8826969692293505E-3</v>
      </c>
      <c r="Q9" s="44">
        <v>0</v>
      </c>
      <c r="R9" s="44">
        <v>0</v>
      </c>
      <c r="S9" s="44" t="str">
        <v>#N/A</v>
      </c>
      <c r="T9" s="44" t="str">
        <v>#N/A</v>
      </c>
      <c r="U9" s="42" t="str">
        <v>#N/A</v>
      </c>
      <c r="V9" s="54"/>
      <c r="W9" s="54"/>
      <c r="X9" s="54"/>
      <c r="Y9" s="54"/>
      <c r="Z9" s="54"/>
      <c r="AA9" s="54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</row>
    <row r="10" spans="2:46" ht="13.5" customHeight="1" x14ac:dyDescent="0.25">
      <c r="B10" s="39" t="e">
        <v>#N/A</v>
      </c>
      <c r="C10" s="40" t="e">
        <v>#N/A</v>
      </c>
      <c r="D10" s="40" t="e">
        <v>#N/A</v>
      </c>
      <c r="E10" s="39" t="e">
        <v>#N/A</v>
      </c>
      <c r="F10" s="39" t="e">
        <v>#N/A</v>
      </c>
      <c r="G10" s="41" t="e">
        <v>#N/A</v>
      </c>
      <c r="H10" s="42" t="e">
        <v>#N/A</v>
      </c>
      <c r="I10" s="41" t="e">
        <v>#N/A</v>
      </c>
      <c r="J10" s="39" t="e">
        <v>#N/A</v>
      </c>
      <c r="K10" s="41" t="e">
        <v>#N/A</v>
      </c>
      <c r="L10" s="43" t="e">
        <v>#N/A</v>
      </c>
      <c r="M10" s="44" t="e">
        <v>#N/A</v>
      </c>
      <c r="N10" s="44" t="e">
        <v>#N/A</v>
      </c>
      <c r="O10" s="45" t="e">
        <v>#N/A</v>
      </c>
      <c r="P10" s="44" t="e">
        <v>#N/A</v>
      </c>
      <c r="Q10" s="44" t="e">
        <v>#N/A</v>
      </c>
      <c r="R10" s="44" t="e">
        <v>#N/A</v>
      </c>
      <c r="S10" s="44" t="e">
        <v>#N/A</v>
      </c>
      <c r="T10" s="44" t="e">
        <v>#N/A</v>
      </c>
      <c r="U10" s="42" t="e">
        <v>#N/A</v>
      </c>
      <c r="V10" s="54"/>
      <c r="W10" s="54"/>
      <c r="X10" s="54"/>
      <c r="Y10" s="54"/>
      <c r="Z10" s="54"/>
      <c r="AA10" s="54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</row>
    <row r="11" spans="2:46" ht="13.5" customHeight="1" x14ac:dyDescent="0.25">
      <c r="B11" s="39" t="e">
        <v>#N/A</v>
      </c>
      <c r="C11" s="40" t="e">
        <v>#N/A</v>
      </c>
      <c r="D11" s="40" t="e">
        <v>#N/A</v>
      </c>
      <c r="E11" s="39" t="e">
        <v>#N/A</v>
      </c>
      <c r="F11" s="39" t="e">
        <v>#N/A</v>
      </c>
      <c r="G11" s="41" t="e">
        <v>#N/A</v>
      </c>
      <c r="H11" s="42" t="e">
        <v>#N/A</v>
      </c>
      <c r="I11" s="41" t="e">
        <v>#N/A</v>
      </c>
      <c r="J11" s="39" t="e">
        <v>#N/A</v>
      </c>
      <c r="K11" s="41" t="e">
        <v>#N/A</v>
      </c>
      <c r="L11" s="43" t="e">
        <v>#N/A</v>
      </c>
      <c r="M11" s="44" t="e">
        <v>#N/A</v>
      </c>
      <c r="N11" s="44" t="e">
        <v>#N/A</v>
      </c>
      <c r="O11" s="45" t="e">
        <v>#N/A</v>
      </c>
      <c r="P11" s="44" t="e">
        <v>#N/A</v>
      </c>
      <c r="Q11" s="44" t="e">
        <v>#N/A</v>
      </c>
      <c r="R11" s="44" t="e">
        <v>#N/A</v>
      </c>
      <c r="S11" s="44" t="e">
        <v>#N/A</v>
      </c>
      <c r="T11" s="44" t="e">
        <v>#N/A</v>
      </c>
      <c r="U11" s="42" t="e">
        <v>#N/A</v>
      </c>
      <c r="V11" s="54"/>
      <c r="W11" s="54"/>
      <c r="X11" s="54"/>
      <c r="Y11" s="54"/>
      <c r="Z11" s="54"/>
      <c r="AA11" s="54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</row>
    <row r="12" spans="2:46" ht="13.5" customHeight="1" x14ac:dyDescent="0.25">
      <c r="B12" s="39" t="e">
        <v>#N/A</v>
      </c>
      <c r="C12" s="40" t="e">
        <v>#N/A</v>
      </c>
      <c r="D12" s="40" t="e">
        <v>#N/A</v>
      </c>
      <c r="E12" s="39" t="e">
        <v>#N/A</v>
      </c>
      <c r="F12" s="39" t="e">
        <v>#N/A</v>
      </c>
      <c r="G12" s="41" t="e">
        <v>#N/A</v>
      </c>
      <c r="H12" s="42" t="e">
        <v>#N/A</v>
      </c>
      <c r="I12" s="41" t="e">
        <v>#N/A</v>
      </c>
      <c r="J12" s="39" t="e">
        <v>#N/A</v>
      </c>
      <c r="K12" s="41" t="e">
        <v>#N/A</v>
      </c>
      <c r="L12" s="43" t="e">
        <v>#N/A</v>
      </c>
      <c r="M12" s="44" t="e">
        <v>#N/A</v>
      </c>
      <c r="N12" s="44" t="e">
        <v>#N/A</v>
      </c>
      <c r="O12" s="45" t="e">
        <v>#N/A</v>
      </c>
      <c r="P12" s="44" t="e">
        <v>#N/A</v>
      </c>
      <c r="Q12" s="44" t="e">
        <v>#N/A</v>
      </c>
      <c r="R12" s="44" t="e">
        <v>#N/A</v>
      </c>
      <c r="S12" s="44" t="e">
        <v>#N/A</v>
      </c>
      <c r="T12" s="44" t="e">
        <v>#N/A</v>
      </c>
      <c r="U12" s="42" t="e">
        <v>#N/A</v>
      </c>
      <c r="V12" s="54"/>
      <c r="W12" s="54"/>
      <c r="X12" s="54"/>
      <c r="Y12" s="54"/>
      <c r="Z12" s="54"/>
      <c r="AA12" s="54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</row>
    <row r="13" spans="2:46" ht="13.5" customHeight="1" x14ac:dyDescent="0.25">
      <c r="B13" s="39" t="e">
        <v>#N/A</v>
      </c>
      <c r="C13" s="40" t="e">
        <v>#N/A</v>
      </c>
      <c r="D13" s="40" t="e">
        <v>#N/A</v>
      </c>
      <c r="E13" s="39" t="e">
        <v>#N/A</v>
      </c>
      <c r="F13" s="39" t="e">
        <v>#N/A</v>
      </c>
      <c r="G13" s="41" t="e">
        <v>#N/A</v>
      </c>
      <c r="H13" s="42" t="e">
        <v>#N/A</v>
      </c>
      <c r="I13" s="41" t="e">
        <v>#N/A</v>
      </c>
      <c r="J13" s="39" t="e">
        <v>#N/A</v>
      </c>
      <c r="K13" s="41" t="e">
        <v>#N/A</v>
      </c>
      <c r="L13" s="43" t="e">
        <v>#N/A</v>
      </c>
      <c r="M13" s="44" t="e">
        <v>#N/A</v>
      </c>
      <c r="N13" s="44" t="e">
        <v>#N/A</v>
      </c>
      <c r="O13" s="45" t="e">
        <v>#N/A</v>
      </c>
      <c r="P13" s="44" t="e">
        <v>#N/A</v>
      </c>
      <c r="Q13" s="44" t="e">
        <v>#N/A</v>
      </c>
      <c r="R13" s="44" t="e">
        <v>#N/A</v>
      </c>
      <c r="S13" s="44" t="e">
        <v>#N/A</v>
      </c>
      <c r="T13" s="44" t="e">
        <v>#N/A</v>
      </c>
      <c r="U13" s="42" t="e">
        <v>#N/A</v>
      </c>
      <c r="V13" s="54"/>
      <c r="W13" s="54"/>
      <c r="X13" s="54"/>
      <c r="Y13" s="54"/>
      <c r="Z13" s="54"/>
      <c r="AA13" s="54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</row>
    <row r="14" spans="2:46" ht="13.5" customHeight="1" x14ac:dyDescent="0.25">
      <c r="B14" s="39" t="e">
        <v>#N/A</v>
      </c>
      <c r="C14" s="40" t="e">
        <v>#N/A</v>
      </c>
      <c r="D14" s="40" t="e">
        <v>#N/A</v>
      </c>
      <c r="E14" s="39" t="e">
        <v>#N/A</v>
      </c>
      <c r="F14" s="39" t="e">
        <v>#N/A</v>
      </c>
      <c r="G14" s="41" t="e">
        <v>#N/A</v>
      </c>
      <c r="H14" s="42" t="e">
        <v>#N/A</v>
      </c>
      <c r="I14" s="41" t="e">
        <v>#N/A</v>
      </c>
      <c r="J14" s="39" t="e">
        <v>#N/A</v>
      </c>
      <c r="K14" s="41" t="e">
        <v>#N/A</v>
      </c>
      <c r="L14" s="43" t="e">
        <v>#N/A</v>
      </c>
      <c r="M14" s="44" t="e">
        <v>#N/A</v>
      </c>
      <c r="N14" s="44" t="e">
        <v>#N/A</v>
      </c>
      <c r="O14" s="45" t="e">
        <v>#N/A</v>
      </c>
      <c r="P14" s="44" t="e">
        <v>#N/A</v>
      </c>
      <c r="Q14" s="44" t="e">
        <v>#N/A</v>
      </c>
      <c r="R14" s="44" t="e">
        <v>#N/A</v>
      </c>
      <c r="S14" s="44" t="e">
        <v>#N/A</v>
      </c>
      <c r="T14" s="44" t="e">
        <v>#N/A</v>
      </c>
      <c r="U14" s="42" t="e">
        <v>#N/A</v>
      </c>
      <c r="V14" s="54"/>
      <c r="W14" s="54"/>
      <c r="X14" s="54"/>
      <c r="Y14" s="54"/>
      <c r="Z14" s="54"/>
      <c r="AA14" s="54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</row>
    <row r="15" spans="2:46" ht="13.5" customHeight="1" x14ac:dyDescent="0.25">
      <c r="B15" s="39" t="e">
        <v>#N/A</v>
      </c>
      <c r="C15" s="40" t="e">
        <v>#N/A</v>
      </c>
      <c r="D15" s="40" t="e">
        <v>#N/A</v>
      </c>
      <c r="E15" s="39" t="e">
        <v>#N/A</v>
      </c>
      <c r="F15" s="39" t="e">
        <v>#N/A</v>
      </c>
      <c r="G15" s="41" t="e">
        <v>#N/A</v>
      </c>
      <c r="H15" s="42" t="e">
        <v>#N/A</v>
      </c>
      <c r="I15" s="41" t="e">
        <v>#N/A</v>
      </c>
      <c r="J15" s="39" t="e">
        <v>#N/A</v>
      </c>
      <c r="K15" s="41" t="e">
        <v>#N/A</v>
      </c>
      <c r="L15" s="43" t="e">
        <v>#N/A</v>
      </c>
      <c r="M15" s="44" t="e">
        <v>#N/A</v>
      </c>
      <c r="N15" s="44" t="e">
        <v>#N/A</v>
      </c>
      <c r="O15" s="45" t="e">
        <v>#N/A</v>
      </c>
      <c r="P15" s="44" t="e">
        <v>#N/A</v>
      </c>
      <c r="Q15" s="44" t="e">
        <v>#N/A</v>
      </c>
      <c r="R15" s="44" t="e">
        <v>#N/A</v>
      </c>
      <c r="S15" s="44" t="e">
        <v>#N/A</v>
      </c>
      <c r="T15" s="44" t="e">
        <v>#N/A</v>
      </c>
      <c r="U15" s="42" t="e">
        <v>#N/A</v>
      </c>
      <c r="V15" s="54"/>
      <c r="W15" s="54"/>
      <c r="X15" s="54"/>
      <c r="Y15" s="54"/>
      <c r="Z15" s="54"/>
      <c r="AA15" s="54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</row>
    <row r="16" spans="2:46" ht="13.5" customHeight="1" x14ac:dyDescent="0.25">
      <c r="B16" s="39" t="e">
        <v>#N/A</v>
      </c>
      <c r="C16" s="40" t="e">
        <v>#N/A</v>
      </c>
      <c r="D16" s="40" t="e">
        <v>#N/A</v>
      </c>
      <c r="E16" s="39" t="e">
        <v>#N/A</v>
      </c>
      <c r="F16" s="39" t="e">
        <v>#N/A</v>
      </c>
      <c r="G16" s="41" t="e">
        <v>#N/A</v>
      </c>
      <c r="H16" s="42" t="e">
        <v>#N/A</v>
      </c>
      <c r="I16" s="41" t="e">
        <v>#N/A</v>
      </c>
      <c r="J16" s="39" t="e">
        <v>#N/A</v>
      </c>
      <c r="K16" s="41" t="e">
        <v>#N/A</v>
      </c>
      <c r="L16" s="43" t="e">
        <v>#N/A</v>
      </c>
      <c r="M16" s="44" t="e">
        <v>#N/A</v>
      </c>
      <c r="N16" s="44" t="e">
        <v>#N/A</v>
      </c>
      <c r="O16" s="45" t="e">
        <v>#N/A</v>
      </c>
      <c r="P16" s="44" t="e">
        <v>#N/A</v>
      </c>
      <c r="Q16" s="44" t="e">
        <v>#N/A</v>
      </c>
      <c r="R16" s="44" t="e">
        <v>#N/A</v>
      </c>
      <c r="S16" s="44" t="e">
        <v>#N/A</v>
      </c>
      <c r="T16" s="44" t="e">
        <v>#N/A</v>
      </c>
      <c r="U16" s="42" t="e">
        <v>#N/A</v>
      </c>
      <c r="V16" s="54"/>
      <c r="W16" s="54"/>
      <c r="X16" s="54"/>
      <c r="Y16" s="54"/>
      <c r="Z16" s="54"/>
      <c r="AA16" s="54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</row>
    <row r="17" spans="2:46" ht="13.5" customHeight="1" x14ac:dyDescent="0.25">
      <c r="B17" s="39" t="e">
        <v>#N/A</v>
      </c>
      <c r="C17" s="40" t="e">
        <v>#N/A</v>
      </c>
      <c r="D17" s="40" t="e">
        <v>#N/A</v>
      </c>
      <c r="E17" s="39" t="e">
        <v>#N/A</v>
      </c>
      <c r="F17" s="39" t="e">
        <v>#N/A</v>
      </c>
      <c r="G17" s="41" t="e">
        <v>#N/A</v>
      </c>
      <c r="H17" s="42" t="e">
        <v>#N/A</v>
      </c>
      <c r="I17" s="41" t="e">
        <v>#N/A</v>
      </c>
      <c r="J17" s="39" t="e">
        <v>#N/A</v>
      </c>
      <c r="K17" s="41" t="e">
        <v>#N/A</v>
      </c>
      <c r="L17" s="43" t="e">
        <v>#N/A</v>
      </c>
      <c r="M17" s="44" t="e">
        <v>#N/A</v>
      </c>
      <c r="N17" s="44" t="e">
        <v>#N/A</v>
      </c>
      <c r="O17" s="45" t="e">
        <v>#N/A</v>
      </c>
      <c r="P17" s="44" t="e">
        <v>#N/A</v>
      </c>
      <c r="Q17" s="44" t="e">
        <v>#N/A</v>
      </c>
      <c r="R17" s="44" t="e">
        <v>#N/A</v>
      </c>
      <c r="S17" s="44" t="e">
        <v>#N/A</v>
      </c>
      <c r="T17" s="44" t="e">
        <v>#N/A</v>
      </c>
      <c r="U17" s="42" t="e">
        <v>#N/A</v>
      </c>
      <c r="V17" s="54"/>
      <c r="W17" s="54"/>
      <c r="X17" s="54"/>
      <c r="Y17" s="54"/>
      <c r="Z17" s="54"/>
      <c r="AA17" s="54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</row>
    <row r="18" spans="2:46" ht="13.5" customHeight="1" x14ac:dyDescent="0.25">
      <c r="B18" s="39" t="e">
        <v>#N/A</v>
      </c>
      <c r="C18" s="40" t="e">
        <v>#N/A</v>
      </c>
      <c r="D18" s="40" t="e">
        <v>#N/A</v>
      </c>
      <c r="E18" s="39" t="e">
        <v>#N/A</v>
      </c>
      <c r="F18" s="39" t="e">
        <v>#N/A</v>
      </c>
      <c r="G18" s="41" t="e">
        <v>#N/A</v>
      </c>
      <c r="H18" s="42" t="e">
        <v>#N/A</v>
      </c>
      <c r="I18" s="41" t="e">
        <v>#N/A</v>
      </c>
      <c r="J18" s="39" t="e">
        <v>#N/A</v>
      </c>
      <c r="K18" s="41" t="e">
        <v>#N/A</v>
      </c>
      <c r="L18" s="43" t="e">
        <v>#N/A</v>
      </c>
      <c r="M18" s="44" t="e">
        <v>#N/A</v>
      </c>
      <c r="N18" s="44" t="e">
        <v>#N/A</v>
      </c>
      <c r="O18" s="45" t="e">
        <v>#N/A</v>
      </c>
      <c r="P18" s="44" t="e">
        <v>#N/A</v>
      </c>
      <c r="Q18" s="44" t="e">
        <v>#N/A</v>
      </c>
      <c r="R18" s="44" t="e">
        <v>#N/A</v>
      </c>
      <c r="S18" s="44" t="e">
        <v>#N/A</v>
      </c>
      <c r="T18" s="44" t="e">
        <v>#N/A</v>
      </c>
      <c r="U18" s="42" t="e">
        <v>#N/A</v>
      </c>
      <c r="V18" s="54"/>
      <c r="W18" s="54"/>
      <c r="X18" s="54"/>
      <c r="Y18" s="54"/>
      <c r="Z18" s="54"/>
      <c r="AA18" s="54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</row>
    <row r="19" spans="2:46" ht="13.5" customHeight="1" x14ac:dyDescent="0.25">
      <c r="B19" s="39" t="e">
        <v>#N/A</v>
      </c>
      <c r="C19" s="40" t="e">
        <v>#N/A</v>
      </c>
      <c r="D19" s="40" t="e">
        <v>#N/A</v>
      </c>
      <c r="E19" s="39" t="e">
        <v>#N/A</v>
      </c>
      <c r="F19" s="39" t="e">
        <v>#N/A</v>
      </c>
      <c r="G19" s="41" t="e">
        <v>#N/A</v>
      </c>
      <c r="H19" s="42" t="e">
        <v>#N/A</v>
      </c>
      <c r="I19" s="41" t="e">
        <v>#N/A</v>
      </c>
      <c r="J19" s="39" t="e">
        <v>#N/A</v>
      </c>
      <c r="K19" s="41" t="e">
        <v>#N/A</v>
      </c>
      <c r="L19" s="43" t="e">
        <v>#N/A</v>
      </c>
      <c r="M19" s="44" t="e">
        <v>#N/A</v>
      </c>
      <c r="N19" s="44" t="e">
        <v>#N/A</v>
      </c>
      <c r="O19" s="45" t="e">
        <v>#N/A</v>
      </c>
      <c r="P19" s="44" t="e">
        <v>#N/A</v>
      </c>
      <c r="Q19" s="44" t="e">
        <v>#N/A</v>
      </c>
      <c r="R19" s="44" t="e">
        <v>#N/A</v>
      </c>
      <c r="S19" s="44" t="e">
        <v>#N/A</v>
      </c>
      <c r="T19" s="44" t="e">
        <v>#N/A</v>
      </c>
      <c r="U19" s="42" t="e">
        <v>#N/A</v>
      </c>
      <c r="V19" s="54"/>
      <c r="W19" s="54"/>
      <c r="X19" s="54"/>
      <c r="Y19" s="54"/>
      <c r="Z19" s="54"/>
      <c r="AA19" s="54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</row>
    <row r="20" spans="2:46" ht="13.5" customHeight="1" x14ac:dyDescent="0.25">
      <c r="B20" s="39" t="e">
        <v>#N/A</v>
      </c>
      <c r="C20" s="40" t="e">
        <v>#N/A</v>
      </c>
      <c r="D20" s="40" t="e">
        <v>#N/A</v>
      </c>
      <c r="E20" s="39" t="e">
        <v>#N/A</v>
      </c>
      <c r="F20" s="39" t="e">
        <v>#N/A</v>
      </c>
      <c r="G20" s="41" t="e">
        <v>#N/A</v>
      </c>
      <c r="H20" s="42" t="e">
        <v>#N/A</v>
      </c>
      <c r="I20" s="41" t="e">
        <v>#N/A</v>
      </c>
      <c r="J20" s="39" t="e">
        <v>#N/A</v>
      </c>
      <c r="K20" s="41" t="e">
        <v>#N/A</v>
      </c>
      <c r="L20" s="43" t="e">
        <v>#N/A</v>
      </c>
      <c r="M20" s="44" t="e">
        <v>#N/A</v>
      </c>
      <c r="N20" s="44" t="e">
        <v>#N/A</v>
      </c>
      <c r="O20" s="45" t="e">
        <v>#N/A</v>
      </c>
      <c r="P20" s="44" t="e">
        <v>#N/A</v>
      </c>
      <c r="Q20" s="44" t="e">
        <v>#N/A</v>
      </c>
      <c r="R20" s="44" t="e">
        <v>#N/A</v>
      </c>
      <c r="S20" s="44" t="e">
        <v>#N/A</v>
      </c>
      <c r="T20" s="44" t="e">
        <v>#N/A</v>
      </c>
      <c r="U20" s="42" t="e">
        <v>#N/A</v>
      </c>
      <c r="V20" s="54"/>
      <c r="W20" s="54"/>
      <c r="X20" s="54"/>
      <c r="Y20" s="54"/>
      <c r="Z20" s="54"/>
      <c r="AA20" s="54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</row>
    <row r="21" spans="2:46" ht="13.5" customHeight="1" x14ac:dyDescent="0.25">
      <c r="B21" s="39" t="e">
        <v>#N/A</v>
      </c>
      <c r="C21" s="40" t="e">
        <v>#N/A</v>
      </c>
      <c r="D21" s="40" t="e">
        <v>#N/A</v>
      </c>
      <c r="E21" s="39" t="e">
        <v>#N/A</v>
      </c>
      <c r="F21" s="39" t="e">
        <v>#N/A</v>
      </c>
      <c r="G21" s="41" t="e">
        <v>#N/A</v>
      </c>
      <c r="H21" s="42" t="e">
        <v>#N/A</v>
      </c>
      <c r="I21" s="41" t="e">
        <v>#N/A</v>
      </c>
      <c r="J21" s="39" t="e">
        <v>#N/A</v>
      </c>
      <c r="K21" s="41" t="e">
        <v>#N/A</v>
      </c>
      <c r="L21" s="43" t="e">
        <v>#N/A</v>
      </c>
      <c r="M21" s="44" t="e">
        <v>#N/A</v>
      </c>
      <c r="N21" s="44" t="e">
        <v>#N/A</v>
      </c>
      <c r="O21" s="45" t="e">
        <v>#N/A</v>
      </c>
      <c r="P21" s="44" t="e">
        <v>#N/A</v>
      </c>
      <c r="Q21" s="44" t="e">
        <v>#N/A</v>
      </c>
      <c r="R21" s="44" t="e">
        <v>#N/A</v>
      </c>
      <c r="S21" s="44" t="e">
        <v>#N/A</v>
      </c>
      <c r="T21" s="44" t="e">
        <v>#N/A</v>
      </c>
      <c r="U21" s="42" t="e">
        <v>#N/A</v>
      </c>
      <c r="V21" s="54"/>
      <c r="W21" s="54"/>
      <c r="X21" s="54"/>
      <c r="Y21" s="54"/>
      <c r="Z21" s="54"/>
      <c r="AA21" s="54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</row>
    <row r="22" spans="2:46" ht="13.5" customHeight="1" x14ac:dyDescent="0.25">
      <c r="B22" s="39" t="e">
        <v>#N/A</v>
      </c>
      <c r="C22" s="40" t="e">
        <v>#N/A</v>
      </c>
      <c r="D22" s="40" t="e">
        <v>#N/A</v>
      </c>
      <c r="E22" s="39" t="e">
        <v>#N/A</v>
      </c>
      <c r="F22" s="39" t="e">
        <v>#N/A</v>
      </c>
      <c r="G22" s="41" t="e">
        <v>#N/A</v>
      </c>
      <c r="H22" s="42" t="e">
        <v>#N/A</v>
      </c>
      <c r="I22" s="41" t="e">
        <v>#N/A</v>
      </c>
      <c r="J22" s="39" t="e">
        <v>#N/A</v>
      </c>
      <c r="K22" s="41" t="e">
        <v>#N/A</v>
      </c>
      <c r="L22" s="43" t="e">
        <v>#N/A</v>
      </c>
      <c r="M22" s="44" t="e">
        <v>#N/A</v>
      </c>
      <c r="N22" s="44" t="e">
        <v>#N/A</v>
      </c>
      <c r="O22" s="45" t="e">
        <v>#N/A</v>
      </c>
      <c r="P22" s="44" t="e">
        <v>#N/A</v>
      </c>
      <c r="Q22" s="44" t="e">
        <v>#N/A</v>
      </c>
      <c r="R22" s="44" t="e">
        <v>#N/A</v>
      </c>
      <c r="S22" s="44" t="e">
        <v>#N/A</v>
      </c>
      <c r="T22" s="44" t="e">
        <v>#N/A</v>
      </c>
      <c r="U22" s="42" t="e">
        <v>#N/A</v>
      </c>
      <c r="V22" s="54"/>
      <c r="W22" s="54"/>
      <c r="X22" s="54"/>
      <c r="Y22" s="54"/>
      <c r="Z22" s="54"/>
      <c r="AA22" s="54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</row>
    <row r="23" spans="2:46" ht="13.5" customHeight="1" x14ac:dyDescent="0.25">
      <c r="B23" s="39" t="e">
        <v>#N/A</v>
      </c>
      <c r="C23" s="40" t="e">
        <v>#N/A</v>
      </c>
      <c r="D23" s="40" t="e">
        <v>#N/A</v>
      </c>
      <c r="E23" s="39" t="e">
        <v>#N/A</v>
      </c>
      <c r="F23" s="39" t="e">
        <v>#N/A</v>
      </c>
      <c r="G23" s="41" t="e">
        <v>#N/A</v>
      </c>
      <c r="H23" s="42" t="e">
        <v>#N/A</v>
      </c>
      <c r="I23" s="41" t="e">
        <v>#N/A</v>
      </c>
      <c r="J23" s="39" t="e">
        <v>#N/A</v>
      </c>
      <c r="K23" s="41" t="e">
        <v>#N/A</v>
      </c>
      <c r="L23" s="43" t="e">
        <v>#N/A</v>
      </c>
      <c r="M23" s="44" t="e">
        <v>#N/A</v>
      </c>
      <c r="N23" s="44" t="e">
        <v>#N/A</v>
      </c>
      <c r="O23" s="45" t="e">
        <v>#N/A</v>
      </c>
      <c r="P23" s="44" t="e">
        <v>#N/A</v>
      </c>
      <c r="Q23" s="44" t="e">
        <v>#N/A</v>
      </c>
      <c r="R23" s="44" t="e">
        <v>#N/A</v>
      </c>
      <c r="S23" s="44" t="e">
        <v>#N/A</v>
      </c>
      <c r="T23" s="44" t="e">
        <v>#N/A</v>
      </c>
      <c r="U23" s="42" t="e">
        <v>#N/A</v>
      </c>
      <c r="V23" s="54"/>
      <c r="W23" s="54"/>
      <c r="X23" s="54"/>
      <c r="Y23" s="54"/>
      <c r="Z23" s="54"/>
      <c r="AA23" s="54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</row>
    <row r="24" spans="2:46" ht="13.5" customHeight="1" x14ac:dyDescent="0.25">
      <c r="B24" s="39" t="e">
        <v>#N/A</v>
      </c>
      <c r="C24" s="40" t="e">
        <v>#N/A</v>
      </c>
      <c r="D24" s="40" t="e">
        <v>#N/A</v>
      </c>
      <c r="E24" s="39" t="e">
        <v>#N/A</v>
      </c>
      <c r="F24" s="39" t="e">
        <v>#N/A</v>
      </c>
      <c r="G24" s="41" t="e">
        <v>#N/A</v>
      </c>
      <c r="H24" s="42" t="e">
        <v>#N/A</v>
      </c>
      <c r="I24" s="41" t="e">
        <v>#N/A</v>
      </c>
      <c r="J24" s="39" t="e">
        <v>#N/A</v>
      </c>
      <c r="K24" s="41" t="e">
        <v>#N/A</v>
      </c>
      <c r="L24" s="43" t="e">
        <v>#N/A</v>
      </c>
      <c r="M24" s="44" t="e">
        <v>#N/A</v>
      </c>
      <c r="N24" s="44" t="e">
        <v>#N/A</v>
      </c>
      <c r="O24" s="45" t="e">
        <v>#N/A</v>
      </c>
      <c r="P24" s="44" t="e">
        <v>#N/A</v>
      </c>
      <c r="Q24" s="44" t="e">
        <v>#N/A</v>
      </c>
      <c r="R24" s="44" t="e">
        <v>#N/A</v>
      </c>
      <c r="S24" s="44" t="e">
        <v>#N/A</v>
      </c>
      <c r="T24" s="44" t="e">
        <v>#N/A</v>
      </c>
      <c r="U24" s="42" t="e">
        <v>#N/A</v>
      </c>
      <c r="V24" s="54"/>
      <c r="W24" s="54"/>
      <c r="X24" s="54"/>
      <c r="Y24" s="54"/>
      <c r="Z24" s="54"/>
      <c r="AA24" s="54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</row>
    <row r="25" spans="2:46" ht="13.5" customHeight="1" x14ac:dyDescent="0.25">
      <c r="B25" s="39" t="e">
        <v>#N/A</v>
      </c>
      <c r="C25" s="40" t="e">
        <v>#N/A</v>
      </c>
      <c r="D25" s="40" t="e">
        <v>#N/A</v>
      </c>
      <c r="E25" s="39" t="e">
        <v>#N/A</v>
      </c>
      <c r="F25" s="39" t="e">
        <v>#N/A</v>
      </c>
      <c r="G25" s="41" t="e">
        <v>#N/A</v>
      </c>
      <c r="H25" s="42" t="e">
        <v>#N/A</v>
      </c>
      <c r="I25" s="41" t="e">
        <v>#N/A</v>
      </c>
      <c r="J25" s="39" t="e">
        <v>#N/A</v>
      </c>
      <c r="K25" s="41" t="e">
        <v>#N/A</v>
      </c>
      <c r="L25" s="43" t="e">
        <v>#N/A</v>
      </c>
      <c r="M25" s="44" t="e">
        <v>#N/A</v>
      </c>
      <c r="N25" s="44" t="e">
        <v>#N/A</v>
      </c>
      <c r="O25" s="45" t="e">
        <v>#N/A</v>
      </c>
      <c r="P25" s="44" t="e">
        <v>#N/A</v>
      </c>
      <c r="Q25" s="44" t="e">
        <v>#N/A</v>
      </c>
      <c r="R25" s="44" t="e">
        <v>#N/A</v>
      </c>
      <c r="S25" s="44" t="e">
        <v>#N/A</v>
      </c>
      <c r="T25" s="44" t="e">
        <v>#N/A</v>
      </c>
      <c r="U25" s="42" t="e">
        <v>#N/A</v>
      </c>
      <c r="V25" s="54"/>
      <c r="W25" s="54"/>
      <c r="X25" s="54"/>
      <c r="Y25" s="54"/>
      <c r="Z25" s="54"/>
      <c r="AA25" s="54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</row>
    <row r="26" spans="2:46" ht="13.5" customHeight="1" x14ac:dyDescent="0.25">
      <c r="B26" s="39" t="e">
        <v>#N/A</v>
      </c>
      <c r="C26" s="40" t="e">
        <v>#N/A</v>
      </c>
      <c r="D26" s="40" t="e">
        <v>#N/A</v>
      </c>
      <c r="E26" s="39" t="e">
        <v>#N/A</v>
      </c>
      <c r="F26" s="39" t="e">
        <v>#N/A</v>
      </c>
      <c r="G26" s="41" t="e">
        <v>#N/A</v>
      </c>
      <c r="H26" s="42" t="e">
        <v>#N/A</v>
      </c>
      <c r="I26" s="41" t="e">
        <v>#N/A</v>
      </c>
      <c r="J26" s="39" t="e">
        <v>#N/A</v>
      </c>
      <c r="K26" s="41" t="e">
        <v>#N/A</v>
      </c>
      <c r="L26" s="43" t="e">
        <v>#N/A</v>
      </c>
      <c r="M26" s="44" t="e">
        <v>#N/A</v>
      </c>
      <c r="N26" s="44" t="e">
        <v>#N/A</v>
      </c>
      <c r="O26" s="45" t="e">
        <v>#N/A</v>
      </c>
      <c r="P26" s="44" t="e">
        <v>#N/A</v>
      </c>
      <c r="Q26" s="44" t="e">
        <v>#N/A</v>
      </c>
      <c r="R26" s="44" t="e">
        <v>#N/A</v>
      </c>
      <c r="S26" s="44" t="e">
        <v>#N/A</v>
      </c>
      <c r="T26" s="44" t="e">
        <v>#N/A</v>
      </c>
      <c r="U26" s="42" t="e">
        <v>#N/A</v>
      </c>
      <c r="V26" s="54"/>
      <c r="W26" s="54"/>
      <c r="X26" s="54"/>
      <c r="Y26" s="54"/>
      <c r="Z26" s="54"/>
      <c r="AA26" s="54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</row>
    <row r="27" spans="2:46" ht="13.5" customHeight="1" x14ac:dyDescent="0.25">
      <c r="B27" s="39" t="e">
        <v>#N/A</v>
      </c>
      <c r="C27" s="40" t="e">
        <v>#N/A</v>
      </c>
      <c r="D27" s="40" t="e">
        <v>#N/A</v>
      </c>
      <c r="E27" s="39" t="e">
        <v>#N/A</v>
      </c>
      <c r="F27" s="39" t="e">
        <v>#N/A</v>
      </c>
      <c r="G27" s="41" t="e">
        <v>#N/A</v>
      </c>
      <c r="H27" s="42" t="e">
        <v>#N/A</v>
      </c>
      <c r="I27" s="41" t="e">
        <v>#N/A</v>
      </c>
      <c r="J27" s="39" t="e">
        <v>#N/A</v>
      </c>
      <c r="K27" s="41" t="e">
        <v>#N/A</v>
      </c>
      <c r="L27" s="43" t="e">
        <v>#N/A</v>
      </c>
      <c r="M27" s="44" t="e">
        <v>#N/A</v>
      </c>
      <c r="N27" s="44" t="e">
        <v>#N/A</v>
      </c>
      <c r="O27" s="45" t="e">
        <v>#N/A</v>
      </c>
      <c r="P27" s="44" t="e">
        <v>#N/A</v>
      </c>
      <c r="Q27" s="44" t="e">
        <v>#N/A</v>
      </c>
      <c r="R27" s="44" t="e">
        <v>#N/A</v>
      </c>
      <c r="S27" s="44" t="e">
        <v>#N/A</v>
      </c>
      <c r="T27" s="44" t="e">
        <v>#N/A</v>
      </c>
      <c r="U27" s="42" t="e">
        <v>#N/A</v>
      </c>
      <c r="V27" s="54"/>
      <c r="W27" s="54"/>
      <c r="X27" s="54"/>
      <c r="Y27" s="54"/>
      <c r="Z27" s="54"/>
      <c r="AA27" s="54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</row>
    <row r="28" spans="2:46" ht="13.5" customHeight="1" x14ac:dyDescent="0.25">
      <c r="B28" s="39" t="e">
        <v>#N/A</v>
      </c>
      <c r="C28" s="40" t="e">
        <v>#N/A</v>
      </c>
      <c r="D28" s="40" t="e">
        <v>#N/A</v>
      </c>
      <c r="E28" s="39" t="e">
        <v>#N/A</v>
      </c>
      <c r="F28" s="39" t="e">
        <v>#N/A</v>
      </c>
      <c r="G28" s="41" t="e">
        <v>#N/A</v>
      </c>
      <c r="H28" s="42" t="e">
        <v>#N/A</v>
      </c>
      <c r="I28" s="41" t="e">
        <v>#N/A</v>
      </c>
      <c r="J28" s="39" t="e">
        <v>#N/A</v>
      </c>
      <c r="K28" s="41" t="e">
        <v>#N/A</v>
      </c>
      <c r="L28" s="43" t="e">
        <v>#N/A</v>
      </c>
      <c r="M28" s="44" t="e">
        <v>#N/A</v>
      </c>
      <c r="N28" s="44" t="e">
        <v>#N/A</v>
      </c>
      <c r="O28" s="45" t="e">
        <v>#N/A</v>
      </c>
      <c r="P28" s="44" t="e">
        <v>#N/A</v>
      </c>
      <c r="Q28" s="44" t="e">
        <v>#N/A</v>
      </c>
      <c r="R28" s="44" t="e">
        <v>#N/A</v>
      </c>
      <c r="S28" s="44" t="e">
        <v>#N/A</v>
      </c>
      <c r="T28" s="44" t="e">
        <v>#N/A</v>
      </c>
      <c r="U28" s="42" t="e">
        <v>#N/A</v>
      </c>
      <c r="V28" s="54"/>
      <c r="W28" s="54"/>
      <c r="X28" s="54"/>
      <c r="Y28" s="54"/>
      <c r="Z28" s="54"/>
      <c r="AA28" s="54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</row>
    <row r="29" spans="2:46" ht="13.5" customHeight="1" x14ac:dyDescent="0.25">
      <c r="B29" s="39" t="e">
        <v>#N/A</v>
      </c>
      <c r="C29" s="40" t="e">
        <v>#N/A</v>
      </c>
      <c r="D29" s="40" t="e">
        <v>#N/A</v>
      </c>
      <c r="E29" s="39" t="e">
        <v>#N/A</v>
      </c>
      <c r="F29" s="39" t="e">
        <v>#N/A</v>
      </c>
      <c r="G29" s="41" t="e">
        <v>#N/A</v>
      </c>
      <c r="H29" s="42" t="e">
        <v>#N/A</v>
      </c>
      <c r="I29" s="41" t="e">
        <v>#N/A</v>
      </c>
      <c r="J29" s="39" t="e">
        <v>#N/A</v>
      </c>
      <c r="K29" s="41" t="e">
        <v>#N/A</v>
      </c>
      <c r="L29" s="43" t="e">
        <v>#N/A</v>
      </c>
      <c r="M29" s="44" t="e">
        <v>#N/A</v>
      </c>
      <c r="N29" s="44" t="e">
        <v>#N/A</v>
      </c>
      <c r="O29" s="45" t="e">
        <v>#N/A</v>
      </c>
      <c r="P29" s="44" t="e">
        <v>#N/A</v>
      </c>
      <c r="Q29" s="44" t="e">
        <v>#N/A</v>
      </c>
      <c r="R29" s="44" t="e">
        <v>#N/A</v>
      </c>
      <c r="S29" s="44" t="e">
        <v>#N/A</v>
      </c>
      <c r="T29" s="44" t="e">
        <v>#N/A</v>
      </c>
      <c r="U29" s="42" t="e">
        <v>#N/A</v>
      </c>
      <c r="V29" s="54"/>
      <c r="W29" s="54"/>
      <c r="X29" s="54"/>
      <c r="Y29" s="54"/>
      <c r="Z29" s="54"/>
      <c r="AA29" s="54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</row>
    <row r="30" spans="2:46" ht="13.5" customHeight="1" x14ac:dyDescent="0.25">
      <c r="B30" s="39" t="e">
        <v>#N/A</v>
      </c>
      <c r="C30" s="40" t="e">
        <v>#N/A</v>
      </c>
      <c r="D30" s="40" t="e">
        <v>#N/A</v>
      </c>
      <c r="E30" s="39" t="e">
        <v>#N/A</v>
      </c>
      <c r="F30" s="39" t="e">
        <v>#N/A</v>
      </c>
      <c r="G30" s="41" t="e">
        <v>#N/A</v>
      </c>
      <c r="H30" s="42" t="e">
        <v>#N/A</v>
      </c>
      <c r="I30" s="41" t="e">
        <v>#N/A</v>
      </c>
      <c r="J30" s="39" t="e">
        <v>#N/A</v>
      </c>
      <c r="K30" s="41" t="e">
        <v>#N/A</v>
      </c>
      <c r="L30" s="43" t="e">
        <v>#N/A</v>
      </c>
      <c r="M30" s="44" t="e">
        <v>#N/A</v>
      </c>
      <c r="N30" s="44" t="e">
        <v>#N/A</v>
      </c>
      <c r="O30" s="45" t="e">
        <v>#N/A</v>
      </c>
      <c r="P30" s="44" t="e">
        <v>#N/A</v>
      </c>
      <c r="Q30" s="44" t="e">
        <v>#N/A</v>
      </c>
      <c r="R30" s="44" t="e">
        <v>#N/A</v>
      </c>
      <c r="S30" s="44" t="e">
        <v>#N/A</v>
      </c>
      <c r="T30" s="44" t="e">
        <v>#N/A</v>
      </c>
      <c r="U30" s="42" t="e">
        <v>#N/A</v>
      </c>
      <c r="V30" s="54"/>
      <c r="W30" s="54"/>
      <c r="X30" s="54"/>
      <c r="Y30" s="54"/>
      <c r="Z30" s="54"/>
      <c r="AA30" s="54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</row>
    <row r="31" spans="2:46" ht="13.5" customHeight="1" x14ac:dyDescent="0.25">
      <c r="B31" s="46" t="e">
        <v>#N/A</v>
      </c>
      <c r="C31" s="47" t="e">
        <v>#N/A</v>
      </c>
      <c r="D31" s="47" t="e">
        <v>#N/A</v>
      </c>
      <c r="E31" s="46" t="e">
        <v>#N/A</v>
      </c>
      <c r="F31" s="46" t="e">
        <v>#N/A</v>
      </c>
      <c r="G31" s="48" t="e">
        <v>#N/A</v>
      </c>
      <c r="H31" s="49" t="e">
        <v>#N/A</v>
      </c>
      <c r="I31" s="48" t="e">
        <v>#N/A</v>
      </c>
      <c r="J31" s="46" t="e">
        <v>#N/A</v>
      </c>
      <c r="K31" s="48" t="e">
        <v>#N/A</v>
      </c>
      <c r="L31" s="50" t="e">
        <v>#N/A</v>
      </c>
      <c r="M31" s="51" t="e">
        <v>#N/A</v>
      </c>
      <c r="N31" s="51" t="e">
        <v>#N/A</v>
      </c>
      <c r="O31" s="52" t="e">
        <v>#N/A</v>
      </c>
      <c r="P31" s="51" t="e">
        <v>#N/A</v>
      </c>
      <c r="Q31" s="51" t="e">
        <v>#N/A</v>
      </c>
      <c r="R31" s="51" t="e">
        <v>#N/A</v>
      </c>
      <c r="S31" s="51" t="e">
        <v>#N/A</v>
      </c>
      <c r="T31" s="51" t="e">
        <v>#N/A</v>
      </c>
      <c r="U31" s="49" t="e">
        <v>#N/A</v>
      </c>
      <c r="V31" s="54"/>
      <c r="W31" s="54"/>
      <c r="X31" s="54"/>
      <c r="Y31" s="54"/>
      <c r="Z31" s="54"/>
      <c r="AA31" s="54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</row>
    <row r="32" spans="2:46" x14ac:dyDescent="0.25">
      <c r="B32" s="56"/>
      <c r="C32" s="57"/>
      <c r="D32" s="57"/>
      <c r="E32" s="56"/>
      <c r="F32" s="56"/>
      <c r="G32" s="58"/>
      <c r="H32" s="55"/>
      <c r="I32" s="58"/>
      <c r="J32" s="56"/>
      <c r="K32" s="58"/>
      <c r="L32" s="59"/>
      <c r="M32" s="60"/>
      <c r="N32" s="60"/>
      <c r="O32" s="61"/>
      <c r="P32" s="60"/>
      <c r="Q32" s="60"/>
      <c r="R32" s="60"/>
      <c r="S32" s="60"/>
      <c r="T32" s="60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</row>
    <row r="34" spans="1:46" ht="27" x14ac:dyDescent="0.25">
      <c r="B34" s="38" t="s">
        <v>110</v>
      </c>
      <c r="C34" s="38" t="s">
        <v>111</v>
      </c>
      <c r="D34" s="38" t="s">
        <v>112</v>
      </c>
      <c r="E34" s="38" t="s">
        <v>113</v>
      </c>
      <c r="F34" s="38" t="s">
        <v>114</v>
      </c>
      <c r="G34" s="38" t="s">
        <v>115</v>
      </c>
      <c r="H34" s="38" t="s">
        <v>116</v>
      </c>
      <c r="I34" s="38" t="s">
        <v>117</v>
      </c>
      <c r="J34" s="38" t="s">
        <v>118</v>
      </c>
      <c r="K34" s="38" t="s">
        <v>119</v>
      </c>
      <c r="L34" s="38" t="s">
        <v>120</v>
      </c>
      <c r="M34" s="38" t="s">
        <v>121</v>
      </c>
      <c r="N34" s="38" t="s">
        <v>122</v>
      </c>
      <c r="O34" s="38" t="s">
        <v>123</v>
      </c>
      <c r="P34" s="38" t="s">
        <v>124</v>
      </c>
      <c r="Q34" s="38" t="s">
        <v>125</v>
      </c>
      <c r="R34" s="38" t="s">
        <v>126</v>
      </c>
      <c r="S34" s="38" t="s">
        <v>127</v>
      </c>
      <c r="T34" s="38" t="s">
        <v>128</v>
      </c>
      <c r="U34" s="38" t="s">
        <v>129</v>
      </c>
      <c r="V34" s="53"/>
      <c r="W34" s="53"/>
      <c r="X34" s="53"/>
      <c r="Y34" s="53"/>
      <c r="Z34" s="53"/>
      <c r="AA34" s="53"/>
    </row>
    <row r="35" spans="1:46" ht="13.5" customHeight="1" x14ac:dyDescent="0.25">
      <c r="B35" s="39">
        <v>42916</v>
      </c>
      <c r="C35" s="40">
        <v>-1.0768242548359064E-3</v>
      </c>
      <c r="D35" s="40">
        <v>1</v>
      </c>
      <c r="E35" s="39">
        <v>42734</v>
      </c>
      <c r="F35" s="39">
        <v>42916</v>
      </c>
      <c r="G35" s="41">
        <v>182</v>
      </c>
      <c r="H35" s="42" t="s">
        <v>193</v>
      </c>
      <c r="I35" s="41">
        <v>2</v>
      </c>
      <c r="J35" s="39">
        <v>42732</v>
      </c>
      <c r="K35" s="41" t="s">
        <v>93</v>
      </c>
      <c r="L35" s="43">
        <v>0.50555555555555554</v>
      </c>
      <c r="M35" s="44">
        <v>-2.129982042532562E-3</v>
      </c>
      <c r="N35" s="44" t="s">
        <v>130</v>
      </c>
      <c r="O35" s="45">
        <v>1</v>
      </c>
      <c r="P35" s="44">
        <v>-2.129982042532562E-3</v>
      </c>
      <c r="Q35" s="44">
        <v>0</v>
      </c>
      <c r="R35" s="44">
        <v>0</v>
      </c>
      <c r="S35" s="44" t="s">
        <v>130</v>
      </c>
      <c r="T35" s="44" t="s">
        <v>130</v>
      </c>
      <c r="U35" s="42" t="s">
        <v>130</v>
      </c>
      <c r="V35" s="54"/>
      <c r="W35" s="54"/>
      <c r="X35" s="54"/>
      <c r="Y35" s="54"/>
      <c r="Z35" s="54"/>
      <c r="AA35" s="54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</row>
    <row r="36" spans="1:46" ht="13.5" customHeight="1" x14ac:dyDescent="0.25">
      <c r="B36" s="39">
        <v>43098</v>
      </c>
      <c r="C36" s="40">
        <v>-1.1622519131625484E-3</v>
      </c>
      <c r="D36" s="40">
        <v>1</v>
      </c>
      <c r="E36" s="39">
        <v>42916</v>
      </c>
      <c r="F36" s="39">
        <v>43098</v>
      </c>
      <c r="G36" s="41">
        <v>182</v>
      </c>
      <c r="H36" s="42" t="s">
        <v>193</v>
      </c>
      <c r="I36" s="41">
        <v>2</v>
      </c>
      <c r="J36" s="39">
        <v>42914</v>
      </c>
      <c r="K36" s="41" t="s">
        <v>93</v>
      </c>
      <c r="L36" s="43">
        <v>0.50555555555555554</v>
      </c>
      <c r="M36" s="44">
        <v>-2.2989598282336125E-3</v>
      </c>
      <c r="N36" s="44" t="s">
        <v>130</v>
      </c>
      <c r="O36" s="45">
        <v>1</v>
      </c>
      <c r="P36" s="44">
        <v>-2.2989598282336129E-3</v>
      </c>
      <c r="Q36" s="44">
        <v>4.3368086899420177E-19</v>
      </c>
      <c r="R36" s="44">
        <v>0</v>
      </c>
      <c r="S36" s="44" t="s">
        <v>130</v>
      </c>
      <c r="T36" s="44" t="s">
        <v>130</v>
      </c>
      <c r="U36" s="42" t="s">
        <v>130</v>
      </c>
      <c r="V36" s="54"/>
      <c r="W36" s="54"/>
      <c r="X36" s="54"/>
      <c r="Y36" s="54"/>
      <c r="Z36" s="54"/>
      <c r="AA36" s="54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</row>
    <row r="37" spans="1:46" ht="13.5" customHeight="1" x14ac:dyDescent="0.25">
      <c r="B37" s="39">
        <v>43280</v>
      </c>
      <c r="C37" s="40">
        <v>-1.218888445722599E-3</v>
      </c>
      <c r="D37" s="40">
        <v>1</v>
      </c>
      <c r="E37" s="39">
        <v>43098</v>
      </c>
      <c r="F37" s="39">
        <v>43280</v>
      </c>
      <c r="G37" s="41">
        <v>182</v>
      </c>
      <c r="H37" s="42" t="s">
        <v>193</v>
      </c>
      <c r="I37" s="41">
        <v>2</v>
      </c>
      <c r="J37" s="39">
        <v>43096</v>
      </c>
      <c r="K37" s="41" t="s">
        <v>93</v>
      </c>
      <c r="L37" s="43">
        <v>0.50555555555555554</v>
      </c>
      <c r="M37" s="44">
        <v>-2.4109881343963497E-3</v>
      </c>
      <c r="N37" s="44" t="s">
        <v>130</v>
      </c>
      <c r="O37" s="45">
        <v>1</v>
      </c>
      <c r="P37" s="44">
        <v>-2.4109881343963497E-3</v>
      </c>
      <c r="Q37" s="44">
        <v>0</v>
      </c>
      <c r="R37" s="44">
        <v>0</v>
      </c>
      <c r="S37" s="44" t="s">
        <v>130</v>
      </c>
      <c r="T37" s="44" t="s">
        <v>130</v>
      </c>
      <c r="U37" s="42" t="s">
        <v>130</v>
      </c>
      <c r="V37" s="54"/>
      <c r="W37" s="54"/>
      <c r="X37" s="54"/>
      <c r="Y37" s="54"/>
      <c r="Z37" s="54"/>
      <c r="AA37" s="54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</row>
    <row r="38" spans="1:46" ht="13.5" customHeight="1" x14ac:dyDescent="0.25">
      <c r="B38" s="39">
        <v>43465</v>
      </c>
      <c r="C38" s="40">
        <v>-9.7670841870611835E-4</v>
      </c>
      <c r="D38" s="40">
        <v>1</v>
      </c>
      <c r="E38" s="39">
        <v>43280</v>
      </c>
      <c r="F38" s="39">
        <v>43465</v>
      </c>
      <c r="G38" s="41">
        <v>185</v>
      </c>
      <c r="H38" s="42" t="s">
        <v>193</v>
      </c>
      <c r="I38" s="41">
        <v>2</v>
      </c>
      <c r="J38" s="39">
        <v>43278</v>
      </c>
      <c r="K38" s="41" t="s">
        <v>93</v>
      </c>
      <c r="L38" s="43">
        <v>0.51388888888888884</v>
      </c>
      <c r="M38" s="44">
        <v>-1.9006217877524465E-3</v>
      </c>
      <c r="N38" s="44" t="s">
        <v>130</v>
      </c>
      <c r="O38" s="45">
        <v>1</v>
      </c>
      <c r="P38" s="44">
        <v>-1.9006217877524463E-3</v>
      </c>
      <c r="Q38" s="44">
        <v>-2.1684043449710089E-19</v>
      </c>
      <c r="R38" s="44">
        <v>0</v>
      </c>
      <c r="S38" s="44" t="s">
        <v>130</v>
      </c>
      <c r="T38" s="44" t="s">
        <v>130</v>
      </c>
      <c r="U38" s="42" t="s">
        <v>130</v>
      </c>
      <c r="V38" s="54"/>
      <c r="W38" s="54"/>
      <c r="X38" s="54"/>
      <c r="Y38" s="54"/>
      <c r="Z38" s="54"/>
      <c r="AA38" s="54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</row>
    <row r="39" spans="1:46" ht="13.5" customHeight="1" x14ac:dyDescent="0.25">
      <c r="B39" s="39" t="e">
        <v>#N/A</v>
      </c>
      <c r="C39" s="40" t="e">
        <v>#N/A</v>
      </c>
      <c r="D39" s="40" t="e">
        <v>#N/A</v>
      </c>
      <c r="E39" s="39" t="e">
        <v>#N/A</v>
      </c>
      <c r="F39" s="39" t="e">
        <v>#N/A</v>
      </c>
      <c r="G39" s="41" t="e">
        <v>#N/A</v>
      </c>
      <c r="H39" s="42" t="e">
        <v>#N/A</v>
      </c>
      <c r="I39" s="41" t="e">
        <v>#N/A</v>
      </c>
      <c r="J39" s="39" t="e">
        <v>#N/A</v>
      </c>
      <c r="K39" s="41" t="e">
        <v>#N/A</v>
      </c>
      <c r="L39" s="43" t="e">
        <v>#N/A</v>
      </c>
      <c r="M39" s="44" t="e">
        <v>#N/A</v>
      </c>
      <c r="N39" s="44" t="e">
        <v>#N/A</v>
      </c>
      <c r="O39" s="45" t="e">
        <v>#N/A</v>
      </c>
      <c r="P39" s="44" t="e">
        <v>#N/A</v>
      </c>
      <c r="Q39" s="44" t="e">
        <v>#N/A</v>
      </c>
      <c r="R39" s="44" t="e">
        <v>#N/A</v>
      </c>
      <c r="S39" s="44" t="e">
        <v>#N/A</v>
      </c>
      <c r="T39" s="44" t="e">
        <v>#N/A</v>
      </c>
      <c r="U39" s="42" t="e">
        <v>#N/A</v>
      </c>
      <c r="V39" s="54"/>
      <c r="W39" s="54"/>
      <c r="X39" s="54"/>
      <c r="Y39" s="54"/>
      <c r="Z39" s="54"/>
      <c r="AA39" s="54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</row>
    <row r="40" spans="1:46" ht="13.5" customHeight="1" x14ac:dyDescent="0.25">
      <c r="A40" s="8" t="s">
        <v>131</v>
      </c>
      <c r="B40" s="39" t="e">
        <v>#N/A</v>
      </c>
      <c r="C40" s="40" t="e">
        <v>#N/A</v>
      </c>
      <c r="D40" s="40" t="e">
        <v>#N/A</v>
      </c>
      <c r="E40" s="39" t="e">
        <v>#N/A</v>
      </c>
      <c r="F40" s="39" t="e">
        <v>#N/A</v>
      </c>
      <c r="G40" s="41" t="e">
        <v>#N/A</v>
      </c>
      <c r="H40" s="42" t="e">
        <v>#N/A</v>
      </c>
      <c r="I40" s="41" t="e">
        <v>#N/A</v>
      </c>
      <c r="J40" s="39" t="e">
        <v>#N/A</v>
      </c>
      <c r="K40" s="41" t="e">
        <v>#N/A</v>
      </c>
      <c r="L40" s="43" t="e">
        <v>#N/A</v>
      </c>
      <c r="M40" s="44" t="e">
        <v>#N/A</v>
      </c>
      <c r="N40" s="44" t="e">
        <v>#N/A</v>
      </c>
      <c r="O40" s="45" t="e">
        <v>#N/A</v>
      </c>
      <c r="P40" s="44" t="e">
        <v>#N/A</v>
      </c>
      <c r="Q40" s="44" t="e">
        <v>#N/A</v>
      </c>
      <c r="R40" s="44" t="e">
        <v>#N/A</v>
      </c>
      <c r="S40" s="44" t="e">
        <v>#N/A</v>
      </c>
      <c r="T40" s="44" t="e">
        <v>#N/A</v>
      </c>
      <c r="U40" s="42" t="e">
        <v>#N/A</v>
      </c>
      <c r="V40" s="54"/>
      <c r="W40" s="54"/>
      <c r="X40" s="54"/>
      <c r="Y40" s="54"/>
      <c r="Z40" s="54"/>
      <c r="AA40" s="54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</row>
    <row r="41" spans="1:46" ht="13.5" customHeight="1" x14ac:dyDescent="0.25">
      <c r="B41" s="39" t="e">
        <v>#N/A</v>
      </c>
      <c r="C41" s="40" t="e">
        <v>#N/A</v>
      </c>
      <c r="D41" s="40" t="e">
        <v>#N/A</v>
      </c>
      <c r="E41" s="39" t="e">
        <v>#N/A</v>
      </c>
      <c r="F41" s="39" t="e">
        <v>#N/A</v>
      </c>
      <c r="G41" s="41" t="e">
        <v>#N/A</v>
      </c>
      <c r="H41" s="42" t="e">
        <v>#N/A</v>
      </c>
      <c r="I41" s="41" t="e">
        <v>#N/A</v>
      </c>
      <c r="J41" s="39" t="e">
        <v>#N/A</v>
      </c>
      <c r="K41" s="41" t="e">
        <v>#N/A</v>
      </c>
      <c r="L41" s="43" t="e">
        <v>#N/A</v>
      </c>
      <c r="M41" s="44" t="e">
        <v>#N/A</v>
      </c>
      <c r="N41" s="44" t="e">
        <v>#N/A</v>
      </c>
      <c r="O41" s="45" t="e">
        <v>#N/A</v>
      </c>
      <c r="P41" s="44" t="e">
        <v>#N/A</v>
      </c>
      <c r="Q41" s="44" t="e">
        <v>#N/A</v>
      </c>
      <c r="R41" s="44" t="e">
        <v>#N/A</v>
      </c>
      <c r="S41" s="44" t="e">
        <v>#N/A</v>
      </c>
      <c r="T41" s="44" t="e">
        <v>#N/A</v>
      </c>
      <c r="U41" s="42" t="e">
        <v>#N/A</v>
      </c>
      <c r="V41" s="54"/>
      <c r="W41" s="54"/>
      <c r="X41" s="54"/>
      <c r="Y41" s="54"/>
      <c r="Z41" s="54"/>
      <c r="AA41" s="54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</row>
    <row r="42" spans="1:46" ht="13.5" customHeight="1" x14ac:dyDescent="0.25">
      <c r="B42" s="39" t="e">
        <v>#N/A</v>
      </c>
      <c r="C42" s="40" t="e">
        <v>#N/A</v>
      </c>
      <c r="D42" s="40" t="e">
        <v>#N/A</v>
      </c>
      <c r="E42" s="39" t="e">
        <v>#N/A</v>
      </c>
      <c r="F42" s="39" t="e">
        <v>#N/A</v>
      </c>
      <c r="G42" s="41" t="e">
        <v>#N/A</v>
      </c>
      <c r="H42" s="42" t="e">
        <v>#N/A</v>
      </c>
      <c r="I42" s="41" t="e">
        <v>#N/A</v>
      </c>
      <c r="J42" s="39" t="e">
        <v>#N/A</v>
      </c>
      <c r="K42" s="41" t="e">
        <v>#N/A</v>
      </c>
      <c r="L42" s="43" t="e">
        <v>#N/A</v>
      </c>
      <c r="M42" s="44" t="e">
        <v>#N/A</v>
      </c>
      <c r="N42" s="44" t="e">
        <v>#N/A</v>
      </c>
      <c r="O42" s="45" t="e">
        <v>#N/A</v>
      </c>
      <c r="P42" s="44" t="e">
        <v>#N/A</v>
      </c>
      <c r="Q42" s="44" t="e">
        <v>#N/A</v>
      </c>
      <c r="R42" s="44" t="e">
        <v>#N/A</v>
      </c>
      <c r="S42" s="44" t="e">
        <v>#N/A</v>
      </c>
      <c r="T42" s="44" t="e">
        <v>#N/A</v>
      </c>
      <c r="U42" s="42" t="e">
        <v>#N/A</v>
      </c>
      <c r="V42" s="54"/>
      <c r="W42" s="54"/>
      <c r="X42" s="54"/>
      <c r="Y42" s="54"/>
      <c r="Z42" s="54"/>
      <c r="AA42" s="54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</row>
    <row r="43" spans="1:46" ht="13.5" customHeight="1" x14ac:dyDescent="0.25">
      <c r="B43" s="39" t="e">
        <v>#N/A</v>
      </c>
      <c r="C43" s="40" t="e">
        <v>#N/A</v>
      </c>
      <c r="D43" s="40" t="e">
        <v>#N/A</v>
      </c>
      <c r="E43" s="39" t="e">
        <v>#N/A</v>
      </c>
      <c r="F43" s="39" t="e">
        <v>#N/A</v>
      </c>
      <c r="G43" s="41" t="e">
        <v>#N/A</v>
      </c>
      <c r="H43" s="42" t="e">
        <v>#N/A</v>
      </c>
      <c r="I43" s="41" t="e">
        <v>#N/A</v>
      </c>
      <c r="J43" s="39" t="e">
        <v>#N/A</v>
      </c>
      <c r="K43" s="41" t="e">
        <v>#N/A</v>
      </c>
      <c r="L43" s="43" t="e">
        <v>#N/A</v>
      </c>
      <c r="M43" s="44" t="e">
        <v>#N/A</v>
      </c>
      <c r="N43" s="44" t="e">
        <v>#N/A</v>
      </c>
      <c r="O43" s="45" t="e">
        <v>#N/A</v>
      </c>
      <c r="P43" s="44" t="e">
        <v>#N/A</v>
      </c>
      <c r="Q43" s="44" t="e">
        <v>#N/A</v>
      </c>
      <c r="R43" s="44" t="e">
        <v>#N/A</v>
      </c>
      <c r="S43" s="44" t="e">
        <v>#N/A</v>
      </c>
      <c r="T43" s="44" t="e">
        <v>#N/A</v>
      </c>
      <c r="U43" s="42" t="e">
        <v>#N/A</v>
      </c>
      <c r="V43" s="54"/>
      <c r="W43" s="54"/>
      <c r="X43" s="54"/>
      <c r="Y43" s="54"/>
      <c r="Z43" s="54"/>
      <c r="AA43" s="54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</row>
    <row r="44" spans="1:46" ht="13.5" customHeight="1" x14ac:dyDescent="0.25">
      <c r="B44" s="39" t="e">
        <v>#N/A</v>
      </c>
      <c r="C44" s="40" t="e">
        <v>#N/A</v>
      </c>
      <c r="D44" s="40" t="e">
        <v>#N/A</v>
      </c>
      <c r="E44" s="39" t="e">
        <v>#N/A</v>
      </c>
      <c r="F44" s="39" t="e">
        <v>#N/A</v>
      </c>
      <c r="G44" s="41" t="e">
        <v>#N/A</v>
      </c>
      <c r="H44" s="42" t="e">
        <v>#N/A</v>
      </c>
      <c r="I44" s="41" t="e">
        <v>#N/A</v>
      </c>
      <c r="J44" s="39" t="e">
        <v>#N/A</v>
      </c>
      <c r="K44" s="41" t="e">
        <v>#N/A</v>
      </c>
      <c r="L44" s="43" t="e">
        <v>#N/A</v>
      </c>
      <c r="M44" s="44" t="e">
        <v>#N/A</v>
      </c>
      <c r="N44" s="44" t="e">
        <v>#N/A</v>
      </c>
      <c r="O44" s="45" t="e">
        <v>#N/A</v>
      </c>
      <c r="P44" s="44" t="e">
        <v>#N/A</v>
      </c>
      <c r="Q44" s="44" t="e">
        <v>#N/A</v>
      </c>
      <c r="R44" s="44" t="e">
        <v>#N/A</v>
      </c>
      <c r="S44" s="44" t="e">
        <v>#N/A</v>
      </c>
      <c r="T44" s="44" t="e">
        <v>#N/A</v>
      </c>
      <c r="U44" s="42" t="e">
        <v>#N/A</v>
      </c>
      <c r="V44" s="54"/>
      <c r="W44" s="54"/>
      <c r="X44" s="54"/>
      <c r="Y44" s="54"/>
      <c r="Z44" s="54"/>
      <c r="AA44" s="54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</row>
    <row r="45" spans="1:46" x14ac:dyDescent="0.25">
      <c r="B45" s="39" t="e">
        <v>#N/A</v>
      </c>
      <c r="C45" s="40" t="e">
        <v>#N/A</v>
      </c>
      <c r="D45" s="40" t="e">
        <v>#N/A</v>
      </c>
      <c r="E45" s="39" t="e">
        <v>#N/A</v>
      </c>
      <c r="F45" s="39" t="e">
        <v>#N/A</v>
      </c>
      <c r="G45" s="41" t="e">
        <v>#N/A</v>
      </c>
      <c r="H45" s="42" t="e">
        <v>#N/A</v>
      </c>
      <c r="I45" s="41" t="e">
        <v>#N/A</v>
      </c>
      <c r="J45" s="39" t="e">
        <v>#N/A</v>
      </c>
      <c r="K45" s="41" t="e">
        <v>#N/A</v>
      </c>
      <c r="L45" s="43" t="e">
        <v>#N/A</v>
      </c>
      <c r="M45" s="44" t="e">
        <v>#N/A</v>
      </c>
      <c r="N45" s="44" t="e">
        <v>#N/A</v>
      </c>
      <c r="O45" s="45" t="e">
        <v>#N/A</v>
      </c>
      <c r="P45" s="44" t="e">
        <v>#N/A</v>
      </c>
      <c r="Q45" s="44" t="e">
        <v>#N/A</v>
      </c>
      <c r="R45" s="44" t="e">
        <v>#N/A</v>
      </c>
      <c r="S45" s="44" t="e">
        <v>#N/A</v>
      </c>
      <c r="T45" s="44" t="e">
        <v>#N/A</v>
      </c>
      <c r="U45" s="42" t="e">
        <v>#N/A</v>
      </c>
      <c r="V45" s="54"/>
      <c r="W45" s="54"/>
      <c r="X45" s="54"/>
      <c r="Y45" s="54"/>
      <c r="Z45" s="54"/>
      <c r="AA45" s="54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</row>
    <row r="46" spans="1:46" x14ac:dyDescent="0.25">
      <c r="B46" s="39" t="e">
        <v>#N/A</v>
      </c>
      <c r="C46" s="40" t="e">
        <v>#N/A</v>
      </c>
      <c r="D46" s="40" t="e">
        <v>#N/A</v>
      </c>
      <c r="E46" s="39" t="e">
        <v>#N/A</v>
      </c>
      <c r="F46" s="39" t="e">
        <v>#N/A</v>
      </c>
      <c r="G46" s="41" t="e">
        <v>#N/A</v>
      </c>
      <c r="H46" s="42" t="e">
        <v>#N/A</v>
      </c>
      <c r="I46" s="41" t="e">
        <v>#N/A</v>
      </c>
      <c r="J46" s="39" t="e">
        <v>#N/A</v>
      </c>
      <c r="K46" s="41" t="e">
        <v>#N/A</v>
      </c>
      <c r="L46" s="43" t="e">
        <v>#N/A</v>
      </c>
      <c r="M46" s="44" t="e">
        <v>#N/A</v>
      </c>
      <c r="N46" s="44" t="e">
        <v>#N/A</v>
      </c>
      <c r="O46" s="45" t="e">
        <v>#N/A</v>
      </c>
      <c r="P46" s="44" t="e">
        <v>#N/A</v>
      </c>
      <c r="Q46" s="44" t="e">
        <v>#N/A</v>
      </c>
      <c r="R46" s="44" t="e">
        <v>#N/A</v>
      </c>
      <c r="S46" s="44" t="e">
        <v>#N/A</v>
      </c>
      <c r="T46" s="44" t="e">
        <v>#N/A</v>
      </c>
      <c r="U46" s="42" t="e">
        <v>#N/A</v>
      </c>
      <c r="V46" s="54"/>
      <c r="W46" s="54"/>
      <c r="X46" s="54"/>
      <c r="Y46" s="54"/>
      <c r="Z46" s="54"/>
      <c r="AA46" s="54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</row>
    <row r="47" spans="1:46" x14ac:dyDescent="0.25">
      <c r="B47" s="39" t="e">
        <v>#N/A</v>
      </c>
      <c r="C47" s="40" t="e">
        <v>#N/A</v>
      </c>
      <c r="D47" s="40" t="e">
        <v>#N/A</v>
      </c>
      <c r="E47" s="39" t="e">
        <v>#N/A</v>
      </c>
      <c r="F47" s="39" t="e">
        <v>#N/A</v>
      </c>
      <c r="G47" s="41" t="e">
        <v>#N/A</v>
      </c>
      <c r="H47" s="42" t="e">
        <v>#N/A</v>
      </c>
      <c r="I47" s="41" t="e">
        <v>#N/A</v>
      </c>
      <c r="J47" s="39" t="e">
        <v>#N/A</v>
      </c>
      <c r="K47" s="41" t="e">
        <v>#N/A</v>
      </c>
      <c r="L47" s="43" t="e">
        <v>#N/A</v>
      </c>
      <c r="M47" s="44" t="e">
        <v>#N/A</v>
      </c>
      <c r="N47" s="44" t="e">
        <v>#N/A</v>
      </c>
      <c r="O47" s="45" t="e">
        <v>#N/A</v>
      </c>
      <c r="P47" s="44" t="e">
        <v>#N/A</v>
      </c>
      <c r="Q47" s="44" t="e">
        <v>#N/A</v>
      </c>
      <c r="R47" s="44" t="e">
        <v>#N/A</v>
      </c>
      <c r="S47" s="44" t="e">
        <v>#N/A</v>
      </c>
      <c r="T47" s="44" t="e">
        <v>#N/A</v>
      </c>
      <c r="U47" s="42" t="e">
        <v>#N/A</v>
      </c>
      <c r="V47" s="54"/>
      <c r="W47" s="54"/>
      <c r="X47" s="54"/>
      <c r="Y47" s="54"/>
      <c r="Z47" s="54"/>
      <c r="AA47" s="54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</row>
    <row r="48" spans="1:46" x14ac:dyDescent="0.25">
      <c r="B48" s="39" t="e">
        <v>#N/A</v>
      </c>
      <c r="C48" s="40" t="e">
        <v>#N/A</v>
      </c>
      <c r="D48" s="40" t="e">
        <v>#N/A</v>
      </c>
      <c r="E48" s="39" t="e">
        <v>#N/A</v>
      </c>
      <c r="F48" s="39" t="e">
        <v>#N/A</v>
      </c>
      <c r="G48" s="41" t="e">
        <v>#N/A</v>
      </c>
      <c r="H48" s="42" t="e">
        <v>#N/A</v>
      </c>
      <c r="I48" s="41" t="e">
        <v>#N/A</v>
      </c>
      <c r="J48" s="39" t="e">
        <v>#N/A</v>
      </c>
      <c r="K48" s="41" t="e">
        <v>#N/A</v>
      </c>
      <c r="L48" s="43" t="e">
        <v>#N/A</v>
      </c>
      <c r="M48" s="44" t="e">
        <v>#N/A</v>
      </c>
      <c r="N48" s="44" t="e">
        <v>#N/A</v>
      </c>
      <c r="O48" s="45" t="e">
        <v>#N/A</v>
      </c>
      <c r="P48" s="44" t="e">
        <v>#N/A</v>
      </c>
      <c r="Q48" s="44" t="e">
        <v>#N/A</v>
      </c>
      <c r="R48" s="44" t="e">
        <v>#N/A</v>
      </c>
      <c r="S48" s="44" t="e">
        <v>#N/A</v>
      </c>
      <c r="T48" s="44" t="e">
        <v>#N/A</v>
      </c>
      <c r="U48" s="42" t="e">
        <v>#N/A</v>
      </c>
      <c r="V48" s="54"/>
      <c r="W48" s="54"/>
      <c r="X48" s="54"/>
      <c r="Y48" s="54"/>
      <c r="Z48" s="54"/>
      <c r="AA48" s="54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</row>
    <row r="49" spans="2:46" x14ac:dyDescent="0.25">
      <c r="B49" s="39" t="e">
        <v>#N/A</v>
      </c>
      <c r="C49" s="40" t="e">
        <v>#N/A</v>
      </c>
      <c r="D49" s="40" t="e">
        <v>#N/A</v>
      </c>
      <c r="E49" s="39" t="e">
        <v>#N/A</v>
      </c>
      <c r="F49" s="39" t="e">
        <v>#N/A</v>
      </c>
      <c r="G49" s="41" t="e">
        <v>#N/A</v>
      </c>
      <c r="H49" s="42" t="e">
        <v>#N/A</v>
      </c>
      <c r="I49" s="41" t="e">
        <v>#N/A</v>
      </c>
      <c r="J49" s="39" t="e">
        <v>#N/A</v>
      </c>
      <c r="K49" s="41" t="e">
        <v>#N/A</v>
      </c>
      <c r="L49" s="43" t="e">
        <v>#N/A</v>
      </c>
      <c r="M49" s="44" t="e">
        <v>#N/A</v>
      </c>
      <c r="N49" s="44" t="e">
        <v>#N/A</v>
      </c>
      <c r="O49" s="45" t="e">
        <v>#N/A</v>
      </c>
      <c r="P49" s="44" t="e">
        <v>#N/A</v>
      </c>
      <c r="Q49" s="44" t="e">
        <v>#N/A</v>
      </c>
      <c r="R49" s="44" t="e">
        <v>#N/A</v>
      </c>
      <c r="S49" s="44" t="e">
        <v>#N/A</v>
      </c>
      <c r="T49" s="44" t="e">
        <v>#N/A</v>
      </c>
      <c r="U49" s="42" t="e">
        <v>#N/A</v>
      </c>
      <c r="V49" s="54"/>
      <c r="W49" s="54"/>
      <c r="X49" s="54"/>
      <c r="Y49" s="54"/>
      <c r="Z49" s="54"/>
      <c r="AA49" s="54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</row>
    <row r="50" spans="2:46" x14ac:dyDescent="0.25">
      <c r="B50" s="39" t="e">
        <v>#N/A</v>
      </c>
      <c r="C50" s="40" t="e">
        <v>#N/A</v>
      </c>
      <c r="D50" s="40" t="e">
        <v>#N/A</v>
      </c>
      <c r="E50" s="39" t="e">
        <v>#N/A</v>
      </c>
      <c r="F50" s="39" t="e">
        <v>#N/A</v>
      </c>
      <c r="G50" s="41" t="e">
        <v>#N/A</v>
      </c>
      <c r="H50" s="42" t="e">
        <v>#N/A</v>
      </c>
      <c r="I50" s="41" t="e">
        <v>#N/A</v>
      </c>
      <c r="J50" s="39" t="e">
        <v>#N/A</v>
      </c>
      <c r="K50" s="41" t="e">
        <v>#N/A</v>
      </c>
      <c r="L50" s="43" t="e">
        <v>#N/A</v>
      </c>
      <c r="M50" s="44" t="e">
        <v>#N/A</v>
      </c>
      <c r="N50" s="44" t="e">
        <v>#N/A</v>
      </c>
      <c r="O50" s="45" t="e">
        <v>#N/A</v>
      </c>
      <c r="P50" s="44" t="e">
        <v>#N/A</v>
      </c>
      <c r="Q50" s="44" t="e">
        <v>#N/A</v>
      </c>
      <c r="R50" s="44" t="e">
        <v>#N/A</v>
      </c>
      <c r="S50" s="44" t="e">
        <v>#N/A</v>
      </c>
      <c r="T50" s="44" t="e">
        <v>#N/A</v>
      </c>
      <c r="U50" s="42" t="e">
        <v>#N/A</v>
      </c>
      <c r="V50" s="54"/>
      <c r="W50" s="54"/>
      <c r="X50" s="54"/>
      <c r="Y50" s="54"/>
      <c r="Z50" s="54"/>
      <c r="AA50" s="54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</row>
    <row r="51" spans="2:46" x14ac:dyDescent="0.25">
      <c r="B51" s="39" t="e">
        <v>#N/A</v>
      </c>
      <c r="C51" s="40" t="e">
        <v>#N/A</v>
      </c>
      <c r="D51" s="40" t="e">
        <v>#N/A</v>
      </c>
      <c r="E51" s="39" t="e">
        <v>#N/A</v>
      </c>
      <c r="F51" s="39" t="e">
        <v>#N/A</v>
      </c>
      <c r="G51" s="41" t="e">
        <v>#N/A</v>
      </c>
      <c r="H51" s="42" t="e">
        <v>#N/A</v>
      </c>
      <c r="I51" s="41" t="e">
        <v>#N/A</v>
      </c>
      <c r="J51" s="39" t="e">
        <v>#N/A</v>
      </c>
      <c r="K51" s="41" t="e">
        <v>#N/A</v>
      </c>
      <c r="L51" s="43" t="e">
        <v>#N/A</v>
      </c>
      <c r="M51" s="44" t="e">
        <v>#N/A</v>
      </c>
      <c r="N51" s="44" t="e">
        <v>#N/A</v>
      </c>
      <c r="O51" s="45" t="e">
        <v>#N/A</v>
      </c>
      <c r="P51" s="44" t="e">
        <v>#N/A</v>
      </c>
      <c r="Q51" s="44" t="e">
        <v>#N/A</v>
      </c>
      <c r="R51" s="44" t="e">
        <v>#N/A</v>
      </c>
      <c r="S51" s="44" t="e">
        <v>#N/A</v>
      </c>
      <c r="T51" s="44" t="e">
        <v>#N/A</v>
      </c>
      <c r="U51" s="42" t="e">
        <v>#N/A</v>
      </c>
      <c r="V51" s="54"/>
      <c r="W51" s="54"/>
      <c r="X51" s="54"/>
      <c r="Y51" s="54"/>
      <c r="Z51" s="54"/>
      <c r="AA51" s="54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</row>
    <row r="52" spans="2:46" x14ac:dyDescent="0.25">
      <c r="B52" s="39" t="e">
        <v>#N/A</v>
      </c>
      <c r="C52" s="40" t="e">
        <v>#N/A</v>
      </c>
      <c r="D52" s="40" t="e">
        <v>#N/A</v>
      </c>
      <c r="E52" s="39" t="e">
        <v>#N/A</v>
      </c>
      <c r="F52" s="39" t="e">
        <v>#N/A</v>
      </c>
      <c r="G52" s="41" t="e">
        <v>#N/A</v>
      </c>
      <c r="H52" s="42" t="e">
        <v>#N/A</v>
      </c>
      <c r="I52" s="41" t="e">
        <v>#N/A</v>
      </c>
      <c r="J52" s="39" t="e">
        <v>#N/A</v>
      </c>
      <c r="K52" s="41" t="e">
        <v>#N/A</v>
      </c>
      <c r="L52" s="43" t="e">
        <v>#N/A</v>
      </c>
      <c r="M52" s="44" t="e">
        <v>#N/A</v>
      </c>
      <c r="N52" s="44" t="e">
        <v>#N/A</v>
      </c>
      <c r="O52" s="45" t="e">
        <v>#N/A</v>
      </c>
      <c r="P52" s="44" t="e">
        <v>#N/A</v>
      </c>
      <c r="Q52" s="44" t="e">
        <v>#N/A</v>
      </c>
      <c r="R52" s="44" t="e">
        <v>#N/A</v>
      </c>
      <c r="S52" s="44" t="e">
        <v>#N/A</v>
      </c>
      <c r="T52" s="44" t="e">
        <v>#N/A</v>
      </c>
      <c r="U52" s="42" t="e">
        <v>#N/A</v>
      </c>
      <c r="V52" s="54"/>
      <c r="W52" s="54"/>
      <c r="X52" s="54"/>
      <c r="Y52" s="54"/>
      <c r="Z52" s="54"/>
      <c r="AA52" s="54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</row>
    <row r="53" spans="2:46" x14ac:dyDescent="0.25">
      <c r="B53" s="39" t="e">
        <v>#N/A</v>
      </c>
      <c r="C53" s="40" t="e">
        <v>#N/A</v>
      </c>
      <c r="D53" s="40" t="e">
        <v>#N/A</v>
      </c>
      <c r="E53" s="39" t="e">
        <v>#N/A</v>
      </c>
      <c r="F53" s="39" t="e">
        <v>#N/A</v>
      </c>
      <c r="G53" s="41" t="e">
        <v>#N/A</v>
      </c>
      <c r="H53" s="42" t="e">
        <v>#N/A</v>
      </c>
      <c r="I53" s="41" t="e">
        <v>#N/A</v>
      </c>
      <c r="J53" s="39" t="e">
        <v>#N/A</v>
      </c>
      <c r="K53" s="41" t="e">
        <v>#N/A</v>
      </c>
      <c r="L53" s="43" t="e">
        <v>#N/A</v>
      </c>
      <c r="M53" s="44" t="e">
        <v>#N/A</v>
      </c>
      <c r="N53" s="44" t="e">
        <v>#N/A</v>
      </c>
      <c r="O53" s="45" t="e">
        <v>#N/A</v>
      </c>
      <c r="P53" s="44" t="e">
        <v>#N/A</v>
      </c>
      <c r="Q53" s="44" t="e">
        <v>#N/A</v>
      </c>
      <c r="R53" s="44" t="e">
        <v>#N/A</v>
      </c>
      <c r="S53" s="44" t="e">
        <v>#N/A</v>
      </c>
      <c r="T53" s="44" t="e">
        <v>#N/A</v>
      </c>
      <c r="U53" s="42" t="e">
        <v>#N/A</v>
      </c>
      <c r="V53" s="54"/>
      <c r="W53" s="54"/>
      <c r="X53" s="54"/>
      <c r="Y53" s="54"/>
      <c r="Z53" s="54"/>
      <c r="AA53" s="54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</row>
    <row r="54" spans="2:46" x14ac:dyDescent="0.25">
      <c r="B54" s="39" t="e">
        <v>#N/A</v>
      </c>
      <c r="C54" s="40" t="e">
        <v>#N/A</v>
      </c>
      <c r="D54" s="40" t="e">
        <v>#N/A</v>
      </c>
      <c r="E54" s="39" t="e">
        <v>#N/A</v>
      </c>
      <c r="F54" s="39" t="e">
        <v>#N/A</v>
      </c>
      <c r="G54" s="41" t="e">
        <v>#N/A</v>
      </c>
      <c r="H54" s="42" t="e">
        <v>#N/A</v>
      </c>
      <c r="I54" s="41" t="e">
        <v>#N/A</v>
      </c>
      <c r="J54" s="39" t="e">
        <v>#N/A</v>
      </c>
      <c r="K54" s="41" t="e">
        <v>#N/A</v>
      </c>
      <c r="L54" s="43" t="e">
        <v>#N/A</v>
      </c>
      <c r="M54" s="44" t="e">
        <v>#N/A</v>
      </c>
      <c r="N54" s="44" t="e">
        <v>#N/A</v>
      </c>
      <c r="O54" s="45" t="e">
        <v>#N/A</v>
      </c>
      <c r="P54" s="44" t="e">
        <v>#N/A</v>
      </c>
      <c r="Q54" s="44" t="e">
        <v>#N/A</v>
      </c>
      <c r="R54" s="44" t="e">
        <v>#N/A</v>
      </c>
      <c r="S54" s="44" t="e">
        <v>#N/A</v>
      </c>
      <c r="T54" s="44" t="e">
        <v>#N/A</v>
      </c>
      <c r="U54" s="42" t="e">
        <v>#N/A</v>
      </c>
      <c r="V54" s="54"/>
      <c r="W54" s="54"/>
      <c r="X54" s="54"/>
      <c r="Y54" s="54"/>
      <c r="Z54" s="54"/>
      <c r="AA54" s="54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</row>
    <row r="55" spans="2:46" x14ac:dyDescent="0.25">
      <c r="B55" s="39" t="e">
        <v>#N/A</v>
      </c>
      <c r="C55" s="40" t="e">
        <v>#N/A</v>
      </c>
      <c r="D55" s="40" t="e">
        <v>#N/A</v>
      </c>
      <c r="E55" s="39" t="e">
        <v>#N/A</v>
      </c>
      <c r="F55" s="39" t="e">
        <v>#N/A</v>
      </c>
      <c r="G55" s="41" t="e">
        <v>#N/A</v>
      </c>
      <c r="H55" s="42" t="e">
        <v>#N/A</v>
      </c>
      <c r="I55" s="41" t="e">
        <v>#N/A</v>
      </c>
      <c r="J55" s="39" t="e">
        <v>#N/A</v>
      </c>
      <c r="K55" s="41" t="e">
        <v>#N/A</v>
      </c>
      <c r="L55" s="43" t="e">
        <v>#N/A</v>
      </c>
      <c r="M55" s="44" t="e">
        <v>#N/A</v>
      </c>
      <c r="N55" s="44" t="e">
        <v>#N/A</v>
      </c>
      <c r="O55" s="45" t="e">
        <v>#N/A</v>
      </c>
      <c r="P55" s="44" t="e">
        <v>#N/A</v>
      </c>
      <c r="Q55" s="44" t="e">
        <v>#N/A</v>
      </c>
      <c r="R55" s="44" t="e">
        <v>#N/A</v>
      </c>
      <c r="S55" s="44" t="e">
        <v>#N/A</v>
      </c>
      <c r="T55" s="44" t="e">
        <v>#N/A</v>
      </c>
      <c r="U55" s="42" t="e">
        <v>#N/A</v>
      </c>
      <c r="V55" s="54"/>
      <c r="W55" s="54"/>
      <c r="X55" s="54"/>
      <c r="Y55" s="54"/>
      <c r="Z55" s="54"/>
      <c r="AA55" s="54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</row>
    <row r="56" spans="2:46" x14ac:dyDescent="0.25">
      <c r="B56" s="39" t="e">
        <v>#N/A</v>
      </c>
      <c r="C56" s="40" t="e">
        <v>#N/A</v>
      </c>
      <c r="D56" s="40" t="e">
        <v>#N/A</v>
      </c>
      <c r="E56" s="39" t="e">
        <v>#N/A</v>
      </c>
      <c r="F56" s="39" t="e">
        <v>#N/A</v>
      </c>
      <c r="G56" s="41" t="e">
        <v>#N/A</v>
      </c>
      <c r="H56" s="42" t="e">
        <v>#N/A</v>
      </c>
      <c r="I56" s="41" t="e">
        <v>#N/A</v>
      </c>
      <c r="J56" s="39" t="e">
        <v>#N/A</v>
      </c>
      <c r="K56" s="41" t="e">
        <v>#N/A</v>
      </c>
      <c r="L56" s="43" t="e">
        <v>#N/A</v>
      </c>
      <c r="M56" s="44" t="e">
        <v>#N/A</v>
      </c>
      <c r="N56" s="44" t="e">
        <v>#N/A</v>
      </c>
      <c r="O56" s="45" t="e">
        <v>#N/A</v>
      </c>
      <c r="P56" s="44" t="e">
        <v>#N/A</v>
      </c>
      <c r="Q56" s="44" t="e">
        <v>#N/A</v>
      </c>
      <c r="R56" s="44" t="e">
        <v>#N/A</v>
      </c>
      <c r="S56" s="44" t="e">
        <v>#N/A</v>
      </c>
      <c r="T56" s="44" t="e">
        <v>#N/A</v>
      </c>
      <c r="U56" s="42" t="e">
        <v>#N/A</v>
      </c>
      <c r="V56" s="54"/>
      <c r="W56" s="54"/>
      <c r="X56" s="54"/>
      <c r="Y56" s="54"/>
      <c r="Z56" s="54"/>
      <c r="AA56" s="54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</row>
    <row r="57" spans="2:46" x14ac:dyDescent="0.25">
      <c r="B57" s="39" t="e">
        <v>#N/A</v>
      </c>
      <c r="C57" s="40" t="e">
        <v>#N/A</v>
      </c>
      <c r="D57" s="40" t="e">
        <v>#N/A</v>
      </c>
      <c r="E57" s="39" t="e">
        <v>#N/A</v>
      </c>
      <c r="F57" s="39" t="e">
        <v>#N/A</v>
      </c>
      <c r="G57" s="41" t="e">
        <v>#N/A</v>
      </c>
      <c r="H57" s="42" t="e">
        <v>#N/A</v>
      </c>
      <c r="I57" s="41" t="e">
        <v>#N/A</v>
      </c>
      <c r="J57" s="39" t="e">
        <v>#N/A</v>
      </c>
      <c r="K57" s="41" t="e">
        <v>#N/A</v>
      </c>
      <c r="L57" s="43" t="e">
        <v>#N/A</v>
      </c>
      <c r="M57" s="44" t="e">
        <v>#N/A</v>
      </c>
      <c r="N57" s="44" t="e">
        <v>#N/A</v>
      </c>
      <c r="O57" s="45" t="e">
        <v>#N/A</v>
      </c>
      <c r="P57" s="44" t="e">
        <v>#N/A</v>
      </c>
      <c r="Q57" s="44" t="e">
        <v>#N/A</v>
      </c>
      <c r="R57" s="44" t="e">
        <v>#N/A</v>
      </c>
      <c r="S57" s="44" t="e">
        <v>#N/A</v>
      </c>
      <c r="T57" s="44" t="e">
        <v>#N/A</v>
      </c>
      <c r="U57" s="42" t="e">
        <v>#N/A</v>
      </c>
      <c r="V57" s="54"/>
      <c r="W57" s="54"/>
      <c r="X57" s="54"/>
      <c r="Y57" s="54"/>
      <c r="Z57" s="54"/>
      <c r="AA57" s="54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</row>
    <row r="58" spans="2:46" x14ac:dyDescent="0.25">
      <c r="B58" s="39" t="e">
        <v>#N/A</v>
      </c>
      <c r="C58" s="40" t="e">
        <v>#N/A</v>
      </c>
      <c r="D58" s="40" t="e">
        <v>#N/A</v>
      </c>
      <c r="E58" s="39" t="e">
        <v>#N/A</v>
      </c>
      <c r="F58" s="39" t="e">
        <v>#N/A</v>
      </c>
      <c r="G58" s="41" t="e">
        <v>#N/A</v>
      </c>
      <c r="H58" s="42" t="e">
        <v>#N/A</v>
      </c>
      <c r="I58" s="41" t="e">
        <v>#N/A</v>
      </c>
      <c r="J58" s="39" t="e">
        <v>#N/A</v>
      </c>
      <c r="K58" s="41" t="e">
        <v>#N/A</v>
      </c>
      <c r="L58" s="43" t="e">
        <v>#N/A</v>
      </c>
      <c r="M58" s="44" t="e">
        <v>#N/A</v>
      </c>
      <c r="N58" s="44" t="e">
        <v>#N/A</v>
      </c>
      <c r="O58" s="45" t="e">
        <v>#N/A</v>
      </c>
      <c r="P58" s="44" t="e">
        <v>#N/A</v>
      </c>
      <c r="Q58" s="44" t="e">
        <v>#N/A</v>
      </c>
      <c r="R58" s="44" t="e">
        <v>#N/A</v>
      </c>
      <c r="S58" s="44" t="e">
        <v>#N/A</v>
      </c>
      <c r="T58" s="44" t="e">
        <v>#N/A</v>
      </c>
      <c r="U58" s="42" t="e">
        <v>#N/A</v>
      </c>
      <c r="V58" s="54"/>
      <c r="W58" s="54"/>
      <c r="X58" s="54"/>
      <c r="Y58" s="54"/>
      <c r="Z58" s="54"/>
      <c r="AA58" s="54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</row>
    <row r="59" spans="2:46" x14ac:dyDescent="0.25">
      <c r="B59" s="39" t="e">
        <v>#N/A</v>
      </c>
      <c r="C59" s="40" t="e">
        <v>#N/A</v>
      </c>
      <c r="D59" s="40" t="e">
        <v>#N/A</v>
      </c>
      <c r="E59" s="39" t="e">
        <v>#N/A</v>
      </c>
      <c r="F59" s="39" t="e">
        <v>#N/A</v>
      </c>
      <c r="G59" s="41" t="e">
        <v>#N/A</v>
      </c>
      <c r="H59" s="42" t="e">
        <v>#N/A</v>
      </c>
      <c r="I59" s="41" t="e">
        <v>#N/A</v>
      </c>
      <c r="J59" s="39" t="e">
        <v>#N/A</v>
      </c>
      <c r="K59" s="41" t="e">
        <v>#N/A</v>
      </c>
      <c r="L59" s="43" t="e">
        <v>#N/A</v>
      </c>
      <c r="M59" s="44" t="e">
        <v>#N/A</v>
      </c>
      <c r="N59" s="44" t="e">
        <v>#N/A</v>
      </c>
      <c r="O59" s="45" t="e">
        <v>#N/A</v>
      </c>
      <c r="P59" s="44" t="e">
        <v>#N/A</v>
      </c>
      <c r="Q59" s="44" t="e">
        <v>#N/A</v>
      </c>
      <c r="R59" s="44" t="e">
        <v>#N/A</v>
      </c>
      <c r="S59" s="44" t="e">
        <v>#N/A</v>
      </c>
      <c r="T59" s="44" t="e">
        <v>#N/A</v>
      </c>
      <c r="U59" s="42" t="e">
        <v>#N/A</v>
      </c>
      <c r="V59" s="54"/>
      <c r="W59" s="54"/>
      <c r="X59" s="54"/>
      <c r="Y59" s="54"/>
      <c r="Z59" s="54"/>
      <c r="AA59" s="54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</row>
    <row r="60" spans="2:46" x14ac:dyDescent="0.25">
      <c r="B60" s="46" t="e">
        <v>#N/A</v>
      </c>
      <c r="C60" s="47" t="e">
        <v>#N/A</v>
      </c>
      <c r="D60" s="47" t="e">
        <v>#N/A</v>
      </c>
      <c r="E60" s="46" t="e">
        <v>#N/A</v>
      </c>
      <c r="F60" s="46" t="e">
        <v>#N/A</v>
      </c>
      <c r="G60" s="48" t="e">
        <v>#N/A</v>
      </c>
      <c r="H60" s="49" t="e">
        <v>#N/A</v>
      </c>
      <c r="I60" s="48" t="e">
        <v>#N/A</v>
      </c>
      <c r="J60" s="46" t="e">
        <v>#N/A</v>
      </c>
      <c r="K60" s="48" t="e">
        <v>#N/A</v>
      </c>
      <c r="L60" s="50" t="e">
        <v>#N/A</v>
      </c>
      <c r="M60" s="51" t="e">
        <v>#N/A</v>
      </c>
      <c r="N60" s="51" t="e">
        <v>#N/A</v>
      </c>
      <c r="O60" s="52" t="e">
        <v>#N/A</v>
      </c>
      <c r="P60" s="51" t="e">
        <v>#N/A</v>
      </c>
      <c r="Q60" s="51" t="e">
        <v>#N/A</v>
      </c>
      <c r="R60" s="51" t="e">
        <v>#N/A</v>
      </c>
      <c r="S60" s="51" t="e">
        <v>#N/A</v>
      </c>
      <c r="T60" s="51" t="e">
        <v>#N/A</v>
      </c>
      <c r="U60" s="49" t="e">
        <v>#N/A</v>
      </c>
      <c r="V60" s="54"/>
      <c r="W60" s="54"/>
      <c r="X60" s="54"/>
      <c r="Y60" s="54"/>
      <c r="Z60" s="54"/>
      <c r="AA60" s="54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</row>
    <row r="61" spans="2:46" x14ac:dyDescent="0.25">
      <c r="B61" s="56"/>
      <c r="C61" s="57"/>
      <c r="D61" s="57"/>
      <c r="E61" s="56"/>
      <c r="F61" s="56"/>
      <c r="G61" s="58"/>
      <c r="H61" s="55"/>
      <c r="I61" s="58"/>
      <c r="J61" s="56"/>
      <c r="K61" s="58"/>
      <c r="L61" s="59"/>
      <c r="M61" s="60"/>
      <c r="N61" s="60"/>
      <c r="O61" s="61"/>
      <c r="P61" s="60"/>
      <c r="Q61" s="60"/>
      <c r="R61" s="60"/>
      <c r="S61" s="60"/>
      <c r="T61" s="60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</row>
  </sheetData>
  <dataValidations disablePrompts="1" count="1">
    <dataValidation type="list" allowBlank="1" showInputMessage="1" showErrorMessage="1" sqref="F3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Curve Configuration</vt:lpstr>
      <vt:lpstr>SensCalc</vt:lpstr>
      <vt:lpstr>Instrument</vt:lpstr>
      <vt:lpstr>calendar</vt:lpstr>
      <vt:lpstr>daycounter</vt:lpstr>
      <vt:lpstr>engine</vt:lpstr>
      <vt:lpstr>evaluationdate</vt:lpstr>
      <vt:lpstr>hiborindex</vt:lpstr>
      <vt:lpstr>tenor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2016-05-03T10:59:00Z</dcterms:created>
  <dcterms:modified xsi:type="dcterms:W3CDTF">2016-06-28T17:13:24Z</dcterms:modified>
</cp:coreProperties>
</file>