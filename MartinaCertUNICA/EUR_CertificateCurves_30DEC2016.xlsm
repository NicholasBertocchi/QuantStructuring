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45" windowWidth="19080" windowHeight="11910" firstSheet="1" activeTab="1"/>
  </bookViews>
  <sheets>
    <sheet name="dvCurveBootstrapperOptions" sheetId="10" state="hidden" r:id="rId1"/>
    <sheet name="UNICA_EUR" sheetId="17" r:id="rId2"/>
  </sheets>
  <definedNames>
    <definedName name="BizDayConv" localSheetId="1">UNICA_EUR!$C$7</definedName>
    <definedName name="Calendar" localSheetId="1">UNICA_EUR!$C$4</definedName>
    <definedName name="Currency" localSheetId="1">UNICA_EUR!$C$10</definedName>
    <definedName name="CurveName">UNICA_EUR!$E$22</definedName>
    <definedName name="Dates">UNICA_EUR!$E$24:$E$89</definedName>
    <definedName name="Discounts">UNICA_EUR!$F$24:$F$89</definedName>
    <definedName name="dvBool">dvCurveBootstrapperOptions!$H$3:$H$4</definedName>
    <definedName name="dvCurveBootstrapperCompounding">dvCurveBootstrapperOptions!$E$15:$E$17</definedName>
    <definedName name="dvCurveBootstrapperDayCount">dvCurveBootstrapperOptions!$B$3:$C$12</definedName>
    <definedName name="dvCurveBootstrapperFraFutAdjust">dvCurveBootstrapperOptions!$B$15:$C$18</definedName>
    <definedName name="dvCurveBootstrapperFutCons">dvCurveBootstrapperOptions!$E$20:$E$22</definedName>
    <definedName name="dvCurveBootstrapperFutEndDate">dvCurveBootstrapperOptions!$E$29:$E$30</definedName>
    <definedName name="dvCurveBootstrapperInterpOn">dvCurveBootstrapperOptions!$E$10:$E$12</definedName>
    <definedName name="dvCurveBootstrapperInterpType">dvCurveBootstrapperOptions!$E$3:$E$7</definedName>
    <definedName name="dvCurveBootstrapperMatCons">dvCurveBootstrapperOptions!$E$25:$E$26</definedName>
    <definedName name="dvCurveBootstrapperOutputType">dvCurveBootstrapperOptions!$B$26:$C$27</definedName>
    <definedName name="dvCurveBootstrapperSwapMatType">dvCurveBootstrapperOptions!$B$21:$C$23</definedName>
    <definedName name="Enabled" localSheetId="1">UNICA_EUR!$E$3:$E$17</definedName>
    <definedName name="EntityName" localSheetId="1">UNICA_EUR!$C$11</definedName>
    <definedName name="EvaluationDate" localSheetId="1">UNICA_EUR!$C$3</definedName>
    <definedName name="FloatingFlag" localSheetId="1">UNICA_EUR!$C$14</definedName>
    <definedName name="IborIndex" localSheetId="1">UNICA_EUR!$C$33</definedName>
    <definedName name="ImplCDS" localSheetId="1">UNICA_EUR!$Q$3:$Q$17</definedName>
    <definedName name="ImplPrices" localSheetId="1">UNICA_EUR!$N$3:$N$17</definedName>
    <definedName name="InterpYieldCurve">UNICA_EUR!$C$31</definedName>
    <definedName name="IsOK" localSheetId="1">UNICA_EUR!$R$1</definedName>
    <definedName name="ManualTrigger" localSheetId="1">UNICA_EUR!$A$1</definedName>
    <definedName name="Maties" localSheetId="1">UNICA_EUR!$O$3:$O$17</definedName>
    <definedName name="Notional" localSheetId="1">UNICA_EUR!$C$12</definedName>
    <definedName name="ObjectsTrigger" localSheetId="1">UNICA_EUR!$C$17</definedName>
    <definedName name="pdgDiscCurve" localSheetId="1">UNICA_EUR!$C$9</definedName>
    <definedName name="qlDiscCurve" localSheetId="1">UNICA_EUR!$C$8</definedName>
    <definedName name="Recovery" localSheetId="1">UNICA_EUR!$C$13</definedName>
    <definedName name="RtTrigger" localSheetId="1">UNICA_EUR!$C$16</definedName>
    <definedName name="SettlementDate" localSheetId="1">UNICA_EUR!$C$6</definedName>
    <definedName name="SettlementDays" localSheetId="1">UNICA_EUR!$C$5</definedName>
    <definedName name="Spread" localSheetId="1">UNICA_EUR!$I$3:$I$17</definedName>
    <definedName name="ZeroRates">UNICA_EUR!$G$24:$G$89</definedName>
  </definedNames>
  <calcPr calcId="145621"/>
</workbook>
</file>

<file path=xl/calcChain.xml><?xml version="1.0" encoding="utf-8"?>
<calcChain xmlns="http://schemas.openxmlformats.org/spreadsheetml/2006/main">
  <c r="G26" i="17" l="1"/>
  <c r="G27" i="17"/>
  <c r="G28" i="17"/>
  <c r="G29" i="17"/>
  <c r="G30" i="17"/>
  <c r="G31" i="17"/>
  <c r="G32" i="17"/>
  <c r="G33" i="17"/>
  <c r="G34" i="17"/>
  <c r="G35" i="17"/>
  <c r="G36" i="17"/>
  <c r="G37" i="17"/>
  <c r="G38" i="17"/>
  <c r="G39" i="17"/>
  <c r="G40" i="17"/>
  <c r="G41" i="17"/>
  <c r="G42" i="17"/>
  <c r="G43" i="17"/>
  <c r="G44" i="17"/>
  <c r="G45" i="17"/>
  <c r="G46" i="17"/>
  <c r="G47" i="17"/>
  <c r="G48" i="17"/>
  <c r="G49" i="17"/>
  <c r="G50" i="17"/>
  <c r="G51" i="17"/>
  <c r="G52" i="17"/>
  <c r="G53" i="17"/>
  <c r="G54" i="17"/>
  <c r="G55" i="17"/>
  <c r="G56" i="17"/>
  <c r="G57" i="17"/>
  <c r="G58" i="17"/>
  <c r="G59" i="17"/>
  <c r="G60" i="17"/>
  <c r="G61" i="17"/>
  <c r="G62" i="17"/>
  <c r="G63" i="17"/>
  <c r="G64" i="17"/>
  <c r="G65" i="17"/>
  <c r="G66" i="17"/>
  <c r="G67" i="17"/>
  <c r="G68" i="17"/>
  <c r="G69" i="17"/>
  <c r="G70" i="17"/>
  <c r="G71" i="17"/>
  <c r="G72" i="17"/>
  <c r="G73" i="17"/>
  <c r="G74" i="17"/>
  <c r="G75" i="17"/>
  <c r="G76" i="17"/>
  <c r="G77" i="17"/>
  <c r="G78" i="17"/>
  <c r="G79" i="17"/>
  <c r="G80" i="17"/>
  <c r="G81" i="17"/>
  <c r="G82" i="17"/>
  <c r="G83" i="17"/>
  <c r="G84" i="17"/>
  <c r="G85" i="17"/>
  <c r="G86" i="17"/>
  <c r="G87" i="17"/>
  <c r="G88" i="17"/>
  <c r="G89" i="17"/>
  <c r="G25" i="17"/>
  <c r="G24" i="17"/>
  <c r="C31" i="17"/>
  <c r="C26" i="17"/>
  <c r="C9" i="17" l="1"/>
  <c r="C6" i="17"/>
  <c r="C1" i="17"/>
  <c r="B1" i="17"/>
  <c r="AF3" i="17"/>
  <c r="AG3" i="17"/>
  <c r="AG1609" i="17"/>
  <c r="AG1581" i="17"/>
  <c r="AG1565" i="17"/>
  <c r="AG1552" i="17"/>
  <c r="AG1536" i="17"/>
  <c r="AG1524" i="17"/>
  <c r="AG1508" i="17"/>
  <c r="AG1492" i="17"/>
  <c r="AG1479" i="17"/>
  <c r="AG1463" i="17"/>
  <c r="AG1450" i="17"/>
  <c r="AG1434" i="17"/>
  <c r="AG1418" i="17"/>
  <c r="AG1406" i="17"/>
  <c r="AG1390" i="17"/>
  <c r="AG1377" i="17"/>
  <c r="AG1361" i="17"/>
  <c r="AG1345" i="17"/>
  <c r="AG1333" i="17"/>
  <c r="AG1317" i="17"/>
  <c r="AG1304" i="17"/>
  <c r="AG1288" i="17"/>
  <c r="AG1272" i="17"/>
  <c r="AG1260" i="17"/>
  <c r="AG1244" i="17"/>
  <c r="AG1231" i="17"/>
  <c r="AG1215" i="17"/>
  <c r="AG1199" i="17"/>
  <c r="AG1184" i="17"/>
  <c r="AG1166" i="17"/>
  <c r="AG1151" i="17"/>
  <c r="AG1133" i="17"/>
  <c r="AG1113" i="17"/>
  <c r="AG1098" i="17"/>
  <c r="AG1080" i="17"/>
  <c r="AG1065" i="17"/>
  <c r="AG1047" i="17"/>
  <c r="AG1029" i="17"/>
  <c r="AG1014" i="17"/>
  <c r="AG991" i="17"/>
  <c r="AG976" i="17"/>
  <c r="AG953" i="17"/>
  <c r="AG933" i="17"/>
  <c r="AG915" i="17"/>
  <c r="AG895" i="17"/>
  <c r="AG878" i="17"/>
  <c r="AG857" i="17"/>
  <c r="AG834" i="17"/>
  <c r="AG817" i="17"/>
  <c r="AG797" i="17"/>
  <c r="AG779" i="17"/>
  <c r="AG759" i="17"/>
  <c r="AG738" i="17"/>
  <c r="AG721" i="17"/>
  <c r="AG698" i="17"/>
  <c r="AG677" i="17"/>
  <c r="AG648" i="17"/>
  <c r="AG616" i="17"/>
  <c r="AG587" i="17"/>
  <c r="AG559" i="17"/>
  <c r="AG530" i="17"/>
  <c r="AG502" i="17"/>
  <c r="AG470" i="17"/>
  <c r="AG440" i="17"/>
  <c r="AG407" i="17"/>
  <c r="AG374" i="17"/>
  <c r="AG339" i="17"/>
  <c r="AG303" i="17"/>
  <c r="AG270" i="17"/>
  <c r="AG235" i="17"/>
  <c r="AG202" i="17"/>
  <c r="AG169" i="17"/>
  <c r="AG131" i="17"/>
  <c r="AG98" i="17"/>
  <c r="AG64" i="17"/>
  <c r="AG1636" i="17"/>
  <c r="AG1490" i="17"/>
  <c r="AG1405" i="17"/>
  <c r="AG1332" i="17"/>
  <c r="AG1271" i="17"/>
  <c r="AG1214" i="17"/>
  <c r="AG1198" i="17"/>
  <c r="AG1183" i="17"/>
  <c r="AG1165" i="17"/>
  <c r="AG1145" i="17"/>
  <c r="AG1130" i="17"/>
  <c r="AG1112" i="17"/>
  <c r="AG1097" i="17"/>
  <c r="AG1079" i="17"/>
  <c r="AG1061" i="17"/>
  <c r="AG1046" i="17"/>
  <c r="AG1026" i="17"/>
  <c r="AG1013" i="17"/>
  <c r="AG990" i="17"/>
  <c r="AG969" i="17"/>
  <c r="AG952" i="17"/>
  <c r="AG931" i="17"/>
  <c r="AG914" i="17"/>
  <c r="AG894" i="17"/>
  <c r="AG871" i="17"/>
  <c r="AG854" i="17"/>
  <c r="AG833" i="17"/>
  <c r="AG816" i="17"/>
  <c r="AG795" i="17"/>
  <c r="AG775" i="17"/>
  <c r="AG758" i="17"/>
  <c r="AG735" i="17"/>
  <c r="AG720" i="17"/>
  <c r="AG697" i="17"/>
  <c r="AG675" i="17"/>
  <c r="AG643" i="17"/>
  <c r="AG615" i="17"/>
  <c r="AG586" i="17"/>
  <c r="AG558" i="17"/>
  <c r="AG529" i="17"/>
  <c r="AG497" i="17"/>
  <c r="AG469" i="17"/>
  <c r="AG439" i="17"/>
  <c r="AG406" i="17"/>
  <c r="AG371" i="17"/>
  <c r="AG335" i="17"/>
  <c r="AG302" i="17"/>
  <c r="AG267" i="17"/>
  <c r="AG234" i="17"/>
  <c r="AG201" i="17"/>
  <c r="AG163" i="17"/>
  <c r="AG130" i="17"/>
  <c r="AG97" i="17"/>
  <c r="AG57" i="17"/>
  <c r="AG1676" i="17"/>
  <c r="AG1535" i="17"/>
  <c r="AG1300" i="17"/>
  <c r="AG1562" i="17"/>
  <c r="AG1432" i="17"/>
  <c r="AG1298" i="17"/>
  <c r="AG1213" i="17"/>
  <c r="AG1144" i="17"/>
  <c r="AG1111" i="17"/>
  <c r="AG1045" i="17"/>
  <c r="AG1006" i="17"/>
  <c r="AG989" i="17"/>
  <c r="AG968" i="17"/>
  <c r="AG951" i="17"/>
  <c r="AG930" i="17"/>
  <c r="AG907" i="17"/>
  <c r="AG890" i="17"/>
  <c r="AG870" i="17"/>
  <c r="AG853" i="17"/>
  <c r="AG832" i="17"/>
  <c r="AG811" i="17"/>
  <c r="AG794" i="17"/>
  <c r="AG771" i="17"/>
  <c r="AG757" i="17"/>
  <c r="AG734" i="17"/>
  <c r="AG713" i="17"/>
  <c r="AG696" i="17"/>
  <c r="AG671" i="17"/>
  <c r="AG642" i="17"/>
  <c r="AG614" i="17"/>
  <c r="AG585" i="17"/>
  <c r="AG557" i="17"/>
  <c r="AG525" i="17"/>
  <c r="AG496" i="17"/>
  <c r="AG467" i="17"/>
  <c r="AG438" i="17"/>
  <c r="AG403" i="17"/>
  <c r="AG367" i="17"/>
  <c r="AG334" i="17"/>
  <c r="AG299" i="17"/>
  <c r="AG266" i="17"/>
  <c r="AG233" i="17"/>
  <c r="AG195" i="17"/>
  <c r="AG162" i="17"/>
  <c r="AG129" i="17"/>
  <c r="AG96" i="17"/>
  <c r="AG56" i="17"/>
  <c r="AG1637" i="17"/>
  <c r="AG1661" i="17"/>
  <c r="AG1580" i="17"/>
  <c r="AG1478" i="17"/>
  <c r="AG1433" i="17"/>
  <c r="AG1373" i="17"/>
  <c r="AG1226" i="17"/>
  <c r="AG1660" i="17"/>
  <c r="AG1607" i="17"/>
  <c r="AG1534" i="17"/>
  <c r="AG1473" i="17"/>
  <c r="AG1372" i="17"/>
  <c r="AG1314" i="17"/>
  <c r="AG1270" i="17"/>
  <c r="AG1225" i="17"/>
  <c r="AG1177" i="17"/>
  <c r="AG1058" i="17"/>
  <c r="AG1634" i="17"/>
  <c r="AG1574" i="17"/>
  <c r="AG1501" i="17"/>
  <c r="AG1415" i="17"/>
  <c r="AG1326" i="17"/>
  <c r="AG1281" i="17"/>
  <c r="AG1269" i="17"/>
  <c r="AG1253" i="17"/>
  <c r="AG1208" i="17"/>
  <c r="AG1161" i="17"/>
  <c r="AG1143" i="17"/>
  <c r="AG1125" i="17"/>
  <c r="AG1110" i="17"/>
  <c r="AG1090" i="17"/>
  <c r="AG1077" i="17"/>
  <c r="AG1057" i="17"/>
  <c r="AG1039" i="17"/>
  <c r="AG1024" i="17"/>
  <c r="AG1005" i="17"/>
  <c r="AG987" i="17"/>
  <c r="AG967" i="17"/>
  <c r="AG944" i="17"/>
  <c r="AG927" i="17"/>
  <c r="AG906" i="17"/>
  <c r="AG889" i="17"/>
  <c r="AG869" i="17"/>
  <c r="AG848" i="17"/>
  <c r="AG831" i="17"/>
  <c r="AG808" i="17"/>
  <c r="AG793" i="17"/>
  <c r="AG770" i="17"/>
  <c r="AG750" i="17"/>
  <c r="AG733" i="17"/>
  <c r="AG712" i="17"/>
  <c r="AG695" i="17"/>
  <c r="AG670" i="17"/>
  <c r="AG641" i="17"/>
  <c r="AG613" i="17"/>
  <c r="AG584" i="17"/>
  <c r="AG552" i="17"/>
  <c r="AG523" i="17"/>
  <c r="AG495" i="17"/>
  <c r="AG466" i="17"/>
  <c r="AG435" i="17"/>
  <c r="AG399" i="17"/>
  <c r="AG366" i="17"/>
  <c r="AG331" i="17"/>
  <c r="AG298" i="17"/>
  <c r="AG265" i="17"/>
  <c r="AG227" i="17"/>
  <c r="AG194" i="17"/>
  <c r="AG161" i="17"/>
  <c r="AG128" i="17"/>
  <c r="AG95" i="17"/>
  <c r="AG55" i="17"/>
  <c r="AG1564" i="17"/>
  <c r="AG1316" i="17"/>
  <c r="AG1685" i="17"/>
  <c r="AG1489" i="17"/>
  <c r="AG1093" i="17"/>
  <c r="AG1561" i="17"/>
  <c r="AG1399" i="17"/>
  <c r="AG1224" i="17"/>
  <c r="AG1601" i="17"/>
  <c r="AG1455" i="17"/>
  <c r="AG1296" i="17"/>
  <c r="AG1157" i="17"/>
  <c r="AG1023" i="17"/>
  <c r="AG943" i="17"/>
  <c r="AG885" i="17"/>
  <c r="AG867" i="17"/>
  <c r="AG845" i="17"/>
  <c r="AG807" i="17"/>
  <c r="AG749" i="17"/>
  <c r="AG731" i="17"/>
  <c r="AG711" i="17"/>
  <c r="AG688" i="17"/>
  <c r="AG661" i="17"/>
  <c r="AG632" i="17"/>
  <c r="AG603" i="17"/>
  <c r="AG575" i="17"/>
  <c r="AG543" i="17"/>
  <c r="AG514" i="17"/>
  <c r="AG486" i="17"/>
  <c r="AG457" i="17"/>
  <c r="AG425" i="17"/>
  <c r="AG387" i="17"/>
  <c r="AG354" i="17"/>
  <c r="AG321" i="17"/>
  <c r="AG288" i="17"/>
  <c r="AG255" i="17"/>
  <c r="AG217" i="17"/>
  <c r="AG184" i="17"/>
  <c r="AG151" i="17"/>
  <c r="AG118" i="17"/>
  <c r="AG83" i="17"/>
  <c r="AG34" i="17"/>
  <c r="AG1551" i="17"/>
  <c r="AG1287" i="17"/>
  <c r="AG1546" i="17"/>
  <c r="AG1400" i="17"/>
  <c r="AG1129" i="17"/>
  <c r="AG1673" i="17"/>
  <c r="AG1517" i="17"/>
  <c r="AG1354" i="17"/>
  <c r="AG1240" i="17"/>
  <c r="AG1658" i="17"/>
  <c r="AG1528" i="17"/>
  <c r="AG1414" i="17"/>
  <c r="AG1341" i="17"/>
  <c r="AG1223" i="17"/>
  <c r="AG1089" i="17"/>
  <c r="AG963" i="17"/>
  <c r="AG830" i="17"/>
  <c r="AG1668" i="17"/>
  <c r="AG1543" i="17"/>
  <c r="AG1454" i="17"/>
  <c r="AG1397" i="17"/>
  <c r="AG1324" i="17"/>
  <c r="AG1308" i="17"/>
  <c r="AG1263" i="17"/>
  <c r="AG1250" i="17"/>
  <c r="AG1234" i="17"/>
  <c r="AG1222" i="17"/>
  <c r="AG1206" i="17"/>
  <c r="AG1189" i="17"/>
  <c r="AG1174" i="17"/>
  <c r="AG1154" i="17"/>
  <c r="AG1141" i="17"/>
  <c r="AG1121" i="17"/>
  <c r="AG1103" i="17"/>
  <c r="AG1088" i="17"/>
  <c r="AG1070" i="17"/>
  <c r="AG1055" i="17"/>
  <c r="AG1037" i="17"/>
  <c r="AG1017" i="17"/>
  <c r="AG1000" i="17"/>
  <c r="AG979" i="17"/>
  <c r="AG962" i="17"/>
  <c r="AG942" i="17"/>
  <c r="AG921" i="17"/>
  <c r="AG904" i="17"/>
  <c r="AG881" i="17"/>
  <c r="AG866" i="17"/>
  <c r="AG843" i="17"/>
  <c r="AG823" i="17"/>
  <c r="AG806" i="17"/>
  <c r="AG785" i="17"/>
  <c r="AG768" i="17"/>
  <c r="AG747" i="17"/>
  <c r="AG725" i="17"/>
  <c r="AG707" i="17"/>
  <c r="AG687" i="17"/>
  <c r="AG659" i="17"/>
  <c r="AG631" i="17"/>
  <c r="AG602" i="17"/>
  <c r="AG570" i="17"/>
  <c r="AG542" i="17"/>
  <c r="AG513" i="17"/>
  <c r="AG485" i="17"/>
  <c r="AG456" i="17"/>
  <c r="AG419" i="17"/>
  <c r="AG386" i="17"/>
  <c r="AG353" i="17"/>
  <c r="AG320" i="17"/>
  <c r="AG287" i="17"/>
  <c r="AG249" i="17"/>
  <c r="AG216" i="17"/>
  <c r="AG183" i="17"/>
  <c r="AG150" i="17"/>
  <c r="AG115" i="17"/>
  <c r="AG79" i="17"/>
  <c r="AG33" i="17"/>
  <c r="AG1665" i="17"/>
  <c r="AG1625" i="17"/>
  <c r="AG1675" i="17"/>
  <c r="AG1624" i="17"/>
  <c r="AG1592" i="17"/>
  <c r="AG1519" i="17"/>
  <c r="AG1462" i="17"/>
  <c r="AG1417" i="17"/>
  <c r="AG1360" i="17"/>
  <c r="AG1258" i="17"/>
  <c r="AG1674" i="17"/>
  <c r="AG1635" i="17"/>
  <c r="AG1591" i="17"/>
  <c r="AG1518" i="17"/>
  <c r="AG1461" i="17"/>
  <c r="AG1416" i="17"/>
  <c r="AG1359" i="17"/>
  <c r="AG1327" i="17"/>
  <c r="AG1254" i="17"/>
  <c r="AG1197" i="17"/>
  <c r="AG1025" i="17"/>
  <c r="AG1659" i="17"/>
  <c r="AG1618" i="17"/>
  <c r="AG1606" i="17"/>
  <c r="AG1545" i="17"/>
  <c r="AG1488" i="17"/>
  <c r="AG1460" i="17"/>
  <c r="AG1428" i="17"/>
  <c r="AG1370" i="17"/>
  <c r="AG1342" i="17"/>
  <c r="AG1297" i="17"/>
  <c r="AG1194" i="17"/>
  <c r="AG1683" i="17"/>
  <c r="AG1644" i="17"/>
  <c r="AG1617" i="17"/>
  <c r="AG1573" i="17"/>
  <c r="AG1544" i="17"/>
  <c r="AG1500" i="17"/>
  <c r="AG1471" i="17"/>
  <c r="AG1442" i="17"/>
  <c r="AG1398" i="17"/>
  <c r="AG1369" i="17"/>
  <c r="AG1325" i="17"/>
  <c r="AG1280" i="17"/>
  <c r="AG1252" i="17"/>
  <c r="AG1207" i="17"/>
  <c r="AG1175" i="17"/>
  <c r="AG1122" i="17"/>
  <c r="AG1071" i="17"/>
  <c r="AG1038" i="17"/>
  <c r="AG981" i="17"/>
  <c r="AG905" i="17"/>
  <c r="AG786" i="17"/>
  <c r="AG1682" i="17"/>
  <c r="AG1643" i="17"/>
  <c r="AG1616" i="17"/>
  <c r="AG1588" i="17"/>
  <c r="AG1556" i="17"/>
  <c r="AG1514" i="17"/>
  <c r="AG1498" i="17"/>
  <c r="AG1470" i="17"/>
  <c r="AG1409" i="17"/>
  <c r="AG1368" i="17"/>
  <c r="AG1352" i="17"/>
  <c r="AG1279" i="17"/>
  <c r="AG1667" i="17"/>
  <c r="AG1642" i="17"/>
  <c r="AG1615" i="17"/>
  <c r="AG1583" i="17"/>
  <c r="AG1554" i="17"/>
  <c r="AG1526" i="17"/>
  <c r="AG1497" i="17"/>
  <c r="AG1469" i="17"/>
  <c r="AG1437" i="17"/>
  <c r="AG1408" i="17"/>
  <c r="AG1380" i="17"/>
  <c r="AG1351" i="17"/>
  <c r="AG1322" i="17"/>
  <c r="AG1306" i="17"/>
  <c r="AG1290" i="17"/>
  <c r="AG1278" i="17"/>
  <c r="AG1262" i="17"/>
  <c r="AG1249" i="17"/>
  <c r="AG1233" i="17"/>
  <c r="AG1217" i="17"/>
  <c r="AG1205" i="17"/>
  <c r="AG1186" i="17"/>
  <c r="AG1173" i="17"/>
  <c r="AG1153" i="17"/>
  <c r="AG1135" i="17"/>
  <c r="AG1120" i="17"/>
  <c r="AG1102" i="17"/>
  <c r="AG1087" i="17"/>
  <c r="AG1069" i="17"/>
  <c r="AG1049" i="17"/>
  <c r="AG1034" i="17"/>
  <c r="AG1016" i="17"/>
  <c r="AG999" i="17"/>
  <c r="AG978" i="17"/>
  <c r="AG958" i="17"/>
  <c r="AG941" i="17"/>
  <c r="AG918" i="17"/>
  <c r="AG903" i="17"/>
  <c r="AG880" i="17"/>
  <c r="AG859" i="17"/>
  <c r="AG842" i="17"/>
  <c r="AG822" i="17"/>
  <c r="AG805" i="17"/>
  <c r="AG784" i="17"/>
  <c r="AG761" i="17"/>
  <c r="AG744" i="17"/>
  <c r="AG723" i="17"/>
  <c r="AG706" i="17"/>
  <c r="AG686" i="17"/>
  <c r="AG658" i="17"/>
  <c r="AG630" i="17"/>
  <c r="AG598" i="17"/>
  <c r="AG569" i="17"/>
  <c r="AG541" i="17"/>
  <c r="AG512" i="17"/>
  <c r="AG483" i="17"/>
  <c r="AG451" i="17"/>
  <c r="AG418" i="17"/>
  <c r="AG385" i="17"/>
  <c r="AG352" i="17"/>
  <c r="AG319" i="17"/>
  <c r="AG281" i="17"/>
  <c r="AG248" i="17"/>
  <c r="AG215" i="17"/>
  <c r="AG182" i="17"/>
  <c r="AG147" i="17"/>
  <c r="AG111" i="17"/>
  <c r="AG78" i="17"/>
  <c r="AG25" i="17"/>
  <c r="AG1651" i="17"/>
  <c r="AG1597" i="17"/>
  <c r="AG1650" i="17"/>
  <c r="AG1608" i="17"/>
  <c r="AG1506" i="17"/>
  <c r="AG1446" i="17"/>
  <c r="AG1389" i="17"/>
  <c r="AG1344" i="17"/>
  <c r="AG1242" i="17"/>
  <c r="AG1649" i="17"/>
  <c r="AG1620" i="17"/>
  <c r="AG1578" i="17"/>
  <c r="AG1505" i="17"/>
  <c r="AG1445" i="17"/>
  <c r="AG1388" i="17"/>
  <c r="AG1343" i="17"/>
  <c r="AG1286" i="17"/>
  <c r="AG1241" i="17"/>
  <c r="AG1162" i="17"/>
  <c r="AG1078" i="17"/>
  <c r="AG1684" i="17"/>
  <c r="AG1645" i="17"/>
  <c r="AG1590" i="17"/>
  <c r="AG1533" i="17"/>
  <c r="AG1472" i="17"/>
  <c r="AG1444" i="17"/>
  <c r="AG1386" i="17"/>
  <c r="AG1313" i="17"/>
  <c r="AG1176" i="17"/>
  <c r="AG1669" i="17"/>
  <c r="AG1633" i="17"/>
  <c r="AG1589" i="17"/>
  <c r="AG1560" i="17"/>
  <c r="AG1516" i="17"/>
  <c r="AG1487" i="17"/>
  <c r="AG1426" i="17"/>
  <c r="AG1382" i="17"/>
  <c r="AG1353" i="17"/>
  <c r="AG1309" i="17"/>
  <c r="AG1268" i="17"/>
  <c r="AG1236" i="17"/>
  <c r="AG1193" i="17"/>
  <c r="AG1142" i="17"/>
  <c r="AG1109" i="17"/>
  <c r="AG1056" i="17"/>
  <c r="AG1003" i="17"/>
  <c r="AG926" i="17"/>
  <c r="AG769" i="17"/>
  <c r="AG1657" i="17"/>
  <c r="AG1629" i="17"/>
  <c r="AG1600" i="17"/>
  <c r="AG1572" i="17"/>
  <c r="AG1527" i="17"/>
  <c r="AG1482" i="17"/>
  <c r="AG1441" i="17"/>
  <c r="AG1425" i="17"/>
  <c r="AG1381" i="17"/>
  <c r="AG1336" i="17"/>
  <c r="AG1295" i="17"/>
  <c r="AG1681" i="17"/>
  <c r="AG1653" i="17"/>
  <c r="AG1628" i="17"/>
  <c r="AG1599" i="17"/>
  <c r="AG1570" i="17"/>
  <c r="AG1542" i="17"/>
  <c r="AG1510" i="17"/>
  <c r="AG1481" i="17"/>
  <c r="AG1453" i="17"/>
  <c r="AG1424" i="17"/>
  <c r="AG1396" i="17"/>
  <c r="AG1364" i="17"/>
  <c r="AG1335" i="17"/>
  <c r="AG1677" i="17"/>
  <c r="AG1666" i="17"/>
  <c r="AG1652" i="17"/>
  <c r="AG1641" i="17"/>
  <c r="AG1626" i="17"/>
  <c r="AG1610" i="17"/>
  <c r="AG1598" i="17"/>
  <c r="AG1582" i="17"/>
  <c r="AG1569" i="17"/>
  <c r="AG1553" i="17"/>
  <c r="AG1537" i="17"/>
  <c r="AG1525" i="17"/>
  <c r="AG1509" i="17"/>
  <c r="AG1496" i="17"/>
  <c r="AG1480" i="17"/>
  <c r="AG1464" i="17"/>
  <c r="AG1452" i="17"/>
  <c r="AG1436" i="17"/>
  <c r="AG1423" i="17"/>
  <c r="AG1407" i="17"/>
  <c r="AG1391" i="17"/>
  <c r="AG1378" i="17"/>
  <c r="AG1362" i="17"/>
  <c r="AG1350" i="17"/>
  <c r="AG1334" i="17"/>
  <c r="AG1318" i="17"/>
  <c r="AG1305" i="17"/>
  <c r="AG1289" i="17"/>
  <c r="AG1277" i="17"/>
  <c r="AG1261" i="17"/>
  <c r="AG1245" i="17"/>
  <c r="AG1232" i="17"/>
  <c r="AG1216" i="17"/>
  <c r="AG1204" i="17"/>
  <c r="AG1185" i="17"/>
  <c r="AG1167" i="17"/>
  <c r="AG1152" i="17"/>
  <c r="AG1134" i="17"/>
  <c r="AG1119" i="17"/>
  <c r="AG1101" i="17"/>
  <c r="AG1081" i="17"/>
  <c r="AG1066" i="17"/>
  <c r="AG1048" i="17"/>
  <c r="AG1033" i="17"/>
  <c r="AG1015" i="17"/>
  <c r="AG994" i="17"/>
  <c r="AG977" i="17"/>
  <c r="AG954" i="17"/>
  <c r="AG939" i="17"/>
  <c r="AG917" i="17"/>
  <c r="AG896" i="17"/>
  <c r="AG879" i="17"/>
  <c r="AG858" i="17"/>
  <c r="AG841" i="17"/>
  <c r="AG821" i="17"/>
  <c r="AG798" i="17"/>
  <c r="AG781" i="17"/>
  <c r="AG760" i="17"/>
  <c r="AG743" i="17"/>
  <c r="AG722" i="17"/>
  <c r="AG702" i="17"/>
  <c r="AG685" i="17"/>
  <c r="AG657" i="17"/>
  <c r="AG625" i="17"/>
  <c r="AG597" i="17"/>
  <c r="AG568" i="17"/>
  <c r="AG539" i="17"/>
  <c r="AG511" i="17"/>
  <c r="AG479" i="17"/>
  <c r="AG450" i="17"/>
  <c r="AG417" i="17"/>
  <c r="AG384" i="17"/>
  <c r="AG351" i="17"/>
  <c r="AG313" i="17"/>
  <c r="AG280" i="17"/>
  <c r="AG247" i="17"/>
  <c r="AG214" i="17"/>
  <c r="AG179" i="17"/>
  <c r="AG143" i="17"/>
  <c r="AG110" i="17"/>
  <c r="AG75" i="17"/>
  <c r="AG24" i="17"/>
  <c r="AG669" i="17"/>
  <c r="AG624" i="17"/>
  <c r="AG579" i="17"/>
  <c r="AG538" i="17"/>
  <c r="AG494" i="17"/>
  <c r="AG431" i="17"/>
  <c r="AG345" i="17"/>
  <c r="AG74" i="17"/>
  <c r="AG1680" i="17"/>
  <c r="AG1656" i="17"/>
  <c r="AG1632" i="17"/>
  <c r="AG1596" i="17"/>
  <c r="AG1568" i="17"/>
  <c r="AG1541" i="17"/>
  <c r="AG1513" i="17"/>
  <c r="AG1477" i="17"/>
  <c r="AG1440" i="17"/>
  <c r="AG1413" i="17"/>
  <c r="AG1385" i="17"/>
  <c r="AG1358" i="17"/>
  <c r="AG1312" i="17"/>
  <c r="AG1285" i="17"/>
  <c r="AG1248" i="17"/>
  <c r="AG1160" i="17"/>
  <c r="AG851" i="17"/>
  <c r="AG683" i="17"/>
  <c r="AG640" i="17"/>
  <c r="AG595" i="17"/>
  <c r="AG551" i="17"/>
  <c r="AG506" i="17"/>
  <c r="AG478" i="17"/>
  <c r="AG449" i="17"/>
  <c r="AG398" i="17"/>
  <c r="AG363" i="17"/>
  <c r="AG312" i="17"/>
  <c r="AG279" i="17"/>
  <c r="AG246" i="17"/>
  <c r="AG211" i="17"/>
  <c r="AG175" i="17"/>
  <c r="AG142" i="17"/>
  <c r="AG107" i="17"/>
  <c r="AG47" i="17"/>
  <c r="AG1672" i="17"/>
  <c r="AG1648" i="17"/>
  <c r="AG1623" i="17"/>
  <c r="AG1605" i="17"/>
  <c r="AG1577" i="17"/>
  <c r="AG1550" i="17"/>
  <c r="AG1522" i="17"/>
  <c r="AG1495" i="17"/>
  <c r="AG1468" i="17"/>
  <c r="AG1449" i="17"/>
  <c r="AG1431" i="17"/>
  <c r="AG1404" i="17"/>
  <c r="AG1376" i="17"/>
  <c r="AG1349" i="17"/>
  <c r="AG1330" i="17"/>
  <c r="AG1303" i="17"/>
  <c r="AG1276" i="17"/>
  <c r="AG1257" i="17"/>
  <c r="AG1230" i="17"/>
  <c r="AG1221" i="17"/>
  <c r="AG1202" i="17"/>
  <c r="AG1182" i="17"/>
  <c r="AG1150" i="17"/>
  <c r="AG1128" i="17"/>
  <c r="AG1106" i="17"/>
  <c r="AG1086" i="17"/>
  <c r="AG1064" i="17"/>
  <c r="AG1042" i="17"/>
  <c r="AG1022" i="17"/>
  <c r="AG998" i="17"/>
  <c r="AG973" i="17"/>
  <c r="AG950" i="17"/>
  <c r="AG925" i="17"/>
  <c r="AG899" i="17"/>
  <c r="AG877" i="17"/>
  <c r="AG840" i="17"/>
  <c r="AG815" i="17"/>
  <c r="AG790" i="17"/>
  <c r="AG767" i="17"/>
  <c r="AG742" i="17"/>
  <c r="AG717" i="17"/>
  <c r="AG694" i="17"/>
  <c r="AG667" i="17"/>
  <c r="AG639" i="17"/>
  <c r="AG607" i="17"/>
  <c r="AG578" i="17"/>
  <c r="AG550" i="17"/>
  <c r="AG521" i="17"/>
  <c r="AG493" i="17"/>
  <c r="AG461" i="17"/>
  <c r="AG430" i="17"/>
  <c r="AG395" i="17"/>
  <c r="AG362" i="17"/>
  <c r="AG329" i="17"/>
  <c r="AG291" i="17"/>
  <c r="AG258" i="17"/>
  <c r="AG225" i="17"/>
  <c r="AG192" i="17"/>
  <c r="AG159" i="17"/>
  <c r="AG121" i="17"/>
  <c r="AG88" i="17"/>
  <c r="AG46" i="17"/>
  <c r="AG1671" i="17"/>
  <c r="AG1655" i="17"/>
  <c r="AG1639" i="17"/>
  <c r="AG1622" i="17"/>
  <c r="AG1604" i="17"/>
  <c r="AG1585" i="17"/>
  <c r="AG1567" i="17"/>
  <c r="AG1549" i="17"/>
  <c r="AG1530" i="17"/>
  <c r="AG1512" i="17"/>
  <c r="AG1494" i="17"/>
  <c r="AG1476" i="17"/>
  <c r="AG1457" i="17"/>
  <c r="AG1439" i="17"/>
  <c r="AG1421" i="17"/>
  <c r="AG1402" i="17"/>
  <c r="AG1384" i="17"/>
  <c r="AG1366" i="17"/>
  <c r="AG1348" i="17"/>
  <c r="AG1329" i="17"/>
  <c r="AG1311" i="17"/>
  <c r="AG1293" i="17"/>
  <c r="AG1274" i="17"/>
  <c r="AG1256" i="17"/>
  <c r="AG1238" i="17"/>
  <c r="AG1220" i="17"/>
  <c r="AG1201" i="17"/>
  <c r="AG1181" i="17"/>
  <c r="AG1159" i="17"/>
  <c r="AG1137" i="17"/>
  <c r="AG1117" i="17"/>
  <c r="AG1095" i="17"/>
  <c r="AG1073" i="17"/>
  <c r="AG1053" i="17"/>
  <c r="AG1031" i="17"/>
  <c r="AG1008" i="17"/>
  <c r="AG985" i="17"/>
  <c r="AG960" i="17"/>
  <c r="AG935" i="17"/>
  <c r="AG923" i="17"/>
  <c r="AG912" i="17"/>
  <c r="AG898" i="17"/>
  <c r="AG887" i="17"/>
  <c r="AG875" i="17"/>
  <c r="AG850" i="17"/>
  <c r="AG839" i="17"/>
  <c r="AG825" i="17"/>
  <c r="AG814" i="17"/>
  <c r="AG802" i="17"/>
  <c r="AG789" i="17"/>
  <c r="AG777" i="17"/>
  <c r="AG766" i="17"/>
  <c r="AG752" i="17"/>
  <c r="AG741" i="17"/>
  <c r="AG729" i="17"/>
  <c r="AG715" i="17"/>
  <c r="AG704" i="17"/>
  <c r="AG693" i="17"/>
  <c r="AG679" i="17"/>
  <c r="AG666" i="17"/>
  <c r="AG650" i="17"/>
  <c r="AG634" i="17"/>
  <c r="AG622" i="17"/>
  <c r="AG606" i="17"/>
  <c r="AG593" i="17"/>
  <c r="AG577" i="17"/>
  <c r="AG561" i="17"/>
  <c r="AG549" i="17"/>
  <c r="AG533" i="17"/>
  <c r="AG520" i="17"/>
  <c r="AG504" i="17"/>
  <c r="AG488" i="17"/>
  <c r="AG475" i="17"/>
  <c r="AG459" i="17"/>
  <c r="AG447" i="17"/>
  <c r="AG427" i="17"/>
  <c r="AG409" i="17"/>
  <c r="AG394" i="17"/>
  <c r="AG376" i="17"/>
  <c r="AG361" i="17"/>
  <c r="AG343" i="17"/>
  <c r="AG323" i="17"/>
  <c r="AG310" i="17"/>
  <c r="AG290" i="17"/>
  <c r="AG275" i="17"/>
  <c r="AG257" i="17"/>
  <c r="AG239" i="17"/>
  <c r="AG224" i="17"/>
  <c r="AG206" i="17"/>
  <c r="AG191" i="17"/>
  <c r="AG171" i="17"/>
  <c r="AG153" i="17"/>
  <c r="AG138" i="17"/>
  <c r="AG120" i="17"/>
  <c r="AG105" i="17"/>
  <c r="AG87" i="17"/>
  <c r="AG66" i="17"/>
  <c r="AG43" i="17"/>
  <c r="AG14" i="17"/>
  <c r="AG653" i="17"/>
  <c r="AG611" i="17"/>
  <c r="AG567" i="17"/>
  <c r="AG522" i="17"/>
  <c r="AG465" i="17"/>
  <c r="AG416" i="17"/>
  <c r="AG383" i="17"/>
  <c r="AG330" i="17"/>
  <c r="AG297" i="17"/>
  <c r="AG259" i="17"/>
  <c r="AG226" i="17"/>
  <c r="AG193" i="17"/>
  <c r="AG160" i="17"/>
  <c r="AG127" i="17"/>
  <c r="AG89" i="17"/>
  <c r="AG23" i="17"/>
  <c r="AG1664" i="17"/>
  <c r="AG1640" i="17"/>
  <c r="AG1614" i="17"/>
  <c r="AG1586" i="17"/>
  <c r="AG1559" i="17"/>
  <c r="AG1532" i="17"/>
  <c r="AG1504" i="17"/>
  <c r="AG1486" i="17"/>
  <c r="AG1458" i="17"/>
  <c r="AG1422" i="17"/>
  <c r="AG1394" i="17"/>
  <c r="AG1367" i="17"/>
  <c r="AG1340" i="17"/>
  <c r="AG1321" i="17"/>
  <c r="AG1294" i="17"/>
  <c r="AG1266" i="17"/>
  <c r="AG1239" i="17"/>
  <c r="AG1212" i="17"/>
  <c r="AG1192" i="17"/>
  <c r="AG1170" i="17"/>
  <c r="AG1138" i="17"/>
  <c r="AG1118" i="17"/>
  <c r="AG1096" i="17"/>
  <c r="AG1074" i="17"/>
  <c r="AG1054" i="17"/>
  <c r="AG1032" i="17"/>
  <c r="AG1009" i="17"/>
  <c r="AG986" i="17"/>
  <c r="AG961" i="17"/>
  <c r="AG936" i="17"/>
  <c r="AG913" i="17"/>
  <c r="AG888" i="17"/>
  <c r="AG863" i="17"/>
  <c r="AG826" i="17"/>
  <c r="AG803" i="17"/>
  <c r="AG778" i="17"/>
  <c r="AG753" i="17"/>
  <c r="AG730" i="17"/>
  <c r="AG705" i="17"/>
  <c r="AG680" i="17"/>
  <c r="AG651" i="17"/>
  <c r="AG623" i="17"/>
  <c r="AG594" i="17"/>
  <c r="AG566" i="17"/>
  <c r="AG534" i="17"/>
  <c r="AG505" i="17"/>
  <c r="AG477" i="17"/>
  <c r="AG448" i="17"/>
  <c r="AG415" i="17"/>
  <c r="AG377" i="17"/>
  <c r="AG344" i="17"/>
  <c r="AG311" i="17"/>
  <c r="AG278" i="17"/>
  <c r="AG243" i="17"/>
  <c r="AG207" i="17"/>
  <c r="AG174" i="17"/>
  <c r="AG139" i="17"/>
  <c r="AG106" i="17"/>
  <c r="AG67" i="17"/>
  <c r="AG15" i="17"/>
  <c r="AG1679" i="17"/>
  <c r="AG1663" i="17"/>
  <c r="AG1647" i="17"/>
  <c r="AG1631" i="17"/>
  <c r="AG1613" i="17"/>
  <c r="AG1594" i="17"/>
  <c r="AG1576" i="17"/>
  <c r="AG1558" i="17"/>
  <c r="AG1540" i="17"/>
  <c r="AG1521" i="17"/>
  <c r="AG1503" i="17"/>
  <c r="AG1485" i="17"/>
  <c r="AG1466" i="17"/>
  <c r="AG1448" i="17"/>
  <c r="AG1430" i="17"/>
  <c r="AG1412" i="17"/>
  <c r="AG1393" i="17"/>
  <c r="AG1375" i="17"/>
  <c r="AG1357" i="17"/>
  <c r="AG1338" i="17"/>
  <c r="AG1320" i="17"/>
  <c r="AG1302" i="17"/>
  <c r="AG1284" i="17"/>
  <c r="AG1265" i="17"/>
  <c r="AG1247" i="17"/>
  <c r="AG1229" i="17"/>
  <c r="AG1210" i="17"/>
  <c r="AG1191" i="17"/>
  <c r="AG1169" i="17"/>
  <c r="AG1149" i="17"/>
  <c r="AG1127" i="17"/>
  <c r="AG1105" i="17"/>
  <c r="AG1085" i="17"/>
  <c r="AG1063" i="17"/>
  <c r="AG1041" i="17"/>
  <c r="AG1021" i="17"/>
  <c r="AG997" i="17"/>
  <c r="AG971" i="17"/>
  <c r="AG949" i="17"/>
  <c r="AG862" i="17"/>
  <c r="AG1678" i="17"/>
  <c r="AG1670" i="17"/>
  <c r="AG1662" i="17"/>
  <c r="AG1654" i="17"/>
  <c r="AG1646" i="17"/>
  <c r="AG1638" i="17"/>
  <c r="AG1630" i="17"/>
  <c r="AG1621" i="17"/>
  <c r="AG1612" i="17"/>
  <c r="AG1602" i="17"/>
  <c r="AG1593" i="17"/>
  <c r="AG1584" i="17"/>
  <c r="AG1575" i="17"/>
  <c r="AG1566" i="17"/>
  <c r="AG1557" i="17"/>
  <c r="AG1548" i="17"/>
  <c r="AG1538" i="17"/>
  <c r="AG1529" i="17"/>
  <c r="AG1520" i="17"/>
  <c r="AG1511" i="17"/>
  <c r="AG1502" i="17"/>
  <c r="AG1493" i="17"/>
  <c r="AG1484" i="17"/>
  <c r="AG1474" i="17"/>
  <c r="AG1465" i="17"/>
  <c r="AG1456" i="17"/>
  <c r="AG1447" i="17"/>
  <c r="AG1438" i="17"/>
  <c r="AG1429" i="17"/>
  <c r="AG1420" i="17"/>
  <c r="AG1410" i="17"/>
  <c r="AG1401" i="17"/>
  <c r="AG1392" i="17"/>
  <c r="AG1383" i="17"/>
  <c r="AG1374" i="17"/>
  <c r="AG1365" i="17"/>
  <c r="AG1356" i="17"/>
  <c r="AG1346" i="17"/>
  <c r="AG1337" i="17"/>
  <c r="AG1328" i="17"/>
  <c r="AG1319" i="17"/>
  <c r="AG1310" i="17"/>
  <c r="AG1301" i="17"/>
  <c r="AG1292" i="17"/>
  <c r="AG1282" i="17"/>
  <c r="AG1273" i="17"/>
  <c r="AG1264" i="17"/>
  <c r="AG1255" i="17"/>
  <c r="AG1246" i="17"/>
  <c r="AG1237" i="17"/>
  <c r="AG1228" i="17"/>
  <c r="AG1218" i="17"/>
  <c r="AG1209" i="17"/>
  <c r="AG1200" i="17"/>
  <c r="AG1190" i="17"/>
  <c r="AG1178" i="17"/>
  <c r="AG1168" i="17"/>
  <c r="AG1158" i="17"/>
  <c r="AG1146" i="17"/>
  <c r="AG1136" i="17"/>
  <c r="AG1126" i="17"/>
  <c r="AG1114" i="17"/>
  <c r="AG1104" i="17"/>
  <c r="AG1094" i="17"/>
  <c r="AG1082" i="17"/>
  <c r="AG1072" i="17"/>
  <c r="AG1062" i="17"/>
  <c r="AG1050" i="17"/>
  <c r="AG1040" i="17"/>
  <c r="AG1030" i="17"/>
  <c r="AG1018" i="17"/>
  <c r="AG1007" i="17"/>
  <c r="AG995" i="17"/>
  <c r="AG982" i="17"/>
  <c r="AG970" i="17"/>
  <c r="AG959" i="17"/>
  <c r="AG945" i="17"/>
  <c r="AG934" i="17"/>
  <c r="AG922" i="17"/>
  <c r="AG909" i="17"/>
  <c r="AG897" i="17"/>
  <c r="AG886" i="17"/>
  <c r="AG872" i="17"/>
  <c r="AG861" i="17"/>
  <c r="AG849" i="17"/>
  <c r="AG835" i="17"/>
  <c r="AG824" i="17"/>
  <c r="AG813" i="17"/>
  <c r="AG799" i="17"/>
  <c r="AG787" i="17"/>
  <c r="AG776" i="17"/>
  <c r="AG762" i="17"/>
  <c r="AG751" i="17"/>
  <c r="AG739" i="17"/>
  <c r="AG726" i="17"/>
  <c r="AG714" i="17"/>
  <c r="AG703" i="17"/>
  <c r="AG689" i="17"/>
  <c r="AG678" i="17"/>
  <c r="AG662" i="17"/>
  <c r="AG649" i="17"/>
  <c r="AG633" i="17"/>
  <c r="AG621" i="17"/>
  <c r="AG605" i="17"/>
  <c r="AG589" i="17"/>
  <c r="AG576" i="17"/>
  <c r="AG560" i="17"/>
  <c r="AG547" i="17"/>
  <c r="AG531" i="17"/>
  <c r="AG515" i="17"/>
  <c r="AG503" i="17"/>
  <c r="AG487" i="17"/>
  <c r="AG474" i="17"/>
  <c r="AG458" i="17"/>
  <c r="AG441" i="17"/>
  <c r="AG426" i="17"/>
  <c r="AG408" i="17"/>
  <c r="AG393" i="17"/>
  <c r="AG375" i="17"/>
  <c r="AG355" i="17"/>
  <c r="AG342" i="17"/>
  <c r="AG322" i="17"/>
  <c r="AG307" i="17"/>
  <c r="AG289" i="17"/>
  <c r="AG271" i="17"/>
  <c r="AG256" i="17"/>
  <c r="AG238" i="17"/>
  <c r="AG223" i="17"/>
  <c r="AG203" i="17"/>
  <c r="AG185" i="17"/>
  <c r="AG170" i="17"/>
  <c r="AG152" i="17"/>
  <c r="AG137" i="17"/>
  <c r="AG119" i="17"/>
  <c r="AG99" i="17"/>
  <c r="AG86" i="17"/>
  <c r="AG65" i="17"/>
  <c r="AG35" i="17"/>
  <c r="AG11" i="17"/>
  <c r="AG54" i="17"/>
  <c r="AG42" i="17"/>
  <c r="AG32" i="17"/>
  <c r="AG22" i="17"/>
  <c r="AG10" i="17"/>
  <c r="AG73" i="17"/>
  <c r="AG63" i="17"/>
  <c r="AG51" i="17"/>
  <c r="AG41" i="17"/>
  <c r="AG31" i="17"/>
  <c r="AG19" i="17"/>
  <c r="AG9" i="17"/>
  <c r="AG674" i="17"/>
  <c r="AG665" i="17"/>
  <c r="AG656" i="17"/>
  <c r="AG647" i="17"/>
  <c r="AG638" i="17"/>
  <c r="AG629" i="17"/>
  <c r="AG619" i="17"/>
  <c r="AG610" i="17"/>
  <c r="AG601" i="17"/>
  <c r="AG592" i="17"/>
  <c r="AG583" i="17"/>
  <c r="AG574" i="17"/>
  <c r="AG565" i="17"/>
  <c r="AG555" i="17"/>
  <c r="AG546" i="17"/>
  <c r="AG537" i="17"/>
  <c r="AG528" i="17"/>
  <c r="AG519" i="17"/>
  <c r="AG510" i="17"/>
  <c r="AG501" i="17"/>
  <c r="AG491" i="17"/>
  <c r="AG482" i="17"/>
  <c r="AG473" i="17"/>
  <c r="AG464" i="17"/>
  <c r="AG455" i="17"/>
  <c r="AG446" i="17"/>
  <c r="AG434" i="17"/>
  <c r="AG424" i="17"/>
  <c r="AG414" i="17"/>
  <c r="AG402" i="17"/>
  <c r="AG392" i="17"/>
  <c r="AG382" i="17"/>
  <c r="AG370" i="17"/>
  <c r="AG360" i="17"/>
  <c r="AG350" i="17"/>
  <c r="AG338" i="17"/>
  <c r="AG328" i="17"/>
  <c r="AG318" i="17"/>
  <c r="AG306" i="17"/>
  <c r="AG296" i="17"/>
  <c r="AG286" i="17"/>
  <c r="AG274" i="17"/>
  <c r="AG264" i="17"/>
  <c r="AG254" i="17"/>
  <c r="AG242" i="17"/>
  <c r="AG232" i="17"/>
  <c r="AG222" i="17"/>
  <c r="AG210" i="17"/>
  <c r="AG200" i="17"/>
  <c r="AG190" i="17"/>
  <c r="AG178" i="17"/>
  <c r="AG168" i="17"/>
  <c r="AG158" i="17"/>
  <c r="AG146" i="17"/>
  <c r="AG136" i="17"/>
  <c r="AG126" i="17"/>
  <c r="AG114" i="17"/>
  <c r="AG104" i="17"/>
  <c r="AG94" i="17"/>
  <c r="AG82" i="17"/>
  <c r="AG72" i="17"/>
  <c r="AG62" i="17"/>
  <c r="AG50" i="17"/>
  <c r="AG40" i="17"/>
  <c r="AG30" i="17"/>
  <c r="AG18" i="17"/>
  <c r="AG8" i="17"/>
  <c r="AG1196" i="17"/>
  <c r="AG1188" i="17"/>
  <c r="AG1180" i="17"/>
  <c r="AG1172" i="17"/>
  <c r="AG1164" i="17"/>
  <c r="AG1156" i="17"/>
  <c r="AG1148" i="17"/>
  <c r="AG1140" i="17"/>
  <c r="AG1132" i="17"/>
  <c r="AG1124" i="17"/>
  <c r="AG1116" i="17"/>
  <c r="AG1108" i="17"/>
  <c r="AG1100" i="17"/>
  <c r="AG1092" i="17"/>
  <c r="AG1084" i="17"/>
  <c r="AG1076" i="17"/>
  <c r="AG1068" i="17"/>
  <c r="AG1060" i="17"/>
  <c r="AG1052" i="17"/>
  <c r="AG1044" i="17"/>
  <c r="AG1036" i="17"/>
  <c r="AG1028" i="17"/>
  <c r="AG1020" i="17"/>
  <c r="AG1011" i="17"/>
  <c r="AG1002" i="17"/>
  <c r="AG993" i="17"/>
  <c r="AG984" i="17"/>
  <c r="AG975" i="17"/>
  <c r="AG966" i="17"/>
  <c r="AG957" i="17"/>
  <c r="AG947" i="17"/>
  <c r="AG938" i="17"/>
  <c r="AG929" i="17"/>
  <c r="AG920" i="17"/>
  <c r="AG911" i="17"/>
  <c r="AG902" i="17"/>
  <c r="AG893" i="17"/>
  <c r="AG883" i="17"/>
  <c r="AG874" i="17"/>
  <c r="AG865" i="17"/>
  <c r="AG856" i="17"/>
  <c r="AG847" i="17"/>
  <c r="AG838" i="17"/>
  <c r="AG829" i="17"/>
  <c r="AG819" i="17"/>
  <c r="AG810" i="17"/>
  <c r="AG801" i="17"/>
  <c r="AG792" i="17"/>
  <c r="AG783" i="17"/>
  <c r="AG774" i="17"/>
  <c r="AG765" i="17"/>
  <c r="AG755" i="17"/>
  <c r="AG746" i="17"/>
  <c r="AG737" i="17"/>
  <c r="AG728" i="17"/>
  <c r="AG719" i="17"/>
  <c r="AG710" i="17"/>
  <c r="AG701" i="17"/>
  <c r="AG691" i="17"/>
  <c r="AG682" i="17"/>
  <c r="AG673" i="17"/>
  <c r="AG664" i="17"/>
  <c r="AG655" i="17"/>
  <c r="AG646" i="17"/>
  <c r="AG637" i="17"/>
  <c r="AG627" i="17"/>
  <c r="AG618" i="17"/>
  <c r="AG609" i="17"/>
  <c r="AG600" i="17"/>
  <c r="AG591" i="17"/>
  <c r="AG582" i="17"/>
  <c r="AG573" i="17"/>
  <c r="AG563" i="17"/>
  <c r="AG554" i="17"/>
  <c r="AG545" i="17"/>
  <c r="AG536" i="17"/>
  <c r="AG527" i="17"/>
  <c r="AG518" i="17"/>
  <c r="AG509" i="17"/>
  <c r="AG499" i="17"/>
  <c r="AG490" i="17"/>
  <c r="AG481" i="17"/>
  <c r="AG472" i="17"/>
  <c r="AG463" i="17"/>
  <c r="AG454" i="17"/>
  <c r="AG443" i="17"/>
  <c r="AG433" i="17"/>
  <c r="AG423" i="17"/>
  <c r="AG411" i="17"/>
  <c r="AG401" i="17"/>
  <c r="AG391" i="17"/>
  <c r="AG379" i="17"/>
  <c r="AG369" i="17"/>
  <c r="AG359" i="17"/>
  <c r="AG347" i="17"/>
  <c r="AG337" i="17"/>
  <c r="AG327" i="17"/>
  <c r="AG315" i="17"/>
  <c r="AG305" i="17"/>
  <c r="AG295" i="17"/>
  <c r="AG283" i="17"/>
  <c r="AG273" i="17"/>
  <c r="AG263" i="17"/>
  <c r="AG251" i="17"/>
  <c r="AG241" i="17"/>
  <c r="AG231" i="17"/>
  <c r="AG219" i="17"/>
  <c r="AG209" i="17"/>
  <c r="AG199" i="17"/>
  <c r="AG187" i="17"/>
  <c r="AG177" i="17"/>
  <c r="AG167" i="17"/>
  <c r="AG155" i="17"/>
  <c r="AG145" i="17"/>
  <c r="AG135" i="17"/>
  <c r="AG123" i="17"/>
  <c r="AG113" i="17"/>
  <c r="AG103" i="17"/>
  <c r="AG91" i="17"/>
  <c r="AG81" i="17"/>
  <c r="AG71" i="17"/>
  <c r="AG59" i="17"/>
  <c r="AG49" i="17"/>
  <c r="AG39" i="17"/>
  <c r="AG27" i="17"/>
  <c r="AG17" i="17"/>
  <c r="AG7" i="17"/>
  <c r="AG1627" i="17"/>
  <c r="AG1619" i="17"/>
  <c r="AG1611" i="17"/>
  <c r="AG1603" i="17"/>
  <c r="AG1595" i="17"/>
  <c r="AG1587" i="17"/>
  <c r="AG1579" i="17"/>
  <c r="AG1571" i="17"/>
  <c r="AG1563" i="17"/>
  <c r="AG1555" i="17"/>
  <c r="AG1547" i="17"/>
  <c r="AG1539" i="17"/>
  <c r="AG1531" i="17"/>
  <c r="AG1523" i="17"/>
  <c r="AG1515" i="17"/>
  <c r="AG1507" i="17"/>
  <c r="AG1499" i="17"/>
  <c r="AG1491" i="17"/>
  <c r="AG1483" i="17"/>
  <c r="AG1475" i="17"/>
  <c r="AG1467" i="17"/>
  <c r="AG1459" i="17"/>
  <c r="AG1451" i="17"/>
  <c r="AG1443" i="17"/>
  <c r="AG1435" i="17"/>
  <c r="AG1427" i="17"/>
  <c r="AG1419" i="17"/>
  <c r="AG1411" i="17"/>
  <c r="AG1403" i="17"/>
  <c r="AG1395" i="17"/>
  <c r="AG1387" i="17"/>
  <c r="AG1379" i="17"/>
  <c r="AG1371" i="17"/>
  <c r="AG1363" i="17"/>
  <c r="AG1355" i="17"/>
  <c r="AG1347" i="17"/>
  <c r="AG1339" i="17"/>
  <c r="AG1331" i="17"/>
  <c r="AG1323" i="17"/>
  <c r="AG1315" i="17"/>
  <c r="AG1307" i="17"/>
  <c r="AG1299" i="17"/>
  <c r="AG1291" i="17"/>
  <c r="AG1283" i="17"/>
  <c r="AG1275" i="17"/>
  <c r="AG1267" i="17"/>
  <c r="AG1259" i="17"/>
  <c r="AG1251" i="17"/>
  <c r="AG1243" i="17"/>
  <c r="AG1235" i="17"/>
  <c r="AG1227" i="17"/>
  <c r="AG1219" i="17"/>
  <c r="AG1211" i="17"/>
  <c r="AG1203" i="17"/>
  <c r="AG1195" i="17"/>
  <c r="AG1187" i="17"/>
  <c r="AG1179" i="17"/>
  <c r="AG1171" i="17"/>
  <c r="AG1163" i="17"/>
  <c r="AG1155" i="17"/>
  <c r="AG1147" i="17"/>
  <c r="AG1139" i="17"/>
  <c r="AG1131" i="17"/>
  <c r="AG1123" i="17"/>
  <c r="AG1115" i="17"/>
  <c r="AG1107" i="17"/>
  <c r="AG1099" i="17"/>
  <c r="AG1091" i="17"/>
  <c r="AG1083" i="17"/>
  <c r="AG1075" i="17"/>
  <c r="AG1067" i="17"/>
  <c r="AG1059" i="17"/>
  <c r="AG1051" i="17"/>
  <c r="AG1043" i="17"/>
  <c r="AG1035" i="17"/>
  <c r="AG1027" i="17"/>
  <c r="AG1019" i="17"/>
  <c r="AG1010" i="17"/>
  <c r="AG1001" i="17"/>
  <c r="AG992" i="17"/>
  <c r="AG983" i="17"/>
  <c r="AG974" i="17"/>
  <c r="AG965" i="17"/>
  <c r="AG955" i="17"/>
  <c r="AG946" i="17"/>
  <c r="AG937" i="17"/>
  <c r="AG928" i="17"/>
  <c r="AG919" i="17"/>
  <c r="AG910" i="17"/>
  <c r="AG901" i="17"/>
  <c r="AG891" i="17"/>
  <c r="AG882" i="17"/>
  <c r="AG873" i="17"/>
  <c r="AG864" i="17"/>
  <c r="AG855" i="17"/>
  <c r="AG846" i="17"/>
  <c r="AG837" i="17"/>
  <c r="AG827" i="17"/>
  <c r="AG818" i="17"/>
  <c r="AG809" i="17"/>
  <c r="AG800" i="17"/>
  <c r="AG791" i="17"/>
  <c r="AG782" i="17"/>
  <c r="AG773" i="17"/>
  <c r="AG763" i="17"/>
  <c r="AG754" i="17"/>
  <c r="AG745" i="17"/>
  <c r="AG736" i="17"/>
  <c r="AG727" i="17"/>
  <c r="AG718" i="17"/>
  <c r="AG709" i="17"/>
  <c r="AG699" i="17"/>
  <c r="AG690" i="17"/>
  <c r="AG681" i="17"/>
  <c r="AG672" i="17"/>
  <c r="AG663" i="17"/>
  <c r="AG654" i="17"/>
  <c r="AG645" i="17"/>
  <c r="AG635" i="17"/>
  <c r="AG626" i="17"/>
  <c r="AG617" i="17"/>
  <c r="AG608" i="17"/>
  <c r="AG599" i="17"/>
  <c r="AG590" i="17"/>
  <c r="AG581" i="17"/>
  <c r="AG571" i="17"/>
  <c r="AG562" i="17"/>
  <c r="AG553" i="17"/>
  <c r="AG544" i="17"/>
  <c r="AG535" i="17"/>
  <c r="AG526" i="17"/>
  <c r="AG517" i="17"/>
  <c r="AG507" i="17"/>
  <c r="AG498" i="17"/>
  <c r="AG489" i="17"/>
  <c r="AG480" i="17"/>
  <c r="AG471" i="17"/>
  <c r="AG462" i="17"/>
  <c r="AG453" i="17"/>
  <c r="AG442" i="17"/>
  <c r="AG432" i="17"/>
  <c r="AG422" i="17"/>
  <c r="AG410" i="17"/>
  <c r="AG400" i="17"/>
  <c r="AG390" i="17"/>
  <c r="AG378" i="17"/>
  <c r="AG368" i="17"/>
  <c r="AG358" i="17"/>
  <c r="AG346" i="17"/>
  <c r="AG336" i="17"/>
  <c r="AG326" i="17"/>
  <c r="AG314" i="17"/>
  <c r="AG304" i="17"/>
  <c r="AG294" i="17"/>
  <c r="AG282" i="17"/>
  <c r="AG272" i="17"/>
  <c r="AG262" i="17"/>
  <c r="AG250" i="17"/>
  <c r="AG240" i="17"/>
  <c r="AG230" i="17"/>
  <c r="AG218" i="17"/>
  <c r="AG208" i="17"/>
  <c r="AG198" i="17"/>
  <c r="AG186" i="17"/>
  <c r="AG176" i="17"/>
  <c r="AG166" i="17"/>
  <c r="AG154" i="17"/>
  <c r="AG144" i="17"/>
  <c r="AG134" i="17"/>
  <c r="AG122" i="17"/>
  <c r="AG112" i="17"/>
  <c r="AG102" i="17"/>
  <c r="AG90" i="17"/>
  <c r="AG80" i="17"/>
  <c r="AG70" i="17"/>
  <c r="AG58" i="17"/>
  <c r="AG48" i="17"/>
  <c r="AG38" i="17"/>
  <c r="AG26" i="17"/>
  <c r="AG16" i="17"/>
  <c r="AG6" i="17"/>
  <c r="AG445" i="17"/>
  <c r="AG437" i="17"/>
  <c r="AG429" i="17"/>
  <c r="AG421" i="17"/>
  <c r="AG413" i="17"/>
  <c r="AG405" i="17"/>
  <c r="AG397" i="17"/>
  <c r="AG389" i="17"/>
  <c r="AG381" i="17"/>
  <c r="AG373" i="17"/>
  <c r="AG365" i="17"/>
  <c r="AG357" i="17"/>
  <c r="AG349" i="17"/>
  <c r="AG341" i="17"/>
  <c r="AG333" i="17"/>
  <c r="AG325" i="17"/>
  <c r="AG317" i="17"/>
  <c r="AG309" i="17"/>
  <c r="AG301" i="17"/>
  <c r="AG293" i="17"/>
  <c r="AG285" i="17"/>
  <c r="AG277" i="17"/>
  <c r="AG269" i="17"/>
  <c r="AG261" i="17"/>
  <c r="AG253" i="17"/>
  <c r="AG245" i="17"/>
  <c r="AG237" i="17"/>
  <c r="AG229" i="17"/>
  <c r="AG221" i="17"/>
  <c r="AG213" i="17"/>
  <c r="AG205" i="17"/>
  <c r="AG197" i="17"/>
  <c r="AG189" i="17"/>
  <c r="AG181" i="17"/>
  <c r="AG173" i="17"/>
  <c r="AG165" i="17"/>
  <c r="AG157" i="17"/>
  <c r="AG149" i="17"/>
  <c r="AG141" i="17"/>
  <c r="AG133" i="17"/>
  <c r="AG125" i="17"/>
  <c r="AG117" i="17"/>
  <c r="AG109" i="17"/>
  <c r="AG101" i="17"/>
  <c r="AG93" i="17"/>
  <c r="AG85" i="17"/>
  <c r="AG77" i="17"/>
  <c r="AG69" i="17"/>
  <c r="AG61" i="17"/>
  <c r="AG53" i="17"/>
  <c r="AG45" i="17"/>
  <c r="AG37" i="17"/>
  <c r="AG29" i="17"/>
  <c r="AG21" i="17"/>
  <c r="AG13" i="17"/>
  <c r="AG5" i="17"/>
  <c r="AG1012" i="17"/>
  <c r="AG1004" i="17"/>
  <c r="AG996" i="17"/>
  <c r="AG988" i="17"/>
  <c r="AG980" i="17"/>
  <c r="AG972" i="17"/>
  <c r="AG964" i="17"/>
  <c r="AG956" i="17"/>
  <c r="AG948" i="17"/>
  <c r="AG940" i="17"/>
  <c r="AG932" i="17"/>
  <c r="AG924" i="17"/>
  <c r="AG916" i="17"/>
  <c r="AG908" i="17"/>
  <c r="AG900" i="17"/>
  <c r="AG892" i="17"/>
  <c r="AG884" i="17"/>
  <c r="AG876" i="17"/>
  <c r="AG868" i="17"/>
  <c r="AG860" i="17"/>
  <c r="AG852" i="17"/>
  <c r="AG844" i="17"/>
  <c r="AG836" i="17"/>
  <c r="AG828" i="17"/>
  <c r="AG820" i="17"/>
  <c r="AG812" i="17"/>
  <c r="AG804" i="17"/>
  <c r="AG796" i="17"/>
  <c r="AG788" i="17"/>
  <c r="AG780" i="17"/>
  <c r="AG772" i="17"/>
  <c r="AG764" i="17"/>
  <c r="AG756" i="17"/>
  <c r="AG748" i="17"/>
  <c r="AG740" i="17"/>
  <c r="AG732" i="17"/>
  <c r="AG724" i="17"/>
  <c r="AG716" i="17"/>
  <c r="AG708" i="17"/>
  <c r="AG700" i="17"/>
  <c r="AG692" i="17"/>
  <c r="AG684" i="17"/>
  <c r="AG676" i="17"/>
  <c r="AG668" i="17"/>
  <c r="AG660" i="17"/>
  <c r="AG652" i="17"/>
  <c r="AG644" i="17"/>
  <c r="AG636" i="17"/>
  <c r="AG628" i="17"/>
  <c r="AG620" i="17"/>
  <c r="AG612" i="17"/>
  <c r="AG604" i="17"/>
  <c r="AG596" i="17"/>
  <c r="AG588" i="17"/>
  <c r="AG580" i="17"/>
  <c r="AG572" i="17"/>
  <c r="AG564" i="17"/>
  <c r="AG556" i="17"/>
  <c r="AG548" i="17"/>
  <c r="AG540" i="17"/>
  <c r="AG532" i="17"/>
  <c r="AG524" i="17"/>
  <c r="AG516" i="17"/>
  <c r="AG508" i="17"/>
  <c r="AG500" i="17"/>
  <c r="AG492" i="17"/>
  <c r="AG484" i="17"/>
  <c r="AG476" i="17"/>
  <c r="AG468" i="17"/>
  <c r="AG460" i="17"/>
  <c r="AG452" i="17"/>
  <c r="AG444" i="17"/>
  <c r="AG436" i="17"/>
  <c r="AG428" i="17"/>
  <c r="AG420" i="17"/>
  <c r="AG412" i="17"/>
  <c r="AG404" i="17"/>
  <c r="AG396" i="17"/>
  <c r="AG388" i="17"/>
  <c r="AG380" i="17"/>
  <c r="AG372" i="17"/>
  <c r="AG364" i="17"/>
  <c r="AG356" i="17"/>
  <c r="AG348" i="17"/>
  <c r="AG340" i="17"/>
  <c r="AG332" i="17"/>
  <c r="AG324" i="17"/>
  <c r="AG316" i="17"/>
  <c r="AG308" i="17"/>
  <c r="AG300" i="17"/>
  <c r="AG292" i="17"/>
  <c r="AG284" i="17"/>
  <c r="AG276" i="17"/>
  <c r="AG268" i="17"/>
  <c r="AG260" i="17"/>
  <c r="AG252" i="17"/>
  <c r="AG244" i="17"/>
  <c r="AG236" i="17"/>
  <c r="AG228" i="17"/>
  <c r="AG220" i="17"/>
  <c r="AG212" i="17"/>
  <c r="AG204" i="17"/>
  <c r="AG196" i="17"/>
  <c r="AG188" i="17"/>
  <c r="AG180" i="17"/>
  <c r="AG172" i="17"/>
  <c r="AG164" i="17"/>
  <c r="AG156" i="17"/>
  <c r="AG148" i="17"/>
  <c r="AG140" i="17"/>
  <c r="AG132" i="17"/>
  <c r="AG124" i="17"/>
  <c r="AG116" i="17"/>
  <c r="AG108" i="17"/>
  <c r="AG100" i="17"/>
  <c r="AG92" i="17"/>
  <c r="AG84" i="17"/>
  <c r="AG76" i="17"/>
  <c r="AG68" i="17"/>
  <c r="AG60" i="17"/>
  <c r="AG52" i="17"/>
  <c r="AG44" i="17"/>
  <c r="AG36" i="17"/>
  <c r="AG28" i="17"/>
  <c r="AG20" i="17"/>
  <c r="AG12" i="17"/>
  <c r="AG4" i="17"/>
  <c r="AH3" i="17" l="1"/>
  <c r="C33" i="17"/>
  <c r="C11" i="17" l="1"/>
  <c r="M33" i="17" l="1"/>
  <c r="M32" i="17"/>
  <c r="M31" i="17"/>
  <c r="AE4" i="17"/>
  <c r="AE5" i="17"/>
  <c r="AE6" i="17"/>
  <c r="AE7" i="17"/>
  <c r="AF6" i="17"/>
  <c r="AF4" i="17"/>
  <c r="AF7" i="17"/>
  <c r="AF5" i="17"/>
  <c r="AH5" i="17" l="1"/>
  <c r="AH7" i="17"/>
  <c r="F17" i="17"/>
  <c r="F16" i="17"/>
  <c r="F15" i="17"/>
  <c r="F14" i="17"/>
  <c r="F13" i="17"/>
  <c r="F12" i="17"/>
  <c r="F11" i="17"/>
  <c r="F10" i="17"/>
  <c r="F9" i="17"/>
  <c r="F8" i="17"/>
  <c r="F7" i="17"/>
  <c r="F6" i="17"/>
  <c r="F5" i="17"/>
  <c r="F4" i="17"/>
  <c r="F3" i="17"/>
  <c r="AE8" i="17"/>
  <c r="AE9" i="17"/>
  <c r="AF8" i="17"/>
  <c r="AF9" i="17"/>
  <c r="AH9" i="17" l="1"/>
  <c r="AH6" i="17"/>
  <c r="AH4" i="17"/>
  <c r="I24" i="17"/>
  <c r="I25" i="17"/>
  <c r="I23" i="17"/>
  <c r="G3" i="17"/>
  <c r="J3" i="17" s="1"/>
  <c r="G4" i="17"/>
  <c r="J4" i="17" s="1"/>
  <c r="G6" i="17"/>
  <c r="J6" i="17" s="1"/>
  <c r="J23" i="17" s="1"/>
  <c r="G10" i="17"/>
  <c r="J10" i="17" s="1"/>
  <c r="G14" i="17"/>
  <c r="J14" i="17" s="1"/>
  <c r="G7" i="17"/>
  <c r="J7" i="17" s="1"/>
  <c r="G11" i="17"/>
  <c r="J11" i="17" s="1"/>
  <c r="G15" i="17"/>
  <c r="J15" i="17" s="1"/>
  <c r="G8" i="17"/>
  <c r="J8" i="17" s="1"/>
  <c r="J24" i="17" s="1"/>
  <c r="G12" i="17"/>
  <c r="J12" i="17" s="1"/>
  <c r="G16" i="17"/>
  <c r="J16" i="17" s="1"/>
  <c r="G5" i="17"/>
  <c r="J5" i="17" s="1"/>
  <c r="G9" i="17"/>
  <c r="J9" i="17" s="1"/>
  <c r="G13" i="17"/>
  <c r="J13" i="17" s="1"/>
  <c r="J25" i="17" s="1"/>
  <c r="G17" i="17"/>
  <c r="J17" i="17" s="1"/>
  <c r="AE10" i="17"/>
  <c r="AE11" i="17"/>
  <c r="AE12" i="17"/>
  <c r="AE13" i="17"/>
  <c r="AE14" i="17"/>
  <c r="AE15" i="17"/>
  <c r="AE16" i="17"/>
  <c r="AE17" i="17"/>
  <c r="AE18" i="17"/>
  <c r="AE19" i="17"/>
  <c r="AE20" i="17"/>
  <c r="AE21" i="17"/>
  <c r="AE22" i="17"/>
  <c r="AE23" i="17"/>
  <c r="AE24" i="17"/>
  <c r="AE25" i="17"/>
  <c r="AE26" i="17"/>
  <c r="AE27" i="17"/>
  <c r="AE28" i="17"/>
  <c r="AE29" i="17"/>
  <c r="AE30" i="17"/>
  <c r="AE31" i="17"/>
  <c r="AE32" i="17"/>
  <c r="AE33" i="17"/>
  <c r="AE34" i="17"/>
  <c r="AE35" i="17"/>
  <c r="AE36" i="17"/>
  <c r="AE37" i="17"/>
  <c r="AE38" i="17"/>
  <c r="AE39" i="17"/>
  <c r="AE40" i="17"/>
  <c r="AE41" i="17"/>
  <c r="AE42" i="17"/>
  <c r="AE43" i="17"/>
  <c r="AE44" i="17"/>
  <c r="AE45" i="17"/>
  <c r="AE46" i="17"/>
  <c r="AE47" i="17"/>
  <c r="AE48" i="17"/>
  <c r="AE49" i="17"/>
  <c r="AE50" i="17"/>
  <c r="AE51" i="17"/>
  <c r="AE52" i="17"/>
  <c r="AE53" i="17"/>
  <c r="AE54" i="17"/>
  <c r="AE55" i="17"/>
  <c r="AE56" i="17"/>
  <c r="AE57" i="17"/>
  <c r="AE58" i="17"/>
  <c r="AE59" i="17"/>
  <c r="AE60" i="17"/>
  <c r="AE61" i="17"/>
  <c r="AE62" i="17"/>
  <c r="AE63" i="17"/>
  <c r="AE64" i="17"/>
  <c r="AE65" i="17"/>
  <c r="AE66" i="17"/>
  <c r="AE67" i="17"/>
  <c r="AE68" i="17"/>
  <c r="AE69" i="17"/>
  <c r="AE70" i="17"/>
  <c r="AE71" i="17"/>
  <c r="AE72" i="17"/>
  <c r="AE73" i="17"/>
  <c r="AE74" i="17"/>
  <c r="AE75" i="17"/>
  <c r="AE76" i="17"/>
  <c r="AE77" i="17"/>
  <c r="AE78" i="17"/>
  <c r="AE79" i="17"/>
  <c r="AE80" i="17"/>
  <c r="AE81" i="17"/>
  <c r="AE82" i="17"/>
  <c r="AE83" i="17"/>
  <c r="AE84" i="17"/>
  <c r="AE85" i="17"/>
  <c r="AE86" i="17"/>
  <c r="AE87" i="17"/>
  <c r="AE88" i="17"/>
  <c r="AE89" i="17"/>
  <c r="AE90" i="17"/>
  <c r="AE91" i="17"/>
  <c r="AE92" i="17"/>
  <c r="AE93" i="17"/>
  <c r="AE94" i="17"/>
  <c r="AE95" i="17"/>
  <c r="AE96" i="17"/>
  <c r="AE97" i="17"/>
  <c r="AE98" i="17"/>
  <c r="AE99" i="17"/>
  <c r="AE100" i="17"/>
  <c r="AE101" i="17"/>
  <c r="AE102" i="17"/>
  <c r="AE103" i="17"/>
  <c r="AE104" i="17"/>
  <c r="AE105" i="17"/>
  <c r="AE106" i="17"/>
  <c r="AE107" i="17"/>
  <c r="AE108" i="17"/>
  <c r="AE109" i="17"/>
  <c r="AE110" i="17"/>
  <c r="AE111" i="17"/>
  <c r="AE112" i="17"/>
  <c r="AE113" i="17"/>
  <c r="AE114" i="17"/>
  <c r="AE115" i="17"/>
  <c r="AE116" i="17"/>
  <c r="AE117" i="17"/>
  <c r="AE118" i="17"/>
  <c r="AE119" i="17"/>
  <c r="AE120" i="17"/>
  <c r="AE121" i="17"/>
  <c r="AE122" i="17"/>
  <c r="AE123" i="17"/>
  <c r="AE124" i="17"/>
  <c r="AE125" i="17"/>
  <c r="AE126" i="17"/>
  <c r="AE127" i="17"/>
  <c r="AE128" i="17"/>
  <c r="AE129" i="17"/>
  <c r="AE130" i="17"/>
  <c r="AE131" i="17"/>
  <c r="AE132" i="17"/>
  <c r="AE133" i="17"/>
  <c r="AE134" i="17"/>
  <c r="AE135" i="17"/>
  <c r="AE136" i="17"/>
  <c r="AE137" i="17"/>
  <c r="AE138" i="17"/>
  <c r="AE139" i="17"/>
  <c r="AE140" i="17"/>
  <c r="AE141" i="17"/>
  <c r="AE142" i="17"/>
  <c r="AE143" i="17"/>
  <c r="AE144" i="17"/>
  <c r="AE145" i="17"/>
  <c r="AE146" i="17"/>
  <c r="AE147" i="17"/>
  <c r="AE148" i="17"/>
  <c r="AE149" i="17"/>
  <c r="AE150" i="17"/>
  <c r="AE151" i="17"/>
  <c r="AE152" i="17"/>
  <c r="AE153" i="17"/>
  <c r="AE154" i="17"/>
  <c r="AE155" i="17"/>
  <c r="AE156" i="17"/>
  <c r="AE157" i="17"/>
  <c r="AE158" i="17"/>
  <c r="AE159" i="17"/>
  <c r="AE160" i="17"/>
  <c r="AE161" i="17"/>
  <c r="AE162" i="17"/>
  <c r="AE163" i="17"/>
  <c r="AE164" i="17"/>
  <c r="AE165" i="17"/>
  <c r="AE166" i="17"/>
  <c r="AE167" i="17"/>
  <c r="AE168" i="17"/>
  <c r="AE169" i="17"/>
  <c r="AE170" i="17"/>
  <c r="AE171" i="17"/>
  <c r="AE172" i="17"/>
  <c r="AE173" i="17"/>
  <c r="AE174" i="17"/>
  <c r="AE175" i="17"/>
  <c r="AE176" i="17"/>
  <c r="AE177" i="17"/>
  <c r="AE178" i="17"/>
  <c r="AE179" i="17"/>
  <c r="AE180" i="17"/>
  <c r="AE181" i="17"/>
  <c r="AE182" i="17"/>
  <c r="AE183" i="17"/>
  <c r="AE184" i="17"/>
  <c r="AE185" i="17"/>
  <c r="AE186" i="17"/>
  <c r="AE187" i="17"/>
  <c r="AE188" i="17"/>
  <c r="AE189" i="17"/>
  <c r="AE190" i="17"/>
  <c r="AE191" i="17"/>
  <c r="AE192" i="17"/>
  <c r="AE193" i="17"/>
  <c r="AE194" i="17"/>
  <c r="AE195" i="17"/>
  <c r="AE196" i="17"/>
  <c r="AE197" i="17"/>
  <c r="AE198" i="17"/>
  <c r="AE199" i="17"/>
  <c r="AE200" i="17"/>
  <c r="AE201" i="17"/>
  <c r="AE202" i="17"/>
  <c r="AE203" i="17"/>
  <c r="AE204" i="17"/>
  <c r="AE205" i="17"/>
  <c r="AE206" i="17"/>
  <c r="AE207" i="17"/>
  <c r="AE208" i="17"/>
  <c r="AE209" i="17"/>
  <c r="AE210" i="17"/>
  <c r="AE211" i="17"/>
  <c r="AE212" i="17"/>
  <c r="AE213" i="17"/>
  <c r="AE214" i="17"/>
  <c r="AE215" i="17"/>
  <c r="AE216" i="17"/>
  <c r="AE217" i="17"/>
  <c r="AE218" i="17"/>
  <c r="AE219" i="17"/>
  <c r="AE220" i="17"/>
  <c r="AE221" i="17"/>
  <c r="AE222" i="17"/>
  <c r="AE223" i="17"/>
  <c r="AE224" i="17"/>
  <c r="AE225" i="17"/>
  <c r="AE226" i="17"/>
  <c r="AE227" i="17"/>
  <c r="AE228" i="17"/>
  <c r="AE229" i="17"/>
  <c r="AE230" i="17"/>
  <c r="AE231" i="17"/>
  <c r="AE232" i="17"/>
  <c r="AE233" i="17"/>
  <c r="AE234" i="17"/>
  <c r="AE235" i="17"/>
  <c r="AE236" i="17"/>
  <c r="AE237" i="17"/>
  <c r="AE238" i="17"/>
  <c r="AE239" i="17"/>
  <c r="AE240" i="17"/>
  <c r="AE241" i="17"/>
  <c r="AE242" i="17"/>
  <c r="AE243" i="17"/>
  <c r="AE244" i="17"/>
  <c r="AE245" i="17"/>
  <c r="AE246" i="17"/>
  <c r="AE247" i="17"/>
  <c r="AE248" i="17"/>
  <c r="AE249" i="17"/>
  <c r="AE250" i="17"/>
  <c r="AE251" i="17"/>
  <c r="AE252" i="17"/>
  <c r="AE253" i="17"/>
  <c r="AE254" i="17"/>
  <c r="AE255" i="17"/>
  <c r="AE256" i="17"/>
  <c r="AE257" i="17"/>
  <c r="AE258" i="17"/>
  <c r="AE259" i="17"/>
  <c r="AE260" i="17"/>
  <c r="AE261" i="17"/>
  <c r="AE262" i="17"/>
  <c r="AE263" i="17"/>
  <c r="AE264" i="17"/>
  <c r="AE265" i="17"/>
  <c r="AE266" i="17"/>
  <c r="AE267" i="17"/>
  <c r="AE268" i="17"/>
  <c r="AE269" i="17"/>
  <c r="AE270" i="17"/>
  <c r="AE271" i="17"/>
  <c r="AE272" i="17"/>
  <c r="AE273" i="17"/>
  <c r="AE274" i="17"/>
  <c r="AE275" i="17"/>
  <c r="AE276" i="17"/>
  <c r="AE277" i="17"/>
  <c r="AE278" i="17"/>
  <c r="AE279" i="17"/>
  <c r="AE280" i="17"/>
  <c r="AE281" i="17"/>
  <c r="AE282" i="17"/>
  <c r="AE283" i="17"/>
  <c r="AE284" i="17"/>
  <c r="AE285" i="17"/>
  <c r="AE286" i="17"/>
  <c r="AE287" i="17"/>
  <c r="AE288" i="17"/>
  <c r="AE289" i="17"/>
  <c r="AE290" i="17"/>
  <c r="AE291" i="17"/>
  <c r="AE292" i="17"/>
  <c r="AE293" i="17"/>
  <c r="AE294" i="17"/>
  <c r="AE295" i="17"/>
  <c r="AE296" i="17"/>
  <c r="AE297" i="17"/>
  <c r="AE298" i="17"/>
  <c r="AE299" i="17"/>
  <c r="AE300" i="17"/>
  <c r="AE301" i="17"/>
  <c r="AE302" i="17"/>
  <c r="AE303" i="17"/>
  <c r="AE304" i="17"/>
  <c r="AE305" i="17"/>
  <c r="AE306" i="17"/>
  <c r="AE307" i="17"/>
  <c r="AE308" i="17"/>
  <c r="AE309" i="17"/>
  <c r="AE310" i="17"/>
  <c r="AE311" i="17"/>
  <c r="AE312" i="17"/>
  <c r="AE313" i="17"/>
  <c r="AE314" i="17"/>
  <c r="AE315" i="17"/>
  <c r="AE316" i="17"/>
  <c r="AE317" i="17"/>
  <c r="AE318" i="17"/>
  <c r="AE319" i="17"/>
  <c r="AE320" i="17"/>
  <c r="AE321" i="17"/>
  <c r="AE322" i="17"/>
  <c r="AE323" i="17"/>
  <c r="AE324" i="17"/>
  <c r="AE325" i="17"/>
  <c r="AE326" i="17"/>
  <c r="AE327" i="17"/>
  <c r="AE328" i="17"/>
  <c r="AE329" i="17"/>
  <c r="AE330" i="17"/>
  <c r="AE331" i="17"/>
  <c r="AE332" i="17"/>
  <c r="AE333" i="17"/>
  <c r="AE334" i="17"/>
  <c r="AE335" i="17"/>
  <c r="AE336" i="17"/>
  <c r="AE337" i="17"/>
  <c r="AE338" i="17"/>
  <c r="AE339" i="17"/>
  <c r="AE340" i="17"/>
  <c r="AE341" i="17"/>
  <c r="AE342" i="17"/>
  <c r="AE343" i="17"/>
  <c r="AE344" i="17"/>
  <c r="AE345" i="17"/>
  <c r="AE346" i="17"/>
  <c r="AE347" i="17"/>
  <c r="AE348" i="17"/>
  <c r="AE349" i="17"/>
  <c r="AE350" i="17"/>
  <c r="AE351" i="17"/>
  <c r="AE352" i="17"/>
  <c r="AE353" i="17"/>
  <c r="AE354" i="17"/>
  <c r="AE355" i="17"/>
  <c r="AE356" i="17"/>
  <c r="AE357" i="17"/>
  <c r="AE358" i="17"/>
  <c r="AE359" i="17"/>
  <c r="AE360" i="17"/>
  <c r="AE361" i="17"/>
  <c r="AE362" i="17"/>
  <c r="AE363" i="17"/>
  <c r="AE364" i="17"/>
  <c r="AE365" i="17"/>
  <c r="AE366" i="17"/>
  <c r="AE367" i="17"/>
  <c r="AE368" i="17"/>
  <c r="AE369" i="17"/>
  <c r="AE370" i="17"/>
  <c r="AE371" i="17"/>
  <c r="AE372" i="17"/>
  <c r="AE373" i="17"/>
  <c r="AE374" i="17"/>
  <c r="AE375" i="17"/>
  <c r="AE376" i="17"/>
  <c r="AE377" i="17"/>
  <c r="AE378" i="17"/>
  <c r="AE379" i="17"/>
  <c r="AE380" i="17"/>
  <c r="AE381" i="17"/>
  <c r="AE382" i="17"/>
  <c r="AE383" i="17"/>
  <c r="AE384" i="17"/>
  <c r="AE385" i="17"/>
  <c r="AE386" i="17"/>
  <c r="AE387" i="17"/>
  <c r="AE388" i="17"/>
  <c r="AE389" i="17"/>
  <c r="AE390" i="17"/>
  <c r="AE391" i="17"/>
  <c r="AE392" i="17"/>
  <c r="AE393" i="17"/>
  <c r="AE394" i="17"/>
  <c r="AE395" i="17"/>
  <c r="AE396" i="17"/>
  <c r="AE397" i="17"/>
  <c r="AE398" i="17"/>
  <c r="AE399" i="17"/>
  <c r="AE400" i="17"/>
  <c r="AE401" i="17"/>
  <c r="AE402" i="17"/>
  <c r="AE403" i="17"/>
  <c r="AE404" i="17"/>
  <c r="AE405" i="17"/>
  <c r="AE406" i="17"/>
  <c r="AE407" i="17"/>
  <c r="AE408" i="17"/>
  <c r="AE409" i="17"/>
  <c r="AE410" i="17"/>
  <c r="AE411" i="17"/>
  <c r="AE412" i="17"/>
  <c r="AE413" i="17"/>
  <c r="AE414" i="17"/>
  <c r="AE415" i="17"/>
  <c r="AE416" i="17"/>
  <c r="AE417" i="17"/>
  <c r="AE418" i="17"/>
  <c r="AE419" i="17"/>
  <c r="AE420" i="17"/>
  <c r="AE421" i="17"/>
  <c r="AE422" i="17"/>
  <c r="AE423" i="17"/>
  <c r="AE424" i="17"/>
  <c r="AE425" i="17"/>
  <c r="AE426" i="17"/>
  <c r="AE427" i="17"/>
  <c r="AE428" i="17"/>
  <c r="AE429" i="17"/>
  <c r="AE430" i="17"/>
  <c r="AE431" i="17"/>
  <c r="AE432" i="17"/>
  <c r="AE433" i="17"/>
  <c r="AE434" i="17"/>
  <c r="AE435" i="17"/>
  <c r="AE436" i="17"/>
  <c r="AE437" i="17"/>
  <c r="AE438" i="17"/>
  <c r="AE439" i="17"/>
  <c r="AE440" i="17"/>
  <c r="AE441" i="17"/>
  <c r="AE442" i="17"/>
  <c r="AE443" i="17"/>
  <c r="AE444" i="17"/>
  <c r="AE445" i="17"/>
  <c r="AE446" i="17"/>
  <c r="AE447" i="17"/>
  <c r="AE448" i="17"/>
  <c r="AE449" i="17"/>
  <c r="AE450" i="17"/>
  <c r="AE451" i="17"/>
  <c r="AE452" i="17"/>
  <c r="AE453" i="17"/>
  <c r="AE454" i="17"/>
  <c r="AE455" i="17"/>
  <c r="AE456" i="17"/>
  <c r="AE457" i="17"/>
  <c r="AE458" i="17"/>
  <c r="AE459" i="17"/>
  <c r="AE460" i="17"/>
  <c r="AE461" i="17"/>
  <c r="AE462" i="17"/>
  <c r="AE463" i="17"/>
  <c r="AE464" i="17"/>
  <c r="AE465" i="17"/>
  <c r="AE466" i="17"/>
  <c r="AE467" i="17"/>
  <c r="AE468" i="17"/>
  <c r="AE469" i="17"/>
  <c r="AE470" i="17"/>
  <c r="AE471" i="17"/>
  <c r="AE472" i="17"/>
  <c r="AE473" i="17"/>
  <c r="AE474" i="17"/>
  <c r="AE475" i="17"/>
  <c r="AE476" i="17"/>
  <c r="AE477" i="17"/>
  <c r="AE478" i="17"/>
  <c r="AE479" i="17"/>
  <c r="AE480" i="17"/>
  <c r="AE481" i="17"/>
  <c r="AE482" i="17"/>
  <c r="AE483" i="17"/>
  <c r="AE484" i="17"/>
  <c r="AE485" i="17"/>
  <c r="AE486" i="17"/>
  <c r="AE487" i="17"/>
  <c r="AE488" i="17"/>
  <c r="AE489" i="17"/>
  <c r="AE490" i="17"/>
  <c r="AE491" i="17"/>
  <c r="AE492" i="17"/>
  <c r="AE493" i="17"/>
  <c r="AE494" i="17"/>
  <c r="AE495" i="17"/>
  <c r="AE496" i="17"/>
  <c r="AE497" i="17"/>
  <c r="AE498" i="17"/>
  <c r="AE499" i="17"/>
  <c r="AE500" i="17"/>
  <c r="AE501" i="17"/>
  <c r="AE502" i="17"/>
  <c r="AE503" i="17"/>
  <c r="AE504" i="17"/>
  <c r="AE505" i="17"/>
  <c r="AE506" i="17"/>
  <c r="AE507" i="17"/>
  <c r="AE508" i="17"/>
  <c r="AE509" i="17"/>
  <c r="AE510" i="17"/>
  <c r="AE511" i="17"/>
  <c r="AE512" i="17"/>
  <c r="AE513" i="17"/>
  <c r="AE514" i="17"/>
  <c r="AE515" i="17"/>
  <c r="AE516" i="17"/>
  <c r="AE517" i="17"/>
  <c r="AE518" i="17"/>
  <c r="AE519" i="17"/>
  <c r="AE520" i="17"/>
  <c r="AE521" i="17"/>
  <c r="AE522" i="17"/>
  <c r="AE523" i="17"/>
  <c r="AE524" i="17"/>
  <c r="AE525" i="17"/>
  <c r="AE526" i="17"/>
  <c r="AE527" i="17"/>
  <c r="AE528" i="17"/>
  <c r="AE529" i="17"/>
  <c r="AE530" i="17"/>
  <c r="AE531" i="17"/>
  <c r="AE532" i="17"/>
  <c r="AE533" i="17"/>
  <c r="AE534" i="17"/>
  <c r="AE535" i="17"/>
  <c r="AE536" i="17"/>
  <c r="AE537" i="17"/>
  <c r="AE538" i="17"/>
  <c r="AE539" i="17"/>
  <c r="AE540" i="17"/>
  <c r="AE541" i="17"/>
  <c r="AE542" i="17"/>
  <c r="AE543" i="17"/>
  <c r="AE544" i="17"/>
  <c r="AE545" i="17"/>
  <c r="AE546" i="17"/>
  <c r="AE547" i="17"/>
  <c r="AE548" i="17"/>
  <c r="AE549" i="17"/>
  <c r="AE550" i="17"/>
  <c r="AE551" i="17"/>
  <c r="AE552" i="17"/>
  <c r="AE553" i="17"/>
  <c r="AE554" i="17"/>
  <c r="AE555" i="17"/>
  <c r="AE556" i="17"/>
  <c r="AE557" i="17"/>
  <c r="AE558" i="17"/>
  <c r="AE559" i="17"/>
  <c r="AE560" i="17"/>
  <c r="AE561" i="17"/>
  <c r="AE562" i="17"/>
  <c r="AE563" i="17"/>
  <c r="AE564" i="17"/>
  <c r="AE565" i="17"/>
  <c r="AE566" i="17"/>
  <c r="AE567" i="17"/>
  <c r="AE568" i="17"/>
  <c r="AE569" i="17"/>
  <c r="AE570" i="17"/>
  <c r="AE571" i="17"/>
  <c r="AE572" i="17"/>
  <c r="AE573" i="17"/>
  <c r="AE574" i="17"/>
  <c r="AE575" i="17"/>
  <c r="AE576" i="17"/>
  <c r="AE577" i="17"/>
  <c r="AE578" i="17"/>
  <c r="AE579" i="17"/>
  <c r="AE580" i="17"/>
  <c r="AE581" i="17"/>
  <c r="AE582" i="17"/>
  <c r="AE583" i="17"/>
  <c r="AE584" i="17"/>
  <c r="AE585" i="17"/>
  <c r="AE586" i="17"/>
  <c r="AE587" i="17"/>
  <c r="AE588" i="17"/>
  <c r="AE589" i="17"/>
  <c r="AE590" i="17"/>
  <c r="AE591" i="17"/>
  <c r="AE592" i="17"/>
  <c r="AE593" i="17"/>
  <c r="AE594" i="17"/>
  <c r="AE595" i="17"/>
  <c r="AE596" i="17"/>
  <c r="AE597" i="17"/>
  <c r="AE598" i="17"/>
  <c r="AE599" i="17"/>
  <c r="AE600" i="17"/>
  <c r="AE601" i="17"/>
  <c r="AE602" i="17"/>
  <c r="AE603" i="17"/>
  <c r="AE604" i="17"/>
  <c r="AE605" i="17"/>
  <c r="AE606" i="17"/>
  <c r="AE607" i="17"/>
  <c r="AE608" i="17"/>
  <c r="AE609" i="17"/>
  <c r="AE610" i="17"/>
  <c r="AE611" i="17"/>
  <c r="AE612" i="17"/>
  <c r="AE613" i="17"/>
  <c r="AE614" i="17"/>
  <c r="AE615" i="17"/>
  <c r="AE616" i="17"/>
  <c r="AE617" i="17"/>
  <c r="AE618" i="17"/>
  <c r="AE619" i="17"/>
  <c r="AE620" i="17"/>
  <c r="AE621" i="17"/>
  <c r="AE622" i="17"/>
  <c r="AE623" i="17"/>
  <c r="AE624" i="17"/>
  <c r="AE625" i="17"/>
  <c r="AE626" i="17"/>
  <c r="AE627" i="17"/>
  <c r="AE628" i="17"/>
  <c r="AE629" i="17"/>
  <c r="AE630" i="17"/>
  <c r="AE631" i="17"/>
  <c r="AE632" i="17"/>
  <c r="AE633" i="17"/>
  <c r="AE634" i="17"/>
  <c r="AE635" i="17"/>
  <c r="AE636" i="17"/>
  <c r="AE637" i="17"/>
  <c r="AE638" i="17"/>
  <c r="AE639" i="17"/>
  <c r="AE640" i="17"/>
  <c r="AE641" i="17"/>
  <c r="AE642" i="17"/>
  <c r="AE643" i="17"/>
  <c r="AE644" i="17"/>
  <c r="AE645" i="17"/>
  <c r="AE646" i="17"/>
  <c r="AE647" i="17"/>
  <c r="AE648" i="17"/>
  <c r="AE649" i="17"/>
  <c r="AE650" i="17"/>
  <c r="AE651" i="17"/>
  <c r="AE652" i="17"/>
  <c r="AE653" i="17"/>
  <c r="AE654" i="17"/>
  <c r="AE655" i="17"/>
  <c r="AE656" i="17"/>
  <c r="AE657" i="17"/>
  <c r="AE658" i="17"/>
  <c r="AE659" i="17"/>
  <c r="AE660" i="17"/>
  <c r="AE661" i="17"/>
  <c r="AE662" i="17"/>
  <c r="AE663" i="17"/>
  <c r="AE664" i="17"/>
  <c r="AE665" i="17"/>
  <c r="AE666" i="17"/>
  <c r="AE667" i="17"/>
  <c r="AE668" i="17"/>
  <c r="AE669" i="17"/>
  <c r="AE670" i="17"/>
  <c r="AE671" i="17"/>
  <c r="AE672" i="17"/>
  <c r="AE673" i="17"/>
  <c r="AE674" i="17"/>
  <c r="AE675" i="17"/>
  <c r="AE676" i="17"/>
  <c r="AE677" i="17"/>
  <c r="AE678" i="17"/>
  <c r="AE679" i="17"/>
  <c r="AE680" i="17"/>
  <c r="AE681" i="17"/>
  <c r="AE682" i="17"/>
  <c r="AE683" i="17"/>
  <c r="AE684" i="17"/>
  <c r="AE685" i="17"/>
  <c r="AE686" i="17"/>
  <c r="AE687" i="17"/>
  <c r="AE688" i="17"/>
  <c r="AE689" i="17"/>
  <c r="AE690" i="17"/>
  <c r="AE691" i="17"/>
  <c r="AE692" i="17"/>
  <c r="AE693" i="17"/>
  <c r="AE694" i="17"/>
  <c r="AE695" i="17"/>
  <c r="AE696" i="17"/>
  <c r="AE697" i="17"/>
  <c r="AE698" i="17"/>
  <c r="AE699" i="17"/>
  <c r="AE700" i="17"/>
  <c r="AE701" i="17"/>
  <c r="AE702" i="17"/>
  <c r="AE703" i="17"/>
  <c r="AE704" i="17"/>
  <c r="AE705" i="17"/>
  <c r="AE706" i="17"/>
  <c r="AE707" i="17"/>
  <c r="AE708" i="17"/>
  <c r="AE709" i="17"/>
  <c r="AE710" i="17"/>
  <c r="AE711" i="17"/>
  <c r="AE712" i="17"/>
  <c r="AE713" i="17"/>
  <c r="AE714" i="17"/>
  <c r="AE715" i="17"/>
  <c r="AE716" i="17"/>
  <c r="AE717" i="17"/>
  <c r="AE718" i="17"/>
  <c r="AE719" i="17"/>
  <c r="AE720" i="17"/>
  <c r="AE721" i="17"/>
  <c r="AE722" i="17"/>
  <c r="AE723" i="17"/>
  <c r="AE724" i="17"/>
  <c r="AE725" i="17"/>
  <c r="AE726" i="17"/>
  <c r="AE727" i="17"/>
  <c r="AE728" i="17"/>
  <c r="AE729" i="17"/>
  <c r="AE730" i="17"/>
  <c r="AE731" i="17"/>
  <c r="AE732" i="17"/>
  <c r="AE733" i="17"/>
  <c r="AE734" i="17"/>
  <c r="AE735" i="17"/>
  <c r="AE736" i="17"/>
  <c r="AE737" i="17"/>
  <c r="AE738" i="17"/>
  <c r="AE739" i="17"/>
  <c r="AE740" i="17"/>
  <c r="AE741" i="17"/>
  <c r="AE742" i="17"/>
  <c r="AE743" i="17"/>
  <c r="AE744" i="17"/>
  <c r="AE745" i="17"/>
  <c r="AE746" i="17"/>
  <c r="AE747" i="17"/>
  <c r="AE748" i="17"/>
  <c r="AE749" i="17"/>
  <c r="AE750" i="17"/>
  <c r="AE751" i="17"/>
  <c r="AE752" i="17"/>
  <c r="AE753" i="17"/>
  <c r="AE754" i="17"/>
  <c r="AE755" i="17"/>
  <c r="AE756" i="17"/>
  <c r="AE757" i="17"/>
  <c r="AE758" i="17"/>
  <c r="AE759" i="17"/>
  <c r="AE760" i="17"/>
  <c r="AE761" i="17"/>
  <c r="AE762" i="17"/>
  <c r="AE763" i="17"/>
  <c r="AE764" i="17"/>
  <c r="AE765" i="17"/>
  <c r="AE766" i="17"/>
  <c r="AE767" i="17"/>
  <c r="AE768" i="17"/>
  <c r="AE769" i="17"/>
  <c r="AE770" i="17"/>
  <c r="AE771" i="17"/>
  <c r="AE772" i="17"/>
  <c r="AE773" i="17"/>
  <c r="AE774" i="17"/>
  <c r="AE775" i="17"/>
  <c r="AE776" i="17"/>
  <c r="AE777" i="17"/>
  <c r="AE778" i="17"/>
  <c r="AE779" i="17"/>
  <c r="AE780" i="17"/>
  <c r="AE781" i="17"/>
  <c r="AE782" i="17"/>
  <c r="AE783" i="17"/>
  <c r="AE784" i="17"/>
  <c r="AE785" i="17"/>
  <c r="AE786" i="17"/>
  <c r="AE787" i="17"/>
  <c r="AE788" i="17"/>
  <c r="AE789" i="17"/>
  <c r="AE790" i="17"/>
  <c r="AE791" i="17"/>
  <c r="AE792" i="17"/>
  <c r="AE793" i="17"/>
  <c r="AE794" i="17"/>
  <c r="AE795" i="17"/>
  <c r="AE796" i="17"/>
  <c r="AE797" i="17"/>
  <c r="AE798" i="17"/>
  <c r="AE799" i="17"/>
  <c r="AE800" i="17"/>
  <c r="AE801" i="17"/>
  <c r="AE802" i="17"/>
  <c r="AE803" i="17"/>
  <c r="AE804" i="17"/>
  <c r="AE805" i="17"/>
  <c r="AE806" i="17"/>
  <c r="AE807" i="17"/>
  <c r="AE808" i="17"/>
  <c r="AE809" i="17"/>
  <c r="AE810" i="17"/>
  <c r="AE811" i="17"/>
  <c r="AE812" i="17"/>
  <c r="AE813" i="17"/>
  <c r="AE814" i="17"/>
  <c r="AE815" i="17"/>
  <c r="AE816" i="17"/>
  <c r="AE817" i="17"/>
  <c r="AE818" i="17"/>
  <c r="AE819" i="17"/>
  <c r="AE820" i="17"/>
  <c r="AE821" i="17"/>
  <c r="AE822" i="17"/>
  <c r="AE823" i="17"/>
  <c r="AE824" i="17"/>
  <c r="AE825" i="17"/>
  <c r="AE826" i="17"/>
  <c r="AE827" i="17"/>
  <c r="AE828" i="17"/>
  <c r="AE829" i="17"/>
  <c r="AE830" i="17"/>
  <c r="AE831" i="17"/>
  <c r="AE832" i="17"/>
  <c r="AE833" i="17"/>
  <c r="AE834" i="17"/>
  <c r="AE835" i="17"/>
  <c r="AE836" i="17"/>
  <c r="AE837" i="17"/>
  <c r="AE838" i="17"/>
  <c r="AE839" i="17"/>
  <c r="AE840" i="17"/>
  <c r="AE841" i="17"/>
  <c r="AE842" i="17"/>
  <c r="AE843" i="17"/>
  <c r="AE844" i="17"/>
  <c r="AE845" i="17"/>
  <c r="AE846" i="17"/>
  <c r="AE847" i="17"/>
  <c r="AE848" i="17"/>
  <c r="AE849" i="17"/>
  <c r="AE850" i="17"/>
  <c r="AE851" i="17"/>
  <c r="AE852" i="17"/>
  <c r="AE853" i="17"/>
  <c r="AE854" i="17"/>
  <c r="AE855" i="17"/>
  <c r="AE856" i="17"/>
  <c r="AE857" i="17"/>
  <c r="AE858" i="17"/>
  <c r="AE859" i="17"/>
  <c r="AE860" i="17"/>
  <c r="AE861" i="17"/>
  <c r="AE862" i="17"/>
  <c r="AE863" i="17"/>
  <c r="AE864" i="17"/>
  <c r="AE865" i="17"/>
  <c r="AE866" i="17"/>
  <c r="AE867" i="17"/>
  <c r="AE868" i="17"/>
  <c r="AE869" i="17"/>
  <c r="AE870" i="17"/>
  <c r="AE871" i="17"/>
  <c r="AE872" i="17"/>
  <c r="AE873" i="17"/>
  <c r="AE874" i="17"/>
  <c r="AE875" i="17"/>
  <c r="AE876" i="17"/>
  <c r="AE877" i="17"/>
  <c r="AE878" i="17"/>
  <c r="AE879" i="17"/>
  <c r="AE880" i="17"/>
  <c r="AE881" i="17"/>
  <c r="AE882" i="17"/>
  <c r="AE883" i="17"/>
  <c r="AE884" i="17"/>
  <c r="AE885" i="17"/>
  <c r="AE886" i="17"/>
  <c r="AE887" i="17"/>
  <c r="AE888" i="17"/>
  <c r="AE889" i="17"/>
  <c r="AE890" i="17"/>
  <c r="AE891" i="17"/>
  <c r="AE892" i="17"/>
  <c r="AE893" i="17"/>
  <c r="AE894" i="17"/>
  <c r="AE895" i="17"/>
  <c r="AE896" i="17"/>
  <c r="AE897" i="17"/>
  <c r="AE898" i="17"/>
  <c r="AE899" i="17"/>
  <c r="AE900" i="17"/>
  <c r="AE901" i="17"/>
  <c r="AE902" i="17"/>
  <c r="AE903" i="17"/>
  <c r="AE904" i="17"/>
  <c r="AE905" i="17"/>
  <c r="AE906" i="17"/>
  <c r="AE907" i="17"/>
  <c r="AE908" i="17"/>
  <c r="AE909" i="17"/>
  <c r="AE910" i="17"/>
  <c r="AE911" i="17"/>
  <c r="AE912" i="17"/>
  <c r="AE913" i="17"/>
  <c r="AE914" i="17"/>
  <c r="AE915" i="17"/>
  <c r="AE916" i="17"/>
  <c r="AE917" i="17"/>
  <c r="AE918" i="17"/>
  <c r="AE919" i="17"/>
  <c r="AE920" i="17"/>
  <c r="AE921" i="17"/>
  <c r="AE922" i="17"/>
  <c r="AE923" i="17"/>
  <c r="AE924" i="17"/>
  <c r="AE925" i="17"/>
  <c r="AE926" i="17"/>
  <c r="AE927" i="17"/>
  <c r="AE928" i="17"/>
  <c r="AE929" i="17"/>
  <c r="AE930" i="17"/>
  <c r="AE931" i="17"/>
  <c r="AE932" i="17"/>
  <c r="AE933" i="17"/>
  <c r="AE934" i="17"/>
  <c r="AE935" i="17"/>
  <c r="AE936" i="17"/>
  <c r="AE937" i="17"/>
  <c r="AE938" i="17"/>
  <c r="AE939" i="17"/>
  <c r="AE940" i="17"/>
  <c r="AE941" i="17"/>
  <c r="AE942" i="17"/>
  <c r="AE943" i="17"/>
  <c r="AE944" i="17"/>
  <c r="AE945" i="17"/>
  <c r="AE946" i="17"/>
  <c r="AE947" i="17"/>
  <c r="AE948" i="17"/>
  <c r="AE949" i="17"/>
  <c r="AE950" i="17"/>
  <c r="AE951" i="17"/>
  <c r="AE952" i="17"/>
  <c r="AE953" i="17"/>
  <c r="AE954" i="17"/>
  <c r="AE955" i="17"/>
  <c r="AE956" i="17"/>
  <c r="AE957" i="17"/>
  <c r="AE958" i="17"/>
  <c r="AE959" i="17"/>
  <c r="AE960" i="17"/>
  <c r="AE961" i="17"/>
  <c r="AE962" i="17"/>
  <c r="AE963" i="17"/>
  <c r="AE964" i="17"/>
  <c r="AE965" i="17"/>
  <c r="AE966" i="17"/>
  <c r="AE967" i="17"/>
  <c r="AE968" i="17"/>
  <c r="AE969" i="17"/>
  <c r="AE970" i="17"/>
  <c r="AE971" i="17"/>
  <c r="AE972" i="17"/>
  <c r="AE973" i="17"/>
  <c r="AE974" i="17"/>
  <c r="AE975" i="17"/>
  <c r="AE976" i="17"/>
  <c r="AE977" i="17"/>
  <c r="AE978" i="17"/>
  <c r="AE979" i="17"/>
  <c r="AE980" i="17"/>
  <c r="AE981" i="17"/>
  <c r="AE982" i="17"/>
  <c r="AE983" i="17"/>
  <c r="AE984" i="17"/>
  <c r="AE985" i="17"/>
  <c r="AE986" i="17"/>
  <c r="AE987" i="17"/>
  <c r="AE988" i="17"/>
  <c r="AE989" i="17"/>
  <c r="AE990" i="17"/>
  <c r="AE991" i="17"/>
  <c r="AE992" i="17"/>
  <c r="AE993" i="17"/>
  <c r="AE994" i="17"/>
  <c r="AE995" i="17"/>
  <c r="AE996" i="17"/>
  <c r="AE997" i="17"/>
  <c r="AE998" i="17"/>
  <c r="AE999" i="17"/>
  <c r="AE1000" i="17"/>
  <c r="AE1001" i="17"/>
  <c r="AE1002" i="17"/>
  <c r="AE1003" i="17"/>
  <c r="AE1004" i="17"/>
  <c r="AE1005" i="17"/>
  <c r="AE1006" i="17"/>
  <c r="AE1007" i="17"/>
  <c r="AE1008" i="17"/>
  <c r="AE1009" i="17"/>
  <c r="AE1010" i="17"/>
  <c r="AE1011" i="17"/>
  <c r="AE1012" i="17"/>
  <c r="AE1013" i="17"/>
  <c r="AE1014" i="17"/>
  <c r="AE1015" i="17"/>
  <c r="AE1016" i="17"/>
  <c r="AE1017" i="17"/>
  <c r="AE1018" i="17"/>
  <c r="AE1019" i="17"/>
  <c r="AE1020" i="17"/>
  <c r="AE1021" i="17"/>
  <c r="AE1022" i="17"/>
  <c r="AE1023" i="17"/>
  <c r="AE1024" i="17"/>
  <c r="AE1025" i="17"/>
  <c r="AE1026" i="17"/>
  <c r="AE1027" i="17"/>
  <c r="AE1028" i="17"/>
  <c r="AE1029" i="17"/>
  <c r="AE1030" i="17"/>
  <c r="AE1031" i="17"/>
  <c r="AE1032" i="17"/>
  <c r="AE1033" i="17"/>
  <c r="AE1034" i="17"/>
  <c r="AE1035" i="17"/>
  <c r="AE1036" i="17"/>
  <c r="AE1037" i="17"/>
  <c r="AE1038" i="17"/>
  <c r="AE1039" i="17"/>
  <c r="AE1040" i="17"/>
  <c r="AE1041" i="17"/>
  <c r="AE1042" i="17"/>
  <c r="AE1043" i="17"/>
  <c r="AE1044" i="17"/>
  <c r="AE1045" i="17"/>
  <c r="AE1046" i="17"/>
  <c r="AE1047" i="17"/>
  <c r="AE1048" i="17"/>
  <c r="AE1049" i="17"/>
  <c r="AE1050" i="17"/>
  <c r="AE1051" i="17"/>
  <c r="AE1052" i="17"/>
  <c r="AE1053" i="17"/>
  <c r="AE1054" i="17"/>
  <c r="AE1055" i="17"/>
  <c r="AE1056" i="17"/>
  <c r="AE1057" i="17"/>
  <c r="AE1058" i="17"/>
  <c r="AE1059" i="17"/>
  <c r="AE1060" i="17"/>
  <c r="AE1061" i="17"/>
  <c r="AE1062" i="17"/>
  <c r="AE1063" i="17"/>
  <c r="AE1064" i="17"/>
  <c r="AE1065" i="17"/>
  <c r="AE1066" i="17"/>
  <c r="AE1067" i="17"/>
  <c r="AE1068" i="17"/>
  <c r="AE1069" i="17"/>
  <c r="AE1070" i="17"/>
  <c r="AE1071" i="17"/>
  <c r="AE1072" i="17"/>
  <c r="AE1073" i="17"/>
  <c r="AE1074" i="17"/>
  <c r="AE1075" i="17"/>
  <c r="AE1076" i="17"/>
  <c r="AE1077" i="17"/>
  <c r="AE1078" i="17"/>
  <c r="AE1079" i="17"/>
  <c r="AE1080" i="17"/>
  <c r="AE1081" i="17"/>
  <c r="AE1082" i="17"/>
  <c r="AE1083" i="17"/>
  <c r="AE1084" i="17"/>
  <c r="AE1085" i="17"/>
  <c r="AE1086" i="17"/>
  <c r="AE1087" i="17"/>
  <c r="AE1088" i="17"/>
  <c r="AE1089" i="17"/>
  <c r="AE1090" i="17"/>
  <c r="AE1091" i="17"/>
  <c r="AE1092" i="17"/>
  <c r="AE1093" i="17"/>
  <c r="AE1094" i="17"/>
  <c r="AE1095" i="17"/>
  <c r="AE1096" i="17"/>
  <c r="AE1097" i="17"/>
  <c r="AE1098" i="17"/>
  <c r="AE1099" i="17"/>
  <c r="AE1100" i="17"/>
  <c r="AE1101" i="17"/>
  <c r="AE1102" i="17"/>
  <c r="AE1103" i="17"/>
  <c r="AE1104" i="17"/>
  <c r="AE1105" i="17"/>
  <c r="AE1106" i="17"/>
  <c r="AE1107" i="17"/>
  <c r="AE1108" i="17"/>
  <c r="AE1109" i="17"/>
  <c r="AE1110" i="17"/>
  <c r="AE1111" i="17"/>
  <c r="AE1112" i="17"/>
  <c r="AE1113" i="17"/>
  <c r="AE1114" i="17"/>
  <c r="AE1115" i="17"/>
  <c r="AE1116" i="17"/>
  <c r="AE1117" i="17"/>
  <c r="AE1118" i="17"/>
  <c r="AE1119" i="17"/>
  <c r="AE1120" i="17"/>
  <c r="AE1121" i="17"/>
  <c r="AE1122" i="17"/>
  <c r="AE1123" i="17"/>
  <c r="AE1124" i="17"/>
  <c r="AE1125" i="17"/>
  <c r="AE1126" i="17"/>
  <c r="AE1127" i="17"/>
  <c r="AE1128" i="17"/>
  <c r="AE1129" i="17"/>
  <c r="AE1130" i="17"/>
  <c r="AE1131" i="17"/>
  <c r="AE1132" i="17"/>
  <c r="AE1133" i="17"/>
  <c r="AE1134" i="17"/>
  <c r="AE1135" i="17"/>
  <c r="AE1136" i="17"/>
  <c r="AE1137" i="17"/>
  <c r="AE1138" i="17"/>
  <c r="AE1139" i="17"/>
  <c r="AE1140" i="17"/>
  <c r="AE1141" i="17"/>
  <c r="AE1142" i="17"/>
  <c r="AE1143" i="17"/>
  <c r="AE1144" i="17"/>
  <c r="AE1145" i="17"/>
  <c r="AE1146" i="17"/>
  <c r="AE1147" i="17"/>
  <c r="AE1148" i="17"/>
  <c r="AE1149" i="17"/>
  <c r="AE1150" i="17"/>
  <c r="AE1151" i="17"/>
  <c r="AE1152" i="17"/>
  <c r="AE1153" i="17"/>
  <c r="AE1154" i="17"/>
  <c r="AE1155" i="17"/>
  <c r="AE1156" i="17"/>
  <c r="AE1157" i="17"/>
  <c r="AE1158" i="17"/>
  <c r="AE1159" i="17"/>
  <c r="AE1160" i="17"/>
  <c r="AE1161" i="17"/>
  <c r="AE1162" i="17"/>
  <c r="AE1163" i="17"/>
  <c r="AE1164" i="17"/>
  <c r="AE1165" i="17"/>
  <c r="AE1166" i="17"/>
  <c r="AE1167" i="17"/>
  <c r="AE1168" i="17"/>
  <c r="AE1169" i="17"/>
  <c r="AE1170" i="17"/>
  <c r="AE1171" i="17"/>
  <c r="AE1172" i="17"/>
  <c r="AE1173" i="17"/>
  <c r="AE1174" i="17"/>
  <c r="AE1175" i="17"/>
  <c r="AE1176" i="17"/>
  <c r="AE1177" i="17"/>
  <c r="AE1178" i="17"/>
  <c r="AE1179" i="17"/>
  <c r="AE1180" i="17"/>
  <c r="AE1181" i="17"/>
  <c r="AE1182" i="17"/>
  <c r="AE1183" i="17"/>
  <c r="AE1184" i="17"/>
  <c r="AE1185" i="17"/>
  <c r="AE1186" i="17"/>
  <c r="AE1187" i="17"/>
  <c r="AE1188" i="17"/>
  <c r="AE1189" i="17"/>
  <c r="AE1190" i="17"/>
  <c r="AE1191" i="17"/>
  <c r="AE1192" i="17"/>
  <c r="AE1193" i="17"/>
  <c r="AE1194" i="17"/>
  <c r="AE1195" i="17"/>
  <c r="AE1196" i="17"/>
  <c r="AE1197" i="17"/>
  <c r="AE1198" i="17"/>
  <c r="AE1199" i="17"/>
  <c r="AE1200" i="17"/>
  <c r="AE1201" i="17"/>
  <c r="AE1202" i="17"/>
  <c r="AE1203" i="17"/>
  <c r="AE1204" i="17"/>
  <c r="AE1205" i="17"/>
  <c r="AE1206" i="17"/>
  <c r="AE1207" i="17"/>
  <c r="AE1208" i="17"/>
  <c r="AE1209" i="17"/>
  <c r="AE1210" i="17"/>
  <c r="AE1211" i="17"/>
  <c r="AE1212" i="17"/>
  <c r="AE1213" i="17"/>
  <c r="AE1214" i="17"/>
  <c r="AE1215" i="17"/>
  <c r="AE1216" i="17"/>
  <c r="AE1217" i="17"/>
  <c r="AE1218" i="17"/>
  <c r="AE1219" i="17"/>
  <c r="AE1220" i="17"/>
  <c r="AE1221" i="17"/>
  <c r="AE1222" i="17"/>
  <c r="AE1223" i="17"/>
  <c r="AE1224" i="17"/>
  <c r="AE1225" i="17"/>
  <c r="AE1226" i="17"/>
  <c r="AE1227" i="17"/>
  <c r="AE1228" i="17"/>
  <c r="AE1229" i="17"/>
  <c r="AE1230" i="17"/>
  <c r="AE1231" i="17"/>
  <c r="AE1232" i="17"/>
  <c r="AE1233" i="17"/>
  <c r="AE1234" i="17"/>
  <c r="AE1235" i="17"/>
  <c r="AE1236" i="17"/>
  <c r="AE1237" i="17"/>
  <c r="AE1238" i="17"/>
  <c r="AE1239" i="17"/>
  <c r="AE1240" i="17"/>
  <c r="AE1241" i="17"/>
  <c r="AE1242" i="17"/>
  <c r="AE1243" i="17"/>
  <c r="AE1244" i="17"/>
  <c r="AE1245" i="17"/>
  <c r="AE1246" i="17"/>
  <c r="AE1247" i="17"/>
  <c r="AE1248" i="17"/>
  <c r="AE1249" i="17"/>
  <c r="AE1250" i="17"/>
  <c r="AE1251" i="17"/>
  <c r="AE1252" i="17"/>
  <c r="AE1253" i="17"/>
  <c r="AE1254" i="17"/>
  <c r="AE1255" i="17"/>
  <c r="AE1256" i="17"/>
  <c r="AE1257" i="17"/>
  <c r="AE1258" i="17"/>
  <c r="AE1259" i="17"/>
  <c r="AE1260" i="17"/>
  <c r="AE1261" i="17"/>
  <c r="AE1262" i="17"/>
  <c r="AE1263" i="17"/>
  <c r="AE1264" i="17"/>
  <c r="AE1265" i="17"/>
  <c r="AE1266" i="17"/>
  <c r="AE1267" i="17"/>
  <c r="AE1268" i="17"/>
  <c r="AE1269" i="17"/>
  <c r="AE1270" i="17"/>
  <c r="AE1271" i="17"/>
  <c r="AE1272" i="17"/>
  <c r="AE1273" i="17"/>
  <c r="AE1274" i="17"/>
  <c r="AE1275" i="17"/>
  <c r="AE1276" i="17"/>
  <c r="AE1277" i="17"/>
  <c r="AE1278" i="17"/>
  <c r="AE1279" i="17"/>
  <c r="AE1280" i="17"/>
  <c r="AE1281" i="17"/>
  <c r="AE1282" i="17"/>
  <c r="AE1283" i="17"/>
  <c r="AE1284" i="17"/>
  <c r="AE1285" i="17"/>
  <c r="AE1286" i="17"/>
  <c r="AE1287" i="17"/>
  <c r="AE1288" i="17"/>
  <c r="AE1289" i="17"/>
  <c r="AE1290" i="17"/>
  <c r="AE1291" i="17"/>
  <c r="AE1292" i="17"/>
  <c r="AE1293" i="17"/>
  <c r="AE1294" i="17"/>
  <c r="AE1295" i="17"/>
  <c r="AE1296" i="17"/>
  <c r="AE1297" i="17"/>
  <c r="AE1298" i="17"/>
  <c r="AE1299" i="17"/>
  <c r="AE1300" i="17"/>
  <c r="AE1301" i="17"/>
  <c r="AE1302" i="17"/>
  <c r="AE1303" i="17"/>
  <c r="AE1304" i="17"/>
  <c r="AE1305" i="17"/>
  <c r="AE1306" i="17"/>
  <c r="AE1307" i="17"/>
  <c r="AE1308" i="17"/>
  <c r="AE1309" i="17"/>
  <c r="AE1310" i="17"/>
  <c r="AE1311" i="17"/>
  <c r="AE1312" i="17"/>
  <c r="AE1313" i="17"/>
  <c r="AE1314" i="17"/>
  <c r="AE1315" i="17"/>
  <c r="AE1316" i="17"/>
  <c r="AE1317" i="17"/>
  <c r="AE1318" i="17"/>
  <c r="AE1319" i="17"/>
  <c r="AE1320" i="17"/>
  <c r="AE1321" i="17"/>
  <c r="AE1322" i="17"/>
  <c r="AE1323" i="17"/>
  <c r="AE1324" i="17"/>
  <c r="AE1325" i="17"/>
  <c r="AE1326" i="17"/>
  <c r="AE1327" i="17"/>
  <c r="AE1328" i="17"/>
  <c r="AE1329" i="17"/>
  <c r="AE1330" i="17"/>
  <c r="AE1331" i="17"/>
  <c r="AE1332" i="17"/>
  <c r="AE1333" i="17"/>
  <c r="AE1334" i="17"/>
  <c r="AE1335" i="17"/>
  <c r="AE1336" i="17"/>
  <c r="AE1337" i="17"/>
  <c r="AE1338" i="17"/>
  <c r="AE1339" i="17"/>
  <c r="AE1340" i="17"/>
  <c r="AE1341" i="17"/>
  <c r="AE1342" i="17"/>
  <c r="AE1343" i="17"/>
  <c r="AE1344" i="17"/>
  <c r="AE1345" i="17"/>
  <c r="AE1346" i="17"/>
  <c r="AE1347" i="17"/>
  <c r="AE1348" i="17"/>
  <c r="AE1349" i="17"/>
  <c r="AE1350" i="17"/>
  <c r="AE1351" i="17"/>
  <c r="AE1352" i="17"/>
  <c r="AE1353" i="17"/>
  <c r="AE1354" i="17"/>
  <c r="AE1355" i="17"/>
  <c r="AE1356" i="17"/>
  <c r="AE1357" i="17"/>
  <c r="AE1358" i="17"/>
  <c r="AE1359" i="17"/>
  <c r="AE1360" i="17"/>
  <c r="AE1361" i="17"/>
  <c r="AE1362" i="17"/>
  <c r="AE1363" i="17"/>
  <c r="AE1364" i="17"/>
  <c r="AE1365" i="17"/>
  <c r="AE1366" i="17"/>
  <c r="AE1367" i="17"/>
  <c r="AE1368" i="17"/>
  <c r="AE1369" i="17"/>
  <c r="AE1370" i="17"/>
  <c r="AE1371" i="17"/>
  <c r="AE1372" i="17"/>
  <c r="AE1373" i="17"/>
  <c r="AE1374" i="17"/>
  <c r="AE1375" i="17"/>
  <c r="AE1376" i="17"/>
  <c r="AE1377" i="17"/>
  <c r="AE1378" i="17"/>
  <c r="AE1379" i="17"/>
  <c r="AE1380" i="17"/>
  <c r="AE1381" i="17"/>
  <c r="AE1382" i="17"/>
  <c r="AE1383" i="17"/>
  <c r="AE1384" i="17"/>
  <c r="AE1385" i="17"/>
  <c r="AE1386" i="17"/>
  <c r="AE1387" i="17"/>
  <c r="AE1388" i="17"/>
  <c r="AE1389" i="17"/>
  <c r="AE1390" i="17"/>
  <c r="AE1391" i="17"/>
  <c r="AE1392" i="17"/>
  <c r="AE1393" i="17"/>
  <c r="AE1394" i="17"/>
  <c r="AE1395" i="17"/>
  <c r="AE1396" i="17"/>
  <c r="AE1397" i="17"/>
  <c r="AE1398" i="17"/>
  <c r="AE1399" i="17"/>
  <c r="AE1400" i="17"/>
  <c r="AE1401" i="17"/>
  <c r="AE1402" i="17"/>
  <c r="AE1403" i="17"/>
  <c r="AE1404" i="17"/>
  <c r="AE1405" i="17"/>
  <c r="AE1406" i="17"/>
  <c r="AE1407" i="17"/>
  <c r="AE1408" i="17"/>
  <c r="AE1409" i="17"/>
  <c r="AE1410" i="17"/>
  <c r="AE1411" i="17"/>
  <c r="AE1412" i="17"/>
  <c r="AE1413" i="17"/>
  <c r="AE1414" i="17"/>
  <c r="AE1415" i="17"/>
  <c r="AE1416" i="17"/>
  <c r="AE1417" i="17"/>
  <c r="AE1418" i="17"/>
  <c r="AE1419" i="17"/>
  <c r="AE1420" i="17"/>
  <c r="AE1421" i="17"/>
  <c r="AE1422" i="17"/>
  <c r="AE1423" i="17"/>
  <c r="AE1424" i="17"/>
  <c r="AE1425" i="17"/>
  <c r="AE1426" i="17"/>
  <c r="AE1427" i="17"/>
  <c r="AE1428" i="17"/>
  <c r="AE1429" i="17"/>
  <c r="AE1430" i="17"/>
  <c r="AE1431" i="17"/>
  <c r="AE1432" i="17"/>
  <c r="AE1433" i="17"/>
  <c r="AE1434" i="17"/>
  <c r="AE1435" i="17"/>
  <c r="AE1436" i="17"/>
  <c r="AE1437" i="17"/>
  <c r="AE1438" i="17"/>
  <c r="AE1439" i="17"/>
  <c r="AE1440" i="17"/>
  <c r="AE1441" i="17"/>
  <c r="AE1442" i="17"/>
  <c r="AE1443" i="17"/>
  <c r="AE1444" i="17"/>
  <c r="AE1445" i="17"/>
  <c r="AE1446" i="17"/>
  <c r="AE1447" i="17"/>
  <c r="AE1448" i="17"/>
  <c r="AE1449" i="17"/>
  <c r="AE1450" i="17"/>
  <c r="AE1451" i="17"/>
  <c r="AE1452" i="17"/>
  <c r="AE1453" i="17"/>
  <c r="AE1454" i="17"/>
  <c r="AE1455" i="17"/>
  <c r="AE1456" i="17"/>
  <c r="AE1457" i="17"/>
  <c r="AE1458" i="17"/>
  <c r="AE1459" i="17"/>
  <c r="AE1460" i="17"/>
  <c r="AE1461" i="17"/>
  <c r="AE1462" i="17"/>
  <c r="AE1463" i="17"/>
  <c r="AE1464" i="17"/>
  <c r="AE1465" i="17"/>
  <c r="AE1466" i="17"/>
  <c r="AE1467" i="17"/>
  <c r="AE1468" i="17"/>
  <c r="AE1469" i="17"/>
  <c r="AE1470" i="17"/>
  <c r="AE1471" i="17"/>
  <c r="AE1472" i="17"/>
  <c r="AE1473" i="17"/>
  <c r="AE1474" i="17"/>
  <c r="AE1475" i="17"/>
  <c r="AE1476" i="17"/>
  <c r="AE1477" i="17"/>
  <c r="AE1478" i="17"/>
  <c r="AE1479" i="17"/>
  <c r="AE1480" i="17"/>
  <c r="AE1481" i="17"/>
  <c r="AE1482" i="17"/>
  <c r="AE1483" i="17"/>
  <c r="AE1484" i="17"/>
  <c r="AE1485" i="17"/>
  <c r="AE1486" i="17"/>
  <c r="AE1487" i="17"/>
  <c r="AE1488" i="17"/>
  <c r="AE1489" i="17"/>
  <c r="AE1490" i="17"/>
  <c r="AE1491" i="17"/>
  <c r="AE1492" i="17"/>
  <c r="AE1493" i="17"/>
  <c r="AE1494" i="17"/>
  <c r="AE1495" i="17"/>
  <c r="AE1496" i="17"/>
  <c r="AE1497" i="17"/>
  <c r="AE1498" i="17"/>
  <c r="AE1499" i="17"/>
  <c r="AE1500" i="17"/>
  <c r="AE1501" i="17"/>
  <c r="AE1502" i="17"/>
  <c r="AE1503" i="17"/>
  <c r="AE1504" i="17"/>
  <c r="AE1505" i="17"/>
  <c r="AE1506" i="17"/>
  <c r="AE1507" i="17"/>
  <c r="AE1508" i="17"/>
  <c r="AE1509" i="17"/>
  <c r="AE1510" i="17"/>
  <c r="AE1511" i="17"/>
  <c r="AE1512" i="17"/>
  <c r="AE1513" i="17"/>
  <c r="AE1514" i="17"/>
  <c r="AE1515" i="17"/>
  <c r="AE1516" i="17"/>
  <c r="AE1517" i="17"/>
  <c r="AE1518" i="17"/>
  <c r="AE1519" i="17"/>
  <c r="AE1520" i="17"/>
  <c r="AE1521" i="17"/>
  <c r="AE1522" i="17"/>
  <c r="AE1523" i="17"/>
  <c r="AE1524" i="17"/>
  <c r="AE1525" i="17"/>
  <c r="AE1526" i="17"/>
  <c r="AE1527" i="17"/>
  <c r="AE1528" i="17"/>
  <c r="AE1529" i="17"/>
  <c r="AE1530" i="17"/>
  <c r="AE1531" i="17"/>
  <c r="AE1532" i="17"/>
  <c r="AE1533" i="17"/>
  <c r="AE1534" i="17"/>
  <c r="AE1535" i="17"/>
  <c r="AE1536" i="17"/>
  <c r="AE1537" i="17"/>
  <c r="AE1538" i="17"/>
  <c r="AE1539" i="17"/>
  <c r="AE1540" i="17"/>
  <c r="AE1541" i="17"/>
  <c r="AE1542" i="17"/>
  <c r="AE1543" i="17"/>
  <c r="AE1544" i="17"/>
  <c r="AE1545" i="17"/>
  <c r="AE1546" i="17"/>
  <c r="AE1547" i="17"/>
  <c r="AE1548" i="17"/>
  <c r="AE1549" i="17"/>
  <c r="AE1550" i="17"/>
  <c r="AE1551" i="17"/>
  <c r="AE1552" i="17"/>
  <c r="AE1553" i="17"/>
  <c r="AE1554" i="17"/>
  <c r="AE1555" i="17"/>
  <c r="AE1556" i="17"/>
  <c r="AE1557" i="17"/>
  <c r="AE1558" i="17"/>
  <c r="AE1559" i="17"/>
  <c r="AE1560" i="17"/>
  <c r="AE1561" i="17"/>
  <c r="AE1562" i="17"/>
  <c r="AE1563" i="17"/>
  <c r="AE1564" i="17"/>
  <c r="AE1565" i="17"/>
  <c r="AE1566" i="17"/>
  <c r="AE1567" i="17"/>
  <c r="AE1568" i="17"/>
  <c r="AE1569" i="17"/>
  <c r="AE1570" i="17"/>
  <c r="AE1571" i="17"/>
  <c r="AE1572" i="17"/>
  <c r="AE1573" i="17"/>
  <c r="AE1574" i="17"/>
  <c r="AE1575" i="17"/>
  <c r="AE1576" i="17"/>
  <c r="AE1577" i="17"/>
  <c r="AE1578" i="17"/>
  <c r="AE1579" i="17"/>
  <c r="AE1580" i="17"/>
  <c r="AE1581" i="17"/>
  <c r="AE1582" i="17"/>
  <c r="AE1583" i="17"/>
  <c r="AE1584" i="17"/>
  <c r="AE1585" i="17"/>
  <c r="AE1586" i="17"/>
  <c r="AE1587" i="17"/>
  <c r="AE1588" i="17"/>
  <c r="AE1589" i="17"/>
  <c r="AE1590" i="17"/>
  <c r="AE1591" i="17"/>
  <c r="AE1592" i="17"/>
  <c r="AE1593" i="17"/>
  <c r="AE1594" i="17"/>
  <c r="AE1595" i="17"/>
  <c r="AE1596" i="17"/>
  <c r="AE1597" i="17"/>
  <c r="AE1598" i="17"/>
  <c r="AE1599" i="17"/>
  <c r="AE1600" i="17"/>
  <c r="AE1601" i="17"/>
  <c r="AE1602" i="17"/>
  <c r="AE1603" i="17"/>
  <c r="AE1604" i="17"/>
  <c r="AE1605" i="17"/>
  <c r="AE1606" i="17"/>
  <c r="AE1607" i="17"/>
  <c r="AE1608" i="17"/>
  <c r="AE1609" i="17"/>
  <c r="AE1610" i="17"/>
  <c r="AE1611" i="17"/>
  <c r="AE1612" i="17"/>
  <c r="AE1613" i="17"/>
  <c r="AE1614" i="17"/>
  <c r="AE1615" i="17"/>
  <c r="AE1616" i="17"/>
  <c r="AE1617" i="17"/>
  <c r="AE1618" i="17"/>
  <c r="AE1619" i="17"/>
  <c r="AE1620" i="17"/>
  <c r="AE1621" i="17"/>
  <c r="AE1622" i="17"/>
  <c r="AE1623" i="17"/>
  <c r="AE1624" i="17"/>
  <c r="AE1625" i="17"/>
  <c r="AE1626" i="17"/>
  <c r="AE1627" i="17"/>
  <c r="AE1628" i="17"/>
  <c r="AE1629" i="17"/>
  <c r="AE1630" i="17"/>
  <c r="AE1631" i="17"/>
  <c r="AE1632" i="17"/>
  <c r="AE1633" i="17"/>
  <c r="AE1634" i="17"/>
  <c r="AE1635" i="17"/>
  <c r="AE1636" i="17"/>
  <c r="AE1637" i="17"/>
  <c r="AE1638" i="17"/>
  <c r="AE1639" i="17"/>
  <c r="AE1640" i="17"/>
  <c r="AE1641" i="17"/>
  <c r="AE1642" i="17"/>
  <c r="AE1643" i="17"/>
  <c r="AE1644" i="17"/>
  <c r="AE1645" i="17"/>
  <c r="AE1646" i="17"/>
  <c r="AE1647" i="17"/>
  <c r="AE1648" i="17"/>
  <c r="AE1649" i="17"/>
  <c r="AE1650" i="17"/>
  <c r="AE1651" i="17"/>
  <c r="AE1652" i="17"/>
  <c r="AE1653" i="17"/>
  <c r="AE1654" i="17"/>
  <c r="AE1655" i="17"/>
  <c r="AE1656" i="17"/>
  <c r="AE1657" i="17"/>
  <c r="AE1658" i="17"/>
  <c r="AE1659" i="17"/>
  <c r="AE1660" i="17"/>
  <c r="AE1661" i="17"/>
  <c r="AE1662" i="17"/>
  <c r="AE1663" i="17"/>
  <c r="AE1664" i="17"/>
  <c r="AE1665" i="17"/>
  <c r="AE1666" i="17"/>
  <c r="AE1667" i="17"/>
  <c r="AE1668" i="17"/>
  <c r="AE1669" i="17"/>
  <c r="AE1670" i="17"/>
  <c r="AE1671" i="17"/>
  <c r="AE1672" i="17"/>
  <c r="AE1673" i="17"/>
  <c r="AE1674" i="17"/>
  <c r="AE1675" i="17"/>
  <c r="AE1676" i="17"/>
  <c r="AE1677" i="17"/>
  <c r="AE1678" i="17"/>
  <c r="AE1679" i="17"/>
  <c r="AE1680" i="17"/>
  <c r="AE1681" i="17"/>
  <c r="AE1682" i="17"/>
  <c r="AE1683" i="17"/>
  <c r="AE1684" i="17"/>
  <c r="AE1685" i="17"/>
  <c r="AF11" i="17"/>
  <c r="AF15" i="17"/>
  <c r="AF23" i="17"/>
  <c r="AF31" i="17"/>
  <c r="AF39" i="17"/>
  <c r="AF47" i="17"/>
  <c r="AF55" i="17"/>
  <c r="AF63" i="17"/>
  <c r="AF71" i="17"/>
  <c r="AF79" i="17"/>
  <c r="AF87" i="17"/>
  <c r="AF95" i="17"/>
  <c r="AF103" i="17"/>
  <c r="AF111" i="17"/>
  <c r="AF119" i="17"/>
  <c r="AF127" i="17"/>
  <c r="AF135" i="17"/>
  <c r="AF143" i="17"/>
  <c r="AF151" i="17"/>
  <c r="AF159" i="17"/>
  <c r="AF167" i="17"/>
  <c r="AF175" i="17"/>
  <c r="AF183" i="17"/>
  <c r="AF191" i="17"/>
  <c r="AF199" i="17"/>
  <c r="AF207" i="17"/>
  <c r="AF215" i="17"/>
  <c r="AF223" i="17"/>
  <c r="AF231" i="17"/>
  <c r="AF239" i="17"/>
  <c r="AF247" i="17"/>
  <c r="AF255" i="17"/>
  <c r="AF263" i="17"/>
  <c r="AF271" i="17"/>
  <c r="AF279" i="17"/>
  <c r="AF287" i="17"/>
  <c r="AF295" i="17"/>
  <c r="AF303" i="17"/>
  <c r="AF311" i="17"/>
  <c r="AF319" i="17"/>
  <c r="AF327" i="17"/>
  <c r="AF335" i="17"/>
  <c r="AF343" i="17"/>
  <c r="AF351" i="17"/>
  <c r="AF359" i="17"/>
  <c r="AF367" i="17"/>
  <c r="AF375" i="17"/>
  <c r="AF383" i="17"/>
  <c r="AF391" i="17"/>
  <c r="AF399" i="17"/>
  <c r="AF407" i="17"/>
  <c r="AF415" i="17"/>
  <c r="AF423" i="17"/>
  <c r="AF431" i="17"/>
  <c r="AF439" i="17"/>
  <c r="AF447" i="17"/>
  <c r="AF455" i="17"/>
  <c r="AF463" i="17"/>
  <c r="AF471" i="17"/>
  <c r="AF479" i="17"/>
  <c r="AF487" i="17"/>
  <c r="AF495" i="17"/>
  <c r="AF503" i="17"/>
  <c r="AF511" i="17"/>
  <c r="AF519" i="17"/>
  <c r="AF527" i="17"/>
  <c r="AF535" i="17"/>
  <c r="AF543" i="17"/>
  <c r="AF551" i="17"/>
  <c r="AF559" i="17"/>
  <c r="AF567" i="17"/>
  <c r="AF575" i="17"/>
  <c r="AF583" i="17"/>
  <c r="AF591" i="17"/>
  <c r="AF599" i="17"/>
  <c r="AF607" i="17"/>
  <c r="AF615" i="17"/>
  <c r="AF623" i="17"/>
  <c r="AF631" i="17"/>
  <c r="AF639" i="17"/>
  <c r="AF647" i="17"/>
  <c r="AF655" i="17"/>
  <c r="AF663" i="17"/>
  <c r="AF671" i="17"/>
  <c r="AF679" i="17"/>
  <c r="AF687" i="17"/>
  <c r="AF695" i="17"/>
  <c r="AF703" i="17"/>
  <c r="AF711" i="17"/>
  <c r="AF719" i="17"/>
  <c r="AF727" i="17"/>
  <c r="AF735" i="17"/>
  <c r="AF743" i="17"/>
  <c r="AF751" i="17"/>
  <c r="AF759" i="17"/>
  <c r="AF767" i="17"/>
  <c r="AF775" i="17"/>
  <c r="AF783" i="17"/>
  <c r="AF791" i="17"/>
  <c r="AF799" i="17"/>
  <c r="AF807" i="17"/>
  <c r="AF815" i="17"/>
  <c r="AF823" i="17"/>
  <c r="AF831" i="17"/>
  <c r="AF839" i="17"/>
  <c r="AF847" i="17"/>
  <c r="AF855" i="17"/>
  <c r="AF863" i="17"/>
  <c r="AF871" i="17"/>
  <c r="AF879" i="17"/>
  <c r="AF887" i="17"/>
  <c r="AF895" i="17"/>
  <c r="AF903" i="17"/>
  <c r="AF911" i="17"/>
  <c r="AF919" i="17"/>
  <c r="AF927" i="17"/>
  <c r="AF935" i="17"/>
  <c r="AF943" i="17"/>
  <c r="AF951" i="17"/>
  <c r="AF959" i="17"/>
  <c r="AF967" i="17"/>
  <c r="AF975" i="17"/>
  <c r="AF983" i="17"/>
  <c r="AF991" i="17"/>
  <c r="K6" i="17"/>
  <c r="L6" i="17"/>
  <c r="AF10" i="17"/>
  <c r="AF18" i="17"/>
  <c r="AF26" i="17"/>
  <c r="AF34" i="17"/>
  <c r="AF42" i="17"/>
  <c r="AF50" i="17"/>
  <c r="AF58" i="17"/>
  <c r="AF66" i="17"/>
  <c r="AF74" i="17"/>
  <c r="AF82" i="17"/>
  <c r="AF90" i="17"/>
  <c r="AF98" i="17"/>
  <c r="AF106" i="17"/>
  <c r="AF114" i="17"/>
  <c r="AF122" i="17"/>
  <c r="AF130" i="17"/>
  <c r="AF138" i="17"/>
  <c r="AF146" i="17"/>
  <c r="AF154" i="17"/>
  <c r="AF162" i="17"/>
  <c r="AF170" i="17"/>
  <c r="AF178" i="17"/>
  <c r="AF186" i="17"/>
  <c r="AF194" i="17"/>
  <c r="AF202" i="17"/>
  <c r="AF210" i="17"/>
  <c r="AF218" i="17"/>
  <c r="AF226" i="17"/>
  <c r="AF234" i="17"/>
  <c r="AF242" i="17"/>
  <c r="AF250" i="17"/>
  <c r="AF258" i="17"/>
  <c r="AF266" i="17"/>
  <c r="AF274" i="17"/>
  <c r="AF282" i="17"/>
  <c r="AF290" i="17"/>
  <c r="AF298" i="17"/>
  <c r="AF306" i="17"/>
  <c r="AF314" i="17"/>
  <c r="AF322" i="17"/>
  <c r="AF330" i="17"/>
  <c r="AF338" i="17"/>
  <c r="AF346" i="17"/>
  <c r="AF354" i="17"/>
  <c r="AF362" i="17"/>
  <c r="AF370" i="17"/>
  <c r="AF378" i="17"/>
  <c r="AF386" i="17"/>
  <c r="AF394" i="17"/>
  <c r="AF402" i="17"/>
  <c r="AF410" i="17"/>
  <c r="AF418" i="17"/>
  <c r="AF426" i="17"/>
  <c r="AF434" i="17"/>
  <c r="AF442" i="17"/>
  <c r="AF450" i="17"/>
  <c r="AF458" i="17"/>
  <c r="AF466" i="17"/>
  <c r="AF474" i="17"/>
  <c r="AF482" i="17"/>
  <c r="AF490" i="17"/>
  <c r="AF498" i="17"/>
  <c r="AF506" i="17"/>
  <c r="AF514" i="17"/>
  <c r="AF522" i="17"/>
  <c r="AF530" i="17"/>
  <c r="AF538" i="17"/>
  <c r="AF546" i="17"/>
  <c r="AF554" i="17"/>
  <c r="AF562" i="17"/>
  <c r="AF570" i="17"/>
  <c r="AF578" i="17"/>
  <c r="AF586" i="17"/>
  <c r="AF594" i="17"/>
  <c r="AF602" i="17"/>
  <c r="AF610" i="17"/>
  <c r="AF618" i="17"/>
  <c r="AF626" i="17"/>
  <c r="AF634" i="17"/>
  <c r="AF642" i="17"/>
  <c r="AF650" i="17"/>
  <c r="AF658" i="17"/>
  <c r="AF666" i="17"/>
  <c r="AF674" i="17"/>
  <c r="AF682" i="17"/>
  <c r="AF690" i="17"/>
  <c r="AF698" i="17"/>
  <c r="AF706" i="17"/>
  <c r="K8" i="17"/>
  <c r="L8" i="17" s="1"/>
  <c r="K16" i="17"/>
  <c r="L16" i="17" s="1"/>
  <c r="K15" i="17"/>
  <c r="AF13" i="17"/>
  <c r="AF21" i="17"/>
  <c r="AF29" i="17"/>
  <c r="AF37" i="17"/>
  <c r="AF45" i="17"/>
  <c r="AF53" i="17"/>
  <c r="AF61" i="17"/>
  <c r="AF69" i="17"/>
  <c r="AF77" i="17"/>
  <c r="AF85" i="17"/>
  <c r="AF93" i="17"/>
  <c r="AF101" i="17"/>
  <c r="AF109" i="17"/>
  <c r="AF117" i="17"/>
  <c r="AF125" i="17"/>
  <c r="AF133" i="17"/>
  <c r="AF141" i="17"/>
  <c r="AF149" i="17"/>
  <c r="AF157" i="17"/>
  <c r="AF165" i="17"/>
  <c r="AF173" i="17"/>
  <c r="AF181" i="17"/>
  <c r="AF189" i="17"/>
  <c r="AF197" i="17"/>
  <c r="AF205" i="17"/>
  <c r="AF213" i="17"/>
  <c r="AF221" i="17"/>
  <c r="AF229" i="17"/>
  <c r="AF237" i="17"/>
  <c r="AF245" i="17"/>
  <c r="AF253" i="17"/>
  <c r="AF261" i="17"/>
  <c r="AF269" i="17"/>
  <c r="AF277" i="17"/>
  <c r="AF285" i="17"/>
  <c r="AF293" i="17"/>
  <c r="AF301" i="17"/>
  <c r="AF309" i="17"/>
  <c r="AF317" i="17"/>
  <c r="AF325" i="17"/>
  <c r="AF333" i="17"/>
  <c r="AF341" i="17"/>
  <c r="AF349" i="17"/>
  <c r="AF357" i="17"/>
  <c r="AF365" i="17"/>
  <c r="AF373" i="17"/>
  <c r="AF381" i="17"/>
  <c r="AF389" i="17"/>
  <c r="AF397" i="17"/>
  <c r="AF405" i="17"/>
  <c r="AF413" i="17"/>
  <c r="AF421" i="17"/>
  <c r="AF429" i="17"/>
  <c r="AF437" i="17"/>
  <c r="AF445" i="17"/>
  <c r="AF453" i="17"/>
  <c r="AF461" i="17"/>
  <c r="AF469" i="17"/>
  <c r="AF477" i="17"/>
  <c r="AF485" i="17"/>
  <c r="AF493" i="17"/>
  <c r="AF501" i="17"/>
  <c r="AF509" i="17"/>
  <c r="K7" i="17"/>
  <c r="K5" i="17"/>
  <c r="L5" i="17"/>
  <c r="O15" i="17"/>
  <c r="AF16" i="17"/>
  <c r="AF24" i="17"/>
  <c r="AF32" i="17"/>
  <c r="AF40" i="17"/>
  <c r="AF48" i="17"/>
  <c r="AF56" i="17"/>
  <c r="AF64" i="17"/>
  <c r="AF72" i="17"/>
  <c r="AF80" i="17"/>
  <c r="AF88" i="17"/>
  <c r="AF96" i="17"/>
  <c r="AF104" i="17"/>
  <c r="AF112" i="17"/>
  <c r="AF120" i="17"/>
  <c r="AF128" i="17"/>
  <c r="AF136" i="17"/>
  <c r="AF144" i="17"/>
  <c r="AF152" i="17"/>
  <c r="AF160" i="17"/>
  <c r="AF168" i="17"/>
  <c r="AF176" i="17"/>
  <c r="AF184" i="17"/>
  <c r="AF192" i="17"/>
  <c r="AF200" i="17"/>
  <c r="AF208" i="17"/>
  <c r="AF216" i="17"/>
  <c r="AF224" i="17"/>
  <c r="AF232" i="17"/>
  <c r="AF240" i="17"/>
  <c r="AF248" i="17"/>
  <c r="AF256" i="17"/>
  <c r="K10" i="17"/>
  <c r="K3" i="17"/>
  <c r="K11" i="17"/>
  <c r="L15" i="17"/>
  <c r="AF19" i="17"/>
  <c r="AF27" i="17"/>
  <c r="AF35" i="17"/>
  <c r="AF43" i="17"/>
  <c r="AF51" i="17"/>
  <c r="AF59" i="17"/>
  <c r="AF67" i="17"/>
  <c r="AF75" i="17"/>
  <c r="AF83" i="17"/>
  <c r="AF91" i="17"/>
  <c r="AF99" i="17"/>
  <c r="AF107" i="17"/>
  <c r="AF115" i="17"/>
  <c r="AF123" i="17"/>
  <c r="AF131" i="17"/>
  <c r="AF139" i="17"/>
  <c r="AF147" i="17"/>
  <c r="AF155" i="17"/>
  <c r="AF163" i="17"/>
  <c r="AF171" i="17"/>
  <c r="AF179" i="17"/>
  <c r="AF187" i="17"/>
  <c r="AF195" i="17"/>
  <c r="AF203" i="17"/>
  <c r="AF211" i="17"/>
  <c r="AF219" i="17"/>
  <c r="AF227" i="17"/>
  <c r="AF235" i="17"/>
  <c r="AF243" i="17"/>
  <c r="AF251" i="17"/>
  <c r="AF259" i="17"/>
  <c r="AF267" i="17"/>
  <c r="AF275" i="17"/>
  <c r="AF283" i="17"/>
  <c r="AF291" i="17"/>
  <c r="AF299" i="17"/>
  <c r="AF307" i="17"/>
  <c r="AF315" i="17"/>
  <c r="AF323" i="17"/>
  <c r="AF331" i="17"/>
  <c r="K13" i="17"/>
  <c r="L13" i="17" s="1"/>
  <c r="O8" i="17"/>
  <c r="K17" i="17"/>
  <c r="AF14" i="17"/>
  <c r="AF22" i="17"/>
  <c r="AF30" i="17"/>
  <c r="AF38" i="17"/>
  <c r="AF46" i="17"/>
  <c r="AF54" i="17"/>
  <c r="AF62" i="17"/>
  <c r="AF70" i="17"/>
  <c r="AF78" i="17"/>
  <c r="AF86" i="17"/>
  <c r="AF94" i="17"/>
  <c r="AF102" i="17"/>
  <c r="AF110" i="17"/>
  <c r="AF118" i="17"/>
  <c r="AF126" i="17"/>
  <c r="AF134" i="17"/>
  <c r="AF142" i="17"/>
  <c r="AF150" i="17"/>
  <c r="AF158" i="17"/>
  <c r="AF166" i="17"/>
  <c r="AF174" i="17"/>
  <c r="AF182" i="17"/>
  <c r="AF190" i="17"/>
  <c r="AF198" i="17"/>
  <c r="AF206" i="17"/>
  <c r="AF214" i="17"/>
  <c r="AF222" i="17"/>
  <c r="AF230" i="17"/>
  <c r="AF238" i="17"/>
  <c r="AF246" i="17"/>
  <c r="AF254" i="17"/>
  <c r="AF262" i="17"/>
  <c r="AF270" i="17"/>
  <c r="AF278" i="17"/>
  <c r="AF286" i="17"/>
  <c r="AF294" i="17"/>
  <c r="AF302" i="17"/>
  <c r="AF310" i="17"/>
  <c r="AF318" i="17"/>
  <c r="AF326" i="17"/>
  <c r="AF334" i="17"/>
  <c r="AF342" i="17"/>
  <c r="AF350" i="17"/>
  <c r="AF358" i="17"/>
  <c r="AF366" i="17"/>
  <c r="AF374" i="17"/>
  <c r="AF382" i="17"/>
  <c r="AF390" i="17"/>
  <c r="AF398" i="17"/>
  <c r="AF406" i="17"/>
  <c r="AF414" i="17"/>
  <c r="AF422" i="17"/>
  <c r="AF430" i="17"/>
  <c r="AF438" i="17"/>
  <c r="AF446" i="17"/>
  <c r="AF454" i="17"/>
  <c r="AF462" i="17"/>
  <c r="AF470" i="17"/>
  <c r="AF478" i="17"/>
  <c r="AF486" i="17"/>
  <c r="AF494" i="17"/>
  <c r="AF502" i="17"/>
  <c r="AF510" i="17"/>
  <c r="AF518" i="17"/>
  <c r="AF526" i="17"/>
  <c r="AF534" i="17"/>
  <c r="AF542" i="17"/>
  <c r="AF550" i="17"/>
  <c r="AF558" i="17"/>
  <c r="AF566" i="17"/>
  <c r="AF574" i="17"/>
  <c r="AF582" i="17"/>
  <c r="AF590" i="17"/>
  <c r="AF598" i="17"/>
  <c r="AF606" i="17"/>
  <c r="AF614" i="17"/>
  <c r="AF622" i="17"/>
  <c r="AF630" i="17"/>
  <c r="K9" i="17"/>
  <c r="L9" i="17" s="1"/>
  <c r="K12" i="17"/>
  <c r="L11" i="17"/>
  <c r="AF17" i="17"/>
  <c r="AF25" i="17"/>
  <c r="AF33" i="17"/>
  <c r="AF41" i="17"/>
  <c r="AF49" i="17"/>
  <c r="AF57" i="17"/>
  <c r="AF65" i="17"/>
  <c r="AF73" i="17"/>
  <c r="AF81" i="17"/>
  <c r="AF89" i="17"/>
  <c r="AF97" i="17"/>
  <c r="AF105" i="17"/>
  <c r="AF113" i="17"/>
  <c r="AF121" i="17"/>
  <c r="AF129" i="17"/>
  <c r="AF137" i="17"/>
  <c r="AF145" i="17"/>
  <c r="AF153" i="17"/>
  <c r="AF161" i="17"/>
  <c r="AF169" i="17"/>
  <c r="AF177" i="17"/>
  <c r="AF185" i="17"/>
  <c r="AF193" i="17"/>
  <c r="AF201" i="17"/>
  <c r="AF209" i="17"/>
  <c r="AF217" i="17"/>
  <c r="AF225" i="17"/>
  <c r="AF233" i="17"/>
  <c r="AF241" i="17"/>
  <c r="AF249" i="17"/>
  <c r="AF257" i="17"/>
  <c r="K4" i="17"/>
  <c r="L4" i="17" s="1"/>
  <c r="K14" i="17"/>
  <c r="L10" i="17"/>
  <c r="AF12" i="17"/>
  <c r="AF20" i="17"/>
  <c r="AF28" i="17"/>
  <c r="AF36" i="17"/>
  <c r="AF44" i="17"/>
  <c r="AF52" i="17"/>
  <c r="AF60" i="17"/>
  <c r="AF68" i="17"/>
  <c r="AF76" i="17"/>
  <c r="AF84" i="17"/>
  <c r="AF92" i="17"/>
  <c r="AF100" i="17"/>
  <c r="AF108" i="17"/>
  <c r="AF116" i="17"/>
  <c r="AF124" i="17"/>
  <c r="AF132" i="17"/>
  <c r="AF140" i="17"/>
  <c r="AF148" i="17"/>
  <c r="AF156" i="17"/>
  <c r="AF164" i="17"/>
  <c r="AF172" i="17"/>
  <c r="AF180" i="17"/>
  <c r="AF188" i="17"/>
  <c r="AF196" i="17"/>
  <c r="AF204" i="17"/>
  <c r="AF212" i="17"/>
  <c r="AF220" i="17"/>
  <c r="AF228" i="17"/>
  <c r="AF236" i="17"/>
  <c r="AF244" i="17"/>
  <c r="AF252" i="17"/>
  <c r="AF260" i="17"/>
  <c r="AF276" i="17"/>
  <c r="AF313" i="17"/>
  <c r="AF320" i="17"/>
  <c r="AF528" i="17"/>
  <c r="AF531" i="17"/>
  <c r="AF537" i="17"/>
  <c r="AF540" i="17"/>
  <c r="AF549" i="17"/>
  <c r="AF592" i="17"/>
  <c r="AF595" i="17"/>
  <c r="AF601" i="17"/>
  <c r="AF604" i="17"/>
  <c r="AF613" i="17"/>
  <c r="AF646" i="17"/>
  <c r="AF649" i="17"/>
  <c r="AF652" i="17"/>
  <c r="AF678" i="17"/>
  <c r="AF681" i="17"/>
  <c r="AF684" i="17"/>
  <c r="AF710" i="17"/>
  <c r="AF713" i="17"/>
  <c r="AF724" i="17"/>
  <c r="AF738" i="17"/>
  <c r="AF749" i="17"/>
  <c r="AF752" i="17"/>
  <c r="AF763" i="17"/>
  <c r="AF774" i="17"/>
  <c r="AF777" i="17"/>
  <c r="AF788" i="17"/>
  <c r="AF802" i="17"/>
  <c r="AF813" i="17"/>
  <c r="AF816" i="17"/>
  <c r="AF827" i="17"/>
  <c r="AF838" i="17"/>
  <c r="AF841" i="17"/>
  <c r="AF852" i="17"/>
  <c r="AF866" i="17"/>
  <c r="AF877" i="17"/>
  <c r="AF880" i="17"/>
  <c r="AF891" i="17"/>
  <c r="AF902" i="17"/>
  <c r="AF905" i="17"/>
  <c r="AF916" i="17"/>
  <c r="AF930" i="17"/>
  <c r="AF941" i="17"/>
  <c r="AF944" i="17"/>
  <c r="AF955" i="17"/>
  <c r="AF966" i="17"/>
  <c r="AF969" i="17"/>
  <c r="AF980" i="17"/>
  <c r="AF994" i="17"/>
  <c r="AF1002" i="17"/>
  <c r="AF1010" i="17"/>
  <c r="AF1018" i="17"/>
  <c r="AF1026" i="17"/>
  <c r="AF1034" i="17"/>
  <c r="AF1042" i="17"/>
  <c r="AF1050" i="17"/>
  <c r="AF1058" i="17"/>
  <c r="AF1066" i="17"/>
  <c r="AF1074" i="17"/>
  <c r="AF1082" i="17"/>
  <c r="AF1090" i="17"/>
  <c r="AF1098" i="17"/>
  <c r="AF1106" i="17"/>
  <c r="AF1114" i="17"/>
  <c r="AF1122" i="17"/>
  <c r="AF1130" i="17"/>
  <c r="AF1138" i="17"/>
  <c r="AF1146" i="17"/>
  <c r="AF1154" i="17"/>
  <c r="AF1162" i="17"/>
  <c r="AF1170" i="17"/>
  <c r="AF1178" i="17"/>
  <c r="AF1186" i="17"/>
  <c r="AF1194" i="17"/>
  <c r="AF1202" i="17"/>
  <c r="AF1210" i="17"/>
  <c r="AF1218" i="17"/>
  <c r="AF1226" i="17"/>
  <c r="AF1234" i="17"/>
  <c r="AF1242" i="17"/>
  <c r="AF1250" i="17"/>
  <c r="AF1258" i="17"/>
  <c r="AF1266" i="17"/>
  <c r="AF1274" i="17"/>
  <c r="AF1282" i="17"/>
  <c r="AF1290" i="17"/>
  <c r="AF1298" i="17"/>
  <c r="AF1306" i="17"/>
  <c r="AF1314" i="17"/>
  <c r="AF1322" i="17"/>
  <c r="AF1330" i="17"/>
  <c r="AF1338" i="17"/>
  <c r="AF1346" i="17"/>
  <c r="AF1354" i="17"/>
  <c r="AF1362" i="17"/>
  <c r="AF1370" i="17"/>
  <c r="AF1378" i="17"/>
  <c r="AF1386" i="17"/>
  <c r="AF1394" i="17"/>
  <c r="AF1402" i="17"/>
  <c r="AF273" i="17"/>
  <c r="AF280" i="17"/>
  <c r="AF300" i="17"/>
  <c r="AF337" i="17"/>
  <c r="AF340" i="17"/>
  <c r="AF353" i="17"/>
  <c r="AF356" i="17"/>
  <c r="AF369" i="17"/>
  <c r="AF372" i="17"/>
  <c r="AF385" i="17"/>
  <c r="AF388" i="17"/>
  <c r="AF401" i="17"/>
  <c r="AF404" i="17"/>
  <c r="AF417" i="17"/>
  <c r="AF420" i="17"/>
  <c r="AF433" i="17"/>
  <c r="AF436" i="17"/>
  <c r="AF449" i="17"/>
  <c r="AF452" i="17"/>
  <c r="AF465" i="17"/>
  <c r="AF468" i="17"/>
  <c r="AF481" i="17"/>
  <c r="AF484" i="17"/>
  <c r="AF497" i="17"/>
  <c r="AF500" i="17"/>
  <c r="AF513" i="17"/>
  <c r="AF516" i="17"/>
  <c r="AF525" i="17"/>
  <c r="AF568" i="17"/>
  <c r="AF571" i="17"/>
  <c r="AF577" i="17"/>
  <c r="AF580" i="17"/>
  <c r="AF589" i="17"/>
  <c r="AF632" i="17"/>
  <c r="AF635" i="17"/>
  <c r="AF661" i="17"/>
  <c r="AF664" i="17"/>
  <c r="AF667" i="17"/>
  <c r="AF693" i="17"/>
  <c r="AF696" i="17"/>
  <c r="AF699" i="17"/>
  <c r="AF716" i="17"/>
  <c r="AF730" i="17"/>
  <c r="AF741" i="17"/>
  <c r="AF744" i="17"/>
  <c r="AF755" i="17"/>
  <c r="AF766" i="17"/>
  <c r="AF769" i="17"/>
  <c r="AF780" i="17"/>
  <c r="AF794" i="17"/>
  <c r="AF805" i="17"/>
  <c r="AF808" i="17"/>
  <c r="AF819" i="17"/>
  <c r="AF830" i="17"/>
  <c r="AF833" i="17"/>
  <c r="AF844" i="17"/>
  <c r="AF858" i="17"/>
  <c r="AF869" i="17"/>
  <c r="AF872" i="17"/>
  <c r="AF883" i="17"/>
  <c r="AF894" i="17"/>
  <c r="AF897" i="17"/>
  <c r="AF908" i="17"/>
  <c r="AF922" i="17"/>
  <c r="AF933" i="17"/>
  <c r="AF936" i="17"/>
  <c r="AF947" i="17"/>
  <c r="AF958" i="17"/>
  <c r="AF961" i="17"/>
  <c r="AF972" i="17"/>
  <c r="AF986" i="17"/>
  <c r="AF997" i="17"/>
  <c r="AF1005" i="17"/>
  <c r="AF1013" i="17"/>
  <c r="AF1021" i="17"/>
  <c r="AF1029" i="17"/>
  <c r="AF1037" i="17"/>
  <c r="AF1045" i="17"/>
  <c r="AF1053" i="17"/>
  <c r="AF1061" i="17"/>
  <c r="AF1069" i="17"/>
  <c r="AF1077" i="17"/>
  <c r="AF1085" i="17"/>
  <c r="AF1093" i="17"/>
  <c r="AF1101" i="17"/>
  <c r="AF1109" i="17"/>
  <c r="AF1117" i="17"/>
  <c r="AF1125" i="17"/>
  <c r="AF1133" i="17"/>
  <c r="AF1141" i="17"/>
  <c r="AF1149" i="17"/>
  <c r="AF1157" i="17"/>
  <c r="AF1165" i="17"/>
  <c r="AF1173" i="17"/>
  <c r="AF1181" i="17"/>
  <c r="AF1189" i="17"/>
  <c r="AF1197" i="17"/>
  <c r="AF1205" i="17"/>
  <c r="AF1213" i="17"/>
  <c r="AF1221" i="17"/>
  <c r="AF1229" i="17"/>
  <c r="AF1237" i="17"/>
  <c r="AF1245" i="17"/>
  <c r="AF1253" i="17"/>
  <c r="AF1261" i="17"/>
  <c r="AF1269" i="17"/>
  <c r="AF1277" i="17"/>
  <c r="AF1285" i="17"/>
  <c r="AF1293" i="17"/>
  <c r="AF1301" i="17"/>
  <c r="AF1309" i="17"/>
  <c r="AF1317" i="17"/>
  <c r="AF1325" i="17"/>
  <c r="AF1333" i="17"/>
  <c r="AF1341" i="17"/>
  <c r="AF1349" i="17"/>
  <c r="AF1357" i="17"/>
  <c r="AF1365" i="17"/>
  <c r="AF1373" i="17"/>
  <c r="AF1381" i="17"/>
  <c r="AF1389" i="17"/>
  <c r="AF1397" i="17"/>
  <c r="AF1405" i="17"/>
  <c r="AF1413" i="17"/>
  <c r="AF1421" i="17"/>
  <c r="AF1429" i="17"/>
  <c r="AF1437" i="17"/>
  <c r="AF297" i="17"/>
  <c r="AF304" i="17"/>
  <c r="AF324" i="17"/>
  <c r="AF344" i="17"/>
  <c r="AF347" i="17"/>
  <c r="AF360" i="17"/>
  <c r="AF363" i="17"/>
  <c r="AF376" i="17"/>
  <c r="AF379" i="17"/>
  <c r="AF392" i="17"/>
  <c r="AF395" i="17"/>
  <c r="AF408" i="17"/>
  <c r="AF411" i="17"/>
  <c r="AF424" i="17"/>
  <c r="AF427" i="17"/>
  <c r="AF440" i="17"/>
  <c r="AF443" i="17"/>
  <c r="AF456" i="17"/>
  <c r="AF459" i="17"/>
  <c r="AF472" i="17"/>
  <c r="AF475" i="17"/>
  <c r="AF488" i="17"/>
  <c r="AF491" i="17"/>
  <c r="AF504" i="17"/>
  <c r="AF507" i="17"/>
  <c r="AF264" i="17"/>
  <c r="AF284" i="17"/>
  <c r="AF321" i="17"/>
  <c r="AF328" i="17"/>
  <c r="AF520" i="17"/>
  <c r="AF523" i="17"/>
  <c r="AF529" i="17"/>
  <c r="AF532" i="17"/>
  <c r="AF541" i="17"/>
  <c r="AF268" i="17"/>
  <c r="AF308" i="17"/>
  <c r="AF348" i="17"/>
  <c r="AF355" i="17"/>
  <c r="AF380" i="17"/>
  <c r="AF387" i="17"/>
  <c r="AF412" i="17"/>
  <c r="AF419" i="17"/>
  <c r="AF444" i="17"/>
  <c r="AF451" i="17"/>
  <c r="AF476" i="17"/>
  <c r="AF483" i="17"/>
  <c r="AF508" i="17"/>
  <c r="AF515" i="17"/>
  <c r="AF533" i="17"/>
  <c r="AF553" i="17"/>
  <c r="AF556" i="17"/>
  <c r="AF565" i="17"/>
  <c r="AF572" i="17"/>
  <c r="AF585" i="17"/>
  <c r="AF588" i="17"/>
  <c r="AF605" i="17"/>
  <c r="AF624" i="17"/>
  <c r="AF627" i="17"/>
  <c r="AF668" i="17"/>
  <c r="AF680" i="17"/>
  <c r="AF702" i="17"/>
  <c r="AF705" i="17"/>
  <c r="AF708" i="17"/>
  <c r="AF723" i="17"/>
  <c r="AF726" i="17"/>
  <c r="AF729" i="17"/>
  <c r="AF732" i="17"/>
  <c r="AF747" i="17"/>
  <c r="AF750" i="17"/>
  <c r="AF762" i="17"/>
  <c r="AF765" i="17"/>
  <c r="AF798" i="17"/>
  <c r="AF801" i="17"/>
  <c r="AF804" i="17"/>
  <c r="AF898" i="17"/>
  <c r="AF904" i="17"/>
  <c r="AF907" i="17"/>
  <c r="AF910" i="17"/>
  <c r="AF913" i="17"/>
  <c r="AF937" i="17"/>
  <c r="AF946" i="17"/>
  <c r="AF949" i="17"/>
  <c r="AF952" i="17"/>
  <c r="AF964" i="17"/>
  <c r="AF979" i="17"/>
  <c r="AF982" i="17"/>
  <c r="AF985" i="17"/>
  <c r="AF988" i="17"/>
  <c r="AF1017" i="17"/>
  <c r="AF1020" i="17"/>
  <c r="AF1023" i="17"/>
  <c r="AF1049" i="17"/>
  <c r="AF1052" i="17"/>
  <c r="AF1055" i="17"/>
  <c r="AF1081" i="17"/>
  <c r="AF1084" i="17"/>
  <c r="AF1087" i="17"/>
  <c r="AF1113" i="17"/>
  <c r="AF1116" i="17"/>
  <c r="AF1119" i="17"/>
  <c r="AF1145" i="17"/>
  <c r="AF1148" i="17"/>
  <c r="AF1151" i="17"/>
  <c r="AF1177" i="17"/>
  <c r="AF1180" i="17"/>
  <c r="AF1183" i="17"/>
  <c r="AF1209" i="17"/>
  <c r="AF1212" i="17"/>
  <c r="AF1215" i="17"/>
  <c r="AF1241" i="17"/>
  <c r="AF1244" i="17"/>
  <c r="AF1247" i="17"/>
  <c r="AF1273" i="17"/>
  <c r="AF1276" i="17"/>
  <c r="AF1279" i="17"/>
  <c r="AF1305" i="17"/>
  <c r="AF1308" i="17"/>
  <c r="AF1311" i="17"/>
  <c r="AF1337" i="17"/>
  <c r="AF1340" i="17"/>
  <c r="AF1343" i="17"/>
  <c r="AF1369" i="17"/>
  <c r="AF1372" i="17"/>
  <c r="AF1375" i="17"/>
  <c r="AF1401" i="17"/>
  <c r="AF1404" i="17"/>
  <c r="AF1407" i="17"/>
  <c r="AF1418" i="17"/>
  <c r="AF1432" i="17"/>
  <c r="AF1443" i="17"/>
  <c r="AF1451" i="17"/>
  <c r="AF1459" i="17"/>
  <c r="AF1467" i="17"/>
  <c r="AF1475" i="17"/>
  <c r="AF1483" i="17"/>
  <c r="AF1491" i="17"/>
  <c r="AF1499" i="17"/>
  <c r="AF1507" i="17"/>
  <c r="AF1515" i="17"/>
  <c r="AF1523" i="17"/>
  <c r="AF1531" i="17"/>
  <c r="AF1539" i="17"/>
  <c r="AF1547" i="17"/>
  <c r="AF1555" i="17"/>
  <c r="AF1563" i="17"/>
  <c r="AF1571" i="17"/>
  <c r="AF1579" i="17"/>
  <c r="AF1587" i="17"/>
  <c r="AF1595" i="17"/>
  <c r="AF1603" i="17"/>
  <c r="AF1611" i="17"/>
  <c r="AF1619" i="17"/>
  <c r="AF1627" i="17"/>
  <c r="AF1635" i="17"/>
  <c r="AF1643" i="17"/>
  <c r="AF1651" i="17"/>
  <c r="AF1659" i="17"/>
  <c r="AF1667" i="17"/>
  <c r="AF1675" i="17"/>
  <c r="AF1683" i="17"/>
  <c r="AF1044" i="17"/>
  <c r="AF1315" i="17"/>
  <c r="AF1588" i="17"/>
  <c r="AF1620" i="17"/>
  <c r="AF1684" i="17"/>
  <c r="AF1439" i="17"/>
  <c r="AF1567" i="17"/>
  <c r="AF1583" i="17"/>
  <c r="AF1599" i="17"/>
  <c r="AF1655" i="17"/>
  <c r="AF1083" i="17"/>
  <c r="AF1214" i="17"/>
  <c r="AF1275" i="17"/>
  <c r="AF1307" i="17"/>
  <c r="AF1336" i="17"/>
  <c r="AF1374" i="17"/>
  <c r="AF1417" i="17"/>
  <c r="AF1442" i="17"/>
  <c r="AF1482" i="17"/>
  <c r="AF1498" i="17"/>
  <c r="AF1514" i="17"/>
  <c r="AF1554" i="17"/>
  <c r="AF1586" i="17"/>
  <c r="AF1602" i="17"/>
  <c r="AF1634" i="17"/>
  <c r="AF1642" i="17"/>
  <c r="AF1666" i="17"/>
  <c r="AF1063" i="17"/>
  <c r="AF265" i="17"/>
  <c r="AF272" i="17"/>
  <c r="AF305" i="17"/>
  <c r="AF312" i="17"/>
  <c r="AF345" i="17"/>
  <c r="AF352" i="17"/>
  <c r="AF377" i="17"/>
  <c r="AF384" i="17"/>
  <c r="AF409" i="17"/>
  <c r="AF416" i="17"/>
  <c r="AF441" i="17"/>
  <c r="AF448" i="17"/>
  <c r="AF473" i="17"/>
  <c r="AF480" i="17"/>
  <c r="AF505" i="17"/>
  <c r="AF512" i="17"/>
  <c r="AF544" i="17"/>
  <c r="AF547" i="17"/>
  <c r="AF569" i="17"/>
  <c r="AF579" i="17"/>
  <c r="AF621" i="17"/>
  <c r="AF637" i="17"/>
  <c r="AF640" i="17"/>
  <c r="AF643" i="17"/>
  <c r="AF665" i="17"/>
  <c r="AF677" i="17"/>
  <c r="AF778" i="17"/>
  <c r="AF781" i="17"/>
  <c r="AF784" i="17"/>
  <c r="AF817" i="17"/>
  <c r="AF820" i="17"/>
  <c r="AF832" i="17"/>
  <c r="AF835" i="17"/>
  <c r="AF850" i="17"/>
  <c r="AF853" i="17"/>
  <c r="AF856" i="17"/>
  <c r="AF859" i="17"/>
  <c r="AF874" i="17"/>
  <c r="AF886" i="17"/>
  <c r="AF889" i="17"/>
  <c r="AF892" i="17"/>
  <c r="AF901" i="17"/>
  <c r="AF925" i="17"/>
  <c r="AF928" i="17"/>
  <c r="AF931" i="17"/>
  <c r="AF934" i="17"/>
  <c r="AF940" i="17"/>
  <c r="AF1000" i="17"/>
  <c r="AF1003" i="17"/>
  <c r="AF1006" i="17"/>
  <c r="AF1032" i="17"/>
  <c r="AF1035" i="17"/>
  <c r="AF1038" i="17"/>
  <c r="AF1064" i="17"/>
  <c r="AF1067" i="17"/>
  <c r="AF1070" i="17"/>
  <c r="AF1096" i="17"/>
  <c r="AF1099" i="17"/>
  <c r="AF1102" i="17"/>
  <c r="AF1128" i="17"/>
  <c r="AF1131" i="17"/>
  <c r="AF1134" i="17"/>
  <c r="AF1160" i="17"/>
  <c r="AF1163" i="17"/>
  <c r="AF1166" i="17"/>
  <c r="AF1192" i="17"/>
  <c r="AF1195" i="17"/>
  <c r="AF1198" i="17"/>
  <c r="AF1224" i="17"/>
  <c r="AF1227" i="17"/>
  <c r="AF1230" i="17"/>
  <c r="AF1256" i="17"/>
  <c r="AF1259" i="17"/>
  <c r="AF1262" i="17"/>
  <c r="AF1288" i="17"/>
  <c r="AF1291" i="17"/>
  <c r="AF1294" i="17"/>
  <c r="AF1320" i="17"/>
  <c r="AF1323" i="17"/>
  <c r="AF1326" i="17"/>
  <c r="AF1352" i="17"/>
  <c r="AF1355" i="17"/>
  <c r="AF1358" i="17"/>
  <c r="AF1384" i="17"/>
  <c r="AF1387" i="17"/>
  <c r="AF1390" i="17"/>
  <c r="AF1410" i="17"/>
  <c r="AF1424" i="17"/>
  <c r="AF1435" i="17"/>
  <c r="AF1438" i="17"/>
  <c r="AF1446" i="17"/>
  <c r="AF1454" i="17"/>
  <c r="AF1462" i="17"/>
  <c r="AF1470" i="17"/>
  <c r="AF1478" i="17"/>
  <c r="AF1486" i="17"/>
  <c r="AF1494" i="17"/>
  <c r="AF1502" i="17"/>
  <c r="AF1510" i="17"/>
  <c r="AF1518" i="17"/>
  <c r="AF1526" i="17"/>
  <c r="AF1534" i="17"/>
  <c r="AF1542" i="17"/>
  <c r="AF1550" i="17"/>
  <c r="AF1558" i="17"/>
  <c r="AF1566" i="17"/>
  <c r="AF1574" i="17"/>
  <c r="AF1582" i="17"/>
  <c r="AF1590" i="17"/>
  <c r="AF1598" i="17"/>
  <c r="AF1606" i="17"/>
  <c r="AF1614" i="17"/>
  <c r="AF1622" i="17"/>
  <c r="AF1630" i="17"/>
  <c r="AF1638" i="17"/>
  <c r="AF1646" i="17"/>
  <c r="AF1654" i="17"/>
  <c r="AF1662" i="17"/>
  <c r="AF1670" i="17"/>
  <c r="AF1678" i="17"/>
  <c r="AF715" i="17"/>
  <c r="AF968" i="17"/>
  <c r="AF971" i="17"/>
  <c r="AF977" i="17"/>
  <c r="AF1009" i="17"/>
  <c r="AF1015" i="17"/>
  <c r="AF1041" i="17"/>
  <c r="AF1047" i="17"/>
  <c r="AF1073" i="17"/>
  <c r="AF1079" i="17"/>
  <c r="AF1105" i="17"/>
  <c r="AF1108" i="17"/>
  <c r="AF1137" i="17"/>
  <c r="AF1140" i="17"/>
  <c r="AF1169" i="17"/>
  <c r="AF1172" i="17"/>
  <c r="AF1175" i="17"/>
  <c r="AF1201" i="17"/>
  <c r="AF1207" i="17"/>
  <c r="AF1233" i="17"/>
  <c r="AF1236" i="17"/>
  <c r="AF1265" i="17"/>
  <c r="AF1268" i="17"/>
  <c r="AF1297" i="17"/>
  <c r="AF1300" i="17"/>
  <c r="AF1303" i="17"/>
  <c r="AF1329" i="17"/>
  <c r="AF1335" i="17"/>
  <c r="AF1361" i="17"/>
  <c r="AF1364" i="17"/>
  <c r="AF1393" i="17"/>
  <c r="AF1396" i="17"/>
  <c r="AF1399" i="17"/>
  <c r="AF1416" i="17"/>
  <c r="AF1427" i="17"/>
  <c r="AF1441" i="17"/>
  <c r="AF1449" i="17"/>
  <c r="AF1465" i="17"/>
  <c r="AF1473" i="17"/>
  <c r="AF1481" i="17"/>
  <c r="AF1489" i="17"/>
  <c r="AF1497" i="17"/>
  <c r="AF1513" i="17"/>
  <c r="AF1521" i="17"/>
  <c r="AF1529" i="17"/>
  <c r="AF1545" i="17"/>
  <c r="AF1561" i="17"/>
  <c r="AF1569" i="17"/>
  <c r="AF1577" i="17"/>
  <c r="AF1585" i="17"/>
  <c r="AF1601" i="17"/>
  <c r="AF1609" i="17"/>
  <c r="AF1617" i="17"/>
  <c r="AF1633" i="17"/>
  <c r="AF1649" i="17"/>
  <c r="AF1657" i="17"/>
  <c r="AF1673" i="17"/>
  <c r="AF1681" i="17"/>
  <c r="AF1187" i="17"/>
  <c r="AF1219" i="17"/>
  <c r="AF1248" i="17"/>
  <c r="AF1251" i="17"/>
  <c r="AF1254" i="17"/>
  <c r="AF1280" i="17"/>
  <c r="AF1286" i="17"/>
  <c r="AF1312" i="17"/>
  <c r="AF1318" i="17"/>
  <c r="AF1344" i="17"/>
  <c r="AF1347" i="17"/>
  <c r="AF1376" i="17"/>
  <c r="AF1379" i="17"/>
  <c r="AF1382" i="17"/>
  <c r="AF1408" i="17"/>
  <c r="AF1419" i="17"/>
  <c r="AF1433" i="17"/>
  <c r="AF1444" i="17"/>
  <c r="AF1452" i="17"/>
  <c r="AF1460" i="17"/>
  <c r="AF1468" i="17"/>
  <c r="AF1476" i="17"/>
  <c r="AF1484" i="17"/>
  <c r="AF1492" i="17"/>
  <c r="AF1500" i="17"/>
  <c r="AF1516" i="17"/>
  <c r="AF1524" i="17"/>
  <c r="AF1532" i="17"/>
  <c r="AF1540" i="17"/>
  <c r="AF1548" i="17"/>
  <c r="AF1556" i="17"/>
  <c r="AF1564" i="17"/>
  <c r="AF1580" i="17"/>
  <c r="AF1596" i="17"/>
  <c r="AF1604" i="17"/>
  <c r="AF1612" i="17"/>
  <c r="AF1628" i="17"/>
  <c r="AF1636" i="17"/>
  <c r="AF1660" i="17"/>
  <c r="AF1668" i="17"/>
  <c r="AF1676" i="17"/>
  <c r="AF1135" i="17"/>
  <c r="AF1263" i="17"/>
  <c r="AF1289" i="17"/>
  <c r="AF1321" i="17"/>
  <c r="AF1353" i="17"/>
  <c r="AF1385" i="17"/>
  <c r="AF1391" i="17"/>
  <c r="AF1411" i="17"/>
  <c r="AF1436" i="17"/>
  <c r="AF1455" i="17"/>
  <c r="AF1463" i="17"/>
  <c r="AF1471" i="17"/>
  <c r="AF1487" i="17"/>
  <c r="AF1495" i="17"/>
  <c r="AF1527" i="17"/>
  <c r="AF1551" i="17"/>
  <c r="AF1575" i="17"/>
  <c r="AF1591" i="17"/>
  <c r="AF1615" i="17"/>
  <c r="AF1623" i="17"/>
  <c r="AF1663" i="17"/>
  <c r="AF1679" i="17"/>
  <c r="AF1086" i="17"/>
  <c r="AF1211" i="17"/>
  <c r="AF1246" i="17"/>
  <c r="AF1272" i="17"/>
  <c r="AF1368" i="17"/>
  <c r="AF1406" i="17"/>
  <c r="AF1431" i="17"/>
  <c r="AF1474" i="17"/>
  <c r="AF1506" i="17"/>
  <c r="AF1522" i="17"/>
  <c r="AF1538" i="17"/>
  <c r="AF1562" i="17"/>
  <c r="AF1610" i="17"/>
  <c r="AF924" i="17"/>
  <c r="AF316" i="17"/>
  <c r="AF560" i="17"/>
  <c r="AF563" i="17"/>
  <c r="AF576" i="17"/>
  <c r="AF596" i="17"/>
  <c r="AF609" i="17"/>
  <c r="AF612" i="17"/>
  <c r="AF653" i="17"/>
  <c r="AF656" i="17"/>
  <c r="AF659" i="17"/>
  <c r="AF662" i="17"/>
  <c r="AF700" i="17"/>
  <c r="AF712" i="17"/>
  <c r="AF718" i="17"/>
  <c r="AF721" i="17"/>
  <c r="AF745" i="17"/>
  <c r="AF754" i="17"/>
  <c r="AF757" i="17"/>
  <c r="AF760" i="17"/>
  <c r="AF772" i="17"/>
  <c r="AF787" i="17"/>
  <c r="AF790" i="17"/>
  <c r="AF793" i="17"/>
  <c r="AF796" i="17"/>
  <c r="AF811" i="17"/>
  <c r="AF814" i="17"/>
  <c r="AF826" i="17"/>
  <c r="AF829" i="17"/>
  <c r="AF862" i="17"/>
  <c r="AF865" i="17"/>
  <c r="AF868" i="17"/>
  <c r="AF962" i="17"/>
  <c r="AF974" i="17"/>
  <c r="AF1012" i="17"/>
  <c r="AF1076" i="17"/>
  <c r="AF1111" i="17"/>
  <c r="AF1143" i="17"/>
  <c r="AF1204" i="17"/>
  <c r="AF1239" i="17"/>
  <c r="AF1271" i="17"/>
  <c r="AF1332" i="17"/>
  <c r="AF1367" i="17"/>
  <c r="AF1430" i="17"/>
  <c r="AF1457" i="17"/>
  <c r="AF1505" i="17"/>
  <c r="AF1537" i="17"/>
  <c r="AF1553" i="17"/>
  <c r="AF1593" i="17"/>
  <c r="AF1625" i="17"/>
  <c r="AF1641" i="17"/>
  <c r="AF1665" i="17"/>
  <c r="AF1094" i="17"/>
  <c r="AF1350" i="17"/>
  <c r="AF1644" i="17"/>
  <c r="AF1132" i="17"/>
  <c r="AF1503" i="17"/>
  <c r="AF1535" i="17"/>
  <c r="AF1607" i="17"/>
  <c r="AF1647" i="17"/>
  <c r="AF1243" i="17"/>
  <c r="AF1304" i="17"/>
  <c r="AF1339" i="17"/>
  <c r="AF1371" i="17"/>
  <c r="AF1403" i="17"/>
  <c r="AF1428" i="17"/>
  <c r="AF1450" i="17"/>
  <c r="AF1466" i="17"/>
  <c r="AF1490" i="17"/>
  <c r="AF1546" i="17"/>
  <c r="AF1570" i="17"/>
  <c r="AF1626" i="17"/>
  <c r="AF1682" i="17"/>
  <c r="AF1060" i="17"/>
  <c r="AF288" i="17"/>
  <c r="AF557" i="17"/>
  <c r="AF573" i="17"/>
  <c r="AF593" i="17"/>
  <c r="AF603" i="17"/>
  <c r="AF616" i="17"/>
  <c r="AF619" i="17"/>
  <c r="AF625" i="17"/>
  <c r="AF628" i="17"/>
  <c r="AF669" i="17"/>
  <c r="AF672" i="17"/>
  <c r="AF675" i="17"/>
  <c r="AF697" i="17"/>
  <c r="AF709" i="17"/>
  <c r="AF733" i="17"/>
  <c r="AF736" i="17"/>
  <c r="AF739" i="17"/>
  <c r="AF742" i="17"/>
  <c r="AF748" i="17"/>
  <c r="AF842" i="17"/>
  <c r="AF845" i="17"/>
  <c r="AF848" i="17"/>
  <c r="AF881" i="17"/>
  <c r="AF884" i="17"/>
  <c r="AF896" i="17"/>
  <c r="AF899" i="17"/>
  <c r="AF914" i="17"/>
  <c r="AF917" i="17"/>
  <c r="AF920" i="17"/>
  <c r="AF923" i="17"/>
  <c r="AF938" i="17"/>
  <c r="AF950" i="17"/>
  <c r="AF953" i="17"/>
  <c r="AF956" i="17"/>
  <c r="AF965" i="17"/>
  <c r="AF989" i="17"/>
  <c r="AF992" i="17"/>
  <c r="AF995" i="17"/>
  <c r="AF998" i="17"/>
  <c r="AF1024" i="17"/>
  <c r="AF1027" i="17"/>
  <c r="AF1030" i="17"/>
  <c r="AF1056" i="17"/>
  <c r="AF1059" i="17"/>
  <c r="AF1062" i="17"/>
  <c r="AF1088" i="17"/>
  <c r="AF1091" i="17"/>
  <c r="AF1120" i="17"/>
  <c r="AF1123" i="17"/>
  <c r="AF1126" i="17"/>
  <c r="AF1152" i="17"/>
  <c r="AF1155" i="17"/>
  <c r="AF1158" i="17"/>
  <c r="AF1184" i="17"/>
  <c r="AF1190" i="17"/>
  <c r="AF1216" i="17"/>
  <c r="AF1222" i="17"/>
  <c r="AF1283" i="17"/>
  <c r="AF1422" i="17"/>
  <c r="AF1508" i="17"/>
  <c r="AF1572" i="17"/>
  <c r="AF1652" i="17"/>
  <c r="AF1295" i="17"/>
  <c r="AF1327" i="17"/>
  <c r="AF1359" i="17"/>
  <c r="AF1388" i="17"/>
  <c r="AF1414" i="17"/>
  <c r="AF1447" i="17"/>
  <c r="AF1511" i="17"/>
  <c r="AF1543" i="17"/>
  <c r="AF1559" i="17"/>
  <c r="AF1639" i="17"/>
  <c r="AF1115" i="17"/>
  <c r="AF1310" i="17"/>
  <c r="AF1400" i="17"/>
  <c r="AF1458" i="17"/>
  <c r="AF1578" i="17"/>
  <c r="AF1618" i="17"/>
  <c r="AF1674" i="17"/>
  <c r="AF281" i="17"/>
  <c r="AF332" i="17"/>
  <c r="AF339" i="17"/>
  <c r="AF364" i="17"/>
  <c r="AF371" i="17"/>
  <c r="AF396" i="17"/>
  <c r="AF403" i="17"/>
  <c r="AF428" i="17"/>
  <c r="AF435" i="17"/>
  <c r="AF460" i="17"/>
  <c r="AF467" i="17"/>
  <c r="AF492" i="17"/>
  <c r="AF499" i="17"/>
  <c r="AF545" i="17"/>
  <c r="AF548" i="17"/>
  <c r="AF600" i="17"/>
  <c r="AF638" i="17"/>
  <c r="AF641" i="17"/>
  <c r="AF644" i="17"/>
  <c r="AF685" i="17"/>
  <c r="AF688" i="17"/>
  <c r="AF691" i="17"/>
  <c r="AF694" i="17"/>
  <c r="AF770" i="17"/>
  <c r="AF776" i="17"/>
  <c r="AF779" i="17"/>
  <c r="AF782" i="17"/>
  <c r="AF785" i="17"/>
  <c r="AF809" i="17"/>
  <c r="AF818" i="17"/>
  <c r="AF821" i="17"/>
  <c r="AF824" i="17"/>
  <c r="AF836" i="17"/>
  <c r="AF851" i="17"/>
  <c r="AF854" i="17"/>
  <c r="AF857" i="17"/>
  <c r="AF860" i="17"/>
  <c r="AF875" i="17"/>
  <c r="AF878" i="17"/>
  <c r="AF890" i="17"/>
  <c r="AF893" i="17"/>
  <c r="AF926" i="17"/>
  <c r="AF929" i="17"/>
  <c r="AF932" i="17"/>
  <c r="AF1001" i="17"/>
  <c r="AF1004" i="17"/>
  <c r="AF1007" i="17"/>
  <c r="AF1033" i="17"/>
  <c r="AF1036" i="17"/>
  <c r="AF1039" i="17"/>
  <c r="AF1065" i="17"/>
  <c r="AF1068" i="17"/>
  <c r="AF1071" i="17"/>
  <c r="AF1097" i="17"/>
  <c r="AF1100" i="17"/>
  <c r="AF1103" i="17"/>
  <c r="AF1129" i="17"/>
  <c r="AF1161" i="17"/>
  <c r="AF1164" i="17"/>
  <c r="AF1167" i="17"/>
  <c r="AF1193" i="17"/>
  <c r="AF1196" i="17"/>
  <c r="AF1199" i="17"/>
  <c r="AF1225" i="17"/>
  <c r="AF1228" i="17"/>
  <c r="AF1231" i="17"/>
  <c r="AF1257" i="17"/>
  <c r="AF1260" i="17"/>
  <c r="AF1292" i="17"/>
  <c r="AF1324" i="17"/>
  <c r="AF1356" i="17"/>
  <c r="AF1425" i="17"/>
  <c r="AF1479" i="17"/>
  <c r="AF1519" i="17"/>
  <c r="AF1631" i="17"/>
  <c r="AF1671" i="17"/>
  <c r="AF1530" i="17"/>
  <c r="AF1658" i="17"/>
  <c r="AF292" i="17"/>
  <c r="AF329" i="17"/>
  <c r="AF336" i="17"/>
  <c r="AF361" i="17"/>
  <c r="AF368" i="17"/>
  <c r="AF393" i="17"/>
  <c r="AF400" i="17"/>
  <c r="AF425" i="17"/>
  <c r="AF432" i="17"/>
  <c r="AF457" i="17"/>
  <c r="AF464" i="17"/>
  <c r="AF489" i="17"/>
  <c r="AF496" i="17"/>
  <c r="AF517" i="17"/>
  <c r="AF524" i="17"/>
  <c r="AF552" i="17"/>
  <c r="AF555" i="17"/>
  <c r="AF561" i="17"/>
  <c r="AF564" i="17"/>
  <c r="AF584" i="17"/>
  <c r="AF587" i="17"/>
  <c r="AF597" i="17"/>
  <c r="AF651" i="17"/>
  <c r="AF654" i="17"/>
  <c r="AF657" i="17"/>
  <c r="AF660" i="17"/>
  <c r="AF701" i="17"/>
  <c r="AF704" i="17"/>
  <c r="AF707" i="17"/>
  <c r="AF722" i="17"/>
  <c r="AF725" i="17"/>
  <c r="AF728" i="17"/>
  <c r="AF731" i="17"/>
  <c r="AF746" i="17"/>
  <c r="AF758" i="17"/>
  <c r="AF761" i="17"/>
  <c r="AF764" i="17"/>
  <c r="AF773" i="17"/>
  <c r="AF797" i="17"/>
  <c r="AF800" i="17"/>
  <c r="AF803" i="17"/>
  <c r="AF806" i="17"/>
  <c r="AF812" i="17"/>
  <c r="AF906" i="17"/>
  <c r="AF909" i="17"/>
  <c r="AF912" i="17"/>
  <c r="AF945" i="17"/>
  <c r="AF948" i="17"/>
  <c r="AF960" i="17"/>
  <c r="AF963" i="17"/>
  <c r="AF978" i="17"/>
  <c r="AF981" i="17"/>
  <c r="AF984" i="17"/>
  <c r="AF987" i="17"/>
  <c r="AF1016" i="17"/>
  <c r="AF1019" i="17"/>
  <c r="AF1022" i="17"/>
  <c r="AF1048" i="17"/>
  <c r="AF1051" i="17"/>
  <c r="AF1054" i="17"/>
  <c r="AF1080" i="17"/>
  <c r="AF1112" i="17"/>
  <c r="AF1118" i="17"/>
  <c r="AF1144" i="17"/>
  <c r="AF1147" i="17"/>
  <c r="AF1150" i="17"/>
  <c r="AF1176" i="17"/>
  <c r="AF1179" i="17"/>
  <c r="AF1182" i="17"/>
  <c r="AF1208" i="17"/>
  <c r="AF1240" i="17"/>
  <c r="AF1278" i="17"/>
  <c r="AF1342" i="17"/>
  <c r="AF1594" i="17"/>
  <c r="AF1650" i="17"/>
  <c r="AF289" i="17"/>
  <c r="AF296" i="17"/>
  <c r="AF521" i="17"/>
  <c r="AF539" i="17"/>
  <c r="AF581" i="17"/>
  <c r="AF617" i="17"/>
  <c r="AF620" i="17"/>
  <c r="AF629" i="17"/>
  <c r="AF636" i="17"/>
  <c r="AF648" i="17"/>
  <c r="AF670" i="17"/>
  <c r="AF673" i="17"/>
  <c r="AF676" i="17"/>
  <c r="AF734" i="17"/>
  <c r="AF737" i="17"/>
  <c r="AF740" i="17"/>
  <c r="AF834" i="17"/>
  <c r="AF840" i="17"/>
  <c r="AF843" i="17"/>
  <c r="AF846" i="17"/>
  <c r="AF849" i="17"/>
  <c r="AF873" i="17"/>
  <c r="AF882" i="17"/>
  <c r="AF885" i="17"/>
  <c r="AF888" i="17"/>
  <c r="AF900" i="17"/>
  <c r="AF915" i="17"/>
  <c r="AF918" i="17"/>
  <c r="AF921" i="17"/>
  <c r="AF939" i="17"/>
  <c r="AF954" i="17"/>
  <c r="AF957" i="17"/>
  <c r="AF990" i="17"/>
  <c r="AF993" i="17"/>
  <c r="AF996" i="17"/>
  <c r="AF999" i="17"/>
  <c r="AF1025" i="17"/>
  <c r="AF1028" i="17"/>
  <c r="AF1031" i="17"/>
  <c r="AF1057" i="17"/>
  <c r="AF1089" i="17"/>
  <c r="AF536" i="17"/>
  <c r="AF608" i="17"/>
  <c r="AF611" i="17"/>
  <c r="AF633" i="17"/>
  <c r="AF645" i="17"/>
  <c r="AF683" i="17"/>
  <c r="AF686" i="17"/>
  <c r="AF689" i="17"/>
  <c r="AF692" i="17"/>
  <c r="AF714" i="17"/>
  <c r="AF717" i="17"/>
  <c r="AF720" i="17"/>
  <c r="AF753" i="17"/>
  <c r="AF756" i="17"/>
  <c r="AF768" i="17"/>
  <c r="AF771" i="17"/>
  <c r="AF786" i="17"/>
  <c r="AF789" i="17"/>
  <c r="AF792" i="17"/>
  <c r="AF795" i="17"/>
  <c r="AF810" i="17"/>
  <c r="AF822" i="17"/>
  <c r="AF825" i="17"/>
  <c r="AF828" i="17"/>
  <c r="AF837" i="17"/>
  <c r="AF861" i="17"/>
  <c r="AF864" i="17"/>
  <c r="AF867" i="17"/>
  <c r="AF870" i="17"/>
  <c r="AF876" i="17"/>
  <c r="AF970" i="17"/>
  <c r="AF973" i="17"/>
  <c r="AF976" i="17"/>
  <c r="AF1008" i="17"/>
  <c r="AF1011" i="17"/>
  <c r="AF1014" i="17"/>
  <c r="AF1040" i="17"/>
  <c r="AF1043" i="17"/>
  <c r="AF1046" i="17"/>
  <c r="AF1072" i="17"/>
  <c r="AF1075" i="17"/>
  <c r="AF1078" i="17"/>
  <c r="AF1104" i="17"/>
  <c r="AF1107" i="17"/>
  <c r="AF1110" i="17"/>
  <c r="AF1136" i="17"/>
  <c r="AF1139" i="17"/>
  <c r="AF1142" i="17"/>
  <c r="AF1168" i="17"/>
  <c r="AF1171" i="17"/>
  <c r="AF1174" i="17"/>
  <c r="AF1200" i="17"/>
  <c r="AF1203" i="17"/>
  <c r="AF1206" i="17"/>
  <c r="AF1232" i="17"/>
  <c r="AF1235" i="17"/>
  <c r="AF1238" i="17"/>
  <c r="AF1264" i="17"/>
  <c r="AF1267" i="17"/>
  <c r="AF1270" i="17"/>
  <c r="AF1296" i="17"/>
  <c r="AF1299" i="17"/>
  <c r="AF1302" i="17"/>
  <c r="AF1328" i="17"/>
  <c r="AF1331" i="17"/>
  <c r="AF1334" i="17"/>
  <c r="AF1360" i="17"/>
  <c r="AF1363" i="17"/>
  <c r="AF1366" i="17"/>
  <c r="AF1392" i="17"/>
  <c r="AF1395" i="17"/>
  <c r="AF1398" i="17"/>
  <c r="AF1412" i="17"/>
  <c r="AF1415" i="17"/>
  <c r="AF1426" i="17"/>
  <c r="AF1440" i="17"/>
  <c r="AF1448" i="17"/>
  <c r="AF1456" i="17"/>
  <c r="AF1464" i="17"/>
  <c r="AF1095" i="17"/>
  <c r="AF1153" i="17"/>
  <c r="AF1252" i="17"/>
  <c r="AF1351" i="17"/>
  <c r="AF1409" i="17"/>
  <c r="AF1480" i="17"/>
  <c r="AF1512" i="17"/>
  <c r="AF1544" i="17"/>
  <c r="AF1576" i="17"/>
  <c r="AF1608" i="17"/>
  <c r="AF1640" i="17"/>
  <c r="AF1672" i="17"/>
  <c r="AF1664" i="17"/>
  <c r="AF1092" i="17"/>
  <c r="AF1191" i="17"/>
  <c r="AF1249" i="17"/>
  <c r="AF1348" i="17"/>
  <c r="AF1477" i="17"/>
  <c r="AF1509" i="17"/>
  <c r="AF1541" i="17"/>
  <c r="AF1573" i="17"/>
  <c r="AF1605" i="17"/>
  <c r="AF1637" i="17"/>
  <c r="AF1669" i="17"/>
  <c r="AF1680" i="17"/>
  <c r="AF1485" i="17"/>
  <c r="AF1517" i="17"/>
  <c r="AF1581" i="17"/>
  <c r="AF1645" i="17"/>
  <c r="AF1124" i="17"/>
  <c r="AF1281" i="17"/>
  <c r="AF1496" i="17"/>
  <c r="AF1592" i="17"/>
  <c r="AF1656" i="17"/>
  <c r="AF1220" i="17"/>
  <c r="AF1377" i="17"/>
  <c r="AF1453" i="17"/>
  <c r="AF1493" i="17"/>
  <c r="AF1557" i="17"/>
  <c r="AF1589" i="17"/>
  <c r="AF1685" i="17"/>
  <c r="AF1159" i="17"/>
  <c r="AF1423" i="17"/>
  <c r="AF1504" i="17"/>
  <c r="AF1536" i="17"/>
  <c r="AF1632" i="17"/>
  <c r="AF1255" i="17"/>
  <c r="AF1420" i="17"/>
  <c r="AF1501" i="17"/>
  <c r="AF1565" i="17"/>
  <c r="AF1629" i="17"/>
  <c r="AF1188" i="17"/>
  <c r="AF1287" i="17"/>
  <c r="AF1345" i="17"/>
  <c r="AF1488" i="17"/>
  <c r="AF1520" i="17"/>
  <c r="AF1552" i="17"/>
  <c r="AF1584" i="17"/>
  <c r="AF1616" i="17"/>
  <c r="AF1648" i="17"/>
  <c r="AF1383" i="17"/>
  <c r="AF1549" i="17"/>
  <c r="AF1613" i="17"/>
  <c r="AF1677" i="17"/>
  <c r="AF942" i="17"/>
  <c r="AF1223" i="17"/>
  <c r="AF1380" i="17"/>
  <c r="AF1445" i="17"/>
  <c r="AF1528" i="17"/>
  <c r="AF1560" i="17"/>
  <c r="AF1624" i="17"/>
  <c r="AF1121" i="17"/>
  <c r="AF1319" i="17"/>
  <c r="AF1434" i="17"/>
  <c r="AF1525" i="17"/>
  <c r="AF1653" i="17"/>
  <c r="AF1217" i="17"/>
  <c r="AF1316" i="17"/>
  <c r="AF1461" i="17"/>
  <c r="AF1472" i="17"/>
  <c r="AF1568" i="17"/>
  <c r="AF1600" i="17"/>
  <c r="AF1156" i="17"/>
  <c r="AF1313" i="17"/>
  <c r="AF1469" i="17"/>
  <c r="AF1533" i="17"/>
  <c r="AF1597" i="17"/>
  <c r="AF1661" i="17"/>
  <c r="AF1127" i="17"/>
  <c r="AF1185" i="17"/>
  <c r="AF1284" i="17"/>
  <c r="AF1621" i="17"/>
  <c r="AH1685" i="17" l="1"/>
  <c r="AH1684" i="17"/>
  <c r="AH1683" i="17"/>
  <c r="AH1682" i="17"/>
  <c r="AH1681" i="17"/>
  <c r="AH1680" i="17"/>
  <c r="AH1679" i="17"/>
  <c r="AH1678" i="17"/>
  <c r="AH1677" i="17"/>
  <c r="AH1676" i="17"/>
  <c r="AH1675" i="17"/>
  <c r="AH1674" i="17"/>
  <c r="AH1673" i="17"/>
  <c r="AH1672" i="17"/>
  <c r="AH1671" i="17"/>
  <c r="AH1670" i="17"/>
  <c r="AH1669" i="17"/>
  <c r="AH1668" i="17"/>
  <c r="AH1667" i="17"/>
  <c r="AH1666" i="17"/>
  <c r="AH1665" i="17"/>
  <c r="AH1664" i="17"/>
  <c r="AH1663" i="17"/>
  <c r="AH1662" i="17"/>
  <c r="AH1661" i="17"/>
  <c r="AH1660" i="17"/>
  <c r="AH1659" i="17"/>
  <c r="AH1658" i="17"/>
  <c r="AH1657" i="17"/>
  <c r="AH1656" i="17"/>
  <c r="AH1655" i="17"/>
  <c r="AH1654" i="17"/>
  <c r="AH1653" i="17"/>
  <c r="AH1652" i="17"/>
  <c r="AH1651" i="17"/>
  <c r="AH1650" i="17"/>
  <c r="AH1649" i="17"/>
  <c r="AH1648" i="17"/>
  <c r="AH1647" i="17"/>
  <c r="AH1646" i="17"/>
  <c r="AH1645" i="17"/>
  <c r="AH1644" i="17"/>
  <c r="AH1643" i="17"/>
  <c r="AH1642" i="17"/>
  <c r="AH1641" i="17"/>
  <c r="AH1640" i="17"/>
  <c r="AH1639" i="17"/>
  <c r="AH1638" i="17"/>
  <c r="AH1637" i="17"/>
  <c r="AH1636" i="17"/>
  <c r="AH1635" i="17"/>
  <c r="AH1634" i="17"/>
  <c r="AH1633" i="17"/>
  <c r="AH1632" i="17"/>
  <c r="AH1631" i="17"/>
  <c r="AH1630" i="17"/>
  <c r="AH1629" i="17"/>
  <c r="AH1628" i="17"/>
  <c r="AH1627" i="17"/>
  <c r="AH1626" i="17"/>
  <c r="AH1625" i="17"/>
  <c r="AH1624" i="17"/>
  <c r="AH1623" i="17"/>
  <c r="AH1622" i="17"/>
  <c r="AH1621" i="17"/>
  <c r="AH1620" i="17"/>
  <c r="AH1619" i="17"/>
  <c r="AH1618" i="17"/>
  <c r="AH1617" i="17"/>
  <c r="AH1616" i="17"/>
  <c r="AH1615" i="17"/>
  <c r="AH1614" i="17"/>
  <c r="AH1613" i="17"/>
  <c r="AH1612" i="17"/>
  <c r="AH1611" i="17"/>
  <c r="AH1610" i="17"/>
  <c r="AH1609" i="17"/>
  <c r="AH1608" i="17"/>
  <c r="AH1607" i="17"/>
  <c r="AH1606" i="17"/>
  <c r="AH1605" i="17"/>
  <c r="AH1604" i="17"/>
  <c r="AH1603" i="17"/>
  <c r="AH1602" i="17"/>
  <c r="AH1601" i="17"/>
  <c r="AH1600" i="17"/>
  <c r="AH1599" i="17"/>
  <c r="AH1598" i="17"/>
  <c r="AH1597" i="17"/>
  <c r="AH1596" i="17"/>
  <c r="AH1595" i="17"/>
  <c r="AH1594" i="17"/>
  <c r="AH1593" i="17"/>
  <c r="AH1592" i="17"/>
  <c r="AH1591" i="17"/>
  <c r="AH1590" i="17"/>
  <c r="AH1589" i="17"/>
  <c r="AH1588" i="17"/>
  <c r="AH1587" i="17"/>
  <c r="AH1586" i="17"/>
  <c r="AH1585" i="17"/>
  <c r="AH1584" i="17"/>
  <c r="AH1583" i="17"/>
  <c r="AH1582" i="17"/>
  <c r="AH1581" i="17"/>
  <c r="AH1580" i="17"/>
  <c r="AH1579" i="17"/>
  <c r="AH1578" i="17"/>
  <c r="AH1577" i="17"/>
  <c r="AH1576" i="17"/>
  <c r="AH1575" i="17"/>
  <c r="AH1574" i="17"/>
  <c r="AH1573" i="17"/>
  <c r="AH1572" i="17"/>
  <c r="AH1571" i="17"/>
  <c r="AH1570" i="17"/>
  <c r="AH1569" i="17"/>
  <c r="AH1568" i="17"/>
  <c r="AH1567" i="17"/>
  <c r="AH1566" i="17"/>
  <c r="AH1565" i="17"/>
  <c r="AH1564" i="17"/>
  <c r="AH1563" i="17"/>
  <c r="AH1562" i="17"/>
  <c r="AH1561" i="17"/>
  <c r="AH1560" i="17"/>
  <c r="AH1559" i="17"/>
  <c r="AH1558" i="17"/>
  <c r="AH1557" i="17"/>
  <c r="AH1556" i="17"/>
  <c r="AH1555" i="17"/>
  <c r="AH1554" i="17"/>
  <c r="AH1553" i="17"/>
  <c r="AH1552" i="17"/>
  <c r="AH1551" i="17"/>
  <c r="AH1550" i="17"/>
  <c r="AH1549" i="17"/>
  <c r="AH1548" i="17"/>
  <c r="AH1547" i="17"/>
  <c r="AH1546" i="17"/>
  <c r="AH1545" i="17"/>
  <c r="AH1544" i="17"/>
  <c r="AH1543" i="17"/>
  <c r="AH1542" i="17"/>
  <c r="AH1541" i="17"/>
  <c r="AH1540" i="17"/>
  <c r="AH1539" i="17"/>
  <c r="AH1538" i="17"/>
  <c r="AH1537" i="17"/>
  <c r="AH1536" i="17"/>
  <c r="AH1535" i="17"/>
  <c r="AH1534" i="17"/>
  <c r="AH1533" i="17"/>
  <c r="AH1532" i="17"/>
  <c r="AH1531" i="17"/>
  <c r="AH1530" i="17"/>
  <c r="AH1529" i="17"/>
  <c r="AH1528" i="17"/>
  <c r="AH1527" i="17"/>
  <c r="AH1526" i="17"/>
  <c r="AH1525" i="17"/>
  <c r="AH1524" i="17"/>
  <c r="AH1523" i="17"/>
  <c r="AH1522" i="17"/>
  <c r="AH1521" i="17"/>
  <c r="AH1520" i="17"/>
  <c r="AH1519" i="17"/>
  <c r="AH1518" i="17"/>
  <c r="AH1517" i="17"/>
  <c r="AH1516" i="17"/>
  <c r="AH1515" i="17"/>
  <c r="AH1514" i="17"/>
  <c r="AH1513" i="17"/>
  <c r="AH1512" i="17"/>
  <c r="AH1511" i="17"/>
  <c r="AH1510" i="17"/>
  <c r="AH1509" i="17"/>
  <c r="AH1508" i="17"/>
  <c r="AH1507" i="17"/>
  <c r="AH1506" i="17"/>
  <c r="AH1505" i="17"/>
  <c r="AH1504" i="17"/>
  <c r="AH1503" i="17"/>
  <c r="AH1502" i="17"/>
  <c r="AH1501" i="17"/>
  <c r="AH1500" i="17"/>
  <c r="AH1499" i="17"/>
  <c r="AH1498" i="17"/>
  <c r="AH1497" i="17"/>
  <c r="AH1496" i="17"/>
  <c r="AH1495" i="17"/>
  <c r="AH1494" i="17"/>
  <c r="AH1493" i="17"/>
  <c r="AH1492" i="17"/>
  <c r="AH1491" i="17"/>
  <c r="AH1490" i="17"/>
  <c r="AH1489" i="17"/>
  <c r="AH1488" i="17"/>
  <c r="AH1487" i="17"/>
  <c r="AH1486" i="17"/>
  <c r="AH1485" i="17"/>
  <c r="AH1484" i="17"/>
  <c r="AH1483" i="17"/>
  <c r="AH1482" i="17"/>
  <c r="AH1481" i="17"/>
  <c r="AH1480" i="17"/>
  <c r="AH1479" i="17"/>
  <c r="AH1478" i="17"/>
  <c r="AH1477" i="17"/>
  <c r="AH1476" i="17"/>
  <c r="AH1475" i="17"/>
  <c r="AH1474" i="17"/>
  <c r="AH1473" i="17"/>
  <c r="AH1472" i="17"/>
  <c r="AH1471" i="17"/>
  <c r="AH1470" i="17"/>
  <c r="AH1469" i="17"/>
  <c r="AH1468" i="17"/>
  <c r="AH1467" i="17"/>
  <c r="AH1466" i="17"/>
  <c r="AH1465" i="17"/>
  <c r="AH1464" i="17"/>
  <c r="AH1463" i="17"/>
  <c r="AH1462" i="17"/>
  <c r="AH1461" i="17"/>
  <c r="AH1460" i="17"/>
  <c r="AH1459" i="17"/>
  <c r="AH1458" i="17"/>
  <c r="AH1457" i="17"/>
  <c r="AH1456" i="17"/>
  <c r="AH1455" i="17"/>
  <c r="AH1454" i="17"/>
  <c r="AH1453" i="17"/>
  <c r="AH1452" i="17"/>
  <c r="AH1451" i="17"/>
  <c r="AH1450" i="17"/>
  <c r="AH1449" i="17"/>
  <c r="AH1448" i="17"/>
  <c r="AH1447" i="17"/>
  <c r="AH1446" i="17"/>
  <c r="AH1445" i="17"/>
  <c r="AH1444" i="17"/>
  <c r="AH1443" i="17"/>
  <c r="AH1442" i="17"/>
  <c r="AH1441" i="17"/>
  <c r="AH1440" i="17"/>
  <c r="AH1439" i="17"/>
  <c r="AH1438" i="17"/>
  <c r="AH1437" i="17"/>
  <c r="AH1436" i="17"/>
  <c r="AH1435" i="17"/>
  <c r="AH1434" i="17"/>
  <c r="AH1433" i="17"/>
  <c r="AH1432" i="17"/>
  <c r="AH1431" i="17"/>
  <c r="AH1430" i="17"/>
  <c r="AH1429" i="17"/>
  <c r="AH1428" i="17"/>
  <c r="AH1427" i="17"/>
  <c r="AH1426" i="17"/>
  <c r="AH1425" i="17"/>
  <c r="AH1424" i="17"/>
  <c r="AH1423" i="17"/>
  <c r="AH1422" i="17"/>
  <c r="AH1421" i="17"/>
  <c r="AH1420" i="17"/>
  <c r="AH1419" i="17"/>
  <c r="AH1418" i="17"/>
  <c r="AH1417" i="17"/>
  <c r="AH1416" i="17"/>
  <c r="AH1415" i="17"/>
  <c r="AH1414" i="17"/>
  <c r="AH1413" i="17"/>
  <c r="AH1412" i="17"/>
  <c r="AH1411" i="17"/>
  <c r="AH1410" i="17"/>
  <c r="AH1409" i="17"/>
  <c r="AH1408" i="17"/>
  <c r="AH1407" i="17"/>
  <c r="AH1406" i="17"/>
  <c r="AH1405" i="17"/>
  <c r="AH1404" i="17"/>
  <c r="AH1403" i="17"/>
  <c r="AH1402" i="17"/>
  <c r="AH1401" i="17"/>
  <c r="AH1400" i="17"/>
  <c r="AH1399" i="17"/>
  <c r="AH1398" i="17"/>
  <c r="AH1397" i="17"/>
  <c r="AH1396" i="17"/>
  <c r="AH1395" i="17"/>
  <c r="AH1394" i="17"/>
  <c r="AH1393" i="17"/>
  <c r="AH1392" i="17"/>
  <c r="AH1391" i="17"/>
  <c r="AH1390" i="17"/>
  <c r="AH1389" i="17"/>
  <c r="AH1388" i="17"/>
  <c r="AH1387" i="17"/>
  <c r="AH1386" i="17"/>
  <c r="AH1385" i="17"/>
  <c r="AH1384" i="17"/>
  <c r="AH1383" i="17"/>
  <c r="AH1382" i="17"/>
  <c r="AH1381" i="17"/>
  <c r="AH1380" i="17"/>
  <c r="AH1379" i="17"/>
  <c r="AH1378" i="17"/>
  <c r="AH1377" i="17"/>
  <c r="AH1376" i="17"/>
  <c r="AH1375" i="17"/>
  <c r="AH1374" i="17"/>
  <c r="AH1373" i="17"/>
  <c r="AH1372" i="17"/>
  <c r="AH1371" i="17"/>
  <c r="AH1370" i="17"/>
  <c r="AH1369" i="17"/>
  <c r="AH1368" i="17"/>
  <c r="AH1367" i="17"/>
  <c r="AH1366" i="17"/>
  <c r="AH1365" i="17"/>
  <c r="AH1364" i="17"/>
  <c r="AH1363" i="17"/>
  <c r="AH1362" i="17"/>
  <c r="AH1361" i="17"/>
  <c r="AH1360" i="17"/>
  <c r="AH1359" i="17"/>
  <c r="AH1358" i="17"/>
  <c r="AH1357" i="17"/>
  <c r="AH1356" i="17"/>
  <c r="AH1355" i="17"/>
  <c r="AH1354" i="17"/>
  <c r="AH1353" i="17"/>
  <c r="AH1352" i="17"/>
  <c r="AH1351" i="17"/>
  <c r="AH1350" i="17"/>
  <c r="AH1349" i="17"/>
  <c r="AH1348" i="17"/>
  <c r="AH1347" i="17"/>
  <c r="AH1346" i="17"/>
  <c r="AH1345" i="17"/>
  <c r="AH1344" i="17"/>
  <c r="AH1343" i="17"/>
  <c r="AH1342" i="17"/>
  <c r="AH1341" i="17"/>
  <c r="AH1340" i="17"/>
  <c r="AH1339" i="17"/>
  <c r="AH1338" i="17"/>
  <c r="AH1337" i="17"/>
  <c r="AH1336" i="17"/>
  <c r="AH1335" i="17"/>
  <c r="AH1334" i="17"/>
  <c r="AH1333" i="17"/>
  <c r="AH1332" i="17"/>
  <c r="AH1331" i="17"/>
  <c r="AH1330" i="17"/>
  <c r="AH1329" i="17"/>
  <c r="AH1328" i="17"/>
  <c r="AH1327" i="17"/>
  <c r="AH1326" i="17"/>
  <c r="AH1325" i="17"/>
  <c r="AH1324" i="17"/>
  <c r="AH1323" i="17"/>
  <c r="AH1322" i="17"/>
  <c r="AH1321" i="17"/>
  <c r="AH1320" i="17"/>
  <c r="AH1319" i="17"/>
  <c r="AH1318" i="17"/>
  <c r="AH1317" i="17"/>
  <c r="AH1316" i="17"/>
  <c r="AH1315" i="17"/>
  <c r="AH1314" i="17"/>
  <c r="AH1313" i="17"/>
  <c r="AH1312" i="17"/>
  <c r="AH1311" i="17"/>
  <c r="AH1310" i="17"/>
  <c r="AH1309" i="17"/>
  <c r="AH1308" i="17"/>
  <c r="AH1307" i="17"/>
  <c r="AH1306" i="17"/>
  <c r="AH1305" i="17"/>
  <c r="AH1304" i="17"/>
  <c r="AH1303" i="17"/>
  <c r="AH1302" i="17"/>
  <c r="AH1301" i="17"/>
  <c r="AH1300" i="17"/>
  <c r="AH1299" i="17"/>
  <c r="AH1298" i="17"/>
  <c r="AH1297" i="17"/>
  <c r="AH1296" i="17"/>
  <c r="AH1295" i="17"/>
  <c r="AH1294" i="17"/>
  <c r="AH1293" i="17"/>
  <c r="AH1292" i="17"/>
  <c r="AH1291" i="17"/>
  <c r="AH1290" i="17"/>
  <c r="AH1289" i="17"/>
  <c r="AH1288" i="17"/>
  <c r="AH1287" i="17"/>
  <c r="AH1286" i="17"/>
  <c r="AH1285" i="17"/>
  <c r="AH1284" i="17"/>
  <c r="AH1283" i="17"/>
  <c r="AH1282" i="17"/>
  <c r="AH1281" i="17"/>
  <c r="AH1280" i="17"/>
  <c r="AH1279" i="17"/>
  <c r="AH1278" i="17"/>
  <c r="AH1277" i="17"/>
  <c r="AH1276" i="17"/>
  <c r="AH1275" i="17"/>
  <c r="AH1274" i="17"/>
  <c r="AH1273" i="17"/>
  <c r="AH1272" i="17"/>
  <c r="AH1271" i="17"/>
  <c r="AH1270" i="17"/>
  <c r="AH1269" i="17"/>
  <c r="AH1268" i="17"/>
  <c r="AH1267" i="17"/>
  <c r="AH1266" i="17"/>
  <c r="AH1265" i="17"/>
  <c r="AH1264" i="17"/>
  <c r="AH1263" i="17"/>
  <c r="AH1262" i="17"/>
  <c r="AH1261" i="17"/>
  <c r="AH1260" i="17"/>
  <c r="AH1259" i="17"/>
  <c r="AH1258" i="17"/>
  <c r="AH1257" i="17"/>
  <c r="AH1256" i="17"/>
  <c r="AH1255" i="17"/>
  <c r="AH1254" i="17"/>
  <c r="AH1253" i="17"/>
  <c r="AH1252" i="17"/>
  <c r="AH1251" i="17"/>
  <c r="AH1250" i="17"/>
  <c r="AH1249" i="17"/>
  <c r="AH1248" i="17"/>
  <c r="AH1247" i="17"/>
  <c r="AH1246" i="17"/>
  <c r="AH1245" i="17"/>
  <c r="AH1244" i="17"/>
  <c r="AH1243" i="17"/>
  <c r="AH1242" i="17"/>
  <c r="AH1241" i="17"/>
  <c r="AH1240" i="17"/>
  <c r="AH1239" i="17"/>
  <c r="AH1238" i="17"/>
  <c r="AH1237" i="17"/>
  <c r="AH1236" i="17"/>
  <c r="AH1235" i="17"/>
  <c r="AH1234" i="17"/>
  <c r="AH1233" i="17"/>
  <c r="AH1232" i="17"/>
  <c r="AH1231" i="17"/>
  <c r="AH1230" i="17"/>
  <c r="AH1229" i="17"/>
  <c r="AH1228" i="17"/>
  <c r="AH1227" i="17"/>
  <c r="AH1226" i="17"/>
  <c r="AH1225" i="17"/>
  <c r="AH1224" i="17"/>
  <c r="AH1223" i="17"/>
  <c r="AH1222" i="17"/>
  <c r="AH1221" i="17"/>
  <c r="AH1220" i="17"/>
  <c r="AH1219" i="17"/>
  <c r="AH1218" i="17"/>
  <c r="AH1217" i="17"/>
  <c r="AH1216" i="17"/>
  <c r="AH1215" i="17"/>
  <c r="AH1214" i="17"/>
  <c r="AH1213" i="17"/>
  <c r="AH1212" i="17"/>
  <c r="AH1211" i="17"/>
  <c r="AH1210" i="17"/>
  <c r="AH1209" i="17"/>
  <c r="AH1208" i="17"/>
  <c r="AH1207" i="17"/>
  <c r="AH1206" i="17"/>
  <c r="AH1205" i="17"/>
  <c r="AH1204" i="17"/>
  <c r="AH1203" i="17"/>
  <c r="AH1202" i="17"/>
  <c r="AH1201" i="17"/>
  <c r="AH1200" i="17"/>
  <c r="AH1199" i="17"/>
  <c r="AH1198" i="17"/>
  <c r="AH1197" i="17"/>
  <c r="AH1196" i="17"/>
  <c r="AH1195" i="17"/>
  <c r="AH1194" i="17"/>
  <c r="AH1193" i="17"/>
  <c r="AH1192" i="17"/>
  <c r="AH1191" i="17"/>
  <c r="AH1190" i="17"/>
  <c r="AH1189" i="17"/>
  <c r="AH1188" i="17"/>
  <c r="AH1187" i="17"/>
  <c r="AH1186" i="17"/>
  <c r="AH1185" i="17"/>
  <c r="AH1184" i="17"/>
  <c r="AH1183" i="17"/>
  <c r="AH1182" i="17"/>
  <c r="AH1181" i="17"/>
  <c r="AH1180" i="17"/>
  <c r="AH1179" i="17"/>
  <c r="AH1178" i="17"/>
  <c r="AH1177" i="17"/>
  <c r="AH1176" i="17"/>
  <c r="AH1175" i="17"/>
  <c r="AH1174" i="17"/>
  <c r="AH1173" i="17"/>
  <c r="AH1172" i="17"/>
  <c r="AH1171" i="17"/>
  <c r="AH1170" i="17"/>
  <c r="AH1169" i="17"/>
  <c r="AH1168" i="17"/>
  <c r="AH1167" i="17"/>
  <c r="AH1166" i="17"/>
  <c r="AH1165" i="17"/>
  <c r="AH1164" i="17"/>
  <c r="AH1163" i="17"/>
  <c r="AH1162" i="17"/>
  <c r="AH1161" i="17"/>
  <c r="AH1160" i="17"/>
  <c r="AH1159" i="17"/>
  <c r="AH1158" i="17"/>
  <c r="AH1157" i="17"/>
  <c r="AH1156" i="17"/>
  <c r="AH1155" i="17"/>
  <c r="AH1154" i="17"/>
  <c r="AH1153" i="17"/>
  <c r="AH1152" i="17"/>
  <c r="AH1151" i="17"/>
  <c r="AH1150" i="17"/>
  <c r="AH1149" i="17"/>
  <c r="AH1148" i="17"/>
  <c r="AH1147" i="17"/>
  <c r="AH1146" i="17"/>
  <c r="AH1145" i="17"/>
  <c r="AH1144" i="17"/>
  <c r="AH1143" i="17"/>
  <c r="AH1142" i="17"/>
  <c r="AH1141" i="17"/>
  <c r="AH1140" i="17"/>
  <c r="AH1139" i="17"/>
  <c r="AH1138" i="17"/>
  <c r="AH1137" i="17"/>
  <c r="AH1136" i="17"/>
  <c r="AH1135" i="17"/>
  <c r="AH1134" i="17"/>
  <c r="AH1133" i="17"/>
  <c r="AH1132" i="17"/>
  <c r="AH1131" i="17"/>
  <c r="AH1130" i="17"/>
  <c r="AH1129" i="17"/>
  <c r="AH1128" i="17"/>
  <c r="AH1127" i="17"/>
  <c r="AH1126" i="17"/>
  <c r="AH1125" i="17"/>
  <c r="AH1124" i="17"/>
  <c r="AH1123" i="17"/>
  <c r="AH1122" i="17"/>
  <c r="AH1121" i="17"/>
  <c r="AH1120" i="17"/>
  <c r="AH1119" i="17"/>
  <c r="AH1118" i="17"/>
  <c r="AH1117" i="17"/>
  <c r="AH1116" i="17"/>
  <c r="AH1115" i="17"/>
  <c r="AH1114" i="17"/>
  <c r="AH1113" i="17"/>
  <c r="AH1112" i="17"/>
  <c r="AH1111" i="17"/>
  <c r="AH1110" i="17"/>
  <c r="AH1109" i="17"/>
  <c r="AH1108" i="17"/>
  <c r="AH1107" i="17"/>
  <c r="AH1106" i="17"/>
  <c r="AH1105" i="17"/>
  <c r="AH1104" i="17"/>
  <c r="AH1103" i="17"/>
  <c r="AH1102" i="17"/>
  <c r="AH1101" i="17"/>
  <c r="AH1100" i="17"/>
  <c r="AH1099" i="17"/>
  <c r="AH1098" i="17"/>
  <c r="AH1097" i="17"/>
  <c r="AH1096" i="17"/>
  <c r="AH1095" i="17"/>
  <c r="AH1094" i="17"/>
  <c r="AH1093" i="17"/>
  <c r="AH1092" i="17"/>
  <c r="AH1091" i="17"/>
  <c r="AH1090" i="17"/>
  <c r="AH1089" i="17"/>
  <c r="AH1088" i="17"/>
  <c r="AH1087" i="17"/>
  <c r="AH1086" i="17"/>
  <c r="AH1085" i="17"/>
  <c r="AH1084" i="17"/>
  <c r="AH1083" i="17"/>
  <c r="AH1082" i="17"/>
  <c r="AH1081" i="17"/>
  <c r="AH1080" i="17"/>
  <c r="AH1079" i="17"/>
  <c r="AH1078" i="17"/>
  <c r="AH1077" i="17"/>
  <c r="AH1076" i="17"/>
  <c r="AH1075" i="17"/>
  <c r="AH1074" i="17"/>
  <c r="AH1073" i="17"/>
  <c r="AH1072" i="17"/>
  <c r="AH1071" i="17"/>
  <c r="AH1070" i="17"/>
  <c r="AH1069" i="17"/>
  <c r="AH1068" i="17"/>
  <c r="AH1067" i="17"/>
  <c r="AH1066" i="17"/>
  <c r="AH1065" i="17"/>
  <c r="AH1064" i="17"/>
  <c r="AH1063" i="17"/>
  <c r="AH1062" i="17"/>
  <c r="AH1061" i="17"/>
  <c r="AH1060" i="17"/>
  <c r="AH1059" i="17"/>
  <c r="AH1058" i="17"/>
  <c r="AH1057" i="17"/>
  <c r="AH1056" i="17"/>
  <c r="AH1055" i="17"/>
  <c r="AH1054" i="17"/>
  <c r="AH1053" i="17"/>
  <c r="AH1052" i="17"/>
  <c r="AH1051" i="17"/>
  <c r="AH1050" i="17"/>
  <c r="AH1049" i="17"/>
  <c r="AH1048" i="17"/>
  <c r="AH1047" i="17"/>
  <c r="AH1046" i="17"/>
  <c r="AH1045" i="17"/>
  <c r="AH1044" i="17"/>
  <c r="AH1043" i="17"/>
  <c r="AH1042" i="17"/>
  <c r="AH1041" i="17"/>
  <c r="AH1040" i="17"/>
  <c r="AH1039" i="17"/>
  <c r="AH1038" i="17"/>
  <c r="AH1037" i="17"/>
  <c r="AH1036" i="17"/>
  <c r="AH1035" i="17"/>
  <c r="AH1034" i="17"/>
  <c r="AH1033" i="17"/>
  <c r="AH1032" i="17"/>
  <c r="AH1031" i="17"/>
  <c r="AH1030" i="17"/>
  <c r="AH1029" i="17"/>
  <c r="AH1028" i="17"/>
  <c r="AH1027" i="17"/>
  <c r="AH1026" i="17"/>
  <c r="AH1025" i="17"/>
  <c r="AH1024" i="17"/>
  <c r="AH1023" i="17"/>
  <c r="AH1022" i="17"/>
  <c r="AH1021" i="17"/>
  <c r="AH1020" i="17"/>
  <c r="AH1019" i="17"/>
  <c r="AH1018" i="17"/>
  <c r="AH1017" i="17"/>
  <c r="AH1016" i="17"/>
  <c r="AH1015" i="17"/>
  <c r="AH1014" i="17"/>
  <c r="AH1013" i="17"/>
  <c r="AH1012" i="17"/>
  <c r="AH1011" i="17"/>
  <c r="AH1010" i="17"/>
  <c r="AH1009" i="17"/>
  <c r="AH1008" i="17"/>
  <c r="AH1007" i="17"/>
  <c r="AH1006" i="17"/>
  <c r="AH1005" i="17"/>
  <c r="AH1004" i="17"/>
  <c r="AH1003" i="17"/>
  <c r="AH1002" i="17"/>
  <c r="AH1001" i="17"/>
  <c r="AH1000" i="17"/>
  <c r="AH999" i="17"/>
  <c r="AH998" i="17"/>
  <c r="AH997" i="17"/>
  <c r="AH996" i="17"/>
  <c r="AH995" i="17"/>
  <c r="AH994" i="17"/>
  <c r="AH993" i="17"/>
  <c r="AH992" i="17"/>
  <c r="AH991" i="17"/>
  <c r="AH990" i="17"/>
  <c r="AH989" i="17"/>
  <c r="AH988" i="17"/>
  <c r="AH987" i="17"/>
  <c r="AH986" i="17"/>
  <c r="AH985" i="17"/>
  <c r="AH984" i="17"/>
  <c r="AH983" i="17"/>
  <c r="AH982" i="17"/>
  <c r="AH981" i="17"/>
  <c r="AH980" i="17"/>
  <c r="AH979" i="17"/>
  <c r="AH978" i="17"/>
  <c r="AH977" i="17"/>
  <c r="AH976" i="17"/>
  <c r="AH975" i="17"/>
  <c r="AH974" i="17"/>
  <c r="AH973" i="17"/>
  <c r="AH972" i="17"/>
  <c r="AH971" i="17"/>
  <c r="AH970" i="17"/>
  <c r="AH969" i="17"/>
  <c r="AH968" i="17"/>
  <c r="AH967" i="17"/>
  <c r="AH966" i="17"/>
  <c r="AH965" i="17"/>
  <c r="AH964" i="17"/>
  <c r="AH963" i="17"/>
  <c r="AH962" i="17"/>
  <c r="AH961" i="17"/>
  <c r="AH960" i="17"/>
  <c r="AH959" i="17"/>
  <c r="AH958" i="17"/>
  <c r="AH957" i="17"/>
  <c r="AH956" i="17"/>
  <c r="AH955" i="17"/>
  <c r="AH954" i="17"/>
  <c r="AH953" i="17"/>
  <c r="AH952" i="17"/>
  <c r="AH951" i="17"/>
  <c r="AH950" i="17"/>
  <c r="AH949" i="17"/>
  <c r="AH948" i="17"/>
  <c r="AH947" i="17"/>
  <c r="AH946" i="17"/>
  <c r="AH945" i="17"/>
  <c r="AH944" i="17"/>
  <c r="AH943" i="17"/>
  <c r="AH942" i="17"/>
  <c r="AH941" i="17"/>
  <c r="AH940" i="17"/>
  <c r="AH939" i="17"/>
  <c r="AH938" i="17"/>
  <c r="AH937" i="17"/>
  <c r="AH936" i="17"/>
  <c r="AH935" i="17"/>
  <c r="AH934" i="17"/>
  <c r="AH933" i="17"/>
  <c r="AH932" i="17"/>
  <c r="AH931" i="17"/>
  <c r="AH930" i="17"/>
  <c r="AH929" i="17"/>
  <c r="AH928" i="17"/>
  <c r="AH927" i="17"/>
  <c r="AH926" i="17"/>
  <c r="AH925" i="17"/>
  <c r="AH924" i="17"/>
  <c r="AH923" i="17"/>
  <c r="AH922" i="17"/>
  <c r="AH921" i="17"/>
  <c r="AH920" i="17"/>
  <c r="AH919" i="17"/>
  <c r="AH918" i="17"/>
  <c r="AH917" i="17"/>
  <c r="AH916" i="17"/>
  <c r="AH915" i="17"/>
  <c r="AH914" i="17"/>
  <c r="AH913" i="17"/>
  <c r="AH912" i="17"/>
  <c r="AH911" i="17"/>
  <c r="AH910" i="17"/>
  <c r="AH909" i="17"/>
  <c r="AH908" i="17"/>
  <c r="AH907" i="17"/>
  <c r="AH906" i="17"/>
  <c r="AH905" i="17"/>
  <c r="AH904" i="17"/>
  <c r="AH903" i="17"/>
  <c r="AH902" i="17"/>
  <c r="AH901" i="17"/>
  <c r="AH900" i="17"/>
  <c r="AH899" i="17"/>
  <c r="AH898" i="17"/>
  <c r="AH897" i="17"/>
  <c r="AH896" i="17"/>
  <c r="AH895" i="17"/>
  <c r="AH894" i="17"/>
  <c r="AH893" i="17"/>
  <c r="AH892" i="17"/>
  <c r="AH891" i="17"/>
  <c r="AH890" i="17"/>
  <c r="AH889" i="17"/>
  <c r="AH888" i="17"/>
  <c r="AH887" i="17"/>
  <c r="AH886" i="17"/>
  <c r="AH885" i="17"/>
  <c r="AH884" i="17"/>
  <c r="AH883" i="17"/>
  <c r="AH882" i="17"/>
  <c r="AH881" i="17"/>
  <c r="AH880" i="17"/>
  <c r="AH879" i="17"/>
  <c r="AH878" i="17"/>
  <c r="AH877" i="17"/>
  <c r="AH876" i="17"/>
  <c r="AH875" i="17"/>
  <c r="AH874" i="17"/>
  <c r="AH873" i="17"/>
  <c r="AH872" i="17"/>
  <c r="AH871" i="17"/>
  <c r="AH870" i="17"/>
  <c r="AH869" i="17"/>
  <c r="AH868" i="17"/>
  <c r="AH867" i="17"/>
  <c r="AH866" i="17"/>
  <c r="AH865" i="17"/>
  <c r="AH864" i="17"/>
  <c r="AH863" i="17"/>
  <c r="AH862" i="17"/>
  <c r="AH861" i="17"/>
  <c r="AH860" i="17"/>
  <c r="AH859" i="17"/>
  <c r="AH858" i="17"/>
  <c r="AH857" i="17"/>
  <c r="AH856" i="17"/>
  <c r="AH855" i="17"/>
  <c r="AH854" i="17"/>
  <c r="AH853" i="17"/>
  <c r="AH852" i="17"/>
  <c r="AH851" i="17"/>
  <c r="AH850" i="17"/>
  <c r="AH849" i="17"/>
  <c r="AH848" i="17"/>
  <c r="AH847" i="17"/>
  <c r="AH846" i="17"/>
  <c r="AH845" i="17"/>
  <c r="AH844" i="17"/>
  <c r="AH843" i="17"/>
  <c r="AH842" i="17"/>
  <c r="AH841" i="17"/>
  <c r="AH840" i="17"/>
  <c r="AH839" i="17"/>
  <c r="AH838" i="17"/>
  <c r="AH837" i="17"/>
  <c r="AH836" i="17"/>
  <c r="AH835" i="17"/>
  <c r="AH834" i="17"/>
  <c r="AH833" i="17"/>
  <c r="AH832" i="17"/>
  <c r="AH831" i="17"/>
  <c r="AH830" i="17"/>
  <c r="AH829" i="17"/>
  <c r="AH828" i="17"/>
  <c r="AH827" i="17"/>
  <c r="AH826" i="17"/>
  <c r="AH825" i="17"/>
  <c r="AH824" i="17"/>
  <c r="AH823" i="17"/>
  <c r="AH822" i="17"/>
  <c r="AH821" i="17"/>
  <c r="AH820" i="17"/>
  <c r="AH819" i="17"/>
  <c r="AH818" i="17"/>
  <c r="AH817" i="17"/>
  <c r="AH816" i="17"/>
  <c r="AH815" i="17"/>
  <c r="AH814" i="17"/>
  <c r="AH813" i="17"/>
  <c r="AH812" i="17"/>
  <c r="AH811" i="17"/>
  <c r="AH810" i="17"/>
  <c r="AH809" i="17"/>
  <c r="AH808" i="17"/>
  <c r="AH807" i="17"/>
  <c r="AH806" i="17"/>
  <c r="AH805" i="17"/>
  <c r="AH804" i="17"/>
  <c r="AH803" i="17"/>
  <c r="AH802" i="17"/>
  <c r="AH801" i="17"/>
  <c r="AH800" i="17"/>
  <c r="AH799" i="17"/>
  <c r="AH798" i="17"/>
  <c r="AH797" i="17"/>
  <c r="AH796" i="17"/>
  <c r="AH795" i="17"/>
  <c r="AH794" i="17"/>
  <c r="AH793" i="17"/>
  <c r="AH792" i="17"/>
  <c r="AH791" i="17"/>
  <c r="AH790" i="17"/>
  <c r="AH789" i="17"/>
  <c r="AH788" i="17"/>
  <c r="AH787" i="17"/>
  <c r="AH786" i="17"/>
  <c r="AH785" i="17"/>
  <c r="AH784" i="17"/>
  <c r="AH783" i="17"/>
  <c r="AH782" i="17"/>
  <c r="AH781" i="17"/>
  <c r="AH780" i="17"/>
  <c r="AH779" i="17"/>
  <c r="AH778" i="17"/>
  <c r="AH777" i="17"/>
  <c r="AH776" i="17"/>
  <c r="AH775" i="17"/>
  <c r="AH774" i="17"/>
  <c r="AH773" i="17"/>
  <c r="AH772" i="17"/>
  <c r="AH771" i="17"/>
  <c r="AH770" i="17"/>
  <c r="AH769" i="17"/>
  <c r="AH768" i="17"/>
  <c r="AH767" i="17"/>
  <c r="AH766" i="17"/>
  <c r="AH765" i="17"/>
  <c r="AH764" i="17"/>
  <c r="AH763" i="17"/>
  <c r="AH762" i="17"/>
  <c r="AH761" i="17"/>
  <c r="AH760" i="17"/>
  <c r="AH759" i="17"/>
  <c r="AH758" i="17"/>
  <c r="AH757" i="17"/>
  <c r="AH756" i="17"/>
  <c r="AH755" i="17"/>
  <c r="AH754" i="17"/>
  <c r="AH753" i="17"/>
  <c r="AH752" i="17"/>
  <c r="AH751" i="17"/>
  <c r="AH750" i="17"/>
  <c r="AH749" i="17"/>
  <c r="AH748" i="17"/>
  <c r="AH747" i="17"/>
  <c r="AH746" i="17"/>
  <c r="AH745" i="17"/>
  <c r="AH744" i="17"/>
  <c r="AH743" i="17"/>
  <c r="AH742" i="17"/>
  <c r="AH741" i="17"/>
  <c r="AH740" i="17"/>
  <c r="AH739" i="17"/>
  <c r="AH738" i="17"/>
  <c r="AH737" i="17"/>
  <c r="AH736" i="17"/>
  <c r="AH735" i="17"/>
  <c r="AH734" i="17"/>
  <c r="AH733" i="17"/>
  <c r="AH732" i="17"/>
  <c r="AH731" i="17"/>
  <c r="AH730" i="17"/>
  <c r="AH729" i="17"/>
  <c r="AH728" i="17"/>
  <c r="AH727" i="17"/>
  <c r="AH726" i="17"/>
  <c r="AH725" i="17"/>
  <c r="AH724" i="17"/>
  <c r="AH723" i="17"/>
  <c r="AH722" i="17"/>
  <c r="AH721" i="17"/>
  <c r="AH720" i="17"/>
  <c r="AH719" i="17"/>
  <c r="AH718" i="17"/>
  <c r="AH717" i="17"/>
  <c r="AH716" i="17"/>
  <c r="AH715" i="17"/>
  <c r="AH714" i="17"/>
  <c r="AH713" i="17"/>
  <c r="AH712" i="17"/>
  <c r="AH711" i="17"/>
  <c r="AH710" i="17"/>
  <c r="AH709" i="17"/>
  <c r="AH708" i="17"/>
  <c r="AH707" i="17"/>
  <c r="AH706" i="17"/>
  <c r="AH705" i="17"/>
  <c r="AH704" i="17"/>
  <c r="AH703" i="17"/>
  <c r="AH702" i="17"/>
  <c r="AH701" i="17"/>
  <c r="AH700" i="17"/>
  <c r="AH699" i="17"/>
  <c r="AH698" i="17"/>
  <c r="AH697" i="17"/>
  <c r="AH696" i="17"/>
  <c r="AH695" i="17"/>
  <c r="AH694" i="17"/>
  <c r="AH693" i="17"/>
  <c r="AH692" i="17"/>
  <c r="AH691" i="17"/>
  <c r="AH690" i="17"/>
  <c r="AH689" i="17"/>
  <c r="AH688" i="17"/>
  <c r="AH687" i="17"/>
  <c r="AH686" i="17"/>
  <c r="AH685" i="17"/>
  <c r="AH684" i="17"/>
  <c r="AH683" i="17"/>
  <c r="AH682" i="17"/>
  <c r="AH681" i="17"/>
  <c r="AH680" i="17"/>
  <c r="AH679" i="17"/>
  <c r="AH678" i="17"/>
  <c r="AH677" i="17"/>
  <c r="AH676" i="17"/>
  <c r="AH675" i="17"/>
  <c r="AH674" i="17"/>
  <c r="AH673" i="17"/>
  <c r="AH672" i="17"/>
  <c r="AH671" i="17"/>
  <c r="AH670" i="17"/>
  <c r="AH669" i="17"/>
  <c r="AH668" i="17"/>
  <c r="AH667" i="17"/>
  <c r="AH666" i="17"/>
  <c r="AH665" i="17"/>
  <c r="AH664" i="17"/>
  <c r="AH663" i="17"/>
  <c r="AH662" i="17"/>
  <c r="AH661" i="17"/>
  <c r="AH660" i="17"/>
  <c r="AH659" i="17"/>
  <c r="AH658" i="17"/>
  <c r="AH657" i="17"/>
  <c r="AH656" i="17"/>
  <c r="AH655" i="17"/>
  <c r="AH654" i="17"/>
  <c r="AH653" i="17"/>
  <c r="AH652" i="17"/>
  <c r="AH651" i="17"/>
  <c r="AH650" i="17"/>
  <c r="AH649" i="17"/>
  <c r="AH648" i="17"/>
  <c r="AH647" i="17"/>
  <c r="AH646" i="17"/>
  <c r="AH645" i="17"/>
  <c r="AH644" i="17"/>
  <c r="AH643" i="17"/>
  <c r="AH642" i="17"/>
  <c r="AH641" i="17"/>
  <c r="AH640" i="17"/>
  <c r="AH639" i="17"/>
  <c r="AH638" i="17"/>
  <c r="AH637" i="17"/>
  <c r="AH636" i="17"/>
  <c r="AH635" i="17"/>
  <c r="AH634" i="17"/>
  <c r="AH633" i="17"/>
  <c r="AH632" i="17"/>
  <c r="AH631" i="17"/>
  <c r="AH630" i="17"/>
  <c r="AH629" i="17"/>
  <c r="AH628" i="17"/>
  <c r="AH627" i="17"/>
  <c r="AH626" i="17"/>
  <c r="AH625" i="17"/>
  <c r="AH624" i="17"/>
  <c r="AH623" i="17"/>
  <c r="AH622" i="17"/>
  <c r="AH621" i="17"/>
  <c r="AH620" i="17"/>
  <c r="AH619" i="17"/>
  <c r="AH618" i="17"/>
  <c r="AH617" i="17"/>
  <c r="AH616" i="17"/>
  <c r="AH615" i="17"/>
  <c r="AH614" i="17"/>
  <c r="AH613" i="17"/>
  <c r="AH612" i="17"/>
  <c r="AH611" i="17"/>
  <c r="AH610" i="17"/>
  <c r="AH609" i="17"/>
  <c r="AH608" i="17"/>
  <c r="AH607" i="17"/>
  <c r="AH606" i="17"/>
  <c r="AH605" i="17"/>
  <c r="AH604" i="17"/>
  <c r="AH603" i="17"/>
  <c r="AH602" i="17"/>
  <c r="AH601" i="17"/>
  <c r="AH600" i="17"/>
  <c r="AH599" i="17"/>
  <c r="AH598" i="17"/>
  <c r="AH597" i="17"/>
  <c r="AH596" i="17"/>
  <c r="AH595" i="17"/>
  <c r="AH594" i="17"/>
  <c r="AH593" i="17"/>
  <c r="AH592" i="17"/>
  <c r="AH591" i="17"/>
  <c r="AH590" i="17"/>
  <c r="AH589" i="17"/>
  <c r="AH588" i="17"/>
  <c r="AH587" i="17"/>
  <c r="AH586" i="17"/>
  <c r="AH585" i="17"/>
  <c r="AH584" i="17"/>
  <c r="AH583" i="17"/>
  <c r="AH582" i="17"/>
  <c r="AH581" i="17"/>
  <c r="AH580" i="17"/>
  <c r="AH579" i="17"/>
  <c r="AH578" i="17"/>
  <c r="AH577" i="17"/>
  <c r="AH576" i="17"/>
  <c r="AH575" i="17"/>
  <c r="AH574" i="17"/>
  <c r="AH573" i="17"/>
  <c r="AH572" i="17"/>
  <c r="AH571" i="17"/>
  <c r="AH570" i="17"/>
  <c r="AH569" i="17"/>
  <c r="AH568" i="17"/>
  <c r="AH567" i="17"/>
  <c r="AH566" i="17"/>
  <c r="AH565" i="17"/>
  <c r="AH564" i="17"/>
  <c r="AH563" i="17"/>
  <c r="AH562" i="17"/>
  <c r="AH561" i="17"/>
  <c r="AH560" i="17"/>
  <c r="AH559" i="17"/>
  <c r="AH558" i="17"/>
  <c r="AH557" i="17"/>
  <c r="AH556" i="17"/>
  <c r="AH555" i="17"/>
  <c r="AH554" i="17"/>
  <c r="AH553" i="17"/>
  <c r="AH552" i="17"/>
  <c r="AH551" i="17"/>
  <c r="AH550" i="17"/>
  <c r="AH549" i="17"/>
  <c r="AH548" i="17"/>
  <c r="AH547" i="17"/>
  <c r="AH546" i="17"/>
  <c r="AH545" i="17"/>
  <c r="AH544" i="17"/>
  <c r="AH543" i="17"/>
  <c r="AH542" i="17"/>
  <c r="AH541" i="17"/>
  <c r="AH540" i="17"/>
  <c r="AH539" i="17"/>
  <c r="AH538" i="17"/>
  <c r="AH537" i="17"/>
  <c r="AH536" i="17"/>
  <c r="AH535" i="17"/>
  <c r="AH534" i="17"/>
  <c r="AH533" i="17"/>
  <c r="AH532" i="17"/>
  <c r="AH531" i="17"/>
  <c r="AH530" i="17"/>
  <c r="AH529" i="17"/>
  <c r="AH528" i="17"/>
  <c r="AH527" i="17"/>
  <c r="AH526" i="17"/>
  <c r="AH525" i="17"/>
  <c r="AH524" i="17"/>
  <c r="AH523" i="17"/>
  <c r="AH522" i="17"/>
  <c r="AH521" i="17"/>
  <c r="AH520" i="17"/>
  <c r="AH519" i="17"/>
  <c r="AH518" i="17"/>
  <c r="AH517" i="17"/>
  <c r="AH516" i="17"/>
  <c r="AH515" i="17"/>
  <c r="AH514" i="17"/>
  <c r="AH513" i="17"/>
  <c r="AH512" i="17"/>
  <c r="AH511" i="17"/>
  <c r="AH510" i="17"/>
  <c r="AH509" i="17"/>
  <c r="AH508" i="17"/>
  <c r="AH507" i="17"/>
  <c r="AH506" i="17"/>
  <c r="AH505" i="17"/>
  <c r="AH504" i="17"/>
  <c r="AH503" i="17"/>
  <c r="AH502" i="17"/>
  <c r="AH501" i="17"/>
  <c r="AH500" i="17"/>
  <c r="AH499" i="17"/>
  <c r="AH498" i="17"/>
  <c r="AH497" i="17"/>
  <c r="AH496" i="17"/>
  <c r="AH495" i="17"/>
  <c r="AH494" i="17"/>
  <c r="AH493" i="17"/>
  <c r="AH492" i="17"/>
  <c r="AH491" i="17"/>
  <c r="AH490" i="17"/>
  <c r="AH489" i="17"/>
  <c r="AH488" i="17"/>
  <c r="AH487" i="17"/>
  <c r="AH486" i="17"/>
  <c r="AH485" i="17"/>
  <c r="AH484" i="17"/>
  <c r="AH483" i="17"/>
  <c r="AH482" i="17"/>
  <c r="AH481" i="17"/>
  <c r="AH480" i="17"/>
  <c r="AH479" i="17"/>
  <c r="AH478" i="17"/>
  <c r="AH477" i="17"/>
  <c r="AH476" i="17"/>
  <c r="AH475" i="17"/>
  <c r="AH474" i="17"/>
  <c r="AH473" i="17"/>
  <c r="AH472" i="17"/>
  <c r="AH471" i="17"/>
  <c r="AH470" i="17"/>
  <c r="AH469" i="17"/>
  <c r="AH468" i="17"/>
  <c r="AH467" i="17"/>
  <c r="AH466" i="17"/>
  <c r="AH465" i="17"/>
  <c r="AH464" i="17"/>
  <c r="AH463" i="17"/>
  <c r="AH462" i="17"/>
  <c r="AH461" i="17"/>
  <c r="AH460" i="17"/>
  <c r="AH459" i="17"/>
  <c r="AH458" i="17"/>
  <c r="AH457" i="17"/>
  <c r="AH456" i="17"/>
  <c r="AH455" i="17"/>
  <c r="AH454" i="17"/>
  <c r="AH453" i="17"/>
  <c r="AH452" i="17"/>
  <c r="AH451" i="17"/>
  <c r="AH450" i="17"/>
  <c r="AH449" i="17"/>
  <c r="AH448" i="17"/>
  <c r="AH447" i="17"/>
  <c r="AH446" i="17"/>
  <c r="AH445" i="17"/>
  <c r="AH444" i="17"/>
  <c r="AH443" i="17"/>
  <c r="AH442" i="17"/>
  <c r="AH441" i="17"/>
  <c r="AH440" i="17"/>
  <c r="AH439" i="17"/>
  <c r="AH438" i="17"/>
  <c r="AH437" i="17"/>
  <c r="AH436" i="17"/>
  <c r="AH435" i="17"/>
  <c r="AH434" i="17"/>
  <c r="AH433" i="17"/>
  <c r="AH432" i="17"/>
  <c r="AH431" i="17"/>
  <c r="AH430" i="17"/>
  <c r="AH429" i="17"/>
  <c r="AH428" i="17"/>
  <c r="AH427" i="17"/>
  <c r="AH426" i="17"/>
  <c r="AH425" i="17"/>
  <c r="AH424" i="17"/>
  <c r="AH423" i="17"/>
  <c r="AH422" i="17"/>
  <c r="AH421" i="17"/>
  <c r="AH420" i="17"/>
  <c r="AH419" i="17"/>
  <c r="AH418" i="17"/>
  <c r="AH417" i="17"/>
  <c r="AH416" i="17"/>
  <c r="AH415" i="17"/>
  <c r="AH414" i="17"/>
  <c r="AH413" i="17"/>
  <c r="AH412" i="17"/>
  <c r="AH411" i="17"/>
  <c r="AH410" i="17"/>
  <c r="AH409" i="17"/>
  <c r="AH408" i="17"/>
  <c r="AH407" i="17"/>
  <c r="AH406" i="17"/>
  <c r="AH405" i="17"/>
  <c r="AH404" i="17"/>
  <c r="AH403" i="17"/>
  <c r="AH402" i="17"/>
  <c r="AH401" i="17"/>
  <c r="AH400" i="17"/>
  <c r="AH399" i="17"/>
  <c r="AH398" i="17"/>
  <c r="AH397" i="17"/>
  <c r="AH396" i="17"/>
  <c r="AH395" i="17"/>
  <c r="AH394" i="17"/>
  <c r="AH393" i="17"/>
  <c r="AH392" i="17"/>
  <c r="AH391" i="17"/>
  <c r="AH390" i="17"/>
  <c r="AH389" i="17"/>
  <c r="AH388" i="17"/>
  <c r="AH387" i="17"/>
  <c r="AH386" i="17"/>
  <c r="AH385" i="17"/>
  <c r="AH384" i="17"/>
  <c r="AH383" i="17"/>
  <c r="AH382" i="17"/>
  <c r="AH381" i="17"/>
  <c r="AH380" i="17"/>
  <c r="AH379" i="17"/>
  <c r="AH378" i="17"/>
  <c r="AH377" i="17"/>
  <c r="AH376" i="17"/>
  <c r="AH375" i="17"/>
  <c r="AH374" i="17"/>
  <c r="AH373" i="17"/>
  <c r="AH372" i="17"/>
  <c r="AH371" i="17"/>
  <c r="AH370" i="17"/>
  <c r="AH369" i="17"/>
  <c r="AH368" i="17"/>
  <c r="AH367" i="17"/>
  <c r="AH366" i="17"/>
  <c r="AH365" i="17"/>
  <c r="AH364" i="17"/>
  <c r="AH363" i="17"/>
  <c r="AH362" i="17"/>
  <c r="AH361" i="17"/>
  <c r="AH360" i="17"/>
  <c r="AH359" i="17"/>
  <c r="AH358" i="17"/>
  <c r="AH357" i="17"/>
  <c r="AH356" i="17"/>
  <c r="AH355" i="17"/>
  <c r="AH354" i="17"/>
  <c r="AH353" i="17"/>
  <c r="AH352" i="17"/>
  <c r="AH351" i="17"/>
  <c r="AH350" i="17"/>
  <c r="AH349" i="17"/>
  <c r="AH348" i="17"/>
  <c r="AH347" i="17"/>
  <c r="AH346" i="17"/>
  <c r="AH345" i="17"/>
  <c r="AH344" i="17"/>
  <c r="AH343" i="17"/>
  <c r="AH342" i="17"/>
  <c r="AH341" i="17"/>
  <c r="AH340" i="17"/>
  <c r="AH339" i="17"/>
  <c r="AH338" i="17"/>
  <c r="AH337" i="17"/>
  <c r="AH336" i="17"/>
  <c r="AH335" i="17"/>
  <c r="AH334" i="17"/>
  <c r="AH333" i="17"/>
  <c r="AH332" i="17"/>
  <c r="AH331" i="17"/>
  <c r="AH330" i="17"/>
  <c r="AH329" i="17"/>
  <c r="AH328" i="17"/>
  <c r="AH327" i="17"/>
  <c r="AH326" i="17"/>
  <c r="AH325" i="17"/>
  <c r="AH324" i="17"/>
  <c r="AH323" i="17"/>
  <c r="AH322" i="17"/>
  <c r="AH321" i="17"/>
  <c r="AH320" i="17"/>
  <c r="AH319" i="17"/>
  <c r="AH318" i="17"/>
  <c r="AH317" i="17"/>
  <c r="AH316" i="17"/>
  <c r="AH315" i="17"/>
  <c r="AH314" i="17"/>
  <c r="AH313" i="17"/>
  <c r="AH312" i="17"/>
  <c r="AH311" i="17"/>
  <c r="AH310" i="17"/>
  <c r="AH309" i="17"/>
  <c r="AH308" i="17"/>
  <c r="AH307" i="17"/>
  <c r="AH306" i="17"/>
  <c r="AH305" i="17"/>
  <c r="AH304" i="17"/>
  <c r="AH303" i="17"/>
  <c r="AH302" i="17"/>
  <c r="AH301" i="17"/>
  <c r="AH300" i="17"/>
  <c r="AH299" i="17"/>
  <c r="AH298" i="17"/>
  <c r="AH297" i="17"/>
  <c r="AH296" i="17"/>
  <c r="AH295" i="17"/>
  <c r="AH294" i="17"/>
  <c r="AH293" i="17"/>
  <c r="AH292" i="17"/>
  <c r="AH291" i="17"/>
  <c r="AH290" i="17"/>
  <c r="AH289" i="17"/>
  <c r="AH288" i="17"/>
  <c r="AH287" i="17"/>
  <c r="AH286" i="17"/>
  <c r="AH285" i="17"/>
  <c r="AH284" i="17"/>
  <c r="AH283" i="17"/>
  <c r="AH282" i="17"/>
  <c r="AH281" i="17"/>
  <c r="AH280" i="17"/>
  <c r="AH279" i="17"/>
  <c r="AH278" i="17"/>
  <c r="AH277" i="17"/>
  <c r="AH276" i="17"/>
  <c r="AH275" i="17"/>
  <c r="AH274" i="17"/>
  <c r="AH273" i="17"/>
  <c r="AH272" i="17"/>
  <c r="AH271" i="17"/>
  <c r="AH270" i="17"/>
  <c r="AH269" i="17"/>
  <c r="AH268" i="17"/>
  <c r="AH267" i="17"/>
  <c r="AH266" i="17"/>
  <c r="AH265" i="17"/>
  <c r="AH264" i="17"/>
  <c r="AH263" i="17"/>
  <c r="AH262" i="17"/>
  <c r="AH261" i="17"/>
  <c r="AH260" i="17"/>
  <c r="AH259" i="17"/>
  <c r="AH258" i="17"/>
  <c r="AH257" i="17"/>
  <c r="AH256" i="17"/>
  <c r="AH255" i="17"/>
  <c r="AH254" i="17"/>
  <c r="AH253" i="17"/>
  <c r="AH252" i="17"/>
  <c r="AH251" i="17"/>
  <c r="AH250" i="17"/>
  <c r="AH249" i="17"/>
  <c r="AH248" i="17"/>
  <c r="AH247" i="17"/>
  <c r="AH246" i="17"/>
  <c r="AH245" i="17"/>
  <c r="AH244" i="17"/>
  <c r="AH243" i="17"/>
  <c r="AH242" i="17"/>
  <c r="AH241" i="17"/>
  <c r="AH240" i="17"/>
  <c r="AH239" i="17"/>
  <c r="AH238" i="17"/>
  <c r="AH237" i="17"/>
  <c r="AH236" i="17"/>
  <c r="AH235" i="17"/>
  <c r="AH234" i="17"/>
  <c r="AH233" i="17"/>
  <c r="AH232" i="17"/>
  <c r="AH231" i="17"/>
  <c r="AH230" i="17"/>
  <c r="AH229" i="17"/>
  <c r="AH228" i="17"/>
  <c r="AH227" i="17"/>
  <c r="AH226" i="17"/>
  <c r="AH225" i="17"/>
  <c r="AH224" i="17"/>
  <c r="AH223" i="17"/>
  <c r="AH222" i="17"/>
  <c r="AH221" i="17"/>
  <c r="AH220" i="17"/>
  <c r="AH219" i="17"/>
  <c r="AH218" i="17"/>
  <c r="AH217" i="17"/>
  <c r="AH216" i="17"/>
  <c r="AH215" i="17"/>
  <c r="AH214" i="17"/>
  <c r="AH213" i="17"/>
  <c r="AH212" i="17"/>
  <c r="AH211" i="17"/>
  <c r="AH210" i="17"/>
  <c r="AH209" i="17"/>
  <c r="AH208" i="17"/>
  <c r="AH207" i="17"/>
  <c r="AH206" i="17"/>
  <c r="AH205" i="17"/>
  <c r="AH204" i="17"/>
  <c r="AH203" i="17"/>
  <c r="AH202" i="17"/>
  <c r="AH201" i="17"/>
  <c r="AH200" i="17"/>
  <c r="AH199" i="17"/>
  <c r="AH198" i="17"/>
  <c r="AH197" i="17"/>
  <c r="AH196" i="17"/>
  <c r="AH195" i="17"/>
  <c r="AH194" i="17"/>
  <c r="AH193" i="17"/>
  <c r="AH192" i="17"/>
  <c r="AH191" i="17"/>
  <c r="AH190" i="17"/>
  <c r="AH189" i="17"/>
  <c r="AH188" i="17"/>
  <c r="AH187" i="17"/>
  <c r="AH186" i="17"/>
  <c r="AH185" i="17"/>
  <c r="AH184" i="17"/>
  <c r="AH183" i="17"/>
  <c r="AH182" i="17"/>
  <c r="AH181" i="17"/>
  <c r="AH180" i="17"/>
  <c r="AH179" i="17"/>
  <c r="AH178" i="17"/>
  <c r="AH177" i="17"/>
  <c r="AH176" i="17"/>
  <c r="AH175" i="17"/>
  <c r="AH174" i="17"/>
  <c r="AH173" i="17"/>
  <c r="AH172" i="17"/>
  <c r="AH171" i="17"/>
  <c r="AH170" i="17"/>
  <c r="AH169" i="17"/>
  <c r="AH168" i="17"/>
  <c r="AH167" i="17"/>
  <c r="AH166" i="17"/>
  <c r="AH165" i="17"/>
  <c r="AH164" i="17"/>
  <c r="AH163" i="17"/>
  <c r="AH162" i="17"/>
  <c r="AH161" i="17"/>
  <c r="AH160" i="17"/>
  <c r="AH159" i="17"/>
  <c r="AH158" i="17"/>
  <c r="AH157" i="17"/>
  <c r="AH156" i="17"/>
  <c r="AH155" i="17"/>
  <c r="AH154" i="17"/>
  <c r="AH153" i="17"/>
  <c r="AH152" i="17"/>
  <c r="AH151" i="17"/>
  <c r="AH150" i="17"/>
  <c r="AH149" i="17"/>
  <c r="AH148" i="17"/>
  <c r="AH147" i="17"/>
  <c r="AH146" i="17"/>
  <c r="AH145" i="17"/>
  <c r="AH144" i="17"/>
  <c r="AH143" i="17"/>
  <c r="AH142" i="17"/>
  <c r="AH141" i="17"/>
  <c r="AH140" i="17"/>
  <c r="AH139" i="17"/>
  <c r="AH138" i="17"/>
  <c r="AH137" i="17"/>
  <c r="AH136" i="17"/>
  <c r="AH135" i="17"/>
  <c r="AH134" i="17"/>
  <c r="AH133" i="17"/>
  <c r="AH132" i="17"/>
  <c r="AH131" i="17"/>
  <c r="AH130" i="17"/>
  <c r="AH129" i="17"/>
  <c r="AH128" i="17"/>
  <c r="AH127" i="17"/>
  <c r="AH126" i="17"/>
  <c r="AH125" i="17"/>
  <c r="AH124" i="17"/>
  <c r="AH123" i="17"/>
  <c r="AH122" i="17"/>
  <c r="AH121" i="17"/>
  <c r="AH120" i="17"/>
  <c r="AH119" i="17"/>
  <c r="AH118" i="17"/>
  <c r="AH117" i="17"/>
  <c r="AH116" i="17"/>
  <c r="AH115" i="17"/>
  <c r="AH114" i="17"/>
  <c r="AH113" i="17"/>
  <c r="AH112" i="17"/>
  <c r="AH111" i="17"/>
  <c r="AH110" i="17"/>
  <c r="AH109" i="17"/>
  <c r="AH108" i="17"/>
  <c r="AH107" i="17"/>
  <c r="AH106" i="17"/>
  <c r="AH105" i="17"/>
  <c r="AH104" i="17"/>
  <c r="AH103" i="17"/>
  <c r="AH102" i="17"/>
  <c r="AH101" i="17"/>
  <c r="AH100" i="17"/>
  <c r="AH99" i="17"/>
  <c r="AH98" i="17"/>
  <c r="AH97" i="17"/>
  <c r="AH96" i="17"/>
  <c r="AH95" i="17"/>
  <c r="AH94" i="17"/>
  <c r="AH93" i="17"/>
  <c r="AH92" i="17"/>
  <c r="AH91" i="17"/>
  <c r="AH90" i="17"/>
  <c r="AH89" i="17"/>
  <c r="AH88" i="17"/>
  <c r="AH87" i="17"/>
  <c r="AH86" i="17"/>
  <c r="AH85" i="17"/>
  <c r="AH84" i="17"/>
  <c r="AH83" i="17"/>
  <c r="AH82" i="17"/>
  <c r="AH81" i="17"/>
  <c r="AH80" i="17"/>
  <c r="AH79" i="17"/>
  <c r="AH78" i="17"/>
  <c r="AH77" i="17"/>
  <c r="AH76" i="17"/>
  <c r="AH75" i="17"/>
  <c r="AH74" i="17"/>
  <c r="AH73" i="17"/>
  <c r="AH72" i="17"/>
  <c r="AH71" i="17"/>
  <c r="AH70" i="17"/>
  <c r="AH69" i="17"/>
  <c r="AH68" i="17"/>
  <c r="AH67" i="17"/>
  <c r="AH66" i="17"/>
  <c r="AH65" i="17"/>
  <c r="AH64" i="17"/>
  <c r="AH63" i="17"/>
  <c r="AH62" i="17"/>
  <c r="AH61" i="17"/>
  <c r="AH60" i="17"/>
  <c r="AH59" i="17"/>
  <c r="AH58" i="17"/>
  <c r="AH57" i="17"/>
  <c r="AH56" i="17"/>
  <c r="AH55" i="17"/>
  <c r="AH54" i="17"/>
  <c r="AH53" i="17"/>
  <c r="AH52" i="17"/>
  <c r="AH51" i="17"/>
  <c r="AH50" i="17"/>
  <c r="AH49" i="17"/>
  <c r="AH48" i="17"/>
  <c r="AH47" i="17"/>
  <c r="AH46" i="17"/>
  <c r="AH45" i="17"/>
  <c r="AH44" i="17"/>
  <c r="AH43" i="17"/>
  <c r="AH42" i="17"/>
  <c r="AH41" i="17"/>
  <c r="AH40" i="17"/>
  <c r="AH39" i="17"/>
  <c r="AH38" i="17"/>
  <c r="AH37" i="17"/>
  <c r="AH36" i="17"/>
  <c r="AH35" i="17"/>
  <c r="AH34" i="17"/>
  <c r="AH33" i="17"/>
  <c r="AH32" i="17"/>
  <c r="AH31" i="17"/>
  <c r="AH30" i="17"/>
  <c r="AH29" i="17"/>
  <c r="AH28" i="17"/>
  <c r="AH27" i="17"/>
  <c r="AH26" i="17"/>
  <c r="AH25" i="17"/>
  <c r="AH24" i="17"/>
  <c r="AH23" i="17"/>
  <c r="AH22" i="17"/>
  <c r="AH21" i="17"/>
  <c r="AH20" i="17"/>
  <c r="AH19" i="17"/>
  <c r="AH18" i="17"/>
  <c r="AH17" i="17"/>
  <c r="AH16" i="17"/>
  <c r="AH15" i="17"/>
  <c r="AH14" i="17"/>
  <c r="AH13" i="17"/>
  <c r="AH12" i="17"/>
  <c r="AH11" i="17"/>
  <c r="AH8" i="17"/>
  <c r="L3" i="17"/>
  <c r="M4" i="17"/>
  <c r="O11" i="17"/>
  <c r="L14" i="17"/>
  <c r="O16" i="17"/>
  <c r="M5" i="17"/>
  <c r="P15" i="17"/>
  <c r="M15" i="17"/>
  <c r="P8" i="17"/>
  <c r="O7" i="17"/>
  <c r="O3" i="17"/>
  <c r="L17" i="17"/>
  <c r="M3" i="17"/>
  <c r="M16" i="17"/>
  <c r="N16" i="17" s="1"/>
  <c r="O10" i="17"/>
  <c r="M6" i="17"/>
  <c r="O14" i="17"/>
  <c r="O12" i="17"/>
  <c r="O9" i="17"/>
  <c r="M13" i="17"/>
  <c r="O6" i="17"/>
  <c r="L12" i="17"/>
  <c r="M17" i="17"/>
  <c r="O5" i="17"/>
  <c r="M9" i="17"/>
  <c r="O4" i="17"/>
  <c r="O13" i="17"/>
  <c r="O17" i="17"/>
  <c r="M10" i="17"/>
  <c r="M8" i="17"/>
  <c r="L7" i="17"/>
  <c r="M7" i="17" s="1"/>
  <c r="M11" i="17"/>
  <c r="AH10" i="17" l="1"/>
  <c r="M12" i="17"/>
  <c r="N12" i="17"/>
  <c r="N17" i="17"/>
  <c r="P10" i="17"/>
  <c r="M14" i="17"/>
  <c r="N7" i="17"/>
  <c r="N11" i="17"/>
  <c r="P7" i="17"/>
  <c r="P6" i="17"/>
  <c r="N5" i="17"/>
  <c r="P12" i="17"/>
  <c r="N8" i="17"/>
  <c r="P5" i="17"/>
  <c r="N10" i="17"/>
  <c r="P14" i="17"/>
  <c r="N15" i="17"/>
  <c r="P9" i="17"/>
  <c r="N3" i="17"/>
  <c r="P17" i="17"/>
  <c r="N14" i="17"/>
  <c r="P13" i="17"/>
  <c r="N4" i="17"/>
  <c r="N6" i="17"/>
  <c r="P11" i="17"/>
  <c r="P3" i="17"/>
  <c r="N9" i="17"/>
  <c r="N13" i="17"/>
  <c r="P16" i="17"/>
  <c r="P4" i="17"/>
  <c r="L24" i="17" l="1"/>
  <c r="O24" i="17" s="1"/>
  <c r="L23" i="17"/>
  <c r="O23" i="17" s="1"/>
  <c r="L25" i="17"/>
  <c r="O25" i="17" s="1"/>
  <c r="Q3" i="17" l="1" a="1"/>
  <c r="Q15" i="17" l="1"/>
  <c r="Q6" i="17"/>
  <c r="R6" i="17" s="1"/>
  <c r="R26" i="17" s="1"/>
  <c r="Q17" i="17"/>
  <c r="Q11" i="17"/>
  <c r="R11" i="17" s="1"/>
  <c r="R31" i="17" s="1"/>
  <c r="Q14" i="17"/>
  <c r="R14" i="17" s="1"/>
  <c r="Q3" i="17"/>
  <c r="Q8" i="17"/>
  <c r="R8" i="17" s="1"/>
  <c r="R28" i="17" s="1"/>
  <c r="Q12" i="17"/>
  <c r="R12" i="17" s="1"/>
  <c r="R32" i="17" s="1"/>
  <c r="Q16" i="17"/>
  <c r="Q7" i="17"/>
  <c r="R7" i="17" s="1"/>
  <c r="R27" i="17" s="1"/>
  <c r="Q5" i="17"/>
  <c r="R5" i="17" s="1"/>
  <c r="R25" i="17" s="1"/>
  <c r="Q13" i="17"/>
  <c r="R13" i="17" s="1"/>
  <c r="R33" i="17" s="1"/>
  <c r="Q9" i="17"/>
  <c r="R9" i="17" s="1"/>
  <c r="R29" i="17" s="1"/>
  <c r="Q10" i="17"/>
  <c r="R10" i="17" s="1"/>
  <c r="R30" i="17" s="1"/>
  <c r="Q4" i="17"/>
  <c r="R4" i="17" s="1"/>
  <c r="R24" i="17" s="1"/>
  <c r="I37" i="17"/>
  <c r="R3" i="17" l="1"/>
  <c r="R34" i="17"/>
  <c r="R15" i="17"/>
  <c r="J28" i="17" a="1"/>
  <c r="J28" i="17" l="1"/>
  <c r="R35" i="17"/>
  <c r="R16" i="17"/>
  <c r="R23" i="17"/>
  <c r="L27" i="17"/>
  <c r="L28" i="17"/>
  <c r="L29" i="17"/>
  <c r="L33" i="17" l="1"/>
  <c r="O29" i="17"/>
  <c r="N29" i="17" s="1"/>
  <c r="K29" i="17"/>
  <c r="L32" i="17"/>
  <c r="O28" i="17"/>
  <c r="N28" i="17" s="1"/>
  <c r="K28" i="17"/>
  <c r="O27" i="17"/>
  <c r="N27" i="17" s="1"/>
  <c r="K27" i="17"/>
  <c r="L31" i="17"/>
  <c r="R36" i="17"/>
  <c r="R17" i="17"/>
  <c r="N24" i="17" l="1"/>
  <c r="O32" i="17"/>
  <c r="N32" i="17" s="1"/>
  <c r="R37" i="17"/>
  <c r="R1" i="17"/>
  <c r="O31" i="17"/>
  <c r="N31" i="17" s="1"/>
  <c r="N23" i="17"/>
  <c r="N25" i="17"/>
  <c r="O33" i="17"/>
  <c r="N33" i="17" s="1"/>
  <c r="S10" i="17" l="1"/>
  <c r="S12" i="17"/>
  <c r="S6" i="17"/>
  <c r="S14" i="17"/>
  <c r="S7" i="17"/>
  <c r="S17" i="17"/>
  <c r="S16" i="17"/>
  <c r="S4" i="17"/>
  <c r="S3" i="17"/>
  <c r="S5" i="17"/>
  <c r="S9" i="17"/>
  <c r="S8" i="17"/>
  <c r="S15" i="17"/>
  <c r="S13" i="17"/>
  <c r="S11" i="17"/>
</calcChain>
</file>

<file path=xl/sharedStrings.xml><?xml version="1.0" encoding="utf-8"?>
<sst xmlns="http://schemas.openxmlformats.org/spreadsheetml/2006/main" count="1789" uniqueCount="102">
  <si>
    <t>Parameters</t>
  </si>
  <si>
    <t>Real Time</t>
  </si>
  <si>
    <t>Override</t>
  </si>
  <si>
    <t>Spread</t>
  </si>
  <si>
    <t>Used</t>
  </si>
  <si>
    <t>BID</t>
  </si>
  <si>
    <t>ASK</t>
  </si>
  <si>
    <t>on</t>
  </si>
  <si>
    <t>standard</t>
  </si>
  <si>
    <t>stub</t>
  </si>
  <si>
    <t>cont</t>
  </si>
  <si>
    <t>kruger</t>
  </si>
  <si>
    <t>rt</t>
  </si>
  <si>
    <t>linear</t>
  </si>
  <si>
    <t>r</t>
  </si>
  <si>
    <t>Today</t>
  </si>
  <si>
    <t>dvBool</t>
  </si>
  <si>
    <t>Enabled</t>
  </si>
  <si>
    <t>Currency</t>
  </si>
  <si>
    <t>Discounts</t>
  </si>
  <si>
    <t>Forward</t>
  </si>
  <si>
    <t>years</t>
  </si>
  <si>
    <t>30/360</t>
  </si>
  <si>
    <t>30E/360</t>
  </si>
  <si>
    <t>quadra</t>
  </si>
  <si>
    <t>const</t>
  </si>
  <si>
    <t>spline</t>
  </si>
  <si>
    <t>d</t>
  </si>
  <si>
    <t>annual</t>
  </si>
  <si>
    <t>simple</t>
  </si>
  <si>
    <t>Act/Act AFB</t>
  </si>
  <si>
    <t>360/360</t>
  </si>
  <si>
    <t>30E+360</t>
  </si>
  <si>
    <t>Act/360</t>
  </si>
  <si>
    <t>Act/365</t>
  </si>
  <si>
    <t>365/365</t>
  </si>
  <si>
    <t>Act/Act</t>
  </si>
  <si>
    <t>One/One</t>
  </si>
  <si>
    <t>dvDayCount</t>
  </si>
  <si>
    <t>dvInterpType</t>
  </si>
  <si>
    <t>dvInterpOn</t>
  </si>
  <si>
    <t>dvCompounding</t>
  </si>
  <si>
    <t>Zero Rates</t>
  </si>
  <si>
    <t>start</t>
  </si>
  <si>
    <t>end</t>
  </si>
  <si>
    <t>dvFutCons</t>
  </si>
  <si>
    <t>off</t>
  </si>
  <si>
    <t>adjusted</t>
  </si>
  <si>
    <t>dvMatCons</t>
  </si>
  <si>
    <t>dvFutEndDate</t>
  </si>
  <si>
    <t>NoAdjust</t>
  </si>
  <si>
    <t>Backward</t>
  </si>
  <si>
    <t>ModFollowing</t>
  </si>
  <si>
    <t>dvFraFutAdjust</t>
  </si>
  <si>
    <t>months</t>
  </si>
  <si>
    <t>dates</t>
  </si>
  <si>
    <t>dvSwapMatType</t>
  </si>
  <si>
    <t>dvOutputType</t>
  </si>
  <si>
    <t>Calendar</t>
  </si>
  <si>
    <t>Settlement Days</t>
  </si>
  <si>
    <t>Settlement Date</t>
  </si>
  <si>
    <t>Zero</t>
  </si>
  <si>
    <t>Notional</t>
  </si>
  <si>
    <t>Loan Dates</t>
  </si>
  <si>
    <t>Impl CDS</t>
  </si>
  <si>
    <t>Recovery Rate</t>
  </si>
  <si>
    <t>Def Loans</t>
  </si>
  <si>
    <t>Contrib</t>
  </si>
  <si>
    <t>Schedule</t>
  </si>
  <si>
    <t>Leg</t>
  </si>
  <si>
    <t>mf</t>
  </si>
  <si>
    <t>QL Discounting Curve</t>
  </si>
  <si>
    <t>PDG Discounting Curve</t>
  </si>
  <si>
    <t>Atdefault</t>
  </si>
  <si>
    <t>Floating Flag</t>
  </si>
  <si>
    <t>Entity Name</t>
  </si>
  <si>
    <t>BizDay Convention</t>
  </si>
  <si>
    <t>EUR</t>
  </si>
  <si>
    <t>DayCount</t>
  </si>
  <si>
    <t>Comp</t>
  </si>
  <si>
    <t>InterpOn</t>
  </si>
  <si>
    <t>InterpType</t>
  </si>
  <si>
    <t>Dates</t>
  </si>
  <si>
    <t>Maturities</t>
  </si>
  <si>
    <t>TIT_30DEC</t>
  </si>
  <si>
    <t>1W</t>
  </si>
  <si>
    <t>EUR3M_30DEC</t>
  </si>
  <si>
    <t>PushLiborCurve</t>
  </si>
  <si>
    <t>InterpID</t>
  </si>
  <si>
    <t>KrugerCubic</t>
  </si>
  <si>
    <t>TraitsID</t>
  </si>
  <si>
    <t>DayCounter</t>
  </si>
  <si>
    <t>Actual/365 (Fixed)</t>
  </si>
  <si>
    <t>InterpolatedYieldCurve</t>
  </si>
  <si>
    <t>1D</t>
  </si>
  <si>
    <t>TARGET</t>
  </si>
  <si>
    <t>DiscQL</t>
  </si>
  <si>
    <t>DiscPDG</t>
  </si>
  <si>
    <t>Diff</t>
  </si>
  <si>
    <t>IborIndex</t>
  </si>
  <si>
    <t>ZeroYield</t>
  </si>
  <si>
    <t>ZeroRates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</si>
</sst>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00%"/>
    <numFmt numFmtId="165" formatCode="dd\ mmm\ yy"/>
    <numFmt numFmtId="166" formatCode="0.000"/>
    <numFmt numFmtId="167" formatCode="d\ mmm\ yyyy"/>
    <numFmt numFmtId="168" formatCode="ddd\,\ mmmm\ d\,\ yyyy"/>
    <numFmt numFmtId="169" formatCode="0.0000"/>
    <numFmt numFmtId="170" formatCode="#,##0.00000000"/>
    <numFmt numFmtId="171" formatCode="d\ mmm\ yy"/>
    <numFmt numFmtId="172" formatCode="#,##0.000"/>
  </numFmts>
  <fonts count="15" x14ac:knownFonts="1">
    <font>
      <sz val="8"/>
      <color theme="1"/>
      <name val="Arial"/>
      <family val="2"/>
    </font>
    <font>
      <sz val="8"/>
      <name val="Arial"/>
      <family val="2"/>
    </font>
    <font>
      <b/>
      <sz val="8"/>
      <color indexed="9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i/>
      <sz val="8"/>
      <name val="Arial"/>
      <family val="2"/>
    </font>
    <font>
      <sz val="8"/>
      <color indexed="23"/>
      <name val="Arial"/>
      <family val="2"/>
    </font>
    <font>
      <i/>
      <sz val="8"/>
      <color rgb="FF002060"/>
      <name val="Arial"/>
      <family val="2"/>
    </font>
    <font>
      <sz val="8"/>
      <color rgb="FF3F3F76"/>
      <name val="Arial"/>
      <family val="2"/>
    </font>
    <font>
      <b/>
      <sz val="8"/>
      <color rgb="FF3F3F3F"/>
      <name val="Arial"/>
      <family val="2"/>
    </font>
    <font>
      <b/>
      <i/>
      <sz val="8"/>
      <color theme="1"/>
      <name val="Arial"/>
      <family val="2"/>
    </font>
    <font>
      <sz val="8"/>
      <color rgb="FFFF0000"/>
      <name val="Arial"/>
      <family val="2"/>
    </font>
    <font>
      <b/>
      <sz val="8"/>
      <color rgb="FFFF0000"/>
      <name val="Arial"/>
      <family val="2"/>
    </font>
    <font>
      <sz val="8"/>
      <color theme="1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59996337778862885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</borders>
  <cellStyleXfs count="4">
    <xf numFmtId="0" fontId="0" fillId="0" borderId="0"/>
    <xf numFmtId="0" fontId="9" fillId="12" borderId="17" applyNumberFormat="0" applyAlignment="0" applyProtection="0"/>
    <xf numFmtId="0" fontId="10" fillId="11" borderId="18" applyNumberFormat="0" applyAlignment="0" applyProtection="0"/>
    <xf numFmtId="9" fontId="14" fillId="0" borderId="0" applyFont="0" applyFill="0" applyBorder="0" applyAlignment="0" applyProtection="0"/>
  </cellStyleXfs>
  <cellXfs count="141">
    <xf numFmtId="0" fontId="0" fillId="0" borderId="0" xfId="0"/>
    <xf numFmtId="0" fontId="1" fillId="6" borderId="9" xfId="0" applyFont="1" applyFill="1" applyBorder="1" applyProtection="1"/>
    <xf numFmtId="168" fontId="5" fillId="8" borderId="9" xfId="0" applyNumberFormat="1" applyFont="1" applyFill="1" applyBorder="1" applyAlignment="1" applyProtection="1">
      <alignment horizontal="center"/>
    </xf>
    <xf numFmtId="0" fontId="1" fillId="4" borderId="11" xfId="0" applyFont="1" applyFill="1" applyBorder="1" applyProtection="1"/>
    <xf numFmtId="0" fontId="0" fillId="0" borderId="8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0" xfId="0" applyProtection="1"/>
    <xf numFmtId="0" fontId="0" fillId="0" borderId="0" xfId="0" applyBorder="1" applyProtection="1"/>
    <xf numFmtId="0" fontId="4" fillId="0" borderId="1" xfId="0" applyFont="1" applyBorder="1" applyAlignment="1" applyProtection="1">
      <alignment horizontal="center"/>
    </xf>
    <xf numFmtId="0" fontId="3" fillId="0" borderId="2" xfId="0" applyFont="1" applyBorder="1" applyAlignment="1" applyProtection="1">
      <alignment horizontal="center"/>
    </xf>
    <xf numFmtId="0" fontId="3" fillId="0" borderId="3" xfId="0" applyFont="1" applyBorder="1" applyAlignment="1" applyProtection="1">
      <alignment horizontal="center"/>
    </xf>
    <xf numFmtId="0" fontId="0" fillId="0" borderId="2" xfId="0" applyBorder="1" applyProtection="1"/>
    <xf numFmtId="0" fontId="0" fillId="0" borderId="4" xfId="0" applyBorder="1" applyProtection="1"/>
    <xf numFmtId="0" fontId="0" fillId="0" borderId="6" xfId="0" applyBorder="1" applyProtection="1"/>
    <xf numFmtId="0" fontId="0" fillId="0" borderId="11" xfId="0" applyBorder="1" applyAlignment="1" applyProtection="1">
      <alignment horizontal="center"/>
    </xf>
    <xf numFmtId="0" fontId="0" fillId="0" borderId="9" xfId="0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165" fontId="0" fillId="0" borderId="0" xfId="0" applyNumberFormat="1" applyBorder="1" applyProtection="1"/>
    <xf numFmtId="0" fontId="6" fillId="0" borderId="8" xfId="0" applyFont="1" applyBorder="1" applyAlignment="1">
      <alignment horizontal="center"/>
    </xf>
    <xf numFmtId="11" fontId="0" fillId="0" borderId="11" xfId="0" applyNumberFormat="1" applyBorder="1" applyAlignment="1">
      <alignment horizontal="center"/>
    </xf>
    <xf numFmtId="164" fontId="2" fillId="5" borderId="1" xfId="0" applyNumberFormat="1" applyFont="1" applyFill="1" applyBorder="1" applyAlignment="1" applyProtection="1">
      <alignment horizontal="center"/>
    </xf>
    <xf numFmtId="0" fontId="1" fillId="7" borderId="11" xfId="0" applyFont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2" fontId="0" fillId="0" borderId="10" xfId="0" applyNumberFormat="1" applyBorder="1" applyAlignment="1" applyProtection="1">
      <alignment horizontal="center"/>
    </xf>
    <xf numFmtId="2" fontId="0" fillId="0" borderId="12" xfId="0" applyNumberFormat="1" applyBorder="1" applyAlignment="1" applyProtection="1">
      <alignment horizontal="center"/>
    </xf>
    <xf numFmtId="2" fontId="0" fillId="0" borderId="4" xfId="0" applyNumberFormat="1" applyBorder="1" applyAlignment="1" applyProtection="1">
      <alignment horizontal="center"/>
    </xf>
    <xf numFmtId="2" fontId="0" fillId="0" borderId="5" xfId="0" applyNumberFormat="1" applyBorder="1" applyAlignment="1" applyProtection="1">
      <alignment horizontal="center"/>
    </xf>
    <xf numFmtId="2" fontId="0" fillId="0" borderId="6" xfId="0" applyNumberFormat="1" applyBorder="1" applyAlignment="1" applyProtection="1">
      <alignment horizontal="center"/>
    </xf>
    <xf numFmtId="2" fontId="0" fillId="0" borderId="7" xfId="0" applyNumberFormat="1" applyBorder="1" applyAlignment="1" applyProtection="1">
      <alignment horizontal="center"/>
    </xf>
    <xf numFmtId="14" fontId="1" fillId="4" borderId="11" xfId="0" applyNumberFormat="1" applyFont="1" applyFill="1" applyBorder="1" applyProtection="1"/>
    <xf numFmtId="0" fontId="1" fillId="4" borderId="9" xfId="0" applyFont="1" applyFill="1" applyBorder="1" applyProtection="1"/>
    <xf numFmtId="0" fontId="1" fillId="6" borderId="11" xfId="0" applyFont="1" applyFill="1" applyBorder="1" applyProtection="1"/>
    <xf numFmtId="167" fontId="0" fillId="0" borderId="11" xfId="0" applyNumberFormat="1" applyFill="1" applyBorder="1" applyAlignment="1" applyProtection="1">
      <alignment horizontal="center"/>
    </xf>
    <xf numFmtId="167" fontId="0" fillId="0" borderId="9" xfId="0" applyNumberFormat="1" applyFill="1" applyBorder="1" applyAlignment="1" applyProtection="1">
      <alignment horizontal="center"/>
    </xf>
    <xf numFmtId="164" fontId="0" fillId="0" borderId="11" xfId="0" applyNumberFormat="1" applyFill="1" applyBorder="1" applyAlignment="1" applyProtection="1"/>
    <xf numFmtId="164" fontId="0" fillId="0" borderId="9" xfId="0" applyNumberFormat="1" applyFill="1" applyBorder="1" applyAlignment="1" applyProtection="1"/>
    <xf numFmtId="0" fontId="0" fillId="0" borderId="11" xfId="0" applyNumberFormat="1" applyFill="1" applyBorder="1" applyAlignment="1" applyProtection="1">
      <alignment horizontal="center"/>
    </xf>
    <xf numFmtId="0" fontId="0" fillId="0" borderId="9" xfId="0" applyNumberFormat="1" applyFill="1" applyBorder="1" applyAlignment="1" applyProtection="1">
      <alignment horizontal="center"/>
    </xf>
    <xf numFmtId="2" fontId="2" fillId="5" borderId="1" xfId="0" applyNumberFormat="1" applyFont="1" applyFill="1" applyBorder="1" applyAlignment="1" applyProtection="1">
      <alignment horizontal="center"/>
    </xf>
    <xf numFmtId="2" fontId="0" fillId="0" borderId="11" xfId="0" applyNumberFormat="1" applyFill="1" applyBorder="1" applyAlignment="1" applyProtection="1">
      <alignment horizontal="center"/>
    </xf>
    <xf numFmtId="2" fontId="0" fillId="0" borderId="9" xfId="0" applyNumberFormat="1" applyFill="1" applyBorder="1" applyAlignment="1" applyProtection="1">
      <alignment horizontal="center"/>
    </xf>
    <xf numFmtId="0" fontId="0" fillId="8" borderId="11" xfId="0" applyNumberFormat="1" applyFill="1" applyBorder="1" applyAlignment="1" applyProtection="1">
      <alignment horizontal="center"/>
    </xf>
    <xf numFmtId="0" fontId="0" fillId="8" borderId="9" xfId="0" applyNumberFormat="1" applyFill="1" applyBorder="1" applyAlignment="1" applyProtection="1">
      <alignment horizontal="center"/>
    </xf>
    <xf numFmtId="167" fontId="0" fillId="0" borderId="13" xfId="0" applyNumberFormat="1" applyFill="1" applyBorder="1" applyAlignment="1" applyProtection="1">
      <alignment horizontal="center"/>
    </xf>
    <xf numFmtId="0" fontId="0" fillId="0" borderId="13" xfId="0" applyNumberFormat="1" applyFill="1" applyBorder="1" applyAlignment="1" applyProtection="1">
      <alignment horizontal="center"/>
    </xf>
    <xf numFmtId="164" fontId="0" fillId="0" borderId="13" xfId="0" applyNumberFormat="1" applyFill="1" applyBorder="1" applyAlignment="1" applyProtection="1"/>
    <xf numFmtId="2" fontId="0" fillId="0" borderId="13" xfId="0" applyNumberFormat="1" applyFill="1" applyBorder="1" applyAlignment="1" applyProtection="1">
      <alignment horizontal="center"/>
    </xf>
    <xf numFmtId="0" fontId="0" fillId="8" borderId="13" xfId="0" applyNumberFormat="1" applyFill="1" applyBorder="1" applyAlignment="1" applyProtection="1">
      <alignment horizontal="center"/>
    </xf>
    <xf numFmtId="164" fontId="2" fillId="5" borderId="14" xfId="0" applyNumberFormat="1" applyFont="1" applyFill="1" applyBorder="1" applyAlignment="1" applyProtection="1">
      <alignment horizontal="center"/>
    </xf>
    <xf numFmtId="167" fontId="0" fillId="0" borderId="14" xfId="0" applyNumberFormat="1" applyFill="1" applyBorder="1" applyAlignment="1" applyProtection="1">
      <alignment horizontal="center"/>
    </xf>
    <xf numFmtId="0" fontId="0" fillId="7" borderId="11" xfId="0" applyFill="1" applyBorder="1" applyAlignment="1" applyProtection="1">
      <alignment horizontal="center"/>
      <protection locked="0"/>
    </xf>
    <xf numFmtId="0" fontId="1" fillId="7" borderId="16" xfId="0" applyNumberFormat="1" applyFont="1" applyFill="1" applyBorder="1" applyAlignment="1" applyProtection="1">
      <alignment horizontal="center"/>
      <protection locked="0"/>
    </xf>
    <xf numFmtId="9" fontId="0" fillId="7" borderId="11" xfId="0" applyNumberFormat="1" applyFill="1" applyBorder="1" applyAlignment="1" applyProtection="1">
      <alignment horizontal="center"/>
      <protection locked="0"/>
    </xf>
    <xf numFmtId="0" fontId="0" fillId="10" borderId="13" xfId="0" applyFill="1" applyBorder="1" applyProtection="1">
      <protection locked="0"/>
    </xf>
    <xf numFmtId="0" fontId="0" fillId="10" borderId="11" xfId="0" applyFill="1" applyBorder="1" applyProtection="1">
      <protection locked="0"/>
    </xf>
    <xf numFmtId="0" fontId="0" fillId="10" borderId="9" xfId="0" applyFill="1" applyBorder="1" applyProtection="1">
      <protection locked="0"/>
    </xf>
    <xf numFmtId="0" fontId="0" fillId="15" borderId="15" xfId="0" applyFill="1" applyBorder="1" applyProtection="1">
      <protection locked="0"/>
    </xf>
    <xf numFmtId="169" fontId="0" fillId="0" borderId="16" xfId="0" applyNumberFormat="1" applyFill="1" applyBorder="1" applyAlignment="1" applyProtection="1">
      <alignment horizontal="center"/>
    </xf>
    <xf numFmtId="169" fontId="0" fillId="0" borderId="11" xfId="0" applyNumberFormat="1" applyFill="1" applyBorder="1" applyAlignment="1" applyProtection="1">
      <alignment horizontal="center"/>
    </xf>
    <xf numFmtId="169" fontId="0" fillId="0" borderId="9" xfId="0" applyNumberFormat="1" applyFill="1" applyBorder="1" applyAlignment="1" applyProtection="1">
      <alignment horizontal="center"/>
    </xf>
    <xf numFmtId="0" fontId="8" fillId="10" borderId="0" xfId="0" applyNumberFormat="1" applyFont="1" applyFill="1" applyProtection="1"/>
    <xf numFmtId="15" fontId="1" fillId="8" borderId="11" xfId="0" applyNumberFormat="1" applyFont="1" applyFill="1" applyBorder="1" applyAlignment="1" applyProtection="1">
      <alignment horizontal="center"/>
    </xf>
    <xf numFmtId="0" fontId="1" fillId="8" borderId="11" xfId="0" applyFont="1" applyFill="1" applyBorder="1" applyAlignment="1" applyProtection="1">
      <alignment horizontal="center"/>
    </xf>
    <xf numFmtId="0" fontId="1" fillId="8" borderId="9" xfId="0" applyFont="1" applyFill="1" applyBorder="1" applyAlignment="1" applyProtection="1">
      <alignment horizontal="center"/>
    </xf>
    <xf numFmtId="0" fontId="0" fillId="0" borderId="2" xfId="0" applyBorder="1" applyAlignment="1" applyProtection="1">
      <alignment horizontal="center"/>
    </xf>
    <xf numFmtId="0" fontId="0" fillId="0" borderId="3" xfId="0" applyBorder="1" applyAlignment="1" applyProtection="1">
      <alignment horizontal="center"/>
    </xf>
    <xf numFmtId="0" fontId="0" fillId="0" borderId="19" xfId="0" applyBorder="1" applyProtection="1"/>
    <xf numFmtId="4" fontId="0" fillId="0" borderId="19" xfId="0" applyNumberFormat="1" applyBorder="1" applyProtection="1"/>
    <xf numFmtId="4" fontId="0" fillId="13" borderId="19" xfId="0" applyNumberFormat="1" applyFill="1" applyBorder="1" applyProtection="1"/>
    <xf numFmtId="166" fontId="0" fillId="0" borderId="19" xfId="0" applyNumberFormat="1" applyBorder="1" applyProtection="1"/>
    <xf numFmtId="0" fontId="0" fillId="0" borderId="4" xfId="0" applyBorder="1" applyAlignment="1" applyProtection="1">
      <alignment horizontal="center"/>
    </xf>
    <xf numFmtId="0" fontId="0" fillId="0" borderId="5" xfId="0" applyBorder="1" applyAlignment="1" applyProtection="1">
      <alignment horizontal="center"/>
    </xf>
    <xf numFmtId="4" fontId="0" fillId="0" borderId="0" xfId="0" applyNumberFormat="1" applyBorder="1" applyProtection="1"/>
    <xf numFmtId="4" fontId="0" fillId="13" borderId="0" xfId="0" applyNumberFormat="1" applyFill="1" applyBorder="1" applyProtection="1"/>
    <xf numFmtId="166" fontId="0" fillId="0" borderId="0" xfId="0" applyNumberFormat="1" applyBorder="1" applyProtection="1"/>
    <xf numFmtId="0" fontId="0" fillId="0" borderId="6" xfId="0" applyBorder="1" applyAlignment="1" applyProtection="1">
      <alignment horizontal="center"/>
    </xf>
    <xf numFmtId="0" fontId="0" fillId="0" borderId="7" xfId="0" applyBorder="1" applyAlignment="1" applyProtection="1">
      <alignment horizontal="center"/>
    </xf>
    <xf numFmtId="0" fontId="0" fillId="0" borderId="3" xfId="0" applyNumberFormat="1" applyBorder="1" applyProtection="1"/>
    <xf numFmtId="0" fontId="0" fillId="0" borderId="5" xfId="0" applyNumberFormat="1" applyBorder="1" applyProtection="1"/>
    <xf numFmtId="0" fontId="0" fillId="0" borderId="7" xfId="0" applyNumberFormat="1" applyBorder="1" applyProtection="1"/>
    <xf numFmtId="0" fontId="0" fillId="14" borderId="6" xfId="0" applyFill="1" applyBorder="1" applyProtection="1"/>
    <xf numFmtId="0" fontId="0" fillId="0" borderId="20" xfId="0" applyBorder="1" applyProtection="1"/>
    <xf numFmtId="0" fontId="0" fillId="14" borderId="15" xfId="0" applyFill="1" applyBorder="1" applyProtection="1">
      <protection locked="0"/>
    </xf>
    <xf numFmtId="170" fontId="0" fillId="0" borderId="9" xfId="0" applyNumberFormat="1" applyBorder="1"/>
    <xf numFmtId="171" fontId="0" fillId="0" borderId="9" xfId="0" applyNumberFormat="1" applyBorder="1"/>
    <xf numFmtId="170" fontId="0" fillId="0" borderId="11" xfId="0" applyNumberFormat="1" applyBorder="1"/>
    <xf numFmtId="171" fontId="0" fillId="0" borderId="11" xfId="0" applyNumberFormat="1" applyBorder="1"/>
    <xf numFmtId="0" fontId="11" fillId="0" borderId="9" xfId="0" applyFont="1" applyBorder="1" applyAlignment="1">
      <alignment horizontal="right"/>
    </xf>
    <xf numFmtId="0" fontId="11" fillId="0" borderId="11" xfId="0" applyFont="1" applyBorder="1" applyAlignment="1">
      <alignment horizontal="right"/>
    </xf>
    <xf numFmtId="0" fontId="11" fillId="0" borderId="16" xfId="0" applyFont="1" applyBorder="1" applyAlignment="1">
      <alignment horizontal="right"/>
    </xf>
    <xf numFmtId="170" fontId="0" fillId="0" borderId="16" xfId="0" applyNumberFormat="1" applyBorder="1"/>
    <xf numFmtId="171" fontId="0" fillId="0" borderId="16" xfId="0" applyNumberFormat="1" applyBorder="1"/>
    <xf numFmtId="0" fontId="11" fillId="0" borderId="15" xfId="0" applyFont="1" applyBorder="1" applyAlignment="1">
      <alignment horizontal="center"/>
    </xf>
    <xf numFmtId="0" fontId="0" fillId="16" borderId="16" xfId="0" applyFill="1" applyBorder="1" applyAlignment="1">
      <alignment horizontal="center"/>
    </xf>
    <xf numFmtId="0" fontId="0" fillId="16" borderId="11" xfId="0" applyFill="1" applyBorder="1" applyAlignment="1">
      <alignment horizontal="center"/>
    </xf>
    <xf numFmtId="0" fontId="0" fillId="16" borderId="9" xfId="0" applyFill="1" applyBorder="1" applyAlignment="1">
      <alignment horizontal="center"/>
    </xf>
    <xf numFmtId="172" fontId="0" fillId="0" borderId="13" xfId="0" applyNumberFormat="1" applyFill="1" applyBorder="1" applyAlignment="1" applyProtection="1"/>
    <xf numFmtId="172" fontId="0" fillId="0" borderId="11" xfId="0" applyNumberFormat="1" applyFill="1" applyBorder="1" applyAlignment="1" applyProtection="1"/>
    <xf numFmtId="172" fontId="0" fillId="0" borderId="9" xfId="0" applyNumberFormat="1" applyFill="1" applyBorder="1" applyAlignment="1" applyProtection="1"/>
    <xf numFmtId="172" fontId="0" fillId="2" borderId="13" xfId="0" applyNumberFormat="1" applyFill="1" applyBorder="1" applyAlignment="1" applyProtection="1">
      <alignment horizontal="center"/>
    </xf>
    <xf numFmtId="172" fontId="0" fillId="0" borderId="13" xfId="0" applyNumberFormat="1" applyFill="1" applyBorder="1" applyAlignment="1" applyProtection="1">
      <alignment horizontal="center"/>
      <protection locked="0"/>
    </xf>
    <xf numFmtId="172" fontId="0" fillId="3" borderId="13" xfId="0" applyNumberFormat="1" applyFill="1" applyBorder="1" applyAlignment="1" applyProtection="1">
      <alignment horizontal="center"/>
      <protection locked="0"/>
    </xf>
    <xf numFmtId="172" fontId="0" fillId="0" borderId="13" xfId="0" applyNumberFormat="1" applyFill="1" applyBorder="1" applyAlignment="1" applyProtection="1">
      <alignment horizontal="center"/>
    </xf>
    <xf numFmtId="172" fontId="0" fillId="2" borderId="11" xfId="0" applyNumberFormat="1" applyFill="1" applyBorder="1" applyAlignment="1" applyProtection="1">
      <alignment horizontal="center"/>
    </xf>
    <xf numFmtId="172" fontId="0" fillId="0" borderId="11" xfId="0" applyNumberFormat="1" applyFill="1" applyBorder="1" applyAlignment="1" applyProtection="1">
      <alignment horizontal="center"/>
      <protection locked="0"/>
    </xf>
    <xf numFmtId="172" fontId="0" fillId="3" borderId="11" xfId="0" applyNumberFormat="1" applyFill="1" applyBorder="1" applyAlignment="1" applyProtection="1">
      <alignment horizontal="center"/>
      <protection locked="0"/>
    </xf>
    <xf numFmtId="172" fontId="0" fillId="0" borderId="11" xfId="0" applyNumberFormat="1" applyFill="1" applyBorder="1" applyAlignment="1" applyProtection="1">
      <alignment horizontal="center"/>
    </xf>
    <xf numFmtId="172" fontId="0" fillId="2" borderId="9" xfId="0" applyNumberFormat="1" applyFill="1" applyBorder="1" applyAlignment="1" applyProtection="1">
      <alignment horizontal="center"/>
    </xf>
    <xf numFmtId="172" fontId="0" fillId="0" borderId="9" xfId="0" applyNumberFormat="1" applyFill="1" applyBorder="1" applyAlignment="1" applyProtection="1">
      <alignment horizontal="center"/>
      <protection locked="0"/>
    </xf>
    <xf numFmtId="172" fontId="7" fillId="3" borderId="9" xfId="0" applyNumberFormat="1" applyFont="1" applyFill="1" applyBorder="1" applyAlignment="1" applyProtection="1">
      <alignment horizontal="center"/>
      <protection locked="0"/>
    </xf>
    <xf numFmtId="172" fontId="0" fillId="0" borderId="9" xfId="0" applyNumberFormat="1" applyFill="1" applyBorder="1" applyAlignment="1" applyProtection="1">
      <alignment horizontal="center"/>
    </xf>
    <xf numFmtId="14" fontId="0" fillId="0" borderId="0" xfId="0" applyNumberFormat="1" applyProtection="1"/>
    <xf numFmtId="0" fontId="0" fillId="0" borderId="0" xfId="0" applyAlignment="1" applyProtection="1">
      <alignment horizontal="center"/>
    </xf>
    <xf numFmtId="14" fontId="0" fillId="0" borderId="0" xfId="0" applyNumberFormat="1" applyAlignment="1" applyProtection="1">
      <alignment horizontal="center"/>
    </xf>
    <xf numFmtId="0" fontId="11" fillId="0" borderId="15" xfId="0" applyFont="1" applyBorder="1" applyAlignment="1">
      <alignment horizontal="right"/>
    </xf>
    <xf numFmtId="0" fontId="13" fillId="0" borderId="15" xfId="0" applyFont="1" applyBorder="1" applyProtection="1"/>
    <xf numFmtId="0" fontId="13" fillId="0" borderId="15" xfId="0" applyFont="1" applyBorder="1" applyAlignment="1" applyProtection="1">
      <alignment horizontal="center"/>
    </xf>
    <xf numFmtId="14" fontId="5" fillId="4" borderId="16" xfId="0" applyNumberFormat="1" applyFont="1" applyFill="1" applyBorder="1" applyProtection="1"/>
    <xf numFmtId="168" fontId="5" fillId="8" borderId="16" xfId="0" applyNumberFormat="1" applyFont="1" applyFill="1" applyBorder="1" applyAlignment="1" applyProtection="1">
      <alignment horizontal="center"/>
    </xf>
    <xf numFmtId="9" fontId="0" fillId="7" borderId="9" xfId="0" applyNumberFormat="1" applyFill="1" applyBorder="1" applyAlignment="1" applyProtection="1">
      <alignment horizontal="center"/>
      <protection locked="0"/>
    </xf>
    <xf numFmtId="0" fontId="1" fillId="9" borderId="4" xfId="0" applyFont="1" applyFill="1" applyBorder="1" applyProtection="1"/>
    <xf numFmtId="0" fontId="1" fillId="9" borderId="2" xfId="0" applyFont="1" applyFill="1" applyBorder="1" applyProtection="1"/>
    <xf numFmtId="0" fontId="1" fillId="9" borderId="6" xfId="0" applyFont="1" applyFill="1" applyBorder="1" applyProtection="1"/>
    <xf numFmtId="0" fontId="0" fillId="0" borderId="19" xfId="0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14" fontId="0" fillId="0" borderId="0" xfId="0" applyNumberFormat="1" applyBorder="1" applyAlignment="1" applyProtection="1">
      <alignment horizontal="center"/>
    </xf>
    <xf numFmtId="11" fontId="12" fillId="0" borderId="5" xfId="0" applyNumberFormat="1" applyFont="1" applyBorder="1" applyAlignment="1" applyProtection="1">
      <alignment horizontal="center"/>
    </xf>
    <xf numFmtId="11" fontId="12" fillId="0" borderId="0" xfId="0" applyNumberFormat="1" applyFont="1" applyBorder="1" applyAlignment="1" applyProtection="1">
      <alignment horizontal="center"/>
    </xf>
    <xf numFmtId="14" fontId="0" fillId="0" borderId="19" xfId="0" applyNumberFormat="1" applyBorder="1" applyAlignment="1" applyProtection="1">
      <alignment horizontal="center"/>
    </xf>
    <xf numFmtId="11" fontId="12" fillId="0" borderId="19" xfId="0" applyNumberFormat="1" applyFont="1" applyBorder="1" applyAlignment="1" applyProtection="1">
      <alignment horizontal="center"/>
    </xf>
    <xf numFmtId="11" fontId="0" fillId="0" borderId="0" xfId="0" applyNumberFormat="1" applyAlignment="1" applyProtection="1">
      <alignment horizontal="center"/>
    </xf>
    <xf numFmtId="0" fontId="6" fillId="0" borderId="10" xfId="0" applyFont="1" applyBorder="1" applyAlignment="1">
      <alignment horizontal="center"/>
    </xf>
    <xf numFmtId="0" fontId="0" fillId="0" borderId="12" xfId="0" applyBorder="1" applyAlignment="1"/>
    <xf numFmtId="164" fontId="2" fillId="5" borderId="10" xfId="0" applyNumberFormat="1" applyFont="1" applyFill="1" applyBorder="1" applyAlignment="1" applyProtection="1">
      <alignment horizontal="center"/>
    </xf>
    <xf numFmtId="164" fontId="2" fillId="5" borderId="12" xfId="0" applyNumberFormat="1" applyFont="1" applyFill="1" applyBorder="1" applyAlignment="1" applyProtection="1">
      <alignment horizontal="center"/>
    </xf>
    <xf numFmtId="164" fontId="0" fillId="0" borderId="5" xfId="3" applyNumberFormat="1" applyFont="1" applyBorder="1" applyProtection="1"/>
    <xf numFmtId="164" fontId="0" fillId="0" borderId="7" xfId="3" applyNumberFormat="1" applyFont="1" applyBorder="1" applyProtection="1"/>
    <xf numFmtId="0" fontId="11" fillId="0" borderId="2" xfId="0" applyFont="1" applyBorder="1" applyAlignment="1">
      <alignment horizontal="center"/>
    </xf>
    <xf numFmtId="0" fontId="11" fillId="0" borderId="19" xfId="0" applyFont="1" applyBorder="1" applyAlignment="1">
      <alignment horizontal="center"/>
    </xf>
    <xf numFmtId="0" fontId="11" fillId="0" borderId="3" xfId="0" applyFont="1" applyBorder="1" applyAlignment="1">
      <alignment horizontal="center"/>
    </xf>
  </cellXfs>
  <cellStyles count="4">
    <cellStyle name="Input" xfId="1" builtinId="20" customBuiltin="1"/>
    <cellStyle name="Normal" xfId="0" builtinId="0" customBuiltin="1"/>
    <cellStyle name="Output" xfId="2" builtinId="21" customBuiltin="1"/>
    <cellStyle name="Percent" xfId="3" builtinId="5"/>
  </cellStyles>
  <dxfs count="6">
    <dxf>
      <font>
        <b/>
        <i/>
        <color rgb="FFFF0000"/>
      </font>
      <fill>
        <patternFill>
          <bgColor rgb="FFCCFF66"/>
        </patternFill>
      </fill>
    </dxf>
    <dxf>
      <font>
        <b/>
        <i/>
        <color rgb="FFFFFF00"/>
      </font>
      <fill>
        <patternFill>
          <bgColor rgb="FFFF0000"/>
        </patternFill>
      </fill>
      <border>
        <left/>
        <right/>
        <top/>
        <bottom/>
        <vertical/>
        <horizontal/>
      </border>
    </dxf>
    <dxf>
      <font>
        <b val="0"/>
        <i/>
        <color auto="1"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b val="0"/>
        <i val="0"/>
        <color auto="1"/>
      </font>
      <fill>
        <patternFill>
          <bgColor rgb="FFFFFF99"/>
        </patternFill>
      </fill>
    </dxf>
  </dxfs>
  <tableStyles count="0" defaultTableStyle="TableStyleMedium2" defaultPivotStyle="PivotStyleLight16"/>
  <colors>
    <mruColors>
      <color rgb="FFCCCCFF"/>
      <color rgb="FFCC99FF"/>
      <color rgb="FFFF66CC"/>
      <color rgb="FFFF00FF"/>
      <color rgb="FFFF66FF"/>
      <color rgb="FFCCECFF"/>
      <color rgb="FFCCFF66"/>
      <color rgb="FFCCFFCC"/>
      <color rgb="FFCCFF99"/>
      <color rgb="FFCCFF3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"/>
  <dimension ref="B2:H30"/>
  <sheetViews>
    <sheetView workbookViewId="0"/>
  </sheetViews>
  <sheetFormatPr defaultRowHeight="11.25" x14ac:dyDescent="0.2"/>
  <cols>
    <col min="1" max="1" width="3.83203125" customWidth="1"/>
    <col min="2" max="2" width="12.83203125" customWidth="1"/>
    <col min="4" max="4" width="3.83203125" customWidth="1"/>
    <col min="5" max="5" width="15.83203125" customWidth="1"/>
    <col min="6" max="7" width="3.83203125" customWidth="1"/>
    <col min="9" max="9" width="3.83203125" customWidth="1"/>
  </cols>
  <sheetData>
    <row r="2" spans="2:8" x14ac:dyDescent="0.2">
      <c r="B2" s="132" t="s">
        <v>38</v>
      </c>
      <c r="C2" s="133"/>
      <c r="E2" s="19" t="s">
        <v>39</v>
      </c>
      <c r="H2" s="19" t="s">
        <v>16</v>
      </c>
    </row>
    <row r="3" spans="2:8" x14ac:dyDescent="0.2">
      <c r="B3" s="4" t="s">
        <v>30</v>
      </c>
      <c r="C3" s="4">
        <v>0</v>
      </c>
      <c r="E3" s="4" t="s">
        <v>13</v>
      </c>
      <c r="H3" s="4" t="b">
        <v>1</v>
      </c>
    </row>
    <row r="4" spans="2:8" x14ac:dyDescent="0.2">
      <c r="B4" s="5" t="s">
        <v>23</v>
      </c>
      <c r="C4" s="5">
        <v>1</v>
      </c>
      <c r="E4" s="5" t="s">
        <v>24</v>
      </c>
      <c r="H4" s="6" t="b">
        <v>0</v>
      </c>
    </row>
    <row r="5" spans="2:8" x14ac:dyDescent="0.2">
      <c r="B5" s="5" t="s">
        <v>31</v>
      </c>
      <c r="C5" s="5">
        <v>2</v>
      </c>
      <c r="E5" s="5" t="s">
        <v>11</v>
      </c>
    </row>
    <row r="6" spans="2:8" x14ac:dyDescent="0.2">
      <c r="B6" s="20" t="s">
        <v>32</v>
      </c>
      <c r="C6" s="5">
        <v>3</v>
      </c>
      <c r="E6" s="5" t="s">
        <v>25</v>
      </c>
    </row>
    <row r="7" spans="2:8" x14ac:dyDescent="0.2">
      <c r="B7" s="5" t="s">
        <v>33</v>
      </c>
      <c r="C7" s="5">
        <v>4</v>
      </c>
      <c r="E7" s="6" t="s">
        <v>26</v>
      </c>
    </row>
    <row r="8" spans="2:8" x14ac:dyDescent="0.2">
      <c r="B8" s="5" t="s">
        <v>34</v>
      </c>
      <c r="C8" s="5">
        <v>5</v>
      </c>
    </row>
    <row r="9" spans="2:8" x14ac:dyDescent="0.2">
      <c r="B9" s="5" t="s">
        <v>35</v>
      </c>
      <c r="C9" s="5">
        <v>6</v>
      </c>
      <c r="E9" s="19" t="s">
        <v>40</v>
      </c>
    </row>
    <row r="10" spans="2:8" x14ac:dyDescent="0.2">
      <c r="B10" s="5" t="s">
        <v>36</v>
      </c>
      <c r="C10" s="5">
        <v>7</v>
      </c>
      <c r="E10" s="4" t="s">
        <v>14</v>
      </c>
    </row>
    <row r="11" spans="2:8" x14ac:dyDescent="0.2">
      <c r="B11" s="5" t="s">
        <v>22</v>
      </c>
      <c r="C11" s="5">
        <v>8</v>
      </c>
      <c r="E11" s="5" t="s">
        <v>12</v>
      </c>
    </row>
    <row r="12" spans="2:8" x14ac:dyDescent="0.2">
      <c r="B12" s="6" t="s">
        <v>37</v>
      </c>
      <c r="C12" s="6">
        <v>9</v>
      </c>
      <c r="E12" s="6" t="s">
        <v>27</v>
      </c>
    </row>
    <row r="13" spans="2:8" x14ac:dyDescent="0.2">
      <c r="E13" s="23"/>
    </row>
    <row r="14" spans="2:8" x14ac:dyDescent="0.2">
      <c r="B14" s="132" t="s">
        <v>53</v>
      </c>
      <c r="C14" s="133"/>
      <c r="E14" s="19" t="s">
        <v>41</v>
      </c>
    </row>
    <row r="15" spans="2:8" x14ac:dyDescent="0.2">
      <c r="B15" s="4" t="s">
        <v>50</v>
      </c>
      <c r="C15" s="4">
        <v>0</v>
      </c>
      <c r="E15" s="4" t="s">
        <v>10</v>
      </c>
    </row>
    <row r="16" spans="2:8" x14ac:dyDescent="0.2">
      <c r="B16" s="5" t="s">
        <v>51</v>
      </c>
      <c r="C16" s="5">
        <v>1</v>
      </c>
      <c r="E16" s="5" t="s">
        <v>28</v>
      </c>
    </row>
    <row r="17" spans="2:5" x14ac:dyDescent="0.2">
      <c r="B17" s="5" t="s">
        <v>20</v>
      </c>
      <c r="C17" s="5">
        <v>2</v>
      </c>
      <c r="E17" s="6" t="s">
        <v>29</v>
      </c>
    </row>
    <row r="18" spans="2:5" x14ac:dyDescent="0.2">
      <c r="B18" s="6" t="s">
        <v>52</v>
      </c>
      <c r="C18" s="6">
        <v>3</v>
      </c>
      <c r="E18" s="23"/>
    </row>
    <row r="19" spans="2:5" x14ac:dyDescent="0.2">
      <c r="E19" s="19" t="s">
        <v>45</v>
      </c>
    </row>
    <row r="20" spans="2:5" x14ac:dyDescent="0.2">
      <c r="B20" s="132" t="s">
        <v>56</v>
      </c>
      <c r="C20" s="133"/>
      <c r="E20" s="4" t="s">
        <v>43</v>
      </c>
    </row>
    <row r="21" spans="2:5" x14ac:dyDescent="0.2">
      <c r="B21" s="4" t="s">
        <v>21</v>
      </c>
      <c r="C21" s="4">
        <v>0</v>
      </c>
      <c r="E21" s="5" t="s">
        <v>44</v>
      </c>
    </row>
    <row r="22" spans="2:5" x14ac:dyDescent="0.2">
      <c r="B22" s="5" t="s">
        <v>54</v>
      </c>
      <c r="C22" s="5">
        <v>1</v>
      </c>
      <c r="E22" s="6" t="s">
        <v>9</v>
      </c>
    </row>
    <row r="23" spans="2:5" x14ac:dyDescent="0.2">
      <c r="B23" s="6" t="s">
        <v>55</v>
      </c>
      <c r="C23" s="6">
        <v>2</v>
      </c>
    </row>
    <row r="24" spans="2:5" x14ac:dyDescent="0.2">
      <c r="E24" s="19" t="s">
        <v>48</v>
      </c>
    </row>
    <row r="25" spans="2:5" x14ac:dyDescent="0.2">
      <c r="B25" s="132" t="s">
        <v>57</v>
      </c>
      <c r="C25" s="133"/>
      <c r="E25" s="4" t="s">
        <v>7</v>
      </c>
    </row>
    <row r="26" spans="2:5" x14ac:dyDescent="0.2">
      <c r="B26" s="4" t="s">
        <v>19</v>
      </c>
      <c r="C26" s="4">
        <v>0</v>
      </c>
      <c r="E26" s="6" t="s">
        <v>46</v>
      </c>
    </row>
    <row r="27" spans="2:5" x14ac:dyDescent="0.2">
      <c r="B27" s="6" t="s">
        <v>42</v>
      </c>
      <c r="C27" s="6">
        <v>1</v>
      </c>
    </row>
    <row r="28" spans="2:5" x14ac:dyDescent="0.2">
      <c r="E28" s="19" t="s">
        <v>49</v>
      </c>
    </row>
    <row r="29" spans="2:5" x14ac:dyDescent="0.2">
      <c r="E29" s="4" t="s">
        <v>8</v>
      </c>
    </row>
    <row r="30" spans="2:5" x14ac:dyDescent="0.2">
      <c r="E30" s="6" t="s">
        <v>47</v>
      </c>
    </row>
  </sheetData>
  <mergeCells count="4">
    <mergeCell ref="B20:C20"/>
    <mergeCell ref="B25:C25"/>
    <mergeCell ref="B2:C2"/>
    <mergeCell ref="B14:C14"/>
  </mergeCells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Right="0"/>
  </sheetPr>
  <dimension ref="A1:AI4174"/>
  <sheetViews>
    <sheetView showGridLines="0" tabSelected="1" workbookViewId="0"/>
  </sheetViews>
  <sheetFormatPr defaultRowHeight="11.25" outlineLevelCol="1" x14ac:dyDescent="0.2"/>
  <cols>
    <col min="1" max="1" width="3.83203125" style="7" customWidth="1"/>
    <col min="2" max="2" width="23.5" style="7" bestFit="1" customWidth="1"/>
    <col min="3" max="3" width="22.5" style="7" bestFit="1" customWidth="1"/>
    <col min="4" max="4" width="2.83203125" style="7" customWidth="1"/>
    <col min="5" max="9" width="10.83203125" style="7" customWidth="1"/>
    <col min="10" max="10" width="10.83203125" style="7" customWidth="1" collapsed="1"/>
    <col min="11" max="11" width="12.83203125" style="7" hidden="1" customWidth="1" outlineLevel="1"/>
    <col min="12" max="13" width="14.83203125" style="7" hidden="1" customWidth="1" outlineLevel="1"/>
    <col min="14" max="14" width="9.33203125" style="7" hidden="1" customWidth="1" outlineLevel="1"/>
    <col min="15" max="15" width="13.5" style="7" hidden="1" customWidth="1" outlineLevel="1"/>
    <col min="16" max="16" width="14.83203125" style="7" hidden="1" customWidth="1" outlineLevel="1"/>
    <col min="17" max="17" width="9.33203125" style="7" hidden="1" customWidth="1" outlineLevel="1"/>
    <col min="18" max="18" width="9.33203125" style="7"/>
    <col min="19" max="19" width="55.83203125" style="7" customWidth="1"/>
    <col min="20" max="20" width="2.83203125" style="7" customWidth="1"/>
    <col min="21" max="21" width="9.33203125" style="7"/>
    <col min="22" max="22" width="12.6640625" style="7" customWidth="1"/>
    <col min="23" max="23" width="3.33203125" style="7" customWidth="1"/>
    <col min="24" max="24" width="12.33203125" style="7" bestFit="1" customWidth="1"/>
    <col min="25" max="26" width="9.5" style="7" customWidth="1"/>
    <col min="27" max="27" width="2.83203125" style="7" customWidth="1"/>
    <col min="28" max="28" width="4" style="7" bestFit="1" customWidth="1"/>
    <col min="29" max="29" width="10.1640625" style="7" bestFit="1" customWidth="1" collapsed="1"/>
    <col min="30" max="30" width="3.33203125" style="7" hidden="1" customWidth="1" outlineLevel="1"/>
    <col min="31" max="31" width="10.1640625" style="113" hidden="1" customWidth="1" outlineLevel="1"/>
    <col min="32" max="32" width="12.1640625" style="113" hidden="1" customWidth="1" outlineLevel="1"/>
    <col min="33" max="34" width="12.83203125" style="113" hidden="1" customWidth="1" outlineLevel="1"/>
    <col min="35" max="35" width="12.1640625" style="7" bestFit="1" customWidth="1"/>
    <col min="36" max="36" width="8.1640625" style="7" bestFit="1" customWidth="1"/>
    <col min="37" max="16384" width="9.33203125" style="7"/>
  </cols>
  <sheetData>
    <row r="1" spans="1:35" x14ac:dyDescent="0.2">
      <c r="A1" s="57"/>
      <c r="B1" s="7" t="b">
        <f>_xll.qlSettingsSetEvaluationDate(EvaluationDate,ManualTrigger)</f>
        <v>1</v>
      </c>
      <c r="C1" s="7" t="b">
        <f>_xll.pdgSettingsSetEvaluationDate(C3,ManualTrigger)</f>
        <v>1</v>
      </c>
      <c r="E1" s="18"/>
      <c r="F1" s="8"/>
      <c r="R1" s="61" t="b">
        <f>NOT(ISERROR(SUM(R3:R17)))</f>
        <v>1</v>
      </c>
      <c r="S1" s="83" t="b">
        <v>0</v>
      </c>
    </row>
    <row r="2" spans="1:35" ht="12.75" x14ac:dyDescent="0.2">
      <c r="B2" s="134" t="s">
        <v>0</v>
      </c>
      <c r="C2" s="135"/>
      <c r="E2" s="21" t="s">
        <v>17</v>
      </c>
      <c r="G2" s="21" t="s">
        <v>1</v>
      </c>
      <c r="H2" s="21" t="s">
        <v>2</v>
      </c>
      <c r="I2" s="21" t="s">
        <v>3</v>
      </c>
      <c r="J2" s="21" t="s">
        <v>4</v>
      </c>
      <c r="K2" s="21" t="s">
        <v>83</v>
      </c>
      <c r="L2" s="49" t="s">
        <v>68</v>
      </c>
      <c r="M2" s="49" t="s">
        <v>69</v>
      </c>
      <c r="N2" s="21" t="s">
        <v>61</v>
      </c>
      <c r="O2" s="21" t="s">
        <v>63</v>
      </c>
      <c r="P2" s="21" t="s">
        <v>66</v>
      </c>
      <c r="Q2" s="21" t="s">
        <v>64</v>
      </c>
      <c r="R2" s="39" t="s">
        <v>64</v>
      </c>
      <c r="S2" s="21" t="s">
        <v>67</v>
      </c>
      <c r="X2" s="9" t="s">
        <v>84</v>
      </c>
      <c r="Y2" s="10" t="s">
        <v>5</v>
      </c>
      <c r="Z2" s="11" t="s">
        <v>6</v>
      </c>
      <c r="AC2" s="8"/>
      <c r="AE2" s="65" t="s">
        <v>82</v>
      </c>
      <c r="AF2" s="124" t="s">
        <v>96</v>
      </c>
      <c r="AG2" s="124" t="s">
        <v>97</v>
      </c>
      <c r="AH2" s="124" t="s">
        <v>98</v>
      </c>
      <c r="AI2" s="8"/>
    </row>
    <row r="3" spans="1:35" x14ac:dyDescent="0.2">
      <c r="B3" s="118" t="s">
        <v>15</v>
      </c>
      <c r="C3" s="119">
        <v>42734</v>
      </c>
      <c r="E3" s="54" t="b">
        <v>1</v>
      </c>
      <c r="F3" s="48" t="str">
        <f>X3&amp;"M"</f>
        <v>6M</v>
      </c>
      <c r="G3" s="100">
        <f>AVERAGE(Y3:Z3)</f>
        <v>0.18</v>
      </c>
      <c r="H3" s="101"/>
      <c r="I3" s="102"/>
      <c r="J3" s="103">
        <f t="shared" ref="J3:J16" si="0">IF(ISNUMBER(H3),H3,G3)+I3</f>
        <v>0.18</v>
      </c>
      <c r="K3" s="44">
        <f>_xll.qlCalendarAdvance(Calendar,SettlementDate,F3,"Unadjusted",FALSE)</f>
        <v>42919</v>
      </c>
      <c r="L3" s="50" t="str">
        <f>_xll.qlSchedule(,SettlementDate,K3,_xll.qlInterestRateIndexTenor(IborIndex),_xll.qlIndexFixingCalendar(IborIndex),BizDayConv,"Unadjusted")</f>
        <v>obj_0000c#0010</v>
      </c>
      <c r="M3" s="50" t="str">
        <f>_xll.qlIborLeg(,,Notional,L3,,,_xll.qlInterestRateIndexDayCounter(IborIndex),,,IborIndex,J3/(10^4))</f>
        <v>obj_00014#0010</v>
      </c>
      <c r="N3" s="97">
        <f>100-_xll.qlLegNPV(M3,qlDiscCurve,,SettlementDate,,)</f>
        <v>100.15706695751201</v>
      </c>
      <c r="O3" s="44">
        <f>_xll.qlCalendarAdvance(Calendar,K3,"0d",BizDayConv)</f>
        <v>42919</v>
      </c>
      <c r="P3" s="45" t="str">
        <f>_xll.pdgDefaultableLoan(,EvaluationDate,Currency,pdgDiscCurve,EntityName,O3,Notional,Notional*$C$13,,FloatingFlag)</f>
        <v>obj_0002c#0000</v>
      </c>
      <c r="Q3" s="46">
        <f t="array" ref="Q3:Q17">_xll.pdgLoanCalibration3(EvaluationDate,pdgDiscCurve,O3:O17,P3:P17,N3:N17,E3:E17,Currency,Recovery)</f>
        <v>8.7180622388476141E-5</v>
      </c>
      <c r="R3" s="47">
        <f>IF(E3,ROUND(Q3*(10^4),2),NA())</f>
        <v>0.87</v>
      </c>
      <c r="S3" s="45" t="str">
        <f>IF(AND($R$1,$S$1),_xll.RtContribute($V$3,$V$4&amp;F3&amp;$V$5,CHOOSE({1,2},"BID","ASK"),CHOOSE({1,2},R3,R3),"SCOPE:SERVER FTC:ALL"),"--")</f>
        <v>--</v>
      </c>
      <c r="X3" s="17">
        <v>6</v>
      </c>
      <c r="Y3" s="24">
        <v>0.18</v>
      </c>
      <c r="Z3" s="25">
        <v>0.18</v>
      </c>
      <c r="AD3" s="12"/>
      <c r="AE3" s="126">
        <v>42738</v>
      </c>
      <c r="AF3" s="125">
        <f>_xll.qlYieldTSDiscount($C$31,AE3)</f>
        <v>1.000035795902817</v>
      </c>
      <c r="AG3" s="125">
        <f>_xll.xlShmInterpDisc(CurveName&amp;T($C$26),AE3)</f>
        <v>1.000035795902817</v>
      </c>
      <c r="AH3" s="127">
        <f>(AF3-AG3)</f>
        <v>0</v>
      </c>
    </row>
    <row r="4" spans="1:35" x14ac:dyDescent="0.2">
      <c r="B4" s="30" t="s">
        <v>58</v>
      </c>
      <c r="C4" s="62" t="s">
        <v>95</v>
      </c>
      <c r="E4" s="55" t="b">
        <v>1</v>
      </c>
      <c r="F4" s="42" t="str">
        <f>X4&amp;"Y"</f>
        <v>1Y</v>
      </c>
      <c r="G4" s="104">
        <f t="shared" ref="G4:G17" si="1">AVERAGE(Y4:Z4)</f>
        <v>0.36</v>
      </c>
      <c r="H4" s="105"/>
      <c r="I4" s="106"/>
      <c r="J4" s="107">
        <f t="shared" si="0"/>
        <v>0.36</v>
      </c>
      <c r="K4" s="33">
        <f>_xll.qlCalendarAdvance(Calendar,SettlementDate,F4,"Unadjusted",FALSE)</f>
        <v>43103</v>
      </c>
      <c r="L4" s="33" t="str">
        <f>_xll.qlSchedule(,SettlementDate,K4,_xll.qlInterestRateIndexTenor(IborIndex),_xll.qlIndexFixingCalendar(IborIndex),BizDayConv,"Unadjusted")</f>
        <v>obj_0000a#0010</v>
      </c>
      <c r="M4" s="33" t="str">
        <f>_xll.qlIborLeg(,,Notional,L4,,,_xll.qlInterestRateIndexDayCounter(IborIndex),,,IborIndex,J4/(10^4))</f>
        <v>obj_0000d#0010</v>
      </c>
      <c r="N4" s="98">
        <f>100-_xll.qlLegNPV(M4,qlDiscCurve,,SettlementDate,,)</f>
        <v>100.29883325174067</v>
      </c>
      <c r="O4" s="33">
        <f>_xll.qlCalendarAdvance(Calendar,K4,"0d",BizDayConv)</f>
        <v>43103</v>
      </c>
      <c r="P4" s="37" t="str">
        <f>_xll.pdgDefaultableLoan(,EvaluationDate,Currency,pdgDiscCurve,EntityName,O4,Notional,Notional*$C$13,,FloatingFlag)</f>
        <v>obj_0002e#0000</v>
      </c>
      <c r="Q4" s="35">
        <v>7.0241831555559498E-5</v>
      </c>
      <c r="R4" s="40">
        <f t="shared" ref="R4:R17" si="2">IF(E4,ROUND(Q4*(10^4),2),R3)</f>
        <v>0.7</v>
      </c>
      <c r="S4" s="37" t="str">
        <f>IF(AND($R$1,$S$1),_xll.RtContribute($V$3,$V$4&amp;F4&amp;$V$6,CHOOSE({1,2},"BID","ASK"),CHOOSE({1,2},R4,R4),"SCOPE:SERVER FTC:ALL"),"--")</f>
        <v>--</v>
      </c>
      <c r="X4" s="15">
        <v>1</v>
      </c>
      <c r="Y4" s="26">
        <v>0.36</v>
      </c>
      <c r="Z4" s="27">
        <v>0.36</v>
      </c>
      <c r="AD4" s="13" t="s">
        <v>94</v>
      </c>
      <c r="AE4" s="126">
        <f>_xll.qlCalendarAdvance(Calendar,AE3,AD4,BizDayConv)</f>
        <v>42739</v>
      </c>
      <c r="AF4" s="125">
        <f>_xll.qlYieldTSDiscount($C$31,AE4)</f>
        <v>1.00004474507873</v>
      </c>
      <c r="AG4" s="125">
        <f>_xll.xlShmInterpDisc(CurveName&amp;T($C$26),AE4)</f>
        <v>1.00004474507873</v>
      </c>
      <c r="AH4" s="127">
        <f t="shared" ref="AH4:AH67" si="3">(AF4-AG4)</f>
        <v>0</v>
      </c>
    </row>
    <row r="5" spans="1:35" x14ac:dyDescent="0.2">
      <c r="B5" s="3" t="s">
        <v>59</v>
      </c>
      <c r="C5" s="63">
        <v>2</v>
      </c>
      <c r="E5" s="55" t="b">
        <v>1</v>
      </c>
      <c r="F5" s="42" t="str">
        <f t="shared" ref="F5:F17" si="4">X5&amp;"Y"</f>
        <v>2Y</v>
      </c>
      <c r="G5" s="104">
        <f t="shared" si="1"/>
        <v>0.77</v>
      </c>
      <c r="H5" s="105"/>
      <c r="I5" s="106"/>
      <c r="J5" s="107">
        <f t="shared" si="0"/>
        <v>0.77</v>
      </c>
      <c r="K5" s="33">
        <f>_xll.qlCalendarAdvance(Calendar,SettlementDate,F5,"Unadjusted",FALSE)</f>
        <v>43468</v>
      </c>
      <c r="L5" s="33" t="str">
        <f>_xll.qlSchedule(,SettlementDate,K5,_xll.qlInterestRateIndexTenor(IborIndex),_xll.qlIndexFixingCalendar(IborIndex),BizDayConv,"Unadjusted")</f>
        <v>obj_00005#0010</v>
      </c>
      <c r="M5" s="33" t="str">
        <f>_xll.qlIborLeg(,,Notional,L5,,,_xll.qlInterestRateIndexDayCounter(IborIndex),,,IborIndex,J5/(10^4))</f>
        <v>obj_0000f#0010</v>
      </c>
      <c r="N5" s="98">
        <f>100-_xll.qlLegNPV(M5,qlDiscCurve,,SettlementDate,,)</f>
        <v>100.5248437065472</v>
      </c>
      <c r="O5" s="33">
        <f>_xll.qlCalendarAdvance(Calendar,K5,"0d",BizDayConv)</f>
        <v>43468</v>
      </c>
      <c r="P5" s="37" t="str">
        <f>_xll.pdgDefaultableLoan(,EvaluationDate,Currency,pdgDiscCurve,EntityName,O5,Notional,Notional*$C$13,,FloatingFlag)</f>
        <v>obj_00026#0000</v>
      </c>
      <c r="Q5" s="35">
        <v>9.3866059695929649E-5</v>
      </c>
      <c r="R5" s="40">
        <f t="shared" si="2"/>
        <v>0.94</v>
      </c>
      <c r="S5" s="37" t="str">
        <f>IF(AND($R$1,$S$1),_xll.RtContribute($V$3,$V$4&amp;F5&amp;$V$6,CHOOSE({1,2},"BID","ASK"),CHOOSE({1,2},R5,R5),"SCOPE:SERVER FTC:ALL"),"--")</f>
        <v>--</v>
      </c>
      <c r="X5" s="15">
        <v>2</v>
      </c>
      <c r="Y5" s="26">
        <v>0.77</v>
      </c>
      <c r="Z5" s="27">
        <v>0.77</v>
      </c>
      <c r="AD5" s="13" t="s">
        <v>94</v>
      </c>
      <c r="AE5" s="126">
        <f>_xll.qlCalendarAdvance(Calendar,AE4,AD5,BizDayConv)</f>
        <v>42740</v>
      </c>
      <c r="AF5" s="125">
        <f>_xll.qlYieldTSDiscount($C$31,AE5)</f>
        <v>1.0000536943347325</v>
      </c>
      <c r="AG5" s="125">
        <f>_xll.xlShmInterpDisc(CurveName&amp;T($C$26),AE5)</f>
        <v>1.0000536943347325</v>
      </c>
      <c r="AH5" s="127">
        <f t="shared" si="3"/>
        <v>0</v>
      </c>
    </row>
    <row r="6" spans="1:35" x14ac:dyDescent="0.2">
      <c r="B6" s="31" t="s">
        <v>60</v>
      </c>
      <c r="C6" s="2">
        <f>_xll.qlCalendarAdvance(Calendar,EvaluationDate,SettlementDays&amp;"d",,,ManualTrigger)</f>
        <v>42738</v>
      </c>
      <c r="E6" s="55" t="b">
        <v>1</v>
      </c>
      <c r="F6" s="42" t="str">
        <f t="shared" si="4"/>
        <v>3Y</v>
      </c>
      <c r="G6" s="104">
        <f t="shared" si="1"/>
        <v>0.9</v>
      </c>
      <c r="H6" s="105"/>
      <c r="I6" s="106"/>
      <c r="J6" s="107">
        <f t="shared" si="0"/>
        <v>0.9</v>
      </c>
      <c r="K6" s="33">
        <f>_xll.qlCalendarAdvance(Calendar,SettlementDate,F6,"Unadjusted",FALSE)</f>
        <v>43833</v>
      </c>
      <c r="L6" s="33" t="str">
        <f>_xll.qlSchedule(,SettlementDate,K6,_xll.qlInterestRateIndexTenor(IborIndex),_xll.qlIndexFixingCalendar(IborIndex),BizDayConv,"Unadjusted")</f>
        <v>obj_00002#0010</v>
      </c>
      <c r="M6" s="33" t="str">
        <f>_xll.qlIborLeg(,,Notional,L6,,,_xll.qlInterestRateIndexDayCounter(IborIndex),,,IborIndex,J6/(10^4))</f>
        <v>obj_00016#0010</v>
      </c>
      <c r="N6" s="98">
        <f>100-_xll.qlLegNPV(M6,qlDiscCurve,,SettlementDate,,)</f>
        <v>100.63893682139236</v>
      </c>
      <c r="O6" s="33">
        <f>_xll.qlCalendarAdvance(Calendar,K6,"0d",BizDayConv)</f>
        <v>43833</v>
      </c>
      <c r="P6" s="37" t="str">
        <f>_xll.pdgDefaultableLoan(,EvaluationDate,Currency,pdgDiscCurve,EntityName,O6,Notional,Notional*$C$13,,FloatingFlag)</f>
        <v>obj_00024#0000</v>
      </c>
      <c r="Q6" s="35">
        <v>1.0109004193275273E-4</v>
      </c>
      <c r="R6" s="40">
        <f t="shared" si="2"/>
        <v>1.01</v>
      </c>
      <c r="S6" s="37" t="str">
        <f>IF(AND($R$1,$S$1),_xll.RtContribute($V$3,$V$4&amp;F6&amp;$V$6,CHOOSE({1,2},"BID","ASK"),CHOOSE({1,2},R6,R6),"SCOPE:SERVER FTC:ALL"),"--")</f>
        <v>--</v>
      </c>
      <c r="X6" s="15">
        <v>3</v>
      </c>
      <c r="Y6" s="26">
        <v>0.9</v>
      </c>
      <c r="Z6" s="27">
        <v>0.9</v>
      </c>
      <c r="AD6" s="13" t="s">
        <v>94</v>
      </c>
      <c r="AE6" s="126">
        <f>_xll.qlCalendarAdvance(Calendar,AE5,AD6,BizDayConv)</f>
        <v>42741</v>
      </c>
      <c r="AF6" s="125">
        <f>_xll.qlYieldTSDiscount($C$31,AE6)</f>
        <v>1.0000626436708302</v>
      </c>
      <c r="AG6" s="125">
        <f>_xll.xlShmInterpDisc(CurveName&amp;T($C$26),AE6)</f>
        <v>1.0000626436708302</v>
      </c>
      <c r="AH6" s="127">
        <f t="shared" si="3"/>
        <v>0</v>
      </c>
    </row>
    <row r="7" spans="1:35" x14ac:dyDescent="0.2">
      <c r="A7" s="8"/>
      <c r="B7" s="32" t="s">
        <v>76</v>
      </c>
      <c r="C7" s="22" t="s">
        <v>70</v>
      </c>
      <c r="E7" s="55" t="b">
        <v>1</v>
      </c>
      <c r="F7" s="42" t="str">
        <f t="shared" si="4"/>
        <v>4Y</v>
      </c>
      <c r="G7" s="104">
        <f t="shared" si="1"/>
        <v>1</v>
      </c>
      <c r="H7" s="105"/>
      <c r="I7" s="106"/>
      <c r="J7" s="107">
        <f t="shared" si="0"/>
        <v>1</v>
      </c>
      <c r="K7" s="33">
        <f>_xll.qlCalendarAdvance(Calendar,SettlementDate,F7,"Unadjusted",FALSE)</f>
        <v>44199</v>
      </c>
      <c r="L7" s="33" t="str">
        <f>_xll.qlSchedule(,SettlementDate,K7,_xll.qlInterestRateIndexTenor(IborIndex),_xll.qlIndexFixingCalendar(IborIndex),BizDayConv,"Unadjusted")</f>
        <v>obj_0001d#0010</v>
      </c>
      <c r="M7" s="33" t="str">
        <f>_xll.qlIborLeg(,,Notional,L7,,,_xll.qlInterestRateIndexDayCounter(IborIndex),,,IborIndex,J7/(10^4))</f>
        <v>obj_0001e#0010</v>
      </c>
      <c r="N7" s="98">
        <f>100-_xll.qlLegNPV(M7,qlDiscCurve,,SettlementDate,,)</f>
        <v>100.56389689554857</v>
      </c>
      <c r="O7" s="33">
        <f>_xll.qlCalendarAdvance(Calendar,K7,"0d",BizDayConv)</f>
        <v>44200</v>
      </c>
      <c r="P7" s="37" t="str">
        <f>_xll.pdgDefaultableLoan(,EvaluationDate,Currency,pdgDiscCurve,EntityName,O7,Notional,Notional*$C$13,,FloatingFlag)</f>
        <v>obj_00023#0000</v>
      </c>
      <c r="Q7" s="35">
        <v>1.073643905964867E-4</v>
      </c>
      <c r="R7" s="40">
        <f t="shared" si="2"/>
        <v>1.07</v>
      </c>
      <c r="S7" s="37" t="str">
        <f>IF(AND($R$1,$S$1),_xll.RtContribute($V$3,$V$4&amp;F7&amp;$V$6,CHOOSE({1,2},"BID","ASK"),CHOOSE({1,2},R7,R7),"SCOPE:SERVER FTC:ALL"),"--")</f>
        <v>--</v>
      </c>
      <c r="X7" s="15">
        <v>4</v>
      </c>
      <c r="Y7" s="26">
        <v>1</v>
      </c>
      <c r="Z7" s="27">
        <v>1</v>
      </c>
      <c r="AD7" s="13" t="s">
        <v>94</v>
      </c>
      <c r="AE7" s="126">
        <f>_xll.qlCalendarAdvance(Calendar,AE6,AD7,BizDayConv)</f>
        <v>42744</v>
      </c>
      <c r="AF7" s="125">
        <f>_xll.qlYieldTSDiscount($C$31,AE7)</f>
        <v>1.0000894921596788</v>
      </c>
      <c r="AG7" s="125">
        <f>_xll.xlShmInterpDisc(CurveName&amp;T($C$26),AE7)</f>
        <v>1.0000894921596788</v>
      </c>
      <c r="AH7" s="127">
        <f t="shared" si="3"/>
        <v>0</v>
      </c>
    </row>
    <row r="8" spans="1:35" x14ac:dyDescent="0.2">
      <c r="A8" s="8"/>
      <c r="B8" s="32" t="s">
        <v>71</v>
      </c>
      <c r="C8" s="22" t="s">
        <v>86</v>
      </c>
      <c r="E8" s="55" t="b">
        <v>1</v>
      </c>
      <c r="F8" s="42" t="str">
        <f t="shared" si="4"/>
        <v>5Y</v>
      </c>
      <c r="G8" s="104">
        <f t="shared" si="1"/>
        <v>1.1299999999999999</v>
      </c>
      <c r="H8" s="105"/>
      <c r="I8" s="106"/>
      <c r="J8" s="107">
        <f t="shared" si="0"/>
        <v>1.1299999999999999</v>
      </c>
      <c r="K8" s="33">
        <f>_xll.qlCalendarAdvance(Calendar,SettlementDate,F8,"Unadjusted",FALSE)</f>
        <v>44564</v>
      </c>
      <c r="L8" s="33" t="str">
        <f>_xll.qlSchedule(,SettlementDate,K8,_xll.qlInterestRateIndexTenor(IborIndex),_xll.qlIndexFixingCalendar(IborIndex),BizDayConv,"Unadjusted")</f>
        <v>obj_00003#0010</v>
      </c>
      <c r="M8" s="33" t="str">
        <f>_xll.qlIborLeg(,,Notional,L8,,,_xll.qlInterestRateIndexDayCounter(IborIndex),,,IborIndex,J8/(10^4))</f>
        <v>obj_0001c#0010</v>
      </c>
      <c r="N8" s="98">
        <f>100-_xll.qlLegNPV(M8,qlDiscCurve,,SettlementDate,,)</f>
        <v>100.21074192854954</v>
      </c>
      <c r="O8" s="33">
        <f>_xll.qlCalendarAdvance(Calendar,K8,"0d",BizDayConv)</f>
        <v>44564</v>
      </c>
      <c r="P8" s="37" t="str">
        <f>_xll.pdgDefaultableLoan(,EvaluationDate,Currency,pdgDiscCurve,EntityName,O8,Notional,Notional*$C$13,,FloatingFlag)</f>
        <v>obj_00012#0000</v>
      </c>
      <c r="Q8" s="35">
        <v>1.2029798408026353E-4</v>
      </c>
      <c r="R8" s="40">
        <f t="shared" si="2"/>
        <v>1.2</v>
      </c>
      <c r="S8" s="37" t="str">
        <f>IF(AND($R$1,$S$1),_xll.RtContribute($V$3,$V$4&amp;F8&amp;$V$6,CHOOSE({1,2},"BID","ASK"),CHOOSE({1,2},R8,R8),"SCOPE:SERVER FTC:ALL"),"--")</f>
        <v>--</v>
      </c>
      <c r="X8" s="15">
        <v>5</v>
      </c>
      <c r="Y8" s="26">
        <v>1.1299999999999999</v>
      </c>
      <c r="Z8" s="27">
        <v>1.1299999999999999</v>
      </c>
      <c r="AD8" s="13" t="s">
        <v>94</v>
      </c>
      <c r="AE8" s="126">
        <f>_xll.qlCalendarAdvance(Calendar,AE7,AD8,BizDayConv)</f>
        <v>42745</v>
      </c>
      <c r="AF8" s="125">
        <f>_xll.qlYieldTSDiscount($C$31,AE8)</f>
        <v>1.0000984418161301</v>
      </c>
      <c r="AG8" s="125">
        <f>_xll.xlShmInterpDisc(CurveName&amp;T($C$26),AE8)</f>
        <v>1.0000984418161301</v>
      </c>
      <c r="AH8" s="127">
        <f t="shared" si="3"/>
        <v>0</v>
      </c>
    </row>
    <row r="9" spans="1:35" x14ac:dyDescent="0.2">
      <c r="A9" s="8"/>
      <c r="B9" s="1" t="s">
        <v>72</v>
      </c>
      <c r="C9" s="64" t="str">
        <f>CurveName</f>
        <v>EUR3M_30DEC</v>
      </c>
      <c r="E9" s="55" t="b">
        <v>1</v>
      </c>
      <c r="F9" s="42" t="str">
        <f t="shared" si="4"/>
        <v>6Y</v>
      </c>
      <c r="G9" s="104">
        <f t="shared" si="1"/>
        <v>1.1499999999999999</v>
      </c>
      <c r="H9" s="105"/>
      <c r="I9" s="106"/>
      <c r="J9" s="107">
        <f t="shared" si="0"/>
        <v>1.1499999999999999</v>
      </c>
      <c r="K9" s="33">
        <f>_xll.qlCalendarAdvance(Calendar,SettlementDate,F9,"Unadjusted",FALSE)</f>
        <v>44929</v>
      </c>
      <c r="L9" s="33" t="str">
        <f>_xll.qlSchedule(,SettlementDate,K9,_xll.qlInterestRateIndexTenor(IborIndex),_xll.qlIndexFixingCalendar(IborIndex),BizDayConv,"Unadjusted")</f>
        <v>obj_00008#0010</v>
      </c>
      <c r="M9" s="33" t="str">
        <f>_xll.qlIborLeg(,,Notional,L9,,,_xll.qlInterestRateIndexDayCounter(IborIndex),,,IborIndex,J9/(10^4))</f>
        <v>obj_0001a#0010</v>
      </c>
      <c r="N9" s="98">
        <f>100-_xll.qlLegNPV(M9,qlDiscCurve,,SettlementDate,,)</f>
        <v>99.560534212143594</v>
      </c>
      <c r="O9" s="33">
        <f>_xll.qlCalendarAdvance(Calendar,K9,"0d",BizDayConv)</f>
        <v>44929</v>
      </c>
      <c r="P9" s="37" t="str">
        <f>_xll.pdgDefaultableLoan(,EvaluationDate,Currency,pdgDiscCurve,EntityName,O9,Notional,Notional*$C$13,,FloatingFlag)</f>
        <v>obj_00028#0000</v>
      </c>
      <c r="Q9" s="35">
        <v>1.2225837095598943E-4</v>
      </c>
      <c r="R9" s="40">
        <f t="shared" si="2"/>
        <v>1.22</v>
      </c>
      <c r="S9" s="37" t="str">
        <f>IF(AND($R$1,$S$1),_xll.RtContribute($V$3,$V$4&amp;F9&amp;$V$6,CHOOSE({1,2},"BID","ASK"),CHOOSE({1,2},R9,R9),"SCOPE:SERVER FTC:ALL"),"--")</f>
        <v>--</v>
      </c>
      <c r="X9" s="15">
        <v>6</v>
      </c>
      <c r="Y9" s="26">
        <v>1.1499999999999999</v>
      </c>
      <c r="Z9" s="27">
        <v>1.1499999999999999</v>
      </c>
      <c r="AD9" s="13" t="s">
        <v>94</v>
      </c>
      <c r="AE9" s="126">
        <f>_xll.qlCalendarAdvance(Calendar,AE8,AD9,BizDayConv)</f>
        <v>42746</v>
      </c>
      <c r="AF9" s="125">
        <f>_xll.qlYieldTSDiscount($C$31,AE9)</f>
        <v>1.0001073915526588</v>
      </c>
      <c r="AG9" s="125">
        <f>_xll.xlShmInterpDisc(CurveName&amp;T($C$26),AE9)</f>
        <v>1.0001073915526588</v>
      </c>
      <c r="AH9" s="127">
        <f t="shared" si="3"/>
        <v>0</v>
      </c>
    </row>
    <row r="10" spans="1:35" x14ac:dyDescent="0.2">
      <c r="A10" s="8"/>
      <c r="B10" s="122" t="s">
        <v>18</v>
      </c>
      <c r="C10" s="52" t="s">
        <v>77</v>
      </c>
      <c r="E10" s="55" t="b">
        <v>1</v>
      </c>
      <c r="F10" s="42" t="str">
        <f t="shared" si="4"/>
        <v>7Y</v>
      </c>
      <c r="G10" s="104">
        <f t="shared" si="1"/>
        <v>1.1599999999999999</v>
      </c>
      <c r="H10" s="105"/>
      <c r="I10" s="106"/>
      <c r="J10" s="107">
        <f t="shared" si="0"/>
        <v>1.1599999999999999</v>
      </c>
      <c r="K10" s="33">
        <f>_xll.qlCalendarAdvance(Calendar,SettlementDate,F10,"Unadjusted",FALSE)</f>
        <v>45294</v>
      </c>
      <c r="L10" s="33" t="str">
        <f>_xll.qlSchedule(,SettlementDate,K10,_xll.qlInterestRateIndexTenor(IborIndex),_xll.qlIndexFixingCalendar(IborIndex),BizDayConv,"Unadjusted")</f>
        <v>obj_0000b#0010</v>
      </c>
      <c r="M10" s="33" t="str">
        <f>_xll.qlIborLeg(,,Notional,L10,,,_xll.qlInterestRateIndexDayCounter(IborIndex),,,IborIndex,J10/(10^4))</f>
        <v>obj_0001b#0010</v>
      </c>
      <c r="N10" s="98">
        <f>100-_xll.qlLegNPV(M10,qlDiscCurve,,SettlementDate,,)</f>
        <v>98.606928078039232</v>
      </c>
      <c r="O10" s="33">
        <f>_xll.qlCalendarAdvance(Calendar,K10,"0d",BizDayConv)</f>
        <v>45294</v>
      </c>
      <c r="P10" s="37" t="str">
        <f>_xll.pdgDefaultableLoan(,EvaluationDate,Currency,pdgDiscCurve,EntityName,O10,Notional,Notional*$C$13,,FloatingFlag)</f>
        <v>obj_00021#0000</v>
      </c>
      <c r="Q10" s="35">
        <v>1.2400832673132512E-4</v>
      </c>
      <c r="R10" s="40">
        <f t="shared" si="2"/>
        <v>1.24</v>
      </c>
      <c r="S10" s="37" t="str">
        <f>IF(AND($R$1,$S$1),_xll.RtContribute($V$3,$V$4&amp;F10&amp;$V$6,CHOOSE({1,2},"BID","ASK"),CHOOSE({1,2},R10,R10),"SCOPE:SERVER FTC:ALL"),"--")</f>
        <v>--</v>
      </c>
      <c r="X10" s="15">
        <v>7</v>
      </c>
      <c r="Y10" s="26">
        <v>1.1599999999999999</v>
      </c>
      <c r="Z10" s="27">
        <v>1.1599999999999999</v>
      </c>
      <c r="AD10" s="13" t="s">
        <v>94</v>
      </c>
      <c r="AE10" s="126">
        <f>_xll.qlCalendarAdvance(Calendar,AE9,AD10,BizDayConv)</f>
        <v>42747</v>
      </c>
      <c r="AF10" s="125">
        <f>_xll.qlYieldTSDiscount($C$31,AE10)</f>
        <v>1.0001163413692706</v>
      </c>
      <c r="AG10" s="125">
        <f>_xll.xlShmInterpDisc(CurveName&amp;T($C$26),AE10)</f>
        <v>1.0001163413692706</v>
      </c>
      <c r="AH10" s="127">
        <f t="shared" si="3"/>
        <v>0</v>
      </c>
    </row>
    <row r="11" spans="1:35" x14ac:dyDescent="0.2">
      <c r="A11" s="8"/>
      <c r="B11" s="121" t="s">
        <v>75</v>
      </c>
      <c r="C11" s="63" t="str">
        <f>UPPER("UNICA_"&amp;Currency)</f>
        <v>UNICA_EUR</v>
      </c>
      <c r="E11" s="55" t="b">
        <v>1</v>
      </c>
      <c r="F11" s="42" t="str">
        <f t="shared" si="4"/>
        <v>8Y</v>
      </c>
      <c r="G11" s="104">
        <f t="shared" si="1"/>
        <v>1.24</v>
      </c>
      <c r="H11" s="105"/>
      <c r="I11" s="106"/>
      <c r="J11" s="107">
        <f t="shared" si="0"/>
        <v>1.24</v>
      </c>
      <c r="K11" s="33">
        <f>_xll.qlCalendarAdvance(Calendar,SettlementDate,F11,"Unadjusted",FALSE)</f>
        <v>45660</v>
      </c>
      <c r="L11" s="33" t="str">
        <f>_xll.qlSchedule(,SettlementDate,K11,_xll.qlInterestRateIndexTenor(IborIndex),_xll.qlIndexFixingCalendar(IborIndex),BizDayConv,"Unadjusted")</f>
        <v>obj_00009#0010</v>
      </c>
      <c r="M11" s="33" t="str">
        <f>_xll.qlIborLeg(,,Notional,L11,,,_xll.qlInterestRateIndexDayCounter(IborIndex),,,IborIndex,J11/(10^4))</f>
        <v>obj_0001f#0010</v>
      </c>
      <c r="N11" s="98">
        <f>100-_xll.qlLegNPV(M11,qlDiscCurve,,SettlementDate,,)</f>
        <v>97.387443580709757</v>
      </c>
      <c r="O11" s="33">
        <f>_xll.qlCalendarAdvance(Calendar,K11,"0d",BizDayConv)</f>
        <v>45660</v>
      </c>
      <c r="P11" s="37" t="str">
        <f>_xll.pdgDefaultableLoan(,EvaluationDate,Currency,pdgDiscCurve,EntityName,O11,Notional,Notional*$C$13,,FloatingFlag)</f>
        <v>obj_0002b#0000</v>
      </c>
      <c r="Q11" s="35">
        <v>1.3343481542427187E-4</v>
      </c>
      <c r="R11" s="40">
        <f t="shared" si="2"/>
        <v>1.33</v>
      </c>
      <c r="S11" s="37" t="str">
        <f>IF(AND($R$1,$S$1),_xll.RtContribute($V$3,$V$4&amp;F11&amp;$V$6,CHOOSE({1,2},"BID","ASK"),CHOOSE({1,2},R11,R11),"SCOPE:SERVER FTC:ALL"),"--")</f>
        <v>--</v>
      </c>
      <c r="X11" s="15">
        <v>8</v>
      </c>
      <c r="Y11" s="26">
        <v>1.24</v>
      </c>
      <c r="Z11" s="27">
        <v>1.24</v>
      </c>
      <c r="AD11" s="13" t="s">
        <v>94</v>
      </c>
      <c r="AE11" s="126">
        <f>_xll.qlCalendarAdvance(Calendar,AE10,AD11,BizDayConv)</f>
        <v>42748</v>
      </c>
      <c r="AF11" s="125">
        <f>_xll.qlYieldTSDiscount($C$31,AE11)</f>
        <v>1.0001252912659673</v>
      </c>
      <c r="AG11" s="125">
        <f>_xll.xlShmInterpDisc(CurveName&amp;T($C$26),AE11)</f>
        <v>1.0001252912659673</v>
      </c>
      <c r="AH11" s="127">
        <f t="shared" si="3"/>
        <v>0</v>
      </c>
    </row>
    <row r="12" spans="1:35" x14ac:dyDescent="0.2">
      <c r="A12" s="8"/>
      <c r="B12" s="121" t="s">
        <v>62</v>
      </c>
      <c r="C12" s="51">
        <v>100</v>
      </c>
      <c r="E12" s="55" t="b">
        <v>1</v>
      </c>
      <c r="F12" s="42" t="str">
        <f t="shared" si="4"/>
        <v>9Y</v>
      </c>
      <c r="G12" s="104">
        <f t="shared" si="1"/>
        <v>1.32</v>
      </c>
      <c r="H12" s="105"/>
      <c r="I12" s="106"/>
      <c r="J12" s="107">
        <f t="shared" si="0"/>
        <v>1.32</v>
      </c>
      <c r="K12" s="33">
        <f>_xll.qlCalendarAdvance(Calendar,SettlementDate,F12,"Unadjusted",FALSE)</f>
        <v>46025</v>
      </c>
      <c r="L12" s="33" t="str">
        <f>_xll.qlSchedule(,SettlementDate,K12,_xll.qlInterestRateIndexTenor(IborIndex),_xll.qlIndexFixingCalendar(IborIndex),BizDayConv,"Unadjusted")</f>
        <v>obj_00018#0010</v>
      </c>
      <c r="M12" s="33" t="str">
        <f>_xll.qlIborLeg(,,Notional,L12,,,_xll.qlInterestRateIndexDayCounter(IborIndex),,,IborIndex,J12/(10^4))</f>
        <v>obj_00020#0010</v>
      </c>
      <c r="N12" s="98">
        <f>100-_xll.qlLegNPV(M12,qlDiscCurve,,SettlementDate,,)</f>
        <v>95.965321851276613</v>
      </c>
      <c r="O12" s="33">
        <f>_xll.qlCalendarAdvance(Calendar,K12,"0d",BizDayConv)</f>
        <v>46027</v>
      </c>
      <c r="P12" s="37" t="str">
        <f>_xll.pdgDefaultableLoan(,EvaluationDate,Currency,pdgDiscCurve,EntityName,O12,Notional,Notional*$C$13,,FloatingFlag)</f>
        <v>obj_00025#0000</v>
      </c>
      <c r="Q12" s="35">
        <v>1.3450439172143898E-4</v>
      </c>
      <c r="R12" s="40">
        <f t="shared" si="2"/>
        <v>1.35</v>
      </c>
      <c r="S12" s="37" t="str">
        <f>IF(AND($R$1,$S$1),_xll.RtContribute($V$3,$V$4&amp;F12&amp;$V$6,CHOOSE({1,2},"BID","ASK"),CHOOSE({1,2},R12,R12),"SCOPE:SERVER FTC:ALL"),"--")</f>
        <v>--</v>
      </c>
      <c r="X12" s="15">
        <v>9</v>
      </c>
      <c r="Y12" s="26">
        <v>1.32</v>
      </c>
      <c r="Z12" s="27">
        <v>1.32</v>
      </c>
      <c r="AD12" s="13" t="s">
        <v>94</v>
      </c>
      <c r="AE12" s="126">
        <f>_xll.qlCalendarAdvance(Calendar,AE11,AD12,BizDayConv)</f>
        <v>42751</v>
      </c>
      <c r="AF12" s="125">
        <f>_xll.qlYieldTSDiscount($C$31,AE12)</f>
        <v>1.0001521414365981</v>
      </c>
      <c r="AG12" s="125">
        <f>_xll.xlShmInterpDisc(CurveName&amp;T($C$26),AE12)</f>
        <v>1.0001521414365981</v>
      </c>
      <c r="AH12" s="127">
        <f t="shared" si="3"/>
        <v>0</v>
      </c>
    </row>
    <row r="13" spans="1:35" x14ac:dyDescent="0.2">
      <c r="B13" s="121" t="s">
        <v>65</v>
      </c>
      <c r="C13" s="53">
        <v>0.4</v>
      </c>
      <c r="E13" s="55" t="b">
        <v>1</v>
      </c>
      <c r="F13" s="42" t="str">
        <f t="shared" si="4"/>
        <v>10Y</v>
      </c>
      <c r="G13" s="104">
        <f t="shared" si="1"/>
        <v>1.4</v>
      </c>
      <c r="H13" s="105"/>
      <c r="I13" s="106"/>
      <c r="J13" s="107">
        <f t="shared" si="0"/>
        <v>1.4</v>
      </c>
      <c r="K13" s="33">
        <f>_xll.qlCalendarAdvance(Calendar,SettlementDate,F13,"Unadjusted",FALSE)</f>
        <v>46390</v>
      </c>
      <c r="L13" s="33" t="str">
        <f>_xll.qlSchedule(,SettlementDate,K13,_xll.qlInterestRateIndexTenor(IborIndex),_xll.qlIndexFixingCalendar(IborIndex),BizDayConv,"Unadjusted")</f>
        <v>obj_00007#0010</v>
      </c>
      <c r="M13" s="33" t="str">
        <f>_xll.qlIborLeg(,,Notional,L13,,,_xll.qlInterestRateIndexDayCounter(IborIndex),,,IborIndex,J13/(10^4))</f>
        <v>obj_00017#0010</v>
      </c>
      <c r="N13" s="98">
        <f>100-_xll.qlLegNPV(M13,qlDiscCurve,,SettlementDate,,)</f>
        <v>94.412997166048811</v>
      </c>
      <c r="O13" s="33">
        <f>_xll.qlCalendarAdvance(Calendar,K13,"0d",BizDayConv)</f>
        <v>46391</v>
      </c>
      <c r="P13" s="37" t="str">
        <f>_xll.pdgDefaultableLoan(,EvaluationDate,Currency,pdgDiscCurve,EntityName,O13,Notional,Notional*$C$13,,FloatingFlag)</f>
        <v>obj_0002a#0000</v>
      </c>
      <c r="Q13" s="35">
        <v>1.4946529682850106E-4</v>
      </c>
      <c r="R13" s="40">
        <f t="shared" si="2"/>
        <v>1.49</v>
      </c>
      <c r="S13" s="37" t="str">
        <f>IF(AND($R$1,$S$1),_xll.RtContribute($V$3,$V$4&amp;F13&amp;$V$6,CHOOSE({1,2},"BID","ASK"),CHOOSE({1,2},R13,R13),"SCOPE:SERVER FTC:ALL"),"--")</f>
        <v>--</v>
      </c>
      <c r="X13" s="15">
        <v>10</v>
      </c>
      <c r="Y13" s="26">
        <v>1.4</v>
      </c>
      <c r="Z13" s="27">
        <v>1.4</v>
      </c>
      <c r="AD13" s="13" t="s">
        <v>94</v>
      </c>
      <c r="AE13" s="126">
        <f>_xll.qlCalendarAdvance(Calendar,AE12,AD13,BizDayConv)</f>
        <v>42752</v>
      </c>
      <c r="AF13" s="125">
        <f>_xll.qlYieldTSDiscount($C$31,AE13)</f>
        <v>1.0001610916536701</v>
      </c>
      <c r="AG13" s="125">
        <f>_xll.xlShmInterpDisc(CurveName&amp;T($C$26),AE13)</f>
        <v>1.0001610916536701</v>
      </c>
      <c r="AH13" s="127">
        <f t="shared" si="3"/>
        <v>0</v>
      </c>
    </row>
    <row r="14" spans="1:35" x14ac:dyDescent="0.2">
      <c r="B14" s="123" t="s">
        <v>74</v>
      </c>
      <c r="C14" s="120" t="s">
        <v>73</v>
      </c>
      <c r="E14" s="55" t="b">
        <v>1</v>
      </c>
      <c r="F14" s="42" t="str">
        <f t="shared" si="4"/>
        <v>15Y</v>
      </c>
      <c r="G14" s="104">
        <f t="shared" si="1"/>
        <v>1.79</v>
      </c>
      <c r="H14" s="105"/>
      <c r="I14" s="106"/>
      <c r="J14" s="107">
        <f t="shared" si="0"/>
        <v>1.79</v>
      </c>
      <c r="K14" s="33">
        <f>_xll.qlCalendarAdvance(Calendar,SettlementDate,F14,"Unadjusted",FALSE)</f>
        <v>48216</v>
      </c>
      <c r="L14" s="33" t="str">
        <f>_xll.qlSchedule(,SettlementDate,K14,_xll.qlInterestRateIndexTenor(IborIndex),_xll.qlIndexFixingCalendar(IborIndex),BizDayConv,"Unadjusted")</f>
        <v>obj_0000e#0010</v>
      </c>
      <c r="M14" s="33" t="str">
        <f>_xll.qlIborLeg(,,Notional,L14,,,_xll.qlInterestRateIndexDayCounter(IborIndex),,,IborIndex,J14/(10^4))</f>
        <v>obj_00022#0010</v>
      </c>
      <c r="N14" s="98">
        <f>100-_xll.qlLegNPV(M14,qlDiscCurve,,SettlementDate,,)</f>
        <v>86.17426907647878</v>
      </c>
      <c r="O14" s="33">
        <f>_xll.qlCalendarAdvance(Calendar,K14,"0d",BizDayConv)</f>
        <v>48218</v>
      </c>
      <c r="P14" s="37" t="str">
        <f>_xll.pdgDefaultableLoan(,EvaluationDate,Currency,pdgDiscCurve,EntityName,O14,Notional,Notional*$C$13,,FloatingFlag)</f>
        <v>obj_00027#0000</v>
      </c>
      <c r="Q14" s="35">
        <v>2.0309091431597626E-4</v>
      </c>
      <c r="R14" s="40">
        <f t="shared" si="2"/>
        <v>2.0299999999999998</v>
      </c>
      <c r="S14" s="37" t="str">
        <f>IF(AND($R$1,$S$1),_xll.RtContribute($V$3,$V$4&amp;F14&amp;$V$6,CHOOSE({1,2},"BID","ASK"),CHOOSE({1,2},R14,R14),"SCOPE:SERVER FTC:ALL"),"--")</f>
        <v>--</v>
      </c>
      <c r="X14" s="15">
        <v>15</v>
      </c>
      <c r="Y14" s="26">
        <v>1.79</v>
      </c>
      <c r="Z14" s="27">
        <v>1.79</v>
      </c>
      <c r="AD14" s="13" t="s">
        <v>94</v>
      </c>
      <c r="AE14" s="126">
        <f>_xll.qlCalendarAdvance(Calendar,AE13,AD14,BizDayConv)</f>
        <v>42753</v>
      </c>
      <c r="AF14" s="125">
        <f>_xll.qlYieldTSDiscount($C$31,AE14)</f>
        <v>1.0001700419508466</v>
      </c>
      <c r="AG14" s="125">
        <f>_xll.xlShmInterpDisc(CurveName&amp;T($C$26),AE14)</f>
        <v>1.0001700419508466</v>
      </c>
      <c r="AH14" s="127">
        <f t="shared" si="3"/>
        <v>0</v>
      </c>
    </row>
    <row r="15" spans="1:35" x14ac:dyDescent="0.2">
      <c r="E15" s="55" t="b">
        <v>0</v>
      </c>
      <c r="F15" s="42" t="str">
        <f t="shared" si="4"/>
        <v>20Y</v>
      </c>
      <c r="G15" s="104">
        <f t="shared" si="1"/>
        <v>1.95</v>
      </c>
      <c r="H15" s="105"/>
      <c r="I15" s="106"/>
      <c r="J15" s="107">
        <f t="shared" si="0"/>
        <v>1.95</v>
      </c>
      <c r="K15" s="33">
        <f>_xll.qlCalendarAdvance(Calendar,SettlementDate,F15,"Unadjusted",FALSE)</f>
        <v>50043</v>
      </c>
      <c r="L15" s="33" t="str">
        <f>_xll.qlSchedule(,SettlementDate,K15,_xll.qlInterestRateIndexTenor(IborIndex),_xll.qlIndexFixingCalendar(IborIndex),BizDayConv,"Unadjusted")</f>
        <v>obj_00006#0010</v>
      </c>
      <c r="M15" s="33" t="str">
        <f>_xll.qlIborLeg(,,Notional,L15,,,_xll.qlInterestRateIndexDayCounter(IborIndex),,,IborIndex,J15/(10^4))</f>
        <v>obj_00011#0010</v>
      </c>
      <c r="N15" s="98">
        <f>100-_xll.qlLegNPV(M15,qlDiscCurve,,SettlementDate,,)</f>
        <v>79.107503944570979</v>
      </c>
      <c r="O15" s="33">
        <f>_xll.qlCalendarAdvance(Calendar,K15,"0d",BizDayConv)</f>
        <v>50045</v>
      </c>
      <c r="P15" s="37" t="str">
        <f>_xll.pdgDefaultableLoan(,EvaluationDate,Currency,pdgDiscCurve,EntityName,O15,Notional,Notional*$C$13,,FloatingFlag)</f>
        <v>obj_00010#0000</v>
      </c>
      <c r="Q15" s="35">
        <v>0</v>
      </c>
      <c r="R15" s="40">
        <f t="shared" si="2"/>
        <v>2.0299999999999998</v>
      </c>
      <c r="S15" s="37" t="str">
        <f>IF(AND($R$1,$S$1),_xll.RtContribute($V$3,$V$4&amp;F15&amp;$V$6,CHOOSE({1,2},"BID","ASK"),CHOOSE({1,2},R15,R15),"SCOPE:SERVER FTC:ALL"),"--")</f>
        <v>--</v>
      </c>
      <c r="X15" s="15">
        <v>20</v>
      </c>
      <c r="Y15" s="26">
        <v>1.95</v>
      </c>
      <c r="Z15" s="27">
        <v>1.95</v>
      </c>
      <c r="AD15" s="13" t="s">
        <v>94</v>
      </c>
      <c r="AE15" s="126">
        <f>_xll.qlCalendarAdvance(Calendar,AE14,AD15,BizDayConv)</f>
        <v>42754</v>
      </c>
      <c r="AF15" s="125">
        <f>_xll.qlYieldTSDiscount($C$31,AE15)</f>
        <v>1.000178992328127</v>
      </c>
      <c r="AG15" s="125">
        <f>_xll.xlShmInterpDisc(CurveName&amp;T($C$26),AE15)</f>
        <v>1.000178992328127</v>
      </c>
      <c r="AH15" s="127">
        <f t="shared" si="3"/>
        <v>0</v>
      </c>
    </row>
    <row r="16" spans="1:35" x14ac:dyDescent="0.2">
      <c r="E16" s="55" t="b">
        <v>0</v>
      </c>
      <c r="F16" s="42" t="str">
        <f t="shared" si="4"/>
        <v>25Y</v>
      </c>
      <c r="G16" s="104">
        <f t="shared" si="1"/>
        <v>2.0499999999999998</v>
      </c>
      <c r="H16" s="105"/>
      <c r="I16" s="106"/>
      <c r="J16" s="107">
        <f t="shared" si="0"/>
        <v>2.0499999999999998</v>
      </c>
      <c r="K16" s="33">
        <f>_xll.qlCalendarAdvance(Calendar,SettlementDate,F16,"Unadjusted",FALSE)</f>
        <v>51869</v>
      </c>
      <c r="L16" s="33" t="str">
        <f>_xll.qlSchedule(,SettlementDate,K16,_xll.qlInterestRateIndexTenor(IborIndex),_xll.qlIndexFixingCalendar(IborIndex),BizDayConv,"Unadjusted")</f>
        <v>obj_00004#0010</v>
      </c>
      <c r="M16" s="33" t="str">
        <f>_xll.qlIborLeg(,,Notional,L16,,,_xll.qlInterestRateIndexDayCounter(IborIndex),,,IborIndex,J16/(10^4))</f>
        <v>obj_00015#0010</v>
      </c>
      <c r="N16" s="98">
        <f>100-_xll.qlLegNPV(M16,qlDiscCurve,,SettlementDate,,)</f>
        <v>73.569875629022832</v>
      </c>
      <c r="O16" s="33">
        <f>_xll.qlCalendarAdvance(Calendar,K16,"0d",BizDayConv)</f>
        <v>51869</v>
      </c>
      <c r="P16" s="37" t="str">
        <f>_xll.pdgDefaultableLoan(,EvaluationDate,Currency,pdgDiscCurve,EntityName,O16,Notional,Notional*$C$13,,FloatingFlag)</f>
        <v>obj_0002d#0000</v>
      </c>
      <c r="Q16" s="35">
        <v>0</v>
      </c>
      <c r="R16" s="40">
        <f t="shared" si="2"/>
        <v>2.0299999999999998</v>
      </c>
      <c r="S16" s="37" t="str">
        <f>IF(AND($R$1,$S$1),_xll.RtContribute($V$3,$V$4&amp;F16&amp;$V$6,CHOOSE({1,2},"BID","ASK"),CHOOSE({1,2},R16,R16),"SCOPE:SERVER FTC:ALL"),"--")</f>
        <v>--</v>
      </c>
      <c r="X16" s="15">
        <v>25</v>
      </c>
      <c r="Y16" s="26">
        <v>2.0499999999999998</v>
      </c>
      <c r="Z16" s="27">
        <v>2.0499999999999998</v>
      </c>
      <c r="AD16" s="13" t="s">
        <v>94</v>
      </c>
      <c r="AE16" s="126">
        <f>_xll.qlCalendarAdvance(Calendar,AE15,AD16,BizDayConv)</f>
        <v>42755</v>
      </c>
      <c r="AF16" s="125">
        <f>_xll.qlYieldTSDiscount($C$31,AE16)</f>
        <v>1.0001879427855098</v>
      </c>
      <c r="AG16" s="125">
        <f>_xll.xlShmInterpDisc(CurveName&amp;T($C$26),AE16)</f>
        <v>1.0001879427855098</v>
      </c>
      <c r="AH16" s="127">
        <f t="shared" si="3"/>
        <v>0</v>
      </c>
    </row>
    <row r="17" spans="1:34" x14ac:dyDescent="0.2">
      <c r="E17" s="56" t="b">
        <v>0</v>
      </c>
      <c r="F17" s="43" t="str">
        <f t="shared" si="4"/>
        <v>30Y</v>
      </c>
      <c r="G17" s="108">
        <f t="shared" si="1"/>
        <v>2.09</v>
      </c>
      <c r="H17" s="109"/>
      <c r="I17" s="110"/>
      <c r="J17" s="111">
        <f>IF(ISNUMBER(H17),H17,G17)+I17</f>
        <v>2.09</v>
      </c>
      <c r="K17" s="34">
        <f>_xll.qlCalendarAdvance(Calendar,SettlementDate,F17,"Unadjusted",FALSE)</f>
        <v>53695</v>
      </c>
      <c r="L17" s="34" t="str">
        <f>_xll.qlSchedule(,SettlementDate,K17,_xll.qlInterestRateIndexTenor(IborIndex),_xll.qlIndexFixingCalendar(IborIndex),BizDayConv,"Unadjusted")</f>
        <v>obj_00013#0010</v>
      </c>
      <c r="M17" s="34" t="str">
        <f>_xll.qlIborLeg(,,Notional,L17,,,_xll.qlInterestRateIndexDayCounter(IborIndex),,,IborIndex,J17/(10^4))</f>
        <v>obj_00019#0010</v>
      </c>
      <c r="N17" s="99">
        <f>100-_xll.qlLegNPV(M17,qlDiscCurve,,SettlementDate,,)</f>
        <v>68.663758673036384</v>
      </c>
      <c r="O17" s="34">
        <f>_xll.qlCalendarAdvance(Calendar,K17,"0d",BizDayConv)</f>
        <v>53695</v>
      </c>
      <c r="P17" s="38" t="str">
        <f>_xll.pdgDefaultableLoan(,EvaluationDate,Currency,pdgDiscCurve,EntityName,O17,Notional,Notional*$C$13,,FloatingFlag)</f>
        <v>obj_00029#0000</v>
      </c>
      <c r="Q17" s="36">
        <v>0</v>
      </c>
      <c r="R17" s="41">
        <f t="shared" si="2"/>
        <v>2.0299999999999998</v>
      </c>
      <c r="S17" s="38" t="str">
        <f>IF(AND($R$1,$S$1),_xll.RtContribute($V$3,$V$4&amp;F17&amp;$V$6,CHOOSE({1,2},"BID","ASK"),CHOOSE({1,2},R17,R17),"SCOPE:SERVER FTC:ALL"),"--")</f>
        <v>--</v>
      </c>
      <c r="X17" s="16">
        <v>30</v>
      </c>
      <c r="Y17" s="28">
        <v>2.09</v>
      </c>
      <c r="Z17" s="29">
        <v>2.09</v>
      </c>
      <c r="AD17" s="13" t="s">
        <v>94</v>
      </c>
      <c r="AE17" s="126">
        <f>_xll.qlCalendarAdvance(Calendar,AE16,AD17,BizDayConv)</f>
        <v>42758</v>
      </c>
      <c r="AF17" s="125">
        <f>_xll.qlYieldTSDiscount($C$31,AE17)</f>
        <v>1.0002147946382469</v>
      </c>
      <c r="AG17" s="125">
        <f>_xll.xlShmInterpDisc(CurveName&amp;T($C$26),AE17)</f>
        <v>1.0002147946382469</v>
      </c>
      <c r="AH17" s="127">
        <f t="shared" si="3"/>
        <v>0</v>
      </c>
    </row>
    <row r="18" spans="1:34" x14ac:dyDescent="0.2">
      <c r="J18"/>
      <c r="K18"/>
      <c r="L18"/>
      <c r="M18"/>
      <c r="N18"/>
      <c r="O18"/>
      <c r="P18"/>
      <c r="Q18"/>
      <c r="R18"/>
      <c r="S18"/>
      <c r="AD18" s="13" t="s">
        <v>94</v>
      </c>
      <c r="AE18" s="126">
        <f>_xll.qlCalendarAdvance(Calendar,AE17,AD18,BizDayConv)</f>
        <v>42759</v>
      </c>
      <c r="AF18" s="125">
        <f>_xll.qlYieldTSDiscount($C$31,AE18)</f>
        <v>1.0002237454160099</v>
      </c>
      <c r="AG18" s="125">
        <f>_xll.xlShmInterpDisc(CurveName&amp;T($C$26),AE18)</f>
        <v>1.0002237454160099</v>
      </c>
      <c r="AH18" s="127">
        <f t="shared" si="3"/>
        <v>0</v>
      </c>
    </row>
    <row r="19" spans="1:34" x14ac:dyDescent="0.2">
      <c r="J19"/>
      <c r="K19"/>
      <c r="L19"/>
      <c r="M19"/>
      <c r="N19"/>
      <c r="O19"/>
      <c r="P19"/>
      <c r="Q19"/>
      <c r="R19"/>
      <c r="S19"/>
      <c r="T19"/>
      <c r="U19"/>
      <c r="AD19" s="13" t="s">
        <v>94</v>
      </c>
      <c r="AE19" s="126">
        <f>_xll.qlCalendarAdvance(Calendar,AE18,AD19,BizDayConv)</f>
        <v>42760</v>
      </c>
      <c r="AF19" s="125">
        <f>_xll.qlYieldTSDiscount($C$31,AE19)</f>
        <v>1.0002326858480737</v>
      </c>
      <c r="AG19" s="125">
        <f>_xll.xlShmInterpDisc(CurveName&amp;T($C$26),AE19)</f>
        <v>1.0002326858480737</v>
      </c>
      <c r="AH19" s="127">
        <f t="shared" si="3"/>
        <v>0</v>
      </c>
    </row>
    <row r="20" spans="1:34" x14ac:dyDescent="0.2">
      <c r="B20"/>
      <c r="C20"/>
      <c r="E20"/>
      <c r="J20"/>
      <c r="K20"/>
      <c r="L20"/>
      <c r="M20"/>
      <c r="N20"/>
      <c r="O20"/>
      <c r="P20"/>
      <c r="Q20"/>
      <c r="R20"/>
      <c r="S20"/>
      <c r="T20"/>
      <c r="U20"/>
      <c r="AD20" s="13" t="s">
        <v>94</v>
      </c>
      <c r="AE20" s="126">
        <f>_xll.qlCalendarAdvance(Calendar,AE19,AD20,BizDayConv)</f>
        <v>42761</v>
      </c>
      <c r="AF20" s="125">
        <f>_xll.qlYieldTSDiscount($C$31,AE20)</f>
        <v>1.0002416063156638</v>
      </c>
      <c r="AG20" s="125">
        <f>_xll.xlShmInterpDisc(CurveName&amp;T($C$26),AE20)</f>
        <v>1.0002416063156638</v>
      </c>
      <c r="AH20" s="127">
        <f t="shared" si="3"/>
        <v>0</v>
      </c>
    </row>
    <row r="21" spans="1:34" x14ac:dyDescent="0.2">
      <c r="A21"/>
      <c r="D21"/>
      <c r="J21"/>
      <c r="K21"/>
      <c r="L21"/>
      <c r="M21"/>
      <c r="N21"/>
      <c r="O21"/>
      <c r="P21"/>
      <c r="Q21"/>
      <c r="R21"/>
      <c r="S21"/>
      <c r="T21"/>
      <c r="U21"/>
      <c r="AD21" s="13" t="s">
        <v>94</v>
      </c>
      <c r="AE21" s="126">
        <f>_xll.qlCalendarAdvance(Calendar,AE20,AD21,BizDayConv)</f>
        <v>42762</v>
      </c>
      <c r="AF21" s="125">
        <f>_xll.qlYieldTSDiscount($C$31,AE21)</f>
        <v>1.0002505084312283</v>
      </c>
      <c r="AG21" s="125">
        <f>_xll.xlShmInterpDisc(CurveName&amp;T($C$26),AE21)</f>
        <v>1.0002505084312283</v>
      </c>
      <c r="AH21" s="127">
        <f t="shared" si="3"/>
        <v>0</v>
      </c>
    </row>
    <row r="22" spans="1:34" x14ac:dyDescent="0.2">
      <c r="B22" s="90" t="s">
        <v>81</v>
      </c>
      <c r="C22" s="94" t="s">
        <v>11</v>
      </c>
      <c r="E22" s="138" t="s">
        <v>86</v>
      </c>
      <c r="F22" s="139"/>
      <c r="G22" s="140"/>
      <c r="J22"/>
      <c r="K22"/>
      <c r="L22"/>
      <c r="M22"/>
      <c r="N22"/>
      <c r="O22"/>
      <c r="P22"/>
      <c r="Q22"/>
      <c r="R22"/>
      <c r="S22"/>
      <c r="AD22" s="13" t="s">
        <v>94</v>
      </c>
      <c r="AE22" s="126">
        <f>_xll.qlCalendarAdvance(Calendar,AE21,AD22,BizDayConv)</f>
        <v>42765</v>
      </c>
      <c r="AF22" s="125">
        <f>_xll.qlYieldTSDiscount($C$31,AE22)</f>
        <v>1.0002771288292878</v>
      </c>
      <c r="AG22" s="125">
        <f>_xll.xlShmInterpDisc(CurveName&amp;T($C$26),AE22)</f>
        <v>1.0002771288292878</v>
      </c>
      <c r="AH22" s="127">
        <f t="shared" si="3"/>
        <v>0</v>
      </c>
    </row>
    <row r="23" spans="1:34" x14ac:dyDescent="0.2">
      <c r="B23" s="89" t="s">
        <v>80</v>
      </c>
      <c r="C23" s="95" t="s">
        <v>14</v>
      </c>
      <c r="E23" s="93" t="s">
        <v>82</v>
      </c>
      <c r="F23" s="93" t="s">
        <v>19</v>
      </c>
      <c r="G23" s="93" t="s">
        <v>101</v>
      </c>
      <c r="I23" s="65" t="str">
        <f>F6</f>
        <v>3Y</v>
      </c>
      <c r="J23" s="66">
        <f>J6/100</f>
        <v>9.0000000000000011E-3</v>
      </c>
      <c r="K23" s="67"/>
      <c r="L23" s="68">
        <f>(100-N6)*(10^6)</f>
        <v>-638936.82139236317</v>
      </c>
      <c r="M23" s="69">
        <v>4083489.68178818</v>
      </c>
      <c r="N23" s="70">
        <f>O23/L31*(10^4)</f>
        <v>-472.24265031805447</v>
      </c>
      <c r="O23" s="68">
        <f>L23-M23</f>
        <v>-4722426.503180543</v>
      </c>
      <c r="P23" s="67"/>
      <c r="Q23" s="67"/>
      <c r="R23" s="58">
        <f t="shared" ref="R23:R37" si="5">R3/100</f>
        <v>8.6999999999999994E-3</v>
      </c>
      <c r="AC23" s="112"/>
      <c r="AD23" s="13" t="s">
        <v>94</v>
      </c>
      <c r="AE23" s="126">
        <f>_xll.qlCalendarAdvance(Calendar,AE22,AD23,BizDayConv)</f>
        <v>42766</v>
      </c>
      <c r="AF23" s="125">
        <f>_xll.qlYieldTSDiscount($C$31,AE23)</f>
        <v>1.0002859843801164</v>
      </c>
      <c r="AG23" s="125">
        <f>_xll.xlShmInterpDisc(CurveName&amp;T($C$26),AE23)</f>
        <v>1.0002859843801164</v>
      </c>
      <c r="AH23" s="127">
        <f t="shared" si="3"/>
        <v>0</v>
      </c>
    </row>
    <row r="24" spans="1:34" x14ac:dyDescent="0.2">
      <c r="B24" s="89" t="s">
        <v>79</v>
      </c>
      <c r="C24" s="95" t="s">
        <v>10</v>
      </c>
      <c r="E24" s="92">
        <v>42734</v>
      </c>
      <c r="F24" s="91">
        <v>1</v>
      </c>
      <c r="G24" s="136">
        <f>G25</f>
        <v>-3.2663176720127722E-3</v>
      </c>
      <c r="I24" s="71" t="str">
        <f>F8</f>
        <v>5Y</v>
      </c>
      <c r="J24" s="72">
        <f>J8/100</f>
        <v>1.1299999999999999E-2</v>
      </c>
      <c r="K24" s="8"/>
      <c r="L24" s="73">
        <f>(100-N8)*(10^6)</f>
        <v>-210741.92854953822</v>
      </c>
      <c r="M24" s="74">
        <v>9201792.8677081205</v>
      </c>
      <c r="N24" s="75">
        <f>O24/L32*(10^4)</f>
        <v>-941.25347962577098</v>
      </c>
      <c r="O24" s="73">
        <f>L24-M24</f>
        <v>-9412534.7962576579</v>
      </c>
      <c r="P24" s="8"/>
      <c r="Q24" s="8"/>
      <c r="R24" s="59">
        <f t="shared" si="5"/>
        <v>6.9999999999999993E-3</v>
      </c>
      <c r="AC24" s="112"/>
      <c r="AD24" s="13" t="s">
        <v>94</v>
      </c>
      <c r="AE24" s="126">
        <f>_xll.qlCalendarAdvance(Calendar,AE23,AD24,BizDayConv)</f>
        <v>42767</v>
      </c>
      <c r="AF24" s="125">
        <f>_xll.qlYieldTSDiscount($C$31,AE24)</f>
        <v>1.0002948376805307</v>
      </c>
      <c r="AG24" s="125">
        <f>_xll.xlShmInterpDisc(CurveName&amp;T($C$26),AE24)</f>
        <v>1.0002948376805307</v>
      </c>
      <c r="AH24" s="127">
        <f t="shared" si="3"/>
        <v>0</v>
      </c>
    </row>
    <row r="25" spans="1:34" x14ac:dyDescent="0.2">
      <c r="B25" s="88" t="s">
        <v>78</v>
      </c>
      <c r="C25" s="96">
        <v>5</v>
      </c>
      <c r="E25" s="87">
        <v>42739</v>
      </c>
      <c r="F25" s="86">
        <v>1.00004474507873</v>
      </c>
      <c r="G25" s="136">
        <f>-LN(F25)*365/(E25-$E$24)</f>
        <v>-3.2663176720127722E-3</v>
      </c>
      <c r="H25" s="131"/>
      <c r="I25" s="76" t="str">
        <f>F13</f>
        <v>10Y</v>
      </c>
      <c r="J25" s="77">
        <f>J13/100</f>
        <v>1.3999999999999999E-2</v>
      </c>
      <c r="K25" s="8"/>
      <c r="L25" s="73">
        <f>(100-N13)*(10^6)</f>
        <v>5587002.8339511892</v>
      </c>
      <c r="M25" s="74">
        <v>27311020.762214702</v>
      </c>
      <c r="N25" s="75">
        <f>O25/L33*(10^4)</f>
        <v>-2172.4017928264407</v>
      </c>
      <c r="O25" s="73">
        <f>L25-M25</f>
        <v>-21724017.928263512</v>
      </c>
      <c r="P25" s="8"/>
      <c r="Q25" s="8"/>
      <c r="R25" s="59">
        <f t="shared" si="5"/>
        <v>9.3999999999999986E-3</v>
      </c>
      <c r="AC25" s="112"/>
      <c r="AD25" s="13" t="s">
        <v>94</v>
      </c>
      <c r="AE25" s="126">
        <f>_xll.qlCalendarAdvance(Calendar,AE24,AD25,BizDayConv)</f>
        <v>42768</v>
      </c>
      <c r="AF25" s="125">
        <f>_xll.qlYieldTSDiscount($C$31,AE25)</f>
        <v>1.0003036935588923</v>
      </c>
      <c r="AG25" s="125">
        <f>_xll.xlShmInterpDisc(CurveName&amp;T($C$26),AE25)</f>
        <v>1.0003036935588923</v>
      </c>
      <c r="AH25" s="127">
        <f t="shared" si="3"/>
        <v>0</v>
      </c>
    </row>
    <row r="26" spans="1:34" x14ac:dyDescent="0.2">
      <c r="B26" s="88" t="s">
        <v>87</v>
      </c>
      <c r="C26" s="116" t="b">
        <f>_xll.xlPushShmLiborCurveName(Currency&amp;T(ManualTrigger),CurveName,Dates,Discounts,C22,C23,C24,C25)</f>
        <v>1</v>
      </c>
      <c r="E26" s="87">
        <v>42745</v>
      </c>
      <c r="F26" s="86">
        <v>1.0000984418161301</v>
      </c>
      <c r="G26" s="136">
        <f t="shared" ref="G26:G89" si="6">-LN(F26)*365/(E26-$E$24)</f>
        <v>-3.2663176758311345E-3</v>
      </c>
      <c r="H26" s="131"/>
      <c r="I26" s="13"/>
      <c r="J26" s="8"/>
      <c r="K26" s="8"/>
      <c r="L26" s="8"/>
      <c r="M26" s="8"/>
      <c r="N26" s="8"/>
      <c r="O26" s="8"/>
      <c r="P26" s="8"/>
      <c r="Q26" s="8"/>
      <c r="R26" s="59">
        <f t="shared" si="5"/>
        <v>1.01E-2</v>
      </c>
      <c r="AC26" s="112"/>
      <c r="AD26" s="13" t="s">
        <v>94</v>
      </c>
      <c r="AE26" s="126">
        <f>_xll.qlCalendarAdvance(Calendar,AE25,AD26,BizDayConv)</f>
        <v>42769</v>
      </c>
      <c r="AF26" s="125">
        <f>_xll.qlYieldTSDiscount($C$31,AE26)</f>
        <v>1.0003125573796301</v>
      </c>
      <c r="AG26" s="125">
        <f>_xll.xlShmInterpDisc(CurveName&amp;T($C$26),AE26)</f>
        <v>1.0003125573796301</v>
      </c>
      <c r="AH26" s="127">
        <f t="shared" si="3"/>
        <v>0</v>
      </c>
    </row>
    <row r="27" spans="1:34" x14ac:dyDescent="0.2">
      <c r="E27" s="87">
        <v>42752</v>
      </c>
      <c r="F27" s="86">
        <v>1.0001610916536701</v>
      </c>
      <c r="G27" s="136">
        <f t="shared" si="6"/>
        <v>-3.2663176737815543E-3</v>
      </c>
      <c r="H27" s="131"/>
      <c r="I27" s="13"/>
      <c r="J27" s="12"/>
      <c r="K27" s="78">
        <f>L27/(10^6)-N6</f>
        <v>0</v>
      </c>
      <c r="L27" s="73">
        <f>_xll.pdgDefaultableLoanPrice(P6,$J$28)*(10^6)</f>
        <v>100638936.82139231</v>
      </c>
      <c r="M27" s="74">
        <v>95908693.701822907</v>
      </c>
      <c r="N27" s="75">
        <f>O27/L31*(10^4)</f>
        <v>473.02431195694078</v>
      </c>
      <c r="O27" s="73">
        <f>L27-M27</f>
        <v>4730243.1195694059</v>
      </c>
      <c r="P27" s="8"/>
      <c r="Q27" s="8"/>
      <c r="R27" s="59">
        <f t="shared" si="5"/>
        <v>1.0700000000000001E-2</v>
      </c>
      <c r="AC27" s="112"/>
      <c r="AD27" s="13" t="s">
        <v>94</v>
      </c>
      <c r="AE27" s="126">
        <f>_xll.qlCalendarAdvance(Calendar,AE26,AD27,BizDayConv)</f>
        <v>42772</v>
      </c>
      <c r="AF27" s="125">
        <f>_xll.qlYieldTSDiscount($C$31,AE27)</f>
        <v>1.0003391555140448</v>
      </c>
      <c r="AG27" s="125">
        <f>_xll.xlShmInterpDisc(CurveName&amp;T($C$26),AE27)</f>
        <v>1.0003391555140448</v>
      </c>
      <c r="AH27" s="127">
        <f t="shared" si="3"/>
        <v>0</v>
      </c>
    </row>
    <row r="28" spans="1:34" x14ac:dyDescent="0.2">
      <c r="B28" s="90" t="s">
        <v>88</v>
      </c>
      <c r="C28" s="94" t="s">
        <v>89</v>
      </c>
      <c r="E28" s="87">
        <v>42759</v>
      </c>
      <c r="F28" s="86">
        <v>1.0002237454160099</v>
      </c>
      <c r="G28" s="136">
        <f t="shared" si="6"/>
        <v>-3.2663176755658445E-3</v>
      </c>
      <c r="H28" s="131"/>
      <c r="I28" s="13"/>
      <c r="J28" s="13" t="str">
        <f t="array" ref="J28">_xll.pdgCdsDefaultCurve(,EntityName,Currency,pdgDiscCurve,EvaluationDate,O3:O17,Q3:Q17*100,Recovery)</f>
        <v>obj_0002f#0005</v>
      </c>
      <c r="K28" s="79">
        <f>L28/(10^6)-N8</f>
        <v>-5.4001247917767614E-13</v>
      </c>
      <c r="L28" s="73">
        <f>_xll.pdgDefaultableLoanPrice(P8,$J$28)*(10^6)</f>
        <v>100210741.92854899</v>
      </c>
      <c r="M28" s="74">
        <v>90788861.972808003</v>
      </c>
      <c r="N28" s="75">
        <f>O28/L32*(10^4)</f>
        <v>942.18799557410398</v>
      </c>
      <c r="O28" s="73">
        <f>L28-M28</f>
        <v>9421879.9557409883</v>
      </c>
      <c r="P28" s="8"/>
      <c r="Q28" s="8"/>
      <c r="R28" s="59">
        <f t="shared" si="5"/>
        <v>1.2E-2</v>
      </c>
      <c r="AC28" s="112"/>
      <c r="AD28" s="13" t="s">
        <v>94</v>
      </c>
      <c r="AE28" s="126">
        <f>_xll.qlCalendarAdvance(Calendar,AE27,AD28,BizDayConv)</f>
        <v>42773</v>
      </c>
      <c r="AF28" s="125">
        <f>_xll.qlYieldTSDiscount($C$31,AE28)</f>
        <v>1.0003480167109726</v>
      </c>
      <c r="AG28" s="125">
        <f>_xll.xlShmInterpDisc(CurveName&amp;T($C$26),AE28)</f>
        <v>1.0003480167109726</v>
      </c>
      <c r="AH28" s="127">
        <f t="shared" si="3"/>
        <v>0</v>
      </c>
    </row>
    <row r="29" spans="1:34" x14ac:dyDescent="0.2">
      <c r="B29" s="89" t="s">
        <v>90</v>
      </c>
      <c r="C29" s="95" t="s">
        <v>100</v>
      </c>
      <c r="E29" s="87">
        <v>42769</v>
      </c>
      <c r="F29" s="86">
        <v>1.0003125573796301</v>
      </c>
      <c r="G29" s="136">
        <f t="shared" si="6"/>
        <v>-3.2590176705154911E-3</v>
      </c>
      <c r="H29" s="131"/>
      <c r="I29" s="13"/>
      <c r="J29" s="14"/>
      <c r="K29" s="80">
        <f>L29/(10^6)-N13</f>
        <v>-4.1353587221237831E-12</v>
      </c>
      <c r="L29" s="73">
        <f>_xll.pdgDefaultableLoanPrice(P13,$J$28)*(10^6)</f>
        <v>94412997.166044682</v>
      </c>
      <c r="M29" s="74">
        <v>72665746.189158604</v>
      </c>
      <c r="N29" s="75">
        <f>O29/L33*(10^4)</f>
        <v>2174.7250976886976</v>
      </c>
      <c r="O29" s="73">
        <f>L29-M29</f>
        <v>21747250.976886079</v>
      </c>
      <c r="P29" s="8"/>
      <c r="Q29" s="8"/>
      <c r="R29" s="59">
        <f t="shared" si="5"/>
        <v>1.2199999999999999E-2</v>
      </c>
      <c r="AC29" s="112"/>
      <c r="AD29" s="13" t="s">
        <v>94</v>
      </c>
      <c r="AE29" s="126">
        <f>_xll.qlCalendarAdvance(Calendar,AE28,AD29,BizDayConv)</f>
        <v>42774</v>
      </c>
      <c r="AF29" s="125">
        <f>_xll.qlYieldTSDiscount($C$31,AE29)</f>
        <v>1.0003568754982872</v>
      </c>
      <c r="AG29" s="125">
        <f>_xll.xlShmInterpDisc(CurveName&amp;T($C$26),AE29)</f>
        <v>1.0003568754982872</v>
      </c>
      <c r="AH29" s="127">
        <f t="shared" si="3"/>
        <v>0</v>
      </c>
    </row>
    <row r="30" spans="1:34" x14ac:dyDescent="0.2">
      <c r="B30" s="89" t="s">
        <v>91</v>
      </c>
      <c r="C30" s="95" t="s">
        <v>92</v>
      </c>
      <c r="E30" s="87">
        <v>42797</v>
      </c>
      <c r="F30" s="86">
        <v>1.0005598780496101</v>
      </c>
      <c r="G30" s="136">
        <f t="shared" si="6"/>
        <v>-3.242830196433811E-3</v>
      </c>
      <c r="H30" s="131"/>
      <c r="I30" s="13"/>
      <c r="J30" s="8"/>
      <c r="K30" s="8"/>
      <c r="L30" s="8"/>
      <c r="M30" s="8"/>
      <c r="N30" s="8"/>
      <c r="O30" s="8"/>
      <c r="P30" s="8"/>
      <c r="Q30" s="8"/>
      <c r="R30" s="59">
        <f t="shared" si="5"/>
        <v>1.24E-2</v>
      </c>
      <c r="AC30" s="112"/>
      <c r="AD30" s="13" t="s">
        <v>94</v>
      </c>
      <c r="AE30" s="126">
        <f>_xll.qlCalendarAdvance(Calendar,AE29,AD30,BizDayConv)</f>
        <v>42775</v>
      </c>
      <c r="AF30" s="125">
        <f>_xll.qlYieldTSDiscount($C$31,AE30)</f>
        <v>1.0003657318748711</v>
      </c>
      <c r="AG30" s="125">
        <f>_xll.xlShmInterpDisc(CurveName&amp;T($C$26),AE30)</f>
        <v>1.0003657318748711</v>
      </c>
      <c r="AH30" s="127">
        <f t="shared" si="3"/>
        <v>0</v>
      </c>
    </row>
    <row r="31" spans="1:34" x14ac:dyDescent="0.2">
      <c r="B31" s="115" t="s">
        <v>93</v>
      </c>
      <c r="C31" s="117" t="str">
        <f>_xll.qlInterpolatedYieldCurve("EUR3M_30DEC",Dates,ZeroRates,Calendar,C30,,,C29,C28,TRUE,ManualTrigger,TRUE)</f>
        <v>EUR3M_30DEC#0032</v>
      </c>
      <c r="E31" s="87">
        <v>42828</v>
      </c>
      <c r="F31" s="86">
        <v>1.0008307056908201</v>
      </c>
      <c r="G31" s="136">
        <f t="shared" si="6"/>
        <v>-3.2242734970320346E-3</v>
      </c>
      <c r="H31" s="131"/>
      <c r="I31" s="13"/>
      <c r="J31" s="8"/>
      <c r="K31" s="8"/>
      <c r="L31" s="73">
        <f>L27+L23</f>
        <v>99999999.999999955</v>
      </c>
      <c r="M31" s="73">
        <f>M27+M23</f>
        <v>99992183.383611083</v>
      </c>
      <c r="N31" s="75">
        <f>O31/L31*(10^4)</f>
        <v>0.78166163888722695</v>
      </c>
      <c r="O31" s="73">
        <f>L31-M31</f>
        <v>7816.6163888722658</v>
      </c>
      <c r="P31" s="8"/>
      <c r="Q31" s="8"/>
      <c r="R31" s="59">
        <f t="shared" si="5"/>
        <v>1.3300000000000001E-2</v>
      </c>
      <c r="AC31" s="112"/>
      <c r="AD31" s="13" t="s">
        <v>94</v>
      </c>
      <c r="AE31" s="126">
        <f>_xll.qlCalendarAdvance(Calendar,AE30,AD31,BizDayConv)</f>
        <v>42776</v>
      </c>
      <c r="AF31" s="125">
        <f>_xll.qlYieldTSDiscount($C$31,AE31)</f>
        <v>1.0003745858331308</v>
      </c>
      <c r="AG31" s="125">
        <f>_xll.xlShmInterpDisc(CurveName&amp;T($C$26),AE31)</f>
        <v>1.0003745858331308</v>
      </c>
      <c r="AH31" s="127">
        <f t="shared" si="3"/>
        <v>0</v>
      </c>
    </row>
    <row r="32" spans="1:34" x14ac:dyDescent="0.2">
      <c r="E32" s="87">
        <v>42858</v>
      </c>
      <c r="F32" s="86">
        <v>1.0010946347548499</v>
      </c>
      <c r="G32" s="136">
        <f t="shared" si="6"/>
        <v>-3.2203481359851056E-3</v>
      </c>
      <c r="H32" s="131"/>
      <c r="I32" s="13"/>
      <c r="J32" s="8"/>
      <c r="K32" s="8"/>
      <c r="L32" s="73">
        <f t="shared" ref="L32:M33" si="7">L28+L24</f>
        <v>99999999.999999449</v>
      </c>
      <c r="M32" s="73">
        <f t="shared" si="7"/>
        <v>99990654.84051612</v>
      </c>
      <c r="N32" s="75">
        <f>O32/L32*(10^4)</f>
        <v>0.93451594833285134</v>
      </c>
      <c r="O32" s="73">
        <f>L32-M32</f>
        <v>9345.1594833284616</v>
      </c>
      <c r="P32" s="8"/>
      <c r="Q32" s="8"/>
      <c r="R32" s="59">
        <f t="shared" si="5"/>
        <v>1.3500000000000002E-2</v>
      </c>
      <c r="AC32" s="112"/>
      <c r="AD32" s="13" t="s">
        <v>94</v>
      </c>
      <c r="AE32" s="126">
        <f>_xll.qlCalendarAdvance(Calendar,AE31,AD32,BizDayConv)</f>
        <v>42779</v>
      </c>
      <c r="AF32" s="125">
        <f>_xll.qlYieldTSDiscount($C$31,AE32)</f>
        <v>1.0004011330248883</v>
      </c>
      <c r="AG32" s="125">
        <f>_xll.xlShmInterpDisc(CurveName&amp;T($C$26),AE32)</f>
        <v>1.0004011330248883</v>
      </c>
      <c r="AH32" s="127">
        <f t="shared" si="3"/>
        <v>0</v>
      </c>
    </row>
    <row r="33" spans="2:34" x14ac:dyDescent="0.2">
      <c r="B33" s="115" t="s">
        <v>99</v>
      </c>
      <c r="C33" s="117" t="str">
        <f>_xll.qlEuribor("Euribor3M_30DEC","3M",C31,TRUE,ManualTrigger,TRUE)</f>
        <v>Euribor3M_30DEC#0010</v>
      </c>
      <c r="E33" s="87">
        <v>42891</v>
      </c>
      <c r="F33" s="86">
        <v>1.0013808991223501</v>
      </c>
      <c r="G33" s="136">
        <f t="shared" si="6"/>
        <v>-3.2081560106052534E-3</v>
      </c>
      <c r="H33" s="131"/>
      <c r="I33" s="13"/>
      <c r="J33" s="8"/>
      <c r="K33" s="8"/>
      <c r="L33" s="73">
        <f t="shared" si="7"/>
        <v>99999999.999995872</v>
      </c>
      <c r="M33" s="73">
        <f t="shared" si="7"/>
        <v>99976766.951373309</v>
      </c>
      <c r="N33" s="75">
        <f>O33/L33*(10^4)</f>
        <v>2.3233048622564438</v>
      </c>
      <c r="O33" s="73">
        <f>L33-M33</f>
        <v>23233.048622563481</v>
      </c>
      <c r="P33" s="8"/>
      <c r="Q33" s="8"/>
      <c r="R33" s="59">
        <f t="shared" si="5"/>
        <v>1.49E-2</v>
      </c>
      <c r="AC33" s="112"/>
      <c r="AD33" s="13" t="s">
        <v>94</v>
      </c>
      <c r="AE33" s="126">
        <f>_xll.qlCalendarAdvance(Calendar,AE32,AD33,BizDayConv)</f>
        <v>42780</v>
      </c>
      <c r="AF33" s="125">
        <f>_xll.qlYieldTSDiscount($C$31,AE33)</f>
        <v>1.0004099771043926</v>
      </c>
      <c r="AG33" s="125">
        <f>_xll.xlShmInterpDisc(CurveName&amp;T($C$26),AE33)</f>
        <v>1.0004099771043926</v>
      </c>
      <c r="AH33" s="127">
        <f t="shared" si="3"/>
        <v>0</v>
      </c>
    </row>
    <row r="34" spans="2:34" x14ac:dyDescent="0.2">
      <c r="B34"/>
      <c r="C34"/>
      <c r="E34" s="87">
        <v>42919</v>
      </c>
      <c r="F34" s="86">
        <v>1.00161558279055</v>
      </c>
      <c r="G34" s="136">
        <f t="shared" si="6"/>
        <v>-3.184929115213158E-3</v>
      </c>
      <c r="H34" s="131"/>
      <c r="I34" s="13"/>
      <c r="J34" s="8"/>
      <c r="K34" s="8"/>
      <c r="L34" s="8"/>
      <c r="M34" s="8"/>
      <c r="N34" s="8"/>
      <c r="O34" s="8"/>
      <c r="P34" s="8"/>
      <c r="Q34" s="8"/>
      <c r="R34" s="59">
        <f t="shared" si="5"/>
        <v>2.0299999999999999E-2</v>
      </c>
      <c r="AC34" s="112"/>
      <c r="AD34" s="13" t="s">
        <v>94</v>
      </c>
      <c r="AE34" s="126">
        <f>_xll.qlCalendarAdvance(Calendar,AE33,AD34,BizDayConv)</f>
        <v>42781</v>
      </c>
      <c r="AF34" s="125">
        <f>_xll.qlYieldTSDiscount($C$31,AE34)</f>
        <v>1.0004188186304597</v>
      </c>
      <c r="AG34" s="125">
        <f>_xll.xlShmInterpDisc(CurveName&amp;T($C$26),AE34)</f>
        <v>1.0004188186304597</v>
      </c>
      <c r="AH34" s="127">
        <f t="shared" si="3"/>
        <v>0</v>
      </c>
    </row>
    <row r="35" spans="2:34" x14ac:dyDescent="0.2">
      <c r="B35"/>
      <c r="C35"/>
      <c r="E35" s="87">
        <v>42950</v>
      </c>
      <c r="F35" s="86">
        <v>1.0018729787401099</v>
      </c>
      <c r="G35" s="136">
        <f t="shared" si="6"/>
        <v>-3.1620269417664136E-3</v>
      </c>
      <c r="H35" s="131"/>
      <c r="I35" s="13"/>
      <c r="J35" s="8"/>
      <c r="K35" s="8"/>
      <c r="L35" s="8"/>
      <c r="M35" s="8"/>
      <c r="N35" s="8"/>
      <c r="O35" s="8"/>
      <c r="P35" s="8"/>
      <c r="Q35" s="8"/>
      <c r="R35" s="59">
        <f t="shared" si="5"/>
        <v>2.0299999999999999E-2</v>
      </c>
      <c r="AC35" s="112"/>
      <c r="AD35" s="13" t="s">
        <v>94</v>
      </c>
      <c r="AE35" s="126">
        <f>_xll.qlCalendarAdvance(Calendar,AE34,AD35,BizDayConv)</f>
        <v>42782</v>
      </c>
      <c r="AF35" s="125">
        <f>_xll.qlYieldTSDiscount($C$31,AE35)</f>
        <v>1.000427657556636</v>
      </c>
      <c r="AG35" s="125">
        <f>_xll.xlShmInterpDisc(CurveName&amp;T($C$26),AE35)</f>
        <v>1.000427657556636</v>
      </c>
      <c r="AH35" s="127">
        <f t="shared" si="3"/>
        <v>0</v>
      </c>
    </row>
    <row r="36" spans="2:34" x14ac:dyDescent="0.2">
      <c r="B36"/>
      <c r="C36"/>
      <c r="E36" s="87">
        <v>42982</v>
      </c>
      <c r="F36" s="86">
        <v>1.0021360317294099</v>
      </c>
      <c r="G36" s="136">
        <f t="shared" si="6"/>
        <v>-3.1404035678824532E-3</v>
      </c>
      <c r="H36" s="131"/>
      <c r="I36" s="13"/>
      <c r="J36" s="8"/>
      <c r="K36" s="8"/>
      <c r="L36" s="8"/>
      <c r="M36" s="8"/>
      <c r="N36" s="8"/>
      <c r="O36" s="8"/>
      <c r="P36" s="8"/>
      <c r="Q36" s="8"/>
      <c r="R36" s="59">
        <f t="shared" si="5"/>
        <v>2.0299999999999999E-2</v>
      </c>
      <c r="AC36" s="112"/>
      <c r="AD36" s="13" t="s">
        <v>94</v>
      </c>
      <c r="AE36" s="126">
        <f>_xll.qlCalendarAdvance(Calendar,AE35,AD36,BizDayConv)</f>
        <v>42783</v>
      </c>
      <c r="AF36" s="125">
        <f>_xll.qlYieldTSDiscount($C$31,AE36)</f>
        <v>1.0004364938299899</v>
      </c>
      <c r="AG36" s="125">
        <f>_xll.xlShmInterpDisc(CurveName&amp;T($C$26),AE36)</f>
        <v>1.0004364938299899</v>
      </c>
      <c r="AH36" s="127">
        <f t="shared" si="3"/>
        <v>0</v>
      </c>
    </row>
    <row r="37" spans="2:34" x14ac:dyDescent="0.2">
      <c r="B37"/>
      <c r="C37"/>
      <c r="E37" s="87">
        <v>43011</v>
      </c>
      <c r="F37" s="86">
        <v>1.0023635687603101</v>
      </c>
      <c r="G37" s="136">
        <f t="shared" si="6"/>
        <v>-3.1107749916969392E-3</v>
      </c>
      <c r="H37" s="131"/>
      <c r="I37" s="81" t="str">
        <f>_xll.ohRangeRetrieveError(Q3)</f>
        <v/>
      </c>
      <c r="J37" s="82"/>
      <c r="K37" s="82"/>
      <c r="L37" s="82"/>
      <c r="M37" s="82"/>
      <c r="N37" s="82"/>
      <c r="O37" s="82"/>
      <c r="P37" s="82"/>
      <c r="Q37" s="82"/>
      <c r="R37" s="60">
        <f t="shared" si="5"/>
        <v>2.0299999999999999E-2</v>
      </c>
      <c r="AC37" s="112"/>
      <c r="AD37" s="13" t="s">
        <v>94</v>
      </c>
      <c r="AE37" s="126">
        <f>_xll.qlCalendarAdvance(Calendar,AE36,AD37,BizDayConv)</f>
        <v>42786</v>
      </c>
      <c r="AF37" s="125">
        <f>_xll.qlYieldTSDiscount($C$31,AE37)</f>
        <v>1.0004629861066325</v>
      </c>
      <c r="AG37" s="125">
        <f>_xll.xlShmInterpDisc(CurveName&amp;T($C$26),AE37)</f>
        <v>1.0004629861066325</v>
      </c>
      <c r="AH37" s="127">
        <f t="shared" si="3"/>
        <v>0</v>
      </c>
    </row>
    <row r="38" spans="2:34" x14ac:dyDescent="0.2">
      <c r="B38"/>
      <c r="C38"/>
      <c r="E38" s="87">
        <v>43042</v>
      </c>
      <c r="F38" s="86">
        <v>1.00260320807666</v>
      </c>
      <c r="G38" s="136">
        <f t="shared" si="6"/>
        <v>-3.0809621551779647E-3</v>
      </c>
      <c r="H38" s="131"/>
      <c r="AC38" s="112"/>
      <c r="AD38" s="13" t="s">
        <v>94</v>
      </c>
      <c r="AE38" s="126">
        <f>_xll.qlCalendarAdvance(Calendar,AE37,AD38,BizDayConv)</f>
        <v>42787</v>
      </c>
      <c r="AF38" s="125">
        <f>_xll.qlYieldTSDiscount($C$31,AE38)</f>
        <v>1.000471811109819</v>
      </c>
      <c r="AG38" s="125">
        <f>_xll.xlShmInterpDisc(CurveName&amp;T($C$26),AE38)</f>
        <v>1.000471811109819</v>
      </c>
      <c r="AH38" s="127">
        <f t="shared" si="3"/>
        <v>0</v>
      </c>
    </row>
    <row r="39" spans="2:34" x14ac:dyDescent="0.2">
      <c r="B39"/>
      <c r="C39"/>
      <c r="E39" s="87">
        <v>43073</v>
      </c>
      <c r="F39" s="86">
        <v>1.0028407502099299</v>
      </c>
      <c r="G39" s="136">
        <f t="shared" si="6"/>
        <v>-3.0542886727667621E-3</v>
      </c>
      <c r="H39" s="131"/>
      <c r="AC39" s="112"/>
      <c r="AD39" s="13" t="s">
        <v>94</v>
      </c>
      <c r="AE39" s="126">
        <f>_xll.qlCalendarAdvance(Calendar,AE38,AD39,BizDayConv)</f>
        <v>42788</v>
      </c>
      <c r="AF39" s="125">
        <f>_xll.qlYieldTSDiscount($C$31,AE39)</f>
        <v>1.0004806330983502</v>
      </c>
      <c r="AG39" s="125">
        <f>_xll.xlShmInterpDisc(CurveName&amp;T($C$26),AE39)</f>
        <v>1.0004806330983502</v>
      </c>
      <c r="AH39" s="127">
        <f t="shared" si="3"/>
        <v>0</v>
      </c>
    </row>
    <row r="40" spans="2:34" x14ac:dyDescent="0.2">
      <c r="B40"/>
      <c r="C40"/>
      <c r="E40" s="87">
        <v>43103</v>
      </c>
      <c r="F40" s="86">
        <v>1.0030608074727001</v>
      </c>
      <c r="G40" s="136">
        <f t="shared" si="6"/>
        <v>-3.0230039278850707E-3</v>
      </c>
      <c r="H40" s="131"/>
      <c r="AC40" s="112"/>
      <c r="AD40" s="13" t="s">
        <v>94</v>
      </c>
      <c r="AE40" s="126">
        <f>_xll.qlCalendarAdvance(Calendar,AE39,AD40,BizDayConv)</f>
        <v>42789</v>
      </c>
      <c r="AF40" s="125">
        <f>_xll.qlYieldTSDiscount($C$31,AE40)</f>
        <v>1.0004894519804228</v>
      </c>
      <c r="AG40" s="125">
        <f>_xll.xlShmInterpDisc(CurveName&amp;T($C$26),AE40)</f>
        <v>1.0004894519804228</v>
      </c>
      <c r="AH40" s="127">
        <f t="shared" si="3"/>
        <v>0</v>
      </c>
    </row>
    <row r="41" spans="2:34" x14ac:dyDescent="0.2">
      <c r="B41"/>
      <c r="C41"/>
      <c r="E41" s="87">
        <v>43136</v>
      </c>
      <c r="F41" s="86">
        <v>1.00330529882911</v>
      </c>
      <c r="G41" s="136">
        <f t="shared" si="6"/>
        <v>-2.9961309518152712E-3</v>
      </c>
      <c r="H41" s="131"/>
      <c r="AC41" s="112"/>
      <c r="AD41" s="13" t="s">
        <v>94</v>
      </c>
      <c r="AE41" s="126">
        <f>_xll.qlCalendarAdvance(Calendar,AE40,AD41,BizDayConv)</f>
        <v>42790</v>
      </c>
      <c r="AF41" s="125">
        <f>_xll.qlYieldTSDiscount($C$31,AE41)</f>
        <v>1.0004982676577532</v>
      </c>
      <c r="AG41" s="125">
        <f>_xll.xlShmInterpDisc(CurveName&amp;T($C$26),AE41)</f>
        <v>1.0004982676577532</v>
      </c>
      <c r="AH41" s="127">
        <f t="shared" si="3"/>
        <v>0</v>
      </c>
    </row>
    <row r="42" spans="2:34" x14ac:dyDescent="0.2">
      <c r="B42"/>
      <c r="C42"/>
      <c r="E42" s="87">
        <v>43164</v>
      </c>
      <c r="F42" s="86">
        <v>1.00351042616766</v>
      </c>
      <c r="G42" s="136">
        <f t="shared" si="6"/>
        <v>-2.9745624100583463E-3</v>
      </c>
      <c r="H42" s="131"/>
      <c r="AC42" s="112"/>
      <c r="AD42" s="13" t="s">
        <v>94</v>
      </c>
      <c r="AE42" s="126">
        <f>_xll.qlCalendarAdvance(Calendar,AE41,AD42,BizDayConv)</f>
        <v>42793</v>
      </c>
      <c r="AF42" s="125">
        <f>_xll.qlYieldTSDiscount($C$31,AE42)</f>
        <v>1.0005246943812554</v>
      </c>
      <c r="AG42" s="125">
        <f>_xll.xlShmInterpDisc(CurveName&amp;T($C$26),AE42)</f>
        <v>1.0005246943812554</v>
      </c>
      <c r="AH42" s="127">
        <f t="shared" si="3"/>
        <v>0</v>
      </c>
    </row>
    <row r="43" spans="2:34" x14ac:dyDescent="0.2">
      <c r="B43"/>
      <c r="C43"/>
      <c r="E43" s="87">
        <v>43193</v>
      </c>
      <c r="F43" s="86">
        <v>1.0037132210663899</v>
      </c>
      <c r="G43" s="136">
        <f t="shared" si="6"/>
        <v>-2.9473106515629415E-3</v>
      </c>
      <c r="H43" s="131"/>
      <c r="AC43" s="112"/>
      <c r="AD43" s="13" t="s">
        <v>94</v>
      </c>
      <c r="AE43" s="126">
        <f>_xll.qlCalendarAdvance(Calendar,AE42,AD43,BizDayConv)</f>
        <v>42794</v>
      </c>
      <c r="AF43" s="125">
        <f>_xll.qlYieldTSDiscount($C$31,AE43)</f>
        <v>1.0005334961271788</v>
      </c>
      <c r="AG43" s="125">
        <f>_xll.xlShmInterpDisc(CurveName&amp;T($C$26),AE43)</f>
        <v>1.0005334961271788</v>
      </c>
      <c r="AH43" s="127">
        <f t="shared" si="3"/>
        <v>0</v>
      </c>
    </row>
    <row r="44" spans="2:34" x14ac:dyDescent="0.2">
      <c r="B44"/>
      <c r="C44"/>
      <c r="E44" s="87">
        <v>43272</v>
      </c>
      <c r="F44" s="86">
        <v>1.00424615850142</v>
      </c>
      <c r="G44" s="136">
        <f t="shared" si="6"/>
        <v>-2.8746592716567456E-3</v>
      </c>
      <c r="H44" s="131"/>
      <c r="AC44" s="112"/>
      <c r="AD44" s="13" t="s">
        <v>94</v>
      </c>
      <c r="AE44" s="126">
        <f>_xll.qlCalendarAdvance(Calendar,AE43,AD44,BizDayConv)</f>
        <v>42795</v>
      </c>
      <c r="AF44" s="125">
        <f>_xll.qlYieldTSDiscount($C$31,AE44)</f>
        <v>1.0005422940797377</v>
      </c>
      <c r="AG44" s="125">
        <f>_xll.xlShmInterpDisc(CurveName&amp;T($C$26),AE44)</f>
        <v>1.0005422940797377</v>
      </c>
      <c r="AH44" s="127">
        <f t="shared" si="3"/>
        <v>0</v>
      </c>
    </row>
    <row r="45" spans="2:34" x14ac:dyDescent="0.2">
      <c r="B45"/>
      <c r="C45"/>
      <c r="E45" s="87">
        <v>43363</v>
      </c>
      <c r="F45" s="86">
        <v>1.00483721332869</v>
      </c>
      <c r="G45" s="136">
        <f t="shared" si="6"/>
        <v>-2.8002008512932148E-3</v>
      </c>
      <c r="H45" s="131"/>
      <c r="AC45" s="112"/>
      <c r="AD45" s="13" t="s">
        <v>94</v>
      </c>
      <c r="AE45" s="126">
        <f>_xll.qlCalendarAdvance(Calendar,AE44,AD45,BizDayConv)</f>
        <v>42796</v>
      </c>
      <c r="AF45" s="125">
        <f>_xll.qlYieldTSDiscount($C$31,AE45)</f>
        <v>1.0005510881017645</v>
      </c>
      <c r="AG45" s="125">
        <f>_xll.xlShmInterpDisc(CurveName&amp;T($C$26),AE45)</f>
        <v>1.0005510881017645</v>
      </c>
      <c r="AH45" s="127">
        <f t="shared" si="3"/>
        <v>0</v>
      </c>
    </row>
    <row r="46" spans="2:34" x14ac:dyDescent="0.2">
      <c r="B46"/>
      <c r="C46"/>
      <c r="E46" s="87">
        <v>43453</v>
      </c>
      <c r="F46" s="86">
        <v>1.0053596262550999</v>
      </c>
      <c r="G46" s="136">
        <f t="shared" si="6"/>
        <v>-2.7135463406355496E-3</v>
      </c>
      <c r="H46" s="131"/>
      <c r="AC46" s="112"/>
      <c r="AD46" s="13" t="s">
        <v>94</v>
      </c>
      <c r="AE46" s="126">
        <f>_xll.qlCalendarAdvance(Calendar,AE45,AD46,BizDayConv)</f>
        <v>42797</v>
      </c>
      <c r="AF46" s="125">
        <f>_xll.qlYieldTSDiscount($C$31,AE46)</f>
        <v>1.0005598780496101</v>
      </c>
      <c r="AG46" s="125">
        <f>_xll.xlShmInterpDisc(CurveName&amp;T($C$26),AE46)</f>
        <v>1.0005598780496101</v>
      </c>
      <c r="AH46" s="127">
        <f t="shared" si="3"/>
        <v>0</v>
      </c>
    </row>
    <row r="47" spans="2:34" x14ac:dyDescent="0.2">
      <c r="B47"/>
      <c r="C47"/>
      <c r="E47" s="87">
        <v>43543</v>
      </c>
      <c r="F47" s="86">
        <v>1.0058204177351999</v>
      </c>
      <c r="G47" s="136">
        <f t="shared" si="6"/>
        <v>-2.6184100851584431E-3</v>
      </c>
      <c r="H47" s="131"/>
      <c r="AC47" s="112"/>
      <c r="AD47" s="13" t="s">
        <v>94</v>
      </c>
      <c r="AE47" s="126">
        <f>_xll.qlCalendarAdvance(Calendar,AE46,AD47,BizDayConv)</f>
        <v>42800</v>
      </c>
      <c r="AF47" s="125">
        <f>_xll.qlYieldTSDiscount($C$31,AE47)</f>
        <v>1.0005862082159027</v>
      </c>
      <c r="AG47" s="125">
        <f>_xll.xlShmInterpDisc(CurveName&amp;T($C$26),AE47)</f>
        <v>1.0005862082159027</v>
      </c>
      <c r="AH47" s="127">
        <f t="shared" si="3"/>
        <v>0</v>
      </c>
    </row>
    <row r="48" spans="2:34" x14ac:dyDescent="0.2">
      <c r="B48"/>
      <c r="C48"/>
      <c r="E48" s="87">
        <v>43636</v>
      </c>
      <c r="F48" s="86">
        <v>1.00620565505204</v>
      </c>
      <c r="G48" s="136">
        <f t="shared" si="6"/>
        <v>-2.503397929164904E-3</v>
      </c>
      <c r="H48" s="131"/>
      <c r="AC48" s="112"/>
      <c r="AD48" s="13" t="s">
        <v>94</v>
      </c>
      <c r="AE48" s="126">
        <f>_xll.qlCalendarAdvance(Calendar,AE47,AD48,BizDayConv)</f>
        <v>42801</v>
      </c>
      <c r="AF48" s="125">
        <f>_xll.qlYieldTSDiscount($C$31,AE48)</f>
        <v>1.0005949707723441</v>
      </c>
      <c r="AG48" s="125">
        <f>_xll.xlShmInterpDisc(CurveName&amp;T($C$26),AE48)</f>
        <v>1.0005949707723441</v>
      </c>
      <c r="AH48" s="127">
        <f t="shared" si="3"/>
        <v>0</v>
      </c>
    </row>
    <row r="49" spans="2:34" x14ac:dyDescent="0.2">
      <c r="B49"/>
      <c r="C49"/>
      <c r="E49" s="87">
        <v>43727</v>
      </c>
      <c r="F49" s="86">
        <v>1.0064958356668099</v>
      </c>
      <c r="G49" s="136">
        <f t="shared" si="6"/>
        <v>-2.3799722628412099E-3</v>
      </c>
      <c r="H49" s="131"/>
      <c r="AC49" s="112"/>
      <c r="AD49" s="13" t="s">
        <v>94</v>
      </c>
      <c r="AE49" s="126">
        <f>_xll.qlCalendarAdvance(Calendar,AE48,AD49,BizDayConv)</f>
        <v>42802</v>
      </c>
      <c r="AF49" s="125">
        <f>_xll.qlYieldTSDiscount($C$31,AE49)</f>
        <v>1.000603726731305</v>
      </c>
      <c r="AG49" s="125">
        <f>_xll.xlShmInterpDisc(CurveName&amp;T($C$26),AE49)</f>
        <v>1.000603726731305</v>
      </c>
      <c r="AH49" s="127">
        <f t="shared" si="3"/>
        <v>0</v>
      </c>
    </row>
    <row r="50" spans="2:34" x14ac:dyDescent="0.2">
      <c r="B50"/>
      <c r="C50"/>
      <c r="E50" s="87">
        <v>43833</v>
      </c>
      <c r="F50" s="86">
        <v>1.0067003223153199</v>
      </c>
      <c r="G50" s="136">
        <f t="shared" si="6"/>
        <v>-2.2178897607185578E-3</v>
      </c>
      <c r="H50" s="131"/>
      <c r="AC50" s="112"/>
      <c r="AD50" s="13" t="s">
        <v>94</v>
      </c>
      <c r="AE50" s="126">
        <f>_xll.qlCalendarAdvance(Calendar,AE49,AD50,BizDayConv)</f>
        <v>42803</v>
      </c>
      <c r="AF50" s="125">
        <f>_xll.qlYieldTSDiscount($C$31,AE50)</f>
        <v>1.0006124764244999</v>
      </c>
      <c r="AG50" s="125">
        <f>_xll.xlShmInterpDisc(CurveName&amp;T($C$26),AE50)</f>
        <v>1.0006124764244999</v>
      </c>
      <c r="AH50" s="127">
        <f t="shared" si="3"/>
        <v>0</v>
      </c>
    </row>
    <row r="51" spans="2:34" x14ac:dyDescent="0.2">
      <c r="B51"/>
      <c r="C51"/>
      <c r="E51" s="87">
        <v>44200</v>
      </c>
      <c r="F51" s="86">
        <v>1.0060787922832199</v>
      </c>
      <c r="G51" s="136">
        <f t="shared" si="6"/>
        <v>-1.5088967941798979E-3</v>
      </c>
      <c r="H51" s="131"/>
      <c r="AC51" s="112"/>
      <c r="AD51" s="13" t="s">
        <v>94</v>
      </c>
      <c r="AE51" s="126">
        <f>_xll.qlCalendarAdvance(Calendar,AE50,AD51,BizDayConv)</f>
        <v>42804</v>
      </c>
      <c r="AF51" s="125">
        <f>_xll.qlYieldTSDiscount($C$31,AE51)</f>
        <v>1.0006212202106477</v>
      </c>
      <c r="AG51" s="125">
        <f>_xll.xlShmInterpDisc(CurveName&amp;T($C$26),AE51)</f>
        <v>1.0006212202106477</v>
      </c>
      <c r="AH51" s="127">
        <f t="shared" si="3"/>
        <v>0</v>
      </c>
    </row>
    <row r="52" spans="2:34" x14ac:dyDescent="0.2">
      <c r="B52"/>
      <c r="C52"/>
      <c r="E52" s="87">
        <v>44564</v>
      </c>
      <c r="F52" s="86">
        <v>1.0027191601863701</v>
      </c>
      <c r="G52" s="136">
        <f t="shared" si="6"/>
        <v>-5.4161012830364395E-4</v>
      </c>
      <c r="H52" s="131"/>
      <c r="AC52" s="112"/>
      <c r="AD52" s="13" t="s">
        <v>94</v>
      </c>
      <c r="AE52" s="126">
        <f>_xll.qlCalendarAdvance(Calendar,AE51,AD52,BizDayConv)</f>
        <v>42807</v>
      </c>
      <c r="AF52" s="125">
        <f>_xll.qlYieldTSDiscount($C$31,AE52)</f>
        <v>1.0006474201191062</v>
      </c>
      <c r="AG52" s="125">
        <f>_xll.xlShmInterpDisc(CurveName&amp;T($C$26),AE52)</f>
        <v>1.0006474201191062</v>
      </c>
      <c r="AH52" s="127">
        <f t="shared" si="3"/>
        <v>0</v>
      </c>
    </row>
    <row r="53" spans="2:34" x14ac:dyDescent="0.2">
      <c r="B53"/>
      <c r="C53"/>
      <c r="E53" s="87">
        <v>44929</v>
      </c>
      <c r="F53" s="86">
        <v>0.99634352052120101</v>
      </c>
      <c r="G53" s="136">
        <f t="shared" si="6"/>
        <v>6.0913939416051691E-4</v>
      </c>
      <c r="H53" s="131"/>
      <c r="AC53" s="112"/>
      <c r="AD53" s="13" t="s">
        <v>94</v>
      </c>
      <c r="AE53" s="126">
        <f>_xll.qlCalendarAdvance(Calendar,AE52,AD53,BizDayConv)</f>
        <v>42808</v>
      </c>
      <c r="AF53" s="125">
        <f>_xll.qlYieldTSDiscount($C$31,AE53)</f>
        <v>1.0006561444044058</v>
      </c>
      <c r="AG53" s="125">
        <f>_xll.xlShmInterpDisc(CurveName&amp;T($C$26),AE53)</f>
        <v>1.0006561444044058</v>
      </c>
      <c r="AH53" s="127">
        <f t="shared" si="3"/>
        <v>0</v>
      </c>
    </row>
    <row r="54" spans="2:34" x14ac:dyDescent="0.2">
      <c r="B54"/>
      <c r="C54"/>
      <c r="E54" s="87">
        <v>45294</v>
      </c>
      <c r="F54" s="86">
        <v>0.98692974236832398</v>
      </c>
      <c r="G54" s="136">
        <f t="shared" si="6"/>
        <v>1.8758184214775551E-3</v>
      </c>
      <c r="H54" s="131"/>
      <c r="AC54" s="112"/>
      <c r="AD54" s="13" t="s">
        <v>94</v>
      </c>
      <c r="AE54" s="126">
        <f>_xll.qlCalendarAdvance(Calendar,AE53,AD54,BizDayConv)</f>
        <v>42809</v>
      </c>
      <c r="AF54" s="125">
        <f>_xll.qlYieldTSDiscount($C$31,AE54)</f>
        <v>1.0006648649813745</v>
      </c>
      <c r="AG54" s="125">
        <f>_xll.xlShmInterpDisc(CurveName&amp;T($C$26),AE54)</f>
        <v>1.0006648649813745</v>
      </c>
      <c r="AH54" s="127">
        <f t="shared" si="3"/>
        <v>0</v>
      </c>
    </row>
    <row r="55" spans="2:34" x14ac:dyDescent="0.2">
      <c r="B55"/>
      <c r="C55"/>
      <c r="E55" s="87">
        <v>45660</v>
      </c>
      <c r="F55" s="86">
        <v>0.97491486415124995</v>
      </c>
      <c r="G55" s="136">
        <f t="shared" si="6"/>
        <v>3.1691294172423844E-3</v>
      </c>
      <c r="H55" s="131"/>
      <c r="AC55" s="112"/>
      <c r="AD55" s="13" t="s">
        <v>94</v>
      </c>
      <c r="AE55" s="126">
        <f>_xll.qlCalendarAdvance(Calendar,AE54,AD55,BizDayConv)</f>
        <v>42810</v>
      </c>
      <c r="AF55" s="125">
        <f>_xll.qlYieldTSDiscount($C$31,AE55)</f>
        <v>1.0006735823707877</v>
      </c>
      <c r="AG55" s="125">
        <f>_xll.xlShmInterpDisc(CurveName&amp;T($C$26),AE55)</f>
        <v>1.0006735823707877</v>
      </c>
      <c r="AH55" s="127">
        <f t="shared" si="3"/>
        <v>0</v>
      </c>
    </row>
    <row r="56" spans="2:34" x14ac:dyDescent="0.2">
      <c r="B56"/>
      <c r="C56"/>
      <c r="E56" s="87">
        <v>46027</v>
      </c>
      <c r="F56" s="86">
        <v>0.96080729790889297</v>
      </c>
      <c r="G56" s="136">
        <f t="shared" si="6"/>
        <v>4.4315868794627634E-3</v>
      </c>
      <c r="H56" s="131"/>
      <c r="AC56" s="112"/>
      <c r="AD56" s="13" t="s">
        <v>94</v>
      </c>
      <c r="AE56" s="126">
        <f>_xll.qlCalendarAdvance(Calendar,AE55,AD56,BizDayConv)</f>
        <v>42811</v>
      </c>
      <c r="AF56" s="125">
        <f>_xll.qlYieldTSDiscount($C$31,AE56)</f>
        <v>1.0006822971204343</v>
      </c>
      <c r="AG56" s="125">
        <f>_xll.xlShmInterpDisc(CurveName&amp;T($C$26),AE56)</f>
        <v>1.0006822971204343</v>
      </c>
      <c r="AH56" s="127">
        <f t="shared" si="3"/>
        <v>0</v>
      </c>
    </row>
    <row r="57" spans="2:34" x14ac:dyDescent="0.2">
      <c r="B57"/>
      <c r="C57"/>
      <c r="E57" s="87">
        <v>46391</v>
      </c>
      <c r="F57" s="86">
        <v>0.94552833882730702</v>
      </c>
      <c r="G57" s="136">
        <f t="shared" si="6"/>
        <v>5.5904205469375252E-3</v>
      </c>
      <c r="H57" s="131"/>
      <c r="AC57" s="112"/>
      <c r="AD57" s="13" t="s">
        <v>94</v>
      </c>
      <c r="AE57" s="126">
        <f>_xll.qlCalendarAdvance(Calendar,AE56,AD57,BizDayConv)</f>
        <v>42814</v>
      </c>
      <c r="AF57" s="125">
        <f>_xll.qlYieldTSDiscount($C$31,AE57)</f>
        <v>1.0007084314138841</v>
      </c>
      <c r="AG57" s="125">
        <f>_xll.xlShmInterpDisc(CurveName&amp;T($C$26),AE57)</f>
        <v>1.0007084314138841</v>
      </c>
      <c r="AH57" s="127">
        <f t="shared" si="3"/>
        <v>0</v>
      </c>
    </row>
    <row r="58" spans="2:34" x14ac:dyDescent="0.2">
      <c r="B58"/>
      <c r="C58"/>
      <c r="E58" s="87">
        <v>46755</v>
      </c>
      <c r="F58" s="86">
        <v>0.92946082119928797</v>
      </c>
      <c r="G58" s="136">
        <f t="shared" si="6"/>
        <v>6.6401336573782962E-3</v>
      </c>
      <c r="H58" s="131"/>
      <c r="AC58" s="112"/>
      <c r="AD58" s="13" t="s">
        <v>94</v>
      </c>
      <c r="AE58" s="126">
        <f>_xll.qlCalendarAdvance(Calendar,AE57,AD58,BizDayConv)</f>
        <v>42815</v>
      </c>
      <c r="AF58" s="125">
        <f>_xll.qlYieldTSDiscount($C$31,AE58)</f>
        <v>1.0007171416226575</v>
      </c>
      <c r="AG58" s="125">
        <f>_xll.xlShmInterpDisc(CurveName&amp;T($C$26),AE58)</f>
        <v>1.0007171416226575</v>
      </c>
      <c r="AH58" s="127">
        <f t="shared" si="3"/>
        <v>0</v>
      </c>
    </row>
    <row r="59" spans="2:34" x14ac:dyDescent="0.2">
      <c r="B59"/>
      <c r="C59"/>
      <c r="E59" s="87">
        <v>47121</v>
      </c>
      <c r="F59" s="86">
        <v>0.91292574175164698</v>
      </c>
      <c r="G59" s="136">
        <f t="shared" si="6"/>
        <v>7.5796144634473735E-3</v>
      </c>
      <c r="H59" s="131"/>
      <c r="AC59" s="112"/>
      <c r="AD59" s="13" t="s">
        <v>94</v>
      </c>
      <c r="AE59" s="126">
        <f>_xll.qlCalendarAdvance(Calendar,AE58,AD59,BizDayConv)</f>
        <v>42816</v>
      </c>
      <c r="AF59" s="125">
        <f>_xll.qlYieldTSDiscount($C$31,AE59)</f>
        <v>1.0007258523358484</v>
      </c>
      <c r="AG59" s="125">
        <f>_xll.xlShmInterpDisc(CurveName&amp;T($C$26),AE59)</f>
        <v>1.0007258523358484</v>
      </c>
      <c r="AH59" s="127">
        <f t="shared" si="3"/>
        <v>0</v>
      </c>
    </row>
    <row r="60" spans="2:34" x14ac:dyDescent="0.2">
      <c r="B60"/>
      <c r="C60"/>
      <c r="E60" s="87">
        <v>47486</v>
      </c>
      <c r="F60" s="86">
        <v>0.89643967608853703</v>
      </c>
      <c r="G60" s="136">
        <f t="shared" si="6"/>
        <v>8.3971719071300986E-3</v>
      </c>
      <c r="H60" s="131"/>
      <c r="AC60" s="112"/>
      <c r="AD60" s="13" t="s">
        <v>94</v>
      </c>
      <c r="AE60" s="126">
        <f>_xll.qlCalendarAdvance(Calendar,AE59,AD60,BizDayConv)</f>
        <v>42817</v>
      </c>
      <c r="AF60" s="125">
        <f>_xll.qlYieldTSDiscount($C$31,AE60)</f>
        <v>1.0007345642633501</v>
      </c>
      <c r="AG60" s="125">
        <f>_xll.xlShmInterpDisc(CurveName&amp;T($C$26),AE60)</f>
        <v>1.0007345642633501</v>
      </c>
      <c r="AH60" s="127">
        <f t="shared" si="3"/>
        <v>0</v>
      </c>
    </row>
    <row r="61" spans="2:34" x14ac:dyDescent="0.2">
      <c r="B61"/>
      <c r="C61"/>
      <c r="E61" s="87">
        <v>47851</v>
      </c>
      <c r="F61" s="86">
        <v>0.88020467579415396</v>
      </c>
      <c r="G61" s="136">
        <f t="shared" si="6"/>
        <v>9.1018754220843576E-3</v>
      </c>
      <c r="H61" s="131"/>
      <c r="AC61" s="112"/>
      <c r="AD61" s="13" t="s">
        <v>94</v>
      </c>
      <c r="AE61" s="126">
        <f>_xll.qlCalendarAdvance(Calendar,AE60,AD61,BizDayConv)</f>
        <v>42818</v>
      </c>
      <c r="AF61" s="125">
        <f>_xll.qlYieldTSDiscount($C$31,AE61)</f>
        <v>1.0007432781420771</v>
      </c>
      <c r="AG61" s="125">
        <f>_xll.xlShmInterpDisc(CurveName&amp;T($C$26),AE61)</f>
        <v>1.0007432781420771</v>
      </c>
      <c r="AH61" s="127">
        <f t="shared" si="3"/>
        <v>0</v>
      </c>
    </row>
    <row r="62" spans="2:34" x14ac:dyDescent="0.2">
      <c r="B62"/>
      <c r="C62"/>
      <c r="E62" s="87">
        <v>48218</v>
      </c>
      <c r="F62" s="86">
        <v>0.86430726283224302</v>
      </c>
      <c r="G62" s="136">
        <f t="shared" si="6"/>
        <v>9.7058415333845949E-3</v>
      </c>
      <c r="H62" s="131"/>
      <c r="AC62" s="112"/>
      <c r="AD62" s="13" t="s">
        <v>94</v>
      </c>
      <c r="AE62" s="126">
        <f>_xll.qlCalendarAdvance(Calendar,AE61,AD62,BizDayConv)</f>
        <v>42821</v>
      </c>
      <c r="AF62" s="125">
        <f>_xll.qlYieldTSDiscount($C$31,AE62)</f>
        <v>1.0007694392601083</v>
      </c>
      <c r="AG62" s="125">
        <f>_xll.xlShmInterpDisc(CurveName&amp;T($C$26),AE62)</f>
        <v>1.0007694392601083</v>
      </c>
      <c r="AH62" s="127">
        <f t="shared" si="3"/>
        <v>0</v>
      </c>
    </row>
    <row r="63" spans="2:34" x14ac:dyDescent="0.2">
      <c r="B63"/>
      <c r="C63"/>
      <c r="E63" s="87">
        <v>48582</v>
      </c>
      <c r="F63" s="86">
        <v>0.84908994944327898</v>
      </c>
      <c r="G63" s="136">
        <f t="shared" si="6"/>
        <v>1.0210397576769821E-2</v>
      </c>
      <c r="H63" s="131"/>
      <c r="AC63" s="112"/>
      <c r="AD63" s="13" t="s">
        <v>94</v>
      </c>
      <c r="AE63" s="126">
        <f>_xll.qlCalendarAdvance(Calendar,AE62,AD63,BizDayConv)</f>
        <v>42822</v>
      </c>
      <c r="AF63" s="125">
        <f>_xll.qlYieldTSDiscount($C$31,AE63)</f>
        <v>1.0007781688533584</v>
      </c>
      <c r="AG63" s="125">
        <f>_xll.xlShmInterpDisc(CurveName&amp;T($C$26),AE63)</f>
        <v>1.0007781688533584</v>
      </c>
      <c r="AH63" s="127">
        <f t="shared" si="3"/>
        <v>0</v>
      </c>
    </row>
    <row r="64" spans="2:34" x14ac:dyDescent="0.2">
      <c r="B64"/>
      <c r="C64"/>
      <c r="E64" s="87">
        <v>48947</v>
      </c>
      <c r="F64" s="86">
        <v>0.83447178268567601</v>
      </c>
      <c r="G64" s="136">
        <f t="shared" si="6"/>
        <v>1.0630785081275226E-2</v>
      </c>
      <c r="H64" s="131"/>
      <c r="AC64" s="112"/>
      <c r="AD64" s="13" t="s">
        <v>94</v>
      </c>
      <c r="AE64" s="126">
        <f>_xll.qlCalendarAdvance(Calendar,AE63,AD64,BizDayConv)</f>
        <v>42823</v>
      </c>
      <c r="AF64" s="125">
        <f>_xll.qlYieldTSDiscount($C$31,AE64)</f>
        <v>1.0007869044877733</v>
      </c>
      <c r="AG64" s="125">
        <f>_xll.xlShmInterpDisc(CurveName&amp;T($C$26),AE64)</f>
        <v>1.0007869044877733</v>
      </c>
      <c r="AH64" s="127">
        <f t="shared" si="3"/>
        <v>0</v>
      </c>
    </row>
    <row r="65" spans="2:34" x14ac:dyDescent="0.2">
      <c r="B65"/>
      <c r="C65"/>
      <c r="E65" s="87">
        <v>49312</v>
      </c>
      <c r="F65" s="86">
        <v>0.82054541394138403</v>
      </c>
      <c r="G65" s="136">
        <f t="shared" si="6"/>
        <v>1.0974748802128136E-2</v>
      </c>
      <c r="H65" s="131"/>
      <c r="AC65" s="112"/>
      <c r="AD65" s="13" t="s">
        <v>94</v>
      </c>
      <c r="AE65" s="126">
        <f>_xll.qlCalendarAdvance(Calendar,AE64,AD65,BizDayConv)</f>
        <v>42824</v>
      </c>
      <c r="AF65" s="125">
        <f>_xll.qlYieldTSDiscount($C$31,AE65)</f>
        <v>1.0007956470624222</v>
      </c>
      <c r="AG65" s="125">
        <f>_xll.xlShmInterpDisc(CurveName&amp;T($C$26),AE65)</f>
        <v>1.0007956470624222</v>
      </c>
      <c r="AH65" s="127">
        <f t="shared" si="3"/>
        <v>0</v>
      </c>
    </row>
    <row r="66" spans="2:34" x14ac:dyDescent="0.2">
      <c r="B66"/>
      <c r="C66"/>
      <c r="E66" s="87">
        <v>49677</v>
      </c>
      <c r="F66" s="86">
        <v>0.80732809553804097</v>
      </c>
      <c r="G66" s="136">
        <f t="shared" si="6"/>
        <v>1.1251501215016344E-2</v>
      </c>
      <c r="H66" s="131"/>
      <c r="AC66" s="112"/>
      <c r="AD66" s="13" t="s">
        <v>94</v>
      </c>
      <c r="AE66" s="126">
        <f>_xll.qlCalendarAdvance(Calendar,AE65,AD66,BizDayConv)</f>
        <v>42825</v>
      </c>
      <c r="AF66" s="125">
        <f>_xll.qlYieldTSDiscount($C$31,AE66)</f>
        <v>1.0008043975034042</v>
      </c>
      <c r="AG66" s="125">
        <f>_xll.xlShmInterpDisc(CurveName&amp;T($C$26),AE66)</f>
        <v>1.0008043975034042</v>
      </c>
      <c r="AH66" s="127">
        <f t="shared" si="3"/>
        <v>0</v>
      </c>
    </row>
    <row r="67" spans="2:34" x14ac:dyDescent="0.2">
      <c r="B67"/>
      <c r="C67"/>
      <c r="E67" s="87">
        <v>50045</v>
      </c>
      <c r="F67" s="86">
        <v>0.79470742539324801</v>
      </c>
      <c r="G67" s="136">
        <f t="shared" si="6"/>
        <v>1.1471776283587393E-2</v>
      </c>
      <c r="H67" s="131"/>
      <c r="AC67" s="112"/>
      <c r="AD67" s="13" t="s">
        <v>94</v>
      </c>
      <c r="AE67" s="126">
        <f>_xll.qlCalendarAdvance(Calendar,AE66,AD67,BizDayConv)</f>
        <v>42828</v>
      </c>
      <c r="AF67" s="125">
        <f>_xll.qlYieldTSDiscount($C$31,AE67)</f>
        <v>1.0008307056908201</v>
      </c>
      <c r="AG67" s="125">
        <f>_xll.xlShmInterpDisc(CurveName&amp;T($C$26),AE67)</f>
        <v>1.0008307056908201</v>
      </c>
      <c r="AH67" s="127">
        <f t="shared" si="3"/>
        <v>0</v>
      </c>
    </row>
    <row r="68" spans="2:34" x14ac:dyDescent="0.2">
      <c r="B68"/>
      <c r="C68"/>
      <c r="E68" s="87">
        <v>50409</v>
      </c>
      <c r="F68" s="86">
        <v>0.78287786168932305</v>
      </c>
      <c r="G68" s="136">
        <f t="shared" si="6"/>
        <v>1.1640935858785655E-2</v>
      </c>
      <c r="H68" s="131"/>
      <c r="AC68" s="112"/>
      <c r="AD68" s="13" t="s">
        <v>94</v>
      </c>
      <c r="AE68" s="126">
        <f>_xll.qlCalendarAdvance(Calendar,AE67,AD68,BizDayConv)</f>
        <v>42829</v>
      </c>
      <c r="AF68" s="125">
        <f>_xll.qlYieldTSDiscount($C$31,AE68)</f>
        <v>1.0008394927099493</v>
      </c>
      <c r="AG68" s="125">
        <f>_xll.xlShmInterpDisc(CurveName&amp;T($C$26),AE68)</f>
        <v>1.0008394927099493</v>
      </c>
      <c r="AH68" s="127">
        <f t="shared" ref="AH68:AH131" si="8">(AF68-AG68)</f>
        <v>0</v>
      </c>
    </row>
    <row r="69" spans="2:34" x14ac:dyDescent="0.2">
      <c r="B69"/>
      <c r="C69"/>
      <c r="E69" s="87">
        <v>50773</v>
      </c>
      <c r="F69" s="86">
        <v>0.771639654148497</v>
      </c>
      <c r="G69" s="136">
        <f t="shared" si="6"/>
        <v>1.1770335441658368E-2</v>
      </c>
      <c r="H69" s="131"/>
      <c r="AC69" s="112"/>
      <c r="AD69" s="13" t="s">
        <v>94</v>
      </c>
      <c r="AE69" s="126">
        <f>_xll.qlCalendarAdvance(Calendar,AE68,AD69,BizDayConv)</f>
        <v>42830</v>
      </c>
      <c r="AF69" s="125">
        <f>_xll.qlYieldTSDiscount($C$31,AE69)</f>
        <v>1.0008482824529974</v>
      </c>
      <c r="AG69" s="125">
        <f>_xll.xlShmInterpDisc(CurveName&amp;T($C$26),AE69)</f>
        <v>1.0008482824529974</v>
      </c>
      <c r="AH69" s="127">
        <f t="shared" si="8"/>
        <v>0</v>
      </c>
    </row>
    <row r="70" spans="2:34" x14ac:dyDescent="0.2">
      <c r="B70"/>
      <c r="C70"/>
      <c r="E70" s="87">
        <v>51138</v>
      </c>
      <c r="F70" s="86">
        <v>0.76087618487668196</v>
      </c>
      <c r="G70" s="136">
        <f t="shared" si="6"/>
        <v>1.186921605706439E-2</v>
      </c>
      <c r="H70" s="131"/>
      <c r="AC70" s="112"/>
      <c r="AD70" s="13" t="s">
        <v>94</v>
      </c>
      <c r="AE70" s="126">
        <f>_xll.qlCalendarAdvance(Calendar,AE69,AD70,BizDayConv)</f>
        <v>42831</v>
      </c>
      <c r="AF70" s="125">
        <f>_xll.qlYieldTSDiscount($C$31,AE70)</f>
        <v>1.0008570747788266</v>
      </c>
      <c r="AG70" s="125">
        <f>_xll.xlShmInterpDisc(CurveName&amp;T($C$26),AE70)</f>
        <v>1.0008570747788266</v>
      </c>
      <c r="AH70" s="127">
        <f t="shared" si="8"/>
        <v>0</v>
      </c>
    </row>
    <row r="71" spans="2:34" x14ac:dyDescent="0.2">
      <c r="B71"/>
      <c r="C71"/>
      <c r="E71" s="87">
        <v>51504</v>
      </c>
      <c r="F71" s="86">
        <v>0.75048050592135496</v>
      </c>
      <c r="G71" s="136">
        <f t="shared" si="6"/>
        <v>1.1946429316707131E-2</v>
      </c>
      <c r="H71" s="131"/>
      <c r="AC71" s="112"/>
      <c r="AD71" s="13" t="s">
        <v>94</v>
      </c>
      <c r="AE71" s="126">
        <f>_xll.qlCalendarAdvance(Calendar,AE70,AD71,BizDayConv)</f>
        <v>42832</v>
      </c>
      <c r="AF71" s="125">
        <f>_xll.qlYieldTSDiscount($C$31,AE71)</f>
        <v>1.0008658695355959</v>
      </c>
      <c r="AG71" s="125">
        <f>_xll.xlShmInterpDisc(CurveName&amp;T($C$26),AE71)</f>
        <v>1.0008658695355959</v>
      </c>
      <c r="AH71" s="127">
        <f t="shared" si="8"/>
        <v>0</v>
      </c>
    </row>
    <row r="72" spans="2:34" x14ac:dyDescent="0.2">
      <c r="B72"/>
      <c r="C72"/>
      <c r="E72" s="87">
        <v>51869</v>
      </c>
      <c r="F72" s="86">
        <v>0.74038035715584805</v>
      </c>
      <c r="G72" s="136">
        <f t="shared" si="6"/>
        <v>1.2010486969624944E-2</v>
      </c>
      <c r="H72" s="131"/>
      <c r="AC72" s="112"/>
      <c r="AD72" s="13" t="s">
        <v>94</v>
      </c>
      <c r="AE72" s="126">
        <f>_xll.qlCalendarAdvance(Calendar,AE71,AD72,BizDayConv)</f>
        <v>42835</v>
      </c>
      <c r="AF72" s="125">
        <f>_xll.qlYieldTSDiscount($C$31,AE72)</f>
        <v>1.0008922667125713</v>
      </c>
      <c r="AG72" s="125">
        <f>_xll.xlShmInterpDisc(CurveName&amp;T($C$26),AE72)</f>
        <v>1.0008922667125713</v>
      </c>
      <c r="AH72" s="127">
        <f t="shared" si="8"/>
        <v>0</v>
      </c>
    </row>
    <row r="73" spans="2:34" x14ac:dyDescent="0.2">
      <c r="B73"/>
      <c r="C73"/>
      <c r="E73" s="87">
        <v>52236</v>
      </c>
      <c r="F73" s="86">
        <v>0.730371279828958</v>
      </c>
      <c r="G73" s="136">
        <f t="shared" si="6"/>
        <v>1.2069441080243486E-2</v>
      </c>
      <c r="H73" s="131"/>
      <c r="AC73" s="112"/>
      <c r="AD73" s="13" t="s">
        <v>94</v>
      </c>
      <c r="AE73" s="126">
        <f>_xll.qlCalendarAdvance(Calendar,AE72,AD73,BizDayConv)</f>
        <v>42836</v>
      </c>
      <c r="AF73" s="125">
        <f>_xll.qlYieldTSDiscount($C$31,AE73)</f>
        <v>1.0009010694606042</v>
      </c>
      <c r="AG73" s="125">
        <f>_xll.xlShmInterpDisc(CurveName&amp;T($C$26),AE73)</f>
        <v>1.0009010694606042</v>
      </c>
      <c r="AH73" s="127">
        <f t="shared" si="8"/>
        <v>0</v>
      </c>
    </row>
    <row r="74" spans="2:34" x14ac:dyDescent="0.2">
      <c r="B74"/>
      <c r="C74"/>
      <c r="E74" s="87">
        <v>52600</v>
      </c>
      <c r="F74" s="86">
        <v>0.72058295003032502</v>
      </c>
      <c r="G74" s="136">
        <f t="shared" si="6"/>
        <v>1.212331043347081E-2</v>
      </c>
      <c r="H74" s="131"/>
      <c r="AC74" s="112"/>
      <c r="AD74" s="13" t="s">
        <v>94</v>
      </c>
      <c r="AE74" s="126">
        <f>_xll.qlCalendarAdvance(Calendar,AE73,AD74,BizDayConv)</f>
        <v>42837</v>
      </c>
      <c r="AF74" s="125">
        <f>_xll.qlYieldTSDiscount($C$31,AE74)</f>
        <v>1.0009098737198032</v>
      </c>
      <c r="AG74" s="125">
        <f>_xll.xlShmInterpDisc(CurveName&amp;T($C$26),AE74)</f>
        <v>1.0009098737198032</v>
      </c>
      <c r="AH74" s="127">
        <f t="shared" si="8"/>
        <v>0</v>
      </c>
    </row>
    <row r="75" spans="2:34" x14ac:dyDescent="0.2">
      <c r="B75"/>
      <c r="C75"/>
      <c r="E75" s="87">
        <v>52965</v>
      </c>
      <c r="F75" s="86">
        <v>0.71092385130203295</v>
      </c>
      <c r="G75" s="136">
        <f t="shared" si="6"/>
        <v>1.217225431050753E-2</v>
      </c>
      <c r="H75" s="131"/>
      <c r="AC75" s="112"/>
      <c r="AD75" s="13" t="s">
        <v>94</v>
      </c>
      <c r="AE75" s="126">
        <f>_xll.qlCalendarAdvance(Calendar,AE74,AD75,BizDayConv)</f>
        <v>42838</v>
      </c>
      <c r="AF75" s="125">
        <f>_xll.qlYieldTSDiscount($C$31,AE75)</f>
        <v>1.0009186792740967</v>
      </c>
      <c r="AG75" s="125">
        <f>_xll.xlShmInterpDisc(CurveName&amp;T($C$26),AE75)</f>
        <v>1.0009186792740967</v>
      </c>
      <c r="AH75" s="127">
        <f t="shared" si="8"/>
        <v>0</v>
      </c>
    </row>
    <row r="76" spans="2:34" x14ac:dyDescent="0.2">
      <c r="B76"/>
      <c r="C76"/>
      <c r="E76" s="87">
        <v>53330</v>
      </c>
      <c r="F76" s="86">
        <v>0.70144385168852397</v>
      </c>
      <c r="G76" s="136">
        <f t="shared" si="6"/>
        <v>1.2215389240803074E-2</v>
      </c>
      <c r="H76" s="131"/>
      <c r="AC76" s="112"/>
      <c r="AD76" s="13" t="s">
        <v>94</v>
      </c>
      <c r="AE76" s="126">
        <f>_xll.qlCalendarAdvance(Calendar,AE75,AD76,BizDayConv)</f>
        <v>42843</v>
      </c>
      <c r="AF76" s="125">
        <f>_xll.qlYieldTSDiscount($C$31,AE76)</f>
        <v>1.0009627181599663</v>
      </c>
      <c r="AG76" s="125">
        <f>_xll.xlShmInterpDisc(CurveName&amp;T($C$26),AE76)</f>
        <v>1.0009627181599663</v>
      </c>
      <c r="AH76" s="127">
        <f t="shared" si="8"/>
        <v>0</v>
      </c>
    </row>
    <row r="77" spans="2:34" x14ac:dyDescent="0.2">
      <c r="B77"/>
      <c r="C77"/>
      <c r="E77" s="87">
        <v>53695</v>
      </c>
      <c r="F77" s="86">
        <v>0.69216593233294899</v>
      </c>
      <c r="G77" s="136">
        <f t="shared" si="6"/>
        <v>1.2252010893863368E-2</v>
      </c>
      <c r="H77" s="131"/>
      <c r="AC77" s="112"/>
      <c r="AD77" s="13" t="s">
        <v>94</v>
      </c>
      <c r="AE77" s="126">
        <f>_xll.qlCalendarAdvance(Calendar,AE76,AD77,BizDayConv)</f>
        <v>42844</v>
      </c>
      <c r="AF77" s="125">
        <f>_xll.qlYieldTSDiscount($C$31,AE77)</f>
        <v>1.0009715263477059</v>
      </c>
      <c r="AG77" s="125">
        <f>_xll.xlShmInterpDisc(CurveName&amp;T($C$26),AE77)</f>
        <v>1.0009715263477059</v>
      </c>
      <c r="AH77" s="127">
        <f t="shared" si="8"/>
        <v>0</v>
      </c>
    </row>
    <row r="78" spans="2:34" x14ac:dyDescent="0.2">
      <c r="B78"/>
      <c r="C78"/>
      <c r="E78" s="87">
        <v>54060</v>
      </c>
      <c r="F78" s="86">
        <v>0.68310670356768399</v>
      </c>
      <c r="G78" s="136">
        <f t="shared" si="6"/>
        <v>1.2281744164092608E-2</v>
      </c>
      <c r="H78" s="131"/>
      <c r="AC78" s="112"/>
      <c r="AD78" s="13" t="s">
        <v>94</v>
      </c>
      <c r="AE78" s="126">
        <f>_xll.qlCalendarAdvance(Calendar,AE77,AD78,BizDayConv)</f>
        <v>42845</v>
      </c>
      <c r="AF78" s="125">
        <f>_xll.qlYieldTSDiscount($C$31,AE78)</f>
        <v>1.0009803340182211</v>
      </c>
      <c r="AG78" s="125">
        <f>_xll.xlShmInterpDisc(CurveName&amp;T($C$26),AE78)</f>
        <v>1.0009803340182211</v>
      </c>
      <c r="AH78" s="127">
        <f t="shared" si="8"/>
        <v>0</v>
      </c>
    </row>
    <row r="79" spans="2:34" x14ac:dyDescent="0.2">
      <c r="B79"/>
      <c r="C79"/>
      <c r="E79" s="87">
        <v>54427</v>
      </c>
      <c r="F79" s="86">
        <v>0.67423701816439396</v>
      </c>
      <c r="G79" s="136">
        <f t="shared" si="6"/>
        <v>1.2304229314526412E-2</v>
      </c>
      <c r="H79" s="131"/>
      <c r="AC79" s="112"/>
      <c r="AD79" s="13" t="s">
        <v>94</v>
      </c>
      <c r="AE79" s="126">
        <f>_xll.qlCalendarAdvance(Calendar,AE78,AD79,BizDayConv)</f>
        <v>42846</v>
      </c>
      <c r="AF79" s="125">
        <f>_xll.qlYieldTSDiscount($C$31,AE79)</f>
        <v>1.0009891408697726</v>
      </c>
      <c r="AG79" s="125">
        <f>_xll.xlShmInterpDisc(CurveName&amp;T($C$26),AE79)</f>
        <v>1.0009891408697726</v>
      </c>
      <c r="AH79" s="127">
        <f t="shared" si="8"/>
        <v>0</v>
      </c>
    </row>
    <row r="80" spans="2:34" x14ac:dyDescent="0.2">
      <c r="B80"/>
      <c r="C80"/>
      <c r="E80" s="87">
        <v>54791</v>
      </c>
      <c r="F80" s="86">
        <v>0.66569540380994996</v>
      </c>
      <c r="G80" s="136">
        <f t="shared" si="6"/>
        <v>1.2318729253869187E-2</v>
      </c>
      <c r="H80" s="131"/>
      <c r="AC80" s="112"/>
      <c r="AD80" s="13" t="s">
        <v>94</v>
      </c>
      <c r="AE80" s="126">
        <f>_xll.qlCalendarAdvance(Calendar,AE79,AD80,BizDayConv)</f>
        <v>42849</v>
      </c>
      <c r="AF80" s="125">
        <f>_xll.qlYieldTSDiscount($C$31,AE80)</f>
        <v>1.001015553332592</v>
      </c>
      <c r="AG80" s="125">
        <f>_xll.xlShmInterpDisc(CurveName&amp;T($C$26),AE80)</f>
        <v>1.001015553332592</v>
      </c>
      <c r="AH80" s="127">
        <f t="shared" si="8"/>
        <v>0</v>
      </c>
    </row>
    <row r="81" spans="2:34" x14ac:dyDescent="0.2">
      <c r="B81"/>
      <c r="C81"/>
      <c r="E81" s="87">
        <v>55156</v>
      </c>
      <c r="F81" s="86">
        <v>0.65739398445656405</v>
      </c>
      <c r="G81" s="136">
        <f t="shared" si="6"/>
        <v>1.2325486671220191E-2</v>
      </c>
      <c r="H81" s="131"/>
      <c r="AC81" s="112"/>
      <c r="AD81" s="13" t="s">
        <v>94</v>
      </c>
      <c r="AE81" s="126">
        <f>_xll.qlCalendarAdvance(Calendar,AE80,AD81,BizDayConv)</f>
        <v>42850</v>
      </c>
      <c r="AF81" s="125">
        <f>_xll.qlYieldTSDiscount($C$31,AE81)</f>
        <v>1.0010243536766787</v>
      </c>
      <c r="AG81" s="125">
        <f>_xll.xlShmInterpDisc(CurveName&amp;T($C$26),AE81)</f>
        <v>1.0010243536766787</v>
      </c>
      <c r="AH81" s="127">
        <f t="shared" si="8"/>
        <v>0</v>
      </c>
    </row>
    <row r="82" spans="2:34" x14ac:dyDescent="0.2">
      <c r="B82"/>
      <c r="C82"/>
      <c r="E82" s="87">
        <v>55521</v>
      </c>
      <c r="F82" s="86">
        <v>0.64937330901095602</v>
      </c>
      <c r="G82" s="136">
        <f t="shared" si="6"/>
        <v>1.2324067038593263E-2</v>
      </c>
      <c r="H82" s="131"/>
      <c r="AC82" s="112"/>
      <c r="AD82" s="13" t="s">
        <v>94</v>
      </c>
      <c r="AE82" s="126">
        <f>_xll.qlCalendarAdvance(Calendar,AE81,AD82,BizDayConv)</f>
        <v>42851</v>
      </c>
      <c r="AF82" s="125">
        <f>_xll.qlYieldTSDiscount($C$31,AE82)</f>
        <v>1.001033151532438</v>
      </c>
      <c r="AG82" s="125">
        <f>_xll.xlShmInterpDisc(CurveName&amp;T($C$26),AE82)</f>
        <v>1.001033151532438</v>
      </c>
      <c r="AH82" s="127">
        <f t="shared" si="8"/>
        <v>0</v>
      </c>
    </row>
    <row r="83" spans="2:34" x14ac:dyDescent="0.2">
      <c r="B83"/>
      <c r="C83"/>
      <c r="E83" s="87">
        <v>55887</v>
      </c>
      <c r="F83" s="86">
        <v>0.64162964299849601</v>
      </c>
      <c r="G83" s="136">
        <f t="shared" si="6"/>
        <v>1.2314039988055542E-2</v>
      </c>
      <c r="H83" s="131"/>
      <c r="AC83" s="112"/>
      <c r="AD83" s="13" t="s">
        <v>94</v>
      </c>
      <c r="AE83" s="126">
        <f>_xll.qlCalendarAdvance(Calendar,AE82,AD83,BizDayConv)</f>
        <v>42852</v>
      </c>
      <c r="AF83" s="125">
        <f>_xll.qlYieldTSDiscount($C$31,AE83)</f>
        <v>1.0010419465338605</v>
      </c>
      <c r="AG83" s="125">
        <f>_xll.xlShmInterpDisc(CurveName&amp;T($C$26),AE83)</f>
        <v>1.0010419465338605</v>
      </c>
      <c r="AH83" s="127">
        <f t="shared" si="8"/>
        <v>0</v>
      </c>
    </row>
    <row r="84" spans="2:34" x14ac:dyDescent="0.2">
      <c r="B84"/>
      <c r="C84"/>
      <c r="E84" s="87">
        <v>56254</v>
      </c>
      <c r="F84" s="86">
        <v>0.634178242869333</v>
      </c>
      <c r="G84" s="136">
        <f t="shared" si="6"/>
        <v>1.2295133632988784E-2</v>
      </c>
      <c r="H84" s="131"/>
      <c r="AC84" s="112"/>
      <c r="AD84" s="13" t="s">
        <v>94</v>
      </c>
      <c r="AE84" s="126">
        <f>_xll.qlCalendarAdvance(Calendar,AE83,AD84,BizDayConv)</f>
        <v>42853</v>
      </c>
      <c r="AF84" s="125">
        <f>_xll.qlYieldTSDiscount($C$31,AE84)</f>
        <v>1.0010507383042231</v>
      </c>
      <c r="AG84" s="125">
        <f>_xll.xlShmInterpDisc(CurveName&amp;T($C$26),AE84)</f>
        <v>1.0010507383042231</v>
      </c>
      <c r="AH84" s="127">
        <f t="shared" si="8"/>
        <v>0</v>
      </c>
    </row>
    <row r="85" spans="2:34" x14ac:dyDescent="0.2">
      <c r="B85"/>
      <c r="C85"/>
      <c r="E85" s="87">
        <v>56618</v>
      </c>
      <c r="F85" s="86">
        <v>0.62711072124925904</v>
      </c>
      <c r="G85" s="136">
        <f t="shared" si="6"/>
        <v>1.2267411425676595E-2</v>
      </c>
      <c r="H85" s="131"/>
      <c r="AC85" s="112"/>
      <c r="AD85" s="13" t="s">
        <v>94</v>
      </c>
      <c r="AE85" s="126">
        <f>_xll.qlCalendarAdvance(Calendar,AE84,AD85,BizDayConv)</f>
        <v>42857</v>
      </c>
      <c r="AF85" s="125">
        <f>_xll.qlYieldTSDiscount($C$31,AE85)</f>
        <v>1.0010858651656274</v>
      </c>
      <c r="AG85" s="125">
        <f>_xll.xlShmInterpDisc(CurveName&amp;T($C$26),AE85)</f>
        <v>1.0010858651656274</v>
      </c>
      <c r="AH85" s="127">
        <f t="shared" si="8"/>
        <v>0</v>
      </c>
    </row>
    <row r="86" spans="2:34" x14ac:dyDescent="0.2">
      <c r="B86"/>
      <c r="C86"/>
      <c r="E86" s="87">
        <v>56982</v>
      </c>
      <c r="F86" s="86">
        <v>0.62038605267659097</v>
      </c>
      <c r="G86" s="136">
        <f t="shared" si="6"/>
        <v>1.2230198282261188E-2</v>
      </c>
      <c r="H86" s="131"/>
      <c r="AC86" s="112"/>
      <c r="AD86" s="13" t="s">
        <v>94</v>
      </c>
      <c r="AE86" s="126">
        <f>_xll.qlCalendarAdvance(Calendar,AE85,AD86,BizDayConv)</f>
        <v>42858</v>
      </c>
      <c r="AF86" s="125">
        <f>_xll.qlYieldTSDiscount($C$31,AE86)</f>
        <v>1.0010946347548499</v>
      </c>
      <c r="AG86" s="125">
        <f>_xll.xlShmInterpDisc(CurveName&amp;T($C$26),AE86)</f>
        <v>1.0010946347548499</v>
      </c>
      <c r="AH86" s="127">
        <f t="shared" si="8"/>
        <v>0</v>
      </c>
    </row>
    <row r="87" spans="2:34" x14ac:dyDescent="0.2">
      <c r="B87"/>
      <c r="C87"/>
      <c r="E87" s="87">
        <v>57348</v>
      </c>
      <c r="F87" s="86">
        <v>0.61398144281473799</v>
      </c>
      <c r="G87" s="136">
        <f t="shared" si="6"/>
        <v>1.2183081960652898E-2</v>
      </c>
      <c r="H87" s="131"/>
      <c r="AC87" s="112"/>
      <c r="AD87" s="13" t="s">
        <v>94</v>
      </c>
      <c r="AE87" s="126">
        <f>_xll.qlCalendarAdvance(Calendar,AE86,AD87,BizDayConv)</f>
        <v>42859</v>
      </c>
      <c r="AF87" s="125">
        <f>_xll.qlYieldTSDiscount($C$31,AE87)</f>
        <v>1.0011033988909892</v>
      </c>
      <c r="AG87" s="125">
        <f>_xll.xlShmInterpDisc(CurveName&amp;T($C$26),AE87)</f>
        <v>1.0011033988909892</v>
      </c>
      <c r="AH87" s="127">
        <f t="shared" si="8"/>
        <v>0</v>
      </c>
    </row>
    <row r="88" spans="2:34" x14ac:dyDescent="0.2">
      <c r="B88"/>
      <c r="C88"/>
      <c r="E88" s="87">
        <v>61000</v>
      </c>
      <c r="F88" s="86">
        <v>0.563692549264876</v>
      </c>
      <c r="G88" s="136">
        <f t="shared" si="6"/>
        <v>1.1454883393221446E-2</v>
      </c>
      <c r="H88" s="131"/>
      <c r="AD88" s="13" t="s">
        <v>94</v>
      </c>
      <c r="AE88" s="126">
        <f>_xll.qlCalendarAdvance(Calendar,AE87,AD88,BizDayConv)</f>
        <v>42860</v>
      </c>
      <c r="AF88" s="125">
        <f>_xll.qlYieldTSDiscount($C$31,AE88)</f>
        <v>1.0011121576625126</v>
      </c>
      <c r="AG88" s="125">
        <f>_xll.xlShmInterpDisc(CurveName&amp;T($C$26),AE88)</f>
        <v>1.0011121576625126</v>
      </c>
      <c r="AH88" s="127">
        <f t="shared" si="8"/>
        <v>0</v>
      </c>
    </row>
    <row r="89" spans="2:34" x14ac:dyDescent="0.2">
      <c r="B89"/>
      <c r="C89"/>
      <c r="E89" s="85">
        <v>64654</v>
      </c>
      <c r="F89" s="84">
        <v>0.51522538077334701</v>
      </c>
      <c r="G89" s="137">
        <f t="shared" si="6"/>
        <v>1.1042429614093496E-2</v>
      </c>
      <c r="H89" s="131"/>
      <c r="AD89" s="13" t="s">
        <v>94</v>
      </c>
      <c r="AE89" s="126">
        <f>_xll.qlCalendarAdvance(Calendar,AE88,AD89,BizDayConv)</f>
        <v>42863</v>
      </c>
      <c r="AF89" s="125">
        <f>_xll.qlYieldTSDiscount($C$31,AE89)</f>
        <v>1.0011384014244817</v>
      </c>
      <c r="AG89" s="125">
        <f>_xll.xlShmInterpDisc(CurveName&amp;T($C$26),AE89)</f>
        <v>1.0011384014244817</v>
      </c>
      <c r="AH89" s="127">
        <f t="shared" si="8"/>
        <v>0</v>
      </c>
    </row>
    <row r="90" spans="2:34" x14ac:dyDescent="0.2">
      <c r="B90"/>
      <c r="C90"/>
      <c r="AD90" s="13" t="s">
        <v>94</v>
      </c>
      <c r="AE90" s="126">
        <f>_xll.qlCalendarAdvance(Calendar,AE89,AD90,BizDayConv)</f>
        <v>42864</v>
      </c>
      <c r="AF90" s="125">
        <f>_xll.qlYieldTSDiscount($C$31,AE90)</f>
        <v>1.0011471383830388</v>
      </c>
      <c r="AG90" s="125">
        <f>_xll.xlShmInterpDisc(CurveName&amp;T($C$26),AE90)</f>
        <v>1.0011471383830388</v>
      </c>
      <c r="AH90" s="127">
        <f t="shared" si="8"/>
        <v>0</v>
      </c>
    </row>
    <row r="91" spans="2:34" x14ac:dyDescent="0.2">
      <c r="B91"/>
      <c r="C91"/>
      <c r="AD91" s="13" t="s">
        <v>94</v>
      </c>
      <c r="AE91" s="126">
        <f>_xll.qlCalendarAdvance(Calendar,AE90,AD91,BizDayConv)</f>
        <v>42865</v>
      </c>
      <c r="AF91" s="125">
        <f>_xll.qlYieldTSDiscount($C$31,AE91)</f>
        <v>1.0011558698101324</v>
      </c>
      <c r="AG91" s="125">
        <f>_xll.xlShmInterpDisc(CurveName&amp;T($C$26),AE91)</f>
        <v>1.0011558698101324</v>
      </c>
      <c r="AH91" s="127">
        <f t="shared" si="8"/>
        <v>0</v>
      </c>
    </row>
    <row r="92" spans="2:34" x14ac:dyDescent="0.2">
      <c r="B92"/>
      <c r="C92"/>
      <c r="AD92" s="13" t="s">
        <v>94</v>
      </c>
      <c r="AE92" s="126">
        <f>_xll.qlCalendarAdvance(Calendar,AE91,AD92,BizDayConv)</f>
        <v>42866</v>
      </c>
      <c r="AF92" s="125">
        <f>_xll.qlYieldTSDiscount($C$31,AE92)</f>
        <v>1.0011645956786355</v>
      </c>
      <c r="AG92" s="125">
        <f>_xll.xlShmInterpDisc(CurveName&amp;T($C$26),AE92)</f>
        <v>1.0011645956786355</v>
      </c>
      <c r="AH92" s="127">
        <f t="shared" si="8"/>
        <v>0</v>
      </c>
    </row>
    <row r="93" spans="2:34" x14ac:dyDescent="0.2">
      <c r="B93"/>
      <c r="C93"/>
      <c r="AD93" s="13" t="s">
        <v>94</v>
      </c>
      <c r="AE93" s="126">
        <f>_xll.qlCalendarAdvance(Calendar,AE92,AD93,BizDayConv)</f>
        <v>42867</v>
      </c>
      <c r="AF93" s="125">
        <f>_xll.qlYieldTSDiscount($C$31,AE93)</f>
        <v>1.0011733159635023</v>
      </c>
      <c r="AG93" s="125">
        <f>_xll.xlShmInterpDisc(CurveName&amp;T($C$26),AE93)</f>
        <v>1.0011733159635023</v>
      </c>
      <c r="AH93" s="127">
        <f t="shared" si="8"/>
        <v>0</v>
      </c>
    </row>
    <row r="94" spans="2:34" x14ac:dyDescent="0.2">
      <c r="B94"/>
      <c r="C94"/>
      <c r="AD94" s="13" t="s">
        <v>94</v>
      </c>
      <c r="AE94" s="126">
        <f>_xll.qlCalendarAdvance(Calendar,AE93,AD94,BizDayConv)</f>
        <v>42870</v>
      </c>
      <c r="AF94" s="125">
        <f>_xll.qlYieldTSDiscount($C$31,AE94)</f>
        <v>1.0011994430970443</v>
      </c>
      <c r="AG94" s="125">
        <f>_xll.xlShmInterpDisc(CurveName&amp;T($C$26),AE94)</f>
        <v>1.0011994430970443</v>
      </c>
      <c r="AH94" s="127">
        <f t="shared" si="8"/>
        <v>0</v>
      </c>
    </row>
    <row r="95" spans="2:34" x14ac:dyDescent="0.2">
      <c r="B95"/>
      <c r="C95"/>
      <c r="AD95" s="13" t="s">
        <v>94</v>
      </c>
      <c r="AE95" s="126">
        <f>_xll.qlCalendarAdvance(Calendar,AE94,AD95,BizDayConv)</f>
        <v>42871</v>
      </c>
      <c r="AF95" s="125">
        <f>_xll.qlYieldTSDiscount($C$31,AE95)</f>
        <v>1.0012081408385323</v>
      </c>
      <c r="AG95" s="125">
        <f>_xll.xlShmInterpDisc(CurveName&amp;T($C$26),AE95)</f>
        <v>1.0012081408385323</v>
      </c>
      <c r="AH95" s="127">
        <f t="shared" si="8"/>
        <v>0</v>
      </c>
    </row>
    <row r="96" spans="2:34" x14ac:dyDescent="0.2">
      <c r="B96"/>
      <c r="C96"/>
      <c r="AD96" s="13" t="s">
        <v>94</v>
      </c>
      <c r="AE96" s="126">
        <f>_xll.qlCalendarAdvance(Calendar,AE95,AD96,BizDayConv)</f>
        <v>42872</v>
      </c>
      <c r="AF96" s="125">
        <f>_xll.qlYieldTSDiscount($C$31,AE96)</f>
        <v>1.0012168329023743</v>
      </c>
      <c r="AG96" s="125">
        <f>_xll.xlShmInterpDisc(CurveName&amp;T($C$26),AE96)</f>
        <v>1.0012168329023743</v>
      </c>
      <c r="AH96" s="127">
        <f t="shared" si="8"/>
        <v>0</v>
      </c>
    </row>
    <row r="97" spans="2:34" x14ac:dyDescent="0.2">
      <c r="B97"/>
      <c r="C97"/>
      <c r="AD97" s="13" t="s">
        <v>94</v>
      </c>
      <c r="AE97" s="126">
        <f>_xll.qlCalendarAdvance(Calendar,AE96,AD97,BizDayConv)</f>
        <v>42873</v>
      </c>
      <c r="AF97" s="125">
        <f>_xll.qlYieldTSDiscount($C$31,AE97)</f>
        <v>1.0012255192760129</v>
      </c>
      <c r="AG97" s="125">
        <f>_xll.xlShmInterpDisc(CurveName&amp;T($C$26),AE97)</f>
        <v>1.0012255192760129</v>
      </c>
      <c r="AH97" s="127">
        <f t="shared" si="8"/>
        <v>0</v>
      </c>
    </row>
    <row r="98" spans="2:34" x14ac:dyDescent="0.2">
      <c r="B98"/>
      <c r="C98"/>
      <c r="AD98" s="13" t="s">
        <v>94</v>
      </c>
      <c r="AE98" s="126">
        <f>_xll.qlCalendarAdvance(Calendar,AE97,AD98,BizDayConv)</f>
        <v>42874</v>
      </c>
      <c r="AF98" s="125">
        <f>_xll.qlYieldTSDiscount($C$31,AE98)</f>
        <v>1.0012341999489724</v>
      </c>
      <c r="AG98" s="125">
        <f>_xll.xlShmInterpDisc(CurveName&amp;T($C$26),AE98)</f>
        <v>1.0012341999489724</v>
      </c>
      <c r="AH98" s="127">
        <f t="shared" si="8"/>
        <v>0</v>
      </c>
    </row>
    <row r="99" spans="2:34" x14ac:dyDescent="0.2">
      <c r="B99"/>
      <c r="C99"/>
      <c r="AD99" s="13" t="s">
        <v>94</v>
      </c>
      <c r="AE99" s="126">
        <f>_xll.qlCalendarAdvance(Calendar,AE98,AD99,BizDayConv)</f>
        <v>42877</v>
      </c>
      <c r="AF99" s="125">
        <f>_xll.qlYieldTSDiscount($C$31,AE99)</f>
        <v>1.001260207690249</v>
      </c>
      <c r="AG99" s="125">
        <f>_xll.xlShmInterpDisc(CurveName&amp;T($C$26),AE99)</f>
        <v>1.001260207690249</v>
      </c>
      <c r="AH99" s="127">
        <f t="shared" si="8"/>
        <v>0</v>
      </c>
    </row>
    <row r="100" spans="2:34" x14ac:dyDescent="0.2">
      <c r="B100"/>
      <c r="C100"/>
      <c r="AD100" s="13" t="s">
        <v>94</v>
      </c>
      <c r="AE100" s="126">
        <f>_xll.qlCalendarAdvance(Calendar,AE99,AD100,BizDayConv)</f>
        <v>42878</v>
      </c>
      <c r="AF100" s="125">
        <f>_xll.qlYieldTSDiscount($C$31,AE100)</f>
        <v>1.0012688654973743</v>
      </c>
      <c r="AG100" s="125">
        <f>_xll.xlShmInterpDisc(CurveName&amp;T($C$26),AE100)</f>
        <v>1.0012688654973743</v>
      </c>
      <c r="AH100" s="127">
        <f t="shared" si="8"/>
        <v>0</v>
      </c>
    </row>
    <row r="101" spans="2:34" x14ac:dyDescent="0.2">
      <c r="B101"/>
      <c r="C101"/>
      <c r="AD101" s="13" t="s">
        <v>94</v>
      </c>
      <c r="AE101" s="126">
        <f>_xll.qlCalendarAdvance(Calendar,AE100,AD101,BizDayConv)</f>
        <v>42879</v>
      </c>
      <c r="AF101" s="125">
        <f>_xll.qlYieldTSDiscount($C$31,AE101)</f>
        <v>1.0012775175826716</v>
      </c>
      <c r="AG101" s="125">
        <f>_xll.xlShmInterpDisc(CurveName&amp;T($C$26),AE101)</f>
        <v>1.0012775175826716</v>
      </c>
      <c r="AH101" s="127">
        <f t="shared" si="8"/>
        <v>0</v>
      </c>
    </row>
    <row r="102" spans="2:34" x14ac:dyDescent="0.2">
      <c r="B102"/>
      <c r="C102"/>
      <c r="AD102" s="13" t="s">
        <v>94</v>
      </c>
      <c r="AE102" s="126">
        <f>_xll.qlCalendarAdvance(Calendar,AE101,AD102,BizDayConv)</f>
        <v>42880</v>
      </c>
      <c r="AF102" s="125">
        <f>_xll.qlYieldTSDiscount($C$31,AE102)</f>
        <v>1.0012861639481574</v>
      </c>
      <c r="AG102" s="125">
        <f>_xll.xlShmInterpDisc(CurveName&amp;T($C$26),AE102)</f>
        <v>1.0012861639481574</v>
      </c>
      <c r="AH102" s="127">
        <f t="shared" si="8"/>
        <v>0</v>
      </c>
    </row>
    <row r="103" spans="2:34" x14ac:dyDescent="0.2">
      <c r="B103"/>
      <c r="C103"/>
      <c r="AD103" s="13" t="s">
        <v>94</v>
      </c>
      <c r="AE103" s="126">
        <f>_xll.qlCalendarAdvance(Calendar,AE102,AD103,BizDayConv)</f>
        <v>42881</v>
      </c>
      <c r="AF103" s="125">
        <f>_xll.qlYieldTSDiscount($C$31,AE103)</f>
        <v>1.0012948045979311</v>
      </c>
      <c r="AG103" s="125">
        <f>_xll.xlShmInterpDisc(CurveName&amp;T($C$26),AE103)</f>
        <v>1.0012948045979311</v>
      </c>
      <c r="AH103" s="127">
        <f t="shared" si="8"/>
        <v>0</v>
      </c>
    </row>
    <row r="104" spans="2:34" x14ac:dyDescent="0.2">
      <c r="B104"/>
      <c r="C104"/>
      <c r="AD104" s="13" t="s">
        <v>94</v>
      </c>
      <c r="AE104" s="126">
        <f>_xll.qlCalendarAdvance(Calendar,AE103,AD104,BizDayConv)</f>
        <v>42884</v>
      </c>
      <c r="AF104" s="125">
        <f>_xll.qlYieldTSDiscount($C$31,AE104)</f>
        <v>1.001320692325206</v>
      </c>
      <c r="AG104" s="125">
        <f>_xll.xlShmInterpDisc(CurveName&amp;T($C$26),AE104)</f>
        <v>1.001320692325206</v>
      </c>
      <c r="AH104" s="127">
        <f t="shared" si="8"/>
        <v>0</v>
      </c>
    </row>
    <row r="105" spans="2:34" x14ac:dyDescent="0.2">
      <c r="B105"/>
      <c r="C105"/>
      <c r="AD105" s="13" t="s">
        <v>94</v>
      </c>
      <c r="AE105" s="126">
        <f>_xll.qlCalendarAdvance(Calendar,AE104,AD105,BizDayConv)</f>
        <v>42885</v>
      </c>
      <c r="AF105" s="125">
        <f>_xll.qlYieldTSDiscount($C$31,AE105)</f>
        <v>1.0013293101947713</v>
      </c>
      <c r="AG105" s="125">
        <f>_xll.xlShmInterpDisc(CurveName&amp;T($C$26),AE105)</f>
        <v>1.0013293101947713</v>
      </c>
      <c r="AH105" s="127">
        <f t="shared" si="8"/>
        <v>0</v>
      </c>
    </row>
    <row r="106" spans="2:34" x14ac:dyDescent="0.2">
      <c r="B106"/>
      <c r="C106"/>
      <c r="AD106" s="13" t="s">
        <v>94</v>
      </c>
      <c r="AE106" s="126">
        <f>_xll.qlCalendarAdvance(Calendar,AE105,AD106,BizDayConv)</f>
        <v>42886</v>
      </c>
      <c r="AF106" s="125">
        <f>_xll.qlYieldTSDiscount($C$31,AE106)</f>
        <v>1.001337922400358</v>
      </c>
      <c r="AG106" s="125">
        <f>_xll.xlShmInterpDisc(CurveName&amp;T($C$26),AE106)</f>
        <v>1.001337922400358</v>
      </c>
      <c r="AH106" s="127">
        <f t="shared" si="8"/>
        <v>0</v>
      </c>
    </row>
    <row r="107" spans="2:34" x14ac:dyDescent="0.2">
      <c r="B107"/>
      <c r="C107"/>
      <c r="AD107" s="13" t="s">
        <v>94</v>
      </c>
      <c r="AE107" s="126">
        <f>_xll.qlCalendarAdvance(Calendar,AE106,AD107,BizDayConv)</f>
        <v>42887</v>
      </c>
      <c r="AF107" s="125">
        <f>_xll.qlYieldTSDiscount($C$31,AE107)</f>
        <v>1.0013465289585615</v>
      </c>
      <c r="AG107" s="125">
        <f>_xll.xlShmInterpDisc(CurveName&amp;T($C$26),AE107)</f>
        <v>1.0013465289585615</v>
      </c>
      <c r="AH107" s="127">
        <f t="shared" si="8"/>
        <v>0</v>
      </c>
    </row>
    <row r="108" spans="2:34" x14ac:dyDescent="0.2">
      <c r="AD108" s="13" t="s">
        <v>94</v>
      </c>
      <c r="AE108" s="126">
        <f>_xll.qlCalendarAdvance(Calendar,AE107,AD108,BizDayConv)</f>
        <v>42888</v>
      </c>
      <c r="AF108" s="125">
        <f>_xll.qlYieldTSDiscount($C$31,AE108)</f>
        <v>1.0013551298880596</v>
      </c>
      <c r="AG108" s="125">
        <f>_xll.xlShmInterpDisc(CurveName&amp;T($C$26),AE108)</f>
        <v>1.0013551298880596</v>
      </c>
      <c r="AH108" s="127">
        <f t="shared" si="8"/>
        <v>0</v>
      </c>
    </row>
    <row r="109" spans="2:34" x14ac:dyDescent="0.2">
      <c r="AD109" s="13" t="s">
        <v>94</v>
      </c>
      <c r="AE109" s="126">
        <f>_xll.qlCalendarAdvance(Calendar,AE108,AD109,BizDayConv)</f>
        <v>42891</v>
      </c>
      <c r="AF109" s="125">
        <f>_xll.qlYieldTSDiscount($C$31,AE109)</f>
        <v>1.0013808991223501</v>
      </c>
      <c r="AG109" s="125">
        <f>_xll.xlShmInterpDisc(CurveName&amp;T($C$26),AE109)</f>
        <v>1.0013808991223501</v>
      </c>
      <c r="AH109" s="127">
        <f t="shared" si="8"/>
        <v>0</v>
      </c>
    </row>
    <row r="110" spans="2:34" x14ac:dyDescent="0.2">
      <c r="AD110" s="13" t="s">
        <v>94</v>
      </c>
      <c r="AE110" s="126">
        <f>_xll.qlCalendarAdvance(Calendar,AE109,AD110,BizDayConv)</f>
        <v>42892</v>
      </c>
      <c r="AF110" s="125">
        <f>_xll.qlYieldTSDiscount($C$31,AE110)</f>
        <v>1.0013894687653588</v>
      </c>
      <c r="AG110" s="125">
        <f>_xll.xlShmInterpDisc(CurveName&amp;T($C$26),AE110)</f>
        <v>1.0013894687653588</v>
      </c>
      <c r="AH110" s="127">
        <f t="shared" si="8"/>
        <v>0</v>
      </c>
    </row>
    <row r="111" spans="2:34" x14ac:dyDescent="0.2">
      <c r="AD111" s="13" t="s">
        <v>94</v>
      </c>
      <c r="AE111" s="126">
        <f>_xll.qlCalendarAdvance(Calendar,AE110,AD111,BizDayConv)</f>
        <v>42893</v>
      </c>
      <c r="AF111" s="125">
        <f>_xll.qlYieldTSDiscount($C$31,AE111)</f>
        <v>1.0013980154360018</v>
      </c>
      <c r="AG111" s="125">
        <f>_xll.xlShmInterpDisc(CurveName&amp;T($C$26),AE111)</f>
        <v>1.0013980154360018</v>
      </c>
      <c r="AH111" s="127">
        <f t="shared" si="8"/>
        <v>0</v>
      </c>
    </row>
    <row r="112" spans="2:34" x14ac:dyDescent="0.2">
      <c r="AD112" s="13" t="s">
        <v>94</v>
      </c>
      <c r="AE112" s="126">
        <f>_xll.qlCalendarAdvance(Calendar,AE111,AD112,BizDayConv)</f>
        <v>42894</v>
      </c>
      <c r="AF112" s="125">
        <f>_xll.qlYieldTSDiscount($C$31,AE112)</f>
        <v>1.0014065399848777</v>
      </c>
      <c r="AG112" s="125">
        <f>_xll.xlShmInterpDisc(CurveName&amp;T($C$26),AE112)</f>
        <v>1.0014065399848777</v>
      </c>
      <c r="AH112" s="127">
        <f t="shared" si="8"/>
        <v>0</v>
      </c>
    </row>
    <row r="113" spans="30:34" x14ac:dyDescent="0.2">
      <c r="AD113" s="13" t="s">
        <v>94</v>
      </c>
      <c r="AE113" s="126">
        <f>_xll.qlCalendarAdvance(Calendar,AE112,AD113,BizDayConv)</f>
        <v>42895</v>
      </c>
      <c r="AF113" s="125">
        <f>_xll.qlYieldTSDiscount($C$31,AE113)</f>
        <v>1.001415043293381</v>
      </c>
      <c r="AG113" s="125">
        <f>_xll.xlShmInterpDisc(CurveName&amp;T($C$26),AE113)</f>
        <v>1.001415043293381</v>
      </c>
      <c r="AH113" s="127">
        <f t="shared" si="8"/>
        <v>0</v>
      </c>
    </row>
    <row r="114" spans="30:34" x14ac:dyDescent="0.2">
      <c r="AD114" s="13" t="s">
        <v>94</v>
      </c>
      <c r="AE114" s="126">
        <f>_xll.qlCalendarAdvance(Calendar,AE113,AD114,BizDayConv)</f>
        <v>42898</v>
      </c>
      <c r="AF114" s="125">
        <f>_xll.qlYieldTSDiscount($C$31,AE114)</f>
        <v>1.001440435052567</v>
      </c>
      <c r="AG114" s="125">
        <f>_xll.xlShmInterpDisc(CurveName&amp;T($C$26),AE114)</f>
        <v>1.001440435052567</v>
      </c>
      <c r="AH114" s="127">
        <f t="shared" si="8"/>
        <v>0</v>
      </c>
    </row>
    <row r="115" spans="30:34" x14ac:dyDescent="0.2">
      <c r="AD115" s="13" t="s">
        <v>94</v>
      </c>
      <c r="AE115" s="126">
        <f>_xll.qlCalendarAdvance(Calendar,AE114,AD115,BizDayConv)</f>
        <v>42899</v>
      </c>
      <c r="AF115" s="125">
        <f>_xll.qlYieldTSDiscount($C$31,AE115)</f>
        <v>1.0014488628294855</v>
      </c>
      <c r="AG115" s="125">
        <f>_xll.xlShmInterpDisc(CurveName&amp;T($C$26),AE115)</f>
        <v>1.0014488628294855</v>
      </c>
      <c r="AH115" s="127">
        <f t="shared" si="8"/>
        <v>0</v>
      </c>
    </row>
    <row r="116" spans="30:34" x14ac:dyDescent="0.2">
      <c r="AD116" s="13" t="s">
        <v>94</v>
      </c>
      <c r="AE116" s="126">
        <f>_xll.qlCalendarAdvance(Calendar,AE115,AD116,BizDayConv)</f>
        <v>42900</v>
      </c>
      <c r="AF116" s="125">
        <f>_xll.qlYieldTSDiscount($C$31,AE116)</f>
        <v>1.001457274234983</v>
      </c>
      <c r="AG116" s="125">
        <f>_xll.xlShmInterpDisc(CurveName&amp;T($C$26),AE116)</f>
        <v>1.001457274234983</v>
      </c>
      <c r="AH116" s="127">
        <f t="shared" si="8"/>
        <v>0</v>
      </c>
    </row>
    <row r="117" spans="30:34" x14ac:dyDescent="0.2">
      <c r="AD117" s="13" t="s">
        <v>94</v>
      </c>
      <c r="AE117" s="126">
        <f>_xll.qlCalendarAdvance(Calendar,AE116,AD117,BizDayConv)</f>
        <v>42901</v>
      </c>
      <c r="AF117" s="125">
        <f>_xll.qlYieldTSDiscount($C$31,AE117)</f>
        <v>1.0014656703352529</v>
      </c>
      <c r="AG117" s="125">
        <f>_xll.xlShmInterpDisc(CurveName&amp;T($C$26),AE117)</f>
        <v>1.0014656703352529</v>
      </c>
      <c r="AH117" s="127">
        <f t="shared" si="8"/>
        <v>0</v>
      </c>
    </row>
    <row r="118" spans="30:34" x14ac:dyDescent="0.2">
      <c r="AD118" s="13" t="s">
        <v>94</v>
      </c>
      <c r="AE118" s="126">
        <f>_xll.qlCalendarAdvance(Calendar,AE117,AD118,BizDayConv)</f>
        <v>42902</v>
      </c>
      <c r="AF118" s="125">
        <f>_xll.qlYieldTSDiscount($C$31,AE118)</f>
        <v>1.0014740522272927</v>
      </c>
      <c r="AG118" s="125">
        <f>_xll.xlShmInterpDisc(CurveName&amp;T($C$26),AE118)</f>
        <v>1.0014740522272927</v>
      </c>
      <c r="AH118" s="127">
        <f t="shared" si="8"/>
        <v>0</v>
      </c>
    </row>
    <row r="119" spans="30:34" x14ac:dyDescent="0.2">
      <c r="AD119" s="13" t="s">
        <v>94</v>
      </c>
      <c r="AE119" s="126">
        <f>_xll.qlCalendarAdvance(Calendar,AE118,AD119,BizDayConv)</f>
        <v>42905</v>
      </c>
      <c r="AF119" s="125">
        <f>_xll.qlYieldTSDiscount($C$31,AE119)</f>
        <v>1.0014991240860824</v>
      </c>
      <c r="AG119" s="125">
        <f>_xll.xlShmInterpDisc(CurveName&amp;T($C$26),AE119)</f>
        <v>1.0014991240860824</v>
      </c>
      <c r="AH119" s="127">
        <f t="shared" si="8"/>
        <v>0</v>
      </c>
    </row>
    <row r="120" spans="30:34" x14ac:dyDescent="0.2">
      <c r="AD120" s="13" t="s">
        <v>94</v>
      </c>
      <c r="AE120" s="126">
        <f>_xll.qlCalendarAdvance(Calendar,AE119,AD120,BizDayConv)</f>
        <v>42906</v>
      </c>
      <c r="AF120" s="125">
        <f>_xll.qlYieldTSDiscount($C$31,AE120)</f>
        <v>1.0015074607312879</v>
      </c>
      <c r="AG120" s="125">
        <f>_xll.xlShmInterpDisc(CurveName&amp;T($C$26),AE120)</f>
        <v>1.0015074607312879</v>
      </c>
      <c r="AH120" s="127">
        <f t="shared" si="8"/>
        <v>0</v>
      </c>
    </row>
    <row r="121" spans="30:34" x14ac:dyDescent="0.2">
      <c r="AD121" s="13" t="s">
        <v>94</v>
      </c>
      <c r="AE121" s="126">
        <f>_xll.qlCalendarAdvance(Calendar,AE120,AD121,BizDayConv)</f>
        <v>42907</v>
      </c>
      <c r="AF121" s="125">
        <f>_xll.qlYieldTSDiscount($C$31,AE121)</f>
        <v>1.001515789115345</v>
      </c>
      <c r="AG121" s="125">
        <f>_xll.xlShmInterpDisc(CurveName&amp;T($C$26),AE121)</f>
        <v>1.001515789115345</v>
      </c>
      <c r="AH121" s="127">
        <f t="shared" si="8"/>
        <v>0</v>
      </c>
    </row>
    <row r="122" spans="30:34" x14ac:dyDescent="0.2">
      <c r="AD122" s="13" t="s">
        <v>94</v>
      </c>
      <c r="AE122" s="126">
        <f>_xll.qlCalendarAdvance(Calendar,AE121,AD122,BizDayConv)</f>
        <v>42908</v>
      </c>
      <c r="AF122" s="125">
        <f>_xll.qlYieldTSDiscount($C$31,AE122)</f>
        <v>1.0015241105200974</v>
      </c>
      <c r="AG122" s="125">
        <f>_xll.xlShmInterpDisc(CurveName&amp;T($C$26),AE122)</f>
        <v>1.0015241105200974</v>
      </c>
      <c r="AH122" s="127">
        <f t="shared" si="8"/>
        <v>0</v>
      </c>
    </row>
    <row r="123" spans="30:34" x14ac:dyDescent="0.2">
      <c r="AD123" s="13" t="s">
        <v>94</v>
      </c>
      <c r="AE123" s="126">
        <f>_xll.qlCalendarAdvance(Calendar,AE122,AD123,BizDayConv)</f>
        <v>42909</v>
      </c>
      <c r="AF123" s="125">
        <f>_xll.qlYieldTSDiscount($C$31,AE123)</f>
        <v>1.0015324262582004</v>
      </c>
      <c r="AG123" s="125">
        <f>_xll.xlShmInterpDisc(CurveName&amp;T($C$26),AE123)</f>
        <v>1.0015324262582004</v>
      </c>
      <c r="AH123" s="127">
        <f t="shared" si="8"/>
        <v>0</v>
      </c>
    </row>
    <row r="124" spans="30:34" x14ac:dyDescent="0.2">
      <c r="AD124" s="13" t="s">
        <v>94</v>
      </c>
      <c r="AE124" s="126">
        <f>_xll.qlCalendarAdvance(Calendar,AE123,AD124,BizDayConv)</f>
        <v>42912</v>
      </c>
      <c r="AF124" s="125">
        <f>_xll.qlYieldTSDiscount($C$31,AE124)</f>
        <v>1.0015573530613675</v>
      </c>
      <c r="AG124" s="125">
        <f>_xll.xlShmInterpDisc(CurveName&amp;T($C$26),AE124)</f>
        <v>1.0015573530613675</v>
      </c>
      <c r="AH124" s="127">
        <f t="shared" si="8"/>
        <v>0</v>
      </c>
    </row>
    <row r="125" spans="30:34" x14ac:dyDescent="0.2">
      <c r="AD125" s="13" t="s">
        <v>94</v>
      </c>
      <c r="AE125" s="126">
        <f>_xll.qlCalendarAdvance(Calendar,AE124,AD125,BizDayConv)</f>
        <v>42913</v>
      </c>
      <c r="AF125" s="125">
        <f>_xll.qlYieldTSDiscount($C$31,AE125)</f>
        <v>1.0015656598757035</v>
      </c>
      <c r="AG125" s="125">
        <f>_xll.xlShmInterpDisc(CurveName&amp;T($C$26),AE125)</f>
        <v>1.0015656598757035</v>
      </c>
      <c r="AH125" s="127">
        <f t="shared" si="8"/>
        <v>0</v>
      </c>
    </row>
    <row r="126" spans="30:34" x14ac:dyDescent="0.2">
      <c r="AD126" s="13" t="s">
        <v>94</v>
      </c>
      <c r="AE126" s="126">
        <f>_xll.qlCalendarAdvance(Calendar,AE125,AD126,BizDayConv)</f>
        <v>42914</v>
      </c>
      <c r="AF126" s="125">
        <f>_xll.qlYieldTSDiscount($C$31,AE126)</f>
        <v>1.001573968048886</v>
      </c>
      <c r="AG126" s="125">
        <f>_xll.xlShmInterpDisc(CurveName&amp;T($C$26),AE126)</f>
        <v>1.001573968048886</v>
      </c>
      <c r="AH126" s="127">
        <f t="shared" si="8"/>
        <v>0</v>
      </c>
    </row>
    <row r="127" spans="30:34" x14ac:dyDescent="0.2">
      <c r="AD127" s="13" t="s">
        <v>94</v>
      </c>
      <c r="AE127" s="126">
        <f>_xll.qlCalendarAdvance(Calendar,AE126,AD127,BizDayConv)</f>
        <v>42915</v>
      </c>
      <c r="AF127" s="125">
        <f>_xll.qlYieldTSDiscount($C$31,AE127)</f>
        <v>1.0015822790784665</v>
      </c>
      <c r="AG127" s="125">
        <f>_xll.xlShmInterpDisc(CurveName&amp;T($C$26),AE127)</f>
        <v>1.0015822790784665</v>
      </c>
      <c r="AH127" s="127">
        <f t="shared" si="8"/>
        <v>0</v>
      </c>
    </row>
    <row r="128" spans="30:34" x14ac:dyDescent="0.2">
      <c r="AD128" s="13" t="s">
        <v>94</v>
      </c>
      <c r="AE128" s="126">
        <f>_xll.qlCalendarAdvance(Calendar,AE127,AD128,BizDayConv)</f>
        <v>42916</v>
      </c>
      <c r="AF128" s="125">
        <f>_xll.qlYieldTSDiscount($C$31,AE128)</f>
        <v>1.0015905944928174</v>
      </c>
      <c r="AG128" s="125">
        <f>_xll.xlShmInterpDisc(CurveName&amp;T($C$26),AE128)</f>
        <v>1.0015905944928174</v>
      </c>
      <c r="AH128" s="127">
        <f t="shared" si="8"/>
        <v>0</v>
      </c>
    </row>
    <row r="129" spans="30:34" x14ac:dyDescent="0.2">
      <c r="AD129" s="13" t="s">
        <v>94</v>
      </c>
      <c r="AE129" s="126">
        <f>_xll.qlCalendarAdvance(Calendar,AE128,AD129,BizDayConv)</f>
        <v>42919</v>
      </c>
      <c r="AF129" s="125">
        <f>_xll.qlYieldTSDiscount($C$31,AE129)</f>
        <v>1.00161558279055</v>
      </c>
      <c r="AG129" s="125">
        <f>_xll.xlShmInterpDisc(CurveName&amp;T($C$26),AE129)</f>
        <v>1.00161558279055</v>
      </c>
      <c r="AH129" s="127">
        <f t="shared" si="8"/>
        <v>0</v>
      </c>
    </row>
    <row r="130" spans="30:34" x14ac:dyDescent="0.2">
      <c r="AD130" s="13" t="s">
        <v>94</v>
      </c>
      <c r="AE130" s="126">
        <f>_xll.qlCalendarAdvance(Calendar,AE129,AD130,BizDayConv)</f>
        <v>42920</v>
      </c>
      <c r="AF130" s="125">
        <f>_xll.qlYieldTSDiscount($C$31,AE130)</f>
        <v>1.0016239247135279</v>
      </c>
      <c r="AG130" s="125">
        <f>_xll.xlShmInterpDisc(CurveName&amp;T($C$26),AE130)</f>
        <v>1.0016239247135279</v>
      </c>
      <c r="AH130" s="127">
        <f t="shared" si="8"/>
        <v>0</v>
      </c>
    </row>
    <row r="131" spans="30:34" x14ac:dyDescent="0.2">
      <c r="AD131" s="13" t="s">
        <v>94</v>
      </c>
      <c r="AE131" s="126">
        <f>_xll.qlCalendarAdvance(Calendar,AE130,AD131,BizDayConv)</f>
        <v>42921</v>
      </c>
      <c r="AF131" s="125">
        <f>_xll.qlYieldTSDiscount($C$31,AE131)</f>
        <v>1.0016322641349076</v>
      </c>
      <c r="AG131" s="125">
        <f>_xll.xlShmInterpDisc(CurveName&amp;T($C$26),AE131)</f>
        <v>1.0016322641349076</v>
      </c>
      <c r="AH131" s="127">
        <f t="shared" si="8"/>
        <v>0</v>
      </c>
    </row>
    <row r="132" spans="30:34" x14ac:dyDescent="0.2">
      <c r="AD132" s="13" t="s">
        <v>94</v>
      </c>
      <c r="AE132" s="126">
        <f>_xll.qlCalendarAdvance(Calendar,AE131,AD132,BizDayConv)</f>
        <v>42922</v>
      </c>
      <c r="AF132" s="125">
        <f>_xll.qlYieldTSDiscount($C$31,AE132)</f>
        <v>1.0016406010504098</v>
      </c>
      <c r="AG132" s="125">
        <f>_xll.xlShmInterpDisc(CurveName&amp;T($C$26),AE132)</f>
        <v>1.0016406010504098</v>
      </c>
      <c r="AH132" s="127">
        <f t="shared" ref="AH132:AH195" si="9">(AF132-AG132)</f>
        <v>0</v>
      </c>
    </row>
    <row r="133" spans="30:34" x14ac:dyDescent="0.2">
      <c r="AD133" s="13" t="s">
        <v>94</v>
      </c>
      <c r="AE133" s="126">
        <f>_xll.qlCalendarAdvance(Calendar,AE132,AD133,BizDayConv)</f>
        <v>42923</v>
      </c>
      <c r="AF133" s="125">
        <f>_xll.qlYieldTSDiscount($C$31,AE133)</f>
        <v>1.0016489354550824</v>
      </c>
      <c r="AG133" s="125">
        <f>_xll.xlShmInterpDisc(CurveName&amp;T($C$26),AE133)</f>
        <v>1.0016489354550824</v>
      </c>
      <c r="AH133" s="127">
        <f t="shared" si="9"/>
        <v>0</v>
      </c>
    </row>
    <row r="134" spans="30:34" x14ac:dyDescent="0.2">
      <c r="AD134" s="13" t="s">
        <v>94</v>
      </c>
      <c r="AE134" s="126">
        <f>_xll.qlCalendarAdvance(Calendar,AE133,AD134,BizDayConv)</f>
        <v>42926</v>
      </c>
      <c r="AF134" s="125">
        <f>_xll.qlYieldTSDiscount($C$31,AE134)</f>
        <v>1.0016739235445056</v>
      </c>
      <c r="AG134" s="125">
        <f>_xll.xlShmInterpDisc(CurveName&amp;T($C$26),AE134)</f>
        <v>1.0016739235445056</v>
      </c>
      <c r="AH134" s="127">
        <f t="shared" si="9"/>
        <v>0</v>
      </c>
    </row>
    <row r="135" spans="30:34" x14ac:dyDescent="0.2">
      <c r="AD135" s="13" t="s">
        <v>94</v>
      </c>
      <c r="AE135" s="126">
        <f>_xll.qlCalendarAdvance(Calendar,AE134,AD135,BizDayConv)</f>
        <v>42927</v>
      </c>
      <c r="AF135" s="125">
        <f>_xll.qlYieldTSDiscount($C$31,AE135)</f>
        <v>1.0016822478428762</v>
      </c>
      <c r="AG135" s="125">
        <f>_xll.xlShmInterpDisc(CurveName&amp;T($C$26),AE135)</f>
        <v>1.0016822478428762</v>
      </c>
      <c r="AH135" s="127">
        <f t="shared" si="9"/>
        <v>0</v>
      </c>
    </row>
    <row r="136" spans="30:34" x14ac:dyDescent="0.2">
      <c r="AD136" s="13" t="s">
        <v>94</v>
      </c>
      <c r="AE136" s="126">
        <f>_xll.qlCalendarAdvance(Calendar,AE135,AD136,BizDayConv)</f>
        <v>42928</v>
      </c>
      <c r="AF136" s="125">
        <f>_xll.qlYieldTSDiscount($C$31,AE136)</f>
        <v>1.0016905695955585</v>
      </c>
      <c r="AG136" s="125">
        <f>_xll.xlShmInterpDisc(CurveName&amp;T($C$26),AE136)</f>
        <v>1.0016905695955585</v>
      </c>
      <c r="AH136" s="127">
        <f t="shared" si="9"/>
        <v>0</v>
      </c>
    </row>
    <row r="137" spans="30:34" x14ac:dyDescent="0.2">
      <c r="AD137" s="13" t="s">
        <v>94</v>
      </c>
      <c r="AE137" s="126">
        <f>_xll.qlCalendarAdvance(Calendar,AE136,AD137,BizDayConv)</f>
        <v>42929</v>
      </c>
      <c r="AF137" s="125">
        <f>_xll.qlYieldTSDiscount($C$31,AE137)</f>
        <v>1.0016988887935612</v>
      </c>
      <c r="AG137" s="125">
        <f>_xll.xlShmInterpDisc(CurveName&amp;T($C$26),AE137)</f>
        <v>1.0016988887935612</v>
      </c>
      <c r="AH137" s="127">
        <f t="shared" si="9"/>
        <v>0</v>
      </c>
    </row>
    <row r="138" spans="30:34" x14ac:dyDescent="0.2">
      <c r="AD138" s="13" t="s">
        <v>94</v>
      </c>
      <c r="AE138" s="126">
        <f>_xll.qlCalendarAdvance(Calendar,AE137,AD138,BizDayConv)</f>
        <v>42930</v>
      </c>
      <c r="AF138" s="125">
        <f>_xll.qlYieldTSDiscount($C$31,AE138)</f>
        <v>1.0017072054272189</v>
      </c>
      <c r="AG138" s="125">
        <f>_xll.xlShmInterpDisc(CurveName&amp;T($C$26),AE138)</f>
        <v>1.0017072054272189</v>
      </c>
      <c r="AH138" s="127">
        <f t="shared" si="9"/>
        <v>0</v>
      </c>
    </row>
    <row r="139" spans="30:34" x14ac:dyDescent="0.2">
      <c r="AD139" s="13" t="s">
        <v>94</v>
      </c>
      <c r="AE139" s="126">
        <f>_xll.qlCalendarAdvance(Calendar,AE138,AD139,BizDayConv)</f>
        <v>42933</v>
      </c>
      <c r="AF139" s="125">
        <f>_xll.qlYieldTSDiscount($C$31,AE139)</f>
        <v>1.0017321398353738</v>
      </c>
      <c r="AG139" s="125">
        <f>_xll.xlShmInterpDisc(CurveName&amp;T($C$26),AE139)</f>
        <v>1.0017321398353738</v>
      </c>
      <c r="AH139" s="127">
        <f t="shared" si="9"/>
        <v>0</v>
      </c>
    </row>
    <row r="140" spans="30:34" x14ac:dyDescent="0.2">
      <c r="AD140" s="13" t="s">
        <v>94</v>
      </c>
      <c r="AE140" s="126">
        <f>_xll.qlCalendarAdvance(Calendar,AE139,AD140,BizDayConv)</f>
        <v>42934</v>
      </c>
      <c r="AF140" s="125">
        <f>_xll.qlYieldTSDiscount($C$31,AE140)</f>
        <v>1.0017404461015349</v>
      </c>
      <c r="AG140" s="125">
        <f>_xll.xlShmInterpDisc(CurveName&amp;T($C$26),AE140)</f>
        <v>1.0017404461015349</v>
      </c>
      <c r="AH140" s="127">
        <f t="shared" si="9"/>
        <v>0</v>
      </c>
    </row>
    <row r="141" spans="30:34" x14ac:dyDescent="0.2">
      <c r="AD141" s="13" t="s">
        <v>94</v>
      </c>
      <c r="AE141" s="126">
        <f>_xll.qlCalendarAdvance(Calendar,AE140,AD141,BizDayConv)</f>
        <v>42935</v>
      </c>
      <c r="AF141" s="125">
        <f>_xll.qlYieldTSDiscount($C$31,AE141)</f>
        <v>1.0017487497449249</v>
      </c>
      <c r="AG141" s="125">
        <f>_xll.xlShmInterpDisc(CurveName&amp;T($C$26),AE141)</f>
        <v>1.0017487497449249</v>
      </c>
      <c r="AH141" s="127">
        <f t="shared" si="9"/>
        <v>0</v>
      </c>
    </row>
    <row r="142" spans="30:34" x14ac:dyDescent="0.2">
      <c r="AD142" s="13" t="s">
        <v>94</v>
      </c>
      <c r="AE142" s="126">
        <f>_xll.qlCalendarAdvance(Calendar,AE141,AD142,BizDayConv)</f>
        <v>42936</v>
      </c>
      <c r="AF142" s="125">
        <f>_xll.qlYieldTSDiscount($C$31,AE142)</f>
        <v>1.0017570507518381</v>
      </c>
      <c r="AG142" s="125">
        <f>_xll.xlShmInterpDisc(CurveName&amp;T($C$26),AE142)</f>
        <v>1.0017570507518381</v>
      </c>
      <c r="AH142" s="127">
        <f t="shared" si="9"/>
        <v>0</v>
      </c>
    </row>
    <row r="143" spans="30:34" x14ac:dyDescent="0.2">
      <c r="AD143" s="13" t="s">
        <v>94</v>
      </c>
      <c r="AE143" s="126">
        <f>_xll.qlCalendarAdvance(Calendar,AE142,AD143,BizDayConv)</f>
        <v>42937</v>
      </c>
      <c r="AF143" s="125">
        <f>_xll.qlYieldTSDiscount($C$31,AE143)</f>
        <v>1.0017653491078953</v>
      </c>
      <c r="AG143" s="125">
        <f>_xll.xlShmInterpDisc(CurveName&amp;T($C$26),AE143)</f>
        <v>1.0017653491078953</v>
      </c>
      <c r="AH143" s="127">
        <f t="shared" si="9"/>
        <v>0</v>
      </c>
    </row>
    <row r="144" spans="30:34" x14ac:dyDescent="0.2">
      <c r="AD144" s="13" t="s">
        <v>94</v>
      </c>
      <c r="AE144" s="126">
        <f>_xll.qlCalendarAdvance(Calendar,AE143,AD144,BizDayConv)</f>
        <v>42940</v>
      </c>
      <c r="AF144" s="125">
        <f>_xll.qlYieldTSDiscount($C$31,AE144)</f>
        <v>1.0017902281170332</v>
      </c>
      <c r="AG144" s="125">
        <f>_xll.xlShmInterpDisc(CurveName&amp;T($C$26),AE144)</f>
        <v>1.0017902281170332</v>
      </c>
      <c r="AH144" s="127">
        <f t="shared" si="9"/>
        <v>0</v>
      </c>
    </row>
    <row r="145" spans="30:34" x14ac:dyDescent="0.2">
      <c r="AD145" s="13" t="s">
        <v>94</v>
      </c>
      <c r="AE145" s="126">
        <f>_xll.qlCalendarAdvance(Calendar,AE144,AD145,BizDayConv)</f>
        <v>42941</v>
      </c>
      <c r="AF145" s="125">
        <f>_xll.qlYieldTSDiscount($C$31,AE145)</f>
        <v>1.0017985157124008</v>
      </c>
      <c r="AG145" s="125">
        <f>_xll.xlShmInterpDisc(CurveName&amp;T($C$26),AE145)</f>
        <v>1.0017985157124008</v>
      </c>
      <c r="AH145" s="127">
        <f t="shared" si="9"/>
        <v>0</v>
      </c>
    </row>
    <row r="146" spans="30:34" x14ac:dyDescent="0.2">
      <c r="AD146" s="13" t="s">
        <v>94</v>
      </c>
      <c r="AE146" s="126">
        <f>_xll.qlCalendarAdvance(Calendar,AE145,AD146,BizDayConv)</f>
        <v>42942</v>
      </c>
      <c r="AF146" s="125">
        <f>_xll.qlYieldTSDiscount($C$31,AE146)</f>
        <v>1.0018068005749117</v>
      </c>
      <c r="AG146" s="125">
        <f>_xll.xlShmInterpDisc(CurveName&amp;T($C$26),AE146)</f>
        <v>1.0018068005749117</v>
      </c>
      <c r="AH146" s="127">
        <f t="shared" si="9"/>
        <v>0</v>
      </c>
    </row>
    <row r="147" spans="30:34" x14ac:dyDescent="0.2">
      <c r="AD147" s="13" t="s">
        <v>94</v>
      </c>
      <c r="AE147" s="126">
        <f>_xll.qlCalendarAdvance(Calendar,AE146,AD147,BizDayConv)</f>
        <v>42943</v>
      </c>
      <c r="AF147" s="125">
        <f>_xll.qlYieldTSDiscount($C$31,AE147)</f>
        <v>1.0018150826861443</v>
      </c>
      <c r="AG147" s="125">
        <f>_xll.xlShmInterpDisc(CurveName&amp;T($C$26),AE147)</f>
        <v>1.0018150826861443</v>
      </c>
      <c r="AH147" s="127">
        <f t="shared" si="9"/>
        <v>0</v>
      </c>
    </row>
    <row r="148" spans="30:34" x14ac:dyDescent="0.2">
      <c r="AD148" s="13" t="s">
        <v>94</v>
      </c>
      <c r="AE148" s="126">
        <f>_xll.qlCalendarAdvance(Calendar,AE147,AD148,BizDayConv)</f>
        <v>42944</v>
      </c>
      <c r="AF148" s="125">
        <f>_xll.qlYieldTSDiscount($C$31,AE148)</f>
        <v>1.0018233620270038</v>
      </c>
      <c r="AG148" s="125">
        <f>_xll.xlShmInterpDisc(CurveName&amp;T($C$26),AE148)</f>
        <v>1.0018233620270038</v>
      </c>
      <c r="AH148" s="127">
        <f t="shared" si="9"/>
        <v>0</v>
      </c>
    </row>
    <row r="149" spans="30:34" x14ac:dyDescent="0.2">
      <c r="AD149" s="13" t="s">
        <v>94</v>
      </c>
      <c r="AE149" s="126">
        <f>_xll.qlCalendarAdvance(Calendar,AE148,AD149,BizDayConv)</f>
        <v>42947</v>
      </c>
      <c r="AF149" s="125">
        <f>_xll.qlYieldTSDiscount($C$31,AE149)</f>
        <v>1.0018481832262878</v>
      </c>
      <c r="AG149" s="125">
        <f>_xll.xlShmInterpDisc(CurveName&amp;T($C$26),AE149)</f>
        <v>1.0018481832262878</v>
      </c>
      <c r="AH149" s="127">
        <f t="shared" si="9"/>
        <v>0</v>
      </c>
    </row>
    <row r="150" spans="30:34" x14ac:dyDescent="0.2">
      <c r="AD150" s="13" t="s">
        <v>94</v>
      </c>
      <c r="AE150" s="126">
        <f>_xll.qlCalendarAdvance(Calendar,AE149,AD150,BizDayConv)</f>
        <v>42948</v>
      </c>
      <c r="AF150" s="125">
        <f>_xll.qlYieldTSDiscount($C$31,AE150)</f>
        <v>1.0018564512812296</v>
      </c>
      <c r="AG150" s="125">
        <f>_xll.xlShmInterpDisc(CurveName&amp;T($C$26),AE150)</f>
        <v>1.0018564512812296</v>
      </c>
      <c r="AH150" s="127">
        <f t="shared" si="9"/>
        <v>0</v>
      </c>
    </row>
    <row r="151" spans="30:34" x14ac:dyDescent="0.2">
      <c r="AD151" s="13" t="s">
        <v>94</v>
      </c>
      <c r="AE151" s="126">
        <f>_xll.qlCalendarAdvance(Calendar,AE150,AD151,BizDayConv)</f>
        <v>42949</v>
      </c>
      <c r="AF151" s="125">
        <f>_xll.qlYieldTSDiscount($C$31,AE151)</f>
        <v>1.0018647164602164</v>
      </c>
      <c r="AG151" s="125">
        <f>_xll.xlShmInterpDisc(CurveName&amp;T($C$26),AE151)</f>
        <v>1.0018647164602164</v>
      </c>
      <c r="AH151" s="127">
        <f t="shared" si="9"/>
        <v>0</v>
      </c>
    </row>
    <row r="152" spans="30:34" x14ac:dyDescent="0.2">
      <c r="AD152" s="13" t="s">
        <v>94</v>
      </c>
      <c r="AE152" s="126">
        <f>_xll.qlCalendarAdvance(Calendar,AE151,AD152,BizDayConv)</f>
        <v>42950</v>
      </c>
      <c r="AF152" s="125">
        <f>_xll.qlYieldTSDiscount($C$31,AE152)</f>
        <v>1.0018729787401099</v>
      </c>
      <c r="AG152" s="125">
        <f>_xll.xlShmInterpDisc(CurveName&amp;T($C$26),AE152)</f>
        <v>1.0018729787401099</v>
      </c>
      <c r="AH152" s="127">
        <f t="shared" si="9"/>
        <v>0</v>
      </c>
    </row>
    <row r="153" spans="30:34" x14ac:dyDescent="0.2">
      <c r="AD153" s="13" t="s">
        <v>94</v>
      </c>
      <c r="AE153" s="126">
        <f>_xll.qlCalendarAdvance(Calendar,AE152,AD153,BizDayConv)</f>
        <v>42951</v>
      </c>
      <c r="AF153" s="125">
        <f>_xll.qlYieldTSDiscount($C$31,AE153)</f>
        <v>1.0018812412462696</v>
      </c>
      <c r="AG153" s="125">
        <f>_xll.xlShmInterpDisc(CurveName&amp;T($C$26),AE153)</f>
        <v>1.0018812412462696</v>
      </c>
      <c r="AH153" s="127">
        <f t="shared" si="9"/>
        <v>0</v>
      </c>
    </row>
    <row r="154" spans="30:34" x14ac:dyDescent="0.2">
      <c r="AD154" s="13" t="s">
        <v>94</v>
      </c>
      <c r="AE154" s="126">
        <f>_xll.qlCalendarAdvance(Calendar,AE153,AD154,BizDayConv)</f>
        <v>42954</v>
      </c>
      <c r="AF154" s="125">
        <f>_xll.qlYieldTSDiscount($C$31,AE154)</f>
        <v>1.0019060450121575</v>
      </c>
      <c r="AG154" s="125">
        <f>_xll.xlShmInterpDisc(CurveName&amp;T($C$26),AE154)</f>
        <v>1.0019060450121575</v>
      </c>
      <c r="AH154" s="127">
        <f t="shared" si="9"/>
        <v>0</v>
      </c>
    </row>
    <row r="155" spans="30:34" x14ac:dyDescent="0.2">
      <c r="AD155" s="13" t="s">
        <v>94</v>
      </c>
      <c r="AE155" s="126">
        <f>_xll.qlCalendarAdvance(Calendar,AE154,AD155,BizDayConv)</f>
        <v>42955</v>
      </c>
      <c r="AF155" s="125">
        <f>_xll.qlYieldTSDiscount($C$31,AE155)</f>
        <v>1.0019143166561482</v>
      </c>
      <c r="AG155" s="125">
        <f>_xll.xlShmInterpDisc(CurveName&amp;T($C$26),AE155)</f>
        <v>1.0019143166561482</v>
      </c>
      <c r="AH155" s="127">
        <f t="shared" si="9"/>
        <v>0</v>
      </c>
    </row>
    <row r="156" spans="30:34" x14ac:dyDescent="0.2">
      <c r="AD156" s="13" t="s">
        <v>94</v>
      </c>
      <c r="AE156" s="126">
        <f>_xll.qlCalendarAdvance(Calendar,AE155,AD156,BizDayConv)</f>
        <v>42956</v>
      </c>
      <c r="AF156" s="125">
        <f>_xll.qlYieldTSDiscount($C$31,AE156)</f>
        <v>1.0019225892872283</v>
      </c>
      <c r="AG156" s="125">
        <f>_xll.xlShmInterpDisc(CurveName&amp;T($C$26),AE156)</f>
        <v>1.0019225892872283</v>
      </c>
      <c r="AH156" s="127">
        <f t="shared" si="9"/>
        <v>0</v>
      </c>
    </row>
    <row r="157" spans="30:34" x14ac:dyDescent="0.2">
      <c r="AD157" s="13" t="s">
        <v>94</v>
      </c>
      <c r="AE157" s="126">
        <f>_xll.qlCalendarAdvance(Calendar,AE156,AD157,BizDayConv)</f>
        <v>42957</v>
      </c>
      <c r="AF157" s="125">
        <f>_xll.qlYieldTSDiscount($C$31,AE157)</f>
        <v>1.0019308623648204</v>
      </c>
      <c r="AG157" s="125">
        <f>_xll.xlShmInterpDisc(CurveName&amp;T($C$26),AE157)</f>
        <v>1.0019308623648204</v>
      </c>
      <c r="AH157" s="127">
        <f t="shared" si="9"/>
        <v>0</v>
      </c>
    </row>
    <row r="158" spans="30:34" x14ac:dyDescent="0.2">
      <c r="AD158" s="13" t="s">
        <v>94</v>
      </c>
      <c r="AE158" s="126">
        <f>_xll.qlCalendarAdvance(Calendar,AE157,AD158,BizDayConv)</f>
        <v>42958</v>
      </c>
      <c r="AF158" s="125">
        <f>_xll.qlYieldTSDiscount($C$31,AE158)</f>
        <v>1.0019391353375302</v>
      </c>
      <c r="AG158" s="125">
        <f>_xll.xlShmInterpDisc(CurveName&amp;T($C$26),AE158)</f>
        <v>1.0019391353375302</v>
      </c>
      <c r="AH158" s="127">
        <f t="shared" si="9"/>
        <v>0</v>
      </c>
    </row>
    <row r="159" spans="30:34" x14ac:dyDescent="0.2">
      <c r="AD159" s="13" t="s">
        <v>94</v>
      </c>
      <c r="AE159" s="126">
        <f>_xll.qlCalendarAdvance(Calendar,AE158,AD159,BizDayConv)</f>
        <v>42961</v>
      </c>
      <c r="AF159" s="125">
        <f>_xll.qlYieldTSDiscount($C$31,AE159)</f>
        <v>1.0019639479501778</v>
      </c>
      <c r="AG159" s="125">
        <f>_xll.xlShmInterpDisc(CurveName&amp;T($C$26),AE159)</f>
        <v>1.0019639479501778</v>
      </c>
      <c r="AH159" s="127">
        <f t="shared" si="9"/>
        <v>0</v>
      </c>
    </row>
    <row r="160" spans="30:34" x14ac:dyDescent="0.2">
      <c r="AD160" s="13" t="s">
        <v>94</v>
      </c>
      <c r="AE160" s="126">
        <f>_xll.qlCalendarAdvance(Calendar,AE159,AD160,BizDayConv)</f>
        <v>42962</v>
      </c>
      <c r="AF160" s="125">
        <f>_xll.qlYieldTSDiscount($C$31,AE160)</f>
        <v>1.0019722147730834</v>
      </c>
      <c r="AG160" s="125">
        <f>_xll.xlShmInterpDisc(CurveName&amp;T($C$26),AE160)</f>
        <v>1.0019722147730834</v>
      </c>
      <c r="AH160" s="127">
        <f t="shared" si="9"/>
        <v>0</v>
      </c>
    </row>
    <row r="161" spans="30:34" x14ac:dyDescent="0.2">
      <c r="AD161" s="13" t="s">
        <v>94</v>
      </c>
      <c r="AE161" s="126">
        <f>_xll.qlCalendarAdvance(Calendar,AE160,AD161,BizDayConv)</f>
        <v>42963</v>
      </c>
      <c r="AF161" s="125">
        <f>_xll.qlYieldTSDiscount($C$31,AE161)</f>
        <v>1.0019804785718811</v>
      </c>
      <c r="AG161" s="125">
        <f>_xll.xlShmInterpDisc(CurveName&amp;T($C$26),AE161)</f>
        <v>1.0019804785718811</v>
      </c>
      <c r="AH161" s="127">
        <f t="shared" si="9"/>
        <v>0</v>
      </c>
    </row>
    <row r="162" spans="30:34" x14ac:dyDescent="0.2">
      <c r="AD162" s="13" t="s">
        <v>94</v>
      </c>
      <c r="AE162" s="126">
        <f>_xll.qlCalendarAdvance(Calendar,AE161,AD162,BizDayConv)</f>
        <v>42964</v>
      </c>
      <c r="AF162" s="125">
        <f>_xll.qlYieldTSDiscount($C$31,AE162)</f>
        <v>1.0019887387302713</v>
      </c>
      <c r="AG162" s="125">
        <f>_xll.xlShmInterpDisc(CurveName&amp;T($C$26),AE162)</f>
        <v>1.0019887387302713</v>
      </c>
      <c r="AH162" s="127">
        <f t="shared" si="9"/>
        <v>0</v>
      </c>
    </row>
    <row r="163" spans="30:34" x14ac:dyDescent="0.2">
      <c r="AD163" s="13" t="s">
        <v>94</v>
      </c>
      <c r="AE163" s="126">
        <f>_xll.qlCalendarAdvance(Calendar,AE162,AD163,BizDayConv)</f>
        <v>42965</v>
      </c>
      <c r="AF163" s="125">
        <f>_xll.qlYieldTSDiscount($C$31,AE163)</f>
        <v>1.0019969946211349</v>
      </c>
      <c r="AG163" s="125">
        <f>_xll.xlShmInterpDisc(CurveName&amp;T($C$26),AE163)</f>
        <v>1.0019969946211349</v>
      </c>
      <c r="AH163" s="127">
        <f t="shared" si="9"/>
        <v>0</v>
      </c>
    </row>
    <row r="164" spans="30:34" x14ac:dyDescent="0.2">
      <c r="AD164" s="13" t="s">
        <v>94</v>
      </c>
      <c r="AE164" s="126">
        <f>_xll.qlCalendarAdvance(Calendar,AE163,AD164,BizDayConv)</f>
        <v>42968</v>
      </c>
      <c r="AF164" s="125">
        <f>_xll.qlYieldTSDiscount($C$31,AE164)</f>
        <v>1.0020217302550869</v>
      </c>
      <c r="AG164" s="125">
        <f>_xll.xlShmInterpDisc(CurveName&amp;T($C$26),AE164)</f>
        <v>1.0020217302550869</v>
      </c>
      <c r="AH164" s="127">
        <f t="shared" si="9"/>
        <v>0</v>
      </c>
    </row>
    <row r="165" spans="30:34" x14ac:dyDescent="0.2">
      <c r="AD165" s="13" t="s">
        <v>94</v>
      </c>
      <c r="AE165" s="126">
        <f>_xll.qlCalendarAdvance(Calendar,AE164,AD165,BizDayConv)</f>
        <v>42969</v>
      </c>
      <c r="AF165" s="125">
        <f>_xll.qlYieldTSDiscount($C$31,AE165)</f>
        <v>1.002029962588262</v>
      </c>
      <c r="AG165" s="125">
        <f>_xll.xlShmInterpDisc(CurveName&amp;T($C$26),AE165)</f>
        <v>1.002029962588262</v>
      </c>
      <c r="AH165" s="127">
        <f t="shared" si="9"/>
        <v>0</v>
      </c>
    </row>
    <row r="166" spans="30:34" x14ac:dyDescent="0.2">
      <c r="AD166" s="13" t="s">
        <v>94</v>
      </c>
      <c r="AE166" s="126">
        <f>_xll.qlCalendarAdvance(Calendar,AE165,AD166,BizDayConv)</f>
        <v>42970</v>
      </c>
      <c r="AF166" s="125">
        <f>_xll.qlYieldTSDiscount($C$31,AE166)</f>
        <v>1.0020381873560162</v>
      </c>
      <c r="AG166" s="125">
        <f>_xll.xlShmInterpDisc(CurveName&amp;T($C$26),AE166)</f>
        <v>1.0020381873560162</v>
      </c>
      <c r="AH166" s="127">
        <f t="shared" si="9"/>
        <v>0</v>
      </c>
    </row>
    <row r="167" spans="30:34" x14ac:dyDescent="0.2">
      <c r="AD167" s="13" t="s">
        <v>94</v>
      </c>
      <c r="AE167" s="126">
        <f>_xll.qlCalendarAdvance(Calendar,AE166,AD167,BizDayConv)</f>
        <v>42971</v>
      </c>
      <c r="AF167" s="125">
        <f>_xll.qlYieldTSDiscount($C$31,AE167)</f>
        <v>1.0020464038663077</v>
      </c>
      <c r="AG167" s="125">
        <f>_xll.xlShmInterpDisc(CurveName&amp;T($C$26),AE167)</f>
        <v>1.0020464038663077</v>
      </c>
      <c r="AH167" s="127">
        <f t="shared" si="9"/>
        <v>0</v>
      </c>
    </row>
    <row r="168" spans="30:34" x14ac:dyDescent="0.2">
      <c r="AD168" s="13" t="s">
        <v>94</v>
      </c>
      <c r="AE168" s="126">
        <f>_xll.qlCalendarAdvance(Calendar,AE167,AD168,BizDayConv)</f>
        <v>42972</v>
      </c>
      <c r="AF168" s="125">
        <f>_xll.qlYieldTSDiscount($C$31,AE168)</f>
        <v>1.0020546114162721</v>
      </c>
      <c r="AG168" s="125">
        <f>_xll.xlShmInterpDisc(CurveName&amp;T($C$26),AE168)</f>
        <v>1.0020546114162721</v>
      </c>
      <c r="AH168" s="127">
        <f t="shared" si="9"/>
        <v>0</v>
      </c>
    </row>
    <row r="169" spans="30:34" x14ac:dyDescent="0.2">
      <c r="AD169" s="13" t="s">
        <v>94</v>
      </c>
      <c r="AE169" s="126">
        <f>_xll.qlCalendarAdvance(Calendar,AE168,AD169,BizDayConv)</f>
        <v>42975</v>
      </c>
      <c r="AF169" s="125">
        <f>_xll.qlYieldTSDiscount($C$31,AE169)</f>
        <v>1.0020791731132261</v>
      </c>
      <c r="AG169" s="125">
        <f>_xll.xlShmInterpDisc(CurveName&amp;T($C$26),AE169)</f>
        <v>1.0020791731132261</v>
      </c>
      <c r="AH169" s="127">
        <f t="shared" si="9"/>
        <v>0</v>
      </c>
    </row>
    <row r="170" spans="30:34" x14ac:dyDescent="0.2">
      <c r="AD170" s="13" t="s">
        <v>94</v>
      </c>
      <c r="AE170" s="126">
        <f>_xll.qlCalendarAdvance(Calendar,AE169,AD170,BizDayConv)</f>
        <v>42976</v>
      </c>
      <c r="AF170" s="125">
        <f>_xll.qlYieldTSDiscount($C$31,AE170)</f>
        <v>1.0020873375767902</v>
      </c>
      <c r="AG170" s="125">
        <f>_xll.xlShmInterpDisc(CurveName&amp;T($C$26),AE170)</f>
        <v>1.0020873375767902</v>
      </c>
      <c r="AH170" s="127">
        <f t="shared" si="9"/>
        <v>0</v>
      </c>
    </row>
    <row r="171" spans="30:34" x14ac:dyDescent="0.2">
      <c r="AD171" s="13" t="s">
        <v>94</v>
      </c>
      <c r="AE171" s="126">
        <f>_xll.qlCalendarAdvance(Calendar,AE170,AD171,BizDayConv)</f>
        <v>42977</v>
      </c>
      <c r="AF171" s="125">
        <f>_xll.qlYieldTSDiscount($C$31,AE171)</f>
        <v>1.0020954894033651</v>
      </c>
      <c r="AG171" s="125">
        <f>_xll.xlShmInterpDisc(CurveName&amp;T($C$26),AE171)</f>
        <v>1.0020954894033651</v>
      </c>
      <c r="AH171" s="127">
        <f t="shared" si="9"/>
        <v>0</v>
      </c>
    </row>
    <row r="172" spans="30:34" x14ac:dyDescent="0.2">
      <c r="AD172" s="13" t="s">
        <v>94</v>
      </c>
      <c r="AE172" s="126">
        <f>_xll.qlCalendarAdvance(Calendar,AE171,AD172,BizDayConv)</f>
        <v>42978</v>
      </c>
      <c r="AF172" s="125">
        <f>_xll.qlYieldTSDiscount($C$31,AE172)</f>
        <v>1.0021036278251469</v>
      </c>
      <c r="AG172" s="125">
        <f>_xll.xlShmInterpDisc(CurveName&amp;T($C$26),AE172)</f>
        <v>1.0021036278251469</v>
      </c>
      <c r="AH172" s="127">
        <f t="shared" si="9"/>
        <v>0</v>
      </c>
    </row>
    <row r="173" spans="30:34" x14ac:dyDescent="0.2">
      <c r="AD173" s="13" t="s">
        <v>94</v>
      </c>
      <c r="AE173" s="126">
        <f>_xll.qlCalendarAdvance(Calendar,AE172,AD173,BizDayConv)</f>
        <v>42979</v>
      </c>
      <c r="AF173" s="125">
        <f>_xll.qlYieldTSDiscount($C$31,AE173)</f>
        <v>1.0021117520635077</v>
      </c>
      <c r="AG173" s="125">
        <f>_xll.xlShmInterpDisc(CurveName&amp;T($C$26),AE173)</f>
        <v>1.0021117520635077</v>
      </c>
      <c r="AH173" s="127">
        <f t="shared" si="9"/>
        <v>0</v>
      </c>
    </row>
    <row r="174" spans="30:34" x14ac:dyDescent="0.2">
      <c r="AD174" s="13" t="s">
        <v>94</v>
      </c>
      <c r="AE174" s="126">
        <f>_xll.qlCalendarAdvance(Calendar,AE173,AD174,BizDayConv)</f>
        <v>42982</v>
      </c>
      <c r="AF174" s="125">
        <f>_xll.qlYieldTSDiscount($C$31,AE174)</f>
        <v>1.0021360317294099</v>
      </c>
      <c r="AG174" s="125">
        <f>_xll.xlShmInterpDisc(CurveName&amp;T($C$26),AE174)</f>
        <v>1.0021360317294099</v>
      </c>
      <c r="AH174" s="127">
        <f t="shared" si="9"/>
        <v>0</v>
      </c>
    </row>
    <row r="175" spans="30:34" x14ac:dyDescent="0.2">
      <c r="AD175" s="13" t="s">
        <v>94</v>
      </c>
      <c r="AE175" s="126">
        <f>_xll.qlCalendarAdvance(Calendar,AE174,AD175,BizDayConv)</f>
        <v>42983</v>
      </c>
      <c r="AF175" s="125">
        <f>_xll.qlYieldTSDiscount($C$31,AE175)</f>
        <v>1.0021440875199503</v>
      </c>
      <c r="AG175" s="125">
        <f>_xll.xlShmInterpDisc(CurveName&amp;T($C$26),AE175)</f>
        <v>1.0021440875199503</v>
      </c>
      <c r="AH175" s="127">
        <f t="shared" si="9"/>
        <v>0</v>
      </c>
    </row>
    <row r="176" spans="30:34" x14ac:dyDescent="0.2">
      <c r="AD176" s="13" t="s">
        <v>94</v>
      </c>
      <c r="AE176" s="126">
        <f>_xll.qlCalendarAdvance(Calendar,AE175,AD176,BizDayConv)</f>
        <v>42984</v>
      </c>
      <c r="AF176" s="125">
        <f>_xll.qlYieldTSDiscount($C$31,AE176)</f>
        <v>1.0021521188197717</v>
      </c>
      <c r="AG176" s="125">
        <f>_xll.xlShmInterpDisc(CurveName&amp;T($C$26),AE176)</f>
        <v>1.0021521188197717</v>
      </c>
      <c r="AH176" s="127">
        <f t="shared" si="9"/>
        <v>0</v>
      </c>
    </row>
    <row r="177" spans="30:34" x14ac:dyDescent="0.2">
      <c r="AD177" s="13" t="s">
        <v>94</v>
      </c>
      <c r="AE177" s="126">
        <f>_xll.qlCalendarAdvance(Calendar,AE176,AD177,BizDayConv)</f>
        <v>42985</v>
      </c>
      <c r="AF177" s="125">
        <f>_xll.qlYieldTSDiscount($C$31,AE177)</f>
        <v>1.0021601265638835</v>
      </c>
      <c r="AG177" s="125">
        <f>_xll.xlShmInterpDisc(CurveName&amp;T($C$26),AE177)</f>
        <v>1.0021601265638835</v>
      </c>
      <c r="AH177" s="127">
        <f t="shared" si="9"/>
        <v>0</v>
      </c>
    </row>
    <row r="178" spans="30:34" x14ac:dyDescent="0.2">
      <c r="AD178" s="13" t="s">
        <v>94</v>
      </c>
      <c r="AE178" s="126">
        <f>_xll.qlCalendarAdvance(Calendar,AE177,AD178,BizDayConv)</f>
        <v>42986</v>
      </c>
      <c r="AF178" s="125">
        <f>_xll.qlYieldTSDiscount($C$31,AE178)</f>
        <v>1.002168111706063</v>
      </c>
      <c r="AG178" s="125">
        <f>_xll.xlShmInterpDisc(CurveName&amp;T($C$26),AE178)</f>
        <v>1.002168111706063</v>
      </c>
      <c r="AH178" s="127">
        <f t="shared" si="9"/>
        <v>0</v>
      </c>
    </row>
    <row r="179" spans="30:34" x14ac:dyDescent="0.2">
      <c r="AD179" s="13" t="s">
        <v>94</v>
      </c>
      <c r="AE179" s="126">
        <f>_xll.qlCalendarAdvance(Calendar,AE178,AD179,BizDayConv)</f>
        <v>42989</v>
      </c>
      <c r="AF179" s="125">
        <f>_xll.qlYieldTSDiscount($C$31,AE179)</f>
        <v>1.0021919413403024</v>
      </c>
      <c r="AG179" s="125">
        <f>_xll.xlShmInterpDisc(CurveName&amp;T($C$26),AE179)</f>
        <v>1.0021919413403024</v>
      </c>
      <c r="AH179" s="127">
        <f t="shared" si="9"/>
        <v>0</v>
      </c>
    </row>
    <row r="180" spans="30:34" x14ac:dyDescent="0.2">
      <c r="AD180" s="13" t="s">
        <v>94</v>
      </c>
      <c r="AE180" s="126">
        <f>_xll.qlCalendarAdvance(Calendar,AE179,AD180,BizDayConv)</f>
        <v>42990</v>
      </c>
      <c r="AF180" s="125">
        <f>_xll.qlYieldTSDiscount($C$31,AE180)</f>
        <v>1.0021998459878925</v>
      </c>
      <c r="AG180" s="125">
        <f>_xll.xlShmInterpDisc(CurveName&amp;T($C$26),AE180)</f>
        <v>1.0021998459878925</v>
      </c>
      <c r="AH180" s="127">
        <f t="shared" si="9"/>
        <v>0</v>
      </c>
    </row>
    <row r="181" spans="30:34" x14ac:dyDescent="0.2">
      <c r="AD181" s="13" t="s">
        <v>94</v>
      </c>
      <c r="AE181" s="126">
        <f>_xll.qlCalendarAdvance(Calendar,AE180,AD181,BizDayConv)</f>
        <v>42991</v>
      </c>
      <c r="AF181" s="125">
        <f>_xll.qlYieldTSDiscount($C$31,AE181)</f>
        <v>1.0022077330839669</v>
      </c>
      <c r="AG181" s="125">
        <f>_xll.xlShmInterpDisc(CurveName&amp;T($C$26),AE181)</f>
        <v>1.0022077330839669</v>
      </c>
      <c r="AH181" s="127">
        <f t="shared" si="9"/>
        <v>0</v>
      </c>
    </row>
    <row r="182" spans="30:34" x14ac:dyDescent="0.2">
      <c r="AD182" s="13" t="s">
        <v>94</v>
      </c>
      <c r="AE182" s="126">
        <f>_xll.qlCalendarAdvance(Calendar,AE181,AD182,BizDayConv)</f>
        <v>42992</v>
      </c>
      <c r="AF182" s="125">
        <f>_xll.qlYieldTSDiscount($C$31,AE182)</f>
        <v>1.002215603694919</v>
      </c>
      <c r="AG182" s="125">
        <f>_xll.xlShmInterpDisc(CurveName&amp;T($C$26),AE182)</f>
        <v>1.002215603694919</v>
      </c>
      <c r="AH182" s="127">
        <f t="shared" si="9"/>
        <v>0</v>
      </c>
    </row>
    <row r="183" spans="30:34" x14ac:dyDescent="0.2">
      <c r="AD183" s="13" t="s">
        <v>94</v>
      </c>
      <c r="AE183" s="126">
        <f>_xll.qlCalendarAdvance(Calendar,AE182,AD183,BizDayConv)</f>
        <v>42993</v>
      </c>
      <c r="AF183" s="125">
        <f>_xll.qlYieldTSDiscount($C$31,AE183)</f>
        <v>1.0022234589059134</v>
      </c>
      <c r="AG183" s="125">
        <f>_xll.xlShmInterpDisc(CurveName&amp;T($C$26),AE183)</f>
        <v>1.0022234589059134</v>
      </c>
      <c r="AH183" s="127">
        <f t="shared" si="9"/>
        <v>0</v>
      </c>
    </row>
    <row r="184" spans="30:34" x14ac:dyDescent="0.2">
      <c r="AD184" s="13" t="s">
        <v>94</v>
      </c>
      <c r="AE184" s="126">
        <f>_xll.qlCalendarAdvance(Calendar,AE183,AD184,BizDayConv)</f>
        <v>42996</v>
      </c>
      <c r="AF184" s="125">
        <f>_xll.qlYieldTSDiscount($C$31,AE184)</f>
        <v>1.0022469432723773</v>
      </c>
      <c r="AG184" s="125">
        <f>_xll.xlShmInterpDisc(CurveName&amp;T($C$26),AE184)</f>
        <v>1.0022469432723773</v>
      </c>
      <c r="AH184" s="127">
        <f t="shared" si="9"/>
        <v>0</v>
      </c>
    </row>
    <row r="185" spans="30:34" x14ac:dyDescent="0.2">
      <c r="AD185" s="13" t="s">
        <v>94</v>
      </c>
      <c r="AE185" s="126">
        <f>_xll.qlCalendarAdvance(Calendar,AE184,AD185,BizDayConv)</f>
        <v>42997</v>
      </c>
      <c r="AF185" s="125">
        <f>_xll.qlYieldTSDiscount($C$31,AE185)</f>
        <v>1.0022547481106323</v>
      </c>
      <c r="AG185" s="125">
        <f>_xll.xlShmInterpDisc(CurveName&amp;T($C$26),AE185)</f>
        <v>1.0022547481106323</v>
      </c>
      <c r="AH185" s="127">
        <f t="shared" si="9"/>
        <v>0</v>
      </c>
    </row>
    <row r="186" spans="30:34" x14ac:dyDescent="0.2">
      <c r="AD186" s="13" t="s">
        <v>94</v>
      </c>
      <c r="AE186" s="126">
        <f>_xll.qlCalendarAdvance(Calendar,AE185,AD186,BizDayConv)</f>
        <v>42998</v>
      </c>
      <c r="AF186" s="125">
        <f>_xll.qlYieldTSDiscount($C$31,AE186)</f>
        <v>1.0022625432563417</v>
      </c>
      <c r="AG186" s="125">
        <f>_xll.xlShmInterpDisc(CurveName&amp;T($C$26),AE186)</f>
        <v>1.0022625432563417</v>
      </c>
      <c r="AH186" s="127">
        <f t="shared" si="9"/>
        <v>0</v>
      </c>
    </row>
    <row r="187" spans="30:34" x14ac:dyDescent="0.2">
      <c r="AD187" s="13" t="s">
        <v>94</v>
      </c>
      <c r="AE187" s="126">
        <f>_xll.qlCalendarAdvance(Calendar,AE186,AD187,BizDayConv)</f>
        <v>42999</v>
      </c>
      <c r="AF187" s="125">
        <f>_xll.qlYieldTSDiscount($C$31,AE187)</f>
        <v>1.0022703299073101</v>
      </c>
      <c r="AG187" s="125">
        <f>_xll.xlShmInterpDisc(CurveName&amp;T($C$26),AE187)</f>
        <v>1.0022703299073101</v>
      </c>
      <c r="AH187" s="127">
        <f t="shared" si="9"/>
        <v>0</v>
      </c>
    </row>
    <row r="188" spans="30:34" x14ac:dyDescent="0.2">
      <c r="AD188" s="13" t="s">
        <v>94</v>
      </c>
      <c r="AE188" s="126">
        <f>_xll.qlCalendarAdvance(Calendar,AE187,AD188,BizDayConv)</f>
        <v>43000</v>
      </c>
      <c r="AF188" s="125">
        <f>_xll.qlYieldTSDiscount($C$31,AE188)</f>
        <v>1.002278109280117</v>
      </c>
      <c r="AG188" s="125">
        <f>_xll.xlShmInterpDisc(CurveName&amp;T($C$26),AE188)</f>
        <v>1.002278109280117</v>
      </c>
      <c r="AH188" s="127">
        <f t="shared" si="9"/>
        <v>0</v>
      </c>
    </row>
    <row r="189" spans="30:34" x14ac:dyDescent="0.2">
      <c r="AD189" s="13" t="s">
        <v>94</v>
      </c>
      <c r="AE189" s="126">
        <f>_xll.qlCalendarAdvance(Calendar,AE188,AD189,BizDayConv)</f>
        <v>43003</v>
      </c>
      <c r="AF189" s="125">
        <f>_xll.qlYieldTSDiscount($C$31,AE189)</f>
        <v>1.0023014161770114</v>
      </c>
      <c r="AG189" s="125">
        <f>_xll.xlShmInterpDisc(CurveName&amp;T($C$26),AE189)</f>
        <v>1.0023014161770114</v>
      </c>
      <c r="AH189" s="127">
        <f t="shared" si="9"/>
        <v>0</v>
      </c>
    </row>
    <row r="190" spans="30:34" x14ac:dyDescent="0.2">
      <c r="AD190" s="13" t="s">
        <v>94</v>
      </c>
      <c r="AE190" s="126">
        <f>_xll.qlCalendarAdvance(Calendar,AE189,AD190,BizDayConv)</f>
        <v>43004</v>
      </c>
      <c r="AF190" s="125">
        <f>_xll.qlYieldTSDiscount($C$31,AE190)</f>
        <v>1.0023091789785012</v>
      </c>
      <c r="AG190" s="125">
        <f>_xll.xlShmInterpDisc(CurveName&amp;T($C$26),AE190)</f>
        <v>1.0023091789785012</v>
      </c>
      <c r="AH190" s="127">
        <f t="shared" si="9"/>
        <v>0</v>
      </c>
    </row>
    <row r="191" spans="30:34" x14ac:dyDescent="0.2">
      <c r="AD191" s="13" t="s">
        <v>94</v>
      </c>
      <c r="AE191" s="126">
        <f>_xll.qlCalendarAdvance(Calendar,AE190,AD191,BizDayConv)</f>
        <v>43005</v>
      </c>
      <c r="AF191" s="125">
        <f>_xll.qlYieldTSDiscount($C$31,AE191)</f>
        <v>1.0023169408663821</v>
      </c>
      <c r="AG191" s="125">
        <f>_xll.xlShmInterpDisc(CurveName&amp;T($C$26),AE191)</f>
        <v>1.0023169408663821</v>
      </c>
      <c r="AH191" s="127">
        <f t="shared" si="9"/>
        <v>0</v>
      </c>
    </row>
    <row r="192" spans="30:34" x14ac:dyDescent="0.2">
      <c r="AD192" s="13" t="s">
        <v>94</v>
      </c>
      <c r="AE192" s="126">
        <f>_xll.qlCalendarAdvance(Calendar,AE191,AD192,BizDayConv)</f>
        <v>43006</v>
      </c>
      <c r="AF192" s="125">
        <f>_xll.qlYieldTSDiscount($C$31,AE192)</f>
        <v>1.0023247031699003</v>
      </c>
      <c r="AG192" s="125">
        <f>_xll.xlShmInterpDisc(CurveName&amp;T($C$26),AE192)</f>
        <v>1.0023247031699003</v>
      </c>
      <c r="AH192" s="127">
        <f t="shared" si="9"/>
        <v>0</v>
      </c>
    </row>
    <row r="193" spans="30:34" x14ac:dyDescent="0.2">
      <c r="AD193" s="13" t="s">
        <v>94</v>
      </c>
      <c r="AE193" s="126">
        <f>_xll.qlCalendarAdvance(Calendar,AE192,AD193,BizDayConv)</f>
        <v>43007</v>
      </c>
      <c r="AF193" s="125">
        <f>_xll.qlYieldTSDiscount($C$31,AE193)</f>
        <v>1.0023324672370819</v>
      </c>
      <c r="AG193" s="125">
        <f>_xll.xlShmInterpDisc(CurveName&amp;T($C$26),AE193)</f>
        <v>1.0023324672370819</v>
      </c>
      <c r="AH193" s="127">
        <f t="shared" si="9"/>
        <v>0</v>
      </c>
    </row>
    <row r="194" spans="30:34" x14ac:dyDescent="0.2">
      <c r="AD194" s="13" t="s">
        <v>94</v>
      </c>
      <c r="AE194" s="126">
        <f>_xll.qlCalendarAdvance(Calendar,AE193,AD194,BizDayConv)</f>
        <v>43010</v>
      </c>
      <c r="AF194" s="125">
        <f>_xll.qlYieldTSDiscount($C$31,AE194)</f>
        <v>1.0023557837825852</v>
      </c>
      <c r="AG194" s="125">
        <f>_xll.xlShmInterpDisc(CurveName&amp;T($C$26),AE194)</f>
        <v>1.0023557837825852</v>
      </c>
      <c r="AH194" s="127">
        <f t="shared" si="9"/>
        <v>0</v>
      </c>
    </row>
    <row r="195" spans="30:34" x14ac:dyDescent="0.2">
      <c r="AD195" s="13" t="s">
        <v>94</v>
      </c>
      <c r="AE195" s="126">
        <f>_xll.qlCalendarAdvance(Calendar,AE194,AD195,BizDayConv)</f>
        <v>43011</v>
      </c>
      <c r="AF195" s="125">
        <f>_xll.qlYieldTSDiscount($C$31,AE195)</f>
        <v>1.0023635687603101</v>
      </c>
      <c r="AG195" s="125">
        <f>_xll.xlShmInterpDisc(CurveName&amp;T($C$26),AE195)</f>
        <v>1.0023635687603101</v>
      </c>
      <c r="AH195" s="127">
        <f t="shared" si="9"/>
        <v>0</v>
      </c>
    </row>
    <row r="196" spans="30:34" x14ac:dyDescent="0.2">
      <c r="AD196" s="13" t="s">
        <v>94</v>
      </c>
      <c r="AE196" s="126">
        <f>_xll.qlCalendarAdvance(Calendar,AE195,AD196,BizDayConv)</f>
        <v>43012</v>
      </c>
      <c r="AF196" s="125">
        <f>_xll.qlYieldTSDiscount($C$31,AE196)</f>
        <v>1.0023713553335778</v>
      </c>
      <c r="AG196" s="125">
        <f>_xll.xlShmInterpDisc(CurveName&amp;T($C$26),AE196)</f>
        <v>1.0023713553335778</v>
      </c>
      <c r="AH196" s="127">
        <f t="shared" ref="AH196:AH259" si="10">(AF196-AG196)</f>
        <v>0</v>
      </c>
    </row>
    <row r="197" spans="30:34" x14ac:dyDescent="0.2">
      <c r="AD197" s="13" t="s">
        <v>94</v>
      </c>
      <c r="AE197" s="126">
        <f>_xll.qlCalendarAdvance(Calendar,AE196,AD197,BizDayConv)</f>
        <v>43013</v>
      </c>
      <c r="AF197" s="125">
        <f>_xll.qlYieldTSDiscount($C$31,AE197)</f>
        <v>1.002379136875774</v>
      </c>
      <c r="AG197" s="125">
        <f>_xll.xlShmInterpDisc(CurveName&amp;T($C$26),AE197)</f>
        <v>1.002379136875774</v>
      </c>
      <c r="AH197" s="127">
        <f t="shared" si="10"/>
        <v>0</v>
      </c>
    </row>
    <row r="198" spans="30:34" x14ac:dyDescent="0.2">
      <c r="AD198" s="13" t="s">
        <v>94</v>
      </c>
      <c r="AE198" s="126">
        <f>_xll.qlCalendarAdvance(Calendar,AE197,AD198,BizDayConv)</f>
        <v>43014</v>
      </c>
      <c r="AF198" s="125">
        <f>_xll.qlYieldTSDiscount($C$31,AE198)</f>
        <v>1.0023869135075369</v>
      </c>
      <c r="AG198" s="125">
        <f>_xll.xlShmInterpDisc(CurveName&amp;T($C$26),AE198)</f>
        <v>1.0023869135075369</v>
      </c>
      <c r="AH198" s="127">
        <f t="shared" si="10"/>
        <v>0</v>
      </c>
    </row>
    <row r="199" spans="30:34" x14ac:dyDescent="0.2">
      <c r="AD199" s="13" t="s">
        <v>94</v>
      </c>
      <c r="AE199" s="126">
        <f>_xll.qlCalendarAdvance(Calendar,AE198,AD199,BizDayConv)</f>
        <v>43017</v>
      </c>
      <c r="AF199" s="125">
        <f>_xll.qlYieldTSDiscount($C$31,AE199)</f>
        <v>1.0024102151717442</v>
      </c>
      <c r="AG199" s="125">
        <f>_xll.xlShmInterpDisc(CurveName&amp;T($C$26),AE199)</f>
        <v>1.0024102151717442</v>
      </c>
      <c r="AH199" s="127">
        <f t="shared" si="10"/>
        <v>0</v>
      </c>
    </row>
    <row r="200" spans="30:34" x14ac:dyDescent="0.2">
      <c r="AD200" s="13" t="s">
        <v>94</v>
      </c>
      <c r="AE200" s="126">
        <f>_xll.qlCalendarAdvance(Calendar,AE199,AD200,BizDayConv)</f>
        <v>43018</v>
      </c>
      <c r="AF200" s="125">
        <f>_xll.qlYieldTSDiscount($C$31,AE200)</f>
        <v>1.0024179734016683</v>
      </c>
      <c r="AG200" s="125">
        <f>_xll.xlShmInterpDisc(CurveName&amp;T($C$26),AE200)</f>
        <v>1.0024179734016683</v>
      </c>
      <c r="AH200" s="127">
        <f t="shared" si="10"/>
        <v>0</v>
      </c>
    </row>
    <row r="201" spans="30:34" x14ac:dyDescent="0.2">
      <c r="AD201" s="13" t="s">
        <v>94</v>
      </c>
      <c r="AE201" s="126">
        <f>_xll.qlCalendarAdvance(Calendar,AE200,AD201,BizDayConv)</f>
        <v>43019</v>
      </c>
      <c r="AF201" s="125">
        <f>_xll.qlYieldTSDiscount($C$31,AE201)</f>
        <v>1.0024257273494832</v>
      </c>
      <c r="AG201" s="125">
        <f>_xll.xlShmInterpDisc(CurveName&amp;T($C$26),AE201)</f>
        <v>1.0024257273494832</v>
      </c>
      <c r="AH201" s="127">
        <f t="shared" si="10"/>
        <v>0</v>
      </c>
    </row>
    <row r="202" spans="30:34" x14ac:dyDescent="0.2">
      <c r="AD202" s="13" t="s">
        <v>94</v>
      </c>
      <c r="AE202" s="126">
        <f>_xll.qlCalendarAdvance(Calendar,AE201,AD202,BizDayConv)</f>
        <v>43020</v>
      </c>
      <c r="AF202" s="125">
        <f>_xll.qlYieldTSDiscount($C$31,AE202)</f>
        <v>1.0024334771458803</v>
      </c>
      <c r="AG202" s="125">
        <f>_xll.xlShmInterpDisc(CurveName&amp;T($C$26),AE202)</f>
        <v>1.0024334771458803</v>
      </c>
      <c r="AH202" s="127">
        <f t="shared" si="10"/>
        <v>0</v>
      </c>
    </row>
    <row r="203" spans="30:34" x14ac:dyDescent="0.2">
      <c r="AD203" s="13" t="s">
        <v>94</v>
      </c>
      <c r="AE203" s="126">
        <f>_xll.qlCalendarAdvance(Calendar,AE202,AD203,BizDayConv)</f>
        <v>43021</v>
      </c>
      <c r="AF203" s="125">
        <f>_xll.qlYieldTSDiscount($C$31,AE203)</f>
        <v>1.0024412229232258</v>
      </c>
      <c r="AG203" s="125">
        <f>_xll.xlShmInterpDisc(CurveName&amp;T($C$26),AE203)</f>
        <v>1.0024412229232258</v>
      </c>
      <c r="AH203" s="127">
        <f t="shared" si="10"/>
        <v>0</v>
      </c>
    </row>
    <row r="204" spans="30:34" x14ac:dyDescent="0.2">
      <c r="AD204" s="13" t="s">
        <v>94</v>
      </c>
      <c r="AE204" s="126">
        <f>_xll.qlCalendarAdvance(Calendar,AE203,AD204,BizDayConv)</f>
        <v>43024</v>
      </c>
      <c r="AF204" s="125">
        <f>_xll.qlYieldTSDiscount($C$31,AE204)</f>
        <v>1.0024644374897593</v>
      </c>
      <c r="AG204" s="125">
        <f>_xll.xlShmInterpDisc(CurveName&amp;T($C$26),AE204)</f>
        <v>1.0024644374897593</v>
      </c>
      <c r="AH204" s="127">
        <f t="shared" si="10"/>
        <v>0</v>
      </c>
    </row>
    <row r="205" spans="30:34" x14ac:dyDescent="0.2">
      <c r="AD205" s="13" t="s">
        <v>94</v>
      </c>
      <c r="AE205" s="126">
        <f>_xll.qlCalendarAdvance(Calendar,AE204,AD205,BizDayConv)</f>
        <v>43025</v>
      </c>
      <c r="AF205" s="125">
        <f>_xll.qlYieldTSDiscount($C$31,AE205)</f>
        <v>1.0024721685480831</v>
      </c>
      <c r="AG205" s="125">
        <f>_xll.xlShmInterpDisc(CurveName&amp;T($C$26),AE205)</f>
        <v>1.0024721685480831</v>
      </c>
      <c r="AH205" s="127">
        <f t="shared" si="10"/>
        <v>0</v>
      </c>
    </row>
    <row r="206" spans="30:34" x14ac:dyDescent="0.2">
      <c r="AD206" s="13" t="s">
        <v>94</v>
      </c>
      <c r="AE206" s="126">
        <f>_xll.qlCalendarAdvance(Calendar,AE205,AD206,BizDayConv)</f>
        <v>43026</v>
      </c>
      <c r="AF206" s="125">
        <f>_xll.qlYieldTSDiscount($C$31,AE206)</f>
        <v>1.0024798962743262</v>
      </c>
      <c r="AG206" s="125">
        <f>_xll.xlShmInterpDisc(CurveName&amp;T($C$26),AE206)</f>
        <v>1.0024798962743262</v>
      </c>
      <c r="AH206" s="127">
        <f t="shared" si="10"/>
        <v>0</v>
      </c>
    </row>
    <row r="207" spans="30:34" x14ac:dyDescent="0.2">
      <c r="AD207" s="13" t="s">
        <v>94</v>
      </c>
      <c r="AE207" s="126">
        <f>_xll.qlCalendarAdvance(Calendar,AE206,AD207,BizDayConv)</f>
        <v>43027</v>
      </c>
      <c r="AF207" s="125">
        <f>_xll.qlYieldTSDiscount($C$31,AE207)</f>
        <v>1.0024876208109104</v>
      </c>
      <c r="AG207" s="125">
        <f>_xll.xlShmInterpDisc(CurveName&amp;T($C$26),AE207)</f>
        <v>1.0024876208109104</v>
      </c>
      <c r="AH207" s="127">
        <f t="shared" si="10"/>
        <v>0</v>
      </c>
    </row>
    <row r="208" spans="30:34" x14ac:dyDescent="0.2">
      <c r="AD208" s="13" t="s">
        <v>94</v>
      </c>
      <c r="AE208" s="126">
        <f>_xll.qlCalendarAdvance(Calendar,AE207,AD208,BizDayConv)</f>
        <v>43028</v>
      </c>
      <c r="AF208" s="125">
        <f>_xll.qlYieldTSDiscount($C$31,AE208)</f>
        <v>1.0024953423019336</v>
      </c>
      <c r="AG208" s="125">
        <f>_xll.xlShmInterpDisc(CurveName&amp;T($C$26),AE208)</f>
        <v>1.0024953423019336</v>
      </c>
      <c r="AH208" s="127">
        <f t="shared" si="10"/>
        <v>0</v>
      </c>
    </row>
    <row r="209" spans="30:34" x14ac:dyDescent="0.2">
      <c r="AD209" s="13" t="s">
        <v>94</v>
      </c>
      <c r="AE209" s="126">
        <f>_xll.qlCalendarAdvance(Calendar,AE208,AD209,BizDayConv)</f>
        <v>43031</v>
      </c>
      <c r="AF209" s="125">
        <f>_xll.qlYieldTSDiscount($C$31,AE209)</f>
        <v>1.0025184899677586</v>
      </c>
      <c r="AG209" s="125">
        <f>_xll.xlShmInterpDisc(CurveName&amp;T($C$26),AE209)</f>
        <v>1.0025184899677586</v>
      </c>
      <c r="AH209" s="127">
        <f t="shared" si="10"/>
        <v>0</v>
      </c>
    </row>
    <row r="210" spans="30:34" x14ac:dyDescent="0.2">
      <c r="AD210" s="13" t="s">
        <v>94</v>
      </c>
      <c r="AE210" s="126">
        <f>_xll.qlCalendarAdvance(Calendar,AE209,AD210,BizDayConv)</f>
        <v>43032</v>
      </c>
      <c r="AF210" s="125">
        <f>_xll.qlYieldTSDiscount($C$31,AE210)</f>
        <v>1.0025262007510398</v>
      </c>
      <c r="AG210" s="125">
        <f>_xll.xlShmInterpDisc(CurveName&amp;T($C$26),AE210)</f>
        <v>1.0025262007510398</v>
      </c>
      <c r="AH210" s="127">
        <f t="shared" si="10"/>
        <v>0</v>
      </c>
    </row>
    <row r="211" spans="30:34" x14ac:dyDescent="0.2">
      <c r="AD211" s="13" t="s">
        <v>94</v>
      </c>
      <c r="AE211" s="126">
        <f>_xll.qlCalendarAdvance(Calendar,AE210,AD211,BizDayConv)</f>
        <v>43033</v>
      </c>
      <c r="AF211" s="125">
        <f>_xll.qlYieldTSDiscount($C$31,AE211)</f>
        <v>1.0025339092343921</v>
      </c>
      <c r="AG211" s="125">
        <f>_xll.xlShmInterpDisc(CurveName&amp;T($C$26),AE211)</f>
        <v>1.0025339092343921</v>
      </c>
      <c r="AH211" s="127">
        <f t="shared" si="10"/>
        <v>0</v>
      </c>
    </row>
    <row r="212" spans="30:34" x14ac:dyDescent="0.2">
      <c r="AD212" s="13" t="s">
        <v>94</v>
      </c>
      <c r="AE212" s="126">
        <f>_xll.qlCalendarAdvance(Calendar,AE211,AD212,BizDayConv)</f>
        <v>43034</v>
      </c>
      <c r="AF212" s="125">
        <f>_xll.qlYieldTSDiscount($C$31,AE212)</f>
        <v>1.0025416155719709</v>
      </c>
      <c r="AG212" s="125">
        <f>_xll.xlShmInterpDisc(CurveName&amp;T($C$26),AE212)</f>
        <v>1.0025416155719709</v>
      </c>
      <c r="AH212" s="127">
        <f t="shared" si="10"/>
        <v>0</v>
      </c>
    </row>
    <row r="213" spans="30:34" x14ac:dyDescent="0.2">
      <c r="AD213" s="13" t="s">
        <v>94</v>
      </c>
      <c r="AE213" s="126">
        <f>_xll.qlCalendarAdvance(Calendar,AE212,AD213,BizDayConv)</f>
        <v>43035</v>
      </c>
      <c r="AF213" s="125">
        <f>_xll.qlYieldTSDiscount($C$31,AE213)</f>
        <v>1.0025493199196078</v>
      </c>
      <c r="AG213" s="125">
        <f>_xll.xlShmInterpDisc(CurveName&amp;T($C$26),AE213)</f>
        <v>1.0025493199196078</v>
      </c>
      <c r="AH213" s="127">
        <f t="shared" si="10"/>
        <v>0</v>
      </c>
    </row>
    <row r="214" spans="30:34" x14ac:dyDescent="0.2">
      <c r="AD214" s="13" t="s">
        <v>94</v>
      </c>
      <c r="AE214" s="126">
        <f>_xll.qlCalendarAdvance(Calendar,AE213,AD214,BizDayConv)</f>
        <v>43038</v>
      </c>
      <c r="AF214" s="125">
        <f>_xll.qlYieldTSDiscount($C$31,AE214)</f>
        <v>1.0025724226063357</v>
      </c>
      <c r="AG214" s="125">
        <f>_xll.xlShmInterpDisc(CurveName&amp;T($C$26),AE214)</f>
        <v>1.0025724226063357</v>
      </c>
      <c r="AH214" s="127">
        <f t="shared" si="10"/>
        <v>0</v>
      </c>
    </row>
    <row r="215" spans="30:34" x14ac:dyDescent="0.2">
      <c r="AD215" s="13" t="s">
        <v>94</v>
      </c>
      <c r="AE215" s="126">
        <f>_xll.qlCalendarAdvance(Calendar,AE214,AD215,BizDayConv)</f>
        <v>43039</v>
      </c>
      <c r="AF215" s="125">
        <f>_xll.qlYieldTSDiscount($C$31,AE215)</f>
        <v>1.0025801205860558</v>
      </c>
      <c r="AG215" s="125">
        <f>_xll.xlShmInterpDisc(CurveName&amp;T($C$26),AE215)</f>
        <v>1.0025801205860558</v>
      </c>
      <c r="AH215" s="127">
        <f t="shared" si="10"/>
        <v>0</v>
      </c>
    </row>
    <row r="216" spans="30:34" x14ac:dyDescent="0.2">
      <c r="AD216" s="13" t="s">
        <v>94</v>
      </c>
      <c r="AE216" s="126">
        <f>_xll.qlCalendarAdvance(Calendar,AE215,AD216,BizDayConv)</f>
        <v>43040</v>
      </c>
      <c r="AF216" s="125">
        <f>_xll.qlYieldTSDiscount($C$31,AE216)</f>
        <v>1.0025878173801424</v>
      </c>
      <c r="AG216" s="125">
        <f>_xll.xlShmInterpDisc(CurveName&amp;T($C$26),AE216)</f>
        <v>1.0025878173801424</v>
      </c>
      <c r="AH216" s="127">
        <f t="shared" si="10"/>
        <v>0</v>
      </c>
    </row>
    <row r="217" spans="30:34" x14ac:dyDescent="0.2">
      <c r="AD217" s="13" t="s">
        <v>94</v>
      </c>
      <c r="AE217" s="126">
        <f>_xll.qlCalendarAdvance(Calendar,AE216,AD217,BizDayConv)</f>
        <v>43041</v>
      </c>
      <c r="AF217" s="125">
        <f>_xll.qlYieldTSDiscount($C$31,AE217)</f>
        <v>1.0025955131544877</v>
      </c>
      <c r="AG217" s="125">
        <f>_xll.xlShmInterpDisc(CurveName&amp;T($C$26),AE217)</f>
        <v>1.0025955131544877</v>
      </c>
      <c r="AH217" s="127">
        <f t="shared" si="10"/>
        <v>0</v>
      </c>
    </row>
    <row r="218" spans="30:34" x14ac:dyDescent="0.2">
      <c r="AD218" s="13" t="s">
        <v>94</v>
      </c>
      <c r="AE218" s="126">
        <f>_xll.qlCalendarAdvance(Calendar,AE217,AD218,BizDayConv)</f>
        <v>43042</v>
      </c>
      <c r="AF218" s="125">
        <f>_xll.qlYieldTSDiscount($C$31,AE218)</f>
        <v>1.00260320807666</v>
      </c>
      <c r="AG218" s="125">
        <f>_xll.xlShmInterpDisc(CurveName&amp;T($C$26),AE218)</f>
        <v>1.00260320807666</v>
      </c>
      <c r="AH218" s="127">
        <f t="shared" si="10"/>
        <v>0</v>
      </c>
    </row>
    <row r="219" spans="30:34" x14ac:dyDescent="0.2">
      <c r="AD219" s="13" t="s">
        <v>94</v>
      </c>
      <c r="AE219" s="126">
        <f>_xll.qlCalendarAdvance(Calendar,AE218,AD219,BizDayConv)</f>
        <v>43045</v>
      </c>
      <c r="AF219" s="125">
        <f>_xll.qlYieldTSDiscount($C$31,AE219)</f>
        <v>1.002626310590109</v>
      </c>
      <c r="AG219" s="125">
        <f>_xll.xlShmInterpDisc(CurveName&amp;T($C$26),AE219)</f>
        <v>1.002626310590109</v>
      </c>
      <c r="AH219" s="127">
        <f t="shared" si="10"/>
        <v>0</v>
      </c>
    </row>
    <row r="220" spans="30:34" x14ac:dyDescent="0.2">
      <c r="AD220" s="13" t="s">
        <v>94</v>
      </c>
      <c r="AE220" s="126">
        <f>_xll.qlCalendarAdvance(Calendar,AE219,AD220,BizDayConv)</f>
        <v>43046</v>
      </c>
      <c r="AF220" s="125">
        <f>_xll.qlYieldTSDiscount($C$31,AE220)</f>
        <v>1.00263401818447</v>
      </c>
      <c r="AG220" s="125">
        <f>_xll.xlShmInterpDisc(CurveName&amp;T($C$26),AE220)</f>
        <v>1.00263401818447</v>
      </c>
      <c r="AH220" s="127">
        <f t="shared" si="10"/>
        <v>0</v>
      </c>
    </row>
    <row r="221" spans="30:34" x14ac:dyDescent="0.2">
      <c r="AD221" s="13" t="s">
        <v>94</v>
      </c>
      <c r="AE221" s="126">
        <f>_xll.qlCalendarAdvance(Calendar,AE220,AD221,BizDayConv)</f>
        <v>43047</v>
      </c>
      <c r="AF221" s="125">
        <f>_xll.qlYieldTSDiscount($C$31,AE221)</f>
        <v>1.0026417281234068</v>
      </c>
      <c r="AG221" s="125">
        <f>_xll.xlShmInterpDisc(CurveName&amp;T($C$26),AE221)</f>
        <v>1.0026417281234068</v>
      </c>
      <c r="AH221" s="127">
        <f t="shared" si="10"/>
        <v>0</v>
      </c>
    </row>
    <row r="222" spans="30:34" x14ac:dyDescent="0.2">
      <c r="AD222" s="13" t="s">
        <v>94</v>
      </c>
      <c r="AE222" s="126">
        <f>_xll.qlCalendarAdvance(Calendar,AE221,AD222,BizDayConv)</f>
        <v>43048</v>
      </c>
      <c r="AF222" s="125">
        <f>_xll.qlYieldTSDiscount($C$31,AE222)</f>
        <v>1.0026494397732668</v>
      </c>
      <c r="AG222" s="125">
        <f>_xll.xlShmInterpDisc(CurveName&amp;T($C$26),AE222)</f>
        <v>1.0026494397732668</v>
      </c>
      <c r="AH222" s="127">
        <f t="shared" si="10"/>
        <v>0</v>
      </c>
    </row>
    <row r="223" spans="30:34" x14ac:dyDescent="0.2">
      <c r="AD223" s="13" t="s">
        <v>94</v>
      </c>
      <c r="AE223" s="126">
        <f>_xll.qlCalendarAdvance(Calendar,AE222,AD223,BizDayConv)</f>
        <v>43049</v>
      </c>
      <c r="AF223" s="125">
        <f>_xll.qlYieldTSDiscount($C$31,AE223)</f>
        <v>1.0026571524914403</v>
      </c>
      <c r="AG223" s="125">
        <f>_xll.xlShmInterpDisc(CurveName&amp;T($C$26),AE223)</f>
        <v>1.0026571524914403</v>
      </c>
      <c r="AH223" s="127">
        <f t="shared" si="10"/>
        <v>0</v>
      </c>
    </row>
    <row r="224" spans="30:34" x14ac:dyDescent="0.2">
      <c r="AD224" s="13" t="s">
        <v>94</v>
      </c>
      <c r="AE224" s="126">
        <f>_xll.qlCalendarAdvance(Calendar,AE223,AD224,BizDayConv)</f>
        <v>43052</v>
      </c>
      <c r="AF224" s="125">
        <f>_xll.qlYieldTSDiscount($C$31,AE224)</f>
        <v>1.0026802904953847</v>
      </c>
      <c r="AG224" s="125">
        <f>_xll.xlShmInterpDisc(CurveName&amp;T($C$26),AE224)</f>
        <v>1.0026802904953847</v>
      </c>
      <c r="AH224" s="127">
        <f t="shared" si="10"/>
        <v>0</v>
      </c>
    </row>
    <row r="225" spans="30:34" x14ac:dyDescent="0.2">
      <c r="AD225" s="13" t="s">
        <v>94</v>
      </c>
      <c r="AE225" s="126">
        <f>_xll.qlCalendarAdvance(Calendar,AE224,AD225,BizDayConv)</f>
        <v>43053</v>
      </c>
      <c r="AF225" s="125">
        <f>_xll.qlYieldTSDiscount($C$31,AE225)</f>
        <v>1.0026880008815657</v>
      </c>
      <c r="AG225" s="125">
        <f>_xll.xlShmInterpDisc(CurveName&amp;T($C$26),AE225)</f>
        <v>1.0026880008815657</v>
      </c>
      <c r="AH225" s="127">
        <f t="shared" si="10"/>
        <v>0</v>
      </c>
    </row>
    <row r="226" spans="30:34" x14ac:dyDescent="0.2">
      <c r="AD226" s="13" t="s">
        <v>94</v>
      </c>
      <c r="AE226" s="126">
        <f>_xll.qlCalendarAdvance(Calendar,AE225,AD226,BizDayConv)</f>
        <v>43054</v>
      </c>
      <c r="AF226" s="125">
        <f>_xll.qlYieldTSDiscount($C$31,AE226)</f>
        <v>1.0026957089886464</v>
      </c>
      <c r="AG226" s="125">
        <f>_xll.xlShmInterpDisc(CurveName&amp;T($C$26),AE226)</f>
        <v>1.0026957089886464</v>
      </c>
      <c r="AH226" s="127">
        <f t="shared" si="10"/>
        <v>0</v>
      </c>
    </row>
    <row r="227" spans="30:34" x14ac:dyDescent="0.2">
      <c r="AD227" s="13" t="s">
        <v>94</v>
      </c>
      <c r="AE227" s="126">
        <f>_xll.qlCalendarAdvance(Calendar,AE226,AD227,BizDayConv)</f>
        <v>43055</v>
      </c>
      <c r="AF227" s="125">
        <f>_xll.qlYieldTSDiscount($C$31,AE227)</f>
        <v>1.0027034141202684</v>
      </c>
      <c r="AG227" s="125">
        <f>_xll.xlShmInterpDisc(CurveName&amp;T($C$26),AE227)</f>
        <v>1.0027034141202684</v>
      </c>
      <c r="AH227" s="127">
        <f t="shared" si="10"/>
        <v>0</v>
      </c>
    </row>
    <row r="228" spans="30:34" x14ac:dyDescent="0.2">
      <c r="AD228" s="13" t="s">
        <v>94</v>
      </c>
      <c r="AE228" s="126">
        <f>_xll.qlCalendarAdvance(Calendar,AE227,AD228,BizDayConv)</f>
        <v>43056</v>
      </c>
      <c r="AF228" s="125">
        <f>_xll.qlYieldTSDiscount($C$31,AE228)</f>
        <v>1.0027111155711139</v>
      </c>
      <c r="AG228" s="125">
        <f>_xll.xlShmInterpDisc(CurveName&amp;T($C$26),AE228)</f>
        <v>1.0027111155711139</v>
      </c>
      <c r="AH228" s="127">
        <f t="shared" si="10"/>
        <v>0</v>
      </c>
    </row>
    <row r="229" spans="30:34" x14ac:dyDescent="0.2">
      <c r="AD229" s="13" t="s">
        <v>94</v>
      </c>
      <c r="AE229" s="126">
        <f>_xll.qlCalendarAdvance(Calendar,AE228,AD229,BizDayConv)</f>
        <v>43059</v>
      </c>
      <c r="AF229" s="125">
        <f>_xll.qlYieldTSDiscount($C$31,AE229)</f>
        <v>1.0027341906514202</v>
      </c>
      <c r="AG229" s="125">
        <f>_xll.xlShmInterpDisc(CurveName&amp;T($C$26),AE229)</f>
        <v>1.0027341906514202</v>
      </c>
      <c r="AH229" s="127">
        <f t="shared" si="10"/>
        <v>0</v>
      </c>
    </row>
    <row r="230" spans="30:34" x14ac:dyDescent="0.2">
      <c r="AD230" s="13" t="s">
        <v>94</v>
      </c>
      <c r="AE230" s="126">
        <f>_xll.qlCalendarAdvance(Calendar,AE229,AD230,BizDayConv)</f>
        <v>43060</v>
      </c>
      <c r="AF230" s="125">
        <f>_xll.qlYieldTSDiscount($C$31,AE230)</f>
        <v>1.002741870146787</v>
      </c>
      <c r="AG230" s="125">
        <f>_xll.xlShmInterpDisc(CurveName&amp;T($C$26),AE230)</f>
        <v>1.002741870146787</v>
      </c>
      <c r="AH230" s="127">
        <f t="shared" si="10"/>
        <v>0</v>
      </c>
    </row>
    <row r="231" spans="30:34" x14ac:dyDescent="0.2">
      <c r="AD231" s="13" t="s">
        <v>94</v>
      </c>
      <c r="AE231" s="126">
        <f>_xll.qlCalendarAdvance(Calendar,AE230,AD231,BizDayConv)</f>
        <v>43061</v>
      </c>
      <c r="AF231" s="125">
        <f>_xll.qlYieldTSDiscount($C$31,AE231)</f>
        <v>1.0027495423003885</v>
      </c>
      <c r="AG231" s="125">
        <f>_xll.xlShmInterpDisc(CurveName&amp;T($C$26),AE231)</f>
        <v>1.0027495423003885</v>
      </c>
      <c r="AH231" s="127">
        <f t="shared" si="10"/>
        <v>0</v>
      </c>
    </row>
    <row r="232" spans="30:34" x14ac:dyDescent="0.2">
      <c r="AD232" s="13" t="s">
        <v>94</v>
      </c>
      <c r="AE232" s="126">
        <f>_xll.qlCalendarAdvance(Calendar,AE231,AD232,BizDayConv)</f>
        <v>43062</v>
      </c>
      <c r="AF232" s="125">
        <f>_xll.qlYieldTSDiscount($C$31,AE232)</f>
        <v>1.0027572063531454</v>
      </c>
      <c r="AG232" s="125">
        <f>_xll.xlShmInterpDisc(CurveName&amp;T($C$26),AE232)</f>
        <v>1.0027572063531454</v>
      </c>
      <c r="AH232" s="127">
        <f t="shared" si="10"/>
        <v>0</v>
      </c>
    </row>
    <row r="233" spans="30:34" x14ac:dyDescent="0.2">
      <c r="AD233" s="13" t="s">
        <v>94</v>
      </c>
      <c r="AE233" s="126">
        <f>_xll.qlCalendarAdvance(Calendar,AE232,AD233,BizDayConv)</f>
        <v>43063</v>
      </c>
      <c r="AF233" s="125">
        <f>_xll.qlYieldTSDiscount($C$31,AE233)</f>
        <v>1.0027648615370155</v>
      </c>
      <c r="AG233" s="125">
        <f>_xll.xlShmInterpDisc(CurveName&amp;T($C$26),AE233)</f>
        <v>1.0027648615370155</v>
      </c>
      <c r="AH233" s="127">
        <f t="shared" si="10"/>
        <v>0</v>
      </c>
    </row>
    <row r="234" spans="30:34" x14ac:dyDescent="0.2">
      <c r="AD234" s="13" t="s">
        <v>94</v>
      </c>
      <c r="AE234" s="126">
        <f>_xll.qlCalendarAdvance(Calendar,AE233,AD234,BizDayConv)</f>
        <v>43066</v>
      </c>
      <c r="AF234" s="125">
        <f>_xll.qlYieldTSDiscount($C$31,AE234)</f>
        <v>1.002787766060468</v>
      </c>
      <c r="AG234" s="125">
        <f>_xll.xlShmInterpDisc(CurveName&amp;T($C$26),AE234)</f>
        <v>1.002787766060468</v>
      </c>
      <c r="AH234" s="127">
        <f t="shared" si="10"/>
        <v>0</v>
      </c>
    </row>
    <row r="235" spans="30:34" x14ac:dyDescent="0.2">
      <c r="AD235" s="13" t="s">
        <v>94</v>
      </c>
      <c r="AE235" s="126">
        <f>_xll.qlCalendarAdvance(Calendar,AE234,AD235,BizDayConv)</f>
        <v>43067</v>
      </c>
      <c r="AF235" s="125">
        <f>_xll.qlYieldTSDiscount($C$31,AE235)</f>
        <v>1.0027953779091416</v>
      </c>
      <c r="AG235" s="125">
        <f>_xll.xlShmInterpDisc(CurveName&amp;T($C$26),AE235)</f>
        <v>1.0027953779091416</v>
      </c>
      <c r="AH235" s="127">
        <f t="shared" si="10"/>
        <v>0</v>
      </c>
    </row>
    <row r="236" spans="30:34" x14ac:dyDescent="0.2">
      <c r="AD236" s="13" t="s">
        <v>94</v>
      </c>
      <c r="AE236" s="126">
        <f>_xll.qlCalendarAdvance(Calendar,AE235,AD236,BizDayConv)</f>
        <v>43068</v>
      </c>
      <c r="AF236" s="125">
        <f>_xll.qlYieldTSDiscount($C$31,AE236)</f>
        <v>1.0028029769142914</v>
      </c>
      <c r="AG236" s="125">
        <f>_xll.xlShmInterpDisc(CurveName&amp;T($C$26),AE236)</f>
        <v>1.0028029769142914</v>
      </c>
      <c r="AH236" s="127">
        <f t="shared" si="10"/>
        <v>0</v>
      </c>
    </row>
    <row r="237" spans="30:34" x14ac:dyDescent="0.2">
      <c r="AD237" s="13" t="s">
        <v>94</v>
      </c>
      <c r="AE237" s="126">
        <f>_xll.qlCalendarAdvance(Calendar,AE236,AD237,BizDayConv)</f>
        <v>43069</v>
      </c>
      <c r="AF237" s="125">
        <f>_xll.qlYieldTSDiscount($C$31,AE237)</f>
        <v>1.0028105622541021</v>
      </c>
      <c r="AG237" s="125">
        <f>_xll.xlShmInterpDisc(CurveName&amp;T($C$26),AE237)</f>
        <v>1.0028105622541021</v>
      </c>
      <c r="AH237" s="127">
        <f t="shared" si="10"/>
        <v>0</v>
      </c>
    </row>
    <row r="238" spans="30:34" x14ac:dyDescent="0.2">
      <c r="AD238" s="13" t="s">
        <v>94</v>
      </c>
      <c r="AE238" s="126">
        <f>_xll.qlCalendarAdvance(Calendar,AE237,AD238,BizDayConv)</f>
        <v>43070</v>
      </c>
      <c r="AF238" s="125">
        <f>_xll.qlYieldTSDiscount($C$31,AE238)</f>
        <v>1.0028181330977952</v>
      </c>
      <c r="AG238" s="125">
        <f>_xll.xlShmInterpDisc(CurveName&amp;T($C$26),AE238)</f>
        <v>1.0028181330977952</v>
      </c>
      <c r="AH238" s="127">
        <f t="shared" si="10"/>
        <v>0</v>
      </c>
    </row>
    <row r="239" spans="30:34" x14ac:dyDescent="0.2">
      <c r="AD239" s="13" t="s">
        <v>94</v>
      </c>
      <c r="AE239" s="126">
        <f>_xll.qlCalendarAdvance(Calendar,AE238,AD239,BizDayConv)</f>
        <v>43073</v>
      </c>
      <c r="AF239" s="125">
        <f>_xll.qlYieldTSDiscount($C$31,AE239)</f>
        <v>1.0028407502099299</v>
      </c>
      <c r="AG239" s="125">
        <f>_xll.xlShmInterpDisc(CurveName&amp;T($C$26),AE239)</f>
        <v>1.0028407502099299</v>
      </c>
      <c r="AH239" s="127">
        <f t="shared" si="10"/>
        <v>0</v>
      </c>
    </row>
    <row r="240" spans="30:34" x14ac:dyDescent="0.2">
      <c r="AD240" s="13" t="s">
        <v>94</v>
      </c>
      <c r="AE240" s="126">
        <f>_xll.qlCalendarAdvance(Calendar,AE239,AD240,BizDayConv)</f>
        <v>43074</v>
      </c>
      <c r="AF240" s="125">
        <f>_xll.qlYieldTSDiscount($C$31,AE240)</f>
        <v>1.0028482511373462</v>
      </c>
      <c r="AG240" s="125">
        <f>_xll.xlShmInterpDisc(CurveName&amp;T($C$26),AE240)</f>
        <v>1.0028482511373462</v>
      </c>
      <c r="AH240" s="127">
        <f t="shared" si="10"/>
        <v>0</v>
      </c>
    </row>
    <row r="241" spans="30:34" x14ac:dyDescent="0.2">
      <c r="AD241" s="13" t="s">
        <v>94</v>
      </c>
      <c r="AE241" s="126">
        <f>_xll.qlCalendarAdvance(Calendar,AE240,AD241,BizDayConv)</f>
        <v>43075</v>
      </c>
      <c r="AF241" s="125">
        <f>_xll.qlYieldTSDiscount($C$31,AE241)</f>
        <v>1.0028557278086057</v>
      </c>
      <c r="AG241" s="125">
        <f>_xll.xlShmInterpDisc(CurveName&amp;T($C$26),AE241)</f>
        <v>1.0028557278086057</v>
      </c>
      <c r="AH241" s="127">
        <f t="shared" si="10"/>
        <v>0</v>
      </c>
    </row>
    <row r="242" spans="30:34" x14ac:dyDescent="0.2">
      <c r="AD242" s="13" t="s">
        <v>94</v>
      </c>
      <c r="AE242" s="126">
        <f>_xll.qlCalendarAdvance(Calendar,AE241,AD242,BizDayConv)</f>
        <v>43076</v>
      </c>
      <c r="AF242" s="125">
        <f>_xll.qlYieldTSDiscount($C$31,AE242)</f>
        <v>1.0028631814851501</v>
      </c>
      <c r="AG242" s="125">
        <f>_xll.xlShmInterpDisc(CurveName&amp;T($C$26),AE242)</f>
        <v>1.0028631814851501</v>
      </c>
      <c r="AH242" s="127">
        <f t="shared" si="10"/>
        <v>0</v>
      </c>
    </row>
    <row r="243" spans="30:34" x14ac:dyDescent="0.2">
      <c r="AD243" s="13" t="s">
        <v>94</v>
      </c>
      <c r="AE243" s="126">
        <f>_xll.qlCalendarAdvance(Calendar,AE242,AD243,BizDayConv)</f>
        <v>43077</v>
      </c>
      <c r="AF243" s="125">
        <f>_xll.qlYieldTSDiscount($C$31,AE243)</f>
        <v>1.0028706134451832</v>
      </c>
      <c r="AG243" s="125">
        <f>_xll.xlShmInterpDisc(CurveName&amp;T($C$26),AE243)</f>
        <v>1.0028706134451832</v>
      </c>
      <c r="AH243" s="127">
        <f t="shared" si="10"/>
        <v>0</v>
      </c>
    </row>
    <row r="244" spans="30:34" x14ac:dyDescent="0.2">
      <c r="AD244" s="13" t="s">
        <v>94</v>
      </c>
      <c r="AE244" s="126">
        <f>_xll.qlCalendarAdvance(Calendar,AE243,AD244,BizDayConv)</f>
        <v>43080</v>
      </c>
      <c r="AF244" s="125">
        <f>_xll.qlYieldTSDiscount($C$31,AE244)</f>
        <v>1.0028927920596886</v>
      </c>
      <c r="AG244" s="125">
        <f>_xll.xlShmInterpDisc(CurveName&amp;T($C$26),AE244)</f>
        <v>1.0028927920596886</v>
      </c>
      <c r="AH244" s="127">
        <f t="shared" si="10"/>
        <v>0</v>
      </c>
    </row>
    <row r="245" spans="30:34" x14ac:dyDescent="0.2">
      <c r="AD245" s="13" t="s">
        <v>94</v>
      </c>
      <c r="AE245" s="126">
        <f>_xll.qlCalendarAdvance(Calendar,AE244,AD245,BizDayConv)</f>
        <v>43081</v>
      </c>
      <c r="AF245" s="125">
        <f>_xll.qlYieldTSDiscount($C$31,AE245)</f>
        <v>1.002900150270964</v>
      </c>
      <c r="AG245" s="125">
        <f>_xll.xlShmInterpDisc(CurveName&amp;T($C$26),AE245)</f>
        <v>1.002900150270964</v>
      </c>
      <c r="AH245" s="127">
        <f t="shared" si="10"/>
        <v>0</v>
      </c>
    </row>
    <row r="246" spans="30:34" x14ac:dyDescent="0.2">
      <c r="AD246" s="13" t="s">
        <v>94</v>
      </c>
      <c r="AE246" s="126">
        <f>_xll.qlCalendarAdvance(Calendar,AE245,AD246,BizDayConv)</f>
        <v>43082</v>
      </c>
      <c r="AF246" s="125">
        <f>_xll.qlYieldTSDiscount($C$31,AE246)</f>
        <v>1.0029074934081867</v>
      </c>
      <c r="AG246" s="125">
        <f>_xll.xlShmInterpDisc(CurveName&amp;T($C$26),AE246)</f>
        <v>1.0029074934081867</v>
      </c>
      <c r="AH246" s="127">
        <f t="shared" si="10"/>
        <v>0</v>
      </c>
    </row>
    <row r="247" spans="30:34" x14ac:dyDescent="0.2">
      <c r="AD247" s="13" t="s">
        <v>94</v>
      </c>
      <c r="AE247" s="126">
        <f>_xll.qlCalendarAdvance(Calendar,AE246,AD247,BizDayConv)</f>
        <v>43083</v>
      </c>
      <c r="AF247" s="125">
        <f>_xll.qlYieldTSDiscount($C$31,AE247)</f>
        <v>1.0029148228501394</v>
      </c>
      <c r="AG247" s="125">
        <f>_xll.xlShmInterpDisc(CurveName&amp;T($C$26),AE247)</f>
        <v>1.0029148228501394</v>
      </c>
      <c r="AH247" s="127">
        <f t="shared" si="10"/>
        <v>0</v>
      </c>
    </row>
    <row r="248" spans="30:34" x14ac:dyDescent="0.2">
      <c r="AD248" s="13" t="s">
        <v>94</v>
      </c>
      <c r="AE248" s="126">
        <f>_xll.qlCalendarAdvance(Calendar,AE247,AD248,BizDayConv)</f>
        <v>43084</v>
      </c>
      <c r="AF248" s="125">
        <f>_xll.qlYieldTSDiscount($C$31,AE248)</f>
        <v>1.0029221399923687</v>
      </c>
      <c r="AG248" s="125">
        <f>_xll.xlShmInterpDisc(CurveName&amp;T($C$26),AE248)</f>
        <v>1.0029221399923687</v>
      </c>
      <c r="AH248" s="127">
        <f t="shared" si="10"/>
        <v>0</v>
      </c>
    </row>
    <row r="249" spans="30:34" x14ac:dyDescent="0.2">
      <c r="AD249" s="13" t="s">
        <v>94</v>
      </c>
      <c r="AE249" s="126">
        <f>_xll.qlCalendarAdvance(Calendar,AE248,AD249,BizDayConv)</f>
        <v>43087</v>
      </c>
      <c r="AF249" s="125">
        <f>_xll.qlYieldTSDiscount($C$31,AE249)</f>
        <v>1.002944031827659</v>
      </c>
      <c r="AG249" s="125">
        <f>_xll.xlShmInterpDisc(CurveName&amp;T($C$26),AE249)</f>
        <v>1.002944031827659</v>
      </c>
      <c r="AH249" s="127">
        <f t="shared" si="10"/>
        <v>0</v>
      </c>
    </row>
    <row r="250" spans="30:34" x14ac:dyDescent="0.2">
      <c r="AD250" s="13" t="s">
        <v>94</v>
      </c>
      <c r="AE250" s="126">
        <f>_xll.qlCalendarAdvance(Calendar,AE249,AD250,BizDayConv)</f>
        <v>43088</v>
      </c>
      <c r="AF250" s="125">
        <f>_xll.qlYieldTSDiscount($C$31,AE250)</f>
        <v>1.0029513140617661</v>
      </c>
      <c r="AG250" s="125">
        <f>_xll.xlShmInterpDisc(CurveName&amp;T($C$26),AE250)</f>
        <v>1.0029513140617661</v>
      </c>
      <c r="AH250" s="127">
        <f t="shared" si="10"/>
        <v>0</v>
      </c>
    </row>
    <row r="251" spans="30:34" x14ac:dyDescent="0.2">
      <c r="AD251" s="13" t="s">
        <v>94</v>
      </c>
      <c r="AE251" s="126">
        <f>_xll.qlCalendarAdvance(Calendar,AE250,AD251,BizDayConv)</f>
        <v>43089</v>
      </c>
      <c r="AF251" s="125">
        <f>_xll.qlYieldTSDiscount($C$31,AE251)</f>
        <v>1.0029585912253656</v>
      </c>
      <c r="AG251" s="125">
        <f>_xll.xlShmInterpDisc(CurveName&amp;T($C$26),AE251)</f>
        <v>1.0029585912253656</v>
      </c>
      <c r="AH251" s="127">
        <f t="shared" si="10"/>
        <v>0</v>
      </c>
    </row>
    <row r="252" spans="30:34" x14ac:dyDescent="0.2">
      <c r="AD252" s="13" t="s">
        <v>94</v>
      </c>
      <c r="AE252" s="126">
        <f>_xll.qlCalendarAdvance(Calendar,AE251,AD252,BizDayConv)</f>
        <v>43090</v>
      </c>
      <c r="AF252" s="125">
        <f>_xll.qlYieldTSDiscount($C$31,AE252)</f>
        <v>1.0029658648146007</v>
      </c>
      <c r="AG252" s="125">
        <f>_xll.xlShmInterpDisc(CurveName&amp;T($C$26),AE252)</f>
        <v>1.0029658648146007</v>
      </c>
      <c r="AH252" s="127">
        <f t="shared" si="10"/>
        <v>0</v>
      </c>
    </row>
    <row r="253" spans="30:34" x14ac:dyDescent="0.2">
      <c r="AD253" s="13" t="s">
        <v>94</v>
      </c>
      <c r="AE253" s="126">
        <f>_xll.qlCalendarAdvance(Calendar,AE252,AD253,BizDayConv)</f>
        <v>43091</v>
      </c>
      <c r="AF253" s="125">
        <f>_xll.qlYieldTSDiscount($C$31,AE253)</f>
        <v>1.0029731363423824</v>
      </c>
      <c r="AG253" s="125">
        <f>_xll.xlShmInterpDisc(CurveName&amp;T($C$26),AE253)</f>
        <v>1.0029731363423824</v>
      </c>
      <c r="AH253" s="127">
        <f t="shared" si="10"/>
        <v>0</v>
      </c>
    </row>
    <row r="254" spans="30:34" x14ac:dyDescent="0.2">
      <c r="AD254" s="13" t="s">
        <v>94</v>
      </c>
      <c r="AE254" s="126">
        <f>_xll.qlCalendarAdvance(Calendar,AE253,AD254,BizDayConv)</f>
        <v>43096</v>
      </c>
      <c r="AF254" s="125">
        <f>_xll.qlYieldTSDiscount($C$31,AE254)</f>
        <v>1.0030095171851905</v>
      </c>
      <c r="AG254" s="125">
        <f>_xll.xlShmInterpDisc(CurveName&amp;T($C$26),AE254)</f>
        <v>1.0030095171851905</v>
      </c>
      <c r="AH254" s="127">
        <f t="shared" si="10"/>
        <v>0</v>
      </c>
    </row>
    <row r="255" spans="30:34" x14ac:dyDescent="0.2">
      <c r="AD255" s="13" t="s">
        <v>94</v>
      </c>
      <c r="AE255" s="126">
        <f>_xll.qlCalendarAdvance(Calendar,AE254,AD255,BizDayConv)</f>
        <v>43097</v>
      </c>
      <c r="AF255" s="125">
        <f>_xll.qlYieldTSDiscount($C$31,AE255)</f>
        <v>1.0030168090544525</v>
      </c>
      <c r="AG255" s="125">
        <f>_xll.xlShmInterpDisc(CurveName&amp;T($C$26),AE255)</f>
        <v>1.0030168090544525</v>
      </c>
      <c r="AH255" s="127">
        <f t="shared" si="10"/>
        <v>0</v>
      </c>
    </row>
    <row r="256" spans="30:34" x14ac:dyDescent="0.2">
      <c r="AD256" s="13" t="s">
        <v>94</v>
      </c>
      <c r="AE256" s="126">
        <f>_xll.qlCalendarAdvance(Calendar,AE255,AD256,BizDayConv)</f>
        <v>43098</v>
      </c>
      <c r="AF256" s="125">
        <f>_xll.qlYieldTSDiscount($C$31,AE256)</f>
        <v>1.0030241099221866</v>
      </c>
      <c r="AG256" s="125">
        <f>_xll.xlShmInterpDisc(CurveName&amp;T($C$26),AE256)</f>
        <v>1.0030241099221866</v>
      </c>
      <c r="AH256" s="127">
        <f t="shared" si="10"/>
        <v>0</v>
      </c>
    </row>
    <row r="257" spans="30:34" x14ac:dyDescent="0.2">
      <c r="AD257" s="13" t="s">
        <v>94</v>
      </c>
      <c r="AE257" s="126">
        <f>_xll.qlCalendarAdvance(Calendar,AE256,AD257,BizDayConv)</f>
        <v>43102</v>
      </c>
      <c r="AF257" s="125">
        <f>_xll.qlYieldTSDiscount($C$31,AE257)</f>
        <v>1.0030534365709773</v>
      </c>
      <c r="AG257" s="125">
        <f>_xll.xlShmInterpDisc(CurveName&amp;T($C$26),AE257)</f>
        <v>1.0030534365709773</v>
      </c>
      <c r="AH257" s="127">
        <f t="shared" si="10"/>
        <v>0</v>
      </c>
    </row>
    <row r="258" spans="30:34" x14ac:dyDescent="0.2">
      <c r="AD258" s="13" t="s">
        <v>94</v>
      </c>
      <c r="AE258" s="126">
        <f>_xll.qlCalendarAdvance(Calendar,AE257,AD258,BizDayConv)</f>
        <v>43103</v>
      </c>
      <c r="AF258" s="125">
        <f>_xll.qlYieldTSDiscount($C$31,AE258)</f>
        <v>1.0030608074727001</v>
      </c>
      <c r="AG258" s="125">
        <f>_xll.xlShmInterpDisc(CurveName&amp;T($C$26),AE258)</f>
        <v>1.0030608074727001</v>
      </c>
      <c r="AH258" s="127">
        <f t="shared" si="10"/>
        <v>0</v>
      </c>
    </row>
    <row r="259" spans="30:34" x14ac:dyDescent="0.2">
      <c r="AD259" s="13" t="s">
        <v>94</v>
      </c>
      <c r="AE259" s="126">
        <f>_xll.qlCalendarAdvance(Calendar,AE258,AD259,BizDayConv)</f>
        <v>43104</v>
      </c>
      <c r="AF259" s="125">
        <f>_xll.qlYieldTSDiscount($C$31,AE259)</f>
        <v>1.0030681905693528</v>
      </c>
      <c r="AG259" s="125">
        <f>_xll.xlShmInterpDisc(CurveName&amp;T($C$26),AE259)</f>
        <v>1.0030681905693528</v>
      </c>
      <c r="AH259" s="127">
        <f t="shared" si="10"/>
        <v>0</v>
      </c>
    </row>
    <row r="260" spans="30:34" x14ac:dyDescent="0.2">
      <c r="AD260" s="13" t="s">
        <v>94</v>
      </c>
      <c r="AE260" s="126">
        <f>_xll.qlCalendarAdvance(Calendar,AE259,AD260,BizDayConv)</f>
        <v>43105</v>
      </c>
      <c r="AF260" s="125">
        <f>_xll.qlYieldTSDiscount($C$31,AE260)</f>
        <v>1.0030755792711328</v>
      </c>
      <c r="AG260" s="125">
        <f>_xll.xlShmInterpDisc(CurveName&amp;T($C$26),AE260)</f>
        <v>1.0030755792711328</v>
      </c>
      <c r="AH260" s="127">
        <f t="shared" ref="AH260:AH323" si="11">(AF260-AG260)</f>
        <v>0</v>
      </c>
    </row>
    <row r="261" spans="30:34" x14ac:dyDescent="0.2">
      <c r="AD261" s="13" t="s">
        <v>94</v>
      </c>
      <c r="AE261" s="126">
        <f>_xll.qlCalendarAdvance(Calendar,AE260,AD261,BizDayConv)</f>
        <v>43108</v>
      </c>
      <c r="AF261" s="125">
        <f>_xll.qlYieldTSDiscount($C$31,AE261)</f>
        <v>1.0030977754689574</v>
      </c>
      <c r="AG261" s="125">
        <f>_xll.xlShmInterpDisc(CurveName&amp;T($C$26),AE261)</f>
        <v>1.0030977754689574</v>
      </c>
      <c r="AH261" s="127">
        <f t="shared" si="11"/>
        <v>0</v>
      </c>
    </row>
    <row r="262" spans="30:34" x14ac:dyDescent="0.2">
      <c r="AD262" s="13" t="s">
        <v>94</v>
      </c>
      <c r="AE262" s="126">
        <f>_xll.qlCalendarAdvance(Calendar,AE261,AD262,BizDayConv)</f>
        <v>43109</v>
      </c>
      <c r="AF262" s="125">
        <f>_xll.qlYieldTSDiscount($C$31,AE262)</f>
        <v>1.003105183029426</v>
      </c>
      <c r="AG262" s="125">
        <f>_xll.xlShmInterpDisc(CurveName&amp;T($C$26),AE262)</f>
        <v>1.003105183029426</v>
      </c>
      <c r="AH262" s="127">
        <f t="shared" si="11"/>
        <v>0</v>
      </c>
    </row>
    <row r="263" spans="30:34" x14ac:dyDescent="0.2">
      <c r="AD263" s="13" t="s">
        <v>94</v>
      </c>
      <c r="AE263" s="126">
        <f>_xll.qlCalendarAdvance(Calendar,AE262,AD263,BizDayConv)</f>
        <v>43110</v>
      </c>
      <c r="AF263" s="125">
        <f>_xll.qlYieldTSDiscount($C$31,AE263)</f>
        <v>1.0031125943905694</v>
      </c>
      <c r="AG263" s="125">
        <f>_xll.xlShmInterpDisc(CurveName&amp;T($C$26),AE263)</f>
        <v>1.0031125943905694</v>
      </c>
      <c r="AH263" s="127">
        <f t="shared" si="11"/>
        <v>0</v>
      </c>
    </row>
    <row r="264" spans="30:34" x14ac:dyDescent="0.2">
      <c r="AD264" s="13" t="s">
        <v>94</v>
      </c>
      <c r="AE264" s="126">
        <f>_xll.qlCalendarAdvance(Calendar,AE263,AD264,BizDayConv)</f>
        <v>43111</v>
      </c>
      <c r="AF264" s="125">
        <f>_xll.qlYieldTSDiscount($C$31,AE264)</f>
        <v>1.0031200091773718</v>
      </c>
      <c r="AG264" s="125">
        <f>_xll.xlShmInterpDisc(CurveName&amp;T($C$26),AE264)</f>
        <v>1.0031200091773718</v>
      </c>
      <c r="AH264" s="127">
        <f t="shared" si="11"/>
        <v>0</v>
      </c>
    </row>
    <row r="265" spans="30:34" x14ac:dyDescent="0.2">
      <c r="AD265" s="13" t="s">
        <v>94</v>
      </c>
      <c r="AE265" s="126">
        <f>_xll.qlCalendarAdvance(Calendar,AE264,AD265,BizDayConv)</f>
        <v>43112</v>
      </c>
      <c r="AF265" s="125">
        <f>_xll.qlYieldTSDiscount($C$31,AE265)</f>
        <v>1.0031274270101076</v>
      </c>
      <c r="AG265" s="125">
        <f>_xll.xlShmInterpDisc(CurveName&amp;T($C$26),AE265)</f>
        <v>1.0031274270101076</v>
      </c>
      <c r="AH265" s="127">
        <f t="shared" si="11"/>
        <v>0</v>
      </c>
    </row>
    <row r="266" spans="30:34" x14ac:dyDescent="0.2">
      <c r="AD266" s="13" t="s">
        <v>94</v>
      </c>
      <c r="AE266" s="126">
        <f>_xll.qlCalendarAdvance(Calendar,AE265,AD266,BizDayConv)</f>
        <v>43115</v>
      </c>
      <c r="AF266" s="125">
        <f>_xll.qlYieldTSDiscount($C$31,AE266)</f>
        <v>1.003149694916025</v>
      </c>
      <c r="AG266" s="125">
        <f>_xll.xlShmInterpDisc(CurveName&amp;T($C$26),AE266)</f>
        <v>1.003149694916025</v>
      </c>
      <c r="AH266" s="127">
        <f t="shared" si="11"/>
        <v>0</v>
      </c>
    </row>
    <row r="267" spans="30:34" x14ac:dyDescent="0.2">
      <c r="AD267" s="13" t="s">
        <v>94</v>
      </c>
      <c r="AE267" s="126">
        <f>_xll.qlCalendarAdvance(Calendar,AE266,AD267,BizDayConv)</f>
        <v>43116</v>
      </c>
      <c r="AF267" s="125">
        <f>_xll.qlYieldTSDiscount($C$31,AE267)</f>
        <v>1.0031571210410559</v>
      </c>
      <c r="AG267" s="125">
        <f>_xll.xlShmInterpDisc(CurveName&amp;T($C$26),AE267)</f>
        <v>1.0031571210410559</v>
      </c>
      <c r="AH267" s="127">
        <f t="shared" si="11"/>
        <v>0</v>
      </c>
    </row>
    <row r="268" spans="30:34" x14ac:dyDescent="0.2">
      <c r="AD268" s="13" t="s">
        <v>94</v>
      </c>
      <c r="AE268" s="126">
        <f>_xll.qlCalendarAdvance(Calendar,AE267,AD268,BizDayConv)</f>
        <v>43117</v>
      </c>
      <c r="AF268" s="125">
        <f>_xll.qlYieldTSDiscount($C$31,AE268)</f>
        <v>1.003164548242752</v>
      </c>
      <c r="AG268" s="125">
        <f>_xll.xlShmInterpDisc(CurveName&amp;T($C$26),AE268)</f>
        <v>1.003164548242752</v>
      </c>
      <c r="AH268" s="127">
        <f t="shared" si="11"/>
        <v>0</v>
      </c>
    </row>
    <row r="269" spans="30:34" x14ac:dyDescent="0.2">
      <c r="AD269" s="13" t="s">
        <v>94</v>
      </c>
      <c r="AE269" s="126">
        <f>_xll.qlCalendarAdvance(Calendar,AE268,AD269,BizDayConv)</f>
        <v>43118</v>
      </c>
      <c r="AF269" s="125">
        <f>_xll.qlYieldTSDiscount($C$31,AE269)</f>
        <v>1.0031719761131306</v>
      </c>
      <c r="AG269" s="125">
        <f>_xll.xlShmInterpDisc(CurveName&amp;T($C$26),AE269)</f>
        <v>1.0031719761131306</v>
      </c>
      <c r="AH269" s="127">
        <f t="shared" si="11"/>
        <v>0</v>
      </c>
    </row>
    <row r="270" spans="30:34" x14ac:dyDescent="0.2">
      <c r="AD270" s="13" t="s">
        <v>94</v>
      </c>
      <c r="AE270" s="126">
        <f>_xll.qlCalendarAdvance(Calendar,AE269,AD270,BizDayConv)</f>
        <v>43119</v>
      </c>
      <c r="AF270" s="125">
        <f>_xll.qlYieldTSDiscount($C$31,AE270)</f>
        <v>1.0031794042394979</v>
      </c>
      <c r="AG270" s="125">
        <f>_xll.xlShmInterpDisc(CurveName&amp;T($C$26),AE270)</f>
        <v>1.0031794042394979</v>
      </c>
      <c r="AH270" s="127">
        <f t="shared" si="11"/>
        <v>0</v>
      </c>
    </row>
    <row r="271" spans="30:34" x14ac:dyDescent="0.2">
      <c r="AD271" s="13" t="s">
        <v>94</v>
      </c>
      <c r="AE271" s="126">
        <f>_xll.qlCalendarAdvance(Calendar,AE270,AD271,BizDayConv)</f>
        <v>43122</v>
      </c>
      <c r="AF271" s="125">
        <f>_xll.qlYieldTSDiscount($C$31,AE271)</f>
        <v>1.0032016859569386</v>
      </c>
      <c r="AG271" s="125">
        <f>_xll.xlShmInterpDisc(CurveName&amp;T($C$26),AE271)</f>
        <v>1.0032016859569386</v>
      </c>
      <c r="AH271" s="127">
        <f t="shared" si="11"/>
        <v>0</v>
      </c>
    </row>
    <row r="272" spans="30:34" x14ac:dyDescent="0.2">
      <c r="AD272" s="13" t="s">
        <v>94</v>
      </c>
      <c r="AE272" s="126">
        <f>_xll.qlCalendarAdvance(Calendar,AE271,AD272,BizDayConv)</f>
        <v>43123</v>
      </c>
      <c r="AF272" s="125">
        <f>_xll.qlYieldTSDiscount($C$31,AE272)</f>
        <v>1.0032091108861132</v>
      </c>
      <c r="AG272" s="125">
        <f>_xll.xlShmInterpDisc(CurveName&amp;T($C$26),AE272)</f>
        <v>1.0032091108861132</v>
      </c>
      <c r="AH272" s="127">
        <f t="shared" si="11"/>
        <v>0</v>
      </c>
    </row>
    <row r="273" spans="30:34" x14ac:dyDescent="0.2">
      <c r="AD273" s="13" t="s">
        <v>94</v>
      </c>
      <c r="AE273" s="126">
        <f>_xll.qlCalendarAdvance(Calendar,AE272,AD273,BizDayConv)</f>
        <v>43124</v>
      </c>
      <c r="AF273" s="125">
        <f>_xll.qlYieldTSDiscount($C$31,AE273)</f>
        <v>1.0032165339371484</v>
      </c>
      <c r="AG273" s="125">
        <f>_xll.xlShmInterpDisc(CurveName&amp;T($C$26),AE273)</f>
        <v>1.0032165339371484</v>
      </c>
      <c r="AH273" s="127">
        <f t="shared" si="11"/>
        <v>0</v>
      </c>
    </row>
    <row r="274" spans="30:34" x14ac:dyDescent="0.2">
      <c r="AD274" s="13" t="s">
        <v>94</v>
      </c>
      <c r="AE274" s="126">
        <f>_xll.qlCalendarAdvance(Calendar,AE273,AD274,BizDayConv)</f>
        <v>43125</v>
      </c>
      <c r="AF274" s="125">
        <f>_xll.qlYieldTSDiscount($C$31,AE274)</f>
        <v>1.0032239546690851</v>
      </c>
      <c r="AG274" s="125">
        <f>_xll.xlShmInterpDisc(CurveName&amp;T($C$26),AE274)</f>
        <v>1.0032239546690851</v>
      </c>
      <c r="AH274" s="127">
        <f t="shared" si="11"/>
        <v>0</v>
      </c>
    </row>
    <row r="275" spans="30:34" x14ac:dyDescent="0.2">
      <c r="AD275" s="13" t="s">
        <v>94</v>
      </c>
      <c r="AE275" s="126">
        <f>_xll.qlCalendarAdvance(Calendar,AE274,AD275,BizDayConv)</f>
        <v>43126</v>
      </c>
      <c r="AF275" s="125">
        <f>_xll.qlYieldTSDiscount($C$31,AE275)</f>
        <v>1.0032313726362529</v>
      </c>
      <c r="AG275" s="125">
        <f>_xll.xlShmInterpDisc(CurveName&amp;T($C$26),AE275)</f>
        <v>1.0032313726362529</v>
      </c>
      <c r="AH275" s="127">
        <f t="shared" si="11"/>
        <v>0</v>
      </c>
    </row>
    <row r="276" spans="30:34" x14ac:dyDescent="0.2">
      <c r="AD276" s="13" t="s">
        <v>94</v>
      </c>
      <c r="AE276" s="126">
        <f>_xll.qlCalendarAdvance(Calendar,AE275,AD276,BizDayConv)</f>
        <v>43129</v>
      </c>
      <c r="AF276" s="125">
        <f>_xll.qlYieldTSDiscount($C$31,AE276)</f>
        <v>1.0032536054217627</v>
      </c>
      <c r="AG276" s="125">
        <f>_xll.xlShmInterpDisc(CurveName&amp;T($C$26),AE276)</f>
        <v>1.0032536054217627</v>
      </c>
      <c r="AH276" s="127">
        <f t="shared" si="11"/>
        <v>0</v>
      </c>
    </row>
    <row r="277" spans="30:34" x14ac:dyDescent="0.2">
      <c r="AD277" s="13" t="s">
        <v>94</v>
      </c>
      <c r="AE277" s="126">
        <f>_xll.qlCalendarAdvance(Calendar,AE276,AD277,BizDayConv)</f>
        <v>43130</v>
      </c>
      <c r="AF277" s="125">
        <f>_xll.qlYieldTSDiscount($C$31,AE277)</f>
        <v>1.003261007778915</v>
      </c>
      <c r="AG277" s="125">
        <f>_xll.xlShmInterpDisc(CurveName&amp;T($C$26),AE277)</f>
        <v>1.003261007778915</v>
      </c>
      <c r="AH277" s="127">
        <f t="shared" si="11"/>
        <v>0</v>
      </c>
    </row>
    <row r="278" spans="30:34" x14ac:dyDescent="0.2">
      <c r="AD278" s="13" t="s">
        <v>94</v>
      </c>
      <c r="AE278" s="126">
        <f>_xll.qlCalendarAdvance(Calendar,AE277,AD278,BizDayConv)</f>
        <v>43131</v>
      </c>
      <c r="AF278" s="125">
        <f>_xll.qlYieldTSDiscount($C$31,AE278)</f>
        <v>1.0032684050722682</v>
      </c>
      <c r="AG278" s="125">
        <f>_xll.xlShmInterpDisc(CurveName&amp;T($C$26),AE278)</f>
        <v>1.0032684050722682</v>
      </c>
      <c r="AH278" s="127">
        <f t="shared" si="11"/>
        <v>0</v>
      </c>
    </row>
    <row r="279" spans="30:34" x14ac:dyDescent="0.2">
      <c r="AD279" s="13" t="s">
        <v>94</v>
      </c>
      <c r="AE279" s="126">
        <f>_xll.qlCalendarAdvance(Calendar,AE278,AD279,BizDayConv)</f>
        <v>43132</v>
      </c>
      <c r="AF279" s="125">
        <f>_xll.qlYieldTSDiscount($C$31,AE279)</f>
        <v>1.0032757968278796</v>
      </c>
      <c r="AG279" s="125">
        <f>_xll.xlShmInterpDisc(CurveName&amp;T($C$26),AE279)</f>
        <v>1.0032757968278796</v>
      </c>
      <c r="AH279" s="127">
        <f t="shared" si="11"/>
        <v>0</v>
      </c>
    </row>
    <row r="280" spans="30:34" x14ac:dyDescent="0.2">
      <c r="AD280" s="13" t="s">
        <v>94</v>
      </c>
      <c r="AE280" s="126">
        <f>_xll.qlCalendarAdvance(Calendar,AE279,AD280,BizDayConv)</f>
        <v>43133</v>
      </c>
      <c r="AF280" s="125">
        <f>_xll.qlYieldTSDiscount($C$31,AE280)</f>
        <v>1.003283182567094</v>
      </c>
      <c r="AG280" s="125">
        <f>_xll.xlShmInterpDisc(CurveName&amp;T($C$26),AE280)</f>
        <v>1.003283182567094</v>
      </c>
      <c r="AH280" s="127">
        <f t="shared" si="11"/>
        <v>0</v>
      </c>
    </row>
    <row r="281" spans="30:34" x14ac:dyDescent="0.2">
      <c r="AD281" s="13" t="s">
        <v>94</v>
      </c>
      <c r="AE281" s="126">
        <f>_xll.qlCalendarAdvance(Calendar,AE280,AD281,BizDayConv)</f>
        <v>43136</v>
      </c>
      <c r="AF281" s="125">
        <f>_xll.qlYieldTSDiscount($C$31,AE281)</f>
        <v>1.00330529882911</v>
      </c>
      <c r="AG281" s="125">
        <f>_xll.xlShmInterpDisc(CurveName&amp;T($C$26),AE281)</f>
        <v>1.00330529882911</v>
      </c>
      <c r="AH281" s="127">
        <f t="shared" si="11"/>
        <v>0</v>
      </c>
    </row>
    <row r="282" spans="30:34" x14ac:dyDescent="0.2">
      <c r="AD282" s="13" t="s">
        <v>94</v>
      </c>
      <c r="AE282" s="126">
        <f>_xll.qlCalendarAdvance(Calendar,AE281,AD282,BizDayConv)</f>
        <v>43137</v>
      </c>
      <c r="AF282" s="125">
        <f>_xll.qlYieldTSDiscount($C$31,AE282)</f>
        <v>1.0033126621196737</v>
      </c>
      <c r="AG282" s="125">
        <f>_xll.xlShmInterpDisc(CurveName&amp;T($C$26),AE282)</f>
        <v>1.0033126621196737</v>
      </c>
      <c r="AH282" s="127">
        <f t="shared" si="11"/>
        <v>0</v>
      </c>
    </row>
    <row r="283" spans="30:34" x14ac:dyDescent="0.2">
      <c r="AD283" s="13" t="s">
        <v>94</v>
      </c>
      <c r="AE283" s="126">
        <f>_xll.qlCalendarAdvance(Calendar,AE282,AD283,BizDayConv)</f>
        <v>43138</v>
      </c>
      <c r="AF283" s="125">
        <f>_xll.qlYieldTSDiscount($C$31,AE283)</f>
        <v>1.0033200297527887</v>
      </c>
      <c r="AG283" s="125">
        <f>_xll.xlShmInterpDisc(CurveName&amp;T($C$26),AE283)</f>
        <v>1.0033200297527887</v>
      </c>
      <c r="AH283" s="127">
        <f t="shared" si="11"/>
        <v>0</v>
      </c>
    </row>
    <row r="284" spans="30:34" x14ac:dyDescent="0.2">
      <c r="AD284" s="13" t="s">
        <v>94</v>
      </c>
      <c r="AE284" s="126">
        <f>_xll.qlCalendarAdvance(Calendar,AE283,AD284,BizDayConv)</f>
        <v>43139</v>
      </c>
      <c r="AF284" s="125">
        <f>_xll.qlYieldTSDiscount($C$31,AE284)</f>
        <v>1.0033274009600077</v>
      </c>
      <c r="AG284" s="125">
        <f>_xll.xlShmInterpDisc(CurveName&amp;T($C$26),AE284)</f>
        <v>1.0033274009600077</v>
      </c>
      <c r="AH284" s="127">
        <f t="shared" si="11"/>
        <v>0</v>
      </c>
    </row>
    <row r="285" spans="30:34" x14ac:dyDescent="0.2">
      <c r="AD285" s="13" t="s">
        <v>94</v>
      </c>
      <c r="AE285" s="126">
        <f>_xll.qlCalendarAdvance(Calendar,AE284,AD285,BizDayConv)</f>
        <v>43140</v>
      </c>
      <c r="AF285" s="125">
        <f>_xll.qlYieldTSDiscount($C$31,AE285)</f>
        <v>1.0033347749646395</v>
      </c>
      <c r="AG285" s="125">
        <f>_xll.xlShmInterpDisc(CurveName&amp;T($C$26),AE285)</f>
        <v>1.0033347749646395</v>
      </c>
      <c r="AH285" s="127">
        <f t="shared" si="11"/>
        <v>0</v>
      </c>
    </row>
    <row r="286" spans="30:34" x14ac:dyDescent="0.2">
      <c r="AD286" s="13" t="s">
        <v>94</v>
      </c>
      <c r="AE286" s="126">
        <f>_xll.qlCalendarAdvance(Calendar,AE285,AD286,BizDayConv)</f>
        <v>43143</v>
      </c>
      <c r="AF286" s="125">
        <f>_xll.qlYieldTSDiscount($C$31,AE286)</f>
        <v>1.003356905872407</v>
      </c>
      <c r="AG286" s="125">
        <f>_xll.xlShmInterpDisc(CurveName&amp;T($C$26),AE286)</f>
        <v>1.003356905872407</v>
      </c>
      <c r="AH286" s="127">
        <f t="shared" si="11"/>
        <v>0</v>
      </c>
    </row>
    <row r="287" spans="30:34" x14ac:dyDescent="0.2">
      <c r="AD287" s="13" t="s">
        <v>94</v>
      </c>
      <c r="AE287" s="126">
        <f>_xll.qlCalendarAdvance(Calendar,AE286,AD287,BizDayConv)</f>
        <v>43144</v>
      </c>
      <c r="AF287" s="125">
        <f>_xll.qlYieldTSDiscount($C$31,AE287)</f>
        <v>1.003364283134855</v>
      </c>
      <c r="AG287" s="125">
        <f>_xll.xlShmInterpDisc(CurveName&amp;T($C$26),AE287)</f>
        <v>1.003364283134855</v>
      </c>
      <c r="AH287" s="127">
        <f t="shared" si="11"/>
        <v>0</v>
      </c>
    </row>
    <row r="288" spans="30:34" x14ac:dyDescent="0.2">
      <c r="AD288" s="13" t="s">
        <v>94</v>
      </c>
      <c r="AE288" s="126">
        <f>_xll.qlCalendarAdvance(Calendar,AE287,AD288,BizDayConv)</f>
        <v>43145</v>
      </c>
      <c r="AF288" s="125">
        <f>_xll.qlYieldTSDiscount($C$31,AE288)</f>
        <v>1.0033716591875674</v>
      </c>
      <c r="AG288" s="125">
        <f>_xll.xlShmInterpDisc(CurveName&amp;T($C$26),AE288)</f>
        <v>1.0033716591875674</v>
      </c>
      <c r="AH288" s="127">
        <f t="shared" si="11"/>
        <v>0</v>
      </c>
    </row>
    <row r="289" spans="30:34" x14ac:dyDescent="0.2">
      <c r="AD289" s="13" t="s">
        <v>94</v>
      </c>
      <c r="AE289" s="126">
        <f>_xll.qlCalendarAdvance(Calendar,AE288,AD289,BizDayConv)</f>
        <v>43146</v>
      </c>
      <c r="AF289" s="125">
        <f>_xll.qlYieldTSDiscount($C$31,AE289)</f>
        <v>1.0033790332043737</v>
      </c>
      <c r="AG289" s="125">
        <f>_xll.xlShmInterpDisc(CurveName&amp;T($C$26),AE289)</f>
        <v>1.0033790332043737</v>
      </c>
      <c r="AH289" s="127">
        <f t="shared" si="11"/>
        <v>0</v>
      </c>
    </row>
    <row r="290" spans="30:34" x14ac:dyDescent="0.2">
      <c r="AD290" s="13" t="s">
        <v>94</v>
      </c>
      <c r="AE290" s="126">
        <f>_xll.qlCalendarAdvance(Calendar,AE289,AD290,BizDayConv)</f>
        <v>43147</v>
      </c>
      <c r="AF290" s="125">
        <f>_xll.qlYieldTSDiscount($C$31,AE290)</f>
        <v>1.0033864043508574</v>
      </c>
      <c r="AG290" s="125">
        <f>_xll.xlShmInterpDisc(CurveName&amp;T($C$26),AE290)</f>
        <v>1.0033864043508574</v>
      </c>
      <c r="AH290" s="127">
        <f t="shared" si="11"/>
        <v>0</v>
      </c>
    </row>
    <row r="291" spans="30:34" x14ac:dyDescent="0.2">
      <c r="AD291" s="13" t="s">
        <v>94</v>
      </c>
      <c r="AE291" s="126">
        <f>_xll.qlCalendarAdvance(Calendar,AE290,AD291,BizDayConv)</f>
        <v>43150</v>
      </c>
      <c r="AF291" s="125">
        <f>_xll.qlYieldTSDiscount($C$31,AE291)</f>
        <v>1.0034084921004833</v>
      </c>
      <c r="AG291" s="125">
        <f>_xll.xlShmInterpDisc(CurveName&amp;T($C$26),AE291)</f>
        <v>1.0034084921004833</v>
      </c>
      <c r="AH291" s="127">
        <f t="shared" si="11"/>
        <v>0</v>
      </c>
    </row>
    <row r="292" spans="30:34" x14ac:dyDescent="0.2">
      <c r="AD292" s="13" t="s">
        <v>94</v>
      </c>
      <c r="AE292" s="126">
        <f>_xll.qlCalendarAdvance(Calendar,AE291,AD292,BizDayConv)</f>
        <v>43151</v>
      </c>
      <c r="AF292" s="125">
        <f>_xll.qlYieldTSDiscount($C$31,AE292)</f>
        <v>1.003415843256547</v>
      </c>
      <c r="AG292" s="125">
        <f>_xll.xlShmInterpDisc(CurveName&amp;T($C$26),AE292)</f>
        <v>1.003415843256547</v>
      </c>
      <c r="AH292" s="127">
        <f t="shared" si="11"/>
        <v>0</v>
      </c>
    </row>
    <row r="293" spans="30:34" x14ac:dyDescent="0.2">
      <c r="AD293" s="13" t="s">
        <v>94</v>
      </c>
      <c r="AE293" s="126">
        <f>_xll.qlCalendarAdvance(Calendar,AE292,AD293,BizDayConv)</f>
        <v>43152</v>
      </c>
      <c r="AF293" s="125">
        <f>_xll.qlYieldTSDiscount($C$31,AE293)</f>
        <v>1.0034231872464818</v>
      </c>
      <c r="AG293" s="125">
        <f>_xll.xlShmInterpDisc(CurveName&amp;T($C$26),AE293)</f>
        <v>1.0034231872464818</v>
      </c>
      <c r="AH293" s="127">
        <f t="shared" si="11"/>
        <v>0</v>
      </c>
    </row>
    <row r="294" spans="30:34" x14ac:dyDescent="0.2">
      <c r="AD294" s="13" t="s">
        <v>94</v>
      </c>
      <c r="AE294" s="126">
        <f>_xll.qlCalendarAdvance(Calendar,AE293,AD294,BizDayConv)</f>
        <v>43153</v>
      </c>
      <c r="AF294" s="125">
        <f>_xll.qlYieldTSDiscount($C$31,AE294)</f>
        <v>1.0034305231863812</v>
      </c>
      <c r="AG294" s="125">
        <f>_xll.xlShmInterpDisc(CurveName&amp;T($C$26),AE294)</f>
        <v>1.0034305231863812</v>
      </c>
      <c r="AH294" s="127">
        <f t="shared" si="11"/>
        <v>0</v>
      </c>
    </row>
    <row r="295" spans="30:34" x14ac:dyDescent="0.2">
      <c r="AD295" s="13" t="s">
        <v>94</v>
      </c>
      <c r="AE295" s="126">
        <f>_xll.qlCalendarAdvance(Calendar,AE294,AD295,BizDayConv)</f>
        <v>43154</v>
      </c>
      <c r="AF295" s="125">
        <f>_xll.qlYieldTSDiscount($C$31,AE295)</f>
        <v>1.0034378501840886</v>
      </c>
      <c r="AG295" s="125">
        <f>_xll.xlShmInterpDisc(CurveName&amp;T($C$26),AE295)</f>
        <v>1.0034378501840886</v>
      </c>
      <c r="AH295" s="127">
        <f t="shared" si="11"/>
        <v>0</v>
      </c>
    </row>
    <row r="296" spans="30:34" x14ac:dyDescent="0.2">
      <c r="AD296" s="13" t="s">
        <v>94</v>
      </c>
      <c r="AE296" s="126">
        <f>_xll.qlCalendarAdvance(Calendar,AE295,AD296,BizDayConv)</f>
        <v>43157</v>
      </c>
      <c r="AF296" s="125">
        <f>_xll.qlYieldTSDiscount($C$31,AE296)</f>
        <v>1.0034597684787552</v>
      </c>
      <c r="AG296" s="125">
        <f>_xll.xlShmInterpDisc(CurveName&amp;T($C$26),AE296)</f>
        <v>1.0034597684787552</v>
      </c>
      <c r="AH296" s="127">
        <f t="shared" si="11"/>
        <v>0</v>
      </c>
    </row>
    <row r="297" spans="30:34" x14ac:dyDescent="0.2">
      <c r="AD297" s="13" t="s">
        <v>94</v>
      </c>
      <c r="AE297" s="126">
        <f>_xll.qlCalendarAdvance(Calendar,AE296,AD297,BizDayConv)</f>
        <v>43158</v>
      </c>
      <c r="AF297" s="125">
        <f>_xll.qlYieldTSDiscount($C$31,AE297)</f>
        <v>1.0034670506211418</v>
      </c>
      <c r="AG297" s="125">
        <f>_xll.xlShmInterpDisc(CurveName&amp;T($C$26),AE297)</f>
        <v>1.0034670506211418</v>
      </c>
      <c r="AH297" s="127">
        <f t="shared" si="11"/>
        <v>0</v>
      </c>
    </row>
    <row r="298" spans="30:34" x14ac:dyDescent="0.2">
      <c r="AD298" s="13" t="s">
        <v>94</v>
      </c>
      <c r="AE298" s="126">
        <f>_xll.qlCalendarAdvance(Calendar,AE297,AD298,BizDayConv)</f>
        <v>43159</v>
      </c>
      <c r="AF298" s="125">
        <f>_xll.qlYieldTSDiscount($C$31,AE298)</f>
        <v>1.0034743192368103</v>
      </c>
      <c r="AG298" s="125">
        <f>_xll.xlShmInterpDisc(CurveName&amp;T($C$26),AE298)</f>
        <v>1.0034743192368103</v>
      </c>
      <c r="AH298" s="127">
        <f t="shared" si="11"/>
        <v>0</v>
      </c>
    </row>
    <row r="299" spans="30:34" x14ac:dyDescent="0.2">
      <c r="AD299" s="13" t="s">
        <v>94</v>
      </c>
      <c r="AE299" s="126">
        <f>_xll.qlCalendarAdvance(Calendar,AE298,AD299,BizDayConv)</f>
        <v>43160</v>
      </c>
      <c r="AF299" s="125">
        <f>_xll.qlYieldTSDiscount($C$31,AE299)</f>
        <v>1.0034815733841049</v>
      </c>
      <c r="AG299" s="125">
        <f>_xll.xlShmInterpDisc(CurveName&amp;T($C$26),AE299)</f>
        <v>1.0034815733841049</v>
      </c>
      <c r="AH299" s="127">
        <f t="shared" si="11"/>
        <v>0</v>
      </c>
    </row>
    <row r="300" spans="30:34" x14ac:dyDescent="0.2">
      <c r="AD300" s="13" t="s">
        <v>94</v>
      </c>
      <c r="AE300" s="126">
        <f>_xll.qlCalendarAdvance(Calendar,AE299,AD300,BizDayConv)</f>
        <v>43161</v>
      </c>
      <c r="AF300" s="125">
        <f>_xll.qlYieldTSDiscount($C$31,AE300)</f>
        <v>1.0034888121131198</v>
      </c>
      <c r="AG300" s="125">
        <f>_xll.xlShmInterpDisc(CurveName&amp;T($C$26),AE300)</f>
        <v>1.0034888121131198</v>
      </c>
      <c r="AH300" s="127">
        <f t="shared" si="11"/>
        <v>0</v>
      </c>
    </row>
    <row r="301" spans="30:34" x14ac:dyDescent="0.2">
      <c r="AD301" s="13" t="s">
        <v>94</v>
      </c>
      <c r="AE301" s="126">
        <f>_xll.qlCalendarAdvance(Calendar,AE300,AD301,BizDayConv)</f>
        <v>43164</v>
      </c>
      <c r="AF301" s="125">
        <f>_xll.qlYieldTSDiscount($C$31,AE301)</f>
        <v>1.00351042616766</v>
      </c>
      <c r="AG301" s="125">
        <f>_xll.xlShmInterpDisc(CurveName&amp;T($C$26),AE301)</f>
        <v>1.00351042616766</v>
      </c>
      <c r="AH301" s="127">
        <f t="shared" si="11"/>
        <v>0</v>
      </c>
    </row>
    <row r="302" spans="30:34" x14ac:dyDescent="0.2">
      <c r="AD302" s="13" t="s">
        <v>94</v>
      </c>
      <c r="AE302" s="126">
        <f>_xll.qlCalendarAdvance(Calendar,AE301,AD302,BizDayConv)</f>
        <v>43165</v>
      </c>
      <c r="AF302" s="125">
        <f>_xll.qlYieldTSDiscount($C$31,AE302)</f>
        <v>1.0035175931949052</v>
      </c>
      <c r="AG302" s="125">
        <f>_xll.xlShmInterpDisc(CurveName&amp;T($C$26),AE302)</f>
        <v>1.0035175931949052</v>
      </c>
      <c r="AH302" s="127">
        <f t="shared" si="11"/>
        <v>0</v>
      </c>
    </row>
    <row r="303" spans="30:34" x14ac:dyDescent="0.2">
      <c r="AD303" s="13" t="s">
        <v>94</v>
      </c>
      <c r="AE303" s="126">
        <f>_xll.qlCalendarAdvance(Calendar,AE302,AD303,BizDayConv)</f>
        <v>43166</v>
      </c>
      <c r="AF303" s="125">
        <f>_xll.qlYieldTSDiscount($C$31,AE303)</f>
        <v>1.0035247403734286</v>
      </c>
      <c r="AG303" s="125">
        <f>_xll.xlShmInterpDisc(CurveName&amp;T($C$26),AE303)</f>
        <v>1.0035247403734286</v>
      </c>
      <c r="AH303" s="127">
        <f t="shared" si="11"/>
        <v>0</v>
      </c>
    </row>
    <row r="304" spans="30:34" x14ac:dyDescent="0.2">
      <c r="AD304" s="13" t="s">
        <v>94</v>
      </c>
      <c r="AE304" s="126">
        <f>_xll.qlCalendarAdvance(Calendar,AE303,AD304,BizDayConv)</f>
        <v>43167</v>
      </c>
      <c r="AF304" s="125">
        <f>_xll.qlYieldTSDiscount($C$31,AE304)</f>
        <v>1.0035318684740904</v>
      </c>
      <c r="AG304" s="125">
        <f>_xll.xlShmInterpDisc(CurveName&amp;T($C$26),AE304)</f>
        <v>1.0035318684740904</v>
      </c>
      <c r="AH304" s="127">
        <f t="shared" si="11"/>
        <v>0</v>
      </c>
    </row>
    <row r="305" spans="30:34" x14ac:dyDescent="0.2">
      <c r="AD305" s="13" t="s">
        <v>94</v>
      </c>
      <c r="AE305" s="126">
        <f>_xll.qlCalendarAdvance(Calendar,AE304,AD305,BizDayConv)</f>
        <v>43168</v>
      </c>
      <c r="AF305" s="125">
        <f>_xll.qlYieldTSDiscount($C$31,AE305)</f>
        <v>1.0035389782758746</v>
      </c>
      <c r="AG305" s="125">
        <f>_xll.xlShmInterpDisc(CurveName&amp;T($C$26),AE305)</f>
        <v>1.0035389782758746</v>
      </c>
      <c r="AH305" s="127">
        <f t="shared" si="11"/>
        <v>0</v>
      </c>
    </row>
    <row r="306" spans="30:34" x14ac:dyDescent="0.2">
      <c r="AD306" s="13" t="s">
        <v>94</v>
      </c>
      <c r="AE306" s="126">
        <f>_xll.qlCalendarAdvance(Calendar,AE305,AD306,BizDayConv)</f>
        <v>43171</v>
      </c>
      <c r="AF306" s="125">
        <f>_xll.qlYieldTSDiscount($C$31,AE306)</f>
        <v>1.0035602057996607</v>
      </c>
      <c r="AG306" s="125">
        <f>_xll.xlShmInterpDisc(CurveName&amp;T($C$26),AE306)</f>
        <v>1.0035602057996607</v>
      </c>
      <c r="AH306" s="127">
        <f t="shared" si="11"/>
        <v>0</v>
      </c>
    </row>
    <row r="307" spans="30:34" x14ac:dyDescent="0.2">
      <c r="AD307" s="13" t="s">
        <v>94</v>
      </c>
      <c r="AE307" s="126">
        <f>_xll.qlCalendarAdvance(Calendar,AE306,AD307,BizDayConv)</f>
        <v>43172</v>
      </c>
      <c r="AF307" s="125">
        <f>_xll.qlYieldTSDiscount($C$31,AE307)</f>
        <v>1.0035672503582542</v>
      </c>
      <c r="AG307" s="125">
        <f>_xll.xlShmInterpDisc(CurveName&amp;T($C$26),AE307)</f>
        <v>1.0035672503582542</v>
      </c>
      <c r="AH307" s="127">
        <f t="shared" si="11"/>
        <v>0</v>
      </c>
    </row>
    <row r="308" spans="30:34" x14ac:dyDescent="0.2">
      <c r="AD308" s="13" t="s">
        <v>94</v>
      </c>
      <c r="AE308" s="126">
        <f>_xll.qlCalendarAdvance(Calendar,AE307,AD308,BizDayConv)</f>
        <v>43173</v>
      </c>
      <c r="AF308" s="125">
        <f>_xll.qlYieldTSDiscount($C$31,AE308)</f>
        <v>1.0035742806347516</v>
      </c>
      <c r="AG308" s="125">
        <f>_xll.xlShmInterpDisc(CurveName&amp;T($C$26),AE308)</f>
        <v>1.0035742806347516</v>
      </c>
      <c r="AH308" s="127">
        <f t="shared" si="11"/>
        <v>0</v>
      </c>
    </row>
    <row r="309" spans="30:34" x14ac:dyDescent="0.2">
      <c r="AD309" s="13" t="s">
        <v>94</v>
      </c>
      <c r="AE309" s="126">
        <f>_xll.qlCalendarAdvance(Calendar,AE308,AD309,BizDayConv)</f>
        <v>43174</v>
      </c>
      <c r="AF309" s="125">
        <f>_xll.qlYieldTSDiscount($C$31,AE309)</f>
        <v>1.0035812974568823</v>
      </c>
      <c r="AG309" s="125">
        <f>_xll.xlShmInterpDisc(CurveName&amp;T($C$26),AE309)</f>
        <v>1.0035812974568823</v>
      </c>
      <c r="AH309" s="127">
        <f t="shared" si="11"/>
        <v>0</v>
      </c>
    </row>
    <row r="310" spans="30:34" x14ac:dyDescent="0.2">
      <c r="AD310" s="13" t="s">
        <v>94</v>
      </c>
      <c r="AE310" s="126">
        <f>_xll.qlCalendarAdvance(Calendar,AE309,AD310,BizDayConv)</f>
        <v>43175</v>
      </c>
      <c r="AF310" s="125">
        <f>_xll.qlYieldTSDiscount($C$31,AE310)</f>
        <v>1.0035883016605007</v>
      </c>
      <c r="AG310" s="125">
        <f>_xll.xlShmInterpDisc(CurveName&amp;T($C$26),AE310)</f>
        <v>1.0035883016605007</v>
      </c>
      <c r="AH310" s="127">
        <f t="shared" si="11"/>
        <v>0</v>
      </c>
    </row>
    <row r="311" spans="30:34" x14ac:dyDescent="0.2">
      <c r="AD311" s="13" t="s">
        <v>94</v>
      </c>
      <c r="AE311" s="126">
        <f>_xll.qlCalendarAdvance(Calendar,AE310,AD311,BizDayConv)</f>
        <v>43178</v>
      </c>
      <c r="AF311" s="125">
        <f>_xll.qlYieldTSDiscount($C$31,AE311)</f>
        <v>1.0036092470407045</v>
      </c>
      <c r="AG311" s="125">
        <f>_xll.xlShmInterpDisc(CurveName&amp;T($C$26),AE311)</f>
        <v>1.0036092470407045</v>
      </c>
      <c r="AH311" s="127">
        <f t="shared" si="11"/>
        <v>0</v>
      </c>
    </row>
    <row r="312" spans="30:34" x14ac:dyDescent="0.2">
      <c r="AD312" s="13" t="s">
        <v>94</v>
      </c>
      <c r="AE312" s="126">
        <f>_xll.qlCalendarAdvance(Calendar,AE311,AD312,BizDayConv)</f>
        <v>43179</v>
      </c>
      <c r="AF312" s="125">
        <f>_xll.qlYieldTSDiscount($C$31,AE312)</f>
        <v>1.0036162092913223</v>
      </c>
      <c r="AG312" s="125">
        <f>_xll.xlShmInterpDisc(CurveName&amp;T($C$26),AE312)</f>
        <v>1.0036162092913223</v>
      </c>
      <c r="AH312" s="127">
        <f t="shared" si="11"/>
        <v>0</v>
      </c>
    </row>
    <row r="313" spans="30:34" x14ac:dyDescent="0.2">
      <c r="AD313" s="13" t="s">
        <v>94</v>
      </c>
      <c r="AE313" s="126">
        <f>_xll.qlCalendarAdvance(Calendar,AE312,AD313,BizDayConv)</f>
        <v>43180</v>
      </c>
      <c r="AF313" s="125">
        <f>_xll.qlYieldTSDiscount($C$31,AE313)</f>
        <v>1.0036231632245793</v>
      </c>
      <c r="AG313" s="125">
        <f>_xll.xlShmInterpDisc(CurveName&amp;T($C$26),AE313)</f>
        <v>1.0036231632245793</v>
      </c>
      <c r="AH313" s="127">
        <f t="shared" si="11"/>
        <v>0</v>
      </c>
    </row>
    <row r="314" spans="30:34" x14ac:dyDescent="0.2">
      <c r="AD314" s="13" t="s">
        <v>94</v>
      </c>
      <c r="AE314" s="126">
        <f>_xll.qlCalendarAdvance(Calendar,AE313,AD314,BizDayConv)</f>
        <v>43181</v>
      </c>
      <c r="AF314" s="125">
        <f>_xll.qlYieldTSDiscount($C$31,AE314)</f>
        <v>1.0036301097250828</v>
      </c>
      <c r="AG314" s="125">
        <f>_xll.xlShmInterpDisc(CurveName&amp;T($C$26),AE314)</f>
        <v>1.0036301097250828</v>
      </c>
      <c r="AH314" s="127">
        <f t="shared" si="11"/>
        <v>0</v>
      </c>
    </row>
    <row r="315" spans="30:34" x14ac:dyDescent="0.2">
      <c r="AD315" s="13" t="s">
        <v>94</v>
      </c>
      <c r="AE315" s="126">
        <f>_xll.qlCalendarAdvance(Calendar,AE314,AD315,BizDayConv)</f>
        <v>43182</v>
      </c>
      <c r="AF315" s="125">
        <f>_xll.qlYieldTSDiscount($C$31,AE315)</f>
        <v>1.0036370496855664</v>
      </c>
      <c r="AG315" s="125">
        <f>_xll.xlShmInterpDisc(CurveName&amp;T($C$26),AE315)</f>
        <v>1.0036370496855664</v>
      </c>
      <c r="AH315" s="127">
        <f t="shared" si="11"/>
        <v>0</v>
      </c>
    </row>
    <row r="316" spans="30:34" x14ac:dyDescent="0.2">
      <c r="AD316" s="13" t="s">
        <v>94</v>
      </c>
      <c r="AE316" s="126">
        <f>_xll.qlCalendarAdvance(Calendar,AE315,AD316,BizDayConv)</f>
        <v>43185</v>
      </c>
      <c r="AF316" s="125">
        <f>_xll.qlYieldTSDiscount($C$31,AE316)</f>
        <v>1.0036578393761317</v>
      </c>
      <c r="AG316" s="125">
        <f>_xll.xlShmInterpDisc(CurveName&amp;T($C$26),AE316)</f>
        <v>1.0036578393761317</v>
      </c>
      <c r="AH316" s="127">
        <f t="shared" si="11"/>
        <v>0</v>
      </c>
    </row>
    <row r="317" spans="30:34" x14ac:dyDescent="0.2">
      <c r="AD317" s="13" t="s">
        <v>94</v>
      </c>
      <c r="AE317" s="126">
        <f>_xll.qlCalendarAdvance(Calendar,AE316,AD317,BizDayConv)</f>
        <v>43186</v>
      </c>
      <c r="AF317" s="125">
        <f>_xll.qlYieldTSDiscount($C$31,AE317)</f>
        <v>1.0036647622664034</v>
      </c>
      <c r="AG317" s="125">
        <f>_xll.xlShmInterpDisc(CurveName&amp;T($C$26),AE317)</f>
        <v>1.0036647622664034</v>
      </c>
      <c r="AH317" s="127">
        <f t="shared" si="11"/>
        <v>0</v>
      </c>
    </row>
    <row r="318" spans="30:34" x14ac:dyDescent="0.2">
      <c r="AD318" s="13" t="s">
        <v>94</v>
      </c>
      <c r="AE318" s="126">
        <f>_xll.qlCalendarAdvance(Calendar,AE317,AD318,BizDayConv)</f>
        <v>43187</v>
      </c>
      <c r="AF318" s="125">
        <f>_xll.qlYieldTSDiscount($C$31,AE318)</f>
        <v>1.0036716832022239</v>
      </c>
      <c r="AG318" s="125">
        <f>_xll.xlShmInterpDisc(CurveName&amp;T($C$26),AE318)</f>
        <v>1.0036716832022239</v>
      </c>
      <c r="AH318" s="127">
        <f t="shared" si="11"/>
        <v>0</v>
      </c>
    </row>
    <row r="319" spans="30:34" x14ac:dyDescent="0.2">
      <c r="AD319" s="13" t="s">
        <v>94</v>
      </c>
      <c r="AE319" s="126">
        <f>_xll.qlCalendarAdvance(Calendar,AE318,AD319,BizDayConv)</f>
        <v>43188</v>
      </c>
      <c r="AF319" s="125">
        <f>_xll.qlYieldTSDiscount($C$31,AE319)</f>
        <v>1.0036786031250888</v>
      </c>
      <c r="AG319" s="125">
        <f>_xll.xlShmInterpDisc(CurveName&amp;T($C$26),AE319)</f>
        <v>1.0036786031250888</v>
      </c>
      <c r="AH319" s="127">
        <f t="shared" si="11"/>
        <v>0</v>
      </c>
    </row>
    <row r="320" spans="30:34" x14ac:dyDescent="0.2">
      <c r="AD320" s="13" t="s">
        <v>94</v>
      </c>
      <c r="AE320" s="126">
        <f>_xll.qlCalendarAdvance(Calendar,AE319,AD320,BizDayConv)</f>
        <v>43193</v>
      </c>
      <c r="AF320" s="125">
        <f>_xll.qlYieldTSDiscount($C$31,AE320)</f>
        <v>1.0037132210663899</v>
      </c>
      <c r="AG320" s="125">
        <f>_xll.xlShmInterpDisc(CurveName&amp;T($C$26),AE320)</f>
        <v>1.0037132210663899</v>
      </c>
      <c r="AH320" s="127">
        <f t="shared" si="11"/>
        <v>0</v>
      </c>
    </row>
    <row r="321" spans="30:34" x14ac:dyDescent="0.2">
      <c r="AD321" s="13" t="s">
        <v>94</v>
      </c>
      <c r="AE321" s="126">
        <f>_xll.qlCalendarAdvance(Calendar,AE320,AD321,BizDayConv)</f>
        <v>43194</v>
      </c>
      <c r="AF321" s="125">
        <f>_xll.qlYieldTSDiscount($C$31,AE321)</f>
        <v>1.0037201495043095</v>
      </c>
      <c r="AG321" s="125">
        <f>_xll.xlShmInterpDisc(CurveName&amp;T($C$26),AE321)</f>
        <v>1.0037201495043095</v>
      </c>
      <c r="AH321" s="127">
        <f t="shared" si="11"/>
        <v>0</v>
      </c>
    </row>
    <row r="322" spans="30:34" x14ac:dyDescent="0.2">
      <c r="AD322" s="13" t="s">
        <v>94</v>
      </c>
      <c r="AE322" s="126">
        <f>_xll.qlCalendarAdvance(Calendar,AE321,AD322,BizDayConv)</f>
        <v>43195</v>
      </c>
      <c r="AF322" s="125">
        <f>_xll.qlYieldTSDiscount($C$31,AE322)</f>
        <v>1.0037270718436091</v>
      </c>
      <c r="AG322" s="125">
        <f>_xll.xlShmInterpDisc(CurveName&amp;T($C$26),AE322)</f>
        <v>1.0037270718436091</v>
      </c>
      <c r="AH322" s="127">
        <f t="shared" si="11"/>
        <v>0</v>
      </c>
    </row>
    <row r="323" spans="30:34" x14ac:dyDescent="0.2">
      <c r="AD323" s="13" t="s">
        <v>94</v>
      </c>
      <c r="AE323" s="126">
        <f>_xll.qlCalendarAdvance(Calendar,AE322,AD323,BizDayConv)</f>
        <v>43196</v>
      </c>
      <c r="AF323" s="125">
        <f>_xll.qlYieldTSDiscount($C$31,AE323)</f>
        <v>1.0037339881308667</v>
      </c>
      <c r="AG323" s="125">
        <f>_xll.xlShmInterpDisc(CurveName&amp;T($C$26),AE323)</f>
        <v>1.0037339881308667</v>
      </c>
      <c r="AH323" s="127">
        <f t="shared" si="11"/>
        <v>0</v>
      </c>
    </row>
    <row r="324" spans="30:34" x14ac:dyDescent="0.2">
      <c r="AD324" s="13" t="s">
        <v>94</v>
      </c>
      <c r="AE324" s="126">
        <f>_xll.qlCalendarAdvance(Calendar,AE323,AD324,BizDayConv)</f>
        <v>43199</v>
      </c>
      <c r="AF324" s="125">
        <f>_xll.qlYieldTSDiscount($C$31,AE324)</f>
        <v>1.0037547011531331</v>
      </c>
      <c r="AG324" s="125">
        <f>_xll.xlShmInterpDisc(CurveName&amp;T($C$26),AE324)</f>
        <v>1.0037547011531331</v>
      </c>
      <c r="AH324" s="127">
        <f t="shared" ref="AH324:AH387" si="12">(AF324-AG324)</f>
        <v>0</v>
      </c>
    </row>
    <row r="325" spans="30:34" x14ac:dyDescent="0.2">
      <c r="AD325" s="13" t="s">
        <v>94</v>
      </c>
      <c r="AE325" s="126">
        <f>_xll.qlCalendarAdvance(Calendar,AE324,AD325,BizDayConv)</f>
        <v>43200</v>
      </c>
      <c r="AF325" s="125">
        <f>_xll.qlYieldTSDiscount($C$31,AE325)</f>
        <v>1.0037615937072875</v>
      </c>
      <c r="AG325" s="125">
        <f>_xll.xlShmInterpDisc(CurveName&amp;T($C$26),AE325)</f>
        <v>1.0037615937072875</v>
      </c>
      <c r="AH325" s="127">
        <f t="shared" si="12"/>
        <v>0</v>
      </c>
    </row>
    <row r="326" spans="30:34" x14ac:dyDescent="0.2">
      <c r="AD326" s="13" t="s">
        <v>94</v>
      </c>
      <c r="AE326" s="126">
        <f>_xll.qlCalendarAdvance(Calendar,AE325,AD326,BizDayConv)</f>
        <v>43201</v>
      </c>
      <c r="AF326" s="125">
        <f>_xll.qlYieldTSDiscount($C$31,AE326)</f>
        <v>1.0037684804492515</v>
      </c>
      <c r="AG326" s="125">
        <f>_xll.xlShmInterpDisc(CurveName&amp;T($C$26),AE326)</f>
        <v>1.0037684804492515</v>
      </c>
      <c r="AH326" s="127">
        <f t="shared" si="12"/>
        <v>0</v>
      </c>
    </row>
    <row r="327" spans="30:34" x14ac:dyDescent="0.2">
      <c r="AD327" s="13" t="s">
        <v>94</v>
      </c>
      <c r="AE327" s="126">
        <f>_xll.qlCalendarAdvance(Calendar,AE326,AD327,BizDayConv)</f>
        <v>43202</v>
      </c>
      <c r="AF327" s="125">
        <f>_xll.qlYieldTSDiscount($C$31,AE327)</f>
        <v>1.0037753614283875</v>
      </c>
      <c r="AG327" s="125">
        <f>_xll.xlShmInterpDisc(CurveName&amp;T($C$26),AE327)</f>
        <v>1.0037753614283875</v>
      </c>
      <c r="AH327" s="127">
        <f t="shared" si="12"/>
        <v>0</v>
      </c>
    </row>
    <row r="328" spans="30:34" x14ac:dyDescent="0.2">
      <c r="AD328" s="13" t="s">
        <v>94</v>
      </c>
      <c r="AE328" s="126">
        <f>_xll.qlCalendarAdvance(Calendar,AE327,AD328,BizDayConv)</f>
        <v>43203</v>
      </c>
      <c r="AF328" s="125">
        <f>_xll.qlYieldTSDiscount($C$31,AE328)</f>
        <v>1.0037822366945213</v>
      </c>
      <c r="AG328" s="125">
        <f>_xll.xlShmInterpDisc(CurveName&amp;T($C$26),AE328)</f>
        <v>1.0037822366945213</v>
      </c>
      <c r="AH328" s="127">
        <f t="shared" si="12"/>
        <v>0</v>
      </c>
    </row>
    <row r="329" spans="30:34" x14ac:dyDescent="0.2">
      <c r="AD329" s="13" t="s">
        <v>94</v>
      </c>
      <c r="AE329" s="126">
        <f>_xll.qlCalendarAdvance(Calendar,AE328,AD329,BizDayConv)</f>
        <v>43206</v>
      </c>
      <c r="AF329" s="125">
        <f>_xll.qlYieldTSDiscount($C$31,AE329)</f>
        <v>1.0038028287201324</v>
      </c>
      <c r="AG329" s="125">
        <f>_xll.xlShmInterpDisc(CurveName&amp;T($C$26),AE329)</f>
        <v>1.0038028287201324</v>
      </c>
      <c r="AH329" s="127">
        <f t="shared" si="12"/>
        <v>0</v>
      </c>
    </row>
    <row r="330" spans="30:34" x14ac:dyDescent="0.2">
      <c r="AD330" s="13" t="s">
        <v>94</v>
      </c>
      <c r="AE330" s="126">
        <f>_xll.qlCalendarAdvance(Calendar,AE329,AD330,BizDayConv)</f>
        <v>43207</v>
      </c>
      <c r="AF330" s="125">
        <f>_xll.qlYieldTSDiscount($C$31,AE330)</f>
        <v>1.0038096816417994</v>
      </c>
      <c r="AG330" s="125">
        <f>_xll.xlShmInterpDisc(CurveName&amp;T($C$26),AE330)</f>
        <v>1.0038096816417994</v>
      </c>
      <c r="AH330" s="127">
        <f t="shared" si="12"/>
        <v>0</v>
      </c>
    </row>
    <row r="331" spans="30:34" x14ac:dyDescent="0.2">
      <c r="AD331" s="13" t="s">
        <v>94</v>
      </c>
      <c r="AE331" s="126">
        <f>_xll.qlCalendarAdvance(Calendar,AE330,AD331,BizDayConv)</f>
        <v>43208</v>
      </c>
      <c r="AF331" s="125">
        <f>_xll.qlYieldTSDiscount($C$31,AE331)</f>
        <v>1.0038165291065555</v>
      </c>
      <c r="AG331" s="125">
        <f>_xll.xlShmInterpDisc(CurveName&amp;T($C$26),AE331)</f>
        <v>1.0038165291065555</v>
      </c>
      <c r="AH331" s="127">
        <f t="shared" si="12"/>
        <v>0</v>
      </c>
    </row>
    <row r="332" spans="30:34" x14ac:dyDescent="0.2">
      <c r="AD332" s="13" t="s">
        <v>94</v>
      </c>
      <c r="AE332" s="126">
        <f>_xll.qlCalendarAdvance(Calendar,AE331,AD332,BizDayConv)</f>
        <v>43209</v>
      </c>
      <c r="AF332" s="125">
        <f>_xll.qlYieldTSDiscount($C$31,AE332)</f>
        <v>1.0038233711670104</v>
      </c>
      <c r="AG332" s="125">
        <f>_xll.xlShmInterpDisc(CurveName&amp;T($C$26),AE332)</f>
        <v>1.0038233711670104</v>
      </c>
      <c r="AH332" s="127">
        <f t="shared" si="12"/>
        <v>0</v>
      </c>
    </row>
    <row r="333" spans="30:34" x14ac:dyDescent="0.2">
      <c r="AD333" s="13" t="s">
        <v>94</v>
      </c>
      <c r="AE333" s="126">
        <f>_xll.qlCalendarAdvance(Calendar,AE332,AD333,BizDayConv)</f>
        <v>43210</v>
      </c>
      <c r="AF333" s="125">
        <f>_xll.qlYieldTSDiscount($C$31,AE333)</f>
        <v>1.0038302078762387</v>
      </c>
      <c r="AG333" s="125">
        <f>_xll.xlShmInterpDisc(CurveName&amp;T($C$26),AE333)</f>
        <v>1.0038302078762387</v>
      </c>
      <c r="AH333" s="127">
        <f t="shared" si="12"/>
        <v>0</v>
      </c>
    </row>
    <row r="334" spans="30:34" x14ac:dyDescent="0.2">
      <c r="AD334" s="13" t="s">
        <v>94</v>
      </c>
      <c r="AE334" s="126">
        <f>_xll.qlCalendarAdvance(Calendar,AE333,AD334,BizDayConv)</f>
        <v>43213</v>
      </c>
      <c r="AF334" s="125">
        <f>_xll.qlYieldTSDiscount($C$31,AE334)</f>
        <v>1.0038506864342684</v>
      </c>
      <c r="AG334" s="125">
        <f>_xll.xlShmInterpDisc(CurveName&amp;T($C$26),AE334)</f>
        <v>1.0038506864342684</v>
      </c>
      <c r="AH334" s="127">
        <f t="shared" si="12"/>
        <v>0</v>
      </c>
    </row>
    <row r="335" spans="30:34" x14ac:dyDescent="0.2">
      <c r="AD335" s="13" t="s">
        <v>94</v>
      </c>
      <c r="AE335" s="126">
        <f>_xll.qlCalendarAdvance(Calendar,AE334,AD335,BizDayConv)</f>
        <v>43214</v>
      </c>
      <c r="AF335" s="125">
        <f>_xll.qlYieldTSDiscount($C$31,AE335)</f>
        <v>1.0038575022786156</v>
      </c>
      <c r="AG335" s="125">
        <f>_xll.xlShmInterpDisc(CurveName&amp;T($C$26),AE335)</f>
        <v>1.0038575022786156</v>
      </c>
      <c r="AH335" s="127">
        <f t="shared" si="12"/>
        <v>0</v>
      </c>
    </row>
    <row r="336" spans="30:34" x14ac:dyDescent="0.2">
      <c r="AD336" s="13" t="s">
        <v>94</v>
      </c>
      <c r="AE336" s="126">
        <f>_xll.qlCalendarAdvance(Calendar,AE335,AD336,BizDayConv)</f>
        <v>43215</v>
      </c>
      <c r="AF336" s="125">
        <f>_xll.qlYieldTSDiscount($C$31,AE336)</f>
        <v>1.003864313044069</v>
      </c>
      <c r="AG336" s="125">
        <f>_xll.xlShmInterpDisc(CurveName&amp;T($C$26),AE336)</f>
        <v>1.003864313044069</v>
      </c>
      <c r="AH336" s="127">
        <f t="shared" si="12"/>
        <v>0</v>
      </c>
    </row>
    <row r="337" spans="30:34" x14ac:dyDescent="0.2">
      <c r="AD337" s="13" t="s">
        <v>94</v>
      </c>
      <c r="AE337" s="126">
        <f>_xll.qlCalendarAdvance(Calendar,AE336,AD337,BizDayConv)</f>
        <v>43216</v>
      </c>
      <c r="AF337" s="125">
        <f>_xll.qlYieldTSDiscount($C$31,AE337)</f>
        <v>1.0038711187864882</v>
      </c>
      <c r="AG337" s="125">
        <f>_xll.xlShmInterpDisc(CurveName&amp;T($C$26),AE337)</f>
        <v>1.0038711187864882</v>
      </c>
      <c r="AH337" s="127">
        <f t="shared" si="12"/>
        <v>0</v>
      </c>
    </row>
    <row r="338" spans="30:34" x14ac:dyDescent="0.2">
      <c r="AD338" s="13" t="s">
        <v>94</v>
      </c>
      <c r="AE338" s="126">
        <f>_xll.qlCalendarAdvance(Calendar,AE337,AD338,BizDayConv)</f>
        <v>43217</v>
      </c>
      <c r="AF338" s="125">
        <f>_xll.qlYieldTSDiscount($C$31,AE338)</f>
        <v>1.0038779195621963</v>
      </c>
      <c r="AG338" s="125">
        <f>_xll.xlShmInterpDisc(CurveName&amp;T($C$26),AE338)</f>
        <v>1.0038779195621963</v>
      </c>
      <c r="AH338" s="127">
        <f t="shared" si="12"/>
        <v>0</v>
      </c>
    </row>
    <row r="339" spans="30:34" x14ac:dyDescent="0.2">
      <c r="AD339" s="13" t="s">
        <v>94</v>
      </c>
      <c r="AE339" s="126">
        <f>_xll.qlCalendarAdvance(Calendar,AE338,AD339,BizDayConv)</f>
        <v>43220</v>
      </c>
      <c r="AF339" s="125">
        <f>_xll.qlYieldTSDiscount($C$31,AE339)</f>
        <v>1.0038982926592472</v>
      </c>
      <c r="AG339" s="125">
        <f>_xll.xlShmInterpDisc(CurveName&amp;T($C$26),AE339)</f>
        <v>1.0038982926592472</v>
      </c>
      <c r="AH339" s="127">
        <f t="shared" si="12"/>
        <v>0</v>
      </c>
    </row>
    <row r="340" spans="30:34" x14ac:dyDescent="0.2">
      <c r="AD340" s="13" t="s">
        <v>94</v>
      </c>
      <c r="AE340" s="126">
        <f>_xll.qlCalendarAdvance(Calendar,AE339,AD340,BizDayConv)</f>
        <v>43222</v>
      </c>
      <c r="AF340" s="125">
        <f>_xll.qlYieldTSDiscount($C$31,AE340)</f>
        <v>1.0039118509438723</v>
      </c>
      <c r="AG340" s="125">
        <f>_xll.xlShmInterpDisc(CurveName&amp;T($C$26),AE340)</f>
        <v>1.0039118509438723</v>
      </c>
      <c r="AH340" s="127">
        <f t="shared" si="12"/>
        <v>0</v>
      </c>
    </row>
    <row r="341" spans="30:34" x14ac:dyDescent="0.2">
      <c r="AD341" s="13" t="s">
        <v>94</v>
      </c>
      <c r="AE341" s="126">
        <f>_xll.qlCalendarAdvance(Calendar,AE340,AD341,BizDayConv)</f>
        <v>43223</v>
      </c>
      <c r="AF341" s="125">
        <f>_xll.qlYieldTSDiscount($C$31,AE341)</f>
        <v>1.0039186231280945</v>
      </c>
      <c r="AG341" s="125">
        <f>_xll.xlShmInterpDisc(CurveName&amp;T($C$26),AE341)</f>
        <v>1.0039186231280945</v>
      </c>
      <c r="AH341" s="127">
        <f t="shared" si="12"/>
        <v>0</v>
      </c>
    </row>
    <row r="342" spans="30:34" x14ac:dyDescent="0.2">
      <c r="AD342" s="13" t="s">
        <v>94</v>
      </c>
      <c r="AE342" s="126">
        <f>_xll.qlCalendarAdvance(Calendar,AE341,AD342,BizDayConv)</f>
        <v>43224</v>
      </c>
      <c r="AF342" s="125">
        <f>_xll.qlYieldTSDiscount($C$31,AE342)</f>
        <v>1.0039253907528656</v>
      </c>
      <c r="AG342" s="125">
        <f>_xll.xlShmInterpDisc(CurveName&amp;T($C$26),AE342)</f>
        <v>1.0039253907528656</v>
      </c>
      <c r="AH342" s="127">
        <f t="shared" si="12"/>
        <v>0</v>
      </c>
    </row>
    <row r="343" spans="30:34" x14ac:dyDescent="0.2">
      <c r="AD343" s="13" t="s">
        <v>94</v>
      </c>
      <c r="AE343" s="126">
        <f>_xll.qlCalendarAdvance(Calendar,AE342,AD343,BizDayConv)</f>
        <v>43227</v>
      </c>
      <c r="AF343" s="125">
        <f>_xll.qlYieldTSDiscount($C$31,AE343)</f>
        <v>1.0039456668731614</v>
      </c>
      <c r="AG343" s="125">
        <f>_xll.xlShmInterpDisc(CurveName&amp;T($C$26),AE343)</f>
        <v>1.0039456668731614</v>
      </c>
      <c r="AH343" s="127">
        <f t="shared" si="12"/>
        <v>0</v>
      </c>
    </row>
    <row r="344" spans="30:34" x14ac:dyDescent="0.2">
      <c r="AD344" s="13" t="s">
        <v>94</v>
      </c>
      <c r="AE344" s="126">
        <f>_xll.qlCalendarAdvance(Calendar,AE343,AD344,BizDayConv)</f>
        <v>43228</v>
      </c>
      <c r="AF344" s="125">
        <f>_xll.qlYieldTSDiscount($C$31,AE344)</f>
        <v>1.0039524168651393</v>
      </c>
      <c r="AG344" s="125">
        <f>_xll.xlShmInterpDisc(CurveName&amp;T($C$26),AE344)</f>
        <v>1.0039524168651393</v>
      </c>
      <c r="AH344" s="127">
        <f t="shared" si="12"/>
        <v>0</v>
      </c>
    </row>
    <row r="345" spans="30:34" x14ac:dyDescent="0.2">
      <c r="AD345" s="13" t="s">
        <v>94</v>
      </c>
      <c r="AE345" s="126">
        <f>_xll.qlCalendarAdvance(Calendar,AE344,AD345,BizDayConv)</f>
        <v>43229</v>
      </c>
      <c r="AF345" s="125">
        <f>_xll.qlYieldTSDiscount($C$31,AE345)</f>
        <v>1.0039591626024935</v>
      </c>
      <c r="AG345" s="125">
        <f>_xll.xlShmInterpDisc(CurveName&amp;T($C$26),AE345)</f>
        <v>1.0039591626024935</v>
      </c>
      <c r="AH345" s="127">
        <f t="shared" si="12"/>
        <v>0</v>
      </c>
    </row>
    <row r="346" spans="30:34" x14ac:dyDescent="0.2">
      <c r="AD346" s="13" t="s">
        <v>94</v>
      </c>
      <c r="AE346" s="126">
        <f>_xll.qlCalendarAdvance(Calendar,AE345,AD346,BizDayConv)</f>
        <v>43230</v>
      </c>
      <c r="AF346" s="125">
        <f>_xll.qlYieldTSDiscount($C$31,AE346)</f>
        <v>1.0039659041475826</v>
      </c>
      <c r="AG346" s="125">
        <f>_xll.xlShmInterpDisc(CurveName&amp;T($C$26),AE346)</f>
        <v>1.0039659041475826</v>
      </c>
      <c r="AH346" s="127">
        <f t="shared" si="12"/>
        <v>0</v>
      </c>
    </row>
    <row r="347" spans="30:34" x14ac:dyDescent="0.2">
      <c r="AD347" s="13" t="s">
        <v>94</v>
      </c>
      <c r="AE347" s="126">
        <f>_xll.qlCalendarAdvance(Calendar,AE346,AD347,BizDayConv)</f>
        <v>43231</v>
      </c>
      <c r="AF347" s="125">
        <f>_xll.qlYieldTSDiscount($C$31,AE347)</f>
        <v>1.0039726415632289</v>
      </c>
      <c r="AG347" s="125">
        <f>_xll.xlShmInterpDisc(CurveName&amp;T($C$26),AE347)</f>
        <v>1.0039726415632289</v>
      </c>
      <c r="AH347" s="127">
        <f t="shared" si="12"/>
        <v>0</v>
      </c>
    </row>
    <row r="348" spans="30:34" x14ac:dyDescent="0.2">
      <c r="AD348" s="13" t="s">
        <v>94</v>
      </c>
      <c r="AE348" s="126">
        <f>_xll.qlCalendarAdvance(Calendar,AE347,AD348,BizDayConv)</f>
        <v>43234</v>
      </c>
      <c r="AF348" s="125">
        <f>_xll.qlYieldTSDiscount($C$31,AE348)</f>
        <v>1.0039928296687066</v>
      </c>
      <c r="AG348" s="125">
        <f>_xll.xlShmInterpDisc(CurveName&amp;T($C$26),AE348)</f>
        <v>1.0039928296687066</v>
      </c>
      <c r="AH348" s="127">
        <f t="shared" si="12"/>
        <v>0</v>
      </c>
    </row>
    <row r="349" spans="30:34" x14ac:dyDescent="0.2">
      <c r="AD349" s="13" t="s">
        <v>94</v>
      </c>
      <c r="AE349" s="126">
        <f>_xll.qlCalendarAdvance(Calendar,AE348,AD349,BizDayConv)</f>
        <v>43235</v>
      </c>
      <c r="AF349" s="125">
        <f>_xll.qlYieldTSDiscount($C$31,AE349)</f>
        <v>1.0039995512040982</v>
      </c>
      <c r="AG349" s="125">
        <f>_xll.xlShmInterpDisc(CurveName&amp;T($C$26),AE349)</f>
        <v>1.0039995512040982</v>
      </c>
      <c r="AH349" s="127">
        <f t="shared" si="12"/>
        <v>0</v>
      </c>
    </row>
    <row r="350" spans="30:34" x14ac:dyDescent="0.2">
      <c r="AD350" s="13" t="s">
        <v>94</v>
      </c>
      <c r="AE350" s="126">
        <f>_xll.qlCalendarAdvance(Calendar,AE349,AD350,BizDayConv)</f>
        <v>43236</v>
      </c>
      <c r="AF350" s="125">
        <f>_xll.qlYieldTSDiscount($C$31,AE350)</f>
        <v>1.0040062689311269</v>
      </c>
      <c r="AG350" s="125">
        <f>_xll.xlShmInterpDisc(CurveName&amp;T($C$26),AE350)</f>
        <v>1.0040062689311269</v>
      </c>
      <c r="AH350" s="127">
        <f t="shared" si="12"/>
        <v>0</v>
      </c>
    </row>
    <row r="351" spans="30:34" x14ac:dyDescent="0.2">
      <c r="AD351" s="13" t="s">
        <v>94</v>
      </c>
      <c r="AE351" s="126">
        <f>_xll.qlCalendarAdvance(Calendar,AE350,AD351,BizDayConv)</f>
        <v>43237</v>
      </c>
      <c r="AF351" s="125">
        <f>_xll.qlYieldTSDiscount($C$31,AE351)</f>
        <v>1.0040129829154016</v>
      </c>
      <c r="AG351" s="125">
        <f>_xll.xlShmInterpDisc(CurveName&amp;T($C$26),AE351)</f>
        <v>1.0040129829154016</v>
      </c>
      <c r="AH351" s="127">
        <f t="shared" si="12"/>
        <v>0</v>
      </c>
    </row>
    <row r="352" spans="30:34" x14ac:dyDescent="0.2">
      <c r="AD352" s="13" t="s">
        <v>94</v>
      </c>
      <c r="AE352" s="126">
        <f>_xll.qlCalendarAdvance(Calendar,AE351,AD352,BizDayConv)</f>
        <v>43238</v>
      </c>
      <c r="AF352" s="125">
        <f>_xll.qlYieldTSDiscount($C$31,AE352)</f>
        <v>1.0040196932229961</v>
      </c>
      <c r="AG352" s="125">
        <f>_xll.xlShmInterpDisc(CurveName&amp;T($C$26),AE352)</f>
        <v>1.0040196932229961</v>
      </c>
      <c r="AH352" s="127">
        <f t="shared" si="12"/>
        <v>0</v>
      </c>
    </row>
    <row r="353" spans="30:34" x14ac:dyDescent="0.2">
      <c r="AD353" s="13" t="s">
        <v>94</v>
      </c>
      <c r="AE353" s="126">
        <f>_xll.qlCalendarAdvance(Calendar,AE352,AD353,BizDayConv)</f>
        <v>43241</v>
      </c>
      <c r="AF353" s="125">
        <f>_xll.qlYieldTSDiscount($C$31,AE353)</f>
        <v>1.0040398027533994</v>
      </c>
      <c r="AG353" s="125">
        <f>_xll.xlShmInterpDisc(CurveName&amp;T($C$26),AE353)</f>
        <v>1.0040398027533994</v>
      </c>
      <c r="AH353" s="127">
        <f t="shared" si="12"/>
        <v>0</v>
      </c>
    </row>
    <row r="354" spans="30:34" x14ac:dyDescent="0.2">
      <c r="AD354" s="13" t="s">
        <v>94</v>
      </c>
      <c r="AE354" s="126">
        <f>_xll.qlCalendarAdvance(Calendar,AE353,AD354,BizDayConv)</f>
        <v>43242</v>
      </c>
      <c r="AF354" s="125">
        <f>_xll.qlYieldTSDiscount($C$31,AE354)</f>
        <v>1.0040464990242968</v>
      </c>
      <c r="AG354" s="125">
        <f>_xll.xlShmInterpDisc(CurveName&amp;T($C$26),AE354)</f>
        <v>1.0040464990242968</v>
      </c>
      <c r="AH354" s="127">
        <f t="shared" si="12"/>
        <v>0</v>
      </c>
    </row>
    <row r="355" spans="30:34" x14ac:dyDescent="0.2">
      <c r="AD355" s="13" t="s">
        <v>94</v>
      </c>
      <c r="AE355" s="126">
        <f>_xll.qlCalendarAdvance(Calendar,AE354,AD355,BizDayConv)</f>
        <v>43243</v>
      </c>
      <c r="AF355" s="125">
        <f>_xll.qlYieldTSDiscount($C$31,AE355)</f>
        <v>1.0040531919558486</v>
      </c>
      <c r="AG355" s="125">
        <f>_xll.xlShmInterpDisc(CurveName&amp;T($C$26),AE355)</f>
        <v>1.0040531919558486</v>
      </c>
      <c r="AH355" s="127">
        <f t="shared" si="12"/>
        <v>0</v>
      </c>
    </row>
    <row r="356" spans="30:34" x14ac:dyDescent="0.2">
      <c r="AD356" s="13" t="s">
        <v>94</v>
      </c>
      <c r="AE356" s="126">
        <f>_xll.qlCalendarAdvance(Calendar,AE355,AD356,BizDayConv)</f>
        <v>43244</v>
      </c>
      <c r="AF356" s="125">
        <f>_xll.qlYieldTSDiscount($C$31,AE356)</f>
        <v>1.0040598816169151</v>
      </c>
      <c r="AG356" s="125">
        <f>_xll.xlShmInterpDisc(CurveName&amp;T($C$26),AE356)</f>
        <v>1.0040598816169151</v>
      </c>
      <c r="AH356" s="127">
        <f t="shared" si="12"/>
        <v>0</v>
      </c>
    </row>
    <row r="357" spans="30:34" x14ac:dyDescent="0.2">
      <c r="AD357" s="13" t="s">
        <v>94</v>
      </c>
      <c r="AE357" s="126">
        <f>_xll.qlCalendarAdvance(Calendar,AE356,AD357,BizDayConv)</f>
        <v>43245</v>
      </c>
      <c r="AF357" s="125">
        <f>_xll.qlYieldTSDiscount($C$31,AE357)</f>
        <v>1.0040665680768208</v>
      </c>
      <c r="AG357" s="125">
        <f>_xll.xlShmInterpDisc(CurveName&amp;T($C$26),AE357)</f>
        <v>1.0040665680768208</v>
      </c>
      <c r="AH357" s="127">
        <f t="shared" si="12"/>
        <v>0</v>
      </c>
    </row>
    <row r="358" spans="30:34" x14ac:dyDescent="0.2">
      <c r="AD358" s="13" t="s">
        <v>94</v>
      </c>
      <c r="AE358" s="126">
        <f>_xll.qlCalendarAdvance(Calendar,AE357,AD358,BizDayConv)</f>
        <v>43248</v>
      </c>
      <c r="AF358" s="125">
        <f>_xll.qlYieldTSDiscount($C$31,AE358)</f>
        <v>1.0040866089497935</v>
      </c>
      <c r="AG358" s="125">
        <f>_xll.xlShmInterpDisc(CurveName&amp;T($C$26),AE358)</f>
        <v>1.0040866089497935</v>
      </c>
      <c r="AH358" s="127">
        <f t="shared" si="12"/>
        <v>0</v>
      </c>
    </row>
    <row r="359" spans="30:34" x14ac:dyDescent="0.2">
      <c r="AD359" s="13" t="s">
        <v>94</v>
      </c>
      <c r="AE359" s="126">
        <f>_xll.qlCalendarAdvance(Calendar,AE358,AD359,BizDayConv)</f>
        <v>43249</v>
      </c>
      <c r="AF359" s="125">
        <f>_xll.qlYieldTSDiscount($C$31,AE359)</f>
        <v>1.004093283307598</v>
      </c>
      <c r="AG359" s="125">
        <f>_xll.xlShmInterpDisc(CurveName&amp;T($C$26),AE359)</f>
        <v>1.004093283307598</v>
      </c>
      <c r="AH359" s="127">
        <f t="shared" si="12"/>
        <v>0</v>
      </c>
    </row>
    <row r="360" spans="30:34" x14ac:dyDescent="0.2">
      <c r="AD360" s="13" t="s">
        <v>94</v>
      </c>
      <c r="AE360" s="126">
        <f>_xll.qlCalendarAdvance(Calendar,AE359,AD360,BizDayConv)</f>
        <v>43250</v>
      </c>
      <c r="AF360" s="125">
        <f>_xll.qlYieldTSDiscount($C$31,AE360)</f>
        <v>1.0040999548178349</v>
      </c>
      <c r="AG360" s="125">
        <f>_xll.xlShmInterpDisc(CurveName&amp;T($C$26),AE360)</f>
        <v>1.0040999548178349</v>
      </c>
      <c r="AH360" s="127">
        <f t="shared" si="12"/>
        <v>0</v>
      </c>
    </row>
    <row r="361" spans="30:34" x14ac:dyDescent="0.2">
      <c r="AD361" s="13" t="s">
        <v>94</v>
      </c>
      <c r="AE361" s="126">
        <f>_xll.qlCalendarAdvance(Calendar,AE360,AD361,BizDayConv)</f>
        <v>43251</v>
      </c>
      <c r="AF361" s="125">
        <f>_xll.qlYieldTSDiscount($C$31,AE361)</f>
        <v>1.0041066235526166</v>
      </c>
      <c r="AG361" s="125">
        <f>_xll.xlShmInterpDisc(CurveName&amp;T($C$26),AE361)</f>
        <v>1.0041066235526166</v>
      </c>
      <c r="AH361" s="127">
        <f t="shared" si="12"/>
        <v>0</v>
      </c>
    </row>
    <row r="362" spans="30:34" x14ac:dyDescent="0.2">
      <c r="AD362" s="13" t="s">
        <v>94</v>
      </c>
      <c r="AE362" s="126">
        <f>_xll.qlCalendarAdvance(Calendar,AE361,AD362,BizDayConv)</f>
        <v>43252</v>
      </c>
      <c r="AF362" s="125">
        <f>_xll.qlYieldTSDiscount($C$31,AE362)</f>
        <v>1.0041132895845202</v>
      </c>
      <c r="AG362" s="125">
        <f>_xll.xlShmInterpDisc(CurveName&amp;T($C$26),AE362)</f>
        <v>1.0041132895845202</v>
      </c>
      <c r="AH362" s="127">
        <f t="shared" si="12"/>
        <v>0</v>
      </c>
    </row>
    <row r="363" spans="30:34" x14ac:dyDescent="0.2">
      <c r="AD363" s="13" t="s">
        <v>94</v>
      </c>
      <c r="AE363" s="126">
        <f>_xll.qlCalendarAdvance(Calendar,AE362,AD363,BizDayConv)</f>
        <v>43255</v>
      </c>
      <c r="AF363" s="125">
        <f>_xll.qlYieldTSDiscount($C$31,AE363)</f>
        <v>1.0041332721957004</v>
      </c>
      <c r="AG363" s="125">
        <f>_xll.xlShmInterpDisc(CurveName&amp;T($C$26),AE363)</f>
        <v>1.0041332721957004</v>
      </c>
      <c r="AH363" s="127">
        <f t="shared" si="12"/>
        <v>0</v>
      </c>
    </row>
    <row r="364" spans="30:34" x14ac:dyDescent="0.2">
      <c r="AD364" s="13" t="s">
        <v>94</v>
      </c>
      <c r="AE364" s="126">
        <f>_xll.qlCalendarAdvance(Calendar,AE363,AD364,BizDayConv)</f>
        <v>43256</v>
      </c>
      <c r="AF364" s="125">
        <f>_xll.qlYieldTSDiscount($C$31,AE364)</f>
        <v>1.0041399281511534</v>
      </c>
      <c r="AG364" s="125">
        <f>_xll.xlShmInterpDisc(CurveName&amp;T($C$26),AE364)</f>
        <v>1.0041399281511534</v>
      </c>
      <c r="AH364" s="127">
        <f t="shared" si="12"/>
        <v>0</v>
      </c>
    </row>
    <row r="365" spans="30:34" x14ac:dyDescent="0.2">
      <c r="AD365" s="13" t="s">
        <v>94</v>
      </c>
      <c r="AE365" s="126">
        <f>_xll.qlCalendarAdvance(Calendar,AE364,AD365,BizDayConv)</f>
        <v>43257</v>
      </c>
      <c r="AF365" s="125">
        <f>_xll.qlYieldTSDiscount($C$31,AE365)</f>
        <v>1.0041465817735824</v>
      </c>
      <c r="AG365" s="125">
        <f>_xll.xlShmInterpDisc(CurveName&amp;T($C$26),AE365)</f>
        <v>1.0041465817735824</v>
      </c>
      <c r="AH365" s="127">
        <f t="shared" si="12"/>
        <v>0</v>
      </c>
    </row>
    <row r="366" spans="30:34" x14ac:dyDescent="0.2">
      <c r="AD366" s="13" t="s">
        <v>94</v>
      </c>
      <c r="AE366" s="126">
        <f>_xll.qlCalendarAdvance(Calendar,AE365,AD366,BizDayConv)</f>
        <v>43258</v>
      </c>
      <c r="AF366" s="125">
        <f>_xll.qlYieldTSDiscount($C$31,AE366)</f>
        <v>1.0041532331383529</v>
      </c>
      <c r="AG366" s="125">
        <f>_xll.xlShmInterpDisc(CurveName&amp;T($C$26),AE366)</f>
        <v>1.0041532331383529</v>
      </c>
      <c r="AH366" s="127">
        <f t="shared" si="12"/>
        <v>0</v>
      </c>
    </row>
    <row r="367" spans="30:34" x14ac:dyDescent="0.2">
      <c r="AD367" s="13" t="s">
        <v>94</v>
      </c>
      <c r="AE367" s="126">
        <f>_xll.qlCalendarAdvance(Calendar,AE366,AD367,BizDayConv)</f>
        <v>43259</v>
      </c>
      <c r="AF367" s="125">
        <f>_xll.qlYieldTSDiscount($C$31,AE367)</f>
        <v>1.0041598823212941</v>
      </c>
      <c r="AG367" s="125">
        <f>_xll.xlShmInterpDisc(CurveName&amp;T($C$26),AE367)</f>
        <v>1.0041598823212941</v>
      </c>
      <c r="AH367" s="127">
        <f t="shared" si="12"/>
        <v>0</v>
      </c>
    </row>
    <row r="368" spans="30:34" x14ac:dyDescent="0.2">
      <c r="AD368" s="13" t="s">
        <v>94</v>
      </c>
      <c r="AE368" s="126">
        <f>_xll.qlCalendarAdvance(Calendar,AE367,AD368,BizDayConv)</f>
        <v>43262</v>
      </c>
      <c r="AF368" s="125">
        <f>_xll.qlYieldTSDiscount($C$31,AE368)</f>
        <v>1.0041798175444101</v>
      </c>
      <c r="AG368" s="125">
        <f>_xll.xlShmInterpDisc(CurveName&amp;T($C$26),AE368)</f>
        <v>1.0041798175444101</v>
      </c>
      <c r="AH368" s="127">
        <f t="shared" si="12"/>
        <v>0</v>
      </c>
    </row>
    <row r="369" spans="30:34" x14ac:dyDescent="0.2">
      <c r="AD369" s="13" t="s">
        <v>94</v>
      </c>
      <c r="AE369" s="126">
        <f>_xll.qlCalendarAdvance(Calendar,AE368,AD369,BizDayConv)</f>
        <v>43263</v>
      </c>
      <c r="AF369" s="125">
        <f>_xll.qlYieldTSDiscount($C$31,AE369)</f>
        <v>1.0041864587676257</v>
      </c>
      <c r="AG369" s="125">
        <f>_xll.xlShmInterpDisc(CurveName&amp;T($C$26),AE369)</f>
        <v>1.0041864587676257</v>
      </c>
      <c r="AH369" s="127">
        <f t="shared" si="12"/>
        <v>0</v>
      </c>
    </row>
    <row r="370" spans="30:34" x14ac:dyDescent="0.2">
      <c r="AD370" s="13" t="s">
        <v>94</v>
      </c>
      <c r="AE370" s="126">
        <f>_xll.qlCalendarAdvance(Calendar,AE369,AD370,BizDayConv)</f>
        <v>43264</v>
      </c>
      <c r="AF370" s="125">
        <f>_xll.qlYieldTSDiscount($C$31,AE370)</f>
        <v>1.0041930981951315</v>
      </c>
      <c r="AG370" s="125">
        <f>_xll.xlShmInterpDisc(CurveName&amp;T($C$26),AE370)</f>
        <v>1.0041930981951315</v>
      </c>
      <c r="AH370" s="127">
        <f t="shared" si="12"/>
        <v>0</v>
      </c>
    </row>
    <row r="371" spans="30:34" x14ac:dyDescent="0.2">
      <c r="AD371" s="13" t="s">
        <v>94</v>
      </c>
      <c r="AE371" s="126">
        <f>_xll.qlCalendarAdvance(Calendar,AE370,AD371,BizDayConv)</f>
        <v>43265</v>
      </c>
      <c r="AF371" s="125">
        <f>_xll.qlYieldTSDiscount($C$31,AE371)</f>
        <v>1.0041997359055457</v>
      </c>
      <c r="AG371" s="125">
        <f>_xll.xlShmInterpDisc(CurveName&amp;T($C$26),AE371)</f>
        <v>1.0041997359055457</v>
      </c>
      <c r="AH371" s="127">
        <f t="shared" si="12"/>
        <v>0</v>
      </c>
    </row>
    <row r="372" spans="30:34" x14ac:dyDescent="0.2">
      <c r="AD372" s="13" t="s">
        <v>94</v>
      </c>
      <c r="AE372" s="126">
        <f>_xll.qlCalendarAdvance(Calendar,AE371,AD372,BizDayConv)</f>
        <v>43266</v>
      </c>
      <c r="AF372" s="125">
        <f>_xll.qlYieldTSDiscount($C$31,AE372)</f>
        <v>1.0042063719779513</v>
      </c>
      <c r="AG372" s="125">
        <f>_xll.xlShmInterpDisc(CurveName&amp;T($C$26),AE372)</f>
        <v>1.0042063719779513</v>
      </c>
      <c r="AH372" s="127">
        <f t="shared" si="12"/>
        <v>0</v>
      </c>
    </row>
    <row r="373" spans="30:34" x14ac:dyDescent="0.2">
      <c r="AD373" s="13" t="s">
        <v>94</v>
      </c>
      <c r="AE373" s="126">
        <f>_xll.qlCalendarAdvance(Calendar,AE372,AD373,BizDayConv)</f>
        <v>43269</v>
      </c>
      <c r="AF373" s="125">
        <f>_xll.qlYieldTSDiscount($C$31,AE373)</f>
        <v>1.0042262711649184</v>
      </c>
      <c r="AG373" s="125">
        <f>_xll.xlShmInterpDisc(CurveName&amp;T($C$26),AE373)</f>
        <v>1.0042262711649184</v>
      </c>
      <c r="AH373" s="127">
        <f t="shared" si="12"/>
        <v>0</v>
      </c>
    </row>
    <row r="374" spans="30:34" x14ac:dyDescent="0.2">
      <c r="AD374" s="13" t="s">
        <v>94</v>
      </c>
      <c r="AE374" s="126">
        <f>_xll.qlCalendarAdvance(Calendar,AE373,AD374,BizDayConv)</f>
        <v>43270</v>
      </c>
      <c r="AF374" s="125">
        <f>_xll.qlYieldTSDiscount($C$31,AE374)</f>
        <v>1.0042329014854159</v>
      </c>
      <c r="AG374" s="125">
        <f>_xll.xlShmInterpDisc(CurveName&amp;T($C$26),AE374)</f>
        <v>1.0042329014854159</v>
      </c>
      <c r="AH374" s="127">
        <f t="shared" si="12"/>
        <v>0</v>
      </c>
    </row>
    <row r="375" spans="30:34" x14ac:dyDescent="0.2">
      <c r="AD375" s="13" t="s">
        <v>94</v>
      </c>
      <c r="AE375" s="126">
        <f>_xll.qlCalendarAdvance(Calendar,AE374,AD375,BizDayConv)</f>
        <v>43271</v>
      </c>
      <c r="AF375" s="125">
        <f>_xll.qlYieldTSDiscount($C$31,AE375)</f>
        <v>1.0042395305702925</v>
      </c>
      <c r="AG375" s="125">
        <f>_xll.xlShmInterpDisc(CurveName&amp;T($C$26),AE375)</f>
        <v>1.0042395305702925</v>
      </c>
      <c r="AH375" s="127">
        <f t="shared" si="12"/>
        <v>0</v>
      </c>
    </row>
    <row r="376" spans="30:34" x14ac:dyDescent="0.2">
      <c r="AD376" s="13" t="s">
        <v>94</v>
      </c>
      <c r="AE376" s="126">
        <f>_xll.qlCalendarAdvance(Calendar,AE375,AD376,BizDayConv)</f>
        <v>43272</v>
      </c>
      <c r="AF376" s="125">
        <f>_xll.qlYieldTSDiscount($C$31,AE376)</f>
        <v>1.00424615850142</v>
      </c>
      <c r="AG376" s="125">
        <f>_xll.xlShmInterpDisc(CurveName&amp;T($C$26),AE376)</f>
        <v>1.00424615850142</v>
      </c>
      <c r="AH376" s="127">
        <f t="shared" si="12"/>
        <v>0</v>
      </c>
    </row>
    <row r="377" spans="30:34" x14ac:dyDescent="0.2">
      <c r="AD377" s="13" t="s">
        <v>94</v>
      </c>
      <c r="AE377" s="126">
        <f>_xll.qlCalendarAdvance(Calendar,AE376,AD377,BizDayConv)</f>
        <v>43273</v>
      </c>
      <c r="AF377" s="125">
        <f>_xll.qlYieldTSDiscount($C$31,AE377)</f>
        <v>1.0042527861407458</v>
      </c>
      <c r="AG377" s="125">
        <f>_xll.xlShmInterpDisc(CurveName&amp;T($C$26),AE377)</f>
        <v>1.0042527861407458</v>
      </c>
      <c r="AH377" s="127">
        <f t="shared" si="12"/>
        <v>0</v>
      </c>
    </row>
    <row r="378" spans="30:34" x14ac:dyDescent="0.2">
      <c r="AD378" s="13" t="s">
        <v>94</v>
      </c>
      <c r="AE378" s="126">
        <f>_xll.qlCalendarAdvance(Calendar,AE377,AD378,BizDayConv)</f>
        <v>43276</v>
      </c>
      <c r="AF378" s="125">
        <f>_xll.qlYieldTSDiscount($C$31,AE378)</f>
        <v>1.0042726713970056</v>
      </c>
      <c r="AG378" s="125">
        <f>_xll.xlShmInterpDisc(CurveName&amp;T($C$26),AE378)</f>
        <v>1.0042726713970056</v>
      </c>
      <c r="AH378" s="127">
        <f t="shared" si="12"/>
        <v>0</v>
      </c>
    </row>
    <row r="379" spans="30:34" x14ac:dyDescent="0.2">
      <c r="AD379" s="13" t="s">
        <v>94</v>
      </c>
      <c r="AE379" s="126">
        <f>_xll.qlCalendarAdvance(Calendar,AE378,AD379,BizDayConv)</f>
        <v>43277</v>
      </c>
      <c r="AF379" s="125">
        <f>_xll.qlYieldTSDiscount($C$31,AE379)</f>
        <v>1.0042793002773369</v>
      </c>
      <c r="AG379" s="125">
        <f>_xll.xlShmInterpDisc(CurveName&amp;T($C$26),AE379)</f>
        <v>1.0042793002773369</v>
      </c>
      <c r="AH379" s="127">
        <f t="shared" si="12"/>
        <v>0</v>
      </c>
    </row>
    <row r="380" spans="30:34" x14ac:dyDescent="0.2">
      <c r="AD380" s="13" t="s">
        <v>94</v>
      </c>
      <c r="AE380" s="126">
        <f>_xll.qlCalendarAdvance(Calendar,AE379,AD380,BizDayConv)</f>
        <v>43278</v>
      </c>
      <c r="AF380" s="125">
        <f>_xll.qlYieldTSDiscount($C$31,AE380)</f>
        <v>1.0042859292272504</v>
      </c>
      <c r="AG380" s="125">
        <f>_xll.xlShmInterpDisc(CurveName&amp;T($C$26),AE380)</f>
        <v>1.0042859292272504</v>
      </c>
      <c r="AH380" s="127">
        <f t="shared" si="12"/>
        <v>0</v>
      </c>
    </row>
    <row r="381" spans="30:34" x14ac:dyDescent="0.2">
      <c r="AD381" s="13" t="s">
        <v>94</v>
      </c>
      <c r="AE381" s="126">
        <f>_xll.qlCalendarAdvance(Calendar,AE380,AD381,BizDayConv)</f>
        <v>43279</v>
      </c>
      <c r="AF381" s="125">
        <f>_xll.qlYieldTSDiscount($C$31,AE381)</f>
        <v>1.0042925581486521</v>
      </c>
      <c r="AG381" s="125">
        <f>_xll.xlShmInterpDisc(CurveName&amp;T($C$26),AE381)</f>
        <v>1.0042925581486521</v>
      </c>
      <c r="AH381" s="127">
        <f t="shared" si="12"/>
        <v>0</v>
      </c>
    </row>
    <row r="382" spans="30:34" x14ac:dyDescent="0.2">
      <c r="AD382" s="13" t="s">
        <v>94</v>
      </c>
      <c r="AE382" s="126">
        <f>_xll.qlCalendarAdvance(Calendar,AE381,AD382,BizDayConv)</f>
        <v>43280</v>
      </c>
      <c r="AF382" s="125">
        <f>_xll.qlYieldTSDiscount($C$31,AE382)</f>
        <v>1.0042991869425351</v>
      </c>
      <c r="AG382" s="125">
        <f>_xll.xlShmInterpDisc(CurveName&amp;T($C$26),AE382)</f>
        <v>1.0042991869425351</v>
      </c>
      <c r="AH382" s="127">
        <f t="shared" si="12"/>
        <v>0</v>
      </c>
    </row>
    <row r="383" spans="30:34" x14ac:dyDescent="0.2">
      <c r="AD383" s="13" t="s">
        <v>94</v>
      </c>
      <c r="AE383" s="126">
        <f>_xll.qlCalendarAdvance(Calendar,AE382,AD383,BizDayConv)</f>
        <v>43283</v>
      </c>
      <c r="AF383" s="125">
        <f>_xll.qlYieldTSDiscount($C$31,AE383)</f>
        <v>1.0043190715553045</v>
      </c>
      <c r="AG383" s="125">
        <f>_xll.xlShmInterpDisc(CurveName&amp;T($C$26),AE383)</f>
        <v>1.0043190715553045</v>
      </c>
      <c r="AH383" s="127">
        <f t="shared" si="12"/>
        <v>0</v>
      </c>
    </row>
    <row r="384" spans="30:34" x14ac:dyDescent="0.2">
      <c r="AD384" s="13" t="s">
        <v>94</v>
      </c>
      <c r="AE384" s="126">
        <f>_xll.qlCalendarAdvance(Calendar,AE383,AD384,BizDayConv)</f>
        <v>43284</v>
      </c>
      <c r="AF384" s="125">
        <f>_xll.qlYieldTSDiscount($C$31,AE384)</f>
        <v>1.0043256988307798</v>
      </c>
      <c r="AG384" s="125">
        <f>_xll.xlShmInterpDisc(CurveName&amp;T($C$26),AE384)</f>
        <v>1.0043256988307798</v>
      </c>
      <c r="AH384" s="127">
        <f t="shared" si="12"/>
        <v>0</v>
      </c>
    </row>
    <row r="385" spans="30:34" x14ac:dyDescent="0.2">
      <c r="AD385" s="13" t="s">
        <v>94</v>
      </c>
      <c r="AE385" s="126">
        <f>_xll.qlCalendarAdvance(Calendar,AE384,AD385,BizDayConv)</f>
        <v>43285</v>
      </c>
      <c r="AF385" s="125">
        <f>_xll.qlYieldTSDiscount($C$31,AE385)</f>
        <v>1.0043323254700041</v>
      </c>
      <c r="AG385" s="125">
        <f>_xll.xlShmInterpDisc(CurveName&amp;T($C$26),AE385)</f>
        <v>1.0043323254700041</v>
      </c>
      <c r="AH385" s="127">
        <f t="shared" si="12"/>
        <v>0</v>
      </c>
    </row>
    <row r="386" spans="30:34" x14ac:dyDescent="0.2">
      <c r="AD386" s="13" t="s">
        <v>94</v>
      </c>
      <c r="AE386" s="126">
        <f>_xll.qlCalendarAdvance(Calendar,AE385,AD386,BizDayConv)</f>
        <v>43286</v>
      </c>
      <c r="AF386" s="125">
        <f>_xll.qlYieldTSDiscount($C$31,AE386)</f>
        <v>1.0043389513684908</v>
      </c>
      <c r="AG386" s="125">
        <f>_xll.xlShmInterpDisc(CurveName&amp;T($C$26),AE386)</f>
        <v>1.0043389513684908</v>
      </c>
      <c r="AH386" s="127">
        <f t="shared" si="12"/>
        <v>0</v>
      </c>
    </row>
    <row r="387" spans="30:34" x14ac:dyDescent="0.2">
      <c r="AD387" s="13" t="s">
        <v>94</v>
      </c>
      <c r="AE387" s="126">
        <f>_xll.qlCalendarAdvance(Calendar,AE386,AD387,BizDayConv)</f>
        <v>43287</v>
      </c>
      <c r="AF387" s="125">
        <f>_xll.qlYieldTSDiscount($C$31,AE387)</f>
        <v>1.0043455764208411</v>
      </c>
      <c r="AG387" s="125">
        <f>_xll.xlShmInterpDisc(CurveName&amp;T($C$26),AE387)</f>
        <v>1.0043455764208411</v>
      </c>
      <c r="AH387" s="127">
        <f t="shared" si="12"/>
        <v>0</v>
      </c>
    </row>
    <row r="388" spans="30:34" x14ac:dyDescent="0.2">
      <c r="AD388" s="13" t="s">
        <v>94</v>
      </c>
      <c r="AE388" s="126">
        <f>_xll.qlCalendarAdvance(Calendar,AE387,AD388,BizDayConv)</f>
        <v>43290</v>
      </c>
      <c r="AF388" s="125">
        <f>_xll.qlYieldTSDiscount($C$31,AE388)</f>
        <v>1.0043654454333757</v>
      </c>
      <c r="AG388" s="125">
        <f>_xll.xlShmInterpDisc(CurveName&amp;T($C$26),AE388)</f>
        <v>1.0043654454333757</v>
      </c>
      <c r="AH388" s="127">
        <f t="shared" ref="AH388:AH451" si="13">(AF388-AG388)</f>
        <v>0</v>
      </c>
    </row>
    <row r="389" spans="30:34" x14ac:dyDescent="0.2">
      <c r="AD389" s="13" t="s">
        <v>94</v>
      </c>
      <c r="AE389" s="126">
        <f>_xll.qlCalendarAdvance(Calendar,AE388,AD389,BizDayConv)</f>
        <v>43291</v>
      </c>
      <c r="AF389" s="125">
        <f>_xll.qlYieldTSDiscount($C$31,AE389)</f>
        <v>1.0043720660289166</v>
      </c>
      <c r="AG389" s="125">
        <f>_xll.xlShmInterpDisc(CurveName&amp;T($C$26),AE389)</f>
        <v>1.0043720660289166</v>
      </c>
      <c r="AH389" s="127">
        <f t="shared" si="13"/>
        <v>0</v>
      </c>
    </row>
    <row r="390" spans="30:34" x14ac:dyDescent="0.2">
      <c r="AD390" s="13" t="s">
        <v>94</v>
      </c>
      <c r="AE390" s="126">
        <f>_xll.qlCalendarAdvance(Calendar,AE389,AD390,BizDayConv)</f>
        <v>43292</v>
      </c>
      <c r="AF390" s="125">
        <f>_xll.qlYieldTSDiscount($C$31,AE390)</f>
        <v>1.0043786852376226</v>
      </c>
      <c r="AG390" s="125">
        <f>_xll.xlShmInterpDisc(CurveName&amp;T($C$26),AE390)</f>
        <v>1.0043786852376226</v>
      </c>
      <c r="AH390" s="127">
        <f t="shared" si="13"/>
        <v>0</v>
      </c>
    </row>
    <row r="391" spans="30:34" x14ac:dyDescent="0.2">
      <c r="AD391" s="13" t="s">
        <v>94</v>
      </c>
      <c r="AE391" s="126">
        <f>_xll.qlCalendarAdvance(Calendar,AE390,AD391,BizDayConv)</f>
        <v>43293</v>
      </c>
      <c r="AF391" s="125">
        <f>_xll.qlYieldTSDiscount($C$31,AE391)</f>
        <v>1.0043853029486138</v>
      </c>
      <c r="AG391" s="125">
        <f>_xll.xlShmInterpDisc(CurveName&amp;T($C$26),AE391)</f>
        <v>1.0043853029486138</v>
      </c>
      <c r="AH391" s="127">
        <f t="shared" si="13"/>
        <v>0</v>
      </c>
    </row>
    <row r="392" spans="30:34" x14ac:dyDescent="0.2">
      <c r="AD392" s="13" t="s">
        <v>94</v>
      </c>
      <c r="AE392" s="126">
        <f>_xll.qlCalendarAdvance(Calendar,AE391,AD392,BizDayConv)</f>
        <v>43294</v>
      </c>
      <c r="AF392" s="125">
        <f>_xll.qlYieldTSDiscount($C$31,AE392)</f>
        <v>1.0043919190500965</v>
      </c>
      <c r="AG392" s="125">
        <f>_xll.xlShmInterpDisc(CurveName&amp;T($C$26),AE392)</f>
        <v>1.0043919190500965</v>
      </c>
      <c r="AH392" s="127">
        <f t="shared" si="13"/>
        <v>0</v>
      </c>
    </row>
    <row r="393" spans="30:34" x14ac:dyDescent="0.2">
      <c r="AD393" s="13" t="s">
        <v>94</v>
      </c>
      <c r="AE393" s="126">
        <f>_xll.qlCalendarAdvance(Calendar,AE392,AD393,BizDayConv)</f>
        <v>43297</v>
      </c>
      <c r="AF393" s="125">
        <f>_xll.qlYieldTSDiscount($C$31,AE393)</f>
        <v>1.0044117565658566</v>
      </c>
      <c r="AG393" s="125">
        <f>_xll.xlShmInterpDisc(CurveName&amp;T($C$26),AE393)</f>
        <v>1.0044117565658566</v>
      </c>
      <c r="AH393" s="127">
        <f t="shared" si="13"/>
        <v>0</v>
      </c>
    </row>
    <row r="394" spans="30:34" x14ac:dyDescent="0.2">
      <c r="AD394" s="13" t="s">
        <v>94</v>
      </c>
      <c r="AE394" s="126">
        <f>_xll.qlCalendarAdvance(Calendar,AE393,AD394,BizDayConv)</f>
        <v>43298</v>
      </c>
      <c r="AF394" s="125">
        <f>_xll.qlYieldTSDiscount($C$31,AE394)</f>
        <v>1.0044183650931</v>
      </c>
      <c r="AG394" s="125">
        <f>_xll.xlShmInterpDisc(CurveName&amp;T($C$26),AE394)</f>
        <v>1.0044183650931</v>
      </c>
      <c r="AH394" s="127">
        <f t="shared" si="13"/>
        <v>0</v>
      </c>
    </row>
    <row r="395" spans="30:34" x14ac:dyDescent="0.2">
      <c r="AD395" s="13" t="s">
        <v>94</v>
      </c>
      <c r="AE395" s="126">
        <f>_xll.qlCalendarAdvance(Calendar,AE394,AD395,BizDayConv)</f>
        <v>43299</v>
      </c>
      <c r="AF395" s="125">
        <f>_xll.qlYieldTSDiscount($C$31,AE395)</f>
        <v>1.0044249714381639</v>
      </c>
      <c r="AG395" s="125">
        <f>_xll.xlShmInterpDisc(CurveName&amp;T($C$26),AE395)</f>
        <v>1.0044249714381639</v>
      </c>
      <c r="AH395" s="127">
        <f t="shared" si="13"/>
        <v>0</v>
      </c>
    </row>
    <row r="396" spans="30:34" x14ac:dyDescent="0.2">
      <c r="AD396" s="13" t="s">
        <v>94</v>
      </c>
      <c r="AE396" s="126">
        <f>_xll.qlCalendarAdvance(Calendar,AE395,AD396,BizDayConv)</f>
        <v>43300</v>
      </c>
      <c r="AF396" s="125">
        <f>_xll.qlYieldTSDiscount($C$31,AE396)</f>
        <v>1.0044315754837732</v>
      </c>
      <c r="AG396" s="125">
        <f>_xll.xlShmInterpDisc(CurveName&amp;T($C$26),AE396)</f>
        <v>1.0044315754837732</v>
      </c>
      <c r="AH396" s="127">
        <f t="shared" si="13"/>
        <v>0</v>
      </c>
    </row>
    <row r="397" spans="30:34" x14ac:dyDescent="0.2">
      <c r="AD397" s="13" t="s">
        <v>94</v>
      </c>
      <c r="AE397" s="126">
        <f>_xll.qlCalendarAdvance(Calendar,AE396,AD397,BizDayConv)</f>
        <v>43301</v>
      </c>
      <c r="AF397" s="125">
        <f>_xll.qlYieldTSDiscount($C$31,AE397)</f>
        <v>1.0044381771117392</v>
      </c>
      <c r="AG397" s="125">
        <f>_xll.xlShmInterpDisc(CurveName&amp;T($C$26),AE397)</f>
        <v>1.0044381771117392</v>
      </c>
      <c r="AH397" s="127">
        <f t="shared" si="13"/>
        <v>0</v>
      </c>
    </row>
    <row r="398" spans="30:34" x14ac:dyDescent="0.2">
      <c r="AD398" s="13" t="s">
        <v>94</v>
      </c>
      <c r="AE398" s="126">
        <f>_xll.qlCalendarAdvance(Calendar,AE397,AD398,BizDayConv)</f>
        <v>43304</v>
      </c>
      <c r="AF398" s="125">
        <f>_xll.qlYieldTSDiscount($C$31,AE398)</f>
        <v>1.0044579662941826</v>
      </c>
      <c r="AG398" s="125">
        <f>_xll.xlShmInterpDisc(CurveName&amp;T($C$26),AE398)</f>
        <v>1.0044579662941826</v>
      </c>
      <c r="AH398" s="127">
        <f t="shared" si="13"/>
        <v>0</v>
      </c>
    </row>
    <row r="399" spans="30:34" x14ac:dyDescent="0.2">
      <c r="AD399" s="13" t="s">
        <v>94</v>
      </c>
      <c r="AE399" s="126">
        <f>_xll.qlCalendarAdvance(Calendar,AE398,AD399,BizDayConv)</f>
        <v>43305</v>
      </c>
      <c r="AF399" s="125">
        <f>_xll.qlYieldTSDiscount($C$31,AE399)</f>
        <v>1.0044645570514117</v>
      </c>
      <c r="AG399" s="125">
        <f>_xll.xlShmInterpDisc(CurveName&amp;T($C$26),AE399)</f>
        <v>1.0044645570514117</v>
      </c>
      <c r="AH399" s="127">
        <f t="shared" si="13"/>
        <v>0</v>
      </c>
    </row>
    <row r="400" spans="30:34" x14ac:dyDescent="0.2">
      <c r="AD400" s="13" t="s">
        <v>94</v>
      </c>
      <c r="AE400" s="126">
        <f>_xll.qlCalendarAdvance(Calendar,AE399,AD400,BizDayConv)</f>
        <v>43306</v>
      </c>
      <c r="AF400" s="125">
        <f>_xll.qlYieldTSDiscount($C$31,AE400)</f>
        <v>1.0044711447863466</v>
      </c>
      <c r="AG400" s="125">
        <f>_xll.xlShmInterpDisc(CurveName&amp;T($C$26),AE400)</f>
        <v>1.0044711447863466</v>
      </c>
      <c r="AH400" s="127">
        <f t="shared" si="13"/>
        <v>0</v>
      </c>
    </row>
    <row r="401" spans="30:34" x14ac:dyDescent="0.2">
      <c r="AD401" s="13" t="s">
        <v>94</v>
      </c>
      <c r="AE401" s="126">
        <f>_xll.qlCalendarAdvance(Calendar,AE400,AD401,BizDayConv)</f>
        <v>43307</v>
      </c>
      <c r="AF401" s="125">
        <f>_xll.qlYieldTSDiscount($C$31,AE401)</f>
        <v>1.0044777293753158</v>
      </c>
      <c r="AG401" s="125">
        <f>_xll.xlShmInterpDisc(CurveName&amp;T($C$26),AE401)</f>
        <v>1.0044777293753158</v>
      </c>
      <c r="AH401" s="127">
        <f t="shared" si="13"/>
        <v>0</v>
      </c>
    </row>
    <row r="402" spans="30:34" x14ac:dyDescent="0.2">
      <c r="AD402" s="13" t="s">
        <v>94</v>
      </c>
      <c r="AE402" s="126">
        <f>_xll.qlCalendarAdvance(Calendar,AE401,AD402,BizDayConv)</f>
        <v>43308</v>
      </c>
      <c r="AF402" s="125">
        <f>_xll.qlYieldTSDiscount($C$31,AE402)</f>
        <v>1.0044843106937336</v>
      </c>
      <c r="AG402" s="125">
        <f>_xll.xlShmInterpDisc(CurveName&amp;T($C$26),AE402)</f>
        <v>1.0044843106937336</v>
      </c>
      <c r="AH402" s="127">
        <f t="shared" si="13"/>
        <v>0</v>
      </c>
    </row>
    <row r="403" spans="30:34" x14ac:dyDescent="0.2">
      <c r="AD403" s="13" t="s">
        <v>94</v>
      </c>
      <c r="AE403" s="126">
        <f>_xll.qlCalendarAdvance(Calendar,AE402,AD403,BizDayConv)</f>
        <v>43311</v>
      </c>
      <c r="AF403" s="125">
        <f>_xll.qlYieldTSDiscount($C$31,AE403)</f>
        <v>1.0045040337661153</v>
      </c>
      <c r="AG403" s="125">
        <f>_xll.xlShmInterpDisc(CurveName&amp;T($C$26),AE403)</f>
        <v>1.0045040337661153</v>
      </c>
      <c r="AH403" s="127">
        <f t="shared" si="13"/>
        <v>0</v>
      </c>
    </row>
    <row r="404" spans="30:34" x14ac:dyDescent="0.2">
      <c r="AD404" s="13" t="s">
        <v>94</v>
      </c>
      <c r="AE404" s="126">
        <f>_xll.qlCalendarAdvance(Calendar,AE403,AD404,BizDayConv)</f>
        <v>43312</v>
      </c>
      <c r="AF404" s="125">
        <f>_xll.qlYieldTSDiscount($C$31,AE404)</f>
        <v>1.0045106007381939</v>
      </c>
      <c r="AG404" s="125">
        <f>_xll.xlShmInterpDisc(CurveName&amp;T($C$26),AE404)</f>
        <v>1.0045106007381939</v>
      </c>
      <c r="AH404" s="127">
        <f t="shared" si="13"/>
        <v>0</v>
      </c>
    </row>
    <row r="405" spans="30:34" x14ac:dyDescent="0.2">
      <c r="AD405" s="13" t="s">
        <v>94</v>
      </c>
      <c r="AE405" s="126">
        <f>_xll.qlCalendarAdvance(Calendar,AE404,AD405,BizDayConv)</f>
        <v>43313</v>
      </c>
      <c r="AF405" s="125">
        <f>_xll.qlYieldTSDiscount($C$31,AE405)</f>
        <v>1.0045171638030841</v>
      </c>
      <c r="AG405" s="125">
        <f>_xll.xlShmInterpDisc(CurveName&amp;T($C$26),AE405)</f>
        <v>1.0045171638030841</v>
      </c>
      <c r="AH405" s="127">
        <f t="shared" si="13"/>
        <v>0</v>
      </c>
    </row>
    <row r="406" spans="30:34" x14ac:dyDescent="0.2">
      <c r="AD406" s="13" t="s">
        <v>94</v>
      </c>
      <c r="AE406" s="126">
        <f>_xll.qlCalendarAdvance(Calendar,AE405,AD406,BizDayConv)</f>
        <v>43314</v>
      </c>
      <c r="AF406" s="125">
        <f>_xll.qlYieldTSDiscount($C$31,AE406)</f>
        <v>1.0045237228307169</v>
      </c>
      <c r="AG406" s="125">
        <f>_xll.xlShmInterpDisc(CurveName&amp;T($C$26),AE406)</f>
        <v>1.0045237228307169</v>
      </c>
      <c r="AH406" s="127">
        <f t="shared" si="13"/>
        <v>0</v>
      </c>
    </row>
    <row r="407" spans="30:34" x14ac:dyDescent="0.2">
      <c r="AD407" s="13" t="s">
        <v>94</v>
      </c>
      <c r="AE407" s="126">
        <f>_xll.qlCalendarAdvance(Calendar,AE406,AD407,BizDayConv)</f>
        <v>43315</v>
      </c>
      <c r="AF407" s="125">
        <f>_xll.qlYieldTSDiscount($C$31,AE407)</f>
        <v>1.0045302776901084</v>
      </c>
      <c r="AG407" s="125">
        <f>_xll.xlShmInterpDisc(CurveName&amp;T($C$26),AE407)</f>
        <v>1.0045302776901084</v>
      </c>
      <c r="AH407" s="127">
        <f t="shared" si="13"/>
        <v>0</v>
      </c>
    </row>
    <row r="408" spans="30:34" x14ac:dyDescent="0.2">
      <c r="AD408" s="13" t="s">
        <v>94</v>
      </c>
      <c r="AE408" s="126">
        <f>_xll.qlCalendarAdvance(Calendar,AE407,AD408,BizDayConv)</f>
        <v>43318</v>
      </c>
      <c r="AF408" s="125">
        <f>_xll.qlYieldTSDiscount($C$31,AE408)</f>
        <v>1.0045499159352893</v>
      </c>
      <c r="AG408" s="125">
        <f>_xll.xlShmInterpDisc(CurveName&amp;T($C$26),AE408)</f>
        <v>1.0045499159352893</v>
      </c>
      <c r="AH408" s="127">
        <f t="shared" si="13"/>
        <v>0</v>
      </c>
    </row>
    <row r="409" spans="30:34" x14ac:dyDescent="0.2">
      <c r="AD409" s="13" t="s">
        <v>94</v>
      </c>
      <c r="AE409" s="126">
        <f>_xll.qlCalendarAdvance(Calendar,AE408,AD409,BizDayConv)</f>
        <v>43319</v>
      </c>
      <c r="AF409" s="125">
        <f>_xll.qlYieldTSDiscount($C$31,AE409)</f>
        <v>1.0045564527935988</v>
      </c>
      <c r="AG409" s="125">
        <f>_xll.xlShmInterpDisc(CurveName&amp;T($C$26),AE409)</f>
        <v>1.0045564527935988</v>
      </c>
      <c r="AH409" s="127">
        <f t="shared" si="13"/>
        <v>0</v>
      </c>
    </row>
    <row r="410" spans="30:34" x14ac:dyDescent="0.2">
      <c r="AD410" s="13" t="s">
        <v>94</v>
      </c>
      <c r="AE410" s="126">
        <f>_xll.qlCalendarAdvance(Calendar,AE409,AD410,BizDayConv)</f>
        <v>43320</v>
      </c>
      <c r="AF410" s="125">
        <f>_xll.qlYieldTSDiscount($C$31,AE410)</f>
        <v>1.0045629848150379</v>
      </c>
      <c r="AG410" s="125">
        <f>_xll.xlShmInterpDisc(CurveName&amp;T($C$26),AE410)</f>
        <v>1.0045629848150379</v>
      </c>
      <c r="AH410" s="127">
        <f t="shared" si="13"/>
        <v>0</v>
      </c>
    </row>
    <row r="411" spans="30:34" x14ac:dyDescent="0.2">
      <c r="AD411" s="13" t="s">
        <v>94</v>
      </c>
      <c r="AE411" s="126">
        <f>_xll.qlCalendarAdvance(Calendar,AE410,AD411,BizDayConv)</f>
        <v>43321</v>
      </c>
      <c r="AF411" s="125">
        <f>_xll.qlYieldTSDiscount($C$31,AE411)</f>
        <v>1.0045695118631379</v>
      </c>
      <c r="AG411" s="125">
        <f>_xll.xlShmInterpDisc(CurveName&amp;T($C$26),AE411)</f>
        <v>1.0045695118631379</v>
      </c>
      <c r="AH411" s="127">
        <f t="shared" si="13"/>
        <v>0</v>
      </c>
    </row>
    <row r="412" spans="30:34" x14ac:dyDescent="0.2">
      <c r="AD412" s="13" t="s">
        <v>94</v>
      </c>
      <c r="AE412" s="126">
        <f>_xll.qlCalendarAdvance(Calendar,AE411,AD412,BizDayConv)</f>
        <v>43322</v>
      </c>
      <c r="AF412" s="125">
        <f>_xll.qlYieldTSDiscount($C$31,AE412)</f>
        <v>1.0045760338005165</v>
      </c>
      <c r="AG412" s="125">
        <f>_xll.xlShmInterpDisc(CurveName&amp;T($C$26),AE412)</f>
        <v>1.0045760338005165</v>
      </c>
      <c r="AH412" s="127">
        <f t="shared" si="13"/>
        <v>0</v>
      </c>
    </row>
    <row r="413" spans="30:34" x14ac:dyDescent="0.2">
      <c r="AD413" s="13" t="s">
        <v>94</v>
      </c>
      <c r="AE413" s="126">
        <f>_xll.qlCalendarAdvance(Calendar,AE412,AD413,BizDayConv)</f>
        <v>43325</v>
      </c>
      <c r="AF413" s="125">
        <f>_xll.qlYieldTSDiscount($C$31,AE413)</f>
        <v>1.0045955675607816</v>
      </c>
      <c r="AG413" s="125">
        <f>_xll.xlShmInterpDisc(CurveName&amp;T($C$26),AE413)</f>
        <v>1.0045955675607816</v>
      </c>
      <c r="AH413" s="127">
        <f t="shared" si="13"/>
        <v>0</v>
      </c>
    </row>
    <row r="414" spans="30:34" x14ac:dyDescent="0.2">
      <c r="AD414" s="13" t="s">
        <v>94</v>
      </c>
      <c r="AE414" s="126">
        <f>_xll.qlCalendarAdvance(Calendar,AE413,AD414,BizDayConv)</f>
        <v>43326</v>
      </c>
      <c r="AF414" s="125">
        <f>_xll.qlYieldTSDiscount($C$31,AE414)</f>
        <v>1.0046020676631617</v>
      </c>
      <c r="AG414" s="125">
        <f>_xll.xlShmInterpDisc(CurveName&amp;T($C$26),AE414)</f>
        <v>1.0046020676631617</v>
      </c>
      <c r="AH414" s="127">
        <f t="shared" si="13"/>
        <v>0</v>
      </c>
    </row>
    <row r="415" spans="30:34" x14ac:dyDescent="0.2">
      <c r="AD415" s="13" t="s">
        <v>94</v>
      </c>
      <c r="AE415" s="126">
        <f>_xll.qlCalendarAdvance(Calendar,AE414,AD415,BizDayConv)</f>
        <v>43327</v>
      </c>
      <c r="AF415" s="125">
        <f>_xll.qlYieldTSDiscount($C$31,AE415)</f>
        <v>1.0046085619541927</v>
      </c>
      <c r="AG415" s="125">
        <f>_xll.xlShmInterpDisc(CurveName&amp;T($C$26),AE415)</f>
        <v>1.0046085619541927</v>
      </c>
      <c r="AH415" s="127">
        <f t="shared" si="13"/>
        <v>0</v>
      </c>
    </row>
    <row r="416" spans="30:34" x14ac:dyDescent="0.2">
      <c r="AD416" s="13" t="s">
        <v>94</v>
      </c>
      <c r="AE416" s="126">
        <f>_xll.qlCalendarAdvance(Calendar,AE415,AD416,BizDayConv)</f>
        <v>43328</v>
      </c>
      <c r="AF416" s="125">
        <f>_xll.qlYieldTSDiscount($C$31,AE416)</f>
        <v>1.0046150502910058</v>
      </c>
      <c r="AG416" s="125">
        <f>_xll.xlShmInterpDisc(CurveName&amp;T($C$26),AE416)</f>
        <v>1.0046150502910058</v>
      </c>
      <c r="AH416" s="127">
        <f t="shared" si="13"/>
        <v>0</v>
      </c>
    </row>
    <row r="417" spans="30:34" x14ac:dyDescent="0.2">
      <c r="AD417" s="13" t="s">
        <v>94</v>
      </c>
      <c r="AE417" s="126">
        <f>_xll.qlCalendarAdvance(Calendar,AE416,AD417,BizDayConv)</f>
        <v>43329</v>
      </c>
      <c r="AF417" s="125">
        <f>_xll.qlYieldTSDiscount($C$31,AE417)</f>
        <v>1.0046215325298182</v>
      </c>
      <c r="AG417" s="125">
        <f>_xll.xlShmInterpDisc(CurveName&amp;T($C$26),AE417)</f>
        <v>1.0046215325298182</v>
      </c>
      <c r="AH417" s="127">
        <f t="shared" si="13"/>
        <v>0</v>
      </c>
    </row>
    <row r="418" spans="30:34" x14ac:dyDescent="0.2">
      <c r="AD418" s="13" t="s">
        <v>94</v>
      </c>
      <c r="AE418" s="126">
        <f>_xll.qlCalendarAdvance(Calendar,AE417,AD418,BizDayConv)</f>
        <v>43332</v>
      </c>
      <c r="AF418" s="125">
        <f>_xll.qlYieldTSDiscount($C$31,AE418)</f>
        <v>1.0046409412067068</v>
      </c>
      <c r="AG418" s="125">
        <f>_xll.xlShmInterpDisc(CurveName&amp;T($C$26),AE418)</f>
        <v>1.0046409412067068</v>
      </c>
      <c r="AH418" s="127">
        <f t="shared" si="13"/>
        <v>0</v>
      </c>
    </row>
    <row r="419" spans="30:34" x14ac:dyDescent="0.2">
      <c r="AD419" s="13" t="s">
        <v>94</v>
      </c>
      <c r="AE419" s="126">
        <f>_xll.qlCalendarAdvance(Calendar,AE418,AD419,BizDayConv)</f>
        <v>43333</v>
      </c>
      <c r="AF419" s="125">
        <f>_xll.qlYieldTSDiscount($C$31,AE419)</f>
        <v>1.0046473975973991</v>
      </c>
      <c r="AG419" s="125">
        <f>_xll.xlShmInterpDisc(CurveName&amp;T($C$26),AE419)</f>
        <v>1.0046473975973991</v>
      </c>
      <c r="AH419" s="127">
        <f t="shared" si="13"/>
        <v>0</v>
      </c>
    </row>
    <row r="420" spans="30:34" x14ac:dyDescent="0.2">
      <c r="AD420" s="13" t="s">
        <v>94</v>
      </c>
      <c r="AE420" s="126">
        <f>_xll.qlCalendarAdvance(Calendar,AE419,AD420,BizDayConv)</f>
        <v>43334</v>
      </c>
      <c r="AF420" s="125">
        <f>_xll.qlYieldTSDiscount($C$31,AE420)</f>
        <v>1.0046538471574598</v>
      </c>
      <c r="AG420" s="125">
        <f>_xll.xlShmInterpDisc(CurveName&amp;T($C$26),AE420)</f>
        <v>1.0046538471574598</v>
      </c>
      <c r="AH420" s="127">
        <f t="shared" si="13"/>
        <v>0</v>
      </c>
    </row>
    <row r="421" spans="30:34" x14ac:dyDescent="0.2">
      <c r="AD421" s="13" t="s">
        <v>94</v>
      </c>
      <c r="AE421" s="126">
        <f>_xll.qlCalendarAdvance(Calendar,AE420,AD421,BizDayConv)</f>
        <v>43335</v>
      </c>
      <c r="AF421" s="125">
        <f>_xll.qlYieldTSDiscount($C$31,AE421)</f>
        <v>1.0046602897376189</v>
      </c>
      <c r="AG421" s="125">
        <f>_xll.xlShmInterpDisc(CurveName&amp;T($C$26),AE421)</f>
        <v>1.0046602897376189</v>
      </c>
      <c r="AH421" s="127">
        <f t="shared" si="13"/>
        <v>0</v>
      </c>
    </row>
    <row r="422" spans="30:34" x14ac:dyDescent="0.2">
      <c r="AD422" s="13" t="s">
        <v>94</v>
      </c>
      <c r="AE422" s="126">
        <f>_xll.qlCalendarAdvance(Calendar,AE421,AD422,BizDayConv)</f>
        <v>43336</v>
      </c>
      <c r="AF422" s="125">
        <f>_xll.qlYieldTSDiscount($C$31,AE422)</f>
        <v>1.0046667251876924</v>
      </c>
      <c r="AG422" s="125">
        <f>_xll.xlShmInterpDisc(CurveName&amp;T($C$26),AE422)</f>
        <v>1.0046667251876924</v>
      </c>
      <c r="AH422" s="127">
        <f t="shared" si="13"/>
        <v>0</v>
      </c>
    </row>
    <row r="423" spans="30:34" x14ac:dyDescent="0.2">
      <c r="AD423" s="13" t="s">
        <v>94</v>
      </c>
      <c r="AE423" s="126">
        <f>_xll.qlCalendarAdvance(Calendar,AE422,AD423,BizDayConv)</f>
        <v>43339</v>
      </c>
      <c r="AF423" s="125">
        <f>_xll.qlYieldTSDiscount($C$31,AE423)</f>
        <v>1.0046859872418392</v>
      </c>
      <c r="AG423" s="125">
        <f>_xll.xlShmInterpDisc(CurveName&amp;T($C$26),AE423)</f>
        <v>1.0046859872418392</v>
      </c>
      <c r="AH423" s="127">
        <f t="shared" si="13"/>
        <v>0</v>
      </c>
    </row>
    <row r="424" spans="30:34" x14ac:dyDescent="0.2">
      <c r="AD424" s="13" t="s">
        <v>94</v>
      </c>
      <c r="AE424" s="126">
        <f>_xll.qlCalendarAdvance(Calendar,AE423,AD424,BizDayConv)</f>
        <v>43340</v>
      </c>
      <c r="AF424" s="125">
        <f>_xll.qlYieldTSDiscount($C$31,AE424)</f>
        <v>1.0046923926514371</v>
      </c>
      <c r="AG424" s="125">
        <f>_xll.xlShmInterpDisc(CurveName&amp;T($C$26),AE424)</f>
        <v>1.0046923926514371</v>
      </c>
      <c r="AH424" s="127">
        <f t="shared" si="13"/>
        <v>0</v>
      </c>
    </row>
    <row r="425" spans="30:34" x14ac:dyDescent="0.2">
      <c r="AD425" s="13" t="s">
        <v>94</v>
      </c>
      <c r="AE425" s="126">
        <f>_xll.qlCalendarAdvance(Calendar,AE424,AD425,BizDayConv)</f>
        <v>43341</v>
      </c>
      <c r="AF425" s="125">
        <f>_xll.qlYieldTSDiscount($C$31,AE425)</f>
        <v>1.0046987901663096</v>
      </c>
      <c r="AG425" s="125">
        <f>_xll.xlShmInterpDisc(CurveName&amp;T($C$26),AE425)</f>
        <v>1.0046987901663096</v>
      </c>
      <c r="AH425" s="127">
        <f t="shared" si="13"/>
        <v>0</v>
      </c>
    </row>
    <row r="426" spans="30:34" x14ac:dyDescent="0.2">
      <c r="AD426" s="13" t="s">
        <v>94</v>
      </c>
      <c r="AE426" s="126">
        <f>_xll.qlCalendarAdvance(Calendar,AE425,AD426,BizDayConv)</f>
        <v>43342</v>
      </c>
      <c r="AF426" s="125">
        <f>_xll.qlYieldTSDiscount($C$31,AE426)</f>
        <v>1.0047051796307853</v>
      </c>
      <c r="AG426" s="125">
        <f>_xll.xlShmInterpDisc(CurveName&amp;T($C$26),AE426)</f>
        <v>1.0047051796307853</v>
      </c>
      <c r="AH426" s="127">
        <f t="shared" si="13"/>
        <v>0</v>
      </c>
    </row>
    <row r="427" spans="30:34" x14ac:dyDescent="0.2">
      <c r="AD427" s="13" t="s">
        <v>94</v>
      </c>
      <c r="AE427" s="126">
        <f>_xll.qlCalendarAdvance(Calendar,AE426,AD427,BizDayConv)</f>
        <v>43343</v>
      </c>
      <c r="AF427" s="125">
        <f>_xll.qlYieldTSDiscount($C$31,AE427)</f>
        <v>1.0047115608882777</v>
      </c>
      <c r="AG427" s="125">
        <f>_xll.xlShmInterpDisc(CurveName&amp;T($C$26),AE427)</f>
        <v>1.0047115608882777</v>
      </c>
      <c r="AH427" s="127">
        <f t="shared" si="13"/>
        <v>0</v>
      </c>
    </row>
    <row r="428" spans="30:34" x14ac:dyDescent="0.2">
      <c r="AD428" s="13" t="s">
        <v>94</v>
      </c>
      <c r="AE428" s="126">
        <f>_xll.qlCalendarAdvance(Calendar,AE427,AD428,BizDayConv)</f>
        <v>43346</v>
      </c>
      <c r="AF428" s="125">
        <f>_xll.qlYieldTSDiscount($C$31,AE428)</f>
        <v>1.0047306538392708</v>
      </c>
      <c r="AG428" s="125">
        <f>_xll.xlShmInterpDisc(CurveName&amp;T($C$26),AE428)</f>
        <v>1.0047306538392708</v>
      </c>
      <c r="AH428" s="127">
        <f t="shared" si="13"/>
        <v>0</v>
      </c>
    </row>
    <row r="429" spans="30:34" x14ac:dyDescent="0.2">
      <c r="AD429" s="13" t="s">
        <v>94</v>
      </c>
      <c r="AE429" s="126">
        <f>_xll.qlCalendarAdvance(Calendar,AE428,AD429,BizDayConv)</f>
        <v>43347</v>
      </c>
      <c r="AF429" s="125">
        <f>_xll.qlYieldTSDiscount($C$31,AE429)</f>
        <v>1.0047370006846723</v>
      </c>
      <c r="AG429" s="125">
        <f>_xll.xlShmInterpDisc(CurveName&amp;T($C$26),AE429)</f>
        <v>1.0047370006846723</v>
      </c>
      <c r="AH429" s="127">
        <f t="shared" si="13"/>
        <v>0</v>
      </c>
    </row>
    <row r="430" spans="30:34" x14ac:dyDescent="0.2">
      <c r="AD430" s="13" t="s">
        <v>94</v>
      </c>
      <c r="AE430" s="126">
        <f>_xll.qlCalendarAdvance(Calendar,AE429,AD430,BizDayConv)</f>
        <v>43348</v>
      </c>
      <c r="AF430" s="125">
        <f>_xll.qlYieldTSDiscount($C$31,AE430)</f>
        <v>1.0047433385264382</v>
      </c>
      <c r="AG430" s="125">
        <f>_xll.xlShmInterpDisc(CurveName&amp;T($C$26),AE430)</f>
        <v>1.0047433385264382</v>
      </c>
      <c r="AH430" s="127">
        <f t="shared" si="13"/>
        <v>0</v>
      </c>
    </row>
    <row r="431" spans="30:34" x14ac:dyDescent="0.2">
      <c r="AD431" s="13" t="s">
        <v>94</v>
      </c>
      <c r="AE431" s="126">
        <f>_xll.qlCalendarAdvance(Calendar,AE430,AD431,BizDayConv)</f>
        <v>43349</v>
      </c>
      <c r="AF431" s="125">
        <f>_xll.qlYieldTSDiscount($C$31,AE431)</f>
        <v>1.0047496672024936</v>
      </c>
      <c r="AG431" s="125">
        <f>_xll.xlShmInterpDisc(CurveName&amp;T($C$26),AE431)</f>
        <v>1.0047496672024936</v>
      </c>
      <c r="AH431" s="127">
        <f t="shared" si="13"/>
        <v>0</v>
      </c>
    </row>
    <row r="432" spans="30:34" x14ac:dyDescent="0.2">
      <c r="AD432" s="13" t="s">
        <v>94</v>
      </c>
      <c r="AE432" s="126">
        <f>_xll.qlCalendarAdvance(Calendar,AE431,AD432,BizDayConv)</f>
        <v>43350</v>
      </c>
      <c r="AF432" s="125">
        <f>_xll.qlYieldTSDiscount($C$31,AE432)</f>
        <v>1.0047559865498494</v>
      </c>
      <c r="AG432" s="125">
        <f>_xll.xlShmInterpDisc(CurveName&amp;T($C$26),AE432)</f>
        <v>1.0047559865498494</v>
      </c>
      <c r="AH432" s="127">
        <f t="shared" si="13"/>
        <v>0</v>
      </c>
    </row>
    <row r="433" spans="30:34" x14ac:dyDescent="0.2">
      <c r="AD433" s="13" t="s">
        <v>94</v>
      </c>
      <c r="AE433" s="126">
        <f>_xll.qlCalendarAdvance(Calendar,AE432,AD433,BizDayConv)</f>
        <v>43353</v>
      </c>
      <c r="AF433" s="125">
        <f>_xll.qlYieldTSDiscount($C$31,AE433)</f>
        <v>1.0047748869761031</v>
      </c>
      <c r="AG433" s="125">
        <f>_xll.xlShmInterpDisc(CurveName&amp;T($C$26),AE433)</f>
        <v>1.0047748869761031</v>
      </c>
      <c r="AH433" s="127">
        <f t="shared" si="13"/>
        <v>0</v>
      </c>
    </row>
    <row r="434" spans="30:34" x14ac:dyDescent="0.2">
      <c r="AD434" s="13" t="s">
        <v>94</v>
      </c>
      <c r="AE434" s="126">
        <f>_xll.qlCalendarAdvance(Calendar,AE433,AD434,BizDayConv)</f>
        <v>43354</v>
      </c>
      <c r="AF434" s="125">
        <f>_xll.qlYieldTSDiscount($C$31,AE434)</f>
        <v>1.0047811673604707</v>
      </c>
      <c r="AG434" s="125">
        <f>_xll.xlShmInterpDisc(CurveName&amp;T($C$26),AE434)</f>
        <v>1.0047811673604707</v>
      </c>
      <c r="AH434" s="127">
        <f t="shared" si="13"/>
        <v>0</v>
      </c>
    </row>
    <row r="435" spans="30:34" x14ac:dyDescent="0.2">
      <c r="AD435" s="13" t="s">
        <v>94</v>
      </c>
      <c r="AE435" s="126">
        <f>_xll.qlCalendarAdvance(Calendar,AE434,AD435,BizDayConv)</f>
        <v>43355</v>
      </c>
      <c r="AF435" s="125">
        <f>_xll.qlYieldTSDiscount($C$31,AE435)</f>
        <v>1.0047874375874697</v>
      </c>
      <c r="AG435" s="125">
        <f>_xll.xlShmInterpDisc(CurveName&amp;T($C$26),AE435)</f>
        <v>1.0047874375874697</v>
      </c>
      <c r="AH435" s="127">
        <f t="shared" si="13"/>
        <v>0</v>
      </c>
    </row>
    <row r="436" spans="30:34" x14ac:dyDescent="0.2">
      <c r="AD436" s="13" t="s">
        <v>94</v>
      </c>
      <c r="AE436" s="126">
        <f>_xll.qlCalendarAdvance(Calendar,AE435,AD436,BizDayConv)</f>
        <v>43356</v>
      </c>
      <c r="AF436" s="125">
        <f>_xll.qlYieldTSDiscount($C$31,AE436)</f>
        <v>1.004793697488622</v>
      </c>
      <c r="AG436" s="125">
        <f>_xll.xlShmInterpDisc(CurveName&amp;T($C$26),AE436)</f>
        <v>1.004793697488622</v>
      </c>
      <c r="AH436" s="127">
        <f t="shared" si="13"/>
        <v>0</v>
      </c>
    </row>
    <row r="437" spans="30:34" x14ac:dyDescent="0.2">
      <c r="AD437" s="13" t="s">
        <v>94</v>
      </c>
      <c r="AE437" s="126">
        <f>_xll.qlCalendarAdvance(Calendar,AE436,AD437,BizDayConv)</f>
        <v>43357</v>
      </c>
      <c r="AF437" s="125">
        <f>_xll.qlYieldTSDiscount($C$31,AE437)</f>
        <v>1.0047999468945346</v>
      </c>
      <c r="AG437" s="125">
        <f>_xll.xlShmInterpDisc(CurveName&amp;T($C$26),AE437)</f>
        <v>1.0047999468945346</v>
      </c>
      <c r="AH437" s="127">
        <f t="shared" si="13"/>
        <v>0</v>
      </c>
    </row>
    <row r="438" spans="30:34" x14ac:dyDescent="0.2">
      <c r="AD438" s="13" t="s">
        <v>94</v>
      </c>
      <c r="AE438" s="126">
        <f>_xll.qlCalendarAdvance(Calendar,AE437,AD438,BizDayConv)</f>
        <v>43360</v>
      </c>
      <c r="AF438" s="125">
        <f>_xll.qlYieldTSDiscount($C$31,AE438)</f>
        <v>1.0048186304331799</v>
      </c>
      <c r="AG438" s="125">
        <f>_xll.xlShmInterpDisc(CurveName&amp;T($C$26),AE438)</f>
        <v>1.0048186304331799</v>
      </c>
      <c r="AH438" s="127">
        <f t="shared" si="13"/>
        <v>0</v>
      </c>
    </row>
    <row r="439" spans="30:34" x14ac:dyDescent="0.2">
      <c r="AD439" s="13" t="s">
        <v>94</v>
      </c>
      <c r="AE439" s="126">
        <f>_xll.qlCalendarAdvance(Calendar,AE438,AD439,BizDayConv)</f>
        <v>43361</v>
      </c>
      <c r="AF439" s="125">
        <f>_xll.qlYieldTSDiscount($C$31,AE439)</f>
        <v>1.0048248361459056</v>
      </c>
      <c r="AG439" s="125">
        <f>_xll.xlShmInterpDisc(CurveName&amp;T($C$26),AE439)</f>
        <v>1.0048248361459056</v>
      </c>
      <c r="AH439" s="127">
        <f t="shared" si="13"/>
        <v>0</v>
      </c>
    </row>
    <row r="440" spans="30:34" x14ac:dyDescent="0.2">
      <c r="AD440" s="13" t="s">
        <v>94</v>
      </c>
      <c r="AE440" s="126">
        <f>_xll.qlCalendarAdvance(Calendar,AE439,AD440,BizDayConv)</f>
        <v>43362</v>
      </c>
      <c r="AF440" s="125">
        <f>_xll.qlYieldTSDiscount($C$31,AE440)</f>
        <v>1.0048310305027031</v>
      </c>
      <c r="AG440" s="125">
        <f>_xll.xlShmInterpDisc(CurveName&amp;T($C$26),AE440)</f>
        <v>1.0048310305027031</v>
      </c>
      <c r="AH440" s="127">
        <f t="shared" si="13"/>
        <v>0</v>
      </c>
    </row>
    <row r="441" spans="30:34" x14ac:dyDescent="0.2">
      <c r="AD441" s="13" t="s">
        <v>94</v>
      </c>
      <c r="AE441" s="126">
        <f>_xll.qlCalendarAdvance(Calendar,AE440,AD441,BizDayConv)</f>
        <v>43363</v>
      </c>
      <c r="AF441" s="125">
        <f>_xll.qlYieldTSDiscount($C$31,AE441)</f>
        <v>1.00483721332869</v>
      </c>
      <c r="AG441" s="125">
        <f>_xll.xlShmInterpDisc(CurveName&amp;T($C$26),AE441)</f>
        <v>1.00483721332869</v>
      </c>
      <c r="AH441" s="127">
        <f t="shared" si="13"/>
        <v>0</v>
      </c>
    </row>
    <row r="442" spans="30:34" x14ac:dyDescent="0.2">
      <c r="AD442" s="13" t="s">
        <v>94</v>
      </c>
      <c r="AE442" s="126">
        <f>_xll.qlCalendarAdvance(Calendar,AE441,AD442,BizDayConv)</f>
        <v>43364</v>
      </c>
      <c r="AF442" s="125">
        <f>_xll.qlYieldTSDiscount($C$31,AE442)</f>
        <v>1.0048433857741994</v>
      </c>
      <c r="AG442" s="125">
        <f>_xll.xlShmInterpDisc(CurveName&amp;T($C$26),AE442)</f>
        <v>1.0048433857741994</v>
      </c>
      <c r="AH442" s="127">
        <f t="shared" si="13"/>
        <v>0</v>
      </c>
    </row>
    <row r="443" spans="30:34" x14ac:dyDescent="0.2">
      <c r="AD443" s="13" t="s">
        <v>94</v>
      </c>
      <c r="AE443" s="126">
        <f>_xll.qlCalendarAdvance(Calendar,AE442,AD443,BizDayConv)</f>
        <v>43367</v>
      </c>
      <c r="AF443" s="125">
        <f>_xll.qlYieldTSDiscount($C$31,AE443)</f>
        <v>1.0048618486110974</v>
      </c>
      <c r="AG443" s="125">
        <f>_xll.xlShmInterpDisc(CurveName&amp;T($C$26),AE443)</f>
        <v>1.0048618486110974</v>
      </c>
      <c r="AH443" s="127">
        <f t="shared" si="13"/>
        <v>0</v>
      </c>
    </row>
    <row r="444" spans="30:34" x14ac:dyDescent="0.2">
      <c r="AD444" s="13" t="s">
        <v>94</v>
      </c>
      <c r="AE444" s="126">
        <f>_xll.qlCalendarAdvance(Calendar,AE443,AD444,BizDayConv)</f>
        <v>43368</v>
      </c>
      <c r="AF444" s="125">
        <f>_xll.qlYieldTSDiscount($C$31,AE444)</f>
        <v>1.0048679847992226</v>
      </c>
      <c r="AG444" s="125">
        <f>_xll.xlShmInterpDisc(CurveName&amp;T($C$26),AE444)</f>
        <v>1.0048679847992226</v>
      </c>
      <c r="AH444" s="127">
        <f t="shared" si="13"/>
        <v>0</v>
      </c>
    </row>
    <row r="445" spans="30:34" x14ac:dyDescent="0.2">
      <c r="AD445" s="13" t="s">
        <v>94</v>
      </c>
      <c r="AE445" s="126">
        <f>_xll.qlCalendarAdvance(Calendar,AE444,AD445,BizDayConv)</f>
        <v>43369</v>
      </c>
      <c r="AF445" s="125">
        <f>_xll.qlYieldTSDiscount($C$31,AE445)</f>
        <v>1.0048741119804585</v>
      </c>
      <c r="AG445" s="125">
        <f>_xll.xlShmInterpDisc(CurveName&amp;T($C$26),AE445)</f>
        <v>1.0048741119804585</v>
      </c>
      <c r="AH445" s="127">
        <f t="shared" si="13"/>
        <v>0</v>
      </c>
    </row>
    <row r="446" spans="30:34" x14ac:dyDescent="0.2">
      <c r="AD446" s="13" t="s">
        <v>94</v>
      </c>
      <c r="AE446" s="126">
        <f>_xll.qlCalendarAdvance(Calendar,AE445,AD446,BizDayConv)</f>
        <v>43370</v>
      </c>
      <c r="AF446" s="125">
        <f>_xll.qlYieldTSDiscount($C$31,AE446)</f>
        <v>1.0048802301783322</v>
      </c>
      <c r="AG446" s="125">
        <f>_xll.xlShmInterpDisc(CurveName&amp;T($C$26),AE446)</f>
        <v>1.0048802301783322</v>
      </c>
      <c r="AH446" s="127">
        <f t="shared" si="13"/>
        <v>0</v>
      </c>
    </row>
    <row r="447" spans="30:34" x14ac:dyDescent="0.2">
      <c r="AD447" s="13" t="s">
        <v>94</v>
      </c>
      <c r="AE447" s="126">
        <f>_xll.qlCalendarAdvance(Calendar,AE446,AD447,BizDayConv)</f>
        <v>43371</v>
      </c>
      <c r="AF447" s="125">
        <f>_xll.qlYieldTSDiscount($C$31,AE447)</f>
        <v>1.0048863394166423</v>
      </c>
      <c r="AG447" s="125">
        <f>_xll.xlShmInterpDisc(CurveName&amp;T($C$26),AE447)</f>
        <v>1.0048863394166423</v>
      </c>
      <c r="AH447" s="127">
        <f t="shared" si="13"/>
        <v>0</v>
      </c>
    </row>
    <row r="448" spans="30:34" x14ac:dyDescent="0.2">
      <c r="AD448" s="13" t="s">
        <v>94</v>
      </c>
      <c r="AE448" s="126">
        <f>_xll.qlCalendarAdvance(Calendar,AE447,AD448,BizDayConv)</f>
        <v>43374</v>
      </c>
      <c r="AF448" s="125">
        <f>_xll.qlYieldTSDiscount($C$31,AE448)</f>
        <v>1.004904613616262</v>
      </c>
      <c r="AG448" s="125">
        <f>_xll.xlShmInterpDisc(CurveName&amp;T($C$26),AE448)</f>
        <v>1.004904613616262</v>
      </c>
      <c r="AH448" s="127">
        <f t="shared" si="13"/>
        <v>0</v>
      </c>
    </row>
    <row r="449" spans="30:34" x14ac:dyDescent="0.2">
      <c r="AD449" s="13" t="s">
        <v>94</v>
      </c>
      <c r="AE449" s="126">
        <f>_xll.qlCalendarAdvance(Calendar,AE448,AD449,BizDayConv)</f>
        <v>43375</v>
      </c>
      <c r="AF449" s="125">
        <f>_xll.qlYieldTSDiscount($C$31,AE449)</f>
        <v>1.0049106872597484</v>
      </c>
      <c r="AG449" s="125">
        <f>_xll.xlShmInterpDisc(CurveName&amp;T($C$26),AE449)</f>
        <v>1.0049106872597484</v>
      </c>
      <c r="AH449" s="127">
        <f t="shared" si="13"/>
        <v>0</v>
      </c>
    </row>
    <row r="450" spans="30:34" x14ac:dyDescent="0.2">
      <c r="AD450" s="13" t="s">
        <v>94</v>
      </c>
      <c r="AE450" s="126">
        <f>_xll.qlCalendarAdvance(Calendar,AE449,AD450,BizDayConv)</f>
        <v>43376</v>
      </c>
      <c r="AF450" s="125">
        <f>_xll.qlYieldTSDiscount($C$31,AE450)</f>
        <v>1.0049167520667468</v>
      </c>
      <c r="AG450" s="125">
        <f>_xll.xlShmInterpDisc(CurveName&amp;T($C$26),AE450)</f>
        <v>1.0049167520667468</v>
      </c>
      <c r="AH450" s="127">
        <f t="shared" si="13"/>
        <v>0</v>
      </c>
    </row>
    <row r="451" spans="30:34" x14ac:dyDescent="0.2">
      <c r="AD451" s="13" t="s">
        <v>94</v>
      </c>
      <c r="AE451" s="126">
        <f>_xll.qlCalendarAdvance(Calendar,AE450,AD451,BizDayConv)</f>
        <v>43377</v>
      </c>
      <c r="AF451" s="125">
        <f>_xll.qlYieldTSDiscount($C$31,AE451)</f>
        <v>1.0049228080626884</v>
      </c>
      <c r="AG451" s="125">
        <f>_xll.xlShmInterpDisc(CurveName&amp;T($C$26),AE451)</f>
        <v>1.0049228080626884</v>
      </c>
      <c r="AH451" s="127">
        <f t="shared" si="13"/>
        <v>0</v>
      </c>
    </row>
    <row r="452" spans="30:34" x14ac:dyDescent="0.2">
      <c r="AD452" s="13" t="s">
        <v>94</v>
      </c>
      <c r="AE452" s="126">
        <f>_xll.qlCalendarAdvance(Calendar,AE451,AD452,BizDayConv)</f>
        <v>43378</v>
      </c>
      <c r="AF452" s="125">
        <f>_xll.qlYieldTSDiscount($C$31,AE452)</f>
        <v>1.0049288552732767</v>
      </c>
      <c r="AG452" s="125">
        <f>_xll.xlShmInterpDisc(CurveName&amp;T($C$26),AE452)</f>
        <v>1.0049288552732767</v>
      </c>
      <c r="AH452" s="127">
        <f t="shared" ref="AH452:AH515" si="14">(AF452-AG452)</f>
        <v>0</v>
      </c>
    </row>
    <row r="453" spans="30:34" x14ac:dyDescent="0.2">
      <c r="AD453" s="13" t="s">
        <v>94</v>
      </c>
      <c r="AE453" s="126">
        <f>_xll.qlCalendarAdvance(Calendar,AE452,AD453,BizDayConv)</f>
        <v>43381</v>
      </c>
      <c r="AF453" s="125">
        <f>_xll.qlYieldTSDiscount($C$31,AE453)</f>
        <v>1.004946944454036</v>
      </c>
      <c r="AG453" s="125">
        <f>_xll.xlShmInterpDisc(CurveName&amp;T($C$26),AE453)</f>
        <v>1.004946944454036</v>
      </c>
      <c r="AH453" s="127">
        <f t="shared" si="14"/>
        <v>0</v>
      </c>
    </row>
    <row r="454" spans="30:34" x14ac:dyDescent="0.2">
      <c r="AD454" s="13" t="s">
        <v>94</v>
      </c>
      <c r="AE454" s="126">
        <f>_xll.qlCalendarAdvance(Calendar,AE453,AD454,BizDayConv)</f>
        <v>43382</v>
      </c>
      <c r="AF454" s="125">
        <f>_xll.qlYieldTSDiscount($C$31,AE454)</f>
        <v>1.0049529567856863</v>
      </c>
      <c r="AG454" s="125">
        <f>_xll.xlShmInterpDisc(CurveName&amp;T($C$26),AE454)</f>
        <v>1.0049529567856863</v>
      </c>
      <c r="AH454" s="127">
        <f t="shared" si="14"/>
        <v>0</v>
      </c>
    </row>
    <row r="455" spans="30:34" x14ac:dyDescent="0.2">
      <c r="AD455" s="13" t="s">
        <v>94</v>
      </c>
      <c r="AE455" s="126">
        <f>_xll.qlCalendarAdvance(Calendar,AE454,AD455,BizDayConv)</f>
        <v>43383</v>
      </c>
      <c r="AF455" s="125">
        <f>_xll.qlYieldTSDiscount($C$31,AE455)</f>
        <v>1.0049589604645819</v>
      </c>
      <c r="AG455" s="125">
        <f>_xll.xlShmInterpDisc(CurveName&amp;T($C$26),AE455)</f>
        <v>1.0049589604645819</v>
      </c>
      <c r="AH455" s="127">
        <f t="shared" si="14"/>
        <v>0</v>
      </c>
    </row>
    <row r="456" spans="30:34" x14ac:dyDescent="0.2">
      <c r="AD456" s="13" t="s">
        <v>94</v>
      </c>
      <c r="AE456" s="126">
        <f>_xll.qlCalendarAdvance(Calendar,AE455,AD456,BizDayConv)</f>
        <v>43384</v>
      </c>
      <c r="AF456" s="125">
        <f>_xll.qlYieldTSDiscount($C$31,AE456)</f>
        <v>1.0049649555180586</v>
      </c>
      <c r="AG456" s="125">
        <f>_xll.xlShmInterpDisc(CurveName&amp;T($C$26),AE456)</f>
        <v>1.0049649555180586</v>
      </c>
      <c r="AH456" s="127">
        <f t="shared" si="14"/>
        <v>0</v>
      </c>
    </row>
    <row r="457" spans="30:34" x14ac:dyDescent="0.2">
      <c r="AD457" s="13" t="s">
        <v>94</v>
      </c>
      <c r="AE457" s="126">
        <f>_xll.qlCalendarAdvance(Calendar,AE456,AD457,BizDayConv)</f>
        <v>43385</v>
      </c>
      <c r="AF457" s="125">
        <f>_xll.qlYieldTSDiscount($C$31,AE457)</f>
        <v>1.0049709419737245</v>
      </c>
      <c r="AG457" s="125">
        <f>_xll.xlShmInterpDisc(CurveName&amp;T($C$26),AE457)</f>
        <v>1.0049709419737245</v>
      </c>
      <c r="AH457" s="127">
        <f t="shared" si="14"/>
        <v>0</v>
      </c>
    </row>
    <row r="458" spans="30:34" x14ac:dyDescent="0.2">
      <c r="AD458" s="13" t="s">
        <v>94</v>
      </c>
      <c r="AE458" s="126">
        <f>_xll.qlCalendarAdvance(Calendar,AE457,AD458,BizDayConv)</f>
        <v>43388</v>
      </c>
      <c r="AF458" s="125">
        <f>_xll.qlYieldTSDiscount($C$31,AE458)</f>
        <v>1.0049888500340221</v>
      </c>
      <c r="AG458" s="125">
        <f>_xll.xlShmInterpDisc(CurveName&amp;T($C$26),AE458)</f>
        <v>1.0049888500340221</v>
      </c>
      <c r="AH458" s="127">
        <f t="shared" si="14"/>
        <v>0</v>
      </c>
    </row>
    <row r="459" spans="30:34" x14ac:dyDescent="0.2">
      <c r="AD459" s="13" t="s">
        <v>94</v>
      </c>
      <c r="AE459" s="126">
        <f>_xll.qlCalendarAdvance(Calendar,AE458,AD459,BizDayConv)</f>
        <v>43389</v>
      </c>
      <c r="AF459" s="125">
        <f>_xll.qlYieldTSDiscount($C$31,AE459)</f>
        <v>1.00499480237997</v>
      </c>
      <c r="AG459" s="125">
        <f>_xll.xlShmInterpDisc(CurveName&amp;T($C$26),AE459)</f>
        <v>1.00499480237997</v>
      </c>
      <c r="AH459" s="127">
        <f t="shared" si="14"/>
        <v>0</v>
      </c>
    </row>
    <row r="460" spans="30:34" x14ac:dyDescent="0.2">
      <c r="AD460" s="13" t="s">
        <v>94</v>
      </c>
      <c r="AE460" s="126">
        <f>_xll.qlCalendarAdvance(Calendar,AE459,AD460,BizDayConv)</f>
        <v>43390</v>
      </c>
      <c r="AF460" s="125">
        <f>_xll.qlYieldTSDiscount($C$31,AE460)</f>
        <v>1.0050007462702302</v>
      </c>
      <c r="AG460" s="125">
        <f>_xll.xlShmInterpDisc(CurveName&amp;T($C$26),AE460)</f>
        <v>1.0050007462702302</v>
      </c>
      <c r="AH460" s="127">
        <f t="shared" si="14"/>
        <v>0</v>
      </c>
    </row>
    <row r="461" spans="30:34" x14ac:dyDescent="0.2">
      <c r="AD461" s="13" t="s">
        <v>94</v>
      </c>
      <c r="AE461" s="126">
        <f>_xll.qlCalendarAdvance(Calendar,AE460,AD461,BizDayConv)</f>
        <v>43391</v>
      </c>
      <c r="AF461" s="125">
        <f>_xll.qlYieldTSDiscount($C$31,AE461)</f>
        <v>1.0050066817340439</v>
      </c>
      <c r="AG461" s="125">
        <f>_xll.xlShmInterpDisc(CurveName&amp;T($C$26),AE461)</f>
        <v>1.0050066817340439</v>
      </c>
      <c r="AH461" s="127">
        <f t="shared" si="14"/>
        <v>0</v>
      </c>
    </row>
    <row r="462" spans="30:34" x14ac:dyDescent="0.2">
      <c r="AD462" s="13" t="s">
        <v>94</v>
      </c>
      <c r="AE462" s="126">
        <f>_xll.qlCalendarAdvance(Calendar,AE461,AD462,BizDayConv)</f>
        <v>43392</v>
      </c>
      <c r="AF462" s="125">
        <f>_xll.qlYieldTSDiscount($C$31,AE462)</f>
        <v>1.0050126088009244</v>
      </c>
      <c r="AG462" s="125">
        <f>_xll.xlShmInterpDisc(CurveName&amp;T($C$26),AE462)</f>
        <v>1.0050126088009244</v>
      </c>
      <c r="AH462" s="127">
        <f t="shared" si="14"/>
        <v>0</v>
      </c>
    </row>
    <row r="463" spans="30:34" x14ac:dyDescent="0.2">
      <c r="AD463" s="13" t="s">
        <v>94</v>
      </c>
      <c r="AE463" s="126">
        <f>_xll.qlCalendarAdvance(Calendar,AE462,AD463,BizDayConv)</f>
        <v>43395</v>
      </c>
      <c r="AF463" s="125">
        <f>_xll.qlYieldTSDiscount($C$31,AE463)</f>
        <v>1.0050303399191813</v>
      </c>
      <c r="AG463" s="125">
        <f>_xll.xlShmInterpDisc(CurveName&amp;T($C$26),AE463)</f>
        <v>1.0050303399191813</v>
      </c>
      <c r="AH463" s="127">
        <f t="shared" si="14"/>
        <v>0</v>
      </c>
    </row>
    <row r="464" spans="30:34" x14ac:dyDescent="0.2">
      <c r="AD464" s="13" t="s">
        <v>94</v>
      </c>
      <c r="AE464" s="126">
        <f>_xll.qlCalendarAdvance(Calendar,AE463,AD464,BizDayConv)</f>
        <v>43396</v>
      </c>
      <c r="AF464" s="125">
        <f>_xll.qlYieldTSDiscount($C$31,AE464)</f>
        <v>1.0050362336989049</v>
      </c>
      <c r="AG464" s="125">
        <f>_xll.xlShmInterpDisc(CurveName&amp;T($C$26),AE464)</f>
        <v>1.0050362336989049</v>
      </c>
      <c r="AH464" s="127">
        <f t="shared" si="14"/>
        <v>0</v>
      </c>
    </row>
    <row r="465" spans="30:34" x14ac:dyDescent="0.2">
      <c r="AD465" s="13" t="s">
        <v>94</v>
      </c>
      <c r="AE465" s="126">
        <f>_xll.qlCalendarAdvance(Calendar,AE464,AD465,BizDayConv)</f>
        <v>43397</v>
      </c>
      <c r="AF465" s="125">
        <f>_xll.qlYieldTSDiscount($C$31,AE465)</f>
        <v>1.0050421192333443</v>
      </c>
      <c r="AG465" s="125">
        <f>_xll.xlShmInterpDisc(CurveName&amp;T($C$26),AE465)</f>
        <v>1.0050421192333443</v>
      </c>
      <c r="AH465" s="127">
        <f t="shared" si="14"/>
        <v>0</v>
      </c>
    </row>
    <row r="466" spans="30:34" x14ac:dyDescent="0.2">
      <c r="AD466" s="13" t="s">
        <v>94</v>
      </c>
      <c r="AE466" s="126">
        <f>_xll.qlCalendarAdvance(Calendar,AE465,AD466,BizDayConv)</f>
        <v>43398</v>
      </c>
      <c r="AF466" s="125">
        <f>_xll.qlYieldTSDiscount($C$31,AE466)</f>
        <v>1.0050479965536456</v>
      </c>
      <c r="AG466" s="125">
        <f>_xll.xlShmInterpDisc(CurveName&amp;T($C$26),AE466)</f>
        <v>1.0050479965536456</v>
      </c>
      <c r="AH466" s="127">
        <f t="shared" si="14"/>
        <v>0</v>
      </c>
    </row>
    <row r="467" spans="30:34" x14ac:dyDescent="0.2">
      <c r="AD467" s="13" t="s">
        <v>94</v>
      </c>
      <c r="AE467" s="126">
        <f>_xll.qlCalendarAdvance(Calendar,AE466,AD467,BizDayConv)</f>
        <v>43399</v>
      </c>
      <c r="AF467" s="125">
        <f>_xll.qlYieldTSDiscount($C$31,AE467)</f>
        <v>1.0050538656912278</v>
      </c>
      <c r="AG467" s="125">
        <f>_xll.xlShmInterpDisc(CurveName&amp;T($C$26),AE467)</f>
        <v>1.0050538656912278</v>
      </c>
      <c r="AH467" s="127">
        <f t="shared" si="14"/>
        <v>0</v>
      </c>
    </row>
    <row r="468" spans="30:34" x14ac:dyDescent="0.2">
      <c r="AD468" s="13" t="s">
        <v>94</v>
      </c>
      <c r="AE468" s="126">
        <f>_xll.qlCalendarAdvance(Calendar,AE467,AD468,BizDayConv)</f>
        <v>43402</v>
      </c>
      <c r="AF468" s="125">
        <f>_xll.qlYieldTSDiscount($C$31,AE468)</f>
        <v>1.0050714243259284</v>
      </c>
      <c r="AG468" s="125">
        <f>_xll.xlShmInterpDisc(CurveName&amp;T($C$26),AE468)</f>
        <v>1.0050714243259284</v>
      </c>
      <c r="AH468" s="127">
        <f t="shared" si="14"/>
        <v>0</v>
      </c>
    </row>
    <row r="469" spans="30:34" x14ac:dyDescent="0.2">
      <c r="AD469" s="13" t="s">
        <v>94</v>
      </c>
      <c r="AE469" s="126">
        <f>_xll.qlCalendarAdvance(Calendar,AE468,AD469,BizDayConv)</f>
        <v>43403</v>
      </c>
      <c r="AF469" s="125">
        <f>_xll.qlYieldTSDiscount($C$31,AE469)</f>
        <v>1.005077261052264</v>
      </c>
      <c r="AG469" s="125">
        <f>_xll.xlShmInterpDisc(CurveName&amp;T($C$26),AE469)</f>
        <v>1.005077261052264</v>
      </c>
      <c r="AH469" s="127">
        <f t="shared" si="14"/>
        <v>0</v>
      </c>
    </row>
    <row r="470" spans="30:34" x14ac:dyDescent="0.2">
      <c r="AD470" s="13" t="s">
        <v>94</v>
      </c>
      <c r="AE470" s="126">
        <f>_xll.qlCalendarAdvance(Calendar,AE469,AD470,BizDayConv)</f>
        <v>43404</v>
      </c>
      <c r="AF470" s="125">
        <f>_xll.qlYieldTSDiscount($C$31,AE470)</f>
        <v>1.0050830897570566</v>
      </c>
      <c r="AG470" s="125">
        <f>_xll.xlShmInterpDisc(CurveName&amp;T($C$26),AE470)</f>
        <v>1.0050830897570566</v>
      </c>
      <c r="AH470" s="127">
        <f t="shared" si="14"/>
        <v>0</v>
      </c>
    </row>
    <row r="471" spans="30:34" x14ac:dyDescent="0.2">
      <c r="AD471" s="13" t="s">
        <v>94</v>
      </c>
      <c r="AE471" s="126">
        <f>_xll.qlCalendarAdvance(Calendar,AE470,AD471,BizDayConv)</f>
        <v>43405</v>
      </c>
      <c r="AF471" s="125">
        <f>_xll.qlYieldTSDiscount($C$31,AE471)</f>
        <v>1.0050889104733585</v>
      </c>
      <c r="AG471" s="125">
        <f>_xll.xlShmInterpDisc(CurveName&amp;T($C$26),AE471)</f>
        <v>1.0050889104733585</v>
      </c>
      <c r="AH471" s="127">
        <f t="shared" si="14"/>
        <v>0</v>
      </c>
    </row>
    <row r="472" spans="30:34" x14ac:dyDescent="0.2">
      <c r="AD472" s="13" t="s">
        <v>94</v>
      </c>
      <c r="AE472" s="126">
        <f>_xll.qlCalendarAdvance(Calendar,AE471,AD472,BizDayConv)</f>
        <v>43406</v>
      </c>
      <c r="AF472" s="125">
        <f>_xll.qlYieldTSDiscount($C$31,AE472)</f>
        <v>1.0050947232344936</v>
      </c>
      <c r="AG472" s="125">
        <f>_xll.xlShmInterpDisc(CurveName&amp;T($C$26),AE472)</f>
        <v>1.0050947232344936</v>
      </c>
      <c r="AH472" s="127">
        <f t="shared" si="14"/>
        <v>0</v>
      </c>
    </row>
    <row r="473" spans="30:34" x14ac:dyDescent="0.2">
      <c r="AD473" s="13" t="s">
        <v>94</v>
      </c>
      <c r="AE473" s="126">
        <f>_xll.qlCalendarAdvance(Calendar,AE472,AD473,BizDayConv)</f>
        <v>43409</v>
      </c>
      <c r="AF473" s="125">
        <f>_xll.qlYieldTSDiscount($C$31,AE473)</f>
        <v>1.0051121141242243</v>
      </c>
      <c r="AG473" s="125">
        <f>_xll.xlShmInterpDisc(CurveName&amp;T($C$26),AE473)</f>
        <v>1.0051121141242243</v>
      </c>
      <c r="AH473" s="127">
        <f t="shared" si="14"/>
        <v>0</v>
      </c>
    </row>
    <row r="474" spans="30:34" x14ac:dyDescent="0.2">
      <c r="AD474" s="13" t="s">
        <v>94</v>
      </c>
      <c r="AE474" s="126">
        <f>_xll.qlCalendarAdvance(Calendar,AE473,AD474,BizDayConv)</f>
        <v>43410</v>
      </c>
      <c r="AF474" s="125">
        <f>_xll.qlYieldTSDiscount($C$31,AE474)</f>
        <v>1.0051178954033795</v>
      </c>
      <c r="AG474" s="125">
        <f>_xll.xlShmInterpDisc(CurveName&amp;T($C$26),AE474)</f>
        <v>1.0051178954033795</v>
      </c>
      <c r="AH474" s="127">
        <f t="shared" si="14"/>
        <v>0</v>
      </c>
    </row>
    <row r="475" spans="30:34" x14ac:dyDescent="0.2">
      <c r="AD475" s="13" t="s">
        <v>94</v>
      </c>
      <c r="AE475" s="126">
        <f>_xll.qlCalendarAdvance(Calendar,AE474,AD475,BizDayConv)</f>
        <v>43411</v>
      </c>
      <c r="AF475" s="125">
        <f>_xll.qlYieldTSDiscount($C$31,AE475)</f>
        <v>1.0051236688980729</v>
      </c>
      <c r="AG475" s="125">
        <f>_xll.xlShmInterpDisc(CurveName&amp;T($C$26),AE475)</f>
        <v>1.0051236688980729</v>
      </c>
      <c r="AH475" s="127">
        <f t="shared" si="14"/>
        <v>0</v>
      </c>
    </row>
    <row r="476" spans="30:34" x14ac:dyDescent="0.2">
      <c r="AD476" s="13" t="s">
        <v>94</v>
      </c>
      <c r="AE476" s="126">
        <f>_xll.qlCalendarAdvance(Calendar,AE475,AD476,BizDayConv)</f>
        <v>43412</v>
      </c>
      <c r="AF476" s="125">
        <f>_xll.qlYieldTSDiscount($C$31,AE476)</f>
        <v>1.0051294346432624</v>
      </c>
      <c r="AG476" s="125">
        <f>_xll.xlShmInterpDisc(CurveName&amp;T($C$26),AE476)</f>
        <v>1.0051294346432624</v>
      </c>
      <c r="AH476" s="127">
        <f t="shared" si="14"/>
        <v>0</v>
      </c>
    </row>
    <row r="477" spans="30:34" x14ac:dyDescent="0.2">
      <c r="AD477" s="13" t="s">
        <v>94</v>
      </c>
      <c r="AE477" s="126">
        <f>_xll.qlCalendarAdvance(Calendar,AE476,AD477,BizDayConv)</f>
        <v>43413</v>
      </c>
      <c r="AF477" s="125">
        <f>_xll.qlYieldTSDiscount($C$31,AE477)</f>
        <v>1.0051351926741781</v>
      </c>
      <c r="AG477" s="125">
        <f>_xll.xlShmInterpDisc(CurveName&amp;T($C$26),AE477)</f>
        <v>1.0051351926741781</v>
      </c>
      <c r="AH477" s="127">
        <f t="shared" si="14"/>
        <v>0</v>
      </c>
    </row>
    <row r="478" spans="30:34" x14ac:dyDescent="0.2">
      <c r="AD478" s="13" t="s">
        <v>94</v>
      </c>
      <c r="AE478" s="126">
        <f>_xll.qlCalendarAdvance(Calendar,AE477,AD478,BizDayConv)</f>
        <v>43416</v>
      </c>
      <c r="AF478" s="125">
        <f>_xll.qlYieldTSDiscount($C$31,AE478)</f>
        <v>1.0051524208376661</v>
      </c>
      <c r="AG478" s="125">
        <f>_xll.xlShmInterpDisc(CurveName&amp;T($C$26),AE478)</f>
        <v>1.0051524208376661</v>
      </c>
      <c r="AH478" s="127">
        <f t="shared" si="14"/>
        <v>0</v>
      </c>
    </row>
    <row r="479" spans="30:34" x14ac:dyDescent="0.2">
      <c r="AD479" s="13" t="s">
        <v>94</v>
      </c>
      <c r="AE479" s="126">
        <f>_xll.qlCalendarAdvance(Calendar,AE478,AD479,BizDayConv)</f>
        <v>43417</v>
      </c>
      <c r="AF479" s="125">
        <f>_xll.qlYieldTSDiscount($C$31,AE479)</f>
        <v>1.0051581483692325</v>
      </c>
      <c r="AG479" s="125">
        <f>_xll.xlShmInterpDisc(CurveName&amp;T($C$26),AE479)</f>
        <v>1.0051581483692325</v>
      </c>
      <c r="AH479" s="127">
        <f t="shared" si="14"/>
        <v>0</v>
      </c>
    </row>
    <row r="480" spans="30:34" x14ac:dyDescent="0.2">
      <c r="AD480" s="13" t="s">
        <v>94</v>
      </c>
      <c r="AE480" s="126">
        <f>_xll.qlCalendarAdvance(Calendar,AE479,AD480,BizDayConv)</f>
        <v>43418</v>
      </c>
      <c r="AF480" s="125">
        <f>_xll.qlYieldTSDiscount($C$31,AE480)</f>
        <v>1.0051638683667596</v>
      </c>
      <c r="AG480" s="125">
        <f>_xll.xlShmInterpDisc(CurveName&amp;T($C$26),AE480)</f>
        <v>1.0051638683667596</v>
      </c>
      <c r="AH480" s="127">
        <f t="shared" si="14"/>
        <v>0</v>
      </c>
    </row>
    <row r="481" spans="30:34" x14ac:dyDescent="0.2">
      <c r="AD481" s="13" t="s">
        <v>94</v>
      </c>
      <c r="AE481" s="126">
        <f>_xll.qlCalendarAdvance(Calendar,AE480,AD481,BizDayConv)</f>
        <v>43419</v>
      </c>
      <c r="AF481" s="125">
        <f>_xll.qlYieldTSDiscount($C$31,AE481)</f>
        <v>1.0051695808671117</v>
      </c>
      <c r="AG481" s="125">
        <f>_xll.xlShmInterpDisc(CurveName&amp;T($C$26),AE481)</f>
        <v>1.0051695808671117</v>
      </c>
      <c r="AH481" s="127">
        <f t="shared" si="14"/>
        <v>0</v>
      </c>
    </row>
    <row r="482" spans="30:34" x14ac:dyDescent="0.2">
      <c r="AD482" s="13" t="s">
        <v>94</v>
      </c>
      <c r="AE482" s="126">
        <f>_xll.qlCalendarAdvance(Calendar,AE481,AD482,BizDayConv)</f>
        <v>43420</v>
      </c>
      <c r="AF482" s="125">
        <f>_xll.qlYieldTSDiscount($C$31,AE482)</f>
        <v>1.0051752859074243</v>
      </c>
      <c r="AG482" s="125">
        <f>_xll.xlShmInterpDisc(CurveName&amp;T($C$26),AE482)</f>
        <v>1.0051752859074243</v>
      </c>
      <c r="AH482" s="127">
        <f t="shared" si="14"/>
        <v>0</v>
      </c>
    </row>
    <row r="483" spans="30:34" x14ac:dyDescent="0.2">
      <c r="AD483" s="13" t="s">
        <v>94</v>
      </c>
      <c r="AE483" s="126">
        <f>_xll.qlCalendarAdvance(Calendar,AE482,AD483,BizDayConv)</f>
        <v>43423</v>
      </c>
      <c r="AF483" s="125">
        <f>_xll.qlYieldTSDiscount($C$31,AE483)</f>
        <v>1.005192356643575</v>
      </c>
      <c r="AG483" s="125">
        <f>_xll.xlShmInterpDisc(CurveName&amp;T($C$26),AE483)</f>
        <v>1.005192356643575</v>
      </c>
      <c r="AH483" s="127">
        <f t="shared" si="14"/>
        <v>0</v>
      </c>
    </row>
    <row r="484" spans="30:34" x14ac:dyDescent="0.2">
      <c r="AD484" s="13" t="s">
        <v>94</v>
      </c>
      <c r="AE484" s="126">
        <f>_xll.qlCalendarAdvance(Calendar,AE483,AD484,BizDayConv)</f>
        <v>43424</v>
      </c>
      <c r="AF484" s="125">
        <f>_xll.qlYieldTSDiscount($C$31,AE484)</f>
        <v>1.0051980322205398</v>
      </c>
      <c r="AG484" s="125">
        <f>_xll.xlShmInterpDisc(CurveName&amp;T($C$26),AE484)</f>
        <v>1.0051980322205398</v>
      </c>
      <c r="AH484" s="127">
        <f t="shared" si="14"/>
        <v>0</v>
      </c>
    </row>
    <row r="485" spans="30:34" x14ac:dyDescent="0.2">
      <c r="AD485" s="13" t="s">
        <v>94</v>
      </c>
      <c r="AE485" s="126">
        <f>_xll.qlCalendarAdvance(Calendar,AE484,AD485,BizDayConv)</f>
        <v>43425</v>
      </c>
      <c r="AF485" s="125">
        <f>_xll.qlYieldTSDiscount($C$31,AE485)</f>
        <v>1.0052037005272314</v>
      </c>
      <c r="AG485" s="125">
        <f>_xll.xlShmInterpDisc(CurveName&amp;T($C$26),AE485)</f>
        <v>1.0052037005272314</v>
      </c>
      <c r="AH485" s="127">
        <f t="shared" si="14"/>
        <v>0</v>
      </c>
    </row>
    <row r="486" spans="30:34" x14ac:dyDescent="0.2">
      <c r="AD486" s="13" t="s">
        <v>94</v>
      </c>
      <c r="AE486" s="126">
        <f>_xll.qlCalendarAdvance(Calendar,AE485,AD486,BizDayConv)</f>
        <v>43426</v>
      </c>
      <c r="AF486" s="125">
        <f>_xll.qlYieldTSDiscount($C$31,AE486)</f>
        <v>1.0052093616024198</v>
      </c>
      <c r="AG486" s="125">
        <f>_xll.xlShmInterpDisc(CurveName&amp;T($C$26),AE486)</f>
        <v>1.0052093616024198</v>
      </c>
      <c r="AH486" s="127">
        <f t="shared" si="14"/>
        <v>0</v>
      </c>
    </row>
    <row r="487" spans="30:34" x14ac:dyDescent="0.2">
      <c r="AD487" s="13" t="s">
        <v>94</v>
      </c>
      <c r="AE487" s="126">
        <f>_xll.qlCalendarAdvance(Calendar,AE486,AD487,BizDayConv)</f>
        <v>43427</v>
      </c>
      <c r="AF487" s="125">
        <f>_xll.qlYieldTSDiscount($C$31,AE487)</f>
        <v>1.0052150154851478</v>
      </c>
      <c r="AG487" s="125">
        <f>_xll.xlShmInterpDisc(CurveName&amp;T($C$26),AE487)</f>
        <v>1.0052150154851478</v>
      </c>
      <c r="AH487" s="127">
        <f t="shared" si="14"/>
        <v>0</v>
      </c>
    </row>
    <row r="488" spans="30:34" x14ac:dyDescent="0.2">
      <c r="AD488" s="13" t="s">
        <v>94</v>
      </c>
      <c r="AE488" s="126">
        <f>_xll.qlCalendarAdvance(Calendar,AE487,AD488,BizDayConv)</f>
        <v>43430</v>
      </c>
      <c r="AF488" s="125">
        <f>_xll.qlYieldTSDiscount($C$31,AE488)</f>
        <v>1.0052319343730796</v>
      </c>
      <c r="AG488" s="125">
        <f>_xll.xlShmInterpDisc(CurveName&amp;T($C$26),AE488)</f>
        <v>1.0052319343730796</v>
      </c>
      <c r="AH488" s="127">
        <f t="shared" si="14"/>
        <v>0</v>
      </c>
    </row>
    <row r="489" spans="30:34" x14ac:dyDescent="0.2">
      <c r="AD489" s="13" t="s">
        <v>94</v>
      </c>
      <c r="AE489" s="126">
        <f>_xll.qlCalendarAdvance(Calendar,AE488,AD489,BizDayConv)</f>
        <v>43431</v>
      </c>
      <c r="AF489" s="125">
        <f>_xll.qlYieldTSDiscount($C$31,AE489)</f>
        <v>1.0052375598818384</v>
      </c>
      <c r="AG489" s="125">
        <f>_xll.xlShmInterpDisc(CurveName&amp;T($C$26),AE489)</f>
        <v>1.0052375598818384</v>
      </c>
      <c r="AH489" s="127">
        <f t="shared" si="14"/>
        <v>0</v>
      </c>
    </row>
    <row r="490" spans="30:34" x14ac:dyDescent="0.2">
      <c r="AD490" s="13" t="s">
        <v>94</v>
      </c>
      <c r="AE490" s="126">
        <f>_xll.qlCalendarAdvance(Calendar,AE489,AD490,BizDayConv)</f>
        <v>43432</v>
      </c>
      <c r="AF490" s="125">
        <f>_xll.qlYieldTSDiscount($C$31,AE490)</f>
        <v>1.0052431783974345</v>
      </c>
      <c r="AG490" s="125">
        <f>_xll.xlShmInterpDisc(CurveName&amp;T($C$26),AE490)</f>
        <v>1.0052431783974345</v>
      </c>
      <c r="AH490" s="127">
        <f t="shared" si="14"/>
        <v>0</v>
      </c>
    </row>
    <row r="491" spans="30:34" x14ac:dyDescent="0.2">
      <c r="AD491" s="13" t="s">
        <v>94</v>
      </c>
      <c r="AE491" s="126">
        <f>_xll.qlCalendarAdvance(Calendar,AE490,AD491,BizDayConv)</f>
        <v>43433</v>
      </c>
      <c r="AF491" s="125">
        <f>_xll.qlYieldTSDiscount($C$31,AE491)</f>
        <v>1.0052487899605451</v>
      </c>
      <c r="AG491" s="125">
        <f>_xll.xlShmInterpDisc(CurveName&amp;T($C$26),AE491)</f>
        <v>1.0052487899605451</v>
      </c>
      <c r="AH491" s="127">
        <f t="shared" si="14"/>
        <v>0</v>
      </c>
    </row>
    <row r="492" spans="30:34" x14ac:dyDescent="0.2">
      <c r="AD492" s="13" t="s">
        <v>94</v>
      </c>
      <c r="AE492" s="126">
        <f>_xll.qlCalendarAdvance(Calendar,AE491,AD492,BizDayConv)</f>
        <v>43434</v>
      </c>
      <c r="AF492" s="125">
        <f>_xll.qlYieldTSDiscount($C$31,AE492)</f>
        <v>1.0052543946121193</v>
      </c>
      <c r="AG492" s="125">
        <f>_xll.xlShmInterpDisc(CurveName&amp;T($C$26),AE492)</f>
        <v>1.0052543946121193</v>
      </c>
      <c r="AH492" s="127">
        <f t="shared" si="14"/>
        <v>0</v>
      </c>
    </row>
    <row r="493" spans="30:34" x14ac:dyDescent="0.2">
      <c r="AD493" s="13" t="s">
        <v>94</v>
      </c>
      <c r="AE493" s="126">
        <f>_xll.qlCalendarAdvance(Calendar,AE492,AD493,BizDayConv)</f>
        <v>43437</v>
      </c>
      <c r="AF493" s="125">
        <f>_xll.qlYieldTSDiscount($C$31,AE493)</f>
        <v>1.0052711675112003</v>
      </c>
      <c r="AG493" s="125">
        <f>_xll.xlShmInterpDisc(CurveName&amp;T($C$26),AE493)</f>
        <v>1.0052711675112003</v>
      </c>
      <c r="AH493" s="127">
        <f t="shared" si="14"/>
        <v>0</v>
      </c>
    </row>
    <row r="494" spans="30:34" x14ac:dyDescent="0.2">
      <c r="AD494" s="13" t="s">
        <v>94</v>
      </c>
      <c r="AE494" s="126">
        <f>_xll.qlCalendarAdvance(Calendar,AE493,AD494,BizDayConv)</f>
        <v>43438</v>
      </c>
      <c r="AF494" s="125">
        <f>_xll.qlYieldTSDiscount($C$31,AE494)</f>
        <v>1.0052767449315678</v>
      </c>
      <c r="AG494" s="125">
        <f>_xll.xlShmInterpDisc(CurveName&amp;T($C$26),AE494)</f>
        <v>1.0052767449315678</v>
      </c>
      <c r="AH494" s="127">
        <f t="shared" si="14"/>
        <v>0</v>
      </c>
    </row>
    <row r="495" spans="30:34" x14ac:dyDescent="0.2">
      <c r="AD495" s="13" t="s">
        <v>94</v>
      </c>
      <c r="AE495" s="126">
        <f>_xll.qlCalendarAdvance(Calendar,AE494,AD495,BizDayConv)</f>
        <v>43439</v>
      </c>
      <c r="AF495" s="125">
        <f>_xll.qlYieldTSDiscount($C$31,AE495)</f>
        <v>1.0052823156492305</v>
      </c>
      <c r="AG495" s="125">
        <f>_xll.xlShmInterpDisc(CurveName&amp;T($C$26),AE495)</f>
        <v>1.0052823156492305</v>
      </c>
      <c r="AH495" s="127">
        <f t="shared" si="14"/>
        <v>0</v>
      </c>
    </row>
    <row r="496" spans="30:34" x14ac:dyDescent="0.2">
      <c r="AD496" s="13" t="s">
        <v>94</v>
      </c>
      <c r="AE496" s="126">
        <f>_xll.qlCalendarAdvance(Calendar,AE495,AD496,BizDayConv)</f>
        <v>43440</v>
      </c>
      <c r="AF496" s="125">
        <f>_xll.qlYieldTSDiscount($C$31,AE496)</f>
        <v>1.0052878797067717</v>
      </c>
      <c r="AG496" s="125">
        <f>_xll.xlShmInterpDisc(CurveName&amp;T($C$26),AE496)</f>
        <v>1.0052878797067717</v>
      </c>
      <c r="AH496" s="127">
        <f t="shared" si="14"/>
        <v>0</v>
      </c>
    </row>
    <row r="497" spans="30:34" x14ac:dyDescent="0.2">
      <c r="AD497" s="13" t="s">
        <v>94</v>
      </c>
      <c r="AE497" s="126">
        <f>_xll.qlCalendarAdvance(Calendar,AE496,AD497,BizDayConv)</f>
        <v>43441</v>
      </c>
      <c r="AF497" s="125">
        <f>_xll.qlYieldTSDiscount($C$31,AE497)</f>
        <v>1.0052934371470477</v>
      </c>
      <c r="AG497" s="125">
        <f>_xll.xlShmInterpDisc(CurveName&amp;T($C$26),AE497)</f>
        <v>1.0052934371470477</v>
      </c>
      <c r="AH497" s="127">
        <f t="shared" si="14"/>
        <v>0</v>
      </c>
    </row>
    <row r="498" spans="30:34" x14ac:dyDescent="0.2">
      <c r="AD498" s="13" t="s">
        <v>94</v>
      </c>
      <c r="AE498" s="126">
        <f>_xll.qlCalendarAdvance(Calendar,AE497,AD498,BizDayConv)</f>
        <v>43444</v>
      </c>
      <c r="AF498" s="125">
        <f>_xll.qlYieldTSDiscount($C$31,AE498)</f>
        <v>1.0053100701969293</v>
      </c>
      <c r="AG498" s="125">
        <f>_xll.xlShmInterpDisc(CurveName&amp;T($C$26),AE498)</f>
        <v>1.0053100701969293</v>
      </c>
      <c r="AH498" s="127">
        <f t="shared" si="14"/>
        <v>0</v>
      </c>
    </row>
    <row r="499" spans="30:34" x14ac:dyDescent="0.2">
      <c r="AD499" s="13" t="s">
        <v>94</v>
      </c>
      <c r="AE499" s="126">
        <f>_xll.qlCalendarAdvance(Calendar,AE498,AD499,BizDayConv)</f>
        <v>43445</v>
      </c>
      <c r="AF499" s="125">
        <f>_xll.qlYieldTSDiscount($C$31,AE499)</f>
        <v>1.0053156016021518</v>
      </c>
      <c r="AG499" s="125">
        <f>_xll.xlShmInterpDisc(CurveName&amp;T($C$26),AE499)</f>
        <v>1.0053156016021518</v>
      </c>
      <c r="AH499" s="127">
        <f t="shared" si="14"/>
        <v>0</v>
      </c>
    </row>
    <row r="500" spans="30:34" x14ac:dyDescent="0.2">
      <c r="AD500" s="13" t="s">
        <v>94</v>
      </c>
      <c r="AE500" s="126">
        <f>_xll.qlCalendarAdvance(Calendar,AE499,AD500,BizDayConv)</f>
        <v>43446</v>
      </c>
      <c r="AF500" s="125">
        <f>_xll.qlYieldTSDiscount($C$31,AE500)</f>
        <v>1.0053211266084754</v>
      </c>
      <c r="AG500" s="125">
        <f>_xll.xlShmInterpDisc(CurveName&amp;T($C$26),AE500)</f>
        <v>1.0053211266084754</v>
      </c>
      <c r="AH500" s="127">
        <f t="shared" si="14"/>
        <v>0</v>
      </c>
    </row>
    <row r="501" spans="30:34" x14ac:dyDescent="0.2">
      <c r="AD501" s="13" t="s">
        <v>94</v>
      </c>
      <c r="AE501" s="126">
        <f>_xll.qlCalendarAdvance(Calendar,AE500,AD501,BizDayConv)</f>
        <v>43447</v>
      </c>
      <c r="AF501" s="125">
        <f>_xll.qlYieldTSDiscount($C$31,AE501)</f>
        <v>1.0053266452603902</v>
      </c>
      <c r="AG501" s="125">
        <f>_xll.xlShmInterpDisc(CurveName&amp;T($C$26),AE501)</f>
        <v>1.0053266452603902</v>
      </c>
      <c r="AH501" s="127">
        <f t="shared" si="14"/>
        <v>0</v>
      </c>
    </row>
    <row r="502" spans="30:34" x14ac:dyDescent="0.2">
      <c r="AD502" s="13" t="s">
        <v>94</v>
      </c>
      <c r="AE502" s="126">
        <f>_xll.qlCalendarAdvance(Calendar,AE501,AD502,BizDayConv)</f>
        <v>43448</v>
      </c>
      <c r="AF502" s="125">
        <f>_xll.qlYieldTSDiscount($C$31,AE502)</f>
        <v>1.0053321576026595</v>
      </c>
      <c r="AG502" s="125">
        <f>_xll.xlShmInterpDisc(CurveName&amp;T($C$26),AE502)</f>
        <v>1.0053321576026595</v>
      </c>
      <c r="AH502" s="127">
        <f t="shared" si="14"/>
        <v>0</v>
      </c>
    </row>
    <row r="503" spans="30:34" x14ac:dyDescent="0.2">
      <c r="AD503" s="13" t="s">
        <v>94</v>
      </c>
      <c r="AE503" s="126">
        <f>_xll.qlCalendarAdvance(Calendar,AE502,AD503,BizDayConv)</f>
        <v>43451</v>
      </c>
      <c r="AF503" s="125">
        <f>_xll.qlYieldTSDiscount($C$31,AE503)</f>
        <v>1.005348657223311</v>
      </c>
      <c r="AG503" s="125">
        <f>_xll.xlShmInterpDisc(CurveName&amp;T($C$26),AE503)</f>
        <v>1.005348657223311</v>
      </c>
      <c r="AH503" s="127">
        <f t="shared" si="14"/>
        <v>0</v>
      </c>
    </row>
    <row r="504" spans="30:34" x14ac:dyDescent="0.2">
      <c r="AD504" s="13" t="s">
        <v>94</v>
      </c>
      <c r="AE504" s="126">
        <f>_xll.qlCalendarAdvance(Calendar,AE503,AD504,BizDayConv)</f>
        <v>43452</v>
      </c>
      <c r="AF504" s="125">
        <f>_xll.qlYieldTSDiscount($C$31,AE504)</f>
        <v>1.0053541447800771</v>
      </c>
      <c r="AG504" s="125">
        <f>_xll.xlShmInterpDisc(CurveName&amp;T($C$26),AE504)</f>
        <v>1.0053541447800771</v>
      </c>
      <c r="AH504" s="127">
        <f t="shared" si="14"/>
        <v>0</v>
      </c>
    </row>
    <row r="505" spans="30:34" x14ac:dyDescent="0.2">
      <c r="AD505" s="13" t="s">
        <v>94</v>
      </c>
      <c r="AE505" s="126">
        <f>_xll.qlCalendarAdvance(Calendar,AE504,AD505,BizDayConv)</f>
        <v>43453</v>
      </c>
      <c r="AF505" s="125">
        <f>_xll.qlYieldTSDiscount($C$31,AE505)</f>
        <v>1.0053596262550999</v>
      </c>
      <c r="AG505" s="125">
        <f>_xll.xlShmInterpDisc(CurveName&amp;T($C$26),AE505)</f>
        <v>1.0053596262550999</v>
      </c>
      <c r="AH505" s="127">
        <f t="shared" si="14"/>
        <v>0</v>
      </c>
    </row>
    <row r="506" spans="30:34" x14ac:dyDescent="0.2">
      <c r="AD506" s="13" t="s">
        <v>94</v>
      </c>
      <c r="AE506" s="126">
        <f>_xll.qlCalendarAdvance(Calendar,AE505,AD506,BizDayConv)</f>
        <v>43454</v>
      </c>
      <c r="AF506" s="125">
        <f>_xll.qlYieldTSDiscount($C$31,AE506)</f>
        <v>1.0053651015861462</v>
      </c>
      <c r="AG506" s="125">
        <f>_xll.xlShmInterpDisc(CurveName&amp;T($C$26),AE506)</f>
        <v>1.0053651015861462</v>
      </c>
      <c r="AH506" s="127">
        <f t="shared" si="14"/>
        <v>0</v>
      </c>
    </row>
    <row r="507" spans="30:34" x14ac:dyDescent="0.2">
      <c r="AD507" s="13" t="s">
        <v>94</v>
      </c>
      <c r="AE507" s="126">
        <f>_xll.qlCalendarAdvance(Calendar,AE506,AD507,BizDayConv)</f>
        <v>43455</v>
      </c>
      <c r="AF507" s="125">
        <f>_xll.qlYieldTSDiscount($C$31,AE507)</f>
        <v>1.0053705706452292</v>
      </c>
      <c r="AG507" s="125">
        <f>_xll.xlShmInterpDisc(CurveName&amp;T($C$26),AE507)</f>
        <v>1.0053705706452292</v>
      </c>
      <c r="AH507" s="127">
        <f t="shared" si="14"/>
        <v>0</v>
      </c>
    </row>
    <row r="508" spans="30:34" x14ac:dyDescent="0.2">
      <c r="AD508" s="13" t="s">
        <v>94</v>
      </c>
      <c r="AE508" s="126">
        <f>_xll.qlCalendarAdvance(Calendar,AE507,AD508,BizDayConv)</f>
        <v>43458</v>
      </c>
      <c r="AF508" s="125">
        <f>_xll.qlYieldTSDiscount($C$31,AE508)</f>
        <v>1.005386939664247</v>
      </c>
      <c r="AG508" s="125">
        <f>_xll.xlShmInterpDisc(CurveName&amp;T($C$26),AE508)</f>
        <v>1.005386939664247</v>
      </c>
      <c r="AH508" s="127">
        <f t="shared" si="14"/>
        <v>0</v>
      </c>
    </row>
    <row r="509" spans="30:34" x14ac:dyDescent="0.2">
      <c r="AD509" s="13" t="s">
        <v>94</v>
      </c>
      <c r="AE509" s="126">
        <f>_xll.qlCalendarAdvance(Calendar,AE508,AD509,BizDayConv)</f>
        <v>43461</v>
      </c>
      <c r="AF509" s="125">
        <f>_xll.qlYieldTSDiscount($C$31,AE509)</f>
        <v>1.0054032503288652</v>
      </c>
      <c r="AG509" s="125">
        <f>_xll.xlShmInterpDisc(CurveName&amp;T($C$26),AE509)</f>
        <v>1.0054032503288652</v>
      </c>
      <c r="AH509" s="127">
        <f t="shared" si="14"/>
        <v>0</v>
      </c>
    </row>
    <row r="510" spans="30:34" x14ac:dyDescent="0.2">
      <c r="AD510" s="13" t="s">
        <v>94</v>
      </c>
      <c r="AE510" s="126">
        <f>_xll.qlCalendarAdvance(Calendar,AE509,AD510,BizDayConv)</f>
        <v>43462</v>
      </c>
      <c r="AF510" s="125">
        <f>_xll.qlYieldTSDiscount($C$31,AE510)</f>
        <v>1.0054086739986343</v>
      </c>
      <c r="AG510" s="125">
        <f>_xll.xlShmInterpDisc(CurveName&amp;T($C$26),AE510)</f>
        <v>1.0054086739986343</v>
      </c>
      <c r="AH510" s="127">
        <f t="shared" si="14"/>
        <v>0</v>
      </c>
    </row>
    <row r="511" spans="30:34" x14ac:dyDescent="0.2">
      <c r="AD511" s="13" t="s">
        <v>94</v>
      </c>
      <c r="AE511" s="126">
        <f>_xll.qlCalendarAdvance(Calendar,AE510,AD511,BizDayConv)</f>
        <v>43465</v>
      </c>
      <c r="AF511" s="125">
        <f>_xll.qlYieldTSDiscount($C$31,AE511)</f>
        <v>1.0054249045906596</v>
      </c>
      <c r="AG511" s="125">
        <f>_xll.xlShmInterpDisc(CurveName&amp;T($C$26),AE511)</f>
        <v>1.0054249045906596</v>
      </c>
      <c r="AH511" s="127">
        <f t="shared" si="14"/>
        <v>0</v>
      </c>
    </row>
    <row r="512" spans="30:34" x14ac:dyDescent="0.2">
      <c r="AD512" s="13" t="s">
        <v>94</v>
      </c>
      <c r="AE512" s="126">
        <f>_xll.qlCalendarAdvance(Calendar,AE511,AD512,BizDayConv)</f>
        <v>43467</v>
      </c>
      <c r="AF512" s="125">
        <f>_xll.qlYieldTSDiscount($C$31,AE512)</f>
        <v>1.0054356907538422</v>
      </c>
      <c r="AG512" s="125">
        <f>_xll.xlShmInterpDisc(CurveName&amp;T($C$26),AE512)</f>
        <v>1.0054356907538422</v>
      </c>
      <c r="AH512" s="127">
        <f t="shared" si="14"/>
        <v>0</v>
      </c>
    </row>
    <row r="513" spans="30:34" x14ac:dyDescent="0.2">
      <c r="AD513" s="13" t="s">
        <v>94</v>
      </c>
      <c r="AE513" s="126">
        <f>_xll.qlCalendarAdvance(Calendar,AE512,AD513,BizDayConv)</f>
        <v>43468</v>
      </c>
      <c r="AF513" s="125">
        <f>_xll.qlYieldTSDiscount($C$31,AE513)</f>
        <v>1.0054410733994144</v>
      </c>
      <c r="AG513" s="125">
        <f>_xll.xlShmInterpDisc(CurveName&amp;T($C$26),AE513)</f>
        <v>1.0054410733994144</v>
      </c>
      <c r="AH513" s="127">
        <f t="shared" si="14"/>
        <v>0</v>
      </c>
    </row>
    <row r="514" spans="30:34" x14ac:dyDescent="0.2">
      <c r="AD514" s="13" t="s">
        <v>94</v>
      </c>
      <c r="AE514" s="126">
        <f>_xll.qlCalendarAdvance(Calendar,AE513,AD514,BizDayConv)</f>
        <v>43469</v>
      </c>
      <c r="AF514" s="125">
        <f>_xll.qlYieldTSDiscount($C$31,AE514)</f>
        <v>1.00544644901297</v>
      </c>
      <c r="AG514" s="125">
        <f>_xll.xlShmInterpDisc(CurveName&amp;T($C$26),AE514)</f>
        <v>1.00544644901297</v>
      </c>
      <c r="AH514" s="127">
        <f t="shared" si="14"/>
        <v>0</v>
      </c>
    </row>
    <row r="515" spans="30:34" x14ac:dyDescent="0.2">
      <c r="AD515" s="13" t="s">
        <v>94</v>
      </c>
      <c r="AE515" s="126">
        <f>_xll.qlCalendarAdvance(Calendar,AE514,AD515,BizDayConv)</f>
        <v>43472</v>
      </c>
      <c r="AF515" s="125">
        <f>_xll.qlYieldTSDiscount($C$31,AE515)</f>
        <v>1.005462533096714</v>
      </c>
      <c r="AG515" s="125">
        <f>_xll.xlShmInterpDisc(CurveName&amp;T($C$26),AE515)</f>
        <v>1.005462533096714</v>
      </c>
      <c r="AH515" s="127">
        <f t="shared" si="14"/>
        <v>0</v>
      </c>
    </row>
    <row r="516" spans="30:34" x14ac:dyDescent="0.2">
      <c r="AD516" s="13" t="s">
        <v>94</v>
      </c>
      <c r="AE516" s="126">
        <f>_xll.qlCalendarAdvance(Calendar,AE515,AD516,BizDayConv)</f>
        <v>43473</v>
      </c>
      <c r="AF516" s="125">
        <f>_xll.qlYieldTSDiscount($C$31,AE516)</f>
        <v>1.0054678800160088</v>
      </c>
      <c r="AG516" s="125">
        <f>_xll.xlShmInterpDisc(CurveName&amp;T($C$26),AE516)</f>
        <v>1.0054678800160088</v>
      </c>
      <c r="AH516" s="127">
        <f t="shared" ref="AH516:AH579" si="15">(AF516-AG516)</f>
        <v>0</v>
      </c>
    </row>
    <row r="517" spans="30:34" x14ac:dyDescent="0.2">
      <c r="AD517" s="13" t="s">
        <v>94</v>
      </c>
      <c r="AE517" s="126">
        <f>_xll.qlCalendarAdvance(Calendar,AE516,AD517,BizDayConv)</f>
        <v>43474</v>
      </c>
      <c r="AF517" s="125">
        <f>_xll.qlYieldTSDiscount($C$31,AE517)</f>
        <v>1.0054732196188192</v>
      </c>
      <c r="AG517" s="125">
        <f>_xll.xlShmInterpDisc(CurveName&amp;T($C$26),AE517)</f>
        <v>1.0054732196188192</v>
      </c>
      <c r="AH517" s="127">
        <f t="shared" si="15"/>
        <v>0</v>
      </c>
    </row>
    <row r="518" spans="30:34" x14ac:dyDescent="0.2">
      <c r="AD518" s="13" t="s">
        <v>94</v>
      </c>
      <c r="AE518" s="126">
        <f>_xll.qlCalendarAdvance(Calendar,AE517,AD518,BizDayConv)</f>
        <v>43475</v>
      </c>
      <c r="AF518" s="125">
        <f>_xll.qlYieldTSDiscount($C$31,AE518)</f>
        <v>1.0054785518474285</v>
      </c>
      <c r="AG518" s="125">
        <f>_xll.xlShmInterpDisc(CurveName&amp;T($C$26),AE518)</f>
        <v>1.0054785518474285</v>
      </c>
      <c r="AH518" s="127">
        <f t="shared" si="15"/>
        <v>0</v>
      </c>
    </row>
    <row r="519" spans="30:34" x14ac:dyDescent="0.2">
      <c r="AD519" s="13" t="s">
        <v>94</v>
      </c>
      <c r="AE519" s="126">
        <f>_xll.qlCalendarAdvance(Calendar,AE518,AD519,BizDayConv)</f>
        <v>43476</v>
      </c>
      <c r="AF519" s="125">
        <f>_xll.qlYieldTSDiscount($C$31,AE519)</f>
        <v>1.0054838766438472</v>
      </c>
      <c r="AG519" s="125">
        <f>_xll.xlShmInterpDisc(CurveName&amp;T($C$26),AE519)</f>
        <v>1.0054838766438472</v>
      </c>
      <c r="AH519" s="127">
        <f t="shared" si="15"/>
        <v>0</v>
      </c>
    </row>
    <row r="520" spans="30:34" x14ac:dyDescent="0.2">
      <c r="AD520" s="13" t="s">
        <v>94</v>
      </c>
      <c r="AE520" s="126">
        <f>_xll.qlCalendarAdvance(Calendar,AE519,AD520,BizDayConv)</f>
        <v>43479</v>
      </c>
      <c r="AF520" s="125">
        <f>_xll.qlYieldTSDiscount($C$31,AE520)</f>
        <v>1.0054998058559423</v>
      </c>
      <c r="AG520" s="125">
        <f>_xll.xlShmInterpDisc(CurveName&amp;T($C$26),AE520)</f>
        <v>1.0054998058559423</v>
      </c>
      <c r="AH520" s="127">
        <f t="shared" si="15"/>
        <v>0</v>
      </c>
    </row>
    <row r="521" spans="30:34" x14ac:dyDescent="0.2">
      <c r="AD521" s="13" t="s">
        <v>94</v>
      </c>
      <c r="AE521" s="126">
        <f>_xll.qlCalendarAdvance(Calendar,AE520,AD521,BizDayConv)</f>
        <v>43480</v>
      </c>
      <c r="AF521" s="125">
        <f>_xll.qlYieldTSDiscount($C$31,AE521)</f>
        <v>1.0055051003382116</v>
      </c>
      <c r="AG521" s="125">
        <f>_xll.xlShmInterpDisc(CurveName&amp;T($C$26),AE521)</f>
        <v>1.0055051003382116</v>
      </c>
      <c r="AH521" s="127">
        <f t="shared" si="15"/>
        <v>0</v>
      </c>
    </row>
    <row r="522" spans="30:34" x14ac:dyDescent="0.2">
      <c r="AD522" s="13" t="s">
        <v>94</v>
      </c>
      <c r="AE522" s="126">
        <f>_xll.qlCalendarAdvance(Calendar,AE521,AD522,BizDayConv)</f>
        <v>43481</v>
      </c>
      <c r="AF522" s="125">
        <f>_xll.qlYieldTSDiscount($C$31,AE522)</f>
        <v>1.0055103870942264</v>
      </c>
      <c r="AG522" s="125">
        <f>_xll.xlShmInterpDisc(CurveName&amp;T($C$26),AE522)</f>
        <v>1.0055103870942261</v>
      </c>
      <c r="AH522" s="127">
        <f t="shared" si="15"/>
        <v>2.2204460492503131E-16</v>
      </c>
    </row>
    <row r="523" spans="30:34" x14ac:dyDescent="0.2">
      <c r="AD523" s="13" t="s">
        <v>94</v>
      </c>
      <c r="AE523" s="126">
        <f>_xll.qlCalendarAdvance(Calendar,AE522,AD523,BizDayConv)</f>
        <v>43482</v>
      </c>
      <c r="AF523" s="125">
        <f>_xll.qlYieldTSDiscount($C$31,AE523)</f>
        <v>1.0055156660643512</v>
      </c>
      <c r="AG523" s="125">
        <f>_xll.xlShmInterpDisc(CurveName&amp;T($C$26),AE523)</f>
        <v>1.0055156660643512</v>
      </c>
      <c r="AH523" s="127">
        <f t="shared" si="15"/>
        <v>0</v>
      </c>
    </row>
    <row r="524" spans="30:34" x14ac:dyDescent="0.2">
      <c r="AD524" s="13" t="s">
        <v>94</v>
      </c>
      <c r="AE524" s="126">
        <f>_xll.qlCalendarAdvance(Calendar,AE523,AD524,BizDayConv)</f>
        <v>43483</v>
      </c>
      <c r="AF524" s="125">
        <f>_xll.qlYieldTSDiscount($C$31,AE524)</f>
        <v>1.0055209371886771</v>
      </c>
      <c r="AG524" s="125">
        <f>_xll.xlShmInterpDisc(CurveName&amp;T($C$26),AE524)</f>
        <v>1.0055209371886771</v>
      </c>
      <c r="AH524" s="127">
        <f t="shared" si="15"/>
        <v>0</v>
      </c>
    </row>
    <row r="525" spans="30:34" x14ac:dyDescent="0.2">
      <c r="AD525" s="13" t="s">
        <v>94</v>
      </c>
      <c r="AE525" s="126">
        <f>_xll.qlCalendarAdvance(Calendar,AE524,AD525,BizDayConv)</f>
        <v>43486</v>
      </c>
      <c r="AF525" s="125">
        <f>_xll.qlYieldTSDiscount($C$31,AE525)</f>
        <v>1.0055367028836539</v>
      </c>
      <c r="AG525" s="125">
        <f>_xll.xlShmInterpDisc(CurveName&amp;T($C$26),AE525)</f>
        <v>1.0055367028836539</v>
      </c>
      <c r="AH525" s="127">
        <f t="shared" si="15"/>
        <v>0</v>
      </c>
    </row>
    <row r="526" spans="30:34" x14ac:dyDescent="0.2">
      <c r="AD526" s="13" t="s">
        <v>94</v>
      </c>
      <c r="AE526" s="126">
        <f>_xll.qlCalendarAdvance(Calendar,AE525,AD526,BizDayConv)</f>
        <v>43487</v>
      </c>
      <c r="AF526" s="125">
        <f>_xll.qlYieldTSDiscount($C$31,AE526)</f>
        <v>1.0055419420202061</v>
      </c>
      <c r="AG526" s="125">
        <f>_xll.xlShmInterpDisc(CurveName&amp;T($C$26),AE526)</f>
        <v>1.0055419420202061</v>
      </c>
      <c r="AH526" s="127">
        <f t="shared" si="15"/>
        <v>0</v>
      </c>
    </row>
    <row r="527" spans="30:34" x14ac:dyDescent="0.2">
      <c r="AD527" s="13" t="s">
        <v>94</v>
      </c>
      <c r="AE527" s="126">
        <f>_xll.qlCalendarAdvance(Calendar,AE526,AD527,BizDayConv)</f>
        <v>43488</v>
      </c>
      <c r="AF527" s="125">
        <f>_xll.qlYieldTSDiscount($C$31,AE527)</f>
        <v>1.0055471730072998</v>
      </c>
      <c r="AG527" s="125">
        <f>_xll.xlShmInterpDisc(CurveName&amp;T($C$26),AE527)</f>
        <v>1.0055471730072998</v>
      </c>
      <c r="AH527" s="127">
        <f t="shared" si="15"/>
        <v>0</v>
      </c>
    </row>
    <row r="528" spans="30:34" x14ac:dyDescent="0.2">
      <c r="AD528" s="13" t="s">
        <v>94</v>
      </c>
      <c r="AE528" s="126">
        <f>_xll.qlCalendarAdvance(Calendar,AE527,AD528,BizDayConv)</f>
        <v>43489</v>
      </c>
      <c r="AF528" s="125">
        <f>_xll.qlYieldTSDiscount($C$31,AE528)</f>
        <v>1.0055523957833803</v>
      </c>
      <c r="AG528" s="125">
        <f>_xll.xlShmInterpDisc(CurveName&amp;T($C$26),AE528)</f>
        <v>1.0055523957833803</v>
      </c>
      <c r="AH528" s="127">
        <f t="shared" si="15"/>
        <v>0</v>
      </c>
    </row>
    <row r="529" spans="30:34" x14ac:dyDescent="0.2">
      <c r="AD529" s="13" t="s">
        <v>94</v>
      </c>
      <c r="AE529" s="126">
        <f>_xll.qlCalendarAdvance(Calendar,AE528,AD529,BizDayConv)</f>
        <v>43490</v>
      </c>
      <c r="AF529" s="125">
        <f>_xll.qlYieldTSDiscount($C$31,AE529)</f>
        <v>1.0055576102866191</v>
      </c>
      <c r="AG529" s="125">
        <f>_xll.xlShmInterpDisc(CurveName&amp;T($C$26),AE529)</f>
        <v>1.0055576102866191</v>
      </c>
      <c r="AH529" s="127">
        <f t="shared" si="15"/>
        <v>0</v>
      </c>
    </row>
    <row r="530" spans="30:34" x14ac:dyDescent="0.2">
      <c r="AD530" s="13" t="s">
        <v>94</v>
      </c>
      <c r="AE530" s="126">
        <f>_xll.qlCalendarAdvance(Calendar,AE529,AD530,BizDayConv)</f>
        <v>43493</v>
      </c>
      <c r="AF530" s="125">
        <f>_xll.qlYieldTSDiscount($C$31,AE530)</f>
        <v>1.0055732035368858</v>
      </c>
      <c r="AG530" s="125">
        <f>_xll.xlShmInterpDisc(CurveName&amp;T($C$26),AE530)</f>
        <v>1.0055732035368858</v>
      </c>
      <c r="AH530" s="127">
        <f t="shared" si="15"/>
        <v>0</v>
      </c>
    </row>
    <row r="531" spans="30:34" x14ac:dyDescent="0.2">
      <c r="AD531" s="13" t="s">
        <v>94</v>
      </c>
      <c r="AE531" s="126">
        <f>_xll.qlCalendarAdvance(Calendar,AE530,AD531,BizDayConv)</f>
        <v>43494</v>
      </c>
      <c r="AF531" s="125">
        <f>_xll.qlYieldTSDiscount($C$31,AE531)</f>
        <v>1.0055783843249875</v>
      </c>
      <c r="AG531" s="125">
        <f>_xll.xlShmInterpDisc(CurveName&amp;T($C$26),AE531)</f>
        <v>1.0055783843249875</v>
      </c>
      <c r="AH531" s="127">
        <f t="shared" si="15"/>
        <v>0</v>
      </c>
    </row>
    <row r="532" spans="30:34" x14ac:dyDescent="0.2">
      <c r="AD532" s="13" t="s">
        <v>94</v>
      </c>
      <c r="AE532" s="126">
        <f>_xll.qlCalendarAdvance(Calendar,AE531,AD532,BizDayConv)</f>
        <v>43495</v>
      </c>
      <c r="AF532" s="125">
        <f>_xll.qlYieldTSDiscount($C$31,AE532)</f>
        <v>1.0055835565269915</v>
      </c>
      <c r="AG532" s="125">
        <f>_xll.xlShmInterpDisc(CurveName&amp;T($C$26),AE532)</f>
        <v>1.0055835565269915</v>
      </c>
      <c r="AH532" s="127">
        <f t="shared" si="15"/>
        <v>0</v>
      </c>
    </row>
    <row r="533" spans="30:34" x14ac:dyDescent="0.2">
      <c r="AD533" s="13" t="s">
        <v>94</v>
      </c>
      <c r="AE533" s="126">
        <f>_xll.qlCalendarAdvance(Calendar,AE532,AD533,BizDayConv)</f>
        <v>43496</v>
      </c>
      <c r="AF533" s="125">
        <f>_xll.qlYieldTSDiscount($C$31,AE533)</f>
        <v>1.0055887200794236</v>
      </c>
      <c r="AG533" s="125">
        <f>_xll.xlShmInterpDisc(CurveName&amp;T($C$26),AE533)</f>
        <v>1.0055887200794236</v>
      </c>
      <c r="AH533" s="127">
        <f t="shared" si="15"/>
        <v>0</v>
      </c>
    </row>
    <row r="534" spans="30:34" x14ac:dyDescent="0.2">
      <c r="AD534" s="13" t="s">
        <v>94</v>
      </c>
      <c r="AE534" s="126">
        <f>_xll.qlCalendarAdvance(Calendar,AE533,AD534,BizDayConv)</f>
        <v>43497</v>
      </c>
      <c r="AF534" s="125">
        <f>_xll.qlYieldTSDiscount($C$31,AE534)</f>
        <v>1.005593874918536</v>
      </c>
      <c r="AG534" s="125">
        <f>_xll.xlShmInterpDisc(CurveName&amp;T($C$26),AE534)</f>
        <v>1.005593874918536</v>
      </c>
      <c r="AH534" s="127">
        <f t="shared" si="15"/>
        <v>0</v>
      </c>
    </row>
    <row r="535" spans="30:34" x14ac:dyDescent="0.2">
      <c r="AD535" s="13" t="s">
        <v>94</v>
      </c>
      <c r="AE535" s="126">
        <f>_xll.qlCalendarAdvance(Calendar,AE534,AD535,BizDayConv)</f>
        <v>43500</v>
      </c>
      <c r="AF535" s="125">
        <f>_xll.qlYieldTSDiscount($C$31,AE535)</f>
        <v>1.0056092865143629</v>
      </c>
      <c r="AG535" s="125">
        <f>_xll.xlShmInterpDisc(CurveName&amp;T($C$26),AE535)</f>
        <v>1.0056092865143629</v>
      </c>
      <c r="AH535" s="127">
        <f t="shared" si="15"/>
        <v>0</v>
      </c>
    </row>
    <row r="536" spans="30:34" x14ac:dyDescent="0.2">
      <c r="AD536" s="13" t="s">
        <v>94</v>
      </c>
      <c r="AE536" s="126">
        <f>_xll.qlCalendarAdvance(Calendar,AE535,AD536,BizDayConv)</f>
        <v>43501</v>
      </c>
      <c r="AF536" s="125">
        <f>_xll.qlYieldTSDiscount($C$31,AE536)</f>
        <v>1.0056144058572325</v>
      </c>
      <c r="AG536" s="125">
        <f>_xll.xlShmInterpDisc(CurveName&amp;T($C$26),AE536)</f>
        <v>1.0056144058572325</v>
      </c>
      <c r="AH536" s="127">
        <f t="shared" si="15"/>
        <v>0</v>
      </c>
    </row>
    <row r="537" spans="30:34" x14ac:dyDescent="0.2">
      <c r="AD537" s="13" t="s">
        <v>94</v>
      </c>
      <c r="AE537" s="126">
        <f>_xll.qlCalendarAdvance(Calendar,AE536,AD537,BizDayConv)</f>
        <v>43502</v>
      </c>
      <c r="AF537" s="125">
        <f>_xll.qlYieldTSDiscount($C$31,AE537)</f>
        <v>1.0056195161639296</v>
      </c>
      <c r="AG537" s="125">
        <f>_xll.xlShmInterpDisc(CurveName&amp;T($C$26),AE537)</f>
        <v>1.0056195161639296</v>
      </c>
      <c r="AH537" s="127">
        <f t="shared" si="15"/>
        <v>0</v>
      </c>
    </row>
    <row r="538" spans="30:34" x14ac:dyDescent="0.2">
      <c r="AD538" s="13" t="s">
        <v>94</v>
      </c>
      <c r="AE538" s="126">
        <f>_xll.qlCalendarAdvance(Calendar,AE537,AD538,BizDayConv)</f>
        <v>43503</v>
      </c>
      <c r="AF538" s="125">
        <f>_xll.qlYieldTSDiscount($C$31,AE538)</f>
        <v>1.0056246173690608</v>
      </c>
      <c r="AG538" s="125">
        <f>_xll.xlShmInterpDisc(CurveName&amp;T($C$26),AE538)</f>
        <v>1.0056246173690608</v>
      </c>
      <c r="AH538" s="127">
        <f t="shared" si="15"/>
        <v>0</v>
      </c>
    </row>
    <row r="539" spans="30:34" x14ac:dyDescent="0.2">
      <c r="AD539" s="13" t="s">
        <v>94</v>
      </c>
      <c r="AE539" s="126">
        <f>_xll.qlCalendarAdvance(Calendar,AE538,AD539,BizDayConv)</f>
        <v>43504</v>
      </c>
      <c r="AF539" s="125">
        <f>_xll.qlYieldTSDiscount($C$31,AE539)</f>
        <v>1.0056297094069584</v>
      </c>
      <c r="AG539" s="125">
        <f>_xll.xlShmInterpDisc(CurveName&amp;T($C$26),AE539)</f>
        <v>1.0056297094069584</v>
      </c>
      <c r="AH539" s="127">
        <f t="shared" si="15"/>
        <v>0</v>
      </c>
    </row>
    <row r="540" spans="30:34" x14ac:dyDescent="0.2">
      <c r="AD540" s="13" t="s">
        <v>94</v>
      </c>
      <c r="AE540" s="126">
        <f>_xll.qlCalendarAdvance(Calendar,AE539,AD540,BizDayConv)</f>
        <v>43507</v>
      </c>
      <c r="AF540" s="125">
        <f>_xll.qlYieldTSDiscount($C$31,AE540)</f>
        <v>1.0056449298564629</v>
      </c>
      <c r="AG540" s="125">
        <f>_xll.xlShmInterpDisc(CurveName&amp;T($C$26),AE540)</f>
        <v>1.0056449298564629</v>
      </c>
      <c r="AH540" s="127">
        <f t="shared" si="15"/>
        <v>0</v>
      </c>
    </row>
    <row r="541" spans="30:34" x14ac:dyDescent="0.2">
      <c r="AD541" s="13" t="s">
        <v>94</v>
      </c>
      <c r="AE541" s="126">
        <f>_xll.qlCalendarAdvance(Calendar,AE540,AD541,BizDayConv)</f>
        <v>43508</v>
      </c>
      <c r="AF541" s="125">
        <f>_xll.qlYieldTSDiscount($C$31,AE541)</f>
        <v>1.0056499845632683</v>
      </c>
      <c r="AG541" s="125">
        <f>_xll.xlShmInterpDisc(CurveName&amp;T($C$26),AE541)</f>
        <v>1.0056499845632683</v>
      </c>
      <c r="AH541" s="127">
        <f t="shared" si="15"/>
        <v>0</v>
      </c>
    </row>
    <row r="542" spans="30:34" x14ac:dyDescent="0.2">
      <c r="AD542" s="13" t="s">
        <v>94</v>
      </c>
      <c r="AE542" s="126">
        <f>_xll.qlCalendarAdvance(Calendar,AE541,AD542,BizDayConv)</f>
        <v>43509</v>
      </c>
      <c r="AF542" s="125">
        <f>_xll.qlYieldTSDiscount($C$31,AE542)</f>
        <v>1.0056550297703895</v>
      </c>
      <c r="AG542" s="125">
        <f>_xll.xlShmInterpDisc(CurveName&amp;T($C$26),AE542)</f>
        <v>1.0056550297703895</v>
      </c>
      <c r="AH542" s="127">
        <f t="shared" si="15"/>
        <v>0</v>
      </c>
    </row>
    <row r="543" spans="30:34" x14ac:dyDescent="0.2">
      <c r="AD543" s="13" t="s">
        <v>94</v>
      </c>
      <c r="AE543" s="126">
        <f>_xll.qlCalendarAdvance(Calendar,AE542,AD543,BizDayConv)</f>
        <v>43510</v>
      </c>
      <c r="AF543" s="125">
        <f>_xll.qlYieldTSDiscount($C$31,AE543)</f>
        <v>1.0056600654105143</v>
      </c>
      <c r="AG543" s="125">
        <f>_xll.xlShmInterpDisc(CurveName&amp;T($C$26),AE543)</f>
        <v>1.0056600654105143</v>
      </c>
      <c r="AH543" s="127">
        <f t="shared" si="15"/>
        <v>0</v>
      </c>
    </row>
    <row r="544" spans="30:34" x14ac:dyDescent="0.2">
      <c r="AD544" s="13" t="s">
        <v>94</v>
      </c>
      <c r="AE544" s="126">
        <f>_xll.qlCalendarAdvance(Calendar,AE543,AD544,BizDayConv)</f>
        <v>43511</v>
      </c>
      <c r="AF544" s="125">
        <f>_xll.qlYieldTSDiscount($C$31,AE544)</f>
        <v>1.0056650914160554</v>
      </c>
      <c r="AG544" s="125">
        <f>_xll.xlShmInterpDisc(CurveName&amp;T($C$26),AE544)</f>
        <v>1.0056650914160554</v>
      </c>
      <c r="AH544" s="127">
        <f t="shared" si="15"/>
        <v>0</v>
      </c>
    </row>
    <row r="545" spans="30:34" x14ac:dyDescent="0.2">
      <c r="AD545" s="13" t="s">
        <v>94</v>
      </c>
      <c r="AE545" s="126">
        <f>_xll.qlCalendarAdvance(Calendar,AE544,AD545,BizDayConv)</f>
        <v>43514</v>
      </c>
      <c r="AF545" s="125">
        <f>_xll.qlYieldTSDiscount($C$31,AE545)</f>
        <v>1.0056801109451954</v>
      </c>
      <c r="AG545" s="125">
        <f>_xll.xlShmInterpDisc(CurveName&amp;T($C$26),AE545)</f>
        <v>1.0056801109451954</v>
      </c>
      <c r="AH545" s="127">
        <f t="shared" si="15"/>
        <v>0</v>
      </c>
    </row>
    <row r="546" spans="30:34" x14ac:dyDescent="0.2">
      <c r="AD546" s="13" t="s">
        <v>94</v>
      </c>
      <c r="AE546" s="126">
        <f>_xll.qlCalendarAdvance(Calendar,AE545,AD546,BizDayConv)</f>
        <v>43515</v>
      </c>
      <c r="AF546" s="125">
        <f>_xll.qlYieldTSDiscount($C$31,AE546)</f>
        <v>1.005685097731049</v>
      </c>
      <c r="AG546" s="125">
        <f>_xll.xlShmInterpDisc(CurveName&amp;T($C$26),AE546)</f>
        <v>1.005685097731049</v>
      </c>
      <c r="AH546" s="127">
        <f t="shared" si="15"/>
        <v>0</v>
      </c>
    </row>
    <row r="547" spans="30:34" x14ac:dyDescent="0.2">
      <c r="AD547" s="13" t="s">
        <v>94</v>
      </c>
      <c r="AE547" s="126">
        <f>_xll.qlCalendarAdvance(Calendar,AE546,AD547,BizDayConv)</f>
        <v>43516</v>
      </c>
      <c r="AF547" s="125">
        <f>_xll.qlYieldTSDiscount($C$31,AE547)</f>
        <v>1.005690074540271</v>
      </c>
      <c r="AG547" s="125">
        <f>_xll.xlShmInterpDisc(CurveName&amp;T($C$26),AE547)</f>
        <v>1.005690074540271</v>
      </c>
      <c r="AH547" s="127">
        <f t="shared" si="15"/>
        <v>0</v>
      </c>
    </row>
    <row r="548" spans="30:34" x14ac:dyDescent="0.2">
      <c r="AD548" s="13" t="s">
        <v>94</v>
      </c>
      <c r="AE548" s="126">
        <f>_xll.qlCalendarAdvance(Calendar,AE547,AD548,BizDayConv)</f>
        <v>43517</v>
      </c>
      <c r="AF548" s="125">
        <f>_xll.qlYieldTSDiscount($C$31,AE548)</f>
        <v>1.0056950413036294</v>
      </c>
      <c r="AG548" s="125">
        <f>_xll.xlShmInterpDisc(CurveName&amp;T($C$26),AE548)</f>
        <v>1.0056950413036294</v>
      </c>
      <c r="AH548" s="127">
        <f t="shared" si="15"/>
        <v>0</v>
      </c>
    </row>
    <row r="549" spans="30:34" x14ac:dyDescent="0.2">
      <c r="AD549" s="13" t="s">
        <v>94</v>
      </c>
      <c r="AE549" s="126">
        <f>_xll.qlCalendarAdvance(Calendar,AE548,AD549,BizDayConv)</f>
        <v>43518</v>
      </c>
      <c r="AF549" s="125">
        <f>_xll.qlYieldTSDiscount($C$31,AE549)</f>
        <v>1.0056999979516177</v>
      </c>
      <c r="AG549" s="125">
        <f>_xll.xlShmInterpDisc(CurveName&amp;T($C$26),AE549)</f>
        <v>1.0056999979516177</v>
      </c>
      <c r="AH549" s="127">
        <f t="shared" si="15"/>
        <v>0</v>
      </c>
    </row>
    <row r="550" spans="30:34" x14ac:dyDescent="0.2">
      <c r="AD550" s="13" t="s">
        <v>94</v>
      </c>
      <c r="AE550" s="126">
        <f>_xll.qlCalendarAdvance(Calendar,AE549,AD550,BizDayConv)</f>
        <v>43521</v>
      </c>
      <c r="AF550" s="125">
        <f>_xll.qlYieldTSDiscount($C$31,AE550)</f>
        <v>1.0057148065041841</v>
      </c>
      <c r="AG550" s="125">
        <f>_xll.xlShmInterpDisc(CurveName&amp;T($C$26),AE550)</f>
        <v>1.0057148065041841</v>
      </c>
      <c r="AH550" s="127">
        <f t="shared" si="15"/>
        <v>0</v>
      </c>
    </row>
    <row r="551" spans="30:34" x14ac:dyDescent="0.2">
      <c r="AD551" s="13" t="s">
        <v>94</v>
      </c>
      <c r="AE551" s="126">
        <f>_xll.qlCalendarAdvance(Calendar,AE550,AD551,BizDayConv)</f>
        <v>43522</v>
      </c>
      <c r="AF551" s="125">
        <f>_xll.qlYieldTSDiscount($C$31,AE551)</f>
        <v>1.0057197219901433</v>
      </c>
      <c r="AG551" s="125">
        <f>_xll.xlShmInterpDisc(CurveName&amp;T($C$26),AE551)</f>
        <v>1.0057197219901433</v>
      </c>
      <c r="AH551" s="127">
        <f t="shared" si="15"/>
        <v>0</v>
      </c>
    </row>
    <row r="552" spans="30:34" x14ac:dyDescent="0.2">
      <c r="AD552" s="13" t="s">
        <v>94</v>
      </c>
      <c r="AE552" s="126">
        <f>_xll.qlCalendarAdvance(Calendar,AE551,AD552,BizDayConv)</f>
        <v>43523</v>
      </c>
      <c r="AF552" s="125">
        <f>_xll.qlYieldTSDiscount($C$31,AE552)</f>
        <v>1.0057246270090869</v>
      </c>
      <c r="AG552" s="125">
        <f>_xll.xlShmInterpDisc(CurveName&amp;T($C$26),AE552)</f>
        <v>1.0057246270090869</v>
      </c>
      <c r="AH552" s="127">
        <f t="shared" si="15"/>
        <v>0</v>
      </c>
    </row>
    <row r="553" spans="30:34" x14ac:dyDescent="0.2">
      <c r="AD553" s="13" t="s">
        <v>94</v>
      </c>
      <c r="AE553" s="126">
        <f>_xll.qlCalendarAdvance(Calendar,AE552,AD553,BizDayConv)</f>
        <v>43524</v>
      </c>
      <c r="AF553" s="125">
        <f>_xll.qlYieldTSDiscount($C$31,AE553)</f>
        <v>1.0057295214898632</v>
      </c>
      <c r="AG553" s="125">
        <f>_xll.xlShmInterpDisc(CurveName&amp;T($C$26),AE553)</f>
        <v>1.0057295214898632</v>
      </c>
      <c r="AH553" s="127">
        <f t="shared" si="15"/>
        <v>0</v>
      </c>
    </row>
    <row r="554" spans="30:34" x14ac:dyDescent="0.2">
      <c r="AD554" s="13" t="s">
        <v>94</v>
      </c>
      <c r="AE554" s="126">
        <f>_xll.qlCalendarAdvance(Calendar,AE553,AD554,BizDayConv)</f>
        <v>43525</v>
      </c>
      <c r="AF554" s="125">
        <f>_xll.qlYieldTSDiscount($C$31,AE554)</f>
        <v>1.0057344053610462</v>
      </c>
      <c r="AG554" s="125">
        <f>_xll.xlShmInterpDisc(CurveName&amp;T($C$26),AE554)</f>
        <v>1.0057344053610462</v>
      </c>
      <c r="AH554" s="127">
        <f t="shared" si="15"/>
        <v>0</v>
      </c>
    </row>
    <row r="555" spans="30:34" x14ac:dyDescent="0.2">
      <c r="AD555" s="13" t="s">
        <v>94</v>
      </c>
      <c r="AE555" s="126">
        <f>_xll.qlCalendarAdvance(Calendar,AE554,AD555,BizDayConv)</f>
        <v>43528</v>
      </c>
      <c r="AF555" s="125">
        <f>_xll.qlYieldTSDiscount($C$31,AE555)</f>
        <v>1.0057489925986636</v>
      </c>
      <c r="AG555" s="125">
        <f>_xll.xlShmInterpDisc(CurveName&amp;T($C$26),AE555)</f>
        <v>1.0057489925986636</v>
      </c>
      <c r="AH555" s="127">
        <f t="shared" si="15"/>
        <v>0</v>
      </c>
    </row>
    <row r="556" spans="30:34" x14ac:dyDescent="0.2">
      <c r="AD556" s="13" t="s">
        <v>94</v>
      </c>
      <c r="AE556" s="126">
        <f>_xll.qlCalendarAdvance(Calendar,AE555,AD556,BizDayConv)</f>
        <v>43529</v>
      </c>
      <c r="AF556" s="125">
        <f>_xll.qlYieldTSDiscount($C$31,AE556)</f>
        <v>1.0057538333117302</v>
      </c>
      <c r="AG556" s="125">
        <f>_xll.xlShmInterpDisc(CurveName&amp;T($C$26),AE556)</f>
        <v>1.0057538333117302</v>
      </c>
      <c r="AH556" s="127">
        <f t="shared" si="15"/>
        <v>0</v>
      </c>
    </row>
    <row r="557" spans="30:34" x14ac:dyDescent="0.2">
      <c r="AD557" s="13" t="s">
        <v>94</v>
      </c>
      <c r="AE557" s="126">
        <f>_xll.qlCalendarAdvance(Calendar,AE556,AD557,BizDayConv)</f>
        <v>43530</v>
      </c>
      <c r="AF557" s="125">
        <f>_xll.qlYieldTSDiscount($C$31,AE557)</f>
        <v>1.0057586630539606</v>
      </c>
      <c r="AG557" s="125">
        <f>_xll.xlShmInterpDisc(CurveName&amp;T($C$26),AE557)</f>
        <v>1.0057586630539606</v>
      </c>
      <c r="AH557" s="127">
        <f t="shared" si="15"/>
        <v>0</v>
      </c>
    </row>
    <row r="558" spans="30:34" x14ac:dyDescent="0.2">
      <c r="AD558" s="13" t="s">
        <v>94</v>
      </c>
      <c r="AE558" s="126">
        <f>_xll.qlCalendarAdvance(Calendar,AE557,AD558,BizDayConv)</f>
        <v>43531</v>
      </c>
      <c r="AF558" s="125">
        <f>_xll.qlYieldTSDiscount($C$31,AE558)</f>
        <v>1.0057634817522838</v>
      </c>
      <c r="AG558" s="125">
        <f>_xll.xlShmInterpDisc(CurveName&amp;T($C$26),AE558)</f>
        <v>1.0057634817522838</v>
      </c>
      <c r="AH558" s="127">
        <f t="shared" si="15"/>
        <v>0</v>
      </c>
    </row>
    <row r="559" spans="30:34" x14ac:dyDescent="0.2">
      <c r="AD559" s="13" t="s">
        <v>94</v>
      </c>
      <c r="AE559" s="126">
        <f>_xll.qlCalendarAdvance(Calendar,AE558,AD559,BizDayConv)</f>
        <v>43532</v>
      </c>
      <c r="AF559" s="125">
        <f>_xll.qlYieldTSDiscount($C$31,AE559)</f>
        <v>1.0057682893333544</v>
      </c>
      <c r="AG559" s="125">
        <f>_xll.xlShmInterpDisc(CurveName&amp;T($C$26),AE559)</f>
        <v>1.0057682893333544</v>
      </c>
      <c r="AH559" s="127">
        <f t="shared" si="15"/>
        <v>0</v>
      </c>
    </row>
    <row r="560" spans="30:34" x14ac:dyDescent="0.2">
      <c r="AD560" s="13" t="s">
        <v>94</v>
      </c>
      <c r="AE560" s="126">
        <f>_xll.qlCalendarAdvance(Calendar,AE559,AD560,BizDayConv)</f>
        <v>43535</v>
      </c>
      <c r="AF560" s="125">
        <f>_xll.qlYieldTSDiscount($C$31,AE560)</f>
        <v>1.0057826446354834</v>
      </c>
      <c r="AG560" s="125">
        <f>_xll.xlShmInterpDisc(CurveName&amp;T($C$26),AE560)</f>
        <v>1.0057826446354834</v>
      </c>
      <c r="AH560" s="127">
        <f t="shared" si="15"/>
        <v>0</v>
      </c>
    </row>
    <row r="561" spans="30:34" x14ac:dyDescent="0.2">
      <c r="AD561" s="13" t="s">
        <v>94</v>
      </c>
      <c r="AE561" s="126">
        <f>_xll.qlCalendarAdvance(Calendar,AE560,AD561,BizDayConv)</f>
        <v>43536</v>
      </c>
      <c r="AF561" s="125">
        <f>_xll.qlYieldTSDiscount($C$31,AE561)</f>
        <v>1.0057874070086055</v>
      </c>
      <c r="AG561" s="125">
        <f>_xll.xlShmInterpDisc(CurveName&amp;T($C$26),AE561)</f>
        <v>1.0057874070086055</v>
      </c>
      <c r="AH561" s="127">
        <f t="shared" si="15"/>
        <v>0</v>
      </c>
    </row>
    <row r="562" spans="30:34" x14ac:dyDescent="0.2">
      <c r="AD562" s="13" t="s">
        <v>94</v>
      </c>
      <c r="AE562" s="126">
        <f>_xll.qlCalendarAdvance(Calendar,AE561,AD562,BizDayConv)</f>
        <v>43537</v>
      </c>
      <c r="AF562" s="125">
        <f>_xll.qlYieldTSDiscount($C$31,AE562)</f>
        <v>1.0057921578936349</v>
      </c>
      <c r="AG562" s="125">
        <f>_xll.xlShmInterpDisc(CurveName&amp;T($C$26),AE562)</f>
        <v>1.0057921578936349</v>
      </c>
      <c r="AH562" s="127">
        <f t="shared" si="15"/>
        <v>0</v>
      </c>
    </row>
    <row r="563" spans="30:34" x14ac:dyDescent="0.2">
      <c r="AD563" s="13" t="s">
        <v>94</v>
      </c>
      <c r="AE563" s="126">
        <f>_xll.qlCalendarAdvance(Calendar,AE562,AD563,BizDayConv)</f>
        <v>43538</v>
      </c>
      <c r="AF563" s="125">
        <f>_xll.qlYieldTSDiscount($C$31,AE563)</f>
        <v>1.0057968972155809</v>
      </c>
      <c r="AG563" s="125">
        <f>_xll.xlShmInterpDisc(CurveName&amp;T($C$26),AE563)</f>
        <v>1.0057968972155809</v>
      </c>
      <c r="AH563" s="127">
        <f t="shared" si="15"/>
        <v>0</v>
      </c>
    </row>
    <row r="564" spans="30:34" x14ac:dyDescent="0.2">
      <c r="AD564" s="13" t="s">
        <v>94</v>
      </c>
      <c r="AE564" s="126">
        <f>_xll.qlCalendarAdvance(Calendar,AE563,AD564,BizDayConv)</f>
        <v>43539</v>
      </c>
      <c r="AF564" s="125">
        <f>_xll.qlYieldTSDiscount($C$31,AE564)</f>
        <v>1.005801624899179</v>
      </c>
      <c r="AG564" s="125">
        <f>_xll.xlShmInterpDisc(CurveName&amp;T($C$26),AE564)</f>
        <v>1.005801624899179</v>
      </c>
      <c r="AH564" s="127">
        <f t="shared" si="15"/>
        <v>0</v>
      </c>
    </row>
    <row r="565" spans="30:34" x14ac:dyDescent="0.2">
      <c r="AD565" s="13" t="s">
        <v>94</v>
      </c>
      <c r="AE565" s="126">
        <f>_xll.qlCalendarAdvance(Calendar,AE564,AD565,BizDayConv)</f>
        <v>43542</v>
      </c>
      <c r="AF565" s="125">
        <f>_xll.qlYieldTSDiscount($C$31,AE565)</f>
        <v>1.0058157373631251</v>
      </c>
      <c r="AG565" s="125">
        <f>_xll.xlShmInterpDisc(CurveName&amp;T($C$26),AE565)</f>
        <v>1.0058157373631251</v>
      </c>
      <c r="AH565" s="127">
        <f t="shared" si="15"/>
        <v>0</v>
      </c>
    </row>
    <row r="566" spans="30:34" x14ac:dyDescent="0.2">
      <c r="AD566" s="13" t="s">
        <v>94</v>
      </c>
      <c r="AE566" s="126">
        <f>_xll.qlCalendarAdvance(Calendar,AE565,AD566,BizDayConv)</f>
        <v>43543</v>
      </c>
      <c r="AF566" s="125">
        <f>_xll.qlYieldTSDiscount($C$31,AE566)</f>
        <v>1.0058204177351999</v>
      </c>
      <c r="AG566" s="125">
        <f>_xll.xlShmInterpDisc(CurveName&amp;T($C$26),AE566)</f>
        <v>1.0058204177351999</v>
      </c>
      <c r="AH566" s="127">
        <f t="shared" si="15"/>
        <v>0</v>
      </c>
    </row>
    <row r="567" spans="30:34" x14ac:dyDescent="0.2">
      <c r="AD567" s="13" t="s">
        <v>94</v>
      </c>
      <c r="AE567" s="126">
        <f>_xll.qlCalendarAdvance(Calendar,AE566,AD567,BizDayConv)</f>
        <v>43544</v>
      </c>
      <c r="AF567" s="125">
        <f>_xll.qlYieldTSDiscount($C$31,AE567)</f>
        <v>1.0058250857115243</v>
      </c>
      <c r="AG567" s="125">
        <f>_xll.xlShmInterpDisc(CurveName&amp;T($C$26),AE567)</f>
        <v>1.0058250857115243</v>
      </c>
      <c r="AH567" s="127">
        <f t="shared" si="15"/>
        <v>0</v>
      </c>
    </row>
    <row r="568" spans="30:34" x14ac:dyDescent="0.2">
      <c r="AD568" s="13" t="s">
        <v>94</v>
      </c>
      <c r="AE568" s="126">
        <f>_xll.qlCalendarAdvance(Calendar,AE567,AD568,BizDayConv)</f>
        <v>43545</v>
      </c>
      <c r="AF568" s="125">
        <f>_xll.qlYieldTSDiscount($C$31,AE568)</f>
        <v>1.0058297409144004</v>
      </c>
      <c r="AG568" s="125">
        <f>_xll.xlShmInterpDisc(CurveName&amp;T($C$26),AE568)</f>
        <v>1.0058297409144004</v>
      </c>
      <c r="AH568" s="127">
        <f t="shared" si="15"/>
        <v>0</v>
      </c>
    </row>
    <row r="569" spans="30:34" x14ac:dyDescent="0.2">
      <c r="AD569" s="13" t="s">
        <v>94</v>
      </c>
      <c r="AE569" s="126">
        <f>_xll.qlCalendarAdvance(Calendar,AE568,AD569,BizDayConv)</f>
        <v>43546</v>
      </c>
      <c r="AF569" s="125">
        <f>_xll.qlYieldTSDiscount($C$31,AE569)</f>
        <v>1.0058343833813461</v>
      </c>
      <c r="AG569" s="125">
        <f>_xll.xlShmInterpDisc(CurveName&amp;T($C$26),AE569)</f>
        <v>1.0058343833813461</v>
      </c>
      <c r="AH569" s="127">
        <f t="shared" si="15"/>
        <v>0</v>
      </c>
    </row>
    <row r="570" spans="30:34" x14ac:dyDescent="0.2">
      <c r="AD570" s="13" t="s">
        <v>94</v>
      </c>
      <c r="AE570" s="126">
        <f>_xll.qlCalendarAdvance(Calendar,AE569,AD570,BizDayConv)</f>
        <v>43549</v>
      </c>
      <c r="AF570" s="125">
        <f>_xll.qlYieldTSDiscount($C$31,AE570)</f>
        <v>1.0058482347463606</v>
      </c>
      <c r="AG570" s="125">
        <f>_xll.xlShmInterpDisc(CurveName&amp;T($C$26),AE570)</f>
        <v>1.0058482347463606</v>
      </c>
      <c r="AH570" s="127">
        <f t="shared" si="15"/>
        <v>0</v>
      </c>
    </row>
    <row r="571" spans="30:34" x14ac:dyDescent="0.2">
      <c r="AD571" s="13" t="s">
        <v>94</v>
      </c>
      <c r="AE571" s="126">
        <f>_xll.qlCalendarAdvance(Calendar,AE570,AD571,BizDayConv)</f>
        <v>43550</v>
      </c>
      <c r="AF571" s="125">
        <f>_xll.qlYieldTSDiscount($C$31,AE571)</f>
        <v>1.0058528266508711</v>
      </c>
      <c r="AG571" s="125">
        <f>_xll.xlShmInterpDisc(CurveName&amp;T($C$26),AE571)</f>
        <v>1.0058528266508711</v>
      </c>
      <c r="AH571" s="127">
        <f t="shared" si="15"/>
        <v>0</v>
      </c>
    </row>
    <row r="572" spans="30:34" x14ac:dyDescent="0.2">
      <c r="AD572" s="13" t="s">
        <v>94</v>
      </c>
      <c r="AE572" s="126">
        <f>_xll.qlCalendarAdvance(Calendar,AE571,AD572,BizDayConv)</f>
        <v>43551</v>
      </c>
      <c r="AF572" s="125">
        <f>_xll.qlYieldTSDiscount($C$31,AE572)</f>
        <v>1.0058574060116212</v>
      </c>
      <c r="AG572" s="125">
        <f>_xll.xlShmInterpDisc(CurveName&amp;T($C$26),AE572)</f>
        <v>1.0058574060116212</v>
      </c>
      <c r="AH572" s="127">
        <f t="shared" si="15"/>
        <v>0</v>
      </c>
    </row>
    <row r="573" spans="30:34" x14ac:dyDescent="0.2">
      <c r="AD573" s="13" t="s">
        <v>94</v>
      </c>
      <c r="AE573" s="126">
        <f>_xll.qlCalendarAdvance(Calendar,AE572,AD573,BizDayConv)</f>
        <v>43552</v>
      </c>
      <c r="AF573" s="125">
        <f>_xll.qlYieldTSDiscount($C$31,AE573)</f>
        <v>1.0058619728679612</v>
      </c>
      <c r="AG573" s="125">
        <f>_xll.xlShmInterpDisc(CurveName&amp;T($C$26),AE573)</f>
        <v>1.0058619728679612</v>
      </c>
      <c r="AH573" s="127">
        <f t="shared" si="15"/>
        <v>0</v>
      </c>
    </row>
    <row r="574" spans="30:34" x14ac:dyDescent="0.2">
      <c r="AD574" s="13" t="s">
        <v>94</v>
      </c>
      <c r="AE574" s="126">
        <f>_xll.qlCalendarAdvance(Calendar,AE573,AD574,BizDayConv)</f>
        <v>43553</v>
      </c>
      <c r="AF574" s="125">
        <f>_xll.qlYieldTSDiscount($C$31,AE574)</f>
        <v>1.0058665272595468</v>
      </c>
      <c r="AG574" s="125">
        <f>_xll.xlShmInterpDisc(CurveName&amp;T($C$26),AE574)</f>
        <v>1.0058665272595468</v>
      </c>
      <c r="AH574" s="127">
        <f t="shared" si="15"/>
        <v>0</v>
      </c>
    </row>
    <row r="575" spans="30:34" x14ac:dyDescent="0.2">
      <c r="AD575" s="13" t="s">
        <v>94</v>
      </c>
      <c r="AE575" s="126">
        <f>_xll.qlCalendarAdvance(Calendar,AE574,AD575,BizDayConv)</f>
        <v>43556</v>
      </c>
      <c r="AF575" s="125">
        <f>_xll.qlYieldTSDiscount($C$31,AE575)</f>
        <v>1.005880116046916</v>
      </c>
      <c r="AG575" s="125">
        <f>_xll.xlShmInterpDisc(CurveName&amp;T($C$26),AE575)</f>
        <v>1.005880116046916</v>
      </c>
      <c r="AH575" s="127">
        <f t="shared" si="15"/>
        <v>0</v>
      </c>
    </row>
    <row r="576" spans="30:34" x14ac:dyDescent="0.2">
      <c r="AD576" s="13" t="s">
        <v>94</v>
      </c>
      <c r="AE576" s="126">
        <f>_xll.qlCalendarAdvance(Calendar,AE575,AD576,BizDayConv)</f>
        <v>43557</v>
      </c>
      <c r="AF576" s="125">
        <f>_xll.qlYieldTSDiscount($C$31,AE576)</f>
        <v>1.0058846209821495</v>
      </c>
      <c r="AG576" s="125">
        <f>_xll.xlShmInterpDisc(CurveName&amp;T($C$26),AE576)</f>
        <v>1.0058846209821495</v>
      </c>
      <c r="AH576" s="127">
        <f t="shared" si="15"/>
        <v>0</v>
      </c>
    </row>
    <row r="577" spans="30:34" x14ac:dyDescent="0.2">
      <c r="AD577" s="13" t="s">
        <v>94</v>
      </c>
      <c r="AE577" s="126">
        <f>_xll.qlCalendarAdvance(Calendar,AE576,AD577,BizDayConv)</f>
        <v>43558</v>
      </c>
      <c r="AF577" s="125">
        <f>_xll.qlYieldTSDiscount($C$31,AE577)</f>
        <v>1.0058891136554886</v>
      </c>
      <c r="AG577" s="125">
        <f>_xll.xlShmInterpDisc(CurveName&amp;T($C$26),AE577)</f>
        <v>1.0058891136554886</v>
      </c>
      <c r="AH577" s="127">
        <f t="shared" si="15"/>
        <v>0</v>
      </c>
    </row>
    <row r="578" spans="30:34" x14ac:dyDescent="0.2">
      <c r="AD578" s="13" t="s">
        <v>94</v>
      </c>
      <c r="AE578" s="126">
        <f>_xll.qlCalendarAdvance(Calendar,AE577,AD578,BizDayConv)</f>
        <v>43559</v>
      </c>
      <c r="AF578" s="125">
        <f>_xll.qlYieldTSDiscount($C$31,AE578)</f>
        <v>1.0058935941084211</v>
      </c>
      <c r="AG578" s="125">
        <f>_xll.xlShmInterpDisc(CurveName&amp;T($C$26),AE578)</f>
        <v>1.0058935941084211</v>
      </c>
      <c r="AH578" s="127">
        <f t="shared" si="15"/>
        <v>0</v>
      </c>
    </row>
    <row r="579" spans="30:34" x14ac:dyDescent="0.2">
      <c r="AD579" s="13" t="s">
        <v>94</v>
      </c>
      <c r="AE579" s="126">
        <f>_xll.qlCalendarAdvance(Calendar,AE578,AD579,BizDayConv)</f>
        <v>43560</v>
      </c>
      <c r="AF579" s="125">
        <f>_xll.qlYieldTSDiscount($C$31,AE579)</f>
        <v>1.0058980623827409</v>
      </c>
      <c r="AG579" s="125">
        <f>_xll.xlShmInterpDisc(CurveName&amp;T($C$26),AE579)</f>
        <v>1.0058980623827409</v>
      </c>
      <c r="AH579" s="127">
        <f t="shared" si="15"/>
        <v>0</v>
      </c>
    </row>
    <row r="580" spans="30:34" x14ac:dyDescent="0.2">
      <c r="AD580" s="13" t="s">
        <v>94</v>
      </c>
      <c r="AE580" s="126">
        <f>_xll.qlCalendarAdvance(Calendar,AE579,AD580,BizDayConv)</f>
        <v>43563</v>
      </c>
      <c r="AF580" s="125">
        <f>_xll.qlYieldTSDiscount($C$31,AE580)</f>
        <v>1.0059113945565428</v>
      </c>
      <c r="AG580" s="125">
        <f>_xll.xlShmInterpDisc(CurveName&amp;T($C$26),AE580)</f>
        <v>1.0059113945565428</v>
      </c>
      <c r="AH580" s="127">
        <f t="shared" ref="AH580:AH643" si="16">(AF580-AG580)</f>
        <v>0</v>
      </c>
    </row>
    <row r="581" spans="30:34" x14ac:dyDescent="0.2">
      <c r="AD581" s="13" t="s">
        <v>94</v>
      </c>
      <c r="AE581" s="126">
        <f>_xll.qlCalendarAdvance(Calendar,AE580,AD581,BizDayConv)</f>
        <v>43564</v>
      </c>
      <c r="AF581" s="125">
        <f>_xll.qlYieldTSDiscount($C$31,AE581)</f>
        <v>1.0059158145404574</v>
      </c>
      <c r="AG581" s="125">
        <f>_xll.xlShmInterpDisc(CurveName&amp;T($C$26),AE581)</f>
        <v>1.0059158145404574</v>
      </c>
      <c r="AH581" s="127">
        <f t="shared" si="16"/>
        <v>0</v>
      </c>
    </row>
    <row r="582" spans="30:34" x14ac:dyDescent="0.2">
      <c r="AD582" s="13" t="s">
        <v>94</v>
      </c>
      <c r="AE582" s="126">
        <f>_xll.qlCalendarAdvance(Calendar,AE581,AD582,BizDayConv)</f>
        <v>43565</v>
      </c>
      <c r="AF582" s="125">
        <f>_xll.qlYieldTSDiscount($C$31,AE582)</f>
        <v>1.0059202225593094</v>
      </c>
      <c r="AG582" s="125">
        <f>_xll.xlShmInterpDisc(CurveName&amp;T($C$26),AE582)</f>
        <v>1.0059202225593094</v>
      </c>
      <c r="AH582" s="127">
        <f t="shared" si="16"/>
        <v>0</v>
      </c>
    </row>
    <row r="583" spans="30:34" x14ac:dyDescent="0.2">
      <c r="AD583" s="13" t="s">
        <v>94</v>
      </c>
      <c r="AE583" s="126">
        <f>_xll.qlCalendarAdvance(Calendar,AE582,AD583,BizDayConv)</f>
        <v>43566</v>
      </c>
      <c r="AF583" s="125">
        <f>_xll.qlYieldTSDiscount($C$31,AE583)</f>
        <v>1.005924618656725</v>
      </c>
      <c r="AG583" s="125">
        <f>_xll.xlShmInterpDisc(CurveName&amp;T($C$26),AE583)</f>
        <v>1.005924618656725</v>
      </c>
      <c r="AH583" s="127">
        <f t="shared" si="16"/>
        <v>0</v>
      </c>
    </row>
    <row r="584" spans="30:34" x14ac:dyDescent="0.2">
      <c r="AD584" s="13" t="s">
        <v>94</v>
      </c>
      <c r="AE584" s="126">
        <f>_xll.qlCalendarAdvance(Calendar,AE583,AD584,BizDayConv)</f>
        <v>43567</v>
      </c>
      <c r="AF584" s="125">
        <f>_xll.qlYieldTSDiscount($C$31,AE584)</f>
        <v>1.0059290028766359</v>
      </c>
      <c r="AG584" s="125">
        <f>_xll.xlShmInterpDisc(CurveName&amp;T($C$26),AE584)</f>
        <v>1.0059290028766359</v>
      </c>
      <c r="AH584" s="127">
        <f t="shared" si="16"/>
        <v>0</v>
      </c>
    </row>
    <row r="585" spans="30:34" x14ac:dyDescent="0.2">
      <c r="AD585" s="13" t="s">
        <v>94</v>
      </c>
      <c r="AE585" s="126">
        <f>_xll.qlCalendarAdvance(Calendar,AE584,AD585,BizDayConv)</f>
        <v>43570</v>
      </c>
      <c r="AF585" s="125">
        <f>_xll.qlYieldTSDiscount($C$31,AE585)</f>
        <v>1.00594208471524</v>
      </c>
      <c r="AG585" s="125">
        <f>_xll.xlShmInterpDisc(CurveName&amp;T($C$26),AE585)</f>
        <v>1.00594208471524</v>
      </c>
      <c r="AH585" s="127">
        <f t="shared" si="16"/>
        <v>0</v>
      </c>
    </row>
    <row r="586" spans="30:34" x14ac:dyDescent="0.2">
      <c r="AD586" s="13" t="s">
        <v>94</v>
      </c>
      <c r="AE586" s="126">
        <f>_xll.qlCalendarAdvance(Calendar,AE585,AD586,BizDayConv)</f>
        <v>43571</v>
      </c>
      <c r="AF586" s="125">
        <f>_xll.qlYieldTSDiscount($C$31,AE586)</f>
        <v>1.0059464218705587</v>
      </c>
      <c r="AG586" s="125">
        <f>_xll.xlShmInterpDisc(CurveName&amp;T($C$26),AE586)</f>
        <v>1.0059464218705587</v>
      </c>
      <c r="AH586" s="127">
        <f t="shared" si="16"/>
        <v>0</v>
      </c>
    </row>
    <row r="587" spans="30:34" x14ac:dyDescent="0.2">
      <c r="AD587" s="13" t="s">
        <v>94</v>
      </c>
      <c r="AE587" s="126">
        <f>_xll.qlCalendarAdvance(Calendar,AE586,AD587,BizDayConv)</f>
        <v>43572</v>
      </c>
      <c r="AF587" s="125">
        <f>_xll.qlYieldTSDiscount($C$31,AE587)</f>
        <v>1.0059507473726135</v>
      </c>
      <c r="AG587" s="125">
        <f>_xll.xlShmInterpDisc(CurveName&amp;T($C$26),AE587)</f>
        <v>1.0059507473726135</v>
      </c>
      <c r="AH587" s="127">
        <f t="shared" si="16"/>
        <v>0</v>
      </c>
    </row>
    <row r="588" spans="30:34" x14ac:dyDescent="0.2">
      <c r="AD588" s="13" t="s">
        <v>94</v>
      </c>
      <c r="AE588" s="126">
        <f>_xll.qlCalendarAdvance(Calendar,AE587,AD588,BizDayConv)</f>
        <v>43573</v>
      </c>
      <c r="AF588" s="125">
        <f>_xll.qlYieldTSDiscount($C$31,AE588)</f>
        <v>1.0059550612671686</v>
      </c>
      <c r="AG588" s="125">
        <f>_xll.xlShmInterpDisc(CurveName&amp;T($C$26),AE588)</f>
        <v>1.0059550612671686</v>
      </c>
      <c r="AH588" s="127">
        <f t="shared" si="16"/>
        <v>0</v>
      </c>
    </row>
    <row r="589" spans="30:34" x14ac:dyDescent="0.2">
      <c r="AD589" s="13" t="s">
        <v>94</v>
      </c>
      <c r="AE589" s="126">
        <f>_xll.qlCalendarAdvance(Calendar,AE588,AD589,BizDayConv)</f>
        <v>43578</v>
      </c>
      <c r="AF589" s="125">
        <f>_xll.qlYieldTSDiscount($C$31,AE589)</f>
        <v>1.005976458250587</v>
      </c>
      <c r="AG589" s="125">
        <f>_xll.xlShmInterpDisc(CurveName&amp;T($C$26),AE589)</f>
        <v>1.005976458250587</v>
      </c>
      <c r="AH589" s="127">
        <f t="shared" si="16"/>
        <v>0</v>
      </c>
    </row>
    <row r="590" spans="30:34" x14ac:dyDescent="0.2">
      <c r="AD590" s="13" t="s">
        <v>94</v>
      </c>
      <c r="AE590" s="126">
        <f>_xll.qlCalendarAdvance(Calendar,AE589,AD590,BizDayConv)</f>
        <v>43579</v>
      </c>
      <c r="AF590" s="125">
        <f>_xll.qlYieldTSDiscount($C$31,AE590)</f>
        <v>1.0059807034783033</v>
      </c>
      <c r="AG590" s="125">
        <f>_xll.xlShmInterpDisc(CurveName&amp;T($C$26),AE590)</f>
        <v>1.0059807034783033</v>
      </c>
      <c r="AH590" s="127">
        <f t="shared" si="16"/>
        <v>0</v>
      </c>
    </row>
    <row r="591" spans="30:34" x14ac:dyDescent="0.2">
      <c r="AD591" s="13" t="s">
        <v>94</v>
      </c>
      <c r="AE591" s="126">
        <f>_xll.qlCalendarAdvance(Calendar,AE590,AD591,BizDayConv)</f>
        <v>43580</v>
      </c>
      <c r="AF591" s="125">
        <f>_xll.qlYieldTSDiscount($C$31,AE591)</f>
        <v>1.0059849374274241</v>
      </c>
      <c r="AG591" s="125">
        <f>_xll.xlShmInterpDisc(CurveName&amp;T($C$26),AE591)</f>
        <v>1.0059849374274241</v>
      </c>
      <c r="AH591" s="127">
        <f t="shared" si="16"/>
        <v>0</v>
      </c>
    </row>
    <row r="592" spans="30:34" x14ac:dyDescent="0.2">
      <c r="AD592" s="13" t="s">
        <v>94</v>
      </c>
      <c r="AE592" s="126">
        <f>_xll.qlCalendarAdvance(Calendar,AE591,AD592,BizDayConv)</f>
        <v>43581</v>
      </c>
      <c r="AF592" s="125">
        <f>_xll.qlYieldTSDiscount($C$31,AE592)</f>
        <v>1.0059891601461572</v>
      </c>
      <c r="AG592" s="125">
        <f>_xll.xlShmInterpDisc(CurveName&amp;T($C$26),AE592)</f>
        <v>1.0059891601461572</v>
      </c>
      <c r="AH592" s="127">
        <f t="shared" si="16"/>
        <v>0</v>
      </c>
    </row>
    <row r="593" spans="30:34" x14ac:dyDescent="0.2">
      <c r="AD593" s="13" t="s">
        <v>94</v>
      </c>
      <c r="AE593" s="126">
        <f>_xll.qlCalendarAdvance(Calendar,AE592,AD593,BizDayConv)</f>
        <v>43584</v>
      </c>
      <c r="AF593" s="125">
        <f>_xll.qlYieldTSDiscount($C$31,AE593)</f>
        <v>1.0060017614066949</v>
      </c>
      <c r="AG593" s="125">
        <f>_xll.xlShmInterpDisc(CurveName&amp;T($C$26),AE593)</f>
        <v>1.0060017614066949</v>
      </c>
      <c r="AH593" s="127">
        <f t="shared" si="16"/>
        <v>0</v>
      </c>
    </row>
    <row r="594" spans="30:34" x14ac:dyDescent="0.2">
      <c r="AD594" s="13" t="s">
        <v>94</v>
      </c>
      <c r="AE594" s="126">
        <f>_xll.qlCalendarAdvance(Calendar,AE593,AD594,BizDayConv)</f>
        <v>43585</v>
      </c>
      <c r="AF594" s="125">
        <f>_xll.qlYieldTSDiscount($C$31,AE594)</f>
        <v>1.0060059396920686</v>
      </c>
      <c r="AG594" s="125">
        <f>_xll.xlShmInterpDisc(CurveName&amp;T($C$26),AE594)</f>
        <v>1.0060059396920686</v>
      </c>
      <c r="AH594" s="127">
        <f t="shared" si="16"/>
        <v>0</v>
      </c>
    </row>
    <row r="595" spans="30:34" x14ac:dyDescent="0.2">
      <c r="AD595" s="13" t="s">
        <v>94</v>
      </c>
      <c r="AE595" s="126">
        <f>_xll.qlCalendarAdvance(Calendar,AE594,AD595,BizDayConv)</f>
        <v>43587</v>
      </c>
      <c r="AF595" s="125">
        <f>_xll.qlYieldTSDiscount($C$31,AE595)</f>
        <v>1.0060142633585623</v>
      </c>
      <c r="AG595" s="125">
        <f>_xll.xlShmInterpDisc(CurveName&amp;T($C$26),AE595)</f>
        <v>1.0060142633585623</v>
      </c>
      <c r="AH595" s="127">
        <f t="shared" si="16"/>
        <v>0</v>
      </c>
    </row>
    <row r="596" spans="30:34" x14ac:dyDescent="0.2">
      <c r="AD596" s="13" t="s">
        <v>94</v>
      </c>
      <c r="AE596" s="126">
        <f>_xll.qlCalendarAdvance(Calendar,AE595,AD596,BizDayConv)</f>
        <v>43588</v>
      </c>
      <c r="AF596" s="125">
        <f>_xll.qlYieldTSDiscount($C$31,AE596)</f>
        <v>1.0060184088400694</v>
      </c>
      <c r="AG596" s="125">
        <f>_xll.xlShmInterpDisc(CurveName&amp;T($C$26),AE596)</f>
        <v>1.0060184088400694</v>
      </c>
      <c r="AH596" s="127">
        <f t="shared" si="16"/>
        <v>0</v>
      </c>
    </row>
    <row r="597" spans="30:34" x14ac:dyDescent="0.2">
      <c r="AD597" s="13" t="s">
        <v>94</v>
      </c>
      <c r="AE597" s="126">
        <f>_xll.qlCalendarAdvance(Calendar,AE596,AD597,BizDayConv)</f>
        <v>43591</v>
      </c>
      <c r="AF597" s="125">
        <f>_xll.qlYieldTSDiscount($C$31,AE597)</f>
        <v>1.0060307804863717</v>
      </c>
      <c r="AG597" s="125">
        <f>_xll.xlShmInterpDisc(CurveName&amp;T($C$26),AE597)</f>
        <v>1.0060307804863717</v>
      </c>
      <c r="AH597" s="127">
        <f t="shared" si="16"/>
        <v>0</v>
      </c>
    </row>
    <row r="598" spans="30:34" x14ac:dyDescent="0.2">
      <c r="AD598" s="13" t="s">
        <v>94</v>
      </c>
      <c r="AE598" s="126">
        <f>_xll.qlCalendarAdvance(Calendar,AE597,AD598,BizDayConv)</f>
        <v>43592</v>
      </c>
      <c r="AF598" s="125">
        <f>_xll.qlYieldTSDiscount($C$31,AE598)</f>
        <v>1.0060348829399419</v>
      </c>
      <c r="AG598" s="125">
        <f>_xll.xlShmInterpDisc(CurveName&amp;T($C$26),AE598)</f>
        <v>1.0060348829399419</v>
      </c>
      <c r="AH598" s="127">
        <f t="shared" si="16"/>
        <v>0</v>
      </c>
    </row>
    <row r="599" spans="30:34" x14ac:dyDescent="0.2">
      <c r="AD599" s="13" t="s">
        <v>94</v>
      </c>
      <c r="AE599" s="126">
        <f>_xll.qlCalendarAdvance(Calendar,AE598,AD599,BizDayConv)</f>
        <v>43593</v>
      </c>
      <c r="AF599" s="125">
        <f>_xll.qlYieldTSDiscount($C$31,AE599)</f>
        <v>1.0060389747654486</v>
      </c>
      <c r="AG599" s="125">
        <f>_xll.xlShmInterpDisc(CurveName&amp;T($C$26),AE599)</f>
        <v>1.0060389747654486</v>
      </c>
      <c r="AH599" s="127">
        <f t="shared" si="16"/>
        <v>0</v>
      </c>
    </row>
    <row r="600" spans="30:34" x14ac:dyDescent="0.2">
      <c r="AD600" s="13" t="s">
        <v>94</v>
      </c>
      <c r="AE600" s="126">
        <f>_xll.qlCalendarAdvance(Calendar,AE599,AD600,BizDayConv)</f>
        <v>43594</v>
      </c>
      <c r="AF600" s="125">
        <f>_xll.qlYieldTSDiscount($C$31,AE600)</f>
        <v>1.006043056015071</v>
      </c>
      <c r="AG600" s="125">
        <f>_xll.xlShmInterpDisc(CurveName&amp;T($C$26),AE600)</f>
        <v>1.006043056015071</v>
      </c>
      <c r="AH600" s="127">
        <f t="shared" si="16"/>
        <v>0</v>
      </c>
    </row>
    <row r="601" spans="30:34" x14ac:dyDescent="0.2">
      <c r="AD601" s="13" t="s">
        <v>94</v>
      </c>
      <c r="AE601" s="126">
        <f>_xll.qlCalendarAdvance(Calendar,AE600,AD601,BizDayConv)</f>
        <v>43595</v>
      </c>
      <c r="AF601" s="125">
        <f>_xll.qlYieldTSDiscount($C$31,AE601)</f>
        <v>1.0060471267412936</v>
      </c>
      <c r="AG601" s="125">
        <f>_xll.xlShmInterpDisc(CurveName&amp;T($C$26),AE601)</f>
        <v>1.0060471267412936</v>
      </c>
      <c r="AH601" s="127">
        <f t="shared" si="16"/>
        <v>0</v>
      </c>
    </row>
    <row r="602" spans="30:34" x14ac:dyDescent="0.2">
      <c r="AD602" s="13" t="s">
        <v>94</v>
      </c>
      <c r="AE602" s="126">
        <f>_xll.qlCalendarAdvance(Calendar,AE601,AD602,BizDayConv)</f>
        <v>43598</v>
      </c>
      <c r="AF602" s="125">
        <f>_xll.qlYieldTSDiscount($C$31,AE602)</f>
        <v>1.0060592763089931</v>
      </c>
      <c r="AG602" s="125">
        <f>_xll.xlShmInterpDisc(CurveName&amp;T($C$26),AE602)</f>
        <v>1.0060592763089931</v>
      </c>
      <c r="AH602" s="127">
        <f t="shared" si="16"/>
        <v>0</v>
      </c>
    </row>
    <row r="603" spans="30:34" x14ac:dyDescent="0.2">
      <c r="AD603" s="13" t="s">
        <v>94</v>
      </c>
      <c r="AE603" s="126">
        <f>_xll.qlCalendarAdvance(Calendar,AE602,AD603,BizDayConv)</f>
        <v>43599</v>
      </c>
      <c r="AF603" s="125">
        <f>_xll.qlYieldTSDiscount($C$31,AE603)</f>
        <v>1.0060633054725736</v>
      </c>
      <c r="AG603" s="125">
        <f>_xll.xlShmInterpDisc(CurveName&amp;T($C$26),AE603)</f>
        <v>1.0060633054725736</v>
      </c>
      <c r="AH603" s="127">
        <f t="shared" si="16"/>
        <v>0</v>
      </c>
    </row>
    <row r="604" spans="30:34" x14ac:dyDescent="0.2">
      <c r="AD604" s="13" t="s">
        <v>94</v>
      </c>
      <c r="AE604" s="126">
        <f>_xll.qlCalendarAdvance(Calendar,AE603,AD604,BizDayConv)</f>
        <v>43600</v>
      </c>
      <c r="AF604" s="125">
        <f>_xll.qlYieldTSDiscount($C$31,AE604)</f>
        <v>1.0060673243797602</v>
      </c>
      <c r="AG604" s="125">
        <f>_xll.xlShmInterpDisc(CurveName&amp;T($C$26),AE604)</f>
        <v>1.0060673243797602</v>
      </c>
      <c r="AH604" s="127">
        <f t="shared" si="16"/>
        <v>0</v>
      </c>
    </row>
    <row r="605" spans="30:34" x14ac:dyDescent="0.2">
      <c r="AD605" s="13" t="s">
        <v>94</v>
      </c>
      <c r="AE605" s="126">
        <f>_xll.qlCalendarAdvance(Calendar,AE604,AD605,BizDayConv)</f>
        <v>43601</v>
      </c>
      <c r="AF605" s="125">
        <f>_xll.qlYieldTSDiscount($C$31,AE605)</f>
        <v>1.0060713330848703</v>
      </c>
      <c r="AG605" s="125">
        <f>_xll.xlShmInterpDisc(CurveName&amp;T($C$26),AE605)</f>
        <v>1.0060713330848703</v>
      </c>
      <c r="AH605" s="127">
        <f t="shared" si="16"/>
        <v>0</v>
      </c>
    </row>
    <row r="606" spans="30:34" x14ac:dyDescent="0.2">
      <c r="AD606" s="13" t="s">
        <v>94</v>
      </c>
      <c r="AE606" s="126">
        <f>_xll.qlCalendarAdvance(Calendar,AE605,AD606,BizDayConv)</f>
        <v>43602</v>
      </c>
      <c r="AF606" s="125">
        <f>_xll.qlYieldTSDiscount($C$31,AE606)</f>
        <v>1.0060753316425268</v>
      </c>
      <c r="AG606" s="125">
        <f>_xll.xlShmInterpDisc(CurveName&amp;T($C$26),AE606)</f>
        <v>1.0060753316425268</v>
      </c>
      <c r="AH606" s="127">
        <f t="shared" si="16"/>
        <v>0</v>
      </c>
    </row>
    <row r="607" spans="30:34" x14ac:dyDescent="0.2">
      <c r="AD607" s="13" t="s">
        <v>94</v>
      </c>
      <c r="AE607" s="126">
        <f>_xll.qlCalendarAdvance(Calendar,AE606,AD607,BizDayConv)</f>
        <v>43605</v>
      </c>
      <c r="AF607" s="125">
        <f>_xll.qlYieldTSDiscount($C$31,AE607)</f>
        <v>1.0060872669815886</v>
      </c>
      <c r="AG607" s="125">
        <f>_xll.xlShmInterpDisc(CurveName&amp;T($C$26),AE607)</f>
        <v>1.0060872669815886</v>
      </c>
      <c r="AH607" s="127">
        <f t="shared" si="16"/>
        <v>0</v>
      </c>
    </row>
    <row r="608" spans="30:34" x14ac:dyDescent="0.2">
      <c r="AD608" s="13" t="s">
        <v>94</v>
      </c>
      <c r="AE608" s="126">
        <f>_xll.qlCalendarAdvance(Calendar,AE607,AD608,BizDayConv)</f>
        <v>43606</v>
      </c>
      <c r="AF608" s="125">
        <f>_xll.qlYieldTSDiscount($C$31,AE608)</f>
        <v>1.0060912255017713</v>
      </c>
      <c r="AG608" s="125">
        <f>_xll.xlShmInterpDisc(CurveName&amp;T($C$26),AE608)</f>
        <v>1.0060912255017713</v>
      </c>
      <c r="AH608" s="127">
        <f t="shared" si="16"/>
        <v>0</v>
      </c>
    </row>
    <row r="609" spans="30:34" x14ac:dyDescent="0.2">
      <c r="AD609" s="13" t="s">
        <v>94</v>
      </c>
      <c r="AE609" s="126">
        <f>_xll.qlCalendarAdvance(Calendar,AE608,AD609,BizDayConv)</f>
        <v>43607</v>
      </c>
      <c r="AF609" s="125">
        <f>_xll.qlYieldTSDiscount($C$31,AE609)</f>
        <v>1.0060951741521982</v>
      </c>
      <c r="AG609" s="125">
        <f>_xll.xlShmInterpDisc(CurveName&amp;T($C$26),AE609)</f>
        <v>1.0060951741521982</v>
      </c>
      <c r="AH609" s="127">
        <f t="shared" si="16"/>
        <v>0</v>
      </c>
    </row>
    <row r="610" spans="30:34" x14ac:dyDescent="0.2">
      <c r="AD610" s="13" t="s">
        <v>94</v>
      </c>
      <c r="AE610" s="126">
        <f>_xll.qlCalendarAdvance(Calendar,AE609,AD610,BizDayConv)</f>
        <v>43608</v>
      </c>
      <c r="AF610" s="125">
        <f>_xll.qlYieldTSDiscount($C$31,AE610)</f>
        <v>1.0060991129893246</v>
      </c>
      <c r="AG610" s="125">
        <f>_xll.xlShmInterpDisc(CurveName&amp;T($C$26),AE610)</f>
        <v>1.0060991129893246</v>
      </c>
      <c r="AH610" s="127">
        <f t="shared" si="16"/>
        <v>0</v>
      </c>
    </row>
    <row r="611" spans="30:34" x14ac:dyDescent="0.2">
      <c r="AD611" s="13" t="s">
        <v>94</v>
      </c>
      <c r="AE611" s="126">
        <f>_xll.qlCalendarAdvance(Calendar,AE610,AD611,BizDayConv)</f>
        <v>43609</v>
      </c>
      <c r="AF611" s="125">
        <f>_xll.qlYieldTSDiscount($C$31,AE611)</f>
        <v>1.0061030420699122</v>
      </c>
      <c r="AG611" s="125">
        <f>_xll.xlShmInterpDisc(CurveName&amp;T($C$26),AE611)</f>
        <v>1.0061030420699122</v>
      </c>
      <c r="AH611" s="127">
        <f t="shared" si="16"/>
        <v>0</v>
      </c>
    </row>
    <row r="612" spans="30:34" x14ac:dyDescent="0.2">
      <c r="AD612" s="13" t="s">
        <v>94</v>
      </c>
      <c r="AE612" s="126">
        <f>_xll.qlCalendarAdvance(Calendar,AE611,AD612,BizDayConv)</f>
        <v>43612</v>
      </c>
      <c r="AF612" s="125">
        <f>_xll.qlYieldTSDiscount($C$31,AE612)</f>
        <v>1.0061147713446388</v>
      </c>
      <c r="AG612" s="125">
        <f>_xll.xlShmInterpDisc(CurveName&amp;T($C$26),AE612)</f>
        <v>1.0061147713446388</v>
      </c>
      <c r="AH612" s="127">
        <f t="shared" si="16"/>
        <v>0</v>
      </c>
    </row>
    <row r="613" spans="30:34" x14ac:dyDescent="0.2">
      <c r="AD613" s="13" t="s">
        <v>94</v>
      </c>
      <c r="AE613" s="126">
        <f>_xll.qlCalendarAdvance(Calendar,AE612,AD613,BizDayConv)</f>
        <v>43613</v>
      </c>
      <c r="AF613" s="125">
        <f>_xll.qlYieldTSDiscount($C$31,AE613)</f>
        <v>1.0061186619727949</v>
      </c>
      <c r="AG613" s="125">
        <f>_xll.xlShmInterpDisc(CurveName&amp;T($C$26),AE613)</f>
        <v>1.0061186619727949</v>
      </c>
      <c r="AH613" s="127">
        <f t="shared" si="16"/>
        <v>0</v>
      </c>
    </row>
    <row r="614" spans="30:34" x14ac:dyDescent="0.2">
      <c r="AD614" s="13" t="s">
        <v>94</v>
      </c>
      <c r="AE614" s="126">
        <f>_xll.qlCalendarAdvance(Calendar,AE613,AD614,BizDayConv)</f>
        <v>43614</v>
      </c>
      <c r="AF614" s="125">
        <f>_xll.qlYieldTSDiscount($C$31,AE614)</f>
        <v>1.0061225431328014</v>
      </c>
      <c r="AG614" s="125">
        <f>_xll.xlShmInterpDisc(CurveName&amp;T($C$26),AE614)</f>
        <v>1.0061225431328014</v>
      </c>
      <c r="AH614" s="127">
        <f t="shared" si="16"/>
        <v>0</v>
      </c>
    </row>
    <row r="615" spans="30:34" x14ac:dyDescent="0.2">
      <c r="AD615" s="13" t="s">
        <v>94</v>
      </c>
      <c r="AE615" s="126">
        <f>_xll.qlCalendarAdvance(Calendar,AE614,AD615,BizDayConv)</f>
        <v>43615</v>
      </c>
      <c r="AF615" s="125">
        <f>_xll.qlYieldTSDiscount($C$31,AE615)</f>
        <v>1.0061264148832525</v>
      </c>
      <c r="AG615" s="125">
        <f>_xll.xlShmInterpDisc(CurveName&amp;T($C$26),AE615)</f>
        <v>1.0061264148832525</v>
      </c>
      <c r="AH615" s="127">
        <f t="shared" si="16"/>
        <v>0</v>
      </c>
    </row>
    <row r="616" spans="30:34" x14ac:dyDescent="0.2">
      <c r="AD616" s="13" t="s">
        <v>94</v>
      </c>
      <c r="AE616" s="126">
        <f>_xll.qlCalendarAdvance(Calendar,AE615,AD616,BizDayConv)</f>
        <v>43616</v>
      </c>
      <c r="AF616" s="125">
        <f>_xll.qlYieldTSDiscount($C$31,AE616)</f>
        <v>1.0061302772830483</v>
      </c>
      <c r="AG616" s="125">
        <f>_xll.xlShmInterpDisc(CurveName&amp;T($C$26),AE616)</f>
        <v>1.0061302772830483</v>
      </c>
      <c r="AH616" s="127">
        <f t="shared" si="16"/>
        <v>0</v>
      </c>
    </row>
    <row r="617" spans="30:34" x14ac:dyDescent="0.2">
      <c r="AD617" s="13" t="s">
        <v>94</v>
      </c>
      <c r="AE617" s="126">
        <f>_xll.qlCalendarAdvance(Calendar,AE616,AD617,BizDayConv)</f>
        <v>43619</v>
      </c>
      <c r="AF617" s="125">
        <f>_xll.qlYieldTSDiscount($C$31,AE617)</f>
        <v>1.0061418089720824</v>
      </c>
      <c r="AG617" s="125">
        <f>_xll.xlShmInterpDisc(CurveName&amp;T($C$26),AE617)</f>
        <v>1.0061418089720824</v>
      </c>
      <c r="AH617" s="127">
        <f t="shared" si="16"/>
        <v>0</v>
      </c>
    </row>
    <row r="618" spans="30:34" x14ac:dyDescent="0.2">
      <c r="AD618" s="13" t="s">
        <v>94</v>
      </c>
      <c r="AE618" s="126">
        <f>_xll.qlCalendarAdvance(Calendar,AE617,AD618,BizDayConv)</f>
        <v>43620</v>
      </c>
      <c r="AF618" s="125">
        <f>_xll.qlYieldTSDiscount($C$31,AE618)</f>
        <v>1.0061456345643633</v>
      </c>
      <c r="AG618" s="125">
        <f>_xll.xlShmInterpDisc(CurveName&amp;T($C$26),AE618)</f>
        <v>1.0061456345643633</v>
      </c>
      <c r="AH618" s="127">
        <f t="shared" si="16"/>
        <v>0</v>
      </c>
    </row>
    <row r="619" spans="30:34" x14ac:dyDescent="0.2">
      <c r="AD619" s="13" t="s">
        <v>94</v>
      </c>
      <c r="AE619" s="126">
        <f>_xll.qlCalendarAdvance(Calendar,AE618,AD619,BizDayConv)</f>
        <v>43621</v>
      </c>
      <c r="AF619" s="125">
        <f>_xll.qlYieldTSDiscount($C$31,AE619)</f>
        <v>1.0061494511050701</v>
      </c>
      <c r="AG619" s="125">
        <f>_xll.xlShmInterpDisc(CurveName&amp;T($C$26),AE619)</f>
        <v>1.0061494511050701</v>
      </c>
      <c r="AH619" s="127">
        <f t="shared" si="16"/>
        <v>0</v>
      </c>
    </row>
    <row r="620" spans="30:34" x14ac:dyDescent="0.2">
      <c r="AD620" s="13" t="s">
        <v>94</v>
      </c>
      <c r="AE620" s="126">
        <f>_xll.qlCalendarAdvance(Calendar,AE619,AD620,BizDayConv)</f>
        <v>43622</v>
      </c>
      <c r="AF620" s="125">
        <f>_xll.qlYieldTSDiscount($C$31,AE620)</f>
        <v>1.0061532586549353</v>
      </c>
      <c r="AG620" s="125">
        <f>_xll.xlShmInterpDisc(CurveName&amp;T($C$26),AE620)</f>
        <v>1.0061532586549353</v>
      </c>
      <c r="AH620" s="127">
        <f t="shared" si="16"/>
        <v>0</v>
      </c>
    </row>
    <row r="621" spans="30:34" x14ac:dyDescent="0.2">
      <c r="AD621" s="13" t="s">
        <v>94</v>
      </c>
      <c r="AE621" s="126">
        <f>_xll.qlCalendarAdvance(Calendar,AE620,AD621,BizDayConv)</f>
        <v>43623</v>
      </c>
      <c r="AF621" s="125">
        <f>_xll.qlYieldTSDiscount($C$31,AE621)</f>
        <v>1.0061570572749969</v>
      </c>
      <c r="AG621" s="125">
        <f>_xll.xlShmInterpDisc(CurveName&amp;T($C$26),AE621)</f>
        <v>1.0061570572749969</v>
      </c>
      <c r="AH621" s="127">
        <f t="shared" si="16"/>
        <v>0</v>
      </c>
    </row>
    <row r="622" spans="30:34" x14ac:dyDescent="0.2">
      <c r="AD622" s="13" t="s">
        <v>94</v>
      </c>
      <c r="AE622" s="126">
        <f>_xll.qlCalendarAdvance(Calendar,AE621,AD622,BizDayConv)</f>
        <v>43626</v>
      </c>
      <c r="AF622" s="125">
        <f>_xll.qlYieldTSDiscount($C$31,AE622)</f>
        <v>1.0061684001713249</v>
      </c>
      <c r="AG622" s="125">
        <f>_xll.xlShmInterpDisc(CurveName&amp;T($C$26),AE622)</f>
        <v>1.0061684001713249</v>
      </c>
      <c r="AH622" s="127">
        <f t="shared" si="16"/>
        <v>0</v>
      </c>
    </row>
    <row r="623" spans="30:34" x14ac:dyDescent="0.2">
      <c r="AD623" s="13" t="s">
        <v>94</v>
      </c>
      <c r="AE623" s="126">
        <f>_xll.qlCalendarAdvance(Calendar,AE622,AD623,BizDayConv)</f>
        <v>43627</v>
      </c>
      <c r="AF623" s="125">
        <f>_xll.qlYieldTSDiscount($C$31,AE623)</f>
        <v>1.0061721636886642</v>
      </c>
      <c r="AG623" s="125">
        <f>_xll.xlShmInterpDisc(CurveName&amp;T($C$26),AE623)</f>
        <v>1.0061721636886642</v>
      </c>
      <c r="AH623" s="127">
        <f t="shared" si="16"/>
        <v>0</v>
      </c>
    </row>
    <row r="624" spans="30:34" x14ac:dyDescent="0.2">
      <c r="AD624" s="13" t="s">
        <v>94</v>
      </c>
      <c r="AE624" s="126">
        <f>_xll.qlCalendarAdvance(Calendar,AE623,AD624,BizDayConv)</f>
        <v>43628</v>
      </c>
      <c r="AF624" s="125">
        <f>_xll.qlYieldTSDiscount($C$31,AE624)</f>
        <v>1.0061759185859731</v>
      </c>
      <c r="AG624" s="125">
        <f>_xll.xlShmInterpDisc(CurveName&amp;T($C$26),AE624)</f>
        <v>1.0061759185859731</v>
      </c>
      <c r="AH624" s="127">
        <f t="shared" si="16"/>
        <v>0</v>
      </c>
    </row>
    <row r="625" spans="30:34" x14ac:dyDescent="0.2">
      <c r="AD625" s="13" t="s">
        <v>94</v>
      </c>
      <c r="AE625" s="126">
        <f>_xll.qlCalendarAdvance(Calendar,AE624,AD625,BizDayConv)</f>
        <v>43629</v>
      </c>
      <c r="AF625" s="125">
        <f>_xll.qlYieldTSDiscount($C$31,AE625)</f>
        <v>1.006179664926123</v>
      </c>
      <c r="AG625" s="125">
        <f>_xll.xlShmInterpDisc(CurveName&amp;T($C$26),AE625)</f>
        <v>1.006179664926123</v>
      </c>
      <c r="AH625" s="127">
        <f t="shared" si="16"/>
        <v>0</v>
      </c>
    </row>
    <row r="626" spans="30:34" x14ac:dyDescent="0.2">
      <c r="AD626" s="13" t="s">
        <v>94</v>
      </c>
      <c r="AE626" s="126">
        <f>_xll.qlCalendarAdvance(Calendar,AE625,AD626,BizDayConv)</f>
        <v>43630</v>
      </c>
      <c r="AF626" s="125">
        <f>_xll.qlYieldTSDiscount($C$31,AE626)</f>
        <v>1.00618340277229</v>
      </c>
      <c r="AG626" s="125">
        <f>_xll.xlShmInterpDisc(CurveName&amp;T($C$26),AE626)</f>
        <v>1.00618340277229</v>
      </c>
      <c r="AH626" s="127">
        <f t="shared" si="16"/>
        <v>0</v>
      </c>
    </row>
    <row r="627" spans="30:34" x14ac:dyDescent="0.2">
      <c r="AD627" s="13" t="s">
        <v>94</v>
      </c>
      <c r="AE627" s="126">
        <f>_xll.qlCalendarAdvance(Calendar,AE626,AD627,BizDayConv)</f>
        <v>43633</v>
      </c>
      <c r="AF627" s="125">
        <f>_xll.qlYieldTSDiscount($C$31,AE627)</f>
        <v>1.0061945659832445</v>
      </c>
      <c r="AG627" s="125">
        <f>_xll.xlShmInterpDisc(CurveName&amp;T($C$26),AE627)</f>
        <v>1.0061945659832445</v>
      </c>
      <c r="AH627" s="127">
        <f t="shared" si="16"/>
        <v>0</v>
      </c>
    </row>
    <row r="628" spans="30:34" x14ac:dyDescent="0.2">
      <c r="AD628" s="13" t="s">
        <v>94</v>
      </c>
      <c r="AE628" s="126">
        <f>_xll.qlCalendarAdvance(Calendar,AE627,AD628,BizDayConv)</f>
        <v>43634</v>
      </c>
      <c r="AF628" s="125">
        <f>_xll.qlYieldTSDiscount($C$31,AE628)</f>
        <v>1.006198270491357</v>
      </c>
      <c r="AG628" s="125">
        <f>_xll.xlShmInterpDisc(CurveName&amp;T($C$26),AE628)</f>
        <v>1.006198270491357</v>
      </c>
      <c r="AH628" s="127">
        <f t="shared" si="16"/>
        <v>0</v>
      </c>
    </row>
    <row r="629" spans="30:34" x14ac:dyDescent="0.2">
      <c r="AD629" s="13" t="s">
        <v>94</v>
      </c>
      <c r="AE629" s="126">
        <f>_xll.qlCalendarAdvance(Calendar,AE628,AD629,BizDayConv)</f>
        <v>43635</v>
      </c>
      <c r="AF629" s="125">
        <f>_xll.qlYieldTSDiscount($C$31,AE629)</f>
        <v>1.0062019668259523</v>
      </c>
      <c r="AG629" s="125">
        <f>_xll.xlShmInterpDisc(CurveName&amp;T($C$26),AE629)</f>
        <v>1.0062019668259523</v>
      </c>
      <c r="AH629" s="127">
        <f t="shared" si="16"/>
        <v>0</v>
      </c>
    </row>
    <row r="630" spans="30:34" x14ac:dyDescent="0.2">
      <c r="AD630" s="13" t="s">
        <v>94</v>
      </c>
      <c r="AE630" s="126">
        <f>_xll.qlCalendarAdvance(Calendar,AE629,AD630,BizDayConv)</f>
        <v>43636</v>
      </c>
      <c r="AF630" s="125">
        <f>_xll.qlYieldTSDiscount($C$31,AE630)</f>
        <v>1.00620565505204</v>
      </c>
      <c r="AG630" s="125">
        <f>_xll.xlShmInterpDisc(CurveName&amp;T($C$26),AE630)</f>
        <v>1.00620565505204</v>
      </c>
      <c r="AH630" s="127">
        <f t="shared" si="16"/>
        <v>0</v>
      </c>
    </row>
    <row r="631" spans="30:34" x14ac:dyDescent="0.2">
      <c r="AD631" s="13" t="s">
        <v>94</v>
      </c>
      <c r="AE631" s="126">
        <f>_xll.qlCalendarAdvance(Calendar,AE630,AD631,BizDayConv)</f>
        <v>43637</v>
      </c>
      <c r="AF631" s="125">
        <f>_xll.qlYieldTSDiscount($C$31,AE631)</f>
        <v>1.0062093344779648</v>
      </c>
      <c r="AG631" s="125">
        <f>_xll.xlShmInterpDisc(CurveName&amp;T($C$26),AE631)</f>
        <v>1.0062093344779648</v>
      </c>
      <c r="AH631" s="127">
        <f t="shared" si="16"/>
        <v>0</v>
      </c>
    </row>
    <row r="632" spans="30:34" x14ac:dyDescent="0.2">
      <c r="AD632" s="13" t="s">
        <v>94</v>
      </c>
      <c r="AE632" s="126">
        <f>_xll.qlCalendarAdvance(Calendar,AE631,AD632,BizDayConv)</f>
        <v>43640</v>
      </c>
      <c r="AF632" s="125">
        <f>_xll.qlYieldTSDiscount($C$31,AE632)</f>
        <v>1.0062203152091584</v>
      </c>
      <c r="AG632" s="125">
        <f>_xll.xlShmInterpDisc(CurveName&amp;T($C$26),AE632)</f>
        <v>1.0062203152091584</v>
      </c>
      <c r="AH632" s="127">
        <f t="shared" si="16"/>
        <v>0</v>
      </c>
    </row>
    <row r="633" spans="30:34" x14ac:dyDescent="0.2">
      <c r="AD633" s="13" t="s">
        <v>94</v>
      </c>
      <c r="AE633" s="126">
        <f>_xll.qlCalendarAdvance(Calendar,AE632,AD633,BizDayConv)</f>
        <v>43641</v>
      </c>
      <c r="AF633" s="125">
        <f>_xll.qlYieldTSDiscount($C$31,AE633)</f>
        <v>1.0062239561306079</v>
      </c>
      <c r="AG633" s="125">
        <f>_xll.xlShmInterpDisc(CurveName&amp;T($C$26),AE633)</f>
        <v>1.0062239561306079</v>
      </c>
      <c r="AH633" s="127">
        <f t="shared" si="16"/>
        <v>0</v>
      </c>
    </row>
    <row r="634" spans="30:34" x14ac:dyDescent="0.2">
      <c r="AD634" s="13" t="s">
        <v>94</v>
      </c>
      <c r="AE634" s="126">
        <f>_xll.qlCalendarAdvance(Calendar,AE633,AD634,BizDayConv)</f>
        <v>43642</v>
      </c>
      <c r="AF634" s="125">
        <f>_xll.qlYieldTSDiscount($C$31,AE634)</f>
        <v>1.0062275873204998</v>
      </c>
      <c r="AG634" s="125">
        <f>_xll.xlShmInterpDisc(CurveName&amp;T($C$26),AE634)</f>
        <v>1.0062275873204998</v>
      </c>
      <c r="AH634" s="127">
        <f t="shared" si="16"/>
        <v>0</v>
      </c>
    </row>
    <row r="635" spans="30:34" x14ac:dyDescent="0.2">
      <c r="AD635" s="13" t="s">
        <v>94</v>
      </c>
      <c r="AE635" s="126">
        <f>_xll.qlCalendarAdvance(Calendar,AE634,AD635,BizDayConv)</f>
        <v>43643</v>
      </c>
      <c r="AF635" s="125">
        <f>_xll.qlYieldTSDiscount($C$31,AE635)</f>
        <v>1.0062312087363599</v>
      </c>
      <c r="AG635" s="125">
        <f>_xll.xlShmInterpDisc(CurveName&amp;T($C$26),AE635)</f>
        <v>1.0062312087363599</v>
      </c>
      <c r="AH635" s="127">
        <f t="shared" si="16"/>
        <v>0</v>
      </c>
    </row>
    <row r="636" spans="30:34" x14ac:dyDescent="0.2">
      <c r="AD636" s="13" t="s">
        <v>94</v>
      </c>
      <c r="AE636" s="126">
        <f>_xll.qlCalendarAdvance(Calendar,AE635,AD636,BizDayConv)</f>
        <v>43644</v>
      </c>
      <c r="AF636" s="125">
        <f>_xll.qlYieldTSDiscount($C$31,AE636)</f>
        <v>1.0062348203355653</v>
      </c>
      <c r="AG636" s="125">
        <f>_xll.xlShmInterpDisc(CurveName&amp;T($C$26),AE636)</f>
        <v>1.0062348203355653</v>
      </c>
      <c r="AH636" s="127">
        <f t="shared" si="16"/>
        <v>0</v>
      </c>
    </row>
    <row r="637" spans="30:34" x14ac:dyDescent="0.2">
      <c r="AD637" s="13" t="s">
        <v>94</v>
      </c>
      <c r="AE637" s="126">
        <f>_xll.qlCalendarAdvance(Calendar,AE636,AD637,BizDayConv)</f>
        <v>43647</v>
      </c>
      <c r="AF637" s="125">
        <f>_xll.qlYieldTSDiscount($C$31,AE637)</f>
        <v>1.0062455958047856</v>
      </c>
      <c r="AG637" s="125">
        <f>_xll.xlShmInterpDisc(CurveName&amp;T($C$26),AE637)</f>
        <v>1.0062455958047856</v>
      </c>
      <c r="AH637" s="127">
        <f t="shared" si="16"/>
        <v>0</v>
      </c>
    </row>
    <row r="638" spans="30:34" x14ac:dyDescent="0.2">
      <c r="AD638" s="13" t="s">
        <v>94</v>
      </c>
      <c r="AE638" s="126">
        <f>_xll.qlCalendarAdvance(Calendar,AE637,AD638,BizDayConv)</f>
        <v>43648</v>
      </c>
      <c r="AF638" s="125">
        <f>_xll.qlYieldTSDiscount($C$31,AE638)</f>
        <v>1.0062491677081584</v>
      </c>
      <c r="AG638" s="125">
        <f>_xll.xlShmInterpDisc(CurveName&amp;T($C$26),AE638)</f>
        <v>1.0062491677081584</v>
      </c>
      <c r="AH638" s="127">
        <f t="shared" si="16"/>
        <v>0</v>
      </c>
    </row>
    <row r="639" spans="30:34" x14ac:dyDescent="0.2">
      <c r="AD639" s="13" t="s">
        <v>94</v>
      </c>
      <c r="AE639" s="126">
        <f>_xll.qlCalendarAdvance(Calendar,AE638,AD639,BizDayConv)</f>
        <v>43649</v>
      </c>
      <c r="AF639" s="125">
        <f>_xll.qlYieldTSDiscount($C$31,AE639)</f>
        <v>1.0062527295795243</v>
      </c>
      <c r="AG639" s="125">
        <f>_xll.xlShmInterpDisc(CurveName&amp;T($C$26),AE639)</f>
        <v>1.0062527295795243</v>
      </c>
      <c r="AH639" s="127">
        <f t="shared" si="16"/>
        <v>0</v>
      </c>
    </row>
    <row r="640" spans="30:34" x14ac:dyDescent="0.2">
      <c r="AD640" s="13" t="s">
        <v>94</v>
      </c>
      <c r="AE640" s="126">
        <f>_xll.qlCalendarAdvance(Calendar,AE639,AD640,BizDayConv)</f>
        <v>43650</v>
      </c>
      <c r="AF640" s="125">
        <f>_xll.qlYieldTSDiscount($C$31,AE640)</f>
        <v>1.006256281375365</v>
      </c>
      <c r="AG640" s="125">
        <f>_xll.xlShmInterpDisc(CurveName&amp;T($C$26),AE640)</f>
        <v>1.006256281375365</v>
      </c>
      <c r="AH640" s="127">
        <f t="shared" si="16"/>
        <v>0</v>
      </c>
    </row>
    <row r="641" spans="30:34" x14ac:dyDescent="0.2">
      <c r="AD641" s="13" t="s">
        <v>94</v>
      </c>
      <c r="AE641" s="126">
        <f>_xll.qlCalendarAdvance(Calendar,AE640,AD641,BizDayConv)</f>
        <v>43651</v>
      </c>
      <c r="AF641" s="125">
        <f>_xll.qlYieldTSDiscount($C$31,AE641)</f>
        <v>1.0062598230520134</v>
      </c>
      <c r="AG641" s="125">
        <f>_xll.xlShmInterpDisc(CurveName&amp;T($C$26),AE641)</f>
        <v>1.0062598230520134</v>
      </c>
      <c r="AH641" s="127">
        <f t="shared" si="16"/>
        <v>0</v>
      </c>
    </row>
    <row r="642" spans="30:34" x14ac:dyDescent="0.2">
      <c r="AD642" s="13" t="s">
        <v>94</v>
      </c>
      <c r="AE642" s="126">
        <f>_xll.qlCalendarAdvance(Calendar,AE641,AD642,BizDayConv)</f>
        <v>43654</v>
      </c>
      <c r="AF642" s="125">
        <f>_xll.qlYieldTSDiscount($C$31,AE642)</f>
        <v>1.0062703869278968</v>
      </c>
      <c r="AG642" s="125">
        <f>_xll.xlShmInterpDisc(CurveName&amp;T($C$26),AE642)</f>
        <v>1.0062703869278968</v>
      </c>
      <c r="AH642" s="127">
        <f t="shared" si="16"/>
        <v>0</v>
      </c>
    </row>
    <row r="643" spans="30:34" x14ac:dyDescent="0.2">
      <c r="AD643" s="13" t="s">
        <v>94</v>
      </c>
      <c r="AE643" s="126">
        <f>_xll.qlCalendarAdvance(Calendar,AE642,AD643,BizDayConv)</f>
        <v>43655</v>
      </c>
      <c r="AF643" s="125">
        <f>_xll.qlYieldTSDiscount($C$31,AE643)</f>
        <v>1.0062738876881221</v>
      </c>
      <c r="AG643" s="125">
        <f>_xll.xlShmInterpDisc(CurveName&amp;T($C$26),AE643)</f>
        <v>1.0062738876881221</v>
      </c>
      <c r="AH643" s="127">
        <f t="shared" si="16"/>
        <v>0</v>
      </c>
    </row>
    <row r="644" spans="30:34" x14ac:dyDescent="0.2">
      <c r="AD644" s="13" t="s">
        <v>94</v>
      </c>
      <c r="AE644" s="126">
        <f>_xll.qlCalendarAdvance(Calendar,AE643,AD644,BizDayConv)</f>
        <v>43656</v>
      </c>
      <c r="AF644" s="125">
        <f>_xll.qlYieldTSDiscount($C$31,AE644)</f>
        <v>1.0062773781085828</v>
      </c>
      <c r="AG644" s="125">
        <f>_xll.xlShmInterpDisc(CurveName&amp;T($C$26),AE644)</f>
        <v>1.0062773781085828</v>
      </c>
      <c r="AH644" s="127">
        <f t="shared" ref="AH644:AH707" si="17">(AF644-AG644)</f>
        <v>0</v>
      </c>
    </row>
    <row r="645" spans="30:34" x14ac:dyDescent="0.2">
      <c r="AD645" s="13" t="s">
        <v>94</v>
      </c>
      <c r="AE645" s="126">
        <f>_xll.qlCalendarAdvance(Calendar,AE644,AD645,BizDayConv)</f>
        <v>43657</v>
      </c>
      <c r="AF645" s="125">
        <f>_xll.qlYieldTSDiscount($C$31,AE645)</f>
        <v>1.0062808581447165</v>
      </c>
      <c r="AG645" s="125">
        <f>_xll.xlShmInterpDisc(CurveName&amp;T($C$26),AE645)</f>
        <v>1.0062808581447165</v>
      </c>
      <c r="AH645" s="127">
        <f t="shared" si="17"/>
        <v>0</v>
      </c>
    </row>
    <row r="646" spans="30:34" x14ac:dyDescent="0.2">
      <c r="AD646" s="13" t="s">
        <v>94</v>
      </c>
      <c r="AE646" s="126">
        <f>_xll.qlCalendarAdvance(Calendar,AE645,AD646,BizDayConv)</f>
        <v>43658</v>
      </c>
      <c r="AF646" s="125">
        <f>_xll.qlYieldTSDiscount($C$31,AE646)</f>
        <v>1.0062843277518123</v>
      </c>
      <c r="AG646" s="125">
        <f>_xll.xlShmInterpDisc(CurveName&amp;T($C$26),AE646)</f>
        <v>1.0062843277518123</v>
      </c>
      <c r="AH646" s="127">
        <f t="shared" si="17"/>
        <v>0</v>
      </c>
    </row>
    <row r="647" spans="30:34" x14ac:dyDescent="0.2">
      <c r="AD647" s="13" t="s">
        <v>94</v>
      </c>
      <c r="AE647" s="126">
        <f>_xll.qlCalendarAdvance(Calendar,AE646,AD647,BizDayConv)</f>
        <v>43661</v>
      </c>
      <c r="AF647" s="125">
        <f>_xll.qlYieldTSDiscount($C$31,AE647)</f>
        <v>1.0062946735495251</v>
      </c>
      <c r="AG647" s="125">
        <f>_xll.xlShmInterpDisc(CurveName&amp;T($C$26),AE647)</f>
        <v>1.0062946735495251</v>
      </c>
      <c r="AH647" s="127">
        <f t="shared" si="17"/>
        <v>0</v>
      </c>
    </row>
    <row r="648" spans="30:34" x14ac:dyDescent="0.2">
      <c r="AD648" s="13" t="s">
        <v>94</v>
      </c>
      <c r="AE648" s="126">
        <f>_xll.qlCalendarAdvance(Calendar,AE647,AD648,BizDayConv)</f>
        <v>43662</v>
      </c>
      <c r="AF648" s="125">
        <f>_xll.qlYieldTSDiscount($C$31,AE648)</f>
        <v>1.0062981009903762</v>
      </c>
      <c r="AG648" s="125">
        <f>_xll.xlShmInterpDisc(CurveName&amp;T($C$26),AE648)</f>
        <v>1.0062981009903762</v>
      </c>
      <c r="AH648" s="127">
        <f t="shared" si="17"/>
        <v>0</v>
      </c>
    </row>
    <row r="649" spans="30:34" x14ac:dyDescent="0.2">
      <c r="AD649" s="13" t="s">
        <v>94</v>
      </c>
      <c r="AE649" s="126">
        <f>_xll.qlCalendarAdvance(Calendar,AE648,AD649,BizDayConv)</f>
        <v>43663</v>
      </c>
      <c r="AF649" s="125">
        <f>_xll.qlYieldTSDiscount($C$31,AE649)</f>
        <v>1.0063015177763974</v>
      </c>
      <c r="AG649" s="125">
        <f>_xll.xlShmInterpDisc(CurveName&amp;T($C$26),AE649)</f>
        <v>1.0063015177763974</v>
      </c>
      <c r="AH649" s="127">
        <f t="shared" si="17"/>
        <v>0</v>
      </c>
    </row>
    <row r="650" spans="30:34" x14ac:dyDescent="0.2">
      <c r="AD650" s="13" t="s">
        <v>94</v>
      </c>
      <c r="AE650" s="126">
        <f>_xll.qlCalendarAdvance(Calendar,AE649,AD650,BizDayConv)</f>
        <v>43664</v>
      </c>
      <c r="AF650" s="125">
        <f>_xll.qlYieldTSDiscount($C$31,AE650)</f>
        <v>1.0063049238619823</v>
      </c>
      <c r="AG650" s="125">
        <f>_xll.xlShmInterpDisc(CurveName&amp;T($C$26),AE650)</f>
        <v>1.0063049238619823</v>
      </c>
      <c r="AH650" s="127">
        <f t="shared" si="17"/>
        <v>0</v>
      </c>
    </row>
    <row r="651" spans="30:34" x14ac:dyDescent="0.2">
      <c r="AD651" s="13" t="s">
        <v>94</v>
      </c>
      <c r="AE651" s="126">
        <f>_xll.qlCalendarAdvance(Calendar,AE650,AD651,BizDayConv)</f>
        <v>43665</v>
      </c>
      <c r="AF651" s="125">
        <f>_xll.qlYieldTSDiscount($C$31,AE651)</f>
        <v>1.0063083192013766</v>
      </c>
      <c r="AG651" s="125">
        <f>_xll.xlShmInterpDisc(CurveName&amp;T($C$26),AE651)</f>
        <v>1.0063083192013766</v>
      </c>
      <c r="AH651" s="127">
        <f t="shared" si="17"/>
        <v>0</v>
      </c>
    </row>
    <row r="652" spans="30:34" x14ac:dyDescent="0.2">
      <c r="AD652" s="13" t="s">
        <v>94</v>
      </c>
      <c r="AE652" s="126">
        <f>_xll.qlCalendarAdvance(Calendar,AE651,AD652,BizDayConv)</f>
        <v>43668</v>
      </c>
      <c r="AF652" s="125">
        <f>_xll.qlYieldTSDiscount($C$31,AE652)</f>
        <v>1.0063184402826284</v>
      </c>
      <c r="AG652" s="125">
        <f>_xll.xlShmInterpDisc(CurveName&amp;T($C$26),AE652)</f>
        <v>1.0063184402826284</v>
      </c>
      <c r="AH652" s="127">
        <f t="shared" si="17"/>
        <v>0</v>
      </c>
    </row>
    <row r="653" spans="30:34" x14ac:dyDescent="0.2">
      <c r="AD653" s="13" t="s">
        <v>94</v>
      </c>
      <c r="AE653" s="126">
        <f>_xll.qlCalendarAdvance(Calendar,AE652,AD653,BizDayConv)</f>
        <v>43669</v>
      </c>
      <c r="AF653" s="125">
        <f>_xll.qlYieldTSDiscount($C$31,AE653)</f>
        <v>1.0063217921767278</v>
      </c>
      <c r="AG653" s="125">
        <f>_xll.xlShmInterpDisc(CurveName&amp;T($C$26),AE653)</f>
        <v>1.0063217921767278</v>
      </c>
      <c r="AH653" s="127">
        <f t="shared" si="17"/>
        <v>0</v>
      </c>
    </row>
    <row r="654" spans="30:34" x14ac:dyDescent="0.2">
      <c r="AD654" s="13" t="s">
        <v>94</v>
      </c>
      <c r="AE654" s="126">
        <f>_xll.qlCalendarAdvance(Calendar,AE653,AD654,BizDayConv)</f>
        <v>43670</v>
      </c>
      <c r="AF654" s="125">
        <f>_xll.qlYieldTSDiscount($C$31,AE654)</f>
        <v>1.0063251330936249</v>
      </c>
      <c r="AG654" s="125">
        <f>_xll.xlShmInterpDisc(CurveName&amp;T($C$26),AE654)</f>
        <v>1.0063251330936249</v>
      </c>
      <c r="AH654" s="127">
        <f t="shared" si="17"/>
        <v>0</v>
      </c>
    </row>
    <row r="655" spans="30:34" x14ac:dyDescent="0.2">
      <c r="AD655" s="13" t="s">
        <v>94</v>
      </c>
      <c r="AE655" s="126">
        <f>_xll.qlCalendarAdvance(Calendar,AE654,AD655,BizDayConv)</f>
        <v>43671</v>
      </c>
      <c r="AF655" s="125">
        <f>_xll.qlYieldTSDiscount($C$31,AE655)</f>
        <v>1.0063284629866702</v>
      </c>
      <c r="AG655" s="125">
        <f>_xll.xlShmInterpDisc(CurveName&amp;T($C$26),AE655)</f>
        <v>1.0063284629866702</v>
      </c>
      <c r="AH655" s="127">
        <f t="shared" si="17"/>
        <v>0</v>
      </c>
    </row>
    <row r="656" spans="30:34" x14ac:dyDescent="0.2">
      <c r="AD656" s="13" t="s">
        <v>94</v>
      </c>
      <c r="AE656" s="126">
        <f>_xll.qlCalendarAdvance(Calendar,AE655,AD656,BizDayConv)</f>
        <v>43672</v>
      </c>
      <c r="AF656" s="125">
        <f>_xll.qlYieldTSDiscount($C$31,AE656)</f>
        <v>1.0063317818090651</v>
      </c>
      <c r="AG656" s="125">
        <f>_xll.xlShmInterpDisc(CurveName&amp;T($C$26),AE656)</f>
        <v>1.0063317818090651</v>
      </c>
      <c r="AH656" s="127">
        <f t="shared" si="17"/>
        <v>0</v>
      </c>
    </row>
    <row r="657" spans="30:34" x14ac:dyDescent="0.2">
      <c r="AD657" s="13" t="s">
        <v>94</v>
      </c>
      <c r="AE657" s="126">
        <f>_xll.qlCalendarAdvance(Calendar,AE656,AD657,BizDayConv)</f>
        <v>43675</v>
      </c>
      <c r="AF657" s="125">
        <f>_xll.qlYieldTSDiscount($C$31,AE657)</f>
        <v>1.0063416713821243</v>
      </c>
      <c r="AG657" s="125">
        <f>_xll.xlShmInterpDisc(CurveName&amp;T($C$26),AE657)</f>
        <v>1.0063416713821243</v>
      </c>
      <c r="AH657" s="127">
        <f t="shared" si="17"/>
        <v>0</v>
      </c>
    </row>
    <row r="658" spans="30:34" x14ac:dyDescent="0.2">
      <c r="AD658" s="13" t="s">
        <v>94</v>
      </c>
      <c r="AE658" s="126">
        <f>_xll.qlCalendarAdvance(Calendar,AE657,AD658,BizDayConv)</f>
        <v>43676</v>
      </c>
      <c r="AF658" s="125">
        <f>_xll.qlYieldTSDiscount($C$31,AE658)</f>
        <v>1.0063449454509488</v>
      </c>
      <c r="AG658" s="125">
        <f>_xll.xlShmInterpDisc(CurveName&amp;T($C$26),AE658)</f>
        <v>1.0063449454509488</v>
      </c>
      <c r="AH658" s="127">
        <f t="shared" si="17"/>
        <v>0</v>
      </c>
    </row>
    <row r="659" spans="30:34" x14ac:dyDescent="0.2">
      <c r="AD659" s="13" t="s">
        <v>94</v>
      </c>
      <c r="AE659" s="126">
        <f>_xll.qlCalendarAdvance(Calendar,AE658,AD659,BizDayConv)</f>
        <v>43677</v>
      </c>
      <c r="AF659" s="125">
        <f>_xll.qlYieldTSDiscount($C$31,AE659)</f>
        <v>1.0063482082128932</v>
      </c>
      <c r="AG659" s="125">
        <f>_xll.xlShmInterpDisc(CurveName&amp;T($C$26),AE659)</f>
        <v>1.0063482082128932</v>
      </c>
      <c r="AH659" s="127">
        <f t="shared" si="17"/>
        <v>0</v>
      </c>
    </row>
    <row r="660" spans="30:34" x14ac:dyDescent="0.2">
      <c r="AD660" s="13" t="s">
        <v>94</v>
      </c>
      <c r="AE660" s="126">
        <f>_xll.qlCalendarAdvance(Calendar,AE659,AD660,BizDayConv)</f>
        <v>43678</v>
      </c>
      <c r="AF660" s="125">
        <f>_xll.qlYieldTSDiscount($C$31,AE660)</f>
        <v>1.0063514596202638</v>
      </c>
      <c r="AG660" s="125">
        <f>_xll.xlShmInterpDisc(CurveName&amp;T($C$26),AE660)</f>
        <v>1.0063514596202638</v>
      </c>
      <c r="AH660" s="127">
        <f t="shared" si="17"/>
        <v>0</v>
      </c>
    </row>
    <row r="661" spans="30:34" x14ac:dyDescent="0.2">
      <c r="AD661" s="13" t="s">
        <v>94</v>
      </c>
      <c r="AE661" s="126">
        <f>_xll.qlCalendarAdvance(Calendar,AE660,AD661,BizDayConv)</f>
        <v>43679</v>
      </c>
      <c r="AF661" s="125">
        <f>_xll.qlYieldTSDiscount($C$31,AE661)</f>
        <v>1.0063546996252191</v>
      </c>
      <c r="AG661" s="125">
        <f>_xll.xlShmInterpDisc(CurveName&amp;T($C$26),AE661)</f>
        <v>1.0063546996252191</v>
      </c>
      <c r="AH661" s="127">
        <f t="shared" si="17"/>
        <v>0</v>
      </c>
    </row>
    <row r="662" spans="30:34" x14ac:dyDescent="0.2">
      <c r="AD662" s="13" t="s">
        <v>94</v>
      </c>
      <c r="AE662" s="126">
        <f>_xll.qlCalendarAdvance(Calendar,AE661,AD662,BizDayConv)</f>
        <v>43682</v>
      </c>
      <c r="AF662" s="125">
        <f>_xll.qlYieldTSDiscount($C$31,AE662)</f>
        <v>1.0063643507449307</v>
      </c>
      <c r="AG662" s="125">
        <f>_xll.xlShmInterpDisc(CurveName&amp;T($C$26),AE662)</f>
        <v>1.0063643507449307</v>
      </c>
      <c r="AH662" s="127">
        <f t="shared" si="17"/>
        <v>0</v>
      </c>
    </row>
    <row r="663" spans="30:34" x14ac:dyDescent="0.2">
      <c r="AD663" s="13" t="s">
        <v>94</v>
      </c>
      <c r="AE663" s="126">
        <f>_xll.qlCalendarAdvance(Calendar,AE662,AD663,BizDayConv)</f>
        <v>43683</v>
      </c>
      <c r="AF663" s="125">
        <f>_xll.qlYieldTSDiscount($C$31,AE663)</f>
        <v>1.0063675446588185</v>
      </c>
      <c r="AG663" s="125">
        <f>_xll.xlShmInterpDisc(CurveName&amp;T($C$26),AE663)</f>
        <v>1.0063675446588185</v>
      </c>
      <c r="AH663" s="127">
        <f t="shared" si="17"/>
        <v>0</v>
      </c>
    </row>
    <row r="664" spans="30:34" x14ac:dyDescent="0.2">
      <c r="AD664" s="13" t="s">
        <v>94</v>
      </c>
      <c r="AE664" s="126">
        <f>_xll.qlCalendarAdvance(Calendar,AE663,AD664,BizDayConv)</f>
        <v>43684</v>
      </c>
      <c r="AF664" s="125">
        <f>_xll.qlYieldTSDiscount($C$31,AE664)</f>
        <v>1.0063707269288427</v>
      </c>
      <c r="AG664" s="125">
        <f>_xll.xlShmInterpDisc(CurveName&amp;T($C$26),AE664)</f>
        <v>1.0063707269288427</v>
      </c>
      <c r="AH664" s="127">
        <f t="shared" si="17"/>
        <v>0</v>
      </c>
    </row>
    <row r="665" spans="30:34" x14ac:dyDescent="0.2">
      <c r="AD665" s="13" t="s">
        <v>94</v>
      </c>
      <c r="AE665" s="126">
        <f>_xll.qlCalendarAdvance(Calendar,AE664,AD665,BizDayConv)</f>
        <v>43685</v>
      </c>
      <c r="AF665" s="125">
        <f>_xll.qlYieldTSDiscount($C$31,AE665)</f>
        <v>1.006373897506267</v>
      </c>
      <c r="AG665" s="125">
        <f>_xll.xlShmInterpDisc(CurveName&amp;T($C$26),AE665)</f>
        <v>1.006373897506267</v>
      </c>
      <c r="AH665" s="127">
        <f t="shared" si="17"/>
        <v>0</v>
      </c>
    </row>
    <row r="666" spans="30:34" x14ac:dyDescent="0.2">
      <c r="AD666" s="13" t="s">
        <v>94</v>
      </c>
      <c r="AE666" s="126">
        <f>_xll.qlCalendarAdvance(Calendar,AE665,AD666,BizDayConv)</f>
        <v>43686</v>
      </c>
      <c r="AF666" s="125">
        <f>_xll.qlYieldTSDiscount($C$31,AE666)</f>
        <v>1.0063770563422054</v>
      </c>
      <c r="AG666" s="125">
        <f>_xll.xlShmInterpDisc(CurveName&amp;T($C$26),AE666)</f>
        <v>1.0063770563422054</v>
      </c>
      <c r="AH666" s="127">
        <f t="shared" si="17"/>
        <v>0</v>
      </c>
    </row>
    <row r="667" spans="30:34" x14ac:dyDescent="0.2">
      <c r="AD667" s="13" t="s">
        <v>94</v>
      </c>
      <c r="AE667" s="126">
        <f>_xll.qlCalendarAdvance(Calendar,AE666,AD667,BizDayConv)</f>
        <v>43689</v>
      </c>
      <c r="AF667" s="125">
        <f>_xll.qlYieldTSDiscount($C$31,AE667)</f>
        <v>1.006386461910012</v>
      </c>
      <c r="AG667" s="125">
        <f>_xll.xlShmInterpDisc(CurveName&amp;T($C$26),AE667)</f>
        <v>1.006386461910012</v>
      </c>
      <c r="AH667" s="127">
        <f t="shared" si="17"/>
        <v>0</v>
      </c>
    </row>
    <row r="668" spans="30:34" x14ac:dyDescent="0.2">
      <c r="AD668" s="13" t="s">
        <v>94</v>
      </c>
      <c r="AE668" s="126">
        <f>_xll.qlCalendarAdvance(Calendar,AE667,AD668,BizDayConv)</f>
        <v>43690</v>
      </c>
      <c r="AF668" s="125">
        <f>_xll.qlYieldTSDiscount($C$31,AE668)</f>
        <v>1.0063895732881685</v>
      </c>
      <c r="AG668" s="125">
        <f>_xll.xlShmInterpDisc(CurveName&amp;T($C$26),AE668)</f>
        <v>1.0063895732881685</v>
      </c>
      <c r="AH668" s="127">
        <f t="shared" si="17"/>
        <v>0</v>
      </c>
    </row>
    <row r="669" spans="30:34" x14ac:dyDescent="0.2">
      <c r="AD669" s="13" t="s">
        <v>94</v>
      </c>
      <c r="AE669" s="126">
        <f>_xll.qlCalendarAdvance(Calendar,AE668,AD669,BizDayConv)</f>
        <v>43691</v>
      </c>
      <c r="AF669" s="125">
        <f>_xll.qlYieldTSDiscount($C$31,AE669)</f>
        <v>1.0063926726781744</v>
      </c>
      <c r="AG669" s="125">
        <f>_xll.xlShmInterpDisc(CurveName&amp;T($C$26),AE669)</f>
        <v>1.0063926726781744</v>
      </c>
      <c r="AH669" s="127">
        <f t="shared" si="17"/>
        <v>0</v>
      </c>
    </row>
    <row r="670" spans="30:34" x14ac:dyDescent="0.2">
      <c r="AD670" s="13" t="s">
        <v>94</v>
      </c>
      <c r="AE670" s="126">
        <f>_xll.qlCalendarAdvance(Calendar,AE669,AD670,BizDayConv)</f>
        <v>43692</v>
      </c>
      <c r="AF670" s="125">
        <f>_xll.qlYieldTSDiscount($C$31,AE670)</f>
        <v>1.0063957600302498</v>
      </c>
      <c r="AG670" s="125">
        <f>_xll.xlShmInterpDisc(CurveName&amp;T($C$26),AE670)</f>
        <v>1.0063957600302498</v>
      </c>
      <c r="AH670" s="127">
        <f t="shared" si="17"/>
        <v>0</v>
      </c>
    </row>
    <row r="671" spans="30:34" x14ac:dyDescent="0.2">
      <c r="AD671" s="13" t="s">
        <v>94</v>
      </c>
      <c r="AE671" s="126">
        <f>_xll.qlCalendarAdvance(Calendar,AE670,AD671,BizDayConv)</f>
        <v>43693</v>
      </c>
      <c r="AF671" s="125">
        <f>_xll.qlYieldTSDiscount($C$31,AE671)</f>
        <v>1.0063988352944657</v>
      </c>
      <c r="AG671" s="125">
        <f>_xll.xlShmInterpDisc(CurveName&amp;T($C$26),AE671)</f>
        <v>1.0063988352944657</v>
      </c>
      <c r="AH671" s="127">
        <f t="shared" si="17"/>
        <v>0</v>
      </c>
    </row>
    <row r="672" spans="30:34" x14ac:dyDescent="0.2">
      <c r="AD672" s="13" t="s">
        <v>94</v>
      </c>
      <c r="AE672" s="126">
        <f>_xll.qlCalendarAdvance(Calendar,AE671,AD672,BizDayConv)</f>
        <v>43696</v>
      </c>
      <c r="AF672" s="125">
        <f>_xll.qlYieldTSDiscount($C$31,AE672)</f>
        <v>1.0064079880584296</v>
      </c>
      <c r="AG672" s="125">
        <f>_xll.xlShmInterpDisc(CurveName&amp;T($C$26),AE672)</f>
        <v>1.0064079880584296</v>
      </c>
      <c r="AH672" s="127">
        <f t="shared" si="17"/>
        <v>0</v>
      </c>
    </row>
    <row r="673" spans="30:34" x14ac:dyDescent="0.2">
      <c r="AD673" s="13" t="s">
        <v>94</v>
      </c>
      <c r="AE673" s="126">
        <f>_xll.qlCalendarAdvance(Calendar,AE672,AD673,BizDayConv)</f>
        <v>43697</v>
      </c>
      <c r="AF673" s="125">
        <f>_xll.qlYieldTSDiscount($C$31,AE673)</f>
        <v>1.006411014468936</v>
      </c>
      <c r="AG673" s="125">
        <f>_xll.xlShmInterpDisc(CurveName&amp;T($C$26),AE673)</f>
        <v>1.006411014468936</v>
      </c>
      <c r="AH673" s="127">
        <f t="shared" si="17"/>
        <v>0</v>
      </c>
    </row>
    <row r="674" spans="30:34" x14ac:dyDescent="0.2">
      <c r="AD674" s="13" t="s">
        <v>94</v>
      </c>
      <c r="AE674" s="126">
        <f>_xll.qlCalendarAdvance(Calendar,AE673,AD674,BizDayConv)</f>
        <v>43698</v>
      </c>
      <c r="AF674" s="125">
        <f>_xll.qlYieldTSDiscount($C$31,AE674)</f>
        <v>1.0064140285397019</v>
      </c>
      <c r="AG674" s="125">
        <f>_xll.xlShmInterpDisc(CurveName&amp;T($C$26),AE674)</f>
        <v>1.0064140285397019</v>
      </c>
      <c r="AH674" s="127">
        <f t="shared" si="17"/>
        <v>0</v>
      </c>
    </row>
    <row r="675" spans="30:34" x14ac:dyDescent="0.2">
      <c r="AD675" s="13" t="s">
        <v>94</v>
      </c>
      <c r="AE675" s="126">
        <f>_xll.qlCalendarAdvance(Calendar,AE674,AD675,BizDayConv)</f>
        <v>43699</v>
      </c>
      <c r="AF675" s="125">
        <f>_xll.qlYieldTSDiscount($C$31,AE675)</f>
        <v>1.0064170302199043</v>
      </c>
      <c r="AG675" s="125">
        <f>_xll.xlShmInterpDisc(CurveName&amp;T($C$26),AE675)</f>
        <v>1.0064170302199043</v>
      </c>
      <c r="AH675" s="127">
        <f t="shared" si="17"/>
        <v>0</v>
      </c>
    </row>
    <row r="676" spans="30:34" x14ac:dyDescent="0.2">
      <c r="AD676" s="13" t="s">
        <v>94</v>
      </c>
      <c r="AE676" s="126">
        <f>_xll.qlCalendarAdvance(Calendar,AE675,AD676,BizDayConv)</f>
        <v>43700</v>
      </c>
      <c r="AF676" s="125">
        <f>_xll.qlYieldTSDiscount($C$31,AE676)</f>
        <v>1.0064200194585708</v>
      </c>
      <c r="AG676" s="125">
        <f>_xll.xlShmInterpDisc(CurveName&amp;T($C$26),AE676)</f>
        <v>1.0064200194585708</v>
      </c>
      <c r="AH676" s="127">
        <f t="shared" si="17"/>
        <v>0</v>
      </c>
    </row>
    <row r="677" spans="30:34" x14ac:dyDescent="0.2">
      <c r="AD677" s="13" t="s">
        <v>94</v>
      </c>
      <c r="AE677" s="126">
        <f>_xll.qlCalendarAdvance(Calendar,AE676,AD677,BizDayConv)</f>
        <v>43703</v>
      </c>
      <c r="AF677" s="125">
        <f>_xll.qlYieldTSDiscount($C$31,AE677)</f>
        <v>1.0064289120133989</v>
      </c>
      <c r="AG677" s="125">
        <f>_xll.xlShmInterpDisc(CurveName&amp;T($C$26),AE677)</f>
        <v>1.0064289120133989</v>
      </c>
      <c r="AH677" s="127">
        <f t="shared" si="17"/>
        <v>0</v>
      </c>
    </row>
    <row r="678" spans="30:34" x14ac:dyDescent="0.2">
      <c r="AD678" s="13" t="s">
        <v>94</v>
      </c>
      <c r="AE678" s="126">
        <f>_xll.qlCalendarAdvance(Calendar,AE677,AD678,BizDayConv)</f>
        <v>43704</v>
      </c>
      <c r="AF678" s="125">
        <f>_xll.qlYieldTSDiscount($C$31,AE678)</f>
        <v>1.0064318509732206</v>
      </c>
      <c r="AG678" s="125">
        <f>_xll.xlShmInterpDisc(CurveName&amp;T($C$26),AE678)</f>
        <v>1.0064318509732206</v>
      </c>
      <c r="AH678" s="127">
        <f t="shared" si="17"/>
        <v>0</v>
      </c>
    </row>
    <row r="679" spans="30:34" x14ac:dyDescent="0.2">
      <c r="AD679" s="13" t="s">
        <v>94</v>
      </c>
      <c r="AE679" s="126">
        <f>_xll.qlCalendarAdvance(Calendar,AE678,AD679,BizDayConv)</f>
        <v>43705</v>
      </c>
      <c r="AF679" s="125">
        <f>_xll.qlYieldTSDiscount($C$31,AE679)</f>
        <v>1.0064347772344102</v>
      </c>
      <c r="AG679" s="125">
        <f>_xll.xlShmInterpDisc(CurveName&amp;T($C$26),AE679)</f>
        <v>1.0064347772344102</v>
      </c>
      <c r="AH679" s="127">
        <f t="shared" si="17"/>
        <v>0</v>
      </c>
    </row>
    <row r="680" spans="30:34" x14ac:dyDescent="0.2">
      <c r="AD680" s="13" t="s">
        <v>94</v>
      </c>
      <c r="AE680" s="126">
        <f>_xll.qlCalendarAdvance(Calendar,AE679,AD680,BizDayConv)</f>
        <v>43706</v>
      </c>
      <c r="AF680" s="125">
        <f>_xll.qlYieldTSDiscount($C$31,AE680)</f>
        <v>1.0064376907451023</v>
      </c>
      <c r="AG680" s="125">
        <f>_xll.xlShmInterpDisc(CurveName&amp;T($C$26),AE680)</f>
        <v>1.0064376907451023</v>
      </c>
      <c r="AH680" s="127">
        <f t="shared" si="17"/>
        <v>0</v>
      </c>
    </row>
    <row r="681" spans="30:34" x14ac:dyDescent="0.2">
      <c r="AD681" s="13" t="s">
        <v>94</v>
      </c>
      <c r="AE681" s="126">
        <f>_xll.qlCalendarAdvance(Calendar,AE680,AD681,BizDayConv)</f>
        <v>43707</v>
      </c>
      <c r="AF681" s="125">
        <f>_xll.qlYieldTSDiscount($C$31,AE681)</f>
        <v>1.006440591453281</v>
      </c>
      <c r="AG681" s="125">
        <f>_xll.xlShmInterpDisc(CurveName&amp;T($C$26),AE681)</f>
        <v>1.006440591453281</v>
      </c>
      <c r="AH681" s="127">
        <f t="shared" si="17"/>
        <v>0</v>
      </c>
    </row>
    <row r="682" spans="30:34" x14ac:dyDescent="0.2">
      <c r="AD682" s="13" t="s">
        <v>94</v>
      </c>
      <c r="AE682" s="126">
        <f>_xll.qlCalendarAdvance(Calendar,AE681,AD682,BizDayConv)</f>
        <v>43710</v>
      </c>
      <c r="AF682" s="125">
        <f>_xll.qlYieldTSDiscount($C$31,AE682)</f>
        <v>1.0064492162403531</v>
      </c>
      <c r="AG682" s="125">
        <f>_xll.xlShmInterpDisc(CurveName&amp;T($C$26),AE682)</f>
        <v>1.0064492162403531</v>
      </c>
      <c r="AH682" s="127">
        <f t="shared" si="17"/>
        <v>0</v>
      </c>
    </row>
    <row r="683" spans="30:34" x14ac:dyDescent="0.2">
      <c r="AD683" s="13" t="s">
        <v>94</v>
      </c>
      <c r="AE683" s="126">
        <f>_xll.qlCalendarAdvance(Calendar,AE682,AD683,BizDayConv)</f>
        <v>43711</v>
      </c>
      <c r="AF683" s="125">
        <f>_xll.qlYieldTSDiscount($C$31,AE683)</f>
        <v>1.006452065215349</v>
      </c>
      <c r="AG683" s="125">
        <f>_xll.xlShmInterpDisc(CurveName&amp;T($C$26),AE683)</f>
        <v>1.006452065215349</v>
      </c>
      <c r="AH683" s="127">
        <f t="shared" si="17"/>
        <v>0</v>
      </c>
    </row>
    <row r="684" spans="30:34" x14ac:dyDescent="0.2">
      <c r="AD684" s="13" t="s">
        <v>94</v>
      </c>
      <c r="AE684" s="126">
        <f>_xll.qlCalendarAdvance(Calendar,AE683,AD684,BizDayConv)</f>
        <v>43712</v>
      </c>
      <c r="AF684" s="125">
        <f>_xll.qlYieldTSDiscount($C$31,AE684)</f>
        <v>1.0064549011255215</v>
      </c>
      <c r="AG684" s="125">
        <f>_xll.xlShmInterpDisc(CurveName&amp;T($C$26),AE684)</f>
        <v>1.0064549011255215</v>
      </c>
      <c r="AH684" s="127">
        <f t="shared" si="17"/>
        <v>0</v>
      </c>
    </row>
    <row r="685" spans="30:34" x14ac:dyDescent="0.2">
      <c r="AD685" s="13" t="s">
        <v>94</v>
      </c>
      <c r="AE685" s="126">
        <f>_xll.qlCalendarAdvance(Calendar,AE684,AD685,BizDayConv)</f>
        <v>43713</v>
      </c>
      <c r="AF685" s="125">
        <f>_xll.qlYieldTSDiscount($C$31,AE685)</f>
        <v>1.006457723917962</v>
      </c>
      <c r="AG685" s="125">
        <f>_xll.xlShmInterpDisc(CurveName&amp;T($C$26),AE685)</f>
        <v>1.006457723917962</v>
      </c>
      <c r="AH685" s="127">
        <f t="shared" si="17"/>
        <v>0</v>
      </c>
    </row>
    <row r="686" spans="30:34" x14ac:dyDescent="0.2">
      <c r="AD686" s="13" t="s">
        <v>94</v>
      </c>
      <c r="AE686" s="126">
        <f>_xll.qlCalendarAdvance(Calendar,AE685,AD686,BizDayConv)</f>
        <v>43714</v>
      </c>
      <c r="AF686" s="125">
        <f>_xll.qlYieldTSDiscount($C$31,AE686)</f>
        <v>1.0064605335396126</v>
      </c>
      <c r="AG686" s="125">
        <f>_xll.xlShmInterpDisc(CurveName&amp;T($C$26),AE686)</f>
        <v>1.0064605335396126</v>
      </c>
      <c r="AH686" s="127">
        <f t="shared" si="17"/>
        <v>0</v>
      </c>
    </row>
    <row r="687" spans="30:34" x14ac:dyDescent="0.2">
      <c r="AD687" s="13" t="s">
        <v>94</v>
      </c>
      <c r="AE687" s="126">
        <f>_xll.qlCalendarAdvance(Calendar,AE686,AD687,BizDayConv)</f>
        <v>43717</v>
      </c>
      <c r="AF687" s="125">
        <f>_xll.qlYieldTSDiscount($C$31,AE687)</f>
        <v>1.0064688828470114</v>
      </c>
      <c r="AG687" s="125">
        <f>_xll.xlShmInterpDisc(CurveName&amp;T($C$26),AE687)</f>
        <v>1.0064688828470114</v>
      </c>
      <c r="AH687" s="127">
        <f t="shared" si="17"/>
        <v>0</v>
      </c>
    </row>
    <row r="688" spans="30:34" x14ac:dyDescent="0.2">
      <c r="AD688" s="13" t="s">
        <v>94</v>
      </c>
      <c r="AE688" s="126">
        <f>_xll.qlCalendarAdvance(Calendar,AE687,AD688,BizDayConv)</f>
        <v>43718</v>
      </c>
      <c r="AF688" s="125">
        <f>_xll.qlYieldTSDiscount($C$31,AE688)</f>
        <v>1.0064716392519448</v>
      </c>
      <c r="AG688" s="125">
        <f>_xll.xlShmInterpDisc(CurveName&amp;T($C$26),AE688)</f>
        <v>1.0064716392519448</v>
      </c>
      <c r="AH688" s="127">
        <f t="shared" si="17"/>
        <v>0</v>
      </c>
    </row>
    <row r="689" spans="30:34" x14ac:dyDescent="0.2">
      <c r="AD689" s="13" t="s">
        <v>94</v>
      </c>
      <c r="AE689" s="126">
        <f>_xll.qlCalendarAdvance(Calendar,AE688,AD689,BizDayConv)</f>
        <v>43719</v>
      </c>
      <c r="AF689" s="125">
        <f>_xll.qlYieldTSDiscount($C$31,AE689)</f>
        <v>1.0064743822185649</v>
      </c>
      <c r="AG689" s="125">
        <f>_xll.xlShmInterpDisc(CurveName&amp;T($C$26),AE689)</f>
        <v>1.0064743822185649</v>
      </c>
      <c r="AH689" s="127">
        <f t="shared" si="17"/>
        <v>0</v>
      </c>
    </row>
    <row r="690" spans="30:34" x14ac:dyDescent="0.2">
      <c r="AD690" s="13" t="s">
        <v>94</v>
      </c>
      <c r="AE690" s="126">
        <f>_xll.qlCalendarAdvance(Calendar,AE689,AD690,BizDayConv)</f>
        <v>43720</v>
      </c>
      <c r="AF690" s="125">
        <f>_xll.qlYieldTSDiscount($C$31,AE690)</f>
        <v>1.0064771116929203</v>
      </c>
      <c r="AG690" s="125">
        <f>_xll.xlShmInterpDisc(CurveName&amp;T($C$26),AE690)</f>
        <v>1.0064771116929203</v>
      </c>
      <c r="AH690" s="127">
        <f t="shared" si="17"/>
        <v>0</v>
      </c>
    </row>
    <row r="691" spans="30:34" x14ac:dyDescent="0.2">
      <c r="AD691" s="13" t="s">
        <v>94</v>
      </c>
      <c r="AE691" s="126">
        <f>_xll.qlCalendarAdvance(Calendar,AE690,AD691,BizDayConv)</f>
        <v>43721</v>
      </c>
      <c r="AF691" s="125">
        <f>_xll.qlYieldTSDiscount($C$31,AE691)</f>
        <v>1.0064798276209108</v>
      </c>
      <c r="AG691" s="125">
        <f>_xll.xlShmInterpDisc(CurveName&amp;T($C$26),AE691)</f>
        <v>1.0064798276209108</v>
      </c>
      <c r="AH691" s="127">
        <f t="shared" si="17"/>
        <v>0</v>
      </c>
    </row>
    <row r="692" spans="30:34" x14ac:dyDescent="0.2">
      <c r="AD692" s="13" t="s">
        <v>94</v>
      </c>
      <c r="AE692" s="126">
        <f>_xll.qlCalendarAdvance(Calendar,AE691,AD692,BizDayConv)</f>
        <v>43724</v>
      </c>
      <c r="AF692" s="125">
        <f>_xll.qlYieldTSDiscount($C$31,AE692)</f>
        <v>1.0064878935834556</v>
      </c>
      <c r="AG692" s="125">
        <f>_xll.xlShmInterpDisc(CurveName&amp;T($C$26),AE692)</f>
        <v>1.0064878935834556</v>
      </c>
      <c r="AH692" s="127">
        <f t="shared" si="17"/>
        <v>0</v>
      </c>
    </row>
    <row r="693" spans="30:34" x14ac:dyDescent="0.2">
      <c r="AD693" s="13" t="s">
        <v>94</v>
      </c>
      <c r="AE693" s="126">
        <f>_xll.qlCalendarAdvance(Calendar,AE692,AD693,BizDayConv)</f>
        <v>43725</v>
      </c>
      <c r="AF693" s="125">
        <f>_xll.qlYieldTSDiscount($C$31,AE693)</f>
        <v>1.0064905547820049</v>
      </c>
      <c r="AG693" s="125">
        <f>_xll.xlShmInterpDisc(CurveName&amp;T($C$26),AE693)</f>
        <v>1.0064905547820049</v>
      </c>
      <c r="AH693" s="127">
        <f t="shared" si="17"/>
        <v>0</v>
      </c>
    </row>
    <row r="694" spans="30:34" x14ac:dyDescent="0.2">
      <c r="AD694" s="13" t="s">
        <v>94</v>
      </c>
      <c r="AE694" s="126">
        <f>_xll.qlCalendarAdvance(Calendar,AE693,AD694,BizDayConv)</f>
        <v>43726</v>
      </c>
      <c r="AF694" s="125">
        <f>_xll.qlYieldTSDiscount($C$31,AE694)</f>
        <v>1.0064932021614543</v>
      </c>
      <c r="AG694" s="125">
        <f>_xll.xlShmInterpDisc(CurveName&amp;T($C$26),AE694)</f>
        <v>1.0064932021614543</v>
      </c>
      <c r="AH694" s="127">
        <f t="shared" si="17"/>
        <v>0</v>
      </c>
    </row>
    <row r="695" spans="30:34" x14ac:dyDescent="0.2">
      <c r="AD695" s="13" t="s">
        <v>94</v>
      </c>
      <c r="AE695" s="126">
        <f>_xll.qlCalendarAdvance(Calendar,AE694,AD695,BizDayConv)</f>
        <v>43727</v>
      </c>
      <c r="AF695" s="125">
        <f>_xll.qlYieldTSDiscount($C$31,AE695)</f>
        <v>1.0064958356668099</v>
      </c>
      <c r="AG695" s="125">
        <f>_xll.xlShmInterpDisc(CurveName&amp;T($C$26),AE695)</f>
        <v>1.0064958356668099</v>
      </c>
      <c r="AH695" s="127">
        <f t="shared" si="17"/>
        <v>0</v>
      </c>
    </row>
    <row r="696" spans="30:34" x14ac:dyDescent="0.2">
      <c r="AD696" s="13" t="s">
        <v>94</v>
      </c>
      <c r="AE696" s="126">
        <f>_xll.qlCalendarAdvance(Calendar,AE695,AD696,BizDayConv)</f>
        <v>43728</v>
      </c>
      <c r="AF696" s="125">
        <f>_xll.qlYieldTSDiscount($C$31,AE696)</f>
        <v>1.006498458102034</v>
      </c>
      <c r="AG696" s="125">
        <f>_xll.xlShmInterpDisc(CurveName&amp;T($C$26),AE696)</f>
        <v>1.006498458102034</v>
      </c>
      <c r="AH696" s="127">
        <f t="shared" si="17"/>
        <v>0</v>
      </c>
    </row>
    <row r="697" spans="30:34" x14ac:dyDescent="0.2">
      <c r="AD697" s="13" t="s">
        <v>94</v>
      </c>
      <c r="AE697" s="126">
        <f>_xll.qlCalendarAdvance(Calendar,AE696,AD697,BizDayConv)</f>
        <v>43731</v>
      </c>
      <c r="AF697" s="125">
        <f>_xll.qlYieldTSDiscount($C$31,AE697)</f>
        <v>1.0065062750083489</v>
      </c>
      <c r="AG697" s="125">
        <f>_xll.xlShmInterpDisc(CurveName&amp;T($C$26),AE697)</f>
        <v>1.0065062750083489</v>
      </c>
      <c r="AH697" s="127">
        <f t="shared" si="17"/>
        <v>0</v>
      </c>
    </row>
    <row r="698" spans="30:34" x14ac:dyDescent="0.2">
      <c r="AD698" s="13" t="s">
        <v>94</v>
      </c>
      <c r="AE698" s="126">
        <f>_xll.qlCalendarAdvance(Calendar,AE697,AD698,BizDayConv)</f>
        <v>43732</v>
      </c>
      <c r="AF698" s="125">
        <f>_xll.qlYieldTSDiscount($C$31,AE698)</f>
        <v>1.0065088634157262</v>
      </c>
      <c r="AG698" s="125">
        <f>_xll.xlShmInterpDisc(CurveName&amp;T($C$26),AE698)</f>
        <v>1.0065088634157262</v>
      </c>
      <c r="AH698" s="127">
        <f t="shared" si="17"/>
        <v>0</v>
      </c>
    </row>
    <row r="699" spans="30:34" x14ac:dyDescent="0.2">
      <c r="AD699" s="13" t="s">
        <v>94</v>
      </c>
      <c r="AE699" s="126">
        <f>_xll.qlCalendarAdvance(Calendar,AE698,AD699,BizDayConv)</f>
        <v>43733</v>
      </c>
      <c r="AF699" s="125">
        <f>_xll.qlYieldTSDiscount($C$31,AE699)</f>
        <v>1.0065114429936599</v>
      </c>
      <c r="AG699" s="125">
        <f>_xll.xlShmInterpDisc(CurveName&amp;T($C$26),AE699)</f>
        <v>1.0065114429936599</v>
      </c>
      <c r="AH699" s="127">
        <f t="shared" si="17"/>
        <v>0</v>
      </c>
    </row>
    <row r="700" spans="30:34" x14ac:dyDescent="0.2">
      <c r="AD700" s="13" t="s">
        <v>94</v>
      </c>
      <c r="AE700" s="126">
        <f>_xll.qlCalendarAdvance(Calendar,AE699,AD700,BizDayConv)</f>
        <v>43734</v>
      </c>
      <c r="AF700" s="125">
        <f>_xll.qlYieldTSDiscount($C$31,AE700)</f>
        <v>1.0065140136121375</v>
      </c>
      <c r="AG700" s="125">
        <f>_xll.xlShmInterpDisc(CurveName&amp;T($C$26),AE700)</f>
        <v>1.0065140136121375</v>
      </c>
      <c r="AH700" s="127">
        <f t="shared" si="17"/>
        <v>0</v>
      </c>
    </row>
    <row r="701" spans="30:34" x14ac:dyDescent="0.2">
      <c r="AD701" s="13" t="s">
        <v>94</v>
      </c>
      <c r="AE701" s="126">
        <f>_xll.qlCalendarAdvance(Calendar,AE700,AD701,BizDayConv)</f>
        <v>43735</v>
      </c>
      <c r="AF701" s="125">
        <f>_xll.qlYieldTSDiscount($C$31,AE701)</f>
        <v>1.006516575140636</v>
      </c>
      <c r="AG701" s="125">
        <f>_xll.xlShmInterpDisc(CurveName&amp;T($C$26),AE701)</f>
        <v>1.006516575140636</v>
      </c>
      <c r="AH701" s="127">
        <f t="shared" si="17"/>
        <v>0</v>
      </c>
    </row>
    <row r="702" spans="30:34" x14ac:dyDescent="0.2">
      <c r="AD702" s="13" t="s">
        <v>94</v>
      </c>
      <c r="AE702" s="126">
        <f>_xll.qlCalendarAdvance(Calendar,AE701,AD702,BizDayConv)</f>
        <v>43738</v>
      </c>
      <c r="AF702" s="125">
        <f>_xll.qlYieldTSDiscount($C$31,AE702)</f>
        <v>1.0065242038733795</v>
      </c>
      <c r="AG702" s="125">
        <f>_xll.xlShmInterpDisc(CurveName&amp;T($C$26),AE702)</f>
        <v>1.0065242038733795</v>
      </c>
      <c r="AH702" s="127">
        <f t="shared" si="17"/>
        <v>0</v>
      </c>
    </row>
    <row r="703" spans="30:34" x14ac:dyDescent="0.2">
      <c r="AD703" s="13" t="s">
        <v>94</v>
      </c>
      <c r="AE703" s="126">
        <f>_xll.qlCalendarAdvance(Calendar,AE702,AD703,BizDayConv)</f>
        <v>43739</v>
      </c>
      <c r="AF703" s="125">
        <f>_xll.qlYieldTSDiscount($C$31,AE703)</f>
        <v>1.006526727726534</v>
      </c>
      <c r="AG703" s="125">
        <f>_xll.xlShmInterpDisc(CurveName&amp;T($C$26),AE703)</f>
        <v>1.006526727726534</v>
      </c>
      <c r="AH703" s="127">
        <f t="shared" si="17"/>
        <v>0</v>
      </c>
    </row>
    <row r="704" spans="30:34" x14ac:dyDescent="0.2">
      <c r="AD704" s="13" t="s">
        <v>94</v>
      </c>
      <c r="AE704" s="126">
        <f>_xll.qlCalendarAdvance(Calendar,AE703,AD704,BizDayConv)</f>
        <v>43740</v>
      </c>
      <c r="AF704" s="125">
        <f>_xll.qlYieldTSDiscount($C$31,AE704)</f>
        <v>1.0065292418294451</v>
      </c>
      <c r="AG704" s="125">
        <f>_xll.xlShmInterpDisc(CurveName&amp;T($C$26),AE704)</f>
        <v>1.0065292418294451</v>
      </c>
      <c r="AH704" s="127">
        <f t="shared" si="17"/>
        <v>0</v>
      </c>
    </row>
    <row r="705" spans="30:34" x14ac:dyDescent="0.2">
      <c r="AD705" s="13" t="s">
        <v>94</v>
      </c>
      <c r="AE705" s="126">
        <f>_xll.qlCalendarAdvance(Calendar,AE704,AD705,BizDayConv)</f>
        <v>43741</v>
      </c>
      <c r="AF705" s="125">
        <f>_xll.qlYieldTSDiscount($C$31,AE705)</f>
        <v>1.0065317460485306</v>
      </c>
      <c r="AG705" s="125">
        <f>_xll.xlShmInterpDisc(CurveName&amp;T($C$26),AE705)</f>
        <v>1.0065317460485306</v>
      </c>
      <c r="AH705" s="127">
        <f t="shared" si="17"/>
        <v>0</v>
      </c>
    </row>
    <row r="706" spans="30:34" x14ac:dyDescent="0.2">
      <c r="AD706" s="13" t="s">
        <v>94</v>
      </c>
      <c r="AE706" s="126">
        <f>_xll.qlCalendarAdvance(Calendar,AE705,AD706,BizDayConv)</f>
        <v>43742</v>
      </c>
      <c r="AF706" s="125">
        <f>_xll.qlYieldTSDiscount($C$31,AE706)</f>
        <v>1.0065342402496971</v>
      </c>
      <c r="AG706" s="125">
        <f>_xll.xlShmInterpDisc(CurveName&amp;T($C$26),AE706)</f>
        <v>1.0065342402496971</v>
      </c>
      <c r="AH706" s="127">
        <f t="shared" si="17"/>
        <v>0</v>
      </c>
    </row>
    <row r="707" spans="30:34" x14ac:dyDescent="0.2">
      <c r="AD707" s="13" t="s">
        <v>94</v>
      </c>
      <c r="AE707" s="126">
        <f>_xll.qlCalendarAdvance(Calendar,AE706,AD707,BizDayConv)</f>
        <v>43745</v>
      </c>
      <c r="AF707" s="125">
        <f>_xll.qlYieldTSDiscount($C$31,AE707)</f>
        <v>1.0065416613971063</v>
      </c>
      <c r="AG707" s="125">
        <f>_xll.xlShmInterpDisc(CurveName&amp;T($C$26),AE707)</f>
        <v>1.0065416613971063</v>
      </c>
      <c r="AH707" s="127">
        <f t="shared" si="17"/>
        <v>0</v>
      </c>
    </row>
    <row r="708" spans="30:34" x14ac:dyDescent="0.2">
      <c r="AD708" s="13" t="s">
        <v>94</v>
      </c>
      <c r="AE708" s="126">
        <f>_xll.qlCalendarAdvance(Calendar,AE707,AD708,BizDayConv)</f>
        <v>43746</v>
      </c>
      <c r="AF708" s="125">
        <f>_xll.qlYieldTSDiscount($C$31,AE708)</f>
        <v>1.0065441141754703</v>
      </c>
      <c r="AG708" s="125">
        <f>_xll.xlShmInterpDisc(CurveName&amp;T($C$26),AE708)</f>
        <v>1.0065441141754703</v>
      </c>
      <c r="AH708" s="127">
        <f t="shared" ref="AH708:AH771" si="18">(AF708-AG708)</f>
        <v>0</v>
      </c>
    </row>
    <row r="709" spans="30:34" x14ac:dyDescent="0.2">
      <c r="AD709" s="13" t="s">
        <v>94</v>
      </c>
      <c r="AE709" s="126">
        <f>_xll.qlCalendarAdvance(Calendar,AE708,AD709,BizDayConv)</f>
        <v>43747</v>
      </c>
      <c r="AF709" s="125">
        <f>_xll.qlYieldTSDiscount($C$31,AE709)</f>
        <v>1.006546556257802</v>
      </c>
      <c r="AG709" s="125">
        <f>_xll.xlShmInterpDisc(CurveName&amp;T($C$26),AE709)</f>
        <v>1.006546556257802</v>
      </c>
      <c r="AH709" s="127">
        <f t="shared" si="18"/>
        <v>0</v>
      </c>
    </row>
    <row r="710" spans="30:34" x14ac:dyDescent="0.2">
      <c r="AD710" s="13" t="s">
        <v>94</v>
      </c>
      <c r="AE710" s="126">
        <f>_xll.qlCalendarAdvance(Calendar,AE709,AD710,BizDayConv)</f>
        <v>43748</v>
      </c>
      <c r="AF710" s="125">
        <f>_xll.qlYieldTSDiscount($C$31,AE710)</f>
        <v>1.0065489875069489</v>
      </c>
      <c r="AG710" s="125">
        <f>_xll.xlShmInterpDisc(CurveName&amp;T($C$26),AE710)</f>
        <v>1.0065489875069489</v>
      </c>
      <c r="AH710" s="127">
        <f t="shared" si="18"/>
        <v>0</v>
      </c>
    </row>
    <row r="711" spans="30:34" x14ac:dyDescent="0.2">
      <c r="AD711" s="13" t="s">
        <v>94</v>
      </c>
      <c r="AE711" s="126">
        <f>_xll.qlCalendarAdvance(Calendar,AE710,AD711,BizDayConv)</f>
        <v>43749</v>
      </c>
      <c r="AF711" s="125">
        <f>_xll.qlYieldTSDiscount($C$31,AE711)</f>
        <v>1.0065514077852484</v>
      </c>
      <c r="AG711" s="125">
        <f>_xll.xlShmInterpDisc(CurveName&amp;T($C$26),AE711)</f>
        <v>1.0065514077852484</v>
      </c>
      <c r="AH711" s="127">
        <f t="shared" si="18"/>
        <v>0</v>
      </c>
    </row>
    <row r="712" spans="30:34" x14ac:dyDescent="0.2">
      <c r="AD712" s="13" t="s">
        <v>94</v>
      </c>
      <c r="AE712" s="126">
        <f>_xll.qlCalendarAdvance(Calendar,AE711,AD712,BizDayConv)</f>
        <v>43752</v>
      </c>
      <c r="AF712" s="125">
        <f>_xll.qlYieldTSDiscount($C$31,AE712)</f>
        <v>1.0065586014107892</v>
      </c>
      <c r="AG712" s="125">
        <f>_xll.xlShmInterpDisc(CurveName&amp;T($C$26),AE712)</f>
        <v>1.0065586014107892</v>
      </c>
      <c r="AH712" s="127">
        <f t="shared" si="18"/>
        <v>0</v>
      </c>
    </row>
    <row r="713" spans="30:34" x14ac:dyDescent="0.2">
      <c r="AD713" s="13" t="s">
        <v>94</v>
      </c>
      <c r="AE713" s="126">
        <f>_xll.qlCalendarAdvance(Calendar,AE712,AD713,BizDayConv)</f>
        <v>43753</v>
      </c>
      <c r="AF713" s="125">
        <f>_xll.qlYieldTSDiscount($C$31,AE713)</f>
        <v>1.0065609764188763</v>
      </c>
      <c r="AG713" s="125">
        <f>_xll.xlShmInterpDisc(CurveName&amp;T($C$26),AE713)</f>
        <v>1.0065609764188763</v>
      </c>
      <c r="AH713" s="127">
        <f t="shared" si="18"/>
        <v>0</v>
      </c>
    </row>
    <row r="714" spans="30:34" x14ac:dyDescent="0.2">
      <c r="AD714" s="13" t="s">
        <v>94</v>
      </c>
      <c r="AE714" s="126">
        <f>_xll.qlCalendarAdvance(Calendar,AE713,AD714,BizDayConv)</f>
        <v>43754</v>
      </c>
      <c r="AF714" s="125">
        <f>_xll.qlYieldTSDiscount($C$31,AE714)</f>
        <v>1.0065633397601548</v>
      </c>
      <c r="AG714" s="125">
        <f>_xll.xlShmInterpDisc(CurveName&amp;T($C$26),AE714)</f>
        <v>1.0065633397601548</v>
      </c>
      <c r="AH714" s="127">
        <f t="shared" si="18"/>
        <v>0</v>
      </c>
    </row>
    <row r="715" spans="30:34" x14ac:dyDescent="0.2">
      <c r="AD715" s="13" t="s">
        <v>94</v>
      </c>
      <c r="AE715" s="126">
        <f>_xll.qlCalendarAdvance(Calendar,AE714,AD715,BizDayConv)</f>
        <v>43755</v>
      </c>
      <c r="AF715" s="125">
        <f>_xll.qlYieldTSDiscount($C$31,AE715)</f>
        <v>1.0065656912939032</v>
      </c>
      <c r="AG715" s="125">
        <f>_xll.xlShmInterpDisc(CurveName&amp;T($C$26),AE715)</f>
        <v>1.0065656912939032</v>
      </c>
      <c r="AH715" s="127">
        <f t="shared" si="18"/>
        <v>0</v>
      </c>
    </row>
    <row r="716" spans="30:34" x14ac:dyDescent="0.2">
      <c r="AD716" s="13" t="s">
        <v>94</v>
      </c>
      <c r="AE716" s="126">
        <f>_xll.qlCalendarAdvance(Calendar,AE715,AD716,BizDayConv)</f>
        <v>43756</v>
      </c>
      <c r="AF716" s="125">
        <f>_xll.qlYieldTSDiscount($C$31,AE716)</f>
        <v>1.0065680308788896</v>
      </c>
      <c r="AG716" s="125">
        <f>_xll.xlShmInterpDisc(CurveName&amp;T($C$26),AE716)</f>
        <v>1.0065680308788896</v>
      </c>
      <c r="AH716" s="127">
        <f t="shared" si="18"/>
        <v>0</v>
      </c>
    </row>
    <row r="717" spans="30:34" x14ac:dyDescent="0.2">
      <c r="AD717" s="13" t="s">
        <v>94</v>
      </c>
      <c r="AE717" s="126">
        <f>_xll.qlCalendarAdvance(Calendar,AE716,AD717,BizDayConv)</f>
        <v>43759</v>
      </c>
      <c r="AF717" s="125">
        <f>_xll.qlYieldTSDiscount($C$31,AE717)</f>
        <v>1.0065749765213117</v>
      </c>
      <c r="AG717" s="125">
        <f>_xll.xlShmInterpDisc(CurveName&amp;T($C$26),AE717)</f>
        <v>1.0065749765213117</v>
      </c>
      <c r="AH717" s="127">
        <f t="shared" si="18"/>
        <v>0</v>
      </c>
    </row>
    <row r="718" spans="30:34" x14ac:dyDescent="0.2">
      <c r="AD718" s="13" t="s">
        <v>94</v>
      </c>
      <c r="AE718" s="126">
        <f>_xll.qlCalendarAdvance(Calendar,AE717,AD718,BizDayConv)</f>
        <v>43760</v>
      </c>
      <c r="AF718" s="125">
        <f>_xll.qlYieldTSDiscount($C$31,AE718)</f>
        <v>1.0065772668887358</v>
      </c>
      <c r="AG718" s="125">
        <f>_xll.xlShmInterpDisc(CurveName&amp;T($C$26),AE718)</f>
        <v>1.0065772668887358</v>
      </c>
      <c r="AH718" s="127">
        <f t="shared" si="18"/>
        <v>0</v>
      </c>
    </row>
    <row r="719" spans="30:34" x14ac:dyDescent="0.2">
      <c r="AD719" s="13" t="s">
        <v>94</v>
      </c>
      <c r="AE719" s="126">
        <f>_xll.qlCalendarAdvance(Calendar,AE718,AD719,BizDayConv)</f>
        <v>43761</v>
      </c>
      <c r="AF719" s="125">
        <f>_xll.qlYieldTSDiscount($C$31,AE719)</f>
        <v>1.0065795445935917</v>
      </c>
      <c r="AG719" s="125">
        <f>_xll.xlShmInterpDisc(CurveName&amp;T($C$26),AE719)</f>
        <v>1.0065795445935917</v>
      </c>
      <c r="AH719" s="127">
        <f t="shared" si="18"/>
        <v>0</v>
      </c>
    </row>
    <row r="720" spans="30:34" x14ac:dyDescent="0.2">
      <c r="AD720" s="13" t="s">
        <v>94</v>
      </c>
      <c r="AE720" s="126">
        <f>_xll.qlCalendarAdvance(Calendar,AE719,AD720,BizDayConv)</f>
        <v>43762</v>
      </c>
      <c r="AF720" s="125">
        <f>_xll.qlYieldTSDiscount($C$31,AE720)</f>
        <v>1.0065818094915888</v>
      </c>
      <c r="AG720" s="125">
        <f>_xll.xlShmInterpDisc(CurveName&amp;T($C$26),AE720)</f>
        <v>1.0065818094915888</v>
      </c>
      <c r="AH720" s="127">
        <f t="shared" si="18"/>
        <v>0</v>
      </c>
    </row>
    <row r="721" spans="30:34" x14ac:dyDescent="0.2">
      <c r="AD721" s="13" t="s">
        <v>94</v>
      </c>
      <c r="AE721" s="126">
        <f>_xll.qlCalendarAdvance(Calendar,AE720,AD721,BizDayConv)</f>
        <v>43763</v>
      </c>
      <c r="AF721" s="125">
        <f>_xll.qlYieldTSDiscount($C$31,AE721)</f>
        <v>1.0065840614379264</v>
      </c>
      <c r="AG721" s="125">
        <f>_xll.xlShmInterpDisc(CurveName&amp;T($C$26),AE721)</f>
        <v>1.0065840614379264</v>
      </c>
      <c r="AH721" s="127">
        <f t="shared" si="18"/>
        <v>0</v>
      </c>
    </row>
    <row r="722" spans="30:34" x14ac:dyDescent="0.2">
      <c r="AD722" s="13" t="s">
        <v>94</v>
      </c>
      <c r="AE722" s="126">
        <f>_xll.qlCalendarAdvance(Calendar,AE721,AD722,BizDayConv)</f>
        <v>43766</v>
      </c>
      <c r="AF722" s="125">
        <f>_xll.qlYieldTSDiscount($C$31,AE722)</f>
        <v>1.0065907381113326</v>
      </c>
      <c r="AG722" s="125">
        <f>_xll.xlShmInterpDisc(CurveName&amp;T($C$26),AE722)</f>
        <v>1.0065907381113326</v>
      </c>
      <c r="AH722" s="127">
        <f t="shared" si="18"/>
        <v>0</v>
      </c>
    </row>
    <row r="723" spans="30:34" x14ac:dyDescent="0.2">
      <c r="AD723" s="13" t="s">
        <v>94</v>
      </c>
      <c r="AE723" s="126">
        <f>_xll.qlCalendarAdvance(Calendar,AE722,AD723,BizDayConv)</f>
        <v>43767</v>
      </c>
      <c r="AF723" s="125">
        <f>_xll.qlYieldTSDiscount($C$31,AE723)</f>
        <v>1.0065929367928332</v>
      </c>
      <c r="AG723" s="125">
        <f>_xll.xlShmInterpDisc(CurveName&amp;T($C$26),AE723)</f>
        <v>1.0065929367928332</v>
      </c>
      <c r="AH723" s="127">
        <f t="shared" si="18"/>
        <v>0</v>
      </c>
    </row>
    <row r="724" spans="30:34" x14ac:dyDescent="0.2">
      <c r="AD724" s="13" t="s">
        <v>94</v>
      </c>
      <c r="AE724" s="126">
        <f>_xll.qlCalendarAdvance(Calendar,AE723,AD724,BizDayConv)</f>
        <v>43768</v>
      </c>
      <c r="AF724" s="125">
        <f>_xll.qlYieldTSDiscount($C$31,AE724)</f>
        <v>1.0065951217910258</v>
      </c>
      <c r="AG724" s="125">
        <f>_xll.xlShmInterpDisc(CurveName&amp;T($C$26),AE724)</f>
        <v>1.0065951217910258</v>
      </c>
      <c r="AH724" s="127">
        <f t="shared" si="18"/>
        <v>0</v>
      </c>
    </row>
    <row r="725" spans="30:34" x14ac:dyDescent="0.2">
      <c r="AD725" s="13" t="s">
        <v>94</v>
      </c>
      <c r="AE725" s="126">
        <f>_xll.qlCalendarAdvance(Calendar,AE724,AD725,BizDayConv)</f>
        <v>43769</v>
      </c>
      <c r="AF725" s="125">
        <f>_xll.qlYieldTSDiscount($C$31,AE725)</f>
        <v>1.006597292958052</v>
      </c>
      <c r="AG725" s="125">
        <f>_xll.xlShmInterpDisc(CurveName&amp;T($C$26),AE725)</f>
        <v>1.006597292958052</v>
      </c>
      <c r="AH725" s="127">
        <f t="shared" si="18"/>
        <v>0</v>
      </c>
    </row>
    <row r="726" spans="30:34" x14ac:dyDescent="0.2">
      <c r="AD726" s="13" t="s">
        <v>94</v>
      </c>
      <c r="AE726" s="126">
        <f>_xll.qlCalendarAdvance(Calendar,AE725,AD726,BizDayConv)</f>
        <v>43770</v>
      </c>
      <c r="AF726" s="125">
        <f>_xll.qlYieldTSDiscount($C$31,AE726)</f>
        <v>1.0065994501455426</v>
      </c>
      <c r="AG726" s="125">
        <f>_xll.xlShmInterpDisc(CurveName&amp;T($C$26),AE726)</f>
        <v>1.0065994501455426</v>
      </c>
      <c r="AH726" s="127">
        <f t="shared" si="18"/>
        <v>0</v>
      </c>
    </row>
    <row r="727" spans="30:34" x14ac:dyDescent="0.2">
      <c r="AD727" s="13" t="s">
        <v>94</v>
      </c>
      <c r="AE727" s="126">
        <f>_xll.qlCalendarAdvance(Calendar,AE726,AD727,BizDayConv)</f>
        <v>43773</v>
      </c>
      <c r="AF727" s="125">
        <f>_xll.qlYieldTSDiscount($C$31,AE727)</f>
        <v>1.0066058363394725</v>
      </c>
      <c r="AG727" s="125">
        <f>_xll.xlShmInterpDisc(CurveName&amp;T($C$26),AE727)</f>
        <v>1.0066058363394725</v>
      </c>
      <c r="AH727" s="127">
        <f t="shared" si="18"/>
        <v>0</v>
      </c>
    </row>
    <row r="728" spans="30:34" x14ac:dyDescent="0.2">
      <c r="AD728" s="13" t="s">
        <v>94</v>
      </c>
      <c r="AE728" s="126">
        <f>_xll.qlCalendarAdvance(Calendar,AE727,AD728,BizDayConv)</f>
        <v>43774</v>
      </c>
      <c r="AF728" s="125">
        <f>_xll.qlYieldTSDiscount($C$31,AE728)</f>
        <v>1.0066079361149434</v>
      </c>
      <c r="AG728" s="125">
        <f>_xll.xlShmInterpDisc(CurveName&amp;T($C$26),AE728)</f>
        <v>1.0066079361149434</v>
      </c>
      <c r="AH728" s="127">
        <f t="shared" si="18"/>
        <v>0</v>
      </c>
    </row>
    <row r="729" spans="30:34" x14ac:dyDescent="0.2">
      <c r="AD729" s="13" t="s">
        <v>94</v>
      </c>
      <c r="AE729" s="126">
        <f>_xll.qlCalendarAdvance(Calendar,AE728,AD729,BizDayConv)</f>
        <v>43775</v>
      </c>
      <c r="AF729" s="125">
        <f>_xll.qlYieldTSDiscount($C$31,AE729)</f>
        <v>1.0066100211613915</v>
      </c>
      <c r="AG729" s="125">
        <f>_xll.xlShmInterpDisc(CurveName&amp;T($C$26),AE729)</f>
        <v>1.0066100211613915</v>
      </c>
      <c r="AH729" s="127">
        <f t="shared" si="18"/>
        <v>0</v>
      </c>
    </row>
    <row r="730" spans="30:34" x14ac:dyDescent="0.2">
      <c r="AD730" s="13" t="s">
        <v>94</v>
      </c>
      <c r="AE730" s="126">
        <f>_xll.qlCalendarAdvance(Calendar,AE729,AD730,BizDayConv)</f>
        <v>43776</v>
      </c>
      <c r="AF730" s="125">
        <f>_xll.qlYieldTSDiscount($C$31,AE730)</f>
        <v>1.0066120913273904</v>
      </c>
      <c r="AG730" s="125">
        <f>_xll.xlShmInterpDisc(CurveName&amp;T($C$26),AE730)</f>
        <v>1.0066120913273904</v>
      </c>
      <c r="AH730" s="127">
        <f t="shared" si="18"/>
        <v>0</v>
      </c>
    </row>
    <row r="731" spans="30:34" x14ac:dyDescent="0.2">
      <c r="AD731" s="13" t="s">
        <v>94</v>
      </c>
      <c r="AE731" s="126">
        <f>_xll.qlCalendarAdvance(Calendar,AE730,AD731,BizDayConv)</f>
        <v>43777</v>
      </c>
      <c r="AF731" s="125">
        <f>_xll.qlYieldTSDiscount($C$31,AE731)</f>
        <v>1.0066141464610043</v>
      </c>
      <c r="AG731" s="125">
        <f>_xll.xlShmInterpDisc(CurveName&amp;T($C$26),AE731)</f>
        <v>1.0066141464610043</v>
      </c>
      <c r="AH731" s="127">
        <f t="shared" si="18"/>
        <v>0</v>
      </c>
    </row>
    <row r="732" spans="30:34" x14ac:dyDescent="0.2">
      <c r="AD732" s="13" t="s">
        <v>94</v>
      </c>
      <c r="AE732" s="126">
        <f>_xll.qlCalendarAdvance(Calendar,AE731,AD732,BizDayConv)</f>
        <v>43780</v>
      </c>
      <c r="AF732" s="125">
        <f>_xll.qlYieldTSDiscount($C$31,AE732)</f>
        <v>1.0066202201405337</v>
      </c>
      <c r="AG732" s="125">
        <f>_xll.xlShmInterpDisc(CurveName&amp;T($C$26),AE732)</f>
        <v>1.0066202201405337</v>
      </c>
      <c r="AH732" s="127">
        <f t="shared" si="18"/>
        <v>0</v>
      </c>
    </row>
    <row r="733" spans="30:34" x14ac:dyDescent="0.2">
      <c r="AD733" s="13" t="s">
        <v>94</v>
      </c>
      <c r="AE733" s="126">
        <f>_xll.qlCalendarAdvance(Calendar,AE732,AD733,BizDayConv)</f>
        <v>43781</v>
      </c>
      <c r="AF733" s="125">
        <f>_xll.qlYieldTSDiscount($C$31,AE733)</f>
        <v>1.0066222136150575</v>
      </c>
      <c r="AG733" s="125">
        <f>_xll.xlShmInterpDisc(CurveName&amp;T($C$26),AE733)</f>
        <v>1.0066222136150575</v>
      </c>
      <c r="AH733" s="127">
        <f t="shared" si="18"/>
        <v>0</v>
      </c>
    </row>
    <row r="734" spans="30:34" x14ac:dyDescent="0.2">
      <c r="AD734" s="13" t="s">
        <v>94</v>
      </c>
      <c r="AE734" s="126">
        <f>_xll.qlCalendarAdvance(Calendar,AE733,AD734,BizDayConv)</f>
        <v>43782</v>
      </c>
      <c r="AF734" s="125">
        <f>_xll.qlYieldTSDiscount($C$31,AE734)</f>
        <v>1.0066241912898737</v>
      </c>
      <c r="AG734" s="125">
        <f>_xll.xlShmInterpDisc(CurveName&amp;T($C$26),AE734)</f>
        <v>1.0066241912898737</v>
      </c>
      <c r="AH734" s="127">
        <f t="shared" si="18"/>
        <v>0</v>
      </c>
    </row>
    <row r="735" spans="30:34" x14ac:dyDescent="0.2">
      <c r="AD735" s="13" t="s">
        <v>94</v>
      </c>
      <c r="AE735" s="126">
        <f>_xll.qlCalendarAdvance(Calendar,AE734,AD735,BizDayConv)</f>
        <v>43783</v>
      </c>
      <c r="AF735" s="125">
        <f>_xll.qlYieldTSDiscount($C$31,AE735)</f>
        <v>1.0066261530099896</v>
      </c>
      <c r="AG735" s="125">
        <f>_xll.xlShmInterpDisc(CurveName&amp;T($C$26),AE735)</f>
        <v>1.0066261530099896</v>
      </c>
      <c r="AH735" s="127">
        <f t="shared" si="18"/>
        <v>0</v>
      </c>
    </row>
    <row r="736" spans="30:34" x14ac:dyDescent="0.2">
      <c r="AD736" s="13" t="s">
        <v>94</v>
      </c>
      <c r="AE736" s="126">
        <f>_xll.qlCalendarAdvance(Calendar,AE735,AD736,BizDayConv)</f>
        <v>43784</v>
      </c>
      <c r="AF736" s="125">
        <f>_xll.qlYieldTSDiscount($C$31,AE736)</f>
        <v>1.0066280986199023</v>
      </c>
      <c r="AG736" s="125">
        <f>_xll.xlShmInterpDisc(CurveName&amp;T($C$26),AE736)</f>
        <v>1.0066280986199023</v>
      </c>
      <c r="AH736" s="127">
        <f t="shared" si="18"/>
        <v>0</v>
      </c>
    </row>
    <row r="737" spans="30:34" x14ac:dyDescent="0.2">
      <c r="AD737" s="13" t="s">
        <v>94</v>
      </c>
      <c r="AE737" s="126">
        <f>_xll.qlCalendarAdvance(Calendar,AE736,AD737,BizDayConv)</f>
        <v>43787</v>
      </c>
      <c r="AF737" s="125">
        <f>_xll.qlYieldTSDiscount($C$31,AE737)</f>
        <v>1.0066338372257577</v>
      </c>
      <c r="AG737" s="125">
        <f>_xll.xlShmInterpDisc(CurveName&amp;T($C$26),AE737)</f>
        <v>1.0066338372257577</v>
      </c>
      <c r="AH737" s="127">
        <f t="shared" si="18"/>
        <v>0</v>
      </c>
    </row>
    <row r="738" spans="30:34" x14ac:dyDescent="0.2">
      <c r="AD738" s="13" t="s">
        <v>94</v>
      </c>
      <c r="AE738" s="126">
        <f>_xll.qlCalendarAdvance(Calendar,AE737,AD738,BizDayConv)</f>
        <v>43788</v>
      </c>
      <c r="AF738" s="125">
        <f>_xll.qlYieldTSDiscount($C$31,AE738)</f>
        <v>1.0066357168296465</v>
      </c>
      <c r="AG738" s="125">
        <f>_xll.xlShmInterpDisc(CurveName&amp;T($C$26),AE738)</f>
        <v>1.0066357168296465</v>
      </c>
      <c r="AH738" s="127">
        <f t="shared" si="18"/>
        <v>0</v>
      </c>
    </row>
    <row r="739" spans="30:34" x14ac:dyDescent="0.2">
      <c r="AD739" s="13" t="s">
        <v>94</v>
      </c>
      <c r="AE739" s="126">
        <f>_xll.qlCalendarAdvance(Calendar,AE738,AD739,BizDayConv)</f>
        <v>43789</v>
      </c>
      <c r="AF739" s="125">
        <f>_xll.qlYieldTSDiscount($C$31,AE739)</f>
        <v>1.0066375795381792</v>
      </c>
      <c r="AG739" s="125">
        <f>_xll.xlShmInterpDisc(CurveName&amp;T($C$26),AE739)</f>
        <v>1.0066375795381792</v>
      </c>
      <c r="AH739" s="127">
        <f t="shared" si="18"/>
        <v>0</v>
      </c>
    </row>
    <row r="740" spans="30:34" x14ac:dyDescent="0.2">
      <c r="AD740" s="13" t="s">
        <v>94</v>
      </c>
      <c r="AE740" s="126">
        <f>_xll.qlCalendarAdvance(Calendar,AE739,AD740,BizDayConv)</f>
        <v>43790</v>
      </c>
      <c r="AF740" s="125">
        <f>_xll.qlYieldTSDiscount($C$31,AE740)</f>
        <v>1.006639425192797</v>
      </c>
      <c r="AG740" s="125">
        <f>_xll.xlShmInterpDisc(CurveName&amp;T($C$26),AE740)</f>
        <v>1.006639425192797</v>
      </c>
      <c r="AH740" s="127">
        <f t="shared" si="18"/>
        <v>0</v>
      </c>
    </row>
    <row r="741" spans="30:34" x14ac:dyDescent="0.2">
      <c r="AD741" s="13" t="s">
        <v>94</v>
      </c>
      <c r="AE741" s="126">
        <f>_xll.qlCalendarAdvance(Calendar,AE740,AD741,BizDayConv)</f>
        <v>43791</v>
      </c>
      <c r="AF741" s="125">
        <f>_xll.qlYieldTSDiscount($C$31,AE741)</f>
        <v>1.0066412536344325</v>
      </c>
      <c r="AG741" s="125">
        <f>_xll.xlShmInterpDisc(CurveName&amp;T($C$26),AE741)</f>
        <v>1.0066412536344325</v>
      </c>
      <c r="AH741" s="127">
        <f t="shared" si="18"/>
        <v>0</v>
      </c>
    </row>
    <row r="742" spans="30:34" x14ac:dyDescent="0.2">
      <c r="AD742" s="13" t="s">
        <v>94</v>
      </c>
      <c r="AE742" s="126">
        <f>_xll.qlCalendarAdvance(Calendar,AE741,AD742,BizDayConv)</f>
        <v>43794</v>
      </c>
      <c r="AF742" s="125">
        <f>_xll.qlYieldTSDiscount($C$31,AE742)</f>
        <v>1.0066466340831244</v>
      </c>
      <c r="AG742" s="125">
        <f>_xll.xlShmInterpDisc(CurveName&amp;T($C$26),AE742)</f>
        <v>1.0066466340831244</v>
      </c>
      <c r="AH742" s="127">
        <f t="shared" si="18"/>
        <v>0</v>
      </c>
    </row>
    <row r="743" spans="30:34" x14ac:dyDescent="0.2">
      <c r="AD743" s="13" t="s">
        <v>94</v>
      </c>
      <c r="AE743" s="126">
        <f>_xll.qlCalendarAdvance(Calendar,AE742,AD743,BizDayConv)</f>
        <v>43795</v>
      </c>
      <c r="AF743" s="125">
        <f>_xll.qlYieldTSDiscount($C$31,AE743)</f>
        <v>1.0066483920719647</v>
      </c>
      <c r="AG743" s="125">
        <f>_xll.xlShmInterpDisc(CurveName&amp;T($C$26),AE743)</f>
        <v>1.0066483920719647</v>
      </c>
      <c r="AH743" s="127">
        <f t="shared" si="18"/>
        <v>0</v>
      </c>
    </row>
    <row r="744" spans="30:34" x14ac:dyDescent="0.2">
      <c r="AD744" s="13" t="s">
        <v>94</v>
      </c>
      <c r="AE744" s="126">
        <f>_xll.qlCalendarAdvance(Calendar,AE743,AD744,BizDayConv)</f>
        <v>43796</v>
      </c>
      <c r="AF744" s="125">
        <f>_xll.qlYieldTSDiscount($C$31,AE744)</f>
        <v>1.0066501320448438</v>
      </c>
      <c r="AG744" s="125">
        <f>_xll.xlShmInterpDisc(CurveName&amp;T($C$26),AE744)</f>
        <v>1.0066501320448438</v>
      </c>
      <c r="AH744" s="127">
        <f t="shared" si="18"/>
        <v>0</v>
      </c>
    </row>
    <row r="745" spans="30:34" x14ac:dyDescent="0.2">
      <c r="AD745" s="13" t="s">
        <v>94</v>
      </c>
      <c r="AE745" s="126">
        <f>_xll.qlCalendarAdvance(Calendar,AE744,AD745,BizDayConv)</f>
        <v>43797</v>
      </c>
      <c r="AF745" s="125">
        <f>_xll.qlYieldTSDiscount($C$31,AE745)</f>
        <v>1.0066518538396385</v>
      </c>
      <c r="AG745" s="125">
        <f>_xll.xlShmInterpDisc(CurveName&amp;T($C$26),AE745)</f>
        <v>1.0066518538396385</v>
      </c>
      <c r="AH745" s="127">
        <f t="shared" si="18"/>
        <v>0</v>
      </c>
    </row>
    <row r="746" spans="30:34" x14ac:dyDescent="0.2">
      <c r="AD746" s="13" t="s">
        <v>94</v>
      </c>
      <c r="AE746" s="126">
        <f>_xll.qlCalendarAdvance(Calendar,AE745,AD746,BizDayConv)</f>
        <v>43798</v>
      </c>
      <c r="AF746" s="125">
        <f>_xll.qlYieldTSDiscount($C$31,AE746)</f>
        <v>1.0066535572937165</v>
      </c>
      <c r="AG746" s="125">
        <f>_xll.xlShmInterpDisc(CurveName&amp;T($C$26),AE746)</f>
        <v>1.0066535572937165</v>
      </c>
      <c r="AH746" s="127">
        <f t="shared" si="18"/>
        <v>0</v>
      </c>
    </row>
    <row r="747" spans="30:34" x14ac:dyDescent="0.2">
      <c r="AD747" s="13" t="s">
        <v>94</v>
      </c>
      <c r="AE747" s="126">
        <f>_xll.qlCalendarAdvance(Calendar,AE746,AD747,BizDayConv)</f>
        <v>43801</v>
      </c>
      <c r="AF747" s="125">
        <f>_xll.qlYieldTSDiscount($C$31,AE747)</f>
        <v>1.0066585559776897</v>
      </c>
      <c r="AG747" s="125">
        <f>_xll.xlShmInterpDisc(CurveName&amp;T($C$26),AE747)</f>
        <v>1.0066585559776897</v>
      </c>
      <c r="AH747" s="127">
        <f t="shared" si="18"/>
        <v>0</v>
      </c>
    </row>
    <row r="748" spans="30:34" x14ac:dyDescent="0.2">
      <c r="AD748" s="13" t="s">
        <v>94</v>
      </c>
      <c r="AE748" s="126">
        <f>_xll.qlCalendarAdvance(Calendar,AE747,AD748,BizDayConv)</f>
        <v>43802</v>
      </c>
      <c r="AF748" s="125">
        <f>_xll.qlYieldTSDiscount($C$31,AE748)</f>
        <v>1.006660184432395</v>
      </c>
      <c r="AG748" s="125">
        <f>_xll.xlShmInterpDisc(CurveName&amp;T($C$26),AE748)</f>
        <v>1.006660184432395</v>
      </c>
      <c r="AH748" s="127">
        <f t="shared" si="18"/>
        <v>0</v>
      </c>
    </row>
    <row r="749" spans="30:34" x14ac:dyDescent="0.2">
      <c r="AD749" s="13" t="s">
        <v>94</v>
      </c>
      <c r="AE749" s="126">
        <f>_xll.qlCalendarAdvance(Calendar,AE748,AD749,BizDayConv)</f>
        <v>43803</v>
      </c>
      <c r="AF749" s="125">
        <f>_xll.qlYieldTSDiscount($C$31,AE749)</f>
        <v>1.0066617937255855</v>
      </c>
      <c r="AG749" s="125">
        <f>_xll.xlShmInterpDisc(CurveName&amp;T($C$26),AE749)</f>
        <v>1.0066617937255855</v>
      </c>
      <c r="AH749" s="127">
        <f t="shared" si="18"/>
        <v>0</v>
      </c>
    </row>
    <row r="750" spans="30:34" x14ac:dyDescent="0.2">
      <c r="AD750" s="13" t="s">
        <v>94</v>
      </c>
      <c r="AE750" s="126">
        <f>_xll.qlCalendarAdvance(Calendar,AE749,AD750,BizDayConv)</f>
        <v>43804</v>
      </c>
      <c r="AF750" s="125">
        <f>_xll.qlYieldTSDiscount($C$31,AE750)</f>
        <v>1.0066633836915744</v>
      </c>
      <c r="AG750" s="125">
        <f>_xll.xlShmInterpDisc(CurveName&amp;T($C$26),AE750)</f>
        <v>1.0066633836915744</v>
      </c>
      <c r="AH750" s="127">
        <f t="shared" si="18"/>
        <v>0</v>
      </c>
    </row>
    <row r="751" spans="30:34" x14ac:dyDescent="0.2">
      <c r="AD751" s="13" t="s">
        <v>94</v>
      </c>
      <c r="AE751" s="126">
        <f>_xll.qlCalendarAdvance(Calendar,AE750,AD751,BizDayConv)</f>
        <v>43805</v>
      </c>
      <c r="AF751" s="125">
        <f>_xll.qlYieldTSDiscount($C$31,AE751)</f>
        <v>1.0066649541641663</v>
      </c>
      <c r="AG751" s="125">
        <f>_xll.xlShmInterpDisc(CurveName&amp;T($C$26),AE751)</f>
        <v>1.0066649541641663</v>
      </c>
      <c r="AH751" s="127">
        <f t="shared" si="18"/>
        <v>0</v>
      </c>
    </row>
    <row r="752" spans="30:34" x14ac:dyDescent="0.2">
      <c r="AD752" s="13" t="s">
        <v>94</v>
      </c>
      <c r="AE752" s="126">
        <f>_xll.qlCalendarAdvance(Calendar,AE751,AD752,BizDayConv)</f>
        <v>43808</v>
      </c>
      <c r="AF752" s="125">
        <f>_xll.qlYieldTSDiscount($C$31,AE752)</f>
        <v>1.0066695469519698</v>
      </c>
      <c r="AG752" s="125">
        <f>_xll.xlShmInterpDisc(CurveName&amp;T($C$26),AE752)</f>
        <v>1.0066695469519698</v>
      </c>
      <c r="AH752" s="127">
        <f t="shared" si="18"/>
        <v>0</v>
      </c>
    </row>
    <row r="753" spans="30:34" x14ac:dyDescent="0.2">
      <c r="AD753" s="13" t="s">
        <v>94</v>
      </c>
      <c r="AE753" s="126">
        <f>_xll.qlCalendarAdvance(Calendar,AE752,AD753,BizDayConv)</f>
        <v>43809</v>
      </c>
      <c r="AF753" s="125">
        <f>_xll.qlYieldTSDiscount($C$31,AE753)</f>
        <v>1.0066710377788393</v>
      </c>
      <c r="AG753" s="125">
        <f>_xll.xlShmInterpDisc(CurveName&amp;T($C$26),AE753)</f>
        <v>1.0066710377788393</v>
      </c>
      <c r="AH753" s="127">
        <f t="shared" si="18"/>
        <v>0</v>
      </c>
    </row>
    <row r="754" spans="30:34" x14ac:dyDescent="0.2">
      <c r="AD754" s="13" t="s">
        <v>94</v>
      </c>
      <c r="AE754" s="126">
        <f>_xll.qlCalendarAdvance(Calendar,AE753,AD754,BizDayConv)</f>
        <v>43810</v>
      </c>
      <c r="AF754" s="125">
        <f>_xll.qlYieldTSDiscount($C$31,AE754)</f>
        <v>1.0066725082737005</v>
      </c>
      <c r="AG754" s="125">
        <f>_xll.xlShmInterpDisc(CurveName&amp;T($C$26),AE754)</f>
        <v>1.0066725082737005</v>
      </c>
      <c r="AH754" s="127">
        <f t="shared" si="18"/>
        <v>0</v>
      </c>
    </row>
    <row r="755" spans="30:34" x14ac:dyDescent="0.2">
      <c r="AD755" s="13" t="s">
        <v>94</v>
      </c>
      <c r="AE755" s="126">
        <f>_xll.qlCalendarAdvance(Calendar,AE754,AD755,BizDayConv)</f>
        <v>43811</v>
      </c>
      <c r="AF755" s="125">
        <f>_xll.qlYieldTSDiscount($C$31,AE755)</f>
        <v>1.0066739582673045</v>
      </c>
      <c r="AG755" s="125">
        <f>_xll.xlShmInterpDisc(CurveName&amp;T($C$26),AE755)</f>
        <v>1.0066739582673045</v>
      </c>
      <c r="AH755" s="127">
        <f t="shared" si="18"/>
        <v>0</v>
      </c>
    </row>
    <row r="756" spans="30:34" x14ac:dyDescent="0.2">
      <c r="AD756" s="13" t="s">
        <v>94</v>
      </c>
      <c r="AE756" s="126">
        <f>_xll.qlCalendarAdvance(Calendar,AE755,AD756,BizDayConv)</f>
        <v>43812</v>
      </c>
      <c r="AF756" s="125">
        <f>_xll.qlYieldTSDiscount($C$31,AE756)</f>
        <v>1.0066753875898942</v>
      </c>
      <c r="AG756" s="125">
        <f>_xll.xlShmInterpDisc(CurveName&amp;T($C$26),AE756)</f>
        <v>1.0066753875898942</v>
      </c>
      <c r="AH756" s="127">
        <f t="shared" si="18"/>
        <v>0</v>
      </c>
    </row>
    <row r="757" spans="30:34" x14ac:dyDescent="0.2">
      <c r="AD757" s="13" t="s">
        <v>94</v>
      </c>
      <c r="AE757" s="126">
        <f>_xll.qlCalendarAdvance(Calendar,AE756,AD757,BizDayConv)</f>
        <v>43815</v>
      </c>
      <c r="AF757" s="125">
        <f>_xll.qlYieldTSDiscount($C$31,AE757)</f>
        <v>1.006679549826371</v>
      </c>
      <c r="AG757" s="125">
        <f>_xll.xlShmInterpDisc(CurveName&amp;T($C$26),AE757)</f>
        <v>1.006679549826371</v>
      </c>
      <c r="AH757" s="127">
        <f t="shared" si="18"/>
        <v>0</v>
      </c>
    </row>
    <row r="758" spans="30:34" x14ac:dyDescent="0.2">
      <c r="AD758" s="13" t="s">
        <v>94</v>
      </c>
      <c r="AE758" s="126">
        <f>_xll.qlCalendarAdvance(Calendar,AE757,AD758,BizDayConv)</f>
        <v>43816</v>
      </c>
      <c r="AF758" s="125">
        <f>_xll.qlYieldTSDiscount($C$31,AE758)</f>
        <v>1.0066808947571546</v>
      </c>
      <c r="AG758" s="125">
        <f>_xll.xlShmInterpDisc(CurveName&amp;T($C$26),AE758)</f>
        <v>1.0066808947571546</v>
      </c>
      <c r="AH758" s="127">
        <f t="shared" si="18"/>
        <v>0</v>
      </c>
    </row>
    <row r="759" spans="30:34" x14ac:dyDescent="0.2">
      <c r="AD759" s="13" t="s">
        <v>94</v>
      </c>
      <c r="AE759" s="126">
        <f>_xll.qlCalendarAdvance(Calendar,AE758,AD759,BizDayConv)</f>
        <v>43817</v>
      </c>
      <c r="AF759" s="125">
        <f>_xll.qlYieldTSDiscount($C$31,AE759)</f>
        <v>1.0066822181605062</v>
      </c>
      <c r="AG759" s="125">
        <f>_xll.xlShmInterpDisc(CurveName&amp;T($C$26),AE759)</f>
        <v>1.0066822181605062</v>
      </c>
      <c r="AH759" s="127">
        <f t="shared" si="18"/>
        <v>0</v>
      </c>
    </row>
    <row r="760" spans="30:34" x14ac:dyDescent="0.2">
      <c r="AD760" s="13" t="s">
        <v>94</v>
      </c>
      <c r="AE760" s="126">
        <f>_xll.qlCalendarAdvance(Calendar,AE759,AD760,BizDayConv)</f>
        <v>43818</v>
      </c>
      <c r="AF760" s="125">
        <f>_xll.qlYieldTSDiscount($C$31,AE760)</f>
        <v>1.006683519863617</v>
      </c>
      <c r="AG760" s="125">
        <f>_xll.xlShmInterpDisc(CurveName&amp;T($C$26),AE760)</f>
        <v>1.006683519863617</v>
      </c>
      <c r="AH760" s="127">
        <f t="shared" si="18"/>
        <v>0</v>
      </c>
    </row>
    <row r="761" spans="30:34" x14ac:dyDescent="0.2">
      <c r="AD761" s="13" t="s">
        <v>94</v>
      </c>
      <c r="AE761" s="126">
        <f>_xll.qlCalendarAdvance(Calendar,AE760,AD761,BizDayConv)</f>
        <v>43819</v>
      </c>
      <c r="AF761" s="125">
        <f>_xll.qlYieldTSDiscount($C$31,AE761)</f>
        <v>1.0066847996931689</v>
      </c>
      <c r="AG761" s="125">
        <f>_xll.xlShmInterpDisc(CurveName&amp;T($C$26),AE761)</f>
        <v>1.0066847996931689</v>
      </c>
      <c r="AH761" s="127">
        <f t="shared" si="18"/>
        <v>0</v>
      </c>
    </row>
    <row r="762" spans="30:34" x14ac:dyDescent="0.2">
      <c r="AD762" s="13" t="s">
        <v>94</v>
      </c>
      <c r="AE762" s="126">
        <f>_xll.qlCalendarAdvance(Calendar,AE761,AD762,BizDayConv)</f>
        <v>43822</v>
      </c>
      <c r="AF762" s="125">
        <f>_xll.qlYieldTSDiscount($C$31,AE762)</f>
        <v>1.006688506199668</v>
      </c>
      <c r="AG762" s="125">
        <f>_xll.xlShmInterpDisc(CurveName&amp;T($C$26),AE762)</f>
        <v>1.006688506199668</v>
      </c>
      <c r="AH762" s="127">
        <f t="shared" si="18"/>
        <v>0</v>
      </c>
    </row>
    <row r="763" spans="30:34" x14ac:dyDescent="0.2">
      <c r="AD763" s="13" t="s">
        <v>94</v>
      </c>
      <c r="AE763" s="126">
        <f>_xll.qlCalendarAdvance(Calendar,AE762,AD763,BizDayConv)</f>
        <v>43823</v>
      </c>
      <c r="AF763" s="125">
        <f>_xll.qlYieldTSDiscount($C$31,AE763)</f>
        <v>1.0066896967916386</v>
      </c>
      <c r="AG763" s="125">
        <f>_xll.xlShmInterpDisc(CurveName&amp;T($C$26),AE763)</f>
        <v>1.0066896967916386</v>
      </c>
      <c r="AH763" s="127">
        <f t="shared" si="18"/>
        <v>0</v>
      </c>
    </row>
    <row r="764" spans="30:34" x14ac:dyDescent="0.2">
      <c r="AD764" s="13" t="s">
        <v>94</v>
      </c>
      <c r="AE764" s="126">
        <f>_xll.qlCalendarAdvance(Calendar,AE763,AD764,BizDayConv)</f>
        <v>43826</v>
      </c>
      <c r="AF764" s="125">
        <f>_xll.qlYieldTSDiscount($C$31,AE764)</f>
        <v>1.0066931313749248</v>
      </c>
      <c r="AG764" s="125">
        <f>_xll.xlShmInterpDisc(CurveName&amp;T($C$26),AE764)</f>
        <v>1.0066931313749248</v>
      </c>
      <c r="AH764" s="127">
        <f t="shared" si="18"/>
        <v>0</v>
      </c>
    </row>
    <row r="765" spans="30:34" x14ac:dyDescent="0.2">
      <c r="AD765" s="13" t="s">
        <v>94</v>
      </c>
      <c r="AE765" s="126">
        <f>_xll.qlCalendarAdvance(Calendar,AE764,AD765,BizDayConv)</f>
        <v>43829</v>
      </c>
      <c r="AF765" s="125">
        <f>_xll.qlYieldTSDiscount($C$31,AE765)</f>
        <v>1.0066963564495335</v>
      </c>
      <c r="AG765" s="125">
        <f>_xll.xlShmInterpDisc(CurveName&amp;T($C$26),AE765)</f>
        <v>1.0066963564495335</v>
      </c>
      <c r="AH765" s="127">
        <f t="shared" si="18"/>
        <v>0</v>
      </c>
    </row>
    <row r="766" spans="30:34" x14ac:dyDescent="0.2">
      <c r="AD766" s="13" t="s">
        <v>94</v>
      </c>
      <c r="AE766" s="126">
        <f>_xll.qlCalendarAdvance(Calendar,AE765,AD766,BizDayConv)</f>
        <v>43830</v>
      </c>
      <c r="AF766" s="125">
        <f>_xll.qlYieldTSDiscount($C$31,AE766)</f>
        <v>1.0066973840855671</v>
      </c>
      <c r="AG766" s="125">
        <f>_xll.xlShmInterpDisc(CurveName&amp;T($C$26),AE766)</f>
        <v>1.0066973840855671</v>
      </c>
      <c r="AH766" s="127">
        <f t="shared" si="18"/>
        <v>0</v>
      </c>
    </row>
    <row r="767" spans="30:34" x14ac:dyDescent="0.2">
      <c r="AD767" s="13" t="s">
        <v>94</v>
      </c>
      <c r="AE767" s="126">
        <f>_xll.qlCalendarAdvance(Calendar,AE766,AD767,BizDayConv)</f>
        <v>43832</v>
      </c>
      <c r="AF767" s="125">
        <f>_xll.qlYieldTSDiscount($C$31,AE767)</f>
        <v>1.0066993671986395</v>
      </c>
      <c r="AG767" s="125">
        <f>_xll.xlShmInterpDisc(CurveName&amp;T($C$26),AE767)</f>
        <v>1.0066993671986395</v>
      </c>
      <c r="AH767" s="127">
        <f t="shared" si="18"/>
        <v>0</v>
      </c>
    </row>
    <row r="768" spans="30:34" x14ac:dyDescent="0.2">
      <c r="AD768" s="13" t="s">
        <v>94</v>
      </c>
      <c r="AE768" s="126">
        <f>_xll.qlCalendarAdvance(Calendar,AE767,AD768,BizDayConv)</f>
        <v>43833</v>
      </c>
      <c r="AF768" s="125">
        <f>_xll.qlYieldTSDiscount($C$31,AE768)</f>
        <v>1.0067003223153199</v>
      </c>
      <c r="AG768" s="125">
        <f>_xll.xlShmInterpDisc(CurveName&amp;T($C$26),AE768)</f>
        <v>1.0067003223153199</v>
      </c>
      <c r="AH768" s="127">
        <f t="shared" si="18"/>
        <v>0</v>
      </c>
    </row>
    <row r="769" spans="30:34" x14ac:dyDescent="0.2">
      <c r="AD769" s="13" t="s">
        <v>94</v>
      </c>
      <c r="AE769" s="126">
        <f>_xll.qlCalendarAdvance(Calendar,AE768,AD769,BizDayConv)</f>
        <v>43836</v>
      </c>
      <c r="AF769" s="125">
        <f>_xll.qlYieldTSDiscount($C$31,AE769)</f>
        <v>1.0067030977845113</v>
      </c>
      <c r="AG769" s="125">
        <f>_xll.xlShmInterpDisc(CurveName&amp;T($C$26),AE769)</f>
        <v>1.0067030977845113</v>
      </c>
      <c r="AH769" s="127">
        <f t="shared" si="18"/>
        <v>0</v>
      </c>
    </row>
    <row r="770" spans="30:34" x14ac:dyDescent="0.2">
      <c r="AD770" s="13" t="s">
        <v>94</v>
      </c>
      <c r="AE770" s="126">
        <f>_xll.qlCalendarAdvance(Calendar,AE769,AD770,BizDayConv)</f>
        <v>43837</v>
      </c>
      <c r="AF770" s="125">
        <f>_xll.qlYieldTSDiscount($C$31,AE770)</f>
        <v>1.0067039992631817</v>
      </c>
      <c r="AG770" s="125">
        <f>_xll.xlShmInterpDisc(CurveName&amp;T($C$26),AE770)</f>
        <v>1.0067039992631817</v>
      </c>
      <c r="AH770" s="127">
        <f t="shared" si="18"/>
        <v>0</v>
      </c>
    </row>
    <row r="771" spans="30:34" x14ac:dyDescent="0.2">
      <c r="AD771" s="13" t="s">
        <v>94</v>
      </c>
      <c r="AE771" s="126">
        <f>_xll.qlCalendarAdvance(Calendar,AE770,AD771,BizDayConv)</f>
        <v>43838</v>
      </c>
      <c r="AF771" s="125">
        <f>_xll.qlYieldTSDiscount($C$31,AE771)</f>
        <v>1.0067048888737617</v>
      </c>
      <c r="AG771" s="125">
        <f>_xll.xlShmInterpDisc(CurveName&amp;T($C$26),AE771)</f>
        <v>1.0067048888737617</v>
      </c>
      <c r="AH771" s="127">
        <f t="shared" si="18"/>
        <v>0</v>
      </c>
    </row>
    <row r="772" spans="30:34" x14ac:dyDescent="0.2">
      <c r="AD772" s="13" t="s">
        <v>94</v>
      </c>
      <c r="AE772" s="126">
        <f>_xll.qlCalendarAdvance(Calendar,AE771,AD772,BizDayConv)</f>
        <v>43839</v>
      </c>
      <c r="AF772" s="125">
        <f>_xll.qlYieldTSDiscount($C$31,AE772)</f>
        <v>1.0067057665986567</v>
      </c>
      <c r="AG772" s="125">
        <f>_xll.xlShmInterpDisc(CurveName&amp;T($C$26),AE772)</f>
        <v>1.0067057665986567</v>
      </c>
      <c r="AH772" s="127">
        <f t="shared" ref="AH772:AH835" si="19">(AF772-AG772)</f>
        <v>0</v>
      </c>
    </row>
    <row r="773" spans="30:34" x14ac:dyDescent="0.2">
      <c r="AD773" s="13" t="s">
        <v>94</v>
      </c>
      <c r="AE773" s="126">
        <f>_xll.qlCalendarAdvance(Calendar,AE772,AD773,BizDayConv)</f>
        <v>43840</v>
      </c>
      <c r="AF773" s="125">
        <f>_xll.qlYieldTSDiscount($C$31,AE773)</f>
        <v>1.0067066324202327</v>
      </c>
      <c r="AG773" s="125">
        <f>_xll.xlShmInterpDisc(CurveName&amp;T($C$26),AE773)</f>
        <v>1.0067066324202327</v>
      </c>
      <c r="AH773" s="127">
        <f t="shared" si="19"/>
        <v>0</v>
      </c>
    </row>
    <row r="774" spans="30:34" x14ac:dyDescent="0.2">
      <c r="AD774" s="13" t="s">
        <v>94</v>
      </c>
      <c r="AE774" s="126">
        <f>_xll.qlCalendarAdvance(Calendar,AE773,AD774,BizDayConv)</f>
        <v>43843</v>
      </c>
      <c r="AF774" s="125">
        <f>_xll.qlYieldTSDiscount($C$31,AE774)</f>
        <v>1.0067091582881145</v>
      </c>
      <c r="AG774" s="125">
        <f>_xll.xlShmInterpDisc(CurveName&amp;T($C$26),AE774)</f>
        <v>1.0067091582881145</v>
      </c>
      <c r="AH774" s="127">
        <f t="shared" si="19"/>
        <v>0</v>
      </c>
    </row>
    <row r="775" spans="30:34" x14ac:dyDescent="0.2">
      <c r="AD775" s="13" t="s">
        <v>94</v>
      </c>
      <c r="AE775" s="126">
        <f>_xll.qlCalendarAdvance(Calendar,AE774,AD775,BizDayConv)</f>
        <v>43844</v>
      </c>
      <c r="AF775" s="125">
        <f>_xll.qlYieldTSDiscount($C$31,AE775)</f>
        <v>1.006709976319287</v>
      </c>
      <c r="AG775" s="125">
        <f>_xll.xlShmInterpDisc(CurveName&amp;T($C$26),AE775)</f>
        <v>1.006709976319287</v>
      </c>
      <c r="AH775" s="127">
        <f t="shared" si="19"/>
        <v>0</v>
      </c>
    </row>
    <row r="776" spans="30:34" x14ac:dyDescent="0.2">
      <c r="AD776" s="13" t="s">
        <v>94</v>
      </c>
      <c r="AE776" s="126">
        <f>_xll.qlCalendarAdvance(Calendar,AE775,AD776,BizDayConv)</f>
        <v>43845</v>
      </c>
      <c r="AF776" s="125">
        <f>_xll.qlYieldTSDiscount($C$31,AE776)</f>
        <v>1.006710782358381</v>
      </c>
      <c r="AG776" s="125">
        <f>_xll.xlShmInterpDisc(CurveName&amp;T($C$26),AE776)</f>
        <v>1.006710782358381</v>
      </c>
      <c r="AH776" s="127">
        <f t="shared" si="19"/>
        <v>0</v>
      </c>
    </row>
    <row r="777" spans="30:34" x14ac:dyDescent="0.2">
      <c r="AD777" s="13" t="s">
        <v>94</v>
      </c>
      <c r="AE777" s="126">
        <f>_xll.qlCalendarAdvance(Calendar,AE776,AD777,BizDayConv)</f>
        <v>43846</v>
      </c>
      <c r="AF777" s="125">
        <f>_xll.qlYieldTSDiscount($C$31,AE777)</f>
        <v>1.0067115763875267</v>
      </c>
      <c r="AG777" s="125">
        <f>_xll.xlShmInterpDisc(CurveName&amp;T($C$26),AE777)</f>
        <v>1.0067115763875267</v>
      </c>
      <c r="AH777" s="127">
        <f t="shared" si="19"/>
        <v>0</v>
      </c>
    </row>
    <row r="778" spans="30:34" x14ac:dyDescent="0.2">
      <c r="AD778" s="13" t="s">
        <v>94</v>
      </c>
      <c r="AE778" s="126">
        <f>_xll.qlCalendarAdvance(Calendar,AE777,AD778,BizDayConv)</f>
        <v>43847</v>
      </c>
      <c r="AF778" s="125">
        <f>_xll.qlYieldTSDiscount($C$31,AE778)</f>
        <v>1.0067123583888156</v>
      </c>
      <c r="AG778" s="125">
        <f>_xll.xlShmInterpDisc(CurveName&amp;T($C$26),AE778)</f>
        <v>1.0067123583888156</v>
      </c>
      <c r="AH778" s="127">
        <f t="shared" si="19"/>
        <v>0</v>
      </c>
    </row>
    <row r="779" spans="30:34" x14ac:dyDescent="0.2">
      <c r="AD779" s="13" t="s">
        <v>94</v>
      </c>
      <c r="AE779" s="126">
        <f>_xll.qlCalendarAdvance(Calendar,AE778,AD779,BizDayConv)</f>
        <v>43850</v>
      </c>
      <c r="AF779" s="125">
        <f>_xll.qlYieldTSDiscount($C$31,AE779)</f>
        <v>1.0067146320458633</v>
      </c>
      <c r="AG779" s="125">
        <f>_xll.xlShmInterpDisc(CurveName&amp;T($C$26),AE779)</f>
        <v>1.0067146320458633</v>
      </c>
      <c r="AH779" s="127">
        <f t="shared" si="19"/>
        <v>0</v>
      </c>
    </row>
    <row r="780" spans="30:34" x14ac:dyDescent="0.2">
      <c r="AD780" s="13" t="s">
        <v>94</v>
      </c>
      <c r="AE780" s="126">
        <f>_xll.qlCalendarAdvance(Calendar,AE779,AD780,BizDayConv)</f>
        <v>43851</v>
      </c>
      <c r="AF780" s="125">
        <f>_xll.qlYieldTSDiscount($C$31,AE780)</f>
        <v>1.0067153657558514</v>
      </c>
      <c r="AG780" s="125">
        <f>_xll.xlShmInterpDisc(CurveName&amp;T($C$26),AE780)</f>
        <v>1.0067153657558514</v>
      </c>
      <c r="AH780" s="127">
        <f t="shared" si="19"/>
        <v>0</v>
      </c>
    </row>
    <row r="781" spans="30:34" x14ac:dyDescent="0.2">
      <c r="AD781" s="13" t="s">
        <v>94</v>
      </c>
      <c r="AE781" s="126">
        <f>_xll.qlCalendarAdvance(Calendar,AE780,AD781,BizDayConv)</f>
        <v>43852</v>
      </c>
      <c r="AF781" s="125">
        <f>_xll.qlYieldTSDiscount($C$31,AE781)</f>
        <v>1.0067160873478502</v>
      </c>
      <c r="AG781" s="125">
        <f>_xll.xlShmInterpDisc(CurveName&amp;T($C$26),AE781)</f>
        <v>1.0067160873478502</v>
      </c>
      <c r="AH781" s="127">
        <f t="shared" si="19"/>
        <v>0</v>
      </c>
    </row>
    <row r="782" spans="30:34" x14ac:dyDescent="0.2">
      <c r="AD782" s="13" t="s">
        <v>94</v>
      </c>
      <c r="AE782" s="126">
        <f>_xll.qlCalendarAdvance(Calendar,AE781,AD782,BizDayConv)</f>
        <v>43853</v>
      </c>
      <c r="AF782" s="125">
        <f>_xll.qlYieldTSDiscount($C$31,AE782)</f>
        <v>1.0067167968037154</v>
      </c>
      <c r="AG782" s="125">
        <f>_xll.xlShmInterpDisc(CurveName&amp;T($C$26),AE782)</f>
        <v>1.0067167968037154</v>
      </c>
      <c r="AH782" s="127">
        <f t="shared" si="19"/>
        <v>0</v>
      </c>
    </row>
    <row r="783" spans="30:34" x14ac:dyDescent="0.2">
      <c r="AD783" s="13" t="s">
        <v>94</v>
      </c>
      <c r="AE783" s="126">
        <f>_xll.qlCalendarAdvance(Calendar,AE782,AD783,BizDayConv)</f>
        <v>43854</v>
      </c>
      <c r="AF783" s="125">
        <f>_xll.qlYieldTSDiscount($C$31,AE783)</f>
        <v>1.0067174941052635</v>
      </c>
      <c r="AG783" s="125">
        <f>_xll.xlShmInterpDisc(CurveName&amp;T($C$26),AE783)</f>
        <v>1.0067174941052635</v>
      </c>
      <c r="AH783" s="127">
        <f t="shared" si="19"/>
        <v>0</v>
      </c>
    </row>
    <row r="784" spans="30:34" x14ac:dyDescent="0.2">
      <c r="AD784" s="13" t="s">
        <v>94</v>
      </c>
      <c r="AE784" s="126">
        <f>_xll.qlCalendarAdvance(Calendar,AE783,AD784,BizDayConv)</f>
        <v>43857</v>
      </c>
      <c r="AF784" s="125">
        <f>_xll.qlYieldTSDiscount($C$31,AE784)</f>
        <v>1.0067195129015847</v>
      </c>
      <c r="AG784" s="125">
        <f>_xll.xlShmInterpDisc(CurveName&amp;T($C$26),AE784)</f>
        <v>1.0067195129015847</v>
      </c>
      <c r="AH784" s="127">
        <f t="shared" si="19"/>
        <v>0</v>
      </c>
    </row>
    <row r="785" spans="30:34" x14ac:dyDescent="0.2">
      <c r="AD785" s="13" t="s">
        <v>94</v>
      </c>
      <c r="AE785" s="126">
        <f>_xll.qlCalendarAdvance(Calendar,AE784,AD785,BizDayConv)</f>
        <v>43858</v>
      </c>
      <c r="AF785" s="125">
        <f>_xll.qlYieldTSDiscount($C$31,AE785)</f>
        <v>1.0067201614032473</v>
      </c>
      <c r="AG785" s="125">
        <f>_xll.xlShmInterpDisc(CurveName&amp;T($C$26),AE785)</f>
        <v>1.0067201614032473</v>
      </c>
      <c r="AH785" s="127">
        <f t="shared" si="19"/>
        <v>0</v>
      </c>
    </row>
    <row r="786" spans="30:34" x14ac:dyDescent="0.2">
      <c r="AD786" s="13" t="s">
        <v>94</v>
      </c>
      <c r="AE786" s="126">
        <f>_xll.qlCalendarAdvance(Calendar,AE785,AD786,BizDayConv)</f>
        <v>43859</v>
      </c>
      <c r="AF786" s="125">
        <f>_xll.qlYieldTSDiscount($C$31,AE786)</f>
        <v>1.0067207976590877</v>
      </c>
      <c r="AG786" s="125">
        <f>_xll.xlShmInterpDisc(CurveName&amp;T($C$26),AE786)</f>
        <v>1.0067207976590877</v>
      </c>
      <c r="AH786" s="127">
        <f t="shared" si="19"/>
        <v>0</v>
      </c>
    </row>
    <row r="787" spans="30:34" x14ac:dyDescent="0.2">
      <c r="AD787" s="13" t="s">
        <v>94</v>
      </c>
      <c r="AE787" s="126">
        <f>_xll.qlCalendarAdvance(Calendar,AE786,AD787,BizDayConv)</f>
        <v>43860</v>
      </c>
      <c r="AF787" s="125">
        <f>_xll.qlYieldTSDiscount($C$31,AE787)</f>
        <v>1.0067214216506879</v>
      </c>
      <c r="AG787" s="125">
        <f>_xll.xlShmInterpDisc(CurveName&amp;T($C$26),AE787)</f>
        <v>1.0067214216506879</v>
      </c>
      <c r="AH787" s="127">
        <f t="shared" si="19"/>
        <v>0</v>
      </c>
    </row>
    <row r="788" spans="30:34" x14ac:dyDescent="0.2">
      <c r="AD788" s="13" t="s">
        <v>94</v>
      </c>
      <c r="AE788" s="126">
        <f>_xll.qlCalendarAdvance(Calendar,AE787,AD788,BizDayConv)</f>
        <v>43861</v>
      </c>
      <c r="AF788" s="125">
        <f>_xll.qlYieldTSDiscount($C$31,AE788)</f>
        <v>1.0067220333595894</v>
      </c>
      <c r="AG788" s="125">
        <f>_xll.xlShmInterpDisc(CurveName&amp;T($C$26),AE788)</f>
        <v>1.0067220333595894</v>
      </c>
      <c r="AH788" s="127">
        <f t="shared" si="19"/>
        <v>0</v>
      </c>
    </row>
    <row r="789" spans="30:34" x14ac:dyDescent="0.2">
      <c r="AD789" s="13" t="s">
        <v>94</v>
      </c>
      <c r="AE789" s="126">
        <f>_xll.qlCalendarAdvance(Calendar,AE788,AD789,BizDayConv)</f>
        <v>43864</v>
      </c>
      <c r="AF789" s="125">
        <f>_xll.qlYieldTSDiscount($C$31,AE789)</f>
        <v>1.0067237946049379</v>
      </c>
      <c r="AG789" s="125">
        <f>_xll.xlShmInterpDisc(CurveName&amp;T($C$26),AE789)</f>
        <v>1.0067237946049379</v>
      </c>
      <c r="AH789" s="127">
        <f t="shared" si="19"/>
        <v>0</v>
      </c>
    </row>
    <row r="790" spans="30:34" x14ac:dyDescent="0.2">
      <c r="AD790" s="13" t="s">
        <v>94</v>
      </c>
      <c r="AE790" s="126">
        <f>_xll.qlCalendarAdvance(Calendar,AE789,AD790,BizDayConv)</f>
        <v>43865</v>
      </c>
      <c r="AF790" s="125">
        <f>_xll.qlYieldTSDiscount($C$31,AE790)</f>
        <v>1.0067243569976838</v>
      </c>
      <c r="AG790" s="125">
        <f>_xll.xlShmInterpDisc(CurveName&amp;T($C$26),AE790)</f>
        <v>1.0067243569976838</v>
      </c>
      <c r="AH790" s="127">
        <f t="shared" si="19"/>
        <v>0</v>
      </c>
    </row>
    <row r="791" spans="30:34" x14ac:dyDescent="0.2">
      <c r="AD791" s="13" t="s">
        <v>94</v>
      </c>
      <c r="AE791" s="126">
        <f>_xll.qlCalendarAdvance(Calendar,AE790,AD791,BizDayConv)</f>
        <v>43866</v>
      </c>
      <c r="AF791" s="125">
        <f>_xll.qlYieldTSDiscount($C$31,AE791)</f>
        <v>1.0067249070148541</v>
      </c>
      <c r="AG791" s="125">
        <f>_xll.xlShmInterpDisc(CurveName&amp;T($C$26),AE791)</f>
        <v>1.0067249070148541</v>
      </c>
      <c r="AH791" s="127">
        <f t="shared" si="19"/>
        <v>0</v>
      </c>
    </row>
    <row r="792" spans="30:34" x14ac:dyDescent="0.2">
      <c r="AD792" s="13" t="s">
        <v>94</v>
      </c>
      <c r="AE792" s="126">
        <f>_xll.qlCalendarAdvance(Calendar,AE791,AD792,BizDayConv)</f>
        <v>43867</v>
      </c>
      <c r="AF792" s="125">
        <f>_xll.qlYieldTSDiscount($C$31,AE792)</f>
        <v>1.0067254446377563</v>
      </c>
      <c r="AG792" s="125">
        <f>_xll.xlShmInterpDisc(CurveName&amp;T($C$26),AE792)</f>
        <v>1.0067254446377563</v>
      </c>
      <c r="AH792" s="127">
        <f t="shared" si="19"/>
        <v>0</v>
      </c>
    </row>
    <row r="793" spans="30:34" x14ac:dyDescent="0.2">
      <c r="AD793" s="13" t="s">
        <v>94</v>
      </c>
      <c r="AE793" s="126">
        <f>_xll.qlCalendarAdvance(Calendar,AE792,AD793,BizDayConv)</f>
        <v>43868</v>
      </c>
      <c r="AF793" s="125">
        <f>_xll.qlYieldTSDiscount($C$31,AE793)</f>
        <v>1.0067259698476576</v>
      </c>
      <c r="AG793" s="125">
        <f>_xll.xlShmInterpDisc(CurveName&amp;T($C$26),AE793)</f>
        <v>1.0067259698476576</v>
      </c>
      <c r="AH793" s="127">
        <f t="shared" si="19"/>
        <v>0</v>
      </c>
    </row>
    <row r="794" spans="30:34" x14ac:dyDescent="0.2">
      <c r="AD794" s="13" t="s">
        <v>94</v>
      </c>
      <c r="AE794" s="126">
        <f>_xll.qlCalendarAdvance(Calendar,AE793,AD794,BizDayConv)</f>
        <v>43871</v>
      </c>
      <c r="AF794" s="125">
        <f>_xll.qlYieldTSDiscount($C$31,AE794)</f>
        <v>1.0067274708114484</v>
      </c>
      <c r="AG794" s="125">
        <f>_xll.xlShmInterpDisc(CurveName&amp;T($C$26),AE794)</f>
        <v>1.0067274708114484</v>
      </c>
      <c r="AH794" s="127">
        <f t="shared" si="19"/>
        <v>0</v>
      </c>
    </row>
    <row r="795" spans="30:34" x14ac:dyDescent="0.2">
      <c r="AD795" s="13" t="s">
        <v>94</v>
      </c>
      <c r="AE795" s="126">
        <f>_xll.qlCalendarAdvance(Calendar,AE794,AD795,BizDayConv)</f>
        <v>43872</v>
      </c>
      <c r="AF795" s="125">
        <f>_xll.qlYieldTSDiscount($C$31,AE795)</f>
        <v>1.006727946181242</v>
      </c>
      <c r="AG795" s="125">
        <f>_xll.xlShmInterpDisc(CurveName&amp;T($C$26),AE795)</f>
        <v>1.006727946181242</v>
      </c>
      <c r="AH795" s="127">
        <f t="shared" si="19"/>
        <v>0</v>
      </c>
    </row>
    <row r="796" spans="30:34" x14ac:dyDescent="0.2">
      <c r="AD796" s="13" t="s">
        <v>94</v>
      </c>
      <c r="AE796" s="126">
        <f>_xll.qlCalendarAdvance(Calendar,AE795,AD796,BizDayConv)</f>
        <v>43873</v>
      </c>
      <c r="AF796" s="125">
        <f>_xll.qlYieldTSDiscount($C$31,AE796)</f>
        <v>1.0067284090437862</v>
      </c>
      <c r="AG796" s="125">
        <f>_xll.xlShmInterpDisc(CurveName&amp;T($C$26),AE796)</f>
        <v>1.0067284090437862</v>
      </c>
      <c r="AH796" s="127">
        <f t="shared" si="19"/>
        <v>0</v>
      </c>
    </row>
    <row r="797" spans="30:34" x14ac:dyDescent="0.2">
      <c r="AD797" s="13" t="s">
        <v>94</v>
      </c>
      <c r="AE797" s="126">
        <f>_xll.qlCalendarAdvance(Calendar,AE796,AD797,BizDayConv)</f>
        <v>43874</v>
      </c>
      <c r="AF797" s="125">
        <f>_xll.qlYieldTSDiscount($C$31,AE797)</f>
        <v>1.0067288593801142</v>
      </c>
      <c r="AG797" s="125">
        <f>_xll.xlShmInterpDisc(CurveName&amp;T($C$26),AE797)</f>
        <v>1.0067288593801142</v>
      </c>
      <c r="AH797" s="127">
        <f t="shared" si="19"/>
        <v>0</v>
      </c>
    </row>
    <row r="798" spans="30:34" x14ac:dyDescent="0.2">
      <c r="AD798" s="13" t="s">
        <v>94</v>
      </c>
      <c r="AE798" s="126">
        <f>_xll.qlCalendarAdvance(Calendar,AE797,AD798,BizDayConv)</f>
        <v>43875</v>
      </c>
      <c r="AF798" s="125">
        <f>_xll.qlYieldTSDiscount($C$31,AE798)</f>
        <v>1.0067292971712192</v>
      </c>
      <c r="AG798" s="125">
        <f>_xll.xlShmInterpDisc(CurveName&amp;T($C$26),AE798)</f>
        <v>1.0067292971712192</v>
      </c>
      <c r="AH798" s="127">
        <f t="shared" si="19"/>
        <v>0</v>
      </c>
    </row>
    <row r="799" spans="30:34" x14ac:dyDescent="0.2">
      <c r="AD799" s="13" t="s">
        <v>94</v>
      </c>
      <c r="AE799" s="126">
        <f>_xll.qlCalendarAdvance(Calendar,AE798,AD799,BizDayConv)</f>
        <v>43878</v>
      </c>
      <c r="AF799" s="125">
        <f>_xll.qlYieldTSDiscount($C$31,AE799)</f>
        <v>1.0067305350825451</v>
      </c>
      <c r="AG799" s="125">
        <f>_xll.xlShmInterpDisc(CurveName&amp;T($C$26),AE799)</f>
        <v>1.0067305350825451</v>
      </c>
      <c r="AH799" s="127">
        <f t="shared" si="19"/>
        <v>0</v>
      </c>
    </row>
    <row r="800" spans="30:34" x14ac:dyDescent="0.2">
      <c r="AD800" s="13" t="s">
        <v>94</v>
      </c>
      <c r="AE800" s="126">
        <f>_xll.qlCalendarAdvance(Calendar,AE799,AD800,BizDayConv)</f>
        <v>43879</v>
      </c>
      <c r="AF800" s="125">
        <f>_xll.qlYieldTSDiscount($C$31,AE800)</f>
        <v>1.006730922501911</v>
      </c>
      <c r="AG800" s="125">
        <f>_xll.xlShmInterpDisc(CurveName&amp;T($C$26),AE800)</f>
        <v>1.006730922501911</v>
      </c>
      <c r="AH800" s="127">
        <f t="shared" si="19"/>
        <v>0</v>
      </c>
    </row>
    <row r="801" spans="30:34" x14ac:dyDescent="0.2">
      <c r="AD801" s="13" t="s">
        <v>94</v>
      </c>
      <c r="AE801" s="126">
        <f>_xll.qlCalendarAdvance(Calendar,AE800,AD801,BizDayConv)</f>
        <v>43880</v>
      </c>
      <c r="AF801" s="125">
        <f>_xll.qlYieldTSDiscount($C$31,AE801)</f>
        <v>1.0067312972804345</v>
      </c>
      <c r="AG801" s="125">
        <f>_xll.xlShmInterpDisc(CurveName&amp;T($C$26),AE801)</f>
        <v>1.0067312972804345</v>
      </c>
      <c r="AH801" s="127">
        <f t="shared" si="19"/>
        <v>0</v>
      </c>
    </row>
    <row r="802" spans="30:34" x14ac:dyDescent="0.2">
      <c r="AD802" s="13" t="s">
        <v>94</v>
      </c>
      <c r="AE802" s="126">
        <f>_xll.qlCalendarAdvance(Calendar,AE801,AD802,BizDayConv)</f>
        <v>43881</v>
      </c>
      <c r="AF802" s="125">
        <f>_xll.qlYieldTSDiscount($C$31,AE802)</f>
        <v>1.006731659398874</v>
      </c>
      <c r="AG802" s="125">
        <f>_xll.xlShmInterpDisc(CurveName&amp;T($C$26),AE802)</f>
        <v>1.006731659398874</v>
      </c>
      <c r="AH802" s="127">
        <f t="shared" si="19"/>
        <v>0</v>
      </c>
    </row>
    <row r="803" spans="30:34" x14ac:dyDescent="0.2">
      <c r="AD803" s="13" t="s">
        <v>94</v>
      </c>
      <c r="AE803" s="126">
        <f>_xll.qlCalendarAdvance(Calendar,AE802,AD803,BizDayConv)</f>
        <v>43882</v>
      </c>
      <c r="AF803" s="125">
        <f>_xll.qlYieldTSDiscount($C$31,AE803)</f>
        <v>1.0067320088379492</v>
      </c>
      <c r="AG803" s="125">
        <f>_xll.xlShmInterpDisc(CurveName&amp;T($C$26),AE803)</f>
        <v>1.0067320088379492</v>
      </c>
      <c r="AH803" s="127">
        <f t="shared" si="19"/>
        <v>0</v>
      </c>
    </row>
    <row r="804" spans="30:34" x14ac:dyDescent="0.2">
      <c r="AD804" s="13" t="s">
        <v>94</v>
      </c>
      <c r="AE804" s="126">
        <f>_xll.qlCalendarAdvance(Calendar,AE803,AD804,BizDayConv)</f>
        <v>43885</v>
      </c>
      <c r="AF804" s="125">
        <f>_xll.qlYieldTSDiscount($C$31,AE804)</f>
        <v>1.0067329808855958</v>
      </c>
      <c r="AG804" s="125">
        <f>_xll.xlShmInterpDisc(CurveName&amp;T($C$26),AE804)</f>
        <v>1.0067329808855958</v>
      </c>
      <c r="AH804" s="127">
        <f t="shared" si="19"/>
        <v>0</v>
      </c>
    </row>
    <row r="805" spans="30:34" x14ac:dyDescent="0.2">
      <c r="AD805" s="13" t="s">
        <v>94</v>
      </c>
      <c r="AE805" s="126">
        <f>_xll.qlCalendarAdvance(Calendar,AE804,AD805,BizDayConv)</f>
        <v>43886</v>
      </c>
      <c r="AF805" s="125">
        <f>_xll.qlYieldTSDiscount($C$31,AE805)</f>
        <v>1.0067332794136248</v>
      </c>
      <c r="AG805" s="125">
        <f>_xll.xlShmInterpDisc(CurveName&amp;T($C$26),AE805)</f>
        <v>1.0067332794136248</v>
      </c>
      <c r="AH805" s="127">
        <f t="shared" si="19"/>
        <v>0</v>
      </c>
    </row>
    <row r="806" spans="30:34" x14ac:dyDescent="0.2">
      <c r="AD806" s="13" t="s">
        <v>94</v>
      </c>
      <c r="AE806" s="126">
        <f>_xll.qlCalendarAdvance(Calendar,AE805,AD806,BizDayConv)</f>
        <v>43887</v>
      </c>
      <c r="AF806" s="125">
        <f>_xll.qlYieldTSDiscount($C$31,AE806)</f>
        <v>1.0067335651652995</v>
      </c>
      <c r="AG806" s="125">
        <f>_xll.xlShmInterpDisc(CurveName&amp;T($C$26),AE806)</f>
        <v>1.0067335651652995</v>
      </c>
      <c r="AH806" s="127">
        <f t="shared" si="19"/>
        <v>0</v>
      </c>
    </row>
    <row r="807" spans="30:34" x14ac:dyDescent="0.2">
      <c r="AD807" s="13" t="s">
        <v>94</v>
      </c>
      <c r="AE807" s="126">
        <f>_xll.qlCalendarAdvance(Calendar,AE806,AD807,BizDayConv)</f>
        <v>43888</v>
      </c>
      <c r="AF807" s="125">
        <f>_xll.qlYieldTSDiscount($C$31,AE807)</f>
        <v>1.0067338381211042</v>
      </c>
      <c r="AG807" s="125">
        <f>_xll.xlShmInterpDisc(CurveName&amp;T($C$26),AE807)</f>
        <v>1.0067338381211042</v>
      </c>
      <c r="AH807" s="127">
        <f t="shared" si="19"/>
        <v>0</v>
      </c>
    </row>
    <row r="808" spans="30:34" x14ac:dyDescent="0.2">
      <c r="AD808" s="13" t="s">
        <v>94</v>
      </c>
      <c r="AE808" s="126">
        <f>_xll.qlCalendarAdvance(Calendar,AE807,AD808,BizDayConv)</f>
        <v>43889</v>
      </c>
      <c r="AF808" s="125">
        <f>_xll.qlYieldTSDiscount($C$31,AE808)</f>
        <v>1.0067340982614847</v>
      </c>
      <c r="AG808" s="125">
        <f>_xll.xlShmInterpDisc(CurveName&amp;T($C$26),AE808)</f>
        <v>1.0067340982614847</v>
      </c>
      <c r="AH808" s="127">
        <f t="shared" si="19"/>
        <v>0</v>
      </c>
    </row>
    <row r="809" spans="30:34" x14ac:dyDescent="0.2">
      <c r="AD809" s="13" t="s">
        <v>94</v>
      </c>
      <c r="AE809" s="126">
        <f>_xll.qlCalendarAdvance(Calendar,AE808,AD809,BizDayConv)</f>
        <v>43892</v>
      </c>
      <c r="AF809" s="125">
        <f>_xll.qlYieldTSDiscount($C$31,AE809)</f>
        <v>1.0067348015939468</v>
      </c>
      <c r="AG809" s="125">
        <f>_xll.xlShmInterpDisc(CurveName&amp;T($C$26),AE809)</f>
        <v>1.0067348015939468</v>
      </c>
      <c r="AH809" s="127">
        <f t="shared" si="19"/>
        <v>0</v>
      </c>
    </row>
    <row r="810" spans="30:34" x14ac:dyDescent="0.2">
      <c r="AD810" s="13" t="s">
        <v>94</v>
      </c>
      <c r="AE810" s="126">
        <f>_xll.qlCalendarAdvance(Calendar,AE809,AD810,BizDayConv)</f>
        <v>43893</v>
      </c>
      <c r="AF810" s="125">
        <f>_xll.qlYieldTSDiscount($C$31,AE810)</f>
        <v>1.0067350102763013</v>
      </c>
      <c r="AG810" s="125">
        <f>_xll.xlShmInterpDisc(CurveName&amp;T($C$26),AE810)</f>
        <v>1.0067350102763013</v>
      </c>
      <c r="AH810" s="127">
        <f t="shared" si="19"/>
        <v>0</v>
      </c>
    </row>
    <row r="811" spans="30:34" x14ac:dyDescent="0.2">
      <c r="AD811" s="13" t="s">
        <v>94</v>
      </c>
      <c r="AE811" s="126">
        <f>_xll.qlCalendarAdvance(Calendar,AE810,AD811,BizDayConv)</f>
        <v>43894</v>
      </c>
      <c r="AF811" s="125">
        <f>_xll.qlYieldTSDiscount($C$31,AE811)</f>
        <v>1.0067352060448715</v>
      </c>
      <c r="AG811" s="125">
        <f>_xll.xlShmInterpDisc(CurveName&amp;T($C$26),AE811)</f>
        <v>1.0067352060448715</v>
      </c>
      <c r="AH811" s="127">
        <f t="shared" si="19"/>
        <v>0</v>
      </c>
    </row>
    <row r="812" spans="30:34" x14ac:dyDescent="0.2">
      <c r="AD812" s="13" t="s">
        <v>94</v>
      </c>
      <c r="AE812" s="126">
        <f>_xll.qlCalendarAdvance(Calendar,AE811,AD812,BizDayConv)</f>
        <v>43895</v>
      </c>
      <c r="AF812" s="125">
        <f>_xll.qlYieldTSDiscount($C$31,AE812)</f>
        <v>1.0067353888798682</v>
      </c>
      <c r="AG812" s="125">
        <f>_xll.xlShmInterpDisc(CurveName&amp;T($C$26),AE812)</f>
        <v>1.0067353888798682</v>
      </c>
      <c r="AH812" s="127">
        <f t="shared" si="19"/>
        <v>0</v>
      </c>
    </row>
    <row r="813" spans="30:34" x14ac:dyDescent="0.2">
      <c r="AD813" s="13" t="s">
        <v>94</v>
      </c>
      <c r="AE813" s="126">
        <f>_xll.qlCalendarAdvance(Calendar,AE812,AD813,BizDayConv)</f>
        <v>43896</v>
      </c>
      <c r="AF813" s="125">
        <f>_xll.qlYieldTSDiscount($C$31,AE813)</f>
        <v>1.0067355587614628</v>
      </c>
      <c r="AG813" s="125">
        <f>_xll.xlShmInterpDisc(CurveName&amp;T($C$26),AE813)</f>
        <v>1.0067355587614628</v>
      </c>
      <c r="AH813" s="127">
        <f t="shared" si="19"/>
        <v>0</v>
      </c>
    </row>
    <row r="814" spans="30:34" x14ac:dyDescent="0.2">
      <c r="AD814" s="13" t="s">
        <v>94</v>
      </c>
      <c r="AE814" s="126">
        <f>_xll.qlCalendarAdvance(Calendar,AE813,AD814,BizDayConv)</f>
        <v>43899</v>
      </c>
      <c r="AF814" s="125">
        <f>_xll.qlYieldTSDiscount($C$31,AE814)</f>
        <v>1.0067359904869631</v>
      </c>
      <c r="AG814" s="125">
        <f>_xll.xlShmInterpDisc(CurveName&amp;T($C$26),AE814)</f>
        <v>1.0067359904869631</v>
      </c>
      <c r="AH814" s="127">
        <f t="shared" si="19"/>
        <v>0</v>
      </c>
    </row>
    <row r="815" spans="30:34" x14ac:dyDescent="0.2">
      <c r="AD815" s="13" t="s">
        <v>94</v>
      </c>
      <c r="AE815" s="126">
        <f>_xll.qlCalendarAdvance(Calendar,AE814,AD815,BizDayConv)</f>
        <v>43900</v>
      </c>
      <c r="AF815" s="125">
        <f>_xll.qlYieldTSDiscount($C$31,AE815)</f>
        <v>1.0067361083558826</v>
      </c>
      <c r="AG815" s="125">
        <f>_xll.xlShmInterpDisc(CurveName&amp;T($C$26),AE815)</f>
        <v>1.0067361083558826</v>
      </c>
      <c r="AH815" s="127">
        <f t="shared" si="19"/>
        <v>0</v>
      </c>
    </row>
    <row r="816" spans="30:34" x14ac:dyDescent="0.2">
      <c r="AD816" s="13" t="s">
        <v>94</v>
      </c>
      <c r="AE816" s="126">
        <f>_xll.qlCalendarAdvance(Calendar,AE815,AD816,BizDayConv)</f>
        <v>43901</v>
      </c>
      <c r="AF816" s="125">
        <f>_xll.qlYieldTSDiscount($C$31,AE816)</f>
        <v>1.0067362131716708</v>
      </c>
      <c r="AG816" s="125">
        <f>_xll.xlShmInterpDisc(CurveName&amp;T($C$26),AE816)</f>
        <v>1.0067362131716708</v>
      </c>
      <c r="AH816" s="127">
        <f t="shared" si="19"/>
        <v>0</v>
      </c>
    </row>
    <row r="817" spans="30:34" x14ac:dyDescent="0.2">
      <c r="AD817" s="13" t="s">
        <v>94</v>
      </c>
      <c r="AE817" s="126">
        <f>_xll.qlCalendarAdvance(Calendar,AE816,AD817,BizDayConv)</f>
        <v>43902</v>
      </c>
      <c r="AF817" s="125">
        <f>_xll.qlYieldTSDiscount($C$31,AE817)</f>
        <v>1.006736304914265</v>
      </c>
      <c r="AG817" s="125">
        <f>_xll.xlShmInterpDisc(CurveName&amp;T($C$26),AE817)</f>
        <v>1.006736304914265</v>
      </c>
      <c r="AH817" s="127">
        <f t="shared" si="19"/>
        <v>0</v>
      </c>
    </row>
    <row r="818" spans="30:34" x14ac:dyDescent="0.2">
      <c r="AD818" s="13" t="s">
        <v>94</v>
      </c>
      <c r="AE818" s="126">
        <f>_xll.qlCalendarAdvance(Calendar,AE817,AD818,BizDayConv)</f>
        <v>43903</v>
      </c>
      <c r="AF818" s="125">
        <f>_xll.qlYieldTSDiscount($C$31,AE818)</f>
        <v>1.0067363835635625</v>
      </c>
      <c r="AG818" s="125">
        <f>_xll.xlShmInterpDisc(CurveName&amp;T($C$26),AE818)</f>
        <v>1.0067363835635625</v>
      </c>
      <c r="AH818" s="127">
        <f t="shared" si="19"/>
        <v>0</v>
      </c>
    </row>
    <row r="819" spans="30:34" x14ac:dyDescent="0.2">
      <c r="AD819" s="13" t="s">
        <v>94</v>
      </c>
      <c r="AE819" s="126">
        <f>_xll.qlCalendarAdvance(Calendar,AE818,AD819,BizDayConv)</f>
        <v>43906</v>
      </c>
      <c r="AF819" s="125">
        <f>_xll.qlYieldTSDiscount($C$31,AE819)</f>
        <v>1.0067365407500677</v>
      </c>
      <c r="AG819" s="125">
        <f>_xll.xlShmInterpDisc(CurveName&amp;T($C$26),AE819)</f>
        <v>1.0067365407500677</v>
      </c>
      <c r="AH819" s="127">
        <f t="shared" si="19"/>
        <v>0</v>
      </c>
    </row>
    <row r="820" spans="30:34" x14ac:dyDescent="0.2">
      <c r="AD820" s="13" t="s">
        <v>94</v>
      </c>
      <c r="AE820" s="126">
        <f>_xll.qlCalendarAdvance(Calendar,AE819,AD820,BizDayConv)</f>
        <v>43907</v>
      </c>
      <c r="AF820" s="125">
        <f>_xll.qlYieldTSDiscount($C$31,AE820)</f>
        <v>1.0067365668243751</v>
      </c>
      <c r="AG820" s="125">
        <f>_xll.xlShmInterpDisc(CurveName&amp;T($C$26),AE820)</f>
        <v>1.0067365668243751</v>
      </c>
      <c r="AH820" s="127">
        <f t="shared" si="19"/>
        <v>0</v>
      </c>
    </row>
    <row r="821" spans="30:34" x14ac:dyDescent="0.2">
      <c r="AD821" s="13" t="s">
        <v>94</v>
      </c>
      <c r="AE821" s="126">
        <f>_xll.qlCalendarAdvance(Calendar,AE820,AD821,BizDayConv)</f>
        <v>43908</v>
      </c>
      <c r="AF821" s="125">
        <f>_xll.qlYieldTSDiscount($C$31,AE821)</f>
        <v>1.0067365797042882</v>
      </c>
      <c r="AG821" s="125">
        <f>_xll.xlShmInterpDisc(CurveName&amp;T($C$26),AE821)</f>
        <v>1.0067365797042882</v>
      </c>
      <c r="AH821" s="127">
        <f t="shared" si="19"/>
        <v>0</v>
      </c>
    </row>
    <row r="822" spans="30:34" x14ac:dyDescent="0.2">
      <c r="AD822" s="13" t="s">
        <v>94</v>
      </c>
      <c r="AE822" s="126">
        <f>_xll.qlCalendarAdvance(Calendar,AE821,AD822,BizDayConv)</f>
        <v>43909</v>
      </c>
      <c r="AF822" s="125">
        <f>_xll.qlYieldTSDiscount($C$31,AE822)</f>
        <v>1.0067365793694705</v>
      </c>
      <c r="AG822" s="125">
        <f>_xll.xlShmInterpDisc(CurveName&amp;T($C$26),AE822)</f>
        <v>1.0067365793694705</v>
      </c>
      <c r="AH822" s="127">
        <f t="shared" si="19"/>
        <v>0</v>
      </c>
    </row>
    <row r="823" spans="30:34" x14ac:dyDescent="0.2">
      <c r="AD823" s="13" t="s">
        <v>94</v>
      </c>
      <c r="AE823" s="126">
        <f>_xll.qlCalendarAdvance(Calendar,AE822,AD823,BizDayConv)</f>
        <v>43910</v>
      </c>
      <c r="AF823" s="125">
        <f>_xll.qlYieldTSDiscount($C$31,AE823)</f>
        <v>1.006736565799546</v>
      </c>
      <c r="AG823" s="125">
        <f>_xll.xlShmInterpDisc(CurveName&amp;T($C$26),AE823)</f>
        <v>1.006736565799546</v>
      </c>
      <c r="AH823" s="127">
        <f t="shared" si="19"/>
        <v>0</v>
      </c>
    </row>
    <row r="824" spans="30:34" x14ac:dyDescent="0.2">
      <c r="AD824" s="13" t="s">
        <v>94</v>
      </c>
      <c r="AE824" s="126">
        <f>_xll.qlCalendarAdvance(Calendar,AE823,AD824,BizDayConv)</f>
        <v>43913</v>
      </c>
      <c r="AF824" s="125">
        <f>_xll.qlYieldTSDiscount($C$31,AE824)</f>
        <v>1.006736445474786</v>
      </c>
      <c r="AG824" s="125">
        <f>_xll.xlShmInterpDisc(CurveName&amp;T($C$26),AE824)</f>
        <v>1.006736445474786</v>
      </c>
      <c r="AH824" s="127">
        <f t="shared" si="19"/>
        <v>0</v>
      </c>
    </row>
    <row r="825" spans="30:34" x14ac:dyDescent="0.2">
      <c r="AD825" s="13" t="s">
        <v>94</v>
      </c>
      <c r="AE825" s="126">
        <f>_xll.qlCalendarAdvance(Calendar,AE824,AD825,BizDayConv)</f>
        <v>43914</v>
      </c>
      <c r="AF825" s="125">
        <f>_xll.qlYieldTSDiscount($C$31,AE825)</f>
        <v>1.0067363787598935</v>
      </c>
      <c r="AG825" s="125">
        <f>_xll.xlShmInterpDisc(CurveName&amp;T($C$26),AE825)</f>
        <v>1.0067363787598935</v>
      </c>
      <c r="AH825" s="127">
        <f t="shared" si="19"/>
        <v>0</v>
      </c>
    </row>
    <row r="826" spans="30:34" x14ac:dyDescent="0.2">
      <c r="AD826" s="13" t="s">
        <v>94</v>
      </c>
      <c r="AE826" s="126">
        <f>_xll.qlCalendarAdvance(Calendar,AE825,AD826,BizDayConv)</f>
        <v>43915</v>
      </c>
      <c r="AF826" s="125">
        <f>_xll.qlYieldTSDiscount($C$31,AE826)</f>
        <v>1.0067362987074286</v>
      </c>
      <c r="AG826" s="125">
        <f>_xll.xlShmInterpDisc(CurveName&amp;T($C$26),AE826)</f>
        <v>1.0067362987074286</v>
      </c>
      <c r="AH826" s="127">
        <f t="shared" si="19"/>
        <v>0</v>
      </c>
    </row>
    <row r="827" spans="30:34" x14ac:dyDescent="0.2">
      <c r="AD827" s="13" t="s">
        <v>94</v>
      </c>
      <c r="AE827" s="126">
        <f>_xll.qlCalendarAdvance(Calendar,AE826,AD827,BizDayConv)</f>
        <v>43916</v>
      </c>
      <c r="AF827" s="125">
        <f>_xll.qlYieldTSDiscount($C$31,AE827)</f>
        <v>1.006736205296781</v>
      </c>
      <c r="AG827" s="125">
        <f>_xll.xlShmInterpDisc(CurveName&amp;T($C$26),AE827)</f>
        <v>1.006736205296781</v>
      </c>
      <c r="AH827" s="127">
        <f t="shared" si="19"/>
        <v>0</v>
      </c>
    </row>
    <row r="828" spans="30:34" x14ac:dyDescent="0.2">
      <c r="AD828" s="13" t="s">
        <v>94</v>
      </c>
      <c r="AE828" s="126">
        <f>_xll.qlCalendarAdvance(Calendar,AE827,AD828,BizDayConv)</f>
        <v>43917</v>
      </c>
      <c r="AF828" s="125">
        <f>_xll.qlYieldTSDiscount($C$31,AE828)</f>
        <v>1.0067360985073011</v>
      </c>
      <c r="AG828" s="125">
        <f>_xll.xlShmInterpDisc(CurveName&amp;T($C$26),AE828)</f>
        <v>1.0067360985073011</v>
      </c>
      <c r="AH828" s="127">
        <f t="shared" si="19"/>
        <v>0</v>
      </c>
    </row>
    <row r="829" spans="30:34" x14ac:dyDescent="0.2">
      <c r="AD829" s="13" t="s">
        <v>94</v>
      </c>
      <c r="AE829" s="126">
        <f>_xll.qlCalendarAdvance(Calendar,AE828,AD829,BizDayConv)</f>
        <v>43920</v>
      </c>
      <c r="AF829" s="125">
        <f>_xll.qlYieldTSDiscount($C$31,AE829)</f>
        <v>1.006735697658788</v>
      </c>
      <c r="AG829" s="125">
        <f>_xll.xlShmInterpDisc(CurveName&amp;T($C$26),AE829)</f>
        <v>1.006735697658788</v>
      </c>
      <c r="AH829" s="127">
        <f t="shared" si="19"/>
        <v>0</v>
      </c>
    </row>
    <row r="830" spans="30:34" x14ac:dyDescent="0.2">
      <c r="AD830" s="13" t="s">
        <v>94</v>
      </c>
      <c r="AE830" s="126">
        <f>_xll.qlCalendarAdvance(Calendar,AE829,AD830,BizDayConv)</f>
        <v>43921</v>
      </c>
      <c r="AF830" s="125">
        <f>_xll.qlYieldTSDiscount($C$31,AE830)</f>
        <v>1.0067355371467042</v>
      </c>
      <c r="AG830" s="125">
        <f>_xll.xlShmInterpDisc(CurveName&amp;T($C$26),AE830)</f>
        <v>1.0067355371467042</v>
      </c>
      <c r="AH830" s="127">
        <f t="shared" si="19"/>
        <v>0</v>
      </c>
    </row>
    <row r="831" spans="30:34" x14ac:dyDescent="0.2">
      <c r="AD831" s="13" t="s">
        <v>94</v>
      </c>
      <c r="AE831" s="126">
        <f>_xll.qlCalendarAdvance(Calendar,AE830,AD831,BizDayConv)</f>
        <v>43922</v>
      </c>
      <c r="AF831" s="125">
        <f>_xll.qlYieldTSDiscount($C$31,AE831)</f>
        <v>1.0067353631519551</v>
      </c>
      <c r="AG831" s="125">
        <f>_xll.xlShmInterpDisc(CurveName&amp;T($C$26),AE831)</f>
        <v>1.0067353631519551</v>
      </c>
      <c r="AH831" s="127">
        <f t="shared" si="19"/>
        <v>0</v>
      </c>
    </row>
    <row r="832" spans="30:34" x14ac:dyDescent="0.2">
      <c r="AD832" s="13" t="s">
        <v>94</v>
      </c>
      <c r="AE832" s="126">
        <f>_xll.qlCalendarAdvance(Calendar,AE831,AD832,BizDayConv)</f>
        <v>43923</v>
      </c>
      <c r="AF832" s="125">
        <f>_xll.qlYieldTSDiscount($C$31,AE832)</f>
        <v>1.0067351756536571</v>
      </c>
      <c r="AG832" s="125">
        <f>_xll.xlShmInterpDisc(CurveName&amp;T($C$26),AE832)</f>
        <v>1.0067351756536571</v>
      </c>
      <c r="AH832" s="127">
        <f t="shared" si="19"/>
        <v>0</v>
      </c>
    </row>
    <row r="833" spans="30:34" x14ac:dyDescent="0.2">
      <c r="AD833" s="13" t="s">
        <v>94</v>
      </c>
      <c r="AE833" s="126">
        <f>_xll.qlCalendarAdvance(Calendar,AE832,AD833,BizDayConv)</f>
        <v>43924</v>
      </c>
      <c r="AF833" s="125">
        <f>_xll.qlYieldTSDiscount($C$31,AE833)</f>
        <v>1.0067349746308873</v>
      </c>
      <c r="AG833" s="125">
        <f>_xll.xlShmInterpDisc(CurveName&amp;T($C$26),AE833)</f>
        <v>1.0067349746308873</v>
      </c>
      <c r="AH833" s="127">
        <f t="shared" si="19"/>
        <v>0</v>
      </c>
    </row>
    <row r="834" spans="30:34" x14ac:dyDescent="0.2">
      <c r="AD834" s="13" t="s">
        <v>94</v>
      </c>
      <c r="AE834" s="126">
        <f>_xll.qlCalendarAdvance(Calendar,AE833,AD834,BizDayConv)</f>
        <v>43927</v>
      </c>
      <c r="AF834" s="125">
        <f>_xll.qlYieldTSDiscount($C$31,AE834)</f>
        <v>1.0067342902059351</v>
      </c>
      <c r="AG834" s="125">
        <f>_xll.xlShmInterpDisc(CurveName&amp;T($C$26),AE834)</f>
        <v>1.0067342902059351</v>
      </c>
      <c r="AH834" s="127">
        <f t="shared" si="19"/>
        <v>0</v>
      </c>
    </row>
    <row r="835" spans="30:34" x14ac:dyDescent="0.2">
      <c r="AD835" s="13" t="s">
        <v>94</v>
      </c>
      <c r="AE835" s="126">
        <f>_xll.qlCalendarAdvance(Calendar,AE834,AD835,BizDayConv)</f>
        <v>43928</v>
      </c>
      <c r="AF835" s="125">
        <f>_xll.qlYieldTSDiscount($C$31,AE835)</f>
        <v>1.0067340348752702</v>
      </c>
      <c r="AG835" s="125">
        <f>_xll.xlShmInterpDisc(CurveName&amp;T($C$26),AE835)</f>
        <v>1.0067340348752702</v>
      </c>
      <c r="AH835" s="127">
        <f t="shared" si="19"/>
        <v>0</v>
      </c>
    </row>
    <row r="836" spans="30:34" x14ac:dyDescent="0.2">
      <c r="AD836" s="13" t="s">
        <v>94</v>
      </c>
      <c r="AE836" s="126">
        <f>_xll.qlCalendarAdvance(Calendar,AE835,AD836,BizDayConv)</f>
        <v>43929</v>
      </c>
      <c r="AF836" s="125">
        <f>_xll.qlYieldTSDiscount($C$31,AE836)</f>
        <v>1.0067337659149342</v>
      </c>
      <c r="AG836" s="125">
        <f>_xll.xlShmInterpDisc(CurveName&amp;T($C$26),AE836)</f>
        <v>1.0067337659149342</v>
      </c>
      <c r="AH836" s="127">
        <f t="shared" ref="AH836:AH899" si="20">(AF836-AG836)</f>
        <v>0</v>
      </c>
    </row>
    <row r="837" spans="30:34" x14ac:dyDescent="0.2">
      <c r="AD837" s="13" t="s">
        <v>94</v>
      </c>
      <c r="AE837" s="126">
        <f>_xll.qlCalendarAdvance(Calendar,AE836,AD837,BizDayConv)</f>
        <v>43930</v>
      </c>
      <c r="AF837" s="125">
        <f>_xll.qlYieldTSDiscount($C$31,AE837)</f>
        <v>1.0067334833037698</v>
      </c>
      <c r="AG837" s="125">
        <f>_xll.xlShmInterpDisc(CurveName&amp;T($C$26),AE837)</f>
        <v>1.0067334833037698</v>
      </c>
      <c r="AH837" s="127">
        <f t="shared" si="20"/>
        <v>0</v>
      </c>
    </row>
    <row r="838" spans="30:34" x14ac:dyDescent="0.2">
      <c r="AD838" s="13" t="s">
        <v>94</v>
      </c>
      <c r="AE838" s="126">
        <f>_xll.qlCalendarAdvance(Calendar,AE837,AD838,BizDayConv)</f>
        <v>43935</v>
      </c>
      <c r="AF838" s="125">
        <f>_xll.qlYieldTSDiscount($C$31,AE838)</f>
        <v>1.0067318647422991</v>
      </c>
      <c r="AG838" s="125">
        <f>_xll.xlShmInterpDisc(CurveName&amp;T($C$26),AE838)</f>
        <v>1.0067318647422991</v>
      </c>
      <c r="AH838" s="127">
        <f t="shared" si="20"/>
        <v>0</v>
      </c>
    </row>
    <row r="839" spans="30:34" x14ac:dyDescent="0.2">
      <c r="AD839" s="13" t="s">
        <v>94</v>
      </c>
      <c r="AE839" s="126">
        <f>_xll.qlCalendarAdvance(Calendar,AE838,AD839,BizDayConv)</f>
        <v>43936</v>
      </c>
      <c r="AF839" s="125">
        <f>_xll.qlYieldTSDiscount($C$31,AE839)</f>
        <v>1.0067314997796835</v>
      </c>
      <c r="AG839" s="125">
        <f>_xll.xlShmInterpDisc(CurveName&amp;T($C$26),AE839)</f>
        <v>1.0067314997796835</v>
      </c>
      <c r="AH839" s="127">
        <f t="shared" si="20"/>
        <v>0</v>
      </c>
    </row>
    <row r="840" spans="30:34" x14ac:dyDescent="0.2">
      <c r="AD840" s="13" t="s">
        <v>94</v>
      </c>
      <c r="AE840" s="126">
        <f>_xll.qlCalendarAdvance(Calendar,AE839,AD840,BizDayConv)</f>
        <v>43937</v>
      </c>
      <c r="AF840" s="125">
        <f>_xll.qlYieldTSDiscount($C$31,AE840)</f>
        <v>1.006731121017048</v>
      </c>
      <c r="AG840" s="125">
        <f>_xll.xlShmInterpDisc(CurveName&amp;T($C$26),AE840)</f>
        <v>1.006731121017048</v>
      </c>
      <c r="AH840" s="127">
        <f t="shared" si="20"/>
        <v>0</v>
      </c>
    </row>
    <row r="841" spans="30:34" x14ac:dyDescent="0.2">
      <c r="AD841" s="13" t="s">
        <v>94</v>
      </c>
      <c r="AE841" s="126">
        <f>_xll.qlCalendarAdvance(Calendar,AE840,AD841,BizDayConv)</f>
        <v>43938</v>
      </c>
      <c r="AF841" s="125">
        <f>_xll.qlYieldTSDiscount($C$31,AE841)</f>
        <v>1.0067307284329237</v>
      </c>
      <c r="AG841" s="125">
        <f>_xll.xlShmInterpDisc(CurveName&amp;T($C$26),AE841)</f>
        <v>1.0067307284329237</v>
      </c>
      <c r="AH841" s="127">
        <f t="shared" si="20"/>
        <v>0</v>
      </c>
    </row>
    <row r="842" spans="30:34" x14ac:dyDescent="0.2">
      <c r="AD842" s="13" t="s">
        <v>94</v>
      </c>
      <c r="AE842" s="126">
        <f>_xll.qlCalendarAdvance(Calendar,AE841,AD842,BizDayConv)</f>
        <v>43941</v>
      </c>
      <c r="AF842" s="125">
        <f>_xll.qlYieldTSDiscount($C$31,AE842)</f>
        <v>1.0067294675363412</v>
      </c>
      <c r="AG842" s="125">
        <f>_xll.xlShmInterpDisc(CurveName&amp;T($C$26),AE842)</f>
        <v>1.0067294675363412</v>
      </c>
      <c r="AH842" s="127">
        <f t="shared" si="20"/>
        <v>0</v>
      </c>
    </row>
    <row r="843" spans="30:34" x14ac:dyDescent="0.2">
      <c r="AD843" s="13" t="s">
        <v>94</v>
      </c>
      <c r="AE843" s="126">
        <f>_xll.qlCalendarAdvance(Calendar,AE842,AD843,BizDayConv)</f>
        <v>43942</v>
      </c>
      <c r="AF843" s="125">
        <f>_xll.qlYieldTSDiscount($C$31,AE843)</f>
        <v>1.0067290194507901</v>
      </c>
      <c r="AG843" s="125">
        <f>_xll.xlShmInterpDisc(CurveName&amp;T($C$26),AE843)</f>
        <v>1.0067290194507901</v>
      </c>
      <c r="AH843" s="127">
        <f t="shared" si="20"/>
        <v>0</v>
      </c>
    </row>
    <row r="844" spans="30:34" x14ac:dyDescent="0.2">
      <c r="AD844" s="13" t="s">
        <v>94</v>
      </c>
      <c r="AE844" s="126">
        <f>_xll.qlCalendarAdvance(Calendar,AE843,AD844,BizDayConv)</f>
        <v>43943</v>
      </c>
      <c r="AF844" s="125">
        <f>_xll.qlYieldTSDiscount($C$31,AE844)</f>
        <v>1.0067285574358193</v>
      </c>
      <c r="AG844" s="125">
        <f>_xll.xlShmInterpDisc(CurveName&amp;T($C$26),AE844)</f>
        <v>1.0067285574358193</v>
      </c>
      <c r="AH844" s="127">
        <f t="shared" si="20"/>
        <v>0</v>
      </c>
    </row>
    <row r="845" spans="30:34" x14ac:dyDescent="0.2">
      <c r="AD845" s="13" t="s">
        <v>94</v>
      </c>
      <c r="AE845" s="126">
        <f>_xll.qlCalendarAdvance(Calendar,AE844,AD845,BizDayConv)</f>
        <v>43944</v>
      </c>
      <c r="AF845" s="125">
        <f>_xll.qlYieldTSDiscount($C$31,AE845)</f>
        <v>1.0067280814697261</v>
      </c>
      <c r="AG845" s="125">
        <f>_xll.xlShmInterpDisc(CurveName&amp;T($C$26),AE845)</f>
        <v>1.0067280814697261</v>
      </c>
      <c r="AH845" s="127">
        <f t="shared" si="20"/>
        <v>0</v>
      </c>
    </row>
    <row r="846" spans="30:34" x14ac:dyDescent="0.2">
      <c r="AD846" s="13" t="s">
        <v>94</v>
      </c>
      <c r="AE846" s="126">
        <f>_xll.qlCalendarAdvance(Calendar,AE845,AD846,BizDayConv)</f>
        <v>43945</v>
      </c>
      <c r="AF846" s="125">
        <f>_xll.qlYieldTSDiscount($C$31,AE846)</f>
        <v>1.0067275915307683</v>
      </c>
      <c r="AG846" s="125">
        <f>_xll.xlShmInterpDisc(CurveName&amp;T($C$26),AE846)</f>
        <v>1.0067275915307683</v>
      </c>
      <c r="AH846" s="127">
        <f t="shared" si="20"/>
        <v>0</v>
      </c>
    </row>
    <row r="847" spans="30:34" x14ac:dyDescent="0.2">
      <c r="AD847" s="13" t="s">
        <v>94</v>
      </c>
      <c r="AE847" s="126">
        <f>_xll.qlCalendarAdvance(Calendar,AE846,AD847,BizDayConv)</f>
        <v>43948</v>
      </c>
      <c r="AF847" s="125">
        <f>_xll.qlYieldTSDiscount($C$31,AE847)</f>
        <v>1.0067260376587013</v>
      </c>
      <c r="AG847" s="125">
        <f>_xll.xlShmInterpDisc(CurveName&amp;T($C$26),AE847)</f>
        <v>1.0067260376587013</v>
      </c>
      <c r="AH847" s="127">
        <f t="shared" si="20"/>
        <v>0</v>
      </c>
    </row>
    <row r="848" spans="30:34" x14ac:dyDescent="0.2">
      <c r="AD848" s="13" t="s">
        <v>94</v>
      </c>
      <c r="AE848" s="126">
        <f>_xll.qlCalendarAdvance(Calendar,AE847,AD848,BizDayConv)</f>
        <v>43949</v>
      </c>
      <c r="AF848" s="125">
        <f>_xll.qlYieldTSDiscount($C$31,AE848)</f>
        <v>1.0067254916100845</v>
      </c>
      <c r="AG848" s="125">
        <f>_xll.xlShmInterpDisc(CurveName&amp;T($C$26),AE848)</f>
        <v>1.0067254916100845</v>
      </c>
      <c r="AH848" s="127">
        <f t="shared" si="20"/>
        <v>0</v>
      </c>
    </row>
    <row r="849" spans="30:34" x14ac:dyDescent="0.2">
      <c r="AD849" s="13" t="s">
        <v>94</v>
      </c>
      <c r="AE849" s="126">
        <f>_xll.qlCalendarAdvance(Calendar,AE848,AD849,BizDayConv)</f>
        <v>43950</v>
      </c>
      <c r="AF849" s="125">
        <f>_xll.qlYieldTSDiscount($C$31,AE849)</f>
        <v>1.0067249314793079</v>
      </c>
      <c r="AG849" s="125">
        <f>_xll.xlShmInterpDisc(CurveName&amp;T($C$26),AE849)</f>
        <v>1.0067249314793079</v>
      </c>
      <c r="AH849" s="127">
        <f t="shared" si="20"/>
        <v>0</v>
      </c>
    </row>
    <row r="850" spans="30:34" x14ac:dyDescent="0.2">
      <c r="AD850" s="13" t="s">
        <v>94</v>
      </c>
      <c r="AE850" s="126">
        <f>_xll.qlCalendarAdvance(Calendar,AE849,AD850,BizDayConv)</f>
        <v>43951</v>
      </c>
      <c r="AF850" s="125">
        <f>_xll.qlYieldTSDiscount($C$31,AE850)</f>
        <v>1.0067243572443956</v>
      </c>
      <c r="AG850" s="125">
        <f>_xll.xlShmInterpDisc(CurveName&amp;T($C$26),AE850)</f>
        <v>1.0067243572443956</v>
      </c>
      <c r="AH850" s="127">
        <f t="shared" si="20"/>
        <v>0</v>
      </c>
    </row>
    <row r="851" spans="30:34" x14ac:dyDescent="0.2">
      <c r="AD851" s="13" t="s">
        <v>94</v>
      </c>
      <c r="AE851" s="126">
        <f>_xll.qlCalendarAdvance(Calendar,AE850,AD851,BizDayConv)</f>
        <v>43955</v>
      </c>
      <c r="AF851" s="125">
        <f>_xll.qlYieldTSDiscount($C$31,AE851)</f>
        <v>1.0067219188225089</v>
      </c>
      <c r="AG851" s="125">
        <f>_xll.xlShmInterpDisc(CurveName&amp;T($C$26),AE851)</f>
        <v>1.0067219188225089</v>
      </c>
      <c r="AH851" s="127">
        <f t="shared" si="20"/>
        <v>0</v>
      </c>
    </row>
    <row r="852" spans="30:34" x14ac:dyDescent="0.2">
      <c r="AD852" s="13" t="s">
        <v>94</v>
      </c>
      <c r="AE852" s="126">
        <f>_xll.qlCalendarAdvance(Calendar,AE851,AD852,BizDayConv)</f>
        <v>43956</v>
      </c>
      <c r="AF852" s="125">
        <f>_xll.qlYieldTSDiscount($C$31,AE852)</f>
        <v>1.0067212737359164</v>
      </c>
      <c r="AG852" s="125">
        <f>_xll.xlShmInterpDisc(CurveName&amp;T($C$26),AE852)</f>
        <v>1.0067212737359164</v>
      </c>
      <c r="AH852" s="127">
        <f t="shared" si="20"/>
        <v>0</v>
      </c>
    </row>
    <row r="853" spans="30:34" x14ac:dyDescent="0.2">
      <c r="AD853" s="13" t="s">
        <v>94</v>
      </c>
      <c r="AE853" s="126">
        <f>_xll.qlCalendarAdvance(Calendar,AE852,AD853,BizDayConv)</f>
        <v>43957</v>
      </c>
      <c r="AF853" s="125">
        <f>_xll.qlYieldTSDiscount($C$31,AE853)</f>
        <v>1.0067206144125147</v>
      </c>
      <c r="AG853" s="125">
        <f>_xll.xlShmInterpDisc(CurveName&amp;T($C$26),AE853)</f>
        <v>1.0067206144125147</v>
      </c>
      <c r="AH853" s="127">
        <f t="shared" si="20"/>
        <v>0</v>
      </c>
    </row>
    <row r="854" spans="30:34" x14ac:dyDescent="0.2">
      <c r="AD854" s="13" t="s">
        <v>94</v>
      </c>
      <c r="AE854" s="126">
        <f>_xll.qlCalendarAdvance(Calendar,AE853,AD854,BizDayConv)</f>
        <v>43958</v>
      </c>
      <c r="AF854" s="125">
        <f>_xll.qlYieldTSDiscount($C$31,AE854)</f>
        <v>1.0067199408300553</v>
      </c>
      <c r="AG854" s="125">
        <f>_xll.xlShmInterpDisc(CurveName&amp;T($C$26),AE854)</f>
        <v>1.0067199408300553</v>
      </c>
      <c r="AH854" s="127">
        <f t="shared" si="20"/>
        <v>0</v>
      </c>
    </row>
    <row r="855" spans="30:34" x14ac:dyDescent="0.2">
      <c r="AD855" s="13" t="s">
        <v>94</v>
      </c>
      <c r="AE855" s="126">
        <f>_xll.qlCalendarAdvance(Calendar,AE854,AD855,BizDayConv)</f>
        <v>43959</v>
      </c>
      <c r="AF855" s="125">
        <f>_xll.qlYieldTSDiscount($C$31,AE855)</f>
        <v>1.0067192529662508</v>
      </c>
      <c r="AG855" s="125">
        <f>_xll.xlShmInterpDisc(CurveName&amp;T($C$26),AE855)</f>
        <v>1.0067192529662508</v>
      </c>
      <c r="AH855" s="127">
        <f t="shared" si="20"/>
        <v>0</v>
      </c>
    </row>
    <row r="856" spans="30:34" x14ac:dyDescent="0.2">
      <c r="AD856" s="13" t="s">
        <v>94</v>
      </c>
      <c r="AE856" s="126">
        <f>_xll.qlCalendarAdvance(Calendar,AE855,AD856,BizDayConv)</f>
        <v>43962</v>
      </c>
      <c r="AF856" s="125">
        <f>_xll.qlYieldTSDiscount($C$31,AE856)</f>
        <v>1.006717103463306</v>
      </c>
      <c r="AG856" s="125">
        <f>_xll.xlShmInterpDisc(CurveName&amp;T($C$26),AE856)</f>
        <v>1.006717103463306</v>
      </c>
      <c r="AH856" s="127">
        <f t="shared" si="20"/>
        <v>0</v>
      </c>
    </row>
    <row r="857" spans="30:34" x14ac:dyDescent="0.2">
      <c r="AD857" s="13" t="s">
        <v>94</v>
      </c>
      <c r="AE857" s="126">
        <f>_xll.qlCalendarAdvance(Calendar,AE856,AD857,BizDayConv)</f>
        <v>43963</v>
      </c>
      <c r="AF857" s="125">
        <f>_xll.qlYieldTSDiscount($C$31,AE857)</f>
        <v>1.0067163582504663</v>
      </c>
      <c r="AG857" s="125">
        <f>_xll.xlShmInterpDisc(CurveName&amp;T($C$26),AE857)</f>
        <v>1.0067163582504663</v>
      </c>
      <c r="AH857" s="127">
        <f t="shared" si="20"/>
        <v>0</v>
      </c>
    </row>
    <row r="858" spans="30:34" x14ac:dyDescent="0.2">
      <c r="AD858" s="13" t="s">
        <v>94</v>
      </c>
      <c r="AE858" s="126">
        <f>_xll.qlCalendarAdvance(Calendar,AE857,AD858,BizDayConv)</f>
        <v>43964</v>
      </c>
      <c r="AF858" s="125">
        <f>_xll.qlYieldTSDiscount($C$31,AE858)</f>
        <v>1.00671559864426</v>
      </c>
      <c r="AG858" s="125">
        <f>_xll.xlShmInterpDisc(CurveName&amp;T($C$26),AE858)</f>
        <v>1.00671559864426</v>
      </c>
      <c r="AH858" s="127">
        <f t="shared" si="20"/>
        <v>0</v>
      </c>
    </row>
    <row r="859" spans="30:34" x14ac:dyDescent="0.2">
      <c r="AD859" s="13" t="s">
        <v>94</v>
      </c>
      <c r="AE859" s="126">
        <f>_xll.qlCalendarAdvance(Calendar,AE858,AD859,BizDayConv)</f>
        <v>43965</v>
      </c>
      <c r="AF859" s="125">
        <f>_xll.qlYieldTSDiscount($C$31,AE859)</f>
        <v>1.0067148246221658</v>
      </c>
      <c r="AG859" s="125">
        <f>_xll.xlShmInterpDisc(CurveName&amp;T($C$26),AE859)</f>
        <v>1.0067148246221658</v>
      </c>
      <c r="AH859" s="127">
        <f t="shared" si="20"/>
        <v>0</v>
      </c>
    </row>
    <row r="860" spans="30:34" x14ac:dyDescent="0.2">
      <c r="AD860" s="13" t="s">
        <v>94</v>
      </c>
      <c r="AE860" s="126">
        <f>_xll.qlCalendarAdvance(Calendar,AE859,AD860,BizDayConv)</f>
        <v>43966</v>
      </c>
      <c r="AF860" s="125">
        <f>_xll.qlYieldTSDiscount($C$31,AE860)</f>
        <v>1.0067140361616236</v>
      </c>
      <c r="AG860" s="125">
        <f>_xll.xlShmInterpDisc(CurveName&amp;T($C$26),AE860)</f>
        <v>1.0067140361616236</v>
      </c>
      <c r="AH860" s="127">
        <f t="shared" si="20"/>
        <v>0</v>
      </c>
    </row>
    <row r="861" spans="30:34" x14ac:dyDescent="0.2">
      <c r="AD861" s="13" t="s">
        <v>94</v>
      </c>
      <c r="AE861" s="126">
        <f>_xll.qlCalendarAdvance(Calendar,AE860,AD861,BizDayConv)</f>
        <v>43969</v>
      </c>
      <c r="AF861" s="125">
        <f>_xll.qlYieldTSDiscount($C$31,AE861)</f>
        <v>1.006711583923126</v>
      </c>
      <c r="AG861" s="125">
        <f>_xll.xlShmInterpDisc(CurveName&amp;T($C$26),AE861)</f>
        <v>1.006711583923126</v>
      </c>
      <c r="AH861" s="127">
        <f t="shared" si="20"/>
        <v>0</v>
      </c>
    </row>
    <row r="862" spans="30:34" x14ac:dyDescent="0.2">
      <c r="AD862" s="13" t="s">
        <v>94</v>
      </c>
      <c r="AE862" s="126">
        <f>_xll.qlCalendarAdvance(Calendar,AE861,AD862,BizDayConv)</f>
        <v>43970</v>
      </c>
      <c r="AF862" s="125">
        <f>_xll.qlYieldTSDiscount($C$31,AE862)</f>
        <v>1.0067107374824142</v>
      </c>
      <c r="AG862" s="125">
        <f>_xll.xlShmInterpDisc(CurveName&amp;T($C$26),AE862)</f>
        <v>1.0067107374824142</v>
      </c>
      <c r="AH862" s="127">
        <f t="shared" si="20"/>
        <v>0</v>
      </c>
    </row>
    <row r="863" spans="30:34" x14ac:dyDescent="0.2">
      <c r="AD863" s="13" t="s">
        <v>94</v>
      </c>
      <c r="AE863" s="126">
        <f>_xll.qlCalendarAdvance(Calendar,AE862,AD863,BizDayConv)</f>
        <v>43971</v>
      </c>
      <c r="AF863" s="125">
        <f>_xll.qlYieldTSDiscount($C$31,AE863)</f>
        <v>1.006709876489871</v>
      </c>
      <c r="AG863" s="125">
        <f>_xll.xlShmInterpDisc(CurveName&amp;T($C$26),AE863)</f>
        <v>1.006709876489871</v>
      </c>
      <c r="AH863" s="127">
        <f t="shared" si="20"/>
        <v>0</v>
      </c>
    </row>
    <row r="864" spans="30:34" x14ac:dyDescent="0.2">
      <c r="AD864" s="13" t="s">
        <v>94</v>
      </c>
      <c r="AE864" s="126">
        <f>_xll.qlCalendarAdvance(Calendar,AE863,AD864,BizDayConv)</f>
        <v>43972</v>
      </c>
      <c r="AF864" s="125">
        <f>_xll.qlYieldTSDiscount($C$31,AE864)</f>
        <v>1.0067090009227027</v>
      </c>
      <c r="AG864" s="125">
        <f>_xll.xlShmInterpDisc(CurveName&amp;T($C$26),AE864)</f>
        <v>1.0067090009227027</v>
      </c>
      <c r="AH864" s="127">
        <f t="shared" si="20"/>
        <v>0</v>
      </c>
    </row>
    <row r="865" spans="30:34" x14ac:dyDescent="0.2">
      <c r="AD865" s="13" t="s">
        <v>94</v>
      </c>
      <c r="AE865" s="126">
        <f>_xll.qlCalendarAdvance(Calendar,AE864,AD865,BizDayConv)</f>
        <v>43973</v>
      </c>
      <c r="AF865" s="125">
        <f>_xll.qlYieldTSDiscount($C$31,AE865)</f>
        <v>1.0067081107580771</v>
      </c>
      <c r="AG865" s="125">
        <f>_xll.xlShmInterpDisc(CurveName&amp;T($C$26),AE865)</f>
        <v>1.0067081107580771</v>
      </c>
      <c r="AH865" s="127">
        <f t="shared" si="20"/>
        <v>0</v>
      </c>
    </row>
    <row r="866" spans="30:34" x14ac:dyDescent="0.2">
      <c r="AD866" s="13" t="s">
        <v>94</v>
      </c>
      <c r="AE866" s="126">
        <f>_xll.qlCalendarAdvance(Calendar,AE865,AD866,BizDayConv)</f>
        <v>43976</v>
      </c>
      <c r="AF866" s="125">
        <f>_xll.qlYieldTSDiscount($C$31,AE866)</f>
        <v>1.0067053524505511</v>
      </c>
      <c r="AG866" s="125">
        <f>_xll.xlShmInterpDisc(CurveName&amp;T($C$26),AE866)</f>
        <v>1.0067053524505511</v>
      </c>
      <c r="AH866" s="127">
        <f t="shared" si="20"/>
        <v>0</v>
      </c>
    </row>
    <row r="867" spans="30:34" x14ac:dyDescent="0.2">
      <c r="AD867" s="13" t="s">
        <v>94</v>
      </c>
      <c r="AE867" s="126">
        <f>_xll.qlCalendarAdvance(Calendar,AE866,AD867,BizDayConv)</f>
        <v>43977</v>
      </c>
      <c r="AF867" s="125">
        <f>_xll.qlYieldTSDiscount($C$31,AE867)</f>
        <v>1.0067044036669961</v>
      </c>
      <c r="AG867" s="125">
        <f>_xll.xlShmInterpDisc(CurveName&amp;T($C$26),AE867)</f>
        <v>1.0067044036669961</v>
      </c>
      <c r="AH867" s="127">
        <f t="shared" si="20"/>
        <v>0</v>
      </c>
    </row>
    <row r="868" spans="30:34" x14ac:dyDescent="0.2">
      <c r="AD868" s="13" t="s">
        <v>94</v>
      </c>
      <c r="AE868" s="126">
        <f>_xll.qlCalendarAdvance(Calendar,AE867,AD868,BizDayConv)</f>
        <v>43978</v>
      </c>
      <c r="AF868" s="125">
        <f>_xll.qlYieldTSDiscount($C$31,AE868)</f>
        <v>1.0067034401712389</v>
      </c>
      <c r="AG868" s="125">
        <f>_xll.xlShmInterpDisc(CurveName&amp;T($C$26),AE868)</f>
        <v>1.0067034401712389</v>
      </c>
      <c r="AH868" s="127">
        <f t="shared" si="20"/>
        <v>0</v>
      </c>
    </row>
    <row r="869" spans="30:34" x14ac:dyDescent="0.2">
      <c r="AD869" s="13" t="s">
        <v>94</v>
      </c>
      <c r="AE869" s="126">
        <f>_xll.qlCalendarAdvance(Calendar,AE868,AD869,BizDayConv)</f>
        <v>43979</v>
      </c>
      <c r="AF869" s="125">
        <f>_xll.qlYieldTSDiscount($C$31,AE869)</f>
        <v>1.0067024619402143</v>
      </c>
      <c r="AG869" s="125">
        <f>_xll.xlShmInterpDisc(CurveName&amp;T($C$26),AE869)</f>
        <v>1.0067024619402143</v>
      </c>
      <c r="AH869" s="127">
        <f t="shared" si="20"/>
        <v>0</v>
      </c>
    </row>
    <row r="870" spans="30:34" x14ac:dyDescent="0.2">
      <c r="AD870" s="13" t="s">
        <v>94</v>
      </c>
      <c r="AE870" s="126">
        <f>_xll.qlCalendarAdvance(Calendar,AE869,AD870,BizDayConv)</f>
        <v>43980</v>
      </c>
      <c r="AF870" s="125">
        <f>_xll.qlYieldTSDiscount($C$31,AE870)</f>
        <v>1.0067014689508176</v>
      </c>
      <c r="AG870" s="125">
        <f>_xll.xlShmInterpDisc(CurveName&amp;T($C$26),AE870)</f>
        <v>1.0067014689508176</v>
      </c>
      <c r="AH870" s="127">
        <f t="shared" si="20"/>
        <v>0</v>
      </c>
    </row>
    <row r="871" spans="30:34" x14ac:dyDescent="0.2">
      <c r="AD871" s="13" t="s">
        <v>94</v>
      </c>
      <c r="AE871" s="126">
        <f>_xll.qlCalendarAdvance(Calendar,AE870,AD871,BizDayConv)</f>
        <v>43983</v>
      </c>
      <c r="AF871" s="125">
        <f>_xll.qlYieldTSDiscount($C$31,AE871)</f>
        <v>1.0066984012007678</v>
      </c>
      <c r="AG871" s="125">
        <f>_xll.xlShmInterpDisc(CurveName&amp;T($C$26),AE871)</f>
        <v>1.0066984012007678</v>
      </c>
      <c r="AH871" s="127">
        <f t="shared" si="20"/>
        <v>0</v>
      </c>
    </row>
    <row r="872" spans="30:34" x14ac:dyDescent="0.2">
      <c r="AD872" s="13" t="s">
        <v>94</v>
      </c>
      <c r="AE872" s="126">
        <f>_xll.qlCalendarAdvance(Calendar,AE871,AD872,BizDayConv)</f>
        <v>43984</v>
      </c>
      <c r="AF872" s="125">
        <f>_xll.qlYieldTSDiscount($C$31,AE872)</f>
        <v>1.0066973489460613</v>
      </c>
      <c r="AG872" s="125">
        <f>_xll.xlShmInterpDisc(CurveName&amp;T($C$26),AE872)</f>
        <v>1.0066973489460613</v>
      </c>
      <c r="AH872" s="127">
        <f t="shared" si="20"/>
        <v>0</v>
      </c>
    </row>
    <row r="873" spans="30:34" x14ac:dyDescent="0.2">
      <c r="AD873" s="13" t="s">
        <v>94</v>
      </c>
      <c r="AE873" s="126">
        <f>_xll.qlCalendarAdvance(Calendar,AE872,AD873,BizDayConv)</f>
        <v>43985</v>
      </c>
      <c r="AF873" s="125">
        <f>_xll.qlYieldTSDiscount($C$31,AE873)</f>
        <v>1.0066962818168774</v>
      </c>
      <c r="AG873" s="125">
        <f>_xll.xlShmInterpDisc(CurveName&amp;T($C$26),AE873)</f>
        <v>1.0066962818168774</v>
      </c>
      <c r="AH873" s="127">
        <f t="shared" si="20"/>
        <v>0</v>
      </c>
    </row>
    <row r="874" spans="30:34" x14ac:dyDescent="0.2">
      <c r="AD874" s="13" t="s">
        <v>94</v>
      </c>
      <c r="AE874" s="126">
        <f>_xll.qlCalendarAdvance(Calendar,AE873,AD874,BizDayConv)</f>
        <v>43986</v>
      </c>
      <c r="AF874" s="125">
        <f>_xll.qlYieldTSDiscount($C$31,AE874)</f>
        <v>1.006695199789879</v>
      </c>
      <c r="AG874" s="125">
        <f>_xll.xlShmInterpDisc(CurveName&amp;T($C$26),AE874)</f>
        <v>1.006695199789879</v>
      </c>
      <c r="AH874" s="127">
        <f t="shared" si="20"/>
        <v>0</v>
      </c>
    </row>
    <row r="875" spans="30:34" x14ac:dyDescent="0.2">
      <c r="AD875" s="13" t="s">
        <v>94</v>
      </c>
      <c r="AE875" s="126">
        <f>_xll.qlCalendarAdvance(Calendar,AE874,AD875,BizDayConv)</f>
        <v>43987</v>
      </c>
      <c r="AF875" s="125">
        <f>_xll.qlYieldTSDiscount($C$31,AE875)</f>
        <v>1.0066941028416891</v>
      </c>
      <c r="AG875" s="125">
        <f>_xll.xlShmInterpDisc(CurveName&amp;T($C$26),AE875)</f>
        <v>1.0066941028416891</v>
      </c>
      <c r="AH875" s="127">
        <f t="shared" si="20"/>
        <v>0</v>
      </c>
    </row>
    <row r="876" spans="30:34" x14ac:dyDescent="0.2">
      <c r="AD876" s="13" t="s">
        <v>94</v>
      </c>
      <c r="AE876" s="126">
        <f>_xll.qlCalendarAdvance(Calendar,AE875,AD876,BizDayConv)</f>
        <v>43990</v>
      </c>
      <c r="AF876" s="125">
        <f>_xll.qlYieldTSDiscount($C$31,AE876)</f>
        <v>1.0066907222356265</v>
      </c>
      <c r="AG876" s="125">
        <f>_xll.xlShmInterpDisc(CurveName&amp;T($C$26),AE876)</f>
        <v>1.0066907222356265</v>
      </c>
      <c r="AH876" s="127">
        <f t="shared" si="20"/>
        <v>0</v>
      </c>
    </row>
    <row r="877" spans="30:34" x14ac:dyDescent="0.2">
      <c r="AD877" s="13" t="s">
        <v>94</v>
      </c>
      <c r="AE877" s="126">
        <f>_xll.qlCalendarAdvance(Calendar,AE876,AD877,BizDayConv)</f>
        <v>43991</v>
      </c>
      <c r="AF877" s="125">
        <f>_xll.qlYieldTSDiscount($C$31,AE877)</f>
        <v>1.0066895653681311</v>
      </c>
      <c r="AG877" s="125">
        <f>_xll.xlShmInterpDisc(CurveName&amp;T($C$26),AE877)</f>
        <v>1.0066895653681311</v>
      </c>
      <c r="AH877" s="127">
        <f t="shared" si="20"/>
        <v>0</v>
      </c>
    </row>
    <row r="878" spans="30:34" x14ac:dyDescent="0.2">
      <c r="AD878" s="13" t="s">
        <v>94</v>
      </c>
      <c r="AE878" s="126">
        <f>_xll.qlCalendarAdvance(Calendar,AE877,AD878,BizDayConv)</f>
        <v>43992</v>
      </c>
      <c r="AF878" s="125">
        <f>_xll.qlYieldTSDiscount($C$31,AE878)</f>
        <v>1.0066883934619801</v>
      </c>
      <c r="AG878" s="125">
        <f>_xll.xlShmInterpDisc(CurveName&amp;T($C$26),AE878)</f>
        <v>1.0066883934619801</v>
      </c>
      <c r="AH878" s="127">
        <f t="shared" si="20"/>
        <v>0</v>
      </c>
    </row>
    <row r="879" spans="30:34" x14ac:dyDescent="0.2">
      <c r="AD879" s="13" t="s">
        <v>94</v>
      </c>
      <c r="AE879" s="126">
        <f>_xll.qlCalendarAdvance(Calendar,AE878,AD879,BizDayConv)</f>
        <v>43993</v>
      </c>
      <c r="AF879" s="125">
        <f>_xll.qlYieldTSDiscount($C$31,AE879)</f>
        <v>1.0066872064935639</v>
      </c>
      <c r="AG879" s="125">
        <f>_xll.xlShmInterpDisc(CurveName&amp;T($C$26),AE879)</f>
        <v>1.0066872064935639</v>
      </c>
      <c r="AH879" s="127">
        <f t="shared" si="20"/>
        <v>0</v>
      </c>
    </row>
    <row r="880" spans="30:34" x14ac:dyDescent="0.2">
      <c r="AD880" s="13" t="s">
        <v>94</v>
      </c>
      <c r="AE880" s="126">
        <f>_xll.qlCalendarAdvance(Calendar,AE879,AD880,BizDayConv)</f>
        <v>43994</v>
      </c>
      <c r="AF880" s="125">
        <f>_xll.qlYieldTSDiscount($C$31,AE880)</f>
        <v>1.0066860044392345</v>
      </c>
      <c r="AG880" s="125">
        <f>_xll.xlShmInterpDisc(CurveName&amp;T($C$26),AE880)</f>
        <v>1.0066860044392345</v>
      </c>
      <c r="AH880" s="127">
        <f t="shared" si="20"/>
        <v>0</v>
      </c>
    </row>
    <row r="881" spans="30:34" x14ac:dyDescent="0.2">
      <c r="AD881" s="13" t="s">
        <v>94</v>
      </c>
      <c r="AE881" s="126">
        <f>_xll.qlCalendarAdvance(Calendar,AE880,AD881,BizDayConv)</f>
        <v>43997</v>
      </c>
      <c r="AF881" s="125">
        <f>_xll.qlYieldTSDiscount($C$31,AE881)</f>
        <v>1.0066823075237015</v>
      </c>
      <c r="AG881" s="125">
        <f>_xll.xlShmInterpDisc(CurveName&amp;T($C$26),AE881)</f>
        <v>1.0066823075237015</v>
      </c>
      <c r="AH881" s="127">
        <f t="shared" si="20"/>
        <v>0</v>
      </c>
    </row>
    <row r="882" spans="30:34" x14ac:dyDescent="0.2">
      <c r="AD882" s="13" t="s">
        <v>94</v>
      </c>
      <c r="AE882" s="126">
        <f>_xll.qlCalendarAdvance(Calendar,AE881,AD882,BizDayConv)</f>
        <v>43998</v>
      </c>
      <c r="AF882" s="125">
        <f>_xll.qlYieldTSDiscount($C$31,AE882)</f>
        <v>1.0066810448884602</v>
      </c>
      <c r="AG882" s="125">
        <f>_xll.xlShmInterpDisc(CurveName&amp;T($C$26),AE882)</f>
        <v>1.0066810448884602</v>
      </c>
      <c r="AH882" s="127">
        <f t="shared" si="20"/>
        <v>0</v>
      </c>
    </row>
    <row r="883" spans="30:34" x14ac:dyDescent="0.2">
      <c r="AD883" s="13" t="s">
        <v>94</v>
      </c>
      <c r="AE883" s="126">
        <f>_xll.qlCalendarAdvance(Calendar,AE882,AD883,BizDayConv)</f>
        <v>43999</v>
      </c>
      <c r="AF883" s="125">
        <f>_xll.qlYieldTSDiscount($C$31,AE883)</f>
        <v>1.0066797670484826</v>
      </c>
      <c r="AG883" s="125">
        <f>_xll.xlShmInterpDisc(CurveName&amp;T($C$26),AE883)</f>
        <v>1.0066797670484826</v>
      </c>
      <c r="AH883" s="127">
        <f t="shared" si="20"/>
        <v>0</v>
      </c>
    </row>
    <row r="884" spans="30:34" x14ac:dyDescent="0.2">
      <c r="AD884" s="13" t="s">
        <v>94</v>
      </c>
      <c r="AE884" s="126">
        <f>_xll.qlCalendarAdvance(Calendar,AE883,AD884,BizDayConv)</f>
        <v>44000</v>
      </c>
      <c r="AF884" s="125">
        <f>_xll.qlYieldTSDiscount($C$31,AE884)</f>
        <v>1.0066784739798873</v>
      </c>
      <c r="AG884" s="125">
        <f>_xll.xlShmInterpDisc(CurveName&amp;T($C$26),AE884)</f>
        <v>1.0066784739798873</v>
      </c>
      <c r="AH884" s="127">
        <f t="shared" si="20"/>
        <v>0</v>
      </c>
    </row>
    <row r="885" spans="30:34" x14ac:dyDescent="0.2">
      <c r="AD885" s="13" t="s">
        <v>94</v>
      </c>
      <c r="AE885" s="126">
        <f>_xll.qlCalendarAdvance(Calendar,AE884,AD885,BizDayConv)</f>
        <v>44001</v>
      </c>
      <c r="AF885" s="125">
        <f>_xll.qlYieldTSDiscount($C$31,AE885)</f>
        <v>1.0066771656587548</v>
      </c>
      <c r="AG885" s="125">
        <f>_xll.xlShmInterpDisc(CurveName&amp;T($C$26),AE885)</f>
        <v>1.0066771656587548</v>
      </c>
      <c r="AH885" s="127">
        <f t="shared" si="20"/>
        <v>0</v>
      </c>
    </row>
    <row r="886" spans="30:34" x14ac:dyDescent="0.2">
      <c r="AD886" s="13" t="s">
        <v>94</v>
      </c>
      <c r="AE886" s="126">
        <f>_xll.qlCalendarAdvance(Calendar,AE885,AD886,BizDayConv)</f>
        <v>44004</v>
      </c>
      <c r="AF886" s="125">
        <f>_xll.qlYieldTSDiscount($C$31,AE886)</f>
        <v>1.0066731489403535</v>
      </c>
      <c r="AG886" s="125">
        <f>_xll.xlShmInterpDisc(CurveName&amp;T($C$26),AE886)</f>
        <v>1.0066731489403535</v>
      </c>
      <c r="AH886" s="127">
        <f t="shared" si="20"/>
        <v>0</v>
      </c>
    </row>
    <row r="887" spans="30:34" x14ac:dyDescent="0.2">
      <c r="AD887" s="13" t="s">
        <v>94</v>
      </c>
      <c r="AE887" s="126">
        <f>_xll.qlCalendarAdvance(Calendar,AE886,AD887,BizDayConv)</f>
        <v>44005</v>
      </c>
      <c r="AF887" s="125">
        <f>_xll.qlYieldTSDiscount($C$31,AE887)</f>
        <v>1.0066717793690982</v>
      </c>
      <c r="AG887" s="125">
        <f>_xll.xlShmInterpDisc(CurveName&amp;T($C$26),AE887)</f>
        <v>1.0066717793690982</v>
      </c>
      <c r="AH887" s="127">
        <f t="shared" si="20"/>
        <v>0</v>
      </c>
    </row>
    <row r="888" spans="30:34" x14ac:dyDescent="0.2">
      <c r="AD888" s="13" t="s">
        <v>94</v>
      </c>
      <c r="AE888" s="126">
        <f>_xll.qlCalendarAdvance(Calendar,AE887,AD888,BizDayConv)</f>
        <v>44006</v>
      </c>
      <c r="AF888" s="125">
        <f>_xll.qlYieldTSDiscount($C$31,AE888)</f>
        <v>1.0066703944251247</v>
      </c>
      <c r="AG888" s="125">
        <f>_xll.xlShmInterpDisc(CurveName&amp;T($C$26),AE888)</f>
        <v>1.0066703944251247</v>
      </c>
      <c r="AH888" s="127">
        <f t="shared" si="20"/>
        <v>0</v>
      </c>
    </row>
    <row r="889" spans="30:34" x14ac:dyDescent="0.2">
      <c r="AD889" s="13" t="s">
        <v>94</v>
      </c>
      <c r="AE889" s="126">
        <f>_xll.qlCalendarAdvance(Calendar,AE888,AD889,BizDayConv)</f>
        <v>44007</v>
      </c>
      <c r="AF889" s="125">
        <f>_xll.qlYieldTSDiscount($C$31,AE889)</f>
        <v>1.0066689940842806</v>
      </c>
      <c r="AG889" s="125">
        <f>_xll.xlShmInterpDisc(CurveName&amp;T($C$26),AE889)</f>
        <v>1.0066689940842806</v>
      </c>
      <c r="AH889" s="127">
        <f t="shared" si="20"/>
        <v>0</v>
      </c>
    </row>
    <row r="890" spans="30:34" x14ac:dyDescent="0.2">
      <c r="AD890" s="13" t="s">
        <v>94</v>
      </c>
      <c r="AE890" s="126">
        <f>_xll.qlCalendarAdvance(Calendar,AE889,AD890,BizDayConv)</f>
        <v>44008</v>
      </c>
      <c r="AF890" s="125">
        <f>_xll.qlYieldTSDiscount($C$31,AE890)</f>
        <v>1.0066675783223749</v>
      </c>
      <c r="AG890" s="125">
        <f>_xll.xlShmInterpDisc(CurveName&amp;T($C$26),AE890)</f>
        <v>1.0066675783223749</v>
      </c>
      <c r="AH890" s="127">
        <f t="shared" si="20"/>
        <v>0</v>
      </c>
    </row>
    <row r="891" spans="30:34" x14ac:dyDescent="0.2">
      <c r="AD891" s="13" t="s">
        <v>94</v>
      </c>
      <c r="AE891" s="126">
        <f>_xll.qlCalendarAdvance(Calendar,AE890,AD891,BizDayConv)</f>
        <v>44011</v>
      </c>
      <c r="AF891" s="125">
        <f>_xll.qlYieldTSDiscount($C$31,AE891)</f>
        <v>1.0066632382677936</v>
      </c>
      <c r="AG891" s="125">
        <f>_xll.xlShmInterpDisc(CurveName&amp;T($C$26),AE891)</f>
        <v>1.0066632382677936</v>
      </c>
      <c r="AH891" s="127">
        <f t="shared" si="20"/>
        <v>0</v>
      </c>
    </row>
    <row r="892" spans="30:34" x14ac:dyDescent="0.2">
      <c r="AD892" s="13" t="s">
        <v>94</v>
      </c>
      <c r="AE892" s="126">
        <f>_xll.qlCalendarAdvance(Calendar,AE891,AD892,BizDayConv)</f>
        <v>44012</v>
      </c>
      <c r="AF892" s="125">
        <f>_xll.qlYieldTSDiscount($C$31,AE892)</f>
        <v>1.0066617605789538</v>
      </c>
      <c r="AG892" s="125">
        <f>_xll.xlShmInterpDisc(CurveName&amp;T($C$26),AE892)</f>
        <v>1.0066617605789538</v>
      </c>
      <c r="AH892" s="127">
        <f t="shared" si="20"/>
        <v>0</v>
      </c>
    </row>
    <row r="893" spans="30:34" x14ac:dyDescent="0.2">
      <c r="AD893" s="13" t="s">
        <v>94</v>
      </c>
      <c r="AE893" s="126">
        <f>_xll.qlCalendarAdvance(Calendar,AE892,AD893,BizDayConv)</f>
        <v>44013</v>
      </c>
      <c r="AF893" s="125">
        <f>_xll.qlYieldTSDiscount($C$31,AE893)</f>
        <v>1.0066602673475147</v>
      </c>
      <c r="AG893" s="125">
        <f>_xll.xlShmInterpDisc(CurveName&amp;T($C$26),AE893)</f>
        <v>1.0066602673475147</v>
      </c>
      <c r="AH893" s="127">
        <f t="shared" si="20"/>
        <v>0</v>
      </c>
    </row>
    <row r="894" spans="30:34" x14ac:dyDescent="0.2">
      <c r="AD894" s="13" t="s">
        <v>94</v>
      </c>
      <c r="AE894" s="126">
        <f>_xll.qlCalendarAdvance(Calendar,AE893,AD894,BizDayConv)</f>
        <v>44014</v>
      </c>
      <c r="AF894" s="125">
        <f>_xll.qlYieldTSDiscount($C$31,AE894)</f>
        <v>1.0066587585490527</v>
      </c>
      <c r="AG894" s="125">
        <f>_xll.xlShmInterpDisc(CurveName&amp;T($C$26),AE894)</f>
        <v>1.0066587585490527</v>
      </c>
      <c r="AH894" s="127">
        <f t="shared" si="20"/>
        <v>0</v>
      </c>
    </row>
    <row r="895" spans="30:34" x14ac:dyDescent="0.2">
      <c r="AD895" s="13" t="s">
        <v>94</v>
      </c>
      <c r="AE895" s="126">
        <f>_xll.qlCalendarAdvance(Calendar,AE894,AD895,BizDayConv)</f>
        <v>44015</v>
      </c>
      <c r="AF895" s="125">
        <f>_xll.qlYieldTSDiscount($C$31,AE895)</f>
        <v>1.0066572341591058</v>
      </c>
      <c r="AG895" s="125">
        <f>_xll.xlShmInterpDisc(CurveName&amp;T($C$26),AE895)</f>
        <v>1.0066572341591058</v>
      </c>
      <c r="AH895" s="127">
        <f t="shared" si="20"/>
        <v>0</v>
      </c>
    </row>
    <row r="896" spans="30:34" x14ac:dyDescent="0.2">
      <c r="AD896" s="13" t="s">
        <v>94</v>
      </c>
      <c r="AE896" s="126">
        <f>_xll.qlCalendarAdvance(Calendar,AE895,AD896,BizDayConv)</f>
        <v>44018</v>
      </c>
      <c r="AF896" s="125">
        <f>_xll.qlYieldTSDiscount($C$31,AE896)</f>
        <v>1.0066525671951476</v>
      </c>
      <c r="AG896" s="125">
        <f>_xll.xlShmInterpDisc(CurveName&amp;T($C$26),AE896)</f>
        <v>1.0066525671951476</v>
      </c>
      <c r="AH896" s="127">
        <f t="shared" si="20"/>
        <v>0</v>
      </c>
    </row>
    <row r="897" spans="30:34" x14ac:dyDescent="0.2">
      <c r="AD897" s="13" t="s">
        <v>94</v>
      </c>
      <c r="AE897" s="126">
        <f>_xll.qlCalendarAdvance(Calendar,AE896,AD897,BizDayConv)</f>
        <v>44019</v>
      </c>
      <c r="AF897" s="125">
        <f>_xll.qlYieldTSDiscount($C$31,AE897)</f>
        <v>1.0066509801938608</v>
      </c>
      <c r="AG897" s="125">
        <f>_xll.xlShmInterpDisc(CurveName&amp;T($C$26),AE897)</f>
        <v>1.0066509801938608</v>
      </c>
      <c r="AH897" s="127">
        <f t="shared" si="20"/>
        <v>0</v>
      </c>
    </row>
    <row r="898" spans="30:34" x14ac:dyDescent="0.2">
      <c r="AD898" s="13" t="s">
        <v>94</v>
      </c>
      <c r="AE898" s="126">
        <f>_xll.qlCalendarAdvance(Calendar,AE897,AD898,BizDayConv)</f>
        <v>44020</v>
      </c>
      <c r="AF898" s="125">
        <f>_xll.qlYieldTSDiscount($C$31,AE898)</f>
        <v>1.0066493774781955</v>
      </c>
      <c r="AG898" s="125">
        <f>_xll.xlShmInterpDisc(CurveName&amp;T($C$26),AE898)</f>
        <v>1.0066493774781955</v>
      </c>
      <c r="AH898" s="127">
        <f t="shared" si="20"/>
        <v>0</v>
      </c>
    </row>
    <row r="899" spans="30:34" x14ac:dyDescent="0.2">
      <c r="AD899" s="13" t="s">
        <v>94</v>
      </c>
      <c r="AE899" s="126">
        <f>_xll.qlCalendarAdvance(Calendar,AE898,AD899,BizDayConv)</f>
        <v>44021</v>
      </c>
      <c r="AF899" s="125">
        <f>_xll.qlYieldTSDiscount($C$31,AE899)</f>
        <v>1.0066477590234573</v>
      </c>
      <c r="AG899" s="125">
        <f>_xll.xlShmInterpDisc(CurveName&amp;T($C$26),AE899)</f>
        <v>1.0066477590234573</v>
      </c>
      <c r="AH899" s="127">
        <f t="shared" si="20"/>
        <v>0</v>
      </c>
    </row>
    <row r="900" spans="30:34" x14ac:dyDescent="0.2">
      <c r="AD900" s="13" t="s">
        <v>94</v>
      </c>
      <c r="AE900" s="126">
        <f>_xll.qlCalendarAdvance(Calendar,AE899,AD900,BizDayConv)</f>
        <v>44022</v>
      </c>
      <c r="AF900" s="125">
        <f>_xll.qlYieldTSDiscount($C$31,AE900)</f>
        <v>1.0066461248049126</v>
      </c>
      <c r="AG900" s="125">
        <f>_xll.xlShmInterpDisc(CurveName&amp;T($C$26),AE900)</f>
        <v>1.0066461248049126</v>
      </c>
      <c r="AH900" s="127">
        <f t="shared" ref="AH900:AH963" si="21">(AF900-AG900)</f>
        <v>0</v>
      </c>
    </row>
    <row r="901" spans="30:34" x14ac:dyDescent="0.2">
      <c r="AD901" s="13" t="s">
        <v>94</v>
      </c>
      <c r="AE901" s="126">
        <f>_xll.qlCalendarAdvance(Calendar,AE900,AD901,BizDayConv)</f>
        <v>44025</v>
      </c>
      <c r="AF901" s="125">
        <f>_xll.qlYieldTSDiscount($C$31,AE901)</f>
        <v>1.0066411273185243</v>
      </c>
      <c r="AG901" s="125">
        <f>_xll.xlShmInterpDisc(CurveName&amp;T($C$26),AE901)</f>
        <v>1.0066411273185243</v>
      </c>
      <c r="AH901" s="127">
        <f t="shared" si="21"/>
        <v>0</v>
      </c>
    </row>
    <row r="902" spans="30:34" x14ac:dyDescent="0.2">
      <c r="AD902" s="13" t="s">
        <v>94</v>
      </c>
      <c r="AE902" s="126">
        <f>_xll.qlCalendarAdvance(Calendar,AE901,AD902,BizDayConv)</f>
        <v>44026</v>
      </c>
      <c r="AF902" s="125">
        <f>_xll.qlYieldTSDiscount($C$31,AE902)</f>
        <v>1.0066394297966452</v>
      </c>
      <c r="AG902" s="125">
        <f>_xll.xlShmInterpDisc(CurveName&amp;T($C$26),AE902)</f>
        <v>1.0066394297966452</v>
      </c>
      <c r="AH902" s="127">
        <f t="shared" si="21"/>
        <v>0</v>
      </c>
    </row>
    <row r="903" spans="30:34" x14ac:dyDescent="0.2">
      <c r="AD903" s="13" t="s">
        <v>94</v>
      </c>
      <c r="AE903" s="126">
        <f>_xll.qlCalendarAdvance(Calendar,AE902,AD903,BizDayConv)</f>
        <v>44027</v>
      </c>
      <c r="AF903" s="125">
        <f>_xll.qlYieldTSDiscount($C$31,AE903)</f>
        <v>1.006637716386712</v>
      </c>
      <c r="AG903" s="125">
        <f>_xll.xlShmInterpDisc(CurveName&amp;T($C$26),AE903)</f>
        <v>1.006637716386712</v>
      </c>
      <c r="AH903" s="127">
        <f t="shared" si="21"/>
        <v>0</v>
      </c>
    </row>
    <row r="904" spans="30:34" x14ac:dyDescent="0.2">
      <c r="AD904" s="13" t="s">
        <v>94</v>
      </c>
      <c r="AE904" s="126">
        <f>_xll.qlCalendarAdvance(Calendar,AE903,AD904,BizDayConv)</f>
        <v>44028</v>
      </c>
      <c r="AF904" s="125">
        <f>_xll.qlYieldTSDiscount($C$31,AE904)</f>
        <v>1.0066359870637589</v>
      </c>
      <c r="AG904" s="125">
        <f>_xll.xlShmInterpDisc(CurveName&amp;T($C$26),AE904)</f>
        <v>1.0066359870637589</v>
      </c>
      <c r="AH904" s="127">
        <f t="shared" si="21"/>
        <v>0</v>
      </c>
    </row>
    <row r="905" spans="30:34" x14ac:dyDescent="0.2">
      <c r="AD905" s="13" t="s">
        <v>94</v>
      </c>
      <c r="AE905" s="126">
        <f>_xll.qlCalendarAdvance(Calendar,AE904,AD905,BizDayConv)</f>
        <v>44029</v>
      </c>
      <c r="AF905" s="125">
        <f>_xll.qlYieldTSDiscount($C$31,AE905)</f>
        <v>1.0066342418027818</v>
      </c>
      <c r="AG905" s="125">
        <f>_xll.xlShmInterpDisc(CurveName&amp;T($C$26),AE905)</f>
        <v>1.0066342418027818</v>
      </c>
      <c r="AH905" s="127">
        <f t="shared" si="21"/>
        <v>0</v>
      </c>
    </row>
    <row r="906" spans="30:34" x14ac:dyDescent="0.2">
      <c r="AD906" s="13" t="s">
        <v>94</v>
      </c>
      <c r="AE906" s="126">
        <f>_xll.qlCalendarAdvance(Calendar,AE905,AD906,BizDayConv)</f>
        <v>44032</v>
      </c>
      <c r="AF906" s="125">
        <f>_xll.qlYieldTSDiscount($C$31,AE906)</f>
        <v>1.0066289101410841</v>
      </c>
      <c r="AG906" s="125">
        <f>_xll.xlShmInterpDisc(CurveName&amp;T($C$26),AE906)</f>
        <v>1.0066289101410841</v>
      </c>
      <c r="AH906" s="127">
        <f t="shared" si="21"/>
        <v>0</v>
      </c>
    </row>
    <row r="907" spans="30:34" x14ac:dyDescent="0.2">
      <c r="AD907" s="13" t="s">
        <v>94</v>
      </c>
      <c r="AE907" s="126">
        <f>_xll.qlCalendarAdvance(Calendar,AE906,AD907,BizDayConv)</f>
        <v>44033</v>
      </c>
      <c r="AF907" s="125">
        <f>_xll.qlYieldTSDiscount($C$31,AE907)</f>
        <v>1.006627100877195</v>
      </c>
      <c r="AG907" s="125">
        <f>_xll.xlShmInterpDisc(CurveName&amp;T($C$26),AE907)</f>
        <v>1.006627100877195</v>
      </c>
      <c r="AH907" s="127">
        <f t="shared" si="21"/>
        <v>0</v>
      </c>
    </row>
    <row r="908" spans="30:34" x14ac:dyDescent="0.2">
      <c r="AD908" s="13" t="s">
        <v>94</v>
      </c>
      <c r="AE908" s="126">
        <f>_xll.qlCalendarAdvance(Calendar,AE907,AD908,BizDayConv)</f>
        <v>44034</v>
      </c>
      <c r="AF908" s="125">
        <f>_xll.qlYieldTSDiscount($C$31,AE908)</f>
        <v>1.0066252755496807</v>
      </c>
      <c r="AG908" s="125">
        <f>_xll.xlShmInterpDisc(CurveName&amp;T($C$26),AE908)</f>
        <v>1.0066252755496807</v>
      </c>
      <c r="AH908" s="127">
        <f t="shared" si="21"/>
        <v>0</v>
      </c>
    </row>
    <row r="909" spans="30:34" x14ac:dyDescent="0.2">
      <c r="AD909" s="13" t="s">
        <v>94</v>
      </c>
      <c r="AE909" s="126">
        <f>_xll.qlCalendarAdvance(Calendar,AE908,AD909,BizDayConv)</f>
        <v>44035</v>
      </c>
      <c r="AF909" s="125">
        <f>_xll.qlYieldTSDiscount($C$31,AE909)</f>
        <v>1.0066234341333049</v>
      </c>
      <c r="AG909" s="125">
        <f>_xll.xlShmInterpDisc(CurveName&amp;T($C$26),AE909)</f>
        <v>1.0066234341333049</v>
      </c>
      <c r="AH909" s="127">
        <f t="shared" si="21"/>
        <v>0</v>
      </c>
    </row>
    <row r="910" spans="30:34" x14ac:dyDescent="0.2">
      <c r="AD910" s="13" t="s">
        <v>94</v>
      </c>
      <c r="AE910" s="126">
        <f>_xll.qlCalendarAdvance(Calendar,AE909,AD910,BizDayConv)</f>
        <v>44036</v>
      </c>
      <c r="AF910" s="125">
        <f>_xll.qlYieldTSDiscount($C$31,AE910)</f>
        <v>1.0066215766027926</v>
      </c>
      <c r="AG910" s="125">
        <f>_xll.xlShmInterpDisc(CurveName&amp;T($C$26),AE910)</f>
        <v>1.0066215766027926</v>
      </c>
      <c r="AH910" s="127">
        <f t="shared" si="21"/>
        <v>0</v>
      </c>
    </row>
    <row r="911" spans="30:34" x14ac:dyDescent="0.2">
      <c r="AD911" s="13" t="s">
        <v>94</v>
      </c>
      <c r="AE911" s="126">
        <f>_xll.qlCalendarAdvance(Calendar,AE910,AD911,BizDayConv)</f>
        <v>44039</v>
      </c>
      <c r="AF911" s="125">
        <f>_xll.qlYieldTSDiscount($C$31,AE911)</f>
        <v>1.0066159070731096</v>
      </c>
      <c r="AG911" s="125">
        <f>_xll.xlShmInterpDisc(CurveName&amp;T($C$26),AE911)</f>
        <v>1.0066159070731096</v>
      </c>
      <c r="AH911" s="127">
        <f t="shared" si="21"/>
        <v>0</v>
      </c>
    </row>
    <row r="912" spans="30:34" x14ac:dyDescent="0.2">
      <c r="AD912" s="13" t="s">
        <v>94</v>
      </c>
      <c r="AE912" s="126">
        <f>_xll.qlCalendarAdvance(Calendar,AE911,AD912,BizDayConv)</f>
        <v>44040</v>
      </c>
      <c r="AF912" s="125">
        <f>_xll.qlYieldTSDiscount($C$31,AE912)</f>
        <v>1.0066139848325304</v>
      </c>
      <c r="AG912" s="125">
        <f>_xll.xlShmInterpDisc(CurveName&amp;T($C$26),AE912)</f>
        <v>1.0066139848325304</v>
      </c>
      <c r="AH912" s="127">
        <f t="shared" si="21"/>
        <v>0</v>
      </c>
    </row>
    <row r="913" spans="30:34" x14ac:dyDescent="0.2">
      <c r="AD913" s="13" t="s">
        <v>94</v>
      </c>
      <c r="AE913" s="126">
        <f>_xll.qlCalendarAdvance(Calendar,AE912,AD913,BizDayConv)</f>
        <v>44041</v>
      </c>
      <c r="AF913" s="125">
        <f>_xll.qlYieldTSDiscount($C$31,AE913)</f>
        <v>1.0066120463508612</v>
      </c>
      <c r="AG913" s="125">
        <f>_xll.xlShmInterpDisc(CurveName&amp;T($C$26),AE913)</f>
        <v>1.0066120463508612</v>
      </c>
      <c r="AH913" s="127">
        <f t="shared" si="21"/>
        <v>0</v>
      </c>
    </row>
    <row r="914" spans="30:34" x14ac:dyDescent="0.2">
      <c r="AD914" s="13" t="s">
        <v>94</v>
      </c>
      <c r="AE914" s="126">
        <f>_xll.qlCalendarAdvance(Calendar,AE913,AD914,BizDayConv)</f>
        <v>44042</v>
      </c>
      <c r="AF914" s="125">
        <f>_xll.qlYieldTSDiscount($C$31,AE914)</f>
        <v>1.0066100916025951</v>
      </c>
      <c r="AG914" s="125">
        <f>_xll.xlShmInterpDisc(CurveName&amp;T($C$26),AE914)</f>
        <v>1.0066100916025951</v>
      </c>
      <c r="AH914" s="127">
        <f t="shared" si="21"/>
        <v>0</v>
      </c>
    </row>
    <row r="915" spans="30:34" x14ac:dyDescent="0.2">
      <c r="AD915" s="13" t="s">
        <v>94</v>
      </c>
      <c r="AE915" s="126">
        <f>_xll.qlCalendarAdvance(Calendar,AE914,AD915,BizDayConv)</f>
        <v>44043</v>
      </c>
      <c r="AF915" s="125">
        <f>_xll.qlYieldTSDiscount($C$31,AE915)</f>
        <v>1.0066081205621868</v>
      </c>
      <c r="AG915" s="125">
        <f>_xll.xlShmInterpDisc(CurveName&amp;T($C$26),AE915)</f>
        <v>1.0066081205621868</v>
      </c>
      <c r="AH915" s="127">
        <f t="shared" si="21"/>
        <v>0</v>
      </c>
    </row>
    <row r="916" spans="30:34" x14ac:dyDescent="0.2">
      <c r="AD916" s="13" t="s">
        <v>94</v>
      </c>
      <c r="AE916" s="126">
        <f>_xll.qlCalendarAdvance(Calendar,AE915,AD916,BizDayConv)</f>
        <v>44046</v>
      </c>
      <c r="AF916" s="125">
        <f>_xll.qlYieldTSDiscount($C$31,AE916)</f>
        <v>1.0066021094320783</v>
      </c>
      <c r="AG916" s="125">
        <f>_xll.xlShmInterpDisc(CurveName&amp;T($C$26),AE916)</f>
        <v>1.0066021094320783</v>
      </c>
      <c r="AH916" s="127">
        <f t="shared" si="21"/>
        <v>0</v>
      </c>
    </row>
    <row r="917" spans="30:34" x14ac:dyDescent="0.2">
      <c r="AD917" s="13" t="s">
        <v>94</v>
      </c>
      <c r="AE917" s="126">
        <f>_xll.qlCalendarAdvance(Calendar,AE916,AD917,BizDayConv)</f>
        <v>44047</v>
      </c>
      <c r="AF917" s="125">
        <f>_xll.qlYieldTSDiscount($C$31,AE917)</f>
        <v>1.0066000729668771</v>
      </c>
      <c r="AG917" s="125">
        <f>_xll.xlShmInterpDisc(CurveName&amp;T($C$26),AE917)</f>
        <v>1.0066000729668771</v>
      </c>
      <c r="AH917" s="127">
        <f t="shared" si="21"/>
        <v>0</v>
      </c>
    </row>
    <row r="918" spans="30:34" x14ac:dyDescent="0.2">
      <c r="AD918" s="13" t="s">
        <v>94</v>
      </c>
      <c r="AE918" s="126">
        <f>_xll.qlCalendarAdvance(Calendar,AE917,AD918,BizDayConv)</f>
        <v>44048</v>
      </c>
      <c r="AF918" s="125">
        <f>_xll.qlYieldTSDiscount($C$31,AE918)</f>
        <v>1.0065980200812288</v>
      </c>
      <c r="AG918" s="125">
        <f>_xll.xlShmInterpDisc(CurveName&amp;T($C$26),AE918)</f>
        <v>1.0065980200812288</v>
      </c>
      <c r="AH918" s="127">
        <f t="shared" si="21"/>
        <v>0</v>
      </c>
    </row>
    <row r="919" spans="30:34" x14ac:dyDescent="0.2">
      <c r="AD919" s="13" t="s">
        <v>94</v>
      </c>
      <c r="AE919" s="126">
        <f>_xll.qlCalendarAdvance(Calendar,AE918,AD919,BizDayConv)</f>
        <v>44049</v>
      </c>
      <c r="AF919" s="125">
        <f>_xll.qlYieldTSDiscount($C$31,AE919)</f>
        <v>1.0065959507493563</v>
      </c>
      <c r="AG919" s="125">
        <f>_xll.xlShmInterpDisc(CurveName&amp;T($C$26),AE919)</f>
        <v>1.0065959507493563</v>
      </c>
      <c r="AH919" s="127">
        <f t="shared" si="21"/>
        <v>0</v>
      </c>
    </row>
    <row r="920" spans="30:34" x14ac:dyDescent="0.2">
      <c r="AD920" s="13" t="s">
        <v>94</v>
      </c>
      <c r="AE920" s="126">
        <f>_xll.qlCalendarAdvance(Calendar,AE919,AD920,BizDayConv)</f>
        <v>44050</v>
      </c>
      <c r="AF920" s="125">
        <f>_xll.qlYieldTSDiscount($C$31,AE920)</f>
        <v>1.006593864945444</v>
      </c>
      <c r="AG920" s="125">
        <f>_xll.xlShmInterpDisc(CurveName&amp;T($C$26),AE920)</f>
        <v>1.006593864945444</v>
      </c>
      <c r="AH920" s="127">
        <f t="shared" si="21"/>
        <v>0</v>
      </c>
    </row>
    <row r="921" spans="30:34" x14ac:dyDescent="0.2">
      <c r="AD921" s="13" t="s">
        <v>94</v>
      </c>
      <c r="AE921" s="126">
        <f>_xll.qlCalendarAdvance(Calendar,AE920,AD921,BizDayConv)</f>
        <v>44053</v>
      </c>
      <c r="AF921" s="125">
        <f>_xll.qlYieldTSDiscount($C$31,AE921)</f>
        <v>1.0065875084427374</v>
      </c>
      <c r="AG921" s="125">
        <f>_xll.xlShmInterpDisc(CurveName&amp;T($C$26),AE921)</f>
        <v>1.0065875084427374</v>
      </c>
      <c r="AH921" s="127">
        <f t="shared" si="21"/>
        <v>0</v>
      </c>
    </row>
    <row r="922" spans="30:34" x14ac:dyDescent="0.2">
      <c r="AD922" s="13" t="s">
        <v>94</v>
      </c>
      <c r="AE922" s="126">
        <f>_xll.qlCalendarAdvance(Calendar,AE921,AD922,BizDayConv)</f>
        <v>44054</v>
      </c>
      <c r="AF922" s="125">
        <f>_xll.qlYieldTSDiscount($C$31,AE922)</f>
        <v>1.0065853564917413</v>
      </c>
      <c r="AG922" s="125">
        <f>_xll.xlShmInterpDisc(CurveName&amp;T($C$26),AE922)</f>
        <v>1.0065853564917413</v>
      </c>
      <c r="AH922" s="127">
        <f t="shared" si="21"/>
        <v>0</v>
      </c>
    </row>
    <row r="923" spans="30:34" x14ac:dyDescent="0.2">
      <c r="AD923" s="13" t="s">
        <v>94</v>
      </c>
      <c r="AE923" s="126">
        <f>_xll.qlCalendarAdvance(Calendar,AE922,AD923,BizDayConv)</f>
        <v>44055</v>
      </c>
      <c r="AF923" s="125">
        <f>_xll.qlYieldTSDiscount($C$31,AE923)</f>
        <v>1.0065831879390499</v>
      </c>
      <c r="AG923" s="125">
        <f>_xll.xlShmInterpDisc(CurveName&amp;T($C$26),AE923)</f>
        <v>1.0065831879390499</v>
      </c>
      <c r="AH923" s="127">
        <f t="shared" si="21"/>
        <v>0</v>
      </c>
    </row>
    <row r="924" spans="30:34" x14ac:dyDescent="0.2">
      <c r="AD924" s="13" t="s">
        <v>94</v>
      </c>
      <c r="AE924" s="126">
        <f>_xll.qlCalendarAdvance(Calendar,AE923,AD924,BizDayConv)</f>
        <v>44056</v>
      </c>
      <c r="AF924" s="125">
        <f>_xll.qlYieldTSDiscount($C$31,AE924)</f>
        <v>1.0065810027586168</v>
      </c>
      <c r="AG924" s="125">
        <f>_xll.xlShmInterpDisc(CurveName&amp;T($C$26),AE924)</f>
        <v>1.0065810027586168</v>
      </c>
      <c r="AH924" s="127">
        <f t="shared" si="21"/>
        <v>0</v>
      </c>
    </row>
    <row r="925" spans="30:34" x14ac:dyDescent="0.2">
      <c r="AD925" s="13" t="s">
        <v>94</v>
      </c>
      <c r="AE925" s="126">
        <f>_xll.qlCalendarAdvance(Calendar,AE924,AD925,BizDayConv)</f>
        <v>44057</v>
      </c>
      <c r="AF925" s="125">
        <f>_xll.qlYieldTSDiscount($C$31,AE925)</f>
        <v>1.0065788009243561</v>
      </c>
      <c r="AG925" s="125">
        <f>_xll.xlShmInterpDisc(CurveName&amp;T($C$26),AE925)</f>
        <v>1.0065788009243561</v>
      </c>
      <c r="AH925" s="127">
        <f t="shared" si="21"/>
        <v>0</v>
      </c>
    </row>
    <row r="926" spans="30:34" x14ac:dyDescent="0.2">
      <c r="AD926" s="13" t="s">
        <v>94</v>
      </c>
      <c r="AE926" s="126">
        <f>_xll.qlCalendarAdvance(Calendar,AE925,AD926,BizDayConv)</f>
        <v>44060</v>
      </c>
      <c r="AF926" s="125">
        <f>_xll.qlYieldTSDiscount($C$31,AE926)</f>
        <v>1.0065720952371793</v>
      </c>
      <c r="AG926" s="125">
        <f>_xll.xlShmInterpDisc(CurveName&amp;T($C$26),AE926)</f>
        <v>1.0065720952371793</v>
      </c>
      <c r="AH926" s="127">
        <f t="shared" si="21"/>
        <v>0</v>
      </c>
    </row>
    <row r="927" spans="30:34" x14ac:dyDescent="0.2">
      <c r="AD927" s="13" t="s">
        <v>94</v>
      </c>
      <c r="AE927" s="126">
        <f>_xll.qlCalendarAdvance(Calendar,AE926,AD927,BizDayConv)</f>
        <v>44061</v>
      </c>
      <c r="AF927" s="125">
        <f>_xll.qlYieldTSDiscount($C$31,AE927)</f>
        <v>1.0065698265259853</v>
      </c>
      <c r="AG927" s="125">
        <f>_xll.xlShmInterpDisc(CurveName&amp;T($C$26),AE927)</f>
        <v>1.0065698265259853</v>
      </c>
      <c r="AH927" s="127">
        <f t="shared" si="21"/>
        <v>0</v>
      </c>
    </row>
    <row r="928" spans="30:34" x14ac:dyDescent="0.2">
      <c r="AD928" s="13" t="s">
        <v>94</v>
      </c>
      <c r="AE928" s="126">
        <f>_xll.qlCalendarAdvance(Calendar,AE927,AD928,BizDayConv)</f>
        <v>44062</v>
      </c>
      <c r="AF928" s="125">
        <f>_xll.qlYieldTSDiscount($C$31,AE928)</f>
        <v>1.006567541029959</v>
      </c>
      <c r="AG928" s="125">
        <f>_xll.xlShmInterpDisc(CurveName&amp;T($C$26),AE928)</f>
        <v>1.006567541029959</v>
      </c>
      <c r="AH928" s="127">
        <f t="shared" si="21"/>
        <v>0</v>
      </c>
    </row>
    <row r="929" spans="30:34" x14ac:dyDescent="0.2">
      <c r="AD929" s="13" t="s">
        <v>94</v>
      </c>
      <c r="AE929" s="126">
        <f>_xll.qlCalendarAdvance(Calendar,AE928,AD929,BizDayConv)</f>
        <v>44063</v>
      </c>
      <c r="AF929" s="125">
        <f>_xll.qlYieldTSDiscount($C$31,AE929)</f>
        <v>1.0065652387227844</v>
      </c>
      <c r="AG929" s="125">
        <f>_xll.xlShmInterpDisc(CurveName&amp;T($C$26),AE929)</f>
        <v>1.0065652387227844</v>
      </c>
      <c r="AH929" s="127">
        <f t="shared" si="21"/>
        <v>0</v>
      </c>
    </row>
    <row r="930" spans="30:34" x14ac:dyDescent="0.2">
      <c r="AD930" s="13" t="s">
        <v>94</v>
      </c>
      <c r="AE930" s="126">
        <f>_xll.qlCalendarAdvance(Calendar,AE929,AD930,BizDayConv)</f>
        <v>44064</v>
      </c>
      <c r="AF930" s="125">
        <f>_xll.qlYieldTSDiscount($C$31,AE930)</f>
        <v>1.0065629195781058</v>
      </c>
      <c r="AG930" s="125">
        <f>_xll.xlShmInterpDisc(CurveName&amp;T($C$26),AE930)</f>
        <v>1.0065629195781058</v>
      </c>
      <c r="AH930" s="127">
        <f t="shared" si="21"/>
        <v>0</v>
      </c>
    </row>
    <row r="931" spans="30:34" x14ac:dyDescent="0.2">
      <c r="AD931" s="13" t="s">
        <v>94</v>
      </c>
      <c r="AE931" s="126">
        <f>_xll.qlCalendarAdvance(Calendar,AE930,AD931,BizDayConv)</f>
        <v>44067</v>
      </c>
      <c r="AF931" s="125">
        <f>_xll.qlYieldTSDiscount($C$31,AE931)</f>
        <v>1.0065558608549205</v>
      </c>
      <c r="AG931" s="125">
        <f>_xll.xlShmInterpDisc(CurveName&amp;T($C$26),AE931)</f>
        <v>1.0065558608549205</v>
      </c>
      <c r="AH931" s="127">
        <f t="shared" si="21"/>
        <v>0</v>
      </c>
    </row>
    <row r="932" spans="30:34" x14ac:dyDescent="0.2">
      <c r="AD932" s="13" t="s">
        <v>94</v>
      </c>
      <c r="AE932" s="126">
        <f>_xll.qlCalendarAdvance(Calendar,AE931,AD932,BizDayConv)</f>
        <v>44068</v>
      </c>
      <c r="AF932" s="125">
        <f>_xll.qlYieldTSDiscount($C$31,AE932)</f>
        <v>1.006553474095907</v>
      </c>
      <c r="AG932" s="125">
        <f>_xll.xlShmInterpDisc(CurveName&amp;T($C$26),AE932)</f>
        <v>1.006553474095907</v>
      </c>
      <c r="AH932" s="127">
        <f t="shared" si="21"/>
        <v>0</v>
      </c>
    </row>
    <row r="933" spans="30:34" x14ac:dyDescent="0.2">
      <c r="AD933" s="13" t="s">
        <v>94</v>
      </c>
      <c r="AE933" s="126">
        <f>_xll.qlCalendarAdvance(Calendar,AE932,AD933,BizDayConv)</f>
        <v>44069</v>
      </c>
      <c r="AF933" s="125">
        <f>_xll.qlYieldTSDiscount($C$31,AE933)</f>
        <v>1.0065510703670368</v>
      </c>
      <c r="AG933" s="125">
        <f>_xll.xlShmInterpDisc(CurveName&amp;T($C$26),AE933)</f>
        <v>1.0065510703670368</v>
      </c>
      <c r="AH933" s="127">
        <f t="shared" si="21"/>
        <v>0</v>
      </c>
    </row>
    <row r="934" spans="30:34" x14ac:dyDescent="0.2">
      <c r="AD934" s="13" t="s">
        <v>94</v>
      </c>
      <c r="AE934" s="126">
        <f>_xll.qlCalendarAdvance(Calendar,AE933,AD934,BizDayConv)</f>
        <v>44070</v>
      </c>
      <c r="AF934" s="125">
        <f>_xll.qlYieldTSDiscount($C$31,AE934)</f>
        <v>1.0065486496417242</v>
      </c>
      <c r="AG934" s="125">
        <f>_xll.xlShmInterpDisc(CurveName&amp;T($C$26),AE934)</f>
        <v>1.0065486496417242</v>
      </c>
      <c r="AH934" s="127">
        <f t="shared" si="21"/>
        <v>0</v>
      </c>
    </row>
    <row r="935" spans="30:34" x14ac:dyDescent="0.2">
      <c r="AD935" s="13" t="s">
        <v>94</v>
      </c>
      <c r="AE935" s="126">
        <f>_xll.qlCalendarAdvance(Calendar,AE934,AD935,BizDayConv)</f>
        <v>44071</v>
      </c>
      <c r="AF935" s="125">
        <f>_xll.qlYieldTSDiscount($C$31,AE935)</f>
        <v>1.0065462118933446</v>
      </c>
      <c r="AG935" s="125">
        <f>_xll.xlShmInterpDisc(CurveName&amp;T($C$26),AE935)</f>
        <v>1.0065462118933446</v>
      </c>
      <c r="AH935" s="127">
        <f t="shared" si="21"/>
        <v>0</v>
      </c>
    </row>
    <row r="936" spans="30:34" x14ac:dyDescent="0.2">
      <c r="AD936" s="13" t="s">
        <v>94</v>
      </c>
      <c r="AE936" s="126">
        <f>_xll.qlCalendarAdvance(Calendar,AE935,AD936,BizDayConv)</f>
        <v>44074</v>
      </c>
      <c r="AF936" s="125">
        <f>_xll.qlYieldTSDiscount($C$31,AE936)</f>
        <v>1.0065387962429819</v>
      </c>
      <c r="AG936" s="125">
        <f>_xll.xlShmInterpDisc(CurveName&amp;T($C$26),AE936)</f>
        <v>1.0065387962429819</v>
      </c>
      <c r="AH936" s="127">
        <f t="shared" si="21"/>
        <v>0</v>
      </c>
    </row>
    <row r="937" spans="30:34" x14ac:dyDescent="0.2">
      <c r="AD937" s="13" t="s">
        <v>94</v>
      </c>
      <c r="AE937" s="126">
        <f>_xll.qlCalendarAdvance(Calendar,AE936,AD937,BizDayConv)</f>
        <v>44075</v>
      </c>
      <c r="AF937" s="125">
        <f>_xll.qlYieldTSDiscount($C$31,AE937)</f>
        <v>1.0065362901353199</v>
      </c>
      <c r="AG937" s="125">
        <f>_xll.xlShmInterpDisc(CurveName&amp;T($C$26),AE937)</f>
        <v>1.0065362901353199</v>
      </c>
      <c r="AH937" s="127">
        <f t="shared" si="21"/>
        <v>0</v>
      </c>
    </row>
    <row r="938" spans="30:34" x14ac:dyDescent="0.2">
      <c r="AD938" s="13" t="s">
        <v>94</v>
      </c>
      <c r="AE938" s="126">
        <f>_xll.qlCalendarAdvance(Calendar,AE937,AD938,BizDayConv)</f>
        <v>44076</v>
      </c>
      <c r="AF938" s="125">
        <f>_xll.qlYieldTSDiscount($C$31,AE938)</f>
        <v>1.0065337668708914</v>
      </c>
      <c r="AG938" s="125">
        <f>_xll.xlShmInterpDisc(CurveName&amp;T($C$26),AE938)</f>
        <v>1.0065337668708914</v>
      </c>
      <c r="AH938" s="127">
        <f t="shared" si="21"/>
        <v>0</v>
      </c>
    </row>
    <row r="939" spans="30:34" x14ac:dyDescent="0.2">
      <c r="AD939" s="13" t="s">
        <v>94</v>
      </c>
      <c r="AE939" s="126">
        <f>_xll.qlCalendarAdvance(Calendar,AE938,AD939,BizDayConv)</f>
        <v>44077</v>
      </c>
      <c r="AF939" s="125">
        <f>_xll.qlYieldTSDiscount($C$31,AE939)</f>
        <v>1.006531226422841</v>
      </c>
      <c r="AG939" s="125">
        <f>_xll.xlShmInterpDisc(CurveName&amp;T($C$26),AE939)</f>
        <v>1.006531226422841</v>
      </c>
      <c r="AH939" s="127">
        <f t="shared" si="21"/>
        <v>0</v>
      </c>
    </row>
    <row r="940" spans="30:34" x14ac:dyDescent="0.2">
      <c r="AD940" s="13" t="s">
        <v>94</v>
      </c>
      <c r="AE940" s="126">
        <f>_xll.qlCalendarAdvance(Calendar,AE939,AD940,BizDayConv)</f>
        <v>44078</v>
      </c>
      <c r="AF940" s="125">
        <f>_xll.qlYieldTSDiscount($C$31,AE940)</f>
        <v>1.0065286687642749</v>
      </c>
      <c r="AG940" s="125">
        <f>_xll.xlShmInterpDisc(CurveName&amp;T($C$26),AE940)</f>
        <v>1.0065286687642749</v>
      </c>
      <c r="AH940" s="127">
        <f t="shared" si="21"/>
        <v>0</v>
      </c>
    </row>
    <row r="941" spans="30:34" x14ac:dyDescent="0.2">
      <c r="AD941" s="13" t="s">
        <v>94</v>
      </c>
      <c r="AE941" s="126">
        <f>_xll.qlCalendarAdvance(Calendar,AE940,AD941,BizDayConv)</f>
        <v>44081</v>
      </c>
      <c r="AF941" s="125">
        <f>_xll.qlYieldTSDiscount($C$31,AE941)</f>
        <v>1.0065208922559696</v>
      </c>
      <c r="AG941" s="125">
        <f>_xll.xlShmInterpDisc(CurveName&amp;T($C$26),AE941)</f>
        <v>1.0065208922559696</v>
      </c>
      <c r="AH941" s="127">
        <f t="shared" si="21"/>
        <v>0</v>
      </c>
    </row>
    <row r="942" spans="30:34" x14ac:dyDescent="0.2">
      <c r="AD942" s="13" t="s">
        <v>94</v>
      </c>
      <c r="AE942" s="126">
        <f>_xll.qlCalendarAdvance(Calendar,AE941,AD942,BizDayConv)</f>
        <v>44082</v>
      </c>
      <c r="AF942" s="125">
        <f>_xll.qlYieldTSDiscount($C$31,AE942)</f>
        <v>1.0065182654856355</v>
      </c>
      <c r="AG942" s="125">
        <f>_xll.xlShmInterpDisc(CurveName&amp;T($C$26),AE942)</f>
        <v>1.0065182654856355</v>
      </c>
      <c r="AH942" s="127">
        <f t="shared" si="21"/>
        <v>0</v>
      </c>
    </row>
    <row r="943" spans="30:34" x14ac:dyDescent="0.2">
      <c r="AD943" s="13" t="s">
        <v>94</v>
      </c>
      <c r="AE943" s="126">
        <f>_xll.qlCalendarAdvance(Calendar,AE942,AD943,BizDayConv)</f>
        <v>44083</v>
      </c>
      <c r="AF943" s="125">
        <f>_xll.qlYieldTSDiscount($C$31,AE943)</f>
        <v>1.0065156213697406</v>
      </c>
      <c r="AG943" s="125">
        <f>_xll.xlShmInterpDisc(CurveName&amp;T($C$26),AE943)</f>
        <v>1.0065156213697406</v>
      </c>
      <c r="AH943" s="127">
        <f t="shared" si="21"/>
        <v>0</v>
      </c>
    </row>
    <row r="944" spans="30:34" x14ac:dyDescent="0.2">
      <c r="AD944" s="13" t="s">
        <v>94</v>
      </c>
      <c r="AE944" s="126">
        <f>_xll.qlCalendarAdvance(Calendar,AE943,AD944,BizDayConv)</f>
        <v>44084</v>
      </c>
      <c r="AF944" s="125">
        <f>_xll.qlYieldTSDiscount($C$31,AE944)</f>
        <v>1.0065129598811606</v>
      </c>
      <c r="AG944" s="125">
        <f>_xll.xlShmInterpDisc(CurveName&amp;T($C$26),AE944)</f>
        <v>1.0065129598811606</v>
      </c>
      <c r="AH944" s="127">
        <f t="shared" si="21"/>
        <v>0</v>
      </c>
    </row>
    <row r="945" spans="30:34" x14ac:dyDescent="0.2">
      <c r="AD945" s="13" t="s">
        <v>94</v>
      </c>
      <c r="AE945" s="126">
        <f>_xll.qlCalendarAdvance(Calendar,AE944,AD945,BizDayConv)</f>
        <v>44085</v>
      </c>
      <c r="AF945" s="125">
        <f>_xll.qlYieldTSDiscount($C$31,AE945)</f>
        <v>1.0065102809927329</v>
      </c>
      <c r="AG945" s="125">
        <f>_xll.xlShmInterpDisc(CurveName&amp;T($C$26),AE945)</f>
        <v>1.0065102809927329</v>
      </c>
      <c r="AH945" s="127">
        <f t="shared" si="21"/>
        <v>0</v>
      </c>
    </row>
    <row r="946" spans="30:34" x14ac:dyDescent="0.2">
      <c r="AD946" s="13" t="s">
        <v>94</v>
      </c>
      <c r="AE946" s="126">
        <f>_xll.qlCalendarAdvance(Calendar,AE945,AD946,BizDayConv)</f>
        <v>44088</v>
      </c>
      <c r="AF946" s="125">
        <f>_xll.qlYieldTSDiscount($C$31,AE946)</f>
        <v>1.0065021396561609</v>
      </c>
      <c r="AG946" s="125">
        <f>_xll.xlShmInterpDisc(CurveName&amp;T($C$26),AE946)</f>
        <v>1.0065021396561609</v>
      </c>
      <c r="AH946" s="127">
        <f t="shared" si="21"/>
        <v>0</v>
      </c>
    </row>
    <row r="947" spans="30:34" x14ac:dyDescent="0.2">
      <c r="AD947" s="13" t="s">
        <v>94</v>
      </c>
      <c r="AE947" s="126">
        <f>_xll.qlCalendarAdvance(Calendar,AE946,AD947,BizDayConv)</f>
        <v>44089</v>
      </c>
      <c r="AF947" s="125">
        <f>_xll.qlYieldTSDiscount($C$31,AE947)</f>
        <v>1.0064993908959474</v>
      </c>
      <c r="AG947" s="125">
        <f>_xll.xlShmInterpDisc(CurveName&amp;T($C$26),AE947)</f>
        <v>1.0064993908959474</v>
      </c>
      <c r="AH947" s="127">
        <f t="shared" si="21"/>
        <v>0</v>
      </c>
    </row>
    <row r="948" spans="30:34" x14ac:dyDescent="0.2">
      <c r="AD948" s="13" t="s">
        <v>94</v>
      </c>
      <c r="AE948" s="126">
        <f>_xll.qlCalendarAdvance(Calendar,AE947,AD948,BizDayConv)</f>
        <v>44090</v>
      </c>
      <c r="AF948" s="125">
        <f>_xll.qlYieldTSDiscount($C$31,AE948)</f>
        <v>1.0064966245994971</v>
      </c>
      <c r="AG948" s="125">
        <f>_xll.xlShmInterpDisc(CurveName&amp;T($C$26),AE948)</f>
        <v>1.0064966245994971</v>
      </c>
      <c r="AH948" s="127">
        <f t="shared" si="21"/>
        <v>0</v>
      </c>
    </row>
    <row r="949" spans="30:34" x14ac:dyDescent="0.2">
      <c r="AD949" s="13" t="s">
        <v>94</v>
      </c>
      <c r="AE949" s="126">
        <f>_xll.qlCalendarAdvance(Calendar,AE948,AD949,BizDayConv)</f>
        <v>44091</v>
      </c>
      <c r="AF949" s="125">
        <f>_xll.qlYieldTSDiscount($C$31,AE949)</f>
        <v>1.0064938407394164</v>
      </c>
      <c r="AG949" s="125">
        <f>_xll.xlShmInterpDisc(CurveName&amp;T($C$26),AE949)</f>
        <v>1.0064938407394164</v>
      </c>
      <c r="AH949" s="127">
        <f t="shared" si="21"/>
        <v>0</v>
      </c>
    </row>
    <row r="950" spans="30:34" x14ac:dyDescent="0.2">
      <c r="AD950" s="13" t="s">
        <v>94</v>
      </c>
      <c r="AE950" s="126">
        <f>_xll.qlCalendarAdvance(Calendar,AE949,AD950,BizDayConv)</f>
        <v>44092</v>
      </c>
      <c r="AF950" s="125">
        <f>_xll.qlYieldTSDiscount($C$31,AE950)</f>
        <v>1.0064910392882742</v>
      </c>
      <c r="AG950" s="125">
        <f>_xll.xlShmInterpDisc(CurveName&amp;T($C$26),AE950)</f>
        <v>1.0064910392882742</v>
      </c>
      <c r="AH950" s="127">
        <f t="shared" si="21"/>
        <v>0</v>
      </c>
    </row>
    <row r="951" spans="30:34" x14ac:dyDescent="0.2">
      <c r="AD951" s="13" t="s">
        <v>94</v>
      </c>
      <c r="AE951" s="126">
        <f>_xll.qlCalendarAdvance(Calendar,AE950,AD951,BizDayConv)</f>
        <v>44095</v>
      </c>
      <c r="AF951" s="125">
        <f>_xll.qlYieldTSDiscount($C$31,AE951)</f>
        <v>1.0064825291135884</v>
      </c>
      <c r="AG951" s="125">
        <f>_xll.xlShmInterpDisc(CurveName&amp;T($C$26),AE951)</f>
        <v>1.0064825291135884</v>
      </c>
      <c r="AH951" s="127">
        <f t="shared" si="21"/>
        <v>0</v>
      </c>
    </row>
    <row r="952" spans="30:34" x14ac:dyDescent="0.2">
      <c r="AD952" s="13" t="s">
        <v>94</v>
      </c>
      <c r="AE952" s="126">
        <f>_xll.qlCalendarAdvance(Calendar,AE951,AD952,BizDayConv)</f>
        <v>44096</v>
      </c>
      <c r="AF952" s="125">
        <f>_xll.qlYieldTSDiscount($C$31,AE952)</f>
        <v>1.0064796570231185</v>
      </c>
      <c r="AG952" s="125">
        <f>_xll.xlShmInterpDisc(CurveName&amp;T($C$26),AE952)</f>
        <v>1.0064796570231185</v>
      </c>
      <c r="AH952" s="127">
        <f t="shared" si="21"/>
        <v>0</v>
      </c>
    </row>
    <row r="953" spans="30:34" x14ac:dyDescent="0.2">
      <c r="AD953" s="13" t="s">
        <v>94</v>
      </c>
      <c r="AE953" s="126">
        <f>_xll.qlCalendarAdvance(Calendar,AE952,AD953,BizDayConv)</f>
        <v>44097</v>
      </c>
      <c r="AF953" s="125">
        <f>_xll.qlYieldTSDiscount($C$31,AE953)</f>
        <v>1.0064767672038546</v>
      </c>
      <c r="AG953" s="125">
        <f>_xll.xlShmInterpDisc(CurveName&amp;T($C$26),AE953)</f>
        <v>1.0064767672038546</v>
      </c>
      <c r="AH953" s="127">
        <f t="shared" si="21"/>
        <v>0</v>
      </c>
    </row>
    <row r="954" spans="30:34" x14ac:dyDescent="0.2">
      <c r="AD954" s="13" t="s">
        <v>94</v>
      </c>
      <c r="AE954" s="126">
        <f>_xll.qlCalendarAdvance(Calendar,AE953,AD954,BizDayConv)</f>
        <v>44098</v>
      </c>
      <c r="AF954" s="125">
        <f>_xll.qlYieldTSDiscount($C$31,AE954)</f>
        <v>1.0064738596281353</v>
      </c>
      <c r="AG954" s="125">
        <f>_xll.xlShmInterpDisc(CurveName&amp;T($C$26),AE954)</f>
        <v>1.0064738596281353</v>
      </c>
      <c r="AH954" s="127">
        <f t="shared" si="21"/>
        <v>0</v>
      </c>
    </row>
    <row r="955" spans="30:34" x14ac:dyDescent="0.2">
      <c r="AD955" s="13" t="s">
        <v>94</v>
      </c>
      <c r="AE955" s="126">
        <f>_xll.qlCalendarAdvance(Calendar,AE954,AD955,BizDayConv)</f>
        <v>44099</v>
      </c>
      <c r="AF955" s="125">
        <f>_xll.qlYieldTSDiscount($C$31,AE955)</f>
        <v>1.0064709342682603</v>
      </c>
      <c r="AG955" s="125">
        <f>_xll.xlShmInterpDisc(CurveName&amp;T($C$26),AE955)</f>
        <v>1.0064709342682603</v>
      </c>
      <c r="AH955" s="127">
        <f t="shared" si="21"/>
        <v>0</v>
      </c>
    </row>
    <row r="956" spans="30:34" x14ac:dyDescent="0.2">
      <c r="AD956" s="13" t="s">
        <v>94</v>
      </c>
      <c r="AE956" s="126">
        <f>_xll.qlCalendarAdvance(Calendar,AE955,AD956,BizDayConv)</f>
        <v>44102</v>
      </c>
      <c r="AF956" s="125">
        <f>_xll.qlYieldTSDiscount($C$31,AE956)</f>
        <v>1.00646205120613</v>
      </c>
      <c r="AG956" s="125">
        <f>_xll.xlShmInterpDisc(CurveName&amp;T($C$26),AE956)</f>
        <v>1.00646205120613</v>
      </c>
      <c r="AH956" s="127">
        <f t="shared" si="21"/>
        <v>0</v>
      </c>
    </row>
    <row r="957" spans="30:34" x14ac:dyDescent="0.2">
      <c r="AD957" s="13" t="s">
        <v>94</v>
      </c>
      <c r="AE957" s="126">
        <f>_xll.qlCalendarAdvance(Calendar,AE956,AD957,BizDayConv)</f>
        <v>44103</v>
      </c>
      <c r="AF957" s="125">
        <f>_xll.qlYieldTSDiscount($C$31,AE957)</f>
        <v>1.0064590544318683</v>
      </c>
      <c r="AG957" s="125">
        <f>_xll.xlShmInterpDisc(CurveName&amp;T($C$26),AE957)</f>
        <v>1.0064590544318683</v>
      </c>
      <c r="AH957" s="127">
        <f t="shared" si="21"/>
        <v>0</v>
      </c>
    </row>
    <row r="958" spans="30:34" x14ac:dyDescent="0.2">
      <c r="AD958" s="13" t="s">
        <v>94</v>
      </c>
      <c r="AE958" s="126">
        <f>_xll.qlCalendarAdvance(Calendar,AE957,AD958,BizDayConv)</f>
        <v>44104</v>
      </c>
      <c r="AF958" s="125">
        <f>_xll.qlYieldTSDiscount($C$31,AE958)</f>
        <v>1.0064560397343774</v>
      </c>
      <c r="AG958" s="125">
        <f>_xll.xlShmInterpDisc(CurveName&amp;T($C$26),AE958)</f>
        <v>1.0064560397343774</v>
      </c>
      <c r="AH958" s="127">
        <f t="shared" si="21"/>
        <v>0</v>
      </c>
    </row>
    <row r="959" spans="30:34" x14ac:dyDescent="0.2">
      <c r="AD959" s="13" t="s">
        <v>94</v>
      </c>
      <c r="AE959" s="126">
        <f>_xll.qlCalendarAdvance(Calendar,AE958,AD959,BizDayConv)</f>
        <v>44105</v>
      </c>
      <c r="AF959" s="125">
        <f>_xll.qlYieldTSDiscount($C$31,AE959)</f>
        <v>1.0064530070857269</v>
      </c>
      <c r="AG959" s="125">
        <f>_xll.xlShmInterpDisc(CurveName&amp;T($C$26),AE959)</f>
        <v>1.0064530070857269</v>
      </c>
      <c r="AH959" s="127">
        <f t="shared" si="21"/>
        <v>0</v>
      </c>
    </row>
    <row r="960" spans="30:34" x14ac:dyDescent="0.2">
      <c r="AD960" s="13" t="s">
        <v>94</v>
      </c>
      <c r="AE960" s="126">
        <f>_xll.qlCalendarAdvance(Calendar,AE959,AD960,BizDayConv)</f>
        <v>44106</v>
      </c>
      <c r="AF960" s="125">
        <f>_xll.qlYieldTSDiscount($C$31,AE960)</f>
        <v>1.0064499564579492</v>
      </c>
      <c r="AG960" s="125">
        <f>_xll.xlShmInterpDisc(CurveName&amp;T($C$26),AE960)</f>
        <v>1.0064499564579492</v>
      </c>
      <c r="AH960" s="127">
        <f t="shared" si="21"/>
        <v>0</v>
      </c>
    </row>
    <row r="961" spans="30:34" x14ac:dyDescent="0.2">
      <c r="AD961" s="13" t="s">
        <v>94</v>
      </c>
      <c r="AE961" s="126">
        <f>_xll.qlCalendarAdvance(Calendar,AE960,AD961,BizDayConv)</f>
        <v>44109</v>
      </c>
      <c r="AF961" s="125">
        <f>_xll.qlYieldTSDiscount($C$31,AE961)</f>
        <v>1.0064406964195975</v>
      </c>
      <c r="AG961" s="125">
        <f>_xll.xlShmInterpDisc(CurveName&amp;T($C$26),AE961)</f>
        <v>1.0064406964195975</v>
      </c>
      <c r="AH961" s="127">
        <f t="shared" si="21"/>
        <v>0</v>
      </c>
    </row>
    <row r="962" spans="30:34" x14ac:dyDescent="0.2">
      <c r="AD962" s="13" t="s">
        <v>94</v>
      </c>
      <c r="AE962" s="126">
        <f>_xll.qlCalendarAdvance(Calendar,AE961,AD962,BizDayConv)</f>
        <v>44110</v>
      </c>
      <c r="AF962" s="125">
        <f>_xll.qlYieldTSDiscount($C$31,AE962)</f>
        <v>1.0064375735948645</v>
      </c>
      <c r="AG962" s="125">
        <f>_xll.xlShmInterpDisc(CurveName&amp;T($C$26),AE962)</f>
        <v>1.0064375735948645</v>
      </c>
      <c r="AH962" s="127">
        <f t="shared" si="21"/>
        <v>0</v>
      </c>
    </row>
    <row r="963" spans="30:34" x14ac:dyDescent="0.2">
      <c r="AD963" s="13" t="s">
        <v>94</v>
      </c>
      <c r="AE963" s="126">
        <f>_xll.qlCalendarAdvance(Calendar,AE962,AD963,BizDayConv)</f>
        <v>44111</v>
      </c>
      <c r="AF963" s="125">
        <f>_xll.qlYieldTSDiscount($C$31,AE963)</f>
        <v>1.0064344326505896</v>
      </c>
      <c r="AG963" s="125">
        <f>_xll.xlShmInterpDisc(CurveName&amp;T($C$26),AE963)</f>
        <v>1.0064344326505896</v>
      </c>
      <c r="AH963" s="127">
        <f t="shared" si="21"/>
        <v>0</v>
      </c>
    </row>
    <row r="964" spans="30:34" x14ac:dyDescent="0.2">
      <c r="AD964" s="13" t="s">
        <v>94</v>
      </c>
      <c r="AE964" s="126">
        <f>_xll.qlCalendarAdvance(Calendar,AE963,AD964,BizDayConv)</f>
        <v>44112</v>
      </c>
      <c r="AF964" s="125">
        <f>_xll.qlYieldTSDiscount($C$31,AE964)</f>
        <v>1.0064312735585754</v>
      </c>
      <c r="AG964" s="125">
        <f>_xll.xlShmInterpDisc(CurveName&amp;T($C$26),AE964)</f>
        <v>1.0064312735585754</v>
      </c>
      <c r="AH964" s="127">
        <f t="shared" ref="AH964:AH1027" si="22">(AF964-AG964)</f>
        <v>0</v>
      </c>
    </row>
    <row r="965" spans="30:34" x14ac:dyDescent="0.2">
      <c r="AD965" s="13" t="s">
        <v>94</v>
      </c>
      <c r="AE965" s="126">
        <f>_xll.qlCalendarAdvance(Calendar,AE964,AD965,BizDayConv)</f>
        <v>44113</v>
      </c>
      <c r="AF965" s="125">
        <f>_xll.qlYieldTSDiscount($C$31,AE965)</f>
        <v>1.0064280962905856</v>
      </c>
      <c r="AG965" s="125">
        <f>_xll.xlShmInterpDisc(CurveName&amp;T($C$26),AE965)</f>
        <v>1.0064280962905856</v>
      </c>
      <c r="AH965" s="127">
        <f t="shared" si="22"/>
        <v>0</v>
      </c>
    </row>
    <row r="966" spans="30:34" x14ac:dyDescent="0.2">
      <c r="AD966" s="13" t="s">
        <v>94</v>
      </c>
      <c r="AE966" s="126">
        <f>_xll.qlCalendarAdvance(Calendar,AE965,AD966,BizDayConv)</f>
        <v>44116</v>
      </c>
      <c r="AF966" s="125">
        <f>_xll.qlYieldTSDiscount($C$31,AE966)</f>
        <v>1.0064184551478308</v>
      </c>
      <c r="AG966" s="125">
        <f>_xll.xlShmInterpDisc(CurveName&amp;T($C$26),AE966)</f>
        <v>1.0064184551478308</v>
      </c>
      <c r="AH966" s="127">
        <f t="shared" si="22"/>
        <v>0</v>
      </c>
    </row>
    <row r="967" spans="30:34" x14ac:dyDescent="0.2">
      <c r="AD967" s="13" t="s">
        <v>94</v>
      </c>
      <c r="AE967" s="126">
        <f>_xll.qlCalendarAdvance(Calendar,AE966,AD967,BizDayConv)</f>
        <v>44117</v>
      </c>
      <c r="AF967" s="125">
        <f>_xll.qlYieldTSDiscount($C$31,AE967)</f>
        <v>1.006415204892815</v>
      </c>
      <c r="AG967" s="125">
        <f>_xll.xlShmInterpDisc(CurveName&amp;T($C$26),AE967)</f>
        <v>1.006415204892815</v>
      </c>
      <c r="AH967" s="127">
        <f t="shared" si="22"/>
        <v>0</v>
      </c>
    </row>
    <row r="968" spans="30:34" x14ac:dyDescent="0.2">
      <c r="AD968" s="13" t="s">
        <v>94</v>
      </c>
      <c r="AE968" s="126">
        <f>_xll.qlCalendarAdvance(Calendar,AE967,AD968,BizDayConv)</f>
        <v>44118</v>
      </c>
      <c r="AF968" s="125">
        <f>_xll.qlYieldTSDiscount($C$31,AE968)</f>
        <v>1.0064119363200705</v>
      </c>
      <c r="AG968" s="125">
        <f>_xll.xlShmInterpDisc(CurveName&amp;T($C$26),AE968)</f>
        <v>1.0064119363200705</v>
      </c>
      <c r="AH968" s="127">
        <f t="shared" si="22"/>
        <v>0</v>
      </c>
    </row>
    <row r="969" spans="30:34" x14ac:dyDescent="0.2">
      <c r="AD969" s="13" t="s">
        <v>94</v>
      </c>
      <c r="AE969" s="126">
        <f>_xll.qlCalendarAdvance(Calendar,AE968,AD969,BizDayConv)</f>
        <v>44119</v>
      </c>
      <c r="AF969" s="125">
        <f>_xll.qlYieldTSDiscount($C$31,AE969)</f>
        <v>1.0064086494011317</v>
      </c>
      <c r="AG969" s="125">
        <f>_xll.xlShmInterpDisc(CurveName&amp;T($C$26),AE969)</f>
        <v>1.0064086494011317</v>
      </c>
      <c r="AH969" s="127">
        <f t="shared" si="22"/>
        <v>0</v>
      </c>
    </row>
    <row r="970" spans="30:34" x14ac:dyDescent="0.2">
      <c r="AD970" s="13" t="s">
        <v>94</v>
      </c>
      <c r="AE970" s="126">
        <f>_xll.qlCalendarAdvance(Calendar,AE969,AD970,BizDayConv)</f>
        <v>44120</v>
      </c>
      <c r="AF970" s="125">
        <f>_xll.qlYieldTSDiscount($C$31,AE970)</f>
        <v>1.0064053441074952</v>
      </c>
      <c r="AG970" s="125">
        <f>_xll.xlShmInterpDisc(CurveName&amp;T($C$26),AE970)</f>
        <v>1.0064053441074952</v>
      </c>
      <c r="AH970" s="127">
        <f t="shared" si="22"/>
        <v>0</v>
      </c>
    </row>
    <row r="971" spans="30:34" x14ac:dyDescent="0.2">
      <c r="AD971" s="13" t="s">
        <v>94</v>
      </c>
      <c r="AE971" s="126">
        <f>_xll.qlCalendarAdvance(Calendar,AE970,AD971,BizDayConv)</f>
        <v>44123</v>
      </c>
      <c r="AF971" s="125">
        <f>_xll.qlYieldTSDiscount($C$31,AE971)</f>
        <v>1.0063953176927902</v>
      </c>
      <c r="AG971" s="125">
        <f>_xll.xlShmInterpDisc(CurveName&amp;T($C$26),AE971)</f>
        <v>1.0063953176927902</v>
      </c>
      <c r="AH971" s="127">
        <f t="shared" si="22"/>
        <v>0</v>
      </c>
    </row>
    <row r="972" spans="30:34" x14ac:dyDescent="0.2">
      <c r="AD972" s="13" t="s">
        <v>94</v>
      </c>
      <c r="AE972" s="126">
        <f>_xll.qlCalendarAdvance(Calendar,AE971,AD972,BizDayConv)</f>
        <v>44124</v>
      </c>
      <c r="AF972" s="125">
        <f>_xll.qlYieldTSDiscount($C$31,AE972)</f>
        <v>1.006391938614563</v>
      </c>
      <c r="AG972" s="125">
        <f>_xll.xlShmInterpDisc(CurveName&amp;T($C$26),AE972)</f>
        <v>1.006391938614563</v>
      </c>
      <c r="AH972" s="127">
        <f t="shared" si="22"/>
        <v>0</v>
      </c>
    </row>
    <row r="973" spans="30:34" x14ac:dyDescent="0.2">
      <c r="AD973" s="13" t="s">
        <v>94</v>
      </c>
      <c r="AE973" s="126">
        <f>_xll.qlCalendarAdvance(Calendar,AE972,AD973,BizDayConv)</f>
        <v>44125</v>
      </c>
      <c r="AF973" s="125">
        <f>_xll.qlYieldTSDiscount($C$31,AE973)</f>
        <v>1.0063885410185469</v>
      </c>
      <c r="AG973" s="125">
        <f>_xll.xlShmInterpDisc(CurveName&amp;T($C$26),AE973)</f>
        <v>1.0063885410185469</v>
      </c>
      <c r="AH973" s="127">
        <f t="shared" si="22"/>
        <v>0</v>
      </c>
    </row>
    <row r="974" spans="30:34" x14ac:dyDescent="0.2">
      <c r="AD974" s="13" t="s">
        <v>94</v>
      </c>
      <c r="AE974" s="126">
        <f>_xll.qlCalendarAdvance(Calendar,AE973,AD974,BizDayConv)</f>
        <v>44126</v>
      </c>
      <c r="AF974" s="125">
        <f>_xll.qlYieldTSDiscount($C$31,AE974)</f>
        <v>1.0063851248760096</v>
      </c>
      <c r="AG974" s="125">
        <f>_xll.xlShmInterpDisc(CurveName&amp;T($C$26),AE974)</f>
        <v>1.0063851248760096</v>
      </c>
      <c r="AH974" s="127">
        <f t="shared" si="22"/>
        <v>0</v>
      </c>
    </row>
    <row r="975" spans="30:34" x14ac:dyDescent="0.2">
      <c r="AD975" s="13" t="s">
        <v>94</v>
      </c>
      <c r="AE975" s="126">
        <f>_xll.qlCalendarAdvance(Calendar,AE974,AD975,BizDayConv)</f>
        <v>44127</v>
      </c>
      <c r="AF975" s="125">
        <f>_xll.qlYieldTSDiscount($C$31,AE975)</f>
        <v>1.0063816901581797</v>
      </c>
      <c r="AG975" s="125">
        <f>_xll.xlShmInterpDisc(CurveName&amp;T($C$26),AE975)</f>
        <v>1.0063816901581797</v>
      </c>
      <c r="AH975" s="127">
        <f t="shared" si="22"/>
        <v>0</v>
      </c>
    </row>
    <row r="976" spans="30:34" x14ac:dyDescent="0.2">
      <c r="AD976" s="13" t="s">
        <v>94</v>
      </c>
      <c r="AE976" s="126">
        <f>_xll.qlCalendarAdvance(Calendar,AE975,AD976,BizDayConv)</f>
        <v>44130</v>
      </c>
      <c r="AF976" s="125">
        <f>_xll.qlYieldTSDiscount($C$31,AE976)</f>
        <v>1.0063712742646551</v>
      </c>
      <c r="AG976" s="125">
        <f>_xll.xlShmInterpDisc(CurveName&amp;T($C$26),AE976)</f>
        <v>1.0063712742646551</v>
      </c>
      <c r="AH976" s="127">
        <f t="shared" si="22"/>
        <v>0</v>
      </c>
    </row>
    <row r="977" spans="30:34" x14ac:dyDescent="0.2">
      <c r="AD977" s="13" t="s">
        <v>94</v>
      </c>
      <c r="AE977" s="126">
        <f>_xll.qlCalendarAdvance(Calendar,AE976,AD977,BizDayConv)</f>
        <v>44131</v>
      </c>
      <c r="AF977" s="125">
        <f>_xll.qlYieldTSDiscount($C$31,AE977)</f>
        <v>1.0063677649571836</v>
      </c>
      <c r="AG977" s="125">
        <f>_xll.xlShmInterpDisc(CurveName&amp;T($C$26),AE977)</f>
        <v>1.0063677649571836</v>
      </c>
      <c r="AH977" s="127">
        <f t="shared" si="22"/>
        <v>0</v>
      </c>
    </row>
    <row r="978" spans="30:34" x14ac:dyDescent="0.2">
      <c r="AD978" s="13" t="s">
        <v>94</v>
      </c>
      <c r="AE978" s="126">
        <f>_xll.qlCalendarAdvance(Calendar,AE977,AD978,BizDayConv)</f>
        <v>44132</v>
      </c>
      <c r="AF978" s="125">
        <f>_xll.qlYieldTSDiscount($C$31,AE978)</f>
        <v>1.006364236929993</v>
      </c>
      <c r="AG978" s="125">
        <f>_xll.xlShmInterpDisc(CurveName&amp;T($C$26),AE978)</f>
        <v>1.006364236929993</v>
      </c>
      <c r="AH978" s="127">
        <f t="shared" si="22"/>
        <v>0</v>
      </c>
    </row>
    <row r="979" spans="30:34" x14ac:dyDescent="0.2">
      <c r="AD979" s="13" t="s">
        <v>94</v>
      </c>
      <c r="AE979" s="126">
        <f>_xll.qlCalendarAdvance(Calendar,AE978,AD979,BizDayConv)</f>
        <v>44133</v>
      </c>
      <c r="AF979" s="125">
        <f>_xll.qlYieldTSDiscount($C$31,AE979)</f>
        <v>1.0063606901540831</v>
      </c>
      <c r="AG979" s="125">
        <f>_xll.xlShmInterpDisc(CurveName&amp;T($C$26),AE979)</f>
        <v>1.0063606901540831</v>
      </c>
      <c r="AH979" s="127">
        <f t="shared" si="22"/>
        <v>0</v>
      </c>
    </row>
    <row r="980" spans="30:34" x14ac:dyDescent="0.2">
      <c r="AD980" s="13" t="s">
        <v>94</v>
      </c>
      <c r="AE980" s="126">
        <f>_xll.qlCalendarAdvance(Calendar,AE979,AD980,BizDayConv)</f>
        <v>44134</v>
      </c>
      <c r="AF980" s="125">
        <f>_xll.qlYieldTSDiscount($C$31,AE980)</f>
        <v>1.0063571246004162</v>
      </c>
      <c r="AG980" s="125">
        <f>_xll.xlShmInterpDisc(CurveName&amp;T($C$26),AE980)</f>
        <v>1.0063571246004162</v>
      </c>
      <c r="AH980" s="127">
        <f t="shared" si="22"/>
        <v>0</v>
      </c>
    </row>
    <row r="981" spans="30:34" x14ac:dyDescent="0.2">
      <c r="AD981" s="13" t="s">
        <v>94</v>
      </c>
      <c r="AE981" s="126">
        <f>_xll.qlCalendarAdvance(Calendar,AE980,AD981,BizDayConv)</f>
        <v>44137</v>
      </c>
      <c r="AF981" s="125">
        <f>_xll.qlYieldTSDiscount($C$31,AE981)</f>
        <v>1.0063463149819212</v>
      </c>
      <c r="AG981" s="125">
        <f>_xll.xlShmInterpDisc(CurveName&amp;T($C$26),AE981)</f>
        <v>1.0063463149819212</v>
      </c>
      <c r="AH981" s="127">
        <f t="shared" si="22"/>
        <v>0</v>
      </c>
    </row>
    <row r="982" spans="30:34" x14ac:dyDescent="0.2">
      <c r="AD982" s="13" t="s">
        <v>94</v>
      </c>
      <c r="AE982" s="126">
        <f>_xll.qlCalendarAdvance(Calendar,AE981,AD982,BizDayConv)</f>
        <v>44138</v>
      </c>
      <c r="AF982" s="125">
        <f>_xll.qlYieldTSDiscount($C$31,AE982)</f>
        <v>1.0063426740260837</v>
      </c>
      <c r="AG982" s="125">
        <f>_xll.xlShmInterpDisc(CurveName&amp;T($C$26),AE982)</f>
        <v>1.0063426740260837</v>
      </c>
      <c r="AH982" s="127">
        <f t="shared" si="22"/>
        <v>0</v>
      </c>
    </row>
    <row r="983" spans="30:34" x14ac:dyDescent="0.2">
      <c r="AD983" s="13" t="s">
        <v>94</v>
      </c>
      <c r="AE983" s="126">
        <f>_xll.qlCalendarAdvance(Calendar,AE982,AD983,BizDayConv)</f>
        <v>44139</v>
      </c>
      <c r="AF983" s="125">
        <f>_xll.qlYieldTSDiscount($C$31,AE983)</f>
        <v>1.0063390141467277</v>
      </c>
      <c r="AG983" s="125">
        <f>_xll.xlShmInterpDisc(CurveName&amp;T($C$26),AE983)</f>
        <v>1.0063390141467277</v>
      </c>
      <c r="AH983" s="127">
        <f t="shared" si="22"/>
        <v>0</v>
      </c>
    </row>
    <row r="984" spans="30:34" x14ac:dyDescent="0.2">
      <c r="AD984" s="13" t="s">
        <v>94</v>
      </c>
      <c r="AE984" s="126">
        <f>_xll.qlCalendarAdvance(Calendar,AE983,AD984,BizDayConv)</f>
        <v>44140</v>
      </c>
      <c r="AF984" s="125">
        <f>_xll.qlYieldTSDiscount($C$31,AE984)</f>
        <v>1.0063353353145863</v>
      </c>
      <c r="AG984" s="125">
        <f>_xll.xlShmInterpDisc(CurveName&amp;T($C$26),AE984)</f>
        <v>1.0063353353145863</v>
      </c>
      <c r="AH984" s="127">
        <f t="shared" si="22"/>
        <v>0</v>
      </c>
    </row>
    <row r="985" spans="30:34" x14ac:dyDescent="0.2">
      <c r="AD985" s="13" t="s">
        <v>94</v>
      </c>
      <c r="AE985" s="126">
        <f>_xll.qlCalendarAdvance(Calendar,AE984,AD985,BizDayConv)</f>
        <v>44141</v>
      </c>
      <c r="AF985" s="125">
        <f>_xll.qlYieldTSDiscount($C$31,AE985)</f>
        <v>1.006331637500355</v>
      </c>
      <c r="AG985" s="125">
        <f>_xll.xlShmInterpDisc(CurveName&amp;T($C$26),AE985)</f>
        <v>1.006331637500355</v>
      </c>
      <c r="AH985" s="127">
        <f t="shared" si="22"/>
        <v>0</v>
      </c>
    </row>
    <row r="986" spans="30:34" x14ac:dyDescent="0.2">
      <c r="AD986" s="13" t="s">
        <v>94</v>
      </c>
      <c r="AE986" s="126">
        <f>_xll.qlCalendarAdvance(Calendar,AE985,AD986,BizDayConv)</f>
        <v>44144</v>
      </c>
      <c r="AF986" s="125">
        <f>_xll.qlYieldTSDiscount($C$31,AE986)</f>
        <v>1.0063204298715027</v>
      </c>
      <c r="AG986" s="125">
        <f>_xll.xlShmInterpDisc(CurveName&amp;T($C$26),AE986)</f>
        <v>1.0063204298715027</v>
      </c>
      <c r="AH986" s="127">
        <f t="shared" si="22"/>
        <v>0</v>
      </c>
    </row>
    <row r="987" spans="30:34" x14ac:dyDescent="0.2">
      <c r="AD987" s="13" t="s">
        <v>94</v>
      </c>
      <c r="AE987" s="126">
        <f>_xll.qlCalendarAdvance(Calendar,AE986,AD987,BizDayConv)</f>
        <v>44145</v>
      </c>
      <c r="AF987" s="125">
        <f>_xll.qlYieldTSDiscount($C$31,AE987)</f>
        <v>1.0063166558351029</v>
      </c>
      <c r="AG987" s="125">
        <f>_xll.xlShmInterpDisc(CurveName&amp;T($C$26),AE987)</f>
        <v>1.0063166558351029</v>
      </c>
      <c r="AH987" s="127">
        <f t="shared" si="22"/>
        <v>0</v>
      </c>
    </row>
    <row r="988" spans="30:34" x14ac:dyDescent="0.2">
      <c r="AD988" s="13" t="s">
        <v>94</v>
      </c>
      <c r="AE988" s="126">
        <f>_xll.qlCalendarAdvance(Calendar,AE987,AD988,BizDayConv)</f>
        <v>44146</v>
      </c>
      <c r="AF988" s="125">
        <f>_xll.qlYieldTSDiscount($C$31,AE988)</f>
        <v>1.0063128626695184</v>
      </c>
      <c r="AG988" s="125">
        <f>_xll.xlShmInterpDisc(CurveName&amp;T($C$26),AE988)</f>
        <v>1.0063128626695184</v>
      </c>
      <c r="AH988" s="127">
        <f t="shared" si="22"/>
        <v>0</v>
      </c>
    </row>
    <row r="989" spans="30:34" x14ac:dyDescent="0.2">
      <c r="AD989" s="13" t="s">
        <v>94</v>
      </c>
      <c r="AE989" s="126">
        <f>_xll.qlCalendarAdvance(Calendar,AE988,AD989,BizDayConv)</f>
        <v>44147</v>
      </c>
      <c r="AF989" s="125">
        <f>_xll.qlYieldTSDiscount($C$31,AE989)</f>
        <v>1.0063090503452159</v>
      </c>
      <c r="AG989" s="125">
        <f>_xll.xlShmInterpDisc(CurveName&amp;T($C$26),AE989)</f>
        <v>1.0063090503452159</v>
      </c>
      <c r="AH989" s="127">
        <f t="shared" si="22"/>
        <v>0</v>
      </c>
    </row>
    <row r="990" spans="30:34" x14ac:dyDescent="0.2">
      <c r="AD990" s="13" t="s">
        <v>94</v>
      </c>
      <c r="AE990" s="126">
        <f>_xll.qlCalendarAdvance(Calendar,AE989,AD990,BizDayConv)</f>
        <v>44148</v>
      </c>
      <c r="AF990" s="125">
        <f>_xll.qlYieldTSDiscount($C$31,AE990)</f>
        <v>1.0063052188326247</v>
      </c>
      <c r="AG990" s="125">
        <f>_xll.xlShmInterpDisc(CurveName&amp;T($C$26),AE990)</f>
        <v>1.0063052188326247</v>
      </c>
      <c r="AH990" s="127">
        <f t="shared" si="22"/>
        <v>0</v>
      </c>
    </row>
    <row r="991" spans="30:34" x14ac:dyDescent="0.2">
      <c r="AD991" s="13" t="s">
        <v>94</v>
      </c>
      <c r="AE991" s="126">
        <f>_xll.qlCalendarAdvance(Calendar,AE990,AD991,BizDayConv)</f>
        <v>44151</v>
      </c>
      <c r="AF991" s="125">
        <f>_xll.qlYieldTSDiscount($C$31,AE991)</f>
        <v>1.0062936088688357</v>
      </c>
      <c r="AG991" s="125">
        <f>_xll.xlShmInterpDisc(CurveName&amp;T($C$26),AE991)</f>
        <v>1.0062936088688357</v>
      </c>
      <c r="AH991" s="127">
        <f t="shared" si="22"/>
        <v>0</v>
      </c>
    </row>
    <row r="992" spans="30:34" x14ac:dyDescent="0.2">
      <c r="AD992" s="13" t="s">
        <v>94</v>
      </c>
      <c r="AE992" s="126">
        <f>_xll.qlCalendarAdvance(Calendar,AE991,AD992,BizDayConv)</f>
        <v>44152</v>
      </c>
      <c r="AF992" s="125">
        <f>_xll.qlYieldTSDiscount($C$31,AE992)</f>
        <v>1.0062897003066167</v>
      </c>
      <c r="AG992" s="125">
        <f>_xll.xlShmInterpDisc(CurveName&amp;T($C$26),AE992)</f>
        <v>1.0062897003066167</v>
      </c>
      <c r="AH992" s="127">
        <f t="shared" si="22"/>
        <v>0</v>
      </c>
    </row>
    <row r="993" spans="30:34" x14ac:dyDescent="0.2">
      <c r="AD993" s="13" t="s">
        <v>94</v>
      </c>
      <c r="AE993" s="126">
        <f>_xll.qlCalendarAdvance(Calendar,AE992,AD993,BizDayConv)</f>
        <v>44153</v>
      </c>
      <c r="AF993" s="125">
        <f>_xll.qlYieldTSDiscount($C$31,AE993)</f>
        <v>1.0062857724076828</v>
      </c>
      <c r="AG993" s="125">
        <f>_xll.xlShmInterpDisc(CurveName&amp;T($C$26),AE993)</f>
        <v>1.0062857724076828</v>
      </c>
      <c r="AH993" s="127">
        <f t="shared" si="22"/>
        <v>0</v>
      </c>
    </row>
    <row r="994" spans="30:34" x14ac:dyDescent="0.2">
      <c r="AD994" s="13" t="s">
        <v>94</v>
      </c>
      <c r="AE994" s="126">
        <f>_xll.qlCalendarAdvance(Calendar,AE993,AD994,BizDayConv)</f>
        <v>44154</v>
      </c>
      <c r="AF994" s="125">
        <f>_xll.qlYieldTSDiscount($C$31,AE994)</f>
        <v>1.0062818251422345</v>
      </c>
      <c r="AG994" s="125">
        <f>_xll.xlShmInterpDisc(CurveName&amp;T($C$26),AE994)</f>
        <v>1.0062818251422345</v>
      </c>
      <c r="AH994" s="127">
        <f t="shared" si="22"/>
        <v>0</v>
      </c>
    </row>
    <row r="995" spans="30:34" x14ac:dyDescent="0.2">
      <c r="AD995" s="13" t="s">
        <v>94</v>
      </c>
      <c r="AE995" s="126">
        <f>_xll.qlCalendarAdvance(Calendar,AE994,AD995,BizDayConv)</f>
        <v>44155</v>
      </c>
      <c r="AF995" s="125">
        <f>_xll.qlYieldTSDiscount($C$31,AE995)</f>
        <v>1.0062778584804346</v>
      </c>
      <c r="AG995" s="125">
        <f>_xll.xlShmInterpDisc(CurveName&amp;T($C$26),AE995)</f>
        <v>1.0062778584804346</v>
      </c>
      <c r="AH995" s="127">
        <f t="shared" si="22"/>
        <v>0</v>
      </c>
    </row>
    <row r="996" spans="30:34" x14ac:dyDescent="0.2">
      <c r="AD996" s="13" t="s">
        <v>94</v>
      </c>
      <c r="AE996" s="126">
        <f>_xll.qlCalendarAdvance(Calendar,AE995,AD996,BizDayConv)</f>
        <v>44158</v>
      </c>
      <c r="AF996" s="125">
        <f>_xll.qlYieldTSDiscount($C$31,AE996)</f>
        <v>1.0062658418179828</v>
      </c>
      <c r="AG996" s="125">
        <f>_xll.xlShmInterpDisc(CurveName&amp;T($C$26),AE996)</f>
        <v>1.0062658418179828</v>
      </c>
      <c r="AH996" s="127">
        <f t="shared" si="22"/>
        <v>0</v>
      </c>
    </row>
    <row r="997" spans="30:34" x14ac:dyDescent="0.2">
      <c r="AD997" s="13" t="s">
        <v>94</v>
      </c>
      <c r="AE997" s="126">
        <f>_xll.qlCalendarAdvance(Calendar,AE996,AD997,BizDayConv)</f>
        <v>44159</v>
      </c>
      <c r="AF997" s="125">
        <f>_xll.qlYieldTSDiscount($C$31,AE997)</f>
        <v>1.0062617972716439</v>
      </c>
      <c r="AG997" s="125">
        <f>_xll.xlShmInterpDisc(CurveName&amp;T($C$26),AE997)</f>
        <v>1.0062617972716439</v>
      </c>
      <c r="AH997" s="127">
        <f t="shared" si="22"/>
        <v>0</v>
      </c>
    </row>
    <row r="998" spans="30:34" x14ac:dyDescent="0.2">
      <c r="AD998" s="13" t="s">
        <v>94</v>
      </c>
      <c r="AE998" s="126">
        <f>_xll.qlCalendarAdvance(Calendar,AE997,AD998,BizDayConv)</f>
        <v>44160</v>
      </c>
      <c r="AF998" s="125">
        <f>_xll.qlYieldTSDiscount($C$31,AE998)</f>
        <v>1.0062577331791975</v>
      </c>
      <c r="AG998" s="125">
        <f>_xll.xlShmInterpDisc(CurveName&amp;T($C$26),AE998)</f>
        <v>1.0062577331791975</v>
      </c>
      <c r="AH998" s="127">
        <f t="shared" si="22"/>
        <v>0</v>
      </c>
    </row>
    <row r="999" spans="30:34" x14ac:dyDescent="0.2">
      <c r="AD999" s="13" t="s">
        <v>94</v>
      </c>
      <c r="AE999" s="126">
        <f>_xll.qlCalendarAdvance(Calendar,AE998,AD999,BizDayConv)</f>
        <v>44161</v>
      </c>
      <c r="AF999" s="125">
        <f>_xll.qlYieldTSDiscount($C$31,AE999)</f>
        <v>1.0062536495105783</v>
      </c>
      <c r="AG999" s="125">
        <f>_xll.xlShmInterpDisc(CurveName&amp;T($C$26),AE999)</f>
        <v>1.0062536495105783</v>
      </c>
      <c r="AH999" s="127">
        <f t="shared" si="22"/>
        <v>0</v>
      </c>
    </row>
    <row r="1000" spans="30:34" x14ac:dyDescent="0.2">
      <c r="AD1000" s="13" t="s">
        <v>94</v>
      </c>
      <c r="AE1000" s="126">
        <f>_xll.qlCalendarAdvance(Calendar,AE999,AD1000,BizDayConv)</f>
        <v>44162</v>
      </c>
      <c r="AF1000" s="125">
        <f>_xll.qlYieldTSDiscount($C$31,AE1000)</f>
        <v>1.0062495462356829</v>
      </c>
      <c r="AG1000" s="125">
        <f>_xll.xlShmInterpDisc(CurveName&amp;T($C$26),AE1000)</f>
        <v>1.0062495462356831</v>
      </c>
      <c r="AH1000" s="127">
        <f t="shared" si="22"/>
        <v>-2.2204460492503131E-16</v>
      </c>
    </row>
    <row r="1001" spans="30:34" x14ac:dyDescent="0.2">
      <c r="AD1001" s="13" t="s">
        <v>94</v>
      </c>
      <c r="AE1001" s="126">
        <f>_xll.qlCalendarAdvance(Calendar,AE1000,AD1001,BizDayConv)</f>
        <v>44165</v>
      </c>
      <c r="AF1001" s="125">
        <f>_xll.qlYieldTSDiscount($C$31,AE1001)</f>
        <v>1.006237118471742</v>
      </c>
      <c r="AG1001" s="125">
        <f>_xll.xlShmInterpDisc(CurveName&amp;T($C$26),AE1001)</f>
        <v>1.006237118471742</v>
      </c>
      <c r="AH1001" s="127">
        <f t="shared" si="22"/>
        <v>0</v>
      </c>
    </row>
    <row r="1002" spans="30:34" x14ac:dyDescent="0.2">
      <c r="AD1002" s="13" t="s">
        <v>94</v>
      </c>
      <c r="AE1002" s="126">
        <f>_xll.qlCalendarAdvance(Calendar,AE1001,AD1002,BizDayConv)</f>
        <v>44166</v>
      </c>
      <c r="AF1002" s="125">
        <f>_xll.qlYieldTSDiscount($C$31,AE1002)</f>
        <v>1.0062329364699536</v>
      </c>
      <c r="AG1002" s="125">
        <f>_xll.xlShmInterpDisc(CurveName&amp;T($C$26),AE1002)</f>
        <v>1.0062329364699536</v>
      </c>
      <c r="AH1002" s="127">
        <f t="shared" si="22"/>
        <v>0</v>
      </c>
    </row>
    <row r="1003" spans="30:34" x14ac:dyDescent="0.2">
      <c r="AD1003" s="13" t="s">
        <v>94</v>
      </c>
      <c r="AE1003" s="126">
        <f>_xll.qlCalendarAdvance(Calendar,AE1002,AD1003,BizDayConv)</f>
        <v>44167</v>
      </c>
      <c r="AF1003" s="125">
        <f>_xll.qlYieldTSDiscount($C$31,AE1003)</f>
        <v>1.0062287347108048</v>
      </c>
      <c r="AG1003" s="125">
        <f>_xll.xlShmInterpDisc(CurveName&amp;T($C$26),AE1003)</f>
        <v>1.0062287347108048</v>
      </c>
      <c r="AH1003" s="127">
        <f t="shared" si="22"/>
        <v>0</v>
      </c>
    </row>
    <row r="1004" spans="30:34" x14ac:dyDescent="0.2">
      <c r="AD1004" s="13" t="s">
        <v>94</v>
      </c>
      <c r="AE1004" s="126">
        <f>_xll.qlCalendarAdvance(Calendar,AE1003,AD1004,BizDayConv)</f>
        <v>44168</v>
      </c>
      <c r="AF1004" s="125">
        <f>_xll.qlYieldTSDiscount($C$31,AE1004)</f>
        <v>1.0062245131639651</v>
      </c>
      <c r="AG1004" s="125">
        <f>_xll.xlShmInterpDisc(CurveName&amp;T($C$26),AE1004)</f>
        <v>1.0062245131639651</v>
      </c>
      <c r="AH1004" s="127">
        <f t="shared" si="22"/>
        <v>0</v>
      </c>
    </row>
    <row r="1005" spans="30:34" x14ac:dyDescent="0.2">
      <c r="AD1005" s="13" t="s">
        <v>94</v>
      </c>
      <c r="AE1005" s="126">
        <f>_xll.qlCalendarAdvance(Calendar,AE1004,AD1005,BizDayConv)</f>
        <v>44169</v>
      </c>
      <c r="AF1005" s="125">
        <f>_xll.qlYieldTSDiscount($C$31,AE1005)</f>
        <v>1.0062202717990658</v>
      </c>
      <c r="AG1005" s="125">
        <f>_xll.xlShmInterpDisc(CurveName&amp;T($C$26),AE1005)</f>
        <v>1.0062202717990658</v>
      </c>
      <c r="AH1005" s="127">
        <f t="shared" si="22"/>
        <v>0</v>
      </c>
    </row>
    <row r="1006" spans="30:34" x14ac:dyDescent="0.2">
      <c r="AD1006" s="13" t="s">
        <v>94</v>
      </c>
      <c r="AE1006" s="126">
        <f>_xll.qlCalendarAdvance(Calendar,AE1005,AD1006,BizDayConv)</f>
        <v>44172</v>
      </c>
      <c r="AF1006" s="125">
        <f>_xll.qlYieldTSDiscount($C$31,AE1006)</f>
        <v>1.006207428491757</v>
      </c>
      <c r="AG1006" s="125">
        <f>_xll.xlShmInterpDisc(CurveName&amp;T($C$26),AE1006)</f>
        <v>1.006207428491757</v>
      </c>
      <c r="AH1006" s="127">
        <f t="shared" si="22"/>
        <v>0</v>
      </c>
    </row>
    <row r="1007" spans="30:34" x14ac:dyDescent="0.2">
      <c r="AD1007" s="13" t="s">
        <v>94</v>
      </c>
      <c r="AE1007" s="126">
        <f>_xll.qlCalendarAdvance(Calendar,AE1006,AD1007,BizDayConv)</f>
        <v>44173</v>
      </c>
      <c r="AF1007" s="125">
        <f>_xll.qlYieldTSDiscount($C$31,AE1007)</f>
        <v>1.0062031075501763</v>
      </c>
      <c r="AG1007" s="125">
        <f>_xll.xlShmInterpDisc(CurveName&amp;T($C$26),AE1007)</f>
        <v>1.0062031075501763</v>
      </c>
      <c r="AH1007" s="127">
        <f t="shared" si="22"/>
        <v>0</v>
      </c>
    </row>
    <row r="1008" spans="30:34" x14ac:dyDescent="0.2">
      <c r="AD1008" s="13" t="s">
        <v>94</v>
      </c>
      <c r="AE1008" s="126">
        <f>_xll.qlCalendarAdvance(Calendar,AE1007,AD1008,BizDayConv)</f>
        <v>44174</v>
      </c>
      <c r="AF1008" s="125">
        <f>_xll.qlYieldTSDiscount($C$31,AE1008)</f>
        <v>1.0061987666381249</v>
      </c>
      <c r="AG1008" s="125">
        <f>_xll.xlShmInterpDisc(CurveName&amp;T($C$26),AE1008)</f>
        <v>1.0061987666381249</v>
      </c>
      <c r="AH1008" s="127">
        <f t="shared" si="22"/>
        <v>0</v>
      </c>
    </row>
    <row r="1009" spans="30:34" x14ac:dyDescent="0.2">
      <c r="AD1009" s="13" t="s">
        <v>94</v>
      </c>
      <c r="AE1009" s="126">
        <f>_xll.qlCalendarAdvance(Calendar,AE1008,AD1009,BizDayConv)</f>
        <v>44175</v>
      </c>
      <c r="AF1009" s="125">
        <f>_xll.qlYieldTSDiscount($C$31,AE1009)</f>
        <v>1.006194405725007</v>
      </c>
      <c r="AG1009" s="125">
        <f>_xll.xlShmInterpDisc(CurveName&amp;T($C$26),AE1009)</f>
        <v>1.006194405725007</v>
      </c>
      <c r="AH1009" s="127">
        <f t="shared" si="22"/>
        <v>0</v>
      </c>
    </row>
    <row r="1010" spans="30:34" x14ac:dyDescent="0.2">
      <c r="AD1010" s="13" t="s">
        <v>94</v>
      </c>
      <c r="AE1010" s="126">
        <f>_xll.qlCalendarAdvance(Calendar,AE1009,AD1010,BizDayConv)</f>
        <v>44176</v>
      </c>
      <c r="AF1010" s="125">
        <f>_xll.qlYieldTSDiscount($C$31,AE1010)</f>
        <v>1.0061900247801889</v>
      </c>
      <c r="AG1010" s="125">
        <f>_xll.xlShmInterpDisc(CurveName&amp;T($C$26),AE1010)</f>
        <v>1.0061900247801889</v>
      </c>
      <c r="AH1010" s="127">
        <f t="shared" si="22"/>
        <v>0</v>
      </c>
    </row>
    <row r="1011" spans="30:34" x14ac:dyDescent="0.2">
      <c r="AD1011" s="13" t="s">
        <v>94</v>
      </c>
      <c r="AE1011" s="126">
        <f>_xll.qlCalendarAdvance(Calendar,AE1010,AD1011,BizDayConv)</f>
        <v>44179</v>
      </c>
      <c r="AF1011" s="125">
        <f>_xll.qlYieldTSDiscount($C$31,AE1011)</f>
        <v>1.0061767614486294</v>
      </c>
      <c r="AG1011" s="125">
        <f>_xll.xlShmInterpDisc(CurveName&amp;T($C$26),AE1011)</f>
        <v>1.0061767614486294</v>
      </c>
      <c r="AH1011" s="127">
        <f t="shared" si="22"/>
        <v>0</v>
      </c>
    </row>
    <row r="1012" spans="30:34" x14ac:dyDescent="0.2">
      <c r="AD1012" s="13" t="s">
        <v>94</v>
      </c>
      <c r="AE1012" s="126">
        <f>_xll.qlCalendarAdvance(Calendar,AE1011,AD1012,BizDayConv)</f>
        <v>44180</v>
      </c>
      <c r="AF1012" s="125">
        <f>_xll.qlYieldTSDiscount($C$31,AE1012)</f>
        <v>1.006172300069917</v>
      </c>
      <c r="AG1012" s="125">
        <f>_xll.xlShmInterpDisc(CurveName&amp;T($C$26),AE1012)</f>
        <v>1.006172300069917</v>
      </c>
      <c r="AH1012" s="127">
        <f t="shared" si="22"/>
        <v>0</v>
      </c>
    </row>
    <row r="1013" spans="30:34" x14ac:dyDescent="0.2">
      <c r="AD1013" s="13" t="s">
        <v>94</v>
      </c>
      <c r="AE1013" s="126">
        <f>_xll.qlCalendarAdvance(Calendar,AE1012,AD1013,BizDayConv)</f>
        <v>44181</v>
      </c>
      <c r="AF1013" s="125">
        <f>_xll.qlYieldTSDiscount($C$31,AE1013)</f>
        <v>1.0061678185057683</v>
      </c>
      <c r="AG1013" s="125">
        <f>_xll.xlShmInterpDisc(CurveName&amp;T($C$26),AE1013)</f>
        <v>1.0061678185057683</v>
      </c>
      <c r="AH1013" s="127">
        <f t="shared" si="22"/>
        <v>0</v>
      </c>
    </row>
    <row r="1014" spans="30:34" x14ac:dyDescent="0.2">
      <c r="AD1014" s="13" t="s">
        <v>94</v>
      </c>
      <c r="AE1014" s="126">
        <f>_xll.qlCalendarAdvance(Calendar,AE1013,AD1014,BizDayConv)</f>
        <v>44182</v>
      </c>
      <c r="AF1014" s="125">
        <f>_xll.qlYieldTSDiscount($C$31,AE1014)</f>
        <v>1.0061633167253228</v>
      </c>
      <c r="AG1014" s="125">
        <f>_xll.xlShmInterpDisc(CurveName&amp;T($C$26),AE1014)</f>
        <v>1.0061633167253228</v>
      </c>
      <c r="AH1014" s="127">
        <f t="shared" si="22"/>
        <v>0</v>
      </c>
    </row>
    <row r="1015" spans="30:34" x14ac:dyDescent="0.2">
      <c r="AD1015" s="13" t="s">
        <v>94</v>
      </c>
      <c r="AE1015" s="126">
        <f>_xll.qlCalendarAdvance(Calendar,AE1014,AD1015,BizDayConv)</f>
        <v>44183</v>
      </c>
      <c r="AF1015" s="125">
        <f>_xll.qlYieldTSDiscount($C$31,AE1015)</f>
        <v>1.0061587946976818</v>
      </c>
      <c r="AG1015" s="125">
        <f>_xll.xlShmInterpDisc(CurveName&amp;T($C$26),AE1015)</f>
        <v>1.0061587946976818</v>
      </c>
      <c r="AH1015" s="127">
        <f t="shared" si="22"/>
        <v>0</v>
      </c>
    </row>
    <row r="1016" spans="30:34" x14ac:dyDescent="0.2">
      <c r="AD1016" s="13" t="s">
        <v>94</v>
      </c>
      <c r="AE1016" s="126">
        <f>_xll.qlCalendarAdvance(Calendar,AE1015,AD1016,BizDayConv)</f>
        <v>44186</v>
      </c>
      <c r="AF1016" s="125">
        <f>_xll.qlYieldTSDiscount($C$31,AE1016)</f>
        <v>1.0061451068220346</v>
      </c>
      <c r="AG1016" s="125">
        <f>_xll.xlShmInterpDisc(CurveName&amp;T($C$26),AE1016)</f>
        <v>1.0061451068220346</v>
      </c>
      <c r="AH1016" s="127">
        <f t="shared" si="22"/>
        <v>0</v>
      </c>
    </row>
    <row r="1017" spans="30:34" x14ac:dyDescent="0.2">
      <c r="AD1017" s="13" t="s">
        <v>94</v>
      </c>
      <c r="AE1017" s="126">
        <f>_xll.qlCalendarAdvance(Calendar,AE1016,AD1017,BizDayConv)</f>
        <v>44187</v>
      </c>
      <c r="AF1017" s="125">
        <f>_xll.qlYieldTSDiscount($C$31,AE1017)</f>
        <v>1.0061405034958713</v>
      </c>
      <c r="AG1017" s="125">
        <f>_xll.xlShmInterpDisc(CurveName&amp;T($C$26),AE1017)</f>
        <v>1.0061405034958713</v>
      </c>
      <c r="AH1017" s="127">
        <f t="shared" si="22"/>
        <v>0</v>
      </c>
    </row>
    <row r="1018" spans="30:34" x14ac:dyDescent="0.2">
      <c r="AD1018" s="13" t="s">
        <v>94</v>
      </c>
      <c r="AE1018" s="126">
        <f>_xll.qlCalendarAdvance(Calendar,AE1017,AD1018,BizDayConv)</f>
        <v>44188</v>
      </c>
      <c r="AF1018" s="125">
        <f>_xll.qlYieldTSDiscount($C$31,AE1018)</f>
        <v>1.0061358797674533</v>
      </c>
      <c r="AG1018" s="125">
        <f>_xll.xlShmInterpDisc(CurveName&amp;T($C$26),AE1018)</f>
        <v>1.0061358797674533</v>
      </c>
      <c r="AH1018" s="127">
        <f t="shared" si="22"/>
        <v>0</v>
      </c>
    </row>
    <row r="1019" spans="30:34" x14ac:dyDescent="0.2">
      <c r="AD1019" s="13" t="s">
        <v>94</v>
      </c>
      <c r="AE1019" s="126">
        <f>_xll.qlCalendarAdvance(Calendar,AE1018,AD1019,BizDayConv)</f>
        <v>44189</v>
      </c>
      <c r="AF1019" s="125">
        <f>_xll.qlYieldTSDiscount($C$31,AE1019)</f>
        <v>1.0061312356056553</v>
      </c>
      <c r="AG1019" s="125">
        <f>_xll.xlShmInterpDisc(CurveName&amp;T($C$26),AE1019)</f>
        <v>1.0061312356056553</v>
      </c>
      <c r="AH1019" s="127">
        <f t="shared" si="22"/>
        <v>0</v>
      </c>
    </row>
    <row r="1020" spans="30:34" x14ac:dyDescent="0.2">
      <c r="AD1020" s="13" t="s">
        <v>94</v>
      </c>
      <c r="AE1020" s="126">
        <f>_xll.qlCalendarAdvance(Calendar,AE1019,AD1020,BizDayConv)</f>
        <v>44193</v>
      </c>
      <c r="AF1020" s="125">
        <f>_xll.qlYieldTSDiscount($C$31,AE1020)</f>
        <v>1.006112454000839</v>
      </c>
      <c r="AG1020" s="125">
        <f>_xll.xlShmInterpDisc(CurveName&amp;T($C$26),AE1020)</f>
        <v>1.006112454000839</v>
      </c>
      <c r="AH1020" s="127">
        <f t="shared" si="22"/>
        <v>0</v>
      </c>
    </row>
    <row r="1021" spans="30:34" x14ac:dyDescent="0.2">
      <c r="AD1021" s="13" t="s">
        <v>94</v>
      </c>
      <c r="AE1021" s="126">
        <f>_xll.qlCalendarAdvance(Calendar,AE1020,AD1021,BizDayConv)</f>
        <v>44194</v>
      </c>
      <c r="AF1021" s="125">
        <f>_xll.qlYieldTSDiscount($C$31,AE1021)</f>
        <v>1.0061077072039424</v>
      </c>
      <c r="AG1021" s="125">
        <f>_xll.xlShmInterpDisc(CurveName&amp;T($C$26),AE1021)</f>
        <v>1.0061077072039424</v>
      </c>
      <c r="AH1021" s="127">
        <f t="shared" si="22"/>
        <v>0</v>
      </c>
    </row>
    <row r="1022" spans="30:34" x14ac:dyDescent="0.2">
      <c r="AD1022" s="13" t="s">
        <v>94</v>
      </c>
      <c r="AE1022" s="126">
        <f>_xll.qlCalendarAdvance(Calendar,AE1021,AD1022,BizDayConv)</f>
        <v>44195</v>
      </c>
      <c r="AF1022" s="125">
        <f>_xll.qlYieldTSDiscount($C$31,AE1022)</f>
        <v>1.0061029397861223</v>
      </c>
      <c r="AG1022" s="125">
        <f>_xll.xlShmInterpDisc(CurveName&amp;T($C$26),AE1022)</f>
        <v>1.0061029397861223</v>
      </c>
      <c r="AH1022" s="127">
        <f t="shared" si="22"/>
        <v>0</v>
      </c>
    </row>
    <row r="1023" spans="30:34" x14ac:dyDescent="0.2">
      <c r="AD1023" s="13" t="s">
        <v>94</v>
      </c>
      <c r="AE1023" s="126">
        <f>_xll.qlCalendarAdvance(Calendar,AE1022,AD1023,BizDayConv)</f>
        <v>44196</v>
      </c>
      <c r="AF1023" s="125">
        <f>_xll.qlYieldTSDiscount($C$31,AE1023)</f>
        <v>1.006098151715989</v>
      </c>
      <c r="AG1023" s="125">
        <f>_xll.xlShmInterpDisc(CurveName&amp;T($C$26),AE1023)</f>
        <v>1.006098151715989</v>
      </c>
      <c r="AH1023" s="127">
        <f t="shared" si="22"/>
        <v>0</v>
      </c>
    </row>
    <row r="1024" spans="30:34" x14ac:dyDescent="0.2">
      <c r="AD1024" s="13" t="s">
        <v>94</v>
      </c>
      <c r="AE1024" s="126">
        <f>_xll.qlCalendarAdvance(Calendar,AE1023,AD1024,BizDayConv)</f>
        <v>44200</v>
      </c>
      <c r="AF1024" s="125">
        <f>_xll.qlYieldTSDiscount($C$31,AE1024)</f>
        <v>1.0060787922832199</v>
      </c>
      <c r="AG1024" s="125">
        <f>_xll.xlShmInterpDisc(CurveName&amp;T($C$26),AE1024)</f>
        <v>1.0060787922832199</v>
      </c>
      <c r="AH1024" s="127">
        <f t="shared" si="22"/>
        <v>0</v>
      </c>
    </row>
    <row r="1025" spans="30:34" x14ac:dyDescent="0.2">
      <c r="AD1025" s="13" t="s">
        <v>94</v>
      </c>
      <c r="AE1025" s="126">
        <f>_xll.qlCalendarAdvance(Calendar,AE1024,AD1025,BizDayConv)</f>
        <v>44201</v>
      </c>
      <c r="AF1025" s="125">
        <f>_xll.qlYieldTSDiscount($C$31,AE1025)</f>
        <v>1.0060738979235848</v>
      </c>
      <c r="AG1025" s="125">
        <f>_xll.xlShmInterpDisc(CurveName&amp;T($C$26),AE1025)</f>
        <v>1.0060738979235848</v>
      </c>
      <c r="AH1025" s="127">
        <f t="shared" si="22"/>
        <v>0</v>
      </c>
    </row>
    <row r="1026" spans="30:34" x14ac:dyDescent="0.2">
      <c r="AD1026" s="13" t="s">
        <v>94</v>
      </c>
      <c r="AE1026" s="126">
        <f>_xll.qlCalendarAdvance(Calendar,AE1025,AD1026,BizDayConv)</f>
        <v>44202</v>
      </c>
      <c r="AF1026" s="125">
        <f>_xll.qlYieldTSDiscount($C$31,AE1026)</f>
        <v>1.0060689776373621</v>
      </c>
      <c r="AG1026" s="125">
        <f>_xll.xlShmInterpDisc(CurveName&amp;T($C$26),AE1026)</f>
        <v>1.0060689776373621</v>
      </c>
      <c r="AH1026" s="127">
        <f t="shared" si="22"/>
        <v>0</v>
      </c>
    </row>
    <row r="1027" spans="30:34" x14ac:dyDescent="0.2">
      <c r="AD1027" s="13" t="s">
        <v>94</v>
      </c>
      <c r="AE1027" s="126">
        <f>_xll.qlCalendarAdvance(Calendar,AE1026,AD1027,BizDayConv)</f>
        <v>44203</v>
      </c>
      <c r="AF1027" s="125">
        <f>_xll.qlYieldTSDiscount($C$31,AE1027)</f>
        <v>1.0060640314326126</v>
      </c>
      <c r="AG1027" s="125">
        <f>_xll.xlShmInterpDisc(CurveName&amp;T($C$26),AE1027)</f>
        <v>1.0060640314326126</v>
      </c>
      <c r="AH1027" s="127">
        <f t="shared" si="22"/>
        <v>0</v>
      </c>
    </row>
    <row r="1028" spans="30:34" x14ac:dyDescent="0.2">
      <c r="AD1028" s="13" t="s">
        <v>94</v>
      </c>
      <c r="AE1028" s="126">
        <f>_xll.qlCalendarAdvance(Calendar,AE1027,AD1028,BizDayConv)</f>
        <v>44204</v>
      </c>
      <c r="AF1028" s="125">
        <f>_xll.qlYieldTSDiscount($C$31,AE1028)</f>
        <v>1.0060590593174954</v>
      </c>
      <c r="AG1028" s="125">
        <f>_xll.xlShmInterpDisc(CurveName&amp;T($C$26),AE1028)</f>
        <v>1.0060590593174954</v>
      </c>
      <c r="AH1028" s="127">
        <f t="shared" ref="AH1028:AH1091" si="23">(AF1028-AG1028)</f>
        <v>0</v>
      </c>
    </row>
    <row r="1029" spans="30:34" x14ac:dyDescent="0.2">
      <c r="AD1029" s="13" t="s">
        <v>94</v>
      </c>
      <c r="AE1029" s="126">
        <f>_xll.qlCalendarAdvance(Calendar,AE1028,AD1029,BizDayConv)</f>
        <v>44207</v>
      </c>
      <c r="AF1029" s="125">
        <f>_xll.qlYieldTSDiscount($C$31,AE1029)</f>
        <v>1.0060439875930083</v>
      </c>
      <c r="AG1029" s="125">
        <f>_xll.xlShmInterpDisc(CurveName&amp;T($C$26),AE1029)</f>
        <v>1.0060439875930083</v>
      </c>
      <c r="AH1029" s="127">
        <f t="shared" si="23"/>
        <v>0</v>
      </c>
    </row>
    <row r="1030" spans="30:34" x14ac:dyDescent="0.2">
      <c r="AD1030" s="13" t="s">
        <v>94</v>
      </c>
      <c r="AE1030" s="126">
        <f>_xll.qlCalendarAdvance(Calendar,AE1029,AD1030,BizDayConv)</f>
        <v>44208</v>
      </c>
      <c r="AF1030" s="125">
        <f>_xll.qlYieldTSDiscount($C$31,AE1030)</f>
        <v>1.0060389119199831</v>
      </c>
      <c r="AG1030" s="125">
        <f>_xll.xlShmInterpDisc(CurveName&amp;T($C$26),AE1030)</f>
        <v>1.0060389119199831</v>
      </c>
      <c r="AH1030" s="127">
        <f t="shared" si="23"/>
        <v>0</v>
      </c>
    </row>
    <row r="1031" spans="30:34" x14ac:dyDescent="0.2">
      <c r="AD1031" s="13" t="s">
        <v>94</v>
      </c>
      <c r="AE1031" s="126">
        <f>_xll.qlCalendarAdvance(Calendar,AE1030,AD1031,BizDayConv)</f>
        <v>44209</v>
      </c>
      <c r="AF1031" s="125">
        <f>_xll.qlYieldTSDiscount($C$31,AE1031)</f>
        <v>1.0060338103788637</v>
      </c>
      <c r="AG1031" s="125">
        <f>_xll.xlShmInterpDisc(CurveName&amp;T($C$26),AE1031)</f>
        <v>1.0060338103788637</v>
      </c>
      <c r="AH1031" s="127">
        <f t="shared" si="23"/>
        <v>0</v>
      </c>
    </row>
    <row r="1032" spans="30:34" x14ac:dyDescent="0.2">
      <c r="AD1032" s="13" t="s">
        <v>94</v>
      </c>
      <c r="AE1032" s="126">
        <f>_xll.qlCalendarAdvance(Calendar,AE1031,AD1032,BizDayConv)</f>
        <v>44210</v>
      </c>
      <c r="AF1032" s="125">
        <f>_xll.qlYieldTSDiscount($C$31,AE1032)</f>
        <v>1.0060286829784004</v>
      </c>
      <c r="AG1032" s="125">
        <f>_xll.xlShmInterpDisc(CurveName&amp;T($C$26),AE1032)</f>
        <v>1.0060286829784004</v>
      </c>
      <c r="AH1032" s="127">
        <f t="shared" si="23"/>
        <v>0</v>
      </c>
    </row>
    <row r="1033" spans="30:34" x14ac:dyDescent="0.2">
      <c r="AD1033" s="13" t="s">
        <v>94</v>
      </c>
      <c r="AE1033" s="126">
        <f>_xll.qlCalendarAdvance(Calendar,AE1032,AD1033,BizDayConv)</f>
        <v>44211</v>
      </c>
      <c r="AF1033" s="125">
        <f>_xll.qlYieldTSDiscount($C$31,AE1033)</f>
        <v>1.0060235297274418</v>
      </c>
      <c r="AG1033" s="125">
        <f>_xll.xlShmInterpDisc(CurveName&amp;T($C$26),AE1033)</f>
        <v>1.0060235297274418</v>
      </c>
      <c r="AH1033" s="127">
        <f t="shared" si="23"/>
        <v>0</v>
      </c>
    </row>
    <row r="1034" spans="30:34" x14ac:dyDescent="0.2">
      <c r="AD1034" s="13" t="s">
        <v>94</v>
      </c>
      <c r="AE1034" s="126">
        <f>_xll.qlCalendarAdvance(Calendar,AE1033,AD1034,BizDayConv)</f>
        <v>44214</v>
      </c>
      <c r="AF1034" s="125">
        <f>_xll.qlYieldTSDiscount($C$31,AE1034)</f>
        <v>1.0060079149615553</v>
      </c>
      <c r="AG1034" s="125">
        <f>_xll.xlShmInterpDisc(CurveName&amp;T($C$26),AE1034)</f>
        <v>1.0060079149615553</v>
      </c>
      <c r="AH1034" s="127">
        <f t="shared" si="23"/>
        <v>0</v>
      </c>
    </row>
    <row r="1035" spans="30:34" x14ac:dyDescent="0.2">
      <c r="AD1035" s="13" t="s">
        <v>94</v>
      </c>
      <c r="AE1035" s="126">
        <f>_xll.qlCalendarAdvance(Calendar,AE1034,AD1035,BizDayConv)</f>
        <v>44215</v>
      </c>
      <c r="AF1035" s="125">
        <f>_xll.qlYieldTSDiscount($C$31,AE1035)</f>
        <v>1.0060026583990693</v>
      </c>
      <c r="AG1035" s="125">
        <f>_xll.xlShmInterpDisc(CurveName&amp;T($C$26),AE1035)</f>
        <v>1.0060026583990693</v>
      </c>
      <c r="AH1035" s="127">
        <f t="shared" si="23"/>
        <v>0</v>
      </c>
    </row>
    <row r="1036" spans="30:34" x14ac:dyDescent="0.2">
      <c r="AD1036" s="13" t="s">
        <v>94</v>
      </c>
      <c r="AE1036" s="126">
        <f>_xll.qlCalendarAdvance(Calendar,AE1035,AD1036,BizDayConv)</f>
        <v>44216</v>
      </c>
      <c r="AF1036" s="125">
        <f>_xll.qlYieldTSDiscount($C$31,AE1036)</f>
        <v>1.0059973760318071</v>
      </c>
      <c r="AG1036" s="125">
        <f>_xll.xlShmInterpDisc(CurveName&amp;T($C$26),AE1036)</f>
        <v>1.0059973760318071</v>
      </c>
      <c r="AH1036" s="127">
        <f t="shared" si="23"/>
        <v>0</v>
      </c>
    </row>
    <row r="1037" spans="30:34" x14ac:dyDescent="0.2">
      <c r="AD1037" s="13" t="s">
        <v>94</v>
      </c>
      <c r="AE1037" s="126">
        <f>_xll.qlCalendarAdvance(Calendar,AE1036,AD1037,BizDayConv)</f>
        <v>44217</v>
      </c>
      <c r="AF1037" s="125">
        <f>_xll.qlYieldTSDiscount($C$31,AE1037)</f>
        <v>1.0059920678692083</v>
      </c>
      <c r="AG1037" s="125">
        <f>_xll.xlShmInterpDisc(CurveName&amp;T($C$26),AE1037)</f>
        <v>1.0059920678692083</v>
      </c>
      <c r="AH1037" s="127">
        <f t="shared" si="23"/>
        <v>0</v>
      </c>
    </row>
    <row r="1038" spans="30:34" x14ac:dyDescent="0.2">
      <c r="AD1038" s="13" t="s">
        <v>94</v>
      </c>
      <c r="AE1038" s="126">
        <f>_xll.qlCalendarAdvance(Calendar,AE1037,AD1038,BizDayConv)</f>
        <v>44218</v>
      </c>
      <c r="AF1038" s="125">
        <f>_xll.qlYieldTSDiscount($C$31,AE1038)</f>
        <v>1.00598673392081</v>
      </c>
      <c r="AG1038" s="125">
        <f>_xll.xlShmInterpDisc(CurveName&amp;T($C$26),AE1038)</f>
        <v>1.00598673392081</v>
      </c>
      <c r="AH1038" s="127">
        <f t="shared" si="23"/>
        <v>0</v>
      </c>
    </row>
    <row r="1039" spans="30:34" x14ac:dyDescent="0.2">
      <c r="AD1039" s="13" t="s">
        <v>94</v>
      </c>
      <c r="AE1039" s="126">
        <f>_xll.qlCalendarAdvance(Calendar,AE1038,AD1039,BizDayConv)</f>
        <v>44221</v>
      </c>
      <c r="AF1039" s="125">
        <f>_xll.qlYieldTSDiscount($C$31,AE1039)</f>
        <v>1.0059705774576715</v>
      </c>
      <c r="AG1039" s="125">
        <f>_xll.xlShmInterpDisc(CurveName&amp;T($C$26),AE1039)</f>
        <v>1.0059705774576715</v>
      </c>
      <c r="AH1039" s="127">
        <f t="shared" si="23"/>
        <v>0</v>
      </c>
    </row>
    <row r="1040" spans="30:34" x14ac:dyDescent="0.2">
      <c r="AD1040" s="13" t="s">
        <v>94</v>
      </c>
      <c r="AE1040" s="126">
        <f>_xll.qlCalendarAdvance(Calendar,AE1039,AD1040,BizDayConv)</f>
        <v>44222</v>
      </c>
      <c r="AF1040" s="125">
        <f>_xll.qlYieldTSDiscount($C$31,AE1040)</f>
        <v>1.0059651404634202</v>
      </c>
      <c r="AG1040" s="125">
        <f>_xll.xlShmInterpDisc(CurveName&amp;T($C$26),AE1040)</f>
        <v>1.0059651404634202</v>
      </c>
      <c r="AH1040" s="127">
        <f t="shared" si="23"/>
        <v>0</v>
      </c>
    </row>
    <row r="1041" spans="30:34" x14ac:dyDescent="0.2">
      <c r="AD1041" s="13" t="s">
        <v>94</v>
      </c>
      <c r="AE1041" s="126">
        <f>_xll.qlCalendarAdvance(Calendar,AE1040,AD1041,BizDayConv)</f>
        <v>44223</v>
      </c>
      <c r="AF1041" s="125">
        <f>_xll.qlYieldTSDiscount($C$31,AE1041)</f>
        <v>1.0059596777325337</v>
      </c>
      <c r="AG1041" s="125">
        <f>_xll.xlShmInterpDisc(CurveName&amp;T($C$26),AE1041)</f>
        <v>1.0059596777325337</v>
      </c>
      <c r="AH1041" s="127">
        <f t="shared" si="23"/>
        <v>0</v>
      </c>
    </row>
    <row r="1042" spans="30:34" x14ac:dyDescent="0.2">
      <c r="AD1042" s="13" t="s">
        <v>94</v>
      </c>
      <c r="AE1042" s="126">
        <f>_xll.qlCalendarAdvance(Calendar,AE1041,AD1042,BizDayConv)</f>
        <v>44224</v>
      </c>
      <c r="AF1042" s="125">
        <f>_xll.qlYieldTSDiscount($C$31,AE1042)</f>
        <v>1.00595418927514</v>
      </c>
      <c r="AG1042" s="125">
        <f>_xll.xlShmInterpDisc(CurveName&amp;T($C$26),AE1042)</f>
        <v>1.00595418927514</v>
      </c>
      <c r="AH1042" s="127">
        <f t="shared" si="23"/>
        <v>0</v>
      </c>
    </row>
    <row r="1043" spans="30:34" x14ac:dyDescent="0.2">
      <c r="AD1043" s="13" t="s">
        <v>94</v>
      </c>
      <c r="AE1043" s="126">
        <f>_xll.qlCalendarAdvance(Calendar,AE1042,AD1043,BizDayConv)</f>
        <v>44225</v>
      </c>
      <c r="AF1043" s="125">
        <f>_xll.qlYieldTSDiscount($C$31,AE1043)</f>
        <v>1.0059486751014655</v>
      </c>
      <c r="AG1043" s="125">
        <f>_xll.xlShmInterpDisc(CurveName&amp;T($C$26),AE1043)</f>
        <v>1.0059486751014655</v>
      </c>
      <c r="AH1043" s="127">
        <f t="shared" si="23"/>
        <v>0</v>
      </c>
    </row>
    <row r="1044" spans="30:34" x14ac:dyDescent="0.2">
      <c r="AD1044" s="13" t="s">
        <v>94</v>
      </c>
      <c r="AE1044" s="126">
        <f>_xll.qlCalendarAdvance(Calendar,AE1043,AD1044,BizDayConv)</f>
        <v>44228</v>
      </c>
      <c r="AF1044" s="125">
        <f>_xll.qlYieldTSDiscount($C$31,AE1044)</f>
        <v>1.0059319783864966</v>
      </c>
      <c r="AG1044" s="125">
        <f>_xll.xlShmInterpDisc(CurveName&amp;T($C$26),AE1044)</f>
        <v>1.0059319783864966</v>
      </c>
      <c r="AH1044" s="127">
        <f t="shared" si="23"/>
        <v>0</v>
      </c>
    </row>
    <row r="1045" spans="30:34" x14ac:dyDescent="0.2">
      <c r="AD1045" s="13" t="s">
        <v>94</v>
      </c>
      <c r="AE1045" s="126">
        <f>_xll.qlCalendarAdvance(Calendar,AE1044,AD1045,BizDayConv)</f>
        <v>44229</v>
      </c>
      <c r="AF1045" s="125">
        <f>_xll.qlYieldTSDiscount($C$31,AE1045)</f>
        <v>1.0059263614519305</v>
      </c>
      <c r="AG1045" s="125">
        <f>_xll.xlShmInterpDisc(CurveName&amp;T($C$26),AE1045)</f>
        <v>1.0059263614519305</v>
      </c>
      <c r="AH1045" s="127">
        <f t="shared" si="23"/>
        <v>0</v>
      </c>
    </row>
    <row r="1046" spans="30:34" x14ac:dyDescent="0.2">
      <c r="AD1046" s="13" t="s">
        <v>94</v>
      </c>
      <c r="AE1046" s="126">
        <f>_xll.qlCalendarAdvance(Calendar,AE1045,AD1046,BizDayConv)</f>
        <v>44230</v>
      </c>
      <c r="AF1046" s="125">
        <f>_xll.qlYieldTSDiscount($C$31,AE1046)</f>
        <v>1.0059207188536909</v>
      </c>
      <c r="AG1046" s="125">
        <f>_xll.xlShmInterpDisc(CurveName&amp;T($C$26),AE1046)</f>
        <v>1.0059207188536909</v>
      </c>
      <c r="AH1046" s="127">
        <f t="shared" si="23"/>
        <v>0</v>
      </c>
    </row>
    <row r="1047" spans="30:34" x14ac:dyDescent="0.2">
      <c r="AD1047" s="13" t="s">
        <v>94</v>
      </c>
      <c r="AE1047" s="126">
        <f>_xll.qlCalendarAdvance(Calendar,AE1046,AD1047,BizDayConv)</f>
        <v>44231</v>
      </c>
      <c r="AF1047" s="125">
        <f>_xll.qlYieldTSDiscount($C$31,AE1047)</f>
        <v>1.0059150506025947</v>
      </c>
      <c r="AG1047" s="125">
        <f>_xll.xlShmInterpDisc(CurveName&amp;T($C$26),AE1047)</f>
        <v>1.0059150506025947</v>
      </c>
      <c r="AH1047" s="127">
        <f t="shared" si="23"/>
        <v>0</v>
      </c>
    </row>
    <row r="1048" spans="30:34" x14ac:dyDescent="0.2">
      <c r="AD1048" s="13" t="s">
        <v>94</v>
      </c>
      <c r="AE1048" s="126">
        <f>_xll.qlCalendarAdvance(Calendar,AE1047,AD1048,BizDayConv)</f>
        <v>44232</v>
      </c>
      <c r="AF1048" s="125">
        <f>_xll.qlYieldTSDiscount($C$31,AE1048)</f>
        <v>1.0059093567095567</v>
      </c>
      <c r="AG1048" s="125">
        <f>_xll.xlShmInterpDisc(CurveName&amp;T($C$26),AE1048)</f>
        <v>1.0059093567095567</v>
      </c>
      <c r="AH1048" s="127">
        <f t="shared" si="23"/>
        <v>0</v>
      </c>
    </row>
    <row r="1049" spans="30:34" x14ac:dyDescent="0.2">
      <c r="AD1049" s="13" t="s">
        <v>94</v>
      </c>
      <c r="AE1049" s="126">
        <f>_xll.qlCalendarAdvance(Calendar,AE1048,AD1049,BizDayConv)</f>
        <v>44235</v>
      </c>
      <c r="AF1049" s="125">
        <f>_xll.qlYieldTSDiscount($C$31,AE1049)</f>
        <v>1.005892121289417</v>
      </c>
      <c r="AG1049" s="125">
        <f>_xll.xlShmInterpDisc(CurveName&amp;T($C$26),AE1049)</f>
        <v>1.005892121289417</v>
      </c>
      <c r="AH1049" s="127">
        <f t="shared" si="23"/>
        <v>0</v>
      </c>
    </row>
    <row r="1050" spans="30:34" x14ac:dyDescent="0.2">
      <c r="AD1050" s="13" t="s">
        <v>94</v>
      </c>
      <c r="AE1050" s="126">
        <f>_xll.qlCalendarAdvance(Calendar,AE1049,AD1050,BizDayConv)</f>
        <v>44236</v>
      </c>
      <c r="AF1050" s="125">
        <f>_xll.qlYieldTSDiscount($C$31,AE1050)</f>
        <v>1.0058863249397283</v>
      </c>
      <c r="AG1050" s="125">
        <f>_xll.xlShmInterpDisc(CurveName&amp;T($C$26),AE1050)</f>
        <v>1.0058863249397283</v>
      </c>
      <c r="AH1050" s="127">
        <f t="shared" si="23"/>
        <v>0</v>
      </c>
    </row>
    <row r="1051" spans="30:34" x14ac:dyDescent="0.2">
      <c r="AD1051" s="13" t="s">
        <v>94</v>
      </c>
      <c r="AE1051" s="126">
        <f>_xll.qlCalendarAdvance(Calendar,AE1050,AD1051,BizDayConv)</f>
        <v>44237</v>
      </c>
      <c r="AF1051" s="125">
        <f>_xll.qlYieldTSDiscount($C$31,AE1051)</f>
        <v>1.0058805030041478</v>
      </c>
      <c r="AG1051" s="125">
        <f>_xll.xlShmInterpDisc(CurveName&amp;T($C$26),AE1051)</f>
        <v>1.0058805030041478</v>
      </c>
      <c r="AH1051" s="127">
        <f t="shared" si="23"/>
        <v>0</v>
      </c>
    </row>
    <row r="1052" spans="30:34" x14ac:dyDescent="0.2">
      <c r="AD1052" s="13" t="s">
        <v>94</v>
      </c>
      <c r="AE1052" s="126">
        <f>_xll.qlCalendarAdvance(Calendar,AE1051,AD1052,BizDayConv)</f>
        <v>44238</v>
      </c>
      <c r="AF1052" s="125">
        <f>_xll.qlYieldTSDiscount($C$31,AE1052)</f>
        <v>1.00587465549418</v>
      </c>
      <c r="AG1052" s="125">
        <f>_xll.xlShmInterpDisc(CurveName&amp;T($C$26),AE1052)</f>
        <v>1.00587465549418</v>
      </c>
      <c r="AH1052" s="127">
        <f t="shared" si="23"/>
        <v>0</v>
      </c>
    </row>
    <row r="1053" spans="30:34" x14ac:dyDescent="0.2">
      <c r="AD1053" s="13" t="s">
        <v>94</v>
      </c>
      <c r="AE1053" s="126">
        <f>_xll.qlCalendarAdvance(Calendar,AE1052,AD1053,BizDayConv)</f>
        <v>44239</v>
      </c>
      <c r="AF1053" s="125">
        <f>_xll.qlYieldTSDiscount($C$31,AE1053)</f>
        <v>1.0058687824214283</v>
      </c>
      <c r="AG1053" s="125">
        <f>_xll.xlShmInterpDisc(CurveName&amp;T($C$26),AE1053)</f>
        <v>1.0058687824214283</v>
      </c>
      <c r="AH1053" s="127">
        <f t="shared" si="23"/>
        <v>0</v>
      </c>
    </row>
    <row r="1054" spans="30:34" x14ac:dyDescent="0.2">
      <c r="AD1054" s="13" t="s">
        <v>94</v>
      </c>
      <c r="AE1054" s="126">
        <f>_xll.qlCalendarAdvance(Calendar,AE1053,AD1054,BizDayConv)</f>
        <v>44242</v>
      </c>
      <c r="AF1054" s="125">
        <f>_xll.qlYieldTSDiscount($C$31,AE1054)</f>
        <v>1.0058510099439766</v>
      </c>
      <c r="AG1054" s="125">
        <f>_xll.xlShmInterpDisc(CurveName&amp;T($C$26),AE1054)</f>
        <v>1.0058510099439766</v>
      </c>
      <c r="AH1054" s="127">
        <f t="shared" si="23"/>
        <v>0</v>
      </c>
    </row>
    <row r="1055" spans="30:34" x14ac:dyDescent="0.2">
      <c r="AD1055" s="13" t="s">
        <v>94</v>
      </c>
      <c r="AE1055" s="126">
        <f>_xll.qlCalendarAdvance(Calendar,AE1054,AD1055,BizDayConv)</f>
        <v>44243</v>
      </c>
      <c r="AF1055" s="125">
        <f>_xll.qlYieldTSDiscount($C$31,AE1055)</f>
        <v>1.0058450347380876</v>
      </c>
      <c r="AG1055" s="125">
        <f>_xll.xlShmInterpDisc(CurveName&amp;T($C$26),AE1055)</f>
        <v>1.0058450347380876</v>
      </c>
      <c r="AH1055" s="127">
        <f t="shared" si="23"/>
        <v>0</v>
      </c>
    </row>
    <row r="1056" spans="30:34" x14ac:dyDescent="0.2">
      <c r="AD1056" s="13" t="s">
        <v>94</v>
      </c>
      <c r="AE1056" s="126">
        <f>_xll.qlCalendarAdvance(Calendar,AE1055,AD1056,BizDayConv)</f>
        <v>44244</v>
      </c>
      <c r="AF1056" s="125">
        <f>_xll.qlYieldTSDiscount($C$31,AE1056)</f>
        <v>1.0058390340289052</v>
      </c>
      <c r="AG1056" s="125">
        <f>_xll.xlShmInterpDisc(CurveName&amp;T($C$26),AE1056)</f>
        <v>1.0058390340289052</v>
      </c>
      <c r="AH1056" s="127">
        <f t="shared" si="23"/>
        <v>0</v>
      </c>
    </row>
    <row r="1057" spans="30:34" x14ac:dyDescent="0.2">
      <c r="AD1057" s="13" t="s">
        <v>94</v>
      </c>
      <c r="AE1057" s="126">
        <f>_xll.qlCalendarAdvance(Calendar,AE1056,AD1057,BizDayConv)</f>
        <v>44245</v>
      </c>
      <c r="AF1057" s="125">
        <f>_xll.qlYieldTSDiscount($C$31,AE1057)</f>
        <v>1.0058330078286224</v>
      </c>
      <c r="AG1057" s="125">
        <f>_xll.xlShmInterpDisc(CurveName&amp;T($C$26),AE1057)</f>
        <v>1.0058330078286224</v>
      </c>
      <c r="AH1057" s="127">
        <f t="shared" si="23"/>
        <v>0</v>
      </c>
    </row>
    <row r="1058" spans="30:34" x14ac:dyDescent="0.2">
      <c r="AD1058" s="13" t="s">
        <v>94</v>
      </c>
      <c r="AE1058" s="126">
        <f>_xll.qlCalendarAdvance(Calendar,AE1057,AD1058,BizDayConv)</f>
        <v>44246</v>
      </c>
      <c r="AF1058" s="125">
        <f>_xll.qlYieldTSDiscount($C$31,AE1058)</f>
        <v>1.0058269561495305</v>
      </c>
      <c r="AG1058" s="125">
        <f>_xll.xlShmInterpDisc(CurveName&amp;T($C$26),AE1058)</f>
        <v>1.0058269561495305</v>
      </c>
      <c r="AH1058" s="127">
        <f t="shared" si="23"/>
        <v>0</v>
      </c>
    </row>
    <row r="1059" spans="30:34" x14ac:dyDescent="0.2">
      <c r="AD1059" s="13" t="s">
        <v>94</v>
      </c>
      <c r="AE1059" s="126">
        <f>_xll.qlCalendarAdvance(Calendar,AE1058,AD1059,BizDayConv)</f>
        <v>44249</v>
      </c>
      <c r="AF1059" s="125">
        <f>_xll.qlYieldTSDiscount($C$31,AE1059)</f>
        <v>1.0058086483637856</v>
      </c>
      <c r="AG1059" s="125">
        <f>_xll.xlShmInterpDisc(CurveName&amp;T($C$26),AE1059)</f>
        <v>1.0058086483637856</v>
      </c>
      <c r="AH1059" s="127">
        <f t="shared" si="23"/>
        <v>0</v>
      </c>
    </row>
    <row r="1060" spans="30:34" x14ac:dyDescent="0.2">
      <c r="AD1060" s="13" t="s">
        <v>94</v>
      </c>
      <c r="AE1060" s="126">
        <f>_xll.qlCalendarAdvance(Calendar,AE1059,AD1060,BizDayConv)</f>
        <v>44250</v>
      </c>
      <c r="AF1060" s="125">
        <f>_xll.qlYieldTSDiscount($C$31,AE1060)</f>
        <v>1.0058024948943343</v>
      </c>
      <c r="AG1060" s="125">
        <f>_xll.xlShmInterpDisc(CurveName&amp;T($C$26),AE1060)</f>
        <v>1.0058024948943343</v>
      </c>
      <c r="AH1060" s="127">
        <f t="shared" si="23"/>
        <v>0</v>
      </c>
    </row>
    <row r="1061" spans="30:34" x14ac:dyDescent="0.2">
      <c r="AD1061" s="13" t="s">
        <v>94</v>
      </c>
      <c r="AE1061" s="126">
        <f>_xll.qlCalendarAdvance(Calendar,AE1060,AD1061,BizDayConv)</f>
        <v>44251</v>
      </c>
      <c r="AF1061" s="125">
        <f>_xll.qlYieldTSDiscount($C$31,AE1061)</f>
        <v>1.0057963160090035</v>
      </c>
      <c r="AG1061" s="125">
        <f>_xll.xlShmInterpDisc(CurveName&amp;T($C$26),AE1061)</f>
        <v>1.0057963160090035</v>
      </c>
      <c r="AH1061" s="127">
        <f t="shared" si="23"/>
        <v>0</v>
      </c>
    </row>
    <row r="1062" spans="30:34" x14ac:dyDescent="0.2">
      <c r="AD1062" s="13" t="s">
        <v>94</v>
      </c>
      <c r="AE1062" s="126">
        <f>_xll.qlCalendarAdvance(Calendar,AE1061,AD1062,BizDayConv)</f>
        <v>44252</v>
      </c>
      <c r="AF1062" s="125">
        <f>_xll.qlYieldTSDiscount($C$31,AE1062)</f>
        <v>1.0057901117206742</v>
      </c>
      <c r="AG1062" s="125">
        <f>_xll.xlShmInterpDisc(CurveName&amp;T($C$26),AE1062)</f>
        <v>1.0057901117206742</v>
      </c>
      <c r="AH1062" s="127">
        <f t="shared" si="23"/>
        <v>0</v>
      </c>
    </row>
    <row r="1063" spans="30:34" x14ac:dyDescent="0.2">
      <c r="AD1063" s="13" t="s">
        <v>94</v>
      </c>
      <c r="AE1063" s="126">
        <f>_xll.qlCalendarAdvance(Calendar,AE1062,AD1063,BizDayConv)</f>
        <v>44253</v>
      </c>
      <c r="AF1063" s="125">
        <f>_xll.qlYieldTSDiscount($C$31,AE1063)</f>
        <v>1.0057838820423253</v>
      </c>
      <c r="AG1063" s="125">
        <f>_xll.xlShmInterpDisc(CurveName&amp;T($C$26),AE1063)</f>
        <v>1.0057838820423253</v>
      </c>
      <c r="AH1063" s="127">
        <f t="shared" si="23"/>
        <v>0</v>
      </c>
    </row>
    <row r="1064" spans="30:34" x14ac:dyDescent="0.2">
      <c r="AD1064" s="13" t="s">
        <v>94</v>
      </c>
      <c r="AE1064" s="126">
        <f>_xll.qlCalendarAdvance(Calendar,AE1063,AD1064,BizDayConv)</f>
        <v>44256</v>
      </c>
      <c r="AF1064" s="125">
        <f>_xll.qlYieldTSDiscount($C$31,AE1064)</f>
        <v>1.0057650407984233</v>
      </c>
      <c r="AG1064" s="125">
        <f>_xll.xlShmInterpDisc(CurveName&amp;T($C$26),AE1064)</f>
        <v>1.0057650407984233</v>
      </c>
      <c r="AH1064" s="127">
        <f t="shared" si="23"/>
        <v>0</v>
      </c>
    </row>
    <row r="1065" spans="30:34" x14ac:dyDescent="0.2">
      <c r="AD1065" s="13" t="s">
        <v>94</v>
      </c>
      <c r="AE1065" s="126">
        <f>_xll.qlCalendarAdvance(Calendar,AE1064,AD1065,BizDayConv)</f>
        <v>44257</v>
      </c>
      <c r="AF1065" s="125">
        <f>_xll.qlYieldTSDiscount($C$31,AE1065)</f>
        <v>1.0057587096917493</v>
      </c>
      <c r="AG1065" s="125">
        <f>_xll.xlShmInterpDisc(CurveName&amp;T($C$26),AE1065)</f>
        <v>1.0057587096917493</v>
      </c>
      <c r="AH1065" s="127">
        <f t="shared" si="23"/>
        <v>0</v>
      </c>
    </row>
    <row r="1066" spans="30:34" x14ac:dyDescent="0.2">
      <c r="AD1066" s="13" t="s">
        <v>94</v>
      </c>
      <c r="AE1066" s="126">
        <f>_xll.qlCalendarAdvance(Calendar,AE1065,AD1066,BizDayConv)</f>
        <v>44258</v>
      </c>
      <c r="AF1066" s="125">
        <f>_xll.qlYieldTSDiscount($C$31,AE1066)</f>
        <v>1.0057523532614234</v>
      </c>
      <c r="AG1066" s="125">
        <f>_xll.xlShmInterpDisc(CurveName&amp;T($C$26),AE1066)</f>
        <v>1.0057523532614234</v>
      </c>
      <c r="AH1066" s="127">
        <f t="shared" si="23"/>
        <v>0</v>
      </c>
    </row>
    <row r="1067" spans="30:34" x14ac:dyDescent="0.2">
      <c r="AD1067" s="13" t="s">
        <v>94</v>
      </c>
      <c r="AE1067" s="126">
        <f>_xll.qlCalendarAdvance(Calendar,AE1066,AD1067,BizDayConv)</f>
        <v>44259</v>
      </c>
      <c r="AF1067" s="125">
        <f>_xll.qlYieldTSDiscount($C$31,AE1067)</f>
        <v>1.005745971521014</v>
      </c>
      <c r="AG1067" s="125">
        <f>_xll.xlShmInterpDisc(CurveName&amp;T($C$26),AE1067)</f>
        <v>1.005745971521014</v>
      </c>
      <c r="AH1067" s="127">
        <f t="shared" si="23"/>
        <v>0</v>
      </c>
    </row>
    <row r="1068" spans="30:34" x14ac:dyDescent="0.2">
      <c r="AD1068" s="13" t="s">
        <v>94</v>
      </c>
      <c r="AE1068" s="126">
        <f>_xll.qlCalendarAdvance(Calendar,AE1067,AD1068,BizDayConv)</f>
        <v>44260</v>
      </c>
      <c r="AF1068" s="125">
        <f>_xll.qlYieldTSDiscount($C$31,AE1068)</f>
        <v>1.0057395644841871</v>
      </c>
      <c r="AG1068" s="125">
        <f>_xll.xlShmInterpDisc(CurveName&amp;T($C$26),AE1068)</f>
        <v>1.0057395644841871</v>
      </c>
      <c r="AH1068" s="127">
        <f t="shared" si="23"/>
        <v>0</v>
      </c>
    </row>
    <row r="1069" spans="30:34" x14ac:dyDescent="0.2">
      <c r="AD1069" s="13" t="s">
        <v>94</v>
      </c>
      <c r="AE1069" s="126">
        <f>_xll.qlCalendarAdvance(Calendar,AE1068,AD1069,BizDayConv)</f>
        <v>44263</v>
      </c>
      <c r="AF1069" s="125">
        <f>_xll.qlYieldTSDiscount($C$31,AE1069)</f>
        <v>1.005720191733338</v>
      </c>
      <c r="AG1069" s="125">
        <f>_xll.xlShmInterpDisc(CurveName&amp;T($C$26),AE1069)</f>
        <v>1.005720191733338</v>
      </c>
      <c r="AH1069" s="127">
        <f t="shared" si="23"/>
        <v>0</v>
      </c>
    </row>
    <row r="1070" spans="30:34" x14ac:dyDescent="0.2">
      <c r="AD1070" s="13" t="s">
        <v>94</v>
      </c>
      <c r="AE1070" s="126">
        <f>_xll.qlCalendarAdvance(Calendar,AE1069,AD1070,BizDayConv)</f>
        <v>44264</v>
      </c>
      <c r="AF1070" s="125">
        <f>_xll.qlYieldTSDiscount($C$31,AE1070)</f>
        <v>1.0057136836494684</v>
      </c>
      <c r="AG1070" s="125">
        <f>_xll.xlShmInterpDisc(CurveName&amp;T($C$26),AE1070)</f>
        <v>1.0057136836494684</v>
      </c>
      <c r="AH1070" s="127">
        <f t="shared" si="23"/>
        <v>0</v>
      </c>
    </row>
    <row r="1071" spans="30:34" x14ac:dyDescent="0.2">
      <c r="AD1071" s="13" t="s">
        <v>94</v>
      </c>
      <c r="AE1071" s="126">
        <f>_xll.qlCalendarAdvance(Calendar,AE1070,AD1071,BizDayConv)</f>
        <v>44265</v>
      </c>
      <c r="AF1071" s="125">
        <f>_xll.qlYieldTSDiscount($C$31,AE1071)</f>
        <v>1.0057071503389856</v>
      </c>
      <c r="AG1071" s="125">
        <f>_xll.xlShmInterpDisc(CurveName&amp;T($C$26),AE1071)</f>
        <v>1.0057071503389856</v>
      </c>
      <c r="AH1071" s="127">
        <f t="shared" si="23"/>
        <v>0</v>
      </c>
    </row>
    <row r="1072" spans="30:34" x14ac:dyDescent="0.2">
      <c r="AD1072" s="13" t="s">
        <v>94</v>
      </c>
      <c r="AE1072" s="126">
        <f>_xll.qlCalendarAdvance(Calendar,AE1071,AD1072,BizDayConv)</f>
        <v>44266</v>
      </c>
      <c r="AF1072" s="125">
        <f>_xll.qlYieldTSDiscount($C$31,AE1072)</f>
        <v>1.0057005918161448</v>
      </c>
      <c r="AG1072" s="125">
        <f>_xll.xlShmInterpDisc(CurveName&amp;T($C$26),AE1072)</f>
        <v>1.0057005918161448</v>
      </c>
      <c r="AH1072" s="127">
        <f t="shared" si="23"/>
        <v>0</v>
      </c>
    </row>
    <row r="1073" spans="30:34" x14ac:dyDescent="0.2">
      <c r="AD1073" s="13" t="s">
        <v>94</v>
      </c>
      <c r="AE1073" s="126">
        <f>_xll.qlCalendarAdvance(Calendar,AE1072,AD1073,BizDayConv)</f>
        <v>44267</v>
      </c>
      <c r="AF1073" s="125">
        <f>_xll.qlYieldTSDiscount($C$31,AE1073)</f>
        <v>1.0056940080952994</v>
      </c>
      <c r="AG1073" s="125">
        <f>_xll.xlShmInterpDisc(CurveName&amp;T($C$26),AE1073)</f>
        <v>1.0056940080952994</v>
      </c>
      <c r="AH1073" s="127">
        <f t="shared" si="23"/>
        <v>0</v>
      </c>
    </row>
    <row r="1074" spans="30:34" x14ac:dyDescent="0.2">
      <c r="AD1074" s="13" t="s">
        <v>94</v>
      </c>
      <c r="AE1074" s="126">
        <f>_xll.qlCalendarAdvance(Calendar,AE1073,AD1074,BizDayConv)</f>
        <v>44270</v>
      </c>
      <c r="AF1074" s="125">
        <f>_xll.qlYieldTSDiscount($C$31,AE1074)</f>
        <v>1.0056741058897425</v>
      </c>
      <c r="AG1074" s="125">
        <f>_xll.xlShmInterpDisc(CurveName&amp;T($C$26),AE1074)</f>
        <v>1.0056741058897425</v>
      </c>
      <c r="AH1074" s="127">
        <f t="shared" si="23"/>
        <v>0</v>
      </c>
    </row>
    <row r="1075" spans="30:34" x14ac:dyDescent="0.2">
      <c r="AD1075" s="13" t="s">
        <v>94</v>
      </c>
      <c r="AE1075" s="126">
        <f>_xll.qlCalendarAdvance(Calendar,AE1074,AD1075,BizDayConv)</f>
        <v>44271</v>
      </c>
      <c r="AF1075" s="125">
        <f>_xll.qlYieldTSDiscount($C$31,AE1075)</f>
        <v>1.005667421522376</v>
      </c>
      <c r="AG1075" s="125">
        <f>_xll.xlShmInterpDisc(CurveName&amp;T($C$26),AE1075)</f>
        <v>1.005667421522376</v>
      </c>
      <c r="AH1075" s="127">
        <f t="shared" si="23"/>
        <v>0</v>
      </c>
    </row>
    <row r="1076" spans="30:34" x14ac:dyDescent="0.2">
      <c r="AD1076" s="13" t="s">
        <v>94</v>
      </c>
      <c r="AE1076" s="126">
        <f>_xll.qlCalendarAdvance(Calendar,AE1075,AD1076,BizDayConv)</f>
        <v>44272</v>
      </c>
      <c r="AF1076" s="125">
        <f>_xll.qlYieldTSDiscount($C$31,AE1076)</f>
        <v>1.0056607120302437</v>
      </c>
      <c r="AG1076" s="125">
        <f>_xll.xlShmInterpDisc(CurveName&amp;T($C$26),AE1076)</f>
        <v>1.0056607120302437</v>
      </c>
      <c r="AH1076" s="127">
        <f t="shared" si="23"/>
        <v>0</v>
      </c>
    </row>
    <row r="1077" spans="30:34" x14ac:dyDescent="0.2">
      <c r="AD1077" s="13" t="s">
        <v>94</v>
      </c>
      <c r="AE1077" s="126">
        <f>_xll.qlCalendarAdvance(Calendar,AE1076,AD1077,BizDayConv)</f>
        <v>44273</v>
      </c>
      <c r="AF1077" s="125">
        <f>_xll.qlYieldTSDiscount($C$31,AE1077)</f>
        <v>1.005653977428288</v>
      </c>
      <c r="AG1077" s="125">
        <f>_xll.xlShmInterpDisc(CurveName&amp;T($C$26),AE1077)</f>
        <v>1.005653977428288</v>
      </c>
      <c r="AH1077" s="127">
        <f t="shared" si="23"/>
        <v>0</v>
      </c>
    </row>
    <row r="1078" spans="30:34" x14ac:dyDescent="0.2">
      <c r="AD1078" s="13" t="s">
        <v>94</v>
      </c>
      <c r="AE1078" s="126">
        <f>_xll.qlCalendarAdvance(Calendar,AE1077,AD1078,BizDayConv)</f>
        <v>44274</v>
      </c>
      <c r="AF1078" s="125">
        <f>_xll.qlYieldTSDiscount($C$31,AE1078)</f>
        <v>1.0056472177315487</v>
      </c>
      <c r="AG1078" s="125">
        <f>_xll.xlShmInterpDisc(CurveName&amp;T($C$26),AE1078)</f>
        <v>1.0056472177315487</v>
      </c>
      <c r="AH1078" s="127">
        <f t="shared" si="23"/>
        <v>0</v>
      </c>
    </row>
    <row r="1079" spans="30:34" x14ac:dyDescent="0.2">
      <c r="AD1079" s="13" t="s">
        <v>94</v>
      </c>
      <c r="AE1079" s="126">
        <f>_xll.qlCalendarAdvance(Calendar,AE1078,AD1079,BizDayConv)</f>
        <v>44277</v>
      </c>
      <c r="AF1079" s="125">
        <f>_xll.qlYieldTSDiscount($C$31,AE1079)</f>
        <v>1.0056267882245045</v>
      </c>
      <c r="AG1079" s="125">
        <f>_xll.xlShmInterpDisc(CurveName&amp;T($C$26),AE1079)</f>
        <v>1.0056267882245045</v>
      </c>
      <c r="AH1079" s="127">
        <f t="shared" si="23"/>
        <v>0</v>
      </c>
    </row>
    <row r="1080" spans="30:34" x14ac:dyDescent="0.2">
      <c r="AD1080" s="13" t="s">
        <v>94</v>
      </c>
      <c r="AE1080" s="126">
        <f>_xll.qlCalendarAdvance(Calendar,AE1079,AD1080,BizDayConv)</f>
        <v>44278</v>
      </c>
      <c r="AF1080" s="125">
        <f>_xll.qlYieldTSDiscount($C$31,AE1080)</f>
        <v>1.0056199283009954</v>
      </c>
      <c r="AG1080" s="125">
        <f>_xll.xlShmInterpDisc(CurveName&amp;T($C$26),AE1080)</f>
        <v>1.0056199283009954</v>
      </c>
      <c r="AH1080" s="127">
        <f t="shared" si="23"/>
        <v>0</v>
      </c>
    </row>
    <row r="1081" spans="30:34" x14ac:dyDescent="0.2">
      <c r="AD1081" s="13" t="s">
        <v>94</v>
      </c>
      <c r="AE1081" s="126">
        <f>_xll.qlCalendarAdvance(Calendar,AE1080,AD1081,BizDayConv)</f>
        <v>44279</v>
      </c>
      <c r="AF1081" s="125">
        <f>_xll.qlYieldTSDiscount($C$31,AE1081)</f>
        <v>1.0056130433593751</v>
      </c>
      <c r="AG1081" s="125">
        <f>_xll.xlShmInterpDisc(CurveName&amp;T($C$26),AE1081)</f>
        <v>1.0056130433593751</v>
      </c>
      <c r="AH1081" s="127">
        <f t="shared" si="23"/>
        <v>0</v>
      </c>
    </row>
    <row r="1082" spans="30:34" x14ac:dyDescent="0.2">
      <c r="AD1082" s="13" t="s">
        <v>94</v>
      </c>
      <c r="AE1082" s="126">
        <f>_xll.qlCalendarAdvance(Calendar,AE1081,AD1082,BizDayConv)</f>
        <v>44280</v>
      </c>
      <c r="AF1082" s="125">
        <f>_xll.qlYieldTSDiscount($C$31,AE1082)</f>
        <v>1.0056061334152719</v>
      </c>
      <c r="AG1082" s="125">
        <f>_xll.xlShmInterpDisc(CurveName&amp;T($C$26),AE1082)</f>
        <v>1.0056061334152719</v>
      </c>
      <c r="AH1082" s="127">
        <f t="shared" si="23"/>
        <v>0</v>
      </c>
    </row>
    <row r="1083" spans="30:34" x14ac:dyDescent="0.2">
      <c r="AD1083" s="13" t="s">
        <v>94</v>
      </c>
      <c r="AE1083" s="126">
        <f>_xll.qlCalendarAdvance(Calendar,AE1082,AD1083,BizDayConv)</f>
        <v>44281</v>
      </c>
      <c r="AF1083" s="125">
        <f>_xll.qlYieldTSDiscount($C$31,AE1083)</f>
        <v>1.0055991984844126</v>
      </c>
      <c r="AG1083" s="125">
        <f>_xll.xlShmInterpDisc(CurveName&amp;T($C$26),AE1083)</f>
        <v>1.0055991984844126</v>
      </c>
      <c r="AH1083" s="127">
        <f t="shared" si="23"/>
        <v>0</v>
      </c>
    </row>
    <row r="1084" spans="30:34" x14ac:dyDescent="0.2">
      <c r="AD1084" s="13" t="s">
        <v>94</v>
      </c>
      <c r="AE1084" s="126">
        <f>_xll.qlCalendarAdvance(Calendar,AE1083,AD1084,BizDayConv)</f>
        <v>44284</v>
      </c>
      <c r="AF1084" s="125">
        <f>_xll.qlYieldTSDiscount($C$31,AE1084)</f>
        <v>1.0055782439300343</v>
      </c>
      <c r="AG1084" s="125">
        <f>_xll.xlShmInterpDisc(CurveName&amp;T($C$26),AE1084)</f>
        <v>1.0055782439300343</v>
      </c>
      <c r="AH1084" s="127">
        <f t="shared" si="23"/>
        <v>0</v>
      </c>
    </row>
    <row r="1085" spans="30:34" x14ac:dyDescent="0.2">
      <c r="AD1085" s="13" t="s">
        <v>94</v>
      </c>
      <c r="AE1085" s="126">
        <f>_xll.qlCalendarAdvance(Calendar,AE1084,AD1085,BizDayConv)</f>
        <v>44285</v>
      </c>
      <c r="AF1085" s="125">
        <f>_xll.qlYieldTSDiscount($C$31,AE1085)</f>
        <v>1.0055712092113769</v>
      </c>
      <c r="AG1085" s="125">
        <f>_xll.xlShmInterpDisc(CurveName&amp;T($C$26),AE1085)</f>
        <v>1.0055712092113769</v>
      </c>
      <c r="AH1085" s="127">
        <f t="shared" si="23"/>
        <v>0</v>
      </c>
    </row>
    <row r="1086" spans="30:34" x14ac:dyDescent="0.2">
      <c r="AD1086" s="13" t="s">
        <v>94</v>
      </c>
      <c r="AE1086" s="126">
        <f>_xll.qlCalendarAdvance(Calendar,AE1085,AD1086,BizDayConv)</f>
        <v>44286</v>
      </c>
      <c r="AF1086" s="125">
        <f>_xll.qlYieldTSDiscount($C$31,AE1086)</f>
        <v>1.0055641495860665</v>
      </c>
      <c r="AG1086" s="125">
        <f>_xll.xlShmInterpDisc(CurveName&amp;T($C$26),AE1086)</f>
        <v>1.0055641495860665</v>
      </c>
      <c r="AH1086" s="127">
        <f t="shared" si="23"/>
        <v>0</v>
      </c>
    </row>
    <row r="1087" spans="30:34" x14ac:dyDescent="0.2">
      <c r="AD1087" s="13" t="s">
        <v>94</v>
      </c>
      <c r="AE1087" s="126">
        <f>_xll.qlCalendarAdvance(Calendar,AE1086,AD1087,BizDayConv)</f>
        <v>44287</v>
      </c>
      <c r="AF1087" s="125">
        <f>_xll.qlYieldTSDiscount($C$31,AE1087)</f>
        <v>1.0055570650704184</v>
      </c>
      <c r="AG1087" s="125">
        <f>_xll.xlShmInterpDisc(CurveName&amp;T($C$26),AE1087)</f>
        <v>1.0055570650704184</v>
      </c>
      <c r="AH1087" s="127">
        <f t="shared" si="23"/>
        <v>0</v>
      </c>
    </row>
    <row r="1088" spans="30:34" x14ac:dyDescent="0.2">
      <c r="AD1088" s="13" t="s">
        <v>94</v>
      </c>
      <c r="AE1088" s="126">
        <f>_xll.qlCalendarAdvance(Calendar,AE1087,AD1088,BizDayConv)</f>
        <v>44292</v>
      </c>
      <c r="AF1088" s="125">
        <f>_xll.qlYieldTSDiscount($C$31,AE1088)</f>
        <v>1.0055212697149778</v>
      </c>
      <c r="AG1088" s="125">
        <f>_xll.xlShmInterpDisc(CurveName&amp;T($C$26),AE1088)</f>
        <v>1.0055212697149778</v>
      </c>
      <c r="AH1088" s="127">
        <f t="shared" si="23"/>
        <v>0</v>
      </c>
    </row>
    <row r="1089" spans="30:34" x14ac:dyDescent="0.2">
      <c r="AD1089" s="13" t="s">
        <v>94</v>
      </c>
      <c r="AE1089" s="126">
        <f>_xll.qlCalendarAdvance(Calendar,AE1088,AD1089,BizDayConv)</f>
        <v>44293</v>
      </c>
      <c r="AF1089" s="125">
        <f>_xll.qlYieldTSDiscount($C$31,AE1089)</f>
        <v>1.005514036205396</v>
      </c>
      <c r="AG1089" s="125">
        <f>_xll.xlShmInterpDisc(CurveName&amp;T($C$26),AE1089)</f>
        <v>1.005514036205396</v>
      </c>
      <c r="AH1089" s="127">
        <f t="shared" si="23"/>
        <v>0</v>
      </c>
    </row>
    <row r="1090" spans="30:34" x14ac:dyDescent="0.2">
      <c r="AD1090" s="13" t="s">
        <v>94</v>
      </c>
      <c r="AE1090" s="126">
        <f>_xll.qlCalendarAdvance(Calendar,AE1089,AD1090,BizDayConv)</f>
        <v>44294</v>
      </c>
      <c r="AF1090" s="125">
        <f>_xll.qlYieldTSDiscount($C$31,AE1090)</f>
        <v>1.0055067779224223</v>
      </c>
      <c r="AG1090" s="125">
        <f>_xll.xlShmInterpDisc(CurveName&amp;T($C$26),AE1090)</f>
        <v>1.0055067779224223</v>
      </c>
      <c r="AH1090" s="127">
        <f t="shared" si="23"/>
        <v>0</v>
      </c>
    </row>
    <row r="1091" spans="30:34" x14ac:dyDescent="0.2">
      <c r="AD1091" s="13" t="s">
        <v>94</v>
      </c>
      <c r="AE1091" s="126">
        <f>_xll.qlCalendarAdvance(Calendar,AE1090,AD1091,BizDayConv)</f>
        <v>44295</v>
      </c>
      <c r="AF1091" s="125">
        <f>_xll.qlYieldTSDiscount($C$31,AE1091)</f>
        <v>1.0054994948831548</v>
      </c>
      <c r="AG1091" s="125">
        <f>_xll.xlShmInterpDisc(CurveName&amp;T($C$26),AE1091)</f>
        <v>1.0054994948831548</v>
      </c>
      <c r="AH1091" s="127">
        <f t="shared" si="23"/>
        <v>0</v>
      </c>
    </row>
    <row r="1092" spans="30:34" x14ac:dyDescent="0.2">
      <c r="AD1092" s="13" t="s">
        <v>94</v>
      </c>
      <c r="AE1092" s="126">
        <f>_xll.qlCalendarAdvance(Calendar,AE1091,AD1092,BizDayConv)</f>
        <v>44298</v>
      </c>
      <c r="AF1092" s="125">
        <f>_xll.qlYieldTSDiscount($C$31,AE1092)</f>
        <v>1.0054774974000431</v>
      </c>
      <c r="AG1092" s="125">
        <f>_xll.xlShmInterpDisc(CurveName&amp;T($C$26),AE1092)</f>
        <v>1.0054774974000431</v>
      </c>
      <c r="AH1092" s="127">
        <f t="shared" ref="AH1092:AH1155" si="24">(AF1092-AG1092)</f>
        <v>0</v>
      </c>
    </row>
    <row r="1093" spans="30:34" x14ac:dyDescent="0.2">
      <c r="AD1093" s="13" t="s">
        <v>94</v>
      </c>
      <c r="AE1093" s="126">
        <f>_xll.qlCalendarAdvance(Calendar,AE1092,AD1093,BizDayConv)</f>
        <v>44299</v>
      </c>
      <c r="AF1093" s="125">
        <f>_xll.qlYieldTSDiscount($C$31,AE1093)</f>
        <v>1.0054701155085433</v>
      </c>
      <c r="AG1093" s="125">
        <f>_xll.xlShmInterpDisc(CurveName&amp;T($C$26),AE1093)</f>
        <v>1.0054701155085433</v>
      </c>
      <c r="AH1093" s="127">
        <f t="shared" si="24"/>
        <v>0</v>
      </c>
    </row>
    <row r="1094" spans="30:34" x14ac:dyDescent="0.2">
      <c r="AD1094" s="13" t="s">
        <v>94</v>
      </c>
      <c r="AE1094" s="126">
        <f>_xll.qlCalendarAdvance(Calendar,AE1093,AD1094,BizDayConv)</f>
        <v>44300</v>
      </c>
      <c r="AF1094" s="125">
        <f>_xll.qlYieldTSDiscount($C$31,AE1094)</f>
        <v>1.0054627089477104</v>
      </c>
      <c r="AG1094" s="125">
        <f>_xll.xlShmInterpDisc(CurveName&amp;T($C$26),AE1094)</f>
        <v>1.0054627089477104</v>
      </c>
      <c r="AH1094" s="127">
        <f t="shared" si="24"/>
        <v>0</v>
      </c>
    </row>
    <row r="1095" spans="30:34" x14ac:dyDescent="0.2">
      <c r="AD1095" s="13" t="s">
        <v>94</v>
      </c>
      <c r="AE1095" s="126">
        <f>_xll.qlCalendarAdvance(Calendar,AE1094,AD1095,BizDayConv)</f>
        <v>44301</v>
      </c>
      <c r="AF1095" s="125">
        <f>_xll.qlYieldTSDiscount($C$31,AE1095)</f>
        <v>1.0054552777352306</v>
      </c>
      <c r="AG1095" s="125">
        <f>_xll.xlShmInterpDisc(CurveName&amp;T($C$26),AE1095)</f>
        <v>1.0054552777352306</v>
      </c>
      <c r="AH1095" s="127">
        <f t="shared" si="24"/>
        <v>0</v>
      </c>
    </row>
    <row r="1096" spans="30:34" x14ac:dyDescent="0.2">
      <c r="AD1096" s="13" t="s">
        <v>94</v>
      </c>
      <c r="AE1096" s="126">
        <f>_xll.qlCalendarAdvance(Calendar,AE1095,AD1096,BizDayConv)</f>
        <v>44302</v>
      </c>
      <c r="AF1096" s="125">
        <f>_xll.qlYieldTSDiscount($C$31,AE1096)</f>
        <v>1.0054478218888871</v>
      </c>
      <c r="AG1096" s="125">
        <f>_xll.xlShmInterpDisc(CurveName&amp;T($C$26),AE1096)</f>
        <v>1.0054478218888871</v>
      </c>
      <c r="AH1096" s="127">
        <f t="shared" si="24"/>
        <v>0</v>
      </c>
    </row>
    <row r="1097" spans="30:34" x14ac:dyDescent="0.2">
      <c r="AD1097" s="13" t="s">
        <v>94</v>
      </c>
      <c r="AE1097" s="126">
        <f>_xll.qlCalendarAdvance(Calendar,AE1096,AD1097,BizDayConv)</f>
        <v>44305</v>
      </c>
      <c r="AF1097" s="125">
        <f>_xll.qlYieldTSDiscount($C$31,AE1097)</f>
        <v>1.005425306725982</v>
      </c>
      <c r="AG1097" s="125">
        <f>_xll.xlShmInterpDisc(CurveName&amp;T($C$26),AE1097)</f>
        <v>1.005425306725982</v>
      </c>
      <c r="AH1097" s="127">
        <f t="shared" si="24"/>
        <v>0</v>
      </c>
    </row>
    <row r="1098" spans="30:34" x14ac:dyDescent="0.2">
      <c r="AD1098" s="13" t="s">
        <v>94</v>
      </c>
      <c r="AE1098" s="126">
        <f>_xll.qlCalendarAdvance(Calendar,AE1097,AD1098,BizDayConv)</f>
        <v>44306</v>
      </c>
      <c r="AF1098" s="125">
        <f>_xll.qlYieldTSDiscount($C$31,AE1098)</f>
        <v>1.0054177525239794</v>
      </c>
      <c r="AG1098" s="125">
        <f>_xll.xlShmInterpDisc(CurveName&amp;T($C$26),AE1098)</f>
        <v>1.0054177525239794</v>
      </c>
      <c r="AH1098" s="127">
        <f t="shared" si="24"/>
        <v>0</v>
      </c>
    </row>
    <row r="1099" spans="30:34" x14ac:dyDescent="0.2">
      <c r="AD1099" s="13" t="s">
        <v>94</v>
      </c>
      <c r="AE1099" s="126">
        <f>_xll.qlCalendarAdvance(Calendar,AE1098,AD1099,BizDayConv)</f>
        <v>44307</v>
      </c>
      <c r="AF1099" s="125">
        <f>_xll.qlYieldTSDiscount($C$31,AE1099)</f>
        <v>1.0054101737785002</v>
      </c>
      <c r="AG1099" s="125">
        <f>_xll.xlShmInterpDisc(CurveName&amp;T($C$26),AE1099)</f>
        <v>1.0054101737785002</v>
      </c>
      <c r="AH1099" s="127">
        <f t="shared" si="24"/>
        <v>0</v>
      </c>
    </row>
    <row r="1100" spans="30:34" x14ac:dyDescent="0.2">
      <c r="AD1100" s="13" t="s">
        <v>94</v>
      </c>
      <c r="AE1100" s="126">
        <f>_xll.qlCalendarAdvance(Calendar,AE1099,AD1100,BizDayConv)</f>
        <v>44308</v>
      </c>
      <c r="AF1100" s="125">
        <f>_xll.qlYieldTSDiscount($C$31,AE1100)</f>
        <v>1.0054025705079146</v>
      </c>
      <c r="AG1100" s="125">
        <f>_xll.xlShmInterpDisc(CurveName&amp;T($C$26),AE1100)</f>
        <v>1.0054025705079146</v>
      </c>
      <c r="AH1100" s="127">
        <f t="shared" si="24"/>
        <v>0</v>
      </c>
    </row>
    <row r="1101" spans="30:34" x14ac:dyDescent="0.2">
      <c r="AD1101" s="13" t="s">
        <v>94</v>
      </c>
      <c r="AE1101" s="126">
        <f>_xll.qlCalendarAdvance(Calendar,AE1100,AD1101,BizDayConv)</f>
        <v>44309</v>
      </c>
      <c r="AF1101" s="125">
        <f>_xll.qlYieldTSDiscount($C$31,AE1101)</f>
        <v>1.0053949427306921</v>
      </c>
      <c r="AG1101" s="125">
        <f>_xll.xlShmInterpDisc(CurveName&amp;T($C$26),AE1101)</f>
        <v>1.0053949427306921</v>
      </c>
      <c r="AH1101" s="127">
        <f t="shared" si="24"/>
        <v>0</v>
      </c>
    </row>
    <row r="1102" spans="30:34" x14ac:dyDescent="0.2">
      <c r="AD1102" s="13" t="s">
        <v>94</v>
      </c>
      <c r="AE1102" s="126">
        <f>_xll.qlCalendarAdvance(Calendar,AE1101,AD1102,BizDayConv)</f>
        <v>44312</v>
      </c>
      <c r="AF1102" s="125">
        <f>_xll.qlYieldTSDiscount($C$31,AE1102)</f>
        <v>1.0053719125453535</v>
      </c>
      <c r="AG1102" s="125">
        <f>_xll.xlShmInterpDisc(CurveName&amp;T($C$26),AE1102)</f>
        <v>1.0053719125453535</v>
      </c>
      <c r="AH1102" s="127">
        <f t="shared" si="24"/>
        <v>0</v>
      </c>
    </row>
    <row r="1103" spans="30:34" x14ac:dyDescent="0.2">
      <c r="AD1103" s="13" t="s">
        <v>94</v>
      </c>
      <c r="AE1103" s="126">
        <f>_xll.qlCalendarAdvance(Calendar,AE1102,AD1103,BizDayConv)</f>
        <v>44313</v>
      </c>
      <c r="AF1103" s="125">
        <f>_xll.qlYieldTSDiscount($C$31,AE1103)</f>
        <v>1.0053641869282244</v>
      </c>
      <c r="AG1103" s="125">
        <f>_xll.xlShmInterpDisc(CurveName&amp;T($C$26),AE1103)</f>
        <v>1.0053641869282244</v>
      </c>
      <c r="AH1103" s="127">
        <f t="shared" si="24"/>
        <v>0</v>
      </c>
    </row>
    <row r="1104" spans="30:34" x14ac:dyDescent="0.2">
      <c r="AD1104" s="13" t="s">
        <v>94</v>
      </c>
      <c r="AE1104" s="126">
        <f>_xll.qlCalendarAdvance(Calendar,AE1103,AD1104,BizDayConv)</f>
        <v>44314</v>
      </c>
      <c r="AF1104" s="125">
        <f>_xll.qlYieldTSDiscount($C$31,AE1104)</f>
        <v>1.0053564368982681</v>
      </c>
      <c r="AG1104" s="125">
        <f>_xll.xlShmInterpDisc(CurveName&amp;T($C$26),AE1104)</f>
        <v>1.0053564368982681</v>
      </c>
      <c r="AH1104" s="127">
        <f t="shared" si="24"/>
        <v>0</v>
      </c>
    </row>
    <row r="1105" spans="30:34" x14ac:dyDescent="0.2">
      <c r="AD1105" s="13" t="s">
        <v>94</v>
      </c>
      <c r="AE1105" s="126">
        <f>_xll.qlCalendarAdvance(Calendar,AE1104,AD1105,BizDayConv)</f>
        <v>44315</v>
      </c>
      <c r="AF1105" s="125">
        <f>_xll.qlYieldTSDiscount($C$31,AE1105)</f>
        <v>1.0053486624745407</v>
      </c>
      <c r="AG1105" s="125">
        <f>_xll.xlShmInterpDisc(CurveName&amp;T($C$26),AE1105)</f>
        <v>1.0053486624745407</v>
      </c>
      <c r="AH1105" s="127">
        <f t="shared" si="24"/>
        <v>0</v>
      </c>
    </row>
    <row r="1106" spans="30:34" x14ac:dyDescent="0.2">
      <c r="AD1106" s="13" t="s">
        <v>94</v>
      </c>
      <c r="AE1106" s="126">
        <f>_xll.qlCalendarAdvance(Calendar,AE1105,AD1106,BizDayConv)</f>
        <v>44316</v>
      </c>
      <c r="AF1106" s="125">
        <f>_xll.qlYieldTSDiscount($C$31,AE1106)</f>
        <v>1.0053408636761949</v>
      </c>
      <c r="AG1106" s="125">
        <f>_xll.xlShmInterpDisc(CurveName&amp;T($C$26),AE1106)</f>
        <v>1.0053408636761949</v>
      </c>
      <c r="AH1106" s="127">
        <f t="shared" si="24"/>
        <v>0</v>
      </c>
    </row>
    <row r="1107" spans="30:34" x14ac:dyDescent="0.2">
      <c r="AD1107" s="13" t="s">
        <v>94</v>
      </c>
      <c r="AE1107" s="126">
        <f>_xll.qlCalendarAdvance(Calendar,AE1106,AD1107,BizDayConv)</f>
        <v>44319</v>
      </c>
      <c r="AF1107" s="125">
        <f>_xll.qlYieldTSDiscount($C$31,AE1107)</f>
        <v>1.0053173212264466</v>
      </c>
      <c r="AG1107" s="125">
        <f>_xll.xlShmInterpDisc(CurveName&amp;T($C$26),AE1107)</f>
        <v>1.0053173212264466</v>
      </c>
      <c r="AH1107" s="127">
        <f t="shared" si="24"/>
        <v>0</v>
      </c>
    </row>
    <row r="1108" spans="30:34" x14ac:dyDescent="0.2">
      <c r="AD1108" s="13" t="s">
        <v>94</v>
      </c>
      <c r="AE1108" s="126">
        <f>_xll.qlCalendarAdvance(Calendar,AE1107,AD1108,BizDayConv)</f>
        <v>44320</v>
      </c>
      <c r="AF1108" s="125">
        <f>_xll.qlYieldTSDiscount($C$31,AE1108)</f>
        <v>1.0053094251231152</v>
      </c>
      <c r="AG1108" s="125">
        <f>_xll.xlShmInterpDisc(CurveName&amp;T($C$26),AE1108)</f>
        <v>1.0053094251231152</v>
      </c>
      <c r="AH1108" s="127">
        <f t="shared" si="24"/>
        <v>0</v>
      </c>
    </row>
    <row r="1109" spans="30:34" x14ac:dyDescent="0.2">
      <c r="AD1109" s="13" t="s">
        <v>94</v>
      </c>
      <c r="AE1109" s="126">
        <f>_xll.qlCalendarAdvance(Calendar,AE1108,AD1109,BizDayConv)</f>
        <v>44321</v>
      </c>
      <c r="AF1109" s="125">
        <f>_xll.qlYieldTSDiscount($C$31,AE1109)</f>
        <v>1.0053015047423979</v>
      </c>
      <c r="AG1109" s="125">
        <f>_xll.xlShmInterpDisc(CurveName&amp;T($C$26),AE1109)</f>
        <v>1.0053015047423979</v>
      </c>
      <c r="AH1109" s="127">
        <f t="shared" si="24"/>
        <v>0</v>
      </c>
    </row>
    <row r="1110" spans="30:34" x14ac:dyDescent="0.2">
      <c r="AD1110" s="13" t="s">
        <v>94</v>
      </c>
      <c r="AE1110" s="126">
        <f>_xll.qlCalendarAdvance(Calendar,AE1109,AD1110,BizDayConv)</f>
        <v>44322</v>
      </c>
      <c r="AF1110" s="125">
        <f>_xll.qlYieldTSDiscount($C$31,AE1110)</f>
        <v>1.0052935601040345</v>
      </c>
      <c r="AG1110" s="125">
        <f>_xll.xlShmInterpDisc(CurveName&amp;T($C$26),AE1110)</f>
        <v>1.0052935601040345</v>
      </c>
      <c r="AH1110" s="127">
        <f t="shared" si="24"/>
        <v>0</v>
      </c>
    </row>
    <row r="1111" spans="30:34" x14ac:dyDescent="0.2">
      <c r="AD1111" s="13" t="s">
        <v>94</v>
      </c>
      <c r="AE1111" s="126">
        <f>_xll.qlCalendarAdvance(Calendar,AE1110,AD1111,BizDayConv)</f>
        <v>44323</v>
      </c>
      <c r="AF1111" s="125">
        <f>_xll.qlYieldTSDiscount($C$31,AE1111)</f>
        <v>1.005285591227862</v>
      </c>
      <c r="AG1111" s="125">
        <f>_xll.xlShmInterpDisc(CurveName&amp;T($C$26),AE1111)</f>
        <v>1.005285591227862</v>
      </c>
      <c r="AH1111" s="127">
        <f t="shared" si="24"/>
        <v>0</v>
      </c>
    </row>
    <row r="1112" spans="30:34" x14ac:dyDescent="0.2">
      <c r="AD1112" s="13" t="s">
        <v>94</v>
      </c>
      <c r="AE1112" s="126">
        <f>_xll.qlCalendarAdvance(Calendar,AE1111,AD1112,BizDayConv)</f>
        <v>44326</v>
      </c>
      <c r="AF1112" s="125">
        <f>_xll.qlYieldTSDiscount($C$31,AE1112)</f>
        <v>1.005261539372331</v>
      </c>
      <c r="AG1112" s="125">
        <f>_xll.xlShmInterpDisc(CurveName&amp;T($C$26),AE1112)</f>
        <v>1.005261539372331</v>
      </c>
      <c r="AH1112" s="127">
        <f t="shared" si="24"/>
        <v>0</v>
      </c>
    </row>
    <row r="1113" spans="30:34" x14ac:dyDescent="0.2">
      <c r="AD1113" s="13" t="s">
        <v>94</v>
      </c>
      <c r="AE1113" s="126">
        <f>_xll.qlCalendarAdvance(Calendar,AE1112,AD1113,BizDayConv)</f>
        <v>44327</v>
      </c>
      <c r="AF1113" s="125">
        <f>_xll.qlYieldTSDiscount($C$31,AE1113)</f>
        <v>1.005253473745251</v>
      </c>
      <c r="AG1113" s="125">
        <f>_xll.xlShmInterpDisc(CurveName&amp;T($C$26),AE1113)</f>
        <v>1.005253473745251</v>
      </c>
      <c r="AH1113" s="127">
        <f t="shared" si="24"/>
        <v>0</v>
      </c>
    </row>
    <row r="1114" spans="30:34" x14ac:dyDescent="0.2">
      <c r="AD1114" s="13" t="s">
        <v>94</v>
      </c>
      <c r="AE1114" s="126">
        <f>_xll.qlCalendarAdvance(Calendar,AE1113,AD1114,BizDayConv)</f>
        <v>44328</v>
      </c>
      <c r="AF1114" s="125">
        <f>_xll.qlYieldTSDiscount($C$31,AE1114)</f>
        <v>1.005245383981014</v>
      </c>
      <c r="AG1114" s="125">
        <f>_xll.xlShmInterpDisc(CurveName&amp;T($C$26),AE1114)</f>
        <v>1.005245383981014</v>
      </c>
      <c r="AH1114" s="127">
        <f t="shared" si="24"/>
        <v>0</v>
      </c>
    </row>
    <row r="1115" spans="30:34" x14ac:dyDescent="0.2">
      <c r="AD1115" s="13" t="s">
        <v>94</v>
      </c>
      <c r="AE1115" s="126">
        <f>_xll.qlCalendarAdvance(Calendar,AE1114,AD1115,BizDayConv)</f>
        <v>44329</v>
      </c>
      <c r="AF1115" s="125">
        <f>_xll.qlYieldTSDiscount($C$31,AE1115)</f>
        <v>1.005237270100044</v>
      </c>
      <c r="AG1115" s="125">
        <f>_xll.xlShmInterpDisc(CurveName&amp;T($C$26),AE1115)</f>
        <v>1.005237270100044</v>
      </c>
      <c r="AH1115" s="127">
        <f t="shared" si="24"/>
        <v>0</v>
      </c>
    </row>
    <row r="1116" spans="30:34" x14ac:dyDescent="0.2">
      <c r="AD1116" s="13" t="s">
        <v>94</v>
      </c>
      <c r="AE1116" s="126">
        <f>_xll.qlCalendarAdvance(Calendar,AE1115,AD1116,BizDayConv)</f>
        <v>44330</v>
      </c>
      <c r="AF1116" s="125">
        <f>_xll.qlYieldTSDiscount($C$31,AE1116)</f>
        <v>1.0052291321228619</v>
      </c>
      <c r="AG1116" s="125">
        <f>_xll.xlShmInterpDisc(CurveName&amp;T($C$26),AE1116)</f>
        <v>1.0052291321228619</v>
      </c>
      <c r="AH1116" s="127">
        <f t="shared" si="24"/>
        <v>0</v>
      </c>
    </row>
    <row r="1117" spans="30:34" x14ac:dyDescent="0.2">
      <c r="AD1117" s="13" t="s">
        <v>94</v>
      </c>
      <c r="AE1117" s="126">
        <f>_xll.qlCalendarAdvance(Calendar,AE1116,AD1117,BizDayConv)</f>
        <v>44333</v>
      </c>
      <c r="AF1117" s="125">
        <f>_xll.qlYieldTSDiscount($C$31,AE1117)</f>
        <v>1.0052045738207183</v>
      </c>
      <c r="AG1117" s="125">
        <f>_xll.xlShmInterpDisc(CurveName&amp;T($C$26),AE1117)</f>
        <v>1.0052045738207183</v>
      </c>
      <c r="AH1117" s="127">
        <f t="shared" si="24"/>
        <v>0</v>
      </c>
    </row>
    <row r="1118" spans="30:34" x14ac:dyDescent="0.2">
      <c r="AD1118" s="13" t="s">
        <v>94</v>
      </c>
      <c r="AE1118" s="126">
        <f>_xll.qlCalendarAdvance(Calendar,AE1117,AD1118,BizDayConv)</f>
        <v>44334</v>
      </c>
      <c r="AF1118" s="125">
        <f>_xll.qlYieldTSDiscount($C$31,AE1118)</f>
        <v>1.0051963396658512</v>
      </c>
      <c r="AG1118" s="125">
        <f>_xll.xlShmInterpDisc(CurveName&amp;T($C$26),AE1118)</f>
        <v>1.0051963396658512</v>
      </c>
      <c r="AH1118" s="127">
        <f t="shared" si="24"/>
        <v>0</v>
      </c>
    </row>
    <row r="1119" spans="30:34" x14ac:dyDescent="0.2">
      <c r="AD1119" s="13" t="s">
        <v>94</v>
      </c>
      <c r="AE1119" s="126">
        <f>_xll.qlCalendarAdvance(Calendar,AE1118,AD1119,BizDayConv)</f>
        <v>44335</v>
      </c>
      <c r="AF1119" s="125">
        <f>_xll.qlYieldTSDiscount($C$31,AE1119)</f>
        <v>1.0051880815188421</v>
      </c>
      <c r="AG1119" s="125">
        <f>_xll.xlShmInterpDisc(CurveName&amp;T($C$26),AE1119)</f>
        <v>1.0051880815188421</v>
      </c>
      <c r="AH1119" s="127">
        <f t="shared" si="24"/>
        <v>0</v>
      </c>
    </row>
    <row r="1120" spans="30:34" x14ac:dyDescent="0.2">
      <c r="AD1120" s="13" t="s">
        <v>94</v>
      </c>
      <c r="AE1120" s="126">
        <f>_xll.qlCalendarAdvance(Calendar,AE1119,AD1120,BizDayConv)</f>
        <v>44336</v>
      </c>
      <c r="AF1120" s="125">
        <f>_xll.qlYieldTSDiscount($C$31,AE1120)</f>
        <v>1.0051797994007976</v>
      </c>
      <c r="AG1120" s="125">
        <f>_xll.xlShmInterpDisc(CurveName&amp;T($C$26),AE1120)</f>
        <v>1.0051797994007976</v>
      </c>
      <c r="AH1120" s="127">
        <f t="shared" si="24"/>
        <v>0</v>
      </c>
    </row>
    <row r="1121" spans="30:34" x14ac:dyDescent="0.2">
      <c r="AD1121" s="13" t="s">
        <v>94</v>
      </c>
      <c r="AE1121" s="126">
        <f>_xll.qlCalendarAdvance(Calendar,AE1120,AD1121,BizDayConv)</f>
        <v>44337</v>
      </c>
      <c r="AF1121" s="125">
        <f>_xll.qlYieldTSDiscount($C$31,AE1121)</f>
        <v>1.0051714933329221</v>
      </c>
      <c r="AG1121" s="125">
        <f>_xll.xlShmInterpDisc(CurveName&amp;T($C$26),AE1121)</f>
        <v>1.0051714933329221</v>
      </c>
      <c r="AH1121" s="127">
        <f t="shared" si="24"/>
        <v>0</v>
      </c>
    </row>
    <row r="1122" spans="30:34" x14ac:dyDescent="0.2">
      <c r="AD1122" s="13" t="s">
        <v>94</v>
      </c>
      <c r="AE1122" s="126">
        <f>_xll.qlCalendarAdvance(Calendar,AE1121,AD1122,BizDayConv)</f>
        <v>44340</v>
      </c>
      <c r="AF1122" s="125">
        <f>_xll.qlYieldTSDiscount($C$31,AE1122)</f>
        <v>1.0051464316438172</v>
      </c>
      <c r="AG1122" s="125">
        <f>_xll.xlShmInterpDisc(CurveName&amp;T($C$26),AE1122)</f>
        <v>1.0051464316438172</v>
      </c>
      <c r="AH1122" s="127">
        <f t="shared" si="24"/>
        <v>0</v>
      </c>
    </row>
    <row r="1123" spans="30:34" x14ac:dyDescent="0.2">
      <c r="AD1123" s="13" t="s">
        <v>94</v>
      </c>
      <c r="AE1123" s="126">
        <f>_xll.qlCalendarAdvance(Calendar,AE1122,AD1123,BizDayConv)</f>
        <v>44341</v>
      </c>
      <c r="AF1123" s="125">
        <f>_xll.qlYieldTSDiscount($C$31,AE1123)</f>
        <v>1.0051380299906132</v>
      </c>
      <c r="AG1123" s="125">
        <f>_xll.xlShmInterpDisc(CurveName&amp;T($C$26),AE1123)</f>
        <v>1.0051380299906132</v>
      </c>
      <c r="AH1123" s="127">
        <f t="shared" si="24"/>
        <v>0</v>
      </c>
    </row>
    <row r="1124" spans="30:34" x14ac:dyDescent="0.2">
      <c r="AD1124" s="13" t="s">
        <v>94</v>
      </c>
      <c r="AE1124" s="126">
        <f>_xll.qlCalendarAdvance(Calendar,AE1123,AD1124,BizDayConv)</f>
        <v>44342</v>
      </c>
      <c r="AF1124" s="125">
        <f>_xll.qlYieldTSDiscount($C$31,AE1124)</f>
        <v>1.0051296044950635</v>
      </c>
      <c r="AG1124" s="125">
        <f>_xll.xlShmInterpDisc(CurveName&amp;T($C$26),AE1124)</f>
        <v>1.0051296044950635</v>
      </c>
      <c r="AH1124" s="127">
        <f t="shared" si="24"/>
        <v>0</v>
      </c>
    </row>
    <row r="1125" spans="30:34" x14ac:dyDescent="0.2">
      <c r="AD1125" s="13" t="s">
        <v>94</v>
      </c>
      <c r="AE1125" s="126">
        <f>_xll.qlCalendarAdvance(Calendar,AE1124,AD1125,BizDayConv)</f>
        <v>44343</v>
      </c>
      <c r="AF1125" s="125">
        <f>_xll.qlYieldTSDiscount($C$31,AE1125)</f>
        <v>1.0051211551789583</v>
      </c>
      <c r="AG1125" s="125">
        <f>_xll.xlShmInterpDisc(CurveName&amp;T($C$26),AE1125)</f>
        <v>1.0051211551789583</v>
      </c>
      <c r="AH1125" s="127">
        <f t="shared" si="24"/>
        <v>0</v>
      </c>
    </row>
    <row r="1126" spans="30:34" x14ac:dyDescent="0.2">
      <c r="AD1126" s="13" t="s">
        <v>94</v>
      </c>
      <c r="AE1126" s="126">
        <f>_xll.qlCalendarAdvance(Calendar,AE1125,AD1126,BizDayConv)</f>
        <v>44344</v>
      </c>
      <c r="AF1126" s="125">
        <f>_xll.qlYieldTSDiscount($C$31,AE1126)</f>
        <v>1.0051126820641842</v>
      </c>
      <c r="AG1126" s="125">
        <f>_xll.xlShmInterpDisc(CurveName&amp;T($C$26),AE1126)</f>
        <v>1.0051126820641842</v>
      </c>
      <c r="AH1126" s="127">
        <f t="shared" si="24"/>
        <v>0</v>
      </c>
    </row>
    <row r="1127" spans="30:34" x14ac:dyDescent="0.2">
      <c r="AD1127" s="13" t="s">
        <v>94</v>
      </c>
      <c r="AE1127" s="126">
        <f>_xll.qlCalendarAdvance(Calendar,AE1126,AD1127,BizDayConv)</f>
        <v>44347</v>
      </c>
      <c r="AF1127" s="125">
        <f>_xll.qlYieldTSDiscount($C$31,AE1127)</f>
        <v>1.005087120148187</v>
      </c>
      <c r="AG1127" s="125">
        <f>_xll.xlShmInterpDisc(CurveName&amp;T($C$26),AE1127)</f>
        <v>1.005087120148187</v>
      </c>
      <c r="AH1127" s="127">
        <f t="shared" si="24"/>
        <v>0</v>
      </c>
    </row>
    <row r="1128" spans="30:34" x14ac:dyDescent="0.2">
      <c r="AD1128" s="13" t="s">
        <v>94</v>
      </c>
      <c r="AE1128" s="126">
        <f>_xll.qlCalendarAdvance(Calendar,AE1127,AD1128,BizDayConv)</f>
        <v>44348</v>
      </c>
      <c r="AF1128" s="125">
        <f>_xll.qlYieldTSDiscount($C$31,AE1128)</f>
        <v>1.0050785520595618</v>
      </c>
      <c r="AG1128" s="125">
        <f>_xll.xlShmInterpDisc(CurveName&amp;T($C$26),AE1128)</f>
        <v>1.0050785520595618</v>
      </c>
      <c r="AH1128" s="127">
        <f t="shared" si="24"/>
        <v>0</v>
      </c>
    </row>
    <row r="1129" spans="30:34" x14ac:dyDescent="0.2">
      <c r="AD1129" s="13" t="s">
        <v>94</v>
      </c>
      <c r="AE1129" s="126">
        <f>_xll.qlCalendarAdvance(Calendar,AE1128,AD1129,BizDayConv)</f>
        <v>44349</v>
      </c>
      <c r="AF1129" s="125">
        <f>_xll.qlYieldTSDiscount($C$31,AE1129)</f>
        <v>1.005069960283167</v>
      </c>
      <c r="AG1129" s="125">
        <f>_xll.xlShmInterpDisc(CurveName&amp;T($C$26),AE1129)</f>
        <v>1.005069960283167</v>
      </c>
      <c r="AH1129" s="127">
        <f t="shared" si="24"/>
        <v>0</v>
      </c>
    </row>
    <row r="1130" spans="30:34" x14ac:dyDescent="0.2">
      <c r="AD1130" s="13" t="s">
        <v>94</v>
      </c>
      <c r="AE1130" s="126">
        <f>_xll.qlCalendarAdvance(Calendar,AE1129,AD1130,BizDayConv)</f>
        <v>44350</v>
      </c>
      <c r="AF1130" s="125">
        <f>_xll.qlYieldTSDiscount($C$31,AE1130)</f>
        <v>1.0050613448414745</v>
      </c>
      <c r="AG1130" s="125">
        <f>_xll.xlShmInterpDisc(CurveName&amp;T($C$26),AE1130)</f>
        <v>1.0050613448414745</v>
      </c>
      <c r="AH1130" s="127">
        <f t="shared" si="24"/>
        <v>0</v>
      </c>
    </row>
    <row r="1131" spans="30:34" x14ac:dyDescent="0.2">
      <c r="AD1131" s="13" t="s">
        <v>94</v>
      </c>
      <c r="AE1131" s="126">
        <f>_xll.qlCalendarAdvance(Calendar,AE1130,AD1131,BizDayConv)</f>
        <v>44351</v>
      </c>
      <c r="AF1131" s="125">
        <f>_xll.qlYieldTSDiscount($C$31,AE1131)</f>
        <v>1.0050527057570544</v>
      </c>
      <c r="AG1131" s="125">
        <f>_xll.xlShmInterpDisc(CurveName&amp;T($C$26),AE1131)</f>
        <v>1.0050527057570544</v>
      </c>
      <c r="AH1131" s="127">
        <f t="shared" si="24"/>
        <v>0</v>
      </c>
    </row>
    <row r="1132" spans="30:34" x14ac:dyDescent="0.2">
      <c r="AD1132" s="13" t="s">
        <v>94</v>
      </c>
      <c r="AE1132" s="126">
        <f>_xll.qlCalendarAdvance(Calendar,AE1131,AD1132,BizDayConv)</f>
        <v>44354</v>
      </c>
      <c r="AF1132" s="125">
        <f>_xll.qlYieldTSDiscount($C$31,AE1132)</f>
        <v>1.0050266468745854</v>
      </c>
      <c r="AG1132" s="125">
        <f>_xll.xlShmInterpDisc(CurveName&amp;T($C$26),AE1132)</f>
        <v>1.0050266468745854</v>
      </c>
      <c r="AH1132" s="127">
        <f t="shared" si="24"/>
        <v>0</v>
      </c>
    </row>
    <row r="1133" spans="30:34" x14ac:dyDescent="0.2">
      <c r="AD1133" s="13" t="s">
        <v>94</v>
      </c>
      <c r="AE1133" s="126">
        <f>_xll.qlCalendarAdvance(Calendar,AE1132,AD1133,BizDayConv)</f>
        <v>44355</v>
      </c>
      <c r="AF1133" s="125">
        <f>_xll.qlYieldTSDiscount($C$31,AE1133)</f>
        <v>1.0050179134468995</v>
      </c>
      <c r="AG1133" s="125">
        <f>_xll.xlShmInterpDisc(CurveName&amp;T($C$26),AE1133)</f>
        <v>1.0050179134468995</v>
      </c>
      <c r="AH1133" s="127">
        <f t="shared" si="24"/>
        <v>0</v>
      </c>
    </row>
    <row r="1134" spans="30:34" x14ac:dyDescent="0.2">
      <c r="AD1134" s="13" t="s">
        <v>94</v>
      </c>
      <c r="AE1134" s="126">
        <f>_xll.qlCalendarAdvance(Calendar,AE1133,AD1134,BizDayConv)</f>
        <v>44356</v>
      </c>
      <c r="AF1134" s="125">
        <f>_xll.qlYieldTSDiscount($C$31,AE1134)</f>
        <v>1.0050091564907957</v>
      </c>
      <c r="AG1134" s="125">
        <f>_xll.xlShmInterpDisc(CurveName&amp;T($C$26),AE1134)</f>
        <v>1.0050091564907957</v>
      </c>
      <c r="AH1134" s="127">
        <f t="shared" si="24"/>
        <v>0</v>
      </c>
    </row>
    <row r="1135" spans="30:34" x14ac:dyDescent="0.2">
      <c r="AD1135" s="13" t="s">
        <v>94</v>
      </c>
      <c r="AE1135" s="126">
        <f>_xll.qlCalendarAdvance(Calendar,AE1134,AD1135,BizDayConv)</f>
        <v>44357</v>
      </c>
      <c r="AF1135" s="125">
        <f>_xll.qlYieldTSDiscount($C$31,AE1135)</f>
        <v>1.0050003760294284</v>
      </c>
      <c r="AG1135" s="125">
        <f>_xll.xlShmInterpDisc(CurveName&amp;T($C$26),AE1135)</f>
        <v>1.0050003760294284</v>
      </c>
      <c r="AH1135" s="127">
        <f t="shared" si="24"/>
        <v>0</v>
      </c>
    </row>
    <row r="1136" spans="30:34" x14ac:dyDescent="0.2">
      <c r="AD1136" s="13" t="s">
        <v>94</v>
      </c>
      <c r="AE1136" s="126">
        <f>_xll.qlCalendarAdvance(Calendar,AE1135,AD1136,BizDayConv)</f>
        <v>44358</v>
      </c>
      <c r="AF1136" s="125">
        <f>_xll.qlYieldTSDiscount($C$31,AE1136)</f>
        <v>1.0049915720860487</v>
      </c>
      <c r="AG1136" s="125">
        <f>_xll.xlShmInterpDisc(CurveName&amp;T($C$26),AE1136)</f>
        <v>1.0049915720860487</v>
      </c>
      <c r="AH1136" s="127">
        <f t="shared" si="24"/>
        <v>0</v>
      </c>
    </row>
    <row r="1137" spans="30:34" x14ac:dyDescent="0.2">
      <c r="AD1137" s="13" t="s">
        <v>94</v>
      </c>
      <c r="AE1137" s="126">
        <f>_xll.qlCalendarAdvance(Calendar,AE1136,AD1137,BizDayConv)</f>
        <v>44361</v>
      </c>
      <c r="AF1137" s="125">
        <f>_xll.qlYieldTSDiscount($C$31,AE1137)</f>
        <v>1.0049650195978148</v>
      </c>
      <c r="AG1137" s="125">
        <f>_xll.xlShmInterpDisc(CurveName&amp;T($C$26),AE1137)</f>
        <v>1.0049650195978148</v>
      </c>
      <c r="AH1137" s="127">
        <f t="shared" si="24"/>
        <v>0</v>
      </c>
    </row>
    <row r="1138" spans="30:34" x14ac:dyDescent="0.2">
      <c r="AD1138" s="13" t="s">
        <v>94</v>
      </c>
      <c r="AE1138" s="126">
        <f>_xll.qlCalendarAdvance(Calendar,AE1137,AD1138,BizDayConv)</f>
        <v>44362</v>
      </c>
      <c r="AF1138" s="125">
        <f>_xll.qlYieldTSDiscount($C$31,AE1138)</f>
        <v>1.0049561219608507</v>
      </c>
      <c r="AG1138" s="125">
        <f>_xll.xlShmInterpDisc(CurveName&amp;T($C$26),AE1138)</f>
        <v>1.0049561219608507</v>
      </c>
      <c r="AH1138" s="127">
        <f t="shared" si="24"/>
        <v>0</v>
      </c>
    </row>
    <row r="1139" spans="30:34" x14ac:dyDescent="0.2">
      <c r="AD1139" s="13" t="s">
        <v>94</v>
      </c>
      <c r="AE1139" s="126">
        <f>_xll.qlCalendarAdvance(Calendar,AE1138,AD1139,BizDayConv)</f>
        <v>44363</v>
      </c>
      <c r="AF1139" s="125">
        <f>_xll.qlYieldTSDiscount($C$31,AE1139)</f>
        <v>1.0049472009595934</v>
      </c>
      <c r="AG1139" s="125">
        <f>_xll.xlShmInterpDisc(CurveName&amp;T($C$26),AE1139)</f>
        <v>1.0049472009595934</v>
      </c>
      <c r="AH1139" s="127">
        <f t="shared" si="24"/>
        <v>0</v>
      </c>
    </row>
    <row r="1140" spans="30:34" x14ac:dyDescent="0.2">
      <c r="AD1140" s="13" t="s">
        <v>94</v>
      </c>
      <c r="AE1140" s="126">
        <f>_xll.qlCalendarAdvance(Calendar,AE1139,AD1140,BizDayConv)</f>
        <v>44364</v>
      </c>
      <c r="AF1140" s="125">
        <f>_xll.qlYieldTSDiscount($C$31,AE1140)</f>
        <v>1.0049382566178784</v>
      </c>
      <c r="AG1140" s="125">
        <f>_xll.xlShmInterpDisc(CurveName&amp;T($C$26),AE1140)</f>
        <v>1.0049382566178784</v>
      </c>
      <c r="AH1140" s="127">
        <f t="shared" si="24"/>
        <v>0</v>
      </c>
    </row>
    <row r="1141" spans="30:34" x14ac:dyDescent="0.2">
      <c r="AD1141" s="13" t="s">
        <v>94</v>
      </c>
      <c r="AE1141" s="126">
        <f>_xll.qlCalendarAdvance(Calendar,AE1140,AD1141,BizDayConv)</f>
        <v>44365</v>
      </c>
      <c r="AF1141" s="125">
        <f>_xll.qlYieldTSDiscount($C$31,AE1141)</f>
        <v>1.0049292889596388</v>
      </c>
      <c r="AG1141" s="125">
        <f>_xll.xlShmInterpDisc(CurveName&amp;T($C$26),AE1141)</f>
        <v>1.0049292889596388</v>
      </c>
      <c r="AH1141" s="127">
        <f t="shared" si="24"/>
        <v>0</v>
      </c>
    </row>
    <row r="1142" spans="30:34" x14ac:dyDescent="0.2">
      <c r="AD1142" s="13" t="s">
        <v>94</v>
      </c>
      <c r="AE1142" s="126">
        <f>_xll.qlCalendarAdvance(Calendar,AE1141,AD1142,BizDayConv)</f>
        <v>44368</v>
      </c>
      <c r="AF1142" s="125">
        <f>_xll.qlYieldTSDiscount($C$31,AE1142)</f>
        <v>1.0049022463265636</v>
      </c>
      <c r="AG1142" s="125">
        <f>_xll.xlShmInterpDisc(CurveName&amp;T($C$26),AE1142)</f>
        <v>1.0049022463265636</v>
      </c>
      <c r="AH1142" s="127">
        <f t="shared" si="24"/>
        <v>0</v>
      </c>
    </row>
    <row r="1143" spans="30:34" x14ac:dyDescent="0.2">
      <c r="AD1143" s="13" t="s">
        <v>94</v>
      </c>
      <c r="AE1143" s="126">
        <f>_xll.qlCalendarAdvance(Calendar,AE1142,AD1143,BizDayConv)</f>
        <v>44369</v>
      </c>
      <c r="AF1143" s="125">
        <f>_xll.qlYieldTSDiscount($C$31,AE1143)</f>
        <v>1.0048931856435033</v>
      </c>
      <c r="AG1143" s="125">
        <f>_xll.xlShmInterpDisc(CurveName&amp;T($C$26),AE1143)</f>
        <v>1.0048931856435033</v>
      </c>
      <c r="AH1143" s="127">
        <f t="shared" si="24"/>
        <v>0</v>
      </c>
    </row>
    <row r="1144" spans="30:34" x14ac:dyDescent="0.2">
      <c r="AD1144" s="13" t="s">
        <v>94</v>
      </c>
      <c r="AE1144" s="126">
        <f>_xll.qlCalendarAdvance(Calendar,AE1143,AD1144,BizDayConv)</f>
        <v>44370</v>
      </c>
      <c r="AF1144" s="125">
        <f>_xll.qlYieldTSDiscount($C$31,AE1144)</f>
        <v>1.0048841017650432</v>
      </c>
      <c r="AG1144" s="125">
        <f>_xll.xlShmInterpDisc(CurveName&amp;T($C$26),AE1144)</f>
        <v>1.0048841017650432</v>
      </c>
      <c r="AH1144" s="127">
        <f t="shared" si="24"/>
        <v>0</v>
      </c>
    </row>
    <row r="1145" spans="30:34" x14ac:dyDescent="0.2">
      <c r="AD1145" s="13" t="s">
        <v>94</v>
      </c>
      <c r="AE1145" s="126">
        <f>_xll.qlCalendarAdvance(Calendar,AE1144,AD1145,BizDayConv)</f>
        <v>44371</v>
      </c>
      <c r="AF1145" s="125">
        <f>_xll.qlYieldTSDiscount($C$31,AE1145)</f>
        <v>1.0048749947157007</v>
      </c>
      <c r="AG1145" s="125">
        <f>_xll.xlShmInterpDisc(CurveName&amp;T($C$26),AE1145)</f>
        <v>1.0048749947157007</v>
      </c>
      <c r="AH1145" s="127">
        <f t="shared" si="24"/>
        <v>0</v>
      </c>
    </row>
    <row r="1146" spans="30:34" x14ac:dyDescent="0.2">
      <c r="AD1146" s="13" t="s">
        <v>94</v>
      </c>
      <c r="AE1146" s="126">
        <f>_xll.qlCalendarAdvance(Calendar,AE1145,AD1146,BizDayConv)</f>
        <v>44372</v>
      </c>
      <c r="AF1146" s="125">
        <f>_xll.qlYieldTSDiscount($C$31,AE1146)</f>
        <v>1.0048658645200896</v>
      </c>
      <c r="AG1146" s="125">
        <f>_xll.xlShmInterpDisc(CurveName&amp;T($C$26),AE1146)</f>
        <v>1.0048658645200896</v>
      </c>
      <c r="AH1146" s="127">
        <f t="shared" si="24"/>
        <v>0</v>
      </c>
    </row>
    <row r="1147" spans="30:34" x14ac:dyDescent="0.2">
      <c r="AD1147" s="13" t="s">
        <v>94</v>
      </c>
      <c r="AE1147" s="126">
        <f>_xll.qlCalendarAdvance(Calendar,AE1146,AD1147,BizDayConv)</f>
        <v>44375</v>
      </c>
      <c r="AF1147" s="125">
        <f>_xll.qlYieldTSDiscount($C$31,AE1147)</f>
        <v>1.0048383353032448</v>
      </c>
      <c r="AG1147" s="125">
        <f>_xll.xlShmInterpDisc(CurveName&amp;T($C$26),AE1147)</f>
        <v>1.0048383353032448</v>
      </c>
      <c r="AH1147" s="127">
        <f t="shared" si="24"/>
        <v>0</v>
      </c>
    </row>
    <row r="1148" spans="30:34" x14ac:dyDescent="0.2">
      <c r="AD1148" s="13" t="s">
        <v>94</v>
      </c>
      <c r="AE1148" s="126">
        <f>_xll.qlCalendarAdvance(Calendar,AE1147,AD1148,BizDayConv)</f>
        <v>44376</v>
      </c>
      <c r="AF1148" s="125">
        <f>_xll.qlYieldTSDiscount($C$31,AE1148)</f>
        <v>1.0048291127706457</v>
      </c>
      <c r="AG1148" s="125">
        <f>_xll.xlShmInterpDisc(CurveName&amp;T($C$26),AE1148)</f>
        <v>1.0048291127706457</v>
      </c>
      <c r="AH1148" s="127">
        <f t="shared" si="24"/>
        <v>0</v>
      </c>
    </row>
    <row r="1149" spans="30:34" x14ac:dyDescent="0.2">
      <c r="AD1149" s="13" t="s">
        <v>94</v>
      </c>
      <c r="AE1149" s="126">
        <f>_xll.qlCalendarAdvance(Calendar,AE1148,AD1149,BizDayConv)</f>
        <v>44377</v>
      </c>
      <c r="AF1149" s="125">
        <f>_xll.qlYieldTSDiscount($C$31,AE1149)</f>
        <v>1.0048198672163069</v>
      </c>
      <c r="AG1149" s="125">
        <f>_xll.xlShmInterpDisc(CurveName&amp;T($C$26),AE1149)</f>
        <v>1.0048198672163069</v>
      </c>
      <c r="AH1149" s="127">
        <f t="shared" si="24"/>
        <v>0</v>
      </c>
    </row>
    <row r="1150" spans="30:34" x14ac:dyDescent="0.2">
      <c r="AD1150" s="13" t="s">
        <v>94</v>
      </c>
      <c r="AE1150" s="126">
        <f>_xll.qlCalendarAdvance(Calendar,AE1149,AD1150,BizDayConv)</f>
        <v>44378</v>
      </c>
      <c r="AF1150" s="125">
        <f>_xll.qlYieldTSDiscount($C$31,AE1150)</f>
        <v>1.0048105986654259</v>
      </c>
      <c r="AG1150" s="125">
        <f>_xll.xlShmInterpDisc(CurveName&amp;T($C$26),AE1150)</f>
        <v>1.0048105986654259</v>
      </c>
      <c r="AH1150" s="127">
        <f t="shared" si="24"/>
        <v>0</v>
      </c>
    </row>
    <row r="1151" spans="30:34" x14ac:dyDescent="0.2">
      <c r="AD1151" s="13" t="s">
        <v>94</v>
      </c>
      <c r="AE1151" s="126">
        <f>_xll.qlCalendarAdvance(Calendar,AE1150,AD1151,BizDayConv)</f>
        <v>44379</v>
      </c>
      <c r="AF1151" s="125">
        <f>_xll.qlYieldTSDiscount($C$31,AE1151)</f>
        <v>1.0048013071432975</v>
      </c>
      <c r="AG1151" s="125">
        <f>_xll.xlShmInterpDisc(CurveName&amp;T($C$26),AE1151)</f>
        <v>1.0048013071432975</v>
      </c>
      <c r="AH1151" s="127">
        <f t="shared" si="24"/>
        <v>0</v>
      </c>
    </row>
    <row r="1152" spans="30:34" x14ac:dyDescent="0.2">
      <c r="AD1152" s="13" t="s">
        <v>94</v>
      </c>
      <c r="AE1152" s="126">
        <f>_xll.qlCalendarAdvance(Calendar,AE1151,AD1152,BizDayConv)</f>
        <v>44382</v>
      </c>
      <c r="AF1152" s="125">
        <f>_xll.qlYieldTSDiscount($C$31,AE1152)</f>
        <v>1.0047732950038317</v>
      </c>
      <c r="AG1152" s="125">
        <f>_xll.xlShmInterpDisc(CurveName&amp;T($C$26),AE1152)</f>
        <v>1.0047732950038317</v>
      </c>
      <c r="AH1152" s="127">
        <f t="shared" si="24"/>
        <v>0</v>
      </c>
    </row>
    <row r="1153" spans="30:34" x14ac:dyDescent="0.2">
      <c r="AD1153" s="13" t="s">
        <v>94</v>
      </c>
      <c r="AE1153" s="126">
        <f>_xll.qlCalendarAdvance(Calendar,AE1152,AD1153,BizDayConv)</f>
        <v>44383</v>
      </c>
      <c r="AF1153" s="125">
        <f>_xll.qlYieldTSDiscount($C$31,AE1153)</f>
        <v>1.0047639118516032</v>
      </c>
      <c r="AG1153" s="125">
        <f>_xll.xlShmInterpDisc(CurveName&amp;T($C$26),AE1153)</f>
        <v>1.0047639118516032</v>
      </c>
      <c r="AH1153" s="127">
        <f t="shared" si="24"/>
        <v>0</v>
      </c>
    </row>
    <row r="1154" spans="30:34" x14ac:dyDescent="0.2">
      <c r="AD1154" s="13" t="s">
        <v>94</v>
      </c>
      <c r="AE1154" s="126">
        <f>_xll.qlCalendarAdvance(Calendar,AE1153,AD1154,BizDayConv)</f>
        <v>44384</v>
      </c>
      <c r="AF1154" s="125">
        <f>_xll.qlYieldTSDiscount($C$31,AE1154)</f>
        <v>1.0047545058560579</v>
      </c>
      <c r="AG1154" s="125">
        <f>_xll.xlShmInterpDisc(CurveName&amp;T($C$26),AE1154)</f>
        <v>1.0047545058560579</v>
      </c>
      <c r="AH1154" s="127">
        <f t="shared" si="24"/>
        <v>0</v>
      </c>
    </row>
    <row r="1155" spans="30:34" x14ac:dyDescent="0.2">
      <c r="AD1155" s="13" t="s">
        <v>94</v>
      </c>
      <c r="AE1155" s="126">
        <f>_xll.qlCalendarAdvance(Calendar,AE1154,AD1155,BizDayConv)</f>
        <v>44385</v>
      </c>
      <c r="AF1155" s="125">
        <f>_xll.qlYieldTSDiscount($C$31,AE1155)</f>
        <v>1.0047450770430728</v>
      </c>
      <c r="AG1155" s="125">
        <f>_xll.xlShmInterpDisc(CurveName&amp;T($C$26),AE1155)</f>
        <v>1.0047450770430728</v>
      </c>
      <c r="AH1155" s="127">
        <f t="shared" si="24"/>
        <v>0</v>
      </c>
    </row>
    <row r="1156" spans="30:34" x14ac:dyDescent="0.2">
      <c r="AD1156" s="13" t="s">
        <v>94</v>
      </c>
      <c r="AE1156" s="126">
        <f>_xll.qlCalendarAdvance(Calendar,AE1155,AD1156,BizDayConv)</f>
        <v>44386</v>
      </c>
      <c r="AF1156" s="125">
        <f>_xll.qlYieldTSDiscount($C$31,AE1156)</f>
        <v>1.0047356254386233</v>
      </c>
      <c r="AG1156" s="125">
        <f>_xll.xlShmInterpDisc(CurveName&amp;T($C$26),AE1156)</f>
        <v>1.0047356254386233</v>
      </c>
      <c r="AH1156" s="127">
        <f t="shared" ref="AH1156:AH1219" si="25">(AF1156-AG1156)</f>
        <v>0</v>
      </c>
    </row>
    <row r="1157" spans="30:34" x14ac:dyDescent="0.2">
      <c r="AD1157" s="13" t="s">
        <v>94</v>
      </c>
      <c r="AE1157" s="126">
        <f>_xll.qlCalendarAdvance(Calendar,AE1156,AD1157,BizDayConv)</f>
        <v>44389</v>
      </c>
      <c r="AF1157" s="125">
        <f>_xll.qlYieldTSDiscount($C$31,AE1157)</f>
        <v>1.004707134137689</v>
      </c>
      <c r="AG1157" s="125">
        <f>_xll.xlShmInterpDisc(CurveName&amp;T($C$26),AE1157)</f>
        <v>1.004707134137689</v>
      </c>
      <c r="AH1157" s="127">
        <f t="shared" si="25"/>
        <v>0</v>
      </c>
    </row>
    <row r="1158" spans="30:34" x14ac:dyDescent="0.2">
      <c r="AD1158" s="13" t="s">
        <v>94</v>
      </c>
      <c r="AE1158" s="126">
        <f>_xll.qlCalendarAdvance(Calendar,AE1157,AD1158,BizDayConv)</f>
        <v>44390</v>
      </c>
      <c r="AF1158" s="125">
        <f>_xll.qlYieldTSDiscount($C$31,AE1158)</f>
        <v>1.0046975916290686</v>
      </c>
      <c r="AG1158" s="125">
        <f>_xll.xlShmInterpDisc(CurveName&amp;T($C$26),AE1158)</f>
        <v>1.0046975916290686</v>
      </c>
      <c r="AH1158" s="127">
        <f t="shared" si="25"/>
        <v>0</v>
      </c>
    </row>
    <row r="1159" spans="30:34" x14ac:dyDescent="0.2">
      <c r="AD1159" s="13" t="s">
        <v>94</v>
      </c>
      <c r="AE1159" s="126">
        <f>_xll.qlCalendarAdvance(Calendar,AE1158,AD1159,BizDayConv)</f>
        <v>44391</v>
      </c>
      <c r="AF1159" s="125">
        <f>_xll.qlYieldTSDiscount($C$31,AE1159)</f>
        <v>1.0046880264603131</v>
      </c>
      <c r="AG1159" s="125">
        <f>_xll.xlShmInterpDisc(CurveName&amp;T($C$26),AE1159)</f>
        <v>1.0046880264603131</v>
      </c>
      <c r="AH1159" s="127">
        <f t="shared" si="25"/>
        <v>0</v>
      </c>
    </row>
    <row r="1160" spans="30:34" x14ac:dyDescent="0.2">
      <c r="AD1160" s="13" t="s">
        <v>94</v>
      </c>
      <c r="AE1160" s="126">
        <f>_xll.qlCalendarAdvance(Calendar,AE1159,AD1160,BizDayConv)</f>
        <v>44392</v>
      </c>
      <c r="AF1160" s="125">
        <f>_xll.qlYieldTSDiscount($C$31,AE1160)</f>
        <v>1.0046784386579795</v>
      </c>
      <c r="AG1160" s="125">
        <f>_xll.xlShmInterpDisc(CurveName&amp;T($C$26),AE1160)</f>
        <v>1.0046784386579795</v>
      </c>
      <c r="AH1160" s="127">
        <f t="shared" si="25"/>
        <v>0</v>
      </c>
    </row>
    <row r="1161" spans="30:34" x14ac:dyDescent="0.2">
      <c r="AD1161" s="13" t="s">
        <v>94</v>
      </c>
      <c r="AE1161" s="126">
        <f>_xll.qlCalendarAdvance(Calendar,AE1160,AD1161,BizDayConv)</f>
        <v>44393</v>
      </c>
      <c r="AF1161" s="125">
        <f>_xll.qlYieldTSDiscount($C$31,AE1161)</f>
        <v>1.0046688282487217</v>
      </c>
      <c r="AG1161" s="125">
        <f>_xll.xlShmInterpDisc(CurveName&amp;T($C$26),AE1161)</f>
        <v>1.0046688282487217</v>
      </c>
      <c r="AH1161" s="127">
        <f t="shared" si="25"/>
        <v>0</v>
      </c>
    </row>
    <row r="1162" spans="30:34" x14ac:dyDescent="0.2">
      <c r="AD1162" s="13" t="s">
        <v>94</v>
      </c>
      <c r="AE1162" s="126">
        <f>_xll.qlCalendarAdvance(Calendar,AE1161,AD1162,BizDayConv)</f>
        <v>44396</v>
      </c>
      <c r="AF1162" s="125">
        <f>_xll.qlYieldTSDiscount($C$31,AE1162)</f>
        <v>1.0046398616474017</v>
      </c>
      <c r="AG1162" s="125">
        <f>_xll.xlShmInterpDisc(CurveName&amp;T($C$26),AE1162)</f>
        <v>1.0046398616474017</v>
      </c>
      <c r="AH1162" s="127">
        <f t="shared" si="25"/>
        <v>0</v>
      </c>
    </row>
    <row r="1163" spans="30:34" x14ac:dyDescent="0.2">
      <c r="AD1163" s="13" t="s">
        <v>94</v>
      </c>
      <c r="AE1163" s="126">
        <f>_xll.qlCalendarAdvance(Calendar,AE1162,AD1163,BizDayConv)</f>
        <v>44397</v>
      </c>
      <c r="AF1163" s="125">
        <f>_xll.qlYieldTSDiscount($C$31,AE1163)</f>
        <v>1.0046301610789301</v>
      </c>
      <c r="AG1163" s="125">
        <f>_xll.xlShmInterpDisc(CurveName&amp;T($C$26),AE1163)</f>
        <v>1.0046301610789301</v>
      </c>
      <c r="AH1163" s="127">
        <f t="shared" si="25"/>
        <v>0</v>
      </c>
    </row>
    <row r="1164" spans="30:34" x14ac:dyDescent="0.2">
      <c r="AD1164" s="13" t="s">
        <v>94</v>
      </c>
      <c r="AE1164" s="126">
        <f>_xll.qlCalendarAdvance(Calendar,AE1163,AD1164,BizDayConv)</f>
        <v>44398</v>
      </c>
      <c r="AF1164" s="125">
        <f>_xll.qlYieldTSDiscount($C$31,AE1164)</f>
        <v>1.0046204380382606</v>
      </c>
      <c r="AG1164" s="125">
        <f>_xll.xlShmInterpDisc(CurveName&amp;T($C$26),AE1164)</f>
        <v>1.0046204380382606</v>
      </c>
      <c r="AH1164" s="127">
        <f t="shared" si="25"/>
        <v>0</v>
      </c>
    </row>
    <row r="1165" spans="30:34" x14ac:dyDescent="0.2">
      <c r="AD1165" s="13" t="s">
        <v>94</v>
      </c>
      <c r="AE1165" s="126">
        <f>_xll.qlCalendarAdvance(Calendar,AE1164,AD1165,BizDayConv)</f>
        <v>44399</v>
      </c>
      <c r="AF1165" s="125">
        <f>_xll.qlYieldTSDiscount($C$31,AE1165)</f>
        <v>1.004610692552629</v>
      </c>
      <c r="AG1165" s="125">
        <f>_xll.xlShmInterpDisc(CurveName&amp;T($C$26),AE1165)</f>
        <v>1.004610692552629</v>
      </c>
      <c r="AH1165" s="127">
        <f t="shared" si="25"/>
        <v>0</v>
      </c>
    </row>
    <row r="1166" spans="30:34" x14ac:dyDescent="0.2">
      <c r="AD1166" s="13" t="s">
        <v>94</v>
      </c>
      <c r="AE1166" s="126">
        <f>_xll.qlCalendarAdvance(Calendar,AE1165,AD1166,BizDayConv)</f>
        <v>44400</v>
      </c>
      <c r="AF1166" s="125">
        <f>_xll.qlYieldTSDiscount($C$31,AE1166)</f>
        <v>1.004600924649369</v>
      </c>
      <c r="AG1166" s="125">
        <f>_xll.xlShmInterpDisc(CurveName&amp;T($C$26),AE1166)</f>
        <v>1.004600924649369</v>
      </c>
      <c r="AH1166" s="127">
        <f t="shared" si="25"/>
        <v>0</v>
      </c>
    </row>
    <row r="1167" spans="30:34" x14ac:dyDescent="0.2">
      <c r="AD1167" s="13" t="s">
        <v>94</v>
      </c>
      <c r="AE1167" s="126">
        <f>_xll.qlCalendarAdvance(Calendar,AE1166,AD1167,BizDayConv)</f>
        <v>44403</v>
      </c>
      <c r="AF1167" s="125">
        <f>_xll.qlYieldTSDiscount($C$31,AE1167)</f>
        <v>1.004571486708602</v>
      </c>
      <c r="AG1167" s="125">
        <f>_xll.xlShmInterpDisc(CurveName&amp;T($C$26),AE1167)</f>
        <v>1.004571486708602</v>
      </c>
      <c r="AH1167" s="127">
        <f t="shared" si="25"/>
        <v>0</v>
      </c>
    </row>
    <row r="1168" spans="30:34" x14ac:dyDescent="0.2">
      <c r="AD1168" s="13" t="s">
        <v>94</v>
      </c>
      <c r="AE1168" s="126">
        <f>_xll.qlCalendarAdvance(Calendar,AE1167,AD1168,BizDayConv)</f>
        <v>44404</v>
      </c>
      <c r="AF1168" s="125">
        <f>_xll.qlYieldTSDiscount($C$31,AE1168)</f>
        <v>1.0045616294100974</v>
      </c>
      <c r="AG1168" s="125">
        <f>_xll.xlShmInterpDisc(CurveName&amp;T($C$26),AE1168)</f>
        <v>1.0045616294100974</v>
      </c>
      <c r="AH1168" s="127">
        <f t="shared" si="25"/>
        <v>0</v>
      </c>
    </row>
    <row r="1169" spans="30:34" x14ac:dyDescent="0.2">
      <c r="AD1169" s="13" t="s">
        <v>94</v>
      </c>
      <c r="AE1169" s="126">
        <f>_xll.qlCalendarAdvance(Calendar,AE1168,AD1169,BizDayConv)</f>
        <v>44405</v>
      </c>
      <c r="AF1169" s="125">
        <f>_xll.qlYieldTSDiscount($C$31,AE1169)</f>
        <v>1.004551749832084</v>
      </c>
      <c r="AG1169" s="125">
        <f>_xll.xlShmInterpDisc(CurveName&amp;T($C$26),AE1169)</f>
        <v>1.004551749832084</v>
      </c>
      <c r="AH1169" s="127">
        <f t="shared" si="25"/>
        <v>0</v>
      </c>
    </row>
    <row r="1170" spans="30:34" x14ac:dyDescent="0.2">
      <c r="AD1170" s="13" t="s">
        <v>94</v>
      </c>
      <c r="AE1170" s="126">
        <f>_xll.qlCalendarAdvance(Calendar,AE1169,AD1170,BizDayConv)</f>
        <v>44406</v>
      </c>
      <c r="AF1170" s="125">
        <f>_xll.qlYieldTSDiscount($C$31,AE1170)</f>
        <v>1.0045418480024764</v>
      </c>
      <c r="AG1170" s="125">
        <f>_xll.xlShmInterpDisc(CurveName&amp;T($C$26),AE1170)</f>
        <v>1.0045418480024764</v>
      </c>
      <c r="AH1170" s="127">
        <f t="shared" si="25"/>
        <v>0</v>
      </c>
    </row>
    <row r="1171" spans="30:34" x14ac:dyDescent="0.2">
      <c r="AD1171" s="13" t="s">
        <v>94</v>
      </c>
      <c r="AE1171" s="126">
        <f>_xll.qlCalendarAdvance(Calendar,AE1170,AD1171,BizDayConv)</f>
        <v>44407</v>
      </c>
      <c r="AF1171" s="125">
        <f>_xll.qlYieldTSDiscount($C$31,AE1171)</f>
        <v>1.0045319239492863</v>
      </c>
      <c r="AG1171" s="125">
        <f>_xll.xlShmInterpDisc(CurveName&amp;T($C$26),AE1171)</f>
        <v>1.0045319239492863</v>
      </c>
      <c r="AH1171" s="127">
        <f t="shared" si="25"/>
        <v>0</v>
      </c>
    </row>
    <row r="1172" spans="30:34" x14ac:dyDescent="0.2">
      <c r="AD1172" s="13" t="s">
        <v>94</v>
      </c>
      <c r="AE1172" s="126">
        <f>_xll.qlCalendarAdvance(Calendar,AE1171,AD1172,BizDayConv)</f>
        <v>44410</v>
      </c>
      <c r="AF1172" s="125">
        <f>_xll.qlYieldTSDiscount($C$31,AE1172)</f>
        <v>1.0045020187297897</v>
      </c>
      <c r="AG1172" s="125">
        <f>_xll.xlShmInterpDisc(CurveName&amp;T($C$26),AE1172)</f>
        <v>1.0045020187297897</v>
      </c>
      <c r="AH1172" s="127">
        <f t="shared" si="25"/>
        <v>0</v>
      </c>
    </row>
    <row r="1173" spans="30:34" x14ac:dyDescent="0.2">
      <c r="AD1173" s="13" t="s">
        <v>94</v>
      </c>
      <c r="AE1173" s="126">
        <f>_xll.qlCalendarAdvance(Calendar,AE1172,AD1173,BizDayConv)</f>
        <v>44411</v>
      </c>
      <c r="AF1173" s="125">
        <f>_xll.qlYieldTSDiscount($C$31,AE1173)</f>
        <v>1.004492006064323</v>
      </c>
      <c r="AG1173" s="125">
        <f>_xll.xlShmInterpDisc(CurveName&amp;T($C$26),AE1173)</f>
        <v>1.004492006064323</v>
      </c>
      <c r="AH1173" s="127">
        <f t="shared" si="25"/>
        <v>0</v>
      </c>
    </row>
    <row r="1174" spans="30:34" x14ac:dyDescent="0.2">
      <c r="AD1174" s="13" t="s">
        <v>94</v>
      </c>
      <c r="AE1174" s="126">
        <f>_xll.qlCalendarAdvance(Calendar,AE1173,AD1174,BizDayConv)</f>
        <v>44412</v>
      </c>
      <c r="AF1174" s="125">
        <f>_xll.qlYieldTSDiscount($C$31,AE1174)</f>
        <v>1.0044819713167847</v>
      </c>
      <c r="AG1174" s="125">
        <f>_xll.xlShmInterpDisc(CurveName&amp;T($C$26),AE1174)</f>
        <v>1.0044819713167847</v>
      </c>
      <c r="AH1174" s="127">
        <f t="shared" si="25"/>
        <v>0</v>
      </c>
    </row>
    <row r="1175" spans="30:34" x14ac:dyDescent="0.2">
      <c r="AD1175" s="13" t="s">
        <v>94</v>
      </c>
      <c r="AE1175" s="126">
        <f>_xll.qlCalendarAdvance(Calendar,AE1174,AD1175,BizDayConv)</f>
        <v>44413</v>
      </c>
      <c r="AF1175" s="125">
        <f>_xll.qlYieldTSDiscount($C$31,AE1175)</f>
        <v>1.0044719145157675</v>
      </c>
      <c r="AG1175" s="125">
        <f>_xll.xlShmInterpDisc(CurveName&amp;T($C$26),AE1175)</f>
        <v>1.0044719145157675</v>
      </c>
      <c r="AH1175" s="127">
        <f t="shared" si="25"/>
        <v>0</v>
      </c>
    </row>
    <row r="1176" spans="30:34" x14ac:dyDescent="0.2">
      <c r="AD1176" s="13" t="s">
        <v>94</v>
      </c>
      <c r="AE1176" s="126">
        <f>_xll.qlCalendarAdvance(Calendar,AE1175,AD1176,BizDayConv)</f>
        <v>44414</v>
      </c>
      <c r="AF1176" s="125">
        <f>_xll.qlYieldTSDiscount($C$31,AE1176)</f>
        <v>1.0044618356899611</v>
      </c>
      <c r="AG1176" s="125">
        <f>_xll.xlShmInterpDisc(CurveName&amp;T($C$26),AE1176)</f>
        <v>1.0044618356899611</v>
      </c>
      <c r="AH1176" s="127">
        <f t="shared" si="25"/>
        <v>0</v>
      </c>
    </row>
    <row r="1177" spans="30:34" x14ac:dyDescent="0.2">
      <c r="AD1177" s="13" t="s">
        <v>94</v>
      </c>
      <c r="AE1177" s="126">
        <f>_xll.qlCalendarAdvance(Calendar,AE1176,AD1177,BizDayConv)</f>
        <v>44417</v>
      </c>
      <c r="AF1177" s="125">
        <f>_xll.qlYieldTSDiscount($C$31,AE1177)</f>
        <v>1.0044314673521537</v>
      </c>
      <c r="AG1177" s="125">
        <f>_xll.xlShmInterpDisc(CurveName&amp;T($C$26),AE1177)</f>
        <v>1.0044314673521537</v>
      </c>
      <c r="AH1177" s="127">
        <f t="shared" si="25"/>
        <v>0</v>
      </c>
    </row>
    <row r="1178" spans="30:34" x14ac:dyDescent="0.2">
      <c r="AD1178" s="13" t="s">
        <v>94</v>
      </c>
      <c r="AE1178" s="126">
        <f>_xll.qlCalendarAdvance(Calendar,AE1177,AD1178,BizDayConv)</f>
        <v>44418</v>
      </c>
      <c r="AF1178" s="125">
        <f>_xll.qlYieldTSDiscount($C$31,AE1178)</f>
        <v>1.0044213007160216</v>
      </c>
      <c r="AG1178" s="125">
        <f>_xll.xlShmInterpDisc(CurveName&amp;T($C$26),AE1178)</f>
        <v>1.0044213007160216</v>
      </c>
      <c r="AH1178" s="127">
        <f t="shared" si="25"/>
        <v>0</v>
      </c>
    </row>
    <row r="1179" spans="30:34" x14ac:dyDescent="0.2">
      <c r="AD1179" s="13" t="s">
        <v>94</v>
      </c>
      <c r="AE1179" s="126">
        <f>_xll.qlCalendarAdvance(Calendar,AE1178,AD1179,BizDayConv)</f>
        <v>44419</v>
      </c>
      <c r="AF1179" s="125">
        <f>_xll.qlYieldTSDiscount($C$31,AE1179)</f>
        <v>1.0044111121999997</v>
      </c>
      <c r="AG1179" s="125">
        <f>_xll.xlShmInterpDisc(CurveName&amp;T($C$26),AE1179)</f>
        <v>1.0044111121999997</v>
      </c>
      <c r="AH1179" s="127">
        <f t="shared" si="25"/>
        <v>0</v>
      </c>
    </row>
    <row r="1180" spans="30:34" x14ac:dyDescent="0.2">
      <c r="AD1180" s="13" t="s">
        <v>94</v>
      </c>
      <c r="AE1180" s="126">
        <f>_xll.qlCalendarAdvance(Calendar,AE1179,AD1180,BizDayConv)</f>
        <v>44420</v>
      </c>
      <c r="AF1180" s="125">
        <f>_xll.qlYieldTSDiscount($C$31,AE1180)</f>
        <v>1.0044009018333584</v>
      </c>
      <c r="AG1180" s="125">
        <f>_xll.xlShmInterpDisc(CurveName&amp;T($C$26),AE1180)</f>
        <v>1.0044009018333584</v>
      </c>
      <c r="AH1180" s="127">
        <f t="shared" si="25"/>
        <v>0</v>
      </c>
    </row>
    <row r="1181" spans="30:34" x14ac:dyDescent="0.2">
      <c r="AD1181" s="13" t="s">
        <v>94</v>
      </c>
      <c r="AE1181" s="126">
        <f>_xll.qlCalendarAdvance(Calendar,AE1180,AD1181,BizDayConv)</f>
        <v>44421</v>
      </c>
      <c r="AF1181" s="125">
        <f>_xll.qlYieldTSDiscount($C$31,AE1181)</f>
        <v>1.0043906696454645</v>
      </c>
      <c r="AG1181" s="125">
        <f>_xll.xlShmInterpDisc(CurveName&amp;T($C$26),AE1181)</f>
        <v>1.0043906696454645</v>
      </c>
      <c r="AH1181" s="127">
        <f t="shared" si="25"/>
        <v>0</v>
      </c>
    </row>
    <row r="1182" spans="30:34" x14ac:dyDescent="0.2">
      <c r="AD1182" s="13" t="s">
        <v>94</v>
      </c>
      <c r="AE1182" s="126">
        <f>_xll.qlCalendarAdvance(Calendar,AE1181,AD1182,BizDayConv)</f>
        <v>44424</v>
      </c>
      <c r="AF1182" s="125">
        <f>_xll.qlYieldTSDiscount($C$31,AE1182)</f>
        <v>1.0043598424493874</v>
      </c>
      <c r="AG1182" s="125">
        <f>_xll.xlShmInterpDisc(CurveName&amp;T($C$26),AE1182)</f>
        <v>1.0043598424493874</v>
      </c>
      <c r="AH1182" s="127">
        <f t="shared" si="25"/>
        <v>0</v>
      </c>
    </row>
    <row r="1183" spans="30:34" x14ac:dyDescent="0.2">
      <c r="AD1183" s="13" t="s">
        <v>94</v>
      </c>
      <c r="AE1183" s="126">
        <f>_xll.qlCalendarAdvance(Calendar,AE1182,AD1183,BizDayConv)</f>
        <v>44425</v>
      </c>
      <c r="AF1183" s="125">
        <f>_xll.qlYieldTSDiscount($C$31,AE1183)</f>
        <v>1.0043495232720867</v>
      </c>
      <c r="AG1183" s="125">
        <f>_xll.xlShmInterpDisc(CurveName&amp;T($C$26),AE1183)</f>
        <v>1.0043495232720867</v>
      </c>
      <c r="AH1183" s="127">
        <f t="shared" si="25"/>
        <v>0</v>
      </c>
    </row>
    <row r="1184" spans="30:34" x14ac:dyDescent="0.2">
      <c r="AD1184" s="13" t="s">
        <v>94</v>
      </c>
      <c r="AE1184" s="126">
        <f>_xll.qlCalendarAdvance(Calendar,AE1183,AD1184,BizDayConv)</f>
        <v>44426</v>
      </c>
      <c r="AF1184" s="125">
        <f>_xll.qlYieldTSDiscount($C$31,AE1184)</f>
        <v>1.0043391824218189</v>
      </c>
      <c r="AG1184" s="125">
        <f>_xll.xlShmInterpDisc(CurveName&amp;T($C$26),AE1184)</f>
        <v>1.0043391824218189</v>
      </c>
      <c r="AH1184" s="127">
        <f t="shared" si="25"/>
        <v>0</v>
      </c>
    </row>
    <row r="1185" spans="30:34" x14ac:dyDescent="0.2">
      <c r="AD1185" s="13" t="s">
        <v>94</v>
      </c>
      <c r="AE1185" s="126">
        <f>_xll.qlCalendarAdvance(Calendar,AE1184,AD1185,BizDayConv)</f>
        <v>44427</v>
      </c>
      <c r="AF1185" s="125">
        <f>_xll.qlYieldTSDiscount($C$31,AE1185)</f>
        <v>1.004328819928531</v>
      </c>
      <c r="AG1185" s="125">
        <f>_xll.xlShmInterpDisc(CurveName&amp;T($C$26),AE1185)</f>
        <v>1.004328819928531</v>
      </c>
      <c r="AH1185" s="127">
        <f t="shared" si="25"/>
        <v>0</v>
      </c>
    </row>
    <row r="1186" spans="30:34" x14ac:dyDescent="0.2">
      <c r="AD1186" s="13" t="s">
        <v>94</v>
      </c>
      <c r="AE1186" s="126">
        <f>_xll.qlCalendarAdvance(Calendar,AE1185,AD1186,BizDayConv)</f>
        <v>44428</v>
      </c>
      <c r="AF1186" s="125">
        <f>_xll.qlYieldTSDiscount($C$31,AE1186)</f>
        <v>1.0043184358222668</v>
      </c>
      <c r="AG1186" s="125">
        <f>_xll.xlShmInterpDisc(CurveName&amp;T($C$26),AE1186)</f>
        <v>1.0043184358222668</v>
      </c>
      <c r="AH1186" s="127">
        <f t="shared" si="25"/>
        <v>0</v>
      </c>
    </row>
    <row r="1187" spans="30:34" x14ac:dyDescent="0.2">
      <c r="AD1187" s="13" t="s">
        <v>94</v>
      </c>
      <c r="AE1187" s="126">
        <f>_xll.qlCalendarAdvance(Calendar,AE1186,AD1187,BizDayConv)</f>
        <v>44431</v>
      </c>
      <c r="AF1187" s="125">
        <f>_xll.qlYieldTSDiscount($C$31,AE1187)</f>
        <v>1.0042871541275031</v>
      </c>
      <c r="AG1187" s="125">
        <f>_xll.xlShmInterpDisc(CurveName&amp;T($C$26),AE1187)</f>
        <v>1.0042871541275031</v>
      </c>
      <c r="AH1187" s="127">
        <f t="shared" si="25"/>
        <v>0</v>
      </c>
    </row>
    <row r="1188" spans="30:34" x14ac:dyDescent="0.2">
      <c r="AD1188" s="13" t="s">
        <v>94</v>
      </c>
      <c r="AE1188" s="126">
        <f>_xll.qlCalendarAdvance(Calendar,AE1187,AD1188,BizDayConv)</f>
        <v>44432</v>
      </c>
      <c r="AF1188" s="125">
        <f>_xll.qlYieldTSDiscount($C$31,AE1188)</f>
        <v>1.0042766838717039</v>
      </c>
      <c r="AG1188" s="125">
        <f>_xll.xlShmInterpDisc(CurveName&amp;T($C$26),AE1188)</f>
        <v>1.0042766838717039</v>
      </c>
      <c r="AH1188" s="127">
        <f t="shared" si="25"/>
        <v>0</v>
      </c>
    </row>
    <row r="1189" spans="30:34" x14ac:dyDescent="0.2">
      <c r="AD1189" s="13" t="s">
        <v>94</v>
      </c>
      <c r="AE1189" s="126">
        <f>_xll.qlCalendarAdvance(Calendar,AE1188,AD1189,BizDayConv)</f>
        <v>44433</v>
      </c>
      <c r="AF1189" s="125">
        <f>_xll.qlYieldTSDiscount($C$31,AE1189)</f>
        <v>1.0042661921545968</v>
      </c>
      <c r="AG1189" s="125">
        <f>_xll.xlShmInterpDisc(CurveName&amp;T($C$26),AE1189)</f>
        <v>1.0042661921545968</v>
      </c>
      <c r="AH1189" s="127">
        <f t="shared" si="25"/>
        <v>0</v>
      </c>
    </row>
    <row r="1190" spans="30:34" x14ac:dyDescent="0.2">
      <c r="AD1190" s="13" t="s">
        <v>94</v>
      </c>
      <c r="AE1190" s="126">
        <f>_xll.qlCalendarAdvance(Calendar,AE1189,AD1190,BizDayConv)</f>
        <v>44434</v>
      </c>
      <c r="AF1190" s="125">
        <f>_xll.qlYieldTSDiscount($C$31,AE1190)</f>
        <v>1.0042556790068051</v>
      </c>
      <c r="AG1190" s="125">
        <f>_xll.xlShmInterpDisc(CurveName&amp;T($C$26),AE1190)</f>
        <v>1.0042556790068051</v>
      </c>
      <c r="AH1190" s="127">
        <f t="shared" si="25"/>
        <v>0</v>
      </c>
    </row>
    <row r="1191" spans="30:34" x14ac:dyDescent="0.2">
      <c r="AD1191" s="13" t="s">
        <v>94</v>
      </c>
      <c r="AE1191" s="126">
        <f>_xll.qlCalendarAdvance(Calendar,AE1190,AD1191,BizDayConv)</f>
        <v>44435</v>
      </c>
      <c r="AF1191" s="125">
        <f>_xll.qlYieldTSDiscount($C$31,AE1191)</f>
        <v>1.0042451444590492</v>
      </c>
      <c r="AG1191" s="125">
        <f>_xll.xlShmInterpDisc(CurveName&amp;T($C$26),AE1191)</f>
        <v>1.0042451444590492</v>
      </c>
      <c r="AH1191" s="127">
        <f t="shared" si="25"/>
        <v>0</v>
      </c>
    </row>
    <row r="1192" spans="30:34" x14ac:dyDescent="0.2">
      <c r="AD1192" s="13" t="s">
        <v>94</v>
      </c>
      <c r="AE1192" s="126">
        <f>_xll.qlCalendarAdvance(Calendar,AE1191,AD1192,BizDayConv)</f>
        <v>44438</v>
      </c>
      <c r="AF1192" s="125">
        <f>_xll.qlYieldTSDiscount($C$31,AE1192)</f>
        <v>1.0042134127246434</v>
      </c>
      <c r="AG1192" s="125">
        <f>_xll.xlShmInterpDisc(CurveName&amp;T($C$26),AE1192)</f>
        <v>1.0042134127246434</v>
      </c>
      <c r="AH1192" s="127">
        <f t="shared" si="25"/>
        <v>0</v>
      </c>
    </row>
    <row r="1193" spans="30:34" x14ac:dyDescent="0.2">
      <c r="AD1193" s="13" t="s">
        <v>94</v>
      </c>
      <c r="AE1193" s="126">
        <f>_xll.qlCalendarAdvance(Calendar,AE1192,AD1193,BizDayConv)</f>
        <v>44439</v>
      </c>
      <c r="AF1193" s="125">
        <f>_xll.qlYieldTSDiscount($C$31,AE1193)</f>
        <v>1.0042027928861614</v>
      </c>
      <c r="AG1193" s="125">
        <f>_xll.xlShmInterpDisc(CurveName&amp;T($C$26),AE1193)</f>
        <v>1.0042027928861614</v>
      </c>
      <c r="AH1193" s="127">
        <f t="shared" si="25"/>
        <v>0</v>
      </c>
    </row>
    <row r="1194" spans="30:34" x14ac:dyDescent="0.2">
      <c r="AD1194" s="13" t="s">
        <v>94</v>
      </c>
      <c r="AE1194" s="126">
        <f>_xll.qlCalendarAdvance(Calendar,AE1193,AD1194,BizDayConv)</f>
        <v>44440</v>
      </c>
      <c r="AF1194" s="125">
        <f>_xll.qlYieldTSDiscount($C$31,AE1194)</f>
        <v>1.0041921518027637</v>
      </c>
      <c r="AG1194" s="125">
        <f>_xll.xlShmInterpDisc(CurveName&amp;T($C$26),AE1194)</f>
        <v>1.0041921518027637</v>
      </c>
      <c r="AH1194" s="127">
        <f t="shared" si="25"/>
        <v>0</v>
      </c>
    </row>
    <row r="1195" spans="30:34" x14ac:dyDescent="0.2">
      <c r="AD1195" s="13" t="s">
        <v>94</v>
      </c>
      <c r="AE1195" s="126">
        <f>_xll.qlCalendarAdvance(Calendar,AE1194,AD1195,BizDayConv)</f>
        <v>44441</v>
      </c>
      <c r="AF1195" s="125">
        <f>_xll.qlYieldTSDiscount($C$31,AE1195)</f>
        <v>1.0041814895057493</v>
      </c>
      <c r="AG1195" s="125">
        <f>_xll.xlShmInterpDisc(CurveName&amp;T($C$26),AE1195)</f>
        <v>1.0041814895057493</v>
      </c>
      <c r="AH1195" s="127">
        <f t="shared" si="25"/>
        <v>0</v>
      </c>
    </row>
    <row r="1196" spans="30:34" x14ac:dyDescent="0.2">
      <c r="AD1196" s="13" t="s">
        <v>94</v>
      </c>
      <c r="AE1196" s="126">
        <f>_xll.qlCalendarAdvance(Calendar,AE1195,AD1196,BizDayConv)</f>
        <v>44442</v>
      </c>
      <c r="AF1196" s="125">
        <f>_xll.qlYieldTSDiscount($C$31,AE1196)</f>
        <v>1.004170806026514</v>
      </c>
      <c r="AG1196" s="125">
        <f>_xll.xlShmInterpDisc(CurveName&amp;T($C$26),AE1196)</f>
        <v>1.004170806026514</v>
      </c>
      <c r="AH1196" s="127">
        <f t="shared" si="25"/>
        <v>0</v>
      </c>
    </row>
    <row r="1197" spans="30:34" x14ac:dyDescent="0.2">
      <c r="AD1197" s="13" t="s">
        <v>94</v>
      </c>
      <c r="AE1197" s="126">
        <f>_xll.qlCalendarAdvance(Calendar,AE1196,AD1197,BizDayConv)</f>
        <v>44445</v>
      </c>
      <c r="AF1197" s="125">
        <f>_xll.qlYieldTSDiscount($C$31,AE1197)</f>
        <v>1.0041386288108891</v>
      </c>
      <c r="AG1197" s="125">
        <f>_xll.xlShmInterpDisc(CurveName&amp;T($C$26),AE1197)</f>
        <v>1.0041386288108891</v>
      </c>
      <c r="AH1197" s="127">
        <f t="shared" si="25"/>
        <v>0</v>
      </c>
    </row>
    <row r="1198" spans="30:34" x14ac:dyDescent="0.2">
      <c r="AD1198" s="13" t="s">
        <v>94</v>
      </c>
      <c r="AE1198" s="126">
        <f>_xll.qlCalendarAdvance(Calendar,AE1197,AD1198,BizDayConv)</f>
        <v>44446</v>
      </c>
      <c r="AF1198" s="125">
        <f>_xll.qlYieldTSDiscount($C$31,AE1198)</f>
        <v>1.0041278609186584</v>
      </c>
      <c r="AG1198" s="125">
        <f>_xll.xlShmInterpDisc(CurveName&amp;T($C$26),AE1198)</f>
        <v>1.0041278609186584</v>
      </c>
      <c r="AH1198" s="127">
        <f t="shared" si="25"/>
        <v>0</v>
      </c>
    </row>
    <row r="1199" spans="30:34" x14ac:dyDescent="0.2">
      <c r="AD1199" s="13" t="s">
        <v>94</v>
      </c>
      <c r="AE1199" s="126">
        <f>_xll.qlCalendarAdvance(Calendar,AE1198,AD1199,BizDayConv)</f>
        <v>44447</v>
      </c>
      <c r="AF1199" s="125">
        <f>_xll.qlYieldTSDiscount($C$31,AE1199)</f>
        <v>1.0041170720026327</v>
      </c>
      <c r="AG1199" s="125">
        <f>_xll.xlShmInterpDisc(CurveName&amp;T($C$26),AE1199)</f>
        <v>1.0041170720026327</v>
      </c>
      <c r="AH1199" s="127">
        <f t="shared" si="25"/>
        <v>0</v>
      </c>
    </row>
    <row r="1200" spans="30:34" x14ac:dyDescent="0.2">
      <c r="AD1200" s="13" t="s">
        <v>94</v>
      </c>
      <c r="AE1200" s="126">
        <f>_xll.qlCalendarAdvance(Calendar,AE1199,AD1200,BizDayConv)</f>
        <v>44448</v>
      </c>
      <c r="AF1200" s="125">
        <f>_xll.qlYieldTSDiscount($C$31,AE1200)</f>
        <v>1.0041062620947869</v>
      </c>
      <c r="AG1200" s="125">
        <f>_xll.xlShmInterpDisc(CurveName&amp;T($C$26),AE1200)</f>
        <v>1.0041062620947869</v>
      </c>
      <c r="AH1200" s="127">
        <f t="shared" si="25"/>
        <v>0</v>
      </c>
    </row>
    <row r="1201" spans="30:34" x14ac:dyDescent="0.2">
      <c r="AD1201" s="13" t="s">
        <v>94</v>
      </c>
      <c r="AE1201" s="126">
        <f>_xll.qlCalendarAdvance(Calendar,AE1200,AD1201,BizDayConv)</f>
        <v>44449</v>
      </c>
      <c r="AF1201" s="125">
        <f>_xll.qlYieldTSDiscount($C$31,AE1201)</f>
        <v>1.0040954312271917</v>
      </c>
      <c r="AG1201" s="125">
        <f>_xll.xlShmInterpDisc(CurveName&amp;T($C$26),AE1201)</f>
        <v>1.0040954312271917</v>
      </c>
      <c r="AH1201" s="127">
        <f t="shared" si="25"/>
        <v>0</v>
      </c>
    </row>
    <row r="1202" spans="30:34" x14ac:dyDescent="0.2">
      <c r="AD1202" s="13" t="s">
        <v>85</v>
      </c>
      <c r="AE1202" s="126">
        <f>_xll.qlCalendarAdvance(Calendar,AE1201,AD1202,BizDayConv)</f>
        <v>44456</v>
      </c>
      <c r="AF1202" s="125">
        <f>_xll.qlYieldTSDiscount($C$31,AE1202)</f>
        <v>1.0040190309952444</v>
      </c>
      <c r="AG1202" s="125">
        <f>_xll.xlShmInterpDisc(CurveName&amp;T($C$26),AE1202)</f>
        <v>1.0040190309952444</v>
      </c>
      <c r="AH1202" s="127">
        <f t="shared" si="25"/>
        <v>0</v>
      </c>
    </row>
    <row r="1203" spans="30:34" x14ac:dyDescent="0.2">
      <c r="AD1203" s="13" t="s">
        <v>85</v>
      </c>
      <c r="AE1203" s="126">
        <f>_xll.qlCalendarAdvance(Calendar,AE1202,AD1203,BizDayConv)</f>
        <v>44463</v>
      </c>
      <c r="AF1203" s="125">
        <f>_xll.qlYieldTSDiscount($C$31,AE1203)</f>
        <v>1.0039416164962691</v>
      </c>
      <c r="AG1203" s="125">
        <f>_xll.xlShmInterpDisc(CurveName&amp;T($C$26),AE1203)</f>
        <v>1.0039416164962691</v>
      </c>
      <c r="AH1203" s="127">
        <f t="shared" si="25"/>
        <v>0</v>
      </c>
    </row>
    <row r="1204" spans="30:34" x14ac:dyDescent="0.2">
      <c r="AD1204" s="13" t="s">
        <v>85</v>
      </c>
      <c r="AE1204" s="126">
        <f>_xll.qlCalendarAdvance(Calendar,AE1203,AD1204,BizDayConv)</f>
        <v>44470</v>
      </c>
      <c r="AF1204" s="125">
        <f>_xll.qlYieldTSDiscount($C$31,AE1204)</f>
        <v>1.0038631991270968</v>
      </c>
      <c r="AG1204" s="125">
        <f>_xll.xlShmInterpDisc(CurveName&amp;T($C$26),AE1204)</f>
        <v>1.0038631991270968</v>
      </c>
      <c r="AH1204" s="127">
        <f t="shared" si="25"/>
        <v>0</v>
      </c>
    </row>
    <row r="1205" spans="30:34" x14ac:dyDescent="0.2">
      <c r="AD1205" s="13" t="s">
        <v>85</v>
      </c>
      <c r="AE1205" s="126">
        <f>_xll.qlCalendarAdvance(Calendar,AE1204,AD1205,BizDayConv)</f>
        <v>44477</v>
      </c>
      <c r="AF1205" s="125">
        <f>_xll.qlYieldTSDiscount($C$31,AE1205)</f>
        <v>1.0037837905155895</v>
      </c>
      <c r="AG1205" s="125">
        <f>_xll.xlShmInterpDisc(CurveName&amp;T($C$26),AE1205)</f>
        <v>1.0037837905155895</v>
      </c>
      <c r="AH1205" s="127">
        <f t="shared" si="25"/>
        <v>0</v>
      </c>
    </row>
    <row r="1206" spans="30:34" x14ac:dyDescent="0.2">
      <c r="AD1206" s="13" t="s">
        <v>85</v>
      </c>
      <c r="AE1206" s="126">
        <f>_xll.qlCalendarAdvance(Calendar,AE1205,AD1206,BizDayConv)</f>
        <v>44484</v>
      </c>
      <c r="AF1206" s="125">
        <f>_xll.qlYieldTSDiscount($C$31,AE1206)</f>
        <v>1.0037034025204368</v>
      </c>
      <c r="AG1206" s="125">
        <f>_xll.xlShmInterpDisc(CurveName&amp;T($C$26),AE1206)</f>
        <v>1.0037034025204368</v>
      </c>
      <c r="AH1206" s="127">
        <f t="shared" si="25"/>
        <v>0</v>
      </c>
    </row>
    <row r="1207" spans="30:34" x14ac:dyDescent="0.2">
      <c r="AD1207" s="13" t="s">
        <v>85</v>
      </c>
      <c r="AE1207" s="126">
        <f>_xll.qlCalendarAdvance(Calendar,AE1206,AD1207,BizDayConv)</f>
        <v>44491</v>
      </c>
      <c r="AF1207" s="125">
        <f>_xll.qlYieldTSDiscount($C$31,AE1207)</f>
        <v>1.0036220472309476</v>
      </c>
      <c r="AG1207" s="125">
        <f>_xll.xlShmInterpDisc(CurveName&amp;T($C$26),AE1207)</f>
        <v>1.0036220472309476</v>
      </c>
      <c r="AH1207" s="127">
        <f t="shared" si="25"/>
        <v>0</v>
      </c>
    </row>
    <row r="1208" spans="30:34" x14ac:dyDescent="0.2">
      <c r="AD1208" s="13" t="s">
        <v>85</v>
      </c>
      <c r="AE1208" s="126">
        <f>_xll.qlCalendarAdvance(Calendar,AE1207,AD1208,BizDayConv)</f>
        <v>44498</v>
      </c>
      <c r="AF1208" s="125">
        <f>_xll.qlYieldTSDiscount($C$31,AE1208)</f>
        <v>1.003539736966842</v>
      </c>
      <c r="AG1208" s="125">
        <f>_xll.xlShmInterpDisc(CurveName&amp;T($C$26),AE1208)</f>
        <v>1.003539736966842</v>
      </c>
      <c r="AH1208" s="127">
        <f t="shared" si="25"/>
        <v>0</v>
      </c>
    </row>
    <row r="1209" spans="30:34" x14ac:dyDescent="0.2">
      <c r="AD1209" s="13" t="s">
        <v>85</v>
      </c>
      <c r="AE1209" s="126">
        <f>_xll.qlCalendarAdvance(Calendar,AE1208,AD1209,BizDayConv)</f>
        <v>44505</v>
      </c>
      <c r="AF1209" s="125">
        <f>_xll.qlYieldTSDiscount($C$31,AE1209)</f>
        <v>1.0034564842780405</v>
      </c>
      <c r="AG1209" s="125">
        <f>_xll.xlShmInterpDisc(CurveName&amp;T($C$26),AE1209)</f>
        <v>1.0034564842780405</v>
      </c>
      <c r="AH1209" s="127">
        <f t="shared" si="25"/>
        <v>0</v>
      </c>
    </row>
    <row r="1210" spans="30:34" x14ac:dyDescent="0.2">
      <c r="AD1210" s="13" t="s">
        <v>85</v>
      </c>
      <c r="AE1210" s="126">
        <f>_xll.qlCalendarAdvance(Calendar,AE1209,AD1210,BizDayConv)</f>
        <v>44512</v>
      </c>
      <c r="AF1210" s="125">
        <f>_xll.qlYieldTSDiscount($C$31,AE1210)</f>
        <v>1.0033723019444525</v>
      </c>
      <c r="AG1210" s="125">
        <f>_xll.xlShmInterpDisc(CurveName&amp;T($C$26),AE1210)</f>
        <v>1.0033723019444525</v>
      </c>
      <c r="AH1210" s="127">
        <f t="shared" si="25"/>
        <v>0</v>
      </c>
    </row>
    <row r="1211" spans="30:34" x14ac:dyDescent="0.2">
      <c r="AD1211" s="13" t="s">
        <v>85</v>
      </c>
      <c r="AE1211" s="126">
        <f>_xll.qlCalendarAdvance(Calendar,AE1210,AD1211,BizDayConv)</f>
        <v>44519</v>
      </c>
      <c r="AF1211" s="125">
        <f>_xll.qlYieldTSDiscount($C$31,AE1211)</f>
        <v>1.0032872029757602</v>
      </c>
      <c r="AG1211" s="125">
        <f>_xll.xlShmInterpDisc(CurveName&amp;T($C$26),AE1211)</f>
        <v>1.0032872029757602</v>
      </c>
      <c r="AH1211" s="127">
        <f t="shared" si="25"/>
        <v>0</v>
      </c>
    </row>
    <row r="1212" spans="30:34" x14ac:dyDescent="0.2">
      <c r="AD1212" s="13" t="s">
        <v>85</v>
      </c>
      <c r="AE1212" s="126">
        <f>_xll.qlCalendarAdvance(Calendar,AE1211,AD1212,BizDayConv)</f>
        <v>44526</v>
      </c>
      <c r="AF1212" s="125">
        <f>_xll.qlYieldTSDiscount($C$31,AE1212)</f>
        <v>1.0032012006112052</v>
      </c>
      <c r="AG1212" s="125">
        <f>_xll.xlShmInterpDisc(CurveName&amp;T($C$26),AE1212)</f>
        <v>1.0032012006112052</v>
      </c>
      <c r="AH1212" s="127">
        <f t="shared" si="25"/>
        <v>0</v>
      </c>
    </row>
    <row r="1213" spans="30:34" x14ac:dyDescent="0.2">
      <c r="AD1213" s="13" t="s">
        <v>85</v>
      </c>
      <c r="AE1213" s="126">
        <f>_xll.qlCalendarAdvance(Calendar,AE1212,AD1213,BizDayConv)</f>
        <v>44533</v>
      </c>
      <c r="AF1213" s="125">
        <f>_xll.qlYieldTSDiscount($C$31,AE1213)</f>
        <v>1.0031143083193694</v>
      </c>
      <c r="AG1213" s="125">
        <f>_xll.xlShmInterpDisc(CurveName&amp;T($C$26),AE1213)</f>
        <v>1.0031143083193694</v>
      </c>
      <c r="AH1213" s="127">
        <f t="shared" si="25"/>
        <v>0</v>
      </c>
    </row>
    <row r="1214" spans="30:34" x14ac:dyDescent="0.2">
      <c r="AD1214" s="13" t="s">
        <v>85</v>
      </c>
      <c r="AE1214" s="126">
        <f>_xll.qlCalendarAdvance(Calendar,AE1213,AD1214,BizDayConv)</f>
        <v>44540</v>
      </c>
      <c r="AF1214" s="125">
        <f>_xll.qlYieldTSDiscount($C$31,AE1214)</f>
        <v>1.0030265397979576</v>
      </c>
      <c r="AG1214" s="125">
        <f>_xll.xlShmInterpDisc(CurveName&amp;T($C$26),AE1214)</f>
        <v>1.0030265397979576</v>
      </c>
      <c r="AH1214" s="127">
        <f t="shared" si="25"/>
        <v>0</v>
      </c>
    </row>
    <row r="1215" spans="30:34" x14ac:dyDescent="0.2">
      <c r="AD1215" s="13" t="s">
        <v>85</v>
      </c>
      <c r="AE1215" s="126">
        <f>_xll.qlCalendarAdvance(Calendar,AE1214,AD1215,BizDayConv)</f>
        <v>44547</v>
      </c>
      <c r="AF1215" s="125">
        <f>_xll.qlYieldTSDiscount($C$31,AE1215)</f>
        <v>1.0029379089735779</v>
      </c>
      <c r="AG1215" s="125">
        <f>_xll.xlShmInterpDisc(CurveName&amp;T($C$26),AE1215)</f>
        <v>1.0029379089735779</v>
      </c>
      <c r="AH1215" s="127">
        <f t="shared" si="25"/>
        <v>0</v>
      </c>
    </row>
    <row r="1216" spans="30:34" x14ac:dyDescent="0.2">
      <c r="AD1216" s="13" t="s">
        <v>85</v>
      </c>
      <c r="AE1216" s="126">
        <f>_xll.qlCalendarAdvance(Calendar,AE1215,AD1216,BizDayConv)</f>
        <v>44554</v>
      </c>
      <c r="AF1216" s="125">
        <f>_xll.qlYieldTSDiscount($C$31,AE1216)</f>
        <v>1.0028484300015199</v>
      </c>
      <c r="AG1216" s="125">
        <f>_xll.xlShmInterpDisc(CurveName&amp;T($C$26),AE1216)</f>
        <v>1.0028484300015199</v>
      </c>
      <c r="AH1216" s="127">
        <f t="shared" si="25"/>
        <v>0</v>
      </c>
    </row>
    <row r="1217" spans="30:34" x14ac:dyDescent="0.2">
      <c r="AD1217" s="13" t="s">
        <v>85</v>
      </c>
      <c r="AE1217" s="126">
        <f>_xll.qlCalendarAdvance(Calendar,AE1216,AD1217,BizDayConv)</f>
        <v>44561</v>
      </c>
      <c r="AF1217" s="125">
        <f>_xll.qlYieldTSDiscount($C$31,AE1217)</f>
        <v>1.0027581172655338</v>
      </c>
      <c r="AG1217" s="125">
        <f>_xll.xlShmInterpDisc(CurveName&amp;T($C$26),AE1217)</f>
        <v>1.0027581172655338</v>
      </c>
      <c r="AH1217" s="127">
        <f t="shared" si="25"/>
        <v>0</v>
      </c>
    </row>
    <row r="1218" spans="30:34" x14ac:dyDescent="0.2">
      <c r="AD1218" s="13" t="s">
        <v>85</v>
      </c>
      <c r="AE1218" s="126">
        <f>_xll.qlCalendarAdvance(Calendar,AE1217,AD1218,BizDayConv)</f>
        <v>44568</v>
      </c>
      <c r="AF1218" s="125">
        <f>_xll.qlYieldTSDiscount($C$31,AE1218)</f>
        <v>1.0026669071677836</v>
      </c>
      <c r="AG1218" s="125">
        <f>_xll.xlShmInterpDisc(CurveName&amp;T($C$26),AE1218)</f>
        <v>1.0026669071677836</v>
      </c>
      <c r="AH1218" s="127">
        <f t="shared" si="25"/>
        <v>0</v>
      </c>
    </row>
    <row r="1219" spans="30:34" x14ac:dyDescent="0.2">
      <c r="AD1219" s="13" t="s">
        <v>85</v>
      </c>
      <c r="AE1219" s="126">
        <f>_xll.qlCalendarAdvance(Calendar,AE1218,AD1219,BizDayConv)</f>
        <v>44575</v>
      </c>
      <c r="AF1219" s="125">
        <f>_xll.qlYieldTSDiscount($C$31,AE1219)</f>
        <v>1.0025744530372667</v>
      </c>
      <c r="AG1219" s="125">
        <f>_xll.xlShmInterpDisc(CurveName&amp;T($C$26),AE1219)</f>
        <v>1.0025744530372667</v>
      </c>
      <c r="AH1219" s="127">
        <f t="shared" si="25"/>
        <v>0</v>
      </c>
    </row>
    <row r="1220" spans="30:34" x14ac:dyDescent="0.2">
      <c r="AD1220" s="13" t="s">
        <v>85</v>
      </c>
      <c r="AE1220" s="126">
        <f>_xll.qlCalendarAdvance(Calendar,AE1219,AD1220,BizDayConv)</f>
        <v>44582</v>
      </c>
      <c r="AF1220" s="125">
        <f>_xll.qlYieldTSDiscount($C$31,AE1220)</f>
        <v>1.0024807148822856</v>
      </c>
      <c r="AG1220" s="125">
        <f>_xll.xlShmInterpDisc(CurveName&amp;T($C$26),AE1220)</f>
        <v>1.0024807148822856</v>
      </c>
      <c r="AH1220" s="127">
        <f t="shared" ref="AH1220:AH1283" si="26">(AF1220-AG1220)</f>
        <v>0</v>
      </c>
    </row>
    <row r="1221" spans="30:34" x14ac:dyDescent="0.2">
      <c r="AD1221" s="13" t="s">
        <v>85</v>
      </c>
      <c r="AE1221" s="126">
        <f>_xll.qlCalendarAdvance(Calendar,AE1220,AD1221,BizDayConv)</f>
        <v>44589</v>
      </c>
      <c r="AF1221" s="125">
        <f>_xll.qlYieldTSDiscount($C$31,AE1221)</f>
        <v>1.0023856965008595</v>
      </c>
      <c r="AG1221" s="125">
        <f>_xll.xlShmInterpDisc(CurveName&amp;T($C$26),AE1221)</f>
        <v>1.0023856965008595</v>
      </c>
      <c r="AH1221" s="127">
        <f t="shared" si="26"/>
        <v>0</v>
      </c>
    </row>
    <row r="1222" spans="30:34" x14ac:dyDescent="0.2">
      <c r="AD1222" s="13" t="s">
        <v>85</v>
      </c>
      <c r="AE1222" s="126">
        <f>_xll.qlCalendarAdvance(Calendar,AE1221,AD1222,BizDayConv)</f>
        <v>44596</v>
      </c>
      <c r="AF1222" s="125">
        <f>_xll.qlYieldTSDiscount($C$31,AE1222)</f>
        <v>1.0022894018343003</v>
      </c>
      <c r="AG1222" s="125">
        <f>_xll.xlShmInterpDisc(CurveName&amp;T($C$26),AE1222)</f>
        <v>1.0022894018343003</v>
      </c>
      <c r="AH1222" s="127">
        <f t="shared" si="26"/>
        <v>0</v>
      </c>
    </row>
    <row r="1223" spans="30:34" x14ac:dyDescent="0.2">
      <c r="AD1223" s="13" t="s">
        <v>85</v>
      </c>
      <c r="AE1223" s="126">
        <f>_xll.qlCalendarAdvance(Calendar,AE1222,AD1223,BizDayConv)</f>
        <v>44603</v>
      </c>
      <c r="AF1223" s="125">
        <f>_xll.qlYieldTSDiscount($C$31,AE1223)</f>
        <v>1.0021918349670966</v>
      </c>
      <c r="AG1223" s="125">
        <f>_xll.xlShmInterpDisc(CurveName&amp;T($C$26),AE1223)</f>
        <v>1.0021918349670966</v>
      </c>
      <c r="AH1223" s="127">
        <f t="shared" si="26"/>
        <v>0</v>
      </c>
    </row>
    <row r="1224" spans="30:34" x14ac:dyDescent="0.2">
      <c r="AD1224" s="13" t="s">
        <v>85</v>
      </c>
      <c r="AE1224" s="126">
        <f>_xll.qlCalendarAdvance(Calendar,AE1223,AD1224,BizDayConv)</f>
        <v>44610</v>
      </c>
      <c r="AF1224" s="125">
        <f>_xll.qlYieldTSDiscount($C$31,AE1224)</f>
        <v>1.0020930001267985</v>
      </c>
      <c r="AG1224" s="125">
        <f>_xll.xlShmInterpDisc(CurveName&amp;T($C$26),AE1224)</f>
        <v>1.0020930001267985</v>
      </c>
      <c r="AH1224" s="127">
        <f t="shared" si="26"/>
        <v>0</v>
      </c>
    </row>
    <row r="1225" spans="30:34" x14ac:dyDescent="0.2">
      <c r="AD1225" s="13" t="s">
        <v>85</v>
      </c>
      <c r="AE1225" s="126">
        <f>_xll.qlCalendarAdvance(Calendar,AE1224,AD1225,BizDayConv)</f>
        <v>44617</v>
      </c>
      <c r="AF1225" s="125">
        <f>_xll.qlYieldTSDiscount($C$31,AE1225)</f>
        <v>1.0019929016838969</v>
      </c>
      <c r="AG1225" s="125">
        <f>_xll.xlShmInterpDisc(CurveName&amp;T($C$26),AE1225)</f>
        <v>1.0019929016838969</v>
      </c>
      <c r="AH1225" s="127">
        <f t="shared" si="26"/>
        <v>0</v>
      </c>
    </row>
    <row r="1226" spans="30:34" x14ac:dyDescent="0.2">
      <c r="AD1226" s="13" t="s">
        <v>85</v>
      </c>
      <c r="AE1226" s="126">
        <f>_xll.qlCalendarAdvance(Calendar,AE1225,AD1226,BizDayConv)</f>
        <v>44624</v>
      </c>
      <c r="AF1226" s="125">
        <f>_xll.qlYieldTSDiscount($C$31,AE1226)</f>
        <v>1.0018915441517036</v>
      </c>
      <c r="AG1226" s="125">
        <f>_xll.xlShmInterpDisc(CurveName&amp;T($C$26),AE1226)</f>
        <v>1.0018915441517036</v>
      </c>
      <c r="AH1226" s="127">
        <f t="shared" si="26"/>
        <v>0</v>
      </c>
    </row>
    <row r="1227" spans="30:34" x14ac:dyDescent="0.2">
      <c r="AD1227" s="13" t="s">
        <v>85</v>
      </c>
      <c r="AE1227" s="126">
        <f>_xll.qlCalendarAdvance(Calendar,AE1226,AD1227,BizDayConv)</f>
        <v>44631</v>
      </c>
      <c r="AF1227" s="125">
        <f>_xll.qlYieldTSDiscount($C$31,AE1227)</f>
        <v>1.0017889321862257</v>
      </c>
      <c r="AG1227" s="125">
        <f>_xll.xlShmInterpDisc(CurveName&amp;T($C$26),AE1227)</f>
        <v>1.0017889321862257</v>
      </c>
      <c r="AH1227" s="127">
        <f t="shared" si="26"/>
        <v>0</v>
      </c>
    </row>
    <row r="1228" spans="30:34" x14ac:dyDescent="0.2">
      <c r="AD1228" s="13" t="s">
        <v>85</v>
      </c>
      <c r="AE1228" s="126">
        <f>_xll.qlCalendarAdvance(Calendar,AE1227,AD1228,BizDayConv)</f>
        <v>44638</v>
      </c>
      <c r="AF1228" s="125">
        <f>_xll.qlYieldTSDiscount($C$31,AE1228)</f>
        <v>1.0016850705860394</v>
      </c>
      <c r="AG1228" s="125">
        <f>_xll.xlShmInterpDisc(CurveName&amp;T($C$26),AE1228)</f>
        <v>1.0016850705860394</v>
      </c>
      <c r="AH1228" s="127">
        <f t="shared" si="26"/>
        <v>0</v>
      </c>
    </row>
    <row r="1229" spans="30:34" x14ac:dyDescent="0.2">
      <c r="AD1229" s="13" t="s">
        <v>85</v>
      </c>
      <c r="AE1229" s="126">
        <f>_xll.qlCalendarAdvance(Calendar,AE1228,AD1229,BizDayConv)</f>
        <v>44645</v>
      </c>
      <c r="AF1229" s="125">
        <f>_xll.qlYieldTSDiscount($C$31,AE1229)</f>
        <v>1.001579964292161</v>
      </c>
      <c r="AG1229" s="125">
        <f>_xll.xlShmInterpDisc(CurveName&amp;T($C$26),AE1229)</f>
        <v>1.001579964292161</v>
      </c>
      <c r="AH1229" s="127">
        <f t="shared" si="26"/>
        <v>0</v>
      </c>
    </row>
    <row r="1230" spans="30:34" x14ac:dyDescent="0.2">
      <c r="AD1230" s="13" t="s">
        <v>85</v>
      </c>
      <c r="AE1230" s="126">
        <f>_xll.qlCalendarAdvance(Calendar,AE1229,AD1230,BizDayConv)</f>
        <v>44652</v>
      </c>
      <c r="AF1230" s="125">
        <f>_xll.qlYieldTSDiscount($C$31,AE1230)</f>
        <v>1.0014736183879154</v>
      </c>
      <c r="AG1230" s="125">
        <f>_xll.xlShmInterpDisc(CurveName&amp;T($C$26),AE1230)</f>
        <v>1.0014736183879154</v>
      </c>
      <c r="AH1230" s="127">
        <f t="shared" si="26"/>
        <v>0</v>
      </c>
    </row>
    <row r="1231" spans="30:34" x14ac:dyDescent="0.2">
      <c r="AD1231" s="13" t="s">
        <v>85</v>
      </c>
      <c r="AE1231" s="126">
        <f>_xll.qlCalendarAdvance(Calendar,AE1230,AD1231,BizDayConv)</f>
        <v>44659</v>
      </c>
      <c r="AF1231" s="125">
        <f>_xll.qlYieldTSDiscount($C$31,AE1231)</f>
        <v>1.0013660380988025</v>
      </c>
      <c r="AG1231" s="125">
        <f>_xll.xlShmInterpDisc(CurveName&amp;T($C$26),AE1231)</f>
        <v>1.0013660380988025</v>
      </c>
      <c r="AH1231" s="127">
        <f t="shared" si="26"/>
        <v>0</v>
      </c>
    </row>
    <row r="1232" spans="30:34" x14ac:dyDescent="0.2">
      <c r="AD1232" s="13" t="s">
        <v>85</v>
      </c>
      <c r="AE1232" s="126">
        <f>_xll.qlCalendarAdvance(Calendar,AE1231,AD1232,BizDayConv)</f>
        <v>44670</v>
      </c>
      <c r="AF1232" s="125">
        <f>_xll.qlYieldTSDiscount($C$31,AE1232)</f>
        <v>1.0011945023565272</v>
      </c>
      <c r="AG1232" s="125">
        <f>_xll.xlShmInterpDisc(CurveName&amp;T($C$26),AE1232)</f>
        <v>1.0011945023565272</v>
      </c>
      <c r="AH1232" s="127">
        <f t="shared" si="26"/>
        <v>0</v>
      </c>
    </row>
    <row r="1233" spans="30:34" x14ac:dyDescent="0.2">
      <c r="AD1233" s="13" t="s">
        <v>85</v>
      </c>
      <c r="AE1233" s="126">
        <f>_xll.qlCalendarAdvance(Calendar,AE1232,AD1233,BizDayConv)</f>
        <v>44677</v>
      </c>
      <c r="AF1233" s="125">
        <f>_xll.qlYieldTSDiscount($C$31,AE1233)</f>
        <v>1.0010837729230138</v>
      </c>
      <c r="AG1233" s="125">
        <f>_xll.xlShmInterpDisc(CurveName&amp;T($C$26),AE1233)</f>
        <v>1.0010837729230138</v>
      </c>
      <c r="AH1233" s="127">
        <f t="shared" si="26"/>
        <v>0</v>
      </c>
    </row>
    <row r="1234" spans="30:34" x14ac:dyDescent="0.2">
      <c r="AD1234" s="13" t="s">
        <v>85</v>
      </c>
      <c r="AE1234" s="126">
        <f>_xll.qlCalendarAdvance(Calendar,AE1233,AD1234,BizDayConv)</f>
        <v>44684</v>
      </c>
      <c r="AF1234" s="125">
        <f>_xll.qlYieldTSDiscount($C$31,AE1234)</f>
        <v>1.0009718289256546</v>
      </c>
      <c r="AG1234" s="125">
        <f>_xll.xlShmInterpDisc(CurveName&amp;T($C$26),AE1234)</f>
        <v>1.0009718289256546</v>
      </c>
      <c r="AH1234" s="127">
        <f t="shared" si="26"/>
        <v>0</v>
      </c>
    </row>
    <row r="1235" spans="30:34" x14ac:dyDescent="0.2">
      <c r="AD1235" s="13" t="s">
        <v>85</v>
      </c>
      <c r="AE1235" s="126">
        <f>_xll.qlCalendarAdvance(Calendar,AE1234,AD1235,BizDayConv)</f>
        <v>44691</v>
      </c>
      <c r="AF1235" s="125">
        <f>_xll.qlYieldTSDiscount($C$31,AE1235)</f>
        <v>1.0008586762381215</v>
      </c>
      <c r="AG1235" s="125">
        <f>_xll.xlShmInterpDisc(CurveName&amp;T($C$26),AE1235)</f>
        <v>1.0008586762381215</v>
      </c>
      <c r="AH1235" s="127">
        <f t="shared" si="26"/>
        <v>0</v>
      </c>
    </row>
    <row r="1236" spans="30:34" x14ac:dyDescent="0.2">
      <c r="AD1236" s="13" t="s">
        <v>85</v>
      </c>
      <c r="AE1236" s="126">
        <f>_xll.qlCalendarAdvance(Calendar,AE1235,AD1236,BizDayConv)</f>
        <v>44698</v>
      </c>
      <c r="AF1236" s="125">
        <f>_xll.qlYieldTSDiscount($C$31,AE1236)</f>
        <v>1.0007443208754729</v>
      </c>
      <c r="AG1236" s="125">
        <f>_xll.xlShmInterpDisc(CurveName&amp;T($C$26),AE1236)</f>
        <v>1.0007443208754729</v>
      </c>
      <c r="AH1236" s="127">
        <f t="shared" si="26"/>
        <v>0</v>
      </c>
    </row>
    <row r="1237" spans="30:34" x14ac:dyDescent="0.2">
      <c r="AD1237" s="13" t="s">
        <v>85</v>
      </c>
      <c r="AE1237" s="126">
        <f>_xll.qlCalendarAdvance(Calendar,AE1236,AD1237,BizDayConv)</f>
        <v>44705</v>
      </c>
      <c r="AF1237" s="125">
        <f>_xll.qlYieldTSDiscount($C$31,AE1237)</f>
        <v>1.000628768994005</v>
      </c>
      <c r="AG1237" s="125">
        <f>_xll.xlShmInterpDisc(CurveName&amp;T($C$26),AE1237)</f>
        <v>1.000628768994005</v>
      </c>
      <c r="AH1237" s="127">
        <f t="shared" si="26"/>
        <v>0</v>
      </c>
    </row>
    <row r="1238" spans="30:34" x14ac:dyDescent="0.2">
      <c r="AD1238" s="13" t="s">
        <v>85</v>
      </c>
      <c r="AE1238" s="126">
        <f>_xll.qlCalendarAdvance(Calendar,AE1237,AD1238,BizDayConv)</f>
        <v>44712</v>
      </c>
      <c r="AF1238" s="125">
        <f>_xll.qlYieldTSDiscount($C$31,AE1238)</f>
        <v>1.0005120268911005</v>
      </c>
      <c r="AG1238" s="125">
        <f>_xll.xlShmInterpDisc(CurveName&amp;T($C$26),AE1238)</f>
        <v>1.0005120268911005</v>
      </c>
      <c r="AH1238" s="127">
        <f t="shared" si="26"/>
        <v>0</v>
      </c>
    </row>
    <row r="1239" spans="30:34" x14ac:dyDescent="0.2">
      <c r="AD1239" s="13" t="s">
        <v>85</v>
      </c>
      <c r="AE1239" s="126">
        <f>_xll.qlCalendarAdvance(Calendar,AE1238,AD1239,BizDayConv)</f>
        <v>44719</v>
      </c>
      <c r="AF1239" s="125">
        <f>_xll.qlYieldTSDiscount($C$31,AE1239)</f>
        <v>1.0003941010050765</v>
      </c>
      <c r="AG1239" s="125">
        <f>_xll.xlShmInterpDisc(CurveName&amp;T($C$26),AE1239)</f>
        <v>1.0003941010050765</v>
      </c>
      <c r="AH1239" s="127">
        <f t="shared" si="26"/>
        <v>0</v>
      </c>
    </row>
    <row r="1240" spans="30:34" x14ac:dyDescent="0.2">
      <c r="AD1240" s="13" t="s">
        <v>85</v>
      </c>
      <c r="AE1240" s="126">
        <f>_xll.qlCalendarAdvance(Calendar,AE1239,AD1240,BizDayConv)</f>
        <v>44726</v>
      </c>
      <c r="AF1240" s="125">
        <f>_xll.qlYieldTSDiscount($C$31,AE1240)</f>
        <v>1.0002749979150278</v>
      </c>
      <c r="AG1240" s="125">
        <f>_xll.xlShmInterpDisc(CurveName&amp;T($C$26),AE1240)</f>
        <v>1.0002749979150278</v>
      </c>
      <c r="AH1240" s="127">
        <f t="shared" si="26"/>
        <v>0</v>
      </c>
    </row>
    <row r="1241" spans="30:34" x14ac:dyDescent="0.2">
      <c r="AD1241" s="13" t="s">
        <v>85</v>
      </c>
      <c r="AE1241" s="126">
        <f>_xll.qlCalendarAdvance(Calendar,AE1240,AD1241,BizDayConv)</f>
        <v>44733</v>
      </c>
      <c r="AF1241" s="125">
        <f>_xll.qlYieldTSDiscount($C$31,AE1241)</f>
        <v>1.0001547243406708</v>
      </c>
      <c r="AG1241" s="125">
        <f>_xll.xlShmInterpDisc(CurveName&amp;T($C$26),AE1241)</f>
        <v>1.0001547243406708</v>
      </c>
      <c r="AH1241" s="127">
        <f t="shared" si="26"/>
        <v>0</v>
      </c>
    </row>
    <row r="1242" spans="30:34" x14ac:dyDescent="0.2">
      <c r="AD1242" s="13" t="s">
        <v>85</v>
      </c>
      <c r="AE1242" s="126">
        <f>_xll.qlCalendarAdvance(Calendar,AE1241,AD1242,BizDayConv)</f>
        <v>44740</v>
      </c>
      <c r="AF1242" s="125">
        <f>_xll.qlYieldTSDiscount($C$31,AE1242)</f>
        <v>1.0000332871421826</v>
      </c>
      <c r="AG1242" s="125">
        <f>_xll.xlShmInterpDisc(CurveName&amp;T($C$26),AE1242)</f>
        <v>1.0000332871421826</v>
      </c>
      <c r="AH1242" s="127">
        <f t="shared" si="26"/>
        <v>0</v>
      </c>
    </row>
    <row r="1243" spans="30:34" x14ac:dyDescent="0.2">
      <c r="AD1243" s="13" t="s">
        <v>85</v>
      </c>
      <c r="AE1243" s="126">
        <f>_xll.qlCalendarAdvance(Calendar,AE1242,AD1243,BizDayConv)</f>
        <v>44747</v>
      </c>
      <c r="AF1243" s="125">
        <f>_xll.qlYieldTSDiscount($C$31,AE1243)</f>
        <v>0.99991069332004179</v>
      </c>
      <c r="AG1243" s="125">
        <f>_xll.xlShmInterpDisc(CurveName&amp;T($C$26),AE1243)</f>
        <v>0.99991069332004179</v>
      </c>
      <c r="AH1243" s="127">
        <f t="shared" si="26"/>
        <v>0</v>
      </c>
    </row>
    <row r="1244" spans="30:34" x14ac:dyDescent="0.2">
      <c r="AD1244" s="13" t="s">
        <v>85</v>
      </c>
      <c r="AE1244" s="126">
        <f>_xll.qlCalendarAdvance(Calendar,AE1243,AD1244,BizDayConv)</f>
        <v>44754</v>
      </c>
      <c r="AF1244" s="125">
        <f>_xll.qlYieldTSDiscount($C$31,AE1244)</f>
        <v>0.99978695001486306</v>
      </c>
      <c r="AG1244" s="125">
        <f>_xll.xlShmInterpDisc(CurveName&amp;T($C$26),AE1244)</f>
        <v>0.99978695001486306</v>
      </c>
      <c r="AH1244" s="127">
        <f t="shared" si="26"/>
        <v>0</v>
      </c>
    </row>
    <row r="1245" spans="30:34" x14ac:dyDescent="0.2">
      <c r="AD1245" s="13" t="s">
        <v>85</v>
      </c>
      <c r="AE1245" s="126">
        <f>_xll.qlCalendarAdvance(Calendar,AE1244,AD1245,BizDayConv)</f>
        <v>44761</v>
      </c>
      <c r="AF1245" s="125">
        <f>_xll.qlYieldTSDiscount($C$31,AE1245)</f>
        <v>0.99966206450723283</v>
      </c>
      <c r="AG1245" s="125">
        <f>_xll.xlShmInterpDisc(CurveName&amp;T($C$26),AE1245)</f>
        <v>0.99966206450723283</v>
      </c>
      <c r="AH1245" s="127">
        <f t="shared" si="26"/>
        <v>0</v>
      </c>
    </row>
    <row r="1246" spans="30:34" x14ac:dyDescent="0.2">
      <c r="AD1246" s="13" t="s">
        <v>85</v>
      </c>
      <c r="AE1246" s="126">
        <f>_xll.qlCalendarAdvance(Calendar,AE1245,AD1246,BizDayConv)</f>
        <v>44768</v>
      </c>
      <c r="AF1246" s="125">
        <f>_xll.qlYieldTSDiscount($C$31,AE1246)</f>
        <v>0.99953604421754216</v>
      </c>
      <c r="AG1246" s="125">
        <f>_xll.xlShmInterpDisc(CurveName&amp;T($C$26),AE1246)</f>
        <v>0.99953604421754216</v>
      </c>
      <c r="AH1246" s="127">
        <f t="shared" si="26"/>
        <v>0</v>
      </c>
    </row>
    <row r="1247" spans="30:34" x14ac:dyDescent="0.2">
      <c r="AD1247" s="13" t="s">
        <v>85</v>
      </c>
      <c r="AE1247" s="126">
        <f>_xll.qlCalendarAdvance(Calendar,AE1246,AD1247,BizDayConv)</f>
        <v>44775</v>
      </c>
      <c r="AF1247" s="125">
        <f>_xll.qlYieldTSDiscount($C$31,AE1247)</f>
        <v>0.99940889670581701</v>
      </c>
      <c r="AG1247" s="125">
        <f>_xll.xlShmInterpDisc(CurveName&amp;T($C$26),AE1247)</f>
        <v>0.99940889670581701</v>
      </c>
      <c r="AH1247" s="127">
        <f t="shared" si="26"/>
        <v>0</v>
      </c>
    </row>
    <row r="1248" spans="30:34" x14ac:dyDescent="0.2">
      <c r="AD1248" s="13" t="s">
        <v>85</v>
      </c>
      <c r="AE1248" s="126">
        <f>_xll.qlCalendarAdvance(Calendar,AE1247,AD1248,BizDayConv)</f>
        <v>44782</v>
      </c>
      <c r="AF1248" s="125">
        <f>_xll.qlYieldTSDiscount($C$31,AE1248)</f>
        <v>0.99928062967154807</v>
      </c>
      <c r="AG1248" s="125">
        <f>_xll.xlShmInterpDisc(CurveName&amp;T($C$26),AE1248)</f>
        <v>0.99928062967154807</v>
      </c>
      <c r="AH1248" s="127">
        <f t="shared" si="26"/>
        <v>0</v>
      </c>
    </row>
    <row r="1249" spans="30:34" x14ac:dyDescent="0.2">
      <c r="AD1249" s="13" t="s">
        <v>85</v>
      </c>
      <c r="AE1249" s="126">
        <f>_xll.qlCalendarAdvance(Calendar,AE1248,AD1249,BizDayConv)</f>
        <v>44789</v>
      </c>
      <c r="AF1249" s="125">
        <f>_xll.qlYieldTSDiscount($C$31,AE1249)</f>
        <v>0.99915125095351731</v>
      </c>
      <c r="AG1249" s="125">
        <f>_xll.xlShmInterpDisc(CurveName&amp;T($C$26),AE1249)</f>
        <v>0.99915125095351731</v>
      </c>
      <c r="AH1249" s="127">
        <f t="shared" si="26"/>
        <v>0</v>
      </c>
    </row>
    <row r="1250" spans="30:34" x14ac:dyDescent="0.2">
      <c r="AD1250" s="13" t="s">
        <v>85</v>
      </c>
      <c r="AE1250" s="126">
        <f>_xll.qlCalendarAdvance(Calendar,AE1249,AD1250,BizDayConv)</f>
        <v>44796</v>
      </c>
      <c r="AF1250" s="125">
        <f>_xll.qlYieldTSDiscount($C$31,AE1250)</f>
        <v>0.99902076852962418</v>
      </c>
      <c r="AG1250" s="125">
        <f>_xll.xlShmInterpDisc(CurveName&amp;T($C$26),AE1250)</f>
        <v>0.99902076852962418</v>
      </c>
      <c r="AH1250" s="127">
        <f t="shared" si="26"/>
        <v>0</v>
      </c>
    </row>
    <row r="1251" spans="30:34" x14ac:dyDescent="0.2">
      <c r="AD1251" s="13" t="s">
        <v>85</v>
      </c>
      <c r="AE1251" s="126">
        <f>_xll.qlCalendarAdvance(Calendar,AE1250,AD1251,BizDayConv)</f>
        <v>44803</v>
      </c>
      <c r="AF1251" s="125">
        <f>_xll.qlYieldTSDiscount($C$31,AE1251)</f>
        <v>0.99888919051670888</v>
      </c>
      <c r="AG1251" s="125">
        <f>_xll.xlShmInterpDisc(CurveName&amp;T($C$26),AE1251)</f>
        <v>0.99888919051670888</v>
      </c>
      <c r="AH1251" s="127">
        <f t="shared" si="26"/>
        <v>0</v>
      </c>
    </row>
    <row r="1252" spans="30:34" x14ac:dyDescent="0.2">
      <c r="AD1252" s="13" t="s">
        <v>85</v>
      </c>
      <c r="AE1252" s="126">
        <f>_xll.qlCalendarAdvance(Calendar,AE1251,AD1252,BizDayConv)</f>
        <v>44810</v>
      </c>
      <c r="AF1252" s="125">
        <f>_xll.qlYieldTSDiscount($C$31,AE1252)</f>
        <v>0.99875652517037461</v>
      </c>
      <c r="AG1252" s="125">
        <f>_xll.xlShmInterpDisc(CurveName&amp;T($C$26),AE1252)</f>
        <v>0.99875652517037461</v>
      </c>
      <c r="AH1252" s="127">
        <f t="shared" si="26"/>
        <v>0</v>
      </c>
    </row>
    <row r="1253" spans="30:34" x14ac:dyDescent="0.2">
      <c r="AD1253" s="13" t="s">
        <v>85</v>
      </c>
      <c r="AE1253" s="126">
        <f>_xll.qlCalendarAdvance(Calendar,AE1252,AD1253,BizDayConv)</f>
        <v>44817</v>
      </c>
      <c r="AF1253" s="125">
        <f>_xll.qlYieldTSDiscount($C$31,AE1253)</f>
        <v>0.99862278088480827</v>
      </c>
      <c r="AG1253" s="125">
        <f>_xll.xlShmInterpDisc(CurveName&amp;T($C$26),AE1253)</f>
        <v>0.99862278088480827</v>
      </c>
      <c r="AH1253" s="127">
        <f t="shared" si="26"/>
        <v>0</v>
      </c>
    </row>
    <row r="1254" spans="30:34" x14ac:dyDescent="0.2">
      <c r="AD1254" s="13" t="s">
        <v>85</v>
      </c>
      <c r="AE1254" s="126">
        <f>_xll.qlCalendarAdvance(Calendar,AE1253,AD1254,BizDayConv)</f>
        <v>44824</v>
      </c>
      <c r="AF1254" s="125">
        <f>_xll.qlYieldTSDiscount($C$31,AE1254)</f>
        <v>0.99848796619259905</v>
      </c>
      <c r="AG1254" s="125">
        <f>_xll.xlShmInterpDisc(CurveName&amp;T($C$26),AE1254)</f>
        <v>0.99848796619259905</v>
      </c>
      <c r="AH1254" s="127">
        <f t="shared" si="26"/>
        <v>0</v>
      </c>
    </row>
    <row r="1255" spans="30:34" x14ac:dyDescent="0.2">
      <c r="AD1255" s="13" t="s">
        <v>85</v>
      </c>
      <c r="AE1255" s="126">
        <f>_xll.qlCalendarAdvance(Calendar,AE1254,AD1255,BizDayConv)</f>
        <v>44831</v>
      </c>
      <c r="AF1255" s="125">
        <f>_xll.qlYieldTSDiscount($C$31,AE1255)</f>
        <v>0.99835208976455603</v>
      </c>
      <c r="AG1255" s="125">
        <f>_xll.xlShmInterpDisc(CurveName&amp;T($C$26),AE1255)</f>
        <v>0.99835208976455603</v>
      </c>
      <c r="AH1255" s="127">
        <f t="shared" si="26"/>
        <v>0</v>
      </c>
    </row>
    <row r="1256" spans="30:34" x14ac:dyDescent="0.2">
      <c r="AD1256" s="13" t="s">
        <v>85</v>
      </c>
      <c r="AE1256" s="126">
        <f>_xll.qlCalendarAdvance(Calendar,AE1255,AD1256,BizDayConv)</f>
        <v>44838</v>
      </c>
      <c r="AF1256" s="125">
        <f>_xll.qlYieldTSDiscount($C$31,AE1256)</f>
        <v>0.99821516040952374</v>
      </c>
      <c r="AG1256" s="125">
        <f>_xll.xlShmInterpDisc(CurveName&amp;T($C$26),AE1256)</f>
        <v>0.99821516040952374</v>
      </c>
      <c r="AH1256" s="127">
        <f t="shared" si="26"/>
        <v>0</v>
      </c>
    </row>
    <row r="1257" spans="30:34" x14ac:dyDescent="0.2">
      <c r="AD1257" s="13" t="s">
        <v>85</v>
      </c>
      <c r="AE1257" s="126">
        <f>_xll.qlCalendarAdvance(Calendar,AE1256,AD1257,BizDayConv)</f>
        <v>44845</v>
      </c>
      <c r="AF1257" s="125">
        <f>_xll.qlYieldTSDiscount($C$31,AE1257)</f>
        <v>0.99807718707419635</v>
      </c>
      <c r="AG1257" s="125">
        <f>_xll.xlShmInterpDisc(CurveName&amp;T($C$26),AE1257)</f>
        <v>0.99807718707419635</v>
      </c>
      <c r="AH1257" s="127">
        <f t="shared" si="26"/>
        <v>0</v>
      </c>
    </row>
    <row r="1258" spans="30:34" x14ac:dyDescent="0.2">
      <c r="AD1258" s="13" t="s">
        <v>85</v>
      </c>
      <c r="AE1258" s="126">
        <f>_xll.qlCalendarAdvance(Calendar,AE1257,AD1258,BizDayConv)</f>
        <v>44852</v>
      </c>
      <c r="AF1258" s="125">
        <f>_xll.qlYieldTSDiscount($C$31,AE1258)</f>
        <v>0.99793817884293123</v>
      </c>
      <c r="AG1258" s="125">
        <f>_xll.xlShmInterpDisc(CurveName&amp;T($C$26),AE1258)</f>
        <v>0.99793817884293123</v>
      </c>
      <c r="AH1258" s="127">
        <f t="shared" si="26"/>
        <v>0</v>
      </c>
    </row>
    <row r="1259" spans="30:34" x14ac:dyDescent="0.2">
      <c r="AD1259" s="13" t="s">
        <v>85</v>
      </c>
      <c r="AE1259" s="126">
        <f>_xll.qlCalendarAdvance(Calendar,AE1258,AD1259,BizDayConv)</f>
        <v>44859</v>
      </c>
      <c r="AF1259" s="125">
        <f>_xll.qlYieldTSDiscount($C$31,AE1259)</f>
        <v>0.99779814493755969</v>
      </c>
      <c r="AG1259" s="125">
        <f>_xll.xlShmInterpDisc(CurveName&amp;T($C$26),AE1259)</f>
        <v>0.99779814493755969</v>
      </c>
      <c r="AH1259" s="127">
        <f t="shared" si="26"/>
        <v>0</v>
      </c>
    </row>
    <row r="1260" spans="30:34" x14ac:dyDescent="0.2">
      <c r="AD1260" s="13" t="s">
        <v>85</v>
      </c>
      <c r="AE1260" s="126">
        <f>_xll.qlCalendarAdvance(Calendar,AE1259,AD1260,BizDayConv)</f>
        <v>44866</v>
      </c>
      <c r="AF1260" s="125">
        <f>_xll.qlYieldTSDiscount($C$31,AE1260)</f>
        <v>0.99765709471719743</v>
      </c>
      <c r="AG1260" s="125">
        <f>_xll.xlShmInterpDisc(CurveName&amp;T($C$26),AE1260)</f>
        <v>0.99765709471719743</v>
      </c>
      <c r="AH1260" s="127">
        <f t="shared" si="26"/>
        <v>0</v>
      </c>
    </row>
    <row r="1261" spans="30:34" x14ac:dyDescent="0.2">
      <c r="AD1261" s="13" t="s">
        <v>85</v>
      </c>
      <c r="AE1261" s="126">
        <f>_xll.qlCalendarAdvance(Calendar,AE1260,AD1261,BizDayConv)</f>
        <v>44873</v>
      </c>
      <c r="AF1261" s="125">
        <f>_xll.qlYieldTSDiscount($C$31,AE1261)</f>
        <v>0.99751503767805361</v>
      </c>
      <c r="AG1261" s="125">
        <f>_xll.xlShmInterpDisc(CurveName&amp;T($C$26),AE1261)</f>
        <v>0.99751503767805361</v>
      </c>
      <c r="AH1261" s="127">
        <f t="shared" si="26"/>
        <v>0</v>
      </c>
    </row>
    <row r="1262" spans="30:34" x14ac:dyDescent="0.2">
      <c r="AD1262" s="13" t="s">
        <v>85</v>
      </c>
      <c r="AE1262" s="126">
        <f>_xll.qlCalendarAdvance(Calendar,AE1261,AD1262,BizDayConv)</f>
        <v>44880</v>
      </c>
      <c r="AF1262" s="125">
        <f>_xll.qlYieldTSDiscount($C$31,AE1262)</f>
        <v>0.9973719834532383</v>
      </c>
      <c r="AG1262" s="125">
        <f>_xll.xlShmInterpDisc(CurveName&amp;T($C$26),AE1262)</f>
        <v>0.9973719834532383</v>
      </c>
      <c r="AH1262" s="127">
        <f t="shared" si="26"/>
        <v>0</v>
      </c>
    </row>
    <row r="1263" spans="30:34" x14ac:dyDescent="0.2">
      <c r="AD1263" s="13" t="s">
        <v>85</v>
      </c>
      <c r="AE1263" s="126">
        <f>_xll.qlCalendarAdvance(Calendar,AE1262,AD1263,BizDayConv)</f>
        <v>44887</v>
      </c>
      <c r="AF1263" s="125">
        <f>_xll.qlYieldTSDiscount($C$31,AE1263)</f>
        <v>0.99722794181256869</v>
      </c>
      <c r="AG1263" s="125">
        <f>_xll.xlShmInterpDisc(CurveName&amp;T($C$26),AE1263)</f>
        <v>0.99722794181256869</v>
      </c>
      <c r="AH1263" s="127">
        <f t="shared" si="26"/>
        <v>0</v>
      </c>
    </row>
    <row r="1264" spans="30:34" x14ac:dyDescent="0.2">
      <c r="AD1264" s="13" t="s">
        <v>85</v>
      </c>
      <c r="AE1264" s="126">
        <f>_xll.qlCalendarAdvance(Calendar,AE1263,AD1264,BizDayConv)</f>
        <v>44894</v>
      </c>
      <c r="AF1264" s="125">
        <f>_xll.qlYieldTSDiscount($C$31,AE1264)</f>
        <v>0.99708292266237475</v>
      </c>
      <c r="AG1264" s="125">
        <f>_xll.xlShmInterpDisc(CurveName&amp;T($C$26),AE1264)</f>
        <v>0.99708292266237475</v>
      </c>
      <c r="AH1264" s="127">
        <f t="shared" si="26"/>
        <v>0</v>
      </c>
    </row>
    <row r="1265" spans="30:34" x14ac:dyDescent="0.2">
      <c r="AD1265" s="13" t="s">
        <v>85</v>
      </c>
      <c r="AE1265" s="126">
        <f>_xll.qlCalendarAdvance(Calendar,AE1264,AD1265,BizDayConv)</f>
        <v>44901</v>
      </c>
      <c r="AF1265" s="125">
        <f>_xll.qlYieldTSDiscount($C$31,AE1265)</f>
        <v>0.99693693604530298</v>
      </c>
      <c r="AG1265" s="125">
        <f>_xll.xlShmInterpDisc(CurveName&amp;T($C$26),AE1265)</f>
        <v>0.99693693604530298</v>
      </c>
      <c r="AH1265" s="127">
        <f t="shared" si="26"/>
        <v>0</v>
      </c>
    </row>
    <row r="1266" spans="30:34" x14ac:dyDescent="0.2">
      <c r="AD1266" s="13" t="s">
        <v>85</v>
      </c>
      <c r="AE1266" s="126">
        <f>_xll.qlCalendarAdvance(Calendar,AE1265,AD1266,BizDayConv)</f>
        <v>44908</v>
      </c>
      <c r="AF1266" s="125">
        <f>_xll.qlYieldTSDiscount($C$31,AE1266)</f>
        <v>0.99678999214011998</v>
      </c>
      <c r="AG1266" s="125">
        <f>_xll.xlShmInterpDisc(CurveName&amp;T($C$26),AE1266)</f>
        <v>0.99678999214011998</v>
      </c>
      <c r="AH1266" s="127">
        <f t="shared" si="26"/>
        <v>0</v>
      </c>
    </row>
    <row r="1267" spans="30:34" x14ac:dyDescent="0.2">
      <c r="AD1267" s="13" t="s">
        <v>85</v>
      </c>
      <c r="AE1267" s="126">
        <f>_xll.qlCalendarAdvance(Calendar,AE1266,AD1267,BizDayConv)</f>
        <v>44915</v>
      </c>
      <c r="AF1267" s="125">
        <f>_xll.qlYieldTSDiscount($C$31,AE1267)</f>
        <v>0.99664210126151398</v>
      </c>
      <c r="AG1267" s="125">
        <f>_xll.xlShmInterpDisc(CurveName&amp;T($C$26),AE1267)</f>
        <v>0.99664210126151398</v>
      </c>
      <c r="AH1267" s="127">
        <f t="shared" si="26"/>
        <v>0</v>
      </c>
    </row>
    <row r="1268" spans="30:34" x14ac:dyDescent="0.2">
      <c r="AD1268" s="13" t="s">
        <v>85</v>
      </c>
      <c r="AE1268" s="126">
        <f>_xll.qlCalendarAdvance(Calendar,AE1267,AD1268,BizDayConv)</f>
        <v>44922</v>
      </c>
      <c r="AF1268" s="125">
        <f>_xll.qlYieldTSDiscount($C$31,AE1268)</f>
        <v>0.99649327385989617</v>
      </c>
      <c r="AG1268" s="125">
        <f>_xll.xlShmInterpDisc(CurveName&amp;T($C$26),AE1268)</f>
        <v>0.99649327385989617</v>
      </c>
      <c r="AH1268" s="127">
        <f t="shared" si="26"/>
        <v>0</v>
      </c>
    </row>
    <row r="1269" spans="30:34" x14ac:dyDescent="0.2">
      <c r="AD1269" s="13" t="s">
        <v>85</v>
      </c>
      <c r="AE1269" s="126">
        <f>_xll.qlCalendarAdvance(Calendar,AE1268,AD1269,BizDayConv)</f>
        <v>44929</v>
      </c>
      <c r="AF1269" s="125">
        <f>_xll.qlYieldTSDiscount($C$31,AE1269)</f>
        <v>0.99634352052120101</v>
      </c>
      <c r="AG1269" s="125">
        <f>_xll.xlShmInterpDisc(CurveName&amp;T($C$26),AE1269)</f>
        <v>0.99634352052120101</v>
      </c>
      <c r="AH1269" s="127">
        <f t="shared" si="26"/>
        <v>0</v>
      </c>
    </row>
    <row r="1270" spans="30:34" x14ac:dyDescent="0.2">
      <c r="AD1270" s="13" t="s">
        <v>85</v>
      </c>
      <c r="AE1270" s="126">
        <f>_xll.qlCalendarAdvance(Calendar,AE1269,AD1270,BizDayConv)</f>
        <v>44936</v>
      </c>
      <c r="AF1270" s="125">
        <f>_xll.qlYieldTSDiscount($C$31,AE1270)</f>
        <v>0.99619263609060149</v>
      </c>
      <c r="AG1270" s="125">
        <f>_xll.xlShmInterpDisc(CurveName&amp;T($C$26),AE1270)</f>
        <v>0.99619263609060149</v>
      </c>
      <c r="AH1270" s="127">
        <f t="shared" si="26"/>
        <v>0</v>
      </c>
    </row>
    <row r="1271" spans="30:34" x14ac:dyDescent="0.2">
      <c r="AD1271" s="13" t="s">
        <v>85</v>
      </c>
      <c r="AE1271" s="126">
        <f>_xll.qlCalendarAdvance(Calendar,AE1270,AD1271,BizDayConv)</f>
        <v>44943</v>
      </c>
      <c r="AF1271" s="125">
        <f>_xll.qlYieldTSDiscount($C$31,AE1271)</f>
        <v>0.99604041401962462</v>
      </c>
      <c r="AG1271" s="125">
        <f>_xll.xlShmInterpDisc(CurveName&amp;T($C$26),AE1271)</f>
        <v>0.99604041401962462</v>
      </c>
      <c r="AH1271" s="127">
        <f t="shared" si="26"/>
        <v>0</v>
      </c>
    </row>
    <row r="1272" spans="30:34" x14ac:dyDescent="0.2">
      <c r="AD1272" s="13" t="s">
        <v>85</v>
      </c>
      <c r="AE1272" s="126">
        <f>_xll.qlCalendarAdvance(Calendar,AE1271,AD1272,BizDayConv)</f>
        <v>44950</v>
      </c>
      <c r="AF1272" s="125">
        <f>_xll.qlYieldTSDiscount($C$31,AE1272)</f>
        <v>0.99588686302518903</v>
      </c>
      <c r="AG1272" s="125">
        <f>_xll.xlShmInterpDisc(CurveName&amp;T($C$26),AE1272)</f>
        <v>0.99588686302518903</v>
      </c>
      <c r="AH1272" s="127">
        <f t="shared" si="26"/>
        <v>0</v>
      </c>
    </row>
    <row r="1273" spans="30:34" x14ac:dyDescent="0.2">
      <c r="AD1273" s="13" t="s">
        <v>85</v>
      </c>
      <c r="AE1273" s="126">
        <f>_xll.qlCalendarAdvance(Calendar,AE1272,AD1273,BizDayConv)</f>
        <v>44957</v>
      </c>
      <c r="AF1273" s="125">
        <f>_xll.qlYieldTSDiscount($C$31,AE1273)</f>
        <v>0.99573199198393358</v>
      </c>
      <c r="AG1273" s="125">
        <f>_xll.xlShmInterpDisc(CurveName&amp;T($C$26),AE1273)</f>
        <v>0.99573199198393358</v>
      </c>
      <c r="AH1273" s="127">
        <f t="shared" si="26"/>
        <v>0</v>
      </c>
    </row>
    <row r="1274" spans="30:34" x14ac:dyDescent="0.2">
      <c r="AD1274" s="13" t="s">
        <v>85</v>
      </c>
      <c r="AE1274" s="126">
        <f>_xll.qlCalendarAdvance(Calendar,AE1273,AD1274,BizDayConv)</f>
        <v>44964</v>
      </c>
      <c r="AF1274" s="125">
        <f>_xll.qlYieldTSDiscount($C$31,AE1274)</f>
        <v>0.99557580993198136</v>
      </c>
      <c r="AG1274" s="125">
        <f>_xll.xlShmInterpDisc(CurveName&amp;T($C$26),AE1274)</f>
        <v>0.99557580993198136</v>
      </c>
      <c r="AH1274" s="127">
        <f t="shared" si="26"/>
        <v>0</v>
      </c>
    </row>
    <row r="1275" spans="30:34" x14ac:dyDescent="0.2">
      <c r="AD1275" s="13" t="s">
        <v>85</v>
      </c>
      <c r="AE1275" s="126">
        <f>_xll.qlCalendarAdvance(Calendar,AE1274,AD1275,BizDayConv)</f>
        <v>44971</v>
      </c>
      <c r="AF1275" s="125">
        <f>_xll.qlYieldTSDiscount($C$31,AE1275)</f>
        <v>0.99541832606469949</v>
      </c>
      <c r="AG1275" s="125">
        <f>_xll.xlShmInterpDisc(CurveName&amp;T($C$26),AE1275)</f>
        <v>0.99541832606469949</v>
      </c>
      <c r="AH1275" s="127">
        <f t="shared" si="26"/>
        <v>0</v>
      </c>
    </row>
    <row r="1276" spans="30:34" x14ac:dyDescent="0.2">
      <c r="AD1276" s="13" t="s">
        <v>85</v>
      </c>
      <c r="AE1276" s="126">
        <f>_xll.qlCalendarAdvance(Calendar,AE1275,AD1276,BizDayConv)</f>
        <v>44978</v>
      </c>
      <c r="AF1276" s="125">
        <f>_xll.qlYieldTSDiscount($C$31,AE1276)</f>
        <v>0.99525954973645814</v>
      </c>
      <c r="AG1276" s="125">
        <f>_xll.xlShmInterpDisc(CurveName&amp;T($C$26),AE1276)</f>
        <v>0.99525954973645814</v>
      </c>
      <c r="AH1276" s="127">
        <f t="shared" si="26"/>
        <v>0</v>
      </c>
    </row>
    <row r="1277" spans="30:34" x14ac:dyDescent="0.2">
      <c r="AD1277" s="13" t="s">
        <v>85</v>
      </c>
      <c r="AE1277" s="126">
        <f>_xll.qlCalendarAdvance(Calendar,AE1276,AD1277,BizDayConv)</f>
        <v>44985</v>
      </c>
      <c r="AF1277" s="125">
        <f>_xll.qlYieldTSDiscount($C$31,AE1277)</f>
        <v>0.99509949046038626</v>
      </c>
      <c r="AG1277" s="125">
        <f>_xll.xlShmInterpDisc(CurveName&amp;T($C$26),AE1277)</f>
        <v>0.99509949046038626</v>
      </c>
      <c r="AH1277" s="127">
        <f t="shared" si="26"/>
        <v>0</v>
      </c>
    </row>
    <row r="1278" spans="30:34" x14ac:dyDescent="0.2">
      <c r="AD1278" s="13" t="s">
        <v>85</v>
      </c>
      <c r="AE1278" s="126">
        <f>_xll.qlCalendarAdvance(Calendar,AE1277,AD1278,BizDayConv)</f>
        <v>44992</v>
      </c>
      <c r="AF1278" s="125">
        <f>_xll.qlYieldTSDiscount($C$31,AE1278)</f>
        <v>0.99493815790812579</v>
      </c>
      <c r="AG1278" s="125">
        <f>_xll.xlShmInterpDisc(CurveName&amp;T($C$26),AE1278)</f>
        <v>0.99493815790812579</v>
      </c>
      <c r="AH1278" s="127">
        <f t="shared" si="26"/>
        <v>0</v>
      </c>
    </row>
    <row r="1279" spans="30:34" x14ac:dyDescent="0.2">
      <c r="AD1279" s="13" t="s">
        <v>85</v>
      </c>
      <c r="AE1279" s="126">
        <f>_xll.qlCalendarAdvance(Calendar,AE1278,AD1279,BizDayConv)</f>
        <v>44999</v>
      </c>
      <c r="AF1279" s="125">
        <f>_xll.qlYieldTSDiscount($C$31,AE1279)</f>
        <v>0.99477556190958294</v>
      </c>
      <c r="AG1279" s="125">
        <f>_xll.xlShmInterpDisc(CurveName&amp;T($C$26),AE1279)</f>
        <v>0.99477556190958294</v>
      </c>
      <c r="AH1279" s="127">
        <f t="shared" si="26"/>
        <v>0</v>
      </c>
    </row>
    <row r="1280" spans="30:34" x14ac:dyDescent="0.2">
      <c r="AD1280" s="13" t="s">
        <v>85</v>
      </c>
      <c r="AE1280" s="126">
        <f>_xll.qlCalendarAdvance(Calendar,AE1279,AD1280,BizDayConv)</f>
        <v>45006</v>
      </c>
      <c r="AF1280" s="125">
        <f>_xll.qlYieldTSDiscount($C$31,AE1280)</f>
        <v>0.99461171245267788</v>
      </c>
      <c r="AG1280" s="125">
        <f>_xll.xlShmInterpDisc(CurveName&amp;T($C$26),AE1280)</f>
        <v>0.99461171245267788</v>
      </c>
      <c r="AH1280" s="127">
        <f t="shared" si="26"/>
        <v>0</v>
      </c>
    </row>
    <row r="1281" spans="30:34" x14ac:dyDescent="0.2">
      <c r="AD1281" s="13" t="s">
        <v>85</v>
      </c>
      <c r="AE1281" s="126">
        <f>_xll.qlCalendarAdvance(Calendar,AE1280,AD1281,BizDayConv)</f>
        <v>45013</v>
      </c>
      <c r="AF1281" s="125">
        <f>_xll.qlYieldTSDiscount($C$31,AE1281)</f>
        <v>0.99444661968309234</v>
      </c>
      <c r="AG1281" s="125">
        <f>_xll.xlShmInterpDisc(CurveName&amp;T($C$26),AE1281)</f>
        <v>0.99444661968309234</v>
      </c>
      <c r="AH1281" s="127">
        <f t="shared" si="26"/>
        <v>0</v>
      </c>
    </row>
    <row r="1282" spans="30:34" x14ac:dyDescent="0.2">
      <c r="AD1282" s="13" t="s">
        <v>85</v>
      </c>
      <c r="AE1282" s="126">
        <f>_xll.qlCalendarAdvance(Calendar,AE1281,AD1282,BizDayConv)</f>
        <v>45020</v>
      </c>
      <c r="AF1282" s="125">
        <f>_xll.qlYieldTSDiscount($C$31,AE1282)</f>
        <v>0.99428029390401496</v>
      </c>
      <c r="AG1282" s="125">
        <f>_xll.xlShmInterpDisc(CurveName&amp;T($C$26),AE1282)</f>
        <v>0.99428029390401496</v>
      </c>
      <c r="AH1282" s="127">
        <f t="shared" si="26"/>
        <v>0</v>
      </c>
    </row>
    <row r="1283" spans="30:34" x14ac:dyDescent="0.2">
      <c r="AD1283" s="13" t="s">
        <v>85</v>
      </c>
      <c r="AE1283" s="126">
        <f>_xll.qlCalendarAdvance(Calendar,AE1282,AD1283,BizDayConv)</f>
        <v>45027</v>
      </c>
      <c r="AF1283" s="125">
        <f>_xll.qlYieldTSDiscount($C$31,AE1283)</f>
        <v>0.99411274557588425</v>
      </c>
      <c r="AG1283" s="125">
        <f>_xll.xlShmInterpDisc(CurveName&amp;T($C$26),AE1283)</f>
        <v>0.99411274557588425</v>
      </c>
      <c r="AH1283" s="127">
        <f t="shared" si="26"/>
        <v>0</v>
      </c>
    </row>
    <row r="1284" spans="30:34" x14ac:dyDescent="0.2">
      <c r="AD1284" s="13" t="s">
        <v>85</v>
      </c>
      <c r="AE1284" s="126">
        <f>_xll.qlCalendarAdvance(Calendar,AE1283,AD1284,BizDayConv)</f>
        <v>45034</v>
      </c>
      <c r="AF1284" s="125">
        <f>_xll.qlYieldTSDiscount($C$31,AE1284)</f>
        <v>0.99394398531613104</v>
      </c>
      <c r="AG1284" s="125">
        <f>_xll.xlShmInterpDisc(CurveName&amp;T($C$26),AE1284)</f>
        <v>0.99394398531613104</v>
      </c>
      <c r="AH1284" s="127">
        <f t="shared" ref="AH1284:AH1347" si="27">(AF1284-AG1284)</f>
        <v>0</v>
      </c>
    </row>
    <row r="1285" spans="30:34" x14ac:dyDescent="0.2">
      <c r="AD1285" s="13" t="s">
        <v>85</v>
      </c>
      <c r="AE1285" s="126">
        <f>_xll.qlCalendarAdvance(Calendar,AE1284,AD1285,BizDayConv)</f>
        <v>45041</v>
      </c>
      <c r="AF1285" s="125">
        <f>_xll.qlYieldTSDiscount($C$31,AE1285)</f>
        <v>0.99377402389891745</v>
      </c>
      <c r="AG1285" s="125">
        <f>_xll.xlShmInterpDisc(CurveName&amp;T($C$26),AE1285)</f>
        <v>0.99377402389891745</v>
      </c>
      <c r="AH1285" s="127">
        <f t="shared" si="27"/>
        <v>0</v>
      </c>
    </row>
    <row r="1286" spans="30:34" x14ac:dyDescent="0.2">
      <c r="AD1286" s="13" t="s">
        <v>85</v>
      </c>
      <c r="AE1286" s="126">
        <f>_xll.qlCalendarAdvance(Calendar,AE1285,AD1286,BizDayConv)</f>
        <v>45048</v>
      </c>
      <c r="AF1286" s="125">
        <f>_xll.qlYieldTSDiscount($C$31,AE1286)</f>
        <v>0.99360287225487498</v>
      </c>
      <c r="AG1286" s="125">
        <f>_xll.xlShmInterpDisc(CurveName&amp;T($C$26),AE1286)</f>
        <v>0.99360287225487498</v>
      </c>
      <c r="AH1286" s="127">
        <f t="shared" si="27"/>
        <v>0</v>
      </c>
    </row>
    <row r="1287" spans="30:34" x14ac:dyDescent="0.2">
      <c r="AD1287" s="13" t="s">
        <v>85</v>
      </c>
      <c r="AE1287" s="126">
        <f>_xll.qlCalendarAdvance(Calendar,AE1286,AD1287,BizDayConv)</f>
        <v>45055</v>
      </c>
      <c r="AF1287" s="125">
        <f>_xll.qlYieldTSDiscount($C$31,AE1287)</f>
        <v>0.99343054147084087</v>
      </c>
      <c r="AG1287" s="125">
        <f>_xll.xlShmInterpDisc(CurveName&amp;T($C$26),AE1287)</f>
        <v>0.99343054147084087</v>
      </c>
      <c r="AH1287" s="127">
        <f t="shared" si="27"/>
        <v>0</v>
      </c>
    </row>
    <row r="1288" spans="30:34" x14ac:dyDescent="0.2">
      <c r="AD1288" s="13" t="s">
        <v>85</v>
      </c>
      <c r="AE1288" s="126">
        <f>_xll.qlCalendarAdvance(Calendar,AE1287,AD1288,BizDayConv)</f>
        <v>45062</v>
      </c>
      <c r="AF1288" s="125">
        <f>_xll.qlYieldTSDiscount($C$31,AE1288)</f>
        <v>0.99325704278959226</v>
      </c>
      <c r="AG1288" s="125">
        <f>_xll.xlShmInterpDisc(CurveName&amp;T($C$26),AE1288)</f>
        <v>0.99325704278959226</v>
      </c>
      <c r="AH1288" s="127">
        <f t="shared" si="27"/>
        <v>0</v>
      </c>
    </row>
    <row r="1289" spans="30:34" x14ac:dyDescent="0.2">
      <c r="AD1289" s="13" t="s">
        <v>85</v>
      </c>
      <c r="AE1289" s="126">
        <f>_xll.qlCalendarAdvance(Calendar,AE1288,AD1289,BizDayConv)</f>
        <v>45069</v>
      </c>
      <c r="AF1289" s="125">
        <f>_xll.qlYieldTSDiscount($C$31,AE1289)</f>
        <v>0.99308238760957968</v>
      </c>
      <c r="AG1289" s="125">
        <f>_xll.xlShmInterpDisc(CurveName&amp;T($C$26),AE1289)</f>
        <v>0.99308238760957968</v>
      </c>
      <c r="AH1289" s="127">
        <f t="shared" si="27"/>
        <v>0</v>
      </c>
    </row>
    <row r="1290" spans="30:34" x14ac:dyDescent="0.2">
      <c r="AD1290" s="13" t="s">
        <v>85</v>
      </c>
      <c r="AE1290" s="126">
        <f>_xll.qlCalendarAdvance(Calendar,AE1289,AD1290,BizDayConv)</f>
        <v>45076</v>
      </c>
      <c r="AF1290" s="125">
        <f>_xll.qlYieldTSDiscount($C$31,AE1290)</f>
        <v>0.99290658748465777</v>
      </c>
      <c r="AG1290" s="125">
        <f>_xll.xlShmInterpDisc(CurveName&amp;T($C$26),AE1290)</f>
        <v>0.99290658748465777</v>
      </c>
      <c r="AH1290" s="127">
        <f t="shared" si="27"/>
        <v>0</v>
      </c>
    </row>
    <row r="1291" spans="30:34" x14ac:dyDescent="0.2">
      <c r="AD1291" s="13" t="s">
        <v>85</v>
      </c>
      <c r="AE1291" s="126">
        <f>_xll.qlCalendarAdvance(Calendar,AE1290,AD1291,BizDayConv)</f>
        <v>45083</v>
      </c>
      <c r="AF1291" s="125">
        <f>_xll.qlYieldTSDiscount($C$31,AE1291)</f>
        <v>0.99272965412381531</v>
      </c>
      <c r="AG1291" s="125">
        <f>_xll.xlShmInterpDisc(CurveName&amp;T($C$26),AE1291)</f>
        <v>0.99272965412381531</v>
      </c>
      <c r="AH1291" s="127">
        <f t="shared" si="27"/>
        <v>0</v>
      </c>
    </row>
    <row r="1292" spans="30:34" x14ac:dyDescent="0.2">
      <c r="AD1292" s="13" t="s">
        <v>85</v>
      </c>
      <c r="AE1292" s="126">
        <f>_xll.qlCalendarAdvance(Calendar,AE1291,AD1292,BizDayConv)</f>
        <v>45090</v>
      </c>
      <c r="AF1292" s="125">
        <f>_xll.qlYieldTSDiscount($C$31,AE1292)</f>
        <v>0.9925515993909042</v>
      </c>
      <c r="AG1292" s="125">
        <f>_xll.xlShmInterpDisc(CurveName&amp;T($C$26),AE1292)</f>
        <v>0.9925515993909042</v>
      </c>
      <c r="AH1292" s="127">
        <f t="shared" si="27"/>
        <v>0</v>
      </c>
    </row>
    <row r="1293" spans="30:34" x14ac:dyDescent="0.2">
      <c r="AD1293" s="13" t="s">
        <v>85</v>
      </c>
      <c r="AE1293" s="126">
        <f>_xll.qlCalendarAdvance(Calendar,AE1292,AD1293,BizDayConv)</f>
        <v>45097</v>
      </c>
      <c r="AF1293" s="125">
        <f>_xll.qlYieldTSDiscount($C$31,AE1293)</f>
        <v>0.99237243530436581</v>
      </c>
      <c r="AG1293" s="125">
        <f>_xll.xlShmInterpDisc(CurveName&amp;T($C$26),AE1293)</f>
        <v>0.99237243530436581</v>
      </c>
      <c r="AH1293" s="127">
        <f t="shared" si="27"/>
        <v>0</v>
      </c>
    </row>
    <row r="1294" spans="30:34" x14ac:dyDescent="0.2">
      <c r="AD1294" s="13" t="s">
        <v>85</v>
      </c>
      <c r="AE1294" s="126">
        <f>_xll.qlCalendarAdvance(Calendar,AE1293,AD1294,BizDayConv)</f>
        <v>45104</v>
      </c>
      <c r="AF1294" s="125">
        <f>_xll.qlYieldTSDiscount($C$31,AE1294)</f>
        <v>0.99219217403695747</v>
      </c>
      <c r="AG1294" s="125">
        <f>_xll.xlShmInterpDisc(CurveName&amp;T($C$26),AE1294)</f>
        <v>0.99219217403695747</v>
      </c>
      <c r="AH1294" s="127">
        <f t="shared" si="27"/>
        <v>0</v>
      </c>
    </row>
    <row r="1295" spans="30:34" x14ac:dyDescent="0.2">
      <c r="AD1295" s="13" t="s">
        <v>85</v>
      </c>
      <c r="AE1295" s="126">
        <f>_xll.qlCalendarAdvance(Calendar,AE1294,AD1295,BizDayConv)</f>
        <v>45111</v>
      </c>
      <c r="AF1295" s="125">
        <f>_xll.qlYieldTSDiscount($C$31,AE1295)</f>
        <v>0.99201082791547679</v>
      </c>
      <c r="AG1295" s="125">
        <f>_xll.xlShmInterpDisc(CurveName&amp;T($C$26),AE1295)</f>
        <v>0.99201082791547679</v>
      </c>
      <c r="AH1295" s="127">
        <f t="shared" si="27"/>
        <v>0</v>
      </c>
    </row>
    <row r="1296" spans="30:34" x14ac:dyDescent="0.2">
      <c r="AD1296" s="13" t="s">
        <v>85</v>
      </c>
      <c r="AE1296" s="126">
        <f>_xll.qlCalendarAdvance(Calendar,AE1295,AD1296,BizDayConv)</f>
        <v>45118</v>
      </c>
      <c r="AF1296" s="125">
        <f>_xll.qlYieldTSDiscount($C$31,AE1296)</f>
        <v>0.99182840942048511</v>
      </c>
      <c r="AG1296" s="125">
        <f>_xll.xlShmInterpDisc(CurveName&amp;T($C$26),AE1296)</f>
        <v>0.99182840942048511</v>
      </c>
      <c r="AH1296" s="127">
        <f t="shared" si="27"/>
        <v>0</v>
      </c>
    </row>
    <row r="1297" spans="30:34" x14ac:dyDescent="0.2">
      <c r="AD1297" s="13" t="s">
        <v>85</v>
      </c>
      <c r="AE1297" s="126">
        <f>_xll.qlCalendarAdvance(Calendar,AE1296,AD1297,BizDayConv)</f>
        <v>45125</v>
      </c>
      <c r="AF1297" s="125">
        <f>_xll.qlYieldTSDiscount($C$31,AE1297)</f>
        <v>0.99164493118602992</v>
      </c>
      <c r="AG1297" s="125">
        <f>_xll.xlShmInterpDisc(CurveName&amp;T($C$26),AE1297)</f>
        <v>0.99164493118602992</v>
      </c>
      <c r="AH1297" s="127">
        <f t="shared" si="27"/>
        <v>0</v>
      </c>
    </row>
    <row r="1298" spans="30:34" x14ac:dyDescent="0.2">
      <c r="AD1298" s="13" t="s">
        <v>85</v>
      </c>
      <c r="AE1298" s="126">
        <f>_xll.qlCalendarAdvance(Calendar,AE1297,AD1298,BizDayConv)</f>
        <v>45132</v>
      </c>
      <c r="AF1298" s="125">
        <f>_xll.qlYieldTSDiscount($C$31,AE1298)</f>
        <v>0.99146040599936658</v>
      </c>
      <c r="AG1298" s="125">
        <f>_xll.xlShmInterpDisc(CurveName&amp;T($C$26),AE1298)</f>
        <v>0.99146040599936658</v>
      </c>
      <c r="AH1298" s="127">
        <f t="shared" si="27"/>
        <v>0</v>
      </c>
    </row>
    <row r="1299" spans="30:34" x14ac:dyDescent="0.2">
      <c r="AD1299" s="13" t="s">
        <v>85</v>
      </c>
      <c r="AE1299" s="126">
        <f>_xll.qlCalendarAdvance(Calendar,AE1298,AD1299,BizDayConv)</f>
        <v>45139</v>
      </c>
      <c r="AF1299" s="125">
        <f>_xll.qlYieldTSDiscount($C$31,AE1299)</f>
        <v>0.99127484680067834</v>
      </c>
      <c r="AG1299" s="125">
        <f>_xll.xlShmInterpDisc(CurveName&amp;T($C$26),AE1299)</f>
        <v>0.99127484680067834</v>
      </c>
      <c r="AH1299" s="127">
        <f t="shared" si="27"/>
        <v>0</v>
      </c>
    </row>
    <row r="1300" spans="30:34" x14ac:dyDescent="0.2">
      <c r="AD1300" s="13" t="s">
        <v>85</v>
      </c>
      <c r="AE1300" s="126">
        <f>_xll.qlCalendarAdvance(Calendar,AE1299,AD1300,BizDayConv)</f>
        <v>45146</v>
      </c>
      <c r="AF1300" s="125">
        <f>_xll.qlYieldTSDiscount($C$31,AE1300)</f>
        <v>0.99108826668279604</v>
      </c>
      <c r="AG1300" s="125">
        <f>_xll.xlShmInterpDisc(CurveName&amp;T($C$26),AE1300)</f>
        <v>0.99108826668279604</v>
      </c>
      <c r="AH1300" s="127">
        <f t="shared" si="27"/>
        <v>0</v>
      </c>
    </row>
    <row r="1301" spans="30:34" x14ac:dyDescent="0.2">
      <c r="AD1301" s="13" t="s">
        <v>85</v>
      </c>
      <c r="AE1301" s="126">
        <f>_xll.qlCalendarAdvance(Calendar,AE1300,AD1301,BizDayConv)</f>
        <v>45153</v>
      </c>
      <c r="AF1301" s="125">
        <f>_xll.qlYieldTSDiscount($C$31,AE1301)</f>
        <v>0.99090067889091726</v>
      </c>
      <c r="AG1301" s="125">
        <f>_xll.xlShmInterpDisc(CurveName&amp;T($C$26),AE1301)</f>
        <v>0.99090067889091726</v>
      </c>
      <c r="AH1301" s="127">
        <f t="shared" si="27"/>
        <v>0</v>
      </c>
    </row>
    <row r="1302" spans="30:34" x14ac:dyDescent="0.2">
      <c r="AD1302" s="13" t="s">
        <v>85</v>
      </c>
      <c r="AE1302" s="126">
        <f>_xll.qlCalendarAdvance(Calendar,AE1301,AD1302,BizDayConv)</f>
        <v>45160</v>
      </c>
      <c r="AF1302" s="125">
        <f>_xll.qlYieldTSDiscount($C$31,AE1302)</f>
        <v>0.99071209682232397</v>
      </c>
      <c r="AG1302" s="125">
        <f>_xll.xlShmInterpDisc(CurveName&amp;T($C$26),AE1302)</f>
        <v>0.99071209682232397</v>
      </c>
      <c r="AH1302" s="127">
        <f t="shared" si="27"/>
        <v>0</v>
      </c>
    </row>
    <row r="1303" spans="30:34" x14ac:dyDescent="0.2">
      <c r="AD1303" s="13" t="s">
        <v>85</v>
      </c>
      <c r="AE1303" s="126">
        <f>_xll.qlCalendarAdvance(Calendar,AE1302,AD1303,BizDayConv)</f>
        <v>45167</v>
      </c>
      <c r="AF1303" s="125">
        <f>_xll.qlYieldTSDiscount($C$31,AE1303)</f>
        <v>0.99052253402610013</v>
      </c>
      <c r="AG1303" s="125">
        <f>_xll.xlShmInterpDisc(CurveName&amp;T($C$26),AE1303)</f>
        <v>0.99052253402610013</v>
      </c>
      <c r="AH1303" s="127">
        <f t="shared" si="27"/>
        <v>0</v>
      </c>
    </row>
    <row r="1304" spans="30:34" x14ac:dyDescent="0.2">
      <c r="AD1304" s="13" t="s">
        <v>85</v>
      </c>
      <c r="AE1304" s="126">
        <f>_xll.qlCalendarAdvance(Calendar,AE1303,AD1304,BizDayConv)</f>
        <v>45174</v>
      </c>
      <c r="AF1304" s="125">
        <f>_xll.qlYieldTSDiscount($C$31,AE1304)</f>
        <v>0.9903320042028485</v>
      </c>
      <c r="AG1304" s="125">
        <f>_xll.xlShmInterpDisc(CurveName&amp;T($C$26),AE1304)</f>
        <v>0.9903320042028485</v>
      </c>
      <c r="AH1304" s="127">
        <f t="shared" si="27"/>
        <v>0</v>
      </c>
    </row>
    <row r="1305" spans="30:34" x14ac:dyDescent="0.2">
      <c r="AD1305" s="13" t="s">
        <v>85</v>
      </c>
      <c r="AE1305" s="126">
        <f>_xll.qlCalendarAdvance(Calendar,AE1304,AD1305,BizDayConv)</f>
        <v>45181</v>
      </c>
      <c r="AF1305" s="125">
        <f>_xll.qlYieldTSDiscount($C$31,AE1305)</f>
        <v>0.99014052120440732</v>
      </c>
      <c r="AG1305" s="125">
        <f>_xll.xlShmInterpDisc(CurveName&amp;T($C$26),AE1305)</f>
        <v>0.99014052120440732</v>
      </c>
      <c r="AH1305" s="127">
        <f t="shared" si="27"/>
        <v>0</v>
      </c>
    </row>
    <row r="1306" spans="30:34" x14ac:dyDescent="0.2">
      <c r="AD1306" s="13" t="s">
        <v>85</v>
      </c>
      <c r="AE1306" s="126">
        <f>_xll.qlCalendarAdvance(Calendar,AE1305,AD1306,BizDayConv)</f>
        <v>45188</v>
      </c>
      <c r="AF1306" s="125">
        <f>_xll.qlYieldTSDiscount($C$31,AE1306)</f>
        <v>0.98994809903356573</v>
      </c>
      <c r="AG1306" s="125">
        <f>_xll.xlShmInterpDisc(CurveName&amp;T($C$26),AE1306)</f>
        <v>0.98994809903356562</v>
      </c>
      <c r="AH1306" s="127">
        <f t="shared" si="27"/>
        <v>1.1102230246251565E-16</v>
      </c>
    </row>
    <row r="1307" spans="30:34" x14ac:dyDescent="0.2">
      <c r="AD1307" s="13" t="s">
        <v>85</v>
      </c>
      <c r="AE1307" s="126">
        <f>_xll.qlCalendarAdvance(Calendar,AE1306,AD1307,BizDayConv)</f>
        <v>45195</v>
      </c>
      <c r="AF1307" s="125">
        <f>_xll.qlYieldTSDiscount($C$31,AE1307)</f>
        <v>0.98975475184377948</v>
      </c>
      <c r="AG1307" s="125">
        <f>_xll.xlShmInterpDisc(CurveName&amp;T($C$26),AE1307)</f>
        <v>0.98975475184377948</v>
      </c>
      <c r="AH1307" s="127">
        <f t="shared" si="27"/>
        <v>0</v>
      </c>
    </row>
    <row r="1308" spans="30:34" x14ac:dyDescent="0.2">
      <c r="AD1308" s="13" t="s">
        <v>85</v>
      </c>
      <c r="AE1308" s="126">
        <f>_xll.qlCalendarAdvance(Calendar,AE1307,AD1308,BizDayConv)</f>
        <v>45202</v>
      </c>
      <c r="AF1308" s="125">
        <f>_xll.qlYieldTSDiscount($C$31,AE1308)</f>
        <v>0.98956049393888679</v>
      </c>
      <c r="AG1308" s="125">
        <f>_xll.xlShmInterpDisc(CurveName&amp;T($C$26),AE1308)</f>
        <v>0.98956049393888679</v>
      </c>
      <c r="AH1308" s="127">
        <f t="shared" si="27"/>
        <v>0</v>
      </c>
    </row>
    <row r="1309" spans="30:34" x14ac:dyDescent="0.2">
      <c r="AD1309" s="13" t="s">
        <v>85</v>
      </c>
      <c r="AE1309" s="126">
        <f>_xll.qlCalendarAdvance(Calendar,AE1308,AD1309,BizDayConv)</f>
        <v>45209</v>
      </c>
      <c r="AF1309" s="125">
        <f>_xll.qlYieldTSDiscount($C$31,AE1309)</f>
        <v>0.98936533977282293</v>
      </c>
      <c r="AG1309" s="125">
        <f>_xll.xlShmInterpDisc(CurveName&amp;T($C$26),AE1309)</f>
        <v>0.98936533977282293</v>
      </c>
      <c r="AH1309" s="127">
        <f t="shared" si="27"/>
        <v>0</v>
      </c>
    </row>
    <row r="1310" spans="30:34" x14ac:dyDescent="0.2">
      <c r="AD1310" s="13" t="s">
        <v>85</v>
      </c>
      <c r="AE1310" s="126">
        <f>_xll.qlCalendarAdvance(Calendar,AE1309,AD1310,BizDayConv)</f>
        <v>45216</v>
      </c>
      <c r="AF1310" s="125">
        <f>_xll.qlYieldTSDiscount($C$31,AE1310)</f>
        <v>0.98916930394933522</v>
      </c>
      <c r="AG1310" s="125">
        <f>_xll.xlShmInterpDisc(CurveName&amp;T($C$26),AE1310)</f>
        <v>0.98916930394933522</v>
      </c>
      <c r="AH1310" s="127">
        <f t="shared" si="27"/>
        <v>0</v>
      </c>
    </row>
    <row r="1311" spans="30:34" x14ac:dyDescent="0.2">
      <c r="AD1311" s="13" t="s">
        <v>85</v>
      </c>
      <c r="AE1311" s="126">
        <f>_xll.qlCalendarAdvance(Calendar,AE1310,AD1311,BizDayConv)</f>
        <v>45223</v>
      </c>
      <c r="AF1311" s="125">
        <f>_xll.qlYieldTSDiscount($C$31,AE1311)</f>
        <v>0.98897240122169827</v>
      </c>
      <c r="AG1311" s="125">
        <f>_xll.xlShmInterpDisc(CurveName&amp;T($C$26),AE1311)</f>
        <v>0.98897240122169827</v>
      </c>
      <c r="AH1311" s="127">
        <f t="shared" si="27"/>
        <v>0</v>
      </c>
    </row>
    <row r="1312" spans="30:34" x14ac:dyDescent="0.2">
      <c r="AD1312" s="13" t="s">
        <v>85</v>
      </c>
      <c r="AE1312" s="126">
        <f>_xll.qlCalendarAdvance(Calendar,AE1311,AD1312,BizDayConv)</f>
        <v>45230</v>
      </c>
      <c r="AF1312" s="125">
        <f>_xll.qlYieldTSDiscount($C$31,AE1312)</f>
        <v>0.98877464649242919</v>
      </c>
      <c r="AG1312" s="125">
        <f>_xll.xlShmInterpDisc(CurveName&amp;T($C$26),AE1312)</f>
        <v>0.98877464649242919</v>
      </c>
      <c r="AH1312" s="127">
        <f t="shared" si="27"/>
        <v>0</v>
      </c>
    </row>
    <row r="1313" spans="30:34" x14ac:dyDescent="0.2">
      <c r="AD1313" s="13" t="s">
        <v>85</v>
      </c>
      <c r="AE1313" s="126">
        <f>_xll.qlCalendarAdvance(Calendar,AE1312,AD1313,BizDayConv)</f>
        <v>45237</v>
      </c>
      <c r="AF1313" s="125">
        <f>_xll.qlYieldTSDiscount($C$31,AE1313)</f>
        <v>0.98857605481300215</v>
      </c>
      <c r="AG1313" s="125">
        <f>_xll.xlShmInterpDisc(CurveName&amp;T($C$26),AE1313)</f>
        <v>0.98857605481300215</v>
      </c>
      <c r="AH1313" s="127">
        <f t="shared" si="27"/>
        <v>0</v>
      </c>
    </row>
    <row r="1314" spans="30:34" x14ac:dyDescent="0.2">
      <c r="AD1314" s="13" t="s">
        <v>85</v>
      </c>
      <c r="AE1314" s="126">
        <f>_xll.qlCalendarAdvance(Calendar,AE1313,AD1314,BizDayConv)</f>
        <v>45244</v>
      </c>
      <c r="AF1314" s="125">
        <f>_xll.qlYieldTSDiscount($C$31,AE1314)</f>
        <v>0.98837664138356429</v>
      </c>
      <c r="AG1314" s="125">
        <f>_xll.xlShmInterpDisc(CurveName&amp;T($C$26),AE1314)</f>
        <v>0.98837664138356429</v>
      </c>
      <c r="AH1314" s="127">
        <f t="shared" si="27"/>
        <v>0</v>
      </c>
    </row>
    <row r="1315" spans="30:34" x14ac:dyDescent="0.2">
      <c r="AD1315" s="13" t="s">
        <v>85</v>
      </c>
      <c r="AE1315" s="126">
        <f>_xll.qlCalendarAdvance(Calendar,AE1314,AD1315,BizDayConv)</f>
        <v>45251</v>
      </c>
      <c r="AF1315" s="125">
        <f>_xll.qlYieldTSDiscount($C$31,AE1315)</f>
        <v>0.98817642155265129</v>
      </c>
      <c r="AG1315" s="125">
        <f>_xll.xlShmInterpDisc(CurveName&amp;T($C$26),AE1315)</f>
        <v>0.98817642155265129</v>
      </c>
      <c r="AH1315" s="127">
        <f t="shared" si="27"/>
        <v>0</v>
      </c>
    </row>
    <row r="1316" spans="30:34" x14ac:dyDescent="0.2">
      <c r="AD1316" s="13" t="s">
        <v>85</v>
      </c>
      <c r="AE1316" s="126">
        <f>_xll.qlCalendarAdvance(Calendar,AE1315,AD1316,BizDayConv)</f>
        <v>45258</v>
      </c>
      <c r="AF1316" s="125">
        <f>_xll.qlYieldTSDiscount($C$31,AE1316)</f>
        <v>0.98797541081690321</v>
      </c>
      <c r="AG1316" s="125">
        <f>_xll.xlShmInterpDisc(CurveName&amp;T($C$26),AE1316)</f>
        <v>0.98797541081690321</v>
      </c>
      <c r="AH1316" s="127">
        <f t="shared" si="27"/>
        <v>0</v>
      </c>
    </row>
    <row r="1317" spans="30:34" x14ac:dyDescent="0.2">
      <c r="AD1317" s="13" t="s">
        <v>85</v>
      </c>
      <c r="AE1317" s="126">
        <f>_xll.qlCalendarAdvance(Calendar,AE1316,AD1317,BizDayConv)</f>
        <v>45265</v>
      </c>
      <c r="AF1317" s="125">
        <f>_xll.qlYieldTSDiscount($C$31,AE1317)</f>
        <v>0.98777362482078113</v>
      </c>
      <c r="AG1317" s="125">
        <f>_xll.xlShmInterpDisc(CurveName&amp;T($C$26),AE1317)</f>
        <v>0.98777362482078113</v>
      </c>
      <c r="AH1317" s="127">
        <f t="shared" si="27"/>
        <v>0</v>
      </c>
    </row>
    <row r="1318" spans="30:34" x14ac:dyDescent="0.2">
      <c r="AD1318" s="13" t="s">
        <v>85</v>
      </c>
      <c r="AE1318" s="126">
        <f>_xll.qlCalendarAdvance(Calendar,AE1317,AD1318,BizDayConv)</f>
        <v>45272</v>
      </c>
      <c r="AF1318" s="125">
        <f>_xll.qlYieldTSDiscount($C$31,AE1318)</f>
        <v>0.98757107935628419</v>
      </c>
      <c r="AG1318" s="125">
        <f>_xll.xlShmInterpDisc(CurveName&amp;T($C$26),AE1318)</f>
        <v>0.98757107935628419</v>
      </c>
      <c r="AH1318" s="127">
        <f t="shared" si="27"/>
        <v>0</v>
      </c>
    </row>
    <row r="1319" spans="30:34" x14ac:dyDescent="0.2">
      <c r="AD1319" s="13" t="s">
        <v>85</v>
      </c>
      <c r="AE1319" s="126">
        <f>_xll.qlCalendarAdvance(Calendar,AE1318,AD1319,BizDayConv)</f>
        <v>45279</v>
      </c>
      <c r="AF1319" s="125">
        <f>_xll.qlYieldTSDiscount($C$31,AE1319)</f>
        <v>0.98736779036266753</v>
      </c>
      <c r="AG1319" s="125">
        <f>_xll.xlShmInterpDisc(CurveName&amp;T($C$26),AE1319)</f>
        <v>0.98736779036266742</v>
      </c>
      <c r="AH1319" s="127">
        <f t="shared" si="27"/>
        <v>1.1102230246251565E-16</v>
      </c>
    </row>
    <row r="1320" spans="30:34" x14ac:dyDescent="0.2">
      <c r="AD1320" s="13" t="s">
        <v>85</v>
      </c>
      <c r="AE1320" s="126">
        <f>_xll.qlCalendarAdvance(Calendar,AE1319,AD1320,BizDayConv)</f>
        <v>45287</v>
      </c>
      <c r="AF1320" s="125">
        <f>_xll.qlYieldTSDiscount($C$31,AE1320)</f>
        <v>0.98713457028254681</v>
      </c>
      <c r="AG1320" s="125">
        <f>_xll.xlShmInterpDisc(CurveName&amp;T($C$26),AE1320)</f>
        <v>0.98713457028254681</v>
      </c>
      <c r="AH1320" s="127">
        <f t="shared" si="27"/>
        <v>0</v>
      </c>
    </row>
    <row r="1321" spans="30:34" x14ac:dyDescent="0.2">
      <c r="AD1321" s="13" t="s">
        <v>85</v>
      </c>
      <c r="AE1321" s="126">
        <f>_xll.qlCalendarAdvance(Calendar,AE1320,AD1321,BizDayConv)</f>
        <v>45294</v>
      </c>
      <c r="AF1321" s="125">
        <f>_xll.qlYieldTSDiscount($C$31,AE1321)</f>
        <v>0.98692974236832398</v>
      </c>
      <c r="AG1321" s="125">
        <f>_xll.xlShmInterpDisc(CurveName&amp;T($C$26),AE1321)</f>
        <v>0.98692974236832398</v>
      </c>
      <c r="AH1321" s="127">
        <f t="shared" si="27"/>
        <v>0</v>
      </c>
    </row>
    <row r="1322" spans="30:34" x14ac:dyDescent="0.2">
      <c r="AD1322" s="13" t="s">
        <v>85</v>
      </c>
      <c r="AE1322" s="126">
        <f>_xll.qlCalendarAdvance(Calendar,AE1321,AD1322,BizDayConv)</f>
        <v>45301</v>
      </c>
      <c r="AF1322" s="125">
        <f>_xll.qlYieldTSDiscount($C$31,AE1322)</f>
        <v>0.9867240209191227</v>
      </c>
      <c r="AG1322" s="125">
        <f>_xll.xlShmInterpDisc(CurveName&amp;T($C$26),AE1322)</f>
        <v>0.98672402091912259</v>
      </c>
      <c r="AH1322" s="127">
        <f t="shared" si="27"/>
        <v>1.1102230246251565E-16</v>
      </c>
    </row>
    <row r="1323" spans="30:34" x14ac:dyDescent="0.2">
      <c r="AD1323" s="13" t="s">
        <v>85</v>
      </c>
      <c r="AE1323" s="126">
        <f>_xll.qlCalendarAdvance(Calendar,AE1322,AD1323,BizDayConv)</f>
        <v>45308</v>
      </c>
      <c r="AF1323" s="125">
        <f>_xll.qlYieldTSDiscount($C$31,AE1323)</f>
        <v>0.98651721538183601</v>
      </c>
      <c r="AG1323" s="125">
        <f>_xll.xlShmInterpDisc(CurveName&amp;T($C$26),AE1323)</f>
        <v>0.98651721538183601</v>
      </c>
      <c r="AH1323" s="127">
        <f t="shared" si="27"/>
        <v>0</v>
      </c>
    </row>
    <row r="1324" spans="30:34" x14ac:dyDescent="0.2">
      <c r="AD1324" s="13" t="s">
        <v>85</v>
      </c>
      <c r="AE1324" s="126">
        <f>_xll.qlCalendarAdvance(Calendar,AE1323,AD1324,BizDayConv)</f>
        <v>45315</v>
      </c>
      <c r="AF1324" s="125">
        <f>_xll.qlYieldTSDiscount($C$31,AE1324)</f>
        <v>0.98630933334203352</v>
      </c>
      <c r="AG1324" s="125">
        <f>_xll.xlShmInterpDisc(CurveName&amp;T($C$26),AE1324)</f>
        <v>0.98630933334203352</v>
      </c>
      <c r="AH1324" s="127">
        <f t="shared" si="27"/>
        <v>0</v>
      </c>
    </row>
    <row r="1325" spans="30:34" x14ac:dyDescent="0.2">
      <c r="AD1325" s="13" t="s">
        <v>85</v>
      </c>
      <c r="AE1325" s="126">
        <f>_xll.qlCalendarAdvance(Calendar,AE1324,AD1325,BizDayConv)</f>
        <v>45322</v>
      </c>
      <c r="AF1325" s="125">
        <f>_xll.qlYieldTSDiscount($C$31,AE1325)</f>
        <v>0.98610038247529797</v>
      </c>
      <c r="AG1325" s="125">
        <f>_xll.xlShmInterpDisc(CurveName&amp;T($C$26),AE1325)</f>
        <v>0.98610038247529797</v>
      </c>
      <c r="AH1325" s="127">
        <f t="shared" si="27"/>
        <v>0</v>
      </c>
    </row>
    <row r="1326" spans="30:34" x14ac:dyDescent="0.2">
      <c r="AD1326" s="13" t="s">
        <v>85</v>
      </c>
      <c r="AE1326" s="126">
        <f>_xll.qlCalendarAdvance(Calendar,AE1325,AD1326,BizDayConv)</f>
        <v>45329</v>
      </c>
      <c r="AF1326" s="125">
        <f>_xll.qlYieldTSDiscount($C$31,AE1326)</f>
        <v>0.9858903705470482</v>
      </c>
      <c r="AG1326" s="125">
        <f>_xll.xlShmInterpDisc(CurveName&amp;T($C$26),AE1326)</f>
        <v>0.9858903705470482</v>
      </c>
      <c r="AH1326" s="127">
        <f t="shared" si="27"/>
        <v>0</v>
      </c>
    </row>
    <row r="1327" spans="30:34" x14ac:dyDescent="0.2">
      <c r="AD1327" s="13" t="s">
        <v>85</v>
      </c>
      <c r="AE1327" s="126">
        <f>_xll.qlCalendarAdvance(Calendar,AE1326,AD1327,BizDayConv)</f>
        <v>45336</v>
      </c>
      <c r="AF1327" s="125">
        <f>_xll.qlYieldTSDiscount($C$31,AE1327)</f>
        <v>0.98567930541236115</v>
      </c>
      <c r="AG1327" s="125">
        <f>_xll.xlShmInterpDisc(CurveName&amp;T($C$26),AE1327)</f>
        <v>0.98567930541236115</v>
      </c>
      <c r="AH1327" s="127">
        <f t="shared" si="27"/>
        <v>0</v>
      </c>
    </row>
    <row r="1328" spans="30:34" x14ac:dyDescent="0.2">
      <c r="AD1328" s="13" t="s">
        <v>85</v>
      </c>
      <c r="AE1328" s="126">
        <f>_xll.qlCalendarAdvance(Calendar,AE1327,AD1328,BizDayConv)</f>
        <v>45343</v>
      </c>
      <c r="AF1328" s="125">
        <f>_xll.qlYieldTSDiscount($C$31,AE1328)</f>
        <v>0.98546719501579305</v>
      </c>
      <c r="AG1328" s="125">
        <f>_xll.xlShmInterpDisc(CurveName&amp;T($C$26),AE1328)</f>
        <v>0.98546719501579305</v>
      </c>
      <c r="AH1328" s="127">
        <f t="shared" si="27"/>
        <v>0</v>
      </c>
    </row>
    <row r="1329" spans="30:34" x14ac:dyDescent="0.2">
      <c r="AD1329" s="13" t="s">
        <v>85</v>
      </c>
      <c r="AE1329" s="126">
        <f>_xll.qlCalendarAdvance(Calendar,AE1328,AD1329,BizDayConv)</f>
        <v>45350</v>
      </c>
      <c r="AF1329" s="125">
        <f>_xll.qlYieldTSDiscount($C$31,AE1329)</f>
        <v>0.98525404739119982</v>
      </c>
      <c r="AG1329" s="125">
        <f>_xll.xlShmInterpDisc(CurveName&amp;T($C$26),AE1329)</f>
        <v>0.98525404739119982</v>
      </c>
      <c r="AH1329" s="127">
        <f t="shared" si="27"/>
        <v>0</v>
      </c>
    </row>
    <row r="1330" spans="30:34" x14ac:dyDescent="0.2">
      <c r="AD1330" s="13" t="s">
        <v>85</v>
      </c>
      <c r="AE1330" s="126">
        <f>_xll.qlCalendarAdvance(Calendar,AE1329,AD1330,BizDayConv)</f>
        <v>45357</v>
      </c>
      <c r="AF1330" s="125">
        <f>_xll.qlYieldTSDiscount($C$31,AE1330)</f>
        <v>0.98503987066155596</v>
      </c>
      <c r="AG1330" s="125">
        <f>_xll.xlShmInterpDisc(CurveName&amp;T($C$26),AE1330)</f>
        <v>0.98503987066155596</v>
      </c>
      <c r="AH1330" s="127">
        <f t="shared" si="27"/>
        <v>0</v>
      </c>
    </row>
    <row r="1331" spans="30:34" x14ac:dyDescent="0.2">
      <c r="AD1331" s="13" t="s">
        <v>85</v>
      </c>
      <c r="AE1331" s="126">
        <f>_xll.qlCalendarAdvance(Calendar,AE1330,AD1331,BizDayConv)</f>
        <v>45364</v>
      </c>
      <c r="AF1331" s="125">
        <f>_xll.qlYieldTSDiscount($C$31,AE1331)</f>
        <v>0.98482467303877397</v>
      </c>
      <c r="AG1331" s="125">
        <f>_xll.xlShmInterpDisc(CurveName&amp;T($C$26),AE1331)</f>
        <v>0.98482467303877397</v>
      </c>
      <c r="AH1331" s="127">
        <f t="shared" si="27"/>
        <v>0</v>
      </c>
    </row>
    <row r="1332" spans="30:34" x14ac:dyDescent="0.2">
      <c r="AD1332" s="13" t="s">
        <v>85</v>
      </c>
      <c r="AE1332" s="126">
        <f>_xll.qlCalendarAdvance(Calendar,AE1331,AD1332,BizDayConv)</f>
        <v>45371</v>
      </c>
      <c r="AF1332" s="125">
        <f>_xll.qlYieldTSDiscount($C$31,AE1332)</f>
        <v>0.98460846282352155</v>
      </c>
      <c r="AG1332" s="125">
        <f>_xll.xlShmInterpDisc(CurveName&amp;T($C$26),AE1332)</f>
        <v>0.98460846282352155</v>
      </c>
      <c r="AH1332" s="127">
        <f t="shared" si="27"/>
        <v>0</v>
      </c>
    </row>
    <row r="1333" spans="30:34" x14ac:dyDescent="0.2">
      <c r="AD1333" s="13" t="s">
        <v>85</v>
      </c>
      <c r="AE1333" s="126">
        <f>_xll.qlCalendarAdvance(Calendar,AE1332,AD1333,BizDayConv)</f>
        <v>45378</v>
      </c>
      <c r="AF1333" s="125">
        <f>_xll.qlYieldTSDiscount($C$31,AE1333)</f>
        <v>0.98439124840503889</v>
      </c>
      <c r="AG1333" s="125">
        <f>_xll.xlShmInterpDisc(CurveName&amp;T($C$26),AE1333)</f>
        <v>0.98439124840503889</v>
      </c>
      <c r="AH1333" s="127">
        <f t="shared" si="27"/>
        <v>0</v>
      </c>
    </row>
    <row r="1334" spans="30:34" x14ac:dyDescent="0.2">
      <c r="AD1334" s="13" t="s">
        <v>85</v>
      </c>
      <c r="AE1334" s="126">
        <f>_xll.qlCalendarAdvance(Calendar,AE1333,AD1334,BizDayConv)</f>
        <v>45385</v>
      </c>
      <c r="AF1334" s="125">
        <f>_xll.qlYieldTSDiscount($C$31,AE1334)</f>
        <v>0.9841730382609547</v>
      </c>
      <c r="AG1334" s="125">
        <f>_xll.xlShmInterpDisc(CurveName&amp;T($C$26),AE1334)</f>
        <v>0.9841730382609547</v>
      </c>
      <c r="AH1334" s="127">
        <f t="shared" si="27"/>
        <v>0</v>
      </c>
    </row>
    <row r="1335" spans="30:34" x14ac:dyDescent="0.2">
      <c r="AD1335" s="13" t="s">
        <v>85</v>
      </c>
      <c r="AE1335" s="126">
        <f>_xll.qlCalendarAdvance(Calendar,AE1334,AD1335,BizDayConv)</f>
        <v>45392</v>
      </c>
      <c r="AF1335" s="125">
        <f>_xll.qlYieldTSDiscount($C$31,AE1335)</f>
        <v>0.98395384095710259</v>
      </c>
      <c r="AG1335" s="125">
        <f>_xll.xlShmInterpDisc(CurveName&amp;T($C$26),AE1335)</f>
        <v>0.98395384095710259</v>
      </c>
      <c r="AH1335" s="127">
        <f t="shared" si="27"/>
        <v>0</v>
      </c>
    </row>
    <row r="1336" spans="30:34" x14ac:dyDescent="0.2">
      <c r="AD1336" s="13" t="s">
        <v>85</v>
      </c>
      <c r="AE1336" s="126">
        <f>_xll.qlCalendarAdvance(Calendar,AE1335,AD1336,BizDayConv)</f>
        <v>45399</v>
      </c>
      <c r="AF1336" s="125">
        <f>_xll.qlYieldTSDiscount($C$31,AE1336)</f>
        <v>0.98373366514733507</v>
      </c>
      <c r="AG1336" s="125">
        <f>_xll.xlShmInterpDisc(CurveName&amp;T($C$26),AE1336)</f>
        <v>0.98373366514733507</v>
      </c>
      <c r="AH1336" s="127">
        <f t="shared" si="27"/>
        <v>0</v>
      </c>
    </row>
    <row r="1337" spans="30:34" x14ac:dyDescent="0.2">
      <c r="AD1337" s="13" t="s">
        <v>85</v>
      </c>
      <c r="AE1337" s="126">
        <f>_xll.qlCalendarAdvance(Calendar,AE1336,AD1337,BizDayConv)</f>
        <v>45406</v>
      </c>
      <c r="AF1337" s="125">
        <f>_xll.qlYieldTSDiscount($C$31,AE1337)</f>
        <v>0.98351251957333841</v>
      </c>
      <c r="AG1337" s="125">
        <f>_xll.xlShmInterpDisc(CurveName&amp;T($C$26),AE1337)</f>
        <v>0.98351251957333841</v>
      </c>
      <c r="AH1337" s="127">
        <f t="shared" si="27"/>
        <v>0</v>
      </c>
    </row>
    <row r="1338" spans="30:34" x14ac:dyDescent="0.2">
      <c r="AD1338" s="13" t="s">
        <v>85</v>
      </c>
      <c r="AE1338" s="126">
        <f>_xll.qlCalendarAdvance(Calendar,AE1337,AD1338,BizDayConv)</f>
        <v>45414</v>
      </c>
      <c r="AF1338" s="125">
        <f>_xll.qlYieldTSDiscount($C$31,AE1338)</f>
        <v>0.98325860563834921</v>
      </c>
      <c r="AG1338" s="125">
        <f>_xll.xlShmInterpDisc(CurveName&amp;T($C$26),AE1338)</f>
        <v>0.98325860563834921</v>
      </c>
      <c r="AH1338" s="127">
        <f t="shared" si="27"/>
        <v>0</v>
      </c>
    </row>
    <row r="1339" spans="30:34" x14ac:dyDescent="0.2">
      <c r="AD1339" s="13" t="s">
        <v>85</v>
      </c>
      <c r="AE1339" s="126">
        <f>_xll.qlCalendarAdvance(Calendar,AE1338,AD1339,BizDayConv)</f>
        <v>45421</v>
      </c>
      <c r="AF1339" s="125">
        <f>_xll.qlYieldTSDiscount($C$31,AE1339)</f>
        <v>0.98303541184176191</v>
      </c>
      <c r="AG1339" s="125">
        <f>_xll.xlShmInterpDisc(CurveName&amp;T($C$26),AE1339)</f>
        <v>0.98303541184176191</v>
      </c>
      <c r="AH1339" s="127">
        <f t="shared" si="27"/>
        <v>0</v>
      </c>
    </row>
    <row r="1340" spans="30:34" x14ac:dyDescent="0.2">
      <c r="AD1340" s="13" t="s">
        <v>85</v>
      </c>
      <c r="AE1340" s="126">
        <f>_xll.qlCalendarAdvance(Calendar,AE1339,AD1340,BizDayConv)</f>
        <v>45428</v>
      </c>
      <c r="AF1340" s="125">
        <f>_xll.qlYieldTSDiscount($C$31,AE1340)</f>
        <v>0.98281127632454812</v>
      </c>
      <c r="AG1340" s="125">
        <f>_xll.xlShmInterpDisc(CurveName&amp;T($C$26),AE1340)</f>
        <v>0.98281127632454812</v>
      </c>
      <c r="AH1340" s="127">
        <f t="shared" si="27"/>
        <v>0</v>
      </c>
    </row>
    <row r="1341" spans="30:34" x14ac:dyDescent="0.2">
      <c r="AD1341" s="13" t="s">
        <v>85</v>
      </c>
      <c r="AE1341" s="126">
        <f>_xll.qlCalendarAdvance(Calendar,AE1340,AD1341,BizDayConv)</f>
        <v>45435</v>
      </c>
      <c r="AF1341" s="125">
        <f>_xll.qlYieldTSDiscount($C$31,AE1341)</f>
        <v>0.98258620819028464</v>
      </c>
      <c r="AG1341" s="125">
        <f>_xll.xlShmInterpDisc(CurveName&amp;T($C$26),AE1341)</f>
        <v>0.98258620819028464</v>
      </c>
      <c r="AH1341" s="127">
        <f t="shared" si="27"/>
        <v>0</v>
      </c>
    </row>
    <row r="1342" spans="30:34" x14ac:dyDescent="0.2">
      <c r="AD1342" s="13" t="s">
        <v>85</v>
      </c>
      <c r="AE1342" s="126">
        <f>_xll.qlCalendarAdvance(Calendar,AE1341,AD1342,BizDayConv)</f>
        <v>45442</v>
      </c>
      <c r="AF1342" s="125">
        <f>_xll.qlYieldTSDiscount($C$31,AE1342)</f>
        <v>0.98236021662941764</v>
      </c>
      <c r="AG1342" s="125">
        <f>_xll.xlShmInterpDisc(CurveName&amp;T($C$26),AE1342)</f>
        <v>0.98236021662941764</v>
      </c>
      <c r="AH1342" s="127">
        <f t="shared" si="27"/>
        <v>0</v>
      </c>
    </row>
    <row r="1343" spans="30:34" x14ac:dyDescent="0.2">
      <c r="AD1343" s="13" t="s">
        <v>85</v>
      </c>
      <c r="AE1343" s="126">
        <f>_xll.qlCalendarAdvance(Calendar,AE1342,AD1343,BizDayConv)</f>
        <v>45449</v>
      </c>
      <c r="AF1343" s="125">
        <f>_xll.qlYieldTSDiscount($C$31,AE1343)</f>
        <v>0.98213331091907319</v>
      </c>
      <c r="AG1343" s="125">
        <f>_xll.xlShmInterpDisc(CurveName&amp;T($C$26),AE1343)</f>
        <v>0.98213331091907319</v>
      </c>
      <c r="AH1343" s="127">
        <f t="shared" si="27"/>
        <v>0</v>
      </c>
    </row>
    <row r="1344" spans="30:34" x14ac:dyDescent="0.2">
      <c r="AD1344" s="13" t="s">
        <v>85</v>
      </c>
      <c r="AE1344" s="126">
        <f>_xll.qlCalendarAdvance(Calendar,AE1343,AD1344,BizDayConv)</f>
        <v>45456</v>
      </c>
      <c r="AF1344" s="125">
        <f>_xll.qlYieldTSDiscount($C$31,AE1344)</f>
        <v>0.98190550042286828</v>
      </c>
      <c r="AG1344" s="125">
        <f>_xll.xlShmInterpDisc(CurveName&amp;T($C$26),AE1344)</f>
        <v>0.98190550042286828</v>
      </c>
      <c r="AH1344" s="127">
        <f t="shared" si="27"/>
        <v>0</v>
      </c>
    </row>
    <row r="1345" spans="30:34" x14ac:dyDescent="0.2">
      <c r="AD1345" s="13" t="s">
        <v>85</v>
      </c>
      <c r="AE1345" s="126">
        <f>_xll.qlCalendarAdvance(Calendar,AE1344,AD1345,BizDayConv)</f>
        <v>45463</v>
      </c>
      <c r="AF1345" s="125">
        <f>_xll.qlYieldTSDiscount($C$31,AE1345)</f>
        <v>0.98167679459072033</v>
      </c>
      <c r="AG1345" s="125">
        <f>_xll.xlShmInterpDisc(CurveName&amp;T($C$26),AE1345)</f>
        <v>0.98167679459072033</v>
      </c>
      <c r="AH1345" s="127">
        <f t="shared" si="27"/>
        <v>0</v>
      </c>
    </row>
    <row r="1346" spans="30:34" x14ac:dyDescent="0.2">
      <c r="AD1346" s="13" t="s">
        <v>85</v>
      </c>
      <c r="AE1346" s="126">
        <f>_xll.qlCalendarAdvance(Calendar,AE1345,AD1346,BizDayConv)</f>
        <v>45470</v>
      </c>
      <c r="AF1346" s="125">
        <f>_xll.qlYieldTSDiscount($C$31,AE1346)</f>
        <v>0.98144720295865728</v>
      </c>
      <c r="AG1346" s="125">
        <f>_xll.xlShmInterpDisc(CurveName&amp;T($C$26),AE1346)</f>
        <v>0.98144720295865728</v>
      </c>
      <c r="AH1346" s="127">
        <f t="shared" si="27"/>
        <v>0</v>
      </c>
    </row>
    <row r="1347" spans="30:34" x14ac:dyDescent="0.2">
      <c r="AD1347" s="13" t="s">
        <v>85</v>
      </c>
      <c r="AE1347" s="126">
        <f>_xll.qlCalendarAdvance(Calendar,AE1346,AD1347,BizDayConv)</f>
        <v>45477</v>
      </c>
      <c r="AF1347" s="125">
        <f>_xll.qlYieldTSDiscount($C$31,AE1347)</f>
        <v>0.98121673514862662</v>
      </c>
      <c r="AG1347" s="125">
        <f>_xll.xlShmInterpDisc(CurveName&amp;T($C$26),AE1347)</f>
        <v>0.98121673514862662</v>
      </c>
      <c r="AH1347" s="127">
        <f t="shared" si="27"/>
        <v>0</v>
      </c>
    </row>
    <row r="1348" spans="30:34" x14ac:dyDescent="0.2">
      <c r="AD1348" s="13" t="s">
        <v>85</v>
      </c>
      <c r="AE1348" s="126">
        <f>_xll.qlCalendarAdvance(Calendar,AE1347,AD1348,BizDayConv)</f>
        <v>45484</v>
      </c>
      <c r="AF1348" s="125">
        <f>_xll.qlYieldTSDiscount($C$31,AE1348)</f>
        <v>0.98098540086830466</v>
      </c>
      <c r="AG1348" s="125">
        <f>_xll.xlShmInterpDisc(CurveName&amp;T($C$26),AE1348)</f>
        <v>0.98098540086830466</v>
      </c>
      <c r="AH1348" s="127">
        <f t="shared" ref="AH1348:AH1411" si="28">(AF1348-AG1348)</f>
        <v>0</v>
      </c>
    </row>
    <row r="1349" spans="30:34" x14ac:dyDescent="0.2">
      <c r="AD1349" s="13" t="s">
        <v>85</v>
      </c>
      <c r="AE1349" s="126">
        <f>_xll.qlCalendarAdvance(Calendar,AE1348,AD1349,BizDayConv)</f>
        <v>45491</v>
      </c>
      <c r="AF1349" s="125">
        <f>_xll.qlYieldTSDiscount($C$31,AE1349)</f>
        <v>0.98075320991090476</v>
      </c>
      <c r="AG1349" s="125">
        <f>_xll.xlShmInterpDisc(CurveName&amp;T($C$26),AE1349)</f>
        <v>0.98075320991090476</v>
      </c>
      <c r="AH1349" s="127">
        <f t="shared" si="28"/>
        <v>0</v>
      </c>
    </row>
    <row r="1350" spans="30:34" x14ac:dyDescent="0.2">
      <c r="AD1350" s="13" t="s">
        <v>85</v>
      </c>
      <c r="AE1350" s="126">
        <f>_xll.qlCalendarAdvance(Calendar,AE1349,AD1350,BizDayConv)</f>
        <v>45498</v>
      </c>
      <c r="AF1350" s="125">
        <f>_xll.qlYieldTSDiscount($C$31,AE1350)</f>
        <v>0.9805201721549861</v>
      </c>
      <c r="AG1350" s="125">
        <f>_xll.xlShmInterpDisc(CurveName&amp;T($C$26),AE1350)</f>
        <v>0.9805201721549861</v>
      </c>
      <c r="AH1350" s="127">
        <f t="shared" si="28"/>
        <v>0</v>
      </c>
    </row>
    <row r="1351" spans="30:34" x14ac:dyDescent="0.2">
      <c r="AD1351" s="13" t="s">
        <v>85</v>
      </c>
      <c r="AE1351" s="126">
        <f>_xll.qlCalendarAdvance(Calendar,AE1350,AD1351,BizDayConv)</f>
        <v>45505</v>
      </c>
      <c r="AF1351" s="125">
        <f>_xll.qlYieldTSDiscount($C$31,AE1351)</f>
        <v>0.98028629756426211</v>
      </c>
      <c r="AG1351" s="125">
        <f>_xll.xlShmInterpDisc(CurveName&amp;T($C$26),AE1351)</f>
        <v>0.98028629756426211</v>
      </c>
      <c r="AH1351" s="127">
        <f t="shared" si="28"/>
        <v>0</v>
      </c>
    </row>
    <row r="1352" spans="30:34" x14ac:dyDescent="0.2">
      <c r="AD1352" s="13" t="s">
        <v>85</v>
      </c>
      <c r="AE1352" s="126">
        <f>_xll.qlCalendarAdvance(Calendar,AE1351,AD1352,BizDayConv)</f>
        <v>45512</v>
      </c>
      <c r="AF1352" s="125">
        <f>_xll.qlYieldTSDiscount($C$31,AE1352)</f>
        <v>0.98005159618740778</v>
      </c>
      <c r="AG1352" s="125">
        <f>_xll.xlShmInterpDisc(CurveName&amp;T($C$26),AE1352)</f>
        <v>0.98005159618740778</v>
      </c>
      <c r="AH1352" s="127">
        <f t="shared" si="28"/>
        <v>0</v>
      </c>
    </row>
    <row r="1353" spans="30:34" x14ac:dyDescent="0.2">
      <c r="AD1353" s="13" t="s">
        <v>85</v>
      </c>
      <c r="AE1353" s="126">
        <f>_xll.qlCalendarAdvance(Calendar,AE1352,AD1353,BizDayConv)</f>
        <v>45519</v>
      </c>
      <c r="AF1353" s="125">
        <f>_xll.qlYieldTSDiscount($C$31,AE1353)</f>
        <v>0.9798160781578682</v>
      </c>
      <c r="AG1353" s="125">
        <f>_xll.xlShmInterpDisc(CurveName&amp;T($C$26),AE1353)</f>
        <v>0.9798160781578682</v>
      </c>
      <c r="AH1353" s="127">
        <f t="shared" si="28"/>
        <v>0</v>
      </c>
    </row>
    <row r="1354" spans="30:34" x14ac:dyDescent="0.2">
      <c r="AD1354" s="13" t="s">
        <v>85</v>
      </c>
      <c r="AE1354" s="126">
        <f>_xll.qlCalendarAdvance(Calendar,AE1353,AD1354,BizDayConv)</f>
        <v>45526</v>
      </c>
      <c r="AF1354" s="125">
        <f>_xll.qlYieldTSDiscount($C$31,AE1354)</f>
        <v>0.97957975369366557</v>
      </c>
      <c r="AG1354" s="125">
        <f>_xll.xlShmInterpDisc(CurveName&amp;T($C$26),AE1354)</f>
        <v>0.97957975369366557</v>
      </c>
      <c r="AH1354" s="127">
        <f t="shared" si="28"/>
        <v>0</v>
      </c>
    </row>
    <row r="1355" spans="30:34" x14ac:dyDescent="0.2">
      <c r="AD1355" s="13" t="s">
        <v>85</v>
      </c>
      <c r="AE1355" s="126">
        <f>_xll.qlCalendarAdvance(Calendar,AE1354,AD1355,BizDayConv)</f>
        <v>45533</v>
      </c>
      <c r="AF1355" s="125">
        <f>_xll.qlYieldTSDiscount($C$31,AE1355)</f>
        <v>0.97934263309720759</v>
      </c>
      <c r="AG1355" s="125">
        <f>_xll.xlShmInterpDisc(CurveName&amp;T($C$26),AE1355)</f>
        <v>0.97934263309720759</v>
      </c>
      <c r="AH1355" s="127">
        <f t="shared" si="28"/>
        <v>0</v>
      </c>
    </row>
    <row r="1356" spans="30:34" x14ac:dyDescent="0.2">
      <c r="AD1356" s="13" t="s">
        <v>85</v>
      </c>
      <c r="AE1356" s="126">
        <f>_xll.qlCalendarAdvance(Calendar,AE1355,AD1356,BizDayConv)</f>
        <v>45540</v>
      </c>
      <c r="AF1356" s="125">
        <f>_xll.qlYieldTSDiscount($C$31,AE1356)</f>
        <v>0.9791047267550943</v>
      </c>
      <c r="AG1356" s="125">
        <f>_xll.xlShmInterpDisc(CurveName&amp;T($C$26),AE1356)</f>
        <v>0.9791047267550943</v>
      </c>
      <c r="AH1356" s="127">
        <f t="shared" si="28"/>
        <v>0</v>
      </c>
    </row>
    <row r="1357" spans="30:34" x14ac:dyDescent="0.2">
      <c r="AD1357" s="13" t="s">
        <v>85</v>
      </c>
      <c r="AE1357" s="126">
        <f>_xll.qlCalendarAdvance(Calendar,AE1356,AD1357,BizDayConv)</f>
        <v>45547</v>
      </c>
      <c r="AF1357" s="125">
        <f>_xll.qlYieldTSDiscount($C$31,AE1357)</f>
        <v>0.97886604513792597</v>
      </c>
      <c r="AG1357" s="125">
        <f>_xll.xlShmInterpDisc(CurveName&amp;T($C$26),AE1357)</f>
        <v>0.97886604513792597</v>
      </c>
      <c r="AH1357" s="127">
        <f t="shared" si="28"/>
        <v>0</v>
      </c>
    </row>
    <row r="1358" spans="30:34" x14ac:dyDescent="0.2">
      <c r="AD1358" s="13" t="s">
        <v>85</v>
      </c>
      <c r="AE1358" s="126">
        <f>_xll.qlCalendarAdvance(Calendar,AE1357,AD1358,BizDayConv)</f>
        <v>45554</v>
      </c>
      <c r="AF1358" s="125">
        <f>_xll.qlYieldTSDiscount($C$31,AE1358)</f>
        <v>0.97862659880011049</v>
      </c>
      <c r="AG1358" s="125">
        <f>_xll.xlShmInterpDisc(CurveName&amp;T($C$26),AE1358)</f>
        <v>0.97862659880011049</v>
      </c>
      <c r="AH1358" s="127">
        <f t="shared" si="28"/>
        <v>0</v>
      </c>
    </row>
    <row r="1359" spans="30:34" x14ac:dyDescent="0.2">
      <c r="AD1359" s="13" t="s">
        <v>85</v>
      </c>
      <c r="AE1359" s="126">
        <f>_xll.qlCalendarAdvance(Calendar,AE1358,AD1359,BizDayConv)</f>
        <v>45561</v>
      </c>
      <c r="AF1359" s="125">
        <f>_xll.qlYieldTSDiscount($C$31,AE1359)</f>
        <v>0.97838639837967067</v>
      </c>
      <c r="AG1359" s="125">
        <f>_xll.xlShmInterpDisc(CurveName&amp;T($C$26),AE1359)</f>
        <v>0.97838639837967067</v>
      </c>
      <c r="AH1359" s="127">
        <f t="shared" si="28"/>
        <v>0</v>
      </c>
    </row>
    <row r="1360" spans="30:34" x14ac:dyDescent="0.2">
      <c r="AD1360" s="13" t="s">
        <v>85</v>
      </c>
      <c r="AE1360" s="126">
        <f>_xll.qlCalendarAdvance(Calendar,AE1359,AD1360,BizDayConv)</f>
        <v>45568</v>
      </c>
      <c r="AF1360" s="125">
        <f>_xll.qlYieldTSDiscount($C$31,AE1360)</f>
        <v>0.97814545459805224</v>
      </c>
      <c r="AG1360" s="125">
        <f>_xll.xlShmInterpDisc(CurveName&amp;T($C$26),AE1360)</f>
        <v>0.97814545459805224</v>
      </c>
      <c r="AH1360" s="127">
        <f t="shared" si="28"/>
        <v>0</v>
      </c>
    </row>
    <row r="1361" spans="30:34" x14ac:dyDescent="0.2">
      <c r="AD1361" s="13" t="s">
        <v>85</v>
      </c>
      <c r="AE1361" s="126">
        <f>_xll.qlCalendarAdvance(Calendar,AE1360,AD1361,BizDayConv)</f>
        <v>45575</v>
      </c>
      <c r="AF1361" s="125">
        <f>_xll.qlYieldTSDiscount($C$31,AE1361)</f>
        <v>0.97790377825993124</v>
      </c>
      <c r="AG1361" s="125">
        <f>_xll.xlShmInterpDisc(CurveName&amp;T($C$26),AE1361)</f>
        <v>0.97790377825993124</v>
      </c>
      <c r="AH1361" s="127">
        <f t="shared" si="28"/>
        <v>0</v>
      </c>
    </row>
    <row r="1362" spans="30:34" x14ac:dyDescent="0.2">
      <c r="AD1362" s="13" t="s">
        <v>85</v>
      </c>
      <c r="AE1362" s="126">
        <f>_xll.qlCalendarAdvance(Calendar,AE1361,AD1362,BizDayConv)</f>
        <v>45582</v>
      </c>
      <c r="AF1362" s="125">
        <f>_xll.qlYieldTSDiscount($C$31,AE1362)</f>
        <v>0.97766138025302163</v>
      </c>
      <c r="AG1362" s="125">
        <f>_xll.xlShmInterpDisc(CurveName&amp;T($C$26),AE1362)</f>
        <v>0.97766138025302163</v>
      </c>
      <c r="AH1362" s="127">
        <f t="shared" si="28"/>
        <v>0</v>
      </c>
    </row>
    <row r="1363" spans="30:34" x14ac:dyDescent="0.2">
      <c r="AD1363" s="13" t="s">
        <v>85</v>
      </c>
      <c r="AE1363" s="126">
        <f>_xll.qlCalendarAdvance(Calendar,AE1362,AD1363,BizDayConv)</f>
        <v>45589</v>
      </c>
      <c r="AF1363" s="125">
        <f>_xll.qlYieldTSDiscount($C$31,AE1363)</f>
        <v>0.97741827154788397</v>
      </c>
      <c r="AG1363" s="125">
        <f>_xll.xlShmInterpDisc(CurveName&amp;T($C$26),AE1363)</f>
        <v>0.97741827154788397</v>
      </c>
      <c r="AH1363" s="127">
        <f t="shared" si="28"/>
        <v>0</v>
      </c>
    </row>
    <row r="1364" spans="30:34" x14ac:dyDescent="0.2">
      <c r="AD1364" s="13" t="s">
        <v>85</v>
      </c>
      <c r="AE1364" s="126">
        <f>_xll.qlCalendarAdvance(Calendar,AE1363,AD1364,BizDayConv)</f>
        <v>45596</v>
      </c>
      <c r="AF1364" s="125">
        <f>_xll.qlYieldTSDiscount($C$31,AE1364)</f>
        <v>0.97717446319773282</v>
      </c>
      <c r="AG1364" s="125">
        <f>_xll.xlShmInterpDisc(CurveName&amp;T($C$26),AE1364)</f>
        <v>0.97717446319773282</v>
      </c>
      <c r="AH1364" s="127">
        <f t="shared" si="28"/>
        <v>0</v>
      </c>
    </row>
    <row r="1365" spans="30:34" x14ac:dyDescent="0.2">
      <c r="AD1365" s="13" t="s">
        <v>85</v>
      </c>
      <c r="AE1365" s="126">
        <f>_xll.qlCalendarAdvance(Calendar,AE1364,AD1365,BizDayConv)</f>
        <v>45603</v>
      </c>
      <c r="AF1365" s="125">
        <f>_xll.qlYieldTSDiscount($C$31,AE1365)</f>
        <v>0.97692996633824558</v>
      </c>
      <c r="AG1365" s="125">
        <f>_xll.xlShmInterpDisc(CurveName&amp;T($C$26),AE1365)</f>
        <v>0.97692996633824558</v>
      </c>
      <c r="AH1365" s="127">
        <f t="shared" si="28"/>
        <v>0</v>
      </c>
    </row>
    <row r="1366" spans="30:34" x14ac:dyDescent="0.2">
      <c r="AD1366" s="13" t="s">
        <v>85</v>
      </c>
      <c r="AE1366" s="126">
        <f>_xll.qlCalendarAdvance(Calendar,AE1365,AD1366,BizDayConv)</f>
        <v>45610</v>
      </c>
      <c r="AF1366" s="125">
        <f>_xll.qlYieldTSDiscount($C$31,AE1366)</f>
        <v>0.97668479218737092</v>
      </c>
      <c r="AG1366" s="125">
        <f>_xll.xlShmInterpDisc(CurveName&amp;T($C$26),AE1366)</f>
        <v>0.97668479218737092</v>
      </c>
      <c r="AH1366" s="127">
        <f t="shared" si="28"/>
        <v>0</v>
      </c>
    </row>
    <row r="1367" spans="30:34" x14ac:dyDescent="0.2">
      <c r="AD1367" s="13" t="s">
        <v>85</v>
      </c>
      <c r="AE1367" s="126">
        <f>_xll.qlCalendarAdvance(Calendar,AE1366,AD1367,BizDayConv)</f>
        <v>45617</v>
      </c>
      <c r="AF1367" s="125">
        <f>_xll.qlYieldTSDiscount($C$31,AE1367)</f>
        <v>0.9764389520451382</v>
      </c>
      <c r="AG1367" s="125">
        <f>_xll.xlShmInterpDisc(CurveName&amp;T($C$26),AE1367)</f>
        <v>0.9764389520451382</v>
      </c>
      <c r="AH1367" s="127">
        <f t="shared" si="28"/>
        <v>0</v>
      </c>
    </row>
    <row r="1368" spans="30:34" x14ac:dyDescent="0.2">
      <c r="AD1368" s="13" t="s">
        <v>85</v>
      </c>
      <c r="AE1368" s="126">
        <f>_xll.qlCalendarAdvance(Calendar,AE1367,AD1368,BizDayConv)</f>
        <v>45624</v>
      </c>
      <c r="AF1368" s="125">
        <f>_xll.qlYieldTSDiscount($C$31,AE1368)</f>
        <v>0.97619245729346615</v>
      </c>
      <c r="AG1368" s="125">
        <f>_xll.xlShmInterpDisc(CurveName&amp;T($C$26),AE1368)</f>
        <v>0.97619245729346615</v>
      </c>
      <c r="AH1368" s="127">
        <f t="shared" si="28"/>
        <v>0</v>
      </c>
    </row>
    <row r="1369" spans="30:34" x14ac:dyDescent="0.2">
      <c r="AD1369" s="13" t="s">
        <v>85</v>
      </c>
      <c r="AE1369" s="126">
        <f>_xll.qlCalendarAdvance(Calendar,AE1368,AD1369,BizDayConv)</f>
        <v>45631</v>
      </c>
      <c r="AF1369" s="125">
        <f>_xll.qlYieldTSDiscount($C$31,AE1369)</f>
        <v>0.97594531939597318</v>
      </c>
      <c r="AG1369" s="125">
        <f>_xll.xlShmInterpDisc(CurveName&amp;T($C$26),AE1369)</f>
        <v>0.97594531939597318</v>
      </c>
      <c r="AH1369" s="127">
        <f t="shared" si="28"/>
        <v>0</v>
      </c>
    </row>
    <row r="1370" spans="30:34" x14ac:dyDescent="0.2">
      <c r="AD1370" s="13" t="s">
        <v>85</v>
      </c>
      <c r="AE1370" s="126">
        <f>_xll.qlCalendarAdvance(Calendar,AE1369,AD1370,BizDayConv)</f>
        <v>45638</v>
      </c>
      <c r="AF1370" s="125">
        <f>_xll.qlYieldTSDiscount($C$31,AE1370)</f>
        <v>0.9756975498977869</v>
      </c>
      <c r="AG1370" s="125">
        <f>_xll.xlShmInterpDisc(CurveName&amp;T($C$26),AE1370)</f>
        <v>0.9756975498977869</v>
      </c>
      <c r="AH1370" s="127">
        <f t="shared" si="28"/>
        <v>0</v>
      </c>
    </row>
    <row r="1371" spans="30:34" x14ac:dyDescent="0.2">
      <c r="AD1371" s="13" t="s">
        <v>85</v>
      </c>
      <c r="AE1371" s="126">
        <f>_xll.qlCalendarAdvance(Calendar,AE1370,AD1371,BizDayConv)</f>
        <v>45645</v>
      </c>
      <c r="AF1371" s="125">
        <f>_xll.qlYieldTSDiscount($C$31,AE1371)</f>
        <v>0.97544916042535523</v>
      </c>
      <c r="AG1371" s="125">
        <f>_xll.xlShmInterpDisc(CurveName&amp;T($C$26),AE1371)</f>
        <v>0.97544916042535523</v>
      </c>
      <c r="AH1371" s="127">
        <f t="shared" si="28"/>
        <v>0</v>
      </c>
    </row>
    <row r="1372" spans="30:34" x14ac:dyDescent="0.2">
      <c r="AD1372" s="13" t="s">
        <v>85</v>
      </c>
      <c r="AE1372" s="126">
        <f>_xll.qlCalendarAdvance(Calendar,AE1371,AD1372,BizDayConv)</f>
        <v>45653</v>
      </c>
      <c r="AF1372" s="125">
        <f>_xll.qlYieldTSDiscount($C$31,AE1372)</f>
        <v>0.97516454261261731</v>
      </c>
      <c r="AG1372" s="125">
        <f>_xll.xlShmInterpDisc(CurveName&amp;T($C$26),AE1372)</f>
        <v>0.97516454261261731</v>
      </c>
      <c r="AH1372" s="127">
        <f t="shared" si="28"/>
        <v>0</v>
      </c>
    </row>
    <row r="1373" spans="30:34" x14ac:dyDescent="0.2">
      <c r="AD1373" s="13" t="s">
        <v>85</v>
      </c>
      <c r="AE1373" s="126">
        <f>_xll.qlCalendarAdvance(Calendar,AE1372,AD1373,BizDayConv)</f>
        <v>45660</v>
      </c>
      <c r="AF1373" s="125">
        <f>_xll.qlYieldTSDiscount($C$31,AE1373)</f>
        <v>0.97491486415124995</v>
      </c>
      <c r="AG1373" s="125">
        <f>_xll.xlShmInterpDisc(CurveName&amp;T($C$26),AE1373)</f>
        <v>0.97491486415124995</v>
      </c>
      <c r="AH1373" s="127">
        <f t="shared" si="28"/>
        <v>0</v>
      </c>
    </row>
    <row r="1374" spans="30:34" x14ac:dyDescent="0.2">
      <c r="AD1374" s="13" t="s">
        <v>85</v>
      </c>
      <c r="AE1374" s="126">
        <f>_xll.qlCalendarAdvance(Calendar,AE1373,AD1374,BizDayConv)</f>
        <v>45667</v>
      </c>
      <c r="AF1374" s="125">
        <f>_xll.qlYieldTSDiscount($C$31,AE1374)</f>
        <v>0.97466442733467296</v>
      </c>
      <c r="AG1374" s="125">
        <f>_xll.xlShmInterpDisc(CurveName&amp;T($C$26),AE1374)</f>
        <v>0.97466442733467296</v>
      </c>
      <c r="AH1374" s="127">
        <f t="shared" si="28"/>
        <v>0</v>
      </c>
    </row>
    <row r="1375" spans="30:34" x14ac:dyDescent="0.2">
      <c r="AD1375" s="13" t="s">
        <v>85</v>
      </c>
      <c r="AE1375" s="126">
        <f>_xll.qlCalendarAdvance(Calendar,AE1374,AD1375,BizDayConv)</f>
        <v>45674</v>
      </c>
      <c r="AF1375" s="125">
        <f>_xll.qlYieldTSDiscount($C$31,AE1375)</f>
        <v>0.97441306774682668</v>
      </c>
      <c r="AG1375" s="125">
        <f>_xll.xlShmInterpDisc(CurveName&amp;T($C$26),AE1375)</f>
        <v>0.97441306774682668</v>
      </c>
      <c r="AH1375" s="127">
        <f t="shared" si="28"/>
        <v>0</v>
      </c>
    </row>
    <row r="1376" spans="30:34" x14ac:dyDescent="0.2">
      <c r="AD1376" s="13" t="s">
        <v>85</v>
      </c>
      <c r="AE1376" s="126">
        <f>_xll.qlCalendarAdvance(Calendar,AE1375,AD1376,BizDayConv)</f>
        <v>45681</v>
      </c>
      <c r="AF1376" s="125">
        <f>_xll.qlYieldTSDiscount($C$31,AE1376)</f>
        <v>0.97416079604463868</v>
      </c>
      <c r="AG1376" s="125">
        <f>_xll.xlShmInterpDisc(CurveName&amp;T($C$26),AE1376)</f>
        <v>0.97416079604463868</v>
      </c>
      <c r="AH1376" s="127">
        <f t="shared" si="28"/>
        <v>0</v>
      </c>
    </row>
    <row r="1377" spans="30:34" x14ac:dyDescent="0.2">
      <c r="AD1377" s="13" t="s">
        <v>85</v>
      </c>
      <c r="AE1377" s="126">
        <f>_xll.qlCalendarAdvance(Calendar,AE1376,AD1377,BizDayConv)</f>
        <v>45688</v>
      </c>
      <c r="AF1377" s="125">
        <f>_xll.qlYieldTSDiscount($C$31,AE1377)</f>
        <v>0.97390762297654998</v>
      </c>
      <c r="AG1377" s="125">
        <f>_xll.xlShmInterpDisc(CurveName&amp;T($C$26),AE1377)</f>
        <v>0.97390762297654998</v>
      </c>
      <c r="AH1377" s="127">
        <f t="shared" si="28"/>
        <v>0</v>
      </c>
    </row>
    <row r="1378" spans="30:34" x14ac:dyDescent="0.2">
      <c r="AD1378" s="13" t="s">
        <v>85</v>
      </c>
      <c r="AE1378" s="126">
        <f>_xll.qlCalendarAdvance(Calendar,AE1377,AD1378,BizDayConv)</f>
        <v>45695</v>
      </c>
      <c r="AF1378" s="125">
        <f>_xll.qlYieldTSDiscount($C$31,AE1378)</f>
        <v>0.97365355938228926</v>
      </c>
      <c r="AG1378" s="125">
        <f>_xll.xlShmInterpDisc(CurveName&amp;T($C$26),AE1378)</f>
        <v>0.97365355938228926</v>
      </c>
      <c r="AH1378" s="127">
        <f t="shared" si="28"/>
        <v>0</v>
      </c>
    </row>
    <row r="1379" spans="30:34" x14ac:dyDescent="0.2">
      <c r="AD1379" s="13" t="s">
        <v>85</v>
      </c>
      <c r="AE1379" s="126">
        <f>_xll.qlCalendarAdvance(Calendar,AE1378,AD1379,BizDayConv)</f>
        <v>45702</v>
      </c>
      <c r="AF1379" s="125">
        <f>_xll.qlYieldTSDiscount($C$31,AE1379)</f>
        <v>0.97339861619264823</v>
      </c>
      <c r="AG1379" s="125">
        <f>_xll.xlShmInterpDisc(CurveName&amp;T($C$26),AE1379)</f>
        <v>0.97339861619264823</v>
      </c>
      <c r="AH1379" s="127">
        <f t="shared" si="28"/>
        <v>0</v>
      </c>
    </row>
    <row r="1380" spans="30:34" x14ac:dyDescent="0.2">
      <c r="AD1380" s="13" t="s">
        <v>85</v>
      </c>
      <c r="AE1380" s="126">
        <f>_xll.qlCalendarAdvance(Calendar,AE1379,AD1380,BizDayConv)</f>
        <v>45709</v>
      </c>
      <c r="AF1380" s="125">
        <f>_xll.qlYieldTSDiscount($C$31,AE1380)</f>
        <v>0.97314280442925538</v>
      </c>
      <c r="AG1380" s="125">
        <f>_xll.xlShmInterpDisc(CurveName&amp;T($C$26),AE1380)</f>
        <v>0.97314280442925538</v>
      </c>
      <c r="AH1380" s="127">
        <f t="shared" si="28"/>
        <v>0</v>
      </c>
    </row>
    <row r="1381" spans="30:34" x14ac:dyDescent="0.2">
      <c r="AD1381" s="13" t="s">
        <v>85</v>
      </c>
      <c r="AE1381" s="126">
        <f>_xll.qlCalendarAdvance(Calendar,AE1380,AD1381,BizDayConv)</f>
        <v>45716</v>
      </c>
      <c r="AF1381" s="125">
        <f>_xll.qlYieldTSDiscount($C$31,AE1381)</f>
        <v>0.97288613520435019</v>
      </c>
      <c r="AG1381" s="125">
        <f>_xll.xlShmInterpDisc(CurveName&amp;T($C$26),AE1381)</f>
        <v>0.97288613520435019</v>
      </c>
      <c r="AH1381" s="127">
        <f t="shared" si="28"/>
        <v>0</v>
      </c>
    </row>
    <row r="1382" spans="30:34" x14ac:dyDescent="0.2">
      <c r="AD1382" s="13" t="s">
        <v>85</v>
      </c>
      <c r="AE1382" s="126">
        <f>_xll.qlCalendarAdvance(Calendar,AE1381,AD1382,BizDayConv)</f>
        <v>45723</v>
      </c>
      <c r="AF1382" s="125">
        <f>_xll.qlYieldTSDiscount($C$31,AE1382)</f>
        <v>0.97262861972055803</v>
      </c>
      <c r="AG1382" s="125">
        <f>_xll.xlShmInterpDisc(CurveName&amp;T($C$26),AE1382)</f>
        <v>0.97262861972055803</v>
      </c>
      <c r="AH1382" s="127">
        <f t="shared" si="28"/>
        <v>0</v>
      </c>
    </row>
    <row r="1383" spans="30:34" x14ac:dyDescent="0.2">
      <c r="AD1383" s="13" t="s">
        <v>85</v>
      </c>
      <c r="AE1383" s="126">
        <f>_xll.qlCalendarAdvance(Calendar,AE1382,AD1383,BizDayConv)</f>
        <v>45730</v>
      </c>
      <c r="AF1383" s="125">
        <f>_xll.qlYieldTSDiscount($C$31,AE1383)</f>
        <v>0.97237026927066372</v>
      </c>
      <c r="AG1383" s="125">
        <f>_xll.xlShmInterpDisc(CurveName&amp;T($C$26),AE1383)</f>
        <v>0.97237026927066372</v>
      </c>
      <c r="AH1383" s="127">
        <f t="shared" si="28"/>
        <v>0</v>
      </c>
    </row>
    <row r="1384" spans="30:34" x14ac:dyDescent="0.2">
      <c r="AD1384" s="13" t="s">
        <v>85</v>
      </c>
      <c r="AE1384" s="126">
        <f>_xll.qlCalendarAdvance(Calendar,AE1383,AD1384,BizDayConv)</f>
        <v>45737</v>
      </c>
      <c r="AF1384" s="125">
        <f>_xll.qlYieldTSDiscount($C$31,AE1384)</f>
        <v>0.97211109523738559</v>
      </c>
      <c r="AG1384" s="125">
        <f>_xll.xlShmInterpDisc(CurveName&amp;T($C$26),AE1384)</f>
        <v>0.97211109523738559</v>
      </c>
      <c r="AH1384" s="127">
        <f t="shared" si="28"/>
        <v>0</v>
      </c>
    </row>
    <row r="1385" spans="30:34" x14ac:dyDescent="0.2">
      <c r="AD1385" s="13" t="s">
        <v>85</v>
      </c>
      <c r="AE1385" s="126">
        <f>_xll.qlCalendarAdvance(Calendar,AE1384,AD1385,BizDayConv)</f>
        <v>45744</v>
      </c>
      <c r="AF1385" s="125">
        <f>_xll.qlYieldTSDiscount($C$31,AE1385)</f>
        <v>0.97185110909314998</v>
      </c>
      <c r="AG1385" s="125">
        <f>_xll.xlShmInterpDisc(CurveName&amp;T($C$26),AE1385)</f>
        <v>0.97185110909314998</v>
      </c>
      <c r="AH1385" s="127">
        <f t="shared" si="28"/>
        <v>0</v>
      </c>
    </row>
    <row r="1386" spans="30:34" x14ac:dyDescent="0.2">
      <c r="AD1386" s="13" t="s">
        <v>85</v>
      </c>
      <c r="AE1386" s="126">
        <f>_xll.qlCalendarAdvance(Calendar,AE1385,AD1386,BizDayConv)</f>
        <v>45751</v>
      </c>
      <c r="AF1386" s="125">
        <f>_xll.qlYieldTSDiscount($C$31,AE1386)</f>
        <v>0.97159032239986554</v>
      </c>
      <c r="AG1386" s="125">
        <f>_xll.xlShmInterpDisc(CurveName&amp;T($C$26),AE1386)</f>
        <v>0.97159032239986554</v>
      </c>
      <c r="AH1386" s="127">
        <f t="shared" si="28"/>
        <v>0</v>
      </c>
    </row>
    <row r="1387" spans="30:34" x14ac:dyDescent="0.2">
      <c r="AD1387" s="13" t="s">
        <v>85</v>
      </c>
      <c r="AE1387" s="126">
        <f>_xll.qlCalendarAdvance(Calendar,AE1386,AD1387,BizDayConv)</f>
        <v>45758</v>
      </c>
      <c r="AF1387" s="125">
        <f>_xll.qlYieldTSDiscount($C$31,AE1387)</f>
        <v>0.97132874680869719</v>
      </c>
      <c r="AG1387" s="125">
        <f>_xll.xlShmInterpDisc(CurveName&amp;T($C$26),AE1387)</f>
        <v>0.97132874680869719</v>
      </c>
      <c r="AH1387" s="127">
        <f t="shared" si="28"/>
        <v>0</v>
      </c>
    </row>
    <row r="1388" spans="30:34" x14ac:dyDescent="0.2">
      <c r="AD1388" s="13" t="s">
        <v>85</v>
      </c>
      <c r="AE1388" s="126">
        <f>_xll.qlCalendarAdvance(Calendar,AE1387,AD1388,BizDayConv)</f>
        <v>45769</v>
      </c>
      <c r="AF1388" s="125">
        <f>_xll.qlYieldTSDiscount($C$31,AE1388)</f>
        <v>0.97091613382402375</v>
      </c>
      <c r="AG1388" s="125">
        <f>_xll.xlShmInterpDisc(CurveName&amp;T($C$26),AE1388)</f>
        <v>0.97091613382402375</v>
      </c>
      <c r="AH1388" s="127">
        <f t="shared" si="28"/>
        <v>0</v>
      </c>
    </row>
    <row r="1389" spans="30:34" x14ac:dyDescent="0.2">
      <c r="AD1389" s="13" t="s">
        <v>85</v>
      </c>
      <c r="AE1389" s="126">
        <f>_xll.qlCalendarAdvance(Calendar,AE1388,AD1389,BizDayConv)</f>
        <v>45776</v>
      </c>
      <c r="AF1389" s="125">
        <f>_xll.qlYieldTSDiscount($C$31,AE1389)</f>
        <v>0.97065258376088215</v>
      </c>
      <c r="AG1389" s="125">
        <f>_xll.xlShmInterpDisc(CurveName&amp;T($C$26),AE1389)</f>
        <v>0.97065258376088215</v>
      </c>
      <c r="AH1389" s="127">
        <f t="shared" si="28"/>
        <v>0</v>
      </c>
    </row>
    <row r="1390" spans="30:34" x14ac:dyDescent="0.2">
      <c r="AD1390" s="13" t="s">
        <v>85</v>
      </c>
      <c r="AE1390" s="126">
        <f>_xll.qlCalendarAdvance(Calendar,AE1389,AD1390,BizDayConv)</f>
        <v>45783</v>
      </c>
      <c r="AF1390" s="125">
        <f>_xll.qlYieldTSDiscount($C$31,AE1390)</f>
        <v>0.97038828713636771</v>
      </c>
      <c r="AG1390" s="125">
        <f>_xll.xlShmInterpDisc(CurveName&amp;T($C$26),AE1390)</f>
        <v>0.97038828713636771</v>
      </c>
      <c r="AH1390" s="127">
        <f t="shared" si="28"/>
        <v>0</v>
      </c>
    </row>
    <row r="1391" spans="30:34" x14ac:dyDescent="0.2">
      <c r="AD1391" s="13" t="s">
        <v>85</v>
      </c>
      <c r="AE1391" s="126">
        <f>_xll.qlCalendarAdvance(Calendar,AE1390,AD1391,BizDayConv)</f>
        <v>45790</v>
      </c>
      <c r="AF1391" s="125">
        <f>_xll.qlYieldTSDiscount($C$31,AE1391)</f>
        <v>0.97012325600680682</v>
      </c>
      <c r="AG1391" s="125">
        <f>_xll.xlShmInterpDisc(CurveName&amp;T($C$26),AE1391)</f>
        <v>0.97012325600680682</v>
      </c>
      <c r="AH1391" s="127">
        <f t="shared" si="28"/>
        <v>0</v>
      </c>
    </row>
    <row r="1392" spans="30:34" x14ac:dyDescent="0.2">
      <c r="AD1392" s="13" t="s">
        <v>85</v>
      </c>
      <c r="AE1392" s="126">
        <f>_xll.qlCalendarAdvance(Calendar,AE1391,AD1392,BizDayConv)</f>
        <v>45797</v>
      </c>
      <c r="AF1392" s="125">
        <f>_xll.qlYieldTSDiscount($C$31,AE1392)</f>
        <v>0.96985750251652869</v>
      </c>
      <c r="AG1392" s="125">
        <f>_xll.xlShmInterpDisc(CurveName&amp;T($C$26),AE1392)</f>
        <v>0.96985750251652869</v>
      </c>
      <c r="AH1392" s="127">
        <f t="shared" si="28"/>
        <v>0</v>
      </c>
    </row>
    <row r="1393" spans="30:34" x14ac:dyDescent="0.2">
      <c r="AD1393" s="13" t="s">
        <v>85</v>
      </c>
      <c r="AE1393" s="126">
        <f>_xll.qlCalendarAdvance(Calendar,AE1392,AD1393,BizDayConv)</f>
        <v>45804</v>
      </c>
      <c r="AF1393" s="125">
        <f>_xll.qlYieldTSDiscount($C$31,AE1393)</f>
        <v>0.96959103889764198</v>
      </c>
      <c r="AG1393" s="125">
        <f>_xll.xlShmInterpDisc(CurveName&amp;T($C$26),AE1393)</f>
        <v>0.96959103889764198</v>
      </c>
      <c r="AH1393" s="127">
        <f t="shared" si="28"/>
        <v>0</v>
      </c>
    </row>
    <row r="1394" spans="30:34" x14ac:dyDescent="0.2">
      <c r="AD1394" s="13" t="s">
        <v>85</v>
      </c>
      <c r="AE1394" s="126">
        <f>_xll.qlCalendarAdvance(Calendar,AE1393,AD1394,BizDayConv)</f>
        <v>45811</v>
      </c>
      <c r="AF1394" s="125">
        <f>_xll.qlYieldTSDiscount($C$31,AE1394)</f>
        <v>0.96932387746981097</v>
      </c>
      <c r="AG1394" s="125">
        <f>_xll.xlShmInterpDisc(CurveName&amp;T($C$26),AE1394)</f>
        <v>0.96932387746981097</v>
      </c>
      <c r="AH1394" s="127">
        <f t="shared" si="28"/>
        <v>0</v>
      </c>
    </row>
    <row r="1395" spans="30:34" x14ac:dyDescent="0.2">
      <c r="AD1395" s="13" t="s">
        <v>85</v>
      </c>
      <c r="AE1395" s="126">
        <f>_xll.qlCalendarAdvance(Calendar,AE1394,AD1395,BizDayConv)</f>
        <v>45818</v>
      </c>
      <c r="AF1395" s="125">
        <f>_xll.qlYieldTSDiscount($C$31,AE1395)</f>
        <v>0.96905603064003276</v>
      </c>
      <c r="AG1395" s="125">
        <f>_xll.xlShmInterpDisc(CurveName&amp;T($C$26),AE1395)</f>
        <v>0.96905603064003276</v>
      </c>
      <c r="AH1395" s="127">
        <f t="shared" si="28"/>
        <v>0</v>
      </c>
    </row>
    <row r="1396" spans="30:34" x14ac:dyDescent="0.2">
      <c r="AD1396" s="13" t="s">
        <v>85</v>
      </c>
      <c r="AE1396" s="126">
        <f>_xll.qlCalendarAdvance(Calendar,AE1395,AD1396,BizDayConv)</f>
        <v>45825</v>
      </c>
      <c r="AF1396" s="125">
        <f>_xll.qlYieldTSDiscount($C$31,AE1396)</f>
        <v>0.96878751090241444</v>
      </c>
      <c r="AG1396" s="125">
        <f>_xll.xlShmInterpDisc(CurveName&amp;T($C$26),AE1396)</f>
        <v>0.96878751090241444</v>
      </c>
      <c r="AH1396" s="127">
        <f t="shared" si="28"/>
        <v>0</v>
      </c>
    </row>
    <row r="1397" spans="30:34" x14ac:dyDescent="0.2">
      <c r="AD1397" s="13" t="s">
        <v>85</v>
      </c>
      <c r="AE1397" s="126">
        <f>_xll.qlCalendarAdvance(Calendar,AE1396,AD1397,BizDayConv)</f>
        <v>45832</v>
      </c>
      <c r="AF1397" s="125">
        <f>_xll.qlYieldTSDiscount($C$31,AE1397)</f>
        <v>0.96851833083795136</v>
      </c>
      <c r="AG1397" s="125">
        <f>_xll.xlShmInterpDisc(CurveName&amp;T($C$26),AE1397)</f>
        <v>0.96851833083795136</v>
      </c>
      <c r="AH1397" s="127">
        <f t="shared" si="28"/>
        <v>0</v>
      </c>
    </row>
    <row r="1398" spans="30:34" x14ac:dyDescent="0.2">
      <c r="AD1398" s="13" t="s">
        <v>85</v>
      </c>
      <c r="AE1398" s="126">
        <f>_xll.qlCalendarAdvance(Calendar,AE1397,AD1398,BizDayConv)</f>
        <v>45839</v>
      </c>
      <c r="AF1398" s="125">
        <f>_xll.qlYieldTSDiscount($C$31,AE1398)</f>
        <v>0.96824850311430544</v>
      </c>
      <c r="AG1398" s="125">
        <f>_xll.xlShmInterpDisc(CurveName&amp;T($C$26),AE1398)</f>
        <v>0.96824850311430544</v>
      </c>
      <c r="AH1398" s="127">
        <f t="shared" si="28"/>
        <v>0</v>
      </c>
    </row>
    <row r="1399" spans="30:34" x14ac:dyDescent="0.2">
      <c r="AD1399" s="13" t="s">
        <v>85</v>
      </c>
      <c r="AE1399" s="126">
        <f>_xll.qlCalendarAdvance(Calendar,AE1398,AD1399,BizDayConv)</f>
        <v>45846</v>
      </c>
      <c r="AF1399" s="125">
        <f>_xll.qlYieldTSDiscount($C$31,AE1399)</f>
        <v>0.96797804048558456</v>
      </c>
      <c r="AG1399" s="125">
        <f>_xll.xlShmInterpDisc(CurveName&amp;T($C$26),AE1399)</f>
        <v>0.96797804048558456</v>
      </c>
      <c r="AH1399" s="127">
        <f t="shared" si="28"/>
        <v>0</v>
      </c>
    </row>
    <row r="1400" spans="30:34" x14ac:dyDescent="0.2">
      <c r="AD1400" s="13" t="s">
        <v>85</v>
      </c>
      <c r="AE1400" s="126">
        <f>_xll.qlCalendarAdvance(Calendar,AE1399,AD1400,BizDayConv)</f>
        <v>45853</v>
      </c>
      <c r="AF1400" s="125">
        <f>_xll.qlYieldTSDiscount($C$31,AE1400)</f>
        <v>0.9677069557921224</v>
      </c>
      <c r="AG1400" s="125">
        <f>_xll.xlShmInterpDisc(CurveName&amp;T($C$26),AE1400)</f>
        <v>0.9677069557921224</v>
      </c>
      <c r="AH1400" s="127">
        <f t="shared" si="28"/>
        <v>0</v>
      </c>
    </row>
    <row r="1401" spans="30:34" x14ac:dyDescent="0.2">
      <c r="AD1401" s="13" t="s">
        <v>85</v>
      </c>
      <c r="AE1401" s="126">
        <f>_xll.qlCalendarAdvance(Calendar,AE1400,AD1401,BizDayConv)</f>
        <v>45860</v>
      </c>
      <c r="AF1401" s="125">
        <f>_xll.qlYieldTSDiscount($C$31,AE1401)</f>
        <v>0.9674352619602592</v>
      </c>
      <c r="AG1401" s="125">
        <f>_xll.xlShmInterpDisc(CurveName&amp;T($C$26),AE1401)</f>
        <v>0.9674352619602592</v>
      </c>
      <c r="AH1401" s="127">
        <f t="shared" si="28"/>
        <v>0</v>
      </c>
    </row>
    <row r="1402" spans="30:34" x14ac:dyDescent="0.2">
      <c r="AD1402" s="13" t="s">
        <v>85</v>
      </c>
      <c r="AE1402" s="126">
        <f>_xll.qlCalendarAdvance(Calendar,AE1401,AD1402,BizDayConv)</f>
        <v>45867</v>
      </c>
      <c r="AF1402" s="125">
        <f>_xll.qlYieldTSDiscount($C$31,AE1402)</f>
        <v>0.96716297200212276</v>
      </c>
      <c r="AG1402" s="125">
        <f>_xll.xlShmInterpDisc(CurveName&amp;T($C$26),AE1402)</f>
        <v>0.96716297200212276</v>
      </c>
      <c r="AH1402" s="127">
        <f t="shared" si="28"/>
        <v>0</v>
      </c>
    </row>
    <row r="1403" spans="30:34" x14ac:dyDescent="0.2">
      <c r="AD1403" s="13" t="s">
        <v>85</v>
      </c>
      <c r="AE1403" s="126">
        <f>_xll.qlCalendarAdvance(Calendar,AE1402,AD1403,BizDayConv)</f>
        <v>45874</v>
      </c>
      <c r="AF1403" s="125">
        <f>_xll.qlYieldTSDiscount($C$31,AE1403)</f>
        <v>0.9668900990154109</v>
      </c>
      <c r="AG1403" s="125">
        <f>_xll.xlShmInterpDisc(CurveName&amp;T($C$26),AE1403)</f>
        <v>0.9668900990154109</v>
      </c>
      <c r="AH1403" s="127">
        <f t="shared" si="28"/>
        <v>0</v>
      </c>
    </row>
    <row r="1404" spans="30:34" x14ac:dyDescent="0.2">
      <c r="AD1404" s="13" t="s">
        <v>85</v>
      </c>
      <c r="AE1404" s="126">
        <f>_xll.qlCalendarAdvance(Calendar,AE1403,AD1404,BizDayConv)</f>
        <v>45881</v>
      </c>
      <c r="AF1404" s="125">
        <f>_xll.qlYieldTSDiscount($C$31,AE1404)</f>
        <v>0.96661665618317416</v>
      </c>
      <c r="AG1404" s="125">
        <f>_xll.xlShmInterpDisc(CurveName&amp;T($C$26),AE1404)</f>
        <v>0.96661665618317416</v>
      </c>
      <c r="AH1404" s="127">
        <f t="shared" si="28"/>
        <v>0</v>
      </c>
    </row>
    <row r="1405" spans="30:34" x14ac:dyDescent="0.2">
      <c r="AD1405" s="13" t="s">
        <v>85</v>
      </c>
      <c r="AE1405" s="126">
        <f>_xll.qlCalendarAdvance(Calendar,AE1404,AD1405,BizDayConv)</f>
        <v>45888</v>
      </c>
      <c r="AF1405" s="125">
        <f>_xll.qlYieldTSDiscount($C$31,AE1405)</f>
        <v>0.96634265677360021</v>
      </c>
      <c r="AG1405" s="125">
        <f>_xll.xlShmInterpDisc(CurveName&amp;T($C$26),AE1405)</f>
        <v>0.96634265677360021</v>
      </c>
      <c r="AH1405" s="127">
        <f t="shared" si="28"/>
        <v>0</v>
      </c>
    </row>
    <row r="1406" spans="30:34" x14ac:dyDescent="0.2">
      <c r="AD1406" s="13" t="s">
        <v>85</v>
      </c>
      <c r="AE1406" s="126">
        <f>_xll.qlCalendarAdvance(Calendar,AE1405,AD1406,BizDayConv)</f>
        <v>45895</v>
      </c>
      <c r="AF1406" s="125">
        <f>_xll.qlYieldTSDiscount($C$31,AE1406)</f>
        <v>0.9660681141397981</v>
      </c>
      <c r="AG1406" s="125">
        <f>_xll.xlShmInterpDisc(CurveName&amp;T($C$26),AE1406)</f>
        <v>0.9660681141397981</v>
      </c>
      <c r="AH1406" s="127">
        <f t="shared" si="28"/>
        <v>0</v>
      </c>
    </row>
    <row r="1407" spans="30:34" x14ac:dyDescent="0.2">
      <c r="AD1407" s="13" t="s">
        <v>85</v>
      </c>
      <c r="AE1407" s="126">
        <f>_xll.qlCalendarAdvance(Calendar,AE1406,AD1407,BizDayConv)</f>
        <v>45902</v>
      </c>
      <c r="AF1407" s="125">
        <f>_xll.qlYieldTSDiscount($C$31,AE1407)</f>
        <v>0.96579304171958424</v>
      </c>
      <c r="AG1407" s="125">
        <f>_xll.xlShmInterpDisc(CurveName&amp;T($C$26),AE1407)</f>
        <v>0.96579304171958424</v>
      </c>
      <c r="AH1407" s="127">
        <f t="shared" si="28"/>
        <v>0</v>
      </c>
    </row>
    <row r="1408" spans="30:34" x14ac:dyDescent="0.2">
      <c r="AD1408" s="13" t="s">
        <v>85</v>
      </c>
      <c r="AE1408" s="126">
        <f>_xll.qlCalendarAdvance(Calendar,AE1407,AD1408,BizDayConv)</f>
        <v>45909</v>
      </c>
      <c r="AF1408" s="125">
        <f>_xll.qlYieldTSDiscount($C$31,AE1408)</f>
        <v>0.96551745303526926</v>
      </c>
      <c r="AG1408" s="125">
        <f>_xll.xlShmInterpDisc(CurveName&amp;T($C$26),AE1408)</f>
        <v>0.96551745303526926</v>
      </c>
      <c r="AH1408" s="127">
        <f t="shared" si="28"/>
        <v>0</v>
      </c>
    </row>
    <row r="1409" spans="30:34" x14ac:dyDescent="0.2">
      <c r="AD1409" s="13" t="s">
        <v>85</v>
      </c>
      <c r="AE1409" s="126">
        <f>_xll.qlCalendarAdvance(Calendar,AE1408,AD1409,BizDayConv)</f>
        <v>45916</v>
      </c>
      <c r="AF1409" s="125">
        <f>_xll.qlYieldTSDiscount($C$31,AE1409)</f>
        <v>0.96524136169344621</v>
      </c>
      <c r="AG1409" s="125">
        <f>_xll.xlShmInterpDisc(CurveName&amp;T($C$26),AE1409)</f>
        <v>0.96524136169344621</v>
      </c>
      <c r="AH1409" s="127">
        <f t="shared" si="28"/>
        <v>0</v>
      </c>
    </row>
    <row r="1410" spans="30:34" x14ac:dyDescent="0.2">
      <c r="AD1410" s="13" t="s">
        <v>85</v>
      </c>
      <c r="AE1410" s="126">
        <f>_xll.qlCalendarAdvance(Calendar,AE1409,AD1410,BizDayConv)</f>
        <v>45923</v>
      </c>
      <c r="AF1410" s="125">
        <f>_xll.qlYieldTSDiscount($C$31,AE1410)</f>
        <v>0.96496478138477892</v>
      </c>
      <c r="AG1410" s="125">
        <f>_xll.xlShmInterpDisc(CurveName&amp;T($C$26),AE1410)</f>
        <v>0.96496478138477892</v>
      </c>
      <c r="AH1410" s="127">
        <f t="shared" si="28"/>
        <v>0</v>
      </c>
    </row>
    <row r="1411" spans="30:34" x14ac:dyDescent="0.2">
      <c r="AD1411" s="13" t="s">
        <v>85</v>
      </c>
      <c r="AE1411" s="126">
        <f>_xll.qlCalendarAdvance(Calendar,AE1410,AD1411,BizDayConv)</f>
        <v>45930</v>
      </c>
      <c r="AF1411" s="125">
        <f>_xll.qlYieldTSDiscount($C$31,AE1411)</f>
        <v>0.96468772588379259</v>
      </c>
      <c r="AG1411" s="125">
        <f>_xll.xlShmInterpDisc(CurveName&amp;T($C$26),AE1411)</f>
        <v>0.96468772588379259</v>
      </c>
      <c r="AH1411" s="127">
        <f t="shared" si="28"/>
        <v>0</v>
      </c>
    </row>
    <row r="1412" spans="30:34" x14ac:dyDescent="0.2">
      <c r="AD1412" s="13" t="s">
        <v>85</v>
      </c>
      <c r="AE1412" s="126">
        <f>_xll.qlCalendarAdvance(Calendar,AE1411,AD1412,BizDayConv)</f>
        <v>45937</v>
      </c>
      <c r="AF1412" s="125">
        <f>_xll.qlYieldTSDiscount($C$31,AE1412)</f>
        <v>0.96441020904866492</v>
      </c>
      <c r="AG1412" s="125">
        <f>_xll.xlShmInterpDisc(CurveName&amp;T($C$26),AE1412)</f>
        <v>0.96441020904866492</v>
      </c>
      <c r="AH1412" s="127">
        <f t="shared" ref="AH1412:AH1475" si="29">(AF1412-AG1412)</f>
        <v>0</v>
      </c>
    </row>
    <row r="1413" spans="30:34" x14ac:dyDescent="0.2">
      <c r="AD1413" s="13" t="s">
        <v>85</v>
      </c>
      <c r="AE1413" s="126">
        <f>_xll.qlCalendarAdvance(Calendar,AE1412,AD1413,BizDayConv)</f>
        <v>45944</v>
      </c>
      <c r="AF1413" s="125">
        <f>_xll.qlYieldTSDiscount($C$31,AE1413)</f>
        <v>0.96413224482101911</v>
      </c>
      <c r="AG1413" s="125">
        <f>_xll.xlShmInterpDisc(CurveName&amp;T($C$26),AE1413)</f>
        <v>0.96413224482101911</v>
      </c>
      <c r="AH1413" s="127">
        <f t="shared" si="29"/>
        <v>0</v>
      </c>
    </row>
    <row r="1414" spans="30:34" x14ac:dyDescent="0.2">
      <c r="AD1414" s="13" t="s">
        <v>85</v>
      </c>
      <c r="AE1414" s="126">
        <f>_xll.qlCalendarAdvance(Calendar,AE1413,AD1414,BizDayConv)</f>
        <v>45951</v>
      </c>
      <c r="AF1414" s="125">
        <f>_xll.qlYieldTSDiscount($C$31,AE1414)</f>
        <v>0.96385384722571721</v>
      </c>
      <c r="AG1414" s="125">
        <f>_xll.xlShmInterpDisc(CurveName&amp;T($C$26),AE1414)</f>
        <v>0.96385384722571721</v>
      </c>
      <c r="AH1414" s="127">
        <f t="shared" si="29"/>
        <v>0</v>
      </c>
    </row>
    <row r="1415" spans="30:34" x14ac:dyDescent="0.2">
      <c r="AD1415" s="13" t="s">
        <v>85</v>
      </c>
      <c r="AE1415" s="126">
        <f>_xll.qlCalendarAdvance(Calendar,AE1414,AD1415,BizDayConv)</f>
        <v>45958</v>
      </c>
      <c r="AF1415" s="125">
        <f>_xll.qlYieldTSDiscount($C$31,AE1415)</f>
        <v>0.96357503037065573</v>
      </c>
      <c r="AG1415" s="125">
        <f>_xll.xlShmInterpDisc(CurveName&amp;T($C$26),AE1415)</f>
        <v>0.96357503037065573</v>
      </c>
      <c r="AH1415" s="127">
        <f t="shared" si="29"/>
        <v>0</v>
      </c>
    </row>
    <row r="1416" spans="30:34" x14ac:dyDescent="0.2">
      <c r="AD1416" s="13" t="s">
        <v>85</v>
      </c>
      <c r="AE1416" s="126">
        <f>_xll.qlCalendarAdvance(Calendar,AE1415,AD1416,BizDayConv)</f>
        <v>45965</v>
      </c>
      <c r="AF1416" s="125">
        <f>_xll.qlYieldTSDiscount($C$31,AE1416)</f>
        <v>0.96329580844656215</v>
      </c>
      <c r="AG1416" s="125">
        <f>_xll.xlShmInterpDisc(CurveName&amp;T($C$26),AE1416)</f>
        <v>0.96329580844656215</v>
      </c>
      <c r="AH1416" s="127">
        <f t="shared" si="29"/>
        <v>0</v>
      </c>
    </row>
    <row r="1417" spans="30:34" x14ac:dyDescent="0.2">
      <c r="AD1417" s="13" t="s">
        <v>85</v>
      </c>
      <c r="AE1417" s="126">
        <f>_xll.qlCalendarAdvance(Calendar,AE1416,AD1417,BizDayConv)</f>
        <v>45972</v>
      </c>
      <c r="AF1417" s="125">
        <f>_xll.qlYieldTSDiscount($C$31,AE1417)</f>
        <v>0.9630161957267932</v>
      </c>
      <c r="AG1417" s="125">
        <f>_xll.xlShmInterpDisc(CurveName&amp;T($C$26),AE1417)</f>
        <v>0.9630161957267932</v>
      </c>
      <c r="AH1417" s="127">
        <f t="shared" si="29"/>
        <v>0</v>
      </c>
    </row>
    <row r="1418" spans="30:34" x14ac:dyDescent="0.2">
      <c r="AD1418" s="13" t="s">
        <v>85</v>
      </c>
      <c r="AE1418" s="126">
        <f>_xll.qlCalendarAdvance(Calendar,AE1417,AD1418,BizDayConv)</f>
        <v>45979</v>
      </c>
      <c r="AF1418" s="125">
        <f>_xll.qlYieldTSDiscount($C$31,AE1418)</f>
        <v>0.96273620656713377</v>
      </c>
      <c r="AG1418" s="125">
        <f>_xll.xlShmInterpDisc(CurveName&amp;T($C$26),AE1418)</f>
        <v>0.96273620656713377</v>
      </c>
      <c r="AH1418" s="127">
        <f t="shared" si="29"/>
        <v>0</v>
      </c>
    </row>
    <row r="1419" spans="30:34" x14ac:dyDescent="0.2">
      <c r="AD1419" s="13" t="s">
        <v>85</v>
      </c>
      <c r="AE1419" s="126">
        <f>_xll.qlCalendarAdvance(Calendar,AE1418,AD1419,BizDayConv)</f>
        <v>45986</v>
      </c>
      <c r="AF1419" s="125">
        <f>_xll.qlYieldTSDiscount($C$31,AE1419)</f>
        <v>0.96245585540559886</v>
      </c>
      <c r="AG1419" s="125">
        <f>_xll.xlShmInterpDisc(CurveName&amp;T($C$26),AE1419)</f>
        <v>0.96245585540559886</v>
      </c>
      <c r="AH1419" s="127">
        <f t="shared" si="29"/>
        <v>0</v>
      </c>
    </row>
    <row r="1420" spans="30:34" x14ac:dyDescent="0.2">
      <c r="AD1420" s="13" t="s">
        <v>85</v>
      </c>
      <c r="AE1420" s="126">
        <f>_xll.qlCalendarAdvance(Calendar,AE1419,AD1420,BizDayConv)</f>
        <v>45993</v>
      </c>
      <c r="AF1420" s="125">
        <f>_xll.qlYieldTSDiscount($C$31,AE1420)</f>
        <v>0.96217515676223542</v>
      </c>
      <c r="AG1420" s="125">
        <f>_xll.xlShmInterpDisc(CurveName&amp;T($C$26),AE1420)</f>
        <v>0.96217515676223542</v>
      </c>
      <c r="AH1420" s="127">
        <f t="shared" si="29"/>
        <v>0</v>
      </c>
    </row>
    <row r="1421" spans="30:34" x14ac:dyDescent="0.2">
      <c r="AD1421" s="13" t="s">
        <v>85</v>
      </c>
      <c r="AE1421" s="126">
        <f>_xll.qlCalendarAdvance(Calendar,AE1420,AD1421,BizDayConv)</f>
        <v>46000</v>
      </c>
      <c r="AF1421" s="125">
        <f>_xll.qlYieldTSDiscount($C$31,AE1421)</f>
        <v>0.96189412523892714</v>
      </c>
      <c r="AG1421" s="125">
        <f>_xll.xlShmInterpDisc(CurveName&amp;T($C$26),AE1421)</f>
        <v>0.96189412523892714</v>
      </c>
      <c r="AH1421" s="127">
        <f t="shared" si="29"/>
        <v>0</v>
      </c>
    </row>
    <row r="1422" spans="30:34" x14ac:dyDescent="0.2">
      <c r="AD1422" s="13" t="s">
        <v>85</v>
      </c>
      <c r="AE1422" s="126">
        <f>_xll.qlCalendarAdvance(Calendar,AE1421,AD1422,BizDayConv)</f>
        <v>46007</v>
      </c>
      <c r="AF1422" s="125">
        <f>_xll.qlYieldTSDiscount($C$31,AE1422)</f>
        <v>0.96161277551920021</v>
      </c>
      <c r="AG1422" s="125">
        <f>_xll.xlShmInterpDisc(CurveName&amp;T($C$26),AE1422)</f>
        <v>0.96161277551920021</v>
      </c>
      <c r="AH1422" s="127">
        <f t="shared" si="29"/>
        <v>0</v>
      </c>
    </row>
    <row r="1423" spans="30:34" x14ac:dyDescent="0.2">
      <c r="AD1423" s="13" t="s">
        <v>85</v>
      </c>
      <c r="AE1423" s="126">
        <f>_xll.qlCalendarAdvance(Calendar,AE1422,AD1423,BizDayConv)</f>
        <v>46014</v>
      </c>
      <c r="AF1423" s="125">
        <f>_xll.qlYieldTSDiscount($C$31,AE1423)</f>
        <v>0.96133112236803098</v>
      </c>
      <c r="AG1423" s="125">
        <f>_xll.xlShmInterpDisc(CurveName&amp;T($C$26),AE1423)</f>
        <v>0.96133112236803098</v>
      </c>
      <c r="AH1423" s="127">
        <f t="shared" si="29"/>
        <v>0</v>
      </c>
    </row>
    <row r="1424" spans="30:34" x14ac:dyDescent="0.2">
      <c r="AD1424" s="13" t="s">
        <v>85</v>
      </c>
      <c r="AE1424" s="126">
        <f>_xll.qlCalendarAdvance(Calendar,AE1423,AD1424,BizDayConv)</f>
        <v>46021</v>
      </c>
      <c r="AF1424" s="125">
        <f>_xll.qlYieldTSDiscount($C$31,AE1424)</f>
        <v>0.96104918063165534</v>
      </c>
      <c r="AG1424" s="125">
        <f>_xll.xlShmInterpDisc(CurveName&amp;T($C$26),AE1424)</f>
        <v>0.96104918063165534</v>
      </c>
      <c r="AH1424" s="127">
        <f t="shared" si="29"/>
        <v>0</v>
      </c>
    </row>
    <row r="1425" spans="30:34" x14ac:dyDescent="0.2">
      <c r="AD1425" s="13" t="s">
        <v>85</v>
      </c>
      <c r="AE1425" s="126">
        <f>_xll.qlCalendarAdvance(Calendar,AE1424,AD1425,BizDayConv)</f>
        <v>46028</v>
      </c>
      <c r="AF1425" s="125">
        <f>_xll.qlYieldTSDiscount($C$31,AE1425)</f>
        <v>0.96076696215837698</v>
      </c>
      <c r="AG1425" s="125">
        <f>_xll.xlShmInterpDisc(CurveName&amp;T($C$26),AE1425)</f>
        <v>0.96076696215837698</v>
      </c>
      <c r="AH1425" s="127">
        <f t="shared" si="29"/>
        <v>0</v>
      </c>
    </row>
    <row r="1426" spans="30:34" x14ac:dyDescent="0.2">
      <c r="AD1426" s="13" t="s">
        <v>85</v>
      </c>
      <c r="AE1426" s="126">
        <f>_xll.qlCalendarAdvance(Calendar,AE1425,AD1426,BizDayConv)</f>
        <v>46035</v>
      </c>
      <c r="AF1426" s="125">
        <f>_xll.qlYieldTSDiscount($C$31,AE1426)</f>
        <v>0.96048429226690246</v>
      </c>
      <c r="AG1426" s="125">
        <f>_xll.xlShmInterpDisc(CurveName&amp;T($C$26),AE1426)</f>
        <v>0.96048429226690246</v>
      </c>
      <c r="AH1426" s="127">
        <f t="shared" si="29"/>
        <v>0</v>
      </c>
    </row>
    <row r="1427" spans="30:34" x14ac:dyDescent="0.2">
      <c r="AD1427" s="13" t="s">
        <v>85</v>
      </c>
      <c r="AE1427" s="126">
        <f>_xll.qlCalendarAdvance(Calendar,AE1426,AD1427,BizDayConv)</f>
        <v>46042</v>
      </c>
      <c r="AF1427" s="125">
        <f>_xll.qlYieldTSDiscount($C$31,AE1427)</f>
        <v>0.96020106764414814</v>
      </c>
      <c r="AG1427" s="125">
        <f>_xll.xlShmInterpDisc(CurveName&amp;T($C$26),AE1427)</f>
        <v>0.96020106764414814</v>
      </c>
      <c r="AH1427" s="127">
        <f t="shared" si="29"/>
        <v>0</v>
      </c>
    </row>
    <row r="1428" spans="30:34" x14ac:dyDescent="0.2">
      <c r="AD1428" s="13" t="s">
        <v>85</v>
      </c>
      <c r="AE1428" s="126">
        <f>_xll.qlCalendarAdvance(Calendar,AE1427,AD1428,BizDayConv)</f>
        <v>46049</v>
      </c>
      <c r="AF1428" s="125">
        <f>_xll.qlYieldTSDiscount($C$31,AE1428)</f>
        <v>0.95991729480495591</v>
      </c>
      <c r="AG1428" s="125">
        <f>_xll.xlShmInterpDisc(CurveName&amp;T($C$26),AE1428)</f>
        <v>0.95991729480495591</v>
      </c>
      <c r="AH1428" s="127">
        <f t="shared" si="29"/>
        <v>0</v>
      </c>
    </row>
    <row r="1429" spans="30:34" x14ac:dyDescent="0.2">
      <c r="AD1429" s="13" t="s">
        <v>85</v>
      </c>
      <c r="AE1429" s="126">
        <f>_xll.qlCalendarAdvance(Calendar,AE1428,AD1429,BizDayConv)</f>
        <v>46056</v>
      </c>
      <c r="AF1429" s="125">
        <f>_xll.qlYieldTSDiscount($C$31,AE1429)</f>
        <v>0.9596329802970156</v>
      </c>
      <c r="AG1429" s="125">
        <f>_xll.xlShmInterpDisc(CurveName&amp;T($C$26),AE1429)</f>
        <v>0.9596329802970156</v>
      </c>
      <c r="AH1429" s="127">
        <f t="shared" si="29"/>
        <v>0</v>
      </c>
    </row>
    <row r="1430" spans="30:34" x14ac:dyDescent="0.2">
      <c r="AD1430" s="13" t="s">
        <v>85</v>
      </c>
      <c r="AE1430" s="126">
        <f>_xll.qlCalendarAdvance(Calendar,AE1429,AD1430,BizDayConv)</f>
        <v>46063</v>
      </c>
      <c r="AF1430" s="125">
        <f>_xll.qlYieldTSDiscount($C$31,AE1430)</f>
        <v>0.95934813070077152</v>
      </c>
      <c r="AG1430" s="125">
        <f>_xll.xlShmInterpDisc(CurveName&amp;T($C$26),AE1430)</f>
        <v>0.95934813070077152</v>
      </c>
      <c r="AH1430" s="127">
        <f t="shared" si="29"/>
        <v>0</v>
      </c>
    </row>
    <row r="1431" spans="30:34" x14ac:dyDescent="0.2">
      <c r="AD1431" s="13" t="s">
        <v>85</v>
      </c>
      <c r="AE1431" s="126">
        <f>_xll.qlCalendarAdvance(Calendar,AE1430,AD1431,BizDayConv)</f>
        <v>46070</v>
      </c>
      <c r="AF1431" s="125">
        <f>_xll.qlYieldTSDiscount($C$31,AE1431)</f>
        <v>0.95906275262932883</v>
      </c>
      <c r="AG1431" s="125">
        <f>_xll.xlShmInterpDisc(CurveName&amp;T($C$26),AE1431)</f>
        <v>0.95906275262932883</v>
      </c>
      <c r="AH1431" s="127">
        <f t="shared" si="29"/>
        <v>0</v>
      </c>
    </row>
    <row r="1432" spans="30:34" x14ac:dyDescent="0.2">
      <c r="AD1432" s="13" t="s">
        <v>85</v>
      </c>
      <c r="AE1432" s="126">
        <f>_xll.qlCalendarAdvance(Calendar,AE1431,AD1432,BizDayConv)</f>
        <v>46077</v>
      </c>
      <c r="AF1432" s="125">
        <f>_xll.qlYieldTSDiscount($C$31,AE1432)</f>
        <v>0.958776852728361</v>
      </c>
      <c r="AG1432" s="125">
        <f>_xll.xlShmInterpDisc(CurveName&amp;T($C$26),AE1432)</f>
        <v>0.958776852728361</v>
      </c>
      <c r="AH1432" s="127">
        <f t="shared" si="29"/>
        <v>0</v>
      </c>
    </row>
    <row r="1433" spans="30:34" x14ac:dyDescent="0.2">
      <c r="AD1433" s="13" t="s">
        <v>85</v>
      </c>
      <c r="AE1433" s="126">
        <f>_xll.qlCalendarAdvance(Calendar,AE1432,AD1433,BizDayConv)</f>
        <v>46084</v>
      </c>
      <c r="AF1433" s="125">
        <f>_xll.qlYieldTSDiscount($C$31,AE1433)</f>
        <v>0.95849043767601583</v>
      </c>
      <c r="AG1433" s="125">
        <f>_xll.xlShmInterpDisc(CurveName&amp;T($C$26),AE1433)</f>
        <v>0.95849043767601583</v>
      </c>
      <c r="AH1433" s="127">
        <f t="shared" si="29"/>
        <v>0</v>
      </c>
    </row>
    <row r="1434" spans="30:34" x14ac:dyDescent="0.2">
      <c r="AD1434" s="13" t="s">
        <v>85</v>
      </c>
      <c r="AE1434" s="126">
        <f>_xll.qlCalendarAdvance(Calendar,AE1433,AD1434,BizDayConv)</f>
        <v>46091</v>
      </c>
      <c r="AF1434" s="125">
        <f>_xll.qlYieldTSDiscount($C$31,AE1434)</f>
        <v>0.95820351418282323</v>
      </c>
      <c r="AG1434" s="125">
        <f>_xll.xlShmInterpDisc(CurveName&amp;T($C$26),AE1434)</f>
        <v>0.95820351418282323</v>
      </c>
      <c r="AH1434" s="127">
        <f t="shared" si="29"/>
        <v>0</v>
      </c>
    </row>
    <row r="1435" spans="30:34" x14ac:dyDescent="0.2">
      <c r="AD1435" s="13" t="s">
        <v>85</v>
      </c>
      <c r="AE1435" s="126">
        <f>_xll.qlCalendarAdvance(Calendar,AE1434,AD1435,BizDayConv)</f>
        <v>46098</v>
      </c>
      <c r="AF1435" s="125">
        <f>_xll.qlYieldTSDiscount($C$31,AE1435)</f>
        <v>0.95791608899160208</v>
      </c>
      <c r="AG1435" s="125">
        <f>_xll.xlShmInterpDisc(CurveName&amp;T($C$26),AE1435)</f>
        <v>0.95791608899160208</v>
      </c>
      <c r="AH1435" s="127">
        <f t="shared" si="29"/>
        <v>0</v>
      </c>
    </row>
    <row r="1436" spans="30:34" x14ac:dyDescent="0.2">
      <c r="AD1436" s="13" t="s">
        <v>85</v>
      </c>
      <c r="AE1436" s="126">
        <f>_xll.qlCalendarAdvance(Calendar,AE1435,AD1436,BizDayConv)</f>
        <v>46105</v>
      </c>
      <c r="AF1436" s="125">
        <f>_xll.qlYieldTSDiscount($C$31,AE1436)</f>
        <v>0.9576281688773679</v>
      </c>
      <c r="AG1436" s="125">
        <f>_xll.xlShmInterpDisc(CurveName&amp;T($C$26),AE1436)</f>
        <v>0.9576281688773679</v>
      </c>
      <c r="AH1436" s="127">
        <f t="shared" si="29"/>
        <v>0</v>
      </c>
    </row>
    <row r="1437" spans="30:34" x14ac:dyDescent="0.2">
      <c r="AD1437" s="13" t="s">
        <v>85</v>
      </c>
      <c r="AE1437" s="126">
        <f>_xll.qlCalendarAdvance(Calendar,AE1436,AD1437,BizDayConv)</f>
        <v>46112</v>
      </c>
      <c r="AF1437" s="125">
        <f>_xll.qlYieldTSDiscount($C$31,AE1437)</f>
        <v>0.95733976064724002</v>
      </c>
      <c r="AG1437" s="125">
        <f>_xll.xlShmInterpDisc(CurveName&amp;T($C$26),AE1437)</f>
        <v>0.95733976064724002</v>
      </c>
      <c r="AH1437" s="127">
        <f t="shared" si="29"/>
        <v>0</v>
      </c>
    </row>
    <row r="1438" spans="30:34" x14ac:dyDescent="0.2">
      <c r="AD1438" s="13" t="s">
        <v>85</v>
      </c>
      <c r="AE1438" s="126">
        <f>_xll.qlCalendarAdvance(Calendar,AE1437,AD1438,BizDayConv)</f>
        <v>46119</v>
      </c>
      <c r="AF1438" s="125">
        <f>_xll.qlYieldTSDiscount($C$31,AE1438)</f>
        <v>0.95705087114034948</v>
      </c>
      <c r="AG1438" s="125">
        <f>_xll.xlShmInterpDisc(CurveName&amp;T($C$26),AE1438)</f>
        <v>0.95705087114034948</v>
      </c>
      <c r="AH1438" s="127">
        <f t="shared" si="29"/>
        <v>0</v>
      </c>
    </row>
    <row r="1439" spans="30:34" x14ac:dyDescent="0.2">
      <c r="AD1439" s="13" t="s">
        <v>85</v>
      </c>
      <c r="AE1439" s="126">
        <f>_xll.qlCalendarAdvance(Calendar,AE1438,AD1439,BizDayConv)</f>
        <v>46126</v>
      </c>
      <c r="AF1439" s="125">
        <f>_xll.qlYieldTSDiscount($C$31,AE1439)</f>
        <v>0.95676150722774689</v>
      </c>
      <c r="AG1439" s="125">
        <f>_xll.xlShmInterpDisc(CurveName&amp;T($C$26),AE1439)</f>
        <v>0.95676150722774689</v>
      </c>
      <c r="AH1439" s="127">
        <f t="shared" si="29"/>
        <v>0</v>
      </c>
    </row>
    <row r="1440" spans="30:34" x14ac:dyDescent="0.2">
      <c r="AD1440" s="13" t="s">
        <v>85</v>
      </c>
      <c r="AE1440" s="126">
        <f>_xll.qlCalendarAdvance(Calendar,AE1439,AD1440,BizDayConv)</f>
        <v>46133</v>
      </c>
      <c r="AF1440" s="125">
        <f>_xll.qlYieldTSDiscount($C$31,AE1440)</f>
        <v>0.95647167581231085</v>
      </c>
      <c r="AG1440" s="125">
        <f>_xll.xlShmInterpDisc(CurveName&amp;T($C$26),AE1440)</f>
        <v>0.95647167581231085</v>
      </c>
      <c r="AH1440" s="127">
        <f t="shared" si="29"/>
        <v>0</v>
      </c>
    </row>
    <row r="1441" spans="30:34" x14ac:dyDescent="0.2">
      <c r="AD1441" s="13" t="s">
        <v>85</v>
      </c>
      <c r="AE1441" s="126">
        <f>_xll.qlCalendarAdvance(Calendar,AE1440,AD1441,BizDayConv)</f>
        <v>46140</v>
      </c>
      <c r="AF1441" s="125">
        <f>_xll.qlYieldTSDiscount($C$31,AE1441)</f>
        <v>0.95618138382865547</v>
      </c>
      <c r="AG1441" s="125">
        <f>_xll.xlShmInterpDisc(CurveName&amp;T($C$26),AE1441)</f>
        <v>0.95618138382865547</v>
      </c>
      <c r="AH1441" s="127">
        <f t="shared" si="29"/>
        <v>0</v>
      </c>
    </row>
    <row r="1442" spans="30:34" x14ac:dyDescent="0.2">
      <c r="AD1442" s="13" t="s">
        <v>85</v>
      </c>
      <c r="AE1442" s="126">
        <f>_xll.qlCalendarAdvance(Calendar,AE1441,AD1442,BizDayConv)</f>
        <v>46147</v>
      </c>
      <c r="AF1442" s="125">
        <f>_xll.qlYieldTSDiscount($C$31,AE1442)</f>
        <v>0.95589063824303955</v>
      </c>
      <c r="AG1442" s="125">
        <f>_xll.xlShmInterpDisc(CurveName&amp;T($C$26),AE1442)</f>
        <v>0.95589063824303955</v>
      </c>
      <c r="AH1442" s="127">
        <f t="shared" si="29"/>
        <v>0</v>
      </c>
    </row>
    <row r="1443" spans="30:34" x14ac:dyDescent="0.2">
      <c r="AD1443" s="13" t="s">
        <v>85</v>
      </c>
      <c r="AE1443" s="126">
        <f>_xll.qlCalendarAdvance(Calendar,AE1442,AD1443,BizDayConv)</f>
        <v>46154</v>
      </c>
      <c r="AF1443" s="125">
        <f>_xll.qlYieldTSDiscount($C$31,AE1443)</f>
        <v>0.95559944605327529</v>
      </c>
      <c r="AG1443" s="125">
        <f>_xll.xlShmInterpDisc(CurveName&amp;T($C$26),AE1443)</f>
        <v>0.95559944605327529</v>
      </c>
      <c r="AH1443" s="127">
        <f t="shared" si="29"/>
        <v>0</v>
      </c>
    </row>
    <row r="1444" spans="30:34" x14ac:dyDescent="0.2">
      <c r="AD1444" s="13" t="s">
        <v>85</v>
      </c>
      <c r="AE1444" s="126">
        <f>_xll.qlCalendarAdvance(Calendar,AE1443,AD1444,BizDayConv)</f>
        <v>46161</v>
      </c>
      <c r="AF1444" s="125">
        <f>_xll.qlYieldTSDiscount($C$31,AE1444)</f>
        <v>0.95530781428863676</v>
      </c>
      <c r="AG1444" s="125">
        <f>_xll.xlShmInterpDisc(CurveName&amp;T($C$26),AE1444)</f>
        <v>0.95530781428863676</v>
      </c>
      <c r="AH1444" s="127">
        <f t="shared" si="29"/>
        <v>0</v>
      </c>
    </row>
    <row r="1445" spans="30:34" x14ac:dyDescent="0.2">
      <c r="AD1445" s="13" t="s">
        <v>85</v>
      </c>
      <c r="AE1445" s="126">
        <f>_xll.qlCalendarAdvance(Calendar,AE1444,AD1445,BizDayConv)</f>
        <v>46168</v>
      </c>
      <c r="AF1445" s="125">
        <f>_xll.qlYieldTSDiscount($C$31,AE1445)</f>
        <v>0.95501575000976957</v>
      </c>
      <c r="AG1445" s="125">
        <f>_xll.xlShmInterpDisc(CurveName&amp;T($C$26),AE1445)</f>
        <v>0.95501575000976957</v>
      </c>
      <c r="AH1445" s="127">
        <f t="shared" si="29"/>
        <v>0</v>
      </c>
    </row>
    <row r="1446" spans="30:34" x14ac:dyDescent="0.2">
      <c r="AD1446" s="13" t="s">
        <v>85</v>
      </c>
      <c r="AE1446" s="126">
        <f>_xll.qlCalendarAdvance(Calendar,AE1445,AD1446,BizDayConv)</f>
        <v>46175</v>
      </c>
      <c r="AF1446" s="125">
        <f>_xll.qlYieldTSDiscount($C$31,AE1446)</f>
        <v>0.95472326030859989</v>
      </c>
      <c r="AG1446" s="125">
        <f>_xll.xlShmInterpDisc(CurveName&amp;T($C$26),AE1446)</f>
        <v>0.95472326030859989</v>
      </c>
      <c r="AH1446" s="127">
        <f t="shared" si="29"/>
        <v>0</v>
      </c>
    </row>
    <row r="1447" spans="30:34" x14ac:dyDescent="0.2">
      <c r="AD1447" s="13" t="s">
        <v>85</v>
      </c>
      <c r="AE1447" s="126">
        <f>_xll.qlCalendarAdvance(Calendar,AE1446,AD1447,BizDayConv)</f>
        <v>46182</v>
      </c>
      <c r="AF1447" s="125">
        <f>_xll.qlYieldTSDiscount($C$31,AE1447)</f>
        <v>0.95443035230824469</v>
      </c>
      <c r="AG1447" s="125">
        <f>_xll.xlShmInterpDisc(CurveName&amp;T($C$26),AE1447)</f>
        <v>0.95443035230824469</v>
      </c>
      <c r="AH1447" s="127">
        <f t="shared" si="29"/>
        <v>0</v>
      </c>
    </row>
    <row r="1448" spans="30:34" x14ac:dyDescent="0.2">
      <c r="AD1448" s="13" t="s">
        <v>85</v>
      </c>
      <c r="AE1448" s="126">
        <f>_xll.qlCalendarAdvance(Calendar,AE1447,AD1448,BizDayConv)</f>
        <v>46189</v>
      </c>
      <c r="AF1448" s="125">
        <f>_xll.qlYieldTSDiscount($C$31,AE1448)</f>
        <v>0.95413703316292109</v>
      </c>
      <c r="AG1448" s="125">
        <f>_xll.xlShmInterpDisc(CurveName&amp;T($C$26),AE1448)</f>
        <v>0.95413703316292109</v>
      </c>
      <c r="AH1448" s="127">
        <f t="shared" si="29"/>
        <v>0</v>
      </c>
    </row>
    <row r="1449" spans="30:34" x14ac:dyDescent="0.2">
      <c r="AD1449" s="13" t="s">
        <v>85</v>
      </c>
      <c r="AE1449" s="126">
        <f>_xll.qlCalendarAdvance(Calendar,AE1448,AD1449,BizDayConv)</f>
        <v>46196</v>
      </c>
      <c r="AF1449" s="125">
        <f>_xll.qlYieldTSDiscount($C$31,AE1449)</f>
        <v>0.95384331005785727</v>
      </c>
      <c r="AG1449" s="125">
        <f>_xll.xlShmInterpDisc(CurveName&amp;T($C$26),AE1449)</f>
        <v>0.95384331005785727</v>
      </c>
      <c r="AH1449" s="127">
        <f t="shared" si="29"/>
        <v>0</v>
      </c>
    </row>
    <row r="1450" spans="30:34" x14ac:dyDescent="0.2">
      <c r="AD1450" s="13" t="s">
        <v>85</v>
      </c>
      <c r="AE1450" s="126">
        <f>_xll.qlCalendarAdvance(Calendar,AE1449,AD1450,BizDayConv)</f>
        <v>46203</v>
      </c>
      <c r="AF1450" s="125">
        <f>_xll.qlYieldTSDiscount($C$31,AE1450)</f>
        <v>0.95354919020920226</v>
      </c>
      <c r="AG1450" s="125">
        <f>_xll.xlShmInterpDisc(CurveName&amp;T($C$26),AE1450)</f>
        <v>0.95354919020920226</v>
      </c>
      <c r="AH1450" s="127">
        <f t="shared" si="29"/>
        <v>0</v>
      </c>
    </row>
    <row r="1451" spans="30:34" x14ac:dyDescent="0.2">
      <c r="AD1451" s="13" t="s">
        <v>85</v>
      </c>
      <c r="AE1451" s="126">
        <f>_xll.qlCalendarAdvance(Calendar,AE1450,AD1451,BizDayConv)</f>
        <v>46210</v>
      </c>
      <c r="AF1451" s="125">
        <f>_xll.qlYieldTSDiscount($C$31,AE1451)</f>
        <v>0.95325468086393728</v>
      </c>
      <c r="AG1451" s="125">
        <f>_xll.xlShmInterpDisc(CurveName&amp;T($C$26),AE1451)</f>
        <v>0.95325468086393728</v>
      </c>
      <c r="AH1451" s="127">
        <f t="shared" si="29"/>
        <v>0</v>
      </c>
    </row>
    <row r="1452" spans="30:34" x14ac:dyDescent="0.2">
      <c r="AD1452" s="13" t="s">
        <v>85</v>
      </c>
      <c r="AE1452" s="126">
        <f>_xll.qlCalendarAdvance(Calendar,AE1451,AD1452,BizDayConv)</f>
        <v>46217</v>
      </c>
      <c r="AF1452" s="125">
        <f>_xll.qlYieldTSDiscount($C$31,AE1452)</f>
        <v>0.95295978929978697</v>
      </c>
      <c r="AG1452" s="125">
        <f>_xll.xlShmInterpDisc(CurveName&amp;T($C$26),AE1452)</f>
        <v>0.95295978929978697</v>
      </c>
      <c r="AH1452" s="127">
        <f t="shared" si="29"/>
        <v>0</v>
      </c>
    </row>
    <row r="1453" spans="30:34" x14ac:dyDescent="0.2">
      <c r="AD1453" s="13" t="s">
        <v>85</v>
      </c>
      <c r="AE1453" s="126">
        <f>_xll.qlCalendarAdvance(Calendar,AE1452,AD1453,BizDayConv)</f>
        <v>46224</v>
      </c>
      <c r="AF1453" s="125">
        <f>_xll.qlYieldTSDiscount($C$31,AE1453)</f>
        <v>0.95266452282513014</v>
      </c>
      <c r="AG1453" s="125">
        <f>_xll.xlShmInterpDisc(CurveName&amp;T($C$26),AE1453)</f>
        <v>0.95266452282513014</v>
      </c>
      <c r="AH1453" s="127">
        <f t="shared" si="29"/>
        <v>0</v>
      </c>
    </row>
    <row r="1454" spans="30:34" x14ac:dyDescent="0.2">
      <c r="AD1454" s="13" t="s">
        <v>85</v>
      </c>
      <c r="AE1454" s="126">
        <f>_xll.qlCalendarAdvance(Calendar,AE1453,AD1454,BizDayConv)</f>
        <v>46231</v>
      </c>
      <c r="AF1454" s="125">
        <f>_xll.qlYieldTSDiscount($C$31,AE1454)</f>
        <v>0.95236888877891224</v>
      </c>
      <c r="AG1454" s="125">
        <f>_xll.xlShmInterpDisc(CurveName&amp;T($C$26),AE1454)</f>
        <v>0.95236888877891224</v>
      </c>
      <c r="AH1454" s="127">
        <f t="shared" si="29"/>
        <v>0</v>
      </c>
    </row>
    <row r="1455" spans="30:34" x14ac:dyDescent="0.2">
      <c r="AD1455" s="13" t="s">
        <v>85</v>
      </c>
      <c r="AE1455" s="126">
        <f>_xll.qlCalendarAdvance(Calendar,AE1454,AD1455,BizDayConv)</f>
        <v>46238</v>
      </c>
      <c r="AF1455" s="125">
        <f>_xll.qlYieldTSDiscount($C$31,AE1455)</f>
        <v>0.95207289453055721</v>
      </c>
      <c r="AG1455" s="125">
        <f>_xll.xlShmInterpDisc(CurveName&amp;T($C$26),AE1455)</f>
        <v>0.95207289453055721</v>
      </c>
      <c r="AH1455" s="127">
        <f t="shared" si="29"/>
        <v>0</v>
      </c>
    </row>
    <row r="1456" spans="30:34" x14ac:dyDescent="0.2">
      <c r="AD1456" s="13" t="s">
        <v>85</v>
      </c>
      <c r="AE1456" s="126">
        <f>_xll.qlCalendarAdvance(Calendar,AE1455,AD1456,BizDayConv)</f>
        <v>46245</v>
      </c>
      <c r="AF1456" s="125">
        <f>_xll.qlYieldTSDiscount($C$31,AE1456)</f>
        <v>0.95177654747987961</v>
      </c>
      <c r="AG1456" s="125">
        <f>_xll.xlShmInterpDisc(CurveName&amp;T($C$26),AE1456)</f>
        <v>0.95177654747987961</v>
      </c>
      <c r="AH1456" s="127">
        <f t="shared" si="29"/>
        <v>0</v>
      </c>
    </row>
    <row r="1457" spans="30:34" x14ac:dyDescent="0.2">
      <c r="AD1457" s="13" t="s">
        <v>85</v>
      </c>
      <c r="AE1457" s="126">
        <f>_xll.qlCalendarAdvance(Calendar,AE1456,AD1457,BizDayConv)</f>
        <v>46252</v>
      </c>
      <c r="AF1457" s="125">
        <f>_xll.qlYieldTSDiscount($C$31,AE1457)</f>
        <v>0.95147985505699795</v>
      </c>
      <c r="AG1457" s="125">
        <f>_xll.xlShmInterpDisc(CurveName&amp;T($C$26),AE1457)</f>
        <v>0.95147985505699795</v>
      </c>
      <c r="AH1457" s="127">
        <f t="shared" si="29"/>
        <v>0</v>
      </c>
    </row>
    <row r="1458" spans="30:34" x14ac:dyDescent="0.2">
      <c r="AD1458" s="13" t="s">
        <v>85</v>
      </c>
      <c r="AE1458" s="126">
        <f>_xll.qlCalendarAdvance(Calendar,AE1457,AD1458,BizDayConv)</f>
        <v>46259</v>
      </c>
      <c r="AF1458" s="125">
        <f>_xll.qlYieldTSDiscount($C$31,AE1458)</f>
        <v>0.95118282472224747</v>
      </c>
      <c r="AG1458" s="125">
        <f>_xll.xlShmInterpDisc(CurveName&amp;T($C$26),AE1458)</f>
        <v>0.95118282472224747</v>
      </c>
      <c r="AH1458" s="127">
        <f t="shared" si="29"/>
        <v>0</v>
      </c>
    </row>
    <row r="1459" spans="30:34" x14ac:dyDescent="0.2">
      <c r="AD1459" s="13" t="s">
        <v>85</v>
      </c>
      <c r="AE1459" s="126">
        <f>_xll.qlCalendarAdvance(Calendar,AE1458,AD1459,BizDayConv)</f>
        <v>46266</v>
      </c>
      <c r="AF1459" s="125">
        <f>_xll.qlYieldTSDiscount($C$31,AE1459)</f>
        <v>0.95088546396609364</v>
      </c>
      <c r="AG1459" s="125">
        <f>_xll.xlShmInterpDisc(CurveName&amp;T($C$26),AE1459)</f>
        <v>0.95088546396609375</v>
      </c>
      <c r="AH1459" s="127">
        <f t="shared" si="29"/>
        <v>-1.1102230246251565E-16</v>
      </c>
    </row>
    <row r="1460" spans="30:34" x14ac:dyDescent="0.2">
      <c r="AD1460" s="13" t="s">
        <v>85</v>
      </c>
      <c r="AE1460" s="126">
        <f>_xll.qlCalendarAdvance(Calendar,AE1459,AD1460,BizDayConv)</f>
        <v>46273</v>
      </c>
      <c r="AF1460" s="125">
        <f>_xll.qlYieldTSDiscount($C$31,AE1460)</f>
        <v>0.95058778030904645</v>
      </c>
      <c r="AG1460" s="125">
        <f>_xll.xlShmInterpDisc(CurveName&amp;T($C$26),AE1460)</f>
        <v>0.95058778030904645</v>
      </c>
      <c r="AH1460" s="127">
        <f t="shared" si="29"/>
        <v>0</v>
      </c>
    </row>
    <row r="1461" spans="30:34" x14ac:dyDescent="0.2">
      <c r="AD1461" s="13" t="s">
        <v>85</v>
      </c>
      <c r="AE1461" s="126">
        <f>_xll.qlCalendarAdvance(Calendar,AE1460,AD1461,BizDayConv)</f>
        <v>46280</v>
      </c>
      <c r="AF1461" s="125">
        <f>_xll.qlYieldTSDiscount($C$31,AE1461)</f>
        <v>0.95028978130157404</v>
      </c>
      <c r="AG1461" s="125">
        <f>_xll.xlShmInterpDisc(CurveName&amp;T($C$26),AE1461)</f>
        <v>0.95028978130157404</v>
      </c>
      <c r="AH1461" s="127">
        <f t="shared" si="29"/>
        <v>0</v>
      </c>
    </row>
    <row r="1462" spans="30:34" x14ac:dyDescent="0.2">
      <c r="AD1462" s="13" t="s">
        <v>85</v>
      </c>
      <c r="AE1462" s="126">
        <f>_xll.qlCalendarAdvance(Calendar,AE1461,AD1462,BizDayConv)</f>
        <v>46287</v>
      </c>
      <c r="AF1462" s="125">
        <f>_xll.qlYieldTSDiscount($C$31,AE1462)</f>
        <v>0.949991474524018</v>
      </c>
      <c r="AG1462" s="125">
        <f>_xll.xlShmInterpDisc(CurveName&amp;T($C$26),AE1462)</f>
        <v>0.949991474524018</v>
      </c>
      <c r="AH1462" s="127">
        <f t="shared" si="29"/>
        <v>0</v>
      </c>
    </row>
    <row r="1463" spans="30:34" x14ac:dyDescent="0.2">
      <c r="AD1463" s="13" t="s">
        <v>85</v>
      </c>
      <c r="AE1463" s="126">
        <f>_xll.qlCalendarAdvance(Calendar,AE1462,AD1463,BizDayConv)</f>
        <v>46294</v>
      </c>
      <c r="AF1463" s="125">
        <f>_xll.qlYieldTSDiscount($C$31,AE1463)</f>
        <v>0.94969286758650806</v>
      </c>
      <c r="AG1463" s="125">
        <f>_xll.xlShmInterpDisc(CurveName&amp;T($C$26),AE1463)</f>
        <v>0.94969286758650806</v>
      </c>
      <c r="AH1463" s="127">
        <f t="shared" si="29"/>
        <v>0</v>
      </c>
    </row>
    <row r="1464" spans="30:34" x14ac:dyDescent="0.2">
      <c r="AD1464" s="13" t="s">
        <v>85</v>
      </c>
      <c r="AE1464" s="126">
        <f>_xll.qlCalendarAdvance(Calendar,AE1463,AD1464,BizDayConv)</f>
        <v>46301</v>
      </c>
      <c r="AF1464" s="125">
        <f>_xll.qlYieldTSDiscount($C$31,AE1464)</f>
        <v>0.94939396812887777</v>
      </c>
      <c r="AG1464" s="125">
        <f>_xll.xlShmInterpDisc(CurveName&amp;T($C$26),AE1464)</f>
        <v>0.94939396812887777</v>
      </c>
      <c r="AH1464" s="127">
        <f t="shared" si="29"/>
        <v>0</v>
      </c>
    </row>
    <row r="1465" spans="30:34" x14ac:dyDescent="0.2">
      <c r="AD1465" s="13" t="s">
        <v>85</v>
      </c>
      <c r="AE1465" s="126">
        <f>_xll.qlCalendarAdvance(Calendar,AE1464,AD1465,BizDayConv)</f>
        <v>46308</v>
      </c>
      <c r="AF1465" s="125">
        <f>_xll.qlYieldTSDiscount($C$31,AE1465)</f>
        <v>0.94909478382058043</v>
      </c>
      <c r="AG1465" s="125">
        <f>_xll.xlShmInterpDisc(CurveName&amp;T($C$26),AE1465)</f>
        <v>0.94909478382058043</v>
      </c>
      <c r="AH1465" s="127">
        <f t="shared" si="29"/>
        <v>0</v>
      </c>
    </row>
    <row r="1466" spans="30:34" x14ac:dyDescent="0.2">
      <c r="AD1466" s="13" t="s">
        <v>85</v>
      </c>
      <c r="AE1466" s="126">
        <f>_xll.qlCalendarAdvance(Calendar,AE1465,AD1466,BizDayConv)</f>
        <v>46315</v>
      </c>
      <c r="AF1466" s="125">
        <f>_xll.qlYieldTSDiscount($C$31,AE1466)</f>
        <v>0.94879532236060549</v>
      </c>
      <c r="AG1466" s="125">
        <f>_xll.xlShmInterpDisc(CurveName&amp;T($C$26),AE1466)</f>
        <v>0.94879532236060549</v>
      </c>
      <c r="AH1466" s="127">
        <f t="shared" si="29"/>
        <v>0</v>
      </c>
    </row>
    <row r="1467" spans="30:34" x14ac:dyDescent="0.2">
      <c r="AD1467" s="13" t="s">
        <v>85</v>
      </c>
      <c r="AE1467" s="126">
        <f>_xll.qlCalendarAdvance(Calendar,AE1466,AD1467,BizDayConv)</f>
        <v>46322</v>
      </c>
      <c r="AF1467" s="125">
        <f>_xll.qlYieldTSDiscount($C$31,AE1467)</f>
        <v>0.94849559147739515</v>
      </c>
      <c r="AG1467" s="125">
        <f>_xll.xlShmInterpDisc(CurveName&amp;T($C$26),AE1467)</f>
        <v>0.94849559147739515</v>
      </c>
      <c r="AH1467" s="127">
        <f t="shared" si="29"/>
        <v>0</v>
      </c>
    </row>
    <row r="1468" spans="30:34" x14ac:dyDescent="0.2">
      <c r="AD1468" s="13" t="s">
        <v>85</v>
      </c>
      <c r="AE1468" s="126">
        <f>_xll.qlCalendarAdvance(Calendar,AE1467,AD1468,BizDayConv)</f>
        <v>46329</v>
      </c>
      <c r="AF1468" s="125">
        <f>_xll.qlYieldTSDiscount($C$31,AE1468)</f>
        <v>0.94819559892876193</v>
      </c>
      <c r="AG1468" s="125">
        <f>_xll.xlShmInterpDisc(CurveName&amp;T($C$26),AE1468)</f>
        <v>0.94819559892876193</v>
      </c>
      <c r="AH1468" s="127">
        <f t="shared" si="29"/>
        <v>0</v>
      </c>
    </row>
    <row r="1469" spans="30:34" x14ac:dyDescent="0.2">
      <c r="AD1469" s="13" t="s">
        <v>85</v>
      </c>
      <c r="AE1469" s="126">
        <f>_xll.qlCalendarAdvance(Calendar,AE1468,AD1469,BizDayConv)</f>
        <v>46336</v>
      </c>
      <c r="AF1469" s="125">
        <f>_xll.qlYieldTSDiscount($C$31,AE1469)</f>
        <v>0.94789535250180623</v>
      </c>
      <c r="AG1469" s="125">
        <f>_xll.xlShmInterpDisc(CurveName&amp;T($C$26),AE1469)</f>
        <v>0.94789535250180623</v>
      </c>
      <c r="AH1469" s="127">
        <f t="shared" si="29"/>
        <v>0</v>
      </c>
    </row>
    <row r="1470" spans="30:34" x14ac:dyDescent="0.2">
      <c r="AD1470" s="13" t="s">
        <v>85</v>
      </c>
      <c r="AE1470" s="126">
        <f>_xll.qlCalendarAdvance(Calendar,AE1469,AD1470,BizDayConv)</f>
        <v>46343</v>
      </c>
      <c r="AF1470" s="125">
        <f>_xll.qlYieldTSDiscount($C$31,AE1470)</f>
        <v>0.94759486001283466</v>
      </c>
      <c r="AG1470" s="125">
        <f>_xll.xlShmInterpDisc(CurveName&amp;T($C$26),AE1470)</f>
        <v>0.94759486001283466</v>
      </c>
      <c r="AH1470" s="127">
        <f t="shared" si="29"/>
        <v>0</v>
      </c>
    </row>
    <row r="1471" spans="30:34" x14ac:dyDescent="0.2">
      <c r="AD1471" s="13" t="s">
        <v>85</v>
      </c>
      <c r="AE1471" s="126">
        <f>_xll.qlCalendarAdvance(Calendar,AE1470,AD1471,BizDayConv)</f>
        <v>46350</v>
      </c>
      <c r="AF1471" s="125">
        <f>_xll.qlYieldTSDiscount($C$31,AE1471)</f>
        <v>0.94729412930727863</v>
      </c>
      <c r="AG1471" s="125">
        <f>_xll.xlShmInterpDisc(CurveName&amp;T($C$26),AE1471)</f>
        <v>0.94729412930727863</v>
      </c>
      <c r="AH1471" s="127">
        <f t="shared" si="29"/>
        <v>0</v>
      </c>
    </row>
    <row r="1472" spans="30:34" x14ac:dyDescent="0.2">
      <c r="AD1472" s="13" t="s">
        <v>85</v>
      </c>
      <c r="AE1472" s="126">
        <f>_xll.qlCalendarAdvance(Calendar,AE1471,AD1472,BizDayConv)</f>
        <v>46357</v>
      </c>
      <c r="AF1472" s="125">
        <f>_xll.qlYieldTSDiscount($C$31,AE1472)</f>
        <v>0.94699316825961355</v>
      </c>
      <c r="AG1472" s="125">
        <f>_xll.xlShmInterpDisc(CurveName&amp;T($C$26),AE1472)</f>
        <v>0.94699316825961355</v>
      </c>
      <c r="AH1472" s="127">
        <f t="shared" si="29"/>
        <v>0</v>
      </c>
    </row>
    <row r="1473" spans="30:34" x14ac:dyDescent="0.2">
      <c r="AD1473" s="13" t="s">
        <v>85</v>
      </c>
      <c r="AE1473" s="126">
        <f>_xll.qlCalendarAdvance(Calendar,AE1472,AD1473,BizDayConv)</f>
        <v>46364</v>
      </c>
      <c r="AF1473" s="125">
        <f>_xll.qlYieldTSDiscount($C$31,AE1473)</f>
        <v>0.94669198477327876</v>
      </c>
      <c r="AG1473" s="125">
        <f>_xll.xlShmInterpDisc(CurveName&amp;T($C$26),AE1473)</f>
        <v>0.94669198477327876</v>
      </c>
      <c r="AH1473" s="127">
        <f t="shared" si="29"/>
        <v>0</v>
      </c>
    </row>
    <row r="1474" spans="30:34" x14ac:dyDescent="0.2">
      <c r="AD1474" s="13" t="s">
        <v>85</v>
      </c>
      <c r="AE1474" s="126">
        <f>_xll.qlCalendarAdvance(Calendar,AE1473,AD1474,BizDayConv)</f>
        <v>46371</v>
      </c>
      <c r="AF1474" s="125">
        <f>_xll.qlYieldTSDiscount($C$31,AE1474)</f>
        <v>0.94639058678059751</v>
      </c>
      <c r="AG1474" s="125">
        <f>_xll.xlShmInterpDisc(CurveName&amp;T($C$26),AE1474)</f>
        <v>0.94639058678059751</v>
      </c>
      <c r="AH1474" s="127">
        <f t="shared" si="29"/>
        <v>0</v>
      </c>
    </row>
    <row r="1475" spans="30:34" x14ac:dyDescent="0.2">
      <c r="AD1475" s="13" t="s">
        <v>85</v>
      </c>
      <c r="AE1475" s="126">
        <f>_xll.qlCalendarAdvance(Calendar,AE1474,AD1475,BizDayConv)</f>
        <v>46378</v>
      </c>
      <c r="AF1475" s="125">
        <f>_xll.qlYieldTSDiscount($C$31,AE1475)</f>
        <v>0.94608898224269766</v>
      </c>
      <c r="AG1475" s="125">
        <f>_xll.xlShmInterpDisc(CurveName&amp;T($C$26),AE1475)</f>
        <v>0.94608898224269766</v>
      </c>
      <c r="AH1475" s="127">
        <f t="shared" si="29"/>
        <v>0</v>
      </c>
    </row>
    <row r="1476" spans="30:34" x14ac:dyDescent="0.2">
      <c r="AD1476" s="13" t="s">
        <v>85</v>
      </c>
      <c r="AE1476" s="126">
        <f>_xll.qlCalendarAdvance(Calendar,AE1475,AD1476,BizDayConv)</f>
        <v>46385</v>
      </c>
      <c r="AF1476" s="125">
        <f>_xll.qlYieldTSDiscount($C$31,AE1476)</f>
        <v>0.94578717914943322</v>
      </c>
      <c r="AG1476" s="125">
        <f>_xll.xlShmInterpDisc(CurveName&amp;T($C$26),AE1476)</f>
        <v>0.94578717914943322</v>
      </c>
      <c r="AH1476" s="127">
        <f t="shared" ref="AH1476:AH1539" si="30">(AF1476-AG1476)</f>
        <v>0</v>
      </c>
    </row>
    <row r="1477" spans="30:34" x14ac:dyDescent="0.2">
      <c r="AD1477" s="13" t="s">
        <v>85</v>
      </c>
      <c r="AE1477" s="126">
        <f>_xll.qlCalendarAdvance(Calendar,AE1476,AD1477,BizDayConv)</f>
        <v>46392</v>
      </c>
      <c r="AF1477" s="125">
        <f>_xll.qlYieldTSDiscount($C$31,AE1477)</f>
        <v>0.94548518358963796</v>
      </c>
      <c r="AG1477" s="125">
        <f>_xll.xlShmInterpDisc(CurveName&amp;T($C$26),AE1477)</f>
        <v>0.94548518358963796</v>
      </c>
      <c r="AH1477" s="127">
        <f t="shared" si="30"/>
        <v>0</v>
      </c>
    </row>
    <row r="1478" spans="30:34" x14ac:dyDescent="0.2">
      <c r="AD1478" s="13" t="s">
        <v>85</v>
      </c>
      <c r="AE1478" s="126">
        <f>_xll.qlCalendarAdvance(Calendar,AE1477,AD1478,BizDayConv)</f>
        <v>46399</v>
      </c>
      <c r="AF1478" s="125">
        <f>_xll.qlYieldTSDiscount($C$31,AE1478)</f>
        <v>0.94518288541849793</v>
      </c>
      <c r="AG1478" s="125">
        <f>_xll.xlShmInterpDisc(CurveName&amp;T($C$26),AE1478)</f>
        <v>0.94518288541849793</v>
      </c>
      <c r="AH1478" s="127">
        <f t="shared" si="30"/>
        <v>0</v>
      </c>
    </row>
    <row r="1479" spans="30:34" x14ac:dyDescent="0.2">
      <c r="AD1479" s="13" t="s">
        <v>85</v>
      </c>
      <c r="AE1479" s="126">
        <f>_xll.qlCalendarAdvance(Calendar,AE1478,AD1479,BizDayConv)</f>
        <v>46406</v>
      </c>
      <c r="AF1479" s="125">
        <f>_xll.qlYieldTSDiscount($C$31,AE1479)</f>
        <v>0.9448802212973767</v>
      </c>
      <c r="AG1479" s="125">
        <f>_xll.xlShmInterpDisc(CurveName&amp;T($C$26),AE1479)</f>
        <v>0.9448802212973767</v>
      </c>
      <c r="AH1479" s="127">
        <f t="shared" si="30"/>
        <v>0</v>
      </c>
    </row>
    <row r="1480" spans="30:34" x14ac:dyDescent="0.2">
      <c r="AD1480" s="13" t="s">
        <v>85</v>
      </c>
      <c r="AE1480" s="126">
        <f>_xll.qlCalendarAdvance(Calendar,AE1479,AD1480,BizDayConv)</f>
        <v>46413</v>
      </c>
      <c r="AF1480" s="125">
        <f>_xll.qlYieldTSDiscount($C$31,AE1480)</f>
        <v>0.94457719710668886</v>
      </c>
      <c r="AG1480" s="125">
        <f>_xll.xlShmInterpDisc(CurveName&amp;T($C$26),AE1480)</f>
        <v>0.94457719710668886</v>
      </c>
      <c r="AH1480" s="127">
        <f t="shared" si="30"/>
        <v>0</v>
      </c>
    </row>
    <row r="1481" spans="30:34" x14ac:dyDescent="0.2">
      <c r="AD1481" s="13" t="s">
        <v>85</v>
      </c>
      <c r="AE1481" s="126">
        <f>_xll.qlCalendarAdvance(Calendar,AE1480,AD1481,BizDayConv)</f>
        <v>46420</v>
      </c>
      <c r="AF1481" s="125">
        <f>_xll.qlYieldTSDiscount($C$31,AE1481)</f>
        <v>0.94427381874858263</v>
      </c>
      <c r="AG1481" s="125">
        <f>_xll.xlShmInterpDisc(CurveName&amp;T($C$26),AE1481)</f>
        <v>0.94427381874858274</v>
      </c>
      <c r="AH1481" s="127">
        <f t="shared" si="30"/>
        <v>-1.1102230246251565E-16</v>
      </c>
    </row>
    <row r="1482" spans="30:34" x14ac:dyDescent="0.2">
      <c r="AD1482" s="13" t="s">
        <v>85</v>
      </c>
      <c r="AE1482" s="126">
        <f>_xll.qlCalendarAdvance(Calendar,AE1481,AD1482,BizDayConv)</f>
        <v>46427</v>
      </c>
      <c r="AF1482" s="125">
        <f>_xll.qlYieldTSDiscount($C$31,AE1482)</f>
        <v>0.94397009214687233</v>
      </c>
      <c r="AG1482" s="125">
        <f>_xll.xlShmInterpDisc(CurveName&amp;T($C$26),AE1482)</f>
        <v>0.94397009214687233</v>
      </c>
      <c r="AH1482" s="127">
        <f t="shared" si="30"/>
        <v>0</v>
      </c>
    </row>
    <row r="1483" spans="30:34" x14ac:dyDescent="0.2">
      <c r="AD1483" s="13" t="s">
        <v>85</v>
      </c>
      <c r="AE1483" s="126">
        <f>_xll.qlCalendarAdvance(Calendar,AE1482,AD1483,BizDayConv)</f>
        <v>46434</v>
      </c>
      <c r="AF1483" s="125">
        <f>_xll.qlYieldTSDiscount($C$31,AE1483)</f>
        <v>0.94366602324697146</v>
      </c>
      <c r="AG1483" s="125">
        <f>_xll.xlShmInterpDisc(CurveName&amp;T($C$26),AE1483)</f>
        <v>0.94366602324697146</v>
      </c>
      <c r="AH1483" s="127">
        <f t="shared" si="30"/>
        <v>0</v>
      </c>
    </row>
    <row r="1484" spans="30:34" x14ac:dyDescent="0.2">
      <c r="AD1484" s="13" t="s">
        <v>85</v>
      </c>
      <c r="AE1484" s="126">
        <f>_xll.qlCalendarAdvance(Calendar,AE1483,AD1484,BizDayConv)</f>
        <v>46441</v>
      </c>
      <c r="AF1484" s="125">
        <f>_xll.qlYieldTSDiscount($C$31,AE1484)</f>
        <v>0.94336161801582619</v>
      </c>
      <c r="AG1484" s="125">
        <f>_xll.xlShmInterpDisc(CurveName&amp;T($C$26),AE1484)</f>
        <v>0.94336161801582619</v>
      </c>
      <c r="AH1484" s="127">
        <f t="shared" si="30"/>
        <v>0</v>
      </c>
    </row>
    <row r="1485" spans="30:34" x14ac:dyDescent="0.2">
      <c r="AD1485" s="13" t="s">
        <v>85</v>
      </c>
      <c r="AE1485" s="126">
        <f>_xll.qlCalendarAdvance(Calendar,AE1484,AD1485,BizDayConv)</f>
        <v>46448</v>
      </c>
      <c r="AF1485" s="125">
        <f>_xll.qlYieldTSDiscount($C$31,AE1485)</f>
        <v>0.94305688244184849</v>
      </c>
      <c r="AG1485" s="125">
        <f>_xll.xlShmInterpDisc(CurveName&amp;T($C$26),AE1485)</f>
        <v>0.94305688244184849</v>
      </c>
      <c r="AH1485" s="127">
        <f t="shared" si="30"/>
        <v>0</v>
      </c>
    </row>
    <row r="1486" spans="30:34" x14ac:dyDescent="0.2">
      <c r="AD1486" s="13" t="s">
        <v>85</v>
      </c>
      <c r="AE1486" s="126">
        <f>_xll.qlCalendarAdvance(Calendar,AE1485,AD1486,BizDayConv)</f>
        <v>46455</v>
      </c>
      <c r="AF1486" s="125">
        <f>_xll.qlYieldTSDiscount($C$31,AE1486)</f>
        <v>0.94275182253485001</v>
      </c>
      <c r="AG1486" s="125">
        <f>_xll.xlShmInterpDisc(CurveName&amp;T($C$26),AE1486)</f>
        <v>0.94275182253485001</v>
      </c>
      <c r="AH1486" s="127">
        <f t="shared" si="30"/>
        <v>0</v>
      </c>
    </row>
    <row r="1487" spans="30:34" x14ac:dyDescent="0.2">
      <c r="AD1487" s="13" t="s">
        <v>85</v>
      </c>
      <c r="AE1487" s="126">
        <f>_xll.qlCalendarAdvance(Calendar,AE1486,AD1487,BizDayConv)</f>
        <v>46462</v>
      </c>
      <c r="AF1487" s="125">
        <f>_xll.qlYieldTSDiscount($C$31,AE1487)</f>
        <v>0.94244644432597613</v>
      </c>
      <c r="AG1487" s="125">
        <f>_xll.xlShmInterpDisc(CurveName&amp;T($C$26),AE1487)</f>
        <v>0.94244644432597613</v>
      </c>
      <c r="AH1487" s="127">
        <f t="shared" si="30"/>
        <v>0</v>
      </c>
    </row>
    <row r="1488" spans="30:34" x14ac:dyDescent="0.2">
      <c r="AD1488" s="13" t="s">
        <v>85</v>
      </c>
      <c r="AE1488" s="126">
        <f>_xll.qlCalendarAdvance(Calendar,AE1487,AD1488,BizDayConv)</f>
        <v>46469</v>
      </c>
      <c r="AF1488" s="125">
        <f>_xll.qlYieldTSDiscount($C$31,AE1488)</f>
        <v>0.94214075386763985</v>
      </c>
      <c r="AG1488" s="125">
        <f>_xll.xlShmInterpDisc(CurveName&amp;T($C$26),AE1488)</f>
        <v>0.94214075386763985</v>
      </c>
      <c r="AH1488" s="127">
        <f t="shared" si="30"/>
        <v>0</v>
      </c>
    </row>
    <row r="1489" spans="30:34" x14ac:dyDescent="0.2">
      <c r="AD1489" s="13" t="s">
        <v>85</v>
      </c>
      <c r="AE1489" s="126">
        <f>_xll.qlCalendarAdvance(Calendar,AE1488,AD1489,BizDayConv)</f>
        <v>46476</v>
      </c>
      <c r="AF1489" s="125">
        <f>_xll.qlYieldTSDiscount($C$31,AE1489)</f>
        <v>0.94183475723345644</v>
      </c>
      <c r="AG1489" s="125">
        <f>_xll.xlShmInterpDisc(CurveName&amp;T($C$26),AE1489)</f>
        <v>0.94183475723345644</v>
      </c>
      <c r="AH1489" s="127">
        <f t="shared" si="30"/>
        <v>0</v>
      </c>
    </row>
    <row r="1490" spans="30:34" x14ac:dyDescent="0.2">
      <c r="AD1490" s="13" t="s">
        <v>85</v>
      </c>
      <c r="AE1490" s="126">
        <f>_xll.qlCalendarAdvance(Calendar,AE1489,AD1490,BizDayConv)</f>
        <v>46483</v>
      </c>
      <c r="AF1490" s="125">
        <f>_xll.qlYieldTSDiscount($C$31,AE1490)</f>
        <v>0.94152846051817773</v>
      </c>
      <c r="AG1490" s="125">
        <f>_xll.xlShmInterpDisc(CurveName&amp;T($C$26),AE1490)</f>
        <v>0.94152846051817785</v>
      </c>
      <c r="AH1490" s="127">
        <f t="shared" si="30"/>
        <v>-1.1102230246251565E-16</v>
      </c>
    </row>
    <row r="1491" spans="30:34" x14ac:dyDescent="0.2">
      <c r="AD1491" s="13" t="s">
        <v>85</v>
      </c>
      <c r="AE1491" s="126">
        <f>_xll.qlCalendarAdvance(Calendar,AE1490,AD1491,BizDayConv)</f>
        <v>46490</v>
      </c>
      <c r="AF1491" s="125">
        <f>_xll.qlYieldTSDiscount($C$31,AE1491)</f>
        <v>0.94122186983762768</v>
      </c>
      <c r="AG1491" s="125">
        <f>_xll.xlShmInterpDisc(CurveName&amp;T($C$26),AE1491)</f>
        <v>0.94122186983762768</v>
      </c>
      <c r="AH1491" s="127">
        <f t="shared" si="30"/>
        <v>0</v>
      </c>
    </row>
    <row r="1492" spans="30:34" x14ac:dyDescent="0.2">
      <c r="AD1492" s="13" t="s">
        <v>85</v>
      </c>
      <c r="AE1492" s="126">
        <f>_xll.qlCalendarAdvance(Calendar,AE1491,AD1492,BizDayConv)</f>
        <v>46497</v>
      </c>
      <c r="AF1492" s="125">
        <f>_xll.qlYieldTSDiscount($C$31,AE1492)</f>
        <v>0.94091499132863654</v>
      </c>
      <c r="AG1492" s="125">
        <f>_xll.xlShmInterpDisc(CurveName&amp;T($C$26),AE1492)</f>
        <v>0.94091499132863654</v>
      </c>
      <c r="AH1492" s="127">
        <f t="shared" si="30"/>
        <v>0</v>
      </c>
    </row>
    <row r="1493" spans="30:34" x14ac:dyDescent="0.2">
      <c r="AD1493" s="13" t="s">
        <v>85</v>
      </c>
      <c r="AE1493" s="126">
        <f>_xll.qlCalendarAdvance(Calendar,AE1492,AD1493,BizDayConv)</f>
        <v>46504</v>
      </c>
      <c r="AF1493" s="125">
        <f>_xll.qlYieldTSDiscount($C$31,AE1493)</f>
        <v>0.94060783114897739</v>
      </c>
      <c r="AG1493" s="125">
        <f>_xll.xlShmInterpDisc(CurveName&amp;T($C$26),AE1493)</f>
        <v>0.94060783114897739</v>
      </c>
      <c r="AH1493" s="127">
        <f t="shared" si="30"/>
        <v>0</v>
      </c>
    </row>
    <row r="1494" spans="30:34" x14ac:dyDescent="0.2">
      <c r="AD1494" s="13" t="s">
        <v>85</v>
      </c>
      <c r="AE1494" s="126">
        <f>_xll.qlCalendarAdvance(Calendar,AE1493,AD1494,BizDayConv)</f>
        <v>46511</v>
      </c>
      <c r="AF1494" s="125">
        <f>_xll.qlYieldTSDiscount($C$31,AE1494)</f>
        <v>0.94030039547730104</v>
      </c>
      <c r="AG1494" s="125">
        <f>_xll.xlShmInterpDisc(CurveName&amp;T($C$26),AE1494)</f>
        <v>0.94030039547730104</v>
      </c>
      <c r="AH1494" s="127">
        <f t="shared" si="30"/>
        <v>0</v>
      </c>
    </row>
    <row r="1495" spans="30:34" x14ac:dyDescent="0.2">
      <c r="AD1495" s="13" t="s">
        <v>85</v>
      </c>
      <c r="AE1495" s="126">
        <f>_xll.qlCalendarAdvance(Calendar,AE1494,AD1495,BizDayConv)</f>
        <v>46518</v>
      </c>
      <c r="AF1495" s="125">
        <f>_xll.qlYieldTSDiscount($C$31,AE1495)</f>
        <v>0.93999269051307222</v>
      </c>
      <c r="AG1495" s="125">
        <f>_xll.xlShmInterpDisc(CurveName&amp;T($C$26),AE1495)</f>
        <v>0.93999269051307222</v>
      </c>
      <c r="AH1495" s="127">
        <f t="shared" si="30"/>
        <v>0</v>
      </c>
    </row>
    <row r="1496" spans="30:34" x14ac:dyDescent="0.2">
      <c r="AD1496" s="13" t="s">
        <v>85</v>
      </c>
      <c r="AE1496" s="126">
        <f>_xll.qlCalendarAdvance(Calendar,AE1495,AD1496,BizDayConv)</f>
        <v>46525</v>
      </c>
      <c r="AF1496" s="125">
        <f>_xll.qlYieldTSDiscount($C$31,AE1496)</f>
        <v>0.93968472247650603</v>
      </c>
      <c r="AG1496" s="125">
        <f>_xll.xlShmInterpDisc(CurveName&amp;T($C$26),AE1496)</f>
        <v>0.93968472247650603</v>
      </c>
      <c r="AH1496" s="127">
        <f t="shared" si="30"/>
        <v>0</v>
      </c>
    </row>
    <row r="1497" spans="30:34" x14ac:dyDescent="0.2">
      <c r="AD1497" s="13" t="s">
        <v>85</v>
      </c>
      <c r="AE1497" s="126">
        <f>_xll.qlCalendarAdvance(Calendar,AE1496,AD1497,BizDayConv)</f>
        <v>46532</v>
      </c>
      <c r="AF1497" s="125">
        <f>_xll.qlYieldTSDiscount($C$31,AE1497)</f>
        <v>0.93937649760850428</v>
      </c>
      <c r="AG1497" s="125">
        <f>_xll.xlShmInterpDisc(CurveName&amp;T($C$26),AE1497)</f>
        <v>0.93937649760850428</v>
      </c>
      <c r="AH1497" s="127">
        <f t="shared" si="30"/>
        <v>0</v>
      </c>
    </row>
    <row r="1498" spans="30:34" x14ac:dyDescent="0.2">
      <c r="AD1498" s="13" t="s">
        <v>85</v>
      </c>
      <c r="AE1498" s="126">
        <f>_xll.qlCalendarAdvance(Calendar,AE1497,AD1498,BizDayConv)</f>
        <v>46539</v>
      </c>
      <c r="AF1498" s="125">
        <f>_xll.qlYieldTSDiscount($C$31,AE1498)</f>
        <v>0.93906802217059238</v>
      </c>
      <c r="AG1498" s="125">
        <f>_xll.xlShmInterpDisc(CurveName&amp;T($C$26),AE1498)</f>
        <v>0.93906802217059238</v>
      </c>
      <c r="AH1498" s="127">
        <f t="shared" si="30"/>
        <v>0</v>
      </c>
    </row>
    <row r="1499" spans="30:34" x14ac:dyDescent="0.2">
      <c r="AD1499" s="13" t="s">
        <v>85</v>
      </c>
      <c r="AE1499" s="126">
        <f>_xll.qlCalendarAdvance(Calendar,AE1498,AD1499,BizDayConv)</f>
        <v>46546</v>
      </c>
      <c r="AF1499" s="125">
        <f>_xll.qlYieldTSDiscount($C$31,AE1499)</f>
        <v>0.9387593024448565</v>
      </c>
      <c r="AG1499" s="125">
        <f>_xll.xlShmInterpDisc(CurveName&amp;T($C$26),AE1499)</f>
        <v>0.9387593024448565</v>
      </c>
      <c r="AH1499" s="127">
        <f t="shared" si="30"/>
        <v>0</v>
      </c>
    </row>
    <row r="1500" spans="30:34" x14ac:dyDescent="0.2">
      <c r="AD1500" s="13" t="s">
        <v>85</v>
      </c>
      <c r="AE1500" s="126">
        <f>_xll.qlCalendarAdvance(Calendar,AE1499,AD1500,BizDayConv)</f>
        <v>46553</v>
      </c>
      <c r="AF1500" s="125">
        <f>_xll.qlYieldTSDiscount($C$31,AE1500)</f>
        <v>0.938450344733881</v>
      </c>
      <c r="AG1500" s="125">
        <f>_xll.xlShmInterpDisc(CurveName&amp;T($C$26),AE1500)</f>
        <v>0.938450344733881</v>
      </c>
      <c r="AH1500" s="127">
        <f t="shared" si="30"/>
        <v>0</v>
      </c>
    </row>
    <row r="1501" spans="30:34" x14ac:dyDescent="0.2">
      <c r="AD1501" s="13" t="s">
        <v>85</v>
      </c>
      <c r="AE1501" s="126">
        <f>_xll.qlCalendarAdvance(Calendar,AE1500,AD1501,BizDayConv)</f>
        <v>46560</v>
      </c>
      <c r="AF1501" s="125">
        <f>_xll.qlYieldTSDiscount($C$31,AE1501)</f>
        <v>0.93814115536068599</v>
      </c>
      <c r="AG1501" s="125">
        <f>_xll.xlShmInterpDisc(CurveName&amp;T($C$26),AE1501)</f>
        <v>0.93814115536068599</v>
      </c>
      <c r="AH1501" s="127">
        <f t="shared" si="30"/>
        <v>0</v>
      </c>
    </row>
    <row r="1502" spans="30:34" x14ac:dyDescent="0.2">
      <c r="AD1502" s="13" t="s">
        <v>85</v>
      </c>
      <c r="AE1502" s="126">
        <f>_xll.qlCalendarAdvance(Calendar,AE1501,AD1502,BizDayConv)</f>
        <v>46567</v>
      </c>
      <c r="AF1502" s="125">
        <f>_xll.qlYieldTSDiscount($C$31,AE1502)</f>
        <v>0.9378317406686657</v>
      </c>
      <c r="AG1502" s="125">
        <f>_xll.xlShmInterpDisc(CurveName&amp;T($C$26),AE1502)</f>
        <v>0.9378317406686657</v>
      </c>
      <c r="AH1502" s="127">
        <f t="shared" si="30"/>
        <v>0</v>
      </c>
    </row>
    <row r="1503" spans="30:34" x14ac:dyDescent="0.2">
      <c r="AD1503" s="13" t="s">
        <v>85</v>
      </c>
      <c r="AE1503" s="126">
        <f>_xll.qlCalendarAdvance(Calendar,AE1502,AD1503,BizDayConv)</f>
        <v>46574</v>
      </c>
      <c r="AF1503" s="125">
        <f>_xll.qlYieldTSDiscount($C$31,AE1503)</f>
        <v>0.93752210702152694</v>
      </c>
      <c r="AG1503" s="125">
        <f>_xll.xlShmInterpDisc(CurveName&amp;T($C$26),AE1503)</f>
        <v>0.93752210702152694</v>
      </c>
      <c r="AH1503" s="127">
        <f t="shared" si="30"/>
        <v>0</v>
      </c>
    </row>
    <row r="1504" spans="30:34" x14ac:dyDescent="0.2">
      <c r="AD1504" s="13" t="s">
        <v>85</v>
      </c>
      <c r="AE1504" s="126">
        <f>_xll.qlCalendarAdvance(Calendar,AE1503,AD1504,BizDayConv)</f>
        <v>46581</v>
      </c>
      <c r="AF1504" s="125">
        <f>_xll.qlYieldTSDiscount($C$31,AE1504)</f>
        <v>0.93721226080322717</v>
      </c>
      <c r="AG1504" s="125">
        <f>_xll.xlShmInterpDisc(CurveName&amp;T($C$26),AE1504)</f>
        <v>0.93721226080322717</v>
      </c>
      <c r="AH1504" s="127">
        <f t="shared" si="30"/>
        <v>0</v>
      </c>
    </row>
    <row r="1505" spans="30:34" x14ac:dyDescent="0.2">
      <c r="AD1505" s="13" t="s">
        <v>85</v>
      </c>
      <c r="AE1505" s="126">
        <f>_xll.qlCalendarAdvance(Calendar,AE1504,AD1505,BizDayConv)</f>
        <v>46588</v>
      </c>
      <c r="AF1505" s="125">
        <f>_xll.qlYieldTSDiscount($C$31,AE1505)</f>
        <v>0.93690220841791449</v>
      </c>
      <c r="AG1505" s="125">
        <f>_xll.xlShmInterpDisc(CurveName&amp;T($C$26),AE1505)</f>
        <v>0.93690220841791449</v>
      </c>
      <c r="AH1505" s="127">
        <f t="shared" si="30"/>
        <v>0</v>
      </c>
    </row>
    <row r="1506" spans="30:34" x14ac:dyDescent="0.2">
      <c r="AD1506" s="13" t="s">
        <v>85</v>
      </c>
      <c r="AE1506" s="126">
        <f>_xll.qlCalendarAdvance(Calendar,AE1505,AD1506,BizDayConv)</f>
        <v>46595</v>
      </c>
      <c r="AF1506" s="125">
        <f>_xll.qlYieldTSDiscount($C$31,AE1506)</f>
        <v>0.93659195628986602</v>
      </c>
      <c r="AG1506" s="125">
        <f>_xll.xlShmInterpDisc(CurveName&amp;T($C$26),AE1506)</f>
        <v>0.93659195628986602</v>
      </c>
      <c r="AH1506" s="127">
        <f t="shared" si="30"/>
        <v>0</v>
      </c>
    </row>
    <row r="1507" spans="30:34" x14ac:dyDescent="0.2">
      <c r="AD1507" s="13" t="s">
        <v>85</v>
      </c>
      <c r="AE1507" s="126">
        <f>_xll.qlCalendarAdvance(Calendar,AE1506,AD1507,BizDayConv)</f>
        <v>46602</v>
      </c>
      <c r="AF1507" s="125">
        <f>_xll.qlYieldTSDiscount($C$31,AE1507)</f>
        <v>0.9362815108634287</v>
      </c>
      <c r="AG1507" s="125">
        <f>_xll.xlShmInterpDisc(CurveName&amp;T($C$26),AE1507)</f>
        <v>0.9362815108634287</v>
      </c>
      <c r="AH1507" s="127">
        <f t="shared" si="30"/>
        <v>0</v>
      </c>
    </row>
    <row r="1508" spans="30:34" x14ac:dyDescent="0.2">
      <c r="AD1508" s="13" t="s">
        <v>85</v>
      </c>
      <c r="AE1508" s="126">
        <f>_xll.qlCalendarAdvance(Calendar,AE1507,AD1508,BizDayConv)</f>
        <v>46609</v>
      </c>
      <c r="AF1508" s="125">
        <f>_xll.qlYieldTSDiscount($C$31,AE1508)</f>
        <v>0.93597087860295836</v>
      </c>
      <c r="AG1508" s="125">
        <f>_xll.xlShmInterpDisc(CurveName&amp;T($C$26),AE1508)</f>
        <v>0.93597087860295836</v>
      </c>
      <c r="AH1508" s="127">
        <f t="shared" si="30"/>
        <v>0</v>
      </c>
    </row>
    <row r="1509" spans="30:34" x14ac:dyDescent="0.2">
      <c r="AD1509" s="13" t="s">
        <v>85</v>
      </c>
      <c r="AE1509" s="126">
        <f>_xll.qlCalendarAdvance(Calendar,AE1508,AD1509,BizDayConv)</f>
        <v>46616</v>
      </c>
      <c r="AF1509" s="125">
        <f>_xll.qlYieldTSDiscount($C$31,AE1509)</f>
        <v>0.93566006599276097</v>
      </c>
      <c r="AG1509" s="125">
        <f>_xll.xlShmInterpDisc(CurveName&amp;T($C$26),AE1509)</f>
        <v>0.93566006599276097</v>
      </c>
      <c r="AH1509" s="127">
        <f t="shared" si="30"/>
        <v>0</v>
      </c>
    </row>
    <row r="1510" spans="30:34" x14ac:dyDescent="0.2">
      <c r="AD1510" s="13" t="s">
        <v>85</v>
      </c>
      <c r="AE1510" s="126">
        <f>_xll.qlCalendarAdvance(Calendar,AE1509,AD1510,BizDayConv)</f>
        <v>46623</v>
      </c>
      <c r="AF1510" s="125">
        <f>_xll.qlYieldTSDiscount($C$31,AE1510)</f>
        <v>0.93534907953703272</v>
      </c>
      <c r="AG1510" s="125">
        <f>_xll.xlShmInterpDisc(CurveName&amp;T($C$26),AE1510)</f>
        <v>0.93534907953703272</v>
      </c>
      <c r="AH1510" s="127">
        <f t="shared" si="30"/>
        <v>0</v>
      </c>
    </row>
    <row r="1511" spans="30:34" x14ac:dyDescent="0.2">
      <c r="AD1511" s="13" t="s">
        <v>85</v>
      </c>
      <c r="AE1511" s="126">
        <f>_xll.qlCalendarAdvance(Calendar,AE1510,AD1511,BizDayConv)</f>
        <v>46630</v>
      </c>
      <c r="AF1511" s="125">
        <f>_xll.qlYieldTSDiscount($C$31,AE1511)</f>
        <v>0.93503792575980194</v>
      </c>
      <c r="AG1511" s="125">
        <f>_xll.xlShmInterpDisc(CurveName&amp;T($C$26),AE1511)</f>
        <v>0.93503792575980194</v>
      </c>
      <c r="AH1511" s="127">
        <f t="shared" si="30"/>
        <v>0</v>
      </c>
    </row>
    <row r="1512" spans="30:34" x14ac:dyDescent="0.2">
      <c r="AD1512" s="13" t="s">
        <v>85</v>
      </c>
      <c r="AE1512" s="126">
        <f>_xll.qlCalendarAdvance(Calendar,AE1511,AD1512,BizDayConv)</f>
        <v>46637</v>
      </c>
      <c r="AF1512" s="125">
        <f>_xll.qlYieldTSDiscount($C$31,AE1512)</f>
        <v>0.93472661120487022</v>
      </c>
      <c r="AG1512" s="125">
        <f>_xll.xlShmInterpDisc(CurveName&amp;T($C$26),AE1512)</f>
        <v>0.93472661120487022</v>
      </c>
      <c r="AH1512" s="127">
        <f t="shared" si="30"/>
        <v>0</v>
      </c>
    </row>
    <row r="1513" spans="30:34" x14ac:dyDescent="0.2">
      <c r="AD1513" s="13" t="s">
        <v>85</v>
      </c>
      <c r="AE1513" s="126">
        <f>_xll.qlCalendarAdvance(Calendar,AE1512,AD1513,BizDayConv)</f>
        <v>46644</v>
      </c>
      <c r="AF1513" s="125">
        <f>_xll.qlYieldTSDiscount($C$31,AE1513)</f>
        <v>0.93441514243575419</v>
      </c>
      <c r="AG1513" s="125">
        <f>_xll.xlShmInterpDisc(CurveName&amp;T($C$26),AE1513)</f>
        <v>0.93441514243575419</v>
      </c>
      <c r="AH1513" s="127">
        <f t="shared" si="30"/>
        <v>0</v>
      </c>
    </row>
    <row r="1514" spans="30:34" x14ac:dyDescent="0.2">
      <c r="AD1514" s="13" t="s">
        <v>85</v>
      </c>
      <c r="AE1514" s="126">
        <f>_xll.qlCalendarAdvance(Calendar,AE1513,AD1514,BizDayConv)</f>
        <v>46651</v>
      </c>
      <c r="AF1514" s="125">
        <f>_xll.qlYieldTSDiscount($C$31,AE1514)</f>
        <v>0.93410352603562818</v>
      </c>
      <c r="AG1514" s="125">
        <f>_xll.xlShmInterpDisc(CurveName&amp;T($C$26),AE1514)</f>
        <v>0.93410352603562818</v>
      </c>
      <c r="AH1514" s="127">
        <f t="shared" si="30"/>
        <v>0</v>
      </c>
    </row>
    <row r="1515" spans="30:34" x14ac:dyDescent="0.2">
      <c r="AD1515" s="13" t="s">
        <v>85</v>
      </c>
      <c r="AE1515" s="126">
        <f>_xll.qlCalendarAdvance(Calendar,AE1514,AD1515,BizDayConv)</f>
        <v>46658</v>
      </c>
      <c r="AF1515" s="125">
        <f>_xll.qlYieldTSDiscount($C$31,AE1515)</f>
        <v>0.93379176860726698</v>
      </c>
      <c r="AG1515" s="125">
        <f>_xll.xlShmInterpDisc(CurveName&amp;T($C$26),AE1515)</f>
        <v>0.93379176860726698</v>
      </c>
      <c r="AH1515" s="127">
        <f t="shared" si="30"/>
        <v>0</v>
      </c>
    </row>
    <row r="1516" spans="30:34" x14ac:dyDescent="0.2">
      <c r="AD1516" s="13" t="s">
        <v>85</v>
      </c>
      <c r="AE1516" s="126">
        <f>_xll.qlCalendarAdvance(Calendar,AE1515,AD1516,BizDayConv)</f>
        <v>46665</v>
      </c>
      <c r="AF1516" s="125">
        <f>_xll.qlYieldTSDiscount($C$31,AE1516)</f>
        <v>0.93347987677298849</v>
      </c>
      <c r="AG1516" s="125">
        <f>_xll.xlShmInterpDisc(CurveName&amp;T($C$26),AE1516)</f>
        <v>0.93347987677298849</v>
      </c>
      <c r="AH1516" s="127">
        <f t="shared" si="30"/>
        <v>0</v>
      </c>
    </row>
    <row r="1517" spans="30:34" x14ac:dyDescent="0.2">
      <c r="AD1517" s="13" t="s">
        <v>85</v>
      </c>
      <c r="AE1517" s="126">
        <f>_xll.qlCalendarAdvance(Calendar,AE1516,AD1517,BizDayConv)</f>
        <v>46672</v>
      </c>
      <c r="AF1517" s="125">
        <f>_xll.qlYieldTSDiscount($C$31,AE1517)</f>
        <v>0.9331678571745976</v>
      </c>
      <c r="AG1517" s="125">
        <f>_xll.xlShmInterpDisc(CurveName&amp;T($C$26),AE1517)</f>
        <v>0.9331678571745976</v>
      </c>
      <c r="AH1517" s="127">
        <f t="shared" si="30"/>
        <v>0</v>
      </c>
    </row>
    <row r="1518" spans="30:34" x14ac:dyDescent="0.2">
      <c r="AD1518" s="13" t="s">
        <v>85</v>
      </c>
      <c r="AE1518" s="126">
        <f>_xll.qlCalendarAdvance(Calendar,AE1517,AD1518,BizDayConv)</f>
        <v>46679</v>
      </c>
      <c r="AF1518" s="125">
        <f>_xll.qlYieldTSDiscount($C$31,AE1518)</f>
        <v>0.9328557164733301</v>
      </c>
      <c r="AG1518" s="125">
        <f>_xll.xlShmInterpDisc(CurveName&amp;T($C$26),AE1518)</f>
        <v>0.9328557164733301</v>
      </c>
      <c r="AH1518" s="127">
        <f t="shared" si="30"/>
        <v>0</v>
      </c>
    </row>
    <row r="1519" spans="30:34" x14ac:dyDescent="0.2">
      <c r="AD1519" s="13" t="s">
        <v>85</v>
      </c>
      <c r="AE1519" s="126">
        <f>_xll.qlCalendarAdvance(Calendar,AE1518,AD1519,BizDayConv)</f>
        <v>46686</v>
      </c>
      <c r="AF1519" s="125">
        <f>_xll.qlYieldTSDiscount($C$31,AE1519)</f>
        <v>0.93254346134979682</v>
      </c>
      <c r="AG1519" s="125">
        <f>_xll.xlShmInterpDisc(CurveName&amp;T($C$26),AE1519)</f>
        <v>0.93254346134979682</v>
      </c>
      <c r="AH1519" s="127">
        <f t="shared" si="30"/>
        <v>0</v>
      </c>
    </row>
    <row r="1520" spans="30:34" x14ac:dyDescent="0.2">
      <c r="AD1520" s="13" t="s">
        <v>85</v>
      </c>
      <c r="AE1520" s="126">
        <f>_xll.qlCalendarAdvance(Calendar,AE1519,AD1520,BizDayConv)</f>
        <v>46693</v>
      </c>
      <c r="AF1520" s="125">
        <f>_xll.qlYieldTSDiscount($C$31,AE1520)</f>
        <v>0.93223109850392849</v>
      </c>
      <c r="AG1520" s="125">
        <f>_xll.xlShmInterpDisc(CurveName&amp;T($C$26),AE1520)</f>
        <v>0.93223109850392849</v>
      </c>
      <c r="AH1520" s="127">
        <f t="shared" si="30"/>
        <v>0</v>
      </c>
    </row>
    <row r="1521" spans="30:34" x14ac:dyDescent="0.2">
      <c r="AD1521" s="13" t="s">
        <v>85</v>
      </c>
      <c r="AE1521" s="126">
        <f>_xll.qlCalendarAdvance(Calendar,AE1520,AD1521,BizDayConv)</f>
        <v>46700</v>
      </c>
      <c r="AF1521" s="125">
        <f>_xll.qlYieldTSDiscount($C$31,AE1521)</f>
        <v>0.93191863465492097</v>
      </c>
      <c r="AG1521" s="125">
        <f>_xll.xlShmInterpDisc(CurveName&amp;T($C$26),AE1521)</f>
        <v>0.93191863465492097</v>
      </c>
      <c r="AH1521" s="127">
        <f t="shared" si="30"/>
        <v>0</v>
      </c>
    </row>
    <row r="1522" spans="30:34" x14ac:dyDescent="0.2">
      <c r="AD1522" s="13" t="s">
        <v>85</v>
      </c>
      <c r="AE1522" s="126">
        <f>_xll.qlCalendarAdvance(Calendar,AE1521,AD1522,BizDayConv)</f>
        <v>46707</v>
      </c>
      <c r="AF1522" s="125">
        <f>_xll.qlYieldTSDiscount($C$31,AE1522)</f>
        <v>0.93160607654118088</v>
      </c>
      <c r="AG1522" s="125">
        <f>_xll.xlShmInterpDisc(CurveName&amp;T($C$26),AE1522)</f>
        <v>0.93160607654118088</v>
      </c>
      <c r="AH1522" s="127">
        <f t="shared" si="30"/>
        <v>0</v>
      </c>
    </row>
    <row r="1523" spans="30:34" x14ac:dyDescent="0.2">
      <c r="AD1523" s="13" t="s">
        <v>85</v>
      </c>
      <c r="AE1523" s="126">
        <f>_xll.qlCalendarAdvance(Calendar,AE1522,AD1523,BizDayConv)</f>
        <v>46714</v>
      </c>
      <c r="AF1523" s="125">
        <f>_xll.qlYieldTSDiscount($C$31,AE1523)</f>
        <v>0.93129343092027173</v>
      </c>
      <c r="AG1523" s="125">
        <f>_xll.xlShmInterpDisc(CurveName&amp;T($C$26),AE1523)</f>
        <v>0.93129343092027173</v>
      </c>
      <c r="AH1523" s="127">
        <f t="shared" si="30"/>
        <v>0</v>
      </c>
    </row>
    <row r="1524" spans="30:34" x14ac:dyDescent="0.2">
      <c r="AD1524" s="13" t="s">
        <v>85</v>
      </c>
      <c r="AE1524" s="126">
        <f>_xll.qlCalendarAdvance(Calendar,AE1523,AD1524,BizDayConv)</f>
        <v>46721</v>
      </c>
      <c r="AF1524" s="125">
        <f>_xll.qlYieldTSDiscount($C$31,AE1524)</f>
        <v>0.93098070456885984</v>
      </c>
      <c r="AG1524" s="125">
        <f>_xll.xlShmInterpDisc(CurveName&amp;T($C$26),AE1524)</f>
        <v>0.93098070456885995</v>
      </c>
      <c r="AH1524" s="127">
        <f t="shared" si="30"/>
        <v>-1.1102230246251565E-16</v>
      </c>
    </row>
    <row r="1525" spans="30:34" x14ac:dyDescent="0.2">
      <c r="AD1525" s="13" t="s">
        <v>85</v>
      </c>
      <c r="AE1525" s="126">
        <f>_xll.qlCalendarAdvance(Calendar,AE1524,AD1525,BizDayConv)</f>
        <v>46728</v>
      </c>
      <c r="AF1525" s="125">
        <f>_xll.qlYieldTSDiscount($C$31,AE1525)</f>
        <v>0.93066790428266244</v>
      </c>
      <c r="AG1525" s="125">
        <f>_xll.xlShmInterpDisc(CurveName&amp;T($C$26),AE1525)</f>
        <v>0.93066790428266244</v>
      </c>
      <c r="AH1525" s="127">
        <f t="shared" si="30"/>
        <v>0</v>
      </c>
    </row>
    <row r="1526" spans="30:34" x14ac:dyDescent="0.2">
      <c r="AD1526" s="13" t="s">
        <v>85</v>
      </c>
      <c r="AE1526" s="126">
        <f>_xll.qlCalendarAdvance(Calendar,AE1525,AD1526,BizDayConv)</f>
        <v>46735</v>
      </c>
      <c r="AF1526" s="125">
        <f>_xll.qlYieldTSDiscount($C$31,AE1526)</f>
        <v>0.93035503687639398</v>
      </c>
      <c r="AG1526" s="125">
        <f>_xll.xlShmInterpDisc(CurveName&amp;T($C$26),AE1526)</f>
        <v>0.93035503687639398</v>
      </c>
      <c r="AH1526" s="127">
        <f t="shared" si="30"/>
        <v>0</v>
      </c>
    </row>
    <row r="1527" spans="30:34" x14ac:dyDescent="0.2">
      <c r="AD1527" s="13" t="s">
        <v>85</v>
      </c>
      <c r="AE1527" s="126">
        <f>_xll.qlCalendarAdvance(Calendar,AE1526,AD1527,BizDayConv)</f>
        <v>46742</v>
      </c>
      <c r="AF1527" s="125">
        <f>_xll.qlYieldTSDiscount($C$31,AE1527)</f>
        <v>0.93004210918371444</v>
      </c>
      <c r="AG1527" s="125">
        <f>_xll.xlShmInterpDisc(CurveName&amp;T($C$26),AE1527)</f>
        <v>0.93004210918371444</v>
      </c>
      <c r="AH1527" s="127">
        <f t="shared" si="30"/>
        <v>0</v>
      </c>
    </row>
    <row r="1528" spans="30:34" x14ac:dyDescent="0.2">
      <c r="AD1528" s="13" t="s">
        <v>85</v>
      </c>
      <c r="AE1528" s="126">
        <f>_xll.qlCalendarAdvance(Calendar,AE1527,AD1528,BizDayConv)</f>
        <v>46749</v>
      </c>
      <c r="AF1528" s="125">
        <f>_xll.qlYieldTSDiscount($C$31,AE1528)</f>
        <v>0.92972912805717778</v>
      </c>
      <c r="AG1528" s="125">
        <f>_xll.xlShmInterpDisc(CurveName&amp;T($C$26),AE1528)</f>
        <v>0.92972912805717778</v>
      </c>
      <c r="AH1528" s="127">
        <f t="shared" si="30"/>
        <v>0</v>
      </c>
    </row>
    <row r="1529" spans="30:34" x14ac:dyDescent="0.2">
      <c r="AD1529" s="13" t="s">
        <v>85</v>
      </c>
      <c r="AE1529" s="126">
        <f>_xll.qlCalendarAdvance(Calendar,AE1528,AD1529,BizDayConv)</f>
        <v>46756</v>
      </c>
      <c r="AF1529" s="125">
        <f>_xll.qlYieldTSDiscount($C$31,AE1529)</f>
        <v>0.92941609840782069</v>
      </c>
      <c r="AG1529" s="125">
        <f>_xll.xlShmInterpDisc(CurveName&amp;T($C$26),AE1529)</f>
        <v>0.92941609840782069</v>
      </c>
      <c r="AH1529" s="127">
        <f t="shared" si="30"/>
        <v>0</v>
      </c>
    </row>
    <row r="1530" spans="30:34" x14ac:dyDescent="0.2">
      <c r="AD1530" s="13" t="s">
        <v>85</v>
      </c>
      <c r="AE1530" s="126">
        <f>_xll.qlCalendarAdvance(Calendar,AE1529,AD1530,BizDayConv)</f>
        <v>46763</v>
      </c>
      <c r="AF1530" s="125">
        <f>_xll.qlYieldTSDiscount($C$31,AE1530)</f>
        <v>0.9291029073641649</v>
      </c>
      <c r="AG1530" s="125">
        <f>_xll.xlShmInterpDisc(CurveName&amp;T($C$26),AE1530)</f>
        <v>0.9291029073641649</v>
      </c>
      <c r="AH1530" s="127">
        <f t="shared" si="30"/>
        <v>0</v>
      </c>
    </row>
    <row r="1531" spans="30:34" x14ac:dyDescent="0.2">
      <c r="AD1531" s="13" t="s">
        <v>85</v>
      </c>
      <c r="AE1531" s="126">
        <f>_xll.qlCalendarAdvance(Calendar,AE1530,AD1531,BizDayConv)</f>
        <v>46770</v>
      </c>
      <c r="AF1531" s="125">
        <f>_xll.qlYieldTSDiscount($C$31,AE1531)</f>
        <v>0.92878949053830551</v>
      </c>
      <c r="AG1531" s="125">
        <f>_xll.xlShmInterpDisc(CurveName&amp;T($C$26),AE1531)</f>
        <v>0.92878949053830551</v>
      </c>
      <c r="AH1531" s="127">
        <f t="shared" si="30"/>
        <v>0</v>
      </c>
    </row>
    <row r="1532" spans="30:34" x14ac:dyDescent="0.2">
      <c r="AD1532" s="13" t="s">
        <v>85</v>
      </c>
      <c r="AE1532" s="126">
        <f>_xll.qlCalendarAdvance(Calendar,AE1531,AD1532,BizDayConv)</f>
        <v>46777</v>
      </c>
      <c r="AF1532" s="125">
        <f>_xll.qlYieldTSDiscount($C$31,AE1532)</f>
        <v>0.92847585403423838</v>
      </c>
      <c r="AG1532" s="125">
        <f>_xll.xlShmInterpDisc(CurveName&amp;T($C$26),AE1532)</f>
        <v>0.92847585403423838</v>
      </c>
      <c r="AH1532" s="127">
        <f t="shared" si="30"/>
        <v>0</v>
      </c>
    </row>
    <row r="1533" spans="30:34" x14ac:dyDescent="0.2">
      <c r="AD1533" s="13" t="s">
        <v>85</v>
      </c>
      <c r="AE1533" s="126">
        <f>_xll.qlCalendarAdvance(Calendar,AE1532,AD1533,BizDayConv)</f>
        <v>46784</v>
      </c>
      <c r="AF1533" s="125">
        <f>_xll.qlYieldTSDiscount($C$31,AE1533)</f>
        <v>0.92816200397600279</v>
      </c>
      <c r="AG1533" s="125">
        <f>_xll.xlShmInterpDisc(CurveName&amp;T($C$26),AE1533)</f>
        <v>0.92816200397600279</v>
      </c>
      <c r="AH1533" s="127">
        <f t="shared" si="30"/>
        <v>0</v>
      </c>
    </row>
    <row r="1534" spans="30:34" x14ac:dyDescent="0.2">
      <c r="AD1534" s="13" t="s">
        <v>85</v>
      </c>
      <c r="AE1534" s="126">
        <f>_xll.qlCalendarAdvance(Calendar,AE1533,AD1534,BizDayConv)</f>
        <v>46791</v>
      </c>
      <c r="AF1534" s="125">
        <f>_xll.qlYieldTSDiscount($C$31,AE1534)</f>
        <v>0.92784794650762026</v>
      </c>
      <c r="AG1534" s="125">
        <f>_xll.xlShmInterpDisc(CurveName&amp;T($C$26),AE1534)</f>
        <v>0.92784794650762026</v>
      </c>
      <c r="AH1534" s="127">
        <f t="shared" si="30"/>
        <v>0</v>
      </c>
    </row>
    <row r="1535" spans="30:34" x14ac:dyDescent="0.2">
      <c r="AD1535" s="13" t="s">
        <v>85</v>
      </c>
      <c r="AE1535" s="126">
        <f>_xll.qlCalendarAdvance(Calendar,AE1534,AD1535,BizDayConv)</f>
        <v>46798</v>
      </c>
      <c r="AF1535" s="125">
        <f>_xll.qlYieldTSDiscount($C$31,AE1535)</f>
        <v>0.92753368779303436</v>
      </c>
      <c r="AG1535" s="125">
        <f>_xll.xlShmInterpDisc(CurveName&amp;T($C$26),AE1535)</f>
        <v>0.92753368779303436</v>
      </c>
      <c r="AH1535" s="127">
        <f t="shared" si="30"/>
        <v>0</v>
      </c>
    </row>
    <row r="1536" spans="30:34" x14ac:dyDescent="0.2">
      <c r="AD1536" s="13" t="s">
        <v>85</v>
      </c>
      <c r="AE1536" s="126">
        <f>_xll.qlCalendarAdvance(Calendar,AE1535,AD1536,BizDayConv)</f>
        <v>46805</v>
      </c>
      <c r="AF1536" s="125">
        <f>_xll.qlYieldTSDiscount($C$31,AE1536)</f>
        <v>0.92721923401604989</v>
      </c>
      <c r="AG1536" s="125">
        <f>_xll.xlShmInterpDisc(CurveName&amp;T($C$26),AE1536)</f>
        <v>0.92721923401604989</v>
      </c>
      <c r="AH1536" s="127">
        <f t="shared" si="30"/>
        <v>0</v>
      </c>
    </row>
    <row r="1537" spans="30:34" x14ac:dyDescent="0.2">
      <c r="AD1537" s="13" t="s">
        <v>85</v>
      </c>
      <c r="AE1537" s="126">
        <f>_xll.qlCalendarAdvance(Calendar,AE1536,AD1537,BizDayConv)</f>
        <v>46812</v>
      </c>
      <c r="AF1537" s="125">
        <f>_xll.qlYieldTSDiscount($C$31,AE1537)</f>
        <v>0.92690459138027315</v>
      </c>
      <c r="AG1537" s="125">
        <f>_xll.xlShmInterpDisc(CurveName&amp;T($C$26),AE1537)</f>
        <v>0.92690459138027315</v>
      </c>
      <c r="AH1537" s="127">
        <f t="shared" si="30"/>
        <v>0</v>
      </c>
    </row>
    <row r="1538" spans="30:34" x14ac:dyDescent="0.2">
      <c r="AD1538" s="13" t="s">
        <v>85</v>
      </c>
      <c r="AE1538" s="126">
        <f>_xll.qlCalendarAdvance(Calendar,AE1537,AD1538,BizDayConv)</f>
        <v>46819</v>
      </c>
      <c r="AF1538" s="125">
        <f>_xll.qlYieldTSDiscount($C$31,AE1538)</f>
        <v>0.92658976610905242</v>
      </c>
      <c r="AG1538" s="125">
        <f>_xll.xlShmInterpDisc(CurveName&amp;T($C$26),AE1538)</f>
        <v>0.92658976610905242</v>
      </c>
      <c r="AH1538" s="127">
        <f t="shared" si="30"/>
        <v>0</v>
      </c>
    </row>
    <row r="1539" spans="30:34" x14ac:dyDescent="0.2">
      <c r="AD1539" s="13" t="s">
        <v>85</v>
      </c>
      <c r="AE1539" s="126">
        <f>_xll.qlCalendarAdvance(Calendar,AE1538,AD1539,BizDayConv)</f>
        <v>46826</v>
      </c>
      <c r="AF1539" s="125">
        <f>_xll.qlYieldTSDiscount($C$31,AE1539)</f>
        <v>0.92627476444541834</v>
      </c>
      <c r="AG1539" s="125">
        <f>_xll.xlShmInterpDisc(CurveName&amp;T($C$26),AE1539)</f>
        <v>0.92627476444541834</v>
      </c>
      <c r="AH1539" s="127">
        <f t="shared" si="30"/>
        <v>0</v>
      </c>
    </row>
    <row r="1540" spans="30:34" x14ac:dyDescent="0.2">
      <c r="AD1540" s="13" t="s">
        <v>85</v>
      </c>
      <c r="AE1540" s="126">
        <f>_xll.qlCalendarAdvance(Calendar,AE1539,AD1540,BizDayConv)</f>
        <v>46833</v>
      </c>
      <c r="AF1540" s="125">
        <f>_xll.qlYieldTSDiscount($C$31,AE1540)</f>
        <v>0.92595959265202488</v>
      </c>
      <c r="AG1540" s="125">
        <f>_xll.xlShmInterpDisc(CurveName&amp;T($C$26),AE1540)</f>
        <v>0.92595959265202488</v>
      </c>
      <c r="AH1540" s="127">
        <f t="shared" ref="AH1540:AH1603" si="31">(AF1540-AG1540)</f>
        <v>0</v>
      </c>
    </row>
    <row r="1541" spans="30:34" x14ac:dyDescent="0.2">
      <c r="AD1541" s="13" t="s">
        <v>85</v>
      </c>
      <c r="AE1541" s="126">
        <f>_xll.qlCalendarAdvance(Calendar,AE1540,AD1541,BizDayConv)</f>
        <v>46840</v>
      </c>
      <c r="AF1541" s="125">
        <f>_xll.qlYieldTSDiscount($C$31,AE1541)</f>
        <v>0.92564425701109099</v>
      </c>
      <c r="AG1541" s="125">
        <f>_xll.xlShmInterpDisc(CurveName&amp;T($C$26),AE1541)</f>
        <v>0.92564425701109099</v>
      </c>
      <c r="AH1541" s="127">
        <f t="shared" si="31"/>
        <v>0</v>
      </c>
    </row>
    <row r="1542" spans="30:34" x14ac:dyDescent="0.2">
      <c r="AD1542" s="13" t="s">
        <v>85</v>
      </c>
      <c r="AE1542" s="126">
        <f>_xll.qlCalendarAdvance(Calendar,AE1541,AD1542,BizDayConv)</f>
        <v>46847</v>
      </c>
      <c r="AF1542" s="125">
        <f>_xll.qlYieldTSDiscount($C$31,AE1542)</f>
        <v>0.92532876382434193</v>
      </c>
      <c r="AG1542" s="125">
        <f>_xll.xlShmInterpDisc(CurveName&amp;T($C$26),AE1542)</f>
        <v>0.92532876382434193</v>
      </c>
      <c r="AH1542" s="127">
        <f t="shared" si="31"/>
        <v>0</v>
      </c>
    </row>
    <row r="1543" spans="30:34" x14ac:dyDescent="0.2">
      <c r="AD1543" s="13" t="s">
        <v>85</v>
      </c>
      <c r="AE1543" s="126">
        <f>_xll.qlCalendarAdvance(Calendar,AE1542,AD1543,BizDayConv)</f>
        <v>46854</v>
      </c>
      <c r="AF1543" s="125">
        <f>_xll.qlYieldTSDiscount($C$31,AE1543)</f>
        <v>0.92501311941295161</v>
      </c>
      <c r="AG1543" s="125">
        <f>_xll.xlShmInterpDisc(CurveName&amp;T($C$26),AE1543)</f>
        <v>0.92501311941295172</v>
      </c>
      <c r="AH1543" s="127">
        <f t="shared" si="31"/>
        <v>-1.1102230246251565E-16</v>
      </c>
    </row>
    <row r="1544" spans="30:34" x14ac:dyDescent="0.2">
      <c r="AD1544" s="13" t="s">
        <v>85</v>
      </c>
      <c r="AE1544" s="126">
        <f>_xll.qlCalendarAdvance(Calendar,AE1543,AD1544,BizDayConv)</f>
        <v>46861</v>
      </c>
      <c r="AF1544" s="125">
        <f>_xll.qlYieldTSDiscount($C$31,AE1544)</f>
        <v>0.92469733011748489</v>
      </c>
      <c r="AG1544" s="125">
        <f>_xll.xlShmInterpDisc(CurveName&amp;T($C$26),AE1544)</f>
        <v>0.92469733011748489</v>
      </c>
      <c r="AH1544" s="127">
        <f t="shared" si="31"/>
        <v>0</v>
      </c>
    </row>
    <row r="1545" spans="30:34" x14ac:dyDescent="0.2">
      <c r="AD1545" s="13" t="s">
        <v>85</v>
      </c>
      <c r="AE1545" s="126">
        <f>_xll.qlCalendarAdvance(Calendar,AE1544,AD1545,BizDayConv)</f>
        <v>46868</v>
      </c>
      <c r="AF1545" s="125">
        <f>_xll.qlYieldTSDiscount($C$31,AE1545)</f>
        <v>0.92438140229784005</v>
      </c>
      <c r="AG1545" s="125">
        <f>_xll.xlShmInterpDisc(CurveName&amp;T($C$26),AE1545)</f>
        <v>0.92438140229784005</v>
      </c>
      <c r="AH1545" s="127">
        <f t="shared" si="31"/>
        <v>0</v>
      </c>
    </row>
    <row r="1546" spans="30:34" x14ac:dyDescent="0.2">
      <c r="AD1546" s="13" t="s">
        <v>85</v>
      </c>
      <c r="AE1546" s="126">
        <f>_xll.qlCalendarAdvance(Calendar,AE1545,AD1546,BizDayConv)</f>
        <v>46875</v>
      </c>
      <c r="AF1546" s="125">
        <f>_xll.qlYieldTSDiscount($C$31,AE1546)</f>
        <v>0.92406534233319226</v>
      </c>
      <c r="AG1546" s="125">
        <f>_xll.xlShmInterpDisc(CurveName&amp;T($C$26),AE1546)</f>
        <v>0.92406534233319226</v>
      </c>
      <c r="AH1546" s="127">
        <f t="shared" si="31"/>
        <v>0</v>
      </c>
    </row>
    <row r="1547" spans="30:34" x14ac:dyDescent="0.2">
      <c r="AD1547" s="13" t="s">
        <v>85</v>
      </c>
      <c r="AE1547" s="126">
        <f>_xll.qlCalendarAdvance(Calendar,AE1546,AD1547,BizDayConv)</f>
        <v>46882</v>
      </c>
      <c r="AF1547" s="125">
        <f>_xll.qlYieldTSDiscount($C$31,AE1547)</f>
        <v>0.92374915662193735</v>
      </c>
      <c r="AG1547" s="125">
        <f>_xll.xlShmInterpDisc(CurveName&amp;T($C$26),AE1547)</f>
        <v>0.92374915662193735</v>
      </c>
      <c r="AH1547" s="127">
        <f t="shared" si="31"/>
        <v>0</v>
      </c>
    </row>
    <row r="1548" spans="30:34" x14ac:dyDescent="0.2">
      <c r="AD1548" s="13" t="s">
        <v>85</v>
      </c>
      <c r="AE1548" s="126">
        <f>_xll.qlCalendarAdvance(Calendar,AE1547,AD1548,BizDayConv)</f>
        <v>46889</v>
      </c>
      <c r="AF1548" s="125">
        <f>_xll.qlYieldTSDiscount($C$31,AE1548)</f>
        <v>0.92343285158163479</v>
      </c>
      <c r="AG1548" s="125">
        <f>_xll.xlShmInterpDisc(CurveName&amp;T($C$26),AE1548)</f>
        <v>0.92343285158163479</v>
      </c>
      <c r="AH1548" s="127">
        <f t="shared" si="31"/>
        <v>0</v>
      </c>
    </row>
    <row r="1549" spans="30:34" x14ac:dyDescent="0.2">
      <c r="AD1549" s="13" t="s">
        <v>85</v>
      </c>
      <c r="AE1549" s="126">
        <f>_xll.qlCalendarAdvance(Calendar,AE1548,AD1549,BizDayConv)</f>
        <v>46896</v>
      </c>
      <c r="AF1549" s="125">
        <f>_xll.qlYieldTSDiscount($C$31,AE1549)</f>
        <v>0.92311643364895291</v>
      </c>
      <c r="AG1549" s="125">
        <f>_xll.xlShmInterpDisc(CurveName&amp;T($C$26),AE1549)</f>
        <v>0.92311643364895291</v>
      </c>
      <c r="AH1549" s="127">
        <f t="shared" si="31"/>
        <v>0</v>
      </c>
    </row>
    <row r="1550" spans="30:34" x14ac:dyDescent="0.2">
      <c r="AD1550" s="13" t="s">
        <v>85</v>
      </c>
      <c r="AE1550" s="126">
        <f>_xll.qlCalendarAdvance(Calendar,AE1549,AD1550,BizDayConv)</f>
        <v>46903</v>
      </c>
      <c r="AF1550" s="125">
        <f>_xll.qlYieldTSDiscount($C$31,AE1550)</f>
        <v>0.92279990927961297</v>
      </c>
      <c r="AG1550" s="125">
        <f>_xll.xlShmInterpDisc(CurveName&amp;T($C$26),AE1550)</f>
        <v>0.92279990927961297</v>
      </c>
      <c r="AH1550" s="127">
        <f t="shared" si="31"/>
        <v>0</v>
      </c>
    </row>
    <row r="1551" spans="30:34" x14ac:dyDescent="0.2">
      <c r="AD1551" s="13" t="s">
        <v>85</v>
      </c>
      <c r="AE1551" s="126">
        <f>_xll.qlCalendarAdvance(Calendar,AE1550,AD1551,BizDayConv)</f>
        <v>46910</v>
      </c>
      <c r="AF1551" s="125">
        <f>_xll.qlYieldTSDiscount($C$31,AE1551)</f>
        <v>0.92248328494833487</v>
      </c>
      <c r="AG1551" s="125">
        <f>_xll.xlShmInterpDisc(CurveName&amp;T($C$26),AE1551)</f>
        <v>0.92248328494833487</v>
      </c>
      <c r="AH1551" s="127">
        <f t="shared" si="31"/>
        <v>0</v>
      </c>
    </row>
    <row r="1552" spans="30:34" x14ac:dyDescent="0.2">
      <c r="AD1552" s="13" t="s">
        <v>85</v>
      </c>
      <c r="AE1552" s="126">
        <f>_xll.qlCalendarAdvance(Calendar,AE1551,AD1552,BizDayConv)</f>
        <v>46917</v>
      </c>
      <c r="AF1552" s="125">
        <f>_xll.qlYieldTSDiscount($C$31,AE1552)</f>
        <v>0.92216656714878154</v>
      </c>
      <c r="AG1552" s="125">
        <f>_xll.xlShmInterpDisc(CurveName&amp;T($C$26),AE1552)</f>
        <v>0.92216656714878154</v>
      </c>
      <c r="AH1552" s="127">
        <f t="shared" si="31"/>
        <v>0</v>
      </c>
    </row>
    <row r="1553" spans="30:34" x14ac:dyDescent="0.2">
      <c r="AD1553" s="13" t="s">
        <v>85</v>
      </c>
      <c r="AE1553" s="126">
        <f>_xll.qlCalendarAdvance(Calendar,AE1552,AD1553,BizDayConv)</f>
        <v>46924</v>
      </c>
      <c r="AF1553" s="125">
        <f>_xll.qlYieldTSDiscount($C$31,AE1553)</f>
        <v>0.92184976239350602</v>
      </c>
      <c r="AG1553" s="125">
        <f>_xll.xlShmInterpDisc(CurveName&amp;T($C$26),AE1553)</f>
        <v>0.92184976239350602</v>
      </c>
      <c r="AH1553" s="127">
        <f t="shared" si="31"/>
        <v>0</v>
      </c>
    </row>
    <row r="1554" spans="30:34" x14ac:dyDescent="0.2">
      <c r="AD1554" s="13" t="s">
        <v>85</v>
      </c>
      <c r="AE1554" s="126">
        <f>_xll.qlCalendarAdvance(Calendar,AE1553,AD1554,BizDayConv)</f>
        <v>46931</v>
      </c>
      <c r="AF1554" s="125">
        <f>_xll.qlYieldTSDiscount($C$31,AE1554)</f>
        <v>0.92153287721389709</v>
      </c>
      <c r="AG1554" s="125">
        <f>_xll.xlShmInterpDisc(CurveName&amp;T($C$26),AE1554)</f>
        <v>0.92153287721389709</v>
      </c>
      <c r="AH1554" s="127">
        <f t="shared" si="31"/>
        <v>0</v>
      </c>
    </row>
    <row r="1555" spans="30:34" x14ac:dyDescent="0.2">
      <c r="AD1555" s="13" t="s">
        <v>85</v>
      </c>
      <c r="AE1555" s="126">
        <f>_xll.qlCalendarAdvance(Calendar,AE1554,AD1555,BizDayConv)</f>
        <v>46938</v>
      </c>
      <c r="AF1555" s="125">
        <f>_xll.qlYieldTSDiscount($C$31,AE1555)</f>
        <v>0.92121591816012616</v>
      </c>
      <c r="AG1555" s="125">
        <f>_xll.xlShmInterpDisc(CurveName&amp;T($C$26),AE1555)</f>
        <v>0.92121591816012616</v>
      </c>
      <c r="AH1555" s="127">
        <f t="shared" si="31"/>
        <v>0</v>
      </c>
    </row>
    <row r="1556" spans="30:34" x14ac:dyDescent="0.2">
      <c r="AD1556" s="13" t="s">
        <v>85</v>
      </c>
      <c r="AE1556" s="126">
        <f>_xll.qlCalendarAdvance(Calendar,AE1555,AD1556,BizDayConv)</f>
        <v>46945</v>
      </c>
      <c r="AF1556" s="125">
        <f>_xll.qlYieldTSDiscount($C$31,AE1556)</f>
        <v>0.92089889180109419</v>
      </c>
      <c r="AG1556" s="125">
        <f>_xll.xlShmInterpDisc(CurveName&amp;T($C$26),AE1556)</f>
        <v>0.92089889180109419</v>
      </c>
      <c r="AH1556" s="127">
        <f t="shared" si="31"/>
        <v>0</v>
      </c>
    </row>
    <row r="1557" spans="30:34" x14ac:dyDescent="0.2">
      <c r="AD1557" s="13" t="s">
        <v>85</v>
      </c>
      <c r="AE1557" s="126">
        <f>_xll.qlCalendarAdvance(Calendar,AE1556,AD1557,BizDayConv)</f>
        <v>46952</v>
      </c>
      <c r="AF1557" s="125">
        <f>_xll.qlYieldTSDiscount($C$31,AE1557)</f>
        <v>0.92058180472437967</v>
      </c>
      <c r="AG1557" s="125">
        <f>_xll.xlShmInterpDisc(CurveName&amp;T($C$26),AE1557)</f>
        <v>0.92058180472437967</v>
      </c>
      <c r="AH1557" s="127">
        <f t="shared" si="31"/>
        <v>0</v>
      </c>
    </row>
    <row r="1558" spans="30:34" x14ac:dyDescent="0.2">
      <c r="AD1558" s="13" t="s">
        <v>85</v>
      </c>
      <c r="AE1558" s="126">
        <f>_xll.qlCalendarAdvance(Calendar,AE1557,AD1558,BizDayConv)</f>
        <v>46959</v>
      </c>
      <c r="AF1558" s="125">
        <f>_xll.qlYieldTSDiscount($C$31,AE1558)</f>
        <v>0.92026466353618663</v>
      </c>
      <c r="AG1558" s="125">
        <f>_xll.xlShmInterpDisc(CurveName&amp;T($C$26),AE1558)</f>
        <v>0.92026466353618663</v>
      </c>
      <c r="AH1558" s="127">
        <f t="shared" si="31"/>
        <v>0</v>
      </c>
    </row>
    <row r="1559" spans="30:34" x14ac:dyDescent="0.2">
      <c r="AD1559" s="13" t="s">
        <v>85</v>
      </c>
      <c r="AE1559" s="126">
        <f>_xll.qlCalendarAdvance(Calendar,AE1558,AD1559,BizDayConv)</f>
        <v>46966</v>
      </c>
      <c r="AF1559" s="125">
        <f>_xll.qlYieldTSDiscount($C$31,AE1559)</f>
        <v>0.91994747486129247</v>
      </c>
      <c r="AG1559" s="125">
        <f>_xll.xlShmInterpDisc(CurveName&amp;T($C$26),AE1559)</f>
        <v>0.91994747486129247</v>
      </c>
      <c r="AH1559" s="127">
        <f t="shared" si="31"/>
        <v>0</v>
      </c>
    </row>
    <row r="1560" spans="30:34" x14ac:dyDescent="0.2">
      <c r="AD1560" s="13" t="s">
        <v>85</v>
      </c>
      <c r="AE1560" s="126">
        <f>_xll.qlCalendarAdvance(Calendar,AE1559,AD1560,BizDayConv)</f>
        <v>46973</v>
      </c>
      <c r="AF1560" s="125">
        <f>_xll.qlYieldTSDiscount($C$31,AE1560)</f>
        <v>0.91963024534299775</v>
      </c>
      <c r="AG1560" s="125">
        <f>_xll.xlShmInterpDisc(CurveName&amp;T($C$26),AE1560)</f>
        <v>0.91963024534299775</v>
      </c>
      <c r="AH1560" s="127">
        <f t="shared" si="31"/>
        <v>0</v>
      </c>
    </row>
    <row r="1561" spans="30:34" x14ac:dyDescent="0.2">
      <c r="AD1561" s="13" t="s">
        <v>85</v>
      </c>
      <c r="AE1561" s="126">
        <f>_xll.qlCalendarAdvance(Calendar,AE1560,AD1561,BizDayConv)</f>
        <v>46980</v>
      </c>
      <c r="AF1561" s="125">
        <f>_xll.qlYieldTSDiscount($C$31,AE1561)</f>
        <v>0.91931298164307496</v>
      </c>
      <c r="AG1561" s="125">
        <f>_xll.xlShmInterpDisc(CurveName&amp;T($C$26),AE1561)</f>
        <v>0.91931298164307496</v>
      </c>
      <c r="AH1561" s="127">
        <f t="shared" si="31"/>
        <v>0</v>
      </c>
    </row>
    <row r="1562" spans="30:34" x14ac:dyDescent="0.2">
      <c r="AD1562" s="13" t="s">
        <v>85</v>
      </c>
      <c r="AE1562" s="126">
        <f>_xll.qlCalendarAdvance(Calendar,AE1561,AD1562,BizDayConv)</f>
        <v>46987</v>
      </c>
      <c r="AF1562" s="125">
        <f>_xll.qlYieldTSDiscount($C$31,AE1562)</f>
        <v>0.91899569044171869</v>
      </c>
      <c r="AG1562" s="125">
        <f>_xll.xlShmInterpDisc(CurveName&amp;T($C$26),AE1562)</f>
        <v>0.91899569044171869</v>
      </c>
      <c r="AH1562" s="127">
        <f t="shared" si="31"/>
        <v>0</v>
      </c>
    </row>
    <row r="1563" spans="30:34" x14ac:dyDescent="0.2">
      <c r="AD1563" s="13" t="s">
        <v>85</v>
      </c>
      <c r="AE1563" s="126">
        <f>_xll.qlCalendarAdvance(Calendar,AE1562,AD1563,BizDayConv)</f>
        <v>46994</v>
      </c>
      <c r="AF1563" s="125">
        <f>_xll.qlYieldTSDiscount($C$31,AE1563)</f>
        <v>0.91867837843749578</v>
      </c>
      <c r="AG1563" s="125">
        <f>_xll.xlShmInterpDisc(CurveName&amp;T($C$26),AE1563)</f>
        <v>0.91867837843749578</v>
      </c>
      <c r="AH1563" s="127">
        <f t="shared" si="31"/>
        <v>0</v>
      </c>
    </row>
    <row r="1564" spans="30:34" x14ac:dyDescent="0.2">
      <c r="AD1564" s="13" t="s">
        <v>85</v>
      </c>
      <c r="AE1564" s="126">
        <f>_xll.qlCalendarAdvance(Calendar,AE1563,AD1564,BizDayConv)</f>
        <v>47001</v>
      </c>
      <c r="AF1564" s="125">
        <f>_xll.qlYieldTSDiscount($C$31,AE1564)</f>
        <v>0.91836105234729615</v>
      </c>
      <c r="AG1564" s="125">
        <f>_xll.xlShmInterpDisc(CurveName&amp;T($C$26),AE1564)</f>
        <v>0.91836105234729615</v>
      </c>
      <c r="AH1564" s="127">
        <f t="shared" si="31"/>
        <v>0</v>
      </c>
    </row>
    <row r="1565" spans="30:34" x14ac:dyDescent="0.2">
      <c r="AD1565" s="13" t="s">
        <v>85</v>
      </c>
      <c r="AE1565" s="126">
        <f>_xll.qlCalendarAdvance(Calendar,AE1564,AD1565,BizDayConv)</f>
        <v>47008</v>
      </c>
      <c r="AF1565" s="125">
        <f>_xll.qlYieldTSDiscount($C$31,AE1565)</f>
        <v>0.91804371890628389</v>
      </c>
      <c r="AG1565" s="125">
        <f>_xll.xlShmInterpDisc(CurveName&amp;T($C$26),AE1565)</f>
        <v>0.91804371890628389</v>
      </c>
      <c r="AH1565" s="127">
        <f t="shared" si="31"/>
        <v>0</v>
      </c>
    </row>
    <row r="1566" spans="30:34" x14ac:dyDescent="0.2">
      <c r="AD1566" s="13" t="s">
        <v>85</v>
      </c>
      <c r="AE1566" s="126">
        <f>_xll.qlCalendarAdvance(Calendar,AE1565,AD1566,BizDayConv)</f>
        <v>47015</v>
      </c>
      <c r="AF1566" s="125">
        <f>_xll.qlYieldTSDiscount($C$31,AE1566)</f>
        <v>0.9177263848678493</v>
      </c>
      <c r="AG1566" s="125">
        <f>_xll.xlShmInterpDisc(CurveName&amp;T($C$26),AE1566)</f>
        <v>0.9177263848678493</v>
      </c>
      <c r="AH1566" s="127">
        <f t="shared" si="31"/>
        <v>0</v>
      </c>
    </row>
    <row r="1567" spans="30:34" x14ac:dyDescent="0.2">
      <c r="AD1567" s="13" t="s">
        <v>85</v>
      </c>
      <c r="AE1567" s="126">
        <f>_xll.qlCalendarAdvance(Calendar,AE1566,AD1567,BizDayConv)</f>
        <v>47022</v>
      </c>
      <c r="AF1567" s="125">
        <f>_xll.qlYieldTSDiscount($C$31,AE1567)</f>
        <v>0.91740905700356101</v>
      </c>
      <c r="AG1567" s="125">
        <f>_xll.xlShmInterpDisc(CurveName&amp;T($C$26),AE1567)</f>
        <v>0.91740905700356101</v>
      </c>
      <c r="AH1567" s="127">
        <f t="shared" si="31"/>
        <v>0</v>
      </c>
    </row>
    <row r="1568" spans="30:34" x14ac:dyDescent="0.2">
      <c r="AD1568" s="13" t="s">
        <v>85</v>
      </c>
      <c r="AE1568" s="126">
        <f>_xll.qlCalendarAdvance(Calendar,AE1567,AD1568,BizDayConv)</f>
        <v>47029</v>
      </c>
      <c r="AF1568" s="125">
        <f>_xll.qlYieldTSDiscount($C$31,AE1568)</f>
        <v>0.91709174210311883</v>
      </c>
      <c r="AG1568" s="125">
        <f>_xll.xlShmInterpDisc(CurveName&amp;T($C$26),AE1568)</f>
        <v>0.91709174210311883</v>
      </c>
      <c r="AH1568" s="127">
        <f t="shared" si="31"/>
        <v>0</v>
      </c>
    </row>
    <row r="1569" spans="30:34" x14ac:dyDescent="0.2">
      <c r="AD1569" s="13" t="s">
        <v>85</v>
      </c>
      <c r="AE1569" s="126">
        <f>_xll.qlCalendarAdvance(Calendar,AE1568,AD1569,BizDayConv)</f>
        <v>47036</v>
      </c>
      <c r="AF1569" s="125">
        <f>_xll.qlYieldTSDiscount($C$31,AE1569)</f>
        <v>0.91677444697430666</v>
      </c>
      <c r="AG1569" s="125">
        <f>_xll.xlShmInterpDisc(CurveName&amp;T($C$26),AE1569)</f>
        <v>0.91677444697430666</v>
      </c>
      <c r="AH1569" s="127">
        <f t="shared" si="31"/>
        <v>0</v>
      </c>
    </row>
    <row r="1570" spans="30:34" x14ac:dyDescent="0.2">
      <c r="AD1570" s="13" t="s">
        <v>85</v>
      </c>
      <c r="AE1570" s="126">
        <f>_xll.qlCalendarAdvance(Calendar,AE1569,AD1570,BizDayConv)</f>
        <v>47043</v>
      </c>
      <c r="AF1570" s="125">
        <f>_xll.qlYieldTSDiscount($C$31,AE1570)</f>
        <v>0.9164571784429465</v>
      </c>
      <c r="AG1570" s="125">
        <f>_xll.xlShmInterpDisc(CurveName&amp;T($C$26),AE1570)</f>
        <v>0.91645717844294639</v>
      </c>
      <c r="AH1570" s="127">
        <f t="shared" si="31"/>
        <v>1.1102230246251565E-16</v>
      </c>
    </row>
    <row r="1571" spans="30:34" x14ac:dyDescent="0.2">
      <c r="AD1571" s="13" t="s">
        <v>85</v>
      </c>
      <c r="AE1571" s="126">
        <f>_xll.qlCalendarAdvance(Calendar,AE1570,AD1571,BizDayConv)</f>
        <v>47050</v>
      </c>
      <c r="AF1571" s="125">
        <f>_xll.qlYieldTSDiscount($C$31,AE1571)</f>
        <v>0.91613994335285254</v>
      </c>
      <c r="AG1571" s="125">
        <f>_xll.xlShmInterpDisc(CurveName&amp;T($C$26),AE1571)</f>
        <v>0.91613994335285254</v>
      </c>
      <c r="AH1571" s="127">
        <f t="shared" si="31"/>
        <v>0</v>
      </c>
    </row>
    <row r="1572" spans="30:34" x14ac:dyDescent="0.2">
      <c r="AD1572" s="13" t="s">
        <v>85</v>
      </c>
      <c r="AE1572" s="126">
        <f>_xll.qlCalendarAdvance(Calendar,AE1571,AD1572,BizDayConv)</f>
        <v>47057</v>
      </c>
      <c r="AF1572" s="125">
        <f>_xll.qlYieldTSDiscount($C$31,AE1572)</f>
        <v>0.9158227485657866</v>
      </c>
      <c r="AG1572" s="125">
        <f>_xll.xlShmInterpDisc(CurveName&amp;T($C$26),AE1572)</f>
        <v>0.91582274856578649</v>
      </c>
      <c r="AH1572" s="127">
        <f t="shared" si="31"/>
        <v>1.1102230246251565E-16</v>
      </c>
    </row>
    <row r="1573" spans="30:34" x14ac:dyDescent="0.2">
      <c r="AD1573" s="13" t="s">
        <v>85</v>
      </c>
      <c r="AE1573" s="126">
        <f>_xll.qlCalendarAdvance(Calendar,AE1572,AD1573,BizDayConv)</f>
        <v>47064</v>
      </c>
      <c r="AF1573" s="125">
        <f>_xll.qlYieldTSDiscount($C$31,AE1573)</f>
        <v>0.91550560096141231</v>
      </c>
      <c r="AG1573" s="125">
        <f>_xll.xlShmInterpDisc(CurveName&amp;T($C$26),AE1573)</f>
        <v>0.9155056009614122</v>
      </c>
      <c r="AH1573" s="127">
        <f t="shared" si="31"/>
        <v>1.1102230246251565E-16</v>
      </c>
    </row>
    <row r="1574" spans="30:34" x14ac:dyDescent="0.2">
      <c r="AD1574" s="13" t="s">
        <v>85</v>
      </c>
      <c r="AE1574" s="126">
        <f>_xll.qlCalendarAdvance(Calendar,AE1573,AD1574,BizDayConv)</f>
        <v>47071</v>
      </c>
      <c r="AF1574" s="125">
        <f>_xll.qlYieldTSDiscount($C$31,AE1574)</f>
        <v>0.91518850743725189</v>
      </c>
      <c r="AG1574" s="125">
        <f>_xll.xlShmInterpDisc(CurveName&amp;T($C$26),AE1574)</f>
        <v>0.91518850743725189</v>
      </c>
      <c r="AH1574" s="127">
        <f t="shared" si="31"/>
        <v>0</v>
      </c>
    </row>
    <row r="1575" spans="30:34" x14ac:dyDescent="0.2">
      <c r="AD1575" s="13" t="s">
        <v>85</v>
      </c>
      <c r="AE1575" s="126">
        <f>_xll.qlCalendarAdvance(Calendar,AE1574,AD1575,BizDayConv)</f>
        <v>47078</v>
      </c>
      <c r="AF1575" s="125">
        <f>_xll.qlYieldTSDiscount($C$31,AE1575)</f>
        <v>0.91487147490864218</v>
      </c>
      <c r="AG1575" s="125">
        <f>_xll.xlShmInterpDisc(CurveName&amp;T($C$26),AE1575)</f>
        <v>0.91487147490864218</v>
      </c>
      <c r="AH1575" s="127">
        <f t="shared" si="31"/>
        <v>0</v>
      </c>
    </row>
    <row r="1576" spans="30:34" x14ac:dyDescent="0.2">
      <c r="AD1576" s="13" t="s">
        <v>85</v>
      </c>
      <c r="AE1576" s="126">
        <f>_xll.qlCalendarAdvance(Calendar,AE1575,AD1576,BizDayConv)</f>
        <v>47085</v>
      </c>
      <c r="AF1576" s="125">
        <f>_xll.qlYieldTSDiscount($C$31,AE1576)</f>
        <v>0.91455451030869173</v>
      </c>
      <c r="AG1576" s="125">
        <f>_xll.xlShmInterpDisc(CurveName&amp;T($C$26),AE1576)</f>
        <v>0.91455451030869173</v>
      </c>
      <c r="AH1576" s="127">
        <f t="shared" si="31"/>
        <v>0</v>
      </c>
    </row>
    <row r="1577" spans="30:34" x14ac:dyDescent="0.2">
      <c r="AD1577" s="13" t="s">
        <v>85</v>
      </c>
      <c r="AE1577" s="126">
        <f>_xll.qlCalendarAdvance(Calendar,AE1576,AD1577,BizDayConv)</f>
        <v>47092</v>
      </c>
      <c r="AF1577" s="125">
        <f>_xll.qlYieldTSDiscount($C$31,AE1577)</f>
        <v>0.91423762058823788</v>
      </c>
      <c r="AG1577" s="125">
        <f>_xll.xlShmInterpDisc(CurveName&amp;T($C$26),AE1577)</f>
        <v>0.91423762058823788</v>
      </c>
      <c r="AH1577" s="127">
        <f t="shared" si="31"/>
        <v>0</v>
      </c>
    </row>
    <row r="1578" spans="30:34" x14ac:dyDescent="0.2">
      <c r="AD1578" s="13" t="s">
        <v>85</v>
      </c>
      <c r="AE1578" s="126">
        <f>_xll.qlCalendarAdvance(Calendar,AE1577,AD1578,BizDayConv)</f>
        <v>47099</v>
      </c>
      <c r="AF1578" s="125">
        <f>_xll.qlYieldTSDiscount($C$31,AE1578)</f>
        <v>0.9139208127158055</v>
      </c>
      <c r="AG1578" s="125">
        <f>_xll.xlShmInterpDisc(CurveName&amp;T($C$26),AE1578)</f>
        <v>0.9139208127158055</v>
      </c>
      <c r="AH1578" s="127">
        <f t="shared" si="31"/>
        <v>0</v>
      </c>
    </row>
    <row r="1579" spans="30:34" x14ac:dyDescent="0.2">
      <c r="AD1579" s="13" t="s">
        <v>85</v>
      </c>
      <c r="AE1579" s="126">
        <f>_xll.qlCalendarAdvance(Calendar,AE1578,AD1579,BizDayConv)</f>
        <v>47106</v>
      </c>
      <c r="AF1579" s="125">
        <f>_xll.qlYieldTSDiscount($C$31,AE1579)</f>
        <v>0.91360409367756479</v>
      </c>
      <c r="AG1579" s="125">
        <f>_xll.xlShmInterpDisc(CurveName&amp;T($C$26),AE1579)</f>
        <v>0.91360409367756479</v>
      </c>
      <c r="AH1579" s="127">
        <f t="shared" si="31"/>
        <v>0</v>
      </c>
    </row>
    <row r="1580" spans="30:34" x14ac:dyDescent="0.2">
      <c r="AD1580" s="13" t="s">
        <v>85</v>
      </c>
      <c r="AE1580" s="126">
        <f>_xll.qlCalendarAdvance(Calendar,AE1579,AD1580,BizDayConv)</f>
        <v>47114</v>
      </c>
      <c r="AF1580" s="125">
        <f>_xll.qlYieldTSDiscount($C$31,AE1580)</f>
        <v>0.91324224682423383</v>
      </c>
      <c r="AG1580" s="125">
        <f>_xll.xlShmInterpDisc(CurveName&amp;T($C$26),AE1580)</f>
        <v>0.91324224682423383</v>
      </c>
      <c r="AH1580" s="127">
        <f t="shared" si="31"/>
        <v>0</v>
      </c>
    </row>
    <row r="1581" spans="30:34" x14ac:dyDescent="0.2">
      <c r="AD1581" s="13" t="s">
        <v>85</v>
      </c>
      <c r="AE1581" s="126">
        <f>_xll.qlCalendarAdvance(Calendar,AE1580,AD1581,BizDayConv)</f>
        <v>47121</v>
      </c>
      <c r="AF1581" s="125">
        <f>_xll.qlYieldTSDiscount($C$31,AE1581)</f>
        <v>0.91292574175164698</v>
      </c>
      <c r="AG1581" s="125">
        <f>_xll.xlShmInterpDisc(CurveName&amp;T($C$26),AE1581)</f>
        <v>0.91292574175164698</v>
      </c>
      <c r="AH1581" s="127">
        <f t="shared" si="31"/>
        <v>0</v>
      </c>
    </row>
    <row r="1582" spans="30:34" x14ac:dyDescent="0.2">
      <c r="AD1582" s="13" t="s">
        <v>85</v>
      </c>
      <c r="AE1582" s="126">
        <f>_xll.qlCalendarAdvance(Calendar,AE1581,AD1582,BizDayConv)</f>
        <v>47128</v>
      </c>
      <c r="AF1582" s="125">
        <f>_xll.qlYieldTSDiscount($C$31,AE1582)</f>
        <v>0.91260925766516188</v>
      </c>
      <c r="AG1582" s="125">
        <f>_xll.xlShmInterpDisc(CurveName&amp;T($C$26),AE1582)</f>
        <v>0.91260925766516177</v>
      </c>
      <c r="AH1582" s="127">
        <f t="shared" si="31"/>
        <v>1.1102230246251565E-16</v>
      </c>
    </row>
    <row r="1583" spans="30:34" x14ac:dyDescent="0.2">
      <c r="AD1583" s="13" t="s">
        <v>85</v>
      </c>
      <c r="AE1583" s="126">
        <f>_xll.qlCalendarAdvance(Calendar,AE1582,AD1583,BizDayConv)</f>
        <v>47135</v>
      </c>
      <c r="AF1583" s="125">
        <f>_xll.qlYieldTSDiscount($C$31,AE1583)</f>
        <v>0.91229270994753286</v>
      </c>
      <c r="AG1583" s="125">
        <f>_xll.xlShmInterpDisc(CurveName&amp;T($C$26),AE1583)</f>
        <v>0.91229270994753286</v>
      </c>
      <c r="AH1583" s="127">
        <f t="shared" si="31"/>
        <v>0</v>
      </c>
    </row>
    <row r="1584" spans="30:34" x14ac:dyDescent="0.2">
      <c r="AD1584" s="13" t="s">
        <v>85</v>
      </c>
      <c r="AE1584" s="126">
        <f>_xll.qlCalendarAdvance(Calendar,AE1583,AD1584,BizDayConv)</f>
        <v>47142</v>
      </c>
      <c r="AF1584" s="125">
        <f>_xll.qlYieldTSDiscount($C$31,AE1584)</f>
        <v>0.91197610303302912</v>
      </c>
      <c r="AG1584" s="125">
        <f>_xll.xlShmInterpDisc(CurveName&amp;T($C$26),AE1584)</f>
        <v>0.91197610303302912</v>
      </c>
      <c r="AH1584" s="127">
        <f t="shared" si="31"/>
        <v>0</v>
      </c>
    </row>
    <row r="1585" spans="30:34" x14ac:dyDescent="0.2">
      <c r="AD1585" s="13" t="s">
        <v>85</v>
      </c>
      <c r="AE1585" s="126">
        <f>_xll.qlCalendarAdvance(Calendar,AE1584,AD1585,BizDayConv)</f>
        <v>47149</v>
      </c>
      <c r="AF1585" s="125">
        <f>_xll.qlYieldTSDiscount($C$31,AE1585)</f>
        <v>0.91165944136472032</v>
      </c>
      <c r="AG1585" s="125">
        <f>_xll.xlShmInterpDisc(CurveName&amp;T($C$26),AE1585)</f>
        <v>0.91165944136472032</v>
      </c>
      <c r="AH1585" s="127">
        <f t="shared" si="31"/>
        <v>0</v>
      </c>
    </row>
    <row r="1586" spans="30:34" x14ac:dyDescent="0.2">
      <c r="AD1586" s="13" t="s">
        <v>85</v>
      </c>
      <c r="AE1586" s="126">
        <f>_xll.qlCalendarAdvance(Calendar,AE1585,AD1586,BizDayConv)</f>
        <v>47156</v>
      </c>
      <c r="AF1586" s="125">
        <f>_xll.qlYieldTSDiscount($C$31,AE1586)</f>
        <v>0.91134272939444849</v>
      </c>
      <c r="AG1586" s="125">
        <f>_xll.xlShmInterpDisc(CurveName&amp;T($C$26),AE1586)</f>
        <v>0.91134272939444849</v>
      </c>
      <c r="AH1586" s="127">
        <f t="shared" si="31"/>
        <v>0</v>
      </c>
    </row>
    <row r="1587" spans="30:34" x14ac:dyDescent="0.2">
      <c r="AD1587" s="13" t="s">
        <v>85</v>
      </c>
      <c r="AE1587" s="126">
        <f>_xll.qlCalendarAdvance(Calendar,AE1586,AD1587,BizDayConv)</f>
        <v>47163</v>
      </c>
      <c r="AF1587" s="125">
        <f>_xll.qlYieldTSDiscount($C$31,AE1587)</f>
        <v>0.91102597158279952</v>
      </c>
      <c r="AG1587" s="125">
        <f>_xll.xlShmInterpDisc(CurveName&amp;T($C$26),AE1587)</f>
        <v>0.91102597158279952</v>
      </c>
      <c r="AH1587" s="127">
        <f t="shared" si="31"/>
        <v>0</v>
      </c>
    </row>
    <row r="1588" spans="30:34" x14ac:dyDescent="0.2">
      <c r="AD1588" s="13" t="s">
        <v>85</v>
      </c>
      <c r="AE1588" s="126">
        <f>_xll.qlCalendarAdvance(Calendar,AE1587,AD1588,BizDayConv)</f>
        <v>47170</v>
      </c>
      <c r="AF1588" s="125">
        <f>_xll.qlYieldTSDiscount($C$31,AE1588)</f>
        <v>0.91070917239907534</v>
      </c>
      <c r="AG1588" s="125">
        <f>_xll.xlShmInterpDisc(CurveName&amp;T($C$26),AE1588)</f>
        <v>0.91070917239907534</v>
      </c>
      <c r="AH1588" s="127">
        <f t="shared" si="31"/>
        <v>0</v>
      </c>
    </row>
    <row r="1589" spans="30:34" x14ac:dyDescent="0.2">
      <c r="AD1589" s="13" t="s">
        <v>85</v>
      </c>
      <c r="AE1589" s="126">
        <f>_xll.qlCalendarAdvance(Calendar,AE1588,AD1589,BizDayConv)</f>
        <v>47177</v>
      </c>
      <c r="AF1589" s="125">
        <f>_xll.qlYieldTSDiscount($C$31,AE1589)</f>
        <v>0.91039233632126593</v>
      </c>
      <c r="AG1589" s="125">
        <f>_xll.xlShmInterpDisc(CurveName&amp;T($C$26),AE1589)</f>
        <v>0.91039233632126582</v>
      </c>
      <c r="AH1589" s="127">
        <f t="shared" si="31"/>
        <v>1.1102230246251565E-16</v>
      </c>
    </row>
    <row r="1590" spans="30:34" x14ac:dyDescent="0.2">
      <c r="AD1590" s="13" t="s">
        <v>85</v>
      </c>
      <c r="AE1590" s="126">
        <f>_xll.qlCalendarAdvance(Calendar,AE1589,AD1590,BizDayConv)</f>
        <v>47184</v>
      </c>
      <c r="AF1590" s="125">
        <f>_xll.qlYieldTSDiscount($C$31,AE1590)</f>
        <v>0.91007546783602167</v>
      </c>
      <c r="AG1590" s="125">
        <f>_xll.xlShmInterpDisc(CurveName&amp;T($C$26),AE1590)</f>
        <v>0.91007546783602167</v>
      </c>
      <c r="AH1590" s="127">
        <f t="shared" si="31"/>
        <v>0</v>
      </c>
    </row>
    <row r="1591" spans="30:34" x14ac:dyDescent="0.2">
      <c r="AD1591" s="13" t="s">
        <v>85</v>
      </c>
      <c r="AE1591" s="126">
        <f>_xll.qlCalendarAdvance(Calendar,AE1590,AD1591,BizDayConv)</f>
        <v>47191</v>
      </c>
      <c r="AF1591" s="125">
        <f>_xll.qlYieldTSDiscount($C$31,AE1591)</f>
        <v>0.9097585714386266</v>
      </c>
      <c r="AG1591" s="125">
        <f>_xll.xlShmInterpDisc(CurveName&amp;T($C$26),AE1591)</f>
        <v>0.90975857143862648</v>
      </c>
      <c r="AH1591" s="127">
        <f t="shared" si="31"/>
        <v>1.1102230246251565E-16</v>
      </c>
    </row>
    <row r="1592" spans="30:34" x14ac:dyDescent="0.2">
      <c r="AD1592" s="13" t="s">
        <v>85</v>
      </c>
      <c r="AE1592" s="126">
        <f>_xll.qlCalendarAdvance(Calendar,AE1591,AD1592,BizDayConv)</f>
        <v>47198</v>
      </c>
      <c r="AF1592" s="125">
        <f>_xll.qlYieldTSDiscount($C$31,AE1592)</f>
        <v>0.90944165163296997</v>
      </c>
      <c r="AG1592" s="125">
        <f>_xll.xlShmInterpDisc(CurveName&amp;T($C$26),AE1592)</f>
        <v>0.90944165163296997</v>
      </c>
      <c r="AH1592" s="127">
        <f t="shared" si="31"/>
        <v>0</v>
      </c>
    </row>
    <row r="1593" spans="30:34" x14ac:dyDescent="0.2">
      <c r="AD1593" s="13" t="s">
        <v>85</v>
      </c>
      <c r="AE1593" s="126">
        <f>_xll.qlCalendarAdvance(Calendar,AE1592,AD1593,BizDayConv)</f>
        <v>47205</v>
      </c>
      <c r="AF1593" s="125">
        <f>_xll.qlYieldTSDiscount($C$31,AE1593)</f>
        <v>0.90912471293152042</v>
      </c>
      <c r="AG1593" s="125">
        <f>_xll.xlShmInterpDisc(CurveName&amp;T($C$26),AE1593)</f>
        <v>0.90912471293152042</v>
      </c>
      <c r="AH1593" s="127">
        <f t="shared" si="31"/>
        <v>0</v>
      </c>
    </row>
    <row r="1594" spans="30:34" x14ac:dyDescent="0.2">
      <c r="AD1594" s="13" t="s">
        <v>85</v>
      </c>
      <c r="AE1594" s="126">
        <f>_xll.qlCalendarAdvance(Calendar,AE1593,AD1594,BizDayConv)</f>
        <v>47212</v>
      </c>
      <c r="AF1594" s="125">
        <f>_xll.qlYieldTSDiscount($C$31,AE1594)</f>
        <v>0.90880775985529871</v>
      </c>
      <c r="AG1594" s="125">
        <f>_xll.xlShmInterpDisc(CurveName&amp;T($C$26),AE1594)</f>
        <v>0.90880775985529871</v>
      </c>
      <c r="AH1594" s="127">
        <f t="shared" si="31"/>
        <v>0</v>
      </c>
    </row>
    <row r="1595" spans="30:34" x14ac:dyDescent="0.2">
      <c r="AD1595" s="13" t="s">
        <v>85</v>
      </c>
      <c r="AE1595" s="126">
        <f>_xll.qlCalendarAdvance(Calendar,AE1594,AD1595,BizDayConv)</f>
        <v>47219</v>
      </c>
      <c r="AF1595" s="125">
        <f>_xll.qlYieldTSDiscount($C$31,AE1595)</f>
        <v>0.90849079693385137</v>
      </c>
      <c r="AG1595" s="125">
        <f>_xll.xlShmInterpDisc(CurveName&amp;T($C$26),AE1595)</f>
        <v>0.90849079693385126</v>
      </c>
      <c r="AH1595" s="127">
        <f t="shared" si="31"/>
        <v>1.1102230246251565E-16</v>
      </c>
    </row>
    <row r="1596" spans="30:34" x14ac:dyDescent="0.2">
      <c r="AD1596" s="13" t="s">
        <v>85</v>
      </c>
      <c r="AE1596" s="126">
        <f>_xll.qlCalendarAdvance(Calendar,AE1595,AD1596,BizDayConv)</f>
        <v>47226</v>
      </c>
      <c r="AF1596" s="125">
        <f>_xll.qlYieldTSDiscount($C$31,AE1596)</f>
        <v>0.9081738287052239</v>
      </c>
      <c r="AG1596" s="125">
        <f>_xll.xlShmInterpDisc(CurveName&amp;T($C$26),AE1596)</f>
        <v>0.9081738287052239</v>
      </c>
      <c r="AH1596" s="127">
        <f t="shared" si="31"/>
        <v>0</v>
      </c>
    </row>
    <row r="1597" spans="30:34" x14ac:dyDescent="0.2">
      <c r="AD1597" s="13" t="s">
        <v>85</v>
      </c>
      <c r="AE1597" s="126">
        <f>_xll.qlCalendarAdvance(Calendar,AE1596,AD1597,BizDayConv)</f>
        <v>47233</v>
      </c>
      <c r="AF1597" s="125">
        <f>_xll.qlYieldTSDiscount($C$31,AE1597)</f>
        <v>0.90785685971593555</v>
      </c>
      <c r="AG1597" s="125">
        <f>_xll.xlShmInterpDisc(CurveName&amp;T($C$26),AE1597)</f>
        <v>0.90785685971593544</v>
      </c>
      <c r="AH1597" s="127">
        <f t="shared" si="31"/>
        <v>1.1102230246251565E-16</v>
      </c>
    </row>
    <row r="1598" spans="30:34" x14ac:dyDescent="0.2">
      <c r="AD1598" s="13" t="s">
        <v>85</v>
      </c>
      <c r="AE1598" s="126">
        <f>_xll.qlCalendarAdvance(Calendar,AE1597,AD1598,BizDayConv)</f>
        <v>47240</v>
      </c>
      <c r="AF1598" s="125">
        <f>_xll.qlYieldTSDiscount($C$31,AE1598)</f>
        <v>0.90753989452095252</v>
      </c>
      <c r="AG1598" s="125">
        <f>_xll.xlShmInterpDisc(CurveName&amp;T($C$26),AE1598)</f>
        <v>0.90753989452095252</v>
      </c>
      <c r="AH1598" s="127">
        <f t="shared" si="31"/>
        <v>0</v>
      </c>
    </row>
    <row r="1599" spans="30:34" x14ac:dyDescent="0.2">
      <c r="AD1599" s="13" t="s">
        <v>85</v>
      </c>
      <c r="AE1599" s="126">
        <f>_xll.qlCalendarAdvance(Calendar,AE1598,AD1599,BizDayConv)</f>
        <v>47247</v>
      </c>
      <c r="AF1599" s="125">
        <f>_xll.qlYieldTSDiscount($C$31,AE1599)</f>
        <v>0.90722293768366302</v>
      </c>
      <c r="AG1599" s="125">
        <f>_xll.xlShmInterpDisc(CurveName&amp;T($C$26),AE1599)</f>
        <v>0.90722293768366302</v>
      </c>
      <c r="AH1599" s="127">
        <f t="shared" si="31"/>
        <v>0</v>
      </c>
    </row>
    <row r="1600" spans="30:34" x14ac:dyDescent="0.2">
      <c r="AD1600" s="13" t="s">
        <v>85</v>
      </c>
      <c r="AE1600" s="126">
        <f>_xll.qlCalendarAdvance(Calendar,AE1599,AD1600,BizDayConv)</f>
        <v>47254</v>
      </c>
      <c r="AF1600" s="125">
        <f>_xll.qlYieldTSDiscount($C$31,AE1600)</f>
        <v>0.90690599377585168</v>
      </c>
      <c r="AG1600" s="125">
        <f>_xll.xlShmInterpDisc(CurveName&amp;T($C$26),AE1600)</f>
        <v>0.90690599377585168</v>
      </c>
      <c r="AH1600" s="127">
        <f t="shared" si="31"/>
        <v>0</v>
      </c>
    </row>
    <row r="1601" spans="30:34" x14ac:dyDescent="0.2">
      <c r="AD1601" s="13" t="s">
        <v>85</v>
      </c>
      <c r="AE1601" s="126">
        <f>_xll.qlCalendarAdvance(Calendar,AE1600,AD1601,BizDayConv)</f>
        <v>47261</v>
      </c>
      <c r="AF1601" s="125">
        <f>_xll.qlYieldTSDiscount($C$31,AE1601)</f>
        <v>0.90658906737767408</v>
      </c>
      <c r="AG1601" s="125">
        <f>_xll.xlShmInterpDisc(CurveName&amp;T($C$26),AE1601)</f>
        <v>0.90658906737767408</v>
      </c>
      <c r="AH1601" s="127">
        <f t="shared" si="31"/>
        <v>0</v>
      </c>
    </row>
    <row r="1602" spans="30:34" x14ac:dyDescent="0.2">
      <c r="AD1602" s="13" t="s">
        <v>85</v>
      </c>
      <c r="AE1602" s="126">
        <f>_xll.qlCalendarAdvance(Calendar,AE1601,AD1602,BizDayConv)</f>
        <v>47268</v>
      </c>
      <c r="AF1602" s="125">
        <f>_xll.qlYieldTSDiscount($C$31,AE1602)</f>
        <v>0.90627216307763214</v>
      </c>
      <c r="AG1602" s="125">
        <f>_xll.xlShmInterpDisc(CurveName&amp;T($C$26),AE1602)</f>
        <v>0.90627216307763214</v>
      </c>
      <c r="AH1602" s="127">
        <f t="shared" si="31"/>
        <v>0</v>
      </c>
    </row>
    <row r="1603" spans="30:34" x14ac:dyDescent="0.2">
      <c r="AD1603" s="13" t="s">
        <v>85</v>
      </c>
      <c r="AE1603" s="126">
        <f>_xll.qlCalendarAdvance(Calendar,AE1602,AD1603,BizDayConv)</f>
        <v>47275</v>
      </c>
      <c r="AF1603" s="125">
        <f>_xll.qlYieldTSDiscount($C$31,AE1603)</f>
        <v>0.90595528547254933</v>
      </c>
      <c r="AG1603" s="125">
        <f>_xll.xlShmInterpDisc(CurveName&amp;T($C$26),AE1603)</f>
        <v>0.90595528547254933</v>
      </c>
      <c r="AH1603" s="127">
        <f t="shared" si="31"/>
        <v>0</v>
      </c>
    </row>
    <row r="1604" spans="30:34" x14ac:dyDescent="0.2">
      <c r="AD1604" s="13" t="s">
        <v>85</v>
      </c>
      <c r="AE1604" s="126">
        <f>_xll.qlCalendarAdvance(Calendar,AE1603,AD1604,BizDayConv)</f>
        <v>47282</v>
      </c>
      <c r="AF1604" s="125">
        <f>_xll.qlYieldTSDiscount($C$31,AE1604)</f>
        <v>0.90563843916754605</v>
      </c>
      <c r="AG1604" s="125">
        <f>_xll.xlShmInterpDisc(CurveName&amp;T($C$26),AE1604)</f>
        <v>0.90563843916754605</v>
      </c>
      <c r="AH1604" s="127">
        <f t="shared" ref="AH1604:AH1667" si="32">(AF1604-AG1604)</f>
        <v>0</v>
      </c>
    </row>
    <row r="1605" spans="30:34" x14ac:dyDescent="0.2">
      <c r="AD1605" s="13" t="s">
        <v>85</v>
      </c>
      <c r="AE1605" s="126">
        <f>_xll.qlCalendarAdvance(Calendar,AE1604,AD1605,BizDayConv)</f>
        <v>47289</v>
      </c>
      <c r="AF1605" s="125">
        <f>_xll.qlYieldTSDiscount($C$31,AE1605)</f>
        <v>0.90532162877601574</v>
      </c>
      <c r="AG1605" s="125">
        <f>_xll.xlShmInterpDisc(CurveName&amp;T($C$26),AE1605)</f>
        <v>0.90532162877601574</v>
      </c>
      <c r="AH1605" s="127">
        <f t="shared" si="32"/>
        <v>0</v>
      </c>
    </row>
    <row r="1606" spans="30:34" x14ac:dyDescent="0.2">
      <c r="AD1606" s="13" t="s">
        <v>85</v>
      </c>
      <c r="AE1606" s="126">
        <f>_xll.qlCalendarAdvance(Calendar,AE1605,AD1606,BizDayConv)</f>
        <v>47296</v>
      </c>
      <c r="AF1606" s="125">
        <f>_xll.qlYieldTSDiscount($C$31,AE1606)</f>
        <v>0.90500485891960059</v>
      </c>
      <c r="AG1606" s="125">
        <f>_xll.xlShmInterpDisc(CurveName&amp;T($C$26),AE1606)</f>
        <v>0.90500485891960059</v>
      </c>
      <c r="AH1606" s="127">
        <f t="shared" si="32"/>
        <v>0</v>
      </c>
    </row>
    <row r="1607" spans="30:34" x14ac:dyDescent="0.2">
      <c r="AD1607" s="13" t="s">
        <v>85</v>
      </c>
      <c r="AE1607" s="126">
        <f>_xll.qlCalendarAdvance(Calendar,AE1606,AD1607,BizDayConv)</f>
        <v>47303</v>
      </c>
      <c r="AF1607" s="125">
        <f>_xll.qlYieldTSDiscount($C$31,AE1607)</f>
        <v>0.90468813422816774</v>
      </c>
      <c r="AG1607" s="125">
        <f>_xll.xlShmInterpDisc(CurveName&amp;T($C$26),AE1607)</f>
        <v>0.90468813422816774</v>
      </c>
      <c r="AH1607" s="127">
        <f t="shared" si="32"/>
        <v>0</v>
      </c>
    </row>
    <row r="1608" spans="30:34" x14ac:dyDescent="0.2">
      <c r="AD1608" s="13" t="s">
        <v>85</v>
      </c>
      <c r="AE1608" s="126">
        <f>_xll.qlCalendarAdvance(Calendar,AE1607,AD1608,BizDayConv)</f>
        <v>47310</v>
      </c>
      <c r="AF1608" s="125">
        <f>_xll.qlYieldTSDiscount($C$31,AE1608)</f>
        <v>0.90437145933978613</v>
      </c>
      <c r="AG1608" s="125">
        <f>_xll.xlShmInterpDisc(CurveName&amp;T($C$26),AE1608)</f>
        <v>0.90437145933978613</v>
      </c>
      <c r="AH1608" s="127">
        <f t="shared" si="32"/>
        <v>0</v>
      </c>
    </row>
    <row r="1609" spans="30:34" x14ac:dyDescent="0.2">
      <c r="AD1609" s="13" t="s">
        <v>85</v>
      </c>
      <c r="AE1609" s="126">
        <f>_xll.qlCalendarAdvance(Calendar,AE1608,AD1609,BizDayConv)</f>
        <v>47317</v>
      </c>
      <c r="AF1609" s="125">
        <f>_xll.qlYieldTSDiscount($C$31,AE1609)</f>
        <v>0.90405483890070315</v>
      </c>
      <c r="AG1609" s="125">
        <f>_xll.xlShmInterpDisc(CurveName&amp;T($C$26),AE1609)</f>
        <v>0.90405483890070315</v>
      </c>
      <c r="AH1609" s="127">
        <f t="shared" si="32"/>
        <v>0</v>
      </c>
    </row>
    <row r="1610" spans="30:34" x14ac:dyDescent="0.2">
      <c r="AD1610" s="13" t="s">
        <v>85</v>
      </c>
      <c r="AE1610" s="126">
        <f>_xll.qlCalendarAdvance(Calendar,AE1609,AD1610,BizDayConv)</f>
        <v>47324</v>
      </c>
      <c r="AF1610" s="125">
        <f>_xll.qlYieldTSDiscount($C$31,AE1610)</f>
        <v>0.90373827756532132</v>
      </c>
      <c r="AG1610" s="125">
        <f>_xll.xlShmInterpDisc(CurveName&amp;T($C$26),AE1610)</f>
        <v>0.90373827756532132</v>
      </c>
      <c r="AH1610" s="127">
        <f t="shared" si="32"/>
        <v>0</v>
      </c>
    </row>
    <row r="1611" spans="30:34" x14ac:dyDescent="0.2">
      <c r="AD1611" s="13" t="s">
        <v>85</v>
      </c>
      <c r="AE1611" s="126">
        <f>_xll.qlCalendarAdvance(Calendar,AE1610,AD1611,BizDayConv)</f>
        <v>47331</v>
      </c>
      <c r="AF1611" s="125">
        <f>_xll.qlYieldTSDiscount($C$31,AE1611)</f>
        <v>0.90342177999617579</v>
      </c>
      <c r="AG1611" s="125">
        <f>_xll.xlShmInterpDisc(CurveName&amp;T($C$26),AE1611)</f>
        <v>0.90342177999617579</v>
      </c>
      <c r="AH1611" s="127">
        <f t="shared" si="32"/>
        <v>0</v>
      </c>
    </row>
    <row r="1612" spans="30:34" x14ac:dyDescent="0.2">
      <c r="AD1612" s="13" t="s">
        <v>85</v>
      </c>
      <c r="AE1612" s="126">
        <f>_xll.qlCalendarAdvance(Calendar,AE1611,AD1612,BizDayConv)</f>
        <v>47338</v>
      </c>
      <c r="AF1612" s="125">
        <f>_xll.qlYieldTSDiscount($C$31,AE1612)</f>
        <v>0.90310535086391219</v>
      </c>
      <c r="AG1612" s="125">
        <f>_xll.xlShmInterpDisc(CurveName&amp;T($C$26),AE1612)</f>
        <v>0.90310535086391219</v>
      </c>
      <c r="AH1612" s="127">
        <f t="shared" si="32"/>
        <v>0</v>
      </c>
    </row>
    <row r="1613" spans="30:34" x14ac:dyDescent="0.2">
      <c r="AD1613" s="13" t="s">
        <v>85</v>
      </c>
      <c r="AE1613" s="126">
        <f>_xll.qlCalendarAdvance(Calendar,AE1612,AD1613,BizDayConv)</f>
        <v>47345</v>
      </c>
      <c r="AF1613" s="125">
        <f>_xll.qlYieldTSDiscount($C$31,AE1613)</f>
        <v>0.90278899484726349</v>
      </c>
      <c r="AG1613" s="125">
        <f>_xll.xlShmInterpDisc(CurveName&amp;T($C$26),AE1613)</f>
        <v>0.90278899484726349</v>
      </c>
      <c r="AH1613" s="127">
        <f t="shared" si="32"/>
        <v>0</v>
      </c>
    </row>
    <row r="1614" spans="30:34" x14ac:dyDescent="0.2">
      <c r="AD1614" s="13" t="s">
        <v>85</v>
      </c>
      <c r="AE1614" s="126">
        <f>_xll.qlCalendarAdvance(Calendar,AE1613,AD1614,BizDayConv)</f>
        <v>47352</v>
      </c>
      <c r="AF1614" s="125">
        <f>_xll.qlYieldTSDiscount($C$31,AE1614)</f>
        <v>0.90247271663302908</v>
      </c>
      <c r="AG1614" s="125">
        <f>_xll.xlShmInterpDisc(CurveName&amp;T($C$26),AE1614)</f>
        <v>0.90247271663302908</v>
      </c>
      <c r="AH1614" s="127">
        <f t="shared" si="32"/>
        <v>0</v>
      </c>
    </row>
    <row r="1615" spans="30:34" x14ac:dyDescent="0.2">
      <c r="AD1615" s="13" t="s">
        <v>85</v>
      </c>
      <c r="AE1615" s="126">
        <f>_xll.qlCalendarAdvance(Calendar,AE1614,AD1615,BizDayConv)</f>
        <v>47359</v>
      </c>
      <c r="AF1615" s="125">
        <f>_xll.qlYieldTSDiscount($C$31,AE1615)</f>
        <v>0.90215652091605247</v>
      </c>
      <c r="AG1615" s="125">
        <f>_xll.xlShmInterpDisc(CurveName&amp;T($C$26),AE1615)</f>
        <v>0.90215652091605247</v>
      </c>
      <c r="AH1615" s="127">
        <f t="shared" si="32"/>
        <v>0</v>
      </c>
    </row>
    <row r="1616" spans="30:34" x14ac:dyDescent="0.2">
      <c r="AD1616" s="13" t="s">
        <v>85</v>
      </c>
      <c r="AE1616" s="126">
        <f>_xll.qlCalendarAdvance(Calendar,AE1615,AD1616,BizDayConv)</f>
        <v>47366</v>
      </c>
      <c r="AF1616" s="125">
        <f>_xll.qlYieldTSDiscount($C$31,AE1616)</f>
        <v>0.90184041239919965</v>
      </c>
      <c r="AG1616" s="125">
        <f>_xll.xlShmInterpDisc(CurveName&amp;T($C$26),AE1616)</f>
        <v>0.90184041239919965</v>
      </c>
      <c r="AH1616" s="127">
        <f t="shared" si="32"/>
        <v>0</v>
      </c>
    </row>
    <row r="1617" spans="30:34" x14ac:dyDescent="0.2">
      <c r="AD1617" s="13" t="s">
        <v>85</v>
      </c>
      <c r="AE1617" s="126">
        <f>_xll.qlCalendarAdvance(Calendar,AE1616,AD1617,BizDayConv)</f>
        <v>47373</v>
      </c>
      <c r="AF1617" s="125">
        <f>_xll.qlYieldTSDiscount($C$31,AE1617)</f>
        <v>0.90152439579333854</v>
      </c>
      <c r="AG1617" s="125">
        <f>_xll.xlShmInterpDisc(CurveName&amp;T($C$26),AE1617)</f>
        <v>0.90152439579333854</v>
      </c>
      <c r="AH1617" s="127">
        <f t="shared" si="32"/>
        <v>0</v>
      </c>
    </row>
    <row r="1618" spans="30:34" x14ac:dyDescent="0.2">
      <c r="AD1618" s="13" t="s">
        <v>85</v>
      </c>
      <c r="AE1618" s="126">
        <f>_xll.qlCalendarAdvance(Calendar,AE1617,AD1618,BizDayConv)</f>
        <v>47380</v>
      </c>
      <c r="AF1618" s="125">
        <f>_xll.qlYieldTSDiscount($C$31,AE1618)</f>
        <v>0.90120847581731744</v>
      </c>
      <c r="AG1618" s="125">
        <f>_xll.xlShmInterpDisc(CurveName&amp;T($C$26),AE1618)</f>
        <v>0.90120847581731744</v>
      </c>
      <c r="AH1618" s="127">
        <f t="shared" si="32"/>
        <v>0</v>
      </c>
    </row>
    <row r="1619" spans="30:34" x14ac:dyDescent="0.2">
      <c r="AD1619" s="13" t="s">
        <v>85</v>
      </c>
      <c r="AE1619" s="126">
        <f>_xll.qlCalendarAdvance(Calendar,AE1618,AD1619,BizDayConv)</f>
        <v>47387</v>
      </c>
      <c r="AF1619" s="125">
        <f>_xll.qlYieldTSDiscount($C$31,AE1619)</f>
        <v>0.90089265719794476</v>
      </c>
      <c r="AG1619" s="125">
        <f>_xll.xlShmInterpDisc(CurveName&amp;T($C$26),AE1619)</f>
        <v>0.90089265719794476</v>
      </c>
      <c r="AH1619" s="127">
        <f t="shared" si="32"/>
        <v>0</v>
      </c>
    </row>
    <row r="1620" spans="30:34" x14ac:dyDescent="0.2">
      <c r="AD1620" s="13" t="s">
        <v>85</v>
      </c>
      <c r="AE1620" s="126">
        <f>_xll.qlCalendarAdvance(Calendar,AE1619,AD1620,BizDayConv)</f>
        <v>47394</v>
      </c>
      <c r="AF1620" s="125">
        <f>_xll.qlYieldTSDiscount($C$31,AE1620)</f>
        <v>0.90057694466996863</v>
      </c>
      <c r="AG1620" s="125">
        <f>_xll.xlShmInterpDisc(CurveName&amp;T($C$26),AE1620)</f>
        <v>0.90057694466996863</v>
      </c>
      <c r="AH1620" s="127">
        <f t="shared" si="32"/>
        <v>0</v>
      </c>
    </row>
    <row r="1621" spans="30:34" x14ac:dyDescent="0.2">
      <c r="AD1621" s="13" t="s">
        <v>85</v>
      </c>
      <c r="AE1621" s="126">
        <f>_xll.qlCalendarAdvance(Calendar,AE1620,AD1621,BizDayConv)</f>
        <v>47401</v>
      </c>
      <c r="AF1621" s="125">
        <f>_xll.qlYieldTSDiscount($C$31,AE1621)</f>
        <v>0.90026134297605664</v>
      </c>
      <c r="AG1621" s="125">
        <f>_xll.xlShmInterpDisc(CurveName&amp;T($C$26),AE1621)</f>
        <v>0.90026134297605664</v>
      </c>
      <c r="AH1621" s="127">
        <f t="shared" si="32"/>
        <v>0</v>
      </c>
    </row>
    <row r="1622" spans="30:34" x14ac:dyDescent="0.2">
      <c r="AD1622" s="13" t="s">
        <v>85</v>
      </c>
      <c r="AE1622" s="126">
        <f>_xll.qlCalendarAdvance(Calendar,AE1621,AD1622,BizDayConv)</f>
        <v>47408</v>
      </c>
      <c r="AF1622" s="125">
        <f>_xll.qlYieldTSDiscount($C$31,AE1622)</f>
        <v>0.89994585686677586</v>
      </c>
      <c r="AG1622" s="125">
        <f>_xll.xlShmInterpDisc(CurveName&amp;T($C$26),AE1622)</f>
        <v>0.89994585686677586</v>
      </c>
      <c r="AH1622" s="127">
        <f t="shared" si="32"/>
        <v>0</v>
      </c>
    </row>
    <row r="1623" spans="30:34" x14ac:dyDescent="0.2">
      <c r="AD1623" s="13" t="s">
        <v>85</v>
      </c>
      <c r="AE1623" s="126">
        <f>_xll.qlCalendarAdvance(Calendar,AE1622,AD1623,BizDayConv)</f>
        <v>47415</v>
      </c>
      <c r="AF1623" s="125">
        <f>_xll.qlYieldTSDiscount($C$31,AE1623)</f>
        <v>0.89963049110057369</v>
      </c>
      <c r="AG1623" s="125">
        <f>_xll.xlShmInterpDisc(CurveName&amp;T($C$26),AE1623)</f>
        <v>0.89963049110057369</v>
      </c>
      <c r="AH1623" s="127">
        <f t="shared" si="32"/>
        <v>0</v>
      </c>
    </row>
    <row r="1624" spans="30:34" x14ac:dyDescent="0.2">
      <c r="AD1624" s="13" t="s">
        <v>85</v>
      </c>
      <c r="AE1624" s="126">
        <f>_xll.qlCalendarAdvance(Calendar,AE1623,AD1624,BizDayConv)</f>
        <v>47422</v>
      </c>
      <c r="AF1624" s="125">
        <f>_xll.qlYieldTSDiscount($C$31,AE1624)</f>
        <v>0.8993152504437586</v>
      </c>
      <c r="AG1624" s="125">
        <f>_xll.xlShmInterpDisc(CurveName&amp;T($C$26),AE1624)</f>
        <v>0.89931525044375848</v>
      </c>
      <c r="AH1624" s="127">
        <f t="shared" si="32"/>
        <v>1.1102230246251565E-16</v>
      </c>
    </row>
    <row r="1625" spans="30:34" x14ac:dyDescent="0.2">
      <c r="AD1625" s="13" t="s">
        <v>85</v>
      </c>
      <c r="AE1625" s="126">
        <f>_xll.qlCalendarAdvance(Calendar,AE1624,AD1625,BizDayConv)</f>
        <v>47429</v>
      </c>
      <c r="AF1625" s="125">
        <f>_xll.qlYieldTSDiscount($C$31,AE1625)</f>
        <v>0.89900013967048031</v>
      </c>
      <c r="AG1625" s="125">
        <f>_xll.xlShmInterpDisc(CurveName&amp;T($C$26),AE1625)</f>
        <v>0.89900013967048031</v>
      </c>
      <c r="AH1625" s="127">
        <f t="shared" si="32"/>
        <v>0</v>
      </c>
    </row>
    <row r="1626" spans="30:34" x14ac:dyDescent="0.2">
      <c r="AD1626" s="13" t="s">
        <v>85</v>
      </c>
      <c r="AE1626" s="126">
        <f>_xll.qlCalendarAdvance(Calendar,AE1625,AD1626,BizDayConv)</f>
        <v>47436</v>
      </c>
      <c r="AF1626" s="125">
        <f>_xll.qlYieldTSDiscount($C$31,AE1626)</f>
        <v>0.89868516356271244</v>
      </c>
      <c r="AG1626" s="125">
        <f>_xll.xlShmInterpDisc(CurveName&amp;T($C$26),AE1626)</f>
        <v>0.89868516356271244</v>
      </c>
      <c r="AH1626" s="127">
        <f t="shared" si="32"/>
        <v>0</v>
      </c>
    </row>
    <row r="1627" spans="30:34" x14ac:dyDescent="0.2">
      <c r="AD1627" s="13" t="s">
        <v>85</v>
      </c>
      <c r="AE1627" s="126">
        <f>_xll.qlCalendarAdvance(Calendar,AE1626,AD1627,BizDayConv)</f>
        <v>47443</v>
      </c>
      <c r="AF1627" s="125">
        <f>_xll.qlYieldTSDiscount($C$31,AE1627)</f>
        <v>0.89837032691023266</v>
      </c>
      <c r="AG1627" s="125">
        <f>_xll.xlShmInterpDisc(CurveName&amp;T($C$26),AE1627)</f>
        <v>0.89837032691023266</v>
      </c>
      <c r="AH1627" s="127">
        <f t="shared" si="32"/>
        <v>0</v>
      </c>
    </row>
    <row r="1628" spans="30:34" x14ac:dyDescent="0.2">
      <c r="AD1628" s="13" t="s">
        <v>85</v>
      </c>
      <c r="AE1628" s="126">
        <f>_xll.qlCalendarAdvance(Calendar,AE1627,AD1628,BizDayConv)</f>
        <v>47450</v>
      </c>
      <c r="AF1628" s="125">
        <f>_xll.qlYieldTSDiscount($C$31,AE1628)</f>
        <v>0.89805563451060566</v>
      </c>
      <c r="AG1628" s="125">
        <f>_xll.xlShmInterpDisc(CurveName&amp;T($C$26),AE1628)</f>
        <v>0.89805563451060566</v>
      </c>
      <c r="AH1628" s="127">
        <f t="shared" si="32"/>
        <v>0</v>
      </c>
    </row>
    <row r="1629" spans="30:34" x14ac:dyDescent="0.2">
      <c r="AD1629" s="13" t="s">
        <v>85</v>
      </c>
      <c r="AE1629" s="126">
        <f>_xll.qlCalendarAdvance(Calendar,AE1628,AD1629,BizDayConv)</f>
        <v>47457</v>
      </c>
      <c r="AF1629" s="125">
        <f>_xll.qlYieldTSDiscount($C$31,AE1629)</f>
        <v>0.89774109116916467</v>
      </c>
      <c r="AG1629" s="125">
        <f>_xll.xlShmInterpDisc(CurveName&amp;T($C$26),AE1629)</f>
        <v>0.89774109116916467</v>
      </c>
      <c r="AH1629" s="127">
        <f t="shared" si="32"/>
        <v>0</v>
      </c>
    </row>
    <row r="1630" spans="30:34" x14ac:dyDescent="0.2">
      <c r="AD1630" s="13" t="s">
        <v>85</v>
      </c>
      <c r="AE1630" s="126">
        <f>_xll.qlCalendarAdvance(Calendar,AE1629,AD1630,BizDayConv)</f>
        <v>47464</v>
      </c>
      <c r="AF1630" s="125">
        <f>_xll.qlYieldTSDiscount($C$31,AE1630)</f>
        <v>0.89742670169899408</v>
      </c>
      <c r="AG1630" s="125">
        <f>_xll.xlShmInterpDisc(CurveName&amp;T($C$26),AE1630)</f>
        <v>0.89742670169899408</v>
      </c>
      <c r="AH1630" s="127">
        <f t="shared" si="32"/>
        <v>0</v>
      </c>
    </row>
    <row r="1631" spans="30:34" x14ac:dyDescent="0.2">
      <c r="AD1631" s="13" t="s">
        <v>85</v>
      </c>
      <c r="AE1631" s="126">
        <f>_xll.qlCalendarAdvance(Calendar,AE1630,AD1631,BizDayConv)</f>
        <v>47471</v>
      </c>
      <c r="AF1631" s="125">
        <f>_xll.qlYieldTSDiscount($C$31,AE1631)</f>
        <v>0.89711247092091229</v>
      </c>
      <c r="AG1631" s="125">
        <f>_xll.xlShmInterpDisc(CurveName&amp;T($C$26),AE1631)</f>
        <v>0.89711247092091229</v>
      </c>
      <c r="AH1631" s="127">
        <f t="shared" si="32"/>
        <v>0</v>
      </c>
    </row>
    <row r="1632" spans="30:34" x14ac:dyDescent="0.2">
      <c r="AD1632" s="13" t="s">
        <v>85</v>
      </c>
      <c r="AE1632" s="126">
        <f>_xll.qlCalendarAdvance(Calendar,AE1631,AD1632,BizDayConv)</f>
        <v>47479</v>
      </c>
      <c r="AF1632" s="125">
        <f>_xll.qlYieldTSDiscount($C$31,AE1632)</f>
        <v>0.89675355054291195</v>
      </c>
      <c r="AG1632" s="125">
        <f>_xll.xlShmInterpDisc(CurveName&amp;T($C$26),AE1632)</f>
        <v>0.89675355054291195</v>
      </c>
      <c r="AH1632" s="127">
        <f t="shared" si="32"/>
        <v>0</v>
      </c>
    </row>
    <row r="1633" spans="30:34" x14ac:dyDescent="0.2">
      <c r="AD1633" s="13" t="s">
        <v>85</v>
      </c>
      <c r="AE1633" s="126">
        <f>_xll.qlCalendarAdvance(Calendar,AE1632,AD1633,BizDayConv)</f>
        <v>47486</v>
      </c>
      <c r="AF1633" s="125">
        <f>_xll.qlYieldTSDiscount($C$31,AE1633)</f>
        <v>0.89643967608853703</v>
      </c>
      <c r="AG1633" s="125">
        <f>_xll.xlShmInterpDisc(CurveName&amp;T($C$26),AE1633)</f>
        <v>0.89643967608853703</v>
      </c>
      <c r="AH1633" s="127">
        <f t="shared" si="32"/>
        <v>0</v>
      </c>
    </row>
    <row r="1634" spans="30:34" x14ac:dyDescent="0.2">
      <c r="AD1634" s="13" t="s">
        <v>85</v>
      </c>
      <c r="AE1634" s="126">
        <f>_xll.qlCalendarAdvance(Calendar,AE1633,AD1634,BizDayConv)</f>
        <v>47493</v>
      </c>
      <c r="AF1634" s="125">
        <f>_xll.qlYieldTSDiscount($C$31,AE1634)</f>
        <v>0.89612590120523661</v>
      </c>
      <c r="AG1634" s="125">
        <f>_xll.xlShmInterpDisc(CurveName&amp;T($C$26),AE1634)</f>
        <v>0.89612590120523661</v>
      </c>
      <c r="AH1634" s="127">
        <f t="shared" si="32"/>
        <v>0</v>
      </c>
    </row>
    <row r="1635" spans="30:34" x14ac:dyDescent="0.2">
      <c r="AD1635" s="13" t="s">
        <v>85</v>
      </c>
      <c r="AE1635" s="126">
        <f>_xll.qlCalendarAdvance(Calendar,AE1634,AD1635,BizDayConv)</f>
        <v>47500</v>
      </c>
      <c r="AF1635" s="125">
        <f>_xll.qlYieldTSDiscount($C$31,AE1635)</f>
        <v>0.89581215573516049</v>
      </c>
      <c r="AG1635" s="125">
        <f>_xll.xlShmInterpDisc(CurveName&amp;T($C$26),AE1635)</f>
        <v>0.8958121557351606</v>
      </c>
      <c r="AH1635" s="127">
        <f t="shared" si="32"/>
        <v>-1.1102230246251565E-16</v>
      </c>
    </row>
    <row r="1636" spans="30:34" x14ac:dyDescent="0.2">
      <c r="AD1636" s="13" t="s">
        <v>85</v>
      </c>
      <c r="AE1636" s="126">
        <f>_xll.qlCalendarAdvance(Calendar,AE1635,AD1636,BizDayConv)</f>
        <v>47507</v>
      </c>
      <c r="AF1636" s="125">
        <f>_xll.qlYieldTSDiscount($C$31,AE1636)</f>
        <v>0.89549844350514263</v>
      </c>
      <c r="AG1636" s="125">
        <f>_xll.xlShmInterpDisc(CurveName&amp;T($C$26),AE1636)</f>
        <v>0.89549844350514263</v>
      </c>
      <c r="AH1636" s="127">
        <f t="shared" si="32"/>
        <v>0</v>
      </c>
    </row>
    <row r="1637" spans="30:34" x14ac:dyDescent="0.2">
      <c r="AD1637" s="13" t="s">
        <v>85</v>
      </c>
      <c r="AE1637" s="126">
        <f>_xll.qlCalendarAdvance(Calendar,AE1636,AD1637,BizDayConv)</f>
        <v>47514</v>
      </c>
      <c r="AF1637" s="125">
        <f>_xll.qlYieldTSDiscount($C$31,AE1637)</f>
        <v>0.89518476834807603</v>
      </c>
      <c r="AG1637" s="125">
        <f>_xll.xlShmInterpDisc(CurveName&amp;T($C$26),AE1637)</f>
        <v>0.89518476834807603</v>
      </c>
      <c r="AH1637" s="127">
        <f t="shared" si="32"/>
        <v>0</v>
      </c>
    </row>
    <row r="1638" spans="30:34" x14ac:dyDescent="0.2">
      <c r="AD1638" s="13" t="s">
        <v>85</v>
      </c>
      <c r="AE1638" s="126">
        <f>_xll.qlCalendarAdvance(Calendar,AE1637,AD1638,BizDayConv)</f>
        <v>47521</v>
      </c>
      <c r="AF1638" s="125">
        <f>_xll.qlYieldTSDiscount($C$31,AE1638)</f>
        <v>0.89487113410289432</v>
      </c>
      <c r="AG1638" s="125">
        <f>_xll.xlShmInterpDisc(CurveName&amp;T($C$26),AE1638)</f>
        <v>0.89487113410289432</v>
      </c>
      <c r="AH1638" s="127">
        <f t="shared" si="32"/>
        <v>0</v>
      </c>
    </row>
    <row r="1639" spans="30:34" x14ac:dyDescent="0.2">
      <c r="AD1639" s="13" t="s">
        <v>85</v>
      </c>
      <c r="AE1639" s="126">
        <f>_xll.qlCalendarAdvance(Calendar,AE1638,AD1639,BizDayConv)</f>
        <v>47528</v>
      </c>
      <c r="AF1639" s="125">
        <f>_xll.qlYieldTSDiscount($C$31,AE1639)</f>
        <v>0.89455754461455383</v>
      </c>
      <c r="AG1639" s="125">
        <f>_xll.xlShmInterpDisc(CurveName&amp;T($C$26),AE1639)</f>
        <v>0.89455754461455383</v>
      </c>
      <c r="AH1639" s="127">
        <f t="shared" si="32"/>
        <v>0</v>
      </c>
    </row>
    <row r="1640" spans="30:34" x14ac:dyDescent="0.2">
      <c r="AD1640" s="13" t="s">
        <v>85</v>
      </c>
      <c r="AE1640" s="126">
        <f>_xll.qlCalendarAdvance(Calendar,AE1639,AD1640,BizDayConv)</f>
        <v>47535</v>
      </c>
      <c r="AF1640" s="125">
        <f>_xll.qlYieldTSDiscount($C$31,AE1640)</f>
        <v>0.8942440037340148</v>
      </c>
      <c r="AG1640" s="125">
        <f>_xll.xlShmInterpDisc(CurveName&amp;T($C$26),AE1640)</f>
        <v>0.8942440037340148</v>
      </c>
      <c r="AH1640" s="127">
        <f t="shared" si="32"/>
        <v>0</v>
      </c>
    </row>
    <row r="1641" spans="30:34" x14ac:dyDescent="0.2">
      <c r="AD1641" s="13" t="s">
        <v>85</v>
      </c>
      <c r="AE1641" s="126">
        <f>_xll.qlCalendarAdvance(Calendar,AE1640,AD1641,BizDayConv)</f>
        <v>47542</v>
      </c>
      <c r="AF1641" s="125">
        <f>_xll.qlYieldTSDiscount($C$31,AE1641)</f>
        <v>0.89393051531822432</v>
      </c>
      <c r="AG1641" s="125">
        <f>_xll.xlShmInterpDisc(CurveName&amp;T($C$26),AE1641)</f>
        <v>0.89393051531822432</v>
      </c>
      <c r="AH1641" s="127">
        <f t="shared" si="32"/>
        <v>0</v>
      </c>
    </row>
    <row r="1642" spans="30:34" x14ac:dyDescent="0.2">
      <c r="AD1642" s="13" t="s">
        <v>85</v>
      </c>
      <c r="AE1642" s="126">
        <f>_xll.qlCalendarAdvance(Calendar,AE1641,AD1642,BizDayConv)</f>
        <v>47549</v>
      </c>
      <c r="AF1642" s="125">
        <f>_xll.qlYieldTSDiscount($C$31,AE1642)</f>
        <v>0.89361708323009781</v>
      </c>
      <c r="AG1642" s="125">
        <f>_xll.xlShmInterpDisc(CurveName&amp;T($C$26),AE1642)</f>
        <v>0.89361708323009781</v>
      </c>
      <c r="AH1642" s="127">
        <f t="shared" si="32"/>
        <v>0</v>
      </c>
    </row>
    <row r="1643" spans="30:34" x14ac:dyDescent="0.2">
      <c r="AD1643" s="13" t="s">
        <v>85</v>
      </c>
      <c r="AE1643" s="126">
        <f>_xll.qlCalendarAdvance(Calendar,AE1642,AD1643,BizDayConv)</f>
        <v>47556</v>
      </c>
      <c r="AF1643" s="125">
        <f>_xll.qlYieldTSDiscount($C$31,AE1643)</f>
        <v>0.8933037113385015</v>
      </c>
      <c r="AG1643" s="125">
        <f>_xll.xlShmInterpDisc(CurveName&amp;T($C$26),AE1643)</f>
        <v>0.8933037113385015</v>
      </c>
      <c r="AH1643" s="127">
        <f t="shared" si="32"/>
        <v>0</v>
      </c>
    </row>
    <row r="1644" spans="30:34" x14ac:dyDescent="0.2">
      <c r="AD1644" s="13" t="s">
        <v>85</v>
      </c>
      <c r="AE1644" s="126">
        <f>_xll.qlCalendarAdvance(Calendar,AE1643,AD1644,BizDayConv)</f>
        <v>47563</v>
      </c>
      <c r="AF1644" s="125">
        <f>_xll.qlYieldTSDiscount($C$31,AE1644)</f>
        <v>0.89299040351823566</v>
      </c>
      <c r="AG1644" s="125">
        <f>_xll.xlShmInterpDisc(CurveName&amp;T($C$26),AE1644)</f>
        <v>0.89299040351823566</v>
      </c>
      <c r="AH1644" s="127">
        <f t="shared" si="32"/>
        <v>0</v>
      </c>
    </row>
    <row r="1645" spans="30:34" x14ac:dyDescent="0.2">
      <c r="AD1645" s="13" t="s">
        <v>85</v>
      </c>
      <c r="AE1645" s="126">
        <f>_xll.qlCalendarAdvance(Calendar,AE1644,AD1645,BizDayConv)</f>
        <v>47570</v>
      </c>
      <c r="AF1645" s="125">
        <f>_xll.qlYieldTSDiscount($C$31,AE1645)</f>
        <v>0.89267716365001681</v>
      </c>
      <c r="AG1645" s="125">
        <f>_xll.xlShmInterpDisc(CurveName&amp;T($C$26),AE1645)</f>
        <v>0.89267716365001681</v>
      </c>
      <c r="AH1645" s="127">
        <f t="shared" si="32"/>
        <v>0</v>
      </c>
    </row>
    <row r="1646" spans="30:34" x14ac:dyDescent="0.2">
      <c r="AD1646" s="13" t="s">
        <v>85</v>
      </c>
      <c r="AE1646" s="126">
        <f>_xll.qlCalendarAdvance(Calendar,AE1645,AD1646,BizDayConv)</f>
        <v>47577</v>
      </c>
      <c r="AF1646" s="125">
        <f>_xll.qlYieldTSDiscount($C$31,AE1646)</f>
        <v>0.89236399562046054</v>
      </c>
      <c r="AG1646" s="125">
        <f>_xll.xlShmInterpDisc(CurveName&amp;T($C$26),AE1646)</f>
        <v>0.89236399562046054</v>
      </c>
      <c r="AH1646" s="127">
        <f t="shared" si="32"/>
        <v>0</v>
      </c>
    </row>
    <row r="1647" spans="30:34" x14ac:dyDescent="0.2">
      <c r="AD1647" s="13" t="s">
        <v>85</v>
      </c>
      <c r="AE1647" s="126">
        <f>_xll.qlCalendarAdvance(Calendar,AE1646,AD1647,BizDayConv)</f>
        <v>47584</v>
      </c>
      <c r="AF1647" s="125">
        <f>_xll.qlYieldTSDiscount($C$31,AE1647)</f>
        <v>0.89205090332206516</v>
      </c>
      <c r="AG1647" s="125">
        <f>_xll.xlShmInterpDisc(CurveName&amp;T($C$26),AE1647)</f>
        <v>0.89205090332206516</v>
      </c>
      <c r="AH1647" s="127">
        <f t="shared" si="32"/>
        <v>0</v>
      </c>
    </row>
    <row r="1648" spans="30:34" x14ac:dyDescent="0.2">
      <c r="AD1648" s="13" t="s">
        <v>85</v>
      </c>
      <c r="AE1648" s="126">
        <f>_xll.qlCalendarAdvance(Calendar,AE1647,AD1648,BizDayConv)</f>
        <v>47591</v>
      </c>
      <c r="AF1648" s="125">
        <f>_xll.qlYieldTSDiscount($C$31,AE1648)</f>
        <v>0.89173789065319475</v>
      </c>
      <c r="AG1648" s="125">
        <f>_xll.xlShmInterpDisc(CurveName&amp;T($C$26),AE1648)</f>
        <v>0.89173789065319475</v>
      </c>
      <c r="AH1648" s="127">
        <f t="shared" si="32"/>
        <v>0</v>
      </c>
    </row>
    <row r="1649" spans="30:34" x14ac:dyDescent="0.2">
      <c r="AD1649" s="13" t="s">
        <v>85</v>
      </c>
      <c r="AE1649" s="126">
        <f>_xll.qlCalendarAdvance(Calendar,AE1648,AD1649,BizDayConv)</f>
        <v>47598</v>
      </c>
      <c r="AF1649" s="125">
        <f>_xll.qlYieldTSDiscount($C$31,AE1649)</f>
        <v>0.89142496151806261</v>
      </c>
      <c r="AG1649" s="125">
        <f>_xll.xlShmInterpDisc(CurveName&amp;T($C$26),AE1649)</f>
        <v>0.89142496151806261</v>
      </c>
      <c r="AH1649" s="127">
        <f t="shared" si="32"/>
        <v>0</v>
      </c>
    </row>
    <row r="1650" spans="30:34" x14ac:dyDescent="0.2">
      <c r="AD1650" s="13" t="s">
        <v>85</v>
      </c>
      <c r="AE1650" s="126">
        <f>_xll.qlCalendarAdvance(Calendar,AE1649,AD1650,BizDayConv)</f>
        <v>47605</v>
      </c>
      <c r="AF1650" s="125">
        <f>_xll.qlYieldTSDiscount($C$31,AE1650)</f>
        <v>0.8911121198267149</v>
      </c>
      <c r="AG1650" s="125">
        <f>_xll.xlShmInterpDisc(CurveName&amp;T($C$26),AE1650)</f>
        <v>0.8911121198267149</v>
      </c>
      <c r="AH1650" s="127">
        <f t="shared" si="32"/>
        <v>0</v>
      </c>
    </row>
    <row r="1651" spans="30:34" x14ac:dyDescent="0.2">
      <c r="AD1651" s="13" t="s">
        <v>85</v>
      </c>
      <c r="AE1651" s="126">
        <f>_xll.qlCalendarAdvance(Calendar,AE1650,AD1651,BizDayConv)</f>
        <v>47612</v>
      </c>
      <c r="AF1651" s="125">
        <f>_xll.qlYieldTSDiscount($C$31,AE1651)</f>
        <v>0.8907993694950147</v>
      </c>
      <c r="AG1651" s="125">
        <f>_xll.xlShmInterpDisc(CurveName&amp;T($C$26),AE1651)</f>
        <v>0.8907993694950147</v>
      </c>
      <c r="AH1651" s="127">
        <f t="shared" si="32"/>
        <v>0</v>
      </c>
    </row>
    <row r="1652" spans="30:34" x14ac:dyDescent="0.2">
      <c r="AD1652" s="13" t="s">
        <v>85</v>
      </c>
      <c r="AE1652" s="126">
        <f>_xll.qlCalendarAdvance(Calendar,AE1651,AD1652,BizDayConv)</f>
        <v>47619</v>
      </c>
      <c r="AF1652" s="125">
        <f>_xll.qlYieldTSDiscount($C$31,AE1652)</f>
        <v>0.89048671444462602</v>
      </c>
      <c r="AG1652" s="125">
        <f>_xll.xlShmInterpDisc(CurveName&amp;T($C$26),AE1652)</f>
        <v>0.89048671444462613</v>
      </c>
      <c r="AH1652" s="127">
        <f t="shared" si="32"/>
        <v>-1.1102230246251565E-16</v>
      </c>
    </row>
    <row r="1653" spans="30:34" x14ac:dyDescent="0.2">
      <c r="AD1653" s="13" t="s">
        <v>85</v>
      </c>
      <c r="AE1653" s="126">
        <f>_xll.qlCalendarAdvance(Calendar,AE1652,AD1653,BizDayConv)</f>
        <v>47626</v>
      </c>
      <c r="AF1653" s="125">
        <f>_xll.qlYieldTSDiscount($C$31,AE1653)</f>
        <v>0.89017415860299809</v>
      </c>
      <c r="AG1653" s="125">
        <f>_xll.xlShmInterpDisc(CurveName&amp;T($C$26),AE1653)</f>
        <v>0.89017415860299809</v>
      </c>
      <c r="AH1653" s="127">
        <f t="shared" si="32"/>
        <v>0</v>
      </c>
    </row>
    <row r="1654" spans="30:34" x14ac:dyDescent="0.2">
      <c r="AD1654" s="13" t="s">
        <v>85</v>
      </c>
      <c r="AE1654" s="126">
        <f>_xll.qlCalendarAdvance(Calendar,AE1653,AD1654,BizDayConv)</f>
        <v>47633</v>
      </c>
      <c r="AF1654" s="125">
        <f>_xll.qlYieldTSDiscount($C$31,AE1654)</f>
        <v>0.88986170590334945</v>
      </c>
      <c r="AG1654" s="125">
        <f>_xll.xlShmInterpDisc(CurveName&amp;T($C$26),AE1654)</f>
        <v>0.88986170590334945</v>
      </c>
      <c r="AH1654" s="127">
        <f t="shared" si="32"/>
        <v>0</v>
      </c>
    </row>
    <row r="1655" spans="30:34" x14ac:dyDescent="0.2">
      <c r="AD1655" s="13" t="s">
        <v>85</v>
      </c>
      <c r="AE1655" s="126">
        <f>_xll.qlCalendarAdvance(Calendar,AE1654,AD1655,BizDayConv)</f>
        <v>47640</v>
      </c>
      <c r="AF1655" s="125">
        <f>_xll.qlYieldTSDiscount($C$31,AE1655)</f>
        <v>0.88954936028465303</v>
      </c>
      <c r="AG1655" s="125">
        <f>_xll.xlShmInterpDisc(CurveName&amp;T($C$26),AE1655)</f>
        <v>0.88954936028465303</v>
      </c>
      <c r="AH1655" s="127">
        <f t="shared" si="32"/>
        <v>0</v>
      </c>
    </row>
    <row r="1656" spans="30:34" x14ac:dyDescent="0.2">
      <c r="AD1656" s="13" t="s">
        <v>85</v>
      </c>
      <c r="AE1656" s="126">
        <f>_xll.qlCalendarAdvance(Calendar,AE1655,AD1656,BizDayConv)</f>
        <v>47647</v>
      </c>
      <c r="AF1656" s="125">
        <f>_xll.qlYieldTSDiscount($C$31,AE1656)</f>
        <v>0.88923712569162083</v>
      </c>
      <c r="AG1656" s="125">
        <f>_xll.xlShmInterpDisc(CurveName&amp;T($C$26),AE1656)</f>
        <v>0.88923712569162083</v>
      </c>
      <c r="AH1656" s="127">
        <f t="shared" si="32"/>
        <v>0</v>
      </c>
    </row>
    <row r="1657" spans="30:34" x14ac:dyDescent="0.2">
      <c r="AD1657" s="13" t="s">
        <v>85</v>
      </c>
      <c r="AE1657" s="126">
        <f>_xll.qlCalendarAdvance(Calendar,AE1656,AD1657,BizDayConv)</f>
        <v>47654</v>
      </c>
      <c r="AF1657" s="125">
        <f>_xll.qlYieldTSDiscount($C$31,AE1657)</f>
        <v>0.88892500607468894</v>
      </c>
      <c r="AG1657" s="125">
        <f>_xll.xlShmInterpDisc(CurveName&amp;T($C$26),AE1657)</f>
        <v>0.88892500607468894</v>
      </c>
      <c r="AH1657" s="127">
        <f t="shared" si="32"/>
        <v>0</v>
      </c>
    </row>
    <row r="1658" spans="30:34" x14ac:dyDescent="0.2">
      <c r="AD1658" s="13" t="s">
        <v>85</v>
      </c>
      <c r="AE1658" s="126">
        <f>_xll.qlCalendarAdvance(Calendar,AE1657,AD1658,BizDayConv)</f>
        <v>47661</v>
      </c>
      <c r="AF1658" s="125">
        <f>_xll.qlYieldTSDiscount($C$31,AE1658)</f>
        <v>0.88861300539000254</v>
      </c>
      <c r="AG1658" s="125">
        <f>_xll.xlShmInterpDisc(CurveName&amp;T($C$26),AE1658)</f>
        <v>0.88861300539000254</v>
      </c>
      <c r="AH1658" s="127">
        <f t="shared" si="32"/>
        <v>0</v>
      </c>
    </row>
    <row r="1659" spans="30:34" x14ac:dyDescent="0.2">
      <c r="AD1659" s="13" t="s">
        <v>85</v>
      </c>
      <c r="AE1659" s="126">
        <f>_xll.qlCalendarAdvance(Calendar,AE1658,AD1659,BizDayConv)</f>
        <v>47668</v>
      </c>
      <c r="AF1659" s="125">
        <f>_xll.qlYieldTSDiscount($C$31,AE1659)</f>
        <v>0.88830112759940183</v>
      </c>
      <c r="AG1659" s="125">
        <f>_xll.xlShmInterpDisc(CurveName&amp;T($C$26),AE1659)</f>
        <v>0.88830112759940183</v>
      </c>
      <c r="AH1659" s="127">
        <f t="shared" si="32"/>
        <v>0</v>
      </c>
    </row>
    <row r="1660" spans="30:34" x14ac:dyDescent="0.2">
      <c r="AD1660" s="13" t="s">
        <v>85</v>
      </c>
      <c r="AE1660" s="126">
        <f>_xll.qlCalendarAdvance(Calendar,AE1659,AD1660,BizDayConv)</f>
        <v>47675</v>
      </c>
      <c r="AF1660" s="125">
        <f>_xll.qlYieldTSDiscount($C$31,AE1660)</f>
        <v>0.887989376670407</v>
      </c>
      <c r="AG1660" s="125">
        <f>_xll.xlShmInterpDisc(CurveName&amp;T($C$26),AE1660)</f>
        <v>0.88798937667040712</v>
      </c>
      <c r="AH1660" s="127">
        <f t="shared" si="32"/>
        <v>-1.1102230246251565E-16</v>
      </c>
    </row>
    <row r="1661" spans="30:34" x14ac:dyDescent="0.2">
      <c r="AD1661" s="13" t="s">
        <v>85</v>
      </c>
      <c r="AE1661" s="126">
        <f>_xll.qlCalendarAdvance(Calendar,AE1660,AD1661,BizDayConv)</f>
        <v>47682</v>
      </c>
      <c r="AF1661" s="125">
        <f>_xll.qlYieldTSDiscount($C$31,AE1661)</f>
        <v>0.88767775657620474</v>
      </c>
      <c r="AG1661" s="125">
        <f>_xll.xlShmInterpDisc(CurveName&amp;T($C$26),AE1661)</f>
        <v>0.88767775657620474</v>
      </c>
      <c r="AH1661" s="127">
        <f t="shared" si="32"/>
        <v>0</v>
      </c>
    </row>
    <row r="1662" spans="30:34" x14ac:dyDescent="0.2">
      <c r="AD1662" s="13" t="s">
        <v>85</v>
      </c>
      <c r="AE1662" s="126">
        <f>_xll.qlCalendarAdvance(Calendar,AE1661,AD1662,BizDayConv)</f>
        <v>47689</v>
      </c>
      <c r="AF1662" s="125">
        <f>_xll.qlYieldTSDiscount($C$31,AE1662)</f>
        <v>0.88736627129563339</v>
      </c>
      <c r="AG1662" s="125">
        <f>_xll.xlShmInterpDisc(CurveName&amp;T($C$26),AE1662)</f>
        <v>0.88736627129563339</v>
      </c>
      <c r="AH1662" s="127">
        <f t="shared" si="32"/>
        <v>0</v>
      </c>
    </row>
    <row r="1663" spans="30:34" x14ac:dyDescent="0.2">
      <c r="AD1663" s="13" t="s">
        <v>85</v>
      </c>
      <c r="AE1663" s="126">
        <f>_xll.qlCalendarAdvance(Calendar,AE1662,AD1663,BizDayConv)</f>
        <v>47696</v>
      </c>
      <c r="AF1663" s="125">
        <f>_xll.qlYieldTSDiscount($C$31,AE1663)</f>
        <v>0.88705492481317016</v>
      </c>
      <c r="AG1663" s="125">
        <f>_xll.xlShmInterpDisc(CurveName&amp;T($C$26),AE1663)</f>
        <v>0.88705492481317016</v>
      </c>
      <c r="AH1663" s="127">
        <f t="shared" si="32"/>
        <v>0</v>
      </c>
    </row>
    <row r="1664" spans="30:34" x14ac:dyDescent="0.2">
      <c r="AD1664" s="13" t="s">
        <v>85</v>
      </c>
      <c r="AE1664" s="126">
        <f>_xll.qlCalendarAdvance(Calendar,AE1663,AD1664,BizDayConv)</f>
        <v>47703</v>
      </c>
      <c r="AF1664" s="125">
        <f>_xll.qlYieldTSDiscount($C$31,AE1664)</f>
        <v>0.88674372111891675</v>
      </c>
      <c r="AG1664" s="125">
        <f>_xll.xlShmInterpDisc(CurveName&amp;T($C$26),AE1664)</f>
        <v>0.88674372111891675</v>
      </c>
      <c r="AH1664" s="127">
        <f t="shared" si="32"/>
        <v>0</v>
      </c>
    </row>
    <row r="1665" spans="30:34" x14ac:dyDescent="0.2">
      <c r="AD1665" s="13" t="s">
        <v>85</v>
      </c>
      <c r="AE1665" s="126">
        <f>_xll.qlCalendarAdvance(Calendar,AE1664,AD1665,BizDayConv)</f>
        <v>47710</v>
      </c>
      <c r="AF1665" s="125">
        <f>_xll.qlYieldTSDiscount($C$31,AE1665)</f>
        <v>0.88643266420858646</v>
      </c>
      <c r="AG1665" s="125">
        <f>_xll.xlShmInterpDisc(CurveName&amp;T($C$26),AE1665)</f>
        <v>0.88643266420858646</v>
      </c>
      <c r="AH1665" s="127">
        <f t="shared" si="32"/>
        <v>0</v>
      </c>
    </row>
    <row r="1666" spans="30:34" x14ac:dyDescent="0.2">
      <c r="AD1666" s="13" t="s">
        <v>85</v>
      </c>
      <c r="AE1666" s="126">
        <f>_xll.qlCalendarAdvance(Calendar,AE1665,AD1666,BizDayConv)</f>
        <v>47717</v>
      </c>
      <c r="AF1666" s="125">
        <f>_xll.qlYieldTSDiscount($C$31,AE1666)</f>
        <v>0.8861217580834907</v>
      </c>
      <c r="AG1666" s="125">
        <f>_xll.xlShmInterpDisc(CurveName&amp;T($C$26),AE1666)</f>
        <v>0.8861217580834907</v>
      </c>
      <c r="AH1666" s="127">
        <f t="shared" si="32"/>
        <v>0</v>
      </c>
    </row>
    <row r="1667" spans="30:34" x14ac:dyDescent="0.2">
      <c r="AD1667" s="13" t="s">
        <v>85</v>
      </c>
      <c r="AE1667" s="126">
        <f>_xll.qlCalendarAdvance(Calendar,AE1666,AD1667,BizDayConv)</f>
        <v>47724</v>
      </c>
      <c r="AF1667" s="125">
        <f>_xll.qlYieldTSDiscount($C$31,AE1667)</f>
        <v>0.88581100675052649</v>
      </c>
      <c r="AG1667" s="125">
        <f>_xll.xlShmInterpDisc(CurveName&amp;T($C$26),AE1667)</f>
        <v>0.88581100675052649</v>
      </c>
      <c r="AH1667" s="127">
        <f t="shared" si="32"/>
        <v>0</v>
      </c>
    </row>
    <row r="1668" spans="30:34" x14ac:dyDescent="0.2">
      <c r="AD1668" s="13" t="s">
        <v>85</v>
      </c>
      <c r="AE1668" s="126">
        <f>_xll.qlCalendarAdvance(Calendar,AE1667,AD1668,BizDayConv)</f>
        <v>47731</v>
      </c>
      <c r="AF1668" s="125">
        <f>_xll.qlYieldTSDiscount($C$31,AE1668)</f>
        <v>0.88550041422216297</v>
      </c>
      <c r="AG1668" s="125">
        <f>_xll.xlShmInterpDisc(CurveName&amp;T($C$26),AE1668)</f>
        <v>0.88550041422216297</v>
      </c>
      <c r="AH1668" s="127">
        <f t="shared" ref="AH1668:AH1685" si="33">(AF1668-AG1668)</f>
        <v>0</v>
      </c>
    </row>
    <row r="1669" spans="30:34" x14ac:dyDescent="0.2">
      <c r="AD1669" s="13" t="s">
        <v>85</v>
      </c>
      <c r="AE1669" s="126">
        <f>_xll.qlCalendarAdvance(Calendar,AE1668,AD1669,BizDayConv)</f>
        <v>47738</v>
      </c>
      <c r="AF1669" s="125">
        <f>_xll.qlYieldTSDiscount($C$31,AE1669)</f>
        <v>0.88518998451642972</v>
      </c>
      <c r="AG1669" s="125">
        <f>_xll.xlShmInterpDisc(CurveName&amp;T($C$26),AE1669)</f>
        <v>0.88518998451642972</v>
      </c>
      <c r="AH1669" s="127">
        <f t="shared" si="33"/>
        <v>0</v>
      </c>
    </row>
    <row r="1670" spans="30:34" x14ac:dyDescent="0.2">
      <c r="AD1670" s="13" t="s">
        <v>85</v>
      </c>
      <c r="AE1670" s="126">
        <f>_xll.qlCalendarAdvance(Calendar,AE1669,AD1670,BizDayConv)</f>
        <v>47745</v>
      </c>
      <c r="AF1670" s="125">
        <f>_xll.qlYieldTSDiscount($C$31,AE1670)</f>
        <v>0.88487972165690376</v>
      </c>
      <c r="AG1670" s="125">
        <f>_xll.xlShmInterpDisc(CurveName&amp;T($C$26),AE1670)</f>
        <v>0.88487972165690376</v>
      </c>
      <c r="AH1670" s="127">
        <f t="shared" si="33"/>
        <v>0</v>
      </c>
    </row>
    <row r="1671" spans="30:34" x14ac:dyDescent="0.2">
      <c r="AD1671" s="13" t="s">
        <v>85</v>
      </c>
      <c r="AE1671" s="126">
        <f>_xll.qlCalendarAdvance(Calendar,AE1670,AD1671,BizDayConv)</f>
        <v>47752</v>
      </c>
      <c r="AF1671" s="125">
        <f>_xll.qlYieldTSDiscount($C$31,AE1671)</f>
        <v>0.88456962967269781</v>
      </c>
      <c r="AG1671" s="125">
        <f>_xll.xlShmInterpDisc(CurveName&amp;T($C$26),AE1671)</f>
        <v>0.88456962967269781</v>
      </c>
      <c r="AH1671" s="127">
        <f t="shared" si="33"/>
        <v>0</v>
      </c>
    </row>
    <row r="1672" spans="30:34" x14ac:dyDescent="0.2">
      <c r="AD1672" s="13" t="s">
        <v>85</v>
      </c>
      <c r="AE1672" s="126">
        <f>_xll.qlCalendarAdvance(Calendar,AE1671,AD1672,BizDayConv)</f>
        <v>47759</v>
      </c>
      <c r="AF1672" s="125">
        <f>_xll.qlYieldTSDiscount($C$31,AE1672)</f>
        <v>0.88425971259844838</v>
      </c>
      <c r="AG1672" s="125">
        <f>_xll.xlShmInterpDisc(CurveName&amp;T($C$26),AE1672)</f>
        <v>0.88425971259844849</v>
      </c>
      <c r="AH1672" s="127">
        <f t="shared" si="33"/>
        <v>-1.1102230246251565E-16</v>
      </c>
    </row>
    <row r="1673" spans="30:34" x14ac:dyDescent="0.2">
      <c r="AD1673" s="13" t="s">
        <v>85</v>
      </c>
      <c r="AE1673" s="126">
        <f>_xll.qlCalendarAdvance(Calendar,AE1672,AD1673,BizDayConv)</f>
        <v>47766</v>
      </c>
      <c r="AF1673" s="125">
        <f>_xll.qlYieldTSDiscount($C$31,AE1673)</f>
        <v>0.8839499744743039</v>
      </c>
      <c r="AG1673" s="125">
        <f>_xll.xlShmInterpDisc(CurveName&amp;T($C$26),AE1673)</f>
        <v>0.88394997447430401</v>
      </c>
      <c r="AH1673" s="127">
        <f t="shared" si="33"/>
        <v>-1.1102230246251565E-16</v>
      </c>
    </row>
    <row r="1674" spans="30:34" x14ac:dyDescent="0.2">
      <c r="AD1674" s="13" t="s">
        <v>85</v>
      </c>
      <c r="AE1674" s="126">
        <f>_xll.qlCalendarAdvance(Calendar,AE1673,AD1674,BizDayConv)</f>
        <v>47773</v>
      </c>
      <c r="AF1674" s="125">
        <f>_xll.qlYieldTSDiscount($C$31,AE1674)</f>
        <v>0.88364041934591353</v>
      </c>
      <c r="AG1674" s="125">
        <f>_xll.xlShmInterpDisc(CurveName&amp;T($C$26),AE1674)</f>
        <v>0.88364041934591353</v>
      </c>
      <c r="AH1674" s="127">
        <f t="shared" si="33"/>
        <v>0</v>
      </c>
    </row>
    <row r="1675" spans="30:34" x14ac:dyDescent="0.2">
      <c r="AD1675" s="13" t="s">
        <v>85</v>
      </c>
      <c r="AE1675" s="126">
        <f>_xll.qlCalendarAdvance(Calendar,AE1674,AD1675,BizDayConv)</f>
        <v>47780</v>
      </c>
      <c r="AF1675" s="125">
        <f>_xll.qlYieldTSDiscount($C$31,AE1675)</f>
        <v>0.88333105126441536</v>
      </c>
      <c r="AG1675" s="125">
        <f>_xll.xlShmInterpDisc(CurveName&amp;T($C$26),AE1675)</f>
        <v>0.88333105126441536</v>
      </c>
      <c r="AH1675" s="127">
        <f t="shared" si="33"/>
        <v>0</v>
      </c>
    </row>
    <row r="1676" spans="30:34" x14ac:dyDescent="0.2">
      <c r="AD1676" s="13" t="s">
        <v>85</v>
      </c>
      <c r="AE1676" s="126">
        <f>_xll.qlCalendarAdvance(Calendar,AE1675,AD1676,BizDayConv)</f>
        <v>47787</v>
      </c>
      <c r="AF1676" s="125">
        <f>_xll.qlYieldTSDiscount($C$31,AE1676)</f>
        <v>0.88302187428642631</v>
      </c>
      <c r="AG1676" s="125">
        <f>_xll.xlShmInterpDisc(CurveName&amp;T($C$26),AE1676)</f>
        <v>0.88302187428642642</v>
      </c>
      <c r="AH1676" s="127">
        <f t="shared" si="33"/>
        <v>-1.1102230246251565E-16</v>
      </c>
    </row>
    <row r="1677" spans="30:34" x14ac:dyDescent="0.2">
      <c r="AD1677" s="13" t="s">
        <v>85</v>
      </c>
      <c r="AE1677" s="126">
        <f>_xll.qlCalendarAdvance(Calendar,AE1676,AD1677,BizDayConv)</f>
        <v>47794</v>
      </c>
      <c r="AF1677" s="125">
        <f>_xll.qlYieldTSDiscount($C$31,AE1677)</f>
        <v>0.88271289247403062</v>
      </c>
      <c r="AG1677" s="125">
        <f>_xll.xlShmInterpDisc(CurveName&amp;T($C$26),AE1677)</f>
        <v>0.88271289247403062</v>
      </c>
      <c r="AH1677" s="127">
        <f t="shared" si="33"/>
        <v>0</v>
      </c>
    </row>
    <row r="1678" spans="30:34" x14ac:dyDescent="0.2">
      <c r="AD1678" s="13" t="s">
        <v>85</v>
      </c>
      <c r="AE1678" s="126">
        <f>_xll.qlCalendarAdvance(Calendar,AE1677,AD1678,BizDayConv)</f>
        <v>47801</v>
      </c>
      <c r="AF1678" s="125">
        <f>_xll.qlYieldTSDiscount($C$31,AE1678)</f>
        <v>0.88240410989476914</v>
      </c>
      <c r="AG1678" s="125">
        <f>_xll.xlShmInterpDisc(CurveName&amp;T($C$26),AE1678)</f>
        <v>0.88240410989476914</v>
      </c>
      <c r="AH1678" s="127">
        <f t="shared" si="33"/>
        <v>0</v>
      </c>
    </row>
    <row r="1679" spans="30:34" x14ac:dyDescent="0.2">
      <c r="AD1679" s="13" t="s">
        <v>85</v>
      </c>
      <c r="AE1679" s="126">
        <f>_xll.qlCalendarAdvance(Calendar,AE1678,AD1679,BizDayConv)</f>
        <v>47808</v>
      </c>
      <c r="AF1679" s="125">
        <f>_xll.qlYieldTSDiscount($C$31,AE1679)</f>
        <v>0.88209553062162993</v>
      </c>
      <c r="AG1679" s="125">
        <f>_xll.xlShmInterpDisc(CurveName&amp;T($C$26),AE1679)</f>
        <v>0.88209553062162993</v>
      </c>
      <c r="AH1679" s="127">
        <f t="shared" si="33"/>
        <v>0</v>
      </c>
    </row>
    <row r="1680" spans="30:34" x14ac:dyDescent="0.2">
      <c r="AD1680" s="13" t="s">
        <v>85</v>
      </c>
      <c r="AE1680" s="126">
        <f>_xll.qlCalendarAdvance(Calendar,AE1679,AD1680,BizDayConv)</f>
        <v>47815</v>
      </c>
      <c r="AF1680" s="125">
        <f>_xll.qlYieldTSDiscount($C$31,AE1680)</f>
        <v>0.88178715873303692</v>
      </c>
      <c r="AG1680" s="125">
        <f>_xll.xlShmInterpDisc(CurveName&amp;T($C$26),AE1680)</f>
        <v>0.88178715873303692</v>
      </c>
      <c r="AH1680" s="127">
        <f t="shared" si="33"/>
        <v>0</v>
      </c>
    </row>
    <row r="1681" spans="30:34" x14ac:dyDescent="0.2">
      <c r="AD1681" s="13" t="s">
        <v>85</v>
      </c>
      <c r="AE1681" s="126">
        <f>_xll.qlCalendarAdvance(Calendar,AE1680,AD1681,BizDayConv)</f>
        <v>47822</v>
      </c>
      <c r="AF1681" s="125">
        <f>_xll.qlYieldTSDiscount($C$31,AE1681)</f>
        <v>0.88147899831284093</v>
      </c>
      <c r="AG1681" s="125">
        <f>_xll.xlShmInterpDisc(CurveName&amp;T($C$26),AE1681)</f>
        <v>0.88147899831284093</v>
      </c>
      <c r="AH1681" s="127">
        <f t="shared" si="33"/>
        <v>0</v>
      </c>
    </row>
    <row r="1682" spans="30:34" x14ac:dyDescent="0.2">
      <c r="AD1682" s="13" t="s">
        <v>85</v>
      </c>
      <c r="AE1682" s="126">
        <f>_xll.qlCalendarAdvance(Calendar,AE1681,AD1682,BizDayConv)</f>
        <v>47829</v>
      </c>
      <c r="AF1682" s="125">
        <f>_xll.qlYieldTSDiscount($C$31,AE1682)</f>
        <v>0.88117105345030955</v>
      </c>
      <c r="AG1682" s="125">
        <f>_xll.xlShmInterpDisc(CurveName&amp;T($C$26),AE1682)</f>
        <v>0.88117105345030955</v>
      </c>
      <c r="AH1682" s="127">
        <f t="shared" si="33"/>
        <v>0</v>
      </c>
    </row>
    <row r="1683" spans="30:34" x14ac:dyDescent="0.2">
      <c r="AD1683" s="13" t="s">
        <v>85</v>
      </c>
      <c r="AE1683" s="126">
        <f>_xll.qlCalendarAdvance(Calendar,AE1682,AD1683,BizDayConv)</f>
        <v>47836</v>
      </c>
      <c r="AF1683" s="125">
        <f>_xll.qlYieldTSDiscount($C$31,AE1683)</f>
        <v>0.88086332824011804</v>
      </c>
      <c r="AG1683" s="125">
        <f>_xll.xlShmInterpDisc(CurveName&amp;T($C$26),AE1683)</f>
        <v>0.88086332824011804</v>
      </c>
      <c r="AH1683" s="127">
        <f t="shared" si="33"/>
        <v>0</v>
      </c>
    </row>
    <row r="1684" spans="30:34" x14ac:dyDescent="0.2">
      <c r="AD1684" s="13" t="s">
        <v>85</v>
      </c>
      <c r="AE1684" s="126">
        <f>_xll.qlCalendarAdvance(Calendar,AE1683,AD1684,BizDayConv)</f>
        <v>47844</v>
      </c>
      <c r="AF1684" s="125">
        <f>_xll.qlYieldTSDiscount($C$31,AE1684)</f>
        <v>0.88051191650747818</v>
      </c>
      <c r="AG1684" s="125">
        <f>_xll.xlShmInterpDisc(CurveName&amp;T($C$26),AE1684)</f>
        <v>0.88051191650747818</v>
      </c>
      <c r="AH1684" s="127">
        <f t="shared" si="33"/>
        <v>0</v>
      </c>
    </row>
    <row r="1685" spans="30:34" x14ac:dyDescent="0.2">
      <c r="AD1685" s="13" t="s">
        <v>85</v>
      </c>
      <c r="AE1685" s="126">
        <f>_xll.qlCalendarAdvance(Calendar,AE1684,AD1685,BizDayConv)</f>
        <v>47851</v>
      </c>
      <c r="AF1685" s="125">
        <f>_xll.qlYieldTSDiscount($C$31,AE1685)</f>
        <v>0.88020467579415396</v>
      </c>
      <c r="AG1685" s="125">
        <f>_xll.xlShmInterpDisc(CurveName&amp;T($C$26),AE1685)</f>
        <v>0.88020467579415396</v>
      </c>
      <c r="AH1685" s="127">
        <f t="shared" si="33"/>
        <v>0</v>
      </c>
    </row>
    <row r="1686" spans="30:34" x14ac:dyDescent="0.2">
      <c r="AD1686" s="67"/>
      <c r="AE1686" s="129"/>
      <c r="AF1686" s="124"/>
      <c r="AG1686" s="124"/>
      <c r="AH1686" s="130"/>
    </row>
    <row r="1687" spans="30:34" x14ac:dyDescent="0.2">
      <c r="AD1687" s="8"/>
      <c r="AE1687" s="126"/>
      <c r="AF1687" s="125"/>
      <c r="AG1687" s="125"/>
      <c r="AH1687" s="128"/>
    </row>
    <row r="1688" spans="30:34" x14ac:dyDescent="0.2">
      <c r="AD1688" s="8"/>
      <c r="AE1688" s="126"/>
      <c r="AF1688" s="125"/>
      <c r="AG1688" s="125"/>
      <c r="AH1688" s="128"/>
    </row>
    <row r="1689" spans="30:34" x14ac:dyDescent="0.2">
      <c r="AD1689" s="8"/>
      <c r="AE1689" s="126"/>
      <c r="AF1689" s="125"/>
      <c r="AG1689" s="125"/>
      <c r="AH1689" s="128"/>
    </row>
    <row r="1690" spans="30:34" x14ac:dyDescent="0.2">
      <c r="AD1690" s="8"/>
      <c r="AE1690" s="126"/>
      <c r="AF1690" s="125"/>
      <c r="AG1690" s="125"/>
      <c r="AH1690" s="128"/>
    </row>
    <row r="1691" spans="30:34" x14ac:dyDescent="0.2">
      <c r="AD1691" s="8"/>
      <c r="AE1691" s="126"/>
      <c r="AF1691" s="125"/>
      <c r="AG1691" s="125"/>
      <c r="AH1691" s="128"/>
    </row>
    <row r="1692" spans="30:34" x14ac:dyDescent="0.2">
      <c r="AD1692" s="8"/>
      <c r="AE1692" s="126"/>
      <c r="AF1692" s="125"/>
      <c r="AG1692" s="125"/>
      <c r="AH1692" s="128"/>
    </row>
    <row r="1693" spans="30:34" x14ac:dyDescent="0.2">
      <c r="AD1693" s="8"/>
      <c r="AE1693" s="126"/>
      <c r="AF1693" s="125"/>
      <c r="AG1693" s="125"/>
      <c r="AH1693" s="128"/>
    </row>
    <row r="1694" spans="30:34" x14ac:dyDescent="0.2">
      <c r="AD1694" s="8"/>
      <c r="AE1694" s="126"/>
      <c r="AF1694" s="125"/>
      <c r="AG1694" s="125"/>
      <c r="AH1694" s="128"/>
    </row>
    <row r="1695" spans="30:34" x14ac:dyDescent="0.2">
      <c r="AD1695" s="8"/>
      <c r="AE1695" s="126"/>
      <c r="AF1695" s="125"/>
      <c r="AG1695" s="125"/>
      <c r="AH1695" s="128"/>
    </row>
    <row r="1696" spans="30:34" x14ac:dyDescent="0.2">
      <c r="AD1696" s="8"/>
      <c r="AE1696" s="126"/>
      <c r="AF1696" s="125"/>
      <c r="AG1696" s="125"/>
      <c r="AH1696" s="128"/>
    </row>
    <row r="1697" spans="30:34" x14ac:dyDescent="0.2">
      <c r="AD1697" s="8"/>
      <c r="AE1697" s="126"/>
      <c r="AF1697" s="125"/>
      <c r="AG1697" s="125"/>
      <c r="AH1697" s="128"/>
    </row>
    <row r="1698" spans="30:34" x14ac:dyDescent="0.2">
      <c r="AD1698" s="8"/>
      <c r="AE1698" s="126"/>
      <c r="AF1698" s="125"/>
      <c r="AG1698" s="125"/>
      <c r="AH1698" s="128"/>
    </row>
    <row r="1699" spans="30:34" x14ac:dyDescent="0.2">
      <c r="AD1699" s="8"/>
      <c r="AE1699" s="126"/>
      <c r="AF1699" s="125"/>
      <c r="AG1699" s="125"/>
      <c r="AH1699" s="128"/>
    </row>
    <row r="1700" spans="30:34" x14ac:dyDescent="0.2">
      <c r="AD1700" s="8"/>
      <c r="AE1700" s="126"/>
      <c r="AF1700" s="125"/>
      <c r="AG1700" s="125"/>
      <c r="AH1700" s="128"/>
    </row>
    <row r="1701" spans="30:34" x14ac:dyDescent="0.2">
      <c r="AD1701" s="8"/>
      <c r="AE1701" s="126"/>
      <c r="AF1701" s="125"/>
      <c r="AG1701" s="125"/>
      <c r="AH1701" s="128"/>
    </row>
    <row r="1702" spans="30:34" x14ac:dyDescent="0.2">
      <c r="AD1702" s="8"/>
      <c r="AE1702" s="126"/>
      <c r="AF1702" s="125"/>
      <c r="AG1702" s="125"/>
      <c r="AH1702" s="128"/>
    </row>
    <row r="1703" spans="30:34" x14ac:dyDescent="0.2">
      <c r="AD1703" s="8"/>
      <c r="AE1703" s="126"/>
      <c r="AF1703" s="125"/>
      <c r="AG1703" s="125"/>
      <c r="AH1703" s="128"/>
    </row>
    <row r="1704" spans="30:34" x14ac:dyDescent="0.2">
      <c r="AD1704" s="8"/>
      <c r="AE1704" s="126"/>
      <c r="AF1704" s="125"/>
      <c r="AG1704" s="125"/>
      <c r="AH1704" s="128"/>
    </row>
    <row r="1705" spans="30:34" x14ac:dyDescent="0.2">
      <c r="AD1705" s="8"/>
      <c r="AE1705" s="126"/>
      <c r="AF1705" s="125"/>
      <c r="AG1705" s="125"/>
      <c r="AH1705" s="128"/>
    </row>
    <row r="1706" spans="30:34" x14ac:dyDescent="0.2">
      <c r="AD1706" s="8"/>
      <c r="AE1706" s="126"/>
      <c r="AF1706" s="125"/>
      <c r="AG1706" s="125"/>
      <c r="AH1706" s="128"/>
    </row>
    <row r="1707" spans="30:34" x14ac:dyDescent="0.2">
      <c r="AD1707" s="8"/>
      <c r="AE1707" s="126"/>
      <c r="AF1707" s="125"/>
      <c r="AG1707" s="125"/>
      <c r="AH1707" s="128"/>
    </row>
    <row r="1708" spans="30:34" x14ac:dyDescent="0.2">
      <c r="AD1708" s="8"/>
      <c r="AE1708" s="126"/>
      <c r="AF1708" s="125"/>
      <c r="AG1708" s="125"/>
      <c r="AH1708" s="128"/>
    </row>
    <row r="1709" spans="30:34" x14ac:dyDescent="0.2">
      <c r="AD1709" s="8"/>
      <c r="AE1709" s="126"/>
      <c r="AF1709" s="125"/>
      <c r="AG1709" s="125"/>
      <c r="AH1709" s="128"/>
    </row>
    <row r="1710" spans="30:34" x14ac:dyDescent="0.2">
      <c r="AD1710" s="8"/>
      <c r="AE1710" s="126"/>
      <c r="AF1710" s="125"/>
      <c r="AG1710" s="125"/>
      <c r="AH1710" s="128"/>
    </row>
    <row r="1711" spans="30:34" x14ac:dyDescent="0.2">
      <c r="AD1711" s="8"/>
      <c r="AE1711" s="126"/>
      <c r="AF1711" s="125"/>
      <c r="AG1711" s="125"/>
      <c r="AH1711" s="128"/>
    </row>
    <row r="1712" spans="30:34" x14ac:dyDescent="0.2">
      <c r="AD1712" s="8"/>
      <c r="AE1712" s="126"/>
      <c r="AF1712" s="125"/>
      <c r="AG1712" s="125"/>
      <c r="AH1712" s="128"/>
    </row>
    <row r="1713" spans="30:34" x14ac:dyDescent="0.2">
      <c r="AD1713" s="8"/>
      <c r="AE1713" s="126"/>
      <c r="AF1713" s="125"/>
      <c r="AG1713" s="125"/>
      <c r="AH1713" s="128"/>
    </row>
    <row r="1714" spans="30:34" x14ac:dyDescent="0.2">
      <c r="AD1714" s="8"/>
      <c r="AE1714" s="126"/>
      <c r="AF1714" s="125"/>
      <c r="AG1714" s="125"/>
      <c r="AH1714" s="128"/>
    </row>
    <row r="1715" spans="30:34" x14ac:dyDescent="0.2">
      <c r="AD1715" s="8"/>
      <c r="AE1715" s="126"/>
      <c r="AF1715" s="125"/>
      <c r="AG1715" s="125"/>
      <c r="AH1715" s="128"/>
    </row>
    <row r="1716" spans="30:34" x14ac:dyDescent="0.2">
      <c r="AD1716" s="8"/>
      <c r="AE1716" s="126"/>
      <c r="AF1716" s="125"/>
      <c r="AG1716" s="125"/>
      <c r="AH1716" s="128"/>
    </row>
    <row r="1717" spans="30:34" x14ac:dyDescent="0.2">
      <c r="AD1717" s="8"/>
      <c r="AE1717" s="126"/>
      <c r="AF1717" s="125"/>
      <c r="AG1717" s="125"/>
      <c r="AH1717" s="128"/>
    </row>
    <row r="1718" spans="30:34" x14ac:dyDescent="0.2">
      <c r="AD1718" s="8"/>
      <c r="AE1718" s="126"/>
      <c r="AF1718" s="125"/>
      <c r="AG1718" s="125"/>
      <c r="AH1718" s="128"/>
    </row>
    <row r="1719" spans="30:34" x14ac:dyDescent="0.2">
      <c r="AD1719" s="8"/>
      <c r="AE1719" s="126"/>
      <c r="AF1719" s="125"/>
      <c r="AG1719" s="125"/>
      <c r="AH1719" s="128"/>
    </row>
    <row r="1720" spans="30:34" x14ac:dyDescent="0.2">
      <c r="AD1720" s="8"/>
      <c r="AE1720" s="126"/>
      <c r="AF1720" s="125"/>
      <c r="AG1720" s="125"/>
      <c r="AH1720" s="128"/>
    </row>
    <row r="1721" spans="30:34" x14ac:dyDescent="0.2">
      <c r="AD1721" s="8"/>
      <c r="AE1721" s="126"/>
      <c r="AF1721" s="125"/>
      <c r="AG1721" s="125"/>
      <c r="AH1721" s="128"/>
    </row>
    <row r="1722" spans="30:34" x14ac:dyDescent="0.2">
      <c r="AD1722" s="8"/>
      <c r="AE1722" s="126"/>
      <c r="AF1722" s="125"/>
      <c r="AG1722" s="125"/>
      <c r="AH1722" s="128"/>
    </row>
    <row r="1723" spans="30:34" x14ac:dyDescent="0.2">
      <c r="AD1723" s="8"/>
      <c r="AE1723" s="126"/>
      <c r="AF1723" s="125"/>
      <c r="AG1723" s="125"/>
      <c r="AH1723" s="128"/>
    </row>
    <row r="1724" spans="30:34" x14ac:dyDescent="0.2">
      <c r="AD1724" s="8"/>
      <c r="AE1724" s="126"/>
      <c r="AF1724" s="125"/>
      <c r="AG1724" s="125"/>
      <c r="AH1724" s="128"/>
    </row>
    <row r="1725" spans="30:34" x14ac:dyDescent="0.2">
      <c r="AD1725" s="8"/>
      <c r="AE1725" s="126"/>
      <c r="AF1725" s="125"/>
      <c r="AG1725" s="125"/>
      <c r="AH1725" s="128"/>
    </row>
    <row r="1726" spans="30:34" x14ac:dyDescent="0.2">
      <c r="AD1726" s="8"/>
      <c r="AE1726" s="126"/>
      <c r="AF1726" s="125"/>
      <c r="AG1726" s="125"/>
      <c r="AH1726" s="128"/>
    </row>
    <row r="1727" spans="30:34" x14ac:dyDescent="0.2">
      <c r="AD1727" s="8"/>
      <c r="AE1727" s="126"/>
      <c r="AF1727" s="125"/>
      <c r="AG1727" s="125"/>
      <c r="AH1727" s="128"/>
    </row>
    <row r="1728" spans="30:34" x14ac:dyDescent="0.2">
      <c r="AD1728" s="8"/>
      <c r="AE1728" s="126"/>
      <c r="AF1728" s="125"/>
      <c r="AG1728" s="125"/>
      <c r="AH1728" s="128"/>
    </row>
    <row r="1729" spans="30:34" x14ac:dyDescent="0.2">
      <c r="AD1729" s="8"/>
      <c r="AE1729" s="126"/>
      <c r="AF1729" s="125"/>
      <c r="AG1729" s="125"/>
      <c r="AH1729" s="128"/>
    </row>
    <row r="1730" spans="30:34" x14ac:dyDescent="0.2">
      <c r="AD1730" s="8"/>
      <c r="AE1730" s="126"/>
      <c r="AF1730" s="125"/>
      <c r="AG1730" s="125"/>
      <c r="AH1730" s="128"/>
    </row>
    <row r="1731" spans="30:34" x14ac:dyDescent="0.2">
      <c r="AD1731" s="8"/>
      <c r="AE1731" s="126"/>
      <c r="AF1731" s="125"/>
      <c r="AG1731" s="125"/>
      <c r="AH1731" s="128"/>
    </row>
    <row r="1732" spans="30:34" x14ac:dyDescent="0.2">
      <c r="AD1732" s="8"/>
      <c r="AE1732" s="126"/>
      <c r="AF1732" s="125"/>
      <c r="AG1732" s="125"/>
      <c r="AH1732" s="128"/>
    </row>
    <row r="1733" spans="30:34" x14ac:dyDescent="0.2">
      <c r="AD1733" s="8"/>
      <c r="AE1733" s="126"/>
      <c r="AF1733" s="125"/>
      <c r="AG1733" s="125"/>
      <c r="AH1733" s="128"/>
    </row>
    <row r="1734" spans="30:34" x14ac:dyDescent="0.2">
      <c r="AD1734" s="8"/>
      <c r="AE1734" s="126"/>
      <c r="AF1734" s="125"/>
      <c r="AG1734" s="125"/>
      <c r="AH1734" s="128"/>
    </row>
    <row r="1735" spans="30:34" x14ac:dyDescent="0.2">
      <c r="AD1735" s="8"/>
      <c r="AE1735" s="126"/>
      <c r="AF1735" s="125"/>
      <c r="AG1735" s="125"/>
      <c r="AH1735" s="128"/>
    </row>
    <row r="1736" spans="30:34" x14ac:dyDescent="0.2">
      <c r="AD1736" s="8"/>
      <c r="AE1736" s="126"/>
      <c r="AF1736" s="125"/>
      <c r="AG1736" s="125"/>
      <c r="AH1736" s="128"/>
    </row>
    <row r="1737" spans="30:34" x14ac:dyDescent="0.2">
      <c r="AD1737" s="8"/>
      <c r="AE1737" s="126"/>
      <c r="AF1737" s="125"/>
      <c r="AG1737" s="125"/>
      <c r="AH1737" s="128"/>
    </row>
    <row r="1738" spans="30:34" x14ac:dyDescent="0.2">
      <c r="AD1738" s="8"/>
      <c r="AE1738" s="126"/>
      <c r="AF1738" s="125"/>
      <c r="AG1738" s="125"/>
      <c r="AH1738" s="128"/>
    </row>
    <row r="1739" spans="30:34" x14ac:dyDescent="0.2">
      <c r="AD1739" s="8"/>
      <c r="AE1739" s="126"/>
      <c r="AF1739" s="125"/>
      <c r="AG1739" s="125"/>
      <c r="AH1739" s="128"/>
    </row>
    <row r="1740" spans="30:34" x14ac:dyDescent="0.2">
      <c r="AD1740" s="8"/>
      <c r="AE1740" s="126"/>
      <c r="AF1740" s="125"/>
      <c r="AG1740" s="125"/>
      <c r="AH1740" s="128"/>
    </row>
    <row r="1741" spans="30:34" x14ac:dyDescent="0.2">
      <c r="AD1741" s="8"/>
      <c r="AE1741" s="126"/>
      <c r="AF1741" s="125"/>
      <c r="AG1741" s="125"/>
      <c r="AH1741" s="128"/>
    </row>
    <row r="1742" spans="30:34" x14ac:dyDescent="0.2">
      <c r="AD1742" s="8"/>
      <c r="AE1742" s="126"/>
      <c r="AF1742" s="125"/>
      <c r="AG1742" s="125"/>
      <c r="AH1742" s="128"/>
    </row>
    <row r="1743" spans="30:34" x14ac:dyDescent="0.2">
      <c r="AD1743" s="8"/>
      <c r="AE1743" s="126"/>
      <c r="AF1743" s="125"/>
      <c r="AG1743" s="125"/>
      <c r="AH1743" s="128"/>
    </row>
    <row r="1744" spans="30:34" x14ac:dyDescent="0.2">
      <c r="AD1744" s="8"/>
      <c r="AE1744" s="126"/>
      <c r="AF1744" s="125"/>
      <c r="AG1744" s="125"/>
      <c r="AH1744" s="128"/>
    </row>
    <row r="1745" spans="30:34" x14ac:dyDescent="0.2">
      <c r="AD1745" s="8"/>
      <c r="AE1745" s="126"/>
      <c r="AF1745" s="125"/>
      <c r="AG1745" s="125"/>
      <c r="AH1745" s="128"/>
    </row>
    <row r="1746" spans="30:34" x14ac:dyDescent="0.2">
      <c r="AD1746" s="8"/>
      <c r="AE1746" s="126"/>
      <c r="AF1746" s="125"/>
      <c r="AG1746" s="125"/>
      <c r="AH1746" s="128"/>
    </row>
    <row r="1747" spans="30:34" x14ac:dyDescent="0.2">
      <c r="AD1747" s="8"/>
      <c r="AE1747" s="126"/>
      <c r="AF1747" s="125"/>
      <c r="AG1747" s="125"/>
      <c r="AH1747" s="128"/>
    </row>
    <row r="1748" spans="30:34" x14ac:dyDescent="0.2">
      <c r="AD1748" s="8"/>
      <c r="AE1748" s="126"/>
      <c r="AF1748" s="125"/>
      <c r="AG1748" s="125"/>
      <c r="AH1748" s="128"/>
    </row>
    <row r="1749" spans="30:34" x14ac:dyDescent="0.2">
      <c r="AD1749" s="8"/>
      <c r="AE1749" s="126"/>
      <c r="AF1749" s="125"/>
      <c r="AG1749" s="125"/>
      <c r="AH1749" s="128"/>
    </row>
    <row r="1750" spans="30:34" x14ac:dyDescent="0.2">
      <c r="AD1750" s="8"/>
      <c r="AE1750" s="126"/>
      <c r="AF1750" s="125"/>
      <c r="AG1750" s="125"/>
      <c r="AH1750" s="128"/>
    </row>
    <row r="1751" spans="30:34" x14ac:dyDescent="0.2">
      <c r="AD1751" s="8"/>
      <c r="AE1751" s="126"/>
      <c r="AF1751" s="125"/>
      <c r="AG1751" s="125"/>
      <c r="AH1751" s="128"/>
    </row>
    <row r="1752" spans="30:34" x14ac:dyDescent="0.2">
      <c r="AD1752" s="8"/>
      <c r="AE1752" s="126"/>
      <c r="AF1752" s="125"/>
      <c r="AG1752" s="125"/>
      <c r="AH1752" s="128"/>
    </row>
    <row r="1753" spans="30:34" x14ac:dyDescent="0.2">
      <c r="AD1753" s="8"/>
      <c r="AE1753" s="126"/>
      <c r="AF1753" s="125"/>
      <c r="AG1753" s="125"/>
      <c r="AH1753" s="128"/>
    </row>
    <row r="1754" spans="30:34" x14ac:dyDescent="0.2">
      <c r="AD1754" s="8"/>
      <c r="AE1754" s="126"/>
      <c r="AF1754" s="125"/>
      <c r="AG1754" s="125"/>
      <c r="AH1754" s="128"/>
    </row>
    <row r="1755" spans="30:34" x14ac:dyDescent="0.2">
      <c r="AD1755" s="8"/>
      <c r="AE1755" s="126"/>
      <c r="AF1755" s="125"/>
      <c r="AG1755" s="125"/>
      <c r="AH1755" s="128"/>
    </row>
    <row r="1756" spans="30:34" x14ac:dyDescent="0.2">
      <c r="AD1756" s="8"/>
      <c r="AE1756" s="126"/>
      <c r="AF1756" s="125"/>
      <c r="AG1756" s="125"/>
      <c r="AH1756" s="128"/>
    </row>
    <row r="1757" spans="30:34" x14ac:dyDescent="0.2">
      <c r="AD1757" s="8"/>
      <c r="AE1757" s="126"/>
      <c r="AF1757" s="125"/>
      <c r="AG1757" s="125"/>
      <c r="AH1757" s="128"/>
    </row>
    <row r="1758" spans="30:34" x14ac:dyDescent="0.2">
      <c r="AD1758" s="8"/>
      <c r="AE1758" s="126"/>
      <c r="AF1758" s="125"/>
      <c r="AG1758" s="125"/>
      <c r="AH1758" s="128"/>
    </row>
    <row r="1759" spans="30:34" x14ac:dyDescent="0.2">
      <c r="AD1759" s="8"/>
      <c r="AE1759" s="126"/>
      <c r="AF1759" s="125"/>
      <c r="AG1759" s="125"/>
      <c r="AH1759" s="128"/>
    </row>
    <row r="1760" spans="30:34" x14ac:dyDescent="0.2">
      <c r="AD1760" s="8"/>
      <c r="AE1760" s="126"/>
      <c r="AF1760" s="125"/>
      <c r="AG1760" s="125"/>
      <c r="AH1760" s="128"/>
    </row>
    <row r="1761" spans="30:34" x14ac:dyDescent="0.2">
      <c r="AD1761" s="8"/>
      <c r="AE1761" s="126"/>
      <c r="AF1761" s="125"/>
      <c r="AG1761" s="125"/>
      <c r="AH1761" s="128"/>
    </row>
    <row r="1762" spans="30:34" x14ac:dyDescent="0.2">
      <c r="AD1762" s="8"/>
      <c r="AE1762" s="126"/>
      <c r="AF1762" s="125"/>
      <c r="AG1762" s="125"/>
      <c r="AH1762" s="128"/>
    </row>
    <row r="1763" spans="30:34" x14ac:dyDescent="0.2">
      <c r="AD1763" s="8"/>
      <c r="AE1763" s="126"/>
      <c r="AF1763" s="125"/>
      <c r="AG1763" s="125"/>
      <c r="AH1763" s="128"/>
    </row>
    <row r="1764" spans="30:34" x14ac:dyDescent="0.2">
      <c r="AD1764" s="8"/>
      <c r="AE1764" s="126"/>
      <c r="AF1764" s="125"/>
      <c r="AG1764" s="125"/>
      <c r="AH1764" s="128"/>
    </row>
    <row r="1765" spans="30:34" x14ac:dyDescent="0.2">
      <c r="AD1765" s="8"/>
      <c r="AE1765" s="126"/>
      <c r="AF1765" s="125"/>
      <c r="AG1765" s="125"/>
      <c r="AH1765" s="128"/>
    </row>
    <row r="1766" spans="30:34" x14ac:dyDescent="0.2">
      <c r="AD1766" s="8"/>
      <c r="AE1766" s="126"/>
      <c r="AF1766" s="125"/>
      <c r="AG1766" s="125"/>
      <c r="AH1766" s="128"/>
    </row>
    <row r="1767" spans="30:34" x14ac:dyDescent="0.2">
      <c r="AD1767" s="8"/>
      <c r="AE1767" s="126"/>
      <c r="AF1767" s="125"/>
      <c r="AG1767" s="125"/>
      <c r="AH1767" s="128"/>
    </row>
    <row r="1768" spans="30:34" x14ac:dyDescent="0.2">
      <c r="AD1768" s="8"/>
      <c r="AE1768" s="126"/>
      <c r="AF1768" s="125"/>
      <c r="AG1768" s="125"/>
      <c r="AH1768" s="128"/>
    </row>
    <row r="1769" spans="30:34" x14ac:dyDescent="0.2">
      <c r="AD1769" s="8"/>
      <c r="AE1769" s="126"/>
      <c r="AF1769" s="125"/>
      <c r="AG1769" s="125"/>
      <c r="AH1769" s="128"/>
    </row>
    <row r="1770" spans="30:34" x14ac:dyDescent="0.2">
      <c r="AD1770" s="8"/>
      <c r="AE1770" s="126"/>
      <c r="AF1770" s="125"/>
      <c r="AG1770" s="125"/>
      <c r="AH1770" s="128"/>
    </row>
    <row r="1771" spans="30:34" x14ac:dyDescent="0.2">
      <c r="AD1771" s="8"/>
      <c r="AE1771" s="126"/>
      <c r="AF1771" s="125"/>
      <c r="AG1771" s="125"/>
      <c r="AH1771" s="128"/>
    </row>
    <row r="1772" spans="30:34" x14ac:dyDescent="0.2">
      <c r="AD1772" s="8"/>
      <c r="AE1772" s="126"/>
      <c r="AF1772" s="125"/>
      <c r="AG1772" s="125"/>
      <c r="AH1772" s="128"/>
    </row>
    <row r="1773" spans="30:34" x14ac:dyDescent="0.2">
      <c r="AD1773" s="8"/>
      <c r="AE1773" s="126"/>
      <c r="AF1773" s="125"/>
      <c r="AG1773" s="125"/>
      <c r="AH1773" s="128"/>
    </row>
    <row r="1774" spans="30:34" x14ac:dyDescent="0.2">
      <c r="AD1774" s="8"/>
      <c r="AE1774" s="126"/>
      <c r="AF1774" s="125"/>
      <c r="AG1774" s="125"/>
      <c r="AH1774" s="128"/>
    </row>
    <row r="1775" spans="30:34" x14ac:dyDescent="0.2">
      <c r="AD1775" s="8"/>
      <c r="AE1775" s="126"/>
      <c r="AF1775" s="125"/>
      <c r="AG1775" s="125"/>
      <c r="AH1775" s="128"/>
    </row>
    <row r="1776" spans="30:34" x14ac:dyDescent="0.2">
      <c r="AD1776" s="8"/>
      <c r="AE1776" s="126"/>
      <c r="AF1776" s="125"/>
      <c r="AG1776" s="125"/>
      <c r="AH1776" s="128"/>
    </row>
    <row r="1777" spans="30:34" x14ac:dyDescent="0.2">
      <c r="AD1777" s="8"/>
      <c r="AE1777" s="126"/>
      <c r="AF1777" s="125"/>
      <c r="AG1777" s="125"/>
      <c r="AH1777" s="128"/>
    </row>
    <row r="1778" spans="30:34" x14ac:dyDescent="0.2">
      <c r="AD1778" s="8"/>
      <c r="AE1778" s="126"/>
      <c r="AF1778" s="125"/>
      <c r="AG1778" s="125"/>
      <c r="AH1778" s="128"/>
    </row>
    <row r="1779" spans="30:34" x14ac:dyDescent="0.2">
      <c r="AD1779" s="8"/>
      <c r="AE1779" s="126"/>
      <c r="AF1779" s="125"/>
      <c r="AG1779" s="125"/>
      <c r="AH1779" s="128"/>
    </row>
    <row r="1780" spans="30:34" x14ac:dyDescent="0.2">
      <c r="AD1780" s="8"/>
      <c r="AE1780" s="126"/>
      <c r="AF1780" s="125"/>
      <c r="AG1780" s="125"/>
      <c r="AH1780" s="128"/>
    </row>
    <row r="1781" spans="30:34" x14ac:dyDescent="0.2">
      <c r="AD1781" s="8"/>
      <c r="AE1781" s="126"/>
      <c r="AF1781" s="125"/>
      <c r="AG1781" s="125"/>
      <c r="AH1781" s="128"/>
    </row>
    <row r="1782" spans="30:34" x14ac:dyDescent="0.2">
      <c r="AD1782" s="8"/>
      <c r="AE1782" s="126"/>
      <c r="AF1782" s="125"/>
      <c r="AG1782" s="125"/>
      <c r="AH1782" s="128"/>
    </row>
    <row r="1783" spans="30:34" x14ac:dyDescent="0.2">
      <c r="AD1783" s="8"/>
      <c r="AE1783" s="126"/>
      <c r="AF1783" s="125"/>
      <c r="AG1783" s="125"/>
      <c r="AH1783" s="128"/>
    </row>
    <row r="1784" spans="30:34" x14ac:dyDescent="0.2">
      <c r="AD1784" s="8"/>
      <c r="AE1784" s="126"/>
      <c r="AF1784" s="125"/>
      <c r="AG1784" s="125"/>
      <c r="AH1784" s="128"/>
    </row>
    <row r="1785" spans="30:34" x14ac:dyDescent="0.2">
      <c r="AD1785" s="8"/>
      <c r="AE1785" s="126"/>
      <c r="AF1785" s="125"/>
      <c r="AG1785" s="125"/>
      <c r="AH1785" s="128"/>
    </row>
    <row r="1786" spans="30:34" x14ac:dyDescent="0.2">
      <c r="AD1786" s="8"/>
      <c r="AE1786" s="126"/>
      <c r="AF1786" s="125"/>
      <c r="AG1786" s="125"/>
      <c r="AH1786" s="128"/>
    </row>
    <row r="1787" spans="30:34" x14ac:dyDescent="0.2">
      <c r="AD1787" s="8"/>
      <c r="AE1787" s="126"/>
      <c r="AF1787" s="125"/>
      <c r="AG1787" s="125"/>
      <c r="AH1787" s="128"/>
    </row>
    <row r="1788" spans="30:34" x14ac:dyDescent="0.2">
      <c r="AD1788" s="8"/>
      <c r="AE1788" s="126"/>
      <c r="AF1788" s="125"/>
      <c r="AG1788" s="125"/>
      <c r="AH1788" s="128"/>
    </row>
    <row r="1789" spans="30:34" x14ac:dyDescent="0.2">
      <c r="AD1789" s="8"/>
      <c r="AE1789" s="126"/>
      <c r="AF1789" s="125"/>
      <c r="AG1789" s="125"/>
      <c r="AH1789" s="128"/>
    </row>
    <row r="1790" spans="30:34" x14ac:dyDescent="0.2">
      <c r="AD1790" s="8"/>
      <c r="AE1790" s="126"/>
      <c r="AF1790" s="125"/>
      <c r="AG1790" s="125"/>
      <c r="AH1790" s="128"/>
    </row>
    <row r="1791" spans="30:34" x14ac:dyDescent="0.2">
      <c r="AD1791" s="8"/>
      <c r="AE1791" s="126"/>
      <c r="AF1791" s="125"/>
      <c r="AG1791" s="125"/>
      <c r="AH1791" s="128"/>
    </row>
    <row r="1792" spans="30:34" x14ac:dyDescent="0.2">
      <c r="AD1792" s="8"/>
      <c r="AE1792" s="126"/>
      <c r="AF1792" s="125"/>
      <c r="AG1792" s="125"/>
      <c r="AH1792" s="128"/>
    </row>
    <row r="1793" spans="30:34" x14ac:dyDescent="0.2">
      <c r="AD1793" s="8"/>
      <c r="AE1793" s="126"/>
      <c r="AF1793" s="125"/>
      <c r="AG1793" s="125"/>
      <c r="AH1793" s="128"/>
    </row>
    <row r="1794" spans="30:34" x14ac:dyDescent="0.2">
      <c r="AD1794" s="8"/>
      <c r="AE1794" s="126"/>
      <c r="AF1794" s="125"/>
      <c r="AG1794" s="125"/>
      <c r="AH1794" s="128"/>
    </row>
    <row r="1795" spans="30:34" x14ac:dyDescent="0.2">
      <c r="AD1795" s="8"/>
      <c r="AE1795" s="126"/>
      <c r="AF1795" s="125"/>
      <c r="AG1795" s="125"/>
      <c r="AH1795" s="128"/>
    </row>
    <row r="1796" spans="30:34" x14ac:dyDescent="0.2">
      <c r="AD1796" s="8"/>
      <c r="AE1796" s="126"/>
      <c r="AF1796" s="125"/>
      <c r="AG1796" s="125"/>
      <c r="AH1796" s="128"/>
    </row>
    <row r="1797" spans="30:34" x14ac:dyDescent="0.2">
      <c r="AD1797" s="8"/>
      <c r="AE1797" s="126"/>
      <c r="AF1797" s="125"/>
      <c r="AG1797" s="125"/>
      <c r="AH1797" s="128"/>
    </row>
    <row r="1798" spans="30:34" x14ac:dyDescent="0.2">
      <c r="AD1798" s="8"/>
      <c r="AE1798" s="126"/>
      <c r="AF1798" s="125"/>
      <c r="AG1798" s="125"/>
      <c r="AH1798" s="128"/>
    </row>
    <row r="1799" spans="30:34" x14ac:dyDescent="0.2">
      <c r="AD1799" s="8"/>
      <c r="AE1799" s="126"/>
      <c r="AF1799" s="125"/>
      <c r="AG1799" s="125"/>
      <c r="AH1799" s="128"/>
    </row>
    <row r="1800" spans="30:34" x14ac:dyDescent="0.2">
      <c r="AD1800" s="8"/>
      <c r="AE1800" s="126"/>
      <c r="AF1800" s="125"/>
      <c r="AG1800" s="125"/>
      <c r="AH1800" s="128"/>
    </row>
    <row r="1801" spans="30:34" x14ac:dyDescent="0.2">
      <c r="AD1801" s="8"/>
      <c r="AE1801" s="126"/>
      <c r="AF1801" s="125"/>
      <c r="AG1801" s="125"/>
      <c r="AH1801" s="128"/>
    </row>
    <row r="1802" spans="30:34" x14ac:dyDescent="0.2">
      <c r="AD1802" s="8"/>
      <c r="AE1802" s="126"/>
      <c r="AF1802" s="125"/>
      <c r="AG1802" s="125"/>
      <c r="AH1802" s="128"/>
    </row>
    <row r="1803" spans="30:34" x14ac:dyDescent="0.2">
      <c r="AD1803" s="8"/>
      <c r="AE1803" s="126"/>
      <c r="AF1803" s="125"/>
      <c r="AG1803" s="125"/>
      <c r="AH1803" s="128"/>
    </row>
    <row r="1804" spans="30:34" x14ac:dyDescent="0.2">
      <c r="AD1804" s="8"/>
      <c r="AE1804" s="126"/>
      <c r="AF1804" s="125"/>
      <c r="AG1804" s="125"/>
      <c r="AH1804" s="128"/>
    </row>
    <row r="1805" spans="30:34" x14ac:dyDescent="0.2">
      <c r="AD1805" s="8"/>
      <c r="AE1805" s="126"/>
      <c r="AF1805" s="125"/>
      <c r="AG1805" s="125"/>
      <c r="AH1805" s="128"/>
    </row>
    <row r="1806" spans="30:34" x14ac:dyDescent="0.2">
      <c r="AD1806" s="8"/>
      <c r="AE1806" s="126"/>
      <c r="AF1806" s="125"/>
      <c r="AG1806" s="125"/>
      <c r="AH1806" s="128"/>
    </row>
    <row r="1807" spans="30:34" x14ac:dyDescent="0.2">
      <c r="AD1807" s="8"/>
      <c r="AE1807" s="126"/>
      <c r="AF1807" s="125"/>
      <c r="AG1807" s="125"/>
      <c r="AH1807" s="128"/>
    </row>
    <row r="1808" spans="30:34" x14ac:dyDescent="0.2">
      <c r="AD1808" s="8"/>
      <c r="AE1808" s="126"/>
      <c r="AF1808" s="125"/>
      <c r="AG1808" s="125"/>
      <c r="AH1808" s="128"/>
    </row>
    <row r="1809" spans="30:34" x14ac:dyDescent="0.2">
      <c r="AD1809" s="8"/>
      <c r="AE1809" s="126"/>
      <c r="AF1809" s="125"/>
      <c r="AG1809" s="125"/>
      <c r="AH1809" s="128"/>
    </row>
    <row r="1810" spans="30:34" x14ac:dyDescent="0.2">
      <c r="AD1810" s="8"/>
      <c r="AE1810" s="126"/>
      <c r="AF1810" s="125"/>
      <c r="AG1810" s="125"/>
      <c r="AH1810" s="128"/>
    </row>
    <row r="1811" spans="30:34" x14ac:dyDescent="0.2">
      <c r="AD1811" s="8"/>
      <c r="AE1811" s="126"/>
      <c r="AF1811" s="125"/>
      <c r="AG1811" s="125"/>
      <c r="AH1811" s="128"/>
    </row>
    <row r="1812" spans="30:34" x14ac:dyDescent="0.2">
      <c r="AD1812" s="8"/>
      <c r="AE1812" s="126"/>
      <c r="AF1812" s="125"/>
      <c r="AG1812" s="125"/>
      <c r="AH1812" s="128"/>
    </row>
    <row r="1813" spans="30:34" x14ac:dyDescent="0.2">
      <c r="AD1813" s="8"/>
      <c r="AE1813" s="126"/>
      <c r="AF1813" s="125"/>
      <c r="AG1813" s="125"/>
      <c r="AH1813" s="128"/>
    </row>
    <row r="1814" spans="30:34" x14ac:dyDescent="0.2">
      <c r="AD1814" s="8"/>
      <c r="AE1814" s="126"/>
      <c r="AF1814" s="125"/>
      <c r="AG1814" s="125"/>
      <c r="AH1814" s="128"/>
    </row>
    <row r="1815" spans="30:34" x14ac:dyDescent="0.2">
      <c r="AD1815" s="8"/>
      <c r="AE1815" s="126"/>
      <c r="AF1815" s="125"/>
      <c r="AG1815" s="125"/>
      <c r="AH1815" s="128"/>
    </row>
    <row r="1816" spans="30:34" x14ac:dyDescent="0.2">
      <c r="AD1816" s="8"/>
      <c r="AE1816" s="126"/>
      <c r="AF1816" s="125"/>
      <c r="AG1816" s="125"/>
      <c r="AH1816" s="128"/>
    </row>
    <row r="1817" spans="30:34" x14ac:dyDescent="0.2">
      <c r="AD1817" s="8"/>
      <c r="AE1817" s="126"/>
      <c r="AF1817" s="125"/>
      <c r="AG1817" s="125"/>
      <c r="AH1817" s="128"/>
    </row>
    <row r="1818" spans="30:34" x14ac:dyDescent="0.2">
      <c r="AD1818" s="8"/>
      <c r="AE1818" s="126"/>
      <c r="AF1818" s="125"/>
      <c r="AG1818" s="125"/>
      <c r="AH1818" s="128"/>
    </row>
    <row r="1819" spans="30:34" x14ac:dyDescent="0.2">
      <c r="AD1819" s="8"/>
      <c r="AE1819" s="126"/>
      <c r="AF1819" s="125"/>
      <c r="AG1819" s="125"/>
      <c r="AH1819" s="128"/>
    </row>
    <row r="1820" spans="30:34" x14ac:dyDescent="0.2">
      <c r="AD1820" s="8"/>
      <c r="AE1820" s="126"/>
      <c r="AF1820" s="125"/>
      <c r="AG1820" s="125"/>
      <c r="AH1820" s="128"/>
    </row>
    <row r="1821" spans="30:34" x14ac:dyDescent="0.2">
      <c r="AD1821" s="8"/>
      <c r="AE1821" s="126"/>
      <c r="AF1821" s="125"/>
      <c r="AG1821" s="125"/>
      <c r="AH1821" s="128"/>
    </row>
    <row r="1822" spans="30:34" x14ac:dyDescent="0.2">
      <c r="AD1822" s="8"/>
      <c r="AE1822" s="126"/>
      <c r="AF1822" s="125"/>
      <c r="AG1822" s="125"/>
      <c r="AH1822" s="128"/>
    </row>
    <row r="1823" spans="30:34" x14ac:dyDescent="0.2">
      <c r="AD1823" s="8"/>
      <c r="AE1823" s="126"/>
      <c r="AF1823" s="125"/>
      <c r="AG1823" s="125"/>
      <c r="AH1823" s="128"/>
    </row>
    <row r="1824" spans="30:34" x14ac:dyDescent="0.2">
      <c r="AD1824" s="8"/>
      <c r="AE1824" s="126"/>
      <c r="AF1824" s="125"/>
      <c r="AG1824" s="125"/>
      <c r="AH1824" s="128"/>
    </row>
    <row r="1825" spans="30:34" x14ac:dyDescent="0.2">
      <c r="AD1825" s="8"/>
      <c r="AE1825" s="126"/>
      <c r="AF1825" s="125"/>
      <c r="AG1825" s="125"/>
      <c r="AH1825" s="128"/>
    </row>
    <row r="1826" spans="30:34" x14ac:dyDescent="0.2">
      <c r="AD1826" s="8"/>
      <c r="AE1826" s="126"/>
      <c r="AF1826" s="125"/>
      <c r="AG1826" s="125"/>
      <c r="AH1826" s="128"/>
    </row>
    <row r="1827" spans="30:34" x14ac:dyDescent="0.2">
      <c r="AD1827" s="8"/>
      <c r="AE1827" s="126"/>
      <c r="AF1827" s="125"/>
      <c r="AG1827" s="125"/>
      <c r="AH1827" s="128"/>
    </row>
    <row r="1828" spans="30:34" x14ac:dyDescent="0.2">
      <c r="AD1828" s="8"/>
      <c r="AE1828" s="126"/>
      <c r="AF1828" s="125"/>
      <c r="AG1828" s="125"/>
      <c r="AH1828" s="128"/>
    </row>
    <row r="1829" spans="30:34" x14ac:dyDescent="0.2">
      <c r="AD1829" s="8"/>
      <c r="AE1829" s="126"/>
      <c r="AF1829" s="125"/>
      <c r="AG1829" s="125"/>
      <c r="AH1829" s="128"/>
    </row>
    <row r="1830" spans="30:34" x14ac:dyDescent="0.2">
      <c r="AD1830" s="8"/>
      <c r="AE1830" s="126"/>
      <c r="AF1830" s="125"/>
      <c r="AG1830" s="125"/>
      <c r="AH1830" s="128"/>
    </row>
    <row r="1831" spans="30:34" x14ac:dyDescent="0.2">
      <c r="AD1831" s="8"/>
      <c r="AE1831" s="126"/>
      <c r="AF1831" s="125"/>
      <c r="AG1831" s="125"/>
      <c r="AH1831" s="128"/>
    </row>
    <row r="1832" spans="30:34" x14ac:dyDescent="0.2">
      <c r="AD1832" s="8"/>
      <c r="AE1832" s="126"/>
      <c r="AF1832" s="125"/>
      <c r="AG1832" s="125"/>
      <c r="AH1832" s="128"/>
    </row>
    <row r="1833" spans="30:34" x14ac:dyDescent="0.2">
      <c r="AD1833" s="8"/>
      <c r="AE1833" s="126"/>
      <c r="AF1833" s="125"/>
      <c r="AG1833" s="125"/>
      <c r="AH1833" s="128"/>
    </row>
    <row r="1834" spans="30:34" x14ac:dyDescent="0.2">
      <c r="AD1834" s="8"/>
      <c r="AE1834" s="126"/>
      <c r="AF1834" s="125"/>
      <c r="AG1834" s="125"/>
      <c r="AH1834" s="128"/>
    </row>
    <row r="1835" spans="30:34" x14ac:dyDescent="0.2">
      <c r="AD1835" s="8"/>
      <c r="AE1835" s="126"/>
      <c r="AF1835" s="125"/>
      <c r="AG1835" s="125"/>
      <c r="AH1835" s="128"/>
    </row>
    <row r="1836" spans="30:34" x14ac:dyDescent="0.2">
      <c r="AD1836" s="8"/>
      <c r="AE1836" s="126"/>
      <c r="AF1836" s="125"/>
      <c r="AG1836" s="125"/>
      <c r="AH1836" s="128"/>
    </row>
    <row r="1837" spans="30:34" x14ac:dyDescent="0.2">
      <c r="AD1837" s="8"/>
      <c r="AE1837" s="126"/>
      <c r="AF1837" s="125"/>
      <c r="AG1837" s="125"/>
      <c r="AH1837" s="128"/>
    </row>
    <row r="1838" spans="30:34" x14ac:dyDescent="0.2">
      <c r="AD1838" s="8"/>
      <c r="AE1838" s="126"/>
      <c r="AF1838" s="125"/>
      <c r="AG1838" s="125"/>
      <c r="AH1838" s="128"/>
    </row>
    <row r="1839" spans="30:34" x14ac:dyDescent="0.2">
      <c r="AD1839" s="8"/>
      <c r="AE1839" s="126"/>
      <c r="AF1839" s="125"/>
      <c r="AG1839" s="125"/>
      <c r="AH1839" s="128"/>
    </row>
    <row r="1840" spans="30:34" x14ac:dyDescent="0.2">
      <c r="AD1840" s="8"/>
      <c r="AE1840" s="126"/>
      <c r="AF1840" s="125"/>
      <c r="AG1840" s="125"/>
      <c r="AH1840" s="128"/>
    </row>
    <row r="1841" spans="30:34" x14ac:dyDescent="0.2">
      <c r="AD1841" s="8"/>
      <c r="AE1841" s="126"/>
      <c r="AF1841" s="125"/>
      <c r="AG1841" s="125"/>
      <c r="AH1841" s="128"/>
    </row>
    <row r="1842" spans="30:34" x14ac:dyDescent="0.2">
      <c r="AD1842" s="8"/>
      <c r="AE1842" s="126"/>
      <c r="AF1842" s="125"/>
      <c r="AG1842" s="125"/>
      <c r="AH1842" s="128"/>
    </row>
    <row r="1843" spans="30:34" x14ac:dyDescent="0.2">
      <c r="AD1843" s="8"/>
      <c r="AE1843" s="126"/>
      <c r="AF1843" s="125"/>
      <c r="AG1843" s="125"/>
      <c r="AH1843" s="128"/>
    </row>
    <row r="1844" spans="30:34" x14ac:dyDescent="0.2">
      <c r="AD1844" s="8"/>
      <c r="AE1844" s="126"/>
      <c r="AF1844" s="125"/>
      <c r="AG1844" s="125"/>
      <c r="AH1844" s="128"/>
    </row>
    <row r="1845" spans="30:34" x14ac:dyDescent="0.2">
      <c r="AD1845" s="8"/>
      <c r="AE1845" s="126"/>
      <c r="AF1845" s="125"/>
      <c r="AG1845" s="125"/>
      <c r="AH1845" s="128"/>
    </row>
    <row r="1846" spans="30:34" x14ac:dyDescent="0.2">
      <c r="AD1846" s="8"/>
      <c r="AE1846" s="126"/>
      <c r="AF1846" s="125"/>
      <c r="AG1846" s="125"/>
      <c r="AH1846" s="128"/>
    </row>
    <row r="1847" spans="30:34" x14ac:dyDescent="0.2">
      <c r="AD1847" s="8"/>
      <c r="AE1847" s="126"/>
      <c r="AF1847" s="125"/>
      <c r="AG1847" s="125"/>
      <c r="AH1847" s="128"/>
    </row>
    <row r="1848" spans="30:34" x14ac:dyDescent="0.2">
      <c r="AD1848" s="8"/>
      <c r="AE1848" s="126"/>
      <c r="AF1848" s="125"/>
      <c r="AG1848" s="125"/>
      <c r="AH1848" s="128"/>
    </row>
    <row r="1849" spans="30:34" x14ac:dyDescent="0.2">
      <c r="AD1849" s="8"/>
      <c r="AE1849" s="126"/>
      <c r="AF1849" s="125"/>
      <c r="AG1849" s="125"/>
      <c r="AH1849" s="128"/>
    </row>
    <row r="1850" spans="30:34" x14ac:dyDescent="0.2">
      <c r="AD1850" s="8"/>
      <c r="AE1850" s="126"/>
      <c r="AF1850" s="125"/>
      <c r="AG1850" s="125"/>
      <c r="AH1850" s="128"/>
    </row>
    <row r="1851" spans="30:34" x14ac:dyDescent="0.2">
      <c r="AD1851" s="8"/>
      <c r="AE1851" s="126"/>
      <c r="AF1851" s="125"/>
      <c r="AG1851" s="125"/>
      <c r="AH1851" s="128"/>
    </row>
    <row r="1852" spans="30:34" x14ac:dyDescent="0.2">
      <c r="AD1852" s="8"/>
      <c r="AE1852" s="126"/>
      <c r="AF1852" s="125"/>
      <c r="AG1852" s="125"/>
      <c r="AH1852" s="128"/>
    </row>
    <row r="1853" spans="30:34" x14ac:dyDescent="0.2">
      <c r="AD1853" s="8"/>
      <c r="AE1853" s="126"/>
      <c r="AF1853" s="125"/>
      <c r="AG1853" s="125"/>
      <c r="AH1853" s="128"/>
    </row>
    <row r="1854" spans="30:34" x14ac:dyDescent="0.2">
      <c r="AD1854" s="8"/>
      <c r="AE1854" s="126"/>
      <c r="AF1854" s="125"/>
      <c r="AG1854" s="125"/>
      <c r="AH1854" s="128"/>
    </row>
    <row r="1855" spans="30:34" x14ac:dyDescent="0.2">
      <c r="AD1855" s="8"/>
      <c r="AE1855" s="126"/>
      <c r="AF1855" s="125"/>
      <c r="AG1855" s="125"/>
      <c r="AH1855" s="128"/>
    </row>
    <row r="1856" spans="30:34" x14ac:dyDescent="0.2">
      <c r="AD1856" s="8"/>
      <c r="AE1856" s="126"/>
      <c r="AF1856" s="125"/>
      <c r="AG1856" s="125"/>
      <c r="AH1856" s="128"/>
    </row>
    <row r="1857" spans="30:34" x14ac:dyDescent="0.2">
      <c r="AD1857" s="8"/>
      <c r="AE1857" s="126"/>
      <c r="AF1857" s="125"/>
      <c r="AG1857" s="125"/>
      <c r="AH1857" s="128"/>
    </row>
    <row r="1858" spans="30:34" x14ac:dyDescent="0.2">
      <c r="AD1858" s="8"/>
      <c r="AE1858" s="126"/>
      <c r="AF1858" s="125"/>
      <c r="AG1858" s="125"/>
      <c r="AH1858" s="128"/>
    </row>
    <row r="1859" spans="30:34" x14ac:dyDescent="0.2">
      <c r="AD1859" s="8"/>
      <c r="AE1859" s="126"/>
      <c r="AF1859" s="125"/>
      <c r="AG1859" s="125"/>
      <c r="AH1859" s="128"/>
    </row>
    <row r="1860" spans="30:34" x14ac:dyDescent="0.2">
      <c r="AD1860" s="8"/>
      <c r="AE1860" s="126"/>
      <c r="AF1860" s="125"/>
      <c r="AG1860" s="125"/>
      <c r="AH1860" s="128"/>
    </row>
    <row r="1861" spans="30:34" x14ac:dyDescent="0.2">
      <c r="AD1861" s="8"/>
      <c r="AE1861" s="126"/>
      <c r="AF1861" s="125"/>
      <c r="AG1861" s="125"/>
      <c r="AH1861" s="128"/>
    </row>
    <row r="1862" spans="30:34" x14ac:dyDescent="0.2">
      <c r="AD1862" s="8"/>
      <c r="AE1862" s="126"/>
      <c r="AF1862" s="125"/>
      <c r="AG1862" s="125"/>
      <c r="AH1862" s="128"/>
    </row>
    <row r="1863" spans="30:34" x14ac:dyDescent="0.2">
      <c r="AD1863" s="8"/>
      <c r="AE1863" s="126"/>
      <c r="AF1863" s="125"/>
      <c r="AG1863" s="125"/>
      <c r="AH1863" s="128"/>
    </row>
    <row r="1864" spans="30:34" x14ac:dyDescent="0.2">
      <c r="AD1864" s="8"/>
      <c r="AE1864" s="126"/>
      <c r="AF1864" s="125"/>
      <c r="AG1864" s="125"/>
      <c r="AH1864" s="128"/>
    </row>
    <row r="1865" spans="30:34" x14ac:dyDescent="0.2">
      <c r="AD1865" s="8"/>
      <c r="AE1865" s="126"/>
      <c r="AF1865" s="125"/>
      <c r="AG1865" s="125"/>
      <c r="AH1865" s="128"/>
    </row>
    <row r="1866" spans="30:34" x14ac:dyDescent="0.2">
      <c r="AD1866" s="8"/>
      <c r="AE1866" s="126"/>
      <c r="AF1866" s="125"/>
      <c r="AG1866" s="125"/>
      <c r="AH1866" s="128"/>
    </row>
    <row r="1867" spans="30:34" x14ac:dyDescent="0.2">
      <c r="AD1867" s="8"/>
      <c r="AE1867" s="126"/>
      <c r="AF1867" s="125"/>
      <c r="AG1867" s="125"/>
      <c r="AH1867" s="128"/>
    </row>
    <row r="1868" spans="30:34" x14ac:dyDescent="0.2">
      <c r="AD1868" s="8"/>
      <c r="AE1868" s="126"/>
      <c r="AF1868" s="125"/>
      <c r="AG1868" s="125"/>
      <c r="AH1868" s="128"/>
    </row>
    <row r="1869" spans="30:34" x14ac:dyDescent="0.2">
      <c r="AD1869" s="8"/>
      <c r="AE1869" s="126"/>
      <c r="AF1869" s="125"/>
      <c r="AG1869" s="125"/>
      <c r="AH1869" s="128"/>
    </row>
    <row r="1870" spans="30:34" x14ac:dyDescent="0.2">
      <c r="AD1870" s="8"/>
      <c r="AE1870" s="126"/>
      <c r="AF1870" s="125"/>
      <c r="AG1870" s="125"/>
      <c r="AH1870" s="128"/>
    </row>
    <row r="1871" spans="30:34" x14ac:dyDescent="0.2">
      <c r="AD1871" s="8"/>
      <c r="AE1871" s="126"/>
      <c r="AF1871" s="125"/>
      <c r="AG1871" s="125"/>
      <c r="AH1871" s="128"/>
    </row>
    <row r="1872" spans="30:34" x14ac:dyDescent="0.2">
      <c r="AD1872" s="8"/>
      <c r="AE1872" s="126"/>
      <c r="AF1872" s="125"/>
      <c r="AG1872" s="125"/>
      <c r="AH1872" s="128"/>
    </row>
    <row r="1873" spans="30:34" x14ac:dyDescent="0.2">
      <c r="AD1873" s="8"/>
      <c r="AE1873" s="126"/>
      <c r="AF1873" s="125"/>
      <c r="AG1873" s="125"/>
      <c r="AH1873" s="128"/>
    </row>
    <row r="1874" spans="30:34" x14ac:dyDescent="0.2">
      <c r="AD1874" s="8"/>
      <c r="AE1874" s="126"/>
      <c r="AF1874" s="125"/>
      <c r="AG1874" s="125"/>
      <c r="AH1874" s="128"/>
    </row>
    <row r="1875" spans="30:34" x14ac:dyDescent="0.2">
      <c r="AD1875" s="8"/>
      <c r="AE1875" s="126"/>
      <c r="AF1875" s="125"/>
      <c r="AG1875" s="125"/>
      <c r="AH1875" s="128"/>
    </row>
    <row r="1876" spans="30:34" x14ac:dyDescent="0.2">
      <c r="AD1876" s="8"/>
      <c r="AE1876" s="126"/>
      <c r="AF1876" s="125"/>
      <c r="AG1876" s="125"/>
      <c r="AH1876" s="128"/>
    </row>
    <row r="1877" spans="30:34" x14ac:dyDescent="0.2">
      <c r="AD1877" s="8"/>
      <c r="AE1877" s="126"/>
      <c r="AF1877" s="125"/>
      <c r="AG1877" s="125"/>
      <c r="AH1877" s="128"/>
    </row>
    <row r="1878" spans="30:34" x14ac:dyDescent="0.2">
      <c r="AD1878" s="8"/>
      <c r="AE1878" s="126"/>
      <c r="AF1878" s="125"/>
      <c r="AG1878" s="125"/>
      <c r="AH1878" s="128"/>
    </row>
    <row r="1879" spans="30:34" x14ac:dyDescent="0.2">
      <c r="AD1879" s="8"/>
      <c r="AE1879" s="126"/>
      <c r="AF1879" s="125"/>
      <c r="AG1879" s="125"/>
      <c r="AH1879" s="128"/>
    </row>
    <row r="1880" spans="30:34" x14ac:dyDescent="0.2">
      <c r="AD1880" s="8"/>
      <c r="AE1880" s="126"/>
      <c r="AF1880" s="125"/>
      <c r="AG1880" s="125"/>
      <c r="AH1880" s="128"/>
    </row>
    <row r="1881" spans="30:34" x14ac:dyDescent="0.2">
      <c r="AD1881" s="8"/>
      <c r="AE1881" s="126"/>
      <c r="AF1881" s="125"/>
      <c r="AG1881" s="125"/>
      <c r="AH1881" s="128"/>
    </row>
    <row r="1882" spans="30:34" x14ac:dyDescent="0.2">
      <c r="AD1882" s="8"/>
      <c r="AE1882" s="126"/>
      <c r="AF1882" s="125"/>
      <c r="AG1882" s="125"/>
      <c r="AH1882" s="128"/>
    </row>
    <row r="1883" spans="30:34" x14ac:dyDescent="0.2">
      <c r="AD1883" s="8"/>
      <c r="AE1883" s="126"/>
      <c r="AF1883" s="125"/>
      <c r="AG1883" s="125"/>
      <c r="AH1883" s="128"/>
    </row>
    <row r="1884" spans="30:34" x14ac:dyDescent="0.2">
      <c r="AD1884" s="8"/>
      <c r="AE1884" s="126"/>
      <c r="AF1884" s="125"/>
      <c r="AG1884" s="125"/>
      <c r="AH1884" s="128"/>
    </row>
    <row r="1885" spans="30:34" x14ac:dyDescent="0.2">
      <c r="AD1885" s="8"/>
      <c r="AE1885" s="126"/>
      <c r="AF1885" s="125"/>
      <c r="AG1885" s="125"/>
      <c r="AH1885" s="128"/>
    </row>
    <row r="1886" spans="30:34" x14ac:dyDescent="0.2">
      <c r="AD1886" s="8"/>
      <c r="AE1886" s="126"/>
      <c r="AF1886" s="125"/>
      <c r="AG1886" s="125"/>
      <c r="AH1886" s="128"/>
    </row>
    <row r="1887" spans="30:34" x14ac:dyDescent="0.2">
      <c r="AD1887" s="8"/>
      <c r="AE1887" s="126"/>
      <c r="AF1887" s="125"/>
      <c r="AG1887" s="125"/>
      <c r="AH1887" s="128"/>
    </row>
    <row r="1888" spans="30:34" x14ac:dyDescent="0.2">
      <c r="AD1888" s="8"/>
      <c r="AE1888" s="126"/>
      <c r="AF1888" s="125"/>
      <c r="AG1888" s="125"/>
      <c r="AH1888" s="128"/>
    </row>
    <row r="1889" spans="30:34" x14ac:dyDescent="0.2">
      <c r="AD1889" s="8"/>
      <c r="AE1889" s="126"/>
      <c r="AF1889" s="125"/>
      <c r="AG1889" s="125"/>
      <c r="AH1889" s="128"/>
    </row>
    <row r="1890" spans="30:34" x14ac:dyDescent="0.2">
      <c r="AD1890" s="8"/>
      <c r="AE1890" s="126"/>
      <c r="AF1890" s="125"/>
      <c r="AG1890" s="125"/>
      <c r="AH1890" s="128"/>
    </row>
    <row r="1891" spans="30:34" x14ac:dyDescent="0.2">
      <c r="AD1891" s="8"/>
      <c r="AE1891" s="126"/>
      <c r="AF1891" s="125"/>
      <c r="AG1891" s="125"/>
      <c r="AH1891" s="128"/>
    </row>
    <row r="1892" spans="30:34" x14ac:dyDescent="0.2">
      <c r="AD1892" s="8"/>
      <c r="AE1892" s="126"/>
      <c r="AF1892" s="125"/>
      <c r="AG1892" s="125"/>
      <c r="AH1892" s="128"/>
    </row>
    <row r="1893" spans="30:34" x14ac:dyDescent="0.2">
      <c r="AD1893" s="8"/>
      <c r="AE1893" s="126"/>
      <c r="AF1893" s="125"/>
      <c r="AG1893" s="125"/>
      <c r="AH1893" s="128"/>
    </row>
    <row r="1894" spans="30:34" x14ac:dyDescent="0.2">
      <c r="AD1894" s="8"/>
      <c r="AE1894" s="126"/>
      <c r="AF1894" s="125"/>
      <c r="AG1894" s="125"/>
      <c r="AH1894" s="128"/>
    </row>
    <row r="1895" spans="30:34" x14ac:dyDescent="0.2">
      <c r="AD1895" s="8"/>
      <c r="AE1895" s="126"/>
      <c r="AF1895" s="125"/>
      <c r="AG1895" s="125"/>
      <c r="AH1895" s="128"/>
    </row>
    <row r="1896" spans="30:34" x14ac:dyDescent="0.2">
      <c r="AD1896" s="8"/>
      <c r="AE1896" s="126"/>
      <c r="AF1896" s="125"/>
      <c r="AG1896" s="125"/>
      <c r="AH1896" s="128"/>
    </row>
    <row r="1897" spans="30:34" x14ac:dyDescent="0.2">
      <c r="AD1897" s="8"/>
      <c r="AE1897" s="126"/>
      <c r="AF1897" s="125"/>
      <c r="AG1897" s="125"/>
      <c r="AH1897" s="128"/>
    </row>
    <row r="1898" spans="30:34" x14ac:dyDescent="0.2">
      <c r="AD1898" s="8"/>
      <c r="AE1898" s="126"/>
      <c r="AF1898" s="125"/>
      <c r="AG1898" s="125"/>
      <c r="AH1898" s="128"/>
    </row>
    <row r="1899" spans="30:34" x14ac:dyDescent="0.2">
      <c r="AD1899" s="8"/>
      <c r="AE1899" s="126"/>
      <c r="AF1899" s="125"/>
      <c r="AG1899" s="125"/>
      <c r="AH1899" s="128"/>
    </row>
    <row r="1900" spans="30:34" x14ac:dyDescent="0.2">
      <c r="AD1900" s="8"/>
      <c r="AE1900" s="126"/>
      <c r="AF1900" s="125"/>
      <c r="AG1900" s="125"/>
      <c r="AH1900" s="128"/>
    </row>
    <row r="1901" spans="30:34" x14ac:dyDescent="0.2">
      <c r="AD1901" s="8"/>
      <c r="AE1901" s="126"/>
      <c r="AF1901" s="125"/>
      <c r="AG1901" s="125"/>
      <c r="AH1901" s="128"/>
    </row>
    <row r="1902" spans="30:34" x14ac:dyDescent="0.2">
      <c r="AD1902" s="8"/>
      <c r="AE1902" s="126"/>
      <c r="AF1902" s="125"/>
      <c r="AG1902" s="125"/>
      <c r="AH1902" s="128"/>
    </row>
    <row r="1903" spans="30:34" x14ac:dyDescent="0.2">
      <c r="AD1903" s="8"/>
      <c r="AE1903" s="126"/>
      <c r="AF1903" s="125"/>
      <c r="AG1903" s="125"/>
      <c r="AH1903" s="128"/>
    </row>
    <row r="1904" spans="30:34" x14ac:dyDescent="0.2">
      <c r="AD1904" s="8"/>
      <c r="AE1904" s="126"/>
      <c r="AF1904" s="125"/>
      <c r="AG1904" s="125"/>
      <c r="AH1904" s="128"/>
    </row>
    <row r="1905" spans="30:34" x14ac:dyDescent="0.2">
      <c r="AD1905" s="8"/>
      <c r="AE1905" s="126"/>
      <c r="AF1905" s="125"/>
      <c r="AG1905" s="125"/>
      <c r="AH1905" s="128"/>
    </row>
    <row r="1906" spans="30:34" x14ac:dyDescent="0.2">
      <c r="AD1906" s="8"/>
      <c r="AE1906" s="126"/>
      <c r="AF1906" s="125"/>
      <c r="AG1906" s="125"/>
      <c r="AH1906" s="128"/>
    </row>
    <row r="1907" spans="30:34" x14ac:dyDescent="0.2">
      <c r="AD1907" s="8"/>
      <c r="AE1907" s="126"/>
      <c r="AF1907" s="125"/>
      <c r="AG1907" s="125"/>
      <c r="AH1907" s="128"/>
    </row>
    <row r="1908" spans="30:34" x14ac:dyDescent="0.2">
      <c r="AD1908" s="8"/>
      <c r="AE1908" s="126"/>
      <c r="AF1908" s="125"/>
      <c r="AG1908" s="125"/>
      <c r="AH1908" s="128"/>
    </row>
    <row r="1909" spans="30:34" x14ac:dyDescent="0.2">
      <c r="AD1909" s="8"/>
      <c r="AE1909" s="126"/>
      <c r="AF1909" s="125"/>
      <c r="AG1909" s="125"/>
      <c r="AH1909" s="128"/>
    </row>
    <row r="1910" spans="30:34" x14ac:dyDescent="0.2">
      <c r="AD1910" s="8"/>
      <c r="AE1910" s="126"/>
      <c r="AF1910" s="125"/>
      <c r="AG1910" s="125"/>
      <c r="AH1910" s="128"/>
    </row>
    <row r="1911" spans="30:34" x14ac:dyDescent="0.2">
      <c r="AD1911" s="8"/>
      <c r="AE1911" s="126"/>
      <c r="AF1911" s="125"/>
      <c r="AG1911" s="125"/>
      <c r="AH1911" s="128"/>
    </row>
    <row r="1912" spans="30:34" x14ac:dyDescent="0.2">
      <c r="AD1912" s="8"/>
      <c r="AE1912" s="126"/>
      <c r="AF1912" s="125"/>
      <c r="AG1912" s="125"/>
      <c r="AH1912" s="128"/>
    </row>
    <row r="1913" spans="30:34" x14ac:dyDescent="0.2">
      <c r="AD1913" s="8"/>
      <c r="AE1913" s="126"/>
      <c r="AF1913" s="125"/>
      <c r="AG1913" s="125"/>
      <c r="AH1913" s="128"/>
    </row>
    <row r="1914" spans="30:34" x14ac:dyDescent="0.2">
      <c r="AD1914" s="8"/>
      <c r="AE1914" s="126"/>
      <c r="AF1914" s="125"/>
      <c r="AG1914" s="125"/>
      <c r="AH1914" s="128"/>
    </row>
    <row r="1915" spans="30:34" x14ac:dyDescent="0.2">
      <c r="AD1915" s="8"/>
      <c r="AE1915" s="126"/>
      <c r="AF1915" s="125"/>
      <c r="AG1915" s="125"/>
      <c r="AH1915" s="128"/>
    </row>
    <row r="1916" spans="30:34" x14ac:dyDescent="0.2">
      <c r="AD1916" s="8"/>
      <c r="AE1916" s="126"/>
      <c r="AF1916" s="125"/>
      <c r="AG1916" s="125"/>
      <c r="AH1916" s="128"/>
    </row>
    <row r="1917" spans="30:34" x14ac:dyDescent="0.2">
      <c r="AD1917" s="8"/>
      <c r="AE1917" s="126"/>
      <c r="AF1917" s="125"/>
      <c r="AG1917" s="125"/>
      <c r="AH1917" s="128"/>
    </row>
    <row r="1918" spans="30:34" x14ac:dyDescent="0.2">
      <c r="AD1918" s="8"/>
      <c r="AE1918" s="126"/>
      <c r="AF1918" s="125"/>
      <c r="AG1918" s="125"/>
      <c r="AH1918" s="128"/>
    </row>
    <row r="1919" spans="30:34" x14ac:dyDescent="0.2">
      <c r="AD1919" s="8"/>
      <c r="AE1919" s="126"/>
      <c r="AF1919" s="125"/>
      <c r="AG1919" s="125"/>
      <c r="AH1919" s="128"/>
    </row>
    <row r="1920" spans="30:34" x14ac:dyDescent="0.2">
      <c r="AD1920" s="8"/>
      <c r="AE1920" s="126"/>
      <c r="AF1920" s="125"/>
      <c r="AG1920" s="125"/>
      <c r="AH1920" s="128"/>
    </row>
    <row r="1921" spans="30:34" x14ac:dyDescent="0.2">
      <c r="AD1921" s="8"/>
      <c r="AE1921" s="126"/>
      <c r="AF1921" s="125"/>
      <c r="AG1921" s="125"/>
      <c r="AH1921" s="128"/>
    </row>
    <row r="1922" spans="30:34" x14ac:dyDescent="0.2">
      <c r="AD1922" s="8"/>
      <c r="AE1922" s="126"/>
      <c r="AF1922" s="125"/>
      <c r="AG1922" s="125"/>
      <c r="AH1922" s="128"/>
    </row>
    <row r="1923" spans="30:34" x14ac:dyDescent="0.2">
      <c r="AD1923" s="8"/>
      <c r="AE1923" s="126"/>
      <c r="AF1923" s="125"/>
      <c r="AG1923" s="125"/>
      <c r="AH1923" s="128"/>
    </row>
    <row r="1924" spans="30:34" x14ac:dyDescent="0.2">
      <c r="AD1924" s="8"/>
      <c r="AE1924" s="126"/>
      <c r="AF1924" s="125"/>
      <c r="AG1924" s="125"/>
      <c r="AH1924" s="128"/>
    </row>
    <row r="1925" spans="30:34" x14ac:dyDescent="0.2">
      <c r="AD1925" s="8"/>
      <c r="AE1925" s="126"/>
      <c r="AF1925" s="125"/>
      <c r="AG1925" s="125"/>
      <c r="AH1925" s="128"/>
    </row>
    <row r="1926" spans="30:34" x14ac:dyDescent="0.2">
      <c r="AD1926" s="8"/>
      <c r="AE1926" s="126"/>
      <c r="AF1926" s="125"/>
      <c r="AG1926" s="125"/>
      <c r="AH1926" s="128"/>
    </row>
    <row r="1927" spans="30:34" x14ac:dyDescent="0.2">
      <c r="AD1927" s="8"/>
      <c r="AE1927" s="126"/>
      <c r="AF1927" s="125"/>
      <c r="AG1927" s="125"/>
      <c r="AH1927" s="128"/>
    </row>
    <row r="1928" spans="30:34" x14ac:dyDescent="0.2">
      <c r="AD1928" s="8"/>
      <c r="AE1928" s="126"/>
      <c r="AF1928" s="125"/>
      <c r="AG1928" s="125"/>
      <c r="AH1928" s="128"/>
    </row>
    <row r="1929" spans="30:34" x14ac:dyDescent="0.2">
      <c r="AD1929" s="8"/>
      <c r="AE1929" s="126"/>
      <c r="AF1929" s="125"/>
      <c r="AG1929" s="125"/>
      <c r="AH1929" s="128"/>
    </row>
    <row r="1930" spans="30:34" x14ac:dyDescent="0.2">
      <c r="AD1930" s="8"/>
      <c r="AE1930" s="126"/>
      <c r="AF1930" s="125"/>
      <c r="AG1930" s="125"/>
      <c r="AH1930" s="128"/>
    </row>
    <row r="1931" spans="30:34" x14ac:dyDescent="0.2">
      <c r="AD1931" s="8"/>
      <c r="AE1931" s="126"/>
      <c r="AF1931" s="125"/>
      <c r="AG1931" s="125"/>
      <c r="AH1931" s="128"/>
    </row>
    <row r="1932" spans="30:34" x14ac:dyDescent="0.2">
      <c r="AD1932" s="8"/>
      <c r="AE1932" s="126"/>
      <c r="AF1932" s="125"/>
      <c r="AG1932" s="125"/>
      <c r="AH1932" s="128"/>
    </row>
    <row r="1933" spans="30:34" x14ac:dyDescent="0.2">
      <c r="AD1933" s="8"/>
      <c r="AE1933" s="126"/>
      <c r="AF1933" s="125"/>
      <c r="AG1933" s="125"/>
      <c r="AH1933" s="128"/>
    </row>
    <row r="1934" spans="30:34" x14ac:dyDescent="0.2">
      <c r="AD1934" s="8"/>
      <c r="AE1934" s="126"/>
      <c r="AF1934" s="125"/>
      <c r="AG1934" s="125"/>
      <c r="AH1934" s="128"/>
    </row>
    <row r="1935" spans="30:34" x14ac:dyDescent="0.2">
      <c r="AD1935" s="8"/>
      <c r="AE1935" s="126"/>
      <c r="AF1935" s="125"/>
      <c r="AG1935" s="125"/>
      <c r="AH1935" s="128"/>
    </row>
    <row r="1936" spans="30:34" x14ac:dyDescent="0.2">
      <c r="AD1936" s="8"/>
      <c r="AE1936" s="126"/>
      <c r="AF1936" s="125"/>
      <c r="AG1936" s="125"/>
      <c r="AH1936" s="128"/>
    </row>
    <row r="1937" spans="30:34" x14ac:dyDescent="0.2">
      <c r="AD1937" s="8"/>
      <c r="AE1937" s="126"/>
      <c r="AF1937" s="125"/>
      <c r="AG1937" s="125"/>
      <c r="AH1937" s="128"/>
    </row>
    <row r="1938" spans="30:34" x14ac:dyDescent="0.2">
      <c r="AD1938" s="8"/>
      <c r="AE1938" s="126"/>
      <c r="AF1938" s="125"/>
      <c r="AG1938" s="125"/>
      <c r="AH1938" s="128"/>
    </row>
    <row r="1939" spans="30:34" x14ac:dyDescent="0.2">
      <c r="AD1939" s="8"/>
      <c r="AE1939" s="126"/>
      <c r="AF1939" s="125"/>
      <c r="AG1939" s="125"/>
      <c r="AH1939" s="128"/>
    </row>
    <row r="1940" spans="30:34" x14ac:dyDescent="0.2">
      <c r="AD1940" s="8"/>
      <c r="AE1940" s="126"/>
      <c r="AF1940" s="125"/>
      <c r="AG1940" s="125"/>
      <c r="AH1940" s="128"/>
    </row>
    <row r="1941" spans="30:34" x14ac:dyDescent="0.2">
      <c r="AD1941" s="8"/>
      <c r="AE1941" s="126"/>
      <c r="AF1941" s="125"/>
      <c r="AG1941" s="125"/>
      <c r="AH1941" s="128"/>
    </row>
    <row r="1942" spans="30:34" x14ac:dyDescent="0.2">
      <c r="AD1942" s="8"/>
      <c r="AE1942" s="126"/>
      <c r="AF1942" s="125"/>
      <c r="AG1942" s="125"/>
      <c r="AH1942" s="128"/>
    </row>
    <row r="1943" spans="30:34" x14ac:dyDescent="0.2">
      <c r="AD1943" s="8"/>
      <c r="AE1943" s="126"/>
      <c r="AF1943" s="125"/>
      <c r="AG1943" s="125"/>
      <c r="AH1943" s="128"/>
    </row>
    <row r="1944" spans="30:34" x14ac:dyDescent="0.2">
      <c r="AD1944" s="8"/>
      <c r="AE1944" s="126"/>
      <c r="AF1944" s="125"/>
      <c r="AG1944" s="125"/>
      <c r="AH1944" s="128"/>
    </row>
    <row r="1945" spans="30:34" x14ac:dyDescent="0.2">
      <c r="AD1945" s="8"/>
      <c r="AE1945" s="126"/>
      <c r="AF1945" s="125"/>
      <c r="AG1945" s="125"/>
      <c r="AH1945" s="128"/>
    </row>
    <row r="1946" spans="30:34" x14ac:dyDescent="0.2">
      <c r="AD1946" s="8"/>
      <c r="AE1946" s="126"/>
      <c r="AF1946" s="125"/>
      <c r="AG1946" s="125"/>
      <c r="AH1946" s="128"/>
    </row>
    <row r="1947" spans="30:34" x14ac:dyDescent="0.2">
      <c r="AD1947" s="8"/>
      <c r="AE1947" s="126"/>
      <c r="AF1947" s="125"/>
      <c r="AG1947" s="125"/>
      <c r="AH1947" s="128"/>
    </row>
    <row r="1948" spans="30:34" x14ac:dyDescent="0.2">
      <c r="AD1948" s="8"/>
      <c r="AE1948" s="126"/>
      <c r="AF1948" s="125"/>
      <c r="AG1948" s="125"/>
      <c r="AH1948" s="128"/>
    </row>
    <row r="1949" spans="30:34" x14ac:dyDescent="0.2">
      <c r="AD1949" s="8"/>
      <c r="AE1949" s="126"/>
      <c r="AF1949" s="125"/>
      <c r="AG1949" s="125"/>
      <c r="AH1949" s="128"/>
    </row>
    <row r="1950" spans="30:34" x14ac:dyDescent="0.2">
      <c r="AD1950" s="8"/>
      <c r="AE1950" s="126"/>
      <c r="AF1950" s="125"/>
      <c r="AG1950" s="125"/>
      <c r="AH1950" s="128"/>
    </row>
    <row r="1951" spans="30:34" x14ac:dyDescent="0.2">
      <c r="AD1951" s="8"/>
      <c r="AE1951" s="126"/>
      <c r="AF1951" s="125"/>
      <c r="AG1951" s="125"/>
      <c r="AH1951" s="128"/>
    </row>
    <row r="1952" spans="30:34" x14ac:dyDescent="0.2">
      <c r="AD1952" s="8"/>
      <c r="AE1952" s="126"/>
      <c r="AF1952" s="125"/>
      <c r="AG1952" s="125"/>
      <c r="AH1952" s="128"/>
    </row>
    <row r="1953" spans="30:34" x14ac:dyDescent="0.2">
      <c r="AD1953" s="8"/>
      <c r="AE1953" s="126"/>
      <c r="AF1953" s="125"/>
      <c r="AG1953" s="125"/>
      <c r="AH1953" s="128"/>
    </row>
    <row r="1954" spans="30:34" x14ac:dyDescent="0.2">
      <c r="AD1954" s="8"/>
      <c r="AE1954" s="126"/>
      <c r="AF1954" s="125"/>
      <c r="AG1954" s="125"/>
      <c r="AH1954" s="128"/>
    </row>
    <row r="1955" spans="30:34" x14ac:dyDescent="0.2">
      <c r="AD1955" s="8"/>
      <c r="AE1955" s="126"/>
      <c r="AF1955" s="125"/>
      <c r="AG1955" s="125"/>
      <c r="AH1955" s="128"/>
    </row>
    <row r="1956" spans="30:34" x14ac:dyDescent="0.2">
      <c r="AD1956" s="8"/>
      <c r="AE1956" s="126"/>
      <c r="AF1956" s="125"/>
      <c r="AG1956" s="125"/>
      <c r="AH1956" s="128"/>
    </row>
    <row r="1957" spans="30:34" x14ac:dyDescent="0.2">
      <c r="AD1957" s="8"/>
      <c r="AE1957" s="126"/>
      <c r="AF1957" s="125"/>
      <c r="AG1957" s="125"/>
      <c r="AH1957" s="128"/>
    </row>
    <row r="1958" spans="30:34" x14ac:dyDescent="0.2">
      <c r="AD1958" s="8"/>
      <c r="AE1958" s="126"/>
      <c r="AF1958" s="125"/>
      <c r="AG1958" s="125"/>
      <c r="AH1958" s="128"/>
    </row>
    <row r="1959" spans="30:34" x14ac:dyDescent="0.2">
      <c r="AD1959" s="8"/>
      <c r="AE1959" s="126"/>
      <c r="AF1959" s="125"/>
      <c r="AG1959" s="125"/>
      <c r="AH1959" s="128"/>
    </row>
    <row r="1960" spans="30:34" x14ac:dyDescent="0.2">
      <c r="AD1960" s="8"/>
      <c r="AE1960" s="126"/>
      <c r="AF1960" s="125"/>
      <c r="AG1960" s="125"/>
      <c r="AH1960" s="128"/>
    </row>
    <row r="1961" spans="30:34" x14ac:dyDescent="0.2">
      <c r="AD1961" s="8"/>
      <c r="AE1961" s="126"/>
      <c r="AF1961" s="125"/>
      <c r="AG1961" s="125"/>
      <c r="AH1961" s="128"/>
    </row>
    <row r="1962" spans="30:34" x14ac:dyDescent="0.2">
      <c r="AD1962" s="8"/>
      <c r="AE1962" s="126"/>
      <c r="AF1962" s="125"/>
      <c r="AG1962" s="125"/>
      <c r="AH1962" s="128"/>
    </row>
    <row r="1963" spans="30:34" x14ac:dyDescent="0.2">
      <c r="AD1963" s="8"/>
      <c r="AE1963" s="126"/>
      <c r="AF1963" s="125"/>
      <c r="AG1963" s="125"/>
      <c r="AH1963" s="128"/>
    </row>
    <row r="1964" spans="30:34" x14ac:dyDescent="0.2">
      <c r="AD1964" s="8"/>
      <c r="AE1964" s="126"/>
      <c r="AF1964" s="125"/>
      <c r="AG1964" s="125"/>
      <c r="AH1964" s="128"/>
    </row>
    <row r="1965" spans="30:34" x14ac:dyDescent="0.2">
      <c r="AD1965" s="8"/>
      <c r="AE1965" s="126"/>
      <c r="AF1965" s="125"/>
      <c r="AG1965" s="125"/>
      <c r="AH1965" s="128"/>
    </row>
    <row r="1966" spans="30:34" x14ac:dyDescent="0.2">
      <c r="AD1966" s="8"/>
      <c r="AE1966" s="126"/>
      <c r="AF1966" s="125"/>
      <c r="AG1966" s="125"/>
      <c r="AH1966" s="128"/>
    </row>
    <row r="1967" spans="30:34" x14ac:dyDescent="0.2">
      <c r="AD1967" s="8"/>
      <c r="AE1967" s="126"/>
      <c r="AF1967" s="125"/>
      <c r="AG1967" s="125"/>
      <c r="AH1967" s="128"/>
    </row>
    <row r="1968" spans="30:34" x14ac:dyDescent="0.2">
      <c r="AD1968" s="8"/>
      <c r="AE1968" s="126"/>
      <c r="AF1968" s="125"/>
      <c r="AG1968" s="125"/>
      <c r="AH1968" s="128"/>
    </row>
    <row r="1969" spans="30:34" x14ac:dyDescent="0.2">
      <c r="AD1969" s="8"/>
      <c r="AE1969" s="126"/>
      <c r="AF1969" s="125"/>
      <c r="AG1969" s="125"/>
      <c r="AH1969" s="128"/>
    </row>
    <row r="1970" spans="30:34" x14ac:dyDescent="0.2">
      <c r="AD1970" s="8"/>
      <c r="AE1970" s="126"/>
      <c r="AF1970" s="125"/>
      <c r="AG1970" s="125"/>
      <c r="AH1970" s="128"/>
    </row>
    <row r="1971" spans="30:34" x14ac:dyDescent="0.2">
      <c r="AD1971" s="8"/>
      <c r="AE1971" s="126"/>
      <c r="AF1971" s="125"/>
      <c r="AG1971" s="125"/>
      <c r="AH1971" s="128"/>
    </row>
    <row r="1972" spans="30:34" x14ac:dyDescent="0.2">
      <c r="AD1972" s="8"/>
      <c r="AE1972" s="126"/>
      <c r="AF1972" s="125"/>
      <c r="AG1972" s="125"/>
      <c r="AH1972" s="128"/>
    </row>
    <row r="1973" spans="30:34" x14ac:dyDescent="0.2">
      <c r="AD1973" s="8"/>
      <c r="AE1973" s="126"/>
      <c r="AF1973" s="125"/>
      <c r="AG1973" s="125"/>
      <c r="AH1973" s="128"/>
    </row>
    <row r="1974" spans="30:34" x14ac:dyDescent="0.2">
      <c r="AD1974" s="8"/>
      <c r="AE1974" s="126"/>
      <c r="AF1974" s="125"/>
      <c r="AG1974" s="125"/>
      <c r="AH1974" s="128"/>
    </row>
    <row r="1975" spans="30:34" x14ac:dyDescent="0.2">
      <c r="AD1975" s="8"/>
      <c r="AE1975" s="126"/>
      <c r="AF1975" s="125"/>
      <c r="AG1975" s="125"/>
      <c r="AH1975" s="128"/>
    </row>
    <row r="1976" spans="30:34" x14ac:dyDescent="0.2">
      <c r="AD1976" s="8"/>
      <c r="AE1976" s="126"/>
      <c r="AF1976" s="125"/>
      <c r="AG1976" s="125"/>
      <c r="AH1976" s="128"/>
    </row>
    <row r="1977" spans="30:34" x14ac:dyDescent="0.2">
      <c r="AD1977" s="8"/>
      <c r="AE1977" s="126"/>
      <c r="AF1977" s="125"/>
      <c r="AG1977" s="125"/>
      <c r="AH1977" s="128"/>
    </row>
    <row r="1978" spans="30:34" x14ac:dyDescent="0.2">
      <c r="AD1978" s="8"/>
      <c r="AE1978" s="126"/>
      <c r="AF1978" s="125"/>
      <c r="AG1978" s="125"/>
      <c r="AH1978" s="128"/>
    </row>
    <row r="1979" spans="30:34" x14ac:dyDescent="0.2">
      <c r="AD1979" s="8"/>
      <c r="AE1979" s="126"/>
      <c r="AF1979" s="125"/>
      <c r="AG1979" s="125"/>
      <c r="AH1979" s="128"/>
    </row>
    <row r="1980" spans="30:34" x14ac:dyDescent="0.2">
      <c r="AD1980" s="8"/>
      <c r="AE1980" s="126"/>
      <c r="AF1980" s="125"/>
      <c r="AG1980" s="125"/>
      <c r="AH1980" s="128"/>
    </row>
    <row r="1981" spans="30:34" x14ac:dyDescent="0.2">
      <c r="AD1981" s="8"/>
      <c r="AE1981" s="126"/>
      <c r="AF1981" s="125"/>
      <c r="AG1981" s="125"/>
      <c r="AH1981" s="128"/>
    </row>
    <row r="1982" spans="30:34" x14ac:dyDescent="0.2">
      <c r="AD1982" s="8"/>
      <c r="AE1982" s="126"/>
      <c r="AF1982" s="125"/>
      <c r="AG1982" s="125"/>
      <c r="AH1982" s="128"/>
    </row>
    <row r="1983" spans="30:34" x14ac:dyDescent="0.2">
      <c r="AD1983" s="8"/>
      <c r="AE1983" s="126"/>
      <c r="AF1983" s="125"/>
      <c r="AG1983" s="125"/>
      <c r="AH1983" s="128"/>
    </row>
    <row r="1984" spans="30:34" x14ac:dyDescent="0.2">
      <c r="AD1984" s="8"/>
      <c r="AE1984" s="126"/>
      <c r="AF1984" s="125"/>
      <c r="AG1984" s="125"/>
      <c r="AH1984" s="128"/>
    </row>
    <row r="1985" spans="30:34" x14ac:dyDescent="0.2">
      <c r="AD1985" s="8"/>
      <c r="AE1985" s="126"/>
      <c r="AF1985" s="125"/>
      <c r="AG1985" s="125"/>
      <c r="AH1985" s="128"/>
    </row>
    <row r="1986" spans="30:34" x14ac:dyDescent="0.2">
      <c r="AD1986" s="8"/>
      <c r="AE1986" s="126"/>
      <c r="AF1986" s="125"/>
      <c r="AG1986" s="125"/>
      <c r="AH1986" s="128"/>
    </row>
    <row r="1987" spans="30:34" x14ac:dyDescent="0.2">
      <c r="AD1987" s="8"/>
      <c r="AE1987" s="126"/>
      <c r="AF1987" s="125"/>
      <c r="AG1987" s="125"/>
      <c r="AH1987" s="128"/>
    </row>
    <row r="1988" spans="30:34" x14ac:dyDescent="0.2">
      <c r="AD1988" s="8"/>
      <c r="AE1988" s="126"/>
      <c r="AF1988" s="125"/>
      <c r="AG1988" s="125"/>
      <c r="AH1988" s="128"/>
    </row>
    <row r="1989" spans="30:34" x14ac:dyDescent="0.2">
      <c r="AD1989" s="8"/>
      <c r="AE1989" s="126"/>
      <c r="AF1989" s="125"/>
      <c r="AG1989" s="125"/>
      <c r="AH1989" s="128"/>
    </row>
    <row r="1990" spans="30:34" x14ac:dyDescent="0.2">
      <c r="AD1990" s="8"/>
      <c r="AE1990" s="126"/>
      <c r="AF1990" s="125"/>
      <c r="AG1990" s="125"/>
      <c r="AH1990" s="128"/>
    </row>
    <row r="1991" spans="30:34" x14ac:dyDescent="0.2">
      <c r="AD1991" s="8"/>
      <c r="AE1991" s="126"/>
      <c r="AF1991" s="125"/>
      <c r="AG1991" s="125"/>
      <c r="AH1991" s="128"/>
    </row>
    <row r="1992" spans="30:34" x14ac:dyDescent="0.2">
      <c r="AD1992" s="8"/>
      <c r="AE1992" s="126"/>
      <c r="AF1992" s="125"/>
      <c r="AG1992" s="125"/>
      <c r="AH1992" s="128"/>
    </row>
    <row r="1993" spans="30:34" x14ac:dyDescent="0.2">
      <c r="AD1993" s="8"/>
      <c r="AE1993" s="126"/>
      <c r="AF1993" s="125"/>
      <c r="AG1993" s="125"/>
      <c r="AH1993" s="128"/>
    </row>
    <row r="1994" spans="30:34" x14ac:dyDescent="0.2">
      <c r="AD1994" s="8"/>
      <c r="AE1994" s="126"/>
      <c r="AF1994" s="125"/>
      <c r="AG1994" s="125"/>
      <c r="AH1994" s="128"/>
    </row>
    <row r="1995" spans="30:34" x14ac:dyDescent="0.2">
      <c r="AD1995" s="8"/>
      <c r="AE1995" s="126"/>
      <c r="AF1995" s="125"/>
      <c r="AG1995" s="125"/>
      <c r="AH1995" s="128"/>
    </row>
    <row r="1996" spans="30:34" x14ac:dyDescent="0.2">
      <c r="AD1996" s="8"/>
      <c r="AE1996" s="126"/>
      <c r="AF1996" s="125"/>
      <c r="AG1996" s="125"/>
      <c r="AH1996" s="128"/>
    </row>
    <row r="1997" spans="30:34" x14ac:dyDescent="0.2">
      <c r="AD1997" s="8"/>
      <c r="AE1997" s="126"/>
      <c r="AF1997" s="125"/>
      <c r="AG1997" s="125"/>
      <c r="AH1997" s="128"/>
    </row>
    <row r="1998" spans="30:34" x14ac:dyDescent="0.2">
      <c r="AD1998" s="8"/>
      <c r="AE1998" s="126"/>
      <c r="AF1998" s="125"/>
      <c r="AG1998" s="125"/>
      <c r="AH1998" s="128"/>
    </row>
    <row r="1999" spans="30:34" x14ac:dyDescent="0.2">
      <c r="AD1999" s="8"/>
      <c r="AE1999" s="126"/>
      <c r="AF1999" s="125"/>
      <c r="AG1999" s="125"/>
      <c r="AH1999" s="128"/>
    </row>
    <row r="2000" spans="30:34" x14ac:dyDescent="0.2">
      <c r="AD2000" s="8"/>
      <c r="AE2000" s="126"/>
      <c r="AF2000" s="125"/>
      <c r="AG2000" s="125"/>
      <c r="AH2000" s="128"/>
    </row>
    <row r="2001" spans="30:34" x14ac:dyDescent="0.2">
      <c r="AD2001" s="8"/>
      <c r="AE2001" s="126"/>
      <c r="AF2001" s="125"/>
      <c r="AG2001" s="125"/>
      <c r="AH2001" s="128"/>
    </row>
    <row r="2002" spans="30:34" x14ac:dyDescent="0.2">
      <c r="AD2002" s="8"/>
      <c r="AE2002" s="126"/>
      <c r="AF2002" s="125"/>
      <c r="AG2002" s="125"/>
      <c r="AH2002" s="128"/>
    </row>
    <row r="2003" spans="30:34" x14ac:dyDescent="0.2">
      <c r="AD2003" s="8"/>
      <c r="AE2003" s="126"/>
      <c r="AF2003" s="125"/>
      <c r="AG2003" s="125"/>
      <c r="AH2003" s="128"/>
    </row>
    <row r="2004" spans="30:34" x14ac:dyDescent="0.2">
      <c r="AD2004" s="8"/>
      <c r="AE2004" s="126"/>
      <c r="AF2004" s="125"/>
      <c r="AG2004" s="125"/>
      <c r="AH2004" s="128"/>
    </row>
    <row r="2005" spans="30:34" x14ac:dyDescent="0.2">
      <c r="AD2005" s="8"/>
      <c r="AE2005" s="126"/>
      <c r="AF2005" s="125"/>
      <c r="AG2005" s="125"/>
      <c r="AH2005" s="128"/>
    </row>
    <row r="2006" spans="30:34" x14ac:dyDescent="0.2">
      <c r="AD2006" s="8"/>
      <c r="AE2006" s="126"/>
      <c r="AF2006" s="125"/>
      <c r="AG2006" s="125"/>
      <c r="AH2006" s="128"/>
    </row>
    <row r="2007" spans="30:34" x14ac:dyDescent="0.2">
      <c r="AD2007" s="8"/>
      <c r="AE2007" s="126"/>
      <c r="AF2007" s="125"/>
      <c r="AG2007" s="125"/>
      <c r="AH2007" s="128"/>
    </row>
    <row r="2008" spans="30:34" x14ac:dyDescent="0.2">
      <c r="AD2008" s="8"/>
      <c r="AE2008" s="126"/>
      <c r="AF2008" s="125"/>
      <c r="AG2008" s="125"/>
      <c r="AH2008" s="128"/>
    </row>
    <row r="2009" spans="30:34" x14ac:dyDescent="0.2">
      <c r="AD2009" s="8"/>
      <c r="AE2009" s="126"/>
      <c r="AF2009" s="125"/>
      <c r="AG2009" s="125"/>
      <c r="AH2009" s="128"/>
    </row>
    <row r="2010" spans="30:34" x14ac:dyDescent="0.2">
      <c r="AD2010" s="8"/>
      <c r="AE2010" s="126"/>
      <c r="AF2010" s="125"/>
      <c r="AG2010" s="125"/>
      <c r="AH2010" s="128"/>
    </row>
    <row r="2011" spans="30:34" x14ac:dyDescent="0.2">
      <c r="AD2011" s="8"/>
      <c r="AE2011" s="126"/>
      <c r="AF2011" s="125"/>
      <c r="AG2011" s="125"/>
      <c r="AH2011" s="128"/>
    </row>
    <row r="2012" spans="30:34" x14ac:dyDescent="0.2">
      <c r="AD2012" s="8"/>
      <c r="AE2012" s="126"/>
      <c r="AF2012" s="125"/>
      <c r="AG2012" s="125"/>
      <c r="AH2012" s="128"/>
    </row>
    <row r="2013" spans="30:34" x14ac:dyDescent="0.2">
      <c r="AD2013" s="8"/>
      <c r="AE2013" s="126"/>
      <c r="AF2013" s="125"/>
      <c r="AG2013" s="125"/>
      <c r="AH2013" s="128"/>
    </row>
    <row r="2014" spans="30:34" x14ac:dyDescent="0.2">
      <c r="AD2014" s="8"/>
      <c r="AE2014" s="126"/>
      <c r="AF2014" s="125"/>
      <c r="AG2014" s="125"/>
      <c r="AH2014" s="128"/>
    </row>
    <row r="2015" spans="30:34" x14ac:dyDescent="0.2">
      <c r="AD2015" s="8"/>
      <c r="AE2015" s="126"/>
      <c r="AF2015" s="125"/>
      <c r="AG2015" s="125"/>
      <c r="AH2015" s="128"/>
    </row>
    <row r="2016" spans="30:34" x14ac:dyDescent="0.2">
      <c r="AD2016" s="8"/>
      <c r="AE2016" s="126"/>
      <c r="AF2016" s="125"/>
      <c r="AG2016" s="125"/>
      <c r="AH2016" s="128"/>
    </row>
    <row r="2017" spans="30:34" x14ac:dyDescent="0.2">
      <c r="AD2017" s="8"/>
      <c r="AE2017" s="126"/>
      <c r="AF2017" s="125"/>
      <c r="AG2017" s="125"/>
      <c r="AH2017" s="128"/>
    </row>
    <row r="2018" spans="30:34" x14ac:dyDescent="0.2">
      <c r="AD2018" s="8"/>
      <c r="AE2018" s="126"/>
      <c r="AF2018" s="125"/>
      <c r="AG2018" s="125"/>
      <c r="AH2018" s="128"/>
    </row>
    <row r="2019" spans="30:34" x14ac:dyDescent="0.2">
      <c r="AD2019" s="8"/>
      <c r="AE2019" s="126"/>
      <c r="AF2019" s="125"/>
      <c r="AG2019" s="125"/>
      <c r="AH2019" s="128"/>
    </row>
    <row r="2020" spans="30:34" x14ac:dyDescent="0.2">
      <c r="AD2020" s="8"/>
      <c r="AE2020" s="126"/>
      <c r="AF2020" s="125"/>
      <c r="AG2020" s="125"/>
      <c r="AH2020" s="128"/>
    </row>
    <row r="2021" spans="30:34" x14ac:dyDescent="0.2">
      <c r="AD2021" s="8"/>
      <c r="AE2021" s="126"/>
      <c r="AF2021" s="125"/>
      <c r="AG2021" s="125"/>
      <c r="AH2021" s="128"/>
    </row>
    <row r="2022" spans="30:34" x14ac:dyDescent="0.2">
      <c r="AD2022" s="8"/>
      <c r="AE2022" s="126"/>
      <c r="AF2022" s="125"/>
      <c r="AG2022" s="125"/>
      <c r="AH2022" s="128"/>
    </row>
    <row r="2023" spans="30:34" x14ac:dyDescent="0.2">
      <c r="AD2023" s="8"/>
      <c r="AE2023" s="126"/>
      <c r="AF2023" s="125"/>
      <c r="AG2023" s="125"/>
      <c r="AH2023" s="128"/>
    </row>
    <row r="2024" spans="30:34" x14ac:dyDescent="0.2">
      <c r="AD2024" s="8"/>
      <c r="AE2024" s="126"/>
      <c r="AF2024" s="125"/>
      <c r="AG2024" s="125"/>
      <c r="AH2024" s="128"/>
    </row>
    <row r="2025" spans="30:34" x14ac:dyDescent="0.2">
      <c r="AD2025" s="8"/>
      <c r="AE2025" s="126"/>
      <c r="AF2025" s="125"/>
      <c r="AG2025" s="125"/>
      <c r="AH2025" s="128"/>
    </row>
    <row r="2026" spans="30:34" x14ac:dyDescent="0.2">
      <c r="AD2026" s="8"/>
      <c r="AE2026" s="126"/>
      <c r="AF2026" s="125"/>
      <c r="AG2026" s="125"/>
      <c r="AH2026" s="128"/>
    </row>
    <row r="2027" spans="30:34" x14ac:dyDescent="0.2">
      <c r="AD2027" s="8"/>
      <c r="AE2027" s="126"/>
      <c r="AF2027" s="125"/>
      <c r="AG2027" s="125"/>
      <c r="AH2027" s="128"/>
    </row>
    <row r="2028" spans="30:34" x14ac:dyDescent="0.2">
      <c r="AD2028" s="8"/>
      <c r="AE2028" s="126"/>
      <c r="AF2028" s="125"/>
      <c r="AG2028" s="125"/>
      <c r="AH2028" s="128"/>
    </row>
    <row r="2029" spans="30:34" x14ac:dyDescent="0.2">
      <c r="AD2029" s="8"/>
      <c r="AE2029" s="126"/>
      <c r="AF2029" s="125"/>
      <c r="AG2029" s="125"/>
      <c r="AH2029" s="128"/>
    </row>
    <row r="2030" spans="30:34" x14ac:dyDescent="0.2">
      <c r="AD2030" s="8"/>
      <c r="AE2030" s="126"/>
      <c r="AF2030" s="125"/>
      <c r="AG2030" s="125"/>
      <c r="AH2030" s="128"/>
    </row>
    <row r="2031" spans="30:34" x14ac:dyDescent="0.2">
      <c r="AD2031" s="8"/>
      <c r="AE2031" s="126"/>
      <c r="AF2031" s="125"/>
      <c r="AG2031" s="125"/>
      <c r="AH2031" s="128"/>
    </row>
    <row r="2032" spans="30:34" x14ac:dyDescent="0.2">
      <c r="AD2032" s="8"/>
      <c r="AE2032" s="126"/>
      <c r="AF2032" s="125"/>
      <c r="AG2032" s="125"/>
      <c r="AH2032" s="128"/>
    </row>
    <row r="2033" spans="30:34" x14ac:dyDescent="0.2">
      <c r="AD2033" s="8"/>
      <c r="AE2033" s="126"/>
      <c r="AF2033" s="125"/>
      <c r="AG2033" s="125"/>
      <c r="AH2033" s="128"/>
    </row>
    <row r="2034" spans="30:34" x14ac:dyDescent="0.2">
      <c r="AD2034" s="8"/>
      <c r="AE2034" s="126"/>
      <c r="AF2034" s="125"/>
      <c r="AG2034" s="125"/>
      <c r="AH2034" s="128"/>
    </row>
    <row r="2035" spans="30:34" x14ac:dyDescent="0.2">
      <c r="AD2035" s="8"/>
      <c r="AE2035" s="126"/>
      <c r="AF2035" s="125"/>
      <c r="AG2035" s="125"/>
      <c r="AH2035" s="128"/>
    </row>
    <row r="2036" spans="30:34" x14ac:dyDescent="0.2">
      <c r="AD2036" s="8"/>
      <c r="AE2036" s="126"/>
      <c r="AF2036" s="125"/>
      <c r="AG2036" s="125"/>
      <c r="AH2036" s="128"/>
    </row>
    <row r="2037" spans="30:34" x14ac:dyDescent="0.2">
      <c r="AD2037" s="8"/>
      <c r="AE2037" s="126"/>
      <c r="AF2037" s="125"/>
      <c r="AG2037" s="125"/>
      <c r="AH2037" s="128"/>
    </row>
    <row r="2038" spans="30:34" x14ac:dyDescent="0.2">
      <c r="AD2038" s="8"/>
      <c r="AE2038" s="126"/>
      <c r="AF2038" s="125"/>
      <c r="AG2038" s="125"/>
      <c r="AH2038" s="128"/>
    </row>
    <row r="2039" spans="30:34" x14ac:dyDescent="0.2">
      <c r="AD2039" s="8"/>
      <c r="AE2039" s="126"/>
      <c r="AF2039" s="125"/>
      <c r="AG2039" s="125"/>
      <c r="AH2039" s="128"/>
    </row>
    <row r="2040" spans="30:34" x14ac:dyDescent="0.2">
      <c r="AD2040" s="8"/>
      <c r="AE2040" s="126"/>
      <c r="AF2040" s="125"/>
      <c r="AG2040" s="125"/>
      <c r="AH2040" s="128"/>
    </row>
    <row r="2041" spans="30:34" x14ac:dyDescent="0.2">
      <c r="AD2041" s="8"/>
      <c r="AE2041" s="126"/>
      <c r="AF2041" s="125"/>
      <c r="AG2041" s="125"/>
      <c r="AH2041" s="128"/>
    </row>
    <row r="2042" spans="30:34" x14ac:dyDescent="0.2">
      <c r="AD2042" s="8"/>
      <c r="AE2042" s="126"/>
      <c r="AF2042" s="125"/>
      <c r="AG2042" s="125"/>
      <c r="AH2042" s="128"/>
    </row>
    <row r="2043" spans="30:34" x14ac:dyDescent="0.2">
      <c r="AD2043" s="8"/>
      <c r="AE2043" s="126"/>
      <c r="AF2043" s="125"/>
      <c r="AG2043" s="125"/>
      <c r="AH2043" s="128"/>
    </row>
    <row r="2044" spans="30:34" x14ac:dyDescent="0.2">
      <c r="AD2044" s="8"/>
      <c r="AE2044" s="126"/>
      <c r="AF2044" s="125"/>
      <c r="AG2044" s="125"/>
      <c r="AH2044" s="128"/>
    </row>
    <row r="2045" spans="30:34" x14ac:dyDescent="0.2">
      <c r="AD2045" s="8"/>
      <c r="AE2045" s="126"/>
      <c r="AF2045" s="125"/>
      <c r="AG2045" s="125"/>
      <c r="AH2045" s="128"/>
    </row>
    <row r="2046" spans="30:34" x14ac:dyDescent="0.2">
      <c r="AD2046" s="8"/>
      <c r="AE2046" s="126"/>
      <c r="AF2046" s="125"/>
      <c r="AG2046" s="125"/>
      <c r="AH2046" s="128"/>
    </row>
    <row r="2047" spans="30:34" x14ac:dyDescent="0.2">
      <c r="AD2047" s="8"/>
      <c r="AE2047" s="126"/>
      <c r="AF2047" s="125"/>
      <c r="AG2047" s="125"/>
      <c r="AH2047" s="128"/>
    </row>
    <row r="2048" spans="30:34" x14ac:dyDescent="0.2">
      <c r="AD2048" s="8"/>
      <c r="AE2048" s="126"/>
      <c r="AF2048" s="125"/>
      <c r="AG2048" s="125"/>
      <c r="AH2048" s="128"/>
    </row>
    <row r="2049" spans="30:34" x14ac:dyDescent="0.2">
      <c r="AD2049" s="8"/>
      <c r="AE2049" s="126"/>
      <c r="AF2049" s="125"/>
      <c r="AG2049" s="125"/>
      <c r="AH2049" s="128"/>
    </row>
    <row r="2050" spans="30:34" x14ac:dyDescent="0.2">
      <c r="AD2050" s="8"/>
      <c r="AE2050" s="126"/>
      <c r="AF2050" s="125"/>
      <c r="AG2050" s="125"/>
      <c r="AH2050" s="128"/>
    </row>
    <row r="2051" spans="30:34" x14ac:dyDescent="0.2">
      <c r="AD2051" s="8"/>
      <c r="AE2051" s="126"/>
      <c r="AF2051" s="125"/>
      <c r="AG2051" s="125"/>
      <c r="AH2051" s="128"/>
    </row>
    <row r="2052" spans="30:34" x14ac:dyDescent="0.2">
      <c r="AD2052" s="8"/>
      <c r="AE2052" s="126"/>
      <c r="AF2052" s="125"/>
      <c r="AG2052" s="125"/>
      <c r="AH2052" s="128"/>
    </row>
    <row r="2053" spans="30:34" x14ac:dyDescent="0.2">
      <c r="AD2053" s="8"/>
      <c r="AE2053" s="126"/>
      <c r="AF2053" s="125"/>
      <c r="AG2053" s="125"/>
      <c r="AH2053" s="128"/>
    </row>
    <row r="2054" spans="30:34" x14ac:dyDescent="0.2">
      <c r="AD2054" s="8"/>
      <c r="AE2054" s="126"/>
      <c r="AF2054" s="125"/>
      <c r="AG2054" s="125"/>
      <c r="AH2054" s="128"/>
    </row>
    <row r="2055" spans="30:34" x14ac:dyDescent="0.2">
      <c r="AD2055" s="8"/>
      <c r="AE2055" s="126"/>
      <c r="AF2055" s="125"/>
      <c r="AG2055" s="125"/>
      <c r="AH2055" s="128"/>
    </row>
    <row r="2056" spans="30:34" x14ac:dyDescent="0.2">
      <c r="AD2056" s="8"/>
      <c r="AE2056" s="126"/>
      <c r="AF2056" s="125"/>
      <c r="AG2056" s="125"/>
      <c r="AH2056" s="128"/>
    </row>
    <row r="2057" spans="30:34" x14ac:dyDescent="0.2">
      <c r="AD2057" s="8"/>
      <c r="AE2057" s="126"/>
      <c r="AF2057" s="125"/>
      <c r="AG2057" s="125"/>
      <c r="AH2057" s="128"/>
    </row>
    <row r="2058" spans="30:34" x14ac:dyDescent="0.2">
      <c r="AD2058" s="8"/>
      <c r="AE2058" s="126"/>
      <c r="AF2058" s="125"/>
      <c r="AG2058" s="125"/>
      <c r="AH2058" s="128"/>
    </row>
    <row r="2059" spans="30:34" x14ac:dyDescent="0.2">
      <c r="AD2059" s="8"/>
      <c r="AE2059" s="126"/>
      <c r="AF2059" s="125"/>
      <c r="AG2059" s="125"/>
      <c r="AH2059" s="128"/>
    </row>
    <row r="2060" spans="30:34" x14ac:dyDescent="0.2">
      <c r="AD2060" s="8"/>
      <c r="AE2060" s="126"/>
      <c r="AF2060" s="125"/>
      <c r="AG2060" s="125"/>
      <c r="AH2060" s="128"/>
    </row>
    <row r="2061" spans="30:34" x14ac:dyDescent="0.2">
      <c r="AD2061" s="8"/>
      <c r="AE2061" s="126"/>
      <c r="AF2061" s="125"/>
      <c r="AG2061" s="125"/>
      <c r="AH2061" s="128"/>
    </row>
    <row r="2062" spans="30:34" x14ac:dyDescent="0.2">
      <c r="AD2062" s="8"/>
      <c r="AE2062" s="126"/>
      <c r="AF2062" s="125"/>
      <c r="AG2062" s="125"/>
      <c r="AH2062" s="128"/>
    </row>
    <row r="2063" spans="30:34" x14ac:dyDescent="0.2">
      <c r="AD2063" s="8"/>
      <c r="AE2063" s="126"/>
      <c r="AF2063" s="125"/>
      <c r="AG2063" s="125"/>
      <c r="AH2063" s="128"/>
    </row>
    <row r="2064" spans="30:34" x14ac:dyDescent="0.2">
      <c r="AD2064" s="8"/>
      <c r="AE2064" s="126"/>
      <c r="AF2064" s="125"/>
      <c r="AG2064" s="125"/>
      <c r="AH2064" s="128"/>
    </row>
    <row r="2065" spans="30:34" x14ac:dyDescent="0.2">
      <c r="AD2065" s="8"/>
      <c r="AE2065" s="126"/>
      <c r="AF2065" s="125"/>
      <c r="AG2065" s="125"/>
      <c r="AH2065" s="128"/>
    </row>
    <row r="2066" spans="30:34" x14ac:dyDescent="0.2">
      <c r="AD2066" s="8"/>
      <c r="AE2066" s="126"/>
      <c r="AF2066" s="125"/>
      <c r="AG2066" s="125"/>
      <c r="AH2066" s="128"/>
    </row>
    <row r="2067" spans="30:34" x14ac:dyDescent="0.2">
      <c r="AD2067" s="8"/>
      <c r="AE2067" s="126"/>
      <c r="AF2067" s="125"/>
      <c r="AG2067" s="125"/>
      <c r="AH2067" s="128"/>
    </row>
    <row r="2068" spans="30:34" x14ac:dyDescent="0.2">
      <c r="AD2068" s="8"/>
      <c r="AE2068" s="126"/>
      <c r="AF2068" s="125"/>
      <c r="AG2068" s="125"/>
      <c r="AH2068" s="128"/>
    </row>
    <row r="2069" spans="30:34" x14ac:dyDescent="0.2">
      <c r="AD2069" s="8"/>
      <c r="AE2069" s="126"/>
      <c r="AF2069" s="125"/>
      <c r="AG2069" s="125"/>
      <c r="AH2069" s="128"/>
    </row>
    <row r="2070" spans="30:34" x14ac:dyDescent="0.2">
      <c r="AD2070" s="8"/>
      <c r="AE2070" s="126"/>
      <c r="AF2070" s="125"/>
      <c r="AG2070" s="125"/>
      <c r="AH2070" s="128"/>
    </row>
    <row r="2071" spans="30:34" x14ac:dyDescent="0.2">
      <c r="AD2071" s="8"/>
      <c r="AE2071" s="126"/>
      <c r="AF2071" s="125"/>
      <c r="AG2071" s="125"/>
      <c r="AH2071" s="128"/>
    </row>
    <row r="2072" spans="30:34" x14ac:dyDescent="0.2">
      <c r="AD2072" s="8"/>
      <c r="AE2072" s="126"/>
      <c r="AF2072" s="125"/>
      <c r="AG2072" s="125"/>
      <c r="AH2072" s="128"/>
    </row>
    <row r="2073" spans="30:34" x14ac:dyDescent="0.2">
      <c r="AD2073" s="8"/>
      <c r="AE2073" s="126"/>
      <c r="AF2073" s="125"/>
      <c r="AG2073" s="125"/>
      <c r="AH2073" s="128"/>
    </row>
    <row r="2074" spans="30:34" x14ac:dyDescent="0.2">
      <c r="AD2074" s="8"/>
      <c r="AE2074" s="126"/>
      <c r="AF2074" s="125"/>
      <c r="AG2074" s="125"/>
      <c r="AH2074" s="128"/>
    </row>
    <row r="2075" spans="30:34" x14ac:dyDescent="0.2">
      <c r="AD2075" s="8"/>
      <c r="AE2075" s="126"/>
      <c r="AF2075" s="125"/>
      <c r="AG2075" s="125"/>
      <c r="AH2075" s="128"/>
    </row>
    <row r="2076" spans="30:34" x14ac:dyDescent="0.2">
      <c r="AD2076" s="8"/>
      <c r="AE2076" s="126"/>
      <c r="AF2076" s="125"/>
      <c r="AG2076" s="125"/>
      <c r="AH2076" s="128"/>
    </row>
    <row r="2077" spans="30:34" x14ac:dyDescent="0.2">
      <c r="AD2077" s="8"/>
      <c r="AE2077" s="126"/>
      <c r="AF2077" s="125"/>
      <c r="AG2077" s="125"/>
      <c r="AH2077" s="128"/>
    </row>
    <row r="2078" spans="30:34" x14ac:dyDescent="0.2">
      <c r="AD2078" s="8"/>
      <c r="AE2078" s="126"/>
      <c r="AF2078" s="125"/>
      <c r="AG2078" s="125"/>
      <c r="AH2078" s="128"/>
    </row>
    <row r="2079" spans="30:34" x14ac:dyDescent="0.2">
      <c r="AD2079" s="8"/>
      <c r="AE2079" s="126"/>
      <c r="AF2079" s="125"/>
      <c r="AG2079" s="125"/>
      <c r="AH2079" s="128"/>
    </row>
    <row r="2080" spans="30:34" x14ac:dyDescent="0.2">
      <c r="AD2080" s="8"/>
      <c r="AE2080" s="126"/>
      <c r="AF2080" s="125"/>
      <c r="AG2080" s="125"/>
      <c r="AH2080" s="128"/>
    </row>
    <row r="2081" spans="30:34" x14ac:dyDescent="0.2">
      <c r="AD2081" s="8"/>
      <c r="AE2081" s="126"/>
      <c r="AF2081" s="125"/>
      <c r="AG2081" s="125"/>
      <c r="AH2081" s="128"/>
    </row>
    <row r="2082" spans="30:34" x14ac:dyDescent="0.2">
      <c r="AD2082" s="8"/>
      <c r="AE2082" s="126"/>
      <c r="AF2082" s="125"/>
      <c r="AG2082" s="125"/>
      <c r="AH2082" s="128"/>
    </row>
    <row r="2083" spans="30:34" x14ac:dyDescent="0.2">
      <c r="AD2083" s="8"/>
      <c r="AE2083" s="126"/>
      <c r="AF2083" s="125"/>
      <c r="AG2083" s="125"/>
      <c r="AH2083" s="128"/>
    </row>
    <row r="2084" spans="30:34" x14ac:dyDescent="0.2">
      <c r="AD2084" s="8"/>
      <c r="AE2084" s="126"/>
      <c r="AF2084" s="125"/>
      <c r="AG2084" s="125"/>
      <c r="AH2084" s="128"/>
    </row>
    <row r="2085" spans="30:34" x14ac:dyDescent="0.2">
      <c r="AD2085" s="8"/>
      <c r="AE2085" s="126"/>
      <c r="AF2085" s="125"/>
      <c r="AG2085" s="125"/>
      <c r="AH2085" s="128"/>
    </row>
    <row r="2086" spans="30:34" x14ac:dyDescent="0.2">
      <c r="AD2086" s="8"/>
      <c r="AE2086" s="126"/>
      <c r="AF2086" s="125"/>
      <c r="AG2086" s="125"/>
      <c r="AH2086" s="128"/>
    </row>
    <row r="2087" spans="30:34" x14ac:dyDescent="0.2">
      <c r="AD2087" s="8"/>
      <c r="AE2087" s="126"/>
      <c r="AF2087" s="125"/>
      <c r="AG2087" s="125"/>
      <c r="AH2087" s="128"/>
    </row>
    <row r="2088" spans="30:34" x14ac:dyDescent="0.2">
      <c r="AD2088" s="8"/>
      <c r="AE2088" s="126"/>
      <c r="AF2088" s="125"/>
      <c r="AG2088" s="125"/>
      <c r="AH2088" s="128"/>
    </row>
    <row r="2089" spans="30:34" x14ac:dyDescent="0.2">
      <c r="AD2089" s="8"/>
      <c r="AE2089" s="126"/>
      <c r="AF2089" s="125"/>
      <c r="AG2089" s="125"/>
      <c r="AH2089" s="128"/>
    </row>
    <row r="2090" spans="30:34" x14ac:dyDescent="0.2">
      <c r="AD2090" s="8"/>
      <c r="AE2090" s="126"/>
      <c r="AF2090" s="125"/>
      <c r="AG2090" s="125"/>
      <c r="AH2090" s="128"/>
    </row>
    <row r="2091" spans="30:34" x14ac:dyDescent="0.2">
      <c r="AD2091" s="8"/>
      <c r="AE2091" s="126"/>
      <c r="AF2091" s="125"/>
      <c r="AG2091" s="125"/>
      <c r="AH2091" s="128"/>
    </row>
    <row r="2092" spans="30:34" x14ac:dyDescent="0.2">
      <c r="AD2092" s="8"/>
      <c r="AE2092" s="126"/>
      <c r="AF2092" s="125"/>
      <c r="AG2092" s="125"/>
      <c r="AH2092" s="128"/>
    </row>
    <row r="2093" spans="30:34" x14ac:dyDescent="0.2">
      <c r="AD2093" s="8"/>
      <c r="AE2093" s="126"/>
      <c r="AF2093" s="125"/>
      <c r="AG2093" s="125"/>
      <c r="AH2093" s="128"/>
    </row>
    <row r="2094" spans="30:34" x14ac:dyDescent="0.2">
      <c r="AD2094" s="8"/>
      <c r="AE2094" s="126"/>
      <c r="AF2094" s="125"/>
      <c r="AG2094" s="125"/>
      <c r="AH2094" s="128"/>
    </row>
    <row r="2095" spans="30:34" x14ac:dyDescent="0.2">
      <c r="AD2095" s="8"/>
      <c r="AE2095" s="126"/>
      <c r="AF2095" s="125"/>
      <c r="AG2095" s="125"/>
      <c r="AH2095" s="128"/>
    </row>
    <row r="2096" spans="30:34" x14ac:dyDescent="0.2">
      <c r="AD2096" s="8"/>
      <c r="AE2096" s="126"/>
      <c r="AF2096" s="125"/>
      <c r="AG2096" s="125"/>
      <c r="AH2096" s="128"/>
    </row>
    <row r="2097" spans="30:34" x14ac:dyDescent="0.2">
      <c r="AD2097" s="8"/>
      <c r="AE2097" s="126"/>
      <c r="AF2097" s="125"/>
      <c r="AG2097" s="125"/>
      <c r="AH2097" s="128"/>
    </row>
    <row r="2098" spans="30:34" x14ac:dyDescent="0.2">
      <c r="AD2098" s="8"/>
      <c r="AE2098" s="126"/>
      <c r="AF2098" s="125"/>
      <c r="AG2098" s="125"/>
      <c r="AH2098" s="128"/>
    </row>
    <row r="2099" spans="30:34" x14ac:dyDescent="0.2">
      <c r="AD2099" s="8"/>
      <c r="AE2099" s="126"/>
      <c r="AF2099" s="125"/>
      <c r="AG2099" s="125"/>
      <c r="AH2099" s="128"/>
    </row>
    <row r="2100" spans="30:34" x14ac:dyDescent="0.2">
      <c r="AD2100" s="8"/>
      <c r="AE2100" s="126"/>
      <c r="AF2100" s="125"/>
      <c r="AG2100" s="125"/>
      <c r="AH2100" s="128"/>
    </row>
    <row r="2101" spans="30:34" x14ac:dyDescent="0.2">
      <c r="AD2101" s="8"/>
      <c r="AE2101" s="126"/>
      <c r="AF2101" s="125"/>
      <c r="AG2101" s="125"/>
      <c r="AH2101" s="128"/>
    </row>
    <row r="2102" spans="30:34" x14ac:dyDescent="0.2">
      <c r="AD2102" s="8"/>
      <c r="AE2102" s="126"/>
      <c r="AF2102" s="125"/>
      <c r="AG2102" s="125"/>
      <c r="AH2102" s="128"/>
    </row>
    <row r="2103" spans="30:34" x14ac:dyDescent="0.2">
      <c r="AD2103" s="8"/>
      <c r="AE2103" s="126"/>
      <c r="AF2103" s="125"/>
      <c r="AG2103" s="125"/>
      <c r="AH2103" s="128"/>
    </row>
    <row r="2104" spans="30:34" x14ac:dyDescent="0.2">
      <c r="AD2104" s="8"/>
      <c r="AE2104" s="126"/>
      <c r="AF2104" s="125"/>
      <c r="AG2104" s="125"/>
      <c r="AH2104" s="128"/>
    </row>
    <row r="2105" spans="30:34" x14ac:dyDescent="0.2">
      <c r="AD2105" s="8"/>
      <c r="AE2105" s="126"/>
      <c r="AF2105" s="125"/>
      <c r="AG2105" s="125"/>
      <c r="AH2105" s="128"/>
    </row>
    <row r="2106" spans="30:34" x14ac:dyDescent="0.2">
      <c r="AD2106" s="8"/>
      <c r="AE2106" s="126"/>
      <c r="AF2106" s="125"/>
      <c r="AG2106" s="125"/>
      <c r="AH2106" s="128"/>
    </row>
    <row r="2107" spans="30:34" x14ac:dyDescent="0.2">
      <c r="AD2107" s="8"/>
      <c r="AE2107" s="126"/>
      <c r="AF2107" s="125"/>
      <c r="AG2107" s="125"/>
      <c r="AH2107" s="128"/>
    </row>
    <row r="2108" spans="30:34" x14ac:dyDescent="0.2">
      <c r="AD2108" s="8"/>
      <c r="AE2108" s="126"/>
      <c r="AF2108" s="125"/>
      <c r="AG2108" s="125"/>
      <c r="AH2108" s="128"/>
    </row>
    <row r="2109" spans="30:34" x14ac:dyDescent="0.2">
      <c r="AD2109" s="8"/>
      <c r="AE2109" s="126"/>
      <c r="AF2109" s="125"/>
      <c r="AG2109" s="125"/>
      <c r="AH2109" s="128"/>
    </row>
    <row r="2110" spans="30:34" x14ac:dyDescent="0.2">
      <c r="AD2110" s="8"/>
      <c r="AE2110" s="126"/>
      <c r="AF2110" s="125"/>
      <c r="AG2110" s="125"/>
      <c r="AH2110" s="128"/>
    </row>
    <row r="2111" spans="30:34" x14ac:dyDescent="0.2">
      <c r="AD2111" s="8"/>
      <c r="AE2111" s="126"/>
      <c r="AF2111" s="125"/>
      <c r="AG2111" s="125"/>
      <c r="AH2111" s="128"/>
    </row>
    <row r="2112" spans="30:34" x14ac:dyDescent="0.2">
      <c r="AD2112" s="8"/>
      <c r="AE2112" s="126"/>
      <c r="AF2112" s="125"/>
      <c r="AG2112" s="125"/>
      <c r="AH2112" s="128"/>
    </row>
    <row r="2113" spans="30:34" x14ac:dyDescent="0.2">
      <c r="AD2113" s="8"/>
      <c r="AE2113" s="126"/>
      <c r="AF2113" s="125"/>
      <c r="AG2113" s="125"/>
      <c r="AH2113" s="128"/>
    </row>
    <row r="2114" spans="30:34" x14ac:dyDescent="0.2">
      <c r="AD2114" s="8"/>
      <c r="AE2114" s="126"/>
      <c r="AF2114" s="125"/>
      <c r="AG2114" s="125"/>
      <c r="AH2114" s="128"/>
    </row>
    <row r="2115" spans="30:34" x14ac:dyDescent="0.2">
      <c r="AD2115" s="8"/>
      <c r="AE2115" s="126"/>
      <c r="AF2115" s="125"/>
      <c r="AG2115" s="125"/>
      <c r="AH2115" s="128"/>
    </row>
    <row r="2116" spans="30:34" x14ac:dyDescent="0.2">
      <c r="AD2116" s="8"/>
      <c r="AE2116" s="126"/>
      <c r="AF2116" s="125"/>
      <c r="AG2116" s="125"/>
      <c r="AH2116" s="128"/>
    </row>
    <row r="2117" spans="30:34" x14ac:dyDescent="0.2">
      <c r="AD2117" s="8"/>
      <c r="AE2117" s="126"/>
      <c r="AF2117" s="125"/>
      <c r="AG2117" s="125"/>
      <c r="AH2117" s="128"/>
    </row>
    <row r="2118" spans="30:34" x14ac:dyDescent="0.2">
      <c r="AD2118" s="8"/>
      <c r="AE2118" s="126"/>
      <c r="AF2118" s="125"/>
      <c r="AG2118" s="125"/>
      <c r="AH2118" s="128"/>
    </row>
    <row r="2119" spans="30:34" x14ac:dyDescent="0.2">
      <c r="AD2119" s="8"/>
      <c r="AE2119" s="126"/>
      <c r="AF2119" s="125"/>
      <c r="AG2119" s="125"/>
      <c r="AH2119" s="128"/>
    </row>
    <row r="2120" spans="30:34" x14ac:dyDescent="0.2">
      <c r="AD2120" s="8"/>
      <c r="AE2120" s="126"/>
      <c r="AF2120" s="125"/>
      <c r="AG2120" s="125"/>
      <c r="AH2120" s="128"/>
    </row>
    <row r="2121" spans="30:34" x14ac:dyDescent="0.2">
      <c r="AD2121" s="8"/>
      <c r="AE2121" s="126"/>
      <c r="AF2121" s="125"/>
      <c r="AG2121" s="125"/>
      <c r="AH2121" s="128"/>
    </row>
    <row r="2122" spans="30:34" x14ac:dyDescent="0.2">
      <c r="AD2122" s="8"/>
      <c r="AE2122" s="126"/>
      <c r="AF2122" s="125"/>
      <c r="AG2122" s="125"/>
      <c r="AH2122" s="128"/>
    </row>
    <row r="2123" spans="30:34" x14ac:dyDescent="0.2">
      <c r="AD2123" s="8"/>
      <c r="AE2123" s="126"/>
      <c r="AF2123" s="125"/>
      <c r="AG2123" s="125"/>
      <c r="AH2123" s="128"/>
    </row>
    <row r="2124" spans="30:34" x14ac:dyDescent="0.2">
      <c r="AD2124" s="8"/>
      <c r="AE2124" s="126"/>
      <c r="AF2124" s="125"/>
      <c r="AG2124" s="125"/>
      <c r="AH2124" s="128"/>
    </row>
    <row r="2125" spans="30:34" x14ac:dyDescent="0.2">
      <c r="AD2125" s="8"/>
      <c r="AE2125" s="126"/>
      <c r="AF2125" s="125"/>
      <c r="AG2125" s="125"/>
      <c r="AH2125" s="128"/>
    </row>
    <row r="2126" spans="30:34" x14ac:dyDescent="0.2">
      <c r="AD2126" s="8"/>
      <c r="AE2126" s="126"/>
      <c r="AF2126" s="125"/>
      <c r="AG2126" s="125"/>
      <c r="AH2126" s="128"/>
    </row>
    <row r="2127" spans="30:34" x14ac:dyDescent="0.2">
      <c r="AD2127" s="8"/>
      <c r="AE2127" s="126"/>
      <c r="AF2127" s="125"/>
      <c r="AG2127" s="125"/>
      <c r="AH2127" s="128"/>
    </row>
    <row r="2128" spans="30:34" x14ac:dyDescent="0.2">
      <c r="AD2128" s="8"/>
      <c r="AE2128" s="126"/>
      <c r="AF2128" s="125"/>
      <c r="AG2128" s="125"/>
      <c r="AH2128" s="128"/>
    </row>
    <row r="2129" spans="30:34" x14ac:dyDescent="0.2">
      <c r="AD2129" s="8"/>
      <c r="AE2129" s="126"/>
      <c r="AF2129" s="125"/>
      <c r="AG2129" s="125"/>
      <c r="AH2129" s="128"/>
    </row>
    <row r="2130" spans="30:34" x14ac:dyDescent="0.2">
      <c r="AD2130" s="8"/>
      <c r="AE2130" s="126"/>
      <c r="AF2130" s="125"/>
      <c r="AG2130" s="125"/>
      <c r="AH2130" s="128"/>
    </row>
    <row r="2131" spans="30:34" x14ac:dyDescent="0.2">
      <c r="AD2131" s="8"/>
      <c r="AE2131" s="126"/>
      <c r="AF2131" s="125"/>
      <c r="AG2131" s="125"/>
      <c r="AH2131" s="128"/>
    </row>
    <row r="2132" spans="30:34" x14ac:dyDescent="0.2">
      <c r="AD2132" s="8"/>
      <c r="AE2132" s="126"/>
      <c r="AF2132" s="125"/>
      <c r="AG2132" s="125"/>
      <c r="AH2132" s="128"/>
    </row>
    <row r="2133" spans="30:34" x14ac:dyDescent="0.2">
      <c r="AD2133" s="8"/>
      <c r="AE2133" s="126"/>
      <c r="AF2133" s="125"/>
      <c r="AG2133" s="125"/>
      <c r="AH2133" s="128"/>
    </row>
    <row r="2134" spans="30:34" x14ac:dyDescent="0.2">
      <c r="AD2134" s="8"/>
      <c r="AE2134" s="126"/>
      <c r="AF2134" s="125"/>
      <c r="AG2134" s="125"/>
      <c r="AH2134" s="128"/>
    </row>
    <row r="2135" spans="30:34" x14ac:dyDescent="0.2">
      <c r="AD2135" s="8"/>
      <c r="AE2135" s="126"/>
      <c r="AF2135" s="125"/>
      <c r="AG2135" s="125"/>
      <c r="AH2135" s="128"/>
    </row>
    <row r="2136" spans="30:34" x14ac:dyDescent="0.2">
      <c r="AD2136" s="8"/>
      <c r="AE2136" s="126"/>
      <c r="AF2136" s="125"/>
      <c r="AG2136" s="125"/>
      <c r="AH2136" s="128"/>
    </row>
    <row r="2137" spans="30:34" x14ac:dyDescent="0.2">
      <c r="AD2137" s="8"/>
      <c r="AE2137" s="126"/>
      <c r="AF2137" s="125"/>
      <c r="AG2137" s="125"/>
      <c r="AH2137" s="128"/>
    </row>
    <row r="2138" spans="30:34" x14ac:dyDescent="0.2">
      <c r="AD2138" s="8"/>
      <c r="AE2138" s="126"/>
      <c r="AF2138" s="125"/>
      <c r="AG2138" s="125"/>
      <c r="AH2138" s="128"/>
    </row>
    <row r="2139" spans="30:34" x14ac:dyDescent="0.2">
      <c r="AD2139" s="8"/>
      <c r="AE2139" s="126"/>
      <c r="AF2139" s="125"/>
      <c r="AG2139" s="125"/>
      <c r="AH2139" s="128"/>
    </row>
    <row r="2140" spans="30:34" x14ac:dyDescent="0.2">
      <c r="AD2140" s="8"/>
      <c r="AE2140" s="126"/>
      <c r="AF2140" s="125"/>
      <c r="AG2140" s="125"/>
      <c r="AH2140" s="128"/>
    </row>
    <row r="2141" spans="30:34" x14ac:dyDescent="0.2">
      <c r="AD2141" s="8"/>
      <c r="AE2141" s="126"/>
      <c r="AF2141" s="125"/>
      <c r="AG2141" s="125"/>
      <c r="AH2141" s="128"/>
    </row>
    <row r="2142" spans="30:34" x14ac:dyDescent="0.2">
      <c r="AD2142" s="8"/>
      <c r="AE2142" s="126"/>
      <c r="AF2142" s="125"/>
      <c r="AG2142" s="125"/>
      <c r="AH2142" s="128"/>
    </row>
    <row r="2143" spans="30:34" x14ac:dyDescent="0.2">
      <c r="AD2143" s="8"/>
      <c r="AE2143" s="126"/>
      <c r="AF2143" s="125"/>
      <c r="AG2143" s="125"/>
      <c r="AH2143" s="128"/>
    </row>
    <row r="2144" spans="30:34" x14ac:dyDescent="0.2">
      <c r="AD2144" s="8"/>
      <c r="AE2144" s="126"/>
      <c r="AF2144" s="125"/>
      <c r="AG2144" s="125"/>
      <c r="AH2144" s="128"/>
    </row>
    <row r="2145" spans="30:34" x14ac:dyDescent="0.2">
      <c r="AD2145" s="8"/>
      <c r="AE2145" s="126"/>
      <c r="AF2145" s="125"/>
      <c r="AG2145" s="125"/>
      <c r="AH2145" s="128"/>
    </row>
    <row r="2146" spans="30:34" x14ac:dyDescent="0.2">
      <c r="AD2146" s="8"/>
      <c r="AE2146" s="126"/>
      <c r="AF2146" s="125"/>
      <c r="AG2146" s="125"/>
      <c r="AH2146" s="128"/>
    </row>
    <row r="2147" spans="30:34" x14ac:dyDescent="0.2">
      <c r="AD2147" s="8"/>
      <c r="AE2147" s="126"/>
      <c r="AF2147" s="125"/>
      <c r="AG2147" s="125"/>
      <c r="AH2147" s="128"/>
    </row>
    <row r="2148" spans="30:34" x14ac:dyDescent="0.2">
      <c r="AD2148" s="8"/>
      <c r="AE2148" s="126"/>
      <c r="AF2148" s="125"/>
      <c r="AG2148" s="125"/>
      <c r="AH2148" s="128"/>
    </row>
    <row r="2149" spans="30:34" x14ac:dyDescent="0.2">
      <c r="AD2149" s="8"/>
      <c r="AE2149" s="126"/>
      <c r="AF2149" s="125"/>
      <c r="AG2149" s="125"/>
      <c r="AH2149" s="128"/>
    </row>
    <row r="2150" spans="30:34" x14ac:dyDescent="0.2">
      <c r="AD2150" s="8"/>
      <c r="AE2150" s="126"/>
      <c r="AF2150" s="125"/>
      <c r="AG2150" s="125"/>
      <c r="AH2150" s="128"/>
    </row>
    <row r="2151" spans="30:34" x14ac:dyDescent="0.2">
      <c r="AD2151" s="8"/>
      <c r="AE2151" s="126"/>
      <c r="AF2151" s="125"/>
      <c r="AG2151" s="125"/>
      <c r="AH2151" s="128"/>
    </row>
    <row r="2152" spans="30:34" x14ac:dyDescent="0.2">
      <c r="AD2152" s="8"/>
      <c r="AE2152" s="126"/>
      <c r="AF2152" s="125"/>
      <c r="AG2152" s="125"/>
      <c r="AH2152" s="128"/>
    </row>
    <row r="2153" spans="30:34" x14ac:dyDescent="0.2">
      <c r="AD2153" s="8"/>
      <c r="AE2153" s="126"/>
      <c r="AF2153" s="125"/>
      <c r="AG2153" s="125"/>
      <c r="AH2153" s="128"/>
    </row>
    <row r="2154" spans="30:34" x14ac:dyDescent="0.2">
      <c r="AD2154" s="8"/>
      <c r="AE2154" s="126"/>
      <c r="AF2154" s="125"/>
      <c r="AG2154" s="125"/>
      <c r="AH2154" s="128"/>
    </row>
    <row r="2155" spans="30:34" x14ac:dyDescent="0.2">
      <c r="AD2155" s="8"/>
      <c r="AE2155" s="126"/>
      <c r="AF2155" s="125"/>
      <c r="AG2155" s="125"/>
      <c r="AH2155" s="128"/>
    </row>
    <row r="2156" spans="30:34" x14ac:dyDescent="0.2">
      <c r="AD2156" s="8"/>
      <c r="AE2156" s="126"/>
      <c r="AF2156" s="125"/>
      <c r="AG2156" s="125"/>
      <c r="AH2156" s="128"/>
    </row>
    <row r="2157" spans="30:34" x14ac:dyDescent="0.2">
      <c r="AD2157" s="8"/>
      <c r="AE2157" s="126"/>
      <c r="AF2157" s="125"/>
      <c r="AG2157" s="125"/>
      <c r="AH2157" s="128"/>
    </row>
    <row r="2158" spans="30:34" x14ac:dyDescent="0.2">
      <c r="AD2158" s="8"/>
      <c r="AE2158" s="126"/>
      <c r="AF2158" s="125"/>
      <c r="AG2158" s="125"/>
      <c r="AH2158" s="128"/>
    </row>
    <row r="2159" spans="30:34" x14ac:dyDescent="0.2">
      <c r="AD2159" s="8"/>
      <c r="AE2159" s="126"/>
      <c r="AF2159" s="125"/>
      <c r="AG2159" s="125"/>
      <c r="AH2159" s="128"/>
    </row>
    <row r="2160" spans="30:34" x14ac:dyDescent="0.2">
      <c r="AD2160" s="8"/>
      <c r="AE2160" s="126"/>
      <c r="AF2160" s="125"/>
      <c r="AG2160" s="125"/>
      <c r="AH2160" s="128"/>
    </row>
    <row r="2161" spans="30:34" x14ac:dyDescent="0.2">
      <c r="AD2161" s="8"/>
      <c r="AE2161" s="126"/>
      <c r="AF2161" s="125"/>
      <c r="AG2161" s="125"/>
      <c r="AH2161" s="128"/>
    </row>
    <row r="2162" spans="30:34" x14ac:dyDescent="0.2">
      <c r="AD2162" s="8"/>
      <c r="AE2162" s="126"/>
      <c r="AF2162" s="125"/>
      <c r="AG2162" s="125"/>
      <c r="AH2162" s="128"/>
    </row>
    <row r="2163" spans="30:34" x14ac:dyDescent="0.2">
      <c r="AD2163" s="8"/>
      <c r="AE2163" s="126"/>
      <c r="AF2163" s="125"/>
      <c r="AG2163" s="125"/>
      <c r="AH2163" s="128"/>
    </row>
    <row r="2164" spans="30:34" x14ac:dyDescent="0.2">
      <c r="AD2164" s="8"/>
      <c r="AE2164" s="126"/>
      <c r="AF2164" s="125"/>
      <c r="AG2164" s="125"/>
      <c r="AH2164" s="128"/>
    </row>
    <row r="2165" spans="30:34" x14ac:dyDescent="0.2">
      <c r="AD2165" s="8"/>
      <c r="AE2165" s="126"/>
      <c r="AF2165" s="125"/>
      <c r="AG2165" s="125"/>
      <c r="AH2165" s="128"/>
    </row>
    <row r="2166" spans="30:34" x14ac:dyDescent="0.2">
      <c r="AD2166" s="8"/>
      <c r="AE2166" s="126"/>
      <c r="AF2166" s="125"/>
      <c r="AG2166" s="125"/>
      <c r="AH2166" s="128"/>
    </row>
    <row r="2167" spans="30:34" x14ac:dyDescent="0.2">
      <c r="AD2167" s="8"/>
      <c r="AE2167" s="126"/>
      <c r="AF2167" s="125"/>
      <c r="AG2167" s="125"/>
      <c r="AH2167" s="128"/>
    </row>
    <row r="2168" spans="30:34" x14ac:dyDescent="0.2">
      <c r="AD2168" s="8"/>
      <c r="AE2168" s="126"/>
      <c r="AF2168" s="125"/>
      <c r="AG2168" s="125"/>
      <c r="AH2168" s="128"/>
    </row>
    <row r="2169" spans="30:34" x14ac:dyDescent="0.2">
      <c r="AD2169" s="8"/>
      <c r="AE2169" s="126"/>
      <c r="AF2169" s="125"/>
      <c r="AG2169" s="125"/>
      <c r="AH2169" s="128"/>
    </row>
    <row r="2170" spans="30:34" x14ac:dyDescent="0.2">
      <c r="AD2170" s="8"/>
      <c r="AE2170" s="126"/>
      <c r="AF2170" s="125"/>
      <c r="AG2170" s="125"/>
      <c r="AH2170" s="128"/>
    </row>
    <row r="2171" spans="30:34" x14ac:dyDescent="0.2">
      <c r="AD2171" s="8"/>
      <c r="AE2171" s="126"/>
      <c r="AF2171" s="125"/>
      <c r="AG2171" s="125"/>
      <c r="AH2171" s="128"/>
    </row>
    <row r="2172" spans="30:34" x14ac:dyDescent="0.2">
      <c r="AD2172" s="8"/>
      <c r="AE2172" s="126"/>
      <c r="AF2172" s="125"/>
      <c r="AG2172" s="125"/>
      <c r="AH2172" s="128"/>
    </row>
    <row r="2173" spans="30:34" x14ac:dyDescent="0.2">
      <c r="AD2173" s="8"/>
      <c r="AE2173" s="126"/>
      <c r="AF2173" s="125"/>
      <c r="AG2173" s="125"/>
      <c r="AH2173" s="128"/>
    </row>
    <row r="2174" spans="30:34" x14ac:dyDescent="0.2">
      <c r="AD2174" s="8"/>
      <c r="AE2174" s="126"/>
      <c r="AF2174" s="125"/>
      <c r="AG2174" s="125"/>
      <c r="AH2174" s="128"/>
    </row>
    <row r="2175" spans="30:34" x14ac:dyDescent="0.2">
      <c r="AD2175" s="8"/>
      <c r="AE2175" s="126"/>
      <c r="AF2175" s="125"/>
      <c r="AG2175" s="125"/>
      <c r="AH2175" s="128"/>
    </row>
    <row r="2176" spans="30:34" x14ac:dyDescent="0.2">
      <c r="AD2176" s="8"/>
      <c r="AE2176" s="126"/>
      <c r="AF2176" s="125"/>
      <c r="AG2176" s="125"/>
      <c r="AH2176" s="128"/>
    </row>
    <row r="2177" spans="30:34" x14ac:dyDescent="0.2">
      <c r="AD2177" s="8"/>
      <c r="AE2177" s="126"/>
      <c r="AF2177" s="125"/>
      <c r="AG2177" s="125"/>
      <c r="AH2177" s="128"/>
    </row>
    <row r="2178" spans="30:34" x14ac:dyDescent="0.2">
      <c r="AD2178" s="8"/>
      <c r="AE2178" s="126"/>
      <c r="AF2178" s="125"/>
      <c r="AG2178" s="125"/>
      <c r="AH2178" s="128"/>
    </row>
    <row r="2179" spans="30:34" x14ac:dyDescent="0.2">
      <c r="AD2179" s="8"/>
      <c r="AE2179" s="126"/>
      <c r="AF2179" s="125"/>
      <c r="AG2179" s="125"/>
      <c r="AH2179" s="128"/>
    </row>
    <row r="2180" spans="30:34" x14ac:dyDescent="0.2">
      <c r="AD2180" s="8"/>
      <c r="AE2180" s="126"/>
      <c r="AF2180" s="125"/>
      <c r="AG2180" s="125"/>
      <c r="AH2180" s="128"/>
    </row>
    <row r="2181" spans="30:34" x14ac:dyDescent="0.2">
      <c r="AD2181" s="8"/>
      <c r="AE2181" s="126"/>
      <c r="AF2181" s="125"/>
      <c r="AG2181" s="125"/>
      <c r="AH2181" s="128"/>
    </row>
    <row r="2182" spans="30:34" x14ac:dyDescent="0.2">
      <c r="AD2182" s="8"/>
      <c r="AE2182" s="126"/>
      <c r="AF2182" s="125"/>
      <c r="AG2182" s="125"/>
      <c r="AH2182" s="128"/>
    </row>
    <row r="2183" spans="30:34" x14ac:dyDescent="0.2">
      <c r="AD2183" s="8"/>
      <c r="AE2183" s="126"/>
      <c r="AF2183" s="125"/>
      <c r="AG2183" s="125"/>
      <c r="AH2183" s="128"/>
    </row>
    <row r="2184" spans="30:34" x14ac:dyDescent="0.2">
      <c r="AD2184" s="8"/>
      <c r="AE2184" s="126"/>
      <c r="AF2184" s="125"/>
      <c r="AG2184" s="125"/>
      <c r="AH2184" s="128"/>
    </row>
    <row r="2185" spans="30:34" x14ac:dyDescent="0.2">
      <c r="AD2185" s="8"/>
      <c r="AE2185" s="126"/>
      <c r="AF2185" s="125"/>
      <c r="AG2185" s="125"/>
      <c r="AH2185" s="128"/>
    </row>
    <row r="2186" spans="30:34" x14ac:dyDescent="0.2">
      <c r="AD2186" s="8"/>
      <c r="AE2186" s="126"/>
      <c r="AF2186" s="125"/>
      <c r="AG2186" s="125"/>
      <c r="AH2186" s="128"/>
    </row>
    <row r="2187" spans="30:34" x14ac:dyDescent="0.2">
      <c r="AD2187" s="8"/>
      <c r="AE2187" s="126"/>
      <c r="AF2187" s="125"/>
      <c r="AG2187" s="125"/>
      <c r="AH2187" s="128"/>
    </row>
    <row r="2188" spans="30:34" x14ac:dyDescent="0.2">
      <c r="AD2188" s="8"/>
      <c r="AE2188" s="126"/>
      <c r="AF2188" s="125"/>
      <c r="AG2188" s="125"/>
      <c r="AH2188" s="128"/>
    </row>
    <row r="2189" spans="30:34" x14ac:dyDescent="0.2">
      <c r="AD2189" s="8"/>
      <c r="AE2189" s="126"/>
      <c r="AF2189" s="125"/>
      <c r="AG2189" s="125"/>
      <c r="AH2189" s="128"/>
    </row>
    <row r="2190" spans="30:34" x14ac:dyDescent="0.2">
      <c r="AD2190" s="8"/>
      <c r="AE2190" s="126"/>
      <c r="AF2190" s="125"/>
      <c r="AG2190" s="125"/>
      <c r="AH2190" s="128"/>
    </row>
    <row r="2191" spans="30:34" x14ac:dyDescent="0.2">
      <c r="AD2191" s="8"/>
      <c r="AE2191" s="126"/>
      <c r="AF2191" s="125"/>
      <c r="AG2191" s="125"/>
      <c r="AH2191" s="128"/>
    </row>
    <row r="2192" spans="30:34" x14ac:dyDescent="0.2">
      <c r="AD2192" s="8"/>
      <c r="AE2192" s="126"/>
      <c r="AF2192" s="125"/>
      <c r="AG2192" s="125"/>
      <c r="AH2192" s="128"/>
    </row>
    <row r="2193" spans="30:34" x14ac:dyDescent="0.2">
      <c r="AD2193" s="8"/>
      <c r="AE2193" s="126"/>
      <c r="AF2193" s="125"/>
      <c r="AG2193" s="125"/>
      <c r="AH2193" s="128"/>
    </row>
    <row r="2194" spans="30:34" x14ac:dyDescent="0.2">
      <c r="AD2194" s="8"/>
      <c r="AE2194" s="126"/>
      <c r="AF2194" s="125"/>
      <c r="AG2194" s="125"/>
      <c r="AH2194" s="128"/>
    </row>
    <row r="2195" spans="30:34" x14ac:dyDescent="0.2">
      <c r="AD2195" s="8"/>
      <c r="AE2195" s="126"/>
      <c r="AF2195" s="125"/>
      <c r="AG2195" s="125"/>
      <c r="AH2195" s="128"/>
    </row>
    <row r="2196" spans="30:34" x14ac:dyDescent="0.2">
      <c r="AD2196" s="8"/>
      <c r="AE2196" s="126"/>
      <c r="AF2196" s="125"/>
      <c r="AG2196" s="125"/>
      <c r="AH2196" s="128"/>
    </row>
    <row r="2197" spans="30:34" x14ac:dyDescent="0.2">
      <c r="AD2197" s="8"/>
      <c r="AE2197" s="126"/>
      <c r="AF2197" s="125"/>
      <c r="AG2197" s="125"/>
      <c r="AH2197" s="128"/>
    </row>
    <row r="2198" spans="30:34" x14ac:dyDescent="0.2">
      <c r="AD2198" s="8"/>
      <c r="AE2198" s="126"/>
      <c r="AF2198" s="125"/>
      <c r="AG2198" s="125"/>
      <c r="AH2198" s="128"/>
    </row>
    <row r="2199" spans="30:34" x14ac:dyDescent="0.2">
      <c r="AD2199" s="8"/>
      <c r="AE2199" s="126"/>
      <c r="AF2199" s="125"/>
      <c r="AG2199" s="125"/>
      <c r="AH2199" s="128"/>
    </row>
    <row r="2200" spans="30:34" x14ac:dyDescent="0.2">
      <c r="AD2200" s="8"/>
      <c r="AE2200" s="126"/>
      <c r="AF2200" s="125"/>
      <c r="AG2200" s="125"/>
      <c r="AH2200" s="128"/>
    </row>
    <row r="2201" spans="30:34" x14ac:dyDescent="0.2">
      <c r="AD2201" s="8"/>
      <c r="AE2201" s="126"/>
      <c r="AF2201" s="125"/>
      <c r="AG2201" s="125"/>
      <c r="AH2201" s="128"/>
    </row>
    <row r="2202" spans="30:34" x14ac:dyDescent="0.2">
      <c r="AD2202" s="8"/>
      <c r="AE2202" s="126"/>
      <c r="AF2202" s="125"/>
      <c r="AG2202" s="125"/>
      <c r="AH2202" s="128"/>
    </row>
    <row r="2203" spans="30:34" x14ac:dyDescent="0.2">
      <c r="AD2203" s="8"/>
      <c r="AE2203" s="126"/>
      <c r="AF2203" s="125"/>
      <c r="AG2203" s="125"/>
      <c r="AH2203" s="128"/>
    </row>
    <row r="2204" spans="30:34" x14ac:dyDescent="0.2">
      <c r="AD2204" s="8"/>
      <c r="AE2204" s="126"/>
      <c r="AF2204" s="125"/>
      <c r="AG2204" s="125"/>
      <c r="AH2204" s="128"/>
    </row>
    <row r="2205" spans="30:34" x14ac:dyDescent="0.2">
      <c r="AD2205" s="8"/>
      <c r="AE2205" s="126"/>
      <c r="AF2205" s="125"/>
      <c r="AG2205" s="125"/>
      <c r="AH2205" s="128"/>
    </row>
    <row r="2206" spans="30:34" x14ac:dyDescent="0.2">
      <c r="AD2206" s="8"/>
      <c r="AE2206" s="126"/>
      <c r="AF2206" s="125"/>
      <c r="AG2206" s="125"/>
      <c r="AH2206" s="128"/>
    </row>
    <row r="2207" spans="30:34" x14ac:dyDescent="0.2">
      <c r="AD2207" s="8"/>
      <c r="AE2207" s="126"/>
      <c r="AF2207" s="125"/>
      <c r="AG2207" s="125"/>
      <c r="AH2207" s="128"/>
    </row>
    <row r="2208" spans="30:34" x14ac:dyDescent="0.2">
      <c r="AD2208" s="8"/>
      <c r="AE2208" s="126"/>
      <c r="AF2208" s="125"/>
      <c r="AG2208" s="125"/>
      <c r="AH2208" s="128"/>
    </row>
    <row r="2209" spans="30:34" x14ac:dyDescent="0.2">
      <c r="AD2209" s="8"/>
      <c r="AE2209" s="126"/>
      <c r="AF2209" s="125"/>
      <c r="AG2209" s="125"/>
      <c r="AH2209" s="128"/>
    </row>
    <row r="2210" spans="30:34" x14ac:dyDescent="0.2">
      <c r="AD2210" s="8"/>
      <c r="AE2210" s="126"/>
      <c r="AF2210" s="125"/>
      <c r="AG2210" s="125"/>
      <c r="AH2210" s="128"/>
    </row>
    <row r="2211" spans="30:34" x14ac:dyDescent="0.2">
      <c r="AD2211" s="8"/>
      <c r="AE2211" s="126"/>
      <c r="AF2211" s="125"/>
      <c r="AG2211" s="125"/>
      <c r="AH2211" s="128"/>
    </row>
    <row r="2212" spans="30:34" x14ac:dyDescent="0.2">
      <c r="AD2212" s="8"/>
      <c r="AE2212" s="126"/>
      <c r="AF2212" s="125"/>
      <c r="AG2212" s="125"/>
      <c r="AH2212" s="128"/>
    </row>
    <row r="2213" spans="30:34" x14ac:dyDescent="0.2">
      <c r="AD2213" s="8"/>
      <c r="AE2213" s="126"/>
      <c r="AF2213" s="125"/>
      <c r="AG2213" s="125"/>
      <c r="AH2213" s="128"/>
    </row>
    <row r="2214" spans="30:34" x14ac:dyDescent="0.2">
      <c r="AD2214" s="8"/>
      <c r="AE2214" s="126"/>
      <c r="AF2214" s="125"/>
      <c r="AG2214" s="125"/>
      <c r="AH2214" s="128"/>
    </row>
    <row r="2215" spans="30:34" x14ac:dyDescent="0.2">
      <c r="AD2215" s="8"/>
      <c r="AE2215" s="126"/>
      <c r="AF2215" s="125"/>
      <c r="AG2215" s="125"/>
      <c r="AH2215" s="128"/>
    </row>
    <row r="2216" spans="30:34" x14ac:dyDescent="0.2">
      <c r="AD2216" s="8"/>
      <c r="AE2216" s="126"/>
      <c r="AF2216" s="125"/>
      <c r="AG2216" s="125"/>
      <c r="AH2216" s="128"/>
    </row>
    <row r="2217" spans="30:34" x14ac:dyDescent="0.2">
      <c r="AD2217" s="8"/>
      <c r="AE2217" s="126"/>
      <c r="AF2217" s="125"/>
      <c r="AG2217" s="125"/>
      <c r="AH2217" s="128"/>
    </row>
    <row r="2218" spans="30:34" x14ac:dyDescent="0.2">
      <c r="AD2218" s="8"/>
      <c r="AE2218" s="126"/>
      <c r="AF2218" s="125"/>
      <c r="AG2218" s="125"/>
      <c r="AH2218" s="128"/>
    </row>
    <row r="2219" spans="30:34" x14ac:dyDescent="0.2">
      <c r="AD2219" s="8"/>
      <c r="AE2219" s="126"/>
      <c r="AF2219" s="125"/>
      <c r="AG2219" s="125"/>
      <c r="AH2219" s="128"/>
    </row>
    <row r="2220" spans="30:34" x14ac:dyDescent="0.2">
      <c r="AD2220" s="8"/>
      <c r="AE2220" s="126"/>
      <c r="AF2220" s="125"/>
      <c r="AG2220" s="125"/>
      <c r="AH2220" s="128"/>
    </row>
    <row r="2221" spans="30:34" x14ac:dyDescent="0.2">
      <c r="AD2221" s="8"/>
      <c r="AE2221" s="126"/>
      <c r="AF2221" s="125"/>
      <c r="AG2221" s="125"/>
      <c r="AH2221" s="128"/>
    </row>
    <row r="2222" spans="30:34" x14ac:dyDescent="0.2">
      <c r="AD2222" s="8"/>
      <c r="AE2222" s="126"/>
      <c r="AF2222" s="125"/>
      <c r="AG2222" s="125"/>
      <c r="AH2222" s="128"/>
    </row>
    <row r="2223" spans="30:34" x14ac:dyDescent="0.2">
      <c r="AD2223" s="8"/>
      <c r="AE2223" s="126"/>
      <c r="AF2223" s="125"/>
      <c r="AG2223" s="125"/>
      <c r="AH2223" s="128"/>
    </row>
    <row r="2224" spans="30:34" x14ac:dyDescent="0.2">
      <c r="AD2224" s="8"/>
      <c r="AE2224" s="126"/>
      <c r="AF2224" s="125"/>
      <c r="AG2224" s="125"/>
      <c r="AH2224" s="128"/>
    </row>
    <row r="2225" spans="30:34" x14ac:dyDescent="0.2">
      <c r="AD2225" s="8"/>
      <c r="AE2225" s="126"/>
      <c r="AF2225" s="125"/>
      <c r="AG2225" s="125"/>
      <c r="AH2225" s="128"/>
    </row>
    <row r="2226" spans="30:34" x14ac:dyDescent="0.2">
      <c r="AD2226" s="8"/>
      <c r="AE2226" s="126"/>
      <c r="AF2226" s="125"/>
      <c r="AG2226" s="125"/>
      <c r="AH2226" s="128"/>
    </row>
    <row r="2227" spans="30:34" x14ac:dyDescent="0.2">
      <c r="AD2227" s="8"/>
      <c r="AE2227" s="126"/>
      <c r="AF2227" s="125"/>
      <c r="AG2227" s="125"/>
      <c r="AH2227" s="128"/>
    </row>
    <row r="2228" spans="30:34" x14ac:dyDescent="0.2">
      <c r="AD2228" s="8"/>
      <c r="AE2228" s="126"/>
      <c r="AF2228" s="125"/>
      <c r="AG2228" s="125"/>
      <c r="AH2228" s="128"/>
    </row>
    <row r="2229" spans="30:34" x14ac:dyDescent="0.2">
      <c r="AD2229" s="8"/>
      <c r="AE2229" s="126"/>
      <c r="AF2229" s="125"/>
      <c r="AG2229" s="125"/>
      <c r="AH2229" s="128"/>
    </row>
    <row r="2230" spans="30:34" x14ac:dyDescent="0.2">
      <c r="AD2230" s="8"/>
      <c r="AE2230" s="126"/>
      <c r="AF2230" s="125"/>
      <c r="AG2230" s="125"/>
      <c r="AH2230" s="128"/>
    </row>
    <row r="2231" spans="30:34" x14ac:dyDescent="0.2">
      <c r="AD2231" s="8"/>
      <c r="AE2231" s="126"/>
      <c r="AF2231" s="125"/>
      <c r="AG2231" s="125"/>
      <c r="AH2231" s="128"/>
    </row>
    <row r="2232" spans="30:34" x14ac:dyDescent="0.2">
      <c r="AD2232" s="8"/>
      <c r="AE2232" s="126"/>
      <c r="AF2232" s="125"/>
      <c r="AG2232" s="125"/>
      <c r="AH2232" s="128"/>
    </row>
    <row r="2233" spans="30:34" x14ac:dyDescent="0.2">
      <c r="AD2233" s="8"/>
      <c r="AE2233" s="126"/>
      <c r="AF2233" s="125"/>
      <c r="AG2233" s="125"/>
      <c r="AH2233" s="128"/>
    </row>
    <row r="2234" spans="30:34" x14ac:dyDescent="0.2">
      <c r="AD2234" s="8"/>
      <c r="AE2234" s="126"/>
      <c r="AF2234" s="125"/>
      <c r="AG2234" s="125"/>
      <c r="AH2234" s="128"/>
    </row>
    <row r="2235" spans="30:34" x14ac:dyDescent="0.2">
      <c r="AD2235" s="8"/>
      <c r="AE2235" s="126"/>
      <c r="AF2235" s="125"/>
      <c r="AG2235" s="125"/>
      <c r="AH2235" s="128"/>
    </row>
    <row r="2236" spans="30:34" x14ac:dyDescent="0.2">
      <c r="AD2236" s="8"/>
      <c r="AE2236" s="126"/>
      <c r="AF2236" s="125"/>
      <c r="AG2236" s="125"/>
      <c r="AH2236" s="128"/>
    </row>
    <row r="2237" spans="30:34" x14ac:dyDescent="0.2">
      <c r="AD2237" s="8"/>
      <c r="AE2237" s="126"/>
      <c r="AF2237" s="125"/>
      <c r="AG2237" s="125"/>
      <c r="AH2237" s="128"/>
    </row>
    <row r="2238" spans="30:34" x14ac:dyDescent="0.2">
      <c r="AD2238" s="8"/>
      <c r="AE2238" s="126"/>
      <c r="AF2238" s="125"/>
      <c r="AG2238" s="125"/>
      <c r="AH2238" s="128"/>
    </row>
    <row r="2239" spans="30:34" x14ac:dyDescent="0.2">
      <c r="AD2239" s="8"/>
      <c r="AE2239" s="126"/>
      <c r="AF2239" s="125"/>
      <c r="AG2239" s="125"/>
      <c r="AH2239" s="128"/>
    </row>
    <row r="2240" spans="30:34" x14ac:dyDescent="0.2">
      <c r="AD2240" s="8"/>
      <c r="AE2240" s="126"/>
      <c r="AF2240" s="125"/>
      <c r="AG2240" s="125"/>
      <c r="AH2240" s="128"/>
    </row>
    <row r="2241" spans="30:34" x14ac:dyDescent="0.2">
      <c r="AD2241" s="8"/>
      <c r="AE2241" s="126"/>
      <c r="AF2241" s="125"/>
      <c r="AG2241" s="125"/>
      <c r="AH2241" s="128"/>
    </row>
    <row r="2242" spans="30:34" x14ac:dyDescent="0.2">
      <c r="AD2242" s="8"/>
      <c r="AE2242" s="126"/>
      <c r="AF2242" s="125"/>
      <c r="AG2242" s="125"/>
      <c r="AH2242" s="128"/>
    </row>
    <row r="2243" spans="30:34" x14ac:dyDescent="0.2">
      <c r="AD2243" s="8"/>
      <c r="AE2243" s="126"/>
      <c r="AF2243" s="125"/>
      <c r="AG2243" s="125"/>
      <c r="AH2243" s="128"/>
    </row>
    <row r="2244" spans="30:34" x14ac:dyDescent="0.2">
      <c r="AD2244" s="8"/>
      <c r="AE2244" s="126"/>
      <c r="AF2244" s="125"/>
      <c r="AG2244" s="125"/>
      <c r="AH2244" s="128"/>
    </row>
    <row r="2245" spans="30:34" x14ac:dyDescent="0.2">
      <c r="AD2245" s="8"/>
      <c r="AE2245" s="126"/>
      <c r="AF2245" s="125"/>
      <c r="AG2245" s="125"/>
      <c r="AH2245" s="128"/>
    </row>
    <row r="2246" spans="30:34" x14ac:dyDescent="0.2">
      <c r="AD2246" s="8"/>
      <c r="AE2246" s="126"/>
      <c r="AF2246" s="125"/>
      <c r="AG2246" s="125"/>
      <c r="AH2246" s="128"/>
    </row>
    <row r="2247" spans="30:34" x14ac:dyDescent="0.2">
      <c r="AD2247" s="8"/>
      <c r="AE2247" s="126"/>
      <c r="AF2247" s="125"/>
      <c r="AG2247" s="125"/>
      <c r="AH2247" s="128"/>
    </row>
    <row r="2248" spans="30:34" x14ac:dyDescent="0.2">
      <c r="AD2248" s="8"/>
      <c r="AE2248" s="126"/>
      <c r="AF2248" s="125"/>
      <c r="AG2248" s="125"/>
      <c r="AH2248" s="128"/>
    </row>
    <row r="2249" spans="30:34" x14ac:dyDescent="0.2">
      <c r="AD2249" s="8"/>
      <c r="AE2249" s="126"/>
      <c r="AF2249" s="125"/>
      <c r="AG2249" s="125"/>
      <c r="AH2249" s="128"/>
    </row>
    <row r="2250" spans="30:34" x14ac:dyDescent="0.2">
      <c r="AD2250" s="8"/>
      <c r="AE2250" s="126"/>
      <c r="AF2250" s="125"/>
      <c r="AG2250" s="125"/>
      <c r="AH2250" s="128"/>
    </row>
    <row r="2251" spans="30:34" x14ac:dyDescent="0.2">
      <c r="AD2251" s="8"/>
      <c r="AE2251" s="126"/>
      <c r="AF2251" s="125"/>
      <c r="AG2251" s="125"/>
      <c r="AH2251" s="128"/>
    </row>
    <row r="2252" spans="30:34" x14ac:dyDescent="0.2">
      <c r="AD2252" s="8"/>
      <c r="AE2252" s="126"/>
      <c r="AF2252" s="125"/>
      <c r="AG2252" s="125"/>
      <c r="AH2252" s="128"/>
    </row>
    <row r="2253" spans="30:34" x14ac:dyDescent="0.2">
      <c r="AD2253" s="8"/>
      <c r="AE2253" s="126"/>
      <c r="AF2253" s="125"/>
      <c r="AG2253" s="125"/>
      <c r="AH2253" s="128"/>
    </row>
    <row r="2254" spans="30:34" x14ac:dyDescent="0.2">
      <c r="AD2254" s="8"/>
      <c r="AE2254" s="126"/>
      <c r="AF2254" s="125"/>
      <c r="AG2254" s="125"/>
      <c r="AH2254" s="128"/>
    </row>
    <row r="2255" spans="30:34" x14ac:dyDescent="0.2">
      <c r="AD2255" s="8"/>
      <c r="AE2255" s="126"/>
      <c r="AF2255" s="125"/>
      <c r="AG2255" s="125"/>
      <c r="AH2255" s="128"/>
    </row>
    <row r="2256" spans="30:34" x14ac:dyDescent="0.2">
      <c r="AD2256" s="8"/>
      <c r="AE2256" s="126"/>
      <c r="AF2256" s="125"/>
      <c r="AG2256" s="125"/>
      <c r="AH2256" s="128"/>
    </row>
    <row r="2257" spans="30:34" x14ac:dyDescent="0.2">
      <c r="AD2257" s="8"/>
      <c r="AE2257" s="126"/>
      <c r="AF2257" s="125"/>
      <c r="AG2257" s="125"/>
      <c r="AH2257" s="128"/>
    </row>
    <row r="2258" spans="30:34" x14ac:dyDescent="0.2">
      <c r="AD2258" s="8"/>
      <c r="AE2258" s="126"/>
      <c r="AF2258" s="125"/>
      <c r="AG2258" s="125"/>
      <c r="AH2258" s="128"/>
    </row>
    <row r="2259" spans="30:34" x14ac:dyDescent="0.2">
      <c r="AD2259" s="8"/>
      <c r="AE2259" s="126"/>
      <c r="AF2259" s="125"/>
      <c r="AG2259" s="125"/>
      <c r="AH2259" s="128"/>
    </row>
    <row r="2260" spans="30:34" x14ac:dyDescent="0.2">
      <c r="AD2260" s="8"/>
      <c r="AE2260" s="126"/>
      <c r="AF2260" s="125"/>
      <c r="AG2260" s="125"/>
      <c r="AH2260" s="128"/>
    </row>
    <row r="2261" spans="30:34" x14ac:dyDescent="0.2">
      <c r="AD2261" s="8"/>
      <c r="AE2261" s="126"/>
      <c r="AF2261" s="125"/>
      <c r="AG2261" s="125"/>
      <c r="AH2261" s="128"/>
    </row>
    <row r="2262" spans="30:34" x14ac:dyDescent="0.2">
      <c r="AD2262" s="8"/>
      <c r="AE2262" s="126"/>
      <c r="AF2262" s="125"/>
      <c r="AG2262" s="125"/>
      <c r="AH2262" s="128"/>
    </row>
    <row r="2263" spans="30:34" x14ac:dyDescent="0.2">
      <c r="AD2263" s="8"/>
      <c r="AE2263" s="126"/>
      <c r="AF2263" s="125"/>
      <c r="AG2263" s="125"/>
      <c r="AH2263" s="128"/>
    </row>
    <row r="2264" spans="30:34" x14ac:dyDescent="0.2">
      <c r="AD2264" s="8"/>
      <c r="AE2264" s="126"/>
      <c r="AF2264" s="125"/>
      <c r="AG2264" s="125"/>
      <c r="AH2264" s="128"/>
    </row>
    <row r="2265" spans="30:34" x14ac:dyDescent="0.2">
      <c r="AD2265" s="8"/>
      <c r="AE2265" s="126"/>
      <c r="AF2265" s="125"/>
      <c r="AG2265" s="125"/>
      <c r="AH2265" s="128"/>
    </row>
    <row r="2266" spans="30:34" x14ac:dyDescent="0.2">
      <c r="AD2266" s="8"/>
      <c r="AE2266" s="126"/>
      <c r="AF2266" s="125"/>
      <c r="AG2266" s="125"/>
      <c r="AH2266" s="128"/>
    </row>
    <row r="2267" spans="30:34" x14ac:dyDescent="0.2">
      <c r="AD2267" s="8"/>
      <c r="AE2267" s="126"/>
      <c r="AF2267" s="125"/>
      <c r="AG2267" s="125"/>
      <c r="AH2267" s="128"/>
    </row>
    <row r="2268" spans="30:34" x14ac:dyDescent="0.2">
      <c r="AD2268" s="8"/>
      <c r="AE2268" s="126"/>
      <c r="AF2268" s="125"/>
      <c r="AG2268" s="125"/>
      <c r="AH2268" s="128"/>
    </row>
    <row r="2269" spans="30:34" x14ac:dyDescent="0.2">
      <c r="AD2269" s="8"/>
      <c r="AE2269" s="126"/>
      <c r="AF2269" s="125"/>
      <c r="AG2269" s="125"/>
      <c r="AH2269" s="128"/>
    </row>
    <row r="2270" spans="30:34" x14ac:dyDescent="0.2">
      <c r="AD2270" s="8"/>
      <c r="AE2270" s="126"/>
      <c r="AF2270" s="125"/>
      <c r="AG2270" s="125"/>
      <c r="AH2270" s="128"/>
    </row>
    <row r="2271" spans="30:34" x14ac:dyDescent="0.2">
      <c r="AD2271" s="8"/>
      <c r="AE2271" s="126"/>
      <c r="AF2271" s="125"/>
      <c r="AG2271" s="125"/>
      <c r="AH2271" s="128"/>
    </row>
    <row r="2272" spans="30:34" x14ac:dyDescent="0.2">
      <c r="AD2272" s="8"/>
      <c r="AE2272" s="126"/>
      <c r="AF2272" s="125"/>
      <c r="AG2272" s="125"/>
      <c r="AH2272" s="128"/>
    </row>
    <row r="2273" spans="30:34" x14ac:dyDescent="0.2">
      <c r="AD2273" s="8"/>
      <c r="AE2273" s="126"/>
      <c r="AF2273" s="125"/>
      <c r="AG2273" s="125"/>
      <c r="AH2273" s="128"/>
    </row>
    <row r="2274" spans="30:34" x14ac:dyDescent="0.2">
      <c r="AD2274" s="8"/>
      <c r="AE2274" s="126"/>
      <c r="AF2274" s="125"/>
      <c r="AG2274" s="125"/>
      <c r="AH2274" s="128"/>
    </row>
    <row r="2275" spans="30:34" x14ac:dyDescent="0.2">
      <c r="AD2275" s="8"/>
      <c r="AE2275" s="126"/>
      <c r="AF2275" s="125"/>
      <c r="AG2275" s="125"/>
      <c r="AH2275" s="128"/>
    </row>
    <row r="2276" spans="30:34" x14ac:dyDescent="0.2">
      <c r="AD2276" s="8"/>
      <c r="AE2276" s="126"/>
      <c r="AF2276" s="125"/>
      <c r="AG2276" s="125"/>
      <c r="AH2276" s="128"/>
    </row>
    <row r="2277" spans="30:34" x14ac:dyDescent="0.2">
      <c r="AD2277" s="8"/>
      <c r="AE2277" s="126"/>
      <c r="AF2277" s="125"/>
      <c r="AG2277" s="125"/>
      <c r="AH2277" s="128"/>
    </row>
    <row r="2278" spans="30:34" x14ac:dyDescent="0.2">
      <c r="AD2278" s="8"/>
      <c r="AE2278" s="126"/>
      <c r="AF2278" s="125"/>
      <c r="AG2278" s="125"/>
      <c r="AH2278" s="128"/>
    </row>
    <row r="2279" spans="30:34" x14ac:dyDescent="0.2">
      <c r="AD2279" s="8"/>
      <c r="AE2279" s="126"/>
      <c r="AF2279" s="125"/>
      <c r="AG2279" s="125"/>
      <c r="AH2279" s="128"/>
    </row>
    <row r="2280" spans="30:34" x14ac:dyDescent="0.2">
      <c r="AD2280" s="8"/>
      <c r="AE2280" s="126"/>
      <c r="AF2280" s="125"/>
      <c r="AG2280" s="125"/>
      <c r="AH2280" s="128"/>
    </row>
    <row r="2281" spans="30:34" x14ac:dyDescent="0.2">
      <c r="AD2281" s="8"/>
      <c r="AE2281" s="126"/>
      <c r="AF2281" s="125"/>
      <c r="AG2281" s="125"/>
      <c r="AH2281" s="128"/>
    </row>
    <row r="2282" spans="30:34" x14ac:dyDescent="0.2">
      <c r="AD2282" s="8"/>
      <c r="AE2282" s="126"/>
      <c r="AF2282" s="125"/>
      <c r="AG2282" s="125"/>
      <c r="AH2282" s="128"/>
    </row>
    <row r="2283" spans="30:34" x14ac:dyDescent="0.2">
      <c r="AD2283" s="8"/>
      <c r="AE2283" s="126"/>
      <c r="AF2283" s="125"/>
      <c r="AG2283" s="125"/>
      <c r="AH2283" s="128"/>
    </row>
    <row r="2284" spans="30:34" x14ac:dyDescent="0.2">
      <c r="AD2284" s="8"/>
      <c r="AE2284" s="126"/>
      <c r="AF2284" s="125"/>
      <c r="AG2284" s="125"/>
      <c r="AH2284" s="128"/>
    </row>
    <row r="2285" spans="30:34" x14ac:dyDescent="0.2">
      <c r="AD2285" s="8"/>
      <c r="AE2285" s="126"/>
      <c r="AF2285" s="125"/>
      <c r="AG2285" s="125"/>
      <c r="AH2285" s="128"/>
    </row>
    <row r="2286" spans="30:34" x14ac:dyDescent="0.2">
      <c r="AD2286" s="8"/>
      <c r="AE2286" s="126"/>
      <c r="AF2286" s="125"/>
      <c r="AG2286" s="125"/>
      <c r="AH2286" s="128"/>
    </row>
    <row r="2287" spans="30:34" x14ac:dyDescent="0.2">
      <c r="AD2287" s="8"/>
      <c r="AE2287" s="126"/>
      <c r="AF2287" s="125"/>
      <c r="AG2287" s="125"/>
      <c r="AH2287" s="128"/>
    </row>
    <row r="2288" spans="30:34" x14ac:dyDescent="0.2">
      <c r="AD2288" s="8"/>
      <c r="AE2288" s="126"/>
      <c r="AF2288" s="125"/>
      <c r="AG2288" s="125"/>
      <c r="AH2288" s="128"/>
    </row>
    <row r="2289" spans="30:34" x14ac:dyDescent="0.2">
      <c r="AD2289" s="8"/>
      <c r="AE2289" s="126"/>
      <c r="AF2289" s="125"/>
      <c r="AG2289" s="125"/>
      <c r="AH2289" s="128"/>
    </row>
    <row r="2290" spans="30:34" x14ac:dyDescent="0.2">
      <c r="AD2290" s="8"/>
      <c r="AE2290" s="126"/>
      <c r="AF2290" s="125"/>
      <c r="AG2290" s="125"/>
      <c r="AH2290" s="128"/>
    </row>
    <row r="2291" spans="30:34" x14ac:dyDescent="0.2">
      <c r="AD2291" s="8"/>
      <c r="AE2291" s="126"/>
      <c r="AF2291" s="125"/>
      <c r="AG2291" s="125"/>
      <c r="AH2291" s="128"/>
    </row>
    <row r="2292" spans="30:34" x14ac:dyDescent="0.2">
      <c r="AD2292" s="8"/>
      <c r="AE2292" s="126"/>
      <c r="AF2292" s="125"/>
      <c r="AG2292" s="125"/>
      <c r="AH2292" s="128"/>
    </row>
    <row r="2293" spans="30:34" x14ac:dyDescent="0.2">
      <c r="AD2293" s="8"/>
      <c r="AE2293" s="126"/>
      <c r="AF2293" s="125"/>
      <c r="AG2293" s="125"/>
      <c r="AH2293" s="128"/>
    </row>
    <row r="2294" spans="30:34" x14ac:dyDescent="0.2">
      <c r="AD2294" s="8"/>
      <c r="AE2294" s="126"/>
      <c r="AF2294" s="125"/>
      <c r="AG2294" s="125"/>
      <c r="AH2294" s="128"/>
    </row>
    <row r="2295" spans="30:34" x14ac:dyDescent="0.2">
      <c r="AD2295" s="8"/>
      <c r="AE2295" s="126"/>
      <c r="AF2295" s="125"/>
      <c r="AG2295" s="125"/>
      <c r="AH2295" s="128"/>
    </row>
    <row r="2296" spans="30:34" x14ac:dyDescent="0.2">
      <c r="AD2296" s="8"/>
      <c r="AE2296" s="126"/>
      <c r="AF2296" s="125"/>
      <c r="AG2296" s="125"/>
      <c r="AH2296" s="128"/>
    </row>
    <row r="2297" spans="30:34" x14ac:dyDescent="0.2">
      <c r="AD2297" s="8"/>
      <c r="AE2297" s="126"/>
      <c r="AF2297" s="125"/>
      <c r="AG2297" s="125"/>
      <c r="AH2297" s="128"/>
    </row>
    <row r="2298" spans="30:34" x14ac:dyDescent="0.2">
      <c r="AD2298" s="8"/>
      <c r="AE2298" s="126"/>
      <c r="AF2298" s="125"/>
      <c r="AG2298" s="125"/>
      <c r="AH2298" s="128"/>
    </row>
    <row r="2299" spans="30:34" x14ac:dyDescent="0.2">
      <c r="AD2299" s="8"/>
      <c r="AE2299" s="126"/>
      <c r="AF2299" s="125"/>
      <c r="AG2299" s="125"/>
      <c r="AH2299" s="128"/>
    </row>
    <row r="2300" spans="30:34" x14ac:dyDescent="0.2">
      <c r="AD2300" s="8"/>
      <c r="AE2300" s="126"/>
      <c r="AF2300" s="125"/>
      <c r="AG2300" s="125"/>
      <c r="AH2300" s="128"/>
    </row>
    <row r="2301" spans="30:34" x14ac:dyDescent="0.2">
      <c r="AD2301" s="8"/>
      <c r="AE2301" s="126"/>
      <c r="AF2301" s="125"/>
      <c r="AG2301" s="125"/>
      <c r="AH2301" s="128"/>
    </row>
    <row r="2302" spans="30:34" x14ac:dyDescent="0.2">
      <c r="AD2302" s="8"/>
      <c r="AE2302" s="126"/>
      <c r="AF2302" s="125"/>
      <c r="AG2302" s="125"/>
      <c r="AH2302" s="128"/>
    </row>
    <row r="2303" spans="30:34" x14ac:dyDescent="0.2">
      <c r="AD2303" s="8"/>
      <c r="AE2303" s="126"/>
      <c r="AF2303" s="125"/>
      <c r="AG2303" s="125"/>
      <c r="AH2303" s="128"/>
    </row>
    <row r="2304" spans="30:34" x14ac:dyDescent="0.2">
      <c r="AD2304" s="8"/>
      <c r="AE2304" s="126"/>
      <c r="AF2304" s="125"/>
      <c r="AG2304" s="125"/>
      <c r="AH2304" s="128"/>
    </row>
    <row r="2305" spans="30:34" x14ac:dyDescent="0.2">
      <c r="AD2305" s="8"/>
      <c r="AE2305" s="126"/>
      <c r="AF2305" s="125"/>
      <c r="AG2305" s="125"/>
      <c r="AH2305" s="128"/>
    </row>
    <row r="2306" spans="30:34" x14ac:dyDescent="0.2">
      <c r="AD2306" s="8"/>
      <c r="AE2306" s="126"/>
      <c r="AF2306" s="125"/>
      <c r="AG2306" s="125"/>
      <c r="AH2306" s="128"/>
    </row>
    <row r="2307" spans="30:34" x14ac:dyDescent="0.2">
      <c r="AD2307" s="8"/>
      <c r="AE2307" s="126"/>
      <c r="AF2307" s="125"/>
      <c r="AG2307" s="125"/>
      <c r="AH2307" s="128"/>
    </row>
    <row r="2308" spans="30:34" x14ac:dyDescent="0.2">
      <c r="AD2308" s="8"/>
      <c r="AE2308" s="126"/>
      <c r="AF2308" s="125"/>
      <c r="AG2308" s="125"/>
      <c r="AH2308" s="128"/>
    </row>
    <row r="2309" spans="30:34" x14ac:dyDescent="0.2">
      <c r="AD2309" s="8"/>
      <c r="AE2309" s="126"/>
      <c r="AF2309" s="125"/>
      <c r="AG2309" s="125"/>
      <c r="AH2309" s="128"/>
    </row>
    <row r="2310" spans="30:34" x14ac:dyDescent="0.2">
      <c r="AD2310" s="8"/>
      <c r="AE2310" s="126"/>
      <c r="AF2310" s="125"/>
      <c r="AG2310" s="125"/>
      <c r="AH2310" s="128"/>
    </row>
    <row r="2311" spans="30:34" x14ac:dyDescent="0.2">
      <c r="AD2311" s="8"/>
      <c r="AE2311" s="126"/>
      <c r="AF2311" s="125"/>
      <c r="AG2311" s="125"/>
      <c r="AH2311" s="128"/>
    </row>
    <row r="2312" spans="30:34" x14ac:dyDescent="0.2">
      <c r="AD2312" s="8"/>
      <c r="AE2312" s="126"/>
      <c r="AF2312" s="125"/>
      <c r="AG2312" s="125"/>
      <c r="AH2312" s="128"/>
    </row>
    <row r="2313" spans="30:34" x14ac:dyDescent="0.2">
      <c r="AD2313" s="8"/>
      <c r="AE2313" s="126"/>
      <c r="AF2313" s="125"/>
      <c r="AG2313" s="125"/>
      <c r="AH2313" s="128"/>
    </row>
    <row r="2314" spans="30:34" x14ac:dyDescent="0.2">
      <c r="AD2314" s="8"/>
      <c r="AE2314" s="126"/>
      <c r="AF2314" s="125"/>
      <c r="AG2314" s="125"/>
      <c r="AH2314" s="128"/>
    </row>
    <row r="2315" spans="30:34" x14ac:dyDescent="0.2">
      <c r="AD2315" s="8"/>
      <c r="AE2315" s="126"/>
      <c r="AF2315" s="125"/>
      <c r="AG2315" s="125"/>
      <c r="AH2315" s="128"/>
    </row>
    <row r="2316" spans="30:34" x14ac:dyDescent="0.2">
      <c r="AD2316" s="8"/>
      <c r="AE2316" s="126"/>
      <c r="AF2316" s="125"/>
      <c r="AG2316" s="125"/>
      <c r="AH2316" s="128"/>
    </row>
    <row r="2317" spans="30:34" x14ac:dyDescent="0.2">
      <c r="AD2317" s="8"/>
      <c r="AE2317" s="126"/>
      <c r="AF2317" s="125"/>
      <c r="AG2317" s="125"/>
      <c r="AH2317" s="128"/>
    </row>
    <row r="2318" spans="30:34" x14ac:dyDescent="0.2">
      <c r="AD2318" s="8"/>
      <c r="AE2318" s="126"/>
      <c r="AF2318" s="125"/>
      <c r="AG2318" s="125"/>
      <c r="AH2318" s="128"/>
    </row>
    <row r="2319" spans="30:34" x14ac:dyDescent="0.2">
      <c r="AD2319" s="8"/>
      <c r="AE2319" s="126"/>
      <c r="AF2319" s="125"/>
      <c r="AG2319" s="125"/>
      <c r="AH2319" s="128"/>
    </row>
    <row r="2320" spans="30:34" x14ac:dyDescent="0.2">
      <c r="AD2320" s="8"/>
      <c r="AE2320" s="126"/>
      <c r="AF2320" s="125"/>
      <c r="AG2320" s="125"/>
      <c r="AH2320" s="128"/>
    </row>
    <row r="2321" spans="30:34" x14ac:dyDescent="0.2">
      <c r="AD2321" s="8"/>
      <c r="AE2321" s="126"/>
      <c r="AF2321" s="125"/>
      <c r="AG2321" s="125"/>
      <c r="AH2321" s="128"/>
    </row>
    <row r="2322" spans="30:34" x14ac:dyDescent="0.2">
      <c r="AD2322" s="8"/>
      <c r="AE2322" s="126"/>
      <c r="AF2322" s="125"/>
      <c r="AG2322" s="125"/>
      <c r="AH2322" s="128"/>
    </row>
    <row r="2323" spans="30:34" x14ac:dyDescent="0.2">
      <c r="AD2323" s="8"/>
      <c r="AE2323" s="126"/>
      <c r="AF2323" s="125"/>
      <c r="AG2323" s="125"/>
      <c r="AH2323" s="128"/>
    </row>
    <row r="2324" spans="30:34" x14ac:dyDescent="0.2">
      <c r="AD2324" s="8"/>
      <c r="AE2324" s="126"/>
      <c r="AF2324" s="125"/>
      <c r="AG2324" s="125"/>
      <c r="AH2324" s="128"/>
    </row>
    <row r="2325" spans="30:34" x14ac:dyDescent="0.2">
      <c r="AD2325" s="8"/>
      <c r="AE2325" s="126"/>
      <c r="AF2325" s="125"/>
      <c r="AG2325" s="125"/>
      <c r="AH2325" s="128"/>
    </row>
    <row r="2326" spans="30:34" x14ac:dyDescent="0.2">
      <c r="AD2326" s="8"/>
      <c r="AE2326" s="126"/>
      <c r="AF2326" s="125"/>
      <c r="AG2326" s="125"/>
      <c r="AH2326" s="128"/>
    </row>
    <row r="2327" spans="30:34" x14ac:dyDescent="0.2">
      <c r="AD2327" s="8"/>
      <c r="AE2327" s="126"/>
      <c r="AF2327" s="125"/>
      <c r="AG2327" s="125"/>
      <c r="AH2327" s="128"/>
    </row>
    <row r="2328" spans="30:34" x14ac:dyDescent="0.2">
      <c r="AD2328" s="8"/>
      <c r="AE2328" s="126"/>
      <c r="AF2328" s="125"/>
      <c r="AG2328" s="125"/>
      <c r="AH2328" s="128"/>
    </row>
    <row r="2329" spans="30:34" x14ac:dyDescent="0.2">
      <c r="AD2329" s="8"/>
      <c r="AE2329" s="126"/>
      <c r="AF2329" s="125"/>
      <c r="AG2329" s="125"/>
      <c r="AH2329" s="128"/>
    </row>
    <row r="2330" spans="30:34" x14ac:dyDescent="0.2">
      <c r="AD2330" s="8"/>
      <c r="AE2330" s="126"/>
      <c r="AF2330" s="125"/>
      <c r="AG2330" s="125"/>
      <c r="AH2330" s="128"/>
    </row>
    <row r="2331" spans="30:34" x14ac:dyDescent="0.2">
      <c r="AD2331" s="8"/>
      <c r="AE2331" s="126"/>
      <c r="AF2331" s="125"/>
      <c r="AG2331" s="125"/>
      <c r="AH2331" s="128"/>
    </row>
    <row r="2332" spans="30:34" x14ac:dyDescent="0.2">
      <c r="AD2332" s="8"/>
      <c r="AE2332" s="126"/>
      <c r="AF2332" s="125"/>
      <c r="AG2332" s="125"/>
      <c r="AH2332" s="128"/>
    </row>
    <row r="2333" spans="30:34" x14ac:dyDescent="0.2">
      <c r="AD2333" s="8"/>
      <c r="AE2333" s="126"/>
      <c r="AF2333" s="125"/>
      <c r="AG2333" s="125"/>
      <c r="AH2333" s="128"/>
    </row>
    <row r="2334" spans="30:34" x14ac:dyDescent="0.2">
      <c r="AD2334" s="8"/>
      <c r="AE2334" s="126"/>
      <c r="AF2334" s="125"/>
      <c r="AG2334" s="125"/>
      <c r="AH2334" s="128"/>
    </row>
    <row r="2335" spans="30:34" x14ac:dyDescent="0.2">
      <c r="AD2335" s="8"/>
      <c r="AE2335" s="126"/>
      <c r="AF2335" s="125"/>
      <c r="AG2335" s="125"/>
      <c r="AH2335" s="128"/>
    </row>
    <row r="2336" spans="30:34" x14ac:dyDescent="0.2">
      <c r="AD2336" s="8"/>
      <c r="AE2336" s="126"/>
      <c r="AF2336" s="125"/>
      <c r="AG2336" s="125"/>
      <c r="AH2336" s="128"/>
    </row>
    <row r="2337" spans="30:34" x14ac:dyDescent="0.2">
      <c r="AD2337" s="8"/>
      <c r="AE2337" s="126"/>
      <c r="AF2337" s="125"/>
      <c r="AG2337" s="125"/>
      <c r="AH2337" s="128"/>
    </row>
    <row r="2338" spans="30:34" x14ac:dyDescent="0.2">
      <c r="AD2338" s="8"/>
      <c r="AE2338" s="126"/>
      <c r="AF2338" s="125"/>
      <c r="AG2338" s="125"/>
      <c r="AH2338" s="128"/>
    </row>
    <row r="2339" spans="30:34" x14ac:dyDescent="0.2">
      <c r="AD2339" s="8"/>
      <c r="AE2339" s="126"/>
      <c r="AF2339" s="125"/>
      <c r="AG2339" s="125"/>
      <c r="AH2339" s="128"/>
    </row>
    <row r="2340" spans="30:34" x14ac:dyDescent="0.2">
      <c r="AD2340" s="8"/>
      <c r="AE2340" s="126"/>
      <c r="AF2340" s="125"/>
      <c r="AG2340" s="125"/>
      <c r="AH2340" s="128"/>
    </row>
    <row r="2341" spans="30:34" x14ac:dyDescent="0.2">
      <c r="AD2341" s="8"/>
      <c r="AE2341" s="126"/>
      <c r="AF2341" s="125"/>
      <c r="AG2341" s="125"/>
      <c r="AH2341" s="128"/>
    </row>
    <row r="2342" spans="30:34" x14ac:dyDescent="0.2">
      <c r="AD2342" s="8"/>
      <c r="AE2342" s="126"/>
      <c r="AF2342" s="125"/>
      <c r="AG2342" s="125"/>
      <c r="AH2342" s="128"/>
    </row>
    <row r="2343" spans="30:34" x14ac:dyDescent="0.2">
      <c r="AD2343" s="8"/>
      <c r="AE2343" s="126"/>
      <c r="AF2343" s="125"/>
      <c r="AG2343" s="125"/>
      <c r="AH2343" s="128"/>
    </row>
    <row r="2344" spans="30:34" x14ac:dyDescent="0.2">
      <c r="AD2344" s="8"/>
      <c r="AE2344" s="126"/>
      <c r="AF2344" s="125"/>
      <c r="AG2344" s="125"/>
      <c r="AH2344" s="128"/>
    </row>
    <row r="2345" spans="30:34" x14ac:dyDescent="0.2">
      <c r="AD2345" s="8"/>
      <c r="AE2345" s="126"/>
      <c r="AF2345" s="125"/>
      <c r="AG2345" s="125"/>
      <c r="AH2345" s="128"/>
    </row>
    <row r="2346" spans="30:34" x14ac:dyDescent="0.2">
      <c r="AD2346" s="8"/>
      <c r="AE2346" s="126"/>
      <c r="AF2346" s="125"/>
      <c r="AG2346" s="125"/>
      <c r="AH2346" s="128"/>
    </row>
    <row r="2347" spans="30:34" x14ac:dyDescent="0.2">
      <c r="AD2347" s="8"/>
      <c r="AE2347" s="126"/>
      <c r="AF2347" s="125"/>
      <c r="AG2347" s="125"/>
      <c r="AH2347" s="128"/>
    </row>
    <row r="2348" spans="30:34" x14ac:dyDescent="0.2">
      <c r="AD2348" s="8"/>
      <c r="AE2348" s="126"/>
      <c r="AF2348" s="125"/>
      <c r="AG2348" s="125"/>
      <c r="AH2348" s="128"/>
    </row>
    <row r="2349" spans="30:34" x14ac:dyDescent="0.2">
      <c r="AD2349" s="8"/>
      <c r="AE2349" s="126"/>
      <c r="AF2349" s="125"/>
      <c r="AG2349" s="125"/>
      <c r="AH2349" s="128"/>
    </row>
    <row r="2350" spans="30:34" x14ac:dyDescent="0.2">
      <c r="AD2350" s="8"/>
      <c r="AE2350" s="126"/>
      <c r="AF2350" s="125"/>
      <c r="AG2350" s="125"/>
      <c r="AH2350" s="128"/>
    </row>
    <row r="2351" spans="30:34" x14ac:dyDescent="0.2">
      <c r="AD2351" s="8"/>
      <c r="AE2351" s="126"/>
      <c r="AF2351" s="125"/>
      <c r="AG2351" s="125"/>
      <c r="AH2351" s="128"/>
    </row>
    <row r="2352" spans="30:34" x14ac:dyDescent="0.2">
      <c r="AD2352" s="8"/>
      <c r="AE2352" s="126"/>
      <c r="AF2352" s="125"/>
      <c r="AG2352" s="125"/>
      <c r="AH2352" s="128"/>
    </row>
    <row r="2353" spans="30:34" x14ac:dyDescent="0.2">
      <c r="AD2353" s="8"/>
      <c r="AE2353" s="126"/>
      <c r="AF2353" s="125"/>
      <c r="AG2353" s="125"/>
      <c r="AH2353" s="128"/>
    </row>
    <row r="2354" spans="30:34" x14ac:dyDescent="0.2">
      <c r="AD2354" s="8"/>
      <c r="AE2354" s="126"/>
      <c r="AF2354" s="125"/>
      <c r="AG2354" s="125"/>
      <c r="AH2354" s="128"/>
    </row>
    <row r="2355" spans="30:34" x14ac:dyDescent="0.2">
      <c r="AD2355" s="8"/>
      <c r="AE2355" s="126"/>
      <c r="AF2355" s="125"/>
      <c r="AG2355" s="125"/>
      <c r="AH2355" s="128"/>
    </row>
    <row r="2356" spans="30:34" x14ac:dyDescent="0.2">
      <c r="AD2356" s="8"/>
      <c r="AE2356" s="126"/>
      <c r="AF2356" s="125"/>
      <c r="AG2356" s="125"/>
      <c r="AH2356" s="128"/>
    </row>
    <row r="2357" spans="30:34" x14ac:dyDescent="0.2">
      <c r="AD2357" s="8"/>
      <c r="AE2357" s="126"/>
      <c r="AF2357" s="125"/>
      <c r="AG2357" s="125"/>
      <c r="AH2357" s="128"/>
    </row>
    <row r="2358" spans="30:34" x14ac:dyDescent="0.2">
      <c r="AD2358" s="8"/>
      <c r="AE2358" s="126"/>
      <c r="AF2358" s="125"/>
      <c r="AG2358" s="125"/>
      <c r="AH2358" s="128"/>
    </row>
    <row r="2359" spans="30:34" x14ac:dyDescent="0.2">
      <c r="AD2359" s="8"/>
      <c r="AE2359" s="126"/>
      <c r="AF2359" s="125"/>
      <c r="AG2359" s="125"/>
      <c r="AH2359" s="128"/>
    </row>
    <row r="2360" spans="30:34" x14ac:dyDescent="0.2">
      <c r="AD2360" s="8"/>
      <c r="AE2360" s="126"/>
      <c r="AF2360" s="125"/>
      <c r="AG2360" s="125"/>
      <c r="AH2360" s="128"/>
    </row>
    <row r="2361" spans="30:34" x14ac:dyDescent="0.2">
      <c r="AD2361" s="8"/>
      <c r="AE2361" s="126"/>
      <c r="AF2361" s="125"/>
      <c r="AG2361" s="125"/>
      <c r="AH2361" s="128"/>
    </row>
    <row r="2362" spans="30:34" x14ac:dyDescent="0.2">
      <c r="AD2362" s="8"/>
      <c r="AE2362" s="126"/>
      <c r="AF2362" s="125"/>
      <c r="AG2362" s="125"/>
      <c r="AH2362" s="128"/>
    </row>
    <row r="2363" spans="30:34" x14ac:dyDescent="0.2">
      <c r="AD2363" s="8"/>
      <c r="AE2363" s="126"/>
      <c r="AF2363" s="125"/>
      <c r="AG2363" s="125"/>
      <c r="AH2363" s="128"/>
    </row>
    <row r="2364" spans="30:34" x14ac:dyDescent="0.2">
      <c r="AD2364" s="8"/>
      <c r="AE2364" s="126"/>
      <c r="AF2364" s="125"/>
      <c r="AG2364" s="125"/>
      <c r="AH2364" s="128"/>
    </row>
    <row r="2365" spans="30:34" x14ac:dyDescent="0.2">
      <c r="AD2365" s="8"/>
      <c r="AE2365" s="126"/>
      <c r="AF2365" s="125"/>
      <c r="AG2365" s="125"/>
      <c r="AH2365" s="128"/>
    </row>
    <row r="2366" spans="30:34" x14ac:dyDescent="0.2">
      <c r="AD2366" s="8"/>
      <c r="AE2366" s="126"/>
      <c r="AF2366" s="125"/>
      <c r="AG2366" s="125"/>
      <c r="AH2366" s="128"/>
    </row>
    <row r="2367" spans="30:34" x14ac:dyDescent="0.2">
      <c r="AD2367" s="8"/>
      <c r="AE2367" s="126"/>
      <c r="AF2367" s="125"/>
      <c r="AG2367" s="125"/>
      <c r="AH2367" s="128"/>
    </row>
    <row r="2368" spans="30:34" x14ac:dyDescent="0.2">
      <c r="AD2368" s="8"/>
      <c r="AE2368" s="126"/>
      <c r="AF2368" s="125"/>
      <c r="AG2368" s="125"/>
      <c r="AH2368" s="128"/>
    </row>
    <row r="2369" spans="30:34" x14ac:dyDescent="0.2">
      <c r="AD2369" s="8"/>
      <c r="AE2369" s="126"/>
      <c r="AF2369" s="125"/>
      <c r="AG2369" s="125"/>
      <c r="AH2369" s="128"/>
    </row>
    <row r="2370" spans="30:34" x14ac:dyDescent="0.2">
      <c r="AD2370" s="8"/>
      <c r="AE2370" s="126"/>
      <c r="AF2370" s="125"/>
      <c r="AG2370" s="125"/>
      <c r="AH2370" s="128"/>
    </row>
    <row r="2371" spans="30:34" x14ac:dyDescent="0.2">
      <c r="AD2371" s="8"/>
      <c r="AE2371" s="126"/>
      <c r="AF2371" s="125"/>
      <c r="AG2371" s="125"/>
      <c r="AH2371" s="128"/>
    </row>
    <row r="2372" spans="30:34" x14ac:dyDescent="0.2">
      <c r="AD2372" s="8"/>
      <c r="AE2372" s="126"/>
      <c r="AF2372" s="125"/>
      <c r="AG2372" s="125"/>
      <c r="AH2372" s="128"/>
    </row>
    <row r="2373" spans="30:34" x14ac:dyDescent="0.2">
      <c r="AD2373" s="8"/>
      <c r="AE2373" s="126"/>
      <c r="AF2373" s="125"/>
      <c r="AG2373" s="125"/>
      <c r="AH2373" s="128"/>
    </row>
    <row r="2374" spans="30:34" x14ac:dyDescent="0.2">
      <c r="AD2374" s="8"/>
      <c r="AE2374" s="126"/>
      <c r="AF2374" s="125"/>
      <c r="AG2374" s="125"/>
      <c r="AH2374" s="128"/>
    </row>
    <row r="2375" spans="30:34" x14ac:dyDescent="0.2">
      <c r="AD2375" s="8"/>
      <c r="AE2375" s="126"/>
      <c r="AF2375" s="125"/>
      <c r="AG2375" s="125"/>
      <c r="AH2375" s="128"/>
    </row>
    <row r="2376" spans="30:34" x14ac:dyDescent="0.2">
      <c r="AD2376" s="8"/>
      <c r="AE2376" s="126"/>
      <c r="AF2376" s="125"/>
      <c r="AG2376" s="125"/>
      <c r="AH2376" s="128"/>
    </row>
    <row r="2377" spans="30:34" x14ac:dyDescent="0.2">
      <c r="AD2377" s="8"/>
      <c r="AE2377" s="126"/>
      <c r="AF2377" s="125"/>
      <c r="AG2377" s="125"/>
      <c r="AH2377" s="128"/>
    </row>
    <row r="2378" spans="30:34" x14ac:dyDescent="0.2">
      <c r="AD2378" s="8"/>
      <c r="AE2378" s="126"/>
      <c r="AF2378" s="125"/>
      <c r="AG2378" s="125"/>
      <c r="AH2378" s="128"/>
    </row>
    <row r="2379" spans="30:34" x14ac:dyDescent="0.2">
      <c r="AD2379" s="8"/>
      <c r="AE2379" s="126"/>
      <c r="AF2379" s="125"/>
      <c r="AG2379" s="125"/>
      <c r="AH2379" s="128"/>
    </row>
    <row r="2380" spans="30:34" x14ac:dyDescent="0.2">
      <c r="AD2380" s="8"/>
      <c r="AE2380" s="126"/>
      <c r="AF2380" s="125"/>
      <c r="AG2380" s="125"/>
      <c r="AH2380" s="128"/>
    </row>
    <row r="2381" spans="30:34" x14ac:dyDescent="0.2">
      <c r="AD2381" s="8"/>
      <c r="AE2381" s="126"/>
      <c r="AF2381" s="125"/>
      <c r="AG2381" s="125"/>
      <c r="AH2381" s="128"/>
    </row>
    <row r="2382" spans="30:34" x14ac:dyDescent="0.2">
      <c r="AD2382" s="8"/>
      <c r="AE2382" s="126"/>
      <c r="AF2382" s="125"/>
      <c r="AG2382" s="125"/>
      <c r="AH2382" s="128"/>
    </row>
    <row r="2383" spans="30:34" x14ac:dyDescent="0.2">
      <c r="AD2383" s="8"/>
      <c r="AE2383" s="126"/>
      <c r="AF2383" s="125"/>
      <c r="AG2383" s="125"/>
      <c r="AH2383" s="128"/>
    </row>
    <row r="2384" spans="30:34" x14ac:dyDescent="0.2">
      <c r="AD2384" s="8"/>
      <c r="AE2384" s="126"/>
      <c r="AF2384" s="125"/>
      <c r="AG2384" s="125"/>
      <c r="AH2384" s="128"/>
    </row>
    <row r="2385" spans="30:34" x14ac:dyDescent="0.2">
      <c r="AD2385" s="8"/>
      <c r="AE2385" s="126"/>
      <c r="AF2385" s="125"/>
      <c r="AG2385" s="125"/>
      <c r="AH2385" s="128"/>
    </row>
    <row r="2386" spans="30:34" x14ac:dyDescent="0.2">
      <c r="AD2386" s="8"/>
      <c r="AE2386" s="126"/>
      <c r="AF2386" s="125"/>
      <c r="AG2386" s="125"/>
      <c r="AH2386" s="128"/>
    </row>
    <row r="2387" spans="30:34" x14ac:dyDescent="0.2">
      <c r="AD2387" s="8"/>
      <c r="AE2387" s="126"/>
      <c r="AF2387" s="125"/>
      <c r="AG2387" s="125"/>
      <c r="AH2387" s="128"/>
    </row>
    <row r="2388" spans="30:34" x14ac:dyDescent="0.2">
      <c r="AD2388" s="8"/>
      <c r="AE2388" s="126"/>
      <c r="AF2388" s="125"/>
      <c r="AG2388" s="125"/>
      <c r="AH2388" s="128"/>
    </row>
    <row r="2389" spans="30:34" x14ac:dyDescent="0.2">
      <c r="AD2389" s="8"/>
      <c r="AE2389" s="126"/>
      <c r="AF2389" s="125"/>
      <c r="AG2389" s="125"/>
      <c r="AH2389" s="128"/>
    </row>
    <row r="2390" spans="30:34" x14ac:dyDescent="0.2">
      <c r="AD2390" s="8"/>
      <c r="AE2390" s="126"/>
      <c r="AF2390" s="125"/>
      <c r="AG2390" s="125"/>
      <c r="AH2390" s="128"/>
    </row>
    <row r="2391" spans="30:34" x14ac:dyDescent="0.2">
      <c r="AD2391" s="8"/>
      <c r="AE2391" s="126"/>
      <c r="AF2391" s="125"/>
      <c r="AG2391" s="125"/>
      <c r="AH2391" s="128"/>
    </row>
    <row r="2392" spans="30:34" x14ac:dyDescent="0.2">
      <c r="AD2392" s="8"/>
      <c r="AE2392" s="126"/>
      <c r="AF2392" s="125"/>
      <c r="AG2392" s="125"/>
      <c r="AH2392" s="128"/>
    </row>
    <row r="2393" spans="30:34" x14ac:dyDescent="0.2">
      <c r="AD2393" s="8"/>
      <c r="AE2393" s="126"/>
      <c r="AF2393" s="125"/>
      <c r="AG2393" s="125"/>
      <c r="AH2393" s="128"/>
    </row>
    <row r="2394" spans="30:34" x14ac:dyDescent="0.2">
      <c r="AD2394" s="8"/>
      <c r="AE2394" s="126"/>
      <c r="AF2394" s="125"/>
      <c r="AG2394" s="125"/>
      <c r="AH2394" s="128"/>
    </row>
    <row r="2395" spans="30:34" x14ac:dyDescent="0.2">
      <c r="AD2395" s="8"/>
      <c r="AE2395" s="126"/>
      <c r="AF2395" s="125"/>
      <c r="AG2395" s="125"/>
      <c r="AH2395" s="128"/>
    </row>
    <row r="2396" spans="30:34" x14ac:dyDescent="0.2">
      <c r="AD2396" s="8"/>
      <c r="AE2396" s="126"/>
      <c r="AF2396" s="125"/>
      <c r="AG2396" s="125"/>
      <c r="AH2396" s="128"/>
    </row>
    <row r="2397" spans="30:34" x14ac:dyDescent="0.2">
      <c r="AD2397" s="8"/>
      <c r="AE2397" s="126"/>
      <c r="AF2397" s="125"/>
      <c r="AG2397" s="125"/>
      <c r="AH2397" s="128"/>
    </row>
    <row r="2398" spans="30:34" x14ac:dyDescent="0.2">
      <c r="AD2398" s="8"/>
      <c r="AE2398" s="126"/>
      <c r="AF2398" s="125"/>
      <c r="AG2398" s="125"/>
      <c r="AH2398" s="128"/>
    </row>
    <row r="2399" spans="30:34" x14ac:dyDescent="0.2">
      <c r="AD2399" s="8"/>
      <c r="AE2399" s="126"/>
      <c r="AF2399" s="125"/>
      <c r="AG2399" s="125"/>
      <c r="AH2399" s="128"/>
    </row>
    <row r="2400" spans="30:34" x14ac:dyDescent="0.2">
      <c r="AD2400" s="8"/>
      <c r="AE2400" s="126"/>
      <c r="AF2400" s="125"/>
      <c r="AG2400" s="125"/>
      <c r="AH2400" s="128"/>
    </row>
    <row r="2401" spans="30:34" x14ac:dyDescent="0.2">
      <c r="AD2401" s="8"/>
      <c r="AE2401" s="126"/>
      <c r="AF2401" s="125"/>
      <c r="AG2401" s="125"/>
      <c r="AH2401" s="128"/>
    </row>
    <row r="2402" spans="30:34" x14ac:dyDescent="0.2">
      <c r="AD2402" s="8"/>
      <c r="AE2402" s="126"/>
      <c r="AF2402" s="125"/>
      <c r="AG2402" s="125"/>
      <c r="AH2402" s="128"/>
    </row>
    <row r="2403" spans="30:34" x14ac:dyDescent="0.2">
      <c r="AD2403" s="8"/>
      <c r="AE2403" s="126"/>
      <c r="AF2403" s="125"/>
      <c r="AG2403" s="125"/>
      <c r="AH2403" s="128"/>
    </row>
    <row r="2404" spans="30:34" x14ac:dyDescent="0.2">
      <c r="AD2404" s="8"/>
      <c r="AE2404" s="126"/>
      <c r="AF2404" s="125"/>
      <c r="AG2404" s="125"/>
      <c r="AH2404" s="128"/>
    </row>
    <row r="2405" spans="30:34" x14ac:dyDescent="0.2">
      <c r="AD2405" s="8"/>
      <c r="AE2405" s="126"/>
      <c r="AF2405" s="125"/>
      <c r="AG2405" s="125"/>
      <c r="AH2405" s="128"/>
    </row>
    <row r="2406" spans="30:34" x14ac:dyDescent="0.2">
      <c r="AD2406" s="8"/>
      <c r="AE2406" s="126"/>
      <c r="AF2406" s="125"/>
      <c r="AG2406" s="125"/>
      <c r="AH2406" s="128"/>
    </row>
    <row r="2407" spans="30:34" x14ac:dyDescent="0.2">
      <c r="AD2407" s="8"/>
      <c r="AE2407" s="126"/>
      <c r="AF2407" s="125"/>
      <c r="AG2407" s="125"/>
      <c r="AH2407" s="128"/>
    </row>
    <row r="2408" spans="30:34" x14ac:dyDescent="0.2">
      <c r="AD2408" s="8"/>
      <c r="AE2408" s="126"/>
      <c r="AF2408" s="125"/>
      <c r="AG2408" s="125"/>
      <c r="AH2408" s="128"/>
    </row>
    <row r="2409" spans="30:34" x14ac:dyDescent="0.2">
      <c r="AD2409" s="8"/>
      <c r="AE2409" s="126"/>
      <c r="AF2409" s="125"/>
      <c r="AG2409" s="125"/>
      <c r="AH2409" s="128"/>
    </row>
    <row r="2410" spans="30:34" x14ac:dyDescent="0.2">
      <c r="AD2410" s="8"/>
      <c r="AE2410" s="126"/>
      <c r="AF2410" s="125"/>
      <c r="AG2410" s="125"/>
      <c r="AH2410" s="128"/>
    </row>
    <row r="2411" spans="30:34" x14ac:dyDescent="0.2">
      <c r="AD2411" s="8"/>
      <c r="AE2411" s="126"/>
      <c r="AF2411" s="125"/>
      <c r="AG2411" s="125"/>
      <c r="AH2411" s="128"/>
    </row>
    <row r="2412" spans="30:34" x14ac:dyDescent="0.2">
      <c r="AD2412" s="8"/>
      <c r="AE2412" s="126"/>
      <c r="AF2412" s="125"/>
      <c r="AG2412" s="125"/>
      <c r="AH2412" s="128"/>
    </row>
    <row r="2413" spans="30:34" x14ac:dyDescent="0.2">
      <c r="AD2413" s="8"/>
      <c r="AE2413" s="126"/>
      <c r="AF2413" s="125"/>
      <c r="AG2413" s="125"/>
      <c r="AH2413" s="128"/>
    </row>
    <row r="2414" spans="30:34" x14ac:dyDescent="0.2">
      <c r="AD2414" s="8"/>
      <c r="AE2414" s="126"/>
      <c r="AF2414" s="125"/>
      <c r="AG2414" s="125"/>
      <c r="AH2414" s="128"/>
    </row>
    <row r="2415" spans="30:34" x14ac:dyDescent="0.2">
      <c r="AD2415" s="8"/>
      <c r="AE2415" s="126"/>
      <c r="AF2415" s="125"/>
      <c r="AG2415" s="125"/>
      <c r="AH2415" s="128"/>
    </row>
    <row r="2416" spans="30:34" x14ac:dyDescent="0.2">
      <c r="AD2416" s="8"/>
      <c r="AE2416" s="126"/>
      <c r="AF2416" s="125"/>
      <c r="AG2416" s="125"/>
      <c r="AH2416" s="128"/>
    </row>
    <row r="2417" spans="30:34" x14ac:dyDescent="0.2">
      <c r="AD2417" s="8"/>
      <c r="AE2417" s="126"/>
      <c r="AF2417" s="125"/>
      <c r="AG2417" s="125"/>
      <c r="AH2417" s="128"/>
    </row>
    <row r="2418" spans="30:34" x14ac:dyDescent="0.2">
      <c r="AD2418" s="8"/>
      <c r="AE2418" s="126"/>
      <c r="AF2418" s="125"/>
      <c r="AG2418" s="125"/>
      <c r="AH2418" s="128"/>
    </row>
    <row r="2419" spans="30:34" x14ac:dyDescent="0.2">
      <c r="AD2419" s="8"/>
      <c r="AE2419" s="126"/>
      <c r="AF2419" s="125"/>
      <c r="AG2419" s="125"/>
      <c r="AH2419" s="128"/>
    </row>
    <row r="2420" spans="30:34" x14ac:dyDescent="0.2">
      <c r="AD2420" s="8"/>
      <c r="AE2420" s="126"/>
      <c r="AF2420" s="125"/>
      <c r="AG2420" s="125"/>
      <c r="AH2420" s="128"/>
    </row>
    <row r="2421" spans="30:34" x14ac:dyDescent="0.2">
      <c r="AD2421" s="8"/>
      <c r="AE2421" s="126"/>
      <c r="AF2421" s="125"/>
      <c r="AG2421" s="125"/>
      <c r="AH2421" s="128"/>
    </row>
    <row r="2422" spans="30:34" x14ac:dyDescent="0.2">
      <c r="AD2422" s="8"/>
      <c r="AE2422" s="126"/>
      <c r="AF2422" s="125"/>
      <c r="AG2422" s="125"/>
      <c r="AH2422" s="128"/>
    </row>
    <row r="2423" spans="30:34" x14ac:dyDescent="0.2">
      <c r="AD2423" s="8"/>
      <c r="AE2423" s="126"/>
      <c r="AF2423" s="125"/>
      <c r="AG2423" s="125"/>
      <c r="AH2423" s="128"/>
    </row>
    <row r="2424" spans="30:34" x14ac:dyDescent="0.2">
      <c r="AD2424" s="8"/>
      <c r="AE2424" s="126"/>
      <c r="AF2424" s="125"/>
      <c r="AG2424" s="125"/>
      <c r="AH2424" s="128"/>
    </row>
    <row r="2425" spans="30:34" x14ac:dyDescent="0.2">
      <c r="AD2425" s="8"/>
      <c r="AE2425" s="126"/>
      <c r="AF2425" s="125"/>
      <c r="AG2425" s="125"/>
      <c r="AH2425" s="128"/>
    </row>
    <row r="2426" spans="30:34" x14ac:dyDescent="0.2">
      <c r="AD2426" s="8"/>
      <c r="AE2426" s="126"/>
      <c r="AF2426" s="125"/>
      <c r="AG2426" s="125"/>
      <c r="AH2426" s="128"/>
    </row>
    <row r="2427" spans="30:34" x14ac:dyDescent="0.2">
      <c r="AD2427" s="8"/>
      <c r="AE2427" s="126"/>
      <c r="AF2427" s="125"/>
      <c r="AG2427" s="125"/>
      <c r="AH2427" s="128"/>
    </row>
    <row r="2428" spans="30:34" x14ac:dyDescent="0.2">
      <c r="AD2428" s="8"/>
      <c r="AE2428" s="126"/>
      <c r="AF2428" s="125"/>
      <c r="AG2428" s="125"/>
      <c r="AH2428" s="128"/>
    </row>
    <row r="2429" spans="30:34" x14ac:dyDescent="0.2">
      <c r="AD2429" s="8"/>
      <c r="AE2429" s="126"/>
      <c r="AF2429" s="125"/>
      <c r="AG2429" s="125"/>
      <c r="AH2429" s="128"/>
    </row>
    <row r="2430" spans="30:34" x14ac:dyDescent="0.2">
      <c r="AD2430" s="8"/>
      <c r="AE2430" s="126"/>
      <c r="AF2430" s="125"/>
      <c r="AG2430" s="125"/>
      <c r="AH2430" s="128"/>
    </row>
    <row r="2431" spans="30:34" x14ac:dyDescent="0.2">
      <c r="AD2431" s="8"/>
      <c r="AE2431" s="126"/>
      <c r="AF2431" s="125"/>
      <c r="AG2431" s="125"/>
      <c r="AH2431" s="128"/>
    </row>
    <row r="2432" spans="30:34" x14ac:dyDescent="0.2">
      <c r="AD2432" s="8"/>
      <c r="AE2432" s="126"/>
      <c r="AF2432" s="125"/>
      <c r="AG2432" s="125"/>
      <c r="AH2432" s="128"/>
    </row>
    <row r="2433" spans="30:34" x14ac:dyDescent="0.2">
      <c r="AD2433" s="8"/>
      <c r="AE2433" s="126"/>
      <c r="AF2433" s="125"/>
      <c r="AG2433" s="125"/>
      <c r="AH2433" s="128"/>
    </row>
    <row r="2434" spans="30:34" x14ac:dyDescent="0.2">
      <c r="AD2434" s="8"/>
      <c r="AE2434" s="126"/>
      <c r="AF2434" s="125"/>
      <c r="AG2434" s="125"/>
      <c r="AH2434" s="128"/>
    </row>
    <row r="2435" spans="30:34" x14ac:dyDescent="0.2">
      <c r="AD2435" s="8"/>
      <c r="AE2435" s="126"/>
      <c r="AF2435" s="125"/>
      <c r="AG2435" s="125"/>
      <c r="AH2435" s="128"/>
    </row>
    <row r="2436" spans="30:34" x14ac:dyDescent="0.2">
      <c r="AD2436" s="8"/>
      <c r="AE2436" s="126"/>
      <c r="AF2436" s="125"/>
      <c r="AG2436" s="125"/>
      <c r="AH2436" s="128"/>
    </row>
    <row r="2437" spans="30:34" x14ac:dyDescent="0.2">
      <c r="AD2437" s="8"/>
      <c r="AE2437" s="126"/>
      <c r="AF2437" s="125"/>
      <c r="AG2437" s="125"/>
      <c r="AH2437" s="128"/>
    </row>
    <row r="2438" spans="30:34" x14ac:dyDescent="0.2">
      <c r="AD2438" s="8"/>
      <c r="AE2438" s="126"/>
      <c r="AF2438" s="125"/>
      <c r="AG2438" s="125"/>
      <c r="AH2438" s="128"/>
    </row>
    <row r="2439" spans="30:34" x14ac:dyDescent="0.2">
      <c r="AD2439" s="8"/>
      <c r="AE2439" s="126"/>
      <c r="AF2439" s="125"/>
      <c r="AG2439" s="125"/>
      <c r="AH2439" s="128"/>
    </row>
    <row r="2440" spans="30:34" x14ac:dyDescent="0.2">
      <c r="AD2440" s="8"/>
      <c r="AE2440" s="126"/>
      <c r="AF2440" s="125"/>
      <c r="AG2440" s="125"/>
      <c r="AH2440" s="128"/>
    </row>
    <row r="2441" spans="30:34" x14ac:dyDescent="0.2">
      <c r="AD2441" s="8"/>
      <c r="AE2441" s="126"/>
      <c r="AF2441" s="125"/>
      <c r="AG2441" s="125"/>
      <c r="AH2441" s="128"/>
    </row>
    <row r="2442" spans="30:34" x14ac:dyDescent="0.2">
      <c r="AD2442" s="8"/>
      <c r="AE2442" s="126"/>
      <c r="AF2442" s="125"/>
      <c r="AG2442" s="125"/>
      <c r="AH2442" s="128"/>
    </row>
    <row r="2443" spans="30:34" x14ac:dyDescent="0.2">
      <c r="AD2443" s="8"/>
      <c r="AE2443" s="126"/>
      <c r="AF2443" s="125"/>
      <c r="AG2443" s="125"/>
      <c r="AH2443" s="128"/>
    </row>
    <row r="2444" spans="30:34" x14ac:dyDescent="0.2">
      <c r="AD2444" s="8"/>
      <c r="AE2444" s="126"/>
      <c r="AF2444" s="125"/>
      <c r="AG2444" s="125"/>
      <c r="AH2444" s="128"/>
    </row>
    <row r="2445" spans="30:34" x14ac:dyDescent="0.2">
      <c r="AD2445" s="8"/>
      <c r="AE2445" s="126"/>
      <c r="AF2445" s="125"/>
      <c r="AG2445" s="125"/>
      <c r="AH2445" s="128"/>
    </row>
    <row r="2446" spans="30:34" x14ac:dyDescent="0.2">
      <c r="AD2446" s="8"/>
      <c r="AE2446" s="126"/>
      <c r="AF2446" s="125"/>
      <c r="AG2446" s="125"/>
      <c r="AH2446" s="128"/>
    </row>
    <row r="2447" spans="30:34" x14ac:dyDescent="0.2">
      <c r="AD2447" s="8"/>
      <c r="AE2447" s="126"/>
      <c r="AF2447" s="125"/>
      <c r="AG2447" s="125"/>
      <c r="AH2447" s="128"/>
    </row>
    <row r="2448" spans="30:34" x14ac:dyDescent="0.2">
      <c r="AD2448" s="8"/>
      <c r="AE2448" s="126"/>
      <c r="AF2448" s="125"/>
      <c r="AG2448" s="125"/>
      <c r="AH2448" s="128"/>
    </row>
    <row r="2449" spans="30:34" x14ac:dyDescent="0.2">
      <c r="AD2449" s="8"/>
      <c r="AE2449" s="126"/>
      <c r="AF2449" s="125"/>
      <c r="AG2449" s="125"/>
      <c r="AH2449" s="128"/>
    </row>
    <row r="2450" spans="30:34" x14ac:dyDescent="0.2">
      <c r="AD2450" s="8"/>
      <c r="AE2450" s="126"/>
      <c r="AF2450" s="125"/>
      <c r="AG2450" s="125"/>
      <c r="AH2450" s="128"/>
    </row>
    <row r="2451" spans="30:34" x14ac:dyDescent="0.2">
      <c r="AD2451" s="8"/>
      <c r="AE2451" s="126"/>
      <c r="AF2451" s="125"/>
      <c r="AG2451" s="125"/>
      <c r="AH2451" s="128"/>
    </row>
    <row r="2452" spans="30:34" x14ac:dyDescent="0.2">
      <c r="AD2452" s="8"/>
      <c r="AE2452" s="126"/>
      <c r="AF2452" s="125"/>
      <c r="AG2452" s="125"/>
      <c r="AH2452" s="128"/>
    </row>
    <row r="2453" spans="30:34" x14ac:dyDescent="0.2">
      <c r="AD2453" s="8"/>
      <c r="AE2453" s="126"/>
      <c r="AF2453" s="125"/>
      <c r="AG2453" s="125"/>
      <c r="AH2453" s="128"/>
    </row>
    <row r="2454" spans="30:34" x14ac:dyDescent="0.2">
      <c r="AD2454" s="8"/>
      <c r="AE2454" s="126"/>
      <c r="AF2454" s="125"/>
      <c r="AG2454" s="125"/>
      <c r="AH2454" s="128"/>
    </row>
    <row r="2455" spans="30:34" x14ac:dyDescent="0.2">
      <c r="AD2455" s="8"/>
      <c r="AE2455" s="126"/>
      <c r="AF2455" s="125"/>
      <c r="AG2455" s="125"/>
      <c r="AH2455" s="128"/>
    </row>
    <row r="2456" spans="30:34" x14ac:dyDescent="0.2">
      <c r="AD2456" s="8"/>
      <c r="AE2456" s="126"/>
      <c r="AF2456" s="125"/>
      <c r="AG2456" s="125"/>
      <c r="AH2456" s="128"/>
    </row>
    <row r="2457" spans="30:34" x14ac:dyDescent="0.2">
      <c r="AD2457" s="8"/>
      <c r="AE2457" s="126"/>
      <c r="AF2457" s="125"/>
      <c r="AG2457" s="125"/>
      <c r="AH2457" s="128"/>
    </row>
    <row r="2458" spans="30:34" x14ac:dyDescent="0.2">
      <c r="AD2458" s="8"/>
      <c r="AE2458" s="126"/>
      <c r="AF2458" s="125"/>
      <c r="AG2458" s="125"/>
      <c r="AH2458" s="128"/>
    </row>
    <row r="2459" spans="30:34" x14ac:dyDescent="0.2">
      <c r="AD2459" s="8"/>
      <c r="AE2459" s="126"/>
      <c r="AF2459" s="125"/>
      <c r="AG2459" s="125"/>
      <c r="AH2459" s="128"/>
    </row>
    <row r="2460" spans="30:34" x14ac:dyDescent="0.2">
      <c r="AD2460" s="8"/>
      <c r="AE2460" s="126"/>
      <c r="AF2460" s="125"/>
      <c r="AG2460" s="125"/>
      <c r="AH2460" s="128"/>
    </row>
    <row r="2461" spans="30:34" x14ac:dyDescent="0.2">
      <c r="AD2461" s="8"/>
      <c r="AE2461" s="126"/>
      <c r="AF2461" s="125"/>
      <c r="AG2461" s="125"/>
      <c r="AH2461" s="128"/>
    </row>
    <row r="2462" spans="30:34" x14ac:dyDescent="0.2">
      <c r="AD2462" s="8"/>
      <c r="AE2462" s="126"/>
      <c r="AF2462" s="125"/>
      <c r="AG2462" s="125"/>
      <c r="AH2462" s="128"/>
    </row>
    <row r="2463" spans="30:34" x14ac:dyDescent="0.2">
      <c r="AD2463" s="8"/>
      <c r="AE2463" s="126"/>
      <c r="AF2463" s="125"/>
      <c r="AG2463" s="125"/>
      <c r="AH2463" s="128"/>
    </row>
    <row r="2464" spans="30:34" x14ac:dyDescent="0.2">
      <c r="AD2464" s="8"/>
      <c r="AE2464" s="126"/>
      <c r="AF2464" s="125"/>
      <c r="AG2464" s="125"/>
      <c r="AH2464" s="128"/>
    </row>
    <row r="2465" spans="30:34" x14ac:dyDescent="0.2">
      <c r="AD2465" s="8"/>
      <c r="AE2465" s="126"/>
      <c r="AF2465" s="125"/>
      <c r="AG2465" s="125"/>
      <c r="AH2465" s="128"/>
    </row>
    <row r="2466" spans="30:34" x14ac:dyDescent="0.2">
      <c r="AD2466" s="8"/>
      <c r="AE2466" s="126"/>
      <c r="AF2466" s="125"/>
      <c r="AG2466" s="125"/>
      <c r="AH2466" s="128"/>
    </row>
    <row r="2467" spans="30:34" x14ac:dyDescent="0.2">
      <c r="AD2467" s="8"/>
      <c r="AE2467" s="126"/>
      <c r="AF2467" s="125"/>
      <c r="AG2467" s="125"/>
      <c r="AH2467" s="128"/>
    </row>
    <row r="2468" spans="30:34" x14ac:dyDescent="0.2">
      <c r="AD2468" s="8"/>
      <c r="AE2468" s="126"/>
      <c r="AF2468" s="125"/>
      <c r="AG2468" s="125"/>
      <c r="AH2468" s="128"/>
    </row>
    <row r="2469" spans="30:34" x14ac:dyDescent="0.2">
      <c r="AD2469" s="8"/>
      <c r="AE2469" s="126"/>
      <c r="AF2469" s="125"/>
      <c r="AG2469" s="125"/>
      <c r="AH2469" s="128"/>
    </row>
    <row r="2470" spans="30:34" x14ac:dyDescent="0.2">
      <c r="AD2470" s="8"/>
      <c r="AE2470" s="126"/>
      <c r="AF2470" s="125"/>
      <c r="AG2470" s="125"/>
      <c r="AH2470" s="128"/>
    </row>
    <row r="2471" spans="30:34" x14ac:dyDescent="0.2">
      <c r="AD2471" s="8"/>
      <c r="AE2471" s="126"/>
      <c r="AF2471" s="125"/>
      <c r="AG2471" s="125"/>
      <c r="AH2471" s="128"/>
    </row>
    <row r="2472" spans="30:34" x14ac:dyDescent="0.2">
      <c r="AD2472" s="8"/>
      <c r="AE2472" s="126"/>
      <c r="AF2472" s="125"/>
      <c r="AG2472" s="125"/>
      <c r="AH2472" s="128"/>
    </row>
    <row r="2473" spans="30:34" x14ac:dyDescent="0.2">
      <c r="AD2473" s="8"/>
      <c r="AE2473" s="126"/>
      <c r="AF2473" s="125"/>
      <c r="AG2473" s="125"/>
      <c r="AH2473" s="128"/>
    </row>
    <row r="2474" spans="30:34" x14ac:dyDescent="0.2">
      <c r="AD2474" s="8"/>
      <c r="AE2474" s="126"/>
      <c r="AF2474" s="125"/>
      <c r="AG2474" s="125"/>
      <c r="AH2474" s="128"/>
    </row>
    <row r="2475" spans="30:34" x14ac:dyDescent="0.2">
      <c r="AD2475" s="8"/>
      <c r="AE2475" s="126"/>
      <c r="AF2475" s="125"/>
      <c r="AG2475" s="125"/>
      <c r="AH2475" s="128"/>
    </row>
    <row r="2476" spans="30:34" x14ac:dyDescent="0.2">
      <c r="AD2476" s="8"/>
      <c r="AE2476" s="126"/>
      <c r="AF2476" s="125"/>
      <c r="AG2476" s="125"/>
      <c r="AH2476" s="128"/>
    </row>
    <row r="2477" spans="30:34" x14ac:dyDescent="0.2">
      <c r="AD2477" s="8"/>
      <c r="AE2477" s="126"/>
      <c r="AF2477" s="125"/>
      <c r="AG2477" s="125"/>
      <c r="AH2477" s="128"/>
    </row>
    <row r="2478" spans="30:34" x14ac:dyDescent="0.2">
      <c r="AD2478" s="8"/>
      <c r="AE2478" s="126"/>
      <c r="AF2478" s="125"/>
      <c r="AG2478" s="125"/>
      <c r="AH2478" s="128"/>
    </row>
    <row r="2479" spans="30:34" x14ac:dyDescent="0.2">
      <c r="AD2479" s="8"/>
      <c r="AE2479" s="126"/>
      <c r="AF2479" s="125"/>
      <c r="AG2479" s="125"/>
      <c r="AH2479" s="128"/>
    </row>
    <row r="2480" spans="30:34" x14ac:dyDescent="0.2">
      <c r="AD2480" s="8"/>
      <c r="AE2480" s="126"/>
      <c r="AF2480" s="125"/>
      <c r="AG2480" s="125"/>
      <c r="AH2480" s="128"/>
    </row>
    <row r="2481" spans="30:34" x14ac:dyDescent="0.2">
      <c r="AD2481" s="8"/>
      <c r="AE2481" s="126"/>
      <c r="AF2481" s="125"/>
      <c r="AG2481" s="125"/>
      <c r="AH2481" s="128"/>
    </row>
    <row r="2482" spans="30:34" x14ac:dyDescent="0.2">
      <c r="AD2482" s="8"/>
      <c r="AE2482" s="126"/>
      <c r="AF2482" s="125"/>
      <c r="AG2482" s="125"/>
      <c r="AH2482" s="128"/>
    </row>
    <row r="2483" spans="30:34" x14ac:dyDescent="0.2">
      <c r="AD2483" s="8"/>
      <c r="AE2483" s="126"/>
      <c r="AF2483" s="125"/>
      <c r="AG2483" s="125"/>
      <c r="AH2483" s="128"/>
    </row>
    <row r="2484" spans="30:34" x14ac:dyDescent="0.2">
      <c r="AD2484" s="8"/>
      <c r="AE2484" s="126"/>
      <c r="AF2484" s="125"/>
      <c r="AG2484" s="125"/>
      <c r="AH2484" s="128"/>
    </row>
    <row r="2485" spans="30:34" x14ac:dyDescent="0.2">
      <c r="AD2485" s="8"/>
      <c r="AE2485" s="126"/>
      <c r="AF2485" s="125"/>
      <c r="AG2485" s="125"/>
      <c r="AH2485" s="128"/>
    </row>
    <row r="2486" spans="30:34" x14ac:dyDescent="0.2">
      <c r="AD2486" s="8"/>
      <c r="AE2486" s="126"/>
      <c r="AF2486" s="125"/>
      <c r="AG2486" s="125"/>
      <c r="AH2486" s="128"/>
    </row>
    <row r="2487" spans="30:34" x14ac:dyDescent="0.2">
      <c r="AD2487" s="8"/>
      <c r="AE2487" s="126"/>
      <c r="AF2487" s="125"/>
      <c r="AG2487" s="125"/>
      <c r="AH2487" s="128"/>
    </row>
    <row r="2488" spans="30:34" x14ac:dyDescent="0.2">
      <c r="AD2488" s="8"/>
      <c r="AE2488" s="126"/>
      <c r="AF2488" s="125"/>
      <c r="AG2488" s="125"/>
      <c r="AH2488" s="128"/>
    </row>
    <row r="2489" spans="30:34" x14ac:dyDescent="0.2">
      <c r="AD2489" s="8"/>
      <c r="AE2489" s="126"/>
      <c r="AF2489" s="125"/>
      <c r="AG2489" s="125"/>
      <c r="AH2489" s="128"/>
    </row>
    <row r="2490" spans="30:34" x14ac:dyDescent="0.2">
      <c r="AD2490" s="8"/>
      <c r="AE2490" s="126"/>
      <c r="AF2490" s="125"/>
      <c r="AG2490" s="125"/>
      <c r="AH2490" s="128"/>
    </row>
    <row r="2491" spans="30:34" x14ac:dyDescent="0.2">
      <c r="AD2491" s="8"/>
      <c r="AE2491" s="126"/>
      <c r="AF2491" s="125"/>
      <c r="AG2491" s="125"/>
      <c r="AH2491" s="128"/>
    </row>
    <row r="2492" spans="30:34" x14ac:dyDescent="0.2">
      <c r="AD2492" s="8"/>
      <c r="AE2492" s="126"/>
      <c r="AF2492" s="125"/>
      <c r="AG2492" s="125"/>
      <c r="AH2492" s="128"/>
    </row>
    <row r="2493" spans="30:34" x14ac:dyDescent="0.2">
      <c r="AD2493" s="8"/>
      <c r="AE2493" s="126"/>
      <c r="AF2493" s="125"/>
      <c r="AG2493" s="125"/>
      <c r="AH2493" s="128"/>
    </row>
    <row r="2494" spans="30:34" x14ac:dyDescent="0.2">
      <c r="AD2494" s="8"/>
      <c r="AE2494" s="126"/>
      <c r="AF2494" s="125"/>
      <c r="AG2494" s="125"/>
      <c r="AH2494" s="128"/>
    </row>
    <row r="2495" spans="30:34" x14ac:dyDescent="0.2">
      <c r="AD2495" s="8"/>
      <c r="AE2495" s="126"/>
      <c r="AF2495" s="125"/>
      <c r="AG2495" s="125"/>
      <c r="AH2495" s="128"/>
    </row>
    <row r="2496" spans="30:34" x14ac:dyDescent="0.2">
      <c r="AD2496" s="8"/>
      <c r="AE2496" s="126"/>
      <c r="AF2496" s="125"/>
      <c r="AG2496" s="125"/>
      <c r="AH2496" s="128"/>
    </row>
    <row r="2497" spans="30:34" x14ac:dyDescent="0.2">
      <c r="AD2497" s="8"/>
      <c r="AE2497" s="126"/>
      <c r="AF2497" s="125"/>
      <c r="AG2497" s="125"/>
      <c r="AH2497" s="128"/>
    </row>
    <row r="2498" spans="30:34" x14ac:dyDescent="0.2">
      <c r="AD2498" s="8"/>
      <c r="AE2498" s="126"/>
      <c r="AF2498" s="125"/>
      <c r="AG2498" s="125"/>
      <c r="AH2498" s="128"/>
    </row>
    <row r="2499" spans="30:34" x14ac:dyDescent="0.2">
      <c r="AD2499" s="8"/>
      <c r="AE2499" s="126"/>
      <c r="AF2499" s="125"/>
      <c r="AG2499" s="125"/>
      <c r="AH2499" s="128"/>
    </row>
    <row r="2500" spans="30:34" x14ac:dyDescent="0.2">
      <c r="AD2500" s="8"/>
      <c r="AE2500" s="126"/>
      <c r="AF2500" s="125"/>
      <c r="AG2500" s="125"/>
      <c r="AH2500" s="128"/>
    </row>
    <row r="2501" spans="30:34" x14ac:dyDescent="0.2">
      <c r="AD2501" s="8"/>
      <c r="AE2501" s="126"/>
      <c r="AF2501" s="125"/>
      <c r="AG2501" s="125"/>
      <c r="AH2501" s="128"/>
    </row>
    <row r="2502" spans="30:34" x14ac:dyDescent="0.2">
      <c r="AD2502" s="8"/>
      <c r="AE2502" s="126"/>
      <c r="AF2502" s="125"/>
      <c r="AG2502" s="125"/>
      <c r="AH2502" s="128"/>
    </row>
    <row r="2503" spans="30:34" x14ac:dyDescent="0.2">
      <c r="AD2503" s="8"/>
      <c r="AE2503" s="126"/>
      <c r="AF2503" s="125"/>
      <c r="AG2503" s="125"/>
      <c r="AH2503" s="128"/>
    </row>
    <row r="2504" spans="30:34" x14ac:dyDescent="0.2">
      <c r="AD2504" s="8"/>
      <c r="AE2504" s="126"/>
      <c r="AF2504" s="125"/>
      <c r="AG2504" s="125"/>
      <c r="AH2504" s="128"/>
    </row>
    <row r="2505" spans="30:34" x14ac:dyDescent="0.2">
      <c r="AD2505" s="8"/>
      <c r="AE2505" s="126"/>
      <c r="AF2505" s="125"/>
      <c r="AG2505" s="125"/>
      <c r="AH2505" s="128"/>
    </row>
    <row r="2506" spans="30:34" x14ac:dyDescent="0.2">
      <c r="AD2506" s="8"/>
      <c r="AE2506" s="126"/>
      <c r="AF2506" s="125"/>
      <c r="AG2506" s="125"/>
      <c r="AH2506" s="128"/>
    </row>
    <row r="2507" spans="30:34" x14ac:dyDescent="0.2">
      <c r="AD2507" s="8"/>
      <c r="AE2507" s="126"/>
      <c r="AF2507" s="125"/>
      <c r="AG2507" s="125"/>
      <c r="AH2507" s="128"/>
    </row>
    <row r="2508" spans="30:34" x14ac:dyDescent="0.2">
      <c r="AD2508" s="8"/>
      <c r="AE2508" s="126"/>
      <c r="AF2508" s="125"/>
      <c r="AG2508" s="125"/>
      <c r="AH2508" s="128"/>
    </row>
    <row r="2509" spans="30:34" x14ac:dyDescent="0.2">
      <c r="AD2509" s="8"/>
      <c r="AE2509" s="126"/>
      <c r="AF2509" s="125"/>
      <c r="AG2509" s="125"/>
      <c r="AH2509" s="128"/>
    </row>
    <row r="2510" spans="30:34" x14ac:dyDescent="0.2">
      <c r="AD2510" s="8"/>
      <c r="AE2510" s="126"/>
      <c r="AF2510" s="125"/>
      <c r="AG2510" s="125"/>
      <c r="AH2510" s="128"/>
    </row>
    <row r="2511" spans="30:34" x14ac:dyDescent="0.2">
      <c r="AD2511" s="8"/>
      <c r="AE2511" s="126"/>
      <c r="AF2511" s="125"/>
      <c r="AG2511" s="125"/>
      <c r="AH2511" s="128"/>
    </row>
    <row r="2512" spans="30:34" x14ac:dyDescent="0.2">
      <c r="AD2512" s="8"/>
      <c r="AE2512" s="126"/>
      <c r="AF2512" s="125"/>
      <c r="AG2512" s="125"/>
      <c r="AH2512" s="128"/>
    </row>
    <row r="2513" spans="30:34" x14ac:dyDescent="0.2">
      <c r="AD2513" s="8"/>
      <c r="AE2513" s="126"/>
      <c r="AF2513" s="125"/>
      <c r="AG2513" s="125"/>
      <c r="AH2513" s="128"/>
    </row>
    <row r="2514" spans="30:34" x14ac:dyDescent="0.2">
      <c r="AD2514" s="8"/>
      <c r="AE2514" s="126"/>
      <c r="AF2514" s="125"/>
      <c r="AG2514" s="125"/>
      <c r="AH2514" s="128"/>
    </row>
    <row r="2515" spans="30:34" x14ac:dyDescent="0.2">
      <c r="AD2515" s="8"/>
      <c r="AE2515" s="126"/>
      <c r="AF2515" s="125"/>
      <c r="AG2515" s="125"/>
      <c r="AH2515" s="128"/>
    </row>
    <row r="2516" spans="30:34" x14ac:dyDescent="0.2">
      <c r="AD2516" s="8"/>
      <c r="AE2516" s="126"/>
      <c r="AF2516" s="125"/>
      <c r="AG2516" s="125"/>
      <c r="AH2516" s="128"/>
    </row>
    <row r="2517" spans="30:34" x14ac:dyDescent="0.2">
      <c r="AD2517" s="8"/>
      <c r="AE2517" s="126"/>
      <c r="AF2517" s="125"/>
      <c r="AG2517" s="125"/>
      <c r="AH2517" s="128"/>
    </row>
    <row r="2518" spans="30:34" x14ac:dyDescent="0.2">
      <c r="AD2518" s="8"/>
      <c r="AE2518" s="126"/>
      <c r="AF2518" s="125"/>
      <c r="AG2518" s="125"/>
      <c r="AH2518" s="128"/>
    </row>
    <row r="2519" spans="30:34" x14ac:dyDescent="0.2">
      <c r="AD2519" s="8"/>
      <c r="AE2519" s="126"/>
      <c r="AF2519" s="125"/>
      <c r="AG2519" s="125"/>
      <c r="AH2519" s="128"/>
    </row>
    <row r="2520" spans="30:34" x14ac:dyDescent="0.2">
      <c r="AD2520" s="8"/>
      <c r="AE2520" s="126"/>
      <c r="AF2520" s="125"/>
      <c r="AG2520" s="125"/>
      <c r="AH2520" s="128"/>
    </row>
    <row r="2521" spans="30:34" x14ac:dyDescent="0.2">
      <c r="AD2521" s="8"/>
      <c r="AE2521" s="126"/>
      <c r="AF2521" s="125"/>
      <c r="AG2521" s="125"/>
      <c r="AH2521" s="128"/>
    </row>
    <row r="2522" spans="30:34" x14ac:dyDescent="0.2">
      <c r="AD2522" s="8"/>
      <c r="AE2522" s="126"/>
      <c r="AF2522" s="125"/>
      <c r="AG2522" s="125"/>
      <c r="AH2522" s="128"/>
    </row>
    <row r="2523" spans="30:34" x14ac:dyDescent="0.2">
      <c r="AD2523" s="8"/>
      <c r="AE2523" s="126"/>
      <c r="AF2523" s="125"/>
      <c r="AG2523" s="125"/>
      <c r="AH2523" s="128"/>
    </row>
    <row r="2524" spans="30:34" x14ac:dyDescent="0.2">
      <c r="AD2524" s="8"/>
      <c r="AE2524" s="126"/>
      <c r="AF2524" s="125"/>
      <c r="AG2524" s="125"/>
      <c r="AH2524" s="128"/>
    </row>
    <row r="2525" spans="30:34" x14ac:dyDescent="0.2">
      <c r="AD2525" s="8"/>
      <c r="AE2525" s="126"/>
      <c r="AF2525" s="125"/>
      <c r="AG2525" s="125"/>
      <c r="AH2525" s="128"/>
    </row>
    <row r="2526" spans="30:34" x14ac:dyDescent="0.2">
      <c r="AD2526" s="8"/>
      <c r="AE2526" s="126"/>
      <c r="AF2526" s="125"/>
      <c r="AG2526" s="125"/>
      <c r="AH2526" s="128"/>
    </row>
    <row r="2527" spans="30:34" x14ac:dyDescent="0.2">
      <c r="AD2527" s="8"/>
      <c r="AE2527" s="126"/>
      <c r="AF2527" s="125"/>
      <c r="AG2527" s="125"/>
      <c r="AH2527" s="128"/>
    </row>
    <row r="2528" spans="30:34" x14ac:dyDescent="0.2">
      <c r="AD2528" s="8"/>
      <c r="AE2528" s="126"/>
      <c r="AF2528" s="125"/>
      <c r="AG2528" s="125"/>
      <c r="AH2528" s="128"/>
    </row>
    <row r="2529" spans="30:34" x14ac:dyDescent="0.2">
      <c r="AD2529" s="8"/>
      <c r="AE2529" s="126"/>
      <c r="AF2529" s="125"/>
      <c r="AG2529" s="125"/>
      <c r="AH2529" s="128"/>
    </row>
    <row r="2530" spans="30:34" x14ac:dyDescent="0.2">
      <c r="AD2530" s="8"/>
      <c r="AE2530" s="126"/>
      <c r="AF2530" s="125"/>
      <c r="AG2530" s="125"/>
      <c r="AH2530" s="128"/>
    </row>
    <row r="2531" spans="30:34" x14ac:dyDescent="0.2">
      <c r="AD2531" s="8"/>
      <c r="AE2531" s="126"/>
      <c r="AF2531" s="125"/>
      <c r="AG2531" s="125"/>
      <c r="AH2531" s="128"/>
    </row>
    <row r="2532" spans="30:34" x14ac:dyDescent="0.2">
      <c r="AD2532" s="8"/>
      <c r="AE2532" s="126"/>
      <c r="AF2532" s="125"/>
      <c r="AG2532" s="125"/>
      <c r="AH2532" s="128"/>
    </row>
    <row r="2533" spans="30:34" x14ac:dyDescent="0.2">
      <c r="AD2533" s="8"/>
      <c r="AE2533" s="126"/>
      <c r="AF2533" s="125"/>
      <c r="AG2533" s="125"/>
      <c r="AH2533" s="128"/>
    </row>
    <row r="2534" spans="30:34" x14ac:dyDescent="0.2">
      <c r="AD2534" s="8"/>
      <c r="AE2534" s="126"/>
      <c r="AF2534" s="125"/>
      <c r="AG2534" s="125"/>
      <c r="AH2534" s="128"/>
    </row>
    <row r="2535" spans="30:34" x14ac:dyDescent="0.2">
      <c r="AD2535" s="8"/>
      <c r="AE2535" s="126"/>
      <c r="AF2535" s="125"/>
      <c r="AG2535" s="125"/>
      <c r="AH2535" s="128"/>
    </row>
    <row r="2536" spans="30:34" x14ac:dyDescent="0.2">
      <c r="AD2536" s="8"/>
      <c r="AE2536" s="126"/>
      <c r="AF2536" s="125"/>
      <c r="AG2536" s="125"/>
      <c r="AH2536" s="128"/>
    </row>
    <row r="2537" spans="30:34" x14ac:dyDescent="0.2">
      <c r="AD2537" s="8"/>
      <c r="AE2537" s="126"/>
      <c r="AF2537" s="125"/>
      <c r="AG2537" s="125"/>
      <c r="AH2537" s="128"/>
    </row>
    <row r="2538" spans="30:34" x14ac:dyDescent="0.2">
      <c r="AD2538" s="8"/>
      <c r="AE2538" s="126"/>
      <c r="AF2538" s="125"/>
      <c r="AG2538" s="125"/>
      <c r="AH2538" s="128"/>
    </row>
    <row r="2539" spans="30:34" x14ac:dyDescent="0.2">
      <c r="AD2539" s="8"/>
      <c r="AE2539" s="126"/>
      <c r="AF2539" s="125"/>
      <c r="AG2539" s="125"/>
      <c r="AH2539" s="128"/>
    </row>
    <row r="2540" spans="30:34" x14ac:dyDescent="0.2">
      <c r="AD2540" s="8"/>
      <c r="AE2540" s="126"/>
      <c r="AF2540" s="125"/>
      <c r="AG2540" s="125"/>
      <c r="AH2540" s="128"/>
    </row>
    <row r="2541" spans="30:34" x14ac:dyDescent="0.2">
      <c r="AD2541" s="8"/>
      <c r="AE2541" s="126"/>
      <c r="AF2541" s="125"/>
      <c r="AG2541" s="125"/>
      <c r="AH2541" s="128"/>
    </row>
    <row r="2542" spans="30:34" x14ac:dyDescent="0.2">
      <c r="AD2542" s="8"/>
      <c r="AE2542" s="126"/>
      <c r="AF2542" s="125"/>
      <c r="AG2542" s="125"/>
      <c r="AH2542" s="128"/>
    </row>
    <row r="2543" spans="30:34" x14ac:dyDescent="0.2">
      <c r="AD2543" s="8"/>
      <c r="AE2543" s="126"/>
      <c r="AF2543" s="125"/>
      <c r="AG2543" s="125"/>
      <c r="AH2543" s="128"/>
    </row>
    <row r="2544" spans="30:34" x14ac:dyDescent="0.2">
      <c r="AD2544" s="8"/>
      <c r="AE2544" s="126"/>
      <c r="AF2544" s="125"/>
      <c r="AG2544" s="125"/>
      <c r="AH2544" s="128"/>
    </row>
    <row r="2545" spans="30:34" x14ac:dyDescent="0.2">
      <c r="AD2545" s="8"/>
      <c r="AE2545" s="126"/>
      <c r="AF2545" s="125"/>
      <c r="AG2545" s="125"/>
      <c r="AH2545" s="128"/>
    </row>
    <row r="2546" spans="30:34" x14ac:dyDescent="0.2">
      <c r="AD2546" s="8"/>
      <c r="AE2546" s="126"/>
      <c r="AF2546" s="125"/>
      <c r="AG2546" s="125"/>
      <c r="AH2546" s="128"/>
    </row>
    <row r="2547" spans="30:34" x14ac:dyDescent="0.2">
      <c r="AD2547" s="8"/>
      <c r="AE2547" s="126"/>
      <c r="AF2547" s="125"/>
      <c r="AG2547" s="125"/>
      <c r="AH2547" s="128"/>
    </row>
    <row r="2548" spans="30:34" x14ac:dyDescent="0.2">
      <c r="AD2548" s="8"/>
      <c r="AE2548" s="126"/>
      <c r="AF2548" s="125"/>
      <c r="AG2548" s="125"/>
      <c r="AH2548" s="128"/>
    </row>
    <row r="2549" spans="30:34" x14ac:dyDescent="0.2">
      <c r="AD2549" s="8"/>
      <c r="AE2549" s="126"/>
      <c r="AF2549" s="125"/>
      <c r="AG2549" s="125"/>
      <c r="AH2549" s="128"/>
    </row>
    <row r="2550" spans="30:34" x14ac:dyDescent="0.2">
      <c r="AD2550" s="8"/>
      <c r="AE2550" s="126"/>
      <c r="AF2550" s="125"/>
      <c r="AG2550" s="125"/>
      <c r="AH2550" s="128"/>
    </row>
    <row r="2551" spans="30:34" x14ac:dyDescent="0.2">
      <c r="AD2551" s="8"/>
      <c r="AE2551" s="126"/>
      <c r="AF2551" s="125"/>
      <c r="AG2551" s="125"/>
      <c r="AH2551" s="128"/>
    </row>
    <row r="2552" spans="30:34" x14ac:dyDescent="0.2">
      <c r="AD2552" s="8"/>
      <c r="AE2552" s="126"/>
      <c r="AF2552" s="125"/>
      <c r="AG2552" s="125"/>
      <c r="AH2552" s="128"/>
    </row>
    <row r="2553" spans="30:34" x14ac:dyDescent="0.2">
      <c r="AD2553" s="8"/>
      <c r="AE2553" s="126"/>
      <c r="AF2553" s="125"/>
      <c r="AG2553" s="125"/>
      <c r="AH2553" s="128"/>
    </row>
    <row r="2554" spans="30:34" x14ac:dyDescent="0.2">
      <c r="AD2554" s="8"/>
      <c r="AE2554" s="126"/>
      <c r="AF2554" s="125"/>
      <c r="AG2554" s="125"/>
      <c r="AH2554" s="128"/>
    </row>
    <row r="2555" spans="30:34" x14ac:dyDescent="0.2">
      <c r="AD2555" s="8"/>
      <c r="AE2555" s="126"/>
      <c r="AF2555" s="125"/>
      <c r="AG2555" s="125"/>
      <c r="AH2555" s="128"/>
    </row>
    <row r="2556" spans="30:34" x14ac:dyDescent="0.2">
      <c r="AD2556" s="8"/>
      <c r="AE2556" s="126"/>
      <c r="AF2556" s="125"/>
      <c r="AG2556" s="125"/>
      <c r="AH2556" s="128"/>
    </row>
    <row r="2557" spans="30:34" x14ac:dyDescent="0.2">
      <c r="AD2557" s="8"/>
      <c r="AE2557" s="126"/>
      <c r="AF2557" s="125"/>
      <c r="AG2557" s="125"/>
      <c r="AH2557" s="128"/>
    </row>
    <row r="2558" spans="30:34" x14ac:dyDescent="0.2">
      <c r="AD2558" s="8"/>
      <c r="AE2558" s="126"/>
      <c r="AF2558" s="125"/>
      <c r="AG2558" s="125"/>
      <c r="AH2558" s="128"/>
    </row>
    <row r="2559" spans="30:34" x14ac:dyDescent="0.2">
      <c r="AD2559" s="8"/>
      <c r="AE2559" s="126"/>
      <c r="AF2559" s="125"/>
      <c r="AG2559" s="125"/>
      <c r="AH2559" s="128"/>
    </row>
    <row r="2560" spans="30:34" x14ac:dyDescent="0.2">
      <c r="AD2560" s="8"/>
      <c r="AE2560" s="126"/>
      <c r="AF2560" s="125"/>
      <c r="AG2560" s="125"/>
      <c r="AH2560" s="128"/>
    </row>
    <row r="2561" spans="30:34" x14ac:dyDescent="0.2">
      <c r="AD2561" s="8"/>
      <c r="AE2561" s="126"/>
      <c r="AF2561" s="125"/>
      <c r="AG2561" s="125"/>
      <c r="AH2561" s="128"/>
    </row>
    <row r="2562" spans="30:34" x14ac:dyDescent="0.2">
      <c r="AD2562" s="8"/>
      <c r="AE2562" s="126"/>
      <c r="AF2562" s="125"/>
      <c r="AG2562" s="125"/>
      <c r="AH2562" s="128"/>
    </row>
    <row r="2563" spans="30:34" x14ac:dyDescent="0.2">
      <c r="AD2563" s="8"/>
      <c r="AE2563" s="126"/>
      <c r="AF2563" s="125"/>
      <c r="AG2563" s="125"/>
      <c r="AH2563" s="128"/>
    </row>
    <row r="2564" spans="30:34" x14ac:dyDescent="0.2">
      <c r="AD2564" s="8"/>
      <c r="AE2564" s="126"/>
      <c r="AF2564" s="125"/>
      <c r="AG2564" s="125"/>
      <c r="AH2564" s="128"/>
    </row>
    <row r="2565" spans="30:34" x14ac:dyDescent="0.2">
      <c r="AD2565" s="8"/>
      <c r="AE2565" s="126"/>
      <c r="AF2565" s="125"/>
      <c r="AG2565" s="125"/>
      <c r="AH2565" s="128"/>
    </row>
    <row r="2566" spans="30:34" x14ac:dyDescent="0.2">
      <c r="AD2566" s="8"/>
      <c r="AE2566" s="126"/>
      <c r="AF2566" s="125"/>
      <c r="AG2566" s="125"/>
      <c r="AH2566" s="128"/>
    </row>
    <row r="2567" spans="30:34" x14ac:dyDescent="0.2">
      <c r="AD2567" s="8"/>
      <c r="AE2567" s="126"/>
      <c r="AF2567" s="125"/>
      <c r="AG2567" s="125"/>
      <c r="AH2567" s="128"/>
    </row>
    <row r="2568" spans="30:34" x14ac:dyDescent="0.2">
      <c r="AD2568" s="8"/>
      <c r="AE2568" s="126"/>
      <c r="AF2568" s="125"/>
      <c r="AG2568" s="125"/>
      <c r="AH2568" s="128"/>
    </row>
    <row r="2569" spans="30:34" x14ac:dyDescent="0.2">
      <c r="AD2569" s="8"/>
      <c r="AE2569" s="126"/>
      <c r="AF2569" s="125"/>
      <c r="AG2569" s="125"/>
      <c r="AH2569" s="128"/>
    </row>
    <row r="2570" spans="30:34" x14ac:dyDescent="0.2">
      <c r="AD2570" s="8"/>
      <c r="AE2570" s="126"/>
      <c r="AF2570" s="125"/>
      <c r="AG2570" s="125"/>
      <c r="AH2570" s="128"/>
    </row>
    <row r="2571" spans="30:34" x14ac:dyDescent="0.2">
      <c r="AD2571" s="8"/>
      <c r="AE2571" s="126"/>
      <c r="AF2571" s="125"/>
      <c r="AG2571" s="125"/>
      <c r="AH2571" s="128"/>
    </row>
    <row r="2572" spans="30:34" x14ac:dyDescent="0.2">
      <c r="AD2572" s="8"/>
      <c r="AE2572" s="126"/>
      <c r="AF2572" s="125"/>
      <c r="AG2572" s="125"/>
      <c r="AH2572" s="128"/>
    </row>
    <row r="2573" spans="30:34" x14ac:dyDescent="0.2">
      <c r="AD2573" s="8"/>
      <c r="AE2573" s="126"/>
      <c r="AF2573" s="125"/>
      <c r="AG2573" s="125"/>
      <c r="AH2573" s="128"/>
    </row>
    <row r="2574" spans="30:34" x14ac:dyDescent="0.2">
      <c r="AD2574" s="8"/>
      <c r="AE2574" s="126"/>
      <c r="AF2574" s="125"/>
      <c r="AG2574" s="125"/>
      <c r="AH2574" s="128"/>
    </row>
    <row r="2575" spans="30:34" x14ac:dyDescent="0.2">
      <c r="AD2575" s="8"/>
      <c r="AE2575" s="126"/>
      <c r="AF2575" s="125"/>
      <c r="AG2575" s="125"/>
      <c r="AH2575" s="128"/>
    </row>
    <row r="2576" spans="30:34" x14ac:dyDescent="0.2">
      <c r="AD2576" s="8"/>
      <c r="AE2576" s="126"/>
      <c r="AF2576" s="125"/>
      <c r="AG2576" s="125"/>
      <c r="AH2576" s="128"/>
    </row>
    <row r="2577" spans="30:34" x14ac:dyDescent="0.2">
      <c r="AD2577" s="8"/>
      <c r="AE2577" s="126"/>
      <c r="AF2577" s="125"/>
      <c r="AG2577" s="125"/>
      <c r="AH2577" s="128"/>
    </row>
    <row r="2578" spans="30:34" x14ac:dyDescent="0.2">
      <c r="AD2578" s="8"/>
      <c r="AE2578" s="126"/>
      <c r="AF2578" s="125"/>
      <c r="AG2578" s="125"/>
      <c r="AH2578" s="128"/>
    </row>
    <row r="2579" spans="30:34" x14ac:dyDescent="0.2">
      <c r="AD2579" s="8"/>
      <c r="AE2579" s="126"/>
      <c r="AF2579" s="125"/>
      <c r="AG2579" s="125"/>
      <c r="AH2579" s="128"/>
    </row>
    <row r="2580" spans="30:34" x14ac:dyDescent="0.2">
      <c r="AD2580" s="8"/>
      <c r="AE2580" s="126"/>
      <c r="AF2580" s="125"/>
      <c r="AG2580" s="125"/>
      <c r="AH2580" s="128"/>
    </row>
    <row r="2581" spans="30:34" x14ac:dyDescent="0.2">
      <c r="AD2581" s="8"/>
      <c r="AE2581" s="126"/>
      <c r="AF2581" s="125"/>
      <c r="AG2581" s="125"/>
      <c r="AH2581" s="128"/>
    </row>
    <row r="2582" spans="30:34" x14ac:dyDescent="0.2">
      <c r="AD2582" s="8"/>
      <c r="AE2582" s="126"/>
      <c r="AF2582" s="125"/>
      <c r="AG2582" s="125"/>
      <c r="AH2582" s="128"/>
    </row>
    <row r="2583" spans="30:34" x14ac:dyDescent="0.2">
      <c r="AD2583" s="8"/>
      <c r="AE2583" s="126"/>
      <c r="AF2583" s="125"/>
      <c r="AG2583" s="125"/>
      <c r="AH2583" s="128"/>
    </row>
    <row r="2584" spans="30:34" x14ac:dyDescent="0.2">
      <c r="AD2584" s="8"/>
      <c r="AE2584" s="126"/>
      <c r="AF2584" s="125"/>
      <c r="AG2584" s="125"/>
      <c r="AH2584" s="128"/>
    </row>
    <row r="2585" spans="30:34" x14ac:dyDescent="0.2">
      <c r="AD2585" s="8"/>
      <c r="AE2585" s="126"/>
      <c r="AF2585" s="125"/>
      <c r="AG2585" s="125"/>
      <c r="AH2585" s="128"/>
    </row>
    <row r="2586" spans="30:34" x14ac:dyDescent="0.2">
      <c r="AD2586" s="8"/>
      <c r="AE2586" s="126"/>
      <c r="AF2586" s="125"/>
      <c r="AG2586" s="125"/>
      <c r="AH2586" s="128"/>
    </row>
    <row r="2587" spans="30:34" x14ac:dyDescent="0.2">
      <c r="AD2587" s="8"/>
      <c r="AE2587" s="126"/>
      <c r="AF2587" s="125"/>
      <c r="AG2587" s="125"/>
      <c r="AH2587" s="128"/>
    </row>
    <row r="2588" spans="30:34" x14ac:dyDescent="0.2">
      <c r="AD2588" s="8"/>
      <c r="AE2588" s="126"/>
      <c r="AF2588" s="125"/>
      <c r="AG2588" s="125"/>
      <c r="AH2588" s="128"/>
    </row>
    <row r="2589" spans="30:34" x14ac:dyDescent="0.2">
      <c r="AD2589" s="8"/>
      <c r="AE2589" s="126"/>
      <c r="AF2589" s="125"/>
      <c r="AG2589" s="125"/>
      <c r="AH2589" s="128"/>
    </row>
    <row r="2590" spans="30:34" x14ac:dyDescent="0.2">
      <c r="AD2590" s="8"/>
      <c r="AE2590" s="126"/>
      <c r="AF2590" s="125"/>
      <c r="AG2590" s="125"/>
      <c r="AH2590" s="128"/>
    </row>
    <row r="2591" spans="30:34" x14ac:dyDescent="0.2">
      <c r="AD2591" s="8"/>
      <c r="AE2591" s="126"/>
      <c r="AF2591" s="125"/>
      <c r="AG2591" s="125"/>
      <c r="AH2591" s="128"/>
    </row>
    <row r="2592" spans="30:34" x14ac:dyDescent="0.2">
      <c r="AD2592" s="8"/>
      <c r="AE2592" s="126"/>
      <c r="AF2592" s="125"/>
      <c r="AG2592" s="125"/>
      <c r="AH2592" s="128"/>
    </row>
    <row r="2593" spans="30:34" x14ac:dyDescent="0.2">
      <c r="AD2593" s="8"/>
      <c r="AE2593" s="126"/>
      <c r="AF2593" s="125"/>
      <c r="AG2593" s="125"/>
      <c r="AH2593" s="128"/>
    </row>
    <row r="2594" spans="30:34" x14ac:dyDescent="0.2">
      <c r="AD2594" s="8"/>
      <c r="AE2594" s="126"/>
      <c r="AF2594" s="125"/>
      <c r="AG2594" s="125"/>
      <c r="AH2594" s="128"/>
    </row>
    <row r="2595" spans="30:34" x14ac:dyDescent="0.2">
      <c r="AD2595" s="8"/>
      <c r="AE2595" s="126"/>
      <c r="AF2595" s="125"/>
      <c r="AG2595" s="125"/>
      <c r="AH2595" s="128"/>
    </row>
    <row r="2596" spans="30:34" x14ac:dyDescent="0.2">
      <c r="AD2596" s="8"/>
      <c r="AE2596" s="126"/>
      <c r="AF2596" s="125"/>
      <c r="AG2596" s="125"/>
      <c r="AH2596" s="128"/>
    </row>
    <row r="2597" spans="30:34" x14ac:dyDescent="0.2">
      <c r="AD2597" s="8"/>
      <c r="AE2597" s="126"/>
      <c r="AF2597" s="125"/>
      <c r="AG2597" s="125"/>
      <c r="AH2597" s="128"/>
    </row>
    <row r="2598" spans="30:34" x14ac:dyDescent="0.2">
      <c r="AD2598" s="8"/>
      <c r="AE2598" s="126"/>
      <c r="AF2598" s="125"/>
      <c r="AG2598" s="125"/>
      <c r="AH2598" s="128"/>
    </row>
    <row r="2599" spans="30:34" x14ac:dyDescent="0.2">
      <c r="AD2599" s="8"/>
      <c r="AE2599" s="126"/>
      <c r="AF2599" s="125"/>
      <c r="AG2599" s="125"/>
      <c r="AH2599" s="128"/>
    </row>
    <row r="2600" spans="30:34" x14ac:dyDescent="0.2">
      <c r="AD2600" s="8"/>
      <c r="AE2600" s="126"/>
      <c r="AF2600" s="125"/>
      <c r="AG2600" s="125"/>
      <c r="AH2600" s="128"/>
    </row>
    <row r="2601" spans="30:34" x14ac:dyDescent="0.2">
      <c r="AD2601" s="8"/>
      <c r="AE2601" s="126"/>
      <c r="AF2601" s="125"/>
      <c r="AG2601" s="125"/>
      <c r="AH2601" s="128"/>
    </row>
    <row r="2602" spans="30:34" x14ac:dyDescent="0.2">
      <c r="AD2602" s="8"/>
      <c r="AE2602" s="126"/>
      <c r="AF2602" s="125"/>
      <c r="AG2602" s="125"/>
      <c r="AH2602" s="128"/>
    </row>
    <row r="2603" spans="30:34" x14ac:dyDescent="0.2">
      <c r="AD2603" s="8"/>
      <c r="AE2603" s="126"/>
      <c r="AF2603" s="125"/>
      <c r="AG2603" s="125"/>
      <c r="AH2603" s="128"/>
    </row>
    <row r="2604" spans="30:34" x14ac:dyDescent="0.2">
      <c r="AD2604" s="8"/>
      <c r="AE2604" s="126"/>
      <c r="AF2604" s="125"/>
      <c r="AG2604" s="125"/>
      <c r="AH2604" s="128"/>
    </row>
    <row r="2605" spans="30:34" x14ac:dyDescent="0.2">
      <c r="AD2605" s="8"/>
      <c r="AE2605" s="126"/>
      <c r="AF2605" s="125"/>
      <c r="AG2605" s="125"/>
      <c r="AH2605" s="128"/>
    </row>
    <row r="2606" spans="30:34" x14ac:dyDescent="0.2">
      <c r="AD2606" s="8"/>
      <c r="AE2606" s="126"/>
      <c r="AF2606" s="125"/>
      <c r="AG2606" s="125"/>
      <c r="AH2606" s="128"/>
    </row>
    <row r="2607" spans="30:34" x14ac:dyDescent="0.2">
      <c r="AD2607" s="8"/>
      <c r="AE2607" s="126"/>
      <c r="AF2607" s="125"/>
      <c r="AG2607" s="125"/>
      <c r="AH2607" s="128"/>
    </row>
    <row r="2608" spans="30:34" x14ac:dyDescent="0.2">
      <c r="AD2608" s="8"/>
      <c r="AE2608" s="126"/>
      <c r="AF2608" s="125"/>
      <c r="AG2608" s="125"/>
      <c r="AH2608" s="128"/>
    </row>
    <row r="2609" spans="30:34" x14ac:dyDescent="0.2">
      <c r="AD2609" s="8"/>
      <c r="AE2609" s="126"/>
      <c r="AF2609" s="125"/>
      <c r="AG2609" s="125"/>
      <c r="AH2609" s="128"/>
    </row>
    <row r="2610" spans="30:34" x14ac:dyDescent="0.2">
      <c r="AD2610" s="8"/>
      <c r="AE2610" s="126"/>
      <c r="AF2610" s="125"/>
      <c r="AG2610" s="125"/>
      <c r="AH2610" s="128"/>
    </row>
    <row r="2611" spans="30:34" x14ac:dyDescent="0.2">
      <c r="AD2611" s="8"/>
      <c r="AE2611" s="126"/>
      <c r="AF2611" s="125"/>
      <c r="AG2611" s="125"/>
      <c r="AH2611" s="128"/>
    </row>
    <row r="2612" spans="30:34" x14ac:dyDescent="0.2">
      <c r="AD2612" s="8"/>
      <c r="AE2612" s="126"/>
      <c r="AF2612" s="125"/>
      <c r="AG2612" s="125"/>
      <c r="AH2612" s="128"/>
    </row>
    <row r="2613" spans="30:34" x14ac:dyDescent="0.2">
      <c r="AD2613" s="8"/>
      <c r="AE2613" s="126"/>
      <c r="AF2613" s="125"/>
      <c r="AG2613" s="125"/>
      <c r="AH2613" s="128"/>
    </row>
    <row r="2614" spans="30:34" x14ac:dyDescent="0.2">
      <c r="AD2614" s="8"/>
      <c r="AE2614" s="126"/>
      <c r="AF2614" s="125"/>
      <c r="AG2614" s="125"/>
      <c r="AH2614" s="128"/>
    </row>
    <row r="2615" spans="30:34" x14ac:dyDescent="0.2">
      <c r="AD2615" s="8"/>
      <c r="AE2615" s="126"/>
      <c r="AF2615" s="125"/>
      <c r="AG2615" s="125"/>
      <c r="AH2615" s="128"/>
    </row>
    <row r="2616" spans="30:34" x14ac:dyDescent="0.2">
      <c r="AD2616" s="8"/>
      <c r="AE2616" s="126"/>
      <c r="AF2616" s="125"/>
      <c r="AG2616" s="125"/>
      <c r="AH2616" s="128"/>
    </row>
    <row r="2617" spans="30:34" x14ac:dyDescent="0.2">
      <c r="AD2617" s="8"/>
      <c r="AE2617" s="126"/>
      <c r="AF2617" s="125"/>
      <c r="AG2617" s="125"/>
      <c r="AH2617" s="128"/>
    </row>
    <row r="2618" spans="30:34" x14ac:dyDescent="0.2">
      <c r="AD2618" s="8"/>
      <c r="AE2618" s="126"/>
      <c r="AF2618" s="125"/>
      <c r="AG2618" s="125"/>
      <c r="AH2618" s="128"/>
    </row>
    <row r="2619" spans="30:34" x14ac:dyDescent="0.2">
      <c r="AD2619" s="8"/>
      <c r="AE2619" s="126"/>
      <c r="AF2619" s="125"/>
      <c r="AG2619" s="125"/>
      <c r="AH2619" s="128"/>
    </row>
    <row r="2620" spans="30:34" x14ac:dyDescent="0.2">
      <c r="AD2620" s="8"/>
      <c r="AE2620" s="126"/>
      <c r="AF2620" s="125"/>
      <c r="AG2620" s="125"/>
      <c r="AH2620" s="128"/>
    </row>
    <row r="2621" spans="30:34" x14ac:dyDescent="0.2">
      <c r="AD2621" s="8"/>
      <c r="AE2621" s="126"/>
      <c r="AF2621" s="125"/>
      <c r="AG2621" s="125"/>
      <c r="AH2621" s="128"/>
    </row>
    <row r="2622" spans="30:34" x14ac:dyDescent="0.2">
      <c r="AD2622" s="8"/>
      <c r="AE2622" s="126"/>
      <c r="AF2622" s="125"/>
      <c r="AG2622" s="125"/>
      <c r="AH2622" s="128"/>
    </row>
    <row r="2623" spans="30:34" x14ac:dyDescent="0.2">
      <c r="AD2623" s="8"/>
      <c r="AE2623" s="126"/>
      <c r="AF2623" s="125"/>
      <c r="AG2623" s="125"/>
      <c r="AH2623" s="128"/>
    </row>
    <row r="2624" spans="30:34" x14ac:dyDescent="0.2">
      <c r="AD2624" s="8"/>
      <c r="AE2624" s="126"/>
      <c r="AF2624" s="125"/>
      <c r="AG2624" s="125"/>
      <c r="AH2624" s="128"/>
    </row>
    <row r="2625" spans="30:34" x14ac:dyDescent="0.2">
      <c r="AD2625" s="8"/>
      <c r="AE2625" s="126"/>
      <c r="AF2625" s="125"/>
      <c r="AG2625" s="125"/>
      <c r="AH2625" s="128"/>
    </row>
    <row r="2626" spans="30:34" x14ac:dyDescent="0.2">
      <c r="AD2626" s="8"/>
      <c r="AE2626" s="126"/>
      <c r="AF2626" s="125"/>
      <c r="AG2626" s="125"/>
      <c r="AH2626" s="128"/>
    </row>
    <row r="2627" spans="30:34" x14ac:dyDescent="0.2">
      <c r="AD2627" s="8"/>
      <c r="AE2627" s="126"/>
      <c r="AF2627" s="125"/>
      <c r="AG2627" s="125"/>
      <c r="AH2627" s="128"/>
    </row>
    <row r="2628" spans="30:34" x14ac:dyDescent="0.2">
      <c r="AD2628" s="8"/>
      <c r="AE2628" s="126"/>
      <c r="AF2628" s="125"/>
      <c r="AG2628" s="125"/>
      <c r="AH2628" s="128"/>
    </row>
    <row r="2629" spans="30:34" x14ac:dyDescent="0.2">
      <c r="AD2629" s="8"/>
      <c r="AE2629" s="126"/>
      <c r="AF2629" s="125"/>
      <c r="AG2629" s="125"/>
      <c r="AH2629" s="128"/>
    </row>
    <row r="2630" spans="30:34" x14ac:dyDescent="0.2">
      <c r="AD2630" s="8"/>
      <c r="AE2630" s="126"/>
      <c r="AF2630" s="125"/>
      <c r="AG2630" s="125"/>
      <c r="AH2630" s="128"/>
    </row>
    <row r="2631" spans="30:34" x14ac:dyDescent="0.2">
      <c r="AD2631" s="8"/>
      <c r="AE2631" s="126"/>
      <c r="AF2631" s="125"/>
      <c r="AG2631" s="125"/>
      <c r="AH2631" s="128"/>
    </row>
    <row r="2632" spans="30:34" x14ac:dyDescent="0.2">
      <c r="AD2632" s="8"/>
      <c r="AE2632" s="126"/>
      <c r="AF2632" s="125"/>
      <c r="AG2632" s="125"/>
      <c r="AH2632" s="128"/>
    </row>
    <row r="2633" spans="30:34" x14ac:dyDescent="0.2">
      <c r="AD2633" s="8"/>
      <c r="AE2633" s="126"/>
      <c r="AF2633" s="125"/>
      <c r="AG2633" s="125"/>
      <c r="AH2633" s="128"/>
    </row>
    <row r="2634" spans="30:34" x14ac:dyDescent="0.2">
      <c r="AD2634" s="8"/>
      <c r="AE2634" s="126"/>
      <c r="AF2634" s="125"/>
      <c r="AG2634" s="125"/>
      <c r="AH2634" s="128"/>
    </row>
    <row r="2635" spans="30:34" x14ac:dyDescent="0.2">
      <c r="AD2635" s="8"/>
      <c r="AE2635" s="126"/>
      <c r="AF2635" s="125"/>
      <c r="AG2635" s="125"/>
      <c r="AH2635" s="128"/>
    </row>
    <row r="2636" spans="30:34" x14ac:dyDescent="0.2">
      <c r="AD2636" s="8"/>
      <c r="AE2636" s="126"/>
      <c r="AF2636" s="125"/>
      <c r="AG2636" s="125"/>
      <c r="AH2636" s="128"/>
    </row>
    <row r="2637" spans="30:34" x14ac:dyDescent="0.2">
      <c r="AD2637" s="8"/>
      <c r="AE2637" s="126"/>
      <c r="AF2637" s="125"/>
      <c r="AG2637" s="125"/>
      <c r="AH2637" s="128"/>
    </row>
    <row r="2638" spans="30:34" x14ac:dyDescent="0.2">
      <c r="AD2638" s="8"/>
      <c r="AE2638" s="126"/>
      <c r="AF2638" s="125"/>
      <c r="AG2638" s="125"/>
      <c r="AH2638" s="128"/>
    </row>
    <row r="2639" spans="30:34" x14ac:dyDescent="0.2">
      <c r="AD2639" s="8"/>
      <c r="AE2639" s="126"/>
      <c r="AF2639" s="125"/>
      <c r="AG2639" s="125"/>
      <c r="AH2639" s="128"/>
    </row>
    <row r="2640" spans="30:34" x14ac:dyDescent="0.2">
      <c r="AD2640" s="8"/>
      <c r="AE2640" s="126"/>
      <c r="AF2640" s="125"/>
      <c r="AG2640" s="125"/>
      <c r="AH2640" s="128"/>
    </row>
    <row r="2641" spans="30:34" x14ac:dyDescent="0.2">
      <c r="AD2641" s="8"/>
      <c r="AE2641" s="126"/>
      <c r="AF2641" s="125"/>
      <c r="AG2641" s="125"/>
      <c r="AH2641" s="128"/>
    </row>
    <row r="2642" spans="30:34" x14ac:dyDescent="0.2">
      <c r="AD2642" s="8"/>
      <c r="AE2642" s="126"/>
      <c r="AF2642" s="125"/>
      <c r="AG2642" s="125"/>
      <c r="AH2642" s="128"/>
    </row>
    <row r="2643" spans="30:34" x14ac:dyDescent="0.2">
      <c r="AD2643" s="8"/>
      <c r="AE2643" s="126"/>
      <c r="AF2643" s="125"/>
      <c r="AG2643" s="125"/>
      <c r="AH2643" s="128"/>
    </row>
    <row r="2644" spans="30:34" x14ac:dyDescent="0.2">
      <c r="AD2644" s="8"/>
      <c r="AE2644" s="126"/>
      <c r="AF2644" s="125"/>
      <c r="AG2644" s="125"/>
      <c r="AH2644" s="128"/>
    </row>
    <row r="2645" spans="30:34" x14ac:dyDescent="0.2">
      <c r="AD2645" s="8"/>
      <c r="AE2645" s="126"/>
      <c r="AF2645" s="125"/>
      <c r="AG2645" s="125"/>
      <c r="AH2645" s="128"/>
    </row>
    <row r="2646" spans="30:34" x14ac:dyDescent="0.2">
      <c r="AD2646" s="8"/>
      <c r="AE2646" s="126"/>
      <c r="AF2646" s="125"/>
      <c r="AG2646" s="125"/>
      <c r="AH2646" s="128"/>
    </row>
    <row r="2647" spans="30:34" x14ac:dyDescent="0.2">
      <c r="AD2647" s="8"/>
      <c r="AE2647" s="126"/>
      <c r="AF2647" s="125"/>
      <c r="AG2647" s="125"/>
      <c r="AH2647" s="128"/>
    </row>
    <row r="2648" spans="30:34" x14ac:dyDescent="0.2">
      <c r="AD2648" s="8"/>
      <c r="AE2648" s="126"/>
      <c r="AF2648" s="125"/>
      <c r="AG2648" s="125"/>
      <c r="AH2648" s="128"/>
    </row>
    <row r="2649" spans="30:34" x14ac:dyDescent="0.2">
      <c r="AD2649" s="8"/>
      <c r="AE2649" s="126"/>
      <c r="AF2649" s="125"/>
      <c r="AG2649" s="125"/>
      <c r="AH2649" s="128"/>
    </row>
    <row r="2650" spans="30:34" x14ac:dyDescent="0.2">
      <c r="AD2650" s="8"/>
      <c r="AE2650" s="126"/>
      <c r="AF2650" s="125"/>
      <c r="AG2650" s="125"/>
      <c r="AH2650" s="128"/>
    </row>
    <row r="2651" spans="30:34" x14ac:dyDescent="0.2">
      <c r="AD2651" s="8"/>
      <c r="AE2651" s="126"/>
      <c r="AF2651" s="125"/>
      <c r="AG2651" s="125"/>
      <c r="AH2651" s="128"/>
    </row>
    <row r="2652" spans="30:34" x14ac:dyDescent="0.2">
      <c r="AD2652" s="8"/>
      <c r="AE2652" s="126"/>
      <c r="AF2652" s="125"/>
      <c r="AG2652" s="125"/>
      <c r="AH2652" s="128"/>
    </row>
    <row r="2653" spans="30:34" x14ac:dyDescent="0.2">
      <c r="AD2653" s="8"/>
      <c r="AE2653" s="126"/>
      <c r="AF2653" s="125"/>
      <c r="AG2653" s="125"/>
      <c r="AH2653" s="128"/>
    </row>
    <row r="2654" spans="30:34" x14ac:dyDescent="0.2">
      <c r="AD2654" s="8"/>
      <c r="AE2654" s="126"/>
      <c r="AF2654" s="125"/>
      <c r="AG2654" s="125"/>
      <c r="AH2654" s="128"/>
    </row>
    <row r="2655" spans="30:34" x14ac:dyDescent="0.2">
      <c r="AD2655" s="8"/>
      <c r="AE2655" s="126"/>
      <c r="AF2655" s="125"/>
      <c r="AG2655" s="125"/>
      <c r="AH2655" s="128"/>
    </row>
    <row r="2656" spans="30:34" x14ac:dyDescent="0.2">
      <c r="AD2656" s="8"/>
      <c r="AE2656" s="126"/>
      <c r="AF2656" s="125"/>
      <c r="AG2656" s="125"/>
      <c r="AH2656" s="128"/>
    </row>
    <row r="2657" spans="30:34" x14ac:dyDescent="0.2">
      <c r="AD2657" s="8"/>
      <c r="AE2657" s="126"/>
      <c r="AF2657" s="125"/>
      <c r="AG2657" s="125"/>
      <c r="AH2657" s="128"/>
    </row>
    <row r="2658" spans="30:34" x14ac:dyDescent="0.2">
      <c r="AD2658" s="8"/>
      <c r="AE2658" s="126"/>
      <c r="AF2658" s="125"/>
      <c r="AG2658" s="125"/>
      <c r="AH2658" s="128"/>
    </row>
    <row r="2659" spans="30:34" x14ac:dyDescent="0.2">
      <c r="AD2659" s="8"/>
      <c r="AE2659" s="126"/>
      <c r="AF2659" s="125"/>
      <c r="AG2659" s="125"/>
      <c r="AH2659" s="128"/>
    </row>
    <row r="2660" spans="30:34" x14ac:dyDescent="0.2">
      <c r="AD2660" s="8"/>
      <c r="AE2660" s="126"/>
      <c r="AF2660" s="125"/>
      <c r="AG2660" s="125"/>
      <c r="AH2660" s="128"/>
    </row>
    <row r="2661" spans="30:34" x14ac:dyDescent="0.2">
      <c r="AD2661" s="8"/>
      <c r="AE2661" s="126"/>
      <c r="AF2661" s="125"/>
      <c r="AG2661" s="125"/>
      <c r="AH2661" s="128"/>
    </row>
    <row r="2662" spans="30:34" x14ac:dyDescent="0.2">
      <c r="AD2662" s="8"/>
      <c r="AE2662" s="126"/>
      <c r="AF2662" s="125"/>
      <c r="AG2662" s="125"/>
      <c r="AH2662" s="128"/>
    </row>
    <row r="2663" spans="30:34" x14ac:dyDescent="0.2">
      <c r="AD2663" s="8"/>
      <c r="AE2663" s="126"/>
      <c r="AF2663" s="125"/>
      <c r="AG2663" s="125"/>
      <c r="AH2663" s="128"/>
    </row>
    <row r="2664" spans="30:34" x14ac:dyDescent="0.2">
      <c r="AD2664" s="8"/>
      <c r="AE2664" s="126"/>
      <c r="AF2664" s="125"/>
      <c r="AG2664" s="125"/>
      <c r="AH2664" s="128"/>
    </row>
    <row r="2665" spans="30:34" x14ac:dyDescent="0.2">
      <c r="AD2665" s="8"/>
      <c r="AE2665" s="126"/>
      <c r="AF2665" s="125"/>
      <c r="AG2665" s="125"/>
      <c r="AH2665" s="128"/>
    </row>
    <row r="2666" spans="30:34" x14ac:dyDescent="0.2">
      <c r="AD2666" s="8"/>
      <c r="AE2666" s="126"/>
      <c r="AF2666" s="125"/>
      <c r="AG2666" s="125"/>
      <c r="AH2666" s="128"/>
    </row>
    <row r="2667" spans="30:34" x14ac:dyDescent="0.2">
      <c r="AD2667" s="8"/>
      <c r="AE2667" s="126"/>
      <c r="AF2667" s="125"/>
      <c r="AG2667" s="125"/>
      <c r="AH2667" s="128"/>
    </row>
    <row r="2668" spans="30:34" x14ac:dyDescent="0.2">
      <c r="AD2668" s="8"/>
      <c r="AE2668" s="126"/>
      <c r="AF2668" s="125"/>
      <c r="AG2668" s="125"/>
      <c r="AH2668" s="128"/>
    </row>
    <row r="2669" spans="30:34" x14ac:dyDescent="0.2">
      <c r="AD2669" s="8"/>
      <c r="AE2669" s="126"/>
      <c r="AF2669" s="125"/>
      <c r="AG2669" s="125"/>
      <c r="AH2669" s="128"/>
    </row>
    <row r="2670" spans="30:34" x14ac:dyDescent="0.2">
      <c r="AD2670" s="8"/>
      <c r="AE2670" s="126"/>
      <c r="AF2670" s="125"/>
      <c r="AG2670" s="125"/>
      <c r="AH2670" s="128"/>
    </row>
    <row r="2671" spans="30:34" x14ac:dyDescent="0.2">
      <c r="AD2671" s="8"/>
      <c r="AE2671" s="126"/>
      <c r="AF2671" s="125"/>
      <c r="AG2671" s="125"/>
      <c r="AH2671" s="128"/>
    </row>
    <row r="2672" spans="30:34" x14ac:dyDescent="0.2">
      <c r="AD2672" s="8"/>
      <c r="AE2672" s="126"/>
      <c r="AF2672" s="125"/>
      <c r="AG2672" s="125"/>
      <c r="AH2672" s="128"/>
    </row>
    <row r="2673" spans="30:34" x14ac:dyDescent="0.2">
      <c r="AD2673" s="8"/>
      <c r="AE2673" s="126"/>
      <c r="AF2673" s="125"/>
      <c r="AG2673" s="125"/>
      <c r="AH2673" s="128"/>
    </row>
    <row r="2674" spans="30:34" x14ac:dyDescent="0.2">
      <c r="AD2674" s="8"/>
      <c r="AE2674" s="126"/>
      <c r="AF2674" s="125"/>
      <c r="AG2674" s="125"/>
      <c r="AH2674" s="128"/>
    </row>
    <row r="2675" spans="30:34" x14ac:dyDescent="0.2">
      <c r="AD2675" s="8"/>
      <c r="AE2675" s="126"/>
      <c r="AF2675" s="125"/>
      <c r="AG2675" s="125"/>
      <c r="AH2675" s="128"/>
    </row>
    <row r="2676" spans="30:34" x14ac:dyDescent="0.2">
      <c r="AD2676" s="8"/>
      <c r="AE2676" s="126"/>
      <c r="AF2676" s="125"/>
      <c r="AG2676" s="125"/>
      <c r="AH2676" s="128"/>
    </row>
    <row r="2677" spans="30:34" x14ac:dyDescent="0.2">
      <c r="AD2677" s="8"/>
      <c r="AE2677" s="126"/>
      <c r="AF2677" s="125"/>
      <c r="AG2677" s="125"/>
      <c r="AH2677" s="128"/>
    </row>
    <row r="2678" spans="30:34" x14ac:dyDescent="0.2">
      <c r="AD2678" s="8"/>
      <c r="AE2678" s="126"/>
      <c r="AF2678" s="125"/>
      <c r="AG2678" s="125"/>
      <c r="AH2678" s="128"/>
    </row>
    <row r="2679" spans="30:34" x14ac:dyDescent="0.2">
      <c r="AD2679" s="8"/>
      <c r="AE2679" s="126"/>
      <c r="AF2679" s="125"/>
      <c r="AG2679" s="125"/>
      <c r="AH2679" s="128"/>
    </row>
    <row r="2680" spans="30:34" x14ac:dyDescent="0.2">
      <c r="AD2680" s="8"/>
      <c r="AE2680" s="126"/>
      <c r="AF2680" s="125"/>
      <c r="AG2680" s="125"/>
      <c r="AH2680" s="128"/>
    </row>
    <row r="2681" spans="30:34" x14ac:dyDescent="0.2">
      <c r="AD2681" s="8"/>
      <c r="AE2681" s="126"/>
      <c r="AF2681" s="125"/>
      <c r="AG2681" s="125"/>
      <c r="AH2681" s="128"/>
    </row>
    <row r="2682" spans="30:34" x14ac:dyDescent="0.2">
      <c r="AD2682" s="8"/>
      <c r="AE2682" s="126"/>
      <c r="AF2682" s="125"/>
      <c r="AG2682" s="125"/>
      <c r="AH2682" s="128"/>
    </row>
    <row r="2683" spans="30:34" x14ac:dyDescent="0.2">
      <c r="AD2683" s="8"/>
      <c r="AE2683" s="126"/>
      <c r="AF2683" s="125"/>
      <c r="AG2683" s="125"/>
      <c r="AH2683" s="128"/>
    </row>
    <row r="2684" spans="30:34" x14ac:dyDescent="0.2">
      <c r="AD2684" s="8"/>
      <c r="AE2684" s="126"/>
      <c r="AF2684" s="125"/>
      <c r="AG2684" s="125"/>
      <c r="AH2684" s="128"/>
    </row>
    <row r="2685" spans="30:34" x14ac:dyDescent="0.2">
      <c r="AD2685" s="8"/>
      <c r="AE2685" s="126"/>
      <c r="AF2685" s="125"/>
      <c r="AG2685" s="125"/>
      <c r="AH2685" s="128"/>
    </row>
    <row r="2686" spans="30:34" x14ac:dyDescent="0.2">
      <c r="AD2686" s="8"/>
      <c r="AE2686" s="126"/>
      <c r="AF2686" s="125"/>
      <c r="AG2686" s="125"/>
      <c r="AH2686" s="128"/>
    </row>
    <row r="2687" spans="30:34" x14ac:dyDescent="0.2">
      <c r="AD2687" s="8"/>
      <c r="AE2687" s="126"/>
      <c r="AF2687" s="125"/>
      <c r="AG2687" s="125"/>
      <c r="AH2687" s="128"/>
    </row>
    <row r="2688" spans="30:34" x14ac:dyDescent="0.2">
      <c r="AD2688" s="8"/>
      <c r="AE2688" s="126"/>
      <c r="AF2688" s="125"/>
      <c r="AG2688" s="125"/>
      <c r="AH2688" s="128"/>
    </row>
    <row r="2689" spans="30:34" x14ac:dyDescent="0.2">
      <c r="AD2689" s="8"/>
      <c r="AE2689" s="126"/>
      <c r="AF2689" s="125"/>
      <c r="AG2689" s="125"/>
      <c r="AH2689" s="128"/>
    </row>
    <row r="2690" spans="30:34" x14ac:dyDescent="0.2">
      <c r="AD2690" s="8"/>
      <c r="AE2690" s="126"/>
      <c r="AF2690" s="125"/>
      <c r="AG2690" s="125"/>
      <c r="AH2690" s="128"/>
    </row>
    <row r="2691" spans="30:34" x14ac:dyDescent="0.2">
      <c r="AD2691" s="8"/>
      <c r="AE2691" s="126"/>
      <c r="AF2691" s="125"/>
      <c r="AG2691" s="125"/>
      <c r="AH2691" s="128"/>
    </row>
    <row r="2692" spans="30:34" x14ac:dyDescent="0.2">
      <c r="AD2692" s="8"/>
      <c r="AE2692" s="126"/>
      <c r="AF2692" s="125"/>
      <c r="AG2692" s="125"/>
      <c r="AH2692" s="128"/>
    </row>
    <row r="2693" spans="30:34" x14ac:dyDescent="0.2">
      <c r="AD2693" s="8"/>
      <c r="AE2693" s="126"/>
      <c r="AF2693" s="125"/>
      <c r="AG2693" s="125"/>
      <c r="AH2693" s="128"/>
    </row>
    <row r="2694" spans="30:34" x14ac:dyDescent="0.2">
      <c r="AD2694" s="8"/>
      <c r="AE2694" s="126"/>
      <c r="AF2694" s="125"/>
      <c r="AG2694" s="125"/>
      <c r="AH2694" s="128"/>
    </row>
    <row r="2695" spans="30:34" x14ac:dyDescent="0.2">
      <c r="AD2695" s="8"/>
      <c r="AE2695" s="126"/>
      <c r="AF2695" s="125"/>
      <c r="AG2695" s="125"/>
      <c r="AH2695" s="128"/>
    </row>
    <row r="2696" spans="30:34" x14ac:dyDescent="0.2">
      <c r="AD2696" s="8"/>
      <c r="AE2696" s="126"/>
      <c r="AF2696" s="125"/>
      <c r="AG2696" s="125"/>
      <c r="AH2696" s="128"/>
    </row>
    <row r="2697" spans="30:34" x14ac:dyDescent="0.2">
      <c r="AD2697" s="8"/>
      <c r="AE2697" s="126"/>
      <c r="AF2697" s="125"/>
      <c r="AG2697" s="125"/>
      <c r="AH2697" s="128"/>
    </row>
    <row r="2698" spans="30:34" x14ac:dyDescent="0.2">
      <c r="AD2698" s="8"/>
      <c r="AE2698" s="126"/>
      <c r="AF2698" s="125"/>
      <c r="AG2698" s="125"/>
      <c r="AH2698" s="128"/>
    </row>
    <row r="2699" spans="30:34" x14ac:dyDescent="0.2">
      <c r="AD2699" s="8"/>
      <c r="AE2699" s="126"/>
      <c r="AF2699" s="125"/>
      <c r="AG2699" s="125"/>
      <c r="AH2699" s="128"/>
    </row>
    <row r="2700" spans="30:34" x14ac:dyDescent="0.2">
      <c r="AD2700" s="8"/>
      <c r="AE2700" s="126"/>
      <c r="AF2700" s="125"/>
      <c r="AG2700" s="125"/>
      <c r="AH2700" s="128"/>
    </row>
    <row r="2701" spans="30:34" x14ac:dyDescent="0.2">
      <c r="AD2701" s="8"/>
      <c r="AE2701" s="126"/>
      <c r="AF2701" s="125"/>
      <c r="AG2701" s="125"/>
      <c r="AH2701" s="128"/>
    </row>
    <row r="2702" spans="30:34" x14ac:dyDescent="0.2">
      <c r="AD2702" s="8"/>
      <c r="AE2702" s="126"/>
      <c r="AF2702" s="125"/>
      <c r="AG2702" s="125"/>
      <c r="AH2702" s="128"/>
    </row>
    <row r="2703" spans="30:34" x14ac:dyDescent="0.2">
      <c r="AD2703" s="8"/>
      <c r="AE2703" s="126"/>
      <c r="AF2703" s="125"/>
      <c r="AG2703" s="125"/>
      <c r="AH2703" s="128"/>
    </row>
    <row r="2704" spans="30:34" x14ac:dyDescent="0.2">
      <c r="AD2704" s="8"/>
      <c r="AE2704" s="126"/>
      <c r="AF2704" s="125"/>
      <c r="AG2704" s="125"/>
      <c r="AH2704" s="128"/>
    </row>
    <row r="2705" spans="30:34" x14ac:dyDescent="0.2">
      <c r="AD2705" s="8"/>
      <c r="AE2705" s="126"/>
      <c r="AF2705" s="125"/>
      <c r="AG2705" s="125"/>
      <c r="AH2705" s="128"/>
    </row>
    <row r="2706" spans="30:34" x14ac:dyDescent="0.2">
      <c r="AD2706" s="8"/>
      <c r="AE2706" s="126"/>
      <c r="AF2706" s="125"/>
      <c r="AG2706" s="125"/>
      <c r="AH2706" s="128"/>
    </row>
    <row r="2707" spans="30:34" x14ac:dyDescent="0.2">
      <c r="AD2707" s="8"/>
      <c r="AE2707" s="126"/>
      <c r="AF2707" s="125"/>
      <c r="AG2707" s="125"/>
      <c r="AH2707" s="128"/>
    </row>
    <row r="2708" spans="30:34" x14ac:dyDescent="0.2">
      <c r="AD2708" s="8"/>
      <c r="AE2708" s="126"/>
      <c r="AF2708" s="125"/>
      <c r="AG2708" s="125"/>
      <c r="AH2708" s="128"/>
    </row>
    <row r="2709" spans="30:34" x14ac:dyDescent="0.2">
      <c r="AD2709" s="8"/>
      <c r="AE2709" s="126"/>
      <c r="AF2709" s="125"/>
      <c r="AG2709" s="125"/>
      <c r="AH2709" s="128"/>
    </row>
    <row r="2710" spans="30:34" x14ac:dyDescent="0.2">
      <c r="AD2710" s="8"/>
      <c r="AE2710" s="126"/>
      <c r="AF2710" s="125"/>
      <c r="AG2710" s="125"/>
      <c r="AH2710" s="128"/>
    </row>
    <row r="2711" spans="30:34" x14ac:dyDescent="0.2">
      <c r="AD2711" s="8"/>
      <c r="AE2711" s="126"/>
      <c r="AF2711" s="125"/>
      <c r="AG2711" s="125"/>
      <c r="AH2711" s="128"/>
    </row>
    <row r="2712" spans="30:34" x14ac:dyDescent="0.2">
      <c r="AD2712" s="8"/>
      <c r="AE2712" s="126"/>
      <c r="AF2712" s="125"/>
      <c r="AG2712" s="125"/>
      <c r="AH2712" s="128"/>
    </row>
    <row r="2713" spans="30:34" x14ac:dyDescent="0.2">
      <c r="AD2713" s="8"/>
      <c r="AE2713" s="126"/>
      <c r="AF2713" s="125"/>
      <c r="AG2713" s="125"/>
      <c r="AH2713" s="128"/>
    </row>
    <row r="2714" spans="30:34" x14ac:dyDescent="0.2">
      <c r="AD2714" s="8"/>
      <c r="AE2714" s="126"/>
      <c r="AF2714" s="125"/>
      <c r="AG2714" s="125"/>
      <c r="AH2714" s="128"/>
    </row>
    <row r="2715" spans="30:34" x14ac:dyDescent="0.2">
      <c r="AD2715" s="8"/>
      <c r="AE2715" s="126"/>
      <c r="AF2715" s="125"/>
      <c r="AG2715" s="125"/>
      <c r="AH2715" s="128"/>
    </row>
    <row r="2716" spans="30:34" x14ac:dyDescent="0.2">
      <c r="AD2716" s="8"/>
      <c r="AE2716" s="126"/>
      <c r="AF2716" s="125"/>
      <c r="AG2716" s="125"/>
      <c r="AH2716" s="128"/>
    </row>
    <row r="2717" spans="30:34" x14ac:dyDescent="0.2">
      <c r="AD2717" s="8"/>
      <c r="AE2717" s="126"/>
      <c r="AF2717" s="125"/>
      <c r="AG2717" s="125"/>
      <c r="AH2717" s="128"/>
    </row>
    <row r="2718" spans="30:34" x14ac:dyDescent="0.2">
      <c r="AD2718" s="8"/>
      <c r="AE2718" s="126"/>
      <c r="AF2718" s="125"/>
      <c r="AG2718" s="125"/>
      <c r="AH2718" s="128"/>
    </row>
    <row r="2719" spans="30:34" x14ac:dyDescent="0.2">
      <c r="AD2719" s="8"/>
      <c r="AE2719" s="126"/>
      <c r="AF2719" s="125"/>
      <c r="AG2719" s="125"/>
      <c r="AH2719" s="128"/>
    </row>
    <row r="2720" spans="30:34" x14ac:dyDescent="0.2">
      <c r="AD2720" s="8"/>
      <c r="AE2720" s="126"/>
      <c r="AF2720" s="125"/>
      <c r="AG2720" s="125"/>
      <c r="AH2720" s="128"/>
    </row>
    <row r="2721" spans="30:34" x14ac:dyDescent="0.2">
      <c r="AD2721" s="8"/>
      <c r="AE2721" s="126"/>
      <c r="AF2721" s="125"/>
      <c r="AG2721" s="125"/>
      <c r="AH2721" s="128"/>
    </row>
    <row r="2722" spans="30:34" x14ac:dyDescent="0.2">
      <c r="AD2722" s="8"/>
      <c r="AE2722" s="126"/>
      <c r="AF2722" s="125"/>
      <c r="AG2722" s="125"/>
      <c r="AH2722" s="128"/>
    </row>
    <row r="2723" spans="30:34" x14ac:dyDescent="0.2">
      <c r="AD2723" s="8"/>
      <c r="AE2723" s="126"/>
      <c r="AF2723" s="125"/>
      <c r="AG2723" s="125"/>
      <c r="AH2723" s="128"/>
    </row>
    <row r="2724" spans="30:34" x14ac:dyDescent="0.2">
      <c r="AD2724" s="8"/>
      <c r="AE2724" s="126"/>
      <c r="AF2724" s="125"/>
      <c r="AG2724" s="125"/>
      <c r="AH2724" s="128"/>
    </row>
    <row r="2725" spans="30:34" x14ac:dyDescent="0.2">
      <c r="AD2725" s="8"/>
      <c r="AE2725" s="126"/>
      <c r="AF2725" s="125"/>
      <c r="AG2725" s="125"/>
      <c r="AH2725" s="128"/>
    </row>
    <row r="2726" spans="30:34" x14ac:dyDescent="0.2">
      <c r="AD2726" s="8"/>
      <c r="AE2726" s="126"/>
      <c r="AF2726" s="125"/>
      <c r="AG2726" s="125"/>
      <c r="AH2726" s="128"/>
    </row>
    <row r="2727" spans="30:34" x14ac:dyDescent="0.2">
      <c r="AD2727" s="8"/>
      <c r="AE2727" s="126"/>
      <c r="AF2727" s="125"/>
      <c r="AG2727" s="125"/>
      <c r="AH2727" s="128"/>
    </row>
    <row r="2728" spans="30:34" x14ac:dyDescent="0.2">
      <c r="AD2728" s="8"/>
      <c r="AE2728" s="126"/>
      <c r="AF2728" s="125"/>
      <c r="AG2728" s="125"/>
      <c r="AH2728" s="128"/>
    </row>
    <row r="2729" spans="30:34" x14ac:dyDescent="0.2">
      <c r="AD2729" s="8"/>
      <c r="AE2729" s="126"/>
      <c r="AF2729" s="125"/>
      <c r="AG2729" s="125"/>
      <c r="AH2729" s="128"/>
    </row>
    <row r="2730" spans="30:34" x14ac:dyDescent="0.2">
      <c r="AD2730" s="8"/>
      <c r="AE2730" s="126"/>
      <c r="AF2730" s="125"/>
      <c r="AG2730" s="125"/>
      <c r="AH2730" s="128"/>
    </row>
    <row r="2731" spans="30:34" x14ac:dyDescent="0.2">
      <c r="AD2731" s="8"/>
      <c r="AE2731" s="126"/>
      <c r="AF2731" s="125"/>
      <c r="AG2731" s="125"/>
      <c r="AH2731" s="128"/>
    </row>
    <row r="2732" spans="30:34" x14ac:dyDescent="0.2">
      <c r="AD2732" s="8"/>
      <c r="AE2732" s="126"/>
      <c r="AF2732" s="125"/>
      <c r="AG2732" s="125"/>
      <c r="AH2732" s="128"/>
    </row>
    <row r="2733" spans="30:34" x14ac:dyDescent="0.2">
      <c r="AD2733" s="8"/>
      <c r="AE2733" s="126"/>
      <c r="AF2733" s="125"/>
      <c r="AG2733" s="125"/>
      <c r="AH2733" s="128"/>
    </row>
    <row r="2734" spans="30:34" x14ac:dyDescent="0.2">
      <c r="AD2734" s="8"/>
      <c r="AE2734" s="126"/>
      <c r="AF2734" s="125"/>
      <c r="AG2734" s="125"/>
      <c r="AH2734" s="128"/>
    </row>
    <row r="2735" spans="30:34" x14ac:dyDescent="0.2">
      <c r="AD2735" s="8"/>
      <c r="AE2735" s="126"/>
      <c r="AF2735" s="125"/>
      <c r="AG2735" s="125"/>
      <c r="AH2735" s="128"/>
    </row>
    <row r="2736" spans="30:34" x14ac:dyDescent="0.2">
      <c r="AD2736" s="8"/>
      <c r="AE2736" s="126"/>
      <c r="AF2736" s="125"/>
      <c r="AG2736" s="125"/>
      <c r="AH2736" s="128"/>
    </row>
    <row r="2737" spans="30:34" x14ac:dyDescent="0.2">
      <c r="AD2737" s="8"/>
      <c r="AE2737" s="126"/>
      <c r="AF2737" s="125"/>
      <c r="AG2737" s="125"/>
      <c r="AH2737" s="128"/>
    </row>
    <row r="2738" spans="30:34" x14ac:dyDescent="0.2">
      <c r="AD2738" s="8"/>
      <c r="AE2738" s="126"/>
      <c r="AF2738" s="125"/>
      <c r="AG2738" s="125"/>
      <c r="AH2738" s="128"/>
    </row>
    <row r="2739" spans="30:34" x14ac:dyDescent="0.2">
      <c r="AD2739" s="8"/>
      <c r="AE2739" s="126"/>
      <c r="AF2739" s="125"/>
      <c r="AG2739" s="125"/>
      <c r="AH2739" s="128"/>
    </row>
    <row r="2740" spans="30:34" x14ac:dyDescent="0.2">
      <c r="AD2740" s="8"/>
      <c r="AE2740" s="126"/>
      <c r="AF2740" s="125"/>
      <c r="AG2740" s="125"/>
      <c r="AH2740" s="128"/>
    </row>
    <row r="2741" spans="30:34" x14ac:dyDescent="0.2">
      <c r="AD2741" s="8"/>
      <c r="AE2741" s="126"/>
      <c r="AF2741" s="125"/>
      <c r="AG2741" s="125"/>
      <c r="AH2741" s="128"/>
    </row>
    <row r="2742" spans="30:34" x14ac:dyDescent="0.2">
      <c r="AD2742" s="8"/>
      <c r="AE2742" s="126"/>
      <c r="AF2742" s="125"/>
      <c r="AG2742" s="125"/>
      <c r="AH2742" s="128"/>
    </row>
    <row r="2743" spans="30:34" x14ac:dyDescent="0.2">
      <c r="AD2743" s="8"/>
      <c r="AE2743" s="126"/>
      <c r="AF2743" s="125"/>
      <c r="AG2743" s="125"/>
      <c r="AH2743" s="128"/>
    </row>
    <row r="2744" spans="30:34" x14ac:dyDescent="0.2">
      <c r="AD2744" s="8"/>
      <c r="AE2744" s="126"/>
      <c r="AF2744" s="125"/>
      <c r="AG2744" s="125"/>
      <c r="AH2744" s="128"/>
    </row>
    <row r="2745" spans="30:34" x14ac:dyDescent="0.2">
      <c r="AD2745" s="8"/>
      <c r="AE2745" s="126"/>
      <c r="AF2745" s="125"/>
      <c r="AG2745" s="125"/>
      <c r="AH2745" s="128"/>
    </row>
    <row r="2746" spans="30:34" x14ac:dyDescent="0.2">
      <c r="AD2746" s="8"/>
      <c r="AE2746" s="126"/>
      <c r="AF2746" s="125"/>
      <c r="AG2746" s="125"/>
      <c r="AH2746" s="128"/>
    </row>
    <row r="2747" spans="30:34" x14ac:dyDescent="0.2">
      <c r="AD2747" s="8"/>
      <c r="AE2747" s="126"/>
      <c r="AF2747" s="125"/>
      <c r="AG2747" s="125"/>
      <c r="AH2747" s="128"/>
    </row>
    <row r="2748" spans="30:34" x14ac:dyDescent="0.2">
      <c r="AD2748" s="8"/>
      <c r="AE2748" s="126"/>
      <c r="AF2748" s="125"/>
      <c r="AG2748" s="125"/>
      <c r="AH2748" s="128"/>
    </row>
    <row r="2749" spans="30:34" x14ac:dyDescent="0.2">
      <c r="AD2749" s="8"/>
      <c r="AE2749" s="126"/>
      <c r="AF2749" s="125"/>
      <c r="AG2749" s="125"/>
      <c r="AH2749" s="128"/>
    </row>
    <row r="2750" spans="30:34" x14ac:dyDescent="0.2">
      <c r="AD2750" s="8"/>
      <c r="AE2750" s="126"/>
      <c r="AF2750" s="125"/>
      <c r="AG2750" s="125"/>
      <c r="AH2750" s="128"/>
    </row>
    <row r="2751" spans="30:34" x14ac:dyDescent="0.2">
      <c r="AD2751" s="8"/>
      <c r="AE2751" s="126"/>
      <c r="AF2751" s="125"/>
      <c r="AG2751" s="125"/>
      <c r="AH2751" s="128"/>
    </row>
    <row r="2752" spans="30:34" x14ac:dyDescent="0.2">
      <c r="AD2752" s="8"/>
      <c r="AE2752" s="126"/>
      <c r="AF2752" s="125"/>
      <c r="AG2752" s="125"/>
      <c r="AH2752" s="128"/>
    </row>
    <row r="2753" spans="30:34" x14ac:dyDescent="0.2">
      <c r="AD2753" s="8"/>
      <c r="AE2753" s="126"/>
      <c r="AF2753" s="125"/>
      <c r="AG2753" s="125"/>
      <c r="AH2753" s="128"/>
    </row>
    <row r="2754" spans="30:34" x14ac:dyDescent="0.2">
      <c r="AD2754" s="8"/>
      <c r="AE2754" s="126"/>
      <c r="AF2754" s="125"/>
      <c r="AG2754" s="125"/>
      <c r="AH2754" s="128"/>
    </row>
    <row r="2755" spans="30:34" x14ac:dyDescent="0.2">
      <c r="AD2755" s="8"/>
      <c r="AE2755" s="126"/>
      <c r="AF2755" s="125"/>
      <c r="AG2755" s="125"/>
      <c r="AH2755" s="128"/>
    </row>
    <row r="2756" spans="30:34" x14ac:dyDescent="0.2">
      <c r="AD2756" s="8"/>
      <c r="AE2756" s="126"/>
      <c r="AF2756" s="125"/>
      <c r="AG2756" s="125"/>
      <c r="AH2756" s="128"/>
    </row>
    <row r="2757" spans="30:34" x14ac:dyDescent="0.2">
      <c r="AD2757" s="8"/>
      <c r="AE2757" s="126"/>
      <c r="AF2757" s="125"/>
      <c r="AG2757" s="125"/>
      <c r="AH2757" s="128"/>
    </row>
    <row r="2758" spans="30:34" x14ac:dyDescent="0.2">
      <c r="AD2758" s="8"/>
      <c r="AE2758" s="126"/>
      <c r="AF2758" s="125"/>
      <c r="AG2758" s="125"/>
      <c r="AH2758" s="128"/>
    </row>
    <row r="2759" spans="30:34" x14ac:dyDescent="0.2">
      <c r="AD2759" s="8"/>
      <c r="AE2759" s="126"/>
      <c r="AF2759" s="125"/>
      <c r="AG2759" s="125"/>
      <c r="AH2759" s="128"/>
    </row>
    <row r="2760" spans="30:34" x14ac:dyDescent="0.2">
      <c r="AD2760" s="8"/>
      <c r="AE2760" s="126"/>
      <c r="AF2760" s="125"/>
      <c r="AG2760" s="125"/>
      <c r="AH2760" s="128"/>
    </row>
    <row r="2761" spans="30:34" x14ac:dyDescent="0.2">
      <c r="AD2761" s="8"/>
      <c r="AE2761" s="126"/>
      <c r="AF2761" s="125"/>
      <c r="AG2761" s="125"/>
      <c r="AH2761" s="128"/>
    </row>
    <row r="2762" spans="30:34" x14ac:dyDescent="0.2">
      <c r="AD2762" s="8"/>
      <c r="AE2762" s="126"/>
      <c r="AF2762" s="125"/>
      <c r="AG2762" s="125"/>
      <c r="AH2762" s="128"/>
    </row>
    <row r="2763" spans="30:34" x14ac:dyDescent="0.2">
      <c r="AD2763" s="8"/>
      <c r="AE2763" s="126"/>
      <c r="AF2763" s="125"/>
      <c r="AG2763" s="125"/>
      <c r="AH2763" s="128"/>
    </row>
    <row r="2764" spans="30:34" x14ac:dyDescent="0.2">
      <c r="AD2764" s="8"/>
      <c r="AE2764" s="126"/>
      <c r="AF2764" s="125"/>
      <c r="AG2764" s="125"/>
      <c r="AH2764" s="128"/>
    </row>
    <row r="2765" spans="30:34" x14ac:dyDescent="0.2">
      <c r="AD2765" s="8"/>
      <c r="AE2765" s="126"/>
      <c r="AF2765" s="125"/>
      <c r="AG2765" s="125"/>
      <c r="AH2765" s="128"/>
    </row>
    <row r="2766" spans="30:34" x14ac:dyDescent="0.2">
      <c r="AD2766" s="8"/>
      <c r="AE2766" s="126"/>
      <c r="AF2766" s="125"/>
      <c r="AG2766" s="125"/>
      <c r="AH2766" s="128"/>
    </row>
    <row r="2767" spans="30:34" x14ac:dyDescent="0.2">
      <c r="AD2767" s="8"/>
      <c r="AE2767" s="126"/>
      <c r="AF2767" s="125"/>
      <c r="AG2767" s="125"/>
      <c r="AH2767" s="128"/>
    </row>
    <row r="2768" spans="30:34" x14ac:dyDescent="0.2">
      <c r="AD2768" s="8"/>
      <c r="AE2768" s="126"/>
      <c r="AF2768" s="125"/>
      <c r="AG2768" s="125"/>
      <c r="AH2768" s="128"/>
    </row>
    <row r="2769" spans="30:34" x14ac:dyDescent="0.2">
      <c r="AD2769" s="8"/>
      <c r="AE2769" s="126"/>
      <c r="AF2769" s="125"/>
      <c r="AG2769" s="125"/>
      <c r="AH2769" s="128"/>
    </row>
    <row r="2770" spans="30:34" x14ac:dyDescent="0.2">
      <c r="AD2770" s="8"/>
      <c r="AE2770" s="126"/>
      <c r="AF2770" s="125"/>
      <c r="AG2770" s="125"/>
      <c r="AH2770" s="128"/>
    </row>
    <row r="2771" spans="30:34" x14ac:dyDescent="0.2">
      <c r="AD2771" s="8"/>
      <c r="AE2771" s="126"/>
      <c r="AF2771" s="125"/>
      <c r="AG2771" s="125"/>
      <c r="AH2771" s="128"/>
    </row>
    <row r="2772" spans="30:34" x14ac:dyDescent="0.2">
      <c r="AD2772" s="8"/>
      <c r="AE2772" s="126"/>
      <c r="AF2772" s="125"/>
      <c r="AG2772" s="125"/>
      <c r="AH2772" s="128"/>
    </row>
    <row r="2773" spans="30:34" x14ac:dyDescent="0.2">
      <c r="AD2773" s="8"/>
      <c r="AE2773" s="126"/>
      <c r="AF2773" s="125"/>
      <c r="AG2773" s="125"/>
      <c r="AH2773" s="128"/>
    </row>
    <row r="2774" spans="30:34" x14ac:dyDescent="0.2">
      <c r="AD2774" s="8"/>
      <c r="AE2774" s="126"/>
      <c r="AF2774" s="125"/>
      <c r="AG2774" s="125"/>
      <c r="AH2774" s="128"/>
    </row>
    <row r="2775" spans="30:34" x14ac:dyDescent="0.2">
      <c r="AD2775" s="8"/>
      <c r="AE2775" s="126"/>
      <c r="AF2775" s="125"/>
      <c r="AG2775" s="125"/>
      <c r="AH2775" s="128"/>
    </row>
    <row r="2776" spans="30:34" x14ac:dyDescent="0.2">
      <c r="AD2776" s="8"/>
      <c r="AE2776" s="126"/>
      <c r="AF2776" s="125"/>
      <c r="AG2776" s="125"/>
      <c r="AH2776" s="128"/>
    </row>
    <row r="2777" spans="30:34" x14ac:dyDescent="0.2">
      <c r="AD2777" s="8"/>
      <c r="AE2777" s="126"/>
      <c r="AF2777" s="125"/>
      <c r="AG2777" s="125"/>
      <c r="AH2777" s="128"/>
    </row>
    <row r="2778" spans="30:34" x14ac:dyDescent="0.2">
      <c r="AD2778" s="8"/>
      <c r="AE2778" s="126"/>
      <c r="AF2778" s="125"/>
      <c r="AG2778" s="125"/>
      <c r="AH2778" s="128"/>
    </row>
    <row r="2779" spans="30:34" x14ac:dyDescent="0.2">
      <c r="AD2779" s="8"/>
      <c r="AE2779" s="126"/>
      <c r="AF2779" s="125"/>
      <c r="AG2779" s="125"/>
      <c r="AH2779" s="128"/>
    </row>
    <row r="2780" spans="30:34" x14ac:dyDescent="0.2">
      <c r="AD2780" s="8"/>
      <c r="AE2780" s="126"/>
      <c r="AF2780" s="125"/>
      <c r="AG2780" s="125"/>
      <c r="AH2780" s="128"/>
    </row>
    <row r="2781" spans="30:34" x14ac:dyDescent="0.2">
      <c r="AD2781" s="8"/>
      <c r="AE2781" s="126"/>
      <c r="AF2781" s="125"/>
      <c r="AG2781" s="125"/>
      <c r="AH2781" s="128"/>
    </row>
    <row r="2782" spans="30:34" x14ac:dyDescent="0.2">
      <c r="AD2782" s="8"/>
      <c r="AE2782" s="126"/>
      <c r="AF2782" s="125"/>
      <c r="AG2782" s="125"/>
      <c r="AH2782" s="128"/>
    </row>
    <row r="2783" spans="30:34" x14ac:dyDescent="0.2">
      <c r="AD2783" s="8"/>
      <c r="AE2783" s="126"/>
      <c r="AF2783" s="125"/>
      <c r="AG2783" s="125"/>
      <c r="AH2783" s="128"/>
    </row>
    <row r="2784" spans="30:34" x14ac:dyDescent="0.2">
      <c r="AD2784" s="8"/>
      <c r="AE2784" s="126"/>
      <c r="AF2784" s="125"/>
      <c r="AG2784" s="125"/>
      <c r="AH2784" s="128"/>
    </row>
    <row r="2785" spans="30:34" x14ac:dyDescent="0.2">
      <c r="AD2785" s="8"/>
      <c r="AE2785" s="126"/>
      <c r="AF2785" s="125"/>
      <c r="AG2785" s="125"/>
      <c r="AH2785" s="128"/>
    </row>
    <row r="2786" spans="30:34" x14ac:dyDescent="0.2">
      <c r="AD2786" s="8"/>
      <c r="AE2786" s="126"/>
      <c r="AF2786" s="125"/>
      <c r="AG2786" s="125"/>
      <c r="AH2786" s="128"/>
    </row>
    <row r="2787" spans="30:34" x14ac:dyDescent="0.2">
      <c r="AD2787" s="8"/>
      <c r="AE2787" s="126"/>
      <c r="AF2787" s="125"/>
      <c r="AG2787" s="125"/>
      <c r="AH2787" s="128"/>
    </row>
    <row r="2788" spans="30:34" x14ac:dyDescent="0.2">
      <c r="AD2788" s="8"/>
      <c r="AE2788" s="126"/>
      <c r="AF2788" s="125"/>
      <c r="AG2788" s="125"/>
      <c r="AH2788" s="128"/>
    </row>
    <row r="2789" spans="30:34" x14ac:dyDescent="0.2">
      <c r="AD2789" s="8"/>
      <c r="AE2789" s="126"/>
      <c r="AF2789" s="125"/>
      <c r="AG2789" s="125"/>
      <c r="AH2789" s="128"/>
    </row>
    <row r="2790" spans="30:34" x14ac:dyDescent="0.2">
      <c r="AD2790" s="8"/>
      <c r="AE2790" s="126"/>
      <c r="AF2790" s="125"/>
      <c r="AG2790" s="125"/>
      <c r="AH2790" s="128"/>
    </row>
    <row r="2791" spans="30:34" x14ac:dyDescent="0.2">
      <c r="AD2791" s="8"/>
      <c r="AE2791" s="126"/>
      <c r="AF2791" s="125"/>
      <c r="AG2791" s="125"/>
      <c r="AH2791" s="128"/>
    </row>
    <row r="2792" spans="30:34" x14ac:dyDescent="0.2">
      <c r="AD2792" s="8"/>
      <c r="AE2792" s="126"/>
      <c r="AF2792" s="125"/>
      <c r="AG2792" s="125"/>
      <c r="AH2792" s="128"/>
    </row>
    <row r="2793" spans="30:34" x14ac:dyDescent="0.2">
      <c r="AD2793" s="8"/>
      <c r="AE2793" s="126"/>
      <c r="AF2793" s="125"/>
      <c r="AG2793" s="125"/>
      <c r="AH2793" s="128"/>
    </row>
    <row r="2794" spans="30:34" x14ac:dyDescent="0.2">
      <c r="AD2794" s="8"/>
      <c r="AE2794" s="126"/>
      <c r="AF2794" s="125"/>
      <c r="AG2794" s="125"/>
      <c r="AH2794" s="128"/>
    </row>
    <row r="2795" spans="30:34" x14ac:dyDescent="0.2">
      <c r="AD2795" s="8"/>
      <c r="AE2795" s="126"/>
      <c r="AF2795" s="125"/>
      <c r="AG2795" s="125"/>
      <c r="AH2795" s="128"/>
    </row>
    <row r="2796" spans="30:34" x14ac:dyDescent="0.2">
      <c r="AD2796" s="8"/>
      <c r="AE2796" s="126"/>
      <c r="AF2796" s="125"/>
      <c r="AG2796" s="125"/>
      <c r="AH2796" s="128"/>
    </row>
    <row r="2797" spans="30:34" x14ac:dyDescent="0.2">
      <c r="AD2797" s="8"/>
      <c r="AE2797" s="126"/>
      <c r="AF2797" s="125"/>
      <c r="AG2797" s="125"/>
      <c r="AH2797" s="128"/>
    </row>
    <row r="2798" spans="30:34" x14ac:dyDescent="0.2">
      <c r="AD2798" s="8"/>
      <c r="AE2798" s="126"/>
      <c r="AF2798" s="125"/>
      <c r="AG2798" s="125"/>
      <c r="AH2798" s="128"/>
    </row>
    <row r="2799" spans="30:34" x14ac:dyDescent="0.2">
      <c r="AD2799" s="8"/>
      <c r="AE2799" s="126"/>
      <c r="AF2799" s="125"/>
      <c r="AG2799" s="125"/>
      <c r="AH2799" s="128"/>
    </row>
    <row r="2800" spans="30:34" x14ac:dyDescent="0.2">
      <c r="AD2800" s="8"/>
      <c r="AE2800" s="126"/>
      <c r="AF2800" s="125"/>
      <c r="AG2800" s="125"/>
      <c r="AH2800" s="128"/>
    </row>
    <row r="2801" spans="30:34" x14ac:dyDescent="0.2">
      <c r="AD2801" s="8"/>
      <c r="AE2801" s="126"/>
      <c r="AF2801" s="125"/>
      <c r="AG2801" s="125"/>
      <c r="AH2801" s="128"/>
    </row>
    <row r="2802" spans="30:34" x14ac:dyDescent="0.2">
      <c r="AD2802" s="8"/>
      <c r="AE2802" s="126"/>
      <c r="AF2802" s="125"/>
      <c r="AG2802" s="125"/>
      <c r="AH2802" s="128"/>
    </row>
    <row r="2803" spans="30:34" x14ac:dyDescent="0.2">
      <c r="AD2803" s="8"/>
      <c r="AE2803" s="126"/>
      <c r="AF2803" s="125"/>
      <c r="AG2803" s="125"/>
      <c r="AH2803" s="128"/>
    </row>
    <row r="2804" spans="30:34" x14ac:dyDescent="0.2">
      <c r="AD2804" s="8"/>
      <c r="AE2804" s="126"/>
      <c r="AF2804" s="125"/>
      <c r="AG2804" s="125"/>
      <c r="AH2804" s="128"/>
    </row>
    <row r="2805" spans="30:34" x14ac:dyDescent="0.2">
      <c r="AD2805" s="8"/>
      <c r="AE2805" s="126"/>
      <c r="AF2805" s="125"/>
      <c r="AG2805" s="125"/>
      <c r="AH2805" s="128"/>
    </row>
    <row r="2806" spans="30:34" x14ac:dyDescent="0.2">
      <c r="AD2806" s="8"/>
      <c r="AE2806" s="126"/>
      <c r="AF2806" s="125"/>
      <c r="AG2806" s="125"/>
      <c r="AH2806" s="128"/>
    </row>
    <row r="2807" spans="30:34" x14ac:dyDescent="0.2">
      <c r="AD2807" s="8"/>
      <c r="AE2807" s="126"/>
      <c r="AF2807" s="125"/>
      <c r="AG2807" s="125"/>
      <c r="AH2807" s="128"/>
    </row>
    <row r="2808" spans="30:34" x14ac:dyDescent="0.2">
      <c r="AD2808" s="8"/>
      <c r="AE2808" s="126"/>
      <c r="AF2808" s="125"/>
      <c r="AG2808" s="125"/>
      <c r="AH2808" s="128"/>
    </row>
    <row r="2809" spans="30:34" x14ac:dyDescent="0.2">
      <c r="AD2809" s="8"/>
      <c r="AE2809" s="126"/>
      <c r="AF2809" s="125"/>
      <c r="AG2809" s="125"/>
      <c r="AH2809" s="128"/>
    </row>
    <row r="2810" spans="30:34" x14ac:dyDescent="0.2">
      <c r="AD2810" s="8"/>
      <c r="AE2810" s="126"/>
      <c r="AF2810" s="125"/>
      <c r="AG2810" s="125"/>
      <c r="AH2810" s="128"/>
    </row>
    <row r="2811" spans="30:34" x14ac:dyDescent="0.2">
      <c r="AD2811" s="8"/>
      <c r="AE2811" s="126"/>
      <c r="AF2811" s="125"/>
      <c r="AG2811" s="125"/>
      <c r="AH2811" s="128"/>
    </row>
    <row r="2812" spans="30:34" x14ac:dyDescent="0.2">
      <c r="AD2812" s="8"/>
      <c r="AE2812" s="126"/>
      <c r="AF2812" s="125"/>
      <c r="AG2812" s="125"/>
      <c r="AH2812" s="128"/>
    </row>
    <row r="2813" spans="30:34" x14ac:dyDescent="0.2">
      <c r="AD2813" s="8"/>
      <c r="AE2813" s="126"/>
      <c r="AF2813" s="125"/>
      <c r="AG2813" s="125"/>
      <c r="AH2813" s="128"/>
    </row>
    <row r="2814" spans="30:34" x14ac:dyDescent="0.2">
      <c r="AD2814" s="8"/>
      <c r="AE2814" s="126"/>
      <c r="AF2814" s="125"/>
      <c r="AG2814" s="125"/>
      <c r="AH2814" s="128"/>
    </row>
    <row r="2815" spans="30:34" x14ac:dyDescent="0.2">
      <c r="AD2815" s="8"/>
      <c r="AE2815" s="126"/>
      <c r="AF2815" s="125"/>
      <c r="AG2815" s="125"/>
      <c r="AH2815" s="128"/>
    </row>
    <row r="2816" spans="30:34" x14ac:dyDescent="0.2">
      <c r="AD2816" s="8"/>
      <c r="AE2816" s="126"/>
      <c r="AF2816" s="125"/>
      <c r="AG2816" s="125"/>
      <c r="AH2816" s="128"/>
    </row>
    <row r="2817" spans="30:34" x14ac:dyDescent="0.2">
      <c r="AD2817" s="8"/>
      <c r="AE2817" s="126"/>
      <c r="AF2817" s="125"/>
      <c r="AG2817" s="125"/>
      <c r="AH2817" s="128"/>
    </row>
    <row r="2818" spans="30:34" x14ac:dyDescent="0.2">
      <c r="AD2818" s="8"/>
      <c r="AE2818" s="126"/>
      <c r="AF2818" s="125"/>
      <c r="AG2818" s="125"/>
      <c r="AH2818" s="128"/>
    </row>
    <row r="2819" spans="30:34" x14ac:dyDescent="0.2">
      <c r="AD2819" s="8"/>
      <c r="AE2819" s="126"/>
      <c r="AF2819" s="125"/>
      <c r="AG2819" s="125"/>
      <c r="AH2819" s="128"/>
    </row>
    <row r="2820" spans="30:34" x14ac:dyDescent="0.2">
      <c r="AD2820" s="8"/>
      <c r="AE2820" s="126"/>
      <c r="AF2820" s="125"/>
      <c r="AG2820" s="125"/>
      <c r="AH2820" s="128"/>
    </row>
    <row r="2821" spans="30:34" x14ac:dyDescent="0.2">
      <c r="AD2821" s="8"/>
      <c r="AE2821" s="126"/>
      <c r="AF2821" s="125"/>
      <c r="AG2821" s="125"/>
      <c r="AH2821" s="128"/>
    </row>
    <row r="2822" spans="30:34" x14ac:dyDescent="0.2">
      <c r="AD2822" s="8"/>
      <c r="AE2822" s="126"/>
      <c r="AF2822" s="125"/>
      <c r="AG2822" s="125"/>
      <c r="AH2822" s="128"/>
    </row>
    <row r="2823" spans="30:34" x14ac:dyDescent="0.2">
      <c r="AD2823" s="8"/>
      <c r="AE2823" s="126"/>
      <c r="AF2823" s="125"/>
      <c r="AG2823" s="125"/>
      <c r="AH2823" s="128"/>
    </row>
    <row r="2824" spans="30:34" x14ac:dyDescent="0.2">
      <c r="AD2824" s="8"/>
      <c r="AE2824" s="126"/>
      <c r="AF2824" s="125"/>
      <c r="AG2824" s="125"/>
      <c r="AH2824" s="128"/>
    </row>
    <row r="2825" spans="30:34" x14ac:dyDescent="0.2">
      <c r="AD2825" s="8"/>
      <c r="AE2825" s="126"/>
      <c r="AF2825" s="125"/>
      <c r="AG2825" s="125"/>
      <c r="AH2825" s="128"/>
    </row>
    <row r="2826" spans="30:34" x14ac:dyDescent="0.2">
      <c r="AD2826" s="8"/>
      <c r="AE2826" s="126"/>
      <c r="AF2826" s="125"/>
      <c r="AG2826" s="125"/>
      <c r="AH2826" s="128"/>
    </row>
    <row r="2827" spans="30:34" x14ac:dyDescent="0.2">
      <c r="AD2827" s="8"/>
      <c r="AE2827" s="126"/>
      <c r="AF2827" s="125"/>
      <c r="AG2827" s="125"/>
      <c r="AH2827" s="128"/>
    </row>
    <row r="2828" spans="30:34" x14ac:dyDescent="0.2">
      <c r="AD2828" s="8"/>
      <c r="AE2828" s="126"/>
      <c r="AF2828" s="125"/>
      <c r="AG2828" s="125"/>
      <c r="AH2828" s="128"/>
    </row>
    <row r="2829" spans="30:34" x14ac:dyDescent="0.2">
      <c r="AD2829" s="8"/>
      <c r="AE2829" s="126"/>
      <c r="AF2829" s="125"/>
      <c r="AG2829" s="125"/>
      <c r="AH2829" s="128"/>
    </row>
    <row r="2830" spans="30:34" x14ac:dyDescent="0.2">
      <c r="AD2830" s="8"/>
      <c r="AE2830" s="126"/>
      <c r="AF2830" s="125"/>
      <c r="AG2830" s="125"/>
      <c r="AH2830" s="128"/>
    </row>
    <row r="2831" spans="30:34" x14ac:dyDescent="0.2">
      <c r="AD2831" s="8"/>
      <c r="AE2831" s="126"/>
      <c r="AF2831" s="125"/>
      <c r="AG2831" s="125"/>
      <c r="AH2831" s="128"/>
    </row>
    <row r="2832" spans="30:34" x14ac:dyDescent="0.2">
      <c r="AD2832" s="8"/>
      <c r="AE2832" s="126"/>
      <c r="AF2832" s="125"/>
      <c r="AG2832" s="125"/>
      <c r="AH2832" s="128"/>
    </row>
    <row r="2833" spans="30:34" x14ac:dyDescent="0.2">
      <c r="AD2833" s="8"/>
      <c r="AE2833" s="126"/>
      <c r="AF2833" s="125"/>
      <c r="AG2833" s="125"/>
      <c r="AH2833" s="128"/>
    </row>
    <row r="2834" spans="30:34" x14ac:dyDescent="0.2">
      <c r="AD2834" s="8"/>
      <c r="AE2834" s="126"/>
      <c r="AF2834" s="125"/>
      <c r="AG2834" s="125"/>
      <c r="AH2834" s="128"/>
    </row>
    <row r="2835" spans="30:34" x14ac:dyDescent="0.2">
      <c r="AD2835" s="8"/>
      <c r="AE2835" s="126"/>
      <c r="AF2835" s="125"/>
      <c r="AG2835" s="125"/>
      <c r="AH2835" s="128"/>
    </row>
    <row r="2836" spans="30:34" x14ac:dyDescent="0.2">
      <c r="AD2836" s="8"/>
      <c r="AE2836" s="126"/>
      <c r="AF2836" s="125"/>
      <c r="AG2836" s="125"/>
      <c r="AH2836" s="128"/>
    </row>
    <row r="2837" spans="30:34" x14ac:dyDescent="0.2">
      <c r="AD2837" s="8"/>
      <c r="AE2837" s="126"/>
      <c r="AF2837" s="125"/>
      <c r="AG2837" s="125"/>
      <c r="AH2837" s="128"/>
    </row>
    <row r="2838" spans="30:34" x14ac:dyDescent="0.2">
      <c r="AD2838" s="8"/>
      <c r="AE2838" s="126"/>
      <c r="AF2838" s="125"/>
      <c r="AG2838" s="125"/>
      <c r="AH2838" s="128"/>
    </row>
    <row r="2839" spans="30:34" x14ac:dyDescent="0.2">
      <c r="AD2839" s="8"/>
      <c r="AE2839" s="126"/>
      <c r="AF2839" s="125"/>
      <c r="AG2839" s="125"/>
      <c r="AH2839" s="128"/>
    </row>
    <row r="2840" spans="30:34" x14ac:dyDescent="0.2">
      <c r="AD2840" s="8"/>
      <c r="AE2840" s="126"/>
      <c r="AF2840" s="125"/>
      <c r="AG2840" s="125"/>
      <c r="AH2840" s="128"/>
    </row>
    <row r="2841" spans="30:34" x14ac:dyDescent="0.2">
      <c r="AD2841" s="8"/>
      <c r="AE2841" s="126"/>
      <c r="AF2841" s="125"/>
      <c r="AG2841" s="125"/>
      <c r="AH2841" s="128"/>
    </row>
    <row r="2842" spans="30:34" x14ac:dyDescent="0.2">
      <c r="AD2842" s="8"/>
      <c r="AE2842" s="126"/>
      <c r="AF2842" s="125"/>
      <c r="AG2842" s="125"/>
      <c r="AH2842" s="128"/>
    </row>
    <row r="2843" spans="30:34" x14ac:dyDescent="0.2">
      <c r="AD2843" s="8"/>
      <c r="AE2843" s="126"/>
      <c r="AF2843" s="125"/>
      <c r="AG2843" s="125"/>
      <c r="AH2843" s="128"/>
    </row>
    <row r="2844" spans="30:34" x14ac:dyDescent="0.2">
      <c r="AD2844" s="8"/>
      <c r="AE2844" s="126"/>
      <c r="AF2844" s="125"/>
      <c r="AG2844" s="125"/>
      <c r="AH2844" s="128"/>
    </row>
    <row r="2845" spans="30:34" x14ac:dyDescent="0.2">
      <c r="AD2845" s="8"/>
      <c r="AE2845" s="126"/>
      <c r="AF2845" s="125"/>
      <c r="AG2845" s="125"/>
      <c r="AH2845" s="128"/>
    </row>
    <row r="2846" spans="30:34" x14ac:dyDescent="0.2">
      <c r="AD2846" s="8"/>
      <c r="AE2846" s="126"/>
      <c r="AF2846" s="125"/>
      <c r="AG2846" s="125"/>
      <c r="AH2846" s="128"/>
    </row>
    <row r="2847" spans="30:34" x14ac:dyDescent="0.2">
      <c r="AD2847" s="8"/>
      <c r="AE2847" s="126"/>
      <c r="AF2847" s="125"/>
      <c r="AG2847" s="125"/>
      <c r="AH2847" s="128"/>
    </row>
    <row r="2848" spans="30:34" x14ac:dyDescent="0.2">
      <c r="AD2848" s="8"/>
      <c r="AE2848" s="126"/>
      <c r="AF2848" s="125"/>
      <c r="AG2848" s="125"/>
      <c r="AH2848" s="128"/>
    </row>
    <row r="2849" spans="30:34" x14ac:dyDescent="0.2">
      <c r="AD2849" s="8"/>
      <c r="AE2849" s="126"/>
      <c r="AF2849" s="125"/>
      <c r="AG2849" s="125"/>
      <c r="AH2849" s="128"/>
    </row>
    <row r="2850" spans="30:34" x14ac:dyDescent="0.2">
      <c r="AD2850" s="8"/>
      <c r="AE2850" s="126"/>
      <c r="AF2850" s="125"/>
      <c r="AG2850" s="125"/>
      <c r="AH2850" s="128"/>
    </row>
    <row r="2851" spans="30:34" x14ac:dyDescent="0.2">
      <c r="AD2851" s="8"/>
      <c r="AE2851" s="126"/>
      <c r="AF2851" s="125"/>
      <c r="AG2851" s="125"/>
      <c r="AH2851" s="128"/>
    </row>
    <row r="2852" spans="30:34" x14ac:dyDescent="0.2">
      <c r="AD2852" s="8"/>
      <c r="AE2852" s="126"/>
      <c r="AF2852" s="125"/>
      <c r="AG2852" s="125"/>
      <c r="AH2852" s="128"/>
    </row>
    <row r="2853" spans="30:34" x14ac:dyDescent="0.2">
      <c r="AD2853" s="8"/>
      <c r="AE2853" s="126"/>
      <c r="AF2853" s="125"/>
      <c r="AG2853" s="125"/>
      <c r="AH2853" s="128"/>
    </row>
    <row r="2854" spans="30:34" x14ac:dyDescent="0.2">
      <c r="AD2854" s="8"/>
      <c r="AE2854" s="126"/>
      <c r="AF2854" s="125"/>
      <c r="AG2854" s="125"/>
      <c r="AH2854" s="128"/>
    </row>
    <row r="2855" spans="30:34" x14ac:dyDescent="0.2">
      <c r="AD2855" s="8"/>
      <c r="AE2855" s="126"/>
      <c r="AF2855" s="125"/>
      <c r="AG2855" s="125"/>
      <c r="AH2855" s="128"/>
    </row>
    <row r="2856" spans="30:34" x14ac:dyDescent="0.2">
      <c r="AD2856" s="8"/>
      <c r="AE2856" s="126"/>
      <c r="AF2856" s="125"/>
      <c r="AG2856" s="125"/>
      <c r="AH2856" s="128"/>
    </row>
    <row r="2857" spans="30:34" x14ac:dyDescent="0.2">
      <c r="AD2857" s="8"/>
      <c r="AE2857" s="126"/>
      <c r="AF2857" s="125"/>
      <c r="AG2857" s="125"/>
      <c r="AH2857" s="128"/>
    </row>
    <row r="2858" spans="30:34" x14ac:dyDescent="0.2">
      <c r="AD2858" s="8"/>
      <c r="AE2858" s="126"/>
      <c r="AF2858" s="125"/>
      <c r="AG2858" s="125"/>
      <c r="AH2858" s="128"/>
    </row>
    <row r="2859" spans="30:34" x14ac:dyDescent="0.2">
      <c r="AD2859" s="8"/>
      <c r="AE2859" s="126"/>
      <c r="AF2859" s="125"/>
      <c r="AG2859" s="125"/>
      <c r="AH2859" s="128"/>
    </row>
    <row r="2860" spans="30:34" x14ac:dyDescent="0.2">
      <c r="AD2860" s="8"/>
      <c r="AE2860" s="126"/>
      <c r="AF2860" s="125"/>
      <c r="AG2860" s="125"/>
      <c r="AH2860" s="128"/>
    </row>
    <row r="2861" spans="30:34" x14ac:dyDescent="0.2">
      <c r="AD2861" s="8"/>
      <c r="AE2861" s="126"/>
      <c r="AF2861" s="125"/>
      <c r="AG2861" s="125"/>
      <c r="AH2861" s="128"/>
    </row>
    <row r="2862" spans="30:34" x14ac:dyDescent="0.2">
      <c r="AD2862" s="8"/>
      <c r="AE2862" s="126"/>
      <c r="AF2862" s="125"/>
      <c r="AG2862" s="125"/>
      <c r="AH2862" s="128"/>
    </row>
    <row r="2863" spans="30:34" x14ac:dyDescent="0.2">
      <c r="AD2863" s="8"/>
      <c r="AE2863" s="126"/>
      <c r="AF2863" s="125"/>
      <c r="AG2863" s="125"/>
      <c r="AH2863" s="128"/>
    </row>
    <row r="2864" spans="30:34" x14ac:dyDescent="0.2">
      <c r="AD2864" s="8"/>
      <c r="AE2864" s="126"/>
      <c r="AF2864" s="125"/>
      <c r="AG2864" s="125"/>
      <c r="AH2864" s="128"/>
    </row>
    <row r="2865" spans="30:34" x14ac:dyDescent="0.2">
      <c r="AD2865" s="8"/>
      <c r="AE2865" s="126"/>
      <c r="AF2865" s="125"/>
      <c r="AG2865" s="125"/>
      <c r="AH2865" s="128"/>
    </row>
    <row r="2866" spans="30:34" x14ac:dyDescent="0.2">
      <c r="AD2866" s="8"/>
      <c r="AE2866" s="126"/>
      <c r="AF2866" s="125"/>
      <c r="AG2866" s="125"/>
      <c r="AH2866" s="128"/>
    </row>
    <row r="2867" spans="30:34" x14ac:dyDescent="0.2">
      <c r="AD2867" s="8"/>
      <c r="AE2867" s="126"/>
      <c r="AF2867" s="125"/>
      <c r="AG2867" s="125"/>
      <c r="AH2867" s="128"/>
    </row>
    <row r="2868" spans="30:34" x14ac:dyDescent="0.2">
      <c r="AD2868" s="8"/>
      <c r="AE2868" s="126"/>
      <c r="AF2868" s="125"/>
      <c r="AG2868" s="125"/>
      <c r="AH2868" s="128"/>
    </row>
    <row r="2869" spans="30:34" x14ac:dyDescent="0.2">
      <c r="AD2869" s="8"/>
      <c r="AE2869" s="126"/>
      <c r="AF2869" s="125"/>
      <c r="AG2869" s="125"/>
      <c r="AH2869" s="128"/>
    </row>
    <row r="2870" spans="30:34" x14ac:dyDescent="0.2">
      <c r="AD2870" s="8"/>
      <c r="AE2870" s="126"/>
      <c r="AF2870" s="125"/>
      <c r="AG2870" s="125"/>
      <c r="AH2870" s="128"/>
    </row>
    <row r="2871" spans="30:34" x14ac:dyDescent="0.2">
      <c r="AD2871" s="8"/>
      <c r="AE2871" s="126"/>
      <c r="AF2871" s="125"/>
      <c r="AG2871" s="125"/>
      <c r="AH2871" s="128"/>
    </row>
    <row r="2872" spans="30:34" x14ac:dyDescent="0.2">
      <c r="AD2872" s="8"/>
      <c r="AE2872" s="126"/>
      <c r="AF2872" s="125"/>
      <c r="AG2872" s="125"/>
      <c r="AH2872" s="128"/>
    </row>
    <row r="2873" spans="30:34" x14ac:dyDescent="0.2">
      <c r="AD2873" s="8"/>
      <c r="AE2873" s="126"/>
      <c r="AF2873" s="125"/>
      <c r="AG2873" s="125"/>
      <c r="AH2873" s="128"/>
    </row>
    <row r="2874" spans="30:34" x14ac:dyDescent="0.2">
      <c r="AD2874" s="8"/>
      <c r="AE2874" s="126"/>
      <c r="AF2874" s="125"/>
      <c r="AG2874" s="125"/>
      <c r="AH2874" s="128"/>
    </row>
    <row r="2875" spans="30:34" x14ac:dyDescent="0.2">
      <c r="AD2875" s="8"/>
      <c r="AE2875" s="126"/>
      <c r="AF2875" s="125"/>
      <c r="AG2875" s="125"/>
      <c r="AH2875" s="128"/>
    </row>
    <row r="2876" spans="30:34" x14ac:dyDescent="0.2">
      <c r="AD2876" s="8"/>
      <c r="AE2876" s="126"/>
      <c r="AF2876" s="125"/>
      <c r="AG2876" s="125"/>
      <c r="AH2876" s="128"/>
    </row>
    <row r="2877" spans="30:34" x14ac:dyDescent="0.2">
      <c r="AD2877" s="8"/>
      <c r="AE2877" s="126"/>
      <c r="AF2877" s="125"/>
      <c r="AG2877" s="125"/>
      <c r="AH2877" s="128"/>
    </row>
    <row r="2878" spans="30:34" x14ac:dyDescent="0.2">
      <c r="AD2878" s="8"/>
      <c r="AE2878" s="126"/>
      <c r="AF2878" s="125"/>
      <c r="AG2878" s="125"/>
      <c r="AH2878" s="128"/>
    </row>
    <row r="2879" spans="30:34" x14ac:dyDescent="0.2">
      <c r="AD2879" s="8"/>
      <c r="AE2879" s="126"/>
      <c r="AF2879" s="125"/>
      <c r="AG2879" s="125"/>
      <c r="AH2879" s="128"/>
    </row>
    <row r="2880" spans="30:34" x14ac:dyDescent="0.2">
      <c r="AD2880" s="8"/>
      <c r="AE2880" s="126"/>
      <c r="AF2880" s="125"/>
      <c r="AG2880" s="125"/>
      <c r="AH2880" s="128"/>
    </row>
    <row r="2881" spans="30:34" x14ac:dyDescent="0.2">
      <c r="AD2881" s="8"/>
      <c r="AE2881" s="126"/>
      <c r="AF2881" s="125"/>
      <c r="AG2881" s="125"/>
      <c r="AH2881" s="128"/>
    </row>
    <row r="2882" spans="30:34" x14ac:dyDescent="0.2">
      <c r="AD2882" s="8"/>
      <c r="AE2882" s="126"/>
      <c r="AF2882" s="125"/>
      <c r="AG2882" s="125"/>
      <c r="AH2882" s="128"/>
    </row>
    <row r="2883" spans="30:34" x14ac:dyDescent="0.2">
      <c r="AD2883" s="8"/>
      <c r="AE2883" s="126"/>
      <c r="AF2883" s="125"/>
      <c r="AG2883" s="125"/>
      <c r="AH2883" s="128"/>
    </row>
    <row r="2884" spans="30:34" x14ac:dyDescent="0.2">
      <c r="AD2884" s="8"/>
      <c r="AE2884" s="126"/>
      <c r="AF2884" s="125"/>
      <c r="AG2884" s="125"/>
      <c r="AH2884" s="128"/>
    </row>
    <row r="2885" spans="30:34" x14ac:dyDescent="0.2">
      <c r="AD2885" s="8"/>
      <c r="AE2885" s="126"/>
      <c r="AF2885" s="125"/>
      <c r="AG2885" s="125"/>
      <c r="AH2885" s="128"/>
    </row>
    <row r="2886" spans="30:34" x14ac:dyDescent="0.2">
      <c r="AD2886" s="8"/>
      <c r="AE2886" s="126"/>
      <c r="AF2886" s="125"/>
      <c r="AG2886" s="125"/>
      <c r="AH2886" s="128"/>
    </row>
    <row r="2887" spans="30:34" x14ac:dyDescent="0.2">
      <c r="AD2887" s="8"/>
      <c r="AE2887" s="126"/>
      <c r="AF2887" s="125"/>
      <c r="AG2887" s="125"/>
      <c r="AH2887" s="128"/>
    </row>
    <row r="2888" spans="30:34" x14ac:dyDescent="0.2">
      <c r="AD2888" s="8"/>
      <c r="AE2888" s="126"/>
      <c r="AF2888" s="125"/>
      <c r="AG2888" s="125"/>
      <c r="AH2888" s="128"/>
    </row>
    <row r="2889" spans="30:34" x14ac:dyDescent="0.2">
      <c r="AD2889" s="8"/>
      <c r="AE2889" s="126"/>
      <c r="AF2889" s="125"/>
      <c r="AG2889" s="125"/>
      <c r="AH2889" s="128"/>
    </row>
    <row r="2890" spans="30:34" x14ac:dyDescent="0.2">
      <c r="AD2890" s="8"/>
      <c r="AE2890" s="126"/>
      <c r="AF2890" s="125"/>
      <c r="AG2890" s="125"/>
      <c r="AH2890" s="128"/>
    </row>
    <row r="2891" spans="30:34" x14ac:dyDescent="0.2">
      <c r="AD2891" s="8"/>
      <c r="AE2891" s="126"/>
      <c r="AF2891" s="125"/>
      <c r="AG2891" s="125"/>
      <c r="AH2891" s="128"/>
    </row>
    <row r="2892" spans="30:34" x14ac:dyDescent="0.2">
      <c r="AD2892" s="8"/>
      <c r="AE2892" s="126"/>
      <c r="AF2892" s="125"/>
      <c r="AG2892" s="125"/>
      <c r="AH2892" s="128"/>
    </row>
    <row r="2893" spans="30:34" x14ac:dyDescent="0.2">
      <c r="AD2893" s="8"/>
      <c r="AE2893" s="126"/>
      <c r="AF2893" s="125"/>
      <c r="AG2893" s="125"/>
      <c r="AH2893" s="128"/>
    </row>
    <row r="2894" spans="30:34" x14ac:dyDescent="0.2">
      <c r="AD2894" s="8"/>
      <c r="AE2894" s="126"/>
      <c r="AF2894" s="125"/>
      <c r="AG2894" s="125"/>
      <c r="AH2894" s="128"/>
    </row>
    <row r="2895" spans="30:34" x14ac:dyDescent="0.2">
      <c r="AD2895" s="8"/>
      <c r="AE2895" s="126"/>
      <c r="AF2895" s="125"/>
      <c r="AG2895" s="125"/>
      <c r="AH2895" s="128"/>
    </row>
    <row r="2896" spans="30:34" x14ac:dyDescent="0.2">
      <c r="AD2896" s="8"/>
      <c r="AE2896" s="126"/>
      <c r="AF2896" s="125"/>
      <c r="AG2896" s="125"/>
      <c r="AH2896" s="128"/>
    </row>
    <row r="2897" spans="30:34" x14ac:dyDescent="0.2">
      <c r="AD2897" s="8"/>
      <c r="AE2897" s="126"/>
      <c r="AF2897" s="125"/>
      <c r="AG2897" s="125"/>
      <c r="AH2897" s="128"/>
    </row>
    <row r="2898" spans="30:34" x14ac:dyDescent="0.2">
      <c r="AD2898" s="8"/>
      <c r="AE2898" s="126"/>
      <c r="AF2898" s="125"/>
      <c r="AG2898" s="125"/>
      <c r="AH2898" s="128"/>
    </row>
    <row r="2899" spans="30:34" x14ac:dyDescent="0.2">
      <c r="AD2899" s="8"/>
      <c r="AE2899" s="126"/>
      <c r="AF2899" s="125"/>
      <c r="AG2899" s="125"/>
      <c r="AH2899" s="128"/>
    </row>
    <row r="2900" spans="30:34" x14ac:dyDescent="0.2">
      <c r="AD2900" s="8"/>
      <c r="AE2900" s="126"/>
      <c r="AF2900" s="125"/>
      <c r="AG2900" s="125"/>
      <c r="AH2900" s="128"/>
    </row>
    <row r="2901" spans="30:34" x14ac:dyDescent="0.2">
      <c r="AD2901" s="8"/>
      <c r="AE2901" s="126"/>
      <c r="AF2901" s="125"/>
      <c r="AG2901" s="125"/>
      <c r="AH2901" s="128"/>
    </row>
    <row r="2902" spans="30:34" x14ac:dyDescent="0.2">
      <c r="AD2902" s="8"/>
      <c r="AE2902" s="126"/>
      <c r="AF2902" s="125"/>
      <c r="AG2902" s="125"/>
      <c r="AH2902" s="128"/>
    </row>
    <row r="2903" spans="30:34" x14ac:dyDescent="0.2">
      <c r="AD2903" s="8"/>
      <c r="AE2903" s="126"/>
      <c r="AF2903" s="125"/>
      <c r="AG2903" s="125"/>
      <c r="AH2903" s="128"/>
    </row>
    <row r="2904" spans="30:34" x14ac:dyDescent="0.2">
      <c r="AD2904" s="8"/>
      <c r="AE2904" s="126"/>
      <c r="AF2904" s="125"/>
      <c r="AG2904" s="125"/>
      <c r="AH2904" s="128"/>
    </row>
    <row r="2905" spans="30:34" x14ac:dyDescent="0.2">
      <c r="AD2905" s="8"/>
      <c r="AE2905" s="126"/>
      <c r="AF2905" s="125"/>
      <c r="AG2905" s="125"/>
      <c r="AH2905" s="128"/>
    </row>
    <row r="2906" spans="30:34" x14ac:dyDescent="0.2">
      <c r="AD2906" s="8"/>
      <c r="AE2906" s="126"/>
      <c r="AF2906" s="125"/>
      <c r="AG2906" s="125"/>
      <c r="AH2906" s="128"/>
    </row>
    <row r="2907" spans="30:34" x14ac:dyDescent="0.2">
      <c r="AD2907" s="8"/>
      <c r="AE2907" s="126"/>
      <c r="AF2907" s="125"/>
      <c r="AG2907" s="125"/>
      <c r="AH2907" s="128"/>
    </row>
    <row r="2908" spans="30:34" x14ac:dyDescent="0.2">
      <c r="AD2908" s="8"/>
      <c r="AE2908" s="126"/>
      <c r="AF2908" s="125"/>
      <c r="AG2908" s="125"/>
      <c r="AH2908" s="128"/>
    </row>
    <row r="2909" spans="30:34" x14ac:dyDescent="0.2">
      <c r="AD2909" s="8"/>
      <c r="AE2909" s="126"/>
      <c r="AF2909" s="125"/>
      <c r="AG2909" s="125"/>
      <c r="AH2909" s="128"/>
    </row>
    <row r="2910" spans="30:34" x14ac:dyDescent="0.2">
      <c r="AD2910" s="8"/>
      <c r="AE2910" s="126"/>
      <c r="AF2910" s="125"/>
      <c r="AG2910" s="125"/>
      <c r="AH2910" s="128"/>
    </row>
    <row r="2911" spans="30:34" x14ac:dyDescent="0.2">
      <c r="AD2911" s="8"/>
      <c r="AE2911" s="126"/>
      <c r="AF2911" s="125"/>
      <c r="AG2911" s="125"/>
      <c r="AH2911" s="128"/>
    </row>
    <row r="2912" spans="30:34" x14ac:dyDescent="0.2">
      <c r="AD2912" s="8"/>
      <c r="AE2912" s="126"/>
      <c r="AF2912" s="125"/>
      <c r="AG2912" s="125"/>
      <c r="AH2912" s="128"/>
    </row>
    <row r="2913" spans="30:34" x14ac:dyDescent="0.2">
      <c r="AD2913" s="8"/>
      <c r="AE2913" s="126"/>
      <c r="AF2913" s="125"/>
      <c r="AG2913" s="125"/>
      <c r="AH2913" s="128"/>
    </row>
    <row r="2914" spans="30:34" x14ac:dyDescent="0.2">
      <c r="AD2914" s="8"/>
      <c r="AE2914" s="126"/>
      <c r="AF2914" s="125"/>
      <c r="AG2914" s="125"/>
      <c r="AH2914" s="128"/>
    </row>
    <row r="2915" spans="30:34" x14ac:dyDescent="0.2">
      <c r="AD2915" s="8"/>
      <c r="AE2915" s="126"/>
      <c r="AF2915" s="125"/>
      <c r="AG2915" s="125"/>
      <c r="AH2915" s="128"/>
    </row>
    <row r="2916" spans="30:34" x14ac:dyDescent="0.2">
      <c r="AD2916" s="8"/>
      <c r="AE2916" s="126"/>
      <c r="AF2916" s="125"/>
      <c r="AG2916" s="125"/>
      <c r="AH2916" s="128"/>
    </row>
    <row r="2917" spans="30:34" x14ac:dyDescent="0.2">
      <c r="AD2917" s="8"/>
      <c r="AE2917" s="126"/>
      <c r="AF2917" s="125"/>
      <c r="AG2917" s="125"/>
      <c r="AH2917" s="128"/>
    </row>
    <row r="2918" spans="30:34" x14ac:dyDescent="0.2">
      <c r="AD2918" s="8"/>
      <c r="AE2918" s="126"/>
      <c r="AF2918" s="125"/>
      <c r="AG2918" s="125"/>
      <c r="AH2918" s="128"/>
    </row>
    <row r="2919" spans="30:34" x14ac:dyDescent="0.2">
      <c r="AD2919" s="8"/>
      <c r="AE2919" s="126"/>
      <c r="AF2919" s="125"/>
      <c r="AG2919" s="125"/>
      <c r="AH2919" s="128"/>
    </row>
    <row r="2920" spans="30:34" x14ac:dyDescent="0.2">
      <c r="AD2920" s="8"/>
      <c r="AE2920" s="126"/>
      <c r="AF2920" s="125"/>
      <c r="AG2920" s="125"/>
      <c r="AH2920" s="128"/>
    </row>
    <row r="2921" spans="30:34" x14ac:dyDescent="0.2">
      <c r="AD2921" s="8"/>
      <c r="AE2921" s="126"/>
      <c r="AF2921" s="125"/>
      <c r="AG2921" s="125"/>
      <c r="AH2921" s="128"/>
    </row>
    <row r="2922" spans="30:34" x14ac:dyDescent="0.2">
      <c r="AD2922" s="8"/>
      <c r="AE2922" s="126"/>
      <c r="AF2922" s="125"/>
      <c r="AG2922" s="125"/>
      <c r="AH2922" s="128"/>
    </row>
    <row r="2923" spans="30:34" x14ac:dyDescent="0.2">
      <c r="AD2923" s="8"/>
      <c r="AE2923" s="126"/>
      <c r="AF2923" s="125"/>
      <c r="AG2923" s="125"/>
      <c r="AH2923" s="128"/>
    </row>
    <row r="2924" spans="30:34" x14ac:dyDescent="0.2">
      <c r="AD2924" s="8"/>
      <c r="AE2924" s="126"/>
      <c r="AF2924" s="125"/>
      <c r="AG2924" s="125"/>
      <c r="AH2924" s="128"/>
    </row>
    <row r="2925" spans="30:34" x14ac:dyDescent="0.2">
      <c r="AD2925" s="8"/>
      <c r="AE2925" s="126"/>
      <c r="AF2925" s="125"/>
      <c r="AG2925" s="125"/>
      <c r="AH2925" s="128"/>
    </row>
    <row r="2926" spans="30:34" x14ac:dyDescent="0.2">
      <c r="AD2926" s="8"/>
      <c r="AE2926" s="126"/>
      <c r="AF2926" s="125"/>
      <c r="AG2926" s="125"/>
      <c r="AH2926" s="128"/>
    </row>
    <row r="2927" spans="30:34" x14ac:dyDescent="0.2">
      <c r="AD2927" s="8"/>
      <c r="AE2927" s="126"/>
      <c r="AF2927" s="125"/>
      <c r="AG2927" s="125"/>
      <c r="AH2927" s="128"/>
    </row>
    <row r="2928" spans="30:34" x14ac:dyDescent="0.2">
      <c r="AD2928" s="8"/>
      <c r="AE2928" s="126"/>
      <c r="AF2928" s="125"/>
      <c r="AG2928" s="125"/>
      <c r="AH2928" s="128"/>
    </row>
    <row r="2929" spans="30:34" x14ac:dyDescent="0.2">
      <c r="AD2929" s="8"/>
      <c r="AE2929" s="126"/>
      <c r="AF2929" s="125"/>
      <c r="AG2929" s="125"/>
      <c r="AH2929" s="128"/>
    </row>
    <row r="2930" spans="30:34" x14ac:dyDescent="0.2">
      <c r="AD2930" s="8"/>
      <c r="AE2930" s="126"/>
      <c r="AF2930" s="125"/>
      <c r="AG2930" s="125"/>
      <c r="AH2930" s="128"/>
    </row>
    <row r="2931" spans="30:34" x14ac:dyDescent="0.2">
      <c r="AD2931" s="8"/>
      <c r="AE2931" s="126"/>
      <c r="AF2931" s="125"/>
      <c r="AG2931" s="125"/>
      <c r="AH2931" s="128"/>
    </row>
    <row r="2932" spans="30:34" x14ac:dyDescent="0.2">
      <c r="AD2932" s="8"/>
      <c r="AE2932" s="126"/>
      <c r="AF2932" s="125"/>
      <c r="AG2932" s="125"/>
      <c r="AH2932" s="128"/>
    </row>
    <row r="2933" spans="30:34" x14ac:dyDescent="0.2">
      <c r="AD2933" s="8"/>
      <c r="AE2933" s="126"/>
      <c r="AF2933" s="125"/>
      <c r="AG2933" s="125"/>
      <c r="AH2933" s="128"/>
    </row>
    <row r="2934" spans="30:34" x14ac:dyDescent="0.2">
      <c r="AD2934" s="8"/>
      <c r="AE2934" s="126"/>
      <c r="AF2934" s="125"/>
      <c r="AG2934" s="125"/>
      <c r="AH2934" s="128"/>
    </row>
    <row r="2935" spans="30:34" x14ac:dyDescent="0.2">
      <c r="AD2935" s="8"/>
      <c r="AE2935" s="126"/>
      <c r="AF2935" s="125"/>
      <c r="AG2935" s="125"/>
      <c r="AH2935" s="128"/>
    </row>
    <row r="2936" spans="30:34" x14ac:dyDescent="0.2">
      <c r="AD2936" s="8"/>
      <c r="AE2936" s="126"/>
      <c r="AF2936" s="125"/>
      <c r="AG2936" s="125"/>
      <c r="AH2936" s="128"/>
    </row>
    <row r="2937" spans="30:34" x14ac:dyDescent="0.2">
      <c r="AD2937" s="8"/>
      <c r="AE2937" s="126"/>
      <c r="AF2937" s="125"/>
      <c r="AG2937" s="125"/>
      <c r="AH2937" s="128"/>
    </row>
    <row r="2938" spans="30:34" x14ac:dyDescent="0.2">
      <c r="AD2938" s="8"/>
      <c r="AE2938" s="126"/>
      <c r="AF2938" s="125"/>
      <c r="AG2938" s="125"/>
      <c r="AH2938" s="128"/>
    </row>
    <row r="2939" spans="30:34" x14ac:dyDescent="0.2">
      <c r="AD2939" s="8"/>
      <c r="AE2939" s="126"/>
      <c r="AF2939" s="125"/>
      <c r="AG2939" s="125"/>
      <c r="AH2939" s="128"/>
    </row>
    <row r="2940" spans="30:34" x14ac:dyDescent="0.2">
      <c r="AD2940" s="8"/>
      <c r="AE2940" s="126"/>
      <c r="AF2940" s="125"/>
      <c r="AG2940" s="125"/>
      <c r="AH2940" s="128"/>
    </row>
    <row r="2941" spans="30:34" x14ac:dyDescent="0.2">
      <c r="AD2941" s="8"/>
      <c r="AE2941" s="126"/>
      <c r="AF2941" s="125"/>
      <c r="AG2941" s="125"/>
      <c r="AH2941" s="128"/>
    </row>
    <row r="2942" spans="30:34" x14ac:dyDescent="0.2">
      <c r="AD2942" s="8"/>
      <c r="AE2942" s="126"/>
      <c r="AF2942" s="125"/>
      <c r="AG2942" s="125"/>
      <c r="AH2942" s="128"/>
    </row>
    <row r="2943" spans="30:34" x14ac:dyDescent="0.2">
      <c r="AD2943" s="8"/>
      <c r="AE2943" s="126"/>
      <c r="AF2943" s="125"/>
      <c r="AG2943" s="125"/>
      <c r="AH2943" s="128"/>
    </row>
    <row r="2944" spans="30:34" x14ac:dyDescent="0.2">
      <c r="AD2944" s="8"/>
      <c r="AE2944" s="126"/>
      <c r="AF2944" s="125"/>
      <c r="AG2944" s="125"/>
      <c r="AH2944" s="128"/>
    </row>
    <row r="2945" spans="30:34" x14ac:dyDescent="0.2">
      <c r="AD2945" s="8"/>
      <c r="AE2945" s="126"/>
      <c r="AF2945" s="125"/>
      <c r="AG2945" s="125"/>
      <c r="AH2945" s="128"/>
    </row>
    <row r="2946" spans="30:34" x14ac:dyDescent="0.2">
      <c r="AD2946" s="8"/>
      <c r="AE2946" s="126"/>
      <c r="AF2946" s="125"/>
      <c r="AG2946" s="125"/>
      <c r="AH2946" s="128"/>
    </row>
    <row r="2947" spans="30:34" x14ac:dyDescent="0.2">
      <c r="AD2947" s="8"/>
      <c r="AE2947" s="126"/>
      <c r="AF2947" s="125"/>
      <c r="AG2947" s="125"/>
      <c r="AH2947" s="128"/>
    </row>
    <row r="2948" spans="30:34" x14ac:dyDescent="0.2">
      <c r="AD2948" s="8"/>
      <c r="AE2948" s="126"/>
      <c r="AF2948" s="125"/>
      <c r="AG2948" s="125"/>
      <c r="AH2948" s="128"/>
    </row>
    <row r="2949" spans="30:34" x14ac:dyDescent="0.2">
      <c r="AD2949" s="8"/>
      <c r="AE2949" s="126"/>
      <c r="AF2949" s="125"/>
      <c r="AG2949" s="125"/>
      <c r="AH2949" s="128"/>
    </row>
    <row r="2950" spans="30:34" x14ac:dyDescent="0.2">
      <c r="AD2950" s="8"/>
      <c r="AE2950" s="126"/>
      <c r="AF2950" s="125"/>
      <c r="AG2950" s="125"/>
      <c r="AH2950" s="128"/>
    </row>
    <row r="2951" spans="30:34" x14ac:dyDescent="0.2">
      <c r="AD2951" s="8"/>
      <c r="AE2951" s="126"/>
      <c r="AF2951" s="125"/>
      <c r="AG2951" s="125"/>
      <c r="AH2951" s="128"/>
    </row>
    <row r="2952" spans="30:34" x14ac:dyDescent="0.2">
      <c r="AD2952" s="8"/>
      <c r="AE2952" s="126"/>
      <c r="AF2952" s="125"/>
      <c r="AG2952" s="125"/>
      <c r="AH2952" s="128"/>
    </row>
    <row r="2953" spans="30:34" x14ac:dyDescent="0.2">
      <c r="AD2953" s="8"/>
      <c r="AE2953" s="126"/>
      <c r="AF2953" s="125"/>
      <c r="AG2953" s="125"/>
      <c r="AH2953" s="128"/>
    </row>
    <row r="2954" spans="30:34" x14ac:dyDescent="0.2">
      <c r="AD2954" s="8"/>
      <c r="AE2954" s="126"/>
      <c r="AF2954" s="125"/>
      <c r="AG2954" s="125"/>
      <c r="AH2954" s="128"/>
    </row>
    <row r="2955" spans="30:34" x14ac:dyDescent="0.2">
      <c r="AD2955" s="8"/>
      <c r="AE2955" s="126"/>
      <c r="AF2955" s="125"/>
      <c r="AG2955" s="125"/>
      <c r="AH2955" s="128"/>
    </row>
    <row r="2956" spans="30:34" x14ac:dyDescent="0.2">
      <c r="AD2956" s="8"/>
      <c r="AE2956" s="126"/>
      <c r="AF2956" s="125"/>
      <c r="AG2956" s="125"/>
      <c r="AH2956" s="128"/>
    </row>
    <row r="2957" spans="30:34" x14ac:dyDescent="0.2">
      <c r="AD2957" s="8"/>
      <c r="AE2957" s="126"/>
      <c r="AF2957" s="125"/>
      <c r="AG2957" s="125"/>
      <c r="AH2957" s="128"/>
    </row>
    <row r="2958" spans="30:34" x14ac:dyDescent="0.2">
      <c r="AD2958" s="8"/>
      <c r="AE2958" s="126"/>
      <c r="AF2958" s="125"/>
      <c r="AG2958" s="125"/>
      <c r="AH2958" s="128"/>
    </row>
    <row r="2959" spans="30:34" x14ac:dyDescent="0.2">
      <c r="AD2959" s="8"/>
      <c r="AE2959" s="126"/>
      <c r="AF2959" s="125"/>
      <c r="AG2959" s="125"/>
      <c r="AH2959" s="128"/>
    </row>
    <row r="2960" spans="30:34" x14ac:dyDescent="0.2">
      <c r="AD2960" s="8"/>
      <c r="AE2960" s="126"/>
      <c r="AF2960" s="125"/>
      <c r="AG2960" s="125"/>
      <c r="AH2960" s="128"/>
    </row>
    <row r="2961" spans="30:34" x14ac:dyDescent="0.2">
      <c r="AD2961" s="8"/>
      <c r="AE2961" s="126"/>
      <c r="AF2961" s="125"/>
      <c r="AG2961" s="125"/>
      <c r="AH2961" s="128"/>
    </row>
    <row r="2962" spans="30:34" x14ac:dyDescent="0.2">
      <c r="AD2962" s="8"/>
      <c r="AE2962" s="126"/>
      <c r="AF2962" s="125"/>
      <c r="AG2962" s="125"/>
      <c r="AH2962" s="128"/>
    </row>
    <row r="2963" spans="30:34" x14ac:dyDescent="0.2">
      <c r="AD2963" s="8"/>
      <c r="AE2963" s="126"/>
      <c r="AF2963" s="125"/>
      <c r="AG2963" s="125"/>
      <c r="AH2963" s="128"/>
    </row>
    <row r="2964" spans="30:34" x14ac:dyDescent="0.2">
      <c r="AD2964" s="8"/>
      <c r="AE2964" s="126"/>
      <c r="AF2964" s="125"/>
      <c r="AG2964" s="125"/>
      <c r="AH2964" s="128"/>
    </row>
    <row r="2965" spans="30:34" x14ac:dyDescent="0.2">
      <c r="AD2965" s="8"/>
      <c r="AE2965" s="126"/>
      <c r="AF2965" s="125"/>
      <c r="AG2965" s="125"/>
      <c r="AH2965" s="128"/>
    </row>
    <row r="2966" spans="30:34" x14ac:dyDescent="0.2">
      <c r="AD2966" s="8"/>
      <c r="AE2966" s="126"/>
      <c r="AF2966" s="125"/>
      <c r="AG2966" s="125"/>
      <c r="AH2966" s="128"/>
    </row>
    <row r="2967" spans="30:34" x14ac:dyDescent="0.2">
      <c r="AD2967" s="8"/>
      <c r="AE2967" s="126"/>
      <c r="AF2967" s="125"/>
      <c r="AG2967" s="125"/>
      <c r="AH2967" s="128"/>
    </row>
    <row r="2968" spans="30:34" x14ac:dyDescent="0.2">
      <c r="AD2968" s="8"/>
      <c r="AE2968" s="126"/>
      <c r="AF2968" s="125"/>
      <c r="AG2968" s="125"/>
      <c r="AH2968" s="128"/>
    </row>
    <row r="2969" spans="30:34" x14ac:dyDescent="0.2">
      <c r="AD2969" s="8"/>
      <c r="AE2969" s="126"/>
      <c r="AF2969" s="125"/>
      <c r="AG2969" s="125"/>
      <c r="AH2969" s="128"/>
    </row>
    <row r="2970" spans="30:34" x14ac:dyDescent="0.2">
      <c r="AD2970" s="8"/>
      <c r="AE2970" s="126"/>
      <c r="AF2970" s="125"/>
      <c r="AG2970" s="125"/>
      <c r="AH2970" s="128"/>
    </row>
    <row r="2971" spans="30:34" x14ac:dyDescent="0.2">
      <c r="AD2971" s="8"/>
      <c r="AE2971" s="126"/>
      <c r="AF2971" s="125"/>
      <c r="AG2971" s="125"/>
      <c r="AH2971" s="128"/>
    </row>
    <row r="2972" spans="30:34" x14ac:dyDescent="0.2">
      <c r="AD2972" s="8"/>
      <c r="AE2972" s="126"/>
      <c r="AF2972" s="125"/>
      <c r="AG2972" s="125"/>
      <c r="AH2972" s="128"/>
    </row>
    <row r="2973" spans="30:34" x14ac:dyDescent="0.2">
      <c r="AD2973" s="8"/>
      <c r="AE2973" s="126"/>
      <c r="AF2973" s="125"/>
      <c r="AG2973" s="125"/>
      <c r="AH2973" s="128"/>
    </row>
    <row r="2974" spans="30:34" x14ac:dyDescent="0.2">
      <c r="AD2974" s="8"/>
      <c r="AE2974" s="126"/>
      <c r="AF2974" s="125"/>
      <c r="AG2974" s="125"/>
      <c r="AH2974" s="128"/>
    </row>
    <row r="2975" spans="30:34" x14ac:dyDescent="0.2">
      <c r="AD2975" s="8"/>
      <c r="AE2975" s="126"/>
      <c r="AF2975" s="125"/>
      <c r="AG2975" s="125"/>
      <c r="AH2975" s="128"/>
    </row>
    <row r="2976" spans="30:34" x14ac:dyDescent="0.2">
      <c r="AD2976" s="8"/>
      <c r="AE2976" s="126"/>
      <c r="AF2976" s="125"/>
      <c r="AG2976" s="125"/>
      <c r="AH2976" s="128"/>
    </row>
    <row r="2977" spans="30:34" x14ac:dyDescent="0.2">
      <c r="AD2977" s="8"/>
      <c r="AE2977" s="126"/>
      <c r="AF2977" s="125"/>
      <c r="AG2977" s="125"/>
      <c r="AH2977" s="128"/>
    </row>
    <row r="2978" spans="30:34" x14ac:dyDescent="0.2">
      <c r="AD2978" s="8"/>
      <c r="AE2978" s="126"/>
      <c r="AF2978" s="125"/>
      <c r="AG2978" s="125"/>
      <c r="AH2978" s="128"/>
    </row>
    <row r="2979" spans="30:34" x14ac:dyDescent="0.2">
      <c r="AD2979" s="8"/>
      <c r="AE2979" s="126"/>
      <c r="AF2979" s="125"/>
      <c r="AG2979" s="125"/>
      <c r="AH2979" s="128"/>
    </row>
    <row r="2980" spans="30:34" x14ac:dyDescent="0.2">
      <c r="AD2980" s="8"/>
      <c r="AE2980" s="126"/>
      <c r="AF2980" s="125"/>
      <c r="AG2980" s="125"/>
      <c r="AH2980" s="128"/>
    </row>
    <row r="2981" spans="30:34" x14ac:dyDescent="0.2">
      <c r="AD2981" s="8"/>
      <c r="AE2981" s="126"/>
      <c r="AF2981" s="125"/>
      <c r="AG2981" s="125"/>
      <c r="AH2981" s="128"/>
    </row>
    <row r="2982" spans="30:34" x14ac:dyDescent="0.2">
      <c r="AD2982" s="8"/>
      <c r="AE2982" s="126"/>
      <c r="AF2982" s="125"/>
      <c r="AG2982" s="125"/>
      <c r="AH2982" s="128"/>
    </row>
    <row r="2983" spans="30:34" x14ac:dyDescent="0.2">
      <c r="AD2983" s="8"/>
      <c r="AE2983" s="126"/>
      <c r="AF2983" s="125"/>
      <c r="AG2983" s="125"/>
      <c r="AH2983" s="128"/>
    </row>
    <row r="2984" spans="30:34" x14ac:dyDescent="0.2">
      <c r="AD2984" s="8"/>
      <c r="AE2984" s="126"/>
      <c r="AF2984" s="125"/>
      <c r="AG2984" s="125"/>
      <c r="AH2984" s="128"/>
    </row>
    <row r="2985" spans="30:34" x14ac:dyDescent="0.2">
      <c r="AD2985" s="8"/>
      <c r="AE2985" s="126"/>
      <c r="AF2985" s="125"/>
      <c r="AG2985" s="125"/>
      <c r="AH2985" s="128"/>
    </row>
    <row r="2986" spans="30:34" x14ac:dyDescent="0.2">
      <c r="AD2986" s="8"/>
      <c r="AE2986" s="126"/>
      <c r="AF2986" s="125"/>
      <c r="AG2986" s="125"/>
      <c r="AH2986" s="128"/>
    </row>
    <row r="2987" spans="30:34" x14ac:dyDescent="0.2">
      <c r="AD2987" s="8"/>
      <c r="AE2987" s="126"/>
      <c r="AF2987" s="125"/>
      <c r="AG2987" s="125"/>
      <c r="AH2987" s="128"/>
    </row>
    <row r="2988" spans="30:34" x14ac:dyDescent="0.2">
      <c r="AD2988" s="8"/>
      <c r="AE2988" s="126"/>
      <c r="AF2988" s="125"/>
      <c r="AG2988" s="125"/>
      <c r="AH2988" s="128"/>
    </row>
    <row r="2989" spans="30:34" x14ac:dyDescent="0.2">
      <c r="AD2989" s="8"/>
      <c r="AE2989" s="126"/>
      <c r="AF2989" s="125"/>
      <c r="AG2989" s="125"/>
      <c r="AH2989" s="128"/>
    </row>
    <row r="2990" spans="30:34" x14ac:dyDescent="0.2">
      <c r="AD2990" s="8"/>
      <c r="AE2990" s="126"/>
      <c r="AF2990" s="125"/>
      <c r="AG2990" s="125"/>
      <c r="AH2990" s="128"/>
    </row>
    <row r="2991" spans="30:34" x14ac:dyDescent="0.2">
      <c r="AD2991" s="8"/>
      <c r="AE2991" s="126"/>
      <c r="AF2991" s="125"/>
      <c r="AG2991" s="125"/>
      <c r="AH2991" s="128"/>
    </row>
    <row r="2992" spans="30:34" x14ac:dyDescent="0.2">
      <c r="AD2992" s="8"/>
      <c r="AE2992" s="126"/>
      <c r="AF2992" s="125"/>
      <c r="AG2992" s="125"/>
      <c r="AH2992" s="128"/>
    </row>
    <row r="2993" spans="30:34" x14ac:dyDescent="0.2">
      <c r="AD2993" s="8"/>
      <c r="AE2993" s="126"/>
      <c r="AF2993" s="125"/>
      <c r="AG2993" s="125"/>
      <c r="AH2993" s="128"/>
    </row>
    <row r="2994" spans="30:34" x14ac:dyDescent="0.2">
      <c r="AD2994" s="8"/>
      <c r="AE2994" s="126"/>
      <c r="AF2994" s="125"/>
      <c r="AG2994" s="125"/>
      <c r="AH2994" s="128"/>
    </row>
    <row r="2995" spans="30:34" x14ac:dyDescent="0.2">
      <c r="AD2995" s="8"/>
      <c r="AE2995" s="126"/>
      <c r="AF2995" s="125"/>
      <c r="AG2995" s="125"/>
      <c r="AH2995" s="128"/>
    </row>
    <row r="2996" spans="30:34" x14ac:dyDescent="0.2">
      <c r="AD2996" s="8"/>
      <c r="AE2996" s="126"/>
      <c r="AF2996" s="125"/>
      <c r="AG2996" s="125"/>
      <c r="AH2996" s="128"/>
    </row>
    <row r="2997" spans="30:34" x14ac:dyDescent="0.2">
      <c r="AD2997" s="8"/>
      <c r="AE2997" s="126"/>
      <c r="AF2997" s="125"/>
      <c r="AG2997" s="125"/>
      <c r="AH2997" s="128"/>
    </row>
    <row r="2998" spans="30:34" x14ac:dyDescent="0.2">
      <c r="AD2998" s="8"/>
      <c r="AE2998" s="126"/>
      <c r="AF2998" s="125"/>
      <c r="AG2998" s="125"/>
      <c r="AH2998" s="128"/>
    </row>
    <row r="2999" spans="30:34" x14ac:dyDescent="0.2">
      <c r="AD2999" s="8"/>
      <c r="AE2999" s="126"/>
      <c r="AF2999" s="125"/>
      <c r="AG2999" s="125"/>
      <c r="AH2999" s="128"/>
    </row>
    <row r="3000" spans="30:34" x14ac:dyDescent="0.2">
      <c r="AD3000" s="8"/>
      <c r="AE3000" s="126"/>
      <c r="AF3000" s="125"/>
      <c r="AG3000" s="125"/>
      <c r="AH3000" s="128"/>
    </row>
    <row r="3001" spans="30:34" x14ac:dyDescent="0.2">
      <c r="AD3001" s="8"/>
      <c r="AE3001" s="126"/>
      <c r="AF3001" s="125"/>
      <c r="AG3001" s="125"/>
      <c r="AH3001" s="128"/>
    </row>
    <row r="3002" spans="30:34" x14ac:dyDescent="0.2">
      <c r="AD3002" s="8"/>
      <c r="AE3002" s="126"/>
      <c r="AF3002" s="125"/>
      <c r="AG3002" s="125"/>
      <c r="AH3002" s="128"/>
    </row>
    <row r="3003" spans="30:34" x14ac:dyDescent="0.2">
      <c r="AD3003" s="8"/>
      <c r="AE3003" s="126"/>
      <c r="AF3003" s="125"/>
      <c r="AG3003" s="125"/>
      <c r="AH3003" s="128"/>
    </row>
    <row r="3004" spans="30:34" x14ac:dyDescent="0.2">
      <c r="AD3004" s="8"/>
      <c r="AE3004" s="126"/>
      <c r="AF3004" s="125"/>
      <c r="AG3004" s="125"/>
      <c r="AH3004" s="128"/>
    </row>
    <row r="3005" spans="30:34" x14ac:dyDescent="0.2">
      <c r="AD3005" s="8"/>
      <c r="AE3005" s="126"/>
      <c r="AF3005" s="125"/>
      <c r="AG3005" s="125"/>
      <c r="AH3005" s="128"/>
    </row>
    <row r="3006" spans="30:34" x14ac:dyDescent="0.2">
      <c r="AD3006" s="8"/>
      <c r="AE3006" s="126"/>
      <c r="AF3006" s="125"/>
      <c r="AG3006" s="125"/>
      <c r="AH3006" s="128"/>
    </row>
    <row r="3007" spans="30:34" x14ac:dyDescent="0.2">
      <c r="AD3007" s="8"/>
      <c r="AE3007" s="126"/>
      <c r="AF3007" s="125"/>
      <c r="AG3007" s="125"/>
      <c r="AH3007" s="128"/>
    </row>
    <row r="3008" spans="30:34" x14ac:dyDescent="0.2">
      <c r="AD3008" s="8"/>
      <c r="AE3008" s="126"/>
      <c r="AF3008" s="125"/>
      <c r="AG3008" s="125"/>
      <c r="AH3008" s="128"/>
    </row>
    <row r="3009" spans="30:34" x14ac:dyDescent="0.2">
      <c r="AD3009" s="8"/>
      <c r="AE3009" s="126"/>
      <c r="AF3009" s="125"/>
      <c r="AG3009" s="125"/>
      <c r="AH3009" s="128"/>
    </row>
    <row r="3010" spans="30:34" x14ac:dyDescent="0.2">
      <c r="AD3010" s="8"/>
      <c r="AE3010" s="126"/>
      <c r="AF3010" s="125"/>
      <c r="AG3010" s="125"/>
      <c r="AH3010" s="128"/>
    </row>
    <row r="3011" spans="30:34" x14ac:dyDescent="0.2">
      <c r="AD3011" s="8"/>
      <c r="AE3011" s="126"/>
      <c r="AF3011" s="125"/>
      <c r="AG3011" s="125"/>
      <c r="AH3011" s="128"/>
    </row>
    <row r="3012" spans="30:34" x14ac:dyDescent="0.2">
      <c r="AD3012" s="8"/>
      <c r="AE3012" s="126"/>
      <c r="AF3012" s="125"/>
      <c r="AG3012" s="125"/>
      <c r="AH3012" s="128"/>
    </row>
    <row r="3013" spans="30:34" x14ac:dyDescent="0.2">
      <c r="AD3013" s="8"/>
      <c r="AE3013" s="126"/>
      <c r="AF3013" s="125"/>
      <c r="AG3013" s="125"/>
      <c r="AH3013" s="128"/>
    </row>
    <row r="3014" spans="30:34" x14ac:dyDescent="0.2">
      <c r="AD3014" s="8"/>
      <c r="AE3014" s="126"/>
      <c r="AF3014" s="125"/>
      <c r="AG3014" s="125"/>
      <c r="AH3014" s="128"/>
    </row>
    <row r="3015" spans="30:34" x14ac:dyDescent="0.2">
      <c r="AD3015" s="8"/>
      <c r="AE3015" s="126"/>
      <c r="AF3015" s="125"/>
      <c r="AG3015" s="125"/>
      <c r="AH3015" s="128"/>
    </row>
    <row r="3016" spans="30:34" x14ac:dyDescent="0.2">
      <c r="AD3016" s="8"/>
      <c r="AE3016" s="126"/>
      <c r="AF3016" s="125"/>
      <c r="AG3016" s="125"/>
      <c r="AH3016" s="128"/>
    </row>
    <row r="3017" spans="30:34" x14ac:dyDescent="0.2">
      <c r="AD3017" s="8"/>
      <c r="AE3017" s="126"/>
      <c r="AF3017" s="125"/>
      <c r="AG3017" s="125"/>
      <c r="AH3017" s="128"/>
    </row>
    <row r="3018" spans="30:34" x14ac:dyDescent="0.2">
      <c r="AD3018" s="8"/>
      <c r="AE3018" s="126"/>
      <c r="AF3018" s="125"/>
      <c r="AG3018" s="125"/>
      <c r="AH3018" s="128"/>
    </row>
    <row r="3019" spans="30:34" x14ac:dyDescent="0.2">
      <c r="AD3019" s="8"/>
      <c r="AE3019" s="126"/>
      <c r="AF3019" s="125"/>
      <c r="AG3019" s="125"/>
      <c r="AH3019" s="128"/>
    </row>
    <row r="3020" spans="30:34" x14ac:dyDescent="0.2">
      <c r="AD3020" s="8"/>
      <c r="AE3020" s="126"/>
      <c r="AF3020" s="125"/>
      <c r="AG3020" s="125"/>
      <c r="AH3020" s="128"/>
    </row>
    <row r="3021" spans="30:34" x14ac:dyDescent="0.2">
      <c r="AD3021" s="8"/>
      <c r="AE3021" s="126"/>
      <c r="AF3021" s="125"/>
      <c r="AG3021" s="125"/>
      <c r="AH3021" s="128"/>
    </row>
    <row r="3022" spans="30:34" x14ac:dyDescent="0.2">
      <c r="AD3022" s="8"/>
      <c r="AE3022" s="126"/>
      <c r="AF3022" s="125"/>
      <c r="AG3022" s="125"/>
      <c r="AH3022" s="128"/>
    </row>
    <row r="3023" spans="30:34" x14ac:dyDescent="0.2">
      <c r="AD3023" s="8"/>
      <c r="AE3023" s="126"/>
      <c r="AF3023" s="125"/>
      <c r="AG3023" s="125"/>
      <c r="AH3023" s="128"/>
    </row>
    <row r="3024" spans="30:34" x14ac:dyDescent="0.2">
      <c r="AD3024" s="8"/>
      <c r="AE3024" s="126"/>
      <c r="AF3024" s="125"/>
      <c r="AG3024" s="125"/>
      <c r="AH3024" s="128"/>
    </row>
    <row r="3025" spans="30:34" x14ac:dyDescent="0.2">
      <c r="AD3025" s="8"/>
      <c r="AE3025" s="126"/>
      <c r="AF3025" s="125"/>
      <c r="AG3025" s="125"/>
      <c r="AH3025" s="128"/>
    </row>
    <row r="3026" spans="30:34" x14ac:dyDescent="0.2">
      <c r="AD3026" s="8"/>
      <c r="AE3026" s="126"/>
      <c r="AF3026" s="125"/>
      <c r="AG3026" s="125"/>
      <c r="AH3026" s="128"/>
    </row>
    <row r="3027" spans="30:34" x14ac:dyDescent="0.2">
      <c r="AD3027" s="8"/>
      <c r="AE3027" s="126"/>
      <c r="AF3027" s="125"/>
      <c r="AG3027" s="125"/>
      <c r="AH3027" s="128"/>
    </row>
    <row r="3028" spans="30:34" x14ac:dyDescent="0.2">
      <c r="AD3028" s="8"/>
      <c r="AE3028" s="126"/>
      <c r="AF3028" s="125"/>
      <c r="AG3028" s="125"/>
      <c r="AH3028" s="128"/>
    </row>
    <row r="3029" spans="30:34" x14ac:dyDescent="0.2">
      <c r="AD3029" s="8"/>
      <c r="AE3029" s="126"/>
      <c r="AF3029" s="125"/>
      <c r="AG3029" s="125"/>
      <c r="AH3029" s="128"/>
    </row>
    <row r="3030" spans="30:34" x14ac:dyDescent="0.2">
      <c r="AD3030" s="8"/>
      <c r="AE3030" s="126"/>
      <c r="AF3030" s="125"/>
      <c r="AG3030" s="125"/>
      <c r="AH3030" s="128"/>
    </row>
    <row r="3031" spans="30:34" x14ac:dyDescent="0.2">
      <c r="AD3031" s="8"/>
      <c r="AE3031" s="126"/>
      <c r="AF3031" s="125"/>
      <c r="AG3031" s="125"/>
      <c r="AH3031" s="128"/>
    </row>
    <row r="3032" spans="30:34" x14ac:dyDescent="0.2">
      <c r="AD3032" s="8"/>
      <c r="AE3032" s="126"/>
      <c r="AF3032" s="125"/>
      <c r="AG3032" s="125"/>
      <c r="AH3032" s="128"/>
    </row>
    <row r="3033" spans="30:34" x14ac:dyDescent="0.2">
      <c r="AD3033" s="8"/>
      <c r="AE3033" s="126"/>
      <c r="AF3033" s="125"/>
      <c r="AG3033" s="125"/>
      <c r="AH3033" s="128"/>
    </row>
    <row r="3034" spans="30:34" x14ac:dyDescent="0.2">
      <c r="AD3034" s="8"/>
      <c r="AE3034" s="126"/>
      <c r="AF3034" s="125"/>
      <c r="AG3034" s="125"/>
      <c r="AH3034" s="128"/>
    </row>
    <row r="3035" spans="30:34" x14ac:dyDescent="0.2">
      <c r="AD3035" s="8"/>
      <c r="AE3035" s="126"/>
      <c r="AF3035" s="125"/>
      <c r="AG3035" s="125"/>
      <c r="AH3035" s="128"/>
    </row>
    <row r="3036" spans="30:34" x14ac:dyDescent="0.2">
      <c r="AD3036" s="8"/>
      <c r="AE3036" s="126"/>
      <c r="AF3036" s="125"/>
      <c r="AG3036" s="125"/>
      <c r="AH3036" s="128"/>
    </row>
    <row r="3037" spans="30:34" x14ac:dyDescent="0.2">
      <c r="AD3037" s="8"/>
      <c r="AE3037" s="126"/>
      <c r="AF3037" s="125"/>
      <c r="AG3037" s="125"/>
      <c r="AH3037" s="128"/>
    </row>
    <row r="3038" spans="30:34" x14ac:dyDescent="0.2">
      <c r="AD3038" s="8"/>
      <c r="AE3038" s="126"/>
      <c r="AF3038" s="125"/>
      <c r="AG3038" s="125"/>
      <c r="AH3038" s="128"/>
    </row>
    <row r="3039" spans="30:34" x14ac:dyDescent="0.2">
      <c r="AD3039" s="8"/>
      <c r="AE3039" s="126"/>
      <c r="AF3039" s="125"/>
      <c r="AG3039" s="125"/>
      <c r="AH3039" s="128"/>
    </row>
    <row r="3040" spans="30:34" x14ac:dyDescent="0.2">
      <c r="AD3040" s="8"/>
      <c r="AE3040" s="126"/>
      <c r="AF3040" s="125"/>
      <c r="AG3040" s="125"/>
      <c r="AH3040" s="128"/>
    </row>
    <row r="3041" spans="30:34" x14ac:dyDescent="0.2">
      <c r="AD3041" s="8"/>
      <c r="AE3041" s="126"/>
      <c r="AF3041" s="125"/>
      <c r="AG3041" s="125"/>
      <c r="AH3041" s="128"/>
    </row>
    <row r="3042" spans="30:34" x14ac:dyDescent="0.2">
      <c r="AD3042" s="8"/>
      <c r="AE3042" s="126"/>
      <c r="AF3042" s="125"/>
      <c r="AG3042" s="125"/>
      <c r="AH3042" s="128"/>
    </row>
    <row r="3043" spans="30:34" x14ac:dyDescent="0.2">
      <c r="AD3043" s="8"/>
      <c r="AE3043" s="126"/>
      <c r="AF3043" s="125"/>
      <c r="AG3043" s="125"/>
      <c r="AH3043" s="128"/>
    </row>
    <row r="3044" spans="30:34" x14ac:dyDescent="0.2">
      <c r="AD3044" s="8"/>
      <c r="AE3044" s="126"/>
      <c r="AF3044" s="125"/>
      <c r="AG3044" s="125"/>
      <c r="AH3044" s="128"/>
    </row>
    <row r="3045" spans="30:34" x14ac:dyDescent="0.2">
      <c r="AD3045" s="8"/>
      <c r="AE3045" s="126"/>
      <c r="AF3045" s="125"/>
      <c r="AG3045" s="125"/>
      <c r="AH3045" s="128"/>
    </row>
    <row r="3046" spans="30:34" x14ac:dyDescent="0.2">
      <c r="AD3046" s="8"/>
      <c r="AE3046" s="126"/>
      <c r="AF3046" s="125"/>
      <c r="AG3046" s="125"/>
      <c r="AH3046" s="128"/>
    </row>
    <row r="3047" spans="30:34" x14ac:dyDescent="0.2">
      <c r="AD3047" s="8"/>
      <c r="AE3047" s="126"/>
      <c r="AF3047" s="125"/>
      <c r="AG3047" s="125"/>
      <c r="AH3047" s="128"/>
    </row>
    <row r="3048" spans="30:34" x14ac:dyDescent="0.2">
      <c r="AD3048" s="8"/>
      <c r="AE3048" s="126"/>
      <c r="AF3048" s="125"/>
      <c r="AG3048" s="125"/>
      <c r="AH3048" s="128"/>
    </row>
    <row r="3049" spans="30:34" x14ac:dyDescent="0.2">
      <c r="AD3049" s="8"/>
      <c r="AE3049" s="126"/>
      <c r="AF3049" s="125"/>
      <c r="AG3049" s="125"/>
      <c r="AH3049" s="128"/>
    </row>
    <row r="3050" spans="30:34" x14ac:dyDescent="0.2">
      <c r="AD3050" s="8"/>
      <c r="AE3050" s="126"/>
      <c r="AF3050" s="125"/>
      <c r="AG3050" s="125"/>
      <c r="AH3050" s="128"/>
    </row>
    <row r="3051" spans="30:34" x14ac:dyDescent="0.2">
      <c r="AD3051" s="8"/>
      <c r="AE3051" s="126"/>
      <c r="AF3051" s="125"/>
      <c r="AG3051" s="125"/>
      <c r="AH3051" s="128"/>
    </row>
    <row r="3052" spans="30:34" x14ac:dyDescent="0.2">
      <c r="AD3052" s="8"/>
      <c r="AE3052" s="126"/>
      <c r="AF3052" s="125"/>
      <c r="AG3052" s="125"/>
      <c r="AH3052" s="128"/>
    </row>
    <row r="3053" spans="30:34" x14ac:dyDescent="0.2">
      <c r="AD3053" s="8"/>
      <c r="AE3053" s="126"/>
      <c r="AF3053" s="125"/>
      <c r="AG3053" s="125"/>
      <c r="AH3053" s="128"/>
    </row>
    <row r="3054" spans="30:34" x14ac:dyDescent="0.2">
      <c r="AD3054" s="8"/>
      <c r="AE3054" s="126"/>
      <c r="AF3054" s="125"/>
      <c r="AG3054" s="125"/>
      <c r="AH3054" s="128"/>
    </row>
    <row r="3055" spans="30:34" x14ac:dyDescent="0.2">
      <c r="AD3055" s="8"/>
      <c r="AE3055" s="126"/>
      <c r="AF3055" s="125"/>
      <c r="AG3055" s="125"/>
      <c r="AH3055" s="128"/>
    </row>
    <row r="3056" spans="30:34" x14ac:dyDescent="0.2">
      <c r="AD3056" s="8"/>
      <c r="AE3056" s="126"/>
      <c r="AF3056" s="125"/>
      <c r="AG3056" s="125"/>
      <c r="AH3056" s="128"/>
    </row>
    <row r="3057" spans="30:34" x14ac:dyDescent="0.2">
      <c r="AD3057" s="8"/>
      <c r="AE3057" s="126"/>
      <c r="AF3057" s="125"/>
      <c r="AG3057" s="125"/>
      <c r="AH3057" s="128"/>
    </row>
    <row r="3058" spans="30:34" x14ac:dyDescent="0.2">
      <c r="AD3058" s="8"/>
      <c r="AE3058" s="126"/>
      <c r="AF3058" s="125"/>
      <c r="AG3058" s="125"/>
      <c r="AH3058" s="128"/>
    </row>
    <row r="3059" spans="30:34" x14ac:dyDescent="0.2">
      <c r="AD3059" s="8"/>
      <c r="AE3059" s="126"/>
      <c r="AF3059" s="125"/>
      <c r="AG3059" s="125"/>
      <c r="AH3059" s="128"/>
    </row>
    <row r="3060" spans="30:34" x14ac:dyDescent="0.2">
      <c r="AD3060" s="8"/>
      <c r="AE3060" s="126"/>
      <c r="AF3060" s="125"/>
      <c r="AG3060" s="125"/>
      <c r="AH3060" s="128"/>
    </row>
    <row r="3061" spans="30:34" x14ac:dyDescent="0.2">
      <c r="AD3061" s="8"/>
      <c r="AE3061" s="126"/>
      <c r="AF3061" s="125"/>
      <c r="AG3061" s="125"/>
      <c r="AH3061" s="128"/>
    </row>
    <row r="3062" spans="30:34" x14ac:dyDescent="0.2">
      <c r="AD3062" s="8"/>
      <c r="AE3062" s="126"/>
      <c r="AF3062" s="125"/>
      <c r="AG3062" s="125"/>
      <c r="AH3062" s="128"/>
    </row>
    <row r="3063" spans="30:34" x14ac:dyDescent="0.2">
      <c r="AD3063" s="8"/>
      <c r="AE3063" s="126"/>
      <c r="AF3063" s="125"/>
      <c r="AG3063" s="125"/>
      <c r="AH3063" s="128"/>
    </row>
    <row r="3064" spans="30:34" x14ac:dyDescent="0.2">
      <c r="AD3064" s="8"/>
      <c r="AE3064" s="126"/>
      <c r="AF3064" s="125"/>
      <c r="AG3064" s="125"/>
      <c r="AH3064" s="128"/>
    </row>
    <row r="3065" spans="30:34" x14ac:dyDescent="0.2">
      <c r="AD3065" s="8"/>
      <c r="AE3065" s="126"/>
      <c r="AF3065" s="125"/>
      <c r="AG3065" s="125"/>
      <c r="AH3065" s="128"/>
    </row>
    <row r="3066" spans="30:34" x14ac:dyDescent="0.2">
      <c r="AD3066" s="8"/>
      <c r="AE3066" s="126"/>
      <c r="AF3066" s="125"/>
      <c r="AG3066" s="125"/>
      <c r="AH3066" s="128"/>
    </row>
    <row r="3067" spans="30:34" x14ac:dyDescent="0.2">
      <c r="AD3067" s="8"/>
      <c r="AE3067" s="126"/>
      <c r="AF3067" s="125"/>
      <c r="AG3067" s="125"/>
      <c r="AH3067" s="128"/>
    </row>
    <row r="3068" spans="30:34" x14ac:dyDescent="0.2">
      <c r="AD3068" s="8"/>
      <c r="AE3068" s="126"/>
      <c r="AF3068" s="125"/>
      <c r="AG3068" s="125"/>
      <c r="AH3068" s="128"/>
    </row>
    <row r="3069" spans="30:34" x14ac:dyDescent="0.2">
      <c r="AD3069" s="8"/>
      <c r="AE3069" s="126"/>
      <c r="AF3069" s="125"/>
      <c r="AG3069" s="125"/>
      <c r="AH3069" s="128"/>
    </row>
    <row r="3070" spans="30:34" x14ac:dyDescent="0.2">
      <c r="AD3070" s="8"/>
      <c r="AE3070" s="126"/>
      <c r="AF3070" s="125"/>
      <c r="AG3070" s="125"/>
      <c r="AH3070" s="128"/>
    </row>
    <row r="3071" spans="30:34" x14ac:dyDescent="0.2">
      <c r="AD3071" s="8"/>
      <c r="AE3071" s="126"/>
      <c r="AF3071" s="125"/>
      <c r="AG3071" s="125"/>
      <c r="AH3071" s="128"/>
    </row>
    <row r="3072" spans="30:34" x14ac:dyDescent="0.2">
      <c r="AD3072" s="8"/>
      <c r="AE3072" s="126"/>
      <c r="AF3072" s="125"/>
      <c r="AG3072" s="125"/>
      <c r="AH3072" s="128"/>
    </row>
    <row r="3073" spans="30:34" x14ac:dyDescent="0.2">
      <c r="AD3073" s="8"/>
      <c r="AE3073" s="126"/>
      <c r="AF3073" s="125"/>
      <c r="AG3073" s="125"/>
      <c r="AH3073" s="128"/>
    </row>
    <row r="3074" spans="30:34" x14ac:dyDescent="0.2">
      <c r="AD3074" s="8"/>
      <c r="AE3074" s="126"/>
      <c r="AF3074" s="125"/>
      <c r="AG3074" s="125"/>
      <c r="AH3074" s="128"/>
    </row>
    <row r="3075" spans="30:34" x14ac:dyDescent="0.2">
      <c r="AD3075" s="8"/>
      <c r="AE3075" s="126"/>
      <c r="AF3075" s="125"/>
      <c r="AG3075" s="125"/>
      <c r="AH3075" s="128"/>
    </row>
    <row r="3076" spans="30:34" x14ac:dyDescent="0.2">
      <c r="AD3076" s="8"/>
      <c r="AE3076" s="126"/>
      <c r="AF3076" s="125"/>
      <c r="AG3076" s="125"/>
      <c r="AH3076" s="128"/>
    </row>
    <row r="3077" spans="30:34" x14ac:dyDescent="0.2">
      <c r="AD3077" s="8"/>
      <c r="AE3077" s="126"/>
      <c r="AF3077" s="125"/>
      <c r="AG3077" s="125"/>
      <c r="AH3077" s="128"/>
    </row>
    <row r="3078" spans="30:34" x14ac:dyDescent="0.2">
      <c r="AD3078" s="8"/>
      <c r="AE3078" s="126"/>
      <c r="AF3078" s="125"/>
      <c r="AG3078" s="125"/>
      <c r="AH3078" s="128"/>
    </row>
    <row r="3079" spans="30:34" x14ac:dyDescent="0.2">
      <c r="AD3079" s="8"/>
      <c r="AE3079" s="126"/>
      <c r="AF3079" s="125"/>
      <c r="AG3079" s="125"/>
      <c r="AH3079" s="128"/>
    </row>
    <row r="3080" spans="30:34" x14ac:dyDescent="0.2">
      <c r="AD3080" s="8"/>
      <c r="AE3080" s="126"/>
      <c r="AF3080" s="125"/>
      <c r="AG3080" s="125"/>
      <c r="AH3080" s="128"/>
    </row>
    <row r="3081" spans="30:34" x14ac:dyDescent="0.2">
      <c r="AD3081" s="8"/>
      <c r="AE3081" s="126"/>
      <c r="AF3081" s="125"/>
      <c r="AG3081" s="125"/>
      <c r="AH3081" s="128"/>
    </row>
    <row r="3082" spans="30:34" x14ac:dyDescent="0.2">
      <c r="AD3082" s="8"/>
      <c r="AE3082" s="126"/>
      <c r="AF3082" s="125"/>
      <c r="AG3082" s="125"/>
      <c r="AH3082" s="128"/>
    </row>
    <row r="3083" spans="30:34" x14ac:dyDescent="0.2">
      <c r="AD3083" s="8"/>
      <c r="AE3083" s="126"/>
      <c r="AF3083" s="125"/>
      <c r="AG3083" s="125"/>
      <c r="AH3083" s="128"/>
    </row>
    <row r="3084" spans="30:34" x14ac:dyDescent="0.2">
      <c r="AD3084" s="8"/>
      <c r="AE3084" s="126"/>
      <c r="AF3084" s="125"/>
      <c r="AG3084" s="125"/>
      <c r="AH3084" s="128"/>
    </row>
    <row r="3085" spans="30:34" x14ac:dyDescent="0.2">
      <c r="AD3085" s="8"/>
      <c r="AE3085" s="126"/>
      <c r="AF3085" s="125"/>
      <c r="AG3085" s="125"/>
      <c r="AH3085" s="128"/>
    </row>
    <row r="3086" spans="30:34" x14ac:dyDescent="0.2">
      <c r="AD3086" s="8"/>
      <c r="AE3086" s="126"/>
      <c r="AF3086" s="125"/>
      <c r="AG3086" s="125"/>
      <c r="AH3086" s="128"/>
    </row>
    <row r="3087" spans="30:34" x14ac:dyDescent="0.2">
      <c r="AD3087" s="8"/>
      <c r="AE3087" s="126"/>
      <c r="AF3087" s="125"/>
      <c r="AG3087" s="125"/>
      <c r="AH3087" s="128"/>
    </row>
    <row r="3088" spans="30:34" x14ac:dyDescent="0.2">
      <c r="AD3088" s="8"/>
      <c r="AE3088" s="126"/>
      <c r="AF3088" s="125"/>
      <c r="AG3088" s="125"/>
      <c r="AH3088" s="128"/>
    </row>
    <row r="3089" spans="30:34" x14ac:dyDescent="0.2">
      <c r="AD3089" s="8"/>
      <c r="AE3089" s="126"/>
      <c r="AF3089" s="125"/>
      <c r="AG3089" s="125"/>
      <c r="AH3089" s="128"/>
    </row>
    <row r="3090" spans="30:34" x14ac:dyDescent="0.2">
      <c r="AD3090" s="8"/>
      <c r="AE3090" s="126"/>
      <c r="AF3090" s="125"/>
      <c r="AG3090" s="125"/>
      <c r="AH3090" s="128"/>
    </row>
    <row r="3091" spans="30:34" x14ac:dyDescent="0.2">
      <c r="AD3091" s="8"/>
      <c r="AE3091" s="126"/>
      <c r="AF3091" s="125"/>
      <c r="AG3091" s="125"/>
      <c r="AH3091" s="128"/>
    </row>
    <row r="3092" spans="30:34" x14ac:dyDescent="0.2">
      <c r="AD3092" s="8"/>
      <c r="AE3092" s="126"/>
      <c r="AF3092" s="125"/>
      <c r="AG3092" s="125"/>
      <c r="AH3092" s="128"/>
    </row>
    <row r="3093" spans="30:34" x14ac:dyDescent="0.2">
      <c r="AD3093" s="8"/>
      <c r="AE3093" s="126"/>
      <c r="AF3093" s="125"/>
      <c r="AG3093" s="125"/>
      <c r="AH3093" s="128"/>
    </row>
    <row r="3094" spans="30:34" x14ac:dyDescent="0.2">
      <c r="AD3094" s="8"/>
      <c r="AE3094" s="126"/>
      <c r="AF3094" s="125"/>
      <c r="AG3094" s="125"/>
      <c r="AH3094" s="128"/>
    </row>
    <row r="3095" spans="30:34" x14ac:dyDescent="0.2">
      <c r="AD3095" s="8"/>
      <c r="AE3095" s="126"/>
      <c r="AF3095" s="125"/>
      <c r="AG3095" s="125"/>
      <c r="AH3095" s="128"/>
    </row>
    <row r="3096" spans="30:34" x14ac:dyDescent="0.2">
      <c r="AD3096" s="8"/>
      <c r="AE3096" s="126"/>
      <c r="AF3096" s="125"/>
      <c r="AG3096" s="125"/>
      <c r="AH3096" s="128"/>
    </row>
    <row r="3097" spans="30:34" x14ac:dyDescent="0.2">
      <c r="AD3097" s="8"/>
      <c r="AE3097" s="126"/>
      <c r="AF3097" s="125"/>
      <c r="AG3097" s="125"/>
      <c r="AH3097" s="128"/>
    </row>
    <row r="3098" spans="30:34" x14ac:dyDescent="0.2">
      <c r="AD3098" s="8"/>
      <c r="AE3098" s="126"/>
      <c r="AF3098" s="125"/>
      <c r="AG3098" s="125"/>
      <c r="AH3098" s="128"/>
    </row>
    <row r="3099" spans="30:34" x14ac:dyDescent="0.2">
      <c r="AD3099" s="8"/>
      <c r="AE3099" s="126"/>
      <c r="AF3099" s="125"/>
      <c r="AG3099" s="125"/>
      <c r="AH3099" s="128"/>
    </row>
    <row r="3100" spans="30:34" x14ac:dyDescent="0.2">
      <c r="AD3100" s="8"/>
      <c r="AE3100" s="126"/>
      <c r="AF3100" s="125"/>
      <c r="AG3100" s="125"/>
      <c r="AH3100" s="128"/>
    </row>
    <row r="3101" spans="30:34" x14ac:dyDescent="0.2">
      <c r="AD3101" s="8"/>
      <c r="AE3101" s="126"/>
      <c r="AF3101" s="125"/>
      <c r="AG3101" s="125"/>
      <c r="AH3101" s="128"/>
    </row>
    <row r="3102" spans="30:34" x14ac:dyDescent="0.2">
      <c r="AD3102" s="8"/>
      <c r="AE3102" s="126"/>
      <c r="AF3102" s="125"/>
      <c r="AG3102" s="125"/>
      <c r="AH3102" s="128"/>
    </row>
    <row r="3103" spans="30:34" x14ac:dyDescent="0.2">
      <c r="AD3103" s="8"/>
      <c r="AE3103" s="126"/>
      <c r="AF3103" s="125"/>
      <c r="AG3103" s="125"/>
      <c r="AH3103" s="128"/>
    </row>
    <row r="3104" spans="30:34" x14ac:dyDescent="0.2">
      <c r="AD3104" s="8"/>
      <c r="AE3104" s="126"/>
      <c r="AF3104" s="125"/>
      <c r="AG3104" s="125"/>
      <c r="AH3104" s="128"/>
    </row>
    <row r="3105" spans="30:34" x14ac:dyDescent="0.2">
      <c r="AD3105" s="8"/>
      <c r="AE3105" s="126"/>
      <c r="AF3105" s="125"/>
      <c r="AG3105" s="125"/>
      <c r="AH3105" s="128"/>
    </row>
    <row r="3106" spans="30:34" x14ac:dyDescent="0.2">
      <c r="AD3106" s="8"/>
      <c r="AE3106" s="126"/>
      <c r="AF3106" s="125"/>
      <c r="AG3106" s="125"/>
      <c r="AH3106" s="128"/>
    </row>
    <row r="3107" spans="30:34" x14ac:dyDescent="0.2">
      <c r="AD3107" s="8"/>
      <c r="AE3107" s="126"/>
      <c r="AF3107" s="125"/>
      <c r="AG3107" s="125"/>
      <c r="AH3107" s="128"/>
    </row>
    <row r="3108" spans="30:34" x14ac:dyDescent="0.2">
      <c r="AD3108" s="8"/>
      <c r="AE3108" s="126"/>
      <c r="AF3108" s="125"/>
      <c r="AG3108" s="125"/>
      <c r="AH3108" s="128"/>
    </row>
    <row r="3109" spans="30:34" x14ac:dyDescent="0.2">
      <c r="AD3109" s="8"/>
      <c r="AE3109" s="126"/>
      <c r="AF3109" s="125"/>
      <c r="AG3109" s="125"/>
      <c r="AH3109" s="128"/>
    </row>
    <row r="3110" spans="30:34" x14ac:dyDescent="0.2">
      <c r="AD3110" s="8"/>
      <c r="AE3110" s="126"/>
      <c r="AF3110" s="125"/>
      <c r="AG3110" s="125"/>
      <c r="AH3110" s="128"/>
    </row>
    <row r="3111" spans="30:34" x14ac:dyDescent="0.2">
      <c r="AD3111" s="8"/>
      <c r="AE3111" s="126"/>
      <c r="AF3111" s="125"/>
      <c r="AG3111" s="125"/>
      <c r="AH3111" s="128"/>
    </row>
    <row r="3112" spans="30:34" x14ac:dyDescent="0.2">
      <c r="AD3112" s="8"/>
      <c r="AE3112" s="126"/>
      <c r="AF3112" s="125"/>
      <c r="AG3112" s="125"/>
      <c r="AH3112" s="128"/>
    </row>
    <row r="3113" spans="30:34" x14ac:dyDescent="0.2">
      <c r="AD3113" s="8"/>
      <c r="AE3113" s="126"/>
      <c r="AF3113" s="125"/>
      <c r="AG3113" s="125"/>
      <c r="AH3113" s="128"/>
    </row>
    <row r="3114" spans="30:34" x14ac:dyDescent="0.2">
      <c r="AD3114" s="8"/>
      <c r="AE3114" s="126"/>
      <c r="AF3114" s="125"/>
      <c r="AG3114" s="125"/>
      <c r="AH3114" s="128"/>
    </row>
    <row r="3115" spans="30:34" x14ac:dyDescent="0.2">
      <c r="AD3115" s="8"/>
      <c r="AE3115" s="126"/>
      <c r="AF3115" s="125"/>
      <c r="AG3115" s="125"/>
      <c r="AH3115" s="128"/>
    </row>
    <row r="3116" spans="30:34" x14ac:dyDescent="0.2">
      <c r="AD3116" s="8"/>
      <c r="AE3116" s="126"/>
      <c r="AF3116" s="125"/>
      <c r="AG3116" s="125"/>
      <c r="AH3116" s="128"/>
    </row>
    <row r="3117" spans="30:34" x14ac:dyDescent="0.2">
      <c r="AD3117" s="8"/>
      <c r="AE3117" s="126"/>
      <c r="AF3117" s="125"/>
      <c r="AG3117" s="125"/>
      <c r="AH3117" s="128"/>
    </row>
    <row r="3118" spans="30:34" x14ac:dyDescent="0.2">
      <c r="AD3118" s="8"/>
      <c r="AE3118" s="126"/>
      <c r="AF3118" s="125"/>
      <c r="AG3118" s="125"/>
      <c r="AH3118" s="128"/>
    </row>
    <row r="3119" spans="30:34" x14ac:dyDescent="0.2">
      <c r="AD3119" s="8"/>
      <c r="AE3119" s="126"/>
      <c r="AF3119" s="125"/>
      <c r="AG3119" s="125"/>
      <c r="AH3119" s="128"/>
    </row>
    <row r="3120" spans="30:34" x14ac:dyDescent="0.2">
      <c r="AD3120" s="8"/>
      <c r="AE3120" s="126"/>
      <c r="AF3120" s="125"/>
      <c r="AG3120" s="125"/>
      <c r="AH3120" s="128"/>
    </row>
    <row r="3121" spans="30:34" x14ac:dyDescent="0.2">
      <c r="AD3121" s="8"/>
      <c r="AE3121" s="126"/>
      <c r="AF3121" s="125"/>
      <c r="AG3121" s="125"/>
      <c r="AH3121" s="128"/>
    </row>
    <row r="3122" spans="30:34" x14ac:dyDescent="0.2">
      <c r="AD3122" s="8"/>
      <c r="AE3122" s="126"/>
      <c r="AF3122" s="125"/>
      <c r="AG3122" s="125"/>
      <c r="AH3122" s="128"/>
    </row>
    <row r="3123" spans="30:34" x14ac:dyDescent="0.2">
      <c r="AD3123" s="8"/>
      <c r="AE3123" s="126"/>
      <c r="AF3123" s="125"/>
      <c r="AG3123" s="125"/>
      <c r="AH3123" s="128"/>
    </row>
    <row r="3124" spans="30:34" x14ac:dyDescent="0.2">
      <c r="AD3124" s="8"/>
      <c r="AE3124" s="126"/>
      <c r="AF3124" s="125"/>
      <c r="AG3124" s="125"/>
      <c r="AH3124" s="128"/>
    </row>
    <row r="3125" spans="30:34" x14ac:dyDescent="0.2">
      <c r="AD3125" s="8"/>
      <c r="AE3125" s="126"/>
      <c r="AF3125" s="125"/>
      <c r="AG3125" s="125"/>
      <c r="AH3125" s="128"/>
    </row>
    <row r="3126" spans="30:34" x14ac:dyDescent="0.2">
      <c r="AD3126" s="8"/>
      <c r="AE3126" s="126"/>
      <c r="AF3126" s="125"/>
      <c r="AG3126" s="125"/>
      <c r="AH3126" s="128"/>
    </row>
    <row r="3127" spans="30:34" x14ac:dyDescent="0.2">
      <c r="AD3127" s="8"/>
      <c r="AE3127" s="126"/>
      <c r="AF3127" s="125"/>
      <c r="AG3127" s="125"/>
      <c r="AH3127" s="128"/>
    </row>
    <row r="3128" spans="30:34" x14ac:dyDescent="0.2">
      <c r="AD3128" s="8"/>
      <c r="AE3128" s="126"/>
      <c r="AF3128" s="125"/>
      <c r="AG3128" s="125"/>
      <c r="AH3128" s="128"/>
    </row>
    <row r="3129" spans="30:34" x14ac:dyDescent="0.2">
      <c r="AD3129" s="8"/>
      <c r="AE3129" s="126"/>
      <c r="AF3129" s="125"/>
      <c r="AG3129" s="125"/>
      <c r="AH3129" s="128"/>
    </row>
    <row r="3130" spans="30:34" x14ac:dyDescent="0.2">
      <c r="AD3130" s="8"/>
      <c r="AE3130" s="126"/>
      <c r="AF3130" s="125"/>
      <c r="AG3130" s="125"/>
      <c r="AH3130" s="128"/>
    </row>
    <row r="3131" spans="30:34" x14ac:dyDescent="0.2">
      <c r="AD3131" s="8"/>
      <c r="AE3131" s="126"/>
      <c r="AF3131" s="125"/>
      <c r="AG3131" s="125"/>
      <c r="AH3131" s="128"/>
    </row>
    <row r="3132" spans="30:34" x14ac:dyDescent="0.2">
      <c r="AD3132" s="8"/>
      <c r="AE3132" s="126"/>
      <c r="AF3132" s="125"/>
      <c r="AG3132" s="125"/>
      <c r="AH3132" s="128"/>
    </row>
    <row r="3133" spans="30:34" x14ac:dyDescent="0.2">
      <c r="AD3133" s="8"/>
      <c r="AE3133" s="126"/>
      <c r="AF3133" s="125"/>
      <c r="AG3133" s="125"/>
      <c r="AH3133" s="128"/>
    </row>
    <row r="3134" spans="30:34" x14ac:dyDescent="0.2">
      <c r="AD3134" s="8"/>
      <c r="AE3134" s="126"/>
      <c r="AF3134" s="125"/>
      <c r="AG3134" s="125"/>
      <c r="AH3134" s="128"/>
    </row>
    <row r="3135" spans="30:34" x14ac:dyDescent="0.2">
      <c r="AD3135" s="8"/>
      <c r="AE3135" s="126"/>
      <c r="AF3135" s="125"/>
      <c r="AG3135" s="125"/>
      <c r="AH3135" s="128"/>
    </row>
    <row r="3136" spans="30:34" x14ac:dyDescent="0.2">
      <c r="AD3136" s="8"/>
      <c r="AE3136" s="126"/>
      <c r="AF3136" s="125"/>
      <c r="AG3136" s="125"/>
      <c r="AH3136" s="128"/>
    </row>
    <row r="3137" spans="30:34" x14ac:dyDescent="0.2">
      <c r="AD3137" s="8"/>
      <c r="AE3137" s="126"/>
      <c r="AF3137" s="125"/>
      <c r="AG3137" s="125"/>
      <c r="AH3137" s="128"/>
    </row>
    <row r="3138" spans="30:34" x14ac:dyDescent="0.2">
      <c r="AD3138" s="8"/>
      <c r="AE3138" s="126"/>
      <c r="AF3138" s="125"/>
      <c r="AG3138" s="125"/>
      <c r="AH3138" s="128"/>
    </row>
    <row r="3139" spans="30:34" x14ac:dyDescent="0.2">
      <c r="AD3139" s="8"/>
      <c r="AE3139" s="126"/>
      <c r="AF3139" s="125"/>
      <c r="AG3139" s="125"/>
      <c r="AH3139" s="128"/>
    </row>
    <row r="3140" spans="30:34" x14ac:dyDescent="0.2">
      <c r="AD3140" s="8"/>
      <c r="AE3140" s="126"/>
      <c r="AF3140" s="125"/>
      <c r="AG3140" s="125"/>
      <c r="AH3140" s="128"/>
    </row>
    <row r="3141" spans="30:34" x14ac:dyDescent="0.2">
      <c r="AD3141" s="8"/>
      <c r="AE3141" s="126"/>
      <c r="AF3141" s="125"/>
      <c r="AG3141" s="125"/>
      <c r="AH3141" s="128"/>
    </row>
    <row r="3142" spans="30:34" x14ac:dyDescent="0.2">
      <c r="AD3142" s="8"/>
      <c r="AE3142" s="126"/>
      <c r="AF3142" s="125"/>
      <c r="AG3142" s="125"/>
      <c r="AH3142" s="128"/>
    </row>
    <row r="3143" spans="30:34" x14ac:dyDescent="0.2">
      <c r="AD3143" s="8"/>
      <c r="AE3143" s="126"/>
      <c r="AF3143" s="125"/>
      <c r="AG3143" s="125"/>
      <c r="AH3143" s="128"/>
    </row>
    <row r="3144" spans="30:34" x14ac:dyDescent="0.2">
      <c r="AD3144" s="8"/>
      <c r="AE3144" s="126"/>
      <c r="AF3144" s="125"/>
      <c r="AG3144" s="125"/>
      <c r="AH3144" s="128"/>
    </row>
    <row r="3145" spans="30:34" x14ac:dyDescent="0.2">
      <c r="AD3145" s="8"/>
      <c r="AE3145" s="126"/>
      <c r="AF3145" s="125"/>
      <c r="AG3145" s="125"/>
      <c r="AH3145" s="128"/>
    </row>
    <row r="3146" spans="30:34" x14ac:dyDescent="0.2">
      <c r="AD3146" s="8"/>
      <c r="AE3146" s="126"/>
      <c r="AF3146" s="125"/>
      <c r="AG3146" s="125"/>
      <c r="AH3146" s="128"/>
    </row>
    <row r="3147" spans="30:34" x14ac:dyDescent="0.2">
      <c r="AD3147" s="8"/>
      <c r="AE3147" s="126"/>
      <c r="AF3147" s="125"/>
      <c r="AG3147" s="125"/>
      <c r="AH3147" s="128"/>
    </row>
    <row r="3148" spans="30:34" x14ac:dyDescent="0.2">
      <c r="AD3148" s="8"/>
      <c r="AE3148" s="126"/>
      <c r="AF3148" s="125"/>
      <c r="AG3148" s="125"/>
      <c r="AH3148" s="128"/>
    </row>
    <row r="3149" spans="30:34" x14ac:dyDescent="0.2">
      <c r="AD3149" s="8"/>
      <c r="AE3149" s="126"/>
      <c r="AF3149" s="125"/>
      <c r="AG3149" s="125"/>
      <c r="AH3149" s="128"/>
    </row>
    <row r="3150" spans="30:34" x14ac:dyDescent="0.2">
      <c r="AD3150" s="8"/>
      <c r="AE3150" s="126"/>
      <c r="AF3150" s="125"/>
      <c r="AG3150" s="125"/>
      <c r="AH3150" s="128"/>
    </row>
    <row r="3151" spans="30:34" x14ac:dyDescent="0.2">
      <c r="AD3151" s="8"/>
      <c r="AE3151" s="126"/>
      <c r="AF3151" s="125"/>
      <c r="AG3151" s="125"/>
      <c r="AH3151" s="128"/>
    </row>
    <row r="3152" spans="30:34" x14ac:dyDescent="0.2">
      <c r="AD3152" s="8"/>
      <c r="AE3152" s="126"/>
      <c r="AF3152" s="125"/>
      <c r="AG3152" s="125"/>
      <c r="AH3152" s="128"/>
    </row>
    <row r="3153" spans="30:34" x14ac:dyDescent="0.2">
      <c r="AD3153" s="8"/>
      <c r="AE3153" s="126"/>
      <c r="AF3153" s="125"/>
      <c r="AG3153" s="125"/>
      <c r="AH3153" s="128"/>
    </row>
    <row r="3154" spans="30:34" x14ac:dyDescent="0.2">
      <c r="AD3154" s="8"/>
      <c r="AE3154" s="126"/>
      <c r="AF3154" s="125"/>
      <c r="AG3154" s="125"/>
      <c r="AH3154" s="128"/>
    </row>
    <row r="3155" spans="30:34" x14ac:dyDescent="0.2">
      <c r="AD3155" s="8"/>
      <c r="AE3155" s="126"/>
      <c r="AF3155" s="125"/>
      <c r="AG3155" s="125"/>
      <c r="AH3155" s="128"/>
    </row>
    <row r="3156" spans="30:34" x14ac:dyDescent="0.2">
      <c r="AD3156" s="8"/>
      <c r="AE3156" s="126"/>
      <c r="AF3156" s="125"/>
      <c r="AG3156" s="125"/>
      <c r="AH3156" s="128"/>
    </row>
    <row r="3157" spans="30:34" x14ac:dyDescent="0.2">
      <c r="AD3157" s="8"/>
      <c r="AE3157" s="126"/>
      <c r="AF3157" s="125"/>
      <c r="AG3157" s="125"/>
      <c r="AH3157" s="128"/>
    </row>
    <row r="3158" spans="30:34" x14ac:dyDescent="0.2">
      <c r="AD3158" s="8"/>
      <c r="AE3158" s="126"/>
      <c r="AF3158" s="125"/>
      <c r="AG3158" s="125"/>
      <c r="AH3158" s="128"/>
    </row>
    <row r="3159" spans="30:34" x14ac:dyDescent="0.2">
      <c r="AD3159" s="8"/>
      <c r="AE3159" s="126"/>
      <c r="AF3159" s="125"/>
      <c r="AG3159" s="125"/>
      <c r="AH3159" s="128"/>
    </row>
    <row r="3160" spans="30:34" x14ac:dyDescent="0.2">
      <c r="AD3160" s="8"/>
      <c r="AE3160" s="126"/>
      <c r="AF3160" s="125"/>
      <c r="AG3160" s="125"/>
      <c r="AH3160" s="128"/>
    </row>
    <row r="3161" spans="30:34" x14ac:dyDescent="0.2">
      <c r="AD3161" s="8"/>
      <c r="AE3161" s="126"/>
      <c r="AF3161" s="125"/>
      <c r="AG3161" s="125"/>
      <c r="AH3161" s="128"/>
    </row>
    <row r="3162" spans="30:34" x14ac:dyDescent="0.2">
      <c r="AD3162" s="8"/>
      <c r="AE3162" s="126"/>
      <c r="AF3162" s="125"/>
      <c r="AG3162" s="125"/>
      <c r="AH3162" s="128"/>
    </row>
    <row r="3163" spans="30:34" x14ac:dyDescent="0.2">
      <c r="AD3163" s="8"/>
      <c r="AE3163" s="126"/>
      <c r="AF3163" s="125"/>
      <c r="AG3163" s="125"/>
      <c r="AH3163" s="128"/>
    </row>
    <row r="3164" spans="30:34" x14ac:dyDescent="0.2">
      <c r="AD3164" s="8"/>
      <c r="AE3164" s="126"/>
      <c r="AF3164" s="125"/>
      <c r="AG3164" s="125"/>
      <c r="AH3164" s="128"/>
    </row>
    <row r="3165" spans="30:34" x14ac:dyDescent="0.2">
      <c r="AD3165" s="8"/>
      <c r="AE3165" s="126"/>
      <c r="AF3165" s="125"/>
      <c r="AG3165" s="125"/>
      <c r="AH3165" s="128"/>
    </row>
    <row r="3166" spans="30:34" x14ac:dyDescent="0.2">
      <c r="AD3166" s="8"/>
      <c r="AE3166" s="126"/>
      <c r="AF3166" s="125"/>
      <c r="AG3166" s="125"/>
      <c r="AH3166" s="128"/>
    </row>
    <row r="3167" spans="30:34" x14ac:dyDescent="0.2">
      <c r="AD3167" s="8"/>
      <c r="AE3167" s="126"/>
      <c r="AF3167" s="125"/>
      <c r="AG3167" s="125"/>
      <c r="AH3167" s="128"/>
    </row>
    <row r="3168" spans="30:34" x14ac:dyDescent="0.2">
      <c r="AD3168" s="8"/>
      <c r="AE3168" s="126"/>
      <c r="AF3168" s="125"/>
      <c r="AG3168" s="125"/>
      <c r="AH3168" s="128"/>
    </row>
    <row r="3169" spans="30:34" x14ac:dyDescent="0.2">
      <c r="AD3169" s="8"/>
      <c r="AE3169" s="126"/>
      <c r="AF3169" s="125"/>
      <c r="AG3169" s="125"/>
      <c r="AH3169" s="128"/>
    </row>
    <row r="3170" spans="30:34" x14ac:dyDescent="0.2">
      <c r="AD3170" s="8"/>
      <c r="AE3170" s="126"/>
      <c r="AF3170" s="125"/>
      <c r="AG3170" s="125"/>
      <c r="AH3170" s="128"/>
    </row>
    <row r="3171" spans="30:34" x14ac:dyDescent="0.2">
      <c r="AD3171" s="8"/>
      <c r="AE3171" s="126"/>
      <c r="AF3171" s="125"/>
      <c r="AG3171" s="125"/>
      <c r="AH3171" s="128"/>
    </row>
    <row r="3172" spans="30:34" x14ac:dyDescent="0.2">
      <c r="AD3172" s="8"/>
      <c r="AE3172" s="126"/>
      <c r="AF3172" s="125"/>
      <c r="AG3172" s="125"/>
      <c r="AH3172" s="128"/>
    </row>
    <row r="3173" spans="30:34" x14ac:dyDescent="0.2">
      <c r="AD3173" s="8"/>
      <c r="AE3173" s="126"/>
      <c r="AF3173" s="125"/>
      <c r="AG3173" s="125"/>
      <c r="AH3173" s="128"/>
    </row>
    <row r="3174" spans="30:34" x14ac:dyDescent="0.2">
      <c r="AD3174" s="8"/>
      <c r="AE3174" s="126"/>
      <c r="AF3174" s="125"/>
      <c r="AG3174" s="125"/>
      <c r="AH3174" s="128"/>
    </row>
    <row r="3175" spans="30:34" x14ac:dyDescent="0.2">
      <c r="AD3175" s="8"/>
      <c r="AE3175" s="126"/>
      <c r="AF3175" s="125"/>
      <c r="AG3175" s="125"/>
      <c r="AH3175" s="128"/>
    </row>
    <row r="3176" spans="30:34" x14ac:dyDescent="0.2">
      <c r="AD3176" s="8"/>
      <c r="AE3176" s="126"/>
      <c r="AF3176" s="125"/>
      <c r="AG3176" s="125"/>
      <c r="AH3176" s="128"/>
    </row>
    <row r="3177" spans="30:34" x14ac:dyDescent="0.2">
      <c r="AD3177" s="8"/>
      <c r="AE3177" s="126"/>
      <c r="AF3177" s="125"/>
      <c r="AG3177" s="125"/>
      <c r="AH3177" s="128"/>
    </row>
    <row r="3178" spans="30:34" x14ac:dyDescent="0.2">
      <c r="AD3178" s="8"/>
      <c r="AE3178" s="126"/>
      <c r="AF3178" s="125"/>
      <c r="AG3178" s="125"/>
      <c r="AH3178" s="128"/>
    </row>
    <row r="3179" spans="30:34" x14ac:dyDescent="0.2">
      <c r="AD3179" s="8"/>
      <c r="AE3179" s="126"/>
      <c r="AF3179" s="125"/>
      <c r="AG3179" s="125"/>
      <c r="AH3179" s="128"/>
    </row>
    <row r="3180" spans="30:34" x14ac:dyDescent="0.2">
      <c r="AD3180" s="8"/>
      <c r="AE3180" s="126"/>
      <c r="AF3180" s="125"/>
      <c r="AG3180" s="125"/>
      <c r="AH3180" s="128"/>
    </row>
    <row r="3181" spans="30:34" x14ac:dyDescent="0.2">
      <c r="AD3181" s="8"/>
      <c r="AE3181" s="126"/>
      <c r="AF3181" s="125"/>
      <c r="AG3181" s="125"/>
      <c r="AH3181" s="128"/>
    </row>
    <row r="3182" spans="30:34" x14ac:dyDescent="0.2">
      <c r="AD3182" s="8"/>
      <c r="AE3182" s="126"/>
      <c r="AF3182" s="125"/>
      <c r="AG3182" s="125"/>
      <c r="AH3182" s="128"/>
    </row>
    <row r="3183" spans="30:34" x14ac:dyDescent="0.2">
      <c r="AD3183" s="8"/>
      <c r="AE3183" s="126"/>
      <c r="AF3183" s="125"/>
      <c r="AG3183" s="125"/>
      <c r="AH3183" s="128"/>
    </row>
    <row r="3184" spans="30:34" x14ac:dyDescent="0.2">
      <c r="AD3184" s="8"/>
      <c r="AE3184" s="126"/>
      <c r="AF3184" s="125"/>
      <c r="AG3184" s="125"/>
      <c r="AH3184" s="128"/>
    </row>
    <row r="3185" spans="30:34" x14ac:dyDescent="0.2">
      <c r="AD3185" s="8"/>
      <c r="AE3185" s="126"/>
      <c r="AF3185" s="125"/>
      <c r="AG3185" s="125"/>
      <c r="AH3185" s="128"/>
    </row>
    <row r="3186" spans="30:34" x14ac:dyDescent="0.2">
      <c r="AD3186" s="8"/>
      <c r="AE3186" s="126"/>
      <c r="AF3186" s="125"/>
      <c r="AG3186" s="125"/>
      <c r="AH3186" s="128"/>
    </row>
    <row r="3187" spans="30:34" x14ac:dyDescent="0.2">
      <c r="AD3187" s="8"/>
      <c r="AE3187" s="126"/>
      <c r="AF3187" s="125"/>
      <c r="AG3187" s="125"/>
      <c r="AH3187" s="128"/>
    </row>
    <row r="3188" spans="30:34" x14ac:dyDescent="0.2">
      <c r="AD3188" s="8"/>
      <c r="AE3188" s="126"/>
      <c r="AF3188" s="125"/>
      <c r="AG3188" s="125"/>
      <c r="AH3188" s="128"/>
    </row>
    <row r="3189" spans="30:34" x14ac:dyDescent="0.2">
      <c r="AD3189" s="8"/>
      <c r="AE3189" s="126"/>
      <c r="AF3189" s="125"/>
      <c r="AG3189" s="125"/>
      <c r="AH3189" s="128"/>
    </row>
    <row r="3190" spans="30:34" x14ac:dyDescent="0.2">
      <c r="AD3190" s="8"/>
      <c r="AE3190" s="126"/>
      <c r="AF3190" s="125"/>
      <c r="AG3190" s="125"/>
      <c r="AH3190" s="128"/>
    </row>
    <row r="3191" spans="30:34" x14ac:dyDescent="0.2">
      <c r="AD3191" s="8"/>
      <c r="AE3191" s="126"/>
      <c r="AF3191" s="125"/>
      <c r="AG3191" s="125"/>
      <c r="AH3191" s="128"/>
    </row>
    <row r="3192" spans="30:34" x14ac:dyDescent="0.2">
      <c r="AD3192" s="8"/>
      <c r="AE3192" s="126"/>
      <c r="AF3192" s="125"/>
      <c r="AG3192" s="125"/>
      <c r="AH3192" s="128"/>
    </row>
    <row r="3193" spans="30:34" x14ac:dyDescent="0.2">
      <c r="AD3193" s="8"/>
      <c r="AE3193" s="126"/>
      <c r="AF3193" s="125"/>
      <c r="AG3193" s="125"/>
      <c r="AH3193" s="128"/>
    </row>
    <row r="3194" spans="30:34" x14ac:dyDescent="0.2">
      <c r="AD3194" s="8"/>
      <c r="AE3194" s="126"/>
      <c r="AF3194" s="125"/>
      <c r="AG3194" s="125"/>
      <c r="AH3194" s="128"/>
    </row>
    <row r="3195" spans="30:34" x14ac:dyDescent="0.2">
      <c r="AD3195" s="8"/>
      <c r="AE3195" s="126"/>
      <c r="AF3195" s="125"/>
      <c r="AG3195" s="125"/>
      <c r="AH3195" s="128"/>
    </row>
    <row r="3196" spans="30:34" x14ac:dyDescent="0.2">
      <c r="AD3196" s="8"/>
      <c r="AE3196" s="126"/>
      <c r="AF3196" s="125"/>
      <c r="AG3196" s="125"/>
      <c r="AH3196" s="128"/>
    </row>
    <row r="3197" spans="30:34" x14ac:dyDescent="0.2">
      <c r="AD3197" s="8"/>
      <c r="AE3197" s="126"/>
      <c r="AF3197" s="125"/>
      <c r="AG3197" s="125"/>
      <c r="AH3197" s="128"/>
    </row>
    <row r="3198" spans="30:34" x14ac:dyDescent="0.2">
      <c r="AD3198" s="8"/>
      <c r="AE3198" s="126"/>
      <c r="AF3198" s="125"/>
      <c r="AG3198" s="125"/>
      <c r="AH3198" s="128"/>
    </row>
    <row r="3199" spans="30:34" x14ac:dyDescent="0.2">
      <c r="AD3199" s="8"/>
      <c r="AE3199" s="126"/>
      <c r="AF3199" s="125"/>
      <c r="AG3199" s="125"/>
      <c r="AH3199" s="128"/>
    </row>
    <row r="3200" spans="30:34" x14ac:dyDescent="0.2">
      <c r="AD3200" s="8"/>
      <c r="AE3200" s="126"/>
      <c r="AF3200" s="125"/>
      <c r="AG3200" s="125"/>
      <c r="AH3200" s="128"/>
    </row>
    <row r="3201" spans="30:34" x14ac:dyDescent="0.2">
      <c r="AD3201" s="8"/>
      <c r="AE3201" s="126"/>
      <c r="AF3201" s="125"/>
      <c r="AG3201" s="125"/>
      <c r="AH3201" s="128"/>
    </row>
    <row r="3202" spans="30:34" x14ac:dyDescent="0.2">
      <c r="AD3202" s="8"/>
      <c r="AE3202" s="126"/>
      <c r="AF3202" s="125"/>
      <c r="AG3202" s="125"/>
      <c r="AH3202" s="128"/>
    </row>
    <row r="3203" spans="30:34" x14ac:dyDescent="0.2">
      <c r="AD3203" s="8"/>
      <c r="AE3203" s="126"/>
      <c r="AF3203" s="125"/>
      <c r="AG3203" s="125"/>
      <c r="AH3203" s="128"/>
    </row>
    <row r="3204" spans="30:34" x14ac:dyDescent="0.2">
      <c r="AD3204" s="8"/>
      <c r="AE3204" s="126"/>
      <c r="AF3204" s="125"/>
      <c r="AG3204" s="125"/>
      <c r="AH3204" s="128"/>
    </row>
    <row r="3205" spans="30:34" x14ac:dyDescent="0.2">
      <c r="AD3205" s="8"/>
      <c r="AE3205" s="126"/>
      <c r="AF3205" s="125"/>
      <c r="AG3205" s="125"/>
      <c r="AH3205" s="128"/>
    </row>
    <row r="3206" spans="30:34" x14ac:dyDescent="0.2">
      <c r="AD3206" s="8"/>
      <c r="AE3206" s="126"/>
      <c r="AF3206" s="125"/>
      <c r="AG3206" s="125"/>
      <c r="AH3206" s="128"/>
    </row>
    <row r="3207" spans="30:34" x14ac:dyDescent="0.2">
      <c r="AD3207" s="8"/>
      <c r="AE3207" s="126"/>
      <c r="AF3207" s="125"/>
      <c r="AG3207" s="125"/>
      <c r="AH3207" s="128"/>
    </row>
    <row r="3208" spans="30:34" x14ac:dyDescent="0.2">
      <c r="AD3208" s="8"/>
      <c r="AE3208" s="126"/>
      <c r="AF3208" s="125"/>
      <c r="AG3208" s="125"/>
      <c r="AH3208" s="128"/>
    </row>
    <row r="3209" spans="30:34" x14ac:dyDescent="0.2">
      <c r="AD3209" s="8"/>
      <c r="AE3209" s="126"/>
      <c r="AF3209" s="125"/>
      <c r="AG3209" s="125"/>
      <c r="AH3209" s="128"/>
    </row>
    <row r="3210" spans="30:34" x14ac:dyDescent="0.2">
      <c r="AD3210" s="8"/>
      <c r="AE3210" s="126"/>
      <c r="AF3210" s="125"/>
      <c r="AG3210" s="125"/>
      <c r="AH3210" s="128"/>
    </row>
    <row r="3211" spans="30:34" x14ac:dyDescent="0.2">
      <c r="AD3211" s="8"/>
      <c r="AE3211" s="126"/>
      <c r="AF3211" s="125"/>
      <c r="AG3211" s="125"/>
      <c r="AH3211" s="128"/>
    </row>
    <row r="3212" spans="30:34" x14ac:dyDescent="0.2">
      <c r="AD3212" s="8"/>
      <c r="AE3212" s="126"/>
      <c r="AF3212" s="125"/>
      <c r="AG3212" s="125"/>
      <c r="AH3212" s="128"/>
    </row>
    <row r="3213" spans="30:34" x14ac:dyDescent="0.2">
      <c r="AD3213" s="8"/>
      <c r="AE3213" s="126"/>
      <c r="AF3213" s="125"/>
      <c r="AG3213" s="125"/>
      <c r="AH3213" s="128"/>
    </row>
    <row r="3214" spans="30:34" x14ac:dyDescent="0.2">
      <c r="AD3214" s="8"/>
      <c r="AE3214" s="126"/>
      <c r="AF3214" s="125"/>
      <c r="AG3214" s="125"/>
      <c r="AH3214" s="128"/>
    </row>
    <row r="3215" spans="30:34" x14ac:dyDescent="0.2">
      <c r="AD3215" s="8"/>
      <c r="AE3215" s="126"/>
      <c r="AF3215" s="125"/>
      <c r="AG3215" s="125"/>
      <c r="AH3215" s="128"/>
    </row>
    <row r="3216" spans="30:34" x14ac:dyDescent="0.2">
      <c r="AD3216" s="8"/>
      <c r="AE3216" s="126"/>
      <c r="AF3216" s="125"/>
      <c r="AG3216" s="125"/>
      <c r="AH3216" s="128"/>
    </row>
    <row r="3217" spans="30:34" x14ac:dyDescent="0.2">
      <c r="AD3217" s="8"/>
      <c r="AE3217" s="126"/>
      <c r="AF3217" s="125"/>
      <c r="AG3217" s="125"/>
      <c r="AH3217" s="128"/>
    </row>
    <row r="3218" spans="30:34" x14ac:dyDescent="0.2">
      <c r="AD3218" s="8"/>
      <c r="AE3218" s="126"/>
      <c r="AF3218" s="125"/>
      <c r="AG3218" s="125"/>
      <c r="AH3218" s="128"/>
    </row>
    <row r="3219" spans="30:34" x14ac:dyDescent="0.2">
      <c r="AD3219" s="8"/>
      <c r="AE3219" s="126"/>
      <c r="AF3219" s="125"/>
      <c r="AG3219" s="125"/>
      <c r="AH3219" s="128"/>
    </row>
    <row r="3220" spans="30:34" x14ac:dyDescent="0.2">
      <c r="AD3220" s="8"/>
      <c r="AE3220" s="126"/>
      <c r="AF3220" s="125"/>
      <c r="AG3220" s="125"/>
      <c r="AH3220" s="128"/>
    </row>
    <row r="3221" spans="30:34" x14ac:dyDescent="0.2">
      <c r="AD3221" s="8"/>
      <c r="AE3221" s="126"/>
      <c r="AF3221" s="125"/>
      <c r="AG3221" s="125"/>
      <c r="AH3221" s="128"/>
    </row>
    <row r="3222" spans="30:34" x14ac:dyDescent="0.2">
      <c r="AD3222" s="8"/>
      <c r="AE3222" s="126"/>
      <c r="AF3222" s="125"/>
      <c r="AG3222" s="125"/>
      <c r="AH3222" s="128"/>
    </row>
    <row r="3223" spans="30:34" x14ac:dyDescent="0.2">
      <c r="AD3223" s="8"/>
      <c r="AE3223" s="126"/>
      <c r="AF3223" s="125"/>
      <c r="AG3223" s="125"/>
      <c r="AH3223" s="128"/>
    </row>
    <row r="3224" spans="30:34" x14ac:dyDescent="0.2">
      <c r="AD3224" s="8"/>
      <c r="AE3224" s="126"/>
      <c r="AF3224" s="125"/>
      <c r="AG3224" s="125"/>
      <c r="AH3224" s="128"/>
    </row>
    <row r="3225" spans="30:34" x14ac:dyDescent="0.2">
      <c r="AD3225" s="8"/>
      <c r="AE3225" s="126"/>
      <c r="AF3225" s="125"/>
      <c r="AG3225" s="125"/>
      <c r="AH3225" s="128"/>
    </row>
    <row r="3226" spans="30:34" x14ac:dyDescent="0.2">
      <c r="AD3226" s="8"/>
      <c r="AE3226" s="126"/>
      <c r="AF3226" s="125"/>
      <c r="AG3226" s="125"/>
      <c r="AH3226" s="128"/>
    </row>
    <row r="3227" spans="30:34" x14ac:dyDescent="0.2">
      <c r="AD3227" s="8"/>
      <c r="AE3227" s="126"/>
      <c r="AF3227" s="125"/>
      <c r="AG3227" s="125"/>
      <c r="AH3227" s="128"/>
    </row>
    <row r="3228" spans="30:34" x14ac:dyDescent="0.2">
      <c r="AD3228" s="8"/>
      <c r="AE3228" s="126"/>
      <c r="AF3228" s="125"/>
      <c r="AG3228" s="125"/>
      <c r="AH3228" s="128"/>
    </row>
    <row r="3229" spans="30:34" x14ac:dyDescent="0.2">
      <c r="AD3229" s="8"/>
      <c r="AE3229" s="126"/>
      <c r="AF3229" s="125"/>
      <c r="AG3229" s="125"/>
      <c r="AH3229" s="128"/>
    </row>
    <row r="3230" spans="30:34" x14ac:dyDescent="0.2">
      <c r="AD3230" s="8"/>
      <c r="AE3230" s="126"/>
      <c r="AF3230" s="125"/>
      <c r="AG3230" s="125"/>
      <c r="AH3230" s="128"/>
    </row>
    <row r="3231" spans="30:34" x14ac:dyDescent="0.2">
      <c r="AD3231" s="8"/>
      <c r="AE3231" s="126"/>
      <c r="AF3231" s="125"/>
      <c r="AG3231" s="125"/>
      <c r="AH3231" s="128"/>
    </row>
    <row r="3232" spans="30:34" x14ac:dyDescent="0.2">
      <c r="AD3232" s="8"/>
      <c r="AE3232" s="126"/>
      <c r="AF3232" s="125"/>
      <c r="AG3232" s="125"/>
      <c r="AH3232" s="128"/>
    </row>
    <row r="3233" spans="30:34" x14ac:dyDescent="0.2">
      <c r="AD3233" s="8"/>
      <c r="AE3233" s="126"/>
      <c r="AF3233" s="125"/>
      <c r="AG3233" s="125"/>
      <c r="AH3233" s="128"/>
    </row>
    <row r="3234" spans="30:34" x14ac:dyDescent="0.2">
      <c r="AD3234" s="8"/>
      <c r="AE3234" s="126"/>
      <c r="AF3234" s="125"/>
      <c r="AG3234" s="125"/>
      <c r="AH3234" s="128"/>
    </row>
    <row r="3235" spans="30:34" x14ac:dyDescent="0.2">
      <c r="AD3235" s="8"/>
      <c r="AE3235" s="126"/>
      <c r="AF3235" s="125"/>
      <c r="AG3235" s="125"/>
      <c r="AH3235" s="128"/>
    </row>
    <row r="3236" spans="30:34" x14ac:dyDescent="0.2">
      <c r="AD3236" s="8"/>
      <c r="AE3236" s="126"/>
      <c r="AF3236" s="125"/>
      <c r="AG3236" s="125"/>
      <c r="AH3236" s="128"/>
    </row>
    <row r="3237" spans="30:34" x14ac:dyDescent="0.2">
      <c r="AD3237" s="8"/>
      <c r="AE3237" s="126"/>
      <c r="AF3237" s="125"/>
      <c r="AG3237" s="125"/>
      <c r="AH3237" s="128"/>
    </row>
    <row r="3238" spans="30:34" x14ac:dyDescent="0.2">
      <c r="AD3238" s="8"/>
      <c r="AE3238" s="126"/>
      <c r="AF3238" s="125"/>
      <c r="AG3238" s="125"/>
      <c r="AH3238" s="128"/>
    </row>
    <row r="3239" spans="30:34" x14ac:dyDescent="0.2">
      <c r="AD3239" s="8"/>
      <c r="AE3239" s="126"/>
      <c r="AF3239" s="125"/>
      <c r="AG3239" s="125"/>
      <c r="AH3239" s="128"/>
    </row>
    <row r="3240" spans="30:34" x14ac:dyDescent="0.2">
      <c r="AD3240" s="8"/>
      <c r="AE3240" s="126"/>
      <c r="AF3240" s="125"/>
      <c r="AG3240" s="125"/>
      <c r="AH3240" s="128"/>
    </row>
    <row r="3241" spans="30:34" x14ac:dyDescent="0.2">
      <c r="AD3241" s="8"/>
      <c r="AE3241" s="126"/>
      <c r="AF3241" s="125"/>
      <c r="AG3241" s="125"/>
      <c r="AH3241" s="128"/>
    </row>
    <row r="3242" spans="30:34" x14ac:dyDescent="0.2">
      <c r="AD3242" s="8"/>
      <c r="AE3242" s="126"/>
      <c r="AF3242" s="125"/>
      <c r="AG3242" s="125"/>
      <c r="AH3242" s="128"/>
    </row>
    <row r="3243" spans="30:34" x14ac:dyDescent="0.2">
      <c r="AD3243" s="8"/>
      <c r="AE3243" s="126"/>
      <c r="AF3243" s="125"/>
      <c r="AG3243" s="125"/>
      <c r="AH3243" s="128"/>
    </row>
    <row r="3244" spans="30:34" x14ac:dyDescent="0.2">
      <c r="AD3244" s="8"/>
      <c r="AE3244" s="126"/>
      <c r="AF3244" s="125"/>
      <c r="AG3244" s="125"/>
      <c r="AH3244" s="128"/>
    </row>
    <row r="3245" spans="30:34" x14ac:dyDescent="0.2">
      <c r="AD3245" s="8"/>
      <c r="AE3245" s="126"/>
      <c r="AF3245" s="125"/>
      <c r="AG3245" s="125"/>
      <c r="AH3245" s="128"/>
    </row>
    <row r="3246" spans="30:34" x14ac:dyDescent="0.2">
      <c r="AD3246" s="8"/>
      <c r="AE3246" s="126"/>
      <c r="AF3246" s="125"/>
      <c r="AG3246" s="125"/>
      <c r="AH3246" s="128"/>
    </row>
    <row r="3247" spans="30:34" x14ac:dyDescent="0.2">
      <c r="AD3247" s="8"/>
      <c r="AE3247" s="126"/>
      <c r="AF3247" s="125"/>
      <c r="AG3247" s="125"/>
      <c r="AH3247" s="128"/>
    </row>
    <row r="3248" spans="30:34" x14ac:dyDescent="0.2">
      <c r="AD3248" s="8"/>
      <c r="AE3248" s="126"/>
      <c r="AF3248" s="125"/>
      <c r="AG3248" s="125"/>
      <c r="AH3248" s="128"/>
    </row>
    <row r="3249" spans="30:34" x14ac:dyDescent="0.2">
      <c r="AD3249" s="8"/>
      <c r="AE3249" s="126"/>
      <c r="AF3249" s="125"/>
      <c r="AG3249" s="125"/>
      <c r="AH3249" s="128"/>
    </row>
    <row r="3250" spans="30:34" x14ac:dyDescent="0.2">
      <c r="AD3250" s="8"/>
      <c r="AE3250" s="126"/>
      <c r="AF3250" s="125"/>
      <c r="AG3250" s="125"/>
      <c r="AH3250" s="128"/>
    </row>
    <row r="3251" spans="30:34" x14ac:dyDescent="0.2">
      <c r="AD3251" s="8"/>
      <c r="AE3251" s="126"/>
      <c r="AF3251" s="125"/>
      <c r="AG3251" s="125"/>
      <c r="AH3251" s="128"/>
    </row>
    <row r="3252" spans="30:34" x14ac:dyDescent="0.2">
      <c r="AD3252" s="8"/>
      <c r="AE3252" s="126"/>
      <c r="AF3252" s="125"/>
      <c r="AG3252" s="125"/>
      <c r="AH3252" s="128"/>
    </row>
    <row r="3253" spans="30:34" x14ac:dyDescent="0.2">
      <c r="AD3253" s="8"/>
      <c r="AE3253" s="126"/>
      <c r="AF3253" s="125"/>
      <c r="AG3253" s="125"/>
      <c r="AH3253" s="128"/>
    </row>
    <row r="3254" spans="30:34" x14ac:dyDescent="0.2">
      <c r="AD3254" s="8"/>
      <c r="AE3254" s="126"/>
      <c r="AF3254" s="125"/>
      <c r="AG3254" s="125"/>
      <c r="AH3254" s="128"/>
    </row>
    <row r="3255" spans="30:34" x14ac:dyDescent="0.2">
      <c r="AD3255" s="8"/>
      <c r="AE3255" s="126"/>
      <c r="AF3255" s="125"/>
      <c r="AG3255" s="125"/>
      <c r="AH3255" s="128"/>
    </row>
    <row r="3256" spans="30:34" x14ac:dyDescent="0.2">
      <c r="AD3256" s="8"/>
      <c r="AE3256" s="126"/>
      <c r="AF3256" s="125"/>
      <c r="AG3256" s="125"/>
      <c r="AH3256" s="128"/>
    </row>
    <row r="3257" spans="30:34" x14ac:dyDescent="0.2">
      <c r="AD3257" s="8"/>
      <c r="AE3257" s="126"/>
      <c r="AF3257" s="125"/>
      <c r="AG3257" s="125"/>
      <c r="AH3257" s="128"/>
    </row>
    <row r="3258" spans="30:34" x14ac:dyDescent="0.2">
      <c r="AD3258" s="8"/>
      <c r="AE3258" s="126"/>
      <c r="AF3258" s="125"/>
      <c r="AG3258" s="125"/>
      <c r="AH3258" s="128"/>
    </row>
    <row r="3259" spans="30:34" x14ac:dyDescent="0.2">
      <c r="AD3259" s="8"/>
      <c r="AE3259" s="126"/>
      <c r="AF3259" s="125"/>
      <c r="AG3259" s="125"/>
      <c r="AH3259" s="128"/>
    </row>
    <row r="3260" spans="30:34" x14ac:dyDescent="0.2">
      <c r="AD3260" s="8"/>
      <c r="AE3260" s="126"/>
      <c r="AF3260" s="125"/>
      <c r="AG3260" s="125"/>
      <c r="AH3260" s="128"/>
    </row>
    <row r="3261" spans="30:34" x14ac:dyDescent="0.2">
      <c r="AD3261" s="8"/>
      <c r="AE3261" s="126"/>
      <c r="AF3261" s="125"/>
      <c r="AG3261" s="125"/>
      <c r="AH3261" s="128"/>
    </row>
    <row r="3262" spans="30:34" x14ac:dyDescent="0.2">
      <c r="AD3262" s="8"/>
      <c r="AE3262" s="126"/>
      <c r="AF3262" s="125"/>
      <c r="AG3262" s="125"/>
      <c r="AH3262" s="128"/>
    </row>
    <row r="3263" spans="30:34" x14ac:dyDescent="0.2">
      <c r="AD3263" s="8"/>
      <c r="AE3263" s="126"/>
      <c r="AF3263" s="125"/>
      <c r="AG3263" s="125"/>
      <c r="AH3263" s="128"/>
    </row>
    <row r="3264" spans="30:34" x14ac:dyDescent="0.2">
      <c r="AD3264" s="8"/>
      <c r="AE3264" s="126"/>
      <c r="AF3264" s="125"/>
      <c r="AG3264" s="125"/>
      <c r="AH3264" s="128"/>
    </row>
    <row r="3265" spans="30:34" x14ac:dyDescent="0.2">
      <c r="AD3265" s="8"/>
      <c r="AE3265" s="126"/>
      <c r="AF3265" s="125"/>
      <c r="AG3265" s="125"/>
      <c r="AH3265" s="128"/>
    </row>
    <row r="3266" spans="30:34" x14ac:dyDescent="0.2">
      <c r="AD3266" s="8"/>
      <c r="AE3266" s="126"/>
      <c r="AF3266" s="125"/>
      <c r="AG3266" s="125"/>
      <c r="AH3266" s="128"/>
    </row>
    <row r="3267" spans="30:34" x14ac:dyDescent="0.2">
      <c r="AD3267" s="8"/>
      <c r="AE3267" s="126"/>
      <c r="AF3267" s="125"/>
      <c r="AG3267" s="125"/>
      <c r="AH3267" s="128"/>
    </row>
    <row r="3268" spans="30:34" x14ac:dyDescent="0.2">
      <c r="AD3268" s="8"/>
      <c r="AE3268" s="126"/>
      <c r="AF3268" s="125"/>
      <c r="AG3268" s="125"/>
      <c r="AH3268" s="128"/>
    </row>
    <row r="3269" spans="30:34" x14ac:dyDescent="0.2">
      <c r="AD3269" s="8"/>
      <c r="AE3269" s="126"/>
      <c r="AF3269" s="125"/>
      <c r="AG3269" s="125"/>
      <c r="AH3269" s="128"/>
    </row>
    <row r="3270" spans="30:34" x14ac:dyDescent="0.2">
      <c r="AD3270" s="8"/>
      <c r="AE3270" s="126"/>
      <c r="AF3270" s="125"/>
      <c r="AG3270" s="125"/>
      <c r="AH3270" s="128"/>
    </row>
    <row r="3271" spans="30:34" x14ac:dyDescent="0.2">
      <c r="AD3271" s="8"/>
      <c r="AE3271" s="126"/>
      <c r="AF3271" s="125"/>
      <c r="AG3271" s="125"/>
      <c r="AH3271" s="128"/>
    </row>
    <row r="3272" spans="30:34" x14ac:dyDescent="0.2">
      <c r="AD3272" s="8"/>
      <c r="AE3272" s="126"/>
      <c r="AF3272" s="125"/>
      <c r="AG3272" s="125"/>
      <c r="AH3272" s="128"/>
    </row>
    <row r="3273" spans="30:34" x14ac:dyDescent="0.2">
      <c r="AD3273" s="8"/>
      <c r="AE3273" s="126"/>
      <c r="AF3273" s="125"/>
      <c r="AG3273" s="125"/>
      <c r="AH3273" s="128"/>
    </row>
    <row r="3274" spans="30:34" x14ac:dyDescent="0.2">
      <c r="AD3274" s="8"/>
      <c r="AE3274" s="126"/>
      <c r="AF3274" s="125"/>
      <c r="AG3274" s="125"/>
      <c r="AH3274" s="128"/>
    </row>
    <row r="3275" spans="30:34" x14ac:dyDescent="0.2">
      <c r="AD3275" s="8"/>
      <c r="AE3275" s="126"/>
      <c r="AF3275" s="125"/>
      <c r="AG3275" s="125"/>
      <c r="AH3275" s="128"/>
    </row>
    <row r="3276" spans="30:34" x14ac:dyDescent="0.2">
      <c r="AD3276" s="8"/>
      <c r="AE3276" s="126"/>
      <c r="AF3276" s="125"/>
      <c r="AG3276" s="125"/>
      <c r="AH3276" s="128"/>
    </row>
    <row r="3277" spans="30:34" x14ac:dyDescent="0.2">
      <c r="AD3277" s="8"/>
      <c r="AE3277" s="126"/>
      <c r="AF3277" s="125"/>
      <c r="AG3277" s="125"/>
      <c r="AH3277" s="128"/>
    </row>
    <row r="3278" spans="30:34" x14ac:dyDescent="0.2">
      <c r="AD3278" s="8"/>
      <c r="AE3278" s="126"/>
      <c r="AF3278" s="125"/>
      <c r="AG3278" s="125"/>
      <c r="AH3278" s="128"/>
    </row>
    <row r="3279" spans="30:34" x14ac:dyDescent="0.2">
      <c r="AD3279" s="8"/>
      <c r="AE3279" s="126"/>
      <c r="AF3279" s="125"/>
      <c r="AG3279" s="125"/>
      <c r="AH3279" s="128"/>
    </row>
    <row r="3280" spans="30:34" x14ac:dyDescent="0.2">
      <c r="AD3280" s="8"/>
      <c r="AE3280" s="126"/>
      <c r="AF3280" s="125"/>
      <c r="AG3280" s="125"/>
      <c r="AH3280" s="128"/>
    </row>
    <row r="3281" spans="30:34" x14ac:dyDescent="0.2">
      <c r="AD3281" s="8"/>
      <c r="AE3281" s="126"/>
      <c r="AF3281" s="125"/>
      <c r="AG3281" s="125"/>
      <c r="AH3281" s="128"/>
    </row>
    <row r="3282" spans="30:34" x14ac:dyDescent="0.2">
      <c r="AD3282" s="8"/>
      <c r="AE3282" s="126"/>
      <c r="AF3282" s="125"/>
      <c r="AG3282" s="125"/>
      <c r="AH3282" s="128"/>
    </row>
    <row r="3283" spans="30:34" x14ac:dyDescent="0.2">
      <c r="AD3283" s="8"/>
      <c r="AE3283" s="126"/>
      <c r="AF3283" s="125"/>
      <c r="AG3283" s="125"/>
      <c r="AH3283" s="128"/>
    </row>
    <row r="3284" spans="30:34" x14ac:dyDescent="0.2">
      <c r="AD3284" s="8"/>
      <c r="AE3284" s="126"/>
      <c r="AF3284" s="125"/>
      <c r="AG3284" s="125"/>
      <c r="AH3284" s="128"/>
    </row>
    <row r="3285" spans="30:34" x14ac:dyDescent="0.2">
      <c r="AD3285" s="8"/>
      <c r="AE3285" s="126"/>
      <c r="AF3285" s="125"/>
      <c r="AG3285" s="125"/>
      <c r="AH3285" s="128"/>
    </row>
    <row r="3286" spans="30:34" x14ac:dyDescent="0.2">
      <c r="AD3286" s="8"/>
      <c r="AE3286" s="126"/>
      <c r="AF3286" s="125"/>
      <c r="AG3286" s="125"/>
      <c r="AH3286" s="128"/>
    </row>
    <row r="3287" spans="30:34" x14ac:dyDescent="0.2">
      <c r="AD3287" s="8"/>
      <c r="AE3287" s="126"/>
      <c r="AF3287" s="125"/>
      <c r="AG3287" s="125"/>
      <c r="AH3287" s="128"/>
    </row>
    <row r="3288" spans="30:34" x14ac:dyDescent="0.2">
      <c r="AD3288" s="8"/>
      <c r="AE3288" s="126"/>
      <c r="AF3288" s="125"/>
      <c r="AG3288" s="125"/>
      <c r="AH3288" s="128"/>
    </row>
    <row r="3289" spans="30:34" x14ac:dyDescent="0.2">
      <c r="AD3289" s="8"/>
      <c r="AE3289" s="126"/>
      <c r="AF3289" s="125"/>
      <c r="AG3289" s="125"/>
      <c r="AH3289" s="128"/>
    </row>
    <row r="3290" spans="30:34" x14ac:dyDescent="0.2">
      <c r="AD3290" s="8"/>
      <c r="AE3290" s="126"/>
      <c r="AF3290" s="125"/>
      <c r="AG3290" s="125"/>
      <c r="AH3290" s="128"/>
    </row>
    <row r="3291" spans="30:34" x14ac:dyDescent="0.2">
      <c r="AD3291" s="8"/>
      <c r="AE3291" s="126"/>
      <c r="AF3291" s="125"/>
      <c r="AG3291" s="125"/>
      <c r="AH3291" s="128"/>
    </row>
    <row r="3292" spans="30:34" x14ac:dyDescent="0.2">
      <c r="AD3292" s="8"/>
      <c r="AE3292" s="126"/>
      <c r="AF3292" s="125"/>
      <c r="AG3292" s="125"/>
      <c r="AH3292" s="128"/>
    </row>
    <row r="3293" spans="30:34" x14ac:dyDescent="0.2">
      <c r="AD3293" s="8"/>
      <c r="AE3293" s="126"/>
      <c r="AF3293" s="125"/>
      <c r="AG3293" s="125"/>
      <c r="AH3293" s="128"/>
    </row>
    <row r="3294" spans="30:34" x14ac:dyDescent="0.2">
      <c r="AD3294" s="8"/>
      <c r="AE3294" s="126"/>
      <c r="AF3294" s="125"/>
      <c r="AG3294" s="125"/>
      <c r="AH3294" s="128"/>
    </row>
    <row r="3295" spans="30:34" x14ac:dyDescent="0.2">
      <c r="AD3295" s="8"/>
      <c r="AE3295" s="126"/>
      <c r="AF3295" s="125"/>
      <c r="AG3295" s="125"/>
      <c r="AH3295" s="128"/>
    </row>
    <row r="3296" spans="30:34" x14ac:dyDescent="0.2">
      <c r="AD3296" s="8"/>
      <c r="AE3296" s="126"/>
      <c r="AF3296" s="125"/>
      <c r="AG3296" s="125"/>
      <c r="AH3296" s="128"/>
    </row>
    <row r="3297" spans="30:34" x14ac:dyDescent="0.2">
      <c r="AD3297" s="8"/>
      <c r="AE3297" s="126"/>
      <c r="AF3297" s="125"/>
      <c r="AG3297" s="125"/>
      <c r="AH3297" s="128"/>
    </row>
    <row r="3298" spans="30:34" x14ac:dyDescent="0.2">
      <c r="AD3298" s="8"/>
      <c r="AE3298" s="126"/>
      <c r="AF3298" s="125"/>
      <c r="AG3298" s="125"/>
      <c r="AH3298" s="128"/>
    </row>
    <row r="3299" spans="30:34" x14ac:dyDescent="0.2">
      <c r="AD3299" s="8"/>
      <c r="AE3299" s="126"/>
      <c r="AF3299" s="125"/>
      <c r="AG3299" s="125"/>
      <c r="AH3299" s="128"/>
    </row>
    <row r="3300" spans="30:34" x14ac:dyDescent="0.2">
      <c r="AD3300" s="8"/>
      <c r="AE3300" s="126"/>
      <c r="AF3300" s="125"/>
      <c r="AG3300" s="125"/>
      <c r="AH3300" s="128"/>
    </row>
    <row r="3301" spans="30:34" x14ac:dyDescent="0.2">
      <c r="AD3301" s="8"/>
      <c r="AE3301" s="126"/>
      <c r="AF3301" s="125"/>
      <c r="AG3301" s="125"/>
      <c r="AH3301" s="128"/>
    </row>
    <row r="3302" spans="30:34" x14ac:dyDescent="0.2">
      <c r="AD3302" s="8"/>
      <c r="AE3302" s="126"/>
      <c r="AF3302" s="125"/>
      <c r="AG3302" s="125"/>
      <c r="AH3302" s="128"/>
    </row>
    <row r="3303" spans="30:34" x14ac:dyDescent="0.2">
      <c r="AD3303" s="8"/>
      <c r="AE3303" s="126"/>
      <c r="AF3303" s="125"/>
      <c r="AG3303" s="125"/>
      <c r="AH3303" s="128"/>
    </row>
    <row r="3304" spans="30:34" x14ac:dyDescent="0.2">
      <c r="AD3304" s="8"/>
      <c r="AE3304" s="126"/>
      <c r="AF3304" s="125"/>
      <c r="AG3304" s="125"/>
      <c r="AH3304" s="128"/>
    </row>
    <row r="3305" spans="30:34" x14ac:dyDescent="0.2">
      <c r="AD3305" s="8"/>
      <c r="AE3305" s="126"/>
      <c r="AF3305" s="125"/>
      <c r="AG3305" s="125"/>
      <c r="AH3305" s="128"/>
    </row>
    <row r="3306" spans="30:34" x14ac:dyDescent="0.2">
      <c r="AD3306" s="8"/>
      <c r="AE3306" s="126"/>
      <c r="AF3306" s="125"/>
      <c r="AG3306" s="125"/>
      <c r="AH3306" s="128"/>
    </row>
    <row r="3307" spans="30:34" x14ac:dyDescent="0.2">
      <c r="AD3307" s="8"/>
      <c r="AE3307" s="126"/>
      <c r="AF3307" s="125"/>
      <c r="AG3307" s="125"/>
      <c r="AH3307" s="128"/>
    </row>
    <row r="3308" spans="30:34" x14ac:dyDescent="0.2">
      <c r="AD3308" s="8"/>
      <c r="AE3308" s="126"/>
      <c r="AF3308" s="125"/>
      <c r="AG3308" s="125"/>
      <c r="AH3308" s="128"/>
    </row>
    <row r="3309" spans="30:34" x14ac:dyDescent="0.2">
      <c r="AD3309" s="8"/>
      <c r="AE3309" s="126"/>
      <c r="AF3309" s="125"/>
      <c r="AG3309" s="125"/>
      <c r="AH3309" s="128"/>
    </row>
    <row r="3310" spans="30:34" x14ac:dyDescent="0.2">
      <c r="AD3310" s="8"/>
      <c r="AE3310" s="126"/>
      <c r="AF3310" s="125"/>
      <c r="AG3310" s="125"/>
      <c r="AH3310" s="128"/>
    </row>
    <row r="3311" spans="30:34" x14ac:dyDescent="0.2">
      <c r="AD3311" s="8"/>
      <c r="AE3311" s="126"/>
      <c r="AF3311" s="125"/>
      <c r="AG3311" s="125"/>
      <c r="AH3311" s="128"/>
    </row>
    <row r="3312" spans="30:34" x14ac:dyDescent="0.2">
      <c r="AD3312" s="8"/>
      <c r="AE3312" s="126"/>
      <c r="AF3312" s="125"/>
      <c r="AG3312" s="125"/>
      <c r="AH3312" s="128"/>
    </row>
    <row r="3313" spans="30:34" x14ac:dyDescent="0.2">
      <c r="AD3313" s="8"/>
      <c r="AE3313" s="126"/>
      <c r="AF3313" s="125"/>
      <c r="AG3313" s="125"/>
      <c r="AH3313" s="128"/>
    </row>
    <row r="3314" spans="30:34" x14ac:dyDescent="0.2">
      <c r="AD3314" s="8"/>
      <c r="AE3314" s="126"/>
      <c r="AF3314" s="125"/>
      <c r="AG3314" s="125"/>
      <c r="AH3314" s="128"/>
    </row>
    <row r="3315" spans="30:34" x14ac:dyDescent="0.2">
      <c r="AD3315" s="8"/>
      <c r="AE3315" s="126"/>
      <c r="AF3315" s="125"/>
      <c r="AG3315" s="125"/>
      <c r="AH3315" s="128"/>
    </row>
    <row r="3316" spans="30:34" x14ac:dyDescent="0.2">
      <c r="AD3316" s="8"/>
      <c r="AE3316" s="126"/>
      <c r="AF3316" s="125"/>
      <c r="AG3316" s="125"/>
      <c r="AH3316" s="128"/>
    </row>
    <row r="3317" spans="30:34" x14ac:dyDescent="0.2">
      <c r="AD3317" s="8"/>
      <c r="AE3317" s="126"/>
      <c r="AF3317" s="125"/>
      <c r="AG3317" s="125"/>
      <c r="AH3317" s="128"/>
    </row>
    <row r="3318" spans="30:34" x14ac:dyDescent="0.2">
      <c r="AD3318" s="8"/>
      <c r="AE3318" s="126"/>
      <c r="AF3318" s="125"/>
      <c r="AG3318" s="125"/>
      <c r="AH3318" s="128"/>
    </row>
    <row r="3319" spans="30:34" x14ac:dyDescent="0.2">
      <c r="AD3319" s="8"/>
      <c r="AE3319" s="126"/>
      <c r="AF3319" s="125"/>
      <c r="AG3319" s="125"/>
      <c r="AH3319" s="128"/>
    </row>
    <row r="3320" spans="30:34" x14ac:dyDescent="0.2">
      <c r="AD3320" s="8"/>
      <c r="AE3320" s="126"/>
      <c r="AF3320" s="125"/>
      <c r="AG3320" s="125"/>
      <c r="AH3320" s="128"/>
    </row>
    <row r="3321" spans="30:34" x14ac:dyDescent="0.2">
      <c r="AD3321" s="8"/>
      <c r="AE3321" s="126"/>
      <c r="AF3321" s="125"/>
      <c r="AG3321" s="125"/>
      <c r="AH3321" s="128"/>
    </row>
    <row r="3322" spans="30:34" x14ac:dyDescent="0.2">
      <c r="AD3322" s="8"/>
      <c r="AE3322" s="126"/>
      <c r="AF3322" s="125"/>
      <c r="AG3322" s="125"/>
      <c r="AH3322" s="128"/>
    </row>
    <row r="3323" spans="30:34" x14ac:dyDescent="0.2">
      <c r="AD3323" s="8"/>
      <c r="AE3323" s="126"/>
      <c r="AF3323" s="125"/>
      <c r="AG3323" s="125"/>
      <c r="AH3323" s="128"/>
    </row>
    <row r="3324" spans="30:34" x14ac:dyDescent="0.2">
      <c r="AD3324" s="8"/>
      <c r="AE3324" s="126"/>
      <c r="AF3324" s="125"/>
      <c r="AG3324" s="125"/>
      <c r="AH3324" s="128"/>
    </row>
    <row r="3325" spans="30:34" x14ac:dyDescent="0.2">
      <c r="AD3325" s="8"/>
      <c r="AE3325" s="126"/>
      <c r="AF3325" s="125"/>
      <c r="AG3325" s="125"/>
      <c r="AH3325" s="128"/>
    </row>
    <row r="3326" spans="30:34" x14ac:dyDescent="0.2">
      <c r="AD3326" s="8"/>
      <c r="AE3326" s="126"/>
      <c r="AF3326" s="125"/>
      <c r="AG3326" s="125"/>
      <c r="AH3326" s="128"/>
    </row>
    <row r="3327" spans="30:34" x14ac:dyDescent="0.2">
      <c r="AD3327" s="8"/>
      <c r="AE3327" s="126"/>
      <c r="AF3327" s="125"/>
      <c r="AG3327" s="125"/>
      <c r="AH3327" s="128"/>
    </row>
    <row r="3328" spans="30:34" x14ac:dyDescent="0.2">
      <c r="AD3328" s="8"/>
      <c r="AE3328" s="126"/>
      <c r="AF3328" s="125"/>
      <c r="AG3328" s="125"/>
      <c r="AH3328" s="128"/>
    </row>
    <row r="3329" spans="30:34" x14ac:dyDescent="0.2">
      <c r="AD3329" s="8"/>
      <c r="AE3329" s="126"/>
      <c r="AF3329" s="125"/>
      <c r="AG3329" s="125"/>
      <c r="AH3329" s="128"/>
    </row>
    <row r="3330" spans="30:34" x14ac:dyDescent="0.2">
      <c r="AD3330" s="8"/>
      <c r="AE3330" s="126"/>
      <c r="AF3330" s="125"/>
      <c r="AG3330" s="125"/>
      <c r="AH3330" s="128"/>
    </row>
    <row r="3331" spans="30:34" x14ac:dyDescent="0.2">
      <c r="AD3331" s="8"/>
      <c r="AE3331" s="126"/>
      <c r="AF3331" s="125"/>
      <c r="AG3331" s="125"/>
      <c r="AH3331" s="128"/>
    </row>
    <row r="3332" spans="30:34" x14ac:dyDescent="0.2">
      <c r="AD3332" s="8"/>
      <c r="AE3332" s="126"/>
      <c r="AF3332" s="125"/>
      <c r="AG3332" s="125"/>
      <c r="AH3332" s="128"/>
    </row>
    <row r="3333" spans="30:34" x14ac:dyDescent="0.2">
      <c r="AD3333" s="8"/>
      <c r="AE3333" s="126"/>
      <c r="AF3333" s="125"/>
      <c r="AG3333" s="125"/>
      <c r="AH3333" s="128"/>
    </row>
    <row r="3334" spans="30:34" x14ac:dyDescent="0.2">
      <c r="AD3334" s="8"/>
      <c r="AE3334" s="126"/>
      <c r="AF3334" s="125"/>
      <c r="AG3334" s="125"/>
      <c r="AH3334" s="128"/>
    </row>
    <row r="3335" spans="30:34" x14ac:dyDescent="0.2">
      <c r="AD3335" s="8"/>
      <c r="AE3335" s="126"/>
      <c r="AF3335" s="125"/>
      <c r="AG3335" s="125"/>
      <c r="AH3335" s="128"/>
    </row>
    <row r="3336" spans="30:34" x14ac:dyDescent="0.2">
      <c r="AD3336" s="8"/>
      <c r="AE3336" s="126"/>
      <c r="AF3336" s="125"/>
      <c r="AG3336" s="125"/>
      <c r="AH3336" s="128"/>
    </row>
    <row r="3337" spans="30:34" x14ac:dyDescent="0.2">
      <c r="AD3337" s="8"/>
      <c r="AE3337" s="126"/>
      <c r="AF3337" s="125"/>
      <c r="AG3337" s="125"/>
      <c r="AH3337" s="128"/>
    </row>
    <row r="3338" spans="30:34" x14ac:dyDescent="0.2">
      <c r="AD3338" s="8"/>
      <c r="AE3338" s="126"/>
      <c r="AF3338" s="125"/>
      <c r="AG3338" s="125"/>
      <c r="AH3338" s="128"/>
    </row>
    <row r="3339" spans="30:34" x14ac:dyDescent="0.2">
      <c r="AD3339" s="8"/>
      <c r="AE3339" s="126"/>
      <c r="AF3339" s="125"/>
      <c r="AG3339" s="125"/>
      <c r="AH3339" s="128"/>
    </row>
    <row r="3340" spans="30:34" x14ac:dyDescent="0.2">
      <c r="AD3340" s="8"/>
      <c r="AE3340" s="126"/>
      <c r="AF3340" s="125"/>
      <c r="AG3340" s="125"/>
      <c r="AH3340" s="128"/>
    </row>
    <row r="3341" spans="30:34" x14ac:dyDescent="0.2">
      <c r="AD3341" s="8"/>
      <c r="AE3341" s="126"/>
      <c r="AF3341" s="125"/>
      <c r="AG3341" s="125"/>
      <c r="AH3341" s="128"/>
    </row>
    <row r="3342" spans="30:34" x14ac:dyDescent="0.2">
      <c r="AD3342" s="8"/>
      <c r="AE3342" s="126"/>
      <c r="AF3342" s="125"/>
      <c r="AG3342" s="125"/>
      <c r="AH3342" s="128"/>
    </row>
    <row r="3343" spans="30:34" x14ac:dyDescent="0.2">
      <c r="AD3343" s="8"/>
      <c r="AE3343" s="126"/>
      <c r="AF3343" s="125"/>
      <c r="AG3343" s="125"/>
      <c r="AH3343" s="128"/>
    </row>
    <row r="3344" spans="30:34" x14ac:dyDescent="0.2">
      <c r="AD3344" s="8"/>
      <c r="AE3344" s="126"/>
      <c r="AF3344" s="125"/>
      <c r="AG3344" s="125"/>
      <c r="AH3344" s="128"/>
    </row>
    <row r="3345" spans="30:34" x14ac:dyDescent="0.2">
      <c r="AD3345" s="8"/>
      <c r="AE3345" s="126"/>
      <c r="AF3345" s="125"/>
      <c r="AG3345" s="125"/>
      <c r="AH3345" s="128"/>
    </row>
    <row r="3346" spans="30:34" x14ac:dyDescent="0.2">
      <c r="AD3346" s="8"/>
      <c r="AE3346" s="126"/>
      <c r="AF3346" s="125"/>
      <c r="AG3346" s="125"/>
      <c r="AH3346" s="128"/>
    </row>
    <row r="3347" spans="30:34" x14ac:dyDescent="0.2">
      <c r="AD3347" s="8"/>
      <c r="AE3347" s="126"/>
      <c r="AF3347" s="125"/>
      <c r="AG3347" s="125"/>
      <c r="AH3347" s="128"/>
    </row>
    <row r="3348" spans="30:34" x14ac:dyDescent="0.2">
      <c r="AD3348" s="8"/>
      <c r="AE3348" s="126"/>
      <c r="AF3348" s="125"/>
      <c r="AG3348" s="125"/>
      <c r="AH3348" s="128"/>
    </row>
    <row r="3349" spans="30:34" x14ac:dyDescent="0.2">
      <c r="AD3349" s="8"/>
      <c r="AE3349" s="126"/>
      <c r="AF3349" s="125"/>
      <c r="AG3349" s="125"/>
      <c r="AH3349" s="128"/>
    </row>
    <row r="3350" spans="30:34" x14ac:dyDescent="0.2">
      <c r="AD3350" s="8"/>
      <c r="AE3350" s="126"/>
      <c r="AF3350" s="125"/>
      <c r="AG3350" s="125"/>
      <c r="AH3350" s="128"/>
    </row>
    <row r="3351" spans="30:34" x14ac:dyDescent="0.2">
      <c r="AD3351" s="8"/>
      <c r="AE3351" s="126"/>
      <c r="AF3351" s="125"/>
      <c r="AG3351" s="125"/>
      <c r="AH3351" s="128"/>
    </row>
    <row r="3352" spans="30:34" x14ac:dyDescent="0.2">
      <c r="AD3352" s="8"/>
      <c r="AE3352" s="126"/>
      <c r="AF3352" s="125"/>
      <c r="AG3352" s="125"/>
      <c r="AH3352" s="128"/>
    </row>
    <row r="3353" spans="30:34" x14ac:dyDescent="0.2">
      <c r="AD3353" s="8"/>
      <c r="AE3353" s="126"/>
      <c r="AF3353" s="125"/>
      <c r="AG3353" s="125"/>
      <c r="AH3353" s="128"/>
    </row>
    <row r="3354" spans="30:34" x14ac:dyDescent="0.2">
      <c r="AD3354" s="8"/>
      <c r="AE3354" s="126"/>
      <c r="AF3354" s="125"/>
      <c r="AG3354" s="125"/>
      <c r="AH3354" s="128"/>
    </row>
    <row r="3355" spans="30:34" x14ac:dyDescent="0.2">
      <c r="AD3355" s="8"/>
      <c r="AE3355" s="126"/>
      <c r="AF3355" s="125"/>
      <c r="AG3355" s="125"/>
      <c r="AH3355" s="128"/>
    </row>
    <row r="3356" spans="30:34" x14ac:dyDescent="0.2">
      <c r="AD3356" s="8"/>
      <c r="AE3356" s="126"/>
      <c r="AF3356" s="125"/>
      <c r="AG3356" s="125"/>
      <c r="AH3356" s="128"/>
    </row>
    <row r="3357" spans="30:34" x14ac:dyDescent="0.2">
      <c r="AD3357" s="8"/>
      <c r="AE3357" s="126"/>
      <c r="AF3357" s="125"/>
      <c r="AG3357" s="125"/>
      <c r="AH3357" s="128"/>
    </row>
    <row r="3358" spans="30:34" x14ac:dyDescent="0.2">
      <c r="AD3358" s="8"/>
      <c r="AE3358" s="126"/>
      <c r="AF3358" s="125"/>
      <c r="AG3358" s="125"/>
      <c r="AH3358" s="128"/>
    </row>
    <row r="3359" spans="30:34" x14ac:dyDescent="0.2">
      <c r="AD3359" s="8"/>
      <c r="AE3359" s="126"/>
      <c r="AF3359" s="125"/>
      <c r="AG3359" s="125"/>
      <c r="AH3359" s="128"/>
    </row>
    <row r="3360" spans="30:34" x14ac:dyDescent="0.2">
      <c r="AD3360" s="8"/>
      <c r="AE3360" s="126"/>
      <c r="AF3360" s="125"/>
      <c r="AG3360" s="125"/>
      <c r="AH3360" s="128"/>
    </row>
    <row r="3361" spans="30:34" x14ac:dyDescent="0.2">
      <c r="AD3361" s="8"/>
      <c r="AE3361" s="126"/>
      <c r="AF3361" s="125"/>
      <c r="AG3361" s="125"/>
      <c r="AH3361" s="128"/>
    </row>
    <row r="3362" spans="30:34" x14ac:dyDescent="0.2">
      <c r="AD3362" s="8"/>
      <c r="AE3362" s="126"/>
      <c r="AF3362" s="125"/>
      <c r="AG3362" s="125"/>
      <c r="AH3362" s="128"/>
    </row>
    <row r="3363" spans="30:34" x14ac:dyDescent="0.2">
      <c r="AD3363" s="8"/>
      <c r="AE3363" s="126"/>
      <c r="AF3363" s="125"/>
      <c r="AG3363" s="125"/>
      <c r="AH3363" s="128"/>
    </row>
    <row r="3364" spans="30:34" x14ac:dyDescent="0.2">
      <c r="AD3364" s="8"/>
      <c r="AE3364" s="126"/>
      <c r="AF3364" s="125"/>
      <c r="AG3364" s="125"/>
      <c r="AH3364" s="128"/>
    </row>
    <row r="3365" spans="30:34" x14ac:dyDescent="0.2">
      <c r="AD3365" s="8"/>
      <c r="AE3365" s="126"/>
      <c r="AF3365" s="125"/>
      <c r="AG3365" s="125"/>
      <c r="AH3365" s="128"/>
    </row>
    <row r="3366" spans="30:34" x14ac:dyDescent="0.2">
      <c r="AD3366" s="8"/>
      <c r="AE3366" s="126"/>
      <c r="AF3366" s="125"/>
      <c r="AG3366" s="125"/>
      <c r="AH3366" s="128"/>
    </row>
    <row r="3367" spans="30:34" x14ac:dyDescent="0.2">
      <c r="AD3367" s="8"/>
      <c r="AE3367" s="126"/>
      <c r="AF3367" s="125"/>
      <c r="AG3367" s="125"/>
      <c r="AH3367" s="128"/>
    </row>
    <row r="3368" spans="30:34" x14ac:dyDescent="0.2">
      <c r="AD3368" s="8"/>
      <c r="AE3368" s="126"/>
      <c r="AF3368" s="125"/>
      <c r="AG3368" s="125"/>
      <c r="AH3368" s="128"/>
    </row>
    <row r="3369" spans="30:34" x14ac:dyDescent="0.2">
      <c r="AD3369" s="8"/>
      <c r="AE3369" s="126"/>
      <c r="AF3369" s="125"/>
      <c r="AG3369" s="125"/>
      <c r="AH3369" s="128"/>
    </row>
    <row r="3370" spans="30:34" x14ac:dyDescent="0.2">
      <c r="AD3370" s="8"/>
      <c r="AE3370" s="126"/>
      <c r="AF3370" s="125"/>
      <c r="AG3370" s="125"/>
      <c r="AH3370" s="128"/>
    </row>
    <row r="3371" spans="30:34" x14ac:dyDescent="0.2">
      <c r="AD3371" s="8"/>
      <c r="AE3371" s="126"/>
      <c r="AF3371" s="125"/>
      <c r="AG3371" s="125"/>
      <c r="AH3371" s="128"/>
    </row>
    <row r="3372" spans="30:34" x14ac:dyDescent="0.2">
      <c r="AD3372" s="8"/>
      <c r="AE3372" s="126"/>
      <c r="AF3372" s="125"/>
      <c r="AG3372" s="125"/>
      <c r="AH3372" s="128"/>
    </row>
    <row r="3373" spans="30:34" x14ac:dyDescent="0.2">
      <c r="AD3373" s="8"/>
      <c r="AE3373" s="126"/>
      <c r="AF3373" s="125"/>
      <c r="AG3373" s="125"/>
      <c r="AH3373" s="128"/>
    </row>
    <row r="3374" spans="30:34" x14ac:dyDescent="0.2">
      <c r="AD3374" s="8"/>
      <c r="AE3374" s="126"/>
      <c r="AF3374" s="125"/>
      <c r="AG3374" s="125"/>
      <c r="AH3374" s="128"/>
    </row>
    <row r="3375" spans="30:34" x14ac:dyDescent="0.2">
      <c r="AD3375" s="8"/>
      <c r="AE3375" s="126"/>
      <c r="AF3375" s="125"/>
      <c r="AG3375" s="125"/>
      <c r="AH3375" s="128"/>
    </row>
    <row r="3376" spans="30:34" x14ac:dyDescent="0.2">
      <c r="AD3376" s="8"/>
      <c r="AE3376" s="126"/>
      <c r="AF3376" s="125"/>
      <c r="AG3376" s="125"/>
      <c r="AH3376" s="128"/>
    </row>
    <row r="3377" spans="30:34" x14ac:dyDescent="0.2">
      <c r="AD3377" s="8"/>
      <c r="AE3377" s="126"/>
      <c r="AF3377" s="125"/>
      <c r="AG3377" s="125"/>
      <c r="AH3377" s="128"/>
    </row>
    <row r="3378" spans="30:34" x14ac:dyDescent="0.2">
      <c r="AD3378" s="8"/>
      <c r="AE3378" s="126"/>
      <c r="AF3378" s="125"/>
      <c r="AG3378" s="125"/>
      <c r="AH3378" s="128"/>
    </row>
    <row r="3379" spans="30:34" x14ac:dyDescent="0.2">
      <c r="AD3379" s="8"/>
      <c r="AE3379" s="126"/>
      <c r="AF3379" s="125"/>
      <c r="AG3379" s="125"/>
      <c r="AH3379" s="128"/>
    </row>
    <row r="3380" spans="30:34" x14ac:dyDescent="0.2">
      <c r="AD3380" s="8"/>
      <c r="AE3380" s="126"/>
      <c r="AF3380" s="125"/>
      <c r="AG3380" s="125"/>
      <c r="AH3380" s="128"/>
    </row>
    <row r="3381" spans="30:34" x14ac:dyDescent="0.2">
      <c r="AD3381" s="8"/>
      <c r="AE3381" s="126"/>
      <c r="AF3381" s="125"/>
      <c r="AG3381" s="125"/>
      <c r="AH3381" s="128"/>
    </row>
    <row r="3382" spans="30:34" x14ac:dyDescent="0.2">
      <c r="AD3382" s="8"/>
      <c r="AE3382" s="126"/>
      <c r="AF3382" s="125"/>
      <c r="AG3382" s="125"/>
      <c r="AH3382" s="128"/>
    </row>
    <row r="3383" spans="30:34" x14ac:dyDescent="0.2">
      <c r="AD3383" s="8"/>
      <c r="AE3383" s="126"/>
      <c r="AF3383" s="125"/>
      <c r="AG3383" s="125"/>
      <c r="AH3383" s="128"/>
    </row>
    <row r="3384" spans="30:34" x14ac:dyDescent="0.2">
      <c r="AD3384" s="8"/>
      <c r="AE3384" s="126"/>
      <c r="AF3384" s="125"/>
      <c r="AG3384" s="125"/>
      <c r="AH3384" s="128"/>
    </row>
    <row r="3385" spans="30:34" x14ac:dyDescent="0.2">
      <c r="AD3385" s="8"/>
      <c r="AE3385" s="126"/>
      <c r="AF3385" s="125"/>
      <c r="AG3385" s="125"/>
      <c r="AH3385" s="128"/>
    </row>
    <row r="3386" spans="30:34" x14ac:dyDescent="0.2">
      <c r="AD3386" s="8"/>
      <c r="AE3386" s="126"/>
      <c r="AF3386" s="125"/>
      <c r="AG3386" s="125"/>
      <c r="AH3386" s="128"/>
    </row>
    <row r="3387" spans="30:34" x14ac:dyDescent="0.2">
      <c r="AD3387" s="8"/>
      <c r="AE3387" s="126"/>
      <c r="AF3387" s="125"/>
      <c r="AG3387" s="125"/>
      <c r="AH3387" s="128"/>
    </row>
    <row r="3388" spans="30:34" x14ac:dyDescent="0.2">
      <c r="AD3388" s="8"/>
      <c r="AE3388" s="126"/>
      <c r="AF3388" s="125"/>
      <c r="AG3388" s="125"/>
      <c r="AH3388" s="128"/>
    </row>
    <row r="3389" spans="30:34" x14ac:dyDescent="0.2">
      <c r="AD3389" s="8"/>
      <c r="AE3389" s="126"/>
      <c r="AF3389" s="125"/>
      <c r="AG3389" s="125"/>
      <c r="AH3389" s="128"/>
    </row>
    <row r="3390" spans="30:34" x14ac:dyDescent="0.2">
      <c r="AD3390" s="8"/>
      <c r="AE3390" s="126"/>
      <c r="AF3390" s="125"/>
      <c r="AG3390" s="125"/>
      <c r="AH3390" s="128"/>
    </row>
    <row r="3391" spans="30:34" x14ac:dyDescent="0.2">
      <c r="AD3391" s="8"/>
      <c r="AE3391" s="126"/>
      <c r="AF3391" s="125"/>
      <c r="AG3391" s="125"/>
      <c r="AH3391" s="128"/>
    </row>
    <row r="3392" spans="30:34" x14ac:dyDescent="0.2">
      <c r="AD3392" s="8"/>
      <c r="AE3392" s="126"/>
      <c r="AF3392" s="125"/>
      <c r="AG3392" s="125"/>
      <c r="AH3392" s="128"/>
    </row>
    <row r="3393" spans="30:34" x14ac:dyDescent="0.2">
      <c r="AD3393" s="8"/>
      <c r="AE3393" s="126"/>
      <c r="AF3393" s="125"/>
      <c r="AG3393" s="125"/>
      <c r="AH3393" s="128"/>
    </row>
    <row r="3394" spans="30:34" x14ac:dyDescent="0.2">
      <c r="AD3394" s="8"/>
      <c r="AE3394" s="126"/>
      <c r="AF3394" s="125"/>
      <c r="AG3394" s="125"/>
      <c r="AH3394" s="128"/>
    </row>
    <row r="3395" spans="30:34" x14ac:dyDescent="0.2">
      <c r="AD3395" s="8"/>
      <c r="AE3395" s="126"/>
      <c r="AF3395" s="125"/>
      <c r="AG3395" s="125"/>
      <c r="AH3395" s="128"/>
    </row>
    <row r="3396" spans="30:34" x14ac:dyDescent="0.2">
      <c r="AD3396" s="8"/>
      <c r="AE3396" s="126"/>
      <c r="AF3396" s="125"/>
      <c r="AG3396" s="125"/>
      <c r="AH3396" s="128"/>
    </row>
    <row r="3397" spans="30:34" x14ac:dyDescent="0.2">
      <c r="AD3397" s="8"/>
      <c r="AE3397" s="126"/>
      <c r="AF3397" s="125"/>
      <c r="AG3397" s="125"/>
      <c r="AH3397" s="128"/>
    </row>
    <row r="3398" spans="30:34" x14ac:dyDescent="0.2">
      <c r="AD3398" s="8"/>
      <c r="AE3398" s="126"/>
      <c r="AF3398" s="125"/>
      <c r="AG3398" s="125"/>
      <c r="AH3398" s="128"/>
    </row>
    <row r="3399" spans="30:34" x14ac:dyDescent="0.2">
      <c r="AD3399" s="8"/>
      <c r="AE3399" s="126"/>
      <c r="AF3399" s="125"/>
      <c r="AG3399" s="125"/>
      <c r="AH3399" s="128"/>
    </row>
    <row r="3400" spans="30:34" x14ac:dyDescent="0.2">
      <c r="AD3400" s="8"/>
      <c r="AE3400" s="126"/>
      <c r="AF3400" s="125"/>
      <c r="AG3400" s="125"/>
      <c r="AH3400" s="128"/>
    </row>
    <row r="3401" spans="30:34" x14ac:dyDescent="0.2">
      <c r="AD3401" s="8"/>
      <c r="AE3401" s="126"/>
      <c r="AF3401" s="125"/>
      <c r="AG3401" s="125"/>
      <c r="AH3401" s="128"/>
    </row>
    <row r="3402" spans="30:34" x14ac:dyDescent="0.2">
      <c r="AD3402" s="8"/>
      <c r="AE3402" s="126"/>
      <c r="AF3402" s="125"/>
      <c r="AG3402" s="125"/>
      <c r="AH3402" s="128"/>
    </row>
    <row r="3403" spans="30:34" x14ac:dyDescent="0.2">
      <c r="AD3403" s="8"/>
      <c r="AE3403" s="126"/>
      <c r="AF3403" s="125"/>
      <c r="AG3403" s="125"/>
      <c r="AH3403" s="128"/>
    </row>
    <row r="3404" spans="30:34" x14ac:dyDescent="0.2">
      <c r="AD3404" s="8"/>
      <c r="AE3404" s="126"/>
      <c r="AF3404" s="125"/>
      <c r="AG3404" s="125"/>
      <c r="AH3404" s="128"/>
    </row>
    <row r="3405" spans="30:34" x14ac:dyDescent="0.2">
      <c r="AD3405" s="8"/>
      <c r="AE3405" s="126"/>
      <c r="AF3405" s="125"/>
      <c r="AG3405" s="125"/>
      <c r="AH3405" s="128"/>
    </row>
    <row r="3406" spans="30:34" x14ac:dyDescent="0.2">
      <c r="AD3406" s="8"/>
      <c r="AE3406" s="126"/>
      <c r="AF3406" s="125"/>
      <c r="AG3406" s="125"/>
      <c r="AH3406" s="128"/>
    </row>
    <row r="3407" spans="30:34" x14ac:dyDescent="0.2">
      <c r="AD3407" s="8"/>
      <c r="AE3407" s="126"/>
      <c r="AF3407" s="125"/>
      <c r="AG3407" s="125"/>
      <c r="AH3407" s="128"/>
    </row>
    <row r="3408" spans="30:34" x14ac:dyDescent="0.2">
      <c r="AD3408" s="8"/>
      <c r="AE3408" s="126"/>
      <c r="AF3408" s="125"/>
      <c r="AG3408" s="125"/>
      <c r="AH3408" s="128"/>
    </row>
    <row r="3409" spans="30:34" x14ac:dyDescent="0.2">
      <c r="AD3409" s="8"/>
      <c r="AE3409" s="126"/>
      <c r="AF3409" s="125"/>
      <c r="AG3409" s="125"/>
      <c r="AH3409" s="128"/>
    </row>
    <row r="3410" spans="30:34" x14ac:dyDescent="0.2">
      <c r="AD3410" s="8"/>
      <c r="AE3410" s="126"/>
      <c r="AF3410" s="125"/>
      <c r="AG3410" s="125"/>
      <c r="AH3410" s="128"/>
    </row>
    <row r="3411" spans="30:34" x14ac:dyDescent="0.2">
      <c r="AD3411" s="8"/>
      <c r="AE3411" s="126"/>
      <c r="AF3411" s="125"/>
      <c r="AG3411" s="125"/>
      <c r="AH3411" s="128"/>
    </row>
    <row r="3412" spans="30:34" x14ac:dyDescent="0.2">
      <c r="AD3412" s="8"/>
      <c r="AE3412" s="126"/>
      <c r="AF3412" s="125"/>
      <c r="AG3412" s="125"/>
      <c r="AH3412" s="128"/>
    </row>
    <row r="3413" spans="30:34" x14ac:dyDescent="0.2">
      <c r="AD3413" s="8"/>
      <c r="AE3413" s="126"/>
      <c r="AF3413" s="125"/>
      <c r="AG3413" s="125"/>
      <c r="AH3413" s="128"/>
    </row>
    <row r="3414" spans="30:34" x14ac:dyDescent="0.2">
      <c r="AD3414" s="8"/>
      <c r="AE3414" s="126"/>
      <c r="AF3414" s="125"/>
      <c r="AG3414" s="125"/>
      <c r="AH3414" s="128"/>
    </row>
    <row r="3415" spans="30:34" x14ac:dyDescent="0.2">
      <c r="AD3415" s="8"/>
      <c r="AE3415" s="126"/>
      <c r="AF3415" s="125"/>
      <c r="AG3415" s="125"/>
      <c r="AH3415" s="128"/>
    </row>
    <row r="3416" spans="30:34" x14ac:dyDescent="0.2">
      <c r="AD3416" s="8"/>
      <c r="AE3416" s="126"/>
      <c r="AF3416" s="125"/>
      <c r="AG3416" s="125"/>
      <c r="AH3416" s="128"/>
    </row>
    <row r="3417" spans="30:34" x14ac:dyDescent="0.2">
      <c r="AD3417" s="8"/>
      <c r="AE3417" s="126"/>
      <c r="AF3417" s="125"/>
      <c r="AG3417" s="125"/>
      <c r="AH3417" s="128"/>
    </row>
    <row r="3418" spans="30:34" x14ac:dyDescent="0.2">
      <c r="AD3418" s="8"/>
      <c r="AE3418" s="126"/>
      <c r="AF3418" s="125"/>
      <c r="AG3418" s="125"/>
      <c r="AH3418" s="128"/>
    </row>
    <row r="3419" spans="30:34" x14ac:dyDescent="0.2">
      <c r="AD3419" s="8"/>
      <c r="AE3419" s="126"/>
      <c r="AF3419" s="125"/>
      <c r="AG3419" s="125"/>
      <c r="AH3419" s="128"/>
    </row>
    <row r="3420" spans="30:34" x14ac:dyDescent="0.2">
      <c r="AD3420" s="8"/>
      <c r="AE3420" s="126"/>
      <c r="AF3420" s="125"/>
      <c r="AG3420" s="125"/>
      <c r="AH3420" s="128"/>
    </row>
    <row r="3421" spans="30:34" x14ac:dyDescent="0.2">
      <c r="AD3421" s="8"/>
      <c r="AE3421" s="126"/>
      <c r="AF3421" s="125"/>
      <c r="AG3421" s="125"/>
      <c r="AH3421" s="128"/>
    </row>
    <row r="3422" spans="30:34" x14ac:dyDescent="0.2">
      <c r="AD3422" s="8"/>
      <c r="AE3422" s="126"/>
      <c r="AF3422" s="125"/>
      <c r="AG3422" s="125"/>
      <c r="AH3422" s="128"/>
    </row>
    <row r="3423" spans="30:34" x14ac:dyDescent="0.2">
      <c r="AD3423" s="8"/>
      <c r="AE3423" s="126"/>
      <c r="AF3423" s="125"/>
      <c r="AG3423" s="125"/>
      <c r="AH3423" s="128"/>
    </row>
    <row r="3424" spans="30:34" x14ac:dyDescent="0.2">
      <c r="AD3424" s="8"/>
      <c r="AE3424" s="126"/>
      <c r="AF3424" s="125"/>
      <c r="AG3424" s="125"/>
      <c r="AH3424" s="128"/>
    </row>
    <row r="3425" spans="30:34" x14ac:dyDescent="0.2">
      <c r="AD3425" s="8"/>
      <c r="AE3425" s="126"/>
      <c r="AF3425" s="125"/>
      <c r="AG3425" s="125"/>
      <c r="AH3425" s="128"/>
    </row>
    <row r="3426" spans="30:34" x14ac:dyDescent="0.2">
      <c r="AD3426" s="8"/>
      <c r="AE3426" s="126"/>
      <c r="AF3426" s="125"/>
      <c r="AG3426" s="125"/>
      <c r="AH3426" s="128"/>
    </row>
    <row r="3427" spans="30:34" x14ac:dyDescent="0.2">
      <c r="AD3427" s="8"/>
      <c r="AE3427" s="126"/>
      <c r="AF3427" s="125"/>
      <c r="AG3427" s="125"/>
      <c r="AH3427" s="128"/>
    </row>
    <row r="3428" spans="30:34" x14ac:dyDescent="0.2">
      <c r="AD3428" s="8"/>
      <c r="AE3428" s="126"/>
      <c r="AF3428" s="125"/>
      <c r="AG3428" s="125"/>
      <c r="AH3428" s="128"/>
    </row>
    <row r="3429" spans="30:34" x14ac:dyDescent="0.2">
      <c r="AD3429" s="8"/>
      <c r="AE3429" s="126"/>
      <c r="AF3429" s="125"/>
      <c r="AG3429" s="125"/>
      <c r="AH3429" s="128"/>
    </row>
    <row r="3430" spans="30:34" x14ac:dyDescent="0.2">
      <c r="AD3430" s="8"/>
      <c r="AE3430" s="126"/>
      <c r="AF3430" s="125"/>
      <c r="AG3430" s="125"/>
      <c r="AH3430" s="128"/>
    </row>
    <row r="3431" spans="30:34" x14ac:dyDescent="0.2">
      <c r="AD3431" s="8"/>
      <c r="AE3431" s="126"/>
      <c r="AF3431" s="125"/>
      <c r="AG3431" s="125"/>
      <c r="AH3431" s="128"/>
    </row>
    <row r="3432" spans="30:34" x14ac:dyDescent="0.2">
      <c r="AD3432" s="8"/>
      <c r="AE3432" s="126"/>
      <c r="AF3432" s="125"/>
      <c r="AG3432" s="125"/>
      <c r="AH3432" s="128"/>
    </row>
    <row r="3433" spans="30:34" x14ac:dyDescent="0.2">
      <c r="AD3433" s="8"/>
      <c r="AE3433" s="126"/>
      <c r="AF3433" s="125"/>
      <c r="AG3433" s="125"/>
      <c r="AH3433" s="128"/>
    </row>
    <row r="3434" spans="30:34" x14ac:dyDescent="0.2">
      <c r="AD3434" s="8"/>
      <c r="AE3434" s="126"/>
      <c r="AF3434" s="125"/>
      <c r="AG3434" s="125"/>
      <c r="AH3434" s="128"/>
    </row>
    <row r="3435" spans="30:34" x14ac:dyDescent="0.2">
      <c r="AD3435" s="8"/>
      <c r="AE3435" s="126"/>
      <c r="AF3435" s="125"/>
      <c r="AG3435" s="125"/>
      <c r="AH3435" s="128"/>
    </row>
    <row r="3436" spans="30:34" x14ac:dyDescent="0.2">
      <c r="AD3436" s="8"/>
      <c r="AE3436" s="126"/>
      <c r="AF3436" s="125"/>
      <c r="AG3436" s="125"/>
      <c r="AH3436" s="128"/>
    </row>
    <row r="3437" spans="30:34" x14ac:dyDescent="0.2">
      <c r="AD3437" s="8"/>
      <c r="AE3437" s="126"/>
      <c r="AF3437" s="125"/>
      <c r="AG3437" s="125"/>
      <c r="AH3437" s="128"/>
    </row>
    <row r="3438" spans="30:34" x14ac:dyDescent="0.2">
      <c r="AD3438" s="8"/>
      <c r="AE3438" s="126"/>
      <c r="AF3438" s="125"/>
      <c r="AG3438" s="125"/>
      <c r="AH3438" s="128"/>
    </row>
    <row r="3439" spans="30:34" x14ac:dyDescent="0.2">
      <c r="AD3439" s="8"/>
      <c r="AE3439" s="126"/>
      <c r="AF3439" s="125"/>
      <c r="AG3439" s="125"/>
      <c r="AH3439" s="128"/>
    </row>
    <row r="3440" spans="30:34" x14ac:dyDescent="0.2">
      <c r="AD3440" s="8"/>
      <c r="AE3440" s="126"/>
      <c r="AF3440" s="125"/>
      <c r="AG3440" s="125"/>
      <c r="AH3440" s="128"/>
    </row>
    <row r="3441" spans="30:34" x14ac:dyDescent="0.2">
      <c r="AD3441" s="8"/>
      <c r="AE3441" s="126"/>
      <c r="AF3441" s="125"/>
      <c r="AG3441" s="125"/>
      <c r="AH3441" s="128"/>
    </row>
    <row r="3442" spans="30:34" x14ac:dyDescent="0.2">
      <c r="AD3442" s="8"/>
      <c r="AE3442" s="126"/>
      <c r="AF3442" s="125"/>
      <c r="AG3442" s="125"/>
      <c r="AH3442" s="128"/>
    </row>
    <row r="3443" spans="30:34" x14ac:dyDescent="0.2">
      <c r="AD3443" s="8"/>
      <c r="AE3443" s="126"/>
      <c r="AF3443" s="125"/>
      <c r="AG3443" s="125"/>
      <c r="AH3443" s="128"/>
    </row>
    <row r="3444" spans="30:34" x14ac:dyDescent="0.2">
      <c r="AD3444" s="8"/>
      <c r="AE3444" s="126"/>
      <c r="AF3444" s="125"/>
      <c r="AG3444" s="125"/>
      <c r="AH3444" s="128"/>
    </row>
    <row r="3445" spans="30:34" x14ac:dyDescent="0.2">
      <c r="AD3445" s="8"/>
      <c r="AE3445" s="126"/>
      <c r="AF3445" s="125"/>
      <c r="AG3445" s="125"/>
      <c r="AH3445" s="128"/>
    </row>
    <row r="3446" spans="30:34" x14ac:dyDescent="0.2">
      <c r="AD3446" s="8"/>
      <c r="AE3446" s="126"/>
      <c r="AF3446" s="125"/>
      <c r="AG3446" s="125"/>
      <c r="AH3446" s="128"/>
    </row>
    <row r="3447" spans="30:34" x14ac:dyDescent="0.2">
      <c r="AD3447" s="8"/>
      <c r="AE3447" s="126"/>
      <c r="AF3447" s="125"/>
      <c r="AG3447" s="125"/>
      <c r="AH3447" s="128"/>
    </row>
    <row r="3448" spans="30:34" x14ac:dyDescent="0.2">
      <c r="AD3448" s="8"/>
      <c r="AE3448" s="126"/>
      <c r="AF3448" s="125"/>
      <c r="AG3448" s="125"/>
      <c r="AH3448" s="128"/>
    </row>
    <row r="3449" spans="30:34" x14ac:dyDescent="0.2">
      <c r="AD3449" s="8"/>
      <c r="AE3449" s="126"/>
      <c r="AF3449" s="125"/>
      <c r="AG3449" s="125"/>
      <c r="AH3449" s="128"/>
    </row>
    <row r="3450" spans="30:34" x14ac:dyDescent="0.2">
      <c r="AD3450" s="8"/>
      <c r="AE3450" s="126"/>
      <c r="AF3450" s="125"/>
      <c r="AG3450" s="125"/>
      <c r="AH3450" s="128"/>
    </row>
    <row r="3451" spans="30:34" x14ac:dyDescent="0.2">
      <c r="AD3451" s="8"/>
      <c r="AE3451" s="126"/>
      <c r="AF3451" s="125"/>
      <c r="AG3451" s="125"/>
      <c r="AH3451" s="128"/>
    </row>
    <row r="3452" spans="30:34" x14ac:dyDescent="0.2">
      <c r="AD3452" s="8"/>
      <c r="AE3452" s="126"/>
      <c r="AF3452" s="125"/>
      <c r="AG3452" s="125"/>
      <c r="AH3452" s="128"/>
    </row>
    <row r="3453" spans="30:34" x14ac:dyDescent="0.2">
      <c r="AD3453" s="8"/>
      <c r="AE3453" s="126"/>
      <c r="AF3453" s="125"/>
      <c r="AG3453" s="125"/>
      <c r="AH3453" s="128"/>
    </row>
    <row r="3454" spans="30:34" x14ac:dyDescent="0.2">
      <c r="AD3454" s="8"/>
      <c r="AE3454" s="126"/>
      <c r="AF3454" s="125"/>
      <c r="AG3454" s="125"/>
      <c r="AH3454" s="128"/>
    </row>
    <row r="3455" spans="30:34" x14ac:dyDescent="0.2">
      <c r="AD3455" s="8"/>
      <c r="AE3455" s="126"/>
      <c r="AF3455" s="125"/>
      <c r="AG3455" s="125"/>
      <c r="AH3455" s="128"/>
    </row>
    <row r="3456" spans="30:34" x14ac:dyDescent="0.2">
      <c r="AD3456" s="8"/>
      <c r="AE3456" s="126"/>
      <c r="AF3456" s="125"/>
      <c r="AG3456" s="125"/>
      <c r="AH3456" s="128"/>
    </row>
    <row r="3457" spans="30:34" x14ac:dyDescent="0.2">
      <c r="AD3457" s="8"/>
      <c r="AE3457" s="126"/>
      <c r="AF3457" s="125"/>
      <c r="AG3457" s="125"/>
      <c r="AH3457" s="128"/>
    </row>
    <row r="3458" spans="30:34" x14ac:dyDescent="0.2">
      <c r="AD3458" s="8"/>
      <c r="AE3458" s="126"/>
      <c r="AF3458" s="125"/>
      <c r="AG3458" s="125"/>
      <c r="AH3458" s="128"/>
    </row>
    <row r="3459" spans="30:34" x14ac:dyDescent="0.2">
      <c r="AD3459" s="8"/>
      <c r="AE3459" s="126"/>
      <c r="AF3459" s="125"/>
      <c r="AG3459" s="125"/>
      <c r="AH3459" s="128"/>
    </row>
    <row r="3460" spans="30:34" x14ac:dyDescent="0.2">
      <c r="AD3460" s="8"/>
      <c r="AE3460" s="126"/>
      <c r="AF3460" s="125"/>
      <c r="AG3460" s="125"/>
      <c r="AH3460" s="128"/>
    </row>
    <row r="3461" spans="30:34" x14ac:dyDescent="0.2">
      <c r="AD3461" s="8"/>
      <c r="AE3461" s="126"/>
      <c r="AF3461" s="125"/>
      <c r="AG3461" s="125"/>
      <c r="AH3461" s="128"/>
    </row>
    <row r="3462" spans="30:34" x14ac:dyDescent="0.2">
      <c r="AD3462" s="8"/>
      <c r="AE3462" s="126"/>
      <c r="AF3462" s="125"/>
      <c r="AG3462" s="125"/>
      <c r="AH3462" s="128"/>
    </row>
    <row r="3463" spans="30:34" x14ac:dyDescent="0.2">
      <c r="AD3463" s="8"/>
      <c r="AE3463" s="126"/>
      <c r="AF3463" s="125"/>
      <c r="AG3463" s="125"/>
      <c r="AH3463" s="128"/>
    </row>
    <row r="3464" spans="30:34" x14ac:dyDescent="0.2">
      <c r="AD3464" s="8"/>
      <c r="AE3464" s="126"/>
      <c r="AF3464" s="125"/>
      <c r="AG3464" s="125"/>
      <c r="AH3464" s="128"/>
    </row>
    <row r="3465" spans="30:34" x14ac:dyDescent="0.2">
      <c r="AD3465" s="8"/>
      <c r="AE3465" s="126"/>
      <c r="AF3465" s="125"/>
      <c r="AG3465" s="125"/>
      <c r="AH3465" s="128"/>
    </row>
    <row r="3466" spans="30:34" x14ac:dyDescent="0.2">
      <c r="AD3466" s="8"/>
      <c r="AE3466" s="126"/>
      <c r="AF3466" s="125"/>
      <c r="AG3466" s="125"/>
      <c r="AH3466" s="128"/>
    </row>
    <row r="3467" spans="30:34" x14ac:dyDescent="0.2">
      <c r="AD3467" s="8"/>
      <c r="AE3467" s="126"/>
      <c r="AF3467" s="125"/>
      <c r="AG3467" s="125"/>
      <c r="AH3467" s="128"/>
    </row>
    <row r="3468" spans="30:34" x14ac:dyDescent="0.2">
      <c r="AD3468" s="8"/>
      <c r="AE3468" s="126"/>
      <c r="AF3468" s="125"/>
      <c r="AG3468" s="125"/>
      <c r="AH3468" s="128"/>
    </row>
    <row r="3469" spans="30:34" x14ac:dyDescent="0.2">
      <c r="AD3469" s="8"/>
      <c r="AE3469" s="126"/>
      <c r="AF3469" s="125"/>
      <c r="AG3469" s="125"/>
      <c r="AH3469" s="128"/>
    </row>
    <row r="3470" spans="30:34" x14ac:dyDescent="0.2">
      <c r="AD3470" s="8"/>
      <c r="AE3470" s="126"/>
      <c r="AF3470" s="125"/>
      <c r="AG3470" s="125"/>
      <c r="AH3470" s="128"/>
    </row>
    <row r="3471" spans="30:34" x14ac:dyDescent="0.2">
      <c r="AD3471" s="8"/>
      <c r="AE3471" s="126"/>
      <c r="AF3471" s="125"/>
      <c r="AG3471" s="125"/>
      <c r="AH3471" s="128"/>
    </row>
    <row r="3472" spans="30:34" x14ac:dyDescent="0.2">
      <c r="AD3472" s="8"/>
      <c r="AE3472" s="126"/>
      <c r="AF3472" s="125"/>
      <c r="AG3472" s="125"/>
      <c r="AH3472" s="128"/>
    </row>
    <row r="3473" spans="30:34" x14ac:dyDescent="0.2">
      <c r="AD3473" s="8"/>
      <c r="AE3473" s="126"/>
      <c r="AF3473" s="125"/>
      <c r="AG3473" s="125"/>
      <c r="AH3473" s="128"/>
    </row>
    <row r="3474" spans="30:34" x14ac:dyDescent="0.2">
      <c r="AD3474" s="8"/>
      <c r="AE3474" s="126"/>
      <c r="AF3474" s="125"/>
      <c r="AG3474" s="125"/>
      <c r="AH3474" s="128"/>
    </row>
    <row r="3475" spans="30:34" x14ac:dyDescent="0.2">
      <c r="AD3475" s="8"/>
      <c r="AE3475" s="126"/>
      <c r="AF3475" s="125"/>
      <c r="AG3475" s="125"/>
      <c r="AH3475" s="128"/>
    </row>
    <row r="3476" spans="30:34" x14ac:dyDescent="0.2">
      <c r="AD3476" s="8"/>
      <c r="AE3476" s="126"/>
      <c r="AF3476" s="125"/>
      <c r="AG3476" s="125"/>
      <c r="AH3476" s="128"/>
    </row>
    <row r="3477" spans="30:34" x14ac:dyDescent="0.2">
      <c r="AD3477" s="8"/>
      <c r="AE3477" s="126"/>
      <c r="AF3477" s="125"/>
      <c r="AG3477" s="125"/>
      <c r="AH3477" s="128"/>
    </row>
    <row r="3478" spans="30:34" x14ac:dyDescent="0.2">
      <c r="AD3478" s="8"/>
      <c r="AE3478" s="126"/>
      <c r="AF3478" s="125"/>
      <c r="AG3478" s="125"/>
      <c r="AH3478" s="128"/>
    </row>
    <row r="3479" spans="30:34" x14ac:dyDescent="0.2">
      <c r="AD3479" s="8"/>
      <c r="AE3479" s="126"/>
      <c r="AF3479" s="125"/>
      <c r="AG3479" s="125"/>
      <c r="AH3479" s="128"/>
    </row>
    <row r="3480" spans="30:34" x14ac:dyDescent="0.2">
      <c r="AD3480" s="8"/>
      <c r="AE3480" s="126"/>
      <c r="AF3480" s="125"/>
      <c r="AG3480" s="125"/>
      <c r="AH3480" s="128"/>
    </row>
    <row r="3481" spans="30:34" x14ac:dyDescent="0.2">
      <c r="AD3481" s="8"/>
      <c r="AE3481" s="126"/>
      <c r="AF3481" s="125"/>
      <c r="AG3481" s="125"/>
      <c r="AH3481" s="128"/>
    </row>
    <row r="3482" spans="30:34" x14ac:dyDescent="0.2">
      <c r="AD3482" s="8"/>
      <c r="AE3482" s="126"/>
      <c r="AF3482" s="125"/>
      <c r="AG3482" s="125"/>
      <c r="AH3482" s="128"/>
    </row>
    <row r="3483" spans="30:34" x14ac:dyDescent="0.2">
      <c r="AD3483" s="8"/>
      <c r="AE3483" s="126"/>
      <c r="AF3483" s="125"/>
      <c r="AG3483" s="125"/>
      <c r="AH3483" s="128"/>
    </row>
    <row r="3484" spans="30:34" x14ac:dyDescent="0.2">
      <c r="AD3484" s="8"/>
      <c r="AE3484" s="126"/>
      <c r="AF3484" s="125"/>
      <c r="AG3484" s="125"/>
      <c r="AH3484" s="128"/>
    </row>
    <row r="3485" spans="30:34" x14ac:dyDescent="0.2">
      <c r="AD3485" s="8"/>
      <c r="AE3485" s="126"/>
      <c r="AF3485" s="125"/>
      <c r="AG3485" s="125"/>
      <c r="AH3485" s="128"/>
    </row>
    <row r="3486" spans="30:34" x14ac:dyDescent="0.2">
      <c r="AD3486" s="8"/>
      <c r="AE3486" s="126"/>
      <c r="AF3486" s="125"/>
      <c r="AG3486" s="125"/>
      <c r="AH3486" s="128"/>
    </row>
    <row r="3487" spans="30:34" x14ac:dyDescent="0.2">
      <c r="AD3487" s="8"/>
      <c r="AE3487" s="126"/>
      <c r="AF3487" s="125"/>
      <c r="AG3487" s="125"/>
      <c r="AH3487" s="128"/>
    </row>
    <row r="3488" spans="30:34" x14ac:dyDescent="0.2">
      <c r="AD3488" s="8"/>
      <c r="AE3488" s="126"/>
      <c r="AF3488" s="125"/>
      <c r="AG3488" s="125"/>
      <c r="AH3488" s="128"/>
    </row>
    <row r="3489" spans="30:34" x14ac:dyDescent="0.2">
      <c r="AD3489" s="8"/>
      <c r="AE3489" s="126"/>
      <c r="AF3489" s="125"/>
      <c r="AG3489" s="125"/>
      <c r="AH3489" s="128"/>
    </row>
    <row r="3490" spans="30:34" x14ac:dyDescent="0.2">
      <c r="AD3490" s="8"/>
      <c r="AE3490" s="126"/>
      <c r="AF3490" s="125"/>
      <c r="AG3490" s="125"/>
      <c r="AH3490" s="128"/>
    </row>
    <row r="3491" spans="30:34" x14ac:dyDescent="0.2">
      <c r="AD3491" s="8"/>
      <c r="AE3491" s="126"/>
      <c r="AF3491" s="125"/>
      <c r="AG3491" s="125"/>
      <c r="AH3491" s="128"/>
    </row>
    <row r="3492" spans="30:34" x14ac:dyDescent="0.2">
      <c r="AD3492" s="8"/>
      <c r="AE3492" s="126"/>
      <c r="AF3492" s="125"/>
      <c r="AG3492" s="125"/>
      <c r="AH3492" s="128"/>
    </row>
    <row r="3493" spans="30:34" x14ac:dyDescent="0.2">
      <c r="AD3493" s="8"/>
      <c r="AE3493" s="126"/>
      <c r="AF3493" s="125"/>
      <c r="AG3493" s="125"/>
      <c r="AH3493" s="128"/>
    </row>
    <row r="3494" spans="30:34" x14ac:dyDescent="0.2">
      <c r="AD3494" s="8"/>
      <c r="AE3494" s="126"/>
      <c r="AF3494" s="125"/>
      <c r="AG3494" s="125"/>
      <c r="AH3494" s="128"/>
    </row>
    <row r="3495" spans="30:34" x14ac:dyDescent="0.2">
      <c r="AD3495" s="8"/>
      <c r="AE3495" s="126"/>
      <c r="AF3495" s="125"/>
      <c r="AG3495" s="125"/>
      <c r="AH3495" s="128"/>
    </row>
    <row r="3496" spans="30:34" x14ac:dyDescent="0.2">
      <c r="AD3496" s="8"/>
      <c r="AE3496" s="126"/>
      <c r="AF3496" s="125"/>
      <c r="AG3496" s="125"/>
      <c r="AH3496" s="128"/>
    </row>
    <row r="3497" spans="30:34" x14ac:dyDescent="0.2">
      <c r="AD3497" s="8"/>
      <c r="AE3497" s="126"/>
      <c r="AF3497" s="125"/>
      <c r="AG3497" s="125"/>
      <c r="AH3497" s="128"/>
    </row>
    <row r="3498" spans="30:34" x14ac:dyDescent="0.2">
      <c r="AD3498" s="8"/>
      <c r="AE3498" s="126"/>
      <c r="AF3498" s="125"/>
      <c r="AG3498" s="125"/>
      <c r="AH3498" s="128"/>
    </row>
    <row r="3499" spans="30:34" x14ac:dyDescent="0.2">
      <c r="AD3499" s="8"/>
      <c r="AE3499" s="126"/>
      <c r="AF3499" s="125"/>
      <c r="AG3499" s="125"/>
      <c r="AH3499" s="128"/>
    </row>
    <row r="3500" spans="30:34" x14ac:dyDescent="0.2">
      <c r="AD3500" s="8"/>
      <c r="AE3500" s="126"/>
      <c r="AF3500" s="125"/>
      <c r="AG3500" s="125"/>
      <c r="AH3500" s="128"/>
    </row>
    <row r="3501" spans="30:34" x14ac:dyDescent="0.2">
      <c r="AD3501" s="8"/>
      <c r="AE3501" s="126"/>
      <c r="AF3501" s="125"/>
      <c r="AG3501" s="125"/>
      <c r="AH3501" s="128"/>
    </row>
    <row r="3502" spans="30:34" x14ac:dyDescent="0.2">
      <c r="AD3502" s="8"/>
      <c r="AE3502" s="126"/>
      <c r="AF3502" s="125"/>
      <c r="AG3502" s="125"/>
      <c r="AH3502" s="128"/>
    </row>
    <row r="3503" spans="30:34" x14ac:dyDescent="0.2">
      <c r="AD3503" s="8"/>
      <c r="AE3503" s="126"/>
      <c r="AF3503" s="125"/>
      <c r="AG3503" s="125"/>
      <c r="AH3503" s="128"/>
    </row>
    <row r="3504" spans="30:34" x14ac:dyDescent="0.2">
      <c r="AD3504" s="8"/>
      <c r="AE3504" s="126"/>
      <c r="AF3504" s="125"/>
      <c r="AG3504" s="125"/>
      <c r="AH3504" s="128"/>
    </row>
    <row r="3505" spans="30:34" x14ac:dyDescent="0.2">
      <c r="AD3505" s="8"/>
      <c r="AE3505" s="126"/>
      <c r="AF3505" s="125"/>
      <c r="AG3505" s="125"/>
      <c r="AH3505" s="128"/>
    </row>
    <row r="3506" spans="30:34" x14ac:dyDescent="0.2">
      <c r="AD3506" s="8"/>
      <c r="AE3506" s="126"/>
      <c r="AF3506" s="125"/>
      <c r="AG3506" s="125"/>
      <c r="AH3506" s="128"/>
    </row>
    <row r="3507" spans="30:34" x14ac:dyDescent="0.2">
      <c r="AD3507" s="8"/>
      <c r="AE3507" s="126"/>
      <c r="AF3507" s="125"/>
      <c r="AG3507" s="125"/>
      <c r="AH3507" s="128"/>
    </row>
    <row r="3508" spans="30:34" x14ac:dyDescent="0.2">
      <c r="AD3508" s="8"/>
      <c r="AE3508" s="126"/>
      <c r="AF3508" s="125"/>
      <c r="AG3508" s="125"/>
      <c r="AH3508" s="128"/>
    </row>
    <row r="3509" spans="30:34" x14ac:dyDescent="0.2">
      <c r="AD3509" s="8"/>
      <c r="AE3509" s="126"/>
      <c r="AF3509" s="125"/>
      <c r="AG3509" s="125"/>
      <c r="AH3509" s="128"/>
    </row>
    <row r="3510" spans="30:34" x14ac:dyDescent="0.2">
      <c r="AD3510" s="8"/>
      <c r="AE3510" s="126"/>
      <c r="AF3510" s="125"/>
      <c r="AG3510" s="125"/>
      <c r="AH3510" s="128"/>
    </row>
    <row r="3511" spans="30:34" x14ac:dyDescent="0.2">
      <c r="AD3511" s="8"/>
      <c r="AE3511" s="126"/>
      <c r="AF3511" s="125"/>
      <c r="AG3511" s="125"/>
      <c r="AH3511" s="128"/>
    </row>
    <row r="3512" spans="30:34" x14ac:dyDescent="0.2">
      <c r="AD3512" s="8"/>
      <c r="AE3512" s="126"/>
      <c r="AF3512" s="125"/>
      <c r="AG3512" s="125"/>
      <c r="AH3512" s="128"/>
    </row>
    <row r="3513" spans="30:34" x14ac:dyDescent="0.2">
      <c r="AD3513" s="8"/>
      <c r="AE3513" s="126"/>
      <c r="AF3513" s="125"/>
      <c r="AG3513" s="125"/>
      <c r="AH3513" s="128"/>
    </row>
    <row r="3514" spans="30:34" x14ac:dyDescent="0.2">
      <c r="AD3514" s="8"/>
      <c r="AE3514" s="126"/>
      <c r="AF3514" s="125"/>
      <c r="AG3514" s="125"/>
      <c r="AH3514" s="128"/>
    </row>
    <row r="3515" spans="30:34" x14ac:dyDescent="0.2">
      <c r="AD3515" s="8"/>
      <c r="AE3515" s="126"/>
      <c r="AF3515" s="125"/>
      <c r="AG3515" s="125"/>
      <c r="AH3515" s="128"/>
    </row>
    <row r="3516" spans="30:34" x14ac:dyDescent="0.2">
      <c r="AD3516" s="8"/>
      <c r="AE3516" s="126"/>
      <c r="AF3516" s="125"/>
      <c r="AG3516" s="125"/>
      <c r="AH3516" s="128"/>
    </row>
    <row r="3517" spans="30:34" x14ac:dyDescent="0.2">
      <c r="AD3517" s="8"/>
      <c r="AE3517" s="126"/>
      <c r="AF3517" s="125"/>
      <c r="AG3517" s="125"/>
      <c r="AH3517" s="128"/>
    </row>
    <row r="3518" spans="30:34" x14ac:dyDescent="0.2">
      <c r="AD3518" s="8"/>
      <c r="AE3518" s="126"/>
      <c r="AF3518" s="125"/>
      <c r="AG3518" s="125"/>
      <c r="AH3518" s="128"/>
    </row>
    <row r="3519" spans="30:34" x14ac:dyDescent="0.2">
      <c r="AD3519" s="8"/>
      <c r="AE3519" s="126"/>
      <c r="AF3519" s="125"/>
      <c r="AG3519" s="125"/>
      <c r="AH3519" s="128"/>
    </row>
    <row r="3520" spans="30:34" x14ac:dyDescent="0.2">
      <c r="AD3520" s="8"/>
      <c r="AE3520" s="126"/>
      <c r="AF3520" s="125"/>
      <c r="AG3520" s="125"/>
      <c r="AH3520" s="128"/>
    </row>
    <row r="3521" spans="30:34" x14ac:dyDescent="0.2">
      <c r="AD3521" s="8"/>
      <c r="AE3521" s="126"/>
      <c r="AF3521" s="125"/>
      <c r="AG3521" s="125"/>
      <c r="AH3521" s="128"/>
    </row>
    <row r="3522" spans="30:34" x14ac:dyDescent="0.2">
      <c r="AD3522" s="8"/>
      <c r="AE3522" s="126"/>
      <c r="AF3522" s="125"/>
      <c r="AG3522" s="125"/>
      <c r="AH3522" s="128"/>
    </row>
    <row r="3523" spans="30:34" x14ac:dyDescent="0.2">
      <c r="AD3523" s="8"/>
      <c r="AE3523" s="126"/>
      <c r="AF3523" s="125"/>
      <c r="AG3523" s="125"/>
      <c r="AH3523" s="128"/>
    </row>
    <row r="3524" spans="30:34" x14ac:dyDescent="0.2">
      <c r="AD3524" s="8"/>
      <c r="AE3524" s="126"/>
      <c r="AF3524" s="125"/>
      <c r="AG3524" s="125"/>
      <c r="AH3524" s="128"/>
    </row>
    <row r="3525" spans="30:34" x14ac:dyDescent="0.2">
      <c r="AD3525" s="8"/>
      <c r="AE3525" s="126"/>
      <c r="AF3525" s="125"/>
      <c r="AG3525" s="125"/>
      <c r="AH3525" s="128"/>
    </row>
    <row r="3526" spans="30:34" x14ac:dyDescent="0.2">
      <c r="AD3526" s="8"/>
      <c r="AE3526" s="126"/>
      <c r="AF3526" s="125"/>
      <c r="AG3526" s="125"/>
      <c r="AH3526" s="128"/>
    </row>
    <row r="3527" spans="30:34" x14ac:dyDescent="0.2">
      <c r="AD3527" s="8"/>
      <c r="AE3527" s="126"/>
      <c r="AF3527" s="125"/>
      <c r="AG3527" s="125"/>
      <c r="AH3527" s="128"/>
    </row>
    <row r="3528" spans="30:34" x14ac:dyDescent="0.2">
      <c r="AD3528" s="8"/>
      <c r="AE3528" s="126"/>
      <c r="AF3528" s="125"/>
      <c r="AG3528" s="125"/>
      <c r="AH3528" s="128"/>
    </row>
    <row r="3529" spans="30:34" x14ac:dyDescent="0.2">
      <c r="AD3529" s="8"/>
      <c r="AE3529" s="126"/>
      <c r="AF3529" s="125"/>
      <c r="AG3529" s="125"/>
      <c r="AH3529" s="128"/>
    </row>
    <row r="3530" spans="30:34" x14ac:dyDescent="0.2">
      <c r="AD3530" s="8"/>
      <c r="AE3530" s="126"/>
      <c r="AF3530" s="125"/>
      <c r="AG3530" s="125"/>
      <c r="AH3530" s="128"/>
    </row>
    <row r="3531" spans="30:34" x14ac:dyDescent="0.2">
      <c r="AD3531" s="8"/>
      <c r="AE3531" s="126"/>
      <c r="AF3531" s="125"/>
      <c r="AG3531" s="125"/>
      <c r="AH3531" s="128"/>
    </row>
    <row r="3532" spans="30:34" x14ac:dyDescent="0.2">
      <c r="AD3532" s="8"/>
      <c r="AE3532" s="126"/>
      <c r="AF3532" s="125"/>
      <c r="AG3532" s="125"/>
      <c r="AH3532" s="128"/>
    </row>
    <row r="3533" spans="30:34" x14ac:dyDescent="0.2">
      <c r="AD3533" s="8"/>
      <c r="AE3533" s="126"/>
      <c r="AF3533" s="125"/>
      <c r="AG3533" s="125"/>
      <c r="AH3533" s="128"/>
    </row>
    <row r="3534" spans="30:34" x14ac:dyDescent="0.2">
      <c r="AD3534" s="8"/>
      <c r="AE3534" s="126"/>
      <c r="AF3534" s="125"/>
      <c r="AG3534" s="125"/>
      <c r="AH3534" s="128"/>
    </row>
    <row r="3535" spans="30:34" x14ac:dyDescent="0.2">
      <c r="AD3535" s="8"/>
      <c r="AE3535" s="126"/>
      <c r="AF3535" s="125"/>
      <c r="AG3535" s="125"/>
      <c r="AH3535" s="128"/>
    </row>
    <row r="3536" spans="30:34" x14ac:dyDescent="0.2">
      <c r="AD3536" s="8"/>
      <c r="AE3536" s="126"/>
      <c r="AF3536" s="125"/>
      <c r="AG3536" s="125"/>
      <c r="AH3536" s="128"/>
    </row>
    <row r="3537" spans="30:34" x14ac:dyDescent="0.2">
      <c r="AD3537" s="8"/>
      <c r="AE3537" s="126"/>
      <c r="AF3537" s="125"/>
      <c r="AG3537" s="125"/>
      <c r="AH3537" s="128"/>
    </row>
    <row r="3538" spans="30:34" x14ac:dyDescent="0.2">
      <c r="AD3538" s="8"/>
      <c r="AE3538" s="126"/>
      <c r="AF3538" s="125"/>
      <c r="AG3538" s="125"/>
      <c r="AH3538" s="128"/>
    </row>
    <row r="3539" spans="30:34" x14ac:dyDescent="0.2">
      <c r="AD3539" s="8"/>
      <c r="AE3539" s="126"/>
      <c r="AF3539" s="125"/>
      <c r="AG3539" s="125"/>
      <c r="AH3539" s="128"/>
    </row>
    <row r="3540" spans="30:34" x14ac:dyDescent="0.2">
      <c r="AD3540" s="8"/>
      <c r="AE3540" s="126"/>
      <c r="AF3540" s="125"/>
      <c r="AG3540" s="125"/>
      <c r="AH3540" s="128"/>
    </row>
    <row r="3541" spans="30:34" x14ac:dyDescent="0.2">
      <c r="AD3541" s="8"/>
      <c r="AE3541" s="126"/>
      <c r="AF3541" s="125"/>
      <c r="AG3541" s="125"/>
      <c r="AH3541" s="128"/>
    </row>
    <row r="3542" spans="30:34" x14ac:dyDescent="0.2">
      <c r="AD3542" s="8"/>
      <c r="AE3542" s="126"/>
      <c r="AF3542" s="125"/>
      <c r="AG3542" s="125"/>
      <c r="AH3542" s="128"/>
    </row>
    <row r="3543" spans="30:34" x14ac:dyDescent="0.2">
      <c r="AD3543" s="8"/>
      <c r="AE3543" s="126"/>
      <c r="AF3543" s="125"/>
      <c r="AG3543" s="125"/>
      <c r="AH3543" s="128"/>
    </row>
    <row r="3544" spans="30:34" x14ac:dyDescent="0.2">
      <c r="AD3544" s="8"/>
      <c r="AE3544" s="126"/>
      <c r="AF3544" s="125"/>
      <c r="AG3544" s="125"/>
      <c r="AH3544" s="128"/>
    </row>
    <row r="3545" spans="30:34" x14ac:dyDescent="0.2">
      <c r="AD3545" s="8"/>
      <c r="AE3545" s="126"/>
      <c r="AF3545" s="125"/>
      <c r="AG3545" s="125"/>
      <c r="AH3545" s="128"/>
    </row>
    <row r="3546" spans="30:34" x14ac:dyDescent="0.2">
      <c r="AD3546" s="8"/>
      <c r="AE3546" s="126"/>
      <c r="AF3546" s="125"/>
      <c r="AG3546" s="125"/>
      <c r="AH3546" s="128"/>
    </row>
    <row r="3547" spans="30:34" x14ac:dyDescent="0.2">
      <c r="AD3547" s="8"/>
      <c r="AE3547" s="126"/>
      <c r="AF3547" s="125"/>
      <c r="AG3547" s="125"/>
      <c r="AH3547" s="128"/>
    </row>
    <row r="3548" spans="30:34" x14ac:dyDescent="0.2">
      <c r="AD3548" s="8"/>
      <c r="AE3548" s="126"/>
      <c r="AF3548" s="125"/>
      <c r="AG3548" s="125"/>
      <c r="AH3548" s="128"/>
    </row>
    <row r="3549" spans="30:34" x14ac:dyDescent="0.2">
      <c r="AD3549" s="8"/>
      <c r="AE3549" s="126"/>
      <c r="AF3549" s="125"/>
      <c r="AG3549" s="125"/>
      <c r="AH3549" s="128"/>
    </row>
    <row r="3550" spans="30:34" x14ac:dyDescent="0.2">
      <c r="AD3550" s="8"/>
      <c r="AE3550" s="126"/>
      <c r="AF3550" s="125"/>
      <c r="AG3550" s="125"/>
      <c r="AH3550" s="128"/>
    </row>
    <row r="3551" spans="30:34" x14ac:dyDescent="0.2">
      <c r="AD3551" s="8"/>
      <c r="AE3551" s="126"/>
      <c r="AF3551" s="125"/>
      <c r="AG3551" s="125"/>
      <c r="AH3551" s="128"/>
    </row>
    <row r="3552" spans="30:34" x14ac:dyDescent="0.2">
      <c r="AD3552" s="8"/>
      <c r="AE3552" s="126"/>
      <c r="AF3552" s="125"/>
      <c r="AG3552" s="125"/>
      <c r="AH3552" s="128"/>
    </row>
    <row r="3553" spans="30:34" x14ac:dyDescent="0.2">
      <c r="AD3553" s="8"/>
      <c r="AE3553" s="126"/>
      <c r="AF3553" s="125"/>
      <c r="AG3553" s="125"/>
      <c r="AH3553" s="128"/>
    </row>
    <row r="3554" spans="30:34" x14ac:dyDescent="0.2">
      <c r="AD3554" s="8"/>
      <c r="AE3554" s="126"/>
      <c r="AF3554" s="125"/>
      <c r="AG3554" s="125"/>
      <c r="AH3554" s="128"/>
    </row>
    <row r="3555" spans="30:34" x14ac:dyDescent="0.2">
      <c r="AD3555" s="8"/>
      <c r="AE3555" s="126"/>
      <c r="AF3555" s="125"/>
      <c r="AG3555" s="125"/>
      <c r="AH3555" s="128"/>
    </row>
    <row r="3556" spans="30:34" x14ac:dyDescent="0.2">
      <c r="AD3556" s="8"/>
      <c r="AE3556" s="126"/>
      <c r="AF3556" s="125"/>
      <c r="AG3556" s="125"/>
      <c r="AH3556" s="128"/>
    </row>
    <row r="3557" spans="30:34" x14ac:dyDescent="0.2">
      <c r="AD3557" s="8"/>
      <c r="AE3557" s="126"/>
      <c r="AF3557" s="125"/>
      <c r="AG3557" s="125"/>
      <c r="AH3557" s="128"/>
    </row>
    <row r="3558" spans="30:34" x14ac:dyDescent="0.2">
      <c r="AD3558" s="8"/>
      <c r="AE3558" s="126"/>
      <c r="AF3558" s="125"/>
      <c r="AG3558" s="125"/>
      <c r="AH3558" s="128"/>
    </row>
    <row r="3559" spans="30:34" x14ac:dyDescent="0.2">
      <c r="AD3559" s="8"/>
      <c r="AE3559" s="126"/>
      <c r="AF3559" s="125"/>
      <c r="AG3559" s="125"/>
      <c r="AH3559" s="128"/>
    </row>
    <row r="3560" spans="30:34" x14ac:dyDescent="0.2">
      <c r="AD3560" s="8"/>
      <c r="AE3560" s="126"/>
      <c r="AF3560" s="125"/>
      <c r="AG3560" s="125"/>
      <c r="AH3560" s="128"/>
    </row>
    <row r="3561" spans="30:34" x14ac:dyDescent="0.2">
      <c r="AD3561" s="8"/>
      <c r="AE3561" s="126"/>
      <c r="AF3561" s="125"/>
      <c r="AG3561" s="125"/>
      <c r="AH3561" s="128"/>
    </row>
    <row r="3562" spans="30:34" x14ac:dyDescent="0.2">
      <c r="AD3562" s="8"/>
      <c r="AE3562" s="126"/>
      <c r="AF3562" s="125"/>
      <c r="AG3562" s="125"/>
      <c r="AH3562" s="128"/>
    </row>
    <row r="3563" spans="30:34" x14ac:dyDescent="0.2">
      <c r="AD3563" s="8"/>
      <c r="AE3563" s="126"/>
      <c r="AF3563" s="125"/>
      <c r="AG3563" s="125"/>
      <c r="AH3563" s="128"/>
    </row>
    <row r="3564" spans="30:34" x14ac:dyDescent="0.2">
      <c r="AD3564" s="8"/>
      <c r="AE3564" s="126"/>
      <c r="AF3564" s="125"/>
      <c r="AG3564" s="125"/>
      <c r="AH3564" s="128"/>
    </row>
    <row r="3565" spans="30:34" x14ac:dyDescent="0.2">
      <c r="AD3565" s="8"/>
      <c r="AE3565" s="126"/>
      <c r="AF3565" s="125"/>
      <c r="AG3565" s="125"/>
      <c r="AH3565" s="128"/>
    </row>
    <row r="3566" spans="30:34" x14ac:dyDescent="0.2">
      <c r="AD3566" s="8"/>
      <c r="AE3566" s="126"/>
      <c r="AF3566" s="125"/>
      <c r="AG3566" s="125"/>
      <c r="AH3566" s="128"/>
    </row>
    <row r="3567" spans="30:34" x14ac:dyDescent="0.2">
      <c r="AD3567" s="8"/>
      <c r="AE3567" s="126"/>
      <c r="AF3567" s="125"/>
      <c r="AG3567" s="125"/>
      <c r="AH3567" s="128"/>
    </row>
    <row r="3568" spans="30:34" x14ac:dyDescent="0.2">
      <c r="AD3568" s="8"/>
      <c r="AE3568" s="126"/>
      <c r="AF3568" s="125"/>
      <c r="AG3568" s="125"/>
      <c r="AH3568" s="128"/>
    </row>
    <row r="3569" spans="30:34" x14ac:dyDescent="0.2">
      <c r="AD3569" s="8"/>
      <c r="AE3569" s="126"/>
      <c r="AF3569" s="125"/>
      <c r="AG3569" s="125"/>
      <c r="AH3569" s="128"/>
    </row>
    <row r="3570" spans="30:34" x14ac:dyDescent="0.2">
      <c r="AD3570" s="8"/>
      <c r="AE3570" s="126"/>
      <c r="AF3570" s="125"/>
      <c r="AG3570" s="125"/>
      <c r="AH3570" s="128"/>
    </row>
    <row r="3571" spans="30:34" x14ac:dyDescent="0.2">
      <c r="AD3571" s="8"/>
      <c r="AE3571" s="126"/>
      <c r="AF3571" s="125"/>
      <c r="AG3571" s="125"/>
      <c r="AH3571" s="128"/>
    </row>
    <row r="3572" spans="30:34" x14ac:dyDescent="0.2">
      <c r="AD3572" s="8"/>
      <c r="AE3572" s="126"/>
      <c r="AF3572" s="125"/>
      <c r="AG3572" s="125"/>
      <c r="AH3572" s="128"/>
    </row>
    <row r="3573" spans="30:34" x14ac:dyDescent="0.2">
      <c r="AD3573" s="8"/>
      <c r="AE3573" s="126"/>
      <c r="AF3573" s="125"/>
      <c r="AG3573" s="125"/>
      <c r="AH3573" s="128"/>
    </row>
    <row r="3574" spans="30:34" x14ac:dyDescent="0.2">
      <c r="AD3574" s="8"/>
      <c r="AE3574" s="126"/>
      <c r="AF3574" s="125"/>
      <c r="AG3574" s="125"/>
      <c r="AH3574" s="128"/>
    </row>
    <row r="3575" spans="30:34" x14ac:dyDescent="0.2">
      <c r="AD3575" s="8"/>
      <c r="AE3575" s="126"/>
      <c r="AF3575" s="125"/>
      <c r="AG3575" s="125"/>
      <c r="AH3575" s="128"/>
    </row>
    <row r="3576" spans="30:34" x14ac:dyDescent="0.2">
      <c r="AD3576" s="8"/>
      <c r="AE3576" s="126"/>
      <c r="AF3576" s="125"/>
      <c r="AG3576" s="125"/>
      <c r="AH3576" s="128"/>
    </row>
    <row r="3577" spans="30:34" x14ac:dyDescent="0.2">
      <c r="AD3577" s="8"/>
      <c r="AE3577" s="126"/>
      <c r="AF3577" s="125"/>
      <c r="AG3577" s="125"/>
      <c r="AH3577" s="128"/>
    </row>
    <row r="3578" spans="30:34" x14ac:dyDescent="0.2">
      <c r="AD3578" s="8"/>
      <c r="AE3578" s="126"/>
      <c r="AF3578" s="125"/>
      <c r="AG3578" s="125"/>
      <c r="AH3578" s="128"/>
    </row>
    <row r="3579" spans="30:34" x14ac:dyDescent="0.2">
      <c r="AD3579" s="8"/>
      <c r="AE3579" s="126"/>
      <c r="AF3579" s="125"/>
      <c r="AG3579" s="125"/>
      <c r="AH3579" s="128"/>
    </row>
    <row r="3580" spans="30:34" x14ac:dyDescent="0.2">
      <c r="AD3580" s="8"/>
      <c r="AE3580" s="126"/>
      <c r="AF3580" s="125"/>
      <c r="AG3580" s="125"/>
      <c r="AH3580" s="128"/>
    </row>
    <row r="3581" spans="30:34" x14ac:dyDescent="0.2">
      <c r="AD3581" s="8"/>
      <c r="AE3581" s="126"/>
      <c r="AF3581" s="125"/>
      <c r="AG3581" s="125"/>
      <c r="AH3581" s="128"/>
    </row>
    <row r="3582" spans="30:34" x14ac:dyDescent="0.2">
      <c r="AD3582" s="8"/>
      <c r="AE3582" s="126"/>
      <c r="AF3582" s="125"/>
      <c r="AG3582" s="125"/>
      <c r="AH3582" s="128"/>
    </row>
    <row r="3583" spans="30:34" x14ac:dyDescent="0.2">
      <c r="AD3583" s="8"/>
      <c r="AE3583" s="126"/>
      <c r="AF3583" s="125"/>
      <c r="AG3583" s="125"/>
      <c r="AH3583" s="128"/>
    </row>
    <row r="3584" spans="30:34" x14ac:dyDescent="0.2">
      <c r="AD3584" s="8"/>
      <c r="AE3584" s="126"/>
      <c r="AF3584" s="125"/>
      <c r="AG3584" s="125"/>
      <c r="AH3584" s="128"/>
    </row>
    <row r="3585" spans="30:34" x14ac:dyDescent="0.2">
      <c r="AD3585" s="8"/>
      <c r="AE3585" s="126"/>
      <c r="AF3585" s="125"/>
      <c r="AG3585" s="125"/>
      <c r="AH3585" s="128"/>
    </row>
    <row r="3586" spans="30:34" x14ac:dyDescent="0.2">
      <c r="AD3586" s="8"/>
      <c r="AE3586" s="126"/>
      <c r="AF3586" s="125"/>
      <c r="AG3586" s="125"/>
      <c r="AH3586" s="128"/>
    </row>
    <row r="3587" spans="30:34" x14ac:dyDescent="0.2">
      <c r="AD3587" s="8"/>
      <c r="AE3587" s="126"/>
      <c r="AF3587" s="125"/>
      <c r="AG3587" s="125"/>
      <c r="AH3587" s="128"/>
    </row>
    <row r="3588" spans="30:34" x14ac:dyDescent="0.2">
      <c r="AD3588" s="8"/>
      <c r="AE3588" s="126"/>
      <c r="AF3588" s="125"/>
      <c r="AG3588" s="125"/>
      <c r="AH3588" s="128"/>
    </row>
    <row r="3589" spans="30:34" x14ac:dyDescent="0.2">
      <c r="AD3589" s="8"/>
      <c r="AE3589" s="126"/>
      <c r="AF3589" s="125"/>
      <c r="AG3589" s="125"/>
      <c r="AH3589" s="128"/>
    </row>
    <row r="3590" spans="30:34" x14ac:dyDescent="0.2">
      <c r="AD3590" s="8"/>
      <c r="AE3590" s="126"/>
      <c r="AF3590" s="125"/>
      <c r="AG3590" s="125"/>
      <c r="AH3590" s="128"/>
    </row>
    <row r="3591" spans="30:34" x14ac:dyDescent="0.2">
      <c r="AD3591" s="8"/>
      <c r="AE3591" s="126"/>
      <c r="AF3591" s="125"/>
      <c r="AG3591" s="125"/>
      <c r="AH3591" s="128"/>
    </row>
    <row r="3592" spans="30:34" x14ac:dyDescent="0.2">
      <c r="AD3592" s="8"/>
      <c r="AE3592" s="126"/>
      <c r="AF3592" s="125"/>
      <c r="AG3592" s="125"/>
      <c r="AH3592" s="128"/>
    </row>
    <row r="3593" spans="30:34" x14ac:dyDescent="0.2">
      <c r="AD3593" s="8"/>
      <c r="AE3593" s="126"/>
      <c r="AF3593" s="125"/>
      <c r="AG3593" s="125"/>
      <c r="AH3593" s="128"/>
    </row>
    <row r="3594" spans="30:34" x14ac:dyDescent="0.2">
      <c r="AD3594" s="8"/>
      <c r="AE3594" s="126"/>
      <c r="AF3594" s="125"/>
      <c r="AG3594" s="125"/>
      <c r="AH3594" s="128"/>
    </row>
    <row r="3595" spans="30:34" x14ac:dyDescent="0.2">
      <c r="AD3595" s="8"/>
      <c r="AE3595" s="126"/>
      <c r="AF3595" s="125"/>
      <c r="AG3595" s="125"/>
      <c r="AH3595" s="128"/>
    </row>
    <row r="3596" spans="30:34" x14ac:dyDescent="0.2">
      <c r="AD3596" s="8"/>
      <c r="AE3596" s="126"/>
      <c r="AF3596" s="125"/>
      <c r="AG3596" s="125"/>
      <c r="AH3596" s="128"/>
    </row>
    <row r="3597" spans="30:34" x14ac:dyDescent="0.2">
      <c r="AD3597" s="8"/>
      <c r="AE3597" s="126"/>
      <c r="AF3597" s="125"/>
      <c r="AG3597" s="125"/>
      <c r="AH3597" s="128"/>
    </row>
    <row r="3598" spans="30:34" x14ac:dyDescent="0.2">
      <c r="AD3598" s="8"/>
      <c r="AE3598" s="126"/>
      <c r="AF3598" s="125"/>
      <c r="AG3598" s="125"/>
      <c r="AH3598" s="128"/>
    </row>
    <row r="3599" spans="30:34" x14ac:dyDescent="0.2">
      <c r="AD3599" s="8"/>
      <c r="AE3599" s="126"/>
      <c r="AF3599" s="125"/>
      <c r="AG3599" s="125"/>
      <c r="AH3599" s="128"/>
    </row>
    <row r="3600" spans="30:34" x14ac:dyDescent="0.2">
      <c r="AD3600" s="8"/>
      <c r="AE3600" s="126"/>
      <c r="AF3600" s="125"/>
      <c r="AG3600" s="125"/>
      <c r="AH3600" s="128"/>
    </row>
    <row r="3601" spans="30:34" x14ac:dyDescent="0.2">
      <c r="AD3601" s="8"/>
      <c r="AE3601" s="126"/>
      <c r="AF3601" s="125"/>
      <c r="AG3601" s="125"/>
      <c r="AH3601" s="128"/>
    </row>
    <row r="3602" spans="30:34" x14ac:dyDescent="0.2">
      <c r="AD3602" s="8"/>
      <c r="AE3602" s="126"/>
      <c r="AF3602" s="125"/>
      <c r="AG3602" s="125"/>
      <c r="AH3602" s="128"/>
    </row>
    <row r="3603" spans="30:34" x14ac:dyDescent="0.2">
      <c r="AD3603" s="8"/>
      <c r="AE3603" s="126"/>
      <c r="AF3603" s="125"/>
      <c r="AG3603" s="125"/>
      <c r="AH3603" s="128"/>
    </row>
    <row r="3604" spans="30:34" x14ac:dyDescent="0.2">
      <c r="AD3604" s="8"/>
      <c r="AE3604" s="126"/>
      <c r="AF3604" s="125"/>
      <c r="AG3604" s="125"/>
      <c r="AH3604" s="128"/>
    </row>
    <row r="3605" spans="30:34" x14ac:dyDescent="0.2">
      <c r="AD3605" s="8"/>
      <c r="AE3605" s="126"/>
      <c r="AF3605" s="125"/>
      <c r="AG3605" s="125"/>
      <c r="AH3605" s="128"/>
    </row>
    <row r="3606" spans="30:34" x14ac:dyDescent="0.2">
      <c r="AD3606" s="8"/>
      <c r="AE3606" s="126"/>
      <c r="AF3606" s="125"/>
      <c r="AG3606" s="125"/>
      <c r="AH3606" s="128"/>
    </row>
    <row r="3607" spans="30:34" x14ac:dyDescent="0.2">
      <c r="AD3607" s="8"/>
      <c r="AE3607" s="126"/>
      <c r="AF3607" s="125"/>
      <c r="AG3607" s="125"/>
      <c r="AH3607" s="128"/>
    </row>
    <row r="3608" spans="30:34" x14ac:dyDescent="0.2">
      <c r="AD3608" s="8"/>
      <c r="AE3608" s="126"/>
      <c r="AF3608" s="125"/>
      <c r="AG3608" s="125"/>
      <c r="AH3608" s="128"/>
    </row>
    <row r="3609" spans="30:34" x14ac:dyDescent="0.2">
      <c r="AD3609" s="8"/>
      <c r="AE3609" s="126"/>
      <c r="AF3609" s="125"/>
      <c r="AG3609" s="125"/>
      <c r="AH3609" s="128"/>
    </row>
    <row r="3610" spans="30:34" x14ac:dyDescent="0.2">
      <c r="AD3610" s="8"/>
      <c r="AE3610" s="126"/>
      <c r="AF3610" s="125"/>
      <c r="AG3610" s="125"/>
      <c r="AH3610" s="128"/>
    </row>
    <row r="3611" spans="30:34" x14ac:dyDescent="0.2">
      <c r="AD3611" s="8"/>
      <c r="AE3611" s="126"/>
      <c r="AF3611" s="125"/>
      <c r="AG3611" s="125"/>
      <c r="AH3611" s="128"/>
    </row>
    <row r="3612" spans="30:34" x14ac:dyDescent="0.2">
      <c r="AD3612" s="8"/>
      <c r="AE3612" s="126"/>
      <c r="AF3612" s="125"/>
      <c r="AG3612" s="125"/>
      <c r="AH3612" s="128"/>
    </row>
    <row r="3613" spans="30:34" x14ac:dyDescent="0.2">
      <c r="AD3613" s="8"/>
      <c r="AE3613" s="126"/>
      <c r="AF3613" s="125"/>
      <c r="AG3613" s="125"/>
      <c r="AH3613" s="128"/>
    </row>
    <row r="3614" spans="30:34" x14ac:dyDescent="0.2">
      <c r="AD3614" s="8"/>
      <c r="AE3614" s="126"/>
      <c r="AF3614" s="125"/>
      <c r="AG3614" s="125"/>
      <c r="AH3614" s="128"/>
    </row>
    <row r="3615" spans="30:34" x14ac:dyDescent="0.2">
      <c r="AD3615" s="8"/>
      <c r="AE3615" s="126"/>
      <c r="AF3615" s="125"/>
      <c r="AG3615" s="125"/>
      <c r="AH3615" s="128"/>
    </row>
    <row r="3616" spans="30:34" x14ac:dyDescent="0.2">
      <c r="AD3616" s="8"/>
      <c r="AE3616" s="126"/>
      <c r="AF3616" s="125"/>
      <c r="AG3616" s="125"/>
      <c r="AH3616" s="128"/>
    </row>
    <row r="3617" spans="30:34" x14ac:dyDescent="0.2">
      <c r="AD3617" s="8"/>
      <c r="AE3617" s="126"/>
      <c r="AF3617" s="125"/>
      <c r="AG3617" s="125"/>
      <c r="AH3617" s="128"/>
    </row>
    <row r="3618" spans="30:34" x14ac:dyDescent="0.2">
      <c r="AD3618" s="8"/>
      <c r="AE3618" s="126"/>
      <c r="AF3618" s="125"/>
      <c r="AG3618" s="125"/>
      <c r="AH3618" s="128"/>
    </row>
    <row r="3619" spans="30:34" x14ac:dyDescent="0.2">
      <c r="AD3619" s="8"/>
      <c r="AE3619" s="126"/>
      <c r="AF3619" s="125"/>
      <c r="AG3619" s="125"/>
      <c r="AH3619" s="128"/>
    </row>
    <row r="3620" spans="30:34" x14ac:dyDescent="0.2">
      <c r="AD3620" s="8"/>
      <c r="AE3620" s="126"/>
      <c r="AF3620" s="125"/>
      <c r="AG3620" s="125"/>
      <c r="AH3620" s="128"/>
    </row>
    <row r="3621" spans="30:34" x14ac:dyDescent="0.2">
      <c r="AD3621" s="8"/>
      <c r="AE3621" s="126"/>
      <c r="AF3621" s="125"/>
      <c r="AG3621" s="125"/>
      <c r="AH3621" s="128"/>
    </row>
    <row r="3622" spans="30:34" x14ac:dyDescent="0.2">
      <c r="AD3622" s="8"/>
      <c r="AE3622" s="126"/>
      <c r="AF3622" s="125"/>
      <c r="AG3622" s="125"/>
      <c r="AH3622" s="128"/>
    </row>
    <row r="3623" spans="30:34" x14ac:dyDescent="0.2">
      <c r="AD3623" s="8"/>
      <c r="AE3623" s="126"/>
      <c r="AF3623" s="125"/>
      <c r="AG3623" s="125"/>
      <c r="AH3623" s="128"/>
    </row>
    <row r="3624" spans="30:34" x14ac:dyDescent="0.2">
      <c r="AD3624" s="8"/>
      <c r="AE3624" s="126"/>
      <c r="AF3624" s="125"/>
      <c r="AG3624" s="125"/>
      <c r="AH3624" s="128"/>
    </row>
    <row r="3625" spans="30:34" x14ac:dyDescent="0.2">
      <c r="AD3625" s="8"/>
      <c r="AE3625" s="126"/>
      <c r="AF3625" s="125"/>
      <c r="AG3625" s="125"/>
      <c r="AH3625" s="128"/>
    </row>
    <row r="3626" spans="30:34" x14ac:dyDescent="0.2">
      <c r="AD3626" s="8"/>
      <c r="AE3626" s="126"/>
      <c r="AF3626" s="125"/>
      <c r="AG3626" s="125"/>
      <c r="AH3626" s="128"/>
    </row>
    <row r="3627" spans="30:34" x14ac:dyDescent="0.2">
      <c r="AD3627" s="8"/>
      <c r="AE3627" s="126"/>
      <c r="AF3627" s="125"/>
      <c r="AG3627" s="125"/>
      <c r="AH3627" s="128"/>
    </row>
    <row r="3628" spans="30:34" x14ac:dyDescent="0.2">
      <c r="AD3628" s="8"/>
      <c r="AE3628" s="126"/>
      <c r="AF3628" s="125"/>
      <c r="AG3628" s="125"/>
      <c r="AH3628" s="128"/>
    </row>
    <row r="3629" spans="30:34" x14ac:dyDescent="0.2">
      <c r="AD3629" s="8"/>
      <c r="AE3629" s="126"/>
      <c r="AF3629" s="125"/>
      <c r="AG3629" s="125"/>
      <c r="AH3629" s="128"/>
    </row>
    <row r="3630" spans="30:34" x14ac:dyDescent="0.2">
      <c r="AD3630" s="8"/>
      <c r="AE3630" s="126"/>
      <c r="AF3630" s="125"/>
      <c r="AG3630" s="125"/>
      <c r="AH3630" s="128"/>
    </row>
    <row r="3631" spans="30:34" x14ac:dyDescent="0.2">
      <c r="AD3631" s="8"/>
      <c r="AE3631" s="126"/>
      <c r="AF3631" s="125"/>
      <c r="AG3631" s="125"/>
      <c r="AH3631" s="128"/>
    </row>
    <row r="3632" spans="30:34" x14ac:dyDescent="0.2">
      <c r="AD3632" s="8"/>
      <c r="AE3632" s="126"/>
      <c r="AF3632" s="125"/>
      <c r="AG3632" s="125"/>
      <c r="AH3632" s="128"/>
    </row>
    <row r="3633" spans="30:34" x14ac:dyDescent="0.2">
      <c r="AD3633" s="8"/>
      <c r="AE3633" s="126"/>
      <c r="AF3633" s="125"/>
      <c r="AG3633" s="125"/>
      <c r="AH3633" s="128"/>
    </row>
    <row r="3634" spans="30:34" x14ac:dyDescent="0.2">
      <c r="AD3634" s="8"/>
      <c r="AE3634" s="126"/>
      <c r="AF3634" s="125"/>
      <c r="AG3634" s="125"/>
      <c r="AH3634" s="128"/>
    </row>
    <row r="3635" spans="30:34" x14ac:dyDescent="0.2">
      <c r="AD3635" s="8"/>
      <c r="AE3635" s="126"/>
      <c r="AF3635" s="125"/>
      <c r="AG3635" s="125"/>
      <c r="AH3635" s="128"/>
    </row>
    <row r="3636" spans="30:34" x14ac:dyDescent="0.2">
      <c r="AD3636" s="8"/>
      <c r="AE3636" s="126"/>
      <c r="AF3636" s="125"/>
      <c r="AG3636" s="125"/>
      <c r="AH3636" s="128"/>
    </row>
    <row r="3637" spans="30:34" x14ac:dyDescent="0.2">
      <c r="AD3637" s="8"/>
      <c r="AE3637" s="126"/>
      <c r="AF3637" s="125"/>
      <c r="AG3637" s="125"/>
      <c r="AH3637" s="128"/>
    </row>
    <row r="3638" spans="30:34" x14ac:dyDescent="0.2">
      <c r="AD3638" s="8"/>
      <c r="AE3638" s="126"/>
      <c r="AF3638" s="125"/>
      <c r="AG3638" s="125"/>
      <c r="AH3638" s="128"/>
    </row>
    <row r="3639" spans="30:34" x14ac:dyDescent="0.2">
      <c r="AD3639" s="8"/>
      <c r="AE3639" s="126"/>
      <c r="AF3639" s="125"/>
      <c r="AG3639" s="125"/>
      <c r="AH3639" s="128"/>
    </row>
    <row r="3640" spans="30:34" x14ac:dyDescent="0.2">
      <c r="AD3640" s="8"/>
      <c r="AE3640" s="126"/>
      <c r="AF3640" s="125"/>
      <c r="AG3640" s="125"/>
      <c r="AH3640" s="128"/>
    </row>
    <row r="3641" spans="30:34" x14ac:dyDescent="0.2">
      <c r="AD3641" s="8"/>
      <c r="AE3641" s="126"/>
      <c r="AF3641" s="125"/>
      <c r="AG3641" s="125"/>
      <c r="AH3641" s="128"/>
    </row>
    <row r="3642" spans="30:34" x14ac:dyDescent="0.2">
      <c r="AD3642" s="8"/>
      <c r="AE3642" s="126"/>
      <c r="AF3642" s="125"/>
      <c r="AG3642" s="125"/>
      <c r="AH3642" s="128"/>
    </row>
    <row r="3643" spans="30:34" x14ac:dyDescent="0.2">
      <c r="AD3643" s="8"/>
      <c r="AE3643" s="126"/>
      <c r="AF3643" s="125"/>
      <c r="AG3643" s="125"/>
      <c r="AH3643" s="128"/>
    </row>
    <row r="3644" spans="30:34" x14ac:dyDescent="0.2">
      <c r="AD3644" s="8"/>
      <c r="AE3644" s="126"/>
      <c r="AF3644" s="125"/>
      <c r="AG3644" s="125"/>
      <c r="AH3644" s="128"/>
    </row>
    <row r="3645" spans="30:34" x14ac:dyDescent="0.2">
      <c r="AD3645" s="8"/>
      <c r="AE3645" s="126"/>
      <c r="AF3645" s="125"/>
      <c r="AG3645" s="125"/>
      <c r="AH3645" s="128"/>
    </row>
    <row r="3646" spans="30:34" x14ac:dyDescent="0.2">
      <c r="AD3646" s="8"/>
      <c r="AE3646" s="126"/>
      <c r="AF3646" s="125"/>
      <c r="AG3646" s="125"/>
      <c r="AH3646" s="128"/>
    </row>
    <row r="3647" spans="30:34" x14ac:dyDescent="0.2">
      <c r="AD3647" s="8"/>
      <c r="AE3647" s="126"/>
      <c r="AF3647" s="125"/>
      <c r="AG3647" s="125"/>
      <c r="AH3647" s="128"/>
    </row>
    <row r="3648" spans="30:34" x14ac:dyDescent="0.2">
      <c r="AD3648" s="8"/>
      <c r="AE3648" s="126"/>
      <c r="AF3648" s="125"/>
      <c r="AG3648" s="125"/>
      <c r="AH3648" s="128"/>
    </row>
    <row r="3649" spans="30:34" x14ac:dyDescent="0.2">
      <c r="AD3649" s="8"/>
      <c r="AE3649" s="126"/>
      <c r="AF3649" s="125"/>
      <c r="AG3649" s="125"/>
      <c r="AH3649" s="128"/>
    </row>
    <row r="3650" spans="30:34" x14ac:dyDescent="0.2">
      <c r="AD3650" s="8"/>
      <c r="AE3650" s="126"/>
      <c r="AF3650" s="125"/>
      <c r="AG3650" s="125"/>
      <c r="AH3650" s="128"/>
    </row>
    <row r="3651" spans="30:34" x14ac:dyDescent="0.2">
      <c r="AD3651" s="8"/>
      <c r="AE3651" s="126"/>
      <c r="AF3651" s="125"/>
      <c r="AG3651" s="125"/>
      <c r="AH3651" s="128"/>
    </row>
    <row r="3652" spans="30:34" x14ac:dyDescent="0.2">
      <c r="AD3652" s="8"/>
      <c r="AE3652" s="126"/>
      <c r="AF3652" s="125"/>
      <c r="AG3652" s="125"/>
      <c r="AH3652" s="128"/>
    </row>
    <row r="3653" spans="30:34" x14ac:dyDescent="0.2">
      <c r="AD3653" s="8"/>
      <c r="AE3653" s="126"/>
      <c r="AF3653" s="125"/>
      <c r="AG3653" s="125"/>
      <c r="AH3653" s="128"/>
    </row>
    <row r="3654" spans="30:34" x14ac:dyDescent="0.2">
      <c r="AD3654" s="8"/>
      <c r="AE3654" s="126"/>
      <c r="AF3654" s="125"/>
      <c r="AG3654" s="125"/>
      <c r="AH3654" s="128"/>
    </row>
    <row r="3655" spans="30:34" x14ac:dyDescent="0.2">
      <c r="AD3655" s="8"/>
      <c r="AE3655" s="126"/>
      <c r="AF3655" s="125"/>
      <c r="AG3655" s="125"/>
      <c r="AH3655" s="128"/>
    </row>
    <row r="3656" spans="30:34" x14ac:dyDescent="0.2">
      <c r="AD3656" s="8"/>
      <c r="AE3656" s="126"/>
      <c r="AF3656" s="125"/>
      <c r="AG3656" s="125"/>
      <c r="AH3656" s="128"/>
    </row>
    <row r="3657" spans="30:34" x14ac:dyDescent="0.2">
      <c r="AD3657" s="8"/>
      <c r="AE3657" s="126"/>
      <c r="AF3657" s="125"/>
      <c r="AG3657" s="125"/>
      <c r="AH3657" s="128"/>
    </row>
    <row r="3658" spans="30:34" x14ac:dyDescent="0.2">
      <c r="AD3658" s="8"/>
      <c r="AE3658" s="126"/>
      <c r="AF3658" s="125"/>
      <c r="AG3658" s="125"/>
      <c r="AH3658" s="128"/>
    </row>
    <row r="3659" spans="30:34" x14ac:dyDescent="0.2">
      <c r="AD3659" s="8"/>
      <c r="AE3659" s="126"/>
      <c r="AF3659" s="125"/>
      <c r="AG3659" s="125"/>
      <c r="AH3659" s="128"/>
    </row>
    <row r="3660" spans="30:34" x14ac:dyDescent="0.2">
      <c r="AD3660" s="8"/>
      <c r="AE3660" s="126"/>
      <c r="AF3660" s="125"/>
      <c r="AG3660" s="125"/>
      <c r="AH3660" s="128"/>
    </row>
    <row r="3661" spans="30:34" x14ac:dyDescent="0.2">
      <c r="AD3661" s="8"/>
      <c r="AE3661" s="126"/>
      <c r="AF3661" s="125"/>
      <c r="AG3661" s="125"/>
      <c r="AH3661" s="128"/>
    </row>
    <row r="3662" spans="30:34" x14ac:dyDescent="0.2">
      <c r="AD3662" s="8"/>
      <c r="AE3662" s="126"/>
      <c r="AF3662" s="125"/>
      <c r="AG3662" s="125"/>
      <c r="AH3662" s="128"/>
    </row>
    <row r="3663" spans="30:34" x14ac:dyDescent="0.2">
      <c r="AD3663" s="8"/>
      <c r="AE3663" s="126"/>
      <c r="AF3663" s="125"/>
      <c r="AG3663" s="125"/>
      <c r="AH3663" s="128"/>
    </row>
    <row r="3664" spans="30:34" x14ac:dyDescent="0.2">
      <c r="AD3664" s="8"/>
      <c r="AE3664" s="126"/>
      <c r="AF3664" s="125"/>
      <c r="AG3664" s="125"/>
      <c r="AH3664" s="128"/>
    </row>
    <row r="3665" spans="30:34" x14ac:dyDescent="0.2">
      <c r="AD3665" s="8"/>
      <c r="AE3665" s="126"/>
      <c r="AF3665" s="125"/>
      <c r="AG3665" s="125"/>
      <c r="AH3665" s="128"/>
    </row>
    <row r="3666" spans="30:34" x14ac:dyDescent="0.2">
      <c r="AD3666" s="8"/>
      <c r="AE3666" s="126"/>
      <c r="AF3666" s="125"/>
      <c r="AG3666" s="125"/>
      <c r="AH3666" s="128"/>
    </row>
    <row r="3667" spans="30:34" x14ac:dyDescent="0.2">
      <c r="AD3667" s="8"/>
      <c r="AE3667" s="126"/>
      <c r="AF3667" s="125"/>
      <c r="AG3667" s="125"/>
      <c r="AH3667" s="128"/>
    </row>
    <row r="3668" spans="30:34" x14ac:dyDescent="0.2">
      <c r="AD3668" s="8"/>
      <c r="AE3668" s="126"/>
      <c r="AF3668" s="125"/>
      <c r="AG3668" s="125"/>
      <c r="AH3668" s="128"/>
    </row>
    <row r="3669" spans="30:34" x14ac:dyDescent="0.2">
      <c r="AD3669" s="8"/>
      <c r="AE3669" s="126"/>
      <c r="AF3669" s="125"/>
      <c r="AG3669" s="125"/>
      <c r="AH3669" s="128"/>
    </row>
    <row r="3670" spans="30:34" x14ac:dyDescent="0.2">
      <c r="AD3670" s="8"/>
      <c r="AE3670" s="126"/>
      <c r="AF3670" s="125"/>
      <c r="AG3670" s="125"/>
      <c r="AH3670" s="128"/>
    </row>
    <row r="3671" spans="30:34" x14ac:dyDescent="0.2">
      <c r="AD3671" s="8"/>
      <c r="AE3671" s="126"/>
      <c r="AF3671" s="125"/>
      <c r="AG3671" s="125"/>
      <c r="AH3671" s="128"/>
    </row>
    <row r="3672" spans="30:34" x14ac:dyDescent="0.2">
      <c r="AD3672" s="8"/>
      <c r="AE3672" s="126"/>
      <c r="AF3672" s="125"/>
      <c r="AG3672" s="125"/>
      <c r="AH3672" s="128"/>
    </row>
    <row r="3673" spans="30:34" x14ac:dyDescent="0.2">
      <c r="AD3673" s="8"/>
      <c r="AE3673" s="126"/>
      <c r="AF3673" s="125"/>
      <c r="AG3673" s="125"/>
      <c r="AH3673" s="128"/>
    </row>
    <row r="3674" spans="30:34" x14ac:dyDescent="0.2">
      <c r="AD3674" s="8"/>
      <c r="AE3674" s="126"/>
      <c r="AF3674" s="125"/>
      <c r="AG3674" s="125"/>
      <c r="AH3674" s="128"/>
    </row>
    <row r="3675" spans="30:34" x14ac:dyDescent="0.2">
      <c r="AD3675" s="8"/>
      <c r="AE3675" s="126"/>
      <c r="AF3675" s="125"/>
      <c r="AG3675" s="125"/>
      <c r="AH3675" s="128"/>
    </row>
    <row r="3676" spans="30:34" x14ac:dyDescent="0.2">
      <c r="AD3676" s="8"/>
      <c r="AE3676" s="126"/>
      <c r="AF3676" s="125"/>
      <c r="AG3676" s="125"/>
      <c r="AH3676" s="128"/>
    </row>
    <row r="3677" spans="30:34" x14ac:dyDescent="0.2">
      <c r="AD3677" s="8"/>
      <c r="AE3677" s="126"/>
      <c r="AF3677" s="125"/>
      <c r="AG3677" s="125"/>
      <c r="AH3677" s="128"/>
    </row>
    <row r="3678" spans="30:34" x14ac:dyDescent="0.2">
      <c r="AD3678" s="8"/>
      <c r="AE3678" s="126"/>
      <c r="AF3678" s="125"/>
      <c r="AG3678" s="125"/>
      <c r="AH3678" s="128"/>
    </row>
    <row r="3679" spans="30:34" x14ac:dyDescent="0.2">
      <c r="AD3679" s="8"/>
      <c r="AE3679" s="126"/>
      <c r="AF3679" s="125"/>
      <c r="AG3679" s="125"/>
      <c r="AH3679" s="128"/>
    </row>
    <row r="3680" spans="30:34" x14ac:dyDescent="0.2">
      <c r="AD3680" s="8"/>
      <c r="AE3680" s="126"/>
      <c r="AF3680" s="125"/>
      <c r="AG3680" s="125"/>
      <c r="AH3680" s="128"/>
    </row>
    <row r="3681" spans="30:34" x14ac:dyDescent="0.2">
      <c r="AD3681" s="8"/>
      <c r="AE3681" s="126"/>
      <c r="AF3681" s="125"/>
      <c r="AG3681" s="125"/>
      <c r="AH3681" s="128"/>
    </row>
    <row r="3682" spans="30:34" x14ac:dyDescent="0.2">
      <c r="AD3682" s="8"/>
      <c r="AE3682" s="126"/>
      <c r="AF3682" s="125"/>
      <c r="AG3682" s="125"/>
      <c r="AH3682" s="128"/>
    </row>
    <row r="3683" spans="30:34" x14ac:dyDescent="0.2">
      <c r="AD3683" s="8"/>
      <c r="AE3683" s="126"/>
      <c r="AF3683" s="125"/>
      <c r="AG3683" s="125"/>
      <c r="AH3683" s="128"/>
    </row>
    <row r="3684" spans="30:34" x14ac:dyDescent="0.2">
      <c r="AD3684" s="8"/>
      <c r="AE3684" s="126"/>
      <c r="AF3684" s="125"/>
      <c r="AG3684" s="125"/>
      <c r="AH3684" s="128"/>
    </row>
    <row r="3685" spans="30:34" x14ac:dyDescent="0.2">
      <c r="AD3685" s="8"/>
      <c r="AE3685" s="126"/>
      <c r="AF3685" s="125"/>
      <c r="AG3685" s="125"/>
      <c r="AH3685" s="128"/>
    </row>
    <row r="3686" spans="30:34" x14ac:dyDescent="0.2">
      <c r="AD3686" s="8"/>
      <c r="AE3686" s="126"/>
      <c r="AF3686" s="125"/>
      <c r="AG3686" s="125"/>
      <c r="AH3686" s="128"/>
    </row>
    <row r="3687" spans="30:34" x14ac:dyDescent="0.2">
      <c r="AD3687" s="8"/>
      <c r="AE3687" s="126"/>
      <c r="AF3687" s="125"/>
      <c r="AG3687" s="125"/>
      <c r="AH3687" s="128"/>
    </row>
    <row r="3688" spans="30:34" x14ac:dyDescent="0.2">
      <c r="AD3688" s="8"/>
      <c r="AE3688" s="126"/>
      <c r="AF3688" s="125"/>
      <c r="AG3688" s="125"/>
      <c r="AH3688" s="128"/>
    </row>
    <row r="3689" spans="30:34" x14ac:dyDescent="0.2">
      <c r="AD3689" s="8"/>
      <c r="AE3689" s="126"/>
      <c r="AF3689" s="125"/>
      <c r="AG3689" s="125"/>
      <c r="AH3689" s="128"/>
    </row>
    <row r="3690" spans="30:34" x14ac:dyDescent="0.2">
      <c r="AD3690" s="8"/>
      <c r="AE3690" s="126"/>
      <c r="AF3690" s="125"/>
      <c r="AG3690" s="125"/>
      <c r="AH3690" s="128"/>
    </row>
    <row r="3691" spans="30:34" x14ac:dyDescent="0.2">
      <c r="AD3691" s="8"/>
      <c r="AE3691" s="126"/>
      <c r="AF3691" s="125"/>
      <c r="AG3691" s="125"/>
      <c r="AH3691" s="128"/>
    </row>
    <row r="3692" spans="30:34" x14ac:dyDescent="0.2">
      <c r="AD3692" s="8"/>
      <c r="AE3692" s="126"/>
      <c r="AF3692" s="125"/>
      <c r="AG3692" s="125"/>
      <c r="AH3692" s="128"/>
    </row>
    <row r="3693" spans="30:34" x14ac:dyDescent="0.2">
      <c r="AD3693" s="8"/>
      <c r="AE3693" s="126"/>
      <c r="AF3693" s="125"/>
      <c r="AG3693" s="125"/>
      <c r="AH3693" s="128"/>
    </row>
    <row r="3694" spans="30:34" x14ac:dyDescent="0.2">
      <c r="AD3694" s="8"/>
      <c r="AE3694" s="126"/>
      <c r="AF3694" s="125"/>
      <c r="AG3694" s="125"/>
      <c r="AH3694" s="128"/>
    </row>
    <row r="3695" spans="30:34" x14ac:dyDescent="0.2">
      <c r="AD3695" s="8"/>
      <c r="AE3695" s="126"/>
      <c r="AF3695" s="125"/>
      <c r="AG3695" s="125"/>
      <c r="AH3695" s="128"/>
    </row>
    <row r="3696" spans="30:34" x14ac:dyDescent="0.2">
      <c r="AD3696" s="8"/>
      <c r="AE3696" s="126"/>
      <c r="AF3696" s="125"/>
      <c r="AG3696" s="125"/>
      <c r="AH3696" s="128"/>
    </row>
    <row r="3697" spans="30:34" x14ac:dyDescent="0.2">
      <c r="AD3697" s="8"/>
      <c r="AE3697" s="126"/>
      <c r="AF3697" s="125"/>
      <c r="AG3697" s="125"/>
      <c r="AH3697" s="128"/>
    </row>
    <row r="3698" spans="30:34" x14ac:dyDescent="0.2">
      <c r="AD3698" s="8"/>
      <c r="AE3698" s="126"/>
      <c r="AF3698" s="125"/>
      <c r="AG3698" s="125"/>
      <c r="AH3698" s="128"/>
    </row>
    <row r="3699" spans="30:34" x14ac:dyDescent="0.2">
      <c r="AD3699" s="8"/>
      <c r="AE3699" s="126"/>
      <c r="AF3699" s="125"/>
      <c r="AG3699" s="125"/>
      <c r="AH3699" s="128"/>
    </row>
    <row r="3700" spans="30:34" x14ac:dyDescent="0.2">
      <c r="AD3700" s="8"/>
      <c r="AE3700" s="126"/>
      <c r="AF3700" s="125"/>
      <c r="AG3700" s="125"/>
      <c r="AH3700" s="128"/>
    </row>
    <row r="3701" spans="30:34" x14ac:dyDescent="0.2">
      <c r="AD3701" s="8"/>
      <c r="AE3701" s="126"/>
      <c r="AF3701" s="125"/>
      <c r="AG3701" s="125"/>
      <c r="AH3701" s="128"/>
    </row>
    <row r="3702" spans="30:34" x14ac:dyDescent="0.2">
      <c r="AD3702" s="8"/>
      <c r="AE3702" s="126"/>
      <c r="AF3702" s="125"/>
      <c r="AG3702" s="125"/>
      <c r="AH3702" s="128"/>
    </row>
    <row r="3703" spans="30:34" x14ac:dyDescent="0.2">
      <c r="AD3703" s="8"/>
      <c r="AE3703" s="126"/>
      <c r="AF3703" s="125"/>
      <c r="AG3703" s="125"/>
      <c r="AH3703" s="128"/>
    </row>
    <row r="3704" spans="30:34" x14ac:dyDescent="0.2">
      <c r="AD3704" s="8"/>
      <c r="AE3704" s="126"/>
      <c r="AF3704" s="125"/>
      <c r="AG3704" s="125"/>
      <c r="AH3704" s="128"/>
    </row>
    <row r="3705" spans="30:34" x14ac:dyDescent="0.2">
      <c r="AD3705" s="8"/>
      <c r="AE3705" s="126"/>
      <c r="AF3705" s="125"/>
      <c r="AG3705" s="125"/>
      <c r="AH3705" s="128"/>
    </row>
    <row r="3706" spans="30:34" x14ac:dyDescent="0.2">
      <c r="AD3706" s="8"/>
      <c r="AE3706" s="126"/>
      <c r="AF3706" s="125"/>
      <c r="AG3706" s="125"/>
      <c r="AH3706" s="128"/>
    </row>
    <row r="3707" spans="30:34" x14ac:dyDescent="0.2">
      <c r="AD3707" s="8"/>
      <c r="AE3707" s="126"/>
      <c r="AF3707" s="125"/>
      <c r="AG3707" s="125"/>
      <c r="AH3707" s="128"/>
    </row>
    <row r="3708" spans="30:34" x14ac:dyDescent="0.2">
      <c r="AD3708" s="8"/>
      <c r="AE3708" s="126"/>
      <c r="AF3708" s="125"/>
      <c r="AG3708" s="125"/>
      <c r="AH3708" s="128"/>
    </row>
    <row r="3709" spans="30:34" x14ac:dyDescent="0.2">
      <c r="AD3709" s="8"/>
      <c r="AE3709" s="126"/>
      <c r="AF3709" s="125"/>
      <c r="AG3709" s="125"/>
      <c r="AH3709" s="128"/>
    </row>
    <row r="3710" spans="30:34" x14ac:dyDescent="0.2">
      <c r="AD3710" s="8"/>
      <c r="AE3710" s="126"/>
      <c r="AF3710" s="125"/>
      <c r="AG3710" s="125"/>
      <c r="AH3710" s="128"/>
    </row>
    <row r="3711" spans="30:34" x14ac:dyDescent="0.2">
      <c r="AD3711" s="8"/>
      <c r="AE3711" s="126"/>
      <c r="AF3711" s="125"/>
      <c r="AG3711" s="125"/>
      <c r="AH3711" s="128"/>
    </row>
    <row r="3712" spans="30:34" x14ac:dyDescent="0.2">
      <c r="AD3712" s="8"/>
      <c r="AE3712" s="126"/>
      <c r="AF3712" s="125"/>
      <c r="AG3712" s="125"/>
      <c r="AH3712" s="128"/>
    </row>
    <row r="3713" spans="30:34" x14ac:dyDescent="0.2">
      <c r="AD3713" s="8"/>
      <c r="AE3713" s="126"/>
      <c r="AF3713" s="125"/>
      <c r="AG3713" s="125"/>
      <c r="AH3713" s="128"/>
    </row>
    <row r="3714" spans="30:34" x14ac:dyDescent="0.2">
      <c r="AD3714" s="8"/>
      <c r="AE3714" s="126"/>
      <c r="AF3714" s="125"/>
      <c r="AG3714" s="125"/>
      <c r="AH3714" s="128"/>
    </row>
    <row r="3715" spans="30:34" x14ac:dyDescent="0.2">
      <c r="AD3715" s="8"/>
      <c r="AE3715" s="126"/>
      <c r="AF3715" s="125"/>
      <c r="AG3715" s="125"/>
      <c r="AH3715" s="128"/>
    </row>
    <row r="3716" spans="30:34" x14ac:dyDescent="0.2">
      <c r="AD3716" s="8"/>
      <c r="AE3716" s="126"/>
      <c r="AF3716" s="125"/>
      <c r="AG3716" s="125"/>
      <c r="AH3716" s="128"/>
    </row>
    <row r="3717" spans="30:34" x14ac:dyDescent="0.2">
      <c r="AD3717" s="8"/>
      <c r="AE3717" s="126"/>
      <c r="AF3717" s="125"/>
      <c r="AG3717" s="125"/>
      <c r="AH3717" s="128"/>
    </row>
    <row r="3718" spans="30:34" x14ac:dyDescent="0.2">
      <c r="AD3718" s="8"/>
      <c r="AE3718" s="126"/>
      <c r="AF3718" s="125"/>
      <c r="AG3718" s="125"/>
      <c r="AH3718" s="128"/>
    </row>
    <row r="3719" spans="30:34" x14ac:dyDescent="0.2">
      <c r="AD3719" s="8"/>
      <c r="AE3719" s="126"/>
      <c r="AF3719" s="125"/>
      <c r="AG3719" s="125"/>
      <c r="AH3719" s="128"/>
    </row>
    <row r="3720" spans="30:34" x14ac:dyDescent="0.2">
      <c r="AD3720" s="8"/>
      <c r="AE3720" s="126"/>
      <c r="AF3720" s="125"/>
      <c r="AG3720" s="125"/>
      <c r="AH3720" s="128"/>
    </row>
    <row r="3721" spans="30:34" x14ac:dyDescent="0.2">
      <c r="AD3721" s="8"/>
      <c r="AE3721" s="126"/>
      <c r="AF3721" s="125"/>
      <c r="AG3721" s="125"/>
      <c r="AH3721" s="128"/>
    </row>
    <row r="3722" spans="30:34" x14ac:dyDescent="0.2">
      <c r="AD3722" s="8"/>
      <c r="AE3722" s="126"/>
      <c r="AF3722" s="125"/>
      <c r="AG3722" s="125"/>
      <c r="AH3722" s="128"/>
    </row>
    <row r="3723" spans="30:34" x14ac:dyDescent="0.2">
      <c r="AD3723" s="8"/>
      <c r="AE3723" s="126"/>
      <c r="AF3723" s="125"/>
      <c r="AG3723" s="125"/>
      <c r="AH3723" s="128"/>
    </row>
    <row r="3724" spans="30:34" x14ac:dyDescent="0.2">
      <c r="AD3724" s="8"/>
      <c r="AE3724" s="126"/>
      <c r="AF3724" s="125"/>
      <c r="AG3724" s="125"/>
      <c r="AH3724" s="128"/>
    </row>
    <row r="3725" spans="30:34" x14ac:dyDescent="0.2">
      <c r="AD3725" s="8"/>
      <c r="AE3725" s="126"/>
      <c r="AF3725" s="125"/>
      <c r="AG3725" s="125"/>
      <c r="AH3725" s="128"/>
    </row>
    <row r="3726" spans="30:34" x14ac:dyDescent="0.2">
      <c r="AD3726" s="8"/>
      <c r="AE3726" s="126"/>
      <c r="AF3726" s="125"/>
      <c r="AG3726" s="125"/>
      <c r="AH3726" s="128"/>
    </row>
    <row r="3727" spans="30:34" x14ac:dyDescent="0.2">
      <c r="AD3727" s="8"/>
      <c r="AE3727" s="126"/>
      <c r="AF3727" s="125"/>
      <c r="AG3727" s="125"/>
      <c r="AH3727" s="128"/>
    </row>
    <row r="3728" spans="30:34" x14ac:dyDescent="0.2">
      <c r="AD3728" s="8"/>
      <c r="AE3728" s="126"/>
      <c r="AF3728" s="125"/>
      <c r="AG3728" s="125"/>
      <c r="AH3728" s="128"/>
    </row>
    <row r="3729" spans="30:34" x14ac:dyDescent="0.2">
      <c r="AD3729" s="8"/>
      <c r="AE3729" s="126"/>
      <c r="AF3729" s="125"/>
      <c r="AG3729" s="125"/>
      <c r="AH3729" s="128"/>
    </row>
    <row r="3730" spans="30:34" x14ac:dyDescent="0.2">
      <c r="AD3730" s="8"/>
      <c r="AE3730" s="126"/>
      <c r="AF3730" s="125"/>
      <c r="AG3730" s="125"/>
      <c r="AH3730" s="128"/>
    </row>
    <row r="3731" spans="30:34" x14ac:dyDescent="0.2">
      <c r="AD3731" s="8"/>
      <c r="AE3731" s="126"/>
      <c r="AF3731" s="125"/>
      <c r="AG3731" s="125"/>
      <c r="AH3731" s="128"/>
    </row>
    <row r="3732" spans="30:34" x14ac:dyDescent="0.2">
      <c r="AD3732" s="8"/>
      <c r="AE3732" s="126"/>
      <c r="AF3732" s="125"/>
      <c r="AG3732" s="125"/>
      <c r="AH3732" s="128"/>
    </row>
    <row r="3733" spans="30:34" x14ac:dyDescent="0.2">
      <c r="AD3733" s="8"/>
      <c r="AE3733" s="126"/>
      <c r="AF3733" s="125"/>
      <c r="AG3733" s="125"/>
      <c r="AH3733" s="128"/>
    </row>
    <row r="3734" spans="30:34" x14ac:dyDescent="0.2">
      <c r="AD3734" s="8"/>
      <c r="AE3734" s="126"/>
      <c r="AF3734" s="125"/>
      <c r="AG3734" s="125"/>
      <c r="AH3734" s="128"/>
    </row>
    <row r="3735" spans="30:34" x14ac:dyDescent="0.2">
      <c r="AD3735" s="8"/>
      <c r="AE3735" s="126"/>
      <c r="AF3735" s="125"/>
      <c r="AG3735" s="125"/>
      <c r="AH3735" s="128"/>
    </row>
    <row r="3736" spans="30:34" x14ac:dyDescent="0.2">
      <c r="AD3736" s="8"/>
      <c r="AE3736" s="126"/>
      <c r="AF3736" s="125"/>
      <c r="AG3736" s="125"/>
      <c r="AH3736" s="128"/>
    </row>
    <row r="3737" spans="30:34" x14ac:dyDescent="0.2">
      <c r="AD3737" s="8"/>
      <c r="AE3737" s="126"/>
      <c r="AF3737" s="125"/>
      <c r="AG3737" s="125"/>
      <c r="AH3737" s="128"/>
    </row>
    <row r="3738" spans="30:34" x14ac:dyDescent="0.2">
      <c r="AD3738" s="8"/>
      <c r="AE3738" s="126"/>
      <c r="AF3738" s="125"/>
      <c r="AG3738" s="125"/>
      <c r="AH3738" s="128"/>
    </row>
    <row r="3739" spans="30:34" x14ac:dyDescent="0.2">
      <c r="AD3739" s="8"/>
      <c r="AE3739" s="126"/>
      <c r="AF3739" s="125"/>
      <c r="AG3739" s="125"/>
      <c r="AH3739" s="128"/>
    </row>
    <row r="3740" spans="30:34" x14ac:dyDescent="0.2">
      <c r="AD3740" s="8"/>
      <c r="AE3740" s="126"/>
      <c r="AF3740" s="125"/>
      <c r="AG3740" s="125"/>
      <c r="AH3740" s="128"/>
    </row>
    <row r="3741" spans="30:34" x14ac:dyDescent="0.2">
      <c r="AD3741" s="8"/>
      <c r="AE3741" s="126"/>
      <c r="AF3741" s="125"/>
      <c r="AG3741" s="125"/>
      <c r="AH3741" s="128"/>
    </row>
    <row r="3742" spans="30:34" x14ac:dyDescent="0.2">
      <c r="AD3742" s="8"/>
      <c r="AE3742" s="126"/>
      <c r="AF3742" s="125"/>
      <c r="AG3742" s="125"/>
      <c r="AH3742" s="128"/>
    </row>
    <row r="3743" spans="30:34" x14ac:dyDescent="0.2">
      <c r="AD3743" s="8"/>
      <c r="AE3743" s="126"/>
      <c r="AF3743" s="125"/>
      <c r="AG3743" s="125"/>
      <c r="AH3743" s="128"/>
    </row>
    <row r="3744" spans="30:34" x14ac:dyDescent="0.2">
      <c r="AD3744" s="8"/>
      <c r="AE3744" s="126"/>
      <c r="AF3744" s="125"/>
      <c r="AG3744" s="125"/>
      <c r="AH3744" s="128"/>
    </row>
    <row r="3745" spans="30:34" x14ac:dyDescent="0.2">
      <c r="AD3745" s="8"/>
      <c r="AE3745" s="126"/>
      <c r="AF3745" s="125"/>
      <c r="AG3745" s="125"/>
      <c r="AH3745" s="128"/>
    </row>
    <row r="3746" spans="30:34" x14ac:dyDescent="0.2">
      <c r="AD3746" s="8"/>
      <c r="AE3746" s="126"/>
      <c r="AF3746" s="125"/>
      <c r="AG3746" s="125"/>
      <c r="AH3746" s="128"/>
    </row>
    <row r="3747" spans="30:34" x14ac:dyDescent="0.2">
      <c r="AD3747" s="8"/>
      <c r="AE3747" s="126"/>
      <c r="AF3747" s="125"/>
      <c r="AG3747" s="125"/>
      <c r="AH3747" s="128"/>
    </row>
    <row r="3748" spans="30:34" x14ac:dyDescent="0.2">
      <c r="AD3748" s="8"/>
      <c r="AE3748" s="126"/>
      <c r="AF3748" s="125"/>
      <c r="AG3748" s="125"/>
      <c r="AH3748" s="128"/>
    </row>
    <row r="3749" spans="30:34" x14ac:dyDescent="0.2">
      <c r="AD3749" s="8"/>
      <c r="AE3749" s="126"/>
      <c r="AF3749" s="125"/>
      <c r="AG3749" s="125"/>
      <c r="AH3749" s="128"/>
    </row>
    <row r="3750" spans="30:34" x14ac:dyDescent="0.2">
      <c r="AD3750" s="8"/>
      <c r="AE3750" s="126"/>
      <c r="AF3750" s="125"/>
      <c r="AG3750" s="125"/>
      <c r="AH3750" s="128"/>
    </row>
    <row r="3751" spans="30:34" x14ac:dyDescent="0.2">
      <c r="AD3751" s="8"/>
      <c r="AE3751" s="126"/>
      <c r="AF3751" s="125"/>
      <c r="AG3751" s="125"/>
      <c r="AH3751" s="128"/>
    </row>
    <row r="3752" spans="30:34" x14ac:dyDescent="0.2">
      <c r="AD3752" s="8"/>
      <c r="AE3752" s="126"/>
      <c r="AF3752" s="125"/>
      <c r="AG3752" s="125"/>
      <c r="AH3752" s="128"/>
    </row>
    <row r="3753" spans="30:34" x14ac:dyDescent="0.2">
      <c r="AD3753" s="8"/>
      <c r="AE3753" s="126"/>
      <c r="AF3753" s="125"/>
      <c r="AG3753" s="125"/>
      <c r="AH3753" s="128"/>
    </row>
    <row r="3754" spans="30:34" x14ac:dyDescent="0.2">
      <c r="AD3754" s="8"/>
      <c r="AE3754" s="126"/>
      <c r="AF3754" s="125"/>
      <c r="AG3754" s="125"/>
      <c r="AH3754" s="128"/>
    </row>
    <row r="3755" spans="30:34" x14ac:dyDescent="0.2">
      <c r="AD3755" s="8"/>
      <c r="AE3755" s="126"/>
      <c r="AF3755" s="125"/>
      <c r="AG3755" s="125"/>
      <c r="AH3755" s="128"/>
    </row>
    <row r="3756" spans="30:34" x14ac:dyDescent="0.2">
      <c r="AD3756" s="8"/>
      <c r="AE3756" s="126"/>
      <c r="AF3756" s="125"/>
      <c r="AG3756" s="125"/>
      <c r="AH3756" s="128"/>
    </row>
    <row r="3757" spans="30:34" x14ac:dyDescent="0.2">
      <c r="AD3757" s="8"/>
      <c r="AE3757" s="126"/>
      <c r="AF3757" s="125"/>
      <c r="AG3757" s="125"/>
      <c r="AH3757" s="128"/>
    </row>
    <row r="3758" spans="30:34" x14ac:dyDescent="0.2">
      <c r="AD3758" s="8"/>
      <c r="AE3758" s="126"/>
      <c r="AF3758" s="125"/>
      <c r="AG3758" s="125"/>
      <c r="AH3758" s="128"/>
    </row>
    <row r="3759" spans="30:34" x14ac:dyDescent="0.2">
      <c r="AD3759" s="8"/>
      <c r="AE3759" s="126"/>
      <c r="AF3759" s="125"/>
      <c r="AG3759" s="125"/>
      <c r="AH3759" s="128"/>
    </row>
    <row r="3760" spans="30:34" x14ac:dyDescent="0.2">
      <c r="AD3760" s="8"/>
      <c r="AE3760" s="126"/>
      <c r="AF3760" s="125"/>
      <c r="AG3760" s="125"/>
      <c r="AH3760" s="128"/>
    </row>
    <row r="3761" spans="30:34" x14ac:dyDescent="0.2">
      <c r="AD3761" s="8"/>
      <c r="AE3761" s="126"/>
      <c r="AF3761" s="125"/>
      <c r="AG3761" s="125"/>
      <c r="AH3761" s="128"/>
    </row>
    <row r="3762" spans="30:34" x14ac:dyDescent="0.2">
      <c r="AD3762" s="8"/>
      <c r="AE3762" s="126"/>
      <c r="AF3762" s="125"/>
      <c r="AG3762" s="125"/>
      <c r="AH3762" s="128"/>
    </row>
    <row r="3763" spans="30:34" x14ac:dyDescent="0.2">
      <c r="AD3763" s="8"/>
      <c r="AE3763" s="126"/>
      <c r="AF3763" s="125"/>
      <c r="AG3763" s="125"/>
      <c r="AH3763" s="128"/>
    </row>
    <row r="3764" spans="30:34" x14ac:dyDescent="0.2">
      <c r="AD3764" s="8"/>
      <c r="AE3764" s="126"/>
      <c r="AF3764" s="125"/>
      <c r="AG3764" s="125"/>
      <c r="AH3764" s="128"/>
    </row>
    <row r="3765" spans="30:34" x14ac:dyDescent="0.2">
      <c r="AD3765" s="8"/>
      <c r="AE3765" s="126"/>
      <c r="AF3765" s="125"/>
      <c r="AG3765" s="125"/>
      <c r="AH3765" s="128"/>
    </row>
    <row r="3766" spans="30:34" x14ac:dyDescent="0.2">
      <c r="AD3766" s="8"/>
      <c r="AE3766" s="126"/>
      <c r="AF3766" s="125"/>
      <c r="AG3766" s="125"/>
      <c r="AH3766" s="128"/>
    </row>
    <row r="3767" spans="30:34" x14ac:dyDescent="0.2">
      <c r="AD3767" s="8"/>
      <c r="AE3767" s="126"/>
      <c r="AF3767" s="125"/>
      <c r="AG3767" s="125"/>
      <c r="AH3767" s="128"/>
    </row>
    <row r="3768" spans="30:34" x14ac:dyDescent="0.2">
      <c r="AD3768" s="8"/>
      <c r="AE3768" s="126"/>
      <c r="AF3768" s="125"/>
      <c r="AG3768" s="125"/>
      <c r="AH3768" s="128"/>
    </row>
    <row r="3769" spans="30:34" x14ac:dyDescent="0.2">
      <c r="AD3769" s="8"/>
      <c r="AE3769" s="126"/>
      <c r="AF3769" s="125"/>
      <c r="AG3769" s="125"/>
      <c r="AH3769" s="128"/>
    </row>
    <row r="3770" spans="30:34" x14ac:dyDescent="0.2">
      <c r="AD3770" s="8"/>
      <c r="AE3770" s="126"/>
      <c r="AF3770" s="125"/>
      <c r="AG3770" s="125"/>
      <c r="AH3770" s="128"/>
    </row>
    <row r="3771" spans="30:34" x14ac:dyDescent="0.2">
      <c r="AD3771" s="8"/>
      <c r="AE3771" s="126"/>
      <c r="AF3771" s="125"/>
      <c r="AG3771" s="125"/>
      <c r="AH3771" s="128"/>
    </row>
    <row r="3772" spans="30:34" x14ac:dyDescent="0.2">
      <c r="AD3772" s="8"/>
      <c r="AE3772" s="126"/>
      <c r="AF3772" s="125"/>
      <c r="AG3772" s="125"/>
      <c r="AH3772" s="128"/>
    </row>
    <row r="3773" spans="30:34" x14ac:dyDescent="0.2">
      <c r="AD3773" s="8"/>
      <c r="AE3773" s="126"/>
      <c r="AF3773" s="125"/>
      <c r="AG3773" s="125"/>
      <c r="AH3773" s="128"/>
    </row>
    <row r="3774" spans="30:34" x14ac:dyDescent="0.2">
      <c r="AD3774" s="8"/>
      <c r="AE3774" s="126"/>
      <c r="AF3774" s="125"/>
      <c r="AG3774" s="125"/>
      <c r="AH3774" s="128"/>
    </row>
    <row r="3775" spans="30:34" x14ac:dyDescent="0.2">
      <c r="AD3775" s="8"/>
      <c r="AE3775" s="126"/>
      <c r="AF3775" s="125"/>
      <c r="AG3775" s="125"/>
      <c r="AH3775" s="128"/>
    </row>
    <row r="3776" spans="30:34" x14ac:dyDescent="0.2">
      <c r="AD3776" s="8"/>
      <c r="AE3776" s="126"/>
      <c r="AF3776" s="125"/>
      <c r="AG3776" s="125"/>
      <c r="AH3776" s="128"/>
    </row>
    <row r="3777" spans="30:34" x14ac:dyDescent="0.2">
      <c r="AD3777" s="8"/>
      <c r="AE3777" s="126"/>
      <c r="AF3777" s="125"/>
      <c r="AG3777" s="125"/>
      <c r="AH3777" s="128"/>
    </row>
    <row r="3778" spans="30:34" x14ac:dyDescent="0.2">
      <c r="AD3778" s="8"/>
      <c r="AE3778" s="126"/>
      <c r="AF3778" s="125"/>
      <c r="AG3778" s="125"/>
      <c r="AH3778" s="128"/>
    </row>
    <row r="3779" spans="30:34" x14ac:dyDescent="0.2">
      <c r="AD3779" s="8"/>
      <c r="AE3779" s="126"/>
      <c r="AF3779" s="125"/>
      <c r="AG3779" s="125"/>
      <c r="AH3779" s="128"/>
    </row>
    <row r="3780" spans="30:34" x14ac:dyDescent="0.2">
      <c r="AD3780" s="8"/>
      <c r="AE3780" s="126"/>
      <c r="AF3780" s="125"/>
      <c r="AG3780" s="125"/>
      <c r="AH3780" s="128"/>
    </row>
    <row r="3781" spans="30:34" x14ac:dyDescent="0.2">
      <c r="AD3781" s="8"/>
      <c r="AE3781" s="126"/>
      <c r="AF3781" s="125"/>
      <c r="AG3781" s="125"/>
      <c r="AH3781" s="128"/>
    </row>
    <row r="3782" spans="30:34" x14ac:dyDescent="0.2">
      <c r="AD3782" s="8"/>
      <c r="AE3782" s="126"/>
      <c r="AF3782" s="125"/>
      <c r="AG3782" s="125"/>
      <c r="AH3782" s="128"/>
    </row>
    <row r="3783" spans="30:34" x14ac:dyDescent="0.2">
      <c r="AD3783" s="8"/>
      <c r="AE3783" s="126"/>
      <c r="AF3783" s="125"/>
      <c r="AG3783" s="125"/>
      <c r="AH3783" s="128"/>
    </row>
    <row r="3784" spans="30:34" x14ac:dyDescent="0.2">
      <c r="AD3784" s="8"/>
      <c r="AE3784" s="126"/>
      <c r="AF3784" s="125"/>
      <c r="AG3784" s="125"/>
      <c r="AH3784" s="128"/>
    </row>
    <row r="3785" spans="30:34" x14ac:dyDescent="0.2">
      <c r="AD3785" s="8"/>
      <c r="AE3785" s="126"/>
      <c r="AF3785" s="125"/>
      <c r="AG3785" s="125"/>
      <c r="AH3785" s="128"/>
    </row>
    <row r="3786" spans="30:34" x14ac:dyDescent="0.2">
      <c r="AD3786" s="8"/>
      <c r="AE3786" s="126"/>
      <c r="AF3786" s="125"/>
      <c r="AG3786" s="125"/>
      <c r="AH3786" s="128"/>
    </row>
    <row r="3787" spans="30:34" x14ac:dyDescent="0.2">
      <c r="AD3787" s="8"/>
      <c r="AE3787" s="126"/>
      <c r="AF3787" s="125"/>
      <c r="AG3787" s="125"/>
      <c r="AH3787" s="128"/>
    </row>
    <row r="3788" spans="30:34" x14ac:dyDescent="0.2">
      <c r="AD3788" s="8"/>
      <c r="AE3788" s="126"/>
      <c r="AF3788" s="125"/>
      <c r="AG3788" s="125"/>
      <c r="AH3788" s="128"/>
    </row>
    <row r="3789" spans="30:34" x14ac:dyDescent="0.2">
      <c r="AD3789" s="8"/>
      <c r="AE3789" s="126"/>
      <c r="AF3789" s="125"/>
      <c r="AG3789" s="125"/>
      <c r="AH3789" s="128"/>
    </row>
    <row r="3790" spans="30:34" x14ac:dyDescent="0.2">
      <c r="AD3790" s="8"/>
      <c r="AE3790" s="126"/>
      <c r="AF3790" s="125"/>
      <c r="AG3790" s="125"/>
      <c r="AH3790" s="128"/>
    </row>
    <row r="3791" spans="30:34" x14ac:dyDescent="0.2">
      <c r="AD3791" s="8"/>
      <c r="AE3791" s="126"/>
      <c r="AF3791" s="125"/>
      <c r="AG3791" s="125"/>
      <c r="AH3791" s="128"/>
    </row>
    <row r="3792" spans="30:34" x14ac:dyDescent="0.2">
      <c r="AD3792" s="8"/>
      <c r="AE3792" s="126"/>
      <c r="AF3792" s="125"/>
      <c r="AG3792" s="125"/>
      <c r="AH3792" s="128"/>
    </row>
    <row r="3793" spans="30:34" x14ac:dyDescent="0.2">
      <c r="AD3793" s="8"/>
      <c r="AE3793" s="126"/>
      <c r="AF3793" s="125"/>
      <c r="AG3793" s="125"/>
      <c r="AH3793" s="128"/>
    </row>
    <row r="3794" spans="30:34" x14ac:dyDescent="0.2">
      <c r="AD3794" s="8"/>
      <c r="AE3794" s="126"/>
      <c r="AF3794" s="125"/>
      <c r="AG3794" s="125"/>
      <c r="AH3794" s="128"/>
    </row>
    <row r="3795" spans="30:34" x14ac:dyDescent="0.2">
      <c r="AD3795" s="8"/>
      <c r="AE3795" s="126"/>
      <c r="AF3795" s="125"/>
      <c r="AG3795" s="125"/>
      <c r="AH3795" s="128"/>
    </row>
    <row r="3796" spans="30:34" x14ac:dyDescent="0.2">
      <c r="AD3796" s="8"/>
      <c r="AE3796" s="126"/>
      <c r="AF3796" s="125"/>
      <c r="AG3796" s="125"/>
      <c r="AH3796" s="128"/>
    </row>
    <row r="3797" spans="30:34" x14ac:dyDescent="0.2">
      <c r="AD3797" s="8"/>
      <c r="AE3797" s="126"/>
      <c r="AF3797" s="125"/>
      <c r="AG3797" s="125"/>
      <c r="AH3797" s="128"/>
    </row>
    <row r="3798" spans="30:34" x14ac:dyDescent="0.2">
      <c r="AD3798" s="8"/>
      <c r="AE3798" s="126"/>
      <c r="AF3798" s="125"/>
      <c r="AG3798" s="125"/>
      <c r="AH3798" s="128"/>
    </row>
    <row r="3799" spans="30:34" x14ac:dyDescent="0.2">
      <c r="AD3799" s="8"/>
      <c r="AE3799" s="126"/>
      <c r="AF3799" s="125"/>
      <c r="AG3799" s="125"/>
      <c r="AH3799" s="128"/>
    </row>
    <row r="3800" spans="30:34" x14ac:dyDescent="0.2">
      <c r="AD3800" s="8"/>
      <c r="AE3800" s="126"/>
      <c r="AF3800" s="125"/>
      <c r="AG3800" s="125"/>
      <c r="AH3800" s="128"/>
    </row>
    <row r="3801" spans="30:34" x14ac:dyDescent="0.2">
      <c r="AD3801" s="8"/>
      <c r="AE3801" s="126"/>
      <c r="AF3801" s="125"/>
      <c r="AG3801" s="125"/>
      <c r="AH3801" s="128"/>
    </row>
    <row r="3802" spans="30:34" x14ac:dyDescent="0.2">
      <c r="AD3802" s="8"/>
      <c r="AE3802" s="126"/>
      <c r="AF3802" s="125"/>
      <c r="AG3802" s="125"/>
      <c r="AH3802" s="128"/>
    </row>
    <row r="3803" spans="30:34" x14ac:dyDescent="0.2">
      <c r="AD3803" s="8"/>
      <c r="AE3803" s="126"/>
      <c r="AF3803" s="125"/>
      <c r="AG3803" s="125"/>
      <c r="AH3803" s="128"/>
    </row>
    <row r="3804" spans="30:34" x14ac:dyDescent="0.2">
      <c r="AD3804" s="8"/>
      <c r="AE3804" s="126"/>
      <c r="AF3804" s="125"/>
      <c r="AG3804" s="125"/>
      <c r="AH3804" s="128"/>
    </row>
    <row r="3805" spans="30:34" x14ac:dyDescent="0.2">
      <c r="AD3805" s="8"/>
      <c r="AE3805" s="126"/>
      <c r="AF3805" s="125"/>
      <c r="AG3805" s="125"/>
      <c r="AH3805" s="128"/>
    </row>
    <row r="3806" spans="30:34" x14ac:dyDescent="0.2">
      <c r="AD3806" s="8"/>
      <c r="AE3806" s="126"/>
      <c r="AF3806" s="125"/>
      <c r="AG3806" s="125"/>
      <c r="AH3806" s="128"/>
    </row>
    <row r="3807" spans="30:34" x14ac:dyDescent="0.2">
      <c r="AD3807" s="8"/>
      <c r="AE3807" s="126"/>
      <c r="AF3807" s="125"/>
      <c r="AG3807" s="125"/>
      <c r="AH3807" s="128"/>
    </row>
    <row r="3808" spans="30:34" x14ac:dyDescent="0.2">
      <c r="AD3808" s="8"/>
      <c r="AE3808" s="126"/>
      <c r="AF3808" s="125"/>
      <c r="AG3808" s="125"/>
      <c r="AH3808" s="128"/>
    </row>
    <row r="3809" spans="30:34" x14ac:dyDescent="0.2">
      <c r="AD3809" s="8"/>
      <c r="AE3809" s="126"/>
      <c r="AF3809" s="125"/>
      <c r="AG3809" s="125"/>
      <c r="AH3809" s="128"/>
    </row>
    <row r="3810" spans="30:34" x14ac:dyDescent="0.2">
      <c r="AD3810" s="8"/>
      <c r="AE3810" s="126"/>
      <c r="AF3810" s="125"/>
      <c r="AG3810" s="125"/>
      <c r="AH3810" s="128"/>
    </row>
    <row r="3811" spans="30:34" x14ac:dyDescent="0.2">
      <c r="AD3811" s="8"/>
      <c r="AE3811" s="126"/>
      <c r="AF3811" s="125"/>
      <c r="AG3811" s="125"/>
      <c r="AH3811" s="128"/>
    </row>
    <row r="3812" spans="30:34" x14ac:dyDescent="0.2">
      <c r="AD3812" s="8"/>
      <c r="AE3812" s="126"/>
      <c r="AF3812" s="125"/>
      <c r="AG3812" s="125"/>
      <c r="AH3812" s="128"/>
    </row>
    <row r="3813" spans="30:34" x14ac:dyDescent="0.2">
      <c r="AD3813" s="8"/>
      <c r="AE3813" s="126"/>
      <c r="AF3813" s="125"/>
      <c r="AG3813" s="125"/>
      <c r="AH3813" s="128"/>
    </row>
    <row r="3814" spans="30:34" x14ac:dyDescent="0.2">
      <c r="AD3814" s="8"/>
      <c r="AE3814" s="126"/>
      <c r="AF3814" s="125"/>
      <c r="AG3814" s="125"/>
      <c r="AH3814" s="128"/>
    </row>
    <row r="3815" spans="30:34" x14ac:dyDescent="0.2">
      <c r="AD3815" s="8"/>
      <c r="AE3815" s="126"/>
      <c r="AF3815" s="125"/>
      <c r="AG3815" s="125"/>
      <c r="AH3815" s="128"/>
    </row>
    <row r="3816" spans="30:34" x14ac:dyDescent="0.2">
      <c r="AD3816" s="8"/>
      <c r="AE3816" s="126"/>
      <c r="AF3816" s="125"/>
      <c r="AG3816" s="125"/>
      <c r="AH3816" s="128"/>
    </row>
    <row r="3817" spans="30:34" x14ac:dyDescent="0.2">
      <c r="AD3817" s="8"/>
      <c r="AE3817" s="126"/>
      <c r="AF3817" s="125"/>
      <c r="AG3817" s="125"/>
      <c r="AH3817" s="128"/>
    </row>
    <row r="3818" spans="30:34" x14ac:dyDescent="0.2">
      <c r="AD3818" s="8"/>
      <c r="AE3818" s="126"/>
      <c r="AF3818" s="125"/>
      <c r="AG3818" s="125"/>
      <c r="AH3818" s="128"/>
    </row>
    <row r="3819" spans="30:34" x14ac:dyDescent="0.2">
      <c r="AD3819" s="8"/>
      <c r="AE3819" s="126"/>
      <c r="AF3819" s="125"/>
      <c r="AG3819" s="125"/>
      <c r="AH3819" s="128"/>
    </row>
    <row r="3820" spans="30:34" x14ac:dyDescent="0.2">
      <c r="AD3820" s="8"/>
      <c r="AE3820" s="126"/>
      <c r="AF3820" s="125"/>
      <c r="AG3820" s="125"/>
      <c r="AH3820" s="128"/>
    </row>
    <row r="3821" spans="30:34" x14ac:dyDescent="0.2">
      <c r="AD3821" s="8"/>
      <c r="AE3821" s="126"/>
      <c r="AF3821" s="125"/>
      <c r="AG3821" s="125"/>
      <c r="AH3821" s="128"/>
    </row>
    <row r="3822" spans="30:34" x14ac:dyDescent="0.2">
      <c r="AD3822" s="8"/>
      <c r="AE3822" s="126"/>
      <c r="AF3822" s="125"/>
      <c r="AG3822" s="125"/>
      <c r="AH3822" s="128"/>
    </row>
    <row r="3823" spans="30:34" x14ac:dyDescent="0.2">
      <c r="AD3823" s="8"/>
      <c r="AE3823" s="126"/>
      <c r="AF3823" s="125"/>
      <c r="AG3823" s="125"/>
      <c r="AH3823" s="128"/>
    </row>
    <row r="3824" spans="30:34" x14ac:dyDescent="0.2">
      <c r="AD3824" s="8"/>
      <c r="AE3824" s="126"/>
      <c r="AF3824" s="125"/>
      <c r="AG3824" s="125"/>
      <c r="AH3824" s="128"/>
    </row>
    <row r="3825" spans="30:34" x14ac:dyDescent="0.2">
      <c r="AD3825" s="8"/>
      <c r="AE3825" s="126"/>
      <c r="AF3825" s="125"/>
      <c r="AG3825" s="125"/>
      <c r="AH3825" s="128"/>
    </row>
    <row r="3826" spans="30:34" x14ac:dyDescent="0.2">
      <c r="AD3826" s="8"/>
      <c r="AE3826" s="126"/>
      <c r="AF3826" s="125"/>
      <c r="AG3826" s="125"/>
      <c r="AH3826" s="128"/>
    </row>
    <row r="3827" spans="30:34" x14ac:dyDescent="0.2">
      <c r="AD3827" s="8"/>
      <c r="AE3827" s="126"/>
      <c r="AF3827" s="125"/>
      <c r="AG3827" s="125"/>
      <c r="AH3827" s="128"/>
    </row>
    <row r="3828" spans="30:34" x14ac:dyDescent="0.2">
      <c r="AD3828" s="8"/>
      <c r="AE3828" s="126"/>
      <c r="AF3828" s="125"/>
      <c r="AG3828" s="125"/>
      <c r="AH3828" s="128"/>
    </row>
    <row r="3829" spans="30:34" x14ac:dyDescent="0.2">
      <c r="AD3829" s="8"/>
      <c r="AE3829" s="126"/>
      <c r="AF3829" s="125"/>
      <c r="AG3829" s="125"/>
      <c r="AH3829" s="128"/>
    </row>
    <row r="3830" spans="30:34" x14ac:dyDescent="0.2">
      <c r="AD3830" s="8"/>
      <c r="AE3830" s="126"/>
      <c r="AF3830" s="125"/>
      <c r="AG3830" s="125"/>
      <c r="AH3830" s="128"/>
    </row>
    <row r="3831" spans="30:34" x14ac:dyDescent="0.2">
      <c r="AD3831" s="8"/>
      <c r="AE3831" s="126"/>
      <c r="AF3831" s="125"/>
      <c r="AG3831" s="125"/>
      <c r="AH3831" s="128"/>
    </row>
    <row r="3832" spans="30:34" x14ac:dyDescent="0.2">
      <c r="AD3832" s="8"/>
      <c r="AE3832" s="126"/>
      <c r="AF3832" s="125"/>
      <c r="AG3832" s="125"/>
      <c r="AH3832" s="128"/>
    </row>
    <row r="3833" spans="30:34" x14ac:dyDescent="0.2">
      <c r="AD3833" s="8"/>
      <c r="AE3833" s="126"/>
      <c r="AF3833" s="125"/>
      <c r="AG3833" s="125"/>
      <c r="AH3833" s="128"/>
    </row>
    <row r="3834" spans="30:34" x14ac:dyDescent="0.2">
      <c r="AD3834" s="8"/>
      <c r="AE3834" s="126"/>
      <c r="AF3834" s="125"/>
      <c r="AG3834" s="125"/>
      <c r="AH3834" s="128"/>
    </row>
    <row r="3835" spans="30:34" x14ac:dyDescent="0.2">
      <c r="AD3835" s="8"/>
      <c r="AE3835" s="126"/>
      <c r="AF3835" s="125"/>
      <c r="AG3835" s="125"/>
      <c r="AH3835" s="128"/>
    </row>
    <row r="3836" spans="30:34" x14ac:dyDescent="0.2">
      <c r="AD3836" s="8"/>
      <c r="AE3836" s="126"/>
      <c r="AF3836" s="125"/>
      <c r="AG3836" s="125"/>
      <c r="AH3836" s="128"/>
    </row>
    <row r="3837" spans="30:34" x14ac:dyDescent="0.2">
      <c r="AD3837" s="8"/>
      <c r="AE3837" s="126"/>
      <c r="AF3837" s="125"/>
      <c r="AG3837" s="125"/>
      <c r="AH3837" s="128"/>
    </row>
    <row r="3838" spans="30:34" x14ac:dyDescent="0.2">
      <c r="AD3838" s="8"/>
      <c r="AE3838" s="126"/>
      <c r="AF3838" s="125"/>
      <c r="AG3838" s="125"/>
      <c r="AH3838" s="128"/>
    </row>
    <row r="3839" spans="30:34" x14ac:dyDescent="0.2">
      <c r="AD3839" s="8"/>
      <c r="AE3839" s="126"/>
      <c r="AF3839" s="125"/>
      <c r="AG3839" s="125"/>
      <c r="AH3839" s="128"/>
    </row>
    <row r="3840" spans="30:34" x14ac:dyDescent="0.2">
      <c r="AD3840" s="8"/>
      <c r="AE3840" s="126"/>
      <c r="AF3840" s="125"/>
      <c r="AG3840" s="125"/>
      <c r="AH3840" s="128"/>
    </row>
    <row r="3841" spans="30:34" x14ac:dyDescent="0.2">
      <c r="AD3841" s="8"/>
      <c r="AE3841" s="126"/>
      <c r="AF3841" s="125"/>
      <c r="AG3841" s="125"/>
      <c r="AH3841" s="128"/>
    </row>
    <row r="3842" spans="30:34" x14ac:dyDescent="0.2">
      <c r="AD3842" s="8"/>
      <c r="AE3842" s="126"/>
      <c r="AF3842" s="125"/>
      <c r="AG3842" s="125"/>
      <c r="AH3842" s="128"/>
    </row>
    <row r="3843" spans="30:34" x14ac:dyDescent="0.2">
      <c r="AD3843" s="8"/>
      <c r="AE3843" s="126"/>
      <c r="AF3843" s="125"/>
      <c r="AG3843" s="125"/>
      <c r="AH3843" s="128"/>
    </row>
    <row r="3844" spans="30:34" x14ac:dyDescent="0.2">
      <c r="AD3844" s="8"/>
      <c r="AE3844" s="126"/>
      <c r="AF3844" s="125"/>
      <c r="AG3844" s="125"/>
      <c r="AH3844" s="128"/>
    </row>
    <row r="3845" spans="30:34" x14ac:dyDescent="0.2">
      <c r="AD3845" s="8"/>
      <c r="AE3845" s="126"/>
      <c r="AF3845" s="125"/>
      <c r="AG3845" s="125"/>
      <c r="AH3845" s="128"/>
    </row>
    <row r="3846" spans="30:34" x14ac:dyDescent="0.2">
      <c r="AD3846" s="8"/>
      <c r="AE3846" s="126"/>
      <c r="AF3846" s="125"/>
      <c r="AG3846" s="125"/>
      <c r="AH3846" s="128"/>
    </row>
    <row r="3847" spans="30:34" x14ac:dyDescent="0.2">
      <c r="AD3847" s="8"/>
      <c r="AE3847" s="126"/>
      <c r="AF3847" s="125"/>
      <c r="AG3847" s="125"/>
      <c r="AH3847" s="128"/>
    </row>
    <row r="3848" spans="30:34" x14ac:dyDescent="0.2">
      <c r="AD3848" s="8"/>
      <c r="AE3848" s="126"/>
      <c r="AF3848" s="125"/>
      <c r="AG3848" s="125"/>
      <c r="AH3848" s="128"/>
    </row>
    <row r="3849" spans="30:34" x14ac:dyDescent="0.2">
      <c r="AD3849" s="8"/>
      <c r="AE3849" s="126"/>
      <c r="AF3849" s="125"/>
      <c r="AG3849" s="125"/>
      <c r="AH3849" s="128"/>
    </row>
    <row r="3850" spans="30:34" x14ac:dyDescent="0.2">
      <c r="AD3850" s="8"/>
      <c r="AE3850" s="126"/>
      <c r="AF3850" s="125"/>
      <c r="AG3850" s="125"/>
      <c r="AH3850" s="128"/>
    </row>
    <row r="3851" spans="30:34" x14ac:dyDescent="0.2">
      <c r="AD3851" s="8"/>
      <c r="AE3851" s="126"/>
      <c r="AF3851" s="125"/>
      <c r="AG3851" s="125"/>
      <c r="AH3851" s="128"/>
    </row>
    <row r="3852" spans="30:34" x14ac:dyDescent="0.2">
      <c r="AD3852" s="8"/>
      <c r="AE3852" s="126"/>
      <c r="AF3852" s="125"/>
      <c r="AG3852" s="125"/>
      <c r="AH3852" s="128"/>
    </row>
    <row r="3853" spans="30:34" x14ac:dyDescent="0.2">
      <c r="AD3853" s="8"/>
      <c r="AE3853" s="126"/>
      <c r="AF3853" s="125"/>
      <c r="AG3853" s="125"/>
      <c r="AH3853" s="128"/>
    </row>
    <row r="3854" spans="30:34" x14ac:dyDescent="0.2">
      <c r="AD3854" s="8"/>
      <c r="AE3854" s="126"/>
      <c r="AF3854" s="125"/>
      <c r="AG3854" s="125"/>
      <c r="AH3854" s="128"/>
    </row>
    <row r="3855" spans="30:34" x14ac:dyDescent="0.2">
      <c r="AD3855" s="8"/>
      <c r="AE3855" s="126"/>
      <c r="AF3855" s="125"/>
      <c r="AG3855" s="125"/>
      <c r="AH3855" s="128"/>
    </row>
    <row r="3856" spans="30:34" x14ac:dyDescent="0.2">
      <c r="AD3856" s="8"/>
      <c r="AE3856" s="126"/>
      <c r="AF3856" s="125"/>
      <c r="AG3856" s="125"/>
      <c r="AH3856" s="128"/>
    </row>
    <row r="3857" spans="30:34" x14ac:dyDescent="0.2">
      <c r="AD3857" s="8"/>
      <c r="AE3857" s="126"/>
      <c r="AF3857" s="125"/>
      <c r="AG3857" s="125"/>
      <c r="AH3857" s="128"/>
    </row>
    <row r="3858" spans="30:34" x14ac:dyDescent="0.2">
      <c r="AD3858" s="8"/>
      <c r="AE3858" s="126"/>
      <c r="AF3858" s="125"/>
      <c r="AG3858" s="125"/>
      <c r="AH3858" s="128"/>
    </row>
    <row r="3859" spans="30:34" x14ac:dyDescent="0.2">
      <c r="AD3859" s="8"/>
      <c r="AE3859" s="126"/>
      <c r="AF3859" s="125"/>
      <c r="AG3859" s="125"/>
      <c r="AH3859" s="128"/>
    </row>
    <row r="3860" spans="30:34" x14ac:dyDescent="0.2">
      <c r="AD3860" s="8"/>
      <c r="AE3860" s="126"/>
      <c r="AF3860" s="125"/>
      <c r="AG3860" s="125"/>
      <c r="AH3860" s="128"/>
    </row>
    <row r="3861" spans="30:34" x14ac:dyDescent="0.2">
      <c r="AD3861" s="8"/>
      <c r="AE3861" s="126"/>
      <c r="AF3861" s="125"/>
      <c r="AG3861" s="125"/>
      <c r="AH3861" s="128"/>
    </row>
    <row r="3862" spans="30:34" x14ac:dyDescent="0.2">
      <c r="AD3862" s="8"/>
      <c r="AE3862" s="126"/>
      <c r="AF3862" s="125"/>
      <c r="AG3862" s="125"/>
      <c r="AH3862" s="128"/>
    </row>
    <row r="3863" spans="30:34" x14ac:dyDescent="0.2">
      <c r="AD3863" s="8"/>
      <c r="AE3863" s="126"/>
      <c r="AF3863" s="125"/>
      <c r="AG3863" s="125"/>
      <c r="AH3863" s="128"/>
    </row>
    <row r="3864" spans="30:34" x14ac:dyDescent="0.2">
      <c r="AD3864" s="8"/>
      <c r="AE3864" s="126"/>
      <c r="AF3864" s="125"/>
      <c r="AG3864" s="125"/>
      <c r="AH3864" s="128"/>
    </row>
    <row r="3865" spans="30:34" x14ac:dyDescent="0.2">
      <c r="AD3865" s="8"/>
      <c r="AE3865" s="126"/>
      <c r="AF3865" s="125"/>
      <c r="AG3865" s="125"/>
      <c r="AH3865" s="128"/>
    </row>
    <row r="3866" spans="30:34" x14ac:dyDescent="0.2">
      <c r="AD3866" s="8"/>
      <c r="AE3866" s="126"/>
      <c r="AF3866" s="125"/>
      <c r="AG3866" s="125"/>
      <c r="AH3866" s="128"/>
    </row>
    <row r="3867" spans="30:34" x14ac:dyDescent="0.2">
      <c r="AD3867" s="8"/>
      <c r="AE3867" s="126"/>
      <c r="AF3867" s="125"/>
      <c r="AG3867" s="125"/>
      <c r="AH3867" s="128"/>
    </row>
    <row r="3868" spans="30:34" x14ac:dyDescent="0.2">
      <c r="AD3868" s="8"/>
      <c r="AE3868" s="126"/>
      <c r="AF3868" s="125"/>
      <c r="AG3868" s="125"/>
      <c r="AH3868" s="128"/>
    </row>
    <row r="3869" spans="30:34" x14ac:dyDescent="0.2">
      <c r="AD3869" s="8"/>
      <c r="AE3869" s="126"/>
      <c r="AF3869" s="125"/>
      <c r="AG3869" s="125"/>
      <c r="AH3869" s="128"/>
    </row>
    <row r="3870" spans="30:34" x14ac:dyDescent="0.2">
      <c r="AD3870" s="8"/>
      <c r="AE3870" s="126"/>
      <c r="AF3870" s="125"/>
      <c r="AG3870" s="125"/>
      <c r="AH3870" s="128"/>
    </row>
    <row r="3871" spans="30:34" x14ac:dyDescent="0.2">
      <c r="AD3871" s="8"/>
      <c r="AE3871" s="126"/>
      <c r="AF3871" s="125"/>
      <c r="AG3871" s="125"/>
      <c r="AH3871" s="128"/>
    </row>
    <row r="3872" spans="30:34" x14ac:dyDescent="0.2">
      <c r="AD3872" s="8"/>
      <c r="AE3872" s="126"/>
      <c r="AF3872" s="125"/>
      <c r="AG3872" s="125"/>
      <c r="AH3872" s="128"/>
    </row>
    <row r="3873" spans="30:34" x14ac:dyDescent="0.2">
      <c r="AD3873" s="8"/>
      <c r="AE3873" s="126"/>
      <c r="AF3873" s="125"/>
      <c r="AG3873" s="125"/>
      <c r="AH3873" s="128"/>
    </row>
    <row r="3874" spans="30:34" x14ac:dyDescent="0.2">
      <c r="AD3874" s="8"/>
      <c r="AE3874" s="126"/>
      <c r="AF3874" s="125"/>
      <c r="AG3874" s="125"/>
      <c r="AH3874" s="128"/>
    </row>
    <row r="3875" spans="30:34" x14ac:dyDescent="0.2">
      <c r="AD3875" s="8"/>
      <c r="AE3875" s="126"/>
      <c r="AF3875" s="125"/>
      <c r="AG3875" s="125"/>
      <c r="AH3875" s="128"/>
    </row>
    <row r="3876" spans="30:34" x14ac:dyDescent="0.2">
      <c r="AD3876" s="8"/>
      <c r="AE3876" s="126"/>
      <c r="AF3876" s="125"/>
      <c r="AG3876" s="125"/>
      <c r="AH3876" s="128"/>
    </row>
    <row r="3877" spans="30:34" x14ac:dyDescent="0.2">
      <c r="AD3877" s="8"/>
      <c r="AE3877" s="126"/>
      <c r="AF3877" s="125"/>
      <c r="AG3877" s="125"/>
      <c r="AH3877" s="128"/>
    </row>
    <row r="3878" spans="30:34" x14ac:dyDescent="0.2">
      <c r="AD3878" s="8"/>
      <c r="AE3878" s="126"/>
      <c r="AF3878" s="125"/>
      <c r="AG3878" s="125"/>
      <c r="AH3878" s="128"/>
    </row>
    <row r="3879" spans="30:34" x14ac:dyDescent="0.2">
      <c r="AD3879" s="8"/>
      <c r="AE3879" s="126"/>
      <c r="AF3879" s="125"/>
      <c r="AG3879" s="125"/>
      <c r="AH3879" s="128"/>
    </row>
    <row r="3880" spans="30:34" x14ac:dyDescent="0.2">
      <c r="AD3880" s="8"/>
      <c r="AE3880" s="126"/>
      <c r="AF3880" s="125"/>
      <c r="AG3880" s="125"/>
      <c r="AH3880" s="128"/>
    </row>
    <row r="3881" spans="30:34" x14ac:dyDescent="0.2">
      <c r="AD3881" s="8"/>
      <c r="AE3881" s="126"/>
      <c r="AF3881" s="125"/>
      <c r="AG3881" s="125"/>
      <c r="AH3881" s="128"/>
    </row>
    <row r="3882" spans="30:34" x14ac:dyDescent="0.2">
      <c r="AD3882" s="8"/>
      <c r="AE3882" s="126"/>
      <c r="AF3882" s="125"/>
      <c r="AG3882" s="125"/>
      <c r="AH3882" s="128"/>
    </row>
    <row r="3883" spans="30:34" x14ac:dyDescent="0.2">
      <c r="AD3883" s="8"/>
      <c r="AE3883" s="126"/>
      <c r="AF3883" s="125"/>
      <c r="AG3883" s="125"/>
      <c r="AH3883" s="128"/>
    </row>
    <row r="3884" spans="30:34" x14ac:dyDescent="0.2">
      <c r="AD3884" s="8"/>
      <c r="AE3884" s="126"/>
      <c r="AF3884" s="125"/>
      <c r="AG3884" s="125"/>
      <c r="AH3884" s="128"/>
    </row>
    <row r="3885" spans="30:34" x14ac:dyDescent="0.2">
      <c r="AD3885" s="8"/>
      <c r="AE3885" s="126"/>
      <c r="AF3885" s="125"/>
      <c r="AG3885" s="125"/>
      <c r="AH3885" s="128"/>
    </row>
    <row r="3886" spans="30:34" x14ac:dyDescent="0.2">
      <c r="AD3886" s="8"/>
      <c r="AE3886" s="126"/>
      <c r="AF3886" s="125"/>
      <c r="AG3886" s="125"/>
      <c r="AH3886" s="128"/>
    </row>
    <row r="3887" spans="30:34" x14ac:dyDescent="0.2">
      <c r="AD3887" s="8"/>
      <c r="AE3887" s="126"/>
      <c r="AF3887" s="125"/>
      <c r="AG3887" s="125"/>
      <c r="AH3887" s="128"/>
    </row>
    <row r="3888" spans="30:34" x14ac:dyDescent="0.2">
      <c r="AD3888" s="8"/>
      <c r="AE3888" s="126"/>
      <c r="AF3888" s="125"/>
      <c r="AG3888" s="125"/>
      <c r="AH3888" s="128"/>
    </row>
    <row r="3889" spans="30:34" x14ac:dyDescent="0.2">
      <c r="AD3889" s="8"/>
      <c r="AE3889" s="126"/>
      <c r="AF3889" s="125"/>
      <c r="AG3889" s="125"/>
      <c r="AH3889" s="128"/>
    </row>
    <row r="3890" spans="30:34" x14ac:dyDescent="0.2">
      <c r="AD3890" s="8"/>
      <c r="AE3890" s="126"/>
      <c r="AF3890" s="125"/>
      <c r="AG3890" s="125"/>
      <c r="AH3890" s="128"/>
    </row>
    <row r="3891" spans="30:34" x14ac:dyDescent="0.2">
      <c r="AD3891" s="8"/>
      <c r="AE3891" s="126"/>
      <c r="AF3891" s="125"/>
      <c r="AG3891" s="125"/>
      <c r="AH3891" s="128"/>
    </row>
    <row r="3892" spans="30:34" x14ac:dyDescent="0.2">
      <c r="AD3892" s="8"/>
      <c r="AE3892" s="126"/>
      <c r="AF3892" s="125"/>
      <c r="AG3892" s="125"/>
      <c r="AH3892" s="128"/>
    </row>
    <row r="3893" spans="30:34" x14ac:dyDescent="0.2">
      <c r="AD3893" s="8"/>
      <c r="AE3893" s="126"/>
      <c r="AF3893" s="125"/>
      <c r="AG3893" s="125"/>
      <c r="AH3893" s="128"/>
    </row>
    <row r="3894" spans="30:34" x14ac:dyDescent="0.2">
      <c r="AD3894" s="8"/>
      <c r="AE3894" s="126"/>
      <c r="AF3894" s="125"/>
      <c r="AG3894" s="125"/>
      <c r="AH3894" s="128"/>
    </row>
    <row r="3895" spans="30:34" x14ac:dyDescent="0.2">
      <c r="AD3895" s="8"/>
      <c r="AE3895" s="126"/>
      <c r="AF3895" s="125"/>
      <c r="AG3895" s="125"/>
      <c r="AH3895" s="128"/>
    </row>
    <row r="3896" spans="30:34" x14ac:dyDescent="0.2">
      <c r="AD3896" s="8"/>
      <c r="AE3896" s="126"/>
      <c r="AF3896" s="125"/>
      <c r="AG3896" s="125"/>
      <c r="AH3896" s="128"/>
    </row>
    <row r="3897" spans="30:34" x14ac:dyDescent="0.2">
      <c r="AD3897" s="8"/>
      <c r="AE3897" s="126"/>
      <c r="AF3897" s="125"/>
      <c r="AG3897" s="125"/>
      <c r="AH3897" s="128"/>
    </row>
    <row r="3898" spans="30:34" x14ac:dyDescent="0.2">
      <c r="AD3898" s="8"/>
      <c r="AE3898" s="126"/>
      <c r="AF3898" s="125"/>
      <c r="AG3898" s="125"/>
      <c r="AH3898" s="128"/>
    </row>
    <row r="3899" spans="30:34" x14ac:dyDescent="0.2">
      <c r="AD3899" s="8"/>
      <c r="AE3899" s="126"/>
      <c r="AF3899" s="125"/>
      <c r="AG3899" s="125"/>
      <c r="AH3899" s="128"/>
    </row>
    <row r="3900" spans="30:34" x14ac:dyDescent="0.2">
      <c r="AD3900" s="8"/>
      <c r="AE3900" s="126"/>
      <c r="AF3900" s="125"/>
      <c r="AG3900" s="125"/>
      <c r="AH3900" s="128"/>
    </row>
    <row r="3901" spans="30:34" x14ac:dyDescent="0.2">
      <c r="AD3901" s="8"/>
      <c r="AE3901" s="126"/>
      <c r="AF3901" s="125"/>
      <c r="AG3901" s="125"/>
      <c r="AH3901" s="128"/>
    </row>
    <row r="3902" spans="30:34" x14ac:dyDescent="0.2">
      <c r="AD3902" s="8"/>
      <c r="AE3902" s="126"/>
      <c r="AF3902" s="125"/>
      <c r="AG3902" s="125"/>
      <c r="AH3902" s="128"/>
    </row>
    <row r="3903" spans="30:34" x14ac:dyDescent="0.2">
      <c r="AD3903" s="8"/>
      <c r="AE3903" s="126"/>
      <c r="AF3903" s="125"/>
      <c r="AG3903" s="125"/>
      <c r="AH3903" s="128"/>
    </row>
    <row r="3904" spans="30:34" x14ac:dyDescent="0.2">
      <c r="AD3904" s="8"/>
      <c r="AE3904" s="126"/>
      <c r="AF3904" s="125"/>
      <c r="AG3904" s="125"/>
      <c r="AH3904" s="128"/>
    </row>
    <row r="3905" spans="30:34" x14ac:dyDescent="0.2">
      <c r="AD3905" s="8"/>
      <c r="AE3905" s="126"/>
      <c r="AF3905" s="125"/>
      <c r="AG3905" s="125"/>
      <c r="AH3905" s="128"/>
    </row>
    <row r="3906" spans="30:34" x14ac:dyDescent="0.2">
      <c r="AD3906" s="8"/>
      <c r="AE3906" s="126"/>
      <c r="AF3906" s="125"/>
      <c r="AG3906" s="125"/>
      <c r="AH3906" s="128"/>
    </row>
    <row r="3907" spans="30:34" x14ac:dyDescent="0.2">
      <c r="AD3907" s="8"/>
      <c r="AE3907" s="126"/>
      <c r="AF3907" s="125"/>
      <c r="AG3907" s="125"/>
      <c r="AH3907" s="128"/>
    </row>
    <row r="3908" spans="30:34" x14ac:dyDescent="0.2">
      <c r="AD3908" s="8"/>
      <c r="AE3908" s="126"/>
      <c r="AF3908" s="125"/>
      <c r="AG3908" s="125"/>
      <c r="AH3908" s="128"/>
    </row>
    <row r="3909" spans="30:34" x14ac:dyDescent="0.2">
      <c r="AD3909" s="8"/>
      <c r="AE3909" s="126"/>
      <c r="AF3909" s="125"/>
      <c r="AG3909" s="125"/>
      <c r="AH3909" s="128"/>
    </row>
    <row r="3910" spans="30:34" x14ac:dyDescent="0.2">
      <c r="AD3910" s="8"/>
      <c r="AE3910" s="126"/>
      <c r="AF3910" s="125"/>
      <c r="AG3910" s="125"/>
      <c r="AH3910" s="128"/>
    </row>
    <row r="3911" spans="30:34" x14ac:dyDescent="0.2">
      <c r="AD3911" s="8"/>
      <c r="AE3911" s="126"/>
      <c r="AF3911" s="125"/>
      <c r="AG3911" s="125"/>
      <c r="AH3911" s="128"/>
    </row>
    <row r="3912" spans="30:34" x14ac:dyDescent="0.2">
      <c r="AD3912" s="8"/>
      <c r="AE3912" s="126"/>
      <c r="AF3912" s="125"/>
      <c r="AG3912" s="125"/>
      <c r="AH3912" s="128"/>
    </row>
    <row r="3913" spans="30:34" x14ac:dyDescent="0.2">
      <c r="AD3913" s="8"/>
      <c r="AE3913" s="126"/>
      <c r="AF3913" s="125"/>
      <c r="AG3913" s="125"/>
      <c r="AH3913" s="128"/>
    </row>
    <row r="3914" spans="30:34" x14ac:dyDescent="0.2">
      <c r="AD3914" s="8"/>
      <c r="AE3914" s="126"/>
      <c r="AF3914" s="125"/>
      <c r="AG3914" s="125"/>
      <c r="AH3914" s="128"/>
    </row>
    <row r="3915" spans="30:34" x14ac:dyDescent="0.2">
      <c r="AD3915" s="8"/>
      <c r="AE3915" s="126"/>
      <c r="AF3915" s="125"/>
      <c r="AG3915" s="125"/>
      <c r="AH3915" s="128"/>
    </row>
    <row r="3916" spans="30:34" x14ac:dyDescent="0.2">
      <c r="AD3916" s="8"/>
      <c r="AE3916" s="126"/>
      <c r="AF3916" s="125"/>
      <c r="AG3916" s="125"/>
      <c r="AH3916" s="128"/>
    </row>
    <row r="3917" spans="30:34" x14ac:dyDescent="0.2">
      <c r="AD3917" s="8"/>
      <c r="AE3917" s="126"/>
      <c r="AF3917" s="125"/>
      <c r="AG3917" s="125"/>
      <c r="AH3917" s="128"/>
    </row>
    <row r="3918" spans="30:34" x14ac:dyDescent="0.2">
      <c r="AD3918" s="8"/>
      <c r="AE3918" s="126"/>
      <c r="AF3918" s="125"/>
      <c r="AG3918" s="125"/>
      <c r="AH3918" s="128"/>
    </row>
    <row r="3919" spans="30:34" x14ac:dyDescent="0.2">
      <c r="AD3919" s="8"/>
      <c r="AE3919" s="126"/>
      <c r="AF3919" s="125"/>
      <c r="AG3919" s="125"/>
      <c r="AH3919" s="128"/>
    </row>
    <row r="3920" spans="30:34" x14ac:dyDescent="0.2">
      <c r="AD3920" s="8"/>
      <c r="AE3920" s="126"/>
      <c r="AF3920" s="125"/>
      <c r="AG3920" s="125"/>
      <c r="AH3920" s="128"/>
    </row>
    <row r="3921" spans="30:34" x14ac:dyDescent="0.2">
      <c r="AD3921" s="8"/>
      <c r="AE3921" s="126"/>
      <c r="AF3921" s="125"/>
      <c r="AG3921" s="125"/>
      <c r="AH3921" s="128"/>
    </row>
    <row r="3922" spans="30:34" x14ac:dyDescent="0.2">
      <c r="AD3922" s="8"/>
      <c r="AE3922" s="126"/>
      <c r="AF3922" s="125"/>
      <c r="AG3922" s="125"/>
      <c r="AH3922" s="128"/>
    </row>
    <row r="3923" spans="30:34" x14ac:dyDescent="0.2">
      <c r="AD3923" s="8"/>
      <c r="AE3923" s="126"/>
      <c r="AF3923" s="125"/>
      <c r="AG3923" s="125"/>
      <c r="AH3923" s="128"/>
    </row>
    <row r="3924" spans="30:34" x14ac:dyDescent="0.2">
      <c r="AD3924" s="8"/>
      <c r="AE3924" s="126"/>
      <c r="AF3924" s="125"/>
      <c r="AG3924" s="125"/>
      <c r="AH3924" s="128"/>
    </row>
    <row r="3925" spans="30:34" x14ac:dyDescent="0.2">
      <c r="AD3925" s="8"/>
      <c r="AE3925" s="126"/>
      <c r="AF3925" s="125"/>
      <c r="AG3925" s="125"/>
      <c r="AH3925" s="128"/>
    </row>
    <row r="3926" spans="30:34" x14ac:dyDescent="0.2">
      <c r="AD3926" s="8"/>
      <c r="AE3926" s="126"/>
      <c r="AF3926" s="125"/>
      <c r="AG3926" s="125"/>
      <c r="AH3926" s="128"/>
    </row>
    <row r="3927" spans="30:34" x14ac:dyDescent="0.2">
      <c r="AD3927" s="8"/>
      <c r="AE3927" s="126"/>
      <c r="AF3927" s="125"/>
      <c r="AG3927" s="125"/>
      <c r="AH3927" s="128"/>
    </row>
    <row r="3928" spans="30:34" x14ac:dyDescent="0.2">
      <c r="AD3928" s="8"/>
      <c r="AE3928" s="126"/>
      <c r="AF3928" s="125"/>
      <c r="AG3928" s="125"/>
      <c r="AH3928" s="128"/>
    </row>
    <row r="3929" spans="30:34" x14ac:dyDescent="0.2">
      <c r="AD3929" s="8"/>
      <c r="AE3929" s="126"/>
      <c r="AF3929" s="125"/>
      <c r="AG3929" s="125"/>
      <c r="AH3929" s="128"/>
    </row>
    <row r="3930" spans="30:34" x14ac:dyDescent="0.2">
      <c r="AD3930" s="8"/>
      <c r="AE3930" s="126"/>
      <c r="AF3930" s="125"/>
      <c r="AG3930" s="125"/>
      <c r="AH3930" s="128"/>
    </row>
    <row r="3931" spans="30:34" x14ac:dyDescent="0.2">
      <c r="AD3931" s="8"/>
      <c r="AE3931" s="126"/>
      <c r="AF3931" s="125"/>
      <c r="AG3931" s="125"/>
      <c r="AH3931" s="128"/>
    </row>
    <row r="3932" spans="30:34" x14ac:dyDescent="0.2">
      <c r="AD3932" s="8"/>
      <c r="AE3932" s="126"/>
      <c r="AF3932" s="125"/>
      <c r="AG3932" s="125"/>
      <c r="AH3932" s="128"/>
    </row>
    <row r="3933" spans="30:34" x14ac:dyDescent="0.2">
      <c r="AD3933" s="8"/>
      <c r="AE3933" s="126"/>
      <c r="AF3933" s="125"/>
      <c r="AG3933" s="125"/>
      <c r="AH3933" s="128"/>
    </row>
    <row r="3934" spans="30:34" x14ac:dyDescent="0.2">
      <c r="AD3934" s="8"/>
      <c r="AE3934" s="126"/>
      <c r="AF3934" s="125"/>
      <c r="AG3934" s="125"/>
      <c r="AH3934" s="128"/>
    </row>
    <row r="3935" spans="30:34" x14ac:dyDescent="0.2">
      <c r="AD3935" s="8"/>
      <c r="AE3935" s="126"/>
      <c r="AF3935" s="125"/>
      <c r="AG3935" s="125"/>
      <c r="AH3935" s="128"/>
    </row>
    <row r="3936" spans="30:34" x14ac:dyDescent="0.2">
      <c r="AD3936" s="8"/>
      <c r="AE3936" s="126"/>
      <c r="AF3936" s="125"/>
      <c r="AG3936" s="125"/>
      <c r="AH3936" s="128"/>
    </row>
    <row r="3937" spans="30:34" x14ac:dyDescent="0.2">
      <c r="AD3937" s="8"/>
      <c r="AE3937" s="126"/>
      <c r="AF3937" s="125"/>
      <c r="AG3937" s="125"/>
      <c r="AH3937" s="128"/>
    </row>
    <row r="3938" spans="30:34" x14ac:dyDescent="0.2">
      <c r="AD3938" s="8"/>
      <c r="AE3938" s="126"/>
      <c r="AF3938" s="125"/>
      <c r="AG3938" s="125"/>
      <c r="AH3938" s="128"/>
    </row>
    <row r="3939" spans="30:34" x14ac:dyDescent="0.2">
      <c r="AD3939" s="8"/>
      <c r="AE3939" s="126"/>
      <c r="AF3939" s="125"/>
      <c r="AG3939" s="125"/>
      <c r="AH3939" s="128"/>
    </row>
    <row r="3940" spans="30:34" x14ac:dyDescent="0.2">
      <c r="AD3940" s="8"/>
      <c r="AE3940" s="126"/>
      <c r="AF3940" s="125"/>
      <c r="AG3940" s="125"/>
      <c r="AH3940" s="128"/>
    </row>
    <row r="3941" spans="30:34" x14ac:dyDescent="0.2">
      <c r="AD3941" s="8"/>
      <c r="AE3941" s="126"/>
      <c r="AF3941" s="125"/>
      <c r="AG3941" s="125"/>
      <c r="AH3941" s="128"/>
    </row>
    <row r="3942" spans="30:34" x14ac:dyDescent="0.2">
      <c r="AD3942" s="8"/>
      <c r="AE3942" s="126"/>
      <c r="AF3942" s="125"/>
      <c r="AG3942" s="125"/>
      <c r="AH3942" s="128"/>
    </row>
    <row r="3943" spans="30:34" x14ac:dyDescent="0.2">
      <c r="AD3943" s="8"/>
      <c r="AE3943" s="126"/>
      <c r="AF3943" s="125"/>
      <c r="AG3943" s="125"/>
      <c r="AH3943" s="128"/>
    </row>
    <row r="3944" spans="30:34" x14ac:dyDescent="0.2">
      <c r="AD3944" s="8"/>
      <c r="AE3944" s="126"/>
      <c r="AF3944" s="125"/>
      <c r="AG3944" s="125"/>
      <c r="AH3944" s="128"/>
    </row>
    <row r="3945" spans="30:34" x14ac:dyDescent="0.2">
      <c r="AD3945" s="8"/>
      <c r="AE3945" s="126"/>
      <c r="AF3945" s="125"/>
      <c r="AG3945" s="125"/>
      <c r="AH3945" s="128"/>
    </row>
    <row r="3946" spans="30:34" x14ac:dyDescent="0.2">
      <c r="AD3946" s="8"/>
      <c r="AE3946" s="126"/>
      <c r="AF3946" s="125"/>
      <c r="AG3946" s="125"/>
      <c r="AH3946" s="128"/>
    </row>
    <row r="3947" spans="30:34" x14ac:dyDescent="0.2">
      <c r="AD3947" s="8"/>
      <c r="AE3947" s="126"/>
      <c r="AF3947" s="125"/>
      <c r="AG3947" s="125"/>
      <c r="AH3947" s="128"/>
    </row>
    <row r="3948" spans="30:34" x14ac:dyDescent="0.2">
      <c r="AD3948" s="8"/>
      <c r="AE3948" s="126"/>
      <c r="AF3948" s="125"/>
      <c r="AG3948" s="125"/>
      <c r="AH3948" s="128"/>
    </row>
    <row r="3949" spans="30:34" x14ac:dyDescent="0.2">
      <c r="AD3949" s="8"/>
      <c r="AE3949" s="126"/>
      <c r="AF3949" s="125"/>
      <c r="AG3949" s="125"/>
      <c r="AH3949" s="128"/>
    </row>
    <row r="3950" spans="30:34" x14ac:dyDescent="0.2">
      <c r="AD3950" s="8"/>
      <c r="AE3950" s="126"/>
      <c r="AF3950" s="125"/>
      <c r="AG3950" s="125"/>
      <c r="AH3950" s="128"/>
    </row>
    <row r="3951" spans="30:34" x14ac:dyDescent="0.2">
      <c r="AD3951" s="8"/>
      <c r="AE3951" s="126"/>
      <c r="AF3951" s="125"/>
      <c r="AG3951" s="125"/>
      <c r="AH3951" s="128"/>
    </row>
    <row r="3952" spans="30:34" x14ac:dyDescent="0.2">
      <c r="AD3952" s="8"/>
      <c r="AE3952" s="126"/>
      <c r="AF3952" s="125"/>
      <c r="AG3952" s="125"/>
      <c r="AH3952" s="128"/>
    </row>
    <row r="3953" spans="30:34" x14ac:dyDescent="0.2">
      <c r="AD3953" s="8"/>
      <c r="AE3953" s="126"/>
      <c r="AF3953" s="125"/>
      <c r="AG3953" s="125"/>
      <c r="AH3953" s="128"/>
    </row>
    <row r="3954" spans="30:34" x14ac:dyDescent="0.2">
      <c r="AD3954" s="8"/>
      <c r="AE3954" s="126"/>
      <c r="AF3954" s="125"/>
      <c r="AG3954" s="125"/>
      <c r="AH3954" s="128"/>
    </row>
    <row r="3955" spans="30:34" x14ac:dyDescent="0.2">
      <c r="AD3955" s="8"/>
      <c r="AE3955" s="126"/>
      <c r="AF3955" s="125"/>
      <c r="AG3955" s="125"/>
      <c r="AH3955" s="128"/>
    </row>
    <row r="3956" spans="30:34" x14ac:dyDescent="0.2">
      <c r="AD3956" s="8"/>
      <c r="AE3956" s="126"/>
      <c r="AF3956" s="125"/>
      <c r="AG3956" s="125"/>
      <c r="AH3956" s="128"/>
    </row>
    <row r="3957" spans="30:34" x14ac:dyDescent="0.2">
      <c r="AD3957" s="8"/>
      <c r="AE3957" s="126"/>
      <c r="AF3957" s="125"/>
      <c r="AG3957" s="125"/>
      <c r="AH3957" s="128"/>
    </row>
    <row r="3958" spans="30:34" x14ac:dyDescent="0.2">
      <c r="AD3958" s="8"/>
      <c r="AE3958" s="126"/>
      <c r="AF3958" s="125"/>
      <c r="AG3958" s="125"/>
      <c r="AH3958" s="128"/>
    </row>
    <row r="3959" spans="30:34" x14ac:dyDescent="0.2">
      <c r="AD3959" s="8"/>
      <c r="AE3959" s="126"/>
      <c r="AF3959" s="125"/>
      <c r="AG3959" s="125"/>
      <c r="AH3959" s="128"/>
    </row>
    <row r="3960" spans="30:34" x14ac:dyDescent="0.2">
      <c r="AD3960" s="8"/>
      <c r="AE3960" s="126"/>
      <c r="AF3960" s="125"/>
      <c r="AG3960" s="125"/>
      <c r="AH3960" s="128"/>
    </row>
    <row r="3961" spans="30:34" x14ac:dyDescent="0.2">
      <c r="AD3961" s="8"/>
      <c r="AE3961" s="126"/>
      <c r="AF3961" s="125"/>
      <c r="AG3961" s="125"/>
      <c r="AH3961" s="128"/>
    </row>
    <row r="3962" spans="30:34" x14ac:dyDescent="0.2">
      <c r="AD3962" s="8"/>
      <c r="AE3962" s="126"/>
      <c r="AF3962" s="125"/>
      <c r="AG3962" s="125"/>
      <c r="AH3962" s="128"/>
    </row>
    <row r="3963" spans="30:34" x14ac:dyDescent="0.2">
      <c r="AD3963" s="8"/>
      <c r="AE3963" s="126"/>
      <c r="AF3963" s="125"/>
      <c r="AG3963" s="125"/>
      <c r="AH3963" s="128"/>
    </row>
    <row r="3964" spans="30:34" x14ac:dyDescent="0.2">
      <c r="AD3964" s="8"/>
      <c r="AE3964" s="126"/>
      <c r="AF3964" s="125"/>
      <c r="AG3964" s="125"/>
      <c r="AH3964" s="128"/>
    </row>
    <row r="3965" spans="30:34" x14ac:dyDescent="0.2">
      <c r="AD3965" s="8"/>
      <c r="AE3965" s="126"/>
      <c r="AF3965" s="125"/>
      <c r="AG3965" s="125"/>
      <c r="AH3965" s="128"/>
    </row>
    <row r="3966" spans="30:34" x14ac:dyDescent="0.2">
      <c r="AD3966" s="8"/>
      <c r="AE3966" s="126"/>
      <c r="AF3966" s="125"/>
      <c r="AG3966" s="125"/>
      <c r="AH3966" s="128"/>
    </row>
    <row r="3967" spans="30:34" x14ac:dyDescent="0.2">
      <c r="AD3967" s="8"/>
      <c r="AE3967" s="126"/>
      <c r="AF3967" s="125"/>
      <c r="AG3967" s="125"/>
      <c r="AH3967" s="128"/>
    </row>
    <row r="3968" spans="30:34" x14ac:dyDescent="0.2">
      <c r="AD3968" s="8"/>
      <c r="AE3968" s="126"/>
      <c r="AF3968" s="125"/>
      <c r="AG3968" s="125"/>
      <c r="AH3968" s="128"/>
    </row>
    <row r="3969" spans="30:34" x14ac:dyDescent="0.2">
      <c r="AD3969" s="8"/>
      <c r="AE3969" s="126"/>
      <c r="AF3969" s="125"/>
      <c r="AG3969" s="125"/>
      <c r="AH3969" s="128"/>
    </row>
    <row r="3970" spans="30:34" x14ac:dyDescent="0.2">
      <c r="AD3970" s="8"/>
      <c r="AE3970" s="126"/>
      <c r="AF3970" s="125"/>
      <c r="AG3970" s="125"/>
      <c r="AH3970" s="128"/>
    </row>
    <row r="3971" spans="30:34" x14ac:dyDescent="0.2">
      <c r="AD3971" s="8"/>
      <c r="AE3971" s="126"/>
      <c r="AF3971" s="125"/>
      <c r="AG3971" s="125"/>
      <c r="AH3971" s="128"/>
    </row>
    <row r="3972" spans="30:34" x14ac:dyDescent="0.2">
      <c r="AD3972" s="8"/>
      <c r="AE3972" s="126"/>
      <c r="AF3972" s="125"/>
      <c r="AG3972" s="125"/>
      <c r="AH3972" s="128"/>
    </row>
    <row r="3973" spans="30:34" x14ac:dyDescent="0.2">
      <c r="AD3973" s="8"/>
      <c r="AE3973" s="126"/>
      <c r="AF3973" s="125"/>
      <c r="AG3973" s="125"/>
      <c r="AH3973" s="128"/>
    </row>
    <row r="3974" spans="30:34" x14ac:dyDescent="0.2">
      <c r="AD3974" s="8"/>
      <c r="AE3974" s="126"/>
      <c r="AF3974" s="125"/>
      <c r="AG3974" s="125"/>
      <c r="AH3974" s="128"/>
    </row>
    <row r="3975" spans="30:34" x14ac:dyDescent="0.2">
      <c r="AD3975" s="8"/>
      <c r="AE3975" s="126"/>
      <c r="AF3975" s="125"/>
      <c r="AG3975" s="125"/>
      <c r="AH3975" s="128"/>
    </row>
    <row r="3976" spans="30:34" x14ac:dyDescent="0.2">
      <c r="AD3976" s="8"/>
      <c r="AE3976" s="126"/>
      <c r="AF3976" s="125"/>
      <c r="AG3976" s="125"/>
      <c r="AH3976" s="128"/>
    </row>
    <row r="3977" spans="30:34" x14ac:dyDescent="0.2">
      <c r="AD3977" s="8"/>
      <c r="AE3977" s="126"/>
      <c r="AF3977" s="125"/>
      <c r="AG3977" s="125"/>
      <c r="AH3977" s="128"/>
    </row>
    <row r="3978" spans="30:34" x14ac:dyDescent="0.2">
      <c r="AD3978" s="8"/>
      <c r="AE3978" s="126"/>
      <c r="AF3978" s="125"/>
      <c r="AG3978" s="125"/>
      <c r="AH3978" s="128"/>
    </row>
    <row r="3979" spans="30:34" x14ac:dyDescent="0.2">
      <c r="AD3979" s="8"/>
      <c r="AE3979" s="126"/>
      <c r="AF3979" s="125"/>
      <c r="AG3979" s="125"/>
      <c r="AH3979" s="128"/>
    </row>
    <row r="3980" spans="30:34" x14ac:dyDescent="0.2">
      <c r="AD3980" s="8"/>
      <c r="AE3980" s="126"/>
      <c r="AF3980" s="125"/>
      <c r="AG3980" s="125"/>
      <c r="AH3980" s="128"/>
    </row>
    <row r="3981" spans="30:34" x14ac:dyDescent="0.2">
      <c r="AD3981" s="8"/>
      <c r="AE3981" s="126"/>
      <c r="AF3981" s="125"/>
      <c r="AG3981" s="125"/>
      <c r="AH3981" s="128"/>
    </row>
    <row r="3982" spans="30:34" x14ac:dyDescent="0.2">
      <c r="AD3982" s="8"/>
      <c r="AE3982" s="126"/>
      <c r="AF3982" s="125"/>
      <c r="AG3982" s="125"/>
      <c r="AH3982" s="128"/>
    </row>
    <row r="3983" spans="30:34" x14ac:dyDescent="0.2">
      <c r="AD3983" s="8"/>
      <c r="AE3983" s="126"/>
      <c r="AF3983" s="125"/>
      <c r="AG3983" s="125"/>
      <c r="AH3983" s="128"/>
    </row>
    <row r="3984" spans="30:34" x14ac:dyDescent="0.2">
      <c r="AD3984" s="8"/>
      <c r="AE3984" s="126"/>
      <c r="AF3984" s="125"/>
      <c r="AG3984" s="125"/>
      <c r="AH3984" s="128"/>
    </row>
    <row r="3985" spans="30:34" x14ac:dyDescent="0.2">
      <c r="AD3985" s="8"/>
      <c r="AE3985" s="126"/>
      <c r="AF3985" s="125"/>
      <c r="AG3985" s="125"/>
      <c r="AH3985" s="128"/>
    </row>
    <row r="3986" spans="30:34" x14ac:dyDescent="0.2">
      <c r="AD3986" s="8"/>
      <c r="AE3986" s="126"/>
      <c r="AF3986" s="125"/>
      <c r="AG3986" s="125"/>
      <c r="AH3986" s="128"/>
    </row>
    <row r="3987" spans="30:34" x14ac:dyDescent="0.2">
      <c r="AD3987" s="8"/>
      <c r="AE3987" s="126"/>
      <c r="AF3987" s="125"/>
      <c r="AG3987" s="125"/>
      <c r="AH3987" s="128"/>
    </row>
    <row r="3988" spans="30:34" x14ac:dyDescent="0.2">
      <c r="AD3988" s="8"/>
      <c r="AE3988" s="126"/>
      <c r="AF3988" s="125"/>
      <c r="AG3988" s="125"/>
      <c r="AH3988" s="128"/>
    </row>
    <row r="3989" spans="30:34" x14ac:dyDescent="0.2">
      <c r="AD3989" s="8"/>
      <c r="AE3989" s="126"/>
      <c r="AF3989" s="125"/>
      <c r="AG3989" s="125"/>
      <c r="AH3989" s="128"/>
    </row>
    <row r="3990" spans="30:34" x14ac:dyDescent="0.2">
      <c r="AD3990" s="8"/>
      <c r="AE3990" s="126"/>
      <c r="AF3990" s="125"/>
      <c r="AG3990" s="125"/>
      <c r="AH3990" s="128"/>
    </row>
    <row r="3991" spans="30:34" x14ac:dyDescent="0.2">
      <c r="AD3991" s="8"/>
      <c r="AE3991" s="126"/>
      <c r="AF3991" s="125"/>
      <c r="AG3991" s="125"/>
      <c r="AH3991" s="128"/>
    </row>
    <row r="3992" spans="30:34" x14ac:dyDescent="0.2">
      <c r="AD3992" s="8"/>
      <c r="AE3992" s="126"/>
      <c r="AF3992" s="125"/>
      <c r="AG3992" s="125"/>
      <c r="AH3992" s="128"/>
    </row>
    <row r="3993" spans="30:34" x14ac:dyDescent="0.2">
      <c r="AD3993" s="8"/>
      <c r="AE3993" s="126"/>
      <c r="AF3993" s="125"/>
      <c r="AG3993" s="125"/>
      <c r="AH3993" s="128"/>
    </row>
    <row r="3994" spans="30:34" x14ac:dyDescent="0.2">
      <c r="AD3994" s="8"/>
      <c r="AE3994" s="126"/>
      <c r="AF3994" s="125"/>
      <c r="AG3994" s="125"/>
      <c r="AH3994" s="128"/>
    </row>
    <row r="3995" spans="30:34" x14ac:dyDescent="0.2">
      <c r="AD3995" s="8"/>
      <c r="AE3995" s="126"/>
      <c r="AF3995" s="125"/>
      <c r="AG3995" s="125"/>
      <c r="AH3995" s="128"/>
    </row>
    <row r="3996" spans="30:34" x14ac:dyDescent="0.2">
      <c r="AD3996" s="8"/>
      <c r="AE3996" s="126"/>
      <c r="AF3996" s="125"/>
      <c r="AG3996" s="125"/>
      <c r="AH3996" s="128"/>
    </row>
    <row r="3997" spans="30:34" x14ac:dyDescent="0.2">
      <c r="AD3997" s="8"/>
      <c r="AE3997" s="126"/>
      <c r="AF3997" s="125"/>
      <c r="AG3997" s="125"/>
      <c r="AH3997" s="128"/>
    </row>
    <row r="3998" spans="30:34" x14ac:dyDescent="0.2">
      <c r="AD3998" s="8"/>
      <c r="AE3998" s="126"/>
      <c r="AF3998" s="125"/>
      <c r="AG3998" s="125"/>
      <c r="AH3998" s="128"/>
    </row>
    <row r="3999" spans="30:34" x14ac:dyDescent="0.2">
      <c r="AD3999" s="8"/>
      <c r="AE3999" s="126"/>
      <c r="AF3999" s="125"/>
      <c r="AG3999" s="125"/>
      <c r="AH3999" s="128"/>
    </row>
    <row r="4000" spans="30:34" x14ac:dyDescent="0.2">
      <c r="AD4000" s="8"/>
      <c r="AE4000" s="126"/>
      <c r="AF4000" s="125"/>
      <c r="AG4000" s="125"/>
      <c r="AH4000" s="128"/>
    </row>
    <row r="4001" spans="30:34" x14ac:dyDescent="0.2">
      <c r="AD4001" s="8"/>
      <c r="AE4001" s="126"/>
      <c r="AF4001" s="125"/>
      <c r="AG4001" s="125"/>
      <c r="AH4001" s="128"/>
    </row>
    <row r="4002" spans="30:34" x14ac:dyDescent="0.2">
      <c r="AD4002" s="8"/>
      <c r="AE4002" s="126"/>
      <c r="AF4002" s="125"/>
      <c r="AG4002" s="125"/>
      <c r="AH4002" s="128"/>
    </row>
    <row r="4003" spans="30:34" x14ac:dyDescent="0.2">
      <c r="AD4003" s="8"/>
      <c r="AE4003" s="126"/>
      <c r="AF4003" s="125"/>
      <c r="AG4003" s="125"/>
      <c r="AH4003" s="128"/>
    </row>
    <row r="4004" spans="30:34" x14ac:dyDescent="0.2">
      <c r="AD4004" s="8"/>
      <c r="AE4004" s="126"/>
      <c r="AF4004" s="125"/>
      <c r="AG4004" s="125"/>
      <c r="AH4004" s="128"/>
    </row>
    <row r="4005" spans="30:34" x14ac:dyDescent="0.2">
      <c r="AD4005" s="8"/>
      <c r="AE4005" s="126"/>
      <c r="AF4005" s="125"/>
      <c r="AG4005" s="125"/>
      <c r="AH4005" s="128"/>
    </row>
    <row r="4006" spans="30:34" x14ac:dyDescent="0.2">
      <c r="AD4006" s="8"/>
      <c r="AE4006" s="126"/>
      <c r="AF4006" s="125"/>
      <c r="AG4006" s="125"/>
      <c r="AH4006" s="128"/>
    </row>
    <row r="4007" spans="30:34" x14ac:dyDescent="0.2">
      <c r="AD4007" s="8"/>
      <c r="AE4007" s="126"/>
      <c r="AF4007" s="125"/>
      <c r="AG4007" s="125"/>
      <c r="AH4007" s="128"/>
    </row>
    <row r="4008" spans="30:34" x14ac:dyDescent="0.2">
      <c r="AD4008" s="8"/>
      <c r="AE4008" s="126"/>
      <c r="AF4008" s="125"/>
      <c r="AG4008" s="125"/>
      <c r="AH4008" s="128"/>
    </row>
    <row r="4009" spans="30:34" x14ac:dyDescent="0.2">
      <c r="AD4009" s="8"/>
      <c r="AE4009" s="126"/>
      <c r="AF4009" s="125"/>
      <c r="AG4009" s="125"/>
      <c r="AH4009" s="128"/>
    </row>
    <row r="4010" spans="30:34" x14ac:dyDescent="0.2">
      <c r="AD4010" s="8"/>
      <c r="AE4010" s="126"/>
      <c r="AF4010" s="125"/>
      <c r="AG4010" s="125"/>
      <c r="AH4010" s="128"/>
    </row>
    <row r="4011" spans="30:34" x14ac:dyDescent="0.2">
      <c r="AD4011" s="8"/>
      <c r="AE4011" s="126"/>
      <c r="AF4011" s="125"/>
      <c r="AG4011" s="125"/>
      <c r="AH4011" s="128"/>
    </row>
    <row r="4012" spans="30:34" x14ac:dyDescent="0.2">
      <c r="AD4012" s="8"/>
      <c r="AE4012" s="126"/>
      <c r="AF4012" s="125"/>
      <c r="AG4012" s="125"/>
      <c r="AH4012" s="128"/>
    </row>
    <row r="4013" spans="30:34" x14ac:dyDescent="0.2">
      <c r="AD4013" s="8"/>
      <c r="AE4013" s="126"/>
      <c r="AF4013" s="125"/>
      <c r="AG4013" s="125"/>
      <c r="AH4013" s="128"/>
    </row>
    <row r="4014" spans="30:34" x14ac:dyDescent="0.2">
      <c r="AD4014" s="8"/>
      <c r="AE4014" s="126"/>
      <c r="AF4014" s="125"/>
      <c r="AG4014" s="125"/>
      <c r="AH4014" s="128"/>
    </row>
    <row r="4015" spans="30:34" x14ac:dyDescent="0.2">
      <c r="AD4015" s="8"/>
      <c r="AE4015" s="126"/>
      <c r="AF4015" s="125"/>
      <c r="AG4015" s="125"/>
      <c r="AH4015" s="128"/>
    </row>
    <row r="4016" spans="30:34" x14ac:dyDescent="0.2">
      <c r="AD4016" s="8"/>
      <c r="AE4016" s="126"/>
      <c r="AF4016" s="125"/>
      <c r="AG4016" s="125"/>
      <c r="AH4016" s="128"/>
    </row>
    <row r="4017" spans="30:34" x14ac:dyDescent="0.2">
      <c r="AD4017" s="8"/>
      <c r="AE4017" s="126"/>
      <c r="AF4017" s="125"/>
      <c r="AG4017" s="125"/>
      <c r="AH4017" s="128"/>
    </row>
    <row r="4018" spans="30:34" x14ac:dyDescent="0.2">
      <c r="AD4018" s="8"/>
      <c r="AE4018" s="126"/>
      <c r="AF4018" s="125"/>
      <c r="AG4018" s="125"/>
      <c r="AH4018" s="128"/>
    </row>
    <row r="4019" spans="30:34" x14ac:dyDescent="0.2">
      <c r="AD4019" s="8"/>
      <c r="AE4019" s="126"/>
      <c r="AF4019" s="125"/>
      <c r="AG4019" s="125"/>
      <c r="AH4019" s="128"/>
    </row>
    <row r="4020" spans="30:34" x14ac:dyDescent="0.2">
      <c r="AD4020" s="8"/>
      <c r="AE4020" s="126"/>
      <c r="AF4020" s="125"/>
      <c r="AG4020" s="125"/>
      <c r="AH4020" s="128"/>
    </row>
    <row r="4021" spans="30:34" x14ac:dyDescent="0.2">
      <c r="AD4021" s="8"/>
      <c r="AE4021" s="126"/>
      <c r="AF4021" s="125"/>
      <c r="AG4021" s="125"/>
      <c r="AH4021" s="128"/>
    </row>
    <row r="4022" spans="30:34" x14ac:dyDescent="0.2">
      <c r="AD4022" s="8"/>
      <c r="AE4022" s="126"/>
      <c r="AF4022" s="125"/>
      <c r="AG4022" s="125"/>
      <c r="AH4022" s="128"/>
    </row>
    <row r="4023" spans="30:34" x14ac:dyDescent="0.2">
      <c r="AD4023" s="8"/>
      <c r="AE4023" s="126"/>
      <c r="AF4023" s="125"/>
      <c r="AG4023" s="125"/>
      <c r="AH4023" s="128"/>
    </row>
    <row r="4024" spans="30:34" x14ac:dyDescent="0.2">
      <c r="AD4024" s="8"/>
      <c r="AE4024" s="126"/>
      <c r="AF4024" s="125"/>
      <c r="AG4024" s="125"/>
      <c r="AH4024" s="128"/>
    </row>
    <row r="4025" spans="30:34" x14ac:dyDescent="0.2">
      <c r="AD4025" s="8"/>
      <c r="AE4025" s="126"/>
      <c r="AF4025" s="125"/>
      <c r="AG4025" s="125"/>
      <c r="AH4025" s="128"/>
    </row>
    <row r="4026" spans="30:34" x14ac:dyDescent="0.2">
      <c r="AD4026" s="8"/>
      <c r="AE4026" s="126"/>
      <c r="AF4026" s="125"/>
      <c r="AG4026" s="125"/>
      <c r="AH4026" s="128"/>
    </row>
    <row r="4027" spans="30:34" x14ac:dyDescent="0.2">
      <c r="AD4027" s="8"/>
      <c r="AE4027" s="126"/>
      <c r="AF4027" s="125"/>
      <c r="AG4027" s="125"/>
      <c r="AH4027" s="128"/>
    </row>
    <row r="4028" spans="30:34" x14ac:dyDescent="0.2">
      <c r="AD4028" s="8"/>
      <c r="AE4028" s="126"/>
      <c r="AF4028" s="125"/>
      <c r="AG4028" s="125"/>
      <c r="AH4028" s="128"/>
    </row>
    <row r="4029" spans="30:34" x14ac:dyDescent="0.2">
      <c r="AD4029" s="8"/>
      <c r="AE4029" s="126"/>
      <c r="AF4029" s="125"/>
      <c r="AG4029" s="125"/>
      <c r="AH4029" s="128"/>
    </row>
    <row r="4030" spans="30:34" x14ac:dyDescent="0.2">
      <c r="AD4030" s="8"/>
      <c r="AE4030" s="126"/>
      <c r="AF4030" s="125"/>
      <c r="AG4030" s="125"/>
      <c r="AH4030" s="128"/>
    </row>
    <row r="4031" spans="30:34" x14ac:dyDescent="0.2">
      <c r="AD4031" s="8"/>
      <c r="AE4031" s="126"/>
      <c r="AF4031" s="125"/>
      <c r="AG4031" s="125"/>
      <c r="AH4031" s="128"/>
    </row>
    <row r="4032" spans="30:34" x14ac:dyDescent="0.2">
      <c r="AD4032" s="8"/>
      <c r="AE4032" s="126"/>
      <c r="AF4032" s="125"/>
      <c r="AG4032" s="125"/>
      <c r="AH4032" s="128"/>
    </row>
    <row r="4033" spans="30:34" x14ac:dyDescent="0.2">
      <c r="AD4033" s="8"/>
      <c r="AE4033" s="126"/>
      <c r="AF4033" s="125"/>
      <c r="AG4033" s="125"/>
      <c r="AH4033" s="128"/>
    </row>
    <row r="4034" spans="30:34" x14ac:dyDescent="0.2">
      <c r="AD4034" s="8"/>
      <c r="AE4034" s="126"/>
      <c r="AF4034" s="125"/>
      <c r="AG4034" s="125"/>
      <c r="AH4034" s="128"/>
    </row>
    <row r="4035" spans="30:34" x14ac:dyDescent="0.2">
      <c r="AD4035" s="8"/>
      <c r="AE4035" s="126"/>
      <c r="AF4035" s="125"/>
      <c r="AG4035" s="125"/>
      <c r="AH4035" s="128"/>
    </row>
    <row r="4036" spans="30:34" x14ac:dyDescent="0.2">
      <c r="AD4036" s="8"/>
      <c r="AE4036" s="126"/>
      <c r="AF4036" s="125"/>
      <c r="AG4036" s="125"/>
      <c r="AH4036" s="128"/>
    </row>
    <row r="4037" spans="30:34" x14ac:dyDescent="0.2">
      <c r="AD4037" s="8"/>
      <c r="AE4037" s="126"/>
      <c r="AF4037" s="125"/>
      <c r="AG4037" s="125"/>
      <c r="AH4037" s="128"/>
    </row>
    <row r="4038" spans="30:34" x14ac:dyDescent="0.2">
      <c r="AD4038" s="8"/>
      <c r="AE4038" s="126"/>
      <c r="AF4038" s="125"/>
      <c r="AG4038" s="125"/>
      <c r="AH4038" s="128"/>
    </row>
    <row r="4039" spans="30:34" x14ac:dyDescent="0.2">
      <c r="AD4039" s="8"/>
      <c r="AE4039" s="126"/>
      <c r="AF4039" s="125"/>
      <c r="AG4039" s="125"/>
      <c r="AH4039" s="128"/>
    </row>
    <row r="4040" spans="30:34" x14ac:dyDescent="0.2">
      <c r="AD4040" s="8"/>
      <c r="AE4040" s="126"/>
      <c r="AF4040" s="125"/>
      <c r="AG4040" s="125"/>
      <c r="AH4040" s="128"/>
    </row>
    <row r="4041" spans="30:34" x14ac:dyDescent="0.2">
      <c r="AD4041" s="8"/>
      <c r="AE4041" s="126"/>
      <c r="AF4041" s="125"/>
      <c r="AG4041" s="125"/>
      <c r="AH4041" s="128"/>
    </row>
    <row r="4042" spans="30:34" x14ac:dyDescent="0.2">
      <c r="AD4042" s="8"/>
      <c r="AE4042" s="126"/>
      <c r="AF4042" s="125"/>
      <c r="AG4042" s="125"/>
      <c r="AH4042" s="128"/>
    </row>
    <row r="4043" spans="30:34" x14ac:dyDescent="0.2">
      <c r="AD4043" s="8"/>
      <c r="AE4043" s="126"/>
      <c r="AF4043" s="125"/>
      <c r="AG4043" s="125"/>
      <c r="AH4043" s="128"/>
    </row>
    <row r="4044" spans="30:34" x14ac:dyDescent="0.2">
      <c r="AD4044" s="8"/>
      <c r="AE4044" s="126"/>
      <c r="AF4044" s="125"/>
      <c r="AG4044" s="125"/>
      <c r="AH4044" s="128"/>
    </row>
    <row r="4045" spans="30:34" x14ac:dyDescent="0.2">
      <c r="AD4045" s="8"/>
      <c r="AE4045" s="126"/>
      <c r="AF4045" s="125"/>
      <c r="AG4045" s="125"/>
      <c r="AH4045" s="128"/>
    </row>
    <row r="4046" spans="30:34" x14ac:dyDescent="0.2">
      <c r="AD4046" s="8"/>
      <c r="AE4046" s="126"/>
      <c r="AF4046" s="125"/>
      <c r="AG4046" s="125"/>
      <c r="AH4046" s="128"/>
    </row>
    <row r="4047" spans="30:34" x14ac:dyDescent="0.2">
      <c r="AD4047" s="8"/>
      <c r="AE4047" s="126"/>
      <c r="AF4047" s="125"/>
      <c r="AG4047" s="125"/>
      <c r="AH4047" s="128"/>
    </row>
    <row r="4048" spans="30:34" x14ac:dyDescent="0.2">
      <c r="AD4048" s="8"/>
      <c r="AE4048" s="126"/>
      <c r="AF4048" s="125"/>
      <c r="AG4048" s="125"/>
      <c r="AH4048" s="128"/>
    </row>
    <row r="4049" spans="30:34" x14ac:dyDescent="0.2">
      <c r="AD4049" s="8"/>
      <c r="AE4049" s="126"/>
      <c r="AF4049" s="125"/>
      <c r="AG4049" s="125"/>
      <c r="AH4049" s="128"/>
    </row>
    <row r="4050" spans="30:34" x14ac:dyDescent="0.2">
      <c r="AD4050" s="8"/>
      <c r="AE4050" s="126"/>
      <c r="AF4050" s="125"/>
      <c r="AG4050" s="125"/>
      <c r="AH4050" s="128"/>
    </row>
    <row r="4051" spans="30:34" x14ac:dyDescent="0.2">
      <c r="AD4051" s="8"/>
      <c r="AE4051" s="126"/>
      <c r="AF4051" s="125"/>
      <c r="AG4051" s="125"/>
      <c r="AH4051" s="128"/>
    </row>
    <row r="4052" spans="30:34" x14ac:dyDescent="0.2">
      <c r="AD4052" s="8"/>
      <c r="AE4052" s="126"/>
      <c r="AF4052" s="125"/>
      <c r="AG4052" s="125"/>
      <c r="AH4052" s="128"/>
    </row>
    <row r="4053" spans="30:34" x14ac:dyDescent="0.2">
      <c r="AD4053" s="8"/>
      <c r="AE4053" s="126"/>
      <c r="AF4053" s="125"/>
      <c r="AG4053" s="125"/>
      <c r="AH4053" s="128"/>
    </row>
    <row r="4054" spans="30:34" x14ac:dyDescent="0.2">
      <c r="AD4054" s="8"/>
      <c r="AE4054" s="126"/>
      <c r="AF4054" s="125"/>
      <c r="AG4054" s="125"/>
      <c r="AH4054" s="128"/>
    </row>
    <row r="4055" spans="30:34" x14ac:dyDescent="0.2">
      <c r="AD4055" s="8"/>
      <c r="AE4055" s="126"/>
      <c r="AF4055" s="125"/>
      <c r="AG4055" s="125"/>
      <c r="AH4055" s="128"/>
    </row>
    <row r="4056" spans="30:34" x14ac:dyDescent="0.2">
      <c r="AD4056" s="8"/>
      <c r="AE4056" s="126"/>
      <c r="AF4056" s="125"/>
      <c r="AG4056" s="125"/>
      <c r="AH4056" s="128"/>
    </row>
    <row r="4057" spans="30:34" x14ac:dyDescent="0.2">
      <c r="AD4057" s="8"/>
      <c r="AE4057" s="126"/>
      <c r="AF4057" s="125"/>
      <c r="AG4057" s="125"/>
      <c r="AH4057" s="128"/>
    </row>
    <row r="4058" spans="30:34" x14ac:dyDescent="0.2">
      <c r="AD4058" s="8"/>
      <c r="AE4058" s="126"/>
      <c r="AF4058" s="125"/>
      <c r="AG4058" s="125"/>
      <c r="AH4058" s="128"/>
    </row>
    <row r="4059" spans="30:34" x14ac:dyDescent="0.2">
      <c r="AD4059" s="8"/>
      <c r="AE4059" s="126"/>
      <c r="AF4059" s="125"/>
      <c r="AG4059" s="125"/>
      <c r="AH4059" s="128"/>
    </row>
    <row r="4060" spans="30:34" x14ac:dyDescent="0.2">
      <c r="AD4060" s="8"/>
      <c r="AE4060" s="126"/>
      <c r="AF4060" s="125"/>
      <c r="AG4060" s="125"/>
      <c r="AH4060" s="128"/>
    </row>
    <row r="4061" spans="30:34" x14ac:dyDescent="0.2">
      <c r="AD4061" s="8"/>
      <c r="AE4061" s="126"/>
      <c r="AF4061" s="125"/>
      <c r="AG4061" s="125"/>
      <c r="AH4061" s="128"/>
    </row>
    <row r="4062" spans="30:34" x14ac:dyDescent="0.2">
      <c r="AD4062" s="8"/>
      <c r="AE4062" s="126"/>
      <c r="AF4062" s="125"/>
      <c r="AG4062" s="125"/>
      <c r="AH4062" s="128"/>
    </row>
    <row r="4063" spans="30:34" x14ac:dyDescent="0.2">
      <c r="AD4063" s="8"/>
      <c r="AE4063" s="126"/>
      <c r="AF4063" s="125"/>
      <c r="AG4063" s="125"/>
      <c r="AH4063" s="128"/>
    </row>
    <row r="4064" spans="30:34" x14ac:dyDescent="0.2">
      <c r="AD4064" s="8"/>
      <c r="AE4064" s="126"/>
      <c r="AF4064" s="125"/>
      <c r="AG4064" s="125"/>
      <c r="AH4064" s="128"/>
    </row>
    <row r="4065" spans="30:34" x14ac:dyDescent="0.2">
      <c r="AD4065" s="8"/>
      <c r="AE4065" s="126"/>
      <c r="AF4065" s="125"/>
      <c r="AG4065" s="125"/>
      <c r="AH4065" s="128"/>
    </row>
    <row r="4066" spans="30:34" x14ac:dyDescent="0.2">
      <c r="AD4066" s="8"/>
      <c r="AE4066" s="126"/>
      <c r="AF4066" s="125"/>
      <c r="AG4066" s="125"/>
      <c r="AH4066" s="128"/>
    </row>
    <row r="4067" spans="30:34" x14ac:dyDescent="0.2">
      <c r="AD4067" s="8"/>
      <c r="AE4067" s="126"/>
      <c r="AF4067" s="125"/>
      <c r="AG4067" s="125"/>
      <c r="AH4067" s="128"/>
    </row>
    <row r="4068" spans="30:34" x14ac:dyDescent="0.2">
      <c r="AD4068" s="8"/>
      <c r="AE4068" s="126"/>
      <c r="AF4068" s="125"/>
      <c r="AG4068" s="125"/>
      <c r="AH4068" s="128"/>
    </row>
    <row r="4069" spans="30:34" x14ac:dyDescent="0.2">
      <c r="AD4069" s="8"/>
      <c r="AE4069" s="126"/>
      <c r="AF4069" s="125"/>
      <c r="AG4069" s="125"/>
      <c r="AH4069" s="128"/>
    </row>
    <row r="4070" spans="30:34" x14ac:dyDescent="0.2">
      <c r="AD4070" s="8"/>
      <c r="AE4070" s="126"/>
      <c r="AF4070" s="125"/>
      <c r="AG4070" s="125"/>
      <c r="AH4070" s="128"/>
    </row>
    <row r="4071" spans="30:34" x14ac:dyDescent="0.2">
      <c r="AD4071" s="8"/>
      <c r="AE4071" s="126"/>
      <c r="AF4071" s="125"/>
      <c r="AG4071" s="125"/>
      <c r="AH4071" s="128"/>
    </row>
    <row r="4072" spans="30:34" x14ac:dyDescent="0.2">
      <c r="AD4072" s="8"/>
      <c r="AE4072" s="126"/>
      <c r="AF4072" s="125"/>
      <c r="AG4072" s="125"/>
      <c r="AH4072" s="128"/>
    </row>
    <row r="4073" spans="30:34" x14ac:dyDescent="0.2">
      <c r="AD4073" s="8"/>
      <c r="AE4073" s="126"/>
      <c r="AF4073" s="125"/>
      <c r="AG4073" s="125"/>
      <c r="AH4073" s="128"/>
    </row>
    <row r="4074" spans="30:34" x14ac:dyDescent="0.2">
      <c r="AD4074" s="8"/>
      <c r="AE4074" s="126"/>
      <c r="AF4074" s="125"/>
      <c r="AG4074" s="125"/>
      <c r="AH4074" s="128"/>
    </row>
    <row r="4075" spans="30:34" x14ac:dyDescent="0.2">
      <c r="AD4075" s="8"/>
      <c r="AE4075" s="126"/>
      <c r="AF4075" s="125"/>
      <c r="AG4075" s="125"/>
      <c r="AH4075" s="128"/>
    </row>
    <row r="4076" spans="30:34" x14ac:dyDescent="0.2">
      <c r="AD4076" s="8"/>
      <c r="AE4076" s="126"/>
      <c r="AF4076" s="125"/>
      <c r="AG4076" s="125"/>
      <c r="AH4076" s="128"/>
    </row>
    <row r="4077" spans="30:34" x14ac:dyDescent="0.2">
      <c r="AE4077" s="114"/>
    </row>
    <row r="4078" spans="30:34" x14ac:dyDescent="0.2">
      <c r="AE4078" s="114"/>
    </row>
    <row r="4079" spans="30:34" x14ac:dyDescent="0.2">
      <c r="AE4079" s="114"/>
    </row>
    <row r="4080" spans="30:34" x14ac:dyDescent="0.2">
      <c r="AE4080" s="114"/>
    </row>
    <row r="4081" spans="31:31" x14ac:dyDescent="0.2">
      <c r="AE4081" s="114"/>
    </row>
    <row r="4082" spans="31:31" x14ac:dyDescent="0.2">
      <c r="AE4082" s="114"/>
    </row>
    <row r="4083" spans="31:31" x14ac:dyDescent="0.2">
      <c r="AE4083" s="114"/>
    </row>
    <row r="4084" spans="31:31" x14ac:dyDescent="0.2">
      <c r="AE4084" s="114"/>
    </row>
    <row r="4085" spans="31:31" x14ac:dyDescent="0.2">
      <c r="AE4085" s="114"/>
    </row>
    <row r="4086" spans="31:31" x14ac:dyDescent="0.2">
      <c r="AE4086" s="114"/>
    </row>
    <row r="4087" spans="31:31" x14ac:dyDescent="0.2">
      <c r="AE4087" s="114"/>
    </row>
    <row r="4088" spans="31:31" x14ac:dyDescent="0.2">
      <c r="AE4088" s="114"/>
    </row>
    <row r="4089" spans="31:31" x14ac:dyDescent="0.2">
      <c r="AE4089" s="114"/>
    </row>
    <row r="4090" spans="31:31" x14ac:dyDescent="0.2">
      <c r="AE4090" s="114"/>
    </row>
    <row r="4091" spans="31:31" x14ac:dyDescent="0.2">
      <c r="AE4091" s="114"/>
    </row>
    <row r="4092" spans="31:31" x14ac:dyDescent="0.2">
      <c r="AE4092" s="114"/>
    </row>
    <row r="4093" spans="31:31" x14ac:dyDescent="0.2">
      <c r="AE4093" s="114"/>
    </row>
    <row r="4094" spans="31:31" x14ac:dyDescent="0.2">
      <c r="AE4094" s="114"/>
    </row>
    <row r="4095" spans="31:31" x14ac:dyDescent="0.2">
      <c r="AE4095" s="114"/>
    </row>
    <row r="4096" spans="31:31" x14ac:dyDescent="0.2">
      <c r="AE4096" s="114"/>
    </row>
    <row r="4097" spans="31:31" x14ac:dyDescent="0.2">
      <c r="AE4097" s="114"/>
    </row>
    <row r="4098" spans="31:31" x14ac:dyDescent="0.2">
      <c r="AE4098" s="114"/>
    </row>
    <row r="4099" spans="31:31" x14ac:dyDescent="0.2">
      <c r="AE4099" s="114"/>
    </row>
    <row r="4100" spans="31:31" x14ac:dyDescent="0.2">
      <c r="AE4100" s="114"/>
    </row>
    <row r="4101" spans="31:31" x14ac:dyDescent="0.2">
      <c r="AE4101" s="114"/>
    </row>
    <row r="4102" spans="31:31" x14ac:dyDescent="0.2">
      <c r="AE4102" s="114"/>
    </row>
    <row r="4103" spans="31:31" x14ac:dyDescent="0.2">
      <c r="AE4103" s="114"/>
    </row>
    <row r="4104" spans="31:31" x14ac:dyDescent="0.2">
      <c r="AE4104" s="114"/>
    </row>
    <row r="4105" spans="31:31" x14ac:dyDescent="0.2">
      <c r="AE4105" s="114"/>
    </row>
    <row r="4106" spans="31:31" x14ac:dyDescent="0.2">
      <c r="AE4106" s="114"/>
    </row>
    <row r="4107" spans="31:31" x14ac:dyDescent="0.2">
      <c r="AE4107" s="114"/>
    </row>
    <row r="4108" spans="31:31" x14ac:dyDescent="0.2">
      <c r="AE4108" s="114"/>
    </row>
    <row r="4109" spans="31:31" x14ac:dyDescent="0.2">
      <c r="AE4109" s="114"/>
    </row>
    <row r="4110" spans="31:31" x14ac:dyDescent="0.2">
      <c r="AE4110" s="114"/>
    </row>
    <row r="4111" spans="31:31" x14ac:dyDescent="0.2">
      <c r="AE4111" s="114"/>
    </row>
    <row r="4112" spans="31:31" x14ac:dyDescent="0.2">
      <c r="AE4112" s="114"/>
    </row>
    <row r="4113" spans="31:31" x14ac:dyDescent="0.2">
      <c r="AE4113" s="114"/>
    </row>
    <row r="4114" spans="31:31" x14ac:dyDescent="0.2">
      <c r="AE4114" s="114"/>
    </row>
    <row r="4115" spans="31:31" x14ac:dyDescent="0.2">
      <c r="AE4115" s="114"/>
    </row>
    <row r="4116" spans="31:31" x14ac:dyDescent="0.2">
      <c r="AE4116" s="114"/>
    </row>
    <row r="4117" spans="31:31" x14ac:dyDescent="0.2">
      <c r="AE4117" s="114"/>
    </row>
    <row r="4118" spans="31:31" x14ac:dyDescent="0.2">
      <c r="AE4118" s="114"/>
    </row>
    <row r="4119" spans="31:31" x14ac:dyDescent="0.2">
      <c r="AE4119" s="114"/>
    </row>
    <row r="4120" spans="31:31" x14ac:dyDescent="0.2">
      <c r="AE4120" s="114"/>
    </row>
    <row r="4121" spans="31:31" x14ac:dyDescent="0.2">
      <c r="AE4121" s="114"/>
    </row>
    <row r="4122" spans="31:31" x14ac:dyDescent="0.2">
      <c r="AE4122" s="114"/>
    </row>
    <row r="4123" spans="31:31" x14ac:dyDescent="0.2">
      <c r="AE4123" s="114"/>
    </row>
    <row r="4124" spans="31:31" x14ac:dyDescent="0.2">
      <c r="AE4124" s="114"/>
    </row>
    <row r="4125" spans="31:31" x14ac:dyDescent="0.2">
      <c r="AE4125" s="114"/>
    </row>
    <row r="4126" spans="31:31" x14ac:dyDescent="0.2">
      <c r="AE4126" s="114"/>
    </row>
    <row r="4127" spans="31:31" x14ac:dyDescent="0.2">
      <c r="AE4127" s="114"/>
    </row>
    <row r="4128" spans="31:31" x14ac:dyDescent="0.2">
      <c r="AE4128" s="114"/>
    </row>
    <row r="4129" spans="31:31" x14ac:dyDescent="0.2">
      <c r="AE4129" s="114"/>
    </row>
    <row r="4130" spans="31:31" x14ac:dyDescent="0.2">
      <c r="AE4130" s="114"/>
    </row>
    <row r="4131" spans="31:31" x14ac:dyDescent="0.2">
      <c r="AE4131" s="114"/>
    </row>
    <row r="4132" spans="31:31" x14ac:dyDescent="0.2">
      <c r="AE4132" s="114"/>
    </row>
    <row r="4133" spans="31:31" x14ac:dyDescent="0.2">
      <c r="AE4133" s="114"/>
    </row>
    <row r="4134" spans="31:31" x14ac:dyDescent="0.2">
      <c r="AE4134" s="114"/>
    </row>
    <row r="4135" spans="31:31" x14ac:dyDescent="0.2">
      <c r="AE4135" s="114"/>
    </row>
    <row r="4136" spans="31:31" x14ac:dyDescent="0.2">
      <c r="AE4136" s="114"/>
    </row>
    <row r="4137" spans="31:31" x14ac:dyDescent="0.2">
      <c r="AE4137" s="114"/>
    </row>
    <row r="4138" spans="31:31" x14ac:dyDescent="0.2">
      <c r="AE4138" s="114"/>
    </row>
    <row r="4139" spans="31:31" x14ac:dyDescent="0.2">
      <c r="AE4139" s="114"/>
    </row>
    <row r="4140" spans="31:31" x14ac:dyDescent="0.2">
      <c r="AE4140" s="114"/>
    </row>
    <row r="4141" spans="31:31" x14ac:dyDescent="0.2">
      <c r="AE4141" s="114"/>
    </row>
    <row r="4142" spans="31:31" x14ac:dyDescent="0.2">
      <c r="AE4142" s="114"/>
    </row>
    <row r="4143" spans="31:31" x14ac:dyDescent="0.2">
      <c r="AE4143" s="114"/>
    </row>
    <row r="4144" spans="31:31" x14ac:dyDescent="0.2">
      <c r="AE4144" s="114"/>
    </row>
    <row r="4145" spans="31:31" x14ac:dyDescent="0.2">
      <c r="AE4145" s="114"/>
    </row>
    <row r="4146" spans="31:31" x14ac:dyDescent="0.2">
      <c r="AE4146" s="114"/>
    </row>
    <row r="4147" spans="31:31" x14ac:dyDescent="0.2">
      <c r="AE4147" s="114"/>
    </row>
    <row r="4148" spans="31:31" x14ac:dyDescent="0.2">
      <c r="AE4148" s="114"/>
    </row>
    <row r="4149" spans="31:31" x14ac:dyDescent="0.2">
      <c r="AE4149" s="114"/>
    </row>
    <row r="4150" spans="31:31" x14ac:dyDescent="0.2">
      <c r="AE4150" s="114"/>
    </row>
    <row r="4151" spans="31:31" x14ac:dyDescent="0.2">
      <c r="AE4151" s="114"/>
    </row>
    <row r="4152" spans="31:31" x14ac:dyDescent="0.2">
      <c r="AE4152" s="114"/>
    </row>
    <row r="4153" spans="31:31" x14ac:dyDescent="0.2">
      <c r="AE4153" s="114"/>
    </row>
    <row r="4154" spans="31:31" x14ac:dyDescent="0.2">
      <c r="AE4154" s="114"/>
    </row>
    <row r="4155" spans="31:31" x14ac:dyDescent="0.2">
      <c r="AE4155" s="114"/>
    </row>
    <row r="4156" spans="31:31" x14ac:dyDescent="0.2">
      <c r="AE4156" s="114"/>
    </row>
    <row r="4157" spans="31:31" x14ac:dyDescent="0.2">
      <c r="AE4157" s="114"/>
    </row>
    <row r="4158" spans="31:31" x14ac:dyDescent="0.2">
      <c r="AE4158" s="114"/>
    </row>
    <row r="4159" spans="31:31" x14ac:dyDescent="0.2">
      <c r="AE4159" s="114"/>
    </row>
    <row r="4160" spans="31:31" x14ac:dyDescent="0.2">
      <c r="AE4160" s="114"/>
    </row>
    <row r="4161" spans="31:31" x14ac:dyDescent="0.2">
      <c r="AE4161" s="114"/>
    </row>
    <row r="4162" spans="31:31" x14ac:dyDescent="0.2">
      <c r="AE4162" s="114"/>
    </row>
    <row r="4163" spans="31:31" x14ac:dyDescent="0.2">
      <c r="AE4163" s="114"/>
    </row>
    <row r="4164" spans="31:31" x14ac:dyDescent="0.2">
      <c r="AE4164" s="114"/>
    </row>
    <row r="4165" spans="31:31" x14ac:dyDescent="0.2">
      <c r="AE4165" s="114"/>
    </row>
    <row r="4166" spans="31:31" x14ac:dyDescent="0.2">
      <c r="AE4166" s="114"/>
    </row>
    <row r="4167" spans="31:31" x14ac:dyDescent="0.2">
      <c r="AE4167" s="114"/>
    </row>
    <row r="4168" spans="31:31" x14ac:dyDescent="0.2">
      <c r="AE4168" s="114"/>
    </row>
    <row r="4169" spans="31:31" x14ac:dyDescent="0.2">
      <c r="AE4169" s="114"/>
    </row>
    <row r="4170" spans="31:31" x14ac:dyDescent="0.2">
      <c r="AE4170" s="114"/>
    </row>
    <row r="4171" spans="31:31" x14ac:dyDescent="0.2">
      <c r="AE4171" s="114"/>
    </row>
    <row r="4172" spans="31:31" x14ac:dyDescent="0.2">
      <c r="AE4172" s="114"/>
    </row>
    <row r="4173" spans="31:31" x14ac:dyDescent="0.2">
      <c r="AE4173" s="114"/>
    </row>
    <row r="4174" spans="31:31" x14ac:dyDescent="0.2">
      <c r="AE4174" s="114"/>
    </row>
  </sheetData>
  <sheetProtection formatCells="0" formatColumns="0" formatRows="0"/>
  <dataConsolidate/>
  <mergeCells count="2">
    <mergeCell ref="B2:C2"/>
    <mergeCell ref="E22:G22"/>
  </mergeCells>
  <conditionalFormatting sqref="E3:E17">
    <cfRule type="cellIs" dxfId="5" priority="9" stopIfTrue="1" operator="equal">
      <formula>FALSE</formula>
    </cfRule>
  </conditionalFormatting>
  <conditionalFormatting sqref="G3:J17">
    <cfRule type="expression" dxfId="4" priority="6" stopIfTrue="1">
      <formula>NOT($E3)</formula>
    </cfRule>
  </conditionalFormatting>
  <conditionalFormatting sqref="J3:J17">
    <cfRule type="expression" dxfId="3" priority="7" stopIfTrue="1">
      <formula>ISNUMBER(H3)</formula>
    </cfRule>
    <cfRule type="expression" dxfId="2" priority="8" stopIfTrue="1">
      <formula>ISNUMBER(I3)</formula>
    </cfRule>
  </conditionalFormatting>
  <conditionalFormatting sqref="R1">
    <cfRule type="cellIs" dxfId="1" priority="10" operator="equal">
      <formula>FALSE</formula>
    </cfRule>
  </conditionalFormatting>
  <conditionalFormatting sqref="S1">
    <cfRule type="cellIs" dxfId="0" priority="1" operator="equal">
      <formula>TRUE</formula>
    </cfRule>
  </conditionalFormatting>
  <dataValidations disablePrompts="1" count="2">
    <dataValidation type="list" allowBlank="1" showInputMessage="1" showErrorMessage="1" sqref="E3:E17">
      <formula1>dvBool</formula1>
    </dataValidation>
    <dataValidation type="list" allowBlank="1" showInputMessage="1" showErrorMessage="1" sqref="S1">
      <formula1>"FALSE,FALSE"</formula1>
    </dataValidation>
  </dataValidations>
  <pageMargins left="0.7" right="0.7" top="0.75" bottom="0.75" header="0.3" footer="0.3"/>
  <pageSetup orientation="portrait" r:id="rId1"/>
  <ignoredErrors>
    <ignoredError sqref="G3:G17" formulaRang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38</vt:i4>
      </vt:variant>
    </vt:vector>
  </HeadingPairs>
  <TitlesOfParts>
    <vt:vector size="40" baseType="lpstr">
      <vt:lpstr>dvCurveBootstrapperOptions</vt:lpstr>
      <vt:lpstr>UNICA_EUR</vt:lpstr>
      <vt:lpstr>UNICA_EUR!BizDayConv</vt:lpstr>
      <vt:lpstr>UNICA_EUR!Calendar</vt:lpstr>
      <vt:lpstr>UNICA_EUR!Currency</vt:lpstr>
      <vt:lpstr>CurveName</vt:lpstr>
      <vt:lpstr>Dates</vt:lpstr>
      <vt:lpstr>Discounts</vt:lpstr>
      <vt:lpstr>dvBool</vt:lpstr>
      <vt:lpstr>dvCurveBootstrapperCompounding</vt:lpstr>
      <vt:lpstr>dvCurveBootstrapperDayCount</vt:lpstr>
      <vt:lpstr>dvCurveBootstrapperFraFutAdjust</vt:lpstr>
      <vt:lpstr>dvCurveBootstrapperFutCons</vt:lpstr>
      <vt:lpstr>dvCurveBootstrapperFutEndDate</vt:lpstr>
      <vt:lpstr>dvCurveBootstrapperInterpOn</vt:lpstr>
      <vt:lpstr>dvCurveBootstrapperInterpType</vt:lpstr>
      <vt:lpstr>dvCurveBootstrapperMatCons</vt:lpstr>
      <vt:lpstr>dvCurveBootstrapperOutputType</vt:lpstr>
      <vt:lpstr>dvCurveBootstrapperSwapMatType</vt:lpstr>
      <vt:lpstr>UNICA_EUR!Enabled</vt:lpstr>
      <vt:lpstr>UNICA_EUR!EntityName</vt:lpstr>
      <vt:lpstr>UNICA_EUR!EvaluationDate</vt:lpstr>
      <vt:lpstr>UNICA_EUR!FloatingFlag</vt:lpstr>
      <vt:lpstr>UNICA_EUR!IborIndex</vt:lpstr>
      <vt:lpstr>UNICA_EUR!ImplCDS</vt:lpstr>
      <vt:lpstr>UNICA_EUR!ImplPrices</vt:lpstr>
      <vt:lpstr>InterpYieldCurve</vt:lpstr>
      <vt:lpstr>UNICA_EUR!IsOK</vt:lpstr>
      <vt:lpstr>UNICA_EUR!ManualTrigger</vt:lpstr>
      <vt:lpstr>UNICA_EUR!Maties</vt:lpstr>
      <vt:lpstr>UNICA_EUR!Notional</vt:lpstr>
      <vt:lpstr>UNICA_EUR!ObjectsTrigger</vt:lpstr>
      <vt:lpstr>UNICA_EUR!pdgDiscCurve</vt:lpstr>
      <vt:lpstr>UNICA_EUR!qlDiscCurve</vt:lpstr>
      <vt:lpstr>UNICA_EUR!Recovery</vt:lpstr>
      <vt:lpstr>UNICA_EUR!RtTrigger</vt:lpstr>
      <vt:lpstr>UNICA_EUR!SettlementDate</vt:lpstr>
      <vt:lpstr>UNICA_EUR!SettlementDays</vt:lpstr>
      <vt:lpstr>UNICA_EUR!Spread</vt:lpstr>
      <vt:lpstr>ZeroRates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Federico Targetti</dc:creator>
  <cp:lastModifiedBy>BERTOCCHI NICHOLAS</cp:lastModifiedBy>
  <dcterms:created xsi:type="dcterms:W3CDTF">2012-06-21T08:56:32Z</dcterms:created>
  <dcterms:modified xsi:type="dcterms:W3CDTF">2017-03-29T15:20:56Z</dcterms:modified>
</cp:coreProperties>
</file>